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949" firstSheet="0" activeTab="0" autoFilterDateGrouping="1"/>
  </bookViews>
  <sheets>
    <sheet name="Caratula " sheetId="1" state="visible" r:id="rId1"/>
    <sheet name="MATERIAL" sheetId="2" state="visible" r:id="rId2"/>
    <sheet name="MANO DE OBRA" sheetId="3" state="visible" r:id="rId3"/>
    <sheet name="Cables" sheetId="4" state="visible" r:id="rId4"/>
    <sheet name="Vereda" sheetId="5" state="visible" r:id="rId5"/>
    <sheet name="Traslado - Acarreo" sheetId="6" state="visible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Order1" hidden="1">255</definedName>
    <definedName name="ZANJDET" hidden="1">#REF!</definedName>
    <definedName name="ZANJDET" localSheetId="0" hidden="1">#REF!</definedName>
    <definedName name="ZANJDET" localSheetId="1" hidden="1">#REF!</definedName>
    <definedName name="_xlnm._FilterDatabase" localSheetId="1" hidden="1">'MATERIAL'!$A$13:$CY$191</definedName>
    <definedName name="_xlnm.Print_Area" localSheetId="1">'MATERIAL'!$A$3:$BJ$101</definedName>
    <definedName name="_xlnm._FilterDatabase" localSheetId="2" hidden="1">'MANO DE OBRA'!$A$6:$J$113</definedName>
    <definedName name="_xlnm._FilterDatabase" localSheetId="4" hidden="1">'Vereda'!$B$172:$E$187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0.00_);[Red]\(0.00\)"/>
    <numFmt numFmtId="165" formatCode="0.000_);[Red]\(0.000\)"/>
    <numFmt numFmtId="166" formatCode="0.0000_);[Red]\(0.0000\)"/>
    <numFmt numFmtId="167" formatCode="0.00;[Red]0.00"/>
    <numFmt numFmtId="168" formatCode="0.000"/>
    <numFmt numFmtId="169" formatCode="_(* #,##0.00_);[Red]_(* \(#,##0.00\);_(* &quot;-&quot;???_);_(@_)"/>
    <numFmt numFmtId="170" formatCode="_(* #,##0.00_);[Red]_(* \(#,##0.00\);_(* &quot;-&quot;??_);_(@_)"/>
    <numFmt numFmtId="171" formatCode="#,##0.000"/>
    <numFmt numFmtId="172" formatCode="_ * #,##0.00_ ;_ * \-#,##0.00_ ;_ * &quot;-&quot;??_ ;_ @_ "/>
    <numFmt numFmtId="173" formatCode="&quot;S/&quot;#,##0.00;\-&quot;S/&quot;#,##0.00"/>
    <numFmt numFmtId="174" formatCode="_-* #,##0_-;\-* #,##0_-;_-* &quot;-&quot;_-;_-@_-"/>
    <numFmt numFmtId="175" formatCode="#,##0.000000"/>
    <numFmt numFmtId="176" formatCode="#,##0.0000"/>
    <numFmt numFmtId="177" formatCode="#,##0.00&quot;F&quot;_);\(#,##0.00&quot;F&quot;\)"/>
    <numFmt numFmtId="178" formatCode="0.000%"/>
    <numFmt numFmtId="179" formatCode="\K&quot;$&quot;#,##0_);\(\K&quot;$&quot;#,##0\)"/>
    <numFmt numFmtId="180" formatCode="_([$€]* #,##0.00_);_([$€]* \(#,##0.00\);_([$€]* &quot;-&quot;??_);_(@_)"/>
    <numFmt numFmtId="181" formatCode="#,##0.0_);\(#,##0.0\)"/>
    <numFmt numFmtId="182" formatCode="0.00000%"/>
    <numFmt numFmtId="183" formatCode="_ * #,##0.00_)_F_ ;_ * \(#,##0.00\)_F_ ;_ * &quot;-&quot;??_)_F_ ;_ @_ "/>
    <numFmt numFmtId="184" formatCode="0.0000%"/>
    <numFmt numFmtId="185" formatCode="0.0000"/>
    <numFmt numFmtId="186" formatCode="&quot;S/&quot;#,##0;&quot;S/&quot;\-#,##0"/>
    <numFmt numFmtId="187" formatCode="\(0\)"/>
  </numFmts>
  <fonts count="75">
    <font>
      <name val="Arial"/>
      <sz val="10"/>
    </font>
    <font>
      <name val="Arial"/>
      <sz val="10"/>
    </font>
    <font>
      <name val="Times New Roman"/>
      <family val="1"/>
      <sz val="8"/>
    </font>
    <font>
      <name val="BERNHARD"/>
      <sz val="10"/>
    </font>
    <font>
      <name val="Helv"/>
      <sz val="10"/>
    </font>
    <font>
      <name val="MS Serif"/>
      <family val="1"/>
      <sz val="10"/>
    </font>
    <font>
      <name val="Courier"/>
      <family val="3"/>
      <sz val="10"/>
    </font>
    <font>
      <name val="MS Serif"/>
      <family val="1"/>
      <color indexed="16"/>
      <sz val="10"/>
    </font>
    <font>
      <name val="Arial"/>
      <family val="2"/>
      <sz val="8"/>
    </font>
    <font>
      <name val="Arial"/>
      <family val="2"/>
      <b val="1"/>
      <sz val="12"/>
    </font>
    <font>
      <name val="Helv"/>
      <sz val="12"/>
    </font>
    <font>
      <name val="Helv"/>
      <color indexed="9"/>
      <sz val="12"/>
    </font>
    <font>
      <name val="Small Fonts"/>
      <family val="2"/>
      <sz val="7"/>
    </font>
    <font>
      <name val="‚l‚r –¾’©"/>
      <charset val="128"/>
      <sz val="11"/>
    </font>
    <font>
      <name val="MS Sans Serif"/>
      <family val="2"/>
      <sz val="10"/>
    </font>
    <font>
      <name val="Helv"/>
      <sz val="8"/>
    </font>
    <font>
      <name val="Helv"/>
      <b val="1"/>
      <color indexed="8"/>
      <sz val="8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color indexed="10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b val="1"/>
      <color indexed="10"/>
      <sz val="9"/>
    </font>
    <font>
      <name val="Arial"/>
      <family val="2"/>
      <sz val="10"/>
    </font>
    <font>
      <name val="ARIAL"/>
      <family val="2"/>
      <b val="1"/>
      <color indexed="10"/>
      <sz val="12"/>
    </font>
    <font>
      <name val="Arial"/>
      <family val="2"/>
      <b val="1"/>
      <color indexed="18"/>
      <sz val="9"/>
    </font>
    <font>
      <name val="Arial"/>
      <family val="2"/>
      <color indexed="10"/>
      <sz val="9"/>
    </font>
    <font>
      <name val="Arial"/>
      <family val="2"/>
      <color indexed="18"/>
      <sz val="10"/>
    </font>
    <font>
      <name val="Geneva"/>
      <color indexed="10"/>
      <sz val="9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b val="1"/>
      <color indexed="18"/>
      <sz val="11"/>
    </font>
    <font>
      <name val="Arial"/>
      <family val="2"/>
      <b val="1"/>
      <color indexed="10"/>
      <sz val="11"/>
    </font>
    <font>
      <name val="Arial"/>
      <family val="2"/>
      <b val="1"/>
      <color indexed="12"/>
      <sz val="10"/>
    </font>
    <font>
      <name val="Arial"/>
      <family val="2"/>
      <sz val="12"/>
    </font>
    <font>
      <name val="Arial"/>
      <family val="2"/>
      <b val="1"/>
      <color indexed="12"/>
      <sz val="9"/>
    </font>
    <font>
      <name val="Arial"/>
      <family val="2"/>
      <color indexed="18"/>
      <sz val="9"/>
    </font>
    <font>
      <name val="Arial"/>
      <family val="2"/>
      <b val="1"/>
      <color indexed="10"/>
      <sz val="10"/>
    </font>
    <font>
      <name val="Arial"/>
      <family val="2"/>
      <color indexed="12"/>
      <sz val="10"/>
    </font>
    <font>
      <name val="Arial"/>
      <family val="2"/>
      <sz val="10"/>
    </font>
    <font>
      <name val="Arial"/>
      <family val="2"/>
      <b val="1"/>
      <color indexed="9"/>
      <sz val="9"/>
    </font>
    <font>
      <name val="Comic Sans MS"/>
      <family val="4"/>
      <b val="1"/>
      <color indexed="12"/>
      <sz val="12"/>
      <u val="single"/>
    </font>
    <font>
      <name val="Courier"/>
      <family val="3"/>
      <sz val="10"/>
    </font>
    <font>
      <name val="Tahoma"/>
      <family val="2"/>
      <sz val="9"/>
    </font>
    <font>
      <name val="Arial"/>
      <family val="2"/>
      <color indexed="12"/>
      <sz val="11"/>
    </font>
    <font>
      <name val="Arial"/>
      <family val="2"/>
      <color indexed="22"/>
      <sz val="11"/>
    </font>
    <font>
      <name val="Arial"/>
      <family val="2"/>
      <b val="1"/>
      <color indexed="12"/>
      <sz val="11"/>
    </font>
    <font>
      <name val="Calibri"/>
      <family val="2"/>
      <color indexed="62"/>
      <sz val="11"/>
    </font>
    <font>
      <name val="Arial"/>
      <family val="2"/>
      <color indexed="62"/>
      <sz val="8"/>
    </font>
    <font>
      <name val="Arial"/>
      <family val="2"/>
      <color indexed="62"/>
      <sz val="9"/>
    </font>
    <font>
      <name val="Cambria"/>
      <family val="1"/>
      <sz val="9"/>
    </font>
    <font>
      <name val="Arial"/>
      <family val="2"/>
      <color indexed="9"/>
      <sz val="9"/>
    </font>
    <font>
      <name val="Arial"/>
      <family val="2"/>
      <b val="1"/>
      <color indexed="9"/>
      <sz val="10"/>
    </font>
    <font>
      <name val="Cambria"/>
      <family val="1"/>
      <sz val="10"/>
    </font>
    <font>
      <name val="Arial"/>
      <family val="2"/>
      <b val="1"/>
      <color indexed="8"/>
      <sz val="10"/>
    </font>
    <font>
      <name val="Arial"/>
      <family val="2"/>
      <b val="1"/>
      <sz val="7"/>
    </font>
    <font>
      <name val="Arial"/>
      <family val="2"/>
      <b val="1"/>
      <sz val="20"/>
    </font>
    <font>
      <name val="Arial"/>
      <family val="2"/>
      <sz val="7"/>
    </font>
    <font>
      <name val="Tahoma"/>
      <family val="2"/>
      <b val="1"/>
      <color indexed="81"/>
      <sz val="9"/>
    </font>
    <font>
      <name val="Cambria"/>
      <family val="1"/>
      <b val="1"/>
      <sz val="9"/>
    </font>
    <font>
      <name val="Cambria"/>
      <family val="1"/>
      <b val="1"/>
      <sz val="10"/>
    </font>
    <font>
      <name val="Arial"/>
      <family val="2"/>
      <b val="1"/>
      <sz val="10"/>
      <u val="single"/>
    </font>
    <font>
      <name val="Arial"/>
      <family val="2"/>
      <color theme="5" tint="-0.249977111117893"/>
      <sz val="10"/>
    </font>
    <font>
      <name val="Arial"/>
      <family val="2"/>
      <color theme="1"/>
      <sz val="10"/>
    </font>
    <font>
      <name val="Arial"/>
      <family val="2"/>
      <b val="1"/>
      <color theme="3" tint="0.3999755851924192"/>
      <sz val="10"/>
    </font>
    <font>
      <name val="Arial"/>
      <family val="2"/>
      <color theme="6" tint="-0.249977111117893"/>
      <sz val="9"/>
    </font>
    <font>
      <name val="Arial"/>
      <family val="2"/>
      <color theme="3" tint="-0.249977111117893"/>
      <sz val="10"/>
    </font>
    <font>
      <name val="Arial"/>
      <family val="2"/>
      <color theme="5" tint="-0.249977111117893"/>
      <sz val="9"/>
    </font>
    <font>
      <name val="Arial"/>
      <family val="2"/>
      <color theme="9" tint="-0.249977111117893"/>
      <sz val="9"/>
    </font>
    <font>
      <name val="Arial"/>
      <family val="2"/>
      <color rgb="FF0000FF"/>
      <sz val="9"/>
    </font>
    <font>
      <name val="Arial"/>
      <family val="2"/>
      <color rgb="FFFF0000"/>
      <sz val="9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rgb="FF002060"/>
      <sz val="10"/>
    </font>
    <font>
      <name val="Arial"/>
      <family val="2"/>
      <color theme="0"/>
      <sz val="10"/>
    </font>
  </fonts>
  <fills count="20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679555650502"/>
        <bgColor indexed="65"/>
      </patternFill>
    </fill>
    <fill>
      <patternFill patternType="solid">
        <fgColor theme="0"/>
        <bgColor indexed="9"/>
      </patternFill>
    </fill>
    <fill>
      <gradientFill type="linear" degree="90">
        <stop position="0">
          <color theme="0"/>
        </stop>
        <stop position="1">
          <color theme="4"/>
        </stop>
      </gradientFill>
    </fill>
    <fill>
      <gradientFill type="linear" degree="90">
        <stop position="0">
          <color theme="0"/>
        </stop>
        <stop position="1">
          <color rgb="FF00B050"/>
        </stop>
      </gradient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5999938962981048"/>
        <bgColor indexed="64"/>
      </patternFill>
    </fill>
  </fills>
  <borders count="1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49"/>
      </top>
      <bottom style="hair">
        <color indexed="49"/>
      </bottom>
      <diagonal/>
    </border>
    <border>
      <left style="hair">
        <color indexed="64"/>
      </left>
      <right/>
      <top style="hair">
        <color indexed="49"/>
      </top>
      <bottom style="hair">
        <color indexed="49"/>
      </bottom>
      <diagonal/>
    </border>
    <border>
      <left style="hair">
        <color indexed="64"/>
      </left>
      <right style="hair">
        <color indexed="64"/>
      </right>
      <top style="hair">
        <color indexed="4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49"/>
      </bottom>
      <diagonal/>
    </border>
    <border>
      <left/>
      <right style="hair">
        <color indexed="64"/>
      </right>
      <top style="hair">
        <color indexed="49"/>
      </top>
      <bottom style="hair">
        <color indexed="49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49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40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40"/>
      </bottom>
      <diagonal/>
    </border>
    <border>
      <left style="hair">
        <color indexed="64"/>
      </left>
      <right/>
      <top style="thin">
        <color indexed="64"/>
      </top>
      <bottom style="hair">
        <color indexed="4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40"/>
      </bottom>
      <diagonal/>
    </border>
    <border>
      <left/>
      <right style="thin">
        <color indexed="64"/>
      </right>
      <top style="thin">
        <color indexed="64"/>
      </top>
      <bottom style="hair">
        <color indexed="40"/>
      </bottom>
      <diagonal/>
    </border>
    <border>
      <left style="thin">
        <color indexed="64"/>
      </left>
      <right/>
      <top style="hair">
        <color indexed="40"/>
      </top>
      <bottom style="hair">
        <color indexed="40"/>
      </bottom>
      <diagonal/>
    </border>
    <border>
      <left style="hair">
        <color indexed="64"/>
      </left>
      <right style="hair">
        <color indexed="64"/>
      </right>
      <top style="hair">
        <color indexed="40"/>
      </top>
      <bottom style="hair">
        <color indexed="40"/>
      </bottom>
      <diagonal/>
    </border>
    <border>
      <left style="hair">
        <color indexed="64"/>
      </left>
      <right/>
      <top style="hair">
        <color indexed="40"/>
      </top>
      <bottom style="hair">
        <color indexed="40"/>
      </bottom>
      <diagonal/>
    </border>
    <border>
      <left style="medium">
        <color indexed="64"/>
      </left>
      <right style="medium">
        <color indexed="64"/>
      </right>
      <top style="hair">
        <color indexed="40"/>
      </top>
      <bottom style="hair">
        <color indexed="40"/>
      </bottom>
      <diagonal/>
    </border>
    <border>
      <left/>
      <right style="thin">
        <color indexed="64"/>
      </right>
      <top style="hair">
        <color indexed="40"/>
      </top>
      <bottom style="hair">
        <color indexed="40"/>
      </bottom>
      <diagonal/>
    </border>
    <border>
      <left style="hair">
        <color indexed="64"/>
      </left>
      <right style="hair">
        <color indexed="64"/>
      </right>
      <top/>
      <bottom style="hair">
        <color indexed="40"/>
      </bottom>
      <diagonal/>
    </border>
    <border>
      <left/>
      <right style="hair">
        <color indexed="64"/>
      </right>
      <top style="hair">
        <color indexed="40"/>
      </top>
      <bottom style="hair">
        <color indexed="40"/>
      </bottom>
      <diagonal/>
    </border>
    <border>
      <left/>
      <right/>
      <top style="hair">
        <color indexed="40"/>
      </top>
      <bottom style="hair">
        <color indexed="40"/>
      </bottom>
      <diagonal/>
    </border>
    <border>
      <left style="thin">
        <color indexed="64"/>
      </left>
      <right/>
      <top style="hair">
        <color indexed="40"/>
      </top>
      <bottom/>
      <diagonal/>
    </border>
    <border>
      <left style="hair">
        <color indexed="64"/>
      </left>
      <right/>
      <top style="hair">
        <color indexed="40"/>
      </top>
      <bottom/>
      <diagonal/>
    </border>
    <border>
      <left style="hair">
        <color indexed="64"/>
      </left>
      <right style="hair">
        <color indexed="64"/>
      </right>
      <top style="hair">
        <color indexed="40"/>
      </top>
      <bottom/>
      <diagonal/>
    </border>
    <border>
      <left/>
      <right style="hair">
        <color indexed="64"/>
      </right>
      <top style="hair">
        <color indexed="40"/>
      </top>
      <bottom/>
      <diagonal/>
    </border>
    <border>
      <left style="medium">
        <color indexed="64"/>
      </left>
      <right style="medium">
        <color indexed="64"/>
      </right>
      <top style="hair">
        <color indexed="40"/>
      </top>
      <bottom/>
      <diagonal/>
    </border>
    <border>
      <left/>
      <right/>
      <top style="hair">
        <color indexed="40"/>
      </top>
      <bottom/>
      <diagonal/>
    </border>
    <border>
      <left/>
      <right style="thin">
        <color indexed="64"/>
      </right>
      <top style="hair">
        <color indexed="40"/>
      </top>
      <bottom/>
      <diagonal/>
    </border>
    <border>
      <left/>
      <right style="hair">
        <color indexed="64"/>
      </right>
      <top style="thin">
        <color indexed="64"/>
      </top>
      <bottom style="hair">
        <color indexed="40"/>
      </bottom>
      <diagonal/>
    </border>
    <border>
      <left/>
      <right/>
      <top style="thin">
        <color indexed="64"/>
      </top>
      <bottom style="hair">
        <color indexed="40"/>
      </bottom>
      <diagonal/>
    </border>
    <border>
      <left style="double">
        <color indexed="23"/>
      </left>
      <right/>
      <top style="double">
        <color indexed="23"/>
      </top>
      <bottom/>
      <diagonal/>
    </border>
    <border>
      <left/>
      <right/>
      <top style="double">
        <color indexed="23"/>
      </top>
      <bottom/>
      <diagonal/>
    </border>
    <border>
      <left/>
      <right style="double">
        <color indexed="23"/>
      </right>
      <top style="double">
        <color indexed="23"/>
      </top>
      <bottom/>
      <diagonal/>
    </border>
    <border>
      <left style="double">
        <color indexed="23"/>
      </left>
      <right/>
      <top/>
      <bottom/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 style="double">
        <color indexed="23"/>
      </right>
      <top/>
      <bottom/>
      <diagonal/>
    </border>
    <border>
      <left style="double">
        <color indexed="23"/>
      </left>
      <right/>
      <top style="double">
        <color indexed="23"/>
      </top>
      <bottom style="double">
        <color indexed="23"/>
      </bottom>
      <diagonal/>
    </border>
    <border>
      <left/>
      <right/>
      <top style="double">
        <color indexed="23"/>
      </top>
      <bottom style="double">
        <color indexed="23"/>
      </bottom>
      <diagonal/>
    </border>
    <border>
      <left/>
      <right style="double">
        <color indexed="23"/>
      </right>
      <top style="double">
        <color indexed="23"/>
      </top>
      <bottom style="double">
        <color indexed="23"/>
      </bottom>
      <diagonal/>
    </border>
    <border>
      <left style="hair">
        <color indexed="23"/>
      </left>
      <right/>
      <top style="hair">
        <color indexed="23"/>
      </top>
      <bottom style="hair">
        <color indexed="23"/>
      </bottom>
      <diagonal/>
    </border>
    <border>
      <left/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 style="double">
        <color indexed="23"/>
      </left>
      <right/>
      <top/>
      <bottom style="double">
        <color indexed="23"/>
      </bottom>
      <diagonal/>
    </border>
    <border>
      <left/>
      <right/>
      <top/>
      <bottom style="double">
        <color indexed="23"/>
      </bottom>
      <diagonal/>
    </border>
    <border>
      <left/>
      <right style="double">
        <color indexed="23"/>
      </right>
      <top/>
      <bottom style="double">
        <color indexed="23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17"/>
      </left>
      <right/>
      <top style="medium">
        <color indexed="17"/>
      </top>
      <bottom style="medium">
        <color indexed="17"/>
      </bottom>
      <diagonal/>
    </border>
    <border>
      <left/>
      <right/>
      <top style="medium">
        <color indexed="17"/>
      </top>
      <bottom style="medium">
        <color indexed="17"/>
      </bottom>
      <diagonal/>
    </border>
    <border>
      <left/>
      <right style="medium">
        <color indexed="17"/>
      </right>
      <top style="medium">
        <color indexed="17"/>
      </top>
      <bottom style="medium">
        <color indexed="17"/>
      </bottom>
      <diagonal/>
    </border>
    <border>
      <left style="medium">
        <color indexed="17"/>
      </left>
      <right style="medium">
        <color indexed="17"/>
      </right>
      <top style="medium">
        <color indexed="17"/>
      </top>
      <bottom style="medium">
        <color indexed="17"/>
      </bottom>
      <diagonal/>
    </border>
    <border>
      <left style="medium">
        <color indexed="30"/>
      </left>
      <right style="medium">
        <color indexed="30"/>
      </right>
      <top style="medium">
        <color indexed="30"/>
      </top>
      <bottom/>
      <diagonal/>
    </border>
    <border>
      <left style="medium">
        <color indexed="30"/>
      </left>
      <right style="medium">
        <color indexed="30"/>
      </right>
      <top style="medium">
        <color indexed="30"/>
      </top>
      <bottom style="medium">
        <color indexed="30"/>
      </bottom>
      <diagonal/>
    </border>
    <border>
      <left style="medium">
        <color indexed="17"/>
      </left>
      <right style="medium">
        <color indexed="17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17"/>
      </left>
      <right style="thin">
        <color indexed="17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17"/>
      </left>
      <right style="thin">
        <color indexed="17"/>
      </right>
      <top style="medium">
        <color indexed="17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30"/>
      </left>
      <right style="medium">
        <color indexed="30"/>
      </right>
      <top/>
      <bottom style="hair">
        <color indexed="23"/>
      </bottom>
      <diagonal/>
    </border>
    <border>
      <left style="medium">
        <color indexed="30"/>
      </left>
      <right/>
      <top/>
      <bottom style="hair">
        <color indexed="64"/>
      </bottom>
      <diagonal/>
    </border>
    <border>
      <left style="thin">
        <color indexed="17"/>
      </left>
      <right style="thin">
        <color indexed="17"/>
      </right>
      <top/>
      <bottom style="hair">
        <color indexed="64"/>
      </bottom>
      <diagonal/>
    </border>
    <border>
      <left/>
      <right/>
      <top style="medium">
        <color indexed="17"/>
      </top>
      <bottom/>
      <diagonal/>
    </border>
    <border>
      <left style="medium">
        <color indexed="30"/>
      </left>
      <right style="medium">
        <color indexed="30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30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30"/>
      </left>
      <right style="medium">
        <color indexed="30"/>
      </right>
      <top style="hair">
        <color indexed="23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30"/>
      </left>
      <right style="medium">
        <color indexed="30"/>
      </right>
      <top style="hair">
        <color indexed="64"/>
      </top>
      <bottom style="hair">
        <color indexed="23"/>
      </bottom>
      <diagonal/>
    </border>
    <border>
      <left style="thin">
        <color indexed="17"/>
      </left>
      <right style="thin">
        <color indexed="17"/>
      </right>
      <top style="hair">
        <color indexed="17"/>
      </top>
      <bottom style="hair">
        <color indexed="64"/>
      </bottom>
      <diagonal/>
    </border>
    <border>
      <left style="thin">
        <color indexed="17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17"/>
      </right>
      <top style="hair">
        <color indexed="64"/>
      </top>
      <bottom style="hair">
        <color indexed="64"/>
      </bottom>
      <diagonal/>
    </border>
    <border>
      <left style="medium">
        <color indexed="3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30"/>
      </right>
      <top style="hair">
        <color indexed="64"/>
      </top>
      <bottom style="hair">
        <color indexed="64"/>
      </bottom>
      <diagonal/>
    </border>
    <border>
      <left style="medium">
        <color indexed="30"/>
      </left>
      <right/>
      <top style="medium">
        <color indexed="30"/>
      </top>
      <bottom/>
      <diagonal/>
    </border>
    <border>
      <left/>
      <right style="medium">
        <color indexed="30"/>
      </right>
      <top style="medium">
        <color indexed="30"/>
      </top>
      <bottom/>
      <diagonal/>
    </border>
    <border>
      <left style="hair">
        <color indexed="64"/>
      </left>
      <right style="thin">
        <color indexed="17"/>
      </right>
      <top style="hair">
        <color indexed="64"/>
      </top>
      <bottom/>
      <diagonal/>
    </border>
    <border>
      <left style="medium">
        <color indexed="30"/>
      </left>
      <right/>
      <top style="medium">
        <color indexed="30"/>
      </top>
      <bottom style="medium">
        <color indexed="30"/>
      </bottom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 style="medium">
        <color indexed="30"/>
      </right>
      <top style="medium">
        <color indexed="30"/>
      </top>
      <bottom style="medium">
        <color indexed="30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theme="3" tint="0.3999450666829432"/>
      </left>
      <right/>
      <top style="thin">
        <color theme="3" tint="0.3999450666829432"/>
      </top>
      <bottom/>
      <diagonal/>
    </border>
    <border>
      <left style="hair">
        <color theme="3" tint="0.3999450666829432"/>
      </left>
      <right style="hair">
        <color theme="3" tint="0.3999450666829432"/>
      </right>
      <top style="thin">
        <color theme="3" tint="0.3999450666829432"/>
      </top>
      <bottom style="hair">
        <color theme="3" tint="0.3999450666829432"/>
      </bottom>
      <diagonal/>
    </border>
    <border>
      <left style="hair">
        <color theme="3" tint="0.3999450666829432"/>
      </left>
      <right style="thin">
        <color theme="3" tint="0.3999450666829432"/>
      </right>
      <top style="thin">
        <color theme="3" tint="0.3999450666829432"/>
      </top>
      <bottom style="hair">
        <color theme="3" tint="0.3999450666829432"/>
      </bottom>
      <diagonal/>
    </border>
    <border>
      <left style="thin">
        <color theme="3" tint="0.3999450666829432"/>
      </left>
      <right/>
      <top/>
      <bottom/>
      <diagonal/>
    </border>
    <border>
      <left style="hair">
        <color theme="3" tint="0.3999450666829432"/>
      </left>
      <right style="hair">
        <color theme="3" tint="0.3999450666829432"/>
      </right>
      <top style="hair">
        <color theme="3" tint="0.3999450666829432"/>
      </top>
      <bottom style="hair">
        <color theme="3" tint="0.3999450666829432"/>
      </bottom>
      <diagonal/>
    </border>
    <border>
      <left style="hair">
        <color theme="3" tint="0.3999450666829432"/>
      </left>
      <right style="thin">
        <color theme="3" tint="0.3999450666829432"/>
      </right>
      <top style="hair">
        <color theme="3" tint="0.3999450666829432"/>
      </top>
      <bottom style="hair">
        <color theme="3" tint="0.3999450666829432"/>
      </bottom>
      <diagonal/>
    </border>
    <border>
      <left style="thin">
        <color theme="3" tint="0.3999450666829432"/>
      </left>
      <right/>
      <top/>
      <bottom style="thin">
        <color theme="3" tint="0.3999450666829432"/>
      </bottom>
      <diagonal/>
    </border>
    <border>
      <left style="hair">
        <color theme="3" tint="0.3999450666829432"/>
      </left>
      <right style="hair">
        <color theme="3" tint="0.3999450666829432"/>
      </right>
      <top style="hair">
        <color theme="3" tint="0.3999450666829432"/>
      </top>
      <bottom style="thin">
        <color theme="3" tint="0.3999450666829432"/>
      </bottom>
      <diagonal/>
    </border>
    <border>
      <left style="hair">
        <color theme="3" tint="0.3999450666829432"/>
      </left>
      <right style="thin">
        <color theme="3" tint="0.3999450666829432"/>
      </right>
      <top style="hair">
        <color theme="3" tint="0.3999450666829432"/>
      </top>
      <bottom style="thin">
        <color theme="3" tint="0.3999450666829432"/>
      </bottom>
      <diagonal/>
    </border>
    <border>
      <left style="thin">
        <color theme="3" tint="0.3999450666829432"/>
      </left>
      <right style="thin">
        <color theme="3" tint="0.3999450666829432"/>
      </right>
      <top style="thin">
        <color theme="3" tint="0.3999450666829432"/>
      </top>
      <bottom style="thick">
        <color theme="3" tint="0.3999450666829432"/>
      </bottom>
      <diagonal/>
    </border>
    <border>
      <left style="thin">
        <color indexed="24"/>
      </left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 style="thin">
        <color theme="3" tint="0.3999450666829432"/>
      </left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 style="thin">
        <color theme="3" tint="0.3999450666829432"/>
      </left>
      <right style="medium">
        <color indexed="17"/>
      </right>
      <top style="thin">
        <color theme="3" tint="0.3999450666829432"/>
      </top>
      <bottom style="thin">
        <color theme="3" tint="0.3999450666829432"/>
      </bottom>
      <diagonal/>
    </border>
    <border>
      <left style="medium">
        <color indexed="17"/>
      </left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 style="thin">
        <color theme="3" tint="0.3999450666829432"/>
      </left>
      <right style="thin">
        <color theme="3" tint="0.3999145481734672"/>
      </right>
      <top style="thin">
        <color theme="3" tint="0.3999450666829432"/>
      </top>
      <bottom style="thin">
        <color theme="3" tint="0.3999450666829432"/>
      </bottom>
      <diagonal/>
    </border>
    <border>
      <left/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/>
      <right style="medium">
        <color theme="4" tint="-0.249946592608417"/>
      </right>
      <top/>
      <bottom/>
      <diagonal/>
    </border>
    <border>
      <left style="hair">
        <color indexed="64"/>
      </left>
      <right style="hair">
        <color indexed="64"/>
      </right>
      <top style="thin">
        <color theme="3" tint="0.3999450666829432"/>
      </top>
      <bottom style="hair">
        <color indexed="64"/>
      </bottom>
      <diagonal/>
    </border>
    <border>
      <left style="hair">
        <color indexed="64"/>
      </left>
      <right style="medium">
        <color theme="3" tint="0.3999450666829432"/>
      </right>
      <top style="medium">
        <color indexed="30"/>
      </top>
      <bottom style="hair">
        <color indexed="64"/>
      </bottom>
      <diagonal/>
    </border>
    <border>
      <left style="hair">
        <color indexed="64"/>
      </left>
      <right style="medium">
        <color theme="3" tint="0.3999450666829432"/>
      </right>
      <top style="hair">
        <color indexed="64"/>
      </top>
      <bottom style="hair">
        <color indexed="64"/>
      </bottom>
      <diagonal/>
    </border>
    <border>
      <left/>
      <right style="thin">
        <color theme="3" tint="0.3999450666829432"/>
      </right>
      <top style="hair">
        <color indexed="64"/>
      </top>
      <bottom style="hair">
        <color indexed="64"/>
      </bottom>
      <diagonal/>
    </border>
    <border>
      <left/>
      <right style="thin">
        <color theme="3" tint="0.3999450666829432"/>
      </right>
      <top style="hair">
        <color indexed="64"/>
      </top>
      <bottom style="thin">
        <color theme="3" tint="0.3999450666829432"/>
      </bottom>
      <diagonal/>
    </border>
    <border>
      <left style="medium">
        <color indexed="30"/>
      </left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 style="medium">
        <color indexed="30"/>
      </left>
      <right style="thin">
        <color theme="3" tint="0.3999450666829432"/>
      </right>
      <top/>
      <bottom/>
      <diagonal/>
    </border>
    <border>
      <left style="medium">
        <color indexed="30"/>
      </left>
      <right style="thin">
        <color theme="3" tint="0.3999450666829432"/>
      </right>
      <top/>
      <bottom style="thin">
        <color theme="3" tint="0.3999450666829432"/>
      </bottom>
      <diagonal/>
    </border>
    <border>
      <left/>
      <right/>
      <top style="medium">
        <color indexed="3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63">
    <xf numFmtId="0" fontId="1" fillId="0" borderId="0"/>
    <xf numFmtId="0" fontId="42" fillId="0" borderId="1"/>
    <xf numFmtId="0" fontId="42" fillId="0" borderId="1"/>
    <xf numFmtId="0" fontId="42" fillId="0" borderId="1"/>
    <xf numFmtId="0" fontId="42" fillId="0" borderId="1"/>
    <xf numFmtId="0" fontId="42" fillId="0" borderId="1"/>
    <xf numFmtId="0" fontId="39" fillId="0" borderId="1"/>
    <xf numFmtId="0" fontId="39" fillId="0" borderId="1"/>
    <xf numFmtId="0" fontId="39" fillId="0" borderId="1"/>
    <xf numFmtId="0" fontId="2" fillId="0" borderId="0" applyAlignment="1" applyProtection="1">
      <alignment horizontal="center" wrapText="1"/>
      <protection locked="0" hidden="0"/>
    </xf>
    <xf numFmtId="177" fontId="1" fillId="0" borderId="0"/>
    <xf numFmtId="177" fontId="39" fillId="0" borderId="0"/>
    <xf numFmtId="0" fontId="28" fillId="0" borderId="0"/>
    <xf numFmtId="178" fontId="1" fillId="0" borderId="0"/>
    <xf numFmtId="179" fontId="1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5" fillId="0" borderId="0" applyAlignment="1">
      <alignment horizontal="left"/>
    </xf>
    <xf numFmtId="0" fontId="42" fillId="0" borderId="0"/>
    <xf numFmtId="0" fontId="1" fillId="0" borderId="0"/>
    <xf numFmtId="0" fontId="1" fillId="0" borderId="0"/>
    <xf numFmtId="0" fontId="7" fillId="0" borderId="0" applyAlignment="1">
      <alignment horizontal="left"/>
    </xf>
    <xf numFmtId="0" fontId="28" fillId="0" borderId="0"/>
    <xf numFmtId="180" fontId="1" fillId="0" borderId="0"/>
    <xf numFmtId="180" fontId="39" fillId="0" borderId="0"/>
    <xf numFmtId="38" fontId="8" fillId="2" borderId="0"/>
    <xf numFmtId="0" fontId="9" fillId="0" borderId="2" applyAlignment="1">
      <alignment horizontal="left" vertical="center"/>
    </xf>
    <xf numFmtId="0" fontId="9" fillId="0" borderId="3" applyAlignment="1">
      <alignment horizontal="left" vertical="center"/>
    </xf>
    <xf numFmtId="10" fontId="8" fillId="3" borderId="1"/>
    <xf numFmtId="181" fontId="10" fillId="4" borderId="0"/>
    <xf numFmtId="181" fontId="11" fillId="5" borderId="0"/>
    <xf numFmtId="43" fontId="39" fillId="0" borderId="0"/>
    <xf numFmtId="0" fontId="1" fillId="0" borderId="0"/>
    <xf numFmtId="182" fontId="1" fillId="0" borderId="0"/>
    <xf numFmtId="183" fontId="1" fillId="0" borderId="0"/>
    <xf numFmtId="184" fontId="1" fillId="0" borderId="0"/>
    <xf numFmtId="37" fontId="12" fillId="0" borderId="0"/>
    <xf numFmtId="185" fontId="1" fillId="0" borderId="0"/>
    <xf numFmtId="185" fontId="39" fillId="0" borderId="0"/>
    <xf numFmtId="0" fontId="39" fillId="0" borderId="0"/>
    <xf numFmtId="0" fontId="39" fillId="0" borderId="0"/>
    <xf numFmtId="0" fontId="42" fillId="0" borderId="1"/>
    <xf numFmtId="0" fontId="42" fillId="0" borderId="1"/>
    <xf numFmtId="0" fontId="1" fillId="0" borderId="0"/>
    <xf numFmtId="0" fontId="1" fillId="0" borderId="0"/>
    <xf numFmtId="40" fontId="13" fillId="0" borderId="0"/>
    <xf numFmtId="38" fontId="13" fillId="0" borderId="0"/>
    <xf numFmtId="14" fontId="2" fillId="0" borderId="0" applyAlignment="1" applyProtection="1">
      <alignment horizontal="center" wrapText="1"/>
      <protection locked="0" hidden="0"/>
    </xf>
    <xf numFmtId="10" fontId="1" fillId="0" borderId="0"/>
    <xf numFmtId="10" fontId="39" fillId="0" borderId="0"/>
    <xf numFmtId="9" fontId="1" fillId="0" borderId="0"/>
    <xf numFmtId="9" fontId="39" fillId="0" borderId="0"/>
    <xf numFmtId="186" fontId="1" fillId="0" borderId="0"/>
    <xf numFmtId="186" fontId="39" fillId="0" borderId="0"/>
    <xf numFmtId="0" fontId="14" fillId="0" borderId="0" applyAlignment="1">
      <alignment horizontal="left"/>
    </xf>
    <xf numFmtId="187" fontId="1" fillId="0" borderId="0" applyAlignment="1">
      <alignment horizontal="left"/>
    </xf>
    <xf numFmtId="187" fontId="39" fillId="0" borderId="0" applyAlignment="1">
      <alignment horizontal="left"/>
    </xf>
    <xf numFmtId="38" fontId="15" fillId="0" borderId="0"/>
    <xf numFmtId="40" fontId="16" fillId="0" borderId="0" applyAlignment="1">
      <alignment horizontal="right"/>
    </xf>
  </cellStyleXfs>
  <cellXfs count="745">
    <xf numFmtId="0" fontId="0" fillId="0" borderId="0" pivotButton="0" quotePrefix="0" xfId="0"/>
    <xf numFmtId="43" fontId="18" fillId="6" borderId="0" applyAlignment="1" pivotButton="0" quotePrefix="0" xfId="6">
      <alignment vertical="center"/>
    </xf>
    <xf numFmtId="43" fontId="26" fillId="6" borderId="4" applyAlignment="1" pivotButton="0" quotePrefix="0" xfId="6">
      <alignment horizontal="right" vertical="center"/>
    </xf>
    <xf numFmtId="43" fontId="25" fillId="6" borderId="0" applyAlignment="1" pivotButton="0" quotePrefix="0" xfId="6">
      <alignment horizontal="center" vertical="center"/>
    </xf>
    <xf numFmtId="43" fontId="25" fillId="6" borderId="3" applyAlignment="1" pivotButton="0" quotePrefix="0" xfId="6">
      <alignment horizontal="right" vertical="center"/>
    </xf>
    <xf numFmtId="43" fontId="36" fillId="6" borderId="0" applyAlignment="1" pivotButton="0" quotePrefix="0" xfId="6">
      <alignment horizontal="right" vertical="center"/>
    </xf>
    <xf numFmtId="43" fontId="25" fillId="6" borderId="0" applyAlignment="1" pivotButton="0" quotePrefix="0" xfId="6">
      <alignment horizontal="right" vertical="center"/>
    </xf>
    <xf numFmtId="43" fontId="26" fillId="6" borderId="0" applyAlignment="1" pivotButton="0" quotePrefix="0" xfId="6">
      <alignment horizontal="right" vertical="center"/>
    </xf>
    <xf numFmtId="43" fontId="37" fillId="6" borderId="0" applyAlignment="1" pivotButton="0" quotePrefix="0" xfId="6">
      <alignment horizontal="left"/>
    </xf>
    <xf numFmtId="43" fontId="18" fillId="6" borderId="5" pivotButton="0" quotePrefix="0" xfId="6"/>
    <xf numFmtId="43" fontId="36" fillId="6" borderId="5" pivotButton="0" quotePrefix="0" xfId="6"/>
    <xf numFmtId="43" fontId="18" fillId="6" borderId="5" pivotButton="0" quotePrefix="0" xfId="6"/>
    <xf numFmtId="43" fontId="18" fillId="6" borderId="0" pivotButton="0" quotePrefix="0" xfId="6"/>
    <xf numFmtId="43" fontId="18" fillId="6" borderId="6" pivotButton="0" quotePrefix="0" xfId="6"/>
    <xf numFmtId="43" fontId="18" fillId="6" borderId="1" pivotButton="0" quotePrefix="0" xfId="6"/>
    <xf numFmtId="43" fontId="25" fillId="6" borderId="0" applyAlignment="1" pivotButton="0" quotePrefix="0" xfId="6">
      <alignment horizontal="left"/>
    </xf>
    <xf numFmtId="43" fontId="17" fillId="6" borderId="0" applyAlignment="1" pivotButton="0" quotePrefix="0" xfId="6">
      <alignment horizontal="left"/>
    </xf>
    <xf numFmtId="43" fontId="17" fillId="6" borderId="0" pivotButton="0" quotePrefix="0" xfId="6"/>
    <xf numFmtId="43" fontId="36" fillId="6" borderId="0" pivotButton="0" quotePrefix="0" xfId="6"/>
    <xf numFmtId="43" fontId="25" fillId="6" borderId="0" applyAlignment="1" pivotButton="0" quotePrefix="0" xfId="6">
      <alignment horizontal="center"/>
    </xf>
    <xf numFmtId="43" fontId="36" fillId="6" borderId="0" applyAlignment="1" pivotButton="0" quotePrefix="0" xfId="6">
      <alignment horizontal="center" vertical="center"/>
    </xf>
    <xf numFmtId="43" fontId="36" fillId="6" borderId="1" applyAlignment="1" pivotButton="0" quotePrefix="0" xfId="6">
      <alignment horizontal="center" vertical="center"/>
    </xf>
    <xf numFmtId="43" fontId="25" fillId="6" borderId="0" applyAlignment="1" pivotButton="0" quotePrefix="0" xfId="6">
      <alignment vertical="center"/>
    </xf>
    <xf numFmtId="43" fontId="17" fillId="6" borderId="7" applyAlignment="1" pivotButton="0" quotePrefix="0" xfId="6">
      <alignment horizontal="center"/>
    </xf>
    <xf numFmtId="43" fontId="18" fillId="6" borderId="7" applyAlignment="1" pivotButton="0" quotePrefix="0" xfId="6">
      <alignment horizontal="center"/>
    </xf>
    <xf numFmtId="43" fontId="36" fillId="6" borderId="7" applyAlignment="1" pivotButton="0" quotePrefix="0" xfId="6">
      <alignment horizontal="center"/>
    </xf>
    <xf numFmtId="43" fontId="36" fillId="6" borderId="8" applyAlignment="1" pivotButton="0" quotePrefix="0" xfId="6">
      <alignment horizontal="center"/>
    </xf>
    <xf numFmtId="43" fontId="36" fillId="6" borderId="7" applyAlignment="1" pivotButton="0" quotePrefix="0" xfId="6">
      <alignment horizontal="left" vertical="center"/>
    </xf>
    <xf numFmtId="43" fontId="18" fillId="6" borderId="0" pivotButton="0" quotePrefix="0" xfId="6"/>
    <xf numFmtId="43" fontId="18" fillId="6" borderId="0" applyAlignment="1" pivotButton="0" quotePrefix="0" xfId="6">
      <alignment horizontal="center"/>
    </xf>
    <xf numFmtId="43" fontId="36" fillId="6" borderId="0" applyAlignment="1" pivotButton="0" quotePrefix="0" xfId="6">
      <alignment horizontal="center"/>
    </xf>
    <xf numFmtId="43" fontId="36" fillId="6" borderId="7" applyAlignment="1" pivotButton="0" quotePrefix="0" xfId="6">
      <alignment horizontal="left"/>
    </xf>
    <xf numFmtId="43" fontId="17" fillId="6" borderId="9" applyAlignment="1" pivotButton="0" quotePrefix="0" xfId="6">
      <alignment horizontal="center"/>
    </xf>
    <xf numFmtId="43" fontId="18" fillId="6" borderId="9" applyAlignment="1" pivotButton="0" quotePrefix="0" xfId="6">
      <alignment horizontal="center"/>
    </xf>
    <xf numFmtId="43" fontId="36" fillId="6" borderId="9" applyAlignment="1" pivotButton="0" quotePrefix="0" xfId="6">
      <alignment horizontal="center"/>
    </xf>
    <xf numFmtId="43" fontId="36" fillId="6" borderId="10" applyAlignment="1" pivotButton="0" quotePrefix="0" xfId="6">
      <alignment horizontal="center"/>
    </xf>
    <xf numFmtId="43" fontId="36" fillId="6" borderId="9" applyAlignment="1" pivotButton="0" quotePrefix="0" xfId="6">
      <alignment horizontal="left" vertical="center"/>
    </xf>
    <xf numFmtId="43" fontId="36" fillId="6" borderId="9" applyAlignment="1" pivotButton="0" quotePrefix="0" xfId="6">
      <alignment horizontal="left"/>
    </xf>
    <xf numFmtId="43" fontId="36" fillId="6" borderId="11" applyAlignment="1" pivotButton="0" quotePrefix="0" xfId="6">
      <alignment horizontal="left"/>
    </xf>
    <xf numFmtId="43" fontId="18" fillId="6" borderId="11" applyAlignment="1" pivotButton="0" quotePrefix="0" xfId="6">
      <alignment horizontal="center"/>
    </xf>
    <xf numFmtId="43" fontId="17" fillId="6" borderId="12" applyAlignment="1" pivotButton="0" quotePrefix="0" xfId="6">
      <alignment horizontal="center"/>
    </xf>
    <xf numFmtId="43" fontId="18" fillId="6" borderId="4" applyAlignment="1" pivotButton="0" quotePrefix="0" xfId="6">
      <alignment horizontal="center"/>
    </xf>
    <xf numFmtId="43" fontId="26" fillId="6" borderId="4" applyAlignment="1" pivotButton="0" quotePrefix="0" xfId="6">
      <alignment horizontal="center"/>
    </xf>
    <xf numFmtId="43" fontId="26" fillId="6" borderId="13" applyAlignment="1" pivotButton="0" quotePrefix="0" xfId="6">
      <alignment horizontal="center"/>
    </xf>
    <xf numFmtId="43" fontId="36" fillId="6" borderId="4" applyAlignment="1" pivotButton="0" quotePrefix="0" xfId="6">
      <alignment horizontal="center"/>
    </xf>
    <xf numFmtId="43" fontId="17" fillId="6" borderId="4" applyAlignment="1" pivotButton="0" quotePrefix="0" xfId="6">
      <alignment horizontal="center"/>
    </xf>
    <xf numFmtId="43" fontId="18" fillId="6" borderId="13" applyAlignment="1" pivotButton="0" quotePrefix="0" xfId="6">
      <alignment horizontal="center"/>
    </xf>
    <xf numFmtId="43" fontId="25" fillId="6" borderId="14" applyAlignment="1" pivotButton="0" quotePrefix="0" xfId="6">
      <alignment horizontal="right" vertical="center"/>
    </xf>
    <xf numFmtId="43" fontId="25" fillId="6" borderId="6" applyAlignment="1" pivotButton="0" quotePrefix="0" xfId="6">
      <alignment horizontal="center"/>
    </xf>
    <xf numFmtId="43" fontId="17" fillId="6" borderId="14" applyAlignment="1" pivotButton="0" quotePrefix="0" xfId="6">
      <alignment horizontal="right"/>
    </xf>
    <xf numFmtId="43" fontId="25" fillId="6" borderId="3" applyAlignment="1" pivotButton="0" quotePrefix="0" xfId="6">
      <alignment horizontal="right"/>
    </xf>
    <xf numFmtId="43" fontId="26" fillId="6" borderId="15" applyAlignment="1" pivotButton="0" quotePrefix="0" xfId="6">
      <alignment horizontal="center"/>
    </xf>
    <xf numFmtId="43" fontId="17" fillId="6" borderId="1" applyAlignment="1" pivotButton="0" quotePrefix="0" xfId="6">
      <alignment horizontal="right"/>
    </xf>
    <xf numFmtId="43" fontId="25" fillId="6" borderId="14" applyAlignment="1" pivotButton="0" quotePrefix="0" xfId="6">
      <alignment horizontal="right"/>
    </xf>
    <xf numFmtId="43" fontId="36" fillId="6" borderId="12" pivotButton="0" quotePrefix="0" xfId="6"/>
    <xf numFmtId="43" fontId="18" fillId="6" borderId="16" pivotButton="0" quotePrefix="0" xfId="6"/>
    <xf numFmtId="43" fontId="25" fillId="6" borderId="17" applyAlignment="1" pivotButton="0" quotePrefix="0" xfId="6">
      <alignment horizontal="center"/>
    </xf>
    <xf numFmtId="43" fontId="17" fillId="6" borderId="0" applyAlignment="1" pivotButton="0" quotePrefix="0" xfId="6">
      <alignment horizontal="center"/>
    </xf>
    <xf numFmtId="43" fontId="25" fillId="6" borderId="18" applyAlignment="1" pivotButton="0" quotePrefix="0" xfId="6">
      <alignment horizontal="center"/>
    </xf>
    <xf numFmtId="43" fontId="18" fillId="6" borderId="19" pivotButton="0" quotePrefix="0" xfId="6"/>
    <xf numFmtId="43" fontId="18" fillId="6" borderId="20" pivotButton="0" quotePrefix="0" xfId="6"/>
    <xf numFmtId="43" fontId="26" fillId="6" borderId="20" applyAlignment="1" pivotButton="0" quotePrefix="0" xfId="6">
      <alignment horizontal="right" vertical="center"/>
    </xf>
    <xf numFmtId="43" fontId="22" fillId="6" borderId="20" applyAlignment="1" pivotButton="0" quotePrefix="0" xfId="6">
      <alignment horizontal="center"/>
    </xf>
    <xf numFmtId="43" fontId="22" fillId="6" borderId="21" applyAlignment="1" pivotButton="0" quotePrefix="0" xfId="6">
      <alignment horizontal="center"/>
    </xf>
    <xf numFmtId="43" fontId="22" fillId="6" borderId="0" applyAlignment="1" pivotButton="0" quotePrefix="0" xfId="6">
      <alignment horizontal="center"/>
    </xf>
    <xf numFmtId="43" fontId="26" fillId="6" borderId="22" applyAlignment="1" pivotButton="0" quotePrefix="0" xfId="6">
      <alignment horizontal="center"/>
    </xf>
    <xf numFmtId="43" fontId="18" fillId="6" borderId="4" pivotButton="0" quotePrefix="0" xfId="6"/>
    <xf numFmtId="43" fontId="25" fillId="6" borderId="0" pivotButton="0" quotePrefix="0" xfId="6"/>
    <xf numFmtId="43" fontId="25" fillId="6" borderId="1" applyAlignment="1" pivotButton="0" quotePrefix="0" xfId="6">
      <alignment horizontal="center"/>
    </xf>
    <xf numFmtId="43" fontId="25" fillId="6" borderId="0" applyAlignment="1" pivotButton="0" quotePrefix="0" xfId="6">
      <alignment horizontal="right"/>
    </xf>
    <xf numFmtId="43" fontId="17" fillId="6" borderId="0" applyAlignment="1" pivotButton="0" quotePrefix="0" xfId="6">
      <alignment horizontal="right"/>
    </xf>
    <xf numFmtId="43" fontId="36" fillId="6" borderId="7" applyAlignment="1" pivotButton="0" quotePrefix="0" xfId="6">
      <alignment vertical="center"/>
    </xf>
    <xf numFmtId="43" fontId="36" fillId="6" borderId="9" applyAlignment="1" pivotButton="0" quotePrefix="0" xfId="6">
      <alignment vertical="center"/>
    </xf>
    <xf numFmtId="43" fontId="36" fillId="6" borderId="11" applyAlignment="1" pivotButton="0" quotePrefix="0" xfId="6">
      <alignment vertical="center"/>
    </xf>
    <xf numFmtId="43" fontId="36" fillId="6" borderId="11" applyAlignment="1" pivotButton="0" quotePrefix="0" xfId="6">
      <alignment horizontal="center"/>
    </xf>
    <xf numFmtId="43" fontId="25" fillId="6" borderId="4" applyAlignment="1" pivotButton="0" quotePrefix="0" xfId="6">
      <alignment horizontal="center"/>
    </xf>
    <xf numFmtId="43" fontId="36" fillId="6" borderId="14" pivotButton="0" quotePrefix="0" xfId="6"/>
    <xf numFmtId="43" fontId="36" fillId="6" borderId="3" pivotButton="0" quotePrefix="0" xfId="6"/>
    <xf numFmtId="43" fontId="18" fillId="6" borderId="1" pivotButton="0" quotePrefix="0" xfId="6"/>
    <xf numFmtId="43" fontId="18" fillId="6" borderId="12" pivotButton="0" quotePrefix="0" xfId="6"/>
    <xf numFmtId="43" fontId="36" fillId="6" borderId="0" applyAlignment="1" pivotButton="0" quotePrefix="0" xfId="6">
      <alignment horizontal="left"/>
    </xf>
    <xf numFmtId="43" fontId="17" fillId="6" borderId="14" applyAlignment="1" pivotButton="0" quotePrefix="0" xfId="6">
      <alignment horizontal="center"/>
    </xf>
    <xf numFmtId="43" fontId="18" fillId="6" borderId="3" applyAlignment="1" pivotButton="0" quotePrefix="0" xfId="6">
      <alignment horizontal="center"/>
    </xf>
    <xf numFmtId="43" fontId="26" fillId="6" borderId="3" applyAlignment="1" pivotButton="0" quotePrefix="0" xfId="6">
      <alignment horizontal="right" vertical="center"/>
    </xf>
    <xf numFmtId="43" fontId="26" fillId="6" borderId="3" applyAlignment="1" pivotButton="0" quotePrefix="0" xfId="6">
      <alignment horizontal="center"/>
    </xf>
    <xf numFmtId="43" fontId="26" fillId="6" borderId="6" applyAlignment="1" pivotButton="0" quotePrefix="0" xfId="6">
      <alignment horizontal="center"/>
    </xf>
    <xf numFmtId="43" fontId="25" fillId="6" borderId="12" applyAlignment="1" pivotButton="0" quotePrefix="0" xfId="6">
      <alignment horizontal="center"/>
    </xf>
    <xf numFmtId="43" fontId="36" fillId="6" borderId="0" applyAlignment="1" pivotButton="0" quotePrefix="0" xfId="6">
      <alignment vertical="center"/>
    </xf>
    <xf numFmtId="43" fontId="26" fillId="6" borderId="0" applyAlignment="1" pivotButton="0" quotePrefix="0" xfId="6">
      <alignment horizontal="center"/>
    </xf>
    <xf numFmtId="43" fontId="25" fillId="6" borderId="6" applyAlignment="1" pivotButton="0" quotePrefix="0" xfId="6">
      <alignment horizontal="right" vertical="center"/>
    </xf>
    <xf numFmtId="43" fontId="18" fillId="6" borderId="14" pivotButton="0" quotePrefix="0" xfId="6"/>
    <xf numFmtId="43" fontId="18" fillId="6" borderId="3" pivotButton="0" quotePrefix="0" xfId="6"/>
    <xf numFmtId="43" fontId="17" fillId="6" borderId="23" applyAlignment="1" pivotButton="0" quotePrefix="0" xfId="6">
      <alignment horizontal="center"/>
    </xf>
    <xf numFmtId="43" fontId="18" fillId="6" borderId="23" applyAlignment="1" pivotButton="0" quotePrefix="0" xfId="6">
      <alignment horizontal="center"/>
    </xf>
    <xf numFmtId="43" fontId="18" fillId="6" borderId="0" applyAlignment="1" pivotButton="0" quotePrefix="0" xfId="6">
      <alignment horizontal="left"/>
    </xf>
    <xf numFmtId="43" fontId="18" fillId="6" borderId="0" applyAlignment="1" pivotButton="0" quotePrefix="0" xfId="48">
      <alignment horizontal="left" vertical="center"/>
    </xf>
    <xf numFmtId="43" fontId="18" fillId="6" borderId="0" applyAlignment="1" pivotButton="0" quotePrefix="0" xfId="48">
      <alignment horizontal="center" vertical="center"/>
    </xf>
    <xf numFmtId="43" fontId="25" fillId="6" borderId="15" pivotButton="0" quotePrefix="0" xfId="6"/>
    <xf numFmtId="43" fontId="25" fillId="6" borderId="0" pivotButton="0" quotePrefix="0" xfId="6"/>
    <xf numFmtId="43" fontId="25" fillId="6" borderId="18" pivotButton="0" quotePrefix="0" xfId="6"/>
    <xf numFmtId="43" fontId="18" fillId="6" borderId="0" applyAlignment="1" pivotButton="0" quotePrefix="0" xfId="45">
      <alignment vertical="center"/>
    </xf>
    <xf numFmtId="43" fontId="18" fillId="6" borderId="0" pivotButton="0" quotePrefix="0" xfId="47"/>
    <xf numFmtId="43" fontId="18" fillId="6" borderId="20" pivotButton="0" quotePrefix="0" xfId="47"/>
    <xf numFmtId="43" fontId="25" fillId="6" borderId="22" pivotButton="0" quotePrefix="0" xfId="6"/>
    <xf numFmtId="43" fontId="36" fillId="6" borderId="1" pivotButton="0" quotePrefix="0" xfId="6"/>
    <xf numFmtId="43" fontId="18" fillId="6" borderId="1" pivotButton="0" quotePrefix="0" xfId="6"/>
    <xf numFmtId="164" fontId="41" fillId="6" borderId="5" applyAlignment="1" pivotButton="0" quotePrefix="0" xfId="0">
      <alignment horizontal="left" vertical="center"/>
    </xf>
    <xf numFmtId="43" fontId="25" fillId="6" borderId="14" applyAlignment="1" pivotButton="0" quotePrefix="0" xfId="6">
      <alignment horizontal="center" vertical="center"/>
    </xf>
    <xf numFmtId="43" fontId="25" fillId="6" borderId="1" applyAlignment="1" pivotButton="0" quotePrefix="0" xfId="6">
      <alignment horizontal="center" vertical="center"/>
    </xf>
    <xf numFmtId="43" fontId="25" fillId="6" borderId="22" applyAlignment="1" pivotButton="0" quotePrefix="0" xfId="6">
      <alignment horizontal="center" vertical="center"/>
    </xf>
    <xf numFmtId="43" fontId="25" fillId="6" borderId="19" applyAlignment="1" pivotButton="0" quotePrefix="0" xfId="6">
      <alignment horizontal="center" vertical="center"/>
    </xf>
    <xf numFmtId="43" fontId="18" fillId="6" borderId="24" applyAlignment="1" pivotButton="0" quotePrefix="0" xfId="6">
      <alignment horizontal="center"/>
    </xf>
    <xf numFmtId="43" fontId="18" fillId="6" borderId="25" applyAlignment="1" pivotButton="0" quotePrefix="0" xfId="6">
      <alignment horizontal="center"/>
    </xf>
    <xf numFmtId="43" fontId="18" fillId="6" borderId="26" applyAlignment="1" pivotButton="0" quotePrefix="0" xfId="6">
      <alignment horizontal="center"/>
    </xf>
    <xf numFmtId="0" fontId="28" fillId="0" borderId="0" pivotButton="0" quotePrefix="0" xfId="0"/>
    <xf numFmtId="164" fontId="40" fillId="7" borderId="27" applyAlignment="1" pivotButton="0" quotePrefix="0" xfId="0">
      <alignment horizontal="center" vertical="center"/>
    </xf>
    <xf numFmtId="164" fontId="40" fillId="7" borderId="28" applyAlignment="1" pivotButton="0" quotePrefix="0" xfId="0">
      <alignment horizontal="center" vertical="center" wrapText="1"/>
    </xf>
    <xf numFmtId="164" fontId="40" fillId="7" borderId="29" applyAlignment="1" pivotButton="0" quotePrefix="0" xfId="0">
      <alignment horizontal="center" vertical="center" wrapText="1"/>
    </xf>
    <xf numFmtId="164" fontId="40" fillId="7" borderId="30" applyAlignment="1" pivotButton="0" quotePrefix="0" xfId="0">
      <alignment horizontal="center" vertical="center" wrapText="1"/>
    </xf>
    <xf numFmtId="0" fontId="32" fillId="6" borderId="5" applyAlignment="1" pivotButton="0" quotePrefix="0" xfId="6">
      <alignment horizontal="left"/>
    </xf>
    <xf numFmtId="43" fontId="32" fillId="6" borderId="5" applyAlignment="1" pivotButton="0" quotePrefix="0" xfId="6">
      <alignment horizontal="right"/>
    </xf>
    <xf numFmtId="164" fontId="40" fillId="7" borderId="31" applyAlignment="1" pivotButton="0" quotePrefix="0" xfId="0">
      <alignment horizontal="center" vertical="center" wrapText="1"/>
    </xf>
    <xf numFmtId="0" fontId="28" fillId="0" borderId="0" pivotButton="0" quotePrefix="0" xfId="0"/>
    <xf numFmtId="43" fontId="17" fillId="6" borderId="32" applyAlignment="1" pivotButton="0" quotePrefix="0" xfId="6">
      <alignment horizontal="center"/>
    </xf>
    <xf numFmtId="43" fontId="18" fillId="6" borderId="32" applyAlignment="1" pivotButton="0" quotePrefix="0" xfId="6">
      <alignment horizontal="center"/>
    </xf>
    <xf numFmtId="0" fontId="47" fillId="0" borderId="0" applyAlignment="1" pivotButton="0" quotePrefix="0" xfId="0">
      <alignment horizontal="left" vertical="center"/>
    </xf>
    <xf numFmtId="43" fontId="49" fillId="6" borderId="12" applyAlignment="1" pivotButton="0" quotePrefix="0" xfId="6">
      <alignment horizontal="left"/>
    </xf>
    <xf numFmtId="43" fontId="49" fillId="6" borderId="16" applyAlignment="1" pivotButton="0" quotePrefix="0" xfId="6">
      <alignment horizontal="left"/>
    </xf>
    <xf numFmtId="43" fontId="49" fillId="6" borderId="16" pivotButton="0" quotePrefix="0" xfId="47"/>
    <xf numFmtId="43" fontId="49" fillId="6" borderId="19" pivotButton="0" quotePrefix="0" xfId="47"/>
    <xf numFmtId="43" fontId="49" fillId="6" borderId="0" pivotButton="0" quotePrefix="0" xfId="47"/>
    <xf numFmtId="43" fontId="52" fillId="6" borderId="0" applyAlignment="1" pivotButton="0" quotePrefix="0" xfId="6">
      <alignment horizontal="left"/>
    </xf>
    <xf numFmtId="43" fontId="51" fillId="6" borderId="0" pivotButton="0" quotePrefix="0" xfId="6"/>
    <xf numFmtId="43" fontId="51" fillId="6" borderId="0" pivotButton="0" quotePrefix="0" xfId="6"/>
    <xf numFmtId="164" fontId="40" fillId="7" borderId="33" applyAlignment="1" pivotButton="0" quotePrefix="0" xfId="0">
      <alignment horizontal="center" vertical="center" wrapText="1"/>
    </xf>
    <xf numFmtId="164" fontId="18" fillId="9" borderId="34" applyAlignment="1" pivotButton="0" quotePrefix="0" xfId="0">
      <alignment vertical="center"/>
    </xf>
    <xf numFmtId="164" fontId="18" fillId="9" borderId="2" applyAlignment="1" pivotButton="0" quotePrefix="0" xfId="0">
      <alignment vertical="center"/>
    </xf>
    <xf numFmtId="164" fontId="25" fillId="9" borderId="2" applyAlignment="1" pivotButton="0" quotePrefix="0" xfId="0">
      <alignment horizontal="right" vertical="center"/>
    </xf>
    <xf numFmtId="164" fontId="25" fillId="9" borderId="2" applyAlignment="1" pivotButton="0" quotePrefix="0" xfId="0">
      <alignment horizontal="center" vertical="center"/>
    </xf>
    <xf numFmtId="4" fontId="28" fillId="9" borderId="35" pivotButton="0" quotePrefix="0" xfId="0"/>
    <xf numFmtId="164" fontId="8" fillId="9" borderId="36" applyAlignment="1" pivotButton="0" quotePrefix="0" xfId="0">
      <alignment horizontal="left" vertical="center"/>
    </xf>
    <xf numFmtId="164" fontId="18" fillId="9" borderId="37" applyAlignment="1" pivotButton="0" quotePrefix="0" xfId="0">
      <alignment horizontal="center" vertical="center"/>
    </xf>
    <xf numFmtId="164" fontId="18" fillId="9" borderId="38" applyAlignment="1" pivotButton="0" quotePrefix="0" xfId="0">
      <alignment horizontal="center" vertical="center"/>
    </xf>
    <xf numFmtId="43" fontId="35" fillId="9" borderId="39" applyAlignment="1" pivotButton="0" quotePrefix="0" xfId="0">
      <alignment horizontal="left" vertical="center"/>
    </xf>
    <xf numFmtId="4" fontId="43" fillId="9" borderId="40" applyAlignment="1" pivotButton="0" quotePrefix="0" xfId="0">
      <alignment horizontal="center" vertical="center"/>
    </xf>
    <xf numFmtId="164" fontId="8" fillId="9" borderId="41" applyAlignment="1" pivotButton="0" quotePrefix="0" xfId="0">
      <alignment horizontal="left" vertical="center"/>
    </xf>
    <xf numFmtId="164" fontId="18" fillId="9" borderId="42" applyAlignment="1" pivotButton="0" quotePrefix="0" xfId="0">
      <alignment horizontal="center" vertical="center"/>
    </xf>
    <xf numFmtId="164" fontId="18" fillId="9" borderId="43" applyAlignment="1" pivotButton="0" quotePrefix="0" xfId="0">
      <alignment horizontal="center" vertical="center"/>
    </xf>
    <xf numFmtId="43" fontId="35" fillId="9" borderId="44" applyAlignment="1" pivotButton="0" quotePrefix="0" xfId="0">
      <alignment horizontal="left" vertical="center"/>
    </xf>
    <xf numFmtId="4" fontId="43" fillId="9" borderId="45" applyAlignment="1" pivotButton="0" quotePrefix="0" xfId="0">
      <alignment horizontal="center" vertical="center"/>
    </xf>
    <xf numFmtId="165" fontId="18" fillId="9" borderId="46" applyAlignment="1" pivotButton="0" quotePrefix="0" xfId="0">
      <alignment horizontal="center" vertical="center"/>
    </xf>
    <xf numFmtId="9" fontId="18" fillId="9" borderId="47" applyAlignment="1" pivotButton="0" quotePrefix="0" xfId="54">
      <alignment horizontal="center" vertical="center"/>
    </xf>
    <xf numFmtId="165" fontId="18" fillId="9" borderId="48" applyAlignment="1" pivotButton="0" quotePrefix="0" xfId="0">
      <alignment horizontal="center" vertical="center"/>
    </xf>
    <xf numFmtId="164" fontId="18" fillId="9" borderId="48" applyAlignment="1" pivotButton="0" quotePrefix="0" xfId="0">
      <alignment horizontal="center" vertical="center"/>
    </xf>
    <xf numFmtId="165" fontId="18" fillId="9" borderId="42" applyAlignment="1" pivotButton="0" quotePrefix="0" xfId="0">
      <alignment horizontal="center" vertical="center"/>
    </xf>
    <xf numFmtId="166" fontId="18" fillId="9" borderId="48" applyAlignment="1" pivotButton="0" quotePrefix="0" xfId="0">
      <alignment horizontal="center" vertical="center"/>
    </xf>
    <xf numFmtId="164" fontId="18" fillId="9" borderId="46" applyAlignment="1" pivotButton="0" quotePrefix="0" xfId="0">
      <alignment horizontal="center" vertical="center"/>
    </xf>
    <xf numFmtId="164" fontId="8" fillId="9" borderId="49" applyAlignment="1" pivotButton="0" quotePrefix="0" xfId="0">
      <alignment horizontal="left" vertical="center"/>
    </xf>
    <xf numFmtId="164" fontId="18" fillId="9" borderId="32" applyAlignment="1" pivotButton="0" quotePrefix="0" xfId="0">
      <alignment horizontal="center" vertical="center"/>
    </xf>
    <xf numFmtId="164" fontId="18" fillId="9" borderId="50" applyAlignment="1" pivotButton="0" quotePrefix="0" xfId="0">
      <alignment horizontal="center" vertical="center"/>
    </xf>
    <xf numFmtId="164" fontId="18" fillId="9" borderId="51" applyAlignment="1" pivotButton="0" quotePrefix="0" xfId="0">
      <alignment horizontal="center" vertical="center"/>
    </xf>
    <xf numFmtId="9" fontId="18" fillId="9" borderId="52" applyAlignment="1" pivotButton="0" quotePrefix="0" xfId="54">
      <alignment horizontal="center" vertical="center"/>
    </xf>
    <xf numFmtId="43" fontId="35" fillId="9" borderId="53" applyAlignment="1" pivotButton="0" quotePrefix="0" xfId="0">
      <alignment horizontal="left" vertical="center"/>
    </xf>
    <xf numFmtId="164" fontId="18" fillId="9" borderId="54" applyAlignment="1" pivotButton="0" quotePrefix="0" xfId="0">
      <alignment horizontal="center" vertical="center"/>
    </xf>
    <xf numFmtId="4" fontId="43" fillId="9" borderId="55" applyAlignment="1" pivotButton="0" quotePrefix="0" xfId="0">
      <alignment horizontal="center" vertical="center"/>
    </xf>
    <xf numFmtId="9" fontId="18" fillId="9" borderId="56" applyAlignment="1" pivotButton="0" quotePrefix="0" xfId="54">
      <alignment horizontal="center" vertical="center"/>
    </xf>
    <xf numFmtId="164" fontId="18" fillId="9" borderId="57" applyAlignment="1" pivotButton="0" quotePrefix="0" xfId="0">
      <alignment horizontal="center" vertical="center"/>
    </xf>
    <xf numFmtId="0" fontId="23" fillId="9" borderId="0" pivotButton="0" quotePrefix="0" xfId="0"/>
    <xf numFmtId="0" fontId="0" fillId="9" borderId="0" pivotButton="0" quotePrefix="0" xfId="0"/>
    <xf numFmtId="0" fontId="62" fillId="9" borderId="124" pivotButton="0" quotePrefix="0" xfId="0"/>
    <xf numFmtId="0" fontId="23" fillId="9" borderId="125" pivotButton="0" quotePrefix="0" xfId="0"/>
    <xf numFmtId="0" fontId="0" fillId="9" borderId="125" pivotButton="0" quotePrefix="0" xfId="0"/>
    <xf numFmtId="2" fontId="62" fillId="9" borderId="126" pivotButton="0" quotePrefix="0" xfId="0"/>
    <xf numFmtId="0" fontId="62" fillId="9" borderId="127" pivotButton="0" quotePrefix="0" xfId="0"/>
    <xf numFmtId="0" fontId="63" fillId="9" borderId="128" pivotButton="0" quotePrefix="0" xfId="0"/>
    <xf numFmtId="2" fontId="62" fillId="9" borderId="129" pivotButton="0" quotePrefix="0" xfId="0"/>
    <xf numFmtId="0" fontId="62" fillId="9" borderId="130" pivotButton="0" quotePrefix="0" xfId="0"/>
    <xf numFmtId="0" fontId="63" fillId="9" borderId="131" pivotButton="0" quotePrefix="0" xfId="0"/>
    <xf numFmtId="2" fontId="62" fillId="9" borderId="132" pivotButton="0" quotePrefix="0" xfId="0"/>
    <xf numFmtId="2" fontId="62" fillId="10" borderId="133" pivotButton="0" quotePrefix="0" xfId="0"/>
    <xf numFmtId="0" fontId="64" fillId="9" borderId="0" pivotButton="0" quotePrefix="0" xfId="0"/>
    <xf numFmtId="43" fontId="25" fillId="6" borderId="19" applyAlignment="1" pivotButton="0" quotePrefix="0" xfId="6">
      <alignment horizontal="right" vertical="center"/>
    </xf>
    <xf numFmtId="43" fontId="25" fillId="6" borderId="20" applyAlignment="1" pivotButton="0" quotePrefix="0" xfId="6">
      <alignment horizontal="right" vertical="center"/>
    </xf>
    <xf numFmtId="43" fontId="25" fillId="6" borderId="21" applyAlignment="1" pivotButton="0" quotePrefix="0" xfId="6">
      <alignment horizontal="center"/>
    </xf>
    <xf numFmtId="43" fontId="25" fillId="6" borderId="13" applyAlignment="1" pivotButton="0" quotePrefix="0" xfId="6">
      <alignment horizontal="center"/>
    </xf>
    <xf numFmtId="164" fontId="40" fillId="7" borderId="1" applyAlignment="1" pivotButton="0" quotePrefix="0" xfId="0">
      <alignment horizontal="center" vertical="center"/>
    </xf>
    <xf numFmtId="0" fontId="55" fillId="9" borderId="58" applyAlignment="1" pivotButton="0" quotePrefix="0" xfId="46">
      <alignment vertical="center"/>
    </xf>
    <xf numFmtId="0" fontId="55" fillId="9" borderId="59" applyAlignment="1" pivotButton="0" quotePrefix="0" xfId="46">
      <alignment vertical="center"/>
    </xf>
    <xf numFmtId="0" fontId="55" fillId="9" borderId="60" applyAlignment="1" pivotButton="0" quotePrefix="0" xfId="46">
      <alignment vertical="center"/>
    </xf>
    <xf numFmtId="0" fontId="20" fillId="9" borderId="0" applyAlignment="1" pivotButton="0" quotePrefix="0" xfId="46">
      <alignment vertical="center"/>
    </xf>
    <xf numFmtId="0" fontId="55" fillId="9" borderId="61" applyAlignment="1" pivotButton="0" quotePrefix="0" xfId="46">
      <alignment vertical="center"/>
    </xf>
    <xf numFmtId="0" fontId="55" fillId="9" borderId="0" applyAlignment="1" pivotButton="0" quotePrefix="0" xfId="46">
      <alignment vertical="center"/>
    </xf>
    <xf numFmtId="0" fontId="57" fillId="9" borderId="0" applyAlignment="1" pivotButton="0" quotePrefix="0" xfId="46">
      <alignment horizontal="left" vertical="center"/>
    </xf>
    <xf numFmtId="0" fontId="55" fillId="9" borderId="62" applyAlignment="1" pivotButton="0" quotePrefix="0" xfId="46">
      <alignment horizontal="center" vertical="center"/>
    </xf>
    <xf numFmtId="0" fontId="55" fillId="9" borderId="63" applyAlignment="1" pivotButton="0" quotePrefix="0" xfId="46">
      <alignment vertical="center"/>
    </xf>
    <xf numFmtId="0" fontId="55" fillId="9" borderId="64" applyAlignment="1" pivotButton="0" quotePrefix="0" xfId="46">
      <alignment vertical="center"/>
    </xf>
    <xf numFmtId="0" fontId="55" fillId="9" borderId="65" applyAlignment="1" pivotButton="0" quotePrefix="0" xfId="46">
      <alignment horizontal="left" vertical="center"/>
    </xf>
    <xf numFmtId="0" fontId="17" fillId="9" borderId="65" applyAlignment="1" pivotButton="0" quotePrefix="0" xfId="46">
      <alignment horizontal="left" vertical="center"/>
    </xf>
    <xf numFmtId="0" fontId="17" fillId="9" borderId="65" applyAlignment="1" pivotButton="0" quotePrefix="0" xfId="46">
      <alignment horizontal="center" vertical="center"/>
    </xf>
    <xf numFmtId="0" fontId="55" fillId="9" borderId="65" applyAlignment="1" pivotButton="0" quotePrefix="0" xfId="46">
      <alignment vertical="center"/>
    </xf>
    <xf numFmtId="0" fontId="55" fillId="9" borderId="66" applyAlignment="1" pivotButton="0" quotePrefix="0" xfId="46">
      <alignment vertical="center"/>
    </xf>
    <xf numFmtId="0" fontId="57" fillId="9" borderId="61" applyAlignment="1" pivotButton="0" quotePrefix="0" xfId="46">
      <alignment vertical="center"/>
    </xf>
    <xf numFmtId="0" fontId="57" fillId="9" borderId="0" applyAlignment="1" pivotButton="0" quotePrefix="0" xfId="46">
      <alignment vertical="center"/>
    </xf>
    <xf numFmtId="0" fontId="57" fillId="9" borderId="63" applyAlignment="1" pivotButton="0" quotePrefix="0" xfId="46">
      <alignment horizontal="left" vertical="center"/>
    </xf>
    <xf numFmtId="0" fontId="57" fillId="9" borderId="61" applyAlignment="1" pivotButton="0" quotePrefix="0" xfId="46">
      <alignment horizontal="left" vertical="center"/>
    </xf>
    <xf numFmtId="0" fontId="17" fillId="9" borderId="62" applyAlignment="1" pivotButton="0" quotePrefix="0" xfId="46">
      <alignment horizontal="left" vertical="center" indent="1"/>
    </xf>
    <xf numFmtId="0" fontId="21" fillId="9" borderId="67" applyAlignment="1" pivotButton="0" quotePrefix="0" xfId="46">
      <alignment horizontal="left" vertical="center" indent="1"/>
    </xf>
    <xf numFmtId="0" fontId="55" fillId="9" borderId="68" applyAlignment="1" pivotButton="0" quotePrefix="0" xfId="46">
      <alignment horizontal="left" vertical="center" indent="1"/>
    </xf>
    <xf numFmtId="0" fontId="18" fillId="9" borderId="0" applyAlignment="1" pivotButton="0" quotePrefix="0" xfId="46">
      <alignment horizontal="left" vertical="center"/>
    </xf>
    <xf numFmtId="0" fontId="17" fillId="9" borderId="67" applyAlignment="1" pivotButton="0" quotePrefix="0" xfId="46">
      <alignment horizontal="left" vertical="center" indent="1"/>
    </xf>
    <xf numFmtId="0" fontId="57" fillId="9" borderId="69" applyAlignment="1" pivotButton="0" quotePrefix="0" xfId="46">
      <alignment horizontal="left" vertical="center" indent="1"/>
    </xf>
    <xf numFmtId="0" fontId="57" fillId="9" borderId="68" applyAlignment="1" pivotButton="0" quotePrefix="0" xfId="46">
      <alignment horizontal="left" vertical="center" indent="1"/>
    </xf>
    <xf numFmtId="0" fontId="17" fillId="9" borderId="0" applyAlignment="1" pivotButton="0" quotePrefix="0" xfId="46">
      <alignment horizontal="left" vertical="center" indent="1"/>
    </xf>
    <xf numFmtId="0" fontId="57" fillId="9" borderId="0" applyAlignment="1" pivotButton="0" quotePrefix="0" xfId="46">
      <alignment horizontal="left" vertical="center" indent="1"/>
    </xf>
    <xf numFmtId="15" fontId="17" fillId="9" borderId="62" applyAlignment="1" pivotButton="0" quotePrefix="0" xfId="46">
      <alignment horizontal="left" vertical="center" indent="1"/>
    </xf>
    <xf numFmtId="16" fontId="57" fillId="9" borderId="0" applyAlignment="1" pivotButton="0" quotePrefix="0" xfId="46">
      <alignment horizontal="center" vertical="center"/>
    </xf>
    <xf numFmtId="0" fontId="18" fillId="9" borderId="0" applyAlignment="1" pivotButton="0" quotePrefix="0" xfId="46">
      <alignment vertical="center"/>
    </xf>
    <xf numFmtId="0" fontId="17" fillId="9" borderId="0" applyAlignment="1" pivotButton="0" quotePrefix="0" xfId="46">
      <alignment vertical="center"/>
    </xf>
    <xf numFmtId="0" fontId="57" fillId="9" borderId="70" applyAlignment="1" pivotButton="0" quotePrefix="0" xfId="46">
      <alignment vertical="center"/>
    </xf>
    <xf numFmtId="0" fontId="57" fillId="9" borderId="71" applyAlignment="1" pivotButton="0" quotePrefix="0" xfId="46">
      <alignment vertical="center"/>
    </xf>
    <xf numFmtId="0" fontId="57" fillId="9" borderId="72" applyAlignment="1" pivotButton="0" quotePrefix="0" xfId="46">
      <alignment vertical="center"/>
    </xf>
    <xf numFmtId="43" fontId="29" fillId="6" borderId="73" applyAlignment="1" applyProtection="1" pivotButton="0" quotePrefix="0" xfId="7">
      <alignment horizontal="center" vertical="center"/>
      <protection locked="0" hidden="0"/>
    </xf>
    <xf numFmtId="43" fontId="25" fillId="6" borderId="16" pivotButton="0" quotePrefix="0" xfId="6"/>
    <xf numFmtId="43" fontId="18" fillId="6" borderId="74" applyAlignment="1" pivotButton="0" quotePrefix="0" xfId="45">
      <alignment vertical="center"/>
    </xf>
    <xf numFmtId="0" fontId="30" fillId="6" borderId="0" applyAlignment="1" applyProtection="1" pivotButton="0" quotePrefix="0" xfId="7">
      <alignment horizontal="left" vertical="center"/>
      <protection locked="0" hidden="0"/>
    </xf>
    <xf numFmtId="0" fontId="30" fillId="6" borderId="0" applyAlignment="1" applyProtection="1" pivotButton="0" quotePrefix="0" xfId="7">
      <alignment horizontal="center" vertical="center"/>
      <protection locked="0" hidden="0"/>
    </xf>
    <xf numFmtId="0" fontId="31" fillId="6" borderId="0" applyAlignment="1" applyProtection="1" pivotButton="0" quotePrefix="0" xfId="7">
      <alignment horizontal="center" vertical="center"/>
      <protection locked="0" hidden="0"/>
    </xf>
    <xf numFmtId="0" fontId="30" fillId="6" borderId="0" applyAlignment="1" pivotButton="0" quotePrefix="0" xfId="7">
      <alignment horizontal="center" vertical="center"/>
    </xf>
    <xf numFmtId="167" fontId="65" fillId="6" borderId="0" applyAlignment="1" applyProtection="1" pivotButton="0" quotePrefix="0" xfId="7">
      <alignment vertical="center"/>
      <protection locked="0" hidden="0"/>
    </xf>
    <xf numFmtId="0" fontId="29" fillId="6" borderId="0" applyAlignment="1" applyProtection="1" pivotButton="0" quotePrefix="0" xfId="7">
      <alignment horizontal="center" vertical="center"/>
      <protection locked="0" hidden="0"/>
    </xf>
    <xf numFmtId="0" fontId="23" fillId="6" borderId="0" applyAlignment="1" applyProtection="1" pivotButton="0" quotePrefix="0" xfId="7">
      <alignment vertical="center"/>
      <protection locked="0" hidden="0"/>
    </xf>
    <xf numFmtId="167" fontId="29" fillId="6" borderId="0" applyAlignment="1" pivotButton="0" quotePrefix="0" xfId="7">
      <alignment vertical="center"/>
    </xf>
    <xf numFmtId="0" fontId="18" fillId="6" borderId="0" applyAlignment="1" applyProtection="1" pivotButton="0" quotePrefix="0" xfId="7">
      <alignment vertical="center"/>
      <protection locked="0" hidden="0"/>
    </xf>
    <xf numFmtId="1" fontId="20" fillId="6" borderId="0" applyAlignment="1" applyProtection="1" pivotButton="0" quotePrefix="0" xfId="7">
      <alignment horizontal="left" vertical="center"/>
      <protection locked="0" hidden="0"/>
    </xf>
    <xf numFmtId="0" fontId="27" fillId="6" borderId="0" applyAlignment="1" applyProtection="1" pivotButton="0" quotePrefix="0" xfId="7">
      <alignment vertical="center"/>
      <protection locked="0" hidden="0"/>
    </xf>
    <xf numFmtId="167" fontId="23" fillId="6" borderId="0" applyAlignment="1" applyProtection="1" pivotButton="0" quotePrefix="0" xfId="7">
      <alignment vertical="center"/>
      <protection locked="0" hidden="0"/>
    </xf>
    <xf numFmtId="167" fontId="23" fillId="6" borderId="0" applyAlignment="1" pivotButton="0" quotePrefix="0" xfId="7">
      <alignment vertical="center"/>
    </xf>
    <xf numFmtId="167" fontId="18" fillId="6" borderId="0" applyAlignment="1" applyProtection="1" pivotButton="0" quotePrefix="0" xfId="7">
      <alignment vertical="center"/>
      <protection locked="0" hidden="0"/>
    </xf>
    <xf numFmtId="168" fontId="20" fillId="6" borderId="0" applyAlignment="1" pivotButton="0" quotePrefix="0" xfId="7">
      <alignment vertical="center"/>
    </xf>
    <xf numFmtId="168" fontId="23" fillId="6" borderId="0" applyAlignment="1" applyProtection="1" pivotButton="0" quotePrefix="0" xfId="7">
      <alignment vertical="center"/>
      <protection locked="0" hidden="0"/>
    </xf>
    <xf numFmtId="0" fontId="20" fillId="6" borderId="0" applyAlignment="1" applyProtection="1" pivotButton="0" quotePrefix="0" xfId="7">
      <alignment vertical="center"/>
      <protection locked="0" hidden="0"/>
    </xf>
    <xf numFmtId="0" fontId="17" fillId="6" borderId="0" applyAlignment="1" applyProtection="1" pivotButton="0" quotePrefix="0" xfId="7">
      <alignment vertical="center"/>
      <protection locked="0" hidden="0"/>
    </xf>
    <xf numFmtId="1" fontId="24" fillId="6" borderId="0" applyAlignment="1" applyProtection="1" pivotButton="0" quotePrefix="0" xfId="7">
      <alignment horizontal="left" vertical="center"/>
      <protection locked="0" hidden="0"/>
    </xf>
    <xf numFmtId="14" fontId="20" fillId="6" borderId="0" applyAlignment="1" pivotButton="0" quotePrefix="0" xfId="7">
      <alignment horizontal="left" vertical="center"/>
    </xf>
    <xf numFmtId="14" fontId="23" fillId="6" borderId="0" applyAlignment="1" applyProtection="1" pivotButton="0" quotePrefix="0" xfId="7">
      <alignment horizontal="left" vertical="center"/>
      <protection locked="0" hidden="0"/>
    </xf>
    <xf numFmtId="0" fontId="54" fillId="9" borderId="0" applyAlignment="1" pivotButton="0" quotePrefix="0" xfId="7">
      <alignment vertical="center" wrapText="1"/>
    </xf>
    <xf numFmtId="0" fontId="54" fillId="0" borderId="0" applyAlignment="1" pivotButton="0" quotePrefix="0" xfId="7">
      <alignment vertical="center" wrapText="1"/>
    </xf>
    <xf numFmtId="0" fontId="23" fillId="6" borderId="0" applyAlignment="1" applyProtection="1" pivotButton="0" quotePrefix="0" xfId="7">
      <alignment horizontal="left" vertical="center"/>
      <protection locked="0" hidden="0"/>
    </xf>
    <xf numFmtId="167" fontId="23" fillId="9" borderId="0" applyAlignment="1" pivotButton="0" quotePrefix="0" xfId="7">
      <alignment vertical="center"/>
    </xf>
    <xf numFmtId="167" fontId="23" fillId="0" borderId="0" applyAlignment="1" pivotButton="0" quotePrefix="0" xfId="7">
      <alignment vertical="center"/>
    </xf>
    <xf numFmtId="49" fontId="23" fillId="6" borderId="0" applyAlignment="1" applyProtection="1" pivotButton="0" quotePrefix="0" xfId="7">
      <alignment vertical="center"/>
      <protection locked="0" hidden="0"/>
    </xf>
    <xf numFmtId="167" fontId="66" fillId="6" borderId="0" applyAlignment="1" applyProtection="1" pivotButton="0" quotePrefix="0" xfId="7">
      <alignment vertical="center"/>
      <protection locked="0" hidden="0"/>
    </xf>
    <xf numFmtId="167" fontId="67" fillId="6" borderId="0" applyAlignment="1" applyProtection="1" pivotButton="0" quotePrefix="0" xfId="7">
      <alignment vertical="center"/>
      <protection locked="0" hidden="0"/>
    </xf>
    <xf numFmtId="49" fontId="23" fillId="6" borderId="0" applyAlignment="1" pivotButton="0" quotePrefix="0" xfId="7">
      <alignment vertical="center"/>
    </xf>
    <xf numFmtId="167" fontId="68" fillId="6" borderId="0" applyAlignment="1" applyProtection="1" pivotButton="0" quotePrefix="0" xfId="7">
      <alignment vertical="center"/>
      <protection locked="0" hidden="0"/>
    </xf>
    <xf numFmtId="167" fontId="69" fillId="6" borderId="0" applyAlignment="1" applyProtection="1" pivotButton="0" quotePrefix="0" xfId="7">
      <alignment vertical="center"/>
      <protection locked="0" hidden="0"/>
    </xf>
    <xf numFmtId="1" fontId="20" fillId="6" borderId="0" applyAlignment="1" pivotButton="0" quotePrefix="0" xfId="7">
      <alignment horizontal="left" vertical="center"/>
    </xf>
    <xf numFmtId="1" fontId="23" fillId="6" borderId="0" applyAlignment="1" applyProtection="1" pivotButton="0" quotePrefix="0" xfId="7">
      <alignment horizontal="left" vertical="center"/>
      <protection locked="0" hidden="0"/>
    </xf>
    <xf numFmtId="167" fontId="70" fillId="6" borderId="0" applyAlignment="1" applyProtection="1" pivotButton="0" quotePrefix="0" xfId="7">
      <alignment vertical="center"/>
      <protection locked="0" hidden="0"/>
    </xf>
    <xf numFmtId="0" fontId="18" fillId="6" borderId="0" applyAlignment="1" applyProtection="1" pivotButton="0" quotePrefix="0" xfId="7">
      <alignment horizontal="left" vertical="center"/>
      <protection locked="0" hidden="0"/>
    </xf>
    <xf numFmtId="0" fontId="17" fillId="6" borderId="0" applyAlignment="1" applyProtection="1" pivotButton="0" quotePrefix="0" xfId="7">
      <alignment horizontal="center" vertical="center"/>
      <protection locked="0" hidden="0"/>
    </xf>
    <xf numFmtId="0" fontId="17" fillId="6" borderId="0" applyAlignment="1" pivotButton="0" quotePrefix="0" xfId="7">
      <alignment horizontal="center" vertical="center"/>
    </xf>
    <xf numFmtId="0" fontId="18" fillId="6" borderId="0" applyAlignment="1" pivotButton="0" quotePrefix="0" xfId="7">
      <alignment horizontal="left" vertical="center"/>
    </xf>
    <xf numFmtId="0" fontId="18" fillId="6" borderId="0" applyAlignment="1" applyProtection="1" pivotButton="0" quotePrefix="0" xfId="7">
      <alignment horizontal="center" vertical="center"/>
      <protection locked="0" hidden="0"/>
    </xf>
    <xf numFmtId="0" fontId="54" fillId="11" borderId="75" applyAlignment="1" pivotButton="0" quotePrefix="0" xfId="7">
      <alignment vertical="center" wrapText="1"/>
    </xf>
    <xf numFmtId="0" fontId="54" fillId="11" borderId="76" applyAlignment="1" pivotButton="0" quotePrefix="0" xfId="7">
      <alignment vertical="center" wrapText="1"/>
    </xf>
    <xf numFmtId="0" fontId="54" fillId="11" borderId="77" applyAlignment="1" pivotButton="0" quotePrefix="0" xfId="7">
      <alignment vertical="center" wrapText="1"/>
    </xf>
    <xf numFmtId="0" fontId="17" fillId="0" borderId="0" applyAlignment="1" pivotButton="0" quotePrefix="0" xfId="7">
      <alignment horizontal="center" vertical="center"/>
    </xf>
    <xf numFmtId="0" fontId="17" fillId="12" borderId="0" applyAlignment="1" pivotButton="0" quotePrefix="0" xfId="7">
      <alignment horizontal="center" vertical="center" wrapText="1"/>
    </xf>
    <xf numFmtId="0" fontId="29" fillId="6" borderId="0" applyAlignment="1" pivotButton="0" quotePrefix="0" xfId="7">
      <alignment horizontal="left" vertical="center"/>
    </xf>
    <xf numFmtId="0" fontId="48" fillId="13" borderId="134" applyAlignment="1" applyProtection="1" pivotButton="0" quotePrefix="0" xfId="7">
      <alignment horizontal="center" vertical="center" wrapText="1"/>
      <protection locked="0" hidden="0"/>
    </xf>
    <xf numFmtId="0" fontId="48" fillId="13" borderId="135" applyAlignment="1" applyProtection="1" pivotButton="0" quotePrefix="0" xfId="7">
      <alignment horizontal="center" vertical="center" wrapText="1"/>
      <protection locked="0" hidden="0"/>
    </xf>
    <xf numFmtId="0" fontId="48" fillId="13" borderId="136" applyAlignment="1" applyProtection="1" pivotButton="0" quotePrefix="0" xfId="7">
      <alignment horizontal="center" vertical="center" wrapText="1"/>
      <protection locked="0" hidden="0"/>
    </xf>
    <xf numFmtId="0" fontId="54" fillId="11" borderId="78" applyAlignment="1" pivotButton="0" quotePrefix="0" xfId="7">
      <alignment horizontal="center" vertical="center" wrapText="1"/>
    </xf>
    <xf numFmtId="0" fontId="48" fillId="13" borderId="137" applyAlignment="1" applyProtection="1" pivotButton="0" quotePrefix="0" xfId="7">
      <alignment horizontal="center" vertical="center" wrapText="1"/>
      <protection locked="0" hidden="0"/>
    </xf>
    <xf numFmtId="0" fontId="48" fillId="13" borderId="138" applyAlignment="1" applyProtection="1" pivotButton="0" quotePrefix="0" xfId="7">
      <alignment horizontal="center" vertical="center" wrapText="1"/>
      <protection locked="0" hidden="0"/>
    </xf>
    <xf numFmtId="0" fontId="48" fillId="13" borderId="139" applyAlignment="1" applyProtection="1" pivotButton="0" quotePrefix="0" xfId="7">
      <alignment horizontal="center" vertical="center" wrapText="1"/>
      <protection locked="0" hidden="0"/>
    </xf>
    <xf numFmtId="0" fontId="54" fillId="0" borderId="0" applyAlignment="1" pivotButton="0" quotePrefix="0" xfId="7">
      <alignment horizontal="center" vertical="center" wrapText="1"/>
    </xf>
    <xf numFmtId="0" fontId="17" fillId="13" borderId="79" applyAlignment="1" pivotButton="0" quotePrefix="0" xfId="7">
      <alignment horizontal="center" vertical="center" wrapText="1"/>
    </xf>
    <xf numFmtId="0" fontId="48" fillId="13" borderId="80" applyAlignment="1" applyProtection="1" pivotButton="0" quotePrefix="0" xfId="7">
      <alignment horizontal="center" vertical="center" wrapText="1"/>
      <protection locked="0" hidden="0"/>
    </xf>
    <xf numFmtId="0" fontId="20" fillId="6" borderId="140" applyAlignment="1" applyProtection="1" pivotButton="0" quotePrefix="0" xfId="7">
      <alignment horizontal="center" vertical="center"/>
      <protection locked="0" hidden="0"/>
    </xf>
    <xf numFmtId="0" fontId="54" fillId="11" borderId="77" applyAlignment="1" pivotButton="0" quotePrefix="0" xfId="7">
      <alignment horizontal="center" vertical="center" wrapText="1"/>
    </xf>
    <xf numFmtId="0" fontId="54" fillId="11" borderId="76" applyAlignment="1" pivotButton="0" quotePrefix="0" xfId="7">
      <alignment horizontal="center" vertical="center" wrapText="1"/>
    </xf>
    <xf numFmtId="0" fontId="54" fillId="0" borderId="81" applyAlignment="1" pivotButton="0" quotePrefix="0" xfId="7">
      <alignment horizontal="center" vertical="center" wrapText="1"/>
    </xf>
    <xf numFmtId="0" fontId="20" fillId="6" borderId="0" applyAlignment="1" applyProtection="1" pivotButton="0" quotePrefix="0" xfId="7">
      <alignment horizontal="center" vertical="center"/>
      <protection locked="0" hidden="0"/>
    </xf>
    <xf numFmtId="0" fontId="17" fillId="14" borderId="79" applyAlignment="1" pivotButton="0" quotePrefix="0" xfId="7">
      <alignment horizontal="center" vertical="center" wrapText="1"/>
    </xf>
    <xf numFmtId="0" fontId="23" fillId="6" borderId="82" applyAlignment="1" applyProtection="1" pivotButton="0" quotePrefix="0" xfId="7">
      <alignment horizontal="center" vertical="center"/>
      <protection locked="0" hidden="0"/>
    </xf>
    <xf numFmtId="0" fontId="18" fillId="6" borderId="82" applyAlignment="1" applyProtection="1" pivotButton="0" quotePrefix="0" xfId="7">
      <alignment vertical="center"/>
      <protection locked="0" hidden="0"/>
    </xf>
    <xf numFmtId="0" fontId="18" fillId="6" borderId="82" applyAlignment="1" applyProtection="1" pivotButton="0" quotePrefix="0" xfId="7">
      <alignment horizontal="center" vertical="center"/>
      <protection locked="0" hidden="0"/>
    </xf>
    <xf numFmtId="0" fontId="18" fillId="6" borderId="141" applyAlignment="1" applyProtection="1" pivotButton="0" quotePrefix="0" xfId="7">
      <alignment horizontal="center" vertical="center"/>
      <protection locked="0" hidden="0"/>
    </xf>
    <xf numFmtId="43" fontId="45" fillId="6" borderId="83" applyAlignment="1" applyProtection="1" pivotButton="0" quotePrefix="0" xfId="7">
      <alignment horizontal="center" vertical="center"/>
      <protection locked="0" hidden="0"/>
    </xf>
    <xf numFmtId="43" fontId="29" fillId="6" borderId="84" applyAlignment="1" applyProtection="1" pivotButton="0" quotePrefix="0" xfId="7">
      <alignment horizontal="center" vertical="center"/>
      <protection locked="0" hidden="0"/>
    </xf>
    <xf numFmtId="43" fontId="29" fillId="6" borderId="83" applyAlignment="1" applyProtection="1" pivotButton="0" quotePrefix="0" xfId="7">
      <alignment horizontal="center" vertical="center"/>
      <protection locked="0" hidden="0"/>
    </xf>
    <xf numFmtId="169" fontId="23" fillId="6" borderId="85" applyAlignment="1" pivotButton="0" quotePrefix="0" xfId="7">
      <alignment horizontal="center" vertical="center"/>
    </xf>
    <xf numFmtId="43" fontId="29" fillId="6" borderId="86" applyAlignment="1" applyProtection="1" pivotButton="0" quotePrefix="0" xfId="7">
      <alignment horizontal="center" vertical="center"/>
      <protection locked="0" hidden="0"/>
    </xf>
    <xf numFmtId="43" fontId="29" fillId="6" borderId="87" applyAlignment="1" applyProtection="1" pivotButton="0" quotePrefix="0" xfId="7">
      <alignment horizontal="center" vertical="center"/>
      <protection locked="0" hidden="0"/>
    </xf>
    <xf numFmtId="43" fontId="29" fillId="6" borderId="88" applyAlignment="1" applyProtection="1" pivotButton="0" quotePrefix="0" xfId="7">
      <alignment horizontal="center" vertical="center"/>
      <protection locked="0" hidden="0"/>
    </xf>
    <xf numFmtId="169" fontId="23" fillId="6" borderId="89" applyAlignment="1" pivotButton="0" quotePrefix="0" xfId="7">
      <alignment horizontal="center" vertical="center"/>
    </xf>
    <xf numFmtId="43" fontId="29" fillId="6" borderId="90" applyAlignment="1" applyProtection="1" pivotButton="0" quotePrefix="0" xfId="7">
      <alignment horizontal="center" vertical="center"/>
      <protection locked="0" hidden="0"/>
    </xf>
    <xf numFmtId="43" fontId="29" fillId="6" borderId="82" applyAlignment="1" applyProtection="1" pivotButton="0" quotePrefix="0" xfId="7">
      <alignment horizontal="center" vertical="center"/>
      <protection locked="0" hidden="0"/>
    </xf>
    <xf numFmtId="169" fontId="23" fillId="6" borderId="0" applyAlignment="1" pivotButton="0" quotePrefix="0" xfId="7">
      <alignment horizontal="center" vertical="center"/>
    </xf>
    <xf numFmtId="170" fontId="23" fillId="0" borderId="91" applyAlignment="1" pivotButton="0" quotePrefix="0" xfId="7">
      <alignment horizontal="center" vertical="center"/>
    </xf>
    <xf numFmtId="43" fontId="29" fillId="6" borderId="92" applyAlignment="1" applyProtection="1" pivotButton="0" quotePrefix="0" xfId="7">
      <alignment vertical="center"/>
      <protection locked="0" hidden="0"/>
    </xf>
    <xf numFmtId="43" fontId="29" fillId="6" borderId="82" applyAlignment="1" applyProtection="1" pivotButton="0" quotePrefix="0" xfId="7">
      <alignment vertical="center"/>
      <protection locked="0" hidden="0"/>
    </xf>
    <xf numFmtId="43" fontId="44" fillId="6" borderId="142" applyAlignment="1" applyProtection="1" pivotButton="0" quotePrefix="0" xfId="7">
      <alignment vertical="center"/>
      <protection locked="0" hidden="0"/>
    </xf>
    <xf numFmtId="169" fontId="29" fillId="6" borderId="93" applyAlignment="1" pivotButton="0" quotePrefix="0" xfId="7">
      <alignment horizontal="center" vertical="center"/>
    </xf>
    <xf numFmtId="169" fontId="23" fillId="6" borderId="94" applyAlignment="1" pivotButton="0" quotePrefix="0" xfId="7">
      <alignment horizontal="center" vertical="center"/>
    </xf>
    <xf numFmtId="170" fontId="29" fillId="0" borderId="95" applyAlignment="1" pivotButton="0" quotePrefix="0" xfId="7">
      <alignment horizontal="center" vertical="center"/>
    </xf>
    <xf numFmtId="0" fontId="29" fillId="6" borderId="96" applyAlignment="1" applyProtection="1" pivotButton="0" quotePrefix="0" xfId="7">
      <alignment horizontal="center" vertical="center"/>
      <protection locked="0" hidden="0"/>
    </xf>
    <xf numFmtId="0" fontId="23" fillId="6" borderId="86" applyAlignment="1" applyProtection="1" pivotButton="0" quotePrefix="0" xfId="7">
      <alignment horizontal="center" vertical="center"/>
      <protection locked="0" hidden="0"/>
    </xf>
    <xf numFmtId="43" fontId="29" fillId="6" borderId="97" applyAlignment="1" applyProtection="1" pivotButton="0" quotePrefix="0" xfId="7">
      <alignment horizontal="center" vertical="center"/>
      <protection locked="0" hidden="0"/>
    </xf>
    <xf numFmtId="43" fontId="29" fillId="6" borderId="98" applyAlignment="1" applyProtection="1" pivotButton="0" quotePrefix="0" xfId="7">
      <alignment horizontal="center" vertical="center"/>
      <protection locked="0" hidden="0"/>
    </xf>
    <xf numFmtId="43" fontId="29" fillId="6" borderId="99" applyAlignment="1" applyProtection="1" pivotButton="0" quotePrefix="0" xfId="7">
      <alignment vertical="center"/>
      <protection locked="0" hidden="0"/>
    </xf>
    <xf numFmtId="43" fontId="29" fillId="6" borderId="86" applyAlignment="1" applyProtection="1" pivotButton="0" quotePrefix="0" xfId="7">
      <alignment vertical="center"/>
      <protection locked="0" hidden="0"/>
    </xf>
    <xf numFmtId="43" fontId="44" fillId="6" borderId="143" applyAlignment="1" applyProtection="1" pivotButton="0" quotePrefix="0" xfId="7">
      <alignment vertical="center"/>
      <protection locked="0" hidden="0"/>
    </xf>
    <xf numFmtId="0" fontId="29" fillId="6" borderId="100" applyAlignment="1" applyProtection="1" pivotButton="0" quotePrefix="0" xfId="7">
      <alignment horizontal="center" vertical="center"/>
      <protection locked="0" hidden="0"/>
    </xf>
    <xf numFmtId="0" fontId="23" fillId="6" borderId="101" applyAlignment="1" applyProtection="1" pivotButton="0" quotePrefix="0" xfId="7">
      <alignment horizontal="center" vertical="center"/>
      <protection locked="0" hidden="0"/>
    </xf>
    <xf numFmtId="0" fontId="18" fillId="6" borderId="101" applyAlignment="1" applyProtection="1" pivotButton="0" quotePrefix="0" xfId="7">
      <alignment horizontal="center" vertical="center"/>
      <protection locked="0" hidden="0"/>
    </xf>
    <xf numFmtId="43" fontId="29" fillId="6" borderId="102" applyAlignment="1" applyProtection="1" pivotButton="0" quotePrefix="0" xfId="7">
      <alignment horizontal="center" vertical="center"/>
      <protection locked="0" hidden="0"/>
    </xf>
    <xf numFmtId="43" fontId="29" fillId="6" borderId="103" applyAlignment="1" applyProtection="1" pivotButton="0" quotePrefix="0" xfId="7">
      <alignment horizontal="center" vertical="center"/>
      <protection locked="0" hidden="0"/>
    </xf>
    <xf numFmtId="43" fontId="29" fillId="6" borderId="104" applyAlignment="1" applyProtection="1" pivotButton="0" quotePrefix="0" xfId="7">
      <alignment horizontal="center" vertical="center"/>
      <protection locked="0" hidden="0"/>
    </xf>
    <xf numFmtId="43" fontId="29" fillId="6" borderId="101" applyAlignment="1" applyProtection="1" pivotButton="0" quotePrefix="0" xfId="7">
      <alignment horizontal="center" vertical="center"/>
      <protection locked="0" hidden="0"/>
    </xf>
    <xf numFmtId="43" fontId="29" fillId="6" borderId="105" applyAlignment="1" applyProtection="1" pivotButton="0" quotePrefix="0" xfId="7">
      <alignment horizontal="center" vertical="center"/>
      <protection locked="0" hidden="0"/>
    </xf>
    <xf numFmtId="170" fontId="23" fillId="0" borderId="106" applyAlignment="1" pivotButton="0" quotePrefix="0" xfId="7">
      <alignment horizontal="center" vertical="center"/>
    </xf>
    <xf numFmtId="0" fontId="20" fillId="6" borderId="20" applyAlignment="1" applyProtection="1" pivotButton="0" quotePrefix="0" xfId="7">
      <alignment horizontal="left" vertical="center"/>
      <protection locked="0" hidden="0"/>
    </xf>
    <xf numFmtId="0" fontId="18" fillId="6" borderId="20" applyAlignment="1" applyProtection="1" pivotButton="0" quotePrefix="0" xfId="7">
      <alignment vertical="center"/>
      <protection locked="0" hidden="0"/>
    </xf>
    <xf numFmtId="0" fontId="18" fillId="6" borderId="20" applyAlignment="1" applyProtection="1" pivotButton="0" quotePrefix="0" xfId="7">
      <alignment horizontal="center" vertical="center"/>
      <protection locked="0" hidden="0"/>
    </xf>
    <xf numFmtId="43" fontId="23" fillId="6" borderId="20" applyAlignment="1" applyProtection="1" pivotButton="0" quotePrefix="0" xfId="7">
      <alignment horizontal="center" vertical="center"/>
      <protection locked="0" hidden="0"/>
    </xf>
    <xf numFmtId="43" fontId="23" fillId="6" borderId="98" applyAlignment="1" pivotButton="0" quotePrefix="0" xfId="7">
      <alignment horizontal="center" vertical="center"/>
    </xf>
    <xf numFmtId="43" fontId="23" fillId="6" borderId="0" applyAlignment="1" pivotButton="0" quotePrefix="0" xfId="7">
      <alignment horizontal="center" vertical="center"/>
    </xf>
    <xf numFmtId="43" fontId="23" fillId="6" borderId="0" applyAlignment="1" applyProtection="1" pivotButton="0" quotePrefix="0" xfId="7">
      <alignment horizontal="center" vertical="center"/>
      <protection locked="0" hidden="0"/>
    </xf>
    <xf numFmtId="43" fontId="33" fillId="6" borderId="0" applyAlignment="1" applyProtection="1" pivotButton="0" quotePrefix="0" xfId="7">
      <alignment horizontal="center" vertical="center"/>
      <protection locked="0" hidden="0"/>
    </xf>
    <xf numFmtId="43" fontId="29" fillId="6" borderId="0" applyAlignment="1" pivotButton="0" quotePrefix="0" xfId="7">
      <alignment horizontal="center" vertical="center"/>
    </xf>
    <xf numFmtId="43" fontId="46" fillId="6" borderId="0" applyAlignment="1" applyProtection="1" pivotButton="0" quotePrefix="0" xfId="7">
      <alignment horizontal="center" vertical="center"/>
      <protection locked="0" hidden="0"/>
    </xf>
    <xf numFmtId="0" fontId="18" fillId="6" borderId="107" applyAlignment="1" applyProtection="1" pivotButton="0" quotePrefix="0" xfId="7">
      <alignment horizontal="center" vertical="center"/>
      <protection locked="0" hidden="0"/>
    </xf>
    <xf numFmtId="170" fontId="23" fillId="0" borderId="108" applyAlignment="1" pivotButton="0" quotePrefix="0" xfId="7">
      <alignment horizontal="center" vertical="center"/>
    </xf>
    <xf numFmtId="43" fontId="44" fillId="6" borderId="144" applyAlignment="1" applyProtection="1" pivotButton="0" quotePrefix="0" xfId="7">
      <alignment vertical="center"/>
      <protection locked="0" hidden="0"/>
    </xf>
    <xf numFmtId="169" fontId="29" fillId="6" borderId="109" applyAlignment="1" pivotButton="0" quotePrefix="0" xfId="7">
      <alignment horizontal="center" vertical="center"/>
    </xf>
    <xf numFmtId="43" fontId="44" fillId="6" borderId="144" applyAlignment="1" applyProtection="1" pivotButton="0" quotePrefix="0" xfId="7">
      <alignment vertical="center" wrapText="1"/>
      <protection locked="0" hidden="0"/>
    </xf>
    <xf numFmtId="43" fontId="44" fillId="6" borderId="145" applyAlignment="1" applyProtection="1" pivotButton="0" quotePrefix="0" xfId="7">
      <alignment vertical="center"/>
      <protection locked="0" hidden="0"/>
    </xf>
    <xf numFmtId="168" fontId="38" fillId="6" borderId="0" applyAlignment="1" applyProtection="1" pivotButton="0" quotePrefix="0" xfId="7">
      <alignment vertical="center"/>
      <protection locked="0" hidden="0"/>
    </xf>
    <xf numFmtId="0" fontId="23" fillId="0" borderId="0" applyAlignment="1" applyProtection="1" pivotButton="0" quotePrefix="0" xfId="7">
      <alignment vertical="center"/>
      <protection locked="0" hidden="0"/>
    </xf>
    <xf numFmtId="0" fontId="27" fillId="0" borderId="0" applyAlignment="1" applyProtection="1" pivotButton="0" quotePrefix="0" xfId="7">
      <alignment vertical="center"/>
      <protection locked="0" hidden="0"/>
    </xf>
    <xf numFmtId="167" fontId="23" fillId="0" borderId="0" applyAlignment="1" applyProtection="1" pivotButton="0" quotePrefix="0" xfId="7">
      <alignment vertical="center"/>
      <protection locked="0" hidden="0"/>
    </xf>
    <xf numFmtId="168" fontId="20" fillId="0" borderId="0" applyAlignment="1" pivotButton="0" quotePrefix="0" xfId="7">
      <alignment vertical="center"/>
    </xf>
    <xf numFmtId="168" fontId="23" fillId="0" borderId="0" applyAlignment="1" applyProtection="1" pivotButton="0" quotePrefix="0" xfId="7">
      <alignment vertical="center"/>
      <protection locked="0" hidden="0"/>
    </xf>
    <xf numFmtId="49" fontId="30" fillId="6" borderId="0" applyAlignment="1" applyProtection="1" pivotButton="0" quotePrefix="0" xfId="7">
      <alignment horizontal="left" vertical="center"/>
      <protection locked="0" hidden="0"/>
    </xf>
    <xf numFmtId="0" fontId="23" fillId="9" borderId="0" applyAlignment="1" applyProtection="1" pivotButton="0" quotePrefix="0" xfId="7">
      <alignment vertical="center"/>
      <protection locked="0" hidden="0"/>
    </xf>
    <xf numFmtId="0" fontId="21" fillId="6" borderId="0" applyAlignment="1" applyProtection="1" pivotButton="0" quotePrefix="0" xfId="7">
      <alignment horizontal="center" vertical="center"/>
      <protection locked="0" hidden="0"/>
    </xf>
    <xf numFmtId="0" fontId="48" fillId="13" borderId="146" applyAlignment="1" applyProtection="1" pivotButton="0" quotePrefix="0" xfId="7">
      <alignment horizontal="center" vertical="center" wrapText="1"/>
      <protection locked="0" hidden="0"/>
    </xf>
    <xf numFmtId="0" fontId="48" fillId="12" borderId="0" applyAlignment="1" applyProtection="1" pivotButton="0" quotePrefix="0" xfId="7">
      <alignment horizontal="center" vertical="center" wrapText="1"/>
      <protection locked="0" hidden="0"/>
    </xf>
    <xf numFmtId="0" fontId="23" fillId="15" borderId="0" applyAlignment="1" applyProtection="1" pivotButton="0" quotePrefix="0" xfId="7">
      <alignment vertical="center" textRotation="90"/>
      <protection locked="0" hidden="0"/>
    </xf>
    <xf numFmtId="43" fontId="29" fillId="9" borderId="86" applyAlignment="1" applyProtection="1" pivotButton="0" quotePrefix="0" xfId="7">
      <alignment horizontal="center" vertical="center"/>
      <protection locked="0" hidden="0"/>
    </xf>
    <xf numFmtId="43" fontId="29" fillId="9" borderId="73" applyAlignment="1" applyProtection="1" pivotButton="0" quotePrefix="0" xfId="7">
      <alignment horizontal="center" vertical="center"/>
      <protection locked="0" hidden="0"/>
    </xf>
    <xf numFmtId="0" fontId="17" fillId="9" borderId="0" applyAlignment="1" applyProtection="1" pivotButton="0" quotePrefix="0" xfId="7">
      <alignment horizontal="center" vertical="center"/>
      <protection locked="0" hidden="0"/>
    </xf>
    <xf numFmtId="0" fontId="23" fillId="9" borderId="147" applyAlignment="1" applyProtection="1" pivotButton="0" quotePrefix="0" xfId="7">
      <alignment vertical="center"/>
      <protection locked="0" hidden="0"/>
    </xf>
    <xf numFmtId="43" fontId="30" fillId="9" borderId="86" applyAlignment="1" applyProtection="1" pivotButton="0" quotePrefix="0" xfId="7">
      <alignment horizontal="center" vertical="center"/>
      <protection locked="0" hidden="0"/>
    </xf>
    <xf numFmtId="0" fontId="20" fillId="9" borderId="0" applyAlignment="1" applyProtection="1" pivotButton="0" quotePrefix="0" xfId="7">
      <alignment vertical="center"/>
      <protection locked="0" hidden="0"/>
    </xf>
    <xf numFmtId="2" fontId="34" fillId="9" borderId="0" applyAlignment="1" applyProtection="1" pivotButton="0" quotePrefix="0" xfId="7">
      <alignment horizontal="center" vertical="center"/>
      <protection locked="0" hidden="0"/>
    </xf>
    <xf numFmtId="169" fontId="23" fillId="9" borderId="110" applyAlignment="1" pivotButton="0" quotePrefix="0" xfId="7">
      <alignment horizontal="center" vertical="center"/>
    </xf>
    <xf numFmtId="43" fontId="29" fillId="9" borderId="111" applyAlignment="1" pivotButton="0" quotePrefix="0" xfId="7">
      <alignment horizontal="center" vertical="center"/>
    </xf>
    <xf numFmtId="0" fontId="23" fillId="9" borderId="0" applyAlignment="1" applyProtection="1" pivotButton="0" quotePrefix="0" xfId="7">
      <alignment vertical="center"/>
      <protection locked="0" hidden="0"/>
    </xf>
    <xf numFmtId="2" fontId="0" fillId="9" borderId="0" pivotButton="0" quotePrefix="0" xfId="0"/>
    <xf numFmtId="0" fontId="23" fillId="16" borderId="86" applyAlignment="1" applyProtection="1" pivotButton="0" quotePrefix="0" xfId="7">
      <alignment horizontal="center" vertical="center"/>
      <protection locked="0" hidden="0"/>
    </xf>
    <xf numFmtId="0" fontId="18" fillId="16" borderId="82" applyAlignment="1" applyProtection="1" pivotButton="0" quotePrefix="0" xfId="7">
      <alignment vertical="center"/>
      <protection locked="0" hidden="0"/>
    </xf>
    <xf numFmtId="0" fontId="18" fillId="16" borderId="82" applyAlignment="1" applyProtection="1" pivotButton="0" quotePrefix="0" xfId="7">
      <alignment horizontal="center" vertical="center"/>
      <protection locked="0" hidden="0"/>
    </xf>
    <xf numFmtId="49" fontId="29" fillId="9" borderId="97" applyAlignment="1" applyProtection="1" pivotButton="0" quotePrefix="0" xfId="7">
      <alignment horizontal="center" vertical="center"/>
      <protection locked="0" hidden="0"/>
    </xf>
    <xf numFmtId="43" fontId="71" fillId="9" borderId="86" applyAlignment="1" applyProtection="1" pivotButton="0" quotePrefix="0" xfId="7">
      <alignment horizontal="center" vertical="center"/>
      <protection locked="0" hidden="0"/>
    </xf>
    <xf numFmtId="43" fontId="71" fillId="9" borderId="73" applyAlignment="1" applyProtection="1" pivotButton="0" quotePrefix="0" xfId="7">
      <alignment horizontal="center" vertical="center"/>
      <protection locked="0" hidden="0"/>
    </xf>
    <xf numFmtId="43" fontId="72" fillId="9" borderId="86" applyAlignment="1" applyProtection="1" pivotButton="0" quotePrefix="0" xfId="7">
      <alignment horizontal="center" vertical="center"/>
      <protection locked="0" hidden="0"/>
    </xf>
    <xf numFmtId="43" fontId="72" fillId="9" borderId="73" applyAlignment="1" applyProtection="1" pivotButton="0" quotePrefix="0" xfId="7">
      <alignment horizontal="center" vertical="center"/>
      <protection locked="0" hidden="0"/>
    </xf>
    <xf numFmtId="0" fontId="20" fillId="9" borderId="147" applyAlignment="1" applyProtection="1" pivotButton="0" quotePrefix="0" xfId="7">
      <alignment vertical="center"/>
      <protection locked="0" hidden="0"/>
    </xf>
    <xf numFmtId="43" fontId="30" fillId="9" borderId="112" applyAlignment="1" pivotButton="0" quotePrefix="0" xfId="7">
      <alignment horizontal="left" vertical="center" indent="1"/>
    </xf>
    <xf numFmtId="43" fontId="46" fillId="9" borderId="113" applyAlignment="1" pivotButton="0" quotePrefix="0" xfId="7">
      <alignment horizontal="right" vertical="center"/>
    </xf>
    <xf numFmtId="0" fontId="23" fillId="9" borderId="147" applyAlignment="1" applyProtection="1" pivotButton="0" quotePrefix="0" xfId="7">
      <alignment vertical="center"/>
      <protection locked="0" hidden="0"/>
    </xf>
    <xf numFmtId="0" fontId="23" fillId="9" borderId="1" pivotButton="0" quotePrefix="0" xfId="44"/>
    <xf numFmtId="0" fontId="23" fillId="9" borderId="1" pivotButton="0" quotePrefix="0" xfId="44"/>
    <xf numFmtId="0" fontId="23" fillId="9" borderId="147" applyAlignment="1" applyProtection="1" pivotButton="0" quotePrefix="0" xfId="7">
      <alignment horizontal="center" vertical="center"/>
      <protection locked="0" hidden="0"/>
    </xf>
    <xf numFmtId="49" fontId="30" fillId="6" borderId="0" applyAlignment="1" pivotButton="0" quotePrefix="0" xfId="7">
      <alignment horizontal="center" vertical="center"/>
    </xf>
    <xf numFmtId="49" fontId="31" fillId="6" borderId="0" applyAlignment="1" pivotButton="0" quotePrefix="0" xfId="7">
      <alignment horizontal="center" vertical="center"/>
    </xf>
    <xf numFmtId="0" fontId="30" fillId="6" borderId="0" applyAlignment="1" pivotButton="0" quotePrefix="0" xfId="7">
      <alignment horizontal="center" vertical="center"/>
    </xf>
    <xf numFmtId="167" fontId="23" fillId="6" borderId="0" applyAlignment="1" pivotButton="0" quotePrefix="0" xfId="7">
      <alignment vertical="center"/>
    </xf>
    <xf numFmtId="167" fontId="23" fillId="6" borderId="0" applyAlignment="1" applyProtection="1" pivotButton="0" quotePrefix="0" xfId="7">
      <alignment vertical="center"/>
      <protection locked="0" hidden="0"/>
    </xf>
    <xf numFmtId="49" fontId="32" fillId="6" borderId="0" applyAlignment="1" pivotButton="0" quotePrefix="0" xfId="7">
      <alignment horizontal="center" vertical="center"/>
    </xf>
    <xf numFmtId="49" fontId="23" fillId="6" borderId="0" applyAlignment="1" applyProtection="1" pivotButton="0" quotePrefix="0" xfId="7">
      <alignment vertical="center"/>
      <protection locked="0" hidden="0"/>
    </xf>
    <xf numFmtId="1" fontId="20" fillId="6" borderId="0" applyAlignment="1" pivotButton="0" quotePrefix="0" xfId="7">
      <alignment horizontal="left" vertical="center"/>
    </xf>
    <xf numFmtId="0" fontId="23" fillId="6" borderId="0" applyAlignment="1" pivotButton="0" quotePrefix="0" xfId="7">
      <alignment vertical="center"/>
    </xf>
    <xf numFmtId="171" fontId="27" fillId="6" borderId="0" applyAlignment="1" pivotButton="0" quotePrefix="0" xfId="7">
      <alignment vertical="center"/>
    </xf>
    <xf numFmtId="167" fontId="19" fillId="6" borderId="0" applyAlignment="1" pivotButton="0" quotePrefix="0" xfId="7">
      <alignment vertical="center"/>
    </xf>
    <xf numFmtId="1" fontId="24" fillId="6" borderId="0" applyAlignment="1" pivotButton="0" quotePrefix="0" xfId="7">
      <alignment horizontal="left" vertical="center"/>
    </xf>
    <xf numFmtId="0" fontId="23" fillId="6" borderId="0" applyAlignment="1" pivotButton="0" quotePrefix="0" xfId="7">
      <alignment horizontal="left" vertical="center"/>
    </xf>
    <xf numFmtId="0" fontId="17" fillId="6" borderId="0" applyAlignment="1" pivotButton="0" quotePrefix="0" xfId="7">
      <alignment horizontal="center" vertical="center"/>
    </xf>
    <xf numFmtId="0" fontId="54" fillId="9" borderId="0" applyAlignment="1" pivotButton="0" quotePrefix="0" xfId="7">
      <alignment horizontal="center" vertical="center" wrapText="1"/>
    </xf>
    <xf numFmtId="0" fontId="48" fillId="13" borderId="135" applyAlignment="1" pivotButton="0" quotePrefix="0" xfId="7">
      <alignment horizontal="center" vertical="center" wrapText="1"/>
    </xf>
    <xf numFmtId="0" fontId="54" fillId="11" borderId="75" applyAlignment="1" pivotButton="0" quotePrefix="0" xfId="7">
      <alignment horizontal="center" vertical="center" wrapText="1"/>
    </xf>
    <xf numFmtId="0" fontId="54" fillId="11" borderId="77" applyAlignment="1" pivotButton="0" quotePrefix="0" xfId="7">
      <alignment horizontal="center" vertical="center" wrapText="1"/>
    </xf>
    <xf numFmtId="0" fontId="17" fillId="13" borderId="114" applyAlignment="1" pivotButton="0" quotePrefix="0" xfId="7">
      <alignment vertical="center" wrapText="1"/>
    </xf>
    <xf numFmtId="0" fontId="17" fillId="13" borderId="115" applyAlignment="1" pivotButton="0" quotePrefix="0" xfId="7">
      <alignment vertical="center" wrapText="1"/>
    </xf>
    <xf numFmtId="0" fontId="17" fillId="14" borderId="79" applyAlignment="1" pivotButton="0" quotePrefix="0" xfId="7">
      <alignment horizontal="center" vertical="center" wrapText="1"/>
    </xf>
    <xf numFmtId="0" fontId="50" fillId="9" borderId="82" applyAlignment="1" pivotButton="0" quotePrefix="0" xfId="7">
      <alignment vertical="center"/>
    </xf>
    <xf numFmtId="0" fontId="53" fillId="9" borderId="82" applyAlignment="1" pivotButton="0" quotePrefix="0" xfId="7">
      <alignment horizontal="center" vertical="center"/>
    </xf>
    <xf numFmtId="2" fontId="53" fillId="9" borderId="82" applyAlignment="1" pivotButton="0" quotePrefix="0" xfId="7">
      <alignment horizontal="center" vertical="center"/>
    </xf>
    <xf numFmtId="172" fontId="29" fillId="9" borderId="95" applyAlignment="1" pivotButton="0" quotePrefix="0" xfId="7">
      <alignment horizontal="center" vertical="center"/>
    </xf>
    <xf numFmtId="169" fontId="20" fillId="9" borderId="110" applyAlignment="1" pivotButton="0" quotePrefix="0" xfId="7">
      <alignment horizontal="center" vertical="center"/>
    </xf>
    <xf numFmtId="43" fontId="30" fillId="9" borderId="111" applyAlignment="1" pivotButton="0" quotePrefix="0" xfId="7">
      <alignment horizontal="center" vertical="center"/>
    </xf>
    <xf numFmtId="0" fontId="23" fillId="9" borderId="148" applyAlignment="1" applyProtection="1" pivotButton="0" quotePrefix="0" xfId="7">
      <alignment vertical="center"/>
      <protection locked="0" hidden="0"/>
    </xf>
    <xf numFmtId="0" fontId="59" fillId="9" borderId="82" applyAlignment="1" pivotButton="0" quotePrefix="0" xfId="7">
      <alignment vertical="center"/>
    </xf>
    <xf numFmtId="0" fontId="60" fillId="9" borderId="82" applyAlignment="1" pivotButton="0" quotePrefix="0" xfId="7">
      <alignment horizontal="center" vertical="center"/>
    </xf>
    <xf numFmtId="2" fontId="60" fillId="9" borderId="82" applyAlignment="1" pivotButton="0" quotePrefix="0" xfId="7">
      <alignment horizontal="center" vertical="center"/>
    </xf>
    <xf numFmtId="172" fontId="30" fillId="9" borderId="95" applyAlignment="1" pivotButton="0" quotePrefix="0" xfId="7">
      <alignment horizontal="center" vertical="center"/>
    </xf>
    <xf numFmtId="0" fontId="20" fillId="0" borderId="0" pivotButton="0" quotePrefix="0" xfId="0"/>
    <xf numFmtId="169" fontId="23" fillId="9" borderId="110" applyAlignment="1" pivotButton="0" quotePrefix="0" xfId="7">
      <alignment horizontal="center" vertical="center"/>
    </xf>
    <xf numFmtId="0" fontId="18" fillId="9" borderId="0" applyAlignment="1" applyProtection="1" pivotButton="0" quotePrefix="0" xfId="7">
      <alignment horizontal="center" vertical="center"/>
      <protection locked="0" hidden="0"/>
    </xf>
    <xf numFmtId="43" fontId="29" fillId="9" borderId="112" applyAlignment="1" pivotButton="0" quotePrefix="0" xfId="7">
      <alignment horizontal="left" vertical="center" indent="1"/>
    </xf>
    <xf numFmtId="43" fontId="44" fillId="9" borderId="113" applyAlignment="1" pivotButton="0" quotePrefix="0" xfId="7">
      <alignment horizontal="right" vertical="center"/>
    </xf>
    <xf numFmtId="0" fontId="73" fillId="9" borderId="0" pivotButton="0" quotePrefix="0" xfId="0"/>
    <xf numFmtId="43" fontId="29" fillId="9" borderId="116" applyAlignment="1" pivotButton="0" quotePrefix="0" xfId="7">
      <alignment horizontal="center" vertical="center"/>
    </xf>
    <xf numFmtId="43" fontId="73" fillId="17" borderId="1" pivotButton="0" quotePrefix="0" xfId="0"/>
    <xf numFmtId="49" fontId="30" fillId="9" borderId="90" applyAlignment="1" applyProtection="1" pivotButton="0" quotePrefix="0" xfId="7">
      <alignment horizontal="center" vertical="center"/>
      <protection locked="0" hidden="0"/>
    </xf>
    <xf numFmtId="49" fontId="30" fillId="18" borderId="90" applyAlignment="1" applyProtection="1" pivotButton="0" quotePrefix="0" xfId="7">
      <alignment horizontal="center" vertical="center"/>
      <protection locked="0" hidden="0"/>
    </xf>
    <xf numFmtId="0" fontId="23" fillId="9" borderId="0" pivotButton="0" quotePrefix="0" xfId="43"/>
    <xf numFmtId="173" fontId="23" fillId="9" borderId="0" pivotButton="0" quotePrefix="0" xfId="43"/>
    <xf numFmtId="173" fontId="23" fillId="9" borderId="1" pivotButton="0" quotePrefix="0" xfId="43"/>
    <xf numFmtId="174" fontId="23" fillId="9" borderId="1" pivotButton="0" quotePrefix="0" xfId="43"/>
    <xf numFmtId="0" fontId="23" fillId="9" borderId="1" pivotButton="0" quotePrefix="0" xfId="43"/>
    <xf numFmtId="2" fontId="23" fillId="19" borderId="0" pivotButton="0" quotePrefix="0" xfId="43"/>
    <xf numFmtId="0" fontId="23" fillId="19" borderId="0" pivotButton="0" quotePrefix="0" xfId="43"/>
    <xf numFmtId="0" fontId="23" fillId="0" borderId="0" pivotButton="0" quotePrefix="0" xfId="43"/>
    <xf numFmtId="0" fontId="23" fillId="16" borderId="1" pivotButton="0" quotePrefix="0" xfId="43"/>
    <xf numFmtId="4" fontId="23" fillId="0" borderId="1" pivotButton="0" quotePrefix="0" xfId="43"/>
    <xf numFmtId="0" fontId="23" fillId="0" borderId="1" pivotButton="0" quotePrefix="0" xfId="43"/>
    <xf numFmtId="0" fontId="20" fillId="0" borderId="1" pivotButton="0" quotePrefix="0" xfId="43"/>
    <xf numFmtId="4" fontId="20" fillId="0" borderId="1" pivotButton="0" quotePrefix="0" xfId="43"/>
    <xf numFmtId="175" fontId="23" fillId="0" borderId="1" pivotButton="0" quotePrefix="0" xfId="43"/>
    <xf numFmtId="176" fontId="19" fillId="0" borderId="1" pivotButton="0" quotePrefix="0" xfId="43"/>
    <xf numFmtId="49" fontId="19" fillId="0" borderId="1" pivotButton="0" quotePrefix="0" xfId="43"/>
    <xf numFmtId="0" fontId="20" fillId="2" borderId="1" pivotButton="0" quotePrefix="0" xfId="43"/>
    <xf numFmtId="0" fontId="20" fillId="0" borderId="0" pivotButton="0" quotePrefix="0" xfId="43"/>
    <xf numFmtId="176" fontId="19" fillId="19" borderId="1" pivotButton="0" quotePrefix="0" xfId="43"/>
    <xf numFmtId="4" fontId="23" fillId="19" borderId="1" pivotButton="0" quotePrefix="0" xfId="43"/>
    <xf numFmtId="0" fontId="23" fillId="0" borderId="21" pivotButton="0" quotePrefix="0" xfId="43"/>
    <xf numFmtId="0" fontId="23" fillId="0" borderId="20" pivotButton="0" quotePrefix="0" xfId="43"/>
    <xf numFmtId="0" fontId="23" fillId="0" borderId="19" pivotButton="0" quotePrefix="0" xfId="43"/>
    <xf numFmtId="0" fontId="23" fillId="0" borderId="17" pivotButton="0" quotePrefix="0" xfId="43"/>
    <xf numFmtId="176" fontId="23" fillId="0" borderId="0" pivotButton="0" quotePrefix="0" xfId="43"/>
    <xf numFmtId="0" fontId="23" fillId="0" borderId="16" pivotButton="0" quotePrefix="0" xfId="43"/>
    <xf numFmtId="0" fontId="20" fillId="0" borderId="16" pivotButton="0" quotePrefix="0" xfId="43"/>
    <xf numFmtId="9" fontId="48" fillId="13" borderId="139" applyAlignment="1" applyProtection="1" pivotButton="0" quotePrefix="0" xfId="7">
      <alignment horizontal="center" vertical="center" wrapText="1"/>
      <protection locked="0" hidden="0"/>
    </xf>
    <xf numFmtId="167" fontId="20" fillId="6" borderId="0" applyAlignment="1" pivotButton="0" quotePrefix="0" xfId="7">
      <alignment vertical="center"/>
    </xf>
    <xf numFmtId="0" fontId="74" fillId="0" borderId="0" pivotButton="0" quotePrefix="0" xfId="0"/>
    <xf numFmtId="0" fontId="0" fillId="0" borderId="0" pivotButton="0" quotePrefix="0" xfId="0"/>
    <xf numFmtId="43" fontId="30" fillId="6" borderId="98" applyAlignment="1" applyProtection="1" pivotButton="0" quotePrefix="0" xfId="7">
      <alignment horizontal="center" vertical="center"/>
      <protection locked="0" hidden="0"/>
    </xf>
    <xf numFmtId="0" fontId="29" fillId="6" borderId="123" applyAlignment="1" applyProtection="1" pivotButton="0" quotePrefix="0" xfId="7">
      <alignment horizontal="center" vertical="center"/>
      <protection locked="0" hidden="0"/>
    </xf>
    <xf numFmtId="0" fontId="29" fillId="6" borderId="96" applyAlignment="1" applyProtection="1" pivotButton="0" quotePrefix="0" xfId="7">
      <alignment horizontal="center" vertical="center"/>
      <protection locked="0" hidden="0"/>
    </xf>
    <xf numFmtId="0" fontId="30" fillId="6" borderId="96" applyAlignment="1" applyProtection="1" pivotButton="0" quotePrefix="0" xfId="7">
      <alignment horizontal="center" vertical="center"/>
      <protection locked="0" hidden="0"/>
    </xf>
    <xf numFmtId="0" fontId="29" fillId="16" borderId="96" applyAlignment="1" applyProtection="1" pivotButton="0" quotePrefix="0" xfId="7">
      <alignment horizontal="center" vertical="center"/>
      <protection locked="0" hidden="0"/>
    </xf>
    <xf numFmtId="0" fontId="56" fillId="9" borderId="59" applyAlignment="1" pivotButton="0" quotePrefix="0" xfId="46">
      <alignment horizontal="center" vertical="center"/>
    </xf>
    <xf numFmtId="0" fontId="56" fillId="9" borderId="0" applyAlignment="1" pivotButton="0" quotePrefix="0" xfId="46">
      <alignment horizontal="center" vertical="center"/>
    </xf>
    <xf numFmtId="0" fontId="17" fillId="13" borderId="117" applyAlignment="1" pivotButton="0" quotePrefix="0" xfId="7">
      <alignment horizontal="center" vertical="center" wrapText="1"/>
    </xf>
    <xf numFmtId="0" fontId="17" fillId="13" borderId="118" applyAlignment="1" pivotButton="0" quotePrefix="0" xfId="7">
      <alignment horizontal="center" vertical="center" wrapText="1"/>
    </xf>
    <xf numFmtId="0" fontId="17" fillId="13" borderId="119" applyAlignment="1" pivotButton="0" quotePrefix="0" xfId="7">
      <alignment horizontal="center" vertical="center" wrapText="1"/>
    </xf>
    <xf numFmtId="0" fontId="20" fillId="0" borderId="12" applyAlignment="1" pivotButton="0" quotePrefix="0" xfId="43">
      <alignment horizontal="center"/>
    </xf>
    <xf numFmtId="0" fontId="20" fillId="0" borderId="4" applyAlignment="1" pivotButton="0" quotePrefix="0" xfId="43">
      <alignment horizontal="center"/>
    </xf>
    <xf numFmtId="0" fontId="20" fillId="0" borderId="13" applyAlignment="1" pivotButton="0" quotePrefix="0" xfId="43">
      <alignment horizontal="center"/>
    </xf>
    <xf numFmtId="0" fontId="61" fillId="8" borderId="1" applyAlignment="1" pivotButton="0" quotePrefix="0" xfId="43">
      <alignment horizontal="center" vertical="center"/>
    </xf>
    <xf numFmtId="0" fontId="23" fillId="8" borderId="1" pivotButton="0" quotePrefix="0" xfId="43"/>
    <xf numFmtId="0" fontId="23" fillId="8" borderId="1" applyAlignment="1" pivotButton="0" quotePrefix="0" xfId="43">
      <alignment vertical="center" wrapText="1"/>
    </xf>
    <xf numFmtId="0" fontId="23" fillId="0" borderId="1" applyAlignment="1" pivotButton="0" quotePrefix="0" xfId="43">
      <alignment vertical="center" wrapText="1"/>
    </xf>
    <xf numFmtId="0" fontId="20" fillId="8" borderId="14" applyAlignment="1" pivotButton="0" quotePrefix="0" xfId="43">
      <alignment horizontal="center" vertical="center"/>
    </xf>
    <xf numFmtId="0" fontId="20" fillId="0" borderId="3" applyAlignment="1" pivotButton="0" quotePrefix="0" xfId="43">
      <alignment horizontal="center" vertical="center"/>
    </xf>
    <xf numFmtId="0" fontId="20" fillId="0" borderId="6" applyAlignment="1" pivotButton="0" quotePrefix="0" xfId="43">
      <alignment horizontal="center" vertical="center"/>
    </xf>
    <xf numFmtId="164" fontId="40" fillId="7" borderId="120" applyAlignment="1" pivotButton="0" quotePrefix="0" xfId="0">
      <alignment horizontal="center" vertical="center"/>
    </xf>
    <xf numFmtId="164" fontId="40" fillId="7" borderId="121" applyAlignment="1" pivotButton="0" quotePrefix="0" xfId="0">
      <alignment horizontal="center" vertical="center"/>
    </xf>
    <xf numFmtId="164" fontId="40" fillId="7" borderId="122" applyAlignment="1" pivotButton="0" quotePrefix="0" xfId="0">
      <alignment horizontal="center" vertical="center"/>
    </xf>
    <xf numFmtId="43" fontId="25" fillId="6" borderId="14" applyAlignment="1" pivotButton="0" quotePrefix="0" xfId="6">
      <alignment horizontal="center" vertical="center"/>
    </xf>
    <xf numFmtId="43" fontId="25" fillId="6" borderId="3" applyAlignment="1" pivotButton="0" quotePrefix="0" xfId="6">
      <alignment horizontal="center" vertical="center"/>
    </xf>
    <xf numFmtId="43" fontId="25" fillId="6" borderId="6" applyAlignment="1" pivotButton="0" quotePrefix="0" xfId="6">
      <alignment horizontal="center" vertical="center"/>
    </xf>
    <xf numFmtId="164" fontId="40" fillId="7" borderId="14" applyAlignment="1" pivotButton="0" quotePrefix="0" xfId="0">
      <alignment horizontal="center" vertical="center"/>
    </xf>
    <xf numFmtId="164" fontId="40" fillId="7" borderId="3" applyAlignment="1" pivotButton="0" quotePrefix="0" xfId="0">
      <alignment horizontal="center" vertical="center"/>
    </xf>
    <xf numFmtId="164" fontId="40" fillId="7" borderId="6" applyAlignment="1" pivotButton="0" quotePrefix="0" xfId="0">
      <alignment horizontal="center" vertical="center"/>
    </xf>
    <xf numFmtId="43" fontId="25" fillId="6" borderId="0" applyAlignment="1" pivotButton="0" quotePrefix="0" xfId="6">
      <alignment horizontal="center" vertical="center"/>
    </xf>
    <xf numFmtId="43" fontId="25" fillId="6" borderId="14" applyAlignment="1" pivotButton="0" quotePrefix="0" xfId="6">
      <alignment horizontal="center"/>
    </xf>
    <xf numFmtId="43" fontId="25" fillId="6" borderId="3" applyAlignment="1" pivotButton="0" quotePrefix="0" xfId="6">
      <alignment horizontal="center"/>
    </xf>
    <xf numFmtId="43" fontId="25" fillId="6" borderId="6" applyAlignment="1" pivotButton="0" quotePrefix="0" xfId="6">
      <alignment horizontal="center"/>
    </xf>
    <xf numFmtId="43" fontId="25" fillId="6" borderId="1" applyAlignment="1" pivotButton="0" quotePrefix="0" xfId="6">
      <alignment horizontal="center" vertical="center"/>
    </xf>
    <xf numFmtId="0" fontId="0" fillId="0" borderId="59" pivotButton="0" quotePrefix="0" xfId="0"/>
    <xf numFmtId="167" fontId="23" fillId="0" borderId="0" applyAlignment="1" applyProtection="1" pivotButton="0" quotePrefix="0" xfId="7">
      <alignment vertical="center"/>
      <protection locked="0" hidden="0"/>
    </xf>
    <xf numFmtId="167" fontId="23" fillId="0" borderId="0" applyAlignment="1" pivotButton="0" quotePrefix="0" xfId="7">
      <alignment vertical="center"/>
    </xf>
    <xf numFmtId="168" fontId="20" fillId="0" borderId="0" applyAlignment="1" pivotButton="0" quotePrefix="0" xfId="7">
      <alignment vertical="center"/>
    </xf>
    <xf numFmtId="168" fontId="23" fillId="0" borderId="0" applyAlignment="1" applyProtection="1" pivotButton="0" quotePrefix="0" xfId="7">
      <alignment vertical="center"/>
      <protection locked="0" hidden="0"/>
    </xf>
    <xf numFmtId="167" fontId="65" fillId="6" borderId="0" applyAlignment="1" applyProtection="1" pivotButton="0" quotePrefix="0" xfId="7">
      <alignment vertical="center"/>
      <protection locked="0" hidden="0"/>
    </xf>
    <xf numFmtId="167" fontId="29" fillId="6" borderId="0" applyAlignment="1" pivotButton="0" quotePrefix="0" xfId="7">
      <alignment vertical="center"/>
    </xf>
    <xf numFmtId="167" fontId="23" fillId="6" borderId="0" applyAlignment="1" applyProtection="1" pivotButton="0" quotePrefix="0" xfId="7">
      <alignment vertical="center"/>
      <protection locked="0" hidden="0"/>
    </xf>
    <xf numFmtId="167" fontId="23" fillId="6" borderId="0" applyAlignment="1" pivotButton="0" quotePrefix="0" xfId="7">
      <alignment vertical="center"/>
    </xf>
    <xf numFmtId="167" fontId="18" fillId="6" borderId="0" applyAlignment="1" applyProtection="1" pivotButton="0" quotePrefix="0" xfId="7">
      <alignment vertical="center"/>
      <protection locked="0" hidden="0"/>
    </xf>
    <xf numFmtId="168" fontId="20" fillId="6" borderId="0" applyAlignment="1" pivotButton="0" quotePrefix="0" xfId="7">
      <alignment vertical="center"/>
    </xf>
    <xf numFmtId="168" fontId="23" fillId="6" borderId="0" applyAlignment="1" applyProtection="1" pivotButton="0" quotePrefix="0" xfId="7">
      <alignment vertical="center"/>
      <protection locked="0" hidden="0"/>
    </xf>
    <xf numFmtId="167" fontId="20" fillId="6" borderId="0" applyAlignment="1" pivotButton="0" quotePrefix="0" xfId="7">
      <alignment vertical="center"/>
    </xf>
    <xf numFmtId="167" fontId="23" fillId="9" borderId="0" applyAlignment="1" pivotButton="0" quotePrefix="0" xfId="7">
      <alignment vertical="center"/>
    </xf>
    <xf numFmtId="167" fontId="66" fillId="6" borderId="0" applyAlignment="1" applyProtection="1" pivotButton="0" quotePrefix="0" xfId="7">
      <alignment vertical="center"/>
      <protection locked="0" hidden="0"/>
    </xf>
    <xf numFmtId="167" fontId="67" fillId="6" borderId="0" applyAlignment="1" applyProtection="1" pivotButton="0" quotePrefix="0" xfId="7">
      <alignment vertical="center"/>
      <protection locked="0" hidden="0"/>
    </xf>
    <xf numFmtId="167" fontId="68" fillId="6" borderId="0" applyAlignment="1" applyProtection="1" pivotButton="0" quotePrefix="0" xfId="7">
      <alignment vertical="center"/>
      <protection locked="0" hidden="0"/>
    </xf>
    <xf numFmtId="167" fontId="69" fillId="6" borderId="0" applyAlignment="1" applyProtection="1" pivotButton="0" quotePrefix="0" xfId="7">
      <alignment vertical="center"/>
      <protection locked="0" hidden="0"/>
    </xf>
    <xf numFmtId="167" fontId="70" fillId="6" borderId="0" applyAlignment="1" applyProtection="1" pivotButton="0" quotePrefix="0" xfId="7">
      <alignment vertical="center"/>
      <protection locked="0" hidden="0"/>
    </xf>
    <xf numFmtId="0" fontId="17" fillId="13" borderId="80" applyAlignment="1" pivotButton="0" quotePrefix="0" xfId="7">
      <alignment horizontal="center" vertical="center" wrapText="1"/>
    </xf>
    <xf numFmtId="0" fontId="0" fillId="0" borderId="118" pivotButton="0" quotePrefix="0" xfId="0"/>
    <xf numFmtId="0" fontId="0" fillId="0" borderId="119" pivotButton="0" quotePrefix="0" xfId="0"/>
    <xf numFmtId="43" fontId="45" fillId="6" borderId="83" applyAlignment="1" applyProtection="1" pivotButton="0" quotePrefix="0" xfId="7">
      <alignment horizontal="center" vertical="center"/>
      <protection locked="0" hidden="0"/>
    </xf>
    <xf numFmtId="43" fontId="29" fillId="6" borderId="84" applyAlignment="1" applyProtection="1" pivotButton="0" quotePrefix="0" xfId="7">
      <alignment horizontal="center" vertical="center"/>
      <protection locked="0" hidden="0"/>
    </xf>
    <xf numFmtId="43" fontId="29" fillId="6" borderId="83" applyAlignment="1" applyProtection="1" pivotButton="0" quotePrefix="0" xfId="7">
      <alignment horizontal="center" vertical="center"/>
      <protection locked="0" hidden="0"/>
    </xf>
    <xf numFmtId="169" fontId="23" fillId="6" borderId="85" applyAlignment="1" pivotButton="0" quotePrefix="0" xfId="7">
      <alignment horizontal="center" vertical="center"/>
    </xf>
    <xf numFmtId="43" fontId="29" fillId="6" borderId="73" applyAlignment="1" applyProtection="1" pivotButton="0" quotePrefix="0" xfId="7">
      <alignment horizontal="center" vertical="center"/>
      <protection locked="0" hidden="0"/>
    </xf>
    <xf numFmtId="43" fontId="29" fillId="6" borderId="86" applyAlignment="1" applyProtection="1" pivotButton="0" quotePrefix="0" xfId="7">
      <alignment horizontal="center" vertical="center"/>
      <protection locked="0" hidden="0"/>
    </xf>
    <xf numFmtId="43" fontId="29" fillId="6" borderId="87" applyAlignment="1" applyProtection="1" pivotButton="0" quotePrefix="0" xfId="7">
      <alignment horizontal="center" vertical="center"/>
      <protection locked="0" hidden="0"/>
    </xf>
    <xf numFmtId="43" fontId="29" fillId="6" borderId="88" applyAlignment="1" applyProtection="1" pivotButton="0" quotePrefix="0" xfId="7">
      <alignment horizontal="center" vertical="center"/>
      <protection locked="0" hidden="0"/>
    </xf>
    <xf numFmtId="169" fontId="23" fillId="6" borderId="89" applyAlignment="1" pivotButton="0" quotePrefix="0" xfId="7">
      <alignment horizontal="center" vertical="center"/>
    </xf>
    <xf numFmtId="43" fontId="29" fillId="6" borderId="90" applyAlignment="1" applyProtection="1" pivotButton="0" quotePrefix="0" xfId="7">
      <alignment horizontal="center" vertical="center"/>
      <protection locked="0" hidden="0"/>
    </xf>
    <xf numFmtId="43" fontId="29" fillId="6" borderId="82" applyAlignment="1" applyProtection="1" pivotButton="0" quotePrefix="0" xfId="7">
      <alignment horizontal="center" vertical="center"/>
      <protection locked="0" hidden="0"/>
    </xf>
    <xf numFmtId="169" fontId="23" fillId="6" borderId="0" applyAlignment="1" pivotButton="0" quotePrefix="0" xfId="7">
      <alignment horizontal="center" vertical="center"/>
    </xf>
    <xf numFmtId="170" fontId="23" fillId="0" borderId="91" applyAlignment="1" pivotButton="0" quotePrefix="0" xfId="7">
      <alignment horizontal="center" vertical="center"/>
    </xf>
    <xf numFmtId="43" fontId="29" fillId="6" borderId="92" applyAlignment="1" applyProtection="1" pivotButton="0" quotePrefix="0" xfId="7">
      <alignment vertical="center"/>
      <protection locked="0" hidden="0"/>
    </xf>
    <xf numFmtId="43" fontId="29" fillId="6" borderId="82" applyAlignment="1" applyProtection="1" pivotButton="0" quotePrefix="0" xfId="7">
      <alignment vertical="center"/>
      <protection locked="0" hidden="0"/>
    </xf>
    <xf numFmtId="43" fontId="44" fillId="6" borderId="142" applyAlignment="1" applyProtection="1" pivotButton="0" quotePrefix="0" xfId="7">
      <alignment vertical="center"/>
      <protection locked="0" hidden="0"/>
    </xf>
    <xf numFmtId="169" fontId="29" fillId="6" borderId="93" applyAlignment="1" pivotButton="0" quotePrefix="0" xfId="7">
      <alignment horizontal="center" vertical="center"/>
    </xf>
    <xf numFmtId="169" fontId="23" fillId="6" borderId="94" applyAlignment="1" pivotButton="0" quotePrefix="0" xfId="7">
      <alignment horizontal="center" vertical="center"/>
    </xf>
    <xf numFmtId="170" fontId="29" fillId="0" borderId="95" applyAlignment="1" pivotButton="0" quotePrefix="0" xfId="7">
      <alignment horizontal="center" vertical="center"/>
    </xf>
    <xf numFmtId="43" fontId="29" fillId="6" borderId="97" applyAlignment="1" applyProtection="1" pivotButton="0" quotePrefix="0" xfId="7">
      <alignment horizontal="center" vertical="center"/>
      <protection locked="0" hidden="0"/>
    </xf>
    <xf numFmtId="43" fontId="29" fillId="6" borderId="98" applyAlignment="1" applyProtection="1" pivotButton="0" quotePrefix="0" xfId="7">
      <alignment horizontal="center" vertical="center"/>
      <protection locked="0" hidden="0"/>
    </xf>
    <xf numFmtId="43" fontId="29" fillId="6" borderId="99" applyAlignment="1" applyProtection="1" pivotButton="0" quotePrefix="0" xfId="7">
      <alignment vertical="center"/>
      <protection locked="0" hidden="0"/>
    </xf>
    <xf numFmtId="43" fontId="29" fillId="6" borderId="86" applyAlignment="1" applyProtection="1" pivotButton="0" quotePrefix="0" xfId="7">
      <alignment vertical="center"/>
      <protection locked="0" hidden="0"/>
    </xf>
    <xf numFmtId="43" fontId="44" fillId="6" borderId="143" applyAlignment="1" applyProtection="1" pivotButton="0" quotePrefix="0" xfId="7">
      <alignment vertical="center"/>
      <protection locked="0" hidden="0"/>
    </xf>
    <xf numFmtId="43" fontId="30" fillId="6" borderId="98" applyAlignment="1" applyProtection="1" pivotButton="0" quotePrefix="0" xfId="7">
      <alignment horizontal="center" vertical="center"/>
      <protection locked="0" hidden="0"/>
    </xf>
    <xf numFmtId="43" fontId="29" fillId="6" borderId="102" applyAlignment="1" applyProtection="1" pivotButton="0" quotePrefix="0" xfId="7">
      <alignment horizontal="center" vertical="center"/>
      <protection locked="0" hidden="0"/>
    </xf>
    <xf numFmtId="43" fontId="29" fillId="6" borderId="103" applyAlignment="1" applyProtection="1" pivotButton="0" quotePrefix="0" xfId="7">
      <alignment horizontal="center" vertical="center"/>
      <protection locked="0" hidden="0"/>
    </xf>
    <xf numFmtId="43" fontId="29" fillId="6" borderId="104" applyAlignment="1" applyProtection="1" pivotButton="0" quotePrefix="0" xfId="7">
      <alignment horizontal="center" vertical="center"/>
      <protection locked="0" hidden="0"/>
    </xf>
    <xf numFmtId="43" fontId="29" fillId="6" borderId="101" applyAlignment="1" applyProtection="1" pivotButton="0" quotePrefix="0" xfId="7">
      <alignment horizontal="center" vertical="center"/>
      <protection locked="0" hidden="0"/>
    </xf>
    <xf numFmtId="43" fontId="29" fillId="6" borderId="105" applyAlignment="1" applyProtection="1" pivotButton="0" quotePrefix="0" xfId="7">
      <alignment horizontal="center" vertical="center"/>
      <protection locked="0" hidden="0"/>
    </xf>
    <xf numFmtId="170" fontId="23" fillId="0" borderId="106" applyAlignment="1" pivotButton="0" quotePrefix="0" xfId="7">
      <alignment horizontal="center" vertical="center"/>
    </xf>
    <xf numFmtId="43" fontId="23" fillId="6" borderId="20" applyAlignment="1" applyProtection="1" pivotButton="0" quotePrefix="0" xfId="7">
      <alignment horizontal="center" vertical="center"/>
      <protection locked="0" hidden="0"/>
    </xf>
    <xf numFmtId="43" fontId="23" fillId="6" borderId="98" applyAlignment="1" pivotButton="0" quotePrefix="0" xfId="7">
      <alignment horizontal="center" vertical="center"/>
    </xf>
    <xf numFmtId="43" fontId="23" fillId="6" borderId="0" applyAlignment="1" pivotButton="0" quotePrefix="0" xfId="7">
      <alignment horizontal="center" vertical="center"/>
    </xf>
    <xf numFmtId="43" fontId="23" fillId="6" borderId="0" applyAlignment="1" applyProtection="1" pivotButton="0" quotePrefix="0" xfId="7">
      <alignment horizontal="center" vertical="center"/>
      <protection locked="0" hidden="0"/>
    </xf>
    <xf numFmtId="43" fontId="33" fillId="6" borderId="0" applyAlignment="1" applyProtection="1" pivotButton="0" quotePrefix="0" xfId="7">
      <alignment horizontal="center" vertical="center"/>
      <protection locked="0" hidden="0"/>
    </xf>
    <xf numFmtId="43" fontId="29" fillId="6" borderId="0" applyAlignment="1" pivotButton="0" quotePrefix="0" xfId="7">
      <alignment horizontal="center" vertical="center"/>
    </xf>
    <xf numFmtId="43" fontId="46" fillId="6" borderId="0" applyAlignment="1" applyProtection="1" pivotButton="0" quotePrefix="0" xfId="7">
      <alignment horizontal="center" vertical="center"/>
      <protection locked="0" hidden="0"/>
    </xf>
    <xf numFmtId="170" fontId="23" fillId="0" borderId="108" applyAlignment="1" pivotButton="0" quotePrefix="0" xfId="7">
      <alignment horizontal="center" vertical="center"/>
    </xf>
    <xf numFmtId="43" fontId="44" fillId="6" borderId="144" applyAlignment="1" applyProtection="1" pivotButton="0" quotePrefix="0" xfId="7">
      <alignment vertical="center"/>
      <protection locked="0" hidden="0"/>
    </xf>
    <xf numFmtId="169" fontId="29" fillId="6" borderId="109" applyAlignment="1" pivotButton="0" quotePrefix="0" xfId="7">
      <alignment horizontal="center" vertical="center"/>
    </xf>
    <xf numFmtId="43" fontId="44" fillId="6" borderId="144" applyAlignment="1" applyProtection="1" pivotButton="0" quotePrefix="0" xfId="7">
      <alignment vertical="center" wrapText="1"/>
      <protection locked="0" hidden="0"/>
    </xf>
    <xf numFmtId="43" fontId="44" fillId="6" borderId="145" applyAlignment="1" applyProtection="1" pivotButton="0" quotePrefix="0" xfId="7">
      <alignment vertical="center"/>
      <protection locked="0" hidden="0"/>
    </xf>
    <xf numFmtId="168" fontId="38" fillId="6" borderId="0" applyAlignment="1" applyProtection="1" pivotButton="0" quotePrefix="0" xfId="7">
      <alignment vertical="center"/>
      <protection locked="0" hidden="0"/>
    </xf>
    <xf numFmtId="171" fontId="27" fillId="6" borderId="0" applyAlignment="1" pivotButton="0" quotePrefix="0" xfId="7">
      <alignment vertical="center"/>
    </xf>
    <xf numFmtId="167" fontId="19" fillId="6" borderId="0" applyAlignment="1" pivotButton="0" quotePrefix="0" xfId="7">
      <alignment vertical="center"/>
    </xf>
    <xf numFmtId="43" fontId="29" fillId="9" borderId="73" applyAlignment="1" applyProtection="1" pivotButton="0" quotePrefix="0" xfId="7">
      <alignment horizontal="center" vertical="center"/>
      <protection locked="0" hidden="0"/>
    </xf>
    <xf numFmtId="43" fontId="29" fillId="9" borderId="86" applyAlignment="1" applyProtection="1" pivotButton="0" quotePrefix="0" xfId="7">
      <alignment horizontal="center" vertical="center"/>
      <protection locked="0" hidden="0"/>
    </xf>
    <xf numFmtId="169" fontId="23" fillId="9" borderId="110" applyAlignment="1" pivotButton="0" quotePrefix="0" xfId="7">
      <alignment horizontal="center" vertical="center"/>
    </xf>
    <xf numFmtId="43" fontId="29" fillId="9" borderId="111" applyAlignment="1" pivotButton="0" quotePrefix="0" xfId="7">
      <alignment horizontal="center" vertical="center"/>
    </xf>
    <xf numFmtId="43" fontId="30" fillId="9" borderId="112" applyAlignment="1" pivotButton="0" quotePrefix="0" xfId="7">
      <alignment horizontal="left" vertical="center" indent="1"/>
    </xf>
    <xf numFmtId="43" fontId="46" fillId="9" borderId="113" applyAlignment="1" pivotButton="0" quotePrefix="0" xfId="7">
      <alignment horizontal="right" vertical="center"/>
    </xf>
    <xf numFmtId="172" fontId="29" fillId="9" borderId="95" applyAlignment="1" pivotButton="0" quotePrefix="0" xfId="7">
      <alignment horizontal="center" vertical="center"/>
    </xf>
    <xf numFmtId="43" fontId="29" fillId="9" borderId="112" applyAlignment="1" pivotButton="0" quotePrefix="0" xfId="7">
      <alignment horizontal="left" vertical="center" indent="1"/>
    </xf>
    <xf numFmtId="43" fontId="44" fillId="9" borderId="113" applyAlignment="1" pivotButton="0" quotePrefix="0" xfId="7">
      <alignment horizontal="right" vertical="center"/>
    </xf>
    <xf numFmtId="43" fontId="30" fillId="9" borderId="86" applyAlignment="1" applyProtection="1" pivotButton="0" quotePrefix="0" xfId="7">
      <alignment horizontal="center" vertical="center"/>
      <protection locked="0" hidden="0"/>
    </xf>
    <xf numFmtId="43" fontId="30" fillId="9" borderId="111" applyAlignment="1" pivotButton="0" quotePrefix="0" xfId="7">
      <alignment horizontal="center" vertical="center"/>
    </xf>
    <xf numFmtId="43" fontId="71" fillId="9" borderId="86" applyAlignment="1" applyProtection="1" pivotButton="0" quotePrefix="0" xfId="7">
      <alignment horizontal="center" vertical="center"/>
      <protection locked="0" hidden="0"/>
    </xf>
    <xf numFmtId="43" fontId="72" fillId="9" borderId="73" applyAlignment="1" applyProtection="1" pivotButton="0" quotePrefix="0" xfId="7">
      <alignment horizontal="center" vertical="center"/>
      <protection locked="0" hidden="0"/>
    </xf>
    <xf numFmtId="43" fontId="71" fillId="9" borderId="73" applyAlignment="1" applyProtection="1" pivotButton="0" quotePrefix="0" xfId="7">
      <alignment horizontal="center" vertical="center"/>
      <protection locked="0" hidden="0"/>
    </xf>
    <xf numFmtId="43" fontId="72" fillId="9" borderId="86" applyAlignment="1" applyProtection="1" pivotButton="0" quotePrefix="0" xfId="7">
      <alignment horizontal="center" vertical="center"/>
      <protection locked="0" hidden="0"/>
    </xf>
    <xf numFmtId="169" fontId="20" fillId="9" borderId="110" applyAlignment="1" pivotButton="0" quotePrefix="0" xfId="7">
      <alignment horizontal="center" vertical="center"/>
    </xf>
    <xf numFmtId="172" fontId="30" fillId="9" borderId="95" applyAlignment="1" pivotButton="0" quotePrefix="0" xfId="7">
      <alignment horizontal="center" vertical="center"/>
    </xf>
    <xf numFmtId="43" fontId="29" fillId="9" borderId="116" applyAlignment="1" pivotButton="0" quotePrefix="0" xfId="7">
      <alignment horizontal="center" vertical="center"/>
    </xf>
    <xf numFmtId="43" fontId="73" fillId="17" borderId="1" pivotButton="0" quotePrefix="0" xfId="0"/>
    <xf numFmtId="0" fontId="20" fillId="0" borderId="15" applyAlignment="1" pivotButton="0" quotePrefix="0" xfId="43">
      <alignment horizontal="center"/>
    </xf>
    <xf numFmtId="0" fontId="0" fillId="0" borderId="4" pivotButton="0" quotePrefix="0" xfId="0"/>
    <xf numFmtId="0" fontId="0" fillId="0" borderId="13" pivotButton="0" quotePrefix="0" xfId="0"/>
    <xf numFmtId="176" fontId="23" fillId="0" borderId="0" pivotButton="0" quotePrefix="0" xfId="43"/>
    <xf numFmtId="176" fontId="19" fillId="19" borderId="1" pivotButton="0" quotePrefix="0" xfId="43"/>
    <xf numFmtId="175" fontId="23" fillId="0" borderId="1" pivotButton="0" quotePrefix="0" xfId="43"/>
    <xf numFmtId="176" fontId="19" fillId="0" borderId="1" pivotButton="0" quotePrefix="0" xfId="43"/>
    <xf numFmtId="174" fontId="23" fillId="9" borderId="1" pivotButton="0" quotePrefix="0" xfId="43"/>
    <xf numFmtId="173" fontId="23" fillId="9" borderId="1" pivotButton="0" quotePrefix="0" xfId="43"/>
    <xf numFmtId="0" fontId="0" fillId="0" borderId="3" pivotButton="0" quotePrefix="0" xfId="0"/>
    <xf numFmtId="0" fontId="0" fillId="0" borderId="6" pivotButton="0" quotePrefix="0" xfId="0"/>
    <xf numFmtId="0" fontId="0" fillId="0" borderId="22" pivotButton="0" quotePrefix="0" xfId="0"/>
    <xf numFmtId="0" fontId="20" fillId="8" borderId="1" applyAlignment="1" pivotButton="0" quotePrefix="0" xfId="43">
      <alignment horizontal="center" vertical="center"/>
    </xf>
    <xf numFmtId="173" fontId="23" fillId="9" borderId="0" pivotButton="0" quotePrefix="0" xfId="43"/>
    <xf numFmtId="43" fontId="18" fillId="6" borderId="1" pivotButton="0" quotePrefix="0" xfId="6"/>
    <xf numFmtId="43" fontId="36" fillId="6" borderId="1" pivotButton="0" quotePrefix="0" xfId="6"/>
    <xf numFmtId="43" fontId="18" fillId="6" borderId="0" pivotButton="0" quotePrefix="0" xfId="6"/>
    <xf numFmtId="43" fontId="18" fillId="6" borderId="6" pivotButton="0" quotePrefix="0" xfId="6"/>
    <xf numFmtId="43" fontId="37" fillId="6" borderId="0" applyAlignment="1" pivotButton="0" quotePrefix="0" xfId="6">
      <alignment horizontal="left"/>
    </xf>
    <xf numFmtId="164" fontId="41" fillId="6" borderId="5" applyAlignment="1" pivotButton="0" quotePrefix="0" xfId="0">
      <alignment horizontal="left" vertical="center"/>
    </xf>
    <xf numFmtId="43" fontId="18" fillId="6" borderId="5" pivotButton="0" quotePrefix="0" xfId="6"/>
    <xf numFmtId="43" fontId="32" fillId="6" borderId="5" applyAlignment="1" pivotButton="0" quotePrefix="0" xfId="6">
      <alignment horizontal="right"/>
    </xf>
    <xf numFmtId="43" fontId="36" fillId="6" borderId="5" pivotButton="0" quotePrefix="0" xfId="6"/>
    <xf numFmtId="43" fontId="25" fillId="6" borderId="0" applyAlignment="1" pivotButton="0" quotePrefix="0" xfId="6">
      <alignment horizontal="left"/>
    </xf>
    <xf numFmtId="43" fontId="17" fillId="6" borderId="0" applyAlignment="1" pivotButton="0" quotePrefix="0" xfId="6">
      <alignment horizontal="left"/>
    </xf>
    <xf numFmtId="43" fontId="17" fillId="6" borderId="0" pivotButton="0" quotePrefix="0" xfId="6"/>
    <xf numFmtId="43" fontId="36" fillId="6" borderId="0" pivotButton="0" quotePrefix="0" xfId="6"/>
    <xf numFmtId="43" fontId="36" fillId="6" borderId="1" applyAlignment="1" pivotButton="0" quotePrefix="0" xfId="6">
      <alignment horizontal="center" vertical="center"/>
    </xf>
    <xf numFmtId="164" fontId="40" fillId="7" borderId="1" applyAlignment="1" pivotButton="0" quotePrefix="0" xfId="0">
      <alignment horizontal="center" vertical="center"/>
    </xf>
    <xf numFmtId="43" fontId="25" fillId="6" borderId="1" applyAlignment="1" pivotButton="0" quotePrefix="0" xfId="6">
      <alignment horizontal="center" vertical="center"/>
    </xf>
    <xf numFmtId="43" fontId="25" fillId="6" borderId="0" applyAlignment="1" pivotButton="0" quotePrefix="0" xfId="6">
      <alignment horizontal="center"/>
    </xf>
    <xf numFmtId="43" fontId="25" fillId="6" borderId="0" applyAlignment="1" pivotButton="0" quotePrefix="0" xfId="6">
      <alignment horizontal="center" vertical="center"/>
    </xf>
    <xf numFmtId="43" fontId="36" fillId="6" borderId="0" applyAlignment="1" pivotButton="0" quotePrefix="0" xfId="6">
      <alignment horizontal="center" vertical="center"/>
    </xf>
    <xf numFmtId="43" fontId="25" fillId="6" borderId="22" applyAlignment="1" pivotButton="0" quotePrefix="0" xfId="6">
      <alignment horizontal="center" vertical="center"/>
    </xf>
    <xf numFmtId="43" fontId="25" fillId="6" borderId="19" applyAlignment="1" pivotButton="0" quotePrefix="0" xfId="6">
      <alignment horizontal="center" vertical="center"/>
    </xf>
    <xf numFmtId="43" fontId="25" fillId="6" borderId="0" applyAlignment="1" pivotButton="0" quotePrefix="0" xfId="6">
      <alignment vertical="center"/>
    </xf>
    <xf numFmtId="43" fontId="17" fillId="6" borderId="7" applyAlignment="1" pivotButton="0" quotePrefix="0" xfId="6">
      <alignment horizontal="center"/>
    </xf>
    <xf numFmtId="43" fontId="18" fillId="6" borderId="26" applyAlignment="1" pivotButton="0" quotePrefix="0" xfId="6">
      <alignment horizontal="center"/>
    </xf>
    <xf numFmtId="43" fontId="18" fillId="6" borderId="24" applyAlignment="1" pivotButton="0" quotePrefix="0" xfId="6">
      <alignment horizontal="center"/>
    </xf>
    <xf numFmtId="43" fontId="36" fillId="6" borderId="7" applyAlignment="1" pivotButton="0" quotePrefix="0" xfId="6">
      <alignment horizontal="center"/>
    </xf>
    <xf numFmtId="43" fontId="36" fillId="6" borderId="8" applyAlignment="1" pivotButton="0" quotePrefix="0" xfId="6">
      <alignment horizontal="center"/>
    </xf>
    <xf numFmtId="43" fontId="36" fillId="6" borderId="7" applyAlignment="1" pivotButton="0" quotePrefix="0" xfId="6">
      <alignment horizontal="left" vertical="center"/>
    </xf>
    <xf numFmtId="43" fontId="18" fillId="6" borderId="7" applyAlignment="1" pivotButton="0" quotePrefix="0" xfId="6">
      <alignment horizontal="center"/>
    </xf>
    <xf numFmtId="43" fontId="18" fillId="6" borderId="0" applyAlignment="1" pivotButton="0" quotePrefix="0" xfId="6">
      <alignment horizontal="center"/>
    </xf>
    <xf numFmtId="43" fontId="36" fillId="6" borderId="0" applyAlignment="1" pivotButton="0" quotePrefix="0" xfId="6">
      <alignment horizontal="center"/>
    </xf>
    <xf numFmtId="43" fontId="36" fillId="6" borderId="7" applyAlignment="1" pivotButton="0" quotePrefix="0" xfId="6">
      <alignment horizontal="left"/>
    </xf>
    <xf numFmtId="43" fontId="17" fillId="6" borderId="9" applyAlignment="1" pivotButton="0" quotePrefix="0" xfId="6">
      <alignment horizontal="center"/>
    </xf>
    <xf numFmtId="43" fontId="18" fillId="6" borderId="9" applyAlignment="1" pivotButton="0" quotePrefix="0" xfId="6">
      <alignment horizontal="center"/>
    </xf>
    <xf numFmtId="43" fontId="18" fillId="6" borderId="25" applyAlignment="1" pivotButton="0" quotePrefix="0" xfId="6">
      <alignment horizontal="center"/>
    </xf>
    <xf numFmtId="43" fontId="36" fillId="6" borderId="9" applyAlignment="1" pivotButton="0" quotePrefix="0" xfId="6">
      <alignment horizontal="center"/>
    </xf>
    <xf numFmtId="43" fontId="36" fillId="6" borderId="10" applyAlignment="1" pivotButton="0" quotePrefix="0" xfId="6">
      <alignment horizontal="center"/>
    </xf>
    <xf numFmtId="43" fontId="36" fillId="6" borderId="9" applyAlignment="1" pivotButton="0" quotePrefix="0" xfId="6">
      <alignment horizontal="left" vertical="center"/>
    </xf>
    <xf numFmtId="43" fontId="36" fillId="6" borderId="9" applyAlignment="1" pivotButton="0" quotePrefix="0" xfId="6">
      <alignment horizontal="left"/>
    </xf>
    <xf numFmtId="43" fontId="17" fillId="6" borderId="12" applyAlignment="1" pivotButton="0" quotePrefix="0" xfId="6">
      <alignment horizontal="center"/>
    </xf>
    <xf numFmtId="43" fontId="18" fillId="6" borderId="4" applyAlignment="1" pivotButton="0" quotePrefix="0" xfId="6">
      <alignment horizontal="center"/>
    </xf>
    <xf numFmtId="43" fontId="26" fillId="6" borderId="4" applyAlignment="1" pivotButton="0" quotePrefix="0" xfId="6">
      <alignment horizontal="right" vertical="center"/>
    </xf>
    <xf numFmtId="43" fontId="26" fillId="6" borderId="4" applyAlignment="1" pivotButton="0" quotePrefix="0" xfId="6">
      <alignment horizontal="center"/>
    </xf>
    <xf numFmtId="43" fontId="26" fillId="6" borderId="13" applyAlignment="1" pivotButton="0" quotePrefix="0" xfId="6">
      <alignment horizontal="center"/>
    </xf>
    <xf numFmtId="43" fontId="36" fillId="6" borderId="4" applyAlignment="1" pivotButton="0" quotePrefix="0" xfId="6">
      <alignment horizontal="center"/>
    </xf>
    <xf numFmtId="43" fontId="17" fillId="6" borderId="4" applyAlignment="1" pivotButton="0" quotePrefix="0" xfId="6">
      <alignment horizontal="center"/>
    </xf>
    <xf numFmtId="43" fontId="18" fillId="6" borderId="13" applyAlignment="1" pivotButton="0" quotePrefix="0" xfId="6">
      <alignment horizontal="center"/>
    </xf>
    <xf numFmtId="43" fontId="25" fillId="6" borderId="14" applyAlignment="1" pivotButton="0" quotePrefix="0" xfId="6">
      <alignment horizontal="right" vertical="center"/>
    </xf>
    <xf numFmtId="43" fontId="25" fillId="6" borderId="3" applyAlignment="1" pivotButton="0" quotePrefix="0" xfId="6">
      <alignment horizontal="right" vertical="center"/>
    </xf>
    <xf numFmtId="43" fontId="25" fillId="6" borderId="6" applyAlignment="1" pivotButton="0" quotePrefix="0" xfId="6">
      <alignment horizontal="center"/>
    </xf>
    <xf numFmtId="43" fontId="17" fillId="6" borderId="14" applyAlignment="1" pivotButton="0" quotePrefix="0" xfId="6">
      <alignment horizontal="right"/>
    </xf>
    <xf numFmtId="43" fontId="25" fillId="6" borderId="3" applyAlignment="1" pivotButton="0" quotePrefix="0" xfId="6">
      <alignment horizontal="right"/>
    </xf>
    <xf numFmtId="43" fontId="26" fillId="6" borderId="15" applyAlignment="1" pivotButton="0" quotePrefix="0" xfId="6">
      <alignment horizontal="center"/>
    </xf>
    <xf numFmtId="43" fontId="17" fillId="6" borderId="1" applyAlignment="1" pivotButton="0" quotePrefix="0" xfId="6">
      <alignment horizontal="right"/>
    </xf>
    <xf numFmtId="43" fontId="25" fillId="6" borderId="14" applyAlignment="1" pivotButton="0" quotePrefix="0" xfId="6">
      <alignment horizontal="right"/>
    </xf>
    <xf numFmtId="43" fontId="36" fillId="6" borderId="12" pivotButton="0" quotePrefix="0" xfId="6"/>
    <xf numFmtId="43" fontId="18" fillId="6" borderId="16" pivotButton="0" quotePrefix="0" xfId="6"/>
    <xf numFmtId="43" fontId="36" fillId="6" borderId="0" applyAlignment="1" pivotButton="0" quotePrefix="0" xfId="6">
      <alignment horizontal="right" vertical="center"/>
    </xf>
    <xf numFmtId="43" fontId="25" fillId="6" borderId="17" applyAlignment="1" pivotButton="0" quotePrefix="0" xfId="6">
      <alignment horizontal="center"/>
    </xf>
    <xf numFmtId="43" fontId="17" fillId="6" borderId="0" applyAlignment="1" pivotButton="0" quotePrefix="0" xfId="6">
      <alignment horizontal="center"/>
    </xf>
    <xf numFmtId="43" fontId="25" fillId="6" borderId="18" applyAlignment="1" pivotButton="0" quotePrefix="0" xfId="6">
      <alignment horizontal="center"/>
    </xf>
    <xf numFmtId="43" fontId="18" fillId="6" borderId="19" pivotButton="0" quotePrefix="0" xfId="6"/>
    <xf numFmtId="43" fontId="18" fillId="6" borderId="20" pivotButton="0" quotePrefix="0" xfId="6"/>
    <xf numFmtId="43" fontId="26" fillId="6" borderId="20" applyAlignment="1" pivotButton="0" quotePrefix="0" xfId="6">
      <alignment horizontal="right" vertical="center"/>
    </xf>
    <xf numFmtId="43" fontId="22" fillId="6" borderId="21" applyAlignment="1" pivotButton="0" quotePrefix="0" xfId="6">
      <alignment horizontal="center"/>
    </xf>
    <xf numFmtId="43" fontId="26" fillId="6" borderId="0" applyAlignment="1" pivotButton="0" quotePrefix="0" xfId="6">
      <alignment horizontal="right" vertical="center"/>
    </xf>
    <xf numFmtId="43" fontId="22" fillId="6" borderId="0" applyAlignment="1" pivotButton="0" quotePrefix="0" xfId="6">
      <alignment horizontal="center"/>
    </xf>
    <xf numFmtId="43" fontId="26" fillId="6" borderId="22" applyAlignment="1" pivotButton="0" quotePrefix="0" xfId="6">
      <alignment horizontal="center"/>
    </xf>
    <xf numFmtId="43" fontId="18" fillId="6" borderId="4" pivotButton="0" quotePrefix="0" xfId="6"/>
    <xf numFmtId="43" fontId="25" fillId="6" borderId="0" pivotButton="0" quotePrefix="0" xfId="6"/>
    <xf numFmtId="43" fontId="25" fillId="6" borderId="0" applyAlignment="1" pivotButton="0" quotePrefix="0" xfId="6">
      <alignment horizontal="right" vertical="center"/>
    </xf>
    <xf numFmtId="43" fontId="25" fillId="6" borderId="1" applyAlignment="1" pivotButton="0" quotePrefix="0" xfId="6">
      <alignment horizontal="center"/>
    </xf>
    <xf numFmtId="43" fontId="22" fillId="6" borderId="20" applyAlignment="1" pivotButton="0" quotePrefix="0" xfId="6">
      <alignment horizontal="center"/>
    </xf>
    <xf numFmtId="43" fontId="25" fillId="6" borderId="14" applyAlignment="1" pivotButton="0" quotePrefix="0" xfId="6">
      <alignment horizontal="center" vertical="center"/>
    </xf>
    <xf numFmtId="43" fontId="36" fillId="6" borderId="7" applyAlignment="1" pivotButton="0" quotePrefix="0" xfId="6">
      <alignment vertical="center"/>
    </xf>
    <xf numFmtId="43" fontId="36" fillId="6" borderId="9" applyAlignment="1" pivotButton="0" quotePrefix="0" xfId="6">
      <alignment vertical="center"/>
    </xf>
    <xf numFmtId="43" fontId="36" fillId="6" borderId="11" applyAlignment="1" pivotButton="0" quotePrefix="0" xfId="6">
      <alignment vertical="center"/>
    </xf>
    <xf numFmtId="43" fontId="18" fillId="6" borderId="11" applyAlignment="1" pivotButton="0" quotePrefix="0" xfId="6">
      <alignment horizontal="center"/>
    </xf>
    <xf numFmtId="43" fontId="36" fillId="6" borderId="11" applyAlignment="1" pivotButton="0" quotePrefix="0" xfId="6">
      <alignment horizontal="left"/>
    </xf>
    <xf numFmtId="43" fontId="36" fillId="6" borderId="11" applyAlignment="1" pivotButton="0" quotePrefix="0" xfId="6">
      <alignment horizontal="center"/>
    </xf>
    <xf numFmtId="43" fontId="25" fillId="6" borderId="4" applyAlignment="1" pivotButton="0" quotePrefix="0" xfId="6">
      <alignment horizontal="center"/>
    </xf>
    <xf numFmtId="43" fontId="36" fillId="6" borderId="14" pivotButton="0" quotePrefix="0" xfId="6"/>
    <xf numFmtId="43" fontId="36" fillId="6" borderId="3" pivotButton="0" quotePrefix="0" xfId="6"/>
    <xf numFmtId="43" fontId="18" fillId="6" borderId="12" pivotButton="0" quotePrefix="0" xfId="6"/>
    <xf numFmtId="43" fontId="17" fillId="6" borderId="0" applyAlignment="1" pivotButton="0" quotePrefix="0" xfId="6">
      <alignment horizontal="right"/>
    </xf>
    <xf numFmtId="43" fontId="25" fillId="6" borderId="0" applyAlignment="1" pivotButton="0" quotePrefix="0" xfId="6">
      <alignment horizontal="right"/>
    </xf>
    <xf numFmtId="43" fontId="25" fillId="6" borderId="19" applyAlignment="1" pivotButton="0" quotePrefix="0" xfId="6">
      <alignment horizontal="right" vertical="center"/>
    </xf>
    <xf numFmtId="43" fontId="25" fillId="6" borderId="20" applyAlignment="1" pivotButton="0" quotePrefix="0" xfId="6">
      <alignment horizontal="right" vertical="center"/>
    </xf>
    <xf numFmtId="43" fontId="25" fillId="6" borderId="21" applyAlignment="1" pivotButton="0" quotePrefix="0" xfId="6">
      <alignment horizontal="center"/>
    </xf>
    <xf numFmtId="164" fontId="40" fillId="7" borderId="31" applyAlignment="1" pivotButton="0" quotePrefix="0" xfId="0">
      <alignment horizontal="center" vertical="center" wrapText="1"/>
    </xf>
    <xf numFmtId="43" fontId="36" fillId="6" borderId="0" applyAlignment="1" pivotButton="0" quotePrefix="0" xfId="6">
      <alignment horizontal="left"/>
    </xf>
    <xf numFmtId="43" fontId="17" fillId="6" borderId="14" applyAlignment="1" pivotButton="0" quotePrefix="0" xfId="6">
      <alignment horizontal="center"/>
    </xf>
    <xf numFmtId="43" fontId="18" fillId="6" borderId="3" applyAlignment="1" pivotButton="0" quotePrefix="0" xfId="6">
      <alignment horizontal="center"/>
    </xf>
    <xf numFmtId="43" fontId="26" fillId="6" borderId="3" applyAlignment="1" pivotButton="0" quotePrefix="0" xfId="6">
      <alignment horizontal="right" vertical="center"/>
    </xf>
    <xf numFmtId="43" fontId="26" fillId="6" borderId="3" applyAlignment="1" pivotButton="0" quotePrefix="0" xfId="6">
      <alignment horizontal="center"/>
    </xf>
    <xf numFmtId="43" fontId="26" fillId="6" borderId="6" applyAlignment="1" pivotButton="0" quotePrefix="0" xfId="6">
      <alignment horizontal="center"/>
    </xf>
    <xf numFmtId="43" fontId="25" fillId="6" borderId="12" applyAlignment="1" pivotButton="0" quotePrefix="0" xfId="6">
      <alignment horizontal="center"/>
    </xf>
    <xf numFmtId="43" fontId="36" fillId="6" borderId="0" applyAlignment="1" pivotButton="0" quotePrefix="0" xfId="6">
      <alignment vertical="center"/>
    </xf>
    <xf numFmtId="43" fontId="26" fillId="6" borderId="0" applyAlignment="1" pivotButton="0" quotePrefix="0" xfId="6">
      <alignment horizontal="center"/>
    </xf>
    <xf numFmtId="43" fontId="25" fillId="6" borderId="6" applyAlignment="1" pivotButton="0" quotePrefix="0" xfId="6">
      <alignment horizontal="right" vertical="center"/>
    </xf>
    <xf numFmtId="43" fontId="18" fillId="6" borderId="14" pivotButton="0" quotePrefix="0" xfId="6"/>
    <xf numFmtId="43" fontId="18" fillId="6" borderId="3" pivotButton="0" quotePrefix="0" xfId="6"/>
    <xf numFmtId="164" fontId="40" fillId="7" borderId="150" applyAlignment="1" pivotButton="0" quotePrefix="0" xfId="0">
      <alignment horizontal="center" vertical="center"/>
    </xf>
    <xf numFmtId="0" fontId="0" fillId="0" borderId="121" pivotButton="0" quotePrefix="0" xfId="0"/>
    <xf numFmtId="0" fontId="0" fillId="0" borderId="122" pivotButton="0" quotePrefix="0" xfId="0"/>
    <xf numFmtId="164" fontId="40" fillId="7" borderId="27" applyAlignment="1" pivotButton="0" quotePrefix="0" xfId="0">
      <alignment horizontal="center" vertical="center"/>
    </xf>
    <xf numFmtId="164" fontId="40" fillId="7" borderId="28" applyAlignment="1" pivotButton="0" quotePrefix="0" xfId="0">
      <alignment horizontal="center" vertical="center" wrapText="1"/>
    </xf>
    <xf numFmtId="164" fontId="40" fillId="7" borderId="29" applyAlignment="1" pivotButton="0" quotePrefix="0" xfId="0">
      <alignment horizontal="center" vertical="center" wrapText="1"/>
    </xf>
    <xf numFmtId="164" fontId="40" fillId="7" borderId="30" applyAlignment="1" pivotButton="0" quotePrefix="0" xfId="0">
      <alignment horizontal="center" vertical="center" wrapText="1"/>
    </xf>
    <xf numFmtId="164" fontId="40" fillId="7" borderId="33" applyAlignment="1" pivotButton="0" quotePrefix="0" xfId="0">
      <alignment horizontal="center" vertical="center" wrapText="1"/>
    </xf>
    <xf numFmtId="164" fontId="8" fillId="9" borderId="36" applyAlignment="1" pivotButton="0" quotePrefix="0" xfId="0">
      <alignment horizontal="left" vertical="center"/>
    </xf>
    <xf numFmtId="164" fontId="18" fillId="9" borderId="37" applyAlignment="1" pivotButton="0" quotePrefix="0" xfId="0">
      <alignment horizontal="center" vertical="center"/>
    </xf>
    <xf numFmtId="164" fontId="18" fillId="9" borderId="38" applyAlignment="1" pivotButton="0" quotePrefix="0" xfId="0">
      <alignment horizontal="center" vertical="center"/>
    </xf>
    <xf numFmtId="164" fontId="18" fillId="9" borderId="57" applyAlignment="1" pivotButton="0" quotePrefix="0" xfId="0">
      <alignment horizontal="center" vertical="center"/>
    </xf>
    <xf numFmtId="43" fontId="35" fillId="9" borderId="39" applyAlignment="1" pivotButton="0" quotePrefix="0" xfId="0">
      <alignment horizontal="left" vertical="center"/>
    </xf>
    <xf numFmtId="164" fontId="8" fillId="9" borderId="41" applyAlignment="1" pivotButton="0" quotePrefix="0" xfId="0">
      <alignment horizontal="left" vertical="center"/>
    </xf>
    <xf numFmtId="164" fontId="18" fillId="9" borderId="42" applyAlignment="1" pivotButton="0" quotePrefix="0" xfId="0">
      <alignment horizontal="center" vertical="center"/>
    </xf>
    <xf numFmtId="164" fontId="18" fillId="9" borderId="43" applyAlignment="1" pivotButton="0" quotePrefix="0" xfId="0">
      <alignment horizontal="center" vertical="center"/>
    </xf>
    <xf numFmtId="164" fontId="18" fillId="9" borderId="48" applyAlignment="1" pivotButton="0" quotePrefix="0" xfId="0">
      <alignment horizontal="center" vertical="center"/>
    </xf>
    <xf numFmtId="43" fontId="35" fillId="9" borderId="44" applyAlignment="1" pivotButton="0" quotePrefix="0" xfId="0">
      <alignment horizontal="left" vertical="center"/>
    </xf>
    <xf numFmtId="165" fontId="18" fillId="9" borderId="46" applyAlignment="1" pivotButton="0" quotePrefix="0" xfId="0">
      <alignment horizontal="center" vertical="center"/>
    </xf>
    <xf numFmtId="166" fontId="18" fillId="9" borderId="48" applyAlignment="1" pivotButton="0" quotePrefix="0" xfId="0">
      <alignment horizontal="center" vertical="center"/>
    </xf>
    <xf numFmtId="165" fontId="18" fillId="9" borderId="48" applyAlignment="1" pivotButton="0" quotePrefix="0" xfId="0">
      <alignment horizontal="center" vertical="center"/>
    </xf>
    <xf numFmtId="165" fontId="18" fillId="9" borderId="42" applyAlignment="1" pivotButton="0" quotePrefix="0" xfId="0">
      <alignment horizontal="center" vertical="center"/>
    </xf>
    <xf numFmtId="164" fontId="18" fillId="9" borderId="46" applyAlignment="1" pivotButton="0" quotePrefix="0" xfId="0">
      <alignment horizontal="center" vertical="center"/>
    </xf>
    <xf numFmtId="164" fontId="8" fillId="9" borderId="49" applyAlignment="1" pivotButton="0" quotePrefix="0" xfId="0">
      <alignment horizontal="left" vertical="center"/>
    </xf>
    <xf numFmtId="164" fontId="18" fillId="9" borderId="32" applyAlignment="1" pivotButton="0" quotePrefix="0" xfId="0">
      <alignment horizontal="center" vertical="center"/>
    </xf>
    <xf numFmtId="164" fontId="18" fillId="9" borderId="50" applyAlignment="1" pivotButton="0" quotePrefix="0" xfId="0">
      <alignment horizontal="center" vertical="center"/>
    </xf>
    <xf numFmtId="164" fontId="18" fillId="9" borderId="51" applyAlignment="1" pivotButton="0" quotePrefix="0" xfId="0">
      <alignment horizontal="center" vertical="center"/>
    </xf>
    <xf numFmtId="43" fontId="35" fillId="9" borderId="53" applyAlignment="1" pivotButton="0" quotePrefix="0" xfId="0">
      <alignment horizontal="left" vertical="center"/>
    </xf>
    <xf numFmtId="164" fontId="18" fillId="9" borderId="54" applyAlignment="1" pivotButton="0" quotePrefix="0" xfId="0">
      <alignment horizontal="center" vertical="center"/>
    </xf>
    <xf numFmtId="164" fontId="18" fillId="9" borderId="34" applyAlignment="1" pivotButton="0" quotePrefix="0" xfId="0">
      <alignment vertical="center"/>
    </xf>
    <xf numFmtId="164" fontId="18" fillId="9" borderId="2" applyAlignment="1" pivotButton="0" quotePrefix="0" xfId="0">
      <alignment vertical="center"/>
    </xf>
    <xf numFmtId="164" fontId="25" fillId="9" borderId="2" applyAlignment="1" pivotButton="0" quotePrefix="0" xfId="0">
      <alignment horizontal="right" vertical="center"/>
    </xf>
    <xf numFmtId="164" fontId="25" fillId="9" borderId="2" applyAlignment="1" pivotButton="0" quotePrefix="0" xfId="0">
      <alignment horizontal="center" vertical="center"/>
    </xf>
    <xf numFmtId="43" fontId="18" fillId="6" borderId="0" applyAlignment="1" pivotButton="0" quotePrefix="0" xfId="48">
      <alignment horizontal="left" vertical="center"/>
    </xf>
    <xf numFmtId="43" fontId="18" fillId="6" borderId="0" applyAlignment="1" pivotButton="0" quotePrefix="0" xfId="48">
      <alignment horizontal="center" vertical="center"/>
    </xf>
    <xf numFmtId="43" fontId="18" fillId="6" borderId="0" applyAlignment="1" pivotButton="0" quotePrefix="0" xfId="6">
      <alignment vertical="center"/>
    </xf>
    <xf numFmtId="43" fontId="25" fillId="6" borderId="13" applyAlignment="1" pivotButton="0" quotePrefix="0" xfId="6">
      <alignment horizontal="center"/>
    </xf>
    <xf numFmtId="43" fontId="49" fillId="6" borderId="12" applyAlignment="1" pivotButton="0" quotePrefix="0" xfId="6">
      <alignment horizontal="left"/>
    </xf>
    <xf numFmtId="43" fontId="25" fillId="6" borderId="15" pivotButton="0" quotePrefix="0" xfId="6"/>
    <xf numFmtId="43" fontId="49" fillId="6" borderId="16" applyAlignment="1" pivotButton="0" quotePrefix="0" xfId="6">
      <alignment horizontal="left"/>
    </xf>
    <xf numFmtId="43" fontId="25" fillId="6" borderId="18" pivotButton="0" quotePrefix="0" xfId="6"/>
    <xf numFmtId="43" fontId="18" fillId="6" borderId="0" applyAlignment="1" pivotButton="0" quotePrefix="0" xfId="45">
      <alignment vertical="center"/>
    </xf>
    <xf numFmtId="43" fontId="49" fillId="6" borderId="16" pivotButton="0" quotePrefix="0" xfId="47"/>
    <xf numFmtId="43" fontId="18" fillId="6" borderId="0" pivotButton="0" quotePrefix="0" xfId="47"/>
    <xf numFmtId="43" fontId="49" fillId="6" borderId="19" pivotButton="0" quotePrefix="0" xfId="47"/>
    <xf numFmtId="43" fontId="18" fillId="6" borderId="20" pivotButton="0" quotePrefix="0" xfId="47"/>
    <xf numFmtId="43" fontId="25" fillId="6" borderId="22" pivotButton="0" quotePrefix="0" xfId="6"/>
    <xf numFmtId="43" fontId="49" fillId="6" borderId="0" pivotButton="0" quotePrefix="0" xfId="47"/>
    <xf numFmtId="43" fontId="52" fillId="6" borderId="0" applyAlignment="1" pivotButton="0" quotePrefix="0" xfId="6">
      <alignment horizontal="left"/>
    </xf>
    <xf numFmtId="43" fontId="51" fillId="6" borderId="0" pivotButton="0" quotePrefix="0" xfId="6"/>
    <xf numFmtId="43" fontId="17" fillId="6" borderId="32" applyAlignment="1" pivotButton="0" quotePrefix="0" xfId="6">
      <alignment horizontal="center"/>
    </xf>
    <xf numFmtId="43" fontId="18" fillId="6" borderId="32" applyAlignment="1" pivotButton="0" quotePrefix="0" xfId="6">
      <alignment horizontal="center"/>
    </xf>
    <xf numFmtId="43" fontId="18" fillId="6" borderId="0" applyAlignment="1" pivotButton="0" quotePrefix="0" xfId="6">
      <alignment horizontal="left"/>
    </xf>
    <xf numFmtId="43" fontId="17" fillId="6" borderId="23" applyAlignment="1" pivotButton="0" quotePrefix="0" xfId="6">
      <alignment horizontal="center"/>
    </xf>
    <xf numFmtId="43" fontId="18" fillId="6" borderId="23" applyAlignment="1" pivotButton="0" quotePrefix="0" xfId="6">
      <alignment horizontal="center"/>
    </xf>
    <xf numFmtId="43" fontId="25" fillId="6" borderId="16" pivotButton="0" quotePrefix="0" xfId="6"/>
    <xf numFmtId="43" fontId="18" fillId="6" borderId="74" applyAlignment="1" pivotButton="0" quotePrefix="0" xfId="45">
      <alignment vertical="center"/>
    </xf>
  </cellXfs>
  <cellStyles count="63">
    <cellStyle name="Normal" xfId="0" builtinId="0"/>
    <cellStyle name="_Plantilla de Liquidaicon" xfId="1"/>
    <cellStyle name="_Plantilla de Liquidaicon_Escombro" xfId="2"/>
    <cellStyle name="_Plantilla de Liquidaicon_Escombro 2" xfId="3"/>
    <cellStyle name="_Plantilla de Liquidaicon_METRADOS" xfId="4"/>
    <cellStyle name="_Plantilla de Liquidaicon_METRADOS 2" xfId="5"/>
    <cellStyle name="A3 297 x 420 mm" xfId="6"/>
    <cellStyle name="A3 297 x 420 mm 2" xfId="7"/>
    <cellStyle name="A3 297 x 420 mm_897493liq" xfId="8"/>
    <cellStyle name="args.style" xfId="9"/>
    <cellStyle name="Calc Currency (0)" xfId="10"/>
    <cellStyle name="Calc Currency (0) 2" xfId="11"/>
    <cellStyle name="Cancel" xfId="12"/>
    <cellStyle name="Comma [0]_!!!GO" xfId="13"/>
    <cellStyle name="Comma_!!!GO" xfId="14"/>
    <cellStyle name="Comma0 - Modelo1" xfId="15"/>
    <cellStyle name="Comma0 - Style1" xfId="16"/>
    <cellStyle name="Comma0 - Style2" xfId="17"/>
    <cellStyle name="Comma1 - Modelo2" xfId="18"/>
    <cellStyle name="Comma1 - Style1" xfId="19"/>
    <cellStyle name="Comma1 - Style2" xfId="20"/>
    <cellStyle name="Copied" xfId="21"/>
    <cellStyle name="COST1" xfId="22"/>
    <cellStyle name="Currency [0]_!!!GO" xfId="23"/>
    <cellStyle name="Currency_!!!GO" xfId="24"/>
    <cellStyle name="Entered" xfId="25"/>
    <cellStyle name="Estilo 1" xfId="26"/>
    <cellStyle name="Euro" xfId="27"/>
    <cellStyle name="Euro 2" xfId="28"/>
    <cellStyle name="Grey" xfId="29"/>
    <cellStyle name="Header1" xfId="30"/>
    <cellStyle name="Header2" xfId="31"/>
    <cellStyle name="Input [yellow]" xfId="32"/>
    <cellStyle name="Input Cells" xfId="33"/>
    <cellStyle name="Linked Cells" xfId="34"/>
    <cellStyle name="Millares 2" xfId="35"/>
    <cellStyle name="Milliers [0]_!!!GO" xfId="36"/>
    <cellStyle name="Milliers_!!!GO" xfId="37"/>
    <cellStyle name="Monétaire [0]_!!!GO" xfId="38"/>
    <cellStyle name="Monétaire_!!!GO" xfId="39"/>
    <cellStyle name="no dec" xfId="40"/>
    <cellStyle name="Normal - Style1" xfId="41"/>
    <cellStyle name="Normal - Style1 2" xfId="42"/>
    <cellStyle name="Normal 2" xfId="43"/>
    <cellStyle name="Normal 3" xfId="44"/>
    <cellStyle name="Normal_Base de Datos Varias" xfId="45"/>
    <cellStyle name="Normal_Caratula_Plantilla_liquidacion_SST_Orion" xfId="46"/>
    <cellStyle name="Normal_Informe pers-unid-fact" xfId="47"/>
    <cellStyle name="Normal_VEREDAS" xfId="48"/>
    <cellStyle name="Œ…‹æØ‚è [0.00]_!!!GO" xfId="49"/>
    <cellStyle name="Œ…‹æØ‚è_!!!GO" xfId="50"/>
    <cellStyle name="per.style" xfId="51"/>
    <cellStyle name="Percent [2]" xfId="52"/>
    <cellStyle name="Percent [2] 2" xfId="53"/>
    <cellStyle name="Porcentaje" xfId="54" builtinId="5"/>
    <cellStyle name="Porcentaje 2" xfId="55"/>
    <cellStyle name="pricing" xfId="56"/>
    <cellStyle name="pricing 2" xfId="57"/>
    <cellStyle name="PSChar" xfId="58"/>
    <cellStyle name="RevList" xfId="59"/>
    <cellStyle name="RevList 2" xfId="60"/>
    <cellStyle name="RM" xfId="61"/>
    <cellStyle name="Subtotal" xfId="62"/>
  </cellStyles>
  <dxfs count="172">
    <dxf>
      <font>
        <condense val="0"/>
        <color indexed="18"/>
        <extend val="0"/>
      </font>
      <fill>
        <patternFill>
          <fgColor indexed="31"/>
          <bgColor indexed="31"/>
        </patternFill>
      </fill>
    </dxf>
    <dxf>
      <font>
        <condense val="0"/>
        <color indexed="12"/>
        <extend val="0"/>
      </font>
      <fill>
        <patternFill>
          <bgColor indexed="26"/>
        </patternFill>
      </fill>
    </dxf>
    <dxf>
      <font>
        <condense val="0"/>
        <color indexed="12"/>
        <extend val="0"/>
      </font>
      <fill>
        <patternFill>
          <bgColor indexed="49"/>
        </patternFill>
      </fill>
    </dxf>
    <dxf>
      <font>
        <condense val="0"/>
        <color indexed="9"/>
        <extend val="0"/>
      </font>
      <fill>
        <patternFill>
          <bgColor indexed="61"/>
        </patternFill>
      </fill>
    </dxf>
    <dxf>
      <font>
        <condense val="0"/>
        <color indexed="18"/>
        <extend val="0"/>
      </font>
      <fill>
        <patternFill>
          <bgColor indexed="42"/>
        </patternFill>
      </fill>
    </dxf>
    <dxf>
      <font>
        <condense val="0"/>
        <color indexed="18"/>
        <extend val="0"/>
      </font>
      <fill>
        <patternFill>
          <bgColor indexed="9"/>
        </patternFill>
      </fill>
    </dxf>
    <dxf>
      <font>
        <condense val="0"/>
        <color indexed="18"/>
        <extend val="0"/>
      </font>
      <fill>
        <patternFill>
          <bgColor indexed="49"/>
        </patternFill>
      </fill>
    </dxf>
    <dxf>
      <font>
        <condense val="0"/>
        <color indexed="18"/>
        <extend val="0"/>
      </font>
      <fill>
        <patternFill>
          <bgColor indexed="45"/>
        </patternFill>
      </fill>
    </dxf>
    <dxf>
      <font>
        <condense val="0"/>
        <color indexed="18"/>
        <extend val="0"/>
      </font>
      <fill>
        <patternFill>
          <bgColor indexed="51"/>
        </patternFill>
      </fill>
    </dxf>
    <dxf>
      <font>
        <condense val="0"/>
        <color indexed="18"/>
        <extend val="0"/>
      </font>
      <fill>
        <patternFill>
          <bgColor indexed="46"/>
        </patternFill>
      </fill>
    </dxf>
    <dxf>
      <font>
        <condense val="0"/>
        <color indexed="9"/>
        <extend val="0"/>
      </font>
      <fill>
        <patternFill>
          <bgColor indexed="48"/>
        </patternFill>
      </fill>
    </dxf>
    <dxf>
      <font>
        <condense val="0"/>
        <color indexed="18"/>
        <extend val="0"/>
      </font>
      <fill>
        <patternFill>
          <bgColor indexed="44"/>
        </patternFill>
      </fill>
    </dxf>
    <dxf>
      <font>
        <condense val="0"/>
        <color indexed="18"/>
        <extend val="0"/>
      </font>
      <fill>
        <patternFill>
          <bgColor indexed="47"/>
        </patternFill>
      </fill>
    </dxf>
    <dxf>
      <font>
        <condense val="0"/>
        <color indexed="18"/>
        <extend val="0"/>
      </font>
      <fill>
        <patternFill>
          <bgColor indexed="31"/>
        </patternFill>
      </fill>
    </dxf>
    <dxf>
      <font>
        <condense val="0"/>
        <color indexed="18"/>
        <extend val="0"/>
      </font>
      <fill>
        <patternFill>
          <bgColor indexed="26"/>
        </patternFill>
      </fill>
    </dxf>
    <dxf>
      <font>
        <condense val="0"/>
        <color indexed="18"/>
        <extend val="0"/>
      </font>
      <fill>
        <patternFill>
          <bgColor indexed="27"/>
        </patternFill>
      </fill>
    </dxf>
    <dxf>
      <font>
        <condense val="0"/>
        <color indexed="10"/>
        <extend val="0"/>
      </font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ill>
        <patternFill>
          <bgColor rgb="FFFFFF00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condense val="0"/>
        <color indexed="18"/>
        <extend val="0"/>
      </font>
    </dxf>
    <dxf>
      <font>
        <condense val="0"/>
        <color indexed="18"/>
        <extend val="0"/>
      </font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externalLink" Target="/xl/externalLinks/externalLink3.xml" Id="rId9" /><Relationship Type="http://schemas.openxmlformats.org/officeDocument/2006/relationships/externalLink" Target="/xl/externalLinks/externalLink4.xml" Id="rId10" /><Relationship Type="http://schemas.openxmlformats.org/officeDocument/2006/relationships/externalLink" Target="/xl/externalLinks/externalLink5.xml" Id="rId11" /><Relationship Type="http://schemas.openxmlformats.org/officeDocument/2006/relationships/externalLink" Target="/xl/externalLinks/externalLink6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Nahum Canteño Santiago</author>
  </authors>
  <commentList>
    <comment ref="F26" authorId="0" shapeId="0">
      <text>
        <t xml:space="preserve">Nahum Canteño Santiago:
traslado de  cable caais hasta 35 mm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92.168.1.58\Coordinacion\VACIO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192.168.1.58\Coordinacion\Users\YACUSA\AppData\Local\Microsoft\Windows\Temporary%20Internet%20Files\Content.IE5\NRGWOZ73\VACIO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92.168.1.58\Coordinacion\Liquidacion\pu220419.v2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192.168.1.58\Coordinacion\Users\YACUSA\AppData\Local\Microsoft\Windows\Temporary%20Internet%20Files\Content.IE5\NRGWOZ73\Temp\Materiales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../../../../../../../../santi/Downloads/partidas%20M.O.%20%20julio%202024%20(3).xlsx" TargetMode="External" Id="rId2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../../../../../../../../../Descargas/reporte_movimiento%20-%202025-08-11T153946.847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  <sheetName val="#¡REF"/>
      <sheetName val="CONTROL"/>
      <sheetName val="VACIO"/>
      <sheetName val="VIGIL_POLICIAL"/>
      <sheetName val="MAT"/>
      <sheetName val="base2007"/>
      <sheetName val="5370"/>
      <sheetName val="base2006"/>
      <sheetName val="SEGUIMIENTO"/>
      <sheetName val="Hoja2"/>
      <sheetName val="CONSOLIDADO"/>
      <sheetName val="PRODUCCION LAB MONOFASICO ANUAL"/>
      <sheetName val="Data"/>
      <sheetName val="Acc. Inc. y Cuasi."/>
      <sheetName val="Datos"/>
      <sheetName val=" Paralizad_ Pend. de maniob"/>
      <sheetName val="vii"/>
      <sheetName val="Universo"/>
      <sheetName val="EJECUCION"/>
      <sheetName val="TRAB. POR LIQUIDAR"/>
      <sheetName val="ORDENES 2005"/>
      <sheetName val="Mano de Obra"/>
      <sheetName val="Materi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  <sheetName val="#¡REF"/>
      <sheetName val="CONTROL"/>
      <sheetName val="VACIO"/>
      <sheetName val="VIGIL_POLICIAL"/>
      <sheetName val="MAT"/>
      <sheetName val="base2007"/>
      <sheetName val="5370"/>
      <sheetName val="base2006"/>
      <sheetName val="SEGUIMIENTO"/>
      <sheetName val="Hoja2"/>
      <sheetName val="CONSOLIDADO"/>
      <sheetName val="PRODUCCION LAB MONOFASICO ANUAL"/>
      <sheetName val="Data"/>
      <sheetName val="Acc. Inc. y Cuasi."/>
      <sheetName val="Datos"/>
      <sheetName val=" Paralizad_ Pend. de maniob"/>
      <sheetName val="vii"/>
      <sheetName val="Universo"/>
      <sheetName val="EJECUCION"/>
      <sheetName val="TRAB. POR LIQUIDAR"/>
      <sheetName val="ORDENES 2005"/>
      <sheetName val="Mano de Obra"/>
      <sheetName val="Material"/>
      <sheetName val="Caratula "/>
      <sheetName val="M. OBRA"/>
      <sheetName val="METRADOS"/>
      <sheetName val="Vereda-Escombro"/>
      <sheetName val="SUPERV.CAP."/>
      <sheetName val="Compensación Nocturno"/>
      <sheetName val="FACT.SERV."/>
      <sheetName val="HORAS EXTRAS"/>
      <sheetName val="H.E."/>
      <sheetName val="VIATICOS"/>
      <sheetName val="HE"/>
      <sheetName val="Traslado - Acarreo"/>
      <sheetName val="Pozo Horizontal"/>
      <sheetName val="Inst. varilla retenida"/>
      <sheetName val="Adic."/>
      <sheetName val="Calculo TW Bco.Med."/>
      <sheetName val="RESUMEN"/>
      <sheetName val="Hoja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Detalle"/>
      <sheetName val="MAT"/>
      <sheetName val="MANO DE OBRA ACTUALIZADA"/>
    </sheetNames>
    <sheetDataSet>
      <sheetData sheetId="0"/>
      <sheetData sheetId="1" refreshError="1"/>
      <sheetData sheetId="2" refreshError="1">
        <row r="5">
          <cell r="B5" t="str">
            <v>Matricula</v>
          </cell>
          <cell r="C5" t="str">
            <v>Marca</v>
          </cell>
          <cell r="D5" t="str">
            <v>Descripción</v>
          </cell>
        </row>
        <row r="6">
          <cell r="B6">
            <v>911050</v>
          </cell>
          <cell r="C6" t="str">
            <v>ELR</v>
          </cell>
          <cell r="D6" t="str">
            <v>PERNO HO.GALV.CAB.EXAG.   1/4" X 3/4"     C/TUERCA</v>
          </cell>
        </row>
        <row r="7">
          <cell r="B7">
            <v>911050</v>
          </cell>
          <cell r="C7" t="str">
            <v>MDP</v>
          </cell>
          <cell r="D7" t="str">
            <v>PERNO HO.GALV.CAB.EXAG.   1/4" X 3/4"     C/TUERCA</v>
          </cell>
        </row>
        <row r="8">
          <cell r="B8">
            <v>911051</v>
          </cell>
          <cell r="C8" t="str">
            <v>CIN</v>
          </cell>
          <cell r="D8" t="str">
            <v>PERNO HO.GALV.CAB.EXAG.   1/4" X 1"       C/TUERCA</v>
          </cell>
        </row>
        <row r="9">
          <cell r="B9">
            <v>911051</v>
          </cell>
          <cell r="C9" t="str">
            <v>CMD</v>
          </cell>
          <cell r="D9" t="str">
            <v>PERNO HO.GALV.CAB.EXAG.   1/4" X 1"       C/TUERCA</v>
          </cell>
        </row>
        <row r="10">
          <cell r="B10">
            <v>911051</v>
          </cell>
          <cell r="C10" t="str">
            <v>MDP</v>
          </cell>
          <cell r="D10" t="str">
            <v>PERNO HO.GALV.CAB.EXAG.   1/4" X 1"       C/TUERCA</v>
          </cell>
        </row>
        <row r="11">
          <cell r="B11">
            <v>911051</v>
          </cell>
          <cell r="C11" t="str">
            <v>SEI</v>
          </cell>
          <cell r="D11" t="str">
            <v>PERNO HO.GALV.CAB.EXAG.   1/4" X 1"       C/TUERCA</v>
          </cell>
        </row>
        <row r="12">
          <cell r="B12">
            <v>911052</v>
          </cell>
          <cell r="C12" t="str">
            <v>CMD</v>
          </cell>
          <cell r="D12" t="str">
            <v>PERNO HO.GALV.CAB.EXAG.   1/4" X 1.1/2"   C/TUERCA</v>
          </cell>
        </row>
        <row r="13">
          <cell r="B13">
            <v>911052</v>
          </cell>
          <cell r="C13" t="str">
            <v>PTT</v>
          </cell>
          <cell r="D13" t="str">
            <v>PERNO HO.GALV.CAB.EXAG.   1/4" X 1.1/2"   C/TUERCA</v>
          </cell>
        </row>
        <row r="14">
          <cell r="B14">
            <v>911052</v>
          </cell>
          <cell r="C14" t="str">
            <v>SES</v>
          </cell>
          <cell r="D14" t="str">
            <v>PERNO HO.GALV.CAB.EXAG.   1/4" X 1.1/2"   C/TUERCA</v>
          </cell>
        </row>
        <row r="15">
          <cell r="B15">
            <v>911055</v>
          </cell>
          <cell r="C15" t="str">
            <v>CBC</v>
          </cell>
          <cell r="D15" t="str">
            <v>PERNO HO.GALV.CAB.EXAG.   1/4" X 3"       C/TUERCA</v>
          </cell>
        </row>
        <row r="16">
          <cell r="B16">
            <v>911055</v>
          </cell>
          <cell r="C16" t="str">
            <v>ELR</v>
          </cell>
          <cell r="D16" t="str">
            <v>PERNO HO.GALV.CAB.EXAG.   1/4" X 3"       C/TUERCA</v>
          </cell>
        </row>
        <row r="17">
          <cell r="B17">
            <v>911055</v>
          </cell>
          <cell r="C17" t="str">
            <v>SEI</v>
          </cell>
          <cell r="D17" t="str">
            <v>PERNO HO.GALV.CAB.EXAG.   1/4" X 3"       C/TUERCA</v>
          </cell>
        </row>
        <row r="18">
          <cell r="B18">
            <v>911062</v>
          </cell>
          <cell r="C18" t="str">
            <v>CIN</v>
          </cell>
          <cell r="D18" t="str">
            <v>PERNO HO.GALV.CAB.EXAG.   5/16" X 1.1/2"  C/TUERCA</v>
          </cell>
        </row>
        <row r="19">
          <cell r="B19">
            <v>911062</v>
          </cell>
          <cell r="C19" t="str">
            <v>CMD</v>
          </cell>
          <cell r="D19" t="str">
            <v>PERNO HO.GALV.CAB.EXAG.   5/16" X 1.1/2"  C/TUERCA</v>
          </cell>
        </row>
        <row r="20">
          <cell r="B20">
            <v>911062</v>
          </cell>
          <cell r="C20" t="str">
            <v>MDP</v>
          </cell>
          <cell r="D20" t="str">
            <v>PERNO HO.GALV.CAB.EXAG.   5/16" X 1.1/2"  C/TUERCA</v>
          </cell>
        </row>
        <row r="21">
          <cell r="B21">
            <v>911062</v>
          </cell>
          <cell r="C21" t="str">
            <v>SEI</v>
          </cell>
          <cell r="D21" t="str">
            <v>PERNO HO.GALV.CAB.EXAG.   5/16" X 1.1/2"  C/TUERCA</v>
          </cell>
        </row>
        <row r="22">
          <cell r="B22">
            <v>911064</v>
          </cell>
          <cell r="C22" t="str">
            <v>CIN</v>
          </cell>
          <cell r="D22" t="str">
            <v>PERNO HO.GALV.CAB.EXAG.   5/16" X 2"      C/TUERCA</v>
          </cell>
        </row>
        <row r="23">
          <cell r="B23">
            <v>911064</v>
          </cell>
          <cell r="C23" t="str">
            <v>CMD</v>
          </cell>
          <cell r="D23" t="str">
            <v>PERNO HO.GALV.CAB.EXAG.   5/16" X 2"      C/TUERCA</v>
          </cell>
        </row>
        <row r="24">
          <cell r="B24">
            <v>911064</v>
          </cell>
          <cell r="C24" t="str">
            <v>MDP</v>
          </cell>
          <cell r="D24" t="str">
            <v>PERNO HO.GALV.CAB.EXAG.   5/16" X 2"      C/TUERCA</v>
          </cell>
        </row>
        <row r="25">
          <cell r="B25">
            <v>911070</v>
          </cell>
          <cell r="C25" t="str">
            <v>CIN</v>
          </cell>
          <cell r="D25" t="str">
            <v>PERNO HO.GALV.CAB.EXAG.   3/8" X 1"       C/TUERCA</v>
          </cell>
        </row>
        <row r="26">
          <cell r="B26">
            <v>911070</v>
          </cell>
          <cell r="C26" t="str">
            <v>CMD</v>
          </cell>
          <cell r="D26" t="str">
            <v>PERNO HO.GALV.CAB.EXAG.   3/8" X 1"       C/TUERCA</v>
          </cell>
        </row>
        <row r="27">
          <cell r="B27">
            <v>911070</v>
          </cell>
          <cell r="C27" t="str">
            <v>MDP</v>
          </cell>
          <cell r="D27" t="str">
            <v>PERNO HO.GALV.CAB.EXAG.   3/8" X 1"       C/TUERCA</v>
          </cell>
        </row>
        <row r="28">
          <cell r="B28">
            <v>911071</v>
          </cell>
          <cell r="C28" t="str">
            <v>CIN</v>
          </cell>
          <cell r="D28" t="str">
            <v>PERNO HO.GALV.CAB.EXAG.   3/8" X 1.1/2"   C/TUERCA</v>
          </cell>
        </row>
        <row r="29">
          <cell r="B29">
            <v>978091</v>
          </cell>
          <cell r="C29" t="str">
            <v>GGG</v>
          </cell>
          <cell r="D29" t="str">
            <v>TORNILLO AUTOROSCANTE DE ACERO TROPICALIZADO CABEZA ESPECIAL ANTI - ROBO 1/8" / NUMERO 6 X 5/8"</v>
          </cell>
        </row>
        <row r="30">
          <cell r="B30">
            <v>911071</v>
          </cell>
          <cell r="C30" t="str">
            <v>CMD</v>
          </cell>
          <cell r="D30" t="str">
            <v>PERNO HO.GALV.CAB.EXAG.   3/8" X 1.1/2"   C/TUERCA</v>
          </cell>
        </row>
        <row r="31">
          <cell r="B31">
            <v>911071</v>
          </cell>
          <cell r="C31" t="str">
            <v>MDP</v>
          </cell>
          <cell r="D31" t="str">
            <v>PERNO HO.GALV.CAB.EXAG.   3/8" X 1.1/2"   C/TUERCA</v>
          </cell>
        </row>
        <row r="32">
          <cell r="B32">
            <v>911071</v>
          </cell>
          <cell r="C32" t="str">
            <v>SEI</v>
          </cell>
          <cell r="D32" t="str">
            <v>PERNO HO.GALV.CAB.EXAG.   3/8" X 1.1/2"   C/TUERCA</v>
          </cell>
        </row>
        <row r="33">
          <cell r="B33">
            <v>911072</v>
          </cell>
          <cell r="C33" t="str">
            <v>CIN</v>
          </cell>
          <cell r="D33" t="str">
            <v>PERNO HO.GALV.CAB.EXAG.   3/8" X 2"       C/TUERCA</v>
          </cell>
        </row>
        <row r="34">
          <cell r="B34">
            <v>911072</v>
          </cell>
          <cell r="C34" t="str">
            <v>CMD</v>
          </cell>
          <cell r="D34" t="str">
            <v>PERNO HO.GALV.CAB.EXAG.   3/8" X 2"       C/TUERCA</v>
          </cell>
        </row>
        <row r="35">
          <cell r="B35">
            <v>911072</v>
          </cell>
          <cell r="C35" t="str">
            <v>MDP</v>
          </cell>
          <cell r="D35" t="str">
            <v>PERNO HO.GALV.CAB.EXAG.   3/8" X 2"       C/TUERCA</v>
          </cell>
        </row>
        <row r="36">
          <cell r="B36">
            <v>911073</v>
          </cell>
          <cell r="C36" t="str">
            <v>CIN</v>
          </cell>
          <cell r="D36" t="str">
            <v>PERNO HO.GALV.CAB.EXAG.   3/8" X 2.1/2"   C/TUERCA</v>
          </cell>
        </row>
        <row r="37">
          <cell r="B37">
            <v>911073</v>
          </cell>
          <cell r="C37" t="str">
            <v>CMD</v>
          </cell>
          <cell r="D37" t="str">
            <v>PERNO HO.GALV.CAB.EXAG.   3/8" X 2.1/2"   C/TUERCA</v>
          </cell>
        </row>
        <row r="38">
          <cell r="B38">
            <v>911073</v>
          </cell>
          <cell r="C38" t="str">
            <v>ELR</v>
          </cell>
          <cell r="D38" t="str">
            <v>PERNO HO.GALV.CAB.EXAG.   3/8" X 2.1/2"   C/TUERCA</v>
          </cell>
        </row>
        <row r="39">
          <cell r="B39">
            <v>911073</v>
          </cell>
          <cell r="C39" t="str">
            <v>MDP</v>
          </cell>
          <cell r="D39" t="str">
            <v>PERNO HO.GALV.CAB.EXAG.   3/8" X 2.1/2"   C/TUERCA</v>
          </cell>
        </row>
        <row r="40">
          <cell r="B40">
            <v>911073</v>
          </cell>
          <cell r="C40" t="str">
            <v>SEI</v>
          </cell>
          <cell r="D40" t="str">
            <v>PERNO HO.GALV.CAB.EXAG.   3/8" X 2.1/2"   C/TUERCA</v>
          </cell>
        </row>
        <row r="41">
          <cell r="B41">
            <v>911074</v>
          </cell>
          <cell r="C41" t="str">
            <v>CBC</v>
          </cell>
          <cell r="D41" t="str">
            <v>PERNO HO.GALV.CAB.EXAG.   3/8" X 3"       C/TUERCA</v>
          </cell>
        </row>
        <row r="42">
          <cell r="B42">
            <v>911074</v>
          </cell>
          <cell r="C42" t="str">
            <v>CMD</v>
          </cell>
          <cell r="D42" t="str">
            <v>PERNO HO.GALV.CAB.EXAG.   3/8" X 3"       C/TUERCA</v>
          </cell>
        </row>
        <row r="43">
          <cell r="B43">
            <v>911074</v>
          </cell>
          <cell r="C43" t="str">
            <v>ELR</v>
          </cell>
          <cell r="D43" t="str">
            <v>PERNO HO.GALV.CAB.EXAG.   3/8" X 3"       C/TUERCA</v>
          </cell>
        </row>
        <row r="44">
          <cell r="B44">
            <v>911074</v>
          </cell>
          <cell r="C44" t="str">
            <v>SEI</v>
          </cell>
          <cell r="D44" t="str">
            <v>PERNO HO.GALV.CAB.EXAG.   3/8" X 3"       C/TUERCA</v>
          </cell>
        </row>
        <row r="45">
          <cell r="B45">
            <v>911076</v>
          </cell>
          <cell r="C45" t="str">
            <v>CMD</v>
          </cell>
          <cell r="D45" t="str">
            <v>PERNO HO.GALV.CAB.EXAG.   3/8" X 3.1/2"   C/TUERCA</v>
          </cell>
        </row>
        <row r="46">
          <cell r="B46">
            <v>911080</v>
          </cell>
          <cell r="C46" t="str">
            <v>CMD</v>
          </cell>
          <cell r="D46" t="str">
            <v>PERNO HO.GALV.CAB.EXAG.   3/8" X 6"       C/TUERCA</v>
          </cell>
        </row>
        <row r="47">
          <cell r="B47">
            <v>911080</v>
          </cell>
          <cell r="C47" t="str">
            <v>PTT</v>
          </cell>
          <cell r="D47" t="str">
            <v>PERNO HO.GALV.CAB.EXAG.   3/8" X 6"       C/TUERCA</v>
          </cell>
        </row>
        <row r="48">
          <cell r="B48">
            <v>911080</v>
          </cell>
          <cell r="C48" t="str">
            <v>SES</v>
          </cell>
          <cell r="D48" t="str">
            <v>PERNO HO.GALV.CAB.EXAG.   3/8" X 6"       C/TUERCA</v>
          </cell>
        </row>
        <row r="49">
          <cell r="B49">
            <v>911083</v>
          </cell>
          <cell r="C49" t="str">
            <v>CIN</v>
          </cell>
          <cell r="D49" t="str">
            <v>PERNO HO.GALV.CAB.EXAG.   1/2" X 1"       C/TUERCA</v>
          </cell>
        </row>
        <row r="50">
          <cell r="B50">
            <v>911083</v>
          </cell>
          <cell r="C50" t="str">
            <v>CMD</v>
          </cell>
          <cell r="D50" t="str">
            <v>PERNO HO.GALV.CAB.EXAG.   1/2" X 1"       C/TUERCA</v>
          </cell>
        </row>
        <row r="51">
          <cell r="B51">
            <v>911083</v>
          </cell>
          <cell r="C51" t="str">
            <v>MDP</v>
          </cell>
          <cell r="D51" t="str">
            <v>PERNO HO.GALV.CAB.EXAG.   1/2" X 1"       C/TUERCA</v>
          </cell>
        </row>
        <row r="52">
          <cell r="B52">
            <v>911087</v>
          </cell>
          <cell r="C52" t="str">
            <v>CIN</v>
          </cell>
          <cell r="D52" t="str">
            <v>PERNO HO.GALV.CAB.EXAG.   1/2" X 2"       C/TUERCA</v>
          </cell>
        </row>
        <row r="53">
          <cell r="B53">
            <v>911087</v>
          </cell>
          <cell r="C53" t="str">
            <v>CMD</v>
          </cell>
          <cell r="D53" t="str">
            <v>PERNO HO.GALV.CAB.EXAG.   1/2" X 2"       C/TUERCA</v>
          </cell>
        </row>
        <row r="54">
          <cell r="B54">
            <v>911087</v>
          </cell>
          <cell r="C54" t="str">
            <v>MDP</v>
          </cell>
          <cell r="D54" t="str">
            <v>PERNO HO.GALV.CAB.EXAG.   1/2" X 2"       C/TUERCA</v>
          </cell>
        </row>
        <row r="55">
          <cell r="B55">
            <v>911087</v>
          </cell>
          <cell r="C55" t="str">
            <v>SEI</v>
          </cell>
          <cell r="D55" t="str">
            <v>PERNO HO.GALV.CAB.EXAG.   1/2" X 2"       C/TUERCA</v>
          </cell>
        </row>
        <row r="56">
          <cell r="B56">
            <v>911088</v>
          </cell>
          <cell r="C56" t="str">
            <v>CBC</v>
          </cell>
          <cell r="D56" t="str">
            <v>PERNO HO.GALV.CAB.EXAG.   1/2" X 2.1/2"   C/TUERCA</v>
          </cell>
        </row>
        <row r="57">
          <cell r="B57">
            <v>911088</v>
          </cell>
          <cell r="C57" t="str">
            <v>CMD</v>
          </cell>
          <cell r="D57" t="str">
            <v>PERNO HO.GALV.CAB.EXAG.   1/2" X 2.1/2"   C/TUERCA</v>
          </cell>
        </row>
        <row r="58">
          <cell r="B58">
            <v>911088</v>
          </cell>
          <cell r="C58" t="str">
            <v>ELR</v>
          </cell>
          <cell r="D58" t="str">
            <v>PERNO HO.GALV.CAB.EXAG.   1/2" X 2.1/2"   C/TUERCA</v>
          </cell>
        </row>
        <row r="59">
          <cell r="B59">
            <v>911088</v>
          </cell>
          <cell r="C59" t="str">
            <v>SEI</v>
          </cell>
          <cell r="D59" t="str">
            <v>PERNO HO.GALV.CAB.EXAG.   1/2" X 2.1/2"   C/TUERCA</v>
          </cell>
        </row>
        <row r="60">
          <cell r="B60">
            <v>911092</v>
          </cell>
          <cell r="C60" t="str">
            <v>CBC</v>
          </cell>
          <cell r="D60" t="str">
            <v>PERNO HO.GALV.CAB.EXAG.   1/2" X 4"       C/TUERCA</v>
          </cell>
        </row>
        <row r="61">
          <cell r="B61">
            <v>911092</v>
          </cell>
          <cell r="C61" t="str">
            <v>CMD</v>
          </cell>
          <cell r="D61" t="str">
            <v>PERNO HO.GALV.CAB.EXAG.   1/2" X 4"       C/TUERCA</v>
          </cell>
        </row>
        <row r="62">
          <cell r="B62">
            <v>911092</v>
          </cell>
          <cell r="C62" t="str">
            <v>ELR</v>
          </cell>
          <cell r="D62" t="str">
            <v>PERNO HO.GALV.CAB.EXAG.   1/2" X 4"       C/TUERCA</v>
          </cell>
        </row>
        <row r="63">
          <cell r="B63">
            <v>911092</v>
          </cell>
          <cell r="C63" t="str">
            <v>MDP</v>
          </cell>
          <cell r="D63" t="str">
            <v>PERNO HO.GALV.CAB.EXAG.   1/2" X 4"       C/TUERCA</v>
          </cell>
        </row>
        <row r="64">
          <cell r="B64">
            <v>911092</v>
          </cell>
          <cell r="C64" t="str">
            <v>SEI</v>
          </cell>
          <cell r="D64" t="str">
            <v>PERNO HO.GALV.CAB.EXAG.   1/2" X 4"       C/TUERCA</v>
          </cell>
        </row>
        <row r="65">
          <cell r="B65">
            <v>911093</v>
          </cell>
          <cell r="C65" t="str">
            <v>CIN</v>
          </cell>
          <cell r="D65" t="str">
            <v>PERNO HO.GALV.CAB.EXAG.   1/2" X 5"       C/TUERCA</v>
          </cell>
        </row>
        <row r="66">
          <cell r="B66">
            <v>911093</v>
          </cell>
          <cell r="C66" t="str">
            <v>CMD</v>
          </cell>
          <cell r="D66" t="str">
            <v>PERNO HO.GALV.CAB.EXAG.   1/2" X 5"       C/TUERCA</v>
          </cell>
        </row>
        <row r="67">
          <cell r="B67">
            <v>911093</v>
          </cell>
          <cell r="C67" t="str">
            <v>MDP</v>
          </cell>
          <cell r="D67" t="str">
            <v>PERNO HO.GALV.CAB.EXAG.   1/2" X 5"       C/TUERCA</v>
          </cell>
        </row>
        <row r="68">
          <cell r="B68">
            <v>911094</v>
          </cell>
          <cell r="C68" t="str">
            <v>BRL</v>
          </cell>
          <cell r="D68" t="str">
            <v>PERNO HO.GALV.CAB.EXAG.   1/2" X 6"       C/TUERCA</v>
          </cell>
        </row>
        <row r="69">
          <cell r="B69">
            <v>911094</v>
          </cell>
          <cell r="C69" t="str">
            <v>CBC</v>
          </cell>
          <cell r="D69" t="str">
            <v>PERNO HO.GALV.CAB.EXAG.   1/2" X 6"       C/TUERCA</v>
          </cell>
        </row>
        <row r="70">
          <cell r="B70">
            <v>911094</v>
          </cell>
          <cell r="C70" t="str">
            <v>CMD</v>
          </cell>
          <cell r="D70" t="str">
            <v>PERNO HO.GALV.CAB.EXAG.   1/2" X 6"       C/TUERCA</v>
          </cell>
        </row>
        <row r="71">
          <cell r="B71">
            <v>911094</v>
          </cell>
          <cell r="C71" t="str">
            <v>ELR</v>
          </cell>
          <cell r="D71" t="str">
            <v>PERNO HO.GALV.CAB.EXAG.   1/2" X 6"       C/TUERCA</v>
          </cell>
        </row>
        <row r="72">
          <cell r="B72">
            <v>911094</v>
          </cell>
          <cell r="C72" t="str">
            <v>MDP</v>
          </cell>
          <cell r="D72" t="str">
            <v>PERNO HO.GALV.CAB.EXAG.   1/2" X 6"       C/TUERCA</v>
          </cell>
        </row>
        <row r="73">
          <cell r="B73">
            <v>911094</v>
          </cell>
          <cell r="C73" t="str">
            <v>SEI</v>
          </cell>
          <cell r="D73" t="str">
            <v>PERNO HO.GALV.CAB.EXAG.   1/2" X 6"       C/TUERCA</v>
          </cell>
        </row>
        <row r="74">
          <cell r="B74">
            <v>911104</v>
          </cell>
          <cell r="C74" t="str">
            <v>CMD</v>
          </cell>
          <cell r="D74" t="str">
            <v>PERNO HO.GALV.CAB.EXAG.   5/8" X 1"      C/TUERCA</v>
          </cell>
        </row>
        <row r="75">
          <cell r="B75">
            <v>911104</v>
          </cell>
          <cell r="C75" t="str">
            <v>PTT</v>
          </cell>
          <cell r="D75" t="str">
            <v>PERNO HO.GALV.CAB.EXAG.   5/8" X 1"      C/TUERCA</v>
          </cell>
        </row>
        <row r="76">
          <cell r="B76">
            <v>911104</v>
          </cell>
          <cell r="C76" t="str">
            <v>SES</v>
          </cell>
          <cell r="D76" t="str">
            <v>PERNO HO.GALV.CAB.EXAG.   5/8" X 1"      C/TUERCA</v>
          </cell>
        </row>
        <row r="77">
          <cell r="B77">
            <v>911108</v>
          </cell>
          <cell r="C77" t="str">
            <v>CMD</v>
          </cell>
          <cell r="D77" t="str">
            <v>PERNO HO.GALV.CAB.EXAG.   5/8" X 2"       C/TUERCA</v>
          </cell>
        </row>
        <row r="78">
          <cell r="B78">
            <v>911108</v>
          </cell>
          <cell r="C78" t="str">
            <v>PTT</v>
          </cell>
          <cell r="D78" t="str">
            <v>PERNO HO.GALV.CAB.EXAG.   5/8" X 2"       C/TUERCA</v>
          </cell>
        </row>
        <row r="79">
          <cell r="B79">
            <v>911108</v>
          </cell>
          <cell r="C79" t="str">
            <v>SES</v>
          </cell>
          <cell r="D79" t="str">
            <v>PERNO HO.GALV.CAB.EXAG.   5/8" X 2"       C/TUERCA</v>
          </cell>
        </row>
        <row r="80">
          <cell r="B80">
            <v>911109</v>
          </cell>
          <cell r="C80" t="str">
            <v>CMD</v>
          </cell>
          <cell r="D80" t="str">
            <v>PERNO DE ACERO GALV. DE CABEZA HEXAGONAL 5/8" X 2 1/2" C.ACCESORIOS</v>
          </cell>
        </row>
        <row r="81">
          <cell r="B81">
            <v>911109</v>
          </cell>
          <cell r="C81" t="str">
            <v>PTT</v>
          </cell>
          <cell r="D81" t="str">
            <v>PERNO DE ACERO GALV. DE CABEZA HEXAGONAL 5/8" X 2 1/2" C.ACCESORIOS</v>
          </cell>
        </row>
        <row r="82">
          <cell r="B82">
            <v>911109</v>
          </cell>
          <cell r="C82" t="str">
            <v>SES</v>
          </cell>
          <cell r="D82" t="str">
            <v>PERNO DE ACERO GALV. DE CABEZA HEXAGONAL 5/8" X 2 1/2" C.ACCESORIOS</v>
          </cell>
        </row>
        <row r="83">
          <cell r="B83">
            <v>911111</v>
          </cell>
          <cell r="C83" t="str">
            <v>CBC</v>
          </cell>
          <cell r="D83" t="str">
            <v>PERNO DE ACERO GALV. DE CABEZA HEXAGONAL 5/8" X 3" C.ACCESORIOS</v>
          </cell>
        </row>
        <row r="84">
          <cell r="B84">
            <v>911111</v>
          </cell>
          <cell r="C84" t="str">
            <v>CMD</v>
          </cell>
          <cell r="D84" t="str">
            <v>PERNO DE ACERO GALV. DE CABEZA HEXAGONAL 5/8" X 3" C.ACCESORIOS</v>
          </cell>
        </row>
        <row r="85">
          <cell r="B85">
            <v>911111</v>
          </cell>
          <cell r="C85" t="str">
            <v>ELR</v>
          </cell>
          <cell r="D85" t="str">
            <v>PERNO DE ACERO GALV. DE CABEZA HEXAGONAL 5/8" X 3" C.ACCESORIOS</v>
          </cell>
        </row>
        <row r="86">
          <cell r="B86">
            <v>911111</v>
          </cell>
          <cell r="C86" t="str">
            <v>SEI</v>
          </cell>
          <cell r="D86" t="str">
            <v>PERNO DE ACERO GALV. DE CABEZA HEXAGONAL 5/8" X 3" C.ACCESORIOS</v>
          </cell>
        </row>
        <row r="87">
          <cell r="B87">
            <v>911113</v>
          </cell>
          <cell r="C87" t="str">
            <v>CBC</v>
          </cell>
          <cell r="D87" t="str">
            <v>PERNO HO.GALV.CAB.EXAG.   5/8" X 4"       C/TUERCA</v>
          </cell>
        </row>
        <row r="88">
          <cell r="B88">
            <v>911113</v>
          </cell>
          <cell r="C88" t="str">
            <v>ELR</v>
          </cell>
          <cell r="D88" t="str">
            <v>PERNO HO.GALV.CAB.EXAG.   5/8" X 4"       C/TUERCA</v>
          </cell>
        </row>
        <row r="89">
          <cell r="B89">
            <v>911113</v>
          </cell>
          <cell r="C89" t="str">
            <v>SEI</v>
          </cell>
          <cell r="D89" t="str">
            <v>PERNO HO.GALV.CAB.EXAG.   5/8" X 4"       C/TUERCA</v>
          </cell>
        </row>
        <row r="90">
          <cell r="B90">
            <v>911118</v>
          </cell>
          <cell r="C90" t="str">
            <v>CBC</v>
          </cell>
          <cell r="D90" t="str">
            <v>PERNO HO.GALV.CAB.EXAG.   5/8" X 8"      C/TUERCA</v>
          </cell>
        </row>
        <row r="91">
          <cell r="B91">
            <v>911118</v>
          </cell>
          <cell r="C91" t="str">
            <v>CMD</v>
          </cell>
          <cell r="D91" t="str">
            <v>PERNO HO.GALV.CAB.EXAG.   5/8" X 8"      C/TUERCA</v>
          </cell>
        </row>
        <row r="92">
          <cell r="B92">
            <v>911118</v>
          </cell>
          <cell r="C92" t="str">
            <v>ELR</v>
          </cell>
          <cell r="D92" t="str">
            <v>PERNO HO.GALV.CAB.EXAG.   5/8" X 8"      C/TUERCA</v>
          </cell>
        </row>
        <row r="93">
          <cell r="B93">
            <v>911118</v>
          </cell>
          <cell r="C93" t="str">
            <v>MDP</v>
          </cell>
          <cell r="D93" t="str">
            <v>PERNO HO.GALV.CAB.EXAG.   5/8" X 8"      C/TUERCA</v>
          </cell>
        </row>
        <row r="94">
          <cell r="B94">
            <v>911118</v>
          </cell>
          <cell r="C94" t="str">
            <v>SEI</v>
          </cell>
          <cell r="D94" t="str">
            <v>PERNO HO.GALV.CAB.EXAG.   5/8" X 8"      C/TUERCA</v>
          </cell>
        </row>
        <row r="95">
          <cell r="B95">
            <v>911142</v>
          </cell>
          <cell r="C95" t="str">
            <v>CBC</v>
          </cell>
          <cell r="D95" t="str">
            <v>PERNO HO.GALV.CAB.EXAG.   3/4" X 7"       C/TUERCA</v>
          </cell>
        </row>
        <row r="96">
          <cell r="B96">
            <v>911142</v>
          </cell>
          <cell r="C96" t="str">
            <v>ELR</v>
          </cell>
          <cell r="D96" t="str">
            <v>PERNO HO.GALV.CAB.EXAG.   3/4" X 7"       C/TUERCA</v>
          </cell>
        </row>
        <row r="97">
          <cell r="B97">
            <v>911142</v>
          </cell>
          <cell r="C97" t="str">
            <v>SEI</v>
          </cell>
          <cell r="D97" t="str">
            <v>PERNO HO.GALV.CAB.EXAG.   3/4" X 7"       C/TUERCA</v>
          </cell>
        </row>
        <row r="98">
          <cell r="B98">
            <v>911143</v>
          </cell>
          <cell r="C98" t="str">
            <v>CBC</v>
          </cell>
          <cell r="D98" t="str">
            <v>PERNO HO.GALV.CAB.EXAG.   3/4" X 8"</v>
          </cell>
        </row>
        <row r="99">
          <cell r="B99">
            <v>911143</v>
          </cell>
          <cell r="C99" t="str">
            <v>ELR</v>
          </cell>
          <cell r="D99" t="str">
            <v>PERNO HO.GALV.CAB.EXAG.   3/4" X 8"</v>
          </cell>
        </row>
        <row r="100">
          <cell r="B100">
            <v>911143</v>
          </cell>
          <cell r="C100" t="str">
            <v>SEI</v>
          </cell>
          <cell r="D100" t="str">
            <v>PERNO HO.GALV.CAB.EXAG.   3/4" X 8"</v>
          </cell>
        </row>
        <row r="101">
          <cell r="B101">
            <v>911170</v>
          </cell>
          <cell r="C101" t="str">
            <v>CIN</v>
          </cell>
          <cell r="D101" t="str">
            <v>PERNO HO.GALV.CAB.EXAG.5/16X1P.C/TUERCA *SID-127</v>
          </cell>
        </row>
        <row r="102">
          <cell r="B102">
            <v>911170</v>
          </cell>
          <cell r="C102" t="str">
            <v>CMD</v>
          </cell>
          <cell r="D102" t="str">
            <v>PERNO HO.GALV.CAB.EXAG.5/16X1P.C/TUERCA *SID-127</v>
          </cell>
        </row>
        <row r="103">
          <cell r="B103">
            <v>911170</v>
          </cell>
          <cell r="C103" t="str">
            <v>MDP</v>
          </cell>
          <cell r="D103" t="str">
            <v>PERNO HO.GALV.CAB.EXAG.5/16X1P.C/TUERCA *SID-127</v>
          </cell>
        </row>
        <row r="104">
          <cell r="B104">
            <v>911170</v>
          </cell>
          <cell r="C104" t="str">
            <v>SEI</v>
          </cell>
          <cell r="D104" t="str">
            <v>PERNO HO.GALV.CAB.EXAG.5/16X1P.C/TUERCA *SID-127</v>
          </cell>
        </row>
        <row r="105">
          <cell r="B105">
            <v>911171</v>
          </cell>
          <cell r="C105" t="str">
            <v>CIN</v>
          </cell>
          <cell r="D105" t="str">
            <v>PERNO HO.GALV.CAB.EXAG.1/2X1.1/2P.C/TUERCA*SID-127</v>
          </cell>
        </row>
        <row r="106">
          <cell r="B106">
            <v>911171</v>
          </cell>
          <cell r="C106" t="str">
            <v>CMD</v>
          </cell>
          <cell r="D106" t="str">
            <v>PERNO HO.GALV.CAB.EXAG.1/2X1.1/2P.C/TUERCA*SID-127</v>
          </cell>
        </row>
        <row r="107">
          <cell r="B107">
            <v>911171</v>
          </cell>
          <cell r="C107" t="str">
            <v>MDP</v>
          </cell>
          <cell r="D107" t="str">
            <v>PERNO HO.GALV.CAB.EXAG.1/2X1.1/2P.C/TUERCA*SID-127</v>
          </cell>
        </row>
        <row r="108">
          <cell r="B108">
            <v>911172</v>
          </cell>
          <cell r="C108" t="str">
            <v>CBC</v>
          </cell>
          <cell r="D108" t="str">
            <v>PERNO HO.GALV.CAB.EXAG.1/2X3P.C/TUERCA * SID-127</v>
          </cell>
        </row>
        <row r="109">
          <cell r="B109">
            <v>911172</v>
          </cell>
          <cell r="C109" t="str">
            <v>CMD</v>
          </cell>
          <cell r="D109" t="str">
            <v>PERNO HO.GALV.CAB.EXAG.1/2X3P.C/TUERCA * SID-127</v>
          </cell>
        </row>
        <row r="110">
          <cell r="B110">
            <v>911172</v>
          </cell>
          <cell r="C110" t="str">
            <v>ELR</v>
          </cell>
          <cell r="D110" t="str">
            <v>PERNO HO.GALV.CAB.EXAG.1/2X3P.C/TUERCA * SID-127</v>
          </cell>
        </row>
        <row r="111">
          <cell r="B111">
            <v>911172</v>
          </cell>
          <cell r="C111" t="str">
            <v>SEI</v>
          </cell>
          <cell r="D111" t="str">
            <v>PERNO HO.GALV.CAB.EXAG.1/2X3P.C/TUERCA * SID-127</v>
          </cell>
        </row>
        <row r="112">
          <cell r="B112">
            <v>911611</v>
          </cell>
          <cell r="C112" t="str">
            <v>CIN</v>
          </cell>
          <cell r="D112" t="str">
            <v>PERNO AC. GALV.CAB.EXAG.  25MML. M16 RSC.CORRIDA</v>
          </cell>
        </row>
        <row r="113">
          <cell r="B113">
            <v>911611</v>
          </cell>
          <cell r="C113" t="str">
            <v>CMD</v>
          </cell>
          <cell r="D113" t="str">
            <v>PERNO AC. GALV.CAB.EXAG.  25MML. M16 RSC.CORRIDA</v>
          </cell>
        </row>
        <row r="114">
          <cell r="B114">
            <v>911611</v>
          </cell>
          <cell r="C114" t="str">
            <v>MDP</v>
          </cell>
          <cell r="D114" t="str">
            <v>PERNO AC. GALV.CAB.EXAG.  25MML. M16 RSC.CORRIDA</v>
          </cell>
        </row>
        <row r="115">
          <cell r="B115">
            <v>961911</v>
          </cell>
          <cell r="C115" t="str">
            <v>BRL</v>
          </cell>
          <cell r="D115" t="str">
            <v>TORNILLO AUTOROSCANTE DE ACERO GALV. C.CABEZA REDONDA 11/32" / NUMERO 10 X 1/2"</v>
          </cell>
        </row>
        <row r="116">
          <cell r="B116">
            <v>961911</v>
          </cell>
          <cell r="C116" t="str">
            <v>CMD</v>
          </cell>
          <cell r="D116" t="str">
            <v>TORNILLO AUTOROSCANTE DE ACERO GALV. C.CABEZA REDONDA 11/32" / NUMERO 10 X 1/2"</v>
          </cell>
        </row>
        <row r="117">
          <cell r="B117">
            <v>961911</v>
          </cell>
          <cell r="C117" t="str">
            <v>CTO</v>
          </cell>
          <cell r="D117" t="str">
            <v>TORNILLO AUTOROSCANTE DE ACERO GALV. C.CABEZA REDONDA 11/32" / NUMERO 10 X 1/2"</v>
          </cell>
        </row>
        <row r="118">
          <cell r="B118">
            <v>961911</v>
          </cell>
          <cell r="C118" t="str">
            <v>FBS</v>
          </cell>
          <cell r="D118" t="str">
            <v>TORNILLO AUTOROSCANTE DE ACERO GALV. C.CABEZA REDONDA 11/32" / NUMERO 10 X 1/2"</v>
          </cell>
        </row>
        <row r="119">
          <cell r="B119">
            <v>961911</v>
          </cell>
          <cell r="C119" t="str">
            <v>SEI</v>
          </cell>
          <cell r="D119" t="str">
            <v>TORNILLO AUTOROSCANTE DE ACERO GALV. C.CABEZA REDONDA 11/32" / NUMERO 10 X 1/2"</v>
          </cell>
        </row>
        <row r="120">
          <cell r="B120">
            <v>961912</v>
          </cell>
          <cell r="C120" t="str">
            <v>BRL</v>
          </cell>
          <cell r="D120" t="str">
            <v>TORNILLO AUTOROSCANTE DE ACERO GALV. C.CABEZA REDONDA 11/32" / NUMERO 10 X 3/4"</v>
          </cell>
        </row>
        <row r="121">
          <cell r="B121">
            <v>961912</v>
          </cell>
          <cell r="C121" t="str">
            <v>CMD</v>
          </cell>
          <cell r="D121" t="str">
            <v>TORNILLO AUTOROSCANTE DE ACERO GALV. C.CABEZA REDONDA 11/32" / NUMERO 10 X 3/4"</v>
          </cell>
        </row>
        <row r="122">
          <cell r="B122">
            <v>961912</v>
          </cell>
          <cell r="C122" t="str">
            <v>CTO</v>
          </cell>
          <cell r="D122" t="str">
            <v>TORNILLO AUTOROSCANTE DE ACERO GALV. C.CABEZA REDONDA 11/32" / NUMERO 10 X 3/4"</v>
          </cell>
        </row>
        <row r="123">
          <cell r="B123">
            <v>961912</v>
          </cell>
          <cell r="C123" t="str">
            <v>FBS</v>
          </cell>
          <cell r="D123" t="str">
            <v>TORNILLO AUTOROSCANTE DE ACERO GALV. C.CABEZA REDONDA 11/32" / NUMERO 10 X 3/4"</v>
          </cell>
        </row>
        <row r="124">
          <cell r="B124">
            <v>961912</v>
          </cell>
          <cell r="C124" t="str">
            <v>SEI</v>
          </cell>
          <cell r="D124" t="str">
            <v>TORNILLO AUTOROSCANTE DE ACERO GALV. C.CABEZA REDONDA 11/32" / NUMERO 10 X 3/4"</v>
          </cell>
        </row>
        <row r="125">
          <cell r="B125">
            <v>962113</v>
          </cell>
          <cell r="C125" t="str">
            <v>CMD</v>
          </cell>
          <cell r="D125" t="str">
            <v>TORNILLO HO.GALV.CAB.RED. P.METAL 5/16" X 1.1/2"</v>
          </cell>
        </row>
        <row r="126">
          <cell r="B126">
            <v>965015</v>
          </cell>
          <cell r="C126" t="str">
            <v>CMD</v>
          </cell>
          <cell r="D126" t="str">
            <v>TORNILLO HO.NEGRO CAB.RED. P.METAL    5/16" X 3/4"</v>
          </cell>
        </row>
        <row r="127">
          <cell r="B127">
            <v>965016</v>
          </cell>
          <cell r="C127" t="str">
            <v>CMD</v>
          </cell>
          <cell r="D127" t="str">
            <v>TORNILLO HO.NEGRO CAB.RED. P.METAL      5/16" X 1"</v>
          </cell>
        </row>
        <row r="128">
          <cell r="B128">
            <v>965018</v>
          </cell>
          <cell r="C128" t="str">
            <v>CMD</v>
          </cell>
          <cell r="D128" t="str">
            <v>TORNILLO HO.NEGRO CAB.RED. P.METAL     1/4" X 3/4"</v>
          </cell>
        </row>
        <row r="129">
          <cell r="B129">
            <v>965019</v>
          </cell>
          <cell r="C129" t="str">
            <v>CMD</v>
          </cell>
          <cell r="D129" t="str">
            <v>TORNILLO HO.NEGRO CAB.RED. P.METAL       1/4" X 1"</v>
          </cell>
        </row>
        <row r="130">
          <cell r="B130">
            <v>965217</v>
          </cell>
          <cell r="C130" t="str">
            <v>CMD</v>
          </cell>
          <cell r="D130" t="str">
            <v>TORNILLO HO. CAB.RED. P.MADERA NO.8-9        3/4"</v>
          </cell>
        </row>
        <row r="131">
          <cell r="B131">
            <v>965217</v>
          </cell>
          <cell r="C131" t="str">
            <v>MDP</v>
          </cell>
          <cell r="D131" t="str">
            <v>TORNILLO HO. CAB.RED. P.MADERA NO.8-9        3/4"</v>
          </cell>
        </row>
        <row r="132">
          <cell r="B132">
            <v>966065</v>
          </cell>
          <cell r="C132" t="str">
            <v>CMD</v>
          </cell>
          <cell r="D132" t="str">
            <v>TORNILLO HO.NEGRO CAB.PLANA METAL       3/16" X 1"</v>
          </cell>
        </row>
        <row r="133">
          <cell r="B133">
            <v>966066</v>
          </cell>
          <cell r="C133" t="str">
            <v>CMD</v>
          </cell>
          <cell r="D133" t="str">
            <v>TORNILLO HO.NEGRO CAB.PLANA METAL   3/16" X 1.1/2"</v>
          </cell>
        </row>
        <row r="134">
          <cell r="B134">
            <v>966072</v>
          </cell>
          <cell r="C134" t="str">
            <v>CMD</v>
          </cell>
          <cell r="D134" t="str">
            <v>TORNILLO HO.NEGRO CAB.PLANA P.METAL      1/4" X 1"</v>
          </cell>
        </row>
        <row r="135">
          <cell r="B135">
            <v>966258</v>
          </cell>
          <cell r="C135" t="str">
            <v>CMD</v>
          </cell>
          <cell r="D135" t="str">
            <v>TORNILLO HO.NEGRO CAB.PLANA P.MADERA NO.6-7     1"</v>
          </cell>
        </row>
        <row r="136">
          <cell r="B136">
            <v>966264</v>
          </cell>
          <cell r="C136" t="str">
            <v>CMD</v>
          </cell>
          <cell r="D136" t="str">
            <v>TORNILLO HO.NEGRO CAB.PLANA P.MADERA NO.8-9     1"</v>
          </cell>
        </row>
        <row r="137">
          <cell r="B137">
            <v>978090</v>
          </cell>
          <cell r="C137" t="str">
            <v>BRL</v>
          </cell>
          <cell r="D137" t="str">
            <v>TORNILLO AUTOROSCANTE DE ACERO TROPICALIZADO CABEZA ESPECIAL ANTI - ROBO 1/8" / NUMERO 6 X 1"</v>
          </cell>
        </row>
        <row r="138">
          <cell r="B138">
            <v>978098</v>
          </cell>
          <cell r="C138" t="str">
            <v>BRL</v>
          </cell>
          <cell r="D138" t="str">
            <v>TORNILLO AUTOROSCANTE DE ACERO TROPICALIZADO CABEZA ESPECIAL ANTI - ROBO 11/32" / NUMERO 10 X 1/2"</v>
          </cell>
        </row>
        <row r="139">
          <cell r="B139">
            <v>978098</v>
          </cell>
          <cell r="C139" t="str">
            <v>CBC</v>
          </cell>
          <cell r="D139" t="str">
            <v>TORNILLO AUTOROSCANTE DE ACERO TROPICALIZADO CABEZA ESPECIAL ANTI - ROBO 11/32" / NUMERO 10 X 1/2"</v>
          </cell>
        </row>
        <row r="140">
          <cell r="B140">
            <v>978098</v>
          </cell>
          <cell r="C140" t="str">
            <v>CMD</v>
          </cell>
          <cell r="D140" t="str">
            <v>TORNILLO AUTOROSCANTE DE ACERO TROPICALIZADO CABEZA ESPECIAL ANTI - ROBO 11/32" / NUMERO 10 X 1/2"</v>
          </cell>
        </row>
        <row r="141">
          <cell r="B141">
            <v>978098</v>
          </cell>
          <cell r="C141" t="str">
            <v>FBS</v>
          </cell>
          <cell r="D141" t="str">
            <v>TORNILLO AUTOROSCANTE DE ACERO TROPICALIZADO CABEZA ESPECIAL ANTI - ROBO 11/32" / NUMERO 10 X 1/2"</v>
          </cell>
        </row>
        <row r="142">
          <cell r="B142">
            <v>978098</v>
          </cell>
          <cell r="C142" t="str">
            <v>SEI</v>
          </cell>
          <cell r="D142" t="str">
            <v>TORNILLO AUTOROSCANTE DE ACERO TROPICALIZADO CABEZA ESPECIAL ANTI - ROBO 11/32" / NUMERO 10 X 1/2"</v>
          </cell>
        </row>
        <row r="143">
          <cell r="B143">
            <v>978101</v>
          </cell>
          <cell r="C143" t="str">
            <v>CIN</v>
          </cell>
          <cell r="D143" t="str">
            <v>TORNILLO AUTOROSCANTE DE ACERO TROPICALIZADO CABEZA ESPECIAL ANTI - ROBO 11/32" / NUMERO 10 X 3/4"</v>
          </cell>
        </row>
        <row r="144">
          <cell r="B144">
            <v>978101</v>
          </cell>
          <cell r="C144" t="str">
            <v>CMD</v>
          </cell>
          <cell r="D144" t="str">
            <v>TORNILLO AUTOROSCANTE DE ACERO TROPICALIZADO CABEZA ESPECIAL ANTI - ROBO 11/32" / NUMERO 10 X 3/4"</v>
          </cell>
        </row>
        <row r="145">
          <cell r="B145">
            <v>978101</v>
          </cell>
          <cell r="C145" t="str">
            <v>MDP</v>
          </cell>
          <cell r="D145" t="str">
            <v>TORNILLO AUTOROSCANTE DE ACERO TROPICALIZADO CABEZA ESPECIAL ANTI - ROBO 11/32" / NUMERO 10 X 3/4"</v>
          </cell>
        </row>
        <row r="146">
          <cell r="B146">
            <v>978101</v>
          </cell>
          <cell r="C146" t="str">
            <v>SEI</v>
          </cell>
          <cell r="D146" t="str">
            <v>TORNILLO AUTOROSCANTE DE ACERO TROPICALIZADO CABEZA ESPECIAL ANTI - ROBO 11/32" / NUMERO 10 X 3/4"</v>
          </cell>
        </row>
        <row r="147">
          <cell r="B147">
            <v>979015</v>
          </cell>
          <cell r="C147" t="str">
            <v>CMD</v>
          </cell>
          <cell r="D147" t="str">
            <v>TIRAFONDO HO.GALV.  3/8" X 1.1/2"</v>
          </cell>
        </row>
        <row r="148">
          <cell r="B148">
            <v>979015</v>
          </cell>
          <cell r="C148" t="str">
            <v>MDP</v>
          </cell>
          <cell r="D148" t="str">
            <v>TIRAFONDO HO.GALV.  3/8" X 1.1/2"</v>
          </cell>
        </row>
        <row r="149">
          <cell r="B149">
            <v>979015</v>
          </cell>
          <cell r="C149" t="str">
            <v>SEI</v>
          </cell>
          <cell r="D149" t="str">
            <v>TIRAFONDO HO.GALV.  3/8" X 1.1/2"</v>
          </cell>
        </row>
        <row r="150">
          <cell r="B150">
            <v>979016</v>
          </cell>
          <cell r="C150" t="str">
            <v>CMD</v>
          </cell>
          <cell r="D150" t="str">
            <v>TIRAFONDO HO.GALV.  3/8" X 2"</v>
          </cell>
        </row>
        <row r="151">
          <cell r="B151">
            <v>979016</v>
          </cell>
          <cell r="C151" t="str">
            <v>MDP</v>
          </cell>
          <cell r="D151" t="str">
            <v>TIRAFONDO HO.GALV.  3/8" X 2"</v>
          </cell>
        </row>
        <row r="152">
          <cell r="B152">
            <v>979016</v>
          </cell>
          <cell r="C152" t="str">
            <v>SEI</v>
          </cell>
          <cell r="D152" t="str">
            <v>TIRAFONDO HO.GALV.  3/8" X 2"</v>
          </cell>
        </row>
        <row r="153">
          <cell r="B153">
            <v>979017</v>
          </cell>
          <cell r="C153" t="str">
            <v>CMD</v>
          </cell>
          <cell r="D153" t="str">
            <v>TIRAFONDO HO.GALV.  3/8" X 2.1/2"</v>
          </cell>
        </row>
        <row r="154">
          <cell r="B154">
            <v>979017</v>
          </cell>
          <cell r="C154" t="str">
            <v>MDP</v>
          </cell>
          <cell r="D154" t="str">
            <v>TIRAFONDO HO.GALV.  3/8" X 2.1/2"</v>
          </cell>
        </row>
        <row r="155">
          <cell r="B155">
            <v>979017</v>
          </cell>
          <cell r="C155" t="str">
            <v>SEI</v>
          </cell>
          <cell r="D155" t="str">
            <v>TIRAFONDO HO.GALV.  3/8" X 2.1/2"</v>
          </cell>
        </row>
        <row r="156">
          <cell r="B156">
            <v>979018</v>
          </cell>
          <cell r="C156" t="str">
            <v>CMD</v>
          </cell>
          <cell r="D156" t="str">
            <v>TIRAFONDO HO.GALV.  3/8" X 3"</v>
          </cell>
        </row>
        <row r="157">
          <cell r="B157">
            <v>979018</v>
          </cell>
          <cell r="C157" t="str">
            <v>MDP</v>
          </cell>
          <cell r="D157" t="str">
            <v>TIRAFONDO HO.GALV.  3/8" X 3"</v>
          </cell>
        </row>
        <row r="158">
          <cell r="B158">
            <v>979022</v>
          </cell>
          <cell r="C158" t="str">
            <v>CMD</v>
          </cell>
          <cell r="D158" t="str">
            <v>TIRAFONDO HO.GALV.  1/2" X 3"</v>
          </cell>
        </row>
        <row r="159">
          <cell r="B159">
            <v>979022</v>
          </cell>
          <cell r="C159" t="str">
            <v>MDP</v>
          </cell>
          <cell r="D159" t="str">
            <v>TIRAFONDO HO.GALV.  1/2" X 3"</v>
          </cell>
        </row>
        <row r="160">
          <cell r="B160">
            <v>979102</v>
          </cell>
          <cell r="C160" t="str">
            <v>CMD</v>
          </cell>
          <cell r="D160" t="str">
            <v>TIRAFONDO HO.GALVANIZADO               5/16" X 2"</v>
          </cell>
        </row>
        <row r="161">
          <cell r="B161">
            <v>979102</v>
          </cell>
          <cell r="C161" t="str">
            <v>MDP</v>
          </cell>
          <cell r="D161" t="str">
            <v>TIRAFONDO HO.GALVANIZADO               5/16" X 2"</v>
          </cell>
        </row>
        <row r="162">
          <cell r="B162">
            <v>989032</v>
          </cell>
          <cell r="C162" t="str">
            <v>EMS</v>
          </cell>
          <cell r="D162" t="str">
            <v>TUERCA CONICA DE BRONCE P.SISTEMA ANTIRROBO 5/16" X 5/8" X 3/8"</v>
          </cell>
        </row>
        <row r="163">
          <cell r="B163">
            <v>989032</v>
          </cell>
          <cell r="C163" t="str">
            <v>FAS</v>
          </cell>
          <cell r="D163" t="str">
            <v>TUERCA CONICA DE BRONCE P.SISTEMA ANTIRROBO 5/16" X 5/8" X 3/8"</v>
          </cell>
        </row>
        <row r="164">
          <cell r="B164">
            <v>989032</v>
          </cell>
          <cell r="C164" t="str">
            <v>TAL</v>
          </cell>
          <cell r="D164" t="str">
            <v>TUERCA CONICA DE BRONCE P.SISTEMA ANTIRROBO 5/16" X 5/8" X 3/8"</v>
          </cell>
        </row>
        <row r="165">
          <cell r="B165">
            <v>991112</v>
          </cell>
          <cell r="C165" t="str">
            <v>ELR</v>
          </cell>
          <cell r="D165" t="str">
            <v>ARANDELA PLANA AC.GALV. PERNO  5/16"</v>
          </cell>
        </row>
        <row r="166">
          <cell r="B166">
            <v>991112</v>
          </cell>
          <cell r="C166" t="str">
            <v>MDP</v>
          </cell>
          <cell r="D166" t="str">
            <v>ARANDELA PLANA AC.GALV. PERNO  5/16"</v>
          </cell>
        </row>
        <row r="167">
          <cell r="B167">
            <v>991112</v>
          </cell>
          <cell r="C167" t="str">
            <v>PTT</v>
          </cell>
          <cell r="D167" t="str">
            <v>ARANDELA PLANA AC.GALV. PERNO  5/16"</v>
          </cell>
        </row>
        <row r="168">
          <cell r="B168">
            <v>991112</v>
          </cell>
          <cell r="C168" t="str">
            <v>SEI</v>
          </cell>
          <cell r="D168" t="str">
            <v>ARANDELA PLANA AC.GALV. PERNO  5/16"</v>
          </cell>
        </row>
        <row r="169">
          <cell r="B169">
            <v>991113</v>
          </cell>
          <cell r="C169" t="str">
            <v>BRL</v>
          </cell>
          <cell r="D169" t="str">
            <v>ARANDELA PLANA AC.GALV. PERNO  3/8"</v>
          </cell>
        </row>
        <row r="170">
          <cell r="B170">
            <v>991113</v>
          </cell>
          <cell r="C170" t="str">
            <v>CMD</v>
          </cell>
          <cell r="D170" t="str">
            <v>ARANDELA PLANA AC.GALV. PERNO  3/8"</v>
          </cell>
        </row>
        <row r="171">
          <cell r="B171">
            <v>991113</v>
          </cell>
          <cell r="C171" t="str">
            <v>ELR</v>
          </cell>
          <cell r="D171" t="str">
            <v>ARANDELA PLANA AC.GALV. PERNO  3/8"</v>
          </cell>
        </row>
        <row r="172">
          <cell r="B172">
            <v>991113</v>
          </cell>
          <cell r="C172" t="str">
            <v>MDP</v>
          </cell>
          <cell r="D172" t="str">
            <v>ARANDELA PLANA AC.GALV. PERNO  3/8"</v>
          </cell>
        </row>
        <row r="173">
          <cell r="B173">
            <v>991113</v>
          </cell>
          <cell r="C173" t="str">
            <v>PTT</v>
          </cell>
          <cell r="D173" t="str">
            <v>ARANDELA PLANA AC.GALV. PERNO  3/8"</v>
          </cell>
        </row>
        <row r="174">
          <cell r="B174">
            <v>991113</v>
          </cell>
          <cell r="C174" t="str">
            <v>SEI</v>
          </cell>
          <cell r="D174" t="str">
            <v>ARANDELA PLANA AC.GALV. PERNO  3/8"</v>
          </cell>
        </row>
        <row r="175">
          <cell r="B175">
            <v>991115</v>
          </cell>
          <cell r="C175" t="str">
            <v>BRL</v>
          </cell>
          <cell r="D175" t="str">
            <v>ARANDELA PLANA AC.GALV. PERNO  1/2"</v>
          </cell>
        </row>
        <row r="176">
          <cell r="B176">
            <v>991115</v>
          </cell>
          <cell r="C176" t="str">
            <v>CBC</v>
          </cell>
          <cell r="D176" t="str">
            <v>ARANDELA PLANA AC.GALV. PERNO  1/2"</v>
          </cell>
        </row>
        <row r="177">
          <cell r="B177">
            <v>991115</v>
          </cell>
          <cell r="C177" t="str">
            <v>MDP</v>
          </cell>
          <cell r="D177" t="str">
            <v>ARANDELA PLANA AC.GALV. PERNO  1/2"</v>
          </cell>
        </row>
        <row r="178">
          <cell r="B178">
            <v>991115</v>
          </cell>
          <cell r="C178" t="str">
            <v>PTT</v>
          </cell>
          <cell r="D178" t="str">
            <v>ARANDELA PLANA AC.GALV. PERNO  1/2"</v>
          </cell>
        </row>
        <row r="179">
          <cell r="B179">
            <v>991115</v>
          </cell>
          <cell r="C179" t="str">
            <v>SEI</v>
          </cell>
          <cell r="D179" t="str">
            <v>ARANDELA PLANA AC.GALV. PERNO  1/2"</v>
          </cell>
        </row>
        <row r="180">
          <cell r="B180">
            <v>991117</v>
          </cell>
          <cell r="C180" t="str">
            <v>BRL</v>
          </cell>
          <cell r="D180" t="str">
            <v>ARANDELA PLANA AC.GALV. PERNO  5/8"</v>
          </cell>
        </row>
        <row r="181">
          <cell r="B181">
            <v>991117</v>
          </cell>
          <cell r="C181" t="str">
            <v>CBC</v>
          </cell>
          <cell r="D181" t="str">
            <v>ARANDELA PLANA AC.GALV. PERNO  5/8"</v>
          </cell>
        </row>
        <row r="182">
          <cell r="B182">
            <v>991117</v>
          </cell>
          <cell r="C182" t="str">
            <v>PTT</v>
          </cell>
          <cell r="D182" t="str">
            <v>ARANDELA PLANA AC.GALV. PERNO  5/8"</v>
          </cell>
        </row>
        <row r="183">
          <cell r="B183">
            <v>991117</v>
          </cell>
          <cell r="C183" t="str">
            <v>SEI</v>
          </cell>
          <cell r="D183" t="str">
            <v>ARANDELA PLANA AC.GALV. PERNO  5/8"</v>
          </cell>
        </row>
        <row r="184">
          <cell r="B184">
            <v>991121</v>
          </cell>
          <cell r="C184" t="str">
            <v>CMD</v>
          </cell>
          <cell r="D184" t="str">
            <v>ARANDELA PLANA AC.GALV. 1/4 PULG.</v>
          </cell>
        </row>
        <row r="185">
          <cell r="B185">
            <v>991121</v>
          </cell>
          <cell r="C185" t="str">
            <v>ELR</v>
          </cell>
          <cell r="D185" t="str">
            <v>ARANDELA PLANA AC.GALV. 1/4 PULG.</v>
          </cell>
        </row>
        <row r="186">
          <cell r="B186">
            <v>991121</v>
          </cell>
          <cell r="C186" t="str">
            <v>MDP</v>
          </cell>
          <cell r="D186" t="str">
            <v>ARANDELA PLANA AC.GALV. 1/4 PULG.</v>
          </cell>
        </row>
        <row r="187">
          <cell r="B187">
            <v>991121</v>
          </cell>
          <cell r="C187" t="str">
            <v>PTT</v>
          </cell>
          <cell r="D187" t="str">
            <v>ARANDELA PLANA AC.GALV. 1/4 PULG.</v>
          </cell>
        </row>
        <row r="188">
          <cell r="B188">
            <v>991121</v>
          </cell>
          <cell r="C188" t="str">
            <v>SEI</v>
          </cell>
          <cell r="D188" t="str">
            <v>ARANDELA PLANA AC.GALV. 1/4 PULG.</v>
          </cell>
        </row>
        <row r="189">
          <cell r="B189">
            <v>992113</v>
          </cell>
          <cell r="C189" t="str">
            <v>BRL</v>
          </cell>
          <cell r="D189" t="str">
            <v>ARANDELA PRESION AC.GALV. P.PERNO DE 3/8"</v>
          </cell>
        </row>
        <row r="190">
          <cell r="B190">
            <v>992113</v>
          </cell>
          <cell r="C190" t="str">
            <v>CBC</v>
          </cell>
          <cell r="D190" t="str">
            <v>ARANDELA PRESION AC.GALV. P.PERNO DE 3/8"</v>
          </cell>
        </row>
        <row r="191">
          <cell r="B191">
            <v>992115</v>
          </cell>
          <cell r="C191" t="str">
            <v>BRL</v>
          </cell>
          <cell r="D191" t="str">
            <v>ARANDELA PRESION AC.GALV. P.PERNO DE 1/2"</v>
          </cell>
        </row>
        <row r="192">
          <cell r="B192">
            <v>992115</v>
          </cell>
          <cell r="C192" t="str">
            <v>CBC</v>
          </cell>
          <cell r="D192" t="str">
            <v>ARANDELA PRESION AC.GALV. P.PERNO DE 1/2"</v>
          </cell>
        </row>
        <row r="193">
          <cell r="B193">
            <v>1014207</v>
          </cell>
          <cell r="C193" t="str">
            <v>BAN</v>
          </cell>
          <cell r="D193" t="str">
            <v>FLEJE AC. INOX. ANCHO 13MM.</v>
          </cell>
        </row>
        <row r="194">
          <cell r="B194">
            <v>1014207</v>
          </cell>
          <cell r="C194" t="str">
            <v>HAB</v>
          </cell>
          <cell r="D194" t="str">
            <v>FLEJE AC. INOX. ANCHO 13MM.</v>
          </cell>
        </row>
        <row r="195">
          <cell r="B195">
            <v>1014207</v>
          </cell>
          <cell r="C195" t="str">
            <v>ITS</v>
          </cell>
          <cell r="D195" t="str">
            <v>FLEJE AC. INOX. ANCHO 13MM.</v>
          </cell>
        </row>
        <row r="196">
          <cell r="B196">
            <v>1014207</v>
          </cell>
          <cell r="C196" t="str">
            <v>PET</v>
          </cell>
          <cell r="D196" t="str">
            <v>FLEJE AC. INOX. ANCHO 13MM.</v>
          </cell>
        </row>
        <row r="197">
          <cell r="B197">
            <v>1014214</v>
          </cell>
          <cell r="C197" t="str">
            <v>BAN</v>
          </cell>
          <cell r="D197" t="str">
            <v>FLEJE AC. INOX. ANCHO 19MM.</v>
          </cell>
        </row>
        <row r="198">
          <cell r="B198">
            <v>1014214</v>
          </cell>
          <cell r="C198" t="str">
            <v>HAB</v>
          </cell>
          <cell r="D198" t="str">
            <v>FLEJE AC. INOX. ANCHO 19MM.</v>
          </cell>
        </row>
        <row r="199">
          <cell r="B199">
            <v>1014214</v>
          </cell>
          <cell r="C199" t="str">
            <v>ITS</v>
          </cell>
          <cell r="D199" t="str">
            <v>FLEJE AC. INOX. ANCHO 19MM.</v>
          </cell>
        </row>
        <row r="200">
          <cell r="B200">
            <v>1014214</v>
          </cell>
          <cell r="C200" t="str">
            <v>PET</v>
          </cell>
          <cell r="D200" t="str">
            <v>FLEJE AC. INOX. ANCHO 19MM.</v>
          </cell>
        </row>
        <row r="201">
          <cell r="B201">
            <v>1014216</v>
          </cell>
          <cell r="C201" t="str">
            <v>BAN</v>
          </cell>
          <cell r="D201" t="str">
            <v>FLEJE AC. INOX.  0.8 X 19 MM. X 30 M.</v>
          </cell>
        </row>
        <row r="202">
          <cell r="B202">
            <v>1014216</v>
          </cell>
          <cell r="C202" t="str">
            <v>PET</v>
          </cell>
          <cell r="D202" t="str">
            <v>FLEJE AC. INOX.  0.8 X 19 MM. X 30 M.</v>
          </cell>
        </row>
        <row r="203">
          <cell r="B203">
            <v>1014307</v>
          </cell>
          <cell r="C203" t="str">
            <v>BAN</v>
          </cell>
          <cell r="D203" t="str">
            <v>GRAPA (HEBILLA) AC. INOX. P.FLEJE 13MM. ANCHO</v>
          </cell>
        </row>
        <row r="204">
          <cell r="B204">
            <v>1014307</v>
          </cell>
          <cell r="C204" t="str">
            <v>HAB</v>
          </cell>
          <cell r="D204" t="str">
            <v>GRAPA (HEBILLA) AC. INOX. P.FLEJE 13MM. ANCHO</v>
          </cell>
        </row>
        <row r="205">
          <cell r="B205">
            <v>1014307</v>
          </cell>
          <cell r="C205" t="str">
            <v>ITS</v>
          </cell>
          <cell r="D205" t="str">
            <v>GRAPA (HEBILLA) AC. INOX. P.FLEJE 13MM. ANCHO</v>
          </cell>
        </row>
        <row r="206">
          <cell r="B206">
            <v>1014307</v>
          </cell>
          <cell r="C206" t="str">
            <v>PET</v>
          </cell>
          <cell r="D206" t="str">
            <v>GRAPA (HEBILLA) AC. INOX. P.FLEJE 13MM. ANCHO</v>
          </cell>
        </row>
        <row r="207">
          <cell r="B207">
            <v>1014309</v>
          </cell>
          <cell r="C207" t="str">
            <v>BAN</v>
          </cell>
          <cell r="D207" t="str">
            <v>GRAPA (HEBILLA) AC. INOX. P.FLEJE 19MM. ANCHO</v>
          </cell>
        </row>
        <row r="208">
          <cell r="B208">
            <v>1014309</v>
          </cell>
          <cell r="C208" t="str">
            <v>HAB</v>
          </cell>
          <cell r="D208" t="str">
            <v>GRAPA (HEBILLA) AC. INOX. P.FLEJE 19MM. ANCHO</v>
          </cell>
        </row>
        <row r="209">
          <cell r="B209">
            <v>1014309</v>
          </cell>
          <cell r="C209" t="str">
            <v>ITS</v>
          </cell>
          <cell r="D209" t="str">
            <v>GRAPA (HEBILLA) AC. INOX. P.FLEJE 19MM. ANCHO</v>
          </cell>
        </row>
        <row r="210">
          <cell r="B210">
            <v>1014309</v>
          </cell>
          <cell r="C210" t="str">
            <v>PET</v>
          </cell>
          <cell r="D210" t="str">
            <v>GRAPA (HEBILLA) AC. INOX. P.FLEJE 19MM. ANCHO</v>
          </cell>
        </row>
        <row r="211">
          <cell r="B211">
            <v>1015413</v>
          </cell>
          <cell r="C211" t="str">
            <v>CBC</v>
          </cell>
          <cell r="D211" t="str">
            <v>GUARDACABO DE ACERO GALV. P.CABLE 13MM DIAM. 1,5MM ESPESOR P.PROTEGER CABLE PORTANTE</v>
          </cell>
        </row>
        <row r="212">
          <cell r="B212">
            <v>1015413</v>
          </cell>
          <cell r="C212" t="str">
            <v>ELD</v>
          </cell>
          <cell r="D212" t="str">
            <v>GUARDACABO DE ACERO GALV. P.CABLE 13MM DIAM. 1,5MM ESPESOR P.PROTEGER CABLE PORTANTE</v>
          </cell>
        </row>
        <row r="213">
          <cell r="B213">
            <v>1021007</v>
          </cell>
          <cell r="C213" t="str">
            <v>FTE</v>
          </cell>
          <cell r="D213" t="str">
            <v>CANDADO AMAESTRADO DE AC.CROMADO  25 X 45 X 60MM.</v>
          </cell>
        </row>
        <row r="214">
          <cell r="B214">
            <v>1021113</v>
          </cell>
          <cell r="C214" t="str">
            <v>FTE</v>
          </cell>
          <cell r="D214" t="str">
            <v>CANDADO DE BRONCE TP.SERIADO 50MM LONG. P.SED C.S. CHACARILLA</v>
          </cell>
        </row>
        <row r="215">
          <cell r="B215">
            <v>1021113</v>
          </cell>
          <cell r="C215" t="str">
            <v>TRA</v>
          </cell>
          <cell r="D215" t="str">
            <v>CANDADO DE BRONCE TP.SERIADO 50MM LONG. P.SED C.S. CHACARILLA</v>
          </cell>
        </row>
        <row r="216">
          <cell r="B216">
            <v>1021114</v>
          </cell>
          <cell r="C216" t="str">
            <v>FTE</v>
          </cell>
          <cell r="D216" t="str">
            <v>CANDADO DE BRONCE TP.SERIADO 50MM LONG. P.SED C.S. SAN JUAN</v>
          </cell>
        </row>
        <row r="217">
          <cell r="B217">
            <v>1021114</v>
          </cell>
          <cell r="C217" t="str">
            <v>TRA</v>
          </cell>
          <cell r="D217" t="str">
            <v>CANDADO DE BRONCE TP.SERIADO 50MM LONG. P.SED C.S. SAN JUAN</v>
          </cell>
        </row>
        <row r="218">
          <cell r="B218">
            <v>1021115</v>
          </cell>
          <cell r="C218" t="str">
            <v>FTE</v>
          </cell>
          <cell r="D218" t="str">
            <v>CANDADO DE BRONCE TP.SERIADO 50MM LONG. P.MAXIMETRO C.S. SAN JUAN</v>
          </cell>
        </row>
        <row r="219">
          <cell r="B219">
            <v>1021115</v>
          </cell>
          <cell r="C219" t="str">
            <v>TRA</v>
          </cell>
          <cell r="D219" t="str">
            <v>CANDADO DE BRONCE TP.SERIADO 50MM LONG. P.MAXIMETRO C.S. SAN JUAN</v>
          </cell>
        </row>
        <row r="220">
          <cell r="B220">
            <v>1021118</v>
          </cell>
          <cell r="C220" t="str">
            <v>FTE</v>
          </cell>
          <cell r="D220" t="str">
            <v>CANDADO DE BRONCE TP.SERIADO 50MM LONG. P.MAXIMETRO C.S. VITARTE</v>
          </cell>
        </row>
        <row r="221">
          <cell r="B221">
            <v>1021118</v>
          </cell>
          <cell r="C221" t="str">
            <v>TRA</v>
          </cell>
          <cell r="D221" t="str">
            <v>CANDADO DE BRONCE TP.SERIADO 50MM LONG. P.MAXIMETRO C.S. VITARTE</v>
          </cell>
        </row>
        <row r="222">
          <cell r="B222">
            <v>1021120</v>
          </cell>
          <cell r="C222" t="str">
            <v>B&amp;D</v>
          </cell>
          <cell r="D222" t="str">
            <v>CANDADO DE BRONCE TP.SERIADO 50MM LONG. C.ROTULADO P.SUBESTACIONES DE DISTRIBUCION</v>
          </cell>
        </row>
        <row r="223">
          <cell r="B223">
            <v>1021120</v>
          </cell>
          <cell r="C223" t="str">
            <v>FTE</v>
          </cell>
          <cell r="D223" t="str">
            <v>CANDADO DE BRONCE TP.SERIADO 50MM LONG. C.ROTULADO P.SUBESTACIONES DE DISTRIBUCION</v>
          </cell>
        </row>
        <row r="224">
          <cell r="B224">
            <v>1021120</v>
          </cell>
          <cell r="C224" t="str">
            <v>FXS</v>
          </cell>
          <cell r="D224" t="str">
            <v>CANDADO DE BRONCE TP.SERIADO 50MM LONG. C.ROTULADO P.SUBESTACIONES DE DISTRIBUCION</v>
          </cell>
        </row>
        <row r="225">
          <cell r="B225">
            <v>1021123</v>
          </cell>
          <cell r="C225" t="str">
            <v>B&amp;D</v>
          </cell>
          <cell r="D225" t="str">
            <v>CANDADO DE BRONCE TP.SERIADO 50MM LONG. C.ROTULADO P.MAXIMETRO</v>
          </cell>
        </row>
        <row r="226">
          <cell r="B226">
            <v>1021123</v>
          </cell>
          <cell r="C226" t="str">
            <v>FTE</v>
          </cell>
          <cell r="D226" t="str">
            <v>CANDADO DE BRONCE TP.SERIADO 50MM LONG. C.ROTULADO P.MAXIMETRO</v>
          </cell>
        </row>
        <row r="227">
          <cell r="B227">
            <v>1021123</v>
          </cell>
          <cell r="C227" t="str">
            <v>FXS</v>
          </cell>
          <cell r="D227" t="str">
            <v>CANDADO DE BRONCE TP.SERIADO 50MM LONG. C.ROTULADO P.MAXIMETRO</v>
          </cell>
        </row>
        <row r="228">
          <cell r="B228">
            <v>1021234</v>
          </cell>
          <cell r="C228" t="str">
            <v>KES</v>
          </cell>
          <cell r="D228" t="str">
            <v>CERRADURA UNIVERSAL AMAESTRADO P.CJ.MET.TABLERO</v>
          </cell>
        </row>
        <row r="229">
          <cell r="B229">
            <v>1021240</v>
          </cell>
          <cell r="C229" t="str">
            <v>BRK</v>
          </cell>
          <cell r="D229" t="str">
            <v>CERRADURA TP. BARRIL MODELO G1</v>
          </cell>
        </row>
        <row r="230">
          <cell r="B230">
            <v>1021242</v>
          </cell>
          <cell r="C230" t="str">
            <v>BRK</v>
          </cell>
          <cell r="D230" t="str">
            <v>CERRADURA TP. BARRIL MODELO G2</v>
          </cell>
        </row>
        <row r="231">
          <cell r="B231">
            <v>1021244</v>
          </cell>
          <cell r="C231" t="str">
            <v>BRK</v>
          </cell>
          <cell r="D231" t="str">
            <v>CERRADURA TP. BARRIL MODELO G3</v>
          </cell>
        </row>
        <row r="232">
          <cell r="B232">
            <v>1021255</v>
          </cell>
          <cell r="C232" t="str">
            <v>MLK</v>
          </cell>
          <cell r="D232" t="str">
            <v>CERRADURA DE ACERO C.SISTEMA DE CILINDRO DE PINES, LLAVE INTELIGENTE P.PUERTA DE SUBESTACION</v>
          </cell>
        </row>
        <row r="233">
          <cell r="B233">
            <v>1021257</v>
          </cell>
          <cell r="C233" t="str">
            <v>MCO</v>
          </cell>
          <cell r="D233" t="str">
            <v>CERRADURA DE ACERO C.SISTEMA DE CILINDRO DE PINES, LLAVE DE CORTES ANGULARES P.PUERTA DE SUBESTACION</v>
          </cell>
        </row>
        <row r="234">
          <cell r="B234">
            <v>1021419</v>
          </cell>
          <cell r="C234" t="str">
            <v>FAS</v>
          </cell>
          <cell r="D234" t="str">
            <v>LLAVE MAESTRA P.CERRADURA CJ.MED. EN TAB.DISTRIB.</v>
          </cell>
        </row>
        <row r="235">
          <cell r="B235">
            <v>1021419</v>
          </cell>
          <cell r="C235" t="str">
            <v>TAL</v>
          </cell>
          <cell r="D235" t="str">
            <v>LLAVE MAESTRA P.CERRADURA CJ.MED. EN TAB.DISTRIB.</v>
          </cell>
        </row>
        <row r="236">
          <cell r="B236">
            <v>1021431</v>
          </cell>
          <cell r="C236" t="str">
            <v>IAT</v>
          </cell>
          <cell r="D236" t="str">
            <v>LLAVE TRIANG. AC.CROMADO P.CERRADURA</v>
          </cell>
        </row>
        <row r="237">
          <cell r="B237">
            <v>1021431</v>
          </cell>
          <cell r="C237" t="str">
            <v>TAL</v>
          </cell>
          <cell r="D237" t="str">
            <v>LLAVE TRIANG. AC.CROMADO P.CERRADURA</v>
          </cell>
        </row>
        <row r="238">
          <cell r="B238">
            <v>1021441</v>
          </cell>
          <cell r="C238" t="str">
            <v>BRK</v>
          </cell>
          <cell r="D238" t="str">
            <v>LLAVE P. CERRADURA TP.BARRIL MODELO G1 P.MED.DIRECTA</v>
          </cell>
        </row>
        <row r="239">
          <cell r="B239">
            <v>1021442</v>
          </cell>
          <cell r="C239" t="str">
            <v>BRK</v>
          </cell>
          <cell r="D239" t="str">
            <v>LLAVE P.CERRADURA TP.BARRIL MODELO G2 P.MED.INDIRECTA</v>
          </cell>
        </row>
        <row r="240">
          <cell r="B240">
            <v>1021446</v>
          </cell>
          <cell r="C240" t="str">
            <v>BRK</v>
          </cell>
          <cell r="D240" t="str">
            <v>LLAVE P.CERRADURA TP.BARRIL MODLO G3 P.MED.INDIRECTA</v>
          </cell>
        </row>
        <row r="241">
          <cell r="B241">
            <v>1021917</v>
          </cell>
          <cell r="C241" t="str">
            <v>KES</v>
          </cell>
          <cell r="D241" t="str">
            <v>CILINDRO AMAESTRADO P. CERRADURA EN SE.</v>
          </cell>
        </row>
        <row r="242">
          <cell r="B242">
            <v>1022910</v>
          </cell>
          <cell r="C242" t="str">
            <v>CMD</v>
          </cell>
          <cell r="D242" t="str">
            <v>ARMELLA DE ACERO GALV. 1/4" X 2"</v>
          </cell>
        </row>
        <row r="243">
          <cell r="B243">
            <v>1022910</v>
          </cell>
          <cell r="C243" t="str">
            <v>ELC</v>
          </cell>
          <cell r="D243" t="str">
            <v>ARMELLA DE ACERO GALV. 1/4" X 2"</v>
          </cell>
        </row>
        <row r="244">
          <cell r="B244">
            <v>1022910</v>
          </cell>
          <cell r="C244" t="str">
            <v>ELD</v>
          </cell>
          <cell r="D244" t="str">
            <v>ARMELLA DE ACERO GALV. 1/4" X 2"</v>
          </cell>
        </row>
        <row r="245">
          <cell r="B245">
            <v>1035121</v>
          </cell>
          <cell r="C245" t="str">
            <v>FNP</v>
          </cell>
          <cell r="D245" t="str">
            <v>CURVA PVC TP. SAP P. INST. ELECT. 90  3/4" P.CURVAS</v>
          </cell>
        </row>
        <row r="246">
          <cell r="B246">
            <v>1035121</v>
          </cell>
          <cell r="C246" t="str">
            <v>MAT</v>
          </cell>
          <cell r="D246" t="str">
            <v>CURVA PVC TP. SAP P. INST. ELECT. 90  3/4" P.CURVAS</v>
          </cell>
        </row>
        <row r="247">
          <cell r="B247">
            <v>1035121</v>
          </cell>
          <cell r="C247" t="str">
            <v>PLS</v>
          </cell>
          <cell r="D247" t="str">
            <v>CURVA PVC TP. SAP P. INST. ELECT. 90  3/4" P.CURVAS</v>
          </cell>
        </row>
        <row r="248">
          <cell r="B248">
            <v>1035121</v>
          </cell>
          <cell r="C248" t="str">
            <v>PTB</v>
          </cell>
          <cell r="D248" t="str">
            <v>CURVA PVC TP. SAP P. INST. ELECT. 90  3/4" P.CURVAS</v>
          </cell>
        </row>
        <row r="249">
          <cell r="B249">
            <v>1035123</v>
          </cell>
          <cell r="C249" t="str">
            <v>FNP</v>
          </cell>
          <cell r="D249" t="str">
            <v>CURVA PVC TP. SAP P. INST. ELECT. 90   1" DIAM.</v>
          </cell>
        </row>
        <row r="250">
          <cell r="B250">
            <v>1035123</v>
          </cell>
          <cell r="C250" t="str">
            <v>MAT</v>
          </cell>
          <cell r="D250" t="str">
            <v>CURVA PVC TP. SAP P. INST. ELECT. 90   1" DIAM.</v>
          </cell>
        </row>
        <row r="251">
          <cell r="B251">
            <v>1035123</v>
          </cell>
          <cell r="C251" t="str">
            <v>PLS</v>
          </cell>
          <cell r="D251" t="str">
            <v>CURVA PVC TP. SAP P. INST. ELECT. 90   1" DIAM.</v>
          </cell>
        </row>
        <row r="252">
          <cell r="B252">
            <v>1035123</v>
          </cell>
          <cell r="C252" t="str">
            <v>PTB</v>
          </cell>
          <cell r="D252" t="str">
            <v>CURVA PVC TP. SAP P. INST. ELECT. 90   1" DIAM.</v>
          </cell>
        </row>
        <row r="253">
          <cell r="B253">
            <v>1035124</v>
          </cell>
          <cell r="C253" t="str">
            <v>FNP</v>
          </cell>
          <cell r="D253" t="str">
            <v>CURVA PVC TP. SAP P. INST. ELECT. 90   1.1/2" DIAM.</v>
          </cell>
        </row>
        <row r="254">
          <cell r="B254">
            <v>1035124</v>
          </cell>
          <cell r="C254" t="str">
            <v>MAT</v>
          </cell>
          <cell r="D254" t="str">
            <v>CURVA PVC TP. SAP P. INST. ELECT. 90   1.1/2" DIAM.</v>
          </cell>
        </row>
        <row r="255">
          <cell r="B255">
            <v>1035124</v>
          </cell>
          <cell r="C255" t="str">
            <v>PLS</v>
          </cell>
          <cell r="D255" t="str">
            <v>CURVA PVC TP. SAP P. INST. ELECT. 90   1.1/2" DIAM.</v>
          </cell>
        </row>
        <row r="256">
          <cell r="B256">
            <v>1035124</v>
          </cell>
          <cell r="C256" t="str">
            <v>PTB</v>
          </cell>
          <cell r="D256" t="str">
            <v>CURVA PVC TP. SAP P. INST. ELECT. 90   1.1/2" DIAM.</v>
          </cell>
        </row>
        <row r="257">
          <cell r="B257">
            <v>1035125</v>
          </cell>
          <cell r="C257" t="str">
            <v>FNP</v>
          </cell>
          <cell r="D257" t="str">
            <v>CURVA PVC TP. SAP P. INST. ELECT. 90   2" DIAM.</v>
          </cell>
        </row>
        <row r="258">
          <cell r="B258">
            <v>1035125</v>
          </cell>
          <cell r="C258" t="str">
            <v>MAT</v>
          </cell>
          <cell r="D258" t="str">
            <v>CURVA PVC TP. SAP P. INST. ELECT. 90   2" DIAM.</v>
          </cell>
        </row>
        <row r="259">
          <cell r="B259">
            <v>1035125</v>
          </cell>
          <cell r="C259" t="str">
            <v>PLS</v>
          </cell>
          <cell r="D259" t="str">
            <v>CURVA PVC TP. SAP P. INST. ELECT. 90   2" DIAM.</v>
          </cell>
        </row>
        <row r="260">
          <cell r="B260">
            <v>1035125</v>
          </cell>
          <cell r="C260" t="str">
            <v>PTB</v>
          </cell>
          <cell r="D260" t="str">
            <v>CURVA PVC TP. SAP P. INST. ELECT. 90   2" DIAM.</v>
          </cell>
        </row>
        <row r="261">
          <cell r="B261">
            <v>1035127</v>
          </cell>
          <cell r="C261" t="str">
            <v>FNP</v>
          </cell>
          <cell r="D261" t="str">
            <v>CURVA PVC TP. SAP P. INST. ELECT. 90   3" DIAM.</v>
          </cell>
        </row>
        <row r="262">
          <cell r="B262">
            <v>1035127</v>
          </cell>
          <cell r="C262" t="str">
            <v>MAT</v>
          </cell>
          <cell r="D262" t="str">
            <v>CURVA PVC TP. SAP P. INST. ELECT. 90   3" DIAM.</v>
          </cell>
        </row>
        <row r="263">
          <cell r="B263">
            <v>1035127</v>
          </cell>
          <cell r="C263" t="str">
            <v>PLS</v>
          </cell>
          <cell r="D263" t="str">
            <v>CURVA PVC TP. SAP P. INST. ELECT. 90   3" DIAM.</v>
          </cell>
        </row>
        <row r="264">
          <cell r="B264">
            <v>1035127</v>
          </cell>
          <cell r="C264" t="str">
            <v>PTB</v>
          </cell>
          <cell r="D264" t="str">
            <v>CURVA PVC TP. SAP P. INST. ELECT. 90   3" DIAM.</v>
          </cell>
        </row>
        <row r="265">
          <cell r="B265">
            <v>1035128</v>
          </cell>
          <cell r="C265" t="str">
            <v>FNP</v>
          </cell>
          <cell r="D265" t="str">
            <v>CURVA PVC TP. SAP P. INST. ELECT. 90   4" DIAM.</v>
          </cell>
        </row>
        <row r="266">
          <cell r="B266">
            <v>1035128</v>
          </cell>
          <cell r="C266" t="str">
            <v>MAT</v>
          </cell>
          <cell r="D266" t="str">
            <v>CURVA PVC TP. SAP P. INST. ELECT. 90   4" DIAM.</v>
          </cell>
        </row>
        <row r="267">
          <cell r="B267">
            <v>1035128</v>
          </cell>
          <cell r="C267" t="str">
            <v>PLS</v>
          </cell>
          <cell r="D267" t="str">
            <v>CURVA PVC TP. SAP P. INST. ELECT. 90   4" DIAM.</v>
          </cell>
        </row>
        <row r="268">
          <cell r="B268">
            <v>1035128</v>
          </cell>
          <cell r="C268" t="str">
            <v>PTB</v>
          </cell>
          <cell r="D268" t="str">
            <v>CURVA PVC TP. SAP P. INST. ELECT. 90   4" DIAM.</v>
          </cell>
        </row>
        <row r="269">
          <cell r="B269">
            <v>1035712</v>
          </cell>
          <cell r="C269" t="str">
            <v>AMA</v>
          </cell>
          <cell r="D269" t="str">
            <v>TUBO DE PVC TIPO SAP DE 3/4" / 20MM DIAM.P.INSTALACION ELECTRICA</v>
          </cell>
        </row>
        <row r="270">
          <cell r="B270">
            <v>1035712</v>
          </cell>
          <cell r="C270" t="str">
            <v>FNP</v>
          </cell>
          <cell r="D270" t="str">
            <v>TUBO DE PVC TIPO SAP DE 3/4" / 20MM DIAM.P.INSTALACION ELECTRICA</v>
          </cell>
        </row>
        <row r="271">
          <cell r="B271">
            <v>1035712</v>
          </cell>
          <cell r="C271" t="str">
            <v>MAT</v>
          </cell>
          <cell r="D271" t="str">
            <v>TUBO DE PVC TIPO SAP DE 3/4" / 20MM DIAM.P.INSTALACION ELECTRICA</v>
          </cell>
        </row>
        <row r="272">
          <cell r="B272">
            <v>1035712</v>
          </cell>
          <cell r="C272" t="str">
            <v>PLS</v>
          </cell>
          <cell r="D272" t="str">
            <v>TUBO DE PVC TIPO SAP DE 3/4" / 20MM DIAM.P.INSTALACION ELECTRICA</v>
          </cell>
        </row>
        <row r="273">
          <cell r="B273">
            <v>1035712</v>
          </cell>
          <cell r="C273" t="str">
            <v>PTB</v>
          </cell>
          <cell r="D273" t="str">
            <v>TUBO DE PVC TIPO SAP DE 3/4" / 20MM DIAM.P.INSTALACION ELECTRICA</v>
          </cell>
        </row>
        <row r="274">
          <cell r="B274">
            <v>1035714</v>
          </cell>
          <cell r="C274" t="str">
            <v>AMA</v>
          </cell>
          <cell r="D274" t="str">
            <v>TUBO PVC TP. SAP P. INST. ELECT.  1"   DIAM.</v>
          </cell>
        </row>
        <row r="275">
          <cell r="B275">
            <v>1035714</v>
          </cell>
          <cell r="C275" t="str">
            <v>FNP</v>
          </cell>
          <cell r="D275" t="str">
            <v>TUBO PVC TP. SAP P. INST. ELECT.  1"   DIAM.</v>
          </cell>
        </row>
        <row r="276">
          <cell r="B276">
            <v>1035714</v>
          </cell>
          <cell r="C276" t="str">
            <v>MAT</v>
          </cell>
          <cell r="D276" t="str">
            <v>TUBO PVC TP. SAP P. INST. ELECT.  1"   DIAM.</v>
          </cell>
        </row>
        <row r="277">
          <cell r="B277">
            <v>1035714</v>
          </cell>
          <cell r="C277" t="str">
            <v>PLS</v>
          </cell>
          <cell r="D277" t="str">
            <v>TUBO PVC TP. SAP P. INST. ELECT.  1"   DIAM.</v>
          </cell>
        </row>
        <row r="278">
          <cell r="B278">
            <v>1035714</v>
          </cell>
          <cell r="C278" t="str">
            <v>PTB</v>
          </cell>
          <cell r="D278" t="str">
            <v>TUBO PVC TP. SAP P. INST. ELECT.  1"   DIAM.</v>
          </cell>
        </row>
        <row r="279">
          <cell r="B279">
            <v>1035715</v>
          </cell>
          <cell r="C279" t="str">
            <v>AMA</v>
          </cell>
          <cell r="D279" t="str">
            <v>TUBO PVC TP. SAP P. INST. ELECT.  1.1/4" DIAM.</v>
          </cell>
        </row>
        <row r="280">
          <cell r="B280">
            <v>1035716</v>
          </cell>
          <cell r="C280" t="str">
            <v>AMA</v>
          </cell>
          <cell r="D280" t="str">
            <v>TUBO PVC TP. SAP P. INST. ELECT.  1.1/2" DIAM.</v>
          </cell>
        </row>
        <row r="281">
          <cell r="B281">
            <v>1035718</v>
          </cell>
          <cell r="C281" t="str">
            <v>PTB</v>
          </cell>
          <cell r="D281" t="str">
            <v>TUBO PVC TP. SAP P. INST. ELECT.  2" DIAM.</v>
          </cell>
        </row>
        <row r="282">
          <cell r="B282">
            <v>1035721</v>
          </cell>
          <cell r="C282" t="str">
            <v>PTB</v>
          </cell>
          <cell r="D282" t="str">
            <v>TUBO PVC TP. SAP P. INST. ELECT.  3" DIAM.</v>
          </cell>
        </row>
        <row r="283">
          <cell r="B283">
            <v>1035732</v>
          </cell>
          <cell r="C283" t="str">
            <v>PTB</v>
          </cell>
          <cell r="D283" t="str">
            <v>TUBO PVC TP. SAP P. INST. ELECT.  4" DIAM.</v>
          </cell>
        </row>
        <row r="284">
          <cell r="B284">
            <v>1035744</v>
          </cell>
          <cell r="C284" t="str">
            <v>MAT</v>
          </cell>
          <cell r="D284" t="str">
            <v>TUBO DE PVC TIPO SEL DE 1" / 20MM DIAM.P.INSTALACION ELECTRICA</v>
          </cell>
        </row>
        <row r="285">
          <cell r="B285">
            <v>1035745</v>
          </cell>
          <cell r="C285" t="str">
            <v>AMA</v>
          </cell>
          <cell r="D285" t="str">
            <v>TUBO DE PVC TIPO SEL DE 1 1/4" / 25MM DIAM.P.INSTALACION ELECTRICA</v>
          </cell>
        </row>
        <row r="286">
          <cell r="B286">
            <v>1035745</v>
          </cell>
          <cell r="C286" t="str">
            <v>MAT</v>
          </cell>
          <cell r="D286" t="str">
            <v>TUBO DE PVC TIPO SEL DE 1 1/4" / 25MM DIAM.P.INSTALACION ELECTRICA</v>
          </cell>
        </row>
        <row r="287">
          <cell r="B287">
            <v>1035745</v>
          </cell>
          <cell r="C287" t="str">
            <v>PLS</v>
          </cell>
          <cell r="D287" t="str">
            <v>TUBO DE PVC TIPO SEL DE 1 1/4" / 25MM DIAM.P.INSTALACION ELECTRICA</v>
          </cell>
        </row>
        <row r="288">
          <cell r="B288">
            <v>1035745</v>
          </cell>
          <cell r="C288" t="str">
            <v>PTB</v>
          </cell>
          <cell r="D288" t="str">
            <v>TUBO DE PVC TIPO SEL DE 1 1/4" / 25MM DIAM.P.INSTALACION ELECTRICA</v>
          </cell>
        </row>
        <row r="289">
          <cell r="B289">
            <v>1035746</v>
          </cell>
          <cell r="C289" t="str">
            <v>AMA</v>
          </cell>
          <cell r="D289" t="str">
            <v>TUBO DE PVC TIPO SEL DE 1 1/2" / 35MM DIAM.P.INSTALACION ELECTRICA</v>
          </cell>
        </row>
        <row r="290">
          <cell r="B290">
            <v>1035746</v>
          </cell>
          <cell r="C290" t="str">
            <v>MAT</v>
          </cell>
          <cell r="D290" t="str">
            <v>TUBO DE PVC TIPO SEL DE 1 1/2" / 35MM DIAM.P.INSTALACION ELECTRICA</v>
          </cell>
        </row>
        <row r="291">
          <cell r="B291">
            <v>1035746</v>
          </cell>
          <cell r="C291" t="str">
            <v>PLS</v>
          </cell>
          <cell r="D291" t="str">
            <v>TUBO DE PVC TIPO SEL DE 1 1/2" / 35MM DIAM.P.INSTALACION ELECTRICA</v>
          </cell>
        </row>
        <row r="292">
          <cell r="B292">
            <v>1035746</v>
          </cell>
          <cell r="C292" t="str">
            <v>PTB</v>
          </cell>
          <cell r="D292" t="str">
            <v>TUBO DE PVC TIPO SEL DE 1 1/2" / 35MM DIAM.P.INSTALACION ELECTRICA</v>
          </cell>
        </row>
        <row r="293">
          <cell r="B293">
            <v>1074123</v>
          </cell>
          <cell r="C293" t="str">
            <v>LEG</v>
          </cell>
          <cell r="D293" t="str">
            <v>BORNE RESINA TERMOPLAST.TETRAP. 30A. 500V.   16MM2</v>
          </cell>
        </row>
        <row r="294">
          <cell r="B294">
            <v>1074132</v>
          </cell>
          <cell r="C294" t="str">
            <v>ENT</v>
          </cell>
          <cell r="D294" t="str">
            <v>BORNERA CONEXION P.RELE MULTIFUNCION B.T.</v>
          </cell>
        </row>
        <row r="295">
          <cell r="B295">
            <v>1074160</v>
          </cell>
          <cell r="C295" t="str">
            <v>ENT</v>
          </cell>
          <cell r="D295" t="str">
            <v>BORNERA CONEXION P.MED.ELECTR. 5 BORNES/10KV.</v>
          </cell>
        </row>
        <row r="296">
          <cell r="B296">
            <v>1074175</v>
          </cell>
          <cell r="C296" t="str">
            <v>ENT</v>
          </cell>
          <cell r="D296" t="str">
            <v>JUEGO BORNERAS SECCIONABLES 8 BORNES 8AWG 600V 5 BORNES 5H 10KV 3 BORNES P.TOMA BT P.RIEL DIN STD</v>
          </cell>
        </row>
        <row r="297">
          <cell r="B297">
            <v>1074176</v>
          </cell>
          <cell r="C297" t="str">
            <v>ENT</v>
          </cell>
          <cell r="D297" t="str">
            <v>JUEGO BORNERAS SECCIONABLES 10 BORNES 8AWG 600V 7 BORNES 7H 22,9KV 3 BORNES P.TOMA BT P.RIEL DIN STD</v>
          </cell>
        </row>
        <row r="298">
          <cell r="B298">
            <v>1074179</v>
          </cell>
          <cell r="C298" t="str">
            <v>ENT</v>
          </cell>
          <cell r="D298" t="str">
            <v>BORNERA SECCIONABLE P. SISTEMA DE MEDICION 3 BORNES P.SISTEMA EN BAJA TENSION</v>
          </cell>
        </row>
        <row r="299">
          <cell r="B299">
            <v>1074180</v>
          </cell>
          <cell r="C299" t="str">
            <v>ENT</v>
          </cell>
          <cell r="D299" t="str">
            <v>BORNERA CONEXION P.MED.ELECTR. 6 BORNES/B.T.</v>
          </cell>
        </row>
        <row r="300">
          <cell r="B300">
            <v>1213116</v>
          </cell>
          <cell r="C300" t="str">
            <v>BAC</v>
          </cell>
          <cell r="D300" t="str">
            <v>ALICATE AISL.PTA.PLANA BOC.DENTADA Y CORTE  210MML</v>
          </cell>
        </row>
        <row r="301">
          <cell r="B301">
            <v>1213116</v>
          </cell>
          <cell r="C301" t="str">
            <v>KLE</v>
          </cell>
          <cell r="D301" t="str">
            <v>ALICATE AISL.PTA.PLANA BOC.DENTADA Y CORTE  210MML</v>
          </cell>
        </row>
        <row r="302">
          <cell r="B302">
            <v>1213116</v>
          </cell>
          <cell r="C302" t="str">
            <v>STA</v>
          </cell>
          <cell r="D302" t="str">
            <v>ALICATE AISL.PTA.PLANA BOC.DENTADA Y CORTE  210MML</v>
          </cell>
        </row>
        <row r="303">
          <cell r="B303">
            <v>1213120</v>
          </cell>
          <cell r="C303" t="str">
            <v>SIB</v>
          </cell>
          <cell r="D303" t="str">
            <v>ALICATE DE PINZAS 200MM L. PUNTA SEMI REDONDA AISLADA 1000V.</v>
          </cell>
        </row>
        <row r="304">
          <cell r="B304">
            <v>1213123</v>
          </cell>
          <cell r="C304" t="str">
            <v>KPX</v>
          </cell>
          <cell r="D304" t="str">
            <v>ALICATE "PINZA" BOCA LARGA SEMI REDONDA AISLADO 168 MM (6 1/2") LONG. APROX.</v>
          </cell>
        </row>
        <row r="305">
          <cell r="B305">
            <v>1213123</v>
          </cell>
          <cell r="C305" t="str">
            <v>SIB</v>
          </cell>
          <cell r="D305" t="str">
            <v>ALICATE "PINZA" BOCA LARGA SEMI REDONDA AISLADO 168 MM (6 1/2") LONG. APROX.</v>
          </cell>
        </row>
        <row r="306">
          <cell r="B306">
            <v>1213136</v>
          </cell>
          <cell r="C306" t="str">
            <v>BAC</v>
          </cell>
          <cell r="D306" t="str">
            <v>ALICATE ACERO AISL. 10 KV. PTA.PLANA BOCA DENT. DOBLE CORTE 203MML TAM.2</v>
          </cell>
        </row>
        <row r="307">
          <cell r="B307">
            <v>1213136</v>
          </cell>
          <cell r="C307" t="str">
            <v>KLE</v>
          </cell>
          <cell r="D307" t="str">
            <v>ALICATE ACERO AISL. 10 KV. PTA.PLANA BOCA DENT. DOBLE CORTE 203MML TAM.2</v>
          </cell>
        </row>
        <row r="308">
          <cell r="B308">
            <v>1213136</v>
          </cell>
          <cell r="C308" t="str">
            <v>STA</v>
          </cell>
          <cell r="D308" t="str">
            <v>ALICATE ACERO AISL. 10 KV. PTA.PLANA BOCA DENT. DOBLE CORTE 203MML TAM.2</v>
          </cell>
        </row>
        <row r="309">
          <cell r="B309">
            <v>1213138</v>
          </cell>
          <cell r="C309" t="str">
            <v>DRC</v>
          </cell>
          <cell r="D309" t="str">
            <v>ALICATE UNIVERSAL AISLADO 185 MM (7") LONG. APROX.</v>
          </cell>
        </row>
        <row r="310">
          <cell r="B310">
            <v>1213138</v>
          </cell>
          <cell r="C310" t="str">
            <v>KPX</v>
          </cell>
          <cell r="D310" t="str">
            <v>ALICATE UNIVERSAL AISLADO 185 MM (7") LONG. APROX.</v>
          </cell>
        </row>
        <row r="311">
          <cell r="B311">
            <v>1213138</v>
          </cell>
          <cell r="C311" t="str">
            <v>SIB</v>
          </cell>
          <cell r="D311" t="str">
            <v>ALICATE UNIVERSAL AISLADO 185 MM (7") LONG. APROX.</v>
          </cell>
        </row>
        <row r="312">
          <cell r="B312">
            <v>1213138</v>
          </cell>
          <cell r="C312" t="str">
            <v>WHA</v>
          </cell>
          <cell r="D312" t="str">
            <v>ALICATE UNIVERSAL AISLADO 185 MM (7") LONG. APROX.</v>
          </cell>
        </row>
        <row r="313">
          <cell r="B313">
            <v>1213144</v>
          </cell>
          <cell r="C313" t="str">
            <v>DRC</v>
          </cell>
          <cell r="D313" t="str">
            <v>ALICATE UNIVERSAL DE MATERIAL AISLANTE (COMPOSITE) 200MM.</v>
          </cell>
        </row>
        <row r="314">
          <cell r="B314">
            <v>1213145</v>
          </cell>
          <cell r="C314" t="str">
            <v>KPX</v>
          </cell>
          <cell r="D314" t="str">
            <v>ALICATE UNIVERSAL AISLADO 210 MM (8") LONG. APROX.</v>
          </cell>
        </row>
        <row r="315">
          <cell r="B315">
            <v>1213145</v>
          </cell>
          <cell r="C315" t="str">
            <v>SIB</v>
          </cell>
          <cell r="D315" t="str">
            <v>ALICATE UNIVERSAL AISLADO 210 MM (8") LONG. APROX.</v>
          </cell>
        </row>
        <row r="316">
          <cell r="B316">
            <v>1213145</v>
          </cell>
          <cell r="C316" t="str">
            <v>WHA</v>
          </cell>
          <cell r="D316" t="str">
            <v>ALICATE UNIVERSAL AISLADO 210 MM (8") LONG. APROX.</v>
          </cell>
        </row>
        <row r="317">
          <cell r="B317">
            <v>1213250</v>
          </cell>
          <cell r="C317" t="str">
            <v>DRC</v>
          </cell>
          <cell r="D317" t="str">
            <v>ALICATE CORTE DIAGONAL AISLADO  168 MM (6 1/2") LONG. APROX.</v>
          </cell>
        </row>
        <row r="318">
          <cell r="B318">
            <v>1213250</v>
          </cell>
          <cell r="C318" t="str">
            <v>KPX</v>
          </cell>
          <cell r="D318" t="str">
            <v>ALICATE CORTE DIAGONAL AISLADO  168 MM (6 1/2") LONG. APROX.</v>
          </cell>
        </row>
        <row r="319">
          <cell r="B319">
            <v>1213250</v>
          </cell>
          <cell r="C319" t="str">
            <v>SIB</v>
          </cell>
          <cell r="D319" t="str">
            <v>ALICATE CORTE DIAGONAL AISLADO  168 MM (6 1/2") LONG. APROX.</v>
          </cell>
        </row>
        <row r="320">
          <cell r="B320">
            <v>1213250</v>
          </cell>
          <cell r="C320" t="str">
            <v>WHA</v>
          </cell>
          <cell r="D320" t="str">
            <v>ALICATE CORTE DIAGONAL AISLADO  168 MM (6 1/2") LONG. APROX.</v>
          </cell>
        </row>
        <row r="321">
          <cell r="B321">
            <v>1213268</v>
          </cell>
          <cell r="C321" t="str">
            <v>BAC</v>
          </cell>
          <cell r="D321" t="str">
            <v>ALICATE CORTE DIAGONAL AISLADO  185 MM (7") LONG. APROX.</v>
          </cell>
        </row>
        <row r="322">
          <cell r="B322">
            <v>1213268</v>
          </cell>
          <cell r="C322" t="str">
            <v>KLE</v>
          </cell>
          <cell r="D322" t="str">
            <v>ALICATE CORTE DIAGONAL AISLADO  185 MM (7") LONG. APROX.</v>
          </cell>
        </row>
        <row r="323">
          <cell r="B323">
            <v>1213268</v>
          </cell>
          <cell r="C323" t="str">
            <v>KPX</v>
          </cell>
          <cell r="D323" t="str">
            <v>ALICATE CORTE DIAGONAL AISLADO  185 MM (7") LONG. APROX.</v>
          </cell>
        </row>
        <row r="324">
          <cell r="B324">
            <v>1213268</v>
          </cell>
          <cell r="C324" t="str">
            <v>SIB</v>
          </cell>
          <cell r="D324" t="str">
            <v>ALICATE CORTE DIAGONAL AISLADO  185 MM (7") LONG. APROX.</v>
          </cell>
        </row>
        <row r="325">
          <cell r="B325">
            <v>1213268</v>
          </cell>
          <cell r="C325" t="str">
            <v>STA</v>
          </cell>
          <cell r="D325" t="str">
            <v>ALICATE CORTE DIAGONAL AISLADO  185 MM (7") LONG. APROX.</v>
          </cell>
        </row>
        <row r="326">
          <cell r="B326">
            <v>1213268</v>
          </cell>
          <cell r="C326" t="str">
            <v>SVK</v>
          </cell>
          <cell r="D326" t="str">
            <v>ALICATE CORTE DIAGONAL AISLADO  185 MM (7") LONG. APROX.</v>
          </cell>
        </row>
        <row r="327">
          <cell r="B327">
            <v>1213268</v>
          </cell>
          <cell r="C327" t="str">
            <v>WHA</v>
          </cell>
          <cell r="D327" t="str">
            <v>ALICATE CORTE DIAGONAL AISLADO  185 MM (7") LONG. APROX.</v>
          </cell>
        </row>
        <row r="328">
          <cell r="B328">
            <v>1213272</v>
          </cell>
          <cell r="C328" t="str">
            <v>KPX</v>
          </cell>
          <cell r="D328" t="str">
            <v>ALICATE TIPO PICO DE LORO AISLADO 300MM</v>
          </cell>
        </row>
        <row r="329">
          <cell r="B329">
            <v>1213272</v>
          </cell>
          <cell r="C329" t="str">
            <v>SIB</v>
          </cell>
          <cell r="D329" t="str">
            <v>ALICATE TIPO PICO DE LORO AISLADO 300MM</v>
          </cell>
        </row>
        <row r="330">
          <cell r="B330">
            <v>1213272</v>
          </cell>
          <cell r="C330" t="str">
            <v>WHA</v>
          </cell>
          <cell r="D330" t="str">
            <v>ALICATE TIPO PICO DE LORO AISLADO 300MM</v>
          </cell>
        </row>
        <row r="331">
          <cell r="B331">
            <v>1213273</v>
          </cell>
          <cell r="C331" t="str">
            <v>KPX</v>
          </cell>
          <cell r="D331" t="str">
            <v>ALICATE TIPO PICO DE LORO AISLADO 250MM</v>
          </cell>
        </row>
        <row r="332">
          <cell r="B332">
            <v>1213273</v>
          </cell>
          <cell r="C332" t="str">
            <v>SIB</v>
          </cell>
          <cell r="D332" t="str">
            <v>ALICATE TIPO PICO DE LORO AISLADO 250MM</v>
          </cell>
        </row>
        <row r="333">
          <cell r="B333">
            <v>1213273</v>
          </cell>
          <cell r="C333" t="str">
            <v>WHA</v>
          </cell>
          <cell r="D333" t="str">
            <v>ALICATE TIPO PICO DE LORO AISLADO 250MM</v>
          </cell>
        </row>
        <row r="334">
          <cell r="B334">
            <v>1213810</v>
          </cell>
          <cell r="C334" t="str">
            <v>DRC</v>
          </cell>
          <cell r="D334" t="str">
            <v>CUCHILLA PTA.CURVA PARA PELAR ALAMBRE  C/AISLAM.    200MML</v>
          </cell>
        </row>
        <row r="335">
          <cell r="B335">
            <v>1213810</v>
          </cell>
          <cell r="C335" t="str">
            <v>KLE</v>
          </cell>
          <cell r="D335" t="str">
            <v>CUCHILLA PTA.CURVA PARA PELAR ALAMBRE  C/AISLAM.    200MML</v>
          </cell>
        </row>
        <row r="336">
          <cell r="B336">
            <v>1213810</v>
          </cell>
          <cell r="C336" t="str">
            <v>KPX</v>
          </cell>
          <cell r="D336" t="str">
            <v>CUCHILLA PTA.CURVA PARA PELAR ALAMBRE  C/AISLAM.    200MML</v>
          </cell>
        </row>
        <row r="337">
          <cell r="B337">
            <v>1213812</v>
          </cell>
          <cell r="C337" t="str">
            <v>KPX</v>
          </cell>
          <cell r="D337" t="str">
            <v>CUCHILLA.PTA.CURVA P/PELAR ALAMBRE.75MML.</v>
          </cell>
        </row>
        <row r="338">
          <cell r="B338">
            <v>1213815</v>
          </cell>
          <cell r="C338" t="str">
            <v>SIB</v>
          </cell>
          <cell r="D338" t="str">
            <v>CUCHILLA AISLADA DE HOJA REDONDEADA 165 MM DE LONG. TOTAL APROX.</v>
          </cell>
        </row>
        <row r="339">
          <cell r="B339">
            <v>1213850</v>
          </cell>
          <cell r="C339" t="str">
            <v>KLE</v>
          </cell>
          <cell r="D339" t="str">
            <v>CIZALLA CORTA CABLES COBRE O ALUMINIO DE 32" (813MM.)</v>
          </cell>
        </row>
        <row r="340">
          <cell r="B340">
            <v>1213920</v>
          </cell>
          <cell r="C340" t="str">
            <v>RAY</v>
          </cell>
          <cell r="D340" t="str">
            <v>PELADOR DE CABLE AUTOPORTANTE MEDIA TENSION</v>
          </cell>
        </row>
        <row r="341">
          <cell r="B341">
            <v>1214102</v>
          </cell>
          <cell r="C341" t="str">
            <v>KPX</v>
          </cell>
          <cell r="D341" t="str">
            <v>DESTORNILLADOR AISLADO 200MMX4MM.</v>
          </cell>
        </row>
        <row r="342">
          <cell r="B342">
            <v>1214104</v>
          </cell>
          <cell r="C342" t="str">
            <v>DRC</v>
          </cell>
          <cell r="D342" t="str">
            <v>DESTORNILLADOR AISL.HJ.RED.DELG.PTA.PLANA 100X 3MM</v>
          </cell>
        </row>
        <row r="343">
          <cell r="B343">
            <v>1214104</v>
          </cell>
          <cell r="C343" t="str">
            <v>SIB</v>
          </cell>
          <cell r="D343" t="str">
            <v>DESTORNILLADOR AISL.HJ.RED.DELG.PTA.PLANA 100X 3MM</v>
          </cell>
        </row>
        <row r="344">
          <cell r="B344">
            <v>1214111</v>
          </cell>
          <cell r="C344" t="str">
            <v>DRC</v>
          </cell>
          <cell r="D344" t="str">
            <v>DESTORNILLADOR AISLADO 150 MM X 6.5 MM PUNTA PLANA</v>
          </cell>
        </row>
        <row r="345">
          <cell r="B345">
            <v>1214111</v>
          </cell>
          <cell r="C345" t="str">
            <v>KPX</v>
          </cell>
          <cell r="D345" t="str">
            <v>DESTORNILLADOR AISLADO 150 MM X 6.5 MM PUNTA PLANA</v>
          </cell>
        </row>
        <row r="346">
          <cell r="B346">
            <v>1214111</v>
          </cell>
          <cell r="C346" t="str">
            <v>SIB</v>
          </cell>
          <cell r="D346" t="str">
            <v>DESTORNILLADOR AISLADO 150 MM X 6.5 MM PUNTA PLANA</v>
          </cell>
        </row>
        <row r="347">
          <cell r="B347">
            <v>1214111</v>
          </cell>
          <cell r="C347" t="str">
            <v>WHA</v>
          </cell>
          <cell r="D347" t="str">
            <v>DESTORNILLADOR AISLADO 150 MM X 6.5 MM PUNTA PLANA</v>
          </cell>
        </row>
        <row r="348">
          <cell r="B348">
            <v>1214116</v>
          </cell>
          <cell r="C348" t="str">
            <v>WHA</v>
          </cell>
          <cell r="D348" t="str">
            <v>DESTORNILLADOR AISL.HJ.RED.DELG.PTA.PLANA 150X 6MM</v>
          </cell>
        </row>
        <row r="349">
          <cell r="B349">
            <v>1214118</v>
          </cell>
          <cell r="C349" t="str">
            <v>DRC</v>
          </cell>
          <cell r="D349" t="str">
            <v>DESTORNILLADOR AISLADO 150 MM X 8 MM PUNTA PLANA</v>
          </cell>
        </row>
        <row r="350">
          <cell r="B350">
            <v>1214118</v>
          </cell>
          <cell r="C350" t="str">
            <v>SIB</v>
          </cell>
          <cell r="D350" t="str">
            <v>DESTORNILLADOR AISLADO 150 MM X 8 MM PUNTA PLANA</v>
          </cell>
        </row>
        <row r="351">
          <cell r="B351">
            <v>1214118</v>
          </cell>
          <cell r="C351" t="str">
            <v>WHA</v>
          </cell>
          <cell r="D351" t="str">
            <v>DESTORNILLADOR AISLADO 150 MM X 8 MM PUNTA PLANA</v>
          </cell>
        </row>
        <row r="352">
          <cell r="B352">
            <v>1214125</v>
          </cell>
          <cell r="C352" t="str">
            <v>KPX</v>
          </cell>
          <cell r="D352" t="str">
            <v>DESTORNILLADOR AISLADO 250 MM X 10 MM PUNTA PLANA</v>
          </cell>
        </row>
        <row r="353">
          <cell r="B353">
            <v>1214125</v>
          </cell>
          <cell r="C353" t="str">
            <v>SIB</v>
          </cell>
          <cell r="D353" t="str">
            <v>DESTORNILLADOR AISLADO 250 MM X 10 MM PUNTA PLANA</v>
          </cell>
        </row>
        <row r="354">
          <cell r="B354">
            <v>1214169</v>
          </cell>
          <cell r="C354" t="str">
            <v>SIB</v>
          </cell>
          <cell r="D354" t="str">
            <v>DESTORNILLADOR PUNTA PLANA 4X120MM AISLADO</v>
          </cell>
        </row>
        <row r="355">
          <cell r="B355">
            <v>1214173</v>
          </cell>
          <cell r="C355" t="str">
            <v>SIB</v>
          </cell>
          <cell r="D355" t="str">
            <v>DESTORNILLADOR AISLADO 40MM PTA. PLANA  6.5 MM (ESPESOR). TIPO PERILLA</v>
          </cell>
        </row>
        <row r="356">
          <cell r="B356">
            <v>1214188</v>
          </cell>
          <cell r="C356" t="str">
            <v>WHA</v>
          </cell>
          <cell r="D356" t="str">
            <v>DESTORNILLADOR AISLADO 200 MM X 10 MM PUNTA PLANA</v>
          </cell>
        </row>
        <row r="357">
          <cell r="B357">
            <v>1214192</v>
          </cell>
          <cell r="C357" t="str">
            <v>KPX</v>
          </cell>
          <cell r="D357" t="str">
            <v>DESTORNILLADOR AISL.HJ.RED.PTA.PLAN.GRUES.300X10MM</v>
          </cell>
        </row>
        <row r="358">
          <cell r="B358">
            <v>1214216</v>
          </cell>
          <cell r="C358" t="str">
            <v>DRC</v>
          </cell>
          <cell r="D358" t="str">
            <v>DESTORNILLADOR ESTRELLA 6X40 MM.</v>
          </cell>
        </row>
        <row r="359">
          <cell r="B359">
            <v>1214216</v>
          </cell>
          <cell r="C359" t="str">
            <v>SIB</v>
          </cell>
          <cell r="D359" t="str">
            <v>DESTORNILLADOR ESTRELLA 6X40 MM.</v>
          </cell>
        </row>
        <row r="360">
          <cell r="B360">
            <v>1214218</v>
          </cell>
          <cell r="C360" t="str">
            <v>DRC</v>
          </cell>
          <cell r="D360" t="str">
            <v>DESTORNILLADOR AISL.HJ.RED.PTA.ESTRELLA  100X6  MM</v>
          </cell>
        </row>
        <row r="361">
          <cell r="B361">
            <v>1214220</v>
          </cell>
          <cell r="C361" t="str">
            <v>DRC</v>
          </cell>
          <cell r="D361" t="str">
            <v>DESTORNILLADOR AISLADO 125 MM X 6 MM PUNTA ESTRELLA</v>
          </cell>
        </row>
        <row r="362">
          <cell r="B362">
            <v>1214220</v>
          </cell>
          <cell r="C362" t="str">
            <v>KPX</v>
          </cell>
          <cell r="D362" t="str">
            <v>DESTORNILLADOR AISLADO 125 MM X 6 MM PUNTA ESTRELLA</v>
          </cell>
        </row>
        <row r="363">
          <cell r="B363">
            <v>1214220</v>
          </cell>
          <cell r="C363" t="str">
            <v>SIB</v>
          </cell>
          <cell r="D363" t="str">
            <v>DESTORNILLADOR AISLADO 125 MM X 6 MM PUNTA ESTRELLA</v>
          </cell>
        </row>
        <row r="364">
          <cell r="B364">
            <v>1214220</v>
          </cell>
          <cell r="C364" t="str">
            <v>WHA</v>
          </cell>
          <cell r="D364" t="str">
            <v>DESTORNILLADOR AISLADO 125 MM X 6 MM PUNTA ESTRELLA</v>
          </cell>
        </row>
        <row r="365">
          <cell r="B365">
            <v>1214224</v>
          </cell>
          <cell r="C365" t="str">
            <v>WHA</v>
          </cell>
          <cell r="D365" t="str">
            <v>DESTORNILLADOR AISLADO 150 MM X 8 MM PUNTA ESTRELLA</v>
          </cell>
        </row>
        <row r="366">
          <cell r="B366">
            <v>1214225</v>
          </cell>
          <cell r="C366" t="str">
            <v>KPX</v>
          </cell>
          <cell r="D366" t="str">
            <v>DESTORNILLADOR AISLADO 150 MM X 4 MM PUNTA ESTRELLA</v>
          </cell>
        </row>
        <row r="367">
          <cell r="B367">
            <v>1214225</v>
          </cell>
          <cell r="C367" t="str">
            <v>SIB</v>
          </cell>
          <cell r="D367" t="str">
            <v>DESTORNILLADOR AISLADO 150 MM X 4 MM PUNTA ESTRELLA</v>
          </cell>
        </row>
        <row r="368">
          <cell r="B368">
            <v>1214225</v>
          </cell>
          <cell r="C368" t="str">
            <v>WHA</v>
          </cell>
          <cell r="D368" t="str">
            <v>DESTORNILLADOR AISLADO 150 MM X 4 MM PUNTA ESTRELLA</v>
          </cell>
        </row>
        <row r="369">
          <cell r="B369">
            <v>1214240</v>
          </cell>
          <cell r="C369" t="str">
            <v>WHA</v>
          </cell>
          <cell r="D369" t="str">
            <v>USAR MATRICULA NRO. &lt;1214230&gt; DESTORNILLADOR AISLADO 200 MM X 10 MM PUNTA ESTRELLA</v>
          </cell>
        </row>
        <row r="370">
          <cell r="B370">
            <v>1216010</v>
          </cell>
          <cell r="C370" t="str">
            <v>DRC</v>
          </cell>
          <cell r="D370" t="str">
            <v>LLAVE AJUSTABLE (FRANCESA) AISLADA 260 MM (10") LONG. X 30 MM (1 3/16") APERT. MAX. APROX.</v>
          </cell>
        </row>
        <row r="371">
          <cell r="B371">
            <v>1216010</v>
          </cell>
          <cell r="C371" t="str">
            <v>SIB</v>
          </cell>
          <cell r="D371" t="str">
            <v>LLAVE AJUSTABLE (FRANCESA) AISLADA 260 MM (10") LONG. X 30 MM (1 3/16") APERT. MAX. APROX.</v>
          </cell>
        </row>
        <row r="372">
          <cell r="B372">
            <v>1216010</v>
          </cell>
          <cell r="C372" t="str">
            <v>WHA</v>
          </cell>
          <cell r="D372" t="str">
            <v>LLAVE AJUSTABLE (FRANCESA) AISLADA 260 MM (10") LONG. X 30 MM (1 3/16") APERT. MAX. APROX.</v>
          </cell>
        </row>
        <row r="373">
          <cell r="B373">
            <v>1216012</v>
          </cell>
          <cell r="C373" t="str">
            <v>DRC</v>
          </cell>
          <cell r="D373" t="str">
            <v>LLAVE AJUSTABLE (FRANCESA) AISLADA 310 MM (12") LONG. X 34 MM (1 5/16") APERT. MAX. APROX.</v>
          </cell>
        </row>
        <row r="374">
          <cell r="B374">
            <v>1216012</v>
          </cell>
          <cell r="C374" t="str">
            <v>SIB</v>
          </cell>
          <cell r="D374" t="str">
            <v>LLAVE AJUSTABLE (FRANCESA) AISLADA 310 MM (12") LONG. X 34 MM (1 5/16") APERT. MAX. APROX.</v>
          </cell>
        </row>
        <row r="375">
          <cell r="B375">
            <v>1216012</v>
          </cell>
          <cell r="C375" t="str">
            <v>WHA</v>
          </cell>
          <cell r="D375" t="str">
            <v>LLAVE AJUSTABLE (FRANCESA) AISLADA 310 MM (12") LONG. X 34 MM (1 5/16") APERT. MAX. APROX.</v>
          </cell>
        </row>
        <row r="376">
          <cell r="B376">
            <v>1216013</v>
          </cell>
          <cell r="C376" t="str">
            <v>WHA</v>
          </cell>
          <cell r="D376" t="str">
            <v>LLAVE AJUSTABLE (FRANCESA) AISLADA 380 MM (15") LONG. X 44 MM (1 3/4") APERT. MAX. APROX.</v>
          </cell>
        </row>
        <row r="377">
          <cell r="B377">
            <v>1216016</v>
          </cell>
          <cell r="C377" t="str">
            <v>SIB</v>
          </cell>
          <cell r="D377" t="str">
            <v>LLAVE AJUSTABLE (FRANCESA) AISLADA 210 MM (8") LONG. X 27 MM (1 1/8") APERT. MAX. APROX.</v>
          </cell>
        </row>
        <row r="378">
          <cell r="B378">
            <v>1216016</v>
          </cell>
          <cell r="C378" t="str">
            <v>WHA</v>
          </cell>
          <cell r="D378" t="str">
            <v>LLAVE AJUSTABLE (FRANCESA) AISLADA 210 MM (8") LONG. X 27 MM (1 1/8") APERT. MAX. APROX.</v>
          </cell>
        </row>
        <row r="379">
          <cell r="B379">
            <v>1216613</v>
          </cell>
          <cell r="C379" t="str">
            <v>SIB</v>
          </cell>
          <cell r="D379" t="str">
            <v>LLAVE CORONA.3/4 X228MM.</v>
          </cell>
        </row>
        <row r="380">
          <cell r="B380">
            <v>1217008</v>
          </cell>
          <cell r="C380" t="str">
            <v>KPX</v>
          </cell>
          <cell r="D380" t="str">
            <v>LLAVES ALLEN EXAGONAL DE 1,5 - 10 MM.</v>
          </cell>
        </row>
        <row r="381">
          <cell r="B381">
            <v>1217008</v>
          </cell>
          <cell r="C381" t="str">
            <v>SIB</v>
          </cell>
          <cell r="D381" t="str">
            <v>LLAVES ALLEN EXAGONAL DE 1,5 - 10 MM.</v>
          </cell>
        </row>
        <row r="382">
          <cell r="B382">
            <v>1217012</v>
          </cell>
          <cell r="C382" t="str">
            <v>KPX</v>
          </cell>
          <cell r="D382" t="str">
            <v>LLAVE ALLEN EXAGONAL AC.AISLADA PERNO IMBUSS 5/16"</v>
          </cell>
        </row>
        <row r="383">
          <cell r="B383">
            <v>1217710</v>
          </cell>
          <cell r="C383" t="str">
            <v>DRC</v>
          </cell>
          <cell r="D383" t="str">
            <v>LLAVE BOCA.1/2 X130MM.</v>
          </cell>
        </row>
        <row r="384">
          <cell r="B384">
            <v>1217711</v>
          </cell>
          <cell r="C384" t="str">
            <v>DRC</v>
          </cell>
          <cell r="D384" t="str">
            <v>LLAVE DE BOCA AISLADA DE 9/16" (14,29MM) DE ABERTURA REF. MARCA SIBILLE MODELO MS16</v>
          </cell>
        </row>
        <row r="385">
          <cell r="B385">
            <v>1217714</v>
          </cell>
          <cell r="C385" t="str">
            <v>DRC</v>
          </cell>
          <cell r="D385" t="str">
            <v>LLAVE BOCA.3/4 X167MM.</v>
          </cell>
        </row>
        <row r="386">
          <cell r="B386">
            <v>1217714</v>
          </cell>
          <cell r="C386" t="str">
            <v>KPX</v>
          </cell>
          <cell r="D386" t="str">
            <v>LLAVE BOCA.3/4 X167MM.</v>
          </cell>
        </row>
        <row r="387">
          <cell r="B387">
            <v>1217714</v>
          </cell>
          <cell r="C387" t="str">
            <v>SIB</v>
          </cell>
          <cell r="D387" t="str">
            <v>LLAVE BOCA.3/4 X167MM.</v>
          </cell>
        </row>
        <row r="388">
          <cell r="B388">
            <v>1218058</v>
          </cell>
          <cell r="C388" t="str">
            <v>KPX</v>
          </cell>
          <cell r="D388" t="str">
            <v>LLAVE CORONA TP.RATCHET 1/2" ABERTURA 10" LONG.</v>
          </cell>
        </row>
        <row r="389">
          <cell r="B389">
            <v>1218058</v>
          </cell>
          <cell r="C389" t="str">
            <v>SIB</v>
          </cell>
          <cell r="D389" t="str">
            <v>LLAVE CORONA TP.RATCHET 1/2" ABERTURA 10" LONG.</v>
          </cell>
        </row>
        <row r="390">
          <cell r="B390">
            <v>1219076</v>
          </cell>
          <cell r="C390" t="str">
            <v>SIB</v>
          </cell>
          <cell r="D390" t="str">
            <v>DADO (VASO) POLIGONAL DE 1/2" ENCASTE 1/2"</v>
          </cell>
        </row>
        <row r="391">
          <cell r="B391">
            <v>1219077</v>
          </cell>
          <cell r="C391" t="str">
            <v>SIB</v>
          </cell>
          <cell r="D391" t="str">
            <v>DADO (VASO) POLIGONAL DE 9/16" ENCASTE 1/2"</v>
          </cell>
        </row>
        <row r="392">
          <cell r="B392">
            <v>1219080</v>
          </cell>
          <cell r="C392" t="str">
            <v>SIB</v>
          </cell>
          <cell r="D392" t="str">
            <v>DADO (VASO) POLIGONAL DE 3/4" ENCASTE 1/2"</v>
          </cell>
        </row>
        <row r="393">
          <cell r="B393">
            <v>1219083</v>
          </cell>
          <cell r="C393" t="str">
            <v>SIB</v>
          </cell>
          <cell r="D393" t="str">
            <v>DADO (VASO) POLIGONAL DE 15/16" ENCASTE 1/2"</v>
          </cell>
        </row>
        <row r="394">
          <cell r="B394">
            <v>1219085</v>
          </cell>
          <cell r="C394" t="str">
            <v>SIB</v>
          </cell>
          <cell r="D394" t="str">
            <v>DADO (VASO) POLIGONAL DE  1 1/8" ENCASTE 1/2"</v>
          </cell>
        </row>
        <row r="395">
          <cell r="B395">
            <v>1219301</v>
          </cell>
          <cell r="C395" t="str">
            <v>SIB</v>
          </cell>
          <cell r="D395" t="str">
            <v>MALETIN ESTUCHE P.JUEGO DADOS 435 X 308 X 90MM</v>
          </cell>
        </row>
        <row r="396">
          <cell r="B396">
            <v>1233508</v>
          </cell>
          <cell r="C396" t="str">
            <v>BAC</v>
          </cell>
          <cell r="D396" t="str">
            <v>HOJA SIERRA RECTA 1     X12 PULG.10 DIENT.CORT.MAN</v>
          </cell>
        </row>
        <row r="397">
          <cell r="B397">
            <v>1233508</v>
          </cell>
          <cell r="C397" t="str">
            <v>KLE</v>
          </cell>
          <cell r="D397" t="str">
            <v>HOJA SIERRA RECTA 1     X12 PULG.10 DIENT.CORT.MAN</v>
          </cell>
        </row>
        <row r="398">
          <cell r="B398">
            <v>1233508</v>
          </cell>
          <cell r="C398" t="str">
            <v>STA</v>
          </cell>
          <cell r="D398" t="str">
            <v>HOJA SIERRA RECTA 1     X12 PULG.10 DIENT.CORT.MAN</v>
          </cell>
        </row>
        <row r="399">
          <cell r="B399">
            <v>1233508</v>
          </cell>
          <cell r="C399" t="str">
            <v>STR</v>
          </cell>
          <cell r="D399" t="str">
            <v>HOJA SIERRA RECTA 1     X12 PULG.10 DIENT.CORT.MAN</v>
          </cell>
        </row>
        <row r="400">
          <cell r="B400">
            <v>1233508</v>
          </cell>
          <cell r="C400" t="str">
            <v>SVK</v>
          </cell>
          <cell r="D400" t="str">
            <v>HOJA SIERRA RECTA 1     X12 PULG.10 DIENT.CORT.MAN</v>
          </cell>
        </row>
        <row r="401">
          <cell r="B401">
            <v>1233805</v>
          </cell>
          <cell r="C401" t="str">
            <v>BAC</v>
          </cell>
          <cell r="D401" t="str">
            <v>ARCO SIERRA DE MANO P.HOJA   300MM.LONG. P.METALES</v>
          </cell>
        </row>
        <row r="402">
          <cell r="B402">
            <v>1233805</v>
          </cell>
          <cell r="C402" t="str">
            <v>KLE</v>
          </cell>
          <cell r="D402" t="str">
            <v>ARCO SIERRA DE MANO P.HOJA   300MM.LONG. P.METALES</v>
          </cell>
        </row>
        <row r="403">
          <cell r="B403">
            <v>1233805</v>
          </cell>
          <cell r="C403" t="str">
            <v>STA</v>
          </cell>
          <cell r="D403" t="str">
            <v>ARCO SIERRA DE MANO P.HOJA   300MM.LONG. P.METALES</v>
          </cell>
        </row>
        <row r="404">
          <cell r="B404">
            <v>1233816</v>
          </cell>
          <cell r="C404" t="str">
            <v>DRC</v>
          </cell>
          <cell r="D404" t="str">
            <v>ARCO DE SIERRA AISLADO 450MM DE LONG TOTAL APROX.</v>
          </cell>
        </row>
        <row r="405">
          <cell r="B405">
            <v>1233816</v>
          </cell>
          <cell r="C405" t="str">
            <v>SIB</v>
          </cell>
          <cell r="D405" t="str">
            <v>ARCO DE SIERRA AISLADO 450MM DE LONG TOTAL APROX.</v>
          </cell>
        </row>
        <row r="406">
          <cell r="B406">
            <v>1233816</v>
          </cell>
          <cell r="C406" t="str">
            <v>WHA</v>
          </cell>
          <cell r="D406" t="str">
            <v>ARCO DE SIERRA AISLADO 450MM DE LONG TOTAL APROX.</v>
          </cell>
        </row>
        <row r="407">
          <cell r="B407">
            <v>1257061</v>
          </cell>
          <cell r="C407" t="str">
            <v>CMD</v>
          </cell>
          <cell r="D407" t="str">
            <v>PERNO FIJ.W 6-20-27D12 ROSCA 1/ 4PULG.20+27MM.LONG</v>
          </cell>
        </row>
        <row r="408">
          <cell r="B408">
            <v>1257061</v>
          </cell>
          <cell r="C408" t="str">
            <v>ELD</v>
          </cell>
          <cell r="D408" t="str">
            <v>PERNO FIJ.W 6-20-27D12 ROSCA 1/ 4PULG.20+27MM.LONG</v>
          </cell>
        </row>
        <row r="409">
          <cell r="B409">
            <v>1257196</v>
          </cell>
          <cell r="C409" t="str">
            <v>FCH</v>
          </cell>
          <cell r="D409" t="str">
            <v>TACO DE NYLON HUD-12,  12X60X80MM.</v>
          </cell>
        </row>
        <row r="410">
          <cell r="B410">
            <v>1257196</v>
          </cell>
          <cell r="C410" t="str">
            <v>HIL</v>
          </cell>
          <cell r="D410" t="str">
            <v>TACO DE NYLON HUD-12,  12X60X80MM.</v>
          </cell>
        </row>
        <row r="411">
          <cell r="B411">
            <v>1257258</v>
          </cell>
          <cell r="C411" t="str">
            <v>HIL</v>
          </cell>
          <cell r="D411" t="str">
            <v>TUERCA DE HO. PARA PISTOLA IMPULSORA     1/ 4PULG.</v>
          </cell>
        </row>
        <row r="412">
          <cell r="B412">
            <v>1258210</v>
          </cell>
          <cell r="C412" t="str">
            <v>RAY</v>
          </cell>
          <cell r="D412" t="str">
            <v>MARCADOR TERMOC.P/SUM.BT.4-6MM2.1200PSI.500V.DIELEC</v>
          </cell>
        </row>
        <row r="413">
          <cell r="B413">
            <v>1258214</v>
          </cell>
          <cell r="C413" t="str">
            <v>RAY</v>
          </cell>
          <cell r="D413" t="str">
            <v>MARCADOR TERMOC.P/SUM.BT.10-16MM2.1200PSI.500V.DIEL</v>
          </cell>
        </row>
        <row r="414">
          <cell r="B414">
            <v>1271304</v>
          </cell>
          <cell r="C414" t="str">
            <v>PIC</v>
          </cell>
          <cell r="D414" t="str">
            <v>TRIPODE SUJECION P.POSTES DE FIERRO Y CONCRETO B.T. HASTA 10M</v>
          </cell>
        </row>
        <row r="415">
          <cell r="B415">
            <v>1271305</v>
          </cell>
          <cell r="C415" t="str">
            <v>PIC</v>
          </cell>
          <cell r="D415" t="str">
            <v>TRIPODE DE SUJECION DE ACERO GALV. P.POSTES DE ACERO 7-11,5M / 4"-5" DIAM.</v>
          </cell>
        </row>
        <row r="416">
          <cell r="B416">
            <v>1273248</v>
          </cell>
          <cell r="C416" t="str">
            <v>PRE</v>
          </cell>
          <cell r="D416" t="str">
            <v>ESCALERA DE FIBRA VIDRIO TP.EXTENSION 24 PELDANOS 2 SECCIONES</v>
          </cell>
        </row>
        <row r="417">
          <cell r="B417">
            <v>1273250</v>
          </cell>
          <cell r="C417" t="str">
            <v>PRE</v>
          </cell>
          <cell r="D417" t="str">
            <v>ESCALERA FIBRA DE VIDRIO TP. TELESCOPICA, 20 PASOS</v>
          </cell>
        </row>
        <row r="418">
          <cell r="B418">
            <v>1273252</v>
          </cell>
          <cell r="C418" t="str">
            <v>PRE</v>
          </cell>
          <cell r="D418" t="str">
            <v>ESCALERA FIBRA DE VIDRIO TP.TELESCOPICA. 28 PASOS</v>
          </cell>
        </row>
        <row r="419">
          <cell r="B419">
            <v>1273329</v>
          </cell>
          <cell r="C419" t="str">
            <v>GLC</v>
          </cell>
          <cell r="D419" t="str">
            <v>ESCALERA DE FIBRA VIDRIO TP.EMBONABLE 4 PELDAÑOS C.SEPARADOR POSTE</v>
          </cell>
        </row>
        <row r="420">
          <cell r="B420">
            <v>1273330</v>
          </cell>
          <cell r="C420" t="str">
            <v>GLC</v>
          </cell>
          <cell r="D420" t="str">
            <v>ESCALERA DE FIBRA VIDRIO TP.EMBONABLE 6 PELDAÑOS C.SEPARADOR POSTE</v>
          </cell>
        </row>
        <row r="421">
          <cell r="B421">
            <v>1273330</v>
          </cell>
          <cell r="C421" t="str">
            <v>WRN</v>
          </cell>
          <cell r="D421" t="str">
            <v>ESCALERA DE FIBRA VIDRIO TP.EMBONABLE 6 PELDAÑOS C.SEPARADOR POSTE</v>
          </cell>
        </row>
        <row r="422">
          <cell r="B422">
            <v>1273331</v>
          </cell>
          <cell r="C422" t="str">
            <v>GLC</v>
          </cell>
          <cell r="D422" t="str">
            <v>ESCALERA DE FIBRA VIDRIO TP.EMBONABLE 7 PELDANOS C.SEPARADOR POSTE</v>
          </cell>
        </row>
        <row r="423">
          <cell r="B423">
            <v>1273331</v>
          </cell>
          <cell r="C423" t="str">
            <v>WRN</v>
          </cell>
          <cell r="D423" t="str">
            <v>ESCALERA DE FIBRA VIDRIO TP.EMBONABLE 7 PELDANOS C.SEPARADOR POSTE</v>
          </cell>
        </row>
        <row r="424">
          <cell r="B424">
            <v>1273332</v>
          </cell>
          <cell r="C424" t="str">
            <v>GLC</v>
          </cell>
          <cell r="D424" t="str">
            <v>ESCALERA DE FIBRA VIDRIO TP.EMBONABLE 8 PELDAÑOS C.SEPARADOR POSTE</v>
          </cell>
        </row>
        <row r="425">
          <cell r="B425">
            <v>1273332</v>
          </cell>
          <cell r="C425" t="str">
            <v>WRN</v>
          </cell>
          <cell r="D425" t="str">
            <v>ESCALERA DE FIBRA VIDRIO TP.EMBONABLE 8 PELDAÑOS C.SEPARADOR POSTE</v>
          </cell>
        </row>
        <row r="426">
          <cell r="B426">
            <v>1611112</v>
          </cell>
          <cell r="C426" t="str">
            <v>ITA</v>
          </cell>
          <cell r="D426" t="str">
            <v>VARILLA PLOMO 60%-ESTA¤O 40% TP.U P.UNION DE COBRE</v>
          </cell>
        </row>
        <row r="427">
          <cell r="B427">
            <v>1611112</v>
          </cell>
          <cell r="C427" t="str">
            <v>MIC</v>
          </cell>
          <cell r="D427" t="str">
            <v>VARILLA PLOMO 60%-ESTA¤O 40% TP.U P.UNION DE COBRE</v>
          </cell>
        </row>
        <row r="428">
          <cell r="B428">
            <v>1611114</v>
          </cell>
          <cell r="C428" t="str">
            <v>MIC</v>
          </cell>
          <cell r="D428" t="str">
            <v>VARILLA P.SOLDADURA PLOMO 67% Y ESTAÑO 33%, PESO 0,50KG</v>
          </cell>
        </row>
        <row r="429">
          <cell r="B429">
            <v>1611118</v>
          </cell>
          <cell r="C429" t="str">
            <v>ITA</v>
          </cell>
          <cell r="D429" t="str">
            <v>VARILLA PLOMO 70%-ESTA¤O 30% TP.M P.MANGA DE PLOMO</v>
          </cell>
        </row>
        <row r="430">
          <cell r="B430">
            <v>1732112</v>
          </cell>
          <cell r="C430" t="str">
            <v>CDA</v>
          </cell>
          <cell r="D430" t="str">
            <v>TUBO DE ACERO GALVANIZ. DE 1  1/4" DIAMETRO</v>
          </cell>
        </row>
        <row r="431">
          <cell r="B431">
            <v>1732112</v>
          </cell>
          <cell r="C431" t="str">
            <v>PPL</v>
          </cell>
          <cell r="D431" t="str">
            <v>TUBO DE ACERO GALVANIZ. DE 1  1/4" DIAMETRO</v>
          </cell>
        </row>
        <row r="432">
          <cell r="B432">
            <v>1732112</v>
          </cell>
          <cell r="C432" t="str">
            <v>VYA</v>
          </cell>
          <cell r="D432" t="str">
            <v>TUBO DE ACERO GALVANIZ. DE 1  1/4" DIAMETRO</v>
          </cell>
        </row>
        <row r="433">
          <cell r="B433">
            <v>1732115</v>
          </cell>
          <cell r="C433" t="str">
            <v>CDA</v>
          </cell>
          <cell r="D433" t="str">
            <v>TUBO DE ACERO GALVANIZADO 2" DIAM. X 4MM ESPESOR</v>
          </cell>
        </row>
        <row r="434">
          <cell r="B434">
            <v>1732115</v>
          </cell>
          <cell r="C434" t="str">
            <v>PPL</v>
          </cell>
          <cell r="D434" t="str">
            <v>TUBO DE ACERO GALVANIZADO 2" DIAM. X 4MM ESPESOR</v>
          </cell>
        </row>
        <row r="435">
          <cell r="B435">
            <v>1732115</v>
          </cell>
          <cell r="C435" t="str">
            <v>VYA</v>
          </cell>
          <cell r="D435" t="str">
            <v>TUBO DE ACERO GALVANIZADO 2" DIAM. X 4MM ESPESOR</v>
          </cell>
        </row>
        <row r="436">
          <cell r="B436">
            <v>1732121</v>
          </cell>
          <cell r="C436" t="str">
            <v>CDA</v>
          </cell>
          <cell r="D436" t="str">
            <v>TUBO DE ACERO GALVANIZADO 3/4" DIAMETRO 2,5MM ESPESOR</v>
          </cell>
        </row>
        <row r="437">
          <cell r="B437">
            <v>1732121</v>
          </cell>
          <cell r="C437" t="str">
            <v>PPL</v>
          </cell>
          <cell r="D437" t="str">
            <v>TUBO DE ACERO GALVANIZADO 3/4" DIAMETRO 2,5MM ESPESOR</v>
          </cell>
        </row>
        <row r="438">
          <cell r="B438">
            <v>1732121</v>
          </cell>
          <cell r="C438" t="str">
            <v>VYA</v>
          </cell>
          <cell r="D438" t="str">
            <v>TUBO DE ACERO GALVANIZADO 3/4" DIAMETRO 2,5MM ESPESOR</v>
          </cell>
        </row>
        <row r="439">
          <cell r="B439">
            <v>1771911</v>
          </cell>
          <cell r="C439" t="str">
            <v>GGG</v>
          </cell>
          <cell r="D439" t="str">
            <v>RIEL TIPO H DE ACERO C.RESISTENCIA 65 - 85 LB/YD2 P.PROTEGER A POSTES Y ESTRUCTURAS M.T.</v>
          </cell>
        </row>
        <row r="440">
          <cell r="B440">
            <v>1817107</v>
          </cell>
          <cell r="C440" t="str">
            <v>IAD</v>
          </cell>
          <cell r="D440" t="str">
            <v>PLATINA DE COBRE 20 X 3MM</v>
          </cell>
        </row>
        <row r="441">
          <cell r="B441">
            <v>1817107</v>
          </cell>
          <cell r="C441" t="str">
            <v>IBR</v>
          </cell>
          <cell r="D441" t="str">
            <v>PLATINA DE COBRE 20 X 3MM</v>
          </cell>
        </row>
        <row r="442">
          <cell r="B442">
            <v>1817107</v>
          </cell>
          <cell r="C442" t="str">
            <v>MIC</v>
          </cell>
          <cell r="D442" t="str">
            <v>PLATINA DE COBRE 20 X 3MM</v>
          </cell>
        </row>
        <row r="443">
          <cell r="B443">
            <v>1817107</v>
          </cell>
          <cell r="C443" t="str">
            <v>MTC</v>
          </cell>
          <cell r="D443" t="str">
            <v>PLATINA DE COBRE 20 X 3MM</v>
          </cell>
        </row>
        <row r="444">
          <cell r="B444">
            <v>1817108</v>
          </cell>
          <cell r="C444" t="str">
            <v>IBR</v>
          </cell>
          <cell r="D444" t="str">
            <v>PLATINA DE COBRE 30 X 3MM</v>
          </cell>
        </row>
        <row r="445">
          <cell r="B445">
            <v>1817108</v>
          </cell>
          <cell r="C445" t="str">
            <v>MIC</v>
          </cell>
          <cell r="D445" t="str">
            <v>PLATINA DE COBRE 30 X 3MM</v>
          </cell>
        </row>
        <row r="446">
          <cell r="B446">
            <v>1817108</v>
          </cell>
          <cell r="C446" t="str">
            <v>MTC</v>
          </cell>
          <cell r="D446" t="str">
            <v>PLATINA DE COBRE 30 X 3MM</v>
          </cell>
        </row>
        <row r="447">
          <cell r="B447">
            <v>1817109</v>
          </cell>
          <cell r="C447" t="str">
            <v>MTC</v>
          </cell>
          <cell r="D447" t="str">
            <v>COBRE EN PLETINA  3MM.ESP. X 40MM.ANCHO</v>
          </cell>
        </row>
        <row r="448">
          <cell r="B448">
            <v>1817110</v>
          </cell>
          <cell r="C448" t="str">
            <v>IBR</v>
          </cell>
          <cell r="D448" t="str">
            <v>PLATINA DE COBRE 40 X 3MM</v>
          </cell>
        </row>
        <row r="449">
          <cell r="B449">
            <v>1817110</v>
          </cell>
          <cell r="C449" t="str">
            <v>MIC</v>
          </cell>
          <cell r="D449" t="str">
            <v>PLATINA DE COBRE 40 X 3MM</v>
          </cell>
        </row>
        <row r="450">
          <cell r="B450">
            <v>1817110</v>
          </cell>
          <cell r="C450" t="str">
            <v>MTC</v>
          </cell>
          <cell r="D450" t="str">
            <v>PLATINA DE COBRE 40 X 3MM</v>
          </cell>
        </row>
        <row r="451">
          <cell r="B451">
            <v>1817112</v>
          </cell>
          <cell r="C451" t="str">
            <v>IBR</v>
          </cell>
          <cell r="D451" t="str">
            <v>PLATINA DE COBRE 40 X 4MM</v>
          </cell>
        </row>
        <row r="452">
          <cell r="B452">
            <v>1817112</v>
          </cell>
          <cell r="C452" t="str">
            <v>MIC</v>
          </cell>
          <cell r="D452" t="str">
            <v>PLATINA DE COBRE 40 X 4MM</v>
          </cell>
        </row>
        <row r="453">
          <cell r="B453">
            <v>1817113</v>
          </cell>
          <cell r="C453" t="str">
            <v>IBR</v>
          </cell>
          <cell r="D453" t="str">
            <v>PLATINA DE COBRE 40 X 5MM</v>
          </cell>
        </row>
        <row r="454">
          <cell r="B454">
            <v>1817113</v>
          </cell>
          <cell r="C454" t="str">
            <v>MIC</v>
          </cell>
          <cell r="D454" t="str">
            <v>PLATINA DE COBRE 40 X 5MM</v>
          </cell>
        </row>
        <row r="455">
          <cell r="B455">
            <v>1817113</v>
          </cell>
          <cell r="C455" t="str">
            <v>MTC</v>
          </cell>
          <cell r="D455" t="str">
            <v>PLATINA DE COBRE 40 X 5MM</v>
          </cell>
        </row>
        <row r="456">
          <cell r="B456">
            <v>1817114</v>
          </cell>
          <cell r="C456" t="str">
            <v>IBR</v>
          </cell>
          <cell r="D456" t="str">
            <v>PLATINA DE COBRE 50 X 5MM</v>
          </cell>
        </row>
        <row r="457">
          <cell r="B457">
            <v>1817114</v>
          </cell>
          <cell r="C457" t="str">
            <v>MIC</v>
          </cell>
          <cell r="D457" t="str">
            <v>PLATINA DE COBRE 50 X 5MM</v>
          </cell>
        </row>
        <row r="458">
          <cell r="B458">
            <v>1817114</v>
          </cell>
          <cell r="C458" t="str">
            <v>MTC</v>
          </cell>
          <cell r="D458" t="str">
            <v>PLATINA DE COBRE 50 X 5MM</v>
          </cell>
        </row>
        <row r="459">
          <cell r="B459">
            <v>1817115</v>
          </cell>
          <cell r="C459" t="str">
            <v>IBR</v>
          </cell>
          <cell r="D459" t="str">
            <v>PLATINA DE COBRE 60 X 5MM</v>
          </cell>
        </row>
        <row r="460">
          <cell r="B460">
            <v>1817115</v>
          </cell>
          <cell r="C460" t="str">
            <v>MIC</v>
          </cell>
          <cell r="D460" t="str">
            <v>PLATINA DE COBRE 60 X 5MM</v>
          </cell>
        </row>
        <row r="461">
          <cell r="B461">
            <v>1817115</v>
          </cell>
          <cell r="C461" t="str">
            <v>MTC</v>
          </cell>
          <cell r="D461" t="str">
            <v>PLATINA DE COBRE 60 X 5MM</v>
          </cell>
        </row>
        <row r="462">
          <cell r="B462">
            <v>1817116</v>
          </cell>
          <cell r="C462" t="str">
            <v>IBR</v>
          </cell>
          <cell r="D462" t="str">
            <v>PLATINA DE COBRE 80 X 6MM</v>
          </cell>
        </row>
        <row r="463">
          <cell r="B463">
            <v>1817116</v>
          </cell>
          <cell r="C463" t="str">
            <v>MIC</v>
          </cell>
          <cell r="D463" t="str">
            <v>PLATINA DE COBRE 80 X 6MM</v>
          </cell>
        </row>
        <row r="464">
          <cell r="B464">
            <v>1817116</v>
          </cell>
          <cell r="C464" t="str">
            <v>MTC</v>
          </cell>
          <cell r="D464" t="str">
            <v>PLATINA DE COBRE 80 X 6MM</v>
          </cell>
        </row>
        <row r="465">
          <cell r="B465">
            <v>1817117</v>
          </cell>
          <cell r="C465" t="str">
            <v>IBR</v>
          </cell>
          <cell r="D465" t="str">
            <v>PLATINA DE COBRE 60 X8MM</v>
          </cell>
        </row>
        <row r="466">
          <cell r="B466">
            <v>1817117</v>
          </cell>
          <cell r="C466" t="str">
            <v>MIC</v>
          </cell>
          <cell r="D466" t="str">
            <v>PLATINA DE COBRE 60 X8MM</v>
          </cell>
        </row>
        <row r="467">
          <cell r="B467">
            <v>1817117</v>
          </cell>
          <cell r="C467" t="str">
            <v>MTC</v>
          </cell>
          <cell r="D467" t="str">
            <v>PLATINA DE COBRE 60 X8MM</v>
          </cell>
        </row>
        <row r="468">
          <cell r="B468">
            <v>1817118</v>
          </cell>
          <cell r="C468" t="str">
            <v>IBR</v>
          </cell>
          <cell r="D468" t="str">
            <v>PLATINA DE COBRE 80 X 8MM</v>
          </cell>
        </row>
        <row r="469">
          <cell r="B469">
            <v>1817118</v>
          </cell>
          <cell r="C469" t="str">
            <v>MIC</v>
          </cell>
          <cell r="D469" t="str">
            <v>PLATINA DE COBRE 80 X 8MM</v>
          </cell>
        </row>
        <row r="470">
          <cell r="B470">
            <v>1817118</v>
          </cell>
          <cell r="C470" t="str">
            <v>MTC</v>
          </cell>
          <cell r="D470" t="str">
            <v>PLATINA DE COBRE 80 X 8MM</v>
          </cell>
        </row>
        <row r="471">
          <cell r="B471">
            <v>1817120</v>
          </cell>
          <cell r="C471" t="str">
            <v>IBR</v>
          </cell>
          <cell r="D471" t="str">
            <v>PLATINA DE COBRE 60 X 10MM</v>
          </cell>
        </row>
        <row r="472">
          <cell r="B472">
            <v>1817120</v>
          </cell>
          <cell r="C472" t="str">
            <v>MIC</v>
          </cell>
          <cell r="D472" t="str">
            <v>PLATINA DE COBRE 60 X 10MM</v>
          </cell>
        </row>
        <row r="473">
          <cell r="B473">
            <v>1817120</v>
          </cell>
          <cell r="C473" t="str">
            <v>MTC</v>
          </cell>
          <cell r="D473" t="str">
            <v>PLATINA DE COBRE 60 X 10MM</v>
          </cell>
        </row>
        <row r="474">
          <cell r="B474">
            <v>1817121</v>
          </cell>
          <cell r="C474" t="str">
            <v>IBR</v>
          </cell>
          <cell r="D474" t="str">
            <v>PLATINA DE COBRE 80 X 10MM</v>
          </cell>
        </row>
        <row r="475">
          <cell r="B475">
            <v>1817121</v>
          </cell>
          <cell r="C475" t="str">
            <v>MIC</v>
          </cell>
          <cell r="D475" t="str">
            <v>PLATINA DE COBRE 80 X 10MM</v>
          </cell>
        </row>
        <row r="476">
          <cell r="B476">
            <v>1817121</v>
          </cell>
          <cell r="C476" t="str">
            <v>MTC</v>
          </cell>
          <cell r="D476" t="str">
            <v>PLATINA DE COBRE 80 X 10MM</v>
          </cell>
        </row>
        <row r="477">
          <cell r="B477">
            <v>1817122</v>
          </cell>
          <cell r="C477" t="str">
            <v>IBR</v>
          </cell>
          <cell r="D477" t="str">
            <v>PLATINA DE COBRE 100 X 10MM</v>
          </cell>
        </row>
        <row r="478">
          <cell r="B478">
            <v>1817122</v>
          </cell>
          <cell r="C478" t="str">
            <v>MIC</v>
          </cell>
          <cell r="D478" t="str">
            <v>PLATINA DE COBRE 100 X 10MM</v>
          </cell>
        </row>
        <row r="479">
          <cell r="B479">
            <v>1817123</v>
          </cell>
          <cell r="C479" t="str">
            <v>IBR</v>
          </cell>
          <cell r="D479" t="str">
            <v>PLATINA DE COBRE 120 X 10MM</v>
          </cell>
        </row>
        <row r="480">
          <cell r="B480">
            <v>1817123</v>
          </cell>
          <cell r="C480" t="str">
            <v>MIC</v>
          </cell>
          <cell r="D480" t="str">
            <v>PLATINA DE COBRE 120 X 10MM</v>
          </cell>
        </row>
        <row r="481">
          <cell r="B481">
            <v>1817124</v>
          </cell>
          <cell r="C481" t="str">
            <v>IBR</v>
          </cell>
          <cell r="D481" t="str">
            <v>PLATINA DE COBRE 60 X 16MM</v>
          </cell>
        </row>
        <row r="482">
          <cell r="B482">
            <v>1817124</v>
          </cell>
          <cell r="C482" t="str">
            <v>MIC</v>
          </cell>
          <cell r="D482" t="str">
            <v>PLATINA DE COBRE 60 X 16MM</v>
          </cell>
        </row>
        <row r="483">
          <cell r="B483">
            <v>1817125</v>
          </cell>
          <cell r="C483" t="str">
            <v>IBR</v>
          </cell>
          <cell r="D483" t="str">
            <v>PLATINA DE COBRE 80 X 16MM</v>
          </cell>
        </row>
        <row r="484">
          <cell r="B484">
            <v>1817125</v>
          </cell>
          <cell r="C484" t="str">
            <v>MIC</v>
          </cell>
          <cell r="D484" t="str">
            <v>PLATINA DE COBRE 80 X 16MM</v>
          </cell>
        </row>
        <row r="485">
          <cell r="B485">
            <v>1817174</v>
          </cell>
          <cell r="C485" t="str">
            <v>IBR</v>
          </cell>
          <cell r="D485" t="str">
            <v>PLATINA DE COBRE 100 X 10MM</v>
          </cell>
        </row>
        <row r="486">
          <cell r="B486">
            <v>1817174</v>
          </cell>
          <cell r="C486" t="str">
            <v>MTC</v>
          </cell>
          <cell r="D486" t="str">
            <v>PLATINA DE COBRE 100 X 10MM</v>
          </cell>
        </row>
        <row r="487">
          <cell r="B487">
            <v>2033101</v>
          </cell>
          <cell r="C487" t="str">
            <v>AKR</v>
          </cell>
          <cell r="D487" t="str">
            <v>ACEITE AISLANTE DIELECTRICO P.TRANSFORMADORES E INTERRUPTORES DE POTENCIA 30KV</v>
          </cell>
        </row>
        <row r="488">
          <cell r="B488">
            <v>2033101</v>
          </cell>
          <cell r="C488" t="str">
            <v>CLM</v>
          </cell>
          <cell r="D488" t="str">
            <v>ACEITE AISLANTE DIELECTRICO P.TRANSFORMADORES E INTERRUPTORES DE POTENCIA 30KV</v>
          </cell>
        </row>
        <row r="489">
          <cell r="B489">
            <v>2033101</v>
          </cell>
          <cell r="C489" t="str">
            <v>CTA</v>
          </cell>
          <cell r="D489" t="str">
            <v>ACEITE AISLANTE DIELECTRICO P.TRANSFORMADORES E INTERRUPTORES DE POTENCIA 30KV</v>
          </cell>
        </row>
        <row r="490">
          <cell r="B490">
            <v>2033101</v>
          </cell>
          <cell r="C490" t="str">
            <v>NYN</v>
          </cell>
          <cell r="D490" t="str">
            <v>ACEITE AISLANTE DIELECTRICO P.TRANSFORMADORES E INTERRUPTORES DE POTENCIA 30KV</v>
          </cell>
        </row>
        <row r="491">
          <cell r="B491">
            <v>2033101</v>
          </cell>
          <cell r="C491" t="str">
            <v>NYN</v>
          </cell>
          <cell r="D491" t="str">
            <v>ACEITE AISLANTE DIELECTRICO P.TRANSFORMADORES E INTERRUPTORES DE POTENCIA 30KV</v>
          </cell>
        </row>
        <row r="492">
          <cell r="B492">
            <v>2033101</v>
          </cell>
          <cell r="C492" t="str">
            <v>SHL</v>
          </cell>
          <cell r="D492" t="str">
            <v>ACEITE AISLANTE DIELECTRICO P.TRANSFORMADORES E INTERRUPTORES DE POTENCIA 30KV</v>
          </cell>
        </row>
        <row r="493">
          <cell r="B493">
            <v>2033501</v>
          </cell>
          <cell r="C493" t="str">
            <v>NYN</v>
          </cell>
          <cell r="D493" t="str">
            <v>ACEITE AISLANTE P.TRANSFORMADORES/INTERRUPTORES 220KV.</v>
          </cell>
        </row>
        <row r="494">
          <cell r="B494">
            <v>2033501</v>
          </cell>
          <cell r="C494" t="str">
            <v>SHL</v>
          </cell>
          <cell r="D494" t="str">
            <v>ACEITE AISLANTE P.TRANSFORMADORES/INTERRUPTORES 220KV.</v>
          </cell>
        </row>
        <row r="495">
          <cell r="B495">
            <v>2033801</v>
          </cell>
          <cell r="C495" t="str">
            <v>PTP</v>
          </cell>
          <cell r="D495" t="str">
            <v>ACEITE GRAFITADO P.INTERRUPTORES Y SECCIONADORES.</v>
          </cell>
        </row>
        <row r="496">
          <cell r="B496">
            <v>2033801</v>
          </cell>
          <cell r="C496" t="str">
            <v>SHL</v>
          </cell>
          <cell r="D496" t="str">
            <v>ACEITE GRAFITADO P.INTERRUPTORES Y SECCIONADORES.</v>
          </cell>
        </row>
        <row r="497">
          <cell r="B497">
            <v>2131712</v>
          </cell>
          <cell r="C497" t="str">
            <v>SHA</v>
          </cell>
          <cell r="D497" t="str">
            <v>SELLADOR PARA ESTRUCTURAS DE CONCRETO ARMADO</v>
          </cell>
        </row>
        <row r="498">
          <cell r="B498">
            <v>2133330</v>
          </cell>
          <cell r="C498" t="str">
            <v>AGE</v>
          </cell>
          <cell r="D498" t="str">
            <v>SOLVENTE DIELECTRICO ECOLOGICO NO CLORADO M.T.</v>
          </cell>
        </row>
        <row r="499">
          <cell r="B499">
            <v>2133330</v>
          </cell>
          <cell r="C499" t="str">
            <v>CHM</v>
          </cell>
          <cell r="D499" t="str">
            <v>SOLVENTE DIELECTRICO ECOLOGICO NO CLORADO M.T.</v>
          </cell>
        </row>
        <row r="500">
          <cell r="B500">
            <v>2133330</v>
          </cell>
          <cell r="C500" t="str">
            <v>CHS</v>
          </cell>
          <cell r="D500" t="str">
            <v>SOLVENTE DIELECTRICO ECOLOGICO NO CLORADO M.T.</v>
          </cell>
        </row>
        <row r="501">
          <cell r="B501">
            <v>2133330</v>
          </cell>
          <cell r="C501" t="str">
            <v>DGS</v>
          </cell>
          <cell r="D501" t="str">
            <v>SOLVENTE DIELECTRICO ECOLOGICO NO CLORADO M.T.</v>
          </cell>
        </row>
        <row r="502">
          <cell r="B502">
            <v>2133330</v>
          </cell>
          <cell r="C502" t="str">
            <v>SVO</v>
          </cell>
          <cell r="D502" t="str">
            <v>SOLVENTE DIELECTRICO ECOLOGICO NO CLORADO M.T.</v>
          </cell>
        </row>
        <row r="503">
          <cell r="B503">
            <v>2139145</v>
          </cell>
          <cell r="C503" t="str">
            <v>CIC</v>
          </cell>
          <cell r="D503" t="str">
            <v>PEGAMENTO EN GEL DE RESINA ISOFTALICA EN ENVASE DE 1/8 GALON</v>
          </cell>
        </row>
        <row r="504">
          <cell r="B504">
            <v>2139145</v>
          </cell>
          <cell r="C504" t="str">
            <v>FBL</v>
          </cell>
          <cell r="D504" t="str">
            <v>PEGAMENTO EN GEL DE RESINA ISOFTALICA EN ENVASE DE 1/8 GALON</v>
          </cell>
        </row>
        <row r="505">
          <cell r="B505">
            <v>2139146</v>
          </cell>
          <cell r="C505" t="str">
            <v>CIC</v>
          </cell>
          <cell r="D505" t="str">
            <v>PEGAMENTO EN GEL DE RESINA ISOFTALICA EN ENVASE DE 1/4 GALON</v>
          </cell>
        </row>
        <row r="506">
          <cell r="B506">
            <v>2139146</v>
          </cell>
          <cell r="C506" t="str">
            <v>FBL</v>
          </cell>
          <cell r="D506" t="str">
            <v>PEGAMENTO EN GEL DE RESINA ISOFTALICA EN ENVASE DE 1/4 GALON</v>
          </cell>
        </row>
        <row r="507">
          <cell r="B507">
            <v>2139147</v>
          </cell>
          <cell r="C507" t="str">
            <v>CIC</v>
          </cell>
          <cell r="D507" t="str">
            <v>PEGAMENTO EN GEL DE RESINA ISOFTALICA EN ENVASE DE 1/2 GALON</v>
          </cell>
        </row>
        <row r="508">
          <cell r="B508">
            <v>2139147</v>
          </cell>
          <cell r="C508" t="str">
            <v>FBL</v>
          </cell>
          <cell r="D508" t="str">
            <v>PEGAMENTO EN GEL DE RESINA ISOFTALICA EN ENVASE DE 1/2 GALON</v>
          </cell>
        </row>
        <row r="509">
          <cell r="B509">
            <v>2139148</v>
          </cell>
          <cell r="C509" t="str">
            <v>CIC</v>
          </cell>
          <cell r="D509" t="str">
            <v>PEGAMENTO EN GEL DE RESINA ISOFTALICA EN ENVASE DE 1 GALON</v>
          </cell>
        </row>
        <row r="510">
          <cell r="B510">
            <v>2139148</v>
          </cell>
          <cell r="C510" t="str">
            <v>FBL</v>
          </cell>
          <cell r="D510" t="str">
            <v>PEGAMENTO EN GEL DE RESINA ISOFTALICA EN ENVASE DE 1 GALON</v>
          </cell>
        </row>
        <row r="511">
          <cell r="B511">
            <v>2143114</v>
          </cell>
          <cell r="C511" t="str">
            <v>SLG</v>
          </cell>
          <cell r="D511" t="str">
            <v>SILICAGEL CON INDICADOR INORGANICO ECOLOGICO</v>
          </cell>
        </row>
        <row r="512">
          <cell r="B512">
            <v>2143162</v>
          </cell>
          <cell r="C512" t="str">
            <v>DMD</v>
          </cell>
          <cell r="D512" t="str">
            <v>BENTONITA SÓDICA P/POZOS DE TIERRA</v>
          </cell>
        </row>
        <row r="513">
          <cell r="B513">
            <v>2143162</v>
          </cell>
          <cell r="C513" t="str">
            <v>GOI</v>
          </cell>
          <cell r="D513" t="str">
            <v>BENTONITA SÓDICA P/POZOS DE TIERRA</v>
          </cell>
        </row>
        <row r="514">
          <cell r="B514">
            <v>2143168</v>
          </cell>
          <cell r="C514" t="str">
            <v>DMD</v>
          </cell>
          <cell r="D514" t="str">
            <v>SAL GRANO INDUSTRIAL PARA POZOS DE TIERRA. CLORURO DE SODIO (5OKG)</v>
          </cell>
        </row>
        <row r="515">
          <cell r="B515">
            <v>2143170</v>
          </cell>
          <cell r="C515" t="str">
            <v>PEM</v>
          </cell>
          <cell r="D515" t="str">
            <v>SAL GRANO INDUSTRIAL PARA POZOS DE TIERRA CLORURO DE SODIO</v>
          </cell>
        </row>
        <row r="516">
          <cell r="B516">
            <v>2144608</v>
          </cell>
          <cell r="C516" t="str">
            <v>DOW</v>
          </cell>
          <cell r="D516" t="str">
            <v>SILICON EN PASTA P.RECUBRIM. AISLADOR AT</v>
          </cell>
        </row>
        <row r="517">
          <cell r="B517">
            <v>2191088</v>
          </cell>
          <cell r="C517" t="str">
            <v>SIL</v>
          </cell>
          <cell r="D517" t="str">
            <v>RECUBRIMIENTO AISLANTE DE ALTA TENSION P.AISLADORES DE PORCELANA Y TRANSFORMADORES EN M.T.</v>
          </cell>
        </row>
        <row r="518">
          <cell r="B518">
            <v>2191088</v>
          </cell>
          <cell r="C518" t="str">
            <v>STH</v>
          </cell>
          <cell r="D518" t="str">
            <v>RECUBRIMIENTO AISLANTE DE ALTA TENSION P.AISLADORES DE PORCELANA Y TRANSFORMADORES EN M.T.</v>
          </cell>
        </row>
        <row r="519">
          <cell r="B519">
            <v>2191110</v>
          </cell>
          <cell r="C519" t="str">
            <v>CGS</v>
          </cell>
          <cell r="D519" t="str">
            <v>RESINA RETARDANTE FUEGO, PRESERVANTE MADERA, 1GL</v>
          </cell>
        </row>
        <row r="520">
          <cell r="B520">
            <v>2191111</v>
          </cell>
          <cell r="C520" t="str">
            <v>CGS</v>
          </cell>
          <cell r="D520" t="str">
            <v>RESINA RETARDANTE FUEGO, PRESERVANTE MADERA, 5 GL.</v>
          </cell>
        </row>
        <row r="521">
          <cell r="B521">
            <v>2192128</v>
          </cell>
          <cell r="C521" t="str">
            <v>CIC</v>
          </cell>
          <cell r="D521" t="str">
            <v>CATALIZADOR P.PEGAMENTO EN GEL DE PEROXIDO DE HIDROGENO EN ENVASE DE 7,5ML</v>
          </cell>
        </row>
        <row r="522">
          <cell r="B522">
            <v>2192128</v>
          </cell>
          <cell r="C522" t="str">
            <v>FBL</v>
          </cell>
          <cell r="D522" t="str">
            <v>CATALIZADOR P.PEGAMENTO EN GEL DE PEROXIDO DE HIDROGENO EN ENVASE DE 7,5ML</v>
          </cell>
        </row>
        <row r="523">
          <cell r="B523">
            <v>2192129</v>
          </cell>
          <cell r="C523" t="str">
            <v>CIC</v>
          </cell>
          <cell r="D523" t="str">
            <v>CATALIZADOR P.PEGAMENTO EN GEL DE PEROXIDO DE HIDROGENO EN ENVASE DE 15ML</v>
          </cell>
        </row>
        <row r="524">
          <cell r="B524">
            <v>2192129</v>
          </cell>
          <cell r="C524" t="str">
            <v>FBL</v>
          </cell>
          <cell r="D524" t="str">
            <v>CATALIZADOR P.PEGAMENTO EN GEL DE PEROXIDO DE HIDROGENO EN ENVASE DE 15ML</v>
          </cell>
        </row>
        <row r="525">
          <cell r="B525">
            <v>2192130</v>
          </cell>
          <cell r="C525" t="str">
            <v>CIC</v>
          </cell>
          <cell r="D525" t="str">
            <v>CATALIZADOR P.PEGAMENTO EN GEL DE PEROXIDO DE HIDROGENO EN ENVASE DE 30ML</v>
          </cell>
        </row>
        <row r="526">
          <cell r="B526">
            <v>2192130</v>
          </cell>
          <cell r="C526" t="str">
            <v>FBL</v>
          </cell>
          <cell r="D526" t="str">
            <v>CATALIZADOR P.PEGAMENTO EN GEL DE PEROXIDO DE HIDROGENO EN ENVASE DE 30ML</v>
          </cell>
        </row>
        <row r="527">
          <cell r="B527">
            <v>2192131</v>
          </cell>
          <cell r="C527" t="str">
            <v>CIC</v>
          </cell>
          <cell r="D527" t="str">
            <v>CATALIZADOR P.PEGAMENTO EN GEL DE PEROXIDO DE HIDROGENO EN ENVASE DE 60ML</v>
          </cell>
        </row>
        <row r="528">
          <cell r="B528">
            <v>2192131</v>
          </cell>
          <cell r="C528" t="str">
            <v>FBL</v>
          </cell>
          <cell r="D528" t="str">
            <v>CATALIZADOR P.PEGAMENTO EN GEL DE PEROXIDO DE HIDROGENO EN ENVASE DE 60ML</v>
          </cell>
        </row>
        <row r="529">
          <cell r="B529">
            <v>2521160</v>
          </cell>
          <cell r="C529" t="str">
            <v>CYC</v>
          </cell>
          <cell r="D529" t="str">
            <v>DUCTO DE CONCRETO ALIGERADO DE 1 VIA 125MM DIAM. X 1M LONG.</v>
          </cell>
        </row>
        <row r="530">
          <cell r="B530">
            <v>2521160</v>
          </cell>
          <cell r="C530" t="str">
            <v>FAD</v>
          </cell>
          <cell r="D530" t="str">
            <v>DUCTO DE CONCRETO ALIGERADO DE 1 VIA 125MM DIAM. X 1M LONG.</v>
          </cell>
        </row>
        <row r="531">
          <cell r="B531">
            <v>2521160</v>
          </cell>
          <cell r="C531" t="str">
            <v>PSS</v>
          </cell>
          <cell r="D531" t="str">
            <v>DUCTO DE CONCRETO ALIGERADO DE 1 VIA 125MM DIAM. X 1M LONG.</v>
          </cell>
        </row>
        <row r="532">
          <cell r="B532">
            <v>2521160</v>
          </cell>
          <cell r="C532" t="str">
            <v>SCM</v>
          </cell>
          <cell r="D532" t="str">
            <v>DUCTO DE CONCRETO ALIGERADO DE 1 VIA 125MM DIAM. X 1M LONG.</v>
          </cell>
        </row>
        <row r="533">
          <cell r="B533">
            <v>2521161</v>
          </cell>
          <cell r="C533" t="str">
            <v>CYC</v>
          </cell>
          <cell r="D533" t="str">
            <v>DUCTO DE CONCRETO ALIGERADO DE 1 VIA 150MM DIAM. X 1M LONG.</v>
          </cell>
        </row>
        <row r="534">
          <cell r="B534">
            <v>2521161</v>
          </cell>
          <cell r="C534" t="str">
            <v>FAD</v>
          </cell>
          <cell r="D534" t="str">
            <v>DUCTO DE CONCRETO ALIGERADO DE 1 VIA 150MM DIAM. X 1M LONG.</v>
          </cell>
        </row>
        <row r="535">
          <cell r="B535">
            <v>2521161</v>
          </cell>
          <cell r="C535" t="str">
            <v>PSS</v>
          </cell>
          <cell r="D535" t="str">
            <v>DUCTO DE CONCRETO ALIGERADO DE 1 VIA 150MM DIAM. X 1M LONG.</v>
          </cell>
        </row>
        <row r="536">
          <cell r="B536">
            <v>2521161</v>
          </cell>
          <cell r="C536" t="str">
            <v>SCM</v>
          </cell>
          <cell r="D536" t="str">
            <v>DUCTO DE CONCRETO ALIGERADO DE 1 VIA 150MM DIAM. X 1M LONG.</v>
          </cell>
        </row>
        <row r="537">
          <cell r="B537">
            <v>2521162</v>
          </cell>
          <cell r="C537" t="str">
            <v>CYC</v>
          </cell>
          <cell r="D537" t="str">
            <v>DUCTO DE CONCRETO ALIGERADO DE 2 VIAS 90MM DIAM. X 1M LONG.</v>
          </cell>
        </row>
        <row r="538">
          <cell r="B538">
            <v>2521162</v>
          </cell>
          <cell r="C538" t="str">
            <v>FAD</v>
          </cell>
          <cell r="D538" t="str">
            <v>DUCTO DE CONCRETO ALIGERADO DE 2 VIAS 90MM DIAM. X 1M LONG.</v>
          </cell>
        </row>
        <row r="539">
          <cell r="B539">
            <v>2521162</v>
          </cell>
          <cell r="C539" t="str">
            <v>PSS</v>
          </cell>
          <cell r="D539" t="str">
            <v>DUCTO DE CONCRETO ALIGERADO DE 2 VIAS 90MM DIAM. X 1M LONG.</v>
          </cell>
        </row>
        <row r="540">
          <cell r="B540">
            <v>2521162</v>
          </cell>
          <cell r="C540" t="str">
            <v>SCM</v>
          </cell>
          <cell r="D540" t="str">
            <v>DUCTO DE CONCRETO ALIGERADO DE 2 VIAS 90MM DIAM. X 1M LONG.</v>
          </cell>
        </row>
        <row r="541">
          <cell r="B541">
            <v>2521163</v>
          </cell>
          <cell r="C541" t="str">
            <v>CYC</v>
          </cell>
          <cell r="D541" t="str">
            <v>DUCTO DE CONCRETO ALIGERADO DE 4 VIAS 90MM DIAM. X 1M LONG.</v>
          </cell>
        </row>
        <row r="542">
          <cell r="B542">
            <v>2521163</v>
          </cell>
          <cell r="C542" t="str">
            <v>FAD</v>
          </cell>
          <cell r="D542" t="str">
            <v>DUCTO DE CONCRETO ALIGERADO DE 4 VIAS 90MM DIAM. X 1M LONG.</v>
          </cell>
        </row>
        <row r="543">
          <cell r="B543">
            <v>2521163</v>
          </cell>
          <cell r="C543" t="str">
            <v>PSS</v>
          </cell>
          <cell r="D543" t="str">
            <v>DUCTO DE CONCRETO ALIGERADO DE 4 VIAS 90MM DIAM. X 1M LONG.</v>
          </cell>
        </row>
        <row r="544">
          <cell r="B544">
            <v>2521163</v>
          </cell>
          <cell r="C544" t="str">
            <v>SCM</v>
          </cell>
          <cell r="D544" t="str">
            <v>DUCTO DE CONCRETO ALIGERADO DE 4 VIAS 90MM DIAM. X 1M LONG.</v>
          </cell>
        </row>
        <row r="545">
          <cell r="B545">
            <v>2521170</v>
          </cell>
          <cell r="C545" t="str">
            <v>IPT</v>
          </cell>
          <cell r="D545" t="str">
            <v>DUCTO DE CONCRETO DE 2 VIAS 90MM DIAM. X 1M LONG.</v>
          </cell>
        </row>
        <row r="546">
          <cell r="B546">
            <v>2551224</v>
          </cell>
          <cell r="C546" t="str">
            <v>KSG</v>
          </cell>
          <cell r="D546" t="str">
            <v>MASTIL DE MADERA TP.EUCALIPTO 3" / 2 1/2" DIAM. 6M ALTURA C.TRATAMIENTO CCB P.ACOMETIDA AEREA</v>
          </cell>
        </row>
        <row r="547">
          <cell r="B547">
            <v>2551224</v>
          </cell>
          <cell r="C547" t="str">
            <v>LIC</v>
          </cell>
          <cell r="D547" t="str">
            <v>MASTIL DE MADERA TP.EUCALIPTO 3" / 2 1/2" DIAM. 6M ALTURA C.TRATAMIENTO CCB P.ACOMETIDA AEREA</v>
          </cell>
        </row>
        <row r="548">
          <cell r="B548">
            <v>2552200</v>
          </cell>
          <cell r="C548" t="str">
            <v>ANE</v>
          </cell>
          <cell r="D548" t="str">
            <v>MASTIL DE MADERA TP.TORNILLO 48 X 73MM 1,8M ALTURA P.ACOMETIDA AEREA</v>
          </cell>
        </row>
        <row r="549">
          <cell r="B549">
            <v>2552200</v>
          </cell>
          <cell r="C549" t="str">
            <v>MAP</v>
          </cell>
          <cell r="D549" t="str">
            <v>MASTIL DE MADERA TP.TORNILLO 48 X 73MM 1,8M ALTURA P.ACOMETIDA AEREA</v>
          </cell>
        </row>
        <row r="550">
          <cell r="B550">
            <v>2552200</v>
          </cell>
          <cell r="C550" t="str">
            <v>MRP</v>
          </cell>
          <cell r="D550" t="str">
            <v>MASTIL DE MADERA TP.TORNILLO 48 X 73MM 1,8M ALTURA P.ACOMETIDA AEREA</v>
          </cell>
        </row>
        <row r="551">
          <cell r="B551">
            <v>2552200</v>
          </cell>
          <cell r="C551" t="str">
            <v>MVL</v>
          </cell>
          <cell r="D551" t="str">
            <v>MASTIL DE MADERA TP.TORNILLO 48 X 73MM 1,8M ALTURA P.ACOMETIDA AEREA</v>
          </cell>
        </row>
        <row r="552">
          <cell r="B552">
            <v>2552201</v>
          </cell>
          <cell r="C552" t="str">
            <v>ANE</v>
          </cell>
          <cell r="D552" t="str">
            <v>MASTIL DE MADERA TP.TORNILLO 48 X 73MM 4,4M ALTURA P.ACOMETIDA AEREA</v>
          </cell>
        </row>
        <row r="553">
          <cell r="B553">
            <v>2552201</v>
          </cell>
          <cell r="C553" t="str">
            <v>MAP</v>
          </cell>
          <cell r="D553" t="str">
            <v>MASTIL DE MADERA TP.TORNILLO 48 X 73MM 4,4M ALTURA P.ACOMETIDA AEREA</v>
          </cell>
        </row>
        <row r="554">
          <cell r="B554">
            <v>2552202</v>
          </cell>
          <cell r="C554" t="str">
            <v>KSS</v>
          </cell>
          <cell r="D554" t="str">
            <v>MASTIL DE MADERA TP.EUCALIPTO 3" / 2" DIAM. 3,5M ALTURA C.TRATAMIENTO CCB P.ACOMETIDA AEREA</v>
          </cell>
        </row>
        <row r="555">
          <cell r="B555">
            <v>2552202</v>
          </cell>
          <cell r="C555" t="str">
            <v>LIC</v>
          </cell>
          <cell r="D555" t="str">
            <v>MASTIL DE MADERA TP.EUCALIPTO 3" / 2" DIAM. 3,5M ALTURA C.TRATAMIENTO CCB P.ACOMETIDA AEREA</v>
          </cell>
        </row>
        <row r="556">
          <cell r="B556">
            <v>2552205</v>
          </cell>
          <cell r="C556" t="str">
            <v>ANE</v>
          </cell>
          <cell r="D556" t="str">
            <v>MASTIL DE MADERA TP.TORNILLO 48 X 73MM 3,6M ALTURA P.ACOMETIDA AEREA</v>
          </cell>
        </row>
        <row r="557">
          <cell r="B557">
            <v>2552205</v>
          </cell>
          <cell r="C557" t="str">
            <v>MAP</v>
          </cell>
          <cell r="D557" t="str">
            <v>MASTIL DE MADERA TP.TORNILLO 48 X 73MM 3,6M ALTURA P.ACOMETIDA AEREA</v>
          </cell>
        </row>
        <row r="558">
          <cell r="B558">
            <v>2552205</v>
          </cell>
          <cell r="C558" t="str">
            <v>MRP</v>
          </cell>
          <cell r="D558" t="str">
            <v>MASTIL DE MADERA TP.TORNILLO 48 X 73MM 3,6M ALTURA P.ACOMETIDA AEREA</v>
          </cell>
        </row>
        <row r="559">
          <cell r="B559">
            <v>2552205</v>
          </cell>
          <cell r="C559" t="str">
            <v>MVL</v>
          </cell>
          <cell r="D559" t="str">
            <v>MASTIL DE MADERA TP.TORNILLO 48 X 73MM 3,6M ALTURA P.ACOMETIDA AEREA</v>
          </cell>
        </row>
        <row r="560">
          <cell r="B560">
            <v>2552206</v>
          </cell>
          <cell r="C560" t="str">
            <v>ANE</v>
          </cell>
          <cell r="D560" t="str">
            <v>MASTIL DE MADERA TP.TORNILLO 48 X 73MM 6,1M ALTURA P.ACOMETIDA AEREA</v>
          </cell>
        </row>
        <row r="561">
          <cell r="B561">
            <v>2552206</v>
          </cell>
          <cell r="C561" t="str">
            <v>MAP</v>
          </cell>
          <cell r="D561" t="str">
            <v>MASTIL DE MADERA TP.TORNILLO 48 X 73MM 6,1M ALTURA P.ACOMETIDA AEREA</v>
          </cell>
        </row>
        <row r="562">
          <cell r="B562">
            <v>2552206</v>
          </cell>
          <cell r="C562" t="str">
            <v>MVL</v>
          </cell>
          <cell r="D562" t="str">
            <v>MASTIL DE MADERA TP.TORNILLO 48 X 73MM 6,1M ALTURA P.ACOMETIDA AEREA</v>
          </cell>
        </row>
        <row r="563">
          <cell r="B563">
            <v>2552209</v>
          </cell>
          <cell r="C563" t="str">
            <v>MAP</v>
          </cell>
          <cell r="D563" t="str">
            <v>TABLERO DE MADERA P.CJ. TP.3B   25.4 X 330 X 425MM</v>
          </cell>
        </row>
        <row r="564">
          <cell r="B564">
            <v>2552209</v>
          </cell>
          <cell r="C564" t="str">
            <v>MVL</v>
          </cell>
          <cell r="D564" t="str">
            <v>TABLERO DE MADERA P.CJ. TP.3B   25.4 X 330 X 425MM</v>
          </cell>
        </row>
        <row r="565">
          <cell r="B565">
            <v>2552211</v>
          </cell>
          <cell r="C565" t="str">
            <v>MAP</v>
          </cell>
          <cell r="D565" t="str">
            <v>TABLERO DE MADERA P.CJ. TP.3B-2   20 X 460 X 740MM</v>
          </cell>
        </row>
        <row r="566">
          <cell r="B566">
            <v>2552211</v>
          </cell>
          <cell r="C566" t="str">
            <v>MVL</v>
          </cell>
          <cell r="D566" t="str">
            <v>TABLERO DE MADERA P.CJ. TP.3B-2   20 X 460 X 740MM</v>
          </cell>
        </row>
        <row r="567">
          <cell r="B567">
            <v>2552213</v>
          </cell>
          <cell r="C567" t="str">
            <v>MAP</v>
          </cell>
          <cell r="D567" t="str">
            <v>TABLERO MADERA.P.TRANSF.CORR./TENS.   40X600X900MM</v>
          </cell>
        </row>
        <row r="568">
          <cell r="B568">
            <v>2552213</v>
          </cell>
          <cell r="C568" t="str">
            <v>MVL</v>
          </cell>
          <cell r="D568" t="str">
            <v>TABLERO MADERA.P.TRANSF.CORR./TENS.   40X600X900MM</v>
          </cell>
        </row>
        <row r="569">
          <cell r="B569">
            <v>2552219</v>
          </cell>
          <cell r="C569" t="str">
            <v>MAP</v>
          </cell>
          <cell r="D569" t="str">
            <v>TABLERO PREP.MADERA P.CJ.MET.TP.LT SUM.TRIF.3-10KW</v>
          </cell>
        </row>
        <row r="570">
          <cell r="B570">
            <v>2552219</v>
          </cell>
          <cell r="C570" t="str">
            <v>MVL</v>
          </cell>
          <cell r="D570" t="str">
            <v>TABLERO PREP.MADERA P.CJ.MET.TP.LT SUM.TRIF.3-10KW</v>
          </cell>
        </row>
        <row r="571">
          <cell r="B571">
            <v>2552221</v>
          </cell>
          <cell r="C571" t="str">
            <v>MAP</v>
          </cell>
          <cell r="D571" t="str">
            <v>TABLERO S/PREP.MADERA P.CJ.MET.TP.L   10X145X415MM</v>
          </cell>
        </row>
        <row r="572">
          <cell r="B572">
            <v>2552221</v>
          </cell>
          <cell r="C572" t="str">
            <v>MVL</v>
          </cell>
          <cell r="D572" t="str">
            <v>TABLERO S/PREP.MADERA P.CJ.MET.TP.L   10X145X415MM</v>
          </cell>
        </row>
        <row r="573">
          <cell r="B573">
            <v>2552409</v>
          </cell>
          <cell r="C573" t="str">
            <v>MAP</v>
          </cell>
          <cell r="D573" t="str">
            <v>BASE DE MADERA P.MODULO AP SAB-SCP-SCB  300X700MM.</v>
          </cell>
        </row>
        <row r="574">
          <cell r="B574">
            <v>2552409</v>
          </cell>
          <cell r="C574" t="str">
            <v>MVL</v>
          </cell>
          <cell r="D574" t="str">
            <v>BASE DE MADERA P.MODULO AP SAB-SCP-SCB  300X700MM.</v>
          </cell>
        </row>
        <row r="575">
          <cell r="B575">
            <v>2552411</v>
          </cell>
          <cell r="C575" t="str">
            <v>MAP</v>
          </cell>
          <cell r="D575" t="str">
            <v>BASE DE MADERA P.MODULO AP. EN SAM      400X550MM.</v>
          </cell>
        </row>
        <row r="576">
          <cell r="B576">
            <v>2552411</v>
          </cell>
          <cell r="C576" t="str">
            <v>MVL</v>
          </cell>
          <cell r="D576" t="str">
            <v>BASE DE MADERA P.MODULO AP. EN SAM      400X550MM.</v>
          </cell>
        </row>
        <row r="577">
          <cell r="B577">
            <v>2552607</v>
          </cell>
          <cell r="C577" t="str">
            <v>MAP</v>
          </cell>
          <cell r="D577" t="str">
            <v>BANCO AISLANTE DE MADERA P.SE.CONV. 560X650MM</v>
          </cell>
        </row>
        <row r="578">
          <cell r="B578">
            <v>2552607</v>
          </cell>
          <cell r="C578" t="str">
            <v>MVL</v>
          </cell>
          <cell r="D578" t="str">
            <v>BANCO AISLANTE DE MADERA P.SE.CONV. 560X650MM</v>
          </cell>
        </row>
        <row r="579">
          <cell r="B579">
            <v>2552613</v>
          </cell>
          <cell r="C579" t="str">
            <v>MAP</v>
          </cell>
          <cell r="D579" t="str">
            <v>BANCO PROTECTOR DE CABLE SCP TRIF.   100X500X600MM</v>
          </cell>
        </row>
        <row r="580">
          <cell r="B580">
            <v>2552613</v>
          </cell>
          <cell r="C580" t="str">
            <v>MVL</v>
          </cell>
          <cell r="D580" t="str">
            <v>BANCO PROTECTOR DE CABLE SCP TRIF.   100X500X600MM</v>
          </cell>
        </row>
        <row r="581">
          <cell r="B581">
            <v>2552939</v>
          </cell>
          <cell r="C581" t="str">
            <v>MAP</v>
          </cell>
          <cell r="D581" t="str">
            <v>SOPORTE MADERA CABLE UNIP.N2XSY SE.CONV. 100X700MM</v>
          </cell>
        </row>
        <row r="582">
          <cell r="B582">
            <v>2552939</v>
          </cell>
          <cell r="C582" t="str">
            <v>MVL</v>
          </cell>
          <cell r="D582" t="str">
            <v>SOPORTE MADERA CABLE UNIP.N2XSY SE.CONV. 100X700MM</v>
          </cell>
        </row>
        <row r="583">
          <cell r="B583">
            <v>2552947</v>
          </cell>
          <cell r="C583" t="str">
            <v>MAP</v>
          </cell>
          <cell r="D583" t="str">
            <v>TARUGO  1/2" DIAM. 3" LONG.</v>
          </cell>
        </row>
        <row r="584">
          <cell r="B584">
            <v>2552947</v>
          </cell>
          <cell r="C584" t="str">
            <v>MVL</v>
          </cell>
          <cell r="D584" t="str">
            <v>TARUGO  1/2" DIAM. 3" LONG.</v>
          </cell>
        </row>
        <row r="585">
          <cell r="B585">
            <v>4191181</v>
          </cell>
          <cell r="C585" t="str">
            <v>CIR</v>
          </cell>
          <cell r="D585" t="str">
            <v>CINTILLO DE NYLON DE 5 1/2" (140MM.)LONG. P. CABLES</v>
          </cell>
        </row>
        <row r="586">
          <cell r="B586">
            <v>4191181</v>
          </cell>
          <cell r="C586" t="str">
            <v>EEA</v>
          </cell>
          <cell r="D586" t="str">
            <v>CINTILLO DE NYLON DE 5 1/2" (140MM.)LONG. P. CABLES</v>
          </cell>
        </row>
        <row r="587">
          <cell r="B587">
            <v>4191181</v>
          </cell>
          <cell r="C587" t="str">
            <v>GWI</v>
          </cell>
          <cell r="D587" t="str">
            <v>CINTILLO DE NYLON DE 5 1/2" (140MM.)LONG. P. CABLES</v>
          </cell>
        </row>
        <row r="588">
          <cell r="B588">
            <v>4191181</v>
          </cell>
          <cell r="C588" t="str">
            <v>HNT</v>
          </cell>
          <cell r="D588" t="str">
            <v>CINTILLO DE NYLON DE 5 1/2" (140MM.)LONG. P. CABLES</v>
          </cell>
        </row>
        <row r="589">
          <cell r="B589">
            <v>4191181</v>
          </cell>
          <cell r="C589" t="str">
            <v>P3M</v>
          </cell>
          <cell r="D589" t="str">
            <v>CINTILLO DE NYLON DE 5 1/2" (140MM.)LONG. P. CABLES</v>
          </cell>
        </row>
        <row r="590">
          <cell r="B590">
            <v>4191182</v>
          </cell>
          <cell r="C590" t="str">
            <v>CIR</v>
          </cell>
          <cell r="D590" t="str">
            <v>CINTILLO DE NYLON DE 7 7/8" (200MM.) LONG. PARA CAB</v>
          </cell>
        </row>
        <row r="591">
          <cell r="B591">
            <v>4191182</v>
          </cell>
          <cell r="C591" t="str">
            <v>EEA</v>
          </cell>
          <cell r="D591" t="str">
            <v>CINTILLO DE NYLON DE 7 7/8" (200MM.) LONG. PARA CAB</v>
          </cell>
        </row>
        <row r="592">
          <cell r="B592">
            <v>4191182</v>
          </cell>
          <cell r="C592" t="str">
            <v>GWI</v>
          </cell>
          <cell r="D592" t="str">
            <v>CINTILLO DE NYLON DE 7 7/8" (200MM.) LONG. PARA CAB</v>
          </cell>
        </row>
        <row r="593">
          <cell r="B593">
            <v>4191182</v>
          </cell>
          <cell r="C593" t="str">
            <v>HNT</v>
          </cell>
          <cell r="D593" t="str">
            <v>CINTILLO DE NYLON DE 7 7/8" (200MM.) LONG. PARA CAB</v>
          </cell>
        </row>
        <row r="594">
          <cell r="B594">
            <v>4191182</v>
          </cell>
          <cell r="C594" t="str">
            <v>P3M</v>
          </cell>
          <cell r="D594" t="str">
            <v>CINTILLO DE NYLON DE 7 7/8" (200MM.) LONG. PARA CAB</v>
          </cell>
        </row>
        <row r="595">
          <cell r="B595">
            <v>4191183</v>
          </cell>
          <cell r="C595" t="str">
            <v>EEA</v>
          </cell>
          <cell r="D595" t="str">
            <v>CINTILLO DE NYLON DE 11 3/5" (295MM)</v>
          </cell>
        </row>
        <row r="596">
          <cell r="B596">
            <v>4191183</v>
          </cell>
          <cell r="C596" t="str">
            <v>HNT</v>
          </cell>
          <cell r="D596" t="str">
            <v>CINTILLO DE NYLON DE 11 3/5" (295MM)</v>
          </cell>
        </row>
        <row r="597">
          <cell r="B597">
            <v>4191184</v>
          </cell>
          <cell r="C597" t="str">
            <v>EEA</v>
          </cell>
          <cell r="D597" t="str">
            <v>CINTILLO DE NYLON 6 5/16" (160MM) LONG. P. CABLES</v>
          </cell>
        </row>
        <row r="598">
          <cell r="B598">
            <v>4191184</v>
          </cell>
          <cell r="C598" t="str">
            <v>HNT</v>
          </cell>
          <cell r="D598" t="str">
            <v>CINTILLO DE NYLON 6 5/16" (160MM) LONG. P. CABLES</v>
          </cell>
        </row>
        <row r="599">
          <cell r="B599">
            <v>4191185</v>
          </cell>
          <cell r="C599" t="str">
            <v>EEA</v>
          </cell>
          <cell r="D599" t="str">
            <v>CINTILLO DE NYLON DE 7 7/8 (200MM) LONG. P. CABLES</v>
          </cell>
        </row>
        <row r="600">
          <cell r="B600">
            <v>4191185</v>
          </cell>
          <cell r="C600" t="str">
            <v>HNT</v>
          </cell>
          <cell r="D600" t="str">
            <v>CINTILLO DE NYLON DE 7 7/8 (200MM) LONG. P. CABLES</v>
          </cell>
        </row>
        <row r="601">
          <cell r="B601">
            <v>4191186</v>
          </cell>
          <cell r="C601" t="str">
            <v>EEA</v>
          </cell>
          <cell r="D601" t="str">
            <v>CINTILLO DE NYLON DE 14 1/2 (370MM) LONG. P. CABLE</v>
          </cell>
        </row>
        <row r="602">
          <cell r="B602">
            <v>4191186</v>
          </cell>
          <cell r="C602" t="str">
            <v>HNT</v>
          </cell>
          <cell r="D602" t="str">
            <v>CINTILLO DE NYLON DE 14 1/2 (370MM) LONG. P. CABLE</v>
          </cell>
        </row>
        <row r="603">
          <cell r="B603">
            <v>4191187</v>
          </cell>
          <cell r="C603" t="str">
            <v>EEA</v>
          </cell>
          <cell r="D603" t="str">
            <v>CINTILLO DE NYLON DE 7 7/8 (200MM) LONG. P. CABLES</v>
          </cell>
        </row>
        <row r="604">
          <cell r="B604">
            <v>4191188</v>
          </cell>
          <cell r="C604" t="str">
            <v>EEA</v>
          </cell>
          <cell r="D604" t="str">
            <v>CINTILLO DE NYLON DE 11 1/2 (292MM) LONG. P. CABLE</v>
          </cell>
        </row>
        <row r="605">
          <cell r="B605">
            <v>4191188</v>
          </cell>
          <cell r="C605" t="str">
            <v>HNT</v>
          </cell>
          <cell r="D605" t="str">
            <v>CINTILLO DE NYLON DE 11 1/2 (292MM) LONG. P. CABLE</v>
          </cell>
        </row>
        <row r="606">
          <cell r="B606">
            <v>4191189</v>
          </cell>
          <cell r="C606" t="str">
            <v>CIR</v>
          </cell>
          <cell r="D606" t="str">
            <v>CINTILLO DE NYLON DE 14 1/2" (368MM) LONG. P. CABLES</v>
          </cell>
        </row>
        <row r="607">
          <cell r="B607">
            <v>4191189</v>
          </cell>
          <cell r="C607" t="str">
            <v>EEA</v>
          </cell>
          <cell r="D607" t="str">
            <v>CINTILLO DE NYLON DE 14 1/2" (368MM) LONG. P. CABLES</v>
          </cell>
        </row>
        <row r="608">
          <cell r="B608">
            <v>4191189</v>
          </cell>
          <cell r="C608" t="str">
            <v>GWI</v>
          </cell>
          <cell r="D608" t="str">
            <v>CINTILLO DE NYLON DE 14 1/2" (368MM) LONG. P. CABLES</v>
          </cell>
        </row>
        <row r="609">
          <cell r="B609">
            <v>4191189</v>
          </cell>
          <cell r="C609" t="str">
            <v>HNT</v>
          </cell>
          <cell r="D609" t="str">
            <v>CINTILLO DE NYLON DE 14 1/2" (368MM) LONG. P. CABLES</v>
          </cell>
        </row>
        <row r="610">
          <cell r="B610">
            <v>4191189</v>
          </cell>
          <cell r="C610" t="str">
            <v>P3M</v>
          </cell>
          <cell r="D610" t="str">
            <v>CINTILLO DE NYLON DE 14 1/2" (368MM) LONG. P. CABLES</v>
          </cell>
        </row>
        <row r="611">
          <cell r="B611">
            <v>4191190</v>
          </cell>
          <cell r="C611" t="str">
            <v>EEA</v>
          </cell>
          <cell r="D611" t="str">
            <v>CINTILLO DE NYLON DE 21" (533MM) LONG. P. CABLES</v>
          </cell>
        </row>
        <row r="612">
          <cell r="B612">
            <v>4191190</v>
          </cell>
          <cell r="C612" t="str">
            <v>HNT</v>
          </cell>
          <cell r="D612" t="str">
            <v>CINTILLO DE NYLON DE 21" (533MM) LONG. P. CABLES</v>
          </cell>
        </row>
        <row r="613">
          <cell r="B613">
            <v>4191191</v>
          </cell>
          <cell r="C613" t="str">
            <v>EEA</v>
          </cell>
          <cell r="D613" t="str">
            <v>CINTILLO DE NYLON DE 28" (710MM) LONG. P. CABLES</v>
          </cell>
        </row>
        <row r="614">
          <cell r="B614">
            <v>4191191</v>
          </cell>
          <cell r="C614" t="str">
            <v>HNT</v>
          </cell>
          <cell r="D614" t="str">
            <v>CINTILLO DE NYLON DE 28" (710MM) LONG. P. CABLES</v>
          </cell>
        </row>
        <row r="615">
          <cell r="B615">
            <v>5011346</v>
          </cell>
          <cell r="C615" t="str">
            <v>CEP</v>
          </cell>
          <cell r="D615" t="str">
            <v>CONDUCTOR CABLEADO DESNUDO CU TEMPLE DURO 16MM2 7 HILOS</v>
          </cell>
        </row>
        <row r="616">
          <cell r="B616">
            <v>5011346</v>
          </cell>
          <cell r="C616" t="str">
            <v>IND</v>
          </cell>
          <cell r="D616" t="str">
            <v>CONDUCTOR CABLEADO DESNUDO CU TEMPLE DURO 16MM2 7 HILOS</v>
          </cell>
        </row>
        <row r="617">
          <cell r="B617">
            <v>5011351</v>
          </cell>
          <cell r="C617" t="str">
            <v>CEP</v>
          </cell>
          <cell r="D617" t="str">
            <v>CONDUCTOR CABLEADO DESNUDO CU TEMPLE DURO 25MM2 7 HILOS</v>
          </cell>
        </row>
        <row r="618">
          <cell r="B618">
            <v>5011351</v>
          </cell>
          <cell r="C618" t="str">
            <v>IND</v>
          </cell>
          <cell r="D618" t="str">
            <v>CONDUCTOR CABLEADO DESNUDO CU TEMPLE DURO 25MM2 7 HILOS</v>
          </cell>
        </row>
        <row r="619">
          <cell r="B619">
            <v>5011355</v>
          </cell>
          <cell r="C619" t="str">
            <v>CEP</v>
          </cell>
          <cell r="D619" t="str">
            <v>CONDUCTOR CABLEADO DESNUDO CU TEMPLE DURO 35MM2 7 HILOS</v>
          </cell>
        </row>
        <row r="620">
          <cell r="B620">
            <v>5011355</v>
          </cell>
          <cell r="C620" t="str">
            <v>IND</v>
          </cell>
          <cell r="D620" t="str">
            <v>CONDUCTOR CABLEADO DESNUDO CU TEMPLE DURO 35MM2 7 HILOS</v>
          </cell>
        </row>
        <row r="621">
          <cell r="B621">
            <v>5011566</v>
          </cell>
          <cell r="C621" t="str">
            <v>CEP</v>
          </cell>
          <cell r="D621" t="str">
            <v>CONDUCTOR CABLEADO DESNUDO CU TEMPLE DURO 70MM2 19 HILOS</v>
          </cell>
        </row>
        <row r="622">
          <cell r="B622">
            <v>5011566</v>
          </cell>
          <cell r="C622" t="str">
            <v>IND</v>
          </cell>
          <cell r="D622" t="str">
            <v>CONDUCTOR CABLEADO DESNUDO CU TEMPLE DURO 70MM2 19 HILOS</v>
          </cell>
        </row>
        <row r="623">
          <cell r="B623">
            <v>5014366</v>
          </cell>
          <cell r="C623" t="str">
            <v>CEP</v>
          </cell>
          <cell r="D623" t="str">
            <v>CONDUCTOR CABLEADO DESNUDO ALEACION ALUMINIO 70MM2 7 HILOS C.GRASA</v>
          </cell>
        </row>
        <row r="624">
          <cell r="B624">
            <v>5014366</v>
          </cell>
          <cell r="C624" t="str">
            <v>CON</v>
          </cell>
          <cell r="D624" t="str">
            <v>CONDUCTOR CABLEADO DESNUDO ALEACION ALUMINIO 70MM2 7 HILOS C.GRASA</v>
          </cell>
        </row>
        <row r="625">
          <cell r="B625">
            <v>5014366</v>
          </cell>
          <cell r="C625" t="str">
            <v>HOE</v>
          </cell>
          <cell r="D625" t="str">
            <v>CONDUCTOR CABLEADO DESNUDO ALEACION ALUMINIO 70MM2 7 HILOS C.GRASA</v>
          </cell>
        </row>
        <row r="626">
          <cell r="B626">
            <v>5014366</v>
          </cell>
          <cell r="C626" t="str">
            <v>PBL</v>
          </cell>
          <cell r="D626" t="str">
            <v>CONDUCTOR CABLEADO DESNUDO ALEACION ALUMINIO 70MM2 7 HILOS C.GRASA</v>
          </cell>
        </row>
        <row r="627">
          <cell r="B627">
            <v>5014366</v>
          </cell>
          <cell r="C627" t="str">
            <v>SUR</v>
          </cell>
          <cell r="D627" t="str">
            <v>CONDUCTOR CABLEADO DESNUDO ALEACION ALUMINIO 70MM2 7 HILOS C.GRASA</v>
          </cell>
        </row>
        <row r="628">
          <cell r="B628">
            <v>5014366</v>
          </cell>
          <cell r="C628" t="str">
            <v>ZTT</v>
          </cell>
          <cell r="D628" t="str">
            <v>CONDUCTOR CABLEADO DESNUDO ALEACION ALUMINIO 70MM2 7 HILOS C.GRASA</v>
          </cell>
        </row>
        <row r="629">
          <cell r="B629">
            <v>5014573</v>
          </cell>
          <cell r="C629" t="str">
            <v>CEP</v>
          </cell>
          <cell r="D629" t="str">
            <v>CONDUCTOR CABLEADO DESNUDO ALEACION ALUMINIO 120MM2 19 HILOS C.GRASA</v>
          </cell>
        </row>
        <row r="630">
          <cell r="B630">
            <v>5014573</v>
          </cell>
          <cell r="C630" t="str">
            <v>HOE</v>
          </cell>
          <cell r="D630" t="str">
            <v>CONDUCTOR CABLEADO DESNUDO ALEACION ALUMINIO 120MM2 19 HILOS C.GRASA</v>
          </cell>
        </row>
        <row r="631">
          <cell r="B631">
            <v>5014573</v>
          </cell>
          <cell r="C631" t="str">
            <v>PBL</v>
          </cell>
          <cell r="D631" t="str">
            <v>CONDUCTOR CABLEADO DESNUDO ALEACION ALUMINIO 120MM2 19 HILOS C.GRASA</v>
          </cell>
        </row>
        <row r="632">
          <cell r="B632">
            <v>5014573</v>
          </cell>
          <cell r="C632" t="str">
            <v>SUR</v>
          </cell>
          <cell r="D632" t="str">
            <v>CONDUCTOR CABLEADO DESNUDO ALEACION ALUMINIO 120MM2 19 HILOS C.GRASA</v>
          </cell>
        </row>
        <row r="633">
          <cell r="B633">
            <v>5014573</v>
          </cell>
          <cell r="C633" t="str">
            <v>ZTT</v>
          </cell>
          <cell r="D633" t="str">
            <v>CONDUCTOR CABLEADO DESNUDO ALEACION ALUMINIO 120MM2 19 HILOS C.GRASA</v>
          </cell>
        </row>
        <row r="634">
          <cell r="B634">
            <v>5014582</v>
          </cell>
          <cell r="C634" t="str">
            <v>CON</v>
          </cell>
          <cell r="D634" t="str">
            <v>CONDUCTOR CABLEADO DESNUDO ALEACION ALUMINIO 185MM2 37 HILOS C.GRASA</v>
          </cell>
        </row>
        <row r="635">
          <cell r="B635">
            <v>5014582</v>
          </cell>
          <cell r="C635" t="str">
            <v>HOE</v>
          </cell>
          <cell r="D635" t="str">
            <v>CONDUCTOR CABLEADO DESNUDO ALEACION ALUMINIO 185MM2 37 HILOS C.GRASA</v>
          </cell>
        </row>
        <row r="636">
          <cell r="B636">
            <v>5014582</v>
          </cell>
          <cell r="C636" t="str">
            <v>PBL</v>
          </cell>
          <cell r="D636" t="str">
            <v>CONDUCTOR CABLEADO DESNUDO ALEACION ALUMINIO 185MM2 37 HILOS C.GRASA</v>
          </cell>
        </row>
        <row r="637">
          <cell r="B637">
            <v>5014582</v>
          </cell>
          <cell r="C637" t="str">
            <v>SUR</v>
          </cell>
          <cell r="D637" t="str">
            <v>CONDUCTOR CABLEADO DESNUDO ALEACION ALUMINIO 185MM2 37 HILOS C.GRASA</v>
          </cell>
        </row>
        <row r="638">
          <cell r="B638">
            <v>5014582</v>
          </cell>
          <cell r="C638" t="str">
            <v>ZTT</v>
          </cell>
          <cell r="D638" t="str">
            <v>CONDUCTOR CABLEADO DESNUDO ALEACION ALUMINIO 185MM2 37 HILOS C.GRASA</v>
          </cell>
        </row>
        <row r="639">
          <cell r="B639">
            <v>5014586</v>
          </cell>
          <cell r="C639" t="str">
            <v>ALC</v>
          </cell>
          <cell r="D639" t="str">
            <v>CONDUCTOR CABLEADO DESNUDO ALEACION ALUMINIO 240MM2 37 HILOS C.GRASA</v>
          </cell>
        </row>
        <row r="640">
          <cell r="B640">
            <v>5014586</v>
          </cell>
          <cell r="C640" t="str">
            <v>PBL</v>
          </cell>
          <cell r="D640" t="str">
            <v>CONDUCTOR CABLEADO DESNUDO ALEACION ALUMINIO 240MM2 37 HILOS C.GRASA</v>
          </cell>
        </row>
        <row r="641">
          <cell r="B641">
            <v>5016361</v>
          </cell>
          <cell r="C641" t="str">
            <v>CAM</v>
          </cell>
          <cell r="D641" t="str">
            <v>CABLE AO.GO.TIPO "B" DE 5/16".5080KG.MANO IZQ.7 HILOS.P.RETENIDA</v>
          </cell>
        </row>
        <row r="642">
          <cell r="B642">
            <v>5016361</v>
          </cell>
          <cell r="C642" t="str">
            <v>CBL</v>
          </cell>
          <cell r="D642" t="str">
            <v>CABLE AO.GO.TIPO "B" DE 5/16".5080KG.MANO IZQ.7 HILOS.P.RETENIDA</v>
          </cell>
        </row>
        <row r="643">
          <cell r="B643">
            <v>5016361</v>
          </cell>
          <cell r="C643" t="str">
            <v>EMC</v>
          </cell>
          <cell r="D643" t="str">
            <v>CABLE AO.GO.TIPO "B" DE 5/16".5080KG.MANO IZQ.7 HILOS.P.RETENIDA</v>
          </cell>
        </row>
        <row r="644">
          <cell r="B644">
            <v>5016361</v>
          </cell>
          <cell r="C644" t="str">
            <v>GED</v>
          </cell>
          <cell r="D644" t="str">
            <v>CABLE AO.GO.TIPO "B" DE 5/16".5080KG.MANO IZQ.7 HILOS.P.RETENIDA</v>
          </cell>
        </row>
        <row r="645">
          <cell r="B645">
            <v>5016361</v>
          </cell>
          <cell r="C645" t="str">
            <v>PBL</v>
          </cell>
          <cell r="D645" t="str">
            <v>CABLE AO.GO.TIPO "B" DE 5/16".5080KG.MANO IZQ.7 HILOS.P.RETENIDA</v>
          </cell>
        </row>
        <row r="646">
          <cell r="B646">
            <v>5017001</v>
          </cell>
          <cell r="C646" t="str">
            <v>CPW</v>
          </cell>
          <cell r="D646" t="str">
            <v>ELECTRODO P.PUESTA A TIERRA TP.COPPERWELD 9/16" X 2400MM</v>
          </cell>
        </row>
        <row r="647">
          <cell r="B647">
            <v>5017001</v>
          </cell>
          <cell r="C647" t="str">
            <v>ELD</v>
          </cell>
          <cell r="D647" t="str">
            <v>ELECTRODO P.PUESTA A TIERRA TP.COPPERWELD 9/16" X 2400MM</v>
          </cell>
        </row>
        <row r="648">
          <cell r="B648">
            <v>5017001</v>
          </cell>
          <cell r="C648" t="str">
            <v>INT</v>
          </cell>
          <cell r="D648" t="str">
            <v>ELECTRODO P.PUESTA A TIERRA TP.COPPERWELD 9/16" X 2400MM</v>
          </cell>
        </row>
        <row r="649">
          <cell r="B649">
            <v>5021041</v>
          </cell>
          <cell r="C649" t="str">
            <v>CEP</v>
          </cell>
          <cell r="D649" t="str">
            <v>CONDUCTOR SOLIDO TW  750V.UNIP.AZUL    1X 1.50 MM2</v>
          </cell>
        </row>
        <row r="650">
          <cell r="B650">
            <v>5021041</v>
          </cell>
          <cell r="C650" t="str">
            <v>CET</v>
          </cell>
          <cell r="D650" t="str">
            <v>CONDUCTOR SOLIDO TW  750V.UNIP.AZUL    1X 1.50 MM2</v>
          </cell>
        </row>
        <row r="651">
          <cell r="B651">
            <v>5021041</v>
          </cell>
          <cell r="C651" t="str">
            <v>ECP</v>
          </cell>
          <cell r="D651" t="str">
            <v>CONDUCTOR SOLIDO TW  750V.UNIP.AZUL    1X 1.50 MM2</v>
          </cell>
        </row>
        <row r="652">
          <cell r="B652">
            <v>5021041</v>
          </cell>
          <cell r="C652" t="str">
            <v>IND</v>
          </cell>
          <cell r="D652" t="str">
            <v>CONDUCTOR SOLIDO TW  750V.UNIP.AZUL    1X 1.50 MM2</v>
          </cell>
        </row>
        <row r="653">
          <cell r="B653">
            <v>5021043</v>
          </cell>
          <cell r="C653" t="str">
            <v>CEP</v>
          </cell>
          <cell r="D653" t="str">
            <v>CONDUCTOR SOLIDO TW  750V.UNIP.AMARI.  1X 1.50 MM2</v>
          </cell>
        </row>
        <row r="654">
          <cell r="B654">
            <v>5021043</v>
          </cell>
          <cell r="C654" t="str">
            <v>CET</v>
          </cell>
          <cell r="D654" t="str">
            <v>CONDUCTOR SOLIDO TW  750V.UNIP.AMARI.  1X 1.50 MM2</v>
          </cell>
        </row>
        <row r="655">
          <cell r="B655">
            <v>5021043</v>
          </cell>
          <cell r="C655" t="str">
            <v>ECP</v>
          </cell>
          <cell r="D655" t="str">
            <v>CONDUCTOR SOLIDO TW  750V.UNIP.AMARI.  1X 1.50 MM2</v>
          </cell>
        </row>
        <row r="656">
          <cell r="B656">
            <v>5021043</v>
          </cell>
          <cell r="C656" t="str">
            <v>IND</v>
          </cell>
          <cell r="D656" t="str">
            <v>CONDUCTOR SOLIDO TW  750V.UNIP.AMARI.  1X 1.50 MM2</v>
          </cell>
        </row>
        <row r="657">
          <cell r="B657">
            <v>5021045</v>
          </cell>
          <cell r="C657" t="str">
            <v>CEP</v>
          </cell>
          <cell r="D657" t="str">
            <v>CONDUCTOR SOLIDO TW  750V.UNIP.NEGRO   1X 1.50 MM2</v>
          </cell>
        </row>
        <row r="658">
          <cell r="B658">
            <v>5021045</v>
          </cell>
          <cell r="C658" t="str">
            <v>CET</v>
          </cell>
          <cell r="D658" t="str">
            <v>CONDUCTOR SOLIDO TW  750V.UNIP.NEGRO   1X 1.50 MM2</v>
          </cell>
        </row>
        <row r="659">
          <cell r="B659">
            <v>5021045</v>
          </cell>
          <cell r="C659" t="str">
            <v>ECP</v>
          </cell>
          <cell r="D659" t="str">
            <v>CONDUCTOR SOLIDO TW  750V.UNIP.NEGRO   1X 1.50 MM2</v>
          </cell>
        </row>
        <row r="660">
          <cell r="B660">
            <v>5021045</v>
          </cell>
          <cell r="C660" t="str">
            <v>IND</v>
          </cell>
          <cell r="D660" t="str">
            <v>CONDUCTOR SOLIDO TW  750V.UNIP.NEGRO   1X 1.50 MM2</v>
          </cell>
        </row>
        <row r="661">
          <cell r="B661">
            <v>5021047</v>
          </cell>
          <cell r="C661" t="str">
            <v>CEP</v>
          </cell>
          <cell r="D661" t="str">
            <v>CONDUCTOR SOLIDO TW  750V.UNIP.ROJO    1X 1.50 MM2</v>
          </cell>
        </row>
        <row r="662">
          <cell r="B662">
            <v>5021047</v>
          </cell>
          <cell r="C662" t="str">
            <v>CET</v>
          </cell>
          <cell r="D662" t="str">
            <v>CONDUCTOR SOLIDO TW  750V.UNIP.ROJO    1X 1.50 MM2</v>
          </cell>
        </row>
        <row r="663">
          <cell r="B663">
            <v>5021049</v>
          </cell>
          <cell r="C663" t="str">
            <v>CEP</v>
          </cell>
          <cell r="D663" t="str">
            <v>CONDUCTOR SOLIDO TW  750V.UNIP.VERDE   1X 1.50 MM2</v>
          </cell>
        </row>
        <row r="664">
          <cell r="B664">
            <v>5021049</v>
          </cell>
          <cell r="C664" t="str">
            <v>CET</v>
          </cell>
          <cell r="D664" t="str">
            <v>CONDUCTOR SOLIDO TW  750V.UNIP.VERDE   1X 1.50 MM2</v>
          </cell>
        </row>
        <row r="665">
          <cell r="B665">
            <v>5021081</v>
          </cell>
          <cell r="C665" t="str">
            <v>CEP</v>
          </cell>
          <cell r="D665" t="str">
            <v>CONDUCTOR SOLIDO TW  750V.UNIP.AZUL    1X 2.5  MM2</v>
          </cell>
        </row>
        <row r="666">
          <cell r="B666">
            <v>5021081</v>
          </cell>
          <cell r="C666" t="str">
            <v>CET</v>
          </cell>
          <cell r="D666" t="str">
            <v>CONDUCTOR SOLIDO TW  750V.UNIP.AZUL    1X 2.5  MM2</v>
          </cell>
        </row>
        <row r="667">
          <cell r="B667">
            <v>5021081</v>
          </cell>
          <cell r="C667" t="str">
            <v>ECP</v>
          </cell>
          <cell r="D667" t="str">
            <v>CONDUCTOR SOLIDO TW  750V.UNIP.AZUL    1X 2.5  MM2</v>
          </cell>
        </row>
        <row r="668">
          <cell r="B668">
            <v>5021081</v>
          </cell>
          <cell r="C668" t="str">
            <v>IND</v>
          </cell>
          <cell r="D668" t="str">
            <v>CONDUCTOR SOLIDO TW  750V.UNIP.AZUL    1X 2.5  MM2</v>
          </cell>
        </row>
        <row r="669">
          <cell r="B669">
            <v>5021083</v>
          </cell>
          <cell r="C669" t="str">
            <v>CEP</v>
          </cell>
          <cell r="D669" t="str">
            <v>CONDUCTOR SOLIDO TW  750V.UNIP.AMARI.  1X 2.5  MM2</v>
          </cell>
        </row>
        <row r="670">
          <cell r="B670">
            <v>5021083</v>
          </cell>
          <cell r="C670" t="str">
            <v>CET</v>
          </cell>
          <cell r="D670" t="str">
            <v>CONDUCTOR SOLIDO TW  750V.UNIP.AMARI.  1X 2.5  MM2</v>
          </cell>
        </row>
        <row r="671">
          <cell r="B671">
            <v>5021083</v>
          </cell>
          <cell r="C671" t="str">
            <v>ECP</v>
          </cell>
          <cell r="D671" t="str">
            <v>CONDUCTOR SOLIDO TW  750V.UNIP.AMARI.  1X 2.5  MM2</v>
          </cell>
        </row>
        <row r="672">
          <cell r="B672">
            <v>5021083</v>
          </cell>
          <cell r="C672" t="str">
            <v>IND</v>
          </cell>
          <cell r="D672" t="str">
            <v>CONDUCTOR SOLIDO TW  750V.UNIP.AMARI.  1X 2.5  MM2</v>
          </cell>
        </row>
        <row r="673">
          <cell r="B673">
            <v>5021085</v>
          </cell>
          <cell r="C673" t="str">
            <v>CEP</v>
          </cell>
          <cell r="D673" t="str">
            <v>CONDUCTOR SOLIDO TW  750V.UNIP.NEGRO   1X 2.5  MM2</v>
          </cell>
        </row>
        <row r="674">
          <cell r="B674">
            <v>5021085</v>
          </cell>
          <cell r="C674" t="str">
            <v>CET</v>
          </cell>
          <cell r="D674" t="str">
            <v>CONDUCTOR SOLIDO TW  750V.UNIP.NEGRO   1X 2.5  MM2</v>
          </cell>
        </row>
        <row r="675">
          <cell r="B675">
            <v>5021085</v>
          </cell>
          <cell r="C675" t="str">
            <v>ECP</v>
          </cell>
          <cell r="D675" t="str">
            <v>CONDUCTOR SOLIDO TW  750V.UNIP.NEGRO   1X 2.5  MM2</v>
          </cell>
        </row>
        <row r="676">
          <cell r="B676">
            <v>5021085</v>
          </cell>
          <cell r="C676" t="str">
            <v>IND</v>
          </cell>
          <cell r="D676" t="str">
            <v>CONDUCTOR SOLIDO TW  750V.UNIP.NEGRO   1X 2.5  MM2</v>
          </cell>
        </row>
        <row r="677">
          <cell r="B677">
            <v>5021087</v>
          </cell>
          <cell r="C677" t="str">
            <v>CEP</v>
          </cell>
          <cell r="D677" t="str">
            <v>CONDUCTOR SOLIDO TW  750V.UNIP.ROJO    1X 2.5  MM2</v>
          </cell>
        </row>
        <row r="678">
          <cell r="B678">
            <v>5021087</v>
          </cell>
          <cell r="C678" t="str">
            <v>CET</v>
          </cell>
          <cell r="D678" t="str">
            <v>CONDUCTOR SOLIDO TW  750V.UNIP.ROJO    1X 2.5  MM2</v>
          </cell>
        </row>
        <row r="679">
          <cell r="B679">
            <v>5021087</v>
          </cell>
          <cell r="C679" t="str">
            <v>ECP</v>
          </cell>
          <cell r="D679" t="str">
            <v>CONDUCTOR SOLIDO TW  750V.UNIP.ROJO    1X 2.5  MM2</v>
          </cell>
        </row>
        <row r="680">
          <cell r="B680">
            <v>5021087</v>
          </cell>
          <cell r="C680" t="str">
            <v>IND</v>
          </cell>
          <cell r="D680" t="str">
            <v>CONDUCTOR SOLIDO TW  750V.UNIP.ROJO    1X 2.5  MM2</v>
          </cell>
        </row>
        <row r="681">
          <cell r="B681">
            <v>5021089</v>
          </cell>
          <cell r="C681" t="str">
            <v>CEP</v>
          </cell>
          <cell r="D681" t="str">
            <v>CONDUCTOR SOLIDO TW  750V.UNIP.VERDE   1X 2.5  MM2</v>
          </cell>
        </row>
        <row r="682">
          <cell r="B682">
            <v>5021089</v>
          </cell>
          <cell r="C682" t="str">
            <v>CET</v>
          </cell>
          <cell r="D682" t="str">
            <v>CONDUCTOR SOLIDO TW  750V.UNIP.VERDE   1X 2.5  MM2</v>
          </cell>
        </row>
        <row r="683">
          <cell r="B683">
            <v>5021089</v>
          </cell>
          <cell r="C683" t="str">
            <v>ECP</v>
          </cell>
          <cell r="D683" t="str">
            <v>CONDUCTOR SOLIDO TW  750V.UNIP.VERDE   1X 2.5  MM2</v>
          </cell>
        </row>
        <row r="684">
          <cell r="B684">
            <v>5021089</v>
          </cell>
          <cell r="C684" t="str">
            <v>IND</v>
          </cell>
          <cell r="D684" t="str">
            <v>CONDUCTOR SOLIDO TW  750V.UNIP.VERDE   1X 2.5  MM2</v>
          </cell>
        </row>
        <row r="685">
          <cell r="B685">
            <v>5021090</v>
          </cell>
          <cell r="C685" t="str">
            <v>CET</v>
          </cell>
          <cell r="D685" t="str">
            <v>CONDUCTOR SOLIDO REFORZADO TW UNIPOLAR BLANCO  1X2.5  MM2   750V.</v>
          </cell>
        </row>
        <row r="686">
          <cell r="B686">
            <v>5021090</v>
          </cell>
          <cell r="C686" t="str">
            <v>ECP</v>
          </cell>
          <cell r="D686" t="str">
            <v>CONDUCTOR SOLIDO REFORZADO TW UNIPOLAR BLANCO  1X2.5  MM2   750V.</v>
          </cell>
        </row>
        <row r="687">
          <cell r="B687">
            <v>5021090</v>
          </cell>
          <cell r="C687" t="str">
            <v>IND</v>
          </cell>
          <cell r="D687" t="str">
            <v>CONDUCTOR SOLIDO REFORZADO TW UNIPOLAR BLANCO  1X2.5  MM2   750V.</v>
          </cell>
        </row>
        <row r="688">
          <cell r="B688">
            <v>5021120</v>
          </cell>
          <cell r="C688" t="str">
            <v>CEP</v>
          </cell>
          <cell r="D688" t="str">
            <v>CONDUCTOR SOLIDO UNIPOLAR TIPO TW 4MM2 COLOR MARRON 450 / 750V</v>
          </cell>
        </row>
        <row r="689">
          <cell r="B689">
            <v>5021120</v>
          </cell>
          <cell r="C689" t="str">
            <v>CET</v>
          </cell>
          <cell r="D689" t="str">
            <v>CONDUCTOR SOLIDO UNIPOLAR TIPO TW 4MM2 COLOR MARRON 450 / 750V</v>
          </cell>
        </row>
        <row r="690">
          <cell r="B690">
            <v>5021120</v>
          </cell>
          <cell r="C690" t="str">
            <v>ECP</v>
          </cell>
          <cell r="D690" t="str">
            <v>CONDUCTOR SOLIDO UNIPOLAR TIPO TW 4MM2 COLOR MARRON 450 / 750V</v>
          </cell>
        </row>
        <row r="691">
          <cell r="B691">
            <v>5021120</v>
          </cell>
          <cell r="C691" t="str">
            <v>IND</v>
          </cell>
          <cell r="D691" t="str">
            <v>CONDUCTOR SOLIDO UNIPOLAR TIPO TW 4MM2 COLOR MARRON 450 / 750V</v>
          </cell>
        </row>
        <row r="692">
          <cell r="B692">
            <v>5021121</v>
          </cell>
          <cell r="C692" t="str">
            <v>CEP</v>
          </cell>
          <cell r="D692" t="str">
            <v>CONDUCTOR SOLIDO TW  750V.UNIP.AZUL    1X 4    MM2</v>
          </cell>
        </row>
        <row r="693">
          <cell r="B693">
            <v>5021121</v>
          </cell>
          <cell r="C693" t="str">
            <v>CET</v>
          </cell>
          <cell r="D693" t="str">
            <v>CONDUCTOR SOLIDO TW  750V.UNIP.AZUL    1X 4    MM2</v>
          </cell>
        </row>
        <row r="694">
          <cell r="B694">
            <v>5021121</v>
          </cell>
          <cell r="C694" t="str">
            <v>ECP</v>
          </cell>
          <cell r="D694" t="str">
            <v>CONDUCTOR SOLIDO TW  750V.UNIP.AZUL    1X 4    MM2</v>
          </cell>
        </row>
        <row r="695">
          <cell r="B695">
            <v>5021121</v>
          </cell>
          <cell r="C695" t="str">
            <v>IND</v>
          </cell>
          <cell r="D695" t="str">
            <v>CONDUCTOR SOLIDO TW  750V.UNIP.AZUL    1X 4    MM2</v>
          </cell>
        </row>
        <row r="696">
          <cell r="B696">
            <v>5021123</v>
          </cell>
          <cell r="C696" t="str">
            <v>CEP</v>
          </cell>
          <cell r="D696" t="str">
            <v>CONDUCTOR SOLIDO TW  750V.UNIP.AMARI.  1X 4    MM2</v>
          </cell>
        </row>
        <row r="697">
          <cell r="B697">
            <v>5021123</v>
          </cell>
          <cell r="C697" t="str">
            <v>CET</v>
          </cell>
          <cell r="D697" t="str">
            <v>CONDUCTOR SOLIDO TW  750V.UNIP.AMARI.  1X 4    MM2</v>
          </cell>
        </row>
        <row r="698">
          <cell r="B698">
            <v>5021123</v>
          </cell>
          <cell r="C698" t="str">
            <v>ECP</v>
          </cell>
          <cell r="D698" t="str">
            <v>CONDUCTOR SOLIDO TW  750V.UNIP.AMARI.  1X 4    MM2</v>
          </cell>
        </row>
        <row r="699">
          <cell r="B699">
            <v>5021123</v>
          </cell>
          <cell r="C699" t="str">
            <v>IND</v>
          </cell>
          <cell r="D699" t="str">
            <v>CONDUCTOR SOLIDO TW  750V.UNIP.AMARI.  1X 4    MM2</v>
          </cell>
        </row>
        <row r="700">
          <cell r="B700">
            <v>5021125</v>
          </cell>
          <cell r="C700" t="str">
            <v>CEP</v>
          </cell>
          <cell r="D700" t="str">
            <v>CONDUCTOR SOLIDO TW  750V.UNIP.NEGRO   1X 4    MM2</v>
          </cell>
        </row>
        <row r="701">
          <cell r="B701">
            <v>5021125</v>
          </cell>
          <cell r="C701" t="str">
            <v>CET</v>
          </cell>
          <cell r="D701" t="str">
            <v>CONDUCTOR SOLIDO TW  750V.UNIP.NEGRO   1X 4    MM2</v>
          </cell>
        </row>
        <row r="702">
          <cell r="B702">
            <v>5021125</v>
          </cell>
          <cell r="C702" t="str">
            <v>ECP</v>
          </cell>
          <cell r="D702" t="str">
            <v>CONDUCTOR SOLIDO TW  750V.UNIP.NEGRO   1X 4    MM2</v>
          </cell>
        </row>
        <row r="703">
          <cell r="B703">
            <v>5021125</v>
          </cell>
          <cell r="C703" t="str">
            <v>IND</v>
          </cell>
          <cell r="D703" t="str">
            <v>CONDUCTOR SOLIDO TW  750V.UNIP.NEGRO   1X 4    MM2</v>
          </cell>
        </row>
        <row r="704">
          <cell r="B704">
            <v>5021126</v>
          </cell>
          <cell r="C704" t="str">
            <v>CEP</v>
          </cell>
          <cell r="D704" t="str">
            <v>CONDUCTOR SOLIDO TW  750V.UNIP.BLANCO   1X 4    MM2</v>
          </cell>
        </row>
        <row r="705">
          <cell r="B705">
            <v>5021126</v>
          </cell>
          <cell r="C705" t="str">
            <v>CET</v>
          </cell>
          <cell r="D705" t="str">
            <v>CONDUCTOR SOLIDO TW  750V.UNIP.BLANCO   1X 4    MM2</v>
          </cell>
        </row>
        <row r="706">
          <cell r="B706">
            <v>5021126</v>
          </cell>
          <cell r="C706" t="str">
            <v>ECP</v>
          </cell>
          <cell r="D706" t="str">
            <v>CONDUCTOR SOLIDO TW  750V.UNIP.BLANCO   1X 4    MM2</v>
          </cell>
        </row>
        <row r="707">
          <cell r="B707">
            <v>5021126</v>
          </cell>
          <cell r="C707" t="str">
            <v>IND</v>
          </cell>
          <cell r="D707" t="str">
            <v>CONDUCTOR SOLIDO TW  750V.UNIP.BLANCO   1X 4    MM2</v>
          </cell>
        </row>
        <row r="708">
          <cell r="B708">
            <v>5021127</v>
          </cell>
          <cell r="C708" t="str">
            <v>CEP</v>
          </cell>
          <cell r="D708" t="str">
            <v>CONDUCTOR SOLIDO TW  750V.UNIP.ROJO    1X 4    MM2</v>
          </cell>
        </row>
        <row r="709">
          <cell r="B709">
            <v>5021127</v>
          </cell>
          <cell r="C709" t="str">
            <v>CET</v>
          </cell>
          <cell r="D709" t="str">
            <v>CONDUCTOR SOLIDO TW  750V.UNIP.ROJO    1X 4    MM2</v>
          </cell>
        </row>
        <row r="710">
          <cell r="B710">
            <v>5021127</v>
          </cell>
          <cell r="C710" t="str">
            <v>ECP</v>
          </cell>
          <cell r="D710" t="str">
            <v>CONDUCTOR SOLIDO TW  750V.UNIP.ROJO    1X 4    MM2</v>
          </cell>
        </row>
        <row r="711">
          <cell r="B711">
            <v>5021127</v>
          </cell>
          <cell r="C711" t="str">
            <v>IND</v>
          </cell>
          <cell r="D711" t="str">
            <v>CONDUCTOR SOLIDO TW  750V.UNIP.ROJO    1X 4    MM2</v>
          </cell>
        </row>
        <row r="712">
          <cell r="B712">
            <v>5021129</v>
          </cell>
          <cell r="C712" t="str">
            <v>CEP</v>
          </cell>
          <cell r="D712" t="str">
            <v>CONDUCTOR SOLIDO TW  750V.UNIP.VERDE   1X 4    MM2</v>
          </cell>
        </row>
        <row r="713">
          <cell r="B713">
            <v>5021129</v>
          </cell>
          <cell r="C713" t="str">
            <v>CET</v>
          </cell>
          <cell r="D713" t="str">
            <v>CONDUCTOR SOLIDO TW  750V.UNIP.VERDE   1X 4    MM2</v>
          </cell>
        </row>
        <row r="714">
          <cell r="B714">
            <v>5021129</v>
          </cell>
          <cell r="C714" t="str">
            <v>ECP</v>
          </cell>
          <cell r="D714" t="str">
            <v>CONDUCTOR SOLIDO TW  750V.UNIP.VERDE   1X 4    MM2</v>
          </cell>
        </row>
        <row r="715">
          <cell r="B715">
            <v>5021129</v>
          </cell>
          <cell r="C715" t="str">
            <v>IND</v>
          </cell>
          <cell r="D715" t="str">
            <v>CONDUCTOR SOLIDO TW  750V.UNIP.VERDE   1X 4    MM2</v>
          </cell>
        </row>
        <row r="716">
          <cell r="B716">
            <v>5021161</v>
          </cell>
          <cell r="C716" t="str">
            <v>CEP</v>
          </cell>
          <cell r="D716" t="str">
            <v>CONDUCTOR SOLIDO TW  750V.UNIP.AZUL    1X 6    MM2</v>
          </cell>
        </row>
        <row r="717">
          <cell r="B717">
            <v>5021161</v>
          </cell>
          <cell r="C717" t="str">
            <v>CET</v>
          </cell>
          <cell r="D717" t="str">
            <v>CONDUCTOR SOLIDO TW  750V.UNIP.AZUL    1X 6    MM2</v>
          </cell>
        </row>
        <row r="718">
          <cell r="B718">
            <v>5021161</v>
          </cell>
          <cell r="C718" t="str">
            <v>ECP</v>
          </cell>
          <cell r="D718" t="str">
            <v>CONDUCTOR SOLIDO TW  750V.UNIP.AZUL    1X 6    MM2</v>
          </cell>
        </row>
        <row r="719">
          <cell r="B719">
            <v>5021161</v>
          </cell>
          <cell r="C719" t="str">
            <v>IND</v>
          </cell>
          <cell r="D719" t="str">
            <v>CONDUCTOR SOLIDO TW  750V.UNIP.AZUL    1X 6    MM2</v>
          </cell>
        </row>
        <row r="720">
          <cell r="B720">
            <v>5021163</v>
          </cell>
          <cell r="C720" t="str">
            <v>CEP</v>
          </cell>
          <cell r="D720" t="str">
            <v>CONDUCTOR SOLIDO TW  750V.UNIP.AMARI.  1X 6    MM2</v>
          </cell>
        </row>
        <row r="721">
          <cell r="B721">
            <v>5021163</v>
          </cell>
          <cell r="C721" t="str">
            <v>CET</v>
          </cell>
          <cell r="D721" t="str">
            <v>CONDUCTOR SOLIDO TW  750V.UNIP.AMARI.  1X 6    MM2</v>
          </cell>
        </row>
        <row r="722">
          <cell r="B722">
            <v>5021163</v>
          </cell>
          <cell r="C722" t="str">
            <v>ECP</v>
          </cell>
          <cell r="D722" t="str">
            <v>CONDUCTOR SOLIDO TW  750V.UNIP.AMARI.  1X 6    MM2</v>
          </cell>
        </row>
        <row r="723">
          <cell r="B723">
            <v>5021163</v>
          </cell>
          <cell r="C723" t="str">
            <v>IND</v>
          </cell>
          <cell r="D723" t="str">
            <v>CONDUCTOR SOLIDO TW  750V.UNIP.AMARI.  1X 6    MM2</v>
          </cell>
        </row>
        <row r="724">
          <cell r="B724">
            <v>5021165</v>
          </cell>
          <cell r="C724" t="str">
            <v>CEP</v>
          </cell>
          <cell r="D724" t="str">
            <v>CONDUCTOR SOLIDO TW  750V.UNIP.NEGRO   1X 6    MM2</v>
          </cell>
        </row>
        <row r="725">
          <cell r="B725">
            <v>5021165</v>
          </cell>
          <cell r="C725" t="str">
            <v>CET</v>
          </cell>
          <cell r="D725" t="str">
            <v>CONDUCTOR SOLIDO TW  750V.UNIP.NEGRO   1X 6    MM2</v>
          </cell>
        </row>
        <row r="726">
          <cell r="B726">
            <v>5021165</v>
          </cell>
          <cell r="C726" t="str">
            <v>ECP</v>
          </cell>
          <cell r="D726" t="str">
            <v>CONDUCTOR SOLIDO TW  750V.UNIP.NEGRO   1X 6    MM2</v>
          </cell>
        </row>
        <row r="727">
          <cell r="B727">
            <v>5021165</v>
          </cell>
          <cell r="C727" t="str">
            <v>IND</v>
          </cell>
          <cell r="D727" t="str">
            <v>CONDUCTOR SOLIDO TW  750V.UNIP.NEGRO   1X 6    MM2</v>
          </cell>
        </row>
        <row r="728">
          <cell r="B728">
            <v>5021167</v>
          </cell>
          <cell r="C728" t="str">
            <v>CEP</v>
          </cell>
          <cell r="D728" t="str">
            <v>CONDUCTOR SOLIDO TW  750V.UNIP.ROJO    1X 6    MM2</v>
          </cell>
        </row>
        <row r="729">
          <cell r="B729">
            <v>5021167</v>
          </cell>
          <cell r="C729" t="str">
            <v>CET</v>
          </cell>
          <cell r="D729" t="str">
            <v>CONDUCTOR SOLIDO TW  750V.UNIP.ROJO    1X 6    MM2</v>
          </cell>
        </row>
        <row r="730">
          <cell r="B730">
            <v>5021167</v>
          </cell>
          <cell r="C730" t="str">
            <v>ECP</v>
          </cell>
          <cell r="D730" t="str">
            <v>CONDUCTOR SOLIDO TW  750V.UNIP.ROJO    1X 6    MM2</v>
          </cell>
        </row>
        <row r="731">
          <cell r="B731">
            <v>5021167</v>
          </cell>
          <cell r="C731" t="str">
            <v>IND</v>
          </cell>
          <cell r="D731" t="str">
            <v>CONDUCTOR SOLIDO TW  750V.UNIP.ROJO    1X 6    MM2</v>
          </cell>
        </row>
        <row r="732">
          <cell r="B732">
            <v>5021169</v>
          </cell>
          <cell r="C732" t="str">
            <v>CEP</v>
          </cell>
          <cell r="D732" t="str">
            <v>CONDUCTOR SOLIDO TW  750V.UNIP.VERDE   1X 6    MM2</v>
          </cell>
        </row>
        <row r="733">
          <cell r="B733">
            <v>5021169</v>
          </cell>
          <cell r="C733" t="str">
            <v>CET</v>
          </cell>
          <cell r="D733" t="str">
            <v>CONDUCTOR SOLIDO TW  750V.UNIP.VERDE   1X 6    MM2</v>
          </cell>
        </row>
        <row r="734">
          <cell r="B734">
            <v>5021169</v>
          </cell>
          <cell r="C734" t="str">
            <v>ECP</v>
          </cell>
          <cell r="D734" t="str">
            <v>CONDUCTOR SOLIDO TW  750V.UNIP.VERDE   1X 6    MM2</v>
          </cell>
        </row>
        <row r="735">
          <cell r="B735">
            <v>5021169</v>
          </cell>
          <cell r="C735" t="str">
            <v>IND</v>
          </cell>
          <cell r="D735" t="str">
            <v>CONDUCTOR SOLIDO TW  750V.UNIP.VERDE   1X 6    MM2</v>
          </cell>
        </row>
        <row r="736">
          <cell r="B736">
            <v>5021201</v>
          </cell>
          <cell r="C736" t="str">
            <v>CEP</v>
          </cell>
          <cell r="D736" t="str">
            <v>CONDUCTOR SOLIDO TW  750V.UNIP.AZUL    1X10    MM2</v>
          </cell>
        </row>
        <row r="737">
          <cell r="B737">
            <v>5021201</v>
          </cell>
          <cell r="C737" t="str">
            <v>CET</v>
          </cell>
          <cell r="D737" t="str">
            <v>CONDUCTOR SOLIDO TW  750V.UNIP.AZUL    1X10    MM2</v>
          </cell>
        </row>
        <row r="738">
          <cell r="B738">
            <v>5021201</v>
          </cell>
          <cell r="C738" t="str">
            <v>ECP</v>
          </cell>
          <cell r="D738" t="str">
            <v>CONDUCTOR SOLIDO TW  750V.UNIP.AZUL    1X10    MM2</v>
          </cell>
        </row>
        <row r="739">
          <cell r="B739">
            <v>5021201</v>
          </cell>
          <cell r="C739" t="str">
            <v>IND</v>
          </cell>
          <cell r="D739" t="str">
            <v>CONDUCTOR SOLIDO TW  750V.UNIP.AZUL    1X10    MM2</v>
          </cell>
        </row>
        <row r="740">
          <cell r="B740">
            <v>5021203</v>
          </cell>
          <cell r="C740" t="str">
            <v>CEP</v>
          </cell>
          <cell r="D740" t="str">
            <v>CONDUCTOR SOLIDO TW  750V.UNIP.AMARI.  1X10    MM2</v>
          </cell>
        </row>
        <row r="741">
          <cell r="B741">
            <v>5021203</v>
          </cell>
          <cell r="C741" t="str">
            <v>CET</v>
          </cell>
          <cell r="D741" t="str">
            <v>CONDUCTOR SOLIDO TW  750V.UNIP.AMARI.  1X10    MM2</v>
          </cell>
        </row>
        <row r="742">
          <cell r="B742">
            <v>5021203</v>
          </cell>
          <cell r="C742" t="str">
            <v>ECP</v>
          </cell>
          <cell r="D742" t="str">
            <v>CONDUCTOR SOLIDO TW  750V.UNIP.AMARI.  1X10    MM2</v>
          </cell>
        </row>
        <row r="743">
          <cell r="B743">
            <v>5021203</v>
          </cell>
          <cell r="C743" t="str">
            <v>IND</v>
          </cell>
          <cell r="D743" t="str">
            <v>CONDUCTOR SOLIDO TW  750V.UNIP.AMARI.  1X10    MM2</v>
          </cell>
        </row>
        <row r="744">
          <cell r="B744">
            <v>5021205</v>
          </cell>
          <cell r="C744" t="str">
            <v>CEP</v>
          </cell>
          <cell r="D744" t="str">
            <v>CONDUCTOR SOLIDO TW  750V.UNIP.NEGRO   1X10    MM2</v>
          </cell>
        </row>
        <row r="745">
          <cell r="B745">
            <v>5021205</v>
          </cell>
          <cell r="C745" t="str">
            <v>CET</v>
          </cell>
          <cell r="D745" t="str">
            <v>CONDUCTOR SOLIDO TW  750V.UNIP.NEGRO   1X10    MM2</v>
          </cell>
        </row>
        <row r="746">
          <cell r="B746">
            <v>5021205</v>
          </cell>
          <cell r="C746" t="str">
            <v>ECP</v>
          </cell>
          <cell r="D746" t="str">
            <v>CONDUCTOR SOLIDO TW  750V.UNIP.NEGRO   1X10    MM2</v>
          </cell>
        </row>
        <row r="747">
          <cell r="B747">
            <v>5021205</v>
          </cell>
          <cell r="C747" t="str">
            <v>IND</v>
          </cell>
          <cell r="D747" t="str">
            <v>CONDUCTOR SOLIDO TW  750V.UNIP.NEGRO   1X10    MM2</v>
          </cell>
        </row>
        <row r="748">
          <cell r="B748">
            <v>5021207</v>
          </cell>
          <cell r="C748" t="str">
            <v>CEP</v>
          </cell>
          <cell r="D748" t="str">
            <v>CONDUCTOR SOLIDO TW  750V.UNIP.ROJO    1X10    MM2</v>
          </cell>
        </row>
        <row r="749">
          <cell r="B749">
            <v>5021207</v>
          </cell>
          <cell r="C749" t="str">
            <v>CET</v>
          </cell>
          <cell r="D749" t="str">
            <v>CONDUCTOR SOLIDO TW  750V.UNIP.ROJO    1X10    MM2</v>
          </cell>
        </row>
        <row r="750">
          <cell r="B750">
            <v>5021207</v>
          </cell>
          <cell r="C750" t="str">
            <v>ECP</v>
          </cell>
          <cell r="D750" t="str">
            <v>CONDUCTOR SOLIDO TW  750V.UNIP.ROJO    1X10    MM2</v>
          </cell>
        </row>
        <row r="751">
          <cell r="B751">
            <v>5021207</v>
          </cell>
          <cell r="C751" t="str">
            <v>IND</v>
          </cell>
          <cell r="D751" t="str">
            <v>CONDUCTOR SOLIDO TW  750V.UNIP.ROJO    1X10    MM2</v>
          </cell>
        </row>
        <row r="752">
          <cell r="B752">
            <v>5021209</v>
          </cell>
          <cell r="C752" t="str">
            <v>CEP</v>
          </cell>
          <cell r="D752" t="str">
            <v>CONDUCTOR SOLIDO TW  750V.UNIP.VERDE   1X10    MM2</v>
          </cell>
        </row>
        <row r="753">
          <cell r="B753">
            <v>5021209</v>
          </cell>
          <cell r="C753" t="str">
            <v>CET</v>
          </cell>
          <cell r="D753" t="str">
            <v>CONDUCTOR SOLIDO TW  750V.UNIP.VERDE   1X10    MM2</v>
          </cell>
        </row>
        <row r="754">
          <cell r="B754">
            <v>5021209</v>
          </cell>
          <cell r="C754" t="str">
            <v>IND</v>
          </cell>
          <cell r="D754" t="str">
            <v>CONDUCTOR SOLIDO TW  750V.UNIP.VERDE   1X10    MM2</v>
          </cell>
        </row>
        <row r="755">
          <cell r="B755">
            <v>5021243</v>
          </cell>
          <cell r="C755" t="str">
            <v>CEP</v>
          </cell>
          <cell r="D755" t="str">
            <v>CONDUCTOR CABLEADO UNIPOLAR TIPO TW 16MM2 COLOR AMARILLO 450 / 750V</v>
          </cell>
        </row>
        <row r="756">
          <cell r="B756">
            <v>5021243</v>
          </cell>
          <cell r="C756" t="str">
            <v>CET</v>
          </cell>
          <cell r="D756" t="str">
            <v>CONDUCTOR CABLEADO UNIPOLAR TIPO TW 16MM2 COLOR AMARILLO 450 / 750V</v>
          </cell>
        </row>
        <row r="757">
          <cell r="B757">
            <v>5021243</v>
          </cell>
          <cell r="C757" t="str">
            <v>ECP</v>
          </cell>
          <cell r="D757" t="str">
            <v>CONDUCTOR CABLEADO UNIPOLAR TIPO TW 16MM2 COLOR AMARILLO 450 / 750V</v>
          </cell>
        </row>
        <row r="758">
          <cell r="B758">
            <v>5021243</v>
          </cell>
          <cell r="C758" t="str">
            <v>IND</v>
          </cell>
          <cell r="D758" t="str">
            <v>CONDUCTOR CABLEADO UNIPOLAR TIPO TW 16MM2 COLOR AMARILLO 450 / 750V</v>
          </cell>
        </row>
        <row r="759">
          <cell r="B759">
            <v>5021283</v>
          </cell>
          <cell r="C759" t="str">
            <v>CEP</v>
          </cell>
          <cell r="D759" t="str">
            <v>CONDUCTOR CABLEADO TW  750V.UNIP.AMARI. 1X 25  MM2</v>
          </cell>
        </row>
        <row r="760">
          <cell r="B760">
            <v>5021283</v>
          </cell>
          <cell r="C760" t="str">
            <v>CET</v>
          </cell>
          <cell r="D760" t="str">
            <v>CONDUCTOR CABLEADO TW  750V.UNIP.AMARI. 1X 25  MM2</v>
          </cell>
        </row>
        <row r="761">
          <cell r="B761">
            <v>5021283</v>
          </cell>
          <cell r="C761" t="str">
            <v>ECP</v>
          </cell>
          <cell r="D761" t="str">
            <v>CONDUCTOR CABLEADO TW  750V.UNIP.AMARI. 1X 25  MM2</v>
          </cell>
        </row>
        <row r="762">
          <cell r="B762">
            <v>5021283</v>
          </cell>
          <cell r="C762" t="str">
            <v>IND</v>
          </cell>
          <cell r="D762" t="str">
            <v>CONDUCTOR CABLEADO TW  750V.UNIP.AMARI. 1X 25  MM2</v>
          </cell>
        </row>
        <row r="763">
          <cell r="B763">
            <v>5021303</v>
          </cell>
          <cell r="C763" t="str">
            <v>CEP</v>
          </cell>
          <cell r="D763" t="str">
            <v>CONDUCTOR CABLEADO TW  750V.UNIP.AMARI. 1X 35  MM2</v>
          </cell>
        </row>
        <row r="764">
          <cell r="B764">
            <v>5021303</v>
          </cell>
          <cell r="C764" t="str">
            <v>CET</v>
          </cell>
          <cell r="D764" t="str">
            <v>CONDUCTOR CABLEADO TW  750V.UNIP.AMARI. 1X 35  MM2</v>
          </cell>
        </row>
        <row r="765">
          <cell r="B765">
            <v>5021303</v>
          </cell>
          <cell r="C765" t="str">
            <v>ECP</v>
          </cell>
          <cell r="D765" t="str">
            <v>CONDUCTOR CABLEADO TW  750V.UNIP.AMARI. 1X 35  MM2</v>
          </cell>
        </row>
        <row r="766">
          <cell r="B766">
            <v>5021303</v>
          </cell>
          <cell r="C766" t="str">
            <v>IND</v>
          </cell>
          <cell r="D766" t="str">
            <v>CONDUCTOR CABLEADO TW  750V.UNIP.AMARI. 1X 35  MM2</v>
          </cell>
        </row>
        <row r="767">
          <cell r="B767">
            <v>5021323</v>
          </cell>
          <cell r="C767" t="str">
            <v>CEP</v>
          </cell>
          <cell r="D767" t="str">
            <v>CONDUCTOR CABLEADO TW. 750V.UNIP.AMARI. 1X 50  MM2</v>
          </cell>
        </row>
        <row r="768">
          <cell r="B768">
            <v>5021323</v>
          </cell>
          <cell r="C768" t="str">
            <v>CET</v>
          </cell>
          <cell r="D768" t="str">
            <v>CONDUCTOR CABLEADO TW. 750V.UNIP.AMARI. 1X 50  MM2</v>
          </cell>
        </row>
        <row r="769">
          <cell r="B769">
            <v>5021323</v>
          </cell>
          <cell r="C769" t="str">
            <v>ECP</v>
          </cell>
          <cell r="D769" t="str">
            <v>CONDUCTOR CABLEADO TW. 750V.UNIP.AMARI. 1X 50  MM2</v>
          </cell>
        </row>
        <row r="770">
          <cell r="B770">
            <v>5021323</v>
          </cell>
          <cell r="C770" t="str">
            <v>IND</v>
          </cell>
          <cell r="D770" t="str">
            <v>CONDUCTOR CABLEADO TW. 750V.UNIP.AMARI. 1X 50  MM2</v>
          </cell>
        </row>
        <row r="771">
          <cell r="B771">
            <v>5021333</v>
          </cell>
          <cell r="C771" t="str">
            <v>CEP</v>
          </cell>
          <cell r="D771" t="str">
            <v>CONDUCTOR CABLEADO TW  750V.UNIP.AMARI. 1X 70  MM2</v>
          </cell>
        </row>
        <row r="772">
          <cell r="B772">
            <v>5021333</v>
          </cell>
          <cell r="C772" t="str">
            <v>CET</v>
          </cell>
          <cell r="D772" t="str">
            <v>CONDUCTOR CABLEADO TW  750V.UNIP.AMARI. 1X 70  MM2</v>
          </cell>
        </row>
        <row r="773">
          <cell r="B773">
            <v>5021333</v>
          </cell>
          <cell r="C773" t="str">
            <v>ECP</v>
          </cell>
          <cell r="D773" t="str">
            <v>CONDUCTOR CABLEADO TW  750V.UNIP.AMARI. 1X 70  MM2</v>
          </cell>
        </row>
        <row r="774">
          <cell r="B774">
            <v>5021333</v>
          </cell>
          <cell r="C774" t="str">
            <v>IND</v>
          </cell>
          <cell r="D774" t="str">
            <v>CONDUCTOR CABLEADO TW  750V.UNIP.AMARI. 1X 70  MM2</v>
          </cell>
        </row>
        <row r="775">
          <cell r="B775">
            <v>5021355</v>
          </cell>
          <cell r="C775" t="str">
            <v>CEP</v>
          </cell>
          <cell r="D775" t="str">
            <v>CONDUCTOR CABLEADO TW  750V.UNIP.AMARI. 1X120  MM2</v>
          </cell>
        </row>
        <row r="776">
          <cell r="B776">
            <v>5021355</v>
          </cell>
          <cell r="C776" t="str">
            <v>CET</v>
          </cell>
          <cell r="D776" t="str">
            <v>CONDUCTOR CABLEADO TW  750V.UNIP.AMARI. 1X120  MM2</v>
          </cell>
        </row>
        <row r="777">
          <cell r="B777">
            <v>5021355</v>
          </cell>
          <cell r="C777" t="str">
            <v>ECP</v>
          </cell>
          <cell r="D777" t="str">
            <v>CONDUCTOR CABLEADO TW  750V.UNIP.AMARI. 1X120  MM2</v>
          </cell>
        </row>
        <row r="778">
          <cell r="B778">
            <v>5021355</v>
          </cell>
          <cell r="C778" t="str">
            <v>IND</v>
          </cell>
          <cell r="D778" t="str">
            <v>CONDUCTOR CABLEADO TW  750V.UNIP.AMARI. 1X120  MM2</v>
          </cell>
        </row>
        <row r="779">
          <cell r="B779">
            <v>5021405</v>
          </cell>
          <cell r="C779" t="str">
            <v>CEP</v>
          </cell>
          <cell r="D779" t="str">
            <v>CONDUCTOR SOLIDO TWT 450/750V.BIPOLAR   2X 1   MM2</v>
          </cell>
        </row>
        <row r="780">
          <cell r="B780">
            <v>5021405</v>
          </cell>
          <cell r="C780" t="str">
            <v>ECP</v>
          </cell>
          <cell r="D780" t="str">
            <v>CONDUCTOR SOLIDO TWT 450/750V.BIPOLAR   2X 1   MM2</v>
          </cell>
        </row>
        <row r="781">
          <cell r="B781">
            <v>5021405</v>
          </cell>
          <cell r="C781" t="str">
            <v>IND</v>
          </cell>
          <cell r="D781" t="str">
            <v>CONDUCTOR SOLIDO TWT 450/750V.BIPOLAR   2X 1   MM2</v>
          </cell>
        </row>
        <row r="782">
          <cell r="B782">
            <v>5021407</v>
          </cell>
          <cell r="C782" t="str">
            <v>CEP</v>
          </cell>
          <cell r="D782" t="str">
            <v>CONDUCTOR SOLIDO TWT 450/750V.BIPOLAR   2X 1.5 MM2</v>
          </cell>
        </row>
        <row r="783">
          <cell r="B783">
            <v>5021407</v>
          </cell>
          <cell r="C783" t="str">
            <v>ECP</v>
          </cell>
          <cell r="D783" t="str">
            <v>CONDUCTOR SOLIDO TWT 450/750V.BIPOLAR   2X 1.5 MM2</v>
          </cell>
        </row>
        <row r="784">
          <cell r="B784">
            <v>5021407</v>
          </cell>
          <cell r="C784" t="str">
            <v>IND</v>
          </cell>
          <cell r="D784" t="str">
            <v>CONDUCTOR SOLIDO TWT 450/750V.BIPOLAR   2X 1.5 MM2</v>
          </cell>
        </row>
        <row r="785">
          <cell r="B785">
            <v>5021411</v>
          </cell>
          <cell r="C785" t="str">
            <v>CEP</v>
          </cell>
          <cell r="D785" t="str">
            <v>CONDUCTOR SOLIDO TWT 450/750V BIPOLAR 2X2.5MM2</v>
          </cell>
        </row>
        <row r="786">
          <cell r="B786">
            <v>5021411</v>
          </cell>
          <cell r="C786" t="str">
            <v>ECP</v>
          </cell>
          <cell r="D786" t="str">
            <v>CONDUCTOR SOLIDO TWT 450/750V BIPOLAR 2X2.5MM2</v>
          </cell>
        </row>
        <row r="787">
          <cell r="B787">
            <v>5021411</v>
          </cell>
          <cell r="C787" t="str">
            <v>IND</v>
          </cell>
          <cell r="D787" t="str">
            <v>CONDUCTOR SOLIDO TWT 450/750V BIPOLAR 2X2.5MM2</v>
          </cell>
        </row>
        <row r="788">
          <cell r="B788">
            <v>5021415</v>
          </cell>
          <cell r="C788" t="str">
            <v>CEP</v>
          </cell>
          <cell r="D788" t="str">
            <v>CONDUCTOR SOLIDO TWT 450/750V.BIPOLAR   2X 4   MM2</v>
          </cell>
        </row>
        <row r="789">
          <cell r="B789">
            <v>5021415</v>
          </cell>
          <cell r="C789" t="str">
            <v>ECP</v>
          </cell>
          <cell r="D789" t="str">
            <v>CONDUCTOR SOLIDO TWT 450/750V.BIPOLAR   2X 4   MM2</v>
          </cell>
        </row>
        <row r="790">
          <cell r="B790">
            <v>5021415</v>
          </cell>
          <cell r="C790" t="str">
            <v>IND</v>
          </cell>
          <cell r="D790" t="str">
            <v>CONDUCTOR SOLIDO TWT 450/750V.BIPOLAR   2X 4   MM2</v>
          </cell>
        </row>
        <row r="791">
          <cell r="B791">
            <v>5021419</v>
          </cell>
          <cell r="C791" t="str">
            <v>CEP</v>
          </cell>
          <cell r="D791" t="str">
            <v>CONDUCTOR SOLIDO TWT 450/750V.BIPOLAR   2X 6   MM2</v>
          </cell>
        </row>
        <row r="792">
          <cell r="B792">
            <v>5021419</v>
          </cell>
          <cell r="C792" t="str">
            <v>ECP</v>
          </cell>
          <cell r="D792" t="str">
            <v>CONDUCTOR SOLIDO TWT 450/750V.BIPOLAR   2X 6   MM2</v>
          </cell>
        </row>
        <row r="793">
          <cell r="B793">
            <v>5021419</v>
          </cell>
          <cell r="C793" t="str">
            <v>IND</v>
          </cell>
          <cell r="D793" t="str">
            <v>CONDUCTOR SOLIDO TWT 450/750V.BIPOLAR   2X 6   MM2</v>
          </cell>
        </row>
        <row r="794">
          <cell r="B794">
            <v>5021427</v>
          </cell>
          <cell r="C794" t="str">
            <v>CEP</v>
          </cell>
          <cell r="D794" t="str">
            <v>CONDUCTOR SOLIDO TWT 450/750V.TRIPOLAR  3X 2.5 MM2</v>
          </cell>
        </row>
        <row r="795">
          <cell r="B795">
            <v>5021427</v>
          </cell>
          <cell r="C795" t="str">
            <v>IND</v>
          </cell>
          <cell r="D795" t="str">
            <v>CONDUCTOR SOLIDO TWT 450/750V.TRIPOLAR  3X 2.5 MM2</v>
          </cell>
        </row>
        <row r="796">
          <cell r="B796">
            <v>5021431</v>
          </cell>
          <cell r="C796" t="str">
            <v>CEP</v>
          </cell>
          <cell r="D796" t="str">
            <v>CONDUCTOR SOLIDO TWT 450/750V.TRIPOLAR  3X 4   MM2</v>
          </cell>
        </row>
        <row r="797">
          <cell r="B797">
            <v>5021431</v>
          </cell>
          <cell r="C797" t="str">
            <v>IND</v>
          </cell>
          <cell r="D797" t="str">
            <v>CONDUCTOR SOLIDO TWT 450/750V.TRIPOLAR  3X 4   MM2</v>
          </cell>
        </row>
        <row r="798">
          <cell r="B798">
            <v>5021433</v>
          </cell>
          <cell r="C798" t="str">
            <v>CEP</v>
          </cell>
          <cell r="D798" t="str">
            <v>CONDUCTOR SOLIDO TWT 450/750V.TRIPOLAR  3X 5.26MM2</v>
          </cell>
        </row>
        <row r="799">
          <cell r="B799">
            <v>5021433</v>
          </cell>
          <cell r="C799" t="str">
            <v>IND</v>
          </cell>
          <cell r="D799" t="str">
            <v>CONDUCTOR SOLIDO TWT 450/750V.TRIPOLAR  3X 5.26MM2</v>
          </cell>
        </row>
        <row r="800">
          <cell r="B800">
            <v>5021455</v>
          </cell>
          <cell r="C800" t="str">
            <v>CEP</v>
          </cell>
          <cell r="D800" t="str">
            <v>CONDUCTOR CABLEADO THW 750V.UNIP.NEGRO  1X 1.5 MM2</v>
          </cell>
        </row>
        <row r="801">
          <cell r="B801">
            <v>5021455</v>
          </cell>
          <cell r="C801" t="str">
            <v>CET</v>
          </cell>
          <cell r="D801" t="str">
            <v>CONDUCTOR CABLEADO THW 750V.UNIP.NEGRO  1X 1.5 MM2</v>
          </cell>
        </row>
        <row r="802">
          <cell r="B802">
            <v>5021455</v>
          </cell>
          <cell r="C802" t="str">
            <v>IND</v>
          </cell>
          <cell r="D802" t="str">
            <v>CONDUCTOR CABLEADO THW 750V.UNIP.NEGRO  1X 1.5 MM2</v>
          </cell>
        </row>
        <row r="803">
          <cell r="B803">
            <v>5021459</v>
          </cell>
          <cell r="C803" t="str">
            <v>CEP</v>
          </cell>
          <cell r="D803" t="str">
            <v>CONDUCTOR CABLEADO THW 750V.UNIP.NEGRO  1X 2.5 MM2</v>
          </cell>
        </row>
        <row r="804">
          <cell r="B804">
            <v>5021459</v>
          </cell>
          <cell r="C804" t="str">
            <v>CET</v>
          </cell>
          <cell r="D804" t="str">
            <v>CONDUCTOR CABLEADO THW 750V.UNIP.NEGRO  1X 2.5 MM2</v>
          </cell>
        </row>
        <row r="805">
          <cell r="B805">
            <v>5021459</v>
          </cell>
          <cell r="C805" t="str">
            <v>IND</v>
          </cell>
          <cell r="D805" t="str">
            <v>CONDUCTOR CABLEADO THW 750V.UNIP.NEGRO  1X 2.5 MM2</v>
          </cell>
        </row>
        <row r="806">
          <cell r="B806">
            <v>5021463</v>
          </cell>
          <cell r="C806" t="str">
            <v>CEP</v>
          </cell>
          <cell r="D806" t="str">
            <v>CONDUCTOR CABLEADO UNIPOLAR TIPO THW 4MM2 COLOR NEGRO 450 / 750V</v>
          </cell>
        </row>
        <row r="807">
          <cell r="B807">
            <v>5021463</v>
          </cell>
          <cell r="C807" t="str">
            <v>CET</v>
          </cell>
          <cell r="D807" t="str">
            <v>CONDUCTOR CABLEADO UNIPOLAR TIPO THW 4MM2 COLOR NEGRO 450 / 750V</v>
          </cell>
        </row>
        <row r="808">
          <cell r="B808">
            <v>5021463</v>
          </cell>
          <cell r="C808" t="str">
            <v>IND</v>
          </cell>
          <cell r="D808" t="str">
            <v>CONDUCTOR CABLEADO UNIPOLAR TIPO THW 4MM2 COLOR NEGRO 450 / 750V</v>
          </cell>
        </row>
        <row r="809">
          <cell r="B809">
            <v>5021465</v>
          </cell>
          <cell r="C809" t="str">
            <v>CEP</v>
          </cell>
          <cell r="D809" t="str">
            <v>CONDUCTOR CABLEADO THW 750V.UNIP.NEGRO  1X 6   MM2</v>
          </cell>
        </row>
        <row r="810">
          <cell r="B810">
            <v>5021465</v>
          </cell>
          <cell r="C810" t="str">
            <v>IND</v>
          </cell>
          <cell r="D810" t="str">
            <v>CONDUCTOR CABLEADO THW 750V.UNIP.NEGRO  1X 6   MM2</v>
          </cell>
        </row>
        <row r="811">
          <cell r="B811">
            <v>5021469</v>
          </cell>
          <cell r="C811" t="str">
            <v>CET</v>
          </cell>
          <cell r="D811" t="str">
            <v>CONDUCTOR CABLEADO THW 750V.UNIP.NEGRO  1X10   MM2</v>
          </cell>
        </row>
        <row r="812">
          <cell r="B812">
            <v>5021473</v>
          </cell>
          <cell r="C812" t="str">
            <v>CET</v>
          </cell>
          <cell r="D812" t="str">
            <v>CONDUCTOR CABLEADO THW 750V.UNIP.NEGRO  1X16   MM2</v>
          </cell>
        </row>
        <row r="813">
          <cell r="B813">
            <v>5021477</v>
          </cell>
          <cell r="C813" t="str">
            <v>CET</v>
          </cell>
          <cell r="D813" t="str">
            <v>CONDUCTOR CABLEADO UNIPOLAR TIPO THW 35MM2 COLOR NEGRO 450 / 750V</v>
          </cell>
        </row>
        <row r="814">
          <cell r="B814">
            <v>5021505</v>
          </cell>
          <cell r="C814" t="str">
            <v>IND</v>
          </cell>
          <cell r="D814" t="str">
            <v>CONDUCTOR TFF 600V. UNIPOLAR           1X  1.50MM2</v>
          </cell>
        </row>
        <row r="815">
          <cell r="B815">
            <v>5021705</v>
          </cell>
          <cell r="C815" t="str">
            <v>IND</v>
          </cell>
          <cell r="D815" t="str">
            <v>CONDUCTOR SPT-2 380V.BIPOLAR MELLIZO   2X 0.75 MM2</v>
          </cell>
        </row>
        <row r="816">
          <cell r="B816">
            <v>5021709</v>
          </cell>
          <cell r="C816" t="str">
            <v>IND</v>
          </cell>
          <cell r="D816" t="str">
            <v>CONDUCTOR SPT-2 380V.BIPOLAR MELLIZO   2X 1.5  MM2</v>
          </cell>
        </row>
        <row r="817">
          <cell r="B817">
            <v>5021713</v>
          </cell>
          <cell r="C817" t="str">
            <v>IND</v>
          </cell>
          <cell r="D817" t="str">
            <v>CONDUCTOR SPT-2 380V.BIPOLAR MELLIZO   2X 2.5  MM2</v>
          </cell>
        </row>
        <row r="818">
          <cell r="B818">
            <v>5021761</v>
          </cell>
          <cell r="C818" t="str">
            <v>IND</v>
          </cell>
          <cell r="D818" t="str">
            <v>CONDUCTOR N2G2SA 500V. AISL.SILICONA   1X 2.5  MM2</v>
          </cell>
        </row>
        <row r="819">
          <cell r="B819">
            <v>5021761</v>
          </cell>
          <cell r="C819" t="str">
            <v>RCK</v>
          </cell>
          <cell r="D819" t="str">
            <v>CONDUCTOR N2G2SA 500V. AISL.SILICONA   1X 2.5  MM2</v>
          </cell>
        </row>
        <row r="820">
          <cell r="B820">
            <v>5022004</v>
          </cell>
          <cell r="C820" t="str">
            <v>ALC</v>
          </cell>
          <cell r="D820" t="str">
            <v>CABLE CONCENTRICO BIPOLAR DE COBRE 4MM2 P.ACOMETIDA MONOFASICA EN RED BAJA TENSION</v>
          </cell>
        </row>
        <row r="821">
          <cell r="B821">
            <v>5022004</v>
          </cell>
          <cell r="C821" t="str">
            <v>BRD</v>
          </cell>
          <cell r="D821" t="str">
            <v>CABLE CONCENTRICO BIPOLAR DE COBRE 4MM2 P.ACOMETIDA MONOFASICA EN RED BAJA TENSION</v>
          </cell>
        </row>
        <row r="822">
          <cell r="B822">
            <v>5022004</v>
          </cell>
          <cell r="C822" t="str">
            <v>CEP</v>
          </cell>
          <cell r="D822" t="str">
            <v>CABLE CONCENTRICO BIPOLAR DE COBRE 4MM2 P.ACOMETIDA MONOFASICA EN RED BAJA TENSION</v>
          </cell>
        </row>
        <row r="823">
          <cell r="B823">
            <v>5022004</v>
          </cell>
          <cell r="C823" t="str">
            <v>CET</v>
          </cell>
          <cell r="D823" t="str">
            <v>CABLE CONCENTRICO BIPOLAR DE COBRE 4MM2 P.ACOMETIDA MONOFASICA EN RED BAJA TENSION</v>
          </cell>
        </row>
        <row r="824">
          <cell r="B824">
            <v>5022004</v>
          </cell>
          <cell r="C824" t="str">
            <v>ECP</v>
          </cell>
          <cell r="D824" t="str">
            <v>CABLE CONCENTRICO BIPOLAR DE COBRE 4MM2 P.ACOMETIDA MONOFASICA EN RED BAJA TENSION</v>
          </cell>
        </row>
        <row r="825">
          <cell r="B825">
            <v>5022004</v>
          </cell>
          <cell r="C825" t="str">
            <v>IND</v>
          </cell>
          <cell r="D825" t="str">
            <v>CABLE CONCENTRICO BIPOLAR DE COBRE 4MM2 P.ACOMETIDA MONOFASICA EN RED BAJA TENSION</v>
          </cell>
        </row>
        <row r="826">
          <cell r="B826">
            <v>5022006</v>
          </cell>
          <cell r="C826" t="str">
            <v>ALC</v>
          </cell>
          <cell r="D826" t="str">
            <v>CABLE CONCENTRICO BIPOLAR DE COBRE 6MM2 P.ACOMETIDA MONOFASICA EN RED BAJA TENSION</v>
          </cell>
        </row>
        <row r="827">
          <cell r="B827">
            <v>5022006</v>
          </cell>
          <cell r="C827" t="str">
            <v>BRD</v>
          </cell>
          <cell r="D827" t="str">
            <v>CABLE CONCENTRICO BIPOLAR DE COBRE 6MM2 P.ACOMETIDA MONOFASICA EN RED BAJA TENSION</v>
          </cell>
        </row>
        <row r="828">
          <cell r="B828">
            <v>5022006</v>
          </cell>
          <cell r="C828" t="str">
            <v>CEP</v>
          </cell>
          <cell r="D828" t="str">
            <v>CABLE CONCENTRICO BIPOLAR DE COBRE 6MM2 P.ACOMETIDA MONOFASICA EN RED BAJA TENSION</v>
          </cell>
        </row>
        <row r="829">
          <cell r="B829">
            <v>5022006</v>
          </cell>
          <cell r="C829" t="str">
            <v>CET</v>
          </cell>
          <cell r="D829" t="str">
            <v>CABLE CONCENTRICO BIPOLAR DE COBRE 6MM2 P.ACOMETIDA MONOFASICA EN RED BAJA TENSION</v>
          </cell>
        </row>
        <row r="830">
          <cell r="B830">
            <v>5022006</v>
          </cell>
          <cell r="C830" t="str">
            <v>ECP</v>
          </cell>
          <cell r="D830" t="str">
            <v>CABLE CONCENTRICO BIPOLAR DE COBRE 6MM2 P.ACOMETIDA MONOFASICA EN RED BAJA TENSION</v>
          </cell>
        </row>
        <row r="831">
          <cell r="B831">
            <v>5022006</v>
          </cell>
          <cell r="C831" t="str">
            <v>IND</v>
          </cell>
          <cell r="D831" t="str">
            <v>CABLE CONCENTRICO BIPOLAR DE COBRE 6MM2 P.ACOMETIDA MONOFASICA EN RED BAJA TENSION</v>
          </cell>
        </row>
        <row r="832">
          <cell r="B832">
            <v>5022010</v>
          </cell>
          <cell r="C832" t="str">
            <v>ALC</v>
          </cell>
          <cell r="D832" t="str">
            <v>CABLE CONCENTRICO BIPOLAR DE COBRE 10MM2 P.ACOMETIDA MONOFASICA EN RED BAJA TENSION</v>
          </cell>
        </row>
        <row r="833">
          <cell r="B833">
            <v>5022010</v>
          </cell>
          <cell r="C833" t="str">
            <v>BRD</v>
          </cell>
          <cell r="D833" t="str">
            <v>CABLE CONCENTRICO BIPOLAR DE COBRE 10MM2 P.ACOMETIDA MONOFASICA EN RED BAJA TENSION</v>
          </cell>
        </row>
        <row r="834">
          <cell r="B834">
            <v>5022010</v>
          </cell>
          <cell r="C834" t="str">
            <v>CEP</v>
          </cell>
          <cell r="D834" t="str">
            <v>CABLE CONCENTRICO BIPOLAR DE COBRE 10MM2 P.ACOMETIDA MONOFASICA EN RED BAJA TENSION</v>
          </cell>
        </row>
        <row r="835">
          <cell r="B835">
            <v>5022010</v>
          </cell>
          <cell r="C835" t="str">
            <v>CET</v>
          </cell>
          <cell r="D835" t="str">
            <v>CABLE CONCENTRICO BIPOLAR DE COBRE 10MM2 P.ACOMETIDA MONOFASICA EN RED BAJA TENSION</v>
          </cell>
        </row>
        <row r="836">
          <cell r="B836">
            <v>5022010</v>
          </cell>
          <cell r="C836" t="str">
            <v>ECP</v>
          </cell>
          <cell r="D836" t="str">
            <v>CABLE CONCENTRICO BIPOLAR DE COBRE 10MM2 P.ACOMETIDA MONOFASICA EN RED BAJA TENSION</v>
          </cell>
        </row>
        <row r="837">
          <cell r="B837">
            <v>5022010</v>
          </cell>
          <cell r="C837" t="str">
            <v>IND</v>
          </cell>
          <cell r="D837" t="str">
            <v>CABLE CONCENTRICO BIPOLAR DE COBRE 10MM2 P.ACOMETIDA MONOFASICA EN RED BAJA TENSION</v>
          </cell>
        </row>
        <row r="838">
          <cell r="B838">
            <v>5022027</v>
          </cell>
          <cell r="C838" t="str">
            <v>CEP</v>
          </cell>
          <cell r="D838" t="str">
            <v>CABLE CONCENTRICO NYBY 3X 70MM2.  B.T.</v>
          </cell>
        </row>
        <row r="839">
          <cell r="B839">
            <v>5022027</v>
          </cell>
          <cell r="C839" t="str">
            <v>IND</v>
          </cell>
          <cell r="D839" t="str">
            <v>CABLE CONCENTRICO NYBY 3X 70MM2.  B.T.</v>
          </cell>
        </row>
        <row r="840">
          <cell r="B840">
            <v>5022032</v>
          </cell>
          <cell r="C840" t="str">
            <v>CEP</v>
          </cell>
          <cell r="D840" t="str">
            <v>CABLE CONCENTRICO NYBY 3X120MM2.  B.T.</v>
          </cell>
        </row>
        <row r="841">
          <cell r="B841">
            <v>5022032</v>
          </cell>
          <cell r="C841" t="str">
            <v>IND</v>
          </cell>
          <cell r="D841" t="str">
            <v>CABLE CONCENTRICO NYBY 3X120MM2.  B.T.</v>
          </cell>
        </row>
        <row r="842">
          <cell r="B842">
            <v>5022066</v>
          </cell>
          <cell r="C842" t="str">
            <v>ALC</v>
          </cell>
          <cell r="D842" t="str">
            <v>CABLE CONCENTRICO TRIPOLAR DE COBRE 6MM2 P.ACOMETIDA TRIFASICA EN RED BAJA TENSION</v>
          </cell>
        </row>
        <row r="843">
          <cell r="B843">
            <v>5022066</v>
          </cell>
          <cell r="C843" t="str">
            <v>BRD</v>
          </cell>
          <cell r="D843" t="str">
            <v>CABLE CONCENTRICO TRIPOLAR DE COBRE 6MM2 P.ACOMETIDA TRIFASICA EN RED BAJA TENSION</v>
          </cell>
        </row>
        <row r="844">
          <cell r="B844">
            <v>5022066</v>
          </cell>
          <cell r="C844" t="str">
            <v>CEP</v>
          </cell>
          <cell r="D844" t="str">
            <v>CABLE CONCENTRICO TRIPOLAR DE COBRE 6MM2 P.ACOMETIDA TRIFASICA EN RED BAJA TENSION</v>
          </cell>
        </row>
        <row r="845">
          <cell r="B845">
            <v>5022066</v>
          </cell>
          <cell r="C845" t="str">
            <v>CET</v>
          </cell>
          <cell r="D845" t="str">
            <v>CABLE CONCENTRICO TRIPOLAR DE COBRE 6MM2 P.ACOMETIDA TRIFASICA EN RED BAJA TENSION</v>
          </cell>
        </row>
        <row r="846">
          <cell r="B846">
            <v>5022066</v>
          </cell>
          <cell r="C846" t="str">
            <v>ECP</v>
          </cell>
          <cell r="D846" t="str">
            <v>CABLE CONCENTRICO TRIPOLAR DE COBRE 6MM2 P.ACOMETIDA TRIFASICA EN RED BAJA TENSION</v>
          </cell>
        </row>
        <row r="847">
          <cell r="B847">
            <v>5022066</v>
          </cell>
          <cell r="C847" t="str">
            <v>IND</v>
          </cell>
          <cell r="D847" t="str">
            <v>CABLE CONCENTRICO TRIPOLAR DE COBRE 6MM2 P.ACOMETIDA TRIFASICA EN RED BAJA TENSION</v>
          </cell>
        </row>
        <row r="848">
          <cell r="B848">
            <v>5022070</v>
          </cell>
          <cell r="C848" t="str">
            <v>ALC</v>
          </cell>
          <cell r="D848" t="str">
            <v>CABLE CONCENTRICO TRIPOLAR DE COBRE 10MM2 P.ACOMETIDA TRIFASICA EN RED BAJA TENSION</v>
          </cell>
        </row>
        <row r="849">
          <cell r="B849">
            <v>5022070</v>
          </cell>
          <cell r="C849" t="str">
            <v>BRD</v>
          </cell>
          <cell r="D849" t="str">
            <v>CABLE CONCENTRICO TRIPOLAR DE COBRE 10MM2 P.ACOMETIDA TRIFASICA EN RED BAJA TENSION</v>
          </cell>
        </row>
        <row r="850">
          <cell r="B850">
            <v>5022070</v>
          </cell>
          <cell r="C850" t="str">
            <v>CEP</v>
          </cell>
          <cell r="D850" t="str">
            <v>CABLE CONCENTRICO TRIPOLAR DE COBRE 10MM2 P.ACOMETIDA TRIFASICA EN RED BAJA TENSION</v>
          </cell>
        </row>
        <row r="851">
          <cell r="B851">
            <v>5022070</v>
          </cell>
          <cell r="C851" t="str">
            <v>CET</v>
          </cell>
          <cell r="D851" t="str">
            <v>CABLE CONCENTRICO TRIPOLAR DE COBRE 10MM2 P.ACOMETIDA TRIFASICA EN RED BAJA TENSION</v>
          </cell>
        </row>
        <row r="852">
          <cell r="B852">
            <v>5022070</v>
          </cell>
          <cell r="C852" t="str">
            <v>ECP</v>
          </cell>
          <cell r="D852" t="str">
            <v>CABLE CONCENTRICO TRIPOLAR DE COBRE 10MM2 P.ACOMETIDA TRIFASICA EN RED BAJA TENSION</v>
          </cell>
        </row>
        <row r="853">
          <cell r="B853">
            <v>5022070</v>
          </cell>
          <cell r="C853" t="str">
            <v>IND</v>
          </cell>
          <cell r="D853" t="str">
            <v>CABLE CONCENTRICO TRIPOLAR DE COBRE 10MM2 P.ACOMETIDA TRIFASICA EN RED BAJA TENSION</v>
          </cell>
        </row>
        <row r="854">
          <cell r="B854">
            <v>5023166</v>
          </cell>
          <cell r="C854" t="str">
            <v>CEP</v>
          </cell>
          <cell r="D854" t="str">
            <v>CABLE DE ENERGIA AUTOPORTANTE TIPO CAI-S 2X6 MM2 PARA REDES AEREAS B.T.</v>
          </cell>
        </row>
        <row r="855">
          <cell r="B855">
            <v>5023166</v>
          </cell>
          <cell r="C855" t="str">
            <v>IND</v>
          </cell>
          <cell r="D855" t="str">
            <v>CABLE DE ENERGIA AUTOPORTANTE TIPO CAI-S 2X6 MM2 PARA REDES AEREAS B.T.</v>
          </cell>
        </row>
        <row r="856">
          <cell r="B856">
            <v>5023169</v>
          </cell>
          <cell r="C856" t="str">
            <v>CEP</v>
          </cell>
          <cell r="D856" t="str">
            <v>CABLE DE ENERGIA AUTOPORTANTE TIPO CAI-S VW-1 2X35 MM2 PARA REDES AEREAS B.T.</v>
          </cell>
        </row>
        <row r="857">
          <cell r="B857">
            <v>5023170</v>
          </cell>
          <cell r="C857" t="str">
            <v>CEP</v>
          </cell>
          <cell r="D857" t="str">
            <v>CABLE DE ENERGIA AUTOPORTANTE TIPO CAI-S VW-1 2X50 MM2 PARA REDES AEREAS B.T.</v>
          </cell>
        </row>
        <row r="858">
          <cell r="B858">
            <v>5023171</v>
          </cell>
          <cell r="C858" t="str">
            <v>CEP</v>
          </cell>
          <cell r="D858" t="str">
            <v>CABLE DE ENERGIA AUTOPORTANTE TIPO CAI-S VW-1 2X70 MM2 PARA REDES AEREAS B.T.</v>
          </cell>
        </row>
        <row r="859">
          <cell r="B859">
            <v>5023185</v>
          </cell>
          <cell r="C859" t="str">
            <v>CEP</v>
          </cell>
          <cell r="D859" t="str">
            <v>CABLE DE ENERGIA AUTOPORTANTE TIPO CAI-S VW-1 3X50 MM2 PARA REDES AEREAS B.T.</v>
          </cell>
        </row>
        <row r="860">
          <cell r="B860">
            <v>5023205</v>
          </cell>
          <cell r="C860" t="str">
            <v>CEP</v>
          </cell>
          <cell r="D860" t="str">
            <v>CABLE DE ENERGIA AUTOPORTANTE TIPO CAI-S VW-1 3X35+1X16 MM2 PARA REDES AEREAS B.T.</v>
          </cell>
        </row>
        <row r="861">
          <cell r="B861">
            <v>5023206</v>
          </cell>
          <cell r="C861" t="str">
            <v>CEP</v>
          </cell>
          <cell r="D861" t="str">
            <v>CABLE DE ENERGIA AUTOPORTANTE TIPO CAI-S VW-1 3X50+1X10 MM2 PARA REDES AEREAS B.T.</v>
          </cell>
        </row>
        <row r="862">
          <cell r="B862">
            <v>5023207</v>
          </cell>
          <cell r="C862" t="str">
            <v>CEP</v>
          </cell>
          <cell r="D862" t="str">
            <v>CABLE DE ENERGIA AUTOPORTANTE TIPO CAI-S VW-1 3X50+1X16 MM2 PARA REDES AEREAS B.T.</v>
          </cell>
        </row>
        <row r="863">
          <cell r="B863">
            <v>5023211</v>
          </cell>
          <cell r="C863" t="str">
            <v>CEP</v>
          </cell>
          <cell r="D863" t="str">
            <v>CABLE DE ENERGIA AUTOPORTANTE TIPO CAI-S VW-1 3X70 + 1X25 MM2 PARA REDES AEREAS B.T.</v>
          </cell>
        </row>
        <row r="864">
          <cell r="B864">
            <v>5023211</v>
          </cell>
          <cell r="C864" t="str">
            <v>IND</v>
          </cell>
          <cell r="D864" t="str">
            <v>CABLE DE ENERGIA AUTOPORTANTE TIPO CAI-S VW-1 3X70 + 1X25 MM2 PARA REDES AEREAS B.T.</v>
          </cell>
        </row>
        <row r="865">
          <cell r="B865">
            <v>5023226</v>
          </cell>
          <cell r="C865" t="str">
            <v>CEP</v>
          </cell>
          <cell r="D865" t="str">
            <v>CABLE DE ENERGIA AUTOPORTANTE TIPO CAI-S VW-1 3X50 + 2X6 MM2 PARA REDES AEREAS B.T.</v>
          </cell>
        </row>
        <row r="866">
          <cell r="B866">
            <v>5023226</v>
          </cell>
          <cell r="C866" t="str">
            <v>IND</v>
          </cell>
          <cell r="D866" t="str">
            <v>CABLE DE ENERGIA AUTOPORTANTE TIPO CAI-S VW-1 3X50 + 2X6 MM2 PARA REDES AEREAS B.T.</v>
          </cell>
        </row>
        <row r="867">
          <cell r="B867">
            <v>5023272</v>
          </cell>
          <cell r="C867" t="str">
            <v>CEP</v>
          </cell>
          <cell r="D867" t="str">
            <v>CABLE DE ENERGIA AUTOPORTANTE TIPO N2XS2Y-S 3X70 MM2  PARA REDES AEREAS 10KV</v>
          </cell>
        </row>
        <row r="868">
          <cell r="B868">
            <v>5023272</v>
          </cell>
          <cell r="C868" t="str">
            <v>IND</v>
          </cell>
          <cell r="D868" t="str">
            <v>CABLE DE ENERGIA AUTOPORTANTE TIPO N2XS2Y-S 3X70 MM2  PARA REDES AEREAS 10KV</v>
          </cell>
        </row>
        <row r="869">
          <cell r="B869">
            <v>5023702</v>
          </cell>
          <cell r="C869" t="str">
            <v>ALC</v>
          </cell>
          <cell r="D869" t="str">
            <v>CABLE DE ENERGIA AUTOPORTANTE TIPO CAAI-S VW-1 2X16 MM2 PARA REDES AEREAS B.T.</v>
          </cell>
        </row>
        <row r="870">
          <cell r="B870">
            <v>5023702</v>
          </cell>
          <cell r="C870" t="str">
            <v>CEP</v>
          </cell>
          <cell r="D870" t="str">
            <v>CABLE DE ENERGIA AUTOPORTANTE TIPO CAAI-S VW-1 2X16 MM2 PARA REDES AEREAS B.T.</v>
          </cell>
        </row>
        <row r="871">
          <cell r="B871">
            <v>5023702</v>
          </cell>
          <cell r="C871" t="str">
            <v>IND</v>
          </cell>
          <cell r="D871" t="str">
            <v>CABLE DE ENERGIA AUTOPORTANTE TIPO CAAI-S VW-1 2X16 MM2 PARA REDES AEREAS B.T.</v>
          </cell>
        </row>
        <row r="872">
          <cell r="B872">
            <v>5023702</v>
          </cell>
          <cell r="C872" t="str">
            <v>PIR</v>
          </cell>
          <cell r="D872" t="str">
            <v>CABLE DE ENERGIA AUTOPORTANTE TIPO CAAI-S VW-1 2X16 MM2 PARA REDES AEREAS B.T.</v>
          </cell>
        </row>
        <row r="873">
          <cell r="B873">
            <v>5023706</v>
          </cell>
          <cell r="C873" t="str">
            <v>ALC</v>
          </cell>
          <cell r="D873" t="str">
            <v>CABLE DE ENERGIA AUTOPORTANTE TIPO CAAI-S VW-1 2X35 MM2 PARA REDES AEREAS B.T.</v>
          </cell>
        </row>
        <row r="874">
          <cell r="B874">
            <v>5023706</v>
          </cell>
          <cell r="C874" t="str">
            <v>CEP</v>
          </cell>
          <cell r="D874" t="str">
            <v>CABLE DE ENERGIA AUTOPORTANTE TIPO CAAI-S VW-1 2X35 MM2 PARA REDES AEREAS B.T.</v>
          </cell>
        </row>
        <row r="875">
          <cell r="B875">
            <v>5023706</v>
          </cell>
          <cell r="C875" t="str">
            <v>IND</v>
          </cell>
          <cell r="D875" t="str">
            <v>CABLE DE ENERGIA AUTOPORTANTE TIPO CAAI-S VW-1 2X35 MM2 PARA REDES AEREAS B.T.</v>
          </cell>
        </row>
        <row r="876">
          <cell r="B876">
            <v>5023706</v>
          </cell>
          <cell r="C876" t="str">
            <v>PIR</v>
          </cell>
          <cell r="D876" t="str">
            <v>CABLE DE ENERGIA AUTOPORTANTE TIPO CAAI-S VW-1 2X35 MM2 PARA REDES AEREAS B.T.</v>
          </cell>
        </row>
        <row r="877">
          <cell r="B877">
            <v>5023708</v>
          </cell>
          <cell r="C877" t="str">
            <v>ALC</v>
          </cell>
          <cell r="D877" t="str">
            <v>CABLE DE ENERGIA AUTOPORTANTE TIPO CAAI-S VW-1 2X50 MM2 PARA REDES AEREAS B.T.</v>
          </cell>
        </row>
        <row r="878">
          <cell r="B878">
            <v>5023708</v>
          </cell>
          <cell r="C878" t="str">
            <v>CEP</v>
          </cell>
          <cell r="D878" t="str">
            <v>CABLE DE ENERGIA AUTOPORTANTE TIPO CAAI-S VW-1 2X50 MM2 PARA REDES AEREAS B.T.</v>
          </cell>
        </row>
        <row r="879">
          <cell r="B879">
            <v>5023708</v>
          </cell>
          <cell r="C879" t="str">
            <v>IND</v>
          </cell>
          <cell r="D879" t="str">
            <v>CABLE DE ENERGIA AUTOPORTANTE TIPO CAAI-S VW-1 2X50 MM2 PARA REDES AEREAS B.T.</v>
          </cell>
        </row>
        <row r="880">
          <cell r="B880">
            <v>5023708</v>
          </cell>
          <cell r="C880" t="str">
            <v>PIR</v>
          </cell>
          <cell r="D880" t="str">
            <v>CABLE DE ENERGIA AUTOPORTANTE TIPO CAAI-S VW-1 2X50 MM2 PARA REDES AEREAS B.T.</v>
          </cell>
        </row>
        <row r="881">
          <cell r="B881">
            <v>5023710</v>
          </cell>
          <cell r="C881" t="str">
            <v>ALC</v>
          </cell>
          <cell r="D881" t="str">
            <v>CABLE DE ENERGIA AUTOPORTANTE TIPO CAAI-S VW-1 2X70 MM2 PARA REDES AEREAS B.T.</v>
          </cell>
        </row>
        <row r="882">
          <cell r="B882">
            <v>5023710</v>
          </cell>
          <cell r="C882" t="str">
            <v>CEP</v>
          </cell>
          <cell r="D882" t="str">
            <v>CABLE DE ENERGIA AUTOPORTANTE TIPO CAAI-S VW-1 2X70 MM2 PARA REDES AEREAS B.T.</v>
          </cell>
        </row>
        <row r="883">
          <cell r="B883">
            <v>5023710</v>
          </cell>
          <cell r="C883" t="str">
            <v>IND</v>
          </cell>
          <cell r="D883" t="str">
            <v>CABLE DE ENERGIA AUTOPORTANTE TIPO CAAI-S VW-1 2X70 MM2 PARA REDES AEREAS B.T.</v>
          </cell>
        </row>
        <row r="884">
          <cell r="B884">
            <v>5023710</v>
          </cell>
          <cell r="C884" t="str">
            <v>PIR</v>
          </cell>
          <cell r="D884" t="str">
            <v>CABLE DE ENERGIA AUTOPORTANTE TIPO CAAI-S VW-1 2X70 MM2 PARA REDES AEREAS B.T.</v>
          </cell>
        </row>
        <row r="885">
          <cell r="B885">
            <v>5023712</v>
          </cell>
          <cell r="C885" t="str">
            <v>ALC</v>
          </cell>
          <cell r="D885" t="str">
            <v>CABLE DE ENERGIA AUTOPORTANTE TIPO CAAI-S VW-1 2X95 MM2 PARA REDES AEREAS B.T.</v>
          </cell>
        </row>
        <row r="886">
          <cell r="B886">
            <v>5023712</v>
          </cell>
          <cell r="C886" t="str">
            <v>CEP</v>
          </cell>
          <cell r="D886" t="str">
            <v>CABLE DE ENERGIA AUTOPORTANTE TIPO CAAI-S VW-1 2X95 MM2 PARA REDES AEREAS B.T.</v>
          </cell>
        </row>
        <row r="887">
          <cell r="B887">
            <v>5023712</v>
          </cell>
          <cell r="C887" t="str">
            <v>IND</v>
          </cell>
          <cell r="D887" t="str">
            <v>CABLE DE ENERGIA AUTOPORTANTE TIPO CAAI-S VW-1 2X95 MM2 PARA REDES AEREAS B.T.</v>
          </cell>
        </row>
        <row r="888">
          <cell r="B888">
            <v>5023712</v>
          </cell>
          <cell r="C888" t="str">
            <v>PIR</v>
          </cell>
          <cell r="D888" t="str">
            <v>CABLE DE ENERGIA AUTOPORTANTE TIPO CAAI-S VW-1 2X95 MM2 PARA REDES AEREAS B.T.</v>
          </cell>
        </row>
        <row r="889">
          <cell r="B889">
            <v>5023714</v>
          </cell>
          <cell r="C889" t="str">
            <v>ALC</v>
          </cell>
          <cell r="D889" t="str">
            <v>CABLE DE ENERGIA AUTOPORTANTE TIPO CAAI-S VW-1 2X120 MM2 PARA REDES AEREAS B.T.</v>
          </cell>
        </row>
        <row r="890">
          <cell r="B890">
            <v>5023714</v>
          </cell>
          <cell r="C890" t="str">
            <v>CEP</v>
          </cell>
          <cell r="D890" t="str">
            <v>CABLE DE ENERGIA AUTOPORTANTE TIPO CAAI-S VW-1 2X120 MM2 PARA REDES AEREAS B.T.</v>
          </cell>
        </row>
        <row r="891">
          <cell r="B891">
            <v>5023714</v>
          </cell>
          <cell r="C891" t="str">
            <v>IND</v>
          </cell>
          <cell r="D891" t="str">
            <v>CABLE DE ENERGIA AUTOPORTANTE TIPO CAAI-S VW-1 2X120 MM2 PARA REDES AEREAS B.T.</v>
          </cell>
        </row>
        <row r="892">
          <cell r="B892">
            <v>5023714</v>
          </cell>
          <cell r="C892" t="str">
            <v>PIR</v>
          </cell>
          <cell r="D892" t="str">
            <v>CABLE DE ENERGIA AUTOPORTANTE TIPO CAAI-S VW-1 2X120 MM2 PARA REDES AEREAS B.T.</v>
          </cell>
        </row>
        <row r="893">
          <cell r="B893">
            <v>5023720</v>
          </cell>
          <cell r="C893" t="str">
            <v>ALC</v>
          </cell>
          <cell r="D893" t="str">
            <v>CABLE DE ENERGIA AUTOPORTANTE TIPO CAAI-S VW-1 3X16 MM2 PARA REDES AEREAS B.T.</v>
          </cell>
        </row>
        <row r="894">
          <cell r="B894">
            <v>5023720</v>
          </cell>
          <cell r="C894" t="str">
            <v>CEP</v>
          </cell>
          <cell r="D894" t="str">
            <v>CABLE DE ENERGIA AUTOPORTANTE TIPO CAAI-S VW-1 3X16 MM2 PARA REDES AEREAS B.T.</v>
          </cell>
        </row>
        <row r="895">
          <cell r="B895">
            <v>5023720</v>
          </cell>
          <cell r="C895" t="str">
            <v>IND</v>
          </cell>
          <cell r="D895" t="str">
            <v>CABLE DE ENERGIA AUTOPORTANTE TIPO CAAI-S VW-1 3X16 MM2 PARA REDES AEREAS B.T.</v>
          </cell>
        </row>
        <row r="896">
          <cell r="B896">
            <v>5023720</v>
          </cell>
          <cell r="C896" t="str">
            <v>PIR</v>
          </cell>
          <cell r="D896" t="str">
            <v>CABLE DE ENERGIA AUTOPORTANTE TIPO CAAI-S VW-1 3X16 MM2 PARA REDES AEREAS B.T.</v>
          </cell>
        </row>
        <row r="897">
          <cell r="B897">
            <v>5023722</v>
          </cell>
          <cell r="C897" t="str">
            <v>ALC</v>
          </cell>
          <cell r="D897" t="str">
            <v>CABLE DE ENERGIA AUTOPORTANTE TIPO CAAI-S VW-1 3X25 MM2 PARA REDES AEREAS B.T.</v>
          </cell>
        </row>
        <row r="898">
          <cell r="B898">
            <v>5023722</v>
          </cell>
          <cell r="C898" t="str">
            <v>CEP</v>
          </cell>
          <cell r="D898" t="str">
            <v>CABLE DE ENERGIA AUTOPORTANTE TIPO CAAI-S VW-1 3X25 MM2 PARA REDES AEREAS B.T.</v>
          </cell>
        </row>
        <row r="899">
          <cell r="B899">
            <v>5023722</v>
          </cell>
          <cell r="C899" t="str">
            <v>IND</v>
          </cell>
          <cell r="D899" t="str">
            <v>CABLE DE ENERGIA AUTOPORTANTE TIPO CAAI-S VW-1 3X25 MM2 PARA REDES AEREAS B.T.</v>
          </cell>
        </row>
        <row r="900">
          <cell r="B900">
            <v>5023722</v>
          </cell>
          <cell r="C900" t="str">
            <v>PIR</v>
          </cell>
          <cell r="D900" t="str">
            <v>CABLE DE ENERGIA AUTOPORTANTE TIPO CAAI-S VW-1 3X25 MM2 PARA REDES AEREAS B.T.</v>
          </cell>
        </row>
        <row r="901">
          <cell r="B901">
            <v>5023724</v>
          </cell>
          <cell r="C901" t="str">
            <v>ALC</v>
          </cell>
          <cell r="D901" t="str">
            <v>CABLE DE ENERGIA AUTOPORTANTE TIPO CAAI-S VW-1 3X35 MM2 PARA REDES AEREAS B.T.</v>
          </cell>
        </row>
        <row r="902">
          <cell r="B902">
            <v>5023724</v>
          </cell>
          <cell r="C902" t="str">
            <v>CEP</v>
          </cell>
          <cell r="D902" t="str">
            <v>CABLE DE ENERGIA AUTOPORTANTE TIPO CAAI-S VW-1 3X35 MM2 PARA REDES AEREAS B.T.</v>
          </cell>
        </row>
        <row r="903">
          <cell r="B903">
            <v>5023724</v>
          </cell>
          <cell r="C903" t="str">
            <v>IND</v>
          </cell>
          <cell r="D903" t="str">
            <v>CABLE DE ENERGIA AUTOPORTANTE TIPO CAAI-S VW-1 3X35 MM2 PARA REDES AEREAS B.T.</v>
          </cell>
        </row>
        <row r="904">
          <cell r="B904">
            <v>5023724</v>
          </cell>
          <cell r="C904" t="str">
            <v>PIR</v>
          </cell>
          <cell r="D904" t="str">
            <v>CABLE DE ENERGIA AUTOPORTANTE TIPO CAAI-S VW-1 3X35 MM2 PARA REDES AEREAS B.T.</v>
          </cell>
        </row>
        <row r="905">
          <cell r="B905">
            <v>5023728</v>
          </cell>
          <cell r="C905" t="str">
            <v>ALC</v>
          </cell>
          <cell r="D905" t="str">
            <v>CABLE DE ENERGIA AUTOPORTANTE TIPO CAAI-S VW-1 3X70 MM2 PARA REDES AEREAS B.T.</v>
          </cell>
        </row>
        <row r="906">
          <cell r="B906">
            <v>5023728</v>
          </cell>
          <cell r="C906" t="str">
            <v>CEP</v>
          </cell>
          <cell r="D906" t="str">
            <v>CABLE DE ENERGIA AUTOPORTANTE TIPO CAAI-S VW-1 3X70 MM2 PARA REDES AEREAS B.T.</v>
          </cell>
        </row>
        <row r="907">
          <cell r="B907">
            <v>5023728</v>
          </cell>
          <cell r="C907" t="str">
            <v>IND</v>
          </cell>
          <cell r="D907" t="str">
            <v>CABLE DE ENERGIA AUTOPORTANTE TIPO CAAI-S VW-1 3X70 MM2 PARA REDES AEREAS B.T.</v>
          </cell>
        </row>
        <row r="908">
          <cell r="B908">
            <v>5023728</v>
          </cell>
          <cell r="C908" t="str">
            <v>PIR</v>
          </cell>
          <cell r="D908" t="str">
            <v>CABLE DE ENERGIA AUTOPORTANTE TIPO CAAI-S VW-1 3X70 MM2 PARA REDES AEREAS B.T.</v>
          </cell>
        </row>
        <row r="909">
          <cell r="B909">
            <v>5023730</v>
          </cell>
          <cell r="C909" t="str">
            <v>CEP</v>
          </cell>
          <cell r="D909" t="str">
            <v>CABLE DE ENERGIA AUTOPORTANTE TIPO NA2XSA2Y-S 3X35 MM2  PARA REDES AEREAS 10KV</v>
          </cell>
        </row>
        <row r="910">
          <cell r="B910">
            <v>5023732</v>
          </cell>
          <cell r="C910" t="str">
            <v>NOK</v>
          </cell>
          <cell r="D910" t="str">
            <v>CABLE DE ENERGIA AUTOPORTANTE TIPO NA2XSA2Y-S 3X70 MM2  PARA REDES AEREAS 10KV</v>
          </cell>
        </row>
        <row r="911">
          <cell r="B911">
            <v>5023734</v>
          </cell>
          <cell r="C911" t="str">
            <v>NOK</v>
          </cell>
          <cell r="D911" t="str">
            <v>CABLE DE ENERGIA AUTOPORTANTE TIPO NA2XSA2Y-S 3X120 MM2  PARA REDES AEREAS 10KV</v>
          </cell>
        </row>
        <row r="912">
          <cell r="B912">
            <v>5023736</v>
          </cell>
          <cell r="C912" t="str">
            <v>CEP</v>
          </cell>
          <cell r="D912" t="str">
            <v>CABLE DE ENERGIA AUTOPORTANTE TIPO NA2XSA2Y-S 3X185 MM2  PARA REDES AEREAS 10KV</v>
          </cell>
        </row>
        <row r="913">
          <cell r="B913">
            <v>5023736</v>
          </cell>
          <cell r="C913" t="str">
            <v>IND</v>
          </cell>
          <cell r="D913" t="str">
            <v>CABLE DE ENERGIA AUTOPORTANTE TIPO NA2XSA2Y-S 3X185 MM2  PARA REDES AEREAS 10KV</v>
          </cell>
        </row>
        <row r="914">
          <cell r="B914">
            <v>5023738</v>
          </cell>
          <cell r="C914" t="str">
            <v>ALC</v>
          </cell>
          <cell r="D914" t="str">
            <v>CABLE DE ENERGIA AUTOPORTANTE TIPO CAAI-S VW-1 3X95 MM2 PARA REDES AEREAS B.T.</v>
          </cell>
        </row>
        <row r="915">
          <cell r="B915">
            <v>5023738</v>
          </cell>
          <cell r="C915" t="str">
            <v>CEP</v>
          </cell>
          <cell r="D915" t="str">
            <v>CABLE DE ENERGIA AUTOPORTANTE TIPO CAAI-S VW-1 3X95 MM2 PARA REDES AEREAS B.T.</v>
          </cell>
        </row>
        <row r="916">
          <cell r="B916">
            <v>5023738</v>
          </cell>
          <cell r="C916" t="str">
            <v>IND</v>
          </cell>
          <cell r="D916" t="str">
            <v>CABLE DE ENERGIA AUTOPORTANTE TIPO CAAI-S VW-1 3X95 MM2 PARA REDES AEREAS B.T.</v>
          </cell>
        </row>
        <row r="917">
          <cell r="B917">
            <v>5023738</v>
          </cell>
          <cell r="C917" t="str">
            <v>PIR</v>
          </cell>
          <cell r="D917" t="str">
            <v>CABLE DE ENERGIA AUTOPORTANTE TIPO CAAI-S VW-1 3X95 MM2 PARA REDES AEREAS B.T.</v>
          </cell>
        </row>
        <row r="918">
          <cell r="B918">
            <v>5023739</v>
          </cell>
          <cell r="C918" t="str">
            <v>ALC</v>
          </cell>
          <cell r="D918" t="str">
            <v>CABLE DE ENERGIA AUTOPORTANTE TIPO CAAI-S VW-1 3X120 MM2 PARA REDES AEREAS B.T.</v>
          </cell>
        </row>
        <row r="919">
          <cell r="B919">
            <v>5023739</v>
          </cell>
          <cell r="C919" t="str">
            <v>CEP</v>
          </cell>
          <cell r="D919" t="str">
            <v>CABLE DE ENERGIA AUTOPORTANTE TIPO CAAI-S VW-1 3X120 MM2 PARA REDES AEREAS B.T.</v>
          </cell>
        </row>
        <row r="920">
          <cell r="B920">
            <v>5023739</v>
          </cell>
          <cell r="C920" t="str">
            <v>IND</v>
          </cell>
          <cell r="D920" t="str">
            <v>CABLE DE ENERGIA AUTOPORTANTE TIPO CAAI-S VW-1 3X120 MM2 PARA REDES AEREAS B.T.</v>
          </cell>
        </row>
        <row r="921">
          <cell r="B921">
            <v>5023739</v>
          </cell>
          <cell r="C921" t="str">
            <v>PIR</v>
          </cell>
          <cell r="D921" t="str">
            <v>CABLE DE ENERGIA AUTOPORTANTE TIPO CAAI-S VW-1 3X120 MM2 PARA REDES AEREAS B.T.</v>
          </cell>
        </row>
        <row r="922">
          <cell r="B922">
            <v>5023740</v>
          </cell>
          <cell r="C922" t="str">
            <v>ALC</v>
          </cell>
          <cell r="D922" t="str">
            <v>CABLE DE ENERGIA AUTOPORTANTE TIPO CAAI-S VW-1 3X16+1X16 MM2 PARA REDES AEREAS B.T.</v>
          </cell>
        </row>
        <row r="923">
          <cell r="B923">
            <v>5023740</v>
          </cell>
          <cell r="C923" t="str">
            <v>CEP</v>
          </cell>
          <cell r="D923" t="str">
            <v>CABLE DE ENERGIA AUTOPORTANTE TIPO CAAI-S VW-1 3X16+1X16 MM2 PARA REDES AEREAS B.T.</v>
          </cell>
        </row>
        <row r="924">
          <cell r="B924">
            <v>5023740</v>
          </cell>
          <cell r="C924" t="str">
            <v>IND</v>
          </cell>
          <cell r="D924" t="str">
            <v>CABLE DE ENERGIA AUTOPORTANTE TIPO CAAI-S VW-1 3X16+1X16 MM2 PARA REDES AEREAS B.T.</v>
          </cell>
        </row>
        <row r="925">
          <cell r="B925">
            <v>5023740</v>
          </cell>
          <cell r="C925" t="str">
            <v>PIR</v>
          </cell>
          <cell r="D925" t="str">
            <v>CABLE DE ENERGIA AUTOPORTANTE TIPO CAAI-S VW-1 3X16+1X16 MM2 PARA REDES AEREAS B.T.</v>
          </cell>
        </row>
        <row r="926">
          <cell r="B926">
            <v>5023744</v>
          </cell>
          <cell r="C926" t="str">
            <v>ALC</v>
          </cell>
          <cell r="D926" t="str">
            <v>CABLE DE ENERGIA AUTOPORTANTE TIPO CAAI-S VW-1 3X35+1X16 MM2 PARA REDES AEREAS B.T.</v>
          </cell>
        </row>
        <row r="927">
          <cell r="B927">
            <v>5023744</v>
          </cell>
          <cell r="C927" t="str">
            <v>CEP</v>
          </cell>
          <cell r="D927" t="str">
            <v>CABLE DE ENERGIA AUTOPORTANTE TIPO CAAI-S VW-1 3X35+1X16 MM2 PARA REDES AEREAS B.T.</v>
          </cell>
        </row>
        <row r="928">
          <cell r="B928">
            <v>5023744</v>
          </cell>
          <cell r="C928" t="str">
            <v>IND</v>
          </cell>
          <cell r="D928" t="str">
            <v>CABLE DE ENERGIA AUTOPORTANTE TIPO CAAI-S VW-1 3X35+1X16 MM2 PARA REDES AEREAS B.T.</v>
          </cell>
        </row>
        <row r="929">
          <cell r="B929">
            <v>5023744</v>
          </cell>
          <cell r="C929" t="str">
            <v>PIR</v>
          </cell>
          <cell r="D929" t="str">
            <v>CABLE DE ENERGIA AUTOPORTANTE TIPO CAAI-S VW-1 3X35+1X16 MM2 PARA REDES AEREAS B.T.</v>
          </cell>
        </row>
        <row r="930">
          <cell r="B930">
            <v>5023746</v>
          </cell>
          <cell r="C930" t="str">
            <v>ALC</v>
          </cell>
          <cell r="D930" t="str">
            <v>CABLE DE ENERGIA AUTOPORTANTE TIPO CAAI-S VW-1 3X50+1X16 MM2 PARA REDES AEREAS B.T.</v>
          </cell>
        </row>
        <row r="931">
          <cell r="B931">
            <v>5023746</v>
          </cell>
          <cell r="C931" t="str">
            <v>CEP</v>
          </cell>
          <cell r="D931" t="str">
            <v>CABLE DE ENERGIA AUTOPORTANTE TIPO CAAI-S VW-1 3X50+1X16 MM2 PARA REDES AEREAS B.T.</v>
          </cell>
        </row>
        <row r="932">
          <cell r="B932">
            <v>5023746</v>
          </cell>
          <cell r="C932" t="str">
            <v>IND</v>
          </cell>
          <cell r="D932" t="str">
            <v>CABLE DE ENERGIA AUTOPORTANTE TIPO CAAI-S VW-1 3X50+1X16 MM2 PARA REDES AEREAS B.T.</v>
          </cell>
        </row>
        <row r="933">
          <cell r="B933">
            <v>5023746</v>
          </cell>
          <cell r="C933" t="str">
            <v>PIR</v>
          </cell>
          <cell r="D933" t="str">
            <v>CABLE DE ENERGIA AUTOPORTANTE TIPO CAAI-S VW-1 3X50+1X16 MM2 PARA REDES AEREAS B.T.</v>
          </cell>
        </row>
        <row r="934">
          <cell r="B934">
            <v>5023748</v>
          </cell>
          <cell r="C934" t="str">
            <v>ALC</v>
          </cell>
          <cell r="D934" t="str">
            <v>CABLE DE ENERGIA AUTOPORTANTE TIPO CAAI-S VW-1 3X70 + 1X16 MM2 PARA REDES AEREAS B.T.</v>
          </cell>
        </row>
        <row r="935">
          <cell r="B935">
            <v>5023748</v>
          </cell>
          <cell r="C935" t="str">
            <v>CEP</v>
          </cell>
          <cell r="D935" t="str">
            <v>CABLE DE ENERGIA AUTOPORTANTE TIPO CAAI-S VW-1 3X70 + 1X16 MM2 PARA REDES AEREAS B.T.</v>
          </cell>
        </row>
        <row r="936">
          <cell r="B936">
            <v>5023748</v>
          </cell>
          <cell r="C936" t="str">
            <v>IND</v>
          </cell>
          <cell r="D936" t="str">
            <v>CABLE DE ENERGIA AUTOPORTANTE TIPO CAAI-S VW-1 3X70 + 1X16 MM2 PARA REDES AEREAS B.T.</v>
          </cell>
        </row>
        <row r="937">
          <cell r="B937">
            <v>5023748</v>
          </cell>
          <cell r="C937" t="str">
            <v>PIR</v>
          </cell>
          <cell r="D937" t="str">
            <v>CABLE DE ENERGIA AUTOPORTANTE TIPO CAAI-S VW-1 3X70 + 1X16 MM2 PARA REDES AEREAS B.T.</v>
          </cell>
        </row>
        <row r="938">
          <cell r="B938">
            <v>5023751</v>
          </cell>
          <cell r="C938" t="str">
            <v>ALC</v>
          </cell>
          <cell r="D938" t="str">
            <v>CABLE DE ENERGIA AUTOPORTANTE TIPO CAAI-S VW-1 3X95+1X16 MM2 PARA REDES AEREAS B.T.</v>
          </cell>
        </row>
        <row r="939">
          <cell r="B939">
            <v>5023751</v>
          </cell>
          <cell r="C939" t="str">
            <v>CEP</v>
          </cell>
          <cell r="D939" t="str">
            <v>CABLE DE ENERGIA AUTOPORTANTE TIPO CAAI-S VW-1 3X95+1X16 MM2 PARA REDES AEREAS B.T.</v>
          </cell>
        </row>
        <row r="940">
          <cell r="B940">
            <v>5023751</v>
          </cell>
          <cell r="C940" t="str">
            <v>IND</v>
          </cell>
          <cell r="D940" t="str">
            <v>CABLE DE ENERGIA AUTOPORTANTE TIPO CAAI-S VW-1 3X95+1X16 MM2 PARA REDES AEREAS B.T.</v>
          </cell>
        </row>
        <row r="941">
          <cell r="B941">
            <v>5023751</v>
          </cell>
          <cell r="C941" t="str">
            <v>PIR</v>
          </cell>
          <cell r="D941" t="str">
            <v>CABLE DE ENERGIA AUTOPORTANTE TIPO CAAI-S VW-1 3X95+1X16 MM2 PARA REDES AEREAS B.T.</v>
          </cell>
        </row>
        <row r="942">
          <cell r="B942">
            <v>5023762</v>
          </cell>
          <cell r="C942" t="str">
            <v>ALC</v>
          </cell>
          <cell r="D942" t="str">
            <v>CABLE DE ENERGIA AUTOPORTANTE TIPO CAAI-S VW-1 3X120+1X16 MM2 PARA REDES AEREAS B.T.</v>
          </cell>
        </row>
        <row r="943">
          <cell r="B943">
            <v>5023762</v>
          </cell>
          <cell r="C943" t="str">
            <v>CEP</v>
          </cell>
          <cell r="D943" t="str">
            <v>CABLE DE ENERGIA AUTOPORTANTE TIPO CAAI-S VW-1 3X120+1X16 MM2 PARA REDES AEREAS B.T.</v>
          </cell>
        </row>
        <row r="944">
          <cell r="B944">
            <v>5023762</v>
          </cell>
          <cell r="C944" t="str">
            <v>IND</v>
          </cell>
          <cell r="D944" t="str">
            <v>CABLE DE ENERGIA AUTOPORTANTE TIPO CAAI-S VW-1 3X120+1X16 MM2 PARA REDES AEREAS B.T.</v>
          </cell>
        </row>
        <row r="945">
          <cell r="B945">
            <v>5023762</v>
          </cell>
          <cell r="C945" t="str">
            <v>PIR</v>
          </cell>
          <cell r="D945" t="str">
            <v>CABLE DE ENERGIA AUTOPORTANTE TIPO CAAI-S VW-1 3X120+1X16 MM2 PARA REDES AEREAS B.T.</v>
          </cell>
        </row>
        <row r="946">
          <cell r="B946">
            <v>5031149</v>
          </cell>
          <cell r="C946" t="str">
            <v>ALC</v>
          </cell>
          <cell r="D946" t="str">
            <v>CABLE DE ENERGIA UNIPOLAR TIPO NYY 1 X 500MM2 0,6 / 1KV</v>
          </cell>
        </row>
        <row r="947">
          <cell r="B947">
            <v>5031149</v>
          </cell>
          <cell r="C947" t="str">
            <v>CEP</v>
          </cell>
          <cell r="D947" t="str">
            <v>CABLE DE ENERGIA UNIPOLAR TIPO NYY 1 X 500MM2 0,6 / 1KV</v>
          </cell>
        </row>
        <row r="948">
          <cell r="B948">
            <v>5031149</v>
          </cell>
          <cell r="C948" t="str">
            <v>CET</v>
          </cell>
          <cell r="D948" t="str">
            <v>CABLE DE ENERGIA UNIPOLAR TIPO NYY 1 X 500MM2 0,6 / 1KV</v>
          </cell>
        </row>
        <row r="949">
          <cell r="B949">
            <v>5031149</v>
          </cell>
          <cell r="C949" t="str">
            <v>IND</v>
          </cell>
          <cell r="D949" t="str">
            <v>CABLE DE ENERGIA UNIPOLAR TIPO NYY 1 X 500MM2 0,6 / 1KV</v>
          </cell>
        </row>
        <row r="950">
          <cell r="B950">
            <v>5031149</v>
          </cell>
          <cell r="C950" t="str">
            <v>NEX</v>
          </cell>
          <cell r="D950" t="str">
            <v>CABLE DE ENERGIA UNIPOLAR TIPO NYY 1 X 500MM2 0,6 / 1KV</v>
          </cell>
        </row>
        <row r="951">
          <cell r="B951">
            <v>5031165</v>
          </cell>
          <cell r="C951" t="str">
            <v>RCT</v>
          </cell>
          <cell r="D951" t="str">
            <v>CABLE DE ENERGIA BIPOLAR TIPO N2XY 2 - 1 X 6MM2 0,6 / 1KV</v>
          </cell>
        </row>
        <row r="952">
          <cell r="B952">
            <v>5031172</v>
          </cell>
          <cell r="C952" t="str">
            <v>CEP</v>
          </cell>
          <cell r="D952" t="str">
            <v>CABLE DE ENERGIA TRIPOLAR TIPO N2XY 3 - 1 X 6MM2 0,6 / 1KV</v>
          </cell>
        </row>
        <row r="953">
          <cell r="B953">
            <v>5031173</v>
          </cell>
          <cell r="C953" t="str">
            <v>CEP</v>
          </cell>
          <cell r="D953" t="str">
            <v>CABLE DE ENERGIA TRIPOLAR TIPO N2XY 3 - 1 X 10MM2 0,6 / 1KV</v>
          </cell>
        </row>
        <row r="954">
          <cell r="B954">
            <v>5031175</v>
          </cell>
          <cell r="C954" t="str">
            <v>RCT</v>
          </cell>
          <cell r="D954" t="str">
            <v>CABLE DE ENERGIA TRIPOLAR TIPO N2XY 3 - 1 X 16MM2 0,6 / 1KV</v>
          </cell>
        </row>
        <row r="955">
          <cell r="B955">
            <v>5031177</v>
          </cell>
          <cell r="C955" t="str">
            <v>RCT</v>
          </cell>
          <cell r="D955" t="str">
            <v>CABLE DE ENERGIA TRIPOLAR TIPO N2XY 3 - 1 X 35MM2 0,6 / 1KV</v>
          </cell>
        </row>
        <row r="956">
          <cell r="B956">
            <v>5031178</v>
          </cell>
          <cell r="C956" t="str">
            <v>CEP</v>
          </cell>
          <cell r="D956" t="str">
            <v>CABLE DE ENERGIA TRIPOLAR TIPO N2XY 3 - 1 X 70MM2 0,6 / 1KV</v>
          </cell>
        </row>
        <row r="957">
          <cell r="B957">
            <v>5031179</v>
          </cell>
          <cell r="C957" t="str">
            <v>RCT</v>
          </cell>
          <cell r="D957" t="str">
            <v>CABLE DE ENERGIA TRIPOLAR TIPO N2XY 3 - 1 X 120MM2 0,6 / 1KV</v>
          </cell>
        </row>
        <row r="958">
          <cell r="B958">
            <v>5031182</v>
          </cell>
          <cell r="C958" t="str">
            <v>CEP</v>
          </cell>
          <cell r="D958" t="str">
            <v>CABLE DE ENERGIA TRIPOLAR TIPO N2XY 3 - 1 X 185MM2 0,6 / 1KV</v>
          </cell>
        </row>
        <row r="959">
          <cell r="B959">
            <v>5031183</v>
          </cell>
          <cell r="C959" t="str">
            <v>RCT</v>
          </cell>
          <cell r="D959" t="str">
            <v>CABLE DE ENERGIA TRIPOLAR TIPO N2XY 3 - 1 X 300MM2 0,6 / 1KV</v>
          </cell>
        </row>
        <row r="960">
          <cell r="B960">
            <v>5031207</v>
          </cell>
          <cell r="C960" t="str">
            <v>ALC</v>
          </cell>
          <cell r="D960" t="str">
            <v>CABLE DE ENERGIA BIPOLAR TIPO NYY 2 - 1 X 6MM2 0,6 / 1KV DISPOSICION PARALELO</v>
          </cell>
        </row>
        <row r="961">
          <cell r="B961">
            <v>5031207</v>
          </cell>
          <cell r="C961" t="str">
            <v>CEP</v>
          </cell>
          <cell r="D961" t="str">
            <v>CABLE DE ENERGIA BIPOLAR TIPO NYY 2 - 1 X 6MM2 0,6 / 1KV DISPOSICION PARALELO</v>
          </cell>
        </row>
        <row r="962">
          <cell r="B962">
            <v>5031207</v>
          </cell>
          <cell r="C962" t="str">
            <v>CET</v>
          </cell>
          <cell r="D962" t="str">
            <v>CABLE DE ENERGIA BIPOLAR TIPO NYY 2 - 1 X 6MM2 0,6 / 1KV DISPOSICION PARALELO</v>
          </cell>
        </row>
        <row r="963">
          <cell r="B963">
            <v>5031207</v>
          </cell>
          <cell r="C963" t="str">
            <v>IND</v>
          </cell>
          <cell r="D963" t="str">
            <v>CABLE DE ENERGIA BIPOLAR TIPO NYY 2 - 1 X 6MM2 0,6 / 1KV DISPOSICION PARALELO</v>
          </cell>
        </row>
        <row r="964">
          <cell r="B964">
            <v>5031207</v>
          </cell>
          <cell r="C964" t="str">
            <v>NEX</v>
          </cell>
          <cell r="D964" t="str">
            <v>CABLE DE ENERGIA BIPOLAR TIPO NYY 2 - 1 X 6MM2 0,6 / 1KV DISPOSICION PARALELO</v>
          </cell>
        </row>
        <row r="965">
          <cell r="B965">
            <v>5031307</v>
          </cell>
          <cell r="C965" t="str">
            <v>ALC</v>
          </cell>
          <cell r="D965" t="str">
            <v>CABLE DE ENERGIA TRIPOLAR TIPO NYY 3 - 1 X 6MM2 0,6 / 1KV DISPOSICION PARALELO</v>
          </cell>
        </row>
        <row r="966">
          <cell r="B966">
            <v>5031307</v>
          </cell>
          <cell r="C966" t="str">
            <v>CEP</v>
          </cell>
          <cell r="D966" t="str">
            <v>CABLE DE ENERGIA TRIPOLAR TIPO NYY 3 - 1 X 6MM2 0,6 / 1KV DISPOSICION PARALELO</v>
          </cell>
        </row>
        <row r="967">
          <cell r="B967">
            <v>5031307</v>
          </cell>
          <cell r="C967" t="str">
            <v>CET</v>
          </cell>
          <cell r="D967" t="str">
            <v>CABLE DE ENERGIA TRIPOLAR TIPO NYY 3 - 1 X 6MM2 0,6 / 1KV DISPOSICION PARALELO</v>
          </cell>
        </row>
        <row r="968">
          <cell r="B968">
            <v>5031307</v>
          </cell>
          <cell r="C968" t="str">
            <v>IND</v>
          </cell>
          <cell r="D968" t="str">
            <v>CABLE DE ENERGIA TRIPOLAR TIPO NYY 3 - 1 X 6MM2 0,6 / 1KV DISPOSICION PARALELO</v>
          </cell>
        </row>
        <row r="969">
          <cell r="B969">
            <v>5031307</v>
          </cell>
          <cell r="C969" t="str">
            <v>NEX</v>
          </cell>
          <cell r="D969" t="str">
            <v>CABLE DE ENERGIA TRIPOLAR TIPO NYY 3 - 1 X 6MM2 0,6 / 1KV DISPOSICION PARALELO</v>
          </cell>
        </row>
        <row r="970">
          <cell r="B970">
            <v>5031313</v>
          </cell>
          <cell r="C970" t="str">
            <v>ALC</v>
          </cell>
          <cell r="D970" t="str">
            <v>CABLE DE ENERGIA TRIPOLAR TIPO NYY 3 - 1 X 10MM2 0,6 / 1KV DISPOSICION PARALELO</v>
          </cell>
        </row>
        <row r="971">
          <cell r="B971">
            <v>5031313</v>
          </cell>
          <cell r="C971" t="str">
            <v>CEP</v>
          </cell>
          <cell r="D971" t="str">
            <v>CABLE DE ENERGIA TRIPOLAR TIPO NYY 3 - 1 X 10MM2 0,6 / 1KV DISPOSICION PARALELO</v>
          </cell>
        </row>
        <row r="972">
          <cell r="B972">
            <v>5031313</v>
          </cell>
          <cell r="C972" t="str">
            <v>CET</v>
          </cell>
          <cell r="D972" t="str">
            <v>CABLE DE ENERGIA TRIPOLAR TIPO NYY 3 - 1 X 10MM2 0,6 / 1KV DISPOSICION PARALELO</v>
          </cell>
        </row>
        <row r="973">
          <cell r="B973">
            <v>5031313</v>
          </cell>
          <cell r="C973" t="str">
            <v>IND</v>
          </cell>
          <cell r="D973" t="str">
            <v>CABLE DE ENERGIA TRIPOLAR TIPO NYY 3 - 1 X 10MM2 0,6 / 1KV DISPOSICION PARALELO</v>
          </cell>
        </row>
        <row r="974">
          <cell r="B974">
            <v>5031313</v>
          </cell>
          <cell r="C974" t="str">
            <v>NEX</v>
          </cell>
          <cell r="D974" t="str">
            <v>CABLE DE ENERGIA TRIPOLAR TIPO NYY 3 - 1 X 10MM2 0,6 / 1KV DISPOSICION PARALELO</v>
          </cell>
        </row>
        <row r="975">
          <cell r="B975">
            <v>5031316</v>
          </cell>
          <cell r="C975" t="str">
            <v>ALC</v>
          </cell>
          <cell r="D975" t="str">
            <v>CABLE DE ENERGIA TRIPOLAR TIPO NYY 3 - 1 X 16MM2 0,6 / 1KV DISPOSICION PARALELO</v>
          </cell>
        </row>
        <row r="976">
          <cell r="B976">
            <v>5031316</v>
          </cell>
          <cell r="C976" t="str">
            <v>CEP</v>
          </cell>
          <cell r="D976" t="str">
            <v>CABLE DE ENERGIA TRIPOLAR TIPO NYY 3 - 1 X 16MM2 0,6 / 1KV DISPOSICION PARALELO</v>
          </cell>
        </row>
        <row r="977">
          <cell r="B977">
            <v>5031316</v>
          </cell>
          <cell r="C977" t="str">
            <v>CET</v>
          </cell>
          <cell r="D977" t="str">
            <v>CABLE DE ENERGIA TRIPOLAR TIPO NYY 3 - 1 X 16MM2 0,6 / 1KV DISPOSICION PARALELO</v>
          </cell>
        </row>
        <row r="978">
          <cell r="B978">
            <v>5031316</v>
          </cell>
          <cell r="C978" t="str">
            <v>IND</v>
          </cell>
          <cell r="D978" t="str">
            <v>CABLE DE ENERGIA TRIPOLAR TIPO NYY 3 - 1 X 16MM2 0,6 / 1KV DISPOSICION PARALELO</v>
          </cell>
        </row>
        <row r="979">
          <cell r="B979">
            <v>5031316</v>
          </cell>
          <cell r="C979" t="str">
            <v>NEX</v>
          </cell>
          <cell r="D979" t="str">
            <v>CABLE DE ENERGIA TRIPOLAR TIPO NYY 3 - 1 X 16MM2 0,6 / 1KV DISPOSICION PARALELO</v>
          </cell>
        </row>
        <row r="980">
          <cell r="B980">
            <v>5031322</v>
          </cell>
          <cell r="C980" t="str">
            <v>ALC</v>
          </cell>
          <cell r="D980" t="str">
            <v>CABLE DE ENERGIA TRIPOLAR TIPO NYY 3 - 1 X 35MM2 0,6 / 1KV DISPOSICION PARALELO</v>
          </cell>
        </row>
        <row r="981">
          <cell r="B981">
            <v>5031322</v>
          </cell>
          <cell r="C981" t="str">
            <v>CEP</v>
          </cell>
          <cell r="D981" t="str">
            <v>CABLE DE ENERGIA TRIPOLAR TIPO NYY 3 - 1 X 35MM2 0,6 / 1KV DISPOSICION PARALELO</v>
          </cell>
        </row>
        <row r="982">
          <cell r="B982">
            <v>5031322</v>
          </cell>
          <cell r="C982" t="str">
            <v>CET</v>
          </cell>
          <cell r="D982" t="str">
            <v>CABLE DE ENERGIA TRIPOLAR TIPO NYY 3 - 1 X 35MM2 0,6 / 1KV DISPOSICION PARALELO</v>
          </cell>
        </row>
        <row r="983">
          <cell r="B983">
            <v>5031322</v>
          </cell>
          <cell r="C983" t="str">
            <v>IND</v>
          </cell>
          <cell r="D983" t="str">
            <v>CABLE DE ENERGIA TRIPOLAR TIPO NYY 3 - 1 X 35MM2 0,6 / 1KV DISPOSICION PARALELO</v>
          </cell>
        </row>
        <row r="984">
          <cell r="B984">
            <v>5031322</v>
          </cell>
          <cell r="C984" t="str">
            <v>NEX</v>
          </cell>
          <cell r="D984" t="str">
            <v>CABLE DE ENERGIA TRIPOLAR TIPO NYY 3 - 1 X 35MM2 0,6 / 1KV DISPOSICION PARALELO</v>
          </cell>
        </row>
        <row r="985">
          <cell r="B985">
            <v>5031323</v>
          </cell>
          <cell r="C985" t="str">
            <v>ALC</v>
          </cell>
          <cell r="D985" t="str">
            <v>CABLE DE ENERGIA TRIPOLAR TIPO NYY 3 - 1 X 70MM2 0,6 / 1KV DISPOSICION PARALELO</v>
          </cell>
        </row>
        <row r="986">
          <cell r="B986">
            <v>5031323</v>
          </cell>
          <cell r="C986" t="str">
            <v>CEP</v>
          </cell>
          <cell r="D986" t="str">
            <v>CABLE DE ENERGIA TRIPOLAR TIPO NYY 3 - 1 X 70MM2 0,6 / 1KV DISPOSICION PARALELO</v>
          </cell>
        </row>
        <row r="987">
          <cell r="B987">
            <v>5031323</v>
          </cell>
          <cell r="C987" t="str">
            <v>CET</v>
          </cell>
          <cell r="D987" t="str">
            <v>CABLE DE ENERGIA TRIPOLAR TIPO NYY 3 - 1 X 70MM2 0,6 / 1KV DISPOSICION PARALELO</v>
          </cell>
        </row>
        <row r="988">
          <cell r="B988">
            <v>5031323</v>
          </cell>
          <cell r="C988" t="str">
            <v>IND</v>
          </cell>
          <cell r="D988" t="str">
            <v>CABLE DE ENERGIA TRIPOLAR TIPO NYY 3 - 1 X 70MM2 0,6 / 1KV DISPOSICION PARALELO</v>
          </cell>
        </row>
        <row r="989">
          <cell r="B989">
            <v>5031323</v>
          </cell>
          <cell r="C989" t="str">
            <v>NEX</v>
          </cell>
          <cell r="D989" t="str">
            <v>CABLE DE ENERGIA TRIPOLAR TIPO NYY 3 - 1 X 70MM2 0,6 / 1KV DISPOSICION PARALELO</v>
          </cell>
        </row>
        <row r="990">
          <cell r="B990">
            <v>5031334</v>
          </cell>
          <cell r="C990" t="str">
            <v>ALC</v>
          </cell>
          <cell r="D990" t="str">
            <v>CABLE DE ENERGIA TRIPOLAR TIPO NYY 3 - 1 X 120MM2 0,6 / 1KV DISPOSICION PARALELO</v>
          </cell>
        </row>
        <row r="991">
          <cell r="B991">
            <v>5031334</v>
          </cell>
          <cell r="C991" t="str">
            <v>CEP</v>
          </cell>
          <cell r="D991" t="str">
            <v>CABLE DE ENERGIA TRIPOLAR TIPO NYY 3 - 1 X 120MM2 0,6 / 1KV DISPOSICION PARALELO</v>
          </cell>
        </row>
        <row r="992">
          <cell r="B992">
            <v>5031334</v>
          </cell>
          <cell r="C992" t="str">
            <v>CET</v>
          </cell>
          <cell r="D992" t="str">
            <v>CABLE DE ENERGIA TRIPOLAR TIPO NYY 3 - 1 X 120MM2 0,6 / 1KV DISPOSICION PARALELO</v>
          </cell>
        </row>
        <row r="993">
          <cell r="B993">
            <v>5031334</v>
          </cell>
          <cell r="C993" t="str">
            <v>IND</v>
          </cell>
          <cell r="D993" t="str">
            <v>CABLE DE ENERGIA TRIPOLAR TIPO NYY 3 - 1 X 120MM2 0,6 / 1KV DISPOSICION PARALELO</v>
          </cell>
        </row>
        <row r="994">
          <cell r="B994">
            <v>5031334</v>
          </cell>
          <cell r="C994" t="str">
            <v>NEX</v>
          </cell>
          <cell r="D994" t="str">
            <v>CABLE DE ENERGIA TRIPOLAR TIPO NYY 3 - 1 X 120MM2 0,6 / 1KV DISPOSICION PARALELO</v>
          </cell>
        </row>
        <row r="995">
          <cell r="B995">
            <v>5031340</v>
          </cell>
          <cell r="C995" t="str">
            <v>ALC</v>
          </cell>
          <cell r="D995" t="str">
            <v>CABLE DE ENERGIA TRIPOLAR TIPO NYY 3 - 1 X 185MM2 0,6 / 1KV DISPOSICION PARALELO</v>
          </cell>
        </row>
        <row r="996">
          <cell r="B996">
            <v>5031340</v>
          </cell>
          <cell r="C996" t="str">
            <v>CEP</v>
          </cell>
          <cell r="D996" t="str">
            <v>CABLE DE ENERGIA TRIPOLAR TIPO NYY 3 - 1 X 185MM2 0,6 / 1KV DISPOSICION PARALELO</v>
          </cell>
        </row>
        <row r="997">
          <cell r="B997">
            <v>5031340</v>
          </cell>
          <cell r="C997" t="str">
            <v>CET</v>
          </cell>
          <cell r="D997" t="str">
            <v>CABLE DE ENERGIA TRIPOLAR TIPO NYY 3 - 1 X 185MM2 0,6 / 1KV DISPOSICION PARALELO</v>
          </cell>
        </row>
        <row r="998">
          <cell r="B998">
            <v>5031340</v>
          </cell>
          <cell r="C998" t="str">
            <v>IND</v>
          </cell>
          <cell r="D998" t="str">
            <v>CABLE DE ENERGIA TRIPOLAR TIPO NYY 3 - 1 X 185MM2 0,6 / 1KV DISPOSICION PARALELO</v>
          </cell>
        </row>
        <row r="999">
          <cell r="B999">
            <v>5031340</v>
          </cell>
          <cell r="C999" t="str">
            <v>NEX</v>
          </cell>
          <cell r="D999" t="str">
            <v>CABLE DE ENERGIA TRIPOLAR TIPO NYY 3 - 1 X 185MM2 0,6 / 1KV DISPOSICION PARALELO</v>
          </cell>
        </row>
        <row r="1000">
          <cell r="B1000">
            <v>5031346</v>
          </cell>
          <cell r="C1000" t="str">
            <v>ALC</v>
          </cell>
          <cell r="D1000" t="str">
            <v>CABLE DE ENERGIA TRIPOLAR TIPO NYY 3 - 1 X 300MM2 0,6 / 1KV DISPOSICION PARALELO</v>
          </cell>
        </row>
        <row r="1001">
          <cell r="B1001">
            <v>5031346</v>
          </cell>
          <cell r="C1001" t="str">
            <v>CEP</v>
          </cell>
          <cell r="D1001" t="str">
            <v>CABLE DE ENERGIA TRIPOLAR TIPO NYY 3 - 1 X 300MM2 0,6 / 1KV DISPOSICION PARALELO</v>
          </cell>
        </row>
        <row r="1002">
          <cell r="B1002">
            <v>5031346</v>
          </cell>
          <cell r="C1002" t="str">
            <v>CET</v>
          </cell>
          <cell r="D1002" t="str">
            <v>CABLE DE ENERGIA TRIPOLAR TIPO NYY 3 - 1 X 300MM2 0,6 / 1KV DISPOSICION PARALELO</v>
          </cell>
        </row>
        <row r="1003">
          <cell r="B1003">
            <v>5031346</v>
          </cell>
          <cell r="C1003" t="str">
            <v>IND</v>
          </cell>
          <cell r="D1003" t="str">
            <v>CABLE DE ENERGIA TRIPOLAR TIPO NYY 3 - 1 X 300MM2 0,6 / 1KV DISPOSICION PARALELO</v>
          </cell>
        </row>
        <row r="1004">
          <cell r="B1004">
            <v>5031346</v>
          </cell>
          <cell r="C1004" t="str">
            <v>NEX</v>
          </cell>
          <cell r="D1004" t="str">
            <v>CABLE DE ENERGIA TRIPOLAR TIPO NYY 3 - 1 X 300MM2 0,6 / 1KV DISPOSICION PARALELO</v>
          </cell>
        </row>
        <row r="1005">
          <cell r="B1005">
            <v>5031439</v>
          </cell>
          <cell r="C1005" t="str">
            <v>IND</v>
          </cell>
          <cell r="D1005" t="str">
            <v>CABLE DE ENERGIA BIPOLAR TIPO NA2XY 2 - 1 X 10MM2 0,6 / 1KV DISPOSICION PARALELO</v>
          </cell>
        </row>
        <row r="1006">
          <cell r="B1006">
            <v>5031445</v>
          </cell>
          <cell r="C1006" t="str">
            <v>IND</v>
          </cell>
          <cell r="D1006" t="str">
            <v>CABLE DE ENERGIA TRIPOLAR TIPO NA2XY 3 - 1 X 10MM2 0,6 / 1KV DISPOSICION PARALELO</v>
          </cell>
        </row>
        <row r="1007">
          <cell r="B1007">
            <v>5031446</v>
          </cell>
          <cell r="C1007" t="str">
            <v>CEP</v>
          </cell>
          <cell r="D1007" t="str">
            <v>CABLE DE ENERGIA TRIPOLAR TIPO NA2XY 3 - 1 X 16MM2 0,6 / 1KV DISPOSICION PARALELO</v>
          </cell>
        </row>
        <row r="1008">
          <cell r="B1008">
            <v>5031448</v>
          </cell>
          <cell r="C1008" t="str">
            <v>IND</v>
          </cell>
          <cell r="D1008" t="str">
            <v>CABLE DE ENERGIA TRIPOLAR TIPO NA2XY 3 - 1 X 95MM2 0,6 / 1KV DISPOSICION PARALELO</v>
          </cell>
        </row>
        <row r="1009">
          <cell r="B1009">
            <v>5031449</v>
          </cell>
          <cell r="C1009" t="str">
            <v>CEP</v>
          </cell>
          <cell r="D1009" t="str">
            <v>CABLE DE ENERGIA TRIPOLAR TIPO NA2XY 3 - 1 X 70MM2 0,6 / 1KV DISPOSICION PARALELO</v>
          </cell>
        </row>
        <row r="1010">
          <cell r="B1010">
            <v>5031450</v>
          </cell>
          <cell r="C1010" t="str">
            <v>CEP</v>
          </cell>
          <cell r="D1010" t="str">
            <v>CABLE DE ENERGIA TRIPOLAR TIPO NA2XY 3 - 1 X 120MM2 0,6 / 1KV DISPOSICION PARALELO</v>
          </cell>
        </row>
        <row r="1011">
          <cell r="B1011">
            <v>5031451</v>
          </cell>
          <cell r="C1011" t="str">
            <v>IND</v>
          </cell>
          <cell r="D1011" t="str">
            <v>CABLE DE ENERGIA TRIPOLAR TIPO NA2XY 3 - 1 X 185MM2 0,6 / 1KV DISPOSICION PARALELO</v>
          </cell>
        </row>
        <row r="1012">
          <cell r="B1012">
            <v>5031452</v>
          </cell>
          <cell r="C1012" t="str">
            <v>IND</v>
          </cell>
          <cell r="D1012" t="str">
            <v>CABLE DE ENERGIA TRIPOLAR TIPO NA2XY 3 - 1 X 240MM2 0,6 / 1KV DISPOSICION PARALELO</v>
          </cell>
        </row>
        <row r="1013">
          <cell r="B1013">
            <v>5031453</v>
          </cell>
          <cell r="C1013" t="str">
            <v>IND</v>
          </cell>
          <cell r="D1013" t="str">
            <v>CABLE DE ENERGIA TRIPOLAR TIPO NA2XY 3 - 1 X 300MM2 0,6 / 1KV DISPOSICION PARALELO</v>
          </cell>
        </row>
        <row r="1014">
          <cell r="B1014">
            <v>5031454</v>
          </cell>
          <cell r="C1014" t="str">
            <v>IND</v>
          </cell>
          <cell r="D1014" t="str">
            <v>CABLE DE ENERGIA TRIPOLAR TIPO NA2XY 3 - 1 X 400MM2 0,6 / 1KV DISPOSICION PARALELO</v>
          </cell>
        </row>
        <row r="1015">
          <cell r="B1015">
            <v>5031455</v>
          </cell>
          <cell r="C1015" t="str">
            <v>IND</v>
          </cell>
          <cell r="D1015" t="str">
            <v>CABLE DE ENERGIA TRIPOLAR TIPO NA2XY 3 - 1 X 500MM2 0,6 / 1KV DISPOSICION PARALELO</v>
          </cell>
        </row>
        <row r="1016">
          <cell r="B1016">
            <v>5031540</v>
          </cell>
          <cell r="C1016" t="str">
            <v>ALC</v>
          </cell>
          <cell r="D1016" t="str">
            <v>CABLE DE ENERGIA TIPO NAYY 3-1X10MM2. B.T.</v>
          </cell>
        </row>
        <row r="1017">
          <cell r="B1017">
            <v>5031540</v>
          </cell>
          <cell r="C1017" t="str">
            <v>BRD</v>
          </cell>
          <cell r="D1017" t="str">
            <v>CABLE DE ENERGIA TIPO NAYY 3-1X10MM2. B.T.</v>
          </cell>
        </row>
        <row r="1018">
          <cell r="B1018">
            <v>5031540</v>
          </cell>
          <cell r="C1018" t="str">
            <v>CEP</v>
          </cell>
          <cell r="D1018" t="str">
            <v>CABLE DE ENERGIA TIPO NAYY 3-1X10MM2. B.T.</v>
          </cell>
        </row>
        <row r="1019">
          <cell r="B1019">
            <v>5031540</v>
          </cell>
          <cell r="C1019" t="str">
            <v>CET</v>
          </cell>
          <cell r="D1019" t="str">
            <v>CABLE DE ENERGIA TIPO NAYY 3-1X10MM2. B.T.</v>
          </cell>
        </row>
        <row r="1020">
          <cell r="B1020">
            <v>5031540</v>
          </cell>
          <cell r="C1020" t="str">
            <v>CIM</v>
          </cell>
          <cell r="D1020" t="str">
            <v>CABLE DE ENERGIA TIPO NAYY 3-1X10MM2. B.T.</v>
          </cell>
        </row>
        <row r="1021">
          <cell r="B1021">
            <v>5031540</v>
          </cell>
          <cell r="C1021" t="str">
            <v>IND</v>
          </cell>
          <cell r="D1021" t="str">
            <v>CABLE DE ENERGIA TIPO NAYY 3-1X10MM2. B.T.</v>
          </cell>
        </row>
        <row r="1022">
          <cell r="B1022">
            <v>5031542</v>
          </cell>
          <cell r="C1022" t="str">
            <v>ALC</v>
          </cell>
          <cell r="D1022" t="str">
            <v>CABLE DE ENERGIA TIPO NAYY 3-1X16MM2. B.T.</v>
          </cell>
        </row>
        <row r="1023">
          <cell r="B1023">
            <v>5031542</v>
          </cell>
          <cell r="C1023" t="str">
            <v>BRD</v>
          </cell>
          <cell r="D1023" t="str">
            <v>CABLE DE ENERGIA TIPO NAYY 3-1X16MM2. B.T.</v>
          </cell>
        </row>
        <row r="1024">
          <cell r="B1024">
            <v>5031542</v>
          </cell>
          <cell r="C1024" t="str">
            <v>CEP</v>
          </cell>
          <cell r="D1024" t="str">
            <v>CABLE DE ENERGIA TIPO NAYY 3-1X16MM2. B.T.</v>
          </cell>
        </row>
        <row r="1025">
          <cell r="B1025">
            <v>5031542</v>
          </cell>
          <cell r="C1025" t="str">
            <v>CET</v>
          </cell>
          <cell r="D1025" t="str">
            <v>CABLE DE ENERGIA TIPO NAYY 3-1X16MM2. B.T.</v>
          </cell>
        </row>
        <row r="1026">
          <cell r="B1026">
            <v>5031542</v>
          </cell>
          <cell r="C1026" t="str">
            <v>CIM</v>
          </cell>
          <cell r="D1026" t="str">
            <v>CABLE DE ENERGIA TIPO NAYY 3-1X16MM2. B.T.</v>
          </cell>
        </row>
        <row r="1027">
          <cell r="B1027">
            <v>5031542</v>
          </cell>
          <cell r="C1027" t="str">
            <v>IND</v>
          </cell>
          <cell r="D1027" t="str">
            <v>CABLE DE ENERGIA TIPO NAYY 3-1X16MM2. B.T.</v>
          </cell>
        </row>
        <row r="1028">
          <cell r="B1028">
            <v>5031544</v>
          </cell>
          <cell r="C1028" t="str">
            <v>ALC</v>
          </cell>
          <cell r="D1028" t="str">
            <v>CABLE DE ENERGIA TIPO NAYY 3-1X25MM2. B.T.</v>
          </cell>
        </row>
        <row r="1029">
          <cell r="B1029">
            <v>5031544</v>
          </cell>
          <cell r="C1029" t="str">
            <v>BRD</v>
          </cell>
          <cell r="D1029" t="str">
            <v>CABLE DE ENERGIA TIPO NAYY 3-1X25MM2. B.T.</v>
          </cell>
        </row>
        <row r="1030">
          <cell r="B1030">
            <v>5031544</v>
          </cell>
          <cell r="C1030" t="str">
            <v>CEP</v>
          </cell>
          <cell r="D1030" t="str">
            <v>CABLE DE ENERGIA TIPO NAYY 3-1X25MM2. B.T.</v>
          </cell>
        </row>
        <row r="1031">
          <cell r="B1031">
            <v>5031544</v>
          </cell>
          <cell r="C1031" t="str">
            <v>CET</v>
          </cell>
          <cell r="D1031" t="str">
            <v>CABLE DE ENERGIA TIPO NAYY 3-1X25MM2. B.T.</v>
          </cell>
        </row>
        <row r="1032">
          <cell r="B1032">
            <v>5031544</v>
          </cell>
          <cell r="C1032" t="str">
            <v>CIM</v>
          </cell>
          <cell r="D1032" t="str">
            <v>CABLE DE ENERGIA TIPO NAYY 3-1X25MM2. B.T.</v>
          </cell>
        </row>
        <row r="1033">
          <cell r="B1033">
            <v>5031544</v>
          </cell>
          <cell r="C1033" t="str">
            <v>IND</v>
          </cell>
          <cell r="D1033" t="str">
            <v>CABLE DE ENERGIA TIPO NAYY 3-1X25MM2. B.T.</v>
          </cell>
        </row>
        <row r="1034">
          <cell r="B1034">
            <v>5031546</v>
          </cell>
          <cell r="C1034" t="str">
            <v>ALC</v>
          </cell>
          <cell r="D1034" t="str">
            <v>CABLE DE ENERGIA TIPO NAYY 3-1X70MM2. B.T.</v>
          </cell>
        </row>
        <row r="1035">
          <cell r="B1035">
            <v>5031546</v>
          </cell>
          <cell r="C1035" t="str">
            <v>BRD</v>
          </cell>
          <cell r="D1035" t="str">
            <v>CABLE DE ENERGIA TIPO NAYY 3-1X70MM2. B.T.</v>
          </cell>
        </row>
        <row r="1036">
          <cell r="B1036">
            <v>5031546</v>
          </cell>
          <cell r="C1036" t="str">
            <v>CEP</v>
          </cell>
          <cell r="D1036" t="str">
            <v>CABLE DE ENERGIA TIPO NAYY 3-1X70MM2. B.T.</v>
          </cell>
        </row>
        <row r="1037">
          <cell r="B1037">
            <v>5031546</v>
          </cell>
          <cell r="C1037" t="str">
            <v>CET</v>
          </cell>
          <cell r="D1037" t="str">
            <v>CABLE DE ENERGIA TIPO NAYY 3-1X70MM2. B.T.</v>
          </cell>
        </row>
        <row r="1038">
          <cell r="B1038">
            <v>5031546</v>
          </cell>
          <cell r="C1038" t="str">
            <v>CIM</v>
          </cell>
          <cell r="D1038" t="str">
            <v>CABLE DE ENERGIA TIPO NAYY 3-1X70MM2. B.T.</v>
          </cell>
        </row>
        <row r="1039">
          <cell r="B1039">
            <v>5031546</v>
          </cell>
          <cell r="C1039" t="str">
            <v>IND</v>
          </cell>
          <cell r="D1039" t="str">
            <v>CABLE DE ENERGIA TIPO NAYY 3-1X70MM2. B.T.</v>
          </cell>
        </row>
        <row r="1040">
          <cell r="B1040">
            <v>5031548</v>
          </cell>
          <cell r="C1040" t="str">
            <v>ALC</v>
          </cell>
          <cell r="D1040" t="str">
            <v>CABLE DE ENERGIA TIPO NAYY 3-1X95MM2. B.T.</v>
          </cell>
        </row>
        <row r="1041">
          <cell r="B1041">
            <v>5031548</v>
          </cell>
          <cell r="C1041" t="str">
            <v>BRD</v>
          </cell>
          <cell r="D1041" t="str">
            <v>CABLE DE ENERGIA TIPO NAYY 3-1X95MM2. B.T.</v>
          </cell>
        </row>
        <row r="1042">
          <cell r="B1042">
            <v>5031548</v>
          </cell>
          <cell r="C1042" t="str">
            <v>CEP</v>
          </cell>
          <cell r="D1042" t="str">
            <v>CABLE DE ENERGIA TIPO NAYY 3-1X95MM2. B.T.</v>
          </cell>
        </row>
        <row r="1043">
          <cell r="B1043">
            <v>5031548</v>
          </cell>
          <cell r="C1043" t="str">
            <v>CET</v>
          </cell>
          <cell r="D1043" t="str">
            <v>CABLE DE ENERGIA TIPO NAYY 3-1X95MM2. B.T.</v>
          </cell>
        </row>
        <row r="1044">
          <cell r="B1044">
            <v>5031548</v>
          </cell>
          <cell r="C1044" t="str">
            <v>CIM</v>
          </cell>
          <cell r="D1044" t="str">
            <v>CABLE DE ENERGIA TIPO NAYY 3-1X95MM2. B.T.</v>
          </cell>
        </row>
        <row r="1045">
          <cell r="B1045">
            <v>5031548</v>
          </cell>
          <cell r="C1045" t="str">
            <v>IND</v>
          </cell>
          <cell r="D1045" t="str">
            <v>CABLE DE ENERGIA TIPO NAYY 3-1X95MM2. B.T.</v>
          </cell>
        </row>
        <row r="1046">
          <cell r="B1046">
            <v>5031550</v>
          </cell>
          <cell r="C1046" t="str">
            <v>ALC</v>
          </cell>
          <cell r="D1046" t="str">
            <v>CABLE ENERGIA TIPO NAYY 0,6 / 1KV 3 - 1 X 120MM2</v>
          </cell>
        </row>
        <row r="1047">
          <cell r="B1047">
            <v>5031550</v>
          </cell>
          <cell r="C1047" t="str">
            <v>BRD</v>
          </cell>
          <cell r="D1047" t="str">
            <v>CABLE ENERGIA TIPO NAYY 0,6 / 1KV 3 - 1 X 120MM2</v>
          </cell>
        </row>
        <row r="1048">
          <cell r="B1048">
            <v>5031550</v>
          </cell>
          <cell r="C1048" t="str">
            <v>CEP</v>
          </cell>
          <cell r="D1048" t="str">
            <v>CABLE ENERGIA TIPO NAYY 0,6 / 1KV 3 - 1 X 120MM2</v>
          </cell>
        </row>
        <row r="1049">
          <cell r="B1049">
            <v>5031550</v>
          </cell>
          <cell r="C1049" t="str">
            <v>CET</v>
          </cell>
          <cell r="D1049" t="str">
            <v>CABLE ENERGIA TIPO NAYY 0,6 / 1KV 3 - 1 X 120MM2</v>
          </cell>
        </row>
        <row r="1050">
          <cell r="B1050">
            <v>5031550</v>
          </cell>
          <cell r="C1050" t="str">
            <v>CIM</v>
          </cell>
          <cell r="D1050" t="str">
            <v>CABLE ENERGIA TIPO NAYY 0,6 / 1KV 3 - 1 X 120MM2</v>
          </cell>
        </row>
        <row r="1051">
          <cell r="B1051">
            <v>5031550</v>
          </cell>
          <cell r="C1051" t="str">
            <v>IND</v>
          </cell>
          <cell r="D1051" t="str">
            <v>CABLE ENERGIA TIPO NAYY 0,6 / 1KV 3 - 1 X 120MM2</v>
          </cell>
        </row>
        <row r="1052">
          <cell r="B1052">
            <v>5031552</v>
          </cell>
          <cell r="C1052" t="str">
            <v>ALC</v>
          </cell>
          <cell r="D1052" t="str">
            <v>CABLE DE ENERGIA TIPO NAYY 3-1X185MM2. B.T.</v>
          </cell>
        </row>
        <row r="1053">
          <cell r="B1053">
            <v>5031552</v>
          </cell>
          <cell r="C1053" t="str">
            <v>BRD</v>
          </cell>
          <cell r="D1053" t="str">
            <v>CABLE DE ENERGIA TIPO NAYY 3-1X185MM2. B.T.</v>
          </cell>
        </row>
        <row r="1054">
          <cell r="B1054">
            <v>5031552</v>
          </cell>
          <cell r="C1054" t="str">
            <v>CEP</v>
          </cell>
          <cell r="D1054" t="str">
            <v>CABLE DE ENERGIA TIPO NAYY 3-1X185MM2. B.T.</v>
          </cell>
        </row>
        <row r="1055">
          <cell r="B1055">
            <v>5031552</v>
          </cell>
          <cell r="C1055" t="str">
            <v>CET</v>
          </cell>
          <cell r="D1055" t="str">
            <v>CABLE DE ENERGIA TIPO NAYY 3-1X185MM2. B.T.</v>
          </cell>
        </row>
        <row r="1056">
          <cell r="B1056">
            <v>5031552</v>
          </cell>
          <cell r="C1056" t="str">
            <v>CIM</v>
          </cell>
          <cell r="D1056" t="str">
            <v>CABLE DE ENERGIA TIPO NAYY 3-1X185MM2. B.T.</v>
          </cell>
        </row>
        <row r="1057">
          <cell r="B1057">
            <v>5031552</v>
          </cell>
          <cell r="C1057" t="str">
            <v>IND</v>
          </cell>
          <cell r="D1057" t="str">
            <v>CABLE DE ENERGIA TIPO NAYY 3-1X185MM2. B.T.</v>
          </cell>
        </row>
        <row r="1058">
          <cell r="B1058">
            <v>5031554</v>
          </cell>
          <cell r="C1058" t="str">
            <v>ALC</v>
          </cell>
          <cell r="D1058" t="str">
            <v>CABLE DE ENERGIA TIPO NAYY 3-1X300MM2. B.T.</v>
          </cell>
        </row>
        <row r="1059">
          <cell r="B1059">
            <v>5031554</v>
          </cell>
          <cell r="C1059" t="str">
            <v>BRD</v>
          </cell>
          <cell r="D1059" t="str">
            <v>CABLE DE ENERGIA TIPO NAYY 3-1X300MM2. B.T.</v>
          </cell>
        </row>
        <row r="1060">
          <cell r="B1060">
            <v>5031554</v>
          </cell>
          <cell r="C1060" t="str">
            <v>CEP</v>
          </cell>
          <cell r="D1060" t="str">
            <v>CABLE DE ENERGIA TIPO NAYY 3-1X300MM2. B.T.</v>
          </cell>
        </row>
        <row r="1061">
          <cell r="B1061">
            <v>5031554</v>
          </cell>
          <cell r="C1061" t="str">
            <v>CET</v>
          </cell>
          <cell r="D1061" t="str">
            <v>CABLE DE ENERGIA TIPO NAYY 3-1X300MM2. B.T.</v>
          </cell>
        </row>
        <row r="1062">
          <cell r="B1062">
            <v>5031554</v>
          </cell>
          <cell r="C1062" t="str">
            <v>CIM</v>
          </cell>
          <cell r="D1062" t="str">
            <v>CABLE DE ENERGIA TIPO NAYY 3-1X300MM2. B.T.</v>
          </cell>
        </row>
        <row r="1063">
          <cell r="B1063">
            <v>5031554</v>
          </cell>
          <cell r="C1063" t="str">
            <v>IND</v>
          </cell>
          <cell r="D1063" t="str">
            <v>CABLE DE ENERGIA TIPO NAYY 3-1X300MM2. B.T.</v>
          </cell>
        </row>
        <row r="1064">
          <cell r="B1064">
            <v>5031556</v>
          </cell>
          <cell r="C1064" t="str">
            <v>ALC</v>
          </cell>
          <cell r="D1064" t="str">
            <v>CABLE DE ENERGIA TIPO NAYY 3-1X500MM2. B.T.</v>
          </cell>
        </row>
        <row r="1065">
          <cell r="B1065">
            <v>5031556</v>
          </cell>
          <cell r="C1065" t="str">
            <v>BRD</v>
          </cell>
          <cell r="D1065" t="str">
            <v>CABLE DE ENERGIA TIPO NAYY 3-1X500MM2. B.T.</v>
          </cell>
        </row>
        <row r="1066">
          <cell r="B1066">
            <v>5031556</v>
          </cell>
          <cell r="C1066" t="str">
            <v>CEP</v>
          </cell>
          <cell r="D1066" t="str">
            <v>CABLE DE ENERGIA TIPO NAYY 3-1X500MM2. B.T.</v>
          </cell>
        </row>
        <row r="1067">
          <cell r="B1067">
            <v>5031556</v>
          </cell>
          <cell r="C1067" t="str">
            <v>CET</v>
          </cell>
          <cell r="D1067" t="str">
            <v>CABLE DE ENERGIA TIPO NAYY 3-1X500MM2. B.T.</v>
          </cell>
        </row>
        <row r="1068">
          <cell r="B1068">
            <v>5031556</v>
          </cell>
          <cell r="C1068" t="str">
            <v>CIM</v>
          </cell>
          <cell r="D1068" t="str">
            <v>CABLE DE ENERGIA TIPO NAYY 3-1X500MM2. B.T.</v>
          </cell>
        </row>
        <row r="1069">
          <cell r="B1069">
            <v>5031556</v>
          </cell>
          <cell r="C1069" t="str">
            <v>IND</v>
          </cell>
          <cell r="D1069" t="str">
            <v>CABLE DE ENERGIA TIPO NAYY 3-1X500MM2. B.T.</v>
          </cell>
        </row>
        <row r="1070">
          <cell r="B1070">
            <v>5032119</v>
          </cell>
          <cell r="C1070" t="str">
            <v>CEP</v>
          </cell>
          <cell r="D1070" t="str">
            <v>CABLE DE ENERGIA UNIPOLAR TP. N2XSY 25MM2 P.REDES SUBTERRANEAS EN 10KV</v>
          </cell>
        </row>
        <row r="1071">
          <cell r="B1071">
            <v>5032119</v>
          </cell>
          <cell r="C1071" t="str">
            <v>CET</v>
          </cell>
          <cell r="D1071" t="str">
            <v>CABLE DE ENERGIA UNIPOLAR TP. N2XSY 25MM2 P.REDES SUBTERRANEAS EN 10KV</v>
          </cell>
        </row>
        <row r="1072">
          <cell r="B1072">
            <v>5032119</v>
          </cell>
          <cell r="C1072" t="str">
            <v>COC</v>
          </cell>
          <cell r="D1072" t="str">
            <v>CABLE DE ENERGIA UNIPOLAR TP. N2XSY 25MM2 P.REDES SUBTERRANEAS EN 10KV</v>
          </cell>
        </row>
        <row r="1073">
          <cell r="B1073">
            <v>5032119</v>
          </cell>
          <cell r="C1073" t="str">
            <v>GEC</v>
          </cell>
          <cell r="D1073" t="str">
            <v>CABLE DE ENERGIA UNIPOLAR TP. N2XSY 25MM2 P.REDES SUBTERRANEAS EN 10KV</v>
          </cell>
        </row>
        <row r="1074">
          <cell r="B1074">
            <v>5032119</v>
          </cell>
          <cell r="C1074" t="str">
            <v>IND</v>
          </cell>
          <cell r="D1074" t="str">
            <v>CABLE DE ENERGIA UNIPOLAR TP. N2XSY 25MM2 P.REDES SUBTERRANEAS EN 10KV</v>
          </cell>
        </row>
        <row r="1075">
          <cell r="B1075">
            <v>5032119</v>
          </cell>
          <cell r="C1075" t="str">
            <v>NEX</v>
          </cell>
          <cell r="D1075" t="str">
            <v>CABLE DE ENERGIA UNIPOLAR TP. N2XSY 25MM2 P.REDES SUBTERRANEAS EN 10KV</v>
          </cell>
        </row>
        <row r="1076">
          <cell r="B1076">
            <v>5032119</v>
          </cell>
          <cell r="C1076" t="str">
            <v>PIR</v>
          </cell>
          <cell r="D1076" t="str">
            <v>CABLE DE ENERGIA UNIPOLAR TP. N2XSY 25MM2 P.REDES SUBTERRANEAS EN 10KV</v>
          </cell>
        </row>
        <row r="1077">
          <cell r="B1077">
            <v>5032119</v>
          </cell>
          <cell r="C1077" t="str">
            <v>PIR</v>
          </cell>
          <cell r="D1077" t="str">
            <v>CABLE DE ENERGIA UNIPOLAR TP. N2XSY 25MM2 P.REDES SUBTERRANEAS EN 10KV</v>
          </cell>
        </row>
        <row r="1078">
          <cell r="B1078">
            <v>5032122</v>
          </cell>
          <cell r="C1078" t="str">
            <v>CEP</v>
          </cell>
          <cell r="D1078" t="str">
            <v>CABLE DE ENERGIA UNIPOLAR TP. N2XSY 35MM2 P.REDES SUBTERRANEAS EN 10KV</v>
          </cell>
        </row>
        <row r="1079">
          <cell r="B1079">
            <v>5032122</v>
          </cell>
          <cell r="C1079" t="str">
            <v>CET</v>
          </cell>
          <cell r="D1079" t="str">
            <v>CABLE DE ENERGIA UNIPOLAR TP. N2XSY 35MM2 P.REDES SUBTERRANEAS EN 10KV</v>
          </cell>
        </row>
        <row r="1080">
          <cell r="B1080">
            <v>5032122</v>
          </cell>
          <cell r="C1080" t="str">
            <v>IND</v>
          </cell>
          <cell r="D1080" t="str">
            <v>CABLE DE ENERGIA UNIPOLAR TP. N2XSY 35MM2 P.REDES SUBTERRANEAS EN 10KV</v>
          </cell>
        </row>
        <row r="1081">
          <cell r="B1081">
            <v>5032129</v>
          </cell>
          <cell r="C1081" t="str">
            <v>CEP</v>
          </cell>
          <cell r="D1081" t="str">
            <v>CABLE DE ENERGIA UNIPOLAR TP. N2XSY 70MM2 P.REDES SUBTERRANEAS EN 10KV</v>
          </cell>
        </row>
        <row r="1082">
          <cell r="B1082">
            <v>5032129</v>
          </cell>
          <cell r="C1082" t="str">
            <v>CET</v>
          </cell>
          <cell r="D1082" t="str">
            <v>CABLE DE ENERGIA UNIPOLAR TP. N2XSY 70MM2 P.REDES SUBTERRANEAS EN 10KV</v>
          </cell>
        </row>
        <row r="1083">
          <cell r="B1083">
            <v>5032129</v>
          </cell>
          <cell r="C1083" t="str">
            <v>COC</v>
          </cell>
          <cell r="D1083" t="str">
            <v>CABLE DE ENERGIA UNIPOLAR TP. N2XSY 70MM2 P.REDES SUBTERRANEAS EN 10KV</v>
          </cell>
        </row>
        <row r="1084">
          <cell r="B1084">
            <v>5032129</v>
          </cell>
          <cell r="C1084" t="str">
            <v>GEC</v>
          </cell>
          <cell r="D1084" t="str">
            <v>CABLE DE ENERGIA UNIPOLAR TP. N2XSY 70MM2 P.REDES SUBTERRANEAS EN 10KV</v>
          </cell>
        </row>
        <row r="1085">
          <cell r="B1085">
            <v>5032129</v>
          </cell>
          <cell r="C1085" t="str">
            <v>IND</v>
          </cell>
          <cell r="D1085" t="str">
            <v>CABLE DE ENERGIA UNIPOLAR TP. N2XSY 70MM2 P.REDES SUBTERRANEAS EN 10KV</v>
          </cell>
        </row>
        <row r="1086">
          <cell r="B1086">
            <v>5032129</v>
          </cell>
          <cell r="C1086" t="str">
            <v>NEX</v>
          </cell>
          <cell r="D1086" t="str">
            <v>CABLE DE ENERGIA UNIPOLAR TP. N2XSY 70MM2 P.REDES SUBTERRANEAS EN 10KV</v>
          </cell>
        </row>
        <row r="1087">
          <cell r="B1087">
            <v>5032129</v>
          </cell>
          <cell r="C1087" t="str">
            <v>PIR</v>
          </cell>
          <cell r="D1087" t="str">
            <v>CABLE DE ENERGIA UNIPOLAR TP. N2XSY 70MM2 P.REDES SUBTERRANEAS EN 10KV</v>
          </cell>
        </row>
        <row r="1088">
          <cell r="B1088">
            <v>5032129</v>
          </cell>
          <cell r="C1088" t="str">
            <v>PIR</v>
          </cell>
          <cell r="D1088" t="str">
            <v>CABLE DE ENERGIA UNIPOLAR TP. N2XSY 70MM2 P.REDES SUBTERRANEAS EN 10KV</v>
          </cell>
        </row>
        <row r="1089">
          <cell r="B1089">
            <v>5032132</v>
          </cell>
          <cell r="C1089" t="str">
            <v>CEP</v>
          </cell>
          <cell r="D1089" t="str">
            <v>CABLE DE ENERGIA UNIPOLAR TP. N2XSY 120MM2 P.REDES SUBTERRANEAS EN 10KV</v>
          </cell>
        </row>
        <row r="1090">
          <cell r="B1090">
            <v>5032132</v>
          </cell>
          <cell r="C1090" t="str">
            <v>CET</v>
          </cell>
          <cell r="D1090" t="str">
            <v>CABLE DE ENERGIA UNIPOLAR TP. N2XSY 120MM2 P.REDES SUBTERRANEAS EN 10KV</v>
          </cell>
        </row>
        <row r="1091">
          <cell r="B1091">
            <v>5032132</v>
          </cell>
          <cell r="C1091" t="str">
            <v>COC</v>
          </cell>
          <cell r="D1091" t="str">
            <v>CABLE DE ENERGIA UNIPOLAR TP. N2XSY 120MM2 P.REDES SUBTERRANEAS EN 10KV</v>
          </cell>
        </row>
        <row r="1092">
          <cell r="B1092">
            <v>5032132</v>
          </cell>
          <cell r="C1092" t="str">
            <v>GEC</v>
          </cell>
          <cell r="D1092" t="str">
            <v>CABLE DE ENERGIA UNIPOLAR TP. N2XSY 120MM2 P.REDES SUBTERRANEAS EN 10KV</v>
          </cell>
        </row>
        <row r="1093">
          <cell r="B1093">
            <v>5032132</v>
          </cell>
          <cell r="C1093" t="str">
            <v>IND</v>
          </cell>
          <cell r="D1093" t="str">
            <v>CABLE DE ENERGIA UNIPOLAR TP. N2XSY 120MM2 P.REDES SUBTERRANEAS EN 10KV</v>
          </cell>
        </row>
        <row r="1094">
          <cell r="B1094">
            <v>5032132</v>
          </cell>
          <cell r="C1094" t="str">
            <v>NEX</v>
          </cell>
          <cell r="D1094" t="str">
            <v>CABLE DE ENERGIA UNIPOLAR TP. N2XSY 120MM2 P.REDES SUBTERRANEAS EN 10KV</v>
          </cell>
        </row>
        <row r="1095">
          <cell r="B1095">
            <v>5032132</v>
          </cell>
          <cell r="C1095" t="str">
            <v>PIR</v>
          </cell>
          <cell r="D1095" t="str">
            <v>CABLE DE ENERGIA UNIPOLAR TP. N2XSY 120MM2 P.REDES SUBTERRANEAS EN 10KV</v>
          </cell>
        </row>
        <row r="1096">
          <cell r="B1096">
            <v>5032132</v>
          </cell>
          <cell r="C1096" t="str">
            <v>PIR</v>
          </cell>
          <cell r="D1096" t="str">
            <v>CABLE DE ENERGIA UNIPOLAR TP. N2XSY 120MM2 P.REDES SUBTERRANEAS EN 10KV</v>
          </cell>
        </row>
        <row r="1097">
          <cell r="B1097">
            <v>5032138</v>
          </cell>
          <cell r="C1097" t="str">
            <v>CEP</v>
          </cell>
          <cell r="D1097" t="str">
            <v>CABLE DE ENERGIA UNIPOLAR TP. N2XSY 240MM2 P.REDES SUBTERRANEAS EN 10KV</v>
          </cell>
        </row>
        <row r="1098">
          <cell r="B1098">
            <v>5032138</v>
          </cell>
          <cell r="C1098" t="str">
            <v>CET</v>
          </cell>
          <cell r="D1098" t="str">
            <v>CABLE DE ENERGIA UNIPOLAR TP. N2XSY 240MM2 P.REDES SUBTERRANEAS EN 10KV</v>
          </cell>
        </row>
        <row r="1099">
          <cell r="B1099">
            <v>5032138</v>
          </cell>
          <cell r="C1099" t="str">
            <v>COC</v>
          </cell>
          <cell r="D1099" t="str">
            <v>CABLE DE ENERGIA UNIPOLAR TP. N2XSY 240MM2 P.REDES SUBTERRANEAS EN 10KV</v>
          </cell>
        </row>
        <row r="1100">
          <cell r="B1100">
            <v>5032138</v>
          </cell>
          <cell r="C1100" t="str">
            <v>GEC</v>
          </cell>
          <cell r="D1100" t="str">
            <v>CABLE DE ENERGIA UNIPOLAR TP. N2XSY 240MM2 P.REDES SUBTERRANEAS EN 10KV</v>
          </cell>
        </row>
        <row r="1101">
          <cell r="B1101">
            <v>5032138</v>
          </cell>
          <cell r="C1101" t="str">
            <v>IND</v>
          </cell>
          <cell r="D1101" t="str">
            <v>CABLE DE ENERGIA UNIPOLAR TP. N2XSY 240MM2 P.REDES SUBTERRANEAS EN 10KV</v>
          </cell>
        </row>
        <row r="1102">
          <cell r="B1102">
            <v>5032138</v>
          </cell>
          <cell r="C1102" t="str">
            <v>NEX</v>
          </cell>
          <cell r="D1102" t="str">
            <v>CABLE DE ENERGIA UNIPOLAR TP. N2XSY 240MM2 P.REDES SUBTERRANEAS EN 10KV</v>
          </cell>
        </row>
        <row r="1103">
          <cell r="B1103">
            <v>5032138</v>
          </cell>
          <cell r="C1103" t="str">
            <v>PIR</v>
          </cell>
          <cell r="D1103" t="str">
            <v>CABLE DE ENERGIA UNIPOLAR TP. N2XSY 240MM2 P.REDES SUBTERRANEAS EN 10KV</v>
          </cell>
        </row>
        <row r="1104">
          <cell r="B1104">
            <v>5032138</v>
          </cell>
          <cell r="C1104" t="str">
            <v>PIR</v>
          </cell>
          <cell r="D1104" t="str">
            <v>CABLE DE ENERGIA UNIPOLAR TP. N2XSY 240MM2 P.REDES SUBTERRANEAS EN 10KV</v>
          </cell>
        </row>
        <row r="1105">
          <cell r="B1105">
            <v>5032325</v>
          </cell>
          <cell r="C1105" t="str">
            <v>CEP</v>
          </cell>
          <cell r="D1105" t="str">
            <v>CABLE DE ENERGIA UNIPOLAR TP. N2XSY 50MM2 C.ADITIVO P.REDES SUBTERRANEAS EN 22,9KV</v>
          </cell>
        </row>
        <row r="1106">
          <cell r="B1106">
            <v>5032325</v>
          </cell>
          <cell r="C1106" t="str">
            <v>COC</v>
          </cell>
          <cell r="D1106" t="str">
            <v>CABLE DE ENERGIA UNIPOLAR TP. N2XSY 50MM2 C.ADITIVO P.REDES SUBTERRANEAS EN 22,9KV</v>
          </cell>
        </row>
        <row r="1107">
          <cell r="B1107">
            <v>5032325</v>
          </cell>
          <cell r="C1107" t="str">
            <v>GEC</v>
          </cell>
          <cell r="D1107" t="str">
            <v>CABLE DE ENERGIA UNIPOLAR TP. N2XSY 50MM2 C.ADITIVO P.REDES SUBTERRANEAS EN 22,9KV</v>
          </cell>
        </row>
        <row r="1108">
          <cell r="B1108">
            <v>5032325</v>
          </cell>
          <cell r="C1108" t="str">
            <v>IND</v>
          </cell>
          <cell r="D1108" t="str">
            <v>CABLE DE ENERGIA UNIPOLAR TP. N2XSY 50MM2 C.ADITIVO P.REDES SUBTERRANEAS EN 22,9KV</v>
          </cell>
        </row>
        <row r="1109">
          <cell r="B1109">
            <v>5032325</v>
          </cell>
          <cell r="C1109" t="str">
            <v>NEX</v>
          </cell>
          <cell r="D1109" t="str">
            <v>CABLE DE ENERGIA UNIPOLAR TP. N2XSY 50MM2 C.ADITIVO P.REDES SUBTERRANEAS EN 22,9KV</v>
          </cell>
        </row>
        <row r="1110">
          <cell r="B1110">
            <v>5032327</v>
          </cell>
          <cell r="C1110" t="str">
            <v>CEP</v>
          </cell>
          <cell r="D1110" t="str">
            <v>CABLE DE ENERGIA UNIPOLAR TP. N2XSY 50MM2 P.REDES SUBTERRANEAS EN 22,9KV</v>
          </cell>
        </row>
        <row r="1111">
          <cell r="B1111">
            <v>5032327</v>
          </cell>
          <cell r="C1111" t="str">
            <v>CET</v>
          </cell>
          <cell r="D1111" t="str">
            <v>CABLE DE ENERGIA UNIPOLAR TP. N2XSY 50MM2 P.REDES SUBTERRANEAS EN 22,9KV</v>
          </cell>
        </row>
        <row r="1112">
          <cell r="B1112">
            <v>5032327</v>
          </cell>
          <cell r="C1112" t="str">
            <v>COC</v>
          </cell>
          <cell r="D1112" t="str">
            <v>CABLE DE ENERGIA UNIPOLAR TP. N2XSY 50MM2 P.REDES SUBTERRANEAS EN 22,9KV</v>
          </cell>
        </row>
        <row r="1113">
          <cell r="B1113">
            <v>5032327</v>
          </cell>
          <cell r="C1113" t="str">
            <v>GEC</v>
          </cell>
          <cell r="D1113" t="str">
            <v>CABLE DE ENERGIA UNIPOLAR TP. N2XSY 50MM2 P.REDES SUBTERRANEAS EN 22,9KV</v>
          </cell>
        </row>
        <row r="1114">
          <cell r="B1114">
            <v>5032327</v>
          </cell>
          <cell r="C1114" t="str">
            <v>IND</v>
          </cell>
          <cell r="D1114" t="str">
            <v>CABLE DE ENERGIA UNIPOLAR TP. N2XSY 50MM2 P.REDES SUBTERRANEAS EN 22,9KV</v>
          </cell>
        </row>
        <row r="1115">
          <cell r="B1115">
            <v>5032327</v>
          </cell>
          <cell r="C1115" t="str">
            <v>NEX</v>
          </cell>
          <cell r="D1115" t="str">
            <v>CABLE DE ENERGIA UNIPOLAR TP. N2XSY 50MM2 P.REDES SUBTERRANEAS EN 22,9KV</v>
          </cell>
        </row>
        <row r="1116">
          <cell r="B1116">
            <v>5032329</v>
          </cell>
          <cell r="C1116" t="str">
            <v>CEP</v>
          </cell>
          <cell r="D1116" t="str">
            <v>CABLE DE ENERGIA UNIPOLAR TP. N2XSY 70MM2 P.REDES SUBTERRANEAS EN 22,9KV</v>
          </cell>
        </row>
        <row r="1117">
          <cell r="B1117">
            <v>5032329</v>
          </cell>
          <cell r="C1117" t="str">
            <v>CET</v>
          </cell>
          <cell r="D1117" t="str">
            <v>CABLE DE ENERGIA UNIPOLAR TP. N2XSY 70MM2 P.REDES SUBTERRANEAS EN 22,9KV</v>
          </cell>
        </row>
        <row r="1118">
          <cell r="B1118">
            <v>5032329</v>
          </cell>
          <cell r="C1118" t="str">
            <v>COC</v>
          </cell>
          <cell r="D1118" t="str">
            <v>CABLE DE ENERGIA UNIPOLAR TP. N2XSY 70MM2 P.REDES SUBTERRANEAS EN 22,9KV</v>
          </cell>
        </row>
        <row r="1119">
          <cell r="B1119">
            <v>5032329</v>
          </cell>
          <cell r="C1119" t="str">
            <v>GEC</v>
          </cell>
          <cell r="D1119" t="str">
            <v>CABLE DE ENERGIA UNIPOLAR TP. N2XSY 70MM2 P.REDES SUBTERRANEAS EN 22,9KV</v>
          </cell>
        </row>
        <row r="1120">
          <cell r="B1120">
            <v>5032329</v>
          </cell>
          <cell r="C1120" t="str">
            <v>IND</v>
          </cell>
          <cell r="D1120" t="str">
            <v>CABLE DE ENERGIA UNIPOLAR TP. N2XSY 70MM2 P.REDES SUBTERRANEAS EN 22,9KV</v>
          </cell>
        </row>
        <row r="1121">
          <cell r="B1121">
            <v>5032329</v>
          </cell>
          <cell r="C1121" t="str">
            <v>NEX</v>
          </cell>
          <cell r="D1121" t="str">
            <v>CABLE DE ENERGIA UNIPOLAR TP. N2XSY 70MM2 P.REDES SUBTERRANEAS EN 22,9KV</v>
          </cell>
        </row>
        <row r="1122">
          <cell r="B1122">
            <v>5032331</v>
          </cell>
          <cell r="C1122" t="str">
            <v>CEP</v>
          </cell>
          <cell r="D1122" t="str">
            <v>CABLE DE ENERGIA UNIPOLAR TP. N2XSY 70MM2 C.ADITIVO P.REDES SUBTERRANEAS EN 22,9KV</v>
          </cell>
        </row>
        <row r="1123">
          <cell r="B1123">
            <v>5032331</v>
          </cell>
          <cell r="C1123" t="str">
            <v>COC</v>
          </cell>
          <cell r="D1123" t="str">
            <v>CABLE DE ENERGIA UNIPOLAR TP. N2XSY 70MM2 C.ADITIVO P.REDES SUBTERRANEAS EN 22,9KV</v>
          </cell>
        </row>
        <row r="1124">
          <cell r="B1124">
            <v>5032331</v>
          </cell>
          <cell r="C1124" t="str">
            <v>GEC</v>
          </cell>
          <cell r="D1124" t="str">
            <v>CABLE DE ENERGIA UNIPOLAR TP. N2XSY 70MM2 C.ADITIVO P.REDES SUBTERRANEAS EN 22,9KV</v>
          </cell>
        </row>
        <row r="1125">
          <cell r="B1125">
            <v>5032331</v>
          </cell>
          <cell r="C1125" t="str">
            <v>IND</v>
          </cell>
          <cell r="D1125" t="str">
            <v>CABLE DE ENERGIA UNIPOLAR TP. N2XSY 70MM2 C.ADITIVO P.REDES SUBTERRANEAS EN 22,9KV</v>
          </cell>
        </row>
        <row r="1126">
          <cell r="B1126">
            <v>5032331</v>
          </cell>
          <cell r="C1126" t="str">
            <v>NEX</v>
          </cell>
          <cell r="D1126" t="str">
            <v>CABLE DE ENERGIA UNIPOLAR TP. N2XSY 70MM2 C.ADITIVO P.REDES SUBTERRANEAS EN 22,9KV</v>
          </cell>
        </row>
        <row r="1127">
          <cell r="B1127">
            <v>5032333</v>
          </cell>
          <cell r="C1127" t="str">
            <v>CEP</v>
          </cell>
          <cell r="D1127" t="str">
            <v>CABLE DE ENERGIA UNIPOLAR TP. N2XSY 120MM2 C.ADITIVO P.REDES SUBTERRANEAS EN 22,9KV</v>
          </cell>
        </row>
        <row r="1128">
          <cell r="B1128">
            <v>5032333</v>
          </cell>
          <cell r="C1128" t="str">
            <v>COC</v>
          </cell>
          <cell r="D1128" t="str">
            <v>CABLE DE ENERGIA UNIPOLAR TP. N2XSY 120MM2 C.ADITIVO P.REDES SUBTERRANEAS EN 22,9KV</v>
          </cell>
        </row>
        <row r="1129">
          <cell r="B1129">
            <v>5032333</v>
          </cell>
          <cell r="C1129" t="str">
            <v>GEC</v>
          </cell>
          <cell r="D1129" t="str">
            <v>CABLE DE ENERGIA UNIPOLAR TP. N2XSY 120MM2 C.ADITIVO P.REDES SUBTERRANEAS EN 22,9KV</v>
          </cell>
        </row>
        <row r="1130">
          <cell r="B1130">
            <v>5032333</v>
          </cell>
          <cell r="C1130" t="str">
            <v>IND</v>
          </cell>
          <cell r="D1130" t="str">
            <v>CABLE DE ENERGIA UNIPOLAR TP. N2XSY 120MM2 C.ADITIVO P.REDES SUBTERRANEAS EN 22,9KV</v>
          </cell>
        </row>
        <row r="1131">
          <cell r="B1131">
            <v>5032333</v>
          </cell>
          <cell r="C1131" t="str">
            <v>NEX</v>
          </cell>
          <cell r="D1131" t="str">
            <v>CABLE DE ENERGIA UNIPOLAR TP. N2XSY 120MM2 C.ADITIVO P.REDES SUBTERRANEAS EN 22,9KV</v>
          </cell>
        </row>
        <row r="1132">
          <cell r="B1132">
            <v>5032335</v>
          </cell>
          <cell r="C1132" t="str">
            <v>CEP</v>
          </cell>
          <cell r="D1132" t="str">
            <v>CABLE DE ENERGIA UNIPOLAR TP. N2XSY 120MM2 P.REDES SUBTERRANEAS EN 22,9KV</v>
          </cell>
        </row>
        <row r="1133">
          <cell r="B1133">
            <v>5032335</v>
          </cell>
          <cell r="C1133" t="str">
            <v>CET</v>
          </cell>
          <cell r="D1133" t="str">
            <v>CABLE DE ENERGIA UNIPOLAR TP. N2XSY 120MM2 P.REDES SUBTERRANEAS EN 22,9KV</v>
          </cell>
        </row>
        <row r="1134">
          <cell r="B1134">
            <v>5032335</v>
          </cell>
          <cell r="C1134" t="str">
            <v>COC</v>
          </cell>
          <cell r="D1134" t="str">
            <v>CABLE DE ENERGIA UNIPOLAR TP. N2XSY 120MM2 P.REDES SUBTERRANEAS EN 22,9KV</v>
          </cell>
        </row>
        <row r="1135">
          <cell r="B1135">
            <v>5032335</v>
          </cell>
          <cell r="C1135" t="str">
            <v>GEC</v>
          </cell>
          <cell r="D1135" t="str">
            <v>CABLE DE ENERGIA UNIPOLAR TP. N2XSY 120MM2 P.REDES SUBTERRANEAS EN 22,9KV</v>
          </cell>
        </row>
        <row r="1136">
          <cell r="B1136">
            <v>5032335</v>
          </cell>
          <cell r="C1136" t="str">
            <v>IND</v>
          </cell>
          <cell r="D1136" t="str">
            <v>CABLE DE ENERGIA UNIPOLAR TP. N2XSY 120MM2 P.REDES SUBTERRANEAS EN 22,9KV</v>
          </cell>
        </row>
        <row r="1137">
          <cell r="B1137">
            <v>5032335</v>
          </cell>
          <cell r="C1137" t="str">
            <v>NEX</v>
          </cell>
          <cell r="D1137" t="str">
            <v>CABLE DE ENERGIA UNIPOLAR TP. N2XSY 120MM2 P.REDES SUBTERRANEAS EN 22,9KV</v>
          </cell>
        </row>
        <row r="1138">
          <cell r="B1138">
            <v>5032337</v>
          </cell>
          <cell r="C1138" t="str">
            <v>CEP</v>
          </cell>
          <cell r="D1138" t="str">
            <v>CABLE DE ENERGIA UNIPOLAR TP. N2XSY 240MM2 C.ADITIVO P.REDES SUBTERRANEAS EN 22,9KV</v>
          </cell>
        </row>
        <row r="1139">
          <cell r="B1139">
            <v>5032337</v>
          </cell>
          <cell r="C1139" t="str">
            <v>COC</v>
          </cell>
          <cell r="D1139" t="str">
            <v>CABLE DE ENERGIA UNIPOLAR TP. N2XSY 240MM2 C.ADITIVO P.REDES SUBTERRANEAS EN 22,9KV</v>
          </cell>
        </row>
        <row r="1140">
          <cell r="B1140">
            <v>5032337</v>
          </cell>
          <cell r="C1140" t="str">
            <v>GEC</v>
          </cell>
          <cell r="D1140" t="str">
            <v>CABLE DE ENERGIA UNIPOLAR TP. N2XSY 240MM2 C.ADITIVO P.REDES SUBTERRANEAS EN 22,9KV</v>
          </cell>
        </row>
        <row r="1141">
          <cell r="B1141">
            <v>5032337</v>
          </cell>
          <cell r="C1141" t="str">
            <v>IND</v>
          </cell>
          <cell r="D1141" t="str">
            <v>CABLE DE ENERGIA UNIPOLAR TP. N2XSY 240MM2 C.ADITIVO P.REDES SUBTERRANEAS EN 22,9KV</v>
          </cell>
        </row>
        <row r="1142">
          <cell r="B1142">
            <v>5032337</v>
          </cell>
          <cell r="C1142" t="str">
            <v>NEX</v>
          </cell>
          <cell r="D1142" t="str">
            <v>CABLE DE ENERGIA UNIPOLAR TP. N2XSY 240MM2 C.ADITIVO P.REDES SUBTERRANEAS EN 22,9KV</v>
          </cell>
        </row>
        <row r="1143">
          <cell r="B1143">
            <v>5032339</v>
          </cell>
          <cell r="C1143" t="str">
            <v>CEP</v>
          </cell>
          <cell r="D1143" t="str">
            <v>CABLE DE ENERGIA UNIPOLAR TP. N2XSY 240MM2 P.REDES SUBTERRANEAS EN 22,9KV</v>
          </cell>
        </row>
        <row r="1144">
          <cell r="B1144">
            <v>5032339</v>
          </cell>
          <cell r="C1144" t="str">
            <v>CET</v>
          </cell>
          <cell r="D1144" t="str">
            <v>CABLE DE ENERGIA UNIPOLAR TP. N2XSY 240MM2 P.REDES SUBTERRANEAS EN 22,9KV</v>
          </cell>
        </row>
        <row r="1145">
          <cell r="B1145">
            <v>5032339</v>
          </cell>
          <cell r="C1145" t="str">
            <v>COC</v>
          </cell>
          <cell r="D1145" t="str">
            <v>CABLE DE ENERGIA UNIPOLAR TP. N2XSY 240MM2 P.REDES SUBTERRANEAS EN 22,9KV</v>
          </cell>
        </row>
        <row r="1146">
          <cell r="B1146">
            <v>5032339</v>
          </cell>
          <cell r="C1146" t="str">
            <v>GEC</v>
          </cell>
          <cell r="D1146" t="str">
            <v>CABLE DE ENERGIA UNIPOLAR TP. N2XSY 240MM2 P.REDES SUBTERRANEAS EN 22,9KV</v>
          </cell>
        </row>
        <row r="1147">
          <cell r="B1147">
            <v>5032339</v>
          </cell>
          <cell r="C1147" t="str">
            <v>IND</v>
          </cell>
          <cell r="D1147" t="str">
            <v>CABLE DE ENERGIA UNIPOLAR TP. N2XSY 240MM2 P.REDES SUBTERRANEAS EN 22,9KV</v>
          </cell>
        </row>
        <row r="1148">
          <cell r="B1148">
            <v>5032339</v>
          </cell>
          <cell r="C1148" t="str">
            <v>NEX</v>
          </cell>
          <cell r="D1148" t="str">
            <v>CABLE DE ENERGIA UNIPOLAR TP. N2XSY 240MM2 P.REDES SUBTERRANEAS EN 22,9KV</v>
          </cell>
        </row>
        <row r="1149">
          <cell r="B1149">
            <v>5032510</v>
          </cell>
          <cell r="C1149" t="str">
            <v>CEP</v>
          </cell>
          <cell r="D1149" t="str">
            <v>CABLE DE ENERGIA UNIPOLAR TIPO NA2XY 1 X 240MM2 0,6 / 1KV</v>
          </cell>
        </row>
        <row r="1150">
          <cell r="B1150">
            <v>5032510</v>
          </cell>
          <cell r="C1150" t="str">
            <v>CET</v>
          </cell>
          <cell r="D1150" t="str">
            <v>CABLE DE ENERGIA UNIPOLAR TIPO NA2XY 1 X 240MM2 0,6 / 1KV</v>
          </cell>
        </row>
        <row r="1151">
          <cell r="B1151">
            <v>5032510</v>
          </cell>
          <cell r="C1151" t="str">
            <v>IND</v>
          </cell>
          <cell r="D1151" t="str">
            <v>CABLE DE ENERGIA UNIPOLAR TIPO NA2XY 1 X 240MM2 0,6 / 1KV</v>
          </cell>
        </row>
        <row r="1152">
          <cell r="B1152">
            <v>5032513</v>
          </cell>
          <cell r="C1152" t="str">
            <v>CEP</v>
          </cell>
          <cell r="D1152" t="str">
            <v>CABLE DE ENERGIA UNIPOLAR TIPO NA2XY 1 X 400MM2 0,6 / 1KV</v>
          </cell>
        </row>
        <row r="1153">
          <cell r="B1153">
            <v>5032513</v>
          </cell>
          <cell r="C1153" t="str">
            <v>CET</v>
          </cell>
          <cell r="D1153" t="str">
            <v>CABLE DE ENERGIA UNIPOLAR TIPO NA2XY 1 X 400MM2 0,6 / 1KV</v>
          </cell>
        </row>
        <row r="1154">
          <cell r="B1154">
            <v>5032513</v>
          </cell>
          <cell r="C1154" t="str">
            <v>IND</v>
          </cell>
          <cell r="D1154" t="str">
            <v>CABLE DE ENERGIA UNIPOLAR TIPO NA2XY 1 X 400MM2 0,6 / 1KV</v>
          </cell>
        </row>
        <row r="1155">
          <cell r="B1155">
            <v>5032537</v>
          </cell>
          <cell r="C1155" t="str">
            <v>ALC</v>
          </cell>
          <cell r="D1155" t="str">
            <v>CABLE DE ENERGIA TIPO NA2XSY 1 X 50MM2 PARA REDES SUBTERRANEAS 10KV</v>
          </cell>
        </row>
        <row r="1156">
          <cell r="B1156">
            <v>5032537</v>
          </cell>
          <cell r="C1156" t="str">
            <v>CEP</v>
          </cell>
          <cell r="D1156" t="str">
            <v>CABLE DE ENERGIA TIPO NA2XSY 1 X 50MM2 PARA REDES SUBTERRANEAS 10KV</v>
          </cell>
        </row>
        <row r="1157">
          <cell r="B1157">
            <v>5032537</v>
          </cell>
          <cell r="C1157" t="str">
            <v>CET</v>
          </cell>
          <cell r="D1157" t="str">
            <v>CABLE DE ENERGIA TIPO NA2XSY 1 X 50MM2 PARA REDES SUBTERRANEAS 10KV</v>
          </cell>
        </row>
        <row r="1158">
          <cell r="B1158">
            <v>5032537</v>
          </cell>
          <cell r="C1158" t="str">
            <v>CIM</v>
          </cell>
          <cell r="D1158" t="str">
            <v>CABLE DE ENERGIA TIPO NA2XSY 1 X 50MM2 PARA REDES SUBTERRANEAS 10KV</v>
          </cell>
        </row>
        <row r="1159">
          <cell r="B1159">
            <v>5032537</v>
          </cell>
          <cell r="C1159" t="str">
            <v>GEC</v>
          </cell>
          <cell r="D1159" t="str">
            <v>CABLE DE ENERGIA TIPO NA2XSY 1 X 50MM2 PARA REDES SUBTERRANEAS 10KV</v>
          </cell>
        </row>
        <row r="1160">
          <cell r="B1160">
            <v>5032537</v>
          </cell>
          <cell r="C1160" t="str">
            <v>IND</v>
          </cell>
          <cell r="D1160" t="str">
            <v>CABLE DE ENERGIA TIPO NA2XSY 1 X 50MM2 PARA REDES SUBTERRANEAS 10KV</v>
          </cell>
        </row>
        <row r="1161">
          <cell r="B1161">
            <v>5032537</v>
          </cell>
          <cell r="C1161" t="str">
            <v>PDI</v>
          </cell>
          <cell r="D1161" t="str">
            <v>CABLE DE ENERGIA TIPO NA2XSY 1 X 50MM2 PARA REDES SUBTERRANEAS 10KV</v>
          </cell>
        </row>
        <row r="1162">
          <cell r="B1162">
            <v>5032539</v>
          </cell>
          <cell r="C1162" t="str">
            <v>ALC</v>
          </cell>
          <cell r="D1162" t="str">
            <v>CABLE DE ENERGIA TIPO NA2XSY 1 X 95MM2 PARA REDES SUBTERRANEAS 10KV</v>
          </cell>
        </row>
        <row r="1163">
          <cell r="B1163">
            <v>5032539</v>
          </cell>
          <cell r="C1163" t="str">
            <v>CEP</v>
          </cell>
          <cell r="D1163" t="str">
            <v>CABLE DE ENERGIA TIPO NA2XSY 1 X 95MM2 PARA REDES SUBTERRANEAS 10KV</v>
          </cell>
        </row>
        <row r="1164">
          <cell r="B1164">
            <v>5032539</v>
          </cell>
          <cell r="C1164" t="str">
            <v>CET</v>
          </cell>
          <cell r="D1164" t="str">
            <v>CABLE DE ENERGIA TIPO NA2XSY 1 X 95MM2 PARA REDES SUBTERRANEAS 10KV</v>
          </cell>
        </row>
        <row r="1165">
          <cell r="B1165">
            <v>5032539</v>
          </cell>
          <cell r="C1165" t="str">
            <v>CIM</v>
          </cell>
          <cell r="D1165" t="str">
            <v>CABLE DE ENERGIA TIPO NA2XSY 1 X 95MM2 PARA REDES SUBTERRANEAS 10KV</v>
          </cell>
        </row>
        <row r="1166">
          <cell r="B1166">
            <v>5032539</v>
          </cell>
          <cell r="C1166" t="str">
            <v>GEC</v>
          </cell>
          <cell r="D1166" t="str">
            <v>CABLE DE ENERGIA TIPO NA2XSY 1 X 95MM2 PARA REDES SUBTERRANEAS 10KV</v>
          </cell>
        </row>
        <row r="1167">
          <cell r="B1167">
            <v>5032539</v>
          </cell>
          <cell r="C1167" t="str">
            <v>IND</v>
          </cell>
          <cell r="D1167" t="str">
            <v>CABLE DE ENERGIA TIPO NA2XSY 1 X 95MM2 PARA REDES SUBTERRANEAS 10KV</v>
          </cell>
        </row>
        <row r="1168">
          <cell r="B1168">
            <v>5032539</v>
          </cell>
          <cell r="C1168" t="str">
            <v>PDI</v>
          </cell>
          <cell r="D1168" t="str">
            <v>CABLE DE ENERGIA TIPO NA2XSY 1 X 95MM2 PARA REDES SUBTERRANEAS 10KV</v>
          </cell>
        </row>
        <row r="1169">
          <cell r="B1169">
            <v>5032540</v>
          </cell>
          <cell r="C1169" t="str">
            <v>ALC</v>
          </cell>
          <cell r="D1169" t="str">
            <v>CABLE DE ENERGIA TIPO NA2XSY 1 X 120MM2 PARA REDES SUBTERRANEAS 10KV</v>
          </cell>
        </row>
        <row r="1170">
          <cell r="B1170">
            <v>5032540</v>
          </cell>
          <cell r="C1170" t="str">
            <v>CEP</v>
          </cell>
          <cell r="D1170" t="str">
            <v>CABLE DE ENERGIA TIPO NA2XSY 1 X 120MM2 PARA REDES SUBTERRANEAS 10KV</v>
          </cell>
        </row>
        <row r="1171">
          <cell r="B1171">
            <v>5032540</v>
          </cell>
          <cell r="C1171" t="str">
            <v>CET</v>
          </cell>
          <cell r="D1171" t="str">
            <v>CABLE DE ENERGIA TIPO NA2XSY 1 X 120MM2 PARA REDES SUBTERRANEAS 10KV</v>
          </cell>
        </row>
        <row r="1172">
          <cell r="B1172">
            <v>5032540</v>
          </cell>
          <cell r="C1172" t="str">
            <v>CIM</v>
          </cell>
          <cell r="D1172" t="str">
            <v>CABLE DE ENERGIA TIPO NA2XSY 1 X 120MM2 PARA REDES SUBTERRANEAS 10KV</v>
          </cell>
        </row>
        <row r="1173">
          <cell r="B1173">
            <v>5032540</v>
          </cell>
          <cell r="C1173" t="str">
            <v>GEC</v>
          </cell>
          <cell r="D1173" t="str">
            <v>CABLE DE ENERGIA TIPO NA2XSY 1 X 120MM2 PARA REDES SUBTERRANEAS 10KV</v>
          </cell>
        </row>
        <row r="1174">
          <cell r="B1174">
            <v>5032540</v>
          </cell>
          <cell r="C1174" t="str">
            <v>IND</v>
          </cell>
          <cell r="D1174" t="str">
            <v>CABLE DE ENERGIA TIPO NA2XSY 1 X 120MM2 PARA REDES SUBTERRANEAS 10KV</v>
          </cell>
        </row>
        <row r="1175">
          <cell r="B1175">
            <v>5032540</v>
          </cell>
          <cell r="C1175" t="str">
            <v>PDI</v>
          </cell>
          <cell r="D1175" t="str">
            <v>CABLE DE ENERGIA TIPO NA2XSY 1 X 120MM2 PARA REDES SUBTERRANEAS 10KV</v>
          </cell>
        </row>
        <row r="1176">
          <cell r="B1176">
            <v>5032542</v>
          </cell>
          <cell r="C1176" t="str">
            <v>ALC</v>
          </cell>
          <cell r="D1176" t="str">
            <v>CABLE DE ENERGIA TIPO NA2XSY 1 X 185MM2 PARA REDES SUBTERRANEAS 10KV</v>
          </cell>
        </row>
        <row r="1177">
          <cell r="B1177">
            <v>5032542</v>
          </cell>
          <cell r="C1177" t="str">
            <v>CEP</v>
          </cell>
          <cell r="D1177" t="str">
            <v>CABLE DE ENERGIA TIPO NA2XSY 1 X 185MM2 PARA REDES SUBTERRANEAS 10KV</v>
          </cell>
        </row>
        <row r="1178">
          <cell r="B1178">
            <v>5032542</v>
          </cell>
          <cell r="C1178" t="str">
            <v>CET</v>
          </cell>
          <cell r="D1178" t="str">
            <v>CABLE DE ENERGIA TIPO NA2XSY 1 X 185MM2 PARA REDES SUBTERRANEAS 10KV</v>
          </cell>
        </row>
        <row r="1179">
          <cell r="B1179">
            <v>5032542</v>
          </cell>
          <cell r="C1179" t="str">
            <v>CIM</v>
          </cell>
          <cell r="D1179" t="str">
            <v>CABLE DE ENERGIA TIPO NA2XSY 1 X 185MM2 PARA REDES SUBTERRANEAS 10KV</v>
          </cell>
        </row>
        <row r="1180">
          <cell r="B1180">
            <v>5032542</v>
          </cell>
          <cell r="C1180" t="str">
            <v>GEC</v>
          </cell>
          <cell r="D1180" t="str">
            <v>CABLE DE ENERGIA TIPO NA2XSY 1 X 185MM2 PARA REDES SUBTERRANEAS 10KV</v>
          </cell>
        </row>
        <row r="1181">
          <cell r="B1181">
            <v>5032542</v>
          </cell>
          <cell r="C1181" t="str">
            <v>IND</v>
          </cell>
          <cell r="D1181" t="str">
            <v>CABLE DE ENERGIA TIPO NA2XSY 1 X 185MM2 PARA REDES SUBTERRANEAS 10KV</v>
          </cell>
        </row>
        <row r="1182">
          <cell r="B1182">
            <v>5032542</v>
          </cell>
          <cell r="C1182" t="str">
            <v>PDI</v>
          </cell>
          <cell r="D1182" t="str">
            <v>CABLE DE ENERGIA TIPO NA2XSY 1 X 185MM2 PARA REDES SUBTERRANEAS 10KV</v>
          </cell>
        </row>
        <row r="1183">
          <cell r="B1183">
            <v>5032545</v>
          </cell>
          <cell r="C1183" t="str">
            <v>ALC</v>
          </cell>
          <cell r="D1183" t="str">
            <v>CABLE DE ENERGIA TIPO NA2XSY 1 X 400MM2 PARA REDES SUBTERRANEAS 10KV</v>
          </cell>
        </row>
        <row r="1184">
          <cell r="B1184">
            <v>5032545</v>
          </cell>
          <cell r="C1184" t="str">
            <v>CEP</v>
          </cell>
          <cell r="D1184" t="str">
            <v>CABLE DE ENERGIA TIPO NA2XSY 1 X 400MM2 PARA REDES SUBTERRANEAS 10KV</v>
          </cell>
        </row>
        <row r="1185">
          <cell r="B1185">
            <v>5032545</v>
          </cell>
          <cell r="C1185" t="str">
            <v>CET</v>
          </cell>
          <cell r="D1185" t="str">
            <v>CABLE DE ENERGIA TIPO NA2XSY 1 X 400MM2 PARA REDES SUBTERRANEAS 10KV</v>
          </cell>
        </row>
        <row r="1186">
          <cell r="B1186">
            <v>5032545</v>
          </cell>
          <cell r="C1186" t="str">
            <v>CIM</v>
          </cell>
          <cell r="D1186" t="str">
            <v>CABLE DE ENERGIA TIPO NA2XSY 1 X 400MM2 PARA REDES SUBTERRANEAS 10KV</v>
          </cell>
        </row>
        <row r="1187">
          <cell r="B1187">
            <v>5032545</v>
          </cell>
          <cell r="C1187" t="str">
            <v>GEC</v>
          </cell>
          <cell r="D1187" t="str">
            <v>CABLE DE ENERGIA TIPO NA2XSY 1 X 400MM2 PARA REDES SUBTERRANEAS 10KV</v>
          </cell>
        </row>
        <row r="1188">
          <cell r="B1188">
            <v>5032545</v>
          </cell>
          <cell r="C1188" t="str">
            <v>IND</v>
          </cell>
          <cell r="D1188" t="str">
            <v>CABLE DE ENERGIA TIPO NA2XSY 1 X 400MM2 PARA REDES SUBTERRANEAS 10KV</v>
          </cell>
        </row>
        <row r="1189">
          <cell r="B1189">
            <v>5032545</v>
          </cell>
          <cell r="C1189" t="str">
            <v>PDI</v>
          </cell>
          <cell r="D1189" t="str">
            <v>CABLE DE ENERGIA TIPO NA2XSY 1 X 400MM2 PARA REDES SUBTERRANEAS 10KV</v>
          </cell>
        </row>
        <row r="1190">
          <cell r="B1190">
            <v>5032547</v>
          </cell>
          <cell r="C1190" t="str">
            <v>ALC</v>
          </cell>
          <cell r="D1190" t="str">
            <v>CABLE DE ENERGIA TIPO NA2XSY 1 X 50MM2 PARA REDES SUBTERRANEAS 22,9KV</v>
          </cell>
        </row>
        <row r="1191">
          <cell r="B1191">
            <v>5032547</v>
          </cell>
          <cell r="C1191" t="str">
            <v>CEP</v>
          </cell>
          <cell r="D1191" t="str">
            <v>CABLE DE ENERGIA TIPO NA2XSY 1 X 50MM2 PARA REDES SUBTERRANEAS 22,9KV</v>
          </cell>
        </row>
        <row r="1192">
          <cell r="B1192">
            <v>5032547</v>
          </cell>
          <cell r="C1192" t="str">
            <v>CET</v>
          </cell>
          <cell r="D1192" t="str">
            <v>CABLE DE ENERGIA TIPO NA2XSY 1 X 50MM2 PARA REDES SUBTERRANEAS 22,9KV</v>
          </cell>
        </row>
        <row r="1193">
          <cell r="B1193">
            <v>5032547</v>
          </cell>
          <cell r="C1193" t="str">
            <v>CIM</v>
          </cell>
          <cell r="D1193" t="str">
            <v>CABLE DE ENERGIA TIPO NA2XSY 1 X 50MM2 PARA REDES SUBTERRANEAS 22,9KV</v>
          </cell>
        </row>
        <row r="1194">
          <cell r="B1194">
            <v>5032547</v>
          </cell>
          <cell r="C1194" t="str">
            <v>GEC</v>
          </cell>
          <cell r="D1194" t="str">
            <v>CABLE DE ENERGIA TIPO NA2XSY 1 X 50MM2 PARA REDES SUBTERRANEAS 22,9KV</v>
          </cell>
        </row>
        <row r="1195">
          <cell r="B1195">
            <v>5032547</v>
          </cell>
          <cell r="C1195" t="str">
            <v>HOE</v>
          </cell>
          <cell r="D1195" t="str">
            <v>CABLE DE ENERGIA TIPO NA2XSY 1 X 50MM2 PARA REDES SUBTERRANEAS 22,9KV</v>
          </cell>
        </row>
        <row r="1196">
          <cell r="B1196">
            <v>5032547</v>
          </cell>
          <cell r="C1196" t="str">
            <v>IND</v>
          </cell>
          <cell r="D1196" t="str">
            <v>CABLE DE ENERGIA TIPO NA2XSY 1 X 50MM2 PARA REDES SUBTERRANEAS 22,9KV</v>
          </cell>
        </row>
        <row r="1197">
          <cell r="B1197">
            <v>5032547</v>
          </cell>
          <cell r="C1197" t="str">
            <v>PDI</v>
          </cell>
          <cell r="D1197" t="str">
            <v>CABLE DE ENERGIA TIPO NA2XSY 1 X 50MM2 PARA REDES SUBTERRANEAS 22,9KV</v>
          </cell>
        </row>
        <row r="1198">
          <cell r="B1198">
            <v>5032549</v>
          </cell>
          <cell r="C1198" t="str">
            <v>ALC</v>
          </cell>
          <cell r="D1198" t="str">
            <v>CABLE DE ENERGIA TIPO NA2XSY 1 X 95MM2 PARA REDES SUBTERRANEAS 22,9KV</v>
          </cell>
        </row>
        <row r="1199">
          <cell r="B1199">
            <v>5032549</v>
          </cell>
          <cell r="C1199" t="str">
            <v>CEP</v>
          </cell>
          <cell r="D1199" t="str">
            <v>CABLE DE ENERGIA TIPO NA2XSY 1 X 95MM2 PARA REDES SUBTERRANEAS 22,9KV</v>
          </cell>
        </row>
        <row r="1200">
          <cell r="B1200">
            <v>5032549</v>
          </cell>
          <cell r="C1200" t="str">
            <v>CET</v>
          </cell>
          <cell r="D1200" t="str">
            <v>CABLE DE ENERGIA TIPO NA2XSY 1 X 95MM2 PARA REDES SUBTERRANEAS 22,9KV</v>
          </cell>
        </row>
        <row r="1201">
          <cell r="B1201">
            <v>5032549</v>
          </cell>
          <cell r="C1201" t="str">
            <v>CIM</v>
          </cell>
          <cell r="D1201" t="str">
            <v>CABLE DE ENERGIA TIPO NA2XSY 1 X 95MM2 PARA REDES SUBTERRANEAS 22,9KV</v>
          </cell>
        </row>
        <row r="1202">
          <cell r="B1202">
            <v>5032549</v>
          </cell>
          <cell r="C1202" t="str">
            <v>GEC</v>
          </cell>
          <cell r="D1202" t="str">
            <v>CABLE DE ENERGIA TIPO NA2XSY 1 X 95MM2 PARA REDES SUBTERRANEAS 22,9KV</v>
          </cell>
        </row>
        <row r="1203">
          <cell r="B1203">
            <v>5032549</v>
          </cell>
          <cell r="C1203" t="str">
            <v>HOE</v>
          </cell>
          <cell r="D1203" t="str">
            <v>CABLE DE ENERGIA TIPO NA2XSY 1 X 95MM2 PARA REDES SUBTERRANEAS 22,9KV</v>
          </cell>
        </row>
        <row r="1204">
          <cell r="B1204">
            <v>5032549</v>
          </cell>
          <cell r="C1204" t="str">
            <v>IND</v>
          </cell>
          <cell r="D1204" t="str">
            <v>CABLE DE ENERGIA TIPO NA2XSY 1 X 95MM2 PARA REDES SUBTERRANEAS 22,9KV</v>
          </cell>
        </row>
        <row r="1205">
          <cell r="B1205">
            <v>5032549</v>
          </cell>
          <cell r="C1205" t="str">
            <v>PDI</v>
          </cell>
          <cell r="D1205" t="str">
            <v>CABLE DE ENERGIA TIPO NA2XSY 1 X 95MM2 PARA REDES SUBTERRANEAS 22,9KV</v>
          </cell>
        </row>
        <row r="1206">
          <cell r="B1206">
            <v>5032550</v>
          </cell>
          <cell r="C1206" t="str">
            <v>ALC</v>
          </cell>
          <cell r="D1206" t="str">
            <v>CABLE DE ENERGIA TIPO NA2XSY 1 X 120MM2 PARA REDES SUBTERRANEAS 22,9KV</v>
          </cell>
        </row>
        <row r="1207">
          <cell r="B1207">
            <v>5032550</v>
          </cell>
          <cell r="C1207" t="str">
            <v>CEP</v>
          </cell>
          <cell r="D1207" t="str">
            <v>CABLE DE ENERGIA TIPO NA2XSY 1 X 120MM2 PARA REDES SUBTERRANEAS 22,9KV</v>
          </cell>
        </row>
        <row r="1208">
          <cell r="B1208">
            <v>5032550</v>
          </cell>
          <cell r="C1208" t="str">
            <v>CET</v>
          </cell>
          <cell r="D1208" t="str">
            <v>CABLE DE ENERGIA TIPO NA2XSY 1 X 120MM2 PARA REDES SUBTERRANEAS 22,9KV</v>
          </cell>
        </row>
        <row r="1209">
          <cell r="B1209">
            <v>5032550</v>
          </cell>
          <cell r="C1209" t="str">
            <v>CIM</v>
          </cell>
          <cell r="D1209" t="str">
            <v>CABLE DE ENERGIA TIPO NA2XSY 1 X 120MM2 PARA REDES SUBTERRANEAS 22,9KV</v>
          </cell>
        </row>
        <row r="1210">
          <cell r="B1210">
            <v>5032550</v>
          </cell>
          <cell r="C1210" t="str">
            <v>GEC</v>
          </cell>
          <cell r="D1210" t="str">
            <v>CABLE DE ENERGIA TIPO NA2XSY 1 X 120MM2 PARA REDES SUBTERRANEAS 22,9KV</v>
          </cell>
        </row>
        <row r="1211">
          <cell r="B1211">
            <v>5032550</v>
          </cell>
          <cell r="C1211" t="str">
            <v>HOE</v>
          </cell>
          <cell r="D1211" t="str">
            <v>CABLE DE ENERGIA TIPO NA2XSY 1 X 120MM2 PARA REDES SUBTERRANEAS 22,9KV</v>
          </cell>
        </row>
        <row r="1212">
          <cell r="B1212">
            <v>5032550</v>
          </cell>
          <cell r="C1212" t="str">
            <v>IND</v>
          </cell>
          <cell r="D1212" t="str">
            <v>CABLE DE ENERGIA TIPO NA2XSY 1 X 120MM2 PARA REDES SUBTERRANEAS 22,9KV</v>
          </cell>
        </row>
        <row r="1213">
          <cell r="B1213">
            <v>5032550</v>
          </cell>
          <cell r="C1213" t="str">
            <v>PDI</v>
          </cell>
          <cell r="D1213" t="str">
            <v>CABLE DE ENERGIA TIPO NA2XSY 1 X 120MM2 PARA REDES SUBTERRANEAS 22,9KV</v>
          </cell>
        </row>
        <row r="1214">
          <cell r="B1214">
            <v>5032552</v>
          </cell>
          <cell r="C1214" t="str">
            <v>ALC</v>
          </cell>
          <cell r="D1214" t="str">
            <v>CABLE DE ENERGIA TIPO NA2XSY 1 X 185MM2 PARA REDES SUBTERRANEAS 22,9KV</v>
          </cell>
        </row>
        <row r="1215">
          <cell r="B1215">
            <v>5032552</v>
          </cell>
          <cell r="C1215" t="str">
            <v>CEP</v>
          </cell>
          <cell r="D1215" t="str">
            <v>CABLE DE ENERGIA TIPO NA2XSY 1 X 185MM2 PARA REDES SUBTERRANEAS 22,9KV</v>
          </cell>
        </row>
        <row r="1216">
          <cell r="B1216">
            <v>5032552</v>
          </cell>
          <cell r="C1216" t="str">
            <v>CET</v>
          </cell>
          <cell r="D1216" t="str">
            <v>CABLE DE ENERGIA TIPO NA2XSY 1 X 185MM2 PARA REDES SUBTERRANEAS 22,9KV</v>
          </cell>
        </row>
        <row r="1217">
          <cell r="B1217">
            <v>5032552</v>
          </cell>
          <cell r="C1217" t="str">
            <v>CIM</v>
          </cell>
          <cell r="D1217" t="str">
            <v>CABLE DE ENERGIA TIPO NA2XSY 1 X 185MM2 PARA REDES SUBTERRANEAS 22,9KV</v>
          </cell>
        </row>
        <row r="1218">
          <cell r="B1218">
            <v>5032552</v>
          </cell>
          <cell r="C1218" t="str">
            <v>GEC</v>
          </cell>
          <cell r="D1218" t="str">
            <v>CABLE DE ENERGIA TIPO NA2XSY 1 X 185MM2 PARA REDES SUBTERRANEAS 22,9KV</v>
          </cell>
        </row>
        <row r="1219">
          <cell r="B1219">
            <v>5032552</v>
          </cell>
          <cell r="C1219" t="str">
            <v>HOE</v>
          </cell>
          <cell r="D1219" t="str">
            <v>CABLE DE ENERGIA TIPO NA2XSY 1 X 185MM2 PARA REDES SUBTERRANEAS 22,9KV</v>
          </cell>
        </row>
        <row r="1220">
          <cell r="B1220">
            <v>5032552</v>
          </cell>
          <cell r="C1220" t="str">
            <v>IND</v>
          </cell>
          <cell r="D1220" t="str">
            <v>CABLE DE ENERGIA TIPO NA2XSY 1 X 185MM2 PARA REDES SUBTERRANEAS 22,9KV</v>
          </cell>
        </row>
        <row r="1221">
          <cell r="B1221">
            <v>5032552</v>
          </cell>
          <cell r="C1221" t="str">
            <v>PDI</v>
          </cell>
          <cell r="D1221" t="str">
            <v>CABLE DE ENERGIA TIPO NA2XSY 1 X 185MM2 PARA REDES SUBTERRANEAS 22,9KV</v>
          </cell>
        </row>
        <row r="1222">
          <cell r="B1222">
            <v>5032555</v>
          </cell>
          <cell r="C1222" t="str">
            <v>ALC</v>
          </cell>
          <cell r="D1222" t="str">
            <v>CABLE DE ENERGIA TIPO NA2XSY 1 X 400MM2 PARA REDES SUBTERRANEAS 22,9KV</v>
          </cell>
        </row>
        <row r="1223">
          <cell r="B1223">
            <v>5032555</v>
          </cell>
          <cell r="C1223" t="str">
            <v>CEP</v>
          </cell>
          <cell r="D1223" t="str">
            <v>CABLE DE ENERGIA TIPO NA2XSY 1 X 400MM2 PARA REDES SUBTERRANEAS 22,9KV</v>
          </cell>
        </row>
        <row r="1224">
          <cell r="B1224">
            <v>5032555</v>
          </cell>
          <cell r="C1224" t="str">
            <v>CET</v>
          </cell>
          <cell r="D1224" t="str">
            <v>CABLE DE ENERGIA TIPO NA2XSY 1 X 400MM2 PARA REDES SUBTERRANEAS 22,9KV</v>
          </cell>
        </row>
        <row r="1225">
          <cell r="B1225">
            <v>5032555</v>
          </cell>
          <cell r="C1225" t="str">
            <v>CIM</v>
          </cell>
          <cell r="D1225" t="str">
            <v>CABLE DE ENERGIA TIPO NA2XSY 1 X 400MM2 PARA REDES SUBTERRANEAS 22,9KV</v>
          </cell>
        </row>
        <row r="1226">
          <cell r="B1226">
            <v>5032555</v>
          </cell>
          <cell r="C1226" t="str">
            <v>GEC</v>
          </cell>
          <cell r="D1226" t="str">
            <v>CABLE DE ENERGIA TIPO NA2XSY 1 X 400MM2 PARA REDES SUBTERRANEAS 22,9KV</v>
          </cell>
        </row>
        <row r="1227">
          <cell r="B1227">
            <v>5032555</v>
          </cell>
          <cell r="C1227" t="str">
            <v>HOE</v>
          </cell>
          <cell r="D1227" t="str">
            <v>CABLE DE ENERGIA TIPO NA2XSY 1 X 400MM2 PARA REDES SUBTERRANEAS 22,9KV</v>
          </cell>
        </row>
        <row r="1228">
          <cell r="B1228">
            <v>5032555</v>
          </cell>
          <cell r="C1228" t="str">
            <v>IND</v>
          </cell>
          <cell r="D1228" t="str">
            <v>CABLE DE ENERGIA TIPO NA2XSY 1 X 400MM2 PARA REDES SUBTERRANEAS 22,9KV</v>
          </cell>
        </row>
        <row r="1229">
          <cell r="B1229">
            <v>5032555</v>
          </cell>
          <cell r="C1229" t="str">
            <v>PDI</v>
          </cell>
          <cell r="D1229" t="str">
            <v>CABLE DE ENERGIA TIPO NA2XSY 1 X 400MM2 PARA REDES SUBTERRANEAS 22,9KV</v>
          </cell>
        </row>
        <row r="1230">
          <cell r="B1230">
            <v>5034024</v>
          </cell>
          <cell r="C1230" t="str">
            <v>IND</v>
          </cell>
          <cell r="D1230" t="str">
            <v>CABLE ENERGIA NKY  8.7/15KV.TRIP.       3X 35  MM2</v>
          </cell>
        </row>
        <row r="1231">
          <cell r="B1231">
            <v>5034028</v>
          </cell>
          <cell r="C1231" t="str">
            <v>IND</v>
          </cell>
          <cell r="D1231" t="str">
            <v>CABLE ENERGIA NKY  8.7/15KV.TRIP. 3X 70 MM2</v>
          </cell>
        </row>
        <row r="1232">
          <cell r="B1232">
            <v>5034031</v>
          </cell>
          <cell r="C1232" t="str">
            <v>IND</v>
          </cell>
          <cell r="D1232" t="str">
            <v>CABLE ENERGIA NKY  8.7/15KV.TRIP.       3X120  MM2</v>
          </cell>
        </row>
        <row r="1233">
          <cell r="B1233">
            <v>5034043</v>
          </cell>
          <cell r="C1233" t="str">
            <v>IND</v>
          </cell>
          <cell r="D1233" t="str">
            <v>CABLE ENERGIA NKY  8.7/15KV.TRIP.       3X240  MM2</v>
          </cell>
        </row>
        <row r="1234">
          <cell r="B1234">
            <v>5061009</v>
          </cell>
          <cell r="C1234" t="str">
            <v>IND</v>
          </cell>
          <cell r="D1234" t="str">
            <v>ALAMBRE TELEF.TP.XT  O SIM.(22AWG) BIP. 2X 0.32MM2</v>
          </cell>
        </row>
        <row r="1235">
          <cell r="B1235">
            <v>5061109</v>
          </cell>
          <cell r="C1235" t="str">
            <v>IND</v>
          </cell>
          <cell r="D1235" t="str">
            <v>CABLE TELEF.CU.TP.XPT INST.DOMEST.BIP.  2X 0.32MM2</v>
          </cell>
        </row>
        <row r="1236">
          <cell r="B1236">
            <v>5061117</v>
          </cell>
          <cell r="C1236" t="str">
            <v>IND</v>
          </cell>
          <cell r="D1236" t="str">
            <v>ALAMBRE TELEF.AC.COBREADO P.ACOMET.BIP. 2X 0.82MM2</v>
          </cell>
        </row>
        <row r="1237">
          <cell r="B1237">
            <v>5061139</v>
          </cell>
          <cell r="C1237" t="str">
            <v>IND</v>
          </cell>
          <cell r="D1237" t="str">
            <v>CABLE TELEF.CU.TP.XPT INST.DOMEST.TRIP. 3X 0.32MM2</v>
          </cell>
        </row>
        <row r="1238">
          <cell r="B1238">
            <v>5061311</v>
          </cell>
          <cell r="C1238" t="str">
            <v>IND</v>
          </cell>
          <cell r="D1238" t="str">
            <v>CABLE TELEF.CU.INST.AEREA AUTOP. 25PRS.X  0.64 MM2</v>
          </cell>
        </row>
        <row r="1239">
          <cell r="B1239">
            <v>5061351</v>
          </cell>
          <cell r="C1239" t="str">
            <v>IND</v>
          </cell>
          <cell r="D1239" t="str">
            <v>CABLE TELEF.CU.INST.AEREA AUTOP. 12PRS.X  0,65 MM2</v>
          </cell>
        </row>
        <row r="1240">
          <cell r="B1240">
            <v>5061611</v>
          </cell>
          <cell r="C1240" t="str">
            <v>IND</v>
          </cell>
          <cell r="D1240" t="str">
            <v>CABLE TELEF.CU.INST.AEREA/SUBT.  12PRS.X  0.32 MM2</v>
          </cell>
        </row>
        <row r="1241">
          <cell r="B1241">
            <v>5061661</v>
          </cell>
          <cell r="C1241" t="str">
            <v>IND</v>
          </cell>
          <cell r="D1241" t="str">
            <v>CABLE TELEF.CU.INST.SUBTERRANEA  12PRS.X  0.65 MM2</v>
          </cell>
        </row>
        <row r="1242">
          <cell r="B1242">
            <v>5061703</v>
          </cell>
          <cell r="C1242" t="str">
            <v>IND</v>
          </cell>
          <cell r="D1242" t="str">
            <v>CABLE TELEF.TELECABLE INSTAL.INT. 3 LIN. X 0.32MM2</v>
          </cell>
        </row>
        <row r="1243">
          <cell r="B1243">
            <v>5061713</v>
          </cell>
          <cell r="C1243" t="str">
            <v>IND</v>
          </cell>
          <cell r="D1243" t="str">
            <v>CABLE TELEF.TELECABLE INSTAL.INT 21 LIN. X 0.32MM2</v>
          </cell>
        </row>
        <row r="1244">
          <cell r="B1244">
            <v>5061721</v>
          </cell>
          <cell r="C1244" t="str">
            <v>IND</v>
          </cell>
          <cell r="D1244" t="str">
            <v>CABLE TELEF.TELECABLE INSTAL.INT.51 LIN. X 0.32MM2</v>
          </cell>
        </row>
        <row r="1245">
          <cell r="B1245">
            <v>5062320</v>
          </cell>
          <cell r="C1245" t="str">
            <v>MAD</v>
          </cell>
          <cell r="D1245" t="str">
            <v>CABLE DE ENERGIA TRIPOLAR TP. SHD - GC 35MM2 C.TIERRA 10MM2 P.MINERIA COMO BY PASS EMEREGENCIA 10KV</v>
          </cell>
        </row>
        <row r="1246">
          <cell r="B1246">
            <v>5100128</v>
          </cell>
          <cell r="C1246" t="str">
            <v>RAY</v>
          </cell>
          <cell r="D1246" t="str">
            <v>SELLADOR DE DUCTOS C/CAB.ELECT, P/DIAM.INT.150MM.RDSS-150</v>
          </cell>
        </row>
        <row r="1247">
          <cell r="B1247">
            <v>5111102</v>
          </cell>
          <cell r="C1247" t="str">
            <v>P3M</v>
          </cell>
          <cell r="D1247" t="str">
            <v>EMPALME DERECHO - DERIVACION SIMETRICO UNIPOLAR AUTOFUNDENTE P.CABLE SECO 6-16 / 6-16MM2 B.T.</v>
          </cell>
        </row>
        <row r="1248">
          <cell r="B1248">
            <v>5111102</v>
          </cell>
          <cell r="C1248" t="str">
            <v>PLY</v>
          </cell>
          <cell r="D1248" t="str">
            <v>EMPALME DERECHO - DERIVACION SIMETRICO UNIPOLAR AUTOFUNDENTE P.CABLE SECO 6-16 / 6-16MM2 B.T.</v>
          </cell>
        </row>
        <row r="1249">
          <cell r="B1249">
            <v>5111106</v>
          </cell>
          <cell r="C1249" t="str">
            <v>RAY</v>
          </cell>
          <cell r="D1249" t="str">
            <v>EMP.UNIP.DER/DERIV.P.C.SECO B.T.6-35/6-35MM2.TERMOC.</v>
          </cell>
        </row>
        <row r="1250">
          <cell r="B1250">
            <v>5111122</v>
          </cell>
          <cell r="C1250" t="str">
            <v>P3M</v>
          </cell>
          <cell r="D1250" t="str">
            <v>EMPALME DERECHO - DERIVACION SIMETRICO UNIPOLAR AUTOFUNDENTE P.CABLE SECO 35 / 6-35MM2 B.T.</v>
          </cell>
        </row>
        <row r="1251">
          <cell r="B1251">
            <v>5111122</v>
          </cell>
          <cell r="C1251" t="str">
            <v>PLY</v>
          </cell>
          <cell r="D1251" t="str">
            <v>EMPALME DERECHO - DERIVACION SIMETRICO UNIPOLAR AUTOFUNDENTE P.CABLE SECO 35 / 6-35MM2 B.T.</v>
          </cell>
        </row>
        <row r="1252">
          <cell r="B1252">
            <v>5111138</v>
          </cell>
          <cell r="C1252" t="str">
            <v>P3M</v>
          </cell>
          <cell r="D1252" t="str">
            <v>EMPALME DERECHO - DERIVACION SIMETRICO UNIPOLAR AUTOFUNDENTE P.CABLE SECO 70 / 6-70MM2 B.T.</v>
          </cell>
        </row>
        <row r="1253">
          <cell r="B1253">
            <v>5111138</v>
          </cell>
          <cell r="C1253" t="str">
            <v>PLY</v>
          </cell>
          <cell r="D1253" t="str">
            <v>EMPALME DERECHO - DERIVACION SIMETRICO UNIPOLAR AUTOFUNDENTE P.CABLE SECO 70 / 6-70MM2 B.T.</v>
          </cell>
        </row>
        <row r="1254">
          <cell r="B1254">
            <v>5111142</v>
          </cell>
          <cell r="C1254" t="str">
            <v>RAY</v>
          </cell>
          <cell r="D1254" t="str">
            <v>EMP.SIM.DER/DERIV.P.C.SECO B.T.70-185/10-185MM2.TERMOC.</v>
          </cell>
        </row>
        <row r="1255">
          <cell r="B1255">
            <v>5111146</v>
          </cell>
          <cell r="C1255" t="str">
            <v>P3M</v>
          </cell>
          <cell r="D1255" t="str">
            <v>EMPALME DERECHO - DERIVACION SIMETRICO UNIPOLAR AUTOFUNDENTE P.CABLE SECO 120-185 / 10-185MM2 B.T.</v>
          </cell>
        </row>
        <row r="1256">
          <cell r="B1256">
            <v>5111146</v>
          </cell>
          <cell r="C1256" t="str">
            <v>PLY</v>
          </cell>
          <cell r="D1256" t="str">
            <v>EMPALME DERECHO - DERIVACION SIMETRICO UNIPOLAR AUTOFUNDENTE P.CABLE SECO 120-185 / 10-185MM2 B.T.</v>
          </cell>
        </row>
        <row r="1257">
          <cell r="B1257">
            <v>5111150</v>
          </cell>
          <cell r="C1257" t="str">
            <v>RAY</v>
          </cell>
          <cell r="D1257" t="str">
            <v>EMP.SIM.DER/DERIV.P.C.SECO B.T.240-300/10-300MM2.TERMOC.</v>
          </cell>
        </row>
        <row r="1258">
          <cell r="B1258">
            <v>5111154</v>
          </cell>
          <cell r="C1258" t="str">
            <v>P3M</v>
          </cell>
          <cell r="D1258" t="str">
            <v>EMPALME DERECHO - DERIVACION SIMETRICO UNIPOLAR AUTOFUNDENTE P.CABLE SECO 300 / 10-300MM2 B.T.</v>
          </cell>
        </row>
        <row r="1259">
          <cell r="B1259">
            <v>5111154</v>
          </cell>
          <cell r="C1259" t="str">
            <v>PLY</v>
          </cell>
          <cell r="D1259" t="str">
            <v>EMPALME DERECHO - DERIVACION SIMETRICO UNIPOLAR AUTOFUNDENTE P.CABLE SECO 300 / 10-300MM2 B.T.</v>
          </cell>
        </row>
        <row r="1260">
          <cell r="B1260">
            <v>5111180</v>
          </cell>
          <cell r="C1260" t="str">
            <v>RAY</v>
          </cell>
          <cell r="D1260" t="str">
            <v>EMPALME TERMOCONTRAIBLE UNIPOLAR DERECHO/DERIVACION P. CABLE SECO B.T. 6-16/6-16 MM2.</v>
          </cell>
        </row>
        <row r="1261">
          <cell r="B1261">
            <v>5111182</v>
          </cell>
          <cell r="C1261" t="str">
            <v>RAY</v>
          </cell>
          <cell r="D1261" t="str">
            <v>EMPALME TERMOCONTRAIBLE UNIPOLAR DERECHO/DERIVACION P. CABLE SECO B.T. 35/6-35 MM2.</v>
          </cell>
        </row>
        <row r="1262">
          <cell r="B1262">
            <v>5111184</v>
          </cell>
          <cell r="C1262" t="str">
            <v>RAY</v>
          </cell>
          <cell r="D1262" t="str">
            <v>EMPALME TERMOCONTRAIBLE UNIPOLAR DERECHO/DERIVACION P. CABLE SECO B.T. 70/6-70 MM2.</v>
          </cell>
        </row>
        <row r="1263">
          <cell r="B1263">
            <v>5111186</v>
          </cell>
          <cell r="C1263" t="str">
            <v>RAY</v>
          </cell>
          <cell r="D1263" t="str">
            <v>EMPALME TERMOCONTRAIBLE UNIPOLAR DERECHO/DERIVACION P. CABLE SECO B.T. 120-185/10-185 MM2.</v>
          </cell>
        </row>
        <row r="1264">
          <cell r="B1264">
            <v>5111188</v>
          </cell>
          <cell r="C1264" t="str">
            <v>RAY</v>
          </cell>
          <cell r="D1264" t="str">
            <v>EMPALME TERMOCONTRAIBLE UNIPOLAR DERECHO/DERIVACION P. CABLE SECO B.T. 300/10-300 MM2.</v>
          </cell>
        </row>
        <row r="1265">
          <cell r="B1265">
            <v>5111215</v>
          </cell>
          <cell r="C1265" t="str">
            <v>P3M</v>
          </cell>
          <cell r="D1265" t="str">
            <v>EMPALME DERECHO DERIVACION UNIPOLAR AUTOFUNDENTE P.CABLE SECO 6-120 / 1,5-120MM2 EN RED AEREA B.T.</v>
          </cell>
        </row>
        <row r="1266">
          <cell r="B1266">
            <v>5111216</v>
          </cell>
          <cell r="C1266" t="str">
            <v>P3M</v>
          </cell>
          <cell r="D1266" t="str">
            <v>EMPALME DERECHO DERIVACION UNIPOLAR AUTOFUNDENTE P.CABLE SECO 16-185 / 16-120MM2 EN RED AEREA B.T.</v>
          </cell>
        </row>
        <row r="1267">
          <cell r="B1267">
            <v>5111217</v>
          </cell>
          <cell r="C1267" t="str">
            <v>P3M</v>
          </cell>
          <cell r="D1267" t="str">
            <v>EMPALME DERECHO DERIVACION UNIPOLAR AUTOFUNDENTE P.CABLE SECO 300 / 120MM2 EN RED AEREA B.T.</v>
          </cell>
        </row>
        <row r="1268">
          <cell r="B1268">
            <v>5111218</v>
          </cell>
          <cell r="C1268" t="str">
            <v>P3M</v>
          </cell>
          <cell r="D1268" t="str">
            <v>EMPALME DERECHO DERIVACION UNIPOLAR AUTOFUNDENTE P.CABLE SECO 6-120 / 10-120MM2 CONEX. MONOFASICA BT</v>
          </cell>
        </row>
        <row r="1269">
          <cell r="B1269">
            <v>5111219</v>
          </cell>
          <cell r="C1269" t="str">
            <v>P3M</v>
          </cell>
          <cell r="D1269" t="str">
            <v>EMPALME DERECHO DERIVACION UNIPOLAR AUTOFUNDENTE P.CABLE SECO 16-185/16-120MM2 CONEX. MONOFASICA BT</v>
          </cell>
        </row>
        <row r="1270">
          <cell r="B1270">
            <v>5111220</v>
          </cell>
          <cell r="C1270" t="str">
            <v>P3M</v>
          </cell>
          <cell r="D1270" t="str">
            <v>EMPALME DERECHO DERIVACION UNIPOLAR AUTOFUNDENTE P.CABLE SECO 300 / 120MM2 CONEX. MONOFASICA EN BT</v>
          </cell>
        </row>
        <row r="1271">
          <cell r="B1271">
            <v>5111221</v>
          </cell>
          <cell r="C1271" t="str">
            <v>P3M</v>
          </cell>
          <cell r="D1271" t="str">
            <v>EMPALME DERECHO DERIVACION UNIPOLAR AUTOFUNDENTE P.CABLE SECO 6-120 / 10-120MM2 CONEX. TRIFASICA BT</v>
          </cell>
        </row>
        <row r="1272">
          <cell r="B1272">
            <v>5111222</v>
          </cell>
          <cell r="C1272" t="str">
            <v>P3M</v>
          </cell>
          <cell r="D1272" t="str">
            <v>EMPALME DERECHO DERIVACION UNIPOLAR AUTOFUNDENTE P.CABLE SECO 16-185 / 16-120MM2 CONEX. TRIFASICA BT</v>
          </cell>
        </row>
        <row r="1273">
          <cell r="B1273">
            <v>5111223</v>
          </cell>
          <cell r="C1273" t="str">
            <v>P3M</v>
          </cell>
          <cell r="D1273" t="str">
            <v>EMPALME DERECHO DERIVACION UNIPOLAR AUTOFUNDENTE P.CABLE SECO 300 / 120MM2 CONEX. TRIFASICA EN BT</v>
          </cell>
        </row>
        <row r="1274">
          <cell r="B1274">
            <v>5111250</v>
          </cell>
          <cell r="C1274" t="str">
            <v>RAY</v>
          </cell>
          <cell r="D1274" t="str">
            <v>EMPALME DERECHO / DERIVACION SIMETRICO UNIPOLAR TERMOCONTRAIBLE P.CABLE SECO 6-95 / 6-35MM2 B.T.</v>
          </cell>
        </row>
        <row r="1275">
          <cell r="B1275">
            <v>5111251</v>
          </cell>
          <cell r="C1275" t="str">
            <v>RAY</v>
          </cell>
          <cell r="D1275" t="str">
            <v>EMPALME DERECHO / DERIVACION SIMETRICO UNIPOLAR TERMOCONTRAIBLE P.CABLE SECO 120-500 / 6-35MM2 B.T.</v>
          </cell>
        </row>
        <row r="1276">
          <cell r="B1276">
            <v>5111252</v>
          </cell>
          <cell r="C1276" t="str">
            <v>RAY</v>
          </cell>
          <cell r="D1276" t="str">
            <v>EMPALME DERECHO / DERIVACION SIMETRICO UNIPOLAR TERMOCONTRAIBLE P.CABLE SECO 70-185 / 70-185MM2 B.T.</v>
          </cell>
        </row>
        <row r="1277">
          <cell r="B1277">
            <v>5111253</v>
          </cell>
          <cell r="C1277" t="str">
            <v>RAY</v>
          </cell>
          <cell r="D1277" t="str">
            <v>EMPALME DERECHO / DERIVACION SIMETRICO UNIPOLAR TERMOCONTRAIBLE P.CABLE SECO 240-300 / 70-300MM2 B.T</v>
          </cell>
        </row>
        <row r="1278">
          <cell r="B1278">
            <v>5111254</v>
          </cell>
          <cell r="C1278" t="str">
            <v>RAY</v>
          </cell>
          <cell r="D1278" t="str">
            <v>EMPALME DERECHO / DERIVACION SIMETRICO UNIPOLAR TERMOCONTRAIBLE P.CABLE SECO 500 / 70-500MM2 B.T.</v>
          </cell>
        </row>
        <row r="1279">
          <cell r="B1279">
            <v>5111260</v>
          </cell>
          <cell r="C1279" t="str">
            <v>P3M</v>
          </cell>
          <cell r="D1279" t="str">
            <v>EMPALME DERECHO DERIVACION SIMETRICO UNIPOLAR AUTOFUNDENTE P.CABLE SECO 6-16 / 6-16MM2 B.T.</v>
          </cell>
        </row>
        <row r="1280">
          <cell r="B1280">
            <v>5111261</v>
          </cell>
          <cell r="C1280" t="str">
            <v>P3M</v>
          </cell>
          <cell r="D1280" t="str">
            <v>EMPALME DERECHO DERIVACION SIMETRICO UNIPOLAR AUTOFUNDENTE P.CABLE SECO 35 / 6-35MM2 B.T.</v>
          </cell>
        </row>
        <row r="1281">
          <cell r="B1281">
            <v>5111262</v>
          </cell>
          <cell r="C1281" t="str">
            <v>P3M</v>
          </cell>
          <cell r="D1281" t="str">
            <v>EMPALME DERECHO DERIVACION SIMETRICO UNIPOLAR AUTOFUNDENTE P.CABLE SECO 35-95 / 6-35MM2 B.T.</v>
          </cell>
        </row>
        <row r="1282">
          <cell r="B1282">
            <v>5111263</v>
          </cell>
          <cell r="C1282" t="str">
            <v>P3M</v>
          </cell>
          <cell r="D1282" t="str">
            <v>EMPALME DERECHO DERIVACION SIMETRICO UNIPOLAR AUTOFUNDENTE P.CABLE SECO 70-95 / 70-95MM2 B.T.</v>
          </cell>
        </row>
        <row r="1283">
          <cell r="B1283">
            <v>5111264</v>
          </cell>
          <cell r="C1283" t="str">
            <v>P3M</v>
          </cell>
          <cell r="D1283" t="str">
            <v>EMPALME DERECHO DERIVACION SIMETRICO UNIPOLAR AUTOFUNDENTE P.CABLE SECO 120-185 / 6-35MM2 B.T.</v>
          </cell>
        </row>
        <row r="1284">
          <cell r="B1284">
            <v>5111265</v>
          </cell>
          <cell r="C1284" t="str">
            <v>P3M</v>
          </cell>
          <cell r="D1284" t="str">
            <v>EMPALME DERECHO DERIVACION SIMETRICO UNIPOLAR AUTOFUNDENTE P.CABLE SECO 120-185 / 70-185MM2 B.T.</v>
          </cell>
        </row>
        <row r="1285">
          <cell r="B1285">
            <v>5111266</v>
          </cell>
          <cell r="C1285" t="str">
            <v>P3M</v>
          </cell>
          <cell r="D1285" t="str">
            <v>EMPALME DERECHO DERIVACION SIMETRICO UNIPOLAR AUTOFUNDENTE P.CABLE SECO 240-300 / 6-35MM2 B.T.</v>
          </cell>
        </row>
        <row r="1286">
          <cell r="B1286">
            <v>5111267</v>
          </cell>
          <cell r="C1286" t="str">
            <v>P3M</v>
          </cell>
          <cell r="D1286" t="str">
            <v>EMPALME DERECHO DERIVACION SIMETRICO UNIPOLAR AUTOFUNDENTE P.CABLE SECO 240-300 / 70-300MM2 B.T.</v>
          </cell>
        </row>
        <row r="1287">
          <cell r="B1287">
            <v>5111268</v>
          </cell>
          <cell r="C1287" t="str">
            <v>P3M</v>
          </cell>
          <cell r="D1287" t="str">
            <v>EMPALME DERECHO DERIVACION SIMETRICO UNIPOLAR AUTOFUNDENTE P.CABLE SECO 500 / 6-35MM2 B.T.</v>
          </cell>
        </row>
        <row r="1288">
          <cell r="B1288">
            <v>5111269</v>
          </cell>
          <cell r="C1288" t="str">
            <v>P3M</v>
          </cell>
          <cell r="D1288" t="str">
            <v>EMPALME DERECHO DERIVACION SIMETRICO UNIPOLAR AUTOFUNDENTE P.CABLE SECO 500 / 70-120MM2 B.T.</v>
          </cell>
        </row>
        <row r="1289">
          <cell r="B1289">
            <v>5111270</v>
          </cell>
          <cell r="C1289" t="str">
            <v>P3M</v>
          </cell>
          <cell r="D1289" t="str">
            <v>EMPALME DERECHO DERIVACION SIMETRICO UNIPOLAR AUTOFUNDENTE P.CABLE SECO 500 / 240-500MM2 B.T.</v>
          </cell>
        </row>
        <row r="1290">
          <cell r="B1290">
            <v>5111563</v>
          </cell>
          <cell r="C1290" t="str">
            <v>P3M</v>
          </cell>
          <cell r="D1290" t="str">
            <v>EMPALME DERECHO - DERIVACION ASIMETRICO AUTOFUNDENTE P.CABLE NKY / CABLE SECO 35 / 6-35MM2 B.T.</v>
          </cell>
        </row>
        <row r="1291">
          <cell r="B1291">
            <v>5111563</v>
          </cell>
          <cell r="C1291" t="str">
            <v>PLY</v>
          </cell>
          <cell r="D1291" t="str">
            <v>EMPALME DERECHO - DERIVACION ASIMETRICO AUTOFUNDENTE P.CABLE NKY / CABLE SECO 35 / 6-35MM2 B.T.</v>
          </cell>
        </row>
        <row r="1292">
          <cell r="B1292">
            <v>5111564</v>
          </cell>
          <cell r="C1292" t="str">
            <v>RAY</v>
          </cell>
          <cell r="D1292" t="str">
            <v>EMPALME DERECHO - DERIVACION ASIMETRICO TERMOCONTRAIBLE P.CABLE NKY / CABLE SECO 35 / 6-35MM2 B.T.</v>
          </cell>
        </row>
        <row r="1293">
          <cell r="B1293">
            <v>5111569</v>
          </cell>
          <cell r="C1293" t="str">
            <v>P3M</v>
          </cell>
          <cell r="D1293" t="str">
            <v>EMPALME DERECHO - DERIVACION ASIMETRICO AUTOFUNDENTE P.CABLE NKY / CABLE SECO 70 / 6-70MM2 B.T.</v>
          </cell>
        </row>
        <row r="1294">
          <cell r="B1294">
            <v>5111569</v>
          </cell>
          <cell r="C1294" t="str">
            <v>PLY</v>
          </cell>
          <cell r="D1294" t="str">
            <v>EMPALME DERECHO - DERIVACION ASIMETRICO AUTOFUNDENTE P.CABLE NKY / CABLE SECO 70 / 6-70MM2 B.T.</v>
          </cell>
        </row>
        <row r="1295">
          <cell r="B1295">
            <v>5111570</v>
          </cell>
          <cell r="C1295" t="str">
            <v>RAY</v>
          </cell>
          <cell r="D1295" t="str">
            <v>EMPALME DERECHO - DERIVACION ASIMETRICO TERMOCONTRAIBLE P.CABLE NKY / CABLE SECO 70 / 6-70MM2 B.T.</v>
          </cell>
        </row>
        <row r="1296">
          <cell r="B1296">
            <v>5111579</v>
          </cell>
          <cell r="C1296" t="str">
            <v>EMY</v>
          </cell>
          <cell r="D1296" t="str">
            <v>EMPALME DERECHO - DERIVACION ASIMETRICO AUTOFUNDENTE P.CABLE NKY / CABLE SECO 120-185 / 10-185MM2 BT</v>
          </cell>
        </row>
        <row r="1297">
          <cell r="B1297">
            <v>5111579</v>
          </cell>
          <cell r="C1297" t="str">
            <v>P3M</v>
          </cell>
          <cell r="D1297" t="str">
            <v>EMPALME DERECHO - DERIVACION ASIMETRICO AUTOFUNDENTE P.CABLE NKY / CABLE SECO 120-185 / 10-185MM2 BT</v>
          </cell>
        </row>
        <row r="1298">
          <cell r="B1298">
            <v>5111579</v>
          </cell>
          <cell r="C1298" t="str">
            <v>PLY</v>
          </cell>
          <cell r="D1298" t="str">
            <v>EMPALME DERECHO - DERIVACION ASIMETRICO AUTOFUNDENTE P.CABLE NKY / CABLE SECO 120-185 / 10-185MM2 BT</v>
          </cell>
        </row>
        <row r="1299">
          <cell r="B1299">
            <v>5111580</v>
          </cell>
          <cell r="C1299" t="str">
            <v>RAY</v>
          </cell>
          <cell r="D1299" t="str">
            <v>EMPALME ASIM. DER./DERIV. B.T. 120-185/10-185 MM2.TERMOCONTRAIBLE</v>
          </cell>
        </row>
        <row r="1300">
          <cell r="B1300">
            <v>5111582</v>
          </cell>
          <cell r="C1300" t="str">
            <v>RAY</v>
          </cell>
          <cell r="D1300" t="str">
            <v>EMPALME ASIM.DER./DERIV. B.T. 300/10-300MM2.TERMOCONTRAIBLE</v>
          </cell>
        </row>
        <row r="1301">
          <cell r="B1301">
            <v>5111583</v>
          </cell>
          <cell r="C1301" t="str">
            <v>P3M</v>
          </cell>
          <cell r="D1301" t="str">
            <v>EMPALME DERECHO - DERIVACION ASIMETRICO AUTOFUNDENTE P.CABLE NKY / CABLE SECO 300 / 10-300MM2 B.T.</v>
          </cell>
        </row>
        <row r="1302">
          <cell r="B1302">
            <v>5111583</v>
          </cell>
          <cell r="C1302" t="str">
            <v>PLY</v>
          </cell>
          <cell r="D1302" t="str">
            <v>EMPALME DERECHO - DERIVACION ASIMETRICO AUTOFUNDENTE P.CABLE NKY / CABLE SECO 300 / 10-300MM2 B.T.</v>
          </cell>
        </row>
        <row r="1303">
          <cell r="B1303">
            <v>5111587</v>
          </cell>
          <cell r="C1303" t="str">
            <v>P3M</v>
          </cell>
          <cell r="D1303" t="str">
            <v>EMPALME DERECHO - DERIVACION ASIMETRICO AUTOFUNDENTE P.CABLE NKY / CABLE SECO 6-16 / 6-16MM2 B.T.</v>
          </cell>
        </row>
        <row r="1304">
          <cell r="B1304">
            <v>5111587</v>
          </cell>
          <cell r="C1304" t="str">
            <v>PLY</v>
          </cell>
          <cell r="D1304" t="str">
            <v>EMPALME DERECHO - DERIVACION ASIMETRICO AUTOFUNDENTE P.CABLE NKY / CABLE SECO 6-16 / 6-16MM2 B.T.</v>
          </cell>
        </row>
        <row r="1305">
          <cell r="B1305">
            <v>5111588</v>
          </cell>
          <cell r="C1305" t="str">
            <v>RAY</v>
          </cell>
          <cell r="D1305" t="str">
            <v>EMPALME DERECHO DERIVACION ASIMETRICO TRIPOLAR TERMOCONTRAIBLE P.CABLE NKY / SECO AL 6-16/6-16MM2</v>
          </cell>
        </row>
        <row r="1306">
          <cell r="B1306">
            <v>5111600</v>
          </cell>
          <cell r="C1306" t="str">
            <v>P3M</v>
          </cell>
          <cell r="D1306" t="str">
            <v>EMPALME DERECHO DERIVACION ASIMETRICO BIPOLAR AUTOFUNDENTE P.CABLE NKY / SECO AL 6-16/6-16MM2</v>
          </cell>
        </row>
        <row r="1307">
          <cell r="B1307">
            <v>5111605</v>
          </cell>
          <cell r="C1307" t="str">
            <v>P3M</v>
          </cell>
          <cell r="D1307" t="str">
            <v>EMPALME DERECHO DERIVACION ASIMETRICO TRIPOLAR AUTOFUNDENTE P.CABLE NKY / SECO AL 6-16/6-16MM2</v>
          </cell>
        </row>
        <row r="1308">
          <cell r="B1308">
            <v>5111606</v>
          </cell>
          <cell r="C1308" t="str">
            <v>P3M</v>
          </cell>
          <cell r="D1308" t="str">
            <v>EMPALME DERECHO DERIVACION ASIMETRICO TRIPOLAR AUTOFUNDENTE P.CABLE NKY / SECO AL 35/6-35MM2</v>
          </cell>
        </row>
        <row r="1309">
          <cell r="B1309">
            <v>5111607</v>
          </cell>
          <cell r="C1309" t="str">
            <v>P3M</v>
          </cell>
          <cell r="D1309" t="str">
            <v>EMPALME DERECHO DERIVACION ASIMETRICO TRIPOLAR AUTOFUNDENTE P.CABLE NKY / SECO AL 35-70/6-35MM2</v>
          </cell>
        </row>
        <row r="1310">
          <cell r="B1310">
            <v>5111608</v>
          </cell>
          <cell r="C1310" t="str">
            <v>P3M</v>
          </cell>
          <cell r="D1310" t="str">
            <v>EMPALME DERECHO DERIVACION ASIMETRICO TRIPOLAR AUTOFUNDENTE P.CABLE NKY / SECO AL 70/70-95MM2</v>
          </cell>
        </row>
        <row r="1311">
          <cell r="B1311">
            <v>5111609</v>
          </cell>
          <cell r="C1311" t="str">
            <v>P3M</v>
          </cell>
          <cell r="D1311" t="str">
            <v>EMPALME DERECHO DERIVACION ASIMETRICO TRIPOLAR AUTOFUNDENTE P.CABLE NKY / SECO AL 120-185/6-35MM2</v>
          </cell>
        </row>
        <row r="1312">
          <cell r="B1312">
            <v>5111610</v>
          </cell>
          <cell r="C1312" t="str">
            <v>P3M</v>
          </cell>
          <cell r="D1312" t="str">
            <v>EMPALME DERECHO DERIVACION ASIMETRICO TRIPOLAR AUTOFUNDENTE P.CABLE NKY / SECO AL 120-185/70-185MM2</v>
          </cell>
        </row>
        <row r="1313">
          <cell r="B1313">
            <v>5111611</v>
          </cell>
          <cell r="C1313" t="str">
            <v>P3M</v>
          </cell>
          <cell r="D1313" t="str">
            <v>EMPALME DERECHO DERIVACION ASIMETRICO TRIPOLAR AUTOFUNDENTE P.CABLE NKY / SECO AL 240-300/6-35MM2</v>
          </cell>
        </row>
        <row r="1314">
          <cell r="B1314">
            <v>5111612</v>
          </cell>
          <cell r="C1314" t="str">
            <v>P3M</v>
          </cell>
          <cell r="D1314" t="str">
            <v>EMPALME DERECHO DERIVACION ASIMETRICO TRIPOLAR AUTOFUNDENTE P.CABLE NKY / SECO AL 240-300/70-300MM2</v>
          </cell>
        </row>
        <row r="1315">
          <cell r="B1315">
            <v>5111613</v>
          </cell>
          <cell r="C1315" t="str">
            <v>P3M</v>
          </cell>
          <cell r="D1315" t="str">
            <v>EMPALME DERECHO DERIVACION ASIMETRICO TRIPOLAR AUTOFUNDENTE P.CABLE NKY / SECO AL 500/6-35MM2</v>
          </cell>
        </row>
        <row r="1316">
          <cell r="B1316">
            <v>5111614</v>
          </cell>
          <cell r="C1316" t="str">
            <v>P3M</v>
          </cell>
          <cell r="D1316" t="str">
            <v>EMPALME DERECHO DERIVACION ASIMETRICO TRIPOLAR AUTOFUNDENTE P.CABLE NKY / SECO AL 500/70-500MM2</v>
          </cell>
        </row>
        <row r="1317">
          <cell r="B1317">
            <v>5111622</v>
          </cell>
          <cell r="C1317" t="str">
            <v>RAY</v>
          </cell>
          <cell r="D1317" t="str">
            <v>TERMINAL TERMORREST.P.CABL.NKY     6- 10MM2.COMPL.</v>
          </cell>
        </row>
        <row r="1318">
          <cell r="B1318">
            <v>5111633</v>
          </cell>
          <cell r="C1318" t="str">
            <v>RAY</v>
          </cell>
          <cell r="D1318" t="str">
            <v>TERMINAL TERMORREST.P.CABL.NKY    16- 35MM2.S/TUBO</v>
          </cell>
        </row>
        <row r="1319">
          <cell r="B1319">
            <v>5112102</v>
          </cell>
          <cell r="C1319" t="str">
            <v>BUR</v>
          </cell>
          <cell r="D1319" t="str">
            <v>CONECTOR TERMINAL A COMPRESION DE COBRE P.CABLE 6MM2, SIMPLE FIJACION</v>
          </cell>
        </row>
        <row r="1320">
          <cell r="B1320">
            <v>5112102</v>
          </cell>
          <cell r="C1320" t="str">
            <v>FAS</v>
          </cell>
          <cell r="D1320" t="str">
            <v>CONECTOR TERMINAL A COMPRESION DE COBRE P.CABLE 6MM2, SIMPLE FIJACION</v>
          </cell>
        </row>
        <row r="1321">
          <cell r="B1321">
            <v>5112102</v>
          </cell>
          <cell r="C1321" t="str">
            <v>TAL</v>
          </cell>
          <cell r="D1321" t="str">
            <v>CONECTOR TERMINAL A COMPRESION DE COBRE P.CABLE 6MM2, SIMPLE FIJACION</v>
          </cell>
        </row>
        <row r="1322">
          <cell r="B1322">
            <v>5112106</v>
          </cell>
          <cell r="C1322" t="str">
            <v>BUR</v>
          </cell>
          <cell r="D1322" t="str">
            <v>CONECTOR TERMINAL A COMPRESION DE COBRE P.CABLE 10MM2, SIMPLE FIJACION</v>
          </cell>
        </row>
        <row r="1323">
          <cell r="B1323">
            <v>5112106</v>
          </cell>
          <cell r="C1323" t="str">
            <v>FAS</v>
          </cell>
          <cell r="D1323" t="str">
            <v>CONECTOR TERMINAL A COMPRESION DE COBRE P.CABLE 10MM2, SIMPLE FIJACION</v>
          </cell>
        </row>
        <row r="1324">
          <cell r="B1324">
            <v>5112106</v>
          </cell>
          <cell r="C1324" t="str">
            <v>TAL</v>
          </cell>
          <cell r="D1324" t="str">
            <v>CONECTOR TERMINAL A COMPRESION DE COBRE P.CABLE 10MM2, SIMPLE FIJACION</v>
          </cell>
        </row>
        <row r="1325">
          <cell r="B1325">
            <v>5112116</v>
          </cell>
          <cell r="C1325" t="str">
            <v>BUR</v>
          </cell>
          <cell r="D1325" t="str">
            <v>CONECTOR TERMINAL A COMPRESION DE COBRE P.CABLE 16MM2, SIMPLE FIJACION</v>
          </cell>
        </row>
        <row r="1326">
          <cell r="B1326">
            <v>5112116</v>
          </cell>
          <cell r="C1326" t="str">
            <v>FAS</v>
          </cell>
          <cell r="D1326" t="str">
            <v>CONECTOR TERMINAL A COMPRESION DE COBRE P.CABLE 16MM2, SIMPLE FIJACION</v>
          </cell>
        </row>
        <row r="1327">
          <cell r="B1327">
            <v>5112116</v>
          </cell>
          <cell r="C1327" t="str">
            <v>TAL</v>
          </cell>
          <cell r="D1327" t="str">
            <v>CONECTOR TERMINAL A COMPRESION DE COBRE P.CABLE 16MM2, SIMPLE FIJACION</v>
          </cell>
        </row>
        <row r="1328">
          <cell r="B1328">
            <v>5112122</v>
          </cell>
          <cell r="C1328" t="str">
            <v>BUR</v>
          </cell>
          <cell r="D1328" t="str">
            <v>CONECTOR TERMINAL A COMPRESION DE COBRE P.CABLE 25MM2, SIMPLE FIJACION</v>
          </cell>
        </row>
        <row r="1329">
          <cell r="B1329">
            <v>5112122</v>
          </cell>
          <cell r="C1329" t="str">
            <v>FAS</v>
          </cell>
          <cell r="D1329" t="str">
            <v>CONECTOR TERMINAL A COMPRESION DE COBRE P.CABLE 25MM2, SIMPLE FIJACION</v>
          </cell>
        </row>
        <row r="1330">
          <cell r="B1330">
            <v>5112122</v>
          </cell>
          <cell r="C1330" t="str">
            <v>TAL</v>
          </cell>
          <cell r="D1330" t="str">
            <v>CONECTOR TERMINAL A COMPRESION DE COBRE P.CABLE 25MM2, SIMPLE FIJACION</v>
          </cell>
        </row>
        <row r="1331">
          <cell r="B1331">
            <v>5112126</v>
          </cell>
          <cell r="C1331" t="str">
            <v>BUR</v>
          </cell>
          <cell r="D1331" t="str">
            <v>CONECTOR TERMINAL A COMPRESION DE COBRE P.CABLE 35MM2, SIMPLE FIJACION</v>
          </cell>
        </row>
        <row r="1332">
          <cell r="B1332">
            <v>5112126</v>
          </cell>
          <cell r="C1332" t="str">
            <v>FAS</v>
          </cell>
          <cell r="D1332" t="str">
            <v>CONECTOR TERMINAL A COMPRESION DE COBRE P.CABLE 35MM2, SIMPLE FIJACION</v>
          </cell>
        </row>
        <row r="1333">
          <cell r="B1333">
            <v>5112126</v>
          </cell>
          <cell r="C1333" t="str">
            <v>TAL</v>
          </cell>
          <cell r="D1333" t="str">
            <v>CONECTOR TERMINAL A COMPRESION DE COBRE P.CABLE 35MM2, SIMPLE FIJACION</v>
          </cell>
        </row>
        <row r="1334">
          <cell r="B1334">
            <v>5112201</v>
          </cell>
          <cell r="C1334" t="str">
            <v>BUR</v>
          </cell>
          <cell r="D1334" t="str">
            <v>CONECTOR TERMINAL A COMPRESION DE COBRE P.CABLE 35MM2, SIMPLE FIJACION P.PERNO 1/2" DIAM.</v>
          </cell>
        </row>
        <row r="1335">
          <cell r="B1335">
            <v>5112201</v>
          </cell>
          <cell r="C1335" t="str">
            <v>FAS</v>
          </cell>
          <cell r="D1335" t="str">
            <v>CONECTOR TERMINAL A COMPRESION DE COBRE P.CABLE 35MM2, SIMPLE FIJACION P.PERNO 1/2" DIAM.</v>
          </cell>
        </row>
        <row r="1336">
          <cell r="B1336">
            <v>5112201</v>
          </cell>
          <cell r="C1336" t="str">
            <v>TAL</v>
          </cell>
          <cell r="D1336" t="str">
            <v>CONECTOR TERMINAL A COMPRESION DE COBRE P.CABLE 35MM2, SIMPLE FIJACION P.PERNO 1/2" DIAM.</v>
          </cell>
        </row>
        <row r="1337">
          <cell r="B1337">
            <v>5112202</v>
          </cell>
          <cell r="C1337" t="str">
            <v>BUR</v>
          </cell>
          <cell r="D1337" t="str">
            <v>CONECTOR TERMINAL A COMPRESION DE COBRE P.CABLE 70MM2, SIMPLE FIJACION</v>
          </cell>
        </row>
        <row r="1338">
          <cell r="B1338">
            <v>5112202</v>
          </cell>
          <cell r="C1338" t="str">
            <v>FAS</v>
          </cell>
          <cell r="D1338" t="str">
            <v>CONECTOR TERMINAL A COMPRESION DE COBRE P.CABLE 70MM2, SIMPLE FIJACION</v>
          </cell>
        </row>
        <row r="1339">
          <cell r="B1339">
            <v>5112202</v>
          </cell>
          <cell r="C1339" t="str">
            <v>TAL</v>
          </cell>
          <cell r="D1339" t="str">
            <v>CONECTOR TERMINAL A COMPRESION DE COBRE P.CABLE 70MM2, SIMPLE FIJACION</v>
          </cell>
        </row>
        <row r="1340">
          <cell r="B1340">
            <v>5112216</v>
          </cell>
          <cell r="C1340" t="str">
            <v>BUR</v>
          </cell>
          <cell r="D1340" t="str">
            <v>CONECTOR TERMINAL A COMPRESION DE COBRE P.CABLE 120MM2, SIMPLE FIJACION</v>
          </cell>
        </row>
        <row r="1341">
          <cell r="B1341">
            <v>5112216</v>
          </cell>
          <cell r="C1341" t="str">
            <v>FAS</v>
          </cell>
          <cell r="D1341" t="str">
            <v>CONECTOR TERMINAL A COMPRESION DE COBRE P.CABLE 120MM2, SIMPLE FIJACION</v>
          </cell>
        </row>
        <row r="1342">
          <cell r="B1342">
            <v>5112216</v>
          </cell>
          <cell r="C1342" t="str">
            <v>TAL</v>
          </cell>
          <cell r="D1342" t="str">
            <v>CONECTOR TERMINAL A COMPRESION DE COBRE P.CABLE 120MM2, SIMPLE FIJACION</v>
          </cell>
        </row>
        <row r="1343">
          <cell r="B1343">
            <v>5112242</v>
          </cell>
          <cell r="C1343" t="str">
            <v>BUR</v>
          </cell>
          <cell r="D1343" t="str">
            <v>CONECTOR TERMINAL A COMPRESION DE COBRE P.CABLE 185MM2, SIMPLE FIJACION</v>
          </cell>
        </row>
        <row r="1344">
          <cell r="B1344">
            <v>5112242</v>
          </cell>
          <cell r="C1344" t="str">
            <v>FAS</v>
          </cell>
          <cell r="D1344" t="str">
            <v>CONECTOR TERMINAL A COMPRESION DE COBRE P.CABLE 185MM2, SIMPLE FIJACION</v>
          </cell>
        </row>
        <row r="1345">
          <cell r="B1345">
            <v>5112242</v>
          </cell>
          <cell r="C1345" t="str">
            <v>TAL</v>
          </cell>
          <cell r="D1345" t="str">
            <v>CONECTOR TERMINAL A COMPRESION DE COBRE P.CABLE 185MM2, SIMPLE FIJACION</v>
          </cell>
        </row>
        <row r="1346">
          <cell r="B1346">
            <v>5112246</v>
          </cell>
          <cell r="C1346" t="str">
            <v>BUR</v>
          </cell>
          <cell r="D1346" t="str">
            <v>CONECTOR TERMINAL A COMPRESION DE COBRE P.CABLE 240MM2, SIMPLE FIJACION</v>
          </cell>
        </row>
        <row r="1347">
          <cell r="B1347">
            <v>5112246</v>
          </cell>
          <cell r="C1347" t="str">
            <v>FAS</v>
          </cell>
          <cell r="D1347" t="str">
            <v>CONECTOR TERMINAL A COMPRESION DE COBRE P.CABLE 240MM2, SIMPLE FIJACION</v>
          </cell>
        </row>
        <row r="1348">
          <cell r="B1348">
            <v>5112246</v>
          </cell>
          <cell r="C1348" t="str">
            <v>TAL</v>
          </cell>
          <cell r="D1348" t="str">
            <v>CONECTOR TERMINAL A COMPRESION DE COBRE P.CABLE 240MM2, SIMPLE FIJACION</v>
          </cell>
        </row>
        <row r="1349">
          <cell r="B1349">
            <v>5112254</v>
          </cell>
          <cell r="C1349" t="str">
            <v>BUR</v>
          </cell>
          <cell r="D1349" t="str">
            <v>CONECTOR TERMINAL A COMPRESION DE COBRE P.CABLE 50MM2 SIMPLE FIJACION</v>
          </cell>
        </row>
        <row r="1350">
          <cell r="B1350">
            <v>5112262</v>
          </cell>
          <cell r="C1350" t="str">
            <v>BUR</v>
          </cell>
          <cell r="D1350" t="str">
            <v>CONECTOR TERMINAL A COMPRESION DE COBRE P.CABLE 300MM2, SIMPLE FIJACION</v>
          </cell>
        </row>
        <row r="1351">
          <cell r="B1351">
            <v>5112262</v>
          </cell>
          <cell r="C1351" t="str">
            <v>FAS</v>
          </cell>
          <cell r="D1351" t="str">
            <v>CONECTOR TERMINAL A COMPRESION DE COBRE P.CABLE 300MM2, SIMPLE FIJACION</v>
          </cell>
        </row>
        <row r="1352">
          <cell r="B1352">
            <v>5112262</v>
          </cell>
          <cell r="C1352" t="str">
            <v>TAL</v>
          </cell>
          <cell r="D1352" t="str">
            <v>CONECTOR TERMINAL A COMPRESION DE COBRE P.CABLE 300MM2, SIMPLE FIJACION</v>
          </cell>
        </row>
        <row r="1353">
          <cell r="B1353">
            <v>5112264</v>
          </cell>
          <cell r="C1353" t="str">
            <v>BUR</v>
          </cell>
          <cell r="D1353" t="str">
            <v>CONECTOR TERMINAL A COMPRENSION DE AA 35 MM2</v>
          </cell>
        </row>
        <row r="1354">
          <cell r="B1354">
            <v>5112266</v>
          </cell>
          <cell r="C1354" t="str">
            <v>BUR</v>
          </cell>
          <cell r="D1354" t="str">
            <v>CONECTOR TERMINAL A COMPRENSION DE AA 70 MM2</v>
          </cell>
        </row>
        <row r="1355">
          <cell r="B1355">
            <v>5112268</v>
          </cell>
          <cell r="C1355" t="str">
            <v>BUR</v>
          </cell>
          <cell r="D1355" t="str">
            <v>CONECTOR TERMINAL A COMPRENSION DE AA 120 MM2</v>
          </cell>
        </row>
        <row r="1356">
          <cell r="B1356">
            <v>5112269</v>
          </cell>
          <cell r="C1356" t="str">
            <v>BUR</v>
          </cell>
          <cell r="D1356" t="str">
            <v>CONECTOR TERMINAL A COMPRESION DE AA 185MM2</v>
          </cell>
        </row>
        <row r="1357">
          <cell r="B1357">
            <v>5112310</v>
          </cell>
          <cell r="C1357" t="str">
            <v>AMP</v>
          </cell>
          <cell r="D1357" t="str">
            <v>CONECTOR TIP."C"CU.ELECT.ESTAÑ. A COMPRES. 6/1,5-4MM2 BT (AMP)</v>
          </cell>
        </row>
        <row r="1358">
          <cell r="B1358">
            <v>5112314</v>
          </cell>
          <cell r="C1358" t="str">
            <v>AMP</v>
          </cell>
          <cell r="D1358" t="str">
            <v>CONECTOR TIP."C"CU.ELECT.ESTAÑ. A COMPRES. 16-25/1,5-16MM2 BT (AMP)</v>
          </cell>
        </row>
        <row r="1359">
          <cell r="B1359">
            <v>5112316</v>
          </cell>
          <cell r="C1359" t="str">
            <v>AMP</v>
          </cell>
          <cell r="D1359" t="str">
            <v>CONECTOR TIP."C"CU.ELECT.ESTAÑ. A COMPRES. 25-35/1,5-25MM2 BT (AMP)</v>
          </cell>
        </row>
        <row r="1360">
          <cell r="B1360">
            <v>5112318</v>
          </cell>
          <cell r="C1360" t="str">
            <v>AMP</v>
          </cell>
          <cell r="D1360" t="str">
            <v>CONECTOR TIP."C"CU.ELECT.ESTAÑ. A COMPRES. 35-50/1,5-35MM2 BT (AMP)</v>
          </cell>
        </row>
        <row r="1361">
          <cell r="B1361">
            <v>5112320</v>
          </cell>
          <cell r="C1361" t="str">
            <v>AMP</v>
          </cell>
          <cell r="D1361" t="str">
            <v>CONECTOR TIP."C"CU.ELECT.ESTAÑ. A COMPRES. 50-70/1,5-50MM2 BT (AMP)</v>
          </cell>
        </row>
        <row r="1362">
          <cell r="B1362">
            <v>5112322</v>
          </cell>
          <cell r="C1362" t="str">
            <v>AMP</v>
          </cell>
          <cell r="D1362" t="str">
            <v>CONECTOR TIP."C"CU.ELECT.ESTAÑ. A COMPRES. 70/35-70MM2 BT (AMP)</v>
          </cell>
        </row>
        <row r="1363">
          <cell r="B1363">
            <v>5112339</v>
          </cell>
          <cell r="C1363" t="str">
            <v>AMP</v>
          </cell>
          <cell r="D1363" t="str">
            <v>CONECTOR TIP."C"CU.ELECT.ESTAÑ. A COMPRES. 25/16-25MM2 BT (3M)</v>
          </cell>
        </row>
        <row r="1364">
          <cell r="B1364">
            <v>5112339</v>
          </cell>
          <cell r="C1364" t="str">
            <v>BUR</v>
          </cell>
          <cell r="D1364" t="str">
            <v>CONECTOR TIP."C"CU.ELECT.ESTAÑ. A COMPRES. 25/16-25MM2 BT (3M)</v>
          </cell>
        </row>
        <row r="1365">
          <cell r="B1365">
            <v>5112339</v>
          </cell>
          <cell r="C1365" t="str">
            <v>CEM</v>
          </cell>
          <cell r="D1365" t="str">
            <v>CONECTOR TIP."C"CU.ELECT.ESTAÑ. A COMPRES. 25/16-25MM2 BT (3M)</v>
          </cell>
        </row>
        <row r="1366">
          <cell r="B1366">
            <v>5112341</v>
          </cell>
          <cell r="C1366" t="str">
            <v>AMP</v>
          </cell>
          <cell r="D1366" t="str">
            <v>CONECTOR TIP."C"CU.ELECT.ESTAÑ. A COMPRES. 10/1,5-10MM2 BT (3M)</v>
          </cell>
        </row>
        <row r="1367">
          <cell r="B1367">
            <v>5112341</v>
          </cell>
          <cell r="C1367" t="str">
            <v>BUR</v>
          </cell>
          <cell r="D1367" t="str">
            <v>CONECTOR TIP."C"CU.ELECT.ESTAÑ. A COMPRES. 10/1,5-10MM2 BT (3M)</v>
          </cell>
        </row>
        <row r="1368">
          <cell r="B1368">
            <v>5112341</v>
          </cell>
          <cell r="C1368" t="str">
            <v>CEM</v>
          </cell>
          <cell r="D1368" t="str">
            <v>CONECTOR TIP."C"CU.ELECT.ESTAÑ. A COMPRES. 10/1,5-10MM2 BT (3M)</v>
          </cell>
        </row>
        <row r="1369">
          <cell r="B1369">
            <v>5112342</v>
          </cell>
          <cell r="C1369" t="str">
            <v>AMP</v>
          </cell>
          <cell r="D1369" t="str">
            <v>CONECTOR TIP."C"CU.ELECT.ESTAÑ. A COMPRES. 16/1,5-16MM2 BT (3M)</v>
          </cell>
        </row>
        <row r="1370">
          <cell r="B1370">
            <v>5112342</v>
          </cell>
          <cell r="C1370" t="str">
            <v>BUR</v>
          </cell>
          <cell r="D1370" t="str">
            <v>CONECTOR TIP."C"CU.ELECT.ESTAÑ. A COMPRES. 16/1,5-16MM2 BT (3M)</v>
          </cell>
        </row>
        <row r="1371">
          <cell r="B1371">
            <v>5112342</v>
          </cell>
          <cell r="C1371" t="str">
            <v>CEM</v>
          </cell>
          <cell r="D1371" t="str">
            <v>CONECTOR TIP."C"CU.ELECT.ESTAÑ. A COMPRES. 16/1,5-16MM2 BT (3M)</v>
          </cell>
        </row>
        <row r="1372">
          <cell r="B1372">
            <v>5112368</v>
          </cell>
          <cell r="C1372" t="str">
            <v>TAL</v>
          </cell>
          <cell r="D1372" t="str">
            <v>DERIVACION DE BRONCE PARA EMPALME       70/ 35MM2.</v>
          </cell>
        </row>
        <row r="1373">
          <cell r="B1373">
            <v>5112372</v>
          </cell>
          <cell r="C1373" t="str">
            <v>TAL</v>
          </cell>
          <cell r="D1373" t="str">
            <v>DERIVACION DE BRONCE PARA EMPALME       70/ 70MM2.</v>
          </cell>
        </row>
        <row r="1374">
          <cell r="B1374">
            <v>5112376</v>
          </cell>
          <cell r="C1374" t="str">
            <v>TAL</v>
          </cell>
          <cell r="D1374" t="str">
            <v>UNION TUB. CU. ESTAÑADO TABIC. COMPR. P/ EMPALME ASIM. 16-25MM2</v>
          </cell>
        </row>
        <row r="1375">
          <cell r="B1375">
            <v>5112378</v>
          </cell>
          <cell r="C1375" t="str">
            <v>TAL</v>
          </cell>
          <cell r="D1375" t="str">
            <v>UNION TUB. CU. ESTAÑADO TAB. COMPR. P. CABLES DIF. SECCION 35/16MM2</v>
          </cell>
        </row>
        <row r="1376">
          <cell r="B1376">
            <v>5112381</v>
          </cell>
          <cell r="C1376" t="str">
            <v>TAL</v>
          </cell>
          <cell r="D1376" t="str">
            <v>UNION TUB. CU. ESTAÑADO TABIC. COMPR. P/ EMPALME ASIM. 25-35MM2</v>
          </cell>
        </row>
        <row r="1377">
          <cell r="B1377">
            <v>5112382</v>
          </cell>
          <cell r="C1377" t="str">
            <v>TAL</v>
          </cell>
          <cell r="D1377" t="str">
            <v>UNION TUB. CU. ESTAÑADO TABIC. COMPR. P/ EMPALME ASIM. 35-50MM2</v>
          </cell>
        </row>
        <row r="1378">
          <cell r="B1378">
            <v>5112383</v>
          </cell>
          <cell r="C1378" t="str">
            <v>TAL</v>
          </cell>
          <cell r="D1378" t="str">
            <v>UNION.CU.TABICADA.ESTA?ADAS.70-25MM2.</v>
          </cell>
        </row>
        <row r="1379">
          <cell r="B1379">
            <v>5112384</v>
          </cell>
          <cell r="C1379" t="str">
            <v>TAL</v>
          </cell>
          <cell r="D1379" t="str">
            <v>UNION TUB. CU. ESTAÑADO TABIC. COMPR. P/ EMPALME ASIM. 50-70MM2</v>
          </cell>
        </row>
        <row r="1380">
          <cell r="B1380">
            <v>5112390</v>
          </cell>
          <cell r="C1380" t="str">
            <v>TAL</v>
          </cell>
          <cell r="D1380" t="str">
            <v>UNION TUB. CU. ESTAÑADO TABIC. COMPR. P/ EMPALME ASIM. 120-240MM2</v>
          </cell>
        </row>
        <row r="1381">
          <cell r="B1381">
            <v>5112396</v>
          </cell>
          <cell r="C1381" t="str">
            <v>BUR</v>
          </cell>
          <cell r="D1381" t="str">
            <v>CONECTOR EN DERIVACION EN C DE COBRE RECOCIDO P.CONDUCTOR 16-35MM2 / 16-35MM2</v>
          </cell>
        </row>
        <row r="1382">
          <cell r="B1382">
            <v>5112402</v>
          </cell>
          <cell r="C1382" t="str">
            <v>BUR</v>
          </cell>
          <cell r="D1382" t="str">
            <v>UNION CU.DERECHA ABIERTA PARA CONDUCTOR      6MM2.</v>
          </cell>
        </row>
        <row r="1383">
          <cell r="B1383">
            <v>5112402</v>
          </cell>
          <cell r="C1383" t="str">
            <v>FAS</v>
          </cell>
          <cell r="D1383" t="str">
            <v>UNION CU.DERECHA ABIERTA PARA CONDUCTOR      6MM2.</v>
          </cell>
        </row>
        <row r="1384">
          <cell r="B1384">
            <v>5112402</v>
          </cell>
          <cell r="C1384" t="str">
            <v>TAL</v>
          </cell>
          <cell r="D1384" t="str">
            <v>UNION CU.DERECHA ABIERTA PARA CONDUCTOR      6MM2.</v>
          </cell>
        </row>
        <row r="1385">
          <cell r="B1385">
            <v>5112406</v>
          </cell>
          <cell r="C1385" t="str">
            <v>BUR</v>
          </cell>
          <cell r="D1385" t="str">
            <v>UNION CU.DERECHA ABIERTA PARA CONDUCTOR     10MM2.</v>
          </cell>
        </row>
        <row r="1386">
          <cell r="B1386">
            <v>5112406</v>
          </cell>
          <cell r="C1386" t="str">
            <v>FAS</v>
          </cell>
          <cell r="D1386" t="str">
            <v>UNION CU.DERECHA ABIERTA PARA CONDUCTOR     10MM2.</v>
          </cell>
        </row>
        <row r="1387">
          <cell r="B1387">
            <v>5112406</v>
          </cell>
          <cell r="C1387" t="str">
            <v>TAL</v>
          </cell>
          <cell r="D1387" t="str">
            <v>UNION CU.DERECHA ABIERTA PARA CONDUCTOR     10MM2.</v>
          </cell>
        </row>
        <row r="1388">
          <cell r="B1388">
            <v>5112416</v>
          </cell>
          <cell r="C1388" t="str">
            <v>BUR</v>
          </cell>
          <cell r="D1388" t="str">
            <v>UNION CU.DERECHA ABIERTA PARA CONDUCTOR     16MM2.</v>
          </cell>
        </row>
        <row r="1389">
          <cell r="B1389">
            <v>5112416</v>
          </cell>
          <cell r="C1389" t="str">
            <v>FAS</v>
          </cell>
          <cell r="D1389" t="str">
            <v>UNION CU.DERECHA ABIERTA PARA CONDUCTOR     16MM2.</v>
          </cell>
        </row>
        <row r="1390">
          <cell r="B1390">
            <v>5112416</v>
          </cell>
          <cell r="C1390" t="str">
            <v>TAL</v>
          </cell>
          <cell r="D1390" t="str">
            <v>UNION CU.DERECHA ABIERTA PARA CONDUCTOR     16MM2.</v>
          </cell>
        </row>
        <row r="1391">
          <cell r="B1391">
            <v>5112426</v>
          </cell>
          <cell r="C1391" t="str">
            <v>BUR</v>
          </cell>
          <cell r="D1391" t="str">
            <v>UNION CU.DERECHA ABIERTA PARA CONDUCTOR     35MM2.</v>
          </cell>
        </row>
        <row r="1392">
          <cell r="B1392">
            <v>5112426</v>
          </cell>
          <cell r="C1392" t="str">
            <v>FAS</v>
          </cell>
          <cell r="D1392" t="str">
            <v>UNION CU.DERECHA ABIERTA PARA CONDUCTOR     35MM2.</v>
          </cell>
        </row>
        <row r="1393">
          <cell r="B1393">
            <v>5112426</v>
          </cell>
          <cell r="C1393" t="str">
            <v>TAL</v>
          </cell>
          <cell r="D1393" t="str">
            <v>UNION CU.DERECHA ABIERTA PARA CONDUCTOR     35MM2.</v>
          </cell>
        </row>
        <row r="1394">
          <cell r="B1394">
            <v>5112432</v>
          </cell>
          <cell r="C1394" t="str">
            <v>BUR</v>
          </cell>
          <cell r="D1394" t="str">
            <v>UNION CU.DERECHA ABIERTA PARA CONDUCTOR     70MM2.</v>
          </cell>
        </row>
        <row r="1395">
          <cell r="B1395">
            <v>5112432</v>
          </cell>
          <cell r="C1395" t="str">
            <v>FAS</v>
          </cell>
          <cell r="D1395" t="str">
            <v>UNION CU.DERECHA ABIERTA PARA CONDUCTOR     70MM2.</v>
          </cell>
        </row>
        <row r="1396">
          <cell r="B1396">
            <v>5112432</v>
          </cell>
          <cell r="C1396" t="str">
            <v>TAL</v>
          </cell>
          <cell r="D1396" t="str">
            <v>UNION CU.DERECHA ABIERTA PARA CONDUCTOR     70MM2.</v>
          </cell>
        </row>
        <row r="1397">
          <cell r="B1397">
            <v>5112442</v>
          </cell>
          <cell r="C1397" t="str">
            <v>BUR</v>
          </cell>
          <cell r="D1397" t="str">
            <v>UNION CU.DERECHA ABIERTA PARA CONDUCTOR    120MM2.</v>
          </cell>
        </row>
        <row r="1398">
          <cell r="B1398">
            <v>5112442</v>
          </cell>
          <cell r="C1398" t="str">
            <v>FAS</v>
          </cell>
          <cell r="D1398" t="str">
            <v>UNION CU.DERECHA ABIERTA PARA CONDUCTOR    120MM2.</v>
          </cell>
        </row>
        <row r="1399">
          <cell r="B1399">
            <v>5112442</v>
          </cell>
          <cell r="C1399" t="str">
            <v>TAL</v>
          </cell>
          <cell r="D1399" t="str">
            <v>UNION CU.DERECHA ABIERTA PARA CONDUCTOR    120MM2.</v>
          </cell>
        </row>
        <row r="1400">
          <cell r="B1400">
            <v>5112452</v>
          </cell>
          <cell r="C1400" t="str">
            <v>BUR</v>
          </cell>
          <cell r="D1400" t="str">
            <v>UNION CU.DERECHA ABIERTA PARA CONDUCTOR    185MM2.</v>
          </cell>
        </row>
        <row r="1401">
          <cell r="B1401">
            <v>5112452</v>
          </cell>
          <cell r="C1401" t="str">
            <v>FAS</v>
          </cell>
          <cell r="D1401" t="str">
            <v>UNION CU.DERECHA ABIERTA PARA CONDUCTOR    185MM2.</v>
          </cell>
        </row>
        <row r="1402">
          <cell r="B1402">
            <v>5112452</v>
          </cell>
          <cell r="C1402" t="str">
            <v>TAL</v>
          </cell>
          <cell r="D1402" t="str">
            <v>UNION CU.DERECHA ABIERTA PARA CONDUCTOR    185MM2.</v>
          </cell>
        </row>
        <row r="1403">
          <cell r="B1403">
            <v>5112462</v>
          </cell>
          <cell r="C1403" t="str">
            <v>BUR</v>
          </cell>
          <cell r="D1403" t="str">
            <v>UNION CU.DERECHA ABIERTA PARA CONDUCTOR    240MM2.</v>
          </cell>
        </row>
        <row r="1404">
          <cell r="B1404">
            <v>5112462</v>
          </cell>
          <cell r="C1404" t="str">
            <v>FAS</v>
          </cell>
          <cell r="D1404" t="str">
            <v>UNION CU.DERECHA ABIERTA PARA CONDUCTOR    240MM2.</v>
          </cell>
        </row>
        <row r="1405">
          <cell r="B1405">
            <v>5112462</v>
          </cell>
          <cell r="C1405" t="str">
            <v>TAL</v>
          </cell>
          <cell r="D1405" t="str">
            <v>UNION CU.DERECHA ABIERTA PARA CONDUCTOR    240MM2.</v>
          </cell>
        </row>
        <row r="1406">
          <cell r="B1406">
            <v>5112472</v>
          </cell>
          <cell r="C1406" t="str">
            <v>BUR</v>
          </cell>
          <cell r="D1406" t="str">
            <v>UNION CU.DERECHA ABIERTA PARA CONDUCTOR    300MM2.</v>
          </cell>
        </row>
        <row r="1407">
          <cell r="B1407">
            <v>5112472</v>
          </cell>
          <cell r="C1407" t="str">
            <v>FAS</v>
          </cell>
          <cell r="D1407" t="str">
            <v>UNION CU.DERECHA ABIERTA PARA CONDUCTOR    300MM2.</v>
          </cell>
        </row>
        <row r="1408">
          <cell r="B1408">
            <v>5112472</v>
          </cell>
          <cell r="C1408" t="str">
            <v>TAL</v>
          </cell>
          <cell r="D1408" t="str">
            <v>UNION CU.DERECHA ABIERTA PARA CONDUCTOR    300MM2.</v>
          </cell>
        </row>
        <row r="1409">
          <cell r="B1409">
            <v>5112482</v>
          </cell>
          <cell r="C1409" t="str">
            <v>BUR</v>
          </cell>
          <cell r="D1409" t="str">
            <v>UNION CU.DERECHA ABIERTA PARA CONDUCTOR    500MM2.</v>
          </cell>
        </row>
        <row r="1410">
          <cell r="B1410">
            <v>5112482</v>
          </cell>
          <cell r="C1410" t="str">
            <v>FAS</v>
          </cell>
          <cell r="D1410" t="str">
            <v>UNION CU.DERECHA ABIERTA PARA CONDUCTOR    500MM2.</v>
          </cell>
        </row>
        <row r="1411">
          <cell r="B1411">
            <v>5112482</v>
          </cell>
          <cell r="C1411" t="str">
            <v>TAL</v>
          </cell>
          <cell r="D1411" t="str">
            <v>UNION CU.DERECHA ABIERTA PARA CONDUCTOR    500MM2.</v>
          </cell>
        </row>
        <row r="1412">
          <cell r="B1412">
            <v>5112602</v>
          </cell>
          <cell r="C1412" t="str">
            <v>FAS</v>
          </cell>
          <cell r="D1412" t="str">
            <v>UNION CU.DERECHA A COMPRESION P.CABLE        6MM2.</v>
          </cell>
        </row>
        <row r="1413">
          <cell r="B1413">
            <v>5112602</v>
          </cell>
          <cell r="C1413" t="str">
            <v>TAL</v>
          </cell>
          <cell r="D1413" t="str">
            <v>UNION CU.DERECHA A COMPRESION P.CABLE        6MM2.</v>
          </cell>
        </row>
        <row r="1414">
          <cell r="B1414">
            <v>5112606</v>
          </cell>
          <cell r="C1414" t="str">
            <v>FAS</v>
          </cell>
          <cell r="D1414" t="str">
            <v>UNION CU.DERECHA A COMPRESION P.CABLE       10MM2.</v>
          </cell>
        </row>
        <row r="1415">
          <cell r="B1415">
            <v>5112606</v>
          </cell>
          <cell r="C1415" t="str">
            <v>TAL</v>
          </cell>
          <cell r="D1415" t="str">
            <v>UNION CU.DERECHA A COMPRESION P.CABLE       10MM2.</v>
          </cell>
        </row>
        <row r="1416">
          <cell r="B1416">
            <v>5112616</v>
          </cell>
          <cell r="C1416" t="str">
            <v>FAS</v>
          </cell>
          <cell r="D1416" t="str">
            <v>UNION CU.DERECHA A COMPRESION P.CABLE       16MM2.</v>
          </cell>
        </row>
        <row r="1417">
          <cell r="B1417">
            <v>5112616</v>
          </cell>
          <cell r="C1417" t="str">
            <v>TAL</v>
          </cell>
          <cell r="D1417" t="str">
            <v>UNION CU.DERECHA A COMPRESION P.CABLE       16MM2.</v>
          </cell>
        </row>
        <row r="1418">
          <cell r="B1418">
            <v>5112626</v>
          </cell>
          <cell r="C1418" t="str">
            <v>FAS</v>
          </cell>
          <cell r="D1418" t="str">
            <v>CONECTOR TUBULAR A COMPRESION SIN TABICAR CU. ESTAÑ. 35MM2.</v>
          </cell>
        </row>
        <row r="1419">
          <cell r="B1419">
            <v>5112626</v>
          </cell>
          <cell r="C1419" t="str">
            <v>TAL</v>
          </cell>
          <cell r="D1419" t="str">
            <v>CONECTOR TUBULAR A COMPRESION SIN TABICAR CU. ESTAÑ. 35MM2.</v>
          </cell>
        </row>
        <row r="1420">
          <cell r="B1420">
            <v>5112632</v>
          </cell>
          <cell r="C1420" t="str">
            <v>FAS</v>
          </cell>
          <cell r="D1420" t="str">
            <v>UNION CU.DERECHA A COMPRESION P.CABLE       70MM2.</v>
          </cell>
        </row>
        <row r="1421">
          <cell r="B1421">
            <v>5112632</v>
          </cell>
          <cell r="C1421" t="str">
            <v>TAL</v>
          </cell>
          <cell r="D1421" t="str">
            <v>UNION CU.DERECHA A COMPRESION P.CABLE       70MM2.</v>
          </cell>
        </row>
        <row r="1422">
          <cell r="B1422">
            <v>5112642</v>
          </cell>
          <cell r="C1422" t="str">
            <v>FAS</v>
          </cell>
          <cell r="D1422" t="str">
            <v>UNION CU.DERECHA A COMPRESION P.CABLE      120MM2.</v>
          </cell>
        </row>
        <row r="1423">
          <cell r="B1423">
            <v>5112642</v>
          </cell>
          <cell r="C1423" t="str">
            <v>TAL</v>
          </cell>
          <cell r="D1423" t="str">
            <v>UNION CU.DERECHA A COMPRESION P.CABLE      120MM2.</v>
          </cell>
        </row>
        <row r="1424">
          <cell r="B1424">
            <v>5112652</v>
          </cell>
          <cell r="C1424" t="str">
            <v>FAS</v>
          </cell>
          <cell r="D1424" t="str">
            <v>UNION CU.DERECHA A COMPRESION P.CABLE      185MM2.</v>
          </cell>
        </row>
        <row r="1425">
          <cell r="B1425">
            <v>5112652</v>
          </cell>
          <cell r="C1425" t="str">
            <v>TAL</v>
          </cell>
          <cell r="D1425" t="str">
            <v>UNION CU.DERECHA A COMPRESION P.CABLE      185MM2.</v>
          </cell>
        </row>
        <row r="1426">
          <cell r="B1426">
            <v>5112662</v>
          </cell>
          <cell r="C1426" t="str">
            <v>FAS</v>
          </cell>
          <cell r="D1426" t="str">
            <v>UNION CU.DERECHA A COMPRESION P.CABLE      240MM2.</v>
          </cell>
        </row>
        <row r="1427">
          <cell r="B1427">
            <v>5112662</v>
          </cell>
          <cell r="C1427" t="str">
            <v>TAL</v>
          </cell>
          <cell r="D1427" t="str">
            <v>UNION CU.DERECHA A COMPRESION P.CABLE      240MM2.</v>
          </cell>
        </row>
        <row r="1428">
          <cell r="B1428">
            <v>5112672</v>
          </cell>
          <cell r="C1428" t="str">
            <v>FAS</v>
          </cell>
          <cell r="D1428" t="str">
            <v>UNION CU.DERECHA A COMPRESION P.CABLE      300MM2.</v>
          </cell>
        </row>
        <row r="1429">
          <cell r="B1429">
            <v>5112672</v>
          </cell>
          <cell r="C1429" t="str">
            <v>TAL</v>
          </cell>
          <cell r="D1429" t="str">
            <v>UNION CU.DERECHA A COMPRESION P.CABLE      300MM2.</v>
          </cell>
        </row>
        <row r="1430">
          <cell r="B1430">
            <v>5112680</v>
          </cell>
          <cell r="C1430" t="str">
            <v>FRA</v>
          </cell>
          <cell r="D1430" t="str">
            <v>UNION P.EMPALME AUTOMATICO P.CABLE DE GUARDA DE ACERO 9,52 - 10,6MM DIAM.</v>
          </cell>
        </row>
        <row r="1431">
          <cell r="B1431">
            <v>5112852</v>
          </cell>
          <cell r="C1431" t="str">
            <v>BYH</v>
          </cell>
          <cell r="D1431" t="str">
            <v>CONECTOR MECANICO EN DERIVACION DE ALEACION DE ALUMINIO P.CABLES DE ALUMINIO 35-95/6-35MM2, B.T</v>
          </cell>
        </row>
        <row r="1432">
          <cell r="B1432">
            <v>5112852</v>
          </cell>
          <cell r="C1432" t="str">
            <v>P3M</v>
          </cell>
          <cell r="D1432" t="str">
            <v>CONECTOR MECANICO EN DERIVACION DE ALEACION DE ALUMINIO P.CABLES DE ALUMINIO 35-95/6-35MM2, B.T</v>
          </cell>
        </row>
        <row r="1433">
          <cell r="B1433">
            <v>5112854</v>
          </cell>
          <cell r="C1433" t="str">
            <v>BYH</v>
          </cell>
          <cell r="D1433" t="str">
            <v>CONECTOR MECANICO EN DERIVACION DE ALEACION DE ALUMINIO P.CABLES 120-185 / 6-35MM2 EN RED B.T.</v>
          </cell>
        </row>
        <row r="1434">
          <cell r="B1434">
            <v>5112854</v>
          </cell>
          <cell r="C1434" t="str">
            <v>P3M</v>
          </cell>
          <cell r="D1434" t="str">
            <v>CONECTOR MECANICO EN DERIVACION DE ALEACION DE ALUMINIO P.CABLES 120-185 / 6-35MM2 EN RED B.T.</v>
          </cell>
        </row>
        <row r="1435">
          <cell r="B1435">
            <v>5112856</v>
          </cell>
          <cell r="C1435" t="str">
            <v>BYH</v>
          </cell>
          <cell r="D1435" t="str">
            <v>CONECTOR MECANICO EN DERIVACION DE ALEACION DE ALUMINIO P.CABLES AAAC 240-300 / 6-35MM2 EN RED B.T.</v>
          </cell>
        </row>
        <row r="1436">
          <cell r="B1436">
            <v>5112856</v>
          </cell>
          <cell r="C1436" t="str">
            <v>P3M</v>
          </cell>
          <cell r="D1436" t="str">
            <v>CONECTOR MECANICO EN DERIVACION DE ALEACION DE ALUMINIO P.CABLES AAAC 240-300 / 6-35MM2 EN RED B.T.</v>
          </cell>
        </row>
        <row r="1437">
          <cell r="B1437">
            <v>5112858</v>
          </cell>
          <cell r="C1437" t="str">
            <v>BYH</v>
          </cell>
          <cell r="D1437" t="str">
            <v>CONECTOR MECANICO EN DERIVACION DE ALEACION DE ALUMINIO P.CABLES AAAC 500 / 6-35MM2 EN RED B.T.</v>
          </cell>
        </row>
        <row r="1438">
          <cell r="B1438">
            <v>5112872</v>
          </cell>
          <cell r="C1438" t="str">
            <v>BYH</v>
          </cell>
          <cell r="D1438" t="str">
            <v>CONECTOR MECANICO EN DERIVACION DE ALEACION DE ALUMINIO P.CABLES DE ALUMINIO 70-95/70-95MM2, B.T</v>
          </cell>
        </row>
        <row r="1439">
          <cell r="B1439">
            <v>5112872</v>
          </cell>
          <cell r="C1439" t="str">
            <v>P3M</v>
          </cell>
          <cell r="D1439" t="str">
            <v>CONECTOR MECANICO EN DERIVACION DE ALEACION DE ALUMINIO P.CABLES DE ALUMINIO 70-95/70-95MM2, B.T</v>
          </cell>
        </row>
        <row r="1440">
          <cell r="B1440">
            <v>5112874</v>
          </cell>
          <cell r="C1440" t="str">
            <v>BYH</v>
          </cell>
          <cell r="D1440" t="str">
            <v>CONECTOR MECANICO EN DERIVACION DE ALEACION DE ALUMINIO P.CABLES DE ALUMINIO 120-185/70-185MM2, B.T</v>
          </cell>
        </row>
        <row r="1441">
          <cell r="B1441">
            <v>5112874</v>
          </cell>
          <cell r="C1441" t="str">
            <v>P3M</v>
          </cell>
          <cell r="D1441" t="str">
            <v>CONECTOR MECANICO EN DERIVACION DE ALEACION DE ALUMINIO P.CABLES DE ALUMINIO 120-185/70-185MM2, B.T</v>
          </cell>
        </row>
        <row r="1442">
          <cell r="B1442">
            <v>5112876</v>
          </cell>
          <cell r="C1442" t="str">
            <v>BYH</v>
          </cell>
          <cell r="D1442" t="str">
            <v>CONECTOR MECANICO EN DERIVACION DE ALEACION DE ALUMINIO P.CABLES DE ALUMINIO 240-300/70-300MM2, B.T</v>
          </cell>
        </row>
        <row r="1443">
          <cell r="B1443">
            <v>5112876</v>
          </cell>
          <cell r="C1443" t="str">
            <v>P3M</v>
          </cell>
          <cell r="D1443" t="str">
            <v>CONECTOR MECANICO EN DERIVACION DE ALEACION DE ALUMINIO P.CABLES DE ALUMINIO 240-300/70-300MM2, B.T</v>
          </cell>
        </row>
        <row r="1444">
          <cell r="B1444">
            <v>5112878</v>
          </cell>
          <cell r="C1444" t="str">
            <v>BYH</v>
          </cell>
          <cell r="D1444" t="str">
            <v>CONECTOR MECANICO EN DERIVACION DE ALEACION DE ALUMINIO P.CABLES AAAC 500 / 240-500MM2 EN RED B.T.</v>
          </cell>
        </row>
        <row r="1445">
          <cell r="B1445">
            <v>5112878</v>
          </cell>
          <cell r="C1445" t="str">
            <v>SIC</v>
          </cell>
          <cell r="D1445" t="str">
            <v>CONECTOR MECANICO EN DERIVACION DE ALEACION DE ALUMINIO P.CABLES AAAC 500 / 240-500MM2 EN RED B.T.</v>
          </cell>
        </row>
        <row r="1446">
          <cell r="B1446">
            <v>5112880</v>
          </cell>
          <cell r="C1446" t="str">
            <v>BYH</v>
          </cell>
          <cell r="D1446" t="str">
            <v>CONECTOR MECANICO EN DERIVACION DE ALEACION DE ALUMINIO P.CABLES AAAC 500 / 70-120MM2 EN RED B.T.</v>
          </cell>
        </row>
        <row r="1447">
          <cell r="B1447">
            <v>5112880</v>
          </cell>
          <cell r="C1447" t="str">
            <v>SIC</v>
          </cell>
          <cell r="D1447" t="str">
            <v>CONECTOR MECANICO EN DERIVACION DE ALEACION DE ALUMINIO P.CABLES AAAC 500 / 70-120MM2 EN RED B.T.</v>
          </cell>
        </row>
        <row r="1448">
          <cell r="B1448">
            <v>5112881</v>
          </cell>
          <cell r="C1448" t="str">
            <v>P3M</v>
          </cell>
          <cell r="D1448" t="str">
            <v>CONECTOR MECANICO EN DERIVACION DE ALEACION DE ALUMINIO P.CABLES DE ALUMINIO 240-400/70-400MM2, B.T</v>
          </cell>
        </row>
        <row r="1449">
          <cell r="B1449">
            <v>5112922</v>
          </cell>
          <cell r="C1449" t="str">
            <v>TCE</v>
          </cell>
          <cell r="D1449" t="str">
            <v>CONECTOR TERMINAL A COMPRESION BIMETALICO P.CABLE DE ALUMINIO 16MM2, SIMPLE FIJACION</v>
          </cell>
        </row>
        <row r="1450">
          <cell r="B1450">
            <v>5112924</v>
          </cell>
          <cell r="C1450" t="str">
            <v>TCE</v>
          </cell>
          <cell r="D1450" t="str">
            <v>CONECTOR TERMINAL A COMPRESION BIMETALICO P.CABLE DE ALUMINIO 25MM2, SIMPLE FIJACION</v>
          </cell>
        </row>
        <row r="1451">
          <cell r="B1451">
            <v>5112925</v>
          </cell>
          <cell r="C1451" t="str">
            <v>TCE</v>
          </cell>
          <cell r="D1451" t="str">
            <v>CONECTOR TERMINAL A COMPRESION BIMETALICO P.CABLE DE ALUMINIO 50MM2, SIMPLE FIJACION</v>
          </cell>
        </row>
        <row r="1452">
          <cell r="B1452">
            <v>5112926</v>
          </cell>
          <cell r="C1452" t="str">
            <v>RAY</v>
          </cell>
          <cell r="D1452" t="str">
            <v>CONECTOR TERMINAL A COMPRESION BIMETALICO P.CABLE DE ALUMINIO 70MM2, SIMPLE FIJACION</v>
          </cell>
        </row>
        <row r="1453">
          <cell r="B1453">
            <v>5112926</v>
          </cell>
          <cell r="C1453" t="str">
            <v>TCE</v>
          </cell>
          <cell r="D1453" t="str">
            <v>CONECTOR TERMINAL A COMPRESION BIMETALICO P.CABLE DE ALUMINIO 70MM2, SIMPLE FIJACION</v>
          </cell>
        </row>
        <row r="1454">
          <cell r="B1454">
            <v>5112928</v>
          </cell>
          <cell r="C1454" t="str">
            <v>TCE</v>
          </cell>
          <cell r="D1454" t="str">
            <v>CONECTOR TERMINAL A COMPRESION BIMETALICO P.CABLE DE ALUMINIO 95MM2, SIMPLE FIJACION</v>
          </cell>
        </row>
        <row r="1455">
          <cell r="B1455">
            <v>5113323</v>
          </cell>
          <cell r="C1455" t="str">
            <v>P3M</v>
          </cell>
          <cell r="D1455" t="str">
            <v>MANGA.TERMORR.PUNT.MUERTA.NKY-NYY.6/35MM2.</v>
          </cell>
        </row>
        <row r="1456">
          <cell r="B1456">
            <v>5113323</v>
          </cell>
          <cell r="C1456" t="str">
            <v>RAY</v>
          </cell>
          <cell r="D1456" t="str">
            <v>MANGA.TERMORR.PUNT.MUERTA.NKY-NYY.6/35MM2.</v>
          </cell>
        </row>
        <row r="1457">
          <cell r="B1457">
            <v>5114116</v>
          </cell>
          <cell r="C1457" t="str">
            <v>RAY</v>
          </cell>
          <cell r="D1457" t="str">
            <v>CINTA AISLANTE TERMOC.P.UNIONES &amp;CONEX./AUTOP.10KV</v>
          </cell>
        </row>
        <row r="1458">
          <cell r="B1458">
            <v>5114117</v>
          </cell>
          <cell r="C1458" t="str">
            <v>RAY</v>
          </cell>
          <cell r="D1458" t="str">
            <v>PLACA AISLANTE TERMOC.P.UNIONES &amp;CONEX./AUTOP.10KV</v>
          </cell>
        </row>
        <row r="1459">
          <cell r="B1459">
            <v>5114122</v>
          </cell>
          <cell r="C1459" t="str">
            <v>P3M</v>
          </cell>
          <cell r="D1459" t="str">
            <v>CINTA AISLANTE TERMOPLASTICA DE PVC DE 19MM X 4,5M X 0,15MM 600V COLOR BLANCO USO EN INTERIORES</v>
          </cell>
        </row>
        <row r="1460">
          <cell r="B1460">
            <v>5114122</v>
          </cell>
          <cell r="C1460" t="str">
            <v>P3M</v>
          </cell>
          <cell r="D1460" t="str">
            <v>CINTA AISLANTE TERMOPLASTICA DE PVC DE 19MM X 4,5M X 0,15MM 600V COLOR BLANCO USO EN INTERIORES</v>
          </cell>
        </row>
        <row r="1461">
          <cell r="B1461">
            <v>5114124</v>
          </cell>
          <cell r="C1461" t="str">
            <v>P3M</v>
          </cell>
          <cell r="D1461" t="str">
            <v>CINTA AISLANTE TERMOPLASTICA DE PVC DE 19MM X 4,5M X 0,15MM 600V COLOR NEGRO USO EN INTERIORES</v>
          </cell>
        </row>
        <row r="1462">
          <cell r="B1462">
            <v>5114124</v>
          </cell>
          <cell r="C1462" t="str">
            <v>P3M</v>
          </cell>
          <cell r="D1462" t="str">
            <v>CINTA AISLANTE TERMOPLASTICA DE PVC DE 19MM X 4,5M X 0,15MM 600V COLOR NEGRO USO EN INTERIORES</v>
          </cell>
        </row>
        <row r="1463">
          <cell r="B1463">
            <v>5114126</v>
          </cell>
          <cell r="C1463" t="str">
            <v>P3M</v>
          </cell>
          <cell r="D1463" t="str">
            <v>CINTA AISLANTE TERMOPLASTICA DE PVC DE 19MM X 4,5M X 0,15MM 600V COLOR ROJO USO EN INTERIORES</v>
          </cell>
        </row>
        <row r="1464">
          <cell r="B1464">
            <v>5114126</v>
          </cell>
          <cell r="C1464" t="str">
            <v>P3M</v>
          </cell>
          <cell r="D1464" t="str">
            <v>CINTA AISLANTE TERMOPLASTICA DE PVC DE 19MM X 4,5M X 0,15MM 600V COLOR ROJO USO EN INTERIORES</v>
          </cell>
        </row>
        <row r="1465">
          <cell r="B1465">
            <v>5114128</v>
          </cell>
          <cell r="C1465" t="str">
            <v>P3M</v>
          </cell>
          <cell r="D1465" t="str">
            <v>CINTA AISLANTE TERMOPLASTICA DE PVC DE 19MM X 4,5M X 0,15MM 600V COLOR VERDE USO EN INTERIORES</v>
          </cell>
        </row>
        <row r="1466">
          <cell r="B1466">
            <v>5114128</v>
          </cell>
          <cell r="C1466" t="str">
            <v>P3M</v>
          </cell>
          <cell r="D1466" t="str">
            <v>CINTA AISLANTE TERMOPLASTICA DE PVC DE 19MM X 4,5M X 0,15MM 600V COLOR VERDE USO EN INTERIORES</v>
          </cell>
        </row>
        <row r="1467">
          <cell r="B1467">
            <v>5114170</v>
          </cell>
          <cell r="C1467" t="str">
            <v>P3M</v>
          </cell>
          <cell r="D1467" t="str">
            <v>CINTA AISLANTE TERMOPLASTICA DE PVC DE 19MM X 20M X 0,15MM 600V COLOR BLANCO USO EN INTERIORES</v>
          </cell>
        </row>
        <row r="1468">
          <cell r="B1468">
            <v>5114170</v>
          </cell>
          <cell r="C1468" t="str">
            <v>P3M</v>
          </cell>
          <cell r="D1468" t="str">
            <v>CINTA AISLANTE TERMOPLASTICA DE PVC DE 19MM X 20M X 0,15MM 600V COLOR BLANCO USO EN INTERIORES</v>
          </cell>
        </row>
        <row r="1469">
          <cell r="B1469">
            <v>5114170</v>
          </cell>
          <cell r="C1469" t="str">
            <v>PLY</v>
          </cell>
          <cell r="D1469" t="str">
            <v>CINTA AISLANTE TERMOPLASTICA DE PVC DE 19MM X 20M X 0,15MM 600V COLOR BLANCO USO EN INTERIORES</v>
          </cell>
        </row>
        <row r="1470">
          <cell r="B1470">
            <v>5114171</v>
          </cell>
          <cell r="C1470" t="str">
            <v>P3M</v>
          </cell>
          <cell r="D1470" t="str">
            <v>CINTA AISLANTE TERMOPLASTICA DE PVC DE 19MM X 20M X 0,15MM 600V COLOR ROJO USO EN INTERIORES</v>
          </cell>
        </row>
        <row r="1471">
          <cell r="B1471">
            <v>5114171</v>
          </cell>
          <cell r="C1471" t="str">
            <v>P3M</v>
          </cell>
          <cell r="D1471" t="str">
            <v>CINTA AISLANTE TERMOPLASTICA DE PVC DE 19MM X 20M X 0,15MM 600V COLOR ROJO USO EN INTERIORES</v>
          </cell>
        </row>
        <row r="1472">
          <cell r="B1472">
            <v>5114171</v>
          </cell>
          <cell r="C1472" t="str">
            <v>PLY</v>
          </cell>
          <cell r="D1472" t="str">
            <v>CINTA AISLANTE TERMOPLASTICA DE PVC DE 19MM X 20M X 0,15MM 600V COLOR ROJO USO EN INTERIORES</v>
          </cell>
        </row>
        <row r="1473">
          <cell r="B1473">
            <v>5114172</v>
          </cell>
          <cell r="C1473" t="str">
            <v>P3M</v>
          </cell>
          <cell r="D1473" t="str">
            <v>CINTA AISLANTE TERMOPLASTICA DE PVC DE 19MM X 20M X 0,15MM 600V COLOR VERDE USO EN INTERIORES</v>
          </cell>
        </row>
        <row r="1474">
          <cell r="B1474">
            <v>5114172</v>
          </cell>
          <cell r="C1474" t="str">
            <v>P3M</v>
          </cell>
          <cell r="D1474" t="str">
            <v>CINTA AISLANTE TERMOPLASTICA DE PVC DE 19MM X 20M X 0,15MM 600V COLOR VERDE USO EN INTERIORES</v>
          </cell>
        </row>
        <row r="1475">
          <cell r="B1475">
            <v>5114172</v>
          </cell>
          <cell r="C1475" t="str">
            <v>PLY</v>
          </cell>
          <cell r="D1475" t="str">
            <v>CINTA AISLANTE TERMOPLASTICA DE PVC DE 19MM X 20M X 0,15MM 600V COLOR VERDE USO EN INTERIORES</v>
          </cell>
        </row>
        <row r="1476">
          <cell r="B1476">
            <v>5114182</v>
          </cell>
          <cell r="C1476" t="str">
            <v>PLY</v>
          </cell>
          <cell r="D1476" t="str">
            <v>CINTA AISLANTE TERMOPLASTICA DE PVC DE 19MM X 20M X 0,18MM 600V COLOR BLANCO USO EN INTERIORES</v>
          </cell>
        </row>
        <row r="1477">
          <cell r="B1477">
            <v>5114184</v>
          </cell>
          <cell r="C1477" t="str">
            <v>PLY</v>
          </cell>
          <cell r="D1477" t="str">
            <v>CINTA AISLANTE TERMOPLASTICA DE PVC DE 19MM X 20M X 0,18MM 600V COLOR NEGRO USO EN INTERIORES</v>
          </cell>
        </row>
        <row r="1478">
          <cell r="B1478">
            <v>5114186</v>
          </cell>
          <cell r="C1478" t="str">
            <v>PLY</v>
          </cell>
          <cell r="D1478" t="str">
            <v>CINTA AISLANTE TERMOPLASTICA DE PVC DE 19MM X 20M X 0,18MM 600V COLOR ROJO USO EN INTERIORES</v>
          </cell>
        </row>
        <row r="1479">
          <cell r="B1479">
            <v>5114188</v>
          </cell>
          <cell r="C1479" t="str">
            <v>PLY</v>
          </cell>
          <cell r="D1479" t="str">
            <v>CINTA AISLANTE TERMOPLASTICA DE PVC DE 19MM X 20M X 0,18MM 600V COLOR VERDE USO EN INTERIORES</v>
          </cell>
        </row>
        <row r="1480">
          <cell r="B1480">
            <v>5114364</v>
          </cell>
          <cell r="C1480" t="str">
            <v>P3M</v>
          </cell>
          <cell r="D1480" t="str">
            <v>CINTA AISLANTE TERMOPLASTICA DE PVC DE 19MM X 20M X 0,15MM 600V COLOR NEGRO USO EN INTERIORES</v>
          </cell>
        </row>
        <row r="1481">
          <cell r="B1481">
            <v>5114364</v>
          </cell>
          <cell r="C1481" t="str">
            <v>P3M</v>
          </cell>
          <cell r="D1481" t="str">
            <v>CINTA AISLANTE TERMOPLASTICA DE PVC DE 19MM X 20M X 0,15MM 600V COLOR NEGRO USO EN INTERIORES</v>
          </cell>
        </row>
        <row r="1482">
          <cell r="B1482">
            <v>5114364</v>
          </cell>
          <cell r="C1482" t="str">
            <v>PLY</v>
          </cell>
          <cell r="D1482" t="str">
            <v>CINTA AISLANTE TERMOPLASTICA DE PVC DE 19MM X 20M X 0,15MM 600V COLOR NEGRO USO EN INTERIORES</v>
          </cell>
        </row>
        <row r="1483">
          <cell r="B1483">
            <v>5114370</v>
          </cell>
          <cell r="C1483" t="str">
            <v>P3M</v>
          </cell>
          <cell r="D1483" t="str">
            <v>CINTA AISLANTE TERMOPLASTICA DE PVC ALTA PERFORMANCE 19MM X 20M X 0,18MM 600V COLOR NEGRO</v>
          </cell>
        </row>
        <row r="1484">
          <cell r="B1484">
            <v>5114370</v>
          </cell>
          <cell r="C1484" t="str">
            <v>PLY</v>
          </cell>
          <cell r="D1484" t="str">
            <v>CINTA AISLANTE TERMOPLASTICA DE PVC ALTA PERFORMANCE 19MM X 20M X 0,18MM 600V COLOR NEGRO</v>
          </cell>
        </row>
        <row r="1485">
          <cell r="B1485">
            <v>5114384</v>
          </cell>
          <cell r="C1485" t="str">
            <v>KUR</v>
          </cell>
          <cell r="D1485" t="str">
            <v>CINTA AISLANTE TERMOPLASTICA DE PVC ALTA PERFORMANCE 38MM X 33M X 0,18MM 600V COLOR NEGRO</v>
          </cell>
        </row>
        <row r="1486">
          <cell r="B1486">
            <v>5114384</v>
          </cell>
          <cell r="C1486" t="str">
            <v>P3M</v>
          </cell>
          <cell r="D1486" t="str">
            <v>CINTA AISLANTE TERMOPLASTICA DE PVC ALTA PERFORMANCE 38MM X 33M X 0,18MM 600V COLOR NEGRO</v>
          </cell>
        </row>
        <row r="1487">
          <cell r="B1487">
            <v>5114384</v>
          </cell>
          <cell r="C1487" t="str">
            <v>PLY</v>
          </cell>
          <cell r="D1487" t="str">
            <v>CINTA AISLANTE TERMOPLASTICA DE PVC ALTA PERFORMANCE 38MM X 33M X 0,18MM 600V COLOR NEGRO</v>
          </cell>
        </row>
        <row r="1488">
          <cell r="B1488">
            <v>5114390</v>
          </cell>
          <cell r="C1488" t="str">
            <v>RAY</v>
          </cell>
          <cell r="D1488" t="str">
            <v>CINTA AISLANTE TERMOCONTRAIBLE P.LINEAS AEREAS 10KV. . RAYCHEM: OLIT M.</v>
          </cell>
        </row>
        <row r="1489">
          <cell r="B1489">
            <v>5114702</v>
          </cell>
          <cell r="C1489" t="str">
            <v>EIN</v>
          </cell>
          <cell r="D1489" t="str">
            <v>CINTA SENALIZADORA AMARILLA P.CABLES SUBTERRANEOS 220V P.LUZ DEL SUR</v>
          </cell>
        </row>
        <row r="1490">
          <cell r="B1490">
            <v>5114702</v>
          </cell>
          <cell r="C1490" t="str">
            <v>ENL</v>
          </cell>
          <cell r="D1490" t="str">
            <v>CINTA SENALIZADORA AMARILLA P.CABLES SUBTERRANEOS 220V P.LUZ DEL SUR</v>
          </cell>
        </row>
        <row r="1491">
          <cell r="B1491">
            <v>5114702</v>
          </cell>
          <cell r="C1491" t="str">
            <v>PML</v>
          </cell>
          <cell r="D1491" t="str">
            <v>CINTA SENALIZADORA AMARILLA P.CABLES SUBTERRANEOS 220V P.LUZ DEL SUR</v>
          </cell>
        </row>
        <row r="1492">
          <cell r="B1492">
            <v>5115102</v>
          </cell>
          <cell r="C1492" t="str">
            <v>SER</v>
          </cell>
          <cell r="D1492" t="str">
            <v>MASA AISL.BREA GRADO 160/180 PA. P.EMPAL.CABL.NKY</v>
          </cell>
        </row>
        <row r="1493">
          <cell r="B1493">
            <v>5119122</v>
          </cell>
          <cell r="C1493" t="str">
            <v>RAY</v>
          </cell>
          <cell r="D1493" t="str">
            <v>TUBO AISL.TERMORREST.P.TERM. CABLE NKY  16- 35MM2.</v>
          </cell>
        </row>
        <row r="1494">
          <cell r="B1494">
            <v>5119132</v>
          </cell>
          <cell r="C1494" t="str">
            <v>RAY</v>
          </cell>
          <cell r="D1494" t="str">
            <v>TUBO AISL.TERMORREST.P.TERM. CABLE NKY  70-120MM2.</v>
          </cell>
        </row>
        <row r="1495">
          <cell r="B1495">
            <v>5119144</v>
          </cell>
          <cell r="C1495" t="str">
            <v>RAY</v>
          </cell>
          <cell r="D1495" t="str">
            <v>TUBO TERMOCONTRAIBLE PARA AISLAMIENTO BARRAS 25 KV</v>
          </cell>
        </row>
        <row r="1496">
          <cell r="B1496">
            <v>5119144</v>
          </cell>
          <cell r="C1496" t="str">
            <v>RAY</v>
          </cell>
          <cell r="D1496" t="str">
            <v>TUBO TERMOCONTRAIBLE PARA AISLAMIENTO BARRAS 25 KV</v>
          </cell>
        </row>
        <row r="1497">
          <cell r="B1497">
            <v>5119146</v>
          </cell>
          <cell r="C1497" t="str">
            <v>RAY</v>
          </cell>
          <cell r="D1497" t="str">
            <v>TUBO TERMOCON.P.AISLAM. BARRAS BBIT 65/25 H. 35KV</v>
          </cell>
        </row>
        <row r="1498">
          <cell r="B1498">
            <v>5119147</v>
          </cell>
          <cell r="C1498" t="str">
            <v>RAY</v>
          </cell>
          <cell r="D1498" t="str">
            <v>TUBO TERMOCON.P.AISL.BARRAS BPTM 75/30 35KV</v>
          </cell>
        </row>
        <row r="1499">
          <cell r="B1499">
            <v>5119154</v>
          </cell>
          <cell r="C1499" t="str">
            <v>ECM</v>
          </cell>
          <cell r="D1499" t="str">
            <v>CUBIERTA.AISLA.PROTEC.P/COND.AEREO DESN.MT.16-70MM2.15KV.</v>
          </cell>
        </row>
        <row r="1500">
          <cell r="B1500">
            <v>5119154</v>
          </cell>
          <cell r="C1500" t="str">
            <v>RAY</v>
          </cell>
          <cell r="D1500" t="str">
            <v>CUBIERTA.AISLA.PROTEC.P/COND.AEREO DESN.MT.16-70MM2.15KV.</v>
          </cell>
        </row>
        <row r="1501">
          <cell r="B1501">
            <v>5119155</v>
          </cell>
          <cell r="C1501" t="str">
            <v>ECM</v>
          </cell>
          <cell r="D1501" t="str">
            <v>CUBIERTA.AISLA.PROTEC.P/COND.AEREO DESN.MT.70-185MM2.15KV.</v>
          </cell>
        </row>
        <row r="1502">
          <cell r="B1502">
            <v>5119155</v>
          </cell>
          <cell r="C1502" t="str">
            <v>RAY</v>
          </cell>
          <cell r="D1502" t="str">
            <v>CUBIERTA.AISLA.PROTEC.P/COND.AEREO DESN.MT.70-185MM2.15KV.</v>
          </cell>
        </row>
        <row r="1503">
          <cell r="B1503">
            <v>5119188</v>
          </cell>
          <cell r="C1503" t="str">
            <v>ECM</v>
          </cell>
          <cell r="D1503" t="str">
            <v>TUBO TERMOCONTRAIBLE P.CABLE SECO ALUMINIO 1KV 70MM2 LONG.50MM</v>
          </cell>
        </row>
        <row r="1504">
          <cell r="B1504">
            <v>5119188</v>
          </cell>
          <cell r="C1504" t="str">
            <v>RAY</v>
          </cell>
          <cell r="D1504" t="str">
            <v>TUBO TERMOCONTRAIBLE P.CABLE SECO ALUMINIO 1KV 70MM2 LONG.50MM</v>
          </cell>
        </row>
        <row r="1505">
          <cell r="B1505">
            <v>5119190</v>
          </cell>
          <cell r="C1505" t="str">
            <v>ECM</v>
          </cell>
          <cell r="D1505" t="str">
            <v>TUBO TERMOCONTRAIBLE P.CABLE SECO ALUMINIO 1KV 120MM2 LONG.50MM</v>
          </cell>
        </row>
        <row r="1506">
          <cell r="B1506">
            <v>5119190</v>
          </cell>
          <cell r="C1506" t="str">
            <v>RAY</v>
          </cell>
          <cell r="D1506" t="str">
            <v>TUBO TERMOCONTRAIBLE P.CABLE SECO ALUMINIO 1KV 120MM2 LONG.50MM</v>
          </cell>
        </row>
        <row r="1507">
          <cell r="B1507">
            <v>5119194</v>
          </cell>
          <cell r="C1507" t="str">
            <v>ECM</v>
          </cell>
          <cell r="D1507" t="str">
            <v>TUBO TERMOCONTRAIBLE P.CABLE SECO ALUMINIO 1KV 300MM2 LONG.50MM</v>
          </cell>
        </row>
        <row r="1508">
          <cell r="B1508">
            <v>5119194</v>
          </cell>
          <cell r="C1508" t="str">
            <v>RAY</v>
          </cell>
          <cell r="D1508" t="str">
            <v>TUBO TERMOCONTRAIBLE P.CABLE SECO ALUMINIO 1KV 300MM2 LONG.50MM</v>
          </cell>
        </row>
        <row r="1509">
          <cell r="B1509">
            <v>5119196</v>
          </cell>
          <cell r="C1509" t="str">
            <v>ECM</v>
          </cell>
          <cell r="D1509" t="str">
            <v>TUBO TERMOCONTRAIBLE P.CABLE SECO ALUMINIO 1KV 500MM2 LONG.50MM</v>
          </cell>
        </row>
        <row r="1510">
          <cell r="B1510">
            <v>5119196</v>
          </cell>
          <cell r="C1510" t="str">
            <v>RAY</v>
          </cell>
          <cell r="D1510" t="str">
            <v>TUBO TERMOCONTRAIBLE P.CABLE SECO ALUMINIO 1KV 500MM2 LONG.50MM</v>
          </cell>
        </row>
        <row r="1511">
          <cell r="B1511">
            <v>5119202</v>
          </cell>
          <cell r="C1511" t="str">
            <v>P3M</v>
          </cell>
          <cell r="D1511" t="str">
            <v>PUNTA MUERTA TERMOC. P. CABLES TRIP. B.T. 6-35MM2.</v>
          </cell>
        </row>
        <row r="1512">
          <cell r="B1512">
            <v>5119202</v>
          </cell>
          <cell r="C1512" t="str">
            <v>RAY</v>
          </cell>
          <cell r="D1512" t="str">
            <v>PUNTA MUERTA TERMOC. P. CABLES TRIP. B.T. 6-35MM2.</v>
          </cell>
        </row>
        <row r="1513">
          <cell r="B1513">
            <v>5119202</v>
          </cell>
          <cell r="C1513" t="str">
            <v>RAY</v>
          </cell>
          <cell r="D1513" t="str">
            <v>PUNTA MUERTA TERMOC. P. CABLES TRIP. B.T. 6-35MM2.</v>
          </cell>
        </row>
        <row r="1514">
          <cell r="B1514">
            <v>5119204</v>
          </cell>
          <cell r="C1514" t="str">
            <v>RAY</v>
          </cell>
          <cell r="D1514" t="str">
            <v>PUNTA MUERTA TERMOCONTRAIBLE P.CABLE ENERGIA UNIPOLAR SECO 6 - 10MM2 EN B.T.</v>
          </cell>
        </row>
        <row r="1515">
          <cell r="B1515">
            <v>5119204</v>
          </cell>
          <cell r="C1515" t="str">
            <v>RAY</v>
          </cell>
          <cell r="D1515" t="str">
            <v>PUNTA MUERTA TERMOCONTRAIBLE P.CABLE ENERGIA UNIPOLAR SECO 6 - 10MM2 EN B.T.</v>
          </cell>
        </row>
        <row r="1516">
          <cell r="B1516">
            <v>5119206</v>
          </cell>
          <cell r="C1516" t="str">
            <v>P3M</v>
          </cell>
          <cell r="D1516" t="str">
            <v>PUNTA MUERTA TERMOC. P. CABLES TRIP. B.T. 70-120MM2.</v>
          </cell>
        </row>
        <row r="1517">
          <cell r="B1517">
            <v>5119206</v>
          </cell>
          <cell r="C1517" t="str">
            <v>RAY</v>
          </cell>
          <cell r="D1517" t="str">
            <v>PUNTA MUERTA TERMOC. P. CABLES TRIP. B.T. 70-120MM2.</v>
          </cell>
        </row>
        <row r="1518">
          <cell r="B1518">
            <v>5119206</v>
          </cell>
          <cell r="C1518" t="str">
            <v>RAY</v>
          </cell>
          <cell r="D1518" t="str">
            <v>PUNTA MUERTA TERMOC. P. CABLES TRIP. B.T. 70-120MM2.</v>
          </cell>
        </row>
        <row r="1519">
          <cell r="B1519">
            <v>5119208</v>
          </cell>
          <cell r="C1519" t="str">
            <v>RAY</v>
          </cell>
          <cell r="D1519" t="str">
            <v>PUNTA MUERTA TERMOCONTRAIBLE P.CABLE ENERGIA UNIPOLAR SECO 16 - 95MM2 EN B.T.</v>
          </cell>
        </row>
        <row r="1520">
          <cell r="B1520">
            <v>5119208</v>
          </cell>
          <cell r="C1520" t="str">
            <v>RAY</v>
          </cell>
          <cell r="D1520" t="str">
            <v>PUNTA MUERTA TERMOCONTRAIBLE P.CABLE ENERGIA UNIPOLAR SECO 16 - 95MM2 EN B.T.</v>
          </cell>
        </row>
        <row r="1521">
          <cell r="B1521">
            <v>5119210</v>
          </cell>
          <cell r="C1521" t="str">
            <v>P3M</v>
          </cell>
          <cell r="D1521" t="str">
            <v>PUNTA MUERTA TERMOC. P. CABLES TRIP. B.T. 185-300MM2.</v>
          </cell>
        </row>
        <row r="1522">
          <cell r="B1522">
            <v>5119210</v>
          </cell>
          <cell r="C1522" t="str">
            <v>RAY</v>
          </cell>
          <cell r="D1522" t="str">
            <v>PUNTA MUERTA TERMOC. P. CABLES TRIP. B.T. 185-300MM2.</v>
          </cell>
        </row>
        <row r="1523">
          <cell r="B1523">
            <v>5119210</v>
          </cell>
          <cell r="C1523" t="str">
            <v>RAY</v>
          </cell>
          <cell r="D1523" t="str">
            <v>PUNTA MUERTA TERMOC. P. CABLES TRIP. B.T. 185-300MM2.</v>
          </cell>
        </row>
        <row r="1524">
          <cell r="B1524">
            <v>5119212</v>
          </cell>
          <cell r="C1524" t="str">
            <v>RAY</v>
          </cell>
          <cell r="D1524" t="str">
            <v>PUNTA MUERTA TERMOCONTRAIBLE P.CABLE ENERGIA UNIPOLAR SECO 120 - 300MM2 EN B.T.</v>
          </cell>
        </row>
        <row r="1525">
          <cell r="B1525">
            <v>5119212</v>
          </cell>
          <cell r="C1525" t="str">
            <v>RAY</v>
          </cell>
          <cell r="D1525" t="str">
            <v>PUNTA MUERTA TERMOCONTRAIBLE P.CABLE ENERGIA UNIPOLAR SECO 120 - 300MM2 EN B.T.</v>
          </cell>
        </row>
        <row r="1526">
          <cell r="B1526">
            <v>5119214</v>
          </cell>
          <cell r="C1526" t="str">
            <v>P3M</v>
          </cell>
          <cell r="D1526" t="str">
            <v>CAPUCHON TERMORREST.P.CABLE NKY         10/35MM2.</v>
          </cell>
        </row>
        <row r="1527">
          <cell r="B1527">
            <v>5119214</v>
          </cell>
          <cell r="C1527" t="str">
            <v>RAY</v>
          </cell>
          <cell r="D1527" t="str">
            <v>CAPUCHON TERMORREST.P.CABLE NKY         10/35MM2.</v>
          </cell>
        </row>
        <row r="1528">
          <cell r="B1528">
            <v>5119217</v>
          </cell>
          <cell r="C1528" t="str">
            <v>RAY</v>
          </cell>
          <cell r="D1528" t="str">
            <v>PUNTA MUERTA TERMOCONTRAIBLE P.CABLE ENERGIA UNIPOLAR SECO 500MM2 EN B.T.</v>
          </cell>
        </row>
        <row r="1529">
          <cell r="B1529">
            <v>5119217</v>
          </cell>
          <cell r="C1529" t="str">
            <v>RAY</v>
          </cell>
          <cell r="D1529" t="str">
            <v>PUNTA MUERTA TERMOCONTRAIBLE P.CABLE ENERGIA UNIPOLAR SECO 500MM2 EN B.T.</v>
          </cell>
        </row>
        <row r="1530">
          <cell r="B1530">
            <v>5119219</v>
          </cell>
          <cell r="C1530" t="str">
            <v>RAY</v>
          </cell>
          <cell r="D1530" t="str">
            <v>BOTA Y TUBO TERMOCONTRAIBLES P.CABLE CONCENTRICO MONOFASICO EN ACOMETIDAS DOMICILIARIAS B.T.</v>
          </cell>
        </row>
        <row r="1531">
          <cell r="B1531">
            <v>5119220</v>
          </cell>
          <cell r="C1531" t="str">
            <v>RAY</v>
          </cell>
          <cell r="D1531" t="str">
            <v>BOTA Y TUBO TERMOCONTRAIBLES P.CABLE CONCENTRICO TRIFASICO EN ACOMETIDAS DOMICILIARIAS B.T.</v>
          </cell>
        </row>
        <row r="1532">
          <cell r="B1532">
            <v>5119222</v>
          </cell>
          <cell r="C1532" t="str">
            <v>P3M</v>
          </cell>
          <cell r="D1532" t="str">
            <v>PUNTAS MUERTAS AUTOFUNDENTES P.CABLES ENERGIA UNIPOLARES 6 - 35MM2 KIT DE 3 FASES EN B.T.</v>
          </cell>
        </row>
        <row r="1533">
          <cell r="B1533">
            <v>5119223</v>
          </cell>
          <cell r="C1533" t="str">
            <v>P3M</v>
          </cell>
          <cell r="D1533" t="str">
            <v>PUNTAS MUERTAS AUTOFUNDENTES P.CABLES ENERGIA UNIPOLARES 70 - 120MM2 KIT DE 3 FASES EN B.T.</v>
          </cell>
        </row>
        <row r="1534">
          <cell r="B1534">
            <v>5119224</v>
          </cell>
          <cell r="C1534" t="str">
            <v>P3M</v>
          </cell>
          <cell r="D1534" t="str">
            <v>PUNTAS MUERTAS AUTOFUNDENTES P.CABLES ENERGIA UNIPOLARES 185 - 300MM2 KIT DE 3 FASES EN B.T.</v>
          </cell>
        </row>
        <row r="1535">
          <cell r="B1535">
            <v>5119225</v>
          </cell>
          <cell r="C1535" t="str">
            <v>P3M</v>
          </cell>
          <cell r="D1535" t="str">
            <v>PUNTAS MUERTAS AUTOFUNDENTES P.CABLES ENERGIA UNIPOLARES 400-500MM2 KIT DE 3 FASES EN B.T.</v>
          </cell>
        </row>
        <row r="1536">
          <cell r="B1536">
            <v>5119232</v>
          </cell>
          <cell r="C1536" t="str">
            <v>P3M</v>
          </cell>
          <cell r="D1536" t="str">
            <v>CAPUCHON TERMORREST.P.CABLE NKY         70/120MM2.</v>
          </cell>
        </row>
        <row r="1537">
          <cell r="B1537">
            <v>5119232</v>
          </cell>
          <cell r="C1537" t="str">
            <v>RAY</v>
          </cell>
          <cell r="D1537" t="str">
            <v>CAPUCHON TERMORREST.P.CABLE NKY         70/120MM2.</v>
          </cell>
        </row>
        <row r="1538">
          <cell r="B1538">
            <v>5119252</v>
          </cell>
          <cell r="C1538" t="str">
            <v>RAY</v>
          </cell>
          <cell r="D1538" t="str">
            <v>MANGA TERMORREST.P.BORNE 100KVA.     50MMDX300MML.</v>
          </cell>
        </row>
        <row r="1539">
          <cell r="B1539">
            <v>5119403</v>
          </cell>
          <cell r="C1539" t="str">
            <v>ELA</v>
          </cell>
          <cell r="D1539" t="str">
            <v>PUENTE 2 VIAS ENCHUF.P.SCP/SCB 200A.10KV*SID-ET-07</v>
          </cell>
        </row>
        <row r="1540">
          <cell r="B1540">
            <v>5119404</v>
          </cell>
          <cell r="C1540" t="str">
            <v>ELA</v>
          </cell>
          <cell r="D1540" t="str">
            <v>PUENTE DE DOS VIAS ENCHUFABLE (INSERTO DOBLE OCC) 15KV 200A REF. MARCA ELASTIMOLD MODELO 1602A3R</v>
          </cell>
        </row>
        <row r="1541">
          <cell r="B1541">
            <v>5119405</v>
          </cell>
          <cell r="C1541" t="str">
            <v>ELA</v>
          </cell>
          <cell r="D1541" t="str">
            <v>AISLADOR PASANTE TP.POZO LARGO   10KV.</v>
          </cell>
        </row>
        <row r="1542">
          <cell r="B1542">
            <v>5119406</v>
          </cell>
          <cell r="C1542" t="str">
            <v>CLD</v>
          </cell>
          <cell r="D1542" t="str">
            <v>AISLADOR PASANTE TP.POZO CORTO   10KV 200A</v>
          </cell>
        </row>
        <row r="1543">
          <cell r="B1543">
            <v>5119406</v>
          </cell>
          <cell r="C1543" t="str">
            <v>ELA</v>
          </cell>
          <cell r="D1543" t="str">
            <v>AISLADOR PASANTE TP.POZO CORTO   10KV 200A</v>
          </cell>
        </row>
        <row r="1544">
          <cell r="B1544">
            <v>5119408</v>
          </cell>
          <cell r="C1544" t="str">
            <v>ELA</v>
          </cell>
          <cell r="D1544" t="str">
            <v>VARILLA PARA CONEXION A TIERRA          *SID-ET-07</v>
          </cell>
        </row>
        <row r="1545">
          <cell r="B1545">
            <v>5119408</v>
          </cell>
          <cell r="C1545" t="str">
            <v>KEA</v>
          </cell>
          <cell r="D1545" t="str">
            <v>VARILLA PARA CONEXION A TIERRA          *SID-ET-07</v>
          </cell>
        </row>
        <row r="1546">
          <cell r="B1546">
            <v>5119409</v>
          </cell>
          <cell r="C1546" t="str">
            <v>ELA</v>
          </cell>
          <cell r="D1546" t="str">
            <v>TAPON CONECTOR C.AISLAMIENTO PLASTICO P.BORNE RECEPTACULO ENCHUFABLE 10KV</v>
          </cell>
        </row>
        <row r="1547">
          <cell r="B1547">
            <v>5119409</v>
          </cell>
          <cell r="C1547" t="str">
            <v>P3M</v>
          </cell>
          <cell r="D1547" t="str">
            <v>TAPON CONECTOR C.AISLAMIENTO PLASTICO P.BORNE RECEPTACULO ENCHUFABLE 10KV</v>
          </cell>
        </row>
        <row r="1548">
          <cell r="B1548">
            <v>5119410</v>
          </cell>
          <cell r="C1548" t="str">
            <v>COO</v>
          </cell>
          <cell r="D1548" t="str">
            <v>BORNE TP.RECEPTACULO ENCHUFABLE P.ACCIONAMIENTO CARGA 10KV 200A</v>
          </cell>
        </row>
        <row r="1549">
          <cell r="B1549">
            <v>5119410</v>
          </cell>
          <cell r="C1549" t="str">
            <v>ELA</v>
          </cell>
          <cell r="D1549" t="str">
            <v>BORNE TP.RECEPTACULO ENCHUFABLE P.ACCIONAMIENTO CARGA 10KV 200A</v>
          </cell>
        </row>
        <row r="1550">
          <cell r="B1550">
            <v>5119410</v>
          </cell>
          <cell r="C1550" t="str">
            <v>P3M</v>
          </cell>
          <cell r="D1550" t="str">
            <v>BORNE TP.RECEPTACULO ENCHUFABLE P.ACCIONAMIENTO CARGA 10KV 200A</v>
          </cell>
        </row>
        <row r="1551">
          <cell r="B1551">
            <v>5119411</v>
          </cell>
          <cell r="C1551" t="str">
            <v>COO</v>
          </cell>
          <cell r="D1551" t="str">
            <v>CONECTOR CODO P.CABLE SECO TP.N2XSY 25MM2 200A 10KV</v>
          </cell>
        </row>
        <row r="1552">
          <cell r="B1552">
            <v>5119411</v>
          </cell>
          <cell r="C1552" t="str">
            <v>ELA</v>
          </cell>
          <cell r="D1552" t="str">
            <v>CONECTOR CODO P.CABLE SECO TP.N2XSY 25MM2 200A 10KV</v>
          </cell>
        </row>
        <row r="1553">
          <cell r="B1553">
            <v>5119411</v>
          </cell>
          <cell r="C1553" t="str">
            <v>HUB</v>
          </cell>
          <cell r="D1553" t="str">
            <v>CONECTOR CODO P.CABLE SECO TP.N2XSY 25MM2 200A 10KV</v>
          </cell>
        </row>
        <row r="1554">
          <cell r="B1554">
            <v>5119411</v>
          </cell>
          <cell r="C1554" t="str">
            <v>P3M</v>
          </cell>
          <cell r="D1554" t="str">
            <v>CONECTOR CODO P.CABLE SECO TP.N2XSY 25MM2 200A 10KV</v>
          </cell>
        </row>
        <row r="1555">
          <cell r="B1555">
            <v>5119413</v>
          </cell>
          <cell r="C1555" t="str">
            <v>COO</v>
          </cell>
          <cell r="D1555" t="str">
            <v>CONECTOR CODO P.CABLE SECO TP.N2XSY 35MM2 200A 10KV</v>
          </cell>
        </row>
        <row r="1556">
          <cell r="B1556">
            <v>5119413</v>
          </cell>
          <cell r="C1556" t="str">
            <v>ELA</v>
          </cell>
          <cell r="D1556" t="str">
            <v>CONECTOR CODO P.CABLE SECO TP.N2XSY 35MM2 200A 10KV</v>
          </cell>
        </row>
        <row r="1557">
          <cell r="B1557">
            <v>5119413</v>
          </cell>
          <cell r="C1557" t="str">
            <v>P3M</v>
          </cell>
          <cell r="D1557" t="str">
            <v>CONECTOR CODO P.CABLE SECO TP.N2XSY 35MM2 200A 10KV</v>
          </cell>
        </row>
        <row r="1558">
          <cell r="B1558">
            <v>5119417</v>
          </cell>
          <cell r="C1558" t="str">
            <v>COO</v>
          </cell>
          <cell r="D1558" t="str">
            <v>CONECTOR CODO P.CABLE SECO TP.N2XSY 70MM2 200A 10KV</v>
          </cell>
        </row>
        <row r="1559">
          <cell r="B1559">
            <v>5119424</v>
          </cell>
          <cell r="C1559" t="str">
            <v>COO</v>
          </cell>
          <cell r="D1559" t="str">
            <v>CONECTOR CODO P.CABLE SECO TP.N2XSY 50MM2 200A 25KV</v>
          </cell>
        </row>
        <row r="1560">
          <cell r="B1560">
            <v>5119424</v>
          </cell>
          <cell r="C1560" t="str">
            <v>ELA</v>
          </cell>
          <cell r="D1560" t="str">
            <v>CONECTOR CODO P.CABLE SECO TP.N2XSY 50MM2 200A 25KV</v>
          </cell>
        </row>
        <row r="1561">
          <cell r="B1561">
            <v>5119425</v>
          </cell>
          <cell r="C1561" t="str">
            <v>COO</v>
          </cell>
          <cell r="D1561" t="str">
            <v>CONECTOR CODO P.CABLE SECO TP.N2XSY 70MM2 200A 25KV</v>
          </cell>
        </row>
        <row r="1562">
          <cell r="B1562">
            <v>5119425</v>
          </cell>
          <cell r="C1562" t="str">
            <v>ELA</v>
          </cell>
          <cell r="D1562" t="str">
            <v>CONECTOR CODO P.CABLE SECO TP.N2XSY 70MM2 200A 25KV</v>
          </cell>
        </row>
        <row r="1563">
          <cell r="B1563">
            <v>5119425</v>
          </cell>
          <cell r="C1563" t="str">
            <v>HUB</v>
          </cell>
          <cell r="D1563" t="str">
            <v>CONECTOR CODO P.CABLE SECO TP.N2XSY 70MM2 200A 25KV</v>
          </cell>
        </row>
        <row r="1564">
          <cell r="B1564">
            <v>5119425</v>
          </cell>
          <cell r="C1564" t="str">
            <v>P3M</v>
          </cell>
          <cell r="D1564" t="str">
            <v>CONECTOR CODO P.CABLE SECO TP.N2XSY 70MM2 200A 25KV</v>
          </cell>
        </row>
        <row r="1565">
          <cell r="B1565">
            <v>5119428</v>
          </cell>
          <cell r="C1565" t="str">
            <v>COO</v>
          </cell>
          <cell r="D1565" t="str">
            <v>CONECTOR CODO P.CABLE SECO TP.N2XSY - NA2XSY 120MM2 200A CL.15 / 25KV</v>
          </cell>
        </row>
        <row r="1566">
          <cell r="B1566">
            <v>5119428</v>
          </cell>
          <cell r="C1566" t="str">
            <v>ELA</v>
          </cell>
          <cell r="D1566" t="str">
            <v>CONECTOR CODO P.CABLE SECO TP.N2XSY - NA2XSY 120MM2 200A CL.15 / 25KV</v>
          </cell>
        </row>
        <row r="1567">
          <cell r="B1567">
            <v>5119440</v>
          </cell>
          <cell r="C1567" t="str">
            <v>COO</v>
          </cell>
          <cell r="D1567" t="str">
            <v>BORNE TP.RECEPTACULO ENCHUFABLE P.ACCIONAMIENTO CARGA 25KV 200A</v>
          </cell>
        </row>
        <row r="1568">
          <cell r="B1568">
            <v>5119440</v>
          </cell>
          <cell r="C1568" t="str">
            <v>ELA</v>
          </cell>
          <cell r="D1568" t="str">
            <v>BORNE TP.RECEPTACULO ENCHUFABLE P.ACCIONAMIENTO CARGA 25KV 200A</v>
          </cell>
        </row>
        <row r="1569">
          <cell r="B1569">
            <v>5119440</v>
          </cell>
          <cell r="C1569" t="str">
            <v>P3M</v>
          </cell>
          <cell r="D1569" t="str">
            <v>BORNE TP.RECEPTACULO ENCHUFABLE P.ACCIONAMIENTO CARGA 25KV 200A</v>
          </cell>
        </row>
        <row r="1570">
          <cell r="B1570">
            <v>5119450</v>
          </cell>
          <cell r="C1570" t="str">
            <v>ELA</v>
          </cell>
          <cell r="D1570" t="str">
            <v>TAPON CONECTOR C.AISLAMIENTO PLASTICO P.BORNE RECEPTACULO ENCHUFABLE 25KV</v>
          </cell>
        </row>
        <row r="1571">
          <cell r="B1571">
            <v>5119450</v>
          </cell>
          <cell r="C1571" t="str">
            <v>P3M</v>
          </cell>
          <cell r="D1571" t="str">
            <v>TAPON CONECTOR C.AISLAMIENTO PLASTICO P.BORNE RECEPTACULO ENCHUFABLE 25KV</v>
          </cell>
        </row>
        <row r="1572">
          <cell r="B1572">
            <v>5119460</v>
          </cell>
          <cell r="C1572" t="str">
            <v>COO</v>
          </cell>
          <cell r="D1572" t="str">
            <v>DERIVACION DE 3 VIAS TP.ENCHUFABLE DE CAUCHO C.BASE DE ACERO P.SECCIONAMIENTO C.CARGA 22,9KV 200A</v>
          </cell>
        </row>
        <row r="1573">
          <cell r="B1573">
            <v>5119464</v>
          </cell>
          <cell r="C1573" t="str">
            <v>ELA</v>
          </cell>
          <cell r="D1573" t="str">
            <v>AISLADOR PARQUEO ENCHUF.AISL.PLAST.10KV.*SID-ET-07</v>
          </cell>
        </row>
        <row r="1574">
          <cell r="B1574">
            <v>5119464</v>
          </cell>
          <cell r="C1574" t="str">
            <v>KEA</v>
          </cell>
          <cell r="D1574" t="str">
            <v>AISLADOR PARQUEO ENCHUF.AISL.PLAST.10KV.*SID-ET-07</v>
          </cell>
        </row>
        <row r="1575">
          <cell r="B1575">
            <v>5119466</v>
          </cell>
          <cell r="C1575" t="str">
            <v>ELA</v>
          </cell>
          <cell r="D1575" t="str">
            <v>VARILLA PARA PRUEBAS                    *SID-ET-07</v>
          </cell>
        </row>
        <row r="1576">
          <cell r="B1576">
            <v>5119466</v>
          </cell>
          <cell r="C1576" t="str">
            <v>KEA</v>
          </cell>
          <cell r="D1576" t="str">
            <v>VARILLA PARA PRUEBAS                    *SID-ET-07</v>
          </cell>
        </row>
        <row r="1577">
          <cell r="B1577">
            <v>5119467</v>
          </cell>
          <cell r="C1577" t="str">
            <v>ABH</v>
          </cell>
          <cell r="D1577" t="str">
            <v>ABRAZADERA P.SUJECION DE CONECTOR DE CODO 10 KV.</v>
          </cell>
        </row>
        <row r="1578">
          <cell r="B1578">
            <v>5119467</v>
          </cell>
          <cell r="C1578" t="str">
            <v>KEA</v>
          </cell>
          <cell r="D1578" t="str">
            <v>ABRAZADERA P.SUJECION DE CONECTOR DE CODO 10 KV.</v>
          </cell>
        </row>
        <row r="1579">
          <cell r="B1579">
            <v>5119469</v>
          </cell>
          <cell r="C1579" t="str">
            <v>COO</v>
          </cell>
          <cell r="D1579" t="str">
            <v>DERIVACION DE 3 VIAS TP.ENCHUFABLE DE CAUCHO C.BASE DE ACERO P.SECCIONAMIENTO C.CARGA 10KV 200A</v>
          </cell>
        </row>
        <row r="1580">
          <cell r="B1580">
            <v>5119469</v>
          </cell>
          <cell r="C1580" t="str">
            <v>ELA</v>
          </cell>
          <cell r="D1580" t="str">
            <v>DERIVACION DE 3 VIAS TP.ENCHUFABLE DE CAUCHO C.BASE DE ACERO P.SECCIONAMIENTO C.CARGA 10KV 200A</v>
          </cell>
        </row>
        <row r="1581">
          <cell r="B1581">
            <v>5119469</v>
          </cell>
          <cell r="C1581" t="str">
            <v>P3M</v>
          </cell>
          <cell r="D1581" t="str">
            <v>DERIVACION DE 3 VIAS TP.ENCHUFABLE DE CAUCHO C.BASE DE ACERO P.SECCIONAMIENTO C.CARGA 10KV 200A</v>
          </cell>
        </row>
        <row r="1582">
          <cell r="B1582">
            <v>5119470</v>
          </cell>
          <cell r="C1582" t="str">
            <v>ELA</v>
          </cell>
          <cell r="D1582" t="str">
            <v>DERIVACION DE 3 VIAS TP.ENCHUFABLE DE CAUCHO C.BASE DE ACERO P.SECCIONAMIENTO C.CARGA</v>
          </cell>
        </row>
        <row r="1583">
          <cell r="B1583">
            <v>5119470</v>
          </cell>
          <cell r="C1583" t="str">
            <v>GEL</v>
          </cell>
          <cell r="D1583" t="str">
            <v>DERIVACION DE 3 VIAS TP.ENCHUFABLE DE CAUCHO C.BASE DE ACERO P.SECCIONAMIENTO C.CARGA</v>
          </cell>
        </row>
        <row r="1584">
          <cell r="B1584">
            <v>5119470</v>
          </cell>
          <cell r="C1584" t="str">
            <v>KEA</v>
          </cell>
          <cell r="D1584" t="str">
            <v>DERIVACION DE 3 VIAS TP.ENCHUFABLE DE CAUCHO C.BASE DE ACERO P.SECCIONAMIENTO C.CARGA</v>
          </cell>
        </row>
        <row r="1585">
          <cell r="B1585">
            <v>5119474</v>
          </cell>
          <cell r="C1585" t="str">
            <v>COO</v>
          </cell>
          <cell r="D1585" t="str">
            <v>ADAPTADOR DE CONEXION A TIERRA P.CABLES EN 22.9KV. CON AISLAMIENTO XLPE DE 70MM2</v>
          </cell>
        </row>
        <row r="1586">
          <cell r="B1586">
            <v>5119474</v>
          </cell>
          <cell r="C1586" t="str">
            <v>ELA</v>
          </cell>
          <cell r="D1586" t="str">
            <v>ADAPTADOR DE CONEXION A TIERRA P.CABLES EN 22.9KV. CON AISLAMIENTO XLPE DE 70MM2</v>
          </cell>
        </row>
        <row r="1587">
          <cell r="B1587">
            <v>5119474</v>
          </cell>
          <cell r="C1587" t="str">
            <v>P3M</v>
          </cell>
          <cell r="D1587" t="str">
            <v>ADAPTADOR DE CONEXION A TIERRA P.CABLES EN 22.9KV. CON AISLAMIENTO XLPE DE 70MM2</v>
          </cell>
        </row>
        <row r="1588">
          <cell r="B1588">
            <v>5119475</v>
          </cell>
          <cell r="C1588" t="str">
            <v>COO</v>
          </cell>
          <cell r="D1588" t="str">
            <v>ADAPTADOR DE CONEXION A TIERRA P.CABLES EN 22.9KV. CON AISLAMIENTO XLPE DE 50MM2</v>
          </cell>
        </row>
        <row r="1589">
          <cell r="B1589">
            <v>5119475</v>
          </cell>
          <cell r="C1589" t="str">
            <v>ELA</v>
          </cell>
          <cell r="D1589" t="str">
            <v>ADAPTADOR DE CONEXION A TIERRA P.CABLES EN 22.9KV. CON AISLAMIENTO XLPE DE 50MM2</v>
          </cell>
        </row>
        <row r="1590">
          <cell r="B1590">
            <v>5119475</v>
          </cell>
          <cell r="C1590" t="str">
            <v>P3M</v>
          </cell>
          <cell r="D1590" t="str">
            <v>ADAPTADOR DE CONEXION A TIERRA P.CABLES EN 22.9KV. CON AISLAMIENTO XLPE DE 50MM2</v>
          </cell>
        </row>
        <row r="1591">
          <cell r="B1591">
            <v>5119477</v>
          </cell>
          <cell r="C1591" t="str">
            <v>COO</v>
          </cell>
          <cell r="D1591" t="str">
            <v>ADAPTADOR P.CONEXION A TIERRA P.CABLES DE AISLAMIENTO SECO DE 25MM2</v>
          </cell>
        </row>
        <row r="1592">
          <cell r="B1592">
            <v>5119477</v>
          </cell>
          <cell r="C1592" t="str">
            <v>ELA</v>
          </cell>
          <cell r="D1592" t="str">
            <v>ADAPTADOR P.CONEXION A TIERRA P.CABLES DE AISLAMIENTO SECO DE 25MM2</v>
          </cell>
        </row>
        <row r="1593">
          <cell r="B1593">
            <v>5119477</v>
          </cell>
          <cell r="C1593" t="str">
            <v>P3M</v>
          </cell>
          <cell r="D1593" t="str">
            <v>ADAPTADOR P.CONEXION A TIERRA P.CABLES DE AISLAMIENTO SECO DE 25MM2</v>
          </cell>
        </row>
        <row r="1594">
          <cell r="B1594">
            <v>5119478</v>
          </cell>
          <cell r="C1594" t="str">
            <v>COO</v>
          </cell>
          <cell r="D1594" t="str">
            <v>ADAPTADOR P.CONEXION A TIERRA P.CABLES DE AISLAMIENTO SECO DE 35MM2</v>
          </cell>
        </row>
        <row r="1595">
          <cell r="B1595">
            <v>5119478</v>
          </cell>
          <cell r="C1595" t="str">
            <v>ELA</v>
          </cell>
          <cell r="D1595" t="str">
            <v>ADAPTADOR P.CONEXION A TIERRA P.CABLES DE AISLAMIENTO SECO DE 35MM2</v>
          </cell>
        </row>
        <row r="1596">
          <cell r="B1596">
            <v>5119478</v>
          </cell>
          <cell r="C1596" t="str">
            <v>P3M</v>
          </cell>
          <cell r="D1596" t="str">
            <v>ADAPTADOR P.CONEXION A TIERRA P.CABLES DE AISLAMIENTO SECO DE 35MM2</v>
          </cell>
        </row>
        <row r="1597">
          <cell r="B1597">
            <v>5119488</v>
          </cell>
          <cell r="C1597" t="str">
            <v>COO</v>
          </cell>
          <cell r="D1597" t="str">
            <v>ADAPTADOR DE CONEXION A TIERRA P.CABLES EN 22.9KV. CON AISLAMIENTO XLPE DE 120MM2.</v>
          </cell>
        </row>
        <row r="1598">
          <cell r="B1598">
            <v>5119488</v>
          </cell>
          <cell r="C1598" t="str">
            <v>ELA</v>
          </cell>
          <cell r="D1598" t="str">
            <v>ADAPTADOR DE CONEXION A TIERRA P.CABLES EN 22.9KV. CON AISLAMIENTO XLPE DE 120MM2.</v>
          </cell>
        </row>
        <row r="1599">
          <cell r="B1599">
            <v>5131246</v>
          </cell>
          <cell r="C1599" t="str">
            <v>RAY</v>
          </cell>
          <cell r="D1599" t="str">
            <v>EMPALME DERECHO UNIPOLAR TERMOCONTRAIBLE P.CABLE N2XSY / NA2XSY 400MM2 CL.25KV</v>
          </cell>
        </row>
        <row r="1600">
          <cell r="B1600">
            <v>5131247</v>
          </cell>
          <cell r="C1600" t="str">
            <v>P3M</v>
          </cell>
          <cell r="D1600" t="str">
            <v>EMPALME DERECHO AUTOCONTRAIBLE P.CABLE N2XSY / NA2XSY 300 - 400MM2 22,9KV S.CONECTOR</v>
          </cell>
        </row>
        <row r="1601">
          <cell r="B1601">
            <v>5131247</v>
          </cell>
          <cell r="C1601" t="str">
            <v>P3M</v>
          </cell>
          <cell r="D1601" t="str">
            <v>EMPALME DERECHO AUTOCONTRAIBLE P.CABLE N2XSY / NA2XSY 300 - 400MM2 22,9KV S.CONECTOR</v>
          </cell>
        </row>
        <row r="1602">
          <cell r="B1602">
            <v>5131250</v>
          </cell>
          <cell r="C1602" t="str">
            <v>P3M</v>
          </cell>
          <cell r="D1602" t="str">
            <v>EMPALME DERECHO UNIPOLAR AUTOCONTRAIBLE P.CABLE N2XSY / NA2XSY 50-120MM2 22,9KV S.CONECTOR</v>
          </cell>
        </row>
        <row r="1603">
          <cell r="B1603">
            <v>5131250</v>
          </cell>
          <cell r="C1603" t="str">
            <v>P3M</v>
          </cell>
          <cell r="D1603" t="str">
            <v>EMPALME DERECHO UNIPOLAR AUTOCONTRAIBLE P.CABLE N2XSY / NA2XSY 50-120MM2 22,9KV S.CONECTOR</v>
          </cell>
        </row>
        <row r="1604">
          <cell r="B1604">
            <v>5131251</v>
          </cell>
          <cell r="C1604" t="str">
            <v>P3M</v>
          </cell>
          <cell r="D1604" t="str">
            <v>EMPALME DERECHO UNIPOLAR AUTOCONTRAIBLE P.CABLE N2XSY / NA2XSY 50-120MM2 22,9KV C.CONECTOR</v>
          </cell>
        </row>
        <row r="1605">
          <cell r="B1605">
            <v>5131251</v>
          </cell>
          <cell r="C1605" t="str">
            <v>P3M</v>
          </cell>
          <cell r="D1605" t="str">
            <v>EMPALME DERECHO UNIPOLAR AUTOCONTRAIBLE P.CABLE N2XSY / NA2XSY 50-120MM2 22,9KV C.CONECTOR</v>
          </cell>
        </row>
        <row r="1606">
          <cell r="B1606">
            <v>5131252</v>
          </cell>
          <cell r="C1606" t="str">
            <v>P3M</v>
          </cell>
          <cell r="D1606" t="str">
            <v>EMPALME DERECHO UNIPOLAR AUTOCONTRAIBLE P.CABLE N2XSY / NA2XSY 120-240MM2 22,9KV C.CONECTOR</v>
          </cell>
        </row>
        <row r="1607">
          <cell r="B1607">
            <v>5131252</v>
          </cell>
          <cell r="C1607" t="str">
            <v>P3M</v>
          </cell>
          <cell r="D1607" t="str">
            <v>EMPALME DERECHO UNIPOLAR AUTOCONTRAIBLE P.CABLE N2XSY / NA2XSY 120-240MM2 22,9KV C.CONECTOR</v>
          </cell>
        </row>
        <row r="1608">
          <cell r="B1608">
            <v>5131252</v>
          </cell>
          <cell r="C1608" t="str">
            <v>RAY</v>
          </cell>
          <cell r="D1608" t="str">
            <v>EMPALME DERECHO UNIPOLAR AUTOCONTRAIBLE P.CABLE N2XSY / NA2XSY 120-240MM2 22,9KV C.CONECTOR</v>
          </cell>
        </row>
        <row r="1609">
          <cell r="B1609">
            <v>5131253</v>
          </cell>
          <cell r="C1609" t="str">
            <v>P3M</v>
          </cell>
          <cell r="D1609" t="str">
            <v>EMPALME DERECHO UNIPOLAR AUTOCONTRAIBLE P.CABLE N2XSY / NA2XSY 240-400MM 10/2 22,9KV C.CONECTOR</v>
          </cell>
        </row>
        <row r="1610">
          <cell r="B1610">
            <v>5131255</v>
          </cell>
          <cell r="C1610" t="str">
            <v>P3M</v>
          </cell>
          <cell r="D1610" t="str">
            <v>EMPALME DERECHO SIMETRICO AUTOCONTRAIBLE P.CABLE N2XSY 25-70MM2 10KV S.CONECTOR</v>
          </cell>
        </row>
        <row r="1611">
          <cell r="B1611">
            <v>5131273</v>
          </cell>
          <cell r="C1611" t="str">
            <v>P3M</v>
          </cell>
          <cell r="D1611" t="str">
            <v>EMPALME DERECHO UNIPOLAR AUTOCONTRAIBLE P.CABLE N2XSY / NA2XSY 120-400MM2 22,9KV C.CONECTOR</v>
          </cell>
        </row>
        <row r="1612">
          <cell r="B1612">
            <v>5131274</v>
          </cell>
          <cell r="C1612" t="str">
            <v>P3M</v>
          </cell>
          <cell r="D1612" t="str">
            <v>EMPALME DERECHO UNIPOLAR AUTOFUNDENTE P.CABLE N2XSY / NA2XSY 70-120MM2 10/22,9KV C.CONECTOR</v>
          </cell>
        </row>
        <row r="1613">
          <cell r="B1613">
            <v>5131277</v>
          </cell>
          <cell r="C1613" t="str">
            <v>RAY</v>
          </cell>
          <cell r="D1613" t="str">
            <v>EMPALME DERECHO UNIPOLAR TERMOCONTRAIBLE P.CABLE N2XSY / NA2XSY 50-120MM2 22,9KV C.CONECTOR</v>
          </cell>
        </row>
        <row r="1614">
          <cell r="B1614">
            <v>5131278</v>
          </cell>
          <cell r="C1614" t="str">
            <v>RAY</v>
          </cell>
          <cell r="D1614" t="str">
            <v>EMPALME DERECHO UNIPOLAR TERMOCONTRAIBLE ULTRA RAPIDO P.CABLE N2XSY / NA2XSY 70-120MM2 10/22,9KV</v>
          </cell>
        </row>
        <row r="1615">
          <cell r="B1615">
            <v>5131279</v>
          </cell>
          <cell r="C1615" t="str">
            <v>RAY</v>
          </cell>
          <cell r="D1615" t="str">
            <v>EMPALME DERECHO UNIPOLAR TERMOCONTRAIBLE ULTRA RAPIDO P.CABLE N2XSY / NA2XSY 25-120MM2 10/22,9KV</v>
          </cell>
        </row>
        <row r="1616">
          <cell r="B1616">
            <v>5131280</v>
          </cell>
          <cell r="C1616" t="str">
            <v>RAY</v>
          </cell>
          <cell r="D1616" t="str">
            <v>EMPALME DERECHO UNIPOLAR TERMOCONTRAIBLE P.CABLE N2XSY / NA2XSY 120-400MM2 22,9KV C.CONECTOR</v>
          </cell>
        </row>
        <row r="1617">
          <cell r="B1617">
            <v>5131281</v>
          </cell>
          <cell r="C1617" t="str">
            <v>RAY</v>
          </cell>
          <cell r="D1617" t="str">
            <v>EMPALME DERECHO UNIPOLAR TERMOCONTRAIBLE ULTRA RAPIDO P.CABLE N2XSY / NA2XSY 120-400MM2 10/22,9KV</v>
          </cell>
        </row>
        <row r="1618">
          <cell r="B1618">
            <v>5131282</v>
          </cell>
          <cell r="C1618" t="str">
            <v>RAY</v>
          </cell>
          <cell r="D1618" t="str">
            <v>EMPALME DERECHO UNIPOLAR TERMOCONTRAIBLE ULTRA RAPIDO P.CABLE N2XSY / NA2XSY 240-400MM2 10/22,9KV</v>
          </cell>
        </row>
        <row r="1619">
          <cell r="B1619">
            <v>5131285</v>
          </cell>
          <cell r="C1619" t="str">
            <v>RAY</v>
          </cell>
          <cell r="D1619" t="str">
            <v>EMPALME DERECHO UNIPOLAR TERMOCONTRAIBLE EXTRA ULTRA RAPIDO P.CABLE N2XSY / NA2XSY 185-400MM2 22,9KV</v>
          </cell>
        </row>
        <row r="1620">
          <cell r="B1620">
            <v>5131288</v>
          </cell>
          <cell r="C1620" t="str">
            <v>P3M</v>
          </cell>
          <cell r="D1620" t="str">
            <v>EMPALME DERECHO UNIPOLAR AUTOFUNDENTE P.CABLE N2XSY / NA2XSY 120-400MM2 10/22,9KV C.CONECTOR</v>
          </cell>
        </row>
        <row r="1621">
          <cell r="B1621">
            <v>5131289</v>
          </cell>
          <cell r="C1621" t="str">
            <v>RAY</v>
          </cell>
          <cell r="D1621" t="str">
            <v>EMPALME DERECHO UNIPOLAR TERMOCONTRAIBLE P.CABLE N2XSY / NA2XSY 120 - 240MM2 22,9KV C.CONECTOR</v>
          </cell>
        </row>
        <row r="1622">
          <cell r="B1622">
            <v>5131315</v>
          </cell>
          <cell r="C1622" t="str">
            <v>RAY</v>
          </cell>
          <cell r="D1622" t="str">
            <v>EMPALME ASIMETRICO TRIPOLAR TERMOCONTRAIBLE ULTRA RAPIDO P.CABLE NKY / NA2XSY 70-120MM2 10/22,9KV</v>
          </cell>
        </row>
        <row r="1623">
          <cell r="B1623">
            <v>5131316</v>
          </cell>
          <cell r="C1623" t="str">
            <v>P3M</v>
          </cell>
          <cell r="D1623" t="str">
            <v>EMPALME ASIMETRICO TRIPOLAR AUTOFUNDENTE P.CABLE NKY / NA2XSY 70-120MM2 10/22,9KV C.CONECTOR</v>
          </cell>
        </row>
        <row r="1624">
          <cell r="B1624">
            <v>5131320</v>
          </cell>
          <cell r="C1624" t="str">
            <v>RAY</v>
          </cell>
          <cell r="D1624" t="str">
            <v>EMPAL. ASIM.DERE.TRIP.TERMO.NKY-N2XSY 120MM2 10KV</v>
          </cell>
        </row>
        <row r="1625">
          <cell r="B1625">
            <v>5131330</v>
          </cell>
          <cell r="C1625" t="str">
            <v>ECM</v>
          </cell>
          <cell r="D1625" t="str">
            <v>EMPALME ASIM. DER. TERMOCON. P. CABLE NKY-N2XSY 16-70MM2 10KV. SIN CONECTOR</v>
          </cell>
        </row>
        <row r="1626">
          <cell r="B1626">
            <v>5131330</v>
          </cell>
          <cell r="C1626" t="str">
            <v>RAY</v>
          </cell>
          <cell r="D1626" t="str">
            <v>EMPALME ASIM. DER. TERMOCON. P. CABLE NKY-N2XSY 16-70MM2 10KV. SIN CONECTOR</v>
          </cell>
        </row>
        <row r="1627">
          <cell r="B1627">
            <v>5131331</v>
          </cell>
          <cell r="C1627" t="str">
            <v>ECM</v>
          </cell>
          <cell r="D1627" t="str">
            <v>EMPALME ASIM. DER. TERMOCON. P. CABLES NKY-N2XSY 120-240MM2 10KV. SIN CONECTOR</v>
          </cell>
        </row>
        <row r="1628">
          <cell r="B1628">
            <v>5131331</v>
          </cell>
          <cell r="C1628" t="str">
            <v>RAY</v>
          </cell>
          <cell r="D1628" t="str">
            <v>EMPALME ASIM. DER. TERMOCON. P. CABLES NKY-N2XSY 120-240MM2 10KV. SIN CONECTOR</v>
          </cell>
        </row>
        <row r="1629">
          <cell r="B1629">
            <v>5131334</v>
          </cell>
          <cell r="C1629" t="str">
            <v>RAY</v>
          </cell>
          <cell r="D1629" t="str">
            <v>EMPALME ASIM. DER. TERMOCON. NKY-N2XSY 16-70MM2 10KV. C/CONECT.</v>
          </cell>
        </row>
        <row r="1630">
          <cell r="B1630">
            <v>5131335</v>
          </cell>
          <cell r="C1630" t="str">
            <v>RAY</v>
          </cell>
          <cell r="D1630" t="str">
            <v>EMPALME ASIMETRICO DERECHO TERMO. NKY-N2XSY 120-240MM2 10KV C/CONECTOR TABICADO RELLENOS CLASE 17KV.</v>
          </cell>
        </row>
        <row r="1631">
          <cell r="B1631">
            <v>5131346</v>
          </cell>
          <cell r="C1631" t="str">
            <v>P3M</v>
          </cell>
          <cell r="D1631" t="str">
            <v>EMPAL.SIMET.DERE.TRIP.CABLENKY 10KV.3X70MM2 CINTA</v>
          </cell>
        </row>
        <row r="1632">
          <cell r="B1632">
            <v>5131356</v>
          </cell>
          <cell r="C1632" t="str">
            <v>P3M</v>
          </cell>
          <cell r="D1632" t="str">
            <v>EMPALME DERECHO NKY 10KV  3X16 MM2.</v>
          </cell>
        </row>
        <row r="1633">
          <cell r="B1633">
            <v>5131365</v>
          </cell>
          <cell r="C1633" t="str">
            <v>RAY</v>
          </cell>
          <cell r="D1633" t="str">
            <v>EMPALME DERECHO.TERMOC. NKY.10KV.3X16-35MM2.</v>
          </cell>
        </row>
        <row r="1634">
          <cell r="B1634">
            <v>5131370</v>
          </cell>
          <cell r="C1634" t="str">
            <v>RAY</v>
          </cell>
          <cell r="D1634" t="str">
            <v>EMPALME DERECHO TERMOC.NKY.10KV.3X16-3X70MM2 SIN CONECTOR TABICADO.</v>
          </cell>
        </row>
        <row r="1635">
          <cell r="B1635">
            <v>5131371</v>
          </cell>
          <cell r="C1635" t="str">
            <v>RAY</v>
          </cell>
          <cell r="D1635" t="str">
            <v>EMPALME DER. TERMOC. CABLE NKY 120-240MM2 10KV.</v>
          </cell>
        </row>
        <row r="1636">
          <cell r="B1636">
            <v>5131372</v>
          </cell>
          <cell r="C1636" t="str">
            <v>P3M</v>
          </cell>
          <cell r="D1636" t="str">
            <v>EMPALME DERECHO.NKY.10KV.3X120MM2.</v>
          </cell>
        </row>
        <row r="1637">
          <cell r="B1637">
            <v>5131373</v>
          </cell>
          <cell r="C1637" t="str">
            <v>P3M</v>
          </cell>
          <cell r="D1637" t="str">
            <v>EMPALME DERECHO.NKY.10KV.3X240MM2.</v>
          </cell>
        </row>
        <row r="1638">
          <cell r="B1638">
            <v>5131374</v>
          </cell>
          <cell r="C1638" t="str">
            <v>RAY</v>
          </cell>
          <cell r="D1638" t="str">
            <v>EMPALME DER. TERMOC. CABLE NKY 16-70MM2 10KV. C/CONECT.</v>
          </cell>
        </row>
        <row r="1639">
          <cell r="B1639">
            <v>5131375</v>
          </cell>
          <cell r="C1639" t="str">
            <v>RAY</v>
          </cell>
          <cell r="D1639" t="str">
            <v>EMPALME DER. TERMOC. CABLE NKY 120-240MM2 10KV. C/CONECT.</v>
          </cell>
        </row>
        <row r="1640">
          <cell r="B1640">
            <v>5131380</v>
          </cell>
          <cell r="C1640" t="str">
            <v>RAY</v>
          </cell>
          <cell r="D1640" t="str">
            <v>EMPALME DERECHO CABLE NKY 3X120MM2 15KV TERMOCONT.</v>
          </cell>
        </row>
        <row r="1641">
          <cell r="B1641">
            <v>5131382</v>
          </cell>
          <cell r="C1641" t="str">
            <v>P3M</v>
          </cell>
          <cell r="D1641" t="str">
            <v>EMPAL.DERE.CABLE SECO N2XSY 1X 50MM2 15KV. PREMOLD</v>
          </cell>
        </row>
        <row r="1642">
          <cell r="B1642">
            <v>5131384</v>
          </cell>
          <cell r="C1642" t="str">
            <v>P3M</v>
          </cell>
          <cell r="D1642" t="str">
            <v>EMPAL.DERE.CABLE SECO N2XSY 1X 70MM2  15KV.PREMOLD</v>
          </cell>
        </row>
        <row r="1643">
          <cell r="B1643">
            <v>5131386</v>
          </cell>
          <cell r="C1643" t="str">
            <v>P3M</v>
          </cell>
          <cell r="D1643" t="str">
            <v>EMPAL.DERE.CABLE SECO N2XSY 50-120MM2 15KV.AUTOCONT.ULTRA-RAP.</v>
          </cell>
        </row>
        <row r="1644">
          <cell r="B1644">
            <v>5131390</v>
          </cell>
          <cell r="C1644" t="str">
            <v>P3M</v>
          </cell>
          <cell r="D1644" t="str">
            <v>EMPAL.DERE.CABLE SECO N2XSY 1X240MM2 15KV.AUTOCONT.ULTRA-RAP.</v>
          </cell>
        </row>
        <row r="1645">
          <cell r="B1645">
            <v>5131395</v>
          </cell>
          <cell r="C1645" t="str">
            <v>ECM</v>
          </cell>
          <cell r="D1645" t="str">
            <v>EMPALME DERECHO UNIPOLAR TERMOCONTRAIBLE P.CABLE N2XSY 25 - 95MM2 CL.15KV</v>
          </cell>
        </row>
        <row r="1646">
          <cell r="B1646">
            <v>5131395</v>
          </cell>
          <cell r="C1646" t="str">
            <v>RAY</v>
          </cell>
          <cell r="D1646" t="str">
            <v>EMPALME DERECHO UNIPOLAR TERMOCONTRAIBLE P.CABLE N2XSY 25 - 95MM2 CL.15KV</v>
          </cell>
        </row>
        <row r="1647">
          <cell r="B1647">
            <v>5131398</v>
          </cell>
          <cell r="C1647" t="str">
            <v>ECM</v>
          </cell>
          <cell r="D1647" t="str">
            <v>EMPALME DERECHO UNIPOLAR TERMOCONTRAIBLE P.CABLE N2XSY 120 - 240MM2 CL.15KV</v>
          </cell>
        </row>
        <row r="1648">
          <cell r="B1648">
            <v>5131398</v>
          </cell>
          <cell r="C1648" t="str">
            <v>RAY</v>
          </cell>
          <cell r="D1648" t="str">
            <v>EMPALME DERECHO UNIPOLAR TERMOCONTRAIBLE P.CABLE N2XSY 120 - 240MM2 CL.15KV</v>
          </cell>
        </row>
        <row r="1649">
          <cell r="B1649">
            <v>5131400</v>
          </cell>
          <cell r="C1649" t="str">
            <v>P3M</v>
          </cell>
          <cell r="D1649" t="str">
            <v>EMPALME DERECHO TRIPOLAR AUTOFUNDENTE TP.CINTAS P.CABLE N2XS2Y-S 35 - 70MM2 10KV</v>
          </cell>
        </row>
        <row r="1650">
          <cell r="B1650">
            <v>5131408</v>
          </cell>
          <cell r="C1650" t="str">
            <v>RAY</v>
          </cell>
          <cell r="D1650" t="str">
            <v>EMPALME DERECHO TRIPOLAR TERMOCONTRAIBLE P.CABLE N2XSY 120 - 240MM2 CL.15KV</v>
          </cell>
        </row>
        <row r="1651">
          <cell r="B1651">
            <v>5131420</v>
          </cell>
          <cell r="C1651" t="str">
            <v>P3M</v>
          </cell>
          <cell r="D1651" t="str">
            <v>EMPALME ASIMET.DERECH.TRIP.RESINA P.NKY-N2XSY  120MM2. 10KV</v>
          </cell>
        </row>
        <row r="1652">
          <cell r="B1652">
            <v>5131422</v>
          </cell>
          <cell r="C1652" t="str">
            <v>P3M</v>
          </cell>
          <cell r="D1652" t="str">
            <v>EMPALME ASIM.DERE.TRIP. RESINA P. NKY-N2XSY240-120/240MM 10KV</v>
          </cell>
        </row>
        <row r="1653">
          <cell r="B1653">
            <v>5131424</v>
          </cell>
          <cell r="C1653" t="str">
            <v>PIR</v>
          </cell>
          <cell r="D1653" t="str">
            <v>EMPALME ASIMET. P.CABLE N2YCY 10KV.     16/ 35MM2.</v>
          </cell>
        </row>
        <row r="1654">
          <cell r="B1654">
            <v>5131432</v>
          </cell>
          <cell r="C1654" t="str">
            <v>P3M</v>
          </cell>
          <cell r="D1654" t="str">
            <v>EMPALME ASIMET.DERE.TRIP. RESINA P.NKY-N2XSY 16-35/35MM2 10KV</v>
          </cell>
        </row>
        <row r="1655">
          <cell r="B1655">
            <v>5131436</v>
          </cell>
          <cell r="C1655" t="str">
            <v>P3M</v>
          </cell>
          <cell r="D1655" t="str">
            <v>EMPALME ASIMET.DER.TRIP. RESINA P. CAB.NKY-N2XSY 70/35MM2.10KV</v>
          </cell>
        </row>
        <row r="1656">
          <cell r="B1656">
            <v>5131445</v>
          </cell>
          <cell r="C1656" t="str">
            <v>RAY</v>
          </cell>
          <cell r="D1656" t="str">
            <v>EMPALME ASIMETRICO TRIPOLAR TERMOCONTRAIBLE ULTRA RAPIDO P.CABLE NKY / NA2XSY 240/400MM2 10/22,9KV</v>
          </cell>
        </row>
        <row r="1657">
          <cell r="B1657">
            <v>5131446</v>
          </cell>
          <cell r="C1657" t="str">
            <v>RAY</v>
          </cell>
          <cell r="D1657" t="str">
            <v>EMPALME ASIMETRICO TRIPOLAR TERMOCONTRAIBLE ULTRA RAPIDO P.CABLE NKY / NA2XSY 120-400MM2 10/22,9KV</v>
          </cell>
        </row>
        <row r="1658">
          <cell r="B1658">
            <v>5131447</v>
          </cell>
          <cell r="C1658" t="str">
            <v>P3M</v>
          </cell>
          <cell r="D1658" t="str">
            <v>EMPALME ASIMETRICO TRIPOLAR AUTOFUNDENTE P.CABLE NKY / NA2XSY 120-400MM2 10/22,9KV C.CONECTOR</v>
          </cell>
        </row>
        <row r="1659">
          <cell r="B1659">
            <v>5131513</v>
          </cell>
          <cell r="C1659" t="str">
            <v>P3M</v>
          </cell>
          <cell r="D1659" t="str">
            <v>EMPALME DERIV.NKY.10KV.35/35-16MM2.</v>
          </cell>
        </row>
        <row r="1660">
          <cell r="B1660">
            <v>5131524</v>
          </cell>
          <cell r="C1660" t="str">
            <v>P3M</v>
          </cell>
          <cell r="D1660" t="str">
            <v>EMPAL.DERIV.TRIP.NKY 70/70MM2.10KV.CINTAS</v>
          </cell>
        </row>
        <row r="1661">
          <cell r="B1661">
            <v>5131528</v>
          </cell>
          <cell r="C1661" t="str">
            <v>P3M</v>
          </cell>
          <cell r="D1661" t="str">
            <v>EMPAL.DERI.TRIP.CABLE NKY 70/ 35-16MM2.10KV.CINTA</v>
          </cell>
        </row>
        <row r="1662">
          <cell r="B1662">
            <v>5131531</v>
          </cell>
          <cell r="C1662" t="str">
            <v>P3M</v>
          </cell>
          <cell r="D1662" t="str">
            <v>EMPALME DERIVACION.NKY.10KV.120-35MM2.</v>
          </cell>
        </row>
        <row r="1663">
          <cell r="B1663">
            <v>5131534</v>
          </cell>
          <cell r="C1663" t="str">
            <v>P3M</v>
          </cell>
          <cell r="D1663" t="str">
            <v>EMPALME DERIV. TRIP. RESINA P. CAB.NKY 120/120-70MM2.10KV.</v>
          </cell>
        </row>
        <row r="1664">
          <cell r="B1664">
            <v>5131548</v>
          </cell>
          <cell r="C1664" t="str">
            <v>P3M</v>
          </cell>
          <cell r="D1664" t="str">
            <v>EMPAL.DERIV.TRIP.P.CAB.N2XSY 1X25MM2.10KV. CINTAS</v>
          </cell>
        </row>
        <row r="1665">
          <cell r="B1665">
            <v>5131579</v>
          </cell>
          <cell r="C1665" t="str">
            <v>P3M</v>
          </cell>
          <cell r="D1665" t="str">
            <v>EMPAL.DER.CABLE SECO N2XSY 1X25-1X70MM2 15KV AUTOCON.RAPIDO</v>
          </cell>
        </row>
        <row r="1666">
          <cell r="B1666">
            <v>5131581</v>
          </cell>
          <cell r="C1666" t="str">
            <v>P3M</v>
          </cell>
          <cell r="D1666" t="str">
            <v>EMPAL.DERE.CAB.N2XSY 22,9 KV.1X50MM2 AUTOCONT.ULTRA-RAP.</v>
          </cell>
        </row>
        <row r="1667">
          <cell r="B1667">
            <v>5131584</v>
          </cell>
          <cell r="C1667" t="str">
            <v>P3M</v>
          </cell>
          <cell r="D1667" t="str">
            <v>EMPALME DERE.CAB.SECO N2XSY 22 9 KV 1X240MM2 AUTOCONT.ULTRA-RAP.</v>
          </cell>
        </row>
        <row r="1668">
          <cell r="B1668">
            <v>5131585</v>
          </cell>
          <cell r="C1668" t="str">
            <v>P3M</v>
          </cell>
          <cell r="D1668" t="str">
            <v>EMPALME EN DERIVACION TP.CINTAS P.CABLE N2XSY 50 / 50MM2 22,9KV</v>
          </cell>
        </row>
        <row r="1669">
          <cell r="B1669">
            <v>5131586</v>
          </cell>
          <cell r="C1669" t="str">
            <v>P3M</v>
          </cell>
          <cell r="D1669" t="str">
            <v>EMPALME EN DERIVACION TP.CINTAS P.CABLE N2XSY 70 / 50 - 70MM2 22,9KV</v>
          </cell>
        </row>
        <row r="1670">
          <cell r="B1670">
            <v>5131587</v>
          </cell>
          <cell r="C1670" t="str">
            <v>P3M</v>
          </cell>
          <cell r="D1670" t="str">
            <v>EMPALME EN DERIVACION TP.CINTAS P.CABLE N2XSY 120 / 50 - 70 - 120MM2 22,9KV</v>
          </cell>
        </row>
        <row r="1671">
          <cell r="B1671">
            <v>5131588</v>
          </cell>
          <cell r="C1671" t="str">
            <v>P3M</v>
          </cell>
          <cell r="D1671" t="str">
            <v>EMPALME EN DERIVACION TP.CINTAS P.CABLE N2XSY 240 / 70 - 120MM2 22,9KV</v>
          </cell>
        </row>
        <row r="1672">
          <cell r="B1672">
            <v>5131589</v>
          </cell>
          <cell r="C1672" t="str">
            <v>P3M</v>
          </cell>
          <cell r="D1672" t="str">
            <v>EMPAL.DER.CABLE SECO N2XSY 1X120-1X240MM2 AUTOCON.RAPIDO</v>
          </cell>
        </row>
        <row r="1673">
          <cell r="B1673">
            <v>5131593</v>
          </cell>
          <cell r="C1673" t="str">
            <v>ECM</v>
          </cell>
          <cell r="D1673" t="str">
            <v>EMPALME DERECHO UNIPOLAR TERMOCONTRAIBLE P.CABLE N2XSY 185 - 240MM2 CL.25KV</v>
          </cell>
        </row>
        <row r="1674">
          <cell r="B1674">
            <v>5131593</v>
          </cell>
          <cell r="C1674" t="str">
            <v>RAY</v>
          </cell>
          <cell r="D1674" t="str">
            <v>EMPALME DERECHO UNIPOLAR TERMOCONTRAIBLE P.CABLE N2XSY 185 - 240MM2 CL.25KV</v>
          </cell>
        </row>
        <row r="1675">
          <cell r="B1675">
            <v>5131595</v>
          </cell>
          <cell r="C1675" t="str">
            <v>RAY</v>
          </cell>
          <cell r="D1675" t="str">
            <v>EMPALME EN DERIVACION TERMOCONTRAIBLE P.CABLE N2XSY 25 - 70 / 25 - 70MM2 22,9KV</v>
          </cell>
        </row>
        <row r="1676">
          <cell r="B1676">
            <v>5131596</v>
          </cell>
          <cell r="C1676" t="str">
            <v>ECM</v>
          </cell>
          <cell r="D1676" t="str">
            <v>EMPALME DERECHO UNIPOLAR TERMOCONTRAIBLE P.CABLE N2XSY 35 - 120MM2 CL.25KV</v>
          </cell>
        </row>
        <row r="1677">
          <cell r="B1677">
            <v>5131596</v>
          </cell>
          <cell r="C1677" t="str">
            <v>RAY</v>
          </cell>
          <cell r="D1677" t="str">
            <v>EMPALME DERECHO UNIPOLAR TERMOCONTRAIBLE P.CABLE N2XSY 35 - 120MM2 CL.25KV</v>
          </cell>
        </row>
        <row r="1678">
          <cell r="B1678">
            <v>5131602</v>
          </cell>
          <cell r="C1678" t="str">
            <v>ECM</v>
          </cell>
          <cell r="D1678" t="str">
            <v>TERMINAL TERMOCONT. INT.P.CABLE N2XSY 3-1X 25 A 3-1X70 MM2  10KV.</v>
          </cell>
        </row>
        <row r="1679">
          <cell r="B1679">
            <v>5131602</v>
          </cell>
          <cell r="C1679" t="str">
            <v>RAY</v>
          </cell>
          <cell r="D1679" t="str">
            <v>TERMINAL TERMOCONT. INT.P.CABLE N2XSY 3-1X 25 A 3-1X70 MM2  10KV.</v>
          </cell>
        </row>
        <row r="1680">
          <cell r="B1680">
            <v>5131603</v>
          </cell>
          <cell r="C1680" t="str">
            <v>P3M</v>
          </cell>
          <cell r="D1680" t="str">
            <v>TERMINAL INTERIOR P. CABLE N2XSY 3-1X25-70MM2 10KV. AUTOCON. ULTRARAPIDO</v>
          </cell>
        </row>
        <row r="1681">
          <cell r="B1681">
            <v>5131605</v>
          </cell>
          <cell r="C1681" t="str">
            <v>P3M</v>
          </cell>
          <cell r="D1681" t="str">
            <v>TERMINAL INTERIOR P. CABLE N2XSY 3-1X120-240MM2 10KV. AUTOCON. ULTRARAPIDO</v>
          </cell>
        </row>
        <row r="1682">
          <cell r="B1682">
            <v>5131608</v>
          </cell>
          <cell r="C1682" t="str">
            <v>RAY</v>
          </cell>
          <cell r="D1682" t="str">
            <v>TERMINAL INT.P.N2XSY 3-1X70 A 3-1X120 MM2  10KV.</v>
          </cell>
        </row>
        <row r="1683">
          <cell r="B1683">
            <v>5131614</v>
          </cell>
          <cell r="C1683" t="str">
            <v>ECM</v>
          </cell>
          <cell r="D1683" t="str">
            <v>TERM.INT.TERMOCONT. P.CABLE SECO N2XSY 3-1X120 A 3-1X240MM2  10KV.</v>
          </cell>
        </row>
        <row r="1684">
          <cell r="B1684">
            <v>5131614</v>
          </cell>
          <cell r="C1684" t="str">
            <v>RAY</v>
          </cell>
          <cell r="D1684" t="str">
            <v>TERM.INT.TERMOCONT. P.CABLE SECO N2XSY 3-1X120 A 3-1X240MM2  10KV.</v>
          </cell>
        </row>
        <row r="1685">
          <cell r="B1685">
            <v>5131618</v>
          </cell>
          <cell r="C1685" t="str">
            <v>ECM</v>
          </cell>
          <cell r="D1685" t="str">
            <v>TERMINAL TRIPOLAR TERMOCONTRAIBLE TP.EXTERIOR P.CABLE N2XSY / NA2XSY 25-95MM2 CL.15KV</v>
          </cell>
        </row>
        <row r="1686">
          <cell r="B1686">
            <v>5131618</v>
          </cell>
          <cell r="C1686" t="str">
            <v>RAY</v>
          </cell>
          <cell r="D1686" t="str">
            <v>TERMINAL TRIPOLAR TERMOCONTRAIBLE TP.EXTERIOR P.CABLE N2XSY / NA2XSY 25-95MM2 CL.15KV</v>
          </cell>
        </row>
        <row r="1687">
          <cell r="B1687">
            <v>5131621</v>
          </cell>
          <cell r="C1687" t="str">
            <v>P3M</v>
          </cell>
          <cell r="D1687" t="str">
            <v>TERMINAL TRIPOLAR AUTOCONTRAIBLE ULTRARAPIDO P.CABLE N2XSY/NA2XSY 25-95MM2 15KV INTERIOR / EXTERIOR</v>
          </cell>
        </row>
        <row r="1688">
          <cell r="B1688">
            <v>5131622</v>
          </cell>
          <cell r="C1688" t="str">
            <v>RAY</v>
          </cell>
          <cell r="D1688" t="str">
            <v>TERMI.EXT.P.CABL.SECO N2XSY 3-1X 50MM2 10KV.TERMO.</v>
          </cell>
        </row>
        <row r="1689">
          <cell r="B1689">
            <v>5131623</v>
          </cell>
          <cell r="C1689" t="str">
            <v>P3M</v>
          </cell>
          <cell r="D1689" t="str">
            <v>TERMINAL TRIPOLAR AUTOCONTRAIBLE ULTRARAPIDO P.CABLE N2XSY/NA2XSY 120-240MM2 15KV INTERIOR/EXTERIOR</v>
          </cell>
        </row>
        <row r="1690">
          <cell r="B1690">
            <v>5131624</v>
          </cell>
          <cell r="C1690" t="str">
            <v>RAY</v>
          </cell>
          <cell r="D1690" t="str">
            <v>TER.EX.P.C/S.N2XSY 3-1X70 A 3-1X120 MM2 10KV.TERM</v>
          </cell>
        </row>
        <row r="1691">
          <cell r="B1691">
            <v>5131626</v>
          </cell>
          <cell r="C1691" t="str">
            <v>RAY</v>
          </cell>
          <cell r="D1691" t="str">
            <v>TERMINAL EXT.P.CABLE SECO N2XSY 3-1X120MM2  10KV.</v>
          </cell>
        </row>
        <row r="1692">
          <cell r="B1692">
            <v>5131630</v>
          </cell>
          <cell r="C1692" t="str">
            <v>ECM</v>
          </cell>
          <cell r="D1692" t="str">
            <v>TERMINAL TRIPOLAR TERMOCONTRAIBLE TP.EXTERIOR P.CABLE N2XSY / NA2XSY 120-240MM2 CL.15KV</v>
          </cell>
        </row>
        <row r="1693">
          <cell r="B1693">
            <v>5131630</v>
          </cell>
          <cell r="C1693" t="str">
            <v>RAY</v>
          </cell>
          <cell r="D1693" t="str">
            <v>TERMINAL TRIPOLAR TERMOCONTRAIBLE TP.EXTERIOR P.CABLE N2XSY / NA2XSY 120-240MM2 CL.15KV</v>
          </cell>
        </row>
        <row r="1694">
          <cell r="B1694">
            <v>5131636</v>
          </cell>
          <cell r="C1694" t="str">
            <v>P3M</v>
          </cell>
          <cell r="D1694" t="str">
            <v>TERMINAL  INTERIOR  P.NKY 10KV. 3X 16MM2.TERMOR.</v>
          </cell>
        </row>
        <row r="1695">
          <cell r="B1695">
            <v>5131636</v>
          </cell>
          <cell r="C1695" t="str">
            <v>RAY</v>
          </cell>
          <cell r="D1695" t="str">
            <v>TERMINAL  INTERIOR  P.NKY 10KV. 3X 16MM2.TERMOR.</v>
          </cell>
        </row>
        <row r="1696">
          <cell r="B1696">
            <v>5131642</v>
          </cell>
          <cell r="C1696" t="str">
            <v>ECM</v>
          </cell>
          <cell r="D1696" t="str">
            <v>TERMINAL INTERIOR P.NKY 10KV. 3x16-35 MM2.TERMOC</v>
          </cell>
        </row>
        <row r="1697">
          <cell r="B1697">
            <v>5131642</v>
          </cell>
          <cell r="C1697" t="str">
            <v>P3M</v>
          </cell>
          <cell r="D1697" t="str">
            <v>TERMINAL INTERIOR P.NKY 10KV. 3x16-35 MM2.TERMOC</v>
          </cell>
        </row>
        <row r="1698">
          <cell r="B1698">
            <v>5131642</v>
          </cell>
          <cell r="C1698" t="str">
            <v>RAY</v>
          </cell>
          <cell r="D1698" t="str">
            <v>TERMINAL INTERIOR P.NKY 10KV. 3x16-35 MM2.TERMOC</v>
          </cell>
        </row>
        <row r="1699">
          <cell r="B1699">
            <v>5131644</v>
          </cell>
          <cell r="C1699" t="str">
            <v>P3M</v>
          </cell>
          <cell r="D1699" t="str">
            <v>TERMINAL INTERIOR  P.NKY 10KV. 3X 70MM2.TERMOC.</v>
          </cell>
        </row>
        <row r="1700">
          <cell r="B1700">
            <v>5131644</v>
          </cell>
          <cell r="C1700" t="str">
            <v>RAY</v>
          </cell>
          <cell r="D1700" t="str">
            <v>TERMINAL INTERIOR  P.NKY 10KV. 3X 70MM2.TERMOC.</v>
          </cell>
        </row>
        <row r="1701">
          <cell r="B1701">
            <v>5131648</v>
          </cell>
          <cell r="C1701" t="str">
            <v>ECM</v>
          </cell>
          <cell r="D1701" t="str">
            <v>TERMINAL INTERIOR   P. NKY 10KV. 3x70-120 MM2.TERMOC.</v>
          </cell>
        </row>
        <row r="1702">
          <cell r="B1702">
            <v>5131648</v>
          </cell>
          <cell r="C1702" t="str">
            <v>P3M</v>
          </cell>
          <cell r="D1702" t="str">
            <v>TERMINAL INTERIOR   P. NKY 10KV. 3x70-120 MM2.TERMOC.</v>
          </cell>
        </row>
        <row r="1703">
          <cell r="B1703">
            <v>5131648</v>
          </cell>
          <cell r="C1703" t="str">
            <v>RAY</v>
          </cell>
          <cell r="D1703" t="str">
            <v>TERMINAL INTERIOR   P. NKY 10KV. 3x70-120 MM2.TERMOC.</v>
          </cell>
        </row>
        <row r="1704">
          <cell r="B1704">
            <v>5131656</v>
          </cell>
          <cell r="C1704" t="str">
            <v>ECM</v>
          </cell>
          <cell r="D1704" t="str">
            <v>TERMINAL INTERIOR  P. NKY 10KV.3X240MM2.TERMOC.</v>
          </cell>
        </row>
        <row r="1705">
          <cell r="B1705">
            <v>5131656</v>
          </cell>
          <cell r="C1705" t="str">
            <v>P3M</v>
          </cell>
          <cell r="D1705" t="str">
            <v>TERMINAL INTERIOR  P. NKY 10KV.3X240MM2.TERMOC.</v>
          </cell>
        </row>
        <row r="1706">
          <cell r="B1706">
            <v>5131656</v>
          </cell>
          <cell r="C1706" t="str">
            <v>RAY</v>
          </cell>
          <cell r="D1706" t="str">
            <v>TERMINAL INTERIOR  P. NKY 10KV.3X240MM2.TERMOC.</v>
          </cell>
        </row>
        <row r="1707">
          <cell r="B1707">
            <v>5131658</v>
          </cell>
          <cell r="C1707" t="str">
            <v>P3M</v>
          </cell>
          <cell r="D1707" t="str">
            <v>TERMINAL TRIPOLAR AUTOCONTRAIBLE RAPIDO P.CABLE N2XSY / NA2XSY 25-95MM2 CL.15KV INTERIOR / EXTERIOR</v>
          </cell>
        </row>
        <row r="1708">
          <cell r="B1708">
            <v>5131661</v>
          </cell>
          <cell r="C1708" t="str">
            <v>P3M</v>
          </cell>
          <cell r="D1708" t="str">
            <v>TERMINAL TRIPOLAR AUTOCONTRAIBLE RAPIDO P.CABLE N2XSY / NA2XSY 120-240MM2 CL15KV INTERIOR / EXTERIOR</v>
          </cell>
        </row>
        <row r="1709">
          <cell r="B1709">
            <v>5131688</v>
          </cell>
          <cell r="C1709" t="str">
            <v>P3M</v>
          </cell>
          <cell r="D1709" t="str">
            <v>TERMINAL INT. AUTOCONTR.TP. RAPIDO P/N2XSY 25-70MM2  10 KV.</v>
          </cell>
        </row>
        <row r="1710">
          <cell r="B1710">
            <v>5131691</v>
          </cell>
          <cell r="C1710" t="str">
            <v>P3M</v>
          </cell>
          <cell r="D1710" t="str">
            <v>TERMINAL INT. AUTOCONTR.TP. RAPIDO P/N2XSY 120-240MM2  10 KV.</v>
          </cell>
        </row>
        <row r="1711">
          <cell r="B1711">
            <v>5131699</v>
          </cell>
          <cell r="C1711" t="str">
            <v>RAY</v>
          </cell>
          <cell r="D1711" t="str">
            <v>TERMINAL UNIPOLAR TERMOCONTRAIBLE TP.INTERIOR P.CABLE NA2XSY 400MM2 CL.25KV</v>
          </cell>
        </row>
        <row r="1712">
          <cell r="B1712">
            <v>5131705</v>
          </cell>
          <cell r="C1712" t="str">
            <v>RAY</v>
          </cell>
          <cell r="D1712" t="str">
            <v>TERMINAL UNIPOLAR TERMOCONTRAIBLE TP.EXTERIOR P.CABLE NA2XSY 400MM2 CL.25KV</v>
          </cell>
        </row>
        <row r="1713">
          <cell r="B1713">
            <v>5131726</v>
          </cell>
          <cell r="C1713" t="str">
            <v>RAY</v>
          </cell>
          <cell r="D1713" t="str">
            <v>TERMINACION INTERIOR.TERMOCONTR.N2XSY.25KV.500MM2.</v>
          </cell>
        </row>
        <row r="1714">
          <cell r="B1714">
            <v>5131741</v>
          </cell>
          <cell r="C1714" t="str">
            <v>RAY</v>
          </cell>
          <cell r="D1714" t="str">
            <v>TERMINALES UNIPOLARES TERMOCONTRAIBLES TP.EXTERIOR P.CABLE NA2XSY 400MM2 CL.25KV</v>
          </cell>
        </row>
        <row r="1715">
          <cell r="B1715">
            <v>5131742</v>
          </cell>
          <cell r="C1715" t="str">
            <v>RAY</v>
          </cell>
          <cell r="D1715" t="str">
            <v>TERMINAL UNIPOLAR TERMOCONTRAIBLE TP.EXTERIOR P.CABLE NA2XSY 400MM2 CL.25KV S.CONECTOR</v>
          </cell>
        </row>
        <row r="1716">
          <cell r="B1716">
            <v>5131768</v>
          </cell>
          <cell r="C1716" t="str">
            <v>RAY</v>
          </cell>
          <cell r="D1716" t="str">
            <v>TERMINALES UNIPOLARES INTERIORES TERMOCONTRAIBLES ULTRA RAPIDOS P.CABLE N2XSY 3-1X70-240MM2 24KV</v>
          </cell>
        </row>
        <row r="1717">
          <cell r="B1717">
            <v>5131771</v>
          </cell>
          <cell r="C1717" t="str">
            <v>RAY</v>
          </cell>
          <cell r="D1717" t="str">
            <v>TERMINALES UNIPOLARES INTERIORES TERMOCONTRAIBLES COMPACTO RAPIDO P.CABLE NA2XSY 400MM2 24KV</v>
          </cell>
        </row>
        <row r="1718">
          <cell r="B1718">
            <v>5131772</v>
          </cell>
          <cell r="C1718" t="str">
            <v>RAY</v>
          </cell>
          <cell r="D1718" t="str">
            <v>TERMINALES UNIPOLARES INTERIORES TERMOCONTRAIBLES COMPACTO RAPIDO P.CABLE NA2XSY 120MM2 24KV</v>
          </cell>
        </row>
        <row r="1719">
          <cell r="B1719">
            <v>5131775</v>
          </cell>
          <cell r="C1719" t="str">
            <v>P3M</v>
          </cell>
          <cell r="D1719" t="str">
            <v>TERMINALES UNIPOLARES AUTOCONTRAIBLES TP.INTERIOR P.CABLE NA2XSY 185-400MM2 22,9KV C.CONECTOR</v>
          </cell>
        </row>
        <row r="1720">
          <cell r="B1720">
            <v>5131776</v>
          </cell>
          <cell r="C1720" t="str">
            <v>P3M</v>
          </cell>
          <cell r="D1720" t="str">
            <v>TERMINACION AUTOCONTRAIBLE TP.INTERIOR P.CABLE N2XSY-NA2XSY 50-120MM2 22,9KV C.CONECTOR</v>
          </cell>
        </row>
        <row r="1721">
          <cell r="B1721">
            <v>5131777</v>
          </cell>
          <cell r="C1721" t="str">
            <v>P3M</v>
          </cell>
          <cell r="D1721" t="str">
            <v>TERMINACION  AUTOCONTRAIBLE TP.EXTERIOR P.CABLE N2XSY-NA2XSY 185-400MM2 22,9KV C.CONECTOR</v>
          </cell>
        </row>
        <row r="1722">
          <cell r="B1722">
            <v>5131778</v>
          </cell>
          <cell r="C1722" t="str">
            <v>P3M</v>
          </cell>
          <cell r="D1722" t="str">
            <v>TERMINACION UNIPOLAR AUTOCONTRAIBLE TP.EXTERIOR P.CABLE N2XSY-NA2XSY 185-400MM2 22,9KV SIN CONECTOR</v>
          </cell>
        </row>
        <row r="1723">
          <cell r="B1723">
            <v>5131806</v>
          </cell>
          <cell r="C1723" t="str">
            <v>P3M</v>
          </cell>
          <cell r="D1723" t="str">
            <v>TERMINAL TP.CAJA INTEMP.CABLE NKY 10KV.3X 16MM2.TERMO.</v>
          </cell>
        </row>
        <row r="1724">
          <cell r="B1724">
            <v>5131806</v>
          </cell>
          <cell r="C1724" t="str">
            <v>RAY</v>
          </cell>
          <cell r="D1724" t="str">
            <v>TERMINAL TP.CAJA INTEMP.CABLE NKY 10KV.3X 16MM2.TERMO.</v>
          </cell>
        </row>
        <row r="1725">
          <cell r="B1725">
            <v>5131812</v>
          </cell>
          <cell r="C1725" t="str">
            <v>ECM</v>
          </cell>
          <cell r="D1725" t="str">
            <v>TERMINAL TP.CAJA INTERP.P.CABLE NKY 10KV. 3x16-35 MM2. TERMOC.</v>
          </cell>
        </row>
        <row r="1726">
          <cell r="B1726">
            <v>5131812</v>
          </cell>
          <cell r="C1726" t="str">
            <v>P3M</v>
          </cell>
          <cell r="D1726" t="str">
            <v>TERMINAL TP.CAJA INTERP.P.CABLE NKY 10KV. 3x16-35 MM2. TERMOC.</v>
          </cell>
        </row>
        <row r="1727">
          <cell r="B1727">
            <v>5131812</v>
          </cell>
          <cell r="C1727" t="str">
            <v>RAY</v>
          </cell>
          <cell r="D1727" t="str">
            <v>TERMINAL TP.CAJA INTERP.P.CABLE NKY 10KV. 3x16-35 MM2. TERMOC.</v>
          </cell>
        </row>
        <row r="1728">
          <cell r="B1728">
            <v>5131815</v>
          </cell>
          <cell r="C1728" t="str">
            <v>P3M</v>
          </cell>
          <cell r="D1728" t="str">
            <v>TERMINACION EXTERIOR.NKY.10KV.3-1X70MM2.</v>
          </cell>
        </row>
        <row r="1729">
          <cell r="B1729">
            <v>5131815</v>
          </cell>
          <cell r="C1729" t="str">
            <v>RAY</v>
          </cell>
          <cell r="D1729" t="str">
            <v>TERMINACION EXTERIOR.NKY.10KV.3-1X70MM2.</v>
          </cell>
        </row>
        <row r="1730">
          <cell r="B1730">
            <v>5131822</v>
          </cell>
          <cell r="C1730" t="str">
            <v>ECM</v>
          </cell>
          <cell r="D1730" t="str">
            <v>TERMINAL TP.CAJA INTEMP.P.CABLE NKY 10KV 3x70-120 MM2 TERMOC.</v>
          </cell>
        </row>
        <row r="1731">
          <cell r="B1731">
            <v>5131822</v>
          </cell>
          <cell r="C1731" t="str">
            <v>P3M</v>
          </cell>
          <cell r="D1731" t="str">
            <v>TERMINAL TP.CAJA INTEMP.P.CABLE NKY 10KV 3x70-120 MM2 TERMOC.</v>
          </cell>
        </row>
        <row r="1732">
          <cell r="B1732">
            <v>5131822</v>
          </cell>
          <cell r="C1732" t="str">
            <v>RAY</v>
          </cell>
          <cell r="D1732" t="str">
            <v>TERMINAL TP.CAJA INTEMP.P.CABLE NKY 10KV 3x70-120 MM2 TERMOC.</v>
          </cell>
        </row>
        <row r="1733">
          <cell r="B1733">
            <v>5131832</v>
          </cell>
          <cell r="C1733" t="str">
            <v>RAY</v>
          </cell>
          <cell r="D1733" t="str">
            <v>TERMINAL INTEMP. GW   P.CABLE NKY 10KV.  3X120MM2.</v>
          </cell>
        </row>
        <row r="1734">
          <cell r="B1734">
            <v>5131838</v>
          </cell>
          <cell r="C1734" t="str">
            <v>ECM</v>
          </cell>
          <cell r="D1734" t="str">
            <v>TERMINAL EXT. TERM.P.CABLE NKY 10KV.3X240MM2. RAYC</v>
          </cell>
        </row>
        <row r="1735">
          <cell r="B1735">
            <v>5131838</v>
          </cell>
          <cell r="C1735" t="str">
            <v>P3M</v>
          </cell>
          <cell r="D1735" t="str">
            <v>TERMINAL EXT. TERM.P.CABLE NKY 10KV.3X240MM2. RAYC</v>
          </cell>
        </row>
        <row r="1736">
          <cell r="B1736">
            <v>5131838</v>
          </cell>
          <cell r="C1736" t="str">
            <v>RAY</v>
          </cell>
          <cell r="D1736" t="str">
            <v>TERMINAL EXT. TERM.P.CABLE NKY 10KV.3X240MM2. RAYC</v>
          </cell>
        </row>
        <row r="1737">
          <cell r="B1737">
            <v>5131864</v>
          </cell>
          <cell r="C1737" t="str">
            <v>RAY</v>
          </cell>
          <cell r="D1737" t="str">
            <v>TERMINAL TRIPOLAR TERMOCONTRAIBLE TP.INTERIOR P.CABLE DE ALUMINIO NA2XSY 120MM2 CL.25KV</v>
          </cell>
        </row>
        <row r="1738">
          <cell r="B1738">
            <v>5131865</v>
          </cell>
          <cell r="C1738" t="str">
            <v>RAY</v>
          </cell>
          <cell r="D1738" t="str">
            <v>TERMINAL TRIPOLAR TERMOCONTRAIBLE TP.EXTERIOR P.CABLE DE ALUMINIO NA2XSY 120MM2 CL.25KV</v>
          </cell>
        </row>
        <row r="1739">
          <cell r="B1739">
            <v>5131867</v>
          </cell>
          <cell r="C1739" t="str">
            <v>P3M</v>
          </cell>
          <cell r="D1739" t="str">
            <v>TERMINACION AUTOCONTRAIBLE TP.EXTERIOR P.CABLE N2XSY-NA2XSY 50-120MM2 22,9KV C.CONECTOR</v>
          </cell>
        </row>
        <row r="1740">
          <cell r="B1740">
            <v>5131868</v>
          </cell>
          <cell r="C1740" t="str">
            <v>P3M</v>
          </cell>
          <cell r="D1740" t="str">
            <v>TERMINAL PORCEL.INTEMP.P.CABLE N2XSY 10KV. 25MM2.</v>
          </cell>
        </row>
        <row r="1741">
          <cell r="B1741">
            <v>5131875</v>
          </cell>
          <cell r="C1741" t="str">
            <v>RAY</v>
          </cell>
          <cell r="D1741" t="str">
            <v>TERMINAL. EXT. P. CABLE NA2XS2Y-S 35-70MM2. 15KV. TERMOC.</v>
          </cell>
        </row>
        <row r="1742">
          <cell r="B1742">
            <v>5131882</v>
          </cell>
          <cell r="C1742" t="str">
            <v>P3M</v>
          </cell>
          <cell r="D1742" t="str">
            <v>EMPALME EXT.P.CABLE AA NA2XS2Y-S 35-70MM2.15KV.</v>
          </cell>
        </row>
        <row r="1743">
          <cell r="B1743">
            <v>5131884</v>
          </cell>
          <cell r="C1743" t="str">
            <v>P3M</v>
          </cell>
          <cell r="D1743" t="str">
            <v>EMPALME EXT.P. CABLE .AA NA2XS2Y-S 120MM2.15KV.</v>
          </cell>
        </row>
        <row r="1744">
          <cell r="B1744">
            <v>5131887</v>
          </cell>
          <cell r="C1744" t="str">
            <v>RAY</v>
          </cell>
          <cell r="D1744" t="str">
            <v>EMPALME EXT. P. CABLE AA  NA2XS2Y-S 35MM2  15KV.  RAYCHEM</v>
          </cell>
        </row>
        <row r="1745">
          <cell r="B1745">
            <v>5131889</v>
          </cell>
          <cell r="C1745" t="str">
            <v>RAY</v>
          </cell>
          <cell r="D1745" t="str">
            <v>EMPALME EXT. CABLE AA  NA2XS2Y-S 120MM2  15KV. TERMOC.</v>
          </cell>
        </row>
        <row r="1746">
          <cell r="B1746">
            <v>5131892</v>
          </cell>
          <cell r="C1746" t="str">
            <v>P3M</v>
          </cell>
          <cell r="D1746" t="str">
            <v>TERM.EXT.P.C.SEC.N2XSY 3-1X50 HAS.70MM2 22,9 KV 3M</v>
          </cell>
        </row>
        <row r="1747">
          <cell r="B1747">
            <v>5131893</v>
          </cell>
          <cell r="C1747" t="str">
            <v>P3M</v>
          </cell>
          <cell r="D1747" t="str">
            <v>TERMINAL EXT. CORTO P. CABLE SECO N2XSY 3-1X50-120MM2 22,9KV.AUTOCONT.ULTRA-RAP</v>
          </cell>
        </row>
        <row r="1748">
          <cell r="B1748">
            <v>5131894</v>
          </cell>
          <cell r="C1748" t="str">
            <v>P3M</v>
          </cell>
          <cell r="D1748" t="str">
            <v>TERM.EXT.C.SEC.N2XSY 3-1X120 HAST.240MM2 22,9KV 3M</v>
          </cell>
        </row>
        <row r="1749">
          <cell r="B1749">
            <v>5131896</v>
          </cell>
          <cell r="C1749" t="str">
            <v>P3M</v>
          </cell>
          <cell r="D1749" t="str">
            <v>TERMINAL.EXT.P.CABLE.SECO N2XSY 3-1X50-120MM2 22,9KV.AUTOCONT.ULTRA-RAP.</v>
          </cell>
        </row>
        <row r="1750">
          <cell r="B1750">
            <v>5131897</v>
          </cell>
          <cell r="C1750" t="str">
            <v>ECM</v>
          </cell>
          <cell r="D1750" t="str">
            <v>TERM.EXT.C.SECO N2XSY 3-1X50 -120MM2 22,9 KV.TERMOC.</v>
          </cell>
        </row>
        <row r="1751">
          <cell r="B1751">
            <v>5131897</v>
          </cell>
          <cell r="C1751" t="str">
            <v>RAY</v>
          </cell>
          <cell r="D1751" t="str">
            <v>TERM.EXT.C.SECO N2XSY 3-1X50 -120MM2 22,9 KV.TERMOC.</v>
          </cell>
        </row>
        <row r="1752">
          <cell r="B1752">
            <v>5131900</v>
          </cell>
          <cell r="C1752" t="str">
            <v>ECM</v>
          </cell>
          <cell r="D1752" t="str">
            <v>TERM.EXT.P.C.SECO N2XSY 3-1X240MM2 22,9 KV RAYCH.</v>
          </cell>
        </row>
        <row r="1753">
          <cell r="B1753">
            <v>5131900</v>
          </cell>
          <cell r="C1753" t="str">
            <v>RAY</v>
          </cell>
          <cell r="D1753" t="str">
            <v>TERM.EXT.P.C.SECO N2XSY 3-1X240MM2 22,9 KV RAYCH.</v>
          </cell>
        </row>
        <row r="1754">
          <cell r="B1754">
            <v>5131901</v>
          </cell>
          <cell r="C1754" t="str">
            <v>P3M</v>
          </cell>
          <cell r="D1754" t="str">
            <v>TERMINAL.EXT.P.CABLE.SECO N2XSY 3-1X240MM2 22,9KV.AUTOCONT.ULTRA-RAP.</v>
          </cell>
        </row>
        <row r="1755">
          <cell r="B1755">
            <v>5131902</v>
          </cell>
          <cell r="C1755" t="str">
            <v>P3M</v>
          </cell>
          <cell r="D1755" t="str">
            <v>TERM.INT.C.SECO N2XSY 3-1X50-120MM2 22,9 KV.AUTOCONT.ULTRA-RAP.</v>
          </cell>
        </row>
        <row r="1756">
          <cell r="B1756">
            <v>5131904</v>
          </cell>
          <cell r="C1756" t="str">
            <v>P3M</v>
          </cell>
          <cell r="D1756" t="str">
            <v>TERM.INT.C.SEC.N2XSY 3-1X240MM2  22,9 KV.AUTOCONT.ULTRA-RAP.</v>
          </cell>
        </row>
        <row r="1757">
          <cell r="B1757">
            <v>5131907</v>
          </cell>
          <cell r="C1757" t="str">
            <v>ECM</v>
          </cell>
          <cell r="D1757" t="str">
            <v>TERM.INT.C.SEC.N2XSY 3-1X50 A 120MM2. 22,9 KV.TERMOC.</v>
          </cell>
        </row>
        <row r="1758">
          <cell r="B1758">
            <v>5131907</v>
          </cell>
          <cell r="C1758" t="str">
            <v>RAY</v>
          </cell>
          <cell r="D1758" t="str">
            <v>TERM.INT.C.SEC.N2XSY 3-1X50 A 120MM2. 22,9 KV.TERMOC.</v>
          </cell>
        </row>
        <row r="1759">
          <cell r="B1759">
            <v>5131910</v>
          </cell>
          <cell r="C1759" t="str">
            <v>ECM</v>
          </cell>
          <cell r="D1759" t="str">
            <v>TERM. INT.CABL.SECO N2XSY 3-1X240MM2 22,9 KV.TERMOC.</v>
          </cell>
        </row>
        <row r="1760">
          <cell r="B1760">
            <v>5131910</v>
          </cell>
          <cell r="C1760" t="str">
            <v>RAY</v>
          </cell>
          <cell r="D1760" t="str">
            <v>TERM. INT.CABL.SECO N2XSY 3-1X240MM2 22,9 KV.TERMOC.</v>
          </cell>
        </row>
        <row r="1761">
          <cell r="B1761">
            <v>5131914</v>
          </cell>
          <cell r="C1761" t="str">
            <v>RAY</v>
          </cell>
          <cell r="D1761" t="str">
            <v>EXTENSOR DE LINEA DE FUGA 100-80 MM. DIAMET.</v>
          </cell>
        </row>
        <row r="1762">
          <cell r="B1762">
            <v>5131916</v>
          </cell>
          <cell r="C1762" t="str">
            <v>RAY</v>
          </cell>
          <cell r="D1762" t="str">
            <v>EXTENSOR DE LINEA DE FUGA 120-100 MM. DIAMET.</v>
          </cell>
        </row>
        <row r="1763">
          <cell r="B1763">
            <v>5131918</v>
          </cell>
          <cell r="C1763" t="str">
            <v>RAY</v>
          </cell>
          <cell r="D1763" t="str">
            <v>EXTENSOR DE LINEA DE FUGA 140-120 MM. DIAMET.</v>
          </cell>
        </row>
        <row r="1764">
          <cell r="B1764">
            <v>5131920</v>
          </cell>
          <cell r="C1764" t="str">
            <v>P3M</v>
          </cell>
          <cell r="D1764" t="str">
            <v>ETIQUETAS MARCACION EMPALMES SUBTERRANEOS 85X50MM.</v>
          </cell>
        </row>
        <row r="1765">
          <cell r="B1765">
            <v>5131920</v>
          </cell>
          <cell r="C1765" t="str">
            <v>RAY</v>
          </cell>
          <cell r="D1765" t="str">
            <v>ETIQUETAS MARCACION EMPALMES SUBTERRANEOS 85X50MM.</v>
          </cell>
        </row>
        <row r="1766">
          <cell r="B1766">
            <v>5131932</v>
          </cell>
          <cell r="C1766" t="str">
            <v>P3M</v>
          </cell>
          <cell r="D1766" t="str">
            <v>TERMINAL EXT. CABLE  AUTOPORT. N2XS2Y-S 1X70MM2  10KV.  3M</v>
          </cell>
        </row>
        <row r="1767">
          <cell r="B1767">
            <v>5131936</v>
          </cell>
          <cell r="C1767" t="str">
            <v>ECM</v>
          </cell>
          <cell r="D1767" t="str">
            <v>TERM.EXT.CAB.AUTOP.CU N2XS2Y-S 3X35-3X70MM2.10KV.TERMOC.</v>
          </cell>
        </row>
        <row r="1768">
          <cell r="B1768">
            <v>5131936</v>
          </cell>
          <cell r="C1768" t="str">
            <v>RAY</v>
          </cell>
          <cell r="D1768" t="str">
            <v>TERM.EXT.CAB.AUTOP.CU N2XS2Y-S 3X35-3X70MM2.10KV.TERMOC.</v>
          </cell>
        </row>
        <row r="1769">
          <cell r="B1769">
            <v>5132340</v>
          </cell>
          <cell r="C1769" t="str">
            <v>TAL</v>
          </cell>
          <cell r="D1769" t="str">
            <v>UNION CU.DER.TABICADA COMP. 6MM2. MT</v>
          </cell>
        </row>
        <row r="1770">
          <cell r="B1770">
            <v>5132342</v>
          </cell>
          <cell r="C1770" t="str">
            <v>TAL</v>
          </cell>
          <cell r="D1770" t="str">
            <v>UNION CU.DER.TABICADA COMPR. 10MM2.</v>
          </cell>
        </row>
        <row r="1771">
          <cell r="B1771">
            <v>5132344</v>
          </cell>
          <cell r="C1771" t="str">
            <v>TAL</v>
          </cell>
          <cell r="D1771" t="str">
            <v>UNION CU. DER.TABICADA COMPR. 16MM2. MT</v>
          </cell>
        </row>
        <row r="1772">
          <cell r="B1772">
            <v>5132346</v>
          </cell>
          <cell r="C1772" t="str">
            <v>TAL</v>
          </cell>
          <cell r="D1772" t="str">
            <v>UNION TUB. CU. ESTAÑADO TABIC. COMPR. P/ EMPALME ASIM. 25-25MM2</v>
          </cell>
        </row>
        <row r="1773">
          <cell r="B1773">
            <v>5132348</v>
          </cell>
          <cell r="C1773" t="str">
            <v>TAL</v>
          </cell>
          <cell r="D1773" t="str">
            <v>UNION TUB. CU. ESTAÑADO TABIC. COMPR. P/ EMPALME ASIM. 35-35MM2</v>
          </cell>
        </row>
        <row r="1774">
          <cell r="B1774">
            <v>5132350</v>
          </cell>
          <cell r="C1774" t="str">
            <v>TAL</v>
          </cell>
          <cell r="D1774" t="str">
            <v>UNION TUB. CU. ESTAÑADO TABIC. COMPR. P/ EMPALME ASIM. 70-70MM2</v>
          </cell>
        </row>
        <row r="1775">
          <cell r="B1775">
            <v>5132352</v>
          </cell>
          <cell r="C1775" t="str">
            <v>TAL</v>
          </cell>
          <cell r="D1775" t="str">
            <v>UNION TUB. CU. ESTAÑADO TABIC. COMPR. P/ EMPALME ASIM. 120-120MM2</v>
          </cell>
        </row>
        <row r="1776">
          <cell r="B1776">
            <v>5132354</v>
          </cell>
          <cell r="C1776" t="str">
            <v>TAL</v>
          </cell>
          <cell r="D1776" t="str">
            <v>UNION TUB. CU. ESTAÑADO TABIC. COMPR. P/ EMPALME ASIM. 185-185MM2</v>
          </cell>
        </row>
        <row r="1777">
          <cell r="B1777">
            <v>5132356</v>
          </cell>
          <cell r="C1777" t="str">
            <v>TAL</v>
          </cell>
          <cell r="D1777" t="str">
            <v>UNION TUB. CU. ESTAÑADO TABIC. COMPR. P/ EMPALME ASIM. 240-240MM2</v>
          </cell>
        </row>
        <row r="1778">
          <cell r="B1778">
            <v>5132358</v>
          </cell>
          <cell r="C1778" t="str">
            <v>TAL</v>
          </cell>
          <cell r="D1778" t="str">
            <v>UNION TUB. CU. ESTAÑADO TABIC. COMPR. P/ EMPALME ASIM. 300-300MM2</v>
          </cell>
        </row>
        <row r="1779">
          <cell r="B1779">
            <v>5132360</v>
          </cell>
          <cell r="C1779" t="str">
            <v>TAL</v>
          </cell>
          <cell r="D1779" t="str">
            <v>UNION CU. DER.TABICADA COMPR.  500MM2  MT</v>
          </cell>
        </row>
        <row r="1780">
          <cell r="B1780">
            <v>5132371</v>
          </cell>
          <cell r="C1780" t="str">
            <v>TAL</v>
          </cell>
          <cell r="D1780" t="str">
            <v>UNION TUBULAR CU.ESTANADO TABICADA A COMPRESION P.EMPALME ASIM. 16 - 70MM2</v>
          </cell>
        </row>
        <row r="1781">
          <cell r="B1781">
            <v>5132372</v>
          </cell>
          <cell r="C1781" t="str">
            <v>TAL</v>
          </cell>
          <cell r="D1781" t="str">
            <v>UNION TUB. CU. ESTAÑADO TABIC. COMPR. P/ EMPALME ASIM. 35-70MM2</v>
          </cell>
        </row>
        <row r="1782">
          <cell r="B1782">
            <v>5132374</v>
          </cell>
          <cell r="C1782" t="str">
            <v>TAL</v>
          </cell>
          <cell r="D1782" t="str">
            <v>UNION TUB. CU. ESTAÑADO TABIC. COMPR. P/ EMPALME ASIM. 70-120MM2</v>
          </cell>
        </row>
        <row r="1783">
          <cell r="B1783">
            <v>5132376</v>
          </cell>
          <cell r="C1783" t="str">
            <v>TAL</v>
          </cell>
          <cell r="D1783" t="str">
            <v>UNION TUB. CU. ESTAÑADO TABIC. COMPR. P/ EMPALME ASIM. 120-185MM2</v>
          </cell>
        </row>
        <row r="1784">
          <cell r="B1784">
            <v>5132378</v>
          </cell>
          <cell r="C1784" t="str">
            <v>TAL</v>
          </cell>
          <cell r="D1784" t="str">
            <v>UNION TUB. CU. ESTAÑADO TABIC. COMPR. P/ EMPALME ASIM. 185-240MM2</v>
          </cell>
        </row>
        <row r="1785">
          <cell r="B1785">
            <v>5132380</v>
          </cell>
          <cell r="C1785" t="str">
            <v>TAL</v>
          </cell>
          <cell r="D1785" t="str">
            <v>UNION TUB. CU. ESTAÑADO TABIC. COMPR. P/ EMPALME ASIM. 240-300MM2</v>
          </cell>
        </row>
        <row r="1786">
          <cell r="B1786">
            <v>5132386</v>
          </cell>
          <cell r="C1786" t="str">
            <v>TAL</v>
          </cell>
          <cell r="D1786" t="str">
            <v>UNION TUB. CU. ESTAÑADO TABIC. COMPR. P/ EMPALME ASIM. 300-500MM2</v>
          </cell>
        </row>
        <row r="1787">
          <cell r="B1787">
            <v>5132742</v>
          </cell>
          <cell r="C1787" t="str">
            <v>SIM</v>
          </cell>
          <cell r="D1787" t="str">
            <v>CONECTOR DERECHO MECANICO TABICADO DE ALEACION DE ALUMINIO P.CABLE 25 - 95 / 25 - 95MM2 P.RED M.T.</v>
          </cell>
        </row>
        <row r="1788">
          <cell r="B1788">
            <v>5132744</v>
          </cell>
          <cell r="C1788" t="str">
            <v>SIM</v>
          </cell>
          <cell r="D1788" t="str">
            <v>CONECTOR DERECHO MECANICO TABICADO DE ALEACION DE ALUMINIO P.CABLE 35 - 150 / 35 - 150MM2 P.RED M.T.</v>
          </cell>
        </row>
        <row r="1789">
          <cell r="B1789">
            <v>5132746</v>
          </cell>
          <cell r="C1789" t="str">
            <v>SIM</v>
          </cell>
          <cell r="D1789" t="str">
            <v>CONECTOR DERECHO MECANICO TABICADO DE ALEACION DE ALUMINIO P.CABLE 95 - 240 / 95 - 240MM2 P.RED M.T.</v>
          </cell>
        </row>
        <row r="1790">
          <cell r="B1790">
            <v>5132748</v>
          </cell>
          <cell r="C1790" t="str">
            <v>SIM</v>
          </cell>
          <cell r="D1790" t="str">
            <v>CONECTOR DERECHO MECANICO TABICADO DE ALEACION DE ALUMINIO P.CABLE 185-400 / 185-400MM2 P.RED M.T.</v>
          </cell>
        </row>
        <row r="1791">
          <cell r="B1791">
            <v>5132750</v>
          </cell>
          <cell r="C1791" t="str">
            <v>SIM</v>
          </cell>
          <cell r="D1791" t="str">
            <v>CONECTOR DERECHO MECANICO TABICADO DE ALEACION DE ALUMINIO P.CABLE 25 - 95 / 95 - 240MM2 P.RED M.T.</v>
          </cell>
        </row>
        <row r="1792">
          <cell r="B1792">
            <v>5132752</v>
          </cell>
          <cell r="C1792" t="str">
            <v>SIM</v>
          </cell>
          <cell r="D1792" t="str">
            <v>CONECTOR DERECHO MECANICO TABICADO DE ALEACION DE ALUMINIO P.CABLE 95 - 240 / 185 - 400MM2 P.RED M.T</v>
          </cell>
        </row>
        <row r="1793">
          <cell r="B1793">
            <v>5132866</v>
          </cell>
          <cell r="C1793" t="str">
            <v>P3M</v>
          </cell>
          <cell r="D1793" t="str">
            <v>CONECTOR TERMINAL MECANICO DE ALEACION DE ALUMINIO P.CABLE AL 120-185MM2 P.LLAVE HORIZONTAL 250/315A</v>
          </cell>
        </row>
        <row r="1794">
          <cell r="B1794">
            <v>5132866</v>
          </cell>
          <cell r="C1794" t="str">
            <v>SIM</v>
          </cell>
          <cell r="D1794" t="str">
            <v>CONECTOR TERMINAL MECANICO DE ALEACION DE ALUMINIO P.CABLE AL 120-185MM2 P.LLAVE HORIZONTAL 250/315A</v>
          </cell>
        </row>
        <row r="1795">
          <cell r="B1795">
            <v>5132868</v>
          </cell>
          <cell r="C1795" t="str">
            <v>P3M</v>
          </cell>
          <cell r="D1795" t="str">
            <v>CONECTOR TERMINAL MECANICO DE ALEACION DE ALUMINIO P.CABLE AL 185-300MM2 P.LLAVE VERTICAL 400A</v>
          </cell>
        </row>
        <row r="1796">
          <cell r="B1796">
            <v>5132868</v>
          </cell>
          <cell r="C1796" t="str">
            <v>SIM</v>
          </cell>
          <cell r="D1796" t="str">
            <v>CONECTOR TERMINAL MECANICO DE ALEACION DE ALUMINIO P.CABLE AL 185-300MM2 P.LLAVE VERTICAL 400A</v>
          </cell>
        </row>
        <row r="1797">
          <cell r="B1797">
            <v>5132870</v>
          </cell>
          <cell r="C1797" t="str">
            <v>P3M</v>
          </cell>
          <cell r="D1797" t="str">
            <v>CONECTOR TERMINAL MECANICO DE ALEACION DE ALUMINIO P.CABLE AL 300-500MM2 P.LLAVE VERTICAL 500/630A</v>
          </cell>
        </row>
        <row r="1798">
          <cell r="B1798">
            <v>5132870</v>
          </cell>
          <cell r="C1798" t="str">
            <v>SIM</v>
          </cell>
          <cell r="D1798" t="str">
            <v>CONECTOR TERMINAL MECANICO DE ALEACION DE ALUMINIO P.CABLE AL 300-500MM2 P.LLAVE VERTICAL 500/630A</v>
          </cell>
        </row>
        <row r="1799">
          <cell r="B1799">
            <v>5132872</v>
          </cell>
          <cell r="C1799" t="str">
            <v>GPH</v>
          </cell>
          <cell r="D1799" t="str">
            <v>CONECTOR TERMINAL MECANICO DE ALEACION DE ALUMINIO P.CABLE CU / AL 25 - 95MM2 P.RED M.T.</v>
          </cell>
        </row>
        <row r="1800">
          <cell r="B1800">
            <v>5132872</v>
          </cell>
          <cell r="C1800" t="str">
            <v>SIM</v>
          </cell>
          <cell r="D1800" t="str">
            <v>CONECTOR TERMINAL MECANICO DE ALEACION DE ALUMINIO P.CABLE CU / AL 25 - 95MM2 P.RED M.T.</v>
          </cell>
        </row>
        <row r="1801">
          <cell r="B1801">
            <v>5132874</v>
          </cell>
          <cell r="C1801" t="str">
            <v>GPH</v>
          </cell>
          <cell r="D1801" t="str">
            <v>CONECTOR TERMINAL MECANICO DE ALEACION DE ALUMINIO P.CABLE CU / AL 35 - 150MM2 P.RED M.T.</v>
          </cell>
        </row>
        <row r="1802">
          <cell r="B1802">
            <v>5132874</v>
          </cell>
          <cell r="C1802" t="str">
            <v>SIM</v>
          </cell>
          <cell r="D1802" t="str">
            <v>CONECTOR TERMINAL MECANICO DE ALEACION DE ALUMINIO P.CABLE CU / AL 35 - 150MM2 P.RED M.T.</v>
          </cell>
        </row>
        <row r="1803">
          <cell r="B1803">
            <v>5132876</v>
          </cell>
          <cell r="C1803" t="str">
            <v>GPH</v>
          </cell>
          <cell r="D1803" t="str">
            <v>CONECTOR TERMINAL MECANICO DE ALEACION DE ALUMINIO P.CABLE CU / AL 95 - 240MM2 P.RED M.T.</v>
          </cell>
        </row>
        <row r="1804">
          <cell r="B1804">
            <v>5132876</v>
          </cell>
          <cell r="C1804" t="str">
            <v>SIM</v>
          </cell>
          <cell r="D1804" t="str">
            <v>CONECTOR TERMINAL MECANICO DE ALEACION DE ALUMINIO P.CABLE CU / AL 95 - 240MM2 P.RED M.T.</v>
          </cell>
        </row>
        <row r="1805">
          <cell r="B1805">
            <v>5132879</v>
          </cell>
          <cell r="C1805" t="str">
            <v>GPH</v>
          </cell>
          <cell r="D1805" t="str">
            <v>CONECTOR TERMINAL MECANICO DE ALEACION DE ALUMINIO P.CABLE CU / AL 185 - 400MM2 P.RED M.T.</v>
          </cell>
        </row>
        <row r="1806">
          <cell r="B1806">
            <v>5132879</v>
          </cell>
          <cell r="C1806" t="str">
            <v>SIM</v>
          </cell>
          <cell r="D1806" t="str">
            <v>CONECTOR TERMINAL MECANICO DE ALEACION DE ALUMINIO P.CABLE CU / AL 185 - 400MM2 P.RED M.T.</v>
          </cell>
        </row>
        <row r="1807">
          <cell r="B1807">
            <v>5134362</v>
          </cell>
          <cell r="C1807" t="str">
            <v>SIB</v>
          </cell>
          <cell r="D1807" t="str">
            <v>MANTA AISLANTE C.VELCRO DE 800 X 1200MM 1KV</v>
          </cell>
        </row>
        <row r="1808">
          <cell r="B1808">
            <v>5134365</v>
          </cell>
          <cell r="C1808" t="str">
            <v>SAL</v>
          </cell>
          <cell r="D1808" t="str">
            <v>MANTA AISLANTE DE CAUCHO DE ALTA CAPACIDAD DIELECTRICA TIPO I, CL.2, 1/4" ESPESOR 17KV</v>
          </cell>
        </row>
        <row r="1809">
          <cell r="B1809">
            <v>5134372</v>
          </cell>
          <cell r="C1809" t="str">
            <v>P3M</v>
          </cell>
          <cell r="D1809" t="str">
            <v>MANTA AISLANTE ANTITRACKING AUTOFUNDENTE C.CAPA EPR DE 200MM X 3M COLOR NEGRO CL.2A 15KV</v>
          </cell>
        </row>
        <row r="1810">
          <cell r="B1810">
            <v>5134557</v>
          </cell>
          <cell r="C1810" t="str">
            <v>P3M</v>
          </cell>
          <cell r="D1810" t="str">
            <v>CINTA AISLANTE MASTIC DE GOMA AUTOFUNDENTE C.SOPORTE DE PVC 102MM X 3M X 2,29MM 600V COLOR NEGRO</v>
          </cell>
        </row>
        <row r="1811">
          <cell r="B1811">
            <v>5134557</v>
          </cell>
          <cell r="C1811" t="str">
            <v>PLY</v>
          </cell>
          <cell r="D1811" t="str">
            <v>CINTA AISLANTE MASTIC DE GOMA AUTOFUNDENTE C.SOPORTE DE PVC 102MM X 3M X 2,29MM 600V COLOR NEGRO</v>
          </cell>
        </row>
        <row r="1812">
          <cell r="B1812">
            <v>5134702</v>
          </cell>
          <cell r="C1812" t="str">
            <v>CRP</v>
          </cell>
          <cell r="D1812" t="str">
            <v>CINTA SENALIZADORA ROJA P.CABLES SUBTERRANEOS 10KV P.LUZ DEL SUR</v>
          </cell>
        </row>
        <row r="1813">
          <cell r="B1813">
            <v>5134702</v>
          </cell>
          <cell r="C1813" t="str">
            <v>EIN</v>
          </cell>
          <cell r="D1813" t="str">
            <v>CINTA SENALIZADORA ROJA P.CABLES SUBTERRANEOS 10KV P.LUZ DEL SUR</v>
          </cell>
        </row>
        <row r="1814">
          <cell r="B1814">
            <v>5134722</v>
          </cell>
          <cell r="C1814" t="str">
            <v>EIN</v>
          </cell>
          <cell r="D1814" t="str">
            <v>CINTA SENALIZADORA ROJA P.CABLES SUBTERRANEOS 22,9KV P.LUZ DEL SUR</v>
          </cell>
        </row>
        <row r="1815">
          <cell r="B1815">
            <v>5134722</v>
          </cell>
          <cell r="C1815" t="str">
            <v>PAK</v>
          </cell>
          <cell r="D1815" t="str">
            <v>CINTA SENALIZADORA ROJA P.CABLES SUBTERRANEOS 22,9KV P.LUZ DEL SUR</v>
          </cell>
        </row>
        <row r="1816">
          <cell r="B1816">
            <v>5134822</v>
          </cell>
          <cell r="C1816" t="str">
            <v>P3M</v>
          </cell>
          <cell r="D1816" t="str">
            <v>JUEGO DE LIMPIEZA CC-2 P.PREPARAC. DE CABLES M.T.</v>
          </cell>
        </row>
        <row r="1817">
          <cell r="B1817">
            <v>5139324</v>
          </cell>
          <cell r="C1817" t="str">
            <v>P3M</v>
          </cell>
          <cell r="D1817" t="str">
            <v>CINTA DE MALLA METALICA DE COBRE ESTANADO EN FORMA DE TEJIDO TUBULAR 2,54MM X 4,60M</v>
          </cell>
        </row>
        <row r="1818">
          <cell r="B1818">
            <v>5139475</v>
          </cell>
          <cell r="C1818" t="str">
            <v>RAY</v>
          </cell>
          <cell r="D1818" t="str">
            <v>TUBO AISLANTE TERMOCONTRAIBLE P/BARRAS 25KV, BPTM-100/40-A/U</v>
          </cell>
        </row>
        <row r="1819">
          <cell r="B1819">
            <v>5153208</v>
          </cell>
          <cell r="C1819" t="str">
            <v>SER</v>
          </cell>
          <cell r="D1819" t="str">
            <v>MASA AISL.(26.5KG.) P.EMPALME MT-AT PIRELLI TP.A2D</v>
          </cell>
        </row>
        <row r="1820">
          <cell r="B1820">
            <v>5154556</v>
          </cell>
          <cell r="C1820" t="str">
            <v>P3M</v>
          </cell>
          <cell r="D1820" t="str">
            <v>CINTA AISLANTE DE GOMA AUTOFUNDENTE EPR DE 19MM X 9,20M X 0,76MM 69KV COLOR NEGRO</v>
          </cell>
        </row>
        <row r="1821">
          <cell r="B1821">
            <v>5154556</v>
          </cell>
          <cell r="C1821" t="str">
            <v>P3M</v>
          </cell>
          <cell r="D1821" t="str">
            <v>CINTA AISLANTE DE GOMA AUTOFUNDENTE EPR DE 19MM X 9,20M X 0,76MM 69KV COLOR NEGRO</v>
          </cell>
        </row>
        <row r="1822">
          <cell r="B1822">
            <v>5154556</v>
          </cell>
          <cell r="C1822" t="str">
            <v>P3M</v>
          </cell>
          <cell r="D1822" t="str">
            <v>CINTA AISLANTE DE GOMA AUTOFUNDENTE EPR DE 19MM X 9,20M X 0,76MM 69KV COLOR NEGRO</v>
          </cell>
        </row>
        <row r="1823">
          <cell r="B1823">
            <v>5211242</v>
          </cell>
          <cell r="C1823" t="str">
            <v>GAM</v>
          </cell>
          <cell r="D1823" t="str">
            <v>AISLADOR SUSP.PORCEL.400MM.FUGA CLASE 52.3 10KV</v>
          </cell>
        </row>
        <row r="1824">
          <cell r="B1824">
            <v>5211242</v>
          </cell>
          <cell r="C1824" t="str">
            <v>KSH</v>
          </cell>
          <cell r="D1824" t="str">
            <v>AISLADOR SUSP.PORCEL.400MM.FUGA CLASE 52.3 10KV</v>
          </cell>
        </row>
        <row r="1825">
          <cell r="B1825">
            <v>5211242</v>
          </cell>
          <cell r="C1825" t="str">
            <v>LAP</v>
          </cell>
          <cell r="D1825" t="str">
            <v>AISLADOR SUSP.PORCEL.400MM.FUGA CLASE 52.3 10KV</v>
          </cell>
        </row>
        <row r="1826">
          <cell r="B1826">
            <v>5211242</v>
          </cell>
          <cell r="C1826" t="str">
            <v>NGK</v>
          </cell>
          <cell r="D1826" t="str">
            <v>AISLADOR SUSP.PORCEL.400MM.FUGA CLASE 52.3 10KV</v>
          </cell>
        </row>
        <row r="1827">
          <cell r="B1827">
            <v>5211242</v>
          </cell>
          <cell r="C1827" t="str">
            <v>TER</v>
          </cell>
          <cell r="D1827" t="str">
            <v>AISLADOR SUSP.PORCEL.400MM.FUGA CLASE 52.3 10KV</v>
          </cell>
        </row>
        <row r="1828">
          <cell r="B1828">
            <v>5211252</v>
          </cell>
          <cell r="C1828" t="str">
            <v>GAM</v>
          </cell>
          <cell r="D1828" t="str">
            <v>AISLADOR SUSP.PORCEL.52.6 10KV. C/VAST.ESP. 400MM. FUGA</v>
          </cell>
        </row>
        <row r="1829">
          <cell r="B1829">
            <v>5211252</v>
          </cell>
          <cell r="C1829" t="str">
            <v>LAP</v>
          </cell>
          <cell r="D1829" t="str">
            <v>AISLADOR SUSP.PORCEL.52.6 10KV. C/VAST.ESP. 400MM. FUGA</v>
          </cell>
        </row>
        <row r="1830">
          <cell r="B1830">
            <v>5211252</v>
          </cell>
          <cell r="C1830" t="str">
            <v>NGK</v>
          </cell>
          <cell r="D1830" t="str">
            <v>AISLADOR SUSP.PORCEL.52.6 10KV. C/VAST.ESP. 400MM. FUGA</v>
          </cell>
        </row>
        <row r="1831">
          <cell r="B1831">
            <v>5211252</v>
          </cell>
          <cell r="C1831" t="str">
            <v>STN</v>
          </cell>
          <cell r="D1831" t="str">
            <v>AISLADOR SUSP.PORCEL.52.6 10KV. C/VAST.ESP. 400MM. FUGA</v>
          </cell>
        </row>
        <row r="1832">
          <cell r="B1832">
            <v>5211252</v>
          </cell>
          <cell r="C1832" t="str">
            <v>TER</v>
          </cell>
          <cell r="D1832" t="str">
            <v>AISLADOR SUSP.PORCEL.52.6 10KV. C/VAST.ESP. 400MM. FUGA</v>
          </cell>
        </row>
        <row r="1833">
          <cell r="B1833">
            <v>5211422</v>
          </cell>
          <cell r="C1833" t="str">
            <v>ELX</v>
          </cell>
          <cell r="D1833" t="str">
            <v>AISLADOR SUSP.POLIMERICO P.REDES DISTRIB. DE 22,9KV.</v>
          </cell>
        </row>
        <row r="1834">
          <cell r="B1834">
            <v>5211422</v>
          </cell>
          <cell r="C1834" t="str">
            <v>KLI</v>
          </cell>
          <cell r="D1834" t="str">
            <v>AISLADOR SUSP.POLIMERICO P.REDES DISTRIB. DE 22,9KV.</v>
          </cell>
        </row>
        <row r="1835">
          <cell r="B1835">
            <v>5211422</v>
          </cell>
          <cell r="C1835" t="str">
            <v>MAC</v>
          </cell>
          <cell r="D1835" t="str">
            <v>AISLADOR SUSP.POLIMERICO P.REDES DISTRIB. DE 22,9KV.</v>
          </cell>
        </row>
        <row r="1836">
          <cell r="B1836">
            <v>5211422</v>
          </cell>
          <cell r="C1836" t="str">
            <v>RLB</v>
          </cell>
          <cell r="D1836" t="str">
            <v>AISLADOR SUSP.POLIMERICO P.REDES DISTRIB. DE 22,9KV.</v>
          </cell>
        </row>
        <row r="1837">
          <cell r="B1837">
            <v>5211422</v>
          </cell>
          <cell r="C1837" t="str">
            <v>SIL</v>
          </cell>
          <cell r="D1837" t="str">
            <v>AISLADOR SUSP.POLIMERICO P.REDES DISTRIB. DE 22,9KV.</v>
          </cell>
        </row>
        <row r="1838">
          <cell r="B1838">
            <v>5211422</v>
          </cell>
          <cell r="C1838" t="str">
            <v>SIL</v>
          </cell>
          <cell r="D1838" t="str">
            <v>AISLADOR SUSP.POLIMERICO P.REDES DISTRIB. DE 22,9KV.</v>
          </cell>
        </row>
        <row r="1839">
          <cell r="B1839">
            <v>5211422</v>
          </cell>
          <cell r="C1839" t="str">
            <v>STN</v>
          </cell>
          <cell r="D1839" t="str">
            <v>AISLADOR SUSP.POLIMERICO P.REDES DISTRIB. DE 22,9KV.</v>
          </cell>
        </row>
        <row r="1840">
          <cell r="B1840">
            <v>5212010</v>
          </cell>
          <cell r="C1840" t="str">
            <v>KLI</v>
          </cell>
          <cell r="D1840" t="str">
            <v>AISLADOR POLIMERICO TP.SUSPENSION / ANCLAJE 10KV 400MM LONG. L.F. 600MM 45KN C.ACCESORIOS</v>
          </cell>
        </row>
        <row r="1841">
          <cell r="B1841">
            <v>5212010</v>
          </cell>
          <cell r="C1841" t="str">
            <v>MAC</v>
          </cell>
          <cell r="D1841" t="str">
            <v>AISLADOR POLIMERICO TP.SUSPENSION / ANCLAJE 10KV 400MM LONG. L.F. 600MM 45KN C.ACCESORIOS</v>
          </cell>
        </row>
        <row r="1842">
          <cell r="B1842">
            <v>5212010</v>
          </cell>
          <cell r="C1842" t="str">
            <v>RAY</v>
          </cell>
          <cell r="D1842" t="str">
            <v>AISLADOR POLIMERICO TP.SUSPENSION / ANCLAJE 10KV 400MM LONG. L.F. 600MM 45KN C.ACCESORIOS</v>
          </cell>
        </row>
        <row r="1843">
          <cell r="B1843">
            <v>5212010</v>
          </cell>
          <cell r="C1843" t="str">
            <v>RLB</v>
          </cell>
          <cell r="D1843" t="str">
            <v>AISLADOR POLIMERICO TP.SUSPENSION / ANCLAJE 10KV 400MM LONG. L.F. 600MM 45KN C.ACCESORIOS</v>
          </cell>
        </row>
        <row r="1844">
          <cell r="B1844">
            <v>5212010</v>
          </cell>
          <cell r="C1844" t="str">
            <v>SIL</v>
          </cell>
          <cell r="D1844" t="str">
            <v>AISLADOR POLIMERICO TP.SUSPENSION / ANCLAJE 10KV 400MM LONG. L.F. 600MM 45KN C.ACCESORIOS</v>
          </cell>
        </row>
        <row r="1845">
          <cell r="B1845">
            <v>5212010</v>
          </cell>
          <cell r="C1845" t="str">
            <v>STN</v>
          </cell>
          <cell r="D1845" t="str">
            <v>AISLADOR POLIMERICO TP.SUSPENSION / ANCLAJE 10KV 400MM LONG. L.F. 600MM 45KN C.ACCESORIOS</v>
          </cell>
        </row>
        <row r="1846">
          <cell r="B1846">
            <v>5214470</v>
          </cell>
          <cell r="C1846" t="str">
            <v>GAM</v>
          </cell>
          <cell r="D1846" t="str">
            <v>AISLADOR PIN PORCELANA 56-2 C/ROSC.34.9MMD. P.10KV</v>
          </cell>
        </row>
        <row r="1847">
          <cell r="B1847">
            <v>5214470</v>
          </cell>
          <cell r="C1847" t="str">
            <v>KSH</v>
          </cell>
          <cell r="D1847" t="str">
            <v>AISLADOR PIN PORCELANA 56-2 C/ROSC.34.9MMD. P.10KV</v>
          </cell>
        </row>
        <row r="1848">
          <cell r="B1848">
            <v>5214470</v>
          </cell>
          <cell r="C1848" t="str">
            <v>NGK</v>
          </cell>
          <cell r="D1848" t="str">
            <v>AISLADOR PIN PORCELANA 56-2 C/ROSC.34.9MMD. P.10KV</v>
          </cell>
        </row>
        <row r="1849">
          <cell r="B1849">
            <v>5214470</v>
          </cell>
          <cell r="C1849" t="str">
            <v>OBC</v>
          </cell>
          <cell r="D1849" t="str">
            <v>AISLADOR PIN PORCELANA 56-2 C/ROSC.34.9MMD. P.10KV</v>
          </cell>
        </row>
        <row r="1850">
          <cell r="B1850">
            <v>5214470</v>
          </cell>
          <cell r="C1850" t="str">
            <v>TER</v>
          </cell>
          <cell r="D1850" t="str">
            <v>AISLADOR PIN PORCELANA 56-2 C/ROSC.34.9MMD. P.10KV</v>
          </cell>
        </row>
        <row r="1851">
          <cell r="B1851">
            <v>5214491</v>
          </cell>
          <cell r="C1851" t="str">
            <v>RAY</v>
          </cell>
          <cell r="D1851" t="str">
            <v>AISLADOR HIBRIDO TP. PIN PARA LINEAS DE 10 KV.</v>
          </cell>
        </row>
        <row r="1852">
          <cell r="B1852">
            <v>5214491</v>
          </cell>
          <cell r="C1852" t="str">
            <v>SIL</v>
          </cell>
          <cell r="D1852" t="str">
            <v>AISLADOR HIBRIDO TP. PIN PARA LINEAS DE 10 KV.</v>
          </cell>
        </row>
        <row r="1853">
          <cell r="B1853">
            <v>5214491</v>
          </cell>
          <cell r="C1853" t="str">
            <v>TCE</v>
          </cell>
          <cell r="D1853" t="str">
            <v>AISLADOR HIBRIDO TP. PIN PARA LINEAS DE 10 KV.</v>
          </cell>
        </row>
        <row r="1854">
          <cell r="B1854">
            <v>5214496</v>
          </cell>
          <cell r="C1854" t="str">
            <v>RAY</v>
          </cell>
          <cell r="D1854" t="str">
            <v>AISLADOR POLIMERICO TP.PIN P/LINEAS AEREAS 22,9KV.</v>
          </cell>
        </row>
        <row r="1855">
          <cell r="B1855">
            <v>5214496</v>
          </cell>
          <cell r="C1855" t="str">
            <v>RAY</v>
          </cell>
          <cell r="D1855" t="str">
            <v>AISLADOR POLIMERICO TP.PIN P/LINEAS AEREAS 22,9KV.</v>
          </cell>
        </row>
        <row r="1856">
          <cell r="B1856">
            <v>5214496</v>
          </cell>
          <cell r="C1856" t="str">
            <v>SIL</v>
          </cell>
          <cell r="D1856" t="str">
            <v>AISLADOR POLIMERICO TP.PIN P/LINEAS AEREAS 22,9KV.</v>
          </cell>
        </row>
        <row r="1857">
          <cell r="B1857">
            <v>5214496</v>
          </cell>
          <cell r="C1857" t="str">
            <v>TEM</v>
          </cell>
          <cell r="D1857" t="str">
            <v>AISLADOR POLIMERICO TP.PIN P/LINEAS AEREAS 22,9KV.</v>
          </cell>
        </row>
        <row r="1858">
          <cell r="B1858">
            <v>5217201</v>
          </cell>
          <cell r="C1858" t="str">
            <v>GAM</v>
          </cell>
          <cell r="D1858" t="str">
            <v>AISLADOR TP.CARRETE PORCELANA 50X48MM.        B.T. HAST.70MM2</v>
          </cell>
        </row>
        <row r="1859">
          <cell r="B1859">
            <v>5217201</v>
          </cell>
          <cell r="C1859" t="str">
            <v>ICB</v>
          </cell>
          <cell r="D1859" t="str">
            <v>AISLADOR TP.CARRETE PORCELANA 50X48MM.        B.T. HAST.70MM2</v>
          </cell>
        </row>
        <row r="1860">
          <cell r="B1860">
            <v>5217201</v>
          </cell>
          <cell r="C1860" t="str">
            <v>TER</v>
          </cell>
          <cell r="D1860" t="str">
            <v>AISLADOR TP.CARRETE PORCELANA 50X48MM.        B.T. HAST.70MM2</v>
          </cell>
        </row>
        <row r="1861">
          <cell r="B1861">
            <v>5217202</v>
          </cell>
          <cell r="C1861" t="str">
            <v>GAM</v>
          </cell>
          <cell r="D1861" t="str">
            <v>AISLADOR TP.CARRETE PORCELANA 79X76MM. CL.53-2 B.T</v>
          </cell>
        </row>
        <row r="1862">
          <cell r="B1862">
            <v>5217202</v>
          </cell>
          <cell r="C1862" t="str">
            <v>ICB</v>
          </cell>
          <cell r="D1862" t="str">
            <v>AISLADOR TP.CARRETE PORCELANA 79X76MM. CL.53-2 B.T</v>
          </cell>
        </row>
        <row r="1863">
          <cell r="B1863">
            <v>5217202</v>
          </cell>
          <cell r="C1863" t="str">
            <v>TER</v>
          </cell>
          <cell r="D1863" t="str">
            <v>AISLADOR TP.CARRETE PORCELANA 79X76MM. CL.53-2 B.T</v>
          </cell>
        </row>
        <row r="1864">
          <cell r="B1864">
            <v>5217208</v>
          </cell>
          <cell r="C1864" t="str">
            <v>GAM</v>
          </cell>
          <cell r="D1864" t="str">
            <v>AISLADOR TP.CARRETE PORCEL.53.1 220V.P.PORTALINEA.</v>
          </cell>
        </row>
        <row r="1865">
          <cell r="B1865">
            <v>5217208</v>
          </cell>
          <cell r="C1865" t="str">
            <v>STN</v>
          </cell>
          <cell r="D1865" t="str">
            <v>AISLADOR TP.CARRETE PORCEL.53.1 220V.P.PORTALINEA.</v>
          </cell>
        </row>
        <row r="1866">
          <cell r="B1866">
            <v>5217631</v>
          </cell>
          <cell r="C1866" t="str">
            <v>GAM</v>
          </cell>
          <cell r="D1866" t="str">
            <v>AISLADOR DE TENSION, PORCELANA, CLASE 54-2  P.VIENTO</v>
          </cell>
        </row>
        <row r="1867">
          <cell r="B1867">
            <v>5217631</v>
          </cell>
          <cell r="C1867" t="str">
            <v>STN</v>
          </cell>
          <cell r="D1867" t="str">
            <v>AISLADOR DE TENSION, PORCELANA, CLASE 54-2  P.VIENTO</v>
          </cell>
        </row>
        <row r="1868">
          <cell r="B1868">
            <v>5217631</v>
          </cell>
          <cell r="C1868" t="str">
            <v>TER</v>
          </cell>
          <cell r="D1868" t="str">
            <v>AISLADOR DE TENSION, PORCELANA, CLASE 54-2  P.VIENTO</v>
          </cell>
        </row>
        <row r="1869">
          <cell r="B1869">
            <v>5265103</v>
          </cell>
          <cell r="C1869" t="str">
            <v>MBT</v>
          </cell>
          <cell r="D1869" t="str">
            <v>AISLADOR SOPORTE PORTABARRA RESINA EPOXICA TP.BISFENOL 1KV L.F.31MM 30X24X30MM INTERIOR</v>
          </cell>
        </row>
        <row r="1870">
          <cell r="B1870">
            <v>5265104</v>
          </cell>
          <cell r="C1870" t="str">
            <v>MBT</v>
          </cell>
          <cell r="D1870" t="str">
            <v>AISLADOR SOPORTE PORTABARRA RESINA EPOXICA TP.BISFENOL 1KV L.F.41MM 40X34X40MM INTERIOR</v>
          </cell>
        </row>
        <row r="1871">
          <cell r="B1871">
            <v>5265104</v>
          </cell>
          <cell r="C1871" t="str">
            <v>MTR</v>
          </cell>
          <cell r="D1871" t="str">
            <v>AISLADOR SOPORTE PORTABARRA RESINA EPOXICA TP.BISFENOL 1KV L.F.41MM 40X34X40MM INTERIOR</v>
          </cell>
        </row>
        <row r="1872">
          <cell r="B1872">
            <v>5265105</v>
          </cell>
          <cell r="C1872" t="str">
            <v>MBT</v>
          </cell>
          <cell r="D1872" t="str">
            <v>AISLADOR SOPORTE PORTABARRA RESINA EPOXICA TP.BISFENOL 1KV L.F.51MM 50X44X50MM INTERIOR</v>
          </cell>
        </row>
        <row r="1873">
          <cell r="B1873">
            <v>5265106</v>
          </cell>
          <cell r="C1873" t="str">
            <v>MBT</v>
          </cell>
          <cell r="D1873" t="str">
            <v>AISLADOR SOPORTE PORTABARRA RESINA EPOXICA TP.BISFENOL 1KV L.F.61MM 60X50X64MM INTERIOR</v>
          </cell>
        </row>
        <row r="1874">
          <cell r="B1874">
            <v>5265106</v>
          </cell>
          <cell r="C1874" t="str">
            <v>MTR</v>
          </cell>
          <cell r="D1874" t="str">
            <v>AISLADOR SOPORTE PORTABARRA RESINA EPOXICA TP.BISFENOL 1KV L.F.61MM 60X50X64MM INTERIOR</v>
          </cell>
        </row>
        <row r="1875">
          <cell r="B1875">
            <v>5265220</v>
          </cell>
          <cell r="C1875" t="str">
            <v>GAM</v>
          </cell>
          <cell r="D1875" t="str">
            <v>AISLADOR SOP.PORTAB.PORC.J8-75 130MM.INT.10KV.</v>
          </cell>
        </row>
        <row r="1876">
          <cell r="B1876">
            <v>5265220</v>
          </cell>
          <cell r="C1876" t="str">
            <v>KSH</v>
          </cell>
          <cell r="D1876" t="str">
            <v>AISLADOR SOP.PORTAB.PORC.J8-75 130MM.INT.10KV.</v>
          </cell>
        </row>
        <row r="1877">
          <cell r="B1877">
            <v>5265420</v>
          </cell>
          <cell r="C1877" t="str">
            <v>GAM</v>
          </cell>
          <cell r="D1877" t="str">
            <v>AISLADOR SOP.PORTAB.PORCEL.J4-125 210MM.INT.22.9KV</v>
          </cell>
        </row>
        <row r="1878">
          <cell r="B1878">
            <v>5267220</v>
          </cell>
          <cell r="C1878" t="str">
            <v>GAM</v>
          </cell>
          <cell r="D1878" t="str">
            <v>AISLADOR SOP.PORTAEQ.PORCEL.J16-75 130MML.INT.10KV</v>
          </cell>
        </row>
        <row r="1879">
          <cell r="B1879">
            <v>5267220</v>
          </cell>
          <cell r="C1879" t="str">
            <v>KSH</v>
          </cell>
          <cell r="D1879" t="str">
            <v>AISLADOR SOP.PORTAEQ.PORCEL.J16-75 130MML.INT.10KV</v>
          </cell>
        </row>
        <row r="1880">
          <cell r="B1880">
            <v>5267320</v>
          </cell>
          <cell r="C1880" t="str">
            <v>GAM</v>
          </cell>
          <cell r="D1880" t="str">
            <v>AISLADOR SOP.PORTAEQ.PORC.J8-125 210MM.INT.22.9KV</v>
          </cell>
        </row>
        <row r="1881">
          <cell r="B1881">
            <v>5288124</v>
          </cell>
          <cell r="C1881" t="str">
            <v>P3M</v>
          </cell>
          <cell r="D1881" t="str">
            <v>CINTA AISLANTE DE ALGODON DE 19MM</v>
          </cell>
        </row>
        <row r="1882">
          <cell r="B1882">
            <v>5288124</v>
          </cell>
          <cell r="C1882" t="str">
            <v>PLY</v>
          </cell>
          <cell r="D1882" t="str">
            <v>CINTA AISLANTE DE ALGODON DE 19MM</v>
          </cell>
        </row>
        <row r="1883">
          <cell r="B1883">
            <v>5288420</v>
          </cell>
          <cell r="C1883" t="str">
            <v>P3M</v>
          </cell>
          <cell r="D1883" t="str">
            <v>CINTA AISLANTE DE ALGODON 19MMX18M</v>
          </cell>
        </row>
        <row r="1884">
          <cell r="B1884">
            <v>5295342</v>
          </cell>
          <cell r="C1884" t="str">
            <v>ERI</v>
          </cell>
          <cell r="D1884" t="str">
            <v>CEMENTO ESPECIAL CONDUCTIVO USADO PARA SISTEMAS ELECTRICOS</v>
          </cell>
        </row>
        <row r="1885">
          <cell r="B1885">
            <v>5295342</v>
          </cell>
          <cell r="C1885" t="str">
            <v>SAE</v>
          </cell>
          <cell r="D1885" t="str">
            <v>CEMENTO ESPECIAL CONDUCTIVO USADO PARA SISTEMAS ELECTRICOS</v>
          </cell>
        </row>
        <row r="1886">
          <cell r="B1886">
            <v>5295343</v>
          </cell>
          <cell r="C1886" t="str">
            <v>ERI</v>
          </cell>
          <cell r="D1886" t="str">
            <v>CEMENTO ESPECIAL CONDUCTIVO USADO PARA SISTEMAS ELECTRICOS EN BOLSAS DE 25LB</v>
          </cell>
        </row>
        <row r="1887">
          <cell r="B1887">
            <v>5295343</v>
          </cell>
          <cell r="C1887" t="str">
            <v>SAE</v>
          </cell>
          <cell r="D1887" t="str">
            <v>CEMENTO ESPECIAL CONDUCTIVO USADO PARA SISTEMAS ELECTRICOS EN BOLSAS DE 25LB</v>
          </cell>
        </row>
        <row r="1888">
          <cell r="B1888">
            <v>5295344</v>
          </cell>
          <cell r="C1888" t="str">
            <v>SAE</v>
          </cell>
          <cell r="D1888" t="str">
            <v>CEMENTO ESPECIAL CONDUCTIVO USADO PARA SISTEMAS ELECTRICOS EN BOLSAS DE 55LB</v>
          </cell>
        </row>
        <row r="1889">
          <cell r="B1889">
            <v>5297528</v>
          </cell>
          <cell r="C1889" t="str">
            <v>DRG</v>
          </cell>
          <cell r="D1889" t="str">
            <v>VISOR TRANSPARENTE P.CAJAS TIPO L - LT 110 X 115 X 3MM</v>
          </cell>
        </row>
        <row r="1890">
          <cell r="B1890">
            <v>5297528</v>
          </cell>
          <cell r="C1890" t="str">
            <v>TPO</v>
          </cell>
          <cell r="D1890" t="str">
            <v>VISOR TRANSPARENTE P.CAJAS TIPO L - LT 110 X 115 X 3MM</v>
          </cell>
        </row>
        <row r="1891">
          <cell r="B1891">
            <v>5311206</v>
          </cell>
          <cell r="C1891" t="str">
            <v>SCM</v>
          </cell>
          <cell r="D1891" t="str">
            <v>POSTE C.A.C. 7/100/120/225 P. A.P. Y/O L.A.B.T O MT</v>
          </cell>
        </row>
        <row r="1892">
          <cell r="B1892">
            <v>5311214</v>
          </cell>
          <cell r="C1892" t="str">
            <v>FAD</v>
          </cell>
          <cell r="D1892" t="str">
            <v>POSTE C.A.C. 7/200/120/225 P. A.P. Y/O L.A.B.T.</v>
          </cell>
        </row>
        <row r="1893">
          <cell r="B1893">
            <v>5311214</v>
          </cell>
          <cell r="C1893" t="str">
            <v>PSA</v>
          </cell>
          <cell r="D1893" t="str">
            <v>POSTE C.A.C. 7/200/120/225 P. A.P. Y/O L.A.B.T.</v>
          </cell>
        </row>
        <row r="1894">
          <cell r="B1894">
            <v>5311214</v>
          </cell>
          <cell r="C1894" t="str">
            <v>SCM</v>
          </cell>
          <cell r="D1894" t="str">
            <v>POSTE C.A.C. 7/200/120/225 P. A.P. Y/O L.A.B.T.</v>
          </cell>
        </row>
        <row r="1895">
          <cell r="B1895">
            <v>5311232</v>
          </cell>
          <cell r="C1895" t="str">
            <v>SCM</v>
          </cell>
          <cell r="D1895" t="str">
            <v>POSTE C.A.C. 7/300/150/255 P. A.P. Y/O L.A.B.T O MT</v>
          </cell>
        </row>
        <row r="1896">
          <cell r="B1896">
            <v>5311262</v>
          </cell>
          <cell r="C1896" t="str">
            <v>FAD</v>
          </cell>
          <cell r="D1896" t="str">
            <v>POSTE C.A.C. 8 / 100 / 130 / 250 P.A.P. Y/O L.A.B.T.</v>
          </cell>
        </row>
        <row r="1897">
          <cell r="B1897">
            <v>5311264</v>
          </cell>
          <cell r="C1897" t="str">
            <v>SCM</v>
          </cell>
          <cell r="D1897" t="str">
            <v>POSTE C.A.  8.00/200/120/240 P. A.P.Y/O L.A.BT.</v>
          </cell>
        </row>
        <row r="1898">
          <cell r="B1898">
            <v>5311282</v>
          </cell>
          <cell r="C1898" t="str">
            <v>SCM</v>
          </cell>
          <cell r="D1898" t="str">
            <v>POSTE C.A.  8.00/300/150/270 P. A.P.Y/O L.A.BT.</v>
          </cell>
        </row>
        <row r="1899">
          <cell r="B1899">
            <v>5311292</v>
          </cell>
          <cell r="C1899" t="str">
            <v>PAL</v>
          </cell>
          <cell r="D1899" t="str">
            <v>POSTE C.A.  8,7/200/120/250 P. A.P. Y/O L.A.BT.</v>
          </cell>
        </row>
        <row r="1900">
          <cell r="B1900">
            <v>5311292</v>
          </cell>
          <cell r="C1900" t="str">
            <v>PSA</v>
          </cell>
          <cell r="D1900" t="str">
            <v>POSTE C.A.  8,7/200/120/250 P. A.P. Y/O L.A.BT.</v>
          </cell>
        </row>
        <row r="1901">
          <cell r="B1901">
            <v>5311292</v>
          </cell>
          <cell r="C1901" t="str">
            <v>SCM</v>
          </cell>
          <cell r="D1901" t="str">
            <v>POSTE C.A.  8,7/200/120/250 P. A.P. Y/O L.A.BT.</v>
          </cell>
        </row>
        <row r="1902">
          <cell r="B1902">
            <v>5311293</v>
          </cell>
          <cell r="C1902" t="str">
            <v>CMA</v>
          </cell>
          <cell r="D1902" t="str">
            <v>POSTE C.A.  8.7/200/150/280 P. A.P. Y/O L.A.B.T.</v>
          </cell>
        </row>
        <row r="1903">
          <cell r="B1903">
            <v>5311293</v>
          </cell>
          <cell r="C1903" t="str">
            <v>ESC</v>
          </cell>
          <cell r="D1903" t="str">
            <v>POSTE C.A.  8.7/200/150/280 P. A.P. Y/O L.A.B.T.</v>
          </cell>
        </row>
        <row r="1904">
          <cell r="B1904">
            <v>5311293</v>
          </cell>
          <cell r="C1904" t="str">
            <v>IPT</v>
          </cell>
          <cell r="D1904" t="str">
            <v>POSTE C.A.  8.7/200/150/280 P. A.P. Y/O L.A.B.T.</v>
          </cell>
        </row>
        <row r="1905">
          <cell r="B1905">
            <v>5311293</v>
          </cell>
          <cell r="C1905" t="str">
            <v>PAL</v>
          </cell>
          <cell r="D1905" t="str">
            <v>POSTE C.A.  8.7/200/150/280 P. A.P. Y/O L.A.B.T.</v>
          </cell>
        </row>
        <row r="1906">
          <cell r="B1906">
            <v>5311293</v>
          </cell>
          <cell r="C1906" t="str">
            <v>PSA</v>
          </cell>
          <cell r="D1906" t="str">
            <v>POSTE C.A.  8.7/200/150/280 P. A.P. Y/O L.A.B.T.</v>
          </cell>
        </row>
        <row r="1907">
          <cell r="B1907">
            <v>5311293</v>
          </cell>
          <cell r="C1907" t="str">
            <v>SCM</v>
          </cell>
          <cell r="D1907" t="str">
            <v>POSTE C.A.  8.7/200/150/280 P. A.P. Y/O L.A.B.T.</v>
          </cell>
        </row>
        <row r="1908">
          <cell r="B1908">
            <v>5311293</v>
          </cell>
          <cell r="C1908" t="str">
            <v>SMJ</v>
          </cell>
          <cell r="D1908" t="str">
            <v>POSTE C.A.  8.7/200/150/280 P. A.P. Y/O L.A.B.T.</v>
          </cell>
        </row>
        <row r="1909">
          <cell r="B1909">
            <v>5311294</v>
          </cell>
          <cell r="C1909" t="str">
            <v>CMA</v>
          </cell>
          <cell r="D1909" t="str">
            <v>POSTE C.A.  8,7/300/150/280 P. A.P. Y/O L.A.BT.</v>
          </cell>
        </row>
        <row r="1910">
          <cell r="B1910">
            <v>5311294</v>
          </cell>
          <cell r="C1910" t="str">
            <v>ESC</v>
          </cell>
          <cell r="D1910" t="str">
            <v>POSTE C.A.  8,7/300/150/280 P. A.P. Y/O L.A.BT.</v>
          </cell>
        </row>
        <row r="1911">
          <cell r="B1911">
            <v>5311294</v>
          </cell>
          <cell r="C1911" t="str">
            <v>FAD</v>
          </cell>
          <cell r="D1911" t="str">
            <v>POSTE C.A.  8,7/300/150/280 P. A.P. Y/O L.A.BT.</v>
          </cell>
        </row>
        <row r="1912">
          <cell r="B1912">
            <v>5311294</v>
          </cell>
          <cell r="C1912" t="str">
            <v>IPT</v>
          </cell>
          <cell r="D1912" t="str">
            <v>POSTE C.A.  8,7/300/150/280 P. A.P. Y/O L.A.BT.</v>
          </cell>
        </row>
        <row r="1913">
          <cell r="B1913">
            <v>5311294</v>
          </cell>
          <cell r="C1913" t="str">
            <v>PAL</v>
          </cell>
          <cell r="D1913" t="str">
            <v>POSTE C.A.  8,7/300/150/280 P. A.P. Y/O L.A.BT.</v>
          </cell>
        </row>
        <row r="1914">
          <cell r="B1914">
            <v>5311294</v>
          </cell>
          <cell r="C1914" t="str">
            <v>PSA</v>
          </cell>
          <cell r="D1914" t="str">
            <v>POSTE C.A.  8,7/300/150/280 P. A.P. Y/O L.A.BT.</v>
          </cell>
        </row>
        <row r="1915">
          <cell r="B1915">
            <v>5311294</v>
          </cell>
          <cell r="C1915" t="str">
            <v>SCM</v>
          </cell>
          <cell r="D1915" t="str">
            <v>POSTE C.A.  8,7/300/150/280 P. A.P. Y/O L.A.BT.</v>
          </cell>
        </row>
        <row r="1916">
          <cell r="B1916">
            <v>5311294</v>
          </cell>
          <cell r="C1916" t="str">
            <v>SMJ</v>
          </cell>
          <cell r="D1916" t="str">
            <v>POSTE C.A.  8,7/300/150/280 P. A.P. Y/O L.A.BT.</v>
          </cell>
        </row>
        <row r="1917">
          <cell r="B1917">
            <v>5311314</v>
          </cell>
          <cell r="C1917" t="str">
            <v>PAL</v>
          </cell>
          <cell r="D1917" t="str">
            <v>POSTE C.A.C. 9/200/120/255 P. A.P. Y/O L.A.B.T O MT</v>
          </cell>
        </row>
        <row r="1918">
          <cell r="B1918">
            <v>5311314</v>
          </cell>
          <cell r="C1918" t="str">
            <v>SCM</v>
          </cell>
          <cell r="D1918" t="str">
            <v>POSTE C.A.C. 9/200/120/255 P. A.P. Y/O L.A.B.T O MT</v>
          </cell>
        </row>
        <row r="1919">
          <cell r="B1919">
            <v>5311314</v>
          </cell>
          <cell r="C1919" t="str">
            <v>SMJ</v>
          </cell>
          <cell r="D1919" t="str">
            <v>POSTE C.A.C. 9/200/120/255 P. A.P. Y/O L.A.B.T O MT</v>
          </cell>
        </row>
        <row r="1920">
          <cell r="B1920">
            <v>5311332</v>
          </cell>
          <cell r="C1920" t="str">
            <v>PAL</v>
          </cell>
          <cell r="D1920" t="str">
            <v>POSTE C.A.C. 9/300/150/285 P. A.P. Y/O L.A.B.T O MT</v>
          </cell>
        </row>
        <row r="1921">
          <cell r="B1921">
            <v>5311332</v>
          </cell>
          <cell r="C1921" t="str">
            <v>SCM</v>
          </cell>
          <cell r="D1921" t="str">
            <v>POSTE C.A.C. 9/300/150/285 P. A.P. Y/O L.A.B.T O MT</v>
          </cell>
        </row>
        <row r="1922">
          <cell r="B1922">
            <v>5311332</v>
          </cell>
          <cell r="C1922" t="str">
            <v>SMJ</v>
          </cell>
          <cell r="D1922" t="str">
            <v>POSTE C.A.C. 9/300/150/285 P. A.P. Y/O L.A.B.T O MT</v>
          </cell>
        </row>
        <row r="1923">
          <cell r="B1923">
            <v>5311335</v>
          </cell>
          <cell r="C1923" t="str">
            <v>ESC</v>
          </cell>
          <cell r="D1923" t="str">
            <v>POSTE C.A. 9/400/180/315/L.A.10 KV. P/SAM</v>
          </cell>
        </row>
        <row r="1924">
          <cell r="B1924">
            <v>5311335</v>
          </cell>
          <cell r="C1924" t="str">
            <v>PAL</v>
          </cell>
          <cell r="D1924" t="str">
            <v>POSTE C.A. 9/400/180/315/L.A.10 KV. P/SAM</v>
          </cell>
        </row>
        <row r="1925">
          <cell r="B1925">
            <v>5311364</v>
          </cell>
          <cell r="C1925" t="str">
            <v>CMA</v>
          </cell>
          <cell r="D1925" t="str">
            <v>POSTE C.A. 10,0/300/150/300. B.T. Y/O A.P.</v>
          </cell>
        </row>
        <row r="1926">
          <cell r="B1926">
            <v>5311364</v>
          </cell>
          <cell r="C1926" t="str">
            <v>ESC</v>
          </cell>
          <cell r="D1926" t="str">
            <v>POSTE C.A. 10,0/300/150/300. B.T. Y/O A.P.</v>
          </cell>
        </row>
        <row r="1927">
          <cell r="B1927">
            <v>5311364</v>
          </cell>
          <cell r="C1927" t="str">
            <v>IPT</v>
          </cell>
          <cell r="D1927" t="str">
            <v>POSTE C.A. 10,0/300/150/300. B.T. Y/O A.P.</v>
          </cell>
        </row>
        <row r="1928">
          <cell r="B1928">
            <v>5311364</v>
          </cell>
          <cell r="C1928" t="str">
            <v>PAL</v>
          </cell>
          <cell r="D1928" t="str">
            <v>POSTE C.A. 10,0/300/150/300. B.T. Y/O A.P.</v>
          </cell>
        </row>
        <row r="1929">
          <cell r="B1929">
            <v>5311364</v>
          </cell>
          <cell r="C1929" t="str">
            <v>PSA</v>
          </cell>
          <cell r="D1929" t="str">
            <v>POSTE C.A. 10,0/300/150/300. B.T. Y/O A.P.</v>
          </cell>
        </row>
        <row r="1930">
          <cell r="B1930">
            <v>5311364</v>
          </cell>
          <cell r="C1930" t="str">
            <v>SCM</v>
          </cell>
          <cell r="D1930" t="str">
            <v>POSTE C.A. 10,0/300/150/300. B.T. Y/O A.P.</v>
          </cell>
        </row>
        <row r="1931">
          <cell r="B1931">
            <v>5311368</v>
          </cell>
          <cell r="C1931" t="str">
            <v>CMA</v>
          </cell>
          <cell r="D1931" t="str">
            <v>POSTE C.A. 10,0/400/150/300. B.T. Y/O A.P.</v>
          </cell>
        </row>
        <row r="1932">
          <cell r="B1932">
            <v>5311368</v>
          </cell>
          <cell r="C1932" t="str">
            <v>ESC</v>
          </cell>
          <cell r="D1932" t="str">
            <v>POSTE C.A. 10,0/400/150/300. B.T. Y/O A.P.</v>
          </cell>
        </row>
        <row r="1933">
          <cell r="B1933">
            <v>5311368</v>
          </cell>
          <cell r="C1933" t="str">
            <v>IPT</v>
          </cell>
          <cell r="D1933" t="str">
            <v>POSTE C.A. 10,0/400/150/300. B.T. Y/O A.P.</v>
          </cell>
        </row>
        <row r="1934">
          <cell r="B1934">
            <v>5311368</v>
          </cell>
          <cell r="C1934" t="str">
            <v>PAL</v>
          </cell>
          <cell r="D1934" t="str">
            <v>POSTE C.A. 10,0/400/150/300. B.T. Y/O A.P.</v>
          </cell>
        </row>
        <row r="1935">
          <cell r="B1935">
            <v>5311368</v>
          </cell>
          <cell r="C1935" t="str">
            <v>PSA</v>
          </cell>
          <cell r="D1935" t="str">
            <v>POSTE C.A. 10,0/400/150/300. B.T. Y/O A.P.</v>
          </cell>
        </row>
        <row r="1936">
          <cell r="B1936">
            <v>5311368</v>
          </cell>
          <cell r="C1936" t="str">
            <v>SCM</v>
          </cell>
          <cell r="D1936" t="str">
            <v>POSTE C.A. 10,0/400/150/300. B.T. Y/O A.P.</v>
          </cell>
        </row>
        <row r="1937">
          <cell r="B1937">
            <v>5311452</v>
          </cell>
          <cell r="C1937" t="str">
            <v>SMJ</v>
          </cell>
          <cell r="D1937" t="str">
            <v>POSTE C.A.            11,5/200/150/323 L.A. 10 KV.</v>
          </cell>
        </row>
        <row r="1938">
          <cell r="B1938">
            <v>5311454</v>
          </cell>
          <cell r="C1938" t="str">
            <v>SMJ</v>
          </cell>
          <cell r="D1938" t="str">
            <v>POSTE C.A.             11,5/400/180/353 L.A. 10KV.</v>
          </cell>
        </row>
        <row r="1939">
          <cell r="B1939">
            <v>5311462</v>
          </cell>
          <cell r="C1939" t="str">
            <v>CMA</v>
          </cell>
          <cell r="D1939" t="str">
            <v>POSTE C.A. 11.5/200/150/323 L.A. 10-22.9 KV</v>
          </cell>
        </row>
        <row r="1940">
          <cell r="B1940">
            <v>5311462</v>
          </cell>
          <cell r="C1940" t="str">
            <v>ESC</v>
          </cell>
          <cell r="D1940" t="str">
            <v>POSTE C.A. 11.5/200/150/323 L.A. 10-22.9 KV</v>
          </cell>
        </row>
        <row r="1941">
          <cell r="B1941">
            <v>5311462</v>
          </cell>
          <cell r="C1941" t="str">
            <v>FAD</v>
          </cell>
          <cell r="D1941" t="str">
            <v>POSTE C.A. 11.5/200/150/323 L.A. 10-22.9 KV</v>
          </cell>
        </row>
        <row r="1942">
          <cell r="B1942">
            <v>5311462</v>
          </cell>
          <cell r="C1942" t="str">
            <v>IPT</v>
          </cell>
          <cell r="D1942" t="str">
            <v>POSTE C.A. 11.5/200/150/323 L.A. 10-22.9 KV</v>
          </cell>
        </row>
        <row r="1943">
          <cell r="B1943">
            <v>5311462</v>
          </cell>
          <cell r="C1943" t="str">
            <v>PAL</v>
          </cell>
          <cell r="D1943" t="str">
            <v>POSTE C.A. 11.5/200/150/323 L.A. 10-22.9 KV</v>
          </cell>
        </row>
        <row r="1944">
          <cell r="B1944">
            <v>5311462</v>
          </cell>
          <cell r="C1944" t="str">
            <v>PSA</v>
          </cell>
          <cell r="D1944" t="str">
            <v>POSTE C.A. 11.5/200/150/323 L.A. 10-22.9 KV</v>
          </cell>
        </row>
        <row r="1945">
          <cell r="B1945">
            <v>5311462</v>
          </cell>
          <cell r="C1945" t="str">
            <v>SCM</v>
          </cell>
          <cell r="D1945" t="str">
            <v>POSTE C.A. 11.5/200/150/323 L.A. 10-22.9 KV</v>
          </cell>
        </row>
        <row r="1946">
          <cell r="B1946">
            <v>5311462</v>
          </cell>
          <cell r="C1946" t="str">
            <v>SMJ</v>
          </cell>
          <cell r="D1946" t="str">
            <v>POSTE C.A. 11.5/200/150/323 L.A. 10-22.9 KV</v>
          </cell>
        </row>
        <row r="1947">
          <cell r="B1947">
            <v>5311464</v>
          </cell>
          <cell r="C1947" t="str">
            <v>CMA</v>
          </cell>
          <cell r="D1947" t="str">
            <v>POSTE C.A. 11.5/400/180/353 L.A. 10-22.9 KV</v>
          </cell>
        </row>
        <row r="1948">
          <cell r="B1948">
            <v>5311464</v>
          </cell>
          <cell r="C1948" t="str">
            <v>ESC</v>
          </cell>
          <cell r="D1948" t="str">
            <v>POSTE C.A. 11.5/400/180/353 L.A. 10-22.9 KV</v>
          </cell>
        </row>
        <row r="1949">
          <cell r="B1949">
            <v>5311464</v>
          </cell>
          <cell r="C1949" t="str">
            <v>IPT</v>
          </cell>
          <cell r="D1949" t="str">
            <v>POSTE C.A. 11.5/400/180/353 L.A. 10-22.9 KV</v>
          </cell>
        </row>
        <row r="1950">
          <cell r="B1950">
            <v>5311464</v>
          </cell>
          <cell r="C1950" t="str">
            <v>PAL</v>
          </cell>
          <cell r="D1950" t="str">
            <v>POSTE C.A. 11.5/400/180/353 L.A. 10-22.9 KV</v>
          </cell>
        </row>
        <row r="1951">
          <cell r="B1951">
            <v>5311464</v>
          </cell>
          <cell r="C1951" t="str">
            <v>PSA</v>
          </cell>
          <cell r="D1951" t="str">
            <v>POSTE C.A. 11.5/400/180/353 L.A. 10-22.9 KV</v>
          </cell>
        </row>
        <row r="1952">
          <cell r="B1952">
            <v>5311464</v>
          </cell>
          <cell r="C1952" t="str">
            <v>SCM</v>
          </cell>
          <cell r="D1952" t="str">
            <v>POSTE C.A. 11.5/400/180/353 L.A. 10-22.9 KV</v>
          </cell>
        </row>
        <row r="1953">
          <cell r="B1953">
            <v>5311464</v>
          </cell>
          <cell r="C1953" t="str">
            <v>SMJ</v>
          </cell>
          <cell r="D1953" t="str">
            <v>POSTE C.A. 11.5/400/180/353 L.A. 10-22.9 KV</v>
          </cell>
        </row>
        <row r="1954">
          <cell r="B1954">
            <v>5311466</v>
          </cell>
          <cell r="C1954" t="str">
            <v>ESC</v>
          </cell>
          <cell r="D1954" t="str">
            <v>POSTE C.A. 11.5/500/180/353 L.A. 10-22.9 KV</v>
          </cell>
        </row>
        <row r="1955">
          <cell r="B1955">
            <v>5311466</v>
          </cell>
          <cell r="C1955" t="str">
            <v>IPT</v>
          </cell>
          <cell r="D1955" t="str">
            <v>POSTE C.A. 11.5/500/180/353 L.A. 10-22.9 KV</v>
          </cell>
        </row>
        <row r="1956">
          <cell r="B1956">
            <v>5311466</v>
          </cell>
          <cell r="C1956" t="str">
            <v>PAL</v>
          </cell>
          <cell r="D1956" t="str">
            <v>POSTE C.A. 11.5/500/180/353 L.A. 10-22.9 KV</v>
          </cell>
        </row>
        <row r="1957">
          <cell r="B1957">
            <v>5311466</v>
          </cell>
          <cell r="C1957" t="str">
            <v>PSA</v>
          </cell>
          <cell r="D1957" t="str">
            <v>POSTE C.A. 11.5/500/180/353 L.A. 10-22.9 KV</v>
          </cell>
        </row>
        <row r="1958">
          <cell r="B1958">
            <v>5311466</v>
          </cell>
          <cell r="C1958" t="str">
            <v>SCM</v>
          </cell>
          <cell r="D1958" t="str">
            <v>POSTE C.A. 11.5/500/180/353 L.A. 10-22.9 KV</v>
          </cell>
        </row>
        <row r="1959">
          <cell r="B1959">
            <v>5311535</v>
          </cell>
          <cell r="C1959" t="str">
            <v>IPT</v>
          </cell>
          <cell r="D1959" t="str">
            <v>POSTE C.A. 13.00/400/180/375 PARA RED B.T.Y/O M.T.</v>
          </cell>
        </row>
        <row r="1960">
          <cell r="B1960">
            <v>5311544</v>
          </cell>
          <cell r="C1960" t="str">
            <v>CMA</v>
          </cell>
          <cell r="D1960" t="str">
            <v>POSTE C.A.C. 13/300/180/375 P.L.A.B.T O MT</v>
          </cell>
        </row>
        <row r="1961">
          <cell r="B1961">
            <v>5311544</v>
          </cell>
          <cell r="C1961" t="str">
            <v>ESC</v>
          </cell>
          <cell r="D1961" t="str">
            <v>POSTE C.A.C. 13/300/180/375 P.L.A.B.T O MT</v>
          </cell>
        </row>
        <row r="1962">
          <cell r="B1962">
            <v>5311544</v>
          </cell>
          <cell r="C1962" t="str">
            <v>FAD</v>
          </cell>
          <cell r="D1962" t="str">
            <v>POSTE C.A.C. 13/300/180/375 P.L.A.B.T O MT</v>
          </cell>
        </row>
        <row r="1963">
          <cell r="B1963">
            <v>5311544</v>
          </cell>
          <cell r="C1963" t="str">
            <v>IPT</v>
          </cell>
          <cell r="D1963" t="str">
            <v>POSTE C.A.C. 13/300/180/375 P.L.A.B.T O MT</v>
          </cell>
        </row>
        <row r="1964">
          <cell r="B1964">
            <v>5311544</v>
          </cell>
          <cell r="C1964" t="str">
            <v>PAL</v>
          </cell>
          <cell r="D1964" t="str">
            <v>POSTE C.A.C. 13/300/180/375 P.L.A.B.T O MT</v>
          </cell>
        </row>
        <row r="1965">
          <cell r="B1965">
            <v>5311544</v>
          </cell>
          <cell r="C1965" t="str">
            <v>PSA</v>
          </cell>
          <cell r="D1965" t="str">
            <v>POSTE C.A.C. 13/300/180/375 P.L.A.B.T O MT</v>
          </cell>
        </row>
        <row r="1966">
          <cell r="B1966">
            <v>5311544</v>
          </cell>
          <cell r="C1966" t="str">
            <v>SCM</v>
          </cell>
          <cell r="D1966" t="str">
            <v>POSTE C.A.C. 13/300/180/375 P.L.A.B.T O MT</v>
          </cell>
        </row>
        <row r="1967">
          <cell r="B1967">
            <v>5311544</v>
          </cell>
          <cell r="C1967" t="str">
            <v>SMJ</v>
          </cell>
          <cell r="D1967" t="str">
            <v>POSTE C.A.C. 13/300/180/375 P.L.A.B.T O MT</v>
          </cell>
        </row>
        <row r="1968">
          <cell r="B1968">
            <v>5311546</v>
          </cell>
          <cell r="C1968" t="str">
            <v>CMA</v>
          </cell>
          <cell r="D1968" t="str">
            <v>POSTE C.A.C. 13/400/180/375 P.L.A.B.T O MT</v>
          </cell>
        </row>
        <row r="1969">
          <cell r="B1969">
            <v>5311546</v>
          </cell>
          <cell r="C1969" t="str">
            <v>ESC</v>
          </cell>
          <cell r="D1969" t="str">
            <v>POSTE C.A.C. 13/400/180/375 P.L.A.B.T O MT</v>
          </cell>
        </row>
        <row r="1970">
          <cell r="B1970">
            <v>5311546</v>
          </cell>
          <cell r="C1970" t="str">
            <v>PAL</v>
          </cell>
          <cell r="D1970" t="str">
            <v>POSTE C.A.C. 13/400/180/375 P.L.A.B.T O MT</v>
          </cell>
        </row>
        <row r="1971">
          <cell r="B1971">
            <v>5311546</v>
          </cell>
          <cell r="C1971" t="str">
            <v>PSA</v>
          </cell>
          <cell r="D1971" t="str">
            <v>POSTE C.A.C. 13/400/180/375 P.L.A.B.T O MT</v>
          </cell>
        </row>
        <row r="1972">
          <cell r="B1972">
            <v>5311546</v>
          </cell>
          <cell r="C1972" t="str">
            <v>PSS</v>
          </cell>
          <cell r="D1972" t="str">
            <v>POSTE C.A.C. 13/400/180/375 P.L.A.B.T O MT</v>
          </cell>
        </row>
        <row r="1973">
          <cell r="B1973">
            <v>5311546</v>
          </cell>
          <cell r="C1973" t="str">
            <v>SCM</v>
          </cell>
          <cell r="D1973" t="str">
            <v>POSTE C.A.C. 13/400/180/375 P.L.A.B.T O MT</v>
          </cell>
        </row>
        <row r="1974">
          <cell r="B1974">
            <v>5311546</v>
          </cell>
          <cell r="C1974" t="str">
            <v>SMJ</v>
          </cell>
          <cell r="D1974" t="str">
            <v>POSTE C.A.C. 13/400/180/375 P.L.A.B.T O MT</v>
          </cell>
        </row>
        <row r="1975">
          <cell r="B1975">
            <v>5311548</v>
          </cell>
          <cell r="C1975" t="str">
            <v>ESC</v>
          </cell>
          <cell r="D1975" t="str">
            <v>POSTE C.A. 13.00/500/180/375 L.A. 10-22.9 KV</v>
          </cell>
        </row>
        <row r="1976">
          <cell r="B1976">
            <v>5311548</v>
          </cell>
          <cell r="C1976" t="str">
            <v>PAL</v>
          </cell>
          <cell r="D1976" t="str">
            <v>POSTE C.A. 13.00/500/180/375 L.A. 10-22.9 KV</v>
          </cell>
        </row>
        <row r="1977">
          <cell r="B1977">
            <v>5311548</v>
          </cell>
          <cell r="C1977" t="str">
            <v>PSA</v>
          </cell>
          <cell r="D1977" t="str">
            <v>POSTE C.A. 13.00/500/180/375 L.A. 10-22.9 KV</v>
          </cell>
        </row>
        <row r="1978">
          <cell r="B1978">
            <v>5311548</v>
          </cell>
          <cell r="C1978" t="str">
            <v>SCM</v>
          </cell>
          <cell r="D1978" t="str">
            <v>POSTE C.A. 13.00/500/180/375 L.A. 10-22.9 KV</v>
          </cell>
        </row>
        <row r="1979">
          <cell r="B1979">
            <v>5311666</v>
          </cell>
          <cell r="C1979" t="str">
            <v>CMA</v>
          </cell>
          <cell r="D1979" t="str">
            <v>POSTE C.A.C. 15/400/210/435 P.L.A.B.T O MT</v>
          </cell>
        </row>
        <row r="1980">
          <cell r="B1980">
            <v>5311666</v>
          </cell>
          <cell r="C1980" t="str">
            <v>ESC</v>
          </cell>
          <cell r="D1980" t="str">
            <v>POSTE C.A.C. 15/400/210/435 P.L.A.B.T O MT</v>
          </cell>
        </row>
        <row r="1981">
          <cell r="B1981">
            <v>5311666</v>
          </cell>
          <cell r="C1981" t="str">
            <v>FAD</v>
          </cell>
          <cell r="D1981" t="str">
            <v>POSTE C.A.C. 15/400/210/435 P.L.A.B.T O MT</v>
          </cell>
        </row>
        <row r="1982">
          <cell r="B1982">
            <v>5311666</v>
          </cell>
          <cell r="C1982" t="str">
            <v>IPT</v>
          </cell>
          <cell r="D1982" t="str">
            <v>POSTE C.A.C. 15/400/210/435 P.L.A.B.T O MT</v>
          </cell>
        </row>
        <row r="1983">
          <cell r="B1983">
            <v>5311666</v>
          </cell>
          <cell r="C1983" t="str">
            <v>PAL</v>
          </cell>
          <cell r="D1983" t="str">
            <v>POSTE C.A.C. 15/400/210/435 P.L.A.B.T O MT</v>
          </cell>
        </row>
        <row r="1984">
          <cell r="B1984">
            <v>5311666</v>
          </cell>
          <cell r="C1984" t="str">
            <v>PSA</v>
          </cell>
          <cell r="D1984" t="str">
            <v>POSTE C.A.C. 15/400/210/435 P.L.A.B.T O MT</v>
          </cell>
        </row>
        <row r="1985">
          <cell r="B1985">
            <v>5311666</v>
          </cell>
          <cell r="C1985" t="str">
            <v>SCM</v>
          </cell>
          <cell r="D1985" t="str">
            <v>POSTE C.A.C. 15/400/210/435 P.L.A.B.T O MT</v>
          </cell>
        </row>
        <row r="1986">
          <cell r="B1986">
            <v>5312102</v>
          </cell>
          <cell r="C1986" t="str">
            <v>SCM</v>
          </cell>
          <cell r="D1986" t="str">
            <v>POSTE C.A.  5.00/ 70/ 90/165 P. A.P. R.S.</v>
          </cell>
        </row>
        <row r="1987">
          <cell r="B1987">
            <v>5312151</v>
          </cell>
          <cell r="C1987" t="str">
            <v>CMA</v>
          </cell>
          <cell r="D1987" t="str">
            <v>POSTE C.A. 6/200/120/210/ A.P.</v>
          </cell>
        </row>
        <row r="1988">
          <cell r="B1988">
            <v>5312151</v>
          </cell>
          <cell r="C1988" t="str">
            <v>ESC</v>
          </cell>
          <cell r="D1988" t="str">
            <v>POSTE C.A. 6/200/120/210/ A.P.</v>
          </cell>
        </row>
        <row r="1989">
          <cell r="B1989">
            <v>5312151</v>
          </cell>
          <cell r="C1989" t="str">
            <v>FAD</v>
          </cell>
          <cell r="D1989" t="str">
            <v>POSTE C.A. 6/200/120/210/ A.P.</v>
          </cell>
        </row>
        <row r="1990">
          <cell r="B1990">
            <v>5312151</v>
          </cell>
          <cell r="C1990" t="str">
            <v>IPT</v>
          </cell>
          <cell r="D1990" t="str">
            <v>POSTE C.A. 6/200/120/210/ A.P.</v>
          </cell>
        </row>
        <row r="1991">
          <cell r="B1991">
            <v>5312151</v>
          </cell>
          <cell r="C1991" t="str">
            <v>PAL</v>
          </cell>
          <cell r="D1991" t="str">
            <v>POSTE C.A. 6/200/120/210/ A.P.</v>
          </cell>
        </row>
        <row r="1992">
          <cell r="B1992">
            <v>5312151</v>
          </cell>
          <cell r="C1992" t="str">
            <v>PSA</v>
          </cell>
          <cell r="D1992" t="str">
            <v>POSTE C.A. 6/200/120/210/ A.P.</v>
          </cell>
        </row>
        <row r="1993">
          <cell r="B1993">
            <v>5312151</v>
          </cell>
          <cell r="C1993" t="str">
            <v>SCM</v>
          </cell>
          <cell r="D1993" t="str">
            <v>POSTE C.A. 6/200/120/210/ A.P.</v>
          </cell>
        </row>
        <row r="1994">
          <cell r="B1994">
            <v>5312152</v>
          </cell>
          <cell r="C1994" t="str">
            <v>SCM</v>
          </cell>
          <cell r="D1994" t="str">
            <v>POSTE C.A.  6.00/ 70/ 90/180 P. A.P. R.S.</v>
          </cell>
        </row>
        <row r="1995">
          <cell r="B1995">
            <v>5312256</v>
          </cell>
          <cell r="C1995" t="str">
            <v>SCM</v>
          </cell>
          <cell r="D1995" t="str">
            <v>POSTE C.A.  8.00/100/120/240 P. A.P. R.S.</v>
          </cell>
        </row>
        <row r="1996">
          <cell r="B1996">
            <v>5312316</v>
          </cell>
          <cell r="C1996" t="str">
            <v>SCM</v>
          </cell>
          <cell r="D1996" t="str">
            <v>POSTE C.A.  9.00/200/120/255 P. A.P. R.S.</v>
          </cell>
        </row>
        <row r="1997">
          <cell r="B1997">
            <v>5316082</v>
          </cell>
          <cell r="C1997" t="str">
            <v>PAL</v>
          </cell>
          <cell r="D1997" t="str">
            <v>PASTORAL C.A.SIMPLE               PS/0.50/0.25/125</v>
          </cell>
        </row>
        <row r="1998">
          <cell r="B1998">
            <v>5316082</v>
          </cell>
          <cell r="C1998" t="str">
            <v>PSA</v>
          </cell>
          <cell r="D1998" t="str">
            <v>PASTORAL C.A.SIMPLE               PS/0.50/0.25/125</v>
          </cell>
        </row>
        <row r="1999">
          <cell r="B1999">
            <v>5316082</v>
          </cell>
          <cell r="C1999" t="str">
            <v>SCM</v>
          </cell>
          <cell r="D1999" t="str">
            <v>PASTORAL C.A.SIMPLE               PS/0.50/0.25/125</v>
          </cell>
        </row>
        <row r="2000">
          <cell r="B2000">
            <v>5316086</v>
          </cell>
          <cell r="C2000" t="str">
            <v>PAL</v>
          </cell>
          <cell r="D2000" t="str">
            <v>USAR MATRICULA NRO. &lt;5316361&gt; PASTORAL C.A.RECORT.SIMPLE        PS/0.50/0.25/155</v>
          </cell>
        </row>
        <row r="2001">
          <cell r="B2001">
            <v>5316086</v>
          </cell>
          <cell r="C2001" t="str">
            <v>PSA</v>
          </cell>
          <cell r="D2001" t="str">
            <v>USAR MATRICULA NRO. &lt;5316361&gt; PASTORAL C.A.RECORT.SIMPLE        PS/0.50/0.25/155</v>
          </cell>
        </row>
        <row r="2002">
          <cell r="B2002">
            <v>5316086</v>
          </cell>
          <cell r="C2002" t="str">
            <v>SCM</v>
          </cell>
          <cell r="D2002" t="str">
            <v>USAR MATRICULA NRO. &lt;5316361&gt; PASTORAL C.A.RECORT.SIMPLE        PS/0.50/0.25/155</v>
          </cell>
        </row>
        <row r="2003">
          <cell r="B2003">
            <v>5316132</v>
          </cell>
          <cell r="C2003" t="str">
            <v>PAL</v>
          </cell>
          <cell r="D2003" t="str">
            <v>PASTORAL C.A.SIMPLE PS/1.30/0.90/125MMD</v>
          </cell>
        </row>
        <row r="2004">
          <cell r="B2004">
            <v>5316132</v>
          </cell>
          <cell r="C2004" t="str">
            <v>PSA</v>
          </cell>
          <cell r="D2004" t="str">
            <v>PASTORAL C.A.SIMPLE PS/1.30/0.90/125MMD</v>
          </cell>
        </row>
        <row r="2005">
          <cell r="B2005">
            <v>5316132</v>
          </cell>
          <cell r="C2005" t="str">
            <v>SCM</v>
          </cell>
          <cell r="D2005" t="str">
            <v>PASTORAL C.A.SIMPLE PS/1.30/0.90/125MMD</v>
          </cell>
        </row>
        <row r="2006">
          <cell r="B2006">
            <v>5316218</v>
          </cell>
          <cell r="C2006" t="str">
            <v>PAL</v>
          </cell>
          <cell r="D2006" t="str">
            <v>PASTORAL C.A.SIMPLE PS/1.50/1.30/120MMD</v>
          </cell>
        </row>
        <row r="2007">
          <cell r="B2007">
            <v>5316218</v>
          </cell>
          <cell r="C2007" t="str">
            <v>PSA</v>
          </cell>
          <cell r="D2007" t="str">
            <v>PASTORAL C.A.SIMPLE PS/1.50/1.30/120MMD</v>
          </cell>
        </row>
        <row r="2008">
          <cell r="B2008">
            <v>5316218</v>
          </cell>
          <cell r="C2008" t="str">
            <v>SCM</v>
          </cell>
          <cell r="D2008" t="str">
            <v>PASTORAL C.A.SIMPLE PS/1.50/1.30/120MMD</v>
          </cell>
        </row>
        <row r="2009">
          <cell r="B2009">
            <v>5316268</v>
          </cell>
          <cell r="C2009" t="str">
            <v>PAL</v>
          </cell>
          <cell r="D2009" t="str">
            <v>PASTORAL C.A.SIMPLE PS/1.50/1.90/120MMD</v>
          </cell>
        </row>
        <row r="2010">
          <cell r="B2010">
            <v>5316268</v>
          </cell>
          <cell r="C2010" t="str">
            <v>PSA</v>
          </cell>
          <cell r="D2010" t="str">
            <v>PASTORAL C.A.SIMPLE PS/1.50/1.90/120MMD</v>
          </cell>
        </row>
        <row r="2011">
          <cell r="B2011">
            <v>5316268</v>
          </cell>
          <cell r="C2011" t="str">
            <v>SCM</v>
          </cell>
          <cell r="D2011" t="str">
            <v>PASTORAL C.A.SIMPLE PS/1.50/1.90/120MMD</v>
          </cell>
        </row>
        <row r="2012">
          <cell r="B2012">
            <v>5316278</v>
          </cell>
          <cell r="C2012" t="str">
            <v>PAL</v>
          </cell>
          <cell r="D2012" t="str">
            <v>PASTORAL C.A.SIMPLE CON PERILLA   PS/1.30/0.90/155</v>
          </cell>
        </row>
        <row r="2013">
          <cell r="B2013">
            <v>5316278</v>
          </cell>
          <cell r="C2013" t="str">
            <v>PSA</v>
          </cell>
          <cell r="D2013" t="str">
            <v>PASTORAL C.A.SIMPLE CON PERILLA   PS/1.30/0.90/155</v>
          </cell>
        </row>
        <row r="2014">
          <cell r="B2014">
            <v>5316278</v>
          </cell>
          <cell r="C2014" t="str">
            <v>SCM</v>
          </cell>
          <cell r="D2014" t="str">
            <v>PASTORAL C.A.SIMPLE CON PERILLA   PS/1.30/0.90/155</v>
          </cell>
        </row>
        <row r="2015">
          <cell r="B2015">
            <v>5316279</v>
          </cell>
          <cell r="C2015" t="str">
            <v>PAL</v>
          </cell>
          <cell r="D2015" t="str">
            <v>PASTORAL C.A.DOBLE  CON PERILLA   PD/1.30/0.90/155</v>
          </cell>
        </row>
        <row r="2016">
          <cell r="B2016">
            <v>5316279</v>
          </cell>
          <cell r="C2016" t="str">
            <v>PSA</v>
          </cell>
          <cell r="D2016" t="str">
            <v>PASTORAL C.A.DOBLE  CON PERILLA   PD/1.30/0.90/155</v>
          </cell>
        </row>
        <row r="2017">
          <cell r="B2017">
            <v>5316279</v>
          </cell>
          <cell r="C2017" t="str">
            <v>SCM</v>
          </cell>
          <cell r="D2017" t="str">
            <v>PASTORAL C.A.DOBLE  CON PERILLA   PD/1.30/0.90/155</v>
          </cell>
        </row>
        <row r="2018">
          <cell r="B2018">
            <v>5316280</v>
          </cell>
          <cell r="C2018" t="str">
            <v>PAL</v>
          </cell>
          <cell r="D2018" t="str">
            <v>PASTORAL C.A.TRIPLE CON PERILLA   PT/1.30/0.90/155</v>
          </cell>
        </row>
        <row r="2019">
          <cell r="B2019">
            <v>5316280</v>
          </cell>
          <cell r="C2019" t="str">
            <v>PSA</v>
          </cell>
          <cell r="D2019" t="str">
            <v>PASTORAL C.A.TRIPLE CON PERILLA   PT/1.30/0.90/155</v>
          </cell>
        </row>
        <row r="2020">
          <cell r="B2020">
            <v>5316280</v>
          </cell>
          <cell r="C2020" t="str">
            <v>SCM</v>
          </cell>
          <cell r="D2020" t="str">
            <v>PASTORAL C.A.TRIPLE CON PERILLA   PT/1.30/0.90/155</v>
          </cell>
        </row>
        <row r="2021">
          <cell r="B2021">
            <v>5316361</v>
          </cell>
          <cell r="C2021" t="str">
            <v>PAL</v>
          </cell>
          <cell r="D2021" t="str">
            <v>PASTORAL C.A.C. PS/0,50/0,25/155 C.PERILLA</v>
          </cell>
        </row>
        <row r="2022">
          <cell r="B2022">
            <v>5316361</v>
          </cell>
          <cell r="C2022" t="str">
            <v>PSA</v>
          </cell>
          <cell r="D2022" t="str">
            <v>PASTORAL C.A.C. PS/0,50/0,25/155 C.PERILLA</v>
          </cell>
        </row>
        <row r="2023">
          <cell r="B2023">
            <v>5316361</v>
          </cell>
          <cell r="C2023" t="str">
            <v>SCM</v>
          </cell>
          <cell r="D2023" t="str">
            <v>PASTORAL C.A.C. PS/0,50/0,25/155 C.PERILLA</v>
          </cell>
        </row>
        <row r="2024">
          <cell r="B2024">
            <v>5316362</v>
          </cell>
          <cell r="C2024" t="str">
            <v>PAL</v>
          </cell>
          <cell r="D2024" t="str">
            <v>PASTORAL RECORT.DOBLE  C/PERILLA  PD/0.50/0.25/155</v>
          </cell>
        </row>
        <row r="2025">
          <cell r="B2025">
            <v>5316362</v>
          </cell>
          <cell r="C2025" t="str">
            <v>PSA</v>
          </cell>
          <cell r="D2025" t="str">
            <v>PASTORAL RECORT.DOBLE  C/PERILLA  PD/0.50/0.25/155</v>
          </cell>
        </row>
        <row r="2026">
          <cell r="B2026">
            <v>5316362</v>
          </cell>
          <cell r="C2026" t="str">
            <v>SCM</v>
          </cell>
          <cell r="D2026" t="str">
            <v>PASTORAL RECORT.DOBLE  C/PERILLA  PD/0.50/0.25/155</v>
          </cell>
        </row>
        <row r="2027">
          <cell r="B2027">
            <v>5316363</v>
          </cell>
          <cell r="C2027" t="str">
            <v>PAL</v>
          </cell>
          <cell r="D2027" t="str">
            <v>PASTORAL RECORT.TRIPLE C.PERILLA  PT/0.50/0.25/155</v>
          </cell>
        </row>
        <row r="2028">
          <cell r="B2028">
            <v>5316363</v>
          </cell>
          <cell r="C2028" t="str">
            <v>PSA</v>
          </cell>
          <cell r="D2028" t="str">
            <v>PASTORAL RECORT.TRIPLE C.PERILLA  PT/0.50/0.25/155</v>
          </cell>
        </row>
        <row r="2029">
          <cell r="B2029">
            <v>5316363</v>
          </cell>
          <cell r="C2029" t="str">
            <v>SCM</v>
          </cell>
          <cell r="D2029" t="str">
            <v>PASTORAL RECORT.TRIPLE C.PERILLA  PT/0.50/0.25/155</v>
          </cell>
        </row>
        <row r="2030">
          <cell r="B2030">
            <v>5316364</v>
          </cell>
          <cell r="C2030" t="str">
            <v>PAL</v>
          </cell>
          <cell r="D2030" t="str">
            <v>PASTORAL RECORT.CUADRU.C/PERILLA  PC/0.50/0.25/155</v>
          </cell>
        </row>
        <row r="2031">
          <cell r="B2031">
            <v>5316364</v>
          </cell>
          <cell r="C2031" t="str">
            <v>PSA</v>
          </cell>
          <cell r="D2031" t="str">
            <v>PASTORAL RECORT.CUADRU.C/PERILLA  PC/0.50/0.25/155</v>
          </cell>
        </row>
        <row r="2032">
          <cell r="B2032">
            <v>5316364</v>
          </cell>
          <cell r="C2032" t="str">
            <v>SCM</v>
          </cell>
          <cell r="D2032" t="str">
            <v>PASTORAL RECORT.CUADRU.C/PERILLA  PC/0.50/0.25/155</v>
          </cell>
        </row>
        <row r="2033">
          <cell r="B2033">
            <v>5316382</v>
          </cell>
          <cell r="C2033" t="str">
            <v>PAL</v>
          </cell>
          <cell r="D2033" t="str">
            <v>PASTORAL C.A.RECORT.DOBLE         PD/0.50/0.25/125</v>
          </cell>
        </row>
        <row r="2034">
          <cell r="B2034">
            <v>5316382</v>
          </cell>
          <cell r="C2034" t="str">
            <v>PSA</v>
          </cell>
          <cell r="D2034" t="str">
            <v>PASTORAL C.A.RECORT.DOBLE         PD/0.50/0.25/125</v>
          </cell>
        </row>
        <row r="2035">
          <cell r="B2035">
            <v>5316382</v>
          </cell>
          <cell r="C2035" t="str">
            <v>SCM</v>
          </cell>
          <cell r="D2035" t="str">
            <v>PASTORAL C.A.RECORT.DOBLE         PD/0.50/0.25/125</v>
          </cell>
        </row>
        <row r="2036">
          <cell r="B2036">
            <v>5316442</v>
          </cell>
          <cell r="C2036" t="str">
            <v>PAL</v>
          </cell>
          <cell r="D2036" t="str">
            <v>PASTORAL C.A.DOBLE                PD/1.30/0.90/125</v>
          </cell>
        </row>
        <row r="2037">
          <cell r="B2037">
            <v>5316442</v>
          </cell>
          <cell r="C2037" t="str">
            <v>PSA</v>
          </cell>
          <cell r="D2037" t="str">
            <v>PASTORAL C.A.DOBLE                PD/1.30/0.90/125</v>
          </cell>
        </row>
        <row r="2038">
          <cell r="B2038">
            <v>5316442</v>
          </cell>
          <cell r="C2038" t="str">
            <v>SCM</v>
          </cell>
          <cell r="D2038" t="str">
            <v>PASTORAL C.A.DOBLE                PD/1.30/0.90/125</v>
          </cell>
        </row>
        <row r="2039">
          <cell r="B2039">
            <v>5316518</v>
          </cell>
          <cell r="C2039" t="str">
            <v>PAL</v>
          </cell>
          <cell r="D2039" t="str">
            <v>PASTORAL C.A.DOBLE                PD/1.50/1.30/120</v>
          </cell>
        </row>
        <row r="2040">
          <cell r="B2040">
            <v>5316518</v>
          </cell>
          <cell r="C2040" t="str">
            <v>PSA</v>
          </cell>
          <cell r="D2040" t="str">
            <v>PASTORAL C.A.DOBLE                PD/1.50/1.30/120</v>
          </cell>
        </row>
        <row r="2041">
          <cell r="B2041">
            <v>5316518</v>
          </cell>
          <cell r="C2041" t="str">
            <v>SCM</v>
          </cell>
          <cell r="D2041" t="str">
            <v>PASTORAL C.A.DOBLE                PD/1.50/1.30/120</v>
          </cell>
        </row>
        <row r="2042">
          <cell r="B2042">
            <v>5316632</v>
          </cell>
          <cell r="C2042" t="str">
            <v>PAL</v>
          </cell>
          <cell r="D2042" t="str">
            <v>PASTORAL C.A.TRIPLE               PT/0.50/0.25/125</v>
          </cell>
        </row>
        <row r="2043">
          <cell r="B2043">
            <v>5316632</v>
          </cell>
          <cell r="C2043" t="str">
            <v>PSA</v>
          </cell>
          <cell r="D2043" t="str">
            <v>PASTORAL C.A.TRIPLE               PT/0.50/0.25/125</v>
          </cell>
        </row>
        <row r="2044">
          <cell r="B2044">
            <v>5316632</v>
          </cell>
          <cell r="C2044" t="str">
            <v>SCM</v>
          </cell>
          <cell r="D2044" t="str">
            <v>PASTORAL C.A.TRIPLE               PT/0.50/0.25/125</v>
          </cell>
        </row>
        <row r="2045">
          <cell r="B2045">
            <v>5316662</v>
          </cell>
          <cell r="C2045" t="str">
            <v>PAL</v>
          </cell>
          <cell r="D2045" t="str">
            <v>PASTORAL C.A.TRIPLE               PT/1.30/0.90/125</v>
          </cell>
        </row>
        <row r="2046">
          <cell r="B2046">
            <v>5316662</v>
          </cell>
          <cell r="C2046" t="str">
            <v>PSA</v>
          </cell>
          <cell r="D2046" t="str">
            <v>PASTORAL C.A.TRIPLE               PT/1.30/0.90/125</v>
          </cell>
        </row>
        <row r="2047">
          <cell r="B2047">
            <v>5316662</v>
          </cell>
          <cell r="C2047" t="str">
            <v>SCM</v>
          </cell>
          <cell r="D2047" t="str">
            <v>PASTORAL C.A.TRIPLE               PT/1.30/0.90/125</v>
          </cell>
        </row>
        <row r="2048">
          <cell r="B2048">
            <v>5316702</v>
          </cell>
          <cell r="C2048" t="str">
            <v>PAL</v>
          </cell>
          <cell r="D2048" t="str">
            <v>PASTORAL PARABOLICO SIMPLE        PS/1.50/1.90/150</v>
          </cell>
        </row>
        <row r="2049">
          <cell r="B2049">
            <v>5316702</v>
          </cell>
          <cell r="C2049" t="str">
            <v>PSA</v>
          </cell>
          <cell r="D2049" t="str">
            <v>PASTORAL PARABOLICO SIMPLE        PS/1.50/1.90/150</v>
          </cell>
        </row>
        <row r="2050">
          <cell r="B2050">
            <v>5316702</v>
          </cell>
          <cell r="C2050" t="str">
            <v>SCM</v>
          </cell>
          <cell r="D2050" t="str">
            <v>PASTORAL PARABOLICO SIMPLE        PS/1.50/1.90/150</v>
          </cell>
        </row>
        <row r="2051">
          <cell r="B2051">
            <v>5316703</v>
          </cell>
          <cell r="C2051" t="str">
            <v>PAL</v>
          </cell>
          <cell r="D2051" t="str">
            <v>PASTORAL PARABOLICO DOBLE         PD/1.50/1.30/150</v>
          </cell>
        </row>
        <row r="2052">
          <cell r="B2052">
            <v>5316703</v>
          </cell>
          <cell r="C2052" t="str">
            <v>PSA</v>
          </cell>
          <cell r="D2052" t="str">
            <v>PASTORAL PARABOLICO DOBLE         PD/1.50/1.30/150</v>
          </cell>
        </row>
        <row r="2053">
          <cell r="B2053">
            <v>5316703</v>
          </cell>
          <cell r="C2053" t="str">
            <v>SCM</v>
          </cell>
          <cell r="D2053" t="str">
            <v>PASTORAL PARABOLICO DOBLE         PD/1.50/1.30/150</v>
          </cell>
        </row>
        <row r="2054">
          <cell r="B2054">
            <v>5316705</v>
          </cell>
          <cell r="C2054" t="str">
            <v>PAL</v>
          </cell>
          <cell r="D2054" t="str">
            <v>PASTORAL PARABOLICO SIMPLE  PS/1.50/1.30/150</v>
          </cell>
        </row>
        <row r="2055">
          <cell r="B2055">
            <v>5316705</v>
          </cell>
          <cell r="C2055" t="str">
            <v>PSA</v>
          </cell>
          <cell r="D2055" t="str">
            <v>PASTORAL PARABOLICO SIMPLE  PS/1.50/1.30/150</v>
          </cell>
        </row>
        <row r="2056">
          <cell r="B2056">
            <v>5316705</v>
          </cell>
          <cell r="C2056" t="str">
            <v>SCM</v>
          </cell>
          <cell r="D2056" t="str">
            <v>PASTORAL PARABOLICO SIMPLE  PS/1.50/1.30/150</v>
          </cell>
        </row>
        <row r="2057">
          <cell r="B2057">
            <v>5316732</v>
          </cell>
          <cell r="C2057" t="str">
            <v>PAL</v>
          </cell>
          <cell r="D2057" t="str">
            <v>PASTORAL C.A.RECORT.CUADRUPLE     PC/0.50/0.25/125</v>
          </cell>
        </row>
        <row r="2058">
          <cell r="B2058">
            <v>5316732</v>
          </cell>
          <cell r="C2058" t="str">
            <v>PSA</v>
          </cell>
          <cell r="D2058" t="str">
            <v>PASTORAL C.A.RECORT.CUADRUPLE     PC/0.50/0.25/125</v>
          </cell>
        </row>
        <row r="2059">
          <cell r="B2059">
            <v>5316732</v>
          </cell>
          <cell r="C2059" t="str">
            <v>SCM</v>
          </cell>
          <cell r="D2059" t="str">
            <v>PASTORAL C.A.RECORT.CUADRUPLE     PC/0.50/0.25/125</v>
          </cell>
        </row>
        <row r="2060">
          <cell r="B2060">
            <v>5321002</v>
          </cell>
          <cell r="C2060" t="str">
            <v>PAL</v>
          </cell>
          <cell r="D2060" t="str">
            <v>CRUCETA DE CONCRETO ARMADO DE 1200MM.         M.T.</v>
          </cell>
        </row>
        <row r="2061">
          <cell r="B2061">
            <v>5321002</v>
          </cell>
          <cell r="C2061" t="str">
            <v>PSA</v>
          </cell>
          <cell r="D2061" t="str">
            <v>CRUCETA DE CONCRETO ARMADO DE 1200MM.         M.T.</v>
          </cell>
        </row>
        <row r="2062">
          <cell r="B2062">
            <v>5321002</v>
          </cell>
          <cell r="C2062" t="str">
            <v>SCM</v>
          </cell>
          <cell r="D2062" t="str">
            <v>CRUCETA DE CONCRETO ARMADO DE 1200MM.         M.T.</v>
          </cell>
        </row>
        <row r="2063">
          <cell r="B2063">
            <v>5321009</v>
          </cell>
          <cell r="C2063" t="str">
            <v>PAL</v>
          </cell>
          <cell r="D2063" t="str">
            <v>CRUCETA DE CONCRETO ARMADO DE 1900MM.         M.T.</v>
          </cell>
        </row>
        <row r="2064">
          <cell r="B2064">
            <v>5321009</v>
          </cell>
          <cell r="C2064" t="str">
            <v>PSA</v>
          </cell>
          <cell r="D2064" t="str">
            <v>CRUCETA DE CONCRETO ARMADO DE 1900MM.         M.T.</v>
          </cell>
        </row>
        <row r="2065">
          <cell r="B2065">
            <v>5321009</v>
          </cell>
          <cell r="C2065" t="str">
            <v>SCM</v>
          </cell>
          <cell r="D2065" t="str">
            <v>CRUCETA DE CONCRETO ARMADO DE 1900MM.         M.T.</v>
          </cell>
        </row>
        <row r="2066">
          <cell r="B2066">
            <v>5321212</v>
          </cell>
          <cell r="C2066" t="str">
            <v>PAL</v>
          </cell>
          <cell r="D2066" t="str">
            <v>CRUCETA C.A.V. ZA/1,50/0,90/250/145 P.MONTAJE EN POSTE</v>
          </cell>
        </row>
        <row r="2067">
          <cell r="B2067">
            <v>5321212</v>
          </cell>
          <cell r="C2067" t="str">
            <v>PSA</v>
          </cell>
          <cell r="D2067" t="str">
            <v>CRUCETA C.A.V. ZA/1,50/0,90/250/145 P.MONTAJE EN POSTE</v>
          </cell>
        </row>
        <row r="2068">
          <cell r="B2068">
            <v>5321212</v>
          </cell>
          <cell r="C2068" t="str">
            <v>SCM</v>
          </cell>
          <cell r="D2068" t="str">
            <v>CRUCETA C.A.V. ZA/1,50/0,90/250/145 P.MONTAJE EN POSTE</v>
          </cell>
        </row>
        <row r="2069">
          <cell r="B2069">
            <v>5321236</v>
          </cell>
          <cell r="C2069" t="str">
            <v>IPT</v>
          </cell>
          <cell r="D2069" t="str">
            <v>CRUCETA C.A.V. ZA/1,50/0,90/250/205 P.MONTAJE EN POSTE</v>
          </cell>
        </row>
        <row r="2070">
          <cell r="B2070">
            <v>5321236</v>
          </cell>
          <cell r="C2070" t="str">
            <v>PAL</v>
          </cell>
          <cell r="D2070" t="str">
            <v>CRUCETA C.A.V. ZA/1,50/0,90/250/205 P.MONTAJE EN POSTE</v>
          </cell>
        </row>
        <row r="2071">
          <cell r="B2071">
            <v>5321236</v>
          </cell>
          <cell r="C2071" t="str">
            <v>PSA</v>
          </cell>
          <cell r="D2071" t="str">
            <v>CRUCETA C.A.V. ZA/1,50/0,90/250/205 P.MONTAJE EN POSTE</v>
          </cell>
        </row>
        <row r="2072">
          <cell r="B2072">
            <v>5321236</v>
          </cell>
          <cell r="C2072" t="str">
            <v>SCM</v>
          </cell>
          <cell r="D2072" t="str">
            <v>CRUCETA C.A.V. ZA/1,50/0,90/250/205 P.MONTAJE EN POSTE</v>
          </cell>
        </row>
        <row r="2073">
          <cell r="B2073">
            <v>5321248</v>
          </cell>
          <cell r="C2073" t="str">
            <v>IPT</v>
          </cell>
          <cell r="D2073" t="str">
            <v>CRUCETA C.A.V. ZA/1,50/0,90/250/235 P.MONTAJE EN POSTE</v>
          </cell>
        </row>
        <row r="2074">
          <cell r="B2074">
            <v>5321248</v>
          </cell>
          <cell r="C2074" t="str">
            <v>PAL</v>
          </cell>
          <cell r="D2074" t="str">
            <v>CRUCETA C.A.V. ZA/1,50/0,90/250/235 P.MONTAJE EN POSTE</v>
          </cell>
        </row>
        <row r="2075">
          <cell r="B2075">
            <v>5321248</v>
          </cell>
          <cell r="C2075" t="str">
            <v>PSA</v>
          </cell>
          <cell r="D2075" t="str">
            <v>CRUCETA C.A.V. ZA/1,50/0,90/250/235 P.MONTAJE EN POSTE</v>
          </cell>
        </row>
        <row r="2076">
          <cell r="B2076">
            <v>5321248</v>
          </cell>
          <cell r="C2076" t="str">
            <v>SCM</v>
          </cell>
          <cell r="D2076" t="str">
            <v>CRUCETA C.A.V. ZA/1,50/0,90/250/235 P.MONTAJE EN POSTE</v>
          </cell>
        </row>
        <row r="2077">
          <cell r="B2077">
            <v>5321260</v>
          </cell>
          <cell r="C2077" t="str">
            <v>IPT</v>
          </cell>
          <cell r="D2077" t="str">
            <v>CRUCETA C.A.V. ZA/1,50/0,90/250/265 P.MONTAJE EN POSTE</v>
          </cell>
        </row>
        <row r="2078">
          <cell r="B2078">
            <v>5321260</v>
          </cell>
          <cell r="C2078" t="str">
            <v>PAL</v>
          </cell>
          <cell r="D2078" t="str">
            <v>CRUCETA C.A.V. ZA/1,50/0,90/250/265 P.MONTAJE EN POSTE</v>
          </cell>
        </row>
        <row r="2079">
          <cell r="B2079">
            <v>5321260</v>
          </cell>
          <cell r="C2079" t="str">
            <v>PSA</v>
          </cell>
          <cell r="D2079" t="str">
            <v>CRUCETA C.A.V. ZA/1,50/0,90/250/265 P.MONTAJE EN POSTE</v>
          </cell>
        </row>
        <row r="2080">
          <cell r="B2080">
            <v>5321260</v>
          </cell>
          <cell r="C2080" t="str">
            <v>SCM</v>
          </cell>
          <cell r="D2080" t="str">
            <v>CRUCETA C.A.V. ZA/1,50/0,90/250/265 P.MONTAJE EN POSTE</v>
          </cell>
        </row>
        <row r="2081">
          <cell r="B2081">
            <v>5321264</v>
          </cell>
          <cell r="C2081" t="str">
            <v>PAL</v>
          </cell>
          <cell r="D2081" t="str">
            <v>CRUCETA C.A.V. ZA/1,80/1,20/250/175 P.MONTAJE EN POSTE</v>
          </cell>
        </row>
        <row r="2082">
          <cell r="B2082">
            <v>5321264</v>
          </cell>
          <cell r="C2082" t="str">
            <v>PSA</v>
          </cell>
          <cell r="D2082" t="str">
            <v>CRUCETA C.A.V. ZA/1,80/1,20/250/175 P.MONTAJE EN POSTE</v>
          </cell>
        </row>
        <row r="2083">
          <cell r="B2083">
            <v>5321264</v>
          </cell>
          <cell r="C2083" t="str">
            <v>SCM</v>
          </cell>
          <cell r="D2083" t="str">
            <v>CRUCETA C.A.V. ZA/1,80/1,20/250/175 P.MONTAJE EN POSTE</v>
          </cell>
        </row>
        <row r="2084">
          <cell r="B2084">
            <v>5321266</v>
          </cell>
          <cell r="C2084" t="str">
            <v>PAL</v>
          </cell>
          <cell r="D2084" t="str">
            <v>CRUCETA C.A.V. ZA/1,80/1,20/250/205 P.MONTAJE EN POSTE</v>
          </cell>
        </row>
        <row r="2085">
          <cell r="B2085">
            <v>5321266</v>
          </cell>
          <cell r="C2085" t="str">
            <v>PSA</v>
          </cell>
          <cell r="D2085" t="str">
            <v>CRUCETA C.A.V. ZA/1,80/1,20/250/205 P.MONTAJE EN POSTE</v>
          </cell>
        </row>
        <row r="2086">
          <cell r="B2086">
            <v>5321266</v>
          </cell>
          <cell r="C2086" t="str">
            <v>SCM</v>
          </cell>
          <cell r="D2086" t="str">
            <v>CRUCETA C.A.V. ZA/1,80/1,20/250/205 P.MONTAJE EN POSTE</v>
          </cell>
        </row>
        <row r="2087">
          <cell r="B2087">
            <v>5321270</v>
          </cell>
          <cell r="C2087" t="str">
            <v>PAL</v>
          </cell>
          <cell r="D2087" t="str">
            <v>CRUCETA C.A.V. ZA/1,80/1,20/250/265 P.MONTAJE EN POSTE</v>
          </cell>
        </row>
        <row r="2088">
          <cell r="B2088">
            <v>5321270</v>
          </cell>
          <cell r="C2088" t="str">
            <v>PSA</v>
          </cell>
          <cell r="D2088" t="str">
            <v>CRUCETA C.A.V. ZA/1,80/1,20/250/265 P.MONTAJE EN POSTE</v>
          </cell>
        </row>
        <row r="2089">
          <cell r="B2089">
            <v>5321270</v>
          </cell>
          <cell r="C2089" t="str">
            <v>SCM</v>
          </cell>
          <cell r="D2089" t="str">
            <v>CRUCETA C.A.V. ZA/1,80/1,20/250/265 P.MONTAJE EN POSTE</v>
          </cell>
        </row>
        <row r="2090">
          <cell r="B2090">
            <v>5322112</v>
          </cell>
          <cell r="C2090" t="str">
            <v>PAL</v>
          </cell>
          <cell r="D2090" t="str">
            <v>MENSULA C.A.V. 0,60/250/145 P.MONTAJE EN POSTE</v>
          </cell>
        </row>
        <row r="2091">
          <cell r="B2091">
            <v>5322112</v>
          </cell>
          <cell r="C2091" t="str">
            <v>PSA</v>
          </cell>
          <cell r="D2091" t="str">
            <v>MENSULA C.A.V. 0,60/250/145 P.MONTAJE EN POSTE</v>
          </cell>
        </row>
        <row r="2092">
          <cell r="B2092">
            <v>5322112</v>
          </cell>
          <cell r="C2092" t="str">
            <v>SCM</v>
          </cell>
          <cell r="D2092" t="str">
            <v>MENSULA C.A.V. 0,60/250/145 P.MONTAJE EN POSTE</v>
          </cell>
        </row>
        <row r="2093">
          <cell r="B2093">
            <v>5322142</v>
          </cell>
          <cell r="C2093" t="str">
            <v>IPT</v>
          </cell>
          <cell r="D2093" t="str">
            <v>MENSULA C.A.V. 0,60/250/215 P.MONTAJE EN POSTE</v>
          </cell>
        </row>
        <row r="2094">
          <cell r="B2094">
            <v>5322142</v>
          </cell>
          <cell r="C2094" t="str">
            <v>PAL</v>
          </cell>
          <cell r="D2094" t="str">
            <v>MENSULA C.A.V. 0,60/250/215 P.MONTAJE EN POSTE</v>
          </cell>
        </row>
        <row r="2095">
          <cell r="B2095">
            <v>5322142</v>
          </cell>
          <cell r="C2095" t="str">
            <v>PSA</v>
          </cell>
          <cell r="D2095" t="str">
            <v>MENSULA C.A.V. 0,60/250/215 P.MONTAJE EN POSTE</v>
          </cell>
        </row>
        <row r="2096">
          <cell r="B2096">
            <v>5322142</v>
          </cell>
          <cell r="C2096" t="str">
            <v>SCM</v>
          </cell>
          <cell r="D2096" t="str">
            <v>MENSULA C.A.V. 0,60/250/215 P.MONTAJE EN POSTE</v>
          </cell>
        </row>
        <row r="2097">
          <cell r="B2097">
            <v>5322154</v>
          </cell>
          <cell r="C2097" t="str">
            <v>IPT</v>
          </cell>
          <cell r="D2097" t="str">
            <v>MENSULA C.A.V. 0,60/250/245 P.MONTAJE EN POSTE</v>
          </cell>
        </row>
        <row r="2098">
          <cell r="B2098">
            <v>5322154</v>
          </cell>
          <cell r="C2098" t="str">
            <v>PAL</v>
          </cell>
          <cell r="D2098" t="str">
            <v>MENSULA C.A.V. 0,60/250/245 P.MONTAJE EN POSTE</v>
          </cell>
        </row>
        <row r="2099">
          <cell r="B2099">
            <v>5322154</v>
          </cell>
          <cell r="C2099" t="str">
            <v>PSA</v>
          </cell>
          <cell r="D2099" t="str">
            <v>MENSULA C.A.V. 0,60/250/245 P.MONTAJE EN POSTE</v>
          </cell>
        </row>
        <row r="2100">
          <cell r="B2100">
            <v>5322154</v>
          </cell>
          <cell r="C2100" t="str">
            <v>SCM</v>
          </cell>
          <cell r="D2100" t="str">
            <v>MENSULA C.A.V. 0,60/250/245 P.MONTAJE EN POSTE</v>
          </cell>
        </row>
        <row r="2101">
          <cell r="B2101">
            <v>5322166</v>
          </cell>
          <cell r="C2101" t="str">
            <v>PAL</v>
          </cell>
          <cell r="D2101" t="str">
            <v>MENSULA C.A.V. 0,60/250/275 P.MONTAJE EN POSTE</v>
          </cell>
        </row>
        <row r="2102">
          <cell r="B2102">
            <v>5322166</v>
          </cell>
          <cell r="C2102" t="str">
            <v>PSA</v>
          </cell>
          <cell r="D2102" t="str">
            <v>MENSULA C.A.V. 0,60/250/275 P.MONTAJE EN POSTE</v>
          </cell>
        </row>
        <row r="2103">
          <cell r="B2103">
            <v>5322166</v>
          </cell>
          <cell r="C2103" t="str">
            <v>SCM</v>
          </cell>
          <cell r="D2103" t="str">
            <v>MENSULA C.A.V. 0,60/250/275 P.MONTAJE EN POSTE</v>
          </cell>
        </row>
        <row r="2104">
          <cell r="B2104">
            <v>5322200</v>
          </cell>
          <cell r="C2104" t="str">
            <v>PAL</v>
          </cell>
          <cell r="D2104" t="str">
            <v>MENSULA C.A.V. 0,75/250/185 P.MONTAJE EN POSTE</v>
          </cell>
        </row>
        <row r="2105">
          <cell r="B2105">
            <v>5322200</v>
          </cell>
          <cell r="C2105" t="str">
            <v>PSA</v>
          </cell>
          <cell r="D2105" t="str">
            <v>MENSULA C.A.V. 0,75/250/185 P.MONTAJE EN POSTE</v>
          </cell>
        </row>
        <row r="2106">
          <cell r="B2106">
            <v>5322200</v>
          </cell>
          <cell r="C2106" t="str">
            <v>SCM</v>
          </cell>
          <cell r="D2106" t="str">
            <v>MENSULA C.A.V. 0,75/250/185 P.MONTAJE EN POSTE</v>
          </cell>
        </row>
        <row r="2107">
          <cell r="B2107">
            <v>5322202</v>
          </cell>
          <cell r="C2107" t="str">
            <v>PAL</v>
          </cell>
          <cell r="D2107" t="str">
            <v>MENSULA C.A.V. 0,75/250/215 P.MONTAJE EN POSTE</v>
          </cell>
        </row>
        <row r="2108">
          <cell r="B2108">
            <v>5322202</v>
          </cell>
          <cell r="C2108" t="str">
            <v>PSA</v>
          </cell>
          <cell r="D2108" t="str">
            <v>MENSULA C.A.V. 0,75/250/215 P.MONTAJE EN POSTE</v>
          </cell>
        </row>
        <row r="2109">
          <cell r="B2109">
            <v>5322202</v>
          </cell>
          <cell r="C2109" t="str">
            <v>SCM</v>
          </cell>
          <cell r="D2109" t="str">
            <v>MENSULA C.A.V. 0,75/250/215 P.MONTAJE EN POSTE</v>
          </cell>
        </row>
        <row r="2110">
          <cell r="B2110">
            <v>5322204</v>
          </cell>
          <cell r="C2110" t="str">
            <v>PAL</v>
          </cell>
          <cell r="D2110" t="str">
            <v>MENSULA C.A.V. 0,75/250/245 P.MONTAJE EN POSTE</v>
          </cell>
        </row>
        <row r="2111">
          <cell r="B2111">
            <v>5322204</v>
          </cell>
          <cell r="C2111" t="str">
            <v>PSA</v>
          </cell>
          <cell r="D2111" t="str">
            <v>MENSULA C.A.V. 0,75/250/245 P.MONTAJE EN POSTE</v>
          </cell>
        </row>
        <row r="2112">
          <cell r="B2112">
            <v>5322204</v>
          </cell>
          <cell r="C2112" t="str">
            <v>SCM</v>
          </cell>
          <cell r="D2112" t="str">
            <v>MENSULA C.A.V. 0,75/250/245 P.MONTAJE EN POSTE</v>
          </cell>
        </row>
        <row r="2113">
          <cell r="B2113">
            <v>5322206</v>
          </cell>
          <cell r="C2113" t="str">
            <v>PAL</v>
          </cell>
          <cell r="D2113" t="str">
            <v>MENSULA C.A.V. 0,75/250/275 P.MONTAJE EN POSTE</v>
          </cell>
        </row>
        <row r="2114">
          <cell r="B2114">
            <v>5322206</v>
          </cell>
          <cell r="C2114" t="str">
            <v>PSA</v>
          </cell>
          <cell r="D2114" t="str">
            <v>MENSULA C.A.V. 0,75/250/275 P.MONTAJE EN POSTE</v>
          </cell>
        </row>
        <row r="2115">
          <cell r="B2115">
            <v>5322206</v>
          </cell>
          <cell r="C2115" t="str">
            <v>SCM</v>
          </cell>
          <cell r="D2115" t="str">
            <v>MENSULA C.A.V. 0,75/250/275 P.MONTAJE EN POSTE</v>
          </cell>
        </row>
        <row r="2116">
          <cell r="B2116">
            <v>5322630</v>
          </cell>
          <cell r="C2116" t="str">
            <v>IPT</v>
          </cell>
          <cell r="D2116" t="str">
            <v>MENSULA C.A. M/1.00/250 DE 185MMD MONTAJE POSTE</v>
          </cell>
        </row>
        <row r="2117">
          <cell r="B2117">
            <v>5322630</v>
          </cell>
          <cell r="C2117" t="str">
            <v>PAL</v>
          </cell>
          <cell r="D2117" t="str">
            <v>MENSULA C.A. M/1.00/250 DE 185MMD MONTAJE POSTE</v>
          </cell>
        </row>
        <row r="2118">
          <cell r="B2118">
            <v>5322630</v>
          </cell>
          <cell r="C2118" t="str">
            <v>PSA</v>
          </cell>
          <cell r="D2118" t="str">
            <v>MENSULA C.A. M/1.00/250 DE 185MMD MONTAJE POSTE</v>
          </cell>
        </row>
        <row r="2119">
          <cell r="B2119">
            <v>5322630</v>
          </cell>
          <cell r="C2119" t="str">
            <v>SCM</v>
          </cell>
          <cell r="D2119" t="str">
            <v>MENSULA C.A. M/1.00/250 DE 185MMD MONTAJE POSTE</v>
          </cell>
        </row>
        <row r="2120">
          <cell r="B2120">
            <v>5322632</v>
          </cell>
          <cell r="C2120" t="str">
            <v>PAL</v>
          </cell>
          <cell r="D2120" t="str">
            <v>USAR MATRICULA NRO. &lt;5322630&gt; MENSULA C.A.M/1.00/250 185MMD MONT.POSTE 22.9KV</v>
          </cell>
        </row>
        <row r="2121">
          <cell r="B2121">
            <v>5322632</v>
          </cell>
          <cell r="C2121" t="str">
            <v>PSA</v>
          </cell>
          <cell r="D2121" t="str">
            <v>USAR MATRICULA NRO. &lt;5322630&gt; MENSULA C.A.M/1.00/250 185MMD MONT.POSTE 22.9KV</v>
          </cell>
        </row>
        <row r="2122">
          <cell r="B2122">
            <v>5322632</v>
          </cell>
          <cell r="C2122" t="str">
            <v>SCM</v>
          </cell>
          <cell r="D2122" t="str">
            <v>USAR MATRICULA NRO. &lt;5322630&gt; MENSULA C.A.M/1.00/250 185MMD MONT.POSTE 22.9KV</v>
          </cell>
        </row>
        <row r="2123">
          <cell r="B2123">
            <v>5322634</v>
          </cell>
          <cell r="C2123" t="str">
            <v>PAL</v>
          </cell>
          <cell r="D2123" t="str">
            <v>USAR MATRICULA NRO. &lt;5322642&gt; MENSULA C.A. M/1.00/250 215 MMD MONT.POSTE 22.9KV</v>
          </cell>
        </row>
        <row r="2124">
          <cell r="B2124">
            <v>5322634</v>
          </cell>
          <cell r="C2124" t="str">
            <v>PSA</v>
          </cell>
          <cell r="D2124" t="str">
            <v>USAR MATRICULA NRO. &lt;5322642&gt; MENSULA C.A. M/1.00/250 215 MMD MONT.POSTE 22.9KV</v>
          </cell>
        </row>
        <row r="2125">
          <cell r="B2125">
            <v>5322634</v>
          </cell>
          <cell r="C2125" t="str">
            <v>SCM</v>
          </cell>
          <cell r="D2125" t="str">
            <v>USAR MATRICULA NRO. &lt;5322642&gt; MENSULA C.A. M/1.00/250 215 MMD MONT.POSTE 22.9KV</v>
          </cell>
        </row>
        <row r="2126">
          <cell r="B2126">
            <v>5322636</v>
          </cell>
          <cell r="C2126" t="str">
            <v>PAL</v>
          </cell>
          <cell r="D2126" t="str">
            <v>USAR MATRICULA NRO. &lt;5322654&gt; MENSULA C.A. M/1.00/250 245 MMD MONT.POSTE 22.9 KV</v>
          </cell>
        </row>
        <row r="2127">
          <cell r="B2127">
            <v>5322636</v>
          </cell>
          <cell r="C2127" t="str">
            <v>PSA</v>
          </cell>
          <cell r="D2127" t="str">
            <v>USAR MATRICULA NRO. &lt;5322654&gt; MENSULA C.A. M/1.00/250 245 MMD MONT.POSTE 22.9 KV</v>
          </cell>
        </row>
        <row r="2128">
          <cell r="B2128">
            <v>5322636</v>
          </cell>
          <cell r="C2128" t="str">
            <v>SCM</v>
          </cell>
          <cell r="D2128" t="str">
            <v>USAR MATRICULA NRO. &lt;5322654&gt; MENSULA C.A. M/1.00/250 245 MMD MONT.POSTE 22.9 KV</v>
          </cell>
        </row>
        <row r="2129">
          <cell r="B2129">
            <v>5322638</v>
          </cell>
          <cell r="C2129" t="str">
            <v>PAL</v>
          </cell>
          <cell r="D2129" t="str">
            <v>USAR MATRICULA NRO. &lt;5322666&gt; MENSULA C.A. M/1.00/250 275MM D MONT.POSTE 22.9 KV</v>
          </cell>
        </row>
        <row r="2130">
          <cell r="B2130">
            <v>5322638</v>
          </cell>
          <cell r="C2130" t="str">
            <v>PSA</v>
          </cell>
          <cell r="D2130" t="str">
            <v>USAR MATRICULA NRO. &lt;5322666&gt; MENSULA C.A. M/1.00/250 275MM D MONT.POSTE 22.9 KV</v>
          </cell>
        </row>
        <row r="2131">
          <cell r="B2131">
            <v>5322638</v>
          </cell>
          <cell r="C2131" t="str">
            <v>SCM</v>
          </cell>
          <cell r="D2131" t="str">
            <v>USAR MATRICULA NRO. &lt;5322666&gt; MENSULA C.A. M/1.00/250 275MM D MONT.POSTE 22.9 KV</v>
          </cell>
        </row>
        <row r="2132">
          <cell r="B2132">
            <v>5322642</v>
          </cell>
          <cell r="C2132" t="str">
            <v>IPT</v>
          </cell>
          <cell r="D2132" t="str">
            <v>MENSULA C.A.V. 1,00/250/215 P.MONTAJE EN POSTE</v>
          </cell>
        </row>
        <row r="2133">
          <cell r="B2133">
            <v>5322642</v>
          </cell>
          <cell r="C2133" t="str">
            <v>PAL</v>
          </cell>
          <cell r="D2133" t="str">
            <v>MENSULA C.A.V. 1,00/250/215 P.MONTAJE EN POSTE</v>
          </cell>
        </row>
        <row r="2134">
          <cell r="B2134">
            <v>5322642</v>
          </cell>
          <cell r="C2134" t="str">
            <v>PSA</v>
          </cell>
          <cell r="D2134" t="str">
            <v>MENSULA C.A.V. 1,00/250/215 P.MONTAJE EN POSTE</v>
          </cell>
        </row>
        <row r="2135">
          <cell r="B2135">
            <v>5322642</v>
          </cell>
          <cell r="C2135" t="str">
            <v>SCM</v>
          </cell>
          <cell r="D2135" t="str">
            <v>MENSULA C.A.V. 1,00/250/215 P.MONTAJE EN POSTE</v>
          </cell>
        </row>
        <row r="2136">
          <cell r="B2136">
            <v>5322654</v>
          </cell>
          <cell r="C2136" t="str">
            <v>IPT</v>
          </cell>
          <cell r="D2136" t="str">
            <v>MENSULA C.A.V. 1,00/250/245 P.MONTAJE EN POSTE</v>
          </cell>
        </row>
        <row r="2137">
          <cell r="B2137">
            <v>5322654</v>
          </cell>
          <cell r="C2137" t="str">
            <v>PAL</v>
          </cell>
          <cell r="D2137" t="str">
            <v>MENSULA C.A.V. 1,00/250/245 P.MONTAJE EN POSTE</v>
          </cell>
        </row>
        <row r="2138">
          <cell r="B2138">
            <v>5322654</v>
          </cell>
          <cell r="C2138" t="str">
            <v>PSA</v>
          </cell>
          <cell r="D2138" t="str">
            <v>MENSULA C.A.V. 1,00/250/245 P.MONTAJE EN POSTE</v>
          </cell>
        </row>
        <row r="2139">
          <cell r="B2139">
            <v>5322654</v>
          </cell>
          <cell r="C2139" t="str">
            <v>SCM</v>
          </cell>
          <cell r="D2139" t="str">
            <v>MENSULA C.A.V. 1,00/250/245 P.MONTAJE EN POSTE</v>
          </cell>
        </row>
        <row r="2140">
          <cell r="B2140">
            <v>5322666</v>
          </cell>
          <cell r="C2140" t="str">
            <v>IPT</v>
          </cell>
          <cell r="D2140" t="str">
            <v>MENSULA C.A.V. 1,00/250/275 P.MONTAJE EN POSTE</v>
          </cell>
        </row>
        <row r="2141">
          <cell r="B2141">
            <v>5322666</v>
          </cell>
          <cell r="C2141" t="str">
            <v>PAL</v>
          </cell>
          <cell r="D2141" t="str">
            <v>MENSULA C.A.V. 1,00/250/275 P.MONTAJE EN POSTE</v>
          </cell>
        </row>
        <row r="2142">
          <cell r="B2142">
            <v>5322666</v>
          </cell>
          <cell r="C2142" t="str">
            <v>PSA</v>
          </cell>
          <cell r="D2142" t="str">
            <v>MENSULA C.A.V. 1,00/250/275 P.MONTAJE EN POSTE</v>
          </cell>
        </row>
        <row r="2143">
          <cell r="B2143">
            <v>5322666</v>
          </cell>
          <cell r="C2143" t="str">
            <v>SCM</v>
          </cell>
          <cell r="D2143" t="str">
            <v>MENSULA C.A.V. 1,00/250/275 P.MONTAJE EN POSTE</v>
          </cell>
        </row>
        <row r="2144">
          <cell r="B2144">
            <v>5322672</v>
          </cell>
          <cell r="C2144" t="str">
            <v>PAL</v>
          </cell>
          <cell r="D2144" t="str">
            <v>MENSULA C.A.V. 1,00/250/305 P.MONTAJE EN POSTE</v>
          </cell>
        </row>
        <row r="2145">
          <cell r="B2145">
            <v>5322672</v>
          </cell>
          <cell r="C2145" t="str">
            <v>PSA</v>
          </cell>
          <cell r="D2145" t="str">
            <v>MENSULA C.A.V. 1,00/250/305 P.MONTAJE EN POSTE</v>
          </cell>
        </row>
        <row r="2146">
          <cell r="B2146">
            <v>5322672</v>
          </cell>
          <cell r="C2146" t="str">
            <v>SCM</v>
          </cell>
          <cell r="D2146" t="str">
            <v>MENSULA C.A.V. 1,00/250/305 P.MONTAJE EN POSTE</v>
          </cell>
        </row>
        <row r="2147">
          <cell r="B2147">
            <v>5322684</v>
          </cell>
          <cell r="C2147" t="str">
            <v>PAL</v>
          </cell>
          <cell r="D2147" t="str">
            <v>MENSULA C.A.V. 1,00/250/335 P.MONTAJE EN POSTE</v>
          </cell>
        </row>
        <row r="2148">
          <cell r="B2148">
            <v>5322684</v>
          </cell>
          <cell r="C2148" t="str">
            <v>PSA</v>
          </cell>
          <cell r="D2148" t="str">
            <v>MENSULA C.A.V. 1,00/250/335 P.MONTAJE EN POSTE</v>
          </cell>
        </row>
        <row r="2149">
          <cell r="B2149">
            <v>5322684</v>
          </cell>
          <cell r="C2149" t="str">
            <v>SCM</v>
          </cell>
          <cell r="D2149" t="str">
            <v>MENSULA C.A.V. 1,00/250/335 P.MONTAJE EN POSTE</v>
          </cell>
        </row>
        <row r="2150">
          <cell r="B2150">
            <v>5323566</v>
          </cell>
          <cell r="C2150" t="str">
            <v>PAL</v>
          </cell>
          <cell r="D2150" t="str">
            <v>PALOMILLA DOBLE C.A.P. 2200MM / 280MM P.MONTAJE PARA S.A.B.</v>
          </cell>
        </row>
        <row r="2151">
          <cell r="B2151">
            <v>5323566</v>
          </cell>
          <cell r="C2151" t="str">
            <v>PSA</v>
          </cell>
          <cell r="D2151" t="str">
            <v>PALOMILLA DOBLE C.A.P. 2200MM / 280MM P.MONTAJE PARA S.A.B.</v>
          </cell>
        </row>
        <row r="2152">
          <cell r="B2152">
            <v>5323566</v>
          </cell>
          <cell r="C2152" t="str">
            <v>SCM</v>
          </cell>
          <cell r="D2152" t="str">
            <v>PALOMILLA DOBLE C.A.P. 2200MM / 280MM P.MONTAJE PARA S.A.B.</v>
          </cell>
        </row>
        <row r="2153">
          <cell r="B2153">
            <v>5323588</v>
          </cell>
          <cell r="C2153" t="str">
            <v>PAL</v>
          </cell>
          <cell r="D2153" t="str">
            <v>PALOMILLA DOBLE C.A.P. 2300MM / 290MM P.MONTAJE PARA S.A.B.</v>
          </cell>
        </row>
        <row r="2154">
          <cell r="B2154">
            <v>5323588</v>
          </cell>
          <cell r="C2154" t="str">
            <v>PSA</v>
          </cell>
          <cell r="D2154" t="str">
            <v>PALOMILLA DOBLE C.A.P. 2300MM / 290MM P.MONTAJE PARA S.A.B.</v>
          </cell>
        </row>
        <row r="2155">
          <cell r="B2155">
            <v>5323588</v>
          </cell>
          <cell r="C2155" t="str">
            <v>SCM</v>
          </cell>
          <cell r="D2155" t="str">
            <v>PALOMILLA DOBLE C.A.P. 2300MM / 290MM P.MONTAJE PARA S.A.B.</v>
          </cell>
        </row>
        <row r="2156">
          <cell r="B2156">
            <v>5324122</v>
          </cell>
          <cell r="C2156" t="str">
            <v>PAL</v>
          </cell>
          <cell r="D2156" t="str">
            <v>CRUCETA DE C.A.Z/1.20/300-160MMD. MONTAJE A POSTE.</v>
          </cell>
        </row>
        <row r="2157">
          <cell r="B2157">
            <v>5324122</v>
          </cell>
          <cell r="C2157" t="str">
            <v>PSA</v>
          </cell>
          <cell r="D2157" t="str">
            <v>CRUCETA DE C.A.Z/1.20/300-160MMD. MONTAJE A POSTE.</v>
          </cell>
        </row>
        <row r="2158">
          <cell r="B2158">
            <v>5324122</v>
          </cell>
          <cell r="C2158" t="str">
            <v>SCM</v>
          </cell>
          <cell r="D2158" t="str">
            <v>CRUCETA DE C.A.Z/1.20/300-160MMD. MONTAJE A POSTE.</v>
          </cell>
        </row>
        <row r="2159">
          <cell r="B2159">
            <v>5324130</v>
          </cell>
          <cell r="C2159" t="str">
            <v>IPT</v>
          </cell>
          <cell r="D2159" t="str">
            <v>CRUCETA DE C.A.Z/1.20/300-185MMD. MONTAJE A POSTE.</v>
          </cell>
        </row>
        <row r="2160">
          <cell r="B2160">
            <v>5324130</v>
          </cell>
          <cell r="C2160" t="str">
            <v>PAL</v>
          </cell>
          <cell r="D2160" t="str">
            <v>CRUCETA DE C.A.Z/1.20/300-185MMD. MONTAJE A POSTE.</v>
          </cell>
        </row>
        <row r="2161">
          <cell r="B2161">
            <v>5324130</v>
          </cell>
          <cell r="C2161" t="str">
            <v>PSA</v>
          </cell>
          <cell r="D2161" t="str">
            <v>CRUCETA DE C.A.Z/1.20/300-185MMD. MONTAJE A POSTE.</v>
          </cell>
        </row>
        <row r="2162">
          <cell r="B2162">
            <v>5324130</v>
          </cell>
          <cell r="C2162" t="str">
            <v>SCM</v>
          </cell>
          <cell r="D2162" t="str">
            <v>CRUCETA DE C.A.Z/1.20/300-185MMD. MONTAJE A POSTE.</v>
          </cell>
        </row>
        <row r="2163">
          <cell r="B2163">
            <v>5324142</v>
          </cell>
          <cell r="C2163" t="str">
            <v>IPT</v>
          </cell>
          <cell r="D2163" t="str">
            <v>CRUCETA DE C.A.Z/1.20/300-215MMD. MONTAJE A POSTE.</v>
          </cell>
        </row>
        <row r="2164">
          <cell r="B2164">
            <v>5324142</v>
          </cell>
          <cell r="C2164" t="str">
            <v>PAL</v>
          </cell>
          <cell r="D2164" t="str">
            <v>CRUCETA DE C.A.Z/1.20/300-215MMD. MONTAJE A POSTE.</v>
          </cell>
        </row>
        <row r="2165">
          <cell r="B2165">
            <v>5324142</v>
          </cell>
          <cell r="C2165" t="str">
            <v>PSA</v>
          </cell>
          <cell r="D2165" t="str">
            <v>CRUCETA DE C.A.Z/1.20/300-215MMD. MONTAJE A POSTE.</v>
          </cell>
        </row>
        <row r="2166">
          <cell r="B2166">
            <v>5324142</v>
          </cell>
          <cell r="C2166" t="str">
            <v>SCM</v>
          </cell>
          <cell r="D2166" t="str">
            <v>CRUCETA DE C.A.Z/1.20/300-215MMD. MONTAJE A POSTE.</v>
          </cell>
        </row>
        <row r="2167">
          <cell r="B2167">
            <v>5324154</v>
          </cell>
          <cell r="C2167" t="str">
            <v>IPT</v>
          </cell>
          <cell r="D2167" t="str">
            <v>CRUCETA DE C.A.Z/1.20/300-245MMD. MONTAJE A POSTE.</v>
          </cell>
        </row>
        <row r="2168">
          <cell r="B2168">
            <v>5324154</v>
          </cell>
          <cell r="C2168" t="str">
            <v>PAL</v>
          </cell>
          <cell r="D2168" t="str">
            <v>CRUCETA DE C.A.Z/1.20/300-245MMD. MONTAJE A POSTE.</v>
          </cell>
        </row>
        <row r="2169">
          <cell r="B2169">
            <v>5324154</v>
          </cell>
          <cell r="C2169" t="str">
            <v>PSA</v>
          </cell>
          <cell r="D2169" t="str">
            <v>CRUCETA DE C.A.Z/1.20/300-245MMD. MONTAJE A POSTE.</v>
          </cell>
        </row>
        <row r="2170">
          <cell r="B2170">
            <v>5324154</v>
          </cell>
          <cell r="C2170" t="str">
            <v>SCM</v>
          </cell>
          <cell r="D2170" t="str">
            <v>CRUCETA DE C.A.Z/1.20/300-245MMD. MONTAJE A POSTE.</v>
          </cell>
        </row>
        <row r="2171">
          <cell r="B2171">
            <v>5324240</v>
          </cell>
          <cell r="C2171" t="str">
            <v>PAL</v>
          </cell>
          <cell r="D2171" t="str">
            <v>CRUCETAS C.A. Z/1.50/400 185MMD MONT.POSTE 22.9 KV</v>
          </cell>
        </row>
        <row r="2172">
          <cell r="B2172">
            <v>5324240</v>
          </cell>
          <cell r="C2172" t="str">
            <v>PSA</v>
          </cell>
          <cell r="D2172" t="str">
            <v>CRUCETAS C.A. Z/1.50/400 185MMD MONT.POSTE 22.9 KV</v>
          </cell>
        </row>
        <row r="2173">
          <cell r="B2173">
            <v>5324240</v>
          </cell>
          <cell r="C2173" t="str">
            <v>SCM</v>
          </cell>
          <cell r="D2173" t="str">
            <v>CRUCETAS C.A. Z/1.50/400 185MMD MONT.POSTE 22.9 KV</v>
          </cell>
        </row>
        <row r="2174">
          <cell r="B2174">
            <v>5324244</v>
          </cell>
          <cell r="C2174" t="str">
            <v>PAL</v>
          </cell>
          <cell r="D2174" t="str">
            <v>CRUCETAS C.A. Z/1.50/400-215MMD MONT.POSTE 22.9 KV</v>
          </cell>
        </row>
        <row r="2175">
          <cell r="B2175">
            <v>5324244</v>
          </cell>
          <cell r="C2175" t="str">
            <v>PSA</v>
          </cell>
          <cell r="D2175" t="str">
            <v>CRUCETAS C.A. Z/1.50/400-215MMD MONT.POSTE 22.9 KV</v>
          </cell>
        </row>
        <row r="2176">
          <cell r="B2176">
            <v>5324244</v>
          </cell>
          <cell r="C2176" t="str">
            <v>SCM</v>
          </cell>
          <cell r="D2176" t="str">
            <v>CRUCETAS C.A. Z/1.50/400-215MMD MONT.POSTE 22.9 KV</v>
          </cell>
        </row>
        <row r="2177">
          <cell r="B2177">
            <v>5324248</v>
          </cell>
          <cell r="C2177" t="str">
            <v>PAL</v>
          </cell>
          <cell r="D2177" t="str">
            <v>CRUCETAS C.A. Z/1.5/400-245MMD MONT.POSTE 22.9 KV</v>
          </cell>
        </row>
        <row r="2178">
          <cell r="B2178">
            <v>5324248</v>
          </cell>
          <cell r="C2178" t="str">
            <v>PSA</v>
          </cell>
          <cell r="D2178" t="str">
            <v>CRUCETAS C.A. Z/1.5/400-245MMD MONT.POSTE 22.9 KV</v>
          </cell>
        </row>
        <row r="2179">
          <cell r="B2179">
            <v>5324248</v>
          </cell>
          <cell r="C2179" t="str">
            <v>SCM</v>
          </cell>
          <cell r="D2179" t="str">
            <v>CRUCETAS C.A. Z/1.5/400-245MMD MONT.POSTE 22.9 KV</v>
          </cell>
        </row>
        <row r="2180">
          <cell r="B2180">
            <v>5324256</v>
          </cell>
          <cell r="C2180" t="str">
            <v>PAL</v>
          </cell>
          <cell r="D2180" t="str">
            <v>CRUCETAS C.A. Z/1,5/400 275 MMD MONT.POSTE 22.9 KV</v>
          </cell>
        </row>
        <row r="2181">
          <cell r="B2181">
            <v>5324256</v>
          </cell>
          <cell r="C2181" t="str">
            <v>PSA</v>
          </cell>
          <cell r="D2181" t="str">
            <v>CRUCETAS C.A. Z/1,5/400 275 MMD MONT.POSTE 22.9 KV</v>
          </cell>
        </row>
        <row r="2182">
          <cell r="B2182">
            <v>5324256</v>
          </cell>
          <cell r="C2182" t="str">
            <v>SCM</v>
          </cell>
          <cell r="D2182" t="str">
            <v>CRUCETAS C.A. Z/1,5/400 275 MMD MONT.POSTE 22.9 KV</v>
          </cell>
        </row>
        <row r="2183">
          <cell r="B2183">
            <v>5324430</v>
          </cell>
          <cell r="C2183" t="str">
            <v>IPT</v>
          </cell>
          <cell r="D2183" t="str">
            <v>CRUCETA DE C.A.Z/2.0/500 -185MMD. MONTAJE A POSTE.</v>
          </cell>
        </row>
        <row r="2184">
          <cell r="B2184">
            <v>5324430</v>
          </cell>
          <cell r="C2184" t="str">
            <v>PAL</v>
          </cell>
          <cell r="D2184" t="str">
            <v>CRUCETA DE C.A.Z/2.0/500 -185MMD. MONTAJE A POSTE.</v>
          </cell>
        </row>
        <row r="2185">
          <cell r="B2185">
            <v>5324430</v>
          </cell>
          <cell r="C2185" t="str">
            <v>PSA</v>
          </cell>
          <cell r="D2185" t="str">
            <v>CRUCETA DE C.A.Z/2.0/500 -185MMD. MONTAJE A POSTE.</v>
          </cell>
        </row>
        <row r="2186">
          <cell r="B2186">
            <v>5324430</v>
          </cell>
          <cell r="C2186" t="str">
            <v>SCM</v>
          </cell>
          <cell r="D2186" t="str">
            <v>CRUCETA DE C.A.Z/2.0/500 -185MMD. MONTAJE A POSTE.</v>
          </cell>
        </row>
        <row r="2187">
          <cell r="B2187">
            <v>5324442</v>
          </cell>
          <cell r="C2187" t="str">
            <v>IPT</v>
          </cell>
          <cell r="D2187" t="str">
            <v>CRUCETA DE C.A.Z/2.0/500 -215MMD. MONTAJE A POSTE.</v>
          </cell>
        </row>
        <row r="2188">
          <cell r="B2188">
            <v>5324442</v>
          </cell>
          <cell r="C2188" t="str">
            <v>PAL</v>
          </cell>
          <cell r="D2188" t="str">
            <v>CRUCETA DE C.A.Z/2.0/500 -215MMD. MONTAJE A POSTE.</v>
          </cell>
        </row>
        <row r="2189">
          <cell r="B2189">
            <v>5324442</v>
          </cell>
          <cell r="C2189" t="str">
            <v>PSA</v>
          </cell>
          <cell r="D2189" t="str">
            <v>CRUCETA DE C.A.Z/2.0/500 -215MMD. MONTAJE A POSTE.</v>
          </cell>
        </row>
        <row r="2190">
          <cell r="B2190">
            <v>5324442</v>
          </cell>
          <cell r="C2190" t="str">
            <v>SCM</v>
          </cell>
          <cell r="D2190" t="str">
            <v>CRUCETA DE C.A.Z/2.0/500 -215MMD. MONTAJE A POSTE.</v>
          </cell>
        </row>
        <row r="2191">
          <cell r="B2191">
            <v>5324454</v>
          </cell>
          <cell r="C2191" t="str">
            <v>IPT</v>
          </cell>
          <cell r="D2191" t="str">
            <v>CRUCETA DE C.A.Z/2.0/500 -245MMD. MONTAJE A POSTE.</v>
          </cell>
        </row>
        <row r="2192">
          <cell r="B2192">
            <v>5324454</v>
          </cell>
          <cell r="C2192" t="str">
            <v>PAL</v>
          </cell>
          <cell r="D2192" t="str">
            <v>CRUCETA DE C.A.Z/2.0/500 -245MMD. MONTAJE A POSTE.</v>
          </cell>
        </row>
        <row r="2193">
          <cell r="B2193">
            <v>5324454</v>
          </cell>
          <cell r="C2193" t="str">
            <v>PSA</v>
          </cell>
          <cell r="D2193" t="str">
            <v>CRUCETA DE C.A.Z/2.0/500 -245MMD. MONTAJE A POSTE.</v>
          </cell>
        </row>
        <row r="2194">
          <cell r="B2194">
            <v>5324454</v>
          </cell>
          <cell r="C2194" t="str">
            <v>SCM</v>
          </cell>
          <cell r="D2194" t="str">
            <v>CRUCETA DE C.A.Z/2.0/500 -245MMD. MONTAJE A POSTE.</v>
          </cell>
        </row>
        <row r="2195">
          <cell r="B2195">
            <v>5324466</v>
          </cell>
          <cell r="C2195" t="str">
            <v>PAL</v>
          </cell>
          <cell r="D2195" t="str">
            <v>CRUCETA DE C.A.Z/2.0/500 -275MMD. MONTAJE A POSTE.</v>
          </cell>
        </row>
        <row r="2196">
          <cell r="B2196">
            <v>5324466</v>
          </cell>
          <cell r="C2196" t="str">
            <v>PSA</v>
          </cell>
          <cell r="D2196" t="str">
            <v>CRUCETA DE C.A.Z/2.0/500 -275MMD. MONTAJE A POSTE.</v>
          </cell>
        </row>
        <row r="2197">
          <cell r="B2197">
            <v>5324466</v>
          </cell>
          <cell r="C2197" t="str">
            <v>SCM</v>
          </cell>
          <cell r="D2197" t="str">
            <v>CRUCETA DE C.A.Z/2.0/500 -275MMD. MONTAJE A POSTE.</v>
          </cell>
        </row>
        <row r="2198">
          <cell r="B2198">
            <v>5324472</v>
          </cell>
          <cell r="C2198" t="str">
            <v>PAL</v>
          </cell>
          <cell r="D2198" t="str">
            <v>CRUCETA DE C.A.Z/2.0/500 -305MMD. MONTAJE A POSTE.</v>
          </cell>
        </row>
        <row r="2199">
          <cell r="B2199">
            <v>5324472</v>
          </cell>
          <cell r="C2199" t="str">
            <v>PSA</v>
          </cell>
          <cell r="D2199" t="str">
            <v>CRUCETA DE C.A.Z/2.0/500 -305MMD. MONTAJE A POSTE.</v>
          </cell>
        </row>
        <row r="2200">
          <cell r="B2200">
            <v>5324472</v>
          </cell>
          <cell r="C2200" t="str">
            <v>SCM</v>
          </cell>
          <cell r="D2200" t="str">
            <v>CRUCETA DE C.A.Z/2.0/500 -305MMD. MONTAJE A POSTE.</v>
          </cell>
        </row>
        <row r="2201">
          <cell r="B2201">
            <v>5324484</v>
          </cell>
          <cell r="C2201" t="str">
            <v>PAL</v>
          </cell>
          <cell r="D2201" t="str">
            <v>CRUCETA DE C.A.Z/2.0/500 -335MMD. MONTAJE A POSTE.</v>
          </cell>
        </row>
        <row r="2202">
          <cell r="B2202">
            <v>5324484</v>
          </cell>
          <cell r="C2202" t="str">
            <v>PSA</v>
          </cell>
          <cell r="D2202" t="str">
            <v>CRUCETA DE C.A.Z/2.0/500 -335MMD. MONTAJE A POSTE.</v>
          </cell>
        </row>
        <row r="2203">
          <cell r="B2203">
            <v>5324484</v>
          </cell>
          <cell r="C2203" t="str">
            <v>SCM</v>
          </cell>
          <cell r="D2203" t="str">
            <v>CRUCETA DE C.A.Z/2.0/500 -335MMD. MONTAJE A POSTE.</v>
          </cell>
        </row>
        <row r="2204">
          <cell r="B2204">
            <v>5324630</v>
          </cell>
          <cell r="C2204" t="str">
            <v>PAL</v>
          </cell>
          <cell r="D2204" t="str">
            <v>CRUCETAS C.A. Z/2,4/600-185MMD MONT.POSTE22.9 KV.</v>
          </cell>
        </row>
        <row r="2205">
          <cell r="B2205">
            <v>5324630</v>
          </cell>
          <cell r="C2205" t="str">
            <v>PSA</v>
          </cell>
          <cell r="D2205" t="str">
            <v>CRUCETAS C.A. Z/2,4/600-185MMD MONT.POSTE22.9 KV.</v>
          </cell>
        </row>
        <row r="2206">
          <cell r="B2206">
            <v>5324630</v>
          </cell>
          <cell r="C2206" t="str">
            <v>SCM</v>
          </cell>
          <cell r="D2206" t="str">
            <v>CRUCETAS C.A. Z/2,4/600-185MMD MONT.POSTE22.9 KV.</v>
          </cell>
        </row>
        <row r="2207">
          <cell r="B2207">
            <v>5324642</v>
          </cell>
          <cell r="C2207" t="str">
            <v>PAL</v>
          </cell>
          <cell r="D2207" t="str">
            <v>CRUCETA DE C.A.Z/2.4/600 -215MMD. MONTAJE A POSTE.</v>
          </cell>
        </row>
        <row r="2208">
          <cell r="B2208">
            <v>5324642</v>
          </cell>
          <cell r="C2208" t="str">
            <v>PSA</v>
          </cell>
          <cell r="D2208" t="str">
            <v>CRUCETA DE C.A.Z/2.4/600 -215MMD. MONTAJE A POSTE.</v>
          </cell>
        </row>
        <row r="2209">
          <cell r="B2209">
            <v>5324642</v>
          </cell>
          <cell r="C2209" t="str">
            <v>SCM</v>
          </cell>
          <cell r="D2209" t="str">
            <v>CRUCETA DE C.A.Z/2.4/600 -215MMD. MONTAJE A POSTE.</v>
          </cell>
        </row>
        <row r="2210">
          <cell r="B2210">
            <v>5324644</v>
          </cell>
          <cell r="C2210" t="str">
            <v>PAL</v>
          </cell>
          <cell r="D2210" t="str">
            <v>CRUCETAS C.A Z/2,4/600-215MMD MONT.POSTE 22.9 KV.</v>
          </cell>
        </row>
        <row r="2211">
          <cell r="B2211">
            <v>5324644</v>
          </cell>
          <cell r="C2211" t="str">
            <v>PSA</v>
          </cell>
          <cell r="D2211" t="str">
            <v>CRUCETAS C.A Z/2,4/600-215MMD MONT.POSTE 22.9 KV.</v>
          </cell>
        </row>
        <row r="2212">
          <cell r="B2212">
            <v>5324644</v>
          </cell>
          <cell r="C2212" t="str">
            <v>SCM</v>
          </cell>
          <cell r="D2212" t="str">
            <v>CRUCETAS C.A Z/2,4/600-215MMD MONT.POSTE 22.9 KV.</v>
          </cell>
        </row>
        <row r="2213">
          <cell r="B2213">
            <v>5324654</v>
          </cell>
          <cell r="C2213" t="str">
            <v>PAL</v>
          </cell>
          <cell r="D2213" t="str">
            <v>CRUCETA DE C.A.Z/2.4/600 -245MMD. MONTAJE A POSTE.</v>
          </cell>
        </row>
        <row r="2214">
          <cell r="B2214">
            <v>5324654</v>
          </cell>
          <cell r="C2214" t="str">
            <v>PSA</v>
          </cell>
          <cell r="D2214" t="str">
            <v>CRUCETA DE C.A.Z/2.4/600 -245MMD. MONTAJE A POSTE.</v>
          </cell>
        </row>
        <row r="2215">
          <cell r="B2215">
            <v>5324654</v>
          </cell>
          <cell r="C2215" t="str">
            <v>SCM</v>
          </cell>
          <cell r="D2215" t="str">
            <v>CRUCETA DE C.A.Z/2.4/600 -245MMD. MONTAJE A POSTE.</v>
          </cell>
        </row>
        <row r="2216">
          <cell r="B2216">
            <v>5324656</v>
          </cell>
          <cell r="C2216" t="str">
            <v>PAL</v>
          </cell>
          <cell r="D2216" t="str">
            <v>CRUCETAS C.A.Z/2,4/600-245MMD MONT. POSTE 22.9 KV.</v>
          </cell>
        </row>
        <row r="2217">
          <cell r="B2217">
            <v>5324656</v>
          </cell>
          <cell r="C2217" t="str">
            <v>PSA</v>
          </cell>
          <cell r="D2217" t="str">
            <v>CRUCETAS C.A.Z/2,4/600-245MMD MONT. POSTE 22.9 KV.</v>
          </cell>
        </row>
        <row r="2218">
          <cell r="B2218">
            <v>5324656</v>
          </cell>
          <cell r="C2218" t="str">
            <v>SCM</v>
          </cell>
          <cell r="D2218" t="str">
            <v>CRUCETAS C.A.Z/2,4/600-245MMD MONT. POSTE 22.9 KV.</v>
          </cell>
        </row>
        <row r="2219">
          <cell r="B2219">
            <v>5324666</v>
          </cell>
          <cell r="C2219" t="str">
            <v>PAL</v>
          </cell>
          <cell r="D2219" t="str">
            <v>CRUCETA DE C.A.Z/2.4/600 -275MMD. MONTAJE A POSTE.</v>
          </cell>
        </row>
        <row r="2220">
          <cell r="B2220">
            <v>5324666</v>
          </cell>
          <cell r="C2220" t="str">
            <v>PSA</v>
          </cell>
          <cell r="D2220" t="str">
            <v>CRUCETA DE C.A.Z/2.4/600 -275MMD. MONTAJE A POSTE.</v>
          </cell>
        </row>
        <row r="2221">
          <cell r="B2221">
            <v>5324666</v>
          </cell>
          <cell r="C2221" t="str">
            <v>SCM</v>
          </cell>
          <cell r="D2221" t="str">
            <v>CRUCETA DE C.A.Z/2.4/600 -275MMD. MONTAJE A POSTE.</v>
          </cell>
        </row>
        <row r="2222">
          <cell r="B2222">
            <v>5324668</v>
          </cell>
          <cell r="C2222" t="str">
            <v>PAL</v>
          </cell>
          <cell r="D2222" t="str">
            <v>CRUCETAS DE C.A. Z/2,4/600-275MMD MON.POSTE 22.9KV</v>
          </cell>
        </row>
        <row r="2223">
          <cell r="B2223">
            <v>5324668</v>
          </cell>
          <cell r="C2223" t="str">
            <v>PSA</v>
          </cell>
          <cell r="D2223" t="str">
            <v>CRUCETAS DE C.A. Z/2,4/600-275MMD MON.POSTE 22.9KV</v>
          </cell>
        </row>
        <row r="2224">
          <cell r="B2224">
            <v>5324668</v>
          </cell>
          <cell r="C2224" t="str">
            <v>SCM</v>
          </cell>
          <cell r="D2224" t="str">
            <v>CRUCETAS DE C.A. Z/2,4/600-275MMD MON.POSTE 22.9KV</v>
          </cell>
        </row>
        <row r="2225">
          <cell r="B2225">
            <v>5324672</v>
          </cell>
          <cell r="C2225" t="str">
            <v>PAL</v>
          </cell>
          <cell r="D2225" t="str">
            <v>CRUCETA DE C.A.Z/2.4/600 -305MMD. MONTAJE A POSTE.</v>
          </cell>
        </row>
        <row r="2226">
          <cell r="B2226">
            <v>5324672</v>
          </cell>
          <cell r="C2226" t="str">
            <v>PSA</v>
          </cell>
          <cell r="D2226" t="str">
            <v>CRUCETA DE C.A.Z/2.4/600 -305MMD. MONTAJE A POSTE.</v>
          </cell>
        </row>
        <row r="2227">
          <cell r="B2227">
            <v>5324672</v>
          </cell>
          <cell r="C2227" t="str">
            <v>SCM</v>
          </cell>
          <cell r="D2227" t="str">
            <v>CRUCETA DE C.A.Z/2.4/600 -305MMD. MONTAJE A POSTE.</v>
          </cell>
        </row>
        <row r="2228">
          <cell r="B2228">
            <v>5324686</v>
          </cell>
          <cell r="C2228" t="str">
            <v>PAL</v>
          </cell>
          <cell r="D2228" t="str">
            <v>CRUCETA C.A. Z/2.00/500-275MMD. 20KV.</v>
          </cell>
        </row>
        <row r="2229">
          <cell r="B2229">
            <v>5324686</v>
          </cell>
          <cell r="C2229" t="str">
            <v>PSA</v>
          </cell>
          <cell r="D2229" t="str">
            <v>CRUCETA C.A. Z/2.00/500-275MMD. 20KV.</v>
          </cell>
        </row>
        <row r="2230">
          <cell r="B2230">
            <v>5324686</v>
          </cell>
          <cell r="C2230" t="str">
            <v>SCM</v>
          </cell>
          <cell r="D2230" t="str">
            <v>CRUCETA C.A. Z/2.00/500-275MMD. 20KV.</v>
          </cell>
        </row>
        <row r="2231">
          <cell r="B2231">
            <v>5326210</v>
          </cell>
          <cell r="C2231" t="str">
            <v>PAL</v>
          </cell>
          <cell r="D2231" t="str">
            <v>PLATAFORMA SOPORTE C.A.V. 1100MM / 750KG / 320MM P.TRANSFORMADOR</v>
          </cell>
        </row>
        <row r="2232">
          <cell r="B2232">
            <v>5326210</v>
          </cell>
          <cell r="C2232" t="str">
            <v>PSA</v>
          </cell>
          <cell r="D2232" t="str">
            <v>PLATAFORMA SOPORTE C.A.V. 1100MM / 750KG / 320MM P.TRANSFORMADOR</v>
          </cell>
        </row>
        <row r="2233">
          <cell r="B2233">
            <v>5326210</v>
          </cell>
          <cell r="C2233" t="str">
            <v>SCM</v>
          </cell>
          <cell r="D2233" t="str">
            <v>PLATAFORMA SOPORTE C.A.V. 1100MM / 750KG / 320MM P.TRANSFORMADOR</v>
          </cell>
        </row>
        <row r="2234">
          <cell r="B2234">
            <v>5326314</v>
          </cell>
          <cell r="C2234" t="str">
            <v>PAL</v>
          </cell>
          <cell r="D2234" t="str">
            <v>PLATAFORMA SOPORTE C.A.V. 1150MM / 1300KG / 350MM P.TRANSFORMADOR</v>
          </cell>
        </row>
        <row r="2235">
          <cell r="B2235">
            <v>5326314</v>
          </cell>
          <cell r="C2235" t="str">
            <v>PSA</v>
          </cell>
          <cell r="D2235" t="str">
            <v>PLATAFORMA SOPORTE C.A.V. 1150MM / 1300KG / 350MM P.TRANSFORMADOR</v>
          </cell>
        </row>
        <row r="2236">
          <cell r="B2236">
            <v>5326314</v>
          </cell>
          <cell r="C2236" t="str">
            <v>SCM</v>
          </cell>
          <cell r="D2236" t="str">
            <v>PLATAFORMA SOPORTE C.A.V. 1150MM / 1300KG / 350MM P.TRANSFORMADOR</v>
          </cell>
        </row>
        <row r="2237">
          <cell r="B2237">
            <v>5329212</v>
          </cell>
          <cell r="C2237" t="str">
            <v>FAD</v>
          </cell>
          <cell r="D2237" t="str">
            <v>DUCTO UNIPOLAR C.A. 156 X 76 X 3000MM P.SUBIDA CABLES EN POSTE</v>
          </cell>
        </row>
        <row r="2238">
          <cell r="B2238">
            <v>5329301</v>
          </cell>
          <cell r="C2238" t="str">
            <v>IPT</v>
          </cell>
          <cell r="D2238" t="str">
            <v>ZAPATA DE CONCRETO DE 400 MMD. P. VIENTO</v>
          </cell>
        </row>
        <row r="2239">
          <cell r="B2239">
            <v>5329301</v>
          </cell>
          <cell r="C2239" t="str">
            <v>PAL</v>
          </cell>
          <cell r="D2239" t="str">
            <v>ZAPATA DE CONCRETO DE 400 MMD. P. VIENTO</v>
          </cell>
        </row>
        <row r="2240">
          <cell r="B2240">
            <v>5329301</v>
          </cell>
          <cell r="C2240" t="str">
            <v>PSA</v>
          </cell>
          <cell r="D2240" t="str">
            <v>ZAPATA DE CONCRETO DE 400 MMD. P. VIENTO</v>
          </cell>
        </row>
        <row r="2241">
          <cell r="B2241">
            <v>5329301</v>
          </cell>
          <cell r="C2241" t="str">
            <v>SCM</v>
          </cell>
          <cell r="D2241" t="str">
            <v>ZAPATA DE CONCRETO DE 400 MMD. P. VIENTO</v>
          </cell>
        </row>
        <row r="2242">
          <cell r="B2242">
            <v>5329320</v>
          </cell>
          <cell r="C2242" t="str">
            <v>PAL</v>
          </cell>
          <cell r="D2242" t="str">
            <v>ZAPATA CONCR.ARMADO 700X700MM.TP.CRUZ P.ANCL.VIENT</v>
          </cell>
        </row>
        <row r="2243">
          <cell r="B2243">
            <v>5329320</v>
          </cell>
          <cell r="C2243" t="str">
            <v>PSA</v>
          </cell>
          <cell r="D2243" t="str">
            <v>ZAPATA CONCR.ARMADO 700X700MM.TP.CRUZ P.ANCL.VIENT</v>
          </cell>
        </row>
        <row r="2244">
          <cell r="B2244">
            <v>5329320</v>
          </cell>
          <cell r="C2244" t="str">
            <v>SCM</v>
          </cell>
          <cell r="D2244" t="str">
            <v>ZAPATA CONCR.ARMADO 700X700MM.TP.CRUZ P.ANCL.VIENT</v>
          </cell>
        </row>
        <row r="2245">
          <cell r="B2245">
            <v>5329416</v>
          </cell>
          <cell r="C2245" t="str">
            <v>ESC</v>
          </cell>
          <cell r="D2245" t="str">
            <v>BLOQUE DE C.A. DE 1.60M. P. PROTEC. CONTRA IMPACTO A ESTRUCTURAS. M.T.</v>
          </cell>
        </row>
        <row r="2246">
          <cell r="B2246">
            <v>5329416</v>
          </cell>
          <cell r="C2246" t="str">
            <v>FAD</v>
          </cell>
          <cell r="D2246" t="str">
            <v>BLOQUE DE C.A. DE 1.60M. P. PROTEC. CONTRA IMPACTO A ESTRUCTURAS. M.T.</v>
          </cell>
        </row>
        <row r="2247">
          <cell r="B2247">
            <v>5329416</v>
          </cell>
          <cell r="C2247" t="str">
            <v>PSA</v>
          </cell>
          <cell r="D2247" t="str">
            <v>BLOQUE DE C.A. DE 1.60M. P. PROTEC. CONTRA IMPACTO A ESTRUCTURAS. M.T.</v>
          </cell>
        </row>
        <row r="2248">
          <cell r="B2248">
            <v>5329416</v>
          </cell>
          <cell r="C2248" t="str">
            <v>SCM</v>
          </cell>
          <cell r="D2248" t="str">
            <v>BLOQUE DE C.A. DE 1.60M. P. PROTEC. CONTRA IMPACTO A ESTRUCTURAS. M.T.</v>
          </cell>
        </row>
        <row r="2249">
          <cell r="B2249">
            <v>5329418</v>
          </cell>
          <cell r="C2249" t="str">
            <v>ESC</v>
          </cell>
          <cell r="D2249" t="str">
            <v>BLOQUE DE C.A. DE 2.10M. P. PROTEC. CONTRA IMPACTO A ESTRUCTURAS M.T.</v>
          </cell>
        </row>
        <row r="2250">
          <cell r="B2250">
            <v>5329418</v>
          </cell>
          <cell r="C2250" t="str">
            <v>FAD</v>
          </cell>
          <cell r="D2250" t="str">
            <v>BLOQUE DE C.A. DE 2.10M. P. PROTEC. CONTRA IMPACTO A ESTRUCTURAS M.T.</v>
          </cell>
        </row>
        <row r="2251">
          <cell r="B2251">
            <v>5329418</v>
          </cell>
          <cell r="C2251" t="str">
            <v>PSA</v>
          </cell>
          <cell r="D2251" t="str">
            <v>BLOQUE DE C.A. DE 2.10M. P. PROTEC. CONTRA IMPACTO A ESTRUCTURAS M.T.</v>
          </cell>
        </row>
        <row r="2252">
          <cell r="B2252">
            <v>5329512</v>
          </cell>
          <cell r="C2252" t="str">
            <v>FAD</v>
          </cell>
          <cell r="D2252" t="str">
            <v>BASE DE CONCRETO ARMADO SIN BUZON P.TABLERO D.S. Y A.P. TAMANO 3 DE 1050 X 1230 X 560MM 185 KG/CM2</v>
          </cell>
        </row>
        <row r="2253">
          <cell r="B2253">
            <v>5329512</v>
          </cell>
          <cell r="C2253" t="str">
            <v>PAL</v>
          </cell>
          <cell r="D2253" t="str">
            <v>BASE DE CONCRETO ARMADO SIN BUZON P.TABLERO D.S. Y A.P. TAMANO 3 DE 1050 X 1230 X 560MM 185 KG/CM2</v>
          </cell>
        </row>
        <row r="2254">
          <cell r="B2254">
            <v>5329512</v>
          </cell>
          <cell r="C2254" t="str">
            <v>PSA</v>
          </cell>
          <cell r="D2254" t="str">
            <v>BASE DE CONCRETO ARMADO SIN BUZON P.TABLERO D.S. Y A.P. TAMANO 3 DE 1050 X 1230 X 560MM 185 KG/CM2</v>
          </cell>
        </row>
        <row r="2255">
          <cell r="B2255">
            <v>5329512</v>
          </cell>
          <cell r="C2255" t="str">
            <v>SCM</v>
          </cell>
          <cell r="D2255" t="str">
            <v>BASE DE CONCRETO ARMADO SIN BUZON P.TABLERO D.S. Y A.P. TAMANO 3 DE 1050 X 1230 X 560MM 185 KG/CM2</v>
          </cell>
        </row>
        <row r="2256">
          <cell r="B2256">
            <v>5329514</v>
          </cell>
          <cell r="C2256" t="str">
            <v>FAD</v>
          </cell>
          <cell r="D2256" t="str">
            <v>BASE DE CONCRETO ARMADO SIN BUZON P.TABLERO D.S. Y A.P. TAMANO 4 DE 1380 X 1230 X 560MM 185 KG/CM2</v>
          </cell>
        </row>
        <row r="2257">
          <cell r="B2257">
            <v>5329514</v>
          </cell>
          <cell r="C2257" t="str">
            <v>PAL</v>
          </cell>
          <cell r="D2257" t="str">
            <v>BASE DE CONCRETO ARMADO SIN BUZON P.TABLERO D.S. Y A.P. TAMANO 4 DE 1380 X 1230 X 560MM 185 KG/CM2</v>
          </cell>
        </row>
        <row r="2258">
          <cell r="B2258">
            <v>5329514</v>
          </cell>
          <cell r="C2258" t="str">
            <v>PSA</v>
          </cell>
          <cell r="D2258" t="str">
            <v>BASE DE CONCRETO ARMADO SIN BUZON P.TABLERO D.S. Y A.P. TAMANO 4 DE 1380 X 1230 X 560MM 185 KG/CM2</v>
          </cell>
        </row>
        <row r="2259">
          <cell r="B2259">
            <v>5329514</v>
          </cell>
          <cell r="C2259" t="str">
            <v>PSS</v>
          </cell>
          <cell r="D2259" t="str">
            <v>BASE DE CONCRETO ARMADO SIN BUZON P.TABLERO D.S. Y A.P. TAMANO 4 DE 1380 X 1230 X 560MM 185 KG/CM2</v>
          </cell>
        </row>
        <row r="2260">
          <cell r="B2260">
            <v>5329514</v>
          </cell>
          <cell r="C2260" t="str">
            <v>SCM</v>
          </cell>
          <cell r="D2260" t="str">
            <v>BASE DE CONCRETO ARMADO SIN BUZON P.TABLERO D.S. Y A.P. TAMANO 4 DE 1380 X 1230 X 560MM 185 KG/CM2</v>
          </cell>
        </row>
        <row r="2261">
          <cell r="B2261">
            <v>5329605</v>
          </cell>
          <cell r="C2261" t="str">
            <v>FAD</v>
          </cell>
          <cell r="D2261" t="str">
            <v>MURETE CONCRETO ARMADO P.CAJAS TIPO "L" 300X270X1800MM</v>
          </cell>
        </row>
        <row r="2262">
          <cell r="B2262">
            <v>5329605</v>
          </cell>
          <cell r="C2262" t="str">
            <v>SCM</v>
          </cell>
          <cell r="D2262" t="str">
            <v>MURETE CONCRETO ARMADO P.CAJAS TIPO "L" 300X270X1800MM</v>
          </cell>
        </row>
        <row r="2263">
          <cell r="B2263">
            <v>5329608</v>
          </cell>
          <cell r="C2263" t="str">
            <v>FAD</v>
          </cell>
          <cell r="D2263" t="str">
            <v>MURETE CONCRETO ARMADO 3 CUERPOS P/CAJA "L". FC 210KG/CM2</v>
          </cell>
        </row>
        <row r="2264">
          <cell r="B2264">
            <v>5329608</v>
          </cell>
          <cell r="C2264" t="str">
            <v>PSS</v>
          </cell>
          <cell r="D2264" t="str">
            <v>MURETE CONCRETO ARMADO 3 CUERPOS P/CAJA "L". FC 210KG/CM2</v>
          </cell>
        </row>
        <row r="2265">
          <cell r="B2265">
            <v>5329608</v>
          </cell>
          <cell r="C2265" t="str">
            <v>SCM</v>
          </cell>
          <cell r="D2265" t="str">
            <v>MURETE CONCRETO ARMADO 3 CUERPOS P/CAJA "L". FC 210KG/CM2</v>
          </cell>
        </row>
        <row r="2266">
          <cell r="B2266">
            <v>5329609</v>
          </cell>
          <cell r="C2266" t="str">
            <v>IPT</v>
          </cell>
          <cell r="D2266" t="str">
            <v>MURETE DE CONCRETO ARMADO VIBRADO P.CAJA LR 350 KG/CM2 C.3 CUERPOS</v>
          </cell>
        </row>
        <row r="2267">
          <cell r="B2267">
            <v>5329609</v>
          </cell>
          <cell r="C2267" t="str">
            <v>SCM</v>
          </cell>
          <cell r="D2267" t="str">
            <v>MURETE DE CONCRETO ARMADO VIBRADO P.CAJA LR 350 KG/CM2 C.3 CUERPOS</v>
          </cell>
        </row>
        <row r="2268">
          <cell r="B2268">
            <v>5329610</v>
          </cell>
          <cell r="C2268" t="str">
            <v>PSS</v>
          </cell>
          <cell r="D2268" t="str">
            <v>MURETE DE CONCRETO ARMADO ALIGERADO P.CAJA LRM 210 KG/CM2 1,67M X 210MM X 300MM C.2 CUERPOS</v>
          </cell>
        </row>
        <row r="2269">
          <cell r="B2269">
            <v>5329610</v>
          </cell>
          <cell r="C2269" t="str">
            <v>SCM</v>
          </cell>
          <cell r="D2269" t="str">
            <v>MURETE DE CONCRETO ARMADO ALIGERADO P.CAJA LRM 210 KG/CM2 1,67M X 210MM X 300MM C.2 CUERPOS</v>
          </cell>
        </row>
        <row r="2270">
          <cell r="B2270">
            <v>5329611</v>
          </cell>
          <cell r="C2270" t="str">
            <v>FAD</v>
          </cell>
          <cell r="D2270" t="str">
            <v>MURETE CONCRETO ARMADO P. CAJAS TIPO "LT" 360X295X1800MM</v>
          </cell>
        </row>
        <row r="2271">
          <cell r="B2271">
            <v>5329611</v>
          </cell>
          <cell r="C2271" t="str">
            <v>SCM</v>
          </cell>
          <cell r="D2271" t="str">
            <v>MURETE CONCRETO ARMADO P. CAJAS TIPO "LT" 360X295X1800MM</v>
          </cell>
        </row>
        <row r="2272">
          <cell r="B2272">
            <v>5329613</v>
          </cell>
          <cell r="C2272" t="str">
            <v>FAD</v>
          </cell>
          <cell r="D2272" t="str">
            <v>MURETE CONCRETO ARMADO 3 CUERPOS P/CAJA "LT". FC 210KG/CM2</v>
          </cell>
        </row>
        <row r="2273">
          <cell r="B2273">
            <v>5329613</v>
          </cell>
          <cell r="C2273" t="str">
            <v>PSS</v>
          </cell>
          <cell r="D2273" t="str">
            <v>MURETE CONCRETO ARMADO 3 CUERPOS P/CAJA "LT". FC 210KG/CM2</v>
          </cell>
        </row>
        <row r="2274">
          <cell r="B2274">
            <v>5329613</v>
          </cell>
          <cell r="C2274" t="str">
            <v>SCM</v>
          </cell>
          <cell r="D2274" t="str">
            <v>MURETE CONCRETO ARMADO 3 CUERPOS P/CAJA "LT". FC 210KG/CM2</v>
          </cell>
        </row>
        <row r="2275">
          <cell r="B2275">
            <v>5329615</v>
          </cell>
          <cell r="C2275" t="str">
            <v>IPT</v>
          </cell>
          <cell r="D2275" t="str">
            <v>MURETE DE CONCRETO ARMADO VIBRADO P.CAJA LTR 350 KG/CM2 C.3 CUERPOS</v>
          </cell>
        </row>
        <row r="2276">
          <cell r="B2276">
            <v>5329615</v>
          </cell>
          <cell r="C2276" t="str">
            <v>SCM</v>
          </cell>
          <cell r="D2276" t="str">
            <v>MURETE DE CONCRETO ARMADO VIBRADO P.CAJA LTR 350 KG/CM2 C.3 CUERPOS</v>
          </cell>
        </row>
        <row r="2277">
          <cell r="B2277">
            <v>5329810</v>
          </cell>
          <cell r="C2277" t="str">
            <v>PAL</v>
          </cell>
          <cell r="D2277" t="str">
            <v>BOVEDA CONCRETO C.TAPA P.ELECTRODO DE PUESTA A TIERRA</v>
          </cell>
        </row>
        <row r="2278">
          <cell r="B2278">
            <v>5329810</v>
          </cell>
          <cell r="C2278" t="str">
            <v>PSA</v>
          </cell>
          <cell r="D2278" t="str">
            <v>BOVEDA CONCRETO C.TAPA P.ELECTRODO DE PUESTA A TIERRA</v>
          </cell>
        </row>
        <row r="2279">
          <cell r="B2279">
            <v>5329810</v>
          </cell>
          <cell r="C2279" t="str">
            <v>SCM</v>
          </cell>
          <cell r="D2279" t="str">
            <v>BOVEDA CONCRETO C.TAPA P.ELECTRODO DE PUESTA A TIERRA</v>
          </cell>
        </row>
        <row r="2280">
          <cell r="B2280">
            <v>5331596</v>
          </cell>
          <cell r="C2280" t="str">
            <v>EQU</v>
          </cell>
          <cell r="D2280" t="str">
            <v>POSTE DE POLIESTER REFORZADO EN FIBRA DE VIDRIO 7,5 / 150 / 150 / 270 P.A.P. Y/O L.A.B.T. O M</v>
          </cell>
        </row>
        <row r="2281">
          <cell r="B2281">
            <v>5331596</v>
          </cell>
          <cell r="C2281" t="str">
            <v>FCP</v>
          </cell>
          <cell r="D2281" t="str">
            <v>POSTE DE POLIESTER REFORZADO EN FIBRA DE VIDRIO 7,5 / 150 / 150 / 270 P.A.P. Y/O L.A.B.T. O M</v>
          </cell>
        </row>
        <row r="2282">
          <cell r="B2282">
            <v>5331596</v>
          </cell>
          <cell r="C2282" t="str">
            <v>FTR</v>
          </cell>
          <cell r="D2282" t="str">
            <v>POSTE DE POLIESTER REFORZADO EN FIBRA DE VIDRIO 7,5 / 150 / 150 / 270 P.A.P. Y/O L.A.B.T. O M</v>
          </cell>
        </row>
        <row r="2283">
          <cell r="B2283">
            <v>5331600</v>
          </cell>
          <cell r="C2283" t="str">
            <v>EQU</v>
          </cell>
          <cell r="D2283" t="str">
            <v>POSTE DE POLIESTER REFORZADO EN FIBRA DE VIDRIO 8,7 / 200 / 150 / 300 F.S. 2 P.A.P. Y/O L.A.B.T. O M</v>
          </cell>
        </row>
        <row r="2284">
          <cell r="B2284">
            <v>5331600</v>
          </cell>
          <cell r="C2284" t="str">
            <v>FCP</v>
          </cell>
          <cell r="D2284" t="str">
            <v>POSTE DE POLIESTER REFORZADO EN FIBRA DE VIDRIO 8,7 / 200 / 150 / 300 F.S. 2 P.A.P. Y/O L.A.B.T. O M</v>
          </cell>
        </row>
        <row r="2285">
          <cell r="B2285">
            <v>5331600</v>
          </cell>
          <cell r="C2285" t="str">
            <v>FTR</v>
          </cell>
          <cell r="D2285" t="str">
            <v>POSTE DE POLIESTER REFORZADO EN FIBRA DE VIDRIO 8,7 / 200 / 150 / 300 F.S. 2 P.A.P. Y/O L.A.B.T. O M</v>
          </cell>
        </row>
        <row r="2286">
          <cell r="B2286">
            <v>5334004</v>
          </cell>
          <cell r="C2286" t="str">
            <v>MAP</v>
          </cell>
          <cell r="D2286" t="str">
            <v>CRUCETA DE MADERA DE 2400MM.                  M.T.</v>
          </cell>
        </row>
        <row r="2287">
          <cell r="B2287">
            <v>5334004</v>
          </cell>
          <cell r="C2287" t="str">
            <v>MVL</v>
          </cell>
          <cell r="D2287" t="str">
            <v>CRUCETA DE MADERA DE 2400MM.                  M.T.</v>
          </cell>
        </row>
        <row r="2288">
          <cell r="B2288">
            <v>5334010</v>
          </cell>
          <cell r="C2288" t="str">
            <v>MAP</v>
          </cell>
          <cell r="D2288" t="str">
            <v>CRUCETA DE MADERA 3" X 4" X 3 PIES CON TRATAMIENTO CCB</v>
          </cell>
        </row>
        <row r="2289">
          <cell r="B2289">
            <v>5334010</v>
          </cell>
          <cell r="C2289" t="str">
            <v>MVL</v>
          </cell>
          <cell r="D2289" t="str">
            <v>CRUCETA DE MADERA 3" X 4" X 3 PIES CON TRATAMIENTO CCB</v>
          </cell>
        </row>
        <row r="2290">
          <cell r="B2290">
            <v>5334010</v>
          </cell>
          <cell r="C2290" t="str">
            <v>PYE</v>
          </cell>
          <cell r="D2290" t="str">
            <v>CRUCETA DE MADERA 3" X 4" X 3 PIES CON TRATAMIENTO CCB</v>
          </cell>
        </row>
        <row r="2291">
          <cell r="B2291">
            <v>5334104</v>
          </cell>
          <cell r="C2291" t="str">
            <v>MAP</v>
          </cell>
          <cell r="D2291" t="str">
            <v>CRUCETA SIMETRICA DE MADERA DE 4" X 4" X 1,3 PIES CON TRATAMIENTO CCB</v>
          </cell>
        </row>
        <row r="2292">
          <cell r="B2292">
            <v>5334104</v>
          </cell>
          <cell r="C2292" t="str">
            <v>MVL</v>
          </cell>
          <cell r="D2292" t="str">
            <v>CRUCETA SIMETRICA DE MADERA DE 4" X 4" X 1,3 PIES CON TRATAMIENTO CCB</v>
          </cell>
        </row>
        <row r="2293">
          <cell r="B2293">
            <v>5334104</v>
          </cell>
          <cell r="C2293" t="str">
            <v>MVL</v>
          </cell>
          <cell r="D2293" t="str">
            <v>CRUCETA SIMETRICA DE MADERA DE 4" X 4" X 1,3 PIES CON TRATAMIENTO CCB</v>
          </cell>
        </row>
        <row r="2294">
          <cell r="B2294">
            <v>5334104</v>
          </cell>
          <cell r="C2294" t="str">
            <v>MVL</v>
          </cell>
          <cell r="D2294" t="str">
            <v>CRUCETA SIMETRICA DE MADERA DE 4" X 4" X 1,3 PIES CON TRATAMIENTO CCB</v>
          </cell>
        </row>
        <row r="2295">
          <cell r="B2295">
            <v>5334118</v>
          </cell>
          <cell r="C2295" t="str">
            <v>MAP</v>
          </cell>
          <cell r="D2295" t="str">
            <v>CRUCETA DE MADERA 4" X 5" X 4,5 PIES CON TRATAMIENTO CCB</v>
          </cell>
        </row>
        <row r="2296">
          <cell r="B2296">
            <v>5334118</v>
          </cell>
          <cell r="C2296" t="str">
            <v>MVL</v>
          </cell>
          <cell r="D2296" t="str">
            <v>CRUCETA DE MADERA 4" X 5" X 4,5 PIES CON TRATAMIENTO CCB</v>
          </cell>
        </row>
        <row r="2297">
          <cell r="B2297">
            <v>5334122</v>
          </cell>
          <cell r="C2297" t="str">
            <v>MAP</v>
          </cell>
          <cell r="D2297" t="str">
            <v>CRUCETA ASIMETRICA DE MADERA DE 4" X 5" X 5 PIES CON TRATAMIENTO CCB</v>
          </cell>
        </row>
        <row r="2298">
          <cell r="B2298">
            <v>5334122</v>
          </cell>
          <cell r="C2298" t="str">
            <v>MVL</v>
          </cell>
          <cell r="D2298" t="str">
            <v>CRUCETA ASIMETRICA DE MADERA DE 4" X 5" X 5 PIES CON TRATAMIENTO CCB</v>
          </cell>
        </row>
        <row r="2299">
          <cell r="B2299">
            <v>5334122</v>
          </cell>
          <cell r="C2299" t="str">
            <v>MVL</v>
          </cell>
          <cell r="D2299" t="str">
            <v>CRUCETA ASIMETRICA DE MADERA DE 4" X 5" X 5 PIES CON TRATAMIENTO CCB</v>
          </cell>
        </row>
        <row r="2300">
          <cell r="B2300">
            <v>5334122</v>
          </cell>
          <cell r="C2300" t="str">
            <v>MVL</v>
          </cell>
          <cell r="D2300" t="str">
            <v>CRUCETA ASIMETRICA DE MADERA DE 4" X 5" X 5 PIES CON TRATAMIENTO CCB</v>
          </cell>
        </row>
        <row r="2301">
          <cell r="B2301">
            <v>5334234</v>
          </cell>
          <cell r="C2301" t="str">
            <v>MAP</v>
          </cell>
          <cell r="D2301" t="str">
            <v>CRUCETA SIMETRICA DE MADERA DE 4" X 5" X 7 PIES CON TRATAMIENTO CCB</v>
          </cell>
        </row>
        <row r="2302">
          <cell r="B2302">
            <v>5334234</v>
          </cell>
          <cell r="C2302" t="str">
            <v>MVL</v>
          </cell>
          <cell r="D2302" t="str">
            <v>CRUCETA SIMETRICA DE MADERA DE 4" X 5" X 7 PIES CON TRATAMIENTO CCB</v>
          </cell>
        </row>
        <row r="2303">
          <cell r="B2303">
            <v>5334234</v>
          </cell>
          <cell r="C2303" t="str">
            <v>MVL</v>
          </cell>
          <cell r="D2303" t="str">
            <v>CRUCETA SIMETRICA DE MADERA DE 4" X 5" X 7 PIES CON TRATAMIENTO CCB</v>
          </cell>
        </row>
        <row r="2304">
          <cell r="B2304">
            <v>5334234</v>
          </cell>
          <cell r="C2304" t="str">
            <v>MVL</v>
          </cell>
          <cell r="D2304" t="str">
            <v>CRUCETA SIMETRICA DE MADERA DE 4" X 5" X 7 PIES CON TRATAMIENTO CCB</v>
          </cell>
        </row>
        <row r="2305">
          <cell r="B2305">
            <v>5334235</v>
          </cell>
          <cell r="C2305" t="str">
            <v>MAP</v>
          </cell>
          <cell r="D2305" t="str">
            <v>CRUCETA DE MADERA DE 4" X 5" X 6 PIES CON TRATAMIENTO CCB</v>
          </cell>
        </row>
        <row r="2306">
          <cell r="B2306">
            <v>5334235</v>
          </cell>
          <cell r="C2306" t="str">
            <v>MVL</v>
          </cell>
          <cell r="D2306" t="str">
            <v>CRUCETA DE MADERA DE 4" X 5" X 6 PIES CON TRATAMIENTO CCB</v>
          </cell>
        </row>
        <row r="2307">
          <cell r="B2307">
            <v>5334240</v>
          </cell>
          <cell r="C2307" t="str">
            <v>MAP</v>
          </cell>
          <cell r="D2307" t="str">
            <v>CRUCETA DE MADERA 4" X 5" X 8 PIES CON TRATAMIENTO CCB</v>
          </cell>
        </row>
        <row r="2308">
          <cell r="B2308">
            <v>5334240</v>
          </cell>
          <cell r="C2308" t="str">
            <v>MVL</v>
          </cell>
          <cell r="D2308" t="str">
            <v>CRUCETA DE MADERA 4" X 5" X 8 PIES CON TRATAMIENTO CCB</v>
          </cell>
        </row>
        <row r="2309">
          <cell r="B2309">
            <v>5334246</v>
          </cell>
          <cell r="C2309" t="str">
            <v>MAP</v>
          </cell>
          <cell r="D2309" t="str">
            <v>CRUCETA DE MADERA 4" X 5" X 9 PIES CON TRATAMIENTO CCB</v>
          </cell>
        </row>
        <row r="2310">
          <cell r="B2310">
            <v>5334246</v>
          </cell>
          <cell r="C2310" t="str">
            <v>MVL</v>
          </cell>
          <cell r="D2310" t="str">
            <v>CRUCETA DE MADERA 4" X 5" X 9 PIES CON TRATAMIENTO CCB</v>
          </cell>
        </row>
        <row r="2311">
          <cell r="B2311">
            <v>5334246</v>
          </cell>
          <cell r="C2311" t="str">
            <v>PYE</v>
          </cell>
          <cell r="D2311" t="str">
            <v>CRUCETA DE MADERA 4" X 5" X 9 PIES CON TRATAMIENTO CCB</v>
          </cell>
        </row>
        <row r="2312">
          <cell r="B2312">
            <v>5334247</v>
          </cell>
          <cell r="C2312" t="str">
            <v>MAP</v>
          </cell>
          <cell r="D2312" t="str">
            <v>CRUC.DE MADERA 4"X5"X9PIES CREOS. VERT.DOBLE TERNA</v>
          </cell>
        </row>
        <row r="2313">
          <cell r="B2313">
            <v>5334247</v>
          </cell>
          <cell r="C2313" t="str">
            <v>MVL</v>
          </cell>
          <cell r="D2313" t="str">
            <v>CRUC.DE MADERA 4"X5"X9PIES CREOS. VERT.DOBLE TERNA</v>
          </cell>
        </row>
        <row r="2314">
          <cell r="B2314">
            <v>5334292</v>
          </cell>
          <cell r="C2314" t="str">
            <v>MAP</v>
          </cell>
          <cell r="D2314" t="str">
            <v>CRUCETA ASIMETRICA DE MADERA DE 4" X 5" X 5,58 PIES CON TRATAMIENTO CCB</v>
          </cell>
        </row>
        <row r="2315">
          <cell r="B2315">
            <v>5334292</v>
          </cell>
          <cell r="C2315" t="str">
            <v>MVL</v>
          </cell>
          <cell r="D2315" t="str">
            <v>CRUCETA ASIMETRICA DE MADERA DE 4" X 5" X 5,58 PIES CON TRATAMIENTO CCB</v>
          </cell>
        </row>
        <row r="2316">
          <cell r="B2316">
            <v>5334292</v>
          </cell>
          <cell r="C2316" t="str">
            <v>MVL</v>
          </cell>
          <cell r="D2316" t="str">
            <v>CRUCETA ASIMETRICA DE MADERA DE 4" X 5" X 5,58 PIES CON TRATAMIENTO CCB</v>
          </cell>
        </row>
        <row r="2317">
          <cell r="B2317">
            <v>5334292</v>
          </cell>
          <cell r="C2317" t="str">
            <v>MVL</v>
          </cell>
          <cell r="D2317" t="str">
            <v>CRUCETA ASIMETRICA DE MADERA DE 4" X 5" X 5,58 PIES CON TRATAMIENTO CCB</v>
          </cell>
        </row>
        <row r="2318">
          <cell r="B2318">
            <v>5334516</v>
          </cell>
          <cell r="C2318" t="str">
            <v>MAP</v>
          </cell>
          <cell r="D2318" t="str">
            <v>CRUCETA MADERA SIMPL.SOP.FUS.SECC,TERM.10KV.</v>
          </cell>
        </row>
        <row r="2319">
          <cell r="B2319">
            <v>5334516</v>
          </cell>
          <cell r="C2319" t="str">
            <v>MVL</v>
          </cell>
          <cell r="D2319" t="str">
            <v>CRUCETA MADERA SIMPL.SOP.FUS.SECC,TERM.10KV.</v>
          </cell>
        </row>
        <row r="2320">
          <cell r="B2320">
            <v>5334520</v>
          </cell>
          <cell r="C2320" t="str">
            <v>MAP</v>
          </cell>
          <cell r="D2320" t="str">
            <v>CRUCETA MADERA DOBLE P.SOP.FUS.SECC.AISL.PIN 10KV.</v>
          </cell>
        </row>
        <row r="2321">
          <cell r="B2321">
            <v>5334520</v>
          </cell>
          <cell r="C2321" t="str">
            <v>MVL</v>
          </cell>
          <cell r="D2321" t="str">
            <v>CRUCETA MADERA DOBLE P.SOP.FUS.SECC.AISL.PIN 10KV.</v>
          </cell>
        </row>
        <row r="2322">
          <cell r="B2322">
            <v>5334530</v>
          </cell>
          <cell r="C2322" t="str">
            <v>MAP</v>
          </cell>
          <cell r="D2322" t="str">
            <v>MENSULA DE MADERA 4 5/8"X3 5/8"X7PIES</v>
          </cell>
        </row>
        <row r="2323">
          <cell r="B2323">
            <v>5334530</v>
          </cell>
          <cell r="C2323" t="str">
            <v>MVL</v>
          </cell>
          <cell r="D2323" t="str">
            <v>MENSULA DE MADERA 4 5/8"X3 5/8"X7PIES</v>
          </cell>
        </row>
        <row r="2324">
          <cell r="B2324">
            <v>5334532</v>
          </cell>
          <cell r="C2324" t="str">
            <v>MAP</v>
          </cell>
          <cell r="D2324" t="str">
            <v>MENSULA DE MADERA 4 5/8"X3 5/8"X6PIES</v>
          </cell>
        </row>
        <row r="2325">
          <cell r="B2325">
            <v>5334532</v>
          </cell>
          <cell r="C2325" t="str">
            <v>MVL</v>
          </cell>
          <cell r="D2325" t="str">
            <v>MENSULA DE MADERA 4 5/8"X3 5/8"X6PIES</v>
          </cell>
        </row>
        <row r="2326">
          <cell r="B2326">
            <v>5334540</v>
          </cell>
          <cell r="C2326" t="str">
            <v>CHA</v>
          </cell>
          <cell r="D2326" t="str">
            <v>ANGULO AC.GALV.SAE1020 3/16" X1.1/2" X 1.1/2" L.AEREA</v>
          </cell>
        </row>
        <row r="2327">
          <cell r="B2327">
            <v>5334540</v>
          </cell>
          <cell r="C2327" t="str">
            <v>ELD</v>
          </cell>
          <cell r="D2327" t="str">
            <v>ANGULO AC.GALV.SAE1020 3/16" X1.1/2" X 1.1/2" L.AEREA</v>
          </cell>
        </row>
        <row r="2328">
          <cell r="B2328">
            <v>5334540</v>
          </cell>
          <cell r="C2328" t="str">
            <v>PIC</v>
          </cell>
          <cell r="D2328" t="str">
            <v>ANGULO AC.GALV.SAE1020 3/16" X1.1/2" X 1.1/2" L.AEREA</v>
          </cell>
        </row>
        <row r="2329">
          <cell r="B2329">
            <v>5334540</v>
          </cell>
          <cell r="C2329" t="str">
            <v>TAS</v>
          </cell>
          <cell r="D2329" t="str">
            <v>ANGULO AC.GALV.SAE1020 3/16" X1.1/2" X 1.1/2" L.AEREA</v>
          </cell>
        </row>
        <row r="2330">
          <cell r="B2330">
            <v>5335110</v>
          </cell>
          <cell r="C2330" t="str">
            <v>MAP</v>
          </cell>
          <cell r="D2330" t="str">
            <v>MENSULA DE MADERA DE 4" X 5" X 4 PIES CON TRATAMIENTO CCB</v>
          </cell>
        </row>
        <row r="2331">
          <cell r="B2331">
            <v>5335110</v>
          </cell>
          <cell r="C2331" t="str">
            <v>MVL</v>
          </cell>
          <cell r="D2331" t="str">
            <v>MENSULA DE MADERA DE 4" X 5" X 4 PIES CON TRATAMIENTO CCB</v>
          </cell>
        </row>
        <row r="2332">
          <cell r="B2332">
            <v>5335110</v>
          </cell>
          <cell r="C2332" t="str">
            <v>MVL</v>
          </cell>
          <cell r="D2332" t="str">
            <v>MENSULA DE MADERA DE 4" X 5" X 4 PIES CON TRATAMIENTO CCB</v>
          </cell>
        </row>
        <row r="2333">
          <cell r="B2333">
            <v>5335110</v>
          </cell>
          <cell r="C2333" t="str">
            <v>MVL</v>
          </cell>
          <cell r="D2333" t="str">
            <v>MENSULA DE MADERA DE 4" X 5" X 4 PIES CON TRATAMIENTO CCB</v>
          </cell>
        </row>
        <row r="2334">
          <cell r="B2334">
            <v>5335111</v>
          </cell>
          <cell r="C2334" t="str">
            <v>MAP</v>
          </cell>
          <cell r="D2334" t="str">
            <v>MENSULA DE MADERA DE 4" X 5" X 6 PIES CON TRATAMIENTO CCB</v>
          </cell>
        </row>
        <row r="2335">
          <cell r="B2335">
            <v>5335111</v>
          </cell>
          <cell r="C2335" t="str">
            <v>MVL</v>
          </cell>
          <cell r="D2335" t="str">
            <v>MENSULA DE MADERA DE 4" X 5" X 6 PIES CON TRATAMIENTO CCB</v>
          </cell>
        </row>
        <row r="2336">
          <cell r="B2336">
            <v>5335111</v>
          </cell>
          <cell r="C2336" t="str">
            <v>MVL</v>
          </cell>
          <cell r="D2336" t="str">
            <v>MENSULA DE MADERA DE 4" X 5" X 6 PIES CON TRATAMIENTO CCB</v>
          </cell>
        </row>
        <row r="2337">
          <cell r="B2337">
            <v>5335111</v>
          </cell>
          <cell r="C2337" t="str">
            <v>MVL</v>
          </cell>
          <cell r="D2337" t="str">
            <v>MENSULA DE MADERA DE 4" X 5" X 6 PIES CON TRATAMIENTO CCB</v>
          </cell>
        </row>
        <row r="2338">
          <cell r="B2338">
            <v>5335113</v>
          </cell>
          <cell r="C2338" t="str">
            <v>MAP</v>
          </cell>
          <cell r="D2338" t="str">
            <v>MENSULA DE MADERA DE 4" X 5" X 7 PIES CON TRATAMIENTO CCB</v>
          </cell>
        </row>
        <row r="2339">
          <cell r="B2339">
            <v>5335113</v>
          </cell>
          <cell r="C2339" t="str">
            <v>MVL</v>
          </cell>
          <cell r="D2339" t="str">
            <v>MENSULA DE MADERA DE 4" X 5" X 7 PIES CON TRATAMIENTO CCB</v>
          </cell>
        </row>
        <row r="2340">
          <cell r="B2340">
            <v>5335113</v>
          </cell>
          <cell r="C2340" t="str">
            <v>MVL</v>
          </cell>
          <cell r="D2340" t="str">
            <v>MENSULA DE MADERA DE 4" X 5" X 7 PIES CON TRATAMIENTO CCB</v>
          </cell>
        </row>
        <row r="2341">
          <cell r="B2341">
            <v>5335113</v>
          </cell>
          <cell r="C2341" t="str">
            <v>MVL</v>
          </cell>
          <cell r="D2341" t="str">
            <v>MENSULA DE MADERA DE 4" X 5" X 7 PIES CON TRATAMIENTO CCB</v>
          </cell>
        </row>
        <row r="2342">
          <cell r="B2342">
            <v>5337120</v>
          </cell>
          <cell r="C2342" t="str">
            <v>ELD</v>
          </cell>
          <cell r="D2342" t="str">
            <v>DIAGONAL ACERO GALV. 45MM X 45MM X 1,07M X 4MM</v>
          </cell>
        </row>
        <row r="2343">
          <cell r="B2343">
            <v>5337120</v>
          </cell>
          <cell r="C2343" t="str">
            <v>JSY</v>
          </cell>
          <cell r="D2343" t="str">
            <v>DIAGONAL ACERO GALV. 45MM X 45MM X 1,07M X 4MM</v>
          </cell>
        </row>
        <row r="2344">
          <cell r="B2344">
            <v>5337120</v>
          </cell>
          <cell r="C2344" t="str">
            <v>MEG</v>
          </cell>
          <cell r="D2344" t="str">
            <v>DIAGONAL ACERO GALV. 45MM X 45MM X 1,07M X 4MM</v>
          </cell>
        </row>
        <row r="2345">
          <cell r="B2345">
            <v>5337124</v>
          </cell>
          <cell r="C2345" t="str">
            <v>ELD</v>
          </cell>
          <cell r="D2345" t="str">
            <v>DIAGONAL ACERO GALV. 45MM X 45MM X 1,00M X 4MM</v>
          </cell>
        </row>
        <row r="2346">
          <cell r="B2346">
            <v>5337124</v>
          </cell>
          <cell r="C2346" t="str">
            <v>TAS</v>
          </cell>
          <cell r="D2346" t="str">
            <v>DIAGONAL ACERO GALV. 45MM X 45MM X 1,00M X 4MM</v>
          </cell>
        </row>
        <row r="2347">
          <cell r="B2347">
            <v>5337127</v>
          </cell>
          <cell r="C2347" t="str">
            <v>ELD</v>
          </cell>
          <cell r="D2347" t="str">
            <v>DIAGONAL ACERO GALV. 45MM X 45MM X 1,48M X 4MM</v>
          </cell>
        </row>
        <row r="2348">
          <cell r="B2348">
            <v>5337127</v>
          </cell>
          <cell r="C2348" t="str">
            <v>JSY</v>
          </cell>
          <cell r="D2348" t="str">
            <v>DIAGONAL ACERO GALV. 45MM X 45MM X 1,48M X 4MM</v>
          </cell>
        </row>
        <row r="2349">
          <cell r="B2349">
            <v>5337127</v>
          </cell>
          <cell r="C2349" t="str">
            <v>MEG</v>
          </cell>
          <cell r="D2349" t="str">
            <v>DIAGONAL ACERO GALV. 45MM X 45MM X 1,48M X 4MM</v>
          </cell>
        </row>
        <row r="2350">
          <cell r="B2350">
            <v>5341118</v>
          </cell>
          <cell r="C2350" t="str">
            <v>FBL</v>
          </cell>
          <cell r="D2350" t="str">
            <v>POSTE DE ACERO 6,4M X 76MM X 3,6MM C.BRIDA Y ACCESORIOS P.ENCOFRADO RECUBIERTO PRFV</v>
          </cell>
        </row>
        <row r="2351">
          <cell r="B2351">
            <v>5341118</v>
          </cell>
          <cell r="C2351" t="str">
            <v>FBP</v>
          </cell>
          <cell r="D2351" t="str">
            <v>POSTE DE ACERO 6,4M X 76MM X 3,6MM C.BRIDA Y ACCESORIOS P.ENCOFRADO RECUBIERTO PRFV</v>
          </cell>
        </row>
        <row r="2352">
          <cell r="B2352">
            <v>5341119</v>
          </cell>
          <cell r="C2352" t="str">
            <v>FBL</v>
          </cell>
          <cell r="D2352" t="str">
            <v>POSTE DE ACERO 6,4M X 76MM X 3,6MM C.BRIDA Y AGUJEROS RECUBIERTO C.FIBRA Y POLIESTER</v>
          </cell>
        </row>
        <row r="2353">
          <cell r="B2353">
            <v>5341119</v>
          </cell>
          <cell r="C2353" t="str">
            <v>FBP</v>
          </cell>
          <cell r="D2353" t="str">
            <v>POSTE DE ACERO 6,4M X 76MM X 3,6MM C.BRIDA Y AGUJEROS RECUBIERTO C.FIBRA Y POLIESTER</v>
          </cell>
        </row>
        <row r="2354">
          <cell r="B2354">
            <v>5341122</v>
          </cell>
          <cell r="C2354" t="str">
            <v>FBL</v>
          </cell>
          <cell r="D2354" t="str">
            <v>POSTE DE ACERO 6,4M X 76MM X 3,6MM C.AGUJEROS SIN BRIDA RECUBIERTO C.FIBRA Y POLIESTER</v>
          </cell>
        </row>
        <row r="2355">
          <cell r="B2355">
            <v>5341122</v>
          </cell>
          <cell r="C2355" t="str">
            <v>FBP</v>
          </cell>
          <cell r="D2355" t="str">
            <v>POSTE DE ACERO 6,4M X 76MM X 3,6MM C.AGUJEROS SIN BRIDA RECUBIERTO C.FIBRA Y POLIESTER</v>
          </cell>
        </row>
        <row r="2356">
          <cell r="B2356">
            <v>5341130</v>
          </cell>
          <cell r="C2356" t="str">
            <v>FBL</v>
          </cell>
          <cell r="D2356" t="str">
            <v>POSTE DE ACERO 6,4M X 76MM X 3,6MM SIN BRIDA RECUBIERTO C.FIBRA Y POLIESTER</v>
          </cell>
        </row>
        <row r="2357">
          <cell r="B2357">
            <v>5341130</v>
          </cell>
          <cell r="C2357" t="str">
            <v>FBP</v>
          </cell>
          <cell r="D2357" t="str">
            <v>POSTE DE ACERO 6,4M X 76MM X 3,6MM SIN BRIDA RECUBIERTO C.FIBRA Y POLIESTER</v>
          </cell>
        </row>
        <row r="2358">
          <cell r="B2358">
            <v>5341130</v>
          </cell>
          <cell r="C2358" t="str">
            <v>MEG</v>
          </cell>
          <cell r="D2358" t="str">
            <v>POSTE DE ACERO 6,4M X 76MM X 3,6MM SIN BRIDA RECUBIERTO C.FIBRA Y POLIESTER</v>
          </cell>
        </row>
        <row r="2359">
          <cell r="B2359">
            <v>5341130</v>
          </cell>
          <cell r="C2359" t="str">
            <v>TMI</v>
          </cell>
          <cell r="D2359" t="str">
            <v>POSTE DE ACERO 6,4M X 76MM X 3,6MM SIN BRIDA RECUBIERTO C.FIBRA Y POLIESTER</v>
          </cell>
        </row>
        <row r="2360">
          <cell r="B2360">
            <v>5341132</v>
          </cell>
          <cell r="C2360" t="str">
            <v>MEG</v>
          </cell>
          <cell r="D2360" t="str">
            <v>POSTE ACOMETIDA DOMICILIAR. 3.90 MT.C/CAJA ACE.GAL</v>
          </cell>
        </row>
        <row r="2361">
          <cell r="B2361">
            <v>5341132</v>
          </cell>
          <cell r="C2361" t="str">
            <v>TMI</v>
          </cell>
          <cell r="D2361" t="str">
            <v>POSTE ACOMETIDA DOMICILIAR. 3.90 MT.C/CAJA ACE.GAL</v>
          </cell>
        </row>
        <row r="2362">
          <cell r="B2362">
            <v>5343630</v>
          </cell>
          <cell r="C2362" t="str">
            <v>TMI</v>
          </cell>
          <cell r="D2362" t="str">
            <v>POSTE DE AC. (TRONCOCONICO)  24 METROS C/ACCESORIOS</v>
          </cell>
        </row>
        <row r="2363">
          <cell r="B2363">
            <v>5343630</v>
          </cell>
          <cell r="C2363" t="str">
            <v>TMX</v>
          </cell>
          <cell r="D2363" t="str">
            <v>POSTE DE AC. (TRONCOCONICO)  24 METROS C/ACCESORIOS</v>
          </cell>
        </row>
        <row r="2364">
          <cell r="B2364">
            <v>5343632</v>
          </cell>
          <cell r="C2364" t="str">
            <v>TMI</v>
          </cell>
          <cell r="D2364" t="str">
            <v>CANASTILLA FIJA PROVIS.(ACC.POSTE TRONCO CONICO)</v>
          </cell>
        </row>
        <row r="2365">
          <cell r="B2365">
            <v>5343632</v>
          </cell>
          <cell r="C2365" t="str">
            <v>TMX</v>
          </cell>
          <cell r="D2365" t="str">
            <v>CANASTILLA FIJA PROVIS.(ACC.POSTE TRONCO CONICO)</v>
          </cell>
        </row>
        <row r="2366">
          <cell r="B2366">
            <v>5347002</v>
          </cell>
          <cell r="C2366" t="str">
            <v>APW</v>
          </cell>
          <cell r="D2366" t="str">
            <v>PASTORAL AC.SAE 1009 - SAE 1010 GALV.SIMPLE 0,55/2,17/1,5"D. C/ANILLO</v>
          </cell>
        </row>
        <row r="2367">
          <cell r="B2367">
            <v>5347005</v>
          </cell>
          <cell r="C2367" t="str">
            <v>APW</v>
          </cell>
          <cell r="D2367" t="str">
            <v>PASTORAL AC.GALV. SIMPLE P.S/1.0/3.0/1.5"D. C/ANILLO SCH40</v>
          </cell>
        </row>
        <row r="2368">
          <cell r="B2368">
            <v>5347006</v>
          </cell>
          <cell r="C2368" t="str">
            <v>TNC</v>
          </cell>
          <cell r="D2368" t="str">
            <v>PASTORAL AC.GALV. SIMPLE PS 0,55/2,67/1,5" C/ANILLO</v>
          </cell>
        </row>
        <row r="2369">
          <cell r="B2369">
            <v>5347007</v>
          </cell>
          <cell r="C2369" t="str">
            <v>APW</v>
          </cell>
          <cell r="D2369" t="str">
            <v>PASTORAL.AC.GALV.SIMPLE PS/1.0/4.0/1.5"D. C/ANILLO SCH40</v>
          </cell>
        </row>
        <row r="2370">
          <cell r="B2370">
            <v>5347008</v>
          </cell>
          <cell r="C2370" t="str">
            <v>TNC</v>
          </cell>
          <cell r="D2370" t="str">
            <v>PASTORAL AC.GALV.SIMPLE PS/1.5/4.0/1.5"D. C/ANILLO SCH40</v>
          </cell>
        </row>
        <row r="2371">
          <cell r="B2371">
            <v>5347015</v>
          </cell>
          <cell r="C2371" t="str">
            <v>APW</v>
          </cell>
          <cell r="D2371" t="str">
            <v>PASTORAL DE ACERO GALV. PS / 0,275 / 1,17 / 1 1/2" ANG. 0 GRADOS</v>
          </cell>
        </row>
        <row r="2372">
          <cell r="B2372">
            <v>5347016</v>
          </cell>
          <cell r="C2372" t="str">
            <v>TNC</v>
          </cell>
          <cell r="D2372" t="str">
            <v>PASTORAL DE ACERO GALV. PS / 0,275 / 2,17 / 1 1/2" ANG. 0 GRADOS</v>
          </cell>
        </row>
        <row r="2373">
          <cell r="B2373">
            <v>5347022</v>
          </cell>
          <cell r="C2373" t="str">
            <v>APW</v>
          </cell>
          <cell r="D2373" t="str">
            <v>PASTORAL AC.GALV.SIMPLE PS/1.5/1.9/1.5"D.  C/ANILLO SCH40</v>
          </cell>
        </row>
        <row r="2374">
          <cell r="B2374">
            <v>5347040</v>
          </cell>
          <cell r="C2374" t="str">
            <v>MIM</v>
          </cell>
          <cell r="D2374" t="str">
            <v>PASTORAL SIMPLE DE ACERO GALV. PS / 0,275M / 1,07M / 1 1/2" / 0 GRADOS</v>
          </cell>
        </row>
        <row r="2375">
          <cell r="B2375">
            <v>5347041</v>
          </cell>
          <cell r="C2375" t="str">
            <v>APW</v>
          </cell>
          <cell r="D2375" t="str">
            <v>PASTORAL SIMPLE DE ACERO GALV. PS / 0,275M / 2,07M / 1 1/2" / 0 GRADOS</v>
          </cell>
        </row>
        <row r="2376">
          <cell r="B2376">
            <v>5347048</v>
          </cell>
          <cell r="C2376" t="str">
            <v>TNC</v>
          </cell>
          <cell r="D2376" t="str">
            <v>PASTORAL AC.GALV.SIMPLE PS/3.2/3.4/1.5"D. C/ANILLO SCH40</v>
          </cell>
        </row>
        <row r="2377">
          <cell r="B2377">
            <v>5347052</v>
          </cell>
          <cell r="C2377" t="str">
            <v>APW</v>
          </cell>
          <cell r="D2377" t="str">
            <v>PASTORAL DE ACERO GALV. PS / 3,20 / 4,4 / 2" ANG. 15 GRADOS</v>
          </cell>
        </row>
        <row r="2378">
          <cell r="B2378">
            <v>5347056</v>
          </cell>
          <cell r="C2378" t="str">
            <v>MIM</v>
          </cell>
          <cell r="D2378" t="str">
            <v>PASTORAL AC.GALV.SIMPLE PS/3.4/2.3/2"D. C/ANILLO SCH40</v>
          </cell>
        </row>
        <row r="2379">
          <cell r="B2379">
            <v>5347060</v>
          </cell>
          <cell r="C2379" t="str">
            <v>APW</v>
          </cell>
          <cell r="D2379" t="str">
            <v>PASTORAL AC. GALV. SIMPLE PS/3.8/3.55/2" DIA. S/ANILLO SCH 40 - ESPECIAL</v>
          </cell>
        </row>
        <row r="2380">
          <cell r="B2380">
            <v>5347062</v>
          </cell>
          <cell r="C2380" t="str">
            <v>MIM</v>
          </cell>
          <cell r="D2380" t="str">
            <v>PASTORAL AC.SAE 1009 - SAE 1010 GALV.SIMPLE 1,0/2,5/1,5"D. C/ANILLO</v>
          </cell>
        </row>
        <row r="2381">
          <cell r="B2381">
            <v>5347080</v>
          </cell>
          <cell r="C2381" t="str">
            <v>APW</v>
          </cell>
          <cell r="D2381" t="str">
            <v>PASTORAL.AC.GALV.SIMPLE PS/1.0/4.5/1.5"D. C/ANILLO SCH40</v>
          </cell>
        </row>
        <row r="2382">
          <cell r="B2382">
            <v>5347082</v>
          </cell>
          <cell r="C2382" t="str">
            <v>TNC</v>
          </cell>
          <cell r="D2382" t="str">
            <v>PASTORAL.AC.GALV.SIMPLE PS/1.0/3.5/1.5"D. C/ANILLO SCH40</v>
          </cell>
        </row>
        <row r="2383">
          <cell r="B2383">
            <v>5347088</v>
          </cell>
          <cell r="C2383" t="str">
            <v>APW</v>
          </cell>
          <cell r="D2383" t="str">
            <v>PASTORAL AO. GO. SIMPLE PS/1.5M./2.5M./1.5"DIAMETRO SCHEDULE 40  C/ANILLO</v>
          </cell>
        </row>
        <row r="2384">
          <cell r="B2384">
            <v>5347090</v>
          </cell>
          <cell r="C2384" t="str">
            <v>TNC</v>
          </cell>
          <cell r="D2384" t="str">
            <v>PASTORAL AC.GALV.SIMPLE PS/1.5/3.0/1.5"D. C/ANILLO SCH40</v>
          </cell>
        </row>
        <row r="2385">
          <cell r="B2385">
            <v>5347092</v>
          </cell>
          <cell r="C2385" t="str">
            <v>APW</v>
          </cell>
          <cell r="D2385" t="str">
            <v>PASTORAL AC.GALV.SIMPLE PS/1.5/3.5/1.5"D. C/ANILLO SCH40</v>
          </cell>
        </row>
        <row r="2386">
          <cell r="B2386">
            <v>5347094</v>
          </cell>
          <cell r="C2386" t="str">
            <v>TNC</v>
          </cell>
          <cell r="D2386" t="str">
            <v>PASTORAL.AC.GALV.SIMPLE PS/1.5/4.5/1.5"D. C/ANILLO SCH40</v>
          </cell>
        </row>
        <row r="2387">
          <cell r="B2387">
            <v>5347206</v>
          </cell>
          <cell r="C2387" t="str">
            <v>APW</v>
          </cell>
          <cell r="D2387" t="str">
            <v>PASTORAL AC GO. SIMPLE PS/0,55/1,17/1.5"D  SCH40</v>
          </cell>
        </row>
        <row r="2388">
          <cell r="B2388">
            <v>5347208</v>
          </cell>
          <cell r="C2388" t="str">
            <v>TNC</v>
          </cell>
          <cell r="D2388" t="str">
            <v>PASTORAL AC.GALV. SIMPLE PS 0,55/3,17/1,5" C/ANILLO</v>
          </cell>
        </row>
        <row r="2389">
          <cell r="B2389">
            <v>5347210</v>
          </cell>
          <cell r="C2389" t="str">
            <v>MIM</v>
          </cell>
          <cell r="D2389" t="str">
            <v>PASTORAL AC.GALV. SIMPLE PS 0,55/3,67/1,5" C/ANILLO</v>
          </cell>
        </row>
        <row r="2390">
          <cell r="B2390">
            <v>5347212</v>
          </cell>
          <cell r="C2390" t="str">
            <v>APW</v>
          </cell>
          <cell r="D2390" t="str">
            <v>PASTORAL AC.GAL.SIMPLE PS/1,89/1,74/1.5"D. SCH 40</v>
          </cell>
        </row>
        <row r="2391">
          <cell r="B2391">
            <v>5347217</v>
          </cell>
          <cell r="C2391" t="str">
            <v>APW</v>
          </cell>
          <cell r="D2391" t="str">
            <v>PASTORAL AC.SAE 1009 - SAE 1010 GALV.SIMPLE 1,89/2,74/1,5"D. C/ANILLO</v>
          </cell>
        </row>
        <row r="2392">
          <cell r="B2392">
            <v>5359772</v>
          </cell>
          <cell r="C2392" t="str">
            <v>ELD</v>
          </cell>
          <cell r="D2392" t="str">
            <v>ARANDELA CUADR.CURV.AC.GALV. 75X75X4,5MM. 22MMD.</v>
          </cell>
        </row>
        <row r="2393">
          <cell r="B2393">
            <v>5411010</v>
          </cell>
          <cell r="C2393" t="str">
            <v>AMP</v>
          </cell>
          <cell r="D2393" t="str">
            <v>CONECTOR DERIV.TP.CUÑA MINIW. AA 16/CU 1.5-6 MM2.</v>
          </cell>
        </row>
        <row r="2394">
          <cell r="B2394">
            <v>5411010</v>
          </cell>
          <cell r="C2394" t="str">
            <v>AMP</v>
          </cell>
          <cell r="D2394" t="str">
            <v>CONECTOR DERIV.TP.CUÑA MINIW. AA 16/CU 1.5-6 MM2.</v>
          </cell>
        </row>
        <row r="2395">
          <cell r="B2395">
            <v>5411010</v>
          </cell>
          <cell r="C2395" t="str">
            <v>BUR</v>
          </cell>
          <cell r="D2395" t="str">
            <v>CONECTOR DERIV.TP.CUÑA MINIW. AA 16/CU 1.5-6 MM2.</v>
          </cell>
        </row>
        <row r="2396">
          <cell r="B2396">
            <v>5411011</v>
          </cell>
          <cell r="C2396" t="str">
            <v>AMP</v>
          </cell>
          <cell r="D2396" t="str">
            <v>CONECTOR DERIV.TP.CUÑA MINIW. AA 16/CU 10 MM2.</v>
          </cell>
        </row>
        <row r="2397">
          <cell r="B2397">
            <v>5411011</v>
          </cell>
          <cell r="C2397" t="str">
            <v>AMP</v>
          </cell>
          <cell r="D2397" t="str">
            <v>CONECTOR DERIV.TP.CUÑA MINIW. AA 16/CU 10 MM2.</v>
          </cell>
        </row>
        <row r="2398">
          <cell r="B2398">
            <v>5411011</v>
          </cell>
          <cell r="C2398" t="str">
            <v>BUR</v>
          </cell>
          <cell r="D2398" t="str">
            <v>CONECTOR DERIV.TP.CUÑA MINIW. AA 16/CU 10 MM2.</v>
          </cell>
        </row>
        <row r="2399">
          <cell r="B2399">
            <v>5411012</v>
          </cell>
          <cell r="C2399" t="str">
            <v>AMP</v>
          </cell>
          <cell r="D2399" t="str">
            <v>CONECTOR DERIV.TP.CUÑA MINIW. AA 25/CU 10 MM2.</v>
          </cell>
        </row>
        <row r="2400">
          <cell r="B2400">
            <v>5411012</v>
          </cell>
          <cell r="C2400" t="str">
            <v>AMP</v>
          </cell>
          <cell r="D2400" t="str">
            <v>CONECTOR DERIV.TP.CUÑA MINIW. AA 25/CU 10 MM2.</v>
          </cell>
        </row>
        <row r="2401">
          <cell r="B2401">
            <v>5411013</v>
          </cell>
          <cell r="C2401" t="str">
            <v>AMP</v>
          </cell>
          <cell r="D2401" t="str">
            <v>CONECTOR DERV.TP.CUÑA MINIW AA 25/CU 1.5-6 MM2</v>
          </cell>
        </row>
        <row r="2402">
          <cell r="B2402">
            <v>5411013</v>
          </cell>
          <cell r="C2402" t="str">
            <v>AMP</v>
          </cell>
          <cell r="D2402" t="str">
            <v>CONECTOR DERV.TP.CUÑA MINIW AA 25/CU 1.5-6 MM2</v>
          </cell>
        </row>
        <row r="2403">
          <cell r="B2403">
            <v>5411014</v>
          </cell>
          <cell r="C2403" t="str">
            <v>AMP</v>
          </cell>
          <cell r="D2403" t="str">
            <v>CONECTOR DERIV.TP.CUÑA MINIW. AA 35/CU 10 MM2.</v>
          </cell>
        </row>
        <row r="2404">
          <cell r="B2404">
            <v>5411014</v>
          </cell>
          <cell r="C2404" t="str">
            <v>AMP</v>
          </cell>
          <cell r="D2404" t="str">
            <v>CONECTOR DERIV.TP.CUÑA MINIW. AA 35/CU 10 MM2.</v>
          </cell>
        </row>
        <row r="2405">
          <cell r="B2405">
            <v>5411014</v>
          </cell>
          <cell r="C2405" t="str">
            <v>BUR</v>
          </cell>
          <cell r="D2405" t="str">
            <v>CONECTOR DERIV.TP.CUÑA MINIW. AA 35/CU 10 MM2.</v>
          </cell>
        </row>
        <row r="2406">
          <cell r="B2406">
            <v>5411015</v>
          </cell>
          <cell r="C2406" t="str">
            <v>AMP</v>
          </cell>
          <cell r="D2406" t="str">
            <v>CONECTOR DERIV.TP.CUÑA MINIW. AA 35/CU 1.5-6 MMM2.</v>
          </cell>
        </row>
        <row r="2407">
          <cell r="B2407">
            <v>5411015</v>
          </cell>
          <cell r="C2407" t="str">
            <v>AMP</v>
          </cell>
          <cell r="D2407" t="str">
            <v>CONECTOR DERIV.TP.CUÑA MINIW. AA 35/CU 1.5-6 MMM2.</v>
          </cell>
        </row>
        <row r="2408">
          <cell r="B2408">
            <v>5411015</v>
          </cell>
          <cell r="C2408" t="str">
            <v>BUR</v>
          </cell>
          <cell r="D2408" t="str">
            <v>CONECTOR DERIV.TP.CUÑA MINIW. AA 35/CU 1.5-6 MMM2.</v>
          </cell>
        </row>
        <row r="2409">
          <cell r="B2409">
            <v>5411016</v>
          </cell>
          <cell r="C2409" t="str">
            <v>AMP</v>
          </cell>
          <cell r="D2409" t="str">
            <v>CONECTOR DERIV.TP.CUÑA MINIW. AA 50/CU 10 MM2.</v>
          </cell>
        </row>
        <row r="2410">
          <cell r="B2410">
            <v>5411016</v>
          </cell>
          <cell r="C2410" t="str">
            <v>AMP</v>
          </cell>
          <cell r="D2410" t="str">
            <v>CONECTOR DERIV.TP.CUÑA MINIW. AA 50/CU 10 MM2.</v>
          </cell>
        </row>
        <row r="2411">
          <cell r="B2411">
            <v>5411017</v>
          </cell>
          <cell r="C2411" t="str">
            <v>AMP</v>
          </cell>
          <cell r="D2411" t="str">
            <v>CONECTOR DERIV.TP.CUÑA MINIW. AA 50/CU 1.5-6 MM2.</v>
          </cell>
        </row>
        <row r="2412">
          <cell r="B2412">
            <v>5411017</v>
          </cell>
          <cell r="C2412" t="str">
            <v>AMP</v>
          </cell>
          <cell r="D2412" t="str">
            <v>CONECTOR DERIV.TP.CUÑA MINIW. AA 50/CU 1.5-6 MM2.</v>
          </cell>
        </row>
        <row r="2413">
          <cell r="B2413">
            <v>5411018</v>
          </cell>
          <cell r="C2413" t="str">
            <v>AMP</v>
          </cell>
          <cell r="D2413" t="str">
            <v>CONECTOR DERIV.TP.CUÑA MINIW. AA 70/CU 10 MM2.</v>
          </cell>
        </row>
        <row r="2414">
          <cell r="B2414">
            <v>5411018</v>
          </cell>
          <cell r="C2414" t="str">
            <v>AMP</v>
          </cell>
          <cell r="D2414" t="str">
            <v>CONECTOR DERIV.TP.CUÑA MINIW. AA 70/CU 10 MM2.</v>
          </cell>
        </row>
        <row r="2415">
          <cell r="B2415">
            <v>5411018</v>
          </cell>
          <cell r="C2415" t="str">
            <v>BUR</v>
          </cell>
          <cell r="D2415" t="str">
            <v>CONECTOR DERIV.TP.CUÑA MINIW. AA 70/CU 10 MM2.</v>
          </cell>
        </row>
        <row r="2416">
          <cell r="B2416">
            <v>5411019</v>
          </cell>
          <cell r="C2416" t="str">
            <v>AMP</v>
          </cell>
          <cell r="D2416" t="str">
            <v>CONECTOR DERIV.TP.CUÑA MINIW. AA 70/CU 1.5-6 MM2.</v>
          </cell>
        </row>
        <row r="2417">
          <cell r="B2417">
            <v>5411019</v>
          </cell>
          <cell r="C2417" t="str">
            <v>AMP</v>
          </cell>
          <cell r="D2417" t="str">
            <v>CONECTOR DERIV.TP.CUÑA MINIW. AA 70/CU 1.5-6 MM2.</v>
          </cell>
        </row>
        <row r="2418">
          <cell r="B2418">
            <v>5411019</v>
          </cell>
          <cell r="C2418" t="str">
            <v>BUR</v>
          </cell>
          <cell r="D2418" t="str">
            <v>CONECTOR DERIV.TP.CUÑA MINIW. AA 70/CU 1.5-6 MM2.</v>
          </cell>
        </row>
        <row r="2419">
          <cell r="B2419">
            <v>5411020</v>
          </cell>
          <cell r="C2419" t="str">
            <v>AMP</v>
          </cell>
          <cell r="D2419" t="str">
            <v>CONECTOR DERIV.TP.CUÑA MINIW. AA 25/CU 16 MM2.</v>
          </cell>
        </row>
        <row r="2420">
          <cell r="B2420">
            <v>5411022</v>
          </cell>
          <cell r="C2420" t="str">
            <v>AMP</v>
          </cell>
          <cell r="D2420" t="str">
            <v>CONECTOR DERIV.TP.CUÑA MINIW. AA 35/CU 16 MM2.</v>
          </cell>
        </row>
        <row r="2421">
          <cell r="B2421">
            <v>5411022</v>
          </cell>
          <cell r="C2421" t="str">
            <v>BUR</v>
          </cell>
          <cell r="D2421" t="str">
            <v>CONECTOR DERIV.TP.CUÑA MINIW. AA 35/CU 16 MM2.</v>
          </cell>
        </row>
        <row r="2422">
          <cell r="B2422">
            <v>5411024</v>
          </cell>
          <cell r="C2422" t="str">
            <v>AMP</v>
          </cell>
          <cell r="D2422" t="str">
            <v>CONECTOR DERIV.TP.CUÑA MINIW. AA 50-70/CU 16 MM2.</v>
          </cell>
        </row>
        <row r="2423">
          <cell r="B2423">
            <v>5411024</v>
          </cell>
          <cell r="C2423" t="str">
            <v>BUR</v>
          </cell>
          <cell r="D2423" t="str">
            <v>CONECTOR DERIV.TP.CUÑA MINIW. AA 50-70/CU 16 MM2.</v>
          </cell>
        </row>
        <row r="2424">
          <cell r="B2424">
            <v>5411026</v>
          </cell>
          <cell r="C2424" t="str">
            <v>AMP</v>
          </cell>
          <cell r="D2424" t="str">
            <v>CONEC.CUÑA.TP.MINIW.CU.25/25MMM2</v>
          </cell>
        </row>
        <row r="2425">
          <cell r="B2425">
            <v>5411028</v>
          </cell>
          <cell r="C2425" t="str">
            <v>AMP</v>
          </cell>
          <cell r="D2425" t="str">
            <v>CONECTOR DERIV.TP.CUÑA MINIW. AA 35/CU 25 MM2.</v>
          </cell>
        </row>
        <row r="2426">
          <cell r="B2426">
            <v>5411030</v>
          </cell>
          <cell r="C2426" t="str">
            <v>AMP</v>
          </cell>
          <cell r="D2426" t="str">
            <v>CONECTOR DERIV.TP.CUÑA MINIW. AA 50-70/CU 25 MM2.</v>
          </cell>
        </row>
        <row r="2427">
          <cell r="B2427">
            <v>5411032</v>
          </cell>
          <cell r="C2427" t="str">
            <v>AMP</v>
          </cell>
          <cell r="D2427" t="str">
            <v>CONECTOR DERIV.TP.CUÑA MINIW. AA 16/CU 16 MM2.</v>
          </cell>
        </row>
        <row r="2428">
          <cell r="B2428">
            <v>5411032</v>
          </cell>
          <cell r="C2428" t="str">
            <v>BUR</v>
          </cell>
          <cell r="D2428" t="str">
            <v>CONECTOR DERIV.TP.CUÑA MINIW. AA 16/CU 16 MM2.</v>
          </cell>
        </row>
        <row r="2429">
          <cell r="B2429">
            <v>5411034</v>
          </cell>
          <cell r="C2429" t="str">
            <v>AMP</v>
          </cell>
          <cell r="D2429" t="str">
            <v>CONECTOR DERIV.TP.CUÑA MINIW. AA 35/CU 35 MM2.</v>
          </cell>
        </row>
        <row r="2430">
          <cell r="B2430">
            <v>5411034</v>
          </cell>
          <cell r="C2430" t="str">
            <v>BUR</v>
          </cell>
          <cell r="D2430" t="str">
            <v>CONECTOR DERIV.TP.CUÑA MINIW. AA 35/CU 35 MM2.</v>
          </cell>
        </row>
        <row r="2431">
          <cell r="B2431">
            <v>5411036</v>
          </cell>
          <cell r="C2431" t="str">
            <v>AMP</v>
          </cell>
          <cell r="D2431" t="str">
            <v>CONECTOR DERIV.TP.CUÑA MINIW. AA 50-70/CU 35-50 MM2.</v>
          </cell>
        </row>
        <row r="2432">
          <cell r="B2432">
            <v>5411036</v>
          </cell>
          <cell r="C2432" t="str">
            <v>BUR</v>
          </cell>
          <cell r="D2432" t="str">
            <v>CONECTOR DERIV.TP.CUÑA MINIW. AA 50-70/CU 35-50 MM2.</v>
          </cell>
        </row>
        <row r="2433">
          <cell r="B2433">
            <v>5411040</v>
          </cell>
          <cell r="C2433" t="str">
            <v>AMP</v>
          </cell>
          <cell r="D2433" t="str">
            <v>CONECTOR DERIV.TP.CUÑA MINIW. AA 70/CU 70 MM2.</v>
          </cell>
        </row>
        <row r="2434">
          <cell r="B2434">
            <v>5411040</v>
          </cell>
          <cell r="C2434" t="str">
            <v>BUR</v>
          </cell>
          <cell r="D2434" t="str">
            <v>CONECTOR DERIV.TP.CUÑA MINIW. AA 70/CU 70 MM2.</v>
          </cell>
        </row>
        <row r="2435">
          <cell r="B2435">
            <v>5411042</v>
          </cell>
          <cell r="C2435" t="str">
            <v>AMP</v>
          </cell>
          <cell r="D2435" t="str">
            <v>CONEC. CUÑA. TP. MINIW. CU. 120/1.5-6MM2</v>
          </cell>
        </row>
        <row r="2436">
          <cell r="B2436">
            <v>5411043</v>
          </cell>
          <cell r="C2436" t="str">
            <v>AMP</v>
          </cell>
          <cell r="D2436" t="str">
            <v>CONEC. CUÑA TP. MINIW. CU. 120/10MM2</v>
          </cell>
        </row>
        <row r="2437">
          <cell r="B2437">
            <v>5411046</v>
          </cell>
          <cell r="C2437" t="str">
            <v>AMP</v>
          </cell>
          <cell r="D2437" t="str">
            <v>CONEC. CUÑA TP. MINIW. CU. 120/35MM2</v>
          </cell>
        </row>
        <row r="2438">
          <cell r="B2438">
            <v>5411047</v>
          </cell>
          <cell r="C2438" t="str">
            <v>AMP</v>
          </cell>
          <cell r="D2438" t="str">
            <v>CONEC. CUÑA TP. MINIW. CU. 120/50MM2</v>
          </cell>
        </row>
        <row r="2439">
          <cell r="B2439">
            <v>5411050</v>
          </cell>
          <cell r="C2439" t="str">
            <v>AMP</v>
          </cell>
          <cell r="D2439" t="str">
            <v>CONEC.CUÑA.TP.UDC.REF.CU.25-35/16-25MM2.</v>
          </cell>
        </row>
        <row r="2440">
          <cell r="B2440">
            <v>5411052</v>
          </cell>
          <cell r="C2440" t="str">
            <v>AMP</v>
          </cell>
          <cell r="D2440" t="str">
            <v>CONEC.CUÑA.TP.UDC.REF.CU.16/16MM2   25/10MM2</v>
          </cell>
        </row>
        <row r="2441">
          <cell r="B2441">
            <v>5411052</v>
          </cell>
          <cell r="C2441" t="str">
            <v>BUR</v>
          </cell>
          <cell r="D2441" t="str">
            <v>CONEC.CUÑA.TP.UDC.REF.CU.16/16MM2   25/10MM2</v>
          </cell>
        </row>
        <row r="2442">
          <cell r="B2442">
            <v>5411054</v>
          </cell>
          <cell r="C2442" t="str">
            <v>AMP</v>
          </cell>
          <cell r="D2442" t="str">
            <v>CONEC.CUÑA.TP.UDC.REF.CU.16/6-10MM2   25/1.5-6MM2</v>
          </cell>
        </row>
        <row r="2443">
          <cell r="B2443">
            <v>5411054</v>
          </cell>
          <cell r="C2443" t="str">
            <v>BUR</v>
          </cell>
          <cell r="D2443" t="str">
            <v>CONEC.CUÑA.TP.UDC.REF.CU.16/6-10MM2   25/1.5-6MM2</v>
          </cell>
        </row>
        <row r="2444">
          <cell r="B2444">
            <v>5411056</v>
          </cell>
          <cell r="C2444" t="str">
            <v>AMP</v>
          </cell>
          <cell r="D2444" t="str">
            <v>CONEC.CUÑA.TP.UDC.REF.CU.10/6-10MM2   16/1.5-4MM2</v>
          </cell>
        </row>
        <row r="2445">
          <cell r="B2445">
            <v>5411058</v>
          </cell>
          <cell r="C2445" t="str">
            <v>AMP</v>
          </cell>
          <cell r="D2445" t="str">
            <v>CONECTOR DE DERIVACION DE COBRE ESTANADO TP.CUNA P.CONDUCTOR DE COBRE 6 - 10 / 1,5 - 4MM2</v>
          </cell>
        </row>
        <row r="2446">
          <cell r="B2446">
            <v>5411058</v>
          </cell>
          <cell r="C2446" t="str">
            <v>BUR</v>
          </cell>
          <cell r="D2446" t="str">
            <v>CONECTOR DE DERIVACION DE COBRE ESTANADO TP.CUNA P.CONDUCTOR DE COBRE 6 - 10 / 1,5 - 4MM2</v>
          </cell>
        </row>
        <row r="2447">
          <cell r="B2447">
            <v>5411062</v>
          </cell>
          <cell r="C2447" t="str">
            <v>AMP</v>
          </cell>
          <cell r="D2447" t="str">
            <v>CONEC.CUÑA.TP.UDC.REF.CU.35/35MM2   50/16-35MM2   70/25MM2</v>
          </cell>
        </row>
        <row r="2448">
          <cell r="B2448">
            <v>5411064</v>
          </cell>
          <cell r="C2448" t="str">
            <v>AMP</v>
          </cell>
          <cell r="D2448" t="str">
            <v>CONEC.CUÑA.TP.UDC.REF.CU.35/4-10MM2   50/6MM2</v>
          </cell>
        </row>
        <row r="2449">
          <cell r="B2449">
            <v>5411064</v>
          </cell>
          <cell r="C2449" t="str">
            <v>BUR</v>
          </cell>
          <cell r="D2449" t="str">
            <v>CONEC.CUÑA.TP.UDC.REF.CU.35/4-10MM2   50/6MM2</v>
          </cell>
        </row>
        <row r="2450">
          <cell r="B2450">
            <v>5411132</v>
          </cell>
          <cell r="C2450" t="str">
            <v>BUR</v>
          </cell>
          <cell r="D2450" t="str">
            <v>CONECTOR DE DERIVACION A COMPRESION TIPO G P.CONDUCTOR DE COBRE 16-35 / 16-35MM2 P.RED AEREA</v>
          </cell>
        </row>
        <row r="2451">
          <cell r="B2451">
            <v>5411142</v>
          </cell>
          <cell r="C2451" t="str">
            <v>BUR</v>
          </cell>
          <cell r="D2451" t="str">
            <v>CONECTOR DE DERIVACION A COMPRESION TIPO G P.CONDUCTOR DE COBRE 70 / 70MM2 P.RED AEREA</v>
          </cell>
        </row>
        <row r="2452">
          <cell r="B2452">
            <v>5411162</v>
          </cell>
          <cell r="C2452" t="str">
            <v>BUR</v>
          </cell>
          <cell r="D2452" t="str">
            <v>CONECTOR BIMETALICO DE DERIVACION A COMPRESION TIPO H P.CONDUCTOR 16-35/16-35MM2 P.RED AEREA.</v>
          </cell>
        </row>
        <row r="2453">
          <cell r="B2453">
            <v>5411164</v>
          </cell>
          <cell r="C2453" t="str">
            <v>BUR</v>
          </cell>
          <cell r="D2453" t="str">
            <v>CONECTOR BIMETALICO DE DERIVACION A COMPRESION TIPO H P.CONDUCTOR 35-50 / 16-35MM2 P.RED AEREA</v>
          </cell>
        </row>
        <row r="2454">
          <cell r="B2454">
            <v>5411166</v>
          </cell>
          <cell r="C2454" t="str">
            <v>BUR</v>
          </cell>
          <cell r="D2454" t="str">
            <v>CONECTOR BIMETALICO DE DERIVACION A COMPRESION TIPO H P.CONDUCTOR 70 / 16-35MM2 P.RED AEREA</v>
          </cell>
        </row>
        <row r="2455">
          <cell r="B2455">
            <v>5411168</v>
          </cell>
          <cell r="C2455" t="str">
            <v>BUR</v>
          </cell>
          <cell r="D2455" t="str">
            <v>CONECTOR BIMETALICO DE DERIVACION A COMPRESION TIPO H P.CONDUCTOR 70 / 50-70MM2 P.RED AEREA</v>
          </cell>
        </row>
        <row r="2456">
          <cell r="B2456">
            <v>5411172</v>
          </cell>
          <cell r="C2456" t="str">
            <v>BUR</v>
          </cell>
          <cell r="D2456" t="str">
            <v>CONECTOR BIMETALICO DE DERIVACION A COMPRESION TIPO H P.CONDUCTOR 120-185/16-70MM2 P.RED AEREA</v>
          </cell>
        </row>
        <row r="2457">
          <cell r="B2457">
            <v>5411174</v>
          </cell>
          <cell r="C2457" t="str">
            <v>BUR</v>
          </cell>
          <cell r="D2457" t="str">
            <v>CONECTOR BIMETALICO DE DERIVACION A COMPRESION TIPO H P.CONDUCTOR 120-240 / 120-240MM2 P.RED AEREA</v>
          </cell>
        </row>
        <row r="2458">
          <cell r="B2458">
            <v>5411176</v>
          </cell>
          <cell r="C2458" t="str">
            <v>BUR</v>
          </cell>
          <cell r="D2458" t="str">
            <v>CONECTOR BIMETALICO DE DERIVACION A COMPRESION TIPO H P.CONDUCTOR 120-185 / 120-185MM2 P.RED AEREA</v>
          </cell>
        </row>
        <row r="2459">
          <cell r="B2459">
            <v>5411301</v>
          </cell>
          <cell r="C2459" t="str">
            <v>AMP</v>
          </cell>
          <cell r="D2459" t="str">
            <v>USAR MATRICULA NRO. &lt;5411034&gt; CONECTOR DERIV.TP.CUNA AA. 35MM2/AA. 35MM2.</v>
          </cell>
        </row>
        <row r="2460">
          <cell r="B2460">
            <v>5411305</v>
          </cell>
          <cell r="C2460" t="str">
            <v>AMP</v>
          </cell>
          <cell r="D2460" t="str">
            <v>CONECTOR DERIV. CUÑA TP. AMPACT AA 120MM2/CU-AA 35MM2</v>
          </cell>
        </row>
        <row r="2461">
          <cell r="B2461">
            <v>5411312</v>
          </cell>
          <cell r="C2461" t="str">
            <v>AMP</v>
          </cell>
          <cell r="D2461" t="str">
            <v>CONECTOR DE DERIV.TP.CU¤A AA. 70MM2/CU. 1,5MMM2.</v>
          </cell>
        </row>
        <row r="2462">
          <cell r="B2462">
            <v>5411314</v>
          </cell>
          <cell r="C2462" t="str">
            <v>AMP</v>
          </cell>
          <cell r="D2462" t="str">
            <v>CONECTOR DERIV.TP.CU¤A AA. 35MM2/CU. 1,5MM2.</v>
          </cell>
        </row>
        <row r="2463">
          <cell r="B2463">
            <v>5411327</v>
          </cell>
          <cell r="C2463" t="str">
            <v>AMP</v>
          </cell>
          <cell r="D2463" t="str">
            <v>CONECT. DERIV.TP.CUÑA  AA.50MM2/CU. 10MM2</v>
          </cell>
        </row>
        <row r="2464">
          <cell r="B2464">
            <v>5411328</v>
          </cell>
          <cell r="C2464" t="str">
            <v>AMP</v>
          </cell>
          <cell r="D2464" t="str">
            <v>CONECT.DERIV.TP.CUÑA  AA.70-50MM2/AL.35-50MM2</v>
          </cell>
        </row>
        <row r="2465">
          <cell r="B2465">
            <v>5411347</v>
          </cell>
          <cell r="C2465" t="str">
            <v>AMP</v>
          </cell>
          <cell r="D2465" t="str">
            <v>CONECT.DERIV.TP.CUÑA  AA.16MM2/CU.10MM2</v>
          </cell>
        </row>
        <row r="2466">
          <cell r="B2466">
            <v>5411351</v>
          </cell>
          <cell r="C2466" t="str">
            <v>AMP</v>
          </cell>
          <cell r="D2466" t="str">
            <v>CONECT.DERIV.TP.CUÑA  AA.16-35MM2/AL.10-25MM2</v>
          </cell>
        </row>
        <row r="2467">
          <cell r="B2467">
            <v>5411356</v>
          </cell>
          <cell r="C2467" t="str">
            <v>AMP</v>
          </cell>
          <cell r="D2467" t="str">
            <v>CONECTOR CUÑA TP. AMPACT AL 120MM2/AL 120MM2</v>
          </cell>
        </row>
        <row r="2468">
          <cell r="B2468">
            <v>5411360</v>
          </cell>
          <cell r="C2468" t="str">
            <v>AMP</v>
          </cell>
          <cell r="D2468" t="str">
            <v>CONEC. CUÑA TP. MINIW. CU. 95/1.5-6MM2</v>
          </cell>
        </row>
        <row r="2469">
          <cell r="B2469">
            <v>5411361</v>
          </cell>
          <cell r="C2469" t="str">
            <v>AMP</v>
          </cell>
          <cell r="D2469" t="str">
            <v>CONEC. CUÑA TP. MINW. CU. 95/10MM2</v>
          </cell>
        </row>
        <row r="2470">
          <cell r="B2470">
            <v>5411362</v>
          </cell>
          <cell r="C2470" t="str">
            <v>AMP</v>
          </cell>
          <cell r="D2470" t="str">
            <v>CONEC. CUÑA TP. MINIW.CU. 95/16MM2</v>
          </cell>
        </row>
        <row r="2471">
          <cell r="B2471">
            <v>5411364</v>
          </cell>
          <cell r="C2471" t="str">
            <v>AMP</v>
          </cell>
          <cell r="D2471" t="str">
            <v>CONEC. CUÑA TP. MINIW. CU. 95/25MM2</v>
          </cell>
        </row>
        <row r="2472">
          <cell r="B2472">
            <v>5411366</v>
          </cell>
          <cell r="C2472" t="str">
            <v>AMP</v>
          </cell>
          <cell r="D2472" t="str">
            <v>CONEC. CUÑA TP. MINIW. CU. 95/35MM2</v>
          </cell>
        </row>
        <row r="2473">
          <cell r="B2473">
            <v>5411367</v>
          </cell>
          <cell r="C2473" t="str">
            <v>AMP</v>
          </cell>
          <cell r="D2473" t="str">
            <v>CONEC. CUÑA TP. MINIW. CU. 95/50MM2</v>
          </cell>
        </row>
        <row r="2474">
          <cell r="B2474">
            <v>5411368</v>
          </cell>
          <cell r="C2474" t="str">
            <v>AMP</v>
          </cell>
          <cell r="D2474" t="str">
            <v>CONEC. CUÑA TP. MINIW. CU. 95/70MM2</v>
          </cell>
        </row>
        <row r="2475">
          <cell r="B2475">
            <v>5411420</v>
          </cell>
          <cell r="C2475" t="str">
            <v>BUR</v>
          </cell>
          <cell r="D2475" t="str">
            <v>CONECTOR BIMET.DERIV.A TORN.P.AA.70-120/CU16-70MM2</v>
          </cell>
        </row>
        <row r="2476">
          <cell r="B2476">
            <v>5411450</v>
          </cell>
          <cell r="C2476" t="str">
            <v>BUR</v>
          </cell>
          <cell r="D2476" t="str">
            <v>CONECTOR BIF.DERIV.A TORNILLO P. CU.16-70/16-70MM2</v>
          </cell>
        </row>
        <row r="2477">
          <cell r="B2477">
            <v>5411514</v>
          </cell>
          <cell r="C2477" t="str">
            <v>AMP</v>
          </cell>
          <cell r="D2477" t="str">
            <v>CONECTOR BIMET.FORRADO TP.PERFORACION / PIERCING P.COND.CU - AL 10 - 35 / 1,5 - 6MM2 FASE AISL.</v>
          </cell>
        </row>
        <row r="2478">
          <cell r="B2478">
            <v>5411514</v>
          </cell>
          <cell r="C2478" t="str">
            <v>BRO</v>
          </cell>
          <cell r="D2478" t="str">
            <v>CONECTOR BIMET.FORRADO TP.PERFORACION / PIERCING P.COND.CU - AL 10 - 35 / 1,5 - 6MM2 FASE AISL.</v>
          </cell>
        </row>
        <row r="2479">
          <cell r="B2479">
            <v>5411514</v>
          </cell>
          <cell r="C2479" t="str">
            <v>BUR</v>
          </cell>
          <cell r="D2479" t="str">
            <v>CONECTOR BIMET.FORRADO TP.PERFORACION / PIERCING P.COND.CU - AL 10 - 35 / 1,5 - 6MM2 FASE AISL.</v>
          </cell>
        </row>
        <row r="2480">
          <cell r="B2480">
            <v>5411514</v>
          </cell>
          <cell r="C2480" t="str">
            <v>SIM</v>
          </cell>
          <cell r="D2480" t="str">
            <v>CONECTOR BIMET.FORRADO TP.PERFORACION / PIERCING P.COND.CU - AL 10 - 35 / 1,5 - 6MM2 FASE AISL.</v>
          </cell>
        </row>
        <row r="2481">
          <cell r="B2481">
            <v>5411518</v>
          </cell>
          <cell r="C2481" t="str">
            <v>AMP</v>
          </cell>
          <cell r="D2481" t="str">
            <v>CONECTOR BIMET.FORRADO TP.PERFORACION / PIERCING P.COND.CU - AL 70 / 1,5 - 6MM2 FASE AISL.</v>
          </cell>
        </row>
        <row r="2482">
          <cell r="B2482">
            <v>5411518</v>
          </cell>
          <cell r="C2482" t="str">
            <v>BRO</v>
          </cell>
          <cell r="D2482" t="str">
            <v>CONECTOR BIMET.FORRADO TP.PERFORACION / PIERCING P.COND.CU - AL 70 / 1,5 - 6MM2 FASE AISL.</v>
          </cell>
        </row>
        <row r="2483">
          <cell r="B2483">
            <v>5411518</v>
          </cell>
          <cell r="C2483" t="str">
            <v>BUR</v>
          </cell>
          <cell r="D2483" t="str">
            <v>CONECTOR BIMET.FORRADO TP.PERFORACION / PIERCING P.COND.CU - AL 70 / 1,5 - 6MM2 FASE AISL.</v>
          </cell>
        </row>
        <row r="2484">
          <cell r="B2484">
            <v>5411518</v>
          </cell>
          <cell r="C2484" t="str">
            <v>SIM</v>
          </cell>
          <cell r="D2484" t="str">
            <v>CONECTOR BIMET.FORRADO TP.PERFORACION / PIERCING P.COND.CU - AL 70 / 1,5 - 6MM2 FASE AISL.</v>
          </cell>
        </row>
        <row r="2485">
          <cell r="B2485">
            <v>5411524</v>
          </cell>
          <cell r="C2485" t="str">
            <v>AMP</v>
          </cell>
          <cell r="D2485" t="str">
            <v>CONECTOR BIMET.FORRADO TP.PERFORACION / PIERCING P.COND.CU - AL 25 - 70 / 10 - 35MM2 FASE AISL.</v>
          </cell>
        </row>
        <row r="2486">
          <cell r="B2486">
            <v>5411524</v>
          </cell>
          <cell r="C2486" t="str">
            <v>BRO</v>
          </cell>
          <cell r="D2486" t="str">
            <v>CONECTOR BIMET.FORRADO TP.PERFORACION / PIERCING P.COND.CU - AL 25 - 70 / 10 - 35MM2 FASE AISL.</v>
          </cell>
        </row>
        <row r="2487">
          <cell r="B2487">
            <v>5411524</v>
          </cell>
          <cell r="C2487" t="str">
            <v>SIM</v>
          </cell>
          <cell r="D2487" t="str">
            <v>CONECTOR BIMET.FORRADO TP.PERFORACION / PIERCING P.COND.CU - AL 25 - 70 / 10 - 35MM2 FASE AISL.</v>
          </cell>
        </row>
        <row r="2488">
          <cell r="B2488">
            <v>5411528</v>
          </cell>
          <cell r="C2488" t="str">
            <v>AMP</v>
          </cell>
          <cell r="D2488" t="str">
            <v>CONECTOR BIMET.FORRADO TP.PERFORACION / PIERCING P.COND.CU - AL 16 / 10MM2 FASE AISL.</v>
          </cell>
        </row>
        <row r="2489">
          <cell r="B2489">
            <v>5411528</v>
          </cell>
          <cell r="C2489" t="str">
            <v>BRO</v>
          </cell>
          <cell r="D2489" t="str">
            <v>CONECTOR BIMET.FORRADO TP.PERFORACION / PIERCING P.COND.CU - AL 16 / 10MM2 FASE AISL.</v>
          </cell>
        </row>
        <row r="2490">
          <cell r="B2490">
            <v>5411528</v>
          </cell>
          <cell r="C2490" t="str">
            <v>BUR</v>
          </cell>
          <cell r="D2490" t="str">
            <v>CONECTOR BIMET.FORRADO TP.PERFORACION / PIERCING P.COND.CU - AL 16 / 10MM2 FASE AISL.</v>
          </cell>
        </row>
        <row r="2491">
          <cell r="B2491">
            <v>5411528</v>
          </cell>
          <cell r="C2491" t="str">
            <v>SIM</v>
          </cell>
          <cell r="D2491" t="str">
            <v>CONECTOR BIMET.FORRADO TP.PERFORACION / PIERCING P.COND.CU - AL 16 / 10MM2 FASE AISL.</v>
          </cell>
        </row>
        <row r="2492">
          <cell r="B2492">
            <v>5412108</v>
          </cell>
          <cell r="C2492" t="str">
            <v>BUR</v>
          </cell>
          <cell r="D2492" t="str">
            <v>UNION TUBULAR A COMPRESION P.CABLES AA 35MM2 MT.</v>
          </cell>
        </row>
        <row r="2493">
          <cell r="B2493">
            <v>5412110</v>
          </cell>
          <cell r="C2493" t="str">
            <v>BUR</v>
          </cell>
          <cell r="D2493" t="str">
            <v>UNION TUBULAR A COMPRESION P.CABLES AA 70MM2 MT.</v>
          </cell>
        </row>
        <row r="2494">
          <cell r="B2494">
            <v>5412110</v>
          </cell>
          <cell r="C2494" t="str">
            <v>TAL</v>
          </cell>
          <cell r="D2494" t="str">
            <v>UNION TUBULAR A COMPRESION P.CABLES AA 70MM2 MT.</v>
          </cell>
        </row>
        <row r="2495">
          <cell r="B2495">
            <v>5412140</v>
          </cell>
          <cell r="C2495" t="str">
            <v>BUR</v>
          </cell>
          <cell r="D2495" t="str">
            <v>UNION TUBULAR A COMPRESION P.CABLES AA 120MM2 MT.</v>
          </cell>
        </row>
        <row r="2496">
          <cell r="B2496">
            <v>5412140</v>
          </cell>
          <cell r="C2496" t="str">
            <v>TAL</v>
          </cell>
          <cell r="D2496" t="str">
            <v>UNION TUBULAR A COMPRESION P.CABLES AA 120MM2 MT.</v>
          </cell>
        </row>
        <row r="2497">
          <cell r="B2497">
            <v>5412141</v>
          </cell>
          <cell r="C2497" t="str">
            <v>BUR</v>
          </cell>
          <cell r="D2497" t="str">
            <v>UNION TUBULAR A COMPRESION P.CABLES AA 185MM2 MT.</v>
          </cell>
        </row>
        <row r="2498">
          <cell r="B2498">
            <v>5412191</v>
          </cell>
          <cell r="C2498" t="str">
            <v>BUR</v>
          </cell>
          <cell r="D2498" t="str">
            <v>UNION TUBULAR A COMPRES.P.CU.42MM2.</v>
          </cell>
        </row>
        <row r="2499">
          <cell r="B2499">
            <v>5412191</v>
          </cell>
          <cell r="C2499" t="str">
            <v>TAL</v>
          </cell>
          <cell r="D2499" t="str">
            <v>UNION TUBULAR A COMPRES.P.CU.42MM2.</v>
          </cell>
        </row>
        <row r="2500">
          <cell r="B2500">
            <v>5412304</v>
          </cell>
          <cell r="C2500" t="str">
            <v>BUR</v>
          </cell>
          <cell r="D2500" t="str">
            <v>UNION TUBULAR COMPRESION CU.P.CU.16MM2.</v>
          </cell>
        </row>
        <row r="2501">
          <cell r="B2501">
            <v>5412304</v>
          </cell>
          <cell r="C2501" t="str">
            <v>TAL</v>
          </cell>
          <cell r="D2501" t="str">
            <v>UNION TUBULAR COMPRESION CU.P.CU.16MM2.</v>
          </cell>
        </row>
        <row r="2502">
          <cell r="B2502">
            <v>5412314</v>
          </cell>
          <cell r="C2502" t="str">
            <v>BUR</v>
          </cell>
          <cell r="D2502" t="str">
            <v>UNION TUBULAR  COMPRES. CU.P.CU. 21MM2.</v>
          </cell>
        </row>
        <row r="2503">
          <cell r="B2503">
            <v>5412314</v>
          </cell>
          <cell r="C2503" t="str">
            <v>TAL</v>
          </cell>
          <cell r="D2503" t="str">
            <v>UNION TUBULAR  COMPRES. CU.P.CU. 21MM2.</v>
          </cell>
        </row>
        <row r="2504">
          <cell r="B2504">
            <v>5412320</v>
          </cell>
          <cell r="C2504" t="str">
            <v>BUR</v>
          </cell>
          <cell r="D2504" t="str">
            <v>UNION TUBULAR COMPRESION CU.P.CU.35MM2.</v>
          </cell>
        </row>
        <row r="2505">
          <cell r="B2505">
            <v>5412320</v>
          </cell>
          <cell r="C2505" t="str">
            <v>TAL</v>
          </cell>
          <cell r="D2505" t="str">
            <v>UNION TUBULAR COMPRESION CU.P.CU.35MM2.</v>
          </cell>
        </row>
        <row r="2506">
          <cell r="B2506">
            <v>5412332</v>
          </cell>
          <cell r="C2506" t="str">
            <v>BUR</v>
          </cell>
          <cell r="D2506" t="str">
            <v>UNION TUBULAR COMPRESION CU.P.CU.42 MM2.</v>
          </cell>
        </row>
        <row r="2507">
          <cell r="B2507">
            <v>5412332</v>
          </cell>
          <cell r="C2507" t="str">
            <v>TAL</v>
          </cell>
          <cell r="D2507" t="str">
            <v>UNION TUBULAR COMPRESION CU.P.CU.42 MM2.</v>
          </cell>
        </row>
        <row r="2508">
          <cell r="B2508">
            <v>5412342</v>
          </cell>
          <cell r="C2508" t="str">
            <v>BUR</v>
          </cell>
          <cell r="D2508" t="str">
            <v>UNION TUBULAR COMPRESION CU.P.CU.70MM2.</v>
          </cell>
        </row>
        <row r="2509">
          <cell r="B2509">
            <v>5412342</v>
          </cell>
          <cell r="C2509" t="str">
            <v>TAL</v>
          </cell>
          <cell r="D2509" t="str">
            <v>UNION TUBULAR COMPRESION CU.P.CU.70MM2.</v>
          </cell>
        </row>
        <row r="2510">
          <cell r="B2510">
            <v>5412362</v>
          </cell>
          <cell r="C2510" t="str">
            <v>BUR</v>
          </cell>
          <cell r="D2510" t="str">
            <v>UNION TUBULAR COMPRESION CU.P.CU.180MM2.</v>
          </cell>
        </row>
        <row r="2511">
          <cell r="B2511">
            <v>5412362</v>
          </cell>
          <cell r="C2511" t="str">
            <v>TAL</v>
          </cell>
          <cell r="D2511" t="str">
            <v>UNION TUBULAR COMPRESION CU.P.CU.180MM2.</v>
          </cell>
        </row>
        <row r="2512">
          <cell r="B2512">
            <v>5412530</v>
          </cell>
          <cell r="C2512" t="str">
            <v>FAR</v>
          </cell>
          <cell r="D2512" t="str">
            <v>UNION P.EMPALME AUTOMATICO P.CONDUCTOR CU 16MM2</v>
          </cell>
        </row>
        <row r="2513">
          <cell r="B2513">
            <v>5412530</v>
          </cell>
          <cell r="C2513" t="str">
            <v>FAR</v>
          </cell>
          <cell r="D2513" t="str">
            <v>UNION P.EMPALME AUTOMATICO P.CONDUCTOR CU 16MM2</v>
          </cell>
        </row>
        <row r="2514">
          <cell r="B2514">
            <v>5412530</v>
          </cell>
          <cell r="C2514" t="str">
            <v>MAC</v>
          </cell>
          <cell r="D2514" t="str">
            <v>UNION P.EMPALME AUTOMATICO P.CONDUCTOR CU 16MM2</v>
          </cell>
        </row>
        <row r="2515">
          <cell r="B2515">
            <v>5412534</v>
          </cell>
          <cell r="C2515" t="str">
            <v>FAR</v>
          </cell>
          <cell r="D2515" t="str">
            <v>UNION P.EMPALME AUTOMATICO P.CONDUCTOR CU 35MM2</v>
          </cell>
        </row>
        <row r="2516">
          <cell r="B2516">
            <v>5412534</v>
          </cell>
          <cell r="C2516" t="str">
            <v>FAR</v>
          </cell>
          <cell r="D2516" t="str">
            <v>UNION P.EMPALME AUTOMATICO P.CONDUCTOR CU 35MM2</v>
          </cell>
        </row>
        <row r="2517">
          <cell r="B2517">
            <v>5412534</v>
          </cell>
          <cell r="C2517" t="str">
            <v>MAC</v>
          </cell>
          <cell r="D2517" t="str">
            <v>UNION P.EMPALME AUTOMATICO P.CONDUCTOR CU 35MM2</v>
          </cell>
        </row>
        <row r="2518">
          <cell r="B2518">
            <v>5412536</v>
          </cell>
          <cell r="C2518" t="str">
            <v>FAR</v>
          </cell>
          <cell r="D2518" t="str">
            <v>UNION P.EMPALME AUTOMATICO P.CONDUCTOR CU 70MM2</v>
          </cell>
        </row>
        <row r="2519">
          <cell r="B2519">
            <v>5412536</v>
          </cell>
          <cell r="C2519" t="str">
            <v>FAR</v>
          </cell>
          <cell r="D2519" t="str">
            <v>UNION P.EMPALME AUTOMATICO P.CONDUCTOR CU 70MM2</v>
          </cell>
        </row>
        <row r="2520">
          <cell r="B2520">
            <v>5412536</v>
          </cell>
          <cell r="C2520" t="str">
            <v>MAC</v>
          </cell>
          <cell r="D2520" t="str">
            <v>UNION P.EMPALME AUTOMATICO P.CONDUCTOR CU 70MM2</v>
          </cell>
        </row>
        <row r="2521">
          <cell r="B2521">
            <v>5412539</v>
          </cell>
          <cell r="C2521" t="str">
            <v>FAR</v>
          </cell>
          <cell r="D2521" t="str">
            <v>UNION P.EMPALME AUTOMATICO P.CONDUCTOR AAAC 70MM2</v>
          </cell>
        </row>
        <row r="2522">
          <cell r="B2522">
            <v>5412539</v>
          </cell>
          <cell r="C2522" t="str">
            <v>FAR</v>
          </cell>
          <cell r="D2522" t="str">
            <v>UNION P.EMPALME AUTOMATICO P.CONDUCTOR AAAC 70MM2</v>
          </cell>
        </row>
        <row r="2523">
          <cell r="B2523">
            <v>5412539</v>
          </cell>
          <cell r="C2523" t="str">
            <v>MAC</v>
          </cell>
          <cell r="D2523" t="str">
            <v>UNION P.EMPALME AUTOMATICO P.CONDUCTOR AAAC 70MM2</v>
          </cell>
        </row>
        <row r="2524">
          <cell r="B2524">
            <v>5412540</v>
          </cell>
          <cell r="C2524" t="str">
            <v>FAR</v>
          </cell>
          <cell r="D2524" t="str">
            <v>UNION P.EMPALME AUTOMATICO P.CONDUCTOR AAAC 120MM2</v>
          </cell>
        </row>
        <row r="2525">
          <cell r="B2525">
            <v>5412540</v>
          </cell>
          <cell r="C2525" t="str">
            <v>FAR</v>
          </cell>
          <cell r="D2525" t="str">
            <v>UNION P.EMPALME AUTOMATICO P.CONDUCTOR AAAC 120MM2</v>
          </cell>
        </row>
        <row r="2526">
          <cell r="B2526">
            <v>5412540</v>
          </cell>
          <cell r="C2526" t="str">
            <v>MAC</v>
          </cell>
          <cell r="D2526" t="str">
            <v>UNION P.EMPALME AUTOMATICO P.CONDUCTOR AAAC 120MM2</v>
          </cell>
        </row>
        <row r="2527">
          <cell r="B2527">
            <v>5412543</v>
          </cell>
          <cell r="C2527" t="str">
            <v>FAR</v>
          </cell>
          <cell r="D2527" t="str">
            <v>UNION P.EMPALME AUTOMATICO P.CONDUCTOR AAAC 185MM2</v>
          </cell>
        </row>
        <row r="2528">
          <cell r="B2528">
            <v>5412543</v>
          </cell>
          <cell r="C2528" t="str">
            <v>FAR</v>
          </cell>
          <cell r="D2528" t="str">
            <v>UNION P.EMPALME AUTOMATICO P.CONDUCTOR AAAC 185MM2</v>
          </cell>
        </row>
        <row r="2529">
          <cell r="B2529">
            <v>5412545</v>
          </cell>
          <cell r="C2529" t="str">
            <v>FAR</v>
          </cell>
          <cell r="D2529" t="str">
            <v>UNION P.EMPALME AUTOMATICO P.CONDUCTOR AAAC 35MM2</v>
          </cell>
        </row>
        <row r="2530">
          <cell r="B2530">
            <v>5412545</v>
          </cell>
          <cell r="C2530" t="str">
            <v>FAR</v>
          </cell>
          <cell r="D2530" t="str">
            <v>UNION P.EMPALME AUTOMATICO P.CONDUCTOR AAAC 35MM2</v>
          </cell>
        </row>
        <row r="2531">
          <cell r="B2531">
            <v>5412545</v>
          </cell>
          <cell r="C2531" t="str">
            <v>MAC</v>
          </cell>
          <cell r="D2531" t="str">
            <v>UNION P.EMPALME AUTOMATICO P.CONDUCTOR AAAC 35MM2</v>
          </cell>
        </row>
        <row r="2532">
          <cell r="B2532">
            <v>5413681</v>
          </cell>
          <cell r="C2532" t="str">
            <v>CMD</v>
          </cell>
          <cell r="D2532" t="str">
            <v>GRAP.(EMPAL.)DOBL.VIA AA./BR.ANTICOR.491MM2 ALDREY</v>
          </cell>
        </row>
        <row r="2533">
          <cell r="B2533">
            <v>5414220</v>
          </cell>
          <cell r="C2533" t="str">
            <v>BUR</v>
          </cell>
          <cell r="D2533" t="str">
            <v>MANGUITO DE REPARACION DE ALEACION ALUMINIO P.CONDUCTOR AAAC 120MM2</v>
          </cell>
        </row>
        <row r="2534">
          <cell r="B2534">
            <v>5414720</v>
          </cell>
          <cell r="C2534" t="str">
            <v>BUR</v>
          </cell>
          <cell r="D2534" t="str">
            <v>MANGUITO DE REPARACION DE COBRE P.CONDUCTOR CU 70MM2</v>
          </cell>
        </row>
        <row r="2535">
          <cell r="B2535">
            <v>5414720</v>
          </cell>
          <cell r="C2535" t="str">
            <v>TAL</v>
          </cell>
          <cell r="D2535" t="str">
            <v>MANGUITO DE REPARACION DE COBRE P.CONDUCTOR CU 70MM2</v>
          </cell>
        </row>
        <row r="2536">
          <cell r="B2536">
            <v>5414750</v>
          </cell>
          <cell r="C2536" t="str">
            <v>RAY</v>
          </cell>
          <cell r="D2536" t="str">
            <v>CUBIERTA AISLANTE PROTECCION P.CONDUCTOR AEREO DESNUDO 35 - 185MM2 CL.25KV</v>
          </cell>
        </row>
        <row r="2537">
          <cell r="B2537">
            <v>5414762</v>
          </cell>
          <cell r="C2537" t="str">
            <v>RAY</v>
          </cell>
          <cell r="D2537" t="str">
            <v>CUBIERTA AISLANTE DE PROTECCION P.CONDUCTOR AEREO DESNUDO 4 - 25MM DIAM. CL.15KV</v>
          </cell>
        </row>
        <row r="2538">
          <cell r="B2538">
            <v>5411885</v>
          </cell>
          <cell r="C2538" t="str">
            <v>GGG</v>
          </cell>
          <cell r="D2538" t="str">
            <v>CONECTOR DE DOBLE PERNO DE AJUSTE RANGO 35-70 MM2, DISTANCIA ENTRE EJES DE PERNOS 44,45MM (1 3/4")</v>
          </cell>
        </row>
        <row r="2539">
          <cell r="B2539">
            <v>5419109</v>
          </cell>
          <cell r="C2539" t="str">
            <v>AMP</v>
          </cell>
          <cell r="D2539" t="str">
            <v>AMARRE SIMPLE DE ALUMINIO 4 AWG 1000MM LONG. P.AISLADOR PIN C.CONDUCTOR ALUMINIO HASTA 70MM2 EN M.T.</v>
          </cell>
        </row>
        <row r="2540">
          <cell r="B2540">
            <v>5419109</v>
          </cell>
          <cell r="C2540" t="str">
            <v>ELD</v>
          </cell>
          <cell r="D2540" t="str">
            <v>AMARRE SIMPLE DE ALUMINIO 4 AWG 1000MM LONG. P.AISLADOR PIN C.CONDUCTOR ALUMINIO HASTA 70MM2 EN M.T.</v>
          </cell>
        </row>
        <row r="2541">
          <cell r="B2541">
            <v>5419109</v>
          </cell>
          <cell r="C2541" t="str">
            <v>PFJ</v>
          </cell>
          <cell r="D2541" t="str">
            <v>AMARRE SIMPLE DE ALUMINIO 4 AWG 1000MM LONG. P.AISLADOR PIN C.CONDUCTOR ALUMINIO HASTA 70MM2 EN M.T.</v>
          </cell>
        </row>
        <row r="2542">
          <cell r="B2542">
            <v>5419110</v>
          </cell>
          <cell r="C2542" t="str">
            <v>AMP</v>
          </cell>
          <cell r="D2542" t="str">
            <v>AMARRE SIMPLE DE ALUMINIO 4 AWG 1000MM LONG. P.AISLADOR PIN C.CONDUCTOR ALUMINIO HASTA 70MM2 EN B.T.</v>
          </cell>
        </row>
        <row r="2543">
          <cell r="B2543">
            <v>5419110</v>
          </cell>
          <cell r="C2543" t="str">
            <v>ELD</v>
          </cell>
          <cell r="D2543" t="str">
            <v>AMARRE SIMPLE DE ALUMINIO 4 AWG 1000MM LONG. P.AISLADOR PIN C.CONDUCTOR ALUMINIO HASTA 70MM2 EN B.T.</v>
          </cell>
        </row>
        <row r="2544">
          <cell r="B2544">
            <v>5419110</v>
          </cell>
          <cell r="C2544" t="str">
            <v>PFJ</v>
          </cell>
          <cell r="D2544" t="str">
            <v>AMARRE SIMPLE DE ALUMINIO 4 AWG 1000MM LONG. P.AISLADOR PIN C.CONDUCTOR ALUMINIO HASTA 70MM2 EN B.T.</v>
          </cell>
        </row>
        <row r="2545">
          <cell r="B2545">
            <v>5419116</v>
          </cell>
          <cell r="C2545" t="str">
            <v>AMP</v>
          </cell>
          <cell r="D2545" t="str">
            <v>AMARRE DOBLE DE ALUMINIO 4 AWG 1800MM LONG. P.AISLADOR PIN C.CONDUCTOR ALUMINIO MAYOR A 70MM2 EN M.T</v>
          </cell>
        </row>
        <row r="2546">
          <cell r="B2546">
            <v>5419116</v>
          </cell>
          <cell r="C2546" t="str">
            <v>CMD</v>
          </cell>
          <cell r="D2546" t="str">
            <v>AMARRE DOBLE DE ALUMINIO 4 AWG 1800MM LONG. P.AISLADOR PIN C.CONDUCTOR ALUMINIO MAYOR A 70MM2 EN M.T</v>
          </cell>
        </row>
        <row r="2547">
          <cell r="B2547">
            <v>5419116</v>
          </cell>
          <cell r="C2547" t="str">
            <v>ELD</v>
          </cell>
          <cell r="D2547" t="str">
            <v>AMARRE DOBLE DE ALUMINIO 4 AWG 1800MM LONG. P.AISLADOR PIN C.CONDUCTOR ALUMINIO MAYOR A 70MM2 EN M.T</v>
          </cell>
        </row>
        <row r="2548">
          <cell r="B2548">
            <v>5419116</v>
          </cell>
          <cell r="C2548" t="str">
            <v>PFJ</v>
          </cell>
          <cell r="D2548" t="str">
            <v>AMARRE DOBLE DE ALUMINIO 4 AWG 1800MM LONG. P.AISLADOR PIN C.CONDUCTOR ALUMINIO MAYOR A 70MM2 EN M.T</v>
          </cell>
        </row>
        <row r="2549">
          <cell r="B2549">
            <v>5419120</v>
          </cell>
          <cell r="C2549" t="str">
            <v>DUL</v>
          </cell>
          <cell r="D2549" t="str">
            <v>AMARRE PREFORMADO P.SUJECION CABLE DE VIENTO DE ACERO GALV. 5/16" DIAM. CLASE C</v>
          </cell>
        </row>
        <row r="2550">
          <cell r="B2550">
            <v>5419120</v>
          </cell>
          <cell r="C2550" t="str">
            <v>PLP</v>
          </cell>
          <cell r="D2550" t="str">
            <v>AMARRE PREFORMADO P.SUJECION CABLE DE VIENTO DE ACERO GALV. 5/16" DIAM. CLASE C</v>
          </cell>
        </row>
        <row r="2551">
          <cell r="B2551">
            <v>5419220</v>
          </cell>
          <cell r="C2551" t="str">
            <v>DUL</v>
          </cell>
          <cell r="D2551" t="str">
            <v>AMARRE PREFORMADO TP.ALUMOWELD P.SUJECION AISLADOR TP.PIN CL.55,5 C.CONDUCTOR AAAC 70MM2</v>
          </cell>
        </row>
        <row r="2552">
          <cell r="B2552">
            <v>5419220</v>
          </cell>
          <cell r="C2552" t="str">
            <v>JPL</v>
          </cell>
          <cell r="D2552" t="str">
            <v>AMARRE PREFORMADO TP.ALUMOWELD P.SUJECION AISLADOR TP.PIN CL.55,5 C.CONDUCTOR AAAC 70MM2</v>
          </cell>
        </row>
        <row r="2553">
          <cell r="B2553">
            <v>5419220</v>
          </cell>
          <cell r="C2553" t="str">
            <v>PLP</v>
          </cell>
          <cell r="D2553" t="str">
            <v>AMARRE PREFORMADO TP.ALUMOWELD P.SUJECION AISLADOR TP.PIN CL.55,5 C.CONDUCTOR AAAC 70MM2</v>
          </cell>
        </row>
        <row r="2554">
          <cell r="B2554">
            <v>5419244</v>
          </cell>
          <cell r="C2554" t="str">
            <v>DUL</v>
          </cell>
          <cell r="D2554" t="str">
            <v>AMARRE PREFORMADO TP.ALUMOWELD P.SUJECION AISLADOR TP.PIN CL.56,2 C.CONDUCTOR AAAC 70MM2</v>
          </cell>
        </row>
        <row r="2555">
          <cell r="B2555">
            <v>5419244</v>
          </cell>
          <cell r="C2555" t="str">
            <v>JPL</v>
          </cell>
          <cell r="D2555" t="str">
            <v>AMARRE PREFORMADO TP.ALUMOWELD P.SUJECION AISLADOR TP.PIN CL.56,2 C.CONDUCTOR AAAC 70MM2</v>
          </cell>
        </row>
        <row r="2556">
          <cell r="B2556">
            <v>5419244</v>
          </cell>
          <cell r="C2556" t="str">
            <v>PLP</v>
          </cell>
          <cell r="D2556" t="str">
            <v>AMARRE PREFORMADO TP.ALUMOWELD P.SUJECION AISLADOR TP.PIN CL.56,2 C.CONDUCTOR AAAC 70MM2</v>
          </cell>
        </row>
        <row r="2557">
          <cell r="B2557">
            <v>5419410</v>
          </cell>
          <cell r="C2557" t="str">
            <v>DUL</v>
          </cell>
          <cell r="D2557" t="str">
            <v>AMARRE PREFORMADO TP.COPPERWELD P.SUJECION AISLADOR TP.PIN CL.55,5 C.CONDUCTOR CU 16MM2</v>
          </cell>
        </row>
        <row r="2558">
          <cell r="B2558">
            <v>5419410</v>
          </cell>
          <cell r="C2558" t="str">
            <v>JPL</v>
          </cell>
          <cell r="D2558" t="str">
            <v>AMARRE PREFORMADO TP.COPPERWELD P.SUJECION AISLADOR TP.PIN CL.55,5 C.CONDUCTOR CU 16MM2</v>
          </cell>
        </row>
        <row r="2559">
          <cell r="B2559">
            <v>5419428</v>
          </cell>
          <cell r="C2559" t="str">
            <v>DUL</v>
          </cell>
          <cell r="D2559" t="str">
            <v>AMARRE PREFORMADO TP.COPPERWELD P.SUJECION AISLADOR TP.PIN CL.55,5 C.CONDUCTOR CU 35MM2</v>
          </cell>
        </row>
        <row r="2560">
          <cell r="B2560">
            <v>5419428</v>
          </cell>
          <cell r="C2560" t="str">
            <v>JPL</v>
          </cell>
          <cell r="D2560" t="str">
            <v>AMARRE PREFORMADO TP.COPPERWELD P.SUJECION AISLADOR TP.PIN CL.55,5 C.CONDUCTOR CU 35MM2</v>
          </cell>
        </row>
        <row r="2561">
          <cell r="B2561">
            <v>5419450</v>
          </cell>
          <cell r="C2561" t="str">
            <v>DUL</v>
          </cell>
          <cell r="D2561" t="str">
            <v>AMARRE PREFORMADO TP.COPPERWELD P.SUJECION AISLADOR TP.PIN CL.56,2 C.CONDUCTOR CU 16MM2</v>
          </cell>
        </row>
        <row r="2562">
          <cell r="B2562">
            <v>5419450</v>
          </cell>
          <cell r="C2562" t="str">
            <v>JPL</v>
          </cell>
          <cell r="D2562" t="str">
            <v>AMARRE PREFORMADO TP.COPPERWELD P.SUJECION AISLADOR TP.PIN CL.56,2 C.CONDUCTOR CU 16MM2</v>
          </cell>
        </row>
        <row r="2563">
          <cell r="B2563">
            <v>5419478</v>
          </cell>
          <cell r="C2563" t="str">
            <v>DUL</v>
          </cell>
          <cell r="D2563" t="str">
            <v>AMARRE PREFORMADO TP.COPPERWELD P.SUJECION AISLADOR TP.PIN CL.56,2 C.CONDUCTOR CU 35MM2</v>
          </cell>
        </row>
        <row r="2564">
          <cell r="B2564">
            <v>5419478</v>
          </cell>
          <cell r="C2564" t="str">
            <v>JPL</v>
          </cell>
          <cell r="D2564" t="str">
            <v>AMARRE PREFORMADO TP.COPPERWELD P.SUJECION AISLADOR TP.PIN CL.56,2 C.CONDUCTOR CU 35MM2</v>
          </cell>
        </row>
        <row r="2565">
          <cell r="B2565">
            <v>5419822</v>
          </cell>
          <cell r="C2565" t="str">
            <v>DUL</v>
          </cell>
          <cell r="D2565" t="str">
            <v>VARILLA DE ARMAR PREFORMADO DE ALEACION DE ALUMINIO P.CONDUCTOR AAAC 120MM2</v>
          </cell>
        </row>
        <row r="2566">
          <cell r="B2566">
            <v>5419822</v>
          </cell>
          <cell r="C2566" t="str">
            <v>JPL</v>
          </cell>
          <cell r="D2566" t="str">
            <v>VARILLA DE ARMAR PREFORMADO DE ALEACION DE ALUMINIO P.CONDUCTOR AAAC 120MM2</v>
          </cell>
        </row>
        <row r="2567">
          <cell r="B2567">
            <v>5419822</v>
          </cell>
          <cell r="C2567" t="str">
            <v>PLP</v>
          </cell>
          <cell r="D2567" t="str">
            <v>VARILLA DE ARMAR PREFORMADO DE ALEACION DE ALUMINIO P.CONDUCTOR AAAC 120MM2</v>
          </cell>
        </row>
        <row r="2568">
          <cell r="B2568">
            <v>5419826</v>
          </cell>
          <cell r="C2568" t="str">
            <v>DUL</v>
          </cell>
          <cell r="D2568" t="str">
            <v>VARILLA DE ARMAR PREFORMADO DE ALEACION DE ALUMINIO P.CONDUCTOR AAAC 185MM2</v>
          </cell>
        </row>
        <row r="2569">
          <cell r="B2569">
            <v>5419826</v>
          </cell>
          <cell r="C2569" t="str">
            <v>PLP</v>
          </cell>
          <cell r="D2569" t="str">
            <v>VARILLA DE ARMAR PREFORMADO DE ALEACION DE ALUMINIO P.CONDUCTOR AAAC 185MM2</v>
          </cell>
        </row>
        <row r="2570">
          <cell r="B2570">
            <v>5421218</v>
          </cell>
          <cell r="C2570" t="str">
            <v>DUR</v>
          </cell>
          <cell r="D2570" t="str">
            <v>GRAPA SUSPENS. DE ALEAC.AL.P.COND. 70 MM2.</v>
          </cell>
        </row>
        <row r="2571">
          <cell r="B2571">
            <v>5421218</v>
          </cell>
          <cell r="C2571" t="str">
            <v>FOR</v>
          </cell>
          <cell r="D2571" t="str">
            <v>GRAPA SUSPENS. DE ALEAC.AL.P.COND. 70 MM2.</v>
          </cell>
        </row>
        <row r="2572">
          <cell r="B2572">
            <v>5421226</v>
          </cell>
          <cell r="C2572" t="str">
            <v>AND</v>
          </cell>
          <cell r="D2572" t="str">
            <v>GRAPA SUSPENS.DE ALEAC.AL.P.COND.120MM2.C/VAR.ARMADO</v>
          </cell>
        </row>
        <row r="2573">
          <cell r="B2573">
            <v>5421226</v>
          </cell>
          <cell r="C2573" t="str">
            <v>ARR</v>
          </cell>
          <cell r="D2573" t="str">
            <v>GRAPA SUSPENS.DE ALEAC.AL.P.COND.120MM2.C/VAR.ARMADO</v>
          </cell>
        </row>
        <row r="2574">
          <cell r="B2574">
            <v>5421226</v>
          </cell>
          <cell r="C2574" t="str">
            <v>BET</v>
          </cell>
          <cell r="D2574" t="str">
            <v>GRAPA SUSPENS.DE ALEAC.AL.P.COND.120MM2.C/VAR.ARMADO</v>
          </cell>
        </row>
        <row r="2575">
          <cell r="B2575">
            <v>5421226</v>
          </cell>
          <cell r="C2575" t="str">
            <v>DUR</v>
          </cell>
          <cell r="D2575" t="str">
            <v>GRAPA SUSPENS.DE ALEAC.AL.P.COND.120MM2.C/VAR.ARMADO</v>
          </cell>
        </row>
        <row r="2576">
          <cell r="B2576">
            <v>5421226</v>
          </cell>
          <cell r="C2576" t="str">
            <v>FOR</v>
          </cell>
          <cell r="D2576" t="str">
            <v>GRAPA SUSPENS.DE ALEAC.AL.P.COND.120MM2.C/VAR.ARMADO</v>
          </cell>
        </row>
        <row r="2577">
          <cell r="B2577">
            <v>5421226</v>
          </cell>
          <cell r="C2577" t="str">
            <v>NGK</v>
          </cell>
          <cell r="D2577" t="str">
            <v>GRAPA SUSPENS.DE ALEAC.AL.P.COND.120MM2.C/VAR.ARMADO</v>
          </cell>
        </row>
        <row r="2578">
          <cell r="B2578">
            <v>5421236</v>
          </cell>
          <cell r="C2578" t="str">
            <v>ARR</v>
          </cell>
          <cell r="D2578" t="str">
            <v>GRAPA SUSPENS. DE ALEAC.AL.P.COND.185MM2. C/VAR. ARMADO</v>
          </cell>
        </row>
        <row r="2579">
          <cell r="B2579">
            <v>5421236</v>
          </cell>
          <cell r="C2579" t="str">
            <v>DUR</v>
          </cell>
          <cell r="D2579" t="str">
            <v>GRAPA SUSPENS. DE ALEAC.AL.P.COND.185MM2. C/VAR. ARMADO</v>
          </cell>
        </row>
        <row r="2580">
          <cell r="B2580">
            <v>5421236</v>
          </cell>
          <cell r="C2580" t="str">
            <v>ELC</v>
          </cell>
          <cell r="D2580" t="str">
            <v>GRAPA SUSPENS. DE ALEAC.AL.P.COND.185MM2. C/VAR. ARMADO</v>
          </cell>
        </row>
        <row r="2581">
          <cell r="B2581">
            <v>5421236</v>
          </cell>
          <cell r="C2581" t="str">
            <v>FOR</v>
          </cell>
          <cell r="D2581" t="str">
            <v>GRAPA SUSPENS. DE ALEAC.AL.P.COND.185MM2. C/VAR. ARMADO</v>
          </cell>
        </row>
        <row r="2582">
          <cell r="B2582">
            <v>5421242</v>
          </cell>
          <cell r="C2582" t="str">
            <v>NGK</v>
          </cell>
          <cell r="D2582" t="str">
            <v>GRAPA SUSPENS.HO.G.P.AA.120MM2.C/VARILLA ARMADO.</v>
          </cell>
        </row>
        <row r="2583">
          <cell r="B2583">
            <v>5421242</v>
          </cell>
          <cell r="C2583" t="str">
            <v>OBC</v>
          </cell>
          <cell r="D2583" t="str">
            <v>GRAPA SUSPENS.HO.G.P.AA.120MM2.C/VARILLA ARMADO.</v>
          </cell>
        </row>
        <row r="2584">
          <cell r="B2584">
            <v>5421412</v>
          </cell>
          <cell r="C2584" t="str">
            <v>AND</v>
          </cell>
          <cell r="D2584" t="str">
            <v>GRAPA SUSPENSION BRONCE P.COND.CU.16/70MM2.</v>
          </cell>
        </row>
        <row r="2585">
          <cell r="B2585">
            <v>5421420</v>
          </cell>
          <cell r="C2585" t="str">
            <v>ELC</v>
          </cell>
          <cell r="D2585" t="str">
            <v>GRAPA SUSPENSION HO.GALV.P.CONDUC.CU.16/70MM2.</v>
          </cell>
        </row>
        <row r="2586">
          <cell r="B2586">
            <v>5421420</v>
          </cell>
          <cell r="C2586" t="str">
            <v>NGK</v>
          </cell>
          <cell r="D2586" t="str">
            <v>GRAPA SUSPENSION HO.GALV.P.CONDUC.CU.16/70MM2.</v>
          </cell>
        </row>
        <row r="2587">
          <cell r="B2587">
            <v>5421420</v>
          </cell>
          <cell r="C2587" t="str">
            <v>OBC</v>
          </cell>
          <cell r="D2587" t="str">
            <v>GRAPA SUSPENSION HO.GALV.P.CONDUC.CU.16/70MM2.</v>
          </cell>
        </row>
        <row r="2588">
          <cell r="B2588">
            <v>5422120</v>
          </cell>
          <cell r="C2588" t="str">
            <v>AND</v>
          </cell>
          <cell r="D2588" t="str">
            <v>GRAPA DE ANGULO ALEAC.AL.P.COND.AA. 35-70-120 MM2.</v>
          </cell>
        </row>
        <row r="2589">
          <cell r="B2589">
            <v>5422120</v>
          </cell>
          <cell r="C2589" t="str">
            <v>ARR</v>
          </cell>
          <cell r="D2589" t="str">
            <v>GRAPA DE ANGULO ALEAC.AL.P.COND.AA. 35-70-120 MM2.</v>
          </cell>
        </row>
        <row r="2590">
          <cell r="B2590">
            <v>5422120</v>
          </cell>
          <cell r="C2590" t="str">
            <v>BET</v>
          </cell>
          <cell r="D2590" t="str">
            <v>GRAPA DE ANGULO ALEAC.AL.P.COND.AA. 35-70-120 MM2.</v>
          </cell>
        </row>
        <row r="2591">
          <cell r="B2591">
            <v>5422120</v>
          </cell>
          <cell r="C2591" t="str">
            <v>ELC</v>
          </cell>
          <cell r="D2591" t="str">
            <v>GRAPA DE ANGULO ALEAC.AL.P.COND.AA. 35-70-120 MM2.</v>
          </cell>
        </row>
        <row r="2592">
          <cell r="B2592">
            <v>5422120</v>
          </cell>
          <cell r="C2592" t="str">
            <v>NGK</v>
          </cell>
          <cell r="D2592" t="str">
            <v>GRAPA DE ANGULO ALEAC.AL.P.COND.AA. 35-70-120 MM2.</v>
          </cell>
        </row>
        <row r="2593">
          <cell r="B2593">
            <v>5422354</v>
          </cell>
          <cell r="C2593" t="str">
            <v>AND</v>
          </cell>
          <cell r="D2593" t="str">
            <v>GRAPA DE ANGULO HO.G.P..COND.CU. 16-70 MM2.</v>
          </cell>
        </row>
        <row r="2594">
          <cell r="B2594">
            <v>5422354</v>
          </cell>
          <cell r="C2594" t="str">
            <v>NGK</v>
          </cell>
          <cell r="D2594" t="str">
            <v>GRAPA DE ANGULO HO.G.P..COND.CU. 16-70 MM2.</v>
          </cell>
        </row>
        <row r="2595">
          <cell r="B2595">
            <v>5422364</v>
          </cell>
          <cell r="C2595" t="str">
            <v>CMD</v>
          </cell>
          <cell r="D2595" t="str">
            <v>GRAPA DE UNA VIA CON 2 PERNOS GALV.CALIENTE</v>
          </cell>
        </row>
        <row r="2596">
          <cell r="B2596">
            <v>5422364</v>
          </cell>
          <cell r="C2596" t="str">
            <v>ELC</v>
          </cell>
          <cell r="D2596" t="str">
            <v>GRAPA DE UNA VIA CON 2 PERNOS GALV.CALIENTE</v>
          </cell>
        </row>
        <row r="2597">
          <cell r="B2597">
            <v>5422364</v>
          </cell>
          <cell r="C2597" t="str">
            <v>ELD</v>
          </cell>
          <cell r="D2597" t="str">
            <v>GRAPA DE UNA VIA CON 2 PERNOS GALV.CALIENTE</v>
          </cell>
        </row>
        <row r="2598">
          <cell r="B2598">
            <v>5422364</v>
          </cell>
          <cell r="C2598" t="str">
            <v>MDP</v>
          </cell>
          <cell r="D2598" t="str">
            <v>GRAPA DE UNA VIA CON 2 PERNOS GALV.CALIENTE</v>
          </cell>
        </row>
        <row r="2599">
          <cell r="B2599">
            <v>5422364</v>
          </cell>
          <cell r="C2599" t="str">
            <v>PFJ</v>
          </cell>
          <cell r="D2599" t="str">
            <v>GRAPA DE UNA VIA CON 2 PERNOS GALV.CALIENTE</v>
          </cell>
        </row>
        <row r="2600">
          <cell r="B2600">
            <v>5422364</v>
          </cell>
          <cell r="C2600" t="str">
            <v>PIC</v>
          </cell>
          <cell r="D2600" t="str">
            <v>GRAPA DE UNA VIA CON 2 PERNOS GALV.CALIENTE</v>
          </cell>
        </row>
        <row r="2601">
          <cell r="B2601">
            <v>5422366</v>
          </cell>
          <cell r="C2601" t="str">
            <v>CMD</v>
          </cell>
          <cell r="D2601" t="str">
            <v>GRAPA DE DOS VIAS CON 2 PERNOS GALV.CALIENTE</v>
          </cell>
        </row>
        <row r="2602">
          <cell r="B2602">
            <v>5422366</v>
          </cell>
          <cell r="C2602" t="str">
            <v>ELC</v>
          </cell>
          <cell r="D2602" t="str">
            <v>GRAPA DE DOS VIAS CON 2 PERNOS GALV.CALIENTE</v>
          </cell>
        </row>
        <row r="2603">
          <cell r="B2603">
            <v>5422366</v>
          </cell>
          <cell r="C2603" t="str">
            <v>ELD</v>
          </cell>
          <cell r="D2603" t="str">
            <v>GRAPA DE DOS VIAS CON 2 PERNOS GALV.CALIENTE</v>
          </cell>
        </row>
        <row r="2604">
          <cell r="B2604">
            <v>5422366</v>
          </cell>
          <cell r="C2604" t="str">
            <v>MDP</v>
          </cell>
          <cell r="D2604" t="str">
            <v>GRAPA DE DOS VIAS CON 2 PERNOS GALV.CALIENTE</v>
          </cell>
        </row>
        <row r="2605">
          <cell r="B2605">
            <v>5422366</v>
          </cell>
          <cell r="C2605" t="str">
            <v>PFJ</v>
          </cell>
          <cell r="D2605" t="str">
            <v>GRAPA DE DOS VIAS CON 2 PERNOS GALV.CALIENTE</v>
          </cell>
        </row>
        <row r="2606">
          <cell r="B2606">
            <v>5422366</v>
          </cell>
          <cell r="C2606" t="str">
            <v>PIC</v>
          </cell>
          <cell r="D2606" t="str">
            <v>GRAPA DE DOS VIAS CON 2 PERNOS GALV.CALIENTE</v>
          </cell>
        </row>
        <row r="2607">
          <cell r="B2607">
            <v>5423232</v>
          </cell>
          <cell r="C2607" t="str">
            <v>AND</v>
          </cell>
          <cell r="D2607" t="str">
            <v>GRAPA DE ANCLAJE TP.PISTOLA DE ALEACION DE ALUMINIO P.CONDUCTOR AAAC 70MM2</v>
          </cell>
        </row>
        <row r="2608">
          <cell r="B2608">
            <v>5423232</v>
          </cell>
          <cell r="C2608" t="str">
            <v>ARR</v>
          </cell>
          <cell r="D2608" t="str">
            <v>GRAPA DE ANCLAJE TP.PISTOLA DE ALEACION DE ALUMINIO P.CONDUCTOR AAAC 70MM2</v>
          </cell>
        </row>
        <row r="2609">
          <cell r="B2609">
            <v>5423232</v>
          </cell>
          <cell r="C2609" t="str">
            <v>BET</v>
          </cell>
          <cell r="D2609" t="str">
            <v>GRAPA DE ANCLAJE TP.PISTOLA DE ALEACION DE ALUMINIO P.CONDUCTOR AAAC 70MM2</v>
          </cell>
        </row>
        <row r="2610">
          <cell r="B2610">
            <v>5423232</v>
          </cell>
          <cell r="C2610" t="str">
            <v>DUR</v>
          </cell>
          <cell r="D2610" t="str">
            <v>GRAPA DE ANCLAJE TP.PISTOLA DE ALEACION DE ALUMINIO P.CONDUCTOR AAAC 70MM2</v>
          </cell>
        </row>
        <row r="2611">
          <cell r="B2611">
            <v>5423232</v>
          </cell>
          <cell r="C2611" t="str">
            <v>ELC</v>
          </cell>
          <cell r="D2611" t="str">
            <v>GRAPA DE ANCLAJE TP.PISTOLA DE ALEACION DE ALUMINIO P.CONDUCTOR AAAC 70MM2</v>
          </cell>
        </row>
        <row r="2612">
          <cell r="B2612">
            <v>5423232</v>
          </cell>
          <cell r="C2612" t="str">
            <v>FOR</v>
          </cell>
          <cell r="D2612" t="str">
            <v>GRAPA DE ANCLAJE TP.PISTOLA DE ALEACION DE ALUMINIO P.CONDUCTOR AAAC 70MM2</v>
          </cell>
        </row>
        <row r="2613">
          <cell r="B2613">
            <v>5423232</v>
          </cell>
          <cell r="C2613" t="str">
            <v>MTI</v>
          </cell>
          <cell r="D2613" t="str">
            <v>GRAPA DE ANCLAJE TP.PISTOLA DE ALEACION DE ALUMINIO P.CONDUCTOR AAAC 70MM2</v>
          </cell>
        </row>
        <row r="2614">
          <cell r="B2614">
            <v>5423254</v>
          </cell>
          <cell r="C2614" t="str">
            <v>AND</v>
          </cell>
          <cell r="D2614" t="str">
            <v>GRAPA DE ANCLAJE TP.PISTOLA DE ALEACION DE ALUMINIO P.CONDUCTOR AAAC 120MM2</v>
          </cell>
        </row>
        <row r="2615">
          <cell r="B2615">
            <v>5423254</v>
          </cell>
          <cell r="C2615" t="str">
            <v>ARR</v>
          </cell>
          <cell r="D2615" t="str">
            <v>GRAPA DE ANCLAJE TP.PISTOLA DE ALEACION DE ALUMINIO P.CONDUCTOR AAAC 120MM2</v>
          </cell>
        </row>
        <row r="2616">
          <cell r="B2616">
            <v>5423254</v>
          </cell>
          <cell r="C2616" t="str">
            <v>BET</v>
          </cell>
          <cell r="D2616" t="str">
            <v>GRAPA DE ANCLAJE TP.PISTOLA DE ALEACION DE ALUMINIO P.CONDUCTOR AAAC 120MM2</v>
          </cell>
        </row>
        <row r="2617">
          <cell r="B2617">
            <v>5423254</v>
          </cell>
          <cell r="C2617" t="str">
            <v>DUR</v>
          </cell>
          <cell r="D2617" t="str">
            <v>GRAPA DE ANCLAJE TP.PISTOLA DE ALEACION DE ALUMINIO P.CONDUCTOR AAAC 120MM2</v>
          </cell>
        </row>
        <row r="2618">
          <cell r="B2618">
            <v>5423254</v>
          </cell>
          <cell r="C2618" t="str">
            <v>ELC</v>
          </cell>
          <cell r="D2618" t="str">
            <v>GRAPA DE ANCLAJE TP.PISTOLA DE ALEACION DE ALUMINIO P.CONDUCTOR AAAC 120MM2</v>
          </cell>
        </row>
        <row r="2619">
          <cell r="B2619">
            <v>5423254</v>
          </cell>
          <cell r="C2619" t="str">
            <v>FOR</v>
          </cell>
          <cell r="D2619" t="str">
            <v>GRAPA DE ANCLAJE TP.PISTOLA DE ALEACION DE ALUMINIO P.CONDUCTOR AAAC 120MM2</v>
          </cell>
        </row>
        <row r="2620">
          <cell r="B2620">
            <v>5423254</v>
          </cell>
          <cell r="C2620" t="str">
            <v>MTI</v>
          </cell>
          <cell r="D2620" t="str">
            <v>GRAPA DE ANCLAJE TP.PISTOLA DE ALEACION DE ALUMINIO P.CONDUCTOR AAAC 120MM2</v>
          </cell>
        </row>
        <row r="2621">
          <cell r="B2621">
            <v>5423260</v>
          </cell>
          <cell r="C2621" t="str">
            <v>AND</v>
          </cell>
          <cell r="D2621" t="str">
            <v>GRAPA DE ANCLAJE TP.PISTOLA DE ALEACION DE ALUMINIO P.CONDUCTOR AAAC 185MM2</v>
          </cell>
        </row>
        <row r="2622">
          <cell r="B2622">
            <v>5423260</v>
          </cell>
          <cell r="C2622" t="str">
            <v>ARR</v>
          </cell>
          <cell r="D2622" t="str">
            <v>GRAPA DE ANCLAJE TP.PISTOLA DE ALEACION DE ALUMINIO P.CONDUCTOR AAAC 185MM2</v>
          </cell>
        </row>
        <row r="2623">
          <cell r="B2623">
            <v>5423260</v>
          </cell>
          <cell r="C2623" t="str">
            <v>BET</v>
          </cell>
          <cell r="D2623" t="str">
            <v>GRAPA DE ANCLAJE TP.PISTOLA DE ALEACION DE ALUMINIO P.CONDUCTOR AAAC 185MM2</v>
          </cell>
        </row>
        <row r="2624">
          <cell r="B2624">
            <v>5423260</v>
          </cell>
          <cell r="C2624" t="str">
            <v>DUR</v>
          </cell>
          <cell r="D2624" t="str">
            <v>GRAPA DE ANCLAJE TP.PISTOLA DE ALEACION DE ALUMINIO P.CONDUCTOR AAAC 185MM2</v>
          </cell>
        </row>
        <row r="2625">
          <cell r="B2625">
            <v>5423260</v>
          </cell>
          <cell r="C2625" t="str">
            <v>ELC</v>
          </cell>
          <cell r="D2625" t="str">
            <v>GRAPA DE ANCLAJE TP.PISTOLA DE ALEACION DE ALUMINIO P.CONDUCTOR AAAC 185MM2</v>
          </cell>
        </row>
        <row r="2626">
          <cell r="B2626">
            <v>5423260</v>
          </cell>
          <cell r="C2626" t="str">
            <v>FOR</v>
          </cell>
          <cell r="D2626" t="str">
            <v>GRAPA DE ANCLAJE TP.PISTOLA DE ALEACION DE ALUMINIO P.CONDUCTOR AAAC 185MM2</v>
          </cell>
        </row>
        <row r="2627">
          <cell r="B2627">
            <v>5423438</v>
          </cell>
          <cell r="C2627" t="str">
            <v>AND</v>
          </cell>
          <cell r="D2627" t="str">
            <v>GRAPA DE ANCLAJE TP.PISTOLA DE ACERO GALV. P.CONDUCTOR CU 16 - 70MM2</v>
          </cell>
        </row>
        <row r="2628">
          <cell r="B2628">
            <v>5423438</v>
          </cell>
          <cell r="C2628" t="str">
            <v>ARR</v>
          </cell>
          <cell r="D2628" t="str">
            <v>GRAPA DE ANCLAJE TP.PISTOLA DE ACERO GALV. P.CONDUCTOR CU 16 - 70MM2</v>
          </cell>
        </row>
        <row r="2629">
          <cell r="B2629">
            <v>5423438</v>
          </cell>
          <cell r="C2629" t="str">
            <v>ELM</v>
          </cell>
          <cell r="D2629" t="str">
            <v>GRAPA DE ANCLAJE TP.PISTOLA DE ACERO GALV. P.CONDUCTOR CU 16 - 70MM2</v>
          </cell>
        </row>
        <row r="2630">
          <cell r="B2630">
            <v>5423438</v>
          </cell>
          <cell r="C2630" t="str">
            <v>NGK</v>
          </cell>
          <cell r="D2630" t="str">
            <v>GRAPA DE ANCLAJE TP.PISTOLA DE ACERO GALV. P.CONDUCTOR CU 16 - 70MM2</v>
          </cell>
        </row>
        <row r="2631">
          <cell r="B2631">
            <v>5424416</v>
          </cell>
          <cell r="C2631" t="str">
            <v>AND</v>
          </cell>
          <cell r="D2631" t="str">
            <v>GRAPA ANCL.TP.PUÑO HO.GALV.P.CU.16/35MM2</v>
          </cell>
        </row>
        <row r="2632">
          <cell r="B2632">
            <v>5424416</v>
          </cell>
          <cell r="C2632" t="str">
            <v>NGK</v>
          </cell>
          <cell r="D2632" t="str">
            <v>GRAPA ANCL.TP.PUÑO HO.GALV.P.CU.16/35MM2</v>
          </cell>
        </row>
        <row r="2633">
          <cell r="B2633">
            <v>5424416</v>
          </cell>
          <cell r="C2633" t="str">
            <v>OBC</v>
          </cell>
          <cell r="D2633" t="str">
            <v>GRAPA ANCL.TP.PUÑO HO.GALV.P.CU.16/35MM2</v>
          </cell>
        </row>
        <row r="2634">
          <cell r="B2634">
            <v>5441220</v>
          </cell>
          <cell r="C2634" t="str">
            <v>ELC</v>
          </cell>
          <cell r="D2634" t="str">
            <v>GRILLETE DE ACERO GALV. 5/8" 82KN C.PIN Y PASADOR DE SEGURIDAD</v>
          </cell>
        </row>
        <row r="2635">
          <cell r="B2635">
            <v>5441220</v>
          </cell>
          <cell r="C2635" t="str">
            <v>ELD</v>
          </cell>
          <cell r="D2635" t="str">
            <v>GRILLETE DE ACERO GALV. 5/8" 82KN C.PIN Y PASADOR DE SEGURIDAD</v>
          </cell>
        </row>
        <row r="2636">
          <cell r="B2636">
            <v>5441220</v>
          </cell>
          <cell r="C2636" t="str">
            <v>JSY</v>
          </cell>
          <cell r="D2636" t="str">
            <v>GRILLETE DE ACERO GALV. 5/8" 82KN C.PIN Y PASADOR DE SEGURIDAD</v>
          </cell>
        </row>
        <row r="2637">
          <cell r="B2637">
            <v>5441220</v>
          </cell>
          <cell r="C2637" t="str">
            <v>NGK</v>
          </cell>
          <cell r="D2637" t="str">
            <v>GRILLETE DE ACERO GALV. 5/8" 82KN C.PIN Y PASADOR DE SEGURIDAD</v>
          </cell>
        </row>
        <row r="2638">
          <cell r="B2638">
            <v>5441232</v>
          </cell>
          <cell r="C2638" t="str">
            <v>FOR</v>
          </cell>
          <cell r="D2638" t="str">
            <v>ESLABON BOLA F-1353 NTERMEDIO DE ACERO</v>
          </cell>
        </row>
        <row r="2639">
          <cell r="B2639">
            <v>5441508</v>
          </cell>
          <cell r="C2639" t="str">
            <v>ELC</v>
          </cell>
          <cell r="D2639" t="str">
            <v>ESLABON BOLA DE ACERO GALV. 16MM DIAM. X 35 X 70MM DISTANCIA 105MM P.CADENA DE AISLADORES</v>
          </cell>
        </row>
        <row r="2640">
          <cell r="B2640">
            <v>5441620</v>
          </cell>
          <cell r="C2640" t="str">
            <v>ELD</v>
          </cell>
          <cell r="D2640" t="str">
            <v>ESLABON DOBLE TP.8 GIRATORIO DE ACERO GALV. P.FIJAR CONDUCTORES A AISLADORES EN LINEAS AREAS M.T.</v>
          </cell>
        </row>
        <row r="2641">
          <cell r="B2641">
            <v>5441620</v>
          </cell>
          <cell r="C2641" t="str">
            <v>PFJ</v>
          </cell>
          <cell r="D2641" t="str">
            <v>ESLABON DOBLE TP.8 GIRATORIO DE ACERO GALV. P.FIJAR CONDUCTORES A AISLADORES EN LINEAS AREAS M.T.</v>
          </cell>
        </row>
        <row r="2642">
          <cell r="B2642">
            <v>5441620</v>
          </cell>
          <cell r="C2642" t="str">
            <v>PIC</v>
          </cell>
          <cell r="D2642" t="str">
            <v>ESLABON DOBLE TP.8 GIRATORIO DE ACERO GALV. P.FIJAR CONDUCTORES A AISLADORES EN LINEAS AREAS M.T.</v>
          </cell>
        </row>
        <row r="2643">
          <cell r="B2643">
            <v>5442216</v>
          </cell>
          <cell r="C2643" t="str">
            <v>ARR</v>
          </cell>
          <cell r="D2643" t="str">
            <v>HORQUILLA-BOLA PARALELA AC.HO.70KN.ESFUERZO MINMO.</v>
          </cell>
        </row>
        <row r="2644">
          <cell r="B2644">
            <v>5442216</v>
          </cell>
          <cell r="C2644" t="str">
            <v>ELC</v>
          </cell>
          <cell r="D2644" t="str">
            <v>HORQUILLA-BOLA PARALELA AC.HO.70KN.ESFUERZO MINMO.</v>
          </cell>
        </row>
        <row r="2645">
          <cell r="B2645">
            <v>5442216</v>
          </cell>
          <cell r="C2645" t="str">
            <v>FOR</v>
          </cell>
          <cell r="D2645" t="str">
            <v>HORQUILLA-BOLA PARALELA AC.HO.70KN.ESFUERZO MINMO.</v>
          </cell>
        </row>
        <row r="2646">
          <cell r="B2646">
            <v>5442216</v>
          </cell>
          <cell r="C2646" t="str">
            <v>JSY</v>
          </cell>
          <cell r="D2646" t="str">
            <v>HORQUILLA-BOLA PARALELA AC.HO.70KN.ESFUERZO MINMO.</v>
          </cell>
        </row>
        <row r="2647">
          <cell r="B2647">
            <v>5442216</v>
          </cell>
          <cell r="C2647" t="str">
            <v>NGK</v>
          </cell>
          <cell r="D2647" t="str">
            <v>HORQUILLA-BOLA PARALELA AC.HO.70KN.ESFUERZO MINMO.</v>
          </cell>
        </row>
        <row r="2648">
          <cell r="B2648">
            <v>5442216</v>
          </cell>
          <cell r="C2648" t="str">
            <v>OBC</v>
          </cell>
          <cell r="D2648" t="str">
            <v>HORQUILLA-BOLA PARALELA AC.HO.70KN.ESFUERZO MINMO.</v>
          </cell>
        </row>
        <row r="2649">
          <cell r="B2649">
            <v>5443210</v>
          </cell>
          <cell r="C2649" t="str">
            <v>JSY</v>
          </cell>
          <cell r="D2649" t="str">
            <v>ROTULA HORQUILLA PARALEL.HO.G.PIN16MMD.ESF.MIN70KN</v>
          </cell>
        </row>
        <row r="2650">
          <cell r="B2650">
            <v>5443210</v>
          </cell>
          <cell r="C2650" t="str">
            <v>NGK</v>
          </cell>
          <cell r="D2650" t="str">
            <v>ROTULA HORQUILLA PARALEL.HO.G.PIN16MMD.ESF.MIN70KN</v>
          </cell>
        </row>
        <row r="2651">
          <cell r="B2651">
            <v>5443234</v>
          </cell>
          <cell r="C2651" t="str">
            <v>AND</v>
          </cell>
          <cell r="D2651" t="str">
            <v>ROTULA HORQUILLA PARALELA ACERO GALV.P.AA.120MM2.</v>
          </cell>
        </row>
        <row r="2652">
          <cell r="B2652">
            <v>5443420</v>
          </cell>
          <cell r="C2652" t="str">
            <v>ARR</v>
          </cell>
          <cell r="D2652" t="str">
            <v>ROTULA - OJAL CORTA DE H° G.C./ AGUJ. 17.5 MMD.ESF.MIN.70 KN- F-1305</v>
          </cell>
        </row>
        <row r="2653">
          <cell r="B2653">
            <v>5443420</v>
          </cell>
          <cell r="C2653" t="str">
            <v>ELC</v>
          </cell>
          <cell r="D2653" t="str">
            <v>ROTULA - OJAL CORTA DE H° G.C./ AGUJ. 17.5 MMD.ESF.MIN.70 KN- F-1305</v>
          </cell>
        </row>
        <row r="2654">
          <cell r="B2654">
            <v>5443420</v>
          </cell>
          <cell r="C2654" t="str">
            <v>FOR</v>
          </cell>
          <cell r="D2654" t="str">
            <v>ROTULA - OJAL CORTA DE H° G.C./ AGUJ. 17.5 MMD.ESF.MIN.70 KN- F-1305</v>
          </cell>
        </row>
        <row r="2655">
          <cell r="B2655">
            <v>5443420</v>
          </cell>
          <cell r="C2655" t="str">
            <v>JSY</v>
          </cell>
          <cell r="D2655" t="str">
            <v>ROTULA - OJAL CORTA DE H° G.C./ AGUJ. 17.5 MMD.ESF.MIN.70 KN- F-1305</v>
          </cell>
        </row>
        <row r="2656">
          <cell r="B2656">
            <v>5443420</v>
          </cell>
          <cell r="C2656" t="str">
            <v>NGK</v>
          </cell>
          <cell r="D2656" t="str">
            <v>ROTULA - OJAL CORTA DE H° G.C./ AGUJ. 17.5 MMD.ESF.MIN.70 KN- F-1305</v>
          </cell>
        </row>
        <row r="2657">
          <cell r="B2657">
            <v>5443610</v>
          </cell>
          <cell r="C2657" t="str">
            <v>ARR</v>
          </cell>
          <cell r="D2657" t="str">
            <v>ROTULA OJAL LARGA HO.G.C/AGUJ.17.5MMD.ESF.MIN.70KN</v>
          </cell>
        </row>
        <row r="2658">
          <cell r="B2658">
            <v>5443610</v>
          </cell>
          <cell r="C2658" t="str">
            <v>ELC</v>
          </cell>
          <cell r="D2658" t="str">
            <v>ROTULA OJAL LARGA HO.G.C/AGUJ.17.5MMD.ESF.MIN.70KN</v>
          </cell>
        </row>
        <row r="2659">
          <cell r="B2659">
            <v>5443610</v>
          </cell>
          <cell r="C2659" t="str">
            <v>FOR</v>
          </cell>
          <cell r="D2659" t="str">
            <v>ROTULA OJAL LARGA HO.G.C/AGUJ.17.5MMD.ESF.MIN.70KN</v>
          </cell>
        </row>
        <row r="2660">
          <cell r="B2660">
            <v>5443610</v>
          </cell>
          <cell r="C2660" t="str">
            <v>JSY</v>
          </cell>
          <cell r="D2660" t="str">
            <v>ROTULA OJAL LARGA HO.G.C/AGUJ.17.5MMD.ESF.MIN.70KN</v>
          </cell>
        </row>
        <row r="2661">
          <cell r="B2661">
            <v>5443610</v>
          </cell>
          <cell r="C2661" t="str">
            <v>NGK</v>
          </cell>
          <cell r="D2661" t="str">
            <v>ROTULA OJAL LARGA HO.G.C/AGUJ.17.5MMD.ESF.MIN.70KN</v>
          </cell>
        </row>
        <row r="2662">
          <cell r="B2662">
            <v>5445410</v>
          </cell>
          <cell r="C2662" t="str">
            <v>NGK</v>
          </cell>
          <cell r="D2662" t="str">
            <v>EXTENSION AC.GALV. 17.5MMDX160MML 10KV.</v>
          </cell>
        </row>
        <row r="2663">
          <cell r="B2663">
            <v>5461237</v>
          </cell>
          <cell r="C2663" t="str">
            <v>ELD</v>
          </cell>
          <cell r="D2663" t="str">
            <v>ARANDELA CUADRADA PLANA DE ACERO GALV. 75 X 4,5MM C.AGUJERO 21MM DIAM</v>
          </cell>
        </row>
        <row r="2664">
          <cell r="B2664">
            <v>5461238</v>
          </cell>
          <cell r="C2664" t="str">
            <v>CMD</v>
          </cell>
          <cell r="D2664" t="str">
            <v>ARANDELA CUADRADA PLANA DE ACERO GALV. 55 X 4,5MM C.AGUJERO 17,5MM DIAM</v>
          </cell>
        </row>
        <row r="2665">
          <cell r="B2665">
            <v>5461238</v>
          </cell>
          <cell r="C2665" t="str">
            <v>ELD</v>
          </cell>
          <cell r="D2665" t="str">
            <v>ARANDELA CUADRADA PLANA DE ACERO GALV. 55 X 4,5MM C.AGUJERO 17,5MM DIAM</v>
          </cell>
        </row>
        <row r="2666">
          <cell r="B2666">
            <v>5461238</v>
          </cell>
          <cell r="C2666" t="str">
            <v>PFJ</v>
          </cell>
          <cell r="D2666" t="str">
            <v>ARANDELA CUADRADA PLANA DE ACERO GALV. 55 X 4,5MM C.AGUJERO 17,5MM DIAM</v>
          </cell>
        </row>
        <row r="2667">
          <cell r="B2667">
            <v>5461238</v>
          </cell>
          <cell r="C2667" t="str">
            <v>PIC</v>
          </cell>
          <cell r="D2667" t="str">
            <v>ARANDELA CUADRADA PLANA DE ACERO GALV. 55 X 4,5MM C.AGUJERO 17,5MM DIAM</v>
          </cell>
        </row>
        <row r="2668">
          <cell r="B2668">
            <v>5461334</v>
          </cell>
          <cell r="C2668" t="str">
            <v>CIN</v>
          </cell>
          <cell r="D2668" t="str">
            <v>ARANDELA CUADRADA PLANA DE BRONCE 75 X 75 X 13MM C.AGUJERO 21MM DIAM</v>
          </cell>
        </row>
        <row r="2669">
          <cell r="B2669">
            <v>5461334</v>
          </cell>
          <cell r="C2669" t="str">
            <v>CMD</v>
          </cell>
          <cell r="D2669" t="str">
            <v>ARANDELA CUADRADA PLANA DE BRONCE 75 X 75 X 13MM C.AGUJERO 21MM DIAM</v>
          </cell>
        </row>
        <row r="2670">
          <cell r="B2670">
            <v>5461334</v>
          </cell>
          <cell r="C2670" t="str">
            <v>CPW</v>
          </cell>
          <cell r="D2670" t="str">
            <v>ARANDELA CUADRADA PLANA DE BRONCE 75 X 75 X 13MM C.AGUJERO 21MM DIAM</v>
          </cell>
        </row>
        <row r="2671">
          <cell r="B2671">
            <v>5461334</v>
          </cell>
          <cell r="C2671" t="str">
            <v>ELD</v>
          </cell>
          <cell r="D2671" t="str">
            <v>ARANDELA CUADRADA PLANA DE BRONCE 75 X 75 X 13MM C.AGUJERO 21MM DIAM</v>
          </cell>
        </row>
        <row r="2672">
          <cell r="B2672">
            <v>5461334</v>
          </cell>
          <cell r="C2672" t="str">
            <v>JSY</v>
          </cell>
          <cell r="D2672" t="str">
            <v>ARANDELA CUADRADA PLANA DE BRONCE 75 X 75 X 13MM C.AGUJERO 21MM DIAM</v>
          </cell>
        </row>
        <row r="2673">
          <cell r="B2673">
            <v>5461504</v>
          </cell>
          <cell r="C2673" t="str">
            <v>ELD</v>
          </cell>
          <cell r="D2673" t="str">
            <v>ARANDELA CUADRADA CURVA DE ACERO GALV. 40 X 40 X 5MM C.AGUJERO 14MM DIAM</v>
          </cell>
        </row>
        <row r="2674">
          <cell r="B2674">
            <v>5461504</v>
          </cell>
          <cell r="C2674" t="str">
            <v>PFJ</v>
          </cell>
          <cell r="D2674" t="str">
            <v>ARANDELA CUADRADA CURVA DE ACERO GALV. 40 X 40 X 5MM C.AGUJERO 14MM DIAM</v>
          </cell>
        </row>
        <row r="2675">
          <cell r="B2675">
            <v>5461504</v>
          </cell>
          <cell r="C2675" t="str">
            <v>PIC</v>
          </cell>
          <cell r="D2675" t="str">
            <v>ARANDELA CUADRADA CURVA DE ACERO GALV. 40 X 40 X 5MM C.AGUJERO 14MM DIAM</v>
          </cell>
        </row>
        <row r="2676">
          <cell r="B2676">
            <v>5461510</v>
          </cell>
          <cell r="C2676" t="str">
            <v>CMD</v>
          </cell>
          <cell r="D2676" t="str">
            <v>ARANDELA CUADRADA CURVA DE ACERO GALV. 55 X 5MM C.AGUJERO 17,5MM DIAM</v>
          </cell>
        </row>
        <row r="2677">
          <cell r="B2677">
            <v>5461510</v>
          </cell>
          <cell r="C2677" t="str">
            <v>ELD</v>
          </cell>
          <cell r="D2677" t="str">
            <v>ARANDELA CUADRADA CURVA DE ACERO GALV. 55 X 5MM C.AGUJERO 17,5MM DIAM</v>
          </cell>
        </row>
        <row r="2678">
          <cell r="B2678">
            <v>5461510</v>
          </cell>
          <cell r="C2678" t="str">
            <v>PFJ</v>
          </cell>
          <cell r="D2678" t="str">
            <v>ARANDELA CUADRADA CURVA DE ACERO GALV. 55 X 5MM C.AGUJERO 17,5MM DIAM</v>
          </cell>
        </row>
        <row r="2679">
          <cell r="B2679">
            <v>5461510</v>
          </cell>
          <cell r="C2679" t="str">
            <v>PFJ</v>
          </cell>
          <cell r="D2679" t="str">
            <v>ARANDELA CUADRADA CURVA DE ACERO GALV. 55 X 5MM C.AGUJERO 17,5MM DIAM</v>
          </cell>
        </row>
        <row r="2680">
          <cell r="B2680">
            <v>5461510</v>
          </cell>
          <cell r="C2680" t="str">
            <v>PIC</v>
          </cell>
          <cell r="D2680" t="str">
            <v>ARANDELA CUADRADA CURVA DE ACERO GALV. 55 X 5MM C.AGUJERO 17,5MM DIAM</v>
          </cell>
        </row>
        <row r="2681">
          <cell r="B2681">
            <v>5461536</v>
          </cell>
          <cell r="C2681" t="str">
            <v>CMD</v>
          </cell>
          <cell r="D2681" t="str">
            <v>ARANDELA CUADRADA CURVA DE ACERO GALV. 3" X 3" X 3/16" C.AGUJERO 11/16" DIAM</v>
          </cell>
        </row>
        <row r="2682">
          <cell r="B2682">
            <v>5461536</v>
          </cell>
          <cell r="C2682" t="str">
            <v>ELD</v>
          </cell>
          <cell r="D2682" t="str">
            <v>ARANDELA CUADRADA CURVA DE ACERO GALV. 3" X 3" X 3/16" C.AGUJERO 11/16" DIAM</v>
          </cell>
        </row>
        <row r="2683">
          <cell r="B2683">
            <v>5461536</v>
          </cell>
          <cell r="C2683" t="str">
            <v>PFJ</v>
          </cell>
          <cell r="D2683" t="str">
            <v>ARANDELA CUADRADA CURVA DE ACERO GALV. 3" X 3" X 3/16" C.AGUJERO 11/16" DIAM</v>
          </cell>
        </row>
        <row r="2684">
          <cell r="B2684">
            <v>5461536</v>
          </cell>
          <cell r="C2684" t="str">
            <v>PIC</v>
          </cell>
          <cell r="D2684" t="str">
            <v>ARANDELA CUADRADA CURVA DE ACERO GALV. 3" X 3" X 3/16" C.AGUJERO 11/16" DIAM</v>
          </cell>
        </row>
        <row r="2685">
          <cell r="B2685">
            <v>5462140</v>
          </cell>
          <cell r="C2685" t="str">
            <v>CMD</v>
          </cell>
          <cell r="D2685" t="str">
            <v>SOPORTE PASANTE ACERO GALV. 350MM LONG. 1 3/8" DIAM. P.AISLADORES TP.PIN C.ACCESORIOS</v>
          </cell>
        </row>
        <row r="2686">
          <cell r="B2686">
            <v>5462140</v>
          </cell>
          <cell r="C2686" t="str">
            <v>ELD</v>
          </cell>
          <cell r="D2686" t="str">
            <v>SOPORTE PASANTE ACERO GALV. 350MM LONG. 1 3/8" DIAM. P.AISLADORES TP.PIN C.ACCESORIOS</v>
          </cell>
        </row>
        <row r="2687">
          <cell r="B2687">
            <v>5462140</v>
          </cell>
          <cell r="C2687" t="str">
            <v>KSH</v>
          </cell>
          <cell r="D2687" t="str">
            <v>SOPORTE PASANTE ACERO GALV. 350MM LONG. 1 3/8" DIAM. P.AISLADORES TP.PIN C.ACCESORIOS</v>
          </cell>
        </row>
        <row r="2688">
          <cell r="B2688">
            <v>5462145</v>
          </cell>
          <cell r="C2688" t="str">
            <v>ELD</v>
          </cell>
          <cell r="D2688" t="str">
            <v>SOPORTE PASANTE ACERO GALV. 201MM LONG. 22MM / 3/4" DIAM. P.AISLADORES TP.PIN C.ACCESORIOS</v>
          </cell>
        </row>
        <row r="2689">
          <cell r="B2689">
            <v>5462240</v>
          </cell>
          <cell r="C2689" t="str">
            <v>CHN</v>
          </cell>
          <cell r="D2689" t="str">
            <v>SOPORTE LATERAL AC.GALV.34,9MMD.P.AISL.56.2  10KV.</v>
          </cell>
        </row>
        <row r="2690">
          <cell r="B2690">
            <v>5462240</v>
          </cell>
          <cell r="C2690" t="str">
            <v>JSY</v>
          </cell>
          <cell r="D2690" t="str">
            <v>SOPORTE LATERAL AC.GALV.34,9MMD.P.AISL.56.2  10KV.</v>
          </cell>
        </row>
        <row r="2691">
          <cell r="B2691">
            <v>5462245</v>
          </cell>
          <cell r="C2691" t="str">
            <v>COR</v>
          </cell>
          <cell r="D2691" t="str">
            <v>SOPORTE LATERAL PARA AISLADOR  HIBRIDO PIN 10KV.</v>
          </cell>
        </row>
        <row r="2692">
          <cell r="B2692">
            <v>5462245</v>
          </cell>
          <cell r="C2692" t="str">
            <v>ELD</v>
          </cell>
          <cell r="D2692" t="str">
            <v>SOPORTE LATERAL PARA AISLADOR  HIBRIDO PIN 10KV.</v>
          </cell>
        </row>
        <row r="2693">
          <cell r="B2693">
            <v>5462246</v>
          </cell>
          <cell r="C2693" t="str">
            <v>COR</v>
          </cell>
          <cell r="D2693" t="str">
            <v>SOPORTE LATERAL DE ACERO GALV. P.AISLADOR TP.PIN HIBRIDO O POLIMERICO 22,9KV</v>
          </cell>
        </row>
        <row r="2694">
          <cell r="B2694">
            <v>5462246</v>
          </cell>
          <cell r="C2694" t="str">
            <v>ELD</v>
          </cell>
          <cell r="D2694" t="str">
            <v>SOPORTE LATERAL DE ACERO GALV. P.AISLADOR TP.PIN HIBRIDO O POLIMERICO 22,9KV</v>
          </cell>
        </row>
        <row r="2695">
          <cell r="B2695">
            <v>5463110</v>
          </cell>
          <cell r="C2695" t="str">
            <v>ABH</v>
          </cell>
          <cell r="D2695" t="str">
            <v>VARILLA ROSCADA AC.GALV. 16MMD. X 250MML. L.AEREAS</v>
          </cell>
        </row>
        <row r="2696">
          <cell r="B2696">
            <v>5463110</v>
          </cell>
          <cell r="C2696" t="str">
            <v>CMD</v>
          </cell>
          <cell r="D2696" t="str">
            <v>VARILLA ROSCADA AC.GALV. 16MMD. X 250MML. L.AEREAS</v>
          </cell>
        </row>
        <row r="2697">
          <cell r="B2697">
            <v>5463110</v>
          </cell>
          <cell r="C2697" t="str">
            <v>ELD</v>
          </cell>
          <cell r="D2697" t="str">
            <v>VARILLA ROSCADA AC.GALV. 16MMD. X 250MML. L.AEREAS</v>
          </cell>
        </row>
        <row r="2698">
          <cell r="B2698">
            <v>5463110</v>
          </cell>
          <cell r="C2698" t="str">
            <v>JSY</v>
          </cell>
          <cell r="D2698" t="str">
            <v>VARILLA ROSCADA AC.GALV. 16MMD. X 250MML. L.AEREAS</v>
          </cell>
        </row>
        <row r="2699">
          <cell r="B2699">
            <v>5463110</v>
          </cell>
          <cell r="C2699" t="str">
            <v>MDP</v>
          </cell>
          <cell r="D2699" t="str">
            <v>VARILLA ROSCADA AC.GALV. 16MMD. X 250MML. L.AEREAS</v>
          </cell>
        </row>
        <row r="2700">
          <cell r="B2700">
            <v>5463112</v>
          </cell>
          <cell r="C2700" t="str">
            <v>ABH</v>
          </cell>
          <cell r="D2700" t="str">
            <v>VARILLA ROSCADA AC.GALV. 16MMD. X 300MML. L.AEREAS</v>
          </cell>
        </row>
        <row r="2701">
          <cell r="B2701">
            <v>5463112</v>
          </cell>
          <cell r="C2701" t="str">
            <v>CMD</v>
          </cell>
          <cell r="D2701" t="str">
            <v>VARILLA ROSCADA AC.GALV. 16MMD. X 300MML. L.AEREAS</v>
          </cell>
        </row>
        <row r="2702">
          <cell r="B2702">
            <v>5463112</v>
          </cell>
          <cell r="C2702" t="str">
            <v>ELD</v>
          </cell>
          <cell r="D2702" t="str">
            <v>VARILLA ROSCADA AC.GALV. 16MMD. X 300MML. L.AEREAS</v>
          </cell>
        </row>
        <row r="2703">
          <cell r="B2703">
            <v>5463112</v>
          </cell>
          <cell r="C2703" t="str">
            <v>JSY</v>
          </cell>
          <cell r="D2703" t="str">
            <v>VARILLA ROSCADA AC.GALV. 16MMD. X 300MML. L.AEREAS</v>
          </cell>
        </row>
        <row r="2704">
          <cell r="B2704">
            <v>5463112</v>
          </cell>
          <cell r="C2704" t="str">
            <v>MDP</v>
          </cell>
          <cell r="D2704" t="str">
            <v>VARILLA ROSCADA AC.GALV. 16MMD. X 300MML. L.AEREAS</v>
          </cell>
        </row>
        <row r="2705">
          <cell r="B2705">
            <v>5463114</v>
          </cell>
          <cell r="C2705" t="str">
            <v>ABH</v>
          </cell>
          <cell r="D2705" t="str">
            <v>VARILLA ROSCADA AC.GALV. 16MMD. X 350MML. L.AEREAS</v>
          </cell>
        </row>
        <row r="2706">
          <cell r="B2706">
            <v>5463114</v>
          </cell>
          <cell r="C2706" t="str">
            <v>CMD</v>
          </cell>
          <cell r="D2706" t="str">
            <v>VARILLA ROSCADA AC.GALV. 16MMD. X 350MML. L.AEREAS</v>
          </cell>
        </row>
        <row r="2707">
          <cell r="B2707">
            <v>5463114</v>
          </cell>
          <cell r="C2707" t="str">
            <v>ELD</v>
          </cell>
          <cell r="D2707" t="str">
            <v>VARILLA ROSCADA AC.GALV. 16MMD. X 350MML. L.AEREAS</v>
          </cell>
        </row>
        <row r="2708">
          <cell r="B2708">
            <v>5463114</v>
          </cell>
          <cell r="C2708" t="str">
            <v>JSY</v>
          </cell>
          <cell r="D2708" t="str">
            <v>VARILLA ROSCADA AC.GALV. 16MMD. X 350MML. L.AEREAS</v>
          </cell>
        </row>
        <row r="2709">
          <cell r="B2709">
            <v>5463114</v>
          </cell>
          <cell r="C2709" t="str">
            <v>MDP</v>
          </cell>
          <cell r="D2709" t="str">
            <v>VARILLA ROSCADA AC.GALV. 16MMD. X 350MML. L.AEREAS</v>
          </cell>
        </row>
        <row r="2710">
          <cell r="B2710">
            <v>5463116</v>
          </cell>
          <cell r="C2710" t="str">
            <v>ABH</v>
          </cell>
          <cell r="D2710" t="str">
            <v>VARILLA ROSCADA AC.GALV. 16MMD. X 400MML. L.AEREAS</v>
          </cell>
        </row>
        <row r="2711">
          <cell r="B2711">
            <v>5463116</v>
          </cell>
          <cell r="C2711" t="str">
            <v>CMD</v>
          </cell>
          <cell r="D2711" t="str">
            <v>VARILLA ROSCADA AC.GALV. 16MMD. X 400MML. L.AEREAS</v>
          </cell>
        </row>
        <row r="2712">
          <cell r="B2712">
            <v>5463116</v>
          </cell>
          <cell r="C2712" t="str">
            <v>ELD</v>
          </cell>
          <cell r="D2712" t="str">
            <v>VARILLA ROSCADA AC.GALV. 16MMD. X 400MML. L.AEREAS</v>
          </cell>
        </row>
        <row r="2713">
          <cell r="B2713">
            <v>5463116</v>
          </cell>
          <cell r="C2713" t="str">
            <v>JSY</v>
          </cell>
          <cell r="D2713" t="str">
            <v>VARILLA ROSCADA AC.GALV. 16MMD. X 400MML. L.AEREAS</v>
          </cell>
        </row>
        <row r="2714">
          <cell r="B2714">
            <v>5463116</v>
          </cell>
          <cell r="C2714" t="str">
            <v>MDP</v>
          </cell>
          <cell r="D2714" t="str">
            <v>VARILLA ROSCADA AC.GALV. 16MMD. X 400MML. L.AEREAS</v>
          </cell>
        </row>
        <row r="2715">
          <cell r="B2715">
            <v>5463118</v>
          </cell>
          <cell r="C2715" t="str">
            <v>ABH</v>
          </cell>
          <cell r="D2715" t="str">
            <v>VARILLA ROSCADA AC.GALV. 16MMD. X 450MML. L.AEREAS</v>
          </cell>
        </row>
        <row r="2716">
          <cell r="B2716">
            <v>5463118</v>
          </cell>
          <cell r="C2716" t="str">
            <v>CMD</v>
          </cell>
          <cell r="D2716" t="str">
            <v>VARILLA ROSCADA AC.GALV. 16MMD. X 450MML. L.AEREAS</v>
          </cell>
        </row>
        <row r="2717">
          <cell r="B2717">
            <v>5463118</v>
          </cell>
          <cell r="C2717" t="str">
            <v>ELD</v>
          </cell>
          <cell r="D2717" t="str">
            <v>VARILLA ROSCADA AC.GALV. 16MMD. X 450MML. L.AEREAS</v>
          </cell>
        </row>
        <row r="2718">
          <cell r="B2718">
            <v>5463118</v>
          </cell>
          <cell r="C2718" t="str">
            <v>JSY</v>
          </cell>
          <cell r="D2718" t="str">
            <v>VARILLA ROSCADA AC.GALV. 16MMD. X 450MML. L.AEREAS</v>
          </cell>
        </row>
        <row r="2719">
          <cell r="B2719">
            <v>5463118</v>
          </cell>
          <cell r="C2719" t="str">
            <v>MDP</v>
          </cell>
          <cell r="D2719" t="str">
            <v>VARILLA ROSCADA AC.GALV. 16MMD. X 450MML. L.AEREAS</v>
          </cell>
        </row>
        <row r="2720">
          <cell r="B2720">
            <v>5463120</v>
          </cell>
          <cell r="C2720" t="str">
            <v>ABH</v>
          </cell>
          <cell r="D2720" t="str">
            <v>VARILLA ROSCADA AC. GALV. 16MMD. X 500MML. AEREAS</v>
          </cell>
        </row>
        <row r="2721">
          <cell r="B2721">
            <v>5463120</v>
          </cell>
          <cell r="C2721" t="str">
            <v>CMD</v>
          </cell>
          <cell r="D2721" t="str">
            <v>VARILLA ROSCADA AC. GALV. 16MMD. X 500MML. AEREAS</v>
          </cell>
        </row>
        <row r="2722">
          <cell r="B2722">
            <v>5463120</v>
          </cell>
          <cell r="C2722" t="str">
            <v>ELD</v>
          </cell>
          <cell r="D2722" t="str">
            <v>VARILLA ROSCADA AC. GALV. 16MMD. X 500MML. AEREAS</v>
          </cell>
        </row>
        <row r="2723">
          <cell r="B2723">
            <v>5463120</v>
          </cell>
          <cell r="C2723" t="str">
            <v>JSY</v>
          </cell>
          <cell r="D2723" t="str">
            <v>VARILLA ROSCADA AC. GALV. 16MMD. X 500MML. AEREAS</v>
          </cell>
        </row>
        <row r="2724">
          <cell r="B2724">
            <v>5463120</v>
          </cell>
          <cell r="C2724" t="str">
            <v>MDP</v>
          </cell>
          <cell r="D2724" t="str">
            <v>VARILLA ROSCADA AC. GALV. 16MMD. X 500MML. AEREAS</v>
          </cell>
        </row>
        <row r="2725">
          <cell r="B2725">
            <v>5463122</v>
          </cell>
          <cell r="C2725" t="str">
            <v>ABH</v>
          </cell>
          <cell r="D2725" t="str">
            <v>VARILLA ROSCADA AC.GALV. 16MMD. X 550MML. L.AEREAS</v>
          </cell>
        </row>
        <row r="2726">
          <cell r="B2726">
            <v>5463122</v>
          </cell>
          <cell r="C2726" t="str">
            <v>CMD</v>
          </cell>
          <cell r="D2726" t="str">
            <v>VARILLA ROSCADA AC.GALV. 16MMD. X 550MML. L.AEREAS</v>
          </cell>
        </row>
        <row r="2727">
          <cell r="B2727">
            <v>5463122</v>
          </cell>
          <cell r="C2727" t="str">
            <v>ELD</v>
          </cell>
          <cell r="D2727" t="str">
            <v>VARILLA ROSCADA AC.GALV. 16MMD. X 550MML. L.AEREAS</v>
          </cell>
        </row>
        <row r="2728">
          <cell r="B2728">
            <v>5463122</v>
          </cell>
          <cell r="C2728" t="str">
            <v>JSY</v>
          </cell>
          <cell r="D2728" t="str">
            <v>VARILLA ROSCADA AC.GALV. 16MMD. X 550MML. L.AEREAS</v>
          </cell>
        </row>
        <row r="2729">
          <cell r="B2729">
            <v>5463122</v>
          </cell>
          <cell r="C2729" t="str">
            <v>MDP</v>
          </cell>
          <cell r="D2729" t="str">
            <v>VARILLA ROSCADA AC.GALV. 16MMD. X 550MML. L.AEREAS</v>
          </cell>
        </row>
        <row r="2730">
          <cell r="B2730">
            <v>5463124</v>
          </cell>
          <cell r="C2730" t="str">
            <v>ABH</v>
          </cell>
          <cell r="D2730" t="str">
            <v>VARILLA ROSCADA AC.GALV. 16MMD. X 600MML. L.AEREAS</v>
          </cell>
        </row>
        <row r="2731">
          <cell r="B2731">
            <v>5463124</v>
          </cell>
          <cell r="C2731" t="str">
            <v>CMD</v>
          </cell>
          <cell r="D2731" t="str">
            <v>VARILLA ROSCADA AC.GALV. 16MMD. X 600MML. L.AEREAS</v>
          </cell>
        </row>
        <row r="2732">
          <cell r="B2732">
            <v>5463124</v>
          </cell>
          <cell r="C2732" t="str">
            <v>ELD</v>
          </cell>
          <cell r="D2732" t="str">
            <v>VARILLA ROSCADA AC.GALV. 16MMD. X 600MML. L.AEREAS</v>
          </cell>
        </row>
        <row r="2733">
          <cell r="B2733">
            <v>5463124</v>
          </cell>
          <cell r="C2733" t="str">
            <v>JSY</v>
          </cell>
          <cell r="D2733" t="str">
            <v>VARILLA ROSCADA AC.GALV. 16MMD. X 600MML. L.AEREAS</v>
          </cell>
        </row>
        <row r="2734">
          <cell r="B2734">
            <v>5463124</v>
          </cell>
          <cell r="C2734" t="str">
            <v>MDP</v>
          </cell>
          <cell r="D2734" t="str">
            <v>VARILLA ROSCADA AC.GALV. 16MMD. X 600MML. L.AEREAS</v>
          </cell>
        </row>
        <row r="2735">
          <cell r="B2735">
            <v>5463128</v>
          </cell>
          <cell r="C2735" t="str">
            <v>ABH</v>
          </cell>
          <cell r="D2735" t="str">
            <v>VARILLA ROSCADA AC.GALV. 16MMD. X 700MML. L.AEREAS</v>
          </cell>
        </row>
        <row r="2736">
          <cell r="B2736">
            <v>5463128</v>
          </cell>
          <cell r="C2736" t="str">
            <v>CMD</v>
          </cell>
          <cell r="D2736" t="str">
            <v>VARILLA ROSCADA AC.GALV. 16MMD. X 700MML. L.AEREAS</v>
          </cell>
        </row>
        <row r="2737">
          <cell r="B2737">
            <v>5463128</v>
          </cell>
          <cell r="C2737" t="str">
            <v>ELD</v>
          </cell>
          <cell r="D2737" t="str">
            <v>VARILLA ROSCADA AC.GALV. 16MMD. X 700MML. L.AEREAS</v>
          </cell>
        </row>
        <row r="2738">
          <cell r="B2738">
            <v>5463128</v>
          </cell>
          <cell r="C2738" t="str">
            <v>JSY</v>
          </cell>
          <cell r="D2738" t="str">
            <v>VARILLA ROSCADA AC.GALV. 16MMD. X 700MML. L.AEREAS</v>
          </cell>
        </row>
        <row r="2739">
          <cell r="B2739">
            <v>5463128</v>
          </cell>
          <cell r="C2739" t="str">
            <v>MDP</v>
          </cell>
          <cell r="D2739" t="str">
            <v>VARILLA ROSCADA AC.GALV. 16MMD. X 700MML. L.AEREAS</v>
          </cell>
        </row>
        <row r="2740">
          <cell r="B2740">
            <v>5463130</v>
          </cell>
          <cell r="C2740" t="str">
            <v>CMD</v>
          </cell>
          <cell r="D2740" t="str">
            <v>VARILLA ROSCADA AC.GALV.DE 5/8PULG.D.X760MML.P.L.A</v>
          </cell>
        </row>
        <row r="2741">
          <cell r="B2741">
            <v>5463130</v>
          </cell>
          <cell r="C2741" t="str">
            <v>ELC</v>
          </cell>
          <cell r="D2741" t="str">
            <v>VARILLA ROSCADA AC.GALV.DE 5/8PULG.D.X760MML.P.L.A</v>
          </cell>
        </row>
        <row r="2742">
          <cell r="B2742">
            <v>5463168</v>
          </cell>
          <cell r="C2742" t="str">
            <v>CMD</v>
          </cell>
          <cell r="D2742" t="str">
            <v>VARILLA ROSCADA AC.GALV.DE 3/4PULG.D.X660MML.P.L.A</v>
          </cell>
        </row>
        <row r="2743">
          <cell r="B2743">
            <v>5463168</v>
          </cell>
          <cell r="C2743" t="str">
            <v>ELC</v>
          </cell>
          <cell r="D2743" t="str">
            <v>VARILLA ROSCADA AC.GALV.DE 3/4PULG.D.X660MML.P.L.A</v>
          </cell>
        </row>
        <row r="2744">
          <cell r="B2744">
            <v>5463212</v>
          </cell>
          <cell r="C2744" t="str">
            <v>CMD</v>
          </cell>
          <cell r="D2744" t="str">
            <v>VARILLA ROSCADA DE BRONCE 5/8PULG.D.X300MML.P.L.A.</v>
          </cell>
        </row>
        <row r="2745">
          <cell r="B2745">
            <v>5463214</v>
          </cell>
          <cell r="C2745" t="str">
            <v>CMD</v>
          </cell>
          <cell r="D2745" t="str">
            <v>VARILLA ROSCADA DE BRONCE 5/8PULG.D.X350MML.P.L.A.</v>
          </cell>
        </row>
        <row r="2746">
          <cell r="B2746">
            <v>5463216</v>
          </cell>
          <cell r="C2746" t="str">
            <v>CMD</v>
          </cell>
          <cell r="D2746" t="str">
            <v>VARILLA ROSCADA DE BRONCE 5/8PULG.D.X400MML.P.L.A.</v>
          </cell>
        </row>
        <row r="2747">
          <cell r="B2747">
            <v>5463620</v>
          </cell>
          <cell r="C2747" t="str">
            <v>CMD</v>
          </cell>
          <cell r="D2747" t="str">
            <v>OJAL ROSCADO AC.GALV.,DE 5/8PULG.D. X80MML. P.L.A.</v>
          </cell>
        </row>
        <row r="2748">
          <cell r="B2748">
            <v>5463620</v>
          </cell>
          <cell r="C2748" t="str">
            <v>ELD</v>
          </cell>
          <cell r="D2748" t="str">
            <v>OJAL ROSCADO AC.GALV.,DE 5/8PULG.D. X80MML. P.L.A.</v>
          </cell>
        </row>
        <row r="2749">
          <cell r="B2749">
            <v>5463620</v>
          </cell>
          <cell r="C2749" t="str">
            <v>FOR</v>
          </cell>
          <cell r="D2749" t="str">
            <v>OJAL ROSCADO AC.GALV.,DE 5/8PULG.D. X80MML. P.L.A.</v>
          </cell>
        </row>
        <row r="2750">
          <cell r="B2750">
            <v>5463620</v>
          </cell>
          <cell r="C2750" t="str">
            <v>JSY</v>
          </cell>
          <cell r="D2750" t="str">
            <v>OJAL ROSCADO AC.GALV.,DE 5/8PULG.D. X80MML. P.L.A.</v>
          </cell>
        </row>
        <row r="2751">
          <cell r="B2751">
            <v>5463624</v>
          </cell>
          <cell r="C2751" t="str">
            <v>CMD</v>
          </cell>
          <cell r="D2751" t="str">
            <v>OJAL ROSCADO AC.GALV.16MMD. P.VIENTOS L.A.     B.T</v>
          </cell>
        </row>
        <row r="2752">
          <cell r="B2752">
            <v>5463624</v>
          </cell>
          <cell r="C2752" t="str">
            <v>ELD</v>
          </cell>
          <cell r="D2752" t="str">
            <v>OJAL ROSCADO AC.GALV.16MMD. P.VIENTOS L.A.     B.T</v>
          </cell>
        </row>
        <row r="2753">
          <cell r="B2753">
            <v>5463642</v>
          </cell>
          <cell r="C2753" t="str">
            <v>CMD</v>
          </cell>
          <cell r="D2753" t="str">
            <v>OJAL ROSCADO AC.GALV.,DE 3/4PULG.D. X86MML. P.L.A.</v>
          </cell>
        </row>
        <row r="2754">
          <cell r="B2754">
            <v>5463642</v>
          </cell>
          <cell r="C2754" t="str">
            <v>COO</v>
          </cell>
          <cell r="D2754" t="str">
            <v>OJAL ROSCADO AC.GALV.,DE 3/4PULG.D. X86MML. P.L.A.</v>
          </cell>
        </row>
        <row r="2755">
          <cell r="B2755">
            <v>5463642</v>
          </cell>
          <cell r="C2755" t="str">
            <v>ELD</v>
          </cell>
          <cell r="D2755" t="str">
            <v>OJAL ROSCADO AC.GALV.,DE 3/4PULG.D. X86MML. P.L.A.</v>
          </cell>
        </row>
        <row r="2756">
          <cell r="B2756">
            <v>5463710</v>
          </cell>
          <cell r="C2756" t="str">
            <v>ELD</v>
          </cell>
          <cell r="D2756" t="str">
            <v>OJAL ROSCADO 1 VIA , AC.GALV.DE  3/4PULG.D. P.L.A.</v>
          </cell>
        </row>
        <row r="2757">
          <cell r="B2757">
            <v>5463710</v>
          </cell>
          <cell r="C2757" t="str">
            <v>JSY</v>
          </cell>
          <cell r="D2757" t="str">
            <v>OJAL ROSCADO 1 VIA , AC.GALV.DE  3/4PULG.D. P.L.A.</v>
          </cell>
        </row>
        <row r="2758">
          <cell r="B2758">
            <v>5463714</v>
          </cell>
          <cell r="C2758" t="str">
            <v>JSY</v>
          </cell>
          <cell r="D2758" t="str">
            <v>OJAL S/ROSC.,AC.GALV.3/4PULG.D.X100MML.JOSLYN 1127</v>
          </cell>
        </row>
        <row r="2759">
          <cell r="B2759">
            <v>5464101</v>
          </cell>
          <cell r="C2759" t="str">
            <v>ELD</v>
          </cell>
          <cell r="D2759" t="str">
            <v>ESLABON ANGULAR DE ACERO GALV. 17,50MM P.ENLACE EN ESTRUCTURAS DE REDES AEREAS</v>
          </cell>
        </row>
        <row r="2760">
          <cell r="B2760">
            <v>5464101</v>
          </cell>
          <cell r="C2760" t="str">
            <v>PBL</v>
          </cell>
          <cell r="D2760" t="str">
            <v>ESLABON ANGULAR DE ACERO GALV. 17,50MM P.ENLACE EN ESTRUCTURAS DE REDES AEREAS</v>
          </cell>
        </row>
        <row r="2761">
          <cell r="B2761">
            <v>5464101</v>
          </cell>
          <cell r="C2761" t="str">
            <v>PFJ</v>
          </cell>
          <cell r="D2761" t="str">
            <v>ESLABON ANGULAR DE ACERO GALV. 17,50MM P.ENLACE EN ESTRUCTURAS DE REDES AEREAS</v>
          </cell>
        </row>
        <row r="2762">
          <cell r="B2762">
            <v>5464101</v>
          </cell>
          <cell r="C2762" t="str">
            <v>PIC</v>
          </cell>
          <cell r="D2762" t="str">
            <v>ESLABON ANGULAR DE ACERO GALV. 17,50MM P.ENLACE EN ESTRUCTURAS DE REDES AEREAS</v>
          </cell>
        </row>
        <row r="2763">
          <cell r="B2763">
            <v>5464103</v>
          </cell>
          <cell r="C2763" t="str">
            <v>CMD</v>
          </cell>
          <cell r="D2763" t="str">
            <v>ESLABON ANGULAR DE ACERO GALV. 22MM RADIO 6800KG P.ENLACE EN ESTRUCTURAS DE REDES AEREAS</v>
          </cell>
        </row>
        <row r="2764">
          <cell r="B2764">
            <v>5464103</v>
          </cell>
          <cell r="C2764" t="str">
            <v>ELC</v>
          </cell>
          <cell r="D2764" t="str">
            <v>ESLABON ANGULAR DE ACERO GALV. 22MM RADIO 6800KG P.ENLACE EN ESTRUCTURAS DE REDES AEREAS</v>
          </cell>
        </row>
        <row r="2765">
          <cell r="B2765">
            <v>5464103</v>
          </cell>
          <cell r="C2765" t="str">
            <v>ELD</v>
          </cell>
          <cell r="D2765" t="str">
            <v>ESLABON ANGULAR DE ACERO GALV. 22MM RADIO 6800KG P.ENLACE EN ESTRUCTURAS DE REDES AEREAS</v>
          </cell>
        </row>
        <row r="2766">
          <cell r="B2766">
            <v>5464206</v>
          </cell>
          <cell r="C2766" t="str">
            <v>CMD</v>
          </cell>
          <cell r="D2766" t="str">
            <v>PERNO CON OJAL DE ACERO GALV. 5/8" X 6", ROSCA 4" C.ACCESORIOS</v>
          </cell>
        </row>
        <row r="2767">
          <cell r="B2767">
            <v>5464206</v>
          </cell>
          <cell r="C2767" t="str">
            <v>ELC</v>
          </cell>
          <cell r="D2767" t="str">
            <v>PERNO CON OJAL DE ACERO GALV. 5/8" X 6", ROSCA 4" C.ACCESORIOS</v>
          </cell>
        </row>
        <row r="2768">
          <cell r="B2768">
            <v>5464206</v>
          </cell>
          <cell r="C2768" t="str">
            <v>ELD</v>
          </cell>
          <cell r="D2768" t="str">
            <v>PERNO CON OJAL DE ACERO GALV. 5/8" X 6", ROSCA 4" C.ACCESORIOS</v>
          </cell>
        </row>
        <row r="2769">
          <cell r="B2769">
            <v>5464206</v>
          </cell>
          <cell r="C2769" t="str">
            <v>JSY</v>
          </cell>
          <cell r="D2769" t="str">
            <v>PERNO CON OJAL DE ACERO GALV. 5/8" X 6", ROSCA 4" C.ACCESORIOS</v>
          </cell>
        </row>
        <row r="2770">
          <cell r="B2770">
            <v>5464206</v>
          </cell>
          <cell r="C2770" t="str">
            <v>MDP</v>
          </cell>
          <cell r="D2770" t="str">
            <v>PERNO CON OJAL DE ACERO GALV. 5/8" X 6", ROSCA 4" C.ACCESORIOS</v>
          </cell>
        </row>
        <row r="2771">
          <cell r="B2771">
            <v>5464206</v>
          </cell>
          <cell r="C2771" t="str">
            <v>PFJ</v>
          </cell>
          <cell r="D2771" t="str">
            <v>PERNO CON OJAL DE ACERO GALV. 5/8" X 6", ROSCA 4" C.ACCESORIOS</v>
          </cell>
        </row>
        <row r="2772">
          <cell r="B2772">
            <v>5464206</v>
          </cell>
          <cell r="C2772" t="str">
            <v>PIC</v>
          </cell>
          <cell r="D2772" t="str">
            <v>PERNO CON OJAL DE ACERO GALV. 5/8" X 6", ROSCA 4" C.ACCESORIOS</v>
          </cell>
        </row>
        <row r="2773">
          <cell r="B2773">
            <v>5464210</v>
          </cell>
          <cell r="C2773" t="str">
            <v>CMD</v>
          </cell>
          <cell r="D2773" t="str">
            <v>PERNO CON OJAL DE ACERO GALV. 5/8" X 10", ROSCA 6" C.ACCESORIOS</v>
          </cell>
        </row>
        <row r="2774">
          <cell r="B2774">
            <v>5464210</v>
          </cell>
          <cell r="C2774" t="str">
            <v>ELC</v>
          </cell>
          <cell r="D2774" t="str">
            <v>PERNO CON OJAL DE ACERO GALV. 5/8" X 10", ROSCA 6" C.ACCESORIOS</v>
          </cell>
        </row>
        <row r="2775">
          <cell r="B2775">
            <v>5464210</v>
          </cell>
          <cell r="C2775" t="str">
            <v>ELD</v>
          </cell>
          <cell r="D2775" t="str">
            <v>PERNO CON OJAL DE ACERO GALV. 5/8" X 10", ROSCA 6" C.ACCESORIOS</v>
          </cell>
        </row>
        <row r="2776">
          <cell r="B2776">
            <v>5464210</v>
          </cell>
          <cell r="C2776" t="str">
            <v>JSY</v>
          </cell>
          <cell r="D2776" t="str">
            <v>PERNO CON OJAL DE ACERO GALV. 5/8" X 10", ROSCA 6" C.ACCESORIOS</v>
          </cell>
        </row>
        <row r="2777">
          <cell r="B2777">
            <v>5464210</v>
          </cell>
          <cell r="C2777" t="str">
            <v>MDP</v>
          </cell>
          <cell r="D2777" t="str">
            <v>PERNO CON OJAL DE ACERO GALV. 5/8" X 10", ROSCA 6" C.ACCESORIOS</v>
          </cell>
        </row>
        <row r="2778">
          <cell r="B2778">
            <v>5464210</v>
          </cell>
          <cell r="C2778" t="str">
            <v>PFJ</v>
          </cell>
          <cell r="D2778" t="str">
            <v>PERNO CON OJAL DE ACERO GALV. 5/8" X 10", ROSCA 6" C.ACCESORIOS</v>
          </cell>
        </row>
        <row r="2779">
          <cell r="B2779">
            <v>5464210</v>
          </cell>
          <cell r="C2779" t="str">
            <v>PIC</v>
          </cell>
          <cell r="D2779" t="str">
            <v>PERNO CON OJAL DE ACERO GALV. 5/8" X 10", ROSCA 6" C.ACCESORIOS</v>
          </cell>
        </row>
        <row r="2780">
          <cell r="B2780">
            <v>5464214</v>
          </cell>
          <cell r="C2780" t="str">
            <v>CMD</v>
          </cell>
          <cell r="D2780" t="str">
            <v>PERNO CON OJAL DE ACERO GALV. 5/8" X 14", ROSCA 10" C.ACCESORIOS</v>
          </cell>
        </row>
        <row r="2781">
          <cell r="B2781">
            <v>5464214</v>
          </cell>
          <cell r="C2781" t="str">
            <v>ELC</v>
          </cell>
          <cell r="D2781" t="str">
            <v>PERNO CON OJAL DE ACERO GALV. 5/8" X 14", ROSCA 10" C.ACCESORIOS</v>
          </cell>
        </row>
        <row r="2782">
          <cell r="B2782">
            <v>5464214</v>
          </cell>
          <cell r="C2782" t="str">
            <v>ELD</v>
          </cell>
          <cell r="D2782" t="str">
            <v>PERNO CON OJAL DE ACERO GALV. 5/8" X 14", ROSCA 10" C.ACCESORIOS</v>
          </cell>
        </row>
        <row r="2783">
          <cell r="B2783">
            <v>5464214</v>
          </cell>
          <cell r="C2783" t="str">
            <v>MDP</v>
          </cell>
          <cell r="D2783" t="str">
            <v>PERNO CON OJAL DE ACERO GALV. 5/8" X 14", ROSCA 10" C.ACCESORIOS</v>
          </cell>
        </row>
        <row r="2784">
          <cell r="B2784">
            <v>5464214</v>
          </cell>
          <cell r="C2784" t="str">
            <v>PFJ</v>
          </cell>
          <cell r="D2784" t="str">
            <v>PERNO CON OJAL DE ACERO GALV. 5/8" X 14", ROSCA 10" C.ACCESORIOS</v>
          </cell>
        </row>
        <row r="2785">
          <cell r="B2785">
            <v>5464214</v>
          </cell>
          <cell r="C2785" t="str">
            <v>PIC</v>
          </cell>
          <cell r="D2785" t="str">
            <v>PERNO CON OJAL DE ACERO GALV. 5/8" X 14", ROSCA 10" C.ACCESORIOS</v>
          </cell>
        </row>
        <row r="2786">
          <cell r="B2786">
            <v>5464216</v>
          </cell>
          <cell r="C2786" t="str">
            <v>CMD</v>
          </cell>
          <cell r="D2786" t="str">
            <v>PERNO C/OJAL AC.GALV.16MMDX400MM(16PULG)L.C/TUERCA</v>
          </cell>
        </row>
        <row r="2787">
          <cell r="B2787">
            <v>5464216</v>
          </cell>
          <cell r="C2787" t="str">
            <v>ELD</v>
          </cell>
          <cell r="D2787" t="str">
            <v>PERNO C/OJAL AC.GALV.16MMDX400MM(16PULG)L.C/TUERCA</v>
          </cell>
        </row>
        <row r="2788">
          <cell r="B2788">
            <v>5464246</v>
          </cell>
          <cell r="C2788" t="str">
            <v>CMD</v>
          </cell>
          <cell r="D2788" t="str">
            <v>PERNO C/OJAL AC.GALV.19MMDX150MM( 6PULG)L.C/TUERCA</v>
          </cell>
        </row>
        <row r="2789">
          <cell r="B2789">
            <v>5464246</v>
          </cell>
          <cell r="C2789" t="str">
            <v>ELD</v>
          </cell>
          <cell r="D2789" t="str">
            <v>PERNO C/OJAL AC.GALV.19MMDX150MM( 6PULG)L.C/TUERCA</v>
          </cell>
        </row>
        <row r="2790">
          <cell r="B2790">
            <v>5464356</v>
          </cell>
          <cell r="C2790" t="str">
            <v>CMD</v>
          </cell>
          <cell r="D2790" t="str">
            <v>PERNO C/OJAL AC.GALV.16MMDX300MM(12PULG)L.C/TUERCA</v>
          </cell>
        </row>
        <row r="2791">
          <cell r="B2791">
            <v>5464356</v>
          </cell>
          <cell r="C2791" t="str">
            <v>ELD</v>
          </cell>
          <cell r="D2791" t="str">
            <v>PERNO C/OJAL AC.GALV.16MMDX300MM(12PULG)L.C/TUERCA</v>
          </cell>
        </row>
        <row r="2792">
          <cell r="B2792">
            <v>5464410</v>
          </cell>
          <cell r="C2792" t="str">
            <v>CMD</v>
          </cell>
          <cell r="D2792" t="str">
            <v>PERNO ANGULAR DE ACERO GALV. 5/8" X 10" ROSCA 6" C.TUERCA</v>
          </cell>
        </row>
        <row r="2793">
          <cell r="B2793">
            <v>5464410</v>
          </cell>
          <cell r="C2793" t="str">
            <v>ELD</v>
          </cell>
          <cell r="D2793" t="str">
            <v>PERNO ANGULAR DE ACERO GALV. 5/8" X 10" ROSCA 6" C.TUERCA</v>
          </cell>
        </row>
        <row r="2794">
          <cell r="B2794">
            <v>5464410</v>
          </cell>
          <cell r="C2794" t="str">
            <v>JSY</v>
          </cell>
          <cell r="D2794" t="str">
            <v>PERNO ANGULAR DE ACERO GALV. 5/8" X 10" ROSCA 6" C.TUERCA</v>
          </cell>
        </row>
        <row r="2795">
          <cell r="B2795">
            <v>5464410</v>
          </cell>
          <cell r="C2795" t="str">
            <v>MDP</v>
          </cell>
          <cell r="D2795" t="str">
            <v>PERNO ANGULAR DE ACERO GALV. 5/8" X 10" ROSCA 6" C.TUERCA</v>
          </cell>
        </row>
        <row r="2796">
          <cell r="B2796">
            <v>5464410</v>
          </cell>
          <cell r="C2796" t="str">
            <v>NGK</v>
          </cell>
          <cell r="D2796" t="str">
            <v>PERNO ANGULAR DE ACERO GALV. 5/8" X 10" ROSCA 6" C.TUERCA</v>
          </cell>
        </row>
        <row r="2797">
          <cell r="B2797">
            <v>5464410</v>
          </cell>
          <cell r="C2797" t="str">
            <v>PFJ</v>
          </cell>
          <cell r="D2797" t="str">
            <v>PERNO ANGULAR DE ACERO GALV. 5/8" X 10" ROSCA 6" C.TUERCA</v>
          </cell>
        </row>
        <row r="2798">
          <cell r="B2798">
            <v>5464412</v>
          </cell>
          <cell r="C2798" t="str">
            <v>CMD</v>
          </cell>
          <cell r="D2798" t="str">
            <v>PERNO ANGULAR DE ACERO GALV. 5/8" X 12" ROSCA 6" C.TUERCA</v>
          </cell>
        </row>
        <row r="2799">
          <cell r="B2799">
            <v>5464412</v>
          </cell>
          <cell r="C2799" t="str">
            <v>ELD</v>
          </cell>
          <cell r="D2799" t="str">
            <v>PERNO ANGULAR DE ACERO GALV. 5/8" X 12" ROSCA 6" C.TUERCA</v>
          </cell>
        </row>
        <row r="2800">
          <cell r="B2800">
            <v>5464412</v>
          </cell>
          <cell r="C2800" t="str">
            <v>JSY</v>
          </cell>
          <cell r="D2800" t="str">
            <v>PERNO ANGULAR DE ACERO GALV. 5/8" X 12" ROSCA 6" C.TUERCA</v>
          </cell>
        </row>
        <row r="2801">
          <cell r="B2801">
            <v>5464412</v>
          </cell>
          <cell r="C2801" t="str">
            <v>MDP</v>
          </cell>
          <cell r="D2801" t="str">
            <v>PERNO ANGULAR DE ACERO GALV. 5/8" X 12" ROSCA 6" C.TUERCA</v>
          </cell>
        </row>
        <row r="2802">
          <cell r="B2802">
            <v>5464412</v>
          </cell>
          <cell r="C2802" t="str">
            <v>NGK</v>
          </cell>
          <cell r="D2802" t="str">
            <v>PERNO ANGULAR DE ACERO GALV. 5/8" X 12" ROSCA 6" C.TUERCA</v>
          </cell>
        </row>
        <row r="2803">
          <cell r="B2803">
            <v>5464412</v>
          </cell>
          <cell r="C2803" t="str">
            <v>PFJ</v>
          </cell>
          <cell r="D2803" t="str">
            <v>PERNO ANGULAR DE ACERO GALV. 5/8" X 12" ROSCA 6" C.TUERCA</v>
          </cell>
        </row>
        <row r="2804">
          <cell r="B2804">
            <v>5464414</v>
          </cell>
          <cell r="C2804" t="str">
            <v>CMD</v>
          </cell>
          <cell r="D2804" t="str">
            <v>PERNO ANGULAR DE ACERO GALV. 5/8" X 14" ROSCA 7" C.TUERCA</v>
          </cell>
        </row>
        <row r="2805">
          <cell r="B2805">
            <v>5464414</v>
          </cell>
          <cell r="C2805" t="str">
            <v>ELD</v>
          </cell>
          <cell r="D2805" t="str">
            <v>PERNO ANGULAR DE ACERO GALV. 5/8" X 14" ROSCA 7" C.TUERCA</v>
          </cell>
        </row>
        <row r="2806">
          <cell r="B2806">
            <v>5464414</v>
          </cell>
          <cell r="C2806" t="str">
            <v>JSY</v>
          </cell>
          <cell r="D2806" t="str">
            <v>PERNO ANGULAR DE ACERO GALV. 5/8" X 14" ROSCA 7" C.TUERCA</v>
          </cell>
        </row>
        <row r="2807">
          <cell r="B2807">
            <v>5464414</v>
          </cell>
          <cell r="C2807" t="str">
            <v>MDP</v>
          </cell>
          <cell r="D2807" t="str">
            <v>PERNO ANGULAR DE ACERO GALV. 5/8" X 14" ROSCA 7" C.TUERCA</v>
          </cell>
        </row>
        <row r="2808">
          <cell r="B2808">
            <v>5464414</v>
          </cell>
          <cell r="C2808" t="str">
            <v>NGK</v>
          </cell>
          <cell r="D2808" t="str">
            <v>PERNO ANGULAR DE ACERO GALV. 5/8" X 14" ROSCA 7" C.TUERCA</v>
          </cell>
        </row>
        <row r="2809">
          <cell r="B2809">
            <v>5464414</v>
          </cell>
          <cell r="C2809" t="str">
            <v>PFJ</v>
          </cell>
          <cell r="D2809" t="str">
            <v>PERNO ANGULAR DE ACERO GALV. 5/8" X 14" ROSCA 7" C.TUERCA</v>
          </cell>
        </row>
        <row r="2810">
          <cell r="B2810">
            <v>5464416</v>
          </cell>
          <cell r="C2810" t="str">
            <v>CMD</v>
          </cell>
          <cell r="D2810" t="str">
            <v>PERNO ANGULAR DE ACERO GALV. 5/8" X 16" ROSCA 8" C.TUERCA</v>
          </cell>
        </row>
        <row r="2811">
          <cell r="B2811">
            <v>5464416</v>
          </cell>
          <cell r="C2811" t="str">
            <v>ELD</v>
          </cell>
          <cell r="D2811" t="str">
            <v>PERNO ANGULAR DE ACERO GALV. 5/8" X 16" ROSCA 8" C.TUERCA</v>
          </cell>
        </row>
        <row r="2812">
          <cell r="B2812">
            <v>5464416</v>
          </cell>
          <cell r="C2812" t="str">
            <v>MDP</v>
          </cell>
          <cell r="D2812" t="str">
            <v>PERNO ANGULAR DE ACERO GALV. 5/8" X 16" ROSCA 8" C.TUERCA</v>
          </cell>
        </row>
        <row r="2813">
          <cell r="B2813">
            <v>5464416</v>
          </cell>
          <cell r="C2813" t="str">
            <v>PFJ</v>
          </cell>
          <cell r="D2813" t="str">
            <v>PERNO ANGULAR DE ACERO GALV. 5/8" X 16" ROSCA 8" C.TUERCA</v>
          </cell>
        </row>
        <row r="2814">
          <cell r="B2814">
            <v>5464418</v>
          </cell>
          <cell r="C2814" t="str">
            <v>CMD</v>
          </cell>
          <cell r="D2814" t="str">
            <v>PERNO ANGULAR DE ACERO GALV. 5/8" X 18" ROSCA 9" C.TUERCA</v>
          </cell>
        </row>
        <row r="2815">
          <cell r="B2815">
            <v>5464418</v>
          </cell>
          <cell r="C2815" t="str">
            <v>ELD</v>
          </cell>
          <cell r="D2815" t="str">
            <v>PERNO ANGULAR DE ACERO GALV. 5/8" X 18" ROSCA 9" C.TUERCA</v>
          </cell>
        </row>
        <row r="2816">
          <cell r="B2816">
            <v>5464418</v>
          </cell>
          <cell r="C2816" t="str">
            <v>MDP</v>
          </cell>
          <cell r="D2816" t="str">
            <v>PERNO ANGULAR DE ACERO GALV. 5/8" X 18" ROSCA 9" C.TUERCA</v>
          </cell>
        </row>
        <row r="2817">
          <cell r="B2817">
            <v>5464418</v>
          </cell>
          <cell r="C2817" t="str">
            <v>PFJ</v>
          </cell>
          <cell r="D2817" t="str">
            <v>PERNO ANGULAR DE ACERO GALV. 5/8" X 18" ROSCA 9" C.TUERCA</v>
          </cell>
        </row>
        <row r="2818">
          <cell r="B2818">
            <v>5464501</v>
          </cell>
          <cell r="C2818" t="str">
            <v>CMD</v>
          </cell>
          <cell r="D2818" t="str">
            <v>SOPORTE FIN DE LINEA LIVIANO AC.GALV.     SAE 1020</v>
          </cell>
        </row>
        <row r="2819">
          <cell r="B2819">
            <v>5464501</v>
          </cell>
          <cell r="C2819" t="str">
            <v>ELD</v>
          </cell>
          <cell r="D2819" t="str">
            <v>SOPORTE FIN DE LINEA LIVIANO AC.GALV.     SAE 1020</v>
          </cell>
        </row>
        <row r="2820">
          <cell r="B2820">
            <v>5464501</v>
          </cell>
          <cell r="C2820" t="str">
            <v>PFJ</v>
          </cell>
          <cell r="D2820" t="str">
            <v>SOPORTE FIN DE LINEA LIVIANO AC.GALV.     SAE 1020</v>
          </cell>
        </row>
        <row r="2821">
          <cell r="B2821">
            <v>5464502</v>
          </cell>
          <cell r="C2821" t="str">
            <v>ELD</v>
          </cell>
          <cell r="D2821" t="str">
            <v>SOPORTE FIN DE LINEA PESADO AC.GALV.      SAE 1020</v>
          </cell>
        </row>
        <row r="2822">
          <cell r="B2822">
            <v>5466320</v>
          </cell>
          <cell r="C2822" t="str">
            <v>CMD</v>
          </cell>
          <cell r="D2822" t="str">
            <v>PLACA DE ACERO GALV. 3 7/8" X 5" X 1/4" C.AGUJERO 13/16" DIAM.P.REFUERZO DE CRUCETA DE MADERA</v>
          </cell>
        </row>
        <row r="2823">
          <cell r="B2823">
            <v>5466320</v>
          </cell>
          <cell r="C2823" t="str">
            <v>ELD</v>
          </cell>
          <cell r="D2823" t="str">
            <v>PLACA DE ACERO GALV. 3 7/8" X 5" X 1/4" C.AGUJERO 13/16" DIAM.P.REFUERZO DE CRUCETA DE MADERA</v>
          </cell>
        </row>
        <row r="2824">
          <cell r="B2824">
            <v>5466606</v>
          </cell>
          <cell r="C2824" t="str">
            <v>CMD</v>
          </cell>
          <cell r="D2824" t="str">
            <v>PLANCHA DE COBRE P.LINEA A TIERRA C.AGUJERO 20MM DIAM.</v>
          </cell>
        </row>
        <row r="2825">
          <cell r="B2825">
            <v>5466606</v>
          </cell>
          <cell r="C2825" t="str">
            <v>ELC</v>
          </cell>
          <cell r="D2825" t="str">
            <v>PLANCHA DE COBRE P.LINEA A TIERRA C.AGUJERO 20MM DIAM.</v>
          </cell>
        </row>
        <row r="2826">
          <cell r="B2826">
            <v>5466606</v>
          </cell>
          <cell r="C2826" t="str">
            <v>ELD</v>
          </cell>
          <cell r="D2826" t="str">
            <v>PLANCHA DE COBRE P.LINEA A TIERRA C.AGUJERO 20MM DIAM.</v>
          </cell>
        </row>
        <row r="2827">
          <cell r="B2827">
            <v>5466606</v>
          </cell>
          <cell r="C2827" t="str">
            <v>MTC</v>
          </cell>
          <cell r="D2827" t="str">
            <v>PLANCHA DE COBRE P.LINEA A TIERRA C.AGUJERO 20MM DIAM.</v>
          </cell>
        </row>
        <row r="2828">
          <cell r="B2828">
            <v>5466606</v>
          </cell>
          <cell r="C2828" t="str">
            <v>PFJ</v>
          </cell>
          <cell r="D2828" t="str">
            <v>PLANCHA DE COBRE P.LINEA A TIERRA C.AGUJERO 20MM DIAM.</v>
          </cell>
        </row>
        <row r="2829">
          <cell r="B2829">
            <v>5466606</v>
          </cell>
          <cell r="C2829" t="str">
            <v>PIC</v>
          </cell>
          <cell r="D2829" t="str">
            <v>PLANCHA DE COBRE P.LINEA A TIERRA C.AGUJERO 20MM DIAM.</v>
          </cell>
        </row>
        <row r="2830">
          <cell r="B2830">
            <v>5467007</v>
          </cell>
          <cell r="C2830" t="str">
            <v>CBC</v>
          </cell>
          <cell r="D2830" t="str">
            <v>PERNO DE ACERO GALVANIZADO 1/2"D. X 7"    P.VIENTO</v>
          </cell>
        </row>
        <row r="2831">
          <cell r="B2831">
            <v>5467007</v>
          </cell>
          <cell r="C2831" t="str">
            <v>CMD</v>
          </cell>
          <cell r="D2831" t="str">
            <v>PERNO DE ACERO GALVANIZADO 1/2"D. X 7"    P.VIENTO</v>
          </cell>
        </row>
        <row r="2832">
          <cell r="B2832">
            <v>5467007</v>
          </cell>
          <cell r="C2832" t="str">
            <v>ELD</v>
          </cell>
          <cell r="D2832" t="str">
            <v>PERNO DE ACERO GALVANIZADO 1/2"D. X 7"    P.VIENTO</v>
          </cell>
        </row>
        <row r="2833">
          <cell r="B2833">
            <v>5467007</v>
          </cell>
          <cell r="C2833" t="str">
            <v>ELR</v>
          </cell>
          <cell r="D2833" t="str">
            <v>PERNO DE ACERO GALVANIZADO 1/2"D. X 7"    P.VIENTO</v>
          </cell>
        </row>
        <row r="2834">
          <cell r="B2834">
            <v>5467007</v>
          </cell>
          <cell r="C2834" t="str">
            <v>MDP</v>
          </cell>
          <cell r="D2834" t="str">
            <v>PERNO DE ACERO GALVANIZADO 1/2"D. X 7"    P.VIENTO</v>
          </cell>
        </row>
        <row r="2835">
          <cell r="B2835">
            <v>5467007</v>
          </cell>
          <cell r="C2835" t="str">
            <v>SEI</v>
          </cell>
          <cell r="D2835" t="str">
            <v>PERNO DE ACERO GALVANIZADO 1/2"D. X 7"    P.VIENTO</v>
          </cell>
        </row>
        <row r="2836">
          <cell r="B2836">
            <v>5467008</v>
          </cell>
          <cell r="C2836" t="str">
            <v>CBC</v>
          </cell>
          <cell r="D2836" t="str">
            <v>PERNO DE ACERO GALVANIZADO 1/2"D. X 8"    P.VIENTO</v>
          </cell>
        </row>
        <row r="2837">
          <cell r="B2837">
            <v>5467008</v>
          </cell>
          <cell r="C2837" t="str">
            <v>CMD</v>
          </cell>
          <cell r="D2837" t="str">
            <v>PERNO DE ACERO GALVANIZADO 1/2"D. X 8"    P.VIENTO</v>
          </cell>
        </row>
        <row r="2838">
          <cell r="B2838">
            <v>5467008</v>
          </cell>
          <cell r="C2838" t="str">
            <v>ELD</v>
          </cell>
          <cell r="D2838" t="str">
            <v>PERNO DE ACERO GALVANIZADO 1/2"D. X 8"    P.VIENTO</v>
          </cell>
        </row>
        <row r="2839">
          <cell r="B2839">
            <v>5467008</v>
          </cell>
          <cell r="C2839" t="str">
            <v>ELR</v>
          </cell>
          <cell r="D2839" t="str">
            <v>PERNO DE ACERO GALVANIZADO 1/2"D. X 8"    P.VIENTO</v>
          </cell>
        </row>
        <row r="2840">
          <cell r="B2840">
            <v>5467008</v>
          </cell>
          <cell r="C2840" t="str">
            <v>MDP</v>
          </cell>
          <cell r="D2840" t="str">
            <v>PERNO DE ACERO GALVANIZADO 1/2"D. X 8"    P.VIENTO</v>
          </cell>
        </row>
        <row r="2841">
          <cell r="B2841">
            <v>5467008</v>
          </cell>
          <cell r="C2841" t="str">
            <v>SEI</v>
          </cell>
          <cell r="D2841" t="str">
            <v>PERNO DE ACERO GALVANIZADO 1/2"D. X 8"    P.VIENTO</v>
          </cell>
        </row>
        <row r="2842">
          <cell r="B2842">
            <v>5467009</v>
          </cell>
          <cell r="C2842" t="str">
            <v>CBC</v>
          </cell>
          <cell r="D2842" t="str">
            <v>PERNO DE ACERO GALVANIZADO 1/2"D. X 9"    P.VIENTO</v>
          </cell>
        </row>
        <row r="2843">
          <cell r="B2843">
            <v>5467009</v>
          </cell>
          <cell r="C2843" t="str">
            <v>CMD</v>
          </cell>
          <cell r="D2843" t="str">
            <v>PERNO DE ACERO GALVANIZADO 1/2"D. X 9"    P.VIENTO</v>
          </cell>
        </row>
        <row r="2844">
          <cell r="B2844">
            <v>5467009</v>
          </cell>
          <cell r="C2844" t="str">
            <v>ELD</v>
          </cell>
          <cell r="D2844" t="str">
            <v>PERNO DE ACERO GALVANIZADO 1/2"D. X 9"    P.VIENTO</v>
          </cell>
        </row>
        <row r="2845">
          <cell r="B2845">
            <v>5467009</v>
          </cell>
          <cell r="C2845" t="str">
            <v>ELR</v>
          </cell>
          <cell r="D2845" t="str">
            <v>PERNO DE ACERO GALVANIZADO 1/2"D. X 9"    P.VIENTO</v>
          </cell>
        </row>
        <row r="2846">
          <cell r="B2846">
            <v>5467009</v>
          </cell>
          <cell r="C2846" t="str">
            <v>MDP</v>
          </cell>
          <cell r="D2846" t="str">
            <v>PERNO DE ACERO GALVANIZADO 1/2"D. X 9"    P.VIENTO</v>
          </cell>
        </row>
        <row r="2847">
          <cell r="B2847">
            <v>5467009</v>
          </cell>
          <cell r="C2847" t="str">
            <v>SEI</v>
          </cell>
          <cell r="D2847" t="str">
            <v>PERNO DE ACERO GALVANIZADO 1/2"D. X 9"    P.VIENTO</v>
          </cell>
        </row>
        <row r="2848">
          <cell r="B2848">
            <v>5467010</v>
          </cell>
          <cell r="C2848" t="str">
            <v>CBC</v>
          </cell>
          <cell r="D2848" t="str">
            <v>PERNO DE ACERO GALVANIZADO 1/2"D. X 10"   P.VIENTO</v>
          </cell>
        </row>
        <row r="2849">
          <cell r="B2849">
            <v>5467010</v>
          </cell>
          <cell r="C2849" t="str">
            <v>CMD</v>
          </cell>
          <cell r="D2849" t="str">
            <v>PERNO DE ACERO GALVANIZADO 1/2"D. X 10"   P.VIENTO</v>
          </cell>
        </row>
        <row r="2850">
          <cell r="B2850">
            <v>5467010</v>
          </cell>
          <cell r="C2850" t="str">
            <v>ELD</v>
          </cell>
          <cell r="D2850" t="str">
            <v>PERNO DE ACERO GALVANIZADO 1/2"D. X 10"   P.VIENTO</v>
          </cell>
        </row>
        <row r="2851">
          <cell r="B2851">
            <v>5467010</v>
          </cell>
          <cell r="C2851" t="str">
            <v>ELR</v>
          </cell>
          <cell r="D2851" t="str">
            <v>PERNO DE ACERO GALVANIZADO 1/2"D. X 10"   P.VIENTO</v>
          </cell>
        </row>
        <row r="2852">
          <cell r="B2852">
            <v>5467010</v>
          </cell>
          <cell r="C2852" t="str">
            <v>MDP</v>
          </cell>
          <cell r="D2852" t="str">
            <v>PERNO DE ACERO GALVANIZADO 1/2"D. X 10"   P.VIENTO</v>
          </cell>
        </row>
        <row r="2853">
          <cell r="B2853">
            <v>5467010</v>
          </cell>
          <cell r="C2853" t="str">
            <v>SEI</v>
          </cell>
          <cell r="D2853" t="str">
            <v>PERNO DE ACERO GALVANIZADO 1/2"D. X 10"   P.VIENTO</v>
          </cell>
        </row>
        <row r="2854">
          <cell r="B2854">
            <v>5467011</v>
          </cell>
          <cell r="C2854" t="str">
            <v>CBC</v>
          </cell>
          <cell r="D2854" t="str">
            <v>PERNO DE ACERO GALVANIZADO 1/2"D. X 11"   P.VIENTO</v>
          </cell>
        </row>
        <row r="2855">
          <cell r="B2855">
            <v>5467011</v>
          </cell>
          <cell r="C2855" t="str">
            <v>CMD</v>
          </cell>
          <cell r="D2855" t="str">
            <v>PERNO DE ACERO GALVANIZADO 1/2"D. X 11"   P.VIENTO</v>
          </cell>
        </row>
        <row r="2856">
          <cell r="B2856">
            <v>5467011</v>
          </cell>
          <cell r="C2856" t="str">
            <v>ELD</v>
          </cell>
          <cell r="D2856" t="str">
            <v>PERNO DE ACERO GALVANIZADO 1/2"D. X 11"   P.VIENTO</v>
          </cell>
        </row>
        <row r="2857">
          <cell r="B2857">
            <v>5467011</v>
          </cell>
          <cell r="C2857" t="str">
            <v>ELR</v>
          </cell>
          <cell r="D2857" t="str">
            <v>PERNO DE ACERO GALVANIZADO 1/2"D. X 11"   P.VIENTO</v>
          </cell>
        </row>
        <row r="2858">
          <cell r="B2858">
            <v>5467011</v>
          </cell>
          <cell r="C2858" t="str">
            <v>MDP</v>
          </cell>
          <cell r="D2858" t="str">
            <v>PERNO DE ACERO GALVANIZADO 1/2"D. X 11"   P.VIENTO</v>
          </cell>
        </row>
        <row r="2859">
          <cell r="B2859">
            <v>5467011</v>
          </cell>
          <cell r="C2859" t="str">
            <v>SEI</v>
          </cell>
          <cell r="D2859" t="str">
            <v>PERNO DE ACERO GALVANIZADO 1/2"D. X 11"   P.VIENTO</v>
          </cell>
        </row>
        <row r="2860">
          <cell r="B2860">
            <v>5467012</v>
          </cell>
          <cell r="C2860" t="str">
            <v>CBC</v>
          </cell>
          <cell r="D2860" t="str">
            <v>PERNO DE ACERO GALVANIZADO 1/2"D. X 12"   P.VIENTO</v>
          </cell>
        </row>
        <row r="2861">
          <cell r="B2861">
            <v>5467012</v>
          </cell>
          <cell r="C2861" t="str">
            <v>CMD</v>
          </cell>
          <cell r="D2861" t="str">
            <v>PERNO DE ACERO GALVANIZADO 1/2"D. X 12"   P.VIENTO</v>
          </cell>
        </row>
        <row r="2862">
          <cell r="B2862">
            <v>5467012</v>
          </cell>
          <cell r="C2862" t="str">
            <v>ELD</v>
          </cell>
          <cell r="D2862" t="str">
            <v>PERNO DE ACERO GALVANIZADO 1/2"D. X 12"   P.VIENTO</v>
          </cell>
        </row>
        <row r="2863">
          <cell r="B2863">
            <v>5467012</v>
          </cell>
          <cell r="C2863" t="str">
            <v>ELR</v>
          </cell>
          <cell r="D2863" t="str">
            <v>PERNO DE ACERO GALVANIZADO 1/2"D. X 12"   P.VIENTO</v>
          </cell>
        </row>
        <row r="2864">
          <cell r="B2864">
            <v>5467012</v>
          </cell>
          <cell r="C2864" t="str">
            <v>MDP</v>
          </cell>
          <cell r="D2864" t="str">
            <v>PERNO DE ACERO GALVANIZADO 1/2"D. X 12"   P.VIENTO</v>
          </cell>
        </row>
        <row r="2865">
          <cell r="B2865">
            <v>5467012</v>
          </cell>
          <cell r="C2865" t="str">
            <v>SEI</v>
          </cell>
          <cell r="D2865" t="str">
            <v>PERNO DE ACERO GALVANIZADO 1/2"D. X 12"   P.VIENTO</v>
          </cell>
        </row>
        <row r="2866">
          <cell r="B2866">
            <v>5467059</v>
          </cell>
          <cell r="C2866" t="str">
            <v>CBC</v>
          </cell>
          <cell r="D2866" t="str">
            <v>PERNO DE ACERO GALVANIZADO 5/8"D. X 9"    P.VIENTO</v>
          </cell>
        </row>
        <row r="2867">
          <cell r="B2867">
            <v>5467059</v>
          </cell>
          <cell r="C2867" t="str">
            <v>CMD</v>
          </cell>
          <cell r="D2867" t="str">
            <v>PERNO DE ACERO GALVANIZADO 5/8"D. X 9"    P.VIENTO</v>
          </cell>
        </row>
        <row r="2868">
          <cell r="B2868">
            <v>5467059</v>
          </cell>
          <cell r="C2868" t="str">
            <v>ELD</v>
          </cell>
          <cell r="D2868" t="str">
            <v>PERNO DE ACERO GALVANIZADO 5/8"D. X 9"    P.VIENTO</v>
          </cell>
        </row>
        <row r="2869">
          <cell r="B2869">
            <v>5467059</v>
          </cell>
          <cell r="C2869" t="str">
            <v>ELR</v>
          </cell>
          <cell r="D2869" t="str">
            <v>PERNO DE ACERO GALVANIZADO 5/8"D. X 9"    P.VIENTO</v>
          </cell>
        </row>
        <row r="2870">
          <cell r="B2870">
            <v>5467059</v>
          </cell>
          <cell r="C2870" t="str">
            <v>MDP</v>
          </cell>
          <cell r="D2870" t="str">
            <v>PERNO DE ACERO GALVANIZADO 5/8"D. X 9"    P.VIENTO</v>
          </cell>
        </row>
        <row r="2871">
          <cell r="B2871">
            <v>5467059</v>
          </cell>
          <cell r="C2871" t="str">
            <v>SEI</v>
          </cell>
          <cell r="D2871" t="str">
            <v>PERNO DE ACERO GALVANIZADO 5/8"D. X 9"    P.VIENTO</v>
          </cell>
        </row>
        <row r="2872">
          <cell r="B2872">
            <v>5467060</v>
          </cell>
          <cell r="C2872" t="str">
            <v>CBC</v>
          </cell>
          <cell r="D2872" t="str">
            <v>PERNO ACERO GALV. DE CABEZA HEXAGONAL 5/8" X 10", GRADO 5</v>
          </cell>
        </row>
        <row r="2873">
          <cell r="B2873">
            <v>5467060</v>
          </cell>
          <cell r="C2873" t="str">
            <v>CMD</v>
          </cell>
          <cell r="D2873" t="str">
            <v>PERNO ACERO GALV. DE CABEZA HEXAGONAL 5/8" X 10", GRADO 5</v>
          </cell>
        </row>
        <row r="2874">
          <cell r="B2874">
            <v>5467060</v>
          </cell>
          <cell r="C2874" t="str">
            <v>ELD</v>
          </cell>
          <cell r="D2874" t="str">
            <v>PERNO ACERO GALV. DE CABEZA HEXAGONAL 5/8" X 10", GRADO 5</v>
          </cell>
        </row>
        <row r="2875">
          <cell r="B2875">
            <v>5467060</v>
          </cell>
          <cell r="C2875" t="str">
            <v>ELR</v>
          </cell>
          <cell r="D2875" t="str">
            <v>PERNO ACERO GALV. DE CABEZA HEXAGONAL 5/8" X 10", GRADO 5</v>
          </cell>
        </row>
        <row r="2876">
          <cell r="B2876">
            <v>5467060</v>
          </cell>
          <cell r="C2876" t="str">
            <v>MDP</v>
          </cell>
          <cell r="D2876" t="str">
            <v>PERNO ACERO GALV. DE CABEZA HEXAGONAL 5/8" X 10", GRADO 5</v>
          </cell>
        </row>
        <row r="2877">
          <cell r="B2877">
            <v>5467060</v>
          </cell>
          <cell r="C2877" t="str">
            <v>SEI</v>
          </cell>
          <cell r="D2877" t="str">
            <v>PERNO ACERO GALV. DE CABEZA HEXAGONAL 5/8" X 10", GRADO 5</v>
          </cell>
        </row>
        <row r="2878">
          <cell r="B2878">
            <v>5467061</v>
          </cell>
          <cell r="C2878" t="str">
            <v>CBC</v>
          </cell>
          <cell r="D2878" t="str">
            <v>PERNO DE ACERO GALVANIZADO 5/8"D. X11"    P.VIENTO</v>
          </cell>
        </row>
        <row r="2879">
          <cell r="B2879">
            <v>5467061</v>
          </cell>
          <cell r="C2879" t="str">
            <v>CMD</v>
          </cell>
          <cell r="D2879" t="str">
            <v>PERNO DE ACERO GALVANIZADO 5/8"D. X11"    P.VIENTO</v>
          </cell>
        </row>
        <row r="2880">
          <cell r="B2880">
            <v>5467061</v>
          </cell>
          <cell r="C2880" t="str">
            <v>ELD</v>
          </cell>
          <cell r="D2880" t="str">
            <v>PERNO DE ACERO GALVANIZADO 5/8"D. X11"    P.VIENTO</v>
          </cell>
        </row>
        <row r="2881">
          <cell r="B2881">
            <v>5467061</v>
          </cell>
          <cell r="C2881" t="str">
            <v>ELR</v>
          </cell>
          <cell r="D2881" t="str">
            <v>PERNO DE ACERO GALVANIZADO 5/8"D. X11"    P.VIENTO</v>
          </cell>
        </row>
        <row r="2882">
          <cell r="B2882">
            <v>5467061</v>
          </cell>
          <cell r="C2882" t="str">
            <v>MDP</v>
          </cell>
          <cell r="D2882" t="str">
            <v>PERNO DE ACERO GALVANIZADO 5/8"D. X11"    P.VIENTO</v>
          </cell>
        </row>
        <row r="2883">
          <cell r="B2883">
            <v>5467061</v>
          </cell>
          <cell r="C2883" t="str">
            <v>SEI</v>
          </cell>
          <cell r="D2883" t="str">
            <v>PERNO DE ACERO GALVANIZADO 5/8"D. X11"    P.VIENTO</v>
          </cell>
        </row>
        <row r="2884">
          <cell r="B2884">
            <v>5467062</v>
          </cell>
          <cell r="C2884" t="str">
            <v>CBC</v>
          </cell>
          <cell r="D2884" t="str">
            <v>PERNO ACERO GALV. DE CABEZA HEXAGONAL 5/8" X 12", GRADO 5</v>
          </cell>
        </row>
        <row r="2885">
          <cell r="B2885">
            <v>5467062</v>
          </cell>
          <cell r="C2885" t="str">
            <v>CMD</v>
          </cell>
          <cell r="D2885" t="str">
            <v>PERNO ACERO GALV. DE CABEZA HEXAGONAL 5/8" X 12", GRADO 5</v>
          </cell>
        </row>
        <row r="2886">
          <cell r="B2886">
            <v>5467062</v>
          </cell>
          <cell r="C2886" t="str">
            <v>ELD</v>
          </cell>
          <cell r="D2886" t="str">
            <v>PERNO ACERO GALV. DE CABEZA HEXAGONAL 5/8" X 12", GRADO 5</v>
          </cell>
        </row>
        <row r="2887">
          <cell r="B2887">
            <v>5467062</v>
          </cell>
          <cell r="C2887" t="str">
            <v>ELR</v>
          </cell>
          <cell r="D2887" t="str">
            <v>PERNO ACERO GALV. DE CABEZA HEXAGONAL 5/8" X 12", GRADO 5</v>
          </cell>
        </row>
        <row r="2888">
          <cell r="B2888">
            <v>5467062</v>
          </cell>
          <cell r="C2888" t="str">
            <v>MDP</v>
          </cell>
          <cell r="D2888" t="str">
            <v>PERNO ACERO GALV. DE CABEZA HEXAGONAL 5/8" X 12", GRADO 5</v>
          </cell>
        </row>
        <row r="2889">
          <cell r="B2889">
            <v>5467062</v>
          </cell>
          <cell r="C2889" t="str">
            <v>SEI</v>
          </cell>
          <cell r="D2889" t="str">
            <v>PERNO ACERO GALV. DE CABEZA HEXAGONAL 5/8" X 12", GRADO 5</v>
          </cell>
        </row>
        <row r="2890">
          <cell r="B2890">
            <v>5467063</v>
          </cell>
          <cell r="C2890" t="str">
            <v>CBC</v>
          </cell>
          <cell r="D2890" t="str">
            <v>PERNO DE ACERO GALVANIZADO 5/8" X 14" PARA VIENTO</v>
          </cell>
        </row>
        <row r="2891">
          <cell r="B2891">
            <v>5467063</v>
          </cell>
          <cell r="C2891" t="str">
            <v>ELR</v>
          </cell>
          <cell r="D2891" t="str">
            <v>PERNO DE ACERO GALVANIZADO 5/8" X 14" PARA VIENTO</v>
          </cell>
        </row>
        <row r="2892">
          <cell r="B2892">
            <v>5467063</v>
          </cell>
          <cell r="C2892" t="str">
            <v>SEI</v>
          </cell>
          <cell r="D2892" t="str">
            <v>PERNO DE ACERO GALVANIZADO 5/8" X 14" PARA VIENTO</v>
          </cell>
        </row>
        <row r="2893">
          <cell r="B2893">
            <v>5467101</v>
          </cell>
          <cell r="C2893" t="str">
            <v>CMD</v>
          </cell>
          <cell r="D2893" t="str">
            <v>BARRA C.OJO (VARILLA DOBLADA SOLDADA) DE ANCLAJE DE ACERO GALV. 5/8" X 2400MM C.ACCESORIOS P.VIENTO</v>
          </cell>
        </row>
        <row r="2894">
          <cell r="B2894">
            <v>5467101</v>
          </cell>
          <cell r="C2894" t="str">
            <v>ELD</v>
          </cell>
          <cell r="D2894" t="str">
            <v>BARRA C.OJO (VARILLA DOBLADA SOLDADA) DE ANCLAJE DE ACERO GALV. 5/8" X 2400MM C.ACCESORIOS P.VIENTO</v>
          </cell>
        </row>
        <row r="2895">
          <cell r="B2895">
            <v>5467101</v>
          </cell>
          <cell r="C2895" t="str">
            <v>FAS</v>
          </cell>
          <cell r="D2895" t="str">
            <v>BARRA C.OJO (VARILLA DOBLADA SOLDADA) DE ANCLAJE DE ACERO GALV. 5/8" X 2400MM C.ACCESORIOS P.VIENTO</v>
          </cell>
        </row>
        <row r="2896">
          <cell r="B2896">
            <v>5467107</v>
          </cell>
          <cell r="C2896" t="str">
            <v>CMD</v>
          </cell>
          <cell r="D2896" t="str">
            <v>BARRA C.OJO (VARILLA ELECTROFORJADA) DE ANCLAJE DE ACERO GALV. 5/8" X 2400MM C.ACCESORIOS P.VIENTO</v>
          </cell>
        </row>
        <row r="2897">
          <cell r="B2897">
            <v>5467107</v>
          </cell>
          <cell r="C2897" t="str">
            <v>ELD</v>
          </cell>
          <cell r="D2897" t="str">
            <v>BARRA C.OJO (VARILLA ELECTROFORJADA) DE ANCLAJE DE ACERO GALV. 5/8" X 2400MM C.ACCESORIOS P.VIENTO</v>
          </cell>
        </row>
        <row r="2898">
          <cell r="B2898">
            <v>5467210</v>
          </cell>
          <cell r="C2898" t="str">
            <v>CPW</v>
          </cell>
          <cell r="D2898" t="str">
            <v>TUERCA CIEGA DE BRONCE,DE 19MMD.P.VAR.ROSC.ANCLAJE</v>
          </cell>
        </row>
        <row r="2899">
          <cell r="B2899">
            <v>5467210</v>
          </cell>
          <cell r="C2899" t="str">
            <v>JSY</v>
          </cell>
          <cell r="D2899" t="str">
            <v>TUERCA CIEGA DE BRONCE,DE 19MMD.P.VAR.ROSC.ANCLAJE</v>
          </cell>
        </row>
        <row r="2900">
          <cell r="B2900">
            <v>5467210</v>
          </cell>
          <cell r="C2900" t="str">
            <v>SCS</v>
          </cell>
          <cell r="D2900" t="str">
            <v>TUERCA CIEGA DE BRONCE,DE 19MMD.P.VAR.ROSC.ANCLAJE</v>
          </cell>
        </row>
        <row r="2901">
          <cell r="B2901">
            <v>5467410</v>
          </cell>
          <cell r="C2901" t="str">
            <v>ELD</v>
          </cell>
          <cell r="D2901" t="str">
            <v>PORTALINEA AC.GALV.VERT.BIF.P.AISL. 10-35MM2 TP.CARRETE</v>
          </cell>
        </row>
        <row r="2902">
          <cell r="B2902">
            <v>5467430</v>
          </cell>
          <cell r="C2902" t="str">
            <v>APW</v>
          </cell>
          <cell r="D2902" t="str">
            <v>PORTALINEA AC.GALV.VERT.TRIF.P.AISL.TP.CARRETE B.T</v>
          </cell>
        </row>
        <row r="2903">
          <cell r="B2903">
            <v>5467430</v>
          </cell>
          <cell r="C2903" t="str">
            <v>ELD</v>
          </cell>
          <cell r="D2903" t="str">
            <v>PORTALINEA AC.GALV.VERT.TRIF.P.AISL.TP.CARRETE B.T</v>
          </cell>
        </row>
        <row r="2904">
          <cell r="B2904">
            <v>5467462</v>
          </cell>
          <cell r="C2904" t="str">
            <v>ELD</v>
          </cell>
          <cell r="D2904" t="str">
            <v>PORTALINEA AC.GALV.HORIZ.DOBL. P.AISL.CARRETE B.T.</v>
          </cell>
        </row>
        <row r="2905">
          <cell r="B2905">
            <v>5467622</v>
          </cell>
          <cell r="C2905" t="str">
            <v>CMD</v>
          </cell>
          <cell r="D2905" t="str">
            <v>CANALETA PROTECTORA DE ACERO GALV. 2M LONG.P.PROTEGER TUBO 2" O 3" DIAM. EN SUBIDA O BAJADA DE CABLE</v>
          </cell>
        </row>
        <row r="2906">
          <cell r="B2906">
            <v>5467622</v>
          </cell>
          <cell r="C2906" t="str">
            <v>ELD</v>
          </cell>
          <cell r="D2906" t="str">
            <v>CANALETA PROTECTORA DE ACERO GALV. 2M LONG.P.PROTEGER TUBO 2" O 3" DIAM. EN SUBIDA O BAJADA DE CABLE</v>
          </cell>
        </row>
        <row r="2907">
          <cell r="B2907">
            <v>5467622</v>
          </cell>
          <cell r="C2907" t="str">
            <v>FAS</v>
          </cell>
          <cell r="D2907" t="str">
            <v>CANALETA PROTECTORA DE ACERO GALV. 2M LONG.P.PROTEGER TUBO 2" O 3" DIAM. EN SUBIDA O BAJADA DE CABLE</v>
          </cell>
        </row>
        <row r="2908">
          <cell r="B2908">
            <v>5467622</v>
          </cell>
          <cell r="C2908" t="str">
            <v>PIC</v>
          </cell>
          <cell r="D2908" t="str">
            <v>CANALETA PROTECTORA DE ACERO GALV. 2M LONG.P.PROTEGER TUBO 2" O 3" DIAM. EN SUBIDA O BAJADA DE CABLE</v>
          </cell>
        </row>
        <row r="2909">
          <cell r="B2909">
            <v>5467624</v>
          </cell>
          <cell r="C2909" t="str">
            <v>CMD</v>
          </cell>
          <cell r="D2909" t="str">
            <v>CANALETA PROTECTORA ACERO GALV. 2200MM P.PROTEGER CABLE P.VIENTO</v>
          </cell>
        </row>
        <row r="2910">
          <cell r="B2910">
            <v>5467624</v>
          </cell>
          <cell r="C2910" t="str">
            <v>ELD</v>
          </cell>
          <cell r="D2910" t="str">
            <v>CANALETA PROTECTORA ACERO GALV. 2200MM P.PROTEGER CABLE P.VIENTO</v>
          </cell>
        </row>
        <row r="2911">
          <cell r="B2911">
            <v>5467624</v>
          </cell>
          <cell r="C2911" t="str">
            <v>FAS</v>
          </cell>
          <cell r="D2911" t="str">
            <v>CANALETA PROTECTORA ACERO GALV. 2200MM P.PROTEGER CABLE P.VIENTO</v>
          </cell>
        </row>
        <row r="2912">
          <cell r="B2912">
            <v>5467624</v>
          </cell>
          <cell r="C2912" t="str">
            <v>PIC</v>
          </cell>
          <cell r="D2912" t="str">
            <v>CANALETA PROTECTORA ACERO GALV. 2200MM P.PROTEGER CABLE P.VIENTO</v>
          </cell>
        </row>
        <row r="2913">
          <cell r="B2913">
            <v>5467804</v>
          </cell>
          <cell r="C2913" t="str">
            <v>CMD</v>
          </cell>
          <cell r="D2913" t="str">
            <v>BRAZO DE APOYO TP.VIOLIN DE ACERO GALV. 2" X 875MM C.ACCESORIOS</v>
          </cell>
        </row>
        <row r="2914">
          <cell r="B2914">
            <v>5467804</v>
          </cell>
          <cell r="C2914" t="str">
            <v>ELD</v>
          </cell>
          <cell r="D2914" t="str">
            <v>BRAZO DE APOYO TP.VIOLIN DE ACERO GALV. 2" X 875MM C.ACCESORIOS</v>
          </cell>
        </row>
        <row r="2915">
          <cell r="B2915">
            <v>5467804</v>
          </cell>
          <cell r="C2915" t="str">
            <v>PIC</v>
          </cell>
          <cell r="D2915" t="str">
            <v>BRAZO DE APOYO TP.VIOLIN DE ACERO GALV. 2" X 875MM C.ACCESORIOS</v>
          </cell>
        </row>
        <row r="2916">
          <cell r="B2916">
            <v>5484220</v>
          </cell>
          <cell r="C2916" t="str">
            <v>CMD</v>
          </cell>
          <cell r="D2916" t="str">
            <v>TEMPLADOR P.ACOMETIDA DOMICILIARIA EN L.A.DE B.T.</v>
          </cell>
        </row>
        <row r="2917">
          <cell r="B2917">
            <v>5484220</v>
          </cell>
          <cell r="C2917" t="str">
            <v>ELD</v>
          </cell>
          <cell r="D2917" t="str">
            <v>TEMPLADOR P.ACOMETIDA DOMICILIARIA EN L.A.DE B.T.</v>
          </cell>
        </row>
        <row r="2918">
          <cell r="B2918">
            <v>5484220</v>
          </cell>
          <cell r="C2918" t="str">
            <v>FAS</v>
          </cell>
          <cell r="D2918" t="str">
            <v>TEMPLADOR P.ACOMETIDA DOMICILIARIA EN L.A.DE B.T.</v>
          </cell>
        </row>
        <row r="2919">
          <cell r="B2919">
            <v>5484222</v>
          </cell>
          <cell r="C2919" t="str">
            <v>CMD</v>
          </cell>
          <cell r="D2919" t="str">
            <v>TEMPLADOR P. ACOMETIDA DOMICILIARIA L.A./B.T. TRIP</v>
          </cell>
        </row>
        <row r="2920">
          <cell r="B2920">
            <v>5484222</v>
          </cell>
          <cell r="C2920" t="str">
            <v>ELD</v>
          </cell>
          <cell r="D2920" t="str">
            <v>TEMPLADOR P. ACOMETIDA DOMICILIARIA L.A./B.T. TRIP</v>
          </cell>
        </row>
        <row r="2921">
          <cell r="B2921">
            <v>5484222</v>
          </cell>
          <cell r="C2921" t="str">
            <v>FAS</v>
          </cell>
          <cell r="D2921" t="str">
            <v>TEMPLADOR P. ACOMETIDA DOMICILIARIA L.A./B.T. TRIP</v>
          </cell>
        </row>
        <row r="2922">
          <cell r="B2922">
            <v>5491250</v>
          </cell>
          <cell r="C2922" t="str">
            <v>AMP</v>
          </cell>
          <cell r="D2922" t="str">
            <v>PRENSA POR IMPACTO P.CONECTOR DERIV.TP.CU¤A</v>
          </cell>
        </row>
        <row r="2923">
          <cell r="B2923">
            <v>5492862</v>
          </cell>
          <cell r="C2923" t="str">
            <v>MAP</v>
          </cell>
          <cell r="D2923" t="str">
            <v>PRENSA DE MADERA P.CABLES COMUNIC. 500MM2.</v>
          </cell>
        </row>
        <row r="2924">
          <cell r="B2924">
            <v>5492862</v>
          </cell>
          <cell r="C2924" t="str">
            <v>MVL</v>
          </cell>
          <cell r="D2924" t="str">
            <v>PRENSA DE MADERA P.CABLES COMUNIC. 500MM2.</v>
          </cell>
        </row>
        <row r="2925">
          <cell r="B2925">
            <v>5544622</v>
          </cell>
          <cell r="C2925" t="str">
            <v>PHI</v>
          </cell>
          <cell r="D2925" t="str">
            <v>LAMPARA TUBULAR DE VAPOR DE SODIO DE ALTA PRESION 70W 220V C.CASUILLO E 27, FLUJO MEJORADO</v>
          </cell>
        </row>
        <row r="2926">
          <cell r="B2926">
            <v>5544638</v>
          </cell>
          <cell r="C2926" t="str">
            <v>GEL</v>
          </cell>
          <cell r="D2926" t="str">
            <v>LAMPARA TUBULAR DE VAPOR DE SODIO DE ALTA PRESION 150W 220V C.CASUILLO E 40, FLUJO MEJORADO</v>
          </cell>
        </row>
        <row r="2927">
          <cell r="B2927">
            <v>5544657</v>
          </cell>
          <cell r="C2927" t="str">
            <v>OSR</v>
          </cell>
          <cell r="D2927" t="str">
            <v>LAMPARA TUBULAR DE VAPOR DE SODIO DE ALTA PRESION 250W 220V C.CASUILLO E 40, FLUJO MEJORADO</v>
          </cell>
        </row>
        <row r="2928">
          <cell r="B2928">
            <v>5544667</v>
          </cell>
          <cell r="C2928" t="str">
            <v>PHI</v>
          </cell>
          <cell r="D2928" t="str">
            <v>LAMPARA TUBULAR DE VAPOR DE SODIO DE ALTA PRESION 400W 220V C.CASUILLO E 40, FLUJO MEJORADO</v>
          </cell>
        </row>
        <row r="2929">
          <cell r="B2929">
            <v>5564229</v>
          </cell>
          <cell r="C2929" t="str">
            <v>PHI</v>
          </cell>
          <cell r="D2929" t="str">
            <v>LUMINARIA PARA LAMPARA DE NA 70W EQUIPADA</v>
          </cell>
        </row>
        <row r="2930">
          <cell r="B2930">
            <v>5564234</v>
          </cell>
          <cell r="C2930" t="str">
            <v>JOS</v>
          </cell>
          <cell r="D2930" t="str">
            <v>LUMIN. II  CORTO HAZ SEMIREC.NA.70W.C/E</v>
          </cell>
        </row>
        <row r="2931">
          <cell r="B2931">
            <v>5564234</v>
          </cell>
          <cell r="C2931" t="str">
            <v>SCR</v>
          </cell>
          <cell r="D2931" t="str">
            <v>LUMIN. II  CORTO HAZ SEMIREC.NA.70W.C/E</v>
          </cell>
        </row>
        <row r="2932">
          <cell r="B2932">
            <v>5564240</v>
          </cell>
          <cell r="C2932" t="str">
            <v>PHI</v>
          </cell>
          <cell r="D2932" t="str">
            <v>LUMIN. II CORTO HAZ SEMIREC.NA.150W.C/E</v>
          </cell>
        </row>
        <row r="2933">
          <cell r="B2933">
            <v>5564240</v>
          </cell>
          <cell r="C2933" t="str">
            <v>SCR</v>
          </cell>
          <cell r="D2933" t="str">
            <v>LUMIN. II CORTO HAZ SEMIREC.NA.150W.C/E</v>
          </cell>
        </row>
        <row r="2934">
          <cell r="B2934">
            <v>5564243</v>
          </cell>
          <cell r="C2934" t="str">
            <v>JOS</v>
          </cell>
          <cell r="D2934" t="str">
            <v>LUMIN.II CORT/MED.HAZ SEMIREC.NA.150W.E.INTEG.C/E</v>
          </cell>
        </row>
        <row r="2935">
          <cell r="B2935">
            <v>5564243</v>
          </cell>
          <cell r="C2935" t="str">
            <v>PHI</v>
          </cell>
          <cell r="D2935" t="str">
            <v>LUMIN.II CORT/MED.HAZ SEMIREC.NA.150W.E.INTEG.C/E</v>
          </cell>
        </row>
        <row r="2936">
          <cell r="B2936">
            <v>5564400</v>
          </cell>
          <cell r="C2936" t="str">
            <v>JOS</v>
          </cell>
          <cell r="D2936" t="str">
            <v>LUMINARIA TIPO II MEDIANO HAZ SEMIRECORTADO NA 70W EQUIPADA</v>
          </cell>
        </row>
        <row r="2937">
          <cell r="B2937">
            <v>5564426</v>
          </cell>
          <cell r="C2937" t="str">
            <v>STD</v>
          </cell>
          <cell r="D2937" t="str">
            <v>LUMINARIA TIPO II MEDIANO HAZ SEMIRECORTADO NA 150W EQUIPADA C.DIFUSOR DE VIDRIO</v>
          </cell>
        </row>
        <row r="2938">
          <cell r="B2938">
            <v>5564458</v>
          </cell>
          <cell r="C2938" t="str">
            <v>CLS</v>
          </cell>
          <cell r="D2938" t="str">
            <v>LUMINARIA TIPO II MEDIANO HAZ SEMIRECORTADO NA 250W EQUIPADA</v>
          </cell>
        </row>
        <row r="2939">
          <cell r="B2939">
            <v>5564464</v>
          </cell>
          <cell r="C2939" t="str">
            <v>SCR</v>
          </cell>
          <cell r="D2939" t="str">
            <v>LUMINARIA TIPO III MEDIANO HAZ RECORTADO NA 400W EQUIPADA</v>
          </cell>
        </row>
        <row r="2940">
          <cell r="B2940">
            <v>5568130</v>
          </cell>
          <cell r="C2940" t="str">
            <v>JOS</v>
          </cell>
          <cell r="D2940" t="str">
            <v>FAROLA AL. P. LAMP. NA.70W, E-27. EQUIPADA</v>
          </cell>
        </row>
        <row r="2941">
          <cell r="B2941">
            <v>5568130</v>
          </cell>
          <cell r="C2941" t="str">
            <v>PHI</v>
          </cell>
          <cell r="D2941" t="str">
            <v>FAROLA AL. P. LAMP. NA.70W, E-27. EQUIPADA</v>
          </cell>
        </row>
        <row r="2942">
          <cell r="B2942">
            <v>5568133</v>
          </cell>
          <cell r="C2942" t="str">
            <v>JOS</v>
          </cell>
          <cell r="D2942" t="str">
            <v>FAROLA AL.HAZ N/RECORT.P.LAMP.HG.E-27,125W.C/EQUI.</v>
          </cell>
        </row>
        <row r="2943">
          <cell r="B2943">
            <v>5568133</v>
          </cell>
          <cell r="C2943" t="str">
            <v>PHI</v>
          </cell>
          <cell r="D2943" t="str">
            <v>FAROLA AL.HAZ N/RECORT.P.LAMP.HG.E-27,125W.C/EQUI.</v>
          </cell>
        </row>
        <row r="2944">
          <cell r="B2944">
            <v>5568134</v>
          </cell>
          <cell r="C2944" t="str">
            <v>JOS</v>
          </cell>
          <cell r="D2944" t="str">
            <v>FAROLA AL.HAZ NO RECORTADO HG. 125W.      S/EQUIPO</v>
          </cell>
        </row>
        <row r="2945">
          <cell r="B2945">
            <v>5568134</v>
          </cell>
          <cell r="C2945" t="str">
            <v>PHI</v>
          </cell>
          <cell r="D2945" t="str">
            <v>FAROLA AL.HAZ NO RECORTADO HG. 125W.      S/EQUIPO</v>
          </cell>
        </row>
        <row r="2946">
          <cell r="B2946">
            <v>5582434</v>
          </cell>
          <cell r="C2946" t="str">
            <v>ALP</v>
          </cell>
          <cell r="D2946" t="str">
            <v>REACTOR TP.2 P.LAMP.VAP.MERCURIO A.PRES.220V.125W.</v>
          </cell>
        </row>
        <row r="2947">
          <cell r="B2947">
            <v>5582434</v>
          </cell>
          <cell r="C2947" t="str">
            <v>ELT</v>
          </cell>
          <cell r="D2947" t="str">
            <v>REACTOR TP.2 P.LAMP.VAP.MERCURIO A.PRES.220V.125W.</v>
          </cell>
        </row>
        <row r="2948">
          <cell r="B2948">
            <v>5582434</v>
          </cell>
          <cell r="C2948" t="str">
            <v>M&amp;C</v>
          </cell>
          <cell r="D2948" t="str">
            <v>REACTOR TP.2 P.LAMP.VAP.MERCURIO A.PRES.220V.125W.</v>
          </cell>
        </row>
        <row r="2949">
          <cell r="B2949">
            <v>5582434</v>
          </cell>
          <cell r="C2949" t="str">
            <v>PHI</v>
          </cell>
          <cell r="D2949" t="str">
            <v>REACTOR TP.2 P.LAMP.VAP.MERCURIO A.PRES.220V.125W.</v>
          </cell>
        </row>
        <row r="2950">
          <cell r="B2950">
            <v>5582434</v>
          </cell>
          <cell r="C2950" t="str">
            <v>PHI</v>
          </cell>
          <cell r="D2950" t="str">
            <v>REACTOR TP.2 P.LAMP.VAP.MERCURIO A.PRES.220V.125W.</v>
          </cell>
        </row>
        <row r="2951">
          <cell r="B2951">
            <v>5582456</v>
          </cell>
          <cell r="C2951" t="str">
            <v>ALP</v>
          </cell>
          <cell r="D2951" t="str">
            <v>REACTOR TP.2 P.LAMP.VAP.MERCURIO A.PRES.220V.250W.</v>
          </cell>
        </row>
        <row r="2952">
          <cell r="B2952">
            <v>5582456</v>
          </cell>
          <cell r="C2952" t="str">
            <v>ELT</v>
          </cell>
          <cell r="D2952" t="str">
            <v>REACTOR TP.2 P.LAMP.VAP.MERCURIO A.PRES.220V.250W.</v>
          </cell>
        </row>
        <row r="2953">
          <cell r="B2953">
            <v>5582456</v>
          </cell>
          <cell r="C2953" t="str">
            <v>PHI</v>
          </cell>
          <cell r="D2953" t="str">
            <v>REACTOR TP.2 P.LAMP.VAP.MERCURIO A.PRES.220V.250W.</v>
          </cell>
        </row>
        <row r="2954">
          <cell r="B2954">
            <v>5582456</v>
          </cell>
          <cell r="C2954" t="str">
            <v>PHI</v>
          </cell>
          <cell r="D2954" t="str">
            <v>REACTOR TP.2 P.LAMP.VAP.MERCURIO A.PRES.220V.250W.</v>
          </cell>
        </row>
        <row r="2955">
          <cell r="B2955">
            <v>5582466</v>
          </cell>
          <cell r="C2955" t="str">
            <v>ALP</v>
          </cell>
          <cell r="D2955" t="str">
            <v>REACTOR TP.2 P.LAMP.VAP.MERCURIO A.PRES.220V.400W.</v>
          </cell>
        </row>
        <row r="2956">
          <cell r="B2956">
            <v>5582466</v>
          </cell>
          <cell r="C2956" t="str">
            <v>ELT</v>
          </cell>
          <cell r="D2956" t="str">
            <v>REACTOR TP.2 P.LAMP.VAP.MERCURIO A.PRES.220V.400W.</v>
          </cell>
        </row>
        <row r="2957">
          <cell r="B2957">
            <v>5582466</v>
          </cell>
          <cell r="C2957" t="str">
            <v>M&amp;C</v>
          </cell>
          <cell r="D2957" t="str">
            <v>REACTOR TP.2 P.LAMP.VAP.MERCURIO A.PRES.220V.400W.</v>
          </cell>
        </row>
        <row r="2958">
          <cell r="B2958">
            <v>5582466</v>
          </cell>
          <cell r="C2958" t="str">
            <v>PHI</v>
          </cell>
          <cell r="D2958" t="str">
            <v>REACTOR TP.2 P.LAMP.VAP.MERCURIO A.PRES.220V.400W.</v>
          </cell>
        </row>
        <row r="2959">
          <cell r="B2959">
            <v>5582632</v>
          </cell>
          <cell r="C2959" t="str">
            <v>ALP</v>
          </cell>
          <cell r="D2959" t="str">
            <v>REACTOR TP.1 P.LAMP.VAP.SODIO ALTA PRES.220V. 70W.</v>
          </cell>
        </row>
        <row r="2960">
          <cell r="B2960">
            <v>5582632</v>
          </cell>
          <cell r="C2960" t="str">
            <v>ALP</v>
          </cell>
          <cell r="D2960" t="str">
            <v>REACTOR TP.1 P.LAMP.VAP.SODIO ALTA PRES.220V. 70W.</v>
          </cell>
        </row>
        <row r="2961">
          <cell r="B2961">
            <v>5582632</v>
          </cell>
          <cell r="C2961" t="str">
            <v>ECN</v>
          </cell>
          <cell r="D2961" t="str">
            <v>REACTOR TP.1 P.LAMP.VAP.SODIO ALTA PRES.220V. 70W.</v>
          </cell>
        </row>
        <row r="2962">
          <cell r="B2962">
            <v>5582632</v>
          </cell>
          <cell r="C2962" t="str">
            <v>ELT</v>
          </cell>
          <cell r="D2962" t="str">
            <v>REACTOR TP.1 P.LAMP.VAP.SODIO ALTA PRES.220V. 70W.</v>
          </cell>
        </row>
        <row r="2963">
          <cell r="B2963">
            <v>5582632</v>
          </cell>
          <cell r="C2963" t="str">
            <v>INA</v>
          </cell>
          <cell r="D2963" t="str">
            <v>REACTOR TP.1 P.LAMP.VAP.SODIO ALTA PRES.220V. 70W.</v>
          </cell>
        </row>
        <row r="2964">
          <cell r="B2964">
            <v>5582632</v>
          </cell>
          <cell r="C2964" t="str">
            <v>INC</v>
          </cell>
          <cell r="D2964" t="str">
            <v>REACTOR TP.1 P.LAMP.VAP.SODIO ALTA PRES.220V. 70W.</v>
          </cell>
        </row>
        <row r="2965">
          <cell r="B2965">
            <v>5582632</v>
          </cell>
          <cell r="C2965" t="str">
            <v>PHI</v>
          </cell>
          <cell r="D2965" t="str">
            <v>REACTOR TP.1 P.LAMP.VAP.SODIO ALTA PRES.220V. 70W.</v>
          </cell>
        </row>
        <row r="2966">
          <cell r="B2966">
            <v>5582632</v>
          </cell>
          <cell r="C2966" t="str">
            <v>PHI</v>
          </cell>
          <cell r="D2966" t="str">
            <v>REACTOR TP.1 P.LAMP.VAP.SODIO ALTA PRES.220V. 70W.</v>
          </cell>
        </row>
        <row r="2967">
          <cell r="B2967">
            <v>5582632</v>
          </cell>
          <cell r="C2967" t="str">
            <v>PHI</v>
          </cell>
          <cell r="D2967" t="str">
            <v>REACTOR TP.1 P.LAMP.VAP.SODIO ALTA PRES.220V. 70W.</v>
          </cell>
        </row>
        <row r="2968">
          <cell r="B2968">
            <v>5582632</v>
          </cell>
          <cell r="C2968" t="str">
            <v>PHI</v>
          </cell>
          <cell r="D2968" t="str">
            <v>REACTOR TP.1 P.LAMP.VAP.SODIO ALTA PRES.220V. 70W.</v>
          </cell>
        </row>
        <row r="2969">
          <cell r="B2969">
            <v>5582632</v>
          </cell>
          <cell r="C2969" t="str">
            <v>RGX</v>
          </cell>
          <cell r="D2969" t="str">
            <v>REACTOR TP.1 P.LAMP.VAP.SODIO ALTA PRES.220V. 70W.</v>
          </cell>
        </row>
        <row r="2970">
          <cell r="B2970">
            <v>5582632</v>
          </cell>
          <cell r="C2970" t="str">
            <v>VOS</v>
          </cell>
          <cell r="D2970" t="str">
            <v>REACTOR TP.1 P.LAMP.VAP.SODIO ALTA PRES.220V. 70W.</v>
          </cell>
        </row>
        <row r="2971">
          <cell r="B2971">
            <v>5582638</v>
          </cell>
          <cell r="C2971" t="str">
            <v>ELT</v>
          </cell>
          <cell r="D2971" t="str">
            <v>REACTOR TP.1 P.LAMP.VAP.SODIO ALTA PRES.220V.150W.</v>
          </cell>
        </row>
        <row r="2972">
          <cell r="B2972">
            <v>5582638</v>
          </cell>
          <cell r="C2972" t="str">
            <v>M&amp;C</v>
          </cell>
          <cell r="D2972" t="str">
            <v>REACTOR TP.1 P.LAMP.VAP.SODIO ALTA PRES.220V.150W.</v>
          </cell>
        </row>
        <row r="2973">
          <cell r="B2973">
            <v>5582638</v>
          </cell>
          <cell r="C2973" t="str">
            <v>PHI</v>
          </cell>
          <cell r="D2973" t="str">
            <v>REACTOR TP.1 P.LAMP.VAP.SODIO ALTA PRES.220V.150W.</v>
          </cell>
        </row>
        <row r="2974">
          <cell r="B2974">
            <v>5582638</v>
          </cell>
          <cell r="C2974" t="str">
            <v>RGX</v>
          </cell>
          <cell r="D2974" t="str">
            <v>REACTOR TP.1 P.LAMP.VAP.SODIO ALTA PRES.220V.150W.</v>
          </cell>
        </row>
        <row r="2975">
          <cell r="B2975">
            <v>5582638</v>
          </cell>
          <cell r="C2975" t="str">
            <v>VOS</v>
          </cell>
          <cell r="D2975" t="str">
            <v>REACTOR TP.1 P.LAMP.VAP.SODIO ALTA PRES.220V.150W.</v>
          </cell>
        </row>
        <row r="2976">
          <cell r="B2976">
            <v>5582656</v>
          </cell>
          <cell r="C2976" t="str">
            <v>ELT</v>
          </cell>
          <cell r="D2976" t="str">
            <v>REACTOR TP.1 P.LAMP.VAP.SODIO ALTA PRES.220V.250W.</v>
          </cell>
        </row>
        <row r="2977">
          <cell r="B2977">
            <v>5582656</v>
          </cell>
          <cell r="C2977" t="str">
            <v>M&amp;C</v>
          </cell>
          <cell r="D2977" t="str">
            <v>REACTOR TP.1 P.LAMP.VAP.SODIO ALTA PRES.220V.250W.</v>
          </cell>
        </row>
        <row r="2978">
          <cell r="B2978">
            <v>5582656</v>
          </cell>
          <cell r="C2978" t="str">
            <v>VOS</v>
          </cell>
          <cell r="D2978" t="str">
            <v>REACTOR TP.1 P.LAMP.VAP.SODIO ALTA PRES.220V.250W.</v>
          </cell>
        </row>
        <row r="2979">
          <cell r="B2979">
            <v>5582666</v>
          </cell>
          <cell r="C2979" t="str">
            <v>M&amp;C</v>
          </cell>
          <cell r="D2979" t="str">
            <v>REACTOR TP.1 P.LAMP.VAP.SODIO ALTA PRES.220V.400W.</v>
          </cell>
        </row>
        <row r="2980">
          <cell r="B2980">
            <v>5582666</v>
          </cell>
          <cell r="C2980" t="str">
            <v>VOS</v>
          </cell>
          <cell r="D2980" t="str">
            <v>REACTOR TP.1 P.LAMP.VAP.SODIO ALTA PRES.220V.400W.</v>
          </cell>
        </row>
        <row r="2981">
          <cell r="B2981">
            <v>5582738</v>
          </cell>
          <cell r="C2981" t="str">
            <v>ALP</v>
          </cell>
          <cell r="D2981" t="str">
            <v>REACTOR TP.2 P.LAMP.VAP.SODIO ALTA PRES.220V.150W.</v>
          </cell>
        </row>
        <row r="2982">
          <cell r="B2982">
            <v>5582738</v>
          </cell>
          <cell r="C2982" t="str">
            <v>INA</v>
          </cell>
          <cell r="D2982" t="str">
            <v>REACTOR TP.2 P.LAMP.VAP.SODIO ALTA PRES.220V.150W.</v>
          </cell>
        </row>
        <row r="2983">
          <cell r="B2983">
            <v>5582738</v>
          </cell>
          <cell r="C2983" t="str">
            <v>PHI</v>
          </cell>
          <cell r="D2983" t="str">
            <v>REACTOR TP.2 P.LAMP.VAP.SODIO ALTA PRES.220V.150W.</v>
          </cell>
        </row>
        <row r="2984">
          <cell r="B2984">
            <v>5582756</v>
          </cell>
          <cell r="C2984" t="str">
            <v>ALP</v>
          </cell>
          <cell r="D2984" t="str">
            <v>REACTOR TP.2 P.LAMP.VAP.SODIO ALTA PRES.220V.250W.</v>
          </cell>
        </row>
        <row r="2985">
          <cell r="B2985">
            <v>5582756</v>
          </cell>
          <cell r="C2985" t="str">
            <v>ECN</v>
          </cell>
          <cell r="D2985" t="str">
            <v>REACTOR TP.2 P.LAMP.VAP.SODIO ALTA PRES.220V.250W.</v>
          </cell>
        </row>
        <row r="2986">
          <cell r="B2986">
            <v>5582756</v>
          </cell>
          <cell r="C2986" t="str">
            <v>ETI</v>
          </cell>
          <cell r="D2986" t="str">
            <v>REACTOR TP.2 P.LAMP.VAP.SODIO ALTA PRES.220V.250W.</v>
          </cell>
        </row>
        <row r="2987">
          <cell r="B2987">
            <v>5582756</v>
          </cell>
          <cell r="C2987" t="str">
            <v>INA</v>
          </cell>
          <cell r="D2987" t="str">
            <v>REACTOR TP.2 P.LAMP.VAP.SODIO ALTA PRES.220V.250W.</v>
          </cell>
        </row>
        <row r="2988">
          <cell r="B2988">
            <v>5582756</v>
          </cell>
          <cell r="C2988" t="str">
            <v>PHI</v>
          </cell>
          <cell r="D2988" t="str">
            <v>REACTOR TP.2 P.LAMP.VAP.SODIO ALTA PRES.220V.250W.</v>
          </cell>
        </row>
        <row r="2989">
          <cell r="B2989">
            <v>5582756</v>
          </cell>
          <cell r="C2989" t="str">
            <v>PHI</v>
          </cell>
          <cell r="D2989" t="str">
            <v>REACTOR TP.2 P.LAMP.VAP.SODIO ALTA PRES.220V.250W.</v>
          </cell>
        </row>
        <row r="2990">
          <cell r="B2990">
            <v>5582756</v>
          </cell>
          <cell r="C2990" t="str">
            <v>PHI</v>
          </cell>
          <cell r="D2990" t="str">
            <v>REACTOR TP.2 P.LAMP.VAP.SODIO ALTA PRES.220V.250W.</v>
          </cell>
        </row>
        <row r="2991">
          <cell r="B2991">
            <v>5582756</v>
          </cell>
          <cell r="C2991" t="str">
            <v>PHI</v>
          </cell>
          <cell r="D2991" t="str">
            <v>REACTOR TP.2 P.LAMP.VAP.SODIO ALTA PRES.220V.250W.</v>
          </cell>
        </row>
        <row r="2992">
          <cell r="B2992">
            <v>5582756</v>
          </cell>
          <cell r="C2992" t="str">
            <v>PHI</v>
          </cell>
          <cell r="D2992" t="str">
            <v>REACTOR TP.2 P.LAMP.VAP.SODIO ALTA PRES.220V.250W.</v>
          </cell>
        </row>
        <row r="2993">
          <cell r="B2993">
            <v>5582766</v>
          </cell>
          <cell r="C2993" t="str">
            <v>ALP</v>
          </cell>
          <cell r="D2993" t="str">
            <v>REACTOR TP.2 P.LAMP.VAP.SODIO ALTA PRES.220V.400W.</v>
          </cell>
        </row>
        <row r="2994">
          <cell r="B2994">
            <v>5582766</v>
          </cell>
          <cell r="C2994" t="str">
            <v>ECN</v>
          </cell>
          <cell r="D2994" t="str">
            <v>REACTOR TP.2 P.LAMP.VAP.SODIO ALTA PRES.220V.400W.</v>
          </cell>
        </row>
        <row r="2995">
          <cell r="B2995">
            <v>5582766</v>
          </cell>
          <cell r="C2995" t="str">
            <v>ELT</v>
          </cell>
          <cell r="D2995" t="str">
            <v>REACTOR TP.2 P.LAMP.VAP.SODIO ALTA PRES.220V.400W.</v>
          </cell>
        </row>
        <row r="2996">
          <cell r="B2996">
            <v>5582766</v>
          </cell>
          <cell r="C2996" t="str">
            <v>INA</v>
          </cell>
          <cell r="D2996" t="str">
            <v>REACTOR TP.2 P.LAMP.VAP.SODIO ALTA PRES.220V.400W.</v>
          </cell>
        </row>
        <row r="2997">
          <cell r="B2997">
            <v>5582766</v>
          </cell>
          <cell r="C2997" t="str">
            <v>M&amp;C</v>
          </cell>
          <cell r="D2997" t="str">
            <v>REACTOR TP.2 P.LAMP.VAP.SODIO ALTA PRES.220V.400W.</v>
          </cell>
        </row>
        <row r="2998">
          <cell r="B2998">
            <v>5582766</v>
          </cell>
          <cell r="C2998" t="str">
            <v>PHI</v>
          </cell>
          <cell r="D2998" t="str">
            <v>REACTOR TP.2 P.LAMP.VAP.SODIO ALTA PRES.220V.400W.</v>
          </cell>
        </row>
        <row r="2999">
          <cell r="B2999">
            <v>5582766</v>
          </cell>
          <cell r="C2999" t="str">
            <v>PHI</v>
          </cell>
          <cell r="D2999" t="str">
            <v>REACTOR TP.2 P.LAMP.VAP.SODIO ALTA PRES.220V.400W.</v>
          </cell>
        </row>
        <row r="3000">
          <cell r="B3000">
            <v>5582766</v>
          </cell>
          <cell r="C3000" t="str">
            <v>PHI</v>
          </cell>
          <cell r="D3000" t="str">
            <v>REACTOR TP.2 P.LAMP.VAP.SODIO ALTA PRES.220V.400W.</v>
          </cell>
        </row>
        <row r="3001">
          <cell r="B3001">
            <v>5584366</v>
          </cell>
          <cell r="C3001" t="str">
            <v>M&amp;C</v>
          </cell>
          <cell r="D3001" t="str">
            <v>IGNITOR TP. S-51 P.LAMP.VAP.HG.C/HALOG.METAL. 400W</v>
          </cell>
        </row>
        <row r="3002">
          <cell r="B3002">
            <v>5584651</v>
          </cell>
          <cell r="C3002" t="str">
            <v>BAG</v>
          </cell>
          <cell r="D3002" t="str">
            <v>IGNITOR TP.1 LAMP.VAP.NA.ALT.PRES.220V. 70W.TRIDONIC</v>
          </cell>
        </row>
        <row r="3003">
          <cell r="B3003">
            <v>5584651</v>
          </cell>
          <cell r="C3003" t="str">
            <v>PHI</v>
          </cell>
          <cell r="D3003" t="str">
            <v>IGNITOR TP.1 LAMP.VAP.NA.ALT.PRES.220V. 70W.TRIDONIC</v>
          </cell>
        </row>
        <row r="3004">
          <cell r="B3004">
            <v>5584651</v>
          </cell>
          <cell r="C3004" t="str">
            <v>TRI</v>
          </cell>
          <cell r="D3004" t="str">
            <v>IGNITOR TP.1 LAMP.VAP.NA.ALT.PRES.220V. 70W.TRIDONIC</v>
          </cell>
        </row>
        <row r="3005">
          <cell r="B3005">
            <v>5584652</v>
          </cell>
          <cell r="C3005" t="str">
            <v>BAG</v>
          </cell>
          <cell r="D3005" t="str">
            <v>IGNITOR TP.1 P.LAMP.SODIO ALTA PRESION 70W.</v>
          </cell>
        </row>
        <row r="3006">
          <cell r="B3006">
            <v>5584652</v>
          </cell>
          <cell r="C3006" t="str">
            <v>DIS</v>
          </cell>
          <cell r="D3006" t="str">
            <v>IGNITOR TP.1 P.LAMP.SODIO ALTA PRESION 70W.</v>
          </cell>
        </row>
        <row r="3007">
          <cell r="B3007">
            <v>5584652</v>
          </cell>
          <cell r="C3007" t="str">
            <v>INA</v>
          </cell>
          <cell r="D3007" t="str">
            <v>IGNITOR TP.1 P.LAMP.SODIO ALTA PRESION 70W.</v>
          </cell>
        </row>
        <row r="3008">
          <cell r="B3008">
            <v>5584652</v>
          </cell>
          <cell r="C3008" t="str">
            <v>PHI</v>
          </cell>
          <cell r="D3008" t="str">
            <v>IGNITOR TP.1 P.LAMP.SODIO ALTA PRESION 70W.</v>
          </cell>
        </row>
        <row r="3009">
          <cell r="B3009">
            <v>5584652</v>
          </cell>
          <cell r="C3009" t="str">
            <v>PHI</v>
          </cell>
          <cell r="D3009" t="str">
            <v>IGNITOR TP.1 P.LAMP.SODIO ALTA PRESION 70W.</v>
          </cell>
        </row>
        <row r="3010">
          <cell r="B3010">
            <v>5584652</v>
          </cell>
          <cell r="C3010" t="str">
            <v>TRI</v>
          </cell>
          <cell r="D3010" t="str">
            <v>IGNITOR TP.1 P.LAMP.SODIO ALTA PRESION 70W.</v>
          </cell>
        </row>
        <row r="3011">
          <cell r="B3011">
            <v>5584652</v>
          </cell>
          <cell r="C3011" t="str">
            <v>VOS</v>
          </cell>
          <cell r="D3011" t="str">
            <v>IGNITOR TP.1 P.LAMP.SODIO ALTA PRESION 70W.</v>
          </cell>
        </row>
        <row r="3012">
          <cell r="B3012">
            <v>5584655</v>
          </cell>
          <cell r="C3012" t="str">
            <v>ATC</v>
          </cell>
          <cell r="D3012" t="str">
            <v>IGN.TP.1 LAM.VAP.NA.ALT.PRES.220V.70-400W.TRIDONIC</v>
          </cell>
        </row>
        <row r="3013">
          <cell r="B3013">
            <v>5584655</v>
          </cell>
          <cell r="C3013" t="str">
            <v>BAG</v>
          </cell>
          <cell r="D3013" t="str">
            <v>IGN.TP.1 LAM.VAP.NA.ALT.PRES.220V.70-400W.TRIDONIC</v>
          </cell>
        </row>
        <row r="3014">
          <cell r="B3014">
            <v>5584655</v>
          </cell>
          <cell r="C3014" t="str">
            <v>JOS</v>
          </cell>
          <cell r="D3014" t="str">
            <v>IGN.TP.1 LAM.VAP.NA.ALT.PRES.220V.70-400W.TRIDONIC</v>
          </cell>
        </row>
        <row r="3015">
          <cell r="B3015">
            <v>5584655</v>
          </cell>
          <cell r="C3015" t="str">
            <v>M&amp;C</v>
          </cell>
          <cell r="D3015" t="str">
            <v>IGN.TP.1 LAM.VAP.NA.ALT.PRES.220V.70-400W.TRIDONIC</v>
          </cell>
        </row>
        <row r="3016">
          <cell r="B3016">
            <v>5584655</v>
          </cell>
          <cell r="C3016" t="str">
            <v>TRI</v>
          </cell>
          <cell r="D3016" t="str">
            <v>IGN.TP.1 LAM.VAP.NA.ALT.PRES.220V.70-400W.TRIDONIC</v>
          </cell>
        </row>
        <row r="3017">
          <cell r="B3017">
            <v>5584656</v>
          </cell>
          <cell r="C3017" t="str">
            <v>BAE</v>
          </cell>
          <cell r="D3017" t="str">
            <v>IGNITOR TP.1 P.LAMP.SODIO ALTA PRES. 150/250/400W.</v>
          </cell>
        </row>
        <row r="3018">
          <cell r="B3018">
            <v>5584656</v>
          </cell>
          <cell r="C3018" t="str">
            <v>BAG</v>
          </cell>
          <cell r="D3018" t="str">
            <v>IGNITOR TP.1 P.LAMP.SODIO ALTA PRES. 150/250/400W.</v>
          </cell>
        </row>
        <row r="3019">
          <cell r="B3019">
            <v>5584656</v>
          </cell>
          <cell r="C3019" t="str">
            <v>DIS</v>
          </cell>
          <cell r="D3019" t="str">
            <v>IGNITOR TP.1 P.LAMP.SODIO ALTA PRES. 150/250/400W.</v>
          </cell>
        </row>
        <row r="3020">
          <cell r="B3020">
            <v>5584656</v>
          </cell>
          <cell r="C3020" t="str">
            <v>INA</v>
          </cell>
          <cell r="D3020" t="str">
            <v>IGNITOR TP.1 P.LAMP.SODIO ALTA PRES. 150/250/400W.</v>
          </cell>
        </row>
        <row r="3021">
          <cell r="B3021">
            <v>5584656</v>
          </cell>
          <cell r="C3021" t="str">
            <v>TRI</v>
          </cell>
          <cell r="D3021" t="str">
            <v>IGNITOR TP.1 P.LAMP.SODIO ALTA PRES. 150/250/400W.</v>
          </cell>
        </row>
        <row r="3022">
          <cell r="B3022">
            <v>5584656</v>
          </cell>
          <cell r="C3022" t="str">
            <v>VOS</v>
          </cell>
          <cell r="D3022" t="str">
            <v>IGNITOR TP.1 P.LAMP.SODIO ALTA PRES. 150/250/400W.</v>
          </cell>
        </row>
        <row r="3023">
          <cell r="B3023">
            <v>5584756</v>
          </cell>
          <cell r="C3023" t="str">
            <v>DIS</v>
          </cell>
          <cell r="D3023" t="str">
            <v>IGNITOR TP.2 P.LAMP.SODIO ALTA PRES. 150/250/400W.</v>
          </cell>
        </row>
        <row r="3024">
          <cell r="B3024">
            <v>5584756</v>
          </cell>
          <cell r="C3024" t="str">
            <v>ECN</v>
          </cell>
          <cell r="D3024" t="str">
            <v>IGNITOR TP.2 P.LAMP.SODIO ALTA PRES. 150/250/400W.</v>
          </cell>
        </row>
        <row r="3025">
          <cell r="B3025">
            <v>5584756</v>
          </cell>
          <cell r="C3025" t="str">
            <v>ELT</v>
          </cell>
          <cell r="D3025" t="str">
            <v>IGNITOR TP.2 P.LAMP.SODIO ALTA PRES. 150/250/400W.</v>
          </cell>
        </row>
        <row r="3026">
          <cell r="B3026">
            <v>5584756</v>
          </cell>
          <cell r="C3026" t="str">
            <v>ETI</v>
          </cell>
          <cell r="D3026" t="str">
            <v>IGNITOR TP.2 P.LAMP.SODIO ALTA PRES. 150/250/400W.</v>
          </cell>
        </row>
        <row r="3027">
          <cell r="B3027">
            <v>5584756</v>
          </cell>
          <cell r="C3027" t="str">
            <v>PHI</v>
          </cell>
          <cell r="D3027" t="str">
            <v>IGNITOR TP.2 P.LAMP.SODIO ALTA PRES. 150/250/400W.</v>
          </cell>
        </row>
        <row r="3028">
          <cell r="B3028">
            <v>5584756</v>
          </cell>
          <cell r="C3028" t="str">
            <v>PHI</v>
          </cell>
          <cell r="D3028" t="str">
            <v>IGNITOR TP.2 P.LAMP.SODIO ALTA PRES. 150/250/400W.</v>
          </cell>
        </row>
        <row r="3029">
          <cell r="B3029">
            <v>5584756</v>
          </cell>
          <cell r="C3029" t="str">
            <v>PHI</v>
          </cell>
          <cell r="D3029" t="str">
            <v>IGNITOR TP.2 P.LAMP.SODIO ALTA PRES. 150/250/400W.</v>
          </cell>
        </row>
        <row r="3030">
          <cell r="B3030">
            <v>5592645</v>
          </cell>
          <cell r="C3030" t="str">
            <v>PIC</v>
          </cell>
          <cell r="D3030" t="str">
            <v>SEGURO TIPO CANASTILLA P.PORTAEQUIPO DE LUMINARIAS ASTRO 70W Y 150W</v>
          </cell>
        </row>
        <row r="3031">
          <cell r="B3031">
            <v>5592645</v>
          </cell>
          <cell r="C3031" t="str">
            <v>UCS</v>
          </cell>
          <cell r="D3031" t="str">
            <v>SEGURO TIPO CANASTILLA P.PORTAEQUIPO DE LUMINARIAS ASTRO 70W Y 150W</v>
          </cell>
        </row>
        <row r="3032">
          <cell r="B3032">
            <v>5592646</v>
          </cell>
          <cell r="C3032" t="str">
            <v>CHA</v>
          </cell>
          <cell r="D3032" t="str">
            <v>SEGURO TIPO CANASTILLA P.PORTAEQUIPO DE LUMINARIAS ECOM 70W Y 150W</v>
          </cell>
        </row>
        <row r="3033">
          <cell r="B3033">
            <v>5592646</v>
          </cell>
          <cell r="C3033" t="str">
            <v>PIC</v>
          </cell>
          <cell r="D3033" t="str">
            <v>SEGURO TIPO CANASTILLA P.PORTAEQUIPO DE LUMINARIAS ECOM 70W Y 150W</v>
          </cell>
        </row>
        <row r="3034">
          <cell r="B3034">
            <v>5592646</v>
          </cell>
          <cell r="C3034" t="str">
            <v>UCS</v>
          </cell>
          <cell r="D3034" t="str">
            <v>SEGURO TIPO CANASTILLA P.PORTAEQUIPO DE LUMINARIAS ECOM 70W Y 150W</v>
          </cell>
        </row>
        <row r="3035">
          <cell r="B3035">
            <v>5592650</v>
          </cell>
          <cell r="C3035" t="str">
            <v>PIC</v>
          </cell>
          <cell r="D3035" t="str">
            <v>SEGURO TIPO TAPA P.PORTAEQUIPO DE LUMINARIAS ASTRO 70W Y 150W</v>
          </cell>
        </row>
        <row r="3036">
          <cell r="B3036">
            <v>5592650</v>
          </cell>
          <cell r="C3036" t="str">
            <v>UCS</v>
          </cell>
          <cell r="D3036" t="str">
            <v>SEGURO TIPO TAPA P.PORTAEQUIPO DE LUMINARIAS ASTRO 70W Y 150W</v>
          </cell>
        </row>
        <row r="3037">
          <cell r="B3037">
            <v>5593644</v>
          </cell>
          <cell r="C3037" t="str">
            <v>ELG</v>
          </cell>
          <cell r="D3037" t="str">
            <v>DIFUSOR P.LUMINARIA PHILIPS SRC-510, ACRILICO, C/JEBE</v>
          </cell>
        </row>
        <row r="3038">
          <cell r="B3038">
            <v>5593645</v>
          </cell>
          <cell r="C3038" t="str">
            <v>ELG</v>
          </cell>
          <cell r="D3038" t="str">
            <v>DIFUSOR P.LUMINARIA PHILIPS SRC-511, ACRILICO, C/JEBE</v>
          </cell>
        </row>
        <row r="3039">
          <cell r="B3039">
            <v>5594207</v>
          </cell>
          <cell r="C3039" t="str">
            <v>PHI</v>
          </cell>
          <cell r="D3039" t="str">
            <v>DIFUSOR POLICARBONATO P.LUMINARIA PHILIPS ECOM 70 - 150W C.PLANCHA 3MM C.ACCESORIOS</v>
          </cell>
        </row>
        <row r="3040">
          <cell r="B3040">
            <v>5594218</v>
          </cell>
          <cell r="C3040" t="str">
            <v>ELG</v>
          </cell>
          <cell r="D3040" t="str">
            <v>DIFUSOR P.LUMINARIA PHILIPS SRC-515, ACRILICO, C/JEBE</v>
          </cell>
        </row>
        <row r="3041">
          <cell r="B3041">
            <v>5594220</v>
          </cell>
          <cell r="C3041" t="str">
            <v>ELG</v>
          </cell>
          <cell r="D3041" t="str">
            <v>DIFUSOR P.LUMINARIA SCHREDER AX1(70W)-AX2(150W), ACRILICO, C/JEBE, C/CLIP</v>
          </cell>
        </row>
        <row r="3042">
          <cell r="B3042">
            <v>5594225</v>
          </cell>
          <cell r="C3042" t="str">
            <v>JOS</v>
          </cell>
          <cell r="D3042" t="str">
            <v>DIFUSOR POLICARBONATO P.LUMINARIA JOSFEL ASTRO 70 - 150W C.PLANCHA 3MM C.ACCESORIOS</v>
          </cell>
        </row>
        <row r="3043">
          <cell r="B3043">
            <v>5611325</v>
          </cell>
          <cell r="C3043" t="str">
            <v>ACT</v>
          </cell>
          <cell r="D3043" t="str">
            <v>MEDIDOR ELECTROMECANICO E.ACTIVA MONOFASICO 10(60)A 220V 3H CL.2 60HZ AFERIDO C.PRECINTOS</v>
          </cell>
        </row>
        <row r="3044">
          <cell r="B3044">
            <v>5611325</v>
          </cell>
          <cell r="C3044" t="str">
            <v>ESR</v>
          </cell>
          <cell r="D3044" t="str">
            <v>MEDIDOR ELECTROMECANICO E.ACTIVA MONOFASICO 10(60)A 220V 3H CL.2 60HZ AFERIDO C.PRECINTOS</v>
          </cell>
        </row>
        <row r="3045">
          <cell r="B3045">
            <v>5611325</v>
          </cell>
          <cell r="C3045" t="str">
            <v>LYG</v>
          </cell>
          <cell r="D3045" t="str">
            <v>MEDIDOR ELECTROMECANICO E.ACTIVA MONOFASICO 10(60)A 220V 3H CL.2 60HZ AFERIDO C.PRECINTOS</v>
          </cell>
        </row>
        <row r="3046">
          <cell r="B3046">
            <v>5611325</v>
          </cell>
          <cell r="C3046" t="str">
            <v>NAN</v>
          </cell>
          <cell r="D3046" t="str">
            <v>MEDIDOR ELECTROMECANICO E.ACTIVA MONOFASICO 10(60)A 220V 3H CL.2 60HZ AFERIDO C.PRECINTOS</v>
          </cell>
        </row>
        <row r="3047">
          <cell r="B3047">
            <v>5611510</v>
          </cell>
          <cell r="C3047" t="str">
            <v>SIE</v>
          </cell>
          <cell r="D3047" t="str">
            <v>MEDIDOR ELECTRONICO DE ENERGIA MONOFASICO TP.PREPAGO 60A 220V 2 H CL.2 60HZ</v>
          </cell>
        </row>
        <row r="3048">
          <cell r="B3048">
            <v>5611531</v>
          </cell>
          <cell r="C3048" t="str">
            <v>HIK</v>
          </cell>
          <cell r="D3048" t="str">
            <v>MEDIDOR ELECTRONICO MONOFASICO 5(60A) 220V 3H CL.1 60HZ AFERIDO C.PRECINTO SEGURIDAD</v>
          </cell>
        </row>
        <row r="3049">
          <cell r="B3049">
            <v>5611531</v>
          </cell>
          <cell r="C3049" t="str">
            <v>LNG</v>
          </cell>
          <cell r="D3049" t="str">
            <v>MEDIDOR ELECTRONICO MONOFASICO 5(60A) 220V 3H CL.1 60HZ AFERIDO C.PRECINTO SEGURIDAD</v>
          </cell>
        </row>
        <row r="3050">
          <cell r="B3050">
            <v>5611531</v>
          </cell>
          <cell r="C3050" t="str">
            <v>LYG</v>
          </cell>
          <cell r="D3050" t="str">
            <v>MEDIDOR ELECTRONICO MONOFASICO 5(60A) 220V 3H CL.1 60HZ AFERIDO C.PRECINTO SEGURIDAD</v>
          </cell>
        </row>
        <row r="3051">
          <cell r="B3051">
            <v>5611531</v>
          </cell>
          <cell r="C3051" t="str">
            <v>SAX</v>
          </cell>
          <cell r="D3051" t="str">
            <v>MEDIDOR ELECTRONICO MONOFASICO 5(60A) 220V 3H CL.1 60HZ AFERIDO C.PRECINTO SEGURIDAD</v>
          </cell>
        </row>
        <row r="3052">
          <cell r="B3052">
            <v>5611531</v>
          </cell>
          <cell r="C3052" t="str">
            <v>STT</v>
          </cell>
          <cell r="D3052" t="str">
            <v>MEDIDOR ELECTRONICO MONOFASICO 5(60A) 220V 3H CL.1 60HZ AFERIDO C.PRECINTO SEGURIDAD</v>
          </cell>
        </row>
        <row r="3053">
          <cell r="B3053">
            <v>5611532</v>
          </cell>
          <cell r="C3053" t="str">
            <v>HIK</v>
          </cell>
          <cell r="D3053" t="str">
            <v>MEDIDOR ELECTRONICO MONOFASICO 5(60A) 220V 3H CL.1 60HZ</v>
          </cell>
        </row>
        <row r="3054">
          <cell r="B3054">
            <v>5611532</v>
          </cell>
          <cell r="C3054" t="str">
            <v>LNG</v>
          </cell>
          <cell r="D3054" t="str">
            <v>MEDIDOR ELECTRONICO MONOFASICO 5(60A) 220V 3H CL.1 60HZ</v>
          </cell>
        </row>
        <row r="3055">
          <cell r="B3055">
            <v>5611532</v>
          </cell>
          <cell r="C3055" t="str">
            <v>LYG</v>
          </cell>
          <cell r="D3055" t="str">
            <v>MEDIDOR ELECTRONICO MONOFASICO 5(60A) 220V 3H CL.1 60HZ</v>
          </cell>
        </row>
        <row r="3056">
          <cell r="B3056">
            <v>5611532</v>
          </cell>
          <cell r="C3056" t="str">
            <v>SAX</v>
          </cell>
          <cell r="D3056" t="str">
            <v>MEDIDOR ELECTRONICO MONOFASICO 5(60A) 220V 3H CL.1 60HZ</v>
          </cell>
        </row>
        <row r="3057">
          <cell r="B3057">
            <v>5611532</v>
          </cell>
          <cell r="C3057" t="str">
            <v>STT</v>
          </cell>
          <cell r="D3057" t="str">
            <v>MEDIDOR ELECTRONICO MONOFASICO 5(60A) 220V 3H CL.1 60HZ</v>
          </cell>
        </row>
        <row r="3058">
          <cell r="B3058">
            <v>5613192</v>
          </cell>
          <cell r="C3058" t="str">
            <v>ESR</v>
          </cell>
          <cell r="D3058" t="str">
            <v>MEDIDOR ELECTROMECANICO E.ACTIVA TRIFASICO 2,5(10)A 220V 3H CL.2 60HZ AFERIDO C.PRECINTOS</v>
          </cell>
        </row>
        <row r="3059">
          <cell r="B3059">
            <v>5613192</v>
          </cell>
          <cell r="C3059" t="str">
            <v>NAN</v>
          </cell>
          <cell r="D3059" t="str">
            <v>MEDIDOR ELECTROMECANICO E.ACTIVA TRIFASICO 2,5(10)A 220V 3H CL.2 60HZ AFERIDO C.PRECINTOS</v>
          </cell>
        </row>
        <row r="3060">
          <cell r="B3060">
            <v>5613192</v>
          </cell>
          <cell r="C3060" t="str">
            <v>SCH</v>
          </cell>
          <cell r="D3060" t="str">
            <v>MEDIDOR ELECTROMECANICO E.ACTIVA TRIFASICO 2,5(10)A 220V 3H CL.2 60HZ AFERIDO C.PRECINTOS</v>
          </cell>
        </row>
        <row r="3061">
          <cell r="B3061">
            <v>5634706</v>
          </cell>
          <cell r="C3061" t="str">
            <v>ESR</v>
          </cell>
          <cell r="D3061" t="str">
            <v>MEDIDOR ELECTRON.MULTIF.TRIF. 57,7-240V 2,5(20)A 3S 4H CL0,2 60HZ. AFER.PROG.C/PRECIN</v>
          </cell>
        </row>
        <row r="3062">
          <cell r="B3062">
            <v>5634706</v>
          </cell>
          <cell r="C3062" t="str">
            <v>GEL</v>
          </cell>
          <cell r="D3062" t="str">
            <v>MEDIDOR ELECTRON.MULTIF.TRIF. 57,7-240V 2,5(20)A 3S 4H CL0,2 60HZ. AFER.PROG.C/PRECIN</v>
          </cell>
        </row>
        <row r="3063">
          <cell r="B3063">
            <v>5637510</v>
          </cell>
          <cell r="C3063" t="str">
            <v>ESR</v>
          </cell>
          <cell r="D3063" t="str">
            <v>MEDIDOR ELECTRONICO TRIFASICO MULTIFUNCION 3H, 2 SIST, 220V, 5(100)A, 60HZ, CL1 - BT5A Y BT4</v>
          </cell>
        </row>
        <row r="3064">
          <cell r="B3064">
            <v>5637709</v>
          </cell>
          <cell r="C3064" t="str">
            <v>ESR</v>
          </cell>
          <cell r="D3064" t="str">
            <v>MEDIDOR ELECTRONICO MULTIFUNCION TRIFASICO 2,5(20)A 120-480V 3H 2S CL.0,2 M.T. AFERIDO A 100V</v>
          </cell>
        </row>
        <row r="3065">
          <cell r="B3065">
            <v>5637709</v>
          </cell>
          <cell r="C3065" t="str">
            <v>ESR</v>
          </cell>
          <cell r="D3065" t="str">
            <v>MEDIDOR ELECTRONICO MULTIFUNCION TRIFASICO 2,5(20)A 120-480V 3H 2S CL.0,2 M.T. AFERIDO A 100V</v>
          </cell>
        </row>
        <row r="3066">
          <cell r="B3066">
            <v>5637709</v>
          </cell>
          <cell r="C3066" t="str">
            <v>GEL</v>
          </cell>
          <cell r="D3066" t="str">
            <v>MEDIDOR ELECTRONICO MULTIFUNCION TRIFASICO 2,5(20)A 120-480V 3H 2S CL.0,2 M.T. AFERIDO A 100V</v>
          </cell>
        </row>
        <row r="3067">
          <cell r="B3067">
            <v>5637713</v>
          </cell>
          <cell r="C3067" t="str">
            <v>ESR</v>
          </cell>
          <cell r="D3067" t="str">
            <v>MEDIDOR ELECTRONICO MULTIFUNCION TRIFASICO 2,5(20)A 120-480V 3H 2S CL.0,2 B.T. AFERIDO A 220V</v>
          </cell>
        </row>
        <row r="3068">
          <cell r="B3068">
            <v>5637713</v>
          </cell>
          <cell r="C3068" t="str">
            <v>ESR</v>
          </cell>
          <cell r="D3068" t="str">
            <v>MEDIDOR ELECTRONICO MULTIFUNCION TRIFASICO 2,5(20)A 120-480V 3H 2S CL.0,2 B.T. AFERIDO A 220V</v>
          </cell>
        </row>
        <row r="3069">
          <cell r="B3069">
            <v>5637713</v>
          </cell>
          <cell r="C3069" t="str">
            <v>GEL</v>
          </cell>
          <cell r="D3069" t="str">
            <v>MEDIDOR ELECTRONICO MULTIFUNCION TRIFASICO 2,5(20)A 120-480V 3H 2S CL.0,2 B.T. AFERIDO A 220V</v>
          </cell>
        </row>
        <row r="3070">
          <cell r="B3070">
            <v>5637972</v>
          </cell>
          <cell r="C3070" t="str">
            <v>ESR</v>
          </cell>
          <cell r="D3070" t="str">
            <v>MEDIDOR ELECTRONICO TRIFASICO 15(90A) 220V 3H 2S CL.1 60HZ</v>
          </cell>
        </row>
        <row r="3071">
          <cell r="B3071">
            <v>5637972</v>
          </cell>
          <cell r="C3071" t="str">
            <v>HIK</v>
          </cell>
          <cell r="D3071" t="str">
            <v>MEDIDOR ELECTRONICO TRIFASICO 15(90A) 220V 3H 2S CL.1 60HZ</v>
          </cell>
        </row>
        <row r="3072">
          <cell r="B3072">
            <v>5637972</v>
          </cell>
          <cell r="C3072" t="str">
            <v>HXG</v>
          </cell>
          <cell r="D3072" t="str">
            <v>MEDIDOR ELECTRONICO TRIFASICO 15(90A) 220V 3H 2S CL.1 60HZ</v>
          </cell>
        </row>
        <row r="3073">
          <cell r="B3073">
            <v>5637972</v>
          </cell>
          <cell r="C3073" t="str">
            <v>OSK</v>
          </cell>
          <cell r="D3073" t="str">
            <v>MEDIDOR ELECTRONICO TRIFASICO 15(90A) 220V 3H 2S CL.1 60HZ</v>
          </cell>
        </row>
        <row r="3074">
          <cell r="B3074">
            <v>5637972</v>
          </cell>
          <cell r="C3074" t="str">
            <v>STT</v>
          </cell>
          <cell r="D3074" t="str">
            <v>MEDIDOR ELECTRONICO TRIFASICO 15(90A) 220V 3H 2S CL.1 60HZ</v>
          </cell>
        </row>
        <row r="3075">
          <cell r="B3075">
            <v>5637980</v>
          </cell>
          <cell r="C3075" t="str">
            <v>PME</v>
          </cell>
          <cell r="D3075" t="str">
            <v>MEDIDOR ELECTRONICO MULTIF.TRIF.3H.57-347V.5(20)A.CL.0,2.60 HZ. ION 7600 USO 10 Y 22,9KV</v>
          </cell>
        </row>
        <row r="3076">
          <cell r="B3076">
            <v>5637983</v>
          </cell>
          <cell r="C3076" t="str">
            <v>PME</v>
          </cell>
          <cell r="D3076" t="str">
            <v>MEDIDOR ELECTRON. MULTIF.TRIF.TP.ION 7650 C/PTO.FIBRA OPTICA 1(10A) 57-347V CL.0,1. USO 60 Y 220KV</v>
          </cell>
        </row>
        <row r="3077">
          <cell r="B3077">
            <v>5637987</v>
          </cell>
          <cell r="C3077" t="str">
            <v>ESR</v>
          </cell>
          <cell r="D3077" t="str">
            <v>MEDIDOR ELECTRONICO MULTIFUNCION TRIFASICO 5(20)A 100-220V 3H CL0,2(ANSI) O 0,5S(IEC) AFERIDO A 220V</v>
          </cell>
        </row>
        <row r="3078">
          <cell r="B3078">
            <v>5637987</v>
          </cell>
          <cell r="C3078" t="str">
            <v>ESR</v>
          </cell>
          <cell r="D3078" t="str">
            <v>MEDIDOR ELECTRONICO MULTIFUNCION TRIFASICO 5(20)A 100-220V 3H CL0,2(ANSI) O 0,5S(IEC) AFERIDO A 220V</v>
          </cell>
        </row>
        <row r="3079">
          <cell r="B3079">
            <v>5637989</v>
          </cell>
          <cell r="C3079" t="str">
            <v>ESR</v>
          </cell>
          <cell r="D3079" t="str">
            <v>MEDIDOR ELECTRONICO MULTIFUNCION TRIFASICO 5(20)A 100-220V 3H CL0,2(ANSI) O 0,5S(IEC) AFERIDO A 100V</v>
          </cell>
        </row>
        <row r="3080">
          <cell r="B3080">
            <v>5637989</v>
          </cell>
          <cell r="C3080" t="str">
            <v>ESR</v>
          </cell>
          <cell r="D3080" t="str">
            <v>MEDIDOR ELECTRONICO MULTIFUNCION TRIFASICO 5(20)A 100-220V 3H CL0,2(ANSI) O 0,5S(IEC) AFERIDO A 100V</v>
          </cell>
        </row>
        <row r="3081">
          <cell r="B3081">
            <v>5814104</v>
          </cell>
          <cell r="C3081" t="str">
            <v>EPL</v>
          </cell>
          <cell r="D3081" t="str">
            <v>AUTOTRANSFORMADOR DE POTENCIA TRIFASICO TP.SECO 40KVA 220 / 218 - 220 - 222 - 223 - 224V INTERIOR</v>
          </cell>
        </row>
        <row r="3082">
          <cell r="B3082">
            <v>5822304</v>
          </cell>
          <cell r="C3082" t="str">
            <v>ABB</v>
          </cell>
          <cell r="D3082" t="str">
            <v>TRANSFORMADOR MONOF.P.SAM 10+2X2,5%/0,23KV.  5KVA</v>
          </cell>
        </row>
        <row r="3083">
          <cell r="B3083">
            <v>5822304</v>
          </cell>
          <cell r="C3083" t="str">
            <v>CEA</v>
          </cell>
          <cell r="D3083" t="str">
            <v>TRANSFORMADOR MONOF.P.SAM 10+2X2,5%/0,23KV.  5KVA</v>
          </cell>
        </row>
        <row r="3084">
          <cell r="B3084">
            <v>5822304</v>
          </cell>
          <cell r="C3084" t="str">
            <v>DEL</v>
          </cell>
          <cell r="D3084" t="str">
            <v>TRANSFORMADOR MONOF.P.SAM 10+2X2,5%/0,23KV.  5KVA</v>
          </cell>
        </row>
        <row r="3085">
          <cell r="B3085">
            <v>5822304</v>
          </cell>
          <cell r="C3085" t="str">
            <v>EPL</v>
          </cell>
          <cell r="D3085" t="str">
            <v>TRANSFORMADOR MONOF.P.SAM 10+2X2,5%/0,23KV.  5KVA</v>
          </cell>
        </row>
        <row r="3086">
          <cell r="B3086">
            <v>5822304</v>
          </cell>
          <cell r="C3086" t="str">
            <v>MAG</v>
          </cell>
          <cell r="D3086" t="str">
            <v>TRANSFORMADOR MONOF.P.SAM 10+2X2,5%/0,23KV.  5KVA</v>
          </cell>
        </row>
        <row r="3087">
          <cell r="B3087">
            <v>5822304</v>
          </cell>
          <cell r="C3087" t="str">
            <v>SIE</v>
          </cell>
          <cell r="D3087" t="str">
            <v>TRANSFORMADOR MONOF.P.SAM 10+2X2,5%/0,23KV.  5KVA</v>
          </cell>
        </row>
        <row r="3088">
          <cell r="B3088">
            <v>5822306</v>
          </cell>
          <cell r="C3088" t="str">
            <v>ABB</v>
          </cell>
          <cell r="D3088" t="str">
            <v>TRANSFORMADOR MONOF.P.SAM 10+2X2,5%/0,23 KV. 10KVA</v>
          </cell>
        </row>
        <row r="3089">
          <cell r="B3089">
            <v>5822306</v>
          </cell>
          <cell r="C3089" t="str">
            <v>DEL</v>
          </cell>
          <cell r="D3089" t="str">
            <v>TRANSFORMADOR MONOF.P.SAM 10+2X2,5%/0,23 KV. 10KVA</v>
          </cell>
        </row>
        <row r="3090">
          <cell r="B3090">
            <v>5822306</v>
          </cell>
          <cell r="C3090" t="str">
            <v>MAG</v>
          </cell>
          <cell r="D3090" t="str">
            <v>TRANSFORMADOR MONOF.P.SAM 10+2X2,5%/0,23 KV. 10KVA</v>
          </cell>
        </row>
        <row r="3091">
          <cell r="B3091">
            <v>5822308</v>
          </cell>
          <cell r="C3091" t="str">
            <v>ABB</v>
          </cell>
          <cell r="D3091" t="str">
            <v>TRANSFORMADOR MONOF.P.SAM 10+2X2 5%/0 23 KV 15KVA.</v>
          </cell>
        </row>
        <row r="3092">
          <cell r="B3092">
            <v>5822308</v>
          </cell>
          <cell r="C3092" t="str">
            <v>DEL</v>
          </cell>
          <cell r="D3092" t="str">
            <v>TRANSFORMADOR MONOF.P.SAM 10+2X2 5%/0 23 KV 15KVA.</v>
          </cell>
        </row>
        <row r="3093">
          <cell r="B3093">
            <v>5822308</v>
          </cell>
          <cell r="C3093" t="str">
            <v>MAG</v>
          </cell>
          <cell r="D3093" t="str">
            <v>TRANSFORMADOR MONOF.P.SAM 10+2X2 5%/0 23 KV 15KVA.</v>
          </cell>
        </row>
        <row r="3094">
          <cell r="B3094">
            <v>5822328</v>
          </cell>
          <cell r="C3094" t="str">
            <v>ABB</v>
          </cell>
          <cell r="D3094" t="str">
            <v>TRANSFORMADOR POT.MONOF.10/0.23KV TP. AEREO 25KVA.</v>
          </cell>
        </row>
        <row r="3095">
          <cell r="B3095">
            <v>5822328</v>
          </cell>
          <cell r="C3095" t="str">
            <v>DEL</v>
          </cell>
          <cell r="D3095" t="str">
            <v>TRANSFORMADOR POT.MONOF.10/0.23KV TP. AEREO 25KVA.</v>
          </cell>
        </row>
        <row r="3096">
          <cell r="B3096">
            <v>5822328</v>
          </cell>
          <cell r="C3096" t="str">
            <v>ITE</v>
          </cell>
          <cell r="D3096" t="str">
            <v>TRANSFORMADOR POT.MONOF.10/0.23KV TP. AEREO 25KVA.</v>
          </cell>
        </row>
        <row r="3097">
          <cell r="B3097">
            <v>5822328</v>
          </cell>
          <cell r="C3097" t="str">
            <v>SIE</v>
          </cell>
          <cell r="D3097" t="str">
            <v>TRANSFORMADOR POT.MONOF.10/0.23KV TP. AEREO 25KVA.</v>
          </cell>
        </row>
        <row r="3098">
          <cell r="B3098">
            <v>5822336</v>
          </cell>
          <cell r="C3098" t="str">
            <v>ABB</v>
          </cell>
          <cell r="D3098" t="str">
            <v>TRANSFORMADOR POT.MONOF. 10/0.23KV. TP. AEREO 50KV</v>
          </cell>
        </row>
        <row r="3099">
          <cell r="B3099">
            <v>5822336</v>
          </cell>
          <cell r="C3099" t="str">
            <v>DEL</v>
          </cell>
          <cell r="D3099" t="str">
            <v>TRANSFORMADOR POT.MONOF. 10/0.23KV. TP. AEREO 50KV</v>
          </cell>
        </row>
        <row r="3100">
          <cell r="B3100">
            <v>5822336</v>
          </cell>
          <cell r="C3100" t="str">
            <v>SIE</v>
          </cell>
          <cell r="D3100" t="str">
            <v>TRANSFORMADOR POT.MONOF. 10/0.23KV. TP. AEREO 50KV</v>
          </cell>
        </row>
        <row r="3101">
          <cell r="B3101">
            <v>5824102</v>
          </cell>
          <cell r="C3101" t="str">
            <v>ABB</v>
          </cell>
          <cell r="D3101" t="str">
            <v>TRANSFORMADOR POT.TRIF.10/0,23KV.CONV.15KVA.</v>
          </cell>
        </row>
        <row r="3102">
          <cell r="B3102">
            <v>5824102</v>
          </cell>
          <cell r="C3102" t="str">
            <v>CEA</v>
          </cell>
          <cell r="D3102" t="str">
            <v>TRANSFORMADOR POT.TRIF.10/0,23KV.CONV.15KVA.</v>
          </cell>
        </row>
        <row r="3103">
          <cell r="B3103">
            <v>5824102</v>
          </cell>
          <cell r="C3103" t="str">
            <v>DEL</v>
          </cell>
          <cell r="D3103" t="str">
            <v>TRANSFORMADOR POT.TRIF.10/0,23KV.CONV.15KVA.</v>
          </cell>
        </row>
        <row r="3104">
          <cell r="B3104">
            <v>5824102</v>
          </cell>
          <cell r="C3104" t="str">
            <v>EPL</v>
          </cell>
          <cell r="D3104" t="str">
            <v>TRANSFORMADOR POT.TRIF.10/0,23KV.CONV.15KVA.</v>
          </cell>
        </row>
        <row r="3105">
          <cell r="B3105">
            <v>5824102</v>
          </cell>
          <cell r="C3105" t="str">
            <v>ITE</v>
          </cell>
          <cell r="D3105" t="str">
            <v>TRANSFORMADOR POT.TRIF.10/0,23KV.CONV.15KVA.</v>
          </cell>
        </row>
        <row r="3106">
          <cell r="B3106">
            <v>5824102</v>
          </cell>
          <cell r="C3106" t="str">
            <v>MAG</v>
          </cell>
          <cell r="D3106" t="str">
            <v>TRANSFORMADOR POT.TRIF.10/0,23KV.CONV.15KVA.</v>
          </cell>
        </row>
        <row r="3107">
          <cell r="B3107">
            <v>5824102</v>
          </cell>
          <cell r="C3107" t="str">
            <v>SIE</v>
          </cell>
          <cell r="D3107" t="str">
            <v>TRANSFORMADOR POT.TRIF.10/0,23KV.CONV.15KVA.</v>
          </cell>
        </row>
        <row r="3108">
          <cell r="B3108">
            <v>5824104</v>
          </cell>
          <cell r="C3108" t="str">
            <v>ABB</v>
          </cell>
          <cell r="D3108" t="str">
            <v>TRANSFORMADOR POT.TRIF.10/0.23KV.CONVENC.25KVA.</v>
          </cell>
        </row>
        <row r="3109">
          <cell r="B3109">
            <v>5824104</v>
          </cell>
          <cell r="C3109" t="str">
            <v>CEA</v>
          </cell>
          <cell r="D3109" t="str">
            <v>TRANSFORMADOR POT.TRIF.10/0.23KV.CONVENC.25KVA.</v>
          </cell>
        </row>
        <row r="3110">
          <cell r="B3110">
            <v>5824104</v>
          </cell>
          <cell r="C3110" t="str">
            <v>DEL</v>
          </cell>
          <cell r="D3110" t="str">
            <v>TRANSFORMADOR POT.TRIF.10/0.23KV.CONVENC.25KVA.</v>
          </cell>
        </row>
        <row r="3111">
          <cell r="B3111">
            <v>5824104</v>
          </cell>
          <cell r="C3111" t="str">
            <v>EPL</v>
          </cell>
          <cell r="D3111" t="str">
            <v>TRANSFORMADOR POT.TRIF.10/0.23KV.CONVENC.25KVA.</v>
          </cell>
        </row>
        <row r="3112">
          <cell r="B3112">
            <v>5824104</v>
          </cell>
          <cell r="C3112" t="str">
            <v>ITE</v>
          </cell>
          <cell r="D3112" t="str">
            <v>TRANSFORMADOR POT.TRIF.10/0.23KV.CONVENC.25KVA.</v>
          </cell>
        </row>
        <row r="3113">
          <cell r="B3113">
            <v>5824104</v>
          </cell>
          <cell r="C3113" t="str">
            <v>MAG</v>
          </cell>
          <cell r="D3113" t="str">
            <v>TRANSFORMADOR POT.TRIF.10/0.23KV.CONVENC.25KVA.</v>
          </cell>
        </row>
        <row r="3114">
          <cell r="B3114">
            <v>5824104</v>
          </cell>
          <cell r="C3114" t="str">
            <v>SIE</v>
          </cell>
          <cell r="D3114" t="str">
            <v>TRANSFORMADOR POT.TRIF.10/0.23KV.CONVENC.25KVA.</v>
          </cell>
        </row>
        <row r="3115">
          <cell r="B3115">
            <v>5824109</v>
          </cell>
          <cell r="C3115" t="str">
            <v>ABB</v>
          </cell>
          <cell r="D3115" t="str">
            <v>TRANSFORMADOR POT.TRIF.10/0,23KV.CONV.37,5KVA.</v>
          </cell>
        </row>
        <row r="3116">
          <cell r="B3116">
            <v>5824109</v>
          </cell>
          <cell r="C3116" t="str">
            <v>CEA</v>
          </cell>
          <cell r="D3116" t="str">
            <v>TRANSFORMADOR POT.TRIF.10/0,23KV.CONV.37,5KVA.</v>
          </cell>
        </row>
        <row r="3117">
          <cell r="B3117">
            <v>5824109</v>
          </cell>
          <cell r="C3117" t="str">
            <v>DEL</v>
          </cell>
          <cell r="D3117" t="str">
            <v>TRANSFORMADOR POT.TRIF.10/0,23KV.CONV.37,5KVA.</v>
          </cell>
        </row>
        <row r="3118">
          <cell r="B3118">
            <v>5824109</v>
          </cell>
          <cell r="C3118" t="str">
            <v>EPL</v>
          </cell>
          <cell r="D3118" t="str">
            <v>TRANSFORMADOR POT.TRIF.10/0,23KV.CONV.37,5KVA.</v>
          </cell>
        </row>
        <row r="3119">
          <cell r="B3119">
            <v>5824109</v>
          </cell>
          <cell r="C3119" t="str">
            <v>ITE</v>
          </cell>
          <cell r="D3119" t="str">
            <v>TRANSFORMADOR POT.TRIF.10/0,23KV.CONV.37,5KVA.</v>
          </cell>
        </row>
        <row r="3120">
          <cell r="B3120">
            <v>5824109</v>
          </cell>
          <cell r="C3120" t="str">
            <v>MAG</v>
          </cell>
          <cell r="D3120" t="str">
            <v>TRANSFORMADOR POT.TRIF.10/0,23KV.CONV.37,5KVA.</v>
          </cell>
        </row>
        <row r="3121">
          <cell r="B3121">
            <v>5824109</v>
          </cell>
          <cell r="C3121" t="str">
            <v>SIE</v>
          </cell>
          <cell r="D3121" t="str">
            <v>TRANSFORMADOR POT.TRIF.10/0,23KV.CONV.37,5KVA.</v>
          </cell>
        </row>
        <row r="3122">
          <cell r="B3122">
            <v>5824110</v>
          </cell>
          <cell r="C3122" t="str">
            <v>ABB</v>
          </cell>
          <cell r="D3122" t="str">
            <v>TRANSFORMADOR POT.TRIF.10/0.23KV.CONVENC.   50KVA</v>
          </cell>
        </row>
        <row r="3123">
          <cell r="B3123">
            <v>5824110</v>
          </cell>
          <cell r="C3123" t="str">
            <v>CEA</v>
          </cell>
          <cell r="D3123" t="str">
            <v>TRANSFORMADOR POT.TRIF.10/0.23KV.CONVENC.   50KVA</v>
          </cell>
        </row>
        <row r="3124">
          <cell r="B3124">
            <v>5824110</v>
          </cell>
          <cell r="C3124" t="str">
            <v>DEL</v>
          </cell>
          <cell r="D3124" t="str">
            <v>TRANSFORMADOR POT.TRIF.10/0.23KV.CONVENC.   50KVA</v>
          </cell>
        </row>
        <row r="3125">
          <cell r="B3125">
            <v>5824110</v>
          </cell>
          <cell r="C3125" t="str">
            <v>EPL</v>
          </cell>
          <cell r="D3125" t="str">
            <v>TRANSFORMADOR POT.TRIF.10/0.23KV.CONVENC.   50KVA</v>
          </cell>
        </row>
        <row r="3126">
          <cell r="B3126">
            <v>5824110</v>
          </cell>
          <cell r="C3126" t="str">
            <v>ITE</v>
          </cell>
          <cell r="D3126" t="str">
            <v>TRANSFORMADOR POT.TRIF.10/0.23KV.CONVENC.   50KVA</v>
          </cell>
        </row>
        <row r="3127">
          <cell r="B3127">
            <v>5824110</v>
          </cell>
          <cell r="C3127" t="str">
            <v>MAG</v>
          </cell>
          <cell r="D3127" t="str">
            <v>TRANSFORMADOR POT.TRIF.10/0.23KV.CONVENC.   50KVA</v>
          </cell>
        </row>
        <row r="3128">
          <cell r="B3128">
            <v>5824110</v>
          </cell>
          <cell r="C3128" t="str">
            <v>SIE</v>
          </cell>
          <cell r="D3128" t="str">
            <v>TRANSFORMADOR POT.TRIF.10/0.23KV.CONVENC.   50KVA</v>
          </cell>
        </row>
        <row r="3129">
          <cell r="B3129">
            <v>5824110</v>
          </cell>
          <cell r="C3129" t="str">
            <v>SPE</v>
          </cell>
          <cell r="D3129" t="str">
            <v>TRANSFORMADOR POT.TRIF.10/0.23KV.CONVENC.   50KVA</v>
          </cell>
        </row>
        <row r="3130">
          <cell r="B3130">
            <v>5824117</v>
          </cell>
          <cell r="C3130" t="str">
            <v>ITE</v>
          </cell>
          <cell r="D3130" t="str">
            <v>TRANSFORMADOR TRIFASICO DE DISTRIBUCION TP.CONVENCIONAL 75KVA 10 +/- 2X2,5% / 0,23KV DYN5 60HZ</v>
          </cell>
        </row>
        <row r="3131">
          <cell r="B3131">
            <v>5824117</v>
          </cell>
          <cell r="C3131" t="str">
            <v>MAG</v>
          </cell>
          <cell r="D3131" t="str">
            <v>TRANSFORMADOR TRIFASICO DE DISTRIBUCION TP.CONVENCIONAL 75KVA 10 +/- 2X2,5% / 0,23KV DYN5 60HZ</v>
          </cell>
        </row>
        <row r="3132">
          <cell r="B3132">
            <v>5824118</v>
          </cell>
          <cell r="C3132" t="str">
            <v>ABB</v>
          </cell>
          <cell r="D3132" t="str">
            <v>TRANSFORMADOR POT.TRIF.10/0.23KV.CONVENC.  100KVA</v>
          </cell>
        </row>
        <row r="3133">
          <cell r="B3133">
            <v>5824118</v>
          </cell>
          <cell r="C3133" t="str">
            <v>CEA</v>
          </cell>
          <cell r="D3133" t="str">
            <v>TRANSFORMADOR POT.TRIF.10/0.23KV.CONVENC.  100KVA</v>
          </cell>
        </row>
        <row r="3134">
          <cell r="B3134">
            <v>5824118</v>
          </cell>
          <cell r="C3134" t="str">
            <v>DEL</v>
          </cell>
          <cell r="D3134" t="str">
            <v>TRANSFORMADOR POT.TRIF.10/0.23KV.CONVENC.  100KVA</v>
          </cell>
        </row>
        <row r="3135">
          <cell r="B3135">
            <v>5824118</v>
          </cell>
          <cell r="C3135" t="str">
            <v>EPL</v>
          </cell>
          <cell r="D3135" t="str">
            <v>TRANSFORMADOR POT.TRIF.10/0.23KV.CONVENC.  100KVA</v>
          </cell>
        </row>
        <row r="3136">
          <cell r="B3136">
            <v>5824118</v>
          </cell>
          <cell r="C3136" t="str">
            <v>ITE</v>
          </cell>
          <cell r="D3136" t="str">
            <v>TRANSFORMADOR POT.TRIF.10/0.23KV.CONVENC.  100KVA</v>
          </cell>
        </row>
        <row r="3137">
          <cell r="B3137">
            <v>5824118</v>
          </cell>
          <cell r="C3137" t="str">
            <v>MAG</v>
          </cell>
          <cell r="D3137" t="str">
            <v>TRANSFORMADOR POT.TRIF.10/0.23KV.CONVENC.  100KVA</v>
          </cell>
        </row>
        <row r="3138">
          <cell r="B3138">
            <v>5824118</v>
          </cell>
          <cell r="C3138" t="str">
            <v>SIE</v>
          </cell>
          <cell r="D3138" t="str">
            <v>TRANSFORMADOR POT.TRIF.10/0.23KV.CONVENC.  100KVA</v>
          </cell>
        </row>
        <row r="3139">
          <cell r="B3139">
            <v>5824118</v>
          </cell>
          <cell r="C3139" t="str">
            <v>SPE</v>
          </cell>
          <cell r="D3139" t="str">
            <v>TRANSFORMADOR POT.TRIF.10/0.23KV.CONVENC.  100KVA</v>
          </cell>
        </row>
        <row r="3140">
          <cell r="B3140">
            <v>5824126</v>
          </cell>
          <cell r="C3140" t="str">
            <v>ABB</v>
          </cell>
          <cell r="D3140" t="str">
            <v>TRANSFORMADOR POT.TRIF.10/0.23KV.CONVENC.  160KVA</v>
          </cell>
        </row>
        <row r="3141">
          <cell r="B3141">
            <v>5824126</v>
          </cell>
          <cell r="C3141" t="str">
            <v>CEA</v>
          </cell>
          <cell r="D3141" t="str">
            <v>TRANSFORMADOR POT.TRIF.10/0.23KV.CONVENC.  160KVA</v>
          </cell>
        </row>
        <row r="3142">
          <cell r="B3142">
            <v>5824126</v>
          </cell>
          <cell r="C3142" t="str">
            <v>DEL</v>
          </cell>
          <cell r="D3142" t="str">
            <v>TRANSFORMADOR POT.TRIF.10/0.23KV.CONVENC.  160KVA</v>
          </cell>
        </row>
        <row r="3143">
          <cell r="B3143">
            <v>5824126</v>
          </cell>
          <cell r="C3143" t="str">
            <v>ELK</v>
          </cell>
          <cell r="D3143" t="str">
            <v>TRANSFORMADOR POT.TRIF.10/0.23KV.CONVENC.  160KVA</v>
          </cell>
        </row>
        <row r="3144">
          <cell r="B3144">
            <v>5824126</v>
          </cell>
          <cell r="C3144" t="str">
            <v>EPL</v>
          </cell>
          <cell r="D3144" t="str">
            <v>TRANSFORMADOR POT.TRIF.10/0.23KV.CONVENC.  160KVA</v>
          </cell>
        </row>
        <row r="3145">
          <cell r="B3145">
            <v>5824126</v>
          </cell>
          <cell r="C3145" t="str">
            <v>ITE</v>
          </cell>
          <cell r="D3145" t="str">
            <v>TRANSFORMADOR POT.TRIF.10/0.23KV.CONVENC.  160KVA</v>
          </cell>
        </row>
        <row r="3146">
          <cell r="B3146">
            <v>5824126</v>
          </cell>
          <cell r="C3146" t="str">
            <v>MAG</v>
          </cell>
          <cell r="D3146" t="str">
            <v>TRANSFORMADOR POT.TRIF.10/0.23KV.CONVENC.  160KVA</v>
          </cell>
        </row>
        <row r="3147">
          <cell r="B3147">
            <v>5824126</v>
          </cell>
          <cell r="C3147" t="str">
            <v>SIE</v>
          </cell>
          <cell r="D3147" t="str">
            <v>TRANSFORMADOR POT.TRIF.10/0.23KV.CONVENC.  160KVA</v>
          </cell>
        </row>
        <row r="3148">
          <cell r="B3148">
            <v>5824126</v>
          </cell>
          <cell r="C3148" t="str">
            <v>SPE</v>
          </cell>
          <cell r="D3148" t="str">
            <v>TRANSFORMADOR POT.TRIF.10/0.23KV.CONVENC.  160KVA</v>
          </cell>
        </row>
        <row r="3149">
          <cell r="B3149">
            <v>5824134</v>
          </cell>
          <cell r="C3149" t="str">
            <v>ABB</v>
          </cell>
          <cell r="D3149" t="str">
            <v>TRANSFORMADOR POT.TRIF.10/0.23KV.CONVENC.  250KVA</v>
          </cell>
        </row>
        <row r="3150">
          <cell r="B3150">
            <v>5824134</v>
          </cell>
          <cell r="C3150" t="str">
            <v>CEA</v>
          </cell>
          <cell r="D3150" t="str">
            <v>TRANSFORMADOR POT.TRIF.10/0.23KV.CONVENC.  250KVA</v>
          </cell>
        </row>
        <row r="3151">
          <cell r="B3151">
            <v>5824134</v>
          </cell>
          <cell r="C3151" t="str">
            <v>DEL</v>
          </cell>
          <cell r="D3151" t="str">
            <v>TRANSFORMADOR POT.TRIF.10/0.23KV.CONVENC.  250KVA</v>
          </cell>
        </row>
        <row r="3152">
          <cell r="B3152">
            <v>5824134</v>
          </cell>
          <cell r="C3152" t="str">
            <v>ELK</v>
          </cell>
          <cell r="D3152" t="str">
            <v>TRANSFORMADOR POT.TRIF.10/0.23KV.CONVENC.  250KVA</v>
          </cell>
        </row>
        <row r="3153">
          <cell r="B3153">
            <v>5824134</v>
          </cell>
          <cell r="C3153" t="str">
            <v>EPL</v>
          </cell>
          <cell r="D3153" t="str">
            <v>TRANSFORMADOR POT.TRIF.10/0.23KV.CONVENC.  250KVA</v>
          </cell>
        </row>
        <row r="3154">
          <cell r="B3154">
            <v>5824134</v>
          </cell>
          <cell r="C3154" t="str">
            <v>ITE</v>
          </cell>
          <cell r="D3154" t="str">
            <v>TRANSFORMADOR POT.TRIF.10/0.23KV.CONVENC.  250KVA</v>
          </cell>
        </row>
        <row r="3155">
          <cell r="B3155">
            <v>5824134</v>
          </cell>
          <cell r="C3155" t="str">
            <v>MAG</v>
          </cell>
          <cell r="D3155" t="str">
            <v>TRANSFORMADOR POT.TRIF.10/0.23KV.CONVENC.  250KVA</v>
          </cell>
        </row>
        <row r="3156">
          <cell r="B3156">
            <v>5824134</v>
          </cell>
          <cell r="C3156" t="str">
            <v>SIE</v>
          </cell>
          <cell r="D3156" t="str">
            <v>TRANSFORMADOR POT.TRIF.10/0.23KV.CONVENC.  250KVA</v>
          </cell>
        </row>
        <row r="3157">
          <cell r="B3157">
            <v>5824134</v>
          </cell>
          <cell r="C3157" t="str">
            <v>SPE</v>
          </cell>
          <cell r="D3157" t="str">
            <v>TRANSFORMADOR POT.TRIF.10/0.23KV.CONVENC.  250KVA</v>
          </cell>
        </row>
        <row r="3158">
          <cell r="B3158">
            <v>5824142</v>
          </cell>
          <cell r="C3158" t="str">
            <v>ABB</v>
          </cell>
          <cell r="D3158" t="str">
            <v>TRANSFORMADOR POT.TRIF.10/0.23KV.CONVENC.  400KVA</v>
          </cell>
        </row>
        <row r="3159">
          <cell r="B3159">
            <v>5824142</v>
          </cell>
          <cell r="C3159" t="str">
            <v>CEA</v>
          </cell>
          <cell r="D3159" t="str">
            <v>TRANSFORMADOR POT.TRIF.10/0.23KV.CONVENC.  400KVA</v>
          </cell>
        </row>
        <row r="3160">
          <cell r="B3160">
            <v>5824142</v>
          </cell>
          <cell r="C3160" t="str">
            <v>DEL</v>
          </cell>
          <cell r="D3160" t="str">
            <v>TRANSFORMADOR POT.TRIF.10/0.23KV.CONVENC.  400KVA</v>
          </cell>
        </row>
        <row r="3161">
          <cell r="B3161">
            <v>5824142</v>
          </cell>
          <cell r="C3161" t="str">
            <v>ELK</v>
          </cell>
          <cell r="D3161" t="str">
            <v>TRANSFORMADOR POT.TRIF.10/0.23KV.CONVENC.  400KVA</v>
          </cell>
        </row>
        <row r="3162">
          <cell r="B3162">
            <v>5824142</v>
          </cell>
          <cell r="C3162" t="str">
            <v>EPL</v>
          </cell>
          <cell r="D3162" t="str">
            <v>TRANSFORMADOR POT.TRIF.10/0.23KV.CONVENC.  400KVA</v>
          </cell>
        </row>
        <row r="3163">
          <cell r="B3163">
            <v>5824142</v>
          </cell>
          <cell r="C3163" t="str">
            <v>ITE</v>
          </cell>
          <cell r="D3163" t="str">
            <v>TRANSFORMADOR POT.TRIF.10/0.23KV.CONVENC.  400KVA</v>
          </cell>
        </row>
        <row r="3164">
          <cell r="B3164">
            <v>5824142</v>
          </cell>
          <cell r="C3164" t="str">
            <v>MAG</v>
          </cell>
          <cell r="D3164" t="str">
            <v>TRANSFORMADOR POT.TRIF.10/0.23KV.CONVENC.  400KVA</v>
          </cell>
        </row>
        <row r="3165">
          <cell r="B3165">
            <v>5824142</v>
          </cell>
          <cell r="C3165" t="str">
            <v>SIE</v>
          </cell>
          <cell r="D3165" t="str">
            <v>TRANSFORMADOR POT.TRIF.10/0.23KV.CONVENC.  400KVA</v>
          </cell>
        </row>
        <row r="3166">
          <cell r="B3166">
            <v>5824144</v>
          </cell>
          <cell r="C3166" t="str">
            <v>ITE</v>
          </cell>
          <cell r="D3166" t="str">
            <v>TRANSFORMADOR POT.TRIF.10/0.23KV.CONVENC.   500KVA</v>
          </cell>
        </row>
        <row r="3167">
          <cell r="B3167">
            <v>5824144</v>
          </cell>
          <cell r="C3167" t="str">
            <v>MAG</v>
          </cell>
          <cell r="D3167" t="str">
            <v>TRANSFORMADOR POT.TRIF.10/0.23KV.CONVENC.   500KVA</v>
          </cell>
        </row>
        <row r="3168">
          <cell r="B3168">
            <v>5824148</v>
          </cell>
          <cell r="C3168" t="str">
            <v>ABB</v>
          </cell>
          <cell r="D3168" t="str">
            <v>TRANSFORMADOR POT.TRIF.10/0.23KV.CONVENC.  630KVA</v>
          </cell>
        </row>
        <row r="3169">
          <cell r="B3169">
            <v>5824148</v>
          </cell>
          <cell r="C3169" t="str">
            <v>CEA</v>
          </cell>
          <cell r="D3169" t="str">
            <v>TRANSFORMADOR POT.TRIF.10/0.23KV.CONVENC.  630KVA</v>
          </cell>
        </row>
        <row r="3170">
          <cell r="B3170">
            <v>5824148</v>
          </cell>
          <cell r="C3170" t="str">
            <v>DEL</v>
          </cell>
          <cell r="D3170" t="str">
            <v>TRANSFORMADOR POT.TRIF.10/0.23KV.CONVENC.  630KVA</v>
          </cell>
        </row>
        <row r="3171">
          <cell r="B3171">
            <v>5824148</v>
          </cell>
          <cell r="C3171" t="str">
            <v>ELK</v>
          </cell>
          <cell r="D3171" t="str">
            <v>TRANSFORMADOR POT.TRIF.10/0.23KV.CONVENC.  630KVA</v>
          </cell>
        </row>
        <row r="3172">
          <cell r="B3172">
            <v>5824148</v>
          </cell>
          <cell r="C3172" t="str">
            <v>EPL</v>
          </cell>
          <cell r="D3172" t="str">
            <v>TRANSFORMADOR POT.TRIF.10/0.23KV.CONVENC.  630KVA</v>
          </cell>
        </row>
        <row r="3173">
          <cell r="B3173">
            <v>5824148</v>
          </cell>
          <cell r="C3173" t="str">
            <v>ITE</v>
          </cell>
          <cell r="D3173" t="str">
            <v>TRANSFORMADOR POT.TRIF.10/0.23KV.CONVENC.  630KVA</v>
          </cell>
        </row>
        <row r="3174">
          <cell r="B3174">
            <v>5824148</v>
          </cell>
          <cell r="C3174" t="str">
            <v>MAG</v>
          </cell>
          <cell r="D3174" t="str">
            <v>TRANSFORMADOR POT.TRIF.10/0.23KV.CONVENC.  630KVA</v>
          </cell>
        </row>
        <row r="3175">
          <cell r="B3175">
            <v>5824148</v>
          </cell>
          <cell r="C3175" t="str">
            <v>SIE</v>
          </cell>
          <cell r="D3175" t="str">
            <v>TRANSFORMADOR POT.TRIF.10/0.23KV.CONVENC.  630KVA</v>
          </cell>
        </row>
        <row r="3176">
          <cell r="B3176">
            <v>5824202</v>
          </cell>
          <cell r="C3176" t="str">
            <v>ITE</v>
          </cell>
          <cell r="D3176" t="str">
            <v>TRANSFORMADOR TRIFASICO DE DISTRIBUCION TP.CONVENCIONAL 315KVA 10 +/- 2X2,5% / 0,23KV DYN5 60HZ</v>
          </cell>
        </row>
        <row r="3177">
          <cell r="B3177">
            <v>5824202</v>
          </cell>
          <cell r="C3177" t="str">
            <v>MAG</v>
          </cell>
          <cell r="D3177" t="str">
            <v>TRANSFORMADOR TRIFASICO DE DISTRIBUCION TP.CONVENCIONAL 315KVA 10 +/- 2X2,5% / 0,23KV DYN5 60HZ</v>
          </cell>
        </row>
        <row r="3178">
          <cell r="B3178">
            <v>5824310</v>
          </cell>
          <cell r="C3178" t="str">
            <v>ABB</v>
          </cell>
          <cell r="D3178" t="str">
            <v>TRANSFORMADOR POT.10/0.23KV.TRIF.TP.BOVEDA 50KVA.</v>
          </cell>
        </row>
        <row r="3179">
          <cell r="B3179">
            <v>5824310</v>
          </cell>
          <cell r="C3179" t="str">
            <v>ITE</v>
          </cell>
          <cell r="D3179" t="str">
            <v>TRANSFORMADOR POT.10/0.23KV.TRIF.TP.BOVEDA 50KVA.</v>
          </cell>
        </row>
        <row r="3180">
          <cell r="B3180">
            <v>5824318</v>
          </cell>
          <cell r="C3180" t="str">
            <v>ABB</v>
          </cell>
          <cell r="D3180" t="str">
            <v>TRANSFORMADOR POT.TRIF.10/0.23KV.BOVEDA 100KVA.</v>
          </cell>
        </row>
        <row r="3181">
          <cell r="B3181">
            <v>5824318</v>
          </cell>
          <cell r="C3181" t="str">
            <v>DEL</v>
          </cell>
          <cell r="D3181" t="str">
            <v>TRANSFORMADOR POT.TRIF.10/0.23KV.BOVEDA 100KVA.</v>
          </cell>
        </row>
        <row r="3182">
          <cell r="B3182">
            <v>5824318</v>
          </cell>
          <cell r="C3182" t="str">
            <v>EPL</v>
          </cell>
          <cell r="D3182" t="str">
            <v>TRANSFORMADOR POT.TRIF.10/0.23KV.BOVEDA 100KVA.</v>
          </cell>
        </row>
        <row r="3183">
          <cell r="B3183">
            <v>5824318</v>
          </cell>
          <cell r="C3183" t="str">
            <v>ITE</v>
          </cell>
          <cell r="D3183" t="str">
            <v>TRANSFORMADOR POT.TRIF.10/0.23KV.BOVEDA 100KVA.</v>
          </cell>
        </row>
        <row r="3184">
          <cell r="B3184">
            <v>5824318</v>
          </cell>
          <cell r="C3184" t="str">
            <v>SIE</v>
          </cell>
          <cell r="D3184" t="str">
            <v>TRANSFORMADOR POT.TRIF.10/0.23KV.BOVEDA 100KVA.</v>
          </cell>
        </row>
        <row r="3185">
          <cell r="B3185">
            <v>5824326</v>
          </cell>
          <cell r="C3185" t="str">
            <v>ABB</v>
          </cell>
          <cell r="D3185" t="str">
            <v>TRANSFORMADOR POT.TRIF.10/0.23KV.BOVEDA 160KVA.</v>
          </cell>
        </row>
        <row r="3186">
          <cell r="B3186">
            <v>5824326</v>
          </cell>
          <cell r="C3186" t="str">
            <v>DEL</v>
          </cell>
          <cell r="D3186" t="str">
            <v>TRANSFORMADOR POT.TRIF.10/0.23KV.BOVEDA 160KVA.</v>
          </cell>
        </row>
        <row r="3187">
          <cell r="B3187">
            <v>5824326</v>
          </cell>
          <cell r="C3187" t="str">
            <v>EPL</v>
          </cell>
          <cell r="D3187" t="str">
            <v>TRANSFORMADOR POT.TRIF.10/0.23KV.BOVEDA 160KVA.</v>
          </cell>
        </row>
        <row r="3188">
          <cell r="B3188">
            <v>5824326</v>
          </cell>
          <cell r="C3188" t="str">
            <v>ITE</v>
          </cell>
          <cell r="D3188" t="str">
            <v>TRANSFORMADOR POT.TRIF.10/0.23KV.BOVEDA 160KVA.</v>
          </cell>
        </row>
        <row r="3189">
          <cell r="B3189">
            <v>5824326</v>
          </cell>
          <cell r="C3189" t="str">
            <v>SIE</v>
          </cell>
          <cell r="D3189" t="str">
            <v>TRANSFORMADOR POT.TRIF.10/0.23KV.BOVEDA 160KVA.</v>
          </cell>
        </row>
        <row r="3190">
          <cell r="B3190">
            <v>5824334</v>
          </cell>
          <cell r="C3190" t="str">
            <v>ABB</v>
          </cell>
          <cell r="D3190" t="str">
            <v>TRANSFORMADOR POT.TRIF.10/0.23KV.BOVEDA 250KVA.</v>
          </cell>
        </row>
        <row r="3191">
          <cell r="B3191">
            <v>5824334</v>
          </cell>
          <cell r="C3191" t="str">
            <v>DEL</v>
          </cell>
          <cell r="D3191" t="str">
            <v>TRANSFORMADOR POT.TRIF.10/0.23KV.BOVEDA 250KVA.</v>
          </cell>
        </row>
        <row r="3192">
          <cell r="B3192">
            <v>5824334</v>
          </cell>
          <cell r="C3192" t="str">
            <v>EPL</v>
          </cell>
          <cell r="D3192" t="str">
            <v>TRANSFORMADOR POT.TRIF.10/0.23KV.BOVEDA 250KVA.</v>
          </cell>
        </row>
        <row r="3193">
          <cell r="B3193">
            <v>5824334</v>
          </cell>
          <cell r="C3193" t="str">
            <v>ITE</v>
          </cell>
          <cell r="D3193" t="str">
            <v>TRANSFORMADOR POT.TRIF.10/0.23KV.BOVEDA 250KVA.</v>
          </cell>
        </row>
        <row r="3194">
          <cell r="B3194">
            <v>5824334</v>
          </cell>
          <cell r="C3194" t="str">
            <v>SIE</v>
          </cell>
          <cell r="D3194" t="str">
            <v>TRANSFORMADOR POT.TRIF.10/0.23KV.BOVEDA 250KVA.</v>
          </cell>
        </row>
        <row r="3195">
          <cell r="B3195">
            <v>5824336</v>
          </cell>
          <cell r="C3195" t="str">
            <v>ABB</v>
          </cell>
          <cell r="D3195" t="str">
            <v>TRANSFORMADOR POT.TRIF.10/0,23KV.BOVEDA 400KVA.</v>
          </cell>
        </row>
        <row r="3196">
          <cell r="B3196">
            <v>5824336</v>
          </cell>
          <cell r="C3196" t="str">
            <v>DEL</v>
          </cell>
          <cell r="D3196" t="str">
            <v>TRANSFORMADOR POT.TRIF.10/0,23KV.BOVEDA 400KVA.</v>
          </cell>
        </row>
        <row r="3197">
          <cell r="B3197">
            <v>5824336</v>
          </cell>
          <cell r="C3197" t="str">
            <v>EPL</v>
          </cell>
          <cell r="D3197" t="str">
            <v>TRANSFORMADOR POT.TRIF.10/0,23KV.BOVEDA 400KVA.</v>
          </cell>
        </row>
        <row r="3198">
          <cell r="B3198">
            <v>5824336</v>
          </cell>
          <cell r="C3198" t="str">
            <v>SIE</v>
          </cell>
          <cell r="D3198" t="str">
            <v>TRANSFORMADOR POT.TRIF.10/0,23KV.BOVEDA 400KVA.</v>
          </cell>
        </row>
        <row r="3199">
          <cell r="B3199">
            <v>5824346</v>
          </cell>
          <cell r="C3199" t="str">
            <v>EPL</v>
          </cell>
          <cell r="D3199" t="str">
            <v>TRANSFORMADOR POTENCIA TRIFASICO TP.BOVEDAD 630KVA 10 / 0,23KV</v>
          </cell>
        </row>
        <row r="3200">
          <cell r="B3200">
            <v>5824346</v>
          </cell>
          <cell r="C3200" t="str">
            <v>SIE</v>
          </cell>
          <cell r="D3200" t="str">
            <v>TRANSFORMADOR POTENCIA TRIFASICO TP.BOVEDAD 630KVA 10 / 0,23KV</v>
          </cell>
        </row>
        <row r="3201">
          <cell r="B3201">
            <v>5824418</v>
          </cell>
          <cell r="C3201" t="str">
            <v>ABB</v>
          </cell>
          <cell r="D3201" t="str">
            <v>TRANSFORMADOR POT.TRIF.10/0.23KV.PEDESTAL 100KVA.</v>
          </cell>
        </row>
        <row r="3202">
          <cell r="B3202">
            <v>5824418</v>
          </cell>
          <cell r="C3202" t="str">
            <v>DEL</v>
          </cell>
          <cell r="D3202" t="str">
            <v>TRANSFORMADOR POT.TRIF.10/0.23KV.PEDESTAL 100KVA.</v>
          </cell>
        </row>
        <row r="3203">
          <cell r="B3203">
            <v>5824418</v>
          </cell>
          <cell r="C3203" t="str">
            <v>ITE</v>
          </cell>
          <cell r="D3203" t="str">
            <v>TRANSFORMADOR POT.TRIF.10/0.23KV.PEDESTAL 100KVA.</v>
          </cell>
        </row>
        <row r="3204">
          <cell r="B3204">
            <v>5824426</v>
          </cell>
          <cell r="C3204" t="str">
            <v>ABB</v>
          </cell>
          <cell r="D3204" t="str">
            <v>TRANSFORMADOR POT.TRIF.10/0.23KV.PEDESTAL 160KVA.</v>
          </cell>
        </row>
        <row r="3205">
          <cell r="B3205">
            <v>5824426</v>
          </cell>
          <cell r="C3205" t="str">
            <v>DEL</v>
          </cell>
          <cell r="D3205" t="str">
            <v>TRANSFORMADOR POT.TRIF.10/0.23KV.PEDESTAL 160KVA.</v>
          </cell>
        </row>
        <row r="3206">
          <cell r="B3206">
            <v>5824426</v>
          </cell>
          <cell r="C3206" t="str">
            <v>EPL</v>
          </cell>
          <cell r="D3206" t="str">
            <v>TRANSFORMADOR POT.TRIF.10/0.23KV.PEDESTAL 160KVA.</v>
          </cell>
        </row>
        <row r="3207">
          <cell r="B3207">
            <v>5824426</v>
          </cell>
          <cell r="C3207" t="str">
            <v>ITE</v>
          </cell>
          <cell r="D3207" t="str">
            <v>TRANSFORMADOR POT.TRIF.10/0.23KV.PEDESTAL 160KVA.</v>
          </cell>
        </row>
        <row r="3208">
          <cell r="B3208">
            <v>5824426</v>
          </cell>
          <cell r="C3208" t="str">
            <v>SIE</v>
          </cell>
          <cell r="D3208" t="str">
            <v>TRANSFORMADOR POT.TRIF.10/0.23KV.PEDESTAL 160KVA.</v>
          </cell>
        </row>
        <row r="3209">
          <cell r="B3209">
            <v>5824434</v>
          </cell>
          <cell r="C3209" t="str">
            <v>ABB</v>
          </cell>
          <cell r="D3209" t="str">
            <v>TRANSFORMADOR POT.TRIF.10/0.23KV.PEDESTAL 250KVA.</v>
          </cell>
        </row>
        <row r="3210">
          <cell r="B3210">
            <v>5824434</v>
          </cell>
          <cell r="C3210" t="str">
            <v>DEL</v>
          </cell>
          <cell r="D3210" t="str">
            <v>TRANSFORMADOR POT.TRIF.10/0.23KV.PEDESTAL 250KVA.</v>
          </cell>
        </row>
        <row r="3211">
          <cell r="B3211">
            <v>5824434</v>
          </cell>
          <cell r="C3211" t="str">
            <v>EPL</v>
          </cell>
          <cell r="D3211" t="str">
            <v>TRANSFORMADOR POT.TRIF.10/0.23KV.PEDESTAL 250KVA.</v>
          </cell>
        </row>
        <row r="3212">
          <cell r="B3212">
            <v>5824434</v>
          </cell>
          <cell r="C3212" t="str">
            <v>ITE</v>
          </cell>
          <cell r="D3212" t="str">
            <v>TRANSFORMADOR POT.TRIF.10/0.23KV.PEDESTAL 250KVA.</v>
          </cell>
        </row>
        <row r="3213">
          <cell r="B3213">
            <v>5824434</v>
          </cell>
          <cell r="C3213" t="str">
            <v>SIE</v>
          </cell>
          <cell r="D3213" t="str">
            <v>TRANSFORMADOR POT.TRIF.10/0.23KV.PEDESTAL 250KVA.</v>
          </cell>
        </row>
        <row r="3214">
          <cell r="B3214">
            <v>5824442</v>
          </cell>
          <cell r="C3214" t="str">
            <v>ABB</v>
          </cell>
          <cell r="D3214" t="str">
            <v>TRANSFORMADOR POT.TRIF.10/0.23KV.PEDESTAL 400KV.</v>
          </cell>
        </row>
        <row r="3215">
          <cell r="B3215">
            <v>5824442</v>
          </cell>
          <cell r="C3215" t="str">
            <v>DEL</v>
          </cell>
          <cell r="D3215" t="str">
            <v>TRANSFORMADOR POT.TRIF.10/0.23KV.PEDESTAL 400KV.</v>
          </cell>
        </row>
        <row r="3216">
          <cell r="B3216">
            <v>5824442</v>
          </cell>
          <cell r="C3216" t="str">
            <v>EPL</v>
          </cell>
          <cell r="D3216" t="str">
            <v>TRANSFORMADOR POT.TRIF.10/0.23KV.PEDESTAL 400KV.</v>
          </cell>
        </row>
        <row r="3217">
          <cell r="B3217">
            <v>5824442</v>
          </cell>
          <cell r="C3217" t="str">
            <v>ITE</v>
          </cell>
          <cell r="D3217" t="str">
            <v>TRANSFORMADOR POT.TRIF.10/0.23KV.PEDESTAL 400KV.</v>
          </cell>
        </row>
        <row r="3218">
          <cell r="B3218">
            <v>5824442</v>
          </cell>
          <cell r="C3218" t="str">
            <v>SIE</v>
          </cell>
          <cell r="D3218" t="str">
            <v>TRANSFORMADOR POT.TRIF.10/0.23KV.PEDESTAL 400KV.</v>
          </cell>
        </row>
        <row r="3219">
          <cell r="B3219">
            <v>5824448</v>
          </cell>
          <cell r="C3219" t="str">
            <v>ABB</v>
          </cell>
          <cell r="D3219" t="str">
            <v>TRANSFORMADOR POT.TRIF.10/0.23KV.PEDESTAL 630KVA.</v>
          </cell>
        </row>
        <row r="3220">
          <cell r="B3220">
            <v>5824448</v>
          </cell>
          <cell r="C3220" t="str">
            <v>DEL</v>
          </cell>
          <cell r="D3220" t="str">
            <v>TRANSFORMADOR POT.TRIF.10/0.23KV.PEDESTAL 630KVA.</v>
          </cell>
        </row>
        <row r="3221">
          <cell r="B3221">
            <v>5824448</v>
          </cell>
          <cell r="C3221" t="str">
            <v>EPL</v>
          </cell>
          <cell r="D3221" t="str">
            <v>TRANSFORMADOR POT.TRIF.10/0.23KV.PEDESTAL 630KVA.</v>
          </cell>
        </row>
        <row r="3222">
          <cell r="B3222">
            <v>5824448</v>
          </cell>
          <cell r="C3222" t="str">
            <v>ITE</v>
          </cell>
          <cell r="D3222" t="str">
            <v>TRANSFORMADOR POT.TRIF.10/0.23KV.PEDESTAL 630KVA.</v>
          </cell>
        </row>
        <row r="3223">
          <cell r="B3223">
            <v>5824448</v>
          </cell>
          <cell r="C3223" t="str">
            <v>SIE</v>
          </cell>
          <cell r="D3223" t="str">
            <v>TRANSFORMADOR POT.TRIF.10/0.23KV.PEDESTAL 630KVA.</v>
          </cell>
        </row>
        <row r="3224">
          <cell r="B3224">
            <v>5824758</v>
          </cell>
          <cell r="C3224" t="str">
            <v>FHP</v>
          </cell>
          <cell r="D3224" t="str">
            <v>INDICADOR FALLA SUMERGIBLE TRIP. 10KV. 100A.</v>
          </cell>
        </row>
        <row r="3225">
          <cell r="B3225">
            <v>5824758</v>
          </cell>
          <cell r="C3225" t="str">
            <v>ITT</v>
          </cell>
          <cell r="D3225" t="str">
            <v>INDICADOR FALLA SUMERGIBLE TRIP. 10KV. 100A.</v>
          </cell>
        </row>
        <row r="3226">
          <cell r="B3226">
            <v>5826179</v>
          </cell>
          <cell r="C3226" t="str">
            <v>TMC</v>
          </cell>
          <cell r="D3226" t="str">
            <v>TRANSFORMADOR TRIFASICO DE DISTRIBUCION SECO TP.CONVENCIONAL C.ENVOLVENTE 50KVA 10/0,23KV</v>
          </cell>
        </row>
        <row r="3227">
          <cell r="B3227">
            <v>5826180</v>
          </cell>
          <cell r="C3227" t="str">
            <v>TMC</v>
          </cell>
          <cell r="D3227" t="str">
            <v>TRANSFORMADOR TRIFASICO DE DISTRIBUCION SECO TP.CONVENCIONAL 50KVA 10 / 0,23KV DYN5 AN 60HZ</v>
          </cell>
        </row>
        <row r="3228">
          <cell r="B3228">
            <v>5826181</v>
          </cell>
          <cell r="C3228" t="str">
            <v>TMC</v>
          </cell>
          <cell r="D3228" t="str">
            <v>TRANSFORMADOR TRIFASICO DE DISTRIBUCION SECO TP.CONVENCIONAL C.ENVOLVENTE 75KVA 10/0,23KV</v>
          </cell>
        </row>
        <row r="3229">
          <cell r="B3229">
            <v>5826182</v>
          </cell>
          <cell r="C3229" t="str">
            <v>TMC</v>
          </cell>
          <cell r="D3229" t="str">
            <v>TRANSFORMADOR TRIFASICO DE DISTRIBUCION SECO TP.CONVENCIONAL 75KVA 10 / 0,23KV DYN5 AN 60HZ</v>
          </cell>
        </row>
        <row r="3230">
          <cell r="B3230">
            <v>5826183</v>
          </cell>
          <cell r="C3230" t="str">
            <v>TMC</v>
          </cell>
          <cell r="D3230" t="str">
            <v>TRANSFORMADOR TRIFASICO DE DISTRIBUCION SECO TP.CONVENCIONAL C.ENVOLVENTE 100KVA 10/0,23KV</v>
          </cell>
        </row>
        <row r="3231">
          <cell r="B3231">
            <v>5826184</v>
          </cell>
          <cell r="C3231" t="str">
            <v>TMC</v>
          </cell>
          <cell r="D3231" t="str">
            <v>TRANSFORMADOR TRIFASICO DE DISTRIBUCION SECO TP.CONVENCIONAL 100KVA 10 / 0,23KV DYN5 AN 60HZ</v>
          </cell>
        </row>
        <row r="3232">
          <cell r="B3232">
            <v>5826185</v>
          </cell>
          <cell r="C3232" t="str">
            <v>TMC</v>
          </cell>
          <cell r="D3232" t="str">
            <v>TRANSFORMADOR TRIFASICO DE DISTRIBUCION SECO TP.CONVENCIONAL C.ENVOLVENTE 160KVA 10/0,23KV</v>
          </cell>
        </row>
        <row r="3233">
          <cell r="B3233">
            <v>5826186</v>
          </cell>
          <cell r="C3233" t="str">
            <v>TMC</v>
          </cell>
          <cell r="D3233" t="str">
            <v>TRANSFORMADOR TRIFASICO DE DISTRIBUCION SECO TP.CONVENCIONAL 160KVA 10 / 0,23KV DYN5 AN 60HZ</v>
          </cell>
        </row>
        <row r="3234">
          <cell r="B3234">
            <v>5826187</v>
          </cell>
          <cell r="C3234" t="str">
            <v>TMC</v>
          </cell>
          <cell r="D3234" t="str">
            <v>TRANSFORMADOR TRIFASICO DE DISTRIBUCION SECO TP.CONVENCIONAL C.ENVOLVENTE 250KVA 10/0,23KV</v>
          </cell>
        </row>
        <row r="3235">
          <cell r="B3235">
            <v>5826188</v>
          </cell>
          <cell r="C3235" t="str">
            <v>TMC</v>
          </cell>
          <cell r="D3235" t="str">
            <v>TRANSFORMADOR TRIFASICO DE DISTRIBUCION SECO TP.CONVENCIONAL 250KVA 10 / 0,23KV DYN5 AN 60HZ</v>
          </cell>
        </row>
        <row r="3236">
          <cell r="B3236">
            <v>5826189</v>
          </cell>
          <cell r="C3236" t="str">
            <v>TMC</v>
          </cell>
          <cell r="D3236" t="str">
            <v>TRANSFORMADOR TRIFASICO DE DISTRIBUCION SECO TP.CONVENCIONAL C.ENVOLVENTE 315KVA 10/0,23KV</v>
          </cell>
        </row>
        <row r="3237">
          <cell r="B3237">
            <v>5826190</v>
          </cell>
          <cell r="C3237" t="str">
            <v>TMC</v>
          </cell>
          <cell r="D3237" t="str">
            <v>TRANSFORMADOR TRIFASICO DE DISTRIBUCION SECO TP.CONVENCIONAL 315KVA 10 / 0,23KV DYN5 AN 60HZ</v>
          </cell>
        </row>
        <row r="3238">
          <cell r="B3238">
            <v>5826191</v>
          </cell>
          <cell r="C3238" t="str">
            <v>TMC</v>
          </cell>
          <cell r="D3238" t="str">
            <v>TRANSFORMADOR TRIFASICO DE DISTRIBUCION SECO TP.CONVENCIONAL C.ENVOLVENTE 400KVA 10/0,23KV</v>
          </cell>
        </row>
        <row r="3239">
          <cell r="B3239">
            <v>5826192</v>
          </cell>
          <cell r="C3239" t="str">
            <v>TMC</v>
          </cell>
          <cell r="D3239" t="str">
            <v>TRANSFORMADOR TRIFASICO DE DISTRIBUCION SECO TP.CONVENCIONAL 400KVA 10 / 0,23KV DYN5 AN 60HZ</v>
          </cell>
        </row>
        <row r="3240">
          <cell r="B3240">
            <v>5826193</v>
          </cell>
          <cell r="C3240" t="str">
            <v>TMC</v>
          </cell>
          <cell r="D3240" t="str">
            <v>TRANSFORMADOR TRIFASICO DE DISTRIBUCION SECO TP.CONVENCIONAL C.ENVOLVENTE 500KVA 10/0,23KV</v>
          </cell>
        </row>
        <row r="3241">
          <cell r="B3241">
            <v>5826194</v>
          </cell>
          <cell r="C3241" t="str">
            <v>TMC</v>
          </cell>
          <cell r="D3241" t="str">
            <v>TRANSFORMADOR TRIFASICO DE DISTRIBUCION SECO TP.CONVENCIONAL 500KVA 10 / 0,23KV DYN5 AN 60HZ</v>
          </cell>
        </row>
        <row r="3242">
          <cell r="B3242">
            <v>5826195</v>
          </cell>
          <cell r="C3242" t="str">
            <v>TMC</v>
          </cell>
          <cell r="D3242" t="str">
            <v>TRANSFORMADOR TRIFASICO DE DISTRIBUCION SECO TP.CONVENCIONAL C.ENVOLVENTE 630KVA 10/0,23KV</v>
          </cell>
        </row>
        <row r="3243">
          <cell r="B3243">
            <v>5826196</v>
          </cell>
          <cell r="C3243" t="str">
            <v>TMC</v>
          </cell>
          <cell r="D3243" t="str">
            <v>TRANSFORMADOR TRIFASICO DE DISTRIBUCION SECO TP.CONVENCIONAL 630KVA 10 / 0,23KV DYN5 AN 60HZ</v>
          </cell>
        </row>
        <row r="3244">
          <cell r="B3244">
            <v>5826197</v>
          </cell>
          <cell r="C3244" t="str">
            <v>TMC</v>
          </cell>
          <cell r="D3244" t="str">
            <v>TRANSFORMADOR TRIFASICO DE DISTRIBUCION SECO TP.CONVENCIONAL S.ENVOLVENTE 50KVA 10/0,23KV</v>
          </cell>
        </row>
        <row r="3245">
          <cell r="B3245">
            <v>5826198</v>
          </cell>
          <cell r="C3245" t="str">
            <v>TMC</v>
          </cell>
          <cell r="D3245" t="str">
            <v>TRANSFORMADOR TRIFASICO DE DISTRIBUCION SECO TP.CONVENCIONAL S.ENVOLVENTE 75KVA 10/0,23KV</v>
          </cell>
        </row>
        <row r="3246">
          <cell r="B3246">
            <v>5826199</v>
          </cell>
          <cell r="C3246" t="str">
            <v>TMC</v>
          </cell>
          <cell r="D3246" t="str">
            <v>TRANSFORMADOR TRIFASICO DE DISTRIBUCION SECO TP.CONVENCIONAL S.ENVOLVENTE 100KVA 10/0,23KV</v>
          </cell>
        </row>
        <row r="3247">
          <cell r="B3247">
            <v>5826200</v>
          </cell>
          <cell r="C3247" t="str">
            <v>TMC</v>
          </cell>
          <cell r="D3247" t="str">
            <v>TRANSFORMADOR TRIFASICO DE DISTRIBUCION SECO TP.CONVENCIONAL S.ENVOLVENTE 160KVA 10/0,23KV</v>
          </cell>
        </row>
        <row r="3248">
          <cell r="B3248">
            <v>5826201</v>
          </cell>
          <cell r="C3248" t="str">
            <v>TMC</v>
          </cell>
          <cell r="D3248" t="str">
            <v>TRANSFORMADOR TRIFASICO DE DISTRIBUCION SECO TP.CONVENCIONAL S.ENVOLVENTE 250KVA 10/0,23KV</v>
          </cell>
        </row>
        <row r="3249">
          <cell r="B3249">
            <v>5826202</v>
          </cell>
          <cell r="C3249" t="str">
            <v>TMC</v>
          </cell>
          <cell r="D3249" t="str">
            <v>TRANSFORMADOR TRIFASICO DE DISTRIBUCION SECO TP.CONVENCIONAL S.ENVOLVENTE 315KVA 10/0,23KV</v>
          </cell>
        </row>
        <row r="3250">
          <cell r="B3250">
            <v>5826203</v>
          </cell>
          <cell r="C3250" t="str">
            <v>TMC</v>
          </cell>
          <cell r="D3250" t="str">
            <v>TRANSFORMADOR TRIFASICO DE DISTRIBUCION SECO TP.CONVENCIONAL S.ENVOLVENTE 400KVA 10/0,23KV</v>
          </cell>
        </row>
        <row r="3251">
          <cell r="B3251">
            <v>5826204</v>
          </cell>
          <cell r="C3251" t="str">
            <v>TMC</v>
          </cell>
          <cell r="D3251" t="str">
            <v>TRANSFORMADOR TRIFASICO DE DISTRIBUCION SECO TP.CONVENCIONAL S.ENVOLVENTE 500KVA 10/0,23KV</v>
          </cell>
        </row>
        <row r="3252">
          <cell r="B3252">
            <v>5826205</v>
          </cell>
          <cell r="C3252" t="str">
            <v>TMC</v>
          </cell>
          <cell r="D3252" t="str">
            <v>TRANSFORMADOR TRIFASICO DE DISTRIBUCION SECO TP.CONVENCIONAL S.ENVOLVENTE 630KVA 10/0,23KV</v>
          </cell>
        </row>
        <row r="3253">
          <cell r="B3253">
            <v>5826330</v>
          </cell>
          <cell r="C3253" t="str">
            <v>ITE</v>
          </cell>
          <cell r="D3253" t="str">
            <v>TRANSFORMADOR TRIFASICO DE DISTRIBUCION TP.CONVENCIONAL 75KVA 22,9 +/- 2X2,5% / 0,23KV YND5 60HZ</v>
          </cell>
        </row>
        <row r="3254">
          <cell r="B3254">
            <v>5826330</v>
          </cell>
          <cell r="C3254" t="str">
            <v>MAG</v>
          </cell>
          <cell r="D3254" t="str">
            <v>TRANSFORMADOR TRIFASICO DE DISTRIBUCION TP.CONVENCIONAL 75KVA 22,9 +/- 2X2,5% / 0,23KV YND5 60HZ</v>
          </cell>
        </row>
        <row r="3255">
          <cell r="B3255">
            <v>5826355</v>
          </cell>
          <cell r="C3255" t="str">
            <v>ABB</v>
          </cell>
          <cell r="D3255" t="str">
            <v>TRANSFORMADOR DE POTENCIA TRIFASICO TP.CONVENCIONAL 400KVA 22,9 / 0,40 - 0,23KV EXTERIOR</v>
          </cell>
        </row>
        <row r="3256">
          <cell r="B3256">
            <v>5826355</v>
          </cell>
          <cell r="C3256" t="str">
            <v>CEA</v>
          </cell>
          <cell r="D3256" t="str">
            <v>TRANSFORMADOR DE POTENCIA TRIFASICO TP.CONVENCIONAL 400KVA 22,9 / 0,40 - 0,23KV EXTERIOR</v>
          </cell>
        </row>
        <row r="3257">
          <cell r="B3257">
            <v>5826355</v>
          </cell>
          <cell r="C3257" t="str">
            <v>DEL</v>
          </cell>
          <cell r="D3257" t="str">
            <v>TRANSFORMADOR DE POTENCIA TRIFASICO TP.CONVENCIONAL 400KVA 22,9 / 0,40 - 0,23KV EXTERIOR</v>
          </cell>
        </row>
        <row r="3258">
          <cell r="B3258">
            <v>5826355</v>
          </cell>
          <cell r="C3258" t="str">
            <v>EPL</v>
          </cell>
          <cell r="D3258" t="str">
            <v>TRANSFORMADOR DE POTENCIA TRIFASICO TP.CONVENCIONAL 400KVA 22,9 / 0,40 - 0,23KV EXTERIOR</v>
          </cell>
        </row>
        <row r="3259">
          <cell r="B3259">
            <v>5826506</v>
          </cell>
          <cell r="C3259" t="str">
            <v>ABB</v>
          </cell>
          <cell r="D3259" t="str">
            <v>TRANSFORMADOR POT.TRIF 10/22,9KV. 3MVA(ONAN) 3,75MVA(ONAF) YND5 1000MSNM</v>
          </cell>
        </row>
        <row r="3260">
          <cell r="B3260">
            <v>5826506</v>
          </cell>
          <cell r="C3260" t="str">
            <v>CEA</v>
          </cell>
          <cell r="D3260" t="str">
            <v>TRANSFORMADOR POT.TRIF 10/22,9KV. 3MVA(ONAN) 3,75MVA(ONAF) YND5 1000MSNM</v>
          </cell>
        </row>
        <row r="3261">
          <cell r="B3261">
            <v>5826506</v>
          </cell>
          <cell r="C3261" t="str">
            <v>DEL</v>
          </cell>
          <cell r="D3261" t="str">
            <v>TRANSFORMADOR POT.TRIF 10/22,9KV. 3MVA(ONAN) 3,75MVA(ONAF) YND5 1000MSNM</v>
          </cell>
        </row>
        <row r="3262">
          <cell r="B3262">
            <v>5826506</v>
          </cell>
          <cell r="C3262" t="str">
            <v>EPL</v>
          </cell>
          <cell r="D3262" t="str">
            <v>TRANSFORMADOR POT.TRIF 10/22,9KV. 3MVA(ONAN) 3,75MVA(ONAF) YND5 1000MSNM</v>
          </cell>
        </row>
        <row r="3263">
          <cell r="B3263">
            <v>5827020</v>
          </cell>
          <cell r="C3263" t="str">
            <v>ABB</v>
          </cell>
          <cell r="D3263" t="str">
            <v>TRANSFORMADOR TRIFASICO DE DISTRIBUCION C.BOBINADO DE ALUMINIO 50KVA 10 / 0,23KV DYN5 2500 M.S.N.M.</v>
          </cell>
        </row>
        <row r="3264">
          <cell r="B3264">
            <v>5827024</v>
          </cell>
          <cell r="C3264" t="str">
            <v>ABB</v>
          </cell>
          <cell r="D3264" t="str">
            <v>TRANSFORMADOR TRIFASICO DE DISTRIBUCION C.BOBINADO DE ALUMINIO 100KVA 10 / 0,23KV DYN5 2500 M.S.N.M.</v>
          </cell>
        </row>
        <row r="3265">
          <cell r="B3265">
            <v>5827028</v>
          </cell>
          <cell r="C3265" t="str">
            <v>ABB</v>
          </cell>
          <cell r="D3265" t="str">
            <v>TRANSFORMADOR TRIFASICO DE DISTRIBUCION C.BOBINADO DE ALUMINIO 160KVA 10 / 0,23KV DYN5 2500 M.S.N.M.</v>
          </cell>
        </row>
        <row r="3266">
          <cell r="B3266">
            <v>5827032</v>
          </cell>
          <cell r="C3266" t="str">
            <v>ABB</v>
          </cell>
          <cell r="D3266" t="str">
            <v>TRANSFORMADOR TRIFASICO DE DISTRIBUCION C.BOBINADO DE ALUMINIO 250KVA 10 / 0,23KV DYN5 2500 M.S.N.M.</v>
          </cell>
        </row>
        <row r="3267">
          <cell r="B3267">
            <v>5827034</v>
          </cell>
          <cell r="C3267" t="str">
            <v>ABB</v>
          </cell>
          <cell r="D3267" t="str">
            <v>TRANSFORMADOR TRIFASICO DE DISTRIBUCION C.BOBINADO DE ALUMINIO 400KVA 10 / 0,23KV DYN5 2500 M.S.N.M.</v>
          </cell>
        </row>
        <row r="3268">
          <cell r="B3268">
            <v>5827036</v>
          </cell>
          <cell r="C3268" t="str">
            <v>ABB</v>
          </cell>
          <cell r="D3268" t="str">
            <v>TRANSFORMADOR TRIFASICO DE DISTRIBUCION C.BOBINADO DE ALUMINIO 630KVA 10 / 0,23KV DYN5 2500 M.S.N.M.</v>
          </cell>
        </row>
        <row r="3269">
          <cell r="B3269">
            <v>5831178</v>
          </cell>
          <cell r="C3269" t="str">
            <v>ABB</v>
          </cell>
          <cell r="D3269" t="str">
            <v>TRANSFORMADOR DE POTENCIA TRIFASICO TP.CONVENCIONAL 50KVA 22,9/0,23KV YND5 ONAN EXTERIOR</v>
          </cell>
        </row>
        <row r="3270">
          <cell r="B3270">
            <v>5831178</v>
          </cell>
          <cell r="C3270" t="str">
            <v>CEA</v>
          </cell>
          <cell r="D3270" t="str">
            <v>TRANSFORMADOR DE POTENCIA TRIFASICO TP.CONVENCIONAL 50KVA 22,9/0,23KV YND5 ONAN EXTERIOR</v>
          </cell>
        </row>
        <row r="3271">
          <cell r="B3271">
            <v>5831178</v>
          </cell>
          <cell r="C3271" t="str">
            <v>DEL</v>
          </cell>
          <cell r="D3271" t="str">
            <v>TRANSFORMADOR DE POTENCIA TRIFASICO TP.CONVENCIONAL 50KVA 22,9/0,23KV YND5 ONAN EXTERIOR</v>
          </cell>
        </row>
        <row r="3272">
          <cell r="B3272">
            <v>5831178</v>
          </cell>
          <cell r="C3272" t="str">
            <v>EPL</v>
          </cell>
          <cell r="D3272" t="str">
            <v>TRANSFORMADOR DE POTENCIA TRIFASICO TP.CONVENCIONAL 50KVA 22,9/0,23KV YND5 ONAN EXTERIOR</v>
          </cell>
        </row>
        <row r="3273">
          <cell r="B3273">
            <v>5831178</v>
          </cell>
          <cell r="C3273" t="str">
            <v>ITE</v>
          </cell>
          <cell r="D3273" t="str">
            <v>TRANSFORMADOR DE POTENCIA TRIFASICO TP.CONVENCIONAL 50KVA 22,9/0,23KV YND5 ONAN EXTERIOR</v>
          </cell>
        </row>
        <row r="3274">
          <cell r="B3274">
            <v>5831178</v>
          </cell>
          <cell r="C3274" t="str">
            <v>MAG</v>
          </cell>
          <cell r="D3274" t="str">
            <v>TRANSFORMADOR DE POTENCIA TRIFASICO TP.CONVENCIONAL 50KVA 22,9/0,23KV YND5 ONAN EXTERIOR</v>
          </cell>
        </row>
        <row r="3275">
          <cell r="B3275">
            <v>5831178</v>
          </cell>
          <cell r="C3275" t="str">
            <v>SIE</v>
          </cell>
          <cell r="D3275" t="str">
            <v>TRANSFORMADOR DE POTENCIA TRIFASICO TP.CONVENCIONAL 50KVA 22,9/0,23KV YND5 ONAN EXTERIOR</v>
          </cell>
        </row>
        <row r="3276">
          <cell r="B3276">
            <v>5831182</v>
          </cell>
          <cell r="C3276" t="str">
            <v>ABB</v>
          </cell>
          <cell r="D3276" t="str">
            <v>TRANSFORMADOR DE POTENCIA TRIFASICO TP.CONVENCIONAL 100KVA 22,9/0,23KV YND5 ONAN EXTERIOR</v>
          </cell>
        </row>
        <row r="3277">
          <cell r="B3277">
            <v>5831182</v>
          </cell>
          <cell r="C3277" t="str">
            <v>CEA</v>
          </cell>
          <cell r="D3277" t="str">
            <v>TRANSFORMADOR DE POTENCIA TRIFASICO TP.CONVENCIONAL 100KVA 22,9/0,23KV YND5 ONAN EXTERIOR</v>
          </cell>
        </row>
        <row r="3278">
          <cell r="B3278">
            <v>5831182</v>
          </cell>
          <cell r="C3278" t="str">
            <v>DEL</v>
          </cell>
          <cell r="D3278" t="str">
            <v>TRANSFORMADOR DE POTENCIA TRIFASICO TP.CONVENCIONAL 100KVA 22,9/0,23KV YND5 ONAN EXTERIOR</v>
          </cell>
        </row>
        <row r="3279">
          <cell r="B3279">
            <v>5831182</v>
          </cell>
          <cell r="C3279" t="str">
            <v>DEL</v>
          </cell>
          <cell r="D3279" t="str">
            <v>TRANSFORMADOR DE POTENCIA TRIFASICO TP.CONVENCIONAL 100KVA 22,9/0,23KV YND5 ONAN EXTERIOR</v>
          </cell>
        </row>
        <row r="3280">
          <cell r="B3280">
            <v>5831182</v>
          </cell>
          <cell r="C3280" t="str">
            <v>EPL</v>
          </cell>
          <cell r="D3280" t="str">
            <v>TRANSFORMADOR DE POTENCIA TRIFASICO TP.CONVENCIONAL 100KVA 22,9/0,23KV YND5 ONAN EXTERIOR</v>
          </cell>
        </row>
        <row r="3281">
          <cell r="B3281">
            <v>5831182</v>
          </cell>
          <cell r="C3281" t="str">
            <v>ITE</v>
          </cell>
          <cell r="D3281" t="str">
            <v>TRANSFORMADOR DE POTENCIA TRIFASICO TP.CONVENCIONAL 100KVA 22,9/0,23KV YND5 ONAN EXTERIOR</v>
          </cell>
        </row>
        <row r="3282">
          <cell r="B3282">
            <v>5831182</v>
          </cell>
          <cell r="C3282" t="str">
            <v>MAG</v>
          </cell>
          <cell r="D3282" t="str">
            <v>TRANSFORMADOR DE POTENCIA TRIFASICO TP.CONVENCIONAL 100KVA 22,9/0,23KV YND5 ONAN EXTERIOR</v>
          </cell>
        </row>
        <row r="3283">
          <cell r="B3283">
            <v>5831182</v>
          </cell>
          <cell r="C3283" t="str">
            <v>SIE</v>
          </cell>
          <cell r="D3283" t="str">
            <v>TRANSFORMADOR DE POTENCIA TRIFASICO TP.CONVENCIONAL 100KVA 22,9/0,23KV YND5 ONAN EXTERIOR</v>
          </cell>
        </row>
        <row r="3284">
          <cell r="B3284">
            <v>5831183</v>
          </cell>
          <cell r="C3284" t="str">
            <v>ABB</v>
          </cell>
          <cell r="D3284" t="str">
            <v>TRANSFORMADOR DE POTENCIA TRIFASICO TP.CONVENCIONAL 160KVA 22,9/0,23KV YND5 ONAN EXTERIOR</v>
          </cell>
        </row>
        <row r="3285">
          <cell r="B3285">
            <v>5831183</v>
          </cell>
          <cell r="C3285" t="str">
            <v>CEA</v>
          </cell>
          <cell r="D3285" t="str">
            <v>TRANSFORMADOR DE POTENCIA TRIFASICO TP.CONVENCIONAL 160KVA 22,9/0,23KV YND5 ONAN EXTERIOR</v>
          </cell>
        </row>
        <row r="3286">
          <cell r="B3286">
            <v>5831183</v>
          </cell>
          <cell r="C3286" t="str">
            <v>DEL</v>
          </cell>
          <cell r="D3286" t="str">
            <v>TRANSFORMADOR DE POTENCIA TRIFASICO TP.CONVENCIONAL 160KVA 22,9/0,23KV YND5 ONAN EXTERIOR</v>
          </cell>
        </row>
        <row r="3287">
          <cell r="B3287">
            <v>5831183</v>
          </cell>
          <cell r="C3287" t="str">
            <v>EPL</v>
          </cell>
          <cell r="D3287" t="str">
            <v>TRANSFORMADOR DE POTENCIA TRIFASICO TP.CONVENCIONAL 160KVA 22,9/0,23KV YND5 ONAN EXTERIOR</v>
          </cell>
        </row>
        <row r="3288">
          <cell r="B3288">
            <v>5831183</v>
          </cell>
          <cell r="C3288" t="str">
            <v>ITE</v>
          </cell>
          <cell r="D3288" t="str">
            <v>TRANSFORMADOR DE POTENCIA TRIFASICO TP.CONVENCIONAL 160KVA 22,9/0,23KV YND5 ONAN EXTERIOR</v>
          </cell>
        </row>
        <row r="3289">
          <cell r="B3289">
            <v>5831183</v>
          </cell>
          <cell r="C3289" t="str">
            <v>MAG</v>
          </cell>
          <cell r="D3289" t="str">
            <v>TRANSFORMADOR DE POTENCIA TRIFASICO TP.CONVENCIONAL 160KVA 22,9/0,23KV YND5 ONAN EXTERIOR</v>
          </cell>
        </row>
        <row r="3290">
          <cell r="B3290">
            <v>5831183</v>
          </cell>
          <cell r="C3290" t="str">
            <v>SIE</v>
          </cell>
          <cell r="D3290" t="str">
            <v>TRANSFORMADOR DE POTENCIA TRIFASICO TP.CONVENCIONAL 160KVA 22,9/0,23KV YND5 ONAN EXTERIOR</v>
          </cell>
        </row>
        <row r="3291">
          <cell r="B3291">
            <v>5831188</v>
          </cell>
          <cell r="C3291" t="str">
            <v>ABB</v>
          </cell>
          <cell r="D3291" t="str">
            <v>TRANSFORMADOR DE POTENCIA TRIFASICO TP.CONVENCIONAL 250KVA 22,9/0,23KV YND5 ONAN EXTERIOR</v>
          </cell>
        </row>
        <row r="3292">
          <cell r="B3292">
            <v>5831188</v>
          </cell>
          <cell r="C3292" t="str">
            <v>CEA</v>
          </cell>
          <cell r="D3292" t="str">
            <v>TRANSFORMADOR DE POTENCIA TRIFASICO TP.CONVENCIONAL 250KVA 22,9/0,23KV YND5 ONAN EXTERIOR</v>
          </cell>
        </row>
        <row r="3293">
          <cell r="B3293">
            <v>5831188</v>
          </cell>
          <cell r="C3293" t="str">
            <v>DEL</v>
          </cell>
          <cell r="D3293" t="str">
            <v>TRANSFORMADOR DE POTENCIA TRIFASICO TP.CONVENCIONAL 250KVA 22,9/0,23KV YND5 ONAN EXTERIOR</v>
          </cell>
        </row>
        <row r="3294">
          <cell r="B3294">
            <v>5831188</v>
          </cell>
          <cell r="C3294" t="str">
            <v>EPL</v>
          </cell>
          <cell r="D3294" t="str">
            <v>TRANSFORMADOR DE POTENCIA TRIFASICO TP.CONVENCIONAL 250KVA 22,9/0,23KV YND5 ONAN EXTERIOR</v>
          </cell>
        </row>
        <row r="3295">
          <cell r="B3295">
            <v>5831188</v>
          </cell>
          <cell r="C3295" t="str">
            <v>ITE</v>
          </cell>
          <cell r="D3295" t="str">
            <v>TRANSFORMADOR DE POTENCIA TRIFASICO TP.CONVENCIONAL 250KVA 22,9/0,23KV YND5 ONAN EXTERIOR</v>
          </cell>
        </row>
        <row r="3296">
          <cell r="B3296">
            <v>5831188</v>
          </cell>
          <cell r="C3296" t="str">
            <v>MAG</v>
          </cell>
          <cell r="D3296" t="str">
            <v>TRANSFORMADOR DE POTENCIA TRIFASICO TP.CONVENCIONAL 250KVA 22,9/0,23KV YND5 ONAN EXTERIOR</v>
          </cell>
        </row>
        <row r="3297">
          <cell r="B3297">
            <v>5831190</v>
          </cell>
          <cell r="C3297" t="str">
            <v>ITE</v>
          </cell>
          <cell r="D3297" t="str">
            <v>TRANSFORMADOR TRIFASICO DE DISTRIBUCION TP.CONVENCIONAL 315KVA 22,9 +/- 2X2,5% / 0,23KV YND5 60HZ</v>
          </cell>
        </row>
        <row r="3298">
          <cell r="B3298">
            <v>5831190</v>
          </cell>
          <cell r="C3298" t="str">
            <v>MAG</v>
          </cell>
          <cell r="D3298" t="str">
            <v>TRANSFORMADOR TRIFASICO DE DISTRIBUCION TP.CONVENCIONAL 315KVA 22,9 +/- 2X2,5% / 0,23KV YND5 60HZ</v>
          </cell>
        </row>
        <row r="3299">
          <cell r="B3299">
            <v>5831192</v>
          </cell>
          <cell r="C3299" t="str">
            <v>ABB</v>
          </cell>
          <cell r="D3299" t="str">
            <v>TRANSFORMADOR DE POTENCIA TRIFASICO TP.CONVENCIONAL 400KVA 22,9/0,23KV YND5 ONAN EXTERIOR</v>
          </cell>
        </row>
        <row r="3300">
          <cell r="B3300">
            <v>5831192</v>
          </cell>
          <cell r="C3300" t="str">
            <v>CEA</v>
          </cell>
          <cell r="D3300" t="str">
            <v>TRANSFORMADOR DE POTENCIA TRIFASICO TP.CONVENCIONAL 400KVA 22,9/0,23KV YND5 ONAN EXTERIOR</v>
          </cell>
        </row>
        <row r="3301">
          <cell r="B3301">
            <v>5831192</v>
          </cell>
          <cell r="C3301" t="str">
            <v>DEL</v>
          </cell>
          <cell r="D3301" t="str">
            <v>TRANSFORMADOR DE POTENCIA TRIFASICO TP.CONVENCIONAL 400KVA 22,9/0,23KV YND5 ONAN EXTERIOR</v>
          </cell>
        </row>
        <row r="3302">
          <cell r="B3302">
            <v>5831192</v>
          </cell>
          <cell r="C3302" t="str">
            <v>EPL</v>
          </cell>
          <cell r="D3302" t="str">
            <v>TRANSFORMADOR DE POTENCIA TRIFASICO TP.CONVENCIONAL 400KVA 22,9/0,23KV YND5 ONAN EXTERIOR</v>
          </cell>
        </row>
        <row r="3303">
          <cell r="B3303">
            <v>5831192</v>
          </cell>
          <cell r="C3303" t="str">
            <v>ITE</v>
          </cell>
          <cell r="D3303" t="str">
            <v>TRANSFORMADOR DE POTENCIA TRIFASICO TP.CONVENCIONAL 400KVA 22,9/0,23KV YND5 ONAN EXTERIOR</v>
          </cell>
        </row>
        <row r="3304">
          <cell r="B3304">
            <v>5831192</v>
          </cell>
          <cell r="C3304" t="str">
            <v>MAG</v>
          </cell>
          <cell r="D3304" t="str">
            <v>TRANSFORMADOR DE POTENCIA TRIFASICO TP.CONVENCIONAL 400KVA 22,9/0,23KV YND5 ONAN EXTERIOR</v>
          </cell>
        </row>
        <row r="3305">
          <cell r="B3305">
            <v>5831194</v>
          </cell>
          <cell r="C3305" t="str">
            <v>ABB</v>
          </cell>
          <cell r="D3305" t="str">
            <v>TRANSFORMADOR DE POTENCIA TRIFASICO TP.CONVENCIONAL 630KVA 22,9/0,23KV YND5 ONAN EXTERIOR</v>
          </cell>
        </row>
        <row r="3306">
          <cell r="B3306">
            <v>5831194</v>
          </cell>
          <cell r="C3306" t="str">
            <v>CEA</v>
          </cell>
          <cell r="D3306" t="str">
            <v>TRANSFORMADOR DE POTENCIA TRIFASICO TP.CONVENCIONAL 630KVA 22,9/0,23KV YND5 ONAN EXTERIOR</v>
          </cell>
        </row>
        <row r="3307">
          <cell r="B3307">
            <v>5831194</v>
          </cell>
          <cell r="C3307" t="str">
            <v>DEL</v>
          </cell>
          <cell r="D3307" t="str">
            <v>TRANSFORMADOR DE POTENCIA TRIFASICO TP.CONVENCIONAL 630KVA 22,9/0,23KV YND5 ONAN EXTERIOR</v>
          </cell>
        </row>
        <row r="3308">
          <cell r="B3308">
            <v>5831194</v>
          </cell>
          <cell r="C3308" t="str">
            <v>EPL</v>
          </cell>
          <cell r="D3308" t="str">
            <v>TRANSFORMADOR DE POTENCIA TRIFASICO TP.CONVENCIONAL 630KVA 22,9/0,23KV YND5 ONAN EXTERIOR</v>
          </cell>
        </row>
        <row r="3309">
          <cell r="B3309">
            <v>5831194</v>
          </cell>
          <cell r="C3309" t="str">
            <v>ITE</v>
          </cell>
          <cell r="D3309" t="str">
            <v>TRANSFORMADOR DE POTENCIA TRIFASICO TP.CONVENCIONAL 630KVA 22,9/0,23KV YND5 ONAN EXTERIOR</v>
          </cell>
        </row>
        <row r="3310">
          <cell r="B3310">
            <v>5831194</v>
          </cell>
          <cell r="C3310" t="str">
            <v>MAG</v>
          </cell>
          <cell r="D3310" t="str">
            <v>TRANSFORMADOR DE POTENCIA TRIFASICO TP.CONVENCIONAL 630KVA 22,9/0,23KV YND5 ONAN EXTERIOR</v>
          </cell>
        </row>
        <row r="3311">
          <cell r="B3311">
            <v>5831196</v>
          </cell>
          <cell r="C3311" t="str">
            <v>ITE</v>
          </cell>
          <cell r="D3311" t="str">
            <v>TRANSFORMADOR TRIFASICO DE DISTRIBUCION TP.CONVENCIONAL 500KVA 22,9 +/- 2X2,5% / 0,23KV YND5 60HZ</v>
          </cell>
        </row>
        <row r="3312">
          <cell r="B3312">
            <v>5831196</v>
          </cell>
          <cell r="C3312" t="str">
            <v>MAG</v>
          </cell>
          <cell r="D3312" t="str">
            <v>TRANSFORMADOR TRIFASICO DE DISTRIBUCION TP.CONVENCIONAL 500KVA 22,9 +/- 2X2,5% / 0,23KV YND5 60HZ</v>
          </cell>
        </row>
        <row r="3313">
          <cell r="B3313">
            <v>5831200</v>
          </cell>
          <cell r="C3313" t="str">
            <v>ITE</v>
          </cell>
          <cell r="D3313" t="str">
            <v>TRANSFORMADOR TRIFASICO DE DISTRIBUCION TP.COMPACTO PEDESTAL 75KVA 22,9/0,23KV YND5 60HZ</v>
          </cell>
        </row>
        <row r="3314">
          <cell r="B3314">
            <v>5831201</v>
          </cell>
          <cell r="C3314" t="str">
            <v>ITE</v>
          </cell>
          <cell r="D3314" t="str">
            <v>TRANSFORMADOR TRIFASICO DE DISTRIBUCION TP.COMPACTO PEDESTAL 100KVA 22,9/0,23KV YND5 60HZ</v>
          </cell>
        </row>
        <row r="3315">
          <cell r="B3315">
            <v>5831202</v>
          </cell>
          <cell r="C3315" t="str">
            <v>ITE</v>
          </cell>
          <cell r="D3315" t="str">
            <v>TRANSFORMADOR TRIFASICO DE DISTRIBUCION TP.COMPACTO PEDESTAL 160KVA 22,9/0,23KV YND5 60HZ</v>
          </cell>
        </row>
        <row r="3316">
          <cell r="B3316">
            <v>5831203</v>
          </cell>
          <cell r="C3316" t="str">
            <v>ABB</v>
          </cell>
          <cell r="D3316" t="str">
            <v>TRANSFORMADOR TRIFASICO DE DISTRIBUCION TP.COMPACTO PEDESTAL 250KVA 22,9/0,23KV YND5 60HZ</v>
          </cell>
        </row>
        <row r="3317">
          <cell r="B3317">
            <v>5831203</v>
          </cell>
          <cell r="C3317" t="str">
            <v>DEL</v>
          </cell>
          <cell r="D3317" t="str">
            <v>TRANSFORMADOR TRIFASICO DE DISTRIBUCION TP.COMPACTO PEDESTAL 250KVA 22,9/0,23KV YND5 60HZ</v>
          </cell>
        </row>
        <row r="3318">
          <cell r="B3318">
            <v>5831203</v>
          </cell>
          <cell r="C3318" t="str">
            <v>EPL</v>
          </cell>
          <cell r="D3318" t="str">
            <v>TRANSFORMADOR TRIFASICO DE DISTRIBUCION TP.COMPACTO PEDESTAL 250KVA 22,9/0,23KV YND5 60HZ</v>
          </cell>
        </row>
        <row r="3319">
          <cell r="B3319">
            <v>5831203</v>
          </cell>
          <cell r="C3319" t="str">
            <v>ITE</v>
          </cell>
          <cell r="D3319" t="str">
            <v>TRANSFORMADOR TRIFASICO DE DISTRIBUCION TP.COMPACTO PEDESTAL 250KVA 22,9/0,23KV YND5 60HZ</v>
          </cell>
        </row>
        <row r="3320">
          <cell r="B3320">
            <v>5831203</v>
          </cell>
          <cell r="C3320" t="str">
            <v>SIE</v>
          </cell>
          <cell r="D3320" t="str">
            <v>TRANSFORMADOR TRIFASICO DE DISTRIBUCION TP.COMPACTO PEDESTAL 250KVA 22,9/0,23KV YND5 60HZ</v>
          </cell>
        </row>
        <row r="3321">
          <cell r="B3321">
            <v>5831204</v>
          </cell>
          <cell r="C3321" t="str">
            <v>ABB</v>
          </cell>
          <cell r="D3321" t="str">
            <v>TRANSFORMADOR TRIFASICO DE DISTRIBUCION TP.COMPACTO PEDESTAL 400KVA 22,9/0,23KV YND5 60HZ</v>
          </cell>
        </row>
        <row r="3322">
          <cell r="B3322">
            <v>5831204</v>
          </cell>
          <cell r="C3322" t="str">
            <v>DEL</v>
          </cell>
          <cell r="D3322" t="str">
            <v>TRANSFORMADOR TRIFASICO DE DISTRIBUCION TP.COMPACTO PEDESTAL 400KVA 22,9/0,23KV YND5 60HZ</v>
          </cell>
        </row>
        <row r="3323">
          <cell r="B3323">
            <v>5831204</v>
          </cell>
          <cell r="C3323" t="str">
            <v>EPL</v>
          </cell>
          <cell r="D3323" t="str">
            <v>TRANSFORMADOR TRIFASICO DE DISTRIBUCION TP.COMPACTO PEDESTAL 400KVA 22,9/0,23KV YND5 60HZ</v>
          </cell>
        </row>
        <row r="3324">
          <cell r="B3324">
            <v>5831204</v>
          </cell>
          <cell r="C3324" t="str">
            <v>ITE</v>
          </cell>
          <cell r="D3324" t="str">
            <v>TRANSFORMADOR TRIFASICO DE DISTRIBUCION TP.COMPACTO PEDESTAL 400KVA 22,9/0,23KV YND5 60HZ</v>
          </cell>
        </row>
        <row r="3325">
          <cell r="B3325">
            <v>5831204</v>
          </cell>
          <cell r="C3325" t="str">
            <v>SIE</v>
          </cell>
          <cell r="D3325" t="str">
            <v>TRANSFORMADOR TRIFASICO DE DISTRIBUCION TP.COMPACTO PEDESTAL 400KVA 22,9/0,23KV YND5 60HZ</v>
          </cell>
        </row>
        <row r="3326">
          <cell r="B3326">
            <v>5831205</v>
          </cell>
          <cell r="C3326" t="str">
            <v>ABB</v>
          </cell>
          <cell r="D3326" t="str">
            <v>TRANSFORMADOR TRIFASICO DE DISTRIBUCION TP.COMPACTO PEDESTAL 630KVA 22,9/0,23KV YND5 60HZ</v>
          </cell>
        </row>
        <row r="3327">
          <cell r="B3327">
            <v>5831205</v>
          </cell>
          <cell r="C3327" t="str">
            <v>DEL</v>
          </cell>
          <cell r="D3327" t="str">
            <v>TRANSFORMADOR TRIFASICO DE DISTRIBUCION TP.COMPACTO PEDESTAL 630KVA 22,9/0,23KV YND5 60HZ</v>
          </cell>
        </row>
        <row r="3328">
          <cell r="B3328">
            <v>5831205</v>
          </cell>
          <cell r="C3328" t="str">
            <v>EPL</v>
          </cell>
          <cell r="D3328" t="str">
            <v>TRANSFORMADOR TRIFASICO DE DISTRIBUCION TP.COMPACTO PEDESTAL 630KVA 22,9/0,23KV YND5 60HZ</v>
          </cell>
        </row>
        <row r="3329">
          <cell r="B3329">
            <v>5831205</v>
          </cell>
          <cell r="C3329" t="str">
            <v>ITE</v>
          </cell>
          <cell r="D3329" t="str">
            <v>TRANSFORMADOR TRIFASICO DE DISTRIBUCION TP.COMPACTO PEDESTAL 630KVA 22,9/0,23KV YND5 60HZ</v>
          </cell>
        </row>
        <row r="3330">
          <cell r="B3330">
            <v>5831205</v>
          </cell>
          <cell r="C3330" t="str">
            <v>SIE</v>
          </cell>
          <cell r="D3330" t="str">
            <v>TRANSFORMADOR TRIFASICO DE DISTRIBUCION TP.COMPACTO PEDESTAL 630KVA 22,9/0,23KV YND5 60HZ</v>
          </cell>
        </row>
        <row r="3331">
          <cell r="B3331">
            <v>5831206</v>
          </cell>
          <cell r="C3331" t="str">
            <v>ITE</v>
          </cell>
          <cell r="D3331" t="str">
            <v>TRANSFORMADOR TRIFASICO DE DISTRIBUCION TP.COMPACTO PEDESTAL 315KVA 22,9/0,23KV YND5 60HZ</v>
          </cell>
        </row>
        <row r="3332">
          <cell r="B3332">
            <v>5831207</v>
          </cell>
          <cell r="C3332" t="str">
            <v>ITE</v>
          </cell>
          <cell r="D3332" t="str">
            <v>TRANSFORMADOR TRIFASICO DE DISTRIBUCION TP.COMPACTO PEDESTAL 500KVA 22,9/0,23KV YND5 60HZ</v>
          </cell>
        </row>
        <row r="3333">
          <cell r="B3333">
            <v>5831208</v>
          </cell>
          <cell r="C3333" t="str">
            <v>ITE</v>
          </cell>
          <cell r="D3333" t="str">
            <v>TRANSFORMADOR TRIFASICO DE DISTRIBUCION TP.COMPACTO PEDESTAL 50KVA 22,9/0,23KV YND5 60HZ</v>
          </cell>
        </row>
        <row r="3334">
          <cell r="B3334">
            <v>5831214</v>
          </cell>
          <cell r="C3334" t="str">
            <v>ABB</v>
          </cell>
          <cell r="D3334" t="str">
            <v>TRANSFORMADOR DE POTENCIA TRIFASICO TP.CONVENCIONAL 50KVA 22,9-10 / 0,23KV</v>
          </cell>
        </row>
        <row r="3335">
          <cell r="B3335">
            <v>5831214</v>
          </cell>
          <cell r="C3335" t="str">
            <v>CEA</v>
          </cell>
          <cell r="D3335" t="str">
            <v>TRANSFORMADOR DE POTENCIA TRIFASICO TP.CONVENCIONAL 50KVA 22,9-10 / 0,23KV</v>
          </cell>
        </row>
        <row r="3336">
          <cell r="B3336">
            <v>5831214</v>
          </cell>
          <cell r="C3336" t="str">
            <v>DEL</v>
          </cell>
          <cell r="D3336" t="str">
            <v>TRANSFORMADOR DE POTENCIA TRIFASICO TP.CONVENCIONAL 50KVA 22,9-10 / 0,23KV</v>
          </cell>
        </row>
        <row r="3337">
          <cell r="B3337">
            <v>5831214</v>
          </cell>
          <cell r="C3337" t="str">
            <v>EPL</v>
          </cell>
          <cell r="D3337" t="str">
            <v>TRANSFORMADOR DE POTENCIA TRIFASICO TP.CONVENCIONAL 50KVA 22,9-10 / 0,23KV</v>
          </cell>
        </row>
        <row r="3338">
          <cell r="B3338">
            <v>5831214</v>
          </cell>
          <cell r="C3338" t="str">
            <v>ITE</v>
          </cell>
          <cell r="D3338" t="str">
            <v>TRANSFORMADOR DE POTENCIA TRIFASICO TP.CONVENCIONAL 50KVA 22,9-10 / 0,23KV</v>
          </cell>
        </row>
        <row r="3339">
          <cell r="B3339">
            <v>5831214</v>
          </cell>
          <cell r="C3339" t="str">
            <v>SPE</v>
          </cell>
          <cell r="D3339" t="str">
            <v>TRANSFORMADOR DE POTENCIA TRIFASICO TP.CONVENCIONAL 50KVA 22,9-10 / 0,23KV</v>
          </cell>
        </row>
        <row r="3340">
          <cell r="B3340">
            <v>5831217</v>
          </cell>
          <cell r="C3340" t="str">
            <v>ABB</v>
          </cell>
          <cell r="D3340" t="str">
            <v>TRANSFORMADOR DE POTENCIA TRIFASICO TP.CONVENCIONAL 100KVA 22,9-10 / 0,23KV</v>
          </cell>
        </row>
        <row r="3341">
          <cell r="B3341">
            <v>5831217</v>
          </cell>
          <cell r="C3341" t="str">
            <v>CEA</v>
          </cell>
          <cell r="D3341" t="str">
            <v>TRANSFORMADOR DE POTENCIA TRIFASICO TP.CONVENCIONAL 100KVA 22,9-10 / 0,23KV</v>
          </cell>
        </row>
        <row r="3342">
          <cell r="B3342">
            <v>5831217</v>
          </cell>
          <cell r="C3342" t="str">
            <v>DEL</v>
          </cell>
          <cell r="D3342" t="str">
            <v>TRANSFORMADOR DE POTENCIA TRIFASICO TP.CONVENCIONAL 100KVA 22,9-10 / 0,23KV</v>
          </cell>
        </row>
        <row r="3343">
          <cell r="B3343">
            <v>5831217</v>
          </cell>
          <cell r="C3343" t="str">
            <v>EPL</v>
          </cell>
          <cell r="D3343" t="str">
            <v>TRANSFORMADOR DE POTENCIA TRIFASICO TP.CONVENCIONAL 100KVA 22,9-10 / 0,23KV</v>
          </cell>
        </row>
        <row r="3344">
          <cell r="B3344">
            <v>5831217</v>
          </cell>
          <cell r="C3344" t="str">
            <v>ITE</v>
          </cell>
          <cell r="D3344" t="str">
            <v>TRANSFORMADOR DE POTENCIA TRIFASICO TP.CONVENCIONAL 100KVA 22,9-10 / 0,23KV</v>
          </cell>
        </row>
        <row r="3345">
          <cell r="B3345">
            <v>5831217</v>
          </cell>
          <cell r="C3345" t="str">
            <v>SPE</v>
          </cell>
          <cell r="D3345" t="str">
            <v>TRANSFORMADOR DE POTENCIA TRIFASICO TP.CONVENCIONAL 100KVA 22,9-10 / 0,23KV</v>
          </cell>
        </row>
        <row r="3346">
          <cell r="B3346">
            <v>5831218</v>
          </cell>
          <cell r="C3346" t="str">
            <v>ABB</v>
          </cell>
          <cell r="D3346" t="str">
            <v>TRANSFORMADOR DE POTENCIA TRIFASICO TP.CONVENCIONAL 160KVA 22,9-10 / 0,23KV</v>
          </cell>
        </row>
        <row r="3347">
          <cell r="B3347">
            <v>5831218</v>
          </cell>
          <cell r="C3347" t="str">
            <v>CEA</v>
          </cell>
          <cell r="D3347" t="str">
            <v>TRANSFORMADOR DE POTENCIA TRIFASICO TP.CONVENCIONAL 160KVA 22,9-10 / 0,23KV</v>
          </cell>
        </row>
        <row r="3348">
          <cell r="B3348">
            <v>5831218</v>
          </cell>
          <cell r="C3348" t="str">
            <v>DEL</v>
          </cell>
          <cell r="D3348" t="str">
            <v>TRANSFORMADOR DE POTENCIA TRIFASICO TP.CONVENCIONAL 160KVA 22,9-10 / 0,23KV</v>
          </cell>
        </row>
        <row r="3349">
          <cell r="B3349">
            <v>5831218</v>
          </cell>
          <cell r="C3349" t="str">
            <v>EPL</v>
          </cell>
          <cell r="D3349" t="str">
            <v>TRANSFORMADOR DE POTENCIA TRIFASICO TP.CONVENCIONAL 160KVA 22,9-10 / 0,23KV</v>
          </cell>
        </row>
        <row r="3350">
          <cell r="B3350">
            <v>5831218</v>
          </cell>
          <cell r="C3350" t="str">
            <v>ITE</v>
          </cell>
          <cell r="D3350" t="str">
            <v>TRANSFORMADOR DE POTENCIA TRIFASICO TP.CONVENCIONAL 160KVA 22,9-10 / 0,23KV</v>
          </cell>
        </row>
        <row r="3351">
          <cell r="B3351">
            <v>5831218</v>
          </cell>
          <cell r="C3351" t="str">
            <v>SPE</v>
          </cell>
          <cell r="D3351" t="str">
            <v>TRANSFORMADOR DE POTENCIA TRIFASICO TP.CONVENCIONAL 160KVA 22,9-10 / 0,23KV</v>
          </cell>
        </row>
        <row r="3352">
          <cell r="B3352">
            <v>5831219</v>
          </cell>
          <cell r="C3352" t="str">
            <v>ABB</v>
          </cell>
          <cell r="D3352" t="str">
            <v>TRANSFORMADOR DE POTENCIA TRIFASICO TP.CONVENCIONAL 250KVA 22,9-10 / 0,23KV</v>
          </cell>
        </row>
        <row r="3353">
          <cell r="B3353">
            <v>5831219</v>
          </cell>
          <cell r="C3353" t="str">
            <v>CEA</v>
          </cell>
          <cell r="D3353" t="str">
            <v>TRANSFORMADOR DE POTENCIA TRIFASICO TP.CONVENCIONAL 250KVA 22,9-10 / 0,23KV</v>
          </cell>
        </row>
        <row r="3354">
          <cell r="B3354">
            <v>5831219</v>
          </cell>
          <cell r="C3354" t="str">
            <v>DEL</v>
          </cell>
          <cell r="D3354" t="str">
            <v>TRANSFORMADOR DE POTENCIA TRIFASICO TP.CONVENCIONAL 250KVA 22,9-10 / 0,23KV</v>
          </cell>
        </row>
        <row r="3355">
          <cell r="B3355">
            <v>5831219</v>
          </cell>
          <cell r="C3355" t="str">
            <v>EPL</v>
          </cell>
          <cell r="D3355" t="str">
            <v>TRANSFORMADOR DE POTENCIA TRIFASICO TP.CONVENCIONAL 250KVA 22,9-10 / 0,23KV</v>
          </cell>
        </row>
        <row r="3356">
          <cell r="B3356">
            <v>5831219</v>
          </cell>
          <cell r="C3356" t="str">
            <v>ITE</v>
          </cell>
          <cell r="D3356" t="str">
            <v>TRANSFORMADOR DE POTENCIA TRIFASICO TP.CONVENCIONAL 250KVA 22,9-10 / 0,23KV</v>
          </cell>
        </row>
        <row r="3357">
          <cell r="B3357">
            <v>5831219</v>
          </cell>
          <cell r="C3357" t="str">
            <v>SPE</v>
          </cell>
          <cell r="D3357" t="str">
            <v>TRANSFORMADOR DE POTENCIA TRIFASICO TP.CONVENCIONAL 250KVA 22,9-10 / 0,23KV</v>
          </cell>
        </row>
        <row r="3358">
          <cell r="B3358">
            <v>5831220</v>
          </cell>
          <cell r="C3358" t="str">
            <v>ABB</v>
          </cell>
          <cell r="D3358" t="str">
            <v>TRANSFORMADOR DE POTENCIA TRIFASICO TP.CONVENCIONAL 400KVA 22,9-10 / 0,23KV</v>
          </cell>
        </row>
        <row r="3359">
          <cell r="B3359">
            <v>5831220</v>
          </cell>
          <cell r="C3359" t="str">
            <v>CEA</v>
          </cell>
          <cell r="D3359" t="str">
            <v>TRANSFORMADOR DE POTENCIA TRIFASICO TP.CONVENCIONAL 400KVA 22,9-10 / 0,23KV</v>
          </cell>
        </row>
        <row r="3360">
          <cell r="B3360">
            <v>5831220</v>
          </cell>
          <cell r="C3360" t="str">
            <v>DEL</v>
          </cell>
          <cell r="D3360" t="str">
            <v>TRANSFORMADOR DE POTENCIA TRIFASICO TP.CONVENCIONAL 400KVA 22,9-10 / 0,23KV</v>
          </cell>
        </row>
        <row r="3361">
          <cell r="B3361">
            <v>5831220</v>
          </cell>
          <cell r="C3361" t="str">
            <v>EPL</v>
          </cell>
          <cell r="D3361" t="str">
            <v>TRANSFORMADOR DE POTENCIA TRIFASICO TP.CONVENCIONAL 400KVA 22,9-10 / 0,23KV</v>
          </cell>
        </row>
        <row r="3362">
          <cell r="B3362">
            <v>5831220</v>
          </cell>
          <cell r="C3362" t="str">
            <v>ITE</v>
          </cell>
          <cell r="D3362" t="str">
            <v>TRANSFORMADOR DE POTENCIA TRIFASICO TP.CONVENCIONAL 400KVA 22,9-10 / 0,23KV</v>
          </cell>
        </row>
        <row r="3363">
          <cell r="B3363">
            <v>5831220</v>
          </cell>
          <cell r="C3363" t="str">
            <v>SPE</v>
          </cell>
          <cell r="D3363" t="str">
            <v>TRANSFORMADOR DE POTENCIA TRIFASICO TP.CONVENCIONAL 400KVA 22,9-10 / 0,23KV</v>
          </cell>
        </row>
        <row r="3364">
          <cell r="B3364">
            <v>5831221</v>
          </cell>
          <cell r="C3364" t="str">
            <v>ABB</v>
          </cell>
          <cell r="D3364" t="str">
            <v>TRANSFORMADOR DE POTENCIA TRIFASICO TP.CONVENCIONAL 630KVA 22,9-10 / 0,23KV</v>
          </cell>
        </row>
        <row r="3365">
          <cell r="B3365">
            <v>5831221</v>
          </cell>
          <cell r="C3365" t="str">
            <v>CEA</v>
          </cell>
          <cell r="D3365" t="str">
            <v>TRANSFORMADOR DE POTENCIA TRIFASICO TP.CONVENCIONAL 630KVA 22,9-10 / 0,23KV</v>
          </cell>
        </row>
        <row r="3366">
          <cell r="B3366">
            <v>5831221</v>
          </cell>
          <cell r="C3366" t="str">
            <v>DEL</v>
          </cell>
          <cell r="D3366" t="str">
            <v>TRANSFORMADOR DE POTENCIA TRIFASICO TP.CONVENCIONAL 630KVA 22,9-10 / 0,23KV</v>
          </cell>
        </row>
        <row r="3367">
          <cell r="B3367">
            <v>5831221</v>
          </cell>
          <cell r="C3367" t="str">
            <v>EPL</v>
          </cell>
          <cell r="D3367" t="str">
            <v>TRANSFORMADOR DE POTENCIA TRIFASICO TP.CONVENCIONAL 630KVA 22,9-10 / 0,23KV</v>
          </cell>
        </row>
        <row r="3368">
          <cell r="B3368">
            <v>5831221</v>
          </cell>
          <cell r="C3368" t="str">
            <v>ITE</v>
          </cell>
          <cell r="D3368" t="str">
            <v>TRANSFORMADOR DE POTENCIA TRIFASICO TP.CONVENCIONAL 630KVA 22,9-10 / 0,23KV</v>
          </cell>
        </row>
        <row r="3369">
          <cell r="B3369">
            <v>5831221</v>
          </cell>
          <cell r="C3369" t="str">
            <v>SPE</v>
          </cell>
          <cell r="D3369" t="str">
            <v>TRANSFORMADOR DE POTENCIA TRIFASICO TP.CONVENCIONAL 630KVA 22,9-10 / 0,23KV</v>
          </cell>
        </row>
        <row r="3370">
          <cell r="B3370">
            <v>5832180</v>
          </cell>
          <cell r="C3370" t="str">
            <v>TMC</v>
          </cell>
          <cell r="D3370" t="str">
            <v>TRANSFORMADOR DE POTENCIA TRIFASICO TP.SECO 1600KVA 22,9-10 / 0,23KV</v>
          </cell>
        </row>
        <row r="3371">
          <cell r="B3371">
            <v>5832232</v>
          </cell>
          <cell r="C3371" t="str">
            <v>TMC</v>
          </cell>
          <cell r="D3371" t="str">
            <v>TRANSFORMADOR TRIFASICO DE DISTRIBUCION SECO TP.CONVENCIONAL S.ENVOLVENTE 50KVA 22,9/0,23KV</v>
          </cell>
        </row>
        <row r="3372">
          <cell r="B3372">
            <v>5832233</v>
          </cell>
          <cell r="C3372" t="str">
            <v>TMC</v>
          </cell>
          <cell r="D3372" t="str">
            <v>TRANSFORMADOR TRIFASICO DE DISTRIBUCION SECO TP.CONVENCIONAL S.ENVOLVENTE 75KVA 22,9/0,23KV</v>
          </cell>
        </row>
        <row r="3373">
          <cell r="B3373">
            <v>5832234</v>
          </cell>
          <cell r="C3373" t="str">
            <v>TMC</v>
          </cell>
          <cell r="D3373" t="str">
            <v>TRANSFORMADOR TRIFASICO DE DISTRIBUCION SECO TP.CONVENCIONAL S.ENVOLVENTE 100KVA 22,9/0,23KV</v>
          </cell>
        </row>
        <row r="3374">
          <cell r="B3374">
            <v>5832235</v>
          </cell>
          <cell r="C3374" t="str">
            <v>TMC</v>
          </cell>
          <cell r="D3374" t="str">
            <v>TRANSFORMADOR TRIFASICO DE DISTRIBUCION SECO TP.CONVENCIONAL S.ENVOLVENTE 160KVA 22,9/0,23KV</v>
          </cell>
        </row>
        <row r="3375">
          <cell r="B3375">
            <v>5832236</v>
          </cell>
          <cell r="C3375" t="str">
            <v>TMC</v>
          </cell>
          <cell r="D3375" t="str">
            <v>TRANSFORMADOR TRIFASICO DE DISTRIBUCION SECO TP.CONVENCIONAL S.ENVOLVENTE 250KVA 22,9/0,23KV</v>
          </cell>
        </row>
        <row r="3376">
          <cell r="B3376">
            <v>5832237</v>
          </cell>
          <cell r="C3376" t="str">
            <v>TMC</v>
          </cell>
          <cell r="D3376" t="str">
            <v>TRANSFORMADOR TRIFASICO DE DISTRIBUCION SECO TP.CONVENCIONAL S.ENVOLVENTE 315KVA 22,9/0,23KV</v>
          </cell>
        </row>
        <row r="3377">
          <cell r="B3377">
            <v>5832238</v>
          </cell>
          <cell r="C3377" t="str">
            <v>TMC</v>
          </cell>
          <cell r="D3377" t="str">
            <v>TRANSFORMADOR TRIFASICO DE DISTRIBUCION SECO TP.CONVENCIONAL S.ENVOLVENTE 400KVA 22,9/0,23KV</v>
          </cell>
        </row>
        <row r="3378">
          <cell r="B3378">
            <v>5832239</v>
          </cell>
          <cell r="C3378" t="str">
            <v>TMC</v>
          </cell>
          <cell r="D3378" t="str">
            <v>TRANSFORMADOR TRIFASICO DE DISTRIBUCION SECO TP.CONVENCIONAL S.ENVOLVENTE 500KVA 22,9/0,23KV</v>
          </cell>
        </row>
        <row r="3379">
          <cell r="B3379">
            <v>5832240</v>
          </cell>
          <cell r="C3379" t="str">
            <v>TMC</v>
          </cell>
          <cell r="D3379" t="str">
            <v>TRANSFORMADOR TRIFASICO DE DISTRIBUCION SECO TP.CONVENCIONAL S.ENVOLVENTE 630KVA 22,9/0,23KV</v>
          </cell>
        </row>
        <row r="3380">
          <cell r="B3380">
            <v>5832249</v>
          </cell>
          <cell r="C3380" t="str">
            <v>TMC</v>
          </cell>
          <cell r="D3380" t="str">
            <v>TRANSFORMADOR TRIFASICO DE DISTRIBUCION SECO TP.CONVENCIONAL C.ENVOLVENTE 50KVA 22,9/0,23KV</v>
          </cell>
        </row>
        <row r="3381">
          <cell r="B3381">
            <v>5832250</v>
          </cell>
          <cell r="C3381" t="str">
            <v>TMC</v>
          </cell>
          <cell r="D3381" t="str">
            <v>TRANSFORMADOR TRIFASICO DE DISTRIBUCION SECO TP.CONVENCIONAL 50KVA 22,9 / 0,23KV YND5 AN 60HZ</v>
          </cell>
        </row>
        <row r="3382">
          <cell r="B3382">
            <v>5832251</v>
          </cell>
          <cell r="C3382" t="str">
            <v>TMC</v>
          </cell>
          <cell r="D3382" t="str">
            <v>TRANSFORMADOR TRIFASICO DE DISTRIBUCION SECO TP.CONVENCIONAL C.ENVOLVENTE 75KVA 22,9/0,23KV</v>
          </cell>
        </row>
        <row r="3383">
          <cell r="B3383">
            <v>5832252</v>
          </cell>
          <cell r="C3383" t="str">
            <v>TMC</v>
          </cell>
          <cell r="D3383" t="str">
            <v>TRANSFORMADOR TRIFASICO DE DISTRIBUCION SECO TP.CONVENCIONAL 75KVA 22,9 / 0,23KV YND5 AN 60HZ</v>
          </cell>
        </row>
        <row r="3384">
          <cell r="B3384">
            <v>5832253</v>
          </cell>
          <cell r="C3384" t="str">
            <v>TMC</v>
          </cell>
          <cell r="D3384" t="str">
            <v>TRANSFORMADOR TRIFASICO DE DISTRIBUCION SECO TP.CONVENCIONAL C.ENVOLVENTE 100KVA 22,9/0,23KV</v>
          </cell>
        </row>
        <row r="3385">
          <cell r="B3385">
            <v>5832254</v>
          </cell>
          <cell r="C3385" t="str">
            <v>TMC</v>
          </cell>
          <cell r="D3385" t="str">
            <v>TRANSFORMADOR TRIFASICO DE DISTRIBUCION SECO TP.CONVENCIONAL 100KVA 22,9 / 0,23KV YND5 AN 60HZ</v>
          </cell>
        </row>
        <row r="3386">
          <cell r="B3386">
            <v>5832255</v>
          </cell>
          <cell r="C3386" t="str">
            <v>TMC</v>
          </cell>
          <cell r="D3386" t="str">
            <v>TRANSFORMADOR TRIFASICO DE DISTRIBUCION SECO TP.CONVENCIONAL C.ENVOLVENTE 160KVA 22,9/0,23KV</v>
          </cell>
        </row>
        <row r="3387">
          <cell r="B3387">
            <v>5832256</v>
          </cell>
          <cell r="C3387" t="str">
            <v>TMC</v>
          </cell>
          <cell r="D3387" t="str">
            <v>TRANSFORMADOR TRIFASICO DE DISTRIBUCION SECO TP.CONVENCIONAL 160KVA 22,9 / 0,23KV YND5 AN 60HZ</v>
          </cell>
        </row>
        <row r="3388">
          <cell r="B3388">
            <v>5832257</v>
          </cell>
          <cell r="C3388" t="str">
            <v>TMC</v>
          </cell>
          <cell r="D3388" t="str">
            <v>TRANSFORMADOR TRIFASICO DE DISTRIBUCION SECO TP.CONVENCIONAL C.ENVOLVENTE 250KVA 22,9/0,23KV</v>
          </cell>
        </row>
        <row r="3389">
          <cell r="B3389">
            <v>5832258</v>
          </cell>
          <cell r="C3389" t="str">
            <v>TMC</v>
          </cell>
          <cell r="D3389" t="str">
            <v>TRANSFORMADOR TRIFASICO DE DISTRIBUCION SECO TP.CONVENCIONAL 250KVA 22,9 / 0,23KV YND5 AN 60HZ</v>
          </cell>
        </row>
        <row r="3390">
          <cell r="B3390">
            <v>5832259</v>
          </cell>
          <cell r="C3390" t="str">
            <v>TMC</v>
          </cell>
          <cell r="D3390" t="str">
            <v>TRANSFORMADOR TRIFASICO DE DISTRIBUCION SECO TP.CONVENCIONAL C.ENVOLVENTE 315KVA 22,9/0,23KV</v>
          </cell>
        </row>
        <row r="3391">
          <cell r="B3391">
            <v>5832260</v>
          </cell>
          <cell r="C3391" t="str">
            <v>TMC</v>
          </cell>
          <cell r="D3391" t="str">
            <v>TRANSFORMADOR TRIFASICO DE DISTRIBUCION SECO TP.CONVENCIONAL 315KVA 22,9 / 0,23KV YND5 AN 60HZ</v>
          </cell>
        </row>
        <row r="3392">
          <cell r="B3392">
            <v>5832261</v>
          </cell>
          <cell r="C3392" t="str">
            <v>TMC</v>
          </cell>
          <cell r="D3392" t="str">
            <v>TRANSFORMADOR TRIFASICO DE DISTRIBUCION SECO TP.CONVENCIONAL C.ENVOLVENTE 400KVA 22,9/0,23KV</v>
          </cell>
        </row>
        <row r="3393">
          <cell r="B3393">
            <v>5832262</v>
          </cell>
          <cell r="C3393" t="str">
            <v>TMC</v>
          </cell>
          <cell r="D3393" t="str">
            <v>TRANSFORMADOR TRIFASICO DE DISTRIBUCION SECO TP.CONVENCIONAL 400KVA 22,9 / 0,23KV YND5 AN 60HZ</v>
          </cell>
        </row>
        <row r="3394">
          <cell r="B3394">
            <v>5832263</v>
          </cell>
          <cell r="C3394" t="str">
            <v>TMC</v>
          </cell>
          <cell r="D3394" t="str">
            <v>TRANSFORMADOR TRIFASICO DE DISTRIBUCION SECO TP.CONVENCIONAL C.ENVOLVENTE 500KVA 22,9/0,23KV</v>
          </cell>
        </row>
        <row r="3395">
          <cell r="B3395">
            <v>5832264</v>
          </cell>
          <cell r="C3395" t="str">
            <v>TMC</v>
          </cell>
          <cell r="D3395" t="str">
            <v>TRANSFORMADOR TRIFASICO DE DISTRIBUCION SECO TP.CONVENCIONAL 500KVA 22,9 / 0,23KV YND5 AN 60HZ</v>
          </cell>
        </row>
        <row r="3396">
          <cell r="B3396">
            <v>5832265</v>
          </cell>
          <cell r="C3396" t="str">
            <v>TMC</v>
          </cell>
          <cell r="D3396" t="str">
            <v>TRANSFORMADOR TRIFASICO DE DISTRIBUCION SECO TP.CONVENCIONAL C.ENVOLVENTE 630KVA 22,9/0,23KV</v>
          </cell>
        </row>
        <row r="3397">
          <cell r="B3397">
            <v>5832265</v>
          </cell>
          <cell r="C3397" t="str">
            <v>TMC</v>
          </cell>
          <cell r="D3397" t="str">
            <v>TRANSFORMADOR TRIFASICO DE DISTRIBUCION SECO TP.CONVENCIONAL C.ENVOLVENTE 630KVA 22,9/0,23KV</v>
          </cell>
        </row>
        <row r="3398">
          <cell r="B3398">
            <v>5832266</v>
          </cell>
          <cell r="C3398" t="str">
            <v>TMC</v>
          </cell>
          <cell r="D3398" t="str">
            <v>TRANSFORMADOR TRIFASICO DE DISTRIBUCION SECO TP.CONVENCIONAL 630KVA 22,9 / 0,23KV YND5 AN 60HZ</v>
          </cell>
        </row>
        <row r="3399">
          <cell r="B3399">
            <v>5832314</v>
          </cell>
          <cell r="C3399" t="str">
            <v>ABB</v>
          </cell>
          <cell r="D3399" t="str">
            <v>TRANSFORMADOR TRIF. 10-22,9  2X2,5% / 0,23KV 100KVA</v>
          </cell>
        </row>
        <row r="3400">
          <cell r="B3400">
            <v>5832314</v>
          </cell>
          <cell r="C3400" t="str">
            <v>CEA</v>
          </cell>
          <cell r="D3400" t="str">
            <v>TRANSFORMADOR TRIF. 10-22,9  2X2,5% / 0,23KV 100KVA</v>
          </cell>
        </row>
        <row r="3401">
          <cell r="B3401">
            <v>5832314</v>
          </cell>
          <cell r="C3401" t="str">
            <v>DEL</v>
          </cell>
          <cell r="D3401" t="str">
            <v>TRANSFORMADOR TRIF. 10-22,9  2X2,5% / 0,23KV 100KVA</v>
          </cell>
        </row>
        <row r="3402">
          <cell r="B3402">
            <v>5832315</v>
          </cell>
          <cell r="C3402" t="str">
            <v>EPL</v>
          </cell>
          <cell r="D3402" t="str">
            <v>TRANSFORMADOR DE POTENCIA TRIFASICO TP.CONVENCIONAL 100KVA 22,9-10 / 0,23KV</v>
          </cell>
        </row>
        <row r="3403">
          <cell r="B3403">
            <v>5832317</v>
          </cell>
          <cell r="C3403" t="str">
            <v>ABB</v>
          </cell>
          <cell r="D3403" t="str">
            <v>TRANSFORMADOR POT.TRIF.CONV.10-22,9/0,23KV 160KVA</v>
          </cell>
        </row>
        <row r="3404">
          <cell r="B3404">
            <v>5832317</v>
          </cell>
          <cell r="C3404" t="str">
            <v>CEA</v>
          </cell>
          <cell r="D3404" t="str">
            <v>TRANSFORMADOR POT.TRIF.CONV.10-22,9/0,23KV 160KVA</v>
          </cell>
        </row>
        <row r="3405">
          <cell r="B3405">
            <v>5832317</v>
          </cell>
          <cell r="C3405" t="str">
            <v>DEL</v>
          </cell>
          <cell r="D3405" t="str">
            <v>TRANSFORMADOR POT.TRIF.CONV.10-22,9/0,23KV 160KVA</v>
          </cell>
        </row>
        <row r="3406">
          <cell r="B3406">
            <v>5832318</v>
          </cell>
          <cell r="C3406" t="str">
            <v>ABB</v>
          </cell>
          <cell r="D3406" t="str">
            <v>TRANSFORMADOR POT.TRIF.CONV.10-22,9/0,23KV.250KVA.</v>
          </cell>
        </row>
        <row r="3407">
          <cell r="B3407">
            <v>5832318</v>
          </cell>
          <cell r="C3407" t="str">
            <v>CEA</v>
          </cell>
          <cell r="D3407" t="str">
            <v>TRANSFORMADOR POT.TRIF.CONV.10-22,9/0,23KV.250KVA.</v>
          </cell>
        </row>
        <row r="3408">
          <cell r="B3408">
            <v>5832318</v>
          </cell>
          <cell r="C3408" t="str">
            <v>DEL</v>
          </cell>
          <cell r="D3408" t="str">
            <v>TRANSFORMADOR POT.TRIF.CONV.10-22,9/0,23KV.250KVA.</v>
          </cell>
        </row>
        <row r="3409">
          <cell r="B3409">
            <v>5832318</v>
          </cell>
          <cell r="C3409" t="str">
            <v>SPE</v>
          </cell>
          <cell r="D3409" t="str">
            <v>TRANSFORMADOR POT.TRIF.CONV.10-22,9/0,23KV.250KVA.</v>
          </cell>
        </row>
        <row r="3410">
          <cell r="B3410">
            <v>5832319</v>
          </cell>
          <cell r="C3410" t="str">
            <v>ABB</v>
          </cell>
          <cell r="D3410" t="str">
            <v>TRANSFORMADOR POT.TRIF.CONV.10-22,9/0,23KV.315KVA.</v>
          </cell>
        </row>
        <row r="3411">
          <cell r="B3411">
            <v>5832319</v>
          </cell>
          <cell r="C3411" t="str">
            <v>CEA</v>
          </cell>
          <cell r="D3411" t="str">
            <v>TRANSFORMADOR POT.TRIF.CONV.10-22,9/0,23KV.315KVA.</v>
          </cell>
        </row>
        <row r="3412">
          <cell r="B3412">
            <v>5832319</v>
          </cell>
          <cell r="C3412" t="str">
            <v>DEL</v>
          </cell>
          <cell r="D3412" t="str">
            <v>TRANSFORMADOR POT.TRIF.CONV.10-22,9/0,23KV.315KVA.</v>
          </cell>
        </row>
        <row r="3413">
          <cell r="B3413">
            <v>5832320</v>
          </cell>
          <cell r="C3413" t="str">
            <v>ABB</v>
          </cell>
          <cell r="D3413" t="str">
            <v>TRANSFORMADOR POT.TRIF.CONV.10-22,9/0,23KV.630KVA.</v>
          </cell>
        </row>
        <row r="3414">
          <cell r="B3414">
            <v>5832320</v>
          </cell>
          <cell r="C3414" t="str">
            <v>DEL</v>
          </cell>
          <cell r="D3414" t="str">
            <v>TRANSFORMADOR POT.TRIF.CONV.10-22,9/0,23KV.630KVA.</v>
          </cell>
        </row>
        <row r="3415">
          <cell r="B3415">
            <v>5832321</v>
          </cell>
          <cell r="C3415" t="str">
            <v>ABB</v>
          </cell>
          <cell r="D3415" t="str">
            <v>TRANSFORMADOR POT.TRIF.CONV.10-22,9/0,23KV.500KVA.</v>
          </cell>
        </row>
        <row r="3416">
          <cell r="B3416">
            <v>5832321</v>
          </cell>
          <cell r="C3416" t="str">
            <v>CEA</v>
          </cell>
          <cell r="D3416" t="str">
            <v>TRANSFORMADOR POT.TRIF.CONV.10-22,9/0,23KV.500KVA.</v>
          </cell>
        </row>
        <row r="3417">
          <cell r="B3417">
            <v>5832321</v>
          </cell>
          <cell r="C3417" t="str">
            <v>DEL</v>
          </cell>
          <cell r="D3417" t="str">
            <v>TRANSFORMADOR POT.TRIF.CONV.10-22,9/0,23KV.500KVA.</v>
          </cell>
        </row>
        <row r="3418">
          <cell r="B3418">
            <v>5832322</v>
          </cell>
          <cell r="C3418" t="str">
            <v>ABB</v>
          </cell>
          <cell r="D3418" t="str">
            <v>TRANSFORMADOR POT.TRIF.CONV.10-22,9/0,23KV.800KVA.</v>
          </cell>
        </row>
        <row r="3419">
          <cell r="B3419">
            <v>5832322</v>
          </cell>
          <cell r="C3419" t="str">
            <v>CEA</v>
          </cell>
          <cell r="D3419" t="str">
            <v>TRANSFORMADOR POT.TRIF.CONV.10-22,9/0,23KV.800KVA.</v>
          </cell>
        </row>
        <row r="3420">
          <cell r="B3420">
            <v>5832322</v>
          </cell>
          <cell r="C3420" t="str">
            <v>DEL</v>
          </cell>
          <cell r="D3420" t="str">
            <v>TRANSFORMADOR POT.TRIF.CONV.10-22,9/0,23KV.800KVA.</v>
          </cell>
        </row>
        <row r="3421">
          <cell r="B3421">
            <v>5832323</v>
          </cell>
          <cell r="C3421" t="str">
            <v>ABB</v>
          </cell>
          <cell r="D3421" t="str">
            <v>TRANSFORMADOR POT.TRIF.CONV.10-22,9/0,46KV.250KVA.</v>
          </cell>
        </row>
        <row r="3422">
          <cell r="B3422">
            <v>5832323</v>
          </cell>
          <cell r="C3422" t="str">
            <v>CEA</v>
          </cell>
          <cell r="D3422" t="str">
            <v>TRANSFORMADOR POT.TRIF.CONV.10-22,9/0,46KV.250KVA.</v>
          </cell>
        </row>
        <row r="3423">
          <cell r="B3423">
            <v>5832323</v>
          </cell>
          <cell r="C3423" t="str">
            <v>DEL</v>
          </cell>
          <cell r="D3423" t="str">
            <v>TRANSFORMADOR POT.TRIF.CONV.10-22,9/0,46KV.250KVA.</v>
          </cell>
        </row>
        <row r="3424">
          <cell r="B3424">
            <v>5832327</v>
          </cell>
          <cell r="C3424" t="str">
            <v>ABB</v>
          </cell>
          <cell r="D3424" t="str">
            <v>TRANSFORMADOR TRIFASICO TP.CONVENCIONAL 160KVA 22,9-10 / 0,46KV</v>
          </cell>
        </row>
        <row r="3425">
          <cell r="B3425">
            <v>5832327</v>
          </cell>
          <cell r="C3425" t="str">
            <v>CEA</v>
          </cell>
          <cell r="D3425" t="str">
            <v>TRANSFORMADOR TRIFASICO TP.CONVENCIONAL 160KVA 22,9-10 / 0,46KV</v>
          </cell>
        </row>
        <row r="3426">
          <cell r="B3426">
            <v>5832327</v>
          </cell>
          <cell r="C3426" t="str">
            <v>DEL</v>
          </cell>
          <cell r="D3426" t="str">
            <v>TRANSFORMADOR TRIFASICO TP.CONVENCIONAL 160KVA 22,9-10 / 0,46KV</v>
          </cell>
        </row>
        <row r="3427">
          <cell r="B3427">
            <v>5832327</v>
          </cell>
          <cell r="C3427" t="str">
            <v>SPE</v>
          </cell>
          <cell r="D3427" t="str">
            <v>TRANSFORMADOR TRIFASICO TP.CONVENCIONAL 160KVA 22,9-10 / 0,46KV</v>
          </cell>
        </row>
        <row r="3428">
          <cell r="B3428">
            <v>5832355</v>
          </cell>
          <cell r="C3428" t="str">
            <v>ABB</v>
          </cell>
          <cell r="D3428" t="str">
            <v>TRANSFORMADOR POT.TRIFASICO CONV.10-22,9 / 0,40-0,23KV.250KVA</v>
          </cell>
        </row>
        <row r="3429">
          <cell r="B3429">
            <v>5832355</v>
          </cell>
          <cell r="C3429" t="str">
            <v>CEA</v>
          </cell>
          <cell r="D3429" t="str">
            <v>TRANSFORMADOR POT.TRIFASICO CONV.10-22,9 / 0,40-0,23KV.250KVA</v>
          </cell>
        </row>
        <row r="3430">
          <cell r="B3430">
            <v>5832355</v>
          </cell>
          <cell r="C3430" t="str">
            <v>DEL</v>
          </cell>
          <cell r="D3430" t="str">
            <v>TRANSFORMADOR POT.TRIFASICO CONV.10-22,9 / 0,40-0,23KV.250KVA</v>
          </cell>
        </row>
        <row r="3431">
          <cell r="B3431">
            <v>5832382</v>
          </cell>
          <cell r="C3431" t="str">
            <v>TMC</v>
          </cell>
          <cell r="D3431" t="str">
            <v>TRANSFORMADOR TRIFASICO DE DISTRIBUCION TP.SECO C.BOBINADO DE ALUMINIO 3MVA 22,9-10 / 0,40KV</v>
          </cell>
        </row>
        <row r="3432">
          <cell r="B3432">
            <v>5832385</v>
          </cell>
          <cell r="C3432" t="str">
            <v>TMC</v>
          </cell>
          <cell r="D3432" t="str">
            <v>TRANSFORMADOR TRIFASICO DE DISTRIBUCION TP.SECO C.BOBINADO DE ALUMINIO 630KVA 22,9 / 0,23KV</v>
          </cell>
        </row>
        <row r="3433">
          <cell r="B3433">
            <v>5832930</v>
          </cell>
          <cell r="C3433" t="str">
            <v>TMC</v>
          </cell>
          <cell r="D3433" t="str">
            <v>TRANSFORMADOR TRIFASICO DE DISTRIBUCION SECO CONVENCIONAL 50KVA 22,9-10/0,23KV</v>
          </cell>
        </row>
        <row r="3434">
          <cell r="B3434">
            <v>5832932</v>
          </cell>
          <cell r="C3434" t="str">
            <v>TMC</v>
          </cell>
          <cell r="D3434" t="str">
            <v>TRANSFORMADOR TRIFASICO DE DISTRIBUCION SECO CONVENCIONAL 75KVA 22,9-10/0,23KV</v>
          </cell>
        </row>
        <row r="3435">
          <cell r="B3435">
            <v>5832934</v>
          </cell>
          <cell r="C3435" t="str">
            <v>TMC</v>
          </cell>
          <cell r="D3435" t="str">
            <v>TRANSFORMADOR TRIFASICO DE DISTRIBUCION SECO CONVENCIONAL 100KVA 22,9-10/0,23KV</v>
          </cell>
        </row>
        <row r="3436">
          <cell r="B3436">
            <v>5832936</v>
          </cell>
          <cell r="C3436" t="str">
            <v>TMC</v>
          </cell>
          <cell r="D3436" t="str">
            <v>TRANSFORMADOR TRIFASICO DE DISTRIBUCION SECO CONVENCIONAL 160KVA 22,9-10/0,23KV</v>
          </cell>
        </row>
        <row r="3437">
          <cell r="B3437">
            <v>5832938</v>
          </cell>
          <cell r="C3437" t="str">
            <v>TMC</v>
          </cell>
          <cell r="D3437" t="str">
            <v>TRANSFORMADOR TRIFASICO DE DISTRIBUCION SECO CONVENCIONAL 250KVA 22,9-10/0,23KV</v>
          </cell>
        </row>
        <row r="3438">
          <cell r="B3438">
            <v>5832940</v>
          </cell>
          <cell r="C3438" t="str">
            <v>TMC</v>
          </cell>
          <cell r="D3438" t="str">
            <v>TRANSFORMADOR TRIFASICO DE DISTRIBUCION SECO CONVENCIONAL 315KVA 22,9-10/0,23KV</v>
          </cell>
        </row>
        <row r="3439">
          <cell r="B3439">
            <v>5832942</v>
          </cell>
          <cell r="C3439" t="str">
            <v>TMC</v>
          </cell>
          <cell r="D3439" t="str">
            <v>TRANSFORMADOR TRIFASICO DE DISTRIBUCION SECO CONVENCIONAL 400KVA 22,9-10/0,23KV</v>
          </cell>
        </row>
        <row r="3440">
          <cell r="B3440">
            <v>5832944</v>
          </cell>
          <cell r="C3440" t="str">
            <v>TMC</v>
          </cell>
          <cell r="D3440" t="str">
            <v>TRANSFORMADOR TRIFASICO DE DISTRIBUCION SECO CONVENCIONAL 500KVA 22,9-10/0,23KV</v>
          </cell>
        </row>
        <row r="3441">
          <cell r="B3441">
            <v>5832946</v>
          </cell>
          <cell r="C3441" t="str">
            <v>TMC</v>
          </cell>
          <cell r="D3441" t="str">
            <v>TRANSFORMADOR TRIFASICO DE DISTRIBUCION SECO CONVENCIONAL 630KVA 22,9-10/0,23KV</v>
          </cell>
        </row>
        <row r="3442">
          <cell r="B3442">
            <v>5832947</v>
          </cell>
          <cell r="C3442" t="str">
            <v>TMC</v>
          </cell>
          <cell r="D3442" t="str">
            <v>TRANSFORMADOR TRIFASICO DE DISTRIBUCION SECO CONVENCIONAL 1MVA 22,9-10/0,23KV</v>
          </cell>
        </row>
        <row r="3443">
          <cell r="B3443">
            <v>5911060</v>
          </cell>
          <cell r="C3443" t="str">
            <v>CEA</v>
          </cell>
          <cell r="D3443" t="str">
            <v>TRANSFORMADOR MEDIDA COMBINADO 10 / 0,10KV, 50VA, 10/5A, 30VA, EXTERIOR</v>
          </cell>
        </row>
        <row r="3444">
          <cell r="B3444">
            <v>5911060</v>
          </cell>
          <cell r="C3444" t="str">
            <v>ELK</v>
          </cell>
          <cell r="D3444" t="str">
            <v>TRANSFORMADOR MEDIDA COMBINADO 10 / 0,10KV, 50VA, 10/5A, 30VA, EXTERIOR</v>
          </cell>
        </row>
        <row r="3445">
          <cell r="B3445">
            <v>5911060</v>
          </cell>
          <cell r="C3445" t="str">
            <v>ITE</v>
          </cell>
          <cell r="D3445" t="str">
            <v>TRANSFORMADOR MEDIDA COMBINADO 10 / 0,10KV, 50VA, 10/5A, 30VA, EXTERIOR</v>
          </cell>
        </row>
        <row r="3446">
          <cell r="B3446">
            <v>5911065</v>
          </cell>
          <cell r="C3446" t="str">
            <v>ITE</v>
          </cell>
          <cell r="D3446" t="str">
            <v>TRANSFORMADOR DE MEDIDA COMBINADO 10/0,10KV 50/5A CL.0,2S 15,5/34/95KV P.USO EN BOVEDA</v>
          </cell>
        </row>
        <row r="3447">
          <cell r="B3447">
            <v>5911102</v>
          </cell>
          <cell r="C3447" t="str">
            <v>CEA</v>
          </cell>
          <cell r="D3447" t="str">
            <v>TRANSFORMADOR MEDIDA COMBINADO 10 / 0,10KV, 50VA, 20/5A, 30VA, EXTERIOR</v>
          </cell>
        </row>
        <row r="3448">
          <cell r="B3448">
            <v>5911102</v>
          </cell>
          <cell r="C3448" t="str">
            <v>ELK</v>
          </cell>
          <cell r="D3448" t="str">
            <v>TRANSFORMADOR MEDIDA COMBINADO 10 / 0,10KV, 50VA, 20/5A, 30VA, EXTERIOR</v>
          </cell>
        </row>
        <row r="3449">
          <cell r="B3449">
            <v>5911102</v>
          </cell>
          <cell r="C3449" t="str">
            <v>ITE</v>
          </cell>
          <cell r="D3449" t="str">
            <v>TRANSFORMADOR MEDIDA COMBINADO 10 / 0,10KV, 50VA, 20/5A, 30VA, EXTERIOR</v>
          </cell>
        </row>
        <row r="3450">
          <cell r="B3450">
            <v>5911103</v>
          </cell>
          <cell r="C3450" t="str">
            <v>CEA</v>
          </cell>
          <cell r="D3450" t="str">
            <v>TRANSFORMADOR MEDIDA COMBINADO 10 / 0,10KV, 50VA, 30/5A, 30VA, EXTERIOR</v>
          </cell>
        </row>
        <row r="3451">
          <cell r="B3451">
            <v>5911103</v>
          </cell>
          <cell r="C3451" t="str">
            <v>ELK</v>
          </cell>
          <cell r="D3451" t="str">
            <v>TRANSFORMADOR MEDIDA COMBINADO 10 / 0,10KV, 50VA, 30/5A, 30VA, EXTERIOR</v>
          </cell>
        </row>
        <row r="3452">
          <cell r="B3452">
            <v>5911103</v>
          </cell>
          <cell r="C3452" t="str">
            <v>ITE</v>
          </cell>
          <cell r="D3452" t="str">
            <v>TRANSFORMADOR MEDIDA COMBINADO 10 / 0,10KV, 50VA, 30/5A, 30VA, EXTERIOR</v>
          </cell>
        </row>
        <row r="3453">
          <cell r="B3453">
            <v>5911105</v>
          </cell>
          <cell r="C3453" t="str">
            <v>CEA</v>
          </cell>
          <cell r="D3453" t="str">
            <v>TRANSFORMADOR MEDIDA COMBINADO 10 / 0,10KV, 50VA, 50/5A, 30VA, EXTERIOR</v>
          </cell>
        </row>
        <row r="3454">
          <cell r="B3454">
            <v>5911105</v>
          </cell>
          <cell r="C3454" t="str">
            <v>ELK</v>
          </cell>
          <cell r="D3454" t="str">
            <v>TRANSFORMADOR MEDIDA COMBINADO 10 / 0,10KV, 50VA, 50/5A, 30VA, EXTERIOR</v>
          </cell>
        </row>
        <row r="3455">
          <cell r="B3455">
            <v>5911105</v>
          </cell>
          <cell r="C3455" t="str">
            <v>ITE</v>
          </cell>
          <cell r="D3455" t="str">
            <v>TRANSFORMADOR MEDIDA COMBINADO 10 / 0,10KV, 50VA, 50/5A, 30VA, EXTERIOR</v>
          </cell>
        </row>
        <row r="3456">
          <cell r="B3456">
            <v>5911107</v>
          </cell>
          <cell r="C3456" t="str">
            <v>CEA</v>
          </cell>
          <cell r="D3456" t="str">
            <v>TRANSFORMADOR MEDIDA COMBINADO 10 / 0,10KV, 50VA, 75/5A, 30VA, EXTERIOR</v>
          </cell>
        </row>
        <row r="3457">
          <cell r="B3457">
            <v>5911107</v>
          </cell>
          <cell r="C3457" t="str">
            <v>ELK</v>
          </cell>
          <cell r="D3457" t="str">
            <v>TRANSFORMADOR MEDIDA COMBINADO 10 / 0,10KV, 50VA, 75/5A, 30VA, EXTERIOR</v>
          </cell>
        </row>
        <row r="3458">
          <cell r="B3458">
            <v>5911107</v>
          </cell>
          <cell r="C3458" t="str">
            <v>ITE</v>
          </cell>
          <cell r="D3458" t="str">
            <v>TRANSFORMADOR MEDIDA COMBINADO 10 / 0,10KV, 50VA, 75/5A, 30VA, EXTERIOR</v>
          </cell>
        </row>
        <row r="3459">
          <cell r="B3459">
            <v>5911108</v>
          </cell>
          <cell r="C3459" t="str">
            <v>CEA</v>
          </cell>
          <cell r="D3459" t="str">
            <v>TRANSFORMADOR MEDIDA COMBINADO 22.9KV. 5A. EXT.</v>
          </cell>
        </row>
        <row r="3460">
          <cell r="B3460">
            <v>5911108</v>
          </cell>
          <cell r="C3460" t="str">
            <v>ITE</v>
          </cell>
          <cell r="D3460" t="str">
            <v>TRANSFORMADOR MEDIDA COMBINADO 22.9KV. 5A. EXT.</v>
          </cell>
        </row>
        <row r="3461">
          <cell r="B3461">
            <v>5911110</v>
          </cell>
          <cell r="C3461" t="str">
            <v>CEA</v>
          </cell>
          <cell r="D3461" t="str">
            <v>TRANSFORMADOR MEDIDA COMBINADO 22.9KV. 10A. EXT.</v>
          </cell>
        </row>
        <row r="3462">
          <cell r="B3462">
            <v>5911110</v>
          </cell>
          <cell r="C3462" t="str">
            <v>ELK</v>
          </cell>
          <cell r="D3462" t="str">
            <v>TRANSFORMADOR MEDIDA COMBINADO 22.9KV. 10A. EXT.</v>
          </cell>
        </row>
        <row r="3463">
          <cell r="B3463">
            <v>5911110</v>
          </cell>
          <cell r="C3463" t="str">
            <v>ITE</v>
          </cell>
          <cell r="D3463" t="str">
            <v>TRANSFORMADOR MEDIDA COMBINADO 22.9KV. 10A. EXT.</v>
          </cell>
        </row>
        <row r="3464">
          <cell r="B3464">
            <v>5911112</v>
          </cell>
          <cell r="C3464" t="str">
            <v>CEA</v>
          </cell>
          <cell r="D3464" t="str">
            <v>TRANSFORMADOR MEDIDA COMBINADO 22.9KV. 20A. EXT.</v>
          </cell>
        </row>
        <row r="3465">
          <cell r="B3465">
            <v>5911112</v>
          </cell>
          <cell r="C3465" t="str">
            <v>ELK</v>
          </cell>
          <cell r="D3465" t="str">
            <v>TRANSFORMADOR MEDIDA COMBINADO 22.9KV. 20A. EXT.</v>
          </cell>
        </row>
        <row r="3466">
          <cell r="B3466">
            <v>5911112</v>
          </cell>
          <cell r="C3466" t="str">
            <v>ITE</v>
          </cell>
          <cell r="D3466" t="str">
            <v>TRANSFORMADOR MEDIDA COMBINADO 22.9KV. 20A. EXT.</v>
          </cell>
        </row>
        <row r="3467">
          <cell r="B3467">
            <v>5911114</v>
          </cell>
          <cell r="C3467" t="str">
            <v>CEA</v>
          </cell>
          <cell r="D3467" t="str">
            <v>TRANSFORMADOR MEDIDA COMBINADO 22.9KV. 30A. EXT.</v>
          </cell>
        </row>
        <row r="3468">
          <cell r="B3468">
            <v>5911114</v>
          </cell>
          <cell r="C3468" t="str">
            <v>ELK</v>
          </cell>
          <cell r="D3468" t="str">
            <v>TRANSFORMADOR MEDIDA COMBINADO 22.9KV. 30A. EXT.</v>
          </cell>
        </row>
        <row r="3469">
          <cell r="B3469">
            <v>5911114</v>
          </cell>
          <cell r="C3469" t="str">
            <v>ITE</v>
          </cell>
          <cell r="D3469" t="str">
            <v>TRANSFORMADOR MEDIDA COMBINADO 22.9KV. 30A. EXT.</v>
          </cell>
        </row>
        <row r="3470">
          <cell r="B3470">
            <v>5911116</v>
          </cell>
          <cell r="C3470" t="str">
            <v>CEA</v>
          </cell>
          <cell r="D3470" t="str">
            <v>TRANSFORMADOR MEDIDA COMBINADO 22.9KV. 50A. EXT.</v>
          </cell>
        </row>
        <row r="3471">
          <cell r="B3471">
            <v>5911116</v>
          </cell>
          <cell r="C3471" t="str">
            <v>ITE</v>
          </cell>
          <cell r="D3471" t="str">
            <v>TRANSFORMADOR MEDIDA COMBINADO 22.9KV. 50A. EXT.</v>
          </cell>
        </row>
        <row r="3472">
          <cell r="B3472">
            <v>5911117</v>
          </cell>
          <cell r="C3472" t="str">
            <v>CEA</v>
          </cell>
          <cell r="D3472" t="str">
            <v>TRANSFORMADOR MEDIDA COMBINADO 22.9KV. 75A. EXT.</v>
          </cell>
        </row>
        <row r="3473">
          <cell r="B3473">
            <v>5911117</v>
          </cell>
          <cell r="C3473" t="str">
            <v>ITE</v>
          </cell>
          <cell r="D3473" t="str">
            <v>TRANSFORMADOR MEDIDA COMBINADO 22.9KV. 75A. EXT.</v>
          </cell>
        </row>
        <row r="3474">
          <cell r="B3474">
            <v>5911120</v>
          </cell>
          <cell r="C3474" t="str">
            <v>CEA</v>
          </cell>
          <cell r="D3474" t="str">
            <v>TRANSFORMADOR MEDID.COMBINADO 10/0.1KV.200/5A EXT.</v>
          </cell>
        </row>
        <row r="3475">
          <cell r="B3475">
            <v>5911242</v>
          </cell>
          <cell r="C3475" t="str">
            <v>ABB</v>
          </cell>
          <cell r="D3475" t="str">
            <v>TRANSFORMADOR CTE.220V. 100/5A. S/BARRA PASANTE.</v>
          </cell>
        </row>
        <row r="3476">
          <cell r="B3476">
            <v>5911242</v>
          </cell>
          <cell r="C3476" t="str">
            <v>CEA</v>
          </cell>
          <cell r="D3476" t="str">
            <v>TRANSFORMADOR CTE.220V. 100/5A. S/BARRA PASANTE.</v>
          </cell>
        </row>
        <row r="3477">
          <cell r="B3477">
            <v>5911242</v>
          </cell>
          <cell r="C3477" t="str">
            <v>CES</v>
          </cell>
          <cell r="D3477" t="str">
            <v>TRANSFORMADOR CTE.220V. 100/5A. S/BARRA PASANTE.</v>
          </cell>
        </row>
        <row r="3478">
          <cell r="B3478">
            <v>5911254</v>
          </cell>
          <cell r="C3478" t="str">
            <v>ABB</v>
          </cell>
          <cell r="D3478" t="str">
            <v>TRANSFORMADOR CTE.220V. 200/5A. S/BARRA PASANTE.</v>
          </cell>
        </row>
        <row r="3479">
          <cell r="B3479">
            <v>5911254</v>
          </cell>
          <cell r="C3479" t="str">
            <v>CEA</v>
          </cell>
          <cell r="D3479" t="str">
            <v>TRANSFORMADOR CTE.220V. 200/5A. S/BARRA PASANTE.</v>
          </cell>
        </row>
        <row r="3480">
          <cell r="B3480">
            <v>5911254</v>
          </cell>
          <cell r="C3480" t="str">
            <v>CES</v>
          </cell>
          <cell r="D3480" t="str">
            <v>TRANSFORMADOR CTE.220V. 200/5A. S/BARRA PASANTE.</v>
          </cell>
        </row>
        <row r="3481">
          <cell r="B3481">
            <v>5911254</v>
          </cell>
          <cell r="C3481" t="str">
            <v>ITE</v>
          </cell>
          <cell r="D3481" t="str">
            <v>TRANSFORMADOR CTE.220V. 200/5A. S/BARRA PASANTE.</v>
          </cell>
        </row>
        <row r="3482">
          <cell r="B3482">
            <v>5911254</v>
          </cell>
          <cell r="C3482" t="str">
            <v>RSA</v>
          </cell>
          <cell r="D3482" t="str">
            <v>TRANSFORMADOR CTE.220V. 200/5A. S/BARRA PASANTE.</v>
          </cell>
        </row>
        <row r="3483">
          <cell r="B3483">
            <v>5911260</v>
          </cell>
          <cell r="C3483" t="str">
            <v>ABB</v>
          </cell>
          <cell r="D3483" t="str">
            <v>TRANSFORMADOR CTE.220V. 300/5A. S/BARRA PASANTE.</v>
          </cell>
        </row>
        <row r="3484">
          <cell r="B3484">
            <v>5911260</v>
          </cell>
          <cell r="C3484" t="str">
            <v>CEA</v>
          </cell>
          <cell r="D3484" t="str">
            <v>TRANSFORMADOR CTE.220V. 300/5A. S/BARRA PASANTE.</v>
          </cell>
        </row>
        <row r="3485">
          <cell r="B3485">
            <v>5911260</v>
          </cell>
          <cell r="C3485" t="str">
            <v>CES</v>
          </cell>
          <cell r="D3485" t="str">
            <v>TRANSFORMADOR CTE.220V. 300/5A. S/BARRA PASANTE.</v>
          </cell>
        </row>
        <row r="3486">
          <cell r="B3486">
            <v>5911260</v>
          </cell>
          <cell r="C3486" t="str">
            <v>ITE</v>
          </cell>
          <cell r="D3486" t="str">
            <v>TRANSFORMADOR CTE.220V. 300/5A. S/BARRA PASANTE.</v>
          </cell>
        </row>
        <row r="3487">
          <cell r="B3487">
            <v>5911260</v>
          </cell>
          <cell r="C3487" t="str">
            <v>RSA</v>
          </cell>
          <cell r="D3487" t="str">
            <v>TRANSFORMADOR CTE.220V. 300/5A. S/BARRA PASANTE.</v>
          </cell>
        </row>
        <row r="3488">
          <cell r="B3488">
            <v>5911263</v>
          </cell>
          <cell r="C3488" t="str">
            <v>CES</v>
          </cell>
          <cell r="D3488" t="str">
            <v>TRANSFORMADOR CORRIENTE NUCLEO PARTIDO PARA MEDIDA 300/5A.CELSA  CLASE 1</v>
          </cell>
        </row>
        <row r="3489">
          <cell r="B3489">
            <v>5911268</v>
          </cell>
          <cell r="C3489" t="str">
            <v>CES</v>
          </cell>
          <cell r="D3489" t="str">
            <v>TRANSFORMADOR CORRIENTE NUCLEO PARTIDO PARA MEDIDA 500/5A.CELSA  CLASE 1</v>
          </cell>
        </row>
        <row r="3490">
          <cell r="B3490">
            <v>5911269</v>
          </cell>
          <cell r="C3490" t="str">
            <v>ABB</v>
          </cell>
          <cell r="D3490" t="str">
            <v>TRANSFORMADOR CORRIENTE P.MEDICION S.BARRA PASANTE 500/5A 220V 10VA CL.1</v>
          </cell>
        </row>
        <row r="3491">
          <cell r="B3491">
            <v>5911269</v>
          </cell>
          <cell r="C3491" t="str">
            <v>CEA</v>
          </cell>
          <cell r="D3491" t="str">
            <v>TRANSFORMADOR CORRIENTE P.MEDICION S.BARRA PASANTE 500/5A 220V 10VA CL.1</v>
          </cell>
        </row>
        <row r="3492">
          <cell r="B3492">
            <v>5911269</v>
          </cell>
          <cell r="C3492" t="str">
            <v>CES</v>
          </cell>
          <cell r="D3492" t="str">
            <v>TRANSFORMADOR CORRIENTE P.MEDICION S.BARRA PASANTE 500/5A 220V 10VA CL.1</v>
          </cell>
        </row>
        <row r="3493">
          <cell r="B3493">
            <v>5911269</v>
          </cell>
          <cell r="C3493" t="str">
            <v>ITE</v>
          </cell>
          <cell r="D3493" t="str">
            <v>TRANSFORMADOR CORRIENTE P.MEDICION S.BARRA PASANTE 500/5A 220V 10VA CL.1</v>
          </cell>
        </row>
        <row r="3494">
          <cell r="B3494">
            <v>5911272</v>
          </cell>
          <cell r="C3494" t="str">
            <v>ABB</v>
          </cell>
          <cell r="D3494" t="str">
            <v>TRANSFORMADOR CTE.220V. 750/5A. S/BARRA PASANTE.</v>
          </cell>
        </row>
        <row r="3495">
          <cell r="B3495">
            <v>5911272</v>
          </cell>
          <cell r="C3495" t="str">
            <v>CEA</v>
          </cell>
          <cell r="D3495" t="str">
            <v>TRANSFORMADOR CTE.220V. 750/5A. S/BARRA PASANTE.</v>
          </cell>
        </row>
        <row r="3496">
          <cell r="B3496">
            <v>5911272</v>
          </cell>
          <cell r="C3496" t="str">
            <v>CES</v>
          </cell>
          <cell r="D3496" t="str">
            <v>TRANSFORMADOR CTE.220V. 750/5A. S/BARRA PASANTE.</v>
          </cell>
        </row>
        <row r="3497">
          <cell r="B3497">
            <v>5911272</v>
          </cell>
          <cell r="C3497" t="str">
            <v>ITE</v>
          </cell>
          <cell r="D3497" t="str">
            <v>TRANSFORMADOR CTE.220V. 750/5A. S/BARRA PASANTE.</v>
          </cell>
        </row>
        <row r="3498">
          <cell r="B3498">
            <v>5911277</v>
          </cell>
          <cell r="C3498" t="str">
            <v>CES</v>
          </cell>
          <cell r="D3498" t="str">
            <v>TRANSFORMADOR CTE. NUCLEO PARTIDO 1000/5A. 10VA.CL 1. 60HZ.</v>
          </cell>
        </row>
        <row r="3499">
          <cell r="B3499">
            <v>5911278</v>
          </cell>
          <cell r="C3499" t="str">
            <v>ABB</v>
          </cell>
          <cell r="D3499" t="str">
            <v>TRANSFORMADOR CTE.220V.1000/5A. S/BARRA PASANTE.</v>
          </cell>
        </row>
        <row r="3500">
          <cell r="B3500">
            <v>5911278</v>
          </cell>
          <cell r="C3500" t="str">
            <v>CEA</v>
          </cell>
          <cell r="D3500" t="str">
            <v>TRANSFORMADOR CTE.220V.1000/5A. S/BARRA PASANTE.</v>
          </cell>
        </row>
        <row r="3501">
          <cell r="B3501">
            <v>5911278</v>
          </cell>
          <cell r="C3501" t="str">
            <v>CES</v>
          </cell>
          <cell r="D3501" t="str">
            <v>TRANSFORMADOR CTE.220V.1000/5A. S/BARRA PASANTE.</v>
          </cell>
        </row>
        <row r="3502">
          <cell r="B3502">
            <v>5911278</v>
          </cell>
          <cell r="C3502" t="str">
            <v>ITE</v>
          </cell>
          <cell r="D3502" t="str">
            <v>TRANSFORMADOR CTE.220V.1000/5A. S/BARRA PASANTE.</v>
          </cell>
        </row>
        <row r="3503">
          <cell r="B3503">
            <v>5911284</v>
          </cell>
          <cell r="C3503" t="str">
            <v>ABB</v>
          </cell>
          <cell r="D3503" t="str">
            <v>TRANSFORMADOR CTE.220V.2000/5A. S/BARRA PASANTE.</v>
          </cell>
        </row>
        <row r="3504">
          <cell r="B3504">
            <v>5911284</v>
          </cell>
          <cell r="C3504" t="str">
            <v>CEA</v>
          </cell>
          <cell r="D3504" t="str">
            <v>TRANSFORMADOR CTE.220V.2000/5A. S/BARRA PASANTE.</v>
          </cell>
        </row>
        <row r="3505">
          <cell r="B3505">
            <v>5911284</v>
          </cell>
          <cell r="C3505" t="str">
            <v>CES</v>
          </cell>
          <cell r="D3505" t="str">
            <v>TRANSFORMADOR CTE.220V.2000/5A. S/BARRA PASANTE.</v>
          </cell>
        </row>
        <row r="3506">
          <cell r="B3506">
            <v>5911284</v>
          </cell>
          <cell r="C3506" t="str">
            <v>ITE</v>
          </cell>
          <cell r="D3506" t="str">
            <v>TRANSFORMADOR CTE.220V.2000/5A. S/BARRA PASANTE.</v>
          </cell>
        </row>
        <row r="3507">
          <cell r="B3507">
            <v>5911342</v>
          </cell>
          <cell r="C3507" t="str">
            <v>ABB</v>
          </cell>
          <cell r="D3507" t="str">
            <v>TRANSFORMADOR CTE.220V. 100/5A. C/BARRA PASANTE.</v>
          </cell>
        </row>
        <row r="3508">
          <cell r="B3508">
            <v>5911342</v>
          </cell>
          <cell r="C3508" t="str">
            <v>CEA</v>
          </cell>
          <cell r="D3508" t="str">
            <v>TRANSFORMADOR CTE.220V. 100/5A. C/BARRA PASANTE.</v>
          </cell>
        </row>
        <row r="3509">
          <cell r="B3509">
            <v>5911342</v>
          </cell>
          <cell r="C3509" t="str">
            <v>CES</v>
          </cell>
          <cell r="D3509" t="str">
            <v>TRANSFORMADOR CTE.220V. 100/5A. C/BARRA PASANTE.</v>
          </cell>
        </row>
        <row r="3510">
          <cell r="B3510">
            <v>5911342</v>
          </cell>
          <cell r="C3510" t="str">
            <v>ITE</v>
          </cell>
          <cell r="D3510" t="str">
            <v>TRANSFORMADOR CTE.220V. 100/5A. C/BARRA PASANTE.</v>
          </cell>
        </row>
        <row r="3511">
          <cell r="B3511">
            <v>5911354</v>
          </cell>
          <cell r="C3511" t="str">
            <v>ABB</v>
          </cell>
          <cell r="D3511" t="str">
            <v>TRANSFORMADOR CTE.220V. 200/5A. C/BARRA PASANTE.</v>
          </cell>
        </row>
        <row r="3512">
          <cell r="B3512">
            <v>5911354</v>
          </cell>
          <cell r="C3512" t="str">
            <v>CEA</v>
          </cell>
          <cell r="D3512" t="str">
            <v>TRANSFORMADOR CTE.220V. 200/5A. C/BARRA PASANTE.</v>
          </cell>
        </row>
        <row r="3513">
          <cell r="B3513">
            <v>5911354</v>
          </cell>
          <cell r="C3513" t="str">
            <v>CES</v>
          </cell>
          <cell r="D3513" t="str">
            <v>TRANSFORMADOR CTE.220V. 200/5A. C/BARRA PASANTE.</v>
          </cell>
        </row>
        <row r="3514">
          <cell r="B3514">
            <v>5911354</v>
          </cell>
          <cell r="C3514" t="str">
            <v>ITE</v>
          </cell>
          <cell r="D3514" t="str">
            <v>TRANSFORMADOR CTE.220V. 200/5A. C/BARRA PASANTE.</v>
          </cell>
        </row>
        <row r="3515">
          <cell r="B3515">
            <v>5911360</v>
          </cell>
          <cell r="C3515" t="str">
            <v>ABB</v>
          </cell>
          <cell r="D3515" t="str">
            <v>TRANSFORMADOR CTE.220V. 300/5A. C/BARRA PASANTE.</v>
          </cell>
        </row>
        <row r="3516">
          <cell r="B3516">
            <v>5911360</v>
          </cell>
          <cell r="C3516" t="str">
            <v>CEA</v>
          </cell>
          <cell r="D3516" t="str">
            <v>TRANSFORMADOR CTE.220V. 300/5A. C/BARRA PASANTE.</v>
          </cell>
        </row>
        <row r="3517">
          <cell r="B3517">
            <v>5911360</v>
          </cell>
          <cell r="C3517" t="str">
            <v>CES</v>
          </cell>
          <cell r="D3517" t="str">
            <v>TRANSFORMADOR CTE.220V. 300/5A. C/BARRA PASANTE.</v>
          </cell>
        </row>
        <row r="3518">
          <cell r="B3518">
            <v>5911360</v>
          </cell>
          <cell r="C3518" t="str">
            <v>ITE</v>
          </cell>
          <cell r="D3518" t="str">
            <v>TRANSFORMADOR CTE.220V. 300/5A. C/BARRA PASANTE.</v>
          </cell>
        </row>
        <row r="3519">
          <cell r="B3519">
            <v>5911369</v>
          </cell>
          <cell r="C3519" t="str">
            <v>ABB</v>
          </cell>
          <cell r="D3519" t="str">
            <v>TRANSFORMADOR CTE.220V. 500/5A. C/BARRA PASANTE.</v>
          </cell>
        </row>
        <row r="3520">
          <cell r="B3520">
            <v>5911369</v>
          </cell>
          <cell r="C3520" t="str">
            <v>CEA</v>
          </cell>
          <cell r="D3520" t="str">
            <v>TRANSFORMADOR CTE.220V. 500/5A. C/BARRA PASANTE.</v>
          </cell>
        </row>
        <row r="3521">
          <cell r="B3521">
            <v>5911369</v>
          </cell>
          <cell r="C3521" t="str">
            <v>CES</v>
          </cell>
          <cell r="D3521" t="str">
            <v>TRANSFORMADOR CTE.220V. 500/5A. C/BARRA PASANTE.</v>
          </cell>
        </row>
        <row r="3522">
          <cell r="B3522">
            <v>5911369</v>
          </cell>
          <cell r="C3522" t="str">
            <v>ITE</v>
          </cell>
          <cell r="D3522" t="str">
            <v>TRANSFORMADOR CTE.220V. 500/5A. C/BARRA PASANTE.</v>
          </cell>
        </row>
        <row r="3523">
          <cell r="B3523">
            <v>5911372</v>
          </cell>
          <cell r="C3523" t="str">
            <v>ABB</v>
          </cell>
          <cell r="D3523" t="str">
            <v>TRANSFORMADOR CTE.220V. 750/5A. C/BARRA PASANTE.</v>
          </cell>
        </row>
        <row r="3524">
          <cell r="B3524">
            <v>5911372</v>
          </cell>
          <cell r="C3524" t="str">
            <v>CEA</v>
          </cell>
          <cell r="D3524" t="str">
            <v>TRANSFORMADOR CTE.220V. 750/5A. C/BARRA PASANTE.</v>
          </cell>
        </row>
        <row r="3525">
          <cell r="B3525">
            <v>5911372</v>
          </cell>
          <cell r="C3525" t="str">
            <v>CES</v>
          </cell>
          <cell r="D3525" t="str">
            <v>TRANSFORMADOR CTE.220V. 750/5A. C/BARRA PASANTE.</v>
          </cell>
        </row>
        <row r="3526">
          <cell r="B3526">
            <v>5911372</v>
          </cell>
          <cell r="C3526" t="str">
            <v>ITE</v>
          </cell>
          <cell r="D3526" t="str">
            <v>TRANSFORMADOR CTE.220V. 750/5A. C/BARRA PASANTE.</v>
          </cell>
        </row>
        <row r="3527">
          <cell r="B3527">
            <v>5911428</v>
          </cell>
          <cell r="C3527" t="str">
            <v>CES</v>
          </cell>
          <cell r="D3527" t="str">
            <v>TRANSFORMADOR CTE. NUCLEO PARTIDO 750/5A 5VA CL1 60 HZ</v>
          </cell>
        </row>
        <row r="3528">
          <cell r="B3528">
            <v>5911442</v>
          </cell>
          <cell r="C3528" t="str">
            <v>CES</v>
          </cell>
          <cell r="D3528" t="str">
            <v>TRANSFORMADOR CTE. NUCLEO PARTIDO 1500/5A 10VA CL1 60 HZ</v>
          </cell>
        </row>
        <row r="3529">
          <cell r="B3529">
            <v>5911444</v>
          </cell>
          <cell r="C3529" t="str">
            <v>CES</v>
          </cell>
          <cell r="D3529" t="str">
            <v>TRANSFORMADOR CTE. NUCLEO PARTIDO 2000/5A 10VA CL1 60HZ</v>
          </cell>
        </row>
        <row r="3530">
          <cell r="B3530">
            <v>5911446</v>
          </cell>
          <cell r="C3530" t="str">
            <v>CES</v>
          </cell>
          <cell r="D3530" t="str">
            <v>TRANSFORMADOR CTE. NUCLEO PARTIDO 3000/5A 10VA CL1 60HZ</v>
          </cell>
        </row>
        <row r="3531">
          <cell r="B3531">
            <v>5913224</v>
          </cell>
          <cell r="C3531" t="str">
            <v>ART</v>
          </cell>
          <cell r="D3531" t="str">
            <v>TRANSFORMADOR CTE.10KV.  30/5A. 0.5 250MVA.INTEMP.</v>
          </cell>
        </row>
        <row r="3532">
          <cell r="B3532">
            <v>5913224</v>
          </cell>
          <cell r="C3532" t="str">
            <v>H&amp;C</v>
          </cell>
          <cell r="D3532" t="str">
            <v>TRANSFORMADOR CTE.10KV.  30/5A. 0.5 250MVA.INTEMP.</v>
          </cell>
        </row>
        <row r="3533">
          <cell r="B3533">
            <v>5913224</v>
          </cell>
          <cell r="C3533" t="str">
            <v>PRO</v>
          </cell>
          <cell r="D3533" t="str">
            <v>TRANSFORMADOR CTE.10KV.  30/5A. 0.5 250MVA.INTEMP.</v>
          </cell>
        </row>
        <row r="3534">
          <cell r="B3534">
            <v>5913622</v>
          </cell>
          <cell r="C3534" t="str">
            <v>ABB</v>
          </cell>
          <cell r="D3534" t="str">
            <v>TRANSFORMADOR CTE.10KV. 20/5A. CL.0,5 500MVA.INTERIOR</v>
          </cell>
        </row>
        <row r="3535">
          <cell r="B3535">
            <v>5913622</v>
          </cell>
          <cell r="C3535" t="str">
            <v>ABB</v>
          </cell>
          <cell r="D3535" t="str">
            <v>TRANSFORMADOR CTE.10KV. 20/5A. CL.0,5 500MVA.INTERIOR</v>
          </cell>
        </row>
        <row r="3536">
          <cell r="B3536">
            <v>5913622</v>
          </cell>
          <cell r="C3536" t="str">
            <v>ART</v>
          </cell>
          <cell r="D3536" t="str">
            <v>TRANSFORMADOR CTE.10KV. 20/5A. CL.0,5 500MVA.INTERIOR</v>
          </cell>
        </row>
        <row r="3537">
          <cell r="B3537">
            <v>5913630</v>
          </cell>
          <cell r="C3537" t="str">
            <v>ABB</v>
          </cell>
          <cell r="D3537" t="str">
            <v>TRANSFORMADOR CTE.10KV.  50/5A. 0.5 500MVA.INT.</v>
          </cell>
        </row>
        <row r="3538">
          <cell r="B3538">
            <v>5913630</v>
          </cell>
          <cell r="C3538" t="str">
            <v>ABB</v>
          </cell>
          <cell r="D3538" t="str">
            <v>TRANSFORMADOR CTE.10KV.  50/5A. 0.5 500MVA.INT.</v>
          </cell>
        </row>
        <row r="3539">
          <cell r="B3539">
            <v>5913630</v>
          </cell>
          <cell r="C3539" t="str">
            <v>ART</v>
          </cell>
          <cell r="D3539" t="str">
            <v>TRANSFORMADOR CTE.10KV.  50/5A. 0.5 500MVA.INT.</v>
          </cell>
        </row>
        <row r="3540">
          <cell r="B3540">
            <v>5913642</v>
          </cell>
          <cell r="C3540" t="str">
            <v>ABB</v>
          </cell>
          <cell r="D3540" t="str">
            <v>TRANSFORMADOR CTE.10KV. 100/5A. 0.5 500MVA.INT.</v>
          </cell>
        </row>
        <row r="3541">
          <cell r="B3541">
            <v>5913642</v>
          </cell>
          <cell r="C3541" t="str">
            <v>ABB</v>
          </cell>
          <cell r="D3541" t="str">
            <v>TRANSFORMADOR CTE.10KV. 100/5A. 0.5 500MVA.INT.</v>
          </cell>
        </row>
        <row r="3542">
          <cell r="B3542">
            <v>5913642</v>
          </cell>
          <cell r="C3542" t="str">
            <v>ART</v>
          </cell>
          <cell r="D3542" t="str">
            <v>TRANSFORMADOR CTE.10KV. 100/5A. 0.5 500MVA.INT.</v>
          </cell>
        </row>
        <row r="3543">
          <cell r="B3543">
            <v>5913642</v>
          </cell>
          <cell r="C3543" t="str">
            <v>ELQ</v>
          </cell>
          <cell r="D3543" t="str">
            <v>TRANSFORMADOR CTE.10KV. 100/5A. 0.5 500MVA.INT.</v>
          </cell>
        </row>
        <row r="3544">
          <cell r="B3544">
            <v>5913660</v>
          </cell>
          <cell r="C3544" t="str">
            <v>ART</v>
          </cell>
          <cell r="D3544" t="str">
            <v>TRANSFORMADOR CTE.10KV. 300/5A. 0.5 500MVA.INT.</v>
          </cell>
        </row>
        <row r="3545">
          <cell r="B3545">
            <v>5913660</v>
          </cell>
          <cell r="C3545" t="str">
            <v>CEA</v>
          </cell>
          <cell r="D3545" t="str">
            <v>TRANSFORMADOR CTE.10KV. 300/5A. 0.5 500MVA.INT.</v>
          </cell>
        </row>
        <row r="3546">
          <cell r="B3546">
            <v>5913666</v>
          </cell>
          <cell r="C3546" t="str">
            <v>ART</v>
          </cell>
          <cell r="D3546" t="str">
            <v>TRANSFORMADOR CTE.10KV. 400/5A. 0.5 500MVA.INT.</v>
          </cell>
        </row>
        <row r="3547">
          <cell r="B3547">
            <v>5913666</v>
          </cell>
          <cell r="C3547" t="str">
            <v>CEA</v>
          </cell>
          <cell r="D3547" t="str">
            <v>TRANSFORMADOR CTE.10KV. 400/5A. 0.5 500MVA.INT.</v>
          </cell>
        </row>
        <row r="3548">
          <cell r="B3548">
            <v>5913948</v>
          </cell>
          <cell r="C3548" t="str">
            <v>ELQ</v>
          </cell>
          <cell r="D3548" t="str">
            <v>TRANSFORMADOR DE CORRIENTE SECCIONABLE P.MEDICION TP.TOROIDAL 50/1A 1VA DIAM.140MM 0,72KV</v>
          </cell>
        </row>
        <row r="3549">
          <cell r="B3549">
            <v>5913948</v>
          </cell>
          <cell r="C3549" t="str">
            <v>PFI</v>
          </cell>
          <cell r="D3549" t="str">
            <v>TRANSFORMADOR DE CORRIENTE SECCIONABLE P.MEDICION TP.TOROIDAL 50/1A 1VA DIAM.140MM 0,72KV</v>
          </cell>
        </row>
        <row r="3550">
          <cell r="B3550">
            <v>5913950</v>
          </cell>
          <cell r="C3550" t="str">
            <v>PFI</v>
          </cell>
          <cell r="D3550" t="str">
            <v>TRANSFORMADOR CTE. TOROIDAL INT.10KV.50/1A., 60HZ, 4VA.,CL.3.</v>
          </cell>
        </row>
        <row r="3551">
          <cell r="B3551">
            <v>5932858</v>
          </cell>
          <cell r="C3551" t="str">
            <v>ART</v>
          </cell>
          <cell r="D3551" t="str">
            <v>TRANSFORMADOR TENSION 10KV.10/0.1KV.0.5 250MVA.INTEMP</v>
          </cell>
        </row>
        <row r="3552">
          <cell r="B3552">
            <v>5932858</v>
          </cell>
          <cell r="C3552" t="str">
            <v>EPF</v>
          </cell>
          <cell r="D3552" t="str">
            <v>TRANSFORMADOR TENSION 10KV.10/0.1KV.0.5 250MVA.INTEMP</v>
          </cell>
        </row>
        <row r="3553">
          <cell r="B3553">
            <v>5932858</v>
          </cell>
          <cell r="C3553" t="str">
            <v>H&amp;C</v>
          </cell>
          <cell r="D3553" t="str">
            <v>TRANSFORMADOR TENSION 10KV.10/0.1KV.0.5 250MVA.INTEMP</v>
          </cell>
        </row>
        <row r="3554">
          <cell r="B3554">
            <v>5932858</v>
          </cell>
          <cell r="C3554" t="str">
            <v>PRO</v>
          </cell>
          <cell r="D3554" t="str">
            <v>TRANSFORMADOR TENSION 10KV.10/0.1KV.0.5 250MVA.INTEMP</v>
          </cell>
        </row>
        <row r="3555">
          <cell r="B3555">
            <v>5932869</v>
          </cell>
          <cell r="C3555" t="str">
            <v>ABB</v>
          </cell>
          <cell r="D3555" t="str">
            <v>TRANSFORMADOR TENSION     10/0.10KV.0.5 500MVA.INT.</v>
          </cell>
        </row>
        <row r="3556">
          <cell r="B3556">
            <v>5932869</v>
          </cell>
          <cell r="C3556" t="str">
            <v>ART</v>
          </cell>
          <cell r="D3556" t="str">
            <v>TRANSFORMADOR TENSION     10/0.10KV.0.5 500MVA.INT.</v>
          </cell>
        </row>
        <row r="3557">
          <cell r="B3557">
            <v>5932869</v>
          </cell>
          <cell r="C3557" t="str">
            <v>ELQ</v>
          </cell>
          <cell r="D3557" t="str">
            <v>TRANSFORMADOR TENSION     10/0.10KV.0.5 500MVA.INT.</v>
          </cell>
        </row>
        <row r="3558">
          <cell r="B3558">
            <v>5932869</v>
          </cell>
          <cell r="C3558" t="str">
            <v>EPF</v>
          </cell>
          <cell r="D3558" t="str">
            <v>TRANSFORMADOR TENSION     10/0.10KV.0.5 500MVA.INT.</v>
          </cell>
        </row>
        <row r="3559">
          <cell r="B3559">
            <v>5932869</v>
          </cell>
          <cell r="C3559" t="str">
            <v>H&amp;C</v>
          </cell>
          <cell r="D3559" t="str">
            <v>TRANSFORMADOR TENSION     10/0.10KV.0.5 500MVA.INT.</v>
          </cell>
        </row>
        <row r="3560">
          <cell r="B3560">
            <v>5933220</v>
          </cell>
          <cell r="C3560" t="str">
            <v>CEA</v>
          </cell>
          <cell r="D3560" t="str">
            <v>TRANSF.TENSION 2 DEVAN.10KV.30VA.CLASE.0.5</v>
          </cell>
        </row>
        <row r="3561">
          <cell r="B3561">
            <v>5933220</v>
          </cell>
          <cell r="C3561" t="str">
            <v>ELQ</v>
          </cell>
          <cell r="D3561" t="str">
            <v>TRANSF.TENSION 2 DEVAN.10KV.30VA.CLASE.0.5</v>
          </cell>
        </row>
        <row r="3562">
          <cell r="B3562">
            <v>5933220</v>
          </cell>
          <cell r="C3562" t="str">
            <v>SAD</v>
          </cell>
          <cell r="D3562" t="str">
            <v>TRANSF.TENSION 2 DEVAN.10KV.30VA.CLASE.0.5</v>
          </cell>
        </row>
        <row r="3563">
          <cell r="B3563">
            <v>5933840</v>
          </cell>
          <cell r="C3563" t="str">
            <v>CEA</v>
          </cell>
          <cell r="D3563" t="str">
            <v>TRANSF. TENSION P. MED. 22,9/V3/0.1/V3KV. CL. 0,5 INTERIOR</v>
          </cell>
        </row>
        <row r="3564">
          <cell r="B3564">
            <v>5933840</v>
          </cell>
          <cell r="C3564" t="str">
            <v>ELQ</v>
          </cell>
          <cell r="D3564" t="str">
            <v>TRANSF. TENSION P. MED. 22,9/V3/0.1/V3KV. CL. 0,5 INTERIOR</v>
          </cell>
        </row>
        <row r="3565">
          <cell r="B3565">
            <v>5933840</v>
          </cell>
          <cell r="C3565" t="str">
            <v>SAD</v>
          </cell>
          <cell r="D3565" t="str">
            <v>TRANSF. TENSION P. MED. 22,9/V3/0.1/V3KV. CL. 0,5 INTERIOR</v>
          </cell>
        </row>
        <row r="3566">
          <cell r="B3566">
            <v>5964458</v>
          </cell>
          <cell r="C3566" t="str">
            <v>ALS</v>
          </cell>
          <cell r="D3566" t="str">
            <v>TRANSFORMADOR CTE.TP.PROTEC.10KV.(100-200)/5A.20VA,5P20</v>
          </cell>
        </row>
        <row r="3567">
          <cell r="B3567">
            <v>5964458</v>
          </cell>
          <cell r="C3567" t="str">
            <v>ELQ</v>
          </cell>
          <cell r="D3567" t="str">
            <v>TRANSFORMADOR CTE.TP.PROTEC.10KV.(100-200)/5A.20VA,5P20</v>
          </cell>
        </row>
        <row r="3568">
          <cell r="B3568">
            <v>5964458</v>
          </cell>
          <cell r="C3568" t="str">
            <v>SAD</v>
          </cell>
          <cell r="D3568" t="str">
            <v>TRANSFORMADOR CTE.TP.PROTEC.10KV.(100-200)/5A.20VA,5P20</v>
          </cell>
        </row>
        <row r="3569">
          <cell r="B3569">
            <v>5964458</v>
          </cell>
          <cell r="C3569" t="str">
            <v>TAI</v>
          </cell>
          <cell r="D3569" t="str">
            <v>TRANSFORMADOR CTE.TP.PROTEC.10KV.(100-200)/5A.20VA,5P20</v>
          </cell>
        </row>
        <row r="3570">
          <cell r="B3570">
            <v>5966070</v>
          </cell>
          <cell r="C3570" t="str">
            <v>ELQ</v>
          </cell>
          <cell r="D3570" t="str">
            <v>TRANSFORMADOR DE CORRIENTE  22,9KV P.PROTECCION TP. TOROIDAL 300-600/5A, CL5P20, 10VA</v>
          </cell>
        </row>
        <row r="3571">
          <cell r="B3571">
            <v>5966468</v>
          </cell>
          <cell r="C3571" t="str">
            <v>ELQ</v>
          </cell>
          <cell r="D3571" t="str">
            <v>TRANSFORMADOR CTE.TP. PROTEC.10KV. (300-600)/5A.20VA, 5P20</v>
          </cell>
        </row>
        <row r="3572">
          <cell r="B3572">
            <v>5986323</v>
          </cell>
          <cell r="C3572" t="str">
            <v>ELQ</v>
          </cell>
          <cell r="D3572" t="str">
            <v>TRANSFORMADOR CTE. TP. BLOQUE 22.9KV, P.PROTECC. Y MEDIC. 100-200/5-5A, 15VA, CL 0.2S, 5P20</v>
          </cell>
        </row>
        <row r="3573">
          <cell r="B3573">
            <v>5986323</v>
          </cell>
          <cell r="C3573" t="str">
            <v>SAD</v>
          </cell>
          <cell r="D3573" t="str">
            <v>TRANSFORMADOR CTE. TP. BLOQUE 22.9KV, P.PROTECC. Y MEDIC. 100-200/5-5A, 15VA, CL 0.2S, 5P20</v>
          </cell>
        </row>
        <row r="3574">
          <cell r="B3574">
            <v>5986331</v>
          </cell>
          <cell r="C3574" t="str">
            <v>SAD</v>
          </cell>
          <cell r="D3574" t="str">
            <v>TRANSFORMADOR CTE TP.BLOQUE 22.9 KV P.PROTEC.MED. 300-600/5-5A 15VA, CL 0.2S, 5P20</v>
          </cell>
        </row>
        <row r="3575">
          <cell r="B3575">
            <v>5986332</v>
          </cell>
          <cell r="C3575" t="str">
            <v>SAD</v>
          </cell>
          <cell r="D3575" t="str">
            <v>TRANSFORMADOR DE CORRIENTE TP.BLOQUE 22.9 KV P.PROTECCION 300-600/5A CL.5P20, 15VA, 20/50KA</v>
          </cell>
        </row>
        <row r="3576">
          <cell r="B3576">
            <v>5986339</v>
          </cell>
          <cell r="C3576" t="str">
            <v>ELQ</v>
          </cell>
          <cell r="D3576" t="str">
            <v>TRANSFORMADOR CTE. TP. BLOQUE 22.9KV, P.MEDIC. 100-200/5A, 15VA, CL 0.2S</v>
          </cell>
        </row>
        <row r="3577">
          <cell r="B3577">
            <v>5986339</v>
          </cell>
          <cell r="C3577" t="str">
            <v>SAD</v>
          </cell>
          <cell r="D3577" t="str">
            <v>TRANSFORMADOR CTE. TP. BLOQUE 22.9KV, P.MEDIC. 100-200/5A, 15VA, CL 0.2S</v>
          </cell>
        </row>
        <row r="3578">
          <cell r="B3578">
            <v>5986433</v>
          </cell>
          <cell r="C3578" t="str">
            <v>ELQ</v>
          </cell>
          <cell r="D3578" t="str">
            <v>TRANSFORMADOR DE CORRIENTE P.MEDICION Y PROTECCION TOROIDAL EN 22,9KV 300-600/5-5A CL.0,2S/5P20 10VA</v>
          </cell>
        </row>
        <row r="3579">
          <cell r="B3579">
            <v>6112210</v>
          </cell>
          <cell r="C3579" t="str">
            <v>RNS</v>
          </cell>
          <cell r="D3579" t="str">
            <v>FUSIBLE TP. C 220V.   5A. P.CONEX.DOMICIL. Y A.P.</v>
          </cell>
        </row>
        <row r="3580">
          <cell r="B3580">
            <v>6112210</v>
          </cell>
          <cell r="C3580" t="str">
            <v>TAL</v>
          </cell>
          <cell r="D3580" t="str">
            <v>FUSIBLE TP. C 220V.   5A. P.CONEX.DOMICIL. Y A.P.</v>
          </cell>
        </row>
        <row r="3581">
          <cell r="B3581">
            <v>6112219</v>
          </cell>
          <cell r="C3581" t="str">
            <v>RNS</v>
          </cell>
          <cell r="D3581" t="str">
            <v>FUSIBLE TP. C 220V.  15A. P.CONEX.DOMICIL. Y A.P.</v>
          </cell>
        </row>
        <row r="3582">
          <cell r="B3582">
            <v>6112219</v>
          </cell>
          <cell r="C3582" t="str">
            <v>TAL</v>
          </cell>
          <cell r="D3582" t="str">
            <v>FUSIBLE TP. C 220V.  15A. P.CONEX.DOMICIL. Y A.P.</v>
          </cell>
        </row>
        <row r="3583">
          <cell r="B3583">
            <v>6112224</v>
          </cell>
          <cell r="C3583" t="str">
            <v>RNS</v>
          </cell>
          <cell r="D3583" t="str">
            <v>FUSIBLE TP. C 220V.  30A. P.CONEX.DOMICIL. Y A.P.</v>
          </cell>
        </row>
        <row r="3584">
          <cell r="B3584">
            <v>6112224</v>
          </cell>
          <cell r="C3584" t="str">
            <v>TAL</v>
          </cell>
          <cell r="D3584" t="str">
            <v>FUSIBLE TP. C 220V.  30A. P.CONEX.DOMICIL. Y A.P.</v>
          </cell>
        </row>
        <row r="3585">
          <cell r="B3585">
            <v>6112232</v>
          </cell>
          <cell r="C3585" t="str">
            <v>RNS</v>
          </cell>
          <cell r="D3585" t="str">
            <v>FUSIBLE TP. C 220V.  60A. P.CONEX.DOMICIL. Y A.P.</v>
          </cell>
        </row>
        <row r="3586">
          <cell r="B3586">
            <v>6112232</v>
          </cell>
          <cell r="C3586" t="str">
            <v>TAL</v>
          </cell>
          <cell r="D3586" t="str">
            <v>FUSIBLE TP. C 220V.  60A. P.CONEX.DOMICIL. Y A.P.</v>
          </cell>
        </row>
        <row r="3587">
          <cell r="B3587">
            <v>6112324</v>
          </cell>
          <cell r="C3587" t="str">
            <v>TAL</v>
          </cell>
          <cell r="D3587" t="str">
            <v>FUSIBLE TP.LAMINA 220V. 30A.TAM-CHICO    16X 78MM.</v>
          </cell>
        </row>
        <row r="3588">
          <cell r="B3588">
            <v>6112332</v>
          </cell>
          <cell r="C3588" t="str">
            <v>TAL</v>
          </cell>
          <cell r="D3588" t="str">
            <v>FUSIBLE TP.LAMINA 220V. 60A.TAM-CHICO    16X 78MM.</v>
          </cell>
        </row>
        <row r="3589">
          <cell r="B3589">
            <v>6112342</v>
          </cell>
          <cell r="C3589" t="str">
            <v>TAL</v>
          </cell>
          <cell r="D3589" t="str">
            <v>FUSIBLE TP.LAMINA 220V.100A.TAM-CHICO    16X 78MM.</v>
          </cell>
        </row>
        <row r="3590">
          <cell r="B3590">
            <v>6112432</v>
          </cell>
          <cell r="C3590" t="str">
            <v>TAL</v>
          </cell>
          <cell r="D3590" t="str">
            <v>FUSIBLE TP.LAMINA 220V. 60A.TAM-MEDIANO  22X119MM.</v>
          </cell>
        </row>
        <row r="3591">
          <cell r="B3591">
            <v>6112442</v>
          </cell>
          <cell r="C3591" t="str">
            <v>TAL</v>
          </cell>
          <cell r="D3591" t="str">
            <v>FUSIBLE TP.LAMINA 220V.100A.TAM-MEDIANO  22X119MM.</v>
          </cell>
        </row>
        <row r="3592">
          <cell r="B3592">
            <v>6112448</v>
          </cell>
          <cell r="C3592" t="str">
            <v>TAL</v>
          </cell>
          <cell r="D3592" t="str">
            <v>FUSIBLE TP.LAMINA 220V.160A.TAM-MEDIANO  22X119MM.</v>
          </cell>
        </row>
        <row r="3593">
          <cell r="B3593">
            <v>6112542</v>
          </cell>
          <cell r="C3593" t="str">
            <v>TAL</v>
          </cell>
          <cell r="D3593" t="str">
            <v>FUSIBLE TP.LAMINA 220V.100A.TAM-GRANDE   42X150MM.</v>
          </cell>
        </row>
        <row r="3594">
          <cell r="B3594">
            <v>6112548</v>
          </cell>
          <cell r="C3594" t="str">
            <v>TAL</v>
          </cell>
          <cell r="D3594" t="str">
            <v>FUSIBLE TP.LAMINA 220V.160A.TAM-GRANDE   42X150MM.</v>
          </cell>
        </row>
        <row r="3595">
          <cell r="B3595">
            <v>6112554</v>
          </cell>
          <cell r="C3595" t="str">
            <v>TAL</v>
          </cell>
          <cell r="D3595" t="str">
            <v>FUSIBLE TP.LAMINA 220V.200A.TAM-GRANDE   42X150MM.</v>
          </cell>
        </row>
        <row r="3596">
          <cell r="B3596">
            <v>6112560</v>
          </cell>
          <cell r="C3596" t="str">
            <v>TAL</v>
          </cell>
          <cell r="D3596" t="str">
            <v>FUSIBLE TP.LAMINA 220V.300A.TAM-GRANDE   42X150MM.</v>
          </cell>
        </row>
        <row r="3597">
          <cell r="B3597">
            <v>6112568</v>
          </cell>
          <cell r="C3597" t="str">
            <v>TAL</v>
          </cell>
          <cell r="D3597" t="str">
            <v>FUSIBLE TP.LAMINA 220V.450A.TAM-GRANDE   42X150MM.</v>
          </cell>
        </row>
        <row r="3598">
          <cell r="B3598">
            <v>6112570</v>
          </cell>
          <cell r="C3598" t="str">
            <v>TAL</v>
          </cell>
          <cell r="D3598" t="str">
            <v>FUSIBLE TP.LAMINA 220V.600A.TAM-GRANDE   42X150MM.</v>
          </cell>
        </row>
        <row r="3599">
          <cell r="B3599">
            <v>6114114</v>
          </cell>
          <cell r="C3599" t="str">
            <v>TIC</v>
          </cell>
          <cell r="D3599" t="str">
            <v>FUSIBLE LIM.CTE.380V.  6A. VERDE  TAM-T   9X32MML.</v>
          </cell>
        </row>
        <row r="3600">
          <cell r="B3600">
            <v>6114515</v>
          </cell>
          <cell r="C3600" t="str">
            <v>FES</v>
          </cell>
          <cell r="D3600" t="str">
            <v>FUSIBLE LIMITADOR CORRIENTE TP. NH TAMANO 00, 500V 160A 120KA</v>
          </cell>
        </row>
        <row r="3601">
          <cell r="B3601">
            <v>6114515</v>
          </cell>
          <cell r="C3601" t="str">
            <v>FES</v>
          </cell>
          <cell r="D3601" t="str">
            <v>FUSIBLE LIMITADOR CORRIENTE TP. NH TAMANO 00, 500V 160A 120KA</v>
          </cell>
        </row>
        <row r="3602">
          <cell r="B3602">
            <v>6114515</v>
          </cell>
          <cell r="C3602" t="str">
            <v>FES</v>
          </cell>
          <cell r="D3602" t="str">
            <v>FUSIBLE LIMITADOR CORRIENTE TP. NH TAMANO 00, 500V 160A 120KA</v>
          </cell>
        </row>
        <row r="3603">
          <cell r="B3603">
            <v>6114515</v>
          </cell>
          <cell r="C3603" t="str">
            <v>FES</v>
          </cell>
          <cell r="D3603" t="str">
            <v>FUSIBLE LIMITADOR CORRIENTE TP. NH TAMANO 00, 500V 160A 120KA</v>
          </cell>
        </row>
        <row r="3604">
          <cell r="B3604">
            <v>6114515</v>
          </cell>
          <cell r="C3604" t="str">
            <v>SBA</v>
          </cell>
          <cell r="D3604" t="str">
            <v>FUSIBLE LIMITADOR CORRIENTE TP. NH TAMANO 00, 500V 160A 120KA</v>
          </cell>
        </row>
        <row r="3605">
          <cell r="B3605">
            <v>6114528</v>
          </cell>
          <cell r="C3605" t="str">
            <v>FES</v>
          </cell>
          <cell r="D3605" t="str">
            <v>FUSIBLE LIMITADOR CORRIENTE TP. NH TAMANO 00, 220V 40A</v>
          </cell>
        </row>
        <row r="3606">
          <cell r="B3606">
            <v>6114528</v>
          </cell>
          <cell r="C3606" t="str">
            <v>FES</v>
          </cell>
          <cell r="D3606" t="str">
            <v>FUSIBLE LIMITADOR CORRIENTE TP. NH TAMANO 00, 220V 40A</v>
          </cell>
        </row>
        <row r="3607">
          <cell r="B3607">
            <v>6114528</v>
          </cell>
          <cell r="C3607" t="str">
            <v>FES</v>
          </cell>
          <cell r="D3607" t="str">
            <v>FUSIBLE LIMITADOR CORRIENTE TP. NH TAMANO 00, 220V 40A</v>
          </cell>
        </row>
        <row r="3608">
          <cell r="B3608">
            <v>6114528</v>
          </cell>
          <cell r="C3608" t="str">
            <v>FES</v>
          </cell>
          <cell r="D3608" t="str">
            <v>FUSIBLE LIMITADOR CORRIENTE TP. NH TAMANO 00, 220V 40A</v>
          </cell>
        </row>
        <row r="3609">
          <cell r="B3609">
            <v>6114528</v>
          </cell>
          <cell r="C3609" t="str">
            <v>LIN</v>
          </cell>
          <cell r="D3609" t="str">
            <v>FUSIBLE LIMITADOR CORRIENTE TP. NH TAMANO 00, 220V 40A</v>
          </cell>
        </row>
        <row r="3610">
          <cell r="B3610">
            <v>6114528</v>
          </cell>
          <cell r="C3610" t="str">
            <v>SBA</v>
          </cell>
          <cell r="D3610" t="str">
            <v>FUSIBLE LIMITADOR CORRIENTE TP. NH TAMANO 00, 220V 40A</v>
          </cell>
        </row>
        <row r="3611">
          <cell r="B3611">
            <v>6114533</v>
          </cell>
          <cell r="C3611" t="str">
            <v>FES</v>
          </cell>
          <cell r="D3611" t="str">
            <v>FUSIBLE LIMITADOR CORRIENTE TP. NH TAMANO 00, 220V 63A</v>
          </cell>
        </row>
        <row r="3612">
          <cell r="B3612">
            <v>6114533</v>
          </cell>
          <cell r="C3612" t="str">
            <v>FES</v>
          </cell>
          <cell r="D3612" t="str">
            <v>FUSIBLE LIMITADOR CORRIENTE TP. NH TAMANO 00, 220V 63A</v>
          </cell>
        </row>
        <row r="3613">
          <cell r="B3613">
            <v>6114533</v>
          </cell>
          <cell r="C3613" t="str">
            <v>FES</v>
          </cell>
          <cell r="D3613" t="str">
            <v>FUSIBLE LIMITADOR CORRIENTE TP. NH TAMANO 00, 220V 63A</v>
          </cell>
        </row>
        <row r="3614">
          <cell r="B3614">
            <v>6114533</v>
          </cell>
          <cell r="C3614" t="str">
            <v>FES</v>
          </cell>
          <cell r="D3614" t="str">
            <v>FUSIBLE LIMITADOR CORRIENTE TP. NH TAMANO 00, 220V 63A</v>
          </cell>
        </row>
        <row r="3615">
          <cell r="B3615">
            <v>6114533</v>
          </cell>
          <cell r="C3615" t="str">
            <v>LIN</v>
          </cell>
          <cell r="D3615" t="str">
            <v>FUSIBLE LIMITADOR CORRIENTE TP. NH TAMANO 00, 220V 63A</v>
          </cell>
        </row>
        <row r="3616">
          <cell r="B3616">
            <v>6114533</v>
          </cell>
          <cell r="C3616" t="str">
            <v>SBA</v>
          </cell>
          <cell r="D3616" t="str">
            <v>FUSIBLE LIMITADOR CORRIENTE TP. NH TAMANO 00, 220V 63A</v>
          </cell>
        </row>
        <row r="3617">
          <cell r="B3617">
            <v>6114538</v>
          </cell>
          <cell r="C3617" t="str">
            <v>FES</v>
          </cell>
          <cell r="D3617" t="str">
            <v>FUSIBLE LIMITADOR CORRIENTE TP. NH TAMANO 00, 220V 80A</v>
          </cell>
        </row>
        <row r="3618">
          <cell r="B3618">
            <v>6114538</v>
          </cell>
          <cell r="C3618" t="str">
            <v>FES</v>
          </cell>
          <cell r="D3618" t="str">
            <v>FUSIBLE LIMITADOR CORRIENTE TP. NH TAMANO 00, 220V 80A</v>
          </cell>
        </row>
        <row r="3619">
          <cell r="B3619">
            <v>6114538</v>
          </cell>
          <cell r="C3619" t="str">
            <v>FES</v>
          </cell>
          <cell r="D3619" t="str">
            <v>FUSIBLE LIMITADOR CORRIENTE TP. NH TAMANO 00, 220V 80A</v>
          </cell>
        </row>
        <row r="3620">
          <cell r="B3620">
            <v>6114538</v>
          </cell>
          <cell r="C3620" t="str">
            <v>FES</v>
          </cell>
          <cell r="D3620" t="str">
            <v>FUSIBLE LIMITADOR CORRIENTE TP. NH TAMANO 00, 220V 80A</v>
          </cell>
        </row>
        <row r="3621">
          <cell r="B3621">
            <v>6114538</v>
          </cell>
          <cell r="C3621" t="str">
            <v>LIN</v>
          </cell>
          <cell r="D3621" t="str">
            <v>FUSIBLE LIMITADOR CORRIENTE TP. NH TAMANO 00, 220V 80A</v>
          </cell>
        </row>
        <row r="3622">
          <cell r="B3622">
            <v>6114538</v>
          </cell>
          <cell r="C3622" t="str">
            <v>SBA</v>
          </cell>
          <cell r="D3622" t="str">
            <v>FUSIBLE LIMITADOR CORRIENTE TP. NH TAMANO 00, 220V 80A</v>
          </cell>
        </row>
        <row r="3623">
          <cell r="B3623">
            <v>6114542</v>
          </cell>
          <cell r="C3623" t="str">
            <v>FES</v>
          </cell>
          <cell r="D3623" t="str">
            <v>FUSIBLE LIMITADOR CORRIENTE TP. NH TAMANO 00, 220V 100A</v>
          </cell>
        </row>
        <row r="3624">
          <cell r="B3624">
            <v>6114542</v>
          </cell>
          <cell r="C3624" t="str">
            <v>FES</v>
          </cell>
          <cell r="D3624" t="str">
            <v>FUSIBLE LIMITADOR CORRIENTE TP. NH TAMANO 00, 220V 100A</v>
          </cell>
        </row>
        <row r="3625">
          <cell r="B3625">
            <v>6114542</v>
          </cell>
          <cell r="C3625" t="str">
            <v>FES</v>
          </cell>
          <cell r="D3625" t="str">
            <v>FUSIBLE LIMITADOR CORRIENTE TP. NH TAMANO 00, 220V 100A</v>
          </cell>
        </row>
        <row r="3626">
          <cell r="B3626">
            <v>6114542</v>
          </cell>
          <cell r="C3626" t="str">
            <v>FES</v>
          </cell>
          <cell r="D3626" t="str">
            <v>FUSIBLE LIMITADOR CORRIENTE TP. NH TAMANO 00, 220V 100A</v>
          </cell>
        </row>
        <row r="3627">
          <cell r="B3627">
            <v>6114542</v>
          </cell>
          <cell r="C3627" t="str">
            <v>LIN</v>
          </cell>
          <cell r="D3627" t="str">
            <v>FUSIBLE LIMITADOR CORRIENTE TP. NH TAMANO 00, 220V 100A</v>
          </cell>
        </row>
        <row r="3628">
          <cell r="B3628">
            <v>6114542</v>
          </cell>
          <cell r="C3628" t="str">
            <v>SBA</v>
          </cell>
          <cell r="D3628" t="str">
            <v>FUSIBLE LIMITADOR CORRIENTE TP. NH TAMANO 00, 220V 100A</v>
          </cell>
        </row>
        <row r="3629">
          <cell r="B3629">
            <v>6114545</v>
          </cell>
          <cell r="C3629" t="str">
            <v>FES</v>
          </cell>
          <cell r="D3629" t="str">
            <v>FUSIBLE LIMITADOR CORRIENTE TP. NH TAMANO 00, 220V 125A</v>
          </cell>
        </row>
        <row r="3630">
          <cell r="B3630">
            <v>6114545</v>
          </cell>
          <cell r="C3630" t="str">
            <v>FES</v>
          </cell>
          <cell r="D3630" t="str">
            <v>FUSIBLE LIMITADOR CORRIENTE TP. NH TAMANO 00, 220V 125A</v>
          </cell>
        </row>
        <row r="3631">
          <cell r="B3631">
            <v>6114545</v>
          </cell>
          <cell r="C3631" t="str">
            <v>FES</v>
          </cell>
          <cell r="D3631" t="str">
            <v>FUSIBLE LIMITADOR CORRIENTE TP. NH TAMANO 00, 220V 125A</v>
          </cell>
        </row>
        <row r="3632">
          <cell r="B3632">
            <v>6114545</v>
          </cell>
          <cell r="C3632" t="str">
            <v>FES</v>
          </cell>
          <cell r="D3632" t="str">
            <v>FUSIBLE LIMITADOR CORRIENTE TP. NH TAMANO 00, 220V 125A</v>
          </cell>
        </row>
        <row r="3633">
          <cell r="B3633">
            <v>6114545</v>
          </cell>
          <cell r="C3633" t="str">
            <v>SBA</v>
          </cell>
          <cell r="D3633" t="str">
            <v>FUSIBLE LIMITADOR CORRIENTE TP. NH TAMANO 00, 220V 125A</v>
          </cell>
        </row>
        <row r="3634">
          <cell r="B3634">
            <v>6114738</v>
          </cell>
          <cell r="C3634" t="str">
            <v>FES</v>
          </cell>
          <cell r="D3634" t="str">
            <v>FUSIBLE LIMITADOR CORRIENTE TP. NH TAMANO 1, 500V 80A</v>
          </cell>
        </row>
        <row r="3635">
          <cell r="B3635">
            <v>6114738</v>
          </cell>
          <cell r="C3635" t="str">
            <v>FES</v>
          </cell>
          <cell r="D3635" t="str">
            <v>FUSIBLE LIMITADOR CORRIENTE TP. NH TAMANO 1, 500V 80A</v>
          </cell>
        </row>
        <row r="3636">
          <cell r="B3636">
            <v>6114738</v>
          </cell>
          <cell r="C3636" t="str">
            <v>FES</v>
          </cell>
          <cell r="D3636" t="str">
            <v>FUSIBLE LIMITADOR CORRIENTE TP. NH TAMANO 1, 500V 80A</v>
          </cell>
        </row>
        <row r="3637">
          <cell r="B3637">
            <v>6114738</v>
          </cell>
          <cell r="C3637" t="str">
            <v>FES</v>
          </cell>
          <cell r="D3637" t="str">
            <v>FUSIBLE LIMITADOR CORRIENTE TP. NH TAMANO 1, 500V 80A</v>
          </cell>
        </row>
        <row r="3638">
          <cell r="B3638">
            <v>6114738</v>
          </cell>
          <cell r="C3638" t="str">
            <v>LIN</v>
          </cell>
          <cell r="D3638" t="str">
            <v>FUSIBLE LIMITADOR CORRIENTE TP. NH TAMANO 1, 500V 80A</v>
          </cell>
        </row>
        <row r="3639">
          <cell r="B3639">
            <v>6114738</v>
          </cell>
          <cell r="C3639" t="str">
            <v>SBA</v>
          </cell>
          <cell r="D3639" t="str">
            <v>FUSIBLE LIMITADOR CORRIENTE TP. NH TAMANO 1, 500V 80A</v>
          </cell>
        </row>
        <row r="3640">
          <cell r="B3640">
            <v>6114743</v>
          </cell>
          <cell r="C3640" t="str">
            <v>FES</v>
          </cell>
          <cell r="D3640" t="str">
            <v>FUSIBLE LIM.CTE. TIPO: NH TAMA¤O-1     220V. 125A.</v>
          </cell>
        </row>
        <row r="3641">
          <cell r="B3641">
            <v>6114743</v>
          </cell>
          <cell r="C3641" t="str">
            <v>FES</v>
          </cell>
          <cell r="D3641" t="str">
            <v>FUSIBLE LIM.CTE. TIPO: NH TAMA¤O-1     220V. 125A.</v>
          </cell>
        </row>
        <row r="3642">
          <cell r="B3642">
            <v>6114743</v>
          </cell>
          <cell r="C3642" t="str">
            <v>FES</v>
          </cell>
          <cell r="D3642" t="str">
            <v>FUSIBLE LIM.CTE. TIPO: NH TAMA¤O-1     220V. 125A.</v>
          </cell>
        </row>
        <row r="3643">
          <cell r="B3643">
            <v>6114743</v>
          </cell>
          <cell r="C3643" t="str">
            <v>FES</v>
          </cell>
          <cell r="D3643" t="str">
            <v>FUSIBLE LIM.CTE. TIPO: NH TAMA¤O-1     220V. 125A.</v>
          </cell>
        </row>
        <row r="3644">
          <cell r="B3644">
            <v>6114743</v>
          </cell>
          <cell r="C3644" t="str">
            <v>LIN</v>
          </cell>
          <cell r="D3644" t="str">
            <v>FUSIBLE LIM.CTE. TIPO: NH TAMA¤O-1     220V. 125A.</v>
          </cell>
        </row>
        <row r="3645">
          <cell r="B3645">
            <v>6114743</v>
          </cell>
          <cell r="C3645" t="str">
            <v>SBA</v>
          </cell>
          <cell r="D3645" t="str">
            <v>FUSIBLE LIM.CTE. TIPO: NH TAMA¤O-1     220V. 125A.</v>
          </cell>
        </row>
        <row r="3646">
          <cell r="B3646">
            <v>6114748</v>
          </cell>
          <cell r="C3646" t="str">
            <v>FES</v>
          </cell>
          <cell r="D3646" t="str">
            <v>FUSIBLE LIMITADOR CORRIENTE TP. NH TAMANO 1, 500V 160A</v>
          </cell>
        </row>
        <row r="3647">
          <cell r="B3647">
            <v>6114748</v>
          </cell>
          <cell r="C3647" t="str">
            <v>FES</v>
          </cell>
          <cell r="D3647" t="str">
            <v>FUSIBLE LIMITADOR CORRIENTE TP. NH TAMANO 1, 500V 160A</v>
          </cell>
        </row>
        <row r="3648">
          <cell r="B3648">
            <v>6114748</v>
          </cell>
          <cell r="C3648" t="str">
            <v>FES</v>
          </cell>
          <cell r="D3648" t="str">
            <v>FUSIBLE LIMITADOR CORRIENTE TP. NH TAMANO 1, 500V 160A</v>
          </cell>
        </row>
        <row r="3649">
          <cell r="B3649">
            <v>6114748</v>
          </cell>
          <cell r="C3649" t="str">
            <v>FES</v>
          </cell>
          <cell r="D3649" t="str">
            <v>FUSIBLE LIMITADOR CORRIENTE TP. NH TAMANO 1, 500V 160A</v>
          </cell>
        </row>
        <row r="3650">
          <cell r="B3650">
            <v>6114748</v>
          </cell>
          <cell r="C3650" t="str">
            <v>LIN</v>
          </cell>
          <cell r="D3650" t="str">
            <v>FUSIBLE LIMITADOR CORRIENTE TP. NH TAMANO 1, 500V 160A</v>
          </cell>
        </row>
        <row r="3651">
          <cell r="B3651">
            <v>6114748</v>
          </cell>
          <cell r="C3651" t="str">
            <v>SBA</v>
          </cell>
          <cell r="D3651" t="str">
            <v>FUSIBLE LIMITADOR CORRIENTE TP. NH TAMANO 1, 500V 160A</v>
          </cell>
        </row>
        <row r="3652">
          <cell r="B3652">
            <v>6114752</v>
          </cell>
          <cell r="C3652" t="str">
            <v>FES</v>
          </cell>
          <cell r="D3652" t="str">
            <v>FUSIBLE LIMITADOR CORRIENTE TP. NH TAMAÑO 1, 500V 200A</v>
          </cell>
        </row>
        <row r="3653">
          <cell r="B3653">
            <v>6114752</v>
          </cell>
          <cell r="C3653" t="str">
            <v>FES</v>
          </cell>
          <cell r="D3653" t="str">
            <v>FUSIBLE LIMITADOR CORRIENTE TP. NH TAMAÑO 1, 500V 200A</v>
          </cell>
        </row>
        <row r="3654">
          <cell r="B3654">
            <v>6114752</v>
          </cell>
          <cell r="C3654" t="str">
            <v>FES</v>
          </cell>
          <cell r="D3654" t="str">
            <v>FUSIBLE LIMITADOR CORRIENTE TP. NH TAMAÑO 1, 500V 200A</v>
          </cell>
        </row>
        <row r="3655">
          <cell r="B3655">
            <v>6114752</v>
          </cell>
          <cell r="C3655" t="str">
            <v>FES</v>
          </cell>
          <cell r="D3655" t="str">
            <v>FUSIBLE LIMITADOR CORRIENTE TP. NH TAMAÑO 1, 500V 200A</v>
          </cell>
        </row>
        <row r="3656">
          <cell r="B3656">
            <v>6114752</v>
          </cell>
          <cell r="C3656" t="str">
            <v>SBA</v>
          </cell>
          <cell r="D3656" t="str">
            <v>FUSIBLE LIMITADOR CORRIENTE TP. NH TAMAÑO 1, 500V 200A</v>
          </cell>
        </row>
        <row r="3657">
          <cell r="B3657">
            <v>6114758</v>
          </cell>
          <cell r="C3657" t="str">
            <v>FES</v>
          </cell>
          <cell r="D3657" t="str">
            <v>FUSIBLE LIMITADOR CORRIENTE TP. NH TAMANO 1, 500V 250A</v>
          </cell>
        </row>
        <row r="3658">
          <cell r="B3658">
            <v>6114758</v>
          </cell>
          <cell r="C3658" t="str">
            <v>FES</v>
          </cell>
          <cell r="D3658" t="str">
            <v>FUSIBLE LIMITADOR CORRIENTE TP. NH TAMANO 1, 500V 250A</v>
          </cell>
        </row>
        <row r="3659">
          <cell r="B3659">
            <v>6114758</v>
          </cell>
          <cell r="C3659" t="str">
            <v>FES</v>
          </cell>
          <cell r="D3659" t="str">
            <v>FUSIBLE LIMITADOR CORRIENTE TP. NH TAMANO 1, 500V 250A</v>
          </cell>
        </row>
        <row r="3660">
          <cell r="B3660">
            <v>6114758</v>
          </cell>
          <cell r="C3660" t="str">
            <v>FES</v>
          </cell>
          <cell r="D3660" t="str">
            <v>FUSIBLE LIMITADOR CORRIENTE TP. NH TAMANO 1, 500V 250A</v>
          </cell>
        </row>
        <row r="3661">
          <cell r="B3661">
            <v>6114758</v>
          </cell>
          <cell r="C3661" t="str">
            <v>LIN</v>
          </cell>
          <cell r="D3661" t="str">
            <v>FUSIBLE LIMITADOR CORRIENTE TP. NH TAMANO 1, 500V 250A</v>
          </cell>
        </row>
        <row r="3662">
          <cell r="B3662">
            <v>6114758</v>
          </cell>
          <cell r="C3662" t="str">
            <v>SBA</v>
          </cell>
          <cell r="D3662" t="str">
            <v>FUSIBLE LIMITADOR CORRIENTE TP. NH TAMANO 1, 500V 250A</v>
          </cell>
        </row>
        <row r="3663">
          <cell r="B3663">
            <v>6114822</v>
          </cell>
          <cell r="C3663" t="str">
            <v>FES</v>
          </cell>
          <cell r="D3663" t="str">
            <v>FUSIBLE LIMITADOR CORRIENTE TP. NH TAMAÑO 2, 220V 200A</v>
          </cell>
        </row>
        <row r="3664">
          <cell r="B3664">
            <v>6114822</v>
          </cell>
          <cell r="C3664" t="str">
            <v>FES</v>
          </cell>
          <cell r="D3664" t="str">
            <v>FUSIBLE LIMITADOR CORRIENTE TP. NH TAMAÑO 2, 220V 200A</v>
          </cell>
        </row>
        <row r="3665">
          <cell r="B3665">
            <v>6114822</v>
          </cell>
          <cell r="C3665" t="str">
            <v>FES</v>
          </cell>
          <cell r="D3665" t="str">
            <v>FUSIBLE LIMITADOR CORRIENTE TP. NH TAMAÑO 2, 220V 200A</v>
          </cell>
        </row>
        <row r="3666">
          <cell r="B3666">
            <v>6114822</v>
          </cell>
          <cell r="C3666" t="str">
            <v>FES</v>
          </cell>
          <cell r="D3666" t="str">
            <v>FUSIBLE LIMITADOR CORRIENTE TP. NH TAMAÑO 2, 220V 200A</v>
          </cell>
        </row>
        <row r="3667">
          <cell r="B3667">
            <v>6114822</v>
          </cell>
          <cell r="C3667" t="str">
            <v>SBA</v>
          </cell>
          <cell r="D3667" t="str">
            <v>FUSIBLE LIMITADOR CORRIENTE TP. NH TAMAÑO 2, 220V 200A</v>
          </cell>
        </row>
        <row r="3668">
          <cell r="B3668">
            <v>6114842</v>
          </cell>
          <cell r="C3668" t="str">
            <v>FES</v>
          </cell>
          <cell r="D3668" t="str">
            <v>FUSIBLE LIMITADOR CORRIENTE TP. NH TAMANO 2, 220V 100A 120KA</v>
          </cell>
        </row>
        <row r="3669">
          <cell r="B3669">
            <v>6114842</v>
          </cell>
          <cell r="C3669" t="str">
            <v>FES</v>
          </cell>
          <cell r="D3669" t="str">
            <v>FUSIBLE LIMITADOR CORRIENTE TP. NH TAMANO 2, 220V 100A 120KA</v>
          </cell>
        </row>
        <row r="3670">
          <cell r="B3670">
            <v>6114842</v>
          </cell>
          <cell r="C3670" t="str">
            <v>FES</v>
          </cell>
          <cell r="D3670" t="str">
            <v>FUSIBLE LIMITADOR CORRIENTE TP. NH TAMANO 2, 220V 100A 120KA</v>
          </cell>
        </row>
        <row r="3671">
          <cell r="B3671">
            <v>6114842</v>
          </cell>
          <cell r="C3671" t="str">
            <v>FES</v>
          </cell>
          <cell r="D3671" t="str">
            <v>FUSIBLE LIMITADOR CORRIENTE TP. NH TAMANO 2, 220V 100A 120KA</v>
          </cell>
        </row>
        <row r="3672">
          <cell r="B3672">
            <v>6114842</v>
          </cell>
          <cell r="C3672" t="str">
            <v>SBA</v>
          </cell>
          <cell r="D3672" t="str">
            <v>FUSIBLE LIMITADOR CORRIENTE TP. NH TAMANO 2, 220V 100A 120KA</v>
          </cell>
        </row>
        <row r="3673">
          <cell r="B3673">
            <v>6114843</v>
          </cell>
          <cell r="C3673" t="str">
            <v>FES</v>
          </cell>
          <cell r="D3673" t="str">
            <v>FUSIBLE LIMITADOR CORRIENTE TP. NH TAMANO 2, 220V 125A 120KA</v>
          </cell>
        </row>
        <row r="3674">
          <cell r="B3674">
            <v>6114843</v>
          </cell>
          <cell r="C3674" t="str">
            <v>FES</v>
          </cell>
          <cell r="D3674" t="str">
            <v>FUSIBLE LIMITADOR CORRIENTE TP. NH TAMANO 2, 220V 125A 120KA</v>
          </cell>
        </row>
        <row r="3675">
          <cell r="B3675">
            <v>6114843</v>
          </cell>
          <cell r="C3675" t="str">
            <v>FES</v>
          </cell>
          <cell r="D3675" t="str">
            <v>FUSIBLE LIMITADOR CORRIENTE TP. NH TAMANO 2, 220V 125A 120KA</v>
          </cell>
        </row>
        <row r="3676">
          <cell r="B3676">
            <v>6114843</v>
          </cell>
          <cell r="C3676" t="str">
            <v>FES</v>
          </cell>
          <cell r="D3676" t="str">
            <v>FUSIBLE LIMITADOR CORRIENTE TP. NH TAMANO 2, 220V 125A 120KA</v>
          </cell>
        </row>
        <row r="3677">
          <cell r="B3677">
            <v>6114843</v>
          </cell>
          <cell r="C3677" t="str">
            <v>SBA</v>
          </cell>
          <cell r="D3677" t="str">
            <v>FUSIBLE LIMITADOR CORRIENTE TP. NH TAMANO 2, 220V 125A 120KA</v>
          </cell>
        </row>
        <row r="3678">
          <cell r="B3678">
            <v>6114848</v>
          </cell>
          <cell r="C3678" t="str">
            <v>FES</v>
          </cell>
          <cell r="D3678" t="str">
            <v>FUSIBLE LIMITADOR CORRIENTE TP. NH TAMANO 2, 220V 160A</v>
          </cell>
        </row>
        <row r="3679">
          <cell r="B3679">
            <v>6114848</v>
          </cell>
          <cell r="C3679" t="str">
            <v>FES</v>
          </cell>
          <cell r="D3679" t="str">
            <v>FUSIBLE LIMITADOR CORRIENTE TP. NH TAMANO 2, 220V 160A</v>
          </cell>
        </row>
        <row r="3680">
          <cell r="B3680">
            <v>6114848</v>
          </cell>
          <cell r="C3680" t="str">
            <v>FES</v>
          </cell>
          <cell r="D3680" t="str">
            <v>FUSIBLE LIMITADOR CORRIENTE TP. NH TAMANO 2, 220V 160A</v>
          </cell>
        </row>
        <row r="3681">
          <cell r="B3681">
            <v>6114848</v>
          </cell>
          <cell r="C3681" t="str">
            <v>FES</v>
          </cell>
          <cell r="D3681" t="str">
            <v>FUSIBLE LIMITADOR CORRIENTE TP. NH TAMANO 2, 220V 160A</v>
          </cell>
        </row>
        <row r="3682">
          <cell r="B3682">
            <v>6114848</v>
          </cell>
          <cell r="C3682" t="str">
            <v>LIN</v>
          </cell>
          <cell r="D3682" t="str">
            <v>FUSIBLE LIMITADOR CORRIENTE TP. NH TAMANO 2, 220V 160A</v>
          </cell>
        </row>
        <row r="3683">
          <cell r="B3683">
            <v>6114848</v>
          </cell>
          <cell r="C3683" t="str">
            <v>SBA</v>
          </cell>
          <cell r="D3683" t="str">
            <v>FUSIBLE LIMITADOR CORRIENTE TP. NH TAMANO 2, 220V 160A</v>
          </cell>
        </row>
        <row r="3684">
          <cell r="B3684">
            <v>6114858</v>
          </cell>
          <cell r="C3684" t="str">
            <v>FES</v>
          </cell>
          <cell r="D3684" t="str">
            <v>FUSIBLE LIMITADOR CORRIENTE TP. NH TAMANO 2, 220V 250A</v>
          </cell>
        </row>
        <row r="3685">
          <cell r="B3685">
            <v>6114858</v>
          </cell>
          <cell r="C3685" t="str">
            <v>FES</v>
          </cell>
          <cell r="D3685" t="str">
            <v>FUSIBLE LIMITADOR CORRIENTE TP. NH TAMANO 2, 220V 250A</v>
          </cell>
        </row>
        <row r="3686">
          <cell r="B3686">
            <v>6114858</v>
          </cell>
          <cell r="C3686" t="str">
            <v>FES</v>
          </cell>
          <cell r="D3686" t="str">
            <v>FUSIBLE LIMITADOR CORRIENTE TP. NH TAMANO 2, 220V 250A</v>
          </cell>
        </row>
        <row r="3687">
          <cell r="B3687">
            <v>6114858</v>
          </cell>
          <cell r="C3687" t="str">
            <v>FES</v>
          </cell>
          <cell r="D3687" t="str">
            <v>FUSIBLE LIMITADOR CORRIENTE TP. NH TAMANO 2, 220V 250A</v>
          </cell>
        </row>
        <row r="3688">
          <cell r="B3688">
            <v>6114858</v>
          </cell>
          <cell r="C3688" t="str">
            <v>LIN</v>
          </cell>
          <cell r="D3688" t="str">
            <v>FUSIBLE LIMITADOR CORRIENTE TP. NH TAMANO 2, 220V 250A</v>
          </cell>
        </row>
        <row r="3689">
          <cell r="B3689">
            <v>6114858</v>
          </cell>
          <cell r="C3689" t="str">
            <v>SBA</v>
          </cell>
          <cell r="D3689" t="str">
            <v>FUSIBLE LIMITADOR CORRIENTE TP. NH TAMANO 2, 220V 250A</v>
          </cell>
        </row>
        <row r="3690">
          <cell r="B3690">
            <v>6114861</v>
          </cell>
          <cell r="C3690" t="str">
            <v>FES</v>
          </cell>
          <cell r="D3690" t="str">
            <v>FUSIBLE LIMITADOR CORRIENTE TP. NH TAMANO 2, 220V 315A</v>
          </cell>
        </row>
        <row r="3691">
          <cell r="B3691">
            <v>6114861</v>
          </cell>
          <cell r="C3691" t="str">
            <v>FES</v>
          </cell>
          <cell r="D3691" t="str">
            <v>FUSIBLE LIMITADOR CORRIENTE TP. NH TAMANO 2, 220V 315A</v>
          </cell>
        </row>
        <row r="3692">
          <cell r="B3692">
            <v>6114861</v>
          </cell>
          <cell r="C3692" t="str">
            <v>FES</v>
          </cell>
          <cell r="D3692" t="str">
            <v>FUSIBLE LIMITADOR CORRIENTE TP. NH TAMANO 2, 220V 315A</v>
          </cell>
        </row>
        <row r="3693">
          <cell r="B3693">
            <v>6114861</v>
          </cell>
          <cell r="C3693" t="str">
            <v>FES</v>
          </cell>
          <cell r="D3693" t="str">
            <v>FUSIBLE LIMITADOR CORRIENTE TP. NH TAMANO 2, 220V 315A</v>
          </cell>
        </row>
        <row r="3694">
          <cell r="B3694">
            <v>6114861</v>
          </cell>
          <cell r="C3694" t="str">
            <v>LIN</v>
          </cell>
          <cell r="D3694" t="str">
            <v>FUSIBLE LIMITADOR CORRIENTE TP. NH TAMANO 2, 220V 315A</v>
          </cell>
        </row>
        <row r="3695">
          <cell r="B3695">
            <v>6114861</v>
          </cell>
          <cell r="C3695" t="str">
            <v>SBA</v>
          </cell>
          <cell r="D3695" t="str">
            <v>FUSIBLE LIMITADOR CORRIENTE TP. NH TAMANO 2, 220V 315A</v>
          </cell>
        </row>
        <row r="3696">
          <cell r="B3696">
            <v>6114866</v>
          </cell>
          <cell r="C3696" t="str">
            <v>FES</v>
          </cell>
          <cell r="D3696" t="str">
            <v>FUSIBLE LIMITADOR CORRIENTE TP. NH TAMANO 2, 220V 400A</v>
          </cell>
        </row>
        <row r="3697">
          <cell r="B3697">
            <v>6114866</v>
          </cell>
          <cell r="C3697" t="str">
            <v>FES</v>
          </cell>
          <cell r="D3697" t="str">
            <v>FUSIBLE LIMITADOR CORRIENTE TP. NH TAMANO 2, 220V 400A</v>
          </cell>
        </row>
        <row r="3698">
          <cell r="B3698">
            <v>6114866</v>
          </cell>
          <cell r="C3698" t="str">
            <v>FES</v>
          </cell>
          <cell r="D3698" t="str">
            <v>FUSIBLE LIMITADOR CORRIENTE TP. NH TAMANO 2, 220V 400A</v>
          </cell>
        </row>
        <row r="3699">
          <cell r="B3699">
            <v>6114866</v>
          </cell>
          <cell r="C3699" t="str">
            <v>FES</v>
          </cell>
          <cell r="D3699" t="str">
            <v>FUSIBLE LIMITADOR CORRIENTE TP. NH TAMANO 2, 220V 400A</v>
          </cell>
        </row>
        <row r="3700">
          <cell r="B3700">
            <v>6114866</v>
          </cell>
          <cell r="C3700" t="str">
            <v>LIN</v>
          </cell>
          <cell r="D3700" t="str">
            <v>FUSIBLE LIMITADOR CORRIENTE TP. NH TAMANO 2, 220V 400A</v>
          </cell>
        </row>
        <row r="3701">
          <cell r="B3701">
            <v>6114866</v>
          </cell>
          <cell r="C3701" t="str">
            <v>SBA</v>
          </cell>
          <cell r="D3701" t="str">
            <v>FUSIBLE LIMITADOR CORRIENTE TP. NH TAMANO 2, 220V 400A</v>
          </cell>
        </row>
        <row r="3702">
          <cell r="B3702">
            <v>6114961</v>
          </cell>
          <cell r="C3702" t="str">
            <v>FES</v>
          </cell>
          <cell r="D3702" t="str">
            <v>FUSIBLE LIMITADOR CORRIENTE TP. NH TAMANO 3, 220V 315A</v>
          </cell>
        </row>
        <row r="3703">
          <cell r="B3703">
            <v>6114961</v>
          </cell>
          <cell r="C3703" t="str">
            <v>FES</v>
          </cell>
          <cell r="D3703" t="str">
            <v>FUSIBLE LIMITADOR CORRIENTE TP. NH TAMANO 3, 220V 315A</v>
          </cell>
        </row>
        <row r="3704">
          <cell r="B3704">
            <v>6114961</v>
          </cell>
          <cell r="C3704" t="str">
            <v>FES</v>
          </cell>
          <cell r="D3704" t="str">
            <v>FUSIBLE LIMITADOR CORRIENTE TP. NH TAMANO 3, 220V 315A</v>
          </cell>
        </row>
        <row r="3705">
          <cell r="B3705">
            <v>6114961</v>
          </cell>
          <cell r="C3705" t="str">
            <v>FES</v>
          </cell>
          <cell r="D3705" t="str">
            <v>FUSIBLE LIMITADOR CORRIENTE TP. NH TAMANO 3, 220V 315A</v>
          </cell>
        </row>
        <row r="3706">
          <cell r="B3706">
            <v>6114961</v>
          </cell>
          <cell r="C3706" t="str">
            <v>LIN</v>
          </cell>
          <cell r="D3706" t="str">
            <v>FUSIBLE LIMITADOR CORRIENTE TP. NH TAMANO 3, 220V 315A</v>
          </cell>
        </row>
        <row r="3707">
          <cell r="B3707">
            <v>6114961</v>
          </cell>
          <cell r="C3707" t="str">
            <v>SBA</v>
          </cell>
          <cell r="D3707" t="str">
            <v>FUSIBLE LIMITADOR CORRIENTE TP. NH TAMANO 3, 220V 315A</v>
          </cell>
        </row>
        <row r="3708">
          <cell r="B3708">
            <v>6114966</v>
          </cell>
          <cell r="C3708" t="str">
            <v>FES</v>
          </cell>
          <cell r="D3708" t="str">
            <v>FUSIBLE LIMITADOR CORRIENTE TP. NH TAMANO 3, 220V 400A</v>
          </cell>
        </row>
        <row r="3709">
          <cell r="B3709">
            <v>6114966</v>
          </cell>
          <cell r="C3709" t="str">
            <v>FES</v>
          </cell>
          <cell r="D3709" t="str">
            <v>FUSIBLE LIMITADOR CORRIENTE TP. NH TAMANO 3, 220V 400A</v>
          </cell>
        </row>
        <row r="3710">
          <cell r="B3710">
            <v>6114966</v>
          </cell>
          <cell r="C3710" t="str">
            <v>FES</v>
          </cell>
          <cell r="D3710" t="str">
            <v>FUSIBLE LIMITADOR CORRIENTE TP. NH TAMANO 3, 220V 400A</v>
          </cell>
        </row>
        <row r="3711">
          <cell r="B3711">
            <v>6114966</v>
          </cell>
          <cell r="C3711" t="str">
            <v>FES</v>
          </cell>
          <cell r="D3711" t="str">
            <v>FUSIBLE LIMITADOR CORRIENTE TP. NH TAMANO 3, 220V 400A</v>
          </cell>
        </row>
        <row r="3712">
          <cell r="B3712">
            <v>6114966</v>
          </cell>
          <cell r="C3712" t="str">
            <v>LIN</v>
          </cell>
          <cell r="D3712" t="str">
            <v>FUSIBLE LIMITADOR CORRIENTE TP. NH TAMANO 3, 220V 400A</v>
          </cell>
        </row>
        <row r="3713">
          <cell r="B3713">
            <v>6114966</v>
          </cell>
          <cell r="C3713" t="str">
            <v>SBA</v>
          </cell>
          <cell r="D3713" t="str">
            <v>FUSIBLE LIMITADOR CORRIENTE TP. NH TAMANO 3, 220V 400A</v>
          </cell>
        </row>
        <row r="3714">
          <cell r="B3714">
            <v>6114969</v>
          </cell>
          <cell r="C3714" t="str">
            <v>FES</v>
          </cell>
          <cell r="D3714" t="str">
            <v>FUSIBLE LIMITADOR CORRIENTE TP. NH TAMANO 3, 220V 500A</v>
          </cell>
        </row>
        <row r="3715">
          <cell r="B3715">
            <v>6114969</v>
          </cell>
          <cell r="C3715" t="str">
            <v>FES</v>
          </cell>
          <cell r="D3715" t="str">
            <v>FUSIBLE LIMITADOR CORRIENTE TP. NH TAMANO 3, 220V 500A</v>
          </cell>
        </row>
        <row r="3716">
          <cell r="B3716">
            <v>6114969</v>
          </cell>
          <cell r="C3716" t="str">
            <v>FES</v>
          </cell>
          <cell r="D3716" t="str">
            <v>FUSIBLE LIMITADOR CORRIENTE TP. NH TAMANO 3, 220V 500A</v>
          </cell>
        </row>
        <row r="3717">
          <cell r="B3717">
            <v>6114969</v>
          </cell>
          <cell r="C3717" t="str">
            <v>FES</v>
          </cell>
          <cell r="D3717" t="str">
            <v>FUSIBLE LIMITADOR CORRIENTE TP. NH TAMANO 3, 220V 500A</v>
          </cell>
        </row>
        <row r="3718">
          <cell r="B3718">
            <v>6114969</v>
          </cell>
          <cell r="C3718" t="str">
            <v>LIN</v>
          </cell>
          <cell r="D3718" t="str">
            <v>FUSIBLE LIMITADOR CORRIENTE TP. NH TAMANO 3, 220V 500A</v>
          </cell>
        </row>
        <row r="3719">
          <cell r="B3719">
            <v>6114969</v>
          </cell>
          <cell r="C3719" t="str">
            <v>SBA</v>
          </cell>
          <cell r="D3719" t="str">
            <v>FUSIBLE LIMITADOR CORRIENTE TP. NH TAMANO 3, 220V 500A</v>
          </cell>
        </row>
        <row r="3720">
          <cell r="B3720">
            <v>6114971</v>
          </cell>
          <cell r="C3720" t="str">
            <v>FES</v>
          </cell>
          <cell r="D3720" t="str">
            <v>FUSIBLE LIMITADOR CORRIENTE TP. NH TAMANO 3, 220V 630A</v>
          </cell>
        </row>
        <row r="3721">
          <cell r="B3721">
            <v>6114971</v>
          </cell>
          <cell r="C3721" t="str">
            <v>FES</v>
          </cell>
          <cell r="D3721" t="str">
            <v>FUSIBLE LIMITADOR CORRIENTE TP. NH TAMANO 3, 220V 630A</v>
          </cell>
        </row>
        <row r="3722">
          <cell r="B3722">
            <v>6114971</v>
          </cell>
          <cell r="C3722" t="str">
            <v>FES</v>
          </cell>
          <cell r="D3722" t="str">
            <v>FUSIBLE LIMITADOR CORRIENTE TP. NH TAMANO 3, 220V 630A</v>
          </cell>
        </row>
        <row r="3723">
          <cell r="B3723">
            <v>6114971</v>
          </cell>
          <cell r="C3723" t="str">
            <v>FES</v>
          </cell>
          <cell r="D3723" t="str">
            <v>FUSIBLE LIMITADOR CORRIENTE TP. NH TAMANO 3, 220V 630A</v>
          </cell>
        </row>
        <row r="3724">
          <cell r="B3724">
            <v>6114971</v>
          </cell>
          <cell r="C3724" t="str">
            <v>LIN</v>
          </cell>
          <cell r="D3724" t="str">
            <v>FUSIBLE LIMITADOR CORRIENTE TP. NH TAMANO 3, 220V 630A</v>
          </cell>
        </row>
        <row r="3725">
          <cell r="B3725">
            <v>6114971</v>
          </cell>
          <cell r="C3725" t="str">
            <v>SBA</v>
          </cell>
          <cell r="D3725" t="str">
            <v>FUSIBLE LIMITADOR CORRIENTE TP. NH TAMANO 3, 220V 630A</v>
          </cell>
        </row>
        <row r="3726">
          <cell r="B3726">
            <v>6114980</v>
          </cell>
          <cell r="C3726" t="str">
            <v>DF</v>
          </cell>
          <cell r="D3726" t="str">
            <v>FUSIBLE LIMITADOR.TP- AM.500V.10A.</v>
          </cell>
        </row>
        <row r="3727">
          <cell r="B3727">
            <v>6114980</v>
          </cell>
          <cell r="C3727" t="str">
            <v>FES</v>
          </cell>
          <cell r="D3727" t="str">
            <v>FUSIBLE LIMITADOR.TP- AM.500V.10A.</v>
          </cell>
        </row>
        <row r="3728">
          <cell r="B3728">
            <v>6131320</v>
          </cell>
          <cell r="C3728" t="str">
            <v>FES</v>
          </cell>
          <cell r="D3728" t="str">
            <v>FUSIBLE LIMITADOR CORRIENTE TP.INTERIOR 15A 10KV 30KA CLASE E P.SECCIONADOR UNIPOLAR</v>
          </cell>
        </row>
        <row r="3729">
          <cell r="B3729">
            <v>6131320</v>
          </cell>
          <cell r="C3729" t="str">
            <v>FES</v>
          </cell>
          <cell r="D3729" t="str">
            <v>FUSIBLE LIMITADOR CORRIENTE TP.INTERIOR 15A 10KV 30KA CLASE E P.SECCIONADOR UNIPOLAR</v>
          </cell>
        </row>
        <row r="3730">
          <cell r="B3730">
            <v>6131322</v>
          </cell>
          <cell r="C3730" t="str">
            <v>FES</v>
          </cell>
          <cell r="D3730" t="str">
            <v>FUSIBLE LIMITADOR CORRIENTE TP.INTERIOR 20A 10KV 30KA CLASE E P.SECCIONADOR UNIPOLAR</v>
          </cell>
        </row>
        <row r="3731">
          <cell r="B3731">
            <v>6131322</v>
          </cell>
          <cell r="C3731" t="str">
            <v>FES</v>
          </cell>
          <cell r="D3731" t="str">
            <v>FUSIBLE LIMITADOR CORRIENTE TP.INTERIOR 20A 10KV 30KA CLASE E P.SECCIONADOR UNIPOLAR</v>
          </cell>
        </row>
        <row r="3732">
          <cell r="B3732">
            <v>6131323</v>
          </cell>
          <cell r="C3732" t="str">
            <v>FES</v>
          </cell>
          <cell r="D3732" t="str">
            <v>FUSIBLE LIMITADOR CORRIENTE TP.INTERIOR 25A 10KV 30KA CLASE E P.SECCIONADOR UNIPOLAR</v>
          </cell>
        </row>
        <row r="3733">
          <cell r="B3733">
            <v>6131323</v>
          </cell>
          <cell r="C3733" t="str">
            <v>FES</v>
          </cell>
          <cell r="D3733" t="str">
            <v>FUSIBLE LIMITADOR CORRIENTE TP.INTERIOR 25A 10KV 30KA CLASE E P.SECCIONADOR UNIPOLAR</v>
          </cell>
        </row>
        <row r="3734">
          <cell r="B3734">
            <v>6131324</v>
          </cell>
          <cell r="C3734" t="str">
            <v>FES</v>
          </cell>
          <cell r="D3734" t="str">
            <v>FUSIBLE LIMITADOR CORRIENTE TP.INTERIOR 30A 10KV 30KA CLASE E P.SECCIONADOR UNIPOLAR</v>
          </cell>
        </row>
        <row r="3735">
          <cell r="B3735">
            <v>6131324</v>
          </cell>
          <cell r="C3735" t="str">
            <v>FES</v>
          </cell>
          <cell r="D3735" t="str">
            <v>FUSIBLE LIMITADOR CORRIENTE TP.INTERIOR 30A 10KV 30KA CLASE E P.SECCIONADOR UNIPOLAR</v>
          </cell>
        </row>
        <row r="3736">
          <cell r="B3736">
            <v>6131327</v>
          </cell>
          <cell r="C3736" t="str">
            <v>FES</v>
          </cell>
          <cell r="D3736" t="str">
            <v>FUSIBLE LIMITADOR CORRIENTE TP.INTERIOR 40A 10KV 30KA CLASE E P.SECCIONADOR UNIPOLAR</v>
          </cell>
        </row>
        <row r="3737">
          <cell r="B3737">
            <v>6131327</v>
          </cell>
          <cell r="C3737" t="str">
            <v>FES</v>
          </cell>
          <cell r="D3737" t="str">
            <v>FUSIBLE LIMITADOR CORRIENTE TP.INTERIOR 40A 10KV 30KA CLASE E P.SECCIONADOR UNIPOLAR</v>
          </cell>
        </row>
        <row r="3738">
          <cell r="B3738">
            <v>6131330</v>
          </cell>
          <cell r="C3738" t="str">
            <v>FES</v>
          </cell>
          <cell r="D3738" t="str">
            <v>FUSIBLE LIMITADOR CORRIENTE TP.INTERIOR 50A 10KV 30KA CLASE E P.SECCIONADOR UNIPOLAR</v>
          </cell>
        </row>
        <row r="3739">
          <cell r="B3739">
            <v>6131330</v>
          </cell>
          <cell r="C3739" t="str">
            <v>FES</v>
          </cell>
          <cell r="D3739" t="str">
            <v>FUSIBLE LIMITADOR CORRIENTE TP.INTERIOR 50A 10KV 30KA CLASE E P.SECCIONADOR UNIPOLAR</v>
          </cell>
        </row>
        <row r="3740">
          <cell r="B3740">
            <v>6131334</v>
          </cell>
          <cell r="C3740" t="str">
            <v>FES</v>
          </cell>
          <cell r="D3740" t="str">
            <v>FUSIBLE LIMITADOR CORRIENTE TP.INTERIOR 65A 10KV 30KA CLASE E P.SECCIONADOR UNIPOLAR</v>
          </cell>
        </row>
        <row r="3741">
          <cell r="B3741">
            <v>6131334</v>
          </cell>
          <cell r="C3741" t="str">
            <v>FES</v>
          </cell>
          <cell r="D3741" t="str">
            <v>FUSIBLE LIMITADOR CORRIENTE TP.INTERIOR 65A 10KV 30KA CLASE E P.SECCIONADOR UNIPOLAR</v>
          </cell>
        </row>
        <row r="3742">
          <cell r="B3742">
            <v>6131338</v>
          </cell>
          <cell r="C3742" t="str">
            <v>FES</v>
          </cell>
          <cell r="D3742" t="str">
            <v>FUSIBLE LIMITADOR CORRIENTE TP.INTERIOR 80A 10KV 30KA CLASE E P.SECCIONADOR UNIPOLAR</v>
          </cell>
        </row>
        <row r="3743">
          <cell r="B3743">
            <v>6131338</v>
          </cell>
          <cell r="C3743" t="str">
            <v>FES</v>
          </cell>
          <cell r="D3743" t="str">
            <v>FUSIBLE LIMITADOR CORRIENTE TP.INTERIOR 80A 10KV 30KA CLASE E P.SECCIONADOR UNIPOLAR</v>
          </cell>
        </row>
        <row r="3744">
          <cell r="B3744">
            <v>6131342</v>
          </cell>
          <cell r="C3744" t="str">
            <v>FES</v>
          </cell>
          <cell r="D3744" t="str">
            <v>FUSIBLE LIMITADOR CORRIENTE TP.INTERIOR 100A 10KV 30KA CLASE E P.SECCIONADOR UNIPOLAR</v>
          </cell>
        </row>
        <row r="3745">
          <cell r="B3745">
            <v>6131342</v>
          </cell>
          <cell r="C3745" t="str">
            <v>FES</v>
          </cell>
          <cell r="D3745" t="str">
            <v>FUSIBLE LIMITADOR CORRIENTE TP.INTERIOR 100A 10KV 30KA CLASE E P.SECCIONADOR UNIPOLAR</v>
          </cell>
        </row>
        <row r="3746">
          <cell r="B3746">
            <v>6131411</v>
          </cell>
          <cell r="C3746" t="str">
            <v>COO</v>
          </cell>
          <cell r="D3746" t="str">
            <v>FUSIBLE LIM.CTE.TP.INT. 10KV.  6A.P.PORTFUS.HERMET</v>
          </cell>
        </row>
        <row r="3747">
          <cell r="B3747">
            <v>6131411</v>
          </cell>
          <cell r="C3747" t="str">
            <v>HTE</v>
          </cell>
          <cell r="D3747" t="str">
            <v>FUSIBLE LIM.CTE.TP.INT. 10KV.  6A.P.PORTFUS.HERMET</v>
          </cell>
        </row>
        <row r="3748">
          <cell r="B3748">
            <v>6131413</v>
          </cell>
          <cell r="C3748" t="str">
            <v>COO</v>
          </cell>
          <cell r="D3748" t="str">
            <v>FUSIBLE LIM.CTE.TP.INT. 10KV.  8A.P.PORTFUS.HERMET</v>
          </cell>
        </row>
        <row r="3749">
          <cell r="B3749">
            <v>6131413</v>
          </cell>
          <cell r="C3749" t="str">
            <v>GEL</v>
          </cell>
          <cell r="D3749" t="str">
            <v>FUSIBLE LIM.CTE.TP.INT. 10KV.  8A.P.PORTFUS.HERMET</v>
          </cell>
        </row>
        <row r="3750">
          <cell r="B3750">
            <v>6131416</v>
          </cell>
          <cell r="C3750" t="str">
            <v>COO</v>
          </cell>
          <cell r="D3750" t="str">
            <v>FUSIBLE LIM.CTE.TP.INT.10KV.10AP/PORTAFUS.HERMET.UNIP.</v>
          </cell>
        </row>
        <row r="3751">
          <cell r="B3751">
            <v>6131416</v>
          </cell>
          <cell r="C3751" t="str">
            <v>HTE</v>
          </cell>
          <cell r="D3751" t="str">
            <v>FUSIBLE LIM.CTE.TP.INT.10KV.10AP/PORTAFUS.HERMET.UNIP.</v>
          </cell>
        </row>
        <row r="3752">
          <cell r="B3752">
            <v>6131418</v>
          </cell>
          <cell r="C3752" t="str">
            <v>COO</v>
          </cell>
          <cell r="D3752" t="str">
            <v>FUSIBLE LIM.CTE.TP.INT. 10KV. 12A.P.PORTFUS.HERMET</v>
          </cell>
        </row>
        <row r="3753">
          <cell r="B3753">
            <v>6131418</v>
          </cell>
          <cell r="C3753" t="str">
            <v>GEL</v>
          </cell>
          <cell r="D3753" t="str">
            <v>FUSIBLE LIM.CTE.TP.INT. 10KV. 12A.P.PORTFUS.HERMET</v>
          </cell>
        </row>
        <row r="3754">
          <cell r="B3754">
            <v>6131420</v>
          </cell>
          <cell r="C3754" t="str">
            <v>COO</v>
          </cell>
          <cell r="D3754" t="str">
            <v>FUSIBLE LIM.CTE.TP.INT.10KV.18A.P/PORTAFUS.HERMET.UNIP.</v>
          </cell>
        </row>
        <row r="3755">
          <cell r="B3755">
            <v>6131420</v>
          </cell>
          <cell r="C3755" t="str">
            <v>HTE</v>
          </cell>
          <cell r="D3755" t="str">
            <v>FUSIBLE LIM.CTE.TP.INT.10KV.18A.P/PORTAFUS.HERMET.UNIP.</v>
          </cell>
        </row>
        <row r="3756">
          <cell r="B3756">
            <v>6131422</v>
          </cell>
          <cell r="C3756" t="str">
            <v>COO</v>
          </cell>
          <cell r="D3756" t="str">
            <v>FUSIBLE LIM.CTE.TP.INT. 10KV. 20A.P.PORTFUS.HERMET</v>
          </cell>
        </row>
        <row r="3757">
          <cell r="B3757">
            <v>6131422</v>
          </cell>
          <cell r="C3757" t="str">
            <v>GEL</v>
          </cell>
          <cell r="D3757" t="str">
            <v>FUSIBLE LIM.CTE.TP.INT. 10KV. 20A.P.PORTFUS.HERMET</v>
          </cell>
        </row>
        <row r="3758">
          <cell r="B3758">
            <v>6131422</v>
          </cell>
          <cell r="C3758" t="str">
            <v>HTE</v>
          </cell>
          <cell r="D3758" t="str">
            <v>FUSIBLE LIM.CTE.TP.INT. 10KV. 20A.P.PORTFUS.HERMET</v>
          </cell>
        </row>
        <row r="3759">
          <cell r="B3759">
            <v>6131424</v>
          </cell>
          <cell r="C3759" t="str">
            <v>COO</v>
          </cell>
          <cell r="D3759" t="str">
            <v>FUSIBLE LIM.CTE.TP.INT.10KV.30A.P/PORTAFUS.HERMET.UNIP.</v>
          </cell>
        </row>
        <row r="3760">
          <cell r="B3760">
            <v>6131424</v>
          </cell>
          <cell r="C3760" t="str">
            <v>HTE</v>
          </cell>
          <cell r="D3760" t="str">
            <v>FUSIBLE LIM.CTE.TP.INT.10KV.30A.P/PORTAFUS.HERMET.UNIP.</v>
          </cell>
        </row>
        <row r="3761">
          <cell r="B3761">
            <v>6131428</v>
          </cell>
          <cell r="C3761" t="str">
            <v>COO</v>
          </cell>
          <cell r="D3761" t="str">
            <v>FUSIBLE LIM.CTE.TP.INT. 10KV. 40A.P.PORTFUS.HERMET</v>
          </cell>
        </row>
        <row r="3762">
          <cell r="B3762">
            <v>6131428</v>
          </cell>
          <cell r="C3762" t="str">
            <v>GEL</v>
          </cell>
          <cell r="D3762" t="str">
            <v>FUSIBLE LIM.CTE.TP.INT. 10KV. 40A.P.PORTFUS.HERMET</v>
          </cell>
        </row>
        <row r="3763">
          <cell r="B3763">
            <v>6131428</v>
          </cell>
          <cell r="C3763" t="str">
            <v>HTE</v>
          </cell>
          <cell r="D3763" t="str">
            <v>FUSIBLE LIM.CTE.TP.INT. 10KV. 40A.P.PORTFUS.HERMET</v>
          </cell>
        </row>
        <row r="3764">
          <cell r="B3764">
            <v>6131544</v>
          </cell>
          <cell r="C3764" t="str">
            <v>CHN</v>
          </cell>
          <cell r="D3764" t="str">
            <v>FUSIBLE EXPULSION   2.3/10KV.140A. P.FUS.SECC.UNIP</v>
          </cell>
        </row>
        <row r="3765">
          <cell r="B3765">
            <v>6131544</v>
          </cell>
          <cell r="C3765" t="str">
            <v>COO</v>
          </cell>
          <cell r="D3765" t="str">
            <v>FUSIBLE EXPULSION   2.3/10KV.140A. P.FUS.SECC.UNIP</v>
          </cell>
        </row>
        <row r="3766">
          <cell r="B3766">
            <v>6131544</v>
          </cell>
          <cell r="C3766" t="str">
            <v>KEA</v>
          </cell>
          <cell r="D3766" t="str">
            <v>FUSIBLE EXPULSION   2.3/10KV.140A. P.FUS.SECC.UNIP</v>
          </cell>
        </row>
        <row r="3767">
          <cell r="B3767">
            <v>6131544</v>
          </cell>
          <cell r="C3767" t="str">
            <v>SCE</v>
          </cell>
          <cell r="D3767" t="str">
            <v>FUSIBLE EXPULSION   2.3/10KV.140A. P.FUS.SECC.UNIP</v>
          </cell>
        </row>
        <row r="3768">
          <cell r="B3768">
            <v>6131554</v>
          </cell>
          <cell r="C3768" t="str">
            <v>CHN</v>
          </cell>
          <cell r="D3768" t="str">
            <v>FUSIBLE EXPULSION   2.3/10KV.200A. P.FUS.SECC.UNIP</v>
          </cell>
        </row>
        <row r="3769">
          <cell r="B3769">
            <v>6131554</v>
          </cell>
          <cell r="C3769" t="str">
            <v>COO</v>
          </cell>
          <cell r="D3769" t="str">
            <v>FUSIBLE EXPULSION   2.3/10KV.200A. P.FUS.SECC.UNIP</v>
          </cell>
        </row>
        <row r="3770">
          <cell r="B3770">
            <v>6131554</v>
          </cell>
          <cell r="C3770" t="str">
            <v>KEA</v>
          </cell>
          <cell r="D3770" t="str">
            <v>FUSIBLE EXPULSION   2.3/10KV.200A. P.FUS.SECC.UNIP</v>
          </cell>
        </row>
        <row r="3771">
          <cell r="B3771">
            <v>6131554</v>
          </cell>
          <cell r="C3771" t="str">
            <v>SCE</v>
          </cell>
          <cell r="D3771" t="str">
            <v>FUSIBLE EXPULSION   2.3/10KV.200A. P.FUS.SECC.UNIP</v>
          </cell>
        </row>
        <row r="3772">
          <cell r="B3772">
            <v>6131608</v>
          </cell>
          <cell r="C3772" t="str">
            <v>ABH</v>
          </cell>
          <cell r="D3772" t="str">
            <v>FUSIBLE DE EXPULSION TIPO K - ANSI CABEZA REMOVIBLE 1A 36KV P.SECCIONADOR FUSIBLE UNIPOLAR</v>
          </cell>
        </row>
        <row r="3773">
          <cell r="B3773">
            <v>6131608</v>
          </cell>
          <cell r="C3773" t="str">
            <v>ABH</v>
          </cell>
          <cell r="D3773" t="str">
            <v>FUSIBLE DE EXPULSION TIPO K - ANSI CABEZA REMOVIBLE 1A 36KV P.SECCIONADOR FUSIBLE UNIPOLAR</v>
          </cell>
        </row>
        <row r="3774">
          <cell r="B3774">
            <v>6131608</v>
          </cell>
          <cell r="C3774" t="str">
            <v>KEA</v>
          </cell>
          <cell r="D3774" t="str">
            <v>FUSIBLE DE EXPULSION TIPO K - ANSI CABEZA REMOVIBLE 1A 36KV P.SECCIONADOR FUSIBLE UNIPOLAR</v>
          </cell>
        </row>
        <row r="3775">
          <cell r="B3775">
            <v>6131608</v>
          </cell>
          <cell r="C3775" t="str">
            <v>KEA</v>
          </cell>
          <cell r="D3775" t="str">
            <v>FUSIBLE DE EXPULSION TIPO K - ANSI CABEZA REMOVIBLE 1A 36KV P.SECCIONADOR FUSIBLE UNIPOLAR</v>
          </cell>
        </row>
        <row r="3776">
          <cell r="B3776">
            <v>6131608</v>
          </cell>
          <cell r="C3776" t="str">
            <v>SCE</v>
          </cell>
          <cell r="D3776" t="str">
            <v>FUSIBLE DE EXPULSION TIPO K - ANSI CABEZA REMOVIBLE 1A 36KV P.SECCIONADOR FUSIBLE UNIPOLAR</v>
          </cell>
        </row>
        <row r="3777">
          <cell r="B3777">
            <v>6131610</v>
          </cell>
          <cell r="C3777" t="str">
            <v>ABH</v>
          </cell>
          <cell r="D3777" t="str">
            <v>FUSIBLE DE EXPULSION TIPO K - ANSI CABEZA REMOVIBLE 3A 36KV P.SECCIONADOR FUSIBLE UNIPOLAR</v>
          </cell>
        </row>
        <row r="3778">
          <cell r="B3778">
            <v>6131610</v>
          </cell>
          <cell r="C3778" t="str">
            <v>ABH</v>
          </cell>
          <cell r="D3778" t="str">
            <v>FUSIBLE DE EXPULSION TIPO K - ANSI CABEZA REMOVIBLE 3A 36KV P.SECCIONADOR FUSIBLE UNIPOLAR</v>
          </cell>
        </row>
        <row r="3779">
          <cell r="B3779">
            <v>6131610</v>
          </cell>
          <cell r="C3779" t="str">
            <v>KEA</v>
          </cell>
          <cell r="D3779" t="str">
            <v>FUSIBLE DE EXPULSION TIPO K - ANSI CABEZA REMOVIBLE 3A 36KV P.SECCIONADOR FUSIBLE UNIPOLAR</v>
          </cell>
        </row>
        <row r="3780">
          <cell r="B3780">
            <v>6131610</v>
          </cell>
          <cell r="C3780" t="str">
            <v>KEA</v>
          </cell>
          <cell r="D3780" t="str">
            <v>FUSIBLE DE EXPULSION TIPO K - ANSI CABEZA REMOVIBLE 3A 36KV P.SECCIONADOR FUSIBLE UNIPOLAR</v>
          </cell>
        </row>
        <row r="3781">
          <cell r="B3781">
            <v>6131610</v>
          </cell>
          <cell r="C3781" t="str">
            <v>SCE</v>
          </cell>
          <cell r="D3781" t="str">
            <v>FUSIBLE DE EXPULSION TIPO K - ANSI CABEZA REMOVIBLE 3A 36KV P.SECCIONADOR FUSIBLE UNIPOLAR</v>
          </cell>
        </row>
        <row r="3782">
          <cell r="B3782">
            <v>6131611</v>
          </cell>
          <cell r="C3782" t="str">
            <v>ABH</v>
          </cell>
          <cell r="D3782" t="str">
            <v>FUSIBLE DE EXPULSION TIPO K - ANSI CABEZA REMOVIBLE 6A 36KV P.SECCIONADOR FUSIBLE UNIPOLAR</v>
          </cell>
        </row>
        <row r="3783">
          <cell r="B3783">
            <v>6131611</v>
          </cell>
          <cell r="C3783" t="str">
            <v>ABH</v>
          </cell>
          <cell r="D3783" t="str">
            <v>FUSIBLE DE EXPULSION TIPO K - ANSI CABEZA REMOVIBLE 6A 36KV P.SECCIONADOR FUSIBLE UNIPOLAR</v>
          </cell>
        </row>
        <row r="3784">
          <cell r="B3784">
            <v>6131611</v>
          </cell>
          <cell r="C3784" t="str">
            <v>KEA</v>
          </cell>
          <cell r="D3784" t="str">
            <v>FUSIBLE DE EXPULSION TIPO K - ANSI CABEZA REMOVIBLE 6A 36KV P.SECCIONADOR FUSIBLE UNIPOLAR</v>
          </cell>
        </row>
        <row r="3785">
          <cell r="B3785">
            <v>6131611</v>
          </cell>
          <cell r="C3785" t="str">
            <v>KEA</v>
          </cell>
          <cell r="D3785" t="str">
            <v>FUSIBLE DE EXPULSION TIPO K - ANSI CABEZA REMOVIBLE 6A 36KV P.SECCIONADOR FUSIBLE UNIPOLAR</v>
          </cell>
        </row>
        <row r="3786">
          <cell r="B3786">
            <v>6131611</v>
          </cell>
          <cell r="C3786" t="str">
            <v>SCE</v>
          </cell>
          <cell r="D3786" t="str">
            <v>FUSIBLE DE EXPULSION TIPO K - ANSI CABEZA REMOVIBLE 6A 36KV P.SECCIONADOR FUSIBLE UNIPOLAR</v>
          </cell>
        </row>
        <row r="3787">
          <cell r="B3787">
            <v>6131612</v>
          </cell>
          <cell r="C3787" t="str">
            <v>ABH</v>
          </cell>
          <cell r="D3787" t="str">
            <v>FUSIBLE DE EXPULSION TIPO K - ANSI CABEZA REMOVIBLE 5A 36KV P.SECCIONADOR FUSIBLE UNIPOLAR</v>
          </cell>
        </row>
        <row r="3788">
          <cell r="B3788">
            <v>6131612</v>
          </cell>
          <cell r="C3788" t="str">
            <v>ABH</v>
          </cell>
          <cell r="D3788" t="str">
            <v>FUSIBLE DE EXPULSION TIPO K - ANSI CABEZA REMOVIBLE 5A 36KV P.SECCIONADOR FUSIBLE UNIPOLAR</v>
          </cell>
        </row>
        <row r="3789">
          <cell r="B3789">
            <v>6131612</v>
          </cell>
          <cell r="C3789" t="str">
            <v>KEA</v>
          </cell>
          <cell r="D3789" t="str">
            <v>FUSIBLE DE EXPULSION TIPO K - ANSI CABEZA REMOVIBLE 5A 36KV P.SECCIONADOR FUSIBLE UNIPOLAR</v>
          </cell>
        </row>
        <row r="3790">
          <cell r="B3790">
            <v>6131612</v>
          </cell>
          <cell r="C3790" t="str">
            <v>KEA</v>
          </cell>
          <cell r="D3790" t="str">
            <v>FUSIBLE DE EXPULSION TIPO K - ANSI CABEZA REMOVIBLE 5A 36KV P.SECCIONADOR FUSIBLE UNIPOLAR</v>
          </cell>
        </row>
        <row r="3791">
          <cell r="B3791">
            <v>6131612</v>
          </cell>
          <cell r="C3791" t="str">
            <v>SCE</v>
          </cell>
          <cell r="D3791" t="str">
            <v>FUSIBLE DE EXPULSION TIPO K - ANSI CABEZA REMOVIBLE 5A 36KV P.SECCIONADOR FUSIBLE UNIPOLAR</v>
          </cell>
        </row>
        <row r="3792">
          <cell r="B3792">
            <v>6131615</v>
          </cell>
          <cell r="C3792" t="str">
            <v>ABH</v>
          </cell>
          <cell r="D3792" t="str">
            <v>FUSIBLE DE EXPULSION TIPO K - ANSI CABEZA REMOVIBLE 8A 36KV P.SECCIONADOR FUSIBLE UNIPOLAR</v>
          </cell>
        </row>
        <row r="3793">
          <cell r="B3793">
            <v>6131615</v>
          </cell>
          <cell r="C3793" t="str">
            <v>ABH</v>
          </cell>
          <cell r="D3793" t="str">
            <v>FUSIBLE DE EXPULSION TIPO K - ANSI CABEZA REMOVIBLE 8A 36KV P.SECCIONADOR FUSIBLE UNIPOLAR</v>
          </cell>
        </row>
        <row r="3794">
          <cell r="B3794">
            <v>6131615</v>
          </cell>
          <cell r="C3794" t="str">
            <v>KEA</v>
          </cell>
          <cell r="D3794" t="str">
            <v>FUSIBLE DE EXPULSION TIPO K - ANSI CABEZA REMOVIBLE 8A 36KV P.SECCIONADOR FUSIBLE UNIPOLAR</v>
          </cell>
        </row>
        <row r="3795">
          <cell r="B3795">
            <v>6131615</v>
          </cell>
          <cell r="C3795" t="str">
            <v>KEA</v>
          </cell>
          <cell r="D3795" t="str">
            <v>FUSIBLE DE EXPULSION TIPO K - ANSI CABEZA REMOVIBLE 8A 36KV P.SECCIONADOR FUSIBLE UNIPOLAR</v>
          </cell>
        </row>
        <row r="3796">
          <cell r="B3796">
            <v>6131615</v>
          </cell>
          <cell r="C3796" t="str">
            <v>SCE</v>
          </cell>
          <cell r="D3796" t="str">
            <v>FUSIBLE DE EXPULSION TIPO K - ANSI CABEZA REMOVIBLE 8A 36KV P.SECCIONADOR FUSIBLE UNIPOLAR</v>
          </cell>
        </row>
        <row r="3797">
          <cell r="B3797">
            <v>6131616</v>
          </cell>
          <cell r="C3797" t="str">
            <v>ABH</v>
          </cell>
          <cell r="D3797" t="str">
            <v>FUSIBLE DE EXPULSION TIPO K - ANSI CABEZA REMOVIBLE 10A 36KV P.SECCIONADOR FUSIBLE UNIPOLAR</v>
          </cell>
        </row>
        <row r="3798">
          <cell r="B3798">
            <v>6131616</v>
          </cell>
          <cell r="C3798" t="str">
            <v>ABH</v>
          </cell>
          <cell r="D3798" t="str">
            <v>FUSIBLE DE EXPULSION TIPO K - ANSI CABEZA REMOVIBLE 10A 36KV P.SECCIONADOR FUSIBLE UNIPOLAR</v>
          </cell>
        </row>
        <row r="3799">
          <cell r="B3799">
            <v>6131616</v>
          </cell>
          <cell r="C3799" t="str">
            <v>KEA</v>
          </cell>
          <cell r="D3799" t="str">
            <v>FUSIBLE DE EXPULSION TIPO K - ANSI CABEZA REMOVIBLE 10A 36KV P.SECCIONADOR FUSIBLE UNIPOLAR</v>
          </cell>
        </row>
        <row r="3800">
          <cell r="B3800">
            <v>6131616</v>
          </cell>
          <cell r="C3800" t="str">
            <v>KEA</v>
          </cell>
          <cell r="D3800" t="str">
            <v>FUSIBLE DE EXPULSION TIPO K - ANSI CABEZA REMOVIBLE 10A 36KV P.SECCIONADOR FUSIBLE UNIPOLAR</v>
          </cell>
        </row>
        <row r="3801">
          <cell r="B3801">
            <v>6131616</v>
          </cell>
          <cell r="C3801" t="str">
            <v>SCE</v>
          </cell>
          <cell r="D3801" t="str">
            <v>FUSIBLE DE EXPULSION TIPO K - ANSI CABEZA REMOVIBLE 10A 36KV P.SECCIONADOR FUSIBLE UNIPOLAR</v>
          </cell>
        </row>
        <row r="3802">
          <cell r="B3802">
            <v>6131617</v>
          </cell>
          <cell r="C3802" t="str">
            <v>ABH</v>
          </cell>
          <cell r="D3802" t="str">
            <v>FUSIBLE DE EXPULSION TIPO K - ANSI CABEZA REMOVIBLE 12A 36KV P.SECCIONADOR FUSIBLE UNIPOLAR</v>
          </cell>
        </row>
        <row r="3803">
          <cell r="B3803">
            <v>6131617</v>
          </cell>
          <cell r="C3803" t="str">
            <v>ABH</v>
          </cell>
          <cell r="D3803" t="str">
            <v>FUSIBLE DE EXPULSION TIPO K - ANSI CABEZA REMOVIBLE 12A 36KV P.SECCIONADOR FUSIBLE UNIPOLAR</v>
          </cell>
        </row>
        <row r="3804">
          <cell r="B3804">
            <v>6131617</v>
          </cell>
          <cell r="C3804" t="str">
            <v>KEA</v>
          </cell>
          <cell r="D3804" t="str">
            <v>FUSIBLE DE EXPULSION TIPO K - ANSI CABEZA REMOVIBLE 12A 36KV P.SECCIONADOR FUSIBLE UNIPOLAR</v>
          </cell>
        </row>
        <row r="3805">
          <cell r="B3805">
            <v>6131617</v>
          </cell>
          <cell r="C3805" t="str">
            <v>KEA</v>
          </cell>
          <cell r="D3805" t="str">
            <v>FUSIBLE DE EXPULSION TIPO K - ANSI CABEZA REMOVIBLE 12A 36KV P.SECCIONADOR FUSIBLE UNIPOLAR</v>
          </cell>
        </row>
        <row r="3806">
          <cell r="B3806">
            <v>6131617</v>
          </cell>
          <cell r="C3806" t="str">
            <v>SCE</v>
          </cell>
          <cell r="D3806" t="str">
            <v>FUSIBLE DE EXPULSION TIPO K - ANSI CABEZA REMOVIBLE 12A 36KV P.SECCIONADOR FUSIBLE UNIPOLAR</v>
          </cell>
        </row>
        <row r="3807">
          <cell r="B3807">
            <v>6131619</v>
          </cell>
          <cell r="C3807" t="str">
            <v>ABH</v>
          </cell>
          <cell r="D3807" t="str">
            <v>FUSIBLE DE EXPULSION TIPO K - ANSI CABEZA REMOVIBLE 15A 36KV P.SECCIONADOR FUSIBLE UNIPOLAR</v>
          </cell>
        </row>
        <row r="3808">
          <cell r="B3808">
            <v>6131619</v>
          </cell>
          <cell r="C3808" t="str">
            <v>ABH</v>
          </cell>
          <cell r="D3808" t="str">
            <v>FUSIBLE DE EXPULSION TIPO K - ANSI CABEZA REMOVIBLE 15A 36KV P.SECCIONADOR FUSIBLE UNIPOLAR</v>
          </cell>
        </row>
        <row r="3809">
          <cell r="B3809">
            <v>6131619</v>
          </cell>
          <cell r="C3809" t="str">
            <v>KEA</v>
          </cell>
          <cell r="D3809" t="str">
            <v>FUSIBLE DE EXPULSION TIPO K - ANSI CABEZA REMOVIBLE 15A 36KV P.SECCIONADOR FUSIBLE UNIPOLAR</v>
          </cell>
        </row>
        <row r="3810">
          <cell r="B3810">
            <v>6131619</v>
          </cell>
          <cell r="C3810" t="str">
            <v>KEA</v>
          </cell>
          <cell r="D3810" t="str">
            <v>FUSIBLE DE EXPULSION TIPO K - ANSI CABEZA REMOVIBLE 15A 36KV P.SECCIONADOR FUSIBLE UNIPOLAR</v>
          </cell>
        </row>
        <row r="3811">
          <cell r="B3811">
            <v>6131619</v>
          </cell>
          <cell r="C3811" t="str">
            <v>SCE</v>
          </cell>
          <cell r="D3811" t="str">
            <v>FUSIBLE DE EXPULSION TIPO K - ANSI CABEZA REMOVIBLE 15A 36KV P.SECCIONADOR FUSIBLE UNIPOLAR</v>
          </cell>
        </row>
        <row r="3812">
          <cell r="B3812">
            <v>6131622</v>
          </cell>
          <cell r="C3812" t="str">
            <v>ABH</v>
          </cell>
          <cell r="D3812" t="str">
            <v>FUSIBLE DE EXPULSION TIPO K - ANSI CABEZA REMOVIBLE 20A 36KV P.SECCIONADOR FUSIBLE UNIPOLAR</v>
          </cell>
        </row>
        <row r="3813">
          <cell r="B3813">
            <v>6131622</v>
          </cell>
          <cell r="C3813" t="str">
            <v>ABH</v>
          </cell>
          <cell r="D3813" t="str">
            <v>FUSIBLE DE EXPULSION TIPO K - ANSI CABEZA REMOVIBLE 20A 36KV P.SECCIONADOR FUSIBLE UNIPOLAR</v>
          </cell>
        </row>
        <row r="3814">
          <cell r="B3814">
            <v>6131622</v>
          </cell>
          <cell r="C3814" t="str">
            <v>KEA</v>
          </cell>
          <cell r="D3814" t="str">
            <v>FUSIBLE DE EXPULSION TIPO K - ANSI CABEZA REMOVIBLE 20A 36KV P.SECCIONADOR FUSIBLE UNIPOLAR</v>
          </cell>
        </row>
        <row r="3815">
          <cell r="B3815">
            <v>6131622</v>
          </cell>
          <cell r="C3815" t="str">
            <v>KEA</v>
          </cell>
          <cell r="D3815" t="str">
            <v>FUSIBLE DE EXPULSION TIPO K - ANSI CABEZA REMOVIBLE 20A 36KV P.SECCIONADOR FUSIBLE UNIPOLAR</v>
          </cell>
        </row>
        <row r="3816">
          <cell r="B3816">
            <v>6131622</v>
          </cell>
          <cell r="C3816" t="str">
            <v>SCE</v>
          </cell>
          <cell r="D3816" t="str">
            <v>FUSIBLE DE EXPULSION TIPO K - ANSI CABEZA REMOVIBLE 20A 36KV P.SECCIONADOR FUSIBLE UNIPOLAR</v>
          </cell>
        </row>
        <row r="3817">
          <cell r="B3817">
            <v>6131623</v>
          </cell>
          <cell r="C3817" t="str">
            <v>ABH</v>
          </cell>
          <cell r="D3817" t="str">
            <v>FUSIBLE DE EXPULSION TIPO K - ANSI CABEZA REMOVIBLE 25A 36KV P.SECCIONADOR FUSIBLE UNIPOLAR</v>
          </cell>
        </row>
        <row r="3818">
          <cell r="B3818">
            <v>6131623</v>
          </cell>
          <cell r="C3818" t="str">
            <v>ABH</v>
          </cell>
          <cell r="D3818" t="str">
            <v>FUSIBLE DE EXPULSION TIPO K - ANSI CABEZA REMOVIBLE 25A 36KV P.SECCIONADOR FUSIBLE UNIPOLAR</v>
          </cell>
        </row>
        <row r="3819">
          <cell r="B3819">
            <v>6131623</v>
          </cell>
          <cell r="C3819" t="str">
            <v>KEA</v>
          </cell>
          <cell r="D3819" t="str">
            <v>FUSIBLE DE EXPULSION TIPO K - ANSI CABEZA REMOVIBLE 25A 36KV P.SECCIONADOR FUSIBLE UNIPOLAR</v>
          </cell>
        </row>
        <row r="3820">
          <cell r="B3820">
            <v>6131623</v>
          </cell>
          <cell r="C3820" t="str">
            <v>KEA</v>
          </cell>
          <cell r="D3820" t="str">
            <v>FUSIBLE DE EXPULSION TIPO K - ANSI CABEZA REMOVIBLE 25A 36KV P.SECCIONADOR FUSIBLE UNIPOLAR</v>
          </cell>
        </row>
        <row r="3821">
          <cell r="B3821">
            <v>6131623</v>
          </cell>
          <cell r="C3821" t="str">
            <v>SCE</v>
          </cell>
          <cell r="D3821" t="str">
            <v>FUSIBLE DE EXPULSION TIPO K - ANSI CABEZA REMOVIBLE 25A 36KV P.SECCIONADOR FUSIBLE UNIPOLAR</v>
          </cell>
        </row>
        <row r="3822">
          <cell r="B3822">
            <v>6131624</v>
          </cell>
          <cell r="C3822" t="str">
            <v>ABH</v>
          </cell>
          <cell r="D3822" t="str">
            <v>FUSIBLE DE EXPULSION TIPO K - ANSI CABEZA REMOVIBLE 30A 36KV P.SECCIONADOR FUSIBLE UNIPOLAR</v>
          </cell>
        </row>
        <row r="3823">
          <cell r="B3823">
            <v>6131624</v>
          </cell>
          <cell r="C3823" t="str">
            <v>ABH</v>
          </cell>
          <cell r="D3823" t="str">
            <v>FUSIBLE DE EXPULSION TIPO K - ANSI CABEZA REMOVIBLE 30A 36KV P.SECCIONADOR FUSIBLE UNIPOLAR</v>
          </cell>
        </row>
        <row r="3824">
          <cell r="B3824">
            <v>6131624</v>
          </cell>
          <cell r="C3824" t="str">
            <v>KEA</v>
          </cell>
          <cell r="D3824" t="str">
            <v>FUSIBLE DE EXPULSION TIPO K - ANSI CABEZA REMOVIBLE 30A 36KV P.SECCIONADOR FUSIBLE UNIPOLAR</v>
          </cell>
        </row>
        <row r="3825">
          <cell r="B3825">
            <v>6131624</v>
          </cell>
          <cell r="C3825" t="str">
            <v>KEA</v>
          </cell>
          <cell r="D3825" t="str">
            <v>FUSIBLE DE EXPULSION TIPO K - ANSI CABEZA REMOVIBLE 30A 36KV P.SECCIONADOR FUSIBLE UNIPOLAR</v>
          </cell>
        </row>
        <row r="3826">
          <cell r="B3826">
            <v>6131624</v>
          </cell>
          <cell r="C3826" t="str">
            <v>SCE</v>
          </cell>
          <cell r="D3826" t="str">
            <v>FUSIBLE DE EXPULSION TIPO K - ANSI CABEZA REMOVIBLE 30A 36KV P.SECCIONADOR FUSIBLE UNIPOLAR</v>
          </cell>
        </row>
        <row r="3827">
          <cell r="B3827">
            <v>6131628</v>
          </cell>
          <cell r="C3827" t="str">
            <v>ABH</v>
          </cell>
          <cell r="D3827" t="str">
            <v>FUSIBLE EXPULSION 10KV. 40A.P.FUS.SECC.UNIP.INTEMP</v>
          </cell>
        </row>
        <row r="3828">
          <cell r="B3828">
            <v>6131628</v>
          </cell>
          <cell r="C3828" t="str">
            <v>ABH</v>
          </cell>
          <cell r="D3828" t="str">
            <v>FUSIBLE EXPULSION 10KV. 40A.P.FUS.SECC.UNIP.INTEMP</v>
          </cell>
        </row>
        <row r="3829">
          <cell r="B3829">
            <v>6131628</v>
          </cell>
          <cell r="C3829" t="str">
            <v>KEA</v>
          </cell>
          <cell r="D3829" t="str">
            <v>FUSIBLE EXPULSION 10KV. 40A.P.FUS.SECC.UNIP.INTEMP</v>
          </cell>
        </row>
        <row r="3830">
          <cell r="B3830">
            <v>6131628</v>
          </cell>
          <cell r="C3830" t="str">
            <v>KEA</v>
          </cell>
          <cell r="D3830" t="str">
            <v>FUSIBLE EXPULSION 10KV. 40A.P.FUS.SECC.UNIP.INTEMP</v>
          </cell>
        </row>
        <row r="3831">
          <cell r="B3831">
            <v>6131628</v>
          </cell>
          <cell r="C3831" t="str">
            <v>SCE</v>
          </cell>
          <cell r="D3831" t="str">
            <v>FUSIBLE EXPULSION 10KV. 40A.P.FUS.SECC.UNIP.INTEMP</v>
          </cell>
        </row>
        <row r="3832">
          <cell r="B3832">
            <v>6131630</v>
          </cell>
          <cell r="C3832" t="str">
            <v>CHN</v>
          </cell>
          <cell r="D3832" t="str">
            <v>FUSIBLE EXPULSION 10KV. 50A.P.FUS.SECC.UNIP.INTEMP</v>
          </cell>
        </row>
        <row r="3833">
          <cell r="B3833">
            <v>6131630</v>
          </cell>
          <cell r="C3833" t="str">
            <v>CHN</v>
          </cell>
          <cell r="D3833" t="str">
            <v>FUSIBLE EXPULSION 10KV. 50A.P.FUS.SECC.UNIP.INTEMP</v>
          </cell>
        </row>
        <row r="3834">
          <cell r="B3834">
            <v>6131630</v>
          </cell>
          <cell r="C3834" t="str">
            <v>KEA</v>
          </cell>
          <cell r="D3834" t="str">
            <v>FUSIBLE EXPULSION 10KV. 50A.P.FUS.SECC.UNIP.INTEMP</v>
          </cell>
        </row>
        <row r="3835">
          <cell r="B3835">
            <v>6131630</v>
          </cell>
          <cell r="C3835" t="str">
            <v>SCE</v>
          </cell>
          <cell r="D3835" t="str">
            <v>FUSIBLE EXPULSION 10KV. 50A.P.FUS.SECC.UNIP.INTEMP</v>
          </cell>
        </row>
        <row r="3836">
          <cell r="B3836">
            <v>6131634</v>
          </cell>
          <cell r="C3836" t="str">
            <v>ABH</v>
          </cell>
          <cell r="D3836" t="str">
            <v>FUSIBLE DE EXPULSION TIPO K - ANSI CABEZA REMOVIBLE 65A 36KV P.SECCIONADOR FUSIBLE UNIPOLAR</v>
          </cell>
        </row>
        <row r="3837">
          <cell r="B3837">
            <v>6131634</v>
          </cell>
          <cell r="C3837" t="str">
            <v>ABH</v>
          </cell>
          <cell r="D3837" t="str">
            <v>FUSIBLE DE EXPULSION TIPO K - ANSI CABEZA REMOVIBLE 65A 36KV P.SECCIONADOR FUSIBLE UNIPOLAR</v>
          </cell>
        </row>
        <row r="3838">
          <cell r="B3838">
            <v>6131634</v>
          </cell>
          <cell r="C3838" t="str">
            <v>KEA</v>
          </cell>
          <cell r="D3838" t="str">
            <v>FUSIBLE DE EXPULSION TIPO K - ANSI CABEZA REMOVIBLE 65A 36KV P.SECCIONADOR FUSIBLE UNIPOLAR</v>
          </cell>
        </row>
        <row r="3839">
          <cell r="B3839">
            <v>6131634</v>
          </cell>
          <cell r="C3839" t="str">
            <v>KEA</v>
          </cell>
          <cell r="D3839" t="str">
            <v>FUSIBLE DE EXPULSION TIPO K - ANSI CABEZA REMOVIBLE 65A 36KV P.SECCIONADOR FUSIBLE UNIPOLAR</v>
          </cell>
        </row>
        <row r="3840">
          <cell r="B3840">
            <v>6131634</v>
          </cell>
          <cell r="C3840" t="str">
            <v>SCE</v>
          </cell>
          <cell r="D3840" t="str">
            <v>FUSIBLE DE EXPULSION TIPO K - ANSI CABEZA REMOVIBLE 65A 36KV P.SECCIONADOR FUSIBLE UNIPOLAR</v>
          </cell>
        </row>
        <row r="3841">
          <cell r="B3841">
            <v>6131638</v>
          </cell>
          <cell r="C3841" t="str">
            <v>ABH</v>
          </cell>
          <cell r="D3841" t="str">
            <v>FUSIBLE DE EXPULSION TIPO K - ANSI CABEZA REMOVIBLE 80A 36KV P.SECCIONADOR FUSIBLE UNIPOLAR</v>
          </cell>
        </row>
        <row r="3842">
          <cell r="B3842">
            <v>6131638</v>
          </cell>
          <cell r="C3842" t="str">
            <v>ABH</v>
          </cell>
          <cell r="D3842" t="str">
            <v>FUSIBLE DE EXPULSION TIPO K - ANSI CABEZA REMOVIBLE 80A 36KV P.SECCIONADOR FUSIBLE UNIPOLAR</v>
          </cell>
        </row>
        <row r="3843">
          <cell r="B3843">
            <v>6131638</v>
          </cell>
          <cell r="C3843" t="str">
            <v>KEA</v>
          </cell>
          <cell r="D3843" t="str">
            <v>FUSIBLE DE EXPULSION TIPO K - ANSI CABEZA REMOVIBLE 80A 36KV P.SECCIONADOR FUSIBLE UNIPOLAR</v>
          </cell>
        </row>
        <row r="3844">
          <cell r="B3844">
            <v>6131638</v>
          </cell>
          <cell r="C3844" t="str">
            <v>KEA</v>
          </cell>
          <cell r="D3844" t="str">
            <v>FUSIBLE DE EXPULSION TIPO K - ANSI CABEZA REMOVIBLE 80A 36KV P.SECCIONADOR FUSIBLE UNIPOLAR</v>
          </cell>
        </row>
        <row r="3845">
          <cell r="B3845">
            <v>6131638</v>
          </cell>
          <cell r="C3845" t="str">
            <v>SCE</v>
          </cell>
          <cell r="D3845" t="str">
            <v>FUSIBLE DE EXPULSION TIPO K - ANSI CABEZA REMOVIBLE 80A 36KV P.SECCIONADOR FUSIBLE UNIPOLAR</v>
          </cell>
        </row>
        <row r="3846">
          <cell r="B3846">
            <v>6131642</v>
          </cell>
          <cell r="C3846" t="str">
            <v>ABH</v>
          </cell>
          <cell r="D3846" t="str">
            <v>FUSIBLE DE EXPULSION TIPO K - ANSI CABEZA REMOVIBLE 100A 36KV P.SECCIONADOR FUSIBLE UNIPOLAR</v>
          </cell>
        </row>
        <row r="3847">
          <cell r="B3847">
            <v>6131642</v>
          </cell>
          <cell r="C3847" t="str">
            <v>ABH</v>
          </cell>
          <cell r="D3847" t="str">
            <v>FUSIBLE DE EXPULSION TIPO K - ANSI CABEZA REMOVIBLE 100A 36KV P.SECCIONADOR FUSIBLE UNIPOLAR</v>
          </cell>
        </row>
        <row r="3848">
          <cell r="B3848">
            <v>6131642</v>
          </cell>
          <cell r="C3848" t="str">
            <v>KEA</v>
          </cell>
          <cell r="D3848" t="str">
            <v>FUSIBLE DE EXPULSION TIPO K - ANSI CABEZA REMOVIBLE 100A 36KV P.SECCIONADOR FUSIBLE UNIPOLAR</v>
          </cell>
        </row>
        <row r="3849">
          <cell r="B3849">
            <v>6131642</v>
          </cell>
          <cell r="C3849" t="str">
            <v>KEA</v>
          </cell>
          <cell r="D3849" t="str">
            <v>FUSIBLE DE EXPULSION TIPO K - ANSI CABEZA REMOVIBLE 100A 36KV P.SECCIONADOR FUSIBLE UNIPOLAR</v>
          </cell>
        </row>
        <row r="3850">
          <cell r="B3850">
            <v>6131642</v>
          </cell>
          <cell r="C3850" t="str">
            <v>SCE</v>
          </cell>
          <cell r="D3850" t="str">
            <v>FUSIBLE DE EXPULSION TIPO K - ANSI CABEZA REMOVIBLE 100A 36KV P.SECCIONADOR FUSIBLE UNIPOLAR</v>
          </cell>
        </row>
        <row r="3851">
          <cell r="B3851">
            <v>6131648</v>
          </cell>
          <cell r="C3851" t="str">
            <v>ABH</v>
          </cell>
          <cell r="D3851" t="str">
            <v>FUSIBLE DE EXPULSION TIPO K - ANSI CABEZA REMOVIBLE 200A 36KV P.SECCIONADOR FUSIBLE UNIPOLAR</v>
          </cell>
        </row>
        <row r="3852">
          <cell r="B3852">
            <v>6131648</v>
          </cell>
          <cell r="C3852" t="str">
            <v>ABH</v>
          </cell>
          <cell r="D3852" t="str">
            <v>FUSIBLE DE EXPULSION TIPO K - ANSI CABEZA REMOVIBLE 200A 36KV P.SECCIONADOR FUSIBLE UNIPOLAR</v>
          </cell>
        </row>
        <row r="3853">
          <cell r="B3853">
            <v>6131648</v>
          </cell>
          <cell r="C3853" t="str">
            <v>KEA</v>
          </cell>
          <cell r="D3853" t="str">
            <v>FUSIBLE DE EXPULSION TIPO K - ANSI CABEZA REMOVIBLE 200A 36KV P.SECCIONADOR FUSIBLE UNIPOLAR</v>
          </cell>
        </row>
        <row r="3854">
          <cell r="B3854">
            <v>6131648</v>
          </cell>
          <cell r="C3854" t="str">
            <v>KEA</v>
          </cell>
          <cell r="D3854" t="str">
            <v>FUSIBLE DE EXPULSION TIPO K - ANSI CABEZA REMOVIBLE 200A 36KV P.SECCIONADOR FUSIBLE UNIPOLAR</v>
          </cell>
        </row>
        <row r="3855">
          <cell r="B3855">
            <v>6131648</v>
          </cell>
          <cell r="C3855" t="str">
            <v>SCE</v>
          </cell>
          <cell r="D3855" t="str">
            <v>FUSIBLE DE EXPULSION TIPO K - ANSI CABEZA REMOVIBLE 200A 36KV P.SECCIONADOR FUSIBLE UNIPOLAR</v>
          </cell>
        </row>
        <row r="3856">
          <cell r="B3856">
            <v>6132342</v>
          </cell>
          <cell r="C3856" t="str">
            <v>EFN</v>
          </cell>
          <cell r="D3856" t="str">
            <v>FUSIBLE LIMITADOR DE CORRIENTE TP.INTERIOR 100A 10KV 31,5KA P.SECCIONADOR FUSIBLE DE POTENCIA</v>
          </cell>
        </row>
        <row r="3857">
          <cell r="B3857">
            <v>6132342</v>
          </cell>
          <cell r="C3857" t="str">
            <v>EFN</v>
          </cell>
          <cell r="D3857" t="str">
            <v>FUSIBLE LIMITADOR DE CORRIENTE TP.INTERIOR 100A 10KV 31,5KA P.SECCIONADOR FUSIBLE DE POTENCIA</v>
          </cell>
        </row>
        <row r="3858">
          <cell r="B3858">
            <v>6132342</v>
          </cell>
          <cell r="C3858" t="str">
            <v>SBA</v>
          </cell>
          <cell r="D3858" t="str">
            <v>FUSIBLE LIMITADOR DE CORRIENTE TP.INTERIOR 100A 10KV 31,5KA P.SECCIONADOR FUSIBLE DE POTENCIA</v>
          </cell>
        </row>
        <row r="3859">
          <cell r="B3859">
            <v>6132342</v>
          </cell>
          <cell r="C3859" t="str">
            <v>SCN</v>
          </cell>
          <cell r="D3859" t="str">
            <v>FUSIBLE LIMITADOR DE CORRIENTE TP.INTERIOR 100A 10KV 31,5KA P.SECCIONADOR FUSIBLE DE POTENCIA</v>
          </cell>
        </row>
        <row r="3860">
          <cell r="B3860">
            <v>6132343</v>
          </cell>
          <cell r="C3860" t="str">
            <v>EFN</v>
          </cell>
          <cell r="D3860" t="str">
            <v>FUSIBLE LIMITADOR DE CORRIENTE TP.INTERIOR 125A 10KV 31,5KA P.SECCIONADOR FUSIBLE DE POTENCIA</v>
          </cell>
        </row>
        <row r="3861">
          <cell r="B3861">
            <v>6132343</v>
          </cell>
          <cell r="C3861" t="str">
            <v>EFN</v>
          </cell>
          <cell r="D3861" t="str">
            <v>FUSIBLE LIMITADOR DE CORRIENTE TP.INTERIOR 125A 10KV 31,5KA P.SECCIONADOR FUSIBLE DE POTENCIA</v>
          </cell>
        </row>
        <row r="3862">
          <cell r="B3862">
            <v>6132343</v>
          </cell>
          <cell r="C3862" t="str">
            <v>SBA</v>
          </cell>
          <cell r="D3862" t="str">
            <v>FUSIBLE LIMITADOR DE CORRIENTE TP.INTERIOR 125A 10KV 31,5KA P.SECCIONADOR FUSIBLE DE POTENCIA</v>
          </cell>
        </row>
        <row r="3863">
          <cell r="B3863">
            <v>6133328</v>
          </cell>
          <cell r="C3863" t="str">
            <v>SBA</v>
          </cell>
          <cell r="D3863" t="str">
            <v>FUSIBLE LIM.CTE.TP.INT.   20KV. 40A. SECC.FUS.TRIP</v>
          </cell>
        </row>
        <row r="3864">
          <cell r="B3864">
            <v>6133350</v>
          </cell>
          <cell r="C3864" t="str">
            <v>EFN</v>
          </cell>
          <cell r="D3864" t="str">
            <v>FUSIBLE LIMITADOR DE CORRIENTE TP.INTERIOR 100A 22,9KV 31,5KA P.SECCIONADOR FUSIBLE DE POTENCIA</v>
          </cell>
        </row>
        <row r="3865">
          <cell r="B3865">
            <v>6133350</v>
          </cell>
          <cell r="C3865" t="str">
            <v>EFN</v>
          </cell>
          <cell r="D3865" t="str">
            <v>FUSIBLE LIMITADOR DE CORRIENTE TP.INTERIOR 100A 22,9KV 31,5KA P.SECCIONADOR FUSIBLE DE POTENCIA</v>
          </cell>
        </row>
        <row r="3866">
          <cell r="B3866">
            <v>6133350</v>
          </cell>
          <cell r="C3866" t="str">
            <v>SBA</v>
          </cell>
          <cell r="D3866" t="str">
            <v>FUSIBLE LIMITADOR DE CORRIENTE TP.INTERIOR 100A 22,9KV 31,5KA P.SECCIONADOR FUSIBLE DE POTENCIA</v>
          </cell>
        </row>
        <row r="3867">
          <cell r="B3867">
            <v>6133350</v>
          </cell>
          <cell r="C3867" t="str">
            <v>SCN</v>
          </cell>
          <cell r="D3867" t="str">
            <v>FUSIBLE LIMITADOR DE CORRIENTE TP.INTERIOR 100A 22,9KV 31,5KA P.SECCIONADOR FUSIBLE DE POTENCIA</v>
          </cell>
        </row>
        <row r="3868">
          <cell r="B3868">
            <v>6133354</v>
          </cell>
          <cell r="C3868" t="str">
            <v>EFN</v>
          </cell>
          <cell r="D3868" t="str">
            <v>FUSIBLE LIMITADOR DE CORRIENTE TP.INTERIOR 125A 22,9KV 31,5KA P.SECCIONADOR FUSIBLE DE POTENCIA</v>
          </cell>
        </row>
        <row r="3869">
          <cell r="B3869">
            <v>6133354</v>
          </cell>
          <cell r="C3869" t="str">
            <v>EFN</v>
          </cell>
          <cell r="D3869" t="str">
            <v>FUSIBLE LIMITADOR DE CORRIENTE TP.INTERIOR 125A 22,9KV 31,5KA P.SECCIONADOR FUSIBLE DE POTENCIA</v>
          </cell>
        </row>
        <row r="3870">
          <cell r="B3870">
            <v>6133354</v>
          </cell>
          <cell r="C3870" t="str">
            <v>SBA</v>
          </cell>
          <cell r="D3870" t="str">
            <v>FUSIBLE LIMITADOR DE CORRIENTE TP.INTERIOR 125A 22,9KV 31,5KA P.SECCIONADOR FUSIBLE DE POTENCIA</v>
          </cell>
        </row>
        <row r="3871">
          <cell r="B3871">
            <v>6133706</v>
          </cell>
          <cell r="C3871" t="str">
            <v>FES</v>
          </cell>
          <cell r="D3871" t="str">
            <v>FUSIBLE LIMITADOR CORRIENTE TP.INTERIOR 5A 22,9KV 31,5KA CLASE E P.SECCIONADOR UNIPOLAR</v>
          </cell>
        </row>
        <row r="3872">
          <cell r="B3872">
            <v>6133706</v>
          </cell>
          <cell r="C3872" t="str">
            <v>FES</v>
          </cell>
          <cell r="D3872" t="str">
            <v>FUSIBLE LIMITADOR CORRIENTE TP.INTERIOR 5A 22,9KV 31,5KA CLASE E P.SECCIONADOR UNIPOLAR</v>
          </cell>
        </row>
        <row r="3873">
          <cell r="B3873">
            <v>6133710</v>
          </cell>
          <cell r="C3873" t="str">
            <v>FES</v>
          </cell>
          <cell r="D3873" t="str">
            <v>FUSIBLE LIMITADOR CORRIENTE TP.INTERIOR 10A 22,9KV 31,5KA CLASE E P.SECCIONADOR UNIPOLAR</v>
          </cell>
        </row>
        <row r="3874">
          <cell r="B3874">
            <v>6133710</v>
          </cell>
          <cell r="C3874" t="str">
            <v>FES</v>
          </cell>
          <cell r="D3874" t="str">
            <v>FUSIBLE LIMITADOR CORRIENTE TP.INTERIOR 10A 22,9KV 31,5KA CLASE E P.SECCIONADOR UNIPOLAR</v>
          </cell>
        </row>
        <row r="3875">
          <cell r="B3875">
            <v>6133714</v>
          </cell>
          <cell r="C3875" t="str">
            <v>FES</v>
          </cell>
          <cell r="D3875" t="str">
            <v>FUSIBLE LIMITADOR CORRIENTE TP.INTERIOR 15A 22,9KV 31,5KA CLASE E P.SECCIONADOR UNIPOLAR</v>
          </cell>
        </row>
        <row r="3876">
          <cell r="B3876">
            <v>6133714</v>
          </cell>
          <cell r="C3876" t="str">
            <v>FES</v>
          </cell>
          <cell r="D3876" t="str">
            <v>FUSIBLE LIMITADOR CORRIENTE TP.INTERIOR 15A 22,9KV 31,5KA CLASE E P.SECCIONADOR UNIPOLAR</v>
          </cell>
        </row>
        <row r="3877">
          <cell r="B3877">
            <v>6133722</v>
          </cell>
          <cell r="C3877" t="str">
            <v>FES</v>
          </cell>
          <cell r="D3877" t="str">
            <v>FUSIBLE LIMITADOR CORRIENTE TP.INTERIOR 20A 22,9KV 31,5KA CLASE E P.SECCIONADOR UNIPOLAR</v>
          </cell>
        </row>
        <row r="3878">
          <cell r="B3878">
            <v>6133722</v>
          </cell>
          <cell r="C3878" t="str">
            <v>FES</v>
          </cell>
          <cell r="D3878" t="str">
            <v>FUSIBLE LIMITADOR CORRIENTE TP.INTERIOR 20A 22,9KV 31,5KA CLASE E P.SECCIONADOR UNIPOLAR</v>
          </cell>
        </row>
        <row r="3879">
          <cell r="B3879">
            <v>6133730</v>
          </cell>
          <cell r="C3879" t="str">
            <v>FES</v>
          </cell>
          <cell r="D3879" t="str">
            <v>FUSIBLE LIMITADOR CORRIENTE TP.INTERIOR 30A 22,9KV 31,5KA CLASE E P.SECCIONADOR UNIPOLAR</v>
          </cell>
        </row>
        <row r="3880">
          <cell r="B3880">
            <v>6133730</v>
          </cell>
          <cell r="C3880" t="str">
            <v>FES</v>
          </cell>
          <cell r="D3880" t="str">
            <v>FUSIBLE LIMITADOR CORRIENTE TP.INTERIOR 30A 22,9KV 31,5KA CLASE E P.SECCIONADOR UNIPOLAR</v>
          </cell>
        </row>
        <row r="3881">
          <cell r="B3881">
            <v>6133734</v>
          </cell>
          <cell r="C3881" t="str">
            <v>FES</v>
          </cell>
          <cell r="D3881" t="str">
            <v>FUSIBLE LIMITADOR CORRIENTE TP.INTERIOR 50A 22,9KV 31,5KA CLASE E P.SECCIONADOR UNIPOLAR</v>
          </cell>
        </row>
        <row r="3882">
          <cell r="B3882">
            <v>6133734</v>
          </cell>
          <cell r="C3882" t="str">
            <v>FES</v>
          </cell>
          <cell r="D3882" t="str">
            <v>FUSIBLE LIMITADOR CORRIENTE TP.INTERIOR 50A 22,9KV 31,5KA CLASE E P.SECCIONADOR UNIPOLAR</v>
          </cell>
        </row>
        <row r="3883">
          <cell r="B3883">
            <v>6162112</v>
          </cell>
          <cell r="C3883" t="str">
            <v>FAS</v>
          </cell>
          <cell r="D3883" t="str">
            <v>BASE PORTAFUS.UNIP. TP.F     220V.  450A. PREPAR. FUS. LAM</v>
          </cell>
        </row>
        <row r="3884">
          <cell r="B3884">
            <v>6162112</v>
          </cell>
          <cell r="C3884" t="str">
            <v>IBR</v>
          </cell>
          <cell r="D3884" t="str">
            <v>BASE PORTAFUS.UNIP. TP.F     220V.  450A. PREPAR. FUS. LAM</v>
          </cell>
        </row>
        <row r="3885">
          <cell r="B3885">
            <v>6162112</v>
          </cell>
          <cell r="C3885" t="str">
            <v>IPR</v>
          </cell>
          <cell r="D3885" t="str">
            <v>BASE PORTAFUS.UNIP. TP.F     220V.  450A. PREPAR. FUS. LAM</v>
          </cell>
        </row>
        <row r="3886">
          <cell r="B3886">
            <v>6162213</v>
          </cell>
          <cell r="C3886" t="str">
            <v>FAS</v>
          </cell>
          <cell r="D3886" t="str">
            <v>BASE PORTAFUS.UNIP. TP.TC-30 220V.S/PREPAR.FUS.LAM. 160A.</v>
          </cell>
        </row>
        <row r="3887">
          <cell r="B3887">
            <v>6162312</v>
          </cell>
          <cell r="C3887" t="str">
            <v>FAS</v>
          </cell>
          <cell r="D3887" t="str">
            <v>BASE PORTAFUS.TRIP. TP.T -30 220V. 100A. PREPAR.FUS.LAM</v>
          </cell>
        </row>
        <row r="3888">
          <cell r="B3888">
            <v>6162312</v>
          </cell>
          <cell r="C3888" t="str">
            <v>IAT</v>
          </cell>
          <cell r="D3888" t="str">
            <v>BASE PORTAFUS.TRIP. TP.T -30 220V. 100A. PREPAR.FUS.LAM</v>
          </cell>
        </row>
        <row r="3889">
          <cell r="B3889">
            <v>6162412</v>
          </cell>
          <cell r="C3889" t="str">
            <v>IDS</v>
          </cell>
          <cell r="D3889" t="str">
            <v>BASE PORTAFUSIBLE LOZA BIP.  220V. P.FUSIBLE TP.C</v>
          </cell>
        </row>
        <row r="3890">
          <cell r="B3890">
            <v>6162412</v>
          </cell>
          <cell r="C3890" t="str">
            <v>RNS</v>
          </cell>
          <cell r="D3890" t="str">
            <v>BASE PORTAFUSIBLE LOZA BIP.  220V. P.FUSIBLE TP.C</v>
          </cell>
        </row>
        <row r="3891">
          <cell r="B3891">
            <v>6162412</v>
          </cell>
          <cell r="C3891" t="str">
            <v>TAL</v>
          </cell>
          <cell r="D3891" t="str">
            <v>BASE PORTAFUSIBLE LOZA BIP.  220V. P.FUSIBLE TP.C</v>
          </cell>
        </row>
        <row r="3892">
          <cell r="B3892">
            <v>6162512</v>
          </cell>
          <cell r="C3892" t="str">
            <v>IDS</v>
          </cell>
          <cell r="D3892" t="str">
            <v>BASE PORTAFUSIBLE LOZA TRIP. 220V. P.FUSIBLE TP.C</v>
          </cell>
        </row>
        <row r="3893">
          <cell r="B3893">
            <v>6162512</v>
          </cell>
          <cell r="C3893" t="str">
            <v>RNS</v>
          </cell>
          <cell r="D3893" t="str">
            <v>BASE PORTAFUSIBLE LOZA TRIP. 220V. P.FUSIBLE TP.C</v>
          </cell>
        </row>
        <row r="3894">
          <cell r="B3894">
            <v>6162512</v>
          </cell>
          <cell r="C3894" t="str">
            <v>TAL</v>
          </cell>
          <cell r="D3894" t="str">
            <v>BASE PORTAFUSIBLE LOZA TRIP. 220V. P.FUSIBLE TP.C</v>
          </cell>
        </row>
        <row r="3895">
          <cell r="B3895">
            <v>6164331</v>
          </cell>
          <cell r="C3895" t="str">
            <v>FES</v>
          </cell>
          <cell r="D3895" t="str">
            <v>PORTAFUSIBLE UNIP.EXTERIOR 30A 600V. PARA A.P.</v>
          </cell>
        </row>
        <row r="3896">
          <cell r="B3896">
            <v>6164420</v>
          </cell>
          <cell r="C3896" t="str">
            <v>TIC</v>
          </cell>
          <cell r="D3896" t="str">
            <v>PORTAFUSIBLE BIP. 380V. 16A. FUS.LIM.CTE. T -VERDE</v>
          </cell>
        </row>
        <row r="3897">
          <cell r="B3897">
            <v>6164421</v>
          </cell>
          <cell r="C3897" t="str">
            <v>FES</v>
          </cell>
          <cell r="D3897" t="str">
            <v>PORTAFUSIBLE BIP.INT. 30A. 600V.  PARA A.P.</v>
          </cell>
        </row>
        <row r="3898">
          <cell r="B3898">
            <v>6164421</v>
          </cell>
          <cell r="C3898" t="str">
            <v>LTT</v>
          </cell>
          <cell r="D3898" t="str">
            <v>PORTAFUSIBLE BIP.INT. 30A. 600V.  PARA A.P.</v>
          </cell>
        </row>
        <row r="3899">
          <cell r="B3899">
            <v>6166558</v>
          </cell>
          <cell r="C3899" t="str">
            <v>SBA</v>
          </cell>
          <cell r="D3899" t="str">
            <v>BASE PORTAFUS.UNIP. 600V. 250A.    P.FUS.NH TAM-1</v>
          </cell>
        </row>
        <row r="3900">
          <cell r="B3900">
            <v>6166558</v>
          </cell>
          <cell r="C3900" t="str">
            <v>SIG</v>
          </cell>
          <cell r="D3900" t="str">
            <v>BASE PORTAFUS.UNIP. 600V. 250A.    P.FUS.NH TAM-1</v>
          </cell>
        </row>
        <row r="3901">
          <cell r="B3901">
            <v>6166566</v>
          </cell>
          <cell r="C3901" t="str">
            <v>SBA</v>
          </cell>
          <cell r="D3901" t="str">
            <v>BASE PORTAFUS.UNIP. 600V. 400A.    P.FUS.NH TAM-2</v>
          </cell>
        </row>
        <row r="3902">
          <cell r="B3902">
            <v>6166566</v>
          </cell>
          <cell r="C3902" t="str">
            <v>SIG</v>
          </cell>
          <cell r="D3902" t="str">
            <v>BASE PORTAFUS.UNIP. 600V. 400A.    P.FUS.NH TAM-2</v>
          </cell>
        </row>
        <row r="3903">
          <cell r="B3903">
            <v>6171554</v>
          </cell>
          <cell r="C3903" t="str">
            <v>ABB</v>
          </cell>
          <cell r="D3903" t="str">
            <v>PORTAFUSIBLE UNIP.HERMET. TP.SUMERGIDO  10KV. 200A</v>
          </cell>
        </row>
        <row r="3904">
          <cell r="B3904">
            <v>6171554</v>
          </cell>
          <cell r="C3904" t="str">
            <v>KUL</v>
          </cell>
          <cell r="D3904" t="str">
            <v>PORTAFUSIBLE UNIP.HERMET. TP.SUMERGIDO  10KV. 200A</v>
          </cell>
        </row>
        <row r="3905">
          <cell r="B3905">
            <v>6193354</v>
          </cell>
          <cell r="C3905" t="str">
            <v>FEL</v>
          </cell>
          <cell r="D3905" t="str">
            <v>FUSIBLE SECC.UNIP.TP.INT.10KV.200A.P.TRANSF.CONV.</v>
          </cell>
        </row>
        <row r="3906">
          <cell r="B3906">
            <v>6193354</v>
          </cell>
          <cell r="C3906" t="str">
            <v>TAS</v>
          </cell>
          <cell r="D3906" t="str">
            <v>FUSIBLE SECC.UNIP.TP.INT.10KV.200A.P.TRANSF.CONV.</v>
          </cell>
        </row>
        <row r="3907">
          <cell r="B3907">
            <v>6193441</v>
          </cell>
          <cell r="C3907" t="str">
            <v>ABB</v>
          </cell>
          <cell r="D3907" t="str">
            <v>FUSIBLE SECC.UNIP. AEREO 10KV, 100A, MINIMO 95KV BIL, 12KA</v>
          </cell>
        </row>
        <row r="3908">
          <cell r="B3908">
            <v>6193441</v>
          </cell>
          <cell r="C3908" t="str">
            <v>ABH</v>
          </cell>
          <cell r="D3908" t="str">
            <v>FUSIBLE SECC.UNIP. AEREO 10KV, 100A, MINIMO 95KV BIL, 12KA</v>
          </cell>
        </row>
        <row r="3909">
          <cell r="B3909">
            <v>6193441</v>
          </cell>
          <cell r="C3909" t="str">
            <v>SCE</v>
          </cell>
          <cell r="D3909" t="str">
            <v>FUSIBLE SECC.UNIP. AEREO 10KV, 100A, MINIMO 95KV BIL, 12KA</v>
          </cell>
        </row>
        <row r="3910">
          <cell r="B3910">
            <v>6193441</v>
          </cell>
          <cell r="C3910" t="str">
            <v>SCE</v>
          </cell>
          <cell r="D3910" t="str">
            <v>FUSIBLE SECC.UNIP. AEREO 10KV, 100A, MINIMO 95KV BIL, 12KA</v>
          </cell>
        </row>
        <row r="3911">
          <cell r="B3911">
            <v>6193441</v>
          </cell>
          <cell r="C3911" t="str">
            <v>SIL</v>
          </cell>
          <cell r="D3911" t="str">
            <v>FUSIBLE SECC.UNIP. AEREO 10KV, 100A, MINIMO 95KV BIL, 12KA</v>
          </cell>
        </row>
        <row r="3912">
          <cell r="B3912">
            <v>6193442</v>
          </cell>
          <cell r="C3912" t="str">
            <v>CHN</v>
          </cell>
          <cell r="D3912" t="str">
            <v>FUSIBLE SECC.UNIP.AEREO 100A.10KV.CORR.SEVERA</v>
          </cell>
        </row>
        <row r="3913">
          <cell r="B3913">
            <v>6193442</v>
          </cell>
          <cell r="C3913" t="str">
            <v>SCE</v>
          </cell>
          <cell r="D3913" t="str">
            <v>FUSIBLE SECC.UNIP.AEREO 100A.10KV.CORR.SEVERA</v>
          </cell>
        </row>
        <row r="3914">
          <cell r="B3914">
            <v>6193445</v>
          </cell>
          <cell r="C3914" t="str">
            <v>ABH</v>
          </cell>
          <cell r="D3914" t="str">
            <v>FUSIBLE SECC.UNIP.AEREO 100A.10KV.CORR.MODERADA</v>
          </cell>
        </row>
        <row r="3915">
          <cell r="B3915">
            <v>6193445</v>
          </cell>
          <cell r="C3915" t="str">
            <v>SCE</v>
          </cell>
          <cell r="D3915" t="str">
            <v>FUSIBLE SECC.UNIP.AEREO 100A.10KV.CORR.MODERADA</v>
          </cell>
        </row>
        <row r="3916">
          <cell r="B3916">
            <v>6193454</v>
          </cell>
          <cell r="C3916" t="str">
            <v>ABH</v>
          </cell>
          <cell r="D3916" t="str">
            <v>FUSIBLE SECC. UNIP. AEREO 200A.10KV.CORR.MODERADA</v>
          </cell>
        </row>
        <row r="3917">
          <cell r="B3917">
            <v>6193454</v>
          </cell>
          <cell r="C3917" t="str">
            <v>SCE</v>
          </cell>
          <cell r="D3917" t="str">
            <v>FUSIBLE SECC. UNIP. AEREO 200A.10KV.CORR.MODERADA</v>
          </cell>
        </row>
        <row r="3918">
          <cell r="B3918">
            <v>6193460</v>
          </cell>
          <cell r="C3918" t="str">
            <v>ABH</v>
          </cell>
          <cell r="D3918" t="str">
            <v>FUSIBLE SECC.UNIP.AEREO 200A.10KV.CORR.SEVERA</v>
          </cell>
        </row>
        <row r="3919">
          <cell r="B3919">
            <v>6193460</v>
          </cell>
          <cell r="C3919" t="str">
            <v>SCE</v>
          </cell>
          <cell r="D3919" t="str">
            <v>FUSIBLE SECC.UNIP.AEREO 200A.10KV.CORR.SEVERA</v>
          </cell>
        </row>
        <row r="3920">
          <cell r="B3920">
            <v>6195722</v>
          </cell>
          <cell r="C3920" t="str">
            <v>FEL</v>
          </cell>
          <cell r="D3920" t="str">
            <v>FUSIBLE SECC.UNIP.TP.INT.22,9KV.200A.P.TRANSF.CONV.</v>
          </cell>
        </row>
        <row r="3921">
          <cell r="B3921">
            <v>6195722</v>
          </cell>
          <cell r="C3921" t="str">
            <v>TAS</v>
          </cell>
          <cell r="D3921" t="str">
            <v>FUSIBLE SECC.UNIP.TP.INT.22,9KV.200A.P.TRANSF.CONV.</v>
          </cell>
        </row>
        <row r="3922">
          <cell r="B3922">
            <v>6195750</v>
          </cell>
          <cell r="C3922" t="str">
            <v>ABH</v>
          </cell>
          <cell r="D3922" t="str">
            <v>FUSI.SEC.UNIP.AE.22.9KV.100A.12KA.600MM.L.FUG.MIN</v>
          </cell>
        </row>
        <row r="3923">
          <cell r="B3923">
            <v>6195750</v>
          </cell>
          <cell r="C3923" t="str">
            <v>SCE</v>
          </cell>
          <cell r="D3923" t="str">
            <v>FUSI.SEC.UNIP.AE.22.9KV.100A.12KA.600MM.L.FUG.MIN</v>
          </cell>
        </row>
        <row r="3924">
          <cell r="B3924">
            <v>6195750</v>
          </cell>
          <cell r="C3924" t="str">
            <v>SIL</v>
          </cell>
          <cell r="D3924" t="str">
            <v>FUSI.SEC.UNIP.AE.22.9KV.100A.12KA.600MM.L.FUG.MIN</v>
          </cell>
        </row>
        <row r="3925">
          <cell r="B3925">
            <v>6195752</v>
          </cell>
          <cell r="C3925" t="str">
            <v>ABB</v>
          </cell>
          <cell r="D3925" t="str">
            <v>SECCIONADOR FUSIBLE UNIPOLAR 22,9KV 100A 8KA 150KB BIL EXTERIOR</v>
          </cell>
        </row>
        <row r="3926">
          <cell r="B3926">
            <v>6195752</v>
          </cell>
          <cell r="C3926" t="str">
            <v>CHN</v>
          </cell>
          <cell r="D3926" t="str">
            <v>SECCIONADOR FUSIBLE UNIPOLAR 22,9KV 100A 8KA 150KB BIL EXTERIOR</v>
          </cell>
        </row>
        <row r="3927">
          <cell r="B3927">
            <v>6195752</v>
          </cell>
          <cell r="C3927" t="str">
            <v>SCE</v>
          </cell>
          <cell r="D3927" t="str">
            <v>SECCIONADOR FUSIBLE UNIPOLAR 22,9KV 100A 8KA 150KB BIL EXTERIOR</v>
          </cell>
        </row>
        <row r="3928">
          <cell r="B3928">
            <v>6195752</v>
          </cell>
          <cell r="C3928" t="str">
            <v>SCE</v>
          </cell>
          <cell r="D3928" t="str">
            <v>SECCIONADOR FUSIBLE UNIPOLAR 22,9KV 100A 8KA 150KB BIL EXTERIOR</v>
          </cell>
        </row>
        <row r="3929">
          <cell r="B3929">
            <v>6195760</v>
          </cell>
          <cell r="C3929" t="str">
            <v>ABH</v>
          </cell>
          <cell r="D3929" t="str">
            <v>FUSIBLE DE EXPULSION.TP-"K" 22.9KV. 12KA. 3A.</v>
          </cell>
        </row>
        <row r="3930">
          <cell r="B3930">
            <v>6195760</v>
          </cell>
          <cell r="C3930" t="str">
            <v>KEA</v>
          </cell>
          <cell r="D3930" t="str">
            <v>FUSIBLE DE EXPULSION.TP-"K" 22.9KV. 12KA. 3A.</v>
          </cell>
        </row>
        <row r="3931">
          <cell r="B3931">
            <v>6195760</v>
          </cell>
          <cell r="C3931" t="str">
            <v>SCE</v>
          </cell>
          <cell r="D3931" t="str">
            <v>FUSIBLE DE EXPULSION.TP-"K" 22.9KV. 12KA. 3A.</v>
          </cell>
        </row>
        <row r="3932">
          <cell r="B3932">
            <v>6195762</v>
          </cell>
          <cell r="C3932" t="str">
            <v>ABH</v>
          </cell>
          <cell r="D3932" t="str">
            <v>USAR MATRICULA NRO. &lt;6131611&gt; FUSIBLE  DE EXPULSION  6A. TIPO "K"  22.9KV.</v>
          </cell>
        </row>
        <row r="3933">
          <cell r="B3933">
            <v>6195762</v>
          </cell>
          <cell r="C3933" t="str">
            <v>KEA</v>
          </cell>
          <cell r="D3933" t="str">
            <v>USAR MATRICULA NRO. &lt;6131611&gt; FUSIBLE  DE EXPULSION  6A. TIPO "K"  22.9KV.</v>
          </cell>
        </row>
        <row r="3934">
          <cell r="B3934">
            <v>6195762</v>
          </cell>
          <cell r="C3934" t="str">
            <v>SCE</v>
          </cell>
          <cell r="D3934" t="str">
            <v>USAR MATRICULA NRO. &lt;6131611&gt; FUSIBLE  DE EXPULSION  6A. TIPO "K"  22.9KV.</v>
          </cell>
        </row>
        <row r="3935">
          <cell r="B3935">
            <v>6195764</v>
          </cell>
          <cell r="C3935" t="str">
            <v>ABH</v>
          </cell>
          <cell r="D3935" t="str">
            <v>USAR MATRICULA NRO. &lt;6131616&gt; "FUSIBLE DE EXPULSION 10A TIPO " K"  10/22.9KV."</v>
          </cell>
        </row>
        <row r="3936">
          <cell r="B3936">
            <v>6195764</v>
          </cell>
          <cell r="C3936" t="str">
            <v>KEA</v>
          </cell>
          <cell r="D3936" t="str">
            <v>USAR MATRICULA NRO. &lt;6131616&gt; "FUSIBLE DE EXPULSION 10A TIPO " K"  10/22.9KV."</v>
          </cell>
        </row>
        <row r="3937">
          <cell r="B3937">
            <v>6195764</v>
          </cell>
          <cell r="C3937" t="str">
            <v>SCE</v>
          </cell>
          <cell r="D3937" t="str">
            <v>USAR MATRICULA NRO. &lt;6131616&gt; "FUSIBLE DE EXPULSION 10A TIPO " K"  10/22.9KV."</v>
          </cell>
        </row>
        <row r="3938">
          <cell r="B3938">
            <v>6195766</v>
          </cell>
          <cell r="C3938" t="str">
            <v>ABH</v>
          </cell>
          <cell r="D3938" t="str">
            <v>USAR MATRICULA NRO. &lt;6131619&gt; "FUSIBLE DE EXPULSION 15A TIPO " K"  10/22.9KV."</v>
          </cell>
        </row>
        <row r="3939">
          <cell r="B3939">
            <v>6195766</v>
          </cell>
          <cell r="C3939" t="str">
            <v>KEA</v>
          </cell>
          <cell r="D3939" t="str">
            <v>USAR MATRICULA NRO. &lt;6131619&gt; "FUSIBLE DE EXPULSION 15A TIPO " K"  10/22.9KV."</v>
          </cell>
        </row>
        <row r="3940">
          <cell r="B3940">
            <v>6195766</v>
          </cell>
          <cell r="C3940" t="str">
            <v>SCE</v>
          </cell>
          <cell r="D3940" t="str">
            <v>USAR MATRICULA NRO. &lt;6131619&gt; "FUSIBLE DE EXPULSION 15A TIPO " K"  10/22.9KV."</v>
          </cell>
        </row>
        <row r="3941">
          <cell r="B3941">
            <v>6195768</v>
          </cell>
          <cell r="C3941" t="str">
            <v>ABH</v>
          </cell>
          <cell r="D3941" t="str">
            <v>FUSIBLE  DE EXPULSION  20A. TIPO "K"  22.9KV.</v>
          </cell>
        </row>
        <row r="3942">
          <cell r="B3942">
            <v>6195768</v>
          </cell>
          <cell r="C3942" t="str">
            <v>KEA</v>
          </cell>
          <cell r="D3942" t="str">
            <v>FUSIBLE  DE EXPULSION  20A. TIPO "K"  22.9KV.</v>
          </cell>
        </row>
        <row r="3943">
          <cell r="B3943">
            <v>6195768</v>
          </cell>
          <cell r="C3943" t="str">
            <v>SCE</v>
          </cell>
          <cell r="D3943" t="str">
            <v>FUSIBLE  DE EXPULSION  20A. TIPO "K"  22.9KV.</v>
          </cell>
        </row>
        <row r="3944">
          <cell r="B3944">
            <v>6195770</v>
          </cell>
          <cell r="C3944" t="str">
            <v>ABH</v>
          </cell>
          <cell r="D3944" t="str">
            <v>USAR MATRICULA NRO. &lt;6131624&gt; "FUSIBLE DE EXPULSION 30A TIPO " K"  10/22.9KV."</v>
          </cell>
        </row>
        <row r="3945">
          <cell r="B3945">
            <v>6195770</v>
          </cell>
          <cell r="C3945" t="str">
            <v>KEA</v>
          </cell>
          <cell r="D3945" t="str">
            <v>USAR MATRICULA NRO. &lt;6131624&gt; "FUSIBLE DE EXPULSION 30A TIPO " K"  10/22.9KV."</v>
          </cell>
        </row>
        <row r="3946">
          <cell r="B3946">
            <v>6195770</v>
          </cell>
          <cell r="C3946" t="str">
            <v>SCE</v>
          </cell>
          <cell r="D3946" t="str">
            <v>USAR MATRICULA NRO. &lt;6131624&gt; "FUSIBLE DE EXPULSION 30A TIPO " K"  10/22.9KV."</v>
          </cell>
        </row>
        <row r="3947">
          <cell r="B3947">
            <v>6195771</v>
          </cell>
          <cell r="C3947" t="str">
            <v>ABH</v>
          </cell>
          <cell r="D3947" t="str">
            <v>FUSIBLE DE EXPULSION, 40A. TP.K, 10KV CAB.REMOVI.</v>
          </cell>
        </row>
        <row r="3948">
          <cell r="B3948">
            <v>6195771</v>
          </cell>
          <cell r="C3948" t="str">
            <v>KEA</v>
          </cell>
          <cell r="D3948" t="str">
            <v>FUSIBLE DE EXPULSION, 40A. TP.K, 10KV CAB.REMOVI.</v>
          </cell>
        </row>
        <row r="3949">
          <cell r="B3949">
            <v>6195771</v>
          </cell>
          <cell r="C3949" t="str">
            <v>SCE</v>
          </cell>
          <cell r="D3949" t="str">
            <v>FUSIBLE DE EXPULSION, 40A. TP.K, 10KV CAB.REMOVI.</v>
          </cell>
        </row>
        <row r="3950">
          <cell r="B3950">
            <v>6195772</v>
          </cell>
          <cell r="C3950" t="str">
            <v>ABH</v>
          </cell>
          <cell r="D3950" t="str">
            <v>FUSIBLE  DE EXPULSION  65A. TIPO "K"  22.9KV.</v>
          </cell>
        </row>
        <row r="3951">
          <cell r="B3951">
            <v>6195772</v>
          </cell>
          <cell r="C3951" t="str">
            <v>KEA</v>
          </cell>
          <cell r="D3951" t="str">
            <v>FUSIBLE  DE EXPULSION  65A. TIPO "K"  22.9KV.</v>
          </cell>
        </row>
        <row r="3952">
          <cell r="B3952">
            <v>6195772</v>
          </cell>
          <cell r="C3952" t="str">
            <v>SCE</v>
          </cell>
          <cell r="D3952" t="str">
            <v>FUSIBLE  DE EXPULSION  65A. TIPO "K"  22.9KV.</v>
          </cell>
        </row>
        <row r="3953">
          <cell r="B3953">
            <v>6195774</v>
          </cell>
          <cell r="C3953" t="str">
            <v>ABH</v>
          </cell>
          <cell r="D3953" t="str">
            <v>FUSIBLE  DE EXPULSION  100A. TIPO "K"  22.9KV.</v>
          </cell>
        </row>
        <row r="3954">
          <cell r="B3954">
            <v>6195774</v>
          </cell>
          <cell r="C3954" t="str">
            <v>KEA</v>
          </cell>
          <cell r="D3954" t="str">
            <v>FUSIBLE  DE EXPULSION  100A. TIPO "K"  22.9KV.</v>
          </cell>
        </row>
        <row r="3955">
          <cell r="B3955">
            <v>6195774</v>
          </cell>
          <cell r="C3955" t="str">
            <v>SCE</v>
          </cell>
          <cell r="D3955" t="str">
            <v>FUSIBLE  DE EXPULSION  100A. TIPO "K"  22.9KV.</v>
          </cell>
        </row>
        <row r="3956">
          <cell r="B3956">
            <v>6195780</v>
          </cell>
          <cell r="C3956" t="str">
            <v>ABH</v>
          </cell>
          <cell r="D3956" t="str">
            <v>FUSIBLE DE EXPULSION 140A. TP. K, 10KV.CAB.REMOVI.</v>
          </cell>
        </row>
        <row r="3957">
          <cell r="B3957">
            <v>6195780</v>
          </cell>
          <cell r="C3957" t="str">
            <v>KEA</v>
          </cell>
          <cell r="D3957" t="str">
            <v>FUSIBLE DE EXPULSION 140A. TP. K, 10KV.CAB.REMOVI.</v>
          </cell>
        </row>
        <row r="3958">
          <cell r="B3958">
            <v>6195780</v>
          </cell>
          <cell r="C3958" t="str">
            <v>SCE</v>
          </cell>
          <cell r="D3958" t="str">
            <v>FUSIBLE DE EXPULSION 140A. TP. K, 10KV.CAB.REMOVI.</v>
          </cell>
        </row>
        <row r="3959">
          <cell r="B3959">
            <v>6195790</v>
          </cell>
          <cell r="C3959" t="str">
            <v>ABH</v>
          </cell>
          <cell r="D3959" t="str">
            <v>FUSIBLE DE EXPULSION 200A. TIPO K, 10KV.CAB.REMOV.</v>
          </cell>
        </row>
        <row r="3960">
          <cell r="B3960">
            <v>6195790</v>
          </cell>
          <cell r="C3960" t="str">
            <v>KEA</v>
          </cell>
          <cell r="D3960" t="str">
            <v>FUSIBLE DE EXPULSION 200A. TIPO K, 10KV.CAB.REMOV.</v>
          </cell>
        </row>
        <row r="3961">
          <cell r="B3961">
            <v>6195790</v>
          </cell>
          <cell r="C3961" t="str">
            <v>SCE</v>
          </cell>
          <cell r="D3961" t="str">
            <v>FUSIBLE DE EXPULSION 200A. TIPO K, 10KV.CAB.REMOV.</v>
          </cell>
        </row>
        <row r="3962">
          <cell r="B3962">
            <v>6199103</v>
          </cell>
          <cell r="C3962" t="str">
            <v>TAL</v>
          </cell>
          <cell r="D3962" t="str">
            <v>CONECTOR DERIVACION P/CUT-OUT</v>
          </cell>
        </row>
        <row r="3963">
          <cell r="B3963">
            <v>6199226</v>
          </cell>
          <cell r="C3963" t="str">
            <v>ABH</v>
          </cell>
          <cell r="D3963" t="str">
            <v>TUBO PORTAFUSIBLE PARA SECC. UNIP. AEREO 100A, 10KV, CORR.MODERADA</v>
          </cell>
        </row>
        <row r="3964">
          <cell r="B3964">
            <v>6199226</v>
          </cell>
          <cell r="C3964" t="str">
            <v>CHN</v>
          </cell>
          <cell r="D3964" t="str">
            <v>TUBO PORTAFUSIBLE PARA SECC. UNIP. AEREO 100A, 10KV, CORR.MODERADA</v>
          </cell>
        </row>
        <row r="3965">
          <cell r="B3965">
            <v>6199226</v>
          </cell>
          <cell r="C3965" t="str">
            <v>SCE</v>
          </cell>
          <cell r="D3965" t="str">
            <v>TUBO PORTAFUSIBLE PARA SECC. UNIP. AEREO 100A, 10KV, CORR.MODERADA</v>
          </cell>
        </row>
        <row r="3966">
          <cell r="B3966">
            <v>6199228</v>
          </cell>
          <cell r="C3966" t="str">
            <v>ABH</v>
          </cell>
          <cell r="D3966" t="str">
            <v>TUBO PORTAFUSIBLE PARA SECC. UNIP. AEREO 200A, 10KV, CORR.MODERADA</v>
          </cell>
        </row>
        <row r="3967">
          <cell r="B3967">
            <v>6199228</v>
          </cell>
          <cell r="C3967" t="str">
            <v>CHN</v>
          </cell>
          <cell r="D3967" t="str">
            <v>TUBO PORTAFUSIBLE PARA SECC. UNIP. AEREO 200A, 10KV, CORR.MODERADA</v>
          </cell>
        </row>
        <row r="3968">
          <cell r="B3968">
            <v>6199228</v>
          </cell>
          <cell r="C3968" t="str">
            <v>SCE</v>
          </cell>
          <cell r="D3968" t="str">
            <v>TUBO PORTAFUSIBLE PARA SECC. UNIP. AEREO 200A, 10KV, CORR.MODERADA</v>
          </cell>
        </row>
        <row r="3969">
          <cell r="B3969">
            <v>6199230</v>
          </cell>
          <cell r="C3969" t="str">
            <v>ABB</v>
          </cell>
          <cell r="D3969" t="str">
            <v>TUBO PORTAFUSIBLE PARA SECC. UNIP. AEREO 100A, 10KV, CORR.SEVERA</v>
          </cell>
        </row>
        <row r="3970">
          <cell r="B3970">
            <v>6199230</v>
          </cell>
          <cell r="C3970" t="str">
            <v>CHN</v>
          </cell>
          <cell r="D3970" t="str">
            <v>TUBO PORTAFUSIBLE PARA SECC. UNIP. AEREO 100A, 10KV, CORR.SEVERA</v>
          </cell>
        </row>
        <row r="3971">
          <cell r="B3971">
            <v>6199230</v>
          </cell>
          <cell r="C3971" t="str">
            <v>CHN</v>
          </cell>
          <cell r="D3971" t="str">
            <v>TUBO PORTAFUSIBLE PARA SECC. UNIP. AEREO 100A, 10KV, CORR.SEVERA</v>
          </cell>
        </row>
        <row r="3972">
          <cell r="B3972">
            <v>6199230</v>
          </cell>
          <cell r="C3972" t="str">
            <v>SCE</v>
          </cell>
          <cell r="D3972" t="str">
            <v>TUBO PORTAFUSIBLE PARA SECC. UNIP. AEREO 100A, 10KV, CORR.SEVERA</v>
          </cell>
        </row>
        <row r="3973">
          <cell r="B3973">
            <v>6199232</v>
          </cell>
          <cell r="C3973" t="str">
            <v>ABH</v>
          </cell>
          <cell r="D3973" t="str">
            <v>TUBO PORTAFUSIBLE PARA SECC. UNIP. AEREO 200A, 10KV, CORR.SEVERA</v>
          </cell>
        </row>
        <row r="3974">
          <cell r="B3974">
            <v>6199232</v>
          </cell>
          <cell r="C3974" t="str">
            <v>CHN</v>
          </cell>
          <cell r="D3974" t="str">
            <v>TUBO PORTAFUSIBLE PARA SECC. UNIP. AEREO 200A, 10KV, CORR.SEVERA</v>
          </cell>
        </row>
        <row r="3975">
          <cell r="B3975">
            <v>6199232</v>
          </cell>
          <cell r="C3975" t="str">
            <v>SCE</v>
          </cell>
          <cell r="D3975" t="str">
            <v>TUBO PORTAFUSIBLE PARA SECC. UNIP. AEREO 200A, 10KV, CORR.SEVERA</v>
          </cell>
        </row>
        <row r="3976">
          <cell r="B3976">
            <v>6199236</v>
          </cell>
          <cell r="C3976" t="str">
            <v>ABH</v>
          </cell>
          <cell r="D3976" t="str">
            <v>TUBO PORTAFUSIBLE PARA SECC. UNIP. AEREO 100A, 22,9KV, CORR.MODERADA</v>
          </cell>
        </row>
        <row r="3977">
          <cell r="B3977">
            <v>6199236</v>
          </cell>
          <cell r="C3977" t="str">
            <v>CHN</v>
          </cell>
          <cell r="D3977" t="str">
            <v>TUBO PORTAFUSIBLE PARA SECC. UNIP. AEREO 100A, 22,9KV, CORR.MODERADA</v>
          </cell>
        </row>
        <row r="3978">
          <cell r="B3978">
            <v>6199236</v>
          </cell>
          <cell r="C3978" t="str">
            <v>SCE</v>
          </cell>
          <cell r="D3978" t="str">
            <v>TUBO PORTAFUSIBLE PARA SECC. UNIP. AEREO 100A, 22,9KV, CORR.MODERADA</v>
          </cell>
        </row>
        <row r="3979">
          <cell r="B3979">
            <v>6311152</v>
          </cell>
          <cell r="C3979" t="str">
            <v>ESS</v>
          </cell>
          <cell r="D3979" t="str">
            <v>FUSIBLE SECC.TRIF.(UNIP) TP.COLUMNA DE BT.   1000A</v>
          </cell>
        </row>
        <row r="3980">
          <cell r="B3980">
            <v>6311152</v>
          </cell>
          <cell r="C3980" t="str">
            <v>TAS</v>
          </cell>
          <cell r="D3980" t="str">
            <v>FUSIBLE SECC.TRIF.(UNIP) TP.COLUMNA DE BT.   1000A</v>
          </cell>
        </row>
        <row r="3981">
          <cell r="B3981">
            <v>6311416</v>
          </cell>
          <cell r="C3981" t="str">
            <v>ABB</v>
          </cell>
          <cell r="D3981" t="str">
            <v>BASE PORTAFUSIBLE TRIPOLAR SECCIONADOR P.FUSIBLE NH DISPOSICION HORIZONTAL TAMANO 00 220V 160A AC-23</v>
          </cell>
        </row>
        <row r="3982">
          <cell r="B3982">
            <v>6311416</v>
          </cell>
          <cell r="C3982" t="str">
            <v>ABB</v>
          </cell>
          <cell r="D3982" t="str">
            <v>BASE PORTAFUSIBLE TRIPOLAR SECCIONADOR P.FUSIBLE NH DISPOSICION HORIZONTAL TAMANO 00 220V 160A AC-23</v>
          </cell>
        </row>
        <row r="3983">
          <cell r="B3983">
            <v>6311416</v>
          </cell>
          <cell r="C3983" t="str">
            <v>EFN</v>
          </cell>
          <cell r="D3983" t="str">
            <v>BASE PORTAFUSIBLE TRIPOLAR SECCIONADOR P.FUSIBLE NH DISPOSICION HORIZONTAL TAMANO 00 220V 160A AC-23</v>
          </cell>
        </row>
        <row r="3984">
          <cell r="B3984">
            <v>6311416</v>
          </cell>
          <cell r="C3984" t="str">
            <v>FES</v>
          </cell>
          <cell r="D3984" t="str">
            <v>BASE PORTAFUSIBLE TRIPOLAR SECCIONADOR P.FUSIBLE NH DISPOSICION HORIZONTAL TAMANO 00 220V 160A AC-23</v>
          </cell>
        </row>
        <row r="3985">
          <cell r="B3985">
            <v>6311416</v>
          </cell>
          <cell r="C3985" t="str">
            <v>FES</v>
          </cell>
          <cell r="D3985" t="str">
            <v>BASE PORTAFUSIBLE TRIPOLAR SECCIONADOR P.FUSIBLE NH DISPOSICION HORIZONTAL TAMANO 00 220V 160A AC-23</v>
          </cell>
        </row>
        <row r="3986">
          <cell r="B3986">
            <v>6311416</v>
          </cell>
          <cell r="C3986" t="str">
            <v>FES</v>
          </cell>
          <cell r="D3986" t="str">
            <v>BASE PORTAFUSIBLE TRIPOLAR SECCIONADOR P.FUSIBLE NH DISPOSICION HORIZONTAL TAMANO 00 220V 160A AC-23</v>
          </cell>
        </row>
        <row r="3987">
          <cell r="B3987">
            <v>6311416</v>
          </cell>
          <cell r="C3987" t="str">
            <v>FES</v>
          </cell>
          <cell r="D3987" t="str">
            <v>BASE PORTAFUSIBLE TRIPOLAR SECCIONADOR P.FUSIBLE NH DISPOSICION HORIZONTAL TAMANO 00 220V 160A AC-23</v>
          </cell>
        </row>
        <row r="3988">
          <cell r="B3988">
            <v>6311416</v>
          </cell>
          <cell r="C3988" t="str">
            <v>FES</v>
          </cell>
          <cell r="D3988" t="str">
            <v>BASE PORTAFUSIBLE TRIPOLAR SECCIONADOR P.FUSIBLE NH DISPOSICION HORIZONTAL TAMANO 00 220V 160A AC-23</v>
          </cell>
        </row>
        <row r="3989">
          <cell r="B3989">
            <v>6311416</v>
          </cell>
          <cell r="C3989" t="str">
            <v>FES</v>
          </cell>
          <cell r="D3989" t="str">
            <v>BASE PORTAFUSIBLE TRIPOLAR SECCIONADOR P.FUSIBLE NH DISPOSICION HORIZONTAL TAMANO 00 220V 160A AC-23</v>
          </cell>
        </row>
        <row r="3990">
          <cell r="B3990">
            <v>6311422</v>
          </cell>
          <cell r="C3990" t="str">
            <v>ABB</v>
          </cell>
          <cell r="D3990" t="str">
            <v>BASE PORTAFUSIBLE TRIPOLAR SECCIONADOR P.FUSIBLE NH DISPOSICION HORIZONTAL TAMANO 1 220V 250A AC-23</v>
          </cell>
        </row>
        <row r="3991">
          <cell r="B3991">
            <v>6311422</v>
          </cell>
          <cell r="C3991" t="str">
            <v>ABB</v>
          </cell>
          <cell r="D3991" t="str">
            <v>BASE PORTAFUSIBLE TRIPOLAR SECCIONADOR P.FUSIBLE NH DISPOSICION HORIZONTAL TAMANO 1 220V 250A AC-23</v>
          </cell>
        </row>
        <row r="3992">
          <cell r="B3992">
            <v>6311422</v>
          </cell>
          <cell r="C3992" t="str">
            <v>EFN</v>
          </cell>
          <cell r="D3992" t="str">
            <v>BASE PORTAFUSIBLE TRIPOLAR SECCIONADOR P.FUSIBLE NH DISPOSICION HORIZONTAL TAMANO 1 220V 250A AC-23</v>
          </cell>
        </row>
        <row r="3993">
          <cell r="B3993">
            <v>6311422</v>
          </cell>
          <cell r="C3993" t="str">
            <v>FES</v>
          </cell>
          <cell r="D3993" t="str">
            <v>BASE PORTAFUSIBLE TRIPOLAR SECCIONADOR P.FUSIBLE NH DISPOSICION HORIZONTAL TAMANO 1 220V 250A AC-23</v>
          </cell>
        </row>
        <row r="3994">
          <cell r="B3994">
            <v>6311422</v>
          </cell>
          <cell r="C3994" t="str">
            <v>FES</v>
          </cell>
          <cell r="D3994" t="str">
            <v>BASE PORTAFUSIBLE TRIPOLAR SECCIONADOR P.FUSIBLE NH DISPOSICION HORIZONTAL TAMANO 1 220V 250A AC-23</v>
          </cell>
        </row>
        <row r="3995">
          <cell r="B3995">
            <v>6311422</v>
          </cell>
          <cell r="C3995" t="str">
            <v>FES</v>
          </cell>
          <cell r="D3995" t="str">
            <v>BASE PORTAFUSIBLE TRIPOLAR SECCIONADOR P.FUSIBLE NH DISPOSICION HORIZONTAL TAMANO 1 220V 250A AC-23</v>
          </cell>
        </row>
        <row r="3996">
          <cell r="B3996">
            <v>6311422</v>
          </cell>
          <cell r="C3996" t="str">
            <v>FES</v>
          </cell>
          <cell r="D3996" t="str">
            <v>BASE PORTAFUSIBLE TRIPOLAR SECCIONADOR P.FUSIBLE NH DISPOSICION HORIZONTAL TAMANO 1 220V 250A AC-23</v>
          </cell>
        </row>
        <row r="3997">
          <cell r="B3997">
            <v>6311422</v>
          </cell>
          <cell r="C3997" t="str">
            <v>FES</v>
          </cell>
          <cell r="D3997" t="str">
            <v>BASE PORTAFUSIBLE TRIPOLAR SECCIONADOR P.FUSIBLE NH DISPOSICION HORIZONTAL TAMANO 1 220V 250A AC-23</v>
          </cell>
        </row>
        <row r="3998">
          <cell r="B3998">
            <v>6311422</v>
          </cell>
          <cell r="C3998" t="str">
            <v>FES</v>
          </cell>
          <cell r="D3998" t="str">
            <v>BASE PORTAFUSIBLE TRIPOLAR SECCIONADOR P.FUSIBLE NH DISPOSICION HORIZONTAL TAMANO 1 220V 250A AC-23</v>
          </cell>
        </row>
        <row r="3999">
          <cell r="B3999">
            <v>6311428</v>
          </cell>
          <cell r="C3999" t="str">
            <v>ABB</v>
          </cell>
          <cell r="D3999" t="str">
            <v>BASE PORTAFUSIBLE TRIPOLAR SECCIONADOR P.FUSIBLE NH DISPOSICION HORIZONTAL TAMANO 2 220V 400A AC-23</v>
          </cell>
        </row>
        <row r="4000">
          <cell r="B4000">
            <v>6311428</v>
          </cell>
          <cell r="C4000" t="str">
            <v>ABB</v>
          </cell>
          <cell r="D4000" t="str">
            <v>BASE PORTAFUSIBLE TRIPOLAR SECCIONADOR P.FUSIBLE NH DISPOSICION HORIZONTAL TAMANO 2 220V 400A AC-23</v>
          </cell>
        </row>
        <row r="4001">
          <cell r="B4001">
            <v>6311428</v>
          </cell>
          <cell r="C4001" t="str">
            <v>EFN</v>
          </cell>
          <cell r="D4001" t="str">
            <v>BASE PORTAFUSIBLE TRIPOLAR SECCIONADOR P.FUSIBLE NH DISPOSICION HORIZONTAL TAMANO 2 220V 400A AC-23</v>
          </cell>
        </row>
        <row r="4002">
          <cell r="B4002">
            <v>6311428</v>
          </cell>
          <cell r="C4002" t="str">
            <v>FES</v>
          </cell>
          <cell r="D4002" t="str">
            <v>BASE PORTAFUSIBLE TRIPOLAR SECCIONADOR P.FUSIBLE NH DISPOSICION HORIZONTAL TAMANO 2 220V 400A AC-23</v>
          </cell>
        </row>
        <row r="4003">
          <cell r="B4003">
            <v>6311428</v>
          </cell>
          <cell r="C4003" t="str">
            <v>FES</v>
          </cell>
          <cell r="D4003" t="str">
            <v>BASE PORTAFUSIBLE TRIPOLAR SECCIONADOR P.FUSIBLE NH DISPOSICION HORIZONTAL TAMANO 2 220V 400A AC-23</v>
          </cell>
        </row>
        <row r="4004">
          <cell r="B4004">
            <v>6311428</v>
          </cell>
          <cell r="C4004" t="str">
            <v>FES</v>
          </cell>
          <cell r="D4004" t="str">
            <v>BASE PORTAFUSIBLE TRIPOLAR SECCIONADOR P.FUSIBLE NH DISPOSICION HORIZONTAL TAMANO 2 220V 400A AC-23</v>
          </cell>
        </row>
        <row r="4005">
          <cell r="B4005">
            <v>6311428</v>
          </cell>
          <cell r="C4005" t="str">
            <v>FES</v>
          </cell>
          <cell r="D4005" t="str">
            <v>BASE PORTAFUSIBLE TRIPOLAR SECCIONADOR P.FUSIBLE NH DISPOSICION HORIZONTAL TAMANO 2 220V 400A AC-23</v>
          </cell>
        </row>
        <row r="4006">
          <cell r="B4006">
            <v>6311428</v>
          </cell>
          <cell r="C4006" t="str">
            <v>FES</v>
          </cell>
          <cell r="D4006" t="str">
            <v>BASE PORTAFUSIBLE TRIPOLAR SECCIONADOR P.FUSIBLE NH DISPOSICION HORIZONTAL TAMANO 2 220V 400A AC-23</v>
          </cell>
        </row>
        <row r="4007">
          <cell r="B4007">
            <v>6311428</v>
          </cell>
          <cell r="C4007" t="str">
            <v>FES</v>
          </cell>
          <cell r="D4007" t="str">
            <v>BASE PORTAFUSIBLE TRIPOLAR SECCIONADOR P.FUSIBLE NH DISPOSICION HORIZONTAL TAMANO 2 220V 400A AC-23</v>
          </cell>
        </row>
        <row r="4008">
          <cell r="B4008">
            <v>6311432</v>
          </cell>
          <cell r="C4008" t="str">
            <v>ABB</v>
          </cell>
          <cell r="D4008" t="str">
            <v>BASE PORTAFUSIBLE TRIPOLAR SECCIONADOR P.FUS. NH DISPOSICION VERTICAL TAMANO 2 220V 400A AC-23 60HZ</v>
          </cell>
        </row>
        <row r="4009">
          <cell r="B4009">
            <v>6311432</v>
          </cell>
          <cell r="C4009" t="str">
            <v>ABB</v>
          </cell>
          <cell r="D4009" t="str">
            <v>BASE PORTAFUSIBLE TRIPOLAR SECCIONADOR P.FUS. NH DISPOSICION VERTICAL TAMANO 2 220V 400A AC-23 60HZ</v>
          </cell>
        </row>
        <row r="4010">
          <cell r="B4010">
            <v>6311432</v>
          </cell>
          <cell r="C4010" t="str">
            <v>EFN</v>
          </cell>
          <cell r="D4010" t="str">
            <v>BASE PORTAFUSIBLE TRIPOLAR SECCIONADOR P.FUS. NH DISPOSICION VERTICAL TAMANO 2 220V 400A AC-23 60HZ</v>
          </cell>
        </row>
        <row r="4011">
          <cell r="B4011">
            <v>6311432</v>
          </cell>
          <cell r="C4011" t="str">
            <v>FES</v>
          </cell>
          <cell r="D4011" t="str">
            <v>BASE PORTAFUSIBLE TRIPOLAR SECCIONADOR P.FUS. NH DISPOSICION VERTICAL TAMANO 2 220V 400A AC-23 60HZ</v>
          </cell>
        </row>
        <row r="4012">
          <cell r="B4012">
            <v>6311432</v>
          </cell>
          <cell r="C4012" t="str">
            <v>FES</v>
          </cell>
          <cell r="D4012" t="str">
            <v>BASE PORTAFUSIBLE TRIPOLAR SECCIONADOR P.FUS. NH DISPOSICION VERTICAL TAMANO 2 220V 400A AC-23 60HZ</v>
          </cell>
        </row>
        <row r="4013">
          <cell r="B4013">
            <v>6311432</v>
          </cell>
          <cell r="C4013" t="str">
            <v>FES</v>
          </cell>
          <cell r="D4013" t="str">
            <v>BASE PORTAFUSIBLE TRIPOLAR SECCIONADOR P.FUS. NH DISPOSICION VERTICAL TAMANO 2 220V 400A AC-23 60HZ</v>
          </cell>
        </row>
        <row r="4014">
          <cell r="B4014">
            <v>6311432</v>
          </cell>
          <cell r="C4014" t="str">
            <v>FES</v>
          </cell>
          <cell r="D4014" t="str">
            <v>BASE PORTAFUSIBLE TRIPOLAR SECCIONADOR P.FUS. NH DISPOSICION VERTICAL TAMANO 2 220V 400A AC-23 60HZ</v>
          </cell>
        </row>
        <row r="4015">
          <cell r="B4015">
            <v>6311432</v>
          </cell>
          <cell r="C4015" t="str">
            <v>FES</v>
          </cell>
          <cell r="D4015" t="str">
            <v>BASE PORTAFUSIBLE TRIPOLAR SECCIONADOR P.FUS. NH DISPOSICION VERTICAL TAMANO 2 220V 400A AC-23 60HZ</v>
          </cell>
        </row>
        <row r="4016">
          <cell r="B4016">
            <v>6311432</v>
          </cell>
          <cell r="C4016" t="str">
            <v>FES</v>
          </cell>
          <cell r="D4016" t="str">
            <v>BASE PORTAFUSIBLE TRIPOLAR SECCIONADOR P.FUS. NH DISPOSICION VERTICAL TAMANO 2 220V 400A AC-23 60HZ</v>
          </cell>
        </row>
        <row r="4017">
          <cell r="B4017">
            <v>6311432</v>
          </cell>
          <cell r="C4017" t="str">
            <v>PRT</v>
          </cell>
          <cell r="D4017" t="str">
            <v>BASE PORTAFUSIBLE TRIPOLAR SECCIONADOR P.FUS. NH DISPOSICION VERTICAL TAMANO 2 220V 400A AC-23 60HZ</v>
          </cell>
        </row>
        <row r="4018">
          <cell r="B4018">
            <v>6311448</v>
          </cell>
          <cell r="C4018" t="str">
            <v>ABB</v>
          </cell>
          <cell r="D4018" t="str">
            <v>BASE PORTAFUSIBLE TRIPOLAR SECCIONADOR P.FUS. NH DISPOSICION VERTICAL TAMANO 3 220V 630A AC-23 60HZ</v>
          </cell>
        </row>
        <row r="4019">
          <cell r="B4019">
            <v>6311448</v>
          </cell>
          <cell r="C4019" t="str">
            <v>ABB</v>
          </cell>
          <cell r="D4019" t="str">
            <v>BASE PORTAFUSIBLE TRIPOLAR SECCIONADOR P.FUS. NH DISPOSICION VERTICAL TAMANO 3 220V 630A AC-23 60HZ</v>
          </cell>
        </row>
        <row r="4020">
          <cell r="B4020">
            <v>6311448</v>
          </cell>
          <cell r="C4020" t="str">
            <v>EFN</v>
          </cell>
          <cell r="D4020" t="str">
            <v>BASE PORTAFUSIBLE TRIPOLAR SECCIONADOR P.FUS. NH DISPOSICION VERTICAL TAMANO 3 220V 630A AC-23 60HZ</v>
          </cell>
        </row>
        <row r="4021">
          <cell r="B4021">
            <v>6311448</v>
          </cell>
          <cell r="C4021" t="str">
            <v>FES</v>
          </cell>
          <cell r="D4021" t="str">
            <v>BASE PORTAFUSIBLE TRIPOLAR SECCIONADOR P.FUS. NH DISPOSICION VERTICAL TAMANO 3 220V 630A AC-23 60HZ</v>
          </cell>
        </row>
        <row r="4022">
          <cell r="B4022">
            <v>6311448</v>
          </cell>
          <cell r="C4022" t="str">
            <v>FES</v>
          </cell>
          <cell r="D4022" t="str">
            <v>BASE PORTAFUSIBLE TRIPOLAR SECCIONADOR P.FUS. NH DISPOSICION VERTICAL TAMANO 3 220V 630A AC-23 60HZ</v>
          </cell>
        </row>
        <row r="4023">
          <cell r="B4023">
            <v>6311448</v>
          </cell>
          <cell r="C4023" t="str">
            <v>FES</v>
          </cell>
          <cell r="D4023" t="str">
            <v>BASE PORTAFUSIBLE TRIPOLAR SECCIONADOR P.FUS. NH DISPOSICION VERTICAL TAMANO 3 220V 630A AC-23 60HZ</v>
          </cell>
        </row>
        <row r="4024">
          <cell r="B4024">
            <v>6311448</v>
          </cell>
          <cell r="C4024" t="str">
            <v>FES</v>
          </cell>
          <cell r="D4024" t="str">
            <v>BASE PORTAFUSIBLE TRIPOLAR SECCIONADOR P.FUS. NH DISPOSICION VERTICAL TAMANO 3 220V 630A AC-23 60HZ</v>
          </cell>
        </row>
        <row r="4025">
          <cell r="B4025">
            <v>6311448</v>
          </cell>
          <cell r="C4025" t="str">
            <v>FES</v>
          </cell>
          <cell r="D4025" t="str">
            <v>BASE PORTAFUSIBLE TRIPOLAR SECCIONADOR P.FUS. NH DISPOSICION VERTICAL TAMANO 3 220V 630A AC-23 60HZ</v>
          </cell>
        </row>
        <row r="4026">
          <cell r="B4026">
            <v>6311448</v>
          </cell>
          <cell r="C4026" t="str">
            <v>FES</v>
          </cell>
          <cell r="D4026" t="str">
            <v>BASE PORTAFUSIBLE TRIPOLAR SECCIONADOR P.FUS. NH DISPOSICION VERTICAL TAMANO 3 220V 630A AC-23 60HZ</v>
          </cell>
        </row>
        <row r="4027">
          <cell r="B4027">
            <v>6311448</v>
          </cell>
          <cell r="C4027" t="str">
            <v>PRT</v>
          </cell>
          <cell r="D4027" t="str">
            <v>BASE PORTAFUSIBLE TRIPOLAR SECCIONADOR P.FUS. NH DISPOSICION VERTICAL TAMANO 3 220V 630A AC-23 60HZ</v>
          </cell>
        </row>
        <row r="4028">
          <cell r="B4028">
            <v>6312142</v>
          </cell>
          <cell r="C4028" t="str">
            <v>TAS</v>
          </cell>
          <cell r="D4028" t="str">
            <v>EMPAQUETADURA JEBE 67X24X8MM. P. SECC. TP. COLUMNA</v>
          </cell>
        </row>
        <row r="4029">
          <cell r="B4029">
            <v>6312222</v>
          </cell>
          <cell r="C4029" t="str">
            <v>TAS</v>
          </cell>
          <cell r="D4029" t="str">
            <v>POLO DE FUS.SECC. TRIF. UNIP. TP.COLUMNA BT. 1000A</v>
          </cell>
        </row>
        <row r="4030">
          <cell r="B4030">
            <v>6312228</v>
          </cell>
          <cell r="C4030" t="str">
            <v>TAS</v>
          </cell>
          <cell r="D4030" t="str">
            <v>POLO DE SECCIONADOR TRIF.UNIP.TP.COLUMNA BT. 2000A</v>
          </cell>
        </row>
        <row r="4031">
          <cell r="B4031">
            <v>6331212</v>
          </cell>
          <cell r="C4031" t="str">
            <v>FEL</v>
          </cell>
          <cell r="D4031" t="str">
            <v>SECCIONADOR UNIP.INT.DE BARRA 10KV  400A</v>
          </cell>
        </row>
        <row r="4032">
          <cell r="B4032">
            <v>6331212</v>
          </cell>
          <cell r="C4032" t="str">
            <v>TAS</v>
          </cell>
          <cell r="D4032" t="str">
            <v>SECCIONADOR UNIP.INT.DE BARRA 10KV  400A</v>
          </cell>
        </row>
        <row r="4033">
          <cell r="B4033">
            <v>6331216</v>
          </cell>
          <cell r="C4033" t="str">
            <v>FEL</v>
          </cell>
          <cell r="D4033" t="str">
            <v>SECCIONADOR UNIPOLAR INTERIOR BARRA 10KV. 600A.</v>
          </cell>
        </row>
        <row r="4034">
          <cell r="B4034">
            <v>6331216</v>
          </cell>
          <cell r="C4034" t="str">
            <v>TAS</v>
          </cell>
          <cell r="D4034" t="str">
            <v>SECCIONADOR UNIPOLAR INTERIOR BARRA 10KV. 600A.</v>
          </cell>
        </row>
        <row r="4035">
          <cell r="B4035">
            <v>6331222</v>
          </cell>
          <cell r="C4035" t="str">
            <v>ABB</v>
          </cell>
          <cell r="D4035" t="str">
            <v>SECCION. UNIP.AEREO 10KV.400A.CORR.MOD.L.F.&gt;284MM</v>
          </cell>
        </row>
        <row r="4036">
          <cell r="B4036">
            <v>6331222</v>
          </cell>
          <cell r="C4036" t="str">
            <v>CHN</v>
          </cell>
          <cell r="D4036" t="str">
            <v>SECCION. UNIP.AEREO 10KV.400A.CORR.MOD.L.F.&gt;284MM</v>
          </cell>
        </row>
        <row r="4037">
          <cell r="B4037">
            <v>6331222</v>
          </cell>
          <cell r="C4037" t="str">
            <v>COO</v>
          </cell>
          <cell r="D4037" t="str">
            <v>SECCION. UNIP.AEREO 10KV.400A.CORR.MOD.L.F.&gt;284MM</v>
          </cell>
        </row>
        <row r="4038">
          <cell r="B4038">
            <v>6331222</v>
          </cell>
          <cell r="C4038" t="str">
            <v>FEL</v>
          </cell>
          <cell r="D4038" t="str">
            <v>SECCION. UNIP.AEREO 10KV.400A.CORR.MOD.L.F.&gt;284MM</v>
          </cell>
        </row>
        <row r="4039">
          <cell r="B4039">
            <v>6331222</v>
          </cell>
          <cell r="C4039" t="str">
            <v>SCE</v>
          </cell>
          <cell r="D4039" t="str">
            <v>SECCION. UNIP.AEREO 10KV.400A.CORR.MOD.L.F.&gt;284MM</v>
          </cell>
        </row>
        <row r="4040">
          <cell r="B4040">
            <v>6331223</v>
          </cell>
          <cell r="C4040" t="str">
            <v>ABB</v>
          </cell>
          <cell r="D4040" t="str">
            <v>SECCION. UNIP.AEREO 10 KV 400A.CORR.SEV.&gt;L.F.430MM</v>
          </cell>
        </row>
        <row r="4041">
          <cell r="B4041">
            <v>6331223</v>
          </cell>
          <cell r="C4041" t="str">
            <v>FEL</v>
          </cell>
          <cell r="D4041" t="str">
            <v>SECCION. UNIP.AEREO 10 KV 400A.CORR.SEV.&gt;L.F.430MM</v>
          </cell>
        </row>
        <row r="4042">
          <cell r="B4042">
            <v>6331223</v>
          </cell>
          <cell r="C4042" t="str">
            <v>SCE</v>
          </cell>
          <cell r="D4042" t="str">
            <v>SECCION. UNIP.AEREO 10 KV 400A.CORR.SEV.&gt;L.F.430MM</v>
          </cell>
        </row>
        <row r="4043">
          <cell r="B4043">
            <v>6331228</v>
          </cell>
          <cell r="C4043" t="str">
            <v>ABH</v>
          </cell>
          <cell r="D4043" t="str">
            <v>SECCIONADOR UNIP.EXT.AER. 400 A. 125KV. BIL 22.9 KV.MODER.</v>
          </cell>
        </row>
        <row r="4044">
          <cell r="B4044">
            <v>6331228</v>
          </cell>
          <cell r="C4044" t="str">
            <v>FEL</v>
          </cell>
          <cell r="D4044" t="str">
            <v>SECCIONADOR UNIP.EXT.AER. 400 A. 125KV. BIL 22.9 KV.MODER.</v>
          </cell>
        </row>
        <row r="4045">
          <cell r="B4045">
            <v>6331228</v>
          </cell>
          <cell r="C4045" t="str">
            <v>SCE</v>
          </cell>
          <cell r="D4045" t="str">
            <v>SECCIONADOR UNIP.EXT.AER. 400 A. 125KV. BIL 22.9 KV.MODER.</v>
          </cell>
        </row>
        <row r="4046">
          <cell r="B4046">
            <v>6331229</v>
          </cell>
          <cell r="C4046" t="str">
            <v>ABH</v>
          </cell>
          <cell r="D4046" t="str">
            <v>SECCIONADOR UNIP.EXT AER.400A.150KV.BIL 22,9 KV C.SEVERA</v>
          </cell>
        </row>
        <row r="4047">
          <cell r="B4047">
            <v>6331229</v>
          </cell>
          <cell r="C4047" t="str">
            <v>FEL</v>
          </cell>
          <cell r="D4047" t="str">
            <v>SECCIONADOR UNIP.EXT AER.400A.150KV.BIL 22,9 KV C.SEVERA</v>
          </cell>
        </row>
        <row r="4048">
          <cell r="B4048">
            <v>6331229</v>
          </cell>
          <cell r="C4048" t="str">
            <v>SCE</v>
          </cell>
          <cell r="D4048" t="str">
            <v>SECCIONADOR UNIP.EXT AER.400A.150KV.BIL 22,9 KV C.SEVERA</v>
          </cell>
        </row>
        <row r="4049">
          <cell r="B4049">
            <v>6331270</v>
          </cell>
          <cell r="C4049" t="str">
            <v>ABB</v>
          </cell>
          <cell r="D4049" t="str">
            <v>SECCIONADOR FUS.POT.TRIP.12KV.630A.25KA.C.MECAN.CIERRE RAP.Y APERT.C.RESORTE.USO INTERIOR</v>
          </cell>
        </row>
        <row r="4050">
          <cell r="B4050">
            <v>6331280</v>
          </cell>
          <cell r="C4050" t="str">
            <v>ABB</v>
          </cell>
          <cell r="D4050" t="str">
            <v>SECCIONADOR FUS.POT.TRIP.25KV.630A.16KA.C.MECAN.CIERRE RAP.Y APERT.C.RESORTE.USO INTERIOR</v>
          </cell>
        </row>
        <row r="4051">
          <cell r="B4051">
            <v>6331310</v>
          </cell>
          <cell r="C4051" t="str">
            <v>FEL</v>
          </cell>
          <cell r="D4051" t="str">
            <v>SECCIONADOR UNIPOLAR INTERIOR BARRA 22,9KV. 400A.</v>
          </cell>
        </row>
        <row r="4052">
          <cell r="B4052">
            <v>6331312</v>
          </cell>
          <cell r="C4052" t="str">
            <v>FEL</v>
          </cell>
          <cell r="D4052" t="str">
            <v>SECCIONADOR UNIPOLAR INTERIOR  BARRA 350A.22.9 KV.</v>
          </cell>
        </row>
        <row r="4053">
          <cell r="B4053">
            <v>6331312</v>
          </cell>
          <cell r="C4053" t="str">
            <v>TAS</v>
          </cell>
          <cell r="D4053" t="str">
            <v>SECCIONADOR UNIPOLAR INTERIOR  BARRA 350A.22.9 KV.</v>
          </cell>
        </row>
        <row r="4054">
          <cell r="B4054">
            <v>6331706</v>
          </cell>
          <cell r="C4054" t="str">
            <v>FEL</v>
          </cell>
          <cell r="D4054" t="str">
            <v>SECCIONADOR FUSIBLE DE POTENCIA TRIP.   10KV.400A.</v>
          </cell>
        </row>
        <row r="4055">
          <cell r="B4055">
            <v>6331706</v>
          </cell>
          <cell r="C4055" t="str">
            <v>SOC</v>
          </cell>
          <cell r="D4055" t="str">
            <v>SECCIONADOR FUSIBLE DE POTENCIA TRIP.   10KV.400A.</v>
          </cell>
        </row>
        <row r="4056">
          <cell r="B4056">
            <v>6331714</v>
          </cell>
          <cell r="C4056" t="str">
            <v>ABB</v>
          </cell>
          <cell r="D4056" t="str">
            <v>SECCIONADOR FUSIBLE TRIPOLAR 12KV 400A 25KA 60HZ 210MM MONTAJE INTERIOR C.ACCESORIOS</v>
          </cell>
        </row>
        <row r="4057">
          <cell r="B4057">
            <v>6331715</v>
          </cell>
          <cell r="C4057" t="str">
            <v>ABB</v>
          </cell>
          <cell r="D4057" t="str">
            <v>SECCIONADOR FUS.POT.TRIP.12KV.400A.25KA.C.MECAN.CIERRE RAP.Y APERT.C.RESORTE.USO INTERIOR</v>
          </cell>
        </row>
        <row r="4058">
          <cell r="B4058">
            <v>6331758</v>
          </cell>
          <cell r="C4058" t="str">
            <v>FEL</v>
          </cell>
          <cell r="D4058" t="str">
            <v>SECCIONADOR DE POTENCIA TRIPOLAR 24KV.400A.16KA.EFICAZ</v>
          </cell>
        </row>
        <row r="4059">
          <cell r="B4059">
            <v>6331758</v>
          </cell>
          <cell r="C4059" t="str">
            <v>SOC</v>
          </cell>
          <cell r="D4059" t="str">
            <v>SECCIONADOR DE POTENCIA TRIPOLAR 24KV.400A.16KA.EFICAZ</v>
          </cell>
        </row>
        <row r="4060">
          <cell r="B4060">
            <v>6381106</v>
          </cell>
          <cell r="C4060" t="str">
            <v>ABH</v>
          </cell>
          <cell r="D4060" t="str">
            <v>PERTIGA AISL.RESIN.EPOX.1.2M.P.BORN.P.T.BARRA 10KV</v>
          </cell>
        </row>
        <row r="4061">
          <cell r="B4061">
            <v>6381106</v>
          </cell>
          <cell r="C4061" t="str">
            <v>CAT</v>
          </cell>
          <cell r="D4061" t="str">
            <v>PERTIGA AISL.RESIN.EPOX.1.2M.P.BORN.P.T.BARRA 10KV</v>
          </cell>
        </row>
        <row r="4062">
          <cell r="B4062">
            <v>6381107</v>
          </cell>
          <cell r="C4062" t="str">
            <v>HTG</v>
          </cell>
          <cell r="D4062" t="str">
            <v>PERTIGA DE MANIOBRA AISLADA EXTRACTORA DE FUSIBLES DE FIBRA VIDRIO C.RANGO 1 1/2" - 3 5/8"</v>
          </cell>
        </row>
        <row r="4063">
          <cell r="B4063">
            <v>6381112</v>
          </cell>
          <cell r="C4063" t="str">
            <v>ABH</v>
          </cell>
          <cell r="D4063" t="str">
            <v>PERTIGA UNIVERS.FIBR.VIDRIO 32MMDX1.9M.P.MANIOBRAS</v>
          </cell>
        </row>
        <row r="4064">
          <cell r="B4064">
            <v>6381112</v>
          </cell>
          <cell r="C4064" t="str">
            <v>CAT</v>
          </cell>
          <cell r="D4064" t="str">
            <v>PERTIGA UNIVERS.FIBR.VIDRIO 32MMDX1.9M.P.MANIOBRAS</v>
          </cell>
        </row>
        <row r="4065">
          <cell r="B4065">
            <v>6381112</v>
          </cell>
          <cell r="C4065" t="str">
            <v>SAL</v>
          </cell>
          <cell r="D4065" t="str">
            <v>PERTIGA UNIVERS.FIBR.VIDRIO 32MMDX1.9M.P.MANIOBRAS</v>
          </cell>
        </row>
        <row r="4066">
          <cell r="B4066">
            <v>6381118</v>
          </cell>
          <cell r="C4066" t="str">
            <v>ABH</v>
          </cell>
          <cell r="D4066" t="str">
            <v>PERTIGA  AISL.FIBR.VIDRIO 32MMDX1.8M. 10KV</v>
          </cell>
        </row>
        <row r="4067">
          <cell r="B4067">
            <v>6381118</v>
          </cell>
          <cell r="C4067" t="str">
            <v>CAT</v>
          </cell>
          <cell r="D4067" t="str">
            <v>PERTIGA  AISL.FIBR.VIDRIO 32MMDX1.8M. 10KV</v>
          </cell>
        </row>
        <row r="4068">
          <cell r="B4068">
            <v>6381118</v>
          </cell>
          <cell r="C4068" t="str">
            <v>SAL</v>
          </cell>
          <cell r="D4068" t="str">
            <v>PERTIGA  AISL.FIBR.VIDRIO 32MMDX1.8M. 10KV</v>
          </cell>
        </row>
        <row r="4069">
          <cell r="B4069">
            <v>6381118</v>
          </cell>
          <cell r="C4069" t="str">
            <v>SCE</v>
          </cell>
          <cell r="D4069" t="str">
            <v>PERTIGA  AISL.FIBR.VIDRIO 32MMDX1.8M. 10KV</v>
          </cell>
        </row>
        <row r="4070">
          <cell r="B4070">
            <v>6381136</v>
          </cell>
          <cell r="C4070" t="str">
            <v>ABH</v>
          </cell>
          <cell r="D4070" t="str">
            <v>PERTIGA AISL.FIBR.VIDR.P.MANIOBR.CONECT.CODO  10KV</v>
          </cell>
        </row>
        <row r="4071">
          <cell r="B4071">
            <v>6381136</v>
          </cell>
          <cell r="C4071" t="str">
            <v>HTG</v>
          </cell>
          <cell r="D4071" t="str">
            <v>PERTIGA AISL.FIBR.VIDR.P.MANIOBR.CONECT.CODO  10KV</v>
          </cell>
        </row>
        <row r="4072">
          <cell r="B4072">
            <v>6381160</v>
          </cell>
          <cell r="C4072" t="str">
            <v>ABH</v>
          </cell>
          <cell r="D4072" t="str">
            <v>PERTIGA UNIV.O EXT.P.MANIOB.C/CARGA CUT-OUT 22,9KV</v>
          </cell>
        </row>
        <row r="4073">
          <cell r="B4073">
            <v>6381160</v>
          </cell>
          <cell r="C4073" t="str">
            <v>SCE</v>
          </cell>
          <cell r="D4073" t="str">
            <v>PERTIGA UNIV.O EXT.P.MANIOB.C/CARGA CUT-OUT 22,9KV</v>
          </cell>
        </row>
        <row r="4074">
          <cell r="B4074">
            <v>6381198</v>
          </cell>
          <cell r="C4074" t="str">
            <v>ABH</v>
          </cell>
          <cell r="D4074" t="str">
            <v>PERTIGA AISL.FIBRA VIDRIO 36MM.D.X1.2M.L. 10KV.</v>
          </cell>
        </row>
        <row r="4075">
          <cell r="B4075">
            <v>6381198</v>
          </cell>
          <cell r="C4075" t="str">
            <v>CAT</v>
          </cell>
          <cell r="D4075" t="str">
            <v>PERTIGA AISL.FIBRA VIDRIO 36MM.D.X1.2M.L. 10KV.</v>
          </cell>
        </row>
        <row r="4076">
          <cell r="B4076">
            <v>6381198</v>
          </cell>
          <cell r="C4076" t="str">
            <v>SAL</v>
          </cell>
          <cell r="D4076" t="str">
            <v>PERTIGA AISL.FIBRA VIDRIO 36MM.D.X1.2M.L. 10KV.</v>
          </cell>
        </row>
        <row r="4077">
          <cell r="B4077">
            <v>6383112</v>
          </cell>
          <cell r="C4077" t="str">
            <v>CAT</v>
          </cell>
          <cell r="D4077" t="str">
            <v>DISPOSITIVO TRIP.PUESTA A TIERRA INTERIOR    10KV.</v>
          </cell>
        </row>
        <row r="4078">
          <cell r="B4078">
            <v>6383144</v>
          </cell>
          <cell r="C4078" t="str">
            <v>SIB</v>
          </cell>
          <cell r="D4078" t="str">
            <v>PUESTA A TIERRA TEMPORAL EN CORTO CIRCUITO FASE A FASE 10-22.9KV. ICC 20KA</v>
          </cell>
        </row>
        <row r="4079">
          <cell r="B4079">
            <v>6383146</v>
          </cell>
          <cell r="C4079" t="str">
            <v>SIB</v>
          </cell>
          <cell r="D4079" t="str">
            <v>PUESTA A TIERRA TEMPORAL CABLE DE BAJADA. ICC 20KA</v>
          </cell>
        </row>
        <row r="4080">
          <cell r="B4080">
            <v>6383148</v>
          </cell>
          <cell r="C4080" t="str">
            <v>SIB</v>
          </cell>
          <cell r="D4080" t="str">
            <v>CABLE DE TIERRA DE 35MM2 X 13M CON MORDAZAS DE BRONCE AJUSTE POR TORNILLO Y VASTAGO TIPO T</v>
          </cell>
        </row>
        <row r="4081">
          <cell r="B4081">
            <v>6383150</v>
          </cell>
          <cell r="C4081" t="str">
            <v>SIB</v>
          </cell>
          <cell r="D4081" t="str">
            <v>VARILLA DE TIERRA COPPERWELD, DIAMETRO DE 16MM, LONGITUD 1.2M, CABEZA DE BRONCE</v>
          </cell>
        </row>
        <row r="4082">
          <cell r="B4082">
            <v>6383152</v>
          </cell>
          <cell r="C4082" t="str">
            <v>CAT</v>
          </cell>
          <cell r="D4082" t="str">
            <v>DISPOSITIVO TRIP. P. PUESTA A TIERRA EXT.     60KV</v>
          </cell>
        </row>
        <row r="4083">
          <cell r="B4083">
            <v>6383154</v>
          </cell>
          <cell r="C4083" t="str">
            <v>SIB</v>
          </cell>
          <cell r="D4083" t="str">
            <v>CABALLETE DE ALUMINIO CON CADENA DE 1M, AJUSTE DOBLE (RESORTE Y TORNILLO)</v>
          </cell>
        </row>
        <row r="4084">
          <cell r="B4084">
            <v>6511220</v>
          </cell>
          <cell r="C4084" t="str">
            <v>ABB</v>
          </cell>
          <cell r="D4084" t="str">
            <v>INTERRUPTOR TERMOMAGNETICO BIPOLAR CURVA C 220V 50A 6 / 10KA P.RIEL DIN</v>
          </cell>
        </row>
        <row r="4085">
          <cell r="B4085">
            <v>6511220</v>
          </cell>
          <cell r="C4085" t="str">
            <v>GCA</v>
          </cell>
          <cell r="D4085" t="str">
            <v>INTERRUPTOR TERMOMAGNETICO BIPOLAR CURVA C 220V 50A 6 / 10KA P.RIEL DIN</v>
          </cell>
        </row>
        <row r="4086">
          <cell r="B4086">
            <v>6511220</v>
          </cell>
          <cell r="C4086" t="str">
            <v>GEL</v>
          </cell>
          <cell r="D4086" t="str">
            <v>INTERRUPTOR TERMOMAGNETICO BIPOLAR CURVA C 220V 50A 6 / 10KA P.RIEL DIN</v>
          </cell>
        </row>
        <row r="4087">
          <cell r="B4087">
            <v>6511220</v>
          </cell>
          <cell r="C4087" t="str">
            <v>HYU</v>
          </cell>
          <cell r="D4087" t="str">
            <v>INTERRUPTOR TERMOMAGNETICO BIPOLAR CURVA C 220V 50A 6 / 10KA P.RIEL DIN</v>
          </cell>
        </row>
        <row r="4088">
          <cell r="B4088">
            <v>6511220</v>
          </cell>
          <cell r="C4088" t="str">
            <v>LSI</v>
          </cell>
          <cell r="D4088" t="str">
            <v>INTERRUPTOR TERMOMAGNETICO BIPOLAR CURVA C 220V 50A 6 / 10KA P.RIEL DIN</v>
          </cell>
        </row>
        <row r="4089">
          <cell r="B4089">
            <v>6511220</v>
          </cell>
          <cell r="C4089" t="str">
            <v>SAS</v>
          </cell>
          <cell r="D4089" t="str">
            <v>INTERRUPTOR TERMOMAGNETICO BIPOLAR CURVA C 220V 50A 6 / 10KA P.RIEL DIN</v>
          </cell>
        </row>
        <row r="4090">
          <cell r="B4090">
            <v>6511220</v>
          </cell>
          <cell r="C4090" t="str">
            <v>SCN</v>
          </cell>
          <cell r="D4090" t="str">
            <v>INTERRUPTOR TERMOMAGNETICO BIPOLAR CURVA C 220V 50A 6 / 10KA P.RIEL DIN</v>
          </cell>
        </row>
        <row r="4091">
          <cell r="B4091">
            <v>6511220</v>
          </cell>
          <cell r="C4091" t="str">
            <v>SCN</v>
          </cell>
          <cell r="D4091" t="str">
            <v>INTERRUPTOR TERMOMAGNETICO BIPOLAR CURVA C 220V 50A 6 / 10KA P.RIEL DIN</v>
          </cell>
        </row>
        <row r="4092">
          <cell r="B4092">
            <v>6511250</v>
          </cell>
          <cell r="C4092" t="str">
            <v>ABB</v>
          </cell>
          <cell r="D4092" t="str">
            <v>INTERRUPTOR TERMOMAGNETICO BIPOLAR CURVA C 220V 16A 6 / 10KA P.RIEL DIN</v>
          </cell>
        </row>
        <row r="4093">
          <cell r="B4093">
            <v>6511250</v>
          </cell>
          <cell r="C4093" t="str">
            <v>GCA</v>
          </cell>
          <cell r="D4093" t="str">
            <v>INTERRUPTOR TERMOMAGNETICO BIPOLAR CURVA C 220V 16A 6 / 10KA P.RIEL DIN</v>
          </cell>
        </row>
        <row r="4094">
          <cell r="B4094">
            <v>6511250</v>
          </cell>
          <cell r="C4094" t="str">
            <v>GEL</v>
          </cell>
          <cell r="D4094" t="str">
            <v>INTERRUPTOR TERMOMAGNETICO BIPOLAR CURVA C 220V 16A 6 / 10KA P.RIEL DIN</v>
          </cell>
        </row>
        <row r="4095">
          <cell r="B4095">
            <v>6511250</v>
          </cell>
          <cell r="C4095" t="str">
            <v>HYU</v>
          </cell>
          <cell r="D4095" t="str">
            <v>INTERRUPTOR TERMOMAGNETICO BIPOLAR CURVA C 220V 16A 6 / 10KA P.RIEL DIN</v>
          </cell>
        </row>
        <row r="4096">
          <cell r="B4096">
            <v>6511250</v>
          </cell>
          <cell r="C4096" t="str">
            <v>LSI</v>
          </cell>
          <cell r="D4096" t="str">
            <v>INTERRUPTOR TERMOMAGNETICO BIPOLAR CURVA C 220V 16A 6 / 10KA P.RIEL DIN</v>
          </cell>
        </row>
        <row r="4097">
          <cell r="B4097">
            <v>6511250</v>
          </cell>
          <cell r="C4097" t="str">
            <v>SAS</v>
          </cell>
          <cell r="D4097" t="str">
            <v>INTERRUPTOR TERMOMAGNETICO BIPOLAR CURVA C 220V 16A 6 / 10KA P.RIEL DIN</v>
          </cell>
        </row>
        <row r="4098">
          <cell r="B4098">
            <v>6511250</v>
          </cell>
          <cell r="C4098" t="str">
            <v>SCN</v>
          </cell>
          <cell r="D4098" t="str">
            <v>INTERRUPTOR TERMOMAGNETICO BIPOLAR CURVA C 220V 16A 6 / 10KA P.RIEL DIN</v>
          </cell>
        </row>
        <row r="4099">
          <cell r="B4099">
            <v>6511250</v>
          </cell>
          <cell r="C4099" t="str">
            <v>SCN</v>
          </cell>
          <cell r="D4099" t="str">
            <v>INTERRUPTOR TERMOMAGNETICO BIPOLAR CURVA C 220V 16A 6 / 10KA P.RIEL DIN</v>
          </cell>
        </row>
        <row r="4100">
          <cell r="B4100">
            <v>6512178</v>
          </cell>
          <cell r="C4100" t="str">
            <v>ABB</v>
          </cell>
          <cell r="D4100" t="str">
            <v>INTERRUPTOR TERMOMAGNETICO BIPOLAR CURVA C 220V 32A 6 / 10KA P.RIEL DIN</v>
          </cell>
        </row>
        <row r="4101">
          <cell r="B4101">
            <v>6512178</v>
          </cell>
          <cell r="C4101" t="str">
            <v>GCA</v>
          </cell>
          <cell r="D4101" t="str">
            <v>INTERRUPTOR TERMOMAGNETICO BIPOLAR CURVA C 220V 32A 6 / 10KA P.RIEL DIN</v>
          </cell>
        </row>
        <row r="4102">
          <cell r="B4102">
            <v>6512178</v>
          </cell>
          <cell r="C4102" t="str">
            <v>GEL</v>
          </cell>
          <cell r="D4102" t="str">
            <v>INTERRUPTOR TERMOMAGNETICO BIPOLAR CURVA C 220V 32A 6 / 10KA P.RIEL DIN</v>
          </cell>
        </row>
        <row r="4103">
          <cell r="B4103">
            <v>6512178</v>
          </cell>
          <cell r="C4103" t="str">
            <v>GEL</v>
          </cell>
          <cell r="D4103" t="str">
            <v>INTERRUPTOR TERMOMAGNETICO BIPOLAR CURVA C 220V 32A 6 / 10KA P.RIEL DIN</v>
          </cell>
        </row>
        <row r="4104">
          <cell r="B4104">
            <v>6512178</v>
          </cell>
          <cell r="C4104" t="str">
            <v>HYU</v>
          </cell>
          <cell r="D4104" t="str">
            <v>INTERRUPTOR TERMOMAGNETICO BIPOLAR CURVA C 220V 32A 6 / 10KA P.RIEL DIN</v>
          </cell>
        </row>
        <row r="4105">
          <cell r="B4105">
            <v>6512178</v>
          </cell>
          <cell r="C4105" t="str">
            <v>LSI</v>
          </cell>
          <cell r="D4105" t="str">
            <v>INTERRUPTOR TERMOMAGNETICO BIPOLAR CURVA C 220V 32A 6 / 10KA P.RIEL DIN</v>
          </cell>
        </row>
        <row r="4106">
          <cell r="B4106">
            <v>6512178</v>
          </cell>
          <cell r="C4106" t="str">
            <v>SAS</v>
          </cell>
          <cell r="D4106" t="str">
            <v>INTERRUPTOR TERMOMAGNETICO BIPOLAR CURVA C 220V 32A 6 / 10KA P.RIEL DIN</v>
          </cell>
        </row>
        <row r="4107">
          <cell r="B4107">
            <v>6512178</v>
          </cell>
          <cell r="C4107" t="str">
            <v>SCN</v>
          </cell>
          <cell r="D4107" t="str">
            <v>INTERRUPTOR TERMOMAGNETICO BIPOLAR CURVA C 220V 32A 6 / 10KA P.RIEL DIN</v>
          </cell>
        </row>
        <row r="4108">
          <cell r="B4108">
            <v>6512178</v>
          </cell>
          <cell r="C4108" t="str">
            <v>SCN</v>
          </cell>
          <cell r="D4108" t="str">
            <v>INTERRUPTOR TERMOMAGNETICO BIPOLAR CURVA C 220V 32A 6 / 10KA P.RIEL DIN</v>
          </cell>
        </row>
        <row r="4109">
          <cell r="B4109">
            <v>6512215</v>
          </cell>
          <cell r="C4109" t="str">
            <v>ABB</v>
          </cell>
          <cell r="D4109" t="str">
            <v>INTERRUPTOR TERMOMAGNETICO TRIPOLAR CURVA C 220V 32A 6 / 10KA P.RIEL DIN</v>
          </cell>
        </row>
        <row r="4110">
          <cell r="B4110">
            <v>6512215</v>
          </cell>
          <cell r="C4110" t="str">
            <v>GCA</v>
          </cell>
          <cell r="D4110" t="str">
            <v>INTERRUPTOR TERMOMAGNETICO TRIPOLAR CURVA C 220V 32A 6 / 10KA P.RIEL DIN</v>
          </cell>
        </row>
        <row r="4111">
          <cell r="B4111">
            <v>6512215</v>
          </cell>
          <cell r="C4111" t="str">
            <v>GEL</v>
          </cell>
          <cell r="D4111" t="str">
            <v>INTERRUPTOR TERMOMAGNETICO TRIPOLAR CURVA C 220V 32A 6 / 10KA P.RIEL DIN</v>
          </cell>
        </row>
        <row r="4112">
          <cell r="B4112">
            <v>6512215</v>
          </cell>
          <cell r="C4112" t="str">
            <v>HYU</v>
          </cell>
          <cell r="D4112" t="str">
            <v>INTERRUPTOR TERMOMAGNETICO TRIPOLAR CURVA C 220V 32A 6 / 10KA P.RIEL DIN</v>
          </cell>
        </row>
        <row r="4113">
          <cell r="B4113">
            <v>6512215</v>
          </cell>
          <cell r="C4113" t="str">
            <v>LSI</v>
          </cell>
          <cell r="D4113" t="str">
            <v>INTERRUPTOR TERMOMAGNETICO TRIPOLAR CURVA C 220V 32A 6 / 10KA P.RIEL DIN</v>
          </cell>
        </row>
        <row r="4114">
          <cell r="B4114">
            <v>6512215</v>
          </cell>
          <cell r="C4114" t="str">
            <v>SAS</v>
          </cell>
          <cell r="D4114" t="str">
            <v>INTERRUPTOR TERMOMAGNETICO TRIPOLAR CURVA C 220V 32A 6 / 10KA P.RIEL DIN</v>
          </cell>
        </row>
        <row r="4115">
          <cell r="B4115">
            <v>6512215</v>
          </cell>
          <cell r="C4115" t="str">
            <v>SCN</v>
          </cell>
          <cell r="D4115" t="str">
            <v>INTERRUPTOR TERMOMAGNETICO TRIPOLAR CURVA C 220V 32A 6 / 10KA P.RIEL DIN</v>
          </cell>
        </row>
        <row r="4116">
          <cell r="B4116">
            <v>6512215</v>
          </cell>
          <cell r="C4116" t="str">
            <v>SCN</v>
          </cell>
          <cell r="D4116" t="str">
            <v>INTERRUPTOR TERMOMAGNETICO TRIPOLAR CURVA C 220V 32A 6 / 10KA P.RIEL DIN</v>
          </cell>
        </row>
        <row r="4117">
          <cell r="B4117">
            <v>6512226</v>
          </cell>
          <cell r="C4117" t="str">
            <v>ABB</v>
          </cell>
          <cell r="D4117" t="str">
            <v>INTERRUPTOR TERMOMAGNETICO TRIPOLAR C.CURVA C 220VAC 63A 10KA 50 - 60HZ</v>
          </cell>
        </row>
        <row r="4118">
          <cell r="B4118">
            <v>6512226</v>
          </cell>
          <cell r="C4118" t="str">
            <v>GCA</v>
          </cell>
          <cell r="D4118" t="str">
            <v>INTERRUPTOR TERMOMAGNETICO TRIPOLAR C.CURVA C 220VAC 63A 10KA 50 - 60HZ</v>
          </cell>
        </row>
        <row r="4119">
          <cell r="B4119">
            <v>6512226</v>
          </cell>
          <cell r="C4119" t="str">
            <v>GEL</v>
          </cell>
          <cell r="D4119" t="str">
            <v>INTERRUPTOR TERMOMAGNETICO TRIPOLAR C.CURVA C 220VAC 63A 10KA 50 - 60HZ</v>
          </cell>
        </row>
        <row r="4120">
          <cell r="B4120">
            <v>6512226</v>
          </cell>
          <cell r="C4120" t="str">
            <v>HYU</v>
          </cell>
          <cell r="D4120" t="str">
            <v>INTERRUPTOR TERMOMAGNETICO TRIPOLAR C.CURVA C 220VAC 63A 10KA 50 - 60HZ</v>
          </cell>
        </row>
        <row r="4121">
          <cell r="B4121">
            <v>6512226</v>
          </cell>
          <cell r="C4121" t="str">
            <v>LSI</v>
          </cell>
          <cell r="D4121" t="str">
            <v>INTERRUPTOR TERMOMAGNETICO TRIPOLAR C.CURVA C 220VAC 63A 10KA 50 - 60HZ</v>
          </cell>
        </row>
        <row r="4122">
          <cell r="B4122">
            <v>6512226</v>
          </cell>
          <cell r="C4122" t="str">
            <v>SAS</v>
          </cell>
          <cell r="D4122" t="str">
            <v>INTERRUPTOR TERMOMAGNETICO TRIPOLAR C.CURVA C 220VAC 63A 10KA 50 - 60HZ</v>
          </cell>
        </row>
        <row r="4123">
          <cell r="B4123">
            <v>6512226</v>
          </cell>
          <cell r="C4123" t="str">
            <v>SCN</v>
          </cell>
          <cell r="D4123" t="str">
            <v>INTERRUPTOR TERMOMAGNETICO TRIPOLAR C.CURVA C 220VAC 63A 10KA 50 - 60HZ</v>
          </cell>
        </row>
        <row r="4124">
          <cell r="B4124">
            <v>6512226</v>
          </cell>
          <cell r="C4124" t="str">
            <v>SCN</v>
          </cell>
          <cell r="D4124" t="str">
            <v>INTERRUPTOR TERMOMAGNETICO TRIPOLAR C.CURVA C 220VAC 63A 10KA 50 - 60HZ</v>
          </cell>
        </row>
        <row r="4125">
          <cell r="B4125">
            <v>6512260</v>
          </cell>
          <cell r="C4125" t="str">
            <v>ABB</v>
          </cell>
          <cell r="D4125" t="str">
            <v>INTERRUPTOR TRIP.TERMOMAG.   TP.CJ.MOLD.220V. 500A</v>
          </cell>
        </row>
        <row r="4126">
          <cell r="B4126">
            <v>6512260</v>
          </cell>
          <cell r="C4126" t="str">
            <v>GEL</v>
          </cell>
          <cell r="D4126" t="str">
            <v>INTERRUPTOR TRIP.TERMOMAG.   TP.CJ.MOLD.220V. 500A</v>
          </cell>
        </row>
        <row r="4127">
          <cell r="B4127">
            <v>6512260</v>
          </cell>
          <cell r="C4127" t="str">
            <v>SCN</v>
          </cell>
          <cell r="D4127" t="str">
            <v>INTERRUPTOR TRIP.TERMOMAG.   TP.CJ.MOLD.220V. 500A</v>
          </cell>
        </row>
        <row r="4128">
          <cell r="B4128">
            <v>6512272</v>
          </cell>
          <cell r="C4128" t="str">
            <v>ABB</v>
          </cell>
          <cell r="D4128" t="str">
            <v>INTERRUPTOR TRIP.TERMOMAG.   TP.CJ.MOLD.220V. 800A</v>
          </cell>
        </row>
        <row r="4129">
          <cell r="B4129">
            <v>6512272</v>
          </cell>
          <cell r="C4129" t="str">
            <v>DSM</v>
          </cell>
          <cell r="D4129" t="str">
            <v>INTERRUPTOR TRIP.TERMOMAG.   TP.CJ.MOLD.220V. 800A</v>
          </cell>
        </row>
        <row r="4130">
          <cell r="B4130">
            <v>6512272</v>
          </cell>
          <cell r="C4130" t="str">
            <v>GEL</v>
          </cell>
          <cell r="D4130" t="str">
            <v>INTERRUPTOR TRIP.TERMOMAG.   TP.CJ.MOLD.220V. 800A</v>
          </cell>
        </row>
        <row r="4131">
          <cell r="B4131">
            <v>6512272</v>
          </cell>
          <cell r="C4131" t="str">
            <v>MIT</v>
          </cell>
          <cell r="D4131" t="str">
            <v>INTERRUPTOR TRIP.TERMOMAG.   TP.CJ.MOLD.220V. 800A</v>
          </cell>
        </row>
        <row r="4132">
          <cell r="B4132">
            <v>6512272</v>
          </cell>
          <cell r="C4132" t="str">
            <v>SCN</v>
          </cell>
          <cell r="D4132" t="str">
            <v>INTERRUPTOR TRIP.TERMOMAG.   TP.CJ.MOLD.220V. 800A</v>
          </cell>
        </row>
        <row r="4133">
          <cell r="B4133">
            <v>6512284</v>
          </cell>
          <cell r="C4133" t="str">
            <v>ABB</v>
          </cell>
          <cell r="D4133" t="str">
            <v>INTERRUPTOR TRIP.TERMOMAG.   TP.CJ.MOLD.220V.1250A</v>
          </cell>
        </row>
        <row r="4134">
          <cell r="B4134">
            <v>6512284</v>
          </cell>
          <cell r="C4134" t="str">
            <v>DSM</v>
          </cell>
          <cell r="D4134" t="str">
            <v>INTERRUPTOR TRIP.TERMOMAG.   TP.CJ.MOLD.220V.1250A</v>
          </cell>
        </row>
        <row r="4135">
          <cell r="B4135">
            <v>6512284</v>
          </cell>
          <cell r="C4135" t="str">
            <v>GEL</v>
          </cell>
          <cell r="D4135" t="str">
            <v>INTERRUPTOR TRIP.TERMOMAG.   TP.CJ.MOLD.220V.1250A</v>
          </cell>
        </row>
        <row r="4136">
          <cell r="B4136">
            <v>6512284</v>
          </cell>
          <cell r="C4136" t="str">
            <v>MIT</v>
          </cell>
          <cell r="D4136" t="str">
            <v>INTERRUPTOR TRIP.TERMOMAG.   TP.CJ.MOLD.220V.1250A</v>
          </cell>
        </row>
        <row r="4137">
          <cell r="B4137">
            <v>6512284</v>
          </cell>
          <cell r="C4137" t="str">
            <v>SCN</v>
          </cell>
          <cell r="D4137" t="str">
            <v>INTERRUPTOR TRIP.TERMOMAG.   TP.CJ.MOLD.220V.1250A</v>
          </cell>
        </row>
        <row r="4138">
          <cell r="B4138">
            <v>6512292</v>
          </cell>
          <cell r="C4138" t="str">
            <v>ABB</v>
          </cell>
          <cell r="D4138" t="str">
            <v>INTERRUPTOR TERMOMAGNETICO.3X1600A.220V.CJ-MOLD.</v>
          </cell>
        </row>
        <row r="4139">
          <cell r="B4139">
            <v>6512292</v>
          </cell>
          <cell r="C4139" t="str">
            <v>SCN</v>
          </cell>
          <cell r="D4139" t="str">
            <v>INTERRUPTOR TERMOMAGNETICO.3X1600A.220V.CJ-MOLD.</v>
          </cell>
        </row>
        <row r="4140">
          <cell r="B4140">
            <v>6512296</v>
          </cell>
          <cell r="C4140" t="str">
            <v>ABB</v>
          </cell>
          <cell r="D4140" t="str">
            <v>INTERRUPTOR TRIP.TERMOMAG.   TP.CJ.MOLD.220V.2000A</v>
          </cell>
        </row>
        <row r="4141">
          <cell r="B4141">
            <v>6512296</v>
          </cell>
          <cell r="C4141" t="str">
            <v>GEL</v>
          </cell>
          <cell r="D4141" t="str">
            <v>INTERRUPTOR TRIP.TERMOMAG.   TP.CJ.MOLD.220V.2000A</v>
          </cell>
        </row>
        <row r="4142">
          <cell r="B4142">
            <v>6512296</v>
          </cell>
          <cell r="C4142" t="str">
            <v>MIT</v>
          </cell>
          <cell r="D4142" t="str">
            <v>INTERRUPTOR TRIP.TERMOMAG.   TP.CJ.MOLD.220V.2000A</v>
          </cell>
        </row>
        <row r="4143">
          <cell r="B4143">
            <v>6512296</v>
          </cell>
          <cell r="C4143" t="str">
            <v>SCN</v>
          </cell>
          <cell r="D4143" t="str">
            <v>INTERRUPTOR TRIP.TERMOMAG.   TP.CJ.MOLD.220V.2000A</v>
          </cell>
        </row>
        <row r="4144">
          <cell r="B4144">
            <v>6512498</v>
          </cell>
          <cell r="C4144" t="str">
            <v>ABB</v>
          </cell>
          <cell r="D4144" t="str">
            <v>INTERRUPTOR TERMOMAGNETICO AUTOMATICO TRIPOLAR 690-500V AC/DC 2500A 125KA 60HZ EQUIPADO</v>
          </cell>
        </row>
        <row r="4145">
          <cell r="B4145">
            <v>6512498</v>
          </cell>
          <cell r="C4145" t="str">
            <v>GEL</v>
          </cell>
          <cell r="D4145" t="str">
            <v>INTERRUPTOR TERMOMAGNETICO AUTOMATICO TRIPOLAR 690-500V AC/DC 2500A 125KA 60HZ EQUIPADO</v>
          </cell>
        </row>
        <row r="4146">
          <cell r="B4146">
            <v>6512498</v>
          </cell>
          <cell r="C4146" t="str">
            <v>SCN</v>
          </cell>
          <cell r="D4146" t="str">
            <v>INTERRUPTOR TERMOMAGNETICO AUTOMATICO TRIPOLAR 690-500V AC/DC 2500A 125KA 60HZ EQUIPADO</v>
          </cell>
        </row>
        <row r="4147">
          <cell r="B4147">
            <v>6512510</v>
          </cell>
          <cell r="C4147" t="str">
            <v>SIE</v>
          </cell>
          <cell r="D4147" t="str">
            <v>INTERRUPTOR DIFERENCIAL BIPOLAR 40A.30MA.125-230V.60HZ.USO MONOFASICO</v>
          </cell>
        </row>
        <row r="4148">
          <cell r="B4148">
            <v>6512512</v>
          </cell>
          <cell r="C4148" t="str">
            <v>SIE</v>
          </cell>
          <cell r="D4148" t="str">
            <v>INTERRUPTOR DIFERENCIAL BIPOLAR 63A.30MA.230V.60HZ.10KA MONOFASICO</v>
          </cell>
        </row>
        <row r="4149">
          <cell r="B4149">
            <v>6512952</v>
          </cell>
          <cell r="C4149" t="str">
            <v>ABB</v>
          </cell>
          <cell r="D4149" t="str">
            <v>INTERRUPTOR TERMOMAGNETICO TRIPOLAR CURVA C 220V 125A 6 / 10KA P.RIEL DIN</v>
          </cell>
        </row>
        <row r="4150">
          <cell r="B4150">
            <v>6512952</v>
          </cell>
          <cell r="C4150" t="str">
            <v>GEL</v>
          </cell>
          <cell r="D4150" t="str">
            <v>INTERRUPTOR TERMOMAGNETICO TRIPOLAR CURVA C 220V 125A 6 / 10KA P.RIEL DIN</v>
          </cell>
        </row>
        <row r="4151">
          <cell r="B4151">
            <v>6512952</v>
          </cell>
          <cell r="C4151" t="str">
            <v>SCN</v>
          </cell>
          <cell r="D4151" t="str">
            <v>INTERRUPTOR TERMOMAGNETICO TRIPOLAR CURVA C 220V 125A 6 / 10KA P.RIEL DIN</v>
          </cell>
        </row>
        <row r="4152">
          <cell r="B4152">
            <v>6512952</v>
          </cell>
          <cell r="C4152" t="str">
            <v>SIE</v>
          </cell>
          <cell r="D4152" t="str">
            <v>INTERRUPTOR TERMOMAGNETICO TRIPOLAR CURVA C 220V 125A 6 / 10KA P.RIEL DIN</v>
          </cell>
        </row>
        <row r="4153">
          <cell r="B4153">
            <v>6514110</v>
          </cell>
          <cell r="C4153" t="str">
            <v>ABB</v>
          </cell>
          <cell r="D4153" t="str">
            <v>INTERRUPTOR TERMOMAGNETICO FIJO DE CAJA MOLDEADA TRIPOLAR 63A 25KA 500V</v>
          </cell>
        </row>
        <row r="4154">
          <cell r="B4154">
            <v>6514110</v>
          </cell>
          <cell r="C4154" t="str">
            <v>MIT</v>
          </cell>
          <cell r="D4154" t="str">
            <v>INTERRUPTOR TERMOMAGNETICO FIJO DE CAJA MOLDEADA TRIPOLAR 63A 25KA 500V</v>
          </cell>
        </row>
        <row r="4155">
          <cell r="B4155">
            <v>6514112</v>
          </cell>
          <cell r="C4155" t="str">
            <v>ABB</v>
          </cell>
          <cell r="D4155" t="str">
            <v>INTERRUPTOR TERMOMAGNETICO FIJO DE CAJA MOLDEADA TRIPOLAR 100A 25KA 500V</v>
          </cell>
        </row>
        <row r="4156">
          <cell r="B4156">
            <v>6514112</v>
          </cell>
          <cell r="C4156" t="str">
            <v>MIT</v>
          </cell>
          <cell r="D4156" t="str">
            <v>INTERRUPTOR TERMOMAGNETICO FIJO DE CAJA MOLDEADA TRIPOLAR 100A 25KA 500V</v>
          </cell>
        </row>
        <row r="4157">
          <cell r="B4157">
            <v>6514114</v>
          </cell>
          <cell r="C4157" t="str">
            <v>ABB</v>
          </cell>
          <cell r="D4157" t="str">
            <v>INTERRUPTOR TERMOMAGNETICO FIJO DE CAJA MOLDEADA TRIPOLAR 125A 25KA 500V</v>
          </cell>
        </row>
        <row r="4158">
          <cell r="B4158">
            <v>6514114</v>
          </cell>
          <cell r="C4158" t="str">
            <v>MIT</v>
          </cell>
          <cell r="D4158" t="str">
            <v>INTERRUPTOR TERMOMAGNETICO FIJO DE CAJA MOLDEADA TRIPOLAR 125A 25KA 500V</v>
          </cell>
        </row>
        <row r="4159">
          <cell r="B4159">
            <v>6514116</v>
          </cell>
          <cell r="C4159" t="str">
            <v>ABB</v>
          </cell>
          <cell r="D4159" t="str">
            <v>INTERRUPTOR TERMOMAGNETICO FIJO DE CAJA MOLDEADA TRIPOLAR 175A 25KA 500V</v>
          </cell>
        </row>
        <row r="4160">
          <cell r="B4160">
            <v>6514116</v>
          </cell>
          <cell r="C4160" t="str">
            <v>MIT</v>
          </cell>
          <cell r="D4160" t="str">
            <v>INTERRUPTOR TERMOMAGNETICO FIJO DE CAJA MOLDEADA TRIPOLAR 175A 25KA 500V</v>
          </cell>
        </row>
        <row r="4161">
          <cell r="B4161">
            <v>6514210</v>
          </cell>
          <cell r="C4161" t="str">
            <v>SIE</v>
          </cell>
          <cell r="D4161" t="str">
            <v>INTERRUPTOR DIFERENCIAL TETRAPOLAR 63A.30MA.230-400V.60HZ.USO TRIFASICO</v>
          </cell>
        </row>
        <row r="4162">
          <cell r="B4162">
            <v>6534168</v>
          </cell>
          <cell r="C4162" t="str">
            <v>SCN</v>
          </cell>
          <cell r="D4162" t="str">
            <v>INTERRUPTOR TRIPOLAR SF6 22,9KV.630A.25 KA.</v>
          </cell>
        </row>
        <row r="4163">
          <cell r="B4163">
            <v>6534244</v>
          </cell>
          <cell r="C4163" t="str">
            <v>SCN</v>
          </cell>
          <cell r="D4163" t="str">
            <v>INTERRUPTOR POT.TRIP.AUTONO. SF6 22,9KV 630A 16KA M.MOTORI. M.FIJO</v>
          </cell>
        </row>
        <row r="4164">
          <cell r="B4164">
            <v>6537122</v>
          </cell>
          <cell r="C4164" t="str">
            <v>ABB</v>
          </cell>
          <cell r="D4164" t="str">
            <v>INTERRUPTOR TRIPOLAR EN VACIO 12KV. 630A. 25KA.</v>
          </cell>
        </row>
        <row r="4165">
          <cell r="B4165">
            <v>6537122</v>
          </cell>
          <cell r="C4165" t="str">
            <v>SCN</v>
          </cell>
          <cell r="D4165" t="str">
            <v>INTERRUPTOR TRIPOLAR EN VACIO 12KV. 630A. 25KA.</v>
          </cell>
        </row>
        <row r="4166">
          <cell r="B4166">
            <v>6537127</v>
          </cell>
          <cell r="C4166" t="str">
            <v>SCN</v>
          </cell>
          <cell r="D4166" t="str">
            <v>INTERRUPTOR TRIPOLAR DE VACIO EN 10KV 630A, 31.5KA</v>
          </cell>
        </row>
        <row r="4167">
          <cell r="B4167">
            <v>6537214</v>
          </cell>
          <cell r="C4167" t="str">
            <v>ABB</v>
          </cell>
          <cell r="D4167" t="str">
            <v>INTERRUPTOR  DE POT. TRIP. EN VACIO 22.9KV. 630A. 16KA.</v>
          </cell>
        </row>
        <row r="4168">
          <cell r="B4168">
            <v>6537214</v>
          </cell>
          <cell r="C4168" t="str">
            <v>SCN</v>
          </cell>
          <cell r="D4168" t="str">
            <v>INTERRUPTOR  DE POT. TRIP. EN VACIO 22.9KV. 630A. 16KA.</v>
          </cell>
        </row>
        <row r="4169">
          <cell r="B4169">
            <v>6537226</v>
          </cell>
          <cell r="C4169" t="str">
            <v>ABB</v>
          </cell>
          <cell r="D4169" t="str">
            <v>INTERRUPTOR  DE POT. TRIP. EN VACIO 24KV. 630A. 25KA. EJECUCION FIJA</v>
          </cell>
        </row>
        <row r="4170">
          <cell r="B4170">
            <v>6537226</v>
          </cell>
          <cell r="C4170" t="str">
            <v>SCN</v>
          </cell>
          <cell r="D4170" t="str">
            <v>INTERRUPTOR  DE POT. TRIP. EN VACIO 24KV. 630A. 25KA. EJECUCION FIJA</v>
          </cell>
        </row>
        <row r="4171">
          <cell r="B4171">
            <v>6711260</v>
          </cell>
          <cell r="C4171" t="str">
            <v>ABB</v>
          </cell>
          <cell r="D4171" t="str">
            <v>RELE PRIM.MAX.CTE.10KV.300A.1.2-2.0IN./0.4-2.4SEG.</v>
          </cell>
        </row>
        <row r="4172">
          <cell r="B4172">
            <v>6711260</v>
          </cell>
          <cell r="C4172" t="str">
            <v>ELO</v>
          </cell>
          <cell r="D4172" t="str">
            <v>RELE PRIM.MAX.CTE.10KV.300A.1.2-2.0IN./0.4-2.4SEG.</v>
          </cell>
        </row>
        <row r="4173">
          <cell r="B4173">
            <v>6767215</v>
          </cell>
          <cell r="C4173" t="str">
            <v>COO</v>
          </cell>
          <cell r="D4173" t="str">
            <v>PARARRAYO POLIMERICO OXIDO MET.ZINC C.DESCONECTADOR 10KV 10KA CL.1 INTERIOR</v>
          </cell>
        </row>
        <row r="4174">
          <cell r="B4174">
            <v>6767215</v>
          </cell>
          <cell r="C4174" t="str">
            <v>DLM</v>
          </cell>
          <cell r="D4174" t="str">
            <v>PARARRAYO POLIMERICO OXIDO MET.ZINC C.DESCONECTADOR 10KV 10KA CL.1 INTERIOR</v>
          </cell>
        </row>
        <row r="4175">
          <cell r="B4175">
            <v>6767215</v>
          </cell>
          <cell r="C4175" t="str">
            <v>MPS</v>
          </cell>
          <cell r="D4175" t="str">
            <v>PARARRAYO POLIMERICO OXIDO MET.ZINC C.DESCONECTADOR 10KV 10KA CL.1 INTERIOR</v>
          </cell>
        </row>
        <row r="4176">
          <cell r="B4176">
            <v>6767218</v>
          </cell>
          <cell r="C4176" t="str">
            <v>COO</v>
          </cell>
          <cell r="D4176" t="str">
            <v>PARARRAYO POLIMERICO OXIDO MET.ZINC C.DESCONECTADOR 10KV 10KA CL.1 EXTERIOR</v>
          </cell>
        </row>
        <row r="4177">
          <cell r="B4177">
            <v>6767735</v>
          </cell>
          <cell r="C4177" t="str">
            <v>COO</v>
          </cell>
          <cell r="D4177" t="str">
            <v>PARARRAYO POLIMERICO OXIDO MET.ZINC 21KV 17KV 10KA CL.1 L.F. 625MM INTERIOR</v>
          </cell>
        </row>
        <row r="4178">
          <cell r="B4178">
            <v>6767735</v>
          </cell>
          <cell r="C4178" t="str">
            <v>MPS</v>
          </cell>
          <cell r="D4178" t="str">
            <v>PARARRAYO POLIMERICO OXIDO MET.ZINC 21KV 17KV 10KA CL.1 L.F. 625MM INTERIOR</v>
          </cell>
        </row>
        <row r="4179">
          <cell r="B4179">
            <v>6767735</v>
          </cell>
          <cell r="C4179" t="str">
            <v>OBC</v>
          </cell>
          <cell r="D4179" t="str">
            <v>PARARRAYO POLIMERICO OXIDO MET.ZINC 21KV 17KV 10KA CL.1 L.F. 625MM INTERIOR</v>
          </cell>
        </row>
        <row r="4180">
          <cell r="B4180">
            <v>6767736</v>
          </cell>
          <cell r="C4180" t="str">
            <v>COO</v>
          </cell>
          <cell r="D4180" t="str">
            <v>PARARRAYO POLIMERICO OXIDO MET.ZINC 21KV 17KV 10KA CL.1 L.F. 625MM EXTERIOR</v>
          </cell>
        </row>
        <row r="4181">
          <cell r="B4181">
            <v>6774010</v>
          </cell>
          <cell r="C4181" t="str">
            <v>ADA</v>
          </cell>
          <cell r="D4181" t="str">
            <v>CONVERSOR DE COMUNICACION RS485/RS232. P.RELES</v>
          </cell>
        </row>
        <row r="4182">
          <cell r="B4182">
            <v>6774100</v>
          </cell>
          <cell r="C4182" t="str">
            <v>SEG</v>
          </cell>
          <cell r="D4182" t="str">
            <v>RACK PARA ALOJAR RELE SEC. MULTIF. Y CONVERSOR</v>
          </cell>
        </row>
        <row r="4183">
          <cell r="B4183">
            <v>6782402</v>
          </cell>
          <cell r="C4183" t="str">
            <v>ECN</v>
          </cell>
          <cell r="D4183" t="str">
            <v>RECEPTACULO C.SOPORTE P.CONTROL FOTOELECTRICO DEL ALUMBRADO PUBLICO EN B.T.</v>
          </cell>
        </row>
        <row r="4184">
          <cell r="B4184">
            <v>6782402</v>
          </cell>
          <cell r="C4184" t="str">
            <v>ILU</v>
          </cell>
          <cell r="D4184" t="str">
            <v>RECEPTACULO C.SOPORTE P.CONTROL FOTOELECTRICO DEL ALUMBRADO PUBLICO EN B.T.</v>
          </cell>
        </row>
        <row r="4185">
          <cell r="B4185">
            <v>6782402</v>
          </cell>
          <cell r="C4185" t="str">
            <v>LUM</v>
          </cell>
          <cell r="D4185" t="str">
            <v>RECEPTACULO C.SOPORTE P.CONTROL FOTOELECTRICO DEL ALUMBRADO PUBLICO EN B.T.</v>
          </cell>
        </row>
        <row r="4186">
          <cell r="B4186">
            <v>6782404</v>
          </cell>
          <cell r="C4186" t="str">
            <v>ILU</v>
          </cell>
          <cell r="D4186" t="str">
            <v>CONTROL FOTOELECTRICO TP.ACCIONAMIENTO ELECTROMECANICO (NO BIMETALICO) 220V 1000W - 1800VA 10-30 LUX</v>
          </cell>
        </row>
        <row r="4187">
          <cell r="B4187">
            <v>6782408</v>
          </cell>
          <cell r="C4187" t="str">
            <v>ECN</v>
          </cell>
          <cell r="D4187" t="str">
            <v>CONTROL FOTOELECTRICO TP.ACCIONAMIENTO ELECTRONICO 220V 1000W - 1800VA 10 - 30 LUX</v>
          </cell>
        </row>
        <row r="4188">
          <cell r="B4188">
            <v>6782408</v>
          </cell>
          <cell r="C4188" t="str">
            <v>LUM</v>
          </cell>
          <cell r="D4188" t="str">
            <v>CONTROL FOTOELECTRICO TP.ACCIONAMIENTO ELECTRONICO 220V 1000W - 1800VA 10 - 30 LUX</v>
          </cell>
        </row>
        <row r="4189">
          <cell r="B4189">
            <v>6785020</v>
          </cell>
          <cell r="C4189" t="str">
            <v>CLK</v>
          </cell>
          <cell r="D4189" t="str">
            <v>CANDADO CILINDRICO ELECTRONICO DE ALTA SEGURIDAD, DIAMETRO 73,7 X ESPESOR 38 MM</v>
          </cell>
        </row>
        <row r="4190">
          <cell r="B4190">
            <v>6785021</v>
          </cell>
          <cell r="C4190" t="str">
            <v>CLK</v>
          </cell>
          <cell r="D4190" t="str">
            <v>PROTECTOR DE CANDADO CILINDRICO ELECTRONICO DE ALTA SEGURIDAD, DIAMETRO 82 X ALTURA 47MM</v>
          </cell>
        </row>
        <row r="4191">
          <cell r="B4191">
            <v>6785022</v>
          </cell>
          <cell r="C4191" t="str">
            <v>CLK</v>
          </cell>
          <cell r="D4191" t="str">
            <v>LLAVE ELECTRONICA DE SISTEMA DE ALTA SEGURIDAD CON BATERIA RECAMBIABLE, 73X42X22 MM</v>
          </cell>
        </row>
        <row r="4192">
          <cell r="B4192">
            <v>6785023</v>
          </cell>
          <cell r="C4192" t="str">
            <v>CLK</v>
          </cell>
          <cell r="D4192" t="str">
            <v>CILINDRO TAMBOR ELECTRONICO PARA CERRADURA, DIAMETRO 34,5 X PROFUNDIDAD 35,2 MM</v>
          </cell>
        </row>
        <row r="4193">
          <cell r="B4193">
            <v>6785024</v>
          </cell>
          <cell r="C4193" t="str">
            <v>CLK</v>
          </cell>
          <cell r="D4193" t="str">
            <v>CANDADO ELECTRONICO TIPO GRILLETE 2", CANDADO CERRADO 112,7 X 52,4 X 24 MM</v>
          </cell>
        </row>
        <row r="4194">
          <cell r="B4194">
            <v>6785025</v>
          </cell>
          <cell r="C4194" t="str">
            <v>CLK</v>
          </cell>
          <cell r="D4194" t="str">
            <v>HUB AUTORIZADOR DEL SISTEMA DE CERRADURAS ALTA SEGURIDAD, 36 X105,4 X 180,8 MM</v>
          </cell>
        </row>
        <row r="4195">
          <cell r="B4195">
            <v>6785026</v>
          </cell>
          <cell r="C4195" t="str">
            <v>CLK</v>
          </cell>
          <cell r="D4195" t="str">
            <v>PUERTO KEY RECEPTOR AUTORIZADOR DE LLAVES ELECTRONICAS</v>
          </cell>
        </row>
        <row r="4196">
          <cell r="B4196">
            <v>6785226</v>
          </cell>
          <cell r="C4196" t="str">
            <v>ENT</v>
          </cell>
          <cell r="D4196" t="str">
            <v>PULSADOR P.PRUEBA LAMP.SENALIZ.220VCA.6A.2CONTC.NA</v>
          </cell>
        </row>
        <row r="4197">
          <cell r="B4197">
            <v>6785534</v>
          </cell>
          <cell r="C4197" t="str">
            <v>ENT</v>
          </cell>
          <cell r="D4197" t="str">
            <v>CONMUTADOR MANDO MAN.220V.10A. 3 POS.(O-RS-ST-TR)</v>
          </cell>
        </row>
        <row r="4198">
          <cell r="B4198">
            <v>6785538</v>
          </cell>
          <cell r="C4198" t="str">
            <v>ENT</v>
          </cell>
          <cell r="D4198" t="str">
            <v>CONMUTADOR MANDO MAN.220V.10A. 6 POS.(ORSSTROSOTO)</v>
          </cell>
        </row>
        <row r="4199">
          <cell r="B4199">
            <v>6786124</v>
          </cell>
          <cell r="C4199" t="str">
            <v>ABB</v>
          </cell>
          <cell r="D4199" t="str">
            <v>CONTACTOR TRIP.120VCC.      7NA-1NC. C/BOT.PULS.</v>
          </cell>
        </row>
        <row r="4200">
          <cell r="B4200">
            <v>6786142</v>
          </cell>
          <cell r="C4200" t="str">
            <v>ABB</v>
          </cell>
          <cell r="D4200" t="str">
            <v>CONTACTOR 125VCC.C/BSE AISL. 8NA-8NC. TP.RI16</v>
          </cell>
        </row>
        <row r="4201">
          <cell r="B4201">
            <v>6786144</v>
          </cell>
          <cell r="C4201" t="str">
            <v>ABB</v>
          </cell>
          <cell r="D4201" t="str">
            <v>CONTACTOR 125VCC.C/CUBIERTA PROTEC.8CONTAC.CONMUT.</v>
          </cell>
        </row>
        <row r="4202">
          <cell r="B4202">
            <v>6786154</v>
          </cell>
          <cell r="C4202" t="str">
            <v>ABB</v>
          </cell>
          <cell r="D4202" t="str">
            <v>CONTACTOR 125VCC.C/BAS.AISL.4NA-4NC. TP.RJ8</v>
          </cell>
        </row>
        <row r="4203">
          <cell r="B4203">
            <v>6786218</v>
          </cell>
          <cell r="C4203" t="str">
            <v>ART</v>
          </cell>
          <cell r="D4203" t="str">
            <v>BLOCK DE CONTACTOS 220V. 60HZ. 2NA-2NC.</v>
          </cell>
        </row>
        <row r="4204">
          <cell r="B4204">
            <v>6786854</v>
          </cell>
          <cell r="C4204" t="str">
            <v>AGU</v>
          </cell>
          <cell r="D4204" t="str">
            <v>CONTACTOR ELECTROMAGNETICO TRIPOLAR 50A 220V 60HZ INTERIOR</v>
          </cell>
        </row>
        <row r="4205">
          <cell r="B4205">
            <v>6786854</v>
          </cell>
          <cell r="C4205" t="str">
            <v>MIT</v>
          </cell>
          <cell r="D4205" t="str">
            <v>CONTACTOR ELECTROMAGNETICO TRIPOLAR 50A 220V 60HZ INTERIOR</v>
          </cell>
        </row>
        <row r="4206">
          <cell r="B4206">
            <v>6786854</v>
          </cell>
          <cell r="C4206" t="str">
            <v>SCN</v>
          </cell>
          <cell r="D4206" t="str">
            <v>CONTACTOR ELECTROMAGNETICO TRIPOLAR 50A 220V 60HZ INTERIOR</v>
          </cell>
        </row>
        <row r="4207">
          <cell r="B4207">
            <v>6786856</v>
          </cell>
          <cell r="C4207" t="str">
            <v>AGU</v>
          </cell>
          <cell r="D4207" t="str">
            <v>CONTACTOR ELECTROMAGNETICO TRIPOLAR 63A 220V 60HZ INTERIOR</v>
          </cell>
        </row>
        <row r="4208">
          <cell r="B4208">
            <v>6786856</v>
          </cell>
          <cell r="C4208" t="str">
            <v>SCN</v>
          </cell>
          <cell r="D4208" t="str">
            <v>CONTACTOR ELECTROMAGNETICO TRIPOLAR 63A 220V 60HZ INTERIOR</v>
          </cell>
        </row>
        <row r="4209">
          <cell r="B4209">
            <v>6786858</v>
          </cell>
          <cell r="C4209" t="str">
            <v>AGU</v>
          </cell>
          <cell r="D4209" t="str">
            <v>CONTACTOR ELECTROMAGNETICO TRIPOLAR 80A 220V 60HZ INTERIOR</v>
          </cell>
        </row>
        <row r="4210">
          <cell r="B4210">
            <v>6786858</v>
          </cell>
          <cell r="C4210" t="str">
            <v>SCN</v>
          </cell>
          <cell r="D4210" t="str">
            <v>CONTACTOR ELECTROMAGNETICO TRIPOLAR 80A 220V 60HZ INTERIOR</v>
          </cell>
        </row>
        <row r="4211">
          <cell r="B4211">
            <v>6786860</v>
          </cell>
          <cell r="C4211" t="str">
            <v>AGU</v>
          </cell>
          <cell r="D4211" t="str">
            <v>CONTACTOR ELECTROMAGNETICO TRIPOLAR 125A 220V 60HZ INTERIOR</v>
          </cell>
        </row>
        <row r="4212">
          <cell r="B4212">
            <v>6786860</v>
          </cell>
          <cell r="C4212" t="str">
            <v>MIT</v>
          </cell>
          <cell r="D4212" t="str">
            <v>CONTACTOR ELECTROMAGNETICO TRIPOLAR 125A 220V 60HZ INTERIOR</v>
          </cell>
        </row>
        <row r="4213">
          <cell r="B4213">
            <v>6786860</v>
          </cell>
          <cell r="C4213" t="str">
            <v>SCN</v>
          </cell>
          <cell r="D4213" t="str">
            <v>CONTACTOR ELECTROMAGNETICO TRIPOLAR 125A 220V 60HZ INTERIOR</v>
          </cell>
        </row>
        <row r="4214">
          <cell r="B4214">
            <v>6787026</v>
          </cell>
          <cell r="C4214" t="str">
            <v>ART</v>
          </cell>
          <cell r="D4214" t="str">
            <v>BASE AISLANTE P.CONTACTOR ARTECHE TP.RJ8</v>
          </cell>
        </row>
        <row r="4215">
          <cell r="B4215">
            <v>6787028</v>
          </cell>
          <cell r="C4215" t="str">
            <v>ART</v>
          </cell>
          <cell r="D4215" t="str">
            <v>BASE AISLANTE P.CONTACTOR ARTECHE TP.RI16</v>
          </cell>
        </row>
        <row r="4216">
          <cell r="B4216">
            <v>6787034</v>
          </cell>
          <cell r="C4216" t="str">
            <v>OMR</v>
          </cell>
          <cell r="D4216" t="str">
            <v>BASE AISLANTE P.CONTACTOR OMRON   TP.LY4</v>
          </cell>
        </row>
        <row r="4217">
          <cell r="B4217">
            <v>6787038</v>
          </cell>
          <cell r="C4217" t="str">
            <v>ART</v>
          </cell>
          <cell r="D4217" t="str">
            <v>BASE AISLANTE P.CONTACTOR ARTECHE TP.RF4</v>
          </cell>
        </row>
        <row r="4218">
          <cell r="B4218">
            <v>6910212</v>
          </cell>
          <cell r="C4218" t="str">
            <v>TAS</v>
          </cell>
          <cell r="D4218" t="str">
            <v>ANGULO "C" PORTABARRAS  2"X1/2"X568MM. P.TABLEROS  B.T. EN SS.EE.CONV.</v>
          </cell>
        </row>
        <row r="4219">
          <cell r="B4219">
            <v>6910212</v>
          </cell>
          <cell r="C4219" t="str">
            <v>TNC</v>
          </cell>
          <cell r="D4219" t="str">
            <v>ANGULO "C" PORTABARRAS  2"X1/2"X568MM. P.TABLEROS  B.T. EN SS.EE.CONV.</v>
          </cell>
        </row>
        <row r="4220">
          <cell r="B4220">
            <v>6910360</v>
          </cell>
          <cell r="C4220" t="str">
            <v>CDC</v>
          </cell>
          <cell r="D4220" t="str">
            <v>SEGURO P.INTERRUPTOR TERMOMAGNETICO BIPOLAR B.T.DE 39 X 47MM</v>
          </cell>
        </row>
        <row r="4221">
          <cell r="B4221">
            <v>6910360</v>
          </cell>
          <cell r="C4221" t="str">
            <v>CHA</v>
          </cell>
          <cell r="D4221" t="str">
            <v>SEGURO P.INTERRUPTOR TERMOMAGNETICO BIPOLAR B.T.DE 39 X 47MM</v>
          </cell>
        </row>
        <row r="4222">
          <cell r="B4222">
            <v>6910360</v>
          </cell>
          <cell r="C4222" t="str">
            <v>IAD</v>
          </cell>
          <cell r="D4222" t="str">
            <v>SEGURO P.INTERRUPTOR TERMOMAGNETICO BIPOLAR B.T.DE 39 X 47MM</v>
          </cell>
        </row>
        <row r="4223">
          <cell r="B4223">
            <v>6910360</v>
          </cell>
          <cell r="C4223" t="str">
            <v>PIC</v>
          </cell>
          <cell r="D4223" t="str">
            <v>SEGURO P.INTERRUPTOR TERMOMAGNETICO BIPOLAR B.T.DE 39 X 47MM</v>
          </cell>
        </row>
        <row r="4224">
          <cell r="B4224">
            <v>6910362</v>
          </cell>
          <cell r="C4224" t="str">
            <v>CDC</v>
          </cell>
          <cell r="D4224" t="str">
            <v>SEGURO P.INTERRUPTOR TERMOMAGNETICO TRIPOLAR B.T.DE 57 X 47MM</v>
          </cell>
        </row>
        <row r="4225">
          <cell r="B4225">
            <v>6910362</v>
          </cell>
          <cell r="C4225" t="str">
            <v>CHA</v>
          </cell>
          <cell r="D4225" t="str">
            <v>SEGURO P.INTERRUPTOR TERMOMAGNETICO TRIPOLAR B.T.DE 57 X 47MM</v>
          </cell>
        </row>
        <row r="4226">
          <cell r="B4226">
            <v>6910362</v>
          </cell>
          <cell r="C4226" t="str">
            <v>IAD</v>
          </cell>
          <cell r="D4226" t="str">
            <v>SEGURO P.INTERRUPTOR TERMOMAGNETICO TRIPOLAR B.T.DE 57 X 47MM</v>
          </cell>
        </row>
        <row r="4227">
          <cell r="B4227">
            <v>6910362</v>
          </cell>
          <cell r="C4227" t="str">
            <v>PIC</v>
          </cell>
          <cell r="D4227" t="str">
            <v>SEGURO P.INTERRUPTOR TERMOMAGNETICO TRIPOLAR B.T.DE 57 X 47MM</v>
          </cell>
        </row>
        <row r="4228">
          <cell r="B4228">
            <v>6911004</v>
          </cell>
          <cell r="C4228" t="str">
            <v>TAS</v>
          </cell>
          <cell r="D4228" t="str">
            <v>PUERTA PLEGABLE P.SE.SUBT.VARIANTE     2.02X1.50M.</v>
          </cell>
        </row>
        <row r="4229">
          <cell r="B4229">
            <v>6911004</v>
          </cell>
          <cell r="C4229" t="str">
            <v>TNC</v>
          </cell>
          <cell r="D4229" t="str">
            <v>PUERTA PLEGABLE P.SE.SUBT.VARIANTE     2.02X1.50M.</v>
          </cell>
        </row>
        <row r="4230">
          <cell r="B4230">
            <v>6911134</v>
          </cell>
          <cell r="C4230" t="str">
            <v>CHA</v>
          </cell>
          <cell r="D4230" t="str">
            <v>PUERTA INF.P/CELDA INTERR/SECC.S.E.CONV.10KV.TP.B.0,975X1,80M.</v>
          </cell>
        </row>
        <row r="4231">
          <cell r="B4231">
            <v>6911134</v>
          </cell>
          <cell r="C4231" t="str">
            <v>TAS</v>
          </cell>
          <cell r="D4231" t="str">
            <v>PUERTA INF.P/CELDA INTERR/SECC.S.E.CONV.10KV.TP.B.0,975X1,80M.</v>
          </cell>
        </row>
        <row r="4232">
          <cell r="B4232">
            <v>6911135</v>
          </cell>
          <cell r="C4232" t="str">
            <v>CHA</v>
          </cell>
          <cell r="D4232" t="str">
            <v>PUERTA SUP.P/CELDA INTERR/SECC.S.E.CONV.10KV.TP.B.0,975X0,40M.</v>
          </cell>
        </row>
        <row r="4233">
          <cell r="B4233">
            <v>6911135</v>
          </cell>
          <cell r="C4233" t="str">
            <v>TAS</v>
          </cell>
          <cell r="D4233" t="str">
            <v>PUERTA SUP.P/CELDA INTERR/SECC.S.E.CONV.10KV.TP.B.0,975X0,40M.</v>
          </cell>
        </row>
        <row r="4234">
          <cell r="B4234">
            <v>6911138</v>
          </cell>
          <cell r="C4234" t="str">
            <v>CHA</v>
          </cell>
          <cell r="D4234" t="str">
            <v>PUERTA INF.P/CELDA INTERR/SECC.S.E.CONV.10KV.TP.C.0,92X1,80M.</v>
          </cell>
        </row>
        <row r="4235">
          <cell r="B4235">
            <v>6911138</v>
          </cell>
          <cell r="C4235" t="str">
            <v>TAS</v>
          </cell>
          <cell r="D4235" t="str">
            <v>PUERTA INF.P/CELDA INTERR/SECC.S.E.CONV.10KV.TP.C.0,92X1,80M.</v>
          </cell>
        </row>
        <row r="4236">
          <cell r="B4236">
            <v>6911139</v>
          </cell>
          <cell r="C4236" t="str">
            <v>CHA</v>
          </cell>
          <cell r="D4236" t="str">
            <v>PUERTA SUP.P/CELDA INTERR/SECC.S.E.CONV.10KV.TP.C.0,92X0,40M.</v>
          </cell>
        </row>
        <row r="4237">
          <cell r="B4237">
            <v>6911139</v>
          </cell>
          <cell r="C4237" t="str">
            <v>TAS</v>
          </cell>
          <cell r="D4237" t="str">
            <v>PUERTA SUP.P/CELDA INTERR/SECC.S.E.CONV.10KV.TP.C.0,92X0,40M.</v>
          </cell>
        </row>
        <row r="4238">
          <cell r="B4238">
            <v>6911702</v>
          </cell>
          <cell r="C4238" t="str">
            <v>TAS</v>
          </cell>
          <cell r="D4238" t="str">
            <v>POSTIGO P.SUB ESTACION A NIVEL C/MARCO 0.74X2.32M.</v>
          </cell>
        </row>
        <row r="4239">
          <cell r="B4239">
            <v>6911704</v>
          </cell>
          <cell r="C4239" t="str">
            <v>TAS</v>
          </cell>
          <cell r="D4239" t="str">
            <v>POSTIGO P. SUB ESTACION SUBT.VARIANTE 0.80X1.825M.</v>
          </cell>
        </row>
        <row r="4240">
          <cell r="B4240">
            <v>6913004</v>
          </cell>
          <cell r="C4240" t="str">
            <v>TAS</v>
          </cell>
          <cell r="D4240" t="str">
            <v>ESTRUCTURA MOD.TP."A" 2 CELD.TRANSF. 4 CELD.  10KV</v>
          </cell>
        </row>
        <row r="4241">
          <cell r="B4241">
            <v>6913008</v>
          </cell>
          <cell r="C4241" t="str">
            <v>TAS</v>
          </cell>
          <cell r="D4241" t="str">
            <v>ESTRUCTURA MODULAR TIPO "B"   2 CELDAS DE     10KV</v>
          </cell>
        </row>
        <row r="4242">
          <cell r="B4242">
            <v>6913012</v>
          </cell>
          <cell r="C4242" t="str">
            <v>TAS</v>
          </cell>
          <cell r="D4242" t="str">
            <v>ESTRUCTURA MO. TP."C" 1 CELD. TRANSF. 2 CELD. 10KV</v>
          </cell>
        </row>
        <row r="4243">
          <cell r="B4243">
            <v>6913016</v>
          </cell>
          <cell r="C4243" t="str">
            <v>TAS</v>
          </cell>
          <cell r="D4243" t="str">
            <v>ESTRUCTURA MODULAR TP."C" 3 CELD. 10KV P. SE.SUBT.</v>
          </cell>
        </row>
        <row r="4244">
          <cell r="B4244">
            <v>6913016</v>
          </cell>
          <cell r="C4244" t="str">
            <v>TNC</v>
          </cell>
          <cell r="D4244" t="str">
            <v>ESTRUCTURA MODULAR TP."C" 3 CELD. 10KV P. SE.SUBT.</v>
          </cell>
        </row>
        <row r="4245">
          <cell r="B4245">
            <v>6913024</v>
          </cell>
          <cell r="C4245" t="str">
            <v>TAS</v>
          </cell>
          <cell r="D4245" t="str">
            <v>ESTRUCTURA MOD.TP."A" 1 CELD.TRANSF.  1 CELD. 20KV</v>
          </cell>
        </row>
        <row r="4246">
          <cell r="B4246">
            <v>6913024</v>
          </cell>
          <cell r="C4246" t="str">
            <v>TNC</v>
          </cell>
          <cell r="D4246" t="str">
            <v>ESTRUCTURA MOD.TP."A" 1 CELD.TRANSF.  1 CELD. 20KV</v>
          </cell>
        </row>
        <row r="4247">
          <cell r="B4247">
            <v>6913028</v>
          </cell>
          <cell r="C4247" t="str">
            <v>TAS</v>
          </cell>
          <cell r="D4247" t="str">
            <v>ESTRUCTURA MODULAR TIPO "B"   2 CELDAS  DE    20KV</v>
          </cell>
        </row>
        <row r="4248">
          <cell r="B4248">
            <v>6913028</v>
          </cell>
          <cell r="C4248" t="str">
            <v>TNC</v>
          </cell>
          <cell r="D4248" t="str">
            <v>ESTRUCTURA MODULAR TIPO "B"   2 CELDAS  DE    20KV</v>
          </cell>
        </row>
        <row r="4249">
          <cell r="B4249">
            <v>6913032</v>
          </cell>
          <cell r="C4249" t="str">
            <v>TAS</v>
          </cell>
          <cell r="D4249" t="str">
            <v>ESTRUCTURA MOD. TP."C" 2 CELD.TRANSF. 1 CELD. 20KV</v>
          </cell>
        </row>
        <row r="4250">
          <cell r="B4250">
            <v>6913032</v>
          </cell>
          <cell r="C4250" t="str">
            <v>TNC</v>
          </cell>
          <cell r="D4250" t="str">
            <v>ESTRUCTURA MOD. TP."C" 2 CELD.TRANSF. 1 CELD. 20KV</v>
          </cell>
        </row>
        <row r="4251">
          <cell r="B4251">
            <v>6913080</v>
          </cell>
          <cell r="C4251" t="str">
            <v>TAS</v>
          </cell>
          <cell r="D4251" t="str">
            <v>ESTRUCTURA SOPORTE P. INTERR. AUTOMAT. SF6 10KV M.</v>
          </cell>
        </row>
        <row r="4252">
          <cell r="B4252">
            <v>6913080</v>
          </cell>
          <cell r="C4252" t="str">
            <v>TNC</v>
          </cell>
          <cell r="D4252" t="str">
            <v>ESTRUCTURA SOPORTE P. INTERR. AUTOMAT. SF6 10KV M.</v>
          </cell>
        </row>
        <row r="4253">
          <cell r="B4253">
            <v>6913090</v>
          </cell>
          <cell r="C4253" t="str">
            <v>TAS</v>
          </cell>
          <cell r="D4253" t="str">
            <v>ESTRUCTURA SOPORTE P. INTERR. AUTOMAT. SF6 22,9KV</v>
          </cell>
        </row>
        <row r="4254">
          <cell r="B4254">
            <v>6913090</v>
          </cell>
          <cell r="C4254" t="str">
            <v>TNC</v>
          </cell>
          <cell r="D4254" t="str">
            <v>ESTRUCTURA SOPORTE P. INTERR. AUTOMAT. SF6 22,9KV</v>
          </cell>
        </row>
        <row r="4255">
          <cell r="B4255">
            <v>6913114</v>
          </cell>
          <cell r="C4255" t="str">
            <v>TAS</v>
          </cell>
          <cell r="D4255" t="str">
            <v>REJA DE BARROTES C/MALLA 1.70X0.4M P.S.E.CONV.20KV</v>
          </cell>
        </row>
        <row r="4256">
          <cell r="B4256">
            <v>6913114</v>
          </cell>
          <cell r="C4256" t="str">
            <v>TNC</v>
          </cell>
          <cell r="D4256" t="str">
            <v>REJA DE BARROTES C/MALLA 1.70X0.4M P.S.E.CONV.20KV</v>
          </cell>
        </row>
        <row r="4257">
          <cell r="B4257">
            <v>6913115</v>
          </cell>
          <cell r="C4257" t="str">
            <v>TAS</v>
          </cell>
          <cell r="D4257" t="str">
            <v>REJA DE BARROTES PARA SS.EE.CONVENCIONAL     20KV.</v>
          </cell>
        </row>
        <row r="4258">
          <cell r="B4258">
            <v>6913115</v>
          </cell>
          <cell r="C4258" t="str">
            <v>TNC</v>
          </cell>
          <cell r="D4258" t="str">
            <v>REJA DE BARROTES PARA SS.EE.CONVENCIONAL     20KV.</v>
          </cell>
        </row>
        <row r="4259">
          <cell r="B4259">
            <v>6913116</v>
          </cell>
          <cell r="C4259" t="str">
            <v>TAS</v>
          </cell>
          <cell r="D4259" t="str">
            <v>REJA PISO PARA AIRE SS.EE.CONVENCIONAL      20KV.</v>
          </cell>
        </row>
        <row r="4260">
          <cell r="B4260">
            <v>6913116</v>
          </cell>
          <cell r="C4260" t="str">
            <v>TNC</v>
          </cell>
          <cell r="D4260" t="str">
            <v>REJA PISO PARA AIRE SS.EE.CONVENCIONAL      20KV.</v>
          </cell>
        </row>
        <row r="4261">
          <cell r="B4261">
            <v>6913214</v>
          </cell>
          <cell r="C4261" t="str">
            <v>TAS</v>
          </cell>
          <cell r="D4261" t="str">
            <v>REJA P.VENTILACION EN SE.COMPACTA SUBT.1200X1500MM</v>
          </cell>
        </row>
        <row r="4262">
          <cell r="B4262">
            <v>6913282</v>
          </cell>
          <cell r="C4262" t="str">
            <v>FBP</v>
          </cell>
          <cell r="D4262" t="str">
            <v>REFUERZO DE POLIESTER REFORZADO C.FIBRA DE VIDRIO PRFV DE 339MM X 1,59M P.POSTE C.A.C. 11,5/300-400</v>
          </cell>
        </row>
        <row r="4263">
          <cell r="B4263">
            <v>6913283</v>
          </cell>
          <cell r="C4263" t="str">
            <v>CCF</v>
          </cell>
          <cell r="D4263" t="str">
            <v>REFUERZO DE POLIESTER REFORZADO C.FIBRA DE VIDRIO PRFV DE 348MM X 1,59M P.POSTE C.A.C. 11,5/300-400</v>
          </cell>
        </row>
        <row r="4264">
          <cell r="B4264">
            <v>6913283</v>
          </cell>
          <cell r="C4264" t="str">
            <v>FBL</v>
          </cell>
          <cell r="D4264" t="str">
            <v>REFUERZO DE POLIESTER REFORZADO C.FIBRA DE VIDRIO PRFV DE 348MM X 1,59M P.POSTE C.A.C. 11,5/300-400</v>
          </cell>
        </row>
        <row r="4265">
          <cell r="B4265">
            <v>6913283</v>
          </cell>
          <cell r="C4265" t="str">
            <v>FBP</v>
          </cell>
          <cell r="D4265" t="str">
            <v>REFUERZO DE POLIESTER REFORZADO C.FIBRA DE VIDRIO PRFV DE 348MM X 1,59M P.POSTE C.A.C. 11,5/300-400</v>
          </cell>
        </row>
        <row r="4266">
          <cell r="B4266">
            <v>6913283</v>
          </cell>
          <cell r="C4266" t="str">
            <v>FPK</v>
          </cell>
          <cell r="D4266" t="str">
            <v>REFUERZO DE POLIESTER REFORZADO C.FIBRA DE VIDRIO PRFV DE 348MM X 1,59M P.POSTE C.A.C. 11,5/300-400</v>
          </cell>
        </row>
        <row r="4267">
          <cell r="B4267">
            <v>6913284</v>
          </cell>
          <cell r="C4267" t="str">
            <v>CCF</v>
          </cell>
          <cell r="D4267" t="str">
            <v>REFUERZO DE POLIESTER REFORZADO C.FIBRA DE VIDRIO PRFV 365MM X 1,59M P.POSTE C.A.C. 13 / 300-400-500</v>
          </cell>
        </row>
        <row r="4268">
          <cell r="B4268">
            <v>6913284</v>
          </cell>
          <cell r="C4268" t="str">
            <v>FBL</v>
          </cell>
          <cell r="D4268" t="str">
            <v>REFUERZO DE POLIESTER REFORZADO C.FIBRA DE VIDRIO PRFV 365MM X 1,59M P.POSTE C.A.C. 13 / 300-400-500</v>
          </cell>
        </row>
        <row r="4269">
          <cell r="B4269">
            <v>6913284</v>
          </cell>
          <cell r="C4269" t="str">
            <v>FBP</v>
          </cell>
          <cell r="D4269" t="str">
            <v>REFUERZO DE POLIESTER REFORZADO C.FIBRA DE VIDRIO PRFV 365MM X 1,59M P.POSTE C.A.C. 13 / 300-400-500</v>
          </cell>
        </row>
        <row r="4270">
          <cell r="B4270">
            <v>6913284</v>
          </cell>
          <cell r="C4270" t="str">
            <v>FPK</v>
          </cell>
          <cell r="D4270" t="str">
            <v>REFUERZO DE POLIESTER REFORZADO C.FIBRA DE VIDRIO PRFV 365MM X 1,59M P.POSTE C.A.C. 13 / 300-400-500</v>
          </cell>
        </row>
        <row r="4271">
          <cell r="B4271">
            <v>6913285</v>
          </cell>
          <cell r="C4271" t="str">
            <v>CCF</v>
          </cell>
          <cell r="D4271" t="str">
            <v>REFUERZO DE POLIESTER REFORZADO C.FIBRA DE VIDRIO PRFV 375MM X 1,59M P.POSTE C.A.C. 13 / 300-400-500</v>
          </cell>
        </row>
        <row r="4272">
          <cell r="B4272">
            <v>6913285</v>
          </cell>
          <cell r="C4272" t="str">
            <v>FBL</v>
          </cell>
          <cell r="D4272" t="str">
            <v>REFUERZO DE POLIESTER REFORZADO C.FIBRA DE VIDRIO PRFV 375MM X 1,59M P.POSTE C.A.C. 13 / 300-400-500</v>
          </cell>
        </row>
        <row r="4273">
          <cell r="B4273">
            <v>6913285</v>
          </cell>
          <cell r="C4273" t="str">
            <v>FBP</v>
          </cell>
          <cell r="D4273" t="str">
            <v>REFUERZO DE POLIESTER REFORZADO C.FIBRA DE VIDRIO PRFV 375MM X 1,59M P.POSTE C.A.C. 13 / 300-400-500</v>
          </cell>
        </row>
        <row r="4274">
          <cell r="B4274">
            <v>6913285</v>
          </cell>
          <cell r="C4274" t="str">
            <v>FPK</v>
          </cell>
          <cell r="D4274" t="str">
            <v>REFUERZO DE POLIESTER REFORZADO C.FIBRA DE VIDRIO PRFV 375MM X 1,59M P.POSTE C.A.C. 13 / 300-400-500</v>
          </cell>
        </row>
        <row r="4275">
          <cell r="B4275">
            <v>6913286</v>
          </cell>
          <cell r="C4275" t="str">
            <v>CCF</v>
          </cell>
          <cell r="D4275" t="str">
            <v>REFUERZO DE POLIESTER REFORZADO C.FIBRA DE VIDRIO PRFV DE 425MM X 1,59M P.POSTE C.A.C. 15 / 400-500</v>
          </cell>
        </row>
        <row r="4276">
          <cell r="B4276">
            <v>6913286</v>
          </cell>
          <cell r="C4276" t="str">
            <v>FBL</v>
          </cell>
          <cell r="D4276" t="str">
            <v>REFUERZO DE POLIESTER REFORZADO C.FIBRA DE VIDRIO PRFV DE 425MM X 1,59M P.POSTE C.A.C. 15 / 400-500</v>
          </cell>
        </row>
        <row r="4277">
          <cell r="B4277">
            <v>6913286</v>
          </cell>
          <cell r="C4277" t="str">
            <v>FBP</v>
          </cell>
          <cell r="D4277" t="str">
            <v>REFUERZO DE POLIESTER REFORZADO C.FIBRA DE VIDRIO PRFV DE 425MM X 1,59M P.POSTE C.A.C. 15 / 400-500</v>
          </cell>
        </row>
        <row r="4278">
          <cell r="B4278">
            <v>6913286</v>
          </cell>
          <cell r="C4278" t="str">
            <v>FPK</v>
          </cell>
          <cell r="D4278" t="str">
            <v>REFUERZO DE POLIESTER REFORZADO C.FIBRA DE VIDRIO PRFV DE 425MM X 1,59M P.POSTE C.A.C. 15 / 400-500</v>
          </cell>
        </row>
        <row r="4279">
          <cell r="B4279">
            <v>6913287</v>
          </cell>
          <cell r="C4279" t="str">
            <v>CCF</v>
          </cell>
          <cell r="D4279" t="str">
            <v>REFUERZO DE POLIESTER REFORZADO C.FIBRA DE VIDRIO PRFV DE 435MM X 1,59M P.POSTE C.A.C. 15 / 400-500</v>
          </cell>
        </row>
        <row r="4280">
          <cell r="B4280">
            <v>6913287</v>
          </cell>
          <cell r="C4280" t="str">
            <v>FBL</v>
          </cell>
          <cell r="D4280" t="str">
            <v>REFUERZO DE POLIESTER REFORZADO C.FIBRA DE VIDRIO PRFV DE 435MM X 1,59M P.POSTE C.A.C. 15 / 400-500</v>
          </cell>
        </row>
        <row r="4281">
          <cell r="B4281">
            <v>6913287</v>
          </cell>
          <cell r="C4281" t="str">
            <v>FBP</v>
          </cell>
          <cell r="D4281" t="str">
            <v>REFUERZO DE POLIESTER REFORZADO C.FIBRA DE VIDRIO PRFV DE 435MM X 1,59M P.POSTE C.A.C. 15 / 400-500</v>
          </cell>
        </row>
        <row r="4282">
          <cell r="B4282">
            <v>6913287</v>
          </cell>
          <cell r="C4282" t="str">
            <v>FPK</v>
          </cell>
          <cell r="D4282" t="str">
            <v>REFUERZO DE POLIESTER REFORZADO C.FIBRA DE VIDRIO PRFV DE 435MM X 1,59M P.POSTE C.A.C. 15 / 400-500</v>
          </cell>
        </row>
        <row r="4283">
          <cell r="B4283">
            <v>6913290</v>
          </cell>
          <cell r="C4283" t="str">
            <v>CCF</v>
          </cell>
          <cell r="D4283" t="str">
            <v>REFUERZO DE POLIESTER REFORZADO C.FIBRA DE VIDRIO PRFV DE 186MM X 1,22M P.POSTE C.A.C. 7 / 100</v>
          </cell>
        </row>
        <row r="4284">
          <cell r="B4284">
            <v>6913290</v>
          </cell>
          <cell r="C4284" t="str">
            <v>FBL</v>
          </cell>
          <cell r="D4284" t="str">
            <v>REFUERZO DE POLIESTER REFORZADO C.FIBRA DE VIDRIO PRFV DE 186MM X 1,22M P.POSTE C.A.C. 7 / 100</v>
          </cell>
        </row>
        <row r="4285">
          <cell r="B4285">
            <v>6913290</v>
          </cell>
          <cell r="C4285" t="str">
            <v>FBP</v>
          </cell>
          <cell r="D4285" t="str">
            <v>REFUERZO DE POLIESTER REFORZADO C.FIBRA DE VIDRIO PRFV DE 186MM X 1,22M P.POSTE C.A.C. 7 / 100</v>
          </cell>
        </row>
        <row r="4286">
          <cell r="B4286">
            <v>6913291</v>
          </cell>
          <cell r="C4286" t="str">
            <v>CCF</v>
          </cell>
          <cell r="D4286" t="str">
            <v>REFUERZO DE POLIESTER REFORZADO C.FIBRA DE VIDRIO PRFV DE 224MM X 1,24M P.POSTE C.A.C. 7 / 200</v>
          </cell>
        </row>
        <row r="4287">
          <cell r="B4287">
            <v>6913291</v>
          </cell>
          <cell r="C4287" t="str">
            <v>FBL</v>
          </cell>
          <cell r="D4287" t="str">
            <v>REFUERZO DE POLIESTER REFORZADO C.FIBRA DE VIDRIO PRFV DE 224MM X 1,24M P.POSTE C.A.C. 7 / 200</v>
          </cell>
        </row>
        <row r="4288">
          <cell r="B4288">
            <v>6913291</v>
          </cell>
          <cell r="C4288" t="str">
            <v>FBP</v>
          </cell>
          <cell r="D4288" t="str">
            <v>REFUERZO DE POLIESTER REFORZADO C.FIBRA DE VIDRIO PRFV DE 224MM X 1,24M P.POSTE C.A.C. 7 / 200</v>
          </cell>
        </row>
        <row r="4289">
          <cell r="B4289">
            <v>6913292</v>
          </cell>
          <cell r="C4289" t="str">
            <v>CCF</v>
          </cell>
          <cell r="D4289" t="str">
            <v>REFUERZO DE POLIESTER REFORZADO C.FIBRA DE VIDRIO PRFV DE 242MM X 1,41M P.POSTE C.A.C. 8,7 / 200</v>
          </cell>
        </row>
        <row r="4290">
          <cell r="B4290">
            <v>6913292</v>
          </cell>
          <cell r="C4290" t="str">
            <v>FBL</v>
          </cell>
          <cell r="D4290" t="str">
            <v>REFUERZO DE POLIESTER REFORZADO C.FIBRA DE VIDRIO PRFV DE 242MM X 1,41M P.POSTE C.A.C. 8,7 / 200</v>
          </cell>
        </row>
        <row r="4291">
          <cell r="B4291">
            <v>6913292</v>
          </cell>
          <cell r="C4291" t="str">
            <v>FBP</v>
          </cell>
          <cell r="D4291" t="str">
            <v>REFUERZO DE POLIESTER REFORZADO C.FIBRA DE VIDRIO PRFV DE 242MM X 1,41M P.POSTE C.A.C. 8,7 / 200</v>
          </cell>
        </row>
        <row r="4292">
          <cell r="B4292">
            <v>6913293</v>
          </cell>
          <cell r="C4292" t="str">
            <v>CCF</v>
          </cell>
          <cell r="D4292" t="str">
            <v>REFUERZO DE POLIESTER REFORZADO C.FIBRA DE VIDRIO PRFV DE 250MM X 1,39M P.POSTE C.A.C. 8,7 / 300</v>
          </cell>
        </row>
        <row r="4293">
          <cell r="B4293">
            <v>6913293</v>
          </cell>
          <cell r="C4293" t="str">
            <v>FBL</v>
          </cell>
          <cell r="D4293" t="str">
            <v>REFUERZO DE POLIESTER REFORZADO C.FIBRA DE VIDRIO PRFV DE 250MM X 1,39M P.POSTE C.A.C. 8,7 / 300</v>
          </cell>
        </row>
        <row r="4294">
          <cell r="B4294">
            <v>6913293</v>
          </cell>
          <cell r="C4294" t="str">
            <v>FBP</v>
          </cell>
          <cell r="D4294" t="str">
            <v>REFUERZO DE POLIESTER REFORZADO C.FIBRA DE VIDRIO PRFV DE 250MM X 1,39M P.POSTE C.A.C. 8,7 / 300</v>
          </cell>
        </row>
        <row r="4295">
          <cell r="B4295">
            <v>6913294</v>
          </cell>
          <cell r="C4295" t="str">
            <v>CCF</v>
          </cell>
          <cell r="D4295" t="str">
            <v>REFUERZO DE POLIESTER REFORZADO C.FIBRA DE VIDRIO PRFV DE 337MM X 1,50M P.POSTE C.A.C. 11,5 / 300</v>
          </cell>
        </row>
        <row r="4296">
          <cell r="B4296">
            <v>6913294</v>
          </cell>
          <cell r="C4296" t="str">
            <v>FBL</v>
          </cell>
          <cell r="D4296" t="str">
            <v>REFUERZO DE POLIESTER REFORZADO C.FIBRA DE VIDRIO PRFV DE 337MM X 1,50M P.POSTE C.A.C. 11,5 / 300</v>
          </cell>
        </row>
        <row r="4297">
          <cell r="B4297">
            <v>6913294</v>
          </cell>
          <cell r="C4297" t="str">
            <v>FBP</v>
          </cell>
          <cell r="D4297" t="str">
            <v>REFUERZO DE POLIESTER REFORZADO C.FIBRA DE VIDRIO PRFV DE 337MM X 1,50M P.POSTE C.A.C. 11,5 / 300</v>
          </cell>
        </row>
        <row r="4298">
          <cell r="B4298">
            <v>6913295</v>
          </cell>
          <cell r="C4298" t="str">
            <v>CCF</v>
          </cell>
          <cell r="D4298" t="str">
            <v>REFUERZO DE POLIESTER REFORZADO C.FIBRA DE VIDRIO PRFV DE 117MM X 1,40M P.POSTE DE ACERO 7M</v>
          </cell>
        </row>
        <row r="4299">
          <cell r="B4299">
            <v>6913295</v>
          </cell>
          <cell r="C4299" t="str">
            <v>FBL</v>
          </cell>
          <cell r="D4299" t="str">
            <v>REFUERZO DE POLIESTER REFORZADO C.FIBRA DE VIDRIO PRFV DE 117MM X 1,40M P.POSTE DE ACERO 7M</v>
          </cell>
        </row>
        <row r="4300">
          <cell r="B4300">
            <v>6913295</v>
          </cell>
          <cell r="C4300" t="str">
            <v>FBP</v>
          </cell>
          <cell r="D4300" t="str">
            <v>REFUERZO DE POLIESTER REFORZADO C.FIBRA DE VIDRIO PRFV DE 117MM X 1,40M P.POSTE DE ACERO 7M</v>
          </cell>
        </row>
        <row r="4301">
          <cell r="B4301">
            <v>6913296</v>
          </cell>
          <cell r="C4301" t="str">
            <v>CCF</v>
          </cell>
          <cell r="D4301" t="str">
            <v>REFUERZO DE POLIESTER REFORZADO C.FIBRA DE VIDRIO PRFV DE 141MM X 1,40M P.POSTE DE ACERO 9M</v>
          </cell>
        </row>
        <row r="4302">
          <cell r="B4302">
            <v>6913296</v>
          </cell>
          <cell r="C4302" t="str">
            <v>FBL</v>
          </cell>
          <cell r="D4302" t="str">
            <v>REFUERZO DE POLIESTER REFORZADO C.FIBRA DE VIDRIO PRFV DE 141MM X 1,40M P.POSTE DE ACERO 9M</v>
          </cell>
        </row>
        <row r="4303">
          <cell r="B4303">
            <v>6913296</v>
          </cell>
          <cell r="C4303" t="str">
            <v>FBP</v>
          </cell>
          <cell r="D4303" t="str">
            <v>REFUERZO DE POLIESTER REFORZADO C.FIBRA DE VIDRIO PRFV DE 141MM X 1,40M P.POSTE DE ACERO 9M</v>
          </cell>
        </row>
        <row r="4304">
          <cell r="B4304">
            <v>6913297</v>
          </cell>
          <cell r="C4304" t="str">
            <v>CCF</v>
          </cell>
          <cell r="D4304" t="str">
            <v>REFUERZO DE POLIESTER REFORZADO C.FIBRA DE VIDRIO PRFV DE 309MM X 1,59M P.POSTE C.A.C. 11,5 / 200</v>
          </cell>
        </row>
        <row r="4305">
          <cell r="B4305">
            <v>6913297</v>
          </cell>
          <cell r="C4305" t="str">
            <v>FBL</v>
          </cell>
          <cell r="D4305" t="str">
            <v>REFUERZO DE POLIESTER REFORZADO C.FIBRA DE VIDRIO PRFV DE 309MM X 1,59M P.POSTE C.A.C. 11,5 / 200</v>
          </cell>
        </row>
        <row r="4306">
          <cell r="B4306">
            <v>6913297</v>
          </cell>
          <cell r="C4306" t="str">
            <v>FBP</v>
          </cell>
          <cell r="D4306" t="str">
            <v>REFUERZO DE POLIESTER REFORZADO C.FIBRA DE VIDRIO PRFV DE 309MM X 1,59M P.POSTE C.A.C. 11,5 / 200</v>
          </cell>
        </row>
        <row r="4307">
          <cell r="B4307">
            <v>6913297</v>
          </cell>
          <cell r="C4307" t="str">
            <v>FPK</v>
          </cell>
          <cell r="D4307" t="str">
            <v>REFUERZO DE POLIESTER REFORZADO C.FIBRA DE VIDRIO PRFV DE 309MM X 1,59M P.POSTE C.A.C. 11,5 / 200</v>
          </cell>
        </row>
        <row r="4308">
          <cell r="B4308">
            <v>6913298</v>
          </cell>
          <cell r="C4308" t="str">
            <v>CCF</v>
          </cell>
          <cell r="D4308" t="str">
            <v>REFUERZO DE POLIESTER REFORZADO C.FIBRA DE VIDRIO PRFV DE 318MM X 1,59M P.POSTE C.A.C. 11,5 / 200</v>
          </cell>
        </row>
        <row r="4309">
          <cell r="B4309">
            <v>6913298</v>
          </cell>
          <cell r="C4309" t="str">
            <v>FBL</v>
          </cell>
          <cell r="D4309" t="str">
            <v>REFUERZO DE POLIESTER REFORZADO C.FIBRA DE VIDRIO PRFV DE 318MM X 1,59M P.POSTE C.A.C. 11,5 / 200</v>
          </cell>
        </row>
        <row r="4310">
          <cell r="B4310">
            <v>6913298</v>
          </cell>
          <cell r="C4310" t="str">
            <v>FBP</v>
          </cell>
          <cell r="D4310" t="str">
            <v>REFUERZO DE POLIESTER REFORZADO C.FIBRA DE VIDRIO PRFV DE 318MM X 1,59M P.POSTE C.A.C. 11,5 / 200</v>
          </cell>
        </row>
        <row r="4311">
          <cell r="B4311">
            <v>6913298</v>
          </cell>
          <cell r="C4311" t="str">
            <v>FPK</v>
          </cell>
          <cell r="D4311" t="str">
            <v>REFUERZO DE POLIESTER REFORZADO C.FIBRA DE VIDRIO PRFV DE 318MM X 1,59M P.POSTE C.A.C. 11,5 / 200</v>
          </cell>
        </row>
        <row r="4312">
          <cell r="B4312">
            <v>6913301</v>
          </cell>
          <cell r="C4312" t="str">
            <v>DBE</v>
          </cell>
          <cell r="D4312" t="str">
            <v>PROTECTOR DIELECT.P/CELDAS SECCIONADOR - INTERRUPTOR, TRANSFORMADOR DISTRIB.EN 10KV</v>
          </cell>
        </row>
        <row r="4313">
          <cell r="B4313">
            <v>6913301</v>
          </cell>
          <cell r="C4313" t="str">
            <v>ESS</v>
          </cell>
          <cell r="D4313" t="str">
            <v>PROTECTOR DIELECT.P/CELDAS SECCIONADOR - INTERRUPTOR, TRANSFORMADOR DISTRIB.EN 10KV</v>
          </cell>
        </row>
        <row r="4314">
          <cell r="B4314">
            <v>6913302</v>
          </cell>
          <cell r="C4314" t="str">
            <v>DBE</v>
          </cell>
          <cell r="D4314" t="str">
            <v>PROTECTOR DIELECT.P/CELDAS SECCIONADOR - INTERRUPTOR, TRANSFORMADOR DISTRIB EN 22,9KV</v>
          </cell>
        </row>
        <row r="4315">
          <cell r="B4315">
            <v>6913302</v>
          </cell>
          <cell r="C4315" t="str">
            <v>ESS</v>
          </cell>
          <cell r="D4315" t="str">
            <v>PROTECTOR DIELECT.P/CELDAS SECCIONADOR - INTERRUPTOR, TRANSFORMADOR DISTRIB EN 22,9KV</v>
          </cell>
        </row>
        <row r="4316">
          <cell r="B4316">
            <v>6913303</v>
          </cell>
          <cell r="C4316" t="str">
            <v>ESS</v>
          </cell>
          <cell r="D4316" t="str">
            <v>PROTECTOR DIELECT.P.CELDAS SECCIONADOR - INTERRUPTOR, TRANSFORMADOR DISTRIB.EN 10KV</v>
          </cell>
        </row>
        <row r="4317">
          <cell r="B4317">
            <v>6913304</v>
          </cell>
          <cell r="C4317" t="str">
            <v>ESS</v>
          </cell>
          <cell r="D4317" t="str">
            <v>PROTECTOR DIELECT.P/CELDAS DE TRANSFORMADOR TIPO FMG Y PREFABRIC - 10 KV (FIBRA VIDRIO REFORZ)</v>
          </cell>
        </row>
        <row r="4318">
          <cell r="B4318">
            <v>6913305</v>
          </cell>
          <cell r="C4318" t="str">
            <v>ESS</v>
          </cell>
          <cell r="D4318" t="str">
            <v>PROTECTOR DIELECT.P/CELDAS DE SECCIONADOR O  INTERRUPTOR PREFABRIC - 22.9 KV (FIBRA VIDRIO REFORZ)</v>
          </cell>
        </row>
        <row r="4319">
          <cell r="B4319">
            <v>6913306</v>
          </cell>
          <cell r="C4319" t="str">
            <v>ESS</v>
          </cell>
          <cell r="D4319" t="str">
            <v>PROTECTOR DIELECT.P/CELDAS DE TRANSFORMADOR TIPO PREFABRIC - 22.9  KV (FIBRA VIDRIO REFORZ)</v>
          </cell>
        </row>
        <row r="4320">
          <cell r="B4320">
            <v>6913390</v>
          </cell>
          <cell r="C4320" t="str">
            <v>ITC</v>
          </cell>
          <cell r="D4320" t="str">
            <v>CELDA EXTERIOR DE PROTECCION Y SECCIONAMIENTO (CEPS) DE 10KV EQUIPADA</v>
          </cell>
        </row>
        <row r="4321">
          <cell r="B4321">
            <v>6913390</v>
          </cell>
          <cell r="C4321" t="str">
            <v>JYW</v>
          </cell>
          <cell r="D4321" t="str">
            <v>CELDA EXTERIOR DE PROTECCION Y SECCIONAMIENTO (CEPS) DE 10KV EQUIPADA</v>
          </cell>
        </row>
        <row r="4322">
          <cell r="B4322">
            <v>6913390</v>
          </cell>
          <cell r="C4322" t="str">
            <v>SGC</v>
          </cell>
          <cell r="D4322" t="str">
            <v>CELDA EXTERIOR DE PROTECCION Y SECCIONAMIENTO (CEPS) DE 10KV EQUIPADA</v>
          </cell>
        </row>
        <row r="4323">
          <cell r="B4323">
            <v>6913434</v>
          </cell>
          <cell r="C4323" t="str">
            <v>ITC</v>
          </cell>
          <cell r="D4323" t="str">
            <v>GABINETE METALICO P.EQUIPOS DE PROTECCION 800 X 2000 X 600MM EQUIPADO P.SED CONVENCIONAL</v>
          </cell>
        </row>
        <row r="4324">
          <cell r="B4324">
            <v>6913434</v>
          </cell>
          <cell r="C4324" t="str">
            <v>JYW</v>
          </cell>
          <cell r="D4324" t="str">
            <v>GABINETE METALICO P.EQUIPOS DE PROTECCION 800 X 2000 X 600MM EQUIPADO P.SED CONVENCIONAL</v>
          </cell>
        </row>
        <row r="4325">
          <cell r="B4325">
            <v>6913434</v>
          </cell>
          <cell r="C4325" t="str">
            <v>SGC</v>
          </cell>
          <cell r="D4325" t="str">
            <v>GABINETE METALICO P.EQUIPOS DE PROTECCION 800 X 2000 X 600MM EQUIPADO P.SED CONVENCIONAL</v>
          </cell>
        </row>
        <row r="4326">
          <cell r="B4326">
            <v>6914254</v>
          </cell>
          <cell r="C4326" t="str">
            <v>ESS</v>
          </cell>
          <cell r="D4326" t="str">
            <v>SELLO DE BRONCE P.IDENTIFICACION EMPALME SUBTERRANEO MT</v>
          </cell>
        </row>
        <row r="4327">
          <cell r="B4327">
            <v>6914254</v>
          </cell>
          <cell r="C4327" t="str">
            <v>JYN</v>
          </cell>
          <cell r="D4327" t="str">
            <v>SELLO DE BRONCE P.IDENTIFICACION EMPALME SUBTERRANEO MT</v>
          </cell>
        </row>
        <row r="4328">
          <cell r="B4328">
            <v>6931004</v>
          </cell>
          <cell r="C4328" t="str">
            <v>CDC</v>
          </cell>
          <cell r="D4328" t="str">
            <v>CAJA TOMA TP."L" CON TABLERO, VIDRIO Y CERRADURA</v>
          </cell>
        </row>
        <row r="4329">
          <cell r="B4329">
            <v>6931004</v>
          </cell>
          <cell r="C4329" t="str">
            <v>IAT</v>
          </cell>
          <cell r="D4329" t="str">
            <v>CAJA TOMA TP."L" CON TABLERO, VIDRIO Y CERRADURA</v>
          </cell>
        </row>
        <row r="4330">
          <cell r="B4330">
            <v>6931004</v>
          </cell>
          <cell r="C4330" t="str">
            <v>IDS</v>
          </cell>
          <cell r="D4330" t="str">
            <v>CAJA TOMA TP."L" CON TABLERO, VIDRIO Y CERRADURA</v>
          </cell>
        </row>
        <row r="4331">
          <cell r="B4331">
            <v>6931004</v>
          </cell>
          <cell r="C4331" t="str">
            <v>PIC</v>
          </cell>
          <cell r="D4331" t="str">
            <v>CAJA TOMA TP."L" CON TABLERO, VIDRIO Y CERRADURA</v>
          </cell>
        </row>
        <row r="4332">
          <cell r="B4332">
            <v>6931008</v>
          </cell>
          <cell r="C4332" t="str">
            <v>IAT</v>
          </cell>
          <cell r="D4332" t="str">
            <v>CAJA TOMA TP. "L" EMBUTIDA C/VISOR Y CERRADURA</v>
          </cell>
        </row>
        <row r="4333">
          <cell r="B4333">
            <v>6931020</v>
          </cell>
          <cell r="C4333" t="str">
            <v>CDC</v>
          </cell>
          <cell r="D4333" t="str">
            <v>CAJA DE TOMA Y MEDICION TP. LR DE 183X380X175MM C.TABLERO Y TAPA METALICA</v>
          </cell>
        </row>
        <row r="4334">
          <cell r="B4334">
            <v>6931020</v>
          </cell>
          <cell r="C4334" t="str">
            <v>IAD</v>
          </cell>
          <cell r="D4334" t="str">
            <v>CAJA DE TOMA Y MEDICION TP. LR DE 183X380X175MM C.TABLERO Y TAPA METALICA</v>
          </cell>
        </row>
        <row r="4335">
          <cell r="B4335">
            <v>6931020</v>
          </cell>
          <cell r="C4335" t="str">
            <v>IAT</v>
          </cell>
          <cell r="D4335" t="str">
            <v>CAJA DE TOMA Y MEDICION TP. LR DE 183X380X175MM C.TABLERO Y TAPA METALICA</v>
          </cell>
        </row>
        <row r="4336">
          <cell r="B4336">
            <v>6931020</v>
          </cell>
          <cell r="C4336" t="str">
            <v>PIC</v>
          </cell>
          <cell r="D4336" t="str">
            <v>CAJA DE TOMA Y MEDICION TP. LR DE 183X380X175MM C.TABLERO Y TAPA METALICA</v>
          </cell>
        </row>
        <row r="4337">
          <cell r="B4337">
            <v>6931020</v>
          </cell>
          <cell r="C4337" t="str">
            <v>STL</v>
          </cell>
          <cell r="D4337" t="str">
            <v>CAJA DE TOMA Y MEDICION TP. LR DE 183X380X175MM C.TABLERO Y TAPA METALICA</v>
          </cell>
        </row>
        <row r="4338">
          <cell r="B4338">
            <v>6931021</v>
          </cell>
          <cell r="C4338" t="str">
            <v>CDC</v>
          </cell>
          <cell r="D4338" t="str">
            <v>CAJA DE TOMA Y MEDICION TP. LTR DE 243X450X200MM C.TABLERO Y TAPA METALICA</v>
          </cell>
        </row>
        <row r="4339">
          <cell r="B4339">
            <v>6931021</v>
          </cell>
          <cell r="C4339" t="str">
            <v>IAT</v>
          </cell>
          <cell r="D4339" t="str">
            <v>CAJA DE TOMA Y MEDICION TP. LTR DE 243X450X200MM C.TABLERO Y TAPA METALICA</v>
          </cell>
        </row>
        <row r="4340">
          <cell r="B4340">
            <v>6931021</v>
          </cell>
          <cell r="C4340" t="str">
            <v>IDS</v>
          </cell>
          <cell r="D4340" t="str">
            <v>CAJA DE TOMA Y MEDICION TP. LTR DE 243X450X200MM C.TABLERO Y TAPA METALICA</v>
          </cell>
        </row>
        <row r="4341">
          <cell r="B4341">
            <v>6931021</v>
          </cell>
          <cell r="C4341" t="str">
            <v>PIC</v>
          </cell>
          <cell r="D4341" t="str">
            <v>CAJA DE TOMA Y MEDICION TP. LTR DE 243X450X200MM C.TABLERO Y TAPA METALICA</v>
          </cell>
        </row>
        <row r="4342">
          <cell r="B4342">
            <v>6931021</v>
          </cell>
          <cell r="C4342" t="str">
            <v>STL</v>
          </cell>
          <cell r="D4342" t="str">
            <v>CAJA DE TOMA Y MEDICION TP. LTR DE 243X450X200MM C.TABLERO Y TAPA METALICA</v>
          </cell>
        </row>
        <row r="4343">
          <cell r="B4343">
            <v>6931022</v>
          </cell>
          <cell r="C4343" t="str">
            <v>CCF</v>
          </cell>
          <cell r="D4343" t="str">
            <v>CAJA DE TOMA Y MEDICION TP. LRP DE 183X380X120MM C.TABLERO Y TAPA DE POLIESTER REFORZADA</v>
          </cell>
        </row>
        <row r="4344">
          <cell r="B4344">
            <v>6931022</v>
          </cell>
          <cell r="C4344" t="str">
            <v>FBR</v>
          </cell>
          <cell r="D4344" t="str">
            <v>CAJA DE TOMA Y MEDICION TP. LRP DE 183X380X120MM C.TABLERO Y TAPA DE POLIESTER REFORZADA</v>
          </cell>
        </row>
        <row r="4345">
          <cell r="B4345">
            <v>6931023</v>
          </cell>
          <cell r="C4345" t="str">
            <v>IAD</v>
          </cell>
          <cell r="D4345" t="str">
            <v>CAJA DE TOMA Y MEDICION TP. LRM DE 183X380X135MM C.TABLERO Y TAPA METALICA</v>
          </cell>
        </row>
        <row r="4346">
          <cell r="B4346">
            <v>6931023</v>
          </cell>
          <cell r="C4346" t="str">
            <v>IAT</v>
          </cell>
          <cell r="D4346" t="str">
            <v>CAJA DE TOMA Y MEDICION TP. LRM DE 183X380X135MM C.TABLERO Y TAPA METALICA</v>
          </cell>
        </row>
        <row r="4347">
          <cell r="B4347">
            <v>6931024</v>
          </cell>
          <cell r="C4347" t="str">
            <v>CIC</v>
          </cell>
          <cell r="D4347" t="str">
            <v>CAJA DE MEDICION MONOFASICA TP. LRM - F DE PRFV 180X380X135MM C.TABLERO Y TAPA</v>
          </cell>
        </row>
        <row r="4348">
          <cell r="B4348">
            <v>6931025</v>
          </cell>
          <cell r="C4348" t="str">
            <v>CIC</v>
          </cell>
          <cell r="D4348" t="str">
            <v>CAJA DE MEDICION TRIFASICA TP. LTRM - FR DE PRFV 240X450X160MM C.TABLERO Y TAPA</v>
          </cell>
        </row>
        <row r="4349">
          <cell r="B4349">
            <v>6931026</v>
          </cell>
          <cell r="C4349" t="str">
            <v>CIC</v>
          </cell>
          <cell r="D4349" t="str">
            <v>CAJA DE MEDICION TRIFASICA TP. LTRM - FR DE PRFV 240X450X200MM C.TABLERO Y TAPA</v>
          </cell>
        </row>
        <row r="4350">
          <cell r="B4350">
            <v>6931028</v>
          </cell>
          <cell r="C4350" t="str">
            <v>GGG</v>
          </cell>
          <cell r="D4350" t="str">
            <v>CAJA DE MEDICION MONOFASICA  FABRICADO CON MATERIAL POLIMERICO DE 183 X 380 X 110 MM</v>
          </cell>
        </row>
        <row r="4351">
          <cell r="B4351">
            <v>6931031</v>
          </cell>
          <cell r="C4351" t="str">
            <v>CDC</v>
          </cell>
          <cell r="D4351" t="str">
            <v>CAJA TOMA TP. "LTT" 200X245X525MM C/TABL. Y CERRAD. S/VISOR</v>
          </cell>
        </row>
        <row r="4352">
          <cell r="B4352">
            <v>6931031</v>
          </cell>
          <cell r="C4352" t="str">
            <v>FLX</v>
          </cell>
          <cell r="D4352" t="str">
            <v>CAJA TOMA TP. "LTT" 200X245X525MM C/TABL. Y CERRAD. S/VISOR</v>
          </cell>
        </row>
        <row r="4353">
          <cell r="B4353">
            <v>6931031</v>
          </cell>
          <cell r="C4353" t="str">
            <v>IAT</v>
          </cell>
          <cell r="D4353" t="str">
            <v>CAJA TOMA TP. "LTT" 200X245X525MM C/TABL. Y CERRAD. S/VISOR</v>
          </cell>
        </row>
        <row r="4354">
          <cell r="B4354">
            <v>6931031</v>
          </cell>
          <cell r="C4354" t="str">
            <v>IDS</v>
          </cell>
          <cell r="D4354" t="str">
            <v>CAJA TOMA TP. "LTT" 200X245X525MM C/TABL. Y CERRAD. S/VISOR</v>
          </cell>
        </row>
        <row r="4355">
          <cell r="B4355">
            <v>6931031</v>
          </cell>
          <cell r="C4355" t="str">
            <v>PIC</v>
          </cell>
          <cell r="D4355" t="str">
            <v>CAJA TOMA TP. "LTT" 200X245X525MM C/TABL. Y CERRAD. S/VISOR</v>
          </cell>
        </row>
        <row r="4356">
          <cell r="B4356">
            <v>6931033</v>
          </cell>
          <cell r="C4356" t="str">
            <v>CDC</v>
          </cell>
          <cell r="D4356" t="str">
            <v>CAJA MEDICION TP."LTM" 20OX245X525MM C/TABL.,VISOR Y CERRAD.</v>
          </cell>
        </row>
        <row r="4357">
          <cell r="B4357">
            <v>6931033</v>
          </cell>
          <cell r="C4357" t="str">
            <v>FLX</v>
          </cell>
          <cell r="D4357" t="str">
            <v>CAJA MEDICION TP."LTM" 20OX245X525MM C/TABL.,VISOR Y CERRAD.</v>
          </cell>
        </row>
        <row r="4358">
          <cell r="B4358">
            <v>6931033</v>
          </cell>
          <cell r="C4358" t="str">
            <v>IAT</v>
          </cell>
          <cell r="D4358" t="str">
            <v>CAJA MEDICION TP."LTM" 20OX245X525MM C/TABL.,VISOR Y CERRAD.</v>
          </cell>
        </row>
        <row r="4359">
          <cell r="B4359">
            <v>6931033</v>
          </cell>
          <cell r="C4359" t="str">
            <v>IDS</v>
          </cell>
          <cell r="D4359" t="str">
            <v>CAJA MEDICION TP."LTM" 20OX245X525MM C/TABL.,VISOR Y CERRAD.</v>
          </cell>
        </row>
        <row r="4360">
          <cell r="B4360">
            <v>6931033</v>
          </cell>
          <cell r="C4360" t="str">
            <v>PIC</v>
          </cell>
          <cell r="D4360" t="str">
            <v>CAJA MEDICION TP."LTM" 20OX245X525MM C/TABL.,VISOR Y CERRAD.</v>
          </cell>
        </row>
        <row r="4361">
          <cell r="B4361">
            <v>6931034</v>
          </cell>
          <cell r="C4361" t="str">
            <v>CDC</v>
          </cell>
          <cell r="D4361" t="str">
            <v>CAJA TOMA TP."LT" C/TABLERO,  VIDRIO Y CERRADURA</v>
          </cell>
        </row>
        <row r="4362">
          <cell r="B4362">
            <v>6931034</v>
          </cell>
          <cell r="C4362" t="str">
            <v>IAT</v>
          </cell>
          <cell r="D4362" t="str">
            <v>CAJA TOMA TP."LT" C/TABLERO,  VIDRIO Y CERRADURA</v>
          </cell>
        </row>
        <row r="4363">
          <cell r="B4363">
            <v>6931034</v>
          </cell>
          <cell r="C4363" t="str">
            <v>IDS</v>
          </cell>
          <cell r="D4363" t="str">
            <v>CAJA TOMA TP."LT" C/TABLERO,  VIDRIO Y CERRADURA</v>
          </cell>
        </row>
        <row r="4364">
          <cell r="B4364">
            <v>6931034</v>
          </cell>
          <cell r="C4364" t="str">
            <v>PIC</v>
          </cell>
          <cell r="D4364" t="str">
            <v>CAJA TOMA TP."LT" C/TABLERO,  VIDRIO Y CERRADURA</v>
          </cell>
        </row>
        <row r="4365">
          <cell r="B4365">
            <v>6931055</v>
          </cell>
          <cell r="C4365" t="str">
            <v>CIC</v>
          </cell>
          <cell r="D4365" t="str">
            <v>CAJA DE MEDICION TRIFASICA MULTIFUNCION TP. LTMM-F DE 240X525X200MM EN PRFV 2,50MM C.TABLERO Y TAPA</v>
          </cell>
        </row>
        <row r="4366">
          <cell r="B4366">
            <v>6931066</v>
          </cell>
          <cell r="C4366" t="str">
            <v>CCH</v>
          </cell>
          <cell r="D4366" t="str">
            <v>CAJA METALICA PORTAMEDIDOR TRIFASICA TP. 3B 505 X 410 X 262MM</v>
          </cell>
        </row>
        <row r="4367">
          <cell r="B4367">
            <v>6931066</v>
          </cell>
          <cell r="C4367" t="str">
            <v>IAT</v>
          </cell>
          <cell r="D4367" t="str">
            <v>CAJA METALICA PORTAMEDIDOR TRIFASICA TP. 3B 505 X 410 X 262MM</v>
          </cell>
        </row>
        <row r="4368">
          <cell r="B4368">
            <v>6931066</v>
          </cell>
          <cell r="C4368" t="str">
            <v>IDS</v>
          </cell>
          <cell r="D4368" t="str">
            <v>CAJA METALICA PORTAMEDIDOR TRIFASICA TP. 3B 505 X 410 X 262MM</v>
          </cell>
        </row>
        <row r="4369">
          <cell r="B4369">
            <v>6931066</v>
          </cell>
          <cell r="C4369" t="str">
            <v>PIC</v>
          </cell>
          <cell r="D4369" t="str">
            <v>CAJA METALICA PORTAMEDIDOR TRIFASICA TP. 3B 505 X 410 X 262MM</v>
          </cell>
        </row>
        <row r="4370">
          <cell r="B4370">
            <v>6931069</v>
          </cell>
          <cell r="C4370" t="str">
            <v>IAT</v>
          </cell>
          <cell r="D4370" t="str">
            <v>CAJA PORTAEQUIPO.PARA.MEDICION.C.P.-EQUIPADA.</v>
          </cell>
        </row>
        <row r="4371">
          <cell r="B4371">
            <v>6931084</v>
          </cell>
          <cell r="C4371" t="str">
            <v>CDC</v>
          </cell>
          <cell r="D4371" t="str">
            <v>CAJA P/ACOMETIDA A PENSION FIJA 184X135X143MM.C/CERRAD.</v>
          </cell>
        </row>
        <row r="4372">
          <cell r="B4372">
            <v>6931084</v>
          </cell>
          <cell r="C4372" t="str">
            <v>CHA</v>
          </cell>
          <cell r="D4372" t="str">
            <v>CAJA P/ACOMETIDA A PENSION FIJA 184X135X143MM.C/CERRAD.</v>
          </cell>
        </row>
        <row r="4373">
          <cell r="B4373">
            <v>6931084</v>
          </cell>
          <cell r="C4373" t="str">
            <v>IAT</v>
          </cell>
          <cell r="D4373" t="str">
            <v>CAJA P/ACOMETIDA A PENSION FIJA 184X135X143MM.C/CERRAD.</v>
          </cell>
        </row>
        <row r="4374">
          <cell r="B4374">
            <v>6931084</v>
          </cell>
          <cell r="C4374" t="str">
            <v>IDS</v>
          </cell>
          <cell r="D4374" t="str">
            <v>CAJA P/ACOMETIDA A PENSION FIJA 184X135X143MM.C/CERRAD.</v>
          </cell>
        </row>
        <row r="4375">
          <cell r="B4375">
            <v>6931084</v>
          </cell>
          <cell r="C4375" t="str">
            <v>PIC</v>
          </cell>
          <cell r="D4375" t="str">
            <v>CAJA P/ACOMETIDA A PENSION FIJA 184X135X143MM.C/CERRAD.</v>
          </cell>
        </row>
        <row r="4376">
          <cell r="B4376">
            <v>6931101</v>
          </cell>
          <cell r="C4376" t="str">
            <v>CIC</v>
          </cell>
          <cell r="D4376" t="str">
            <v>TAPA DE POLIESTER REFORZADO C.FIBRA DE VIDRIO P.CAJA CPV TP. "L" 154X421X4MM 3 VENTANAS</v>
          </cell>
        </row>
        <row r="4377">
          <cell r="B4377">
            <v>6931107</v>
          </cell>
          <cell r="C4377" t="str">
            <v>CIC</v>
          </cell>
          <cell r="D4377" t="str">
            <v>TAPA DE POLIESTER REFORZADO CON FIBRA DE VIDRIO PARA CAJA CPV TIPO " L" ANTIGUA DE 154 X 474 X 4MM</v>
          </cell>
        </row>
        <row r="4378">
          <cell r="B4378">
            <v>6931111</v>
          </cell>
          <cell r="C4378" t="str">
            <v>CIC</v>
          </cell>
          <cell r="D4378" t="str">
            <v>TAPA DE POLIESTER REFORZADO CON FIBRA DE VIDRIO PARA CAJA CPV TIPO "L" DE 154 X 421 X 4MM</v>
          </cell>
        </row>
        <row r="4379">
          <cell r="B4379">
            <v>6931114</v>
          </cell>
          <cell r="C4379" t="str">
            <v>FLX</v>
          </cell>
          <cell r="D4379" t="str">
            <v>TAPA P.CJ.TP."L" DE MED./CORTACIRC. 154X421X2MM</v>
          </cell>
        </row>
        <row r="4380">
          <cell r="B4380">
            <v>6931114</v>
          </cell>
          <cell r="C4380" t="str">
            <v>IAT</v>
          </cell>
          <cell r="D4380" t="str">
            <v>TAPA P.CJ.TP."L" DE MED./CORTACIRC. 154X421X2MM</v>
          </cell>
        </row>
        <row r="4381">
          <cell r="B4381">
            <v>6931114</v>
          </cell>
          <cell r="C4381" t="str">
            <v>IDS</v>
          </cell>
          <cell r="D4381" t="str">
            <v>TAPA P.CJ.TP."L" DE MED./CORTACIRC. 154X421X2MM</v>
          </cell>
        </row>
        <row r="4382">
          <cell r="B4382">
            <v>6931114</v>
          </cell>
          <cell r="C4382" t="str">
            <v>PIC</v>
          </cell>
          <cell r="D4382" t="str">
            <v>TAPA P.CJ.TP."L" DE MED./CORTACIRC. 154X421X2MM</v>
          </cell>
        </row>
        <row r="4383">
          <cell r="B4383">
            <v>6931114</v>
          </cell>
          <cell r="C4383" t="str">
            <v>TNC</v>
          </cell>
          <cell r="D4383" t="str">
            <v>TAPA P.CJ.TP."L" DE MED./CORTACIRC. 154X421X2MM</v>
          </cell>
        </row>
        <row r="4384">
          <cell r="B4384">
            <v>6931115</v>
          </cell>
          <cell r="C4384" t="str">
            <v>FLX</v>
          </cell>
          <cell r="D4384" t="str">
            <v>TAPA PARA CAJA TP. "L" ANTIGUA DE 154X474X2MM</v>
          </cell>
        </row>
        <row r="4385">
          <cell r="B4385">
            <v>6931115</v>
          </cell>
          <cell r="C4385" t="str">
            <v>IAT</v>
          </cell>
          <cell r="D4385" t="str">
            <v>TAPA PARA CAJA TP. "L" ANTIGUA DE 154X474X2MM</v>
          </cell>
        </row>
        <row r="4386">
          <cell r="B4386">
            <v>6931115</v>
          </cell>
          <cell r="C4386" t="str">
            <v>IDS</v>
          </cell>
          <cell r="D4386" t="str">
            <v>TAPA PARA CAJA TP. "L" ANTIGUA DE 154X474X2MM</v>
          </cell>
        </row>
        <row r="4387">
          <cell r="B4387">
            <v>6931115</v>
          </cell>
          <cell r="C4387" t="str">
            <v>PIC</v>
          </cell>
          <cell r="D4387" t="str">
            <v>TAPA PARA CAJA TP. "L" ANTIGUA DE 154X474X2MM</v>
          </cell>
        </row>
        <row r="4388">
          <cell r="B4388">
            <v>6931115</v>
          </cell>
          <cell r="C4388" t="str">
            <v>TNC</v>
          </cell>
          <cell r="D4388" t="str">
            <v>TAPA PARA CAJA TP. "L" ANTIGUA DE 154X474X2MM</v>
          </cell>
        </row>
        <row r="4389">
          <cell r="B4389">
            <v>6931116</v>
          </cell>
          <cell r="C4389" t="str">
            <v>FLX</v>
          </cell>
          <cell r="D4389" t="str">
            <v>TAPA P. CAJA TP."MT" DE MEDIDOR  413X252X2,5MM</v>
          </cell>
        </row>
        <row r="4390">
          <cell r="B4390">
            <v>6931116</v>
          </cell>
          <cell r="C4390" t="str">
            <v>IAT</v>
          </cell>
          <cell r="D4390" t="str">
            <v>TAPA P. CAJA TP."MT" DE MEDIDOR  413X252X2,5MM</v>
          </cell>
        </row>
        <row r="4391">
          <cell r="B4391">
            <v>6931116</v>
          </cell>
          <cell r="C4391" t="str">
            <v>TNC</v>
          </cell>
          <cell r="D4391" t="str">
            <v>TAPA P. CAJA TP."MT" DE MEDIDOR  413X252X2,5MM</v>
          </cell>
        </row>
        <row r="4392">
          <cell r="B4392">
            <v>6931117</v>
          </cell>
          <cell r="C4392" t="str">
            <v>CDC</v>
          </cell>
          <cell r="D4392" t="str">
            <v>TAPA P.CAJA TIP."L"MEDI/CORTOC.154X421X2MM C/HUE.P/TERMOMAG.C/AGUJ.LATERAL P/CERRAD.</v>
          </cell>
        </row>
        <row r="4393">
          <cell r="B4393">
            <v>6931117</v>
          </cell>
          <cell r="C4393" t="str">
            <v>FLX</v>
          </cell>
          <cell r="D4393" t="str">
            <v>TAPA P.CAJA TIP."L"MEDI/CORTOC.154X421X2MM C/HUE.P/TERMOMAG.C/AGUJ.LATERAL P/CERRAD.</v>
          </cell>
        </row>
        <row r="4394">
          <cell r="B4394">
            <v>6931117</v>
          </cell>
          <cell r="C4394" t="str">
            <v>IAT</v>
          </cell>
          <cell r="D4394" t="str">
            <v>TAPA P.CAJA TIP."L"MEDI/CORTOC.154X421X2MM C/HUE.P/TERMOMAG.C/AGUJ.LATERAL P/CERRAD.</v>
          </cell>
        </row>
        <row r="4395">
          <cell r="B4395">
            <v>6931117</v>
          </cell>
          <cell r="C4395" t="str">
            <v>IDS</v>
          </cell>
          <cell r="D4395" t="str">
            <v>TAPA P.CAJA TIP."L"MEDI/CORTOC.154X421X2MM C/HUE.P/TERMOMAG.C/AGUJ.LATERAL P/CERRAD.</v>
          </cell>
        </row>
        <row r="4396">
          <cell r="B4396">
            <v>6931117</v>
          </cell>
          <cell r="C4396" t="str">
            <v>PIC</v>
          </cell>
          <cell r="D4396" t="str">
            <v>TAPA P.CAJA TIP."L"MEDI/CORTOC.154X421X2MM C/HUE.P/TERMOMAG.C/AGUJ.LATERAL P/CERRAD.</v>
          </cell>
        </row>
        <row r="4397">
          <cell r="B4397">
            <v>6931117</v>
          </cell>
          <cell r="C4397" t="str">
            <v>TNC</v>
          </cell>
          <cell r="D4397" t="str">
            <v>TAPA P.CAJA TIP."L"MEDI/CORTOC.154X421X2MM C/HUE.P/TERMOMAG.C/AGUJ.LATERAL P/CERRAD.</v>
          </cell>
        </row>
        <row r="4398">
          <cell r="B4398">
            <v>6931118</v>
          </cell>
          <cell r="C4398" t="str">
            <v>CDC</v>
          </cell>
          <cell r="D4398" t="str">
            <v>TAPA P.CAJA TIP."L"ANTIGUA 154X474X2MM C/HUECO P/TERMOMAG.C/AGUJ.SUP.P/CERRADURA</v>
          </cell>
        </row>
        <row r="4399">
          <cell r="B4399">
            <v>6931118</v>
          </cell>
          <cell r="C4399" t="str">
            <v>FLX</v>
          </cell>
          <cell r="D4399" t="str">
            <v>TAPA P.CAJA TIP."L"ANTIGUA 154X474X2MM C/HUECO P/TERMOMAG.C/AGUJ.SUP.P/CERRADURA</v>
          </cell>
        </row>
        <row r="4400">
          <cell r="B4400">
            <v>6931118</v>
          </cell>
          <cell r="C4400" t="str">
            <v>IAT</v>
          </cell>
          <cell r="D4400" t="str">
            <v>TAPA P.CAJA TIP."L"ANTIGUA 154X474X2MM C/HUECO P/TERMOMAG.C/AGUJ.SUP.P/CERRADURA</v>
          </cell>
        </row>
        <row r="4401">
          <cell r="B4401">
            <v>6931118</v>
          </cell>
          <cell r="C4401" t="str">
            <v>IDS</v>
          </cell>
          <cell r="D4401" t="str">
            <v>TAPA P.CAJA TIP."L"ANTIGUA 154X474X2MM C/HUECO P/TERMOMAG.C/AGUJ.SUP.P/CERRADURA</v>
          </cell>
        </row>
        <row r="4402">
          <cell r="B4402">
            <v>6931118</v>
          </cell>
          <cell r="C4402" t="str">
            <v>PIC</v>
          </cell>
          <cell r="D4402" t="str">
            <v>TAPA P.CAJA TIP."L"ANTIGUA 154X474X2MM C/HUECO P/TERMOMAG.C/AGUJ.SUP.P/CERRADURA</v>
          </cell>
        </row>
        <row r="4403">
          <cell r="B4403">
            <v>6931118</v>
          </cell>
          <cell r="C4403" t="str">
            <v>TNC</v>
          </cell>
          <cell r="D4403" t="str">
            <v>TAPA P.CAJA TIP."L"ANTIGUA 154X474X2MM C/HUECO P/TERMOMAG.C/AGUJ.SUP.P/CERRADURA</v>
          </cell>
        </row>
        <row r="4404">
          <cell r="B4404">
            <v>6931132</v>
          </cell>
          <cell r="C4404" t="str">
            <v>FLX</v>
          </cell>
          <cell r="D4404" t="str">
            <v>TAPA P.CAJA TP. LT DE 216X496X2MM C.CERRADURA, VISOR, AGUJERO P.TERMICO</v>
          </cell>
        </row>
        <row r="4405">
          <cell r="B4405">
            <v>6931132</v>
          </cell>
          <cell r="C4405" t="str">
            <v>IAT</v>
          </cell>
          <cell r="D4405" t="str">
            <v>TAPA P.CAJA TP. LT DE 216X496X2MM C.CERRADURA, VISOR, AGUJERO P.TERMICO</v>
          </cell>
        </row>
        <row r="4406">
          <cell r="B4406">
            <v>6931132</v>
          </cell>
          <cell r="C4406" t="str">
            <v>IDS</v>
          </cell>
          <cell r="D4406" t="str">
            <v>TAPA P.CAJA TP. LT DE 216X496X2MM C.CERRADURA, VISOR, AGUJERO P.TERMICO</v>
          </cell>
        </row>
        <row r="4407">
          <cell r="B4407">
            <v>6931132</v>
          </cell>
          <cell r="C4407" t="str">
            <v>PIC</v>
          </cell>
          <cell r="D4407" t="str">
            <v>TAPA P.CAJA TP. LT DE 216X496X2MM C.CERRADURA, VISOR, AGUJERO P.TERMICO</v>
          </cell>
        </row>
        <row r="4408">
          <cell r="B4408">
            <v>6931132</v>
          </cell>
          <cell r="C4408" t="str">
            <v>TNC</v>
          </cell>
          <cell r="D4408" t="str">
            <v>TAPA P.CAJA TP. LT DE 216X496X2MM C.CERRADURA, VISOR, AGUJERO P.TERMICO</v>
          </cell>
        </row>
        <row r="4409">
          <cell r="B4409">
            <v>6931145</v>
          </cell>
          <cell r="C4409" t="str">
            <v>CIC</v>
          </cell>
          <cell r="D4409" t="str">
            <v>TAPA DE POLIESTER REFORZADO CON FIBRA DE VIDRIO PARA CAJA CPV TIPO "LT" DE 214 X 495 X 4MM</v>
          </cell>
        </row>
        <row r="4410">
          <cell r="B4410">
            <v>6931147</v>
          </cell>
          <cell r="C4410" t="str">
            <v>CIC</v>
          </cell>
          <cell r="D4410" t="str">
            <v>TAPA DE POLIESTER REFORZADO CON FIBRA DE VIDRIO PARA CAJA CPV TIPO "LT" REDUCIDA DE 183 X 421 X 4MM</v>
          </cell>
        </row>
        <row r="4411">
          <cell r="B4411">
            <v>6931150</v>
          </cell>
          <cell r="C4411" t="str">
            <v>PIC</v>
          </cell>
          <cell r="D4411" t="str">
            <v>TAPA P.CAJA TP. LT DE 189X419X2MM C.CERRADURA, PUERTA VISOR, AGUJERO P.TERMICO</v>
          </cell>
        </row>
        <row r="4412">
          <cell r="B4412">
            <v>6931160</v>
          </cell>
          <cell r="C4412" t="str">
            <v>CCF</v>
          </cell>
          <cell r="D4412" t="str">
            <v>TAPA DE FIBRA DE VIDRIO P.CAJA TP. L DE 154 X 421 X 3MM C.CERRADURA ANTI HURTO, PUERTA VISOR</v>
          </cell>
        </row>
        <row r="4413">
          <cell r="B4413">
            <v>6931160</v>
          </cell>
          <cell r="C4413" t="str">
            <v>ESS</v>
          </cell>
          <cell r="D4413" t="str">
            <v>TAPA DE FIBRA DE VIDRIO P.CAJA TP. L DE 154 X 421 X 3MM C.CERRADURA ANTI HURTO, PUERTA VISOR</v>
          </cell>
        </row>
        <row r="4414">
          <cell r="B4414">
            <v>6931161</v>
          </cell>
          <cell r="C4414" t="str">
            <v>CCF</v>
          </cell>
          <cell r="D4414" t="str">
            <v>TAPA DE FIBRA DE VIDRIO P.CAJA TP. L DE 154 X 474 X 3MM C.CERRADURA ANTI HURTO, PUERTA VISOR</v>
          </cell>
        </row>
        <row r="4415">
          <cell r="B4415">
            <v>6931161</v>
          </cell>
          <cell r="C4415" t="str">
            <v>ESS</v>
          </cell>
          <cell r="D4415" t="str">
            <v>TAPA DE FIBRA DE VIDRIO P.CAJA TP. L DE 154 X 474 X 3MM C.CERRADURA ANTI HURTO, PUERTA VISOR</v>
          </cell>
        </row>
        <row r="4416">
          <cell r="B4416">
            <v>6931162</v>
          </cell>
          <cell r="C4416" t="str">
            <v>CCF</v>
          </cell>
          <cell r="D4416" t="str">
            <v>TAPA DE FIBRA DE VIDRIO P.CAJA TP.L DE 154 X 474 X 3MM C.CERRADURA ANTIHURTO, AGUJERO, PUERTA VISOR</v>
          </cell>
        </row>
        <row r="4417">
          <cell r="B4417">
            <v>6931162</v>
          </cell>
          <cell r="C4417" t="str">
            <v>ESS</v>
          </cell>
          <cell r="D4417" t="str">
            <v>TAPA DE FIBRA DE VIDRIO P.CAJA TP.L DE 154 X 474 X 3MM C.CERRADURA ANTIHURTO, AGUJERO, PUERTA VISOR</v>
          </cell>
        </row>
        <row r="4418">
          <cell r="B4418">
            <v>6931163</v>
          </cell>
          <cell r="C4418" t="str">
            <v>CCF</v>
          </cell>
          <cell r="D4418" t="str">
            <v>TAPA DE FIBRA DE VIDRIO P.CAJA TP. LT DE 216 X 496 X 3MM C.CERRADURA ANTI HURTO, PUERTA VISOR</v>
          </cell>
        </row>
        <row r="4419">
          <cell r="B4419">
            <v>6931163</v>
          </cell>
          <cell r="C4419" t="str">
            <v>ESS</v>
          </cell>
          <cell r="D4419" t="str">
            <v>TAPA DE FIBRA DE VIDRIO P.CAJA TP. LT DE 216 X 496 X 3MM C.CERRADURA ANTI HURTO, PUERTA VISOR</v>
          </cell>
        </row>
        <row r="4420">
          <cell r="B4420">
            <v>6931202</v>
          </cell>
          <cell r="C4420" t="str">
            <v>CDC</v>
          </cell>
          <cell r="D4420" t="str">
            <v>CAJA TOMA TP. F1 EQ. BT 75KW. 200X320X670MM</v>
          </cell>
        </row>
        <row r="4421">
          <cell r="B4421">
            <v>6931202</v>
          </cell>
          <cell r="C4421" t="str">
            <v>IAT</v>
          </cell>
          <cell r="D4421" t="str">
            <v>CAJA TOMA TP. F1 EQ. BT 75KW. 200X320X670MM</v>
          </cell>
        </row>
        <row r="4422">
          <cell r="B4422">
            <v>6931202</v>
          </cell>
          <cell r="C4422" t="str">
            <v>IDS</v>
          </cell>
          <cell r="D4422" t="str">
            <v>CAJA TOMA TP. F1 EQ. BT 75KW. 200X320X670MM</v>
          </cell>
        </row>
        <row r="4423">
          <cell r="B4423">
            <v>6931222</v>
          </cell>
          <cell r="C4423" t="str">
            <v>IAT</v>
          </cell>
          <cell r="D4423" t="str">
            <v>CAJA TOMA TP. F2  S/EQUIPAR 205X599X650MM</v>
          </cell>
        </row>
        <row r="4424">
          <cell r="B4424">
            <v>6931222</v>
          </cell>
          <cell r="C4424" t="str">
            <v>IDS</v>
          </cell>
          <cell r="D4424" t="str">
            <v>CAJA TOMA TP. F2  S/EQUIPAR 205X599X650MM</v>
          </cell>
        </row>
        <row r="4425">
          <cell r="B4425">
            <v>6931224</v>
          </cell>
          <cell r="C4425" t="str">
            <v>CDC</v>
          </cell>
          <cell r="D4425" t="str">
            <v>CAJA TOMA TP. F2 C/EQ. 205X599X650MM</v>
          </cell>
        </row>
        <row r="4426">
          <cell r="B4426">
            <v>6931224</v>
          </cell>
          <cell r="C4426" t="str">
            <v>IAT</v>
          </cell>
          <cell r="D4426" t="str">
            <v>CAJA TOMA TP. F2 C/EQ. 205X599X650MM</v>
          </cell>
        </row>
        <row r="4427">
          <cell r="B4427">
            <v>6931224</v>
          </cell>
          <cell r="C4427" t="str">
            <v>IDS</v>
          </cell>
          <cell r="D4427" t="str">
            <v>CAJA TOMA TP. F2 C/EQ. 205X599X650MM</v>
          </cell>
        </row>
        <row r="4428">
          <cell r="B4428">
            <v>6931246</v>
          </cell>
          <cell r="C4428" t="str">
            <v>IAT</v>
          </cell>
          <cell r="D4428" t="str">
            <v>CAJA TOMA TP. F3 C/EQ. 205X650X880MM</v>
          </cell>
        </row>
        <row r="4429">
          <cell r="B4429">
            <v>6931246</v>
          </cell>
          <cell r="C4429" t="str">
            <v>IDS</v>
          </cell>
          <cell r="D4429" t="str">
            <v>CAJA TOMA TP. F3 C/EQ. 205X650X880MM</v>
          </cell>
        </row>
        <row r="4430">
          <cell r="B4430">
            <v>6931246</v>
          </cell>
          <cell r="C4430" t="str">
            <v>PIC</v>
          </cell>
          <cell r="D4430" t="str">
            <v>CAJA TOMA TP. F3 C/EQ. 205X650X880MM</v>
          </cell>
        </row>
        <row r="4431">
          <cell r="B4431">
            <v>6931254</v>
          </cell>
          <cell r="C4431" t="str">
            <v>IAT</v>
          </cell>
          <cell r="D4431" t="str">
            <v>CAJA F4 C/TABLERO ACOMET.INT.(ZONA COMERC/INDUSTR)</v>
          </cell>
        </row>
        <row r="4432">
          <cell r="B4432">
            <v>6931272</v>
          </cell>
          <cell r="C4432" t="str">
            <v>IAT</v>
          </cell>
          <cell r="D4432" t="str">
            <v>CAJA P/LLAVE DIFERENCIAL CLIENTE B.T. MET. 0.9X144X200X75MM PINT.</v>
          </cell>
        </row>
        <row r="4433">
          <cell r="B4433">
            <v>6931382</v>
          </cell>
          <cell r="C4433" t="str">
            <v>IDS</v>
          </cell>
          <cell r="D4433" t="str">
            <v>CAJA METAL. P.AUTOTRANSFORMADOR  B.T. 700X950X300MM</v>
          </cell>
        </row>
        <row r="4434">
          <cell r="B4434">
            <v>6931401</v>
          </cell>
          <cell r="C4434" t="str">
            <v>CIC</v>
          </cell>
          <cell r="D4434" t="str">
            <v>TAPA DE POLIESTER REFORZADO CON FIBRA DE VIDRIO PARA CAJA TOMA TIPO F1 DE 645 X 295 X 5MM</v>
          </cell>
        </row>
        <row r="4435">
          <cell r="B4435">
            <v>6931402</v>
          </cell>
          <cell r="C4435" t="str">
            <v>CDC</v>
          </cell>
          <cell r="D4435" t="str">
            <v>TAPA PARA CAJA TOMA TP. F1 2X295X645MM</v>
          </cell>
        </row>
        <row r="4436">
          <cell r="B4436">
            <v>6931402</v>
          </cell>
          <cell r="C4436" t="str">
            <v>IAT</v>
          </cell>
          <cell r="D4436" t="str">
            <v>TAPA PARA CAJA TOMA TP. F1 2X295X645MM</v>
          </cell>
        </row>
        <row r="4437">
          <cell r="B4437">
            <v>6931402</v>
          </cell>
          <cell r="C4437" t="str">
            <v>IDS</v>
          </cell>
          <cell r="D4437" t="str">
            <v>TAPA PARA CAJA TOMA TP. F1 2X295X645MM</v>
          </cell>
        </row>
        <row r="4438">
          <cell r="B4438">
            <v>6931402</v>
          </cell>
          <cell r="C4438" t="str">
            <v>TNC</v>
          </cell>
          <cell r="D4438" t="str">
            <v>TAPA PARA CAJA TOMA TP. F1 2X295X645MM</v>
          </cell>
        </row>
        <row r="4439">
          <cell r="B4439">
            <v>6931408</v>
          </cell>
          <cell r="C4439" t="str">
            <v>IAT</v>
          </cell>
          <cell r="D4439" t="str">
            <v>TAPA INFERIOR P.CJ.TOMA TP.F1 ANTIGUA  2X295X455MM</v>
          </cell>
        </row>
        <row r="4440">
          <cell r="B4440">
            <v>6931408</v>
          </cell>
          <cell r="C4440" t="str">
            <v>TNC</v>
          </cell>
          <cell r="D4440" t="str">
            <v>TAPA INFERIOR P.CJ.TOMA TP.F1 ANTIGUA  2X295X455MM</v>
          </cell>
        </row>
        <row r="4441">
          <cell r="B4441">
            <v>6931561</v>
          </cell>
          <cell r="C4441" t="str">
            <v>CCF</v>
          </cell>
          <cell r="D4441" t="str">
            <v>SOPORTE P.CAJA PORTAMEDIDOR MONOFASICO RECUBIERTA POLIESTER Y FIBRA DE VIDRIO TUBO DE PVC 4" 1602MM</v>
          </cell>
        </row>
        <row r="4442">
          <cell r="B4442">
            <v>6931561</v>
          </cell>
          <cell r="C4442" t="str">
            <v>FBP</v>
          </cell>
          <cell r="D4442" t="str">
            <v>SOPORTE P.CAJA PORTAMEDIDOR MONOFASICO RECUBIERTA POLIESTER Y FIBRA DE VIDRIO TUBO DE PVC 4" 1602MM</v>
          </cell>
        </row>
        <row r="4443">
          <cell r="B4443">
            <v>6931561</v>
          </cell>
          <cell r="C4443" t="str">
            <v>FBR</v>
          </cell>
          <cell r="D4443" t="str">
            <v>SOPORTE P.CAJA PORTAMEDIDOR MONOFASICO RECUBIERTA POLIESTER Y FIBRA DE VIDRIO TUBO DE PVC 4" 1602MM</v>
          </cell>
        </row>
        <row r="4444">
          <cell r="B4444">
            <v>6931812</v>
          </cell>
          <cell r="C4444" t="str">
            <v>EMS</v>
          </cell>
          <cell r="D4444" t="str">
            <v>CERRADURA TRIANGULAR PARA CAJA TP. L - LT</v>
          </cell>
        </row>
        <row r="4445">
          <cell r="B4445">
            <v>6931812</v>
          </cell>
          <cell r="C4445" t="str">
            <v>FAS</v>
          </cell>
          <cell r="D4445" t="str">
            <v>CERRADURA TRIANGULAR PARA CAJA TP. L - LT</v>
          </cell>
        </row>
        <row r="4446">
          <cell r="B4446">
            <v>6931812</v>
          </cell>
          <cell r="C4446" t="str">
            <v>IBR</v>
          </cell>
          <cell r="D4446" t="str">
            <v>CERRADURA TRIANGULAR PARA CAJA TP. L - LT</v>
          </cell>
        </row>
        <row r="4447">
          <cell r="B4447">
            <v>6931812</v>
          </cell>
          <cell r="C4447" t="str">
            <v>MAQ</v>
          </cell>
          <cell r="D4447" t="str">
            <v>CERRADURA TRIANGULAR PARA CAJA TP. L - LT</v>
          </cell>
        </row>
        <row r="4448">
          <cell r="B4448">
            <v>6931812</v>
          </cell>
          <cell r="C4448" t="str">
            <v>TAL</v>
          </cell>
          <cell r="D4448" t="str">
            <v>CERRADURA TRIANGULAR PARA CAJA TP. L - LT</v>
          </cell>
        </row>
        <row r="4449">
          <cell r="B4449">
            <v>6931816</v>
          </cell>
          <cell r="C4449" t="str">
            <v>TAL</v>
          </cell>
          <cell r="D4449" t="str">
            <v>PERNO DE CABEZA TRIANGULAR DE BRONCE P.CERRADURA</v>
          </cell>
        </row>
        <row r="4450">
          <cell r="B4450">
            <v>6931827</v>
          </cell>
          <cell r="C4450" t="str">
            <v>FLK</v>
          </cell>
          <cell r="D4450" t="str">
            <v>PRECINTO DE SEGURIDAD TP.TRIPLE ANCLA P.BORNERAS DE MEDIDOR C.INSERTO DE COLOR AZUL</v>
          </cell>
        </row>
        <row r="4451">
          <cell r="B4451">
            <v>6931827</v>
          </cell>
          <cell r="C4451" t="str">
            <v>MCS</v>
          </cell>
          <cell r="D4451" t="str">
            <v>PRECINTO DE SEGURIDAD TP.TRIPLE ANCLA P.BORNERAS DE MEDIDOR C.INSERTO DE COLOR AZUL</v>
          </cell>
        </row>
        <row r="4452">
          <cell r="B4452">
            <v>6931828</v>
          </cell>
          <cell r="C4452" t="str">
            <v>FLK</v>
          </cell>
          <cell r="D4452" t="str">
            <v>PRECINTO DE SEGURIDAD TP.TRIPLE ANCLA P.BORNERAS DE MEDIDOR C.INSERTO DE COLOR ROJO</v>
          </cell>
        </row>
        <row r="4453">
          <cell r="B4453">
            <v>6931828</v>
          </cell>
          <cell r="C4453" t="str">
            <v>MCS</v>
          </cell>
          <cell r="D4453" t="str">
            <v>PRECINTO DE SEGURIDAD TP.TRIPLE ANCLA P.BORNERAS DE MEDIDOR C.INSERTO DE COLOR ROJO</v>
          </cell>
        </row>
        <row r="4454">
          <cell r="B4454">
            <v>6931841</v>
          </cell>
          <cell r="C4454" t="str">
            <v>FLK</v>
          </cell>
          <cell r="D4454" t="str">
            <v>PRECINTO DE SEGURIDAD TP.DOBLE ANCLA P.BORNERAS DE MEDIDOR C.INSERTO DE COLOR AZUL</v>
          </cell>
        </row>
        <row r="4455">
          <cell r="B4455">
            <v>6931841</v>
          </cell>
          <cell r="C4455" t="str">
            <v>MCS</v>
          </cell>
          <cell r="D4455" t="str">
            <v>PRECINTO DE SEGURIDAD TP.DOBLE ANCLA P.BORNERAS DE MEDIDOR C.INSERTO DE COLOR AZUL</v>
          </cell>
        </row>
        <row r="4456">
          <cell r="B4456">
            <v>6931842</v>
          </cell>
          <cell r="C4456" t="str">
            <v>FLK</v>
          </cell>
          <cell r="D4456" t="str">
            <v>PRECINTO DE SEGURIDAD TP.DOBLE ANCLA P.BORNERAS DE MEDIDOR C.INSERTO DE COLOR ROJO</v>
          </cell>
        </row>
        <row r="4457">
          <cell r="B4457">
            <v>6931842</v>
          </cell>
          <cell r="C4457" t="str">
            <v>MCS</v>
          </cell>
          <cell r="D4457" t="str">
            <v>PRECINTO DE SEGURIDAD TP.DOBLE ANCLA P.BORNERAS DE MEDIDOR C.INSERTO DE COLOR ROJO</v>
          </cell>
        </row>
        <row r="4458">
          <cell r="B4458">
            <v>6933144</v>
          </cell>
          <cell r="C4458" t="str">
            <v>AMP</v>
          </cell>
          <cell r="D4458" t="str">
            <v>CAJA POLICARB.P/ACOMET.AEREAS B.T.220V .SMALL (AMP-TYCO).</v>
          </cell>
        </row>
        <row r="4459">
          <cell r="B4459">
            <v>6933144</v>
          </cell>
          <cell r="C4459" t="str">
            <v>P3M</v>
          </cell>
          <cell r="D4459" t="str">
            <v>CAJA POLICARB.P/ACOMET.AEREAS B.T.220V .SMALL (AMP-TYCO).</v>
          </cell>
        </row>
        <row r="4460">
          <cell r="B4460">
            <v>6933194</v>
          </cell>
          <cell r="C4460" t="str">
            <v>AMP</v>
          </cell>
          <cell r="D4460" t="str">
            <v>CAJA NO METALICA DE DERIVACION Y ACOMETIDA EN REDES AEREAS DE BAJA TENSION</v>
          </cell>
        </row>
        <row r="4461">
          <cell r="B4461">
            <v>6933194</v>
          </cell>
          <cell r="C4461" t="str">
            <v>TNC</v>
          </cell>
          <cell r="D4461" t="str">
            <v>CAJA NO METALICA DE DERIVACION Y ACOMETIDA EN REDES AEREAS DE BAJA TENSION</v>
          </cell>
        </row>
        <row r="4462">
          <cell r="B4462">
            <v>6936006</v>
          </cell>
          <cell r="C4462" t="str">
            <v>IAT</v>
          </cell>
          <cell r="D4462" t="str">
            <v>CAJA P.TABLERO DE DISTRIBUCION SECUNDARIA Y A.P. P.SAM Y SCB, TAMANO 2 S.EQUIPAMIENTO</v>
          </cell>
        </row>
        <row r="4463">
          <cell r="B4463">
            <v>6936011</v>
          </cell>
          <cell r="C4463" t="str">
            <v>FEL</v>
          </cell>
          <cell r="D4463" t="str">
            <v>ESTRUCTURA METALICA P.DERIV.TRIF.10KV TP.PEDESTAL</v>
          </cell>
        </row>
        <row r="4464">
          <cell r="B4464">
            <v>6936016</v>
          </cell>
          <cell r="C4464" t="str">
            <v>CDC</v>
          </cell>
          <cell r="D4464" t="str">
            <v>CAJA P.TABLERO DE DISTRIBUCION SECUNDARIA Y A.P. P.SAM Y SAS, TAMANO 3 S.EQUIPAMIENTO</v>
          </cell>
        </row>
        <row r="4465">
          <cell r="B4465">
            <v>6936016</v>
          </cell>
          <cell r="C4465" t="str">
            <v>IDS</v>
          </cell>
          <cell r="D4465" t="str">
            <v>CAJA P.TABLERO DE DISTRIBUCION SECUNDARIA Y A.P. P.SAM Y SAS, TAMANO 3 S.EQUIPAMIENTO</v>
          </cell>
        </row>
        <row r="4466">
          <cell r="B4466">
            <v>6936016</v>
          </cell>
          <cell r="C4466" t="str">
            <v>SML</v>
          </cell>
          <cell r="D4466" t="str">
            <v>CAJA P.TABLERO DE DISTRIBUCION SECUNDARIA Y A.P. P.SAM Y SAS, TAMANO 3 S.EQUIPAMIENTO</v>
          </cell>
        </row>
        <row r="4467">
          <cell r="B4467">
            <v>6936018</v>
          </cell>
          <cell r="C4467" t="str">
            <v>CDC</v>
          </cell>
          <cell r="D4467" t="str">
            <v>CAJA P.TABLERO DE DISTRIBUCION SECUNDARIA Y A.P. P.SAB Y SCB, TAMANO 4 S.EQUIPAMIENTO</v>
          </cell>
        </row>
        <row r="4468">
          <cell r="B4468">
            <v>6936018</v>
          </cell>
          <cell r="C4468" t="str">
            <v>IAD</v>
          </cell>
          <cell r="D4468" t="str">
            <v>CAJA P.TABLERO DE DISTRIBUCION SECUNDARIA Y A.P. P.SAB Y SCB, TAMANO 4 S.EQUIPAMIENTO</v>
          </cell>
        </row>
        <row r="4469">
          <cell r="B4469">
            <v>6936018</v>
          </cell>
          <cell r="C4469" t="str">
            <v>IAT</v>
          </cell>
          <cell r="D4469" t="str">
            <v>CAJA P.TABLERO DE DISTRIBUCION SECUNDARIA Y A.P. P.SAB Y SCB, TAMANO 4 S.EQUIPAMIENTO</v>
          </cell>
        </row>
        <row r="4470">
          <cell r="B4470">
            <v>6936018</v>
          </cell>
          <cell r="C4470" t="str">
            <v>IDS</v>
          </cell>
          <cell r="D4470" t="str">
            <v>CAJA P.TABLERO DE DISTRIBUCION SECUNDARIA Y A.P. P.SAB Y SCB, TAMANO 4 S.EQUIPAMIENTO</v>
          </cell>
        </row>
        <row r="4471">
          <cell r="B4471">
            <v>6936018</v>
          </cell>
          <cell r="C4471" t="str">
            <v>SML</v>
          </cell>
          <cell r="D4471" t="str">
            <v>CAJA P.TABLERO DE DISTRIBUCION SECUNDARIA Y A.P. P.SAB Y SCB, TAMANO 4 S.EQUIPAMIENTO</v>
          </cell>
        </row>
        <row r="4472">
          <cell r="B4472">
            <v>6936020</v>
          </cell>
          <cell r="C4472" t="str">
            <v>IAT</v>
          </cell>
          <cell r="D4472" t="str">
            <v>TABLERO DE DISTRIB.SEC.Y A.P. SISTEMA ANTIHURTO</v>
          </cell>
        </row>
        <row r="4473">
          <cell r="B4473">
            <v>6936027</v>
          </cell>
          <cell r="C4473" t="str">
            <v>CCF</v>
          </cell>
          <cell r="D4473" t="str">
            <v>CAJA DE MADERA AUTOSOPORTADA SOBRE PEDESTAL Y BASE 1602MM C.POLIESTER, FIBRA VIDRIO, GELCOAT Y GEL</v>
          </cell>
        </row>
        <row r="4474">
          <cell r="B4474">
            <v>6936027</v>
          </cell>
          <cell r="C4474" t="str">
            <v>FBR</v>
          </cell>
          <cell r="D4474" t="str">
            <v>CAJA DE MADERA AUTOSOPORTADA SOBRE PEDESTAL Y BASE 1602MM C.POLIESTER, FIBRA VIDRIO, GELCOAT Y GEL</v>
          </cell>
        </row>
        <row r="4475">
          <cell r="B4475">
            <v>6936027</v>
          </cell>
          <cell r="C4475" t="str">
            <v>FPA</v>
          </cell>
          <cell r="D4475" t="str">
            <v>CAJA DE MADERA AUTOSOPORTADA SOBRE PEDESTAL Y BASE 1602MM C.POLIESTER, FIBRA VIDRIO, GELCOAT Y GEL</v>
          </cell>
        </row>
        <row r="4476">
          <cell r="B4476">
            <v>6936508</v>
          </cell>
          <cell r="C4476" t="str">
            <v>IAT</v>
          </cell>
          <cell r="D4476" t="str">
            <v>CAJA F2 MODIF.C/TABL.DISTR.SEC,AP.MAY/IGUAL 100KVA</v>
          </cell>
        </row>
        <row r="4477">
          <cell r="B4477">
            <v>6936508</v>
          </cell>
          <cell r="C4477" t="str">
            <v>MNL</v>
          </cell>
          <cell r="D4477" t="str">
            <v>CAJA F2 MODIF.C/TABL.DISTR.SEC,AP.MAY/IGUAL 100KVA</v>
          </cell>
        </row>
        <row r="4478">
          <cell r="B4478">
            <v>6936510</v>
          </cell>
          <cell r="C4478" t="str">
            <v>IAT</v>
          </cell>
          <cell r="D4478" t="str">
            <v>CAJA P. ACOMETIDA DOMICILIARIA MONOF.C/ACCESORIOS</v>
          </cell>
        </row>
        <row r="4479">
          <cell r="B4479">
            <v>6936522</v>
          </cell>
          <cell r="C4479" t="str">
            <v>RAY</v>
          </cell>
          <cell r="D4479" t="str">
            <v>CAJA NO METAL.S/GEL DERIV/ACOM.AEREAS 3 BARRAS HASTA 6 SUM.MONOF.</v>
          </cell>
        </row>
        <row r="4480">
          <cell r="B4480">
            <v>6936525</v>
          </cell>
          <cell r="C4480" t="str">
            <v>RAY</v>
          </cell>
          <cell r="D4480" t="str">
            <v>CAJA NO METAL.S/GEL DERIV/ACOM.AEREAS 3 BARRAS HASTA 9 SUM.MONOF.</v>
          </cell>
        </row>
        <row r="4481">
          <cell r="B4481">
            <v>6936614</v>
          </cell>
          <cell r="C4481" t="str">
            <v>IAT</v>
          </cell>
          <cell r="D4481" t="str">
            <v>TABLERO P. SECCIONADOR TRIPOLAR  AP.  100A   S/EQ.</v>
          </cell>
        </row>
        <row r="4482">
          <cell r="B4482">
            <v>6941002</v>
          </cell>
          <cell r="C4482" t="str">
            <v>ELD</v>
          </cell>
          <cell r="D4482" t="str">
            <v>ABRAZADERA P.PAST.SIMP.1  AC.48MMD.POST.AC. 62MMD.</v>
          </cell>
        </row>
        <row r="4483">
          <cell r="B4483">
            <v>6941002</v>
          </cell>
          <cell r="C4483" t="str">
            <v>MEG</v>
          </cell>
          <cell r="D4483" t="str">
            <v>ABRAZADERA P.PAST.SIMP.1  AC.48MMD.POST.AC. 62MMD.</v>
          </cell>
        </row>
        <row r="4484">
          <cell r="B4484">
            <v>6941004</v>
          </cell>
          <cell r="C4484" t="str">
            <v>ELD</v>
          </cell>
          <cell r="D4484" t="str">
            <v>ABRAZADERA P.PAST.SIMP.1A AC.60MMD.POST.AC. 62MMD.</v>
          </cell>
        </row>
        <row r="4485">
          <cell r="B4485">
            <v>6941006</v>
          </cell>
          <cell r="C4485" t="str">
            <v>ELD</v>
          </cell>
          <cell r="D4485" t="str">
            <v>ABRAZADERA P.PAST.SIMP.2  AC.48MMD.POST.AC. 80MMD.</v>
          </cell>
        </row>
        <row r="4486">
          <cell r="B4486">
            <v>6941010</v>
          </cell>
          <cell r="C4486" t="str">
            <v>ELD</v>
          </cell>
          <cell r="D4486" t="str">
            <v>ABRAZADERA P.PAST.SIMP.3  AC.48MMD.POST.AC.132MMD.</v>
          </cell>
        </row>
        <row r="4487">
          <cell r="B4487">
            <v>6941010</v>
          </cell>
          <cell r="C4487" t="str">
            <v>MEG</v>
          </cell>
          <cell r="D4487" t="str">
            <v>ABRAZADERA P.PAST.SIMP.3  AC.48MMD.POST.AC.132MMD.</v>
          </cell>
        </row>
        <row r="4488">
          <cell r="B4488">
            <v>6941010</v>
          </cell>
          <cell r="C4488" t="str">
            <v>PIC</v>
          </cell>
          <cell r="D4488" t="str">
            <v>ABRAZADERA P.PAST.SIMP.3  AC.48MMD.POST.AC.132MMD.</v>
          </cell>
        </row>
        <row r="4489">
          <cell r="B4489">
            <v>6941012</v>
          </cell>
          <cell r="C4489" t="str">
            <v>ELD</v>
          </cell>
          <cell r="D4489" t="str">
            <v>ABRAZADERA P.PAST.SIMP.3A AC.60MMD.POST.AC.132MMD.</v>
          </cell>
        </row>
        <row r="4490">
          <cell r="B4490">
            <v>6941012</v>
          </cell>
          <cell r="C4490" t="str">
            <v>MEG</v>
          </cell>
          <cell r="D4490" t="str">
            <v>ABRAZADERA P.PAST.SIMP.3A AC.60MMD.POST.AC.132MMD.</v>
          </cell>
        </row>
        <row r="4491">
          <cell r="B4491">
            <v>6941012</v>
          </cell>
          <cell r="C4491" t="str">
            <v>PIC</v>
          </cell>
          <cell r="D4491" t="str">
            <v>ABRAZADERA P.PAST.SIMP.3A AC.60MMD.POST.AC.132MMD.</v>
          </cell>
        </row>
        <row r="4492">
          <cell r="B4492">
            <v>6941014</v>
          </cell>
          <cell r="C4492" t="str">
            <v>ELD</v>
          </cell>
          <cell r="D4492" t="str">
            <v>ABRAZADERA P.PAST.SIMP.4  AC.48MMD.POST.AC.152MMD.</v>
          </cell>
        </row>
        <row r="4493">
          <cell r="B4493">
            <v>6941014</v>
          </cell>
          <cell r="C4493" t="str">
            <v>MEG</v>
          </cell>
          <cell r="D4493" t="str">
            <v>ABRAZADERA P.PAST.SIMP.4  AC.48MMD.POST.AC.152MMD.</v>
          </cell>
        </row>
        <row r="4494">
          <cell r="B4494">
            <v>6941014</v>
          </cell>
          <cell r="C4494" t="str">
            <v>PIC</v>
          </cell>
          <cell r="D4494" t="str">
            <v>ABRAZADERA P.PAST.SIMP.4  AC.48MMD.POST.AC.152MMD.</v>
          </cell>
        </row>
        <row r="4495">
          <cell r="B4495">
            <v>6941018</v>
          </cell>
          <cell r="C4495" t="str">
            <v>APW</v>
          </cell>
          <cell r="D4495" t="str">
            <v>ABRAZADERA P.PAST.SIMP.5  AC.48MMD.POST.AC.172MMD.</v>
          </cell>
        </row>
        <row r="4496">
          <cell r="B4496">
            <v>6941018</v>
          </cell>
          <cell r="C4496" t="str">
            <v>ELD</v>
          </cell>
          <cell r="D4496" t="str">
            <v>ABRAZADERA P.PAST.SIMP.5  AC.48MMD.POST.AC.172MMD.</v>
          </cell>
        </row>
        <row r="4497">
          <cell r="B4497">
            <v>6941018</v>
          </cell>
          <cell r="C4497" t="str">
            <v>MAD</v>
          </cell>
          <cell r="D4497" t="str">
            <v>ABRAZADERA P.PAST.SIMP.5  AC.48MMD.POST.AC.172MMD.</v>
          </cell>
        </row>
        <row r="4498">
          <cell r="B4498">
            <v>6941018</v>
          </cell>
          <cell r="C4498" t="str">
            <v>MEG</v>
          </cell>
          <cell r="D4498" t="str">
            <v>ABRAZADERA P.PAST.SIMP.5  AC.48MMD.POST.AC.172MMD.</v>
          </cell>
        </row>
        <row r="4499">
          <cell r="B4499">
            <v>6941018</v>
          </cell>
          <cell r="C4499" t="str">
            <v>MIM</v>
          </cell>
          <cell r="D4499" t="str">
            <v>ABRAZADERA P.PAST.SIMP.5  AC.48MMD.POST.AC.172MMD.</v>
          </cell>
        </row>
        <row r="4500">
          <cell r="B4500">
            <v>6941018</v>
          </cell>
          <cell r="C4500" t="str">
            <v>PIC</v>
          </cell>
          <cell r="D4500" t="str">
            <v>ABRAZADERA P.PAST.SIMP.5  AC.48MMD.POST.AC.172MMD.</v>
          </cell>
        </row>
        <row r="4501">
          <cell r="B4501">
            <v>6941020</v>
          </cell>
          <cell r="C4501" t="str">
            <v>ELD</v>
          </cell>
          <cell r="D4501" t="str">
            <v>ABRAZADERA P.PAST.SIMP.5A AC.60MMD.POST.AC.172MMD.</v>
          </cell>
        </row>
        <row r="4502">
          <cell r="B4502">
            <v>6941020</v>
          </cell>
          <cell r="C4502" t="str">
            <v>MEG</v>
          </cell>
          <cell r="D4502" t="str">
            <v>ABRAZADERA P.PAST.SIMP.5A AC.60MMD.POST.AC.172MMD.</v>
          </cell>
        </row>
        <row r="4503">
          <cell r="B4503">
            <v>6941020</v>
          </cell>
          <cell r="C4503" t="str">
            <v>PIC</v>
          </cell>
          <cell r="D4503" t="str">
            <v>ABRAZADERA P.PAST.SIMP.5A AC.60MMD.POST.AC.172MMD.</v>
          </cell>
        </row>
        <row r="4504">
          <cell r="B4504">
            <v>6941026</v>
          </cell>
          <cell r="C4504" t="str">
            <v>MEG</v>
          </cell>
          <cell r="D4504" t="str">
            <v>ABRAZADERA P.PAST.SIMP.6 AC.48MMD.POST.AC.192MMD.</v>
          </cell>
        </row>
        <row r="4505">
          <cell r="B4505">
            <v>6941026</v>
          </cell>
          <cell r="C4505" t="str">
            <v>PIC</v>
          </cell>
          <cell r="D4505" t="str">
            <v>ABRAZADERA P.PAST.SIMP.6 AC.48MMD.POST.AC.192MMD.</v>
          </cell>
        </row>
        <row r="4506">
          <cell r="B4506">
            <v>6941028</v>
          </cell>
          <cell r="C4506" t="str">
            <v>MEG</v>
          </cell>
          <cell r="D4506" t="str">
            <v>ABRAZADERA P.PAST.SIMP.6A AC.60MMD.POST.AC.192MMD.</v>
          </cell>
        </row>
        <row r="4507">
          <cell r="B4507">
            <v>6941028</v>
          </cell>
          <cell r="C4507" t="str">
            <v>PIC</v>
          </cell>
          <cell r="D4507" t="str">
            <v>ABRAZADERA P.PAST.SIMP.6A AC.60MMD.POST.AC.192MMD.</v>
          </cell>
        </row>
        <row r="4508">
          <cell r="B4508">
            <v>6941030</v>
          </cell>
          <cell r="C4508" t="str">
            <v>MEG</v>
          </cell>
          <cell r="D4508" t="str">
            <v>ABRAZADERA P.PAST.SIMP.7 AC.48MMD.POST.AC.222MMD.</v>
          </cell>
        </row>
        <row r="4509">
          <cell r="B4509">
            <v>6941030</v>
          </cell>
          <cell r="C4509" t="str">
            <v>PIC</v>
          </cell>
          <cell r="D4509" t="str">
            <v>ABRAZADERA P.PAST.SIMP.7 AC.48MMD.POST.AC.222MMD.</v>
          </cell>
        </row>
        <row r="4510">
          <cell r="B4510">
            <v>6941032</v>
          </cell>
          <cell r="C4510" t="str">
            <v>MEG</v>
          </cell>
          <cell r="D4510" t="str">
            <v>ABRAZADERA P.PAST.SIMP.7A AC.60MMD.POST.AC.222MMD.</v>
          </cell>
        </row>
        <row r="4511">
          <cell r="B4511">
            <v>6941032</v>
          </cell>
          <cell r="C4511" t="str">
            <v>PIC</v>
          </cell>
          <cell r="D4511" t="str">
            <v>ABRAZADERA P.PAST.SIMP.7A AC.60MMD.POST.AC.222MMD.</v>
          </cell>
        </row>
        <row r="4512">
          <cell r="B4512">
            <v>6941036</v>
          </cell>
          <cell r="C4512" t="str">
            <v>MEG</v>
          </cell>
          <cell r="D4512" t="str">
            <v>ABRAZADERA AC.GALV. SIMP.TP.8A DE 3/16" X 3" P.PAST.60MM / 324MM DIAMETRO</v>
          </cell>
        </row>
        <row r="4513">
          <cell r="B4513">
            <v>6941036</v>
          </cell>
          <cell r="C4513" t="str">
            <v>PIC</v>
          </cell>
          <cell r="D4513" t="str">
            <v>ABRAZADERA AC.GALV. SIMP.TP.8A DE 3/16" X 3" P.PAST.60MM / 324MM DIAMETRO</v>
          </cell>
        </row>
        <row r="4514">
          <cell r="B4514">
            <v>6941110</v>
          </cell>
          <cell r="C4514" t="str">
            <v>ELD</v>
          </cell>
          <cell r="D4514" t="str">
            <v>ABRAZADERA P.PAST.SIMP. 90MMD. POST. CA.AP.102MMD.</v>
          </cell>
        </row>
        <row r="4515">
          <cell r="B4515">
            <v>6941110</v>
          </cell>
          <cell r="C4515" t="str">
            <v>PIC</v>
          </cell>
          <cell r="D4515" t="str">
            <v>ABRAZADERA P.PAST.SIMP. 90MMD. POST. CA.AP.102MMD.</v>
          </cell>
        </row>
        <row r="4516">
          <cell r="B4516">
            <v>6941112</v>
          </cell>
          <cell r="C4516" t="str">
            <v>ELD</v>
          </cell>
          <cell r="D4516" t="str">
            <v>ABRAZADERA P.PAST.SIMP.AC.50MMD.POST.AC.AP.116MMD.</v>
          </cell>
        </row>
        <row r="4517">
          <cell r="B4517">
            <v>6941112</v>
          </cell>
          <cell r="C4517" t="str">
            <v>TAS</v>
          </cell>
          <cell r="D4517" t="str">
            <v>ABRAZADERA P.PAST.SIMP.AC.50MMD.POST.AC.AP.116MMD.</v>
          </cell>
        </row>
        <row r="4518">
          <cell r="B4518">
            <v>6941124</v>
          </cell>
          <cell r="C4518" t="str">
            <v>ELD</v>
          </cell>
          <cell r="D4518" t="str">
            <v>ABRAZADERA P. 2 PAST. AC.50MMD.POST.AC.     65MMD</v>
          </cell>
        </row>
        <row r="4519">
          <cell r="B4519">
            <v>6941124</v>
          </cell>
          <cell r="C4519" t="str">
            <v>TAS</v>
          </cell>
          <cell r="D4519" t="str">
            <v>ABRAZADERA P. 2 PAST. AC.50MMD.POST.AC.     65MMD</v>
          </cell>
        </row>
        <row r="4520">
          <cell r="B4520">
            <v>6941128</v>
          </cell>
          <cell r="C4520" t="str">
            <v>ELD</v>
          </cell>
          <cell r="D4520" t="str">
            <v>ABRAZADERA P. 2 PAST. AC.50MMD.POST.AC.     90MMD</v>
          </cell>
        </row>
        <row r="4521">
          <cell r="B4521">
            <v>6941128</v>
          </cell>
          <cell r="C4521" t="str">
            <v>TAS</v>
          </cell>
          <cell r="D4521" t="str">
            <v>ABRAZADERA P. 2 PAST. AC.50MMD.POST.AC.     90MMD</v>
          </cell>
        </row>
        <row r="4522">
          <cell r="B4522">
            <v>6941152</v>
          </cell>
          <cell r="C4522" t="str">
            <v>ELD</v>
          </cell>
          <cell r="D4522" t="str">
            <v>ABRAZADERA P. 3 PAST. AC.45MMD.POST.AC.     85MMD</v>
          </cell>
        </row>
        <row r="4523">
          <cell r="B4523">
            <v>6941152</v>
          </cell>
          <cell r="C4523" t="str">
            <v>TAS</v>
          </cell>
          <cell r="D4523" t="str">
            <v>ABRAZADERA P. 3 PAST. AC.45MMD.POST.AC.     85MMD</v>
          </cell>
        </row>
        <row r="4524">
          <cell r="B4524">
            <v>6941170</v>
          </cell>
          <cell r="C4524" t="str">
            <v>ELD</v>
          </cell>
          <cell r="D4524" t="str">
            <v>ABRAZADERA DE ACERO GALV. 160 - 190MM DIAM. C.4 PERNOS DE AJUSTE P.SOPORTE DEL BRAZO DE APOYO</v>
          </cell>
        </row>
        <row r="4525">
          <cell r="B4525">
            <v>6941170</v>
          </cell>
          <cell r="C4525" t="str">
            <v>MEG</v>
          </cell>
          <cell r="D4525" t="str">
            <v>ABRAZADERA DE ACERO GALV. 160 - 190MM DIAM. C.4 PERNOS DE AJUSTE P.SOPORTE DEL BRAZO DE APOYO</v>
          </cell>
        </row>
        <row r="4526">
          <cell r="B4526">
            <v>6941170</v>
          </cell>
          <cell r="C4526" t="str">
            <v>PIC</v>
          </cell>
          <cell r="D4526" t="str">
            <v>ABRAZADERA DE ACERO GALV. 160 - 190MM DIAM. C.4 PERNOS DE AJUSTE P.SOPORTE DEL BRAZO DE APOYO</v>
          </cell>
        </row>
        <row r="4527">
          <cell r="B4527">
            <v>6941170</v>
          </cell>
          <cell r="C4527" t="str">
            <v>TAS</v>
          </cell>
          <cell r="D4527" t="str">
            <v>ABRAZADERA DE ACERO GALV. 160 - 190MM DIAM. C.4 PERNOS DE AJUSTE P.SOPORTE DEL BRAZO DE APOYO</v>
          </cell>
        </row>
        <row r="4528">
          <cell r="B4528">
            <v>6941172</v>
          </cell>
          <cell r="C4528" t="str">
            <v>ELD</v>
          </cell>
          <cell r="D4528" t="str">
            <v>ABRAZADERA DE ACERO GALV. 230 - 267MM DIAM. C.4 PERNOS DE AJUSTE P.SOPORTE DEL BRAZO DE APOYO</v>
          </cell>
        </row>
        <row r="4529">
          <cell r="B4529">
            <v>6941172</v>
          </cell>
          <cell r="C4529" t="str">
            <v>MEG</v>
          </cell>
          <cell r="D4529" t="str">
            <v>ABRAZADERA DE ACERO GALV. 230 - 267MM DIAM. C.4 PERNOS DE AJUSTE P.SOPORTE DEL BRAZO DE APOYO</v>
          </cell>
        </row>
        <row r="4530">
          <cell r="B4530">
            <v>6941172</v>
          </cell>
          <cell r="C4530" t="str">
            <v>PIC</v>
          </cell>
          <cell r="D4530" t="str">
            <v>ABRAZADERA DE ACERO GALV. 230 - 267MM DIAM. C.4 PERNOS DE AJUSTE P.SOPORTE DEL BRAZO DE APOYO</v>
          </cell>
        </row>
        <row r="4531">
          <cell r="B4531">
            <v>6941172</v>
          </cell>
          <cell r="C4531" t="str">
            <v>TAS</v>
          </cell>
          <cell r="D4531" t="str">
            <v>ABRAZADERA DE ACERO GALV. 230 - 267MM DIAM. C.4 PERNOS DE AJUSTE P.SOPORTE DEL BRAZO DE APOYO</v>
          </cell>
        </row>
        <row r="4532">
          <cell r="B4532">
            <v>6941174</v>
          </cell>
          <cell r="C4532" t="str">
            <v>ELD</v>
          </cell>
          <cell r="D4532" t="str">
            <v>ABRAZADERA DE ACERO GALV. 190 - 225MM DIAM. C.4 PERNOS DE AJUSTE P.SOPORTE DEL BRAZO DE APOYO</v>
          </cell>
        </row>
        <row r="4533">
          <cell r="B4533">
            <v>6941174</v>
          </cell>
          <cell r="C4533" t="str">
            <v>MEG</v>
          </cell>
          <cell r="D4533" t="str">
            <v>ABRAZADERA DE ACERO GALV. 190 - 225MM DIAM. C.4 PERNOS DE AJUSTE P.SOPORTE DEL BRAZO DE APOYO</v>
          </cell>
        </row>
        <row r="4534">
          <cell r="B4534">
            <v>6941174</v>
          </cell>
          <cell r="C4534" t="str">
            <v>PIC</v>
          </cell>
          <cell r="D4534" t="str">
            <v>ABRAZADERA DE ACERO GALV. 190 - 225MM DIAM. C.4 PERNOS DE AJUSTE P.SOPORTE DEL BRAZO DE APOYO</v>
          </cell>
        </row>
        <row r="4535">
          <cell r="B4535">
            <v>6941174</v>
          </cell>
          <cell r="C4535" t="str">
            <v>TAS</v>
          </cell>
          <cell r="D4535" t="str">
            <v>ABRAZADERA DE ACERO GALV. 190 - 225MM DIAM. C.4 PERNOS DE AJUSTE P.SOPORTE DEL BRAZO DE APOYO</v>
          </cell>
        </row>
        <row r="4536">
          <cell r="B4536">
            <v>6941185</v>
          </cell>
          <cell r="C4536" t="str">
            <v>ELD</v>
          </cell>
          <cell r="D4536" t="str">
            <v>ABRAZADERA POSTE C.A.120MMD.C/GANCHO ACOMET.DOMIC.</v>
          </cell>
        </row>
        <row r="4537">
          <cell r="B4537">
            <v>6941185</v>
          </cell>
          <cell r="C4537" t="str">
            <v>MEG</v>
          </cell>
          <cell r="D4537" t="str">
            <v>ABRAZADERA POSTE C.A.120MMD.C/GANCHO ACOMET.DOMIC.</v>
          </cell>
        </row>
        <row r="4538">
          <cell r="B4538">
            <v>6941185</v>
          </cell>
          <cell r="C4538" t="str">
            <v>PIC</v>
          </cell>
          <cell r="D4538" t="str">
            <v>ABRAZADERA POSTE C.A.120MMD.C/GANCHO ACOMET.DOMIC.</v>
          </cell>
        </row>
        <row r="4539">
          <cell r="B4539">
            <v>6941185</v>
          </cell>
          <cell r="C4539" t="str">
            <v>TAS</v>
          </cell>
          <cell r="D4539" t="str">
            <v>ABRAZADERA POSTE C.A.120MMD.C/GANCHO ACOMET.DOMIC.</v>
          </cell>
        </row>
        <row r="4540">
          <cell r="B4540">
            <v>6941188</v>
          </cell>
          <cell r="C4540" t="str">
            <v>ELD</v>
          </cell>
          <cell r="D4540" t="str">
            <v>ABRAZADERA POSTE C.A.150MMD.C/GANCHO ACOMET.DOMIC.</v>
          </cell>
        </row>
        <row r="4541">
          <cell r="B4541">
            <v>6941188</v>
          </cell>
          <cell r="C4541" t="str">
            <v>MEG</v>
          </cell>
          <cell r="D4541" t="str">
            <v>ABRAZADERA POSTE C.A.150MMD.C/GANCHO ACOMET.DOMIC.</v>
          </cell>
        </row>
        <row r="4542">
          <cell r="B4542">
            <v>6941188</v>
          </cell>
          <cell r="C4542" t="str">
            <v>PIC</v>
          </cell>
          <cell r="D4542" t="str">
            <v>ABRAZADERA POSTE C.A.150MMD.C/GANCHO ACOMET.DOMIC.</v>
          </cell>
        </row>
        <row r="4543">
          <cell r="B4543">
            <v>6941188</v>
          </cell>
          <cell r="C4543" t="str">
            <v>SMP</v>
          </cell>
          <cell r="D4543" t="str">
            <v>ABRAZADERA POSTE C.A.150MMD.C/GANCHO ACOMET.DOMIC.</v>
          </cell>
        </row>
        <row r="4544">
          <cell r="B4544">
            <v>6941188</v>
          </cell>
          <cell r="C4544" t="str">
            <v>TAS</v>
          </cell>
          <cell r="D4544" t="str">
            <v>ABRAZADERA POSTE C.A.150MMD.C/GANCHO ACOMET.DOMIC.</v>
          </cell>
        </row>
        <row r="4545">
          <cell r="B4545">
            <v>6941190</v>
          </cell>
          <cell r="C4545" t="str">
            <v>ELD</v>
          </cell>
          <cell r="D4545" t="str">
            <v>ABRAZADERA DE ACERO GALV. 160 - 190MM DIAM. P.SOPORTE DEL BRAZO DE APOYO</v>
          </cell>
        </row>
        <row r="4546">
          <cell r="B4546">
            <v>6941190</v>
          </cell>
          <cell r="C4546" t="str">
            <v>MEG</v>
          </cell>
          <cell r="D4546" t="str">
            <v>ABRAZADERA DE ACERO GALV. 160 - 190MM DIAM. P.SOPORTE DEL BRAZO DE APOYO</v>
          </cell>
        </row>
        <row r="4547">
          <cell r="B4547">
            <v>6941190</v>
          </cell>
          <cell r="C4547" t="str">
            <v>PIC</v>
          </cell>
          <cell r="D4547" t="str">
            <v>ABRAZADERA DE ACERO GALV. 160 - 190MM DIAM. P.SOPORTE DEL BRAZO DE APOYO</v>
          </cell>
        </row>
        <row r="4548">
          <cell r="B4548">
            <v>6941190</v>
          </cell>
          <cell r="C4548" t="str">
            <v>TAS</v>
          </cell>
          <cell r="D4548" t="str">
            <v>ABRAZADERA DE ACERO GALV. 160 - 190MM DIAM. P.SOPORTE DEL BRAZO DE APOYO</v>
          </cell>
        </row>
        <row r="4549">
          <cell r="B4549">
            <v>6941192</v>
          </cell>
          <cell r="C4549" t="str">
            <v>ELD</v>
          </cell>
          <cell r="D4549" t="str">
            <v>ABRAZADERA POSTE C.A.210MMD.C/GANCHO ACOMET.DOMIC.</v>
          </cell>
        </row>
        <row r="4550">
          <cell r="B4550">
            <v>6941192</v>
          </cell>
          <cell r="C4550" t="str">
            <v>TAS</v>
          </cell>
          <cell r="D4550" t="str">
            <v>ABRAZADERA POSTE C.A.210MMD.C/GANCHO ACOMET.DOMIC.</v>
          </cell>
        </row>
        <row r="4551">
          <cell r="B4551">
            <v>6941196</v>
          </cell>
          <cell r="C4551" t="str">
            <v>ELD</v>
          </cell>
          <cell r="D4551" t="str">
            <v>ABRAZADERA DE ACERO GALV. 230 - 267MM DIAM. P.SOPORTE DEL BRAZO DE APOYO</v>
          </cell>
        </row>
        <row r="4552">
          <cell r="B4552">
            <v>6941196</v>
          </cell>
          <cell r="C4552" t="str">
            <v>MEG</v>
          </cell>
          <cell r="D4552" t="str">
            <v>ABRAZADERA DE ACERO GALV. 230 - 267MM DIAM. P.SOPORTE DEL BRAZO DE APOYO</v>
          </cell>
        </row>
        <row r="4553">
          <cell r="B4553">
            <v>6941196</v>
          </cell>
          <cell r="C4553" t="str">
            <v>PIC</v>
          </cell>
          <cell r="D4553" t="str">
            <v>ABRAZADERA DE ACERO GALV. 230 - 267MM DIAM. P.SOPORTE DEL BRAZO DE APOYO</v>
          </cell>
        </row>
        <row r="4554">
          <cell r="B4554">
            <v>6941196</v>
          </cell>
          <cell r="C4554" t="str">
            <v>TAS</v>
          </cell>
          <cell r="D4554" t="str">
            <v>ABRAZADERA DE ACERO GALV. 230 - 267MM DIAM. P.SOPORTE DEL BRAZO DE APOYO</v>
          </cell>
        </row>
        <row r="4555">
          <cell r="B4555">
            <v>6941270</v>
          </cell>
          <cell r="C4555" t="str">
            <v>APW</v>
          </cell>
          <cell r="D4555" t="str">
            <v>ABRAZADERA ACERO GALV.SIMPLE 3/16" X 1 1/2" P.PASTORAL 48MM / POSTE 62MM DIAM.</v>
          </cell>
        </row>
        <row r="4556">
          <cell r="B4556">
            <v>6941270</v>
          </cell>
          <cell r="C4556" t="str">
            <v>ELD</v>
          </cell>
          <cell r="D4556" t="str">
            <v>ABRAZADERA ACERO GALV.SIMPLE 3/16" X 1 1/2" P.PASTORAL 48MM / POSTE 62MM DIAM.</v>
          </cell>
        </row>
        <row r="4557">
          <cell r="B4557">
            <v>6941270</v>
          </cell>
          <cell r="C4557" t="str">
            <v>MEG</v>
          </cell>
          <cell r="D4557" t="str">
            <v>ABRAZADERA ACERO GALV.SIMPLE 3/16" X 1 1/2" P.PASTORAL 48MM / POSTE 62MM DIAM.</v>
          </cell>
        </row>
        <row r="4558">
          <cell r="B4558">
            <v>6941270</v>
          </cell>
          <cell r="C4558" t="str">
            <v>MIM</v>
          </cell>
          <cell r="D4558" t="str">
            <v>ABRAZADERA ACERO GALV.SIMPLE 3/16" X 1 1/2" P.PASTORAL 48MM / POSTE 62MM DIAM.</v>
          </cell>
        </row>
        <row r="4559">
          <cell r="B4559">
            <v>6941270</v>
          </cell>
          <cell r="C4559" t="str">
            <v>PIC</v>
          </cell>
          <cell r="D4559" t="str">
            <v>ABRAZADERA ACERO GALV.SIMPLE 3/16" X 1 1/2" P.PASTORAL 48MM / POSTE 62MM DIAM.</v>
          </cell>
        </row>
        <row r="4560">
          <cell r="B4560">
            <v>6941270</v>
          </cell>
          <cell r="C4560" t="str">
            <v>TNC</v>
          </cell>
          <cell r="D4560" t="str">
            <v>ABRAZADERA ACERO GALV.SIMPLE 3/16" X 1 1/2" P.PASTORAL 48MM / POSTE 62MM DIAM.</v>
          </cell>
        </row>
        <row r="4561">
          <cell r="B4561">
            <v>6941271</v>
          </cell>
          <cell r="C4561" t="str">
            <v>APW</v>
          </cell>
          <cell r="D4561" t="str">
            <v>ABRAZADERA ACERO GALV.SIMPLE 3/16" X 1 1/2" P.PASTORAL 48MM / POSTE 80MM DIAM.</v>
          </cell>
        </row>
        <row r="4562">
          <cell r="B4562">
            <v>6941271</v>
          </cell>
          <cell r="C4562" t="str">
            <v>MIM</v>
          </cell>
          <cell r="D4562" t="str">
            <v>ABRAZADERA ACERO GALV.SIMPLE 3/16" X 1 1/2" P.PASTORAL 48MM / POSTE 80MM DIAM.</v>
          </cell>
        </row>
        <row r="4563">
          <cell r="B4563">
            <v>6941272</v>
          </cell>
          <cell r="C4563" t="str">
            <v>APW</v>
          </cell>
          <cell r="D4563" t="str">
            <v>ABRAZADERA ACERO GALV.SIMPLE 3/16" X 1 1/2" P.PASTORAL 48MM / POSTE 102MM DIAM.</v>
          </cell>
        </row>
        <row r="4564">
          <cell r="B4564">
            <v>6941272</v>
          </cell>
          <cell r="C4564" t="str">
            <v>MIM</v>
          </cell>
          <cell r="D4564" t="str">
            <v>ABRAZADERA ACERO GALV.SIMPLE 3/16" X 1 1/2" P.PASTORAL 48MM / POSTE 102MM DIAM.</v>
          </cell>
        </row>
        <row r="4565">
          <cell r="B4565">
            <v>6941273</v>
          </cell>
          <cell r="C4565" t="str">
            <v>APW</v>
          </cell>
          <cell r="D4565" t="str">
            <v>ABRAZADERA ACERO GALV.SIMPLE 3/16" X 1 1/2" P.PASTORAL 48MM / POSTE 132MM DIAM.</v>
          </cell>
        </row>
        <row r="4566">
          <cell r="B4566">
            <v>6941273</v>
          </cell>
          <cell r="C4566" t="str">
            <v>ELD</v>
          </cell>
          <cell r="D4566" t="str">
            <v>ABRAZADERA ACERO GALV.SIMPLE 3/16" X 1 1/2" P.PASTORAL 48MM / POSTE 132MM DIAM.</v>
          </cell>
        </row>
        <row r="4567">
          <cell r="B4567">
            <v>6941273</v>
          </cell>
          <cell r="C4567" t="str">
            <v>MEG</v>
          </cell>
          <cell r="D4567" t="str">
            <v>ABRAZADERA ACERO GALV.SIMPLE 3/16" X 1 1/2" P.PASTORAL 48MM / POSTE 132MM DIAM.</v>
          </cell>
        </row>
        <row r="4568">
          <cell r="B4568">
            <v>6941273</v>
          </cell>
          <cell r="C4568" t="str">
            <v>MIM</v>
          </cell>
          <cell r="D4568" t="str">
            <v>ABRAZADERA ACERO GALV.SIMPLE 3/16" X 1 1/2" P.PASTORAL 48MM / POSTE 132MM DIAM.</v>
          </cell>
        </row>
        <row r="4569">
          <cell r="B4569">
            <v>6941273</v>
          </cell>
          <cell r="C4569" t="str">
            <v>PIC</v>
          </cell>
          <cell r="D4569" t="str">
            <v>ABRAZADERA ACERO GALV.SIMPLE 3/16" X 1 1/2" P.PASTORAL 48MM / POSTE 132MM DIAM.</v>
          </cell>
        </row>
        <row r="4570">
          <cell r="B4570">
            <v>6941273</v>
          </cell>
          <cell r="C4570" t="str">
            <v>TNC</v>
          </cell>
          <cell r="D4570" t="str">
            <v>ABRAZADERA ACERO GALV.SIMPLE 3/16" X 1 1/2" P.PASTORAL 48MM / POSTE 132MM DIAM.</v>
          </cell>
        </row>
        <row r="4571">
          <cell r="B4571">
            <v>6941274</v>
          </cell>
          <cell r="C4571" t="str">
            <v>APW</v>
          </cell>
          <cell r="D4571" t="str">
            <v>ABRAZADERA ACERO GALV.SIMPLE 3/16" X 1 1/2" P.PASTORAL 48MM / POSTE 152MM DIAM.</v>
          </cell>
        </row>
        <row r="4572">
          <cell r="B4572">
            <v>6941274</v>
          </cell>
          <cell r="C4572" t="str">
            <v>ELD</v>
          </cell>
          <cell r="D4572" t="str">
            <v>ABRAZADERA ACERO GALV.SIMPLE 3/16" X 1 1/2" P.PASTORAL 48MM / POSTE 152MM DIAM.</v>
          </cell>
        </row>
        <row r="4573">
          <cell r="B4573">
            <v>6941274</v>
          </cell>
          <cell r="C4573" t="str">
            <v>MEG</v>
          </cell>
          <cell r="D4573" t="str">
            <v>ABRAZADERA ACERO GALV.SIMPLE 3/16" X 1 1/2" P.PASTORAL 48MM / POSTE 152MM DIAM.</v>
          </cell>
        </row>
        <row r="4574">
          <cell r="B4574">
            <v>6941274</v>
          </cell>
          <cell r="C4574" t="str">
            <v>MIM</v>
          </cell>
          <cell r="D4574" t="str">
            <v>ABRAZADERA ACERO GALV.SIMPLE 3/16" X 1 1/2" P.PASTORAL 48MM / POSTE 152MM DIAM.</v>
          </cell>
        </row>
        <row r="4575">
          <cell r="B4575">
            <v>6941274</v>
          </cell>
          <cell r="C4575" t="str">
            <v>PIC</v>
          </cell>
          <cell r="D4575" t="str">
            <v>ABRAZADERA ACERO GALV.SIMPLE 3/16" X 1 1/2" P.PASTORAL 48MM / POSTE 152MM DIAM.</v>
          </cell>
        </row>
        <row r="4576">
          <cell r="B4576">
            <v>6941274</v>
          </cell>
          <cell r="C4576" t="str">
            <v>TNC</v>
          </cell>
          <cell r="D4576" t="str">
            <v>ABRAZADERA ACERO GALV.SIMPLE 3/16" X 1 1/2" P.PASTORAL 48MM / POSTE 152MM DIAM.</v>
          </cell>
        </row>
        <row r="4577">
          <cell r="B4577">
            <v>6941276</v>
          </cell>
          <cell r="C4577" t="str">
            <v>APW</v>
          </cell>
          <cell r="D4577" t="str">
            <v>ABRAZADERA ACERO GALV.SIMPLE 3/16" X 1 1/2" P.PASTORAL 1 1/2" / POSTE 3" DIAM.</v>
          </cell>
        </row>
        <row r="4578">
          <cell r="B4578">
            <v>6941276</v>
          </cell>
          <cell r="C4578" t="str">
            <v>MIM</v>
          </cell>
          <cell r="D4578" t="str">
            <v>ABRAZADERA ACERO GALV.SIMPLE 3/16" X 1 1/2" P.PASTORAL 1 1/2" / POSTE 3" DIAM.</v>
          </cell>
        </row>
        <row r="4579">
          <cell r="B4579">
            <v>6941279</v>
          </cell>
          <cell r="C4579" t="str">
            <v>APW</v>
          </cell>
          <cell r="D4579" t="str">
            <v>ABRAZADERA ACERO GALV.SIMPLE 3/16" X 2 1/2" P.PASTORAL 48MM / POSTE 152MM DIAM.</v>
          </cell>
        </row>
        <row r="4580">
          <cell r="B4580">
            <v>6941279</v>
          </cell>
          <cell r="C4580" t="str">
            <v>MIM</v>
          </cell>
          <cell r="D4580" t="str">
            <v>ABRAZADERA ACERO GALV.SIMPLE 3/16" X 2 1/2" P.PASTORAL 48MM / POSTE 152MM DIAM.</v>
          </cell>
        </row>
        <row r="4581">
          <cell r="B4581">
            <v>6941281</v>
          </cell>
          <cell r="C4581" t="str">
            <v>APW</v>
          </cell>
          <cell r="D4581" t="str">
            <v>ABRAZADERA ACERO GALV.SIMPLE 3/16" X 2 1/2" P.PASTORAL 48MM / POSTE 192MM DIAM.</v>
          </cell>
        </row>
        <row r="4582">
          <cell r="B4582">
            <v>6941281</v>
          </cell>
          <cell r="C4582" t="str">
            <v>MIM</v>
          </cell>
          <cell r="D4582" t="str">
            <v>ABRAZADERA ACERO GALV.SIMPLE 3/16" X 2 1/2" P.PASTORAL 48MM / POSTE 192MM DIAM.</v>
          </cell>
        </row>
        <row r="4583">
          <cell r="B4583">
            <v>6941282</v>
          </cell>
          <cell r="C4583" t="str">
            <v>APW</v>
          </cell>
          <cell r="D4583" t="str">
            <v>ABRAZADERA ACERO GALV.SIMPLE 3/16" X 2 1/2" P.PASTORAL 48MM / POSTE 222MM DIAM.</v>
          </cell>
        </row>
        <row r="4584">
          <cell r="B4584">
            <v>6941282</v>
          </cell>
          <cell r="C4584" t="str">
            <v>MIM</v>
          </cell>
          <cell r="D4584" t="str">
            <v>ABRAZADERA ACERO GALV.SIMPLE 3/16" X 2 1/2" P.PASTORAL 48MM / POSTE 222MM DIAM.</v>
          </cell>
        </row>
        <row r="4585">
          <cell r="B4585">
            <v>6941288</v>
          </cell>
          <cell r="C4585" t="str">
            <v>APW</v>
          </cell>
          <cell r="D4585" t="str">
            <v>ABRAZADERA ACERO GALV.SIMPLE 3/16" X 2 1/2" P.PASTORAL 60MM / POSTE 152MM DIAM.</v>
          </cell>
        </row>
        <row r="4586">
          <cell r="B4586">
            <v>6941288</v>
          </cell>
          <cell r="C4586" t="str">
            <v>MIM</v>
          </cell>
          <cell r="D4586" t="str">
            <v>ABRAZADERA ACERO GALV.SIMPLE 3/16" X 2 1/2" P.PASTORAL 60MM / POSTE 152MM DIAM.</v>
          </cell>
        </row>
        <row r="4587">
          <cell r="B4587">
            <v>6941291</v>
          </cell>
          <cell r="C4587" t="str">
            <v>APW</v>
          </cell>
          <cell r="D4587" t="str">
            <v>ABRAZADERA ACERO GALV.SIMPLE 3/16" X 2 1/2" P.PASTORAL 60MM / POSTE 192MM DIAM.</v>
          </cell>
        </row>
        <row r="4588">
          <cell r="B4588">
            <v>6941291</v>
          </cell>
          <cell r="C4588" t="str">
            <v>MIM</v>
          </cell>
          <cell r="D4588" t="str">
            <v>ABRAZADERA ACERO GALV.SIMPLE 3/16" X 2 1/2" P.PASTORAL 60MM / POSTE 192MM DIAM.</v>
          </cell>
        </row>
        <row r="4589">
          <cell r="B4589">
            <v>6941292</v>
          </cell>
          <cell r="C4589" t="str">
            <v>APW</v>
          </cell>
          <cell r="D4589" t="str">
            <v>ABRAZADERA ACERO GALV.SIMPLE 3/16" X 2 1/2" P.PASTORAL 60MM / POSTE 222MM DIAM.</v>
          </cell>
        </row>
        <row r="4590">
          <cell r="B4590">
            <v>6941292</v>
          </cell>
          <cell r="C4590" t="str">
            <v>MIM</v>
          </cell>
          <cell r="D4590" t="str">
            <v>ABRAZADERA ACERO GALV.SIMPLE 3/16" X 2 1/2" P.PASTORAL 60MM / POSTE 222MM DIAM.</v>
          </cell>
        </row>
        <row r="4591">
          <cell r="B4591">
            <v>6941408</v>
          </cell>
          <cell r="C4591" t="str">
            <v>ELD</v>
          </cell>
          <cell r="D4591" t="str">
            <v>ABRAZADERA P.MENSULA VERT. EN POST. A.C.   150MMD.</v>
          </cell>
        </row>
        <row r="4592">
          <cell r="B4592">
            <v>6941464</v>
          </cell>
          <cell r="C4592" t="str">
            <v>ELD</v>
          </cell>
          <cell r="D4592" t="str">
            <v>ABRAZADERA PARA VIENTO AC.GALV. 120-160MMD.M.T.</v>
          </cell>
        </row>
        <row r="4593">
          <cell r="B4593">
            <v>6941464</v>
          </cell>
          <cell r="C4593" t="str">
            <v>MEG</v>
          </cell>
          <cell r="D4593" t="str">
            <v>ABRAZADERA PARA VIENTO AC.GALV. 120-160MMD.M.T.</v>
          </cell>
        </row>
        <row r="4594">
          <cell r="B4594">
            <v>6941464</v>
          </cell>
          <cell r="C4594" t="str">
            <v>PIC</v>
          </cell>
          <cell r="D4594" t="str">
            <v>ABRAZADERA PARA VIENTO AC.GALV. 120-160MMD.M.T.</v>
          </cell>
        </row>
        <row r="4595">
          <cell r="B4595">
            <v>6941464</v>
          </cell>
          <cell r="C4595" t="str">
            <v>TAS</v>
          </cell>
          <cell r="D4595" t="str">
            <v>ABRAZADERA PARA VIENTO AC.GALV. 120-160MMD.M.T.</v>
          </cell>
        </row>
        <row r="4596">
          <cell r="B4596">
            <v>6941466</v>
          </cell>
          <cell r="C4596" t="str">
            <v>ELD</v>
          </cell>
          <cell r="D4596" t="str">
            <v>ABRAZADERA PARA VIENTO AC.GALV. 170-245MMD.  M.T.</v>
          </cell>
        </row>
        <row r="4597">
          <cell r="B4597">
            <v>6941466</v>
          </cell>
          <cell r="C4597" t="str">
            <v>MEG</v>
          </cell>
          <cell r="D4597" t="str">
            <v>ABRAZADERA PARA VIENTO AC.GALV. 170-245MMD.  M.T.</v>
          </cell>
        </row>
        <row r="4598">
          <cell r="B4598">
            <v>6941466</v>
          </cell>
          <cell r="C4598" t="str">
            <v>PIC</v>
          </cell>
          <cell r="D4598" t="str">
            <v>ABRAZADERA PARA VIENTO AC.GALV. 170-245MMD.  M.T.</v>
          </cell>
        </row>
        <row r="4599">
          <cell r="B4599">
            <v>6941466</v>
          </cell>
          <cell r="C4599" t="str">
            <v>TAS</v>
          </cell>
          <cell r="D4599" t="str">
            <v>ABRAZADERA PARA VIENTO AC.GALV. 170-245MMD.  M.T.</v>
          </cell>
        </row>
        <row r="4600">
          <cell r="B4600">
            <v>6947006</v>
          </cell>
          <cell r="C4600" t="str">
            <v>ELC</v>
          </cell>
          <cell r="D4600" t="str">
            <v>ABRAZADERA DE ACERO GALV. P.CABLE 25MM2 C.ARCO CENTRAL 36MM DIAM. EN PLATINA DE ACERO 90X130X6,35MM</v>
          </cell>
        </row>
        <row r="4601">
          <cell r="B4601">
            <v>6947006</v>
          </cell>
          <cell r="C4601" t="str">
            <v>ELD</v>
          </cell>
          <cell r="D4601" t="str">
            <v>ABRAZADERA DE ACERO GALV. P.CABLE 25MM2 C.ARCO CENTRAL 36MM DIAM. EN PLATINA DE ACERO 90X130X6,35MM</v>
          </cell>
        </row>
        <row r="4602">
          <cell r="B4602">
            <v>6947006</v>
          </cell>
          <cell r="C4602" t="str">
            <v>MEG</v>
          </cell>
          <cell r="D4602" t="str">
            <v>ABRAZADERA DE ACERO GALV. P.CABLE 25MM2 C.ARCO CENTRAL 36MM DIAM. EN PLATINA DE ACERO 90X130X6,35MM</v>
          </cell>
        </row>
        <row r="4603">
          <cell r="B4603">
            <v>6947006</v>
          </cell>
          <cell r="C4603" t="str">
            <v>PIC</v>
          </cell>
          <cell r="D4603" t="str">
            <v>ABRAZADERA DE ACERO GALV. P.CABLE 25MM2 C.ARCO CENTRAL 36MM DIAM. EN PLATINA DE ACERO 90X130X6,35MM</v>
          </cell>
        </row>
        <row r="4604">
          <cell r="B4604">
            <v>6947006</v>
          </cell>
          <cell r="C4604" t="str">
            <v>TAS</v>
          </cell>
          <cell r="D4604" t="str">
            <v>ABRAZADERA DE ACERO GALV. P.CABLE 25MM2 C.ARCO CENTRAL 36MM DIAM. EN PLATINA DE ACERO 90X130X6,35MM</v>
          </cell>
        </row>
        <row r="4605">
          <cell r="B4605">
            <v>6947034</v>
          </cell>
          <cell r="C4605" t="str">
            <v>ELC</v>
          </cell>
          <cell r="D4605" t="str">
            <v>ABRAZADERA P.FIJ.CABLE P.TIE. 67MM2 SE.CONV.10MMD.</v>
          </cell>
        </row>
        <row r="4606">
          <cell r="B4606">
            <v>6947034</v>
          </cell>
          <cell r="C4606" t="str">
            <v>ELD</v>
          </cell>
          <cell r="D4606" t="str">
            <v>ABRAZADERA P.FIJ.CABLE P.TIE. 67MM2 SE.CONV.10MMD.</v>
          </cell>
        </row>
        <row r="4607">
          <cell r="B4607">
            <v>6951016</v>
          </cell>
          <cell r="C4607" t="str">
            <v>EMS</v>
          </cell>
          <cell r="D4607" t="str">
            <v>PORTABARRA P. BARRA TP. PLETINA  80MM. P.AISL.SOP.</v>
          </cell>
        </row>
        <row r="4608">
          <cell r="B4608">
            <v>6951016</v>
          </cell>
          <cell r="C4608" t="str">
            <v>IAT</v>
          </cell>
          <cell r="D4608" t="str">
            <v>PORTABARRA P. BARRA TP. PLETINA  80MM. P.AISL.SOP.</v>
          </cell>
        </row>
        <row r="4609">
          <cell r="B4609">
            <v>6951016</v>
          </cell>
          <cell r="C4609" t="str">
            <v>TAS</v>
          </cell>
          <cell r="D4609" t="str">
            <v>PORTABARRA P. BARRA TP. PLETINA  80MM. P.AISL.SOP.</v>
          </cell>
        </row>
        <row r="4610">
          <cell r="B4610">
            <v>6951104</v>
          </cell>
          <cell r="C4610" t="str">
            <v>TAS</v>
          </cell>
          <cell r="D4610" t="str">
            <v>PORTA LLAVE BRC.1396X112MM.P.SECC.*DN-321 POS.1-1A</v>
          </cell>
        </row>
        <row r="4611">
          <cell r="B4611">
            <v>6951118</v>
          </cell>
          <cell r="C4611" t="str">
            <v>ELD</v>
          </cell>
          <cell r="D4611" t="str">
            <v>SOPORTE METAL.P.PLATAFORMA DE SS.EE. AEREA 250KVA</v>
          </cell>
        </row>
        <row r="4612">
          <cell r="B4612">
            <v>6951118</v>
          </cell>
          <cell r="C4612" t="str">
            <v>TAS</v>
          </cell>
          <cell r="D4612" t="str">
            <v>SOPORTE METAL.P.PLATAFORMA DE SS.EE. AEREA 250KVA</v>
          </cell>
        </row>
        <row r="4613">
          <cell r="B4613">
            <v>6951164</v>
          </cell>
          <cell r="C4613" t="str">
            <v>EMS</v>
          </cell>
          <cell r="D4613" t="str">
            <v>RECEPTACULO P/CONDENSADOR EN CAJA MEDICION MONOFA.</v>
          </cell>
        </row>
        <row r="4614">
          <cell r="B4614">
            <v>6951164</v>
          </cell>
          <cell r="C4614" t="str">
            <v>FAS</v>
          </cell>
          <cell r="D4614" t="str">
            <v>RECEPTACULO P/CONDENSADOR EN CAJA MEDICION MONOFA.</v>
          </cell>
        </row>
        <row r="4615">
          <cell r="B4615">
            <v>6951872</v>
          </cell>
          <cell r="C4615" t="str">
            <v>CIN</v>
          </cell>
          <cell r="D4615" t="str">
            <v>TORNILLO ADAPT.PORTABARRA/AISLADOR 1/2" M16  10KV.</v>
          </cell>
        </row>
        <row r="4616">
          <cell r="B4616">
            <v>6951872</v>
          </cell>
          <cell r="C4616" t="str">
            <v>FAS</v>
          </cell>
          <cell r="D4616" t="str">
            <v>TORNILLO ADAPT.PORTABARRA/AISLADOR 1/2" M16  10KV.</v>
          </cell>
        </row>
        <row r="4617">
          <cell r="B4617">
            <v>6951872</v>
          </cell>
          <cell r="C4617" t="str">
            <v>MDP</v>
          </cell>
          <cell r="D4617" t="str">
            <v>TORNILLO ADAPT.PORTABARRA/AISLADOR 1/2" M16  10KV.</v>
          </cell>
        </row>
        <row r="4618">
          <cell r="B4618">
            <v>6951872</v>
          </cell>
          <cell r="C4618" t="str">
            <v>TAL</v>
          </cell>
          <cell r="D4618" t="str">
            <v>TORNILLO ADAPT.PORTABARRA/AISLADOR 1/2" M16  10KV.</v>
          </cell>
        </row>
        <row r="4619">
          <cell r="B4619">
            <v>6954004</v>
          </cell>
          <cell r="C4619" t="str">
            <v>ELD</v>
          </cell>
          <cell r="D4619" t="str">
            <v>SOPORTE P. CAJA TERMINAL P.CABLE  NKY 10KV. TAM. 1</v>
          </cell>
        </row>
        <row r="4620">
          <cell r="B4620">
            <v>6954004</v>
          </cell>
          <cell r="C4620" t="str">
            <v>MEG</v>
          </cell>
          <cell r="D4620" t="str">
            <v>SOPORTE P. CAJA TERMINAL P.CABLE  NKY 10KV. TAM. 1</v>
          </cell>
        </row>
        <row r="4621">
          <cell r="B4621">
            <v>6954004</v>
          </cell>
          <cell r="C4621" t="str">
            <v>PFJ</v>
          </cell>
          <cell r="D4621" t="str">
            <v>SOPORTE P. CAJA TERMINAL P.CABLE  NKY 10KV. TAM. 1</v>
          </cell>
        </row>
        <row r="4622">
          <cell r="B4622">
            <v>6954004</v>
          </cell>
          <cell r="C4622" t="str">
            <v>SML</v>
          </cell>
          <cell r="D4622" t="str">
            <v>SOPORTE P. CAJA TERMINAL P.CABLE  NKY 10KV. TAM. 1</v>
          </cell>
        </row>
        <row r="4623">
          <cell r="B4623">
            <v>6954004</v>
          </cell>
          <cell r="C4623" t="str">
            <v>TAS</v>
          </cell>
          <cell r="D4623" t="str">
            <v>SOPORTE P. CAJA TERMINAL P.CABLE  NKY 10KV. TAM. 1</v>
          </cell>
        </row>
        <row r="4624">
          <cell r="B4624">
            <v>6954030</v>
          </cell>
          <cell r="C4624" t="str">
            <v>PFJ</v>
          </cell>
          <cell r="D4624" t="str">
            <v>SOPORTE P. CJ.TERM.10KV EN NIVEL    240/240X120MM.</v>
          </cell>
        </row>
        <row r="4625">
          <cell r="B4625">
            <v>6954030</v>
          </cell>
          <cell r="C4625" t="str">
            <v>PIC</v>
          </cell>
          <cell r="D4625" t="str">
            <v>SOPORTE P. CJ.TERM.10KV EN NIVEL    240/240X120MM.</v>
          </cell>
        </row>
        <row r="4626">
          <cell r="B4626">
            <v>6954030</v>
          </cell>
          <cell r="C4626" t="str">
            <v>TAS</v>
          </cell>
          <cell r="D4626" t="str">
            <v>SOPORTE P. CJ.TERM.10KV EN NIVEL    240/240X120MM.</v>
          </cell>
        </row>
        <row r="4627">
          <cell r="B4627">
            <v>6954206</v>
          </cell>
          <cell r="C4627" t="str">
            <v>ELD</v>
          </cell>
          <cell r="D4627" t="str">
            <v>SOPORTE P.1 TERM.TERMOR/ELASTOM.CAB.NKY  16-70MM2</v>
          </cell>
        </row>
        <row r="4628">
          <cell r="B4628">
            <v>6954206</v>
          </cell>
          <cell r="C4628" t="str">
            <v>MDP</v>
          </cell>
          <cell r="D4628" t="str">
            <v>SOPORTE P.1 TERM.TERMOR/ELASTOM.CAB.NKY  16-70MM2</v>
          </cell>
        </row>
        <row r="4629">
          <cell r="B4629">
            <v>6954206</v>
          </cell>
          <cell r="C4629" t="str">
            <v>MEG</v>
          </cell>
          <cell r="D4629" t="str">
            <v>SOPORTE P.1 TERM.TERMOR/ELASTOM.CAB.NKY  16-70MM2</v>
          </cell>
        </row>
        <row r="4630">
          <cell r="B4630">
            <v>6954206</v>
          </cell>
          <cell r="C4630" t="str">
            <v>SML</v>
          </cell>
          <cell r="D4630" t="str">
            <v>SOPORTE P.1 TERM.TERMOR/ELASTOM.CAB.NKY  16-70MM2</v>
          </cell>
        </row>
        <row r="4631">
          <cell r="B4631">
            <v>6954214</v>
          </cell>
          <cell r="C4631" t="str">
            <v>ELD</v>
          </cell>
          <cell r="D4631" t="str">
            <v>SOPORTE P.1 TERM.TERMOREST.ELAST.NKY MT.120X240MM2</v>
          </cell>
        </row>
        <row r="4632">
          <cell r="B4632">
            <v>6954214</v>
          </cell>
          <cell r="C4632" t="str">
            <v>MDP</v>
          </cell>
          <cell r="D4632" t="str">
            <v>SOPORTE P.1 TERM.TERMOREST.ELAST.NKY MT.120X240MM2</v>
          </cell>
        </row>
        <row r="4633">
          <cell r="B4633">
            <v>6954214</v>
          </cell>
          <cell r="C4633" t="str">
            <v>MEG</v>
          </cell>
          <cell r="D4633" t="str">
            <v>SOPORTE P.1 TERM.TERMOREST.ELAST.NKY MT.120X240MM2</v>
          </cell>
        </row>
        <row r="4634">
          <cell r="B4634">
            <v>6954214</v>
          </cell>
          <cell r="C4634" t="str">
            <v>SML</v>
          </cell>
          <cell r="D4634" t="str">
            <v>SOPORTE P.1 TERM.TERMOREST.ELAST.NKY MT.120X240MM2</v>
          </cell>
        </row>
        <row r="4635">
          <cell r="B4635">
            <v>6955820</v>
          </cell>
          <cell r="C4635" t="str">
            <v>ELD</v>
          </cell>
          <cell r="D4635" t="str">
            <v>PLETINA DE REGUL. P.SOP. TERM. INT. CABLE NKY 10KV</v>
          </cell>
        </row>
        <row r="4636">
          <cell r="B4636">
            <v>6955820</v>
          </cell>
          <cell r="C4636" t="str">
            <v>MDP</v>
          </cell>
          <cell r="D4636" t="str">
            <v>PLETINA DE REGUL. P.SOP. TERM. INT. CABLE NKY 10KV</v>
          </cell>
        </row>
        <row r="4637">
          <cell r="B4637">
            <v>6955820</v>
          </cell>
          <cell r="C4637" t="str">
            <v>MEG</v>
          </cell>
          <cell r="D4637" t="str">
            <v>PLETINA DE REGUL. P.SOP. TERM. INT. CABLE NKY 10KV</v>
          </cell>
        </row>
        <row r="4638">
          <cell r="B4638">
            <v>6955820</v>
          </cell>
          <cell r="C4638" t="str">
            <v>SML</v>
          </cell>
          <cell r="D4638" t="str">
            <v>PLETINA DE REGUL. P.SOP. TERM. INT. CABLE NKY 10KV</v>
          </cell>
        </row>
        <row r="4639">
          <cell r="B4639">
            <v>6955820</v>
          </cell>
          <cell r="C4639" t="str">
            <v>TAS</v>
          </cell>
          <cell r="D4639" t="str">
            <v>PLETINA DE REGUL. P.SOP. TERM. INT. CABLE NKY 10KV</v>
          </cell>
        </row>
        <row r="4640">
          <cell r="B4640">
            <v>6955832</v>
          </cell>
          <cell r="C4640" t="str">
            <v>CDC</v>
          </cell>
          <cell r="D4640" t="str">
            <v>PERFILES SIMETRICOS (RIEL DIN) P. INTERRUP. BIP. Y TRIP.</v>
          </cell>
        </row>
        <row r="4641">
          <cell r="B4641">
            <v>6955832</v>
          </cell>
          <cell r="C4641" t="str">
            <v>IAT</v>
          </cell>
          <cell r="D4641" t="str">
            <v>PERFILES SIMETRICOS (RIEL DIN) P. INTERRUP. BIP. Y TRIP.</v>
          </cell>
        </row>
        <row r="4642">
          <cell r="B4642">
            <v>6955832</v>
          </cell>
          <cell r="C4642" t="str">
            <v>TNC</v>
          </cell>
          <cell r="D4642" t="str">
            <v>PERFILES SIMETRICOS (RIEL DIN) P. INTERRUP. BIP. Y TRIP.</v>
          </cell>
        </row>
        <row r="4643">
          <cell r="B4643">
            <v>6961002</v>
          </cell>
          <cell r="C4643" t="str">
            <v>ELD</v>
          </cell>
          <cell r="D4643" t="str">
            <v>SOPORTE P.TRANSF. EN SE.DE SUPERF.   50X152X1300MM</v>
          </cell>
        </row>
        <row r="4644">
          <cell r="B4644">
            <v>6961002</v>
          </cell>
          <cell r="C4644" t="str">
            <v>PIC</v>
          </cell>
          <cell r="D4644" t="str">
            <v>SOPORTE P.TRANSF. EN SE.DE SUPERF.   50X152X1300MM</v>
          </cell>
        </row>
        <row r="4645">
          <cell r="B4645">
            <v>6961002</v>
          </cell>
          <cell r="C4645" t="str">
            <v>TAS</v>
          </cell>
          <cell r="D4645" t="str">
            <v>SOPORTE P.TRANSF. EN SE.DE SUPERF.   50X152X1300MM</v>
          </cell>
        </row>
        <row r="4646">
          <cell r="B4646">
            <v>6961006</v>
          </cell>
          <cell r="C4646" t="str">
            <v>ELD</v>
          </cell>
          <cell r="D4646" t="str">
            <v>PLETINA P.SOP.DE TRANSF.EN SAB  (2)63.5X9.52X405MM</v>
          </cell>
        </row>
        <row r="4647">
          <cell r="B4647">
            <v>6961006</v>
          </cell>
          <cell r="C4647" t="str">
            <v>MEG</v>
          </cell>
          <cell r="D4647" t="str">
            <v>PLETINA P.SOP.DE TRANSF.EN SAB  (2)63.5X9.52X405MM</v>
          </cell>
        </row>
        <row r="4648">
          <cell r="B4648">
            <v>6961006</v>
          </cell>
          <cell r="C4648" t="str">
            <v>PFJ</v>
          </cell>
          <cell r="D4648" t="str">
            <v>PLETINA P.SOP.DE TRANSF.EN SAB  (2)63.5X9.52X405MM</v>
          </cell>
        </row>
        <row r="4649">
          <cell r="B4649">
            <v>6961006</v>
          </cell>
          <cell r="C4649" t="str">
            <v>PIC</v>
          </cell>
          <cell r="D4649" t="str">
            <v>PLETINA P.SOP.DE TRANSF.EN SAB  (2)63.5X9.52X405MM</v>
          </cell>
        </row>
        <row r="4650">
          <cell r="B4650">
            <v>6961006</v>
          </cell>
          <cell r="C4650" t="str">
            <v>SML</v>
          </cell>
          <cell r="D4650" t="str">
            <v>PLETINA P.SOP.DE TRANSF.EN SAB  (2)63.5X9.52X405MM</v>
          </cell>
        </row>
        <row r="4651">
          <cell r="B4651">
            <v>6961006</v>
          </cell>
          <cell r="C4651" t="str">
            <v>TAS</v>
          </cell>
          <cell r="D4651" t="str">
            <v>PLETINA P.SOP.DE TRANSF.EN SAB  (2)63.5X9.52X405MM</v>
          </cell>
        </row>
        <row r="4652">
          <cell r="B4652">
            <v>6961012</v>
          </cell>
          <cell r="C4652" t="str">
            <v>ELD</v>
          </cell>
          <cell r="D4652" t="str">
            <v>SOPORTE P.TRANSF.MONOF.AEREO  10/0.22KV.   250MMD.</v>
          </cell>
        </row>
        <row r="4653">
          <cell r="B4653">
            <v>6961012</v>
          </cell>
          <cell r="C4653" t="str">
            <v>MDP</v>
          </cell>
          <cell r="D4653" t="str">
            <v>SOPORTE P.TRANSF.MONOF.AEREO  10/0.22KV.   250MMD.</v>
          </cell>
        </row>
        <row r="4654">
          <cell r="B4654">
            <v>6961012</v>
          </cell>
          <cell r="C4654" t="str">
            <v>MEG</v>
          </cell>
          <cell r="D4654" t="str">
            <v>SOPORTE P.TRANSF.MONOF.AEREO  10/0.22KV.   250MMD.</v>
          </cell>
        </row>
        <row r="4655">
          <cell r="B4655">
            <v>6961012</v>
          </cell>
          <cell r="C4655" t="str">
            <v>PIC</v>
          </cell>
          <cell r="D4655" t="str">
            <v>SOPORTE P.TRANSF.MONOF.AEREO  10/0.22KV.   250MMD.</v>
          </cell>
        </row>
        <row r="4656">
          <cell r="B4656">
            <v>6961012</v>
          </cell>
          <cell r="C4656" t="str">
            <v>SML</v>
          </cell>
          <cell r="D4656" t="str">
            <v>SOPORTE P.TRANSF.MONOF.AEREO  10/0.22KV.   250MMD.</v>
          </cell>
        </row>
        <row r="4657">
          <cell r="B4657">
            <v>6961012</v>
          </cell>
          <cell r="C4657" t="str">
            <v>TAS</v>
          </cell>
          <cell r="D4657" t="str">
            <v>SOPORTE P.TRANSF.MONOF.AEREO  10/0.22KV.   250MMD.</v>
          </cell>
        </row>
        <row r="4658">
          <cell r="B4658">
            <v>6961102</v>
          </cell>
          <cell r="C4658" t="str">
            <v>ELD</v>
          </cell>
          <cell r="D4658" t="str">
            <v>ACCESORIO P/ANCLAJE TRANSF.AC.GAL.CAL.10X60X320MM</v>
          </cell>
        </row>
        <row r="4659">
          <cell r="B4659">
            <v>6961102</v>
          </cell>
          <cell r="C4659" t="str">
            <v>MDP</v>
          </cell>
          <cell r="D4659" t="str">
            <v>ACCESORIO P/ANCLAJE TRANSF.AC.GAL.CAL.10X60X320MM</v>
          </cell>
        </row>
        <row r="4660">
          <cell r="B4660">
            <v>6961102</v>
          </cell>
          <cell r="C4660" t="str">
            <v>MEG</v>
          </cell>
          <cell r="D4660" t="str">
            <v>ACCESORIO P/ANCLAJE TRANSF.AC.GAL.CAL.10X60X320MM</v>
          </cell>
        </row>
        <row r="4661">
          <cell r="B4661">
            <v>6961102</v>
          </cell>
          <cell r="C4661" t="str">
            <v>PFJ</v>
          </cell>
          <cell r="D4661" t="str">
            <v>ACCESORIO P/ANCLAJE TRANSF.AC.GAL.CAL.10X60X320MM</v>
          </cell>
        </row>
        <row r="4662">
          <cell r="B4662">
            <v>6961102</v>
          </cell>
          <cell r="C4662" t="str">
            <v>PIC</v>
          </cell>
          <cell r="D4662" t="str">
            <v>ACCESORIO P/ANCLAJE TRANSF.AC.GAL.CAL.10X60X320MM</v>
          </cell>
        </row>
        <row r="4663">
          <cell r="B4663">
            <v>6961102</v>
          </cell>
          <cell r="C4663" t="str">
            <v>SML</v>
          </cell>
          <cell r="D4663" t="str">
            <v>ACCESORIO P/ANCLAJE TRANSF.AC.GAL.CAL.10X60X320MM</v>
          </cell>
        </row>
        <row r="4664">
          <cell r="B4664">
            <v>6961104</v>
          </cell>
          <cell r="C4664" t="str">
            <v>ELD</v>
          </cell>
          <cell r="D4664" t="str">
            <v>ACCESORIO P/ANCLAJE TRANSF. AC.GAL.CAL.10X60X420MM</v>
          </cell>
        </row>
        <row r="4665">
          <cell r="B4665">
            <v>6961104</v>
          </cell>
          <cell r="C4665" t="str">
            <v>MDP</v>
          </cell>
          <cell r="D4665" t="str">
            <v>ACCESORIO P/ANCLAJE TRANSF. AC.GAL.CAL.10X60X420MM</v>
          </cell>
        </row>
        <row r="4666">
          <cell r="B4666">
            <v>6961104</v>
          </cell>
          <cell r="C4666" t="str">
            <v>MEG</v>
          </cell>
          <cell r="D4666" t="str">
            <v>ACCESORIO P/ANCLAJE TRANSF. AC.GAL.CAL.10X60X420MM</v>
          </cell>
        </row>
        <row r="4667">
          <cell r="B4667">
            <v>6961104</v>
          </cell>
          <cell r="C4667" t="str">
            <v>PFJ</v>
          </cell>
          <cell r="D4667" t="str">
            <v>ACCESORIO P/ANCLAJE TRANSF. AC.GAL.CAL.10X60X420MM</v>
          </cell>
        </row>
        <row r="4668">
          <cell r="B4668">
            <v>6961104</v>
          </cell>
          <cell r="C4668" t="str">
            <v>PIC</v>
          </cell>
          <cell r="D4668" t="str">
            <v>ACCESORIO P/ANCLAJE TRANSF. AC.GAL.CAL.10X60X420MM</v>
          </cell>
        </row>
        <row r="4669">
          <cell r="B4669">
            <v>6961104</v>
          </cell>
          <cell r="C4669" t="str">
            <v>SML</v>
          </cell>
          <cell r="D4669" t="str">
            <v>ACCESORIO P/ANCLAJE TRANSF. AC.GAL.CAL.10X60X420MM</v>
          </cell>
        </row>
        <row r="4670">
          <cell r="B4670">
            <v>6961104</v>
          </cell>
          <cell r="C4670" t="str">
            <v>TAS</v>
          </cell>
          <cell r="D4670" t="str">
            <v>ACCESORIO P/ANCLAJE TRANSF. AC.GAL.CAL.10X60X420MM</v>
          </cell>
        </row>
        <row r="4671">
          <cell r="B4671">
            <v>6961110</v>
          </cell>
          <cell r="C4671" t="str">
            <v>TAS</v>
          </cell>
          <cell r="D4671" t="str">
            <v>PLATAFORMA SOPORTE  FO.GO. PARA TRANSFORMADOR EN SAM/SAS.</v>
          </cell>
        </row>
        <row r="4672">
          <cell r="B4672">
            <v>6961120</v>
          </cell>
          <cell r="C4672" t="str">
            <v>TAS</v>
          </cell>
          <cell r="D4672" t="str">
            <v>PLATAFORMA SOPORTE  FO.GO. PARA TRANSFORMADOR SAB.</v>
          </cell>
        </row>
        <row r="4673">
          <cell r="B4673">
            <v>6961140</v>
          </cell>
          <cell r="C4673" t="str">
            <v>ELD</v>
          </cell>
          <cell r="D4673" t="str">
            <v>SOPORTE PTA.POSTE P.AISL.PIN PORCELANA 10KV.</v>
          </cell>
        </row>
        <row r="4674">
          <cell r="B4674">
            <v>6961140</v>
          </cell>
          <cell r="C4674" t="str">
            <v>TAS</v>
          </cell>
          <cell r="D4674" t="str">
            <v>SOPORTE PTA.POSTE P.AISL.PIN PORCELANA 10KV.</v>
          </cell>
        </row>
        <row r="4675">
          <cell r="B4675">
            <v>6961150</v>
          </cell>
          <cell r="C4675" t="str">
            <v>ELD</v>
          </cell>
          <cell r="D4675" t="str">
            <v>SOPORTE DE ACERO GALV. P.AISLADOR TP.PIN HIBRIDO 10KV</v>
          </cell>
        </row>
        <row r="4676">
          <cell r="B4676">
            <v>6961150</v>
          </cell>
          <cell r="C4676" t="str">
            <v>TAS</v>
          </cell>
          <cell r="D4676" t="str">
            <v>SOPORTE DE ACERO GALV. P.AISLADOR TP.PIN HIBRIDO 10KV</v>
          </cell>
        </row>
        <row r="4677">
          <cell r="B4677">
            <v>6961160</v>
          </cell>
          <cell r="C4677" t="str">
            <v>ELD</v>
          </cell>
          <cell r="D4677" t="str">
            <v>SOPORTE DE ACERO GALV. P.AISLADOR TP.PIN POLIMERICO 22,9KV</v>
          </cell>
        </row>
        <row r="4678">
          <cell r="B4678">
            <v>6961160</v>
          </cell>
          <cell r="C4678" t="str">
            <v>MDP</v>
          </cell>
          <cell r="D4678" t="str">
            <v>SOPORTE DE ACERO GALV. P.AISLADOR TP.PIN POLIMERICO 22,9KV</v>
          </cell>
        </row>
        <row r="4679">
          <cell r="B4679">
            <v>6961160</v>
          </cell>
          <cell r="C4679" t="str">
            <v>MEG</v>
          </cell>
          <cell r="D4679" t="str">
            <v>SOPORTE DE ACERO GALV. P.AISLADOR TP.PIN POLIMERICO 22,9KV</v>
          </cell>
        </row>
        <row r="4680">
          <cell r="B4680">
            <v>6961160</v>
          </cell>
          <cell r="C4680" t="str">
            <v>SML</v>
          </cell>
          <cell r="D4680" t="str">
            <v>SOPORTE DE ACERO GALV. P.AISLADOR TP.PIN POLIMERICO 22,9KV</v>
          </cell>
        </row>
        <row r="4681">
          <cell r="B4681">
            <v>6961160</v>
          </cell>
          <cell r="C4681" t="str">
            <v>TAS</v>
          </cell>
          <cell r="D4681" t="str">
            <v>SOPORTE DE ACERO GALV. P.AISLADOR TP.PIN POLIMERICO 22,9KV</v>
          </cell>
        </row>
        <row r="4682">
          <cell r="B4682">
            <v>6961204</v>
          </cell>
          <cell r="C4682" t="str">
            <v>TAS</v>
          </cell>
          <cell r="D4682" t="str">
            <v>SOPORTE P.SECC. TABL.DISTRIB.SECUND. AP. SAM TAM.1</v>
          </cell>
        </row>
        <row r="4683">
          <cell r="B4683">
            <v>6962004</v>
          </cell>
          <cell r="C4683" t="str">
            <v>TAS</v>
          </cell>
          <cell r="D4683" t="str">
            <v>PORTACOLUMNA P.TABL. DE SE. CONV. BT. 50X50X2550MM</v>
          </cell>
        </row>
        <row r="4684">
          <cell r="B4684">
            <v>6962006</v>
          </cell>
          <cell r="C4684" t="str">
            <v>TAS</v>
          </cell>
          <cell r="D4684" t="str">
            <v>PORTACOLUMNA P.TABL.ESP.SE.CONV.BT.   50X50X1000MM</v>
          </cell>
        </row>
        <row r="4685">
          <cell r="B4685">
            <v>6962008</v>
          </cell>
          <cell r="C4685" t="str">
            <v>TAS</v>
          </cell>
          <cell r="D4685" t="str">
            <v>SOPORTE P.COLUMNA TABL.DISTRIB.SECUND.SE.CONV.</v>
          </cell>
        </row>
        <row r="4686">
          <cell r="B4686">
            <v>6962030</v>
          </cell>
          <cell r="C4686" t="str">
            <v>CHA</v>
          </cell>
          <cell r="D4686" t="str">
            <v>SOPORTE P.CAJA LTR / LR DE 165X60X170X0,8MM COLOR GRIS P.ACERCAR MEDIDOR HACIA TAPA DE CAJA</v>
          </cell>
        </row>
        <row r="4687">
          <cell r="B4687">
            <v>6962030</v>
          </cell>
          <cell r="C4687" t="str">
            <v>IDS</v>
          </cell>
          <cell r="D4687" t="str">
            <v>SOPORTE P.CAJA LTR / LR DE 165X60X170X0,8MM COLOR GRIS P.ACERCAR MEDIDOR HACIA TAPA DE CAJA</v>
          </cell>
        </row>
        <row r="4688">
          <cell r="B4688">
            <v>6962202</v>
          </cell>
          <cell r="C4688" t="str">
            <v>ELD</v>
          </cell>
          <cell r="D4688" t="str">
            <v>SOPORTE P.MODUL.DISTRIB.SECUND.AP. SAB-SCP-SCB T.1</v>
          </cell>
        </row>
        <row r="4689">
          <cell r="B4689">
            <v>6962202</v>
          </cell>
          <cell r="C4689" t="str">
            <v>MDP</v>
          </cell>
          <cell r="D4689" t="str">
            <v>SOPORTE P.MODUL.DISTRIB.SECUND.AP. SAB-SCP-SCB T.1</v>
          </cell>
        </row>
        <row r="4690">
          <cell r="B4690">
            <v>6962202</v>
          </cell>
          <cell r="C4690" t="str">
            <v>MEG</v>
          </cell>
          <cell r="D4690" t="str">
            <v>SOPORTE P.MODUL.DISTRIB.SECUND.AP. SAB-SCP-SCB T.1</v>
          </cell>
        </row>
        <row r="4691">
          <cell r="B4691">
            <v>6962202</v>
          </cell>
          <cell r="C4691" t="str">
            <v>SML</v>
          </cell>
          <cell r="D4691" t="str">
            <v>SOPORTE P.MODUL.DISTRIB.SECUND.AP. SAB-SCP-SCB T.1</v>
          </cell>
        </row>
        <row r="4692">
          <cell r="B4692">
            <v>6962202</v>
          </cell>
          <cell r="C4692" t="str">
            <v>TAS</v>
          </cell>
          <cell r="D4692" t="str">
            <v>SOPORTE P.MODUL.DISTRIB.SECUND.AP. SAB-SCP-SCB T.1</v>
          </cell>
        </row>
        <row r="4693">
          <cell r="B4693">
            <v>6962204</v>
          </cell>
          <cell r="C4693" t="str">
            <v>CHA</v>
          </cell>
          <cell r="D4693" t="str">
            <v>SOPORTE P.MODUL.DISTRIB.SECUND.AP. SAB-SCP-SCB T.2</v>
          </cell>
        </row>
        <row r="4694">
          <cell r="B4694">
            <v>6962204</v>
          </cell>
          <cell r="C4694" t="str">
            <v>ELD</v>
          </cell>
          <cell r="D4694" t="str">
            <v>SOPORTE P.MODUL.DISTRIB.SECUND.AP. SAB-SCP-SCB T.2</v>
          </cell>
        </row>
        <row r="4695">
          <cell r="B4695">
            <v>6962208</v>
          </cell>
          <cell r="C4695" t="str">
            <v>TAS</v>
          </cell>
          <cell r="D4695" t="str">
            <v>SOPORTE COMPL.MODUL.DISTRIB.SECUND.SAB-SCB-SCP T.2</v>
          </cell>
        </row>
        <row r="4696">
          <cell r="B4696">
            <v>6962220</v>
          </cell>
          <cell r="C4696" t="str">
            <v>TAS</v>
          </cell>
          <cell r="D4696" t="str">
            <v>SOPORTE P.TABL.DISTRIB.SECUND.AP.SE.CONV. 5 X7.5M.</v>
          </cell>
        </row>
        <row r="4697">
          <cell r="B4697">
            <v>6981012</v>
          </cell>
          <cell r="C4697" t="str">
            <v>IAT</v>
          </cell>
          <cell r="D4697" t="str">
            <v>BARRA COLECTORA BT.SE.CONV. 100/250KVA 8X60X1030MM</v>
          </cell>
        </row>
        <row r="4698">
          <cell r="B4698">
            <v>6981014</v>
          </cell>
          <cell r="C4698" t="str">
            <v>IAT</v>
          </cell>
          <cell r="D4698" t="str">
            <v>BARRA COLECTORA BT.SE.CONV.    400KVA. 8X80X1110MM</v>
          </cell>
        </row>
        <row r="4699">
          <cell r="B4699">
            <v>6981016</v>
          </cell>
          <cell r="C4699" t="str">
            <v>IAT</v>
          </cell>
          <cell r="D4699" t="str">
            <v>BARRA COLECTORA BT.SE.CONV.    630KVA  8X80X1190MM</v>
          </cell>
        </row>
        <row r="4700">
          <cell r="B4700">
            <v>6981045</v>
          </cell>
          <cell r="C4700" t="str">
            <v>IBR</v>
          </cell>
          <cell r="D4700" t="str">
            <v>BARRA DE DERIVACION DE COBRE O BRONCE 144MM2 AISLADA 12 SALIDAS 75KW 220V 200A P.SUB ACOMETIDAS</v>
          </cell>
        </row>
        <row r="4701">
          <cell r="B4701">
            <v>6981045</v>
          </cell>
          <cell r="C4701" t="str">
            <v>TNC</v>
          </cell>
          <cell r="D4701" t="str">
            <v>BARRA DE DERIVACION DE COBRE O BRONCE 144MM2 AISLADA 12 SALIDAS 75KW 220V 200A P.SUB ACOMETIDAS</v>
          </cell>
        </row>
        <row r="4702">
          <cell r="B4702">
            <v>6981436</v>
          </cell>
          <cell r="C4702" t="str">
            <v>TAL</v>
          </cell>
          <cell r="D4702" t="str">
            <v>SUPLE DE CU ESTAÑADO 30X88X5MM 5350KG P. LOS TERMINALES DEL SECCIONADOR VERTICAL NH</v>
          </cell>
        </row>
        <row r="4703">
          <cell r="B4703">
            <v>6984010</v>
          </cell>
          <cell r="C4703" t="str">
            <v>ELD</v>
          </cell>
          <cell r="D4703" t="str">
            <v>MASTIL ACERO GALV. 1 1/2" DIAM. 3,5M ALTURA P.ACOMETIDA AEREA</v>
          </cell>
        </row>
        <row r="4704">
          <cell r="B4704">
            <v>6984010</v>
          </cell>
          <cell r="C4704" t="str">
            <v>MEG</v>
          </cell>
          <cell r="D4704" t="str">
            <v>MASTIL ACERO GALV. 1 1/2" DIAM. 3,5M ALTURA P.ACOMETIDA AEREA</v>
          </cell>
        </row>
        <row r="4705">
          <cell r="B4705">
            <v>6984010</v>
          </cell>
          <cell r="C4705" t="str">
            <v>PIC</v>
          </cell>
          <cell r="D4705" t="str">
            <v>MASTIL ACERO GALV. 1 1/2" DIAM. 3,5M ALTURA P.ACOMETIDA AEREA</v>
          </cell>
        </row>
        <row r="4706">
          <cell r="B4706">
            <v>6984010</v>
          </cell>
          <cell r="C4706" t="str">
            <v>TMI</v>
          </cell>
          <cell r="D4706" t="str">
            <v>MASTIL ACERO GALV. 1 1/2" DIAM. 3,5M ALTURA P.ACOMETIDA AEREA</v>
          </cell>
        </row>
        <row r="4707">
          <cell r="B4707">
            <v>6984012</v>
          </cell>
          <cell r="C4707" t="str">
            <v>ELD</v>
          </cell>
          <cell r="D4707" t="str">
            <v>MASTIL ACERO GALV. 1 1/2" DIAM. 6M ALTURA P.ACOMETIDA AEREA</v>
          </cell>
        </row>
        <row r="4708">
          <cell r="B4708">
            <v>6984012</v>
          </cell>
          <cell r="C4708" t="str">
            <v>MEG</v>
          </cell>
          <cell r="D4708" t="str">
            <v>MASTIL ACERO GALV. 1 1/2" DIAM. 6M ALTURA P.ACOMETIDA AEREA</v>
          </cell>
        </row>
        <row r="4709">
          <cell r="B4709">
            <v>6984012</v>
          </cell>
          <cell r="C4709" t="str">
            <v>PIC</v>
          </cell>
          <cell r="D4709" t="str">
            <v>MASTIL ACERO GALV. 1 1/2" DIAM. 6M ALTURA P.ACOMETIDA AEREA</v>
          </cell>
        </row>
        <row r="4710">
          <cell r="B4710">
            <v>6984012</v>
          </cell>
          <cell r="C4710" t="str">
            <v>TMI</v>
          </cell>
          <cell r="D4710" t="str">
            <v>MASTIL ACERO GALV. 1 1/2" DIAM. 6M ALTURA P.ACOMETIDA AEREA</v>
          </cell>
        </row>
        <row r="4711">
          <cell r="B4711">
            <v>6984014</v>
          </cell>
          <cell r="C4711" t="str">
            <v>ELD</v>
          </cell>
          <cell r="D4711" t="str">
            <v>MASTIL ACERO GALV. 1 1/2" DIAM. 6M ALTURA CONSTITUIDO P.2 TUBOS EMBONABLES P.ACOMETIDA AEREA</v>
          </cell>
        </row>
        <row r="4712">
          <cell r="B4712">
            <v>6984014</v>
          </cell>
          <cell r="C4712" t="str">
            <v>MEG</v>
          </cell>
          <cell r="D4712" t="str">
            <v>MASTIL ACERO GALV. 1 1/2" DIAM. 6M ALTURA CONSTITUIDO P.2 TUBOS EMBONABLES P.ACOMETIDA AEREA</v>
          </cell>
        </row>
        <row r="4713">
          <cell r="B4713">
            <v>6984014</v>
          </cell>
          <cell r="C4713" t="str">
            <v>PIC</v>
          </cell>
          <cell r="D4713" t="str">
            <v>MASTIL ACERO GALV. 1 1/2" DIAM. 6M ALTURA CONSTITUIDO P.2 TUBOS EMBONABLES P.ACOMETIDA AEREA</v>
          </cell>
        </row>
        <row r="4714">
          <cell r="B4714">
            <v>6984014</v>
          </cell>
          <cell r="C4714" t="str">
            <v>TMI</v>
          </cell>
          <cell r="D4714" t="str">
            <v>MASTIL ACERO GALV. 1 1/2" DIAM. 6M ALTURA CONSTITUIDO P.2 TUBOS EMBONABLES P.ACOMETIDA AEREA</v>
          </cell>
        </row>
        <row r="4715">
          <cell r="B4715">
            <v>6984019</v>
          </cell>
          <cell r="C4715" t="str">
            <v>FBL</v>
          </cell>
          <cell r="D4715" t="str">
            <v>MASTIL ACERO 1 1/2" DIAM. 6M ALTURA RECUBIERTO DE PRFV 3MM P. CAJA AUTOSOPORTADA</v>
          </cell>
        </row>
        <row r="4716">
          <cell r="B4716">
            <v>6984019</v>
          </cell>
          <cell r="C4716" t="str">
            <v>FBP</v>
          </cell>
          <cell r="D4716" t="str">
            <v>MASTIL ACERO 1 1/2" DIAM. 6M ALTURA RECUBIERTO DE PRFV 3MM P. CAJA AUTOSOPORTADA</v>
          </cell>
        </row>
        <row r="4717">
          <cell r="B4717">
            <v>6984020</v>
          </cell>
          <cell r="C4717" t="str">
            <v>FBL</v>
          </cell>
          <cell r="D4717" t="str">
            <v>MASTIL ACERO 1 1/4" DIAM. 3,5M ALTURA RECUBIERTO DE PRFV 2,5MM P.ACOMETIDA AEREA</v>
          </cell>
        </row>
        <row r="4718">
          <cell r="B4718">
            <v>6984020</v>
          </cell>
          <cell r="C4718" t="str">
            <v>FBP</v>
          </cell>
          <cell r="D4718" t="str">
            <v>MASTIL ACERO 1 1/4" DIAM. 3,5M ALTURA RECUBIERTO DE PRFV 2,5MM P.ACOMETIDA AEREA</v>
          </cell>
        </row>
        <row r="4719">
          <cell r="B4719">
            <v>6984023</v>
          </cell>
          <cell r="C4719" t="str">
            <v>FBL</v>
          </cell>
          <cell r="D4719" t="str">
            <v>MASTIL ACERO 1 1/2" DIAM. 6M ALTURA RECUBIERTO DE PRFV 3MM P.ACOMETIDA AEREA A MURETE</v>
          </cell>
        </row>
        <row r="4720">
          <cell r="B4720">
            <v>6984023</v>
          </cell>
          <cell r="C4720" t="str">
            <v>FBP</v>
          </cell>
          <cell r="D4720" t="str">
            <v>MASTIL ACERO 1 1/2" DIAM. 6M ALTURA RECUBIERTO DE PRFV 3MM P.ACOMETIDA AEREA A MURETE</v>
          </cell>
        </row>
        <row r="4721">
          <cell r="B4721">
            <v>6984025</v>
          </cell>
          <cell r="C4721" t="str">
            <v>FBR</v>
          </cell>
          <cell r="D4721" t="str">
            <v>MASTIL DE POLIESTER REFORZADO C.FIBRA DE VIDRIO 3,5M ALTURA P.ACOMETIDA AEREA</v>
          </cell>
        </row>
        <row r="4722">
          <cell r="B4722">
            <v>6984025</v>
          </cell>
          <cell r="C4722" t="str">
            <v>FPK</v>
          </cell>
          <cell r="D4722" t="str">
            <v>MASTIL DE POLIESTER REFORZADO C.FIBRA DE VIDRIO 3,5M ALTURA P.ACOMETIDA AEREA</v>
          </cell>
        </row>
        <row r="4723">
          <cell r="B4723">
            <v>6984027</v>
          </cell>
          <cell r="C4723" t="str">
            <v>FBL</v>
          </cell>
          <cell r="D4723" t="str">
            <v>MASTIL ACERO 1 1/4" DIAM. 3,5M ALTURA RECUBIERTO PRFV 2,5MM P.CAJA AUTOSOPORTADA PRFV EN ACOMETIDA</v>
          </cell>
        </row>
        <row r="4724">
          <cell r="B4724">
            <v>6984027</v>
          </cell>
          <cell r="C4724" t="str">
            <v>FBP</v>
          </cell>
          <cell r="D4724" t="str">
            <v>MASTIL ACERO 1 1/4" DIAM. 3,5M ALTURA RECUBIERTO PRFV 2,5MM P.CAJA AUTOSOPORTADA PRFV EN ACOMETIDA</v>
          </cell>
        </row>
        <row r="4725">
          <cell r="B4725">
            <v>6986012</v>
          </cell>
          <cell r="C4725" t="str">
            <v>FAS</v>
          </cell>
          <cell r="D4725" t="str">
            <v>BORNE PORTAFUSIBLE IZQUIERDO P.CAJA TOMA  TP.TC-30</v>
          </cell>
        </row>
        <row r="4726">
          <cell r="B4726">
            <v>6986022</v>
          </cell>
          <cell r="C4726" t="str">
            <v>ELC</v>
          </cell>
          <cell r="D4726" t="str">
            <v>BORNE TP.F P.BASE PORTAFUS. DE CJ. F1-F2-F3   350A</v>
          </cell>
        </row>
        <row r="4727">
          <cell r="B4727">
            <v>6986108</v>
          </cell>
          <cell r="C4727" t="str">
            <v>ELC</v>
          </cell>
          <cell r="D4727" t="str">
            <v>CONECTOR BR.P.ELECTRODO PUESTA A TIERRA *SID-ET-46</v>
          </cell>
        </row>
        <row r="4728">
          <cell r="B4728">
            <v>6986108</v>
          </cell>
          <cell r="C4728" t="str">
            <v>EMS</v>
          </cell>
          <cell r="D4728" t="str">
            <v>CONECTOR BR.P.ELECTRODO PUESTA A TIERRA *SID-ET-46</v>
          </cell>
        </row>
        <row r="4729">
          <cell r="B4729">
            <v>6986108</v>
          </cell>
          <cell r="C4729" t="str">
            <v>FAS</v>
          </cell>
          <cell r="D4729" t="str">
            <v>CONECTOR BR.P.ELECTRODO PUESTA A TIERRA *SID-ET-46</v>
          </cell>
        </row>
        <row r="4730">
          <cell r="B4730">
            <v>6986108</v>
          </cell>
          <cell r="C4730" t="str">
            <v>TAL</v>
          </cell>
          <cell r="D4730" t="str">
            <v>CONECTOR BR.P.ELECTRODO PUESTA A TIERRA *SID-ET-46</v>
          </cell>
        </row>
        <row r="4731">
          <cell r="B4731">
            <v>6986214</v>
          </cell>
          <cell r="C4731" t="str">
            <v>CPW</v>
          </cell>
          <cell r="D4731" t="str">
            <v>BORNE DE CONEXION ENTRE BARRA Y CABLE   107-120MM2</v>
          </cell>
        </row>
        <row r="4732">
          <cell r="B4732">
            <v>6986214</v>
          </cell>
          <cell r="C4732" t="str">
            <v>FAS</v>
          </cell>
          <cell r="D4732" t="str">
            <v>BORNE DE CONEXION ENTRE BARRA Y CABLE   107-120MM2</v>
          </cell>
        </row>
        <row r="4733">
          <cell r="B4733">
            <v>6986214</v>
          </cell>
          <cell r="C4733" t="str">
            <v>JSY</v>
          </cell>
          <cell r="D4733" t="str">
            <v>BORNE DE CONEXION ENTRE BARRA Y CABLE   107-120MM2</v>
          </cell>
        </row>
        <row r="4734">
          <cell r="B4734">
            <v>6986214</v>
          </cell>
          <cell r="C4734" t="str">
            <v>SCS</v>
          </cell>
          <cell r="D4734" t="str">
            <v>BORNE DE CONEXION ENTRE BARRA Y CABLE   107-120MM2</v>
          </cell>
        </row>
        <row r="4735">
          <cell r="B4735">
            <v>6986218</v>
          </cell>
          <cell r="C4735" t="str">
            <v>CPW</v>
          </cell>
          <cell r="D4735" t="str">
            <v>BORNE DE CONEXION ENTRE BARRA Y CABLE   150-185MM2</v>
          </cell>
        </row>
        <row r="4736">
          <cell r="B4736">
            <v>6986218</v>
          </cell>
          <cell r="C4736" t="str">
            <v>FAS</v>
          </cell>
          <cell r="D4736" t="str">
            <v>BORNE DE CONEXION ENTRE BARRA Y CABLE   150-185MM2</v>
          </cell>
        </row>
        <row r="4737">
          <cell r="B4737">
            <v>6986218</v>
          </cell>
          <cell r="C4737" t="str">
            <v>JSY</v>
          </cell>
          <cell r="D4737" t="str">
            <v>BORNE DE CONEXION ENTRE BARRA Y CABLE   150-185MM2</v>
          </cell>
        </row>
        <row r="4738">
          <cell r="B4738">
            <v>6986218</v>
          </cell>
          <cell r="C4738" t="str">
            <v>SCS</v>
          </cell>
          <cell r="D4738" t="str">
            <v>BORNE DE CONEXION ENTRE BARRA Y CABLE   150-185MM2</v>
          </cell>
        </row>
        <row r="4739">
          <cell r="B4739">
            <v>6986222</v>
          </cell>
          <cell r="C4739" t="str">
            <v>CPW</v>
          </cell>
          <cell r="D4739" t="str">
            <v>BORNE CONEX./ BARRA Y CABLE 240-300MM2.P.TRANSF.</v>
          </cell>
        </row>
        <row r="4740">
          <cell r="B4740">
            <v>6986222</v>
          </cell>
          <cell r="C4740" t="str">
            <v>FAS</v>
          </cell>
          <cell r="D4740" t="str">
            <v>BORNE CONEX./ BARRA Y CABLE 240-300MM2.P.TRANSF.</v>
          </cell>
        </row>
        <row r="4741">
          <cell r="B4741">
            <v>6986222</v>
          </cell>
          <cell r="C4741" t="str">
            <v>JSY</v>
          </cell>
          <cell r="D4741" t="str">
            <v>BORNE CONEX./ BARRA Y CABLE 240-300MM2.P.TRANSF.</v>
          </cell>
        </row>
        <row r="4742">
          <cell r="B4742">
            <v>6986222</v>
          </cell>
          <cell r="C4742" t="str">
            <v>SCS</v>
          </cell>
          <cell r="D4742" t="str">
            <v>BORNE CONEX./ BARRA Y CABLE 240-300MM2.P.TRANSF.</v>
          </cell>
        </row>
        <row r="4743">
          <cell r="B4743">
            <v>6986224</v>
          </cell>
          <cell r="C4743" t="str">
            <v>FAS</v>
          </cell>
          <cell r="D4743" t="str">
            <v>BORNE DE CONEXION ENTRE BARRA Y CABLE 240-300MM2.P/CAJA TER.</v>
          </cell>
        </row>
        <row r="4744">
          <cell r="B4744">
            <v>6986226</v>
          </cell>
          <cell r="C4744" t="str">
            <v>CPW</v>
          </cell>
          <cell r="D4744" t="str">
            <v>BORNE DE CONEXION ENTRE BARRA Y CABLE       500MM2</v>
          </cell>
        </row>
        <row r="4745">
          <cell r="B4745">
            <v>6986226</v>
          </cell>
          <cell r="C4745" t="str">
            <v>FAS</v>
          </cell>
          <cell r="D4745" t="str">
            <v>BORNE DE CONEXION ENTRE BARRA Y CABLE       500MM2</v>
          </cell>
        </row>
        <row r="4746">
          <cell r="B4746">
            <v>6986226</v>
          </cell>
          <cell r="C4746" t="str">
            <v>JSY</v>
          </cell>
          <cell r="D4746" t="str">
            <v>BORNE DE CONEXION ENTRE BARRA Y CABLE       500MM2</v>
          </cell>
        </row>
        <row r="4747">
          <cell r="B4747">
            <v>6986226</v>
          </cell>
          <cell r="C4747" t="str">
            <v>SCS</v>
          </cell>
          <cell r="D4747" t="str">
            <v>BORNE DE CONEXION ENTRE BARRA Y CABLE       500MM2</v>
          </cell>
        </row>
        <row r="4748">
          <cell r="B4748">
            <v>6986226</v>
          </cell>
          <cell r="C4748" t="str">
            <v>TAL</v>
          </cell>
          <cell r="D4748" t="str">
            <v>BORNE DE CONEXION ENTRE BARRA Y CABLE       500MM2</v>
          </cell>
        </row>
        <row r="4749">
          <cell r="B4749">
            <v>8412118</v>
          </cell>
          <cell r="C4749" t="str">
            <v>ABB</v>
          </cell>
          <cell r="D4749" t="str">
            <v>BATERIA ESTACIONARIA 12V 35 AH LIBRE MANTENIMIENTO</v>
          </cell>
        </row>
        <row r="4750">
          <cell r="B4750">
            <v>8412118</v>
          </cell>
          <cell r="C4750" t="str">
            <v>BOS</v>
          </cell>
          <cell r="D4750" t="str">
            <v>BATERIA ESTACIONARIA 12V 35 AH LIBRE MANTENIMIENTO</v>
          </cell>
        </row>
        <row r="4751">
          <cell r="B4751">
            <v>8412118</v>
          </cell>
          <cell r="C4751" t="str">
            <v>BOS</v>
          </cell>
          <cell r="D4751" t="str">
            <v>BATERIA ESTACIONARIA 12V 35 AH LIBRE MANTENIMIENTO</v>
          </cell>
        </row>
        <row r="4752">
          <cell r="B4752">
            <v>8412210</v>
          </cell>
          <cell r="C4752" t="str">
            <v>MEI</v>
          </cell>
          <cell r="D4752" t="str">
            <v>CARGADOR MONOFASICO AUTOMATICO ELECTRONICO DE BATERIAS 4A 90W 220V AC / 24V DC</v>
          </cell>
        </row>
        <row r="4753">
          <cell r="B4753">
            <v>8412210</v>
          </cell>
          <cell r="C4753" t="str">
            <v>SEG</v>
          </cell>
          <cell r="D4753" t="str">
            <v>CARGADOR MONOFASICO AUTOMATICO ELECTRONICO DE BATERIAS 4A 90W 220V AC / 24V DC</v>
          </cell>
        </row>
        <row r="4754">
          <cell r="B4754">
            <v>8412214</v>
          </cell>
          <cell r="C4754" t="str">
            <v>AEE</v>
          </cell>
          <cell r="D4754" t="str">
            <v>CARGADOR-RECTIFICADOR BATERIAS, MONO.230VAC/24-27,5VDC</v>
          </cell>
        </row>
        <row r="4755">
          <cell r="B4755">
            <v>8412214</v>
          </cell>
          <cell r="C4755" t="str">
            <v>MEI</v>
          </cell>
          <cell r="D4755" t="str">
            <v>CARGADOR-RECTIFICADOR BATERIAS, MONO.230VAC/24-27,5VDC</v>
          </cell>
        </row>
        <row r="4756">
          <cell r="B4756">
            <v>8412214</v>
          </cell>
          <cell r="C4756" t="str">
            <v>SEG</v>
          </cell>
          <cell r="D4756" t="str">
            <v>CARGADOR-RECTIFICADOR BATERIAS, MONO.230VAC/24-27,5VDC</v>
          </cell>
        </row>
      </sheetData>
      <sheetData sheetId="3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  <sheetName val="Hoja2"/>
      <sheetName val="Hoja3"/>
    </sheetNames>
    <sheetDataSet>
      <sheetData sheetId="0" refreshError="1">
        <row r="2">
          <cell r="A2">
            <v>661011</v>
          </cell>
          <cell r="B2" t="str">
            <v>BOTIN DE SEGURIDAD DE CUERO BOX CALF COLOR NEGRO PUNTA REFORZADA PLANTA COMBINADA 14KV TALLA 42</v>
          </cell>
          <cell r="C2" t="str">
            <v>PR</v>
          </cell>
          <cell r="D2">
            <v>80.513000000000005</v>
          </cell>
        </row>
        <row r="3">
          <cell r="A3">
            <v>711250</v>
          </cell>
          <cell r="B3" t="str">
            <v>GUANTE DE CAUCHO, M.T.CL2, TL9-14",MAX.17,0KV</v>
          </cell>
          <cell r="C3" t="str">
            <v>PR</v>
          </cell>
          <cell r="D3">
            <v>440.05</v>
          </cell>
        </row>
        <row r="4">
          <cell r="A4">
            <v>711468</v>
          </cell>
          <cell r="B4" t="str">
            <v>GUANTE PROTECTOR DE GUANTE DIELECTRICO P.BAJA TENSION TALLA 10 - 10 1/2</v>
          </cell>
          <cell r="C4" t="str">
            <v>PR</v>
          </cell>
          <cell r="D4">
            <v>11.941000000000001</v>
          </cell>
        </row>
        <row r="5">
          <cell r="A5">
            <v>712812</v>
          </cell>
          <cell r="B5" t="str">
            <v>SOPORTE UNIVERSAL P.PANTALLA FACIAL.ANTI IMPACTOS CON ACCESORIOS, ADAPTABLE A CASCO, COLOR NEGRO</v>
          </cell>
          <cell r="C5" t="str">
            <v>UN</v>
          </cell>
          <cell r="D5">
            <v>24.094999999999999</v>
          </cell>
        </row>
        <row r="6">
          <cell r="A6">
            <v>715111</v>
          </cell>
          <cell r="B6" t="str">
            <v>CASCO SEGURIDAD BLANCO, SIN LOGO,CLASE E,TIPO 1</v>
          </cell>
          <cell r="C6" t="str">
            <v>UN</v>
          </cell>
          <cell r="D6">
            <v>19.225000000000001</v>
          </cell>
        </row>
        <row r="7">
          <cell r="A7">
            <v>715847</v>
          </cell>
          <cell r="B7" t="str">
            <v>PANTALLA FACIAL (CARETA) P/PROTECCION ANTIIMPACTO, POLICARBONATO TRANSP. PROTECC.ANTI UV</v>
          </cell>
          <cell r="C7" t="str">
            <v>UN</v>
          </cell>
          <cell r="D7">
            <v>5.8789999999999996</v>
          </cell>
        </row>
        <row r="8">
          <cell r="A8">
            <v>716520</v>
          </cell>
          <cell r="B8" t="str">
            <v>BANCO AISLANTE TP.INTERIOR 50X50CM C.NIVEL DE AISLAMIENTO 24KV</v>
          </cell>
          <cell r="C8" t="str">
            <v>UN</v>
          </cell>
          <cell r="D8">
            <v>274.12</v>
          </cell>
        </row>
        <row r="9">
          <cell r="A9">
            <v>768081</v>
          </cell>
          <cell r="B9" t="str">
            <v>CINTA SEÑALIZADORA DE SEGURIDAD.</v>
          </cell>
          <cell r="C9" t="str">
            <v>M</v>
          </cell>
          <cell r="D9">
            <v>0.16600000000000001</v>
          </cell>
        </row>
        <row r="10">
          <cell r="A10">
            <v>768085</v>
          </cell>
          <cell r="B10" t="str">
            <v>CINTA SEÑALIZADORA ADHESIVA AZUL 50,8MM X 32,9M</v>
          </cell>
          <cell r="C10" t="str">
            <v>RO</v>
          </cell>
          <cell r="D10">
            <v>46.131</v>
          </cell>
        </row>
        <row r="11">
          <cell r="A11">
            <v>823207</v>
          </cell>
          <cell r="B11" t="str">
            <v>TOCUYO DE ALGODON 100%  0.60/0.80 X 1 M.</v>
          </cell>
          <cell r="C11" t="str">
            <v>KG</v>
          </cell>
          <cell r="D11">
            <v>12</v>
          </cell>
        </row>
        <row r="12">
          <cell r="A12">
            <v>911051</v>
          </cell>
          <cell r="B12" t="str">
            <v>PERNO HO.GALV.CAB. HEXAG. 1/4  X 1"  C/TUERCA."</v>
          </cell>
          <cell r="C12" t="str">
            <v>UN</v>
          </cell>
          <cell r="D12">
            <v>9.1999999999999998E-2</v>
          </cell>
        </row>
        <row r="13">
          <cell r="A13">
            <v>911052</v>
          </cell>
          <cell r="B13" t="str">
            <v>PERNO HO.GALV.CAB.HEXAG. 1/4  X 1.1/2"  C/TUERCA."</v>
          </cell>
          <cell r="C13" t="str">
            <v>UN</v>
          </cell>
          <cell r="D13">
            <v>7.4999999999999997E-2</v>
          </cell>
        </row>
        <row r="14">
          <cell r="A14">
            <v>911062</v>
          </cell>
          <cell r="B14" t="str">
            <v>PERNO HO.GALV.CAB.HEXAG. 5/16  X 1.1/2"  C/TUERCA."</v>
          </cell>
          <cell r="C14" t="str">
            <v>UN</v>
          </cell>
          <cell r="D14">
            <v>0.65</v>
          </cell>
        </row>
        <row r="15">
          <cell r="A15">
            <v>911065</v>
          </cell>
          <cell r="B15" t="str">
            <v>PERNO HO GO HEXA 5/16 X2 1/2 CON TUERCA</v>
          </cell>
          <cell r="C15" t="str">
            <v>UN</v>
          </cell>
          <cell r="D15">
            <v>0.25800000000000001</v>
          </cell>
        </row>
        <row r="16">
          <cell r="A16">
            <v>911070</v>
          </cell>
          <cell r="B16" t="str">
            <v>PERNO HO.GALV.CAB.HEXAG. 3/8  X 1"  C/TUERCA."</v>
          </cell>
          <cell r="C16" t="str">
            <v>UN</v>
          </cell>
          <cell r="D16">
            <v>0.14099999999999999</v>
          </cell>
        </row>
        <row r="17">
          <cell r="A17">
            <v>911071</v>
          </cell>
          <cell r="B17" t="str">
            <v>PERNO HO.GALV.CAB.HEXAG. 3/8  X 1.1/2"  C/TUERCA."</v>
          </cell>
          <cell r="C17" t="str">
            <v>UN</v>
          </cell>
          <cell r="D17">
            <v>0.184</v>
          </cell>
        </row>
        <row r="18">
          <cell r="A18">
            <v>911072</v>
          </cell>
          <cell r="B18" t="str">
            <v>PERNO HO.GALV.CAB.HEXAG. 3/8  X 2"  C/TUERCA."</v>
          </cell>
          <cell r="C18" t="str">
            <v>UN</v>
          </cell>
          <cell r="D18">
            <v>0.23100000000000001</v>
          </cell>
        </row>
        <row r="19">
          <cell r="A19">
            <v>911073</v>
          </cell>
          <cell r="B19" t="str">
            <v>PERNO HO.GALV.CAB.HEXAG. 3/8  X 2.1/2"  C/TUERCA."</v>
          </cell>
          <cell r="C19" t="str">
            <v>UN</v>
          </cell>
          <cell r="D19">
            <v>0.26200000000000001</v>
          </cell>
        </row>
        <row r="20">
          <cell r="A20">
            <v>911074</v>
          </cell>
          <cell r="B20" t="str">
            <v>PERNO HO.GALV.CAB.EXAG.   3/8" X 3"       C/TUERCA</v>
          </cell>
          <cell r="C20" t="str">
            <v>UN</v>
          </cell>
          <cell r="D20">
            <v>0.33300000000000002</v>
          </cell>
        </row>
        <row r="21">
          <cell r="A21">
            <v>911083</v>
          </cell>
          <cell r="B21" t="str">
            <v>PERNO HO.GALV.CAB.EXAG.   1/2" X 1"       C/TUERCA</v>
          </cell>
          <cell r="C21" t="str">
            <v>UN</v>
          </cell>
          <cell r="D21">
            <v>0.39</v>
          </cell>
        </row>
        <row r="22">
          <cell r="A22">
            <v>911084</v>
          </cell>
          <cell r="B22" t="str">
            <v>PERNO D/HO GALV CAB EXAGONA D/1/2X1 1/4</v>
          </cell>
          <cell r="C22" t="str">
            <v>UN</v>
          </cell>
          <cell r="D22">
            <v>0.51400000000000001</v>
          </cell>
        </row>
        <row r="23">
          <cell r="A23">
            <v>911087</v>
          </cell>
          <cell r="B23" t="str">
            <v>PERNO HO.GALV.CAB.EXAG.   1/2" X 2"       C/TUERCA</v>
          </cell>
          <cell r="C23" t="str">
            <v>UN</v>
          </cell>
          <cell r="D23">
            <v>0.54800000000000004</v>
          </cell>
        </row>
        <row r="24">
          <cell r="A24">
            <v>911088</v>
          </cell>
          <cell r="B24" t="str">
            <v>PERNO HO.GALV.CAB.HEXAG. 1/2  X 2.1/2"  C/TUERCA."</v>
          </cell>
          <cell r="C24" t="str">
            <v>UN</v>
          </cell>
          <cell r="D24">
            <v>0.73099999999999998</v>
          </cell>
        </row>
        <row r="25">
          <cell r="A25">
            <v>911092</v>
          </cell>
          <cell r="B25" t="str">
            <v>PERNO HO.GALV.CAB.HEXAG. 1/2  X 4"  C/TUERCA."</v>
          </cell>
          <cell r="C25" t="str">
            <v>UN</v>
          </cell>
          <cell r="D25">
            <v>1.3540000000000001</v>
          </cell>
        </row>
        <row r="26">
          <cell r="A26">
            <v>911094</v>
          </cell>
          <cell r="B26" t="str">
            <v>PERNO HO.GALV.CAB.HEXAG. 1/2  X 6"  C/TUERCA."</v>
          </cell>
          <cell r="C26" t="str">
            <v>UN</v>
          </cell>
          <cell r="D26">
            <v>1.863</v>
          </cell>
        </row>
        <row r="27">
          <cell r="A27">
            <v>911108</v>
          </cell>
          <cell r="B27" t="str">
            <v>PERNO HO.GALV.CAB.HEXAG. 5/8  X 2"  C/TUERCA."</v>
          </cell>
          <cell r="C27" t="str">
            <v>UN</v>
          </cell>
          <cell r="D27">
            <v>5.29</v>
          </cell>
        </row>
        <row r="28">
          <cell r="A28">
            <v>911113</v>
          </cell>
          <cell r="B28" t="str">
            <v>PERNO D/HO GALV CAB EXAG 5/8X4</v>
          </cell>
          <cell r="C28" t="str">
            <v>UN</v>
          </cell>
          <cell r="D28">
            <v>2.1739999999999999</v>
          </cell>
        </row>
        <row r="29">
          <cell r="A29">
            <v>911115</v>
          </cell>
          <cell r="B29" t="str">
            <v>PERNO HO.GO CABEZA HEXAGONAL 5/8 X5 1/2 CON TUERCA.</v>
          </cell>
          <cell r="C29" t="str">
            <v>UN</v>
          </cell>
          <cell r="D29">
            <v>1.145</v>
          </cell>
        </row>
        <row r="30">
          <cell r="A30">
            <v>911118</v>
          </cell>
          <cell r="B30" t="str">
            <v>PERNO HO.GALV.CAB.HEXAG. 5/8  X 8"   C/TUERCA"</v>
          </cell>
          <cell r="C30" t="str">
            <v>UN</v>
          </cell>
          <cell r="D30">
            <v>3.5339999999999998</v>
          </cell>
        </row>
        <row r="31">
          <cell r="A31">
            <v>911133</v>
          </cell>
          <cell r="B31" t="str">
            <v>PERNO D/HO GALV CAB EXAGO DE 3/4 X 1 1/2</v>
          </cell>
          <cell r="C31" t="str">
            <v>UN</v>
          </cell>
          <cell r="D31">
            <v>1.276</v>
          </cell>
        </row>
        <row r="32">
          <cell r="A32">
            <v>911170</v>
          </cell>
          <cell r="B32" t="str">
            <v>PERNO HO.GALV.CAB.HEXAG. 5/16"  X 1"  P.C/TUERCA</v>
          </cell>
          <cell r="C32" t="str">
            <v>UN</v>
          </cell>
          <cell r="D32">
            <v>0.111</v>
          </cell>
        </row>
        <row r="33">
          <cell r="A33">
            <v>911171</v>
          </cell>
          <cell r="B33" t="str">
            <v>PERNO HO.GALV.CAB.HEXAG. 1/2  X 1.1/2"  C/TUERCA."</v>
          </cell>
          <cell r="C33" t="str">
            <v>UN</v>
          </cell>
          <cell r="D33">
            <v>0.48299999999999998</v>
          </cell>
        </row>
        <row r="34">
          <cell r="A34">
            <v>911172</v>
          </cell>
          <cell r="B34" t="str">
            <v>PERNO HO.GALV.CAB.HEXAG. 1/2" D. X 3" L. C/TUERCA.</v>
          </cell>
          <cell r="C34" t="str">
            <v>UN</v>
          </cell>
          <cell r="D34">
            <v>1.5149999999999999</v>
          </cell>
        </row>
        <row r="35">
          <cell r="A35">
            <v>911611</v>
          </cell>
          <cell r="B35" t="str">
            <v>PERNO AC.GALV.CAB.HEXAG. 25MML. M16 RSC.CORRIENTE</v>
          </cell>
          <cell r="C35" t="str">
            <v>UN</v>
          </cell>
          <cell r="D35">
            <v>0.99299999999999999</v>
          </cell>
        </row>
        <row r="36">
          <cell r="A36">
            <v>961905</v>
          </cell>
          <cell r="B36" t="str">
            <v>TORNILLO AUTOROSCANTE DE ACERO GALV. C.CABEZA REDONDA 1/8" / NUMERO 6 X 3/4"</v>
          </cell>
          <cell r="C36" t="str">
            <v>UN</v>
          </cell>
          <cell r="D36">
            <v>5.1999999999999998E-2</v>
          </cell>
        </row>
        <row r="37">
          <cell r="A37">
            <v>961911</v>
          </cell>
          <cell r="B37" t="str">
            <v>TORNILLO AUTOROSCANTE DE ACERO GALV. C.CABEZA REDONDA 11/32" / NUMERO 10 X 1/2"</v>
          </cell>
          <cell r="C37" t="str">
            <v>UN</v>
          </cell>
          <cell r="D37">
            <v>3.7999999999999999E-2</v>
          </cell>
        </row>
        <row r="38">
          <cell r="A38">
            <v>961912</v>
          </cell>
          <cell r="B38" t="str">
            <v>TORNILLO AUTOROSCANTE DE ACERO GALV. C.CABEZA REDONDA 11/32" / NUMERO 10 X 3/4"</v>
          </cell>
          <cell r="C38" t="str">
            <v>UN</v>
          </cell>
          <cell r="D38">
            <v>5.0999999999999997E-2</v>
          </cell>
        </row>
        <row r="39">
          <cell r="A39">
            <v>978090</v>
          </cell>
          <cell r="B39" t="str">
            <v>TORNILLO AUTOROSCANTE DE ACERO TROPICALIZADO CABEZA ESPECIAL ANTI - ROBO 1/8" / NUMERO 6 X 1"</v>
          </cell>
          <cell r="C39" t="str">
            <v>UN</v>
          </cell>
          <cell r="D39">
            <v>0.255</v>
          </cell>
        </row>
        <row r="40">
          <cell r="A40">
            <v>978091</v>
          </cell>
          <cell r="B40" t="str">
            <v>TORNILLO AUTOROSCANTE DE ACERO TROPICALIZADO CABEZA ESPECIAL ANTI - ROBO 1/8" / NUMERO 6 X 5/8"</v>
          </cell>
          <cell r="C40" t="str">
            <v>UN</v>
          </cell>
          <cell r="D40">
            <v>0.17100000000000001</v>
          </cell>
        </row>
        <row r="41">
          <cell r="A41">
            <v>978098</v>
          </cell>
          <cell r="B41" t="str">
            <v>TORNILLO AUTOROSCANTE DE ACERO TROPICALIZADO CABEZA ESPECIAL ANTI - ROBO 11/32" / NUMERO 10 X 1/2"</v>
          </cell>
          <cell r="C41" t="str">
            <v>UN</v>
          </cell>
          <cell r="D41">
            <v>0.11899999999999999</v>
          </cell>
        </row>
        <row r="42">
          <cell r="A42">
            <v>978101</v>
          </cell>
          <cell r="B42" t="str">
            <v>TORNILLO AUTOROSCANTE DE ACERO TROPICALIZADO CABEZA ESPECIAL ANTI - ROBO 11/32" / NUMERO 10 X 3/4"</v>
          </cell>
          <cell r="C42" t="str">
            <v>UN</v>
          </cell>
          <cell r="D42">
            <v>0.125</v>
          </cell>
        </row>
        <row r="43">
          <cell r="A43">
            <v>979015</v>
          </cell>
          <cell r="B43" t="str">
            <v>TIRAFONDO HO.GALV.  3/8  X 1.1/2"</v>
          </cell>
          <cell r="C43" t="str">
            <v>UN</v>
          </cell>
          <cell r="D43">
            <v>0.108</v>
          </cell>
        </row>
        <row r="44">
          <cell r="A44">
            <v>979016</v>
          </cell>
          <cell r="B44" t="str">
            <v>TIRAFONDO HO.GALV.  3/8  X 2"</v>
          </cell>
          <cell r="C44" t="str">
            <v>UN</v>
          </cell>
          <cell r="D44">
            <v>0.14599999999999999</v>
          </cell>
        </row>
        <row r="45">
          <cell r="A45">
            <v>979017</v>
          </cell>
          <cell r="B45" t="str">
            <v>TIRAFONDO HO.GALV.  3/8  X 2.1/2"</v>
          </cell>
          <cell r="C45" t="str">
            <v>UN</v>
          </cell>
          <cell r="D45">
            <v>0.16300000000000001</v>
          </cell>
        </row>
        <row r="46">
          <cell r="A46">
            <v>979018</v>
          </cell>
          <cell r="B46" t="str">
            <v>TIRAFONDO HO.GALV.  3/8  X 3"</v>
          </cell>
          <cell r="C46" t="str">
            <v>UN</v>
          </cell>
          <cell r="D46">
            <v>0.19700000000000001</v>
          </cell>
        </row>
        <row r="47">
          <cell r="A47">
            <v>979102</v>
          </cell>
          <cell r="B47" t="str">
            <v>TIRAFONDO HO.GALV. 5/16  X 2"</v>
          </cell>
          <cell r="C47" t="str">
            <v>UN</v>
          </cell>
          <cell r="D47">
            <v>0.111</v>
          </cell>
        </row>
        <row r="48">
          <cell r="A48">
            <v>989032</v>
          </cell>
          <cell r="B48" t="str">
            <v>TUERCA CONICA DE BRONCE P.SISTEMA ANTIRROBO 5/16" X 5/8" X 3/8"</v>
          </cell>
          <cell r="C48" t="str">
            <v>UN</v>
          </cell>
          <cell r="D48">
            <v>0.81399999999999995</v>
          </cell>
        </row>
        <row r="49">
          <cell r="A49">
            <v>991112</v>
          </cell>
          <cell r="B49" t="str">
            <v>ARANDELA PLANA AC.GALV. PERNO 5/16 ."</v>
          </cell>
          <cell r="C49" t="str">
            <v>UN</v>
          </cell>
          <cell r="D49">
            <v>0.125</v>
          </cell>
        </row>
        <row r="50">
          <cell r="A50">
            <v>991113</v>
          </cell>
          <cell r="B50" t="str">
            <v>ARANDELA PLANA AC.GALV. PERNO 3/8 ."</v>
          </cell>
          <cell r="C50" t="str">
            <v>UN</v>
          </cell>
          <cell r="D50">
            <v>0.35699999999999998</v>
          </cell>
        </row>
        <row r="51">
          <cell r="A51">
            <v>991115</v>
          </cell>
          <cell r="B51" t="str">
            <v>ARANDELA PLANA AC.GALV. PERNO 1/2 ."</v>
          </cell>
          <cell r="C51" t="str">
            <v>UN</v>
          </cell>
          <cell r="D51">
            <v>0.23100000000000001</v>
          </cell>
        </row>
        <row r="52">
          <cell r="A52">
            <v>991117</v>
          </cell>
          <cell r="B52" t="str">
            <v>ARANDELA PLANA AC.GALV. PERNO 5/8 ."</v>
          </cell>
          <cell r="C52" t="str">
            <v>UN</v>
          </cell>
          <cell r="D52">
            <v>0.32600000000000001</v>
          </cell>
        </row>
        <row r="53">
          <cell r="A53">
            <v>991118</v>
          </cell>
          <cell r="B53" t="str">
            <v>ARAND.PLANA AO.GO.P/PER.3/4".</v>
          </cell>
          <cell r="C53" t="str">
            <v>UN</v>
          </cell>
          <cell r="D53">
            <v>7.9000000000000001E-2</v>
          </cell>
        </row>
        <row r="54">
          <cell r="A54">
            <v>991121</v>
          </cell>
          <cell r="B54" t="str">
            <v>ARANDELA PLANA AC.GALV. ANCHO 1/4</v>
          </cell>
          <cell r="C54" t="str">
            <v>UN</v>
          </cell>
          <cell r="D54">
            <v>5.8000000000000003E-2</v>
          </cell>
        </row>
        <row r="55">
          <cell r="A55">
            <v>992115</v>
          </cell>
          <cell r="B55" t="str">
            <v>ARANDELA PRESION AC.GALV. P.PERNO DE 1/2 ."</v>
          </cell>
          <cell r="C55" t="str">
            <v>UN</v>
          </cell>
          <cell r="D55">
            <v>0.19</v>
          </cell>
        </row>
        <row r="56">
          <cell r="A56">
            <v>1014207</v>
          </cell>
          <cell r="B56" t="str">
            <v>FLEJE AC. INOX. ANCHO 13MM.</v>
          </cell>
          <cell r="C56" t="str">
            <v>M</v>
          </cell>
          <cell r="D56">
            <v>2.117</v>
          </cell>
        </row>
        <row r="57">
          <cell r="A57">
            <v>1014214</v>
          </cell>
          <cell r="B57" t="str">
            <v>FLEJE AC. INOX. ANCHO 19MM.</v>
          </cell>
          <cell r="C57" t="str">
            <v>M</v>
          </cell>
          <cell r="D57">
            <v>2.4569999999999999</v>
          </cell>
        </row>
        <row r="58">
          <cell r="A58">
            <v>1014307</v>
          </cell>
          <cell r="B58" t="str">
            <v>GRAPA (HEBILLA) AC. INOX. P.FLEJE 13MM ANCHO.</v>
          </cell>
          <cell r="C58" t="str">
            <v>UN</v>
          </cell>
          <cell r="D58">
            <v>0.65400000000000003</v>
          </cell>
        </row>
        <row r="59">
          <cell r="A59">
            <v>1014309</v>
          </cell>
          <cell r="B59" t="str">
            <v>GRAPA (HEBILLA) AC. INOX. P.FLEJE 19MM ANCHO.</v>
          </cell>
          <cell r="C59" t="str">
            <v>UN</v>
          </cell>
          <cell r="D59">
            <v>0.69</v>
          </cell>
        </row>
        <row r="60">
          <cell r="A60">
            <v>1015413</v>
          </cell>
          <cell r="B60" t="str">
            <v>GUARDACABO DE ACERO GALV. P.CABLE 13MM DIAM. 1,5MM ESPESOR P.PROTEGER CABLE PORTANTE</v>
          </cell>
          <cell r="C60" t="str">
            <v>UN</v>
          </cell>
          <cell r="D60">
            <v>0.81599999999999995</v>
          </cell>
        </row>
        <row r="61">
          <cell r="A61">
            <v>1021120</v>
          </cell>
          <cell r="B61" t="str">
            <v>CANDADO DE BRONCE TP.SERIADO 50MM LONG. C.ROTULADO P.SUBESTACIONES DE DISTRIBUCION</v>
          </cell>
          <cell r="C61" t="str">
            <v>UN</v>
          </cell>
          <cell r="D61">
            <v>33.344999999999999</v>
          </cell>
        </row>
        <row r="62">
          <cell r="A62">
            <v>1021123</v>
          </cell>
          <cell r="B62" t="str">
            <v>CANDADO DE BRONCE TP.SERIADO 50MM LONG. C.ROTULADO P.MAXIMETRO</v>
          </cell>
          <cell r="C62" t="str">
            <v>UN</v>
          </cell>
          <cell r="D62">
            <v>33.204000000000001</v>
          </cell>
        </row>
        <row r="63">
          <cell r="A63">
            <v>1021405</v>
          </cell>
          <cell r="B63" t="str">
            <v>LLAVE DE ACERO P. CERRADURA DE CABEZA CIRCULAR P.TAPA DE CAJA DE MEDICION ANTI HURTO</v>
          </cell>
          <cell r="C63" t="str">
            <v>UN</v>
          </cell>
          <cell r="D63">
            <v>16.151</v>
          </cell>
        </row>
        <row r="64">
          <cell r="A64">
            <v>1021431</v>
          </cell>
          <cell r="B64" t="str">
            <v>LLAVE TRIANGULAR DE ACERO CROMADO PARA CERRADURA</v>
          </cell>
          <cell r="C64" t="str">
            <v>UN</v>
          </cell>
          <cell r="D64">
            <v>8.8369999999999997</v>
          </cell>
        </row>
        <row r="65">
          <cell r="A65">
            <v>1022910</v>
          </cell>
          <cell r="B65" t="str">
            <v>ARMELLA DE ACERO GALV. 1/4" X 2"</v>
          </cell>
          <cell r="C65" t="str">
            <v>UN</v>
          </cell>
          <cell r="D65">
            <v>0.54500000000000004</v>
          </cell>
        </row>
        <row r="66">
          <cell r="A66">
            <v>1035121</v>
          </cell>
          <cell r="B66" t="str">
            <v>CURVA PVC TP. SAP 90 GRADOS 3/4" DIAM. P.INSTALACIONES ELECTRICAS</v>
          </cell>
          <cell r="C66" t="str">
            <v>UN</v>
          </cell>
          <cell r="D66">
            <v>0.47099999999999997</v>
          </cell>
        </row>
        <row r="67">
          <cell r="A67">
            <v>1035123</v>
          </cell>
          <cell r="B67" t="str">
            <v>CURVA PVC TP. SAP 90 GRADOS 1" DIAM. P.INSTALACIONES ELECTRICAS</v>
          </cell>
          <cell r="C67" t="str">
            <v>UN</v>
          </cell>
          <cell r="D67">
            <v>0.79700000000000004</v>
          </cell>
        </row>
        <row r="68">
          <cell r="A68">
            <v>1035124</v>
          </cell>
          <cell r="B68" t="str">
            <v>CURVA PVC TP. SAP 90 GRADOS 1 1/2" DIAM. P.INSTALACIONES ELECTRICAS</v>
          </cell>
          <cell r="C68" t="str">
            <v>UN</v>
          </cell>
          <cell r="D68">
            <v>2.3340000000000001</v>
          </cell>
        </row>
        <row r="69">
          <cell r="A69">
            <v>1035125</v>
          </cell>
          <cell r="B69" t="str">
            <v>CURVA PVC TP. SAP 90 GRADOS 2" DIAM. P.INSTALACIONES ELECTRICAS</v>
          </cell>
          <cell r="C69" t="str">
            <v>UN</v>
          </cell>
          <cell r="D69">
            <v>7.085</v>
          </cell>
        </row>
        <row r="70">
          <cell r="A70">
            <v>1035127</v>
          </cell>
          <cell r="B70" t="str">
            <v>CURVA PVC TP. SAP DE 90 GRADOS, 3" DIAM. P.INSTALACIONES ELECTRICAS</v>
          </cell>
          <cell r="C70" t="str">
            <v>UN</v>
          </cell>
          <cell r="D70">
            <v>11.872999999999999</v>
          </cell>
        </row>
        <row r="71">
          <cell r="A71">
            <v>1035128</v>
          </cell>
          <cell r="B71" t="str">
            <v>CURVA PVC TP. SAP 90 GRADOS 4" DIAM. P.INSTALACIONES ELECTRICAS</v>
          </cell>
          <cell r="C71" t="str">
            <v>UN</v>
          </cell>
          <cell r="D71">
            <v>21.027999999999999</v>
          </cell>
        </row>
        <row r="72">
          <cell r="A72">
            <v>1035712</v>
          </cell>
          <cell r="B72" t="str">
            <v>TUBO DE PVC TIPO SAP DE 3/4" / 20MM DIAM.P.INSTALACION ELECTRICA</v>
          </cell>
          <cell r="C72" t="str">
            <v>M</v>
          </cell>
          <cell r="D72">
            <v>0.92700000000000005</v>
          </cell>
        </row>
        <row r="73">
          <cell r="A73">
            <v>1035714</v>
          </cell>
          <cell r="B73" t="str">
            <v>TUBO DE PVC TIPO SAP DE 1" / 25MM DIAM.P.INSTALACION ELECTRICA</v>
          </cell>
          <cell r="C73" t="str">
            <v>M</v>
          </cell>
          <cell r="D73">
            <v>1.1870000000000001</v>
          </cell>
        </row>
        <row r="74">
          <cell r="A74">
            <v>1035716</v>
          </cell>
          <cell r="B74" t="str">
            <v>TUBO DE PVC TIPO SAP DE 1 1/2" / 40MM DIAM.P.INSTALACION ELECTRICA</v>
          </cell>
          <cell r="C74" t="str">
            <v>M</v>
          </cell>
          <cell r="D74">
            <v>2.2909999999999999</v>
          </cell>
        </row>
        <row r="75">
          <cell r="A75">
            <v>1035718</v>
          </cell>
          <cell r="B75" t="str">
            <v>TUBO DE PVC TIPO SAP DE 2" / 50MM DIAM.P.INSTALACION ELECTRICA</v>
          </cell>
          <cell r="C75" t="str">
            <v>M</v>
          </cell>
          <cell r="D75">
            <v>3.391</v>
          </cell>
        </row>
        <row r="76">
          <cell r="A76">
            <v>1035719</v>
          </cell>
          <cell r="B76" t="str">
            <v>TUBO DE PVC TIPO SAP DE 2 1/2" / 65MM DIAM.P.INSTALACION ELECTRICA</v>
          </cell>
          <cell r="C76" t="str">
            <v>M</v>
          </cell>
          <cell r="D76">
            <v>5.1120000000000001</v>
          </cell>
        </row>
        <row r="77">
          <cell r="A77">
            <v>1035721</v>
          </cell>
          <cell r="B77" t="str">
            <v>TUBO DE PVC TIPO SAP DE 3" / 80MM DIAM.P.INSTALACION ELECTRICA</v>
          </cell>
          <cell r="C77" t="str">
            <v>M</v>
          </cell>
          <cell r="D77">
            <v>6.851</v>
          </cell>
        </row>
        <row r="78">
          <cell r="A78">
            <v>1035722</v>
          </cell>
          <cell r="B78" t="str">
            <v>TUBO DE PVC DE 6" DIAM. CL.5 P.CONDUCCION DE FLUIDOS A PRESION</v>
          </cell>
          <cell r="C78" t="str">
            <v>M</v>
          </cell>
          <cell r="D78">
            <v>14.935</v>
          </cell>
        </row>
        <row r="79">
          <cell r="A79">
            <v>1035732</v>
          </cell>
          <cell r="B79" t="str">
            <v>TUBO DE PVC TIPO SAP DE 4" / 100MM DIAM.P.INSTALACION ELECTRICA</v>
          </cell>
          <cell r="C79" t="str">
            <v>M</v>
          </cell>
          <cell r="D79">
            <v>9.3369999999999997</v>
          </cell>
        </row>
        <row r="80">
          <cell r="A80">
            <v>1074121</v>
          </cell>
          <cell r="B80" t="str">
            <v>BORNE RESINA TERMOPLASTICA.TETRAPOLAR 500V, 10A, 6 MM2.</v>
          </cell>
          <cell r="C80" t="str">
            <v>UN</v>
          </cell>
          <cell r="D80">
            <v>1.899</v>
          </cell>
        </row>
        <row r="81">
          <cell r="A81">
            <v>1074122</v>
          </cell>
          <cell r="B81" t="str">
            <v>BORNE RESINA TERMOPLAST.TETRAP. 10A. 500V.   10MM2</v>
          </cell>
          <cell r="C81" t="str">
            <v>UN</v>
          </cell>
          <cell r="D81">
            <v>3.153</v>
          </cell>
        </row>
        <row r="82">
          <cell r="A82">
            <v>1074123</v>
          </cell>
          <cell r="B82" t="str">
            <v>BORNE DE RESINA TERMOPLAST.TETRAP. 30A 500V 16MM2.</v>
          </cell>
          <cell r="C82" t="str">
            <v>UN</v>
          </cell>
          <cell r="D82">
            <v>1.631</v>
          </cell>
        </row>
        <row r="83">
          <cell r="A83">
            <v>1257196</v>
          </cell>
          <cell r="B83" t="str">
            <v>TACO DE NYLON HUD-12   12X60X80MM.</v>
          </cell>
          <cell r="C83" t="str">
            <v>UN</v>
          </cell>
          <cell r="D83">
            <v>0.67900000000000005</v>
          </cell>
        </row>
        <row r="84">
          <cell r="A84">
            <v>1611112</v>
          </cell>
          <cell r="B84" t="str">
            <v>VARILLA PLOMO 60% ESTAÑO 40% PARA UNION DE COBRE.</v>
          </cell>
          <cell r="C84" t="str">
            <v>UN</v>
          </cell>
          <cell r="D84">
            <v>3.6589999999999998</v>
          </cell>
        </row>
        <row r="85">
          <cell r="A85">
            <v>1611424</v>
          </cell>
          <cell r="B85" t="str">
            <v>ESTEARINA SOLIDA</v>
          </cell>
          <cell r="C85" t="str">
            <v>KG</v>
          </cell>
          <cell r="D85">
            <v>34.999000000000002</v>
          </cell>
        </row>
        <row r="86">
          <cell r="A86">
            <v>1611462</v>
          </cell>
          <cell r="B86" t="str">
            <v>PASTA P.SOLDAR EN BLANDO Y P.ESTAÑAR</v>
          </cell>
          <cell r="C86" t="str">
            <v>KG</v>
          </cell>
          <cell r="D86">
            <v>40.317</v>
          </cell>
        </row>
        <row r="87">
          <cell r="A87">
            <v>1771911</v>
          </cell>
          <cell r="B87" t="str">
            <v>RIEL TIPO H DE ACERO C.RESISTENCIA 65 - 85 LB/YD2 P.PROTEGER A POSTES Y ESTRUCTURAS M.T.</v>
          </cell>
          <cell r="C87" t="str">
            <v>M</v>
          </cell>
          <cell r="D87">
            <v>118.429</v>
          </cell>
        </row>
        <row r="88">
          <cell r="A88">
            <v>1817108</v>
          </cell>
          <cell r="B88" t="str">
            <v>PLATINA DE COBRE 30 X 3MM</v>
          </cell>
          <cell r="C88" t="str">
            <v>M</v>
          </cell>
          <cell r="D88">
            <v>20.437999999999999</v>
          </cell>
        </row>
        <row r="89">
          <cell r="A89">
            <v>1817110</v>
          </cell>
          <cell r="B89" t="str">
            <v>PLATINA DE COBRE 40 X 3MM</v>
          </cell>
          <cell r="C89" t="str">
            <v>M</v>
          </cell>
          <cell r="D89">
            <v>29.292999999999999</v>
          </cell>
        </row>
        <row r="90">
          <cell r="A90">
            <v>1817113</v>
          </cell>
          <cell r="B90" t="str">
            <v>PLATINA DE COBRE 40 X 5MM</v>
          </cell>
          <cell r="C90" t="str">
            <v>M</v>
          </cell>
          <cell r="D90">
            <v>45.140999999999998</v>
          </cell>
        </row>
        <row r="91">
          <cell r="A91">
            <v>1817114</v>
          </cell>
          <cell r="B91" t="str">
            <v>PLATINA DE COBRE 50 X 5MM</v>
          </cell>
          <cell r="C91" t="str">
            <v>M</v>
          </cell>
          <cell r="D91">
            <v>56.470999999999997</v>
          </cell>
        </row>
        <row r="92">
          <cell r="A92">
            <v>1817115</v>
          </cell>
          <cell r="B92" t="str">
            <v>PLATINA DE COBRE 60 X 5MM</v>
          </cell>
          <cell r="C92" t="str">
            <v>M</v>
          </cell>
          <cell r="D92">
            <v>68.396000000000001</v>
          </cell>
        </row>
        <row r="93">
          <cell r="A93">
            <v>1817117</v>
          </cell>
          <cell r="B93" t="str">
            <v>PLATINA DE COBRE 60 X8MM</v>
          </cell>
          <cell r="C93" t="str">
            <v>M</v>
          </cell>
          <cell r="D93">
            <v>108.172</v>
          </cell>
        </row>
        <row r="94">
          <cell r="A94">
            <v>1817118</v>
          </cell>
          <cell r="B94" t="str">
            <v>PLATINA DE COBRE 80 X 8MM</v>
          </cell>
          <cell r="C94" t="str">
            <v>M</v>
          </cell>
          <cell r="D94">
            <v>141.79599999999999</v>
          </cell>
        </row>
        <row r="95">
          <cell r="A95">
            <v>1817174</v>
          </cell>
          <cell r="B95" t="str">
            <v>PLATINA DE COBRE 100 X 10MM</v>
          </cell>
          <cell r="C95" t="str">
            <v>M</v>
          </cell>
          <cell r="D95">
            <v>233.821</v>
          </cell>
        </row>
        <row r="96">
          <cell r="A96">
            <v>2111109</v>
          </cell>
          <cell r="B96" t="str">
            <v>PINTURA ESMALTE COL.AMARILLO ENVASE 1/16 GL.</v>
          </cell>
          <cell r="C96" t="str">
            <v>UN</v>
          </cell>
          <cell r="D96">
            <v>3.089</v>
          </cell>
        </row>
        <row r="97">
          <cell r="A97">
            <v>2111111</v>
          </cell>
          <cell r="B97" t="str">
            <v>PINTURA ESMALTE AMARILLO.1/8GL.</v>
          </cell>
          <cell r="C97" t="str">
            <v>UN</v>
          </cell>
          <cell r="D97">
            <v>6.9850000000000003</v>
          </cell>
        </row>
        <row r="98">
          <cell r="A98">
            <v>2111312</v>
          </cell>
          <cell r="B98" t="str">
            <v>PINTURA ESMALTE COL.BLANCO ENVASE 1/8 GL.</v>
          </cell>
          <cell r="C98" t="str">
            <v>UN</v>
          </cell>
          <cell r="D98">
            <v>7.1070000000000002</v>
          </cell>
        </row>
        <row r="99">
          <cell r="A99">
            <v>2111508</v>
          </cell>
          <cell r="B99" t="str">
            <v>PINTURA ESMALTE COL.GRIS ENVASE 1 GL.</v>
          </cell>
          <cell r="C99" t="str">
            <v>UN</v>
          </cell>
          <cell r="D99">
            <v>39.093000000000004</v>
          </cell>
        </row>
        <row r="100">
          <cell r="A100">
            <v>2112208</v>
          </cell>
          <cell r="B100" t="str">
            <v>PINTURA ESMALTE COL.NEGRO ENVASE 1 GL.</v>
          </cell>
          <cell r="C100" t="str">
            <v>UN</v>
          </cell>
          <cell r="D100">
            <v>33.387</v>
          </cell>
        </row>
        <row r="101">
          <cell r="A101">
            <v>2112310</v>
          </cell>
          <cell r="B101" t="str">
            <v>PINTURA ESMALTE.ROJO MANDARIN.1/8GL.</v>
          </cell>
          <cell r="C101" t="str">
            <v>UN</v>
          </cell>
          <cell r="D101">
            <v>6.99</v>
          </cell>
        </row>
        <row r="102">
          <cell r="A102">
            <v>2112511</v>
          </cell>
          <cell r="B102" t="str">
            <v>PINTURA ESMALTE VERDE.1/4 GL.</v>
          </cell>
          <cell r="C102" t="str">
            <v>UN</v>
          </cell>
          <cell r="D102">
            <v>12.65</v>
          </cell>
        </row>
        <row r="103">
          <cell r="A103">
            <v>2112512</v>
          </cell>
          <cell r="B103" t="str">
            <v>PINTURA ESMALTE VERDE.1/8GL.</v>
          </cell>
          <cell r="C103" t="str">
            <v>UN</v>
          </cell>
          <cell r="D103">
            <v>7.0270000000000001</v>
          </cell>
        </row>
        <row r="104">
          <cell r="A104">
            <v>2133330</v>
          </cell>
          <cell r="B104" t="str">
            <v>SOLVENTE DIELECTRICO ECOLOGICO NO CLORADO M.T.</v>
          </cell>
          <cell r="C104" t="str">
            <v>GL</v>
          </cell>
          <cell r="D104">
            <v>38.168999999999997</v>
          </cell>
        </row>
        <row r="105">
          <cell r="A105">
            <v>2139134</v>
          </cell>
          <cell r="B105" t="str">
            <v>ADHESIVO ESPECIAL P.PEGADO ELASTICO DE METALES MONOCOMPONENTE EN ENVASE 300ML</v>
          </cell>
          <cell r="C105" t="str">
            <v>UN</v>
          </cell>
          <cell r="D105">
            <v>22.277000000000001</v>
          </cell>
        </row>
        <row r="106">
          <cell r="A106">
            <v>2139148</v>
          </cell>
          <cell r="B106" t="str">
            <v>PEGAMENTO EN GEL DE RESINA ISOFTALICA EN ENVASE DE 1 GALON</v>
          </cell>
          <cell r="C106" t="str">
            <v>UN</v>
          </cell>
          <cell r="D106">
            <v>45.219000000000001</v>
          </cell>
        </row>
        <row r="107">
          <cell r="A107">
            <v>2143162</v>
          </cell>
          <cell r="B107" t="str">
            <v>BENTONITA SODICA P/POZOS DE TIERRA</v>
          </cell>
          <cell r="C107" t="str">
            <v>KG</v>
          </cell>
          <cell r="D107">
            <v>0.36</v>
          </cell>
        </row>
        <row r="108">
          <cell r="A108">
            <v>2143170</v>
          </cell>
          <cell r="B108" t="str">
            <v>SAL GRANO INDUSTRIAL PARA POZOS DE TIERRA CLORURO DE SODIO</v>
          </cell>
          <cell r="C108" t="str">
            <v>KG</v>
          </cell>
          <cell r="D108">
            <v>0.191</v>
          </cell>
        </row>
        <row r="109">
          <cell r="A109">
            <v>2144602</v>
          </cell>
          <cell r="B109" t="str">
            <v>SILICONA EN ENVASE DE TUBO 310 ML TRANSPARENTE</v>
          </cell>
          <cell r="C109" t="str">
            <v>UN</v>
          </cell>
          <cell r="D109">
            <v>7.0949999999999998</v>
          </cell>
        </row>
        <row r="110">
          <cell r="A110">
            <v>2521163</v>
          </cell>
          <cell r="B110" t="str">
            <v>DUCTO DE CONCRETO ALIGERADO DE 4 VIAS 90MM DIAM. X 1M LONG.</v>
          </cell>
          <cell r="C110" t="str">
            <v>UN</v>
          </cell>
          <cell r="D110">
            <v>26.994</v>
          </cell>
        </row>
        <row r="111">
          <cell r="A111">
            <v>2552205</v>
          </cell>
          <cell r="B111" t="str">
            <v>MASTIL DE MADERA TP.TORNILLO 48 X 73MM 3,6M ALTURA P.ACOMETIDA AEREA</v>
          </cell>
          <cell r="C111" t="str">
            <v>UN</v>
          </cell>
          <cell r="D111">
            <v>38.725000000000001</v>
          </cell>
        </row>
        <row r="112">
          <cell r="A112">
            <v>2552206</v>
          </cell>
          <cell r="B112" t="str">
            <v>MASTIL DE MADERA TP.TORNILLO 48 X 73MM 6,1M ALTURA P.ACOMETIDA AEREA</v>
          </cell>
          <cell r="C112" t="str">
            <v>UN</v>
          </cell>
          <cell r="D112">
            <v>65.424999999999997</v>
          </cell>
        </row>
        <row r="113">
          <cell r="A113">
            <v>2552221</v>
          </cell>
          <cell r="B113" t="str">
            <v>TABLERO S/PREP.MADERA P.CJ.MET.TP.L   10X145X415MM</v>
          </cell>
          <cell r="C113" t="str">
            <v>UN</v>
          </cell>
          <cell r="D113">
            <v>4.2</v>
          </cell>
        </row>
        <row r="114">
          <cell r="A114">
            <v>2552223</v>
          </cell>
          <cell r="B114" t="str">
            <v>TABLERO S/PREP.MADERA P.CJ.MET.TP.LT  13X200X490MM</v>
          </cell>
          <cell r="C114" t="str">
            <v>UN</v>
          </cell>
          <cell r="D114">
            <v>8.7349999999999994</v>
          </cell>
        </row>
        <row r="115">
          <cell r="A115">
            <v>2552939</v>
          </cell>
          <cell r="B115" t="str">
            <v>SOPORTE DE MADERA PARA CABLE SECO UNIPOLAR DE 100 X 700MM</v>
          </cell>
          <cell r="C115" t="str">
            <v>UN</v>
          </cell>
          <cell r="D115">
            <v>14.603</v>
          </cell>
        </row>
        <row r="116">
          <cell r="A116">
            <v>2552947</v>
          </cell>
          <cell r="B116" t="str">
            <v>TARUGO MADERA CEDRO 1/2  DIAM. 3"  LONG."</v>
          </cell>
          <cell r="C116" t="str">
            <v>UN</v>
          </cell>
          <cell r="D116">
            <v>0.106</v>
          </cell>
        </row>
        <row r="117">
          <cell r="A117">
            <v>4191181</v>
          </cell>
          <cell r="B117" t="str">
            <v>CINTILLO DE NYLON DE 5 1/2" (140MM.)LONG. P. CABLES</v>
          </cell>
          <cell r="C117" t="str">
            <v>UN</v>
          </cell>
          <cell r="D117">
            <v>2.7E-2</v>
          </cell>
        </row>
        <row r="118">
          <cell r="A118">
            <v>4191182</v>
          </cell>
          <cell r="B118" t="str">
            <v>CINTILLO DE NYLON DE 7 7/8" (200MM.) LONG. PARA CAB</v>
          </cell>
          <cell r="C118" t="str">
            <v>UN</v>
          </cell>
          <cell r="D118">
            <v>5.1999999999999998E-2</v>
          </cell>
        </row>
        <row r="119">
          <cell r="A119">
            <v>4191189</v>
          </cell>
          <cell r="B119" t="str">
            <v>CINTILLO DE NYLON DE 14 1/2" (368MM) LONG. P. CABLES</v>
          </cell>
          <cell r="C119" t="str">
            <v>UN</v>
          </cell>
          <cell r="D119">
            <v>0.13900000000000001</v>
          </cell>
        </row>
        <row r="120">
          <cell r="A120">
            <v>5011346</v>
          </cell>
          <cell r="B120" t="str">
            <v>CONDUCTOR CABLEADO DESNUDO CU TEMPLE DURO 16MM2 7 HILOS</v>
          </cell>
          <cell r="C120" t="str">
            <v>M</v>
          </cell>
          <cell r="D120">
            <v>4.0679999999999996</v>
          </cell>
        </row>
        <row r="121">
          <cell r="A121">
            <v>5014356</v>
          </cell>
          <cell r="B121" t="str">
            <v>CONDUCTOR CABLEADO DESNUDO ALEACION ALUMINIO 35MM2 7 HILOS C.GRASA</v>
          </cell>
          <cell r="C121" t="str">
            <v>M</v>
          </cell>
          <cell r="D121">
            <v>1.0549999999999999</v>
          </cell>
        </row>
        <row r="122">
          <cell r="A122">
            <v>5014366</v>
          </cell>
          <cell r="B122" t="str">
            <v>CONDUCTOR CABLEADO DESNUDO ALEACION ALUMINIO 70MM2 7 HILOS C.GRASA</v>
          </cell>
          <cell r="C122" t="str">
            <v>M</v>
          </cell>
          <cell r="D122">
            <v>1.9039999999999999</v>
          </cell>
        </row>
        <row r="123">
          <cell r="A123">
            <v>5014573</v>
          </cell>
          <cell r="B123" t="str">
            <v>CONDUCTOR CABLEADO DESNUDO ALEACION ALUMINIO 120MM2 19 HILOS C.GRASA</v>
          </cell>
          <cell r="C123" t="str">
            <v>M</v>
          </cell>
          <cell r="D123">
            <v>3.4060000000000001</v>
          </cell>
        </row>
        <row r="124">
          <cell r="A124">
            <v>5014582</v>
          </cell>
          <cell r="B124" t="str">
            <v>CONDUCTOR CABLEADO DESNUDO ALEACION ALUMINIO 185MM2 37 HILOS C.GRASA</v>
          </cell>
          <cell r="C124" t="str">
            <v>M</v>
          </cell>
          <cell r="D124">
            <v>5.1479999999999997</v>
          </cell>
        </row>
        <row r="125">
          <cell r="A125">
            <v>5016361</v>
          </cell>
          <cell r="B125" t="str">
            <v>CABLE AO.GO.TIPO "B" DE 5/16".5080KG.MANO IZQ.7 HILOS.P.RETENIDA</v>
          </cell>
          <cell r="C125" t="str">
            <v>M</v>
          </cell>
          <cell r="D125">
            <v>1.92</v>
          </cell>
        </row>
        <row r="126">
          <cell r="A126">
            <v>5017001</v>
          </cell>
          <cell r="B126" t="str">
            <v>ELECTRODO P.PUESTA A TIERRA TP.COPPERWELD 9/16" X 2400MM</v>
          </cell>
          <cell r="C126" t="str">
            <v>UN</v>
          </cell>
          <cell r="D126">
            <v>25.311</v>
          </cell>
        </row>
        <row r="127">
          <cell r="A127">
            <v>5017003</v>
          </cell>
          <cell r="B127" t="str">
            <v>ELECTRODO P.PUESTA A TIERRA DE COBRE 9/16" X 2400MM</v>
          </cell>
          <cell r="C127" t="str">
            <v>UN</v>
          </cell>
          <cell r="D127">
            <v>79.061999999999998</v>
          </cell>
        </row>
        <row r="128">
          <cell r="A128">
            <v>5021081</v>
          </cell>
          <cell r="B128" t="str">
            <v>CONDUCTOR SOLIDO TW 750V UNIP.AZUL 1 X 2.5MM2.</v>
          </cell>
          <cell r="C128" t="str">
            <v>M</v>
          </cell>
          <cell r="D128">
            <v>0.60399999999999998</v>
          </cell>
        </row>
        <row r="129">
          <cell r="A129">
            <v>5021083</v>
          </cell>
          <cell r="B129" t="str">
            <v>CONDUCTOR SOLIDO TW 750V UNIP.AMARI. 1 X 2.5MM2.</v>
          </cell>
          <cell r="C129" t="str">
            <v>M</v>
          </cell>
          <cell r="D129">
            <v>0.68500000000000005</v>
          </cell>
        </row>
        <row r="130">
          <cell r="A130">
            <v>5021085</v>
          </cell>
          <cell r="B130" t="str">
            <v>CONDUCTOR SOLIDO TW 750V UNIP.NEGRO 1 X 2.5M2.</v>
          </cell>
          <cell r="C130" t="str">
            <v>M</v>
          </cell>
          <cell r="D130">
            <v>0.61699999999999999</v>
          </cell>
        </row>
        <row r="131">
          <cell r="A131">
            <v>5021087</v>
          </cell>
          <cell r="B131" t="str">
            <v>CONDUCTOR SOLIDO TW 750V UNIP.ROJO 1X 2.5MM2.</v>
          </cell>
          <cell r="C131" t="str">
            <v>M</v>
          </cell>
          <cell r="D131">
            <v>0.60299999999999998</v>
          </cell>
        </row>
        <row r="132">
          <cell r="A132">
            <v>5021089</v>
          </cell>
          <cell r="B132" t="str">
            <v>CONDUCTOR SOLIDO TW 750V UNIP.VERDE 1X 2.5MM2.</v>
          </cell>
          <cell r="C132" t="str">
            <v>M</v>
          </cell>
          <cell r="D132">
            <v>0.60299999999999998</v>
          </cell>
        </row>
        <row r="133">
          <cell r="A133">
            <v>5021120</v>
          </cell>
          <cell r="B133" t="str">
            <v>CONDUCTOR SOLIDO UNIPOLAR TIPO TW 4MM2 COLOR MARRON 450 / 750V</v>
          </cell>
          <cell r="C133" t="str">
            <v>M</v>
          </cell>
          <cell r="D133">
            <v>1.01</v>
          </cell>
        </row>
        <row r="134">
          <cell r="A134">
            <v>5021121</v>
          </cell>
          <cell r="B134" t="str">
            <v>CONDUCTOR SOLIDO TW 750V UNIP.AZUL 1X 4MM2.</v>
          </cell>
          <cell r="C134" t="str">
            <v>M</v>
          </cell>
          <cell r="D134">
            <v>0.96299999999999997</v>
          </cell>
        </row>
        <row r="135">
          <cell r="A135">
            <v>5021123</v>
          </cell>
          <cell r="B135" t="str">
            <v>CONDUCTOR SOLIDO UNIPOLAR TIPO TW 4MM2 COLOR AMARILLO 450 / 750V</v>
          </cell>
          <cell r="C135" t="str">
            <v>M</v>
          </cell>
          <cell r="D135">
            <v>0.96</v>
          </cell>
        </row>
        <row r="136">
          <cell r="A136">
            <v>5021125</v>
          </cell>
          <cell r="B136" t="str">
            <v>CONDUCTOR SOLIDO UNIPOLAR TIPO TW 4MM2 COLOR NEGRO 450 / 750V</v>
          </cell>
          <cell r="C136" t="str">
            <v>M</v>
          </cell>
          <cell r="D136">
            <v>0.96199999999999997</v>
          </cell>
        </row>
        <row r="137">
          <cell r="A137">
            <v>5021126</v>
          </cell>
          <cell r="B137" t="str">
            <v>CONDUCTOR SOLIDO UNIPOLAR TIPO TW 4MM2 COLOR BLANCO 450 / 750V</v>
          </cell>
          <cell r="C137" t="str">
            <v>M</v>
          </cell>
          <cell r="D137">
            <v>1.0109999999999999</v>
          </cell>
        </row>
        <row r="138">
          <cell r="A138">
            <v>5021127</v>
          </cell>
          <cell r="B138" t="str">
            <v>CONDUCTOR SOLIDO UNIPOLAR TIPO TW 4MM2 COLOR ROJO 450 / 750V</v>
          </cell>
          <cell r="C138" t="str">
            <v>M</v>
          </cell>
          <cell r="D138">
            <v>0.91100000000000003</v>
          </cell>
        </row>
        <row r="139">
          <cell r="A139">
            <v>5021129</v>
          </cell>
          <cell r="B139" t="str">
            <v>CONDUCTOR SOLIDO UNIPOLAR TIPO TW 4MM2 COLOR VERDE 450 / 750V</v>
          </cell>
          <cell r="C139" t="str">
            <v>M</v>
          </cell>
          <cell r="D139">
            <v>0.96299999999999997</v>
          </cell>
        </row>
        <row r="140">
          <cell r="A140">
            <v>5021163</v>
          </cell>
          <cell r="B140" t="str">
            <v>CONDUCTOR SOLIDO TW 750V UNIP.AMARI. 1X 6MM2.</v>
          </cell>
          <cell r="C140" t="str">
            <v>M</v>
          </cell>
          <cell r="D140">
            <v>1.573</v>
          </cell>
        </row>
        <row r="141">
          <cell r="A141">
            <v>5021165</v>
          </cell>
          <cell r="B141" t="str">
            <v>CONDUCTOR SOLIDO TW 750V UNIP.NEGRO 1X 6MM2.</v>
          </cell>
          <cell r="C141" t="str">
            <v>M</v>
          </cell>
          <cell r="D141">
            <v>1.5820000000000001</v>
          </cell>
        </row>
        <row r="142">
          <cell r="A142">
            <v>5021167</v>
          </cell>
          <cell r="B142" t="str">
            <v>CONDUCTOR SOLIDO TW 750V UNIP.ROJO 1X 6MM2.</v>
          </cell>
          <cell r="C142" t="str">
            <v>M</v>
          </cell>
          <cell r="D142">
            <v>1.6180000000000001</v>
          </cell>
        </row>
        <row r="143">
          <cell r="A143">
            <v>5021169</v>
          </cell>
          <cell r="B143" t="str">
            <v>CONDUCTOR SOLIDO TW 750V UNIP.VERDE 1X 6MM2.</v>
          </cell>
          <cell r="C143" t="str">
            <v>M</v>
          </cell>
          <cell r="D143">
            <v>1.607</v>
          </cell>
        </row>
        <row r="144">
          <cell r="A144">
            <v>5021203</v>
          </cell>
          <cell r="B144" t="str">
            <v>CONDUCTOR SOLIDO TW  750V.UNIP.AMARI.  1X10    MM2</v>
          </cell>
          <cell r="C144" t="str">
            <v>M</v>
          </cell>
          <cell r="D144">
            <v>2.427</v>
          </cell>
        </row>
        <row r="145">
          <cell r="A145">
            <v>5021205</v>
          </cell>
          <cell r="B145" t="str">
            <v>CONDUCTOR SOLIDO TW 750V UNIP.NEGRO 1X10MM2.</v>
          </cell>
          <cell r="C145" t="str">
            <v>M</v>
          </cell>
          <cell r="D145">
            <v>2.1890000000000001</v>
          </cell>
        </row>
        <row r="146">
          <cell r="A146">
            <v>5021243</v>
          </cell>
          <cell r="B146" t="str">
            <v>CONDUCTOR CABLEADO UNIPOLAR TIPO TW 16MM2 COLOR AMARILLO 450 / 750V</v>
          </cell>
          <cell r="C146" t="str">
            <v>M</v>
          </cell>
          <cell r="D146">
            <v>3.8809999999999998</v>
          </cell>
        </row>
        <row r="147">
          <cell r="A147">
            <v>5021303</v>
          </cell>
          <cell r="B147" t="str">
            <v>CONDUCTOR CABLEADO TW  750V.UNIP.AMARI. 1X 35  MM2</v>
          </cell>
          <cell r="C147" t="str">
            <v>M</v>
          </cell>
          <cell r="D147">
            <v>8.468</v>
          </cell>
        </row>
        <row r="148">
          <cell r="A148">
            <v>5021333</v>
          </cell>
          <cell r="B148" t="str">
            <v>CONDUCTOR CABLEADO TW 750V UNIP.AMARI. 1X 70MM2.</v>
          </cell>
          <cell r="C148" t="str">
            <v>M</v>
          </cell>
          <cell r="D148">
            <v>16.573</v>
          </cell>
        </row>
        <row r="149">
          <cell r="A149">
            <v>5021355</v>
          </cell>
          <cell r="B149" t="str">
            <v>CONDUCTOR CABLEADO TW 750V UNIP.AMARI. 1X120MM2.</v>
          </cell>
          <cell r="C149" t="str">
            <v>M</v>
          </cell>
          <cell r="D149">
            <v>32.146000000000001</v>
          </cell>
        </row>
        <row r="150">
          <cell r="A150">
            <v>5021407</v>
          </cell>
          <cell r="B150" t="str">
            <v>CONDUCTOR SOLIDO TWT 450/750V BIPOLAR 2X 1.5 MM2.</v>
          </cell>
          <cell r="C150" t="str">
            <v>M</v>
          </cell>
          <cell r="D150">
            <v>0.91600000000000004</v>
          </cell>
        </row>
        <row r="151">
          <cell r="A151">
            <v>5021411</v>
          </cell>
          <cell r="B151" t="str">
            <v>CONDUCTOR SOLIDO TWT 450/750V BIPOLAR 2X2.5MM2</v>
          </cell>
          <cell r="C151" t="str">
            <v>M</v>
          </cell>
          <cell r="D151">
            <v>1.6020000000000001</v>
          </cell>
        </row>
        <row r="152">
          <cell r="A152">
            <v>5022004</v>
          </cell>
          <cell r="B152" t="str">
            <v>CABLE CONCENTRICO BIPOLAR DE COBRE 4MM2 P.ACOMETIDA MONOFASICA EN RED BAJA TENSION</v>
          </cell>
          <cell r="C152" t="str">
            <v>M</v>
          </cell>
          <cell r="D152">
            <v>2.464</v>
          </cell>
        </row>
        <row r="153">
          <cell r="A153">
            <v>5022006</v>
          </cell>
          <cell r="B153" t="str">
            <v>CABLE CONCENTRICO BIPOLAR DE COBRE 6MM2 P.ACOMETIDA MONOFASICA EN RED BAJA TENSION</v>
          </cell>
          <cell r="C153" t="str">
            <v>M</v>
          </cell>
          <cell r="D153">
            <v>3.335</v>
          </cell>
        </row>
        <row r="154">
          <cell r="A154">
            <v>5022010</v>
          </cell>
          <cell r="B154" t="str">
            <v>CABLE CONCENTRICO BIPOLAR DE COBRE 10MM2 P.ACOMETIDA MONOFASICA EN RED BAJA TENSION</v>
          </cell>
          <cell r="C154" t="str">
            <v>M</v>
          </cell>
          <cell r="D154">
            <v>5.7190000000000003</v>
          </cell>
        </row>
        <row r="155">
          <cell r="A155">
            <v>5022066</v>
          </cell>
          <cell r="B155" t="str">
            <v>CABLE CONCENTRICO TRIPOLAR DE COBRE 6MM2 P.ACOMETIDA TRIFASICA EN RED BAJA TENSION</v>
          </cell>
          <cell r="C155" t="str">
            <v>M</v>
          </cell>
          <cell r="D155">
            <v>6.4260000000000002</v>
          </cell>
        </row>
        <row r="156">
          <cell r="A156">
            <v>5022070</v>
          </cell>
          <cell r="B156" t="str">
            <v>CABLE CONCENTRICO TRIPOLAR DE COBRE 10MM2 P.ACOMETIDA TRIFASICA EN RED BAJA TENSION</v>
          </cell>
          <cell r="C156" t="str">
            <v>M</v>
          </cell>
          <cell r="D156">
            <v>10.112</v>
          </cell>
        </row>
        <row r="157">
          <cell r="A157">
            <v>5023702</v>
          </cell>
          <cell r="B157" t="str">
            <v>CABLE DE ENERGIA AUTOPORTANTE TIPO CAAI-S VW-1 2X16 MM2 PARA REDES AEREAS B.T.</v>
          </cell>
          <cell r="C157" t="str">
            <v>M</v>
          </cell>
          <cell r="D157">
            <v>2.4180000000000001</v>
          </cell>
        </row>
        <row r="158">
          <cell r="A158">
            <v>5023720</v>
          </cell>
          <cell r="B158" t="str">
            <v>CABLE DE ENERGIA AUTOPORTANTE TIPO CAAI-S VW-1 3X16 MM2 PARA REDES AEREAS B.T.</v>
          </cell>
          <cell r="C158" t="str">
            <v>M</v>
          </cell>
          <cell r="D158">
            <v>3.4430000000000001</v>
          </cell>
        </row>
        <row r="159">
          <cell r="A159">
            <v>5023724</v>
          </cell>
          <cell r="B159" t="str">
            <v>CABLE DE ENERGIA AUTOPORTANTE TIPO CAAI-S VW-1 3X35 MM2 PARA REDES AEREAS B.T.</v>
          </cell>
          <cell r="C159" t="str">
            <v>M</v>
          </cell>
          <cell r="D159">
            <v>5.0190000000000001</v>
          </cell>
        </row>
        <row r="160">
          <cell r="A160">
            <v>5023728</v>
          </cell>
          <cell r="B160" t="str">
            <v>CABLE DE ENERGIA AUTOPORTANTE TIPO CAAI-S VW-1 3X70 MM2 PARA REDES AEREAS B.T.</v>
          </cell>
          <cell r="C160" t="str">
            <v>M</v>
          </cell>
          <cell r="D160">
            <v>9.3559999999999999</v>
          </cell>
        </row>
        <row r="161">
          <cell r="A161">
            <v>5023739</v>
          </cell>
          <cell r="B161" t="str">
            <v>CABLE DE ENERGIA AUTOPORTANTE TIPO CAAI-S VW-1 3X120 MM2 PARA REDES AEREAS B.T.</v>
          </cell>
          <cell r="C161" t="str">
            <v>M</v>
          </cell>
          <cell r="D161">
            <v>16.591999999999999</v>
          </cell>
        </row>
        <row r="162">
          <cell r="A162">
            <v>5023740</v>
          </cell>
          <cell r="B162" t="str">
            <v>CABLE DE ENERGIA AUTOPORTANTE TIPO CAAI-S VW-1 3X16+1X16 MM2 PARA REDES AEREAS B.T.</v>
          </cell>
          <cell r="C162" t="str">
            <v>M</v>
          </cell>
          <cell r="D162">
            <v>4.5060000000000002</v>
          </cell>
        </row>
        <row r="163">
          <cell r="A163">
            <v>5023741</v>
          </cell>
          <cell r="B163" t="str">
            <v>CABLE DE ENERGIA AUTOPORTANTE TIPO CAAI-S VW-1 3X16 + 1X10 MM2 PARA REDES AEREAS B.T.</v>
          </cell>
          <cell r="C163" t="str">
            <v>M</v>
          </cell>
          <cell r="D163">
            <v>4.391</v>
          </cell>
        </row>
        <row r="164">
          <cell r="A164">
            <v>5023744</v>
          </cell>
          <cell r="B164" t="str">
            <v>CABLE DE ENERGIA AUTOPORTANTE TIPO CAAI-S VW-1 3X35+1X16 MM2 PARA REDES AEREAS B.T.</v>
          </cell>
          <cell r="C164" t="str">
            <v>M</v>
          </cell>
          <cell r="D164">
            <v>5.8129999999999997</v>
          </cell>
        </row>
        <row r="165">
          <cell r="A165">
            <v>5023748</v>
          </cell>
          <cell r="B165" t="str">
            <v>CABLE DE ENERGIA AUTOPORTANTE TIPO CAAI-S VW-1 3X70 + 1X16 MM2 PARA REDES AEREAS B.T.</v>
          </cell>
          <cell r="C165" t="str">
            <v>M</v>
          </cell>
          <cell r="D165">
            <v>10.01</v>
          </cell>
        </row>
        <row r="166">
          <cell r="A166">
            <v>5023762</v>
          </cell>
          <cell r="B166" t="str">
            <v>CABLE DE ENERGIA AUTOPORTANTE TIPO CAAI-S VW-1 3X120+1X16 MM2 PARA REDES AEREAS B.T.</v>
          </cell>
          <cell r="C166" t="str">
            <v>M</v>
          </cell>
          <cell r="D166">
            <v>17.344000000000001</v>
          </cell>
        </row>
        <row r="167">
          <cell r="A167">
            <v>5031149</v>
          </cell>
          <cell r="B167" t="str">
            <v>CABLE DE ENERGIA UNIPOLAR TIPO NYY 1 X 500MM2 0,6 / 1KV</v>
          </cell>
          <cell r="C167" t="str">
            <v>M</v>
          </cell>
          <cell r="D167">
            <v>138.934</v>
          </cell>
        </row>
        <row r="168">
          <cell r="A168">
            <v>5031165</v>
          </cell>
          <cell r="B168" t="str">
            <v>CABLE DE ENERGIA BIPOLAR TIPO N2XY 2 - 1 X 6MM2 0,6 / 1KV</v>
          </cell>
          <cell r="C168" t="str">
            <v>M</v>
          </cell>
          <cell r="D168">
            <v>3.5720000000000001</v>
          </cell>
        </row>
        <row r="169">
          <cell r="A169">
            <v>5031172</v>
          </cell>
          <cell r="B169" t="str">
            <v>CABLE DE ENERGIA TRIPOLAR TIPO N2XY 3 - 1 X 6MM2 0,6 / 1KV</v>
          </cell>
          <cell r="C169" t="str">
            <v>M</v>
          </cell>
          <cell r="D169">
            <v>5.125</v>
          </cell>
        </row>
        <row r="170">
          <cell r="A170">
            <v>5031173</v>
          </cell>
          <cell r="B170" t="str">
            <v>CABLE DE ENERGIA TRIPOLAR TIPO N2XY 3 - 1 X 10MM2 0,6 / 1KV</v>
          </cell>
          <cell r="C170" t="str">
            <v>M</v>
          </cell>
          <cell r="D170">
            <v>8.1929999999999996</v>
          </cell>
        </row>
        <row r="171">
          <cell r="A171">
            <v>5031175</v>
          </cell>
          <cell r="B171" t="str">
            <v>CABLE DE ENERGIA TRIPOLAR TIPO N2XY 3 - 1 X 16MM2 0,6 / 1KV</v>
          </cell>
          <cell r="C171" t="str">
            <v>M</v>
          </cell>
          <cell r="D171">
            <v>12.978</v>
          </cell>
        </row>
        <row r="172">
          <cell r="A172">
            <v>5031177</v>
          </cell>
          <cell r="B172" t="str">
            <v>CABLE DE ENERGIA TRIPOLAR TIPO N2XY 3 - 1 X 35MM2 0,6 / 1KV</v>
          </cell>
          <cell r="C172" t="str">
            <v>M</v>
          </cell>
          <cell r="D172">
            <v>26.562000000000001</v>
          </cell>
        </row>
        <row r="173">
          <cell r="A173">
            <v>5031178</v>
          </cell>
          <cell r="B173" t="str">
            <v>CABLE DE ENERGIA TRIPOLAR TIPO N2XY 3 - 1 X 70MM2 0,6 / 1KV</v>
          </cell>
          <cell r="C173" t="str">
            <v>M</v>
          </cell>
          <cell r="D173">
            <v>49.311999999999998</v>
          </cell>
        </row>
        <row r="174">
          <cell r="A174">
            <v>5031179</v>
          </cell>
          <cell r="B174" t="str">
            <v>CABLE DE ENERGIA TRIPOLAR TIPO N2XY 3 - 1 X 120MM2 0,6 / 1KV</v>
          </cell>
          <cell r="C174" t="str">
            <v>M</v>
          </cell>
          <cell r="D174">
            <v>84.944999999999993</v>
          </cell>
        </row>
        <row r="175">
          <cell r="A175">
            <v>5031182</v>
          </cell>
          <cell r="B175" t="str">
            <v>CABLE DE ENERGIA TRIPOLAR TIPO N2XY 3 - 1 X 185MM2 0,6 / 1KV</v>
          </cell>
          <cell r="C175" t="str">
            <v>M</v>
          </cell>
          <cell r="D175">
            <v>134.31800000000001</v>
          </cell>
        </row>
        <row r="176">
          <cell r="A176">
            <v>5031207</v>
          </cell>
          <cell r="B176" t="str">
            <v>CABLE DE ENERGIA BIPOLAR TIPO NYY 2 - 1 X 6MM2 0,6 / 1KV DISPOSICION PARALELO</v>
          </cell>
          <cell r="C176" t="str">
            <v>M</v>
          </cell>
          <cell r="D176">
            <v>3.879</v>
          </cell>
        </row>
        <row r="177">
          <cell r="A177">
            <v>5031307</v>
          </cell>
          <cell r="B177" t="str">
            <v>CABLE DE ENERGIA TRIPOLAR TIPO NYY 3 - 1 X 6MM2 0,6 / 1KV DISPOSICION PARALELO</v>
          </cell>
          <cell r="C177" t="str">
            <v>M</v>
          </cell>
          <cell r="D177">
            <v>5.8289999999999997</v>
          </cell>
        </row>
        <row r="178">
          <cell r="A178">
            <v>5031313</v>
          </cell>
          <cell r="B178" t="str">
            <v>CABLE DE ENERGIA TRIPOLAR TIPO NYY 3 - 1 X 10MM2 0,6 / 1KV DISPOSICION PARALELO</v>
          </cell>
          <cell r="C178" t="str">
            <v>M</v>
          </cell>
          <cell r="D178">
            <v>8.8770000000000007</v>
          </cell>
        </row>
        <row r="179">
          <cell r="A179">
            <v>5031316</v>
          </cell>
          <cell r="B179" t="str">
            <v>CABLE DE ENERGIA TRIPOLAR TIPO NYY 3 - 1 X 16MM2 0,6 / 1KV DISPOSICION PARALELO</v>
          </cell>
          <cell r="C179" t="str">
            <v>M</v>
          </cell>
          <cell r="D179">
            <v>13.519</v>
          </cell>
        </row>
        <row r="180">
          <cell r="A180">
            <v>5031322</v>
          </cell>
          <cell r="B180" t="str">
            <v>CABLE DE ENERGIA TRIPOLAR TIPO NYY 3 - 1 X 35MM2 0,6 / 1KV DISPOSICION PARALELO</v>
          </cell>
          <cell r="C180" t="str">
            <v>M</v>
          </cell>
          <cell r="D180">
            <v>25.245999999999999</v>
          </cell>
        </row>
        <row r="181">
          <cell r="A181">
            <v>5031323</v>
          </cell>
          <cell r="B181" t="str">
            <v>CABLE DE ENERGIA TRIPOLAR TIPO NYY 3 - 1 X 70MM2 0,6 / 1KV DISPOSICION PARALELO</v>
          </cell>
          <cell r="C181" t="str">
            <v>M</v>
          </cell>
          <cell r="D181">
            <v>47.984999999999999</v>
          </cell>
        </row>
        <row r="182">
          <cell r="A182">
            <v>5031334</v>
          </cell>
          <cell r="B182" t="str">
            <v>CABLE DE ENERGIA TRIPOLAR TIPO NYY 3 - 1 X 120MM2 0,6 / 1KV DISPOSICION PARALELO</v>
          </cell>
          <cell r="C182" t="str">
            <v>M</v>
          </cell>
          <cell r="D182">
            <v>80.266999999999996</v>
          </cell>
        </row>
        <row r="183">
          <cell r="A183">
            <v>5031340</v>
          </cell>
          <cell r="B183" t="str">
            <v>CABLE DE ENERGIA TRIPOLAR TIPO NYY 3 - 1 X 185MM2 0,6 / 1KV DISPOSICION PARALELO</v>
          </cell>
          <cell r="C183" t="str">
            <v>M</v>
          </cell>
          <cell r="D183">
            <v>150.048</v>
          </cell>
        </row>
        <row r="184">
          <cell r="A184">
            <v>5031346</v>
          </cell>
          <cell r="B184" t="str">
            <v>CABLE DE ENERGIA TRIPOLAR TIPO NYY 3 - 1 X 300MM2 0,6 / 1KV DISPOSICION PARALELO</v>
          </cell>
          <cell r="C184" t="str">
            <v>M</v>
          </cell>
          <cell r="D184">
            <v>202.595</v>
          </cell>
        </row>
        <row r="185">
          <cell r="A185">
            <v>5031448</v>
          </cell>
          <cell r="B185" t="str">
            <v>CABLE DE ENERGIA TRIPOLAR TIPO NA2XY 3 - 1 X 95MM2 0,6 / 1KV DISPOSICION PARALELO</v>
          </cell>
          <cell r="C185" t="str">
            <v>M</v>
          </cell>
          <cell r="D185">
            <v>13.362</v>
          </cell>
        </row>
        <row r="186">
          <cell r="A186">
            <v>5031449</v>
          </cell>
          <cell r="B186" t="str">
            <v>CABLE DE ENERGIA TRIPOLAR TIPO NA2XY 3 - 1 X 70MM2 0,6 / 1KV DISPOSICION PARALELO</v>
          </cell>
          <cell r="C186" t="str">
            <v>M</v>
          </cell>
          <cell r="D186">
            <v>9.984</v>
          </cell>
        </row>
        <row r="187">
          <cell r="A187">
            <v>5031450</v>
          </cell>
          <cell r="B187" t="str">
            <v>CABLE DE ENERGIA TRIPOLAR TIPO NA2XY 3 - 1 X 120MM2 0,6 / 1KV DISPOSICION PARALELO</v>
          </cell>
          <cell r="C187" t="str">
            <v>M</v>
          </cell>
          <cell r="D187">
            <v>15.324</v>
          </cell>
        </row>
        <row r="188">
          <cell r="A188">
            <v>5031451</v>
          </cell>
          <cell r="B188" t="str">
            <v>CABLE DE ENERGIA TRIPOLAR TIPO NA2XY 3 - 1 X 185MM2 0,6 / 1KV DISPOSICION PARALELO</v>
          </cell>
          <cell r="C188" t="str">
            <v>M</v>
          </cell>
          <cell r="D188">
            <v>25.75</v>
          </cell>
        </row>
        <row r="189">
          <cell r="A189">
            <v>5031452</v>
          </cell>
          <cell r="B189" t="str">
            <v>CABLE DE ENERGIA TRIPOLAR TIPO NA2XY 3 - 1 X 240MM2 0,6 / 1KV DISPOSICION PARALELO</v>
          </cell>
          <cell r="C189" t="str">
            <v>M</v>
          </cell>
          <cell r="D189">
            <v>29.498000000000001</v>
          </cell>
        </row>
        <row r="190">
          <cell r="A190">
            <v>5031454</v>
          </cell>
          <cell r="B190" t="str">
            <v>CABLE DE ENERGIA TRIPOLAR TIPO NA2XY 3 - 1 X 400MM2 0,6 / 1KV DISPOSICION PARALELO</v>
          </cell>
          <cell r="C190" t="str">
            <v>M</v>
          </cell>
          <cell r="D190">
            <v>46.639000000000003</v>
          </cell>
        </row>
        <row r="191">
          <cell r="A191">
            <v>5031546</v>
          </cell>
          <cell r="B191" t="str">
            <v>CABLE DE ENERGIA TIPO NAYY 3-1X70MM2. B.T.</v>
          </cell>
          <cell r="C191" t="str">
            <v>M</v>
          </cell>
          <cell r="D191">
            <v>9.9879999999999995</v>
          </cell>
        </row>
        <row r="192">
          <cell r="A192">
            <v>5031548</v>
          </cell>
          <cell r="B192" t="str">
            <v>CABLE DE ENERGIA TIPO NAYY 3-1X95MM2. B.T.</v>
          </cell>
          <cell r="C192" t="str">
            <v>M</v>
          </cell>
          <cell r="D192">
            <v>16.907</v>
          </cell>
        </row>
        <row r="193">
          <cell r="A193">
            <v>5031550</v>
          </cell>
          <cell r="B193" t="str">
            <v>CABLE DE ENERGIA TIPO NAYY 3-1X120MM2. B.T.</v>
          </cell>
          <cell r="C193" t="str">
            <v>M</v>
          </cell>
          <cell r="D193">
            <v>16.992999999999999</v>
          </cell>
        </row>
        <row r="194">
          <cell r="A194">
            <v>5031552</v>
          </cell>
          <cell r="B194" t="str">
            <v>CABLE DE ENERGIA TIPO NAYY 3-1X185MM2. B.T.</v>
          </cell>
          <cell r="C194" t="str">
            <v>M</v>
          </cell>
          <cell r="D194">
            <v>23.17</v>
          </cell>
        </row>
        <row r="195">
          <cell r="A195">
            <v>5031554</v>
          </cell>
          <cell r="B195" t="str">
            <v>CABLE DE ENERGIA TIPO NAYY 3-1X300MM2. B.T.</v>
          </cell>
          <cell r="C195" t="str">
            <v>M</v>
          </cell>
          <cell r="D195">
            <v>38.076000000000001</v>
          </cell>
        </row>
        <row r="196">
          <cell r="A196">
            <v>5031556</v>
          </cell>
          <cell r="B196" t="str">
            <v>CABLE DE ENERGIA TIPO NAYY 3-1X500MM2. B.T.</v>
          </cell>
          <cell r="C196" t="str">
            <v>M</v>
          </cell>
          <cell r="D196">
            <v>56.701000000000001</v>
          </cell>
        </row>
        <row r="197">
          <cell r="A197">
            <v>5032119</v>
          </cell>
          <cell r="B197" t="str">
            <v>CABLE DE ENERGIA UNIPOLAR TP. N2XSY 25MM2 P.REDES SUBTERRANEAS EN 10KV</v>
          </cell>
          <cell r="C197" t="str">
            <v>M</v>
          </cell>
          <cell r="D197">
            <v>14.154999999999999</v>
          </cell>
        </row>
        <row r="198">
          <cell r="A198">
            <v>5032122</v>
          </cell>
          <cell r="B198" t="str">
            <v>CABLE DE ENERGIA UNIPOLAR TP. N2XSY 35MM2 P.REDES SUBTERRANEAS EN 10KV</v>
          </cell>
          <cell r="C198" t="str">
            <v>M</v>
          </cell>
          <cell r="D198">
            <v>16.818000000000001</v>
          </cell>
        </row>
        <row r="199">
          <cell r="A199">
            <v>5032125</v>
          </cell>
          <cell r="B199" t="str">
            <v>CABLE DE ENERGIA UNIPOLAR TP. N2XSY 50MM2 P.REDES SUBTERRANEAS EN 10KV</v>
          </cell>
          <cell r="C199" t="str">
            <v>M</v>
          </cell>
          <cell r="D199">
            <v>28.753</v>
          </cell>
        </row>
        <row r="200">
          <cell r="A200">
            <v>5032129</v>
          </cell>
          <cell r="B200" t="str">
            <v>CABLE DE ENERGIA UNIPOLAR TP. N2XSY 70MM2 P.REDES SUBTERRANEAS EN 10KV</v>
          </cell>
          <cell r="C200" t="str">
            <v>M</v>
          </cell>
          <cell r="D200">
            <v>27.390999999999998</v>
          </cell>
        </row>
        <row r="201">
          <cell r="A201">
            <v>5032132</v>
          </cell>
          <cell r="B201" t="str">
            <v>CABLE DE ENERGIA UNIPOLAR TP. N2XSY 120MM2 P.REDES SUBTERRANEAS EN 10KV</v>
          </cell>
          <cell r="C201" t="str">
            <v>M</v>
          </cell>
          <cell r="D201">
            <v>39.362000000000002</v>
          </cell>
        </row>
        <row r="202">
          <cell r="A202">
            <v>5032327</v>
          </cell>
          <cell r="B202" t="str">
            <v>CABLE DE ENERGIA UNIPOLAR TP. N2XSY 50MM2 P.REDES SUBTERRANEAS EN 22,9KV</v>
          </cell>
          <cell r="C202" t="str">
            <v>M</v>
          </cell>
          <cell r="D202">
            <v>26.795999999999999</v>
          </cell>
        </row>
        <row r="203">
          <cell r="A203">
            <v>5032329</v>
          </cell>
          <cell r="B203" t="str">
            <v>CABLE DE ENERGIA UNIPOLAR TP. N2XSY 70MM2 P.REDES SUBTERRANEAS EN 22,9KV</v>
          </cell>
          <cell r="C203" t="str">
            <v>M</v>
          </cell>
          <cell r="D203">
            <v>29.591000000000001</v>
          </cell>
        </row>
        <row r="204">
          <cell r="A204">
            <v>5032335</v>
          </cell>
          <cell r="B204" t="str">
            <v>CABLE DE ENERGIA UNIPOLAR TP. N2XSY 120MM2 P.REDES SUBTERRANEAS EN 22,9KV</v>
          </cell>
          <cell r="C204" t="str">
            <v>M</v>
          </cell>
          <cell r="D204">
            <v>50.267000000000003</v>
          </cell>
        </row>
        <row r="205">
          <cell r="A205">
            <v>5032550</v>
          </cell>
          <cell r="B205" t="str">
            <v>CABLE DE ENERGIA TIPO NA2XSY 1 X 120MM2 PARA REDES SUBTERRANEAS 22,9KV</v>
          </cell>
          <cell r="C205" t="str">
            <v>M</v>
          </cell>
          <cell r="D205">
            <v>20.626999999999999</v>
          </cell>
        </row>
        <row r="206">
          <cell r="A206">
            <v>5032552</v>
          </cell>
          <cell r="B206" t="str">
            <v>CABLE DE ENERGIA TIPO NA2XSY 1 X 185MM2 PARA REDES SUBTERRANEAS 22,9KV</v>
          </cell>
          <cell r="C206" t="str">
            <v>M</v>
          </cell>
          <cell r="D206">
            <v>26.635999999999999</v>
          </cell>
        </row>
        <row r="207">
          <cell r="A207">
            <v>5032555</v>
          </cell>
          <cell r="B207" t="str">
            <v>CABLE DE ENERGIA TIPO NA2XSY 1 X 400MM2 PARA REDES SUBTERRANEAS 22,9KV</v>
          </cell>
          <cell r="C207" t="str">
            <v>M</v>
          </cell>
          <cell r="D207">
            <v>34.908000000000001</v>
          </cell>
        </row>
        <row r="208">
          <cell r="A208">
            <v>5111102</v>
          </cell>
          <cell r="B208" t="str">
            <v>EMPALME DERECHO - DERIVACION SIMETRICO UNIPOLAR AUTOFUNDENTE P.CABLE SECO 6-16 / 6-16MM2 B.T.</v>
          </cell>
          <cell r="C208" t="str">
            <v>UN</v>
          </cell>
          <cell r="D208">
            <v>5.1959999999999997</v>
          </cell>
        </row>
        <row r="209">
          <cell r="A209">
            <v>5111122</v>
          </cell>
          <cell r="B209" t="str">
            <v>EMPALME DERECHO - DERIVACION SIMETRICO UNIPOLAR AUTOFUNDENTE P.CABLE SECO 35 / 6-35MM2 B.T.</v>
          </cell>
          <cell r="C209" t="str">
            <v>UN</v>
          </cell>
          <cell r="D209">
            <v>7.73</v>
          </cell>
        </row>
        <row r="210">
          <cell r="A210">
            <v>5111138</v>
          </cell>
          <cell r="B210" t="str">
            <v>EMPALME DERECHO - DERIVACION SIMETRICO UNIPOLAR AUTOFUNDENTE P.CABLE SECO 70 / 6-70MM2 B.T.</v>
          </cell>
          <cell r="C210" t="str">
            <v>UN</v>
          </cell>
          <cell r="D210">
            <v>9.8390000000000004</v>
          </cell>
        </row>
        <row r="211">
          <cell r="A211">
            <v>5111146</v>
          </cell>
          <cell r="B211" t="str">
            <v>EMPALME DERECHO - DERIVACION SIMETRICO UNIPOLAR AUTOFUNDENTE P.CABLE SECO 120-185 / 10-185MM2 B.T.</v>
          </cell>
          <cell r="C211" t="str">
            <v>UN</v>
          </cell>
          <cell r="D211">
            <v>14.746</v>
          </cell>
        </row>
        <row r="212">
          <cell r="A212">
            <v>5111154</v>
          </cell>
          <cell r="B212" t="str">
            <v>EMPALME DERECHO - DERIVACION SIMETRICO UNIPOLAR AUTOFUNDENTE P.CABLE SECO 300 / 10-300MM2 B.T.</v>
          </cell>
          <cell r="C212" t="str">
            <v>UN</v>
          </cell>
          <cell r="D212">
            <v>26.843</v>
          </cell>
        </row>
        <row r="213">
          <cell r="A213">
            <v>5111180</v>
          </cell>
          <cell r="B213" t="str">
            <v>EMPALME DERECHO / DERIVACION SIMETRICO UNIPOLAR TERMOCONTRAIBLE P.CABLE SECO 6-25MM2 25MM LONG.</v>
          </cell>
          <cell r="C213" t="str">
            <v>UN</v>
          </cell>
          <cell r="D213">
            <v>5.0510000000000002</v>
          </cell>
        </row>
        <row r="214">
          <cell r="A214">
            <v>5111182</v>
          </cell>
          <cell r="B214" t="str">
            <v>EMPALME DERECHO / DERIVACION SIMETRICO UNIPOLAR TERMOCONTRAIBLE P.CABLE SECO 6-35MM2 120MM LONG.</v>
          </cell>
          <cell r="C214" t="str">
            <v>UN</v>
          </cell>
          <cell r="D214">
            <v>5.75</v>
          </cell>
        </row>
        <row r="215">
          <cell r="A215">
            <v>5111184</v>
          </cell>
          <cell r="B215" t="str">
            <v>EMPALME TERMOCONTRAIBLE UNIPOLAR DERECHO/DERIVACION P. CABLE SECO B.T. 70/6-70 MM2.</v>
          </cell>
          <cell r="C215" t="str">
            <v>UN</v>
          </cell>
          <cell r="D215">
            <v>9.9369999999999994</v>
          </cell>
        </row>
        <row r="216">
          <cell r="A216">
            <v>5111186</v>
          </cell>
          <cell r="B216" t="str">
            <v>EMPALME TERMOCONTRAIBLE UNIPOLAR DERECHO/DERIVACION P. CABLE SECO B.T. 120-185/10-185 MM2.</v>
          </cell>
          <cell r="C216" t="str">
            <v>UN</v>
          </cell>
          <cell r="D216">
            <v>13.255000000000001</v>
          </cell>
        </row>
        <row r="217">
          <cell r="A217">
            <v>5111188</v>
          </cell>
          <cell r="B217" t="str">
            <v>EMPALME TERMOCONTRAIBLE UNIPOLAR DERECHO/DERIVACION P. CABLE SECO B.T. 300/10-300 MM2.</v>
          </cell>
          <cell r="C217" t="str">
            <v>UN</v>
          </cell>
          <cell r="D217">
            <v>27.253</v>
          </cell>
        </row>
        <row r="218">
          <cell r="A218">
            <v>5111250</v>
          </cell>
          <cell r="B218" t="str">
            <v>EMPALME DERECHO / DERIVACION SIMETRICO UNIPOLAR TERMOCONTRAIBLE P.CABLE SECO 6-95 / 6-35MM2 B.T.</v>
          </cell>
          <cell r="C218" t="str">
            <v>UN</v>
          </cell>
          <cell r="D218">
            <v>10.666</v>
          </cell>
        </row>
        <row r="219">
          <cell r="A219">
            <v>5111251</v>
          </cell>
          <cell r="B219" t="str">
            <v>EMPALME DERECHO / DERIVACION SIMETRICO UNIPOLAR TERMOCONTRAIBLE P.CABLE SECO 120-500 / 6-35MM2 B.T.</v>
          </cell>
          <cell r="C219" t="str">
            <v>UN</v>
          </cell>
          <cell r="D219">
            <v>21.745000000000001</v>
          </cell>
        </row>
        <row r="220">
          <cell r="A220">
            <v>5111252</v>
          </cell>
          <cell r="B220" t="str">
            <v>EMPALME DERECHO / DERIVACION SIMETRICO UNIPOLAR TERMOCONTRAIBLE P.CABLE SECO 70-185 / 70-185MM2 B.T.</v>
          </cell>
          <cell r="C220" t="str">
            <v>UN</v>
          </cell>
          <cell r="D220">
            <v>14.728999999999999</v>
          </cell>
        </row>
        <row r="221">
          <cell r="A221">
            <v>5111253</v>
          </cell>
          <cell r="B221" t="str">
            <v>EMPALME DERECHO / DERIVACION SIMETRICO UNIPOLAR TERMOCONTRAIBLE P.CABLE SECO 240-300 / 70-300MM2 B.T</v>
          </cell>
          <cell r="C221" t="str">
            <v>UN</v>
          </cell>
          <cell r="D221">
            <v>22.189</v>
          </cell>
        </row>
        <row r="222">
          <cell r="A222">
            <v>5111254</v>
          </cell>
          <cell r="B222" t="str">
            <v>EMPALME DERECHO / DERIVACION SIMETRICO UNIPOLAR TERMOCONTRAIBLE P.CABLE SECO 500 / 70-500MM2 B.T.</v>
          </cell>
          <cell r="C222" t="str">
            <v>UN</v>
          </cell>
          <cell r="D222">
            <v>40.093000000000004</v>
          </cell>
        </row>
        <row r="223">
          <cell r="A223">
            <v>5111260</v>
          </cell>
          <cell r="B223" t="str">
            <v>EMPALME DERECHO DERIVACION SIMETRICO UNIPOLAR AUTOFUNDENTE P.CABLE SECO 6-16 / 6-16MM2 B.T.</v>
          </cell>
          <cell r="C223" t="str">
            <v>UN</v>
          </cell>
          <cell r="D223">
            <v>7.3940000000000001</v>
          </cell>
        </row>
        <row r="224">
          <cell r="A224">
            <v>5111261</v>
          </cell>
          <cell r="B224" t="str">
            <v>EMPALME DERECHO DERIVACION SIMETRICO UNIPOLAR AUTOFUNDENTE P.CABLE SECO 35 / 6-35MM2 B.T.</v>
          </cell>
          <cell r="C224" t="str">
            <v>UN</v>
          </cell>
          <cell r="D224">
            <v>8.85</v>
          </cell>
        </row>
        <row r="225">
          <cell r="A225">
            <v>5111262</v>
          </cell>
          <cell r="B225" t="str">
            <v>EMPALME DERECHO DERIVACION SIMETRICO UNIPOLAR AUTOFUNDENTE P.CABLE SECO 35-95 / 6-35MM2 B.T.</v>
          </cell>
          <cell r="C225" t="str">
            <v>UN</v>
          </cell>
          <cell r="D225">
            <v>17.434999999999999</v>
          </cell>
        </row>
        <row r="226">
          <cell r="A226">
            <v>5111263</v>
          </cell>
          <cell r="B226" t="str">
            <v>EMPALME DERECHO DERIVACION SIMETRICO UNIPOLAR AUTOFUNDENTE P.CABLE SECO 70-95 / 70-95MM2 B.T.</v>
          </cell>
          <cell r="C226" t="str">
            <v>UN</v>
          </cell>
          <cell r="D226">
            <v>15.769</v>
          </cell>
        </row>
        <row r="227">
          <cell r="A227">
            <v>5111265</v>
          </cell>
          <cell r="B227" t="str">
            <v>EMPALME DERECHO DERIVACION SIMETRICO UNIPOLAR AUTOFUNDENTE P.CABLE SECO 120-185 / 70-185MM2 B.T.</v>
          </cell>
          <cell r="C227" t="str">
            <v>UN</v>
          </cell>
          <cell r="D227">
            <v>16.425999999999998</v>
          </cell>
        </row>
        <row r="228">
          <cell r="A228">
            <v>5111266</v>
          </cell>
          <cell r="B228" t="str">
            <v>EMPALME DERECHO DERIVACION SIMETRICO UNIPOLAR AUTOFUNDENTE P.CABLE SECO 240-300 / 6-35MM2 B.T.</v>
          </cell>
          <cell r="C228" t="str">
            <v>UN</v>
          </cell>
          <cell r="D228">
            <v>27.88</v>
          </cell>
        </row>
        <row r="229">
          <cell r="A229">
            <v>5111267</v>
          </cell>
          <cell r="B229" t="str">
            <v>EMPALME DERECHO DERIVACION SIMETRICO UNIPOLAR AUTOFUNDENTE P.CABLE SECO 240-300 / 70-300MM2 B.T.</v>
          </cell>
          <cell r="C229" t="str">
            <v>UN</v>
          </cell>
          <cell r="D229">
            <v>47.567999999999998</v>
          </cell>
        </row>
        <row r="230">
          <cell r="A230">
            <v>5111269</v>
          </cell>
          <cell r="B230" t="str">
            <v>EMPALME DERECHO DERIVACION SIMETRICO UNIPOLAR AUTOFUNDENTE P.CABLE SECO 500 / 70-120MM2 B.T.</v>
          </cell>
          <cell r="C230" t="str">
            <v>UN</v>
          </cell>
          <cell r="D230">
            <v>17.122</v>
          </cell>
        </row>
        <row r="231">
          <cell r="A231">
            <v>5111270</v>
          </cell>
          <cell r="B231" t="str">
            <v>EMPALME DERECHO DERIVACION SIMETRICO UNIPOLAR AUTOFUNDENTE P.CABLE SECO 500 / 240-500MM2 B.T.</v>
          </cell>
          <cell r="C231" t="str">
            <v>UN</v>
          </cell>
          <cell r="D231">
            <v>17.015000000000001</v>
          </cell>
        </row>
        <row r="232">
          <cell r="A232">
            <v>5111563</v>
          </cell>
          <cell r="B232" t="str">
            <v>EMPALME DERECHO - DERIVACION ASIMETRICO AUTOFUNDENTE P.CABLE NKY / CABLE SECO 35 / 6-35MM2 B.T.</v>
          </cell>
          <cell r="C232" t="str">
            <v>JG</v>
          </cell>
          <cell r="D232">
            <v>41.302</v>
          </cell>
        </row>
        <row r="233">
          <cell r="A233">
            <v>5111564</v>
          </cell>
          <cell r="B233" t="str">
            <v>EMPALME DERECHO - DERIVACION ASIMETRICO TERMOCONTRAIBLE P.CABLE NKY / CABLE SECO 35 / 6-35MM2 B.T.</v>
          </cell>
          <cell r="C233" t="str">
            <v>JG</v>
          </cell>
          <cell r="D233">
            <v>41.1</v>
          </cell>
        </row>
        <row r="234">
          <cell r="A234">
            <v>5111569</v>
          </cell>
          <cell r="B234" t="str">
            <v>EMPALME DERECHO - DERIVACION ASIMETRICO AUTOFUNDENTE P.CABLE NKY / CABLE SECO 70 / 6-70MM2 B.T.</v>
          </cell>
          <cell r="C234" t="str">
            <v>JG</v>
          </cell>
          <cell r="D234">
            <v>43.768999999999998</v>
          </cell>
        </row>
        <row r="235">
          <cell r="A235">
            <v>5111570</v>
          </cell>
          <cell r="B235" t="str">
            <v>EMPALME DERECHO - DERIVACION ASIMETRICO TERMOCONTRAIBLE P.CABLE NKY / CABLE SECO 70 / 6-70MM2 B.T.</v>
          </cell>
          <cell r="C235" t="str">
            <v>JG</v>
          </cell>
          <cell r="D235">
            <v>44.097999999999999</v>
          </cell>
        </row>
        <row r="236">
          <cell r="A236">
            <v>5111579</v>
          </cell>
          <cell r="B236" t="str">
            <v>EMPALME DERECHO - DERIVACION ASIMETRICO AUTOFUNDENTE P.CABLE NKY / CABLE SECO 120-185 / 10-185MM2 BT</v>
          </cell>
          <cell r="C236" t="str">
            <v>JG</v>
          </cell>
          <cell r="D236">
            <v>78.754999999999995</v>
          </cell>
        </row>
        <row r="237">
          <cell r="A237">
            <v>5111580</v>
          </cell>
          <cell r="B237" t="str">
            <v>EMPALME ASIMETRICO DERECHO/DERIVACION TERMOCONTRAIBLE P.CABLE NKY-SECO 120-185 / 10-185MM2 P.RED B.T</v>
          </cell>
          <cell r="C237" t="str">
            <v>JG</v>
          </cell>
          <cell r="D237">
            <v>90.594999999999999</v>
          </cell>
        </row>
        <row r="238">
          <cell r="A238">
            <v>5111582</v>
          </cell>
          <cell r="B238" t="str">
            <v>EMPALME ASIMETRICO DERECHO/DERIVACION TERMOCONTRAIBLE P.CABLE NKY-SECO 300 / 10-300MM2 P.RED B.T.</v>
          </cell>
          <cell r="C238" t="str">
            <v>JG</v>
          </cell>
          <cell r="D238">
            <v>121.569</v>
          </cell>
        </row>
        <row r="239">
          <cell r="A239">
            <v>5111583</v>
          </cell>
          <cell r="B239" t="str">
            <v>EMPALME DERECHO - DERIVACION ASIMETRICO AUTOFUNDENTE P.CABLE NKY / CABLE SECO 300 / 10-300MM2 B.T.</v>
          </cell>
          <cell r="C239" t="str">
            <v>JG</v>
          </cell>
          <cell r="D239">
            <v>110.051</v>
          </cell>
        </row>
        <row r="240">
          <cell r="A240">
            <v>5111587</v>
          </cell>
          <cell r="B240" t="str">
            <v>EMPALME DERECHO - DERIVACION ASIMETRICO AUTOFUNDENTE P.CABLE NKY / CABLE SECO 6-16 / 6-16MM2 B.T.</v>
          </cell>
          <cell r="C240" t="str">
            <v>JG</v>
          </cell>
          <cell r="D240">
            <v>29.114999999999998</v>
          </cell>
        </row>
        <row r="241">
          <cell r="A241">
            <v>5111607</v>
          </cell>
          <cell r="B241" t="str">
            <v>EMPALME DERECHO DERIVACION ASIMETRICO TRIPOLAR AUTOFUNDENTE P.CABLE NKY / SECO AL 35-70/6-35MM2</v>
          </cell>
          <cell r="C241" t="str">
            <v>JG</v>
          </cell>
          <cell r="D241">
            <v>82.444999999999993</v>
          </cell>
        </row>
        <row r="242">
          <cell r="A242">
            <v>5111608</v>
          </cell>
          <cell r="B242" t="str">
            <v>EMPALME DERECHO DERIVACION ASIMETRICO TRIPOLAR AUTOFUNDENTE P.CABLE NKY / SECO AL 70/70-95MM2</v>
          </cell>
          <cell r="C242" t="str">
            <v>JG</v>
          </cell>
          <cell r="D242">
            <v>96.647000000000006</v>
          </cell>
        </row>
        <row r="243">
          <cell r="A243">
            <v>5111609</v>
          </cell>
          <cell r="B243" t="str">
            <v>EMPALME DERECHO DERIVACION ASIMETRICO TRIPOLAR AUTOFUNDENTE P.CABLE NKY / SECO AL 120-185/6-35MM2</v>
          </cell>
          <cell r="C243" t="str">
            <v>JG</v>
          </cell>
          <cell r="D243">
            <v>108.486</v>
          </cell>
        </row>
        <row r="244">
          <cell r="A244">
            <v>5111610</v>
          </cell>
          <cell r="B244" t="str">
            <v>EMPALME DERECHO DERIVACION ASIMETRICO TRIPOLAR AUTOFUNDENTE P.CABLE NKY / SECO AL 120-185/70-185MM2</v>
          </cell>
          <cell r="C244" t="str">
            <v>JG</v>
          </cell>
          <cell r="D244">
            <v>119.45099999999999</v>
          </cell>
        </row>
        <row r="245">
          <cell r="A245">
            <v>5111611</v>
          </cell>
          <cell r="B245" t="str">
            <v>EMPALME DERECHO DERIVACION ASIMETRICO TRIPOLAR AUTOFUNDENTE P.CABLE NKY / SECO AL 240-300/6-35MM2</v>
          </cell>
          <cell r="C245" t="str">
            <v>JG</v>
          </cell>
          <cell r="D245">
            <v>149.73699999999999</v>
          </cell>
        </row>
        <row r="246">
          <cell r="A246">
            <v>5111612</v>
          </cell>
          <cell r="B246" t="str">
            <v>EMPALME DERECHO DERIVACION ASIMETRICO TRIPOLAR AUTOFUNDENTE P.CABLE NKY / SECO AL 240-300/70-300MM2</v>
          </cell>
          <cell r="C246" t="str">
            <v>JG</v>
          </cell>
          <cell r="D246">
            <v>183.422</v>
          </cell>
        </row>
        <row r="247">
          <cell r="A247">
            <v>5111614</v>
          </cell>
          <cell r="B247" t="str">
            <v>EMPALME DERECHO DERIVACION ASIMETRICO TRIPOLAR AUTOFUNDENTE P.CABLE NKY / SECO AL 500/70-500MM2</v>
          </cell>
          <cell r="C247" t="str">
            <v>JG</v>
          </cell>
          <cell r="D247">
            <v>215.91800000000001</v>
          </cell>
        </row>
        <row r="248">
          <cell r="A248">
            <v>5112102</v>
          </cell>
          <cell r="B248" t="str">
            <v>CONECTOR TERMINAL A COMPRESION DE COBRE P.CABLE 6MM2, SIMPLE FIJACION</v>
          </cell>
          <cell r="C248" t="str">
            <v>UN</v>
          </cell>
          <cell r="D248">
            <v>0.68200000000000005</v>
          </cell>
        </row>
        <row r="249">
          <cell r="A249">
            <v>5112106</v>
          </cell>
          <cell r="B249" t="str">
            <v>CONECTOR TERMINAL A COMPRESION DE COBRE P.CABLE 10MM2, SIMPLE FIJACION</v>
          </cell>
          <cell r="C249" t="str">
            <v>UN</v>
          </cell>
          <cell r="D249">
            <v>0.73099999999999998</v>
          </cell>
        </row>
        <row r="250">
          <cell r="A250">
            <v>5112116</v>
          </cell>
          <cell r="B250" t="str">
            <v>CONECTOR TERMINAL A COMPRESION DE COBRE P.CABLE 16MM2, SIMPLE FIJACION</v>
          </cell>
          <cell r="C250" t="str">
            <v>UN</v>
          </cell>
          <cell r="D250">
            <v>0.93400000000000005</v>
          </cell>
        </row>
        <row r="251">
          <cell r="A251">
            <v>5112122</v>
          </cell>
          <cell r="B251" t="str">
            <v>CONECTOR TERMINAL A COMPRESION DE COBRE P.CABLE 25MM2, SIMPLE FIJACION</v>
          </cell>
          <cell r="C251" t="str">
            <v>UN</v>
          </cell>
          <cell r="D251">
            <v>2.0609999999999999</v>
          </cell>
        </row>
        <row r="252">
          <cell r="A252">
            <v>5112126</v>
          </cell>
          <cell r="B252" t="str">
            <v>CONECTOR TERMINAL A COMPRESION DE COBRE P.CABLE 35MM2, SIMPLE FIJACION</v>
          </cell>
          <cell r="C252" t="str">
            <v>UN</v>
          </cell>
          <cell r="D252">
            <v>2.3690000000000002</v>
          </cell>
        </row>
        <row r="253">
          <cell r="A253">
            <v>5112202</v>
          </cell>
          <cell r="B253" t="str">
            <v>CONECTOR TERMINAL A COMPRESION DE COBRE P.CABLE 70MM2, SIMPLE FIJACION</v>
          </cell>
          <cell r="C253" t="str">
            <v>UN</v>
          </cell>
          <cell r="D253">
            <v>4.1760000000000002</v>
          </cell>
        </row>
        <row r="254">
          <cell r="A254">
            <v>5112216</v>
          </cell>
          <cell r="B254" t="str">
            <v>CONECTOR TERMINAL A COMPRESION DE COBRE P.CABLE 120MM2, SIMPLE FIJACION</v>
          </cell>
          <cell r="C254" t="str">
            <v>UN</v>
          </cell>
          <cell r="D254">
            <v>5.5839999999999996</v>
          </cell>
        </row>
        <row r="255">
          <cell r="A255">
            <v>5112242</v>
          </cell>
          <cell r="B255" t="str">
            <v>CONECTOR TERMINAL A COMPRESION DE COBRE P.CABLE 185MM2, SIMPLE FIJACION</v>
          </cell>
          <cell r="C255" t="str">
            <v>UN</v>
          </cell>
          <cell r="D255">
            <v>9.6630000000000003</v>
          </cell>
        </row>
        <row r="256">
          <cell r="A256">
            <v>5112246</v>
          </cell>
          <cell r="B256" t="str">
            <v>CONECTOR TERMINAL A COMPRESION DE COBRE P.CABLE 240MM2, SIMPLE FIJACION</v>
          </cell>
          <cell r="C256" t="str">
            <v>UN</v>
          </cell>
          <cell r="D256">
            <v>14.347</v>
          </cell>
        </row>
        <row r="257">
          <cell r="A257">
            <v>5112262</v>
          </cell>
          <cell r="B257" t="str">
            <v>CONECTOR TERMINAL A COMPRESION DE COBRE P.CABLE 300MM2, SIMPLE FIJACION</v>
          </cell>
          <cell r="C257" t="str">
            <v>UN</v>
          </cell>
          <cell r="D257">
            <v>16.675000000000001</v>
          </cell>
        </row>
        <row r="258">
          <cell r="A258">
            <v>5112349</v>
          </cell>
          <cell r="B258" t="str">
            <v>CONECTOR TIP. C" CU.ELECT.ESTAÑ. A COMPRES. 50-70/35-70MM2 BT (3M)"</v>
          </cell>
          <cell r="C258" t="str">
            <v>UN</v>
          </cell>
          <cell r="D258">
            <v>12.215999999999999</v>
          </cell>
        </row>
        <row r="259">
          <cell r="A259">
            <v>5112372</v>
          </cell>
          <cell r="B259" t="str">
            <v>DERIVACION DE BRONCE PARA EMPALME 70/ 70MM2.</v>
          </cell>
          <cell r="C259" t="str">
            <v>UN</v>
          </cell>
          <cell r="D259">
            <v>17.678000000000001</v>
          </cell>
        </row>
        <row r="260">
          <cell r="A260">
            <v>5112376</v>
          </cell>
          <cell r="B260" t="str">
            <v>UNION TUB. CU. ESTANADO TABIC. COMPR. P/ EMPALME ASIM. 16-25MM2</v>
          </cell>
          <cell r="C260" t="str">
            <v>UN</v>
          </cell>
          <cell r="D260">
            <v>3.327</v>
          </cell>
        </row>
        <row r="261">
          <cell r="A261">
            <v>5112378</v>
          </cell>
          <cell r="B261" t="str">
            <v>UNION TUB. CU. ESTAÑADO TAB. COMPR. P. CABLES DIF. SECCION 35/16MM2</v>
          </cell>
          <cell r="C261" t="str">
            <v>UN</v>
          </cell>
          <cell r="D261">
            <v>4.2359999999999998</v>
          </cell>
        </row>
        <row r="262">
          <cell r="A262">
            <v>5112381</v>
          </cell>
          <cell r="B262" t="str">
            <v>UNION TUB. CU. ESTANADO TABIC. COMPR. P/ EMPALME ASIM. 25-35MM2</v>
          </cell>
          <cell r="C262" t="str">
            <v>UN</v>
          </cell>
          <cell r="D262">
            <v>4.5170000000000003</v>
          </cell>
        </row>
        <row r="263">
          <cell r="A263">
            <v>5112383</v>
          </cell>
          <cell r="B263" t="str">
            <v>UNION.CU.TABICADA.ESTA?ADAS.70-25MM2.</v>
          </cell>
          <cell r="C263" t="str">
            <v>UN</v>
          </cell>
          <cell r="D263">
            <v>10.348000000000001</v>
          </cell>
        </row>
        <row r="264">
          <cell r="A264">
            <v>5112390</v>
          </cell>
          <cell r="B264" t="str">
            <v>UNION TUB. CU. ESTANADO TABIC. COMPR. P/ EMPALME ASIM. 120-240MM2</v>
          </cell>
          <cell r="C264" t="str">
            <v>UN</v>
          </cell>
          <cell r="D264">
            <v>39.677</v>
          </cell>
        </row>
        <row r="265">
          <cell r="A265">
            <v>5112406</v>
          </cell>
          <cell r="B265" t="str">
            <v>UNION.CU.DERECHA ABIERTA. COND.10MM2.</v>
          </cell>
          <cell r="C265" t="str">
            <v>UN</v>
          </cell>
          <cell r="D265">
            <v>0.77500000000000002</v>
          </cell>
        </row>
        <row r="266">
          <cell r="A266">
            <v>5112416</v>
          </cell>
          <cell r="B266" t="str">
            <v>UNION.CU.DERECHA ABIERTA. COND.16MM2.</v>
          </cell>
          <cell r="C266" t="str">
            <v>UN</v>
          </cell>
          <cell r="D266">
            <v>0.97099999999999997</v>
          </cell>
        </row>
        <row r="267">
          <cell r="A267">
            <v>5112426</v>
          </cell>
          <cell r="B267" t="str">
            <v>UNION.CU.DERECHA ABIERTA. COND.35MM2.</v>
          </cell>
          <cell r="C267" t="str">
            <v>UN</v>
          </cell>
          <cell r="D267">
            <v>2.109</v>
          </cell>
        </row>
        <row r="268">
          <cell r="A268">
            <v>5112432</v>
          </cell>
          <cell r="B268" t="str">
            <v>UNION CU.DERECHA ABIERTA PARA CONDUCTOR 70MM2.</v>
          </cell>
          <cell r="C268" t="str">
            <v>UN</v>
          </cell>
          <cell r="D268">
            <v>2.9060000000000001</v>
          </cell>
        </row>
        <row r="269">
          <cell r="A269">
            <v>5112442</v>
          </cell>
          <cell r="B269" t="str">
            <v>UNION CU.DERECHA ABIERTA PARA CONDUCTOR 120MM2.</v>
          </cell>
          <cell r="C269" t="str">
            <v>UN</v>
          </cell>
          <cell r="D269">
            <v>5.1639999999999997</v>
          </cell>
        </row>
        <row r="270">
          <cell r="A270">
            <v>5112452</v>
          </cell>
          <cell r="B270" t="str">
            <v>UNION CU.DERECHA ABIERTA PARA CONDUCTOR 185MM2.</v>
          </cell>
          <cell r="C270" t="str">
            <v>UN</v>
          </cell>
          <cell r="D270">
            <v>7.48</v>
          </cell>
        </row>
        <row r="271">
          <cell r="A271">
            <v>5112462</v>
          </cell>
          <cell r="B271" t="str">
            <v>UNION CU.DERECHA ABIERTA PARA CONDUCTOR    240MM2.</v>
          </cell>
          <cell r="C271" t="str">
            <v>UN</v>
          </cell>
          <cell r="D271">
            <v>10.782</v>
          </cell>
        </row>
        <row r="272">
          <cell r="A272">
            <v>5112472</v>
          </cell>
          <cell r="B272" t="str">
            <v>UNION CU.DERECHA ABIERTA PARA CONDUCTOR 300MM2.</v>
          </cell>
          <cell r="C272" t="str">
            <v>UN</v>
          </cell>
          <cell r="D272">
            <v>11.978999999999999</v>
          </cell>
        </row>
        <row r="273">
          <cell r="A273">
            <v>5112482</v>
          </cell>
          <cell r="B273" t="str">
            <v>UNION CU.DERECHA ABIERTA PARA CONDUCTOR    500MM2.</v>
          </cell>
          <cell r="C273" t="str">
            <v>UN</v>
          </cell>
          <cell r="D273">
            <v>26.03</v>
          </cell>
        </row>
        <row r="274">
          <cell r="A274">
            <v>5112494</v>
          </cell>
          <cell r="B274" t="str">
            <v>CONECTOR TIP.  ESU"  P.DERIV.REDES.SUBT. B.T. 120-240/120MM2"</v>
          </cell>
          <cell r="C274" t="str">
            <v>UN</v>
          </cell>
          <cell r="D274">
            <v>29.864999999999998</v>
          </cell>
        </row>
        <row r="275">
          <cell r="A275">
            <v>5112606</v>
          </cell>
          <cell r="B275" t="str">
            <v>UNION CU.DERECHA A COMPRESION P.CABLE 10MM2.</v>
          </cell>
          <cell r="C275" t="str">
            <v>UN</v>
          </cell>
          <cell r="D275">
            <v>0.93400000000000005</v>
          </cell>
        </row>
        <row r="276">
          <cell r="A276">
            <v>5112616</v>
          </cell>
          <cell r="B276" t="str">
            <v>UNION CU.DERECHA A COMPRESION P.CABLE 16MM2.</v>
          </cell>
          <cell r="C276" t="str">
            <v>UN</v>
          </cell>
          <cell r="D276">
            <v>1.143</v>
          </cell>
        </row>
        <row r="277">
          <cell r="A277">
            <v>5112626</v>
          </cell>
          <cell r="B277" t="str">
            <v>UNION CU.DERECHA A COMPRESION P.CABLE 35MM2.</v>
          </cell>
          <cell r="C277" t="str">
            <v>UN</v>
          </cell>
          <cell r="D277">
            <v>2.2850000000000001</v>
          </cell>
        </row>
        <row r="278">
          <cell r="A278">
            <v>5112632</v>
          </cell>
          <cell r="B278" t="str">
            <v>UNION CU.DERECHA A COMPRESION P.CABLE 70MM2.</v>
          </cell>
          <cell r="C278" t="str">
            <v>UN</v>
          </cell>
          <cell r="D278">
            <v>3.9220000000000002</v>
          </cell>
        </row>
        <row r="279">
          <cell r="A279">
            <v>5112642</v>
          </cell>
          <cell r="B279" t="str">
            <v>UNION CU.DERECHA A COMPRESION P.CABLE 120MM2.</v>
          </cell>
          <cell r="C279" t="str">
            <v>UN</v>
          </cell>
          <cell r="D279">
            <v>5.6239999999999997</v>
          </cell>
        </row>
        <row r="280">
          <cell r="A280">
            <v>5112652</v>
          </cell>
          <cell r="B280" t="str">
            <v>UNION CU.DERECHA A COMPRESION P.CABLE 185MM2.</v>
          </cell>
          <cell r="C280" t="str">
            <v>UN</v>
          </cell>
          <cell r="D280">
            <v>9.0920000000000005</v>
          </cell>
        </row>
        <row r="281">
          <cell r="A281">
            <v>5112852</v>
          </cell>
          <cell r="B281" t="str">
            <v>CONECTOR MECANICO EN DERIVACION DE ALEACION DE ALUMINIO P.CABLES DE ALUMINIO 35-95/6-35MM2, B.T</v>
          </cell>
          <cell r="C281" t="str">
            <v>UN</v>
          </cell>
          <cell r="D281">
            <v>9.3019999999999996</v>
          </cell>
        </row>
        <row r="282">
          <cell r="A282">
            <v>5112854</v>
          </cell>
          <cell r="B282" t="str">
            <v>CONECTOR MECANICO EN DERIVACION DE ALEACION DE ALUMINIO P.CABLES 120-185 / 6-35MM2 EN RED B.T.</v>
          </cell>
          <cell r="C282" t="str">
            <v>UN</v>
          </cell>
          <cell r="D282">
            <v>18.812000000000001</v>
          </cell>
        </row>
        <row r="283">
          <cell r="A283">
            <v>5112856</v>
          </cell>
          <cell r="B283" t="str">
            <v>CONECTOR MECANICO EN DERIVACION DE ALEACION DE ALUMINIO P.CABLES AAAC 240-300 / 6-35MM2 EN RED B.T.</v>
          </cell>
          <cell r="C283" t="str">
            <v>UN</v>
          </cell>
          <cell r="D283">
            <v>21.736000000000001</v>
          </cell>
        </row>
        <row r="284">
          <cell r="A284">
            <v>5112858</v>
          </cell>
          <cell r="B284" t="str">
            <v>CONECTOR MECANICO EN DERIVACION DE ALEACION DE ALUMINIO P.CABLES AAAC 500 / 6-35MM2 EN RED B.T.</v>
          </cell>
          <cell r="C284" t="str">
            <v>UN</v>
          </cell>
          <cell r="D284">
            <v>86.597999999999999</v>
          </cell>
        </row>
        <row r="285">
          <cell r="A285">
            <v>5112872</v>
          </cell>
          <cell r="B285" t="str">
            <v>CONECTOR MECANICO EN DERIVACION DE ALEACION DE ALUMINIO P.CABLES DE ALUMINIO 70-95/70-95MM2, B.T</v>
          </cell>
          <cell r="C285" t="str">
            <v>UN</v>
          </cell>
          <cell r="D285">
            <v>16.163</v>
          </cell>
        </row>
        <row r="286">
          <cell r="A286">
            <v>5112874</v>
          </cell>
          <cell r="B286" t="str">
            <v>CONECTOR MECANICO EN DERIVACION DE ALEACION DE ALUMINIO P.CABLES DE ALUMINIO 120-185/70-185MM2, B.T</v>
          </cell>
          <cell r="C286" t="str">
            <v>UN</v>
          </cell>
          <cell r="D286">
            <v>18.751999999999999</v>
          </cell>
        </row>
        <row r="287">
          <cell r="A287">
            <v>5112876</v>
          </cell>
          <cell r="B287" t="str">
            <v>CONECTOR MECANICO EN DERIVACION DE ALEACION DE ALUMINIO P.CABLES DE ALUMINIO 240-300/70-300MM2, B.T</v>
          </cell>
          <cell r="C287" t="str">
            <v>UN</v>
          </cell>
          <cell r="D287">
            <v>55.69</v>
          </cell>
        </row>
        <row r="288">
          <cell r="A288">
            <v>5112880</v>
          </cell>
          <cell r="B288" t="str">
            <v>CONECTOR MECANICO EN DERIVACION DE ALEACION DE ALUMINIO P.CABLES AAAC 500 / 70-120MM2 EN RED B.T.</v>
          </cell>
          <cell r="C288" t="str">
            <v>UN</v>
          </cell>
          <cell r="D288">
            <v>30.254000000000001</v>
          </cell>
        </row>
        <row r="289">
          <cell r="A289">
            <v>5112881</v>
          </cell>
          <cell r="B289" t="str">
            <v>CONECTOR MECANICO EN DERIVACION DE ALEACION DE ALUMINIO P.CABLES DE ALUMINIO 240-400/70-400MM2, B.T</v>
          </cell>
          <cell r="C289" t="str">
            <v>UN</v>
          </cell>
          <cell r="D289">
            <v>54.082999999999998</v>
          </cell>
        </row>
        <row r="290">
          <cell r="A290">
            <v>5112926</v>
          </cell>
          <cell r="B290" t="str">
            <v>CONECTOR TERMINAL A COMPRESION BIMETALICO P.CABLE DE ALUMINIO 70MM2, SIMPLE FIJACION</v>
          </cell>
          <cell r="C290" t="str">
            <v>UN</v>
          </cell>
          <cell r="D290">
            <v>16.513999999999999</v>
          </cell>
        </row>
        <row r="291">
          <cell r="A291">
            <v>5112930</v>
          </cell>
          <cell r="B291" t="str">
            <v>CONECTOR TERMINAL A COMPRESION BIMETALICO P.CABLE DE ALUMINIO 120MM2, SIMPLE FIJACION</v>
          </cell>
          <cell r="C291" t="str">
            <v>UN</v>
          </cell>
          <cell r="D291">
            <v>23.795000000000002</v>
          </cell>
        </row>
        <row r="292">
          <cell r="A292">
            <v>5112932</v>
          </cell>
          <cell r="B292" t="str">
            <v>CONECTOR TERMINAL A COMPRESION BIMETALICO P.CABLE DE ALUMINIO 185MM2, SIMPLE FIJACION</v>
          </cell>
          <cell r="C292" t="str">
            <v>UN</v>
          </cell>
          <cell r="D292">
            <v>40.805999999999997</v>
          </cell>
        </row>
        <row r="293">
          <cell r="A293">
            <v>5112938</v>
          </cell>
          <cell r="B293" t="str">
            <v>CONECTOR TERMINAL A COMPRESION BIMETALICO P.CABLE DE ALUMINIO 500MM2, SIMPLE FIJACION</v>
          </cell>
          <cell r="C293" t="str">
            <v>UN</v>
          </cell>
          <cell r="D293">
            <v>157.94200000000001</v>
          </cell>
        </row>
        <row r="294">
          <cell r="A294">
            <v>5114122</v>
          </cell>
          <cell r="B294" t="str">
            <v>CINTA AISLANTE TERMOPLASTICA DE PVC DE 19MM X 4,5M X 0,15MM 600V COLOR BLANCO USO EN INTERIORES</v>
          </cell>
          <cell r="C294" t="str">
            <v>RO</v>
          </cell>
          <cell r="D294">
            <v>0.72299999999999998</v>
          </cell>
        </row>
        <row r="295">
          <cell r="A295">
            <v>5114126</v>
          </cell>
          <cell r="B295" t="str">
            <v>CINTA AISLANTE TERMOPLASTICA DE PVC DE 19MM X 4,5M X 0,15MM 600V COLOR ROJO USO EN INTERIORES</v>
          </cell>
          <cell r="C295" t="str">
            <v>RO</v>
          </cell>
          <cell r="D295">
            <v>0.65300000000000002</v>
          </cell>
        </row>
        <row r="296">
          <cell r="A296">
            <v>5114128</v>
          </cell>
          <cell r="B296" t="str">
            <v>CINTA AISLANTE TERMOPLASTICA DE PVC DE 19MM X 4,5M X 0,15MM 600V COLOR VERDE USO EN INTERIORES</v>
          </cell>
          <cell r="C296" t="str">
            <v>RO</v>
          </cell>
          <cell r="D296">
            <v>0.68300000000000005</v>
          </cell>
        </row>
        <row r="297">
          <cell r="A297">
            <v>5114166</v>
          </cell>
          <cell r="B297" t="str">
            <v>CINTA ELECTRICA TERMOPLASTICA (PVC) 51MM. X 30 MT.</v>
          </cell>
          <cell r="C297" t="str">
            <v>RO</v>
          </cell>
          <cell r="D297">
            <v>42.664000000000001</v>
          </cell>
        </row>
        <row r="298">
          <cell r="A298">
            <v>5114170</v>
          </cell>
          <cell r="B298" t="str">
            <v>CINTA AISLANTE TERMOPLASTICA DE PVC DE 19MM X 20M X 0,15MM 600V COLOR BLANCO USO EN INTERIORES</v>
          </cell>
          <cell r="C298" t="str">
            <v>RO</v>
          </cell>
          <cell r="D298">
            <v>1.907</v>
          </cell>
        </row>
        <row r="299">
          <cell r="A299">
            <v>5114171</v>
          </cell>
          <cell r="B299" t="str">
            <v>CINTA AISLANTE TERMOPLASTICA DE PVC DE 19MM X 20M X 0,15MM 600V COLOR ROJO USO EN INTERIORES</v>
          </cell>
          <cell r="C299" t="str">
            <v>RO</v>
          </cell>
          <cell r="D299">
            <v>1.887</v>
          </cell>
        </row>
        <row r="300">
          <cell r="A300">
            <v>5114172</v>
          </cell>
          <cell r="B300" t="str">
            <v>CINTA AISLANTE TERMOPLASTICA DE PVC DE 19MM X 20M X 0,15MM 600V COLOR VERDE USO EN INTERIORES</v>
          </cell>
          <cell r="C300" t="str">
            <v>RO</v>
          </cell>
          <cell r="D300">
            <v>2.62</v>
          </cell>
        </row>
        <row r="301">
          <cell r="A301">
            <v>5114364</v>
          </cell>
          <cell r="B301" t="str">
            <v>CINTA AISLANTE TERMOPLASTICA DE PVC DE 19MM X 20M X 0,15MM 600V COLOR NEGRO USO EN INTERIORES</v>
          </cell>
          <cell r="C301" t="str">
            <v>RO</v>
          </cell>
          <cell r="D301">
            <v>1.9039999999999999</v>
          </cell>
        </row>
        <row r="302">
          <cell r="A302">
            <v>5114370</v>
          </cell>
          <cell r="B302" t="str">
            <v>CINTA AISLANTE TERMOPLASTICA DE PVC ALTA PERFORMANCE 19MM X 20M X 0,18MM 600V COLOR NEGRO</v>
          </cell>
          <cell r="C302" t="str">
            <v>RO</v>
          </cell>
          <cell r="D302">
            <v>5.6360000000000001</v>
          </cell>
        </row>
        <row r="303">
          <cell r="A303">
            <v>5114384</v>
          </cell>
          <cell r="B303" t="str">
            <v>CINTA AISLANTE TERMOPLASTICA DE PVC ALTA PERFORMANCE 38MM X 33M X 0,18MM 600V COLOR NEGRO</v>
          </cell>
          <cell r="C303" t="str">
            <v>RO</v>
          </cell>
          <cell r="D303">
            <v>18.795000000000002</v>
          </cell>
        </row>
        <row r="304">
          <cell r="A304">
            <v>5114390</v>
          </cell>
          <cell r="B304" t="str">
            <v>CINTA AISLANTE TERMOCONTRAIBLE P.LINEAS AEREAS 10KV. . RAYCHEM: OLIT M.</v>
          </cell>
          <cell r="C304" t="str">
            <v>RO</v>
          </cell>
          <cell r="D304">
            <v>243.99</v>
          </cell>
        </row>
        <row r="305">
          <cell r="A305">
            <v>5114702</v>
          </cell>
          <cell r="B305" t="str">
            <v>CINTA SEÑALIZADORA AMARILLA P.CABLES SUBTERRANEOS 220V P.LUZ DEL SUR</v>
          </cell>
          <cell r="C305" t="str">
            <v>M</v>
          </cell>
          <cell r="D305">
            <v>0.184</v>
          </cell>
        </row>
        <row r="306">
          <cell r="A306">
            <v>5119154</v>
          </cell>
          <cell r="B306" t="str">
            <v>CUBIERTA AISLA.PROTEC.P/COND.AEREO DESN.MT.16-70MM2.15KV.</v>
          </cell>
          <cell r="C306" t="str">
            <v>M</v>
          </cell>
          <cell r="D306">
            <v>19.02</v>
          </cell>
        </row>
        <row r="307">
          <cell r="A307">
            <v>5119188</v>
          </cell>
          <cell r="B307" t="str">
            <v>TUBO TERMOCONTRAIBLE P.CABLE SECO ALUMINIO 1KV 70MM2 LONG.50MM</v>
          </cell>
          <cell r="C307" t="str">
            <v>UN</v>
          </cell>
          <cell r="D307">
            <v>1.8320000000000001</v>
          </cell>
        </row>
        <row r="308">
          <cell r="A308">
            <v>5119190</v>
          </cell>
          <cell r="B308" t="str">
            <v>TUBO TERMOCONTRAIBLE P.CABLE SECO ALUMINIO 1KV 120MM2 LONG.50MM</v>
          </cell>
          <cell r="C308" t="str">
            <v>UN</v>
          </cell>
          <cell r="D308">
            <v>5.9550000000000001</v>
          </cell>
        </row>
        <row r="309">
          <cell r="A309">
            <v>5119196</v>
          </cell>
          <cell r="B309" t="str">
            <v>TUBO TERMOCONTRAIBLE P.CABLE SECO ALUMINIO 1KV 500MM2 LONG.50MM</v>
          </cell>
          <cell r="C309" t="str">
            <v>UN</v>
          </cell>
          <cell r="D309">
            <v>5.5730000000000004</v>
          </cell>
        </row>
        <row r="310">
          <cell r="A310">
            <v>5119202</v>
          </cell>
          <cell r="B310" t="str">
            <v>PUNTA MUERTA TERMOCONTRAIBLE P.CABLE ENERGIA TRIPOLAR 6 - 35MM2 EN B.T.</v>
          </cell>
          <cell r="C310" t="str">
            <v>JG</v>
          </cell>
          <cell r="D310">
            <v>21.561</v>
          </cell>
        </row>
        <row r="311">
          <cell r="A311">
            <v>5119206</v>
          </cell>
          <cell r="B311" t="str">
            <v>PUNTA MUERTA TERMOCONTRAIBLE P.CABLE ENERGIA TRIPOLAR 70 - 120MM2 EN B.T.</v>
          </cell>
          <cell r="C311" t="str">
            <v>JG</v>
          </cell>
          <cell r="D311">
            <v>34.911999999999999</v>
          </cell>
        </row>
        <row r="312">
          <cell r="A312">
            <v>5119210</v>
          </cell>
          <cell r="B312" t="str">
            <v>PUNTA MUERTA TERMOCONTRAIBLE P.CABLE ENERGIA TRIPOLAR 185 - 300MM2 EN B.T.</v>
          </cell>
          <cell r="C312" t="str">
            <v>JG</v>
          </cell>
          <cell r="D312">
            <v>45.03</v>
          </cell>
        </row>
        <row r="313">
          <cell r="A313">
            <v>5119410</v>
          </cell>
          <cell r="B313" t="str">
            <v>BORNE TP.RECEPTACULO ENCHUFABLE P.ACCIONAMIENTO CARGA 10KV 200A</v>
          </cell>
          <cell r="C313" t="str">
            <v>UN</v>
          </cell>
          <cell r="D313">
            <v>84.174999999999997</v>
          </cell>
        </row>
        <row r="314">
          <cell r="A314">
            <v>5119411</v>
          </cell>
          <cell r="B314" t="str">
            <v>CONECTOR CODO P.CABLE SECO TP.N2XSY 25MM2 200A 10KV</v>
          </cell>
          <cell r="C314" t="str">
            <v>UN</v>
          </cell>
          <cell r="D314">
            <v>84.674000000000007</v>
          </cell>
        </row>
        <row r="315">
          <cell r="A315">
            <v>5119413</v>
          </cell>
          <cell r="B315" t="str">
            <v>CONECTOR CODO P.CABLE SECO TP.N2XSY 35MM2 200A 10KV</v>
          </cell>
          <cell r="C315" t="str">
            <v>UN</v>
          </cell>
          <cell r="D315">
            <v>84.962000000000003</v>
          </cell>
        </row>
        <row r="316">
          <cell r="A316">
            <v>5119424</v>
          </cell>
          <cell r="B316" t="str">
            <v>CONECTOR CODO P.CABLE SECO TP.N2XSY 50MM2 200A 25KV</v>
          </cell>
          <cell r="C316" t="str">
            <v>UN</v>
          </cell>
          <cell r="D316">
            <v>144.346</v>
          </cell>
        </row>
        <row r="317">
          <cell r="A317">
            <v>5119428</v>
          </cell>
          <cell r="B317" t="str">
            <v>CONECTOR CODO P.CABLE SECO TP.N2XSY - NA2XSY 120MM2 200A CL.15 / 25KV</v>
          </cell>
          <cell r="C317" t="str">
            <v>UN</v>
          </cell>
          <cell r="D317">
            <v>153.21899999999999</v>
          </cell>
        </row>
        <row r="318">
          <cell r="A318">
            <v>5119440</v>
          </cell>
          <cell r="B318" t="str">
            <v>BORNE TP.RECEPTACULO ENCHUFABLE P.ACCIONAMIENTO CARGA 25KV 200A</v>
          </cell>
          <cell r="C318" t="str">
            <v>UN</v>
          </cell>
          <cell r="D318">
            <v>136.078</v>
          </cell>
        </row>
        <row r="319">
          <cell r="A319">
            <v>5119450</v>
          </cell>
          <cell r="B319" t="str">
            <v>TAPON CONECTOR C.AISLAMIENTO PLASTICO P.BORNE RECEPTACULO ENCHUFABLE 25KV</v>
          </cell>
          <cell r="C319" t="str">
            <v>UN</v>
          </cell>
          <cell r="D319">
            <v>112.81399999999999</v>
          </cell>
        </row>
        <row r="320">
          <cell r="A320">
            <v>5119475</v>
          </cell>
          <cell r="B320" t="str">
            <v>ADAPTADOR DE CONEXION A TIERRA P.CABLES EN 22.9KV. CON AISLAMIENTO XLPE DE 50MM2</v>
          </cell>
          <cell r="C320" t="str">
            <v>UN</v>
          </cell>
          <cell r="D320">
            <v>62.831000000000003</v>
          </cell>
        </row>
        <row r="321">
          <cell r="A321">
            <v>5119477</v>
          </cell>
          <cell r="B321" t="str">
            <v>ADAPTADOR P.CONEXION A TIERRA P.CABLES DE AISLAMIENTO SECO DE 25MM2</v>
          </cell>
          <cell r="C321" t="str">
            <v>UN</v>
          </cell>
          <cell r="D321">
            <v>54.805</v>
          </cell>
        </row>
        <row r="322">
          <cell r="A322">
            <v>5119478</v>
          </cell>
          <cell r="B322" t="str">
            <v>ADAPTADOR P.CONEXION A TIERRA P.CABLES DE AISLAMIENTO SECO DE 35MM2</v>
          </cell>
          <cell r="C322" t="str">
            <v>UN</v>
          </cell>
          <cell r="D322">
            <v>54.728000000000002</v>
          </cell>
        </row>
        <row r="323">
          <cell r="A323">
            <v>5119488</v>
          </cell>
          <cell r="B323" t="str">
            <v>ADAPTADOR DE CONEXION A TIERRA P.CABLES EN 22.9KV. CON AISLAMIENTO XLPE DE 120MM2.</v>
          </cell>
          <cell r="C323" t="str">
            <v>UN</v>
          </cell>
          <cell r="D323">
            <v>64.55</v>
          </cell>
        </row>
        <row r="324">
          <cell r="A324">
            <v>5131250</v>
          </cell>
          <cell r="B324" t="str">
            <v>EMPALME DERECHO UNIPOLAR AUTOCONTRAIBLE P.CABLE N2XSY / NA2XSY 50-120MM2 22,9KV S.CONECTOR</v>
          </cell>
          <cell r="C324" t="str">
            <v>UN</v>
          </cell>
          <cell r="D324">
            <v>248.22800000000001</v>
          </cell>
        </row>
        <row r="325">
          <cell r="A325">
            <v>5131272</v>
          </cell>
          <cell r="B325" t="str">
            <v>EMPALME DERECHO UNIPOLAR AUTOFUNDENTE P.CABLE N2XSY / NA2XSY 120-400MM2 22,9KV C.CONECTOR</v>
          </cell>
          <cell r="C325" t="str">
            <v>UN</v>
          </cell>
          <cell r="D325">
            <v>456.95800000000003</v>
          </cell>
        </row>
        <row r="326">
          <cell r="A326">
            <v>5131274</v>
          </cell>
          <cell r="B326" t="str">
            <v>EMPALME DERECHO UNIPOLAR AUTOFUNDENTE P.CABLE N2XSY / NA2XSY 70-120MM2 10/22,9KV C.CONECTOR</v>
          </cell>
          <cell r="C326" t="str">
            <v>UN</v>
          </cell>
          <cell r="D326">
            <v>344.065</v>
          </cell>
        </row>
        <row r="327">
          <cell r="A327">
            <v>5131277</v>
          </cell>
          <cell r="B327" t="str">
            <v>EMPALME DERECHO UNIPOLAR TERMOCONTRAIBLE EXTRA ULTRA RAPIDO P.CABLE N2XSY / NA2XSY 50-150MM2 22,9KV</v>
          </cell>
          <cell r="C327" t="str">
            <v>UN</v>
          </cell>
          <cell r="D327">
            <v>311.47500000000002</v>
          </cell>
        </row>
        <row r="328">
          <cell r="A328">
            <v>5131278</v>
          </cell>
          <cell r="B328" t="str">
            <v>EMPALME DERECHO UNIPOLAR TERMOCONTRAIBLE ULTRA RAPIDO P.CABLE N2XSY / NA2XSY 70-120MM2 10/22,9KV</v>
          </cell>
          <cell r="C328" t="str">
            <v>UN</v>
          </cell>
          <cell r="D328">
            <v>308.33999999999997</v>
          </cell>
        </row>
        <row r="329">
          <cell r="A329">
            <v>5131279</v>
          </cell>
          <cell r="B329" t="str">
            <v>EMPALME DERECHO UNIPOLAR TERMOCONTRAIBLE ULTRA RAPIDO P.CABLE N2XSY / NA2XSY 25-120MM2 10/22,9KV</v>
          </cell>
          <cell r="C329" t="str">
            <v>UN</v>
          </cell>
          <cell r="D329">
            <v>304.44</v>
          </cell>
        </row>
        <row r="330">
          <cell r="A330">
            <v>5131280</v>
          </cell>
          <cell r="B330" t="str">
            <v>EMPALME DERECHO UNIPOLAR TERMOCONTRAIBLE P.CABLE N2XSY / NA2XSY 120-400MM2 22,9KV C.CONECTOR</v>
          </cell>
          <cell r="C330" t="str">
            <v>UN</v>
          </cell>
          <cell r="D330">
            <v>694.005</v>
          </cell>
        </row>
        <row r="331">
          <cell r="A331">
            <v>5131281</v>
          </cell>
          <cell r="B331" t="str">
            <v>EMPALME DERECHO UNIPOLAR TERMOCONTRAIBLE ULTRA RAPIDO P.CABLE N2XSY / NA2XSY 120-400MM2 10/22,9KV</v>
          </cell>
          <cell r="C331" t="str">
            <v>UN</v>
          </cell>
          <cell r="D331">
            <v>454.18099999999998</v>
          </cell>
        </row>
        <row r="332">
          <cell r="A332">
            <v>5131282</v>
          </cell>
          <cell r="B332" t="str">
            <v>EMPALME DERECHO UNIPOLAR TERMOCONTRAIBLE ULTRA RAPIDO P.CABLE N2XSY / NA2XSY 240-400MM2 10/22,9KV</v>
          </cell>
          <cell r="C332" t="str">
            <v>UN</v>
          </cell>
          <cell r="D332">
            <v>361.44799999999998</v>
          </cell>
        </row>
        <row r="333">
          <cell r="A333">
            <v>5131285</v>
          </cell>
          <cell r="B333" t="str">
            <v>EMPALME DERECHO UNIPOLAR TERMOCONTRAIBLE EXTRA ULTRA RAPIDO P.CABLE N2XSY / NA2XSY 185-400MM2 22,9KV</v>
          </cell>
          <cell r="C333" t="str">
            <v>UN</v>
          </cell>
          <cell r="D333">
            <v>340.74900000000002</v>
          </cell>
        </row>
        <row r="334">
          <cell r="A334">
            <v>5131288</v>
          </cell>
          <cell r="B334" t="str">
            <v>EMPALME DERECHO UNIPOLAR AUTOFUNDENTE P.CABLE N2XSY / NA2XSY 120-400MM2 10/22,9KV C.CONECTOR</v>
          </cell>
          <cell r="C334" t="str">
            <v>UN</v>
          </cell>
          <cell r="D334">
            <v>454.55599999999998</v>
          </cell>
        </row>
        <row r="335">
          <cell r="A335">
            <v>5131289</v>
          </cell>
          <cell r="B335" t="str">
            <v>EMPALME DERECHO UNIPOLAR TERMOCONTRAIBLE P.CABLE N2XSY / NA2XSY 120 - 240MM2 22,9KV</v>
          </cell>
          <cell r="C335" t="str">
            <v>UN</v>
          </cell>
          <cell r="D335">
            <v>516.15499999999997</v>
          </cell>
        </row>
        <row r="336">
          <cell r="A336">
            <v>5131315</v>
          </cell>
          <cell r="B336" t="str">
            <v>EMPALME ASIMETRICO TRIPOLAR TERMOCONTRAIBLE ULTRA RAPIDO P.CABLE NKY / NA2XSY 70-120MM2 10/22,9KV</v>
          </cell>
          <cell r="C336" t="str">
            <v>JG</v>
          </cell>
          <cell r="D336">
            <v>723.97699999999998</v>
          </cell>
        </row>
        <row r="337">
          <cell r="A337">
            <v>5131316</v>
          </cell>
          <cell r="B337" t="str">
            <v>EMPALME ASIMETRICO TRIPOLAR AUTOFUNDENTE P.CABLE NKY / NA2XSY 70-120MM2 10/22,9KV C.CONECTOR</v>
          </cell>
          <cell r="C337" t="str">
            <v>JG</v>
          </cell>
          <cell r="D337">
            <v>668.221</v>
          </cell>
        </row>
        <row r="338">
          <cell r="A338">
            <v>5131330</v>
          </cell>
          <cell r="B338" t="str">
            <v>EMPALME ASIM. DER. TERMOCON. P. CABLE NKY-N2XSY 16-70MM2 10KV. SIN CONECTOR</v>
          </cell>
          <cell r="C338" t="str">
            <v>JG</v>
          </cell>
          <cell r="D338">
            <v>394.935</v>
          </cell>
        </row>
        <row r="339">
          <cell r="A339">
            <v>5131331</v>
          </cell>
          <cell r="B339" t="str">
            <v>EMPALME ASIM. DER. TERMOCON. P. CABLES NKY-N2XSY 120-240MM2 10KV. SIN CONECTOR</v>
          </cell>
          <cell r="C339" t="str">
            <v>JG</v>
          </cell>
          <cell r="D339">
            <v>645.97299999999996</v>
          </cell>
        </row>
        <row r="340">
          <cell r="A340">
            <v>5131395</v>
          </cell>
          <cell r="B340" t="str">
            <v>EMPALME DERECHO UNIPOLAR TERMOCONTRAIBLE P.CABLE N2XSY 25 - 95MM2 CL.15KV</v>
          </cell>
          <cell r="C340" t="str">
            <v>UN</v>
          </cell>
          <cell r="D340">
            <v>176.19800000000001</v>
          </cell>
        </row>
        <row r="341">
          <cell r="A341">
            <v>5131436</v>
          </cell>
          <cell r="B341" t="str">
            <v>EMPALME ASIMET.DER.TRIP. RESINA P. CAB.NKY-N2XSY 70/35MM2.10KV</v>
          </cell>
          <cell r="C341" t="str">
            <v>JG</v>
          </cell>
          <cell r="D341">
            <v>494.61799999999999</v>
          </cell>
        </row>
        <row r="342">
          <cell r="A342">
            <v>5131446</v>
          </cell>
          <cell r="B342" t="str">
            <v>EMPALME ASIMETRICO TRIPOLAR TERMOCONTRAIBLE ULTRA RAPIDO P.CABLE NKY / NA2XSY 120-400MM2 10/22,9KV</v>
          </cell>
          <cell r="C342" t="str">
            <v>JG</v>
          </cell>
          <cell r="D342">
            <v>830.49400000000003</v>
          </cell>
        </row>
        <row r="343">
          <cell r="A343">
            <v>5131593</v>
          </cell>
          <cell r="B343" t="str">
            <v>EMPALME DERECHO UNIPOLAR TERMOCONTRAIBLE P.CABLE N2XSY 185 - 240MM2 CL.25KV</v>
          </cell>
          <cell r="C343" t="str">
            <v>UN</v>
          </cell>
          <cell r="D343">
            <v>374.21499999999997</v>
          </cell>
        </row>
        <row r="344">
          <cell r="A344">
            <v>5131596</v>
          </cell>
          <cell r="B344" t="str">
            <v>EMPALME DERECHO UNIPOLAR TERMOCONTRAIBLE P.CABLE N2XSY 35 - 120MM2 CL.25KV</v>
          </cell>
          <cell r="C344" t="str">
            <v>UN</v>
          </cell>
          <cell r="D344">
            <v>252.10400000000001</v>
          </cell>
        </row>
        <row r="345">
          <cell r="A345">
            <v>5131602</v>
          </cell>
          <cell r="B345" t="str">
            <v>TERMINAL TRIPOLAR TERMOCONTRAIBLE TP.INTERIOR P.CABLE N2XSY 25 - 70MM2 CL.15KV</v>
          </cell>
          <cell r="C345" t="str">
            <v>JG</v>
          </cell>
          <cell r="D345">
            <v>226.422</v>
          </cell>
        </row>
        <row r="346">
          <cell r="A346">
            <v>5131614</v>
          </cell>
          <cell r="B346" t="str">
            <v>TERMINAL TRIPOLAR TERMOCONTRAIBLE TP.INTERIOR P.CABLE N2XSY 120 - 240MM2 CL.15KV</v>
          </cell>
          <cell r="C346" t="str">
            <v>JG</v>
          </cell>
          <cell r="D346">
            <v>258.94099999999997</v>
          </cell>
        </row>
        <row r="347">
          <cell r="A347">
            <v>5131618</v>
          </cell>
          <cell r="B347" t="str">
            <v>TERMINAL TRIPOLAR TERMOCONTRAIBLE TP.EXTERIOR P.CABLE N2XSY / NA2XSY 25-95MM2 CL.15KV</v>
          </cell>
          <cell r="C347" t="str">
            <v>JG</v>
          </cell>
          <cell r="D347">
            <v>204.988</v>
          </cell>
        </row>
        <row r="348">
          <cell r="A348">
            <v>5131621</v>
          </cell>
          <cell r="B348" t="str">
            <v>TERMINAL TRIPOLAR AUTOCONTRAIBLE ULTRARAPIDO P.CABLE N2XSY/NA2XSY 25-95MM2 15KV INTERIOR / EXTERIOR</v>
          </cell>
          <cell r="C348" t="str">
            <v>JG</v>
          </cell>
          <cell r="D348">
            <v>241.11699999999999</v>
          </cell>
        </row>
        <row r="349">
          <cell r="A349">
            <v>5131630</v>
          </cell>
          <cell r="B349" t="str">
            <v>TERMINAL TRIPOLAR TERMOCONTRAIBLE TP.EXTERIOR P.CABLE N2XSY / NA2XSY 120-240MM2 CL.15KV</v>
          </cell>
          <cell r="C349" t="str">
            <v>JG</v>
          </cell>
          <cell r="D349">
            <v>261.524</v>
          </cell>
        </row>
        <row r="350">
          <cell r="A350">
            <v>5131642</v>
          </cell>
          <cell r="B350" t="str">
            <v>TERMINAL INTERIOR P.NKY 10KV. 3X16-35 MM2.TERMOC</v>
          </cell>
          <cell r="C350" t="str">
            <v>JG</v>
          </cell>
          <cell r="D350">
            <v>361.45299999999997</v>
          </cell>
        </row>
        <row r="351">
          <cell r="A351">
            <v>5131705</v>
          </cell>
          <cell r="B351" t="str">
            <v>TERMINAL UNIPOLAR TERMOCONTRAIBLE TP.EXTERIOR P.CABLE NA2XSY 400MM2 CL.25KV</v>
          </cell>
          <cell r="C351" t="str">
            <v>UN</v>
          </cell>
          <cell r="D351">
            <v>316.42200000000003</v>
          </cell>
        </row>
        <row r="352">
          <cell r="A352">
            <v>5131742</v>
          </cell>
          <cell r="B352" t="str">
            <v>TERMINAL UNIPOLAR TERMOCONTRAIBLE TP.EXTERIOR P.CABLE NA2XSY 400MM2 CL.25KV S.CONECTOR</v>
          </cell>
          <cell r="C352" t="str">
            <v>UN</v>
          </cell>
          <cell r="D352">
            <v>356.387</v>
          </cell>
        </row>
        <row r="353">
          <cell r="A353">
            <v>5131768</v>
          </cell>
          <cell r="B353" t="str">
            <v>TERMINALES UNIPOLARES INTERIORES TERMOCONTRAIBLES ULTRA RAPIDOS P.CABLE N2XSY 3-1X70-240MM2 24KV</v>
          </cell>
          <cell r="C353" t="str">
            <v>JG</v>
          </cell>
          <cell r="D353">
            <v>561.34</v>
          </cell>
        </row>
        <row r="354">
          <cell r="A354">
            <v>5131771</v>
          </cell>
          <cell r="B354" t="str">
            <v>TERMINALES UNIPOLARES INTERIORES TERMOCONTRAIBLES COMPACTO RAPIDO P.CABLE NA2XSY 400MM2 24KV</v>
          </cell>
          <cell r="C354" t="str">
            <v>JG</v>
          </cell>
          <cell r="D354">
            <v>652.26599999999996</v>
          </cell>
        </row>
        <row r="355">
          <cell r="A355">
            <v>5131772</v>
          </cell>
          <cell r="B355" t="str">
            <v>TERMINALES UNIPOLARES INTERIORES TERMOCONTRAIBLES COMPACTO RAPIDO P.CABLE NA2XSY 120MM2 24KV</v>
          </cell>
          <cell r="C355" t="str">
            <v>JG</v>
          </cell>
          <cell r="D355">
            <v>453.79199999999997</v>
          </cell>
        </row>
        <row r="356">
          <cell r="A356">
            <v>5131775</v>
          </cell>
          <cell r="B356" t="str">
            <v>TERMINALES UNIPOLARES AUTOCONTRAIBLES TP.INTERIOR P.CABLE NA2XSY 185-400MM2 22,9KV C.CONECTOR</v>
          </cell>
          <cell r="C356" t="str">
            <v>JG</v>
          </cell>
          <cell r="D356">
            <v>662.71100000000001</v>
          </cell>
        </row>
        <row r="357">
          <cell r="A357">
            <v>5131778</v>
          </cell>
          <cell r="B357" t="str">
            <v>TERMINACION UNIPOLAR AUTOCONTRAIBLE TP.EXTERIOR P.CABLE N2XSY-NA2XSY 185-400MM2 22,9KV SIN CONECTOR</v>
          </cell>
          <cell r="C357" t="str">
            <v>UN</v>
          </cell>
          <cell r="D357">
            <v>303.63900000000001</v>
          </cell>
        </row>
        <row r="358">
          <cell r="A358">
            <v>5131812</v>
          </cell>
          <cell r="B358" t="str">
            <v>TERMINAL TP.CAJA INTERP.P.CABLE NKY 10KV. 3X16-35 MM2. TERMOC.</v>
          </cell>
          <cell r="C358" t="str">
            <v>JG</v>
          </cell>
          <cell r="D358">
            <v>313.74799999999999</v>
          </cell>
        </row>
        <row r="359">
          <cell r="A359">
            <v>5131822</v>
          </cell>
          <cell r="B359" t="str">
            <v>TERMINAL TP.CAJA INTEMP.P.CABLE NKY 10KV 3X70-120 MM2 TERMOC.</v>
          </cell>
          <cell r="C359" t="str">
            <v>JG</v>
          </cell>
          <cell r="D359">
            <v>362.05500000000001</v>
          </cell>
        </row>
        <row r="360">
          <cell r="A360">
            <v>5131866</v>
          </cell>
          <cell r="B360" t="str">
            <v>TERMINALES UNIPOLARES AUTOCONTRAIBLES TP.EXTERIOR P.CABLE NA2XSY 95-120MM2 22,9KV C.CONECTOR</v>
          </cell>
          <cell r="C360" t="str">
            <v>JG</v>
          </cell>
          <cell r="D360">
            <v>635.57799999999997</v>
          </cell>
        </row>
        <row r="361">
          <cell r="A361">
            <v>5131896</v>
          </cell>
          <cell r="B361" t="str">
            <v>TERMINAL.EXT.P.CABLE.SECO N2XSY 3-1X50-120MM2 22 9KV.AUTOCONT.ULTRA-RAP.</v>
          </cell>
          <cell r="C361" t="str">
            <v>JG</v>
          </cell>
          <cell r="D361">
            <v>317.88299999999998</v>
          </cell>
        </row>
        <row r="362">
          <cell r="A362">
            <v>5131897</v>
          </cell>
          <cell r="B362" t="str">
            <v>TERMINAL TRIPOLAR TERMOCONTRAIBLE TP.EXTERIOR P.CABLE N2XSY 50 - 120MM2 CL.25KV</v>
          </cell>
          <cell r="C362" t="str">
            <v>JG</v>
          </cell>
          <cell r="D362">
            <v>307.88900000000001</v>
          </cell>
        </row>
        <row r="363">
          <cell r="A363">
            <v>5131900</v>
          </cell>
          <cell r="B363" t="str">
            <v>TERM.EXT.P.C.SECO N2XSY 3-1X240MM2 22,9 KV RAYCH.</v>
          </cell>
          <cell r="C363" t="str">
            <v>JG</v>
          </cell>
          <cell r="D363">
            <v>398.173</v>
          </cell>
        </row>
        <row r="364">
          <cell r="A364">
            <v>5131907</v>
          </cell>
          <cell r="B364" t="str">
            <v>TERMINAL TRIPOLAR TERMOCONTRAIBLE TP.INTERIOR P.CABLE N2XSY 50 - 120MM2 CL.25KV</v>
          </cell>
          <cell r="C364" t="str">
            <v>JG</v>
          </cell>
          <cell r="D364">
            <v>195.197</v>
          </cell>
        </row>
        <row r="365">
          <cell r="A365">
            <v>5131910</v>
          </cell>
          <cell r="B365" t="str">
            <v>TERMINAL INT.CABL.SECO N2XSY 3-1X240MM2 22 9 KV.TERMOC.</v>
          </cell>
          <cell r="C365" t="str">
            <v>JG</v>
          </cell>
          <cell r="D365">
            <v>581.50699999999995</v>
          </cell>
        </row>
        <row r="366">
          <cell r="A366">
            <v>5131920</v>
          </cell>
          <cell r="B366" t="str">
            <v>ETIQUETAS MARCACION EMPALMES SUBTERRANEOS 85X50MM.</v>
          </cell>
          <cell r="C366" t="str">
            <v>UN</v>
          </cell>
          <cell r="D366">
            <v>1.42</v>
          </cell>
        </row>
        <row r="367">
          <cell r="A367">
            <v>5132344</v>
          </cell>
          <cell r="B367" t="str">
            <v>UNION CU. DER.TABICADA COMPR. 16MM2 MT.</v>
          </cell>
          <cell r="C367" t="str">
            <v>UN</v>
          </cell>
          <cell r="D367">
            <v>2.9220000000000002</v>
          </cell>
        </row>
        <row r="368">
          <cell r="A368">
            <v>5132346</v>
          </cell>
          <cell r="B368" t="str">
            <v>UNION TUB. CU. ESTANADO TABIC. COMPR. P/ EMPALME ASIM. 25-25MM2</v>
          </cell>
          <cell r="C368" t="str">
            <v>UN</v>
          </cell>
          <cell r="D368">
            <v>3.4510000000000001</v>
          </cell>
        </row>
        <row r="369">
          <cell r="A369">
            <v>5132348</v>
          </cell>
          <cell r="B369" t="str">
            <v>UNION TUB. CU. ESTANADO TABIC. COMPR. P/ EMPALME ASIM. 35-35MM2</v>
          </cell>
          <cell r="C369" t="str">
            <v>UN</v>
          </cell>
          <cell r="D369">
            <v>4.5739999999999998</v>
          </cell>
        </row>
        <row r="370">
          <cell r="A370">
            <v>5132350</v>
          </cell>
          <cell r="B370" t="str">
            <v>UNION TUB. CU. ESTANADO TABIC. COMPR. P/ EMPALME ASIM. 70-70MM2</v>
          </cell>
          <cell r="C370" t="str">
            <v>UN</v>
          </cell>
          <cell r="D370">
            <v>11.125999999999999</v>
          </cell>
        </row>
        <row r="371">
          <cell r="A371">
            <v>5132352</v>
          </cell>
          <cell r="B371" t="str">
            <v>UNION TUB. CU. ESTANADO TABIC. COMPR. P/ EMPALME ASIM. 120-120MM2</v>
          </cell>
          <cell r="C371" t="str">
            <v>UN</v>
          </cell>
          <cell r="D371">
            <v>17.091000000000001</v>
          </cell>
        </row>
        <row r="372">
          <cell r="A372">
            <v>5132356</v>
          </cell>
          <cell r="B372" t="str">
            <v>UNION TUB. CU. ESTANADO TABIC. COMPR. P/ EMPALME ASIM. 240-240MM2</v>
          </cell>
          <cell r="C372" t="str">
            <v>UN</v>
          </cell>
          <cell r="D372">
            <v>40.442</v>
          </cell>
        </row>
        <row r="373">
          <cell r="A373">
            <v>5132366</v>
          </cell>
          <cell r="B373" t="str">
            <v>UNION TUB.CU.ESTAÑA.TABI.COMPR.P/CAB.DIFER.SECC.120/25MM2</v>
          </cell>
          <cell r="C373" t="str">
            <v>UN</v>
          </cell>
          <cell r="D373">
            <v>15.662000000000001</v>
          </cell>
        </row>
        <row r="374">
          <cell r="A374">
            <v>5132374</v>
          </cell>
          <cell r="B374" t="str">
            <v>UNION TUB. CU. ESTANADO TABIC. COMPR. P/ EMPALME ASIM. 70-120MM2</v>
          </cell>
          <cell r="C374" t="str">
            <v>UN</v>
          </cell>
          <cell r="D374">
            <v>15.608000000000001</v>
          </cell>
        </row>
        <row r="375">
          <cell r="A375">
            <v>5132744</v>
          </cell>
          <cell r="B375" t="str">
            <v>CONECTOR DERECHO MECANICO TABICADO DE ALEACION DE ALUMINIO P.CABLE 35 - 150 / 35 - 150MM2 P.RED M.T.</v>
          </cell>
          <cell r="C375" t="str">
            <v>UN</v>
          </cell>
          <cell r="D375">
            <v>34.962000000000003</v>
          </cell>
        </row>
        <row r="376">
          <cell r="A376">
            <v>5132746</v>
          </cell>
          <cell r="B376" t="str">
            <v>CONECTOR DERECHO MECANICO TABICADO DE ALEACION DE ALUMINIO P.CABLE 95 - 240 / 95 - 240MM2 P.RED M.T.</v>
          </cell>
          <cell r="C376" t="str">
            <v>UN</v>
          </cell>
          <cell r="D376">
            <v>71.972999999999999</v>
          </cell>
        </row>
        <row r="377">
          <cell r="A377">
            <v>5132748</v>
          </cell>
          <cell r="B377" t="str">
            <v>CONECTOR DERECHO MECANICO TABICADO DE ALEACION DE ALUMINIO P.CABLE 185-400 / 185-400MM2 P.RED M.T.</v>
          </cell>
          <cell r="C377" t="str">
            <v>UN</v>
          </cell>
          <cell r="D377">
            <v>111.69</v>
          </cell>
        </row>
        <row r="378">
          <cell r="A378">
            <v>5132752</v>
          </cell>
          <cell r="B378" t="str">
            <v>CONECTOR DERECHO MECANICO TABICADO DE ALEACION DE ALUMINIO P.CABLE 95 - 240 / 185 - 400MM2 P.RED M.T</v>
          </cell>
          <cell r="C378" t="str">
            <v>UN</v>
          </cell>
          <cell r="D378">
            <v>110.36</v>
          </cell>
        </row>
        <row r="379">
          <cell r="A379">
            <v>5132866</v>
          </cell>
          <cell r="B379" t="str">
            <v>CONECTOR TERMINAL MECANICO DE ALEACION DE ALUMINIO P.CABLE AL 120-185MM2 P.LLAVE HORIZONTAL 250/315A</v>
          </cell>
          <cell r="C379" t="str">
            <v>UN</v>
          </cell>
          <cell r="D379">
            <v>25.838000000000001</v>
          </cell>
        </row>
        <row r="380">
          <cell r="A380">
            <v>5132868</v>
          </cell>
          <cell r="B380" t="str">
            <v>CONECTOR TERMINAL MECANICO DE ALEACION DE ALUMINIO P.CABLE AL 185-300MM2 P.LLAVE VERTICAL 400A</v>
          </cell>
          <cell r="C380" t="str">
            <v>UN</v>
          </cell>
          <cell r="D380">
            <v>38.265000000000001</v>
          </cell>
        </row>
        <row r="381">
          <cell r="A381">
            <v>5132870</v>
          </cell>
          <cell r="B381" t="str">
            <v>CONECTOR TERMINAL MECANICO DE ALEACION DE ALUMINIO P.CABLE AL 300-500MM2 P.LLAVE VERTICAL 500/630A</v>
          </cell>
          <cell r="C381" t="str">
            <v>UN</v>
          </cell>
          <cell r="D381">
            <v>78.643000000000001</v>
          </cell>
        </row>
        <row r="382">
          <cell r="A382">
            <v>5132876</v>
          </cell>
          <cell r="B382" t="str">
            <v>CONECTOR TERMINAL MECANICO DE ALEACION DE ALUMINIO P.CABLE CU / AL 95 - 240MM2 P.RED M.T.</v>
          </cell>
          <cell r="C382" t="str">
            <v>UN</v>
          </cell>
          <cell r="D382">
            <v>40.567</v>
          </cell>
        </row>
        <row r="383">
          <cell r="A383">
            <v>5132879</v>
          </cell>
          <cell r="B383" t="str">
            <v>CONECTOR TERMINAL MECANICO DE ALEACION DE ALUMINIO P.CABLE CU / AL 185 - 400MM2 P.RED M.T.</v>
          </cell>
          <cell r="C383" t="str">
            <v>UN</v>
          </cell>
          <cell r="D383">
            <v>97.908000000000001</v>
          </cell>
        </row>
        <row r="384">
          <cell r="A384">
            <v>5134372</v>
          </cell>
          <cell r="B384" t="str">
            <v>MANTA AISLANTE ANTITRACKING AUTOFUNDENTE C.CAPA EPR DE 200MM X 3M COLOR NEGRO CL.2A 4,25KV</v>
          </cell>
          <cell r="C384" t="str">
            <v>UN</v>
          </cell>
          <cell r="D384">
            <v>287.31900000000002</v>
          </cell>
        </row>
        <row r="385">
          <cell r="A385">
            <v>5134557</v>
          </cell>
          <cell r="B385" t="str">
            <v>CINTA AISLANTE MASTIC DE GOMA AUTOFUNDENTE C.SOPORTE DE PVC 102MM X 3M X 2,29MM 600V COLOR NEGRO</v>
          </cell>
          <cell r="C385" t="str">
            <v>RO</v>
          </cell>
          <cell r="D385">
            <v>56.843000000000004</v>
          </cell>
        </row>
        <row r="386">
          <cell r="A386">
            <v>5134702</v>
          </cell>
          <cell r="B386" t="str">
            <v>CINTA SEÑALIZADORA ROJA P.CABLES SUBTERRANEOS 10KV P.LUZ DEL SUR</v>
          </cell>
          <cell r="C386" t="str">
            <v>M</v>
          </cell>
          <cell r="D386">
            <v>0.218</v>
          </cell>
        </row>
        <row r="387">
          <cell r="A387">
            <v>5134722</v>
          </cell>
          <cell r="B387" t="str">
            <v>CINTA SEÑALIZADORA ROJA P.CABLES SUBTERRANEOS 22,9KV P.LUZ DEL SUR</v>
          </cell>
          <cell r="C387" t="str">
            <v>M</v>
          </cell>
          <cell r="D387">
            <v>0.2</v>
          </cell>
        </row>
        <row r="388">
          <cell r="A388">
            <v>5134724</v>
          </cell>
          <cell r="B388" t="str">
            <v>CINTA SEÑALIZADORA ROJA P.CABLES SUBTERRANEOS 22,9KV</v>
          </cell>
          <cell r="C388" t="str">
            <v>M</v>
          </cell>
          <cell r="D388">
            <v>0.34799999999999998</v>
          </cell>
        </row>
        <row r="389">
          <cell r="A389">
            <v>5134726</v>
          </cell>
          <cell r="B389" t="str">
            <v>CINTA SEÑALIZADORA ROJA P.CABLES SUBTERRANEOS 22,9KV P.CLIENTE PARTICULAR</v>
          </cell>
          <cell r="C389" t="str">
            <v>M</v>
          </cell>
          <cell r="D389">
            <v>0.191</v>
          </cell>
        </row>
        <row r="390">
          <cell r="A390">
            <v>5154556</v>
          </cell>
          <cell r="B390" t="str">
            <v>CINTA AISLANTE DE GOMA AUTOFUNDENTE EPR DE 19MM X 9,20M X 0,76MM 69KV COLOR NEGRO</v>
          </cell>
          <cell r="C390" t="str">
            <v>RO</v>
          </cell>
          <cell r="D390">
            <v>16.216999999999999</v>
          </cell>
        </row>
        <row r="391">
          <cell r="A391">
            <v>5211422</v>
          </cell>
          <cell r="B391" t="str">
            <v>AISLADOR POLIMERICO TP.SUSPENSION / ANCLAJE 22,9KV 550MM LONG. L.F. 850MM 45KN C.ACCESORIOS</v>
          </cell>
          <cell r="C391" t="str">
            <v>UN</v>
          </cell>
          <cell r="D391">
            <v>32.069000000000003</v>
          </cell>
        </row>
        <row r="392">
          <cell r="A392">
            <v>5212010</v>
          </cell>
          <cell r="B392" t="str">
            <v>AISLADOR POLIMERICO TP.SUSPENSION / ANCLAJE 10KV 400MM LONG. L.F. 600MM 45KN C.ACCESORIOS</v>
          </cell>
          <cell r="C392" t="str">
            <v>UN</v>
          </cell>
          <cell r="D392">
            <v>39.198</v>
          </cell>
        </row>
        <row r="393">
          <cell r="A393">
            <v>5214491</v>
          </cell>
          <cell r="B393" t="str">
            <v>AISLADOR HIBRIDO TP. PIN PARA LINEAS DE 10 KV.</v>
          </cell>
          <cell r="C393" t="str">
            <v>UN</v>
          </cell>
          <cell r="D393">
            <v>71.236999999999995</v>
          </cell>
        </row>
        <row r="394">
          <cell r="A394">
            <v>5214496</v>
          </cell>
          <cell r="B394" t="str">
            <v>AISLADOR POLIMERICO TP.PIN P/LINEAS AEREAS 22 9KV.</v>
          </cell>
          <cell r="C394" t="str">
            <v>UN</v>
          </cell>
          <cell r="D394">
            <v>109.434</v>
          </cell>
        </row>
        <row r="395">
          <cell r="A395">
            <v>5217208</v>
          </cell>
          <cell r="B395" t="str">
            <v>AISLADOR TP.CARRETE PORCEL.53.1 220V.P.PORTALINEA.</v>
          </cell>
          <cell r="C395" t="str">
            <v>UN</v>
          </cell>
          <cell r="D395">
            <v>1.7190000000000001</v>
          </cell>
        </row>
        <row r="396">
          <cell r="A396">
            <v>5217631</v>
          </cell>
          <cell r="B396" t="str">
            <v>AISLADOR TENSION  PORCELANA  CLASE ANSI 54-2  P.VIENTO.</v>
          </cell>
          <cell r="C396" t="str">
            <v>UN</v>
          </cell>
          <cell r="D396">
            <v>5.9340000000000002</v>
          </cell>
        </row>
        <row r="397">
          <cell r="A397">
            <v>5240110</v>
          </cell>
          <cell r="B397" t="str">
            <v>AISLADOR POLIMERICO EXTENSOR 24KV P/CUT-OUT</v>
          </cell>
          <cell r="C397" t="str">
            <v>UN</v>
          </cell>
          <cell r="D397">
            <v>139.249</v>
          </cell>
        </row>
        <row r="398">
          <cell r="A398">
            <v>5265104</v>
          </cell>
          <cell r="B398" t="str">
            <v>AISLADOR SOPORTE PORTABARRA RESINA EPOXICA TP.BISFENOL 1KV L.F.41MM 40X34X40MM INTERIOR</v>
          </cell>
          <cell r="C398" t="str">
            <v>UN</v>
          </cell>
          <cell r="D398">
            <v>3.9020000000000001</v>
          </cell>
        </row>
        <row r="399">
          <cell r="A399">
            <v>5265106</v>
          </cell>
          <cell r="B399" t="str">
            <v>AISLADOR SOPORTE PORTABARRA RESINA EPOXICA TP.BISFENOL 1KV L.F.61MM 60X50X64MM INTERIOR</v>
          </cell>
          <cell r="C399" t="str">
            <v>UN</v>
          </cell>
          <cell r="D399">
            <v>12.851000000000001</v>
          </cell>
        </row>
        <row r="400">
          <cell r="A400">
            <v>5265220</v>
          </cell>
          <cell r="B400" t="str">
            <v>AISLADOR SOP.PORTAB.PORCEL.J8-75 130MM INT.10KV.</v>
          </cell>
          <cell r="C400" t="str">
            <v>UN</v>
          </cell>
          <cell r="D400">
            <v>40.445</v>
          </cell>
        </row>
        <row r="401">
          <cell r="A401">
            <v>5265420</v>
          </cell>
          <cell r="B401" t="str">
            <v>AISLADOR SOP.PORTAB.PORCEL.J4-125 210MM INT.22.9KV.</v>
          </cell>
          <cell r="C401" t="str">
            <v>UN</v>
          </cell>
          <cell r="D401">
            <v>59.137</v>
          </cell>
        </row>
        <row r="402">
          <cell r="A402">
            <v>5295342</v>
          </cell>
          <cell r="B402" t="str">
            <v>CEMENTO ESPECIAL CONDUCTIVO USADO PARA SISTEMAS ELECTRICOS</v>
          </cell>
          <cell r="C402" t="str">
            <v>KG</v>
          </cell>
          <cell r="D402">
            <v>5.0149999999999997</v>
          </cell>
        </row>
        <row r="403">
          <cell r="A403">
            <v>5297528</v>
          </cell>
          <cell r="B403" t="str">
            <v>VISOR TRANSPARENTE P.CAJAS TIPO L - LT 110 X 115 X 3MM</v>
          </cell>
          <cell r="C403" t="str">
            <v>UN</v>
          </cell>
          <cell r="D403">
            <v>0.874</v>
          </cell>
        </row>
        <row r="404">
          <cell r="A404">
            <v>5311292</v>
          </cell>
          <cell r="B404" t="str">
            <v>POSTE C.A.  8 7/200/120/250 P. A.P. Y/O L.A.B.T.</v>
          </cell>
          <cell r="C404" t="str">
            <v>UN</v>
          </cell>
          <cell r="D404">
            <v>278.86799999999999</v>
          </cell>
        </row>
        <row r="405">
          <cell r="A405">
            <v>5311293</v>
          </cell>
          <cell r="B405" t="str">
            <v>POSTE C.A.  8.7/200/150/280 P. A.P. Y/O L.A.B.T.</v>
          </cell>
          <cell r="C405" t="str">
            <v>UN</v>
          </cell>
          <cell r="D405">
            <v>278.279</v>
          </cell>
        </row>
        <row r="406">
          <cell r="A406">
            <v>5311294</v>
          </cell>
          <cell r="B406" t="str">
            <v>POSTE C.A.  8 7/300/150/280 P. A.P. Y/O L.A.BT.</v>
          </cell>
          <cell r="C406" t="str">
            <v>UN</v>
          </cell>
          <cell r="D406">
            <v>290.10899999999998</v>
          </cell>
        </row>
        <row r="407">
          <cell r="A407">
            <v>5311364</v>
          </cell>
          <cell r="B407" t="str">
            <v>POSTE C.A. 10,0/300/150/300. B.T. Y/O A.P.</v>
          </cell>
          <cell r="C407" t="str">
            <v>UN</v>
          </cell>
          <cell r="D407">
            <v>386.21600000000001</v>
          </cell>
        </row>
        <row r="408">
          <cell r="A408">
            <v>5311368</v>
          </cell>
          <cell r="B408" t="str">
            <v>POSTE C.A. 10,0/400/150/300. B.T. Y/O A.P.</v>
          </cell>
          <cell r="C408" t="str">
            <v>UN</v>
          </cell>
          <cell r="D408">
            <v>492.65100000000001</v>
          </cell>
        </row>
        <row r="409">
          <cell r="A409">
            <v>5311462</v>
          </cell>
          <cell r="B409" t="str">
            <v>POSTE C.A.C. 11,5 / 200 / 150 / 323 P.A.P. Y/O L.A.B.T. O M.T.</v>
          </cell>
          <cell r="C409" t="str">
            <v>UN</v>
          </cell>
          <cell r="D409">
            <v>567.02499999999998</v>
          </cell>
        </row>
        <row r="410">
          <cell r="A410">
            <v>5311464</v>
          </cell>
          <cell r="B410" t="str">
            <v>POSTE C.A. 11 5/400/180/353 L.A. 10-22.9 KV</v>
          </cell>
          <cell r="C410" t="str">
            <v>UN</v>
          </cell>
          <cell r="D410">
            <v>772.95600000000002</v>
          </cell>
        </row>
        <row r="411">
          <cell r="A411">
            <v>5311544</v>
          </cell>
          <cell r="B411" t="str">
            <v>POSTE C.A.C. 13/300/180/375 P.L.A.B.T O MT</v>
          </cell>
          <cell r="C411" t="str">
            <v>UN</v>
          </cell>
          <cell r="D411">
            <v>709.65599999999995</v>
          </cell>
        </row>
        <row r="412">
          <cell r="A412">
            <v>5311546</v>
          </cell>
          <cell r="B412" t="str">
            <v>POSTE C.A.C. 13/400/180/375 P.L.A.B.T O MT</v>
          </cell>
          <cell r="C412" t="str">
            <v>UN</v>
          </cell>
          <cell r="D412">
            <v>895.98900000000003</v>
          </cell>
        </row>
        <row r="413">
          <cell r="A413">
            <v>5311666</v>
          </cell>
          <cell r="B413" t="str">
            <v>POSTE C.A.C. 15/400/210/435 P.L.A.B.T O MT</v>
          </cell>
          <cell r="C413" t="str">
            <v>UN</v>
          </cell>
          <cell r="D413">
            <v>1251.9490000000001</v>
          </cell>
        </row>
        <row r="414">
          <cell r="A414">
            <v>5312151</v>
          </cell>
          <cell r="B414" t="str">
            <v>POSTE C.A. 6/200/120/210/ A.P.</v>
          </cell>
          <cell r="C414" t="str">
            <v>UN</v>
          </cell>
          <cell r="D414">
            <v>195.40700000000001</v>
          </cell>
        </row>
        <row r="415">
          <cell r="A415">
            <v>5322142</v>
          </cell>
          <cell r="B415" t="str">
            <v>MENSULA C.A.V. 0,60/250/215 P.MONTAJE EN POSTE</v>
          </cell>
          <cell r="C415" t="str">
            <v>UN</v>
          </cell>
          <cell r="D415">
            <v>19.838000000000001</v>
          </cell>
        </row>
        <row r="416">
          <cell r="A416">
            <v>5322154</v>
          </cell>
          <cell r="B416" t="str">
            <v>MENSULA C.A.V. 0,60/250/245 P.MONTAJE EN POSTE</v>
          </cell>
          <cell r="C416" t="str">
            <v>UN</v>
          </cell>
          <cell r="D416">
            <v>20.306000000000001</v>
          </cell>
        </row>
        <row r="417">
          <cell r="A417">
            <v>5322166</v>
          </cell>
          <cell r="B417" t="str">
            <v>MENSULA C.A.V. 0,60/250/275 P.MONTAJE EN POSTE</v>
          </cell>
          <cell r="C417" t="str">
            <v>UN</v>
          </cell>
          <cell r="D417">
            <v>17.734999999999999</v>
          </cell>
        </row>
        <row r="418">
          <cell r="A418">
            <v>5322642</v>
          </cell>
          <cell r="B418" t="str">
            <v>MENSULA C.A.V. 1,00/250/215 P.MONTAJE EN POSTE</v>
          </cell>
          <cell r="C418" t="str">
            <v>UN</v>
          </cell>
          <cell r="D418">
            <v>30.477</v>
          </cell>
        </row>
        <row r="419">
          <cell r="A419">
            <v>5322654</v>
          </cell>
          <cell r="B419" t="str">
            <v>MENSULA C.A.V. 1,00/250/245 P.MONTAJE EN POSTE</v>
          </cell>
          <cell r="C419" t="str">
            <v>UN</v>
          </cell>
          <cell r="D419">
            <v>34.625</v>
          </cell>
        </row>
        <row r="420">
          <cell r="A420">
            <v>5322666</v>
          </cell>
          <cell r="B420" t="str">
            <v>MENSULA C.A.V. 1,00/250/275 P.MONTAJE EN POSTE</v>
          </cell>
          <cell r="C420" t="str">
            <v>UN</v>
          </cell>
          <cell r="D420">
            <v>33.182000000000002</v>
          </cell>
        </row>
        <row r="421">
          <cell r="A421">
            <v>5323588</v>
          </cell>
          <cell r="B421" t="str">
            <v>PALOMILLA DOBLE C.A.P. 2300MM / 290MM P.MONTAJE PARA S.A.B.</v>
          </cell>
          <cell r="C421" t="str">
            <v>UN</v>
          </cell>
          <cell r="D421">
            <v>121.858</v>
          </cell>
        </row>
        <row r="422">
          <cell r="A422">
            <v>5324142</v>
          </cell>
          <cell r="B422" t="str">
            <v>CRUCETA C.A.V. Z/1,20/300/215 P.MONTAJE EN POSTE</v>
          </cell>
          <cell r="C422" t="str">
            <v>UN</v>
          </cell>
          <cell r="D422">
            <v>41.445</v>
          </cell>
        </row>
        <row r="423">
          <cell r="A423">
            <v>5324154</v>
          </cell>
          <cell r="B423" t="str">
            <v>CRUCETA C.A.V. Z/1,20/300/245 P.MONTAJE EN POSTE</v>
          </cell>
          <cell r="C423" t="str">
            <v>UN</v>
          </cell>
          <cell r="D423">
            <v>42.326999999999998</v>
          </cell>
        </row>
        <row r="424">
          <cell r="A424">
            <v>5324454</v>
          </cell>
          <cell r="B424" t="str">
            <v>CRUCETA C.A.V. Z/2,0/500/245 P.MONTAJE EN POSTE</v>
          </cell>
          <cell r="C424" t="str">
            <v>UN</v>
          </cell>
          <cell r="D424">
            <v>74.445999999999998</v>
          </cell>
        </row>
        <row r="425">
          <cell r="A425">
            <v>5326210</v>
          </cell>
          <cell r="B425" t="str">
            <v>PLATAFORMA SOPORTE C.A.V. 1100MM / 750KG / 320MM P.TRANSFORMADOR</v>
          </cell>
          <cell r="C425" t="str">
            <v>UN</v>
          </cell>
          <cell r="D425">
            <v>121.026</v>
          </cell>
        </row>
        <row r="426">
          <cell r="A426">
            <v>5326314</v>
          </cell>
          <cell r="B426" t="str">
            <v>PLATAFORMA SOPORTE C.A.V. 1150MM / 1300KG / 350MM P.TRANSFORMADOR</v>
          </cell>
          <cell r="C426" t="str">
            <v>UN</v>
          </cell>
          <cell r="D426">
            <v>178.2</v>
          </cell>
        </row>
        <row r="427">
          <cell r="A427">
            <v>5329301</v>
          </cell>
          <cell r="B427" t="str">
            <v>ZAPATA CONCRETO ARMADO 400 MMD. P. VIENTO.</v>
          </cell>
          <cell r="C427" t="str">
            <v>UN</v>
          </cell>
          <cell r="D427">
            <v>11.680999999999999</v>
          </cell>
        </row>
        <row r="428">
          <cell r="A428">
            <v>5329320</v>
          </cell>
          <cell r="B428" t="str">
            <v>ZAPATA CONCR.ARMADO 700X700MM.TP.CRUZ P.ANCL.VIENTO</v>
          </cell>
          <cell r="C428" t="str">
            <v>UN</v>
          </cell>
          <cell r="D428">
            <v>34.395000000000003</v>
          </cell>
        </row>
        <row r="429">
          <cell r="A429">
            <v>5329512</v>
          </cell>
          <cell r="B429" t="str">
            <v>BASE DE CONCRETO ARMADO SIN BUZON P.TABLERO D.S. Y A.P. TAMAÑO 3 DE 1050 X 1230 X 560MM 185 KG/CM2</v>
          </cell>
          <cell r="C429" t="str">
            <v>UN</v>
          </cell>
          <cell r="D429">
            <v>444.589</v>
          </cell>
        </row>
        <row r="430">
          <cell r="A430">
            <v>5329514</v>
          </cell>
          <cell r="B430" t="str">
            <v>BASE DE CONCRETO ARMADO SIN BUZON P.TABLERO D.S. Y A.P. TAMAÑO 4 DE 1380 X 1230 X 560MM 185 KG/CM2</v>
          </cell>
          <cell r="C430" t="str">
            <v>UN</v>
          </cell>
          <cell r="D430">
            <v>516.30499999999995</v>
          </cell>
        </row>
        <row r="431">
          <cell r="A431">
            <v>5329609</v>
          </cell>
          <cell r="B431" t="str">
            <v>MURETE DE CONCRETO ARMADO VIBRADO P.CAJA LR 350 KG/CM2 C.3 CUERPOS</v>
          </cell>
          <cell r="C431" t="str">
            <v>UN</v>
          </cell>
          <cell r="D431">
            <v>115.45399999999999</v>
          </cell>
        </row>
        <row r="432">
          <cell r="A432">
            <v>5329613</v>
          </cell>
          <cell r="B432" t="str">
            <v>MURETE CONCRETO ARMADO 3 CUERPOS P/CAJA "LT". FC 210KG/CM2</v>
          </cell>
          <cell r="C432" t="str">
            <v>UN</v>
          </cell>
          <cell r="D432">
            <v>106.90600000000001</v>
          </cell>
        </row>
        <row r="433">
          <cell r="A433">
            <v>5329615</v>
          </cell>
          <cell r="B433" t="str">
            <v>MURETE DE CONCRETO ARMADO VIBRADO P.CAJA LTR 350 KG/CM2 C.3 CUERPOS</v>
          </cell>
          <cell r="C433" t="str">
            <v>UN</v>
          </cell>
          <cell r="D433">
            <v>111.994</v>
          </cell>
        </row>
        <row r="434">
          <cell r="A434">
            <v>5329810</v>
          </cell>
          <cell r="B434" t="str">
            <v>BOVEDA CONCRETO C.TAPA P.ELECTRODO DE PUESTA A TIERRA</v>
          </cell>
          <cell r="C434" t="str">
            <v>JG</v>
          </cell>
          <cell r="D434">
            <v>18.073</v>
          </cell>
        </row>
        <row r="435">
          <cell r="A435">
            <v>5331596</v>
          </cell>
          <cell r="B435" t="str">
            <v>POSTE DE POLIESTER REFORZADO EN FIBRA DE VIDRIO 7,5 / 150 / 150 / 270 P.A.P. Y/O L.A.B.T. O M</v>
          </cell>
          <cell r="C435" t="str">
            <v>UN</v>
          </cell>
          <cell r="D435">
            <v>707.21600000000001</v>
          </cell>
        </row>
        <row r="436">
          <cell r="A436">
            <v>5331600</v>
          </cell>
          <cell r="B436" t="str">
            <v>POSTE DE POLIESTER REFORZADO EN FIBRA DE VIDRIO 8,7 / 200 / 150 / 300 F.S. 2 P.A.P. Y/O L.A.B.T. O M</v>
          </cell>
          <cell r="C436" t="str">
            <v>UN</v>
          </cell>
          <cell r="D436">
            <v>1062.355</v>
          </cell>
        </row>
        <row r="437">
          <cell r="A437">
            <v>5334104</v>
          </cell>
          <cell r="B437" t="str">
            <v>CRUCETA SIMETRICA DE MADERA TP.TORNILLO 4" X 4" X 1,3 PIES CON TRATAMIENTO CCB</v>
          </cell>
          <cell r="C437" t="str">
            <v>UN</v>
          </cell>
          <cell r="D437">
            <v>12.355</v>
          </cell>
        </row>
        <row r="438">
          <cell r="A438">
            <v>5334122</v>
          </cell>
          <cell r="B438" t="str">
            <v>CRUCETA ASIMETRICA DE MADERA TP.TORNILLO 4" X 5" X 5 PIES CON TRATAMIENTO CCB</v>
          </cell>
          <cell r="C438" t="str">
            <v>UN</v>
          </cell>
          <cell r="D438">
            <v>50.92</v>
          </cell>
        </row>
        <row r="439">
          <cell r="A439">
            <v>5334234</v>
          </cell>
          <cell r="B439" t="str">
            <v>CRUCETA SIMETRICA DE MADERA TP.TORNILLO 4" X 5" X 7 PIES CON TRATAMIENTO CCB</v>
          </cell>
          <cell r="C439" t="str">
            <v>UN</v>
          </cell>
          <cell r="D439">
            <v>74.123999999999995</v>
          </cell>
        </row>
        <row r="440">
          <cell r="A440">
            <v>5334540</v>
          </cell>
          <cell r="B440" t="str">
            <v>ANGULO AC.GALV.SAE1020 3/16" X1.1/2" X 1.1/2" L.AEREA</v>
          </cell>
          <cell r="C440" t="str">
            <v>UN</v>
          </cell>
          <cell r="D440">
            <v>18.920000000000002</v>
          </cell>
        </row>
        <row r="441">
          <cell r="A441">
            <v>5335110</v>
          </cell>
          <cell r="B441" t="str">
            <v>MENSULA DE MADERA TP.TORNILLO 4" X 5" X 4 PIES CON TRATAMIENTO CCB</v>
          </cell>
          <cell r="C441" t="str">
            <v>UN</v>
          </cell>
          <cell r="D441">
            <v>49.582000000000001</v>
          </cell>
        </row>
        <row r="442">
          <cell r="A442">
            <v>5335111</v>
          </cell>
          <cell r="B442" t="str">
            <v>MENSULA DE MADERA TP.TORNILLO 4" X 5" X 6 PIES CON TRATAMIENTO CCB</v>
          </cell>
          <cell r="C442" t="str">
            <v>UN</v>
          </cell>
          <cell r="D442">
            <v>64.62</v>
          </cell>
        </row>
        <row r="443">
          <cell r="A443">
            <v>5335113</v>
          </cell>
          <cell r="B443" t="str">
            <v>MENSULA DE MADERA TP.TORNILLO 4" X 5" X 7 PIES CON TRATAMIENTO CCB</v>
          </cell>
          <cell r="C443" t="str">
            <v>UN</v>
          </cell>
          <cell r="D443">
            <v>76.468999999999994</v>
          </cell>
        </row>
        <row r="444">
          <cell r="A444">
            <v>5337120</v>
          </cell>
          <cell r="B444" t="str">
            <v>DIAGONAL ACERO GALV. 45MM X 45MM X 1,07M X 4MM</v>
          </cell>
          <cell r="C444" t="str">
            <v>UN</v>
          </cell>
          <cell r="D444">
            <v>15.63</v>
          </cell>
        </row>
        <row r="445">
          <cell r="A445">
            <v>5337127</v>
          </cell>
          <cell r="B445" t="str">
            <v>DIAGONAL ACERO GALV. 45MM X 45MM X 1,48M X 4MM</v>
          </cell>
          <cell r="C445" t="str">
            <v>UN</v>
          </cell>
          <cell r="D445">
            <v>21.529</v>
          </cell>
        </row>
        <row r="446">
          <cell r="A446">
            <v>5341122</v>
          </cell>
          <cell r="B446" t="str">
            <v>POSTE DE ACERO 6,4M X 76MM X 3,6MM C.AGUJEROS SIN BRIDA RECUBIERTO C.FIBRA Y POLIESTER</v>
          </cell>
          <cell r="C446" t="str">
            <v>UN</v>
          </cell>
          <cell r="D446">
            <v>290</v>
          </cell>
        </row>
        <row r="447">
          <cell r="A447">
            <v>5341124</v>
          </cell>
          <cell r="B447" t="str">
            <v>POSTE DE ACERO GALV. 6,4M X 88,90MM X 3,6MM SIN BRIDA P. A.P. Y/O L.A.B.T. P.ZONAS INACCESIBLES</v>
          </cell>
          <cell r="C447" t="str">
            <v>UN</v>
          </cell>
          <cell r="D447">
            <v>308.48200000000003</v>
          </cell>
        </row>
        <row r="448">
          <cell r="A448">
            <v>5347002</v>
          </cell>
          <cell r="B448" t="str">
            <v>PASTORAL AC.SAE 1009 - SAE 1010 GALV.SIMPLE 0,55/2,17/1,5"D. C/ANILLO</v>
          </cell>
          <cell r="C448" t="str">
            <v>UN</v>
          </cell>
          <cell r="D448">
            <v>50.234000000000002</v>
          </cell>
        </row>
        <row r="449">
          <cell r="A449">
            <v>5347005</v>
          </cell>
          <cell r="B449" t="str">
            <v>PASTORAL AC.GALV. SIMPLE P.S/1.0/3.0/1.5"D. C/ANILLO SCH40</v>
          </cell>
          <cell r="C449" t="str">
            <v>UN</v>
          </cell>
          <cell r="D449">
            <v>71.013999999999996</v>
          </cell>
        </row>
        <row r="450">
          <cell r="A450">
            <v>5347015</v>
          </cell>
          <cell r="B450" t="str">
            <v>PASTORAL DE ACERO GALV. PS / 0,275 / 1,17 / 1 1/2" ANG. 0 GRADOS</v>
          </cell>
          <cell r="C450" t="str">
            <v>UN</v>
          </cell>
          <cell r="D450">
            <v>29.754000000000001</v>
          </cell>
        </row>
        <row r="451">
          <cell r="A451">
            <v>5347016</v>
          </cell>
          <cell r="B451" t="str">
            <v>PASTORAL DE ACERO GALV. PS / 0,275 / 2,17 / 1 1/2" ANG. 0 GRADOS</v>
          </cell>
          <cell r="C451" t="str">
            <v>UN</v>
          </cell>
          <cell r="D451">
            <v>43.616</v>
          </cell>
        </row>
        <row r="452">
          <cell r="A452">
            <v>5347048</v>
          </cell>
          <cell r="B452" t="str">
            <v>PASTORAL AC.GALV.SIMPLE PS/3.2/3.4/1.5" D. C/ANILLO SCH40</v>
          </cell>
          <cell r="C452" t="str">
            <v>UN</v>
          </cell>
          <cell r="D452">
            <v>130.14500000000001</v>
          </cell>
        </row>
        <row r="453">
          <cell r="A453">
            <v>5347088</v>
          </cell>
          <cell r="B453" t="str">
            <v>PASTORAL AO. GO. SIMPLE PS/1.5M./2.5M./1.5"DIAMETRO C/ANILLO</v>
          </cell>
          <cell r="C453" t="str">
            <v>UN</v>
          </cell>
          <cell r="D453">
            <v>67.656999999999996</v>
          </cell>
        </row>
        <row r="454">
          <cell r="A454">
            <v>5347090</v>
          </cell>
          <cell r="B454" t="str">
            <v>PASTORAL AO. GO. SIMPLE PS/1.5M./3.0M./1.5"DIAMETRO SCHEDULE 40  C/ANILLO</v>
          </cell>
          <cell r="C454" t="str">
            <v>UN</v>
          </cell>
          <cell r="D454">
            <v>80.867000000000004</v>
          </cell>
        </row>
        <row r="455">
          <cell r="A455">
            <v>5347206</v>
          </cell>
          <cell r="B455" t="str">
            <v>PASTORAL AC GO. SIMPLE PS/0,55/1,17/1.5"D</v>
          </cell>
          <cell r="C455" t="str">
            <v>UN</v>
          </cell>
          <cell r="D455">
            <v>36.890999999999998</v>
          </cell>
        </row>
        <row r="456">
          <cell r="A456">
            <v>5347212</v>
          </cell>
          <cell r="B456" t="str">
            <v>PASTORAL AC.GALV.SIMPLE PS/1 89/1 74/1.5 D. SCH 40."</v>
          </cell>
          <cell r="C456" t="str">
            <v>UN</v>
          </cell>
          <cell r="D456">
            <v>54.67</v>
          </cell>
        </row>
        <row r="457">
          <cell r="A457">
            <v>5411010</v>
          </cell>
          <cell r="B457" t="str">
            <v>CONECTOR CUÑA.TP.MINIW.CU.16/1.5-6MM2</v>
          </cell>
          <cell r="C457" t="str">
            <v>UN</v>
          </cell>
          <cell r="D457">
            <v>6.0339999999999998</v>
          </cell>
        </row>
        <row r="458">
          <cell r="A458">
            <v>5411011</v>
          </cell>
          <cell r="B458" t="str">
            <v>CONECTOR CUÑA.TP.MINIW.CU.16/10MM2</v>
          </cell>
          <cell r="C458" t="str">
            <v>UN</v>
          </cell>
          <cell r="D458">
            <v>5.8810000000000002</v>
          </cell>
        </row>
        <row r="459">
          <cell r="A459">
            <v>5411014</v>
          </cell>
          <cell r="B459" t="str">
            <v>CONECTOR CUÑA.TP.MINIW.CU.35/10MM2</v>
          </cell>
          <cell r="C459" t="str">
            <v>UN</v>
          </cell>
          <cell r="D459">
            <v>7.2210000000000001</v>
          </cell>
        </row>
        <row r="460">
          <cell r="A460">
            <v>5411015</v>
          </cell>
          <cell r="B460" t="str">
            <v>CONECTOR DERIV.TP.CUNA MINIW. AA 35/CU 1.5-6 MMM2.</v>
          </cell>
          <cell r="C460" t="str">
            <v>UN</v>
          </cell>
          <cell r="D460">
            <v>6.7770000000000001</v>
          </cell>
        </row>
        <row r="461">
          <cell r="A461">
            <v>5411016</v>
          </cell>
          <cell r="B461" t="str">
            <v>CONECTOR DERIV.TIPO CU?A AL 50/CU 10MM2, BIMETALICO, MINIWEDGE.</v>
          </cell>
          <cell r="C461" t="str">
            <v>UN</v>
          </cell>
          <cell r="D461">
            <v>7.2640000000000002</v>
          </cell>
        </row>
        <row r="462">
          <cell r="A462">
            <v>5411018</v>
          </cell>
          <cell r="B462" t="str">
            <v>CONECTOR CUÑA.TP.MINIW.CU.70/10MM2</v>
          </cell>
          <cell r="C462" t="str">
            <v>UN</v>
          </cell>
          <cell r="D462">
            <v>7.2530000000000001</v>
          </cell>
        </row>
        <row r="463">
          <cell r="A463">
            <v>5411019</v>
          </cell>
          <cell r="B463" t="str">
            <v>CONECTOR CUÑA.TP.MINIW.CU.70/1.5-6MM2</v>
          </cell>
          <cell r="C463" t="str">
            <v>UN</v>
          </cell>
          <cell r="D463">
            <v>8.8369999999999997</v>
          </cell>
        </row>
        <row r="464">
          <cell r="A464">
            <v>5411022</v>
          </cell>
          <cell r="B464" t="str">
            <v>CONECTOR CUÑA.TP.MINIW.CU.35/16MM2</v>
          </cell>
          <cell r="C464" t="str">
            <v>UN</v>
          </cell>
          <cell r="D464">
            <v>6.7359999999999998</v>
          </cell>
        </row>
        <row r="465">
          <cell r="A465">
            <v>5411024</v>
          </cell>
          <cell r="B465" t="str">
            <v>CONECTOR DERIV.TIPO CU?A AL 50-70/CU-AL 16MM2, BIMETALICO, MINIWEDGE.</v>
          </cell>
          <cell r="C465" t="str">
            <v>UN</v>
          </cell>
          <cell r="D465">
            <v>5.9550000000000001</v>
          </cell>
        </row>
        <row r="466">
          <cell r="A466">
            <v>5411028</v>
          </cell>
          <cell r="B466" t="str">
            <v>CONECTOR CUÑA.TP.MINIW.CU.35/25MM2</v>
          </cell>
          <cell r="C466" t="str">
            <v>UN</v>
          </cell>
          <cell r="D466">
            <v>6.9729999999999999</v>
          </cell>
        </row>
        <row r="467">
          <cell r="A467">
            <v>5411030</v>
          </cell>
          <cell r="B467" t="str">
            <v>CONECTOR CUÑA.TP.MINIW.CU.50-70/25MM2</v>
          </cell>
          <cell r="C467" t="str">
            <v>UN</v>
          </cell>
          <cell r="D467">
            <v>6.694</v>
          </cell>
        </row>
        <row r="468">
          <cell r="A468">
            <v>5411032</v>
          </cell>
          <cell r="B468" t="str">
            <v>CONECTOR CUÑA.TP.MINIW.CU.16/16MM2</v>
          </cell>
          <cell r="C468" t="str">
            <v>UN</v>
          </cell>
          <cell r="D468">
            <v>6.8280000000000003</v>
          </cell>
        </row>
        <row r="469">
          <cell r="A469">
            <v>5411034</v>
          </cell>
          <cell r="B469" t="str">
            <v>CONECTOR CUÑA.TP.MINIW.CU.35/35MM2</v>
          </cell>
          <cell r="C469" t="str">
            <v>UN</v>
          </cell>
          <cell r="D469">
            <v>7.4850000000000003</v>
          </cell>
        </row>
        <row r="470">
          <cell r="A470">
            <v>5411036</v>
          </cell>
          <cell r="B470" t="str">
            <v>CONECTOR CUÑA.TP.MINIW.CU.50-70/35-50MM2</v>
          </cell>
          <cell r="C470" t="str">
            <v>UN</v>
          </cell>
          <cell r="D470">
            <v>8.0530000000000008</v>
          </cell>
        </row>
        <row r="471">
          <cell r="A471">
            <v>5411038</v>
          </cell>
          <cell r="B471" t="str">
            <v>CONECTOR DERIV.TIPO CU?A AL 70/AL 50MM2, MINIWEDGE.</v>
          </cell>
          <cell r="C471" t="str">
            <v>UN</v>
          </cell>
          <cell r="D471">
            <v>7.0110000000000001</v>
          </cell>
        </row>
        <row r="472">
          <cell r="A472">
            <v>5411040</v>
          </cell>
          <cell r="B472" t="str">
            <v>CONECTOR CUÑA.TP.MINIW.CU.70/70MM2</v>
          </cell>
          <cell r="C472" t="str">
            <v>UN</v>
          </cell>
          <cell r="D472">
            <v>8.1809999999999992</v>
          </cell>
        </row>
        <row r="473">
          <cell r="A473">
            <v>5411042</v>
          </cell>
          <cell r="B473" t="str">
            <v>CONEC. CUÑA. TP. MINIW. CU. 120/1.5-6MM2</v>
          </cell>
          <cell r="C473" t="str">
            <v>UN</v>
          </cell>
          <cell r="D473">
            <v>8.5419999999999998</v>
          </cell>
        </row>
        <row r="474">
          <cell r="A474">
            <v>5411043</v>
          </cell>
          <cell r="B474" t="str">
            <v>CONEC. CUÑA TP. MINIW. CU. 120/10MM2</v>
          </cell>
          <cell r="C474" t="str">
            <v>UN</v>
          </cell>
          <cell r="D474">
            <v>8.8659999999999997</v>
          </cell>
        </row>
        <row r="475">
          <cell r="A475">
            <v>5411046</v>
          </cell>
          <cell r="B475" t="str">
            <v>CONEC. CUÑA TP. MINIW. CU. 120/35MM2</v>
          </cell>
          <cell r="C475" t="str">
            <v>UN</v>
          </cell>
          <cell r="D475">
            <v>9.94</v>
          </cell>
        </row>
        <row r="476">
          <cell r="A476">
            <v>5411048</v>
          </cell>
          <cell r="B476" t="str">
            <v>CONEC. CUÑA TP. MINIW. CU. 120/70MM2</v>
          </cell>
          <cell r="C476" t="str">
            <v>UN</v>
          </cell>
          <cell r="D476">
            <v>9.7880000000000003</v>
          </cell>
        </row>
        <row r="477">
          <cell r="A477">
            <v>5411050</v>
          </cell>
          <cell r="B477" t="str">
            <v>CONECTOR DE DERIVACION DE COBRE ESTAÑADO TP.CUÑA P.CONDUCTOR DE COBRE 25 - 35 / 16 - 25MM2</v>
          </cell>
          <cell r="C477" t="str">
            <v>UN</v>
          </cell>
          <cell r="D477">
            <v>4.9080000000000004</v>
          </cell>
        </row>
        <row r="478">
          <cell r="A478">
            <v>5411052</v>
          </cell>
          <cell r="B478" t="str">
            <v>CONECTOR DE DERIVACION DE COBRE ESTAÑADO TP.CUÑA P.CONDUCTOR DE COBRE 16 - 25 / 10 - 16MM2</v>
          </cell>
          <cell r="C478" t="str">
            <v>UN</v>
          </cell>
          <cell r="D478">
            <v>2.8820000000000001</v>
          </cell>
        </row>
        <row r="479">
          <cell r="A479">
            <v>5411054</v>
          </cell>
          <cell r="B479" t="str">
            <v>CONECTOR DE DERIVACION DE COBRE ESTAÑADO TP.CUÑA P.CONDUCTOR DE COBRE 16 - 25 / 1,5 - 10MM2</v>
          </cell>
          <cell r="C479" t="str">
            <v>UN</v>
          </cell>
          <cell r="D479">
            <v>1.587</v>
          </cell>
        </row>
        <row r="480">
          <cell r="A480">
            <v>5411056</v>
          </cell>
          <cell r="B480" t="str">
            <v>CONECTOR DE DERIVACION DE COBRE ESTAÑADO TP.CUÑA P.CONDUCTOR DE COBRE 10 - 16 / 1,5 - 10MM2</v>
          </cell>
          <cell r="C480" t="str">
            <v>UN</v>
          </cell>
          <cell r="D480">
            <v>1.46</v>
          </cell>
        </row>
        <row r="481">
          <cell r="A481">
            <v>5411058</v>
          </cell>
          <cell r="B481" t="str">
            <v>CONECTOR DE DERIVACION DE COBRE ESTAÑADO TP.CUÑA P.CONDUCTOR DE COBRE 6 - 10 / 1,5 - 4MM2</v>
          </cell>
          <cell r="C481" t="str">
            <v>UN</v>
          </cell>
          <cell r="D481">
            <v>1.351</v>
          </cell>
        </row>
        <row r="482">
          <cell r="A482">
            <v>5411062</v>
          </cell>
          <cell r="B482" t="str">
            <v>CONECTOR DE DERIVACION DE COBRE ESTAÑADO TP.CUÑA P.CONDUCTOR DE COBRE 35 - 70 / 16 - 35MM2</v>
          </cell>
          <cell r="C482" t="str">
            <v>UN</v>
          </cell>
          <cell r="D482">
            <v>6.5019999999999998</v>
          </cell>
        </row>
        <row r="483">
          <cell r="A483">
            <v>5411064</v>
          </cell>
          <cell r="B483" t="str">
            <v>CONECTOR DE DERIVACION DE COBRE ESTAÑADO TP.CUÑA P.CONDUCTOR DE COBRE 35 - 50 / 6 - 10MM2</v>
          </cell>
          <cell r="C483" t="str">
            <v>UN</v>
          </cell>
          <cell r="D483">
            <v>5.2149999999999999</v>
          </cell>
        </row>
        <row r="484">
          <cell r="A484">
            <v>5411068</v>
          </cell>
          <cell r="B484" t="str">
            <v>CONECTOR DE DERIVACION DE COBRE ESTAÑADO TP.CUÑA P.CONDUCTOR DE COBRE 70 / 10MM2</v>
          </cell>
          <cell r="C484" t="str">
            <v>UN</v>
          </cell>
          <cell r="D484">
            <v>5.673</v>
          </cell>
        </row>
        <row r="485">
          <cell r="A485">
            <v>5411070</v>
          </cell>
          <cell r="B485" t="str">
            <v>CONECTOR DE DERIVACION DE COBRE ESTAÑADO TP.CUÑA P.CONDUCTOR DE COBRE 70 / 16MM2</v>
          </cell>
          <cell r="C485" t="str">
            <v>UN</v>
          </cell>
          <cell r="D485">
            <v>8.8480000000000008</v>
          </cell>
        </row>
        <row r="486">
          <cell r="A486">
            <v>5411072</v>
          </cell>
          <cell r="B486" t="str">
            <v>CONECTOR DE DERIVACION DE COBRE ESTAÑADO TP.CUÑA P.CONDUCTOR DE COBRE 35 / 1,5 - 2,5MM2</v>
          </cell>
          <cell r="C486" t="str">
            <v>UN</v>
          </cell>
          <cell r="D486">
            <v>5.2839999999999998</v>
          </cell>
        </row>
        <row r="487">
          <cell r="A487">
            <v>5411076</v>
          </cell>
          <cell r="B487" t="str">
            <v>CONECTOR DE DERIVACION DE COBRE ESTAÑADO TP.CUÑA P.CONDUCTOR DE COBRE 70 / 6MM2</v>
          </cell>
          <cell r="C487" t="str">
            <v>UN</v>
          </cell>
          <cell r="D487">
            <v>7.8949999999999996</v>
          </cell>
        </row>
        <row r="488">
          <cell r="A488">
            <v>5411132</v>
          </cell>
          <cell r="B488" t="str">
            <v>CONECTOR DE DERIVACION A COMPRESION TIPO G P.CONDUCTOR DE COBRE 16-35 / 16-35MM2 P.RED AEREA</v>
          </cell>
          <cell r="C488" t="str">
            <v>UN</v>
          </cell>
          <cell r="D488">
            <v>9.5950000000000006</v>
          </cell>
        </row>
        <row r="489">
          <cell r="A489">
            <v>5411142</v>
          </cell>
          <cell r="B489" t="str">
            <v>CONECTOR DE DERIVACION A COMPRESION TIPO G P.CONDUCTOR DE COBRE 70 / 70MM2 P.RED AEREA</v>
          </cell>
          <cell r="C489" t="str">
            <v>UN</v>
          </cell>
          <cell r="D489">
            <v>11.444000000000001</v>
          </cell>
        </row>
        <row r="490">
          <cell r="A490">
            <v>5411148</v>
          </cell>
          <cell r="B490" t="str">
            <v>CONECTOR DERIV.COMPR.TP.G AA125/AA-CU.107 A 185MM2</v>
          </cell>
          <cell r="C490" t="str">
            <v>UN</v>
          </cell>
          <cell r="D490">
            <v>12.853999999999999</v>
          </cell>
        </row>
        <row r="491">
          <cell r="A491">
            <v>5411162</v>
          </cell>
          <cell r="B491" t="str">
            <v>CONECTOR BIMETALICO DE DERIVACION A COMPRESION TIPO H P.CONDUCTOR 16-35/16-35MM2 P.RED AEREA.</v>
          </cell>
          <cell r="C491" t="str">
            <v>UN</v>
          </cell>
          <cell r="D491">
            <v>1.72</v>
          </cell>
        </row>
        <row r="492">
          <cell r="A492">
            <v>5411164</v>
          </cell>
          <cell r="B492" t="str">
            <v>CONECTOR BIMETALICO DE DERIVACION A COMPRESION TIPO H P.CONDUCTOR 35-50 / 16-35MM2 P.RED AEREA</v>
          </cell>
          <cell r="C492" t="str">
            <v>UN</v>
          </cell>
          <cell r="D492">
            <v>1.496</v>
          </cell>
        </row>
        <row r="493">
          <cell r="A493">
            <v>5411166</v>
          </cell>
          <cell r="B493" t="str">
            <v>CONECTOR BIMETALICO DE DERIVACION A COMPRESION TIPO H P.CONDUCTOR 70 / 16-35MM2 P.RED AEREA</v>
          </cell>
          <cell r="C493" t="str">
            <v>UN</v>
          </cell>
          <cell r="D493">
            <v>2.161</v>
          </cell>
        </row>
        <row r="494">
          <cell r="A494">
            <v>5411168</v>
          </cell>
          <cell r="B494" t="str">
            <v>CONECTOR BIMETALICO DE DERIVACION A COMPRESION TIPO H P.CONDUCTOR 70 / 50-70MM2 P.RED AEREA</v>
          </cell>
          <cell r="C494" t="str">
            <v>UN</v>
          </cell>
          <cell r="D494">
            <v>2.2200000000000002</v>
          </cell>
        </row>
        <row r="495">
          <cell r="A495">
            <v>5411172</v>
          </cell>
          <cell r="B495" t="str">
            <v>CONECTOR BIMETALICO DE DERIVACION A COMPRESION TIPO H P.CONDUCTOR 120-185/16-70MM2 P.RED AEREA</v>
          </cell>
          <cell r="C495" t="str">
            <v>UN</v>
          </cell>
          <cell r="D495">
            <v>5.415</v>
          </cell>
        </row>
        <row r="496">
          <cell r="A496">
            <v>5411176</v>
          </cell>
          <cell r="B496" t="str">
            <v>CONECTOR BIMETALICO DE DERIVACION A COMPRESION TIPO H P.CONDUCTOR 120-185 / 120-185MM2 P.RED AEREA</v>
          </cell>
          <cell r="C496" t="str">
            <v>UN</v>
          </cell>
          <cell r="D496">
            <v>8.0060000000000002</v>
          </cell>
        </row>
        <row r="497">
          <cell r="A497">
            <v>5411302</v>
          </cell>
          <cell r="B497" t="str">
            <v>CONECTOR DE DERIVACION DE ALEACION DE ALUMINIO TP.CUÑA P.CONDUCTOR AL 70MM2 / AL - CU 35MM2</v>
          </cell>
          <cell r="C497" t="str">
            <v>UN</v>
          </cell>
          <cell r="D497">
            <v>16.507000000000001</v>
          </cell>
        </row>
        <row r="498">
          <cell r="A498">
            <v>5411303</v>
          </cell>
          <cell r="B498" t="str">
            <v>CONECTOR DE DERIVACION DE ALEACION DE ALUMINIO TP.CUÑA P.CONDUCTOR AL 70-120MM2 / AL - CU 35-70MM2</v>
          </cell>
          <cell r="C498" t="str">
            <v>UN</v>
          </cell>
          <cell r="D498">
            <v>17.526</v>
          </cell>
        </row>
        <row r="499">
          <cell r="A499">
            <v>5411366</v>
          </cell>
          <cell r="B499" t="str">
            <v>CONEC. CUÑA TP. MINIW. CU. 95/35MM2</v>
          </cell>
          <cell r="C499" t="str">
            <v>UN</v>
          </cell>
          <cell r="D499">
            <v>8.2189999999999994</v>
          </cell>
        </row>
        <row r="500">
          <cell r="A500">
            <v>5411514</v>
          </cell>
          <cell r="B500" t="str">
            <v>CONECTOR BIMET.FORRADO TP.PERFORACION / PIERCING P.COND.CU - AL 10 - 35 / 1,5 - 6MM2 FASE AISL.</v>
          </cell>
          <cell r="C500" t="str">
            <v>UN</v>
          </cell>
          <cell r="D500">
            <v>2.944</v>
          </cell>
        </row>
        <row r="501">
          <cell r="A501">
            <v>5411518</v>
          </cell>
          <cell r="B501" t="str">
            <v>CONECTOR BIMET.FORRADO TP.PERFORACION / PIERCING P.COND.CU - AL 70 / 1,5 - 6MM2 FASE AISL.</v>
          </cell>
          <cell r="C501" t="str">
            <v>UN</v>
          </cell>
          <cell r="D501">
            <v>4.8529999999999998</v>
          </cell>
        </row>
        <row r="502">
          <cell r="A502">
            <v>5411524</v>
          </cell>
          <cell r="B502" t="str">
            <v>CONECTOR BIMET.FORRADO TP.PERFORACION / PIERCING P.COND.CU - AL 25 - 70 / 10 - 35MM2 FASE AISL.</v>
          </cell>
          <cell r="C502" t="str">
            <v>UN</v>
          </cell>
          <cell r="D502">
            <v>4.9610000000000003</v>
          </cell>
        </row>
        <row r="503">
          <cell r="A503">
            <v>5411528</v>
          </cell>
          <cell r="B503" t="str">
            <v>CONECTOR BIMET.FORRADO TP.PERFORACION / PIERCING P.COND.CU - AL 16 / 10MM2 FASE AISL.</v>
          </cell>
          <cell r="C503" t="str">
            <v>UN</v>
          </cell>
          <cell r="D503">
            <v>3.2650000000000001</v>
          </cell>
        </row>
        <row r="504">
          <cell r="A504">
            <v>5411534</v>
          </cell>
          <cell r="B504" t="str">
            <v>CONECTOR BIMET.FORRADO TP.PERFORACION / PIERCING P.COND.CU - AL 25 - 70 / 25 - 70MM2 FASE AISL.</v>
          </cell>
          <cell r="C504" t="str">
            <v>UN</v>
          </cell>
          <cell r="D504">
            <v>10.156000000000001</v>
          </cell>
        </row>
        <row r="505">
          <cell r="A505">
            <v>5412140</v>
          </cell>
          <cell r="B505" t="str">
            <v>UNION TUBULAR A COMPRESION P.CABLES AA 120MM2 MT.</v>
          </cell>
          <cell r="C505" t="str">
            <v>UN</v>
          </cell>
          <cell r="D505">
            <v>32.158999999999999</v>
          </cell>
        </row>
        <row r="506">
          <cell r="A506">
            <v>5412304</v>
          </cell>
          <cell r="B506" t="str">
            <v>UNION TUBULAR COMPRESION CU.P.CU.16MM2.</v>
          </cell>
          <cell r="C506" t="str">
            <v>UN</v>
          </cell>
          <cell r="D506">
            <v>5.8890000000000002</v>
          </cell>
        </row>
        <row r="507">
          <cell r="A507">
            <v>5412539</v>
          </cell>
          <cell r="B507" t="str">
            <v>UNION P.EMPALME AUTOMATICO P.CONDUCTOR AAAC 70MM2</v>
          </cell>
          <cell r="C507" t="str">
            <v>UN</v>
          </cell>
          <cell r="D507">
            <v>45.545000000000002</v>
          </cell>
        </row>
        <row r="508">
          <cell r="A508">
            <v>5412540</v>
          </cell>
          <cell r="B508" t="str">
            <v>UNION P.EMPALME AUTOMATICO P.CONDUCTOR AAAC 120MM2</v>
          </cell>
          <cell r="C508" t="str">
            <v>UN</v>
          </cell>
          <cell r="D508">
            <v>52.305</v>
          </cell>
        </row>
        <row r="509">
          <cell r="A509">
            <v>5412545</v>
          </cell>
          <cell r="B509" t="str">
            <v>UNION P.EMPALME AUTOMATICO P.CONDUCTOR AAAC 35MM2</v>
          </cell>
          <cell r="C509" t="str">
            <v>UN</v>
          </cell>
          <cell r="D509">
            <v>21.538</v>
          </cell>
        </row>
        <row r="510">
          <cell r="A510">
            <v>5414762</v>
          </cell>
          <cell r="B510" t="str">
            <v>CUBIERTA AISLANTE DE PROTECCION P.CONDUCTOR AEREO DESNUDO 4 - 25MM DIAM. CL.15KV</v>
          </cell>
          <cell r="C510" t="str">
            <v>UN</v>
          </cell>
          <cell r="D510">
            <v>195.70500000000001</v>
          </cell>
        </row>
        <row r="511">
          <cell r="A511">
            <v>5419109</v>
          </cell>
          <cell r="B511" t="str">
            <v>AMARRE SIMPLE DE ALUMINIO 4 AWG 1000MM LONG. P.AISLADOR PIN C.CONDUCTOR ALUMINIO HASTA 70MM2 EN M.T.</v>
          </cell>
          <cell r="C511" t="str">
            <v>UN</v>
          </cell>
          <cell r="D511">
            <v>1.6619999999999999</v>
          </cell>
        </row>
        <row r="512">
          <cell r="A512">
            <v>5419116</v>
          </cell>
          <cell r="B512" t="str">
            <v>AMARRE DOBLE DE ALUMINIO 4 AWG 1800MM LONG. P.AISLADOR PIN C.CONDUCTOR ALUMINIO MAYOR A 70MM2 EN M.T</v>
          </cell>
          <cell r="C512" t="str">
            <v>UN</v>
          </cell>
          <cell r="D512">
            <v>4.0279999999999996</v>
          </cell>
        </row>
        <row r="513">
          <cell r="A513">
            <v>5419120</v>
          </cell>
          <cell r="B513" t="str">
            <v>AMARRE PREFORMADO P.SUJECION CABLE DE VIENTO DE ACERO GALV. 5/16" DIAM. CLASE C</v>
          </cell>
          <cell r="C513" t="str">
            <v>UN</v>
          </cell>
          <cell r="D513">
            <v>6.5209999999999999</v>
          </cell>
        </row>
        <row r="514">
          <cell r="A514">
            <v>5419822</v>
          </cell>
          <cell r="B514" t="str">
            <v>VARILLA DE ARMAR PREFORMADO DE ALEACION DE ALUMINIO P.CONDUCTOR AAAC 120MM2</v>
          </cell>
          <cell r="C514" t="str">
            <v>UN</v>
          </cell>
          <cell r="D514">
            <v>79.027000000000001</v>
          </cell>
        </row>
        <row r="515">
          <cell r="A515">
            <v>5419826</v>
          </cell>
          <cell r="B515" t="str">
            <v>VARILLA DE ARMAR PREFORMADO DE ALEACION DE ALUMINIO P.CONDUCTOR AAAC 185MM2</v>
          </cell>
          <cell r="C515" t="str">
            <v>UN</v>
          </cell>
          <cell r="D515">
            <v>61.343000000000004</v>
          </cell>
        </row>
        <row r="516">
          <cell r="A516">
            <v>5421226</v>
          </cell>
          <cell r="B516" t="str">
            <v>GRAPA SUSPENS.DE ALEAC.AL.P.COND.120MM2.C/VAR.ARMADO.</v>
          </cell>
          <cell r="C516" t="str">
            <v>UN</v>
          </cell>
          <cell r="D516">
            <v>41.552</v>
          </cell>
        </row>
        <row r="517">
          <cell r="A517">
            <v>5421236</v>
          </cell>
          <cell r="B517" t="str">
            <v>GRAPA SUSPENS. DE ALEAC.AL.P.COND.185MM2. C/VAR. ARMADO.</v>
          </cell>
          <cell r="C517" t="str">
            <v>UN</v>
          </cell>
          <cell r="D517">
            <v>38.905999999999999</v>
          </cell>
        </row>
        <row r="518">
          <cell r="A518">
            <v>5421420</v>
          </cell>
          <cell r="B518" t="str">
            <v>GRAPA SUSPENSION HO.GALV.P.CONDUC.CU.16/70MM2.</v>
          </cell>
          <cell r="C518" t="str">
            <v>UN</v>
          </cell>
          <cell r="D518">
            <v>35.774000000000001</v>
          </cell>
        </row>
        <row r="519">
          <cell r="A519">
            <v>5422364</v>
          </cell>
          <cell r="B519" t="str">
            <v>GRAPA DE UNA VIA CON 2 PERNOS GALV.CALIENTE</v>
          </cell>
          <cell r="C519" t="str">
            <v>UN</v>
          </cell>
          <cell r="D519">
            <v>5.2729999999999997</v>
          </cell>
        </row>
        <row r="520">
          <cell r="A520">
            <v>5422366</v>
          </cell>
          <cell r="B520" t="str">
            <v>GRAPA DE DOS VIAS CON 2 PERNOS GALV.CALIENTE</v>
          </cell>
          <cell r="C520" t="str">
            <v>UN</v>
          </cell>
          <cell r="D520">
            <v>5.26</v>
          </cell>
        </row>
        <row r="521">
          <cell r="A521">
            <v>5423232</v>
          </cell>
          <cell r="B521" t="str">
            <v>GRAPA DE ANCLAJE TP.PISTOLA DE ALEACION DE ALUMINIO P.CONDUCTOR AAAC 70MM2</v>
          </cell>
          <cell r="C521" t="str">
            <v>UN</v>
          </cell>
          <cell r="D521">
            <v>19.719000000000001</v>
          </cell>
        </row>
        <row r="522">
          <cell r="A522">
            <v>5423260</v>
          </cell>
          <cell r="B522" t="str">
            <v>GRAPA DE ANCLAJE TP.PISTOLA DE ALEACION DE ALUMINIO P.CONDUCTOR AAAC 185MM2</v>
          </cell>
          <cell r="C522" t="str">
            <v>UN</v>
          </cell>
          <cell r="D522">
            <v>36.811</v>
          </cell>
        </row>
        <row r="523">
          <cell r="A523">
            <v>5423438</v>
          </cell>
          <cell r="B523" t="str">
            <v>GRAPA DE ANCLAJE TP.PISTOLA DE ACERO GALV. P.CONDUCTOR CU 16 - 70MM2</v>
          </cell>
          <cell r="C523" t="str">
            <v>UN</v>
          </cell>
          <cell r="D523">
            <v>58.411999999999999</v>
          </cell>
        </row>
        <row r="524">
          <cell r="A524">
            <v>5441220</v>
          </cell>
          <cell r="B524" t="str">
            <v>GRILLETE DE ACERO GALV. 5/8" 82KN C.PIN Y PASADOR DE SEGURIDAD</v>
          </cell>
          <cell r="C524" t="str">
            <v>UN</v>
          </cell>
          <cell r="D524">
            <v>6.4960000000000004</v>
          </cell>
        </row>
        <row r="525">
          <cell r="A525">
            <v>5441620</v>
          </cell>
          <cell r="B525" t="str">
            <v>ESLABON DOBLE TP.8 GIRATORIO DE ACERO GALV. P.FIJAR CONDUCTORES A AISLADORES EN LINEAS AREAS M.T.</v>
          </cell>
          <cell r="C525" t="str">
            <v>UN</v>
          </cell>
          <cell r="D525">
            <v>9.6579999999999995</v>
          </cell>
        </row>
        <row r="526">
          <cell r="A526">
            <v>5461238</v>
          </cell>
          <cell r="B526" t="str">
            <v>ARANDELA CUADRADA PLANA DE ACERO GALV. 55 X 55 X 4,5MM C.AGUJERO 17,5MM DIAM</v>
          </cell>
          <cell r="C526" t="str">
            <v>UN</v>
          </cell>
          <cell r="D526">
            <v>0.57099999999999995</v>
          </cell>
        </row>
        <row r="527">
          <cell r="A527">
            <v>5461504</v>
          </cell>
          <cell r="B527" t="str">
            <v>ARANDELA CUADRADA CURVA DE ACERO GALV. 40 X 40 X 5MM C.AGUJERO 14MM DIAM</v>
          </cell>
          <cell r="C527" t="str">
            <v>UN</v>
          </cell>
          <cell r="D527">
            <v>0.59499999999999997</v>
          </cell>
        </row>
        <row r="528">
          <cell r="A528">
            <v>5461510</v>
          </cell>
          <cell r="B528" t="str">
            <v>ARANDELA CUADRADA CURVA DE ACERO GALV. 55 X 55 X 5MM C.AGUJERO 17,5MM DIAM</v>
          </cell>
          <cell r="C528" t="str">
            <v>UN</v>
          </cell>
          <cell r="D528">
            <v>0.63100000000000001</v>
          </cell>
        </row>
        <row r="529">
          <cell r="A529">
            <v>5461536</v>
          </cell>
          <cell r="B529" t="str">
            <v>ARANDELA CUADRADA CURVA DE ACERO GALV. 75 X 75 X 4,5MM C.AGUJERO 17,5MM DIAM</v>
          </cell>
          <cell r="C529" t="str">
            <v>UN</v>
          </cell>
          <cell r="D529">
            <v>1.056</v>
          </cell>
        </row>
        <row r="530">
          <cell r="A530">
            <v>5462140</v>
          </cell>
          <cell r="B530" t="str">
            <v>SOPORTE PASANTE ACERO GALV. 350MM LONG. 1 3/8" DIAM. P.AISLADORES TP.PIN C.ACCESORIOS</v>
          </cell>
          <cell r="C530" t="str">
            <v>UN</v>
          </cell>
          <cell r="D530">
            <v>16.693000000000001</v>
          </cell>
        </row>
        <row r="531">
          <cell r="A531">
            <v>5462145</v>
          </cell>
          <cell r="B531" t="str">
            <v>SOPORTE PASANTE ACERO GALV. 201MM LONG. 19MM / 3/4" DIAM. P.AISLADORES TP.PIN C.ACCESORIOS</v>
          </cell>
          <cell r="C531" t="str">
            <v>UN</v>
          </cell>
          <cell r="D531">
            <v>12.686999999999999</v>
          </cell>
        </row>
        <row r="532">
          <cell r="A532">
            <v>5462146</v>
          </cell>
          <cell r="B532" t="str">
            <v>SOPORTE METALICO PASANTE DE ACERO PARA AISLADOR POLIMERICO TIPO PIN DE 22,9 KV</v>
          </cell>
          <cell r="C532" t="str">
            <v>UN</v>
          </cell>
          <cell r="D532">
            <v>12.223000000000001</v>
          </cell>
        </row>
        <row r="533">
          <cell r="A533">
            <v>5462245</v>
          </cell>
          <cell r="B533" t="str">
            <v>SOPORTE LATERAL PARA AISLADOR  HIBRIDO PIN 10KV.</v>
          </cell>
          <cell r="C533" t="str">
            <v>UN</v>
          </cell>
          <cell r="D533">
            <v>18.754000000000001</v>
          </cell>
        </row>
        <row r="534">
          <cell r="A534">
            <v>5462246</v>
          </cell>
          <cell r="B534" t="str">
            <v>SOPORTE LATERAL DE ACERO GALV. P.AISLADOR TP.PIN HIBRIDO O POLIMERICO 22,9KV</v>
          </cell>
          <cell r="C534" t="str">
            <v>UN</v>
          </cell>
          <cell r="D534">
            <v>17.524999999999999</v>
          </cell>
        </row>
        <row r="535">
          <cell r="A535">
            <v>5463110</v>
          </cell>
          <cell r="B535" t="str">
            <v>VARILLA ROSCADA AC.GALV. 16MMD. X 250MML. L.AEREAS.</v>
          </cell>
          <cell r="C535" t="str">
            <v>UN</v>
          </cell>
          <cell r="D535">
            <v>2.9020000000000001</v>
          </cell>
        </row>
        <row r="536">
          <cell r="A536">
            <v>5463112</v>
          </cell>
          <cell r="B536" t="str">
            <v>VARILLA ROSCADA AC.GALV. 16MMD. X 300MML. L.AEREAS.</v>
          </cell>
          <cell r="C536" t="str">
            <v>UN</v>
          </cell>
          <cell r="D536">
            <v>3.6080000000000001</v>
          </cell>
        </row>
        <row r="537">
          <cell r="A537">
            <v>5463114</v>
          </cell>
          <cell r="B537" t="str">
            <v>VARILLA ROSCADA AC.GALV. 16MMD. X 350MML. L.AEREAS.</v>
          </cell>
          <cell r="C537" t="str">
            <v>UN</v>
          </cell>
          <cell r="D537">
            <v>3.98</v>
          </cell>
        </row>
        <row r="538">
          <cell r="A538">
            <v>5463116</v>
          </cell>
          <cell r="B538" t="str">
            <v>VARILLA ROSCADA AC.GALV. 16MMD. X 400MML. L.AEREAS.</v>
          </cell>
          <cell r="C538" t="str">
            <v>UN</v>
          </cell>
          <cell r="D538">
            <v>4.742</v>
          </cell>
        </row>
        <row r="539">
          <cell r="A539">
            <v>5463118</v>
          </cell>
          <cell r="B539" t="str">
            <v>VARILLA ROSCADA AC.GALV. 16MMD. X 450MML. L.AEREAS.</v>
          </cell>
          <cell r="C539" t="str">
            <v>UN</v>
          </cell>
          <cell r="D539">
            <v>4.7050000000000001</v>
          </cell>
        </row>
        <row r="540">
          <cell r="A540">
            <v>5463120</v>
          </cell>
          <cell r="B540" t="str">
            <v>VARILLA ROSCADA AC. GALV. 16MMD. X 500MML. AEREAS</v>
          </cell>
          <cell r="C540" t="str">
            <v>UN</v>
          </cell>
          <cell r="D540">
            <v>5.1159999999999997</v>
          </cell>
        </row>
        <row r="541">
          <cell r="A541">
            <v>5463122</v>
          </cell>
          <cell r="B541" t="str">
            <v>VARILLA ROSCADA AC.GALV. 16MMD. X 550MML. L.AEREAS.</v>
          </cell>
          <cell r="C541" t="str">
            <v>UN</v>
          </cell>
          <cell r="D541">
            <v>5.452</v>
          </cell>
        </row>
        <row r="542">
          <cell r="A542">
            <v>5463124</v>
          </cell>
          <cell r="B542" t="str">
            <v>VARILLA ROSCADA AC.GALV. 16MMD. X 600MML. L.AEREAS.</v>
          </cell>
          <cell r="C542" t="str">
            <v>UN</v>
          </cell>
          <cell r="D542">
            <v>6.27</v>
          </cell>
        </row>
        <row r="543">
          <cell r="A543">
            <v>5463620</v>
          </cell>
          <cell r="B543" t="str">
            <v>OJAL ROSCADO AC.GALV. DE 5/8PULG.D. X80MML. P.L.A.</v>
          </cell>
          <cell r="C543" t="str">
            <v>UN</v>
          </cell>
          <cell r="D543">
            <v>3.6970000000000001</v>
          </cell>
        </row>
        <row r="544">
          <cell r="A544">
            <v>5464101</v>
          </cell>
          <cell r="B544" t="str">
            <v>ESLABON ANGULAR DE ACERO GALV. 17,50MM P.ENLACE EN ESTRUCTURAS DE REDES AEREAS</v>
          </cell>
          <cell r="C544" t="str">
            <v>UN</v>
          </cell>
          <cell r="D544">
            <v>6.3860000000000001</v>
          </cell>
        </row>
        <row r="545">
          <cell r="A545">
            <v>5464110</v>
          </cell>
          <cell r="B545" t="str">
            <v>GANCHO FIN DE LINEA/ANGULO DERIV.3/4 D.X300MM.L."</v>
          </cell>
          <cell r="C545" t="str">
            <v>UN</v>
          </cell>
          <cell r="D545">
            <v>9.4090000000000007</v>
          </cell>
        </row>
        <row r="546">
          <cell r="A546">
            <v>5464112</v>
          </cell>
          <cell r="B546" t="str">
            <v>GANCHO SUSP.350 MML.X3/4  D.USO CABLES AUTOSOPORT."</v>
          </cell>
          <cell r="C546" t="str">
            <v>UN</v>
          </cell>
          <cell r="D546">
            <v>20.225000000000001</v>
          </cell>
        </row>
        <row r="547">
          <cell r="A547">
            <v>5464206</v>
          </cell>
          <cell r="B547" t="str">
            <v>PERNO CON OJAL DE ACERO GALV. 5/8" X 6", ROSCA 4" C.ACCESORIOS</v>
          </cell>
          <cell r="C547" t="str">
            <v>UN</v>
          </cell>
          <cell r="D547">
            <v>9</v>
          </cell>
        </row>
        <row r="548">
          <cell r="A548">
            <v>5464210</v>
          </cell>
          <cell r="B548" t="str">
            <v>PERNO CON OJAL DE ACERO GALV. 5/8" X 10", ROSCA 6" C.ACCESORIOS</v>
          </cell>
          <cell r="C548" t="str">
            <v>UN</v>
          </cell>
          <cell r="D548">
            <v>6.0110000000000001</v>
          </cell>
        </row>
        <row r="549">
          <cell r="A549">
            <v>5464214</v>
          </cell>
          <cell r="B549" t="str">
            <v>PERNO CON OJAL DE ACERO GALV. 5/8" X 14", ROSCA 10" C.ACCESORIOS</v>
          </cell>
          <cell r="C549" t="str">
            <v>UN</v>
          </cell>
          <cell r="D549">
            <v>9.2590000000000003</v>
          </cell>
        </row>
        <row r="550">
          <cell r="A550">
            <v>5464410</v>
          </cell>
          <cell r="B550" t="str">
            <v>PERNO ANGULAR DE ACERO GALV. 5/8" X 10" ROSCA 6" C.TUERCA</v>
          </cell>
          <cell r="C550" t="str">
            <v>UN</v>
          </cell>
          <cell r="D550">
            <v>4.8</v>
          </cell>
        </row>
        <row r="551">
          <cell r="A551">
            <v>5464412</v>
          </cell>
          <cell r="B551" t="str">
            <v>PERNO ANGULAR DE ACERO GALV. 5/8" X 12" ROSCA 6" C.TUERCA</v>
          </cell>
          <cell r="C551" t="str">
            <v>UN</v>
          </cell>
          <cell r="D551">
            <v>5.9550000000000001</v>
          </cell>
        </row>
        <row r="552">
          <cell r="A552">
            <v>5464414</v>
          </cell>
          <cell r="B552" t="str">
            <v>PERNO ANGULAR DE ACERO GALV. 5/8" X 14" ROSCA 7" C.TUERCA</v>
          </cell>
          <cell r="C552" t="str">
            <v>UN</v>
          </cell>
          <cell r="D552">
            <v>5.718</v>
          </cell>
        </row>
        <row r="553">
          <cell r="A553">
            <v>5464501</v>
          </cell>
          <cell r="B553" t="str">
            <v>SOPORTE FIN DE LINEA LIVIANO AC.GALV. SAE 1020.</v>
          </cell>
          <cell r="C553" t="str">
            <v>UN</v>
          </cell>
          <cell r="D553">
            <v>3.0310000000000001</v>
          </cell>
        </row>
        <row r="554">
          <cell r="A554">
            <v>5466606</v>
          </cell>
          <cell r="B554" t="str">
            <v>PLANCHA DE COBRE P.LINEA A TIERRA C.AGUJERO 20MM DIAM.</v>
          </cell>
          <cell r="C554" t="str">
            <v>UN</v>
          </cell>
          <cell r="D554">
            <v>4.3410000000000002</v>
          </cell>
        </row>
        <row r="555">
          <cell r="A555">
            <v>5467008</v>
          </cell>
          <cell r="B555" t="str">
            <v>PERNO HO.GALV.CAB.HEXAG. 1/2" D. X 8" L. C/TUERCA</v>
          </cell>
          <cell r="C555" t="str">
            <v>UN</v>
          </cell>
          <cell r="D555">
            <v>2.1269999999999998</v>
          </cell>
        </row>
        <row r="556">
          <cell r="A556">
            <v>5467009</v>
          </cell>
          <cell r="B556" t="str">
            <v>PERNO HO.GALV.CAB.HEXAG. 1/2" D. X 9" L. C/TUERCA</v>
          </cell>
          <cell r="C556" t="str">
            <v>UN</v>
          </cell>
          <cell r="D556">
            <v>2.3340000000000001</v>
          </cell>
        </row>
        <row r="557">
          <cell r="A557">
            <v>5467010</v>
          </cell>
          <cell r="B557" t="str">
            <v>PERNO HO.GALV.CAB.HEXAG. 1/2" D. X 10" L. C/TUERCA.</v>
          </cell>
          <cell r="C557" t="str">
            <v>UN</v>
          </cell>
          <cell r="D557">
            <v>2.2890000000000001</v>
          </cell>
        </row>
        <row r="558">
          <cell r="A558">
            <v>5467012</v>
          </cell>
          <cell r="B558" t="str">
            <v>PERNO HO.GALV.CAB.HEXAG. 1/2" D. X 12" L. C/TUERCA.</v>
          </cell>
          <cell r="C558" t="str">
            <v>UN</v>
          </cell>
          <cell r="D558">
            <v>2.819</v>
          </cell>
        </row>
        <row r="559">
          <cell r="A559">
            <v>5467060</v>
          </cell>
          <cell r="B559" t="str">
            <v>PERNO DE ACERO GALV. DE CABEZA HEXAGONAL 5/8" X 10", GRADO 5</v>
          </cell>
          <cell r="C559" t="str">
            <v>UN</v>
          </cell>
          <cell r="D559">
            <v>4.3470000000000004</v>
          </cell>
        </row>
        <row r="560">
          <cell r="A560">
            <v>5467062</v>
          </cell>
          <cell r="B560" t="str">
            <v>PERNO DE ACERO GALV. DE CABEZA HEXAGONAL 5/8" X 12", GRADO 5</v>
          </cell>
          <cell r="C560" t="str">
            <v>UN</v>
          </cell>
          <cell r="D560">
            <v>4.8289999999999997</v>
          </cell>
        </row>
        <row r="561">
          <cell r="A561">
            <v>5467099</v>
          </cell>
          <cell r="B561" t="str">
            <v>BARRA C.OJO DE ANCLAJE DE ACERO GALV. 5/8" X 650MM C.ACCESORIOS P.VIENTO</v>
          </cell>
          <cell r="C561" t="str">
            <v>UN</v>
          </cell>
          <cell r="D561">
            <v>10.999000000000001</v>
          </cell>
        </row>
        <row r="562">
          <cell r="A562">
            <v>5467101</v>
          </cell>
          <cell r="B562" t="str">
            <v>BARRA C.OJO (VARILLA DOBLADA SOLDADA) DE ANCLAJE DE ACERO GALV. 5/8" X 2400MM C.ACCESORIOS P.VIENTO</v>
          </cell>
          <cell r="C562" t="str">
            <v>UN</v>
          </cell>
          <cell r="D562">
            <v>21.911000000000001</v>
          </cell>
        </row>
        <row r="563">
          <cell r="A563">
            <v>5467410</v>
          </cell>
          <cell r="B563" t="str">
            <v>PORTALINEA AC.GALV.VERT.BIF.P.AISL. 10-35MM2 TP.CARRETE.</v>
          </cell>
          <cell r="C563" t="str">
            <v>UN</v>
          </cell>
          <cell r="D563">
            <v>12.339</v>
          </cell>
        </row>
        <row r="564">
          <cell r="A564">
            <v>5467430</v>
          </cell>
          <cell r="B564" t="str">
            <v>PORTALINEA AC.GALV.VERT.TRIF.P.AISL.TP.CARRETE B.T.</v>
          </cell>
          <cell r="C564" t="str">
            <v>UN</v>
          </cell>
          <cell r="D564">
            <v>19.434000000000001</v>
          </cell>
        </row>
        <row r="565">
          <cell r="A565">
            <v>5467452</v>
          </cell>
          <cell r="B565" t="str">
            <v>PORTALINEA AC.GALV.HORIZ.SIMPL.P.AISL.10-35MM2 CARRETE B.T.</v>
          </cell>
          <cell r="C565" t="str">
            <v>UN</v>
          </cell>
          <cell r="D565">
            <v>4.6429999999999998</v>
          </cell>
        </row>
        <row r="566">
          <cell r="A566">
            <v>5467514</v>
          </cell>
          <cell r="B566" t="str">
            <v>BRAZO DE APOYO TUBULAR DE ACERO GALV. 38,10 X 1000 X 2,5MM C.ACCESORIOS P.REDES AEREAS</v>
          </cell>
          <cell r="C566" t="str">
            <v>UN</v>
          </cell>
          <cell r="D566">
            <v>28.623000000000001</v>
          </cell>
        </row>
        <row r="567">
          <cell r="A567">
            <v>5467622</v>
          </cell>
          <cell r="B567" t="str">
            <v>CANALETA PROTECTORA DE ACERO GALV. 2M LONG.P.PROTEGER TUBO 2" O 3" DIAM. EN SUBIDA O BAJADA DE CABLE</v>
          </cell>
          <cell r="C567" t="str">
            <v>UN</v>
          </cell>
          <cell r="D567">
            <v>70.960999999999999</v>
          </cell>
        </row>
        <row r="568">
          <cell r="A568">
            <v>5467624</v>
          </cell>
          <cell r="B568" t="str">
            <v>CANALETA PROTECTORA ACERO GALV. 2200MM P.PROTEGER CABLE P.VIENTO</v>
          </cell>
          <cell r="C568" t="str">
            <v>UN</v>
          </cell>
          <cell r="D568">
            <v>16.315000000000001</v>
          </cell>
        </row>
        <row r="569">
          <cell r="A569">
            <v>5467804</v>
          </cell>
          <cell r="B569" t="str">
            <v>BRAZO DE APOYO TP.VIOLIN DE ACERO GALV. 2" X 875MM C.ACCESORIOS</v>
          </cell>
          <cell r="C569" t="str">
            <v>UN</v>
          </cell>
          <cell r="D569">
            <v>29.311</v>
          </cell>
        </row>
        <row r="570">
          <cell r="A570">
            <v>5484220</v>
          </cell>
          <cell r="B570" t="str">
            <v>TEMPLADOR P.ACOMETIDA DOMICILIARIA EN L.A.DE B.T.</v>
          </cell>
          <cell r="C570" t="str">
            <v>UN</v>
          </cell>
          <cell r="D570">
            <v>1.002</v>
          </cell>
        </row>
        <row r="571">
          <cell r="A571">
            <v>5484222</v>
          </cell>
          <cell r="B571" t="str">
            <v>TEMPLADOR P. ACOMETIDA DOMICILIARIA L.A./B.T. TRIP.</v>
          </cell>
          <cell r="C571" t="str">
            <v>UN</v>
          </cell>
          <cell r="D571">
            <v>6.2169999999999996</v>
          </cell>
        </row>
        <row r="572">
          <cell r="A572">
            <v>5544622</v>
          </cell>
          <cell r="B572" t="str">
            <v>LAMPARA TUBULAR DE VAPOR DE SODIO DE ALTA PRESION 70W 220V C.CASUILLO E 27, FLUJO MEJORADO</v>
          </cell>
          <cell r="C572" t="str">
            <v>UN</v>
          </cell>
          <cell r="D572">
            <v>8.0139999999999993</v>
          </cell>
        </row>
        <row r="573">
          <cell r="A573">
            <v>5544638</v>
          </cell>
          <cell r="B573" t="str">
            <v>LAMPARA TUBULAR DE VAPOR DE SODIO DE ALTA PRESION 150W 220V C.CASUILLO E 40, FLUJO MEJORADO</v>
          </cell>
          <cell r="C573" t="str">
            <v>UN</v>
          </cell>
          <cell r="D573">
            <v>12.223000000000001</v>
          </cell>
        </row>
        <row r="574">
          <cell r="A574">
            <v>5544657</v>
          </cell>
          <cell r="B574" t="str">
            <v>LAMPARA TUBULAR DE VAPOR DE SODIO DE ALTA PRESION 250W 220V C.CASUILLO E 40, FLUJO MEJORADO</v>
          </cell>
          <cell r="C574" t="str">
            <v>UN</v>
          </cell>
          <cell r="D574">
            <v>18.771999999999998</v>
          </cell>
        </row>
        <row r="575">
          <cell r="A575">
            <v>5544667</v>
          </cell>
          <cell r="B575" t="str">
            <v>LAMPARA TUBULAR DE VAPOR DE SODIO DE ALTA PRESION 400W 220V C.CASUILLO E 40, FLUJO MEJORADO</v>
          </cell>
          <cell r="C575" t="str">
            <v>UN</v>
          </cell>
          <cell r="D575">
            <v>20.84</v>
          </cell>
        </row>
        <row r="576">
          <cell r="A576">
            <v>5564400</v>
          </cell>
          <cell r="B576" t="str">
            <v>LUMINARIA TIPO II MEDIANO HAZ SEMIRECORTADO NA 70W EQUIPADA</v>
          </cell>
          <cell r="C576" t="str">
            <v>UN</v>
          </cell>
          <cell r="D576">
            <v>113.739</v>
          </cell>
        </row>
        <row r="577">
          <cell r="A577">
            <v>5564424</v>
          </cell>
          <cell r="B577" t="str">
            <v>LUMINARIA TIPO II MEDIANO HAZ SEMIRECORTADO NA 150W EQUIPADA</v>
          </cell>
          <cell r="C577" t="str">
            <v>UN</v>
          </cell>
          <cell r="D577">
            <v>140.61600000000001</v>
          </cell>
        </row>
        <row r="578">
          <cell r="A578">
            <v>5564458</v>
          </cell>
          <cell r="B578" t="str">
            <v>LUMINARIA TIPO II MEDIANO HAZ SEMIRECORTADO NA 250W EQUIPADA</v>
          </cell>
          <cell r="C578" t="str">
            <v>UN</v>
          </cell>
          <cell r="D578">
            <v>410.15300000000002</v>
          </cell>
        </row>
        <row r="579">
          <cell r="A579">
            <v>5564463</v>
          </cell>
          <cell r="B579" t="str">
            <v>LUMINARIA TIPO III MEDIANO HAZ RECORTADO NA 400W EQUIPADA C.DISPOSITIVO ANTIHURTO</v>
          </cell>
          <cell r="C579" t="str">
            <v>UN</v>
          </cell>
          <cell r="D579">
            <v>520.81299999999999</v>
          </cell>
        </row>
        <row r="580">
          <cell r="A580">
            <v>5568129</v>
          </cell>
          <cell r="B580" t="str">
            <v>FAROLA AL TP.HAZ SEMIRECORTADO C.DIFUSOR TRANSPARENTE, BASE E-27 P.LAMPARA NA70W EQUIPADA</v>
          </cell>
          <cell r="C580" t="str">
            <v>UN</v>
          </cell>
          <cell r="D580">
            <v>193.68600000000001</v>
          </cell>
        </row>
        <row r="581">
          <cell r="A581">
            <v>5592645</v>
          </cell>
          <cell r="B581" t="str">
            <v>SEGURO TIPO CANASTILLA P.PORTAEQUIPO DE LUMINARIAS ASTRO 70W Y 150W</v>
          </cell>
          <cell r="C581" t="str">
            <v>UN</v>
          </cell>
          <cell r="D581">
            <v>22.73</v>
          </cell>
        </row>
        <row r="582">
          <cell r="A582">
            <v>5592646</v>
          </cell>
          <cell r="B582" t="str">
            <v>SEGURO TIPO CANASTILLA P.PORTAEQUIPO DE LUMINARIAS ECOM 70W Y 150W</v>
          </cell>
          <cell r="C582" t="str">
            <v>UN</v>
          </cell>
          <cell r="D582">
            <v>22.068999999999999</v>
          </cell>
        </row>
        <row r="583">
          <cell r="A583">
            <v>5592650</v>
          </cell>
          <cell r="B583" t="str">
            <v>SEGURO TIPO TAPA P.PORTAEQUIPO DE LUMINARIAS ASTRO 70W Y 150W</v>
          </cell>
          <cell r="C583" t="str">
            <v>UN</v>
          </cell>
          <cell r="D583">
            <v>19.065000000000001</v>
          </cell>
        </row>
        <row r="584">
          <cell r="A584">
            <v>5592651</v>
          </cell>
          <cell r="B584" t="str">
            <v>SEGURO TIPO TAPA P.PORTAEQUIPO DE LUMINARIAS ECOM 70W Y 150W</v>
          </cell>
          <cell r="C584" t="str">
            <v>UN</v>
          </cell>
          <cell r="D584">
            <v>18.274000000000001</v>
          </cell>
        </row>
        <row r="585">
          <cell r="A585">
            <v>5593644</v>
          </cell>
          <cell r="B585" t="str">
            <v>DIFUSOR P.LUMINARIA PHILIPS SRC-510, ACRILICO, C/JEBE</v>
          </cell>
          <cell r="C585" t="str">
            <v>UN</v>
          </cell>
          <cell r="D585">
            <v>18.638000000000002</v>
          </cell>
        </row>
        <row r="586">
          <cell r="A586">
            <v>5593645</v>
          </cell>
          <cell r="B586" t="str">
            <v>DIFUSOR P.LUMINARIA PHILIPS SRC-511, ACRILICO, C/JEBE</v>
          </cell>
          <cell r="C586" t="str">
            <v>UN</v>
          </cell>
          <cell r="D586">
            <v>26.184999999999999</v>
          </cell>
        </row>
        <row r="587">
          <cell r="A587">
            <v>5593646</v>
          </cell>
          <cell r="B587" t="str">
            <v>DIFUSOR P.LUMINARIA JOSFEL BS-83, ACRILICO, C/JEBE, CLIP Y SEGURO</v>
          </cell>
          <cell r="C587" t="str">
            <v>UN</v>
          </cell>
          <cell r="D587">
            <v>22.010999999999999</v>
          </cell>
        </row>
        <row r="588">
          <cell r="A588">
            <v>5594207</v>
          </cell>
          <cell r="B588" t="str">
            <v>DIFUSOR POLICARBONATO P.LUMINARIA PHILIPS ECOM 70 - 150W C.PLANCHA 3MM C.ACCESORIOS</v>
          </cell>
          <cell r="C588" t="str">
            <v>UN</v>
          </cell>
          <cell r="D588">
            <v>17.181000000000001</v>
          </cell>
        </row>
        <row r="589">
          <cell r="A589">
            <v>5594218</v>
          </cell>
          <cell r="B589" t="str">
            <v>DIFUSOR P.LUMINARIA PHILIPS SRC-515, ACRILICO, C/JEBE</v>
          </cell>
          <cell r="C589" t="str">
            <v>UN</v>
          </cell>
          <cell r="D589">
            <v>26.152000000000001</v>
          </cell>
        </row>
        <row r="590">
          <cell r="A590">
            <v>5594220</v>
          </cell>
          <cell r="B590" t="str">
            <v>DIFUSOR P.LUMINARIA SCHREDER AX1(70W)-AX2(150W), ACRILICO, C/JEBE, C/CLIP</v>
          </cell>
          <cell r="C590" t="str">
            <v>UN</v>
          </cell>
          <cell r="D590">
            <v>17.652000000000001</v>
          </cell>
        </row>
        <row r="591">
          <cell r="A591">
            <v>5594225</v>
          </cell>
          <cell r="B591" t="str">
            <v>DIFUSOR POLICARBONATO P.LUMINARIA JOSFEL ASTRO 70 - 150W C.PLANCHA 3MM C.ACCESORIOS</v>
          </cell>
          <cell r="C591" t="str">
            <v>UN</v>
          </cell>
          <cell r="D591">
            <v>36.319000000000003</v>
          </cell>
        </row>
        <row r="592">
          <cell r="A592">
            <v>5594230</v>
          </cell>
          <cell r="B592" t="str">
            <v>DIFUSOR DE ACRILICO P.FAROLA PHILIPS HPC / SPC 70W C.PLANCHA 4MM C.ACCESORIOS</v>
          </cell>
          <cell r="C592" t="str">
            <v>UN</v>
          </cell>
          <cell r="D592">
            <v>33.362000000000002</v>
          </cell>
        </row>
        <row r="593">
          <cell r="A593">
            <v>5611532</v>
          </cell>
          <cell r="B593" t="str">
            <v>MEDIDOR ELECTRONICO DE ENERGIA ACTIVA MONOFASICO 5(60)A 220V 3H CL.1 60HZ</v>
          </cell>
          <cell r="C593" t="str">
            <v>UN</v>
          </cell>
          <cell r="D593">
            <v>25.094999999999999</v>
          </cell>
        </row>
        <row r="594">
          <cell r="A594">
            <v>5637709</v>
          </cell>
          <cell r="B594" t="str">
            <v>MEDIDOR ELECTRONICO MULTIFUNCION TRIFASICO 2,5(20)A 120-480V 3H 2S CL.0,2 M.T. AFERIDO A 100V</v>
          </cell>
          <cell r="C594" t="str">
            <v>UN</v>
          </cell>
          <cell r="D594">
            <v>375.72</v>
          </cell>
        </row>
        <row r="595">
          <cell r="A595">
            <v>5637713</v>
          </cell>
          <cell r="B595" t="str">
            <v>MEDIDOR ELECTRONICO MULTIFUNCION TRIFASICO 2,5(20)A 120-480V 3H 2S CL.0,2 B.T. AFERIDO A 220V</v>
          </cell>
          <cell r="C595" t="str">
            <v>UN</v>
          </cell>
          <cell r="D595">
            <v>359.28399999999999</v>
          </cell>
        </row>
        <row r="596">
          <cell r="A596">
            <v>5637972</v>
          </cell>
          <cell r="B596" t="str">
            <v>MEDIDOR ELECTRONICO DE ENERGIA ACTIVA TRIFASICO 15(90)A 220V 3H 2S CL.1 60HZ</v>
          </cell>
          <cell r="C596" t="str">
            <v>UN</v>
          </cell>
          <cell r="D596">
            <v>70.284000000000006</v>
          </cell>
        </row>
        <row r="597">
          <cell r="A597">
            <v>5832181</v>
          </cell>
          <cell r="B597" t="str">
            <v>TRANSFORMADOR TRIFASICO DE DISTRIBUCION SECO TP.CONVENCIONAL C.ENVOLVENTE 200KVA 22,9 / 0,23KV YNYN6</v>
          </cell>
          <cell r="C597" t="str">
            <v>UN</v>
          </cell>
          <cell r="D597">
            <v>37346.400000000001</v>
          </cell>
        </row>
        <row r="598">
          <cell r="A598">
            <v>5911254</v>
          </cell>
          <cell r="B598" t="str">
            <v>TRANSFORMADOR DE CORRIENTE P.MEDICION S.BARRA PASANTE 200/5A 220V CL.1 10VA 60HZ</v>
          </cell>
          <cell r="C598" t="str">
            <v>UN</v>
          </cell>
          <cell r="D598">
            <v>70.082999999999998</v>
          </cell>
        </row>
        <row r="599">
          <cell r="A599">
            <v>5911260</v>
          </cell>
          <cell r="B599" t="str">
            <v>TRANSFORMADOR DE CORRIENTE P.MEDICION S.BARRA PASANTE 300/5A 220V CL.1 10VA 60HZ</v>
          </cell>
          <cell r="C599" t="str">
            <v>UN</v>
          </cell>
          <cell r="D599">
            <v>69.087999999999994</v>
          </cell>
        </row>
        <row r="600">
          <cell r="A600">
            <v>5911269</v>
          </cell>
          <cell r="B600" t="str">
            <v>TRANSFORMADOR DE CORRIENTE P.MEDICION S.BARRA PASANTE 500/5A 220V CL.1 10VA 60HZ</v>
          </cell>
          <cell r="C600" t="str">
            <v>UN</v>
          </cell>
          <cell r="D600">
            <v>70.619</v>
          </cell>
        </row>
        <row r="601">
          <cell r="A601">
            <v>5911272</v>
          </cell>
          <cell r="B601" t="str">
            <v>TRANSFORMADOR CTE.220V. 750/5A. S/BARRA PASANTE.</v>
          </cell>
          <cell r="C601" t="str">
            <v>UN</v>
          </cell>
          <cell r="D601">
            <v>79.876999999999995</v>
          </cell>
        </row>
        <row r="602">
          <cell r="A602">
            <v>5911278</v>
          </cell>
          <cell r="B602" t="str">
            <v>TRANSFORMADOR CTE.220V.1000/5A. S/BARRA PASANTE.</v>
          </cell>
          <cell r="C602" t="str">
            <v>UN</v>
          </cell>
          <cell r="D602">
            <v>81.941999999999993</v>
          </cell>
        </row>
        <row r="603">
          <cell r="A603">
            <v>5911284</v>
          </cell>
          <cell r="B603" t="str">
            <v>TRANSFORMADOR CTE.220V.2000/5A. S/BARRA PASANTE.</v>
          </cell>
          <cell r="C603" t="str">
            <v>UN</v>
          </cell>
          <cell r="D603">
            <v>84.337999999999994</v>
          </cell>
        </row>
        <row r="604">
          <cell r="A604">
            <v>5911342</v>
          </cell>
          <cell r="B604" t="str">
            <v>TRANSFORMADOR CTE.220V. 100/5A. C/BARRA PASANTE.</v>
          </cell>
          <cell r="C604" t="str">
            <v>UN</v>
          </cell>
          <cell r="D604">
            <v>93.798000000000002</v>
          </cell>
        </row>
        <row r="605">
          <cell r="A605">
            <v>5911354</v>
          </cell>
          <cell r="B605" t="str">
            <v>TRANSFORMADOR CTE.220V 200/5A C/BARRA PASANTE.</v>
          </cell>
          <cell r="C605" t="str">
            <v>UN</v>
          </cell>
          <cell r="D605">
            <v>70.367000000000004</v>
          </cell>
        </row>
        <row r="606">
          <cell r="A606">
            <v>5911360</v>
          </cell>
          <cell r="B606" t="str">
            <v>TRANSFORMADOR CTE.220V. 300/5A. C/BARRA PASANTE.</v>
          </cell>
          <cell r="C606" t="str">
            <v>UN</v>
          </cell>
          <cell r="D606">
            <v>70.649000000000001</v>
          </cell>
        </row>
        <row r="607">
          <cell r="A607">
            <v>5911369</v>
          </cell>
          <cell r="B607" t="str">
            <v>TRANSFORMADOR CTE.220V. 500/5A. C/BARRA PASANTE.</v>
          </cell>
          <cell r="C607" t="str">
            <v>UN</v>
          </cell>
          <cell r="D607">
            <v>72.742000000000004</v>
          </cell>
        </row>
        <row r="608">
          <cell r="A608">
            <v>6112224</v>
          </cell>
          <cell r="B608" t="str">
            <v>FUSIBLE TP. C 220V.  30A. P.CONEX.DOMICIL. Y A.P.</v>
          </cell>
          <cell r="C608" t="str">
            <v>UN</v>
          </cell>
          <cell r="D608">
            <v>0.66700000000000004</v>
          </cell>
        </row>
        <row r="609">
          <cell r="A609">
            <v>6112232</v>
          </cell>
          <cell r="B609" t="str">
            <v>FUSIBLE TP. C 220V.  60A. P.CONEX.DOMICIL. Y A.P.</v>
          </cell>
          <cell r="C609" t="str">
            <v>UN</v>
          </cell>
          <cell r="D609">
            <v>0.80300000000000005</v>
          </cell>
        </row>
        <row r="610">
          <cell r="A610">
            <v>6112332</v>
          </cell>
          <cell r="B610" t="str">
            <v>FUSIBLE TP.LAMINA 220V 60ATAM-CHICO 16X 78MM.</v>
          </cell>
          <cell r="C610" t="str">
            <v>UN</v>
          </cell>
          <cell r="D610">
            <v>1.5069999999999999</v>
          </cell>
        </row>
        <row r="611">
          <cell r="A611">
            <v>6112342</v>
          </cell>
          <cell r="B611" t="str">
            <v>FUSIBLE TP.LAMINA 220V.100A.TAM-CHICO    16X 78MM.</v>
          </cell>
          <cell r="C611" t="str">
            <v>UN</v>
          </cell>
          <cell r="D611">
            <v>1.7789999999999999</v>
          </cell>
        </row>
        <row r="612">
          <cell r="A612">
            <v>6112442</v>
          </cell>
          <cell r="B612" t="str">
            <v>FUSIBLE TP.LAMINA 220V.100A.TAM-MEDIANO  22X119MM.</v>
          </cell>
          <cell r="C612" t="str">
            <v>UN</v>
          </cell>
          <cell r="D612">
            <v>3.3780000000000001</v>
          </cell>
        </row>
        <row r="613">
          <cell r="A613">
            <v>6112448</v>
          </cell>
          <cell r="B613" t="str">
            <v>FUSIBLE TP.LAMINA 220V.160A.TAM-MEDIANO  22X119MM.</v>
          </cell>
          <cell r="C613" t="str">
            <v>UN</v>
          </cell>
          <cell r="D613">
            <v>3.3759999999999999</v>
          </cell>
        </row>
        <row r="614">
          <cell r="A614">
            <v>6112542</v>
          </cell>
          <cell r="B614" t="str">
            <v>FUSIBLE TP.LAMINA 220V 100A TAM-GRANDE 42X150MM.</v>
          </cell>
          <cell r="C614" t="str">
            <v>UN</v>
          </cell>
          <cell r="D614">
            <v>8.3379999999999992</v>
          </cell>
        </row>
        <row r="615">
          <cell r="A615">
            <v>6112548</v>
          </cell>
          <cell r="B615" t="str">
            <v>FUSIBLE TP.LAMINA 220V 160A TAM-GRANDE 42X150MM.</v>
          </cell>
          <cell r="C615" t="str">
            <v>UN</v>
          </cell>
          <cell r="D615">
            <v>8.6349999999999998</v>
          </cell>
        </row>
        <row r="616">
          <cell r="A616">
            <v>6112554</v>
          </cell>
          <cell r="B616" t="str">
            <v>FUSIBLE TP.LAMINA 220V 200A TAM-GRANDE 42X150MM.</v>
          </cell>
          <cell r="C616" t="str">
            <v>UN</v>
          </cell>
          <cell r="D616">
            <v>8.9329999999999998</v>
          </cell>
        </row>
        <row r="617">
          <cell r="A617">
            <v>6112560</v>
          </cell>
          <cell r="B617" t="str">
            <v>FUSIBLE TP.LAMINA 220V 300A TAM-GRANDE 42X150MM.</v>
          </cell>
          <cell r="C617" t="str">
            <v>UN</v>
          </cell>
          <cell r="D617">
            <v>9.6609999999999996</v>
          </cell>
        </row>
        <row r="618">
          <cell r="A618">
            <v>6112568</v>
          </cell>
          <cell r="B618" t="str">
            <v>FUSIBLE TP.LAMINA 220V.450A.TAM-GRANDE   42X150MM.</v>
          </cell>
          <cell r="C618" t="str">
            <v>UN</v>
          </cell>
          <cell r="D618">
            <v>10.481</v>
          </cell>
        </row>
        <row r="619">
          <cell r="A619">
            <v>6112570</v>
          </cell>
          <cell r="B619" t="str">
            <v>FUSIBLE TP.LAMINA 220V 600A TAM-GRANDE 42X150MM.</v>
          </cell>
          <cell r="C619" t="str">
            <v>UN</v>
          </cell>
          <cell r="D619">
            <v>10.951000000000001</v>
          </cell>
        </row>
        <row r="620">
          <cell r="A620">
            <v>6114533</v>
          </cell>
          <cell r="B620" t="str">
            <v>FUSIBLE LIMITADOR CORRIENTE TP. NH TAMAÑO 00, 220V 63A</v>
          </cell>
          <cell r="C620" t="str">
            <v>UN</v>
          </cell>
          <cell r="D620">
            <v>5.1539999999999999</v>
          </cell>
        </row>
        <row r="621">
          <cell r="A621">
            <v>6114538</v>
          </cell>
          <cell r="B621" t="str">
            <v>FUSIBLE LIMITADOR CORRIENTE TP. NH TAMAÑO 00, 220V 80A</v>
          </cell>
          <cell r="C621" t="str">
            <v>UN</v>
          </cell>
          <cell r="D621">
            <v>4.9850000000000003</v>
          </cell>
        </row>
        <row r="622">
          <cell r="A622">
            <v>6114542</v>
          </cell>
          <cell r="B622" t="str">
            <v>FUSIBLE LIMITADOR CORRIENTE TP. NH TAMAÑO 00, 220V 100A</v>
          </cell>
          <cell r="C622" t="str">
            <v>UN</v>
          </cell>
          <cell r="D622">
            <v>4.8049999999999997</v>
          </cell>
        </row>
        <row r="623">
          <cell r="A623">
            <v>6114545</v>
          </cell>
          <cell r="B623" t="str">
            <v>FUSIBLE LIMITADOR CORRIENTE TP. NH TAMAÑO 00, 220V 125A</v>
          </cell>
          <cell r="C623" t="str">
            <v>UN</v>
          </cell>
          <cell r="D623">
            <v>6.8079999999999998</v>
          </cell>
        </row>
        <row r="624">
          <cell r="A624">
            <v>6114738</v>
          </cell>
          <cell r="B624" t="str">
            <v>FUSIBLE LIMITADOR CORRIENTE TP. NH TAMAÑO 1, 500V 80A</v>
          </cell>
          <cell r="C624" t="str">
            <v>UN</v>
          </cell>
          <cell r="D624">
            <v>10.996</v>
          </cell>
        </row>
        <row r="625">
          <cell r="A625">
            <v>6114743</v>
          </cell>
          <cell r="B625" t="str">
            <v>FUSIBLE LIMITADOR CORRIENTE TP. NH TAMAÑO 1, 500V 125A</v>
          </cell>
          <cell r="C625" t="str">
            <v>UN</v>
          </cell>
          <cell r="D625">
            <v>9.1929999999999996</v>
          </cell>
        </row>
        <row r="626">
          <cell r="A626">
            <v>6114748</v>
          </cell>
          <cell r="B626" t="str">
            <v>FUSIBLE LIMITADOR CORRIENTE TP. NH TAMAÑO 1, 500V 160A</v>
          </cell>
          <cell r="C626" t="str">
            <v>UN</v>
          </cell>
          <cell r="D626">
            <v>8.3840000000000003</v>
          </cell>
        </row>
        <row r="627">
          <cell r="A627">
            <v>6114758</v>
          </cell>
          <cell r="B627" t="str">
            <v>FUSIBLE LIMITADOR CORRIENTE TP. NH TAMAÑO 1, 500V 250A</v>
          </cell>
          <cell r="C627" t="str">
            <v>UN</v>
          </cell>
          <cell r="D627">
            <v>11.532</v>
          </cell>
        </row>
        <row r="628">
          <cell r="A628">
            <v>6114842</v>
          </cell>
          <cell r="B628" t="str">
            <v>FUSIBLE LIMITADOR CORRIENTE TP. NH TAMAÑO 2, 220V 100A 120KA</v>
          </cell>
          <cell r="C628" t="str">
            <v>UN</v>
          </cell>
          <cell r="D628">
            <v>16.036999999999999</v>
          </cell>
        </row>
        <row r="629">
          <cell r="A629">
            <v>6114848</v>
          </cell>
          <cell r="B629" t="str">
            <v>FUSIBLE LIMITADOR CORRIENTE TP. NH TAMAÑO 2, 220V 160A</v>
          </cell>
          <cell r="C629" t="str">
            <v>UN</v>
          </cell>
          <cell r="D629">
            <v>13.28</v>
          </cell>
        </row>
        <row r="630">
          <cell r="A630">
            <v>6114858</v>
          </cell>
          <cell r="B630" t="str">
            <v>FUSIBLE LIMITADOR CORRIENTE TP. NH TAMAÑO 2, 220V 250A</v>
          </cell>
          <cell r="C630" t="str">
            <v>UN</v>
          </cell>
          <cell r="D630">
            <v>13.518000000000001</v>
          </cell>
        </row>
        <row r="631">
          <cell r="A631">
            <v>6114861</v>
          </cell>
          <cell r="B631" t="str">
            <v>FUSIBLE LIMITADOR CORRIENTE TP. NH TAMAÑO 2, 220V 315A</v>
          </cell>
          <cell r="C631" t="str">
            <v>UN</v>
          </cell>
          <cell r="D631">
            <v>17.532</v>
          </cell>
        </row>
        <row r="632">
          <cell r="A632">
            <v>6114866</v>
          </cell>
          <cell r="B632" t="str">
            <v>FUSIBLE LIMITADOR CORRIENTE TP. NH TAMAÑO 2, 220V 400A</v>
          </cell>
          <cell r="C632" t="str">
            <v>UN</v>
          </cell>
          <cell r="D632">
            <v>16.683</v>
          </cell>
        </row>
        <row r="633">
          <cell r="A633">
            <v>6114961</v>
          </cell>
          <cell r="B633" t="str">
            <v>FUSIBLE LIMITADOR CORRIENTE TP. NH TAMAÑO 3, 220V 315A</v>
          </cell>
          <cell r="C633" t="str">
            <v>UN</v>
          </cell>
          <cell r="D633">
            <v>19.683</v>
          </cell>
        </row>
        <row r="634">
          <cell r="A634">
            <v>6114966</v>
          </cell>
          <cell r="B634" t="str">
            <v>FUSIBLE LIMITADOR CORRIENTE TP. NH TAMAÑO 3, 220V 400A</v>
          </cell>
          <cell r="C634" t="str">
            <v>UN</v>
          </cell>
          <cell r="D634">
            <v>22.797000000000001</v>
          </cell>
        </row>
        <row r="635">
          <cell r="A635">
            <v>6114969</v>
          </cell>
          <cell r="B635" t="str">
            <v>FUSIBLE LIMITADOR CORRIENTE TP. NH TAMAÑO 3, 220V 500A</v>
          </cell>
          <cell r="C635" t="str">
            <v>UN</v>
          </cell>
          <cell r="D635">
            <v>32.072000000000003</v>
          </cell>
        </row>
        <row r="636">
          <cell r="A636">
            <v>6114971</v>
          </cell>
          <cell r="B636" t="str">
            <v>FUSIBLE LIMITADOR CORRIENTE TP. NH TAMAÑO 3, 220V 630A</v>
          </cell>
          <cell r="C636" t="str">
            <v>UN</v>
          </cell>
          <cell r="D636">
            <v>32.179000000000002</v>
          </cell>
        </row>
        <row r="637">
          <cell r="A637">
            <v>6131322</v>
          </cell>
          <cell r="B637" t="str">
            <v>FUSIBLE LIMITADOR CORRIENTE TP.INTERIOR 20A 10KV 30KA CLASE E P.SECCIONADOR UNIPOLAR</v>
          </cell>
          <cell r="C637" t="str">
            <v>UN</v>
          </cell>
          <cell r="D637">
            <v>589.04100000000005</v>
          </cell>
        </row>
        <row r="638">
          <cell r="A638">
            <v>6131324</v>
          </cell>
          <cell r="B638" t="str">
            <v>FUSIBLE LIMITADOR CORRIENTE TP.INTERIOR 30A 10KV 30KA CLASE E P.SECCIONADOR UNIPOLAR</v>
          </cell>
          <cell r="C638" t="str">
            <v>UN</v>
          </cell>
          <cell r="D638">
            <v>613.58399999999995</v>
          </cell>
        </row>
        <row r="639">
          <cell r="A639">
            <v>6131330</v>
          </cell>
          <cell r="B639" t="str">
            <v>FUSIBLE LIMITADOR CORRIENTE TP.INTERIOR 50A 10KV 30KA CLASE E P.SECCIONADOR UNIPOLAR</v>
          </cell>
          <cell r="C639" t="str">
            <v>UN</v>
          </cell>
          <cell r="D639">
            <v>631.45000000000005</v>
          </cell>
        </row>
        <row r="640">
          <cell r="A640">
            <v>6131331</v>
          </cell>
          <cell r="B640" t="str">
            <v>FUSIBLE LIMITADOR DE CORRIENTE TP.INTERIOR 31,5A 10KV 63KA P.SECCIONADOR FUSIBLE DE POTENCIA</v>
          </cell>
          <cell r="C640" t="str">
            <v>UN</v>
          </cell>
          <cell r="D640">
            <v>127.967</v>
          </cell>
        </row>
        <row r="641">
          <cell r="A641">
            <v>6131332</v>
          </cell>
          <cell r="B641" t="str">
            <v>FUSIBLE LIMITADOR DE CORRIENTE TP.INTERIOR 50A 10KV 63KA P.SECCIONADOR FUSIBLE DE POTENCIA</v>
          </cell>
          <cell r="C641" t="str">
            <v>UN</v>
          </cell>
          <cell r="D641">
            <v>162.62700000000001</v>
          </cell>
        </row>
        <row r="642">
          <cell r="A642">
            <v>6131334</v>
          </cell>
          <cell r="B642" t="str">
            <v>FUSIBLE LIMITADOR CORRIENTE TP.INTERIOR 65A 10KV 30KA CLASE E P.SECCIONADOR UNIPOLAR</v>
          </cell>
          <cell r="C642" t="str">
            <v>UN</v>
          </cell>
          <cell r="D642">
            <v>695.40499999999997</v>
          </cell>
        </row>
        <row r="643">
          <cell r="A643">
            <v>6131416</v>
          </cell>
          <cell r="B643" t="str">
            <v>FUSIBLE LIM.CTE.TP.INT.10KV.10AP/PORTAFUS.HERMET.UNIP.</v>
          </cell>
          <cell r="C643" t="str">
            <v>UN</v>
          </cell>
          <cell r="D643">
            <v>237.50800000000001</v>
          </cell>
        </row>
        <row r="644">
          <cell r="A644">
            <v>6131424</v>
          </cell>
          <cell r="B644" t="str">
            <v>FUSIBLE LIM.CTE.TP.INT.10KV.30A.P/PORTAFUS.HERMET.UNIP.</v>
          </cell>
          <cell r="C644" t="str">
            <v>UN</v>
          </cell>
          <cell r="D644">
            <v>265.70600000000002</v>
          </cell>
        </row>
        <row r="645">
          <cell r="A645">
            <v>6131610</v>
          </cell>
          <cell r="B645" t="str">
            <v>FUSIBLE DE EXPULSION TIPO K - ANSI CABEZA REMOVIBLE 3A 36KV P.SECCIONADOR FUSIBLE UNIPOLAR</v>
          </cell>
          <cell r="C645" t="str">
            <v>UN</v>
          </cell>
          <cell r="D645">
            <v>5.9829999999999997</v>
          </cell>
        </row>
        <row r="646">
          <cell r="A646">
            <v>6131611</v>
          </cell>
          <cell r="B646" t="str">
            <v>FUSIBLE DE EXPULSION TIPO K - ANSI CABEZA REMOVIBLE 6A 36KV P.SECCIONADOR FUSIBLE UNIPOLAR</v>
          </cell>
          <cell r="C646" t="str">
            <v>UN</v>
          </cell>
          <cell r="D646">
            <v>8.7110000000000003</v>
          </cell>
        </row>
        <row r="647">
          <cell r="A647">
            <v>6131616</v>
          </cell>
          <cell r="B647" t="str">
            <v>FUSIBLE DE EXPULSION TIPO K - ANSI CABEZA REMOVIBLE 10A 36KV P.SECCIONADOR FUSIBLE UNIPOLAR</v>
          </cell>
          <cell r="C647" t="str">
            <v>UN</v>
          </cell>
          <cell r="D647">
            <v>7.6779999999999999</v>
          </cell>
        </row>
        <row r="648">
          <cell r="A648">
            <v>6131619</v>
          </cell>
          <cell r="B648" t="str">
            <v>FUSIBLE DE EXPULSION TIPO K - ANSI CABEZA REMOVIBLE 15A 36KV P.SECCIONADOR FUSIBLE UNIPOLAR</v>
          </cell>
          <cell r="C648" t="str">
            <v>UN</v>
          </cell>
          <cell r="D648">
            <v>6.8120000000000003</v>
          </cell>
        </row>
        <row r="649">
          <cell r="A649">
            <v>6131622</v>
          </cell>
          <cell r="B649" t="str">
            <v>FUSIBLE DE EXPULSION TIPO K - ANSI CABEZA REMOVIBLE 20A 36KV P.SECCIONADOR FUSIBLE UNIPOLAR</v>
          </cell>
          <cell r="C649" t="str">
            <v>UN</v>
          </cell>
          <cell r="D649">
            <v>10.015000000000001</v>
          </cell>
        </row>
        <row r="650">
          <cell r="A650">
            <v>6131624</v>
          </cell>
          <cell r="B650" t="str">
            <v>FUSIBLE DE EXPULSION TIPO K - ANSI CABEZA REMOVIBLE 30A 36KV P.SECCIONADOR FUSIBLE UNIPOLAR</v>
          </cell>
          <cell r="C650" t="str">
            <v>UN</v>
          </cell>
          <cell r="D650">
            <v>10.682</v>
          </cell>
        </row>
        <row r="651">
          <cell r="A651">
            <v>6131628</v>
          </cell>
          <cell r="B651" t="str">
            <v>FUSIBLE DE EXPULSION TIPO K - ANSI CABEZA REMOVIBLE 40A 36KV P.SECCIONADOR FUSIBLE UNIPOLAR</v>
          </cell>
          <cell r="C651" t="str">
            <v>UN</v>
          </cell>
          <cell r="D651">
            <v>8.8919999999999995</v>
          </cell>
        </row>
        <row r="652">
          <cell r="A652">
            <v>6131630</v>
          </cell>
          <cell r="B652" t="str">
            <v>FUSIBLE DE EXPULSION TIPO K - ANSI CABEZA REMOVIBLE 50A 36KV P.SECCIONADOR FUSIBLE UNIPOLAR</v>
          </cell>
          <cell r="C652" t="str">
            <v>UN</v>
          </cell>
          <cell r="D652">
            <v>13.057</v>
          </cell>
        </row>
        <row r="653">
          <cell r="A653">
            <v>6131634</v>
          </cell>
          <cell r="B653" t="str">
            <v>FUSIBLE DE EXPULSION TIPO K - ANSI CABEZA REMOVIBLE 65A 36KV P.SECCIONADOR FUSIBLE UNIPOLAR</v>
          </cell>
          <cell r="C653" t="str">
            <v>UN</v>
          </cell>
          <cell r="D653">
            <v>14.58</v>
          </cell>
        </row>
        <row r="654">
          <cell r="A654">
            <v>6131642</v>
          </cell>
          <cell r="B654" t="str">
            <v>FUSIBLE DE EXPULSION TIPO K - ANSI CABEZA REMOVIBLE 100A 36KV P.SECCIONADOR FUSIBLE UNIPOLAR</v>
          </cell>
          <cell r="C654" t="str">
            <v>UN</v>
          </cell>
          <cell r="D654">
            <v>18.88</v>
          </cell>
        </row>
        <row r="655">
          <cell r="A655">
            <v>6132342</v>
          </cell>
          <cell r="B655" t="str">
            <v>FUSIBLE LIMITADOR DE CORRIENTE TP.INTERIOR 100A 10KV 31,5KA P.SECCIONADOR FUSIBLE DE POTENCIA</v>
          </cell>
          <cell r="C655" t="str">
            <v>UN</v>
          </cell>
          <cell r="D655">
            <v>177.90899999999999</v>
          </cell>
        </row>
        <row r="656">
          <cell r="A656">
            <v>6132343</v>
          </cell>
          <cell r="B656" t="str">
            <v>FUSIBLE LIMITADOR DE CORRIENTE TP.INTERIOR 125A 10KV 31,5KA P.SECCIONADOR FUSIBLE DE POTENCIA</v>
          </cell>
          <cell r="C656" t="str">
            <v>UN</v>
          </cell>
          <cell r="D656">
            <v>195.07400000000001</v>
          </cell>
        </row>
        <row r="657">
          <cell r="A657">
            <v>6133335</v>
          </cell>
          <cell r="B657" t="str">
            <v>FUSIBLE LIMITADOR CORRIENTE TIPO HH 24KV 16A 63KA MONTAJE INTERIOR</v>
          </cell>
          <cell r="C657" t="str">
            <v>UN</v>
          </cell>
          <cell r="D657">
            <v>159.1</v>
          </cell>
        </row>
        <row r="658">
          <cell r="A658">
            <v>6133341</v>
          </cell>
          <cell r="B658" t="str">
            <v>FUSIBLE LIMITADOR DE CORRIENTE TP.INTERIOR 63A 22,9KV P.SECCIONADOR FUSIBLE DE POTENCIA</v>
          </cell>
          <cell r="C658" t="str">
            <v>UN</v>
          </cell>
          <cell r="D658">
            <v>246.08699999999999</v>
          </cell>
        </row>
        <row r="659">
          <cell r="A659">
            <v>6162112</v>
          </cell>
          <cell r="B659" t="str">
            <v>BASE PORTAFUS.UNIP. TP.F 220V 450A PREPAR. FUS. LAM.</v>
          </cell>
          <cell r="C659" t="str">
            <v>UN</v>
          </cell>
          <cell r="D659">
            <v>52.253999999999998</v>
          </cell>
        </row>
        <row r="660">
          <cell r="A660">
            <v>6162412</v>
          </cell>
          <cell r="B660" t="str">
            <v>BASE PORTAFUSIBLE LOZA BIP. 220V P.FUSIBLE TP.C.</v>
          </cell>
          <cell r="C660" t="str">
            <v>UN</v>
          </cell>
          <cell r="D660">
            <v>10.805999999999999</v>
          </cell>
        </row>
        <row r="661">
          <cell r="A661">
            <v>6162512</v>
          </cell>
          <cell r="B661" t="str">
            <v>BASE PORTAFUSIBLE LOZA TRIP. 220V. P.FUSIBLE TP.C</v>
          </cell>
          <cell r="C661" t="str">
            <v>UN</v>
          </cell>
          <cell r="D661">
            <v>13.853</v>
          </cell>
        </row>
        <row r="662">
          <cell r="A662">
            <v>6193354</v>
          </cell>
          <cell r="B662" t="str">
            <v>FUSIBLE SECC.UNIP.TP.INT.10KV.200A.P.TRANSF.CONV.</v>
          </cell>
          <cell r="C662" t="str">
            <v>UN</v>
          </cell>
          <cell r="D662">
            <v>688.4</v>
          </cell>
        </row>
        <row r="663">
          <cell r="A663">
            <v>6193441</v>
          </cell>
          <cell r="B663" t="str">
            <v>SECCIONADOR FUSIBLE UNIPOLAR 10KV 100A 12KA 95KV BIL EXTERIOR P.CORROSION SEVERA</v>
          </cell>
          <cell r="C663" t="str">
            <v>UN</v>
          </cell>
          <cell r="D663">
            <v>184.32900000000001</v>
          </cell>
        </row>
        <row r="664">
          <cell r="A664">
            <v>6195750</v>
          </cell>
          <cell r="B664" t="str">
            <v>SECCIONADOR FUSIBLE UNIPOLAR 22,9KV 100A 8KA 150KV BIL EXTERIOR P.CORROSION SEVERA</v>
          </cell>
          <cell r="C664" t="str">
            <v>UN</v>
          </cell>
          <cell r="D664">
            <v>288.25200000000001</v>
          </cell>
        </row>
        <row r="665">
          <cell r="A665">
            <v>6195752</v>
          </cell>
          <cell r="B665" t="str">
            <v>SECCIONADOR FUSIBLE UNIPOLAR 22,9KV 100A 8KA 150KV BIL EXTERIOR</v>
          </cell>
          <cell r="C665" t="str">
            <v>UN</v>
          </cell>
          <cell r="D665">
            <v>257.87200000000001</v>
          </cell>
        </row>
        <row r="666">
          <cell r="A666">
            <v>6199230</v>
          </cell>
          <cell r="B666" t="str">
            <v>TUBO PORTAFUSIBLE PARA SECC. UNIP. AEREO 100A, 10KV, CORR.SEVERA</v>
          </cell>
          <cell r="C666" t="str">
            <v>UN</v>
          </cell>
          <cell r="D666">
            <v>91.739000000000004</v>
          </cell>
        </row>
        <row r="667">
          <cell r="A667">
            <v>6311416</v>
          </cell>
          <cell r="B667" t="str">
            <v>SECCIONADOR DE POTENCIA TRIPOLAR P.FUSIBLES NH DISPOSICION HORIZONTAL TAMAÑO 00 220V 160A AC-23 60HZ</v>
          </cell>
          <cell r="C667" t="str">
            <v>UN</v>
          </cell>
          <cell r="D667">
            <v>37.481999999999999</v>
          </cell>
        </row>
        <row r="668">
          <cell r="A668">
            <v>6311422</v>
          </cell>
          <cell r="B668" t="str">
            <v>SECCIONADOR DE POTENCIA TRIPOLAR P.FUSIBLES NH DISPOSICION HORIZONTAL TAMAÑO 1 220V 250A AC-23 60HZ</v>
          </cell>
          <cell r="C668" t="str">
            <v>UN</v>
          </cell>
          <cell r="D668">
            <v>119.608</v>
          </cell>
        </row>
        <row r="669">
          <cell r="A669">
            <v>6311432</v>
          </cell>
          <cell r="B669" t="str">
            <v>SECCIONADOR DE POTENCIA TRIPOLAR P.FUSIBLES NH DISPOSICION VERTICAL TAMAÑO 2 220V 400A AC-23 60HZ</v>
          </cell>
          <cell r="C669" t="str">
            <v>UN</v>
          </cell>
          <cell r="D669">
            <v>241.345</v>
          </cell>
        </row>
        <row r="670">
          <cell r="A670">
            <v>6311448</v>
          </cell>
          <cell r="B670" t="str">
            <v>SECCIONADOR DE POTENCIA TRIPOLAR P.FUSIBLES NH DISPOSICION VERTICAL TAMAÑO 3 220V 630A AC-23 60HZ</v>
          </cell>
          <cell r="C670" t="str">
            <v>UN</v>
          </cell>
          <cell r="D670">
            <v>269.02800000000002</v>
          </cell>
        </row>
        <row r="671">
          <cell r="A671">
            <v>6331212</v>
          </cell>
          <cell r="B671" t="str">
            <v>SECCIONADOR UNIP.INT.DE BARRA 10KV  400A</v>
          </cell>
          <cell r="C671" t="str">
            <v>UN</v>
          </cell>
          <cell r="D671">
            <v>299.995</v>
          </cell>
        </row>
        <row r="672">
          <cell r="A672">
            <v>6331222</v>
          </cell>
          <cell r="B672" t="str">
            <v>SECCIONADOR UNIP.EXT.AER. 400A 10KV.CORROS.MODER.</v>
          </cell>
          <cell r="C672" t="str">
            <v>UN</v>
          </cell>
          <cell r="D672">
            <v>557.98800000000006</v>
          </cell>
        </row>
        <row r="673">
          <cell r="A673">
            <v>6331312</v>
          </cell>
          <cell r="B673" t="str">
            <v>SECCIONADOR UNIPOLAR INTERIOR  BARRA 350A.22.9 KV.</v>
          </cell>
          <cell r="C673" t="str">
            <v>UN</v>
          </cell>
          <cell r="D673">
            <v>414.43099999999998</v>
          </cell>
        </row>
        <row r="674">
          <cell r="A674">
            <v>6331706</v>
          </cell>
          <cell r="B674" t="str">
            <v>SECCIONADOR FUSIBLE DE POTENCIA TRIP.   10KV.400A.</v>
          </cell>
          <cell r="C674" t="str">
            <v>UN</v>
          </cell>
          <cell r="D674">
            <v>3449.806</v>
          </cell>
        </row>
        <row r="675">
          <cell r="A675">
            <v>6381223</v>
          </cell>
          <cell r="B675" t="str">
            <v>PERTIGA DE MANIOBRA TELESCOPICA AISLADA FIBRA VIDRIO 3,80M, 3 CUERPOS</v>
          </cell>
          <cell r="C675" t="str">
            <v>UN</v>
          </cell>
          <cell r="D675">
            <v>485.1</v>
          </cell>
        </row>
        <row r="676">
          <cell r="A676">
            <v>6381432</v>
          </cell>
          <cell r="B676" t="str">
            <v>REVELADOR DE TENSION AUDIBLE-LUMINOSO    1 - 245KV</v>
          </cell>
          <cell r="C676" t="str">
            <v>UN</v>
          </cell>
          <cell r="D676">
            <v>1132.165</v>
          </cell>
        </row>
        <row r="677">
          <cell r="A677">
            <v>6511220</v>
          </cell>
          <cell r="B677" t="str">
            <v>INTERRUPTOR TERMOMAGNETICO BIPOLAR CURVA C 220V 50A 6 / 10KA P.RIEL DIN</v>
          </cell>
          <cell r="C677" t="str">
            <v>UN</v>
          </cell>
          <cell r="D677">
            <v>11.856</v>
          </cell>
        </row>
        <row r="678">
          <cell r="A678">
            <v>6511250</v>
          </cell>
          <cell r="B678" t="str">
            <v>INTERRUPTOR TERMOMAGNETICO BIPOLAR CURVA C 220V 16A 6 / 10KA P.RIEL DIN</v>
          </cell>
          <cell r="C678" t="str">
            <v>UN</v>
          </cell>
          <cell r="D678">
            <v>13.058</v>
          </cell>
        </row>
        <row r="679">
          <cell r="A679">
            <v>6512178</v>
          </cell>
          <cell r="B679" t="str">
            <v>INTERRUPTOR TERMOMAGNETICO BIPOLAR CURVA C 220V 32A 6 / 10KA P.RIEL DIN</v>
          </cell>
          <cell r="C679" t="str">
            <v>UN</v>
          </cell>
          <cell r="D679">
            <v>14.993</v>
          </cell>
        </row>
        <row r="680">
          <cell r="A680">
            <v>6512215</v>
          </cell>
          <cell r="B680" t="str">
            <v>INTERRUPTOR TERMOMAGNETICO TRIPOLAR CURVA C 220V 32A 6 / 10KA P.RIEL DIN</v>
          </cell>
          <cell r="C680" t="str">
            <v>UN</v>
          </cell>
          <cell r="D680">
            <v>21.074999999999999</v>
          </cell>
        </row>
        <row r="681">
          <cell r="A681">
            <v>6512226</v>
          </cell>
          <cell r="B681" t="str">
            <v>INTERRUPTOR TERMOMAGNETICO TRIPOLAR C.CURVA C 220VAC 63A 10KA 50 - 60HZ</v>
          </cell>
          <cell r="C681" t="str">
            <v>UN</v>
          </cell>
          <cell r="D681">
            <v>35.478000000000002</v>
          </cell>
        </row>
        <row r="682">
          <cell r="A682">
            <v>6512296</v>
          </cell>
          <cell r="B682" t="str">
            <v>INTERRUPTOR TRIP.TERMOMAG. TP.CJ.MOLD 220V 2000A.</v>
          </cell>
          <cell r="C682" t="str">
            <v>UN</v>
          </cell>
          <cell r="D682">
            <v>6643.0249999999996</v>
          </cell>
        </row>
        <row r="683">
          <cell r="A683">
            <v>6749022</v>
          </cell>
          <cell r="B683" t="str">
            <v>RELE ELECTRONICO C.MICROPROCESADOR MULTIFUNCION DE PROTECCION 27, 50/51, 50G/51G, 50N/51N, 46, 66</v>
          </cell>
          <cell r="C683" t="str">
            <v>UN</v>
          </cell>
          <cell r="D683">
            <v>3507</v>
          </cell>
        </row>
        <row r="684">
          <cell r="A684">
            <v>6767215</v>
          </cell>
          <cell r="B684" t="str">
            <v>PARARRAYO POLIMERICO OXIDO MET.ZINC C.DESCONECTADOR 10KV 10KA CL.1 INTERIOR</v>
          </cell>
          <cell r="C684" t="str">
            <v>UN</v>
          </cell>
          <cell r="D684">
            <v>112.479</v>
          </cell>
        </row>
        <row r="685">
          <cell r="A685">
            <v>6782402</v>
          </cell>
          <cell r="B685" t="str">
            <v>RECEPTACULO C.SOPORTE P.CONTROL FOTOELECTRICO DEL ALUMBRADO PUBLICO EN B.T.</v>
          </cell>
          <cell r="C685" t="str">
            <v>UN</v>
          </cell>
          <cell r="D685">
            <v>10.605</v>
          </cell>
        </row>
        <row r="686">
          <cell r="A686">
            <v>6782404</v>
          </cell>
          <cell r="B686" t="str">
            <v>CONTROL FOTOELECTRICO TP.ACCIONAMIENTO ELECTROMECANICO (NO BIMETALICO) 220V 1000W - 1800VA 10-30 LUX</v>
          </cell>
          <cell r="C686" t="str">
            <v>UN</v>
          </cell>
          <cell r="D686">
            <v>25.042999999999999</v>
          </cell>
        </row>
        <row r="687">
          <cell r="A687">
            <v>6786856</v>
          </cell>
          <cell r="B687" t="str">
            <v>CONTACTOR ELECTROMAGNETICO TRIPOLAR 63A 220V 60HZ INTERIOR</v>
          </cell>
          <cell r="C687" t="str">
            <v>UN</v>
          </cell>
          <cell r="D687">
            <v>248.51599999999999</v>
          </cell>
        </row>
        <row r="688">
          <cell r="A688">
            <v>6786858</v>
          </cell>
          <cell r="B688" t="str">
            <v>CONTACTOR ELECTROMAGNETICO TRIPOLAR 80A 220V 60HZ INTERIOR</v>
          </cell>
          <cell r="C688" t="str">
            <v>UN</v>
          </cell>
          <cell r="D688">
            <v>274.46499999999997</v>
          </cell>
        </row>
        <row r="689">
          <cell r="A689">
            <v>6786860</v>
          </cell>
          <cell r="B689" t="str">
            <v>CONTACTOR ELECTROMAGNETICO TRIPOLAR 125A 220V 60HZ INTERIOR</v>
          </cell>
          <cell r="C689" t="str">
            <v>UN</v>
          </cell>
          <cell r="D689">
            <v>363.58499999999998</v>
          </cell>
        </row>
        <row r="690">
          <cell r="A690">
            <v>6910360</v>
          </cell>
          <cell r="B690" t="str">
            <v>SEGURO P.INTERRUPTOR TERMOMAGNETICO BIPOLAR B.T.DE 39 X 47MM</v>
          </cell>
          <cell r="C690" t="str">
            <v>UN</v>
          </cell>
          <cell r="D690">
            <v>1.9470000000000001</v>
          </cell>
        </row>
        <row r="691">
          <cell r="A691">
            <v>6910362</v>
          </cell>
          <cell r="B691" t="str">
            <v>SEGURO P.INTERRUPTOR TERMOMAGNETICO TRIPOLAR B.T.DE 57 X 47MM</v>
          </cell>
          <cell r="C691" t="str">
            <v>UN</v>
          </cell>
          <cell r="D691">
            <v>1.849</v>
          </cell>
        </row>
        <row r="692">
          <cell r="A692">
            <v>6910364</v>
          </cell>
          <cell r="B692" t="str">
            <v>SEGURO P.INTERRUPTOR TERMOMAGNETICO TRIPOLAR B.T.DE 84 X 47MM</v>
          </cell>
          <cell r="C692" t="str">
            <v>UN</v>
          </cell>
          <cell r="D692">
            <v>2.0609999999999999</v>
          </cell>
        </row>
        <row r="693">
          <cell r="A693">
            <v>6910375</v>
          </cell>
          <cell r="B693" t="str">
            <v>SEGURO METALICO P.CAJA LTM / 3B P.SISTEMA ANTI HURTO DEL MEDIDOR TRIFASICO ELSTER ALPHA PLUS</v>
          </cell>
          <cell r="C693" t="str">
            <v>UN</v>
          </cell>
          <cell r="D693">
            <v>8.5730000000000004</v>
          </cell>
        </row>
        <row r="694">
          <cell r="A694">
            <v>6911134</v>
          </cell>
          <cell r="B694" t="str">
            <v>PUERTA P.CELD.INTERR/SECC.SE.CONV.TP.B 0.975X1.8M.</v>
          </cell>
          <cell r="C694" t="str">
            <v>UN</v>
          </cell>
          <cell r="D694">
            <v>574.65300000000002</v>
          </cell>
        </row>
        <row r="695">
          <cell r="A695">
            <v>6913277</v>
          </cell>
          <cell r="B695" t="str">
            <v>CAJUELA DE PROTECCION PARA BORNES DE TRANSFORMADOR DE DISTRIBUCION DE 400KVA</v>
          </cell>
          <cell r="C695" t="str">
            <v>UN</v>
          </cell>
          <cell r="D695">
            <v>2905</v>
          </cell>
        </row>
        <row r="696">
          <cell r="A696">
            <v>6913282</v>
          </cell>
          <cell r="B696" t="str">
            <v>REFUERZO DE POLIESTER REFORZADO C.FIBRA DE VIDRIO PRFV DE 339MM X 1,59M P.POSTE C.A.C. 11,5/300-400</v>
          </cell>
          <cell r="C696" t="str">
            <v>UN</v>
          </cell>
          <cell r="D696">
            <v>213.511</v>
          </cell>
        </row>
        <row r="697">
          <cell r="A697">
            <v>6913283</v>
          </cell>
          <cell r="B697" t="str">
            <v>REFUERZO DE POLIESTER REFORZADO C.FIBRA DE VIDRIO PRFV DE 348MM X 1,59M P.POSTE C.A.C. 11,5/300-400</v>
          </cell>
          <cell r="C697" t="str">
            <v>UN</v>
          </cell>
          <cell r="D697">
            <v>261.93400000000003</v>
          </cell>
        </row>
        <row r="698">
          <cell r="A698">
            <v>6913284</v>
          </cell>
          <cell r="B698" t="str">
            <v>REFUERZO DE POLIESTER REFORZADO C.FIBRA DE VIDRIO PRFV 365MM X 1,59M P.POSTE C.A.C. 13 / 300-400-500</v>
          </cell>
          <cell r="C698" t="str">
            <v>UN</v>
          </cell>
          <cell r="D698">
            <v>325.70400000000001</v>
          </cell>
        </row>
        <row r="699">
          <cell r="A699">
            <v>6913285</v>
          </cell>
          <cell r="B699" t="str">
            <v>REFUERZO DE POLIESTER REFORZADO C.FIBRA DE VIDRIO PRFV 375MM X 1,59M P.POSTE C.A.C. 13 / 300-400-500</v>
          </cell>
          <cell r="C699" t="str">
            <v>UN</v>
          </cell>
          <cell r="D699">
            <v>326.70800000000003</v>
          </cell>
        </row>
        <row r="700">
          <cell r="A700">
            <v>6913286</v>
          </cell>
          <cell r="B700" t="str">
            <v>REFUERZO DE POLIESTER REFORZADO C.FIBRA DE VIDRIO PRFV DE 425MM X 1,59M P.POSTE C.A.C. 15 / 400-500</v>
          </cell>
          <cell r="C700" t="str">
            <v>UN</v>
          </cell>
          <cell r="D700">
            <v>332.44499999999999</v>
          </cell>
        </row>
        <row r="701">
          <cell r="A701">
            <v>6913287</v>
          </cell>
          <cell r="B701" t="str">
            <v>REFUERZO DE POLIESTER REFORZADO C.FIBRA DE VIDRIO PRFV DE 435MM X 1,59M P.POSTE C.A.C. 15 / 400-500</v>
          </cell>
          <cell r="C701" t="str">
            <v>UN</v>
          </cell>
          <cell r="D701">
            <v>332.64699999999999</v>
          </cell>
        </row>
        <row r="702">
          <cell r="A702">
            <v>6913290</v>
          </cell>
          <cell r="B702" t="str">
            <v>REFUERZO DE POLIESTER REFORZADO C.FIBRA DE VIDRIO PRFV DE 186MM X 1,22M P.POSTE C.A.C. 7 / 100</v>
          </cell>
          <cell r="C702" t="str">
            <v>UN</v>
          </cell>
          <cell r="D702">
            <v>89.909000000000006</v>
          </cell>
        </row>
        <row r="703">
          <cell r="A703">
            <v>6913291</v>
          </cell>
          <cell r="B703" t="str">
            <v>REFUERZO DE POLIESTER REFORZADO C.FIBRA DE VIDRIO PRFV DE 224MM X 1,24M P.POSTE C.A.C. 7 / 200</v>
          </cell>
          <cell r="C703" t="str">
            <v>UN</v>
          </cell>
          <cell r="D703">
            <v>100.09399999999999</v>
          </cell>
        </row>
        <row r="704">
          <cell r="A704">
            <v>6913292</v>
          </cell>
          <cell r="B704" t="str">
            <v>REFUERZO DE POLIESTER REFORZADO C.FIBRA DE VIDRIO PRFV DE 242MM X 1,41M P.POSTE C.A.C. 8,7 / 200</v>
          </cell>
          <cell r="C704" t="str">
            <v>UN</v>
          </cell>
          <cell r="D704">
            <v>136.36799999999999</v>
          </cell>
        </row>
        <row r="705">
          <cell r="A705">
            <v>6913293</v>
          </cell>
          <cell r="B705" t="str">
            <v>REFUERZO DE POLIESTER REFORZADO C.FIBRA DE VIDRIO PRFV DE 250MM X 1,39M P.POSTE C.A.C. 8,7 / 300</v>
          </cell>
          <cell r="C705" t="str">
            <v>UN</v>
          </cell>
          <cell r="D705">
            <v>144.066</v>
          </cell>
        </row>
        <row r="706">
          <cell r="A706">
            <v>6913294</v>
          </cell>
          <cell r="B706" t="str">
            <v>REFUERZO DE POLIESTER REFORZADO C.FIBRA DE VIDRIO PRFV DE 337MM X 1,50M P.POSTE C.A.C. 11,5 / 300</v>
          </cell>
          <cell r="C706" t="str">
            <v>UN</v>
          </cell>
          <cell r="D706">
            <v>240.09299999999999</v>
          </cell>
        </row>
        <row r="707">
          <cell r="A707">
            <v>6913295</v>
          </cell>
          <cell r="B707" t="str">
            <v>REFUERZO DE POLIESTER REFORZADO C.FIBRA DE VIDRIO PRFV DE 117MM X 1,40M P.POSTE DE ACERO 7M</v>
          </cell>
          <cell r="C707" t="str">
            <v>UN</v>
          </cell>
          <cell r="D707">
            <v>69.819000000000003</v>
          </cell>
        </row>
        <row r="708">
          <cell r="A708">
            <v>6913296</v>
          </cell>
          <cell r="B708" t="str">
            <v>REFUERZO DE POLIESTER REFORZADO C.FIBRA DE VIDRIO PRFV DE 141MM X 1,40M P.POSTE DE ACERO 9M</v>
          </cell>
          <cell r="C708" t="str">
            <v>UN</v>
          </cell>
          <cell r="D708">
            <v>88.9</v>
          </cell>
        </row>
        <row r="709">
          <cell r="A709">
            <v>6913297</v>
          </cell>
          <cell r="B709" t="str">
            <v>REFUERZO DE POLIESTER REFORZADO C.FIBRA DE VIDRIO PRFV DE 309MM X 1,59M P.POSTE C.A.C. 11,5 / 200</v>
          </cell>
          <cell r="C709" t="str">
            <v>UN</v>
          </cell>
          <cell r="D709">
            <v>259.995</v>
          </cell>
        </row>
        <row r="710">
          <cell r="A710">
            <v>6913298</v>
          </cell>
          <cell r="B710" t="str">
            <v>REFUERZO DE POLIESTER REFORZADO C.FIBRA DE VIDRIO PRFV DE 318MM X 1,59M P.POSTE C.A.C. 11,5 / 200</v>
          </cell>
          <cell r="C710" t="str">
            <v>UN</v>
          </cell>
          <cell r="D710">
            <v>263.375</v>
          </cell>
        </row>
        <row r="711">
          <cell r="A711">
            <v>6913393</v>
          </cell>
          <cell r="B711" t="str">
            <v>CELDA DE LLEGADA TP.METAL ENCLOSED 22,9KV 630A 16KA IP3X EQUIPADA</v>
          </cell>
          <cell r="C711" t="str">
            <v>UN</v>
          </cell>
          <cell r="D711">
            <v>4986.375</v>
          </cell>
        </row>
        <row r="712">
          <cell r="A712">
            <v>6914254</v>
          </cell>
          <cell r="B712" t="str">
            <v>SELLO DE BRONCE P.IDENTIFICACION EMPALME SUBTERRANEO MT</v>
          </cell>
          <cell r="C712" t="str">
            <v>UN</v>
          </cell>
          <cell r="D712">
            <v>37.442999999999998</v>
          </cell>
        </row>
        <row r="713">
          <cell r="A713">
            <v>6931004</v>
          </cell>
          <cell r="B713" t="str">
            <v>CAJA TOMA MEDICION TP. L"  C/TABLERO  VISOR Y CERRADURA"</v>
          </cell>
          <cell r="C713" t="str">
            <v>UN</v>
          </cell>
          <cell r="D713">
            <v>35.414999999999999</v>
          </cell>
        </row>
        <row r="714">
          <cell r="A714">
            <v>6931020</v>
          </cell>
          <cell r="B714" t="str">
            <v>CAJA DE TOMA Y MEDICION TP. LR DE 183X380X175MM C.TABLERO Y TAPA METALICA</v>
          </cell>
          <cell r="C714" t="str">
            <v>UN</v>
          </cell>
          <cell r="D714">
            <v>32.061999999999998</v>
          </cell>
        </row>
        <row r="715">
          <cell r="A715">
            <v>6931021</v>
          </cell>
          <cell r="B715" t="str">
            <v>CAJA DE TOMA Y MEDICION TP. LTR DE 243X450X200MM C.TABLERO Y TAPA METALICA</v>
          </cell>
          <cell r="C715" t="str">
            <v>UN</v>
          </cell>
          <cell r="D715">
            <v>43.274000000000001</v>
          </cell>
        </row>
        <row r="716">
          <cell r="A716">
            <v>6931023</v>
          </cell>
          <cell r="B716" t="str">
            <v>CAJA DE TOMA Y MEDICION TP. LRM DE 183X380X135MM C.TABLERO Y TAPA METALICA</v>
          </cell>
          <cell r="C716" t="str">
            <v>UN</v>
          </cell>
          <cell r="D716">
            <v>29.734000000000002</v>
          </cell>
        </row>
        <row r="717">
          <cell r="A717">
            <v>6931031</v>
          </cell>
          <cell r="B717" t="str">
            <v>CAJA DE TOMA Y MEDICION TP. LTT DE 245X525X200MM C.TABLERO Y TAPA METALICA SIN VISOR</v>
          </cell>
          <cell r="C717" t="str">
            <v>UN</v>
          </cell>
          <cell r="D717">
            <v>51.344999999999999</v>
          </cell>
        </row>
        <row r="718">
          <cell r="A718">
            <v>6931033</v>
          </cell>
          <cell r="B718" t="str">
            <v>CAJA DE TOMA Y MEDICION TP. LTM DE 245X525X200MM C.TABLERO Y TAPA METALICA</v>
          </cell>
          <cell r="C718" t="str">
            <v>UN</v>
          </cell>
          <cell r="D718">
            <v>79.756</v>
          </cell>
        </row>
        <row r="719">
          <cell r="A719">
            <v>6931034</v>
          </cell>
          <cell r="B719" t="str">
            <v>CAJA DE TOMA Y MEDICION TP. LT DE 245X525X200MM C.TABLERO Y TAPA METALICA</v>
          </cell>
          <cell r="C719" t="str">
            <v>UN</v>
          </cell>
          <cell r="D719">
            <v>46.003999999999998</v>
          </cell>
        </row>
        <row r="720">
          <cell r="A720">
            <v>6931046</v>
          </cell>
          <cell r="B720" t="str">
            <v>CAJA DE TOMA Y MEDICION TP. LTM DE 245X525X200MM C.TABLERO Y TAPA METALICA P.MEDIDOR ITRON</v>
          </cell>
          <cell r="C720" t="str">
            <v>UN</v>
          </cell>
          <cell r="D720">
            <v>75.525000000000006</v>
          </cell>
        </row>
        <row r="721">
          <cell r="A721">
            <v>6931066</v>
          </cell>
          <cell r="B721" t="str">
            <v>CAJA METALICA PORTAMEDIDOR TRIFASICA TP. 3B 505 X 410 X 262MM</v>
          </cell>
          <cell r="C721" t="str">
            <v>UN</v>
          </cell>
          <cell r="D721">
            <v>127.062</v>
          </cell>
        </row>
        <row r="722">
          <cell r="A722">
            <v>6931117</v>
          </cell>
          <cell r="B722" t="str">
            <v>TAPA P.CAJA TIP."L"MEDI/CORTOC.154X421X2MM C/HUE.P/TERMOMAG.C/AGUJ.LATERAL P/CERRAD.</v>
          </cell>
          <cell r="C722" t="str">
            <v>UN</v>
          </cell>
          <cell r="D722">
            <v>18.7</v>
          </cell>
        </row>
        <row r="723">
          <cell r="A723">
            <v>6931118</v>
          </cell>
          <cell r="B723" t="str">
            <v>TAPA P.CAJA TIP."L"ANTIGUA 154X474X2MM C/HUECO P/TERMOMAG.C/AGUJ.SUP.P/CERRADURA</v>
          </cell>
          <cell r="C723" t="str">
            <v>UN</v>
          </cell>
          <cell r="D723">
            <v>16.125</v>
          </cell>
        </row>
        <row r="724">
          <cell r="A724">
            <v>6931143</v>
          </cell>
          <cell r="B724" t="str">
            <v>TAPA P.CAJA TP. LR DE 154X351X2MM C.CERRADURA, PUERTA VISOR, AGUJERO P.TERMICO</v>
          </cell>
          <cell r="C724" t="str">
            <v>UN</v>
          </cell>
          <cell r="D724">
            <v>20.204000000000001</v>
          </cell>
        </row>
        <row r="725">
          <cell r="A725">
            <v>6931149</v>
          </cell>
          <cell r="B725" t="str">
            <v>TAPA P.CAJA TP. LTR DE 216X421X2MM C.CERRADURA, PUERTA VISOR, AGUJERO P.TERMICO</v>
          </cell>
          <cell r="C725" t="str">
            <v>UN</v>
          </cell>
          <cell r="D725">
            <v>25.664999999999999</v>
          </cell>
        </row>
        <row r="726">
          <cell r="A726">
            <v>6931160</v>
          </cell>
          <cell r="B726" t="str">
            <v>TAPA DE FIBRA DE VIDRIO P.CAJA TP. L DE 154 X 421 X 3MM C.CERRADURA ANTI HURTO, PUERTA VISOR</v>
          </cell>
          <cell r="C726" t="str">
            <v>UN</v>
          </cell>
          <cell r="D726">
            <v>21</v>
          </cell>
        </row>
        <row r="727">
          <cell r="A727">
            <v>6931161</v>
          </cell>
          <cell r="B727" t="str">
            <v>TAPA DE FIBRA DE VIDRIO P.CAJA TP. L DE 154 X 474 X 3MM C.CERRADURA ANTI HURTO, PUERTA VISOR</v>
          </cell>
          <cell r="C727" t="str">
            <v>UN</v>
          </cell>
          <cell r="D727">
            <v>21.998999999999999</v>
          </cell>
        </row>
        <row r="728">
          <cell r="A728">
            <v>6931163</v>
          </cell>
          <cell r="B728" t="str">
            <v>TAPA DE FIBRA DE VIDRIO P.CAJA TP. LT DE 216 X 496 X 3MM C.CERRADURA ANTI HURTO, PUERTA VISOR</v>
          </cell>
          <cell r="C728" t="str">
            <v>UN</v>
          </cell>
          <cell r="D728">
            <v>24.998000000000001</v>
          </cell>
        </row>
        <row r="729">
          <cell r="A729">
            <v>6931202</v>
          </cell>
          <cell r="B729" t="str">
            <v>CAJA TOMA TIPO F1 DE 320 X 670 X 200MM EQUIPADA C.BASES PORTAFUSIBLES P.B.T. 75KW</v>
          </cell>
          <cell r="C729" t="str">
            <v>UN</v>
          </cell>
          <cell r="D729">
            <v>305.07799999999997</v>
          </cell>
        </row>
        <row r="730">
          <cell r="A730">
            <v>6931224</v>
          </cell>
          <cell r="B730" t="str">
            <v>CAJA TOMA TIPO F2 DE 599 X 650 X 205MM EQUIPADA C.6 BASES PORTAFUSIBLES P.B.T. 150KW</v>
          </cell>
          <cell r="C730" t="str">
            <v>UN</v>
          </cell>
          <cell r="D730">
            <v>577.40300000000002</v>
          </cell>
        </row>
        <row r="731">
          <cell r="A731">
            <v>6931246</v>
          </cell>
          <cell r="B731" t="str">
            <v>CAJA TOMA TP. F3 C/EQ. 205X650X880MM</v>
          </cell>
          <cell r="C731" t="str">
            <v>UN</v>
          </cell>
          <cell r="D731">
            <v>802.17200000000003</v>
          </cell>
        </row>
        <row r="732">
          <cell r="A732">
            <v>6931402</v>
          </cell>
          <cell r="B732" t="str">
            <v>TAPA PARA CAJA TOMA TP. F1 2X295X645MM</v>
          </cell>
          <cell r="C732" t="str">
            <v>UN</v>
          </cell>
          <cell r="D732">
            <v>31.798999999999999</v>
          </cell>
        </row>
        <row r="733">
          <cell r="A733">
            <v>6931561</v>
          </cell>
          <cell r="B733" t="str">
            <v>SOPORTE P.CAJA PORTAMEDIDOR MONOFASICO RECUBIERTA POLIESTER Y FIBRA DE VIDRIO TUBO DE PVC 4" 1602MM</v>
          </cell>
          <cell r="C733" t="str">
            <v>UN</v>
          </cell>
          <cell r="D733">
            <v>117.065</v>
          </cell>
        </row>
        <row r="734">
          <cell r="A734">
            <v>6931812</v>
          </cell>
          <cell r="B734" t="str">
            <v>CERRADURA DE CABEZA TRIANGULAR P.TAPA DE CAJA TOMA Y MEDICION TIPO L Y LT</v>
          </cell>
          <cell r="C734" t="str">
            <v>UN</v>
          </cell>
          <cell r="D734">
            <v>5.1120000000000001</v>
          </cell>
        </row>
        <row r="735">
          <cell r="A735">
            <v>6931828</v>
          </cell>
          <cell r="B735" t="str">
            <v>PRECINTO DE SEGURIDAD TP.TRIPLE ANCLA P.BORNERAS DE MEDIDOR C.INSERTO DE COLOR ROJO</v>
          </cell>
          <cell r="C735" t="str">
            <v>UN</v>
          </cell>
          <cell r="D735">
            <v>0.23799999999999999</v>
          </cell>
        </row>
        <row r="736">
          <cell r="A736">
            <v>6931830</v>
          </cell>
          <cell r="B736" t="str">
            <v>PRECINTO DE SEGURIDAD TP.DOBLE ANCLA P.BORNERAS DE MEDIDOR C.INSERTO DE COLOR AZUL</v>
          </cell>
          <cell r="C736" t="str">
            <v>UN</v>
          </cell>
          <cell r="D736">
            <v>0.33700000000000002</v>
          </cell>
        </row>
        <row r="737">
          <cell r="A737">
            <v>6933194</v>
          </cell>
          <cell r="B737" t="str">
            <v>CAJA NO METALICA DE DERIVACION Y ACOMETIDA EN REDES AEREAS DE BAJA TENSION</v>
          </cell>
          <cell r="C737" t="str">
            <v>UN</v>
          </cell>
          <cell r="D737">
            <v>99.575000000000003</v>
          </cell>
        </row>
        <row r="738">
          <cell r="A738">
            <v>6936016</v>
          </cell>
          <cell r="B738" t="str">
            <v>CAJA P.TABLERO DE DISTRIBUCION SECUNDARIA Y A.P. P.SAM Y SAS, TAMANO 3 S.EQUIPAMIENTO</v>
          </cell>
          <cell r="C738" t="str">
            <v>UN</v>
          </cell>
          <cell r="D738">
            <v>792.36199999999997</v>
          </cell>
        </row>
        <row r="739">
          <cell r="A739">
            <v>6936018</v>
          </cell>
          <cell r="B739" t="str">
            <v>CAJA P.TABLERO DE DISTRIBUCION SECUNDARIA Y A.P. P.SAB Y SCB, TAMAÑO 4 S.EQUIPAMIENTO</v>
          </cell>
          <cell r="C739" t="str">
            <v>UN</v>
          </cell>
          <cell r="D739">
            <v>934.33799999999997</v>
          </cell>
        </row>
        <row r="740">
          <cell r="A740">
            <v>6941018</v>
          </cell>
          <cell r="B740" t="str">
            <v>ABRAZADERA P.PAST.SIMP.5  AC.48MMD POST.AC.172MMD.</v>
          </cell>
          <cell r="C740" t="str">
            <v>UN</v>
          </cell>
          <cell r="D740">
            <v>20.512</v>
          </cell>
        </row>
        <row r="741">
          <cell r="A741">
            <v>6941170</v>
          </cell>
          <cell r="B741" t="str">
            <v>ABRAZADERA DE ACERO GALV. 160 - 190MM DIAM. C.4 PERNOS DE AJUSTE P.SOPORTE DEL BRAZO DE APOYO</v>
          </cell>
          <cell r="C741" t="str">
            <v>UN</v>
          </cell>
          <cell r="D741">
            <v>29.53</v>
          </cell>
        </row>
        <row r="742">
          <cell r="A742">
            <v>6941172</v>
          </cell>
          <cell r="B742" t="str">
            <v>ABRAZADERA DE ACERO GALV. 230 - 267MM DIAM. C.4 PERNOS DE AJUSTE P.SOPORTE DEL BRAZO DE APOYO</v>
          </cell>
          <cell r="C742" t="str">
            <v>UN</v>
          </cell>
          <cell r="D742">
            <v>31.736999999999998</v>
          </cell>
        </row>
        <row r="743">
          <cell r="A743">
            <v>6941174</v>
          </cell>
          <cell r="B743" t="str">
            <v>ABRAZADERA DE ACERO GALV. 190 - 225MM DIAM. C.4 PERNOS DE AJUSTE P.SOPORTE DEL BRAZO DE APOYO</v>
          </cell>
          <cell r="C743" t="str">
            <v>UN</v>
          </cell>
          <cell r="D743">
            <v>33.671999999999997</v>
          </cell>
        </row>
        <row r="744">
          <cell r="A744">
            <v>6941185</v>
          </cell>
          <cell r="B744" t="str">
            <v>ABRAZADERA POSTE C.A.120MMD.C/GANCHO ACOMET.DOMIC.</v>
          </cell>
          <cell r="C744" t="str">
            <v>UN</v>
          </cell>
          <cell r="D744">
            <v>13.334</v>
          </cell>
        </row>
        <row r="745">
          <cell r="A745">
            <v>6941187</v>
          </cell>
          <cell r="B745" t="str">
            <v>ABRAZADERA DE ACERO GALV. 88MM DIAM. P. ESTRUCTURAS DE LINEAS AEREAS</v>
          </cell>
          <cell r="C745" t="str">
            <v>UN</v>
          </cell>
          <cell r="D745">
            <v>10.688000000000001</v>
          </cell>
        </row>
        <row r="746">
          <cell r="A746">
            <v>6941188</v>
          </cell>
          <cell r="B746" t="str">
            <v>ABRAZADERA POSTE C.A.150MMD.C/GANCHO ACOMET.DOMIC.</v>
          </cell>
          <cell r="C746" t="str">
            <v>UN</v>
          </cell>
          <cell r="D746">
            <v>13.994999999999999</v>
          </cell>
        </row>
        <row r="747">
          <cell r="A747">
            <v>6941190</v>
          </cell>
          <cell r="B747" t="str">
            <v>ABRAZADERA DE ACERO GALV. 160 - 190MM DIAM. P.SOPORTE DEL BRAZO DE APOYO</v>
          </cell>
          <cell r="C747" t="str">
            <v>UN</v>
          </cell>
          <cell r="D747">
            <v>20.492000000000001</v>
          </cell>
        </row>
        <row r="748">
          <cell r="A748">
            <v>6941191</v>
          </cell>
          <cell r="B748" t="str">
            <v>ABRAZADERA DE ACERO GALV. 88MM DIAM. C.4 GANCHOS 3/8" X 40MM P. ESTRUCTURAS DE LINEAS AEREAS</v>
          </cell>
          <cell r="C748" t="str">
            <v>UN</v>
          </cell>
          <cell r="D748">
            <v>9.8309999999999995</v>
          </cell>
        </row>
        <row r="749">
          <cell r="A749">
            <v>6941192</v>
          </cell>
          <cell r="B749" t="str">
            <v>ABRAZADERA POSTE C.A.210MMD.C/GANCHO ACOMET.DOMIC.</v>
          </cell>
          <cell r="C749" t="str">
            <v>UN</v>
          </cell>
          <cell r="D749">
            <v>19.405000000000001</v>
          </cell>
        </row>
        <row r="750">
          <cell r="A750">
            <v>6941196</v>
          </cell>
          <cell r="B750" t="str">
            <v>ABRAZADERA DE ACERO GALV. 230 - 267MM DIAM. P.SOPORTE DEL BRAZO DE APOYO</v>
          </cell>
          <cell r="C750" t="str">
            <v>UN</v>
          </cell>
          <cell r="D750">
            <v>23.513999999999999</v>
          </cell>
        </row>
        <row r="751">
          <cell r="A751">
            <v>6941270</v>
          </cell>
          <cell r="B751" t="str">
            <v>ABRAZADERA ACERO GALV.SIMPLE 3/16" X 1 1/2" P.PASTORAL 48MM / POSTE 62MM DIAM.</v>
          </cell>
          <cell r="C751" t="str">
            <v>UN</v>
          </cell>
          <cell r="D751">
            <v>9.9489999999999998</v>
          </cell>
        </row>
        <row r="752">
          <cell r="A752">
            <v>6941271</v>
          </cell>
          <cell r="B752" t="str">
            <v>ABRAZADERA ACERO GALV.SIMPLE 3/16" X 1 1/2" P.PASTORAL 48MM / POSTE 80MM DIAM.</v>
          </cell>
          <cell r="C752" t="str">
            <v>UN</v>
          </cell>
          <cell r="D752">
            <v>10.38</v>
          </cell>
        </row>
        <row r="753">
          <cell r="A753">
            <v>6941272</v>
          </cell>
          <cell r="B753" t="str">
            <v>ABRAZADERA ACERO GALV.SIMPLE 3/16" X 1 1/2" P.PASTORAL 48MM / POSTE 102MM DIAM.</v>
          </cell>
          <cell r="C753" t="str">
            <v>UN</v>
          </cell>
          <cell r="D753">
            <v>10.167999999999999</v>
          </cell>
        </row>
        <row r="754">
          <cell r="A754">
            <v>6941273</v>
          </cell>
          <cell r="B754" t="str">
            <v>ABRAZADERA ACERO GALV.SIMPLE 3/16" X 1 1/2" P.PASTORAL 48MM / POSTE 132MM DIAM.</v>
          </cell>
          <cell r="C754" t="str">
            <v>UN</v>
          </cell>
          <cell r="D754">
            <v>10.166</v>
          </cell>
        </row>
        <row r="755">
          <cell r="A755">
            <v>6941274</v>
          </cell>
          <cell r="B755" t="str">
            <v>ABRAZADERA ACERO GALV.SIMPLE 3/16" X 1 1/2" P.PASTORAL 48MM / POSTE 152MM DIAM.</v>
          </cell>
          <cell r="C755" t="str">
            <v>UN</v>
          </cell>
          <cell r="D755">
            <v>10.584</v>
          </cell>
        </row>
        <row r="756">
          <cell r="A756">
            <v>6941276</v>
          </cell>
          <cell r="B756" t="str">
            <v>ABRAZADERA ACERO GALV.SIMPLE 3/16" X 1 1/2" P.PASTORAL 1 1/2" / POSTE 3" DIAM.</v>
          </cell>
          <cell r="C756" t="str">
            <v>UN</v>
          </cell>
          <cell r="D756">
            <v>10.226000000000001</v>
          </cell>
        </row>
        <row r="757">
          <cell r="A757">
            <v>6941405</v>
          </cell>
          <cell r="B757" t="str">
            <v>ABRAZADERA P.RETENIDA DE ACERO GALV. 1 1/2" X 3/16" / POSTE 88MM DIAM.C.ACCESORIOS</v>
          </cell>
          <cell r="C757" t="str">
            <v>UN</v>
          </cell>
          <cell r="D757">
            <v>18.352</v>
          </cell>
        </row>
        <row r="758">
          <cell r="A758">
            <v>6941464</v>
          </cell>
          <cell r="B758" t="str">
            <v>ABRAZADERA PARA VIENTO AC.GALV. 120-160MMD.M.T.</v>
          </cell>
          <cell r="C758" t="str">
            <v>UN</v>
          </cell>
          <cell r="D758">
            <v>58.807000000000002</v>
          </cell>
        </row>
        <row r="759">
          <cell r="A759">
            <v>6941466</v>
          </cell>
          <cell r="B759" t="str">
            <v>ABRAZADERA PARA VIENTO AC.GALV. 170-245MMD M.T.</v>
          </cell>
          <cell r="C759" t="str">
            <v>UN</v>
          </cell>
          <cell r="D759">
            <v>63.524999999999999</v>
          </cell>
        </row>
        <row r="760">
          <cell r="A760">
            <v>6947006</v>
          </cell>
          <cell r="B760" t="str">
            <v>ABRAZADERA DE ACERO GALV. P.CABLE 25MM2 C.ARCO CENTRAL 36MM DIAM. EN PLATINA DE ACERO 90X130X6,35MM</v>
          </cell>
          <cell r="C760" t="str">
            <v>UN</v>
          </cell>
          <cell r="D760">
            <v>3.6640000000000001</v>
          </cell>
        </row>
        <row r="761">
          <cell r="A761">
            <v>6951010</v>
          </cell>
          <cell r="B761" t="str">
            <v>PORTABARRA P. BARRA TP. PLETINA 50MM P.AISL.SOP.</v>
          </cell>
          <cell r="C761" t="str">
            <v>UN</v>
          </cell>
          <cell r="D761">
            <v>66.847999999999999</v>
          </cell>
        </row>
        <row r="762">
          <cell r="A762">
            <v>6951118</v>
          </cell>
          <cell r="B762" t="str">
            <v>SOPORTE METAL.P.PLATAFORMA DE SS.EE. AEREA 250KVA</v>
          </cell>
          <cell r="C762" t="str">
            <v>UN</v>
          </cell>
          <cell r="D762">
            <v>463.48200000000003</v>
          </cell>
        </row>
        <row r="763">
          <cell r="A763">
            <v>6951872</v>
          </cell>
          <cell r="B763" t="str">
            <v>TORNILLO ADAPT.PORTABARRA/AISLADOR 1/2  M16  10KV."</v>
          </cell>
          <cell r="C763" t="str">
            <v>UN</v>
          </cell>
          <cell r="D763">
            <v>4.2439999999999998</v>
          </cell>
        </row>
        <row r="764">
          <cell r="A764">
            <v>6954004</v>
          </cell>
          <cell r="B764" t="str">
            <v>SOPORTE P. CAJA TERMINAL P.CABLE  NKY 10KV TAM. 1.</v>
          </cell>
          <cell r="C764" t="str">
            <v>UN</v>
          </cell>
          <cell r="D764">
            <v>99.924000000000007</v>
          </cell>
        </row>
        <row r="765">
          <cell r="A765">
            <v>6954030</v>
          </cell>
          <cell r="B765" t="str">
            <v>SOPORTE P. CJ.TERM.10KV EN NIVEL 240/240X120MM.</v>
          </cell>
          <cell r="C765" t="str">
            <v>UN</v>
          </cell>
          <cell r="D765">
            <v>15.98</v>
          </cell>
        </row>
        <row r="766">
          <cell r="A766">
            <v>6954206</v>
          </cell>
          <cell r="B766" t="str">
            <v>SOPORTE P.1 TERM.TERMOR/ELASTOM.CAB.NKY 16-70MM2.</v>
          </cell>
          <cell r="C766" t="str">
            <v>JG</v>
          </cell>
          <cell r="D766">
            <v>27.117999999999999</v>
          </cell>
        </row>
        <row r="767">
          <cell r="A767">
            <v>6955809</v>
          </cell>
          <cell r="B767" t="str">
            <v>SOPORTE METALICO 100 X 700MM C.PLATINAS DE ACERO GALV. 1/8" Y 3/16" CAPA PRFV P.GRAPA TIPO U</v>
          </cell>
          <cell r="C767" t="str">
            <v>UN</v>
          </cell>
          <cell r="D767">
            <v>32.784999999999997</v>
          </cell>
        </row>
        <row r="768">
          <cell r="A768">
            <v>6955820</v>
          </cell>
          <cell r="B768" t="str">
            <v>PLATINA DE REGULACION DE ACERO GALV. P.SOPORTE TERMINAL INTERIOR DE CABLE NKY 10KV</v>
          </cell>
          <cell r="C768" t="str">
            <v>PR</v>
          </cell>
          <cell r="D768">
            <v>17.861000000000001</v>
          </cell>
        </row>
        <row r="769">
          <cell r="A769">
            <v>6955832</v>
          </cell>
          <cell r="B769" t="str">
            <v>PERFIL SIMETRICO (RIEL DIN) P. INTERRUP. BIP. Y TRIP.</v>
          </cell>
          <cell r="C769" t="str">
            <v>UN</v>
          </cell>
          <cell r="D769">
            <v>2.9340000000000002</v>
          </cell>
        </row>
        <row r="770">
          <cell r="A770">
            <v>6961002</v>
          </cell>
          <cell r="B770" t="str">
            <v>SOPORTE P.TRANSF. EN SE.DE SUPERF.  50X152X1300MM.</v>
          </cell>
          <cell r="C770" t="str">
            <v>UN</v>
          </cell>
          <cell r="D770">
            <v>166.46700000000001</v>
          </cell>
        </row>
        <row r="771">
          <cell r="A771">
            <v>6961006</v>
          </cell>
          <cell r="B771" t="str">
            <v>PLETINA P.SOP.DE TRANSF.EN SAB  (2)63.5X9.52X405MM</v>
          </cell>
          <cell r="C771" t="str">
            <v>JG</v>
          </cell>
          <cell r="D771">
            <v>37.399000000000001</v>
          </cell>
        </row>
        <row r="772">
          <cell r="A772">
            <v>6961012</v>
          </cell>
          <cell r="B772" t="str">
            <v>SOPORTE P.TRANSF.MONOF.AEREO  10/0.22KV.   250MMD.</v>
          </cell>
          <cell r="C772" t="str">
            <v>UN</v>
          </cell>
          <cell r="D772">
            <v>445.83</v>
          </cell>
        </row>
        <row r="773">
          <cell r="A773">
            <v>6961065</v>
          </cell>
          <cell r="B773" t="str">
            <v>GRAPA TIPO U DE ACERO INOXIDABLE 5/16" DIAM. RADIO 30MM P.CABLE A BARRA C.CABLE NAYY 25-185MM2</v>
          </cell>
          <cell r="C773" t="str">
            <v>UN</v>
          </cell>
          <cell r="D773">
            <v>16.567</v>
          </cell>
        </row>
        <row r="774">
          <cell r="A774">
            <v>6961066</v>
          </cell>
          <cell r="B774" t="str">
            <v>GRAPA TIPO U DE ACERO INOXIDABLE 5/16" DIAM. RADIO 37MM P.CABLE A BARRA C.CABLE NAYY 300-500MM2</v>
          </cell>
          <cell r="C774" t="str">
            <v>UN</v>
          </cell>
          <cell r="D774">
            <v>18.167000000000002</v>
          </cell>
        </row>
        <row r="775">
          <cell r="A775">
            <v>6961067</v>
          </cell>
          <cell r="B775" t="str">
            <v>GRAPA TIPO U DE ACERO INOXIDABLE 5/16" DIAM. RADIO 52MM P.CABLE A BARRA C.CABLE NAYY 300-500MM2</v>
          </cell>
          <cell r="C775" t="str">
            <v>UN</v>
          </cell>
          <cell r="D775">
            <v>18.311</v>
          </cell>
        </row>
        <row r="776">
          <cell r="A776">
            <v>6961102</v>
          </cell>
          <cell r="B776" t="str">
            <v>ACCESORIO DE ACERO GALV.P.ANCLAJE DE TRANSFORMADOR SOBRE PLATAFORMA 60X55X290X10MM C.ACCESORIOS</v>
          </cell>
          <cell r="C776" t="str">
            <v>JG</v>
          </cell>
          <cell r="D776">
            <v>26.363</v>
          </cell>
        </row>
        <row r="777">
          <cell r="A777">
            <v>6961104</v>
          </cell>
          <cell r="B777" t="str">
            <v>ACCESORIO DE ACERO GALV.P.ANCLAJE DE TRANSFORMADOR SOBRE PLATAFORMA 60X75X380X10MM C.ACCESORIOS</v>
          </cell>
          <cell r="C777" t="str">
            <v>JG</v>
          </cell>
          <cell r="D777">
            <v>29.663</v>
          </cell>
        </row>
        <row r="778">
          <cell r="A778">
            <v>6961160</v>
          </cell>
          <cell r="B778" t="str">
            <v>SOPORTE DE ACERO GALV. P.AISLADOR TP.PIN POLIMERICO 22,9KV</v>
          </cell>
          <cell r="C778" t="str">
            <v>UN</v>
          </cell>
          <cell r="D778">
            <v>19.797000000000001</v>
          </cell>
        </row>
        <row r="779">
          <cell r="A779">
            <v>6962202</v>
          </cell>
          <cell r="B779" t="str">
            <v>SOPORTE P.MODUL.DISTRIB.SECUND.AP. SAB-SCP-SCB T.1.</v>
          </cell>
          <cell r="C779" t="str">
            <v>UN</v>
          </cell>
          <cell r="D779">
            <v>41.156999999999996</v>
          </cell>
        </row>
        <row r="780">
          <cell r="A780">
            <v>6981045</v>
          </cell>
          <cell r="B780" t="str">
            <v>BARRA DE DERIVACION DE COBRE O BRONCE 144MM2 180 KV/CM 220V 200A AISLADA 12 SALIDAS 75KW</v>
          </cell>
          <cell r="C780" t="str">
            <v>UN</v>
          </cell>
          <cell r="D780">
            <v>24.492000000000001</v>
          </cell>
        </row>
        <row r="781">
          <cell r="A781">
            <v>6981422</v>
          </cell>
          <cell r="B781" t="str">
            <v>SUPLE DE CU ESTAÑADO 65X100X5MM 5350KG P.PARTE EXTREMA SUPERIOR SECCIONADOR VERTICAL NH</v>
          </cell>
          <cell r="C781" t="str">
            <v>UN</v>
          </cell>
          <cell r="D781">
            <v>37.220999999999997</v>
          </cell>
        </row>
        <row r="782">
          <cell r="A782">
            <v>6981426</v>
          </cell>
          <cell r="B782" t="str">
            <v>SUPLE DE CU ESTAÑADO 65X100X5MM 5350KG P.PARTE EXTREMA INFERIOR SECCIONADOR VERTICAL NH</v>
          </cell>
          <cell r="C782" t="str">
            <v>UN</v>
          </cell>
          <cell r="D782">
            <v>36.905999999999999</v>
          </cell>
        </row>
        <row r="783">
          <cell r="A783">
            <v>6981430</v>
          </cell>
          <cell r="B783" t="str">
            <v>SUPLE DE CU ESTAÑADO 40X100X5MM 5350KG P.PARTE CENTRAL DEL SECCIONADOR VERTICAL NH</v>
          </cell>
          <cell r="C783" t="str">
            <v>UN</v>
          </cell>
          <cell r="D783">
            <v>23.866</v>
          </cell>
        </row>
        <row r="784">
          <cell r="A784">
            <v>6984012</v>
          </cell>
          <cell r="B784" t="str">
            <v>MASTIL ACERO GALV. 1 1/2" DIAM. 6M ALTURA P.ACOMETIDA AEREA</v>
          </cell>
          <cell r="C784" t="str">
            <v>UN</v>
          </cell>
          <cell r="D784">
            <v>119.185</v>
          </cell>
        </row>
        <row r="785">
          <cell r="A785">
            <v>6984016</v>
          </cell>
          <cell r="B785" t="str">
            <v>MASTIL ACERO GALV. 1 1/2" DIAM. 4,4M ALTURA P.ACOMETIDA AEREA</v>
          </cell>
          <cell r="C785" t="str">
            <v>UN</v>
          </cell>
          <cell r="D785">
            <v>101.532</v>
          </cell>
        </row>
        <row r="786">
          <cell r="A786">
            <v>6984017</v>
          </cell>
          <cell r="B786" t="str">
            <v>MASTIL ACERO GALV. 1 1/2" DIAM. 6M ALTURA P.ACOMETIDA AEREA P.CAJA AUTOSOPORTADA</v>
          </cell>
          <cell r="C786" t="str">
            <v>UN</v>
          </cell>
          <cell r="D786">
            <v>116.959</v>
          </cell>
        </row>
        <row r="787">
          <cell r="A787">
            <v>6984019</v>
          </cell>
          <cell r="B787" t="str">
            <v>MASTIL ACERO 1 1/2" DIAM. 6M ALTURA RECUBIERTO DE PRFV 3MM P. CAJA AUTOSOPORTADA</v>
          </cell>
          <cell r="C787" t="str">
            <v>UN</v>
          </cell>
          <cell r="D787">
            <v>131.22900000000001</v>
          </cell>
        </row>
        <row r="788">
          <cell r="A788">
            <v>6984020</v>
          </cell>
          <cell r="B788" t="str">
            <v>MASTIL ACERO 1 1/4" DIAM. 3,5M ALTURA RECUBIERTO PRFV 2,5MM P.MURETE DE CONCRETO EN ACOMETIDA AEREA</v>
          </cell>
          <cell r="C788" t="str">
            <v>UN</v>
          </cell>
          <cell r="D788">
            <v>56.648000000000003</v>
          </cell>
        </row>
        <row r="789">
          <cell r="A789">
            <v>6984022</v>
          </cell>
          <cell r="B789" t="str">
            <v>MASTIL ACERO 1 1/2" DIAM. 4,4M ALTURA RECUBIERTO DE PRFV 3MM P.ACOMETIDA AEREA</v>
          </cell>
          <cell r="C789" t="str">
            <v>UN</v>
          </cell>
          <cell r="D789">
            <v>99.075000000000003</v>
          </cell>
        </row>
        <row r="790">
          <cell r="A790">
            <v>6984023</v>
          </cell>
          <cell r="B790" t="str">
            <v>MASTIL ACERO 1 1/2" DIAM. 6M ALTURA RECUBIERTO PRFV 3MM P.ACOMETIDA AEREA A MURETE DE CONCRETO</v>
          </cell>
          <cell r="C790" t="str">
            <v>UN</v>
          </cell>
          <cell r="D790">
            <v>133.965</v>
          </cell>
        </row>
        <row r="791">
          <cell r="A791">
            <v>6984025</v>
          </cell>
          <cell r="B791" t="str">
            <v>MASTIL DE POLIESTER REFORZADO C.FIBRA DE VIDRIO 3,5M ALTURA P.ACOMETIDA AEREA</v>
          </cell>
          <cell r="C791" t="str">
            <v>UN</v>
          </cell>
          <cell r="D791">
            <v>105.83499999999999</v>
          </cell>
        </row>
        <row r="792">
          <cell r="A792">
            <v>6984027</v>
          </cell>
          <cell r="B792" t="str">
            <v>MASTIL ACERO 1 1/4" DIAM. 3,5M ALTURA RECUBIERTO PRFV 2,5MM P.CAJA AUTOSOPORTADA PRFV EN ACOMETIDA</v>
          </cell>
          <cell r="C792" t="str">
            <v>UN</v>
          </cell>
          <cell r="D792">
            <v>60.277999999999999</v>
          </cell>
        </row>
        <row r="793">
          <cell r="A793">
            <v>6986108</v>
          </cell>
          <cell r="B793" t="str">
            <v>CONECTOR BRONCE P.ELECTRODO DE PUESTA A TIERRA 5/8" DIAM</v>
          </cell>
          <cell r="C793" t="str">
            <v>UN</v>
          </cell>
          <cell r="D793">
            <v>3.6059999999999999</v>
          </cell>
        </row>
        <row r="794">
          <cell r="A794">
            <v>6986218</v>
          </cell>
          <cell r="B794" t="str">
            <v>BORNE DE CONEXION ENTRE BARRA Y CABLE 150-185MM2.</v>
          </cell>
          <cell r="C794" t="str">
            <v>UN</v>
          </cell>
          <cell r="D794">
            <v>24.018000000000001</v>
          </cell>
        </row>
        <row r="795">
          <cell r="A795">
            <v>6986226</v>
          </cell>
          <cell r="B795" t="str">
            <v>BORNE DE CONEXION ENTRE BARRA Y CABLE  500MM2.</v>
          </cell>
          <cell r="C795" t="str">
            <v>UN</v>
          </cell>
          <cell r="D795">
            <v>201.85400000000001</v>
          </cell>
        </row>
        <row r="796">
          <cell r="A796">
            <v>9984202</v>
          </cell>
          <cell r="B796" t="str">
            <v>LUMINARIA ASTRO P/LAMPARA DE 150W REPOTENCIADA EQUIPADA</v>
          </cell>
          <cell r="C796" t="str">
            <v>UN</v>
          </cell>
          <cell r="D796">
            <v>66.73</v>
          </cell>
        </row>
        <row r="797">
          <cell r="A797">
            <v>9984204</v>
          </cell>
          <cell r="B797" t="str">
            <v>LUMINARIA TIPO FAROLA HPC / SPC DE 70W REPOTENCIADA</v>
          </cell>
          <cell r="C797" t="str">
            <v>UN</v>
          </cell>
          <cell r="D797">
            <v>38.146000000000001</v>
          </cell>
        </row>
        <row r="798">
          <cell r="A798">
            <v>9984205</v>
          </cell>
          <cell r="B798" t="str">
            <v>LUMINARIA ASTRO P/LAMPARA DE 70W REPOTENCIADA</v>
          </cell>
          <cell r="C798" t="str">
            <v>UN</v>
          </cell>
          <cell r="D798">
            <v>43.804000000000002</v>
          </cell>
        </row>
        <row r="799">
          <cell r="A799">
            <v>9984206</v>
          </cell>
          <cell r="B799" t="str">
            <v>LUMINARIA ECOM P/LAMPARA DE 70W REPOTENCIADA</v>
          </cell>
          <cell r="C799" t="str">
            <v>UN</v>
          </cell>
          <cell r="D799">
            <v>40.862000000000002</v>
          </cell>
        </row>
        <row r="800">
          <cell r="A800">
            <v>9984211</v>
          </cell>
          <cell r="B800" t="str">
            <v>LUMINARIA ECOM P/LAMPARA DE 150W REPOTENCIADA</v>
          </cell>
          <cell r="C800" t="str">
            <v>UN</v>
          </cell>
          <cell r="D800">
            <v>53.878</v>
          </cell>
        </row>
        <row r="801">
          <cell r="A801">
            <v>9984212</v>
          </cell>
          <cell r="B801" t="str">
            <v>LUMINARIA SOLARIS P/LAMPARA DE 150W REPOTENCIADA</v>
          </cell>
          <cell r="C801" t="str">
            <v>UN</v>
          </cell>
          <cell r="D801">
            <v>55.488</v>
          </cell>
        </row>
        <row r="802">
          <cell r="A802">
            <v>9984220</v>
          </cell>
          <cell r="B802" t="str">
            <v>LUMINARIA SOLARIS P/LAMPARA DE 250W REPOTENCIADA</v>
          </cell>
          <cell r="C802" t="str">
            <v>UN</v>
          </cell>
          <cell r="D802">
            <v>67.674999999999997</v>
          </cell>
        </row>
        <row r="803">
          <cell r="A803">
            <v>9984224</v>
          </cell>
          <cell r="B803" t="str">
            <v>LUMINARIA SRC-515 L P/LAMPARA DE 250W REPOTENCIADA</v>
          </cell>
          <cell r="C803" t="str">
            <v>UN</v>
          </cell>
          <cell r="D803">
            <v>71.049000000000007</v>
          </cell>
        </row>
        <row r="804">
          <cell r="A804">
            <v>9984228</v>
          </cell>
          <cell r="B804" t="str">
            <v>LUMINARIA SRC-511 P/LAMPARA DE 400W REPOTENCIADA</v>
          </cell>
          <cell r="C804" t="str">
            <v>UN</v>
          </cell>
          <cell r="D804">
            <v>87.185000000000002</v>
          </cell>
        </row>
        <row r="805">
          <cell r="A805">
            <v>9988170</v>
          </cell>
          <cell r="B805" t="str">
            <v>LUMINARIA ASTRO P/LAMPARA DE 70W RECICLADA.</v>
          </cell>
          <cell r="C805" t="str">
            <v>UN</v>
          </cell>
          <cell r="D805">
            <v>1.0900000000000001</v>
          </cell>
        </row>
        <row r="806">
          <cell r="A806">
            <v>9988174</v>
          </cell>
          <cell r="B806" t="str">
            <v>LUMINARIA ECOM P/LAMPARA DE 70W RECICLADA.</v>
          </cell>
          <cell r="C806" t="str">
            <v>UN</v>
          </cell>
          <cell r="D806">
            <v>1.3440000000000001</v>
          </cell>
        </row>
        <row r="807">
          <cell r="A807">
            <v>9988186</v>
          </cell>
          <cell r="B807" t="str">
            <v>LUMINARIA ECOM P/LAMPARA DE 150W RECICLADA.</v>
          </cell>
          <cell r="C807" t="str">
            <v>UN</v>
          </cell>
          <cell r="D807">
            <v>1.5349999999999999</v>
          </cell>
        </row>
      </sheetData>
      <sheetData sheetId="1" refreshError="1"/>
      <sheetData sheetId="2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</sheetNames>
    <sheetDataSet>
      <sheetData sheetId="0" refreshError="1">
        <row r="6">
          <cell r="B6" t="str">
            <v>*001400</v>
          </cell>
          <cell r="C6" t="str">
            <v>INSPECCIÓN DE SUMINISTROS - CONTROL PÉRDIDAS ZONA ESTE - POR DÍA</v>
          </cell>
          <cell r="D6" t="str">
            <v>PQ</v>
          </cell>
          <cell r="E6">
            <v>1.0656000000000001</v>
          </cell>
          <cell r="F6">
            <v>9.6</v>
          </cell>
          <cell r="G6">
            <v>658.06849999999997</v>
          </cell>
          <cell r="H6">
            <v>152.67189199999999</v>
          </cell>
          <cell r="I6">
            <v>810.74039199999993</v>
          </cell>
        </row>
        <row r="7">
          <cell r="B7" t="str">
            <v>*010000</v>
          </cell>
          <cell r="C7" t="str">
            <v>ALQUILER  POR HORA DE GRÚA DE HASTA 6,5 TN - INCLUYE OPERADOR, RIGGER, COMBUSTIBLE Y GG</v>
          </cell>
          <cell r="D7" t="str">
            <v>H</v>
          </cell>
          <cell r="E7">
            <v>9.6</v>
          </cell>
          <cell r="F7">
            <v>9.6</v>
          </cell>
          <cell r="G7">
            <v>118.1818</v>
          </cell>
          <cell r="H7">
            <v>27.418177599999996</v>
          </cell>
          <cell r="I7">
            <v>145.59997759999999</v>
          </cell>
        </row>
        <row r="8">
          <cell r="B8" t="str">
            <v>*010001</v>
          </cell>
          <cell r="C8" t="str">
            <v>ALQUILER POR HORA DE GRÚA DE HASTA 10 TN - INCLUYE OPERADOR, RIGGER, COMBUSTIBLE Y GG</v>
          </cell>
          <cell r="D8" t="str">
            <v>H</v>
          </cell>
          <cell r="E8">
            <v>9.6</v>
          </cell>
          <cell r="F8">
            <v>9.6</v>
          </cell>
          <cell r="G8">
            <v>139.3939</v>
          </cell>
          <cell r="H8">
            <v>32.339384799999998</v>
          </cell>
          <cell r="I8">
            <v>171.73328480000001</v>
          </cell>
        </row>
        <row r="9">
          <cell r="B9" t="str">
            <v>*010002</v>
          </cell>
          <cell r="C9" t="str">
            <v>ALQUILER POR HORA DE MARTILLO DEMOLEDOR Y GRUPO ELECTROGENO DE 5 HP- INC. COMBUSTIBLE, TRASLADO Y GG</v>
          </cell>
          <cell r="D9" t="str">
            <v>H</v>
          </cell>
          <cell r="E9">
            <v>9.6</v>
          </cell>
          <cell r="F9">
            <v>9.6</v>
          </cell>
          <cell r="G9">
            <v>19.4132</v>
          </cell>
          <cell r="H9">
            <v>4.5038624</v>
          </cell>
          <cell r="I9">
            <v>23.917062399999999</v>
          </cell>
        </row>
        <row r="10">
          <cell r="B10" t="str">
            <v>*010003</v>
          </cell>
          <cell r="C10" t="str">
            <v>ALQUILER  POR HORA DE WINCHE HIDRÁULICO DE 9 TN - INCL. OPERADOR Y GG</v>
          </cell>
          <cell r="D10" t="str">
            <v>H</v>
          </cell>
          <cell r="E10">
            <v>9.6</v>
          </cell>
          <cell r="F10">
            <v>9.6</v>
          </cell>
          <cell r="G10">
            <v>97.446299999999994</v>
          </cell>
          <cell r="H10">
            <v>22.607541599999998</v>
          </cell>
          <cell r="I10">
            <v>120.0538416</v>
          </cell>
        </row>
        <row r="11">
          <cell r="B11" t="str">
            <v>*010004</v>
          </cell>
          <cell r="C11" t="str">
            <v>ALQUILER  POR HORA DE MINI-EXCAVADORA - INCL. OPERADOR, COMBUSTIBLE Y GG</v>
          </cell>
          <cell r="D11" t="str">
            <v>H</v>
          </cell>
          <cell r="E11">
            <v>9.6</v>
          </cell>
          <cell r="F11">
            <v>9.6</v>
          </cell>
          <cell r="G11">
            <v>107.2727</v>
          </cell>
          <cell r="H11">
            <v>24.887266399999998</v>
          </cell>
          <cell r="I11">
            <v>132.1599664</v>
          </cell>
        </row>
        <row r="12">
          <cell r="B12" t="str">
            <v>*010005</v>
          </cell>
          <cell r="C12" t="str">
            <v>ALQUILER  POR HORA DE EXCAVADORA - INCL. OPERADOR, COMBUSTIBLE Y GG</v>
          </cell>
          <cell r="D12" t="str">
            <v>H</v>
          </cell>
          <cell r="E12">
            <v>9.6</v>
          </cell>
          <cell r="F12">
            <v>9.6</v>
          </cell>
          <cell r="G12">
            <v>181.81819999999999</v>
          </cell>
          <cell r="H12">
            <v>42.181822399999994</v>
          </cell>
          <cell r="I12">
            <v>224.00002239999998</v>
          </cell>
        </row>
        <row r="13">
          <cell r="B13" t="str">
            <v>*010007</v>
          </cell>
          <cell r="C13" t="str">
            <v>ALQUILER  POR DIA DE BAÑO PORTATIL - INCL. MANTENIMIENTO, TRASLADO, INSTALACIÓN Y GG</v>
          </cell>
          <cell r="D13" t="str">
            <v>UN</v>
          </cell>
          <cell r="E13">
            <v>1</v>
          </cell>
          <cell r="F13">
            <v>9.6</v>
          </cell>
          <cell r="G13">
            <v>10.1568</v>
          </cell>
          <cell r="H13">
            <v>2.3563776000000001</v>
          </cell>
          <cell r="I13">
            <v>12.513177600000001</v>
          </cell>
        </row>
        <row r="14">
          <cell r="B14" t="str">
            <v>*010008</v>
          </cell>
          <cell r="C14" t="str">
            <v>ALQUILER  POR HORA DE MINICARGADOR - INCL. OPERADOR, COMBUSTIBLE Y GG</v>
          </cell>
          <cell r="D14" t="str">
            <v>H</v>
          </cell>
          <cell r="E14">
            <v>9.6</v>
          </cell>
          <cell r="F14">
            <v>9.6</v>
          </cell>
          <cell r="G14">
            <v>81.198300000000003</v>
          </cell>
          <cell r="H14">
            <v>18.838005599999999</v>
          </cell>
          <cell r="I14">
            <v>100.03630560000001</v>
          </cell>
        </row>
        <row r="15">
          <cell r="B15" t="str">
            <v>*010009</v>
          </cell>
          <cell r="C15" t="str">
            <v>ALQUILER POR DÍA DE AMOLADORA (INCL. GG)</v>
          </cell>
          <cell r="D15" t="str">
            <v>UN</v>
          </cell>
          <cell r="E15">
            <v>1</v>
          </cell>
          <cell r="F15">
            <v>9.6</v>
          </cell>
          <cell r="G15">
            <v>27.272600000000001</v>
          </cell>
          <cell r="H15">
            <v>6.3272431999999998</v>
          </cell>
          <cell r="I15">
            <v>33.599843200000002</v>
          </cell>
        </row>
        <row r="16">
          <cell r="B16" t="str">
            <v>*010010</v>
          </cell>
          <cell r="C16" t="str">
            <v>ALQUILER POR HORA DE MARTILLO DEMOLEDOR DE HASTA 68 JOULES- INCLUYE TRASLADO Y GG</v>
          </cell>
          <cell r="D16" t="str">
            <v>H</v>
          </cell>
          <cell r="E16">
            <v>9.6</v>
          </cell>
          <cell r="F16">
            <v>9.6</v>
          </cell>
          <cell r="G16">
            <v>9.4710999999999999</v>
          </cell>
          <cell r="H16">
            <v>2.1972951999999997</v>
          </cell>
          <cell r="I16">
            <v>11.668395199999999</v>
          </cell>
        </row>
        <row r="17">
          <cell r="B17" t="str">
            <v>*010011</v>
          </cell>
          <cell r="C17" t="str">
            <v>ALQUILER POR HORA DE GRUPO ELECTROGENO DE 5 HP - INCLUYE COMBUSTIBLE, TRASLADO Y GG</v>
          </cell>
          <cell r="D17" t="str">
            <v>H</v>
          </cell>
          <cell r="E17">
            <v>9.6</v>
          </cell>
          <cell r="F17">
            <v>9.6</v>
          </cell>
          <cell r="G17">
            <v>9.9420999999999999</v>
          </cell>
          <cell r="H17">
            <v>2.3065671999999999</v>
          </cell>
          <cell r="I17">
            <v>12.2486672</v>
          </cell>
        </row>
        <row r="18">
          <cell r="B18" t="str">
            <v>*010012</v>
          </cell>
          <cell r="C18" t="str">
            <v>ALQUILER DE TRACTO-PLATAFORMA POR HORA - INCL. OPERADOR, COMBUSTIBLE Y GG</v>
          </cell>
          <cell r="D18" t="str">
            <v>H</v>
          </cell>
          <cell r="E18">
            <v>9.6</v>
          </cell>
          <cell r="F18">
            <v>9.6</v>
          </cell>
          <cell r="G18">
            <v>99.2149</v>
          </cell>
          <cell r="H18">
            <v>23.017856799999997</v>
          </cell>
          <cell r="I18">
            <v>122.2327568</v>
          </cell>
        </row>
        <row r="19">
          <cell r="B19" t="str">
            <v>*010013</v>
          </cell>
          <cell r="C19" t="str">
            <v>ALQUILER POR HORA DE GRÚA DE HASTA 13 TONELADAS - INC. OPERADOR, RIGGER, COMBUSTIBLE Y GG</v>
          </cell>
          <cell r="D19" t="str">
            <v>H</v>
          </cell>
          <cell r="E19">
            <v>9.6</v>
          </cell>
          <cell r="F19">
            <v>9.6</v>
          </cell>
          <cell r="G19">
            <v>163.63640000000001</v>
          </cell>
          <cell r="H19">
            <v>37.963644799999997</v>
          </cell>
          <cell r="I19">
            <v>201.60004480000001</v>
          </cell>
        </row>
        <row r="20">
          <cell r="B20" t="str">
            <v>*010100</v>
          </cell>
          <cell r="C20" t="str">
            <v>Hora de Capataz</v>
          </cell>
          <cell r="D20" t="str">
            <v>HH</v>
          </cell>
          <cell r="E20">
            <v>9.6</v>
          </cell>
          <cell r="F20">
            <v>9.6</v>
          </cell>
          <cell r="G20">
            <v>20.755299999999998</v>
          </cell>
          <cell r="H20">
            <v>4.8152295999999994</v>
          </cell>
          <cell r="I20">
            <v>25.570529599999997</v>
          </cell>
        </row>
        <row r="21">
          <cell r="B21" t="str">
            <v>*010101</v>
          </cell>
          <cell r="C21" t="str">
            <v>HORA DE OPERARIO</v>
          </cell>
          <cell r="D21" t="str">
            <v>HH</v>
          </cell>
          <cell r="E21">
            <v>9.6</v>
          </cell>
          <cell r="F21">
            <v>9.6</v>
          </cell>
          <cell r="G21">
            <v>15.253399999999999</v>
          </cell>
          <cell r="H21">
            <v>3.5387887999999994</v>
          </cell>
          <cell r="I21">
            <v>18.792188799999998</v>
          </cell>
        </row>
        <row r="22">
          <cell r="B22" t="str">
            <v>*010102</v>
          </cell>
          <cell r="C22" t="str">
            <v>HORA DE  AYUDANTE</v>
          </cell>
          <cell r="D22" t="str">
            <v>HH</v>
          </cell>
          <cell r="E22">
            <v>9.6</v>
          </cell>
          <cell r="F22">
            <v>9.6</v>
          </cell>
          <cell r="G22">
            <v>11.860200000000001</v>
          </cell>
          <cell r="H22">
            <v>2.7515664000000002</v>
          </cell>
          <cell r="I22">
            <v>14.6117664</v>
          </cell>
        </row>
        <row r="23">
          <cell r="B23" t="str">
            <v>*010126</v>
          </cell>
          <cell r="C23" t="str">
            <v>PRUEBA</v>
          </cell>
          <cell r="D23" t="str">
            <v>HH</v>
          </cell>
          <cell r="E23">
            <v>9.6</v>
          </cell>
          <cell r="F23">
            <v>9.6</v>
          </cell>
          <cell r="G23">
            <v>5.1887999999999996</v>
          </cell>
          <cell r="H23">
            <v>1.2038015999999998</v>
          </cell>
          <cell r="I23">
            <v>6.392601599999999</v>
          </cell>
        </row>
        <row r="24">
          <cell r="B24" t="str">
            <v>*010130</v>
          </cell>
          <cell r="C24" t="str">
            <v>HORA EXTRA 25% CAPATAZ - 2 PRIMERAS HORAS</v>
          </cell>
          <cell r="D24" t="str">
            <v>HH</v>
          </cell>
          <cell r="E24">
            <v>9.6</v>
          </cell>
          <cell r="F24">
            <v>9.6</v>
          </cell>
          <cell r="G24">
            <v>5.1887999999999996</v>
          </cell>
          <cell r="H24">
            <v>1.2038015999999998</v>
          </cell>
          <cell r="I24">
            <v>6.392601599999999</v>
          </cell>
        </row>
        <row r="25">
          <cell r="B25" t="str">
            <v>*010131</v>
          </cell>
          <cell r="C25" t="str">
            <v>HORA EXTRA 25% OPERARIO - 2 PRIMERAS HORAS</v>
          </cell>
          <cell r="D25" t="str">
            <v>HH</v>
          </cell>
          <cell r="E25">
            <v>9.6</v>
          </cell>
          <cell r="F25">
            <v>9.6</v>
          </cell>
          <cell r="G25">
            <v>3.8134000000000001</v>
          </cell>
          <cell r="H25">
            <v>0.88470879999999996</v>
          </cell>
          <cell r="I25">
            <v>4.6981088</v>
          </cell>
        </row>
        <row r="26">
          <cell r="B26" t="str">
            <v>*010132</v>
          </cell>
          <cell r="C26" t="str">
            <v>HORA EXTRA 25% AYUDANTE - 2 PRIMERAS HORAS</v>
          </cell>
          <cell r="D26" t="str">
            <v>HH</v>
          </cell>
          <cell r="E26">
            <v>9.6</v>
          </cell>
          <cell r="F26">
            <v>9.6</v>
          </cell>
          <cell r="G26">
            <v>2.9651000000000001</v>
          </cell>
          <cell r="H26">
            <v>0.68790319999999994</v>
          </cell>
          <cell r="I26">
            <v>3.6530032000000001</v>
          </cell>
        </row>
        <row r="27">
          <cell r="B27" t="str">
            <v>*010133</v>
          </cell>
          <cell r="C27" t="str">
            <v>HORA EXTRA 35% CAPATAZ - DESDE TERCERA HORA</v>
          </cell>
          <cell r="D27" t="str">
            <v>HH</v>
          </cell>
          <cell r="E27">
            <v>9.6</v>
          </cell>
          <cell r="F27">
            <v>9.6</v>
          </cell>
          <cell r="G27">
            <v>7.2644000000000002</v>
          </cell>
          <cell r="H27">
            <v>1.6853407999999999</v>
          </cell>
          <cell r="I27">
            <v>8.9497408000000007</v>
          </cell>
        </row>
        <row r="28">
          <cell r="B28" t="str">
            <v>*010134</v>
          </cell>
          <cell r="C28" t="str">
            <v>HORA EXTRA 35% OPERARIO - DESDE TERCERA HORA</v>
          </cell>
          <cell r="D28" t="str">
            <v>HH</v>
          </cell>
          <cell r="E28">
            <v>9.6</v>
          </cell>
          <cell r="F28">
            <v>9.6</v>
          </cell>
          <cell r="G28">
            <v>5.3387000000000002</v>
          </cell>
          <cell r="H28">
            <v>1.2385784</v>
          </cell>
          <cell r="I28">
            <v>6.5772784</v>
          </cell>
        </row>
        <row r="29">
          <cell r="B29" t="str">
            <v>*010135</v>
          </cell>
          <cell r="C29" t="str">
            <v>HORA EXTRA 35% AYUDANTE - DESDE TERCERA HORA</v>
          </cell>
          <cell r="D29" t="str">
            <v>HH</v>
          </cell>
          <cell r="E29">
            <v>9.6</v>
          </cell>
          <cell r="F29">
            <v>9.6</v>
          </cell>
          <cell r="G29">
            <v>4.1510999999999996</v>
          </cell>
          <cell r="H29">
            <v>0.96305519999999978</v>
          </cell>
          <cell r="I29">
            <v>5.114155199999999</v>
          </cell>
        </row>
        <row r="30">
          <cell r="B30" t="str">
            <v>*010136</v>
          </cell>
          <cell r="C30" t="str">
            <v>HORA EXTRA 25% CONDUCTOR - 2 PRIMERAS HORAS</v>
          </cell>
          <cell r="D30" t="str">
            <v>HH</v>
          </cell>
          <cell r="E30">
            <v>9.6</v>
          </cell>
          <cell r="F30">
            <v>9.6</v>
          </cell>
          <cell r="G30">
            <v>2.0388000000000002</v>
          </cell>
          <cell r="H30">
            <v>0.47300160000000002</v>
          </cell>
          <cell r="I30">
            <v>2.5118016000000001</v>
          </cell>
        </row>
        <row r="31">
          <cell r="B31" t="str">
            <v>*010137</v>
          </cell>
          <cell r="C31" t="str">
            <v>HORA EXTRA 35% CONDUCOTR - DESDE TERCERA HORA</v>
          </cell>
          <cell r="D31" t="str">
            <v>HH</v>
          </cell>
          <cell r="E31">
            <v>9.6</v>
          </cell>
          <cell r="F31">
            <v>9.6</v>
          </cell>
          <cell r="G31">
            <v>2.8542999999999998</v>
          </cell>
          <cell r="H31">
            <v>0.66219759999999994</v>
          </cell>
          <cell r="I31">
            <v>3.5164975999999997</v>
          </cell>
        </row>
        <row r="32">
          <cell r="B32" t="str">
            <v>*010138</v>
          </cell>
          <cell r="C32" t="str">
            <v>HORA EXTRA 100% CONDUCTOR - JORNADA NO LABORABLE</v>
          </cell>
          <cell r="D32" t="str">
            <v>HH</v>
          </cell>
          <cell r="E32">
            <v>9.6</v>
          </cell>
          <cell r="F32">
            <v>9.6</v>
          </cell>
          <cell r="G32">
            <v>8.1552000000000007</v>
          </cell>
          <cell r="H32">
            <v>1.8920064000000001</v>
          </cell>
          <cell r="I32">
            <v>10.0472064</v>
          </cell>
        </row>
        <row r="33">
          <cell r="B33" t="str">
            <v>*010139</v>
          </cell>
          <cell r="C33" t="str">
            <v>HORA EXTRA 25% OPERADOR GRÚA</v>
          </cell>
          <cell r="D33" t="str">
            <v>HH</v>
          </cell>
          <cell r="E33">
            <v>9.6</v>
          </cell>
          <cell r="F33">
            <v>9.6</v>
          </cell>
          <cell r="G33">
            <v>4.0595999999999997</v>
          </cell>
          <cell r="H33">
            <v>0.94182719999999986</v>
          </cell>
          <cell r="I33">
            <v>5.0014271999999993</v>
          </cell>
        </row>
        <row r="34">
          <cell r="B34" t="str">
            <v>*010140</v>
          </cell>
          <cell r="C34" t="str">
            <v>HORA EXTRA 35% OPERADOR GRÚA</v>
          </cell>
          <cell r="D34" t="str">
            <v>HH</v>
          </cell>
          <cell r="E34">
            <v>9.6</v>
          </cell>
          <cell r="F34">
            <v>9.6</v>
          </cell>
          <cell r="G34">
            <v>5.6835000000000004</v>
          </cell>
          <cell r="H34">
            <v>1.3185720000000001</v>
          </cell>
          <cell r="I34">
            <v>7.0020720000000001</v>
          </cell>
        </row>
        <row r="35">
          <cell r="B35" t="str">
            <v>*010141</v>
          </cell>
          <cell r="C35" t="str">
            <v>HORA EXTRA 100% OPERADOR GRÚA</v>
          </cell>
          <cell r="D35" t="str">
            <v>HH</v>
          </cell>
          <cell r="E35">
            <v>9.6</v>
          </cell>
          <cell r="F35">
            <v>9.6</v>
          </cell>
          <cell r="G35">
            <v>16.238499999999998</v>
          </cell>
          <cell r="H35">
            <v>3.7673319999999992</v>
          </cell>
          <cell r="I35">
            <v>20.005831999999998</v>
          </cell>
        </row>
        <row r="36">
          <cell r="B36" t="str">
            <v>*010150</v>
          </cell>
          <cell r="C36" t="str">
            <v>HORA NOCTURNA 25% CAPATAZ</v>
          </cell>
          <cell r="D36" t="str">
            <v>HH</v>
          </cell>
          <cell r="E36">
            <v>9.6</v>
          </cell>
          <cell r="F36">
            <v>9.6</v>
          </cell>
          <cell r="G36">
            <v>5.1887999999999996</v>
          </cell>
          <cell r="H36">
            <v>1.2038015999999998</v>
          </cell>
          <cell r="I36">
            <v>6.392601599999999</v>
          </cell>
        </row>
        <row r="37">
          <cell r="B37" t="str">
            <v>*010151</v>
          </cell>
          <cell r="C37" t="str">
            <v>HORA NOCTURNA 25% OPERARIO</v>
          </cell>
          <cell r="D37" t="str">
            <v>HH</v>
          </cell>
          <cell r="E37">
            <v>9.6</v>
          </cell>
          <cell r="F37">
            <v>9.6</v>
          </cell>
          <cell r="G37">
            <v>3.8134000000000001</v>
          </cell>
          <cell r="H37">
            <v>0.88470879999999996</v>
          </cell>
          <cell r="I37">
            <v>4.6981088</v>
          </cell>
        </row>
        <row r="38">
          <cell r="B38" t="str">
            <v>*010152</v>
          </cell>
          <cell r="C38" t="str">
            <v>HORA NOCTURNA 25% AYUDANTE</v>
          </cell>
          <cell r="D38" t="str">
            <v>HH</v>
          </cell>
          <cell r="E38">
            <v>9.6</v>
          </cell>
          <cell r="F38">
            <v>9.6</v>
          </cell>
          <cell r="G38">
            <v>2.9651000000000001</v>
          </cell>
          <cell r="H38">
            <v>0.68790319999999994</v>
          </cell>
          <cell r="I38">
            <v>3.6530032000000001</v>
          </cell>
        </row>
        <row r="39">
          <cell r="B39" t="str">
            <v>*010153</v>
          </cell>
          <cell r="C39" t="str">
            <v>HORA NOCTURNA 25% CONDUCTOR</v>
          </cell>
          <cell r="D39" t="str">
            <v>HH</v>
          </cell>
          <cell r="E39">
            <v>9.6</v>
          </cell>
          <cell r="F39">
            <v>9.6</v>
          </cell>
          <cell r="G39">
            <v>2.0388000000000002</v>
          </cell>
          <cell r="H39">
            <v>0.47300160000000002</v>
          </cell>
          <cell r="I39">
            <v>2.5118016000000001</v>
          </cell>
        </row>
        <row r="40">
          <cell r="B40" t="str">
            <v>*010154</v>
          </cell>
          <cell r="C40" t="str">
            <v>HORA NOCTURNA 25% OPERADOR GRÚA</v>
          </cell>
          <cell r="D40" t="str">
            <v>HH</v>
          </cell>
          <cell r="E40">
            <v>9.6</v>
          </cell>
          <cell r="F40">
            <v>9.6</v>
          </cell>
          <cell r="G40">
            <v>4.0595999999999997</v>
          </cell>
          <cell r="H40">
            <v>0.94182719999999986</v>
          </cell>
          <cell r="I40">
            <v>5.0014271999999993</v>
          </cell>
        </row>
        <row r="41">
          <cell r="B41" t="str">
            <v>*010155</v>
          </cell>
          <cell r="C41" t="str">
            <v>HORA NOCTURNA 25% TÉC. REG. TS</v>
          </cell>
          <cell r="D41" t="str">
            <v>HH</v>
          </cell>
          <cell r="E41">
            <v>9.6</v>
          </cell>
          <cell r="F41">
            <v>9.6</v>
          </cell>
          <cell r="G41">
            <v>4.9238999999999997</v>
          </cell>
          <cell r="H41">
            <v>1.1423447999999998</v>
          </cell>
          <cell r="I41">
            <v>6.0662447999999998</v>
          </cell>
        </row>
        <row r="42">
          <cell r="B42" t="str">
            <v>*010200</v>
          </cell>
          <cell r="C42" t="str">
            <v>HORA DE CUADRILLA DE PROYECTOS CON CAMIÓN DE 4 TN Y CUATRO PERSONAS</v>
          </cell>
          <cell r="D42" t="str">
            <v>H</v>
          </cell>
          <cell r="E42">
            <v>9.6</v>
          </cell>
          <cell r="F42">
            <v>9.6</v>
          </cell>
          <cell r="G42">
            <v>106.2713</v>
          </cell>
          <cell r="H42">
            <v>24.654941599999997</v>
          </cell>
          <cell r="I42">
            <v>130.9262416</v>
          </cell>
        </row>
        <row r="43">
          <cell r="B43" t="str">
            <v>*010201</v>
          </cell>
          <cell r="C43" t="str">
            <v>HORA DE CUADRILLA DE PROYECTOS CON CAMIONETA  4X4 Y TRES PERSONAS</v>
          </cell>
          <cell r="D43" t="str">
            <v>H</v>
          </cell>
          <cell r="E43">
            <v>9.6</v>
          </cell>
          <cell r="F43">
            <v>9.6</v>
          </cell>
          <cell r="G43">
            <v>89.357200000000006</v>
          </cell>
          <cell r="H43">
            <v>20.730870400000001</v>
          </cell>
          <cell r="I43">
            <v>110.08807040000001</v>
          </cell>
        </row>
        <row r="44">
          <cell r="B44" t="str">
            <v>*010202</v>
          </cell>
          <cell r="C44" t="str">
            <v>HORA DE CUADRILLA DE PROYECTOS CON GRUA DE 6 TN Y TRES PERSONAS</v>
          </cell>
          <cell r="D44" t="str">
            <v>H</v>
          </cell>
          <cell r="E44">
            <v>9.6</v>
          </cell>
          <cell r="F44">
            <v>9.6</v>
          </cell>
          <cell r="G44">
            <v>147.34480000000002</v>
          </cell>
          <cell r="H44">
            <v>34.183993600000001</v>
          </cell>
          <cell r="I44">
            <v>181.52879360000003</v>
          </cell>
        </row>
        <row r="45">
          <cell r="B45" t="str">
            <v>*010203</v>
          </cell>
          <cell r="C45" t="str">
            <v>HORA DE CUADRILLA DE PROYECTOS CON GRUA DE 9 TN Y TRES PERSONAS</v>
          </cell>
          <cell r="D45" t="str">
            <v>H</v>
          </cell>
          <cell r="E45">
            <v>9.6</v>
          </cell>
          <cell r="F45">
            <v>9.6</v>
          </cell>
          <cell r="G45">
            <v>161.4948</v>
          </cell>
          <cell r="H45">
            <v>37.466793599999995</v>
          </cell>
          <cell r="I45">
            <v>198.96159359999999</v>
          </cell>
        </row>
        <row r="46">
          <cell r="B46" t="str">
            <v>*010204</v>
          </cell>
          <cell r="C46" t="str">
            <v>HORA DE CUADRILLA DE MANTENIMIENTO DE MEDIDORES</v>
          </cell>
          <cell r="D46" t="str">
            <v>H</v>
          </cell>
          <cell r="E46">
            <v>9.6</v>
          </cell>
          <cell r="F46">
            <v>9.6</v>
          </cell>
          <cell r="G46">
            <v>42.448599999999999</v>
          </cell>
          <cell r="H46">
            <v>9.8480751999999985</v>
          </cell>
          <cell r="I46">
            <v>52.296675199999996</v>
          </cell>
        </row>
        <row r="47">
          <cell r="B47" t="str">
            <v>*010210</v>
          </cell>
          <cell r="C47" t="str">
            <v>HORA DE CUADRILLA DE MANTENIMIENTO CON CAMIÓN DE 4 TN Y CUATRO PERSONAS</v>
          </cell>
          <cell r="D47" t="str">
            <v>H</v>
          </cell>
          <cell r="E47">
            <v>9.6</v>
          </cell>
          <cell r="F47">
            <v>9.6</v>
          </cell>
          <cell r="G47">
            <v>106.2713</v>
          </cell>
          <cell r="H47">
            <v>24.654941599999997</v>
          </cell>
          <cell r="I47">
            <v>130.9262416</v>
          </cell>
        </row>
        <row r="48">
          <cell r="B48" t="str">
            <v>*010211</v>
          </cell>
          <cell r="C48" t="str">
            <v>HORA DE CUADRILLA DE MANTENIMIENTO CON CAMIONETA  4X4 Y TRES PERSONAS</v>
          </cell>
          <cell r="D48" t="str">
            <v>H</v>
          </cell>
          <cell r="E48">
            <v>9.6</v>
          </cell>
          <cell r="F48">
            <v>9.6</v>
          </cell>
          <cell r="G48">
            <v>91.814800000000005</v>
          </cell>
          <cell r="H48">
            <v>21.3010336</v>
          </cell>
          <cell r="I48">
            <v>113.1158336</v>
          </cell>
        </row>
        <row r="49">
          <cell r="B49" t="str">
            <v>*010212</v>
          </cell>
          <cell r="C49" t="str">
            <v>HORA DE CUADRILLA DE MANTENIMIENTO CON GRUA DE 6 TN Y TRES PERSONAS</v>
          </cell>
          <cell r="D49" t="str">
            <v>H</v>
          </cell>
          <cell r="E49">
            <v>9.6</v>
          </cell>
          <cell r="F49">
            <v>9.6</v>
          </cell>
          <cell r="G49">
            <v>149.80220000000003</v>
          </cell>
          <cell r="H49">
            <v>34.754110400000002</v>
          </cell>
          <cell r="I49">
            <v>184.55631040000003</v>
          </cell>
        </row>
        <row r="50">
          <cell r="B50" t="str">
            <v>*010213</v>
          </cell>
          <cell r="C50" t="str">
            <v>HORA DE CUADRILLA DE MANTENIMIENTO CON GRUA DE 9 TN Y TRES PERSONAS</v>
          </cell>
          <cell r="D50" t="str">
            <v>H</v>
          </cell>
          <cell r="E50">
            <v>9.6</v>
          </cell>
          <cell r="F50">
            <v>9.6</v>
          </cell>
          <cell r="G50">
            <v>163.9522</v>
          </cell>
          <cell r="H50">
            <v>38.036910399999996</v>
          </cell>
          <cell r="I50">
            <v>201.98911040000002</v>
          </cell>
        </row>
        <row r="51">
          <cell r="B51" t="str">
            <v>*010250</v>
          </cell>
          <cell r="C51" t="str">
            <v>Uso por hora de martillo demoledor a costo propietario</v>
          </cell>
          <cell r="D51" t="str">
            <v>H</v>
          </cell>
          <cell r="E51">
            <v>9.6</v>
          </cell>
          <cell r="F51">
            <v>9.6</v>
          </cell>
          <cell r="G51">
            <v>2.5099999999999998</v>
          </cell>
          <cell r="H51">
            <v>0.58231999999999995</v>
          </cell>
          <cell r="I51">
            <v>3.09232</v>
          </cell>
        </row>
        <row r="52">
          <cell r="B52" t="str">
            <v>*010251</v>
          </cell>
          <cell r="C52" t="str">
            <v>Uso por hora de grupo electrógeno a costo propietario</v>
          </cell>
          <cell r="D52" t="str">
            <v>H</v>
          </cell>
          <cell r="E52">
            <v>9.6</v>
          </cell>
          <cell r="F52">
            <v>9.6</v>
          </cell>
          <cell r="G52">
            <v>11.24</v>
          </cell>
          <cell r="H52">
            <v>2.6076799999999998</v>
          </cell>
          <cell r="I52">
            <v>13.84768</v>
          </cell>
        </row>
        <row r="53">
          <cell r="B53" t="str">
            <v>*010252</v>
          </cell>
          <cell r="C53" t="str">
            <v>Uso por hora de minicargador Bobcat a costo propietario</v>
          </cell>
          <cell r="D53" t="str">
            <v>H</v>
          </cell>
          <cell r="E53">
            <v>9.6</v>
          </cell>
          <cell r="F53">
            <v>9.6</v>
          </cell>
          <cell r="G53">
            <v>39.270000000000003</v>
          </cell>
          <cell r="H53">
            <v>9.1106400000000001</v>
          </cell>
          <cell r="I53">
            <v>48.38064</v>
          </cell>
        </row>
        <row r="54">
          <cell r="B54" t="str">
            <v>*010260</v>
          </cell>
          <cell r="C54" t="str">
            <v>Uso de grúa complementaria para trabajos de afectaciones ejecutados por el CR 60262.</v>
          </cell>
          <cell r="D54" t="str">
            <v>UN</v>
          </cell>
          <cell r="E54">
            <v>2.2856999999999998</v>
          </cell>
          <cell r="F54">
            <v>9.6</v>
          </cell>
          <cell r="G54">
            <v>358.43020000000001</v>
          </cell>
          <cell r="H54">
            <v>83.155806400000003</v>
          </cell>
          <cell r="I54">
            <v>441.58600640000003</v>
          </cell>
        </row>
        <row r="55">
          <cell r="B55" t="str">
            <v>*010261</v>
          </cell>
          <cell r="C55" t="str">
            <v>USO POR HORA DE GRÚA DE HASTA 6.5 TN (Ref. HIAB 175) - INCLUYE OPERADOR, COMBUSTIBLE, GG Y UTILIDAD</v>
          </cell>
          <cell r="D55" t="str">
            <v>H</v>
          </cell>
          <cell r="E55">
            <v>9.6</v>
          </cell>
          <cell r="F55">
            <v>9.6</v>
          </cell>
          <cell r="G55">
            <v>85.34</v>
          </cell>
          <cell r="H55">
            <v>19.79888</v>
          </cell>
          <cell r="I55">
            <v>105.13888</v>
          </cell>
        </row>
        <row r="56">
          <cell r="B56" t="str">
            <v>*010262</v>
          </cell>
          <cell r="C56" t="str">
            <v>USO POR HORA DE GRÚA DE HASTA 10 TN (Ref. HIAB 215) - INCLUYE OPERADOR, COMBUSTIBLE, GG Y UTILIDAD</v>
          </cell>
          <cell r="D56" t="str">
            <v>H</v>
          </cell>
          <cell r="E56">
            <v>9.6</v>
          </cell>
          <cell r="F56">
            <v>9.6</v>
          </cell>
          <cell r="G56">
            <v>99.49</v>
          </cell>
          <cell r="H56">
            <v>23.081679999999999</v>
          </cell>
          <cell r="I56">
            <v>122.57167999999999</v>
          </cell>
        </row>
        <row r="57">
          <cell r="B57" t="str">
            <v>*010263</v>
          </cell>
          <cell r="C57" t="str">
            <v>Grúa adicional para REFORMAS BT aereas por metro de cable</v>
          </cell>
          <cell r="D57" t="str">
            <v>M</v>
          </cell>
          <cell r="E57">
            <v>9.6</v>
          </cell>
          <cell r="F57">
            <v>9.6</v>
          </cell>
          <cell r="G57">
            <v>13.7056</v>
          </cell>
          <cell r="H57">
            <v>3.1796991999999999</v>
          </cell>
          <cell r="I57">
            <v>16.885299199999999</v>
          </cell>
        </row>
        <row r="58">
          <cell r="B58" t="str">
            <v>*010300</v>
          </cell>
          <cell r="C58" t="str">
            <v>GASTOS DE ALOJAMIENTO Y ALIMENTACIÓN POR DÍA</v>
          </cell>
          <cell r="D58" t="str">
            <v>DIA</v>
          </cell>
          <cell r="E58">
            <v>1</v>
          </cell>
          <cell r="F58">
            <v>9.6</v>
          </cell>
          <cell r="G58">
            <v>66.115700000000004</v>
          </cell>
          <cell r="H58">
            <v>15.338842399999999</v>
          </cell>
          <cell r="I58">
            <v>81.454542400000008</v>
          </cell>
        </row>
        <row r="59">
          <cell r="B59" t="str">
            <v>*010400</v>
          </cell>
          <cell r="C59" t="str">
            <v>INSPECCIÓN DE SUMINISTROS - CONTROL PÉRDIDAS ZONA ESTE - POR DÍA</v>
          </cell>
          <cell r="D59" t="str">
            <v>PQ</v>
          </cell>
          <cell r="E59">
            <v>1.0656000000000001</v>
          </cell>
          <cell r="F59">
            <v>10</v>
          </cell>
          <cell r="G59">
            <v>1619.1179</v>
          </cell>
          <cell r="H59">
            <v>375.63535279999996</v>
          </cell>
          <cell r="I59">
            <v>1994.7532527999999</v>
          </cell>
        </row>
        <row r="60">
          <cell r="B60" t="str">
            <v>*010401</v>
          </cell>
          <cell r="C60" t="str">
            <v>INSPECCIÓN DE SUMINISTROS - CONTROL PÉRDIDAS ZONA SUR - POR DÍA</v>
          </cell>
          <cell r="D60" t="str">
            <v>UN</v>
          </cell>
          <cell r="E60">
            <v>1.0814999999999999</v>
          </cell>
          <cell r="F60">
            <v>10</v>
          </cell>
          <cell r="G60">
            <v>1205.1318000000001</v>
          </cell>
          <cell r="H60">
            <v>279.59057760000002</v>
          </cell>
          <cell r="I60">
            <v>1484.7223776000001</v>
          </cell>
        </row>
        <row r="61">
          <cell r="B61" t="str">
            <v>*010402</v>
          </cell>
          <cell r="C61" t="str">
            <v>CUADRILLA MULTIFUNCIÓN CNR POR DÍA</v>
          </cell>
          <cell r="D61" t="str">
            <v>UN</v>
          </cell>
          <cell r="E61">
            <v>0.91620000000000001</v>
          </cell>
          <cell r="F61">
            <v>10</v>
          </cell>
          <cell r="G61">
            <v>959.06240000000003</v>
          </cell>
          <cell r="H61">
            <v>222.50247679999998</v>
          </cell>
          <cell r="I61">
            <v>1181.5648768000001</v>
          </cell>
        </row>
        <row r="62">
          <cell r="B62" t="str">
            <v>*010403</v>
          </cell>
          <cell r="C62" t="str">
            <v>REEMPLAZO DE MEDIDORES POR CNR POR DÍA</v>
          </cell>
          <cell r="D62" t="str">
            <v>UN</v>
          </cell>
          <cell r="E62">
            <v>0.90969999999999995</v>
          </cell>
          <cell r="F62">
            <v>10</v>
          </cell>
          <cell r="G62">
            <v>479.38220000000001</v>
          </cell>
          <cell r="H62">
            <v>111.2166704</v>
          </cell>
          <cell r="I62">
            <v>590.59887040000001</v>
          </cell>
        </row>
        <row r="63">
          <cell r="B63" t="str">
            <v>*010500</v>
          </cell>
          <cell r="C63" t="str">
            <v>Hora de movilidad para cuadrilla (camión 4TN)</v>
          </cell>
          <cell r="D63" t="str">
            <v>H</v>
          </cell>
          <cell r="E63">
            <v>9.6</v>
          </cell>
          <cell r="F63">
            <v>9.6</v>
          </cell>
          <cell r="G63">
            <v>30.92</v>
          </cell>
          <cell r="H63">
            <v>7.1734400000000003</v>
          </cell>
          <cell r="I63">
            <v>38.093440000000001</v>
          </cell>
        </row>
        <row r="64">
          <cell r="B64" t="str">
            <v>*020001</v>
          </cell>
          <cell r="C64" t="str">
            <v>REPOSICIÓN DE PLANTAS ORNAMENTALES</v>
          </cell>
          <cell r="D64" t="str">
            <v>UN</v>
          </cell>
          <cell r="E64">
            <v>9.6</v>
          </cell>
          <cell r="F64">
            <v>9.6</v>
          </cell>
          <cell r="G64">
            <v>0.81169999999999998</v>
          </cell>
          <cell r="H64">
            <v>0.18831439999999999</v>
          </cell>
          <cell r="I64">
            <v>1.0000144</v>
          </cell>
        </row>
        <row r="65">
          <cell r="B65" t="str">
            <v>*020002</v>
          </cell>
          <cell r="C65" t="str">
            <v>MEDICIÓN CONCENTRADA</v>
          </cell>
          <cell r="D65" t="str">
            <v>UN</v>
          </cell>
          <cell r="E65">
            <v>9.6</v>
          </cell>
          <cell r="F65">
            <v>9.6</v>
          </cell>
          <cell r="G65">
            <v>0.81169999999999998</v>
          </cell>
          <cell r="H65">
            <v>0.18831439999999999</v>
          </cell>
          <cell r="I65">
            <v>1.0000144</v>
          </cell>
        </row>
        <row r="66">
          <cell r="B66" t="str">
            <v>*020003</v>
          </cell>
          <cell r="C66" t="str">
            <v>LOCALIZACIÓN DE FALLA EN BT CON CUADRILLA CANINA</v>
          </cell>
          <cell r="D66" t="str">
            <v>UN</v>
          </cell>
          <cell r="E66">
            <v>10</v>
          </cell>
          <cell r="F66">
            <v>10</v>
          </cell>
          <cell r="G66">
            <v>0.81169999999999998</v>
          </cell>
          <cell r="H66">
            <v>0.18831439999999999</v>
          </cell>
          <cell r="I66">
            <v>1.0000144</v>
          </cell>
        </row>
        <row r="67">
          <cell r="B67" t="str">
            <v>*020004</v>
          </cell>
          <cell r="C67" t="str">
            <v>PRUEBA DE COMPACTACIÓN</v>
          </cell>
          <cell r="D67" t="str">
            <v>UN</v>
          </cell>
          <cell r="E67">
            <v>9.6</v>
          </cell>
          <cell r="F67">
            <v>9.6</v>
          </cell>
          <cell r="G67">
            <v>0.81169999999999998</v>
          </cell>
          <cell r="H67">
            <v>0.18831439999999999</v>
          </cell>
          <cell r="I67">
            <v>1.0000144</v>
          </cell>
        </row>
        <row r="68">
          <cell r="B68" t="str">
            <v>*020005</v>
          </cell>
          <cell r="C68" t="str">
            <v>INSPECCIÓN DE CONEXIONES MASIVAS</v>
          </cell>
          <cell r="D68" t="str">
            <v>UN</v>
          </cell>
          <cell r="E68">
            <v>9.6</v>
          </cell>
          <cell r="F68">
            <v>9.6</v>
          </cell>
          <cell r="G68">
            <v>0.81169999999999998</v>
          </cell>
          <cell r="H68">
            <v>0.18831439999999999</v>
          </cell>
          <cell r="I68">
            <v>1.0000144</v>
          </cell>
        </row>
        <row r="69">
          <cell r="B69" t="str">
            <v>*020007</v>
          </cell>
          <cell r="C69" t="str">
            <v>PAGO DE PEAJE</v>
          </cell>
          <cell r="D69" t="str">
            <v>UN</v>
          </cell>
          <cell r="E69">
            <v>9.6</v>
          </cell>
          <cell r="F69">
            <v>9.6</v>
          </cell>
          <cell r="G69">
            <v>0.81169999999999998</v>
          </cell>
          <cell r="H69">
            <v>0.18831439999999999</v>
          </cell>
          <cell r="I69">
            <v>1.0000144</v>
          </cell>
        </row>
        <row r="70">
          <cell r="B70" t="str">
            <v>*020008</v>
          </cell>
          <cell r="C70" t="str">
            <v>Compra de material agregado para casos de contingencia autorizados</v>
          </cell>
          <cell r="D70" t="str">
            <v>UN</v>
          </cell>
          <cell r="E70">
            <v>9.6</v>
          </cell>
          <cell r="F70">
            <v>9.6</v>
          </cell>
          <cell r="G70">
            <v>0.81169999999999998</v>
          </cell>
          <cell r="H70">
            <v>0.18831439999999999</v>
          </cell>
          <cell r="I70">
            <v>1.0000144</v>
          </cell>
        </row>
        <row r="71">
          <cell r="B71" t="str">
            <v>*020011</v>
          </cell>
          <cell r="C71" t="str">
            <v>MONTAJE Y CONEXIONADO DE MÓDULO DE MEDIDA</v>
          </cell>
          <cell r="D71" t="str">
            <v>UN</v>
          </cell>
          <cell r="E71">
            <v>20.574200000000001</v>
          </cell>
          <cell r="F71">
            <v>9.6</v>
          </cell>
          <cell r="G71">
            <v>29.401000000000003</v>
          </cell>
          <cell r="H71">
            <v>6.8210320000000007</v>
          </cell>
          <cell r="I71">
            <v>36.222032000000006</v>
          </cell>
        </row>
        <row r="72">
          <cell r="B72" t="str">
            <v>*050813</v>
          </cell>
          <cell r="C72" t="str">
            <v>Prueba de Cables - solo para presupuesto</v>
          </cell>
          <cell r="D72" t="str">
            <v>UN</v>
          </cell>
          <cell r="E72">
            <v>9.6</v>
          </cell>
          <cell r="F72">
            <v>9.6</v>
          </cell>
          <cell r="G72">
            <v>833.76620000000003</v>
          </cell>
          <cell r="H72">
            <v>193.43375839999999</v>
          </cell>
          <cell r="I72">
            <v>1027.1999584</v>
          </cell>
        </row>
        <row r="73">
          <cell r="B73" t="str">
            <v>*050814</v>
          </cell>
          <cell r="C73" t="str">
            <v>Ingreso de cable particular a SEDs convencionales para conexiones en MT - solo para presupuesto</v>
          </cell>
          <cell r="D73" t="str">
            <v>UN</v>
          </cell>
          <cell r="E73">
            <v>9.6</v>
          </cell>
          <cell r="F73">
            <v>9.6</v>
          </cell>
          <cell r="G73">
            <v>121.75320000000001</v>
          </cell>
          <cell r="H73">
            <v>28.246742399999999</v>
          </cell>
          <cell r="I73">
            <v>149.99994240000001</v>
          </cell>
        </row>
        <row r="74">
          <cell r="B74" t="str">
            <v>*050815</v>
          </cell>
          <cell r="C74" t="str">
            <v>Retiro de cable particular de SED convencional para conexiones en MT - solo para presupuesto</v>
          </cell>
          <cell r="D74" t="str">
            <v>UN</v>
          </cell>
          <cell r="E74">
            <v>9.6</v>
          </cell>
          <cell r="F74">
            <v>9.6</v>
          </cell>
          <cell r="G74">
            <v>121.75320000000001</v>
          </cell>
          <cell r="H74">
            <v>28.246742399999999</v>
          </cell>
          <cell r="I74">
            <v>149.99994240000001</v>
          </cell>
        </row>
        <row r="75">
          <cell r="B75" t="str">
            <v>*050816</v>
          </cell>
          <cell r="C75" t="str">
            <v>Corte de suministro en MT - solo para presupuesto</v>
          </cell>
          <cell r="D75" t="str">
            <v>UN</v>
          </cell>
          <cell r="E75">
            <v>9.6</v>
          </cell>
          <cell r="F75">
            <v>9.6</v>
          </cell>
          <cell r="G75">
            <v>121.75320000000001</v>
          </cell>
          <cell r="H75">
            <v>28.246742399999999</v>
          </cell>
          <cell r="I75">
            <v>149.99994240000001</v>
          </cell>
        </row>
        <row r="76">
          <cell r="B76" t="str">
            <v>*050817</v>
          </cell>
          <cell r="C76" t="str">
            <v>Reconexión de suministro en MT - solo para presupuesto</v>
          </cell>
          <cell r="D76" t="str">
            <v>UN</v>
          </cell>
          <cell r="E76">
            <v>9.6</v>
          </cell>
          <cell r="F76">
            <v>9.6</v>
          </cell>
          <cell r="G76">
            <v>121.75320000000001</v>
          </cell>
          <cell r="H76">
            <v>28.246742399999999</v>
          </cell>
          <cell r="I76">
            <v>149.99994240000001</v>
          </cell>
        </row>
        <row r="77">
          <cell r="B77" t="str">
            <v>*050818</v>
          </cell>
          <cell r="C77" t="str">
            <v>Apoyo DRE - solo para presupuesto</v>
          </cell>
          <cell r="D77" t="str">
            <v>UN</v>
          </cell>
          <cell r="E77">
            <v>9.6</v>
          </cell>
          <cell r="F77">
            <v>9.6</v>
          </cell>
          <cell r="G77">
            <v>1461.039</v>
          </cell>
          <cell r="H77">
            <v>338.96104799999995</v>
          </cell>
          <cell r="I77">
            <v>1800.0000479999999</v>
          </cell>
        </row>
        <row r="78">
          <cell r="B78" t="str">
            <v>*070200</v>
          </cell>
          <cell r="C78" t="str">
            <v>Cambio de cable extraflexible (pasante) a luminaria en pastoral parabolico con BH por recl de A.P</v>
          </cell>
          <cell r="D78" t="str">
            <v>UN</v>
          </cell>
          <cell r="E78">
            <v>10</v>
          </cell>
          <cell r="F78">
            <v>10</v>
          </cell>
          <cell r="G78">
            <v>71.905299999999997</v>
          </cell>
          <cell r="H78">
            <v>16.6820296</v>
          </cell>
          <cell r="I78">
            <v>88.587329600000004</v>
          </cell>
        </row>
        <row r="79">
          <cell r="B79" t="str">
            <v>*070201</v>
          </cell>
          <cell r="C79" t="str">
            <v>Cambio de cable pasant. Extraflex. a luminaria en pastoral simple con inac. reclamos A.P.</v>
          </cell>
          <cell r="D79" t="str">
            <v>UN</v>
          </cell>
          <cell r="E79">
            <v>7</v>
          </cell>
          <cell r="F79">
            <v>10</v>
          </cell>
          <cell r="G79">
            <v>171.95349999999999</v>
          </cell>
          <cell r="H79">
            <v>39.893211999999998</v>
          </cell>
          <cell r="I79">
            <v>211.846712</v>
          </cell>
        </row>
        <row r="80">
          <cell r="B80" t="str">
            <v>*070202</v>
          </cell>
          <cell r="C80" t="str">
            <v>Cambio de cable extraflexible(pasante) a luminaria en pastoral simple con BH por reclamos de A.P.</v>
          </cell>
          <cell r="D80" t="str">
            <v>UN</v>
          </cell>
          <cell r="E80">
            <v>10</v>
          </cell>
          <cell r="F80">
            <v>10</v>
          </cell>
          <cell r="G80">
            <v>71.905299999999997</v>
          </cell>
          <cell r="H80">
            <v>16.6820296</v>
          </cell>
          <cell r="I80">
            <v>88.587329600000004</v>
          </cell>
        </row>
        <row r="81">
          <cell r="B81" t="str">
            <v>*070203</v>
          </cell>
          <cell r="C81" t="str">
            <v>Cambio de Cable Subterraneo de BT hasta 70 mm2</v>
          </cell>
          <cell r="D81" t="str">
            <v>M</v>
          </cell>
          <cell r="E81">
            <v>18</v>
          </cell>
          <cell r="F81">
            <v>10</v>
          </cell>
          <cell r="G81">
            <v>75.252899999999997</v>
          </cell>
          <cell r="H81">
            <v>17.458672799999999</v>
          </cell>
          <cell r="I81">
            <v>92.711572799999999</v>
          </cell>
        </row>
        <row r="82">
          <cell r="B82" t="str">
            <v>*070204</v>
          </cell>
          <cell r="C82" t="str">
            <v>Cambio de Cable Subterraneo de BT mayores a 70 mm2</v>
          </cell>
          <cell r="D82" t="str">
            <v>M</v>
          </cell>
          <cell r="E82">
            <v>12</v>
          </cell>
          <cell r="F82">
            <v>10</v>
          </cell>
          <cell r="G82">
            <v>112.8793</v>
          </cell>
          <cell r="H82">
            <v>26.187997599999999</v>
          </cell>
          <cell r="I82">
            <v>139.06729759999999</v>
          </cell>
        </row>
        <row r="83">
          <cell r="B83" t="str">
            <v>*070300</v>
          </cell>
          <cell r="C83" t="str">
            <v>Diagnóstico de falla en cable matriz.</v>
          </cell>
          <cell r="D83" t="str">
            <v>UN</v>
          </cell>
          <cell r="E83">
            <v>11</v>
          </cell>
          <cell r="F83">
            <v>12</v>
          </cell>
          <cell r="G83">
            <v>55.930499999999995</v>
          </cell>
          <cell r="H83">
            <v>12.975875999999998</v>
          </cell>
          <cell r="I83">
            <v>68.906375999999995</v>
          </cell>
        </row>
        <row r="84">
          <cell r="B84" t="str">
            <v>*070301</v>
          </cell>
          <cell r="C84" t="str">
            <v>Localización de Falla en BT cable en cortocircuito</v>
          </cell>
          <cell r="D84" t="str">
            <v>UN</v>
          </cell>
          <cell r="E84">
            <v>1.8</v>
          </cell>
          <cell r="F84">
            <v>10</v>
          </cell>
          <cell r="G84">
            <v>752.52839999999992</v>
          </cell>
          <cell r="H84">
            <v>174.58658879999996</v>
          </cell>
          <cell r="I84">
            <v>927.11498879999988</v>
          </cell>
        </row>
        <row r="85">
          <cell r="B85" t="str">
            <v>*070302</v>
          </cell>
          <cell r="C85" t="str">
            <v>Localización de Falla en BT cable seccionado</v>
          </cell>
          <cell r="D85" t="str">
            <v>UN</v>
          </cell>
          <cell r="E85">
            <v>1.8</v>
          </cell>
          <cell r="F85">
            <v>10</v>
          </cell>
          <cell r="G85">
            <v>752.52839999999992</v>
          </cell>
          <cell r="H85">
            <v>174.58658879999996</v>
          </cell>
          <cell r="I85">
            <v>927.11498879999988</v>
          </cell>
        </row>
        <row r="86">
          <cell r="B86" t="str">
            <v>*070700</v>
          </cell>
          <cell r="C86" t="str">
            <v>Reconexión de cable extraflexible (pasante) con  cuadrilla de inaccesible por reclamos A.P.</v>
          </cell>
          <cell r="D86" t="str">
            <v>UN</v>
          </cell>
          <cell r="E86">
            <v>6</v>
          </cell>
          <cell r="F86">
            <v>10</v>
          </cell>
          <cell r="G86">
            <v>200.61250000000001</v>
          </cell>
          <cell r="H86">
            <v>46.542099999999998</v>
          </cell>
          <cell r="I86">
            <v>247.15460000000002</v>
          </cell>
        </row>
        <row r="87">
          <cell r="B87" t="str">
            <v>*070701</v>
          </cell>
          <cell r="C87" t="str">
            <v>Reconexión de cable extraflexible (pasante) con BH por reclamos A.P.</v>
          </cell>
          <cell r="D87" t="str">
            <v>UN</v>
          </cell>
          <cell r="E87">
            <v>8</v>
          </cell>
          <cell r="F87">
            <v>10</v>
          </cell>
          <cell r="G87">
            <v>89.881600000000006</v>
          </cell>
          <cell r="H87">
            <v>20.852531200000001</v>
          </cell>
          <cell r="I87">
            <v>110.73413120000001</v>
          </cell>
        </row>
        <row r="88">
          <cell r="B88" t="str">
            <v>*070800</v>
          </cell>
          <cell r="C88" t="str">
            <v>Reparación de cables BT Aéreos</v>
          </cell>
          <cell r="D88" t="str">
            <v>UN</v>
          </cell>
          <cell r="E88">
            <v>4</v>
          </cell>
          <cell r="F88">
            <v>10</v>
          </cell>
          <cell r="G88">
            <v>338.6377</v>
          </cell>
          <cell r="H88">
            <v>78.563946399999992</v>
          </cell>
          <cell r="I88">
            <v>417.20164639999996</v>
          </cell>
        </row>
        <row r="89">
          <cell r="B89" t="str">
            <v>*070801</v>
          </cell>
          <cell r="C89" t="str">
            <v>Reparación de cables BT Subterraneos</v>
          </cell>
          <cell r="D89" t="str">
            <v>UN</v>
          </cell>
          <cell r="E89">
            <v>1.83</v>
          </cell>
          <cell r="F89">
            <v>10</v>
          </cell>
          <cell r="G89">
            <v>740.19180000000006</v>
          </cell>
          <cell r="H89">
            <v>171.72449760000001</v>
          </cell>
          <cell r="I89">
            <v>911.91629760000001</v>
          </cell>
        </row>
        <row r="90">
          <cell r="B90" t="str">
            <v>*070802</v>
          </cell>
          <cell r="C90" t="str">
            <v>Reparación de Acometidas Aéreas</v>
          </cell>
          <cell r="D90" t="str">
            <v>UN</v>
          </cell>
          <cell r="E90">
            <v>4</v>
          </cell>
          <cell r="F90">
            <v>10</v>
          </cell>
          <cell r="G90">
            <v>338.6377</v>
          </cell>
          <cell r="H90">
            <v>78.563946399999992</v>
          </cell>
          <cell r="I90">
            <v>417.20164639999996</v>
          </cell>
        </row>
        <row r="91">
          <cell r="B91" t="str">
            <v>*070803</v>
          </cell>
          <cell r="C91" t="str">
            <v>Reparación de Acometidas Aéreas (con Brazo Hidráulico)</v>
          </cell>
          <cell r="D91" t="str">
            <v>UN</v>
          </cell>
          <cell r="E91">
            <v>8</v>
          </cell>
          <cell r="F91">
            <v>10</v>
          </cell>
          <cell r="G91">
            <v>89.881600000000006</v>
          </cell>
          <cell r="H91">
            <v>20.852531200000001</v>
          </cell>
          <cell r="I91">
            <v>110.73413120000001</v>
          </cell>
        </row>
        <row r="92">
          <cell r="B92" t="str">
            <v>*070804</v>
          </cell>
          <cell r="C92" t="str">
            <v>Reparación de Acometidas Subterraneas</v>
          </cell>
          <cell r="D92" t="str">
            <v>UN</v>
          </cell>
          <cell r="E92">
            <v>3</v>
          </cell>
          <cell r="F92">
            <v>10</v>
          </cell>
          <cell r="G92">
            <v>451.51710000000003</v>
          </cell>
          <cell r="H92">
            <v>104.7519672</v>
          </cell>
          <cell r="I92">
            <v>556.26906719999999</v>
          </cell>
        </row>
        <row r="93">
          <cell r="B93" t="str">
            <v>*070900</v>
          </cell>
          <cell r="C93" t="str">
            <v>Reposición de cable de comunicación SE Aérea</v>
          </cell>
          <cell r="D93" t="str">
            <v>UN</v>
          </cell>
          <cell r="E93">
            <v>2</v>
          </cell>
          <cell r="F93">
            <v>10</v>
          </cell>
          <cell r="G93">
            <v>677.27549999999997</v>
          </cell>
          <cell r="H93">
            <v>157.12791599999997</v>
          </cell>
          <cell r="I93">
            <v>834.40341599999988</v>
          </cell>
        </row>
        <row r="94">
          <cell r="B94" t="str">
            <v>*070901</v>
          </cell>
          <cell r="C94" t="str">
            <v>Reposición de cable de comunicación SE Bóveda</v>
          </cell>
          <cell r="D94" t="str">
            <v>UN</v>
          </cell>
          <cell r="E94">
            <v>2</v>
          </cell>
          <cell r="F94">
            <v>10</v>
          </cell>
          <cell r="G94">
            <v>677.27549999999997</v>
          </cell>
          <cell r="H94">
            <v>157.12791599999997</v>
          </cell>
          <cell r="I94">
            <v>834.40341599999988</v>
          </cell>
        </row>
        <row r="95">
          <cell r="B95" t="str">
            <v>*070902</v>
          </cell>
          <cell r="C95" t="str">
            <v>Reposición de cable de comunicación SE Convencional</v>
          </cell>
          <cell r="D95" t="str">
            <v>UN</v>
          </cell>
          <cell r="E95">
            <v>1.5</v>
          </cell>
          <cell r="F95">
            <v>10</v>
          </cell>
          <cell r="G95">
            <v>903.03390000000002</v>
          </cell>
          <cell r="H95">
            <v>209.5038648</v>
          </cell>
          <cell r="I95">
            <v>1112.5377648000001</v>
          </cell>
        </row>
        <row r="96">
          <cell r="B96" t="str">
            <v>*070903</v>
          </cell>
          <cell r="C96" t="str">
            <v>Reposición de Red Aérea</v>
          </cell>
          <cell r="D96" t="str">
            <v>M</v>
          </cell>
          <cell r="E96">
            <v>137.5</v>
          </cell>
          <cell r="F96">
            <v>10</v>
          </cell>
          <cell r="G96">
            <v>9.8512999999999984</v>
          </cell>
          <cell r="H96">
            <v>2.2855015999999995</v>
          </cell>
          <cell r="I96">
            <v>12.136801599999998</v>
          </cell>
        </row>
        <row r="97">
          <cell r="B97" t="str">
            <v>*071000</v>
          </cell>
          <cell r="C97" t="str">
            <v>Retiro de poste BT por emergencia</v>
          </cell>
          <cell r="D97" t="str">
            <v>UN</v>
          </cell>
          <cell r="E97">
            <v>4</v>
          </cell>
          <cell r="F97">
            <v>10</v>
          </cell>
          <cell r="G97">
            <v>458.20729999999998</v>
          </cell>
          <cell r="H97">
            <v>106.30409359999999</v>
          </cell>
          <cell r="I97">
            <v>564.51139360000002</v>
          </cell>
        </row>
        <row r="98">
          <cell r="B98" t="str">
            <v>*071200</v>
          </cell>
          <cell r="C98" t="str">
            <v>Cambio de lampara con BH por atención de Solicitudes</v>
          </cell>
          <cell r="D98" t="str">
            <v>UN</v>
          </cell>
          <cell r="E98">
            <v>20</v>
          </cell>
          <cell r="F98">
            <v>10</v>
          </cell>
          <cell r="G98">
            <v>35.954099999999997</v>
          </cell>
          <cell r="H98">
            <v>8.3413511999999983</v>
          </cell>
          <cell r="I98">
            <v>44.295451199999995</v>
          </cell>
        </row>
        <row r="99">
          <cell r="B99" t="str">
            <v>*071201</v>
          </cell>
          <cell r="C99" t="str">
            <v>Cambio de lampara con cuadrilla de inaccesible por atención de Solicitudes</v>
          </cell>
          <cell r="D99" t="str">
            <v>UN</v>
          </cell>
          <cell r="E99">
            <v>8</v>
          </cell>
          <cell r="F99">
            <v>10</v>
          </cell>
          <cell r="G99">
            <v>150.45940000000002</v>
          </cell>
          <cell r="H99">
            <v>34.9065808</v>
          </cell>
          <cell r="I99">
            <v>185.36598080000002</v>
          </cell>
        </row>
        <row r="100">
          <cell r="B100" t="str">
            <v>*071202</v>
          </cell>
          <cell r="C100" t="str">
            <v>Cambio de lámpara con cuadrilla de inaccesibles por reclamos A.P.</v>
          </cell>
          <cell r="D100" t="str">
            <v>UN</v>
          </cell>
          <cell r="E100">
            <v>7</v>
          </cell>
          <cell r="F100">
            <v>10</v>
          </cell>
          <cell r="G100">
            <v>171.95490000000001</v>
          </cell>
          <cell r="H100">
            <v>39.8935368</v>
          </cell>
          <cell r="I100">
            <v>211.8484368</v>
          </cell>
        </row>
        <row r="101">
          <cell r="B101" t="str">
            <v>*071203</v>
          </cell>
          <cell r="C101" t="str">
            <v>Cambio o instalación de lámpara con BH por atención de solicitudes.</v>
          </cell>
          <cell r="D101" t="str">
            <v>UN</v>
          </cell>
          <cell r="E101">
            <v>12</v>
          </cell>
          <cell r="F101">
            <v>10</v>
          </cell>
          <cell r="G101">
            <v>59.922499999999999</v>
          </cell>
          <cell r="H101">
            <v>13.902019999999998</v>
          </cell>
          <cell r="I101">
            <v>73.824519999999993</v>
          </cell>
        </row>
        <row r="102">
          <cell r="B102" t="str">
            <v>*071204</v>
          </cell>
          <cell r="C102" t="str">
            <v>Cambio o instalación de lampara con BH por reclamos A.P.</v>
          </cell>
          <cell r="D102" t="str">
            <v>UN</v>
          </cell>
          <cell r="E102">
            <v>11</v>
          </cell>
          <cell r="F102">
            <v>10</v>
          </cell>
          <cell r="G102">
            <v>65.368499999999997</v>
          </cell>
          <cell r="H102">
            <v>15.165491999999999</v>
          </cell>
          <cell r="I102">
            <v>80.533991999999998</v>
          </cell>
        </row>
        <row r="103">
          <cell r="B103" t="str">
            <v>*071205</v>
          </cell>
          <cell r="C103" t="str">
            <v>Cambio de pastoral parabolico  con cuadrilla de inaccesible por atención de solicitudes</v>
          </cell>
          <cell r="D103" t="str">
            <v>UN</v>
          </cell>
          <cell r="E103">
            <v>7</v>
          </cell>
          <cell r="F103">
            <v>10</v>
          </cell>
          <cell r="G103">
            <v>171.95349999999999</v>
          </cell>
          <cell r="H103">
            <v>39.893211999999998</v>
          </cell>
          <cell r="I103">
            <v>211.846712</v>
          </cell>
        </row>
        <row r="104">
          <cell r="B104" t="str">
            <v>*071206</v>
          </cell>
          <cell r="C104" t="str">
            <v>Cambio de pastoral parabolico con BH por reclamos A.P.</v>
          </cell>
          <cell r="D104" t="str">
            <v>UN</v>
          </cell>
          <cell r="E104">
            <v>5</v>
          </cell>
          <cell r="F104">
            <v>10</v>
          </cell>
          <cell r="G104">
            <v>143.81059999999999</v>
          </cell>
          <cell r="H104">
            <v>33.3640592</v>
          </cell>
          <cell r="I104">
            <v>177.17465920000001</v>
          </cell>
        </row>
        <row r="105">
          <cell r="B105" t="str">
            <v>*071207</v>
          </cell>
          <cell r="C105" t="str">
            <v>Cambio de pastoral parabólico con brazo hidraúlico por atención de solicitudes.</v>
          </cell>
          <cell r="D105" t="str">
            <v>UN</v>
          </cell>
          <cell r="E105">
            <v>6</v>
          </cell>
          <cell r="F105">
            <v>10</v>
          </cell>
          <cell r="G105">
            <v>119.84219999999999</v>
          </cell>
          <cell r="H105">
            <v>27.803390399999994</v>
          </cell>
          <cell r="I105">
            <v>147.64559039999997</v>
          </cell>
        </row>
        <row r="106">
          <cell r="B106" t="str">
            <v>*071208</v>
          </cell>
          <cell r="C106" t="str">
            <v>Cambio de pastoral parabolico con cuadrilla de inaccesibles por reclamos A.P.</v>
          </cell>
          <cell r="D106" t="str">
            <v>UN</v>
          </cell>
          <cell r="E106">
            <v>4</v>
          </cell>
          <cell r="F106">
            <v>10</v>
          </cell>
          <cell r="G106">
            <v>300.9187</v>
          </cell>
          <cell r="H106">
            <v>69.8131384</v>
          </cell>
          <cell r="I106">
            <v>370.73183840000002</v>
          </cell>
        </row>
        <row r="107">
          <cell r="B107" t="str">
            <v>*071209</v>
          </cell>
          <cell r="C107" t="str">
            <v>Cambio de pastoral simple  con cuadrilla de inaccesible  por atención de Solicitudes</v>
          </cell>
          <cell r="D107" t="str">
            <v>UN</v>
          </cell>
          <cell r="E107">
            <v>8</v>
          </cell>
          <cell r="F107">
            <v>10</v>
          </cell>
          <cell r="G107">
            <v>150.45940000000002</v>
          </cell>
          <cell r="H107">
            <v>34.9065808</v>
          </cell>
          <cell r="I107">
            <v>185.36598080000002</v>
          </cell>
        </row>
        <row r="108">
          <cell r="B108" t="str">
            <v>*071210</v>
          </cell>
          <cell r="C108" t="str">
            <v>Cambio de pastoral simple con BH  por atención de Solicitudes</v>
          </cell>
          <cell r="D108" t="str">
            <v>UN</v>
          </cell>
          <cell r="E108">
            <v>8</v>
          </cell>
          <cell r="F108">
            <v>10</v>
          </cell>
          <cell r="G108">
            <v>89.881600000000006</v>
          </cell>
          <cell r="H108">
            <v>20.852531200000001</v>
          </cell>
          <cell r="I108">
            <v>110.73413120000001</v>
          </cell>
        </row>
        <row r="109">
          <cell r="B109" t="str">
            <v>*071211</v>
          </cell>
          <cell r="C109" t="str">
            <v>Cambio de pastoral simple con BH por reclamos A.P.</v>
          </cell>
          <cell r="D109" t="str">
            <v>UN</v>
          </cell>
          <cell r="E109">
            <v>5</v>
          </cell>
          <cell r="F109">
            <v>10</v>
          </cell>
          <cell r="G109">
            <v>143.81059999999999</v>
          </cell>
          <cell r="H109">
            <v>33.3640592</v>
          </cell>
          <cell r="I109">
            <v>177.17465920000001</v>
          </cell>
        </row>
        <row r="110">
          <cell r="B110" t="str">
            <v>*071212</v>
          </cell>
          <cell r="C110" t="str">
            <v>Cambio de pastoral simple con cuadrilla de inaccesibles por reclamos A.P.</v>
          </cell>
          <cell r="D110" t="str">
            <v>UN</v>
          </cell>
          <cell r="E110">
            <v>5</v>
          </cell>
          <cell r="F110">
            <v>10</v>
          </cell>
          <cell r="G110">
            <v>240.73499999999999</v>
          </cell>
          <cell r="H110">
            <v>55.850519999999996</v>
          </cell>
          <cell r="I110">
            <v>296.58551999999997</v>
          </cell>
        </row>
        <row r="111">
          <cell r="B111" t="str">
            <v>*071213</v>
          </cell>
          <cell r="C111" t="str">
            <v>Cambio de poste BT, AP o mixto por emergencia</v>
          </cell>
          <cell r="D111" t="str">
            <v>UN</v>
          </cell>
          <cell r="E111">
            <v>1.8</v>
          </cell>
          <cell r="F111">
            <v>10</v>
          </cell>
          <cell r="G111">
            <v>1127.19</v>
          </cell>
          <cell r="H111">
            <v>261.50808000000001</v>
          </cell>
          <cell r="I111">
            <v>1388.6980800000001</v>
          </cell>
        </row>
        <row r="112">
          <cell r="B112" t="str">
            <v>*071214</v>
          </cell>
          <cell r="C112" t="str">
            <v>Cambio o  reposición de difusor con BH por reclamos A.P.</v>
          </cell>
          <cell r="D112" t="str">
            <v>UN</v>
          </cell>
          <cell r="E112">
            <v>14</v>
          </cell>
          <cell r="F112">
            <v>10</v>
          </cell>
          <cell r="G112">
            <v>51.361000000000004</v>
          </cell>
          <cell r="H112">
            <v>11.915751999999999</v>
          </cell>
          <cell r="I112">
            <v>63.276752000000002</v>
          </cell>
        </row>
        <row r="113">
          <cell r="B113" t="str">
            <v>*071215</v>
          </cell>
          <cell r="C113" t="str">
            <v>Cambio o reposición de difusor  con cuadrilla de inaccesible  por atención de Solicitudes</v>
          </cell>
          <cell r="D113" t="str">
            <v>UN</v>
          </cell>
          <cell r="E113">
            <v>9</v>
          </cell>
          <cell r="F113">
            <v>10</v>
          </cell>
          <cell r="G113">
            <v>133.74170000000001</v>
          </cell>
          <cell r="H113">
            <v>31.028074400000001</v>
          </cell>
          <cell r="I113">
            <v>164.76977440000002</v>
          </cell>
        </row>
        <row r="114">
          <cell r="B114" t="str">
            <v>*071216</v>
          </cell>
          <cell r="C114" t="str">
            <v>Cambio o reposición de difusor con BH  por atención de Solicitudes</v>
          </cell>
          <cell r="D114" t="str">
            <v>UN</v>
          </cell>
          <cell r="E114">
            <v>18</v>
          </cell>
          <cell r="F114">
            <v>10</v>
          </cell>
          <cell r="G114">
            <v>39.947400000000002</v>
          </cell>
          <cell r="H114">
            <v>9.2677967999999993</v>
          </cell>
          <cell r="I114">
            <v>49.215196800000001</v>
          </cell>
        </row>
        <row r="115">
          <cell r="B115" t="str">
            <v>*071217</v>
          </cell>
          <cell r="C115" t="str">
            <v>Cambio o reposición de difusor con cuadrilla de inaccesibles por reclamos A.P.</v>
          </cell>
          <cell r="D115" t="str">
            <v>UN</v>
          </cell>
          <cell r="E115">
            <v>7</v>
          </cell>
          <cell r="F115">
            <v>10</v>
          </cell>
          <cell r="G115">
            <v>171.95349999999999</v>
          </cell>
          <cell r="H115">
            <v>39.893211999999998</v>
          </cell>
          <cell r="I115">
            <v>211.846712</v>
          </cell>
        </row>
        <row r="116">
          <cell r="B116" t="str">
            <v>*071218</v>
          </cell>
          <cell r="C116" t="str">
            <v>Cambio o reposición de luminaria  con cuadrilla de inaccesible  por atención de Solicitudes.</v>
          </cell>
          <cell r="D116" t="str">
            <v>UN</v>
          </cell>
          <cell r="E116">
            <v>7</v>
          </cell>
          <cell r="F116">
            <v>10</v>
          </cell>
          <cell r="G116">
            <v>171.95349999999999</v>
          </cell>
          <cell r="H116">
            <v>39.893211999999998</v>
          </cell>
          <cell r="I116">
            <v>211.846712</v>
          </cell>
        </row>
        <row r="117">
          <cell r="B117" t="str">
            <v>*071219</v>
          </cell>
          <cell r="C117" t="str">
            <v>Cambio o reposición de luminaria con BH  por atención de Solicitudes</v>
          </cell>
          <cell r="D117" t="str">
            <v>UN</v>
          </cell>
          <cell r="E117">
            <v>12</v>
          </cell>
          <cell r="F117">
            <v>10</v>
          </cell>
          <cell r="G117">
            <v>59.921099999999996</v>
          </cell>
          <cell r="H117">
            <v>13.901695199999997</v>
          </cell>
          <cell r="I117">
            <v>73.822795199999987</v>
          </cell>
        </row>
        <row r="118">
          <cell r="B118" t="str">
            <v>*071220</v>
          </cell>
          <cell r="C118" t="str">
            <v>Cambio o reposición de luminaria con BH por reclamos A.P.</v>
          </cell>
          <cell r="D118" t="str">
            <v>UN</v>
          </cell>
          <cell r="E118">
            <v>8</v>
          </cell>
          <cell r="F118">
            <v>10</v>
          </cell>
          <cell r="G118">
            <v>89.881600000000006</v>
          </cell>
          <cell r="H118">
            <v>20.852531200000001</v>
          </cell>
          <cell r="I118">
            <v>110.73413120000001</v>
          </cell>
        </row>
        <row r="119">
          <cell r="B119" t="str">
            <v>*071221</v>
          </cell>
          <cell r="C119" t="str">
            <v>Cambio o reposición de luminaria con cuadrilla de inaccesible por reclamos A.P.</v>
          </cell>
          <cell r="D119" t="str">
            <v>UN</v>
          </cell>
          <cell r="E119">
            <v>5</v>
          </cell>
          <cell r="F119">
            <v>10</v>
          </cell>
          <cell r="G119">
            <v>240.73499999999999</v>
          </cell>
          <cell r="H119">
            <v>55.850519999999996</v>
          </cell>
          <cell r="I119">
            <v>296.58551999999997</v>
          </cell>
        </row>
        <row r="120">
          <cell r="B120" t="str">
            <v>*071300</v>
          </cell>
          <cell r="C120" t="str">
            <v>Verificación de estado de corrosión de poste</v>
          </cell>
          <cell r="D120" t="str">
            <v>UN</v>
          </cell>
          <cell r="E120">
            <v>20</v>
          </cell>
          <cell r="F120">
            <v>10</v>
          </cell>
          <cell r="G120">
            <v>35.9527</v>
          </cell>
          <cell r="H120">
            <v>8.3410263999999987</v>
          </cell>
          <cell r="I120">
            <v>44.293726399999997</v>
          </cell>
        </row>
        <row r="121">
          <cell r="B121" t="str">
            <v>*071301</v>
          </cell>
          <cell r="C121" t="str">
            <v>Verificación de estado de corrosión de poste con cuadrilla de inaccesible.</v>
          </cell>
          <cell r="D121" t="str">
            <v>UN</v>
          </cell>
          <cell r="E121">
            <v>9</v>
          </cell>
          <cell r="F121">
            <v>10</v>
          </cell>
          <cell r="G121">
            <v>133.74170000000001</v>
          </cell>
          <cell r="H121">
            <v>31.028074400000001</v>
          </cell>
          <cell r="I121">
            <v>164.76977440000002</v>
          </cell>
        </row>
        <row r="122">
          <cell r="B122" t="str">
            <v>*071400</v>
          </cell>
          <cell r="C122" t="str">
            <v>Instalación de luminaria con pastoral soldado  con cuadrilla de inacces  por atención de Solicitudes</v>
          </cell>
          <cell r="D122" t="str">
            <v>UN</v>
          </cell>
          <cell r="E122">
            <v>7</v>
          </cell>
          <cell r="F122">
            <v>10</v>
          </cell>
          <cell r="G122">
            <v>196.40230000000003</v>
          </cell>
          <cell r="H122">
            <v>45.565333600000002</v>
          </cell>
          <cell r="I122">
            <v>241.96763360000003</v>
          </cell>
        </row>
        <row r="123">
          <cell r="B123" t="str">
            <v>*071401</v>
          </cell>
          <cell r="C123" t="str">
            <v>Instalación de luminaria con pastoral soldado con BH por reclamos A.P.</v>
          </cell>
          <cell r="D123" t="str">
            <v>UN</v>
          </cell>
          <cell r="E123">
            <v>7</v>
          </cell>
          <cell r="F123">
            <v>10</v>
          </cell>
          <cell r="G123">
            <v>102.72190000000001</v>
          </cell>
          <cell r="H123">
            <v>23.831480799999998</v>
          </cell>
          <cell r="I123">
            <v>126.5533808</v>
          </cell>
        </row>
        <row r="124">
          <cell r="B124" t="str">
            <v>*071402</v>
          </cell>
          <cell r="C124" t="str">
            <v>Instalación de luminaria con pastoral soldado con cuadrilla de inaccesible por reclamos A.P.</v>
          </cell>
          <cell r="D124" t="str">
            <v>UN</v>
          </cell>
          <cell r="E124">
            <v>6.2363999999999997</v>
          </cell>
          <cell r="F124">
            <v>10</v>
          </cell>
          <cell r="G124">
            <v>220.4503</v>
          </cell>
          <cell r="H124">
            <v>51.144469599999994</v>
          </cell>
          <cell r="I124">
            <v>271.59476960000001</v>
          </cell>
        </row>
        <row r="125">
          <cell r="B125" t="str">
            <v>*071800</v>
          </cell>
          <cell r="C125" t="str">
            <v>Revirado de pastoral o luminaria con BH por atención de Solicitudes</v>
          </cell>
          <cell r="D125" t="str">
            <v>UN</v>
          </cell>
          <cell r="E125">
            <v>18</v>
          </cell>
          <cell r="F125">
            <v>10</v>
          </cell>
          <cell r="G125">
            <v>39.947400000000002</v>
          </cell>
          <cell r="H125">
            <v>9.2677967999999993</v>
          </cell>
          <cell r="I125">
            <v>49.215196800000001</v>
          </cell>
        </row>
        <row r="126">
          <cell r="B126" t="str">
            <v>*071801</v>
          </cell>
          <cell r="C126" t="str">
            <v>Revirado de pastoral o luminaria con BH por reclamos A.P.</v>
          </cell>
          <cell r="D126" t="str">
            <v>UN</v>
          </cell>
          <cell r="E126">
            <v>12</v>
          </cell>
          <cell r="F126">
            <v>10</v>
          </cell>
          <cell r="G126">
            <v>59.921099999999996</v>
          </cell>
          <cell r="H126">
            <v>13.901695199999997</v>
          </cell>
          <cell r="I126">
            <v>73.822795199999987</v>
          </cell>
        </row>
        <row r="127">
          <cell r="B127" t="str">
            <v>*071802</v>
          </cell>
          <cell r="C127" t="str">
            <v>Revisado de pastoral o luminarias con cuadrilla de inaccesible por reclamos de A.P.</v>
          </cell>
          <cell r="D127" t="str">
            <v>UN</v>
          </cell>
          <cell r="E127">
            <v>7</v>
          </cell>
          <cell r="F127">
            <v>10</v>
          </cell>
          <cell r="G127">
            <v>171.95349999999999</v>
          </cell>
          <cell r="H127">
            <v>39.893211999999998</v>
          </cell>
          <cell r="I127">
            <v>211.846712</v>
          </cell>
        </row>
        <row r="128">
          <cell r="B128" t="str">
            <v>*071803</v>
          </cell>
          <cell r="C128" t="str">
            <v>Revisado de pastoral y/o luminaria con cuadrilla de inaccesible por atención de Solicitudes</v>
          </cell>
          <cell r="D128" t="str">
            <v>UN</v>
          </cell>
          <cell r="E128">
            <v>9</v>
          </cell>
          <cell r="F128">
            <v>10</v>
          </cell>
          <cell r="G128">
            <v>133.74170000000001</v>
          </cell>
          <cell r="H128">
            <v>31.028074400000001</v>
          </cell>
          <cell r="I128">
            <v>164.76977440000002</v>
          </cell>
        </row>
        <row r="129">
          <cell r="B129" t="str">
            <v>*072200</v>
          </cell>
          <cell r="C129" t="str">
            <v>Cambio de fusible con BH por reclamos A.P.</v>
          </cell>
          <cell r="D129" t="str">
            <v>UN</v>
          </cell>
          <cell r="E129">
            <v>12</v>
          </cell>
          <cell r="F129">
            <v>10</v>
          </cell>
          <cell r="G129">
            <v>59.921099999999996</v>
          </cell>
          <cell r="H129">
            <v>13.901695199999997</v>
          </cell>
          <cell r="I129">
            <v>73.822795199999987</v>
          </cell>
        </row>
        <row r="130">
          <cell r="B130" t="str">
            <v>*072201</v>
          </cell>
          <cell r="C130" t="str">
            <v>Cambio de fusible con brazo hidraulico por atención de solicitudes</v>
          </cell>
          <cell r="D130" t="str">
            <v>UN</v>
          </cell>
          <cell r="E130">
            <v>12</v>
          </cell>
          <cell r="F130">
            <v>10</v>
          </cell>
          <cell r="G130">
            <v>74.1828</v>
          </cell>
          <cell r="H130">
            <v>17.210409599999998</v>
          </cell>
          <cell r="I130">
            <v>91.393209600000006</v>
          </cell>
        </row>
        <row r="131">
          <cell r="B131" t="str">
            <v>*072202</v>
          </cell>
          <cell r="C131" t="str">
            <v>Cambio de fusible con cuadrilla de inaccesibles por reclamos A.P.</v>
          </cell>
          <cell r="D131" t="str">
            <v>UN</v>
          </cell>
          <cell r="E131">
            <v>6</v>
          </cell>
          <cell r="F131">
            <v>10</v>
          </cell>
          <cell r="G131">
            <v>200.61250000000001</v>
          </cell>
          <cell r="H131">
            <v>46.542099999999998</v>
          </cell>
          <cell r="I131">
            <v>247.15460000000002</v>
          </cell>
        </row>
        <row r="132">
          <cell r="B132" t="str">
            <v>*072203</v>
          </cell>
          <cell r="C132" t="str">
            <v>Cambio de llave AP BT</v>
          </cell>
          <cell r="D132" t="str">
            <v>UN</v>
          </cell>
          <cell r="E132">
            <v>3</v>
          </cell>
          <cell r="F132">
            <v>10</v>
          </cell>
          <cell r="G132">
            <v>451.51710000000003</v>
          </cell>
          <cell r="H132">
            <v>104.7519672</v>
          </cell>
          <cell r="I132">
            <v>556.26906719999999</v>
          </cell>
        </row>
        <row r="133">
          <cell r="B133" t="str">
            <v>*072500</v>
          </cell>
          <cell r="C133" t="str">
            <v>Maniobra en Subestación de Distribución Area, Compacta y/o Bóveda</v>
          </cell>
          <cell r="D133" t="str">
            <v>UN</v>
          </cell>
          <cell r="E133">
            <v>15</v>
          </cell>
          <cell r="F133">
            <v>12</v>
          </cell>
          <cell r="G133">
            <v>41.015599999999999</v>
          </cell>
          <cell r="H133">
            <v>9.5156191999999997</v>
          </cell>
          <cell r="I133">
            <v>50.531219199999995</v>
          </cell>
        </row>
        <row r="134">
          <cell r="B134" t="str">
            <v>*072501</v>
          </cell>
          <cell r="C134" t="str">
            <v>Maniobra en Subestación de Distribución Convencional</v>
          </cell>
          <cell r="D134" t="str">
            <v>UN</v>
          </cell>
          <cell r="E134">
            <v>11</v>
          </cell>
          <cell r="F134">
            <v>12</v>
          </cell>
          <cell r="G134">
            <v>77.120699999999999</v>
          </cell>
          <cell r="H134">
            <v>17.892002399999999</v>
          </cell>
          <cell r="I134">
            <v>95.012702399999995</v>
          </cell>
        </row>
        <row r="135">
          <cell r="B135" t="str">
            <v>*072600</v>
          </cell>
          <cell r="C135" t="str">
            <v>Trabajos en tableros subestaciones distribucion</v>
          </cell>
          <cell r="D135" t="str">
            <v>UN</v>
          </cell>
          <cell r="E135">
            <v>4</v>
          </cell>
          <cell r="F135">
            <v>10</v>
          </cell>
          <cell r="G135">
            <v>321.19619999999998</v>
          </cell>
          <cell r="H135">
            <v>74.517518399999986</v>
          </cell>
          <cell r="I135">
            <v>395.71371839999995</v>
          </cell>
        </row>
        <row r="136">
          <cell r="B136" t="str">
            <v>*072601</v>
          </cell>
          <cell r="C136" t="str">
            <v>Encendido del AP con cuadrilla inaccesible (fotocelula accesible)</v>
          </cell>
          <cell r="D136" t="str">
            <v>UN</v>
          </cell>
          <cell r="E136">
            <v>30</v>
          </cell>
          <cell r="F136">
            <v>10</v>
          </cell>
          <cell r="G136">
            <v>40.122500000000002</v>
          </cell>
          <cell r="H136">
            <v>9.3084199999999999</v>
          </cell>
          <cell r="I136">
            <v>49.43092</v>
          </cell>
        </row>
        <row r="137">
          <cell r="B137" t="str">
            <v>*072602</v>
          </cell>
          <cell r="C137" t="str">
            <v>Encendido del AP con cuadrilla inaccesible (fotocelula inaccesible)</v>
          </cell>
          <cell r="D137" t="str">
            <v>UN</v>
          </cell>
          <cell r="E137">
            <v>25</v>
          </cell>
          <cell r="F137">
            <v>10</v>
          </cell>
          <cell r="G137">
            <v>48.146900000000002</v>
          </cell>
          <cell r="H137">
            <v>11.170080799999999</v>
          </cell>
          <cell r="I137">
            <v>59.316980800000003</v>
          </cell>
        </row>
        <row r="138">
          <cell r="B138" t="str">
            <v>*072603</v>
          </cell>
          <cell r="C138" t="str">
            <v>Encendido y apagado del AP con Brazo Hidraulico.</v>
          </cell>
          <cell r="D138" t="str">
            <v>UN</v>
          </cell>
          <cell r="E138">
            <v>12</v>
          </cell>
          <cell r="F138">
            <v>10</v>
          </cell>
          <cell r="G138">
            <v>59.921099999999996</v>
          </cell>
          <cell r="H138">
            <v>13.901695199999997</v>
          </cell>
          <cell r="I138">
            <v>73.822795199999987</v>
          </cell>
        </row>
        <row r="139">
          <cell r="B139" t="str">
            <v>*073800</v>
          </cell>
          <cell r="C139" t="str">
            <v>Reparación de Pisos Especiales Emergencia</v>
          </cell>
          <cell r="D139" t="str">
            <v>M2</v>
          </cell>
          <cell r="E139">
            <v>12</v>
          </cell>
          <cell r="F139">
            <v>10</v>
          </cell>
          <cell r="G139">
            <v>152.73670000000001</v>
          </cell>
          <cell r="H139">
            <v>35.434914400000004</v>
          </cell>
          <cell r="I139">
            <v>188.17161440000001</v>
          </cell>
        </row>
        <row r="140">
          <cell r="B140" t="str">
            <v>*073801</v>
          </cell>
          <cell r="C140" t="str">
            <v>Reparacion de Pistas de Asfalto Emergencia</v>
          </cell>
          <cell r="D140" t="str">
            <v>M2</v>
          </cell>
          <cell r="E140">
            <v>8</v>
          </cell>
          <cell r="F140">
            <v>10</v>
          </cell>
          <cell r="G140">
            <v>188.27679999999998</v>
          </cell>
          <cell r="H140">
            <v>43.680217599999992</v>
          </cell>
          <cell r="I140">
            <v>231.95701759999997</v>
          </cell>
        </row>
        <row r="141">
          <cell r="B141" t="str">
            <v>*073802</v>
          </cell>
          <cell r="C141" t="str">
            <v>Reparacion de Pistas de Concreto Emergencia</v>
          </cell>
          <cell r="D141" t="str">
            <v>M2</v>
          </cell>
          <cell r="E141">
            <v>8</v>
          </cell>
          <cell r="F141">
            <v>10</v>
          </cell>
          <cell r="G141">
            <v>193.19119999999998</v>
          </cell>
          <cell r="H141">
            <v>44.820358399999989</v>
          </cell>
          <cell r="I141">
            <v>238.01155839999996</v>
          </cell>
        </row>
        <row r="142">
          <cell r="B142" t="str">
            <v>*073803</v>
          </cell>
          <cell r="C142" t="str">
            <v>Reparacion de Veredas Emergencia</v>
          </cell>
          <cell r="D142" t="str">
            <v>M2</v>
          </cell>
          <cell r="E142">
            <v>10</v>
          </cell>
          <cell r="F142">
            <v>10</v>
          </cell>
          <cell r="G142">
            <v>128.2405</v>
          </cell>
          <cell r="H142">
            <v>29.751795999999999</v>
          </cell>
          <cell r="I142">
            <v>157.99229600000001</v>
          </cell>
        </row>
        <row r="143">
          <cell r="B143" t="str">
            <v>*076100</v>
          </cell>
          <cell r="C143" t="str">
            <v>Atención de Emergencias en Media Tensión</v>
          </cell>
          <cell r="D143" t="str">
            <v>H</v>
          </cell>
          <cell r="E143">
            <v>10</v>
          </cell>
          <cell r="F143">
            <v>10</v>
          </cell>
          <cell r="G143">
            <v>154.38409999999999</v>
          </cell>
          <cell r="H143">
            <v>35.817111199999992</v>
          </cell>
          <cell r="I143">
            <v>190.20121119999999</v>
          </cell>
        </row>
        <row r="144">
          <cell r="B144" t="str">
            <v>*076101</v>
          </cell>
          <cell r="C144" t="str">
            <v>Atención de Reclamos en Suministros "Falsa Alarma" (con Camioneta)</v>
          </cell>
          <cell r="D144" t="str">
            <v>UN</v>
          </cell>
          <cell r="E144">
            <v>15</v>
          </cell>
          <cell r="F144">
            <v>12</v>
          </cell>
          <cell r="G144">
            <v>41.015599999999999</v>
          </cell>
          <cell r="H144">
            <v>9.5156191999999997</v>
          </cell>
          <cell r="I144">
            <v>50.531219199999995</v>
          </cell>
        </row>
        <row r="145">
          <cell r="B145" t="str">
            <v>*076102</v>
          </cell>
          <cell r="C145" t="str">
            <v>Atención de Reclamos en Suministros (con Camioneta)</v>
          </cell>
          <cell r="D145" t="str">
            <v>UN</v>
          </cell>
          <cell r="E145">
            <v>13</v>
          </cell>
          <cell r="F145">
            <v>12</v>
          </cell>
          <cell r="G145">
            <v>47.325800000000001</v>
          </cell>
          <cell r="H145">
            <v>10.9795856</v>
          </cell>
          <cell r="I145">
            <v>58.305385600000001</v>
          </cell>
        </row>
        <row r="146">
          <cell r="B146" t="str">
            <v>*076300</v>
          </cell>
          <cell r="C146" t="str">
            <v>Inspección de Postes, Veredas y Otros (Incluye fotos)</v>
          </cell>
          <cell r="D146" t="str">
            <v>UN</v>
          </cell>
          <cell r="E146">
            <v>11</v>
          </cell>
          <cell r="F146">
            <v>12</v>
          </cell>
          <cell r="G146">
            <v>55.930499999999995</v>
          </cell>
          <cell r="H146">
            <v>12.975875999999998</v>
          </cell>
          <cell r="I146">
            <v>68.906375999999995</v>
          </cell>
        </row>
        <row r="147">
          <cell r="B147" t="str">
            <v>*076301</v>
          </cell>
          <cell r="C147" t="str">
            <v>Inspección de reclamo de AP  con cuadrilla de inaccesible</v>
          </cell>
          <cell r="D147" t="str">
            <v>UN</v>
          </cell>
          <cell r="E147">
            <v>9</v>
          </cell>
          <cell r="F147">
            <v>10</v>
          </cell>
          <cell r="G147">
            <v>133.74170000000001</v>
          </cell>
          <cell r="H147">
            <v>31.028074400000001</v>
          </cell>
          <cell r="I147">
            <v>164.76977440000002</v>
          </cell>
        </row>
        <row r="148">
          <cell r="B148" t="str">
            <v>*076302</v>
          </cell>
          <cell r="C148" t="str">
            <v>Inspeccion de reclamo de AP con unidad de brazo hidraúlico.</v>
          </cell>
          <cell r="D148" t="str">
            <v>UN</v>
          </cell>
          <cell r="E148">
            <v>15</v>
          </cell>
          <cell r="F148">
            <v>10</v>
          </cell>
          <cell r="G148">
            <v>47.936900000000001</v>
          </cell>
          <cell r="H148">
            <v>11.1213608</v>
          </cell>
          <cell r="I148">
            <v>59.058260799999999</v>
          </cell>
        </row>
        <row r="149">
          <cell r="B149" t="str">
            <v>*076303</v>
          </cell>
          <cell r="C149" t="str">
            <v>Verificación de tensión con  cuadrilla de inaccesible por reclamos A.P.</v>
          </cell>
          <cell r="D149" t="str">
            <v>UN</v>
          </cell>
          <cell r="E149">
            <v>7</v>
          </cell>
          <cell r="F149">
            <v>10</v>
          </cell>
          <cell r="G149">
            <v>171.95349999999999</v>
          </cell>
          <cell r="H149">
            <v>39.893211999999998</v>
          </cell>
          <cell r="I149">
            <v>211.846712</v>
          </cell>
        </row>
        <row r="150">
          <cell r="B150" t="str">
            <v>*076304</v>
          </cell>
          <cell r="C150" t="str">
            <v>Verificación de tensión con BH por reclamos A.P.</v>
          </cell>
          <cell r="D150" t="str">
            <v>UN</v>
          </cell>
          <cell r="E150">
            <v>12</v>
          </cell>
          <cell r="F150">
            <v>10</v>
          </cell>
          <cell r="G150">
            <v>59.921099999999996</v>
          </cell>
          <cell r="H150">
            <v>13.901695199999997</v>
          </cell>
          <cell r="I150">
            <v>73.822795199999987</v>
          </cell>
        </row>
        <row r="151">
          <cell r="B151" t="str">
            <v>*076400</v>
          </cell>
          <cell r="C151" t="str">
            <v>Instalación de tripode e instalación de escalera embonable con cuadrilla de inaccesible</v>
          </cell>
          <cell r="D151" t="str">
            <v>UN</v>
          </cell>
          <cell r="E151">
            <v>20</v>
          </cell>
          <cell r="F151">
            <v>10</v>
          </cell>
          <cell r="G151">
            <v>60.183700000000002</v>
          </cell>
          <cell r="H151">
            <v>13.9626184</v>
          </cell>
          <cell r="I151">
            <v>74.146318399999998</v>
          </cell>
        </row>
        <row r="152">
          <cell r="B152" t="str">
            <v>*076600</v>
          </cell>
          <cell r="C152" t="str">
            <v>Control y seguimiento de solicitudes y reclamos de Alumbrado Público.</v>
          </cell>
          <cell r="D152" t="str">
            <v>UN</v>
          </cell>
          <cell r="E152">
            <v>68</v>
          </cell>
          <cell r="F152">
            <v>8</v>
          </cell>
          <cell r="G152">
            <v>3.7841999999999998</v>
          </cell>
          <cell r="H152">
            <v>0.87793439999999989</v>
          </cell>
          <cell r="I152">
            <v>4.6621343999999993</v>
          </cell>
        </row>
        <row r="153">
          <cell r="B153" t="str">
            <v>*076601</v>
          </cell>
          <cell r="C153" t="str">
            <v>Custodia de instalaciones con riesgo</v>
          </cell>
          <cell r="D153" t="str">
            <v>H</v>
          </cell>
          <cell r="E153">
            <v>11</v>
          </cell>
          <cell r="F153">
            <v>12</v>
          </cell>
          <cell r="G153">
            <v>55.930499999999995</v>
          </cell>
          <cell r="H153">
            <v>12.975875999999998</v>
          </cell>
          <cell r="I153">
            <v>68.906375999999995</v>
          </cell>
        </row>
        <row r="154">
          <cell r="B154" t="str">
            <v>*079001</v>
          </cell>
          <cell r="C154" t="str">
            <v>Cambio de cable extraflexible (pasante) a luminaria en pastoral simple con plataforma elevadora por</v>
          </cell>
          <cell r="D154" t="str">
            <v>UN</v>
          </cell>
          <cell r="E154">
            <v>9</v>
          </cell>
          <cell r="F154">
            <v>9.6</v>
          </cell>
          <cell r="G154">
            <v>122.20280000000001</v>
          </cell>
          <cell r="H154">
            <v>28.3510496</v>
          </cell>
          <cell r="I154">
            <v>150.55384960000001</v>
          </cell>
        </row>
        <row r="155">
          <cell r="B155" t="str">
            <v>*079002</v>
          </cell>
          <cell r="C155" t="str">
            <v>Reconexión de cable extraflexible (pasante) con  plataforma elevadora por reclamos A.P.</v>
          </cell>
          <cell r="D155" t="str">
            <v>UN</v>
          </cell>
          <cell r="E155">
            <v>9</v>
          </cell>
          <cell r="F155">
            <v>9.6</v>
          </cell>
          <cell r="G155">
            <v>122.20280000000001</v>
          </cell>
          <cell r="H155">
            <v>28.3510496</v>
          </cell>
          <cell r="I155">
            <v>150.55384960000001</v>
          </cell>
        </row>
        <row r="156">
          <cell r="B156" t="str">
            <v>*079003</v>
          </cell>
          <cell r="C156" t="str">
            <v>Cambio de lampara con plataforma elevadora por atención de Solicitudes</v>
          </cell>
          <cell r="D156" t="str">
            <v>UN</v>
          </cell>
          <cell r="E156">
            <v>9</v>
          </cell>
          <cell r="F156">
            <v>9.6</v>
          </cell>
          <cell r="G156">
            <v>122.20280000000001</v>
          </cell>
          <cell r="H156">
            <v>28.3510496</v>
          </cell>
          <cell r="I156">
            <v>150.55384960000001</v>
          </cell>
        </row>
        <row r="157">
          <cell r="B157" t="str">
            <v>*079004</v>
          </cell>
          <cell r="C157" t="str">
            <v>Cambio de lampara con plataforma elevadora por reclamos A.P.</v>
          </cell>
          <cell r="D157" t="str">
            <v>UN</v>
          </cell>
          <cell r="E157">
            <v>9</v>
          </cell>
          <cell r="F157">
            <v>9.6</v>
          </cell>
          <cell r="G157">
            <v>122.20280000000001</v>
          </cell>
          <cell r="H157">
            <v>28.3510496</v>
          </cell>
          <cell r="I157">
            <v>150.55384960000001</v>
          </cell>
        </row>
        <row r="158">
          <cell r="B158" t="str">
            <v>*079005</v>
          </cell>
          <cell r="C158" t="str">
            <v>Cambio de pastoral parabolico con plataforma elevadora por atención de solicitudes</v>
          </cell>
          <cell r="D158" t="str">
            <v>UN</v>
          </cell>
          <cell r="E158">
            <v>9</v>
          </cell>
          <cell r="F158">
            <v>9.6</v>
          </cell>
          <cell r="G158">
            <v>122.20280000000001</v>
          </cell>
          <cell r="H158">
            <v>28.3510496</v>
          </cell>
          <cell r="I158">
            <v>150.55384960000001</v>
          </cell>
        </row>
        <row r="159">
          <cell r="B159" t="str">
            <v>*079006</v>
          </cell>
          <cell r="C159" t="str">
            <v>Cambio de pastoral parabolico con plataforma elevadora por reclamos A.P.</v>
          </cell>
          <cell r="D159" t="str">
            <v>UN</v>
          </cell>
          <cell r="E159">
            <v>9</v>
          </cell>
          <cell r="F159">
            <v>9.6</v>
          </cell>
          <cell r="G159">
            <v>122.20280000000001</v>
          </cell>
          <cell r="H159">
            <v>28.3510496</v>
          </cell>
          <cell r="I159">
            <v>150.55384960000001</v>
          </cell>
        </row>
        <row r="160">
          <cell r="B160" t="str">
            <v>*079007</v>
          </cell>
          <cell r="C160" t="str">
            <v>Cambio de pastoral simple con plataforma elevadora por atención de Solicitudes</v>
          </cell>
          <cell r="D160" t="str">
            <v>UN</v>
          </cell>
          <cell r="E160">
            <v>9</v>
          </cell>
          <cell r="F160">
            <v>9.6</v>
          </cell>
          <cell r="G160">
            <v>122.20280000000001</v>
          </cell>
          <cell r="H160">
            <v>28.3510496</v>
          </cell>
          <cell r="I160">
            <v>150.55384960000001</v>
          </cell>
        </row>
        <row r="161">
          <cell r="B161" t="str">
            <v>*079008</v>
          </cell>
          <cell r="C161" t="str">
            <v>Cambio de pastoral simple con plataforma elevadora por reclamos A.P.</v>
          </cell>
          <cell r="D161" t="str">
            <v>UN</v>
          </cell>
          <cell r="E161">
            <v>9</v>
          </cell>
          <cell r="F161">
            <v>9.6</v>
          </cell>
          <cell r="G161">
            <v>122.20280000000001</v>
          </cell>
          <cell r="H161">
            <v>28.3510496</v>
          </cell>
          <cell r="I161">
            <v>150.55384960000001</v>
          </cell>
        </row>
        <row r="162">
          <cell r="B162" t="str">
            <v>*079009</v>
          </cell>
          <cell r="C162" t="str">
            <v>Cambio o reposición de difusor plataforma elevadora por atención de Solicitudes</v>
          </cell>
          <cell r="D162" t="str">
            <v>UN</v>
          </cell>
          <cell r="E162">
            <v>9</v>
          </cell>
          <cell r="F162">
            <v>9.6</v>
          </cell>
          <cell r="G162">
            <v>122.20280000000001</v>
          </cell>
          <cell r="H162">
            <v>28.3510496</v>
          </cell>
          <cell r="I162">
            <v>150.55384960000001</v>
          </cell>
        </row>
        <row r="163">
          <cell r="B163" t="str">
            <v>*079010</v>
          </cell>
          <cell r="C163" t="str">
            <v>Cambio o reposición de difusor plataforma elevadora por reclamos A.P.</v>
          </cell>
          <cell r="D163" t="str">
            <v>UN</v>
          </cell>
          <cell r="E163">
            <v>9</v>
          </cell>
          <cell r="F163">
            <v>9.6</v>
          </cell>
          <cell r="G163">
            <v>122.20280000000001</v>
          </cell>
          <cell r="H163">
            <v>28.3510496</v>
          </cell>
          <cell r="I163">
            <v>150.55384960000001</v>
          </cell>
        </row>
        <row r="164">
          <cell r="B164" t="str">
            <v>*079011</v>
          </cell>
          <cell r="C164" t="str">
            <v>Cambio o reposición de luminaria con plataforma elevadora por atención de Solicitudes.</v>
          </cell>
          <cell r="D164" t="str">
            <v>UN</v>
          </cell>
          <cell r="E164">
            <v>9</v>
          </cell>
          <cell r="F164">
            <v>9.6</v>
          </cell>
          <cell r="G164">
            <v>122.20280000000001</v>
          </cell>
          <cell r="H164">
            <v>28.3510496</v>
          </cell>
          <cell r="I164">
            <v>150.55384960000001</v>
          </cell>
        </row>
        <row r="165">
          <cell r="B165" t="str">
            <v>*079012</v>
          </cell>
          <cell r="C165" t="str">
            <v>Cambio o reposición de luminaria con plataforma elevadora por reclamos A.P.</v>
          </cell>
          <cell r="D165" t="str">
            <v>UN</v>
          </cell>
          <cell r="E165">
            <v>9</v>
          </cell>
          <cell r="F165">
            <v>9.6</v>
          </cell>
          <cell r="G165">
            <v>122.20280000000001</v>
          </cell>
          <cell r="H165">
            <v>28.3510496</v>
          </cell>
          <cell r="I165">
            <v>150.55384960000001</v>
          </cell>
        </row>
        <row r="166">
          <cell r="B166" t="str">
            <v>*079013</v>
          </cell>
          <cell r="C166" t="str">
            <v>Verificación de estado de corrosión de poste con plataforma elevadora.</v>
          </cell>
          <cell r="D166" t="str">
            <v>UN</v>
          </cell>
          <cell r="E166">
            <v>9</v>
          </cell>
          <cell r="F166">
            <v>9.6</v>
          </cell>
          <cell r="G166">
            <v>122.20280000000001</v>
          </cell>
          <cell r="H166">
            <v>28.3510496</v>
          </cell>
          <cell r="I166">
            <v>150.55384960000001</v>
          </cell>
        </row>
        <row r="167">
          <cell r="B167" t="str">
            <v>*079014</v>
          </cell>
          <cell r="C167" t="str">
            <v>Instalación de luminaria con pastoral soldado con plataforma elevadora  por atención de Solicitudes</v>
          </cell>
          <cell r="D167" t="str">
            <v>UN</v>
          </cell>
          <cell r="E167">
            <v>9</v>
          </cell>
          <cell r="F167">
            <v>9.6</v>
          </cell>
          <cell r="G167">
            <v>122.20280000000001</v>
          </cell>
          <cell r="H167">
            <v>28.3510496</v>
          </cell>
          <cell r="I167">
            <v>150.55384960000001</v>
          </cell>
        </row>
        <row r="168">
          <cell r="B168" t="str">
            <v>*079015</v>
          </cell>
          <cell r="C168" t="str">
            <v>Instalación de luminaria con pastoral soldado con plataforma elevadora por reclamos A.P.</v>
          </cell>
          <cell r="D168" t="str">
            <v>UN</v>
          </cell>
          <cell r="E168">
            <v>9</v>
          </cell>
          <cell r="F168">
            <v>9.6</v>
          </cell>
          <cell r="G168">
            <v>122.20280000000001</v>
          </cell>
          <cell r="H168">
            <v>28.3510496</v>
          </cell>
          <cell r="I168">
            <v>150.55384960000001</v>
          </cell>
        </row>
        <row r="169">
          <cell r="B169" t="str">
            <v>*079016</v>
          </cell>
          <cell r="C169" t="str">
            <v>Revirado de pastoral o luminarias con plataforma elevadora por reclamos de A.P.</v>
          </cell>
          <cell r="D169" t="str">
            <v>UN</v>
          </cell>
          <cell r="E169">
            <v>9</v>
          </cell>
          <cell r="F169">
            <v>9.6</v>
          </cell>
          <cell r="G169">
            <v>122.20280000000001</v>
          </cell>
          <cell r="H169">
            <v>28.3510496</v>
          </cell>
          <cell r="I169">
            <v>150.55384960000001</v>
          </cell>
        </row>
        <row r="170">
          <cell r="B170" t="str">
            <v>*079017</v>
          </cell>
          <cell r="C170" t="str">
            <v>Revirado de pastoral y/o luminaria con plataforma elevadora por atención de Solicitudes</v>
          </cell>
          <cell r="D170" t="str">
            <v>UN</v>
          </cell>
          <cell r="E170">
            <v>9</v>
          </cell>
          <cell r="F170">
            <v>9.6</v>
          </cell>
          <cell r="G170">
            <v>122.20280000000001</v>
          </cell>
          <cell r="H170">
            <v>28.3510496</v>
          </cell>
          <cell r="I170">
            <v>150.55384960000001</v>
          </cell>
        </row>
        <row r="171">
          <cell r="B171" t="str">
            <v>*079018</v>
          </cell>
          <cell r="C171" t="str">
            <v>Cambio de fusible con plataforma elevadora por reclamos A.P.</v>
          </cell>
          <cell r="D171" t="str">
            <v>UN</v>
          </cell>
          <cell r="E171">
            <v>9</v>
          </cell>
          <cell r="F171">
            <v>9.6</v>
          </cell>
          <cell r="G171">
            <v>122.20280000000001</v>
          </cell>
          <cell r="H171">
            <v>28.3510496</v>
          </cell>
          <cell r="I171">
            <v>150.55384960000001</v>
          </cell>
        </row>
        <row r="172">
          <cell r="B172" t="str">
            <v>*079019</v>
          </cell>
          <cell r="C172" t="str">
            <v>Inspección de reclamo de AP con plataforma elevadora</v>
          </cell>
          <cell r="D172" t="str">
            <v>UN</v>
          </cell>
          <cell r="E172">
            <v>9</v>
          </cell>
          <cell r="F172">
            <v>9.6</v>
          </cell>
          <cell r="G172">
            <v>122.20280000000001</v>
          </cell>
          <cell r="H172">
            <v>28.3510496</v>
          </cell>
          <cell r="I172">
            <v>150.55384960000001</v>
          </cell>
        </row>
        <row r="173">
          <cell r="B173" t="str">
            <v>*079020</v>
          </cell>
          <cell r="C173" t="str">
            <v>Verificación de tensión con plataforma elevadora por reclamos A.P.</v>
          </cell>
          <cell r="D173" t="str">
            <v>UN</v>
          </cell>
          <cell r="E173">
            <v>9</v>
          </cell>
          <cell r="F173">
            <v>9.6</v>
          </cell>
          <cell r="G173">
            <v>122.20280000000001</v>
          </cell>
          <cell r="H173">
            <v>28.3510496</v>
          </cell>
          <cell r="I173">
            <v>150.55384960000001</v>
          </cell>
        </row>
        <row r="174">
          <cell r="B174" t="str">
            <v>*082050</v>
          </cell>
          <cell r="C174" t="str">
            <v>INSTALACIÓN, CATASTRO, MEDICIÓN Y RETIRO DE EQUIPOS DE MEDICIÓN DE MÁXIMA DEMANDA</v>
          </cell>
          <cell r="D174" t="str">
            <v>UN</v>
          </cell>
          <cell r="E174">
            <v>6.1695000000000002</v>
          </cell>
          <cell r="F174">
            <v>9.6</v>
          </cell>
          <cell r="G174">
            <v>149.88220000000001</v>
          </cell>
          <cell r="H174">
            <v>34.772670400000003</v>
          </cell>
          <cell r="I174">
            <v>184.65487040000002</v>
          </cell>
        </row>
        <row r="175">
          <cell r="B175" t="str">
            <v>*082051</v>
          </cell>
          <cell r="C175" t="str">
            <v>INSTALACIÓN, MEDICIÓN Y RETIRO DE EQUIPOS DE MEDICIÓN DE BAJA TENSIÓN</v>
          </cell>
          <cell r="D175" t="str">
            <v>UN</v>
          </cell>
          <cell r="E175">
            <v>8.9682999999999993</v>
          </cell>
          <cell r="F175">
            <v>9.6</v>
          </cell>
          <cell r="G175">
            <v>103.87259999999999</v>
          </cell>
          <cell r="H175">
            <v>24.098443199999995</v>
          </cell>
          <cell r="I175">
            <v>127.97104319999998</v>
          </cell>
        </row>
        <row r="176">
          <cell r="B176" t="str">
            <v>*082052</v>
          </cell>
          <cell r="C176" t="str">
            <v>INSTALACIÓN, MEDICIÓN Y RETIRO DE EQUIPOS DE MEDICIÓN DE MEDIA TENSIÓN</v>
          </cell>
          <cell r="D176" t="str">
            <v>UN</v>
          </cell>
          <cell r="E176">
            <v>7.0823</v>
          </cell>
          <cell r="F176">
            <v>9.6</v>
          </cell>
          <cell r="G176">
            <v>205.24649999999997</v>
          </cell>
          <cell r="H176">
            <v>47.617187999999992</v>
          </cell>
          <cell r="I176">
            <v>252.86368799999997</v>
          </cell>
        </row>
        <row r="177">
          <cell r="B177" t="str">
            <v>*082053</v>
          </cell>
          <cell r="C177" t="str">
            <v>INSTALACIÓN, MEDICIÓN Y RETIRO DE EQUIPOS DE MEDICIÓN DE TENSIÓN Y PERTURBACIONES MT</v>
          </cell>
          <cell r="D177" t="str">
            <v>UN</v>
          </cell>
          <cell r="E177">
            <v>8.5264000000000006</v>
          </cell>
          <cell r="F177">
            <v>9.6</v>
          </cell>
          <cell r="G177">
            <v>268.05989999999997</v>
          </cell>
          <cell r="H177">
            <v>62.189896799999985</v>
          </cell>
          <cell r="I177">
            <v>330.24979679999996</v>
          </cell>
        </row>
        <row r="178">
          <cell r="B178" t="str">
            <v>*090000</v>
          </cell>
          <cell r="C178" t="str">
            <v>AISLADOR PIN MT EN PUNTA DE POSTE</v>
          </cell>
          <cell r="D178" t="str">
            <v>UN</v>
          </cell>
          <cell r="E178">
            <v>16.05</v>
          </cell>
          <cell r="F178">
            <v>9.6</v>
          </cell>
          <cell r="G178">
            <v>22.847100000000001</v>
          </cell>
          <cell r="H178">
            <v>5.3005272000000003</v>
          </cell>
          <cell r="I178">
            <v>28.147627200000002</v>
          </cell>
        </row>
        <row r="179">
          <cell r="B179" t="str">
            <v>*090001</v>
          </cell>
          <cell r="C179" t="str">
            <v>RETIRO DE AISLADOR PIN MT EN PUNTA DE POSTE</v>
          </cell>
          <cell r="D179" t="str">
            <v>UN</v>
          </cell>
          <cell r="E179">
            <v>22.927900000000001</v>
          </cell>
          <cell r="F179">
            <v>9.6</v>
          </cell>
          <cell r="G179">
            <v>15.993500000000001</v>
          </cell>
          <cell r="H179">
            <v>3.7104919999999999</v>
          </cell>
          <cell r="I179">
            <v>19.703992</v>
          </cell>
        </row>
        <row r="180">
          <cell r="B180" t="str">
            <v>*090009</v>
          </cell>
          <cell r="C180" t="str">
            <v>RETIRO DE EXTENSOR DE LINEA DE FUGA EN AISLADOR</v>
          </cell>
          <cell r="D180" t="str">
            <v>UN</v>
          </cell>
          <cell r="E180">
            <v>41.1417</v>
          </cell>
          <cell r="F180">
            <v>9.6</v>
          </cell>
          <cell r="G180">
            <v>8.6407000000000007</v>
          </cell>
          <cell r="H180">
            <v>2.0046423999999998</v>
          </cell>
          <cell r="I180">
            <v>10.645342400000001</v>
          </cell>
        </row>
        <row r="181">
          <cell r="B181" t="str">
            <v>*090010</v>
          </cell>
          <cell r="C181" t="str">
            <v>AISLADOR PIN MT EN CRUCETA</v>
          </cell>
          <cell r="D181" t="str">
            <v>UN</v>
          </cell>
          <cell r="E181">
            <v>34.286099999999998</v>
          </cell>
          <cell r="F181">
            <v>9.6</v>
          </cell>
          <cell r="G181">
            <v>14.444299999999998</v>
          </cell>
          <cell r="H181">
            <v>3.3510775999999995</v>
          </cell>
          <cell r="I181">
            <v>17.795377599999998</v>
          </cell>
        </row>
        <row r="182">
          <cell r="B182" t="str">
            <v>*090011</v>
          </cell>
          <cell r="C182" t="str">
            <v>RETIRO AISLADOR PIN MT EN CRUCETA</v>
          </cell>
          <cell r="D182" t="str">
            <v>UN</v>
          </cell>
          <cell r="E182">
            <v>48.9788</v>
          </cell>
          <cell r="F182">
            <v>9.6</v>
          </cell>
          <cell r="G182">
            <v>10.1113</v>
          </cell>
          <cell r="H182">
            <v>2.3458215999999998</v>
          </cell>
          <cell r="I182">
            <v>12.457121600000001</v>
          </cell>
        </row>
        <row r="183">
          <cell r="B183" t="str">
            <v>*090015</v>
          </cell>
          <cell r="C183" t="str">
            <v>TRASLADO DE AISLADOR PIN MT EN CRUCETA</v>
          </cell>
          <cell r="D183" t="str">
            <v>UN</v>
          </cell>
          <cell r="E183">
            <v>26.373899999999999</v>
          </cell>
          <cell r="F183">
            <v>9.6</v>
          </cell>
          <cell r="G183">
            <v>18.777700000000003</v>
          </cell>
          <cell r="H183">
            <v>4.3564264000000001</v>
          </cell>
          <cell r="I183">
            <v>23.134126400000003</v>
          </cell>
        </row>
        <row r="184">
          <cell r="B184" t="str">
            <v>*090016</v>
          </cell>
          <cell r="C184" t="str">
            <v>INSTALACION DE EXTENSOR DE LINEA DE FUGA EN AISLADOR</v>
          </cell>
          <cell r="D184" t="str">
            <v>UN</v>
          </cell>
          <cell r="E184">
            <v>28.8</v>
          </cell>
          <cell r="F184">
            <v>9.6</v>
          </cell>
          <cell r="G184">
            <v>12.844799999999999</v>
          </cell>
          <cell r="H184">
            <v>2.9799935999999998</v>
          </cell>
          <cell r="I184">
            <v>15.8247936</v>
          </cell>
        </row>
        <row r="185">
          <cell r="B185" t="str">
            <v>*090030</v>
          </cell>
          <cell r="C185" t="str">
            <v>CADENA 1 AISLADOR SUSPENSION MT</v>
          </cell>
          <cell r="D185" t="str">
            <v>PQ</v>
          </cell>
          <cell r="E185">
            <v>31.712</v>
          </cell>
          <cell r="F185">
            <v>9.6</v>
          </cell>
          <cell r="G185">
            <v>16.4986</v>
          </cell>
          <cell r="H185">
            <v>3.8276751999999998</v>
          </cell>
          <cell r="I185">
            <v>20.326275199999998</v>
          </cell>
        </row>
        <row r="186">
          <cell r="B186" t="str">
            <v>*090031</v>
          </cell>
          <cell r="C186" t="str">
            <v>RETIRO CADENA 1 AISLADOR SUSPENSION MT</v>
          </cell>
          <cell r="D186" t="str">
            <v>PQ</v>
          </cell>
          <cell r="E186">
            <v>45.301600000000001</v>
          </cell>
          <cell r="F186">
            <v>9.6</v>
          </cell>
          <cell r="G186">
            <v>11.549399999999999</v>
          </cell>
          <cell r="H186">
            <v>2.6794607999999993</v>
          </cell>
          <cell r="I186">
            <v>14.228860799999998</v>
          </cell>
        </row>
        <row r="187">
          <cell r="B187" t="str">
            <v>*090032</v>
          </cell>
          <cell r="C187" t="str">
            <v>TRASLADO DE CADENA 1 AISLADOR SUSPENSION MT</v>
          </cell>
          <cell r="D187" t="str">
            <v>PQ</v>
          </cell>
          <cell r="E187">
            <v>24.393799999999999</v>
          </cell>
          <cell r="F187">
            <v>9.6</v>
          </cell>
          <cell r="G187">
            <v>21.448299999999996</v>
          </cell>
          <cell r="H187">
            <v>4.9760055999999988</v>
          </cell>
          <cell r="I187">
            <v>26.424305599999997</v>
          </cell>
        </row>
        <row r="188">
          <cell r="B188" t="str">
            <v>*090049</v>
          </cell>
          <cell r="C188" t="str">
            <v>RETIRO DE AMARRAS PARA CONDUCTOR DE CU O AL</v>
          </cell>
          <cell r="D188" t="str">
            <v>UN</v>
          </cell>
          <cell r="E188">
            <v>582.8954</v>
          </cell>
          <cell r="F188">
            <v>9.6</v>
          </cell>
          <cell r="G188">
            <v>0.69509999999999994</v>
          </cell>
          <cell r="H188">
            <v>0.16126319999999997</v>
          </cell>
          <cell r="I188">
            <v>0.85636319999999988</v>
          </cell>
        </row>
        <row r="189">
          <cell r="B189" t="str">
            <v>*090050</v>
          </cell>
          <cell r="C189" t="str">
            <v>AMARRAS PARA CONDUCTOR DE CU O AL</v>
          </cell>
          <cell r="D189" t="str">
            <v>UN</v>
          </cell>
          <cell r="E189">
            <v>408.03840000000002</v>
          </cell>
          <cell r="F189">
            <v>9.6</v>
          </cell>
          <cell r="G189">
            <v>0.9927999999999999</v>
          </cell>
          <cell r="H189">
            <v>0.23032959999999997</v>
          </cell>
          <cell r="I189">
            <v>1.2231295999999998</v>
          </cell>
        </row>
        <row r="190">
          <cell r="B190" t="str">
            <v>*090060</v>
          </cell>
          <cell r="C190" t="str">
            <v>DIAGONAL PARA CRUCETA DE MADERA O FIERRO</v>
          </cell>
          <cell r="D190" t="str">
            <v>UN</v>
          </cell>
          <cell r="E190">
            <v>31.709399999999999</v>
          </cell>
          <cell r="F190">
            <v>9.6</v>
          </cell>
          <cell r="G190">
            <v>16.5</v>
          </cell>
          <cell r="H190">
            <v>3.8279999999999998</v>
          </cell>
          <cell r="I190">
            <v>20.327999999999999</v>
          </cell>
        </row>
        <row r="191">
          <cell r="B191" t="str">
            <v>*090061</v>
          </cell>
          <cell r="C191" t="str">
            <v>RETIRO DIAGONAL PARA CRUCETA DE MADERA O FIERRO</v>
          </cell>
          <cell r="D191" t="str">
            <v>UN</v>
          </cell>
          <cell r="E191">
            <v>45.297899999999998</v>
          </cell>
          <cell r="F191">
            <v>9.6</v>
          </cell>
          <cell r="G191">
            <v>11.5504</v>
          </cell>
          <cell r="H191">
            <v>2.6796927999999998</v>
          </cell>
          <cell r="I191">
            <v>14.2300928</v>
          </cell>
        </row>
        <row r="192">
          <cell r="B192" t="str">
            <v>*090062</v>
          </cell>
          <cell r="C192" t="str">
            <v>TRASLADO DE DIAGONAL PARA CRUCETA DE MADERA O FIERRO</v>
          </cell>
          <cell r="D192" t="str">
            <v>UN</v>
          </cell>
          <cell r="E192">
            <v>24.3918</v>
          </cell>
          <cell r="F192">
            <v>9.6</v>
          </cell>
          <cell r="G192">
            <v>21.450099999999999</v>
          </cell>
          <cell r="H192">
            <v>4.9764231999999993</v>
          </cell>
          <cell r="I192">
            <v>26.426523199999998</v>
          </cell>
        </row>
        <row r="193">
          <cell r="B193" t="str">
            <v>*090064</v>
          </cell>
          <cell r="C193" t="str">
            <v>RETIRO ABRAZADERA PARA PERFIL DE ESTRUCTURA MT</v>
          </cell>
          <cell r="D193" t="str">
            <v>UN</v>
          </cell>
          <cell r="E193">
            <v>48.984499999999997</v>
          </cell>
          <cell r="F193">
            <v>9.6</v>
          </cell>
          <cell r="G193">
            <v>10.110100000000001</v>
          </cell>
          <cell r="H193">
            <v>2.3455432000000003</v>
          </cell>
          <cell r="I193">
            <v>12.455643200000001</v>
          </cell>
        </row>
        <row r="194">
          <cell r="B194" t="str">
            <v>*090065</v>
          </cell>
          <cell r="C194" t="str">
            <v>ABRAZADERA PARA PERFIL DE ESTRUCTURA MT</v>
          </cell>
          <cell r="D194" t="str">
            <v>UN</v>
          </cell>
          <cell r="E194">
            <v>34.290100000000002</v>
          </cell>
          <cell r="F194">
            <v>9.6</v>
          </cell>
          <cell r="G194">
            <v>14.442599999999999</v>
          </cell>
          <cell r="H194">
            <v>3.3506831999999993</v>
          </cell>
          <cell r="I194">
            <v>17.793283199999998</v>
          </cell>
        </row>
        <row r="195">
          <cell r="B195" t="str">
            <v>*090066</v>
          </cell>
          <cell r="C195" t="str">
            <v>TRASLADO ABRAZADERA PARA PERFIL DE ESTRUCTURA MT</v>
          </cell>
          <cell r="D195" t="str">
            <v>UN</v>
          </cell>
          <cell r="E195">
            <v>26.376899999999999</v>
          </cell>
          <cell r="F195">
            <v>9.6</v>
          </cell>
          <cell r="G195">
            <v>18.775500000000001</v>
          </cell>
          <cell r="H195">
            <v>4.3559159999999997</v>
          </cell>
          <cell r="I195">
            <v>23.131416000000002</v>
          </cell>
        </row>
        <row r="196">
          <cell r="B196" t="str">
            <v>*090079</v>
          </cell>
          <cell r="C196" t="str">
            <v>SEÑALIZACIÓN EN INSTALACIÓN DE CABLES AÉREOS</v>
          </cell>
          <cell r="D196" t="str">
            <v>M</v>
          </cell>
          <cell r="E196">
            <v>1173.6355000000001</v>
          </cell>
          <cell r="F196">
            <v>9.6</v>
          </cell>
          <cell r="G196">
            <v>0.57379999999999998</v>
          </cell>
          <cell r="H196">
            <v>0.13312159999999998</v>
          </cell>
          <cell r="I196">
            <v>0.70692159999999993</v>
          </cell>
        </row>
        <row r="197">
          <cell r="B197" t="str">
            <v>*090080</v>
          </cell>
          <cell r="C197" t="str">
            <v>CONDUCTOR CU O AL DESNUDO/FORRADO HASTA 25 mm2</v>
          </cell>
          <cell r="D197" t="str">
            <v>M</v>
          </cell>
          <cell r="E197">
            <v>2835</v>
          </cell>
          <cell r="F197">
            <v>9.6</v>
          </cell>
          <cell r="G197">
            <v>0.95140000000000002</v>
          </cell>
          <cell r="H197">
            <v>0.2207248</v>
          </cell>
          <cell r="I197">
            <v>1.1721248</v>
          </cell>
        </row>
        <row r="198">
          <cell r="B198" t="str">
            <v>*090081</v>
          </cell>
          <cell r="C198" t="str">
            <v>Instalación de cinta señalizadora celeste en cable particular</v>
          </cell>
          <cell r="D198" t="str">
            <v>M</v>
          </cell>
          <cell r="E198">
            <v>760.32</v>
          </cell>
          <cell r="F198">
            <v>9.6</v>
          </cell>
          <cell r="G198">
            <v>0.44979999999999998</v>
          </cell>
          <cell r="H198">
            <v>0.10435359999999999</v>
          </cell>
          <cell r="I198">
            <v>0.55415360000000002</v>
          </cell>
        </row>
        <row r="199">
          <cell r="B199" t="str">
            <v>*090082</v>
          </cell>
          <cell r="C199" t="str">
            <v>RETIRO CONDUCTOR CU O AL DESNUDO/FORRADO HASTA 25 mm2</v>
          </cell>
          <cell r="D199" t="str">
            <v>M</v>
          </cell>
          <cell r="E199">
            <v>4049.8847999999998</v>
          </cell>
          <cell r="F199">
            <v>9.6</v>
          </cell>
          <cell r="G199">
            <v>0.66589999999999994</v>
          </cell>
          <cell r="H199">
            <v>0.15448879999999998</v>
          </cell>
          <cell r="I199">
            <v>0.82038879999999992</v>
          </cell>
        </row>
        <row r="200">
          <cell r="B200" t="str">
            <v>*090100</v>
          </cell>
          <cell r="C200" t="str">
            <v>CONDUCTOR CU O AL DESNUDO/FORRADO MAYOR DE 25 HASTA 35 mm2</v>
          </cell>
          <cell r="D200" t="str">
            <v>M</v>
          </cell>
          <cell r="E200">
            <v>2201.1732000000002</v>
          </cell>
          <cell r="F200">
            <v>9.6</v>
          </cell>
          <cell r="G200">
            <v>1.1784999999999999</v>
          </cell>
          <cell r="H200">
            <v>0.27341199999999993</v>
          </cell>
          <cell r="I200">
            <v>1.4519119999999999</v>
          </cell>
        </row>
        <row r="201">
          <cell r="B201" t="str">
            <v>*090102</v>
          </cell>
          <cell r="C201" t="str">
            <v>RETIRO CONDUCTOR CU O AL DESNUDO/FORRADO MAYOR DE 25 HASTA 35 mm2</v>
          </cell>
          <cell r="D201" t="str">
            <v>M</v>
          </cell>
          <cell r="E201">
            <v>3144.4436999999998</v>
          </cell>
          <cell r="F201">
            <v>9.6</v>
          </cell>
          <cell r="G201">
            <v>0.82500000000000007</v>
          </cell>
          <cell r="H201">
            <v>0.19140000000000001</v>
          </cell>
          <cell r="I201">
            <v>1.0164</v>
          </cell>
        </row>
        <row r="202">
          <cell r="B202" t="str">
            <v>*090103</v>
          </cell>
          <cell r="C202" t="str">
            <v>TRASLADO CONDUCTOR CU O AL DESNUDO/FORRADO MAYOR DE 25 HASTA 35 mm2</v>
          </cell>
          <cell r="D202" t="str">
            <v>M</v>
          </cell>
          <cell r="E202">
            <v>1693.7499</v>
          </cell>
          <cell r="F202">
            <v>9.6</v>
          </cell>
          <cell r="G202">
            <v>1.5317000000000001</v>
          </cell>
          <cell r="H202">
            <v>0.35535440000000001</v>
          </cell>
          <cell r="I202">
            <v>1.8870544</v>
          </cell>
        </row>
        <row r="203">
          <cell r="B203" t="str">
            <v>*090110</v>
          </cell>
          <cell r="C203" t="str">
            <v>CONDUCTOR CU O AL DESNUDO/FORRADO MAYOR DE 35 HASTA 70 mm2</v>
          </cell>
          <cell r="D203" t="str">
            <v>M</v>
          </cell>
          <cell r="E203">
            <v>1827</v>
          </cell>
          <cell r="F203">
            <v>9.6</v>
          </cell>
          <cell r="G203">
            <v>1.5884</v>
          </cell>
          <cell r="H203">
            <v>0.36850879999999997</v>
          </cell>
          <cell r="I203">
            <v>1.9569087999999999</v>
          </cell>
        </row>
        <row r="204">
          <cell r="B204" t="str">
            <v>*090113</v>
          </cell>
          <cell r="C204" t="str">
            <v>RETIRO CONDUCTOR CU O AL DESNUDO/FORRADO MAYOR DE 35 HASTA 70 mm2</v>
          </cell>
          <cell r="D204" t="str">
            <v>M</v>
          </cell>
          <cell r="E204">
            <v>2609.9258</v>
          </cell>
          <cell r="F204">
            <v>9.6</v>
          </cell>
          <cell r="G204">
            <v>1.1118000000000001</v>
          </cell>
          <cell r="H204">
            <v>0.25793759999999999</v>
          </cell>
          <cell r="I204">
            <v>1.3697376000000001</v>
          </cell>
        </row>
        <row r="205">
          <cell r="B205" t="str">
            <v>*090114</v>
          </cell>
          <cell r="C205" t="str">
            <v>TRASLADO CONDUCTOR CU O AL DESNUDO/FORRADO MAYOR DE 35 HASTA 70 mm2</v>
          </cell>
          <cell r="D205" t="str">
            <v>M</v>
          </cell>
          <cell r="E205">
            <v>1405.8326</v>
          </cell>
          <cell r="F205">
            <v>9.6</v>
          </cell>
          <cell r="G205">
            <v>2.0640999999999998</v>
          </cell>
          <cell r="H205">
            <v>0.47887119999999994</v>
          </cell>
          <cell r="I205">
            <v>2.5429711999999998</v>
          </cell>
        </row>
        <row r="206">
          <cell r="B206" t="str">
            <v>*090120</v>
          </cell>
          <cell r="C206" t="str">
            <v>CONDUCTOR CU O AL  DESNUDO/FORRADO MAYOR DE 70 HASTA 120 mm2</v>
          </cell>
          <cell r="D206" t="str">
            <v>M</v>
          </cell>
          <cell r="E206">
            <v>560</v>
          </cell>
          <cell r="F206">
            <v>9.6</v>
          </cell>
          <cell r="G206">
            <v>2.3449999999999998</v>
          </cell>
          <cell r="H206">
            <v>0.54403999999999986</v>
          </cell>
          <cell r="I206">
            <v>2.8890399999999996</v>
          </cell>
        </row>
        <row r="207">
          <cell r="B207" t="str">
            <v>*090123</v>
          </cell>
          <cell r="C207" t="str">
            <v>RETIRO CONDUCTOR CU O AL  DESNUDO/FORRADO MAYOR DE 70 HASTA 120 mm2</v>
          </cell>
          <cell r="D207" t="str">
            <v>M</v>
          </cell>
          <cell r="E207">
            <v>799.97730000000001</v>
          </cell>
          <cell r="F207">
            <v>9.6</v>
          </cell>
          <cell r="G207">
            <v>1.6415999999999999</v>
          </cell>
          <cell r="H207">
            <v>0.38085119999999995</v>
          </cell>
          <cell r="I207">
            <v>2.0224511999999999</v>
          </cell>
        </row>
        <row r="208">
          <cell r="B208" t="str">
            <v>*090128</v>
          </cell>
          <cell r="C208" t="str">
            <v>TRASLADO DE CABLE AUTOSOPORTADO DE MT HASTA 50 mm2</v>
          </cell>
          <cell r="D208" t="str">
            <v>M</v>
          </cell>
          <cell r="E208">
            <v>290.8503</v>
          </cell>
          <cell r="F208">
            <v>9.6</v>
          </cell>
          <cell r="G208">
            <v>7.1560000000000006</v>
          </cell>
          <cell r="H208">
            <v>1.6601920000000001</v>
          </cell>
          <cell r="I208">
            <v>8.8161920000000009</v>
          </cell>
        </row>
        <row r="209">
          <cell r="B209" t="str">
            <v>*090129</v>
          </cell>
          <cell r="C209" t="str">
            <v>TRASLADO DE CABLE AUTOSOPORTADO DE MT MAYOR DE 50 HASTA 120 mm</v>
          </cell>
          <cell r="D209" t="str">
            <v>M</v>
          </cell>
          <cell r="E209">
            <v>247.6704</v>
          </cell>
          <cell r="F209">
            <v>9.6</v>
          </cell>
          <cell r="G209">
            <v>8.4035999999999991</v>
          </cell>
          <cell r="H209">
            <v>1.9496351999999997</v>
          </cell>
          <cell r="I209">
            <v>10.353235199999999</v>
          </cell>
        </row>
        <row r="210">
          <cell r="B210" t="str">
            <v>*090130</v>
          </cell>
          <cell r="C210" t="str">
            <v>CONDUCTOR CU O AL  DESNUDO/FORRADO MAYOR DE 120 HASTA 240 mm2.</v>
          </cell>
          <cell r="D210" t="str">
            <v>M</v>
          </cell>
          <cell r="E210">
            <v>970</v>
          </cell>
          <cell r="F210">
            <v>9.6</v>
          </cell>
          <cell r="G210">
            <v>2.5646000000000004</v>
          </cell>
          <cell r="H210">
            <v>0.59498720000000005</v>
          </cell>
          <cell r="I210">
            <v>3.1595872000000007</v>
          </cell>
        </row>
        <row r="211">
          <cell r="B211" t="str">
            <v>*090133</v>
          </cell>
          <cell r="C211" t="str">
            <v>RETIRO CONDUCTOR CU O AL  DESNUDO/FORRADO MAYOR DE 120 HASTA 240 mm2</v>
          </cell>
          <cell r="D211" t="str">
            <v>M</v>
          </cell>
          <cell r="E211">
            <v>1385.6749</v>
          </cell>
          <cell r="F211">
            <v>9.6</v>
          </cell>
          <cell r="G211">
            <v>1.7954000000000001</v>
          </cell>
          <cell r="H211">
            <v>0.41653279999999998</v>
          </cell>
          <cell r="I211">
            <v>2.2119328</v>
          </cell>
        </row>
        <row r="212">
          <cell r="B212" t="str">
            <v>*090134</v>
          </cell>
          <cell r="C212" t="str">
            <v>RETIRO CABLE AUTOSOPORTADO DE MT MAYOR DE 50 HASTA 120 mm</v>
          </cell>
          <cell r="D212" t="str">
            <v>M</v>
          </cell>
          <cell r="E212">
            <v>459.94729999999998</v>
          </cell>
          <cell r="F212">
            <v>9.6</v>
          </cell>
          <cell r="G212">
            <v>4.5251999999999999</v>
          </cell>
          <cell r="H212">
            <v>1.0498463999999998</v>
          </cell>
          <cell r="I212">
            <v>5.5750463999999997</v>
          </cell>
        </row>
        <row r="213">
          <cell r="B213" t="str">
            <v>*090135</v>
          </cell>
          <cell r="C213" t="str">
            <v>RETIRO DE CABLE AUTOSOPORTADO DE MT HASTA 50 mm2</v>
          </cell>
          <cell r="D213" t="str">
            <v>M</v>
          </cell>
          <cell r="E213">
            <v>540.13639999999998</v>
          </cell>
          <cell r="F213">
            <v>9.6</v>
          </cell>
          <cell r="G213">
            <v>3.8532999999999999</v>
          </cell>
          <cell r="H213">
            <v>0.89396559999999992</v>
          </cell>
          <cell r="I213">
            <v>4.7472655999999995</v>
          </cell>
        </row>
        <row r="214">
          <cell r="B214" t="str">
            <v>*090136</v>
          </cell>
          <cell r="C214" t="str">
            <v>RETIRO DE CABLE AUTOSOPORTADO DE BT CU O AL HASTA 10 MM2</v>
          </cell>
          <cell r="D214" t="str">
            <v>M</v>
          </cell>
          <cell r="E214">
            <v>2500.4185000000002</v>
          </cell>
          <cell r="F214">
            <v>9.6</v>
          </cell>
          <cell r="G214">
            <v>0.69550000000000001</v>
          </cell>
          <cell r="H214">
            <v>0.161356</v>
          </cell>
          <cell r="I214">
            <v>0.85685600000000006</v>
          </cell>
        </row>
        <row r="215">
          <cell r="B215" t="str">
            <v>*090137</v>
          </cell>
          <cell r="C215" t="str">
            <v>RETIRO CABLE AUTOSOPORTADO DE BT CU O AL MAYOR DE 50 HASTA 120 mm2</v>
          </cell>
          <cell r="D215" t="str">
            <v>M</v>
          </cell>
          <cell r="E215">
            <v>239.9932</v>
          </cell>
          <cell r="F215">
            <v>9.6</v>
          </cell>
          <cell r="G215">
            <v>4.2458</v>
          </cell>
          <cell r="H215">
            <v>0.98502559999999995</v>
          </cell>
          <cell r="I215">
            <v>5.2308256000000002</v>
          </cell>
        </row>
        <row r="216">
          <cell r="B216" t="str">
            <v>*090138</v>
          </cell>
          <cell r="C216" t="str">
            <v>RETIRO CABLE AUTOSOPORTADO DE BT CU O AL MAYOR DE 25 HASTA 50 mm2</v>
          </cell>
          <cell r="D216" t="str">
            <v>M</v>
          </cell>
          <cell r="E216">
            <v>1067.1125</v>
          </cell>
          <cell r="F216">
            <v>9.6</v>
          </cell>
          <cell r="G216">
            <v>2.4058999999999999</v>
          </cell>
          <cell r="H216">
            <v>0.55816879999999991</v>
          </cell>
          <cell r="I216">
            <v>2.9640687999999997</v>
          </cell>
        </row>
        <row r="217">
          <cell r="B217" t="str">
            <v>*090139</v>
          </cell>
          <cell r="C217" t="str">
            <v>X</v>
          </cell>
          <cell r="D217" t="str">
            <v>M</v>
          </cell>
          <cell r="E217">
            <v>1139.9675999999999</v>
          </cell>
          <cell r="F217">
            <v>9.6</v>
          </cell>
          <cell r="G217">
            <v>1.1451</v>
          </cell>
          <cell r="H217">
            <v>0.26566319999999999</v>
          </cell>
          <cell r="I217">
            <v>1.4107631999999999</v>
          </cell>
        </row>
        <row r="218">
          <cell r="B218" t="str">
            <v>*090141</v>
          </cell>
          <cell r="C218" t="str">
            <v>CABLE AUTOSOPORTADO DE BT CU O AL HASTA 10 MM2</v>
          </cell>
          <cell r="D218" t="str"/>
          <cell r="E218">
            <v>1750.3426999999999</v>
          </cell>
          <cell r="F218">
            <v>9.6</v>
          </cell>
          <cell r="G218">
            <v>0.99370000000000003</v>
          </cell>
          <cell r="H218">
            <v>0.23053839999999998</v>
          </cell>
          <cell r="I218">
            <v>1.2242383999999999</v>
          </cell>
        </row>
        <row r="219">
          <cell r="B219" t="str">
            <v>*090142</v>
          </cell>
          <cell r="C219" t="str">
            <v>CABLE AUTOSOPORTADO DE BT CU O AL MAYOR DE 10 HASTA 25 mm2</v>
          </cell>
          <cell r="D219" t="str">
            <v>M</v>
          </cell>
          <cell r="E219">
            <v>798</v>
          </cell>
          <cell r="F219">
            <v>9.6</v>
          </cell>
          <cell r="G219">
            <v>1.6359000000000004</v>
          </cell>
          <cell r="H219">
            <v>0.37952880000000006</v>
          </cell>
          <cell r="I219">
            <v>2.0154288000000005</v>
          </cell>
        </row>
        <row r="220">
          <cell r="B220" t="str">
            <v>*090143</v>
          </cell>
          <cell r="C220" t="str">
            <v>CABLE AUTOSOPORTADO DE BT CU O AL MAYOR DE 25 HASTA 50 mm2</v>
          </cell>
          <cell r="D220" t="str">
            <v>M</v>
          </cell>
          <cell r="E220">
            <v>747</v>
          </cell>
          <cell r="F220">
            <v>9.6</v>
          </cell>
          <cell r="G220">
            <v>3.4370000000000003</v>
          </cell>
          <cell r="H220">
            <v>0.79738399999999998</v>
          </cell>
          <cell r="I220">
            <v>4.2343840000000004</v>
          </cell>
        </row>
        <row r="221">
          <cell r="B221" t="str">
            <v>*090144</v>
          </cell>
          <cell r="C221" t="str">
            <v>CABLE AUTOSOPORTADO DE BT CU O AL MAYOR DE 50 HASTA 120 mm2</v>
          </cell>
          <cell r="D221" t="str">
            <v>M</v>
          </cell>
          <cell r="E221">
            <v>168</v>
          </cell>
          <cell r="F221">
            <v>9.6</v>
          </cell>
          <cell r="G221">
            <v>6.0652999999999997</v>
          </cell>
          <cell r="H221">
            <v>1.4071495999999999</v>
          </cell>
          <cell r="I221">
            <v>7.4724495999999991</v>
          </cell>
        </row>
        <row r="222">
          <cell r="B222" t="str">
            <v>*090145</v>
          </cell>
          <cell r="C222" t="str">
            <v>CABLE AUTOSOPORTADO DE MT HASTA 50 mm2</v>
          </cell>
          <cell r="D222" t="str">
            <v>M</v>
          </cell>
          <cell r="E222">
            <v>378.1062</v>
          </cell>
          <cell r="F222">
            <v>9.6</v>
          </cell>
          <cell r="G222">
            <v>5.5045999999999999</v>
          </cell>
          <cell r="H222">
            <v>1.2770671999999998</v>
          </cell>
          <cell r="I222">
            <v>6.7816671999999993</v>
          </cell>
        </row>
        <row r="223">
          <cell r="B223" t="str">
            <v>*090146</v>
          </cell>
          <cell r="C223" t="str">
            <v>CABLE AUTOSOPORTADO DE MT MAYOR DE 50 HASTA 120 mm2</v>
          </cell>
          <cell r="D223" t="str">
            <v>M</v>
          </cell>
          <cell r="E223">
            <v>321.97230000000002</v>
          </cell>
          <cell r="F223">
            <v>9.6</v>
          </cell>
          <cell r="G223">
            <v>6.4642999999999997</v>
          </cell>
          <cell r="H223">
            <v>1.4997175999999999</v>
          </cell>
          <cell r="I223">
            <v>7.9640176</v>
          </cell>
        </row>
        <row r="224">
          <cell r="B224" t="str">
            <v>*090155</v>
          </cell>
          <cell r="C224" t="str">
            <v>"CABLE DE ACERO 5/16"""</v>
          </cell>
          <cell r="D224" t="str">
            <v>M</v>
          </cell>
          <cell r="E224">
            <v>182.34270000000001</v>
          </cell>
          <cell r="F224">
            <v>9.6</v>
          </cell>
          <cell r="G224">
            <v>2.3809</v>
          </cell>
          <cell r="H224">
            <v>0.55236879999999999</v>
          </cell>
          <cell r="I224">
            <v>2.9332688</v>
          </cell>
        </row>
        <row r="225">
          <cell r="B225" t="str">
            <v>*090160</v>
          </cell>
          <cell r="C225" t="str">
            <v>CRUCETA DE C.A. HASTA 2.4 m.  O PALOMILLA EN SAB.</v>
          </cell>
          <cell r="D225" t="str">
            <v>UN</v>
          </cell>
          <cell r="E225">
            <v>24.36</v>
          </cell>
          <cell r="F225">
            <v>9.6</v>
          </cell>
          <cell r="G225">
            <v>48.389600000000002</v>
          </cell>
          <cell r="H225">
            <v>11.2263872</v>
          </cell>
          <cell r="I225">
            <v>59.615987199999999</v>
          </cell>
        </row>
        <row r="226">
          <cell r="B226" t="str">
            <v>*090161</v>
          </cell>
          <cell r="C226" t="str">
            <v>TRASLADO CABLE AUTOSOPORTADO DE BT CU O AL MAYOR DE 10 HASTA 25 mm2</v>
          </cell>
          <cell r="D226" t="str">
            <v>M</v>
          </cell>
          <cell r="E226">
            <v>614.04179999999997</v>
          </cell>
          <cell r="F226">
            <v>9.6</v>
          </cell>
          <cell r="G226">
            <v>2.1261000000000001</v>
          </cell>
          <cell r="H226">
            <v>0.4932552</v>
          </cell>
          <cell r="I226">
            <v>2.6193552000000002</v>
          </cell>
        </row>
        <row r="227">
          <cell r="B227" t="str">
            <v>*090162</v>
          </cell>
          <cell r="C227" t="str">
            <v>TRASLADO CABLE AUTOSOPORTADO DE BT CU O AL MAYOR DE 10 HASTA 25 mm2</v>
          </cell>
          <cell r="D227" t="str">
            <v>M</v>
          </cell>
          <cell r="E227">
            <v>574.61410000000001</v>
          </cell>
          <cell r="F227">
            <v>9.6</v>
          </cell>
          <cell r="G227">
            <v>4.4680999999999997</v>
          </cell>
          <cell r="H227">
            <v>1.0365991999999999</v>
          </cell>
          <cell r="I227">
            <v>5.5046991999999992</v>
          </cell>
        </row>
        <row r="228">
          <cell r="B228" t="str">
            <v>*090163</v>
          </cell>
          <cell r="C228" t="str">
            <v>TRASLADO CABLE AUTOSOPORTADO DE BT CU O AL MAYOR DE 50 HASTA 120 mm2</v>
          </cell>
          <cell r="D228" t="str">
            <v>M</v>
          </cell>
          <cell r="E228">
            <v>129.23050000000001</v>
          </cell>
          <cell r="F228">
            <v>9.6</v>
          </cell>
          <cell r="G228">
            <v>7.8848000000000011</v>
          </cell>
          <cell r="H228">
            <v>1.8292736000000001</v>
          </cell>
          <cell r="I228">
            <v>9.7140736000000008</v>
          </cell>
        </row>
        <row r="229">
          <cell r="B229" t="str">
            <v>*090164</v>
          </cell>
          <cell r="C229" t="str">
            <v>TRASLADO CONDUCTOR CU O AL  DESNUDO/FORRADO MAYOR DE 120 HASTA 240 mm2.</v>
          </cell>
          <cell r="D229" t="str">
            <v>M</v>
          </cell>
          <cell r="E229">
            <v>746.15219999999999</v>
          </cell>
          <cell r="F229">
            <v>9.6</v>
          </cell>
          <cell r="G229">
            <v>3.3340999999999998</v>
          </cell>
          <cell r="H229">
            <v>0.77351119999999995</v>
          </cell>
          <cell r="I229">
            <v>4.1076112</v>
          </cell>
        </row>
        <row r="230">
          <cell r="B230" t="str">
            <v>*090165</v>
          </cell>
          <cell r="C230" t="str">
            <v>RETIRO CRUCETA DE C.A. HASTA 2.4 m. O PALOMILLA EN SAB.</v>
          </cell>
          <cell r="D230" t="str">
            <v>UN</v>
          </cell>
          <cell r="E230">
            <v>35.443300000000001</v>
          </cell>
          <cell r="F230">
            <v>9.6</v>
          </cell>
          <cell r="G230">
            <v>33.854799999999997</v>
          </cell>
          <cell r="H230">
            <v>7.8543135999999985</v>
          </cell>
          <cell r="I230">
            <v>41.709113599999995</v>
          </cell>
        </row>
        <row r="231">
          <cell r="B231" t="str">
            <v>*090166</v>
          </cell>
          <cell r="C231" t="str">
            <v>TRASLADO CONDUCTOR CU O AL DESNUDO/FORRADO HASTA 25 mm2</v>
          </cell>
          <cell r="D231" t="str">
            <v>M</v>
          </cell>
          <cell r="E231">
            <v>2181.4643999999998</v>
          </cell>
          <cell r="F231">
            <v>9.6</v>
          </cell>
          <cell r="G231">
            <v>1.2362</v>
          </cell>
          <cell r="H231">
            <v>0.28679839999999995</v>
          </cell>
          <cell r="I231">
            <v>1.5229983999999999</v>
          </cell>
        </row>
        <row r="232">
          <cell r="B232" t="str">
            <v>*090167</v>
          </cell>
          <cell r="C232" t="str">
            <v>TRASLADO CABLE AUTOSOPORTADO DE BT CU O AL HASTA 10 MM2</v>
          </cell>
          <cell r="D232" t="str">
            <v>M</v>
          </cell>
          <cell r="E232">
            <v>1346.8466000000001</v>
          </cell>
          <cell r="F232">
            <v>9.6</v>
          </cell>
          <cell r="G232">
            <v>1.2913999999999999</v>
          </cell>
          <cell r="H232">
            <v>0.29960479999999995</v>
          </cell>
          <cell r="I232">
            <v>1.5910047999999999</v>
          </cell>
        </row>
        <row r="233">
          <cell r="B233" t="str">
            <v>*090168</v>
          </cell>
          <cell r="C233" t="str">
            <v>RETIRO DE CABLE DE ACERO 5/16"</v>
          </cell>
          <cell r="D233" t="str">
            <v>M</v>
          </cell>
          <cell r="E233">
            <v>260.48219999999998</v>
          </cell>
          <cell r="F233">
            <v>9.6</v>
          </cell>
          <cell r="G233">
            <v>1.6667000000000001</v>
          </cell>
          <cell r="H233">
            <v>0.38667439999999997</v>
          </cell>
          <cell r="I233">
            <v>2.0533744</v>
          </cell>
        </row>
        <row r="234">
          <cell r="B234" t="str">
            <v>*090169</v>
          </cell>
          <cell r="C234" t="str">
            <v>RETIRO MENSULA DE C.A HASTA 1.2 m</v>
          </cell>
          <cell r="D234" t="str">
            <v>UN</v>
          </cell>
          <cell r="E234">
            <v>20.965199999999999</v>
          </cell>
          <cell r="F234">
            <v>9.6</v>
          </cell>
          <cell r="G234">
            <v>29.618100000000002</v>
          </cell>
          <cell r="H234">
            <v>6.8713991999999999</v>
          </cell>
          <cell r="I234">
            <v>36.489499200000004</v>
          </cell>
        </row>
        <row r="235">
          <cell r="B235" t="str">
            <v>*090170</v>
          </cell>
          <cell r="C235" t="str">
            <v>MENSULA DE C.A HASTA 1.2 m</v>
          </cell>
          <cell r="D235" t="str">
            <v>UN</v>
          </cell>
          <cell r="E235">
            <v>14.2173</v>
          </cell>
          <cell r="F235">
            <v>9.6</v>
          </cell>
          <cell r="G235">
            <v>42.351700000000001</v>
          </cell>
          <cell r="H235">
            <v>9.8255944</v>
          </cell>
          <cell r="I235">
            <v>52.177294400000001</v>
          </cell>
        </row>
        <row r="236">
          <cell r="B236" t="str">
            <v>*090189</v>
          </cell>
          <cell r="C236" t="str">
            <v>RETIRO DE CRUCETA O MENSULA SIMPLE DE MADERA O FIERRO</v>
          </cell>
          <cell r="D236" t="str">
            <v>UN</v>
          </cell>
          <cell r="E236">
            <v>18.435700000000001</v>
          </cell>
          <cell r="F236">
            <v>9.6</v>
          </cell>
          <cell r="G236">
            <v>30.509800000000006</v>
          </cell>
          <cell r="H236">
            <v>7.0782736000000011</v>
          </cell>
          <cell r="I236">
            <v>37.588073600000008</v>
          </cell>
        </row>
        <row r="237">
          <cell r="B237" t="str">
            <v>*090191</v>
          </cell>
          <cell r="C237" t="str">
            <v>COLOCACIÓN DE CRUCETA O MENSULA SIMPLE DE MADERA O FIERRO</v>
          </cell>
          <cell r="D237" t="str">
            <v>UN</v>
          </cell>
          <cell r="E237">
            <v>12.904999999999999</v>
          </cell>
          <cell r="F237">
            <v>9.6</v>
          </cell>
          <cell r="G237">
            <v>43.585399999999993</v>
          </cell>
          <cell r="H237">
            <v>10.111812799999997</v>
          </cell>
          <cell r="I237">
            <v>53.697212799999988</v>
          </cell>
        </row>
        <row r="238">
          <cell r="B238" t="str">
            <v>*090194</v>
          </cell>
          <cell r="C238" t="str">
            <v>TRASLADO DE CRUCETA O MENSULA SIMPLE DE MADERA O FIERRO</v>
          </cell>
          <cell r="D238" t="str">
            <v>UN</v>
          </cell>
          <cell r="E238">
            <v>9.9268999999999998</v>
          </cell>
          <cell r="F238">
            <v>9.6</v>
          </cell>
          <cell r="G238">
            <v>56.661099999999998</v>
          </cell>
          <cell r="H238">
            <v>13.145375199999998</v>
          </cell>
          <cell r="I238">
            <v>69.806475199999994</v>
          </cell>
        </row>
        <row r="239">
          <cell r="B239" t="str">
            <v>*090227</v>
          </cell>
          <cell r="C239" t="str">
            <v>RETIRO DE POSTE HASTA 9M-Z. ACCES TERR. ROCOSO(&gt;10)</v>
          </cell>
          <cell r="D239" t="str">
            <v>UN</v>
          </cell>
          <cell r="E239">
            <v>16.373799999999999</v>
          </cell>
          <cell r="F239">
            <v>9.6</v>
          </cell>
          <cell r="G239">
            <v>200.8954</v>
          </cell>
          <cell r="H239">
            <v>46.607732799999994</v>
          </cell>
          <cell r="I239">
            <v>247.5031328</v>
          </cell>
        </row>
        <row r="240">
          <cell r="B240" t="str">
            <v>*090228</v>
          </cell>
          <cell r="C240" t="str">
            <v>RETIRO DE POSTES HASTA 10 M INSTALACIÓN CON CABRIA</v>
          </cell>
          <cell r="D240" t="str">
            <v>UN</v>
          </cell>
          <cell r="E240">
            <v>3.4352999999999998</v>
          </cell>
          <cell r="F240">
            <v>9.6</v>
          </cell>
          <cell r="G240">
            <v>622.23289999999997</v>
          </cell>
          <cell r="H240">
            <v>144.35803279999999</v>
          </cell>
          <cell r="I240">
            <v>766.59093280000002</v>
          </cell>
        </row>
        <row r="241">
          <cell r="B241" t="str">
            <v>*090229</v>
          </cell>
          <cell r="C241" t="str">
            <v>RETIRO POSTE C.A.C. DE 8.70 O 9.00 M</v>
          </cell>
          <cell r="D241" t="str">
            <v>UN</v>
          </cell>
          <cell r="E241">
            <v>6.7309999999999999</v>
          </cell>
          <cell r="F241">
            <v>9.6</v>
          </cell>
          <cell r="G241">
            <v>227.55439999999999</v>
          </cell>
          <cell r="H241">
            <v>52.792620799999995</v>
          </cell>
          <cell r="I241">
            <v>280.3470208</v>
          </cell>
        </row>
        <row r="242">
          <cell r="B242" t="str">
            <v>*090232</v>
          </cell>
          <cell r="C242" t="str">
            <v>RETIRO DE POSTES DE ALTURA MAYOR A 10 M HASTA 15 M INSTALADOS CON CABRIA - NO INCLUYE TRACTO</v>
          </cell>
          <cell r="D242" t="str">
            <v>UN</v>
          </cell>
          <cell r="E242">
            <v>2.9310999999999998</v>
          </cell>
          <cell r="F242">
            <v>9.6</v>
          </cell>
          <cell r="G242">
            <v>674.59679999999992</v>
          </cell>
          <cell r="H242">
            <v>156.50645759999998</v>
          </cell>
          <cell r="I242">
            <v>831.10325759999989</v>
          </cell>
        </row>
        <row r="243">
          <cell r="B243" t="str">
            <v>*090233</v>
          </cell>
          <cell r="C243" t="str">
            <v>INSTALACIÓN DE POSTE BT EN ZONA DISPERSA (1 POSTE EN UNA JORNADA)</v>
          </cell>
          <cell r="D243" t="str">
            <v>UN</v>
          </cell>
          <cell r="E243">
            <v>1.92</v>
          </cell>
          <cell r="F243">
            <v>9.6</v>
          </cell>
          <cell r="G243">
            <v>901.69149999999991</v>
          </cell>
          <cell r="H243">
            <v>209.19242799999995</v>
          </cell>
          <cell r="I243">
            <v>1110.8839279999997</v>
          </cell>
        </row>
        <row r="244">
          <cell r="B244" t="str">
            <v>*090234</v>
          </cell>
          <cell r="C244" t="str">
            <v>INSTALACIÓN DE UN PAR DE POSTES BT EN ZONA DISPERSA (2 POSTES EN UNA JORNADA)</v>
          </cell>
          <cell r="D244" t="str">
            <v>PQ</v>
          </cell>
          <cell r="E244">
            <v>1.2</v>
          </cell>
          <cell r="F244">
            <v>9.6</v>
          </cell>
          <cell r="G244">
            <v>1442.7064</v>
          </cell>
          <cell r="H244">
            <v>334.70788479999999</v>
          </cell>
          <cell r="I244">
            <v>1777.4142848000001</v>
          </cell>
        </row>
        <row r="245">
          <cell r="B245" t="str">
            <v>*090235</v>
          </cell>
          <cell r="C245" t="str">
            <v>POSTES HASTA 10 M INSTALACIÓN CON CABRIA</v>
          </cell>
          <cell r="D245" t="str">
            <v>UN</v>
          </cell>
          <cell r="E245">
            <v>2.4047000000000001</v>
          </cell>
          <cell r="F245">
            <v>9.6</v>
          </cell>
          <cell r="G245">
            <v>888.9079999999999</v>
          </cell>
          <cell r="H245">
            <v>206.22665599999996</v>
          </cell>
          <cell r="I245">
            <v>1095.1346559999999</v>
          </cell>
        </row>
        <row r="246">
          <cell r="B246" t="str">
            <v>*090236</v>
          </cell>
          <cell r="C246" t="str">
            <v>DISPONIBLES PARA USO</v>
          </cell>
          <cell r="D246" t="str">
            <v>UN</v>
          </cell>
          <cell r="E246">
            <v>2.0518000000000001</v>
          </cell>
          <cell r="F246">
            <v>9.6</v>
          </cell>
          <cell r="G246">
            <v>865.39740000000006</v>
          </cell>
          <cell r="H246">
            <v>200.77219679999999</v>
          </cell>
          <cell r="I246">
            <v>1066.1695968000001</v>
          </cell>
        </row>
        <row r="247">
          <cell r="B247" t="str">
            <v>*090237</v>
          </cell>
          <cell r="C247" t="str">
            <v>POSTES DE ALTURA MAYOR A 10 M HASTA 15 M INSTALACIÓN CON CABRIA - NO INCLUYE TRACTO</v>
          </cell>
          <cell r="D247" t="str">
            <v>UN</v>
          </cell>
          <cell r="E247">
            <v>2.0518000000000001</v>
          </cell>
          <cell r="F247">
            <v>9.6</v>
          </cell>
          <cell r="G247">
            <v>963.69580000000008</v>
          </cell>
          <cell r="H247">
            <v>223.5774256</v>
          </cell>
          <cell r="I247">
            <v>1187.2732256000002</v>
          </cell>
        </row>
        <row r="248">
          <cell r="B248" t="str">
            <v>*090238</v>
          </cell>
          <cell r="C248" t="str">
            <v>ESCALAMIENTO DE POSTE CON ESCALERA</v>
          </cell>
          <cell r="D248" t="str">
            <v>UN</v>
          </cell>
          <cell r="E248">
            <v>45.5</v>
          </cell>
          <cell r="F248">
            <v>9.6</v>
          </cell>
          <cell r="G248">
            <v>10.5899</v>
          </cell>
          <cell r="H248">
            <v>2.4568567999999997</v>
          </cell>
          <cell r="I248">
            <v>13.046756800000001</v>
          </cell>
        </row>
        <row r="249">
          <cell r="B249" t="str">
            <v>*090239</v>
          </cell>
          <cell r="C249" t="str">
            <v>INSTALACION DE POSTE HASTA 9M-Z. ACCES TERR. ROCOSO(&gt;10)</v>
          </cell>
          <cell r="D249" t="str">
            <v>UN</v>
          </cell>
          <cell r="E249">
            <v>9.9</v>
          </cell>
          <cell r="F249">
            <v>9.6</v>
          </cell>
          <cell r="G249">
            <v>287.57950000000005</v>
          </cell>
          <cell r="H249">
            <v>66.718444000000005</v>
          </cell>
          <cell r="I249">
            <v>354.29794400000003</v>
          </cell>
        </row>
        <row r="250">
          <cell r="B250" t="str">
            <v>*090240</v>
          </cell>
          <cell r="C250" t="str">
            <v>INSTALACION DE POSTE C.A.C. DE 8.70 O 9.00 M</v>
          </cell>
          <cell r="D250" t="str">
            <v>UN</v>
          </cell>
          <cell r="E250">
            <v>4.7117000000000004</v>
          </cell>
          <cell r="F250">
            <v>9.6</v>
          </cell>
          <cell r="G250">
            <v>325.07759999999996</v>
          </cell>
          <cell r="H250">
            <v>75.418003199999987</v>
          </cell>
          <cell r="I250">
            <v>400.49560319999995</v>
          </cell>
        </row>
        <row r="251">
          <cell r="B251" t="str">
            <v>*090241</v>
          </cell>
          <cell r="C251" t="str">
            <v>POSTE C.A.C. HASTA 8.70 O 9.00 m con ahoyador de minicargador</v>
          </cell>
          <cell r="D251" t="str">
            <v>UN</v>
          </cell>
          <cell r="E251">
            <v>6.7160000000000002</v>
          </cell>
          <cell r="F251">
            <v>9.6</v>
          </cell>
          <cell r="G251">
            <v>275.97540000000004</v>
          </cell>
          <cell r="H251">
            <v>64.026292800000007</v>
          </cell>
          <cell r="I251">
            <v>340.00169280000006</v>
          </cell>
        </row>
        <row r="252">
          <cell r="B252" t="str">
            <v>*090248</v>
          </cell>
          <cell r="C252" t="str">
            <v>COLOCACIÓN DE TRÍPODES PARA TRABAJOS EN POSTES DE FE Y DE CAC DE 8,7 M</v>
          </cell>
          <cell r="D252" t="str">
            <v>UN</v>
          </cell>
          <cell r="E252">
            <v>21.0943</v>
          </cell>
          <cell r="F252">
            <v>9.6</v>
          </cell>
          <cell r="G252">
            <v>29.889400000000002</v>
          </cell>
          <cell r="H252">
            <v>6.9343408000000002</v>
          </cell>
          <cell r="I252">
            <v>36.823740800000003</v>
          </cell>
        </row>
        <row r="253">
          <cell r="B253" t="str">
            <v>*090249</v>
          </cell>
          <cell r="C253" t="str">
            <v>INSTALACION DE POSTE HASTA 8.7M Z. ACCES-TERR. NORMAL(&gt;10)</v>
          </cell>
          <cell r="D253" t="str">
            <v>UN</v>
          </cell>
          <cell r="E253">
            <v>12.18</v>
          </cell>
          <cell r="F253">
            <v>9.6</v>
          </cell>
          <cell r="G253">
            <v>178.2039</v>
          </cell>
          <cell r="H253">
            <v>41.343304799999999</v>
          </cell>
          <cell r="I253">
            <v>219.5472048</v>
          </cell>
        </row>
        <row r="254">
          <cell r="B254" t="str">
            <v>*090250</v>
          </cell>
          <cell r="C254" t="str">
            <v>POSTE C.A.C. DE 10.00 MT - No incluye tracto</v>
          </cell>
          <cell r="D254" t="str">
            <v>UN</v>
          </cell>
          <cell r="E254">
            <v>4.03</v>
          </cell>
          <cell r="F254">
            <v>9.6</v>
          </cell>
          <cell r="G254">
            <v>361.65269999999998</v>
          </cell>
          <cell r="H254">
            <v>83.903426399999987</v>
          </cell>
          <cell r="I254">
            <v>445.55612639999998</v>
          </cell>
        </row>
        <row r="255">
          <cell r="B255" t="str">
            <v>*090251</v>
          </cell>
          <cell r="C255" t="str">
            <v>INSTALACIÓN DE REFUERZO PRFV PARA POSTES CAC  C/vereda (Disperso)</v>
          </cell>
          <cell r="D255" t="str">
            <v>UN</v>
          </cell>
          <cell r="E255">
            <v>3.1213000000000002</v>
          </cell>
          <cell r="F255">
            <v>9.6</v>
          </cell>
          <cell r="G255">
            <v>364.43079999999998</v>
          </cell>
          <cell r="H255">
            <v>84.547945599999991</v>
          </cell>
          <cell r="I255">
            <v>448.97874559999997</v>
          </cell>
        </row>
        <row r="256">
          <cell r="B256" t="str">
            <v>*090252</v>
          </cell>
          <cell r="C256" t="str">
            <v>INSTALACIÓN DE REFUERZO PRFV PARA POSTES CAC S/vereda (Disperso)</v>
          </cell>
          <cell r="D256" t="str">
            <v>UN</v>
          </cell>
          <cell r="E256">
            <v>3.4599000000000002</v>
          </cell>
          <cell r="F256">
            <v>9.6</v>
          </cell>
          <cell r="G256">
            <v>329.0172</v>
          </cell>
          <cell r="H256">
            <v>76.331990399999995</v>
          </cell>
          <cell r="I256">
            <v>405.3491904</v>
          </cell>
        </row>
        <row r="257">
          <cell r="B257" t="str">
            <v>*090253</v>
          </cell>
          <cell r="C257" t="str">
            <v>INSTALACIÓN DE REFUERZO PRFV PARA POSTES C/vereda (Masivo)</v>
          </cell>
          <cell r="D257" t="str">
            <v>UN</v>
          </cell>
          <cell r="E257">
            <v>3.2536999999999998</v>
          </cell>
          <cell r="F257">
            <v>9.6</v>
          </cell>
          <cell r="G257">
            <v>349.70580000000001</v>
          </cell>
          <cell r="H257">
            <v>81.131745600000002</v>
          </cell>
          <cell r="I257">
            <v>430.8375456</v>
          </cell>
        </row>
        <row r="258">
          <cell r="B258" t="str">
            <v>*090254</v>
          </cell>
          <cell r="C258" t="str">
            <v>INSTALACIÓN DE REFUERZO PRFV PARA POSTES S/VEREDA (Masivo)</v>
          </cell>
          <cell r="D258" t="str">
            <v>UN</v>
          </cell>
          <cell r="E258">
            <v>3.6313</v>
          </cell>
          <cell r="F258">
            <v>9.6</v>
          </cell>
          <cell r="G258">
            <v>313.60849999999999</v>
          </cell>
          <cell r="H258">
            <v>72.757171999999997</v>
          </cell>
          <cell r="I258">
            <v>386.36567200000002</v>
          </cell>
        </row>
        <row r="259">
          <cell r="B259" t="str">
            <v>*090255</v>
          </cell>
          <cell r="C259" t="str">
            <v>INSTALACIÓN DE REFUERZO PRFV PARA POSTES MT  C/GRUA (Ciment. exist)</v>
          </cell>
          <cell r="D259" t="str">
            <v>UN</v>
          </cell>
          <cell r="E259">
            <v>2.5891999999999999</v>
          </cell>
          <cell r="F259">
            <v>9.6</v>
          </cell>
          <cell r="G259">
            <v>850.51499999999999</v>
          </cell>
          <cell r="H259">
            <v>197.31947999999997</v>
          </cell>
          <cell r="I259">
            <v>1047.83448</v>
          </cell>
        </row>
        <row r="260">
          <cell r="B260" t="str">
            <v>*090256</v>
          </cell>
          <cell r="C260" t="str">
            <v>INSTALACIÓN DE REFUERZO PRFV PARA POSTES MT  CON GRUA s/ciment exist</v>
          </cell>
          <cell r="D260" t="str">
            <v>UN</v>
          </cell>
          <cell r="E260">
            <v>3.871</v>
          </cell>
          <cell r="F260">
            <v>9.6</v>
          </cell>
          <cell r="G260">
            <v>558.12869999999998</v>
          </cell>
          <cell r="H260">
            <v>129.48585839999998</v>
          </cell>
          <cell r="I260">
            <v>687.61455839999996</v>
          </cell>
        </row>
        <row r="261">
          <cell r="B261" t="str">
            <v>*090257</v>
          </cell>
          <cell r="C261" t="str">
            <v>DISPONIBLES PARA USO</v>
          </cell>
          <cell r="D261" t="str">
            <v>UN</v>
          </cell>
          <cell r="E261">
            <v>4.03</v>
          </cell>
          <cell r="F261">
            <v>9.6</v>
          </cell>
          <cell r="G261">
            <v>311.60590000000002</v>
          </cell>
          <cell r="H261">
            <v>72.292568799999998</v>
          </cell>
          <cell r="I261">
            <v>383.89846880000005</v>
          </cell>
        </row>
        <row r="262">
          <cell r="B262" t="str">
            <v>*090260</v>
          </cell>
          <cell r="C262" t="str">
            <v>POSTE C.A.C. DE 11.00 O 11.50 m - No incluye Tracto</v>
          </cell>
          <cell r="D262" t="str">
            <v>UN</v>
          </cell>
          <cell r="E262">
            <v>4.0209000000000001</v>
          </cell>
          <cell r="F262">
            <v>9.6</v>
          </cell>
          <cell r="G262">
            <v>360.69960000000003</v>
          </cell>
          <cell r="H262">
            <v>83.682307199999997</v>
          </cell>
          <cell r="I262">
            <v>444.3819072</v>
          </cell>
        </row>
        <row r="263">
          <cell r="B263" t="str">
            <v>*090261</v>
          </cell>
          <cell r="C263" t="str">
            <v>DISPONIBLES PARA USO</v>
          </cell>
          <cell r="D263" t="str">
            <v>UN</v>
          </cell>
          <cell r="E263">
            <v>4.0209000000000001</v>
          </cell>
          <cell r="F263">
            <v>9.6</v>
          </cell>
          <cell r="G263">
            <v>310.53949999999998</v>
          </cell>
          <cell r="H263">
            <v>72.045163999999986</v>
          </cell>
          <cell r="I263">
            <v>382.58466399999998</v>
          </cell>
        </row>
        <row r="264">
          <cell r="B264" t="str">
            <v>*090268</v>
          </cell>
          <cell r="C264" t="str">
            <v>DISPONIBLES PARA USO</v>
          </cell>
          <cell r="D264" t="str">
            <v>UN</v>
          </cell>
          <cell r="E264">
            <v>3.35</v>
          </cell>
          <cell r="F264">
            <v>9.6</v>
          </cell>
          <cell r="G264">
            <v>407.08320000000003</v>
          </cell>
          <cell r="H264">
            <v>94.443302400000007</v>
          </cell>
          <cell r="I264">
            <v>501.52650240000003</v>
          </cell>
        </row>
        <row r="265">
          <cell r="B265" t="str">
            <v>*090269</v>
          </cell>
          <cell r="C265" t="str">
            <v>DISPONIBLES PARA USO</v>
          </cell>
          <cell r="D265" t="str">
            <v>UN</v>
          </cell>
          <cell r="E265">
            <v>2.9376000000000002</v>
          </cell>
          <cell r="F265">
            <v>9.6</v>
          </cell>
          <cell r="G265">
            <v>481.19460000000004</v>
          </cell>
          <cell r="H265">
            <v>111.6371472</v>
          </cell>
          <cell r="I265">
            <v>592.8317472</v>
          </cell>
        </row>
        <row r="266">
          <cell r="B266" t="str">
            <v>*090270</v>
          </cell>
          <cell r="C266" t="str">
            <v>POSTE C.A.C. DE 13.00 m - No incluye tracto</v>
          </cell>
          <cell r="D266" t="str">
            <v>UN</v>
          </cell>
          <cell r="E266">
            <v>3.35</v>
          </cell>
          <cell r="F266">
            <v>9.6</v>
          </cell>
          <cell r="G266">
            <v>467.28880000000004</v>
          </cell>
          <cell r="H266">
            <v>108.41100160000001</v>
          </cell>
          <cell r="I266">
            <v>575.6998016</v>
          </cell>
        </row>
        <row r="267">
          <cell r="B267" t="str">
            <v>*090279</v>
          </cell>
          <cell r="C267" t="str">
            <v>DESCARGA DE POSTES C.A.C. DE 11.5 METROS A MÁS DE CAMION PLATAFORMA</v>
          </cell>
          <cell r="D267" t="str">
            <v>UN</v>
          </cell>
          <cell r="E267">
            <v>9.1079000000000008</v>
          </cell>
          <cell r="F267">
            <v>9.6</v>
          </cell>
          <cell r="G267">
            <v>61.622900000000001</v>
          </cell>
          <cell r="H267">
            <v>14.296512799999999</v>
          </cell>
          <cell r="I267">
            <v>75.919412800000003</v>
          </cell>
        </row>
        <row r="268">
          <cell r="B268" t="str">
            <v>*090280</v>
          </cell>
          <cell r="C268" t="str">
            <v>POSTE C.A.C. DE 15. m.- No incluye Tracto</v>
          </cell>
          <cell r="D268" t="str">
            <v>UN</v>
          </cell>
          <cell r="E268">
            <v>2.9376000000000002</v>
          </cell>
          <cell r="F268">
            <v>9.6</v>
          </cell>
          <cell r="G268">
            <v>543.44049999999993</v>
          </cell>
          <cell r="H268">
            <v>126.07819599999998</v>
          </cell>
          <cell r="I268">
            <v>669.51869599999986</v>
          </cell>
        </row>
        <row r="269">
          <cell r="B269" t="str">
            <v>*090285</v>
          </cell>
          <cell r="C269" t="str">
            <v>COLOC.POSTE DE MADERA REDONDO CREOSOTADO DE 45 PIES A 70 PIES DE ALTURA</v>
          </cell>
          <cell r="D269" t="str">
            <v>UN</v>
          </cell>
          <cell r="E269">
            <v>3.6456</v>
          </cell>
          <cell r="F269">
            <v>9.6</v>
          </cell>
          <cell r="G269">
            <v>445.75700000000001</v>
          </cell>
          <cell r="H269">
            <v>103.41562399999999</v>
          </cell>
          <cell r="I269">
            <v>549.17262400000004</v>
          </cell>
        </row>
        <row r="270">
          <cell r="B270" t="str">
            <v>*090290</v>
          </cell>
          <cell r="C270" t="str">
            <v>COLOC.POSTE DE MADERA DE 8.00 A 11.00m</v>
          </cell>
          <cell r="D270" t="str">
            <v>UN</v>
          </cell>
          <cell r="E270">
            <v>8.3478999999999992</v>
          </cell>
          <cell r="F270">
            <v>9.6</v>
          </cell>
          <cell r="G270">
            <v>194.666</v>
          </cell>
          <cell r="H270">
            <v>45.162512</v>
          </cell>
          <cell r="I270">
            <v>239.82851199999999</v>
          </cell>
        </row>
        <row r="271">
          <cell r="B271" t="str">
            <v>*090292</v>
          </cell>
          <cell r="C271" t="str">
            <v>CARGA DE POSTES C.A.C. DE 11,5M A MÁS A CAMION PLATAFORMA</v>
          </cell>
          <cell r="D271" t="str">
            <v>UN</v>
          </cell>
          <cell r="E271">
            <v>49.862699999999997</v>
          </cell>
          <cell r="F271">
            <v>9.6</v>
          </cell>
          <cell r="G271">
            <v>40.380400000000002</v>
          </cell>
          <cell r="H271">
            <v>9.3682528000000005</v>
          </cell>
          <cell r="I271">
            <v>49.748652800000002</v>
          </cell>
        </row>
        <row r="272">
          <cell r="B272" t="str">
            <v>*090294</v>
          </cell>
          <cell r="C272" t="str">
            <v>RETIRO DE POSTE C.A.C. DE 13.00 m - NO INCLUYE TRACTO</v>
          </cell>
          <cell r="D272" t="str">
            <v>UN</v>
          </cell>
          <cell r="E272">
            <v>4.7857000000000003</v>
          </cell>
          <cell r="F272">
            <v>9.6</v>
          </cell>
          <cell r="G272">
            <v>327.10299999999995</v>
          </cell>
          <cell r="H272">
            <v>75.887895999999984</v>
          </cell>
          <cell r="I272">
            <v>402.99089599999991</v>
          </cell>
        </row>
        <row r="273">
          <cell r="B273" t="str">
            <v>*090295</v>
          </cell>
          <cell r="C273" t="str">
            <v>RETIRO DE POSTE C.A.C. DE 15. m.- NO INCLUYE TRACTO</v>
          </cell>
          <cell r="D273" t="str">
            <v>UN</v>
          </cell>
          <cell r="E273">
            <v>4.1966000000000001</v>
          </cell>
          <cell r="F273">
            <v>9.6</v>
          </cell>
          <cell r="G273">
            <v>380.4058</v>
          </cell>
          <cell r="H273">
            <v>88.254145599999987</v>
          </cell>
          <cell r="I273">
            <v>468.65994560000001</v>
          </cell>
        </row>
        <row r="274">
          <cell r="B274" t="str">
            <v>*090296</v>
          </cell>
          <cell r="C274" t="str">
            <v>RETIRO DE POSTE C.A.C. DE 11.00 O 11.50 m - NO INCLUYE TRACTO</v>
          </cell>
          <cell r="D274" t="str">
            <v>UN</v>
          </cell>
          <cell r="E274">
            <v>5.7441000000000004</v>
          </cell>
          <cell r="F274">
            <v>9.6</v>
          </cell>
          <cell r="G274">
            <v>252.49169999999998</v>
          </cell>
          <cell r="H274">
            <v>58.578074399999991</v>
          </cell>
          <cell r="I274">
            <v>311.06977439999997</v>
          </cell>
        </row>
        <row r="275">
          <cell r="B275" t="str">
            <v>*090297</v>
          </cell>
          <cell r="C275" t="str">
            <v>POSTE C.A.C. DE 10.00 MT - NO INCLUYE TRACTO</v>
          </cell>
          <cell r="D275" t="str">
            <v>UN</v>
          </cell>
          <cell r="E275">
            <v>5.7571000000000003</v>
          </cell>
          <cell r="F275">
            <v>9.6</v>
          </cell>
          <cell r="G275">
            <v>253.15879999999999</v>
          </cell>
          <cell r="H275">
            <v>58.732841599999993</v>
          </cell>
          <cell r="I275">
            <v>311.89164159999996</v>
          </cell>
        </row>
        <row r="276">
          <cell r="B276" t="str">
            <v>*090298</v>
          </cell>
          <cell r="C276" t="str">
            <v>RETIRO DE POSTE DE MADERA DE 8.00 A 11.00m</v>
          </cell>
          <cell r="D276" t="str">
            <v>UN</v>
          </cell>
          <cell r="E276">
            <v>11.925599999999999</v>
          </cell>
          <cell r="F276">
            <v>9.6</v>
          </cell>
          <cell r="G276">
            <v>136.26580000000001</v>
          </cell>
          <cell r="H276">
            <v>31.613665600000001</v>
          </cell>
          <cell r="I276">
            <v>167.8794656</v>
          </cell>
        </row>
        <row r="277">
          <cell r="B277" t="str">
            <v>*090299</v>
          </cell>
          <cell r="C277" t="str">
            <v>RETIRO DE POSTE DE MADERA REDONDO CREOSOTADO DE 45 PIES A 70 PIES DE ALTURA</v>
          </cell>
          <cell r="D277" t="str">
            <v>UN</v>
          </cell>
          <cell r="E277">
            <v>5.2080000000000002</v>
          </cell>
          <cell r="F277">
            <v>9.6</v>
          </cell>
          <cell r="G277">
            <v>312.0299</v>
          </cell>
          <cell r="H277">
            <v>72.390936799999992</v>
          </cell>
          <cell r="I277">
            <v>384.42083679999996</v>
          </cell>
        </row>
        <row r="278">
          <cell r="B278" t="str">
            <v>*090301</v>
          </cell>
          <cell r="C278" t="str">
            <v>RETIRO DE POSTE HASTA 8.7M Z. ACCES-TERR. NORMAL(&gt;10)</v>
          </cell>
          <cell r="D278" t="str">
            <v>UN</v>
          </cell>
          <cell r="E278">
            <v>17.399999999999999</v>
          </cell>
          <cell r="F278">
            <v>9.6</v>
          </cell>
          <cell r="G278">
            <v>124.7427</v>
          </cell>
          <cell r="H278">
            <v>28.940306399999997</v>
          </cell>
          <cell r="I278">
            <v>153.68300640000001</v>
          </cell>
        </row>
        <row r="279">
          <cell r="B279" t="str">
            <v>*090309</v>
          </cell>
          <cell r="C279" t="str">
            <v>RETIRO DE RETENIDA SIMPLE O VIOLIN MT O BT</v>
          </cell>
          <cell r="D279" t="str">
            <v>UN</v>
          </cell>
          <cell r="E279">
            <v>3.6450999999999998</v>
          </cell>
          <cell r="F279">
            <v>9.6</v>
          </cell>
          <cell r="G279">
            <v>195.35899999999998</v>
          </cell>
          <cell r="H279">
            <v>45.323287999999991</v>
          </cell>
          <cell r="I279">
            <v>240.68228799999997</v>
          </cell>
        </row>
        <row r="280">
          <cell r="B280" t="str">
            <v>*090310</v>
          </cell>
          <cell r="C280" t="str">
            <v>RETENIDA SIMPLE O VIOLIN MT O BT</v>
          </cell>
          <cell r="D280" t="str">
            <v>UN</v>
          </cell>
          <cell r="E280">
            <v>2.5516000000000001</v>
          </cell>
          <cell r="F280">
            <v>9.6</v>
          </cell>
          <cell r="G280">
            <v>279.08089999999999</v>
          </cell>
          <cell r="H280">
            <v>64.746768799999998</v>
          </cell>
          <cell r="I280">
            <v>343.82766879999997</v>
          </cell>
        </row>
        <row r="281">
          <cell r="B281" t="str">
            <v>*090311</v>
          </cell>
          <cell r="C281" t="str">
            <v>TRASLADO DE RETENIDA SIMPLE O VIOLIN MT O BT</v>
          </cell>
          <cell r="D281" t="str">
            <v>UN</v>
          </cell>
          <cell r="E281">
            <v>1.9628000000000001</v>
          </cell>
          <cell r="F281">
            <v>9.6</v>
          </cell>
          <cell r="G281">
            <v>362.79959999999994</v>
          </cell>
          <cell r="H281">
            <v>84.169507199999984</v>
          </cell>
          <cell r="I281">
            <v>446.96910719999994</v>
          </cell>
        </row>
        <row r="282">
          <cell r="B282" t="str">
            <v>*090319</v>
          </cell>
          <cell r="C282" t="str">
            <v>RETIRO RETENIDA-TEMPLADOR AEREO MT Y BT</v>
          </cell>
          <cell r="D282" t="str">
            <v>UN</v>
          </cell>
          <cell r="E282">
            <v>16.096399999999999</v>
          </cell>
          <cell r="F282">
            <v>9.6</v>
          </cell>
          <cell r="G282">
            <v>47.375700000000002</v>
          </cell>
          <cell r="H282">
            <v>10.9911624</v>
          </cell>
          <cell r="I282">
            <v>58.366862400000002</v>
          </cell>
        </row>
        <row r="283">
          <cell r="B283" t="str">
            <v>*090320</v>
          </cell>
          <cell r="C283" t="str">
            <v>RETENIDA-TEMPLADOR AEREO MT Y BT.</v>
          </cell>
          <cell r="D283" t="str">
            <v>UN</v>
          </cell>
          <cell r="E283">
            <v>11.2675</v>
          </cell>
          <cell r="F283">
            <v>9.6</v>
          </cell>
          <cell r="G283">
            <v>67.679400000000001</v>
          </cell>
          <cell r="H283">
            <v>15.701620799999999</v>
          </cell>
          <cell r="I283">
            <v>83.381020800000002</v>
          </cell>
        </row>
        <row r="284">
          <cell r="B284" t="str">
            <v>*090321</v>
          </cell>
          <cell r="C284" t="str">
            <v>TRASLADO DE RETENIDA-TEMPLADOR AEREO MT Y BT.</v>
          </cell>
          <cell r="D284" t="str">
            <v>PQ</v>
          </cell>
          <cell r="E284">
            <v>8.6672999999999991</v>
          </cell>
          <cell r="F284">
            <v>9.6</v>
          </cell>
          <cell r="G284">
            <v>87.983200000000011</v>
          </cell>
          <cell r="H284">
            <v>20.412102400000002</v>
          </cell>
          <cell r="I284">
            <v>108.39530240000002</v>
          </cell>
        </row>
        <row r="285">
          <cell r="B285" t="str">
            <v>*090322</v>
          </cell>
          <cell r="C285" t="str">
            <v>RETENIDA DE MT Y BT - INSTALACIÓN DE ZAPATA</v>
          </cell>
          <cell r="D285" t="str">
            <v>UN</v>
          </cell>
          <cell r="E285">
            <v>4.5537999999999998</v>
          </cell>
          <cell r="F285">
            <v>9.6</v>
          </cell>
          <cell r="G285">
            <v>120.036</v>
          </cell>
          <cell r="H285">
            <v>27.848351999999998</v>
          </cell>
          <cell r="I285">
            <v>147.88435200000001</v>
          </cell>
        </row>
        <row r="286">
          <cell r="B286" t="str">
            <v>*090323</v>
          </cell>
          <cell r="C286" t="str">
            <v>RETIRO DE AISLADOR EN RETENIDA DE MT Y BT</v>
          </cell>
          <cell r="D286" t="str">
            <v>UN</v>
          </cell>
          <cell r="E286">
            <v>9.5412999999999997</v>
          </cell>
          <cell r="F286">
            <v>9.6</v>
          </cell>
          <cell r="G286">
            <v>55.035599999999995</v>
          </cell>
          <cell r="H286">
            <v>12.768259199999997</v>
          </cell>
          <cell r="I286">
            <v>67.803859199999991</v>
          </cell>
        </row>
        <row r="287">
          <cell r="B287" t="str">
            <v>*090324</v>
          </cell>
          <cell r="C287" t="str">
            <v>RETENIDA DE MT Y BT - INSTALACION DE AISLADOR</v>
          </cell>
          <cell r="D287" t="str">
            <v>UN</v>
          </cell>
          <cell r="E287">
            <v>6.6788999999999996</v>
          </cell>
          <cell r="F287">
            <v>9.6</v>
          </cell>
          <cell r="G287">
            <v>78.622399999999999</v>
          </cell>
          <cell r="H287">
            <v>18.240396799999999</v>
          </cell>
          <cell r="I287">
            <v>96.862796799999998</v>
          </cell>
        </row>
        <row r="288">
          <cell r="B288" t="str">
            <v>*090334</v>
          </cell>
          <cell r="C288" t="str">
            <v>RETIRO DE RIEL DE PROTECCION</v>
          </cell>
          <cell r="D288" t="str">
            <v>UN</v>
          </cell>
          <cell r="E288">
            <v>29.2392</v>
          </cell>
          <cell r="F288">
            <v>9.6</v>
          </cell>
          <cell r="G288">
            <v>17.959200000000003</v>
          </cell>
          <cell r="H288">
            <v>4.1665344000000006</v>
          </cell>
          <cell r="I288">
            <v>22.125734400000002</v>
          </cell>
        </row>
        <row r="289">
          <cell r="B289" t="str">
            <v>*090335</v>
          </cell>
          <cell r="C289" t="str">
            <v>COLOCACION RIEL DE PROTECCION</v>
          </cell>
          <cell r="D289" t="str">
            <v>UN</v>
          </cell>
          <cell r="E289">
            <v>20.468</v>
          </cell>
          <cell r="F289">
            <v>9.6</v>
          </cell>
          <cell r="G289">
            <v>25.655199999999997</v>
          </cell>
          <cell r="H289">
            <v>5.9520063999999993</v>
          </cell>
          <cell r="I289">
            <v>31.607206399999995</v>
          </cell>
        </row>
        <row r="290">
          <cell r="B290" t="str">
            <v>*090358</v>
          </cell>
          <cell r="C290" t="str">
            <v>RETIRO DE CABLEADO DE SISTEMA DE PUESTA A TIERRA PARA POSTE NUEVO</v>
          </cell>
          <cell r="D290" t="str">
            <v>UN</v>
          </cell>
          <cell r="E290">
            <v>11.5571</v>
          </cell>
          <cell r="F290">
            <v>9.6</v>
          </cell>
          <cell r="G290">
            <v>51.087600000000002</v>
          </cell>
          <cell r="H290">
            <v>11.852323199999999</v>
          </cell>
          <cell r="I290">
            <v>62.939923200000003</v>
          </cell>
        </row>
        <row r="291">
          <cell r="B291" t="str">
            <v>*090359</v>
          </cell>
          <cell r="C291" t="str">
            <v>RETIRO DE CAJUELA DE CONCRETO PARA POZO TIERRA</v>
          </cell>
          <cell r="D291" t="str">
            <v>UN</v>
          </cell>
          <cell r="E291">
            <v>22.527899999999999</v>
          </cell>
          <cell r="F291">
            <v>9.6</v>
          </cell>
          <cell r="G291">
            <v>11.798200000000001</v>
          </cell>
          <cell r="H291">
            <v>2.7371824</v>
          </cell>
          <cell r="I291">
            <v>14.535382400000001</v>
          </cell>
        </row>
        <row r="292">
          <cell r="B292" t="str">
            <v>*090361</v>
          </cell>
          <cell r="C292" t="str">
            <v>PUESTA A TIERRA TRATADA (CON BENTONITA Y SAL)- CON SUMINISTRO DE TIERRA FINA</v>
          </cell>
          <cell r="D292" t="str">
            <v>UN</v>
          </cell>
          <cell r="E292">
            <v>1.2</v>
          </cell>
          <cell r="F292">
            <v>9.6</v>
          </cell>
          <cell r="G292">
            <v>577.87400000000002</v>
          </cell>
          <cell r="H292">
            <v>134.066768</v>
          </cell>
          <cell r="I292">
            <v>711.94076800000005</v>
          </cell>
        </row>
        <row r="293">
          <cell r="B293" t="str">
            <v>*090362</v>
          </cell>
          <cell r="C293" t="str">
            <v>SOLDADURA EN FRÍO ANTIHURTO DE CONECTOR DE ELECTRODO DE POZO A TIERRA EXISTENTE (EN OBRA)</v>
          </cell>
          <cell r="D293" t="str">
            <v>UN</v>
          </cell>
          <cell r="E293">
            <v>28.584599999999998</v>
          </cell>
          <cell r="F293">
            <v>9.6</v>
          </cell>
          <cell r="G293">
            <v>13.5527</v>
          </cell>
          <cell r="H293">
            <v>3.1442263999999995</v>
          </cell>
          <cell r="I293">
            <v>16.696926399999999</v>
          </cell>
        </row>
        <row r="294">
          <cell r="B294" t="str">
            <v>*090363</v>
          </cell>
          <cell r="C294" t="str">
            <v>SOLDADURA EN FRÍO ANTIHURTO DE CONECTOR DE ELECTRODO DE POZO A TIERRA - NUEVO</v>
          </cell>
          <cell r="D294" t="str">
            <v>UN</v>
          </cell>
          <cell r="E294">
            <v>58.715600000000002</v>
          </cell>
          <cell r="F294">
            <v>9.6</v>
          </cell>
          <cell r="G294">
            <v>5.7311999999999994</v>
          </cell>
          <cell r="H294">
            <v>1.3296383999999997</v>
          </cell>
          <cell r="I294">
            <v>7.0608383999999988</v>
          </cell>
        </row>
        <row r="295">
          <cell r="B295" t="str">
            <v>*090364</v>
          </cell>
          <cell r="C295" t="str">
            <v>POZO DE TIERRA ECONM C/BENT Y SAL P CNEX BT EN PREDIO DEL CLIENTE SIN SUMINISTR TIERRRA FINA</v>
          </cell>
          <cell r="D295" t="str">
            <v>UN</v>
          </cell>
          <cell r="E295">
            <v>2.5636999999999999</v>
          </cell>
          <cell r="F295">
            <v>9.6</v>
          </cell>
          <cell r="G295">
            <v>283.47130000000004</v>
          </cell>
          <cell r="H295">
            <v>65.765341599999999</v>
          </cell>
          <cell r="I295">
            <v>349.23664160000004</v>
          </cell>
        </row>
        <row r="296">
          <cell r="B296" t="str">
            <v>*090366</v>
          </cell>
          <cell r="C296" t="str">
            <v>COLOCACION CAJUELA DE CONCRETO PARA POZO TIERRA</v>
          </cell>
          <cell r="D296" t="str">
            <v>UN</v>
          </cell>
          <cell r="E296">
            <v>15.77</v>
          </cell>
          <cell r="F296">
            <v>9.6</v>
          </cell>
          <cell r="G296">
            <v>16.854200000000002</v>
          </cell>
          <cell r="H296">
            <v>3.9101744000000003</v>
          </cell>
          <cell r="I296">
            <v>20.764374400000001</v>
          </cell>
        </row>
        <row r="297">
          <cell r="B297" t="str">
            <v>*090367</v>
          </cell>
          <cell r="C297" t="str">
            <v>PUESTA A TIERRA TRATADA (CON BENTONITA Y SAL)</v>
          </cell>
          <cell r="D297" t="str">
            <v>UN</v>
          </cell>
          <cell r="E297">
            <v>1.2</v>
          </cell>
          <cell r="F297">
            <v>9.6</v>
          </cell>
          <cell r="G297">
            <v>421.43330000000003</v>
          </cell>
          <cell r="H297">
            <v>97.772525599999994</v>
          </cell>
          <cell r="I297">
            <v>519.20582560000003</v>
          </cell>
        </row>
        <row r="298">
          <cell r="B298" t="str">
            <v>*090368</v>
          </cell>
          <cell r="C298" t="str">
            <v>SUMINISTRO 1,5 M3 DE TIERRA FINA P/POZO TIERRA</v>
          </cell>
          <cell r="D298" t="str">
            <v>UN</v>
          </cell>
          <cell r="E298">
            <v>12.73</v>
          </cell>
          <cell r="F298">
            <v>9.6</v>
          </cell>
          <cell r="G298">
            <v>127.36610000000002</v>
          </cell>
          <cell r="H298">
            <v>29.548935200000003</v>
          </cell>
          <cell r="I298">
            <v>156.91503520000003</v>
          </cell>
        </row>
        <row r="299">
          <cell r="B299" t="str">
            <v>*090370</v>
          </cell>
          <cell r="C299" t="str">
            <v>CABLEADO DE SISTEMA DE PUESTA A TIERRA PARA POSTE NUEVO</v>
          </cell>
          <cell r="D299" t="str">
            <v>UN</v>
          </cell>
          <cell r="E299">
            <v>8.09</v>
          </cell>
          <cell r="F299">
            <v>9.6</v>
          </cell>
          <cell r="G299">
            <v>72.981999999999999</v>
          </cell>
          <cell r="H299">
            <v>16.931823999999999</v>
          </cell>
          <cell r="I299">
            <v>89.913824000000005</v>
          </cell>
        </row>
        <row r="300">
          <cell r="B300" t="str">
            <v>*090371</v>
          </cell>
          <cell r="C300" t="str">
            <v>CABLEADO DEL SISTEMA DE PUESTA  A TIERRA EN PREDIO DEL CLIENTE DE BT</v>
          </cell>
          <cell r="D300" t="str">
            <v>UN</v>
          </cell>
          <cell r="E300">
            <v>21.797999999999998</v>
          </cell>
          <cell r="F300">
            <v>9.6</v>
          </cell>
          <cell r="G300">
            <v>23.17</v>
          </cell>
          <cell r="H300">
            <v>5.3754400000000002</v>
          </cell>
          <cell r="I300">
            <v>28.545440000000003</v>
          </cell>
        </row>
        <row r="301">
          <cell r="B301" t="str">
            <v>*090372</v>
          </cell>
          <cell r="C301" t="str">
            <v>CABLEADO P/CORTOCIRCUITAR EN ESTRUCTURA DE PASO 10KV</v>
          </cell>
          <cell r="D301" t="str">
            <v>UN</v>
          </cell>
          <cell r="E301">
            <v>27.65</v>
          </cell>
          <cell r="F301">
            <v>9.6</v>
          </cell>
          <cell r="G301">
            <v>12.7544</v>
          </cell>
          <cell r="H301">
            <v>2.9590207999999998</v>
          </cell>
          <cell r="I301">
            <v>15.7134208</v>
          </cell>
        </row>
        <row r="302">
          <cell r="B302" t="str">
            <v>*090373</v>
          </cell>
          <cell r="C302" t="str">
            <v>CABLEADO DE SISTEMA DE PUESTA A TIERRA PARA POSTE EXISTENTE</v>
          </cell>
          <cell r="D302" t="str">
            <v>UN</v>
          </cell>
          <cell r="E302">
            <v>4</v>
          </cell>
          <cell r="F302">
            <v>9.6</v>
          </cell>
          <cell r="G302">
            <v>175.61860000000001</v>
          </cell>
          <cell r="H302">
            <v>40.743515199999997</v>
          </cell>
          <cell r="I302">
            <v>216.36211520000001</v>
          </cell>
        </row>
        <row r="303">
          <cell r="B303" t="str">
            <v>*090374</v>
          </cell>
          <cell r="C303" t="str">
            <v>RETIRO DE CABLEADO INTERNO SP/AP PARA CONEXIONADO PAT Y SUBIDA EXTERNA</v>
          </cell>
          <cell r="D303" t="str">
            <v>UN</v>
          </cell>
          <cell r="E303">
            <v>7.8033000000000001</v>
          </cell>
          <cell r="F303">
            <v>9.6</v>
          </cell>
          <cell r="G303">
            <v>75.663499999999999</v>
          </cell>
          <cell r="H303">
            <v>17.553932</v>
          </cell>
          <cell r="I303">
            <v>93.217432000000002</v>
          </cell>
        </row>
        <row r="304">
          <cell r="B304" t="str">
            <v>*090375</v>
          </cell>
          <cell r="C304" t="str">
            <v>PUESTA A TIERRA TÍPICA (VARILLA HINCADA)</v>
          </cell>
          <cell r="D304" t="str">
            <v>UN</v>
          </cell>
          <cell r="E304">
            <v>7.5406000000000004</v>
          </cell>
          <cell r="F304">
            <v>9.6</v>
          </cell>
          <cell r="G304">
            <v>46.3598</v>
          </cell>
          <cell r="H304">
            <v>10.755473599999998</v>
          </cell>
          <cell r="I304">
            <v>57.115273599999995</v>
          </cell>
        </row>
        <row r="305">
          <cell r="B305" t="str">
            <v>*090376</v>
          </cell>
          <cell r="C305" t="str">
            <v>SISTEMA DE PUESTA A TIERRA HORIZONTAL C/CEMENTO CONDUCTIVO - ZONA ROCOSA</v>
          </cell>
          <cell r="D305" t="str">
            <v>UN</v>
          </cell>
          <cell r="E305">
            <v>2.7105999999999999</v>
          </cell>
          <cell r="F305">
            <v>9.6</v>
          </cell>
          <cell r="G305">
            <v>182.52930000000003</v>
          </cell>
          <cell r="H305">
            <v>42.346797600000002</v>
          </cell>
          <cell r="I305">
            <v>224.87609760000004</v>
          </cell>
        </row>
        <row r="306">
          <cell r="B306" t="str">
            <v>*090377</v>
          </cell>
          <cell r="C306" t="str">
            <v>SUMINISTRO 1 M3 DE TIERRA FINA</v>
          </cell>
          <cell r="D306" t="str">
            <v>M3</v>
          </cell>
          <cell r="E306">
            <v>17.96</v>
          </cell>
          <cell r="F306">
            <v>9.6</v>
          </cell>
          <cell r="G306">
            <v>85.765000000000001</v>
          </cell>
          <cell r="H306">
            <v>19.897479999999998</v>
          </cell>
          <cell r="I306">
            <v>105.66248</v>
          </cell>
        </row>
        <row r="307">
          <cell r="B307" t="str">
            <v>*090378</v>
          </cell>
          <cell r="C307" t="str">
            <v>UBICACIÓN, REVISIÓN, MEDICIÓN Y REGISTRO DE PUESTAS A TIERRA</v>
          </cell>
          <cell r="D307" t="str">
            <v>UN</v>
          </cell>
          <cell r="E307">
            <v>12</v>
          </cell>
          <cell r="F307">
            <v>9.6</v>
          </cell>
          <cell r="G307">
            <v>62.059100000000001</v>
          </cell>
          <cell r="H307">
            <v>14.3977112</v>
          </cell>
          <cell r="I307">
            <v>76.456811200000004</v>
          </cell>
        </row>
        <row r="308">
          <cell r="B308" t="str">
            <v>*090381</v>
          </cell>
          <cell r="C308" t="str">
            <v>RETIRO DE CABLEADO DE SISTEMA DE PUESTA A TIERRA PARA POSTE EXISTENTE</v>
          </cell>
          <cell r="D308" t="str">
            <v>UN</v>
          </cell>
          <cell r="E308">
            <v>5.7142999999999997</v>
          </cell>
          <cell r="F308">
            <v>9.6</v>
          </cell>
          <cell r="G308">
            <v>122.9327</v>
          </cell>
          <cell r="H308">
            <v>28.520386399999996</v>
          </cell>
          <cell r="I308">
            <v>151.45308639999999</v>
          </cell>
        </row>
        <row r="309">
          <cell r="B309" t="str">
            <v>*090391</v>
          </cell>
          <cell r="C309" t="str">
            <v>RETIRO PERNO PARA ANCLAJE CABLE AUTOSOPORTADO</v>
          </cell>
          <cell r="D309" t="str">
            <v>UN</v>
          </cell>
          <cell r="E309">
            <v>95.711600000000004</v>
          </cell>
          <cell r="F309">
            <v>9.6</v>
          </cell>
          <cell r="G309">
            <v>5.5415000000000001</v>
          </cell>
          <cell r="H309">
            <v>1.285628</v>
          </cell>
          <cell r="I309">
            <v>6.8271280000000001</v>
          </cell>
        </row>
        <row r="310">
          <cell r="B310" t="str">
            <v>*090392</v>
          </cell>
          <cell r="C310" t="str">
            <v>PERNO PARA ANCLAJE CABLE AUTOSOPORTADO</v>
          </cell>
          <cell r="D310" t="str">
            <v>UN</v>
          </cell>
          <cell r="E310">
            <v>67</v>
          </cell>
          <cell r="F310">
            <v>9.6</v>
          </cell>
          <cell r="G310">
            <v>7.9161999999999999</v>
          </cell>
          <cell r="H310">
            <v>1.8365583999999999</v>
          </cell>
          <cell r="I310">
            <v>9.7527583999999994</v>
          </cell>
        </row>
        <row r="311">
          <cell r="B311" t="str">
            <v>*090393</v>
          </cell>
          <cell r="C311" t="str">
            <v>TRASLADO DE PERNO PARA ANCLAJE CABLE AUTOSOPORTADO</v>
          </cell>
          <cell r="D311" t="str">
            <v>UN</v>
          </cell>
          <cell r="E311">
            <v>51.5383</v>
          </cell>
          <cell r="F311">
            <v>9.6</v>
          </cell>
          <cell r="G311">
            <v>10.2911</v>
          </cell>
          <cell r="H311">
            <v>2.3875351999999999</v>
          </cell>
          <cell r="I311">
            <v>12.6786352</v>
          </cell>
        </row>
        <row r="312">
          <cell r="B312" t="str">
            <v>*090394</v>
          </cell>
          <cell r="C312" t="str">
            <v>PUNTO DE FIJACION  CABLE AUTOSOPORTADO</v>
          </cell>
          <cell r="D312" t="str">
            <v>UN</v>
          </cell>
          <cell r="E312">
            <v>22.75</v>
          </cell>
          <cell r="F312">
            <v>9.6</v>
          </cell>
          <cell r="G312">
            <v>19.276699999999998</v>
          </cell>
          <cell r="H312">
            <v>4.4721943999999993</v>
          </cell>
          <cell r="I312">
            <v>23.748894399999998</v>
          </cell>
        </row>
        <row r="313">
          <cell r="B313" t="str">
            <v>*090395</v>
          </cell>
          <cell r="C313" t="str">
            <v>RETIRO PUNTO DE FIJACION  CABLE AUTOSOPORTADO</v>
          </cell>
          <cell r="D313" t="str">
            <v>UN</v>
          </cell>
          <cell r="E313">
            <v>32.499099999999999</v>
          </cell>
          <cell r="F313">
            <v>9.6</v>
          </cell>
          <cell r="G313">
            <v>13.4941</v>
          </cell>
          <cell r="H313">
            <v>3.1306311999999998</v>
          </cell>
          <cell r="I313">
            <v>16.624731199999999</v>
          </cell>
        </row>
        <row r="314">
          <cell r="B314" t="str">
            <v>*090396</v>
          </cell>
          <cell r="C314" t="str">
            <v>TRASLADO DE PUNTO DE FIJACION  CABLE AUTOSOPORTADO</v>
          </cell>
          <cell r="D314" t="str">
            <v>M</v>
          </cell>
          <cell r="E314">
            <v>17.5</v>
          </cell>
          <cell r="F314">
            <v>9.6</v>
          </cell>
          <cell r="G314">
            <v>25.059600000000003</v>
          </cell>
          <cell r="H314">
            <v>5.8138272000000004</v>
          </cell>
          <cell r="I314">
            <v>30.873427200000002</v>
          </cell>
        </row>
        <row r="315">
          <cell r="B315" t="str">
            <v>*090429</v>
          </cell>
          <cell r="C315" t="str">
            <v>RETIRO PORTALINEA DE PASO O REMATE DE 1 A 5 VIAS</v>
          </cell>
          <cell r="D315" t="str">
            <v>UN</v>
          </cell>
          <cell r="E315">
            <v>31.899100000000001</v>
          </cell>
          <cell r="F315">
            <v>9.6</v>
          </cell>
          <cell r="G315">
            <v>15.287800000000001</v>
          </cell>
          <cell r="H315">
            <v>3.5467695999999997</v>
          </cell>
          <cell r="I315">
            <v>18.834569600000002</v>
          </cell>
        </row>
        <row r="316">
          <cell r="B316" t="str">
            <v>*090430</v>
          </cell>
          <cell r="C316" t="str">
            <v>PORTALINEA DE PASO O REMATE DE 1 A 5 VIAS</v>
          </cell>
          <cell r="D316" t="str">
            <v>UN</v>
          </cell>
          <cell r="E316">
            <v>22.33</v>
          </cell>
          <cell r="F316">
            <v>9.6</v>
          </cell>
          <cell r="G316">
            <v>21.839099999999998</v>
          </cell>
          <cell r="H316">
            <v>5.0666711999999992</v>
          </cell>
          <cell r="I316">
            <v>26.905771199999997</v>
          </cell>
        </row>
        <row r="317">
          <cell r="B317" t="str">
            <v>*090431</v>
          </cell>
          <cell r="C317" t="str">
            <v>TRASLADO DE PORTALINEA DE PASO O REMATE DE 1 A 5 VIAS</v>
          </cell>
          <cell r="D317" t="str">
            <v>UN</v>
          </cell>
          <cell r="E317">
            <v>17.1769</v>
          </cell>
          <cell r="F317">
            <v>9.6</v>
          </cell>
          <cell r="G317">
            <v>28.390999999999998</v>
          </cell>
          <cell r="H317">
            <v>6.5867119999999995</v>
          </cell>
          <cell r="I317">
            <v>34.977711999999997</v>
          </cell>
        </row>
        <row r="318">
          <cell r="B318" t="str">
            <v>*090450</v>
          </cell>
          <cell r="C318" t="str">
            <v>"ESPACIADOR DE 6"" (SEPARADOR PVC)"</v>
          </cell>
          <cell r="D318" t="str">
            <v>UN</v>
          </cell>
          <cell r="E318">
            <v>39.454999999999998</v>
          </cell>
          <cell r="F318">
            <v>9.6</v>
          </cell>
          <cell r="G318">
            <v>21.25</v>
          </cell>
          <cell r="H318">
            <v>4.93</v>
          </cell>
          <cell r="I318">
            <v>26.18</v>
          </cell>
        </row>
        <row r="319">
          <cell r="B319" t="str">
            <v>*090465</v>
          </cell>
          <cell r="C319" t="str">
            <v>RETIRO DE POSTE FE 4" A 5" DIAM DE 7M A 11,5M; TRAB MASIVO EN CTRL TEC Y CAL SERV</v>
          </cell>
          <cell r="D319" t="str">
            <v>UN</v>
          </cell>
          <cell r="E319">
            <v>24.492699999999999</v>
          </cell>
          <cell r="F319">
            <v>9.6</v>
          </cell>
          <cell r="G319">
            <v>59.190800000000003</v>
          </cell>
          <cell r="H319">
            <v>13.7322656</v>
          </cell>
          <cell r="I319">
            <v>72.923065600000001</v>
          </cell>
        </row>
        <row r="320">
          <cell r="B320" t="str">
            <v>*090466</v>
          </cell>
          <cell r="C320" t="str">
            <v>RETIRO DE POSTES DE PRFV HASTA 8.7 M EN ZONA INACCESIBLE CON CIMENTACIÓN - PROYECTOS</v>
          </cell>
          <cell r="D320" t="str">
            <v>UN</v>
          </cell>
          <cell r="E320">
            <v>33.395899999999997</v>
          </cell>
          <cell r="F320">
            <v>9.6</v>
          </cell>
          <cell r="G320">
            <v>112.11409999999999</v>
          </cell>
          <cell r="H320">
            <v>26.010471199999998</v>
          </cell>
          <cell r="I320">
            <v>138.12457119999999</v>
          </cell>
        </row>
        <row r="321">
          <cell r="B321" t="str">
            <v>*090467</v>
          </cell>
          <cell r="C321" t="str">
            <v>RETIRO DE POSTE C.A.C. DE 6.00 7.00 U 8.00 m</v>
          </cell>
          <cell r="D321" t="str">
            <v>UN</v>
          </cell>
          <cell r="E321">
            <v>10.428599999999999</v>
          </cell>
          <cell r="F321">
            <v>9.6</v>
          </cell>
          <cell r="G321">
            <v>165.54860000000002</v>
          </cell>
          <cell r="H321">
            <v>38.407275200000001</v>
          </cell>
          <cell r="I321">
            <v>203.95587520000004</v>
          </cell>
        </row>
        <row r="322">
          <cell r="B322" t="str">
            <v>*090468</v>
          </cell>
          <cell r="C322" t="str">
            <v>RETIRO DE POSTES DE PRFV HASTA 8.7 M EN ZONA INACCESIBLE CON CIMENTACIÓN</v>
          </cell>
          <cell r="D322" t="str">
            <v>UN</v>
          </cell>
          <cell r="E322">
            <v>19.535799999999998</v>
          </cell>
          <cell r="F322">
            <v>9.6</v>
          </cell>
          <cell r="G322">
            <v>141.4194</v>
          </cell>
          <cell r="H322">
            <v>32.809300799999995</v>
          </cell>
          <cell r="I322">
            <v>174.22870079999998</v>
          </cell>
        </row>
        <row r="323">
          <cell r="B323" t="str">
            <v>*090469</v>
          </cell>
          <cell r="C323" t="str">
            <v>RETIRO POSTE FE 4"" A 5"" DIAM DE 7m A 11,5m"</v>
          </cell>
          <cell r="D323" t="str">
            <v>UN</v>
          </cell>
          <cell r="E323">
            <v>17.142900000000001</v>
          </cell>
          <cell r="F323">
            <v>9.6</v>
          </cell>
          <cell r="G323">
            <v>76.730099999999993</v>
          </cell>
          <cell r="H323">
            <v>17.801383199999997</v>
          </cell>
          <cell r="I323">
            <v>94.531483199999997</v>
          </cell>
        </row>
        <row r="324">
          <cell r="B324" t="str">
            <v>*090470</v>
          </cell>
          <cell r="C324" t="str">
            <v>CAMBIO DE POSTE INACCESIBLE CON CABRIA  DE CAC POR PRFV  MENOR A 10M C/VEREDA</v>
          </cell>
          <cell r="D324" t="str">
            <v>UN</v>
          </cell>
          <cell r="E324">
            <v>2.0863999999999998</v>
          </cell>
          <cell r="F324">
            <v>9.6</v>
          </cell>
          <cell r="G324">
            <v>1251.4668999999999</v>
          </cell>
          <cell r="H324">
            <v>290.34032079999997</v>
          </cell>
          <cell r="I324">
            <v>1541.8072207999999</v>
          </cell>
        </row>
        <row r="325">
          <cell r="B325" t="str">
            <v>*090471</v>
          </cell>
          <cell r="C325" t="str">
            <v>CAMBIO DE POSTE INACCESIBLE CON CABRIA DE CAC POR PRFV MENOR A 10M S/VEREDA</v>
          </cell>
          <cell r="D325" t="str">
            <v>UN</v>
          </cell>
          <cell r="E325">
            <v>2.4344000000000001</v>
          </cell>
          <cell r="F325">
            <v>9.6</v>
          </cell>
          <cell r="G325">
            <v>1065.395</v>
          </cell>
          <cell r="H325">
            <v>247.17163999999997</v>
          </cell>
          <cell r="I325">
            <v>1312.56664</v>
          </cell>
        </row>
        <row r="326">
          <cell r="B326" t="str">
            <v>*090472</v>
          </cell>
          <cell r="C326" t="str">
            <v>CAMBIO DE POSTE NORMAL CON VEREDA</v>
          </cell>
          <cell r="D326" t="str">
            <v>UN</v>
          </cell>
          <cell r="E326">
            <v>2.4672999999999998</v>
          </cell>
          <cell r="F326">
            <v>9.6</v>
          </cell>
          <cell r="G326">
            <v>891.20740000000001</v>
          </cell>
          <cell r="H326">
            <v>206.76011679999999</v>
          </cell>
          <cell r="I326">
            <v>1097.9675167999999</v>
          </cell>
        </row>
        <row r="327">
          <cell r="B327" t="str">
            <v>*090473</v>
          </cell>
          <cell r="C327" t="str">
            <v>CAMBIO DE POSTE NORMAL SIN VEREDA</v>
          </cell>
          <cell r="D327" t="str">
            <v>UN</v>
          </cell>
          <cell r="E327">
            <v>2.6158999999999999</v>
          </cell>
          <cell r="F327">
            <v>9.6</v>
          </cell>
          <cell r="G327">
            <v>797.32709999999997</v>
          </cell>
          <cell r="H327">
            <v>184.97988719999998</v>
          </cell>
          <cell r="I327">
            <v>982.30698719999998</v>
          </cell>
        </row>
        <row r="328">
          <cell r="B328" t="str">
            <v>*090475</v>
          </cell>
          <cell r="C328" t="str">
            <v>CAMBIO DE POSTE DE FIERRO O CAC HASTA 9 M C/VEREDA (Masivo)</v>
          </cell>
          <cell r="D328" t="str">
            <v>UN</v>
          </cell>
          <cell r="E328">
            <v>3.9708000000000001</v>
          </cell>
          <cell r="F328">
            <v>9.6</v>
          </cell>
          <cell r="G328">
            <v>611.97649999999999</v>
          </cell>
          <cell r="H328">
            <v>141.97854799999999</v>
          </cell>
          <cell r="I328">
            <v>753.95504800000003</v>
          </cell>
        </row>
        <row r="329">
          <cell r="B329" t="str">
            <v>*090476</v>
          </cell>
          <cell r="C329" t="str">
            <v>CAMBIO DE POSTE DE FIERRO O CAC HASTA 9 M S/VEREDA (Masivo)</v>
          </cell>
          <cell r="D329" t="str">
            <v>UN</v>
          </cell>
          <cell r="E329">
            <v>4.4610000000000003</v>
          </cell>
          <cell r="F329">
            <v>9.6</v>
          </cell>
          <cell r="G329">
            <v>544.72910000000002</v>
          </cell>
          <cell r="H329">
            <v>126.3771512</v>
          </cell>
          <cell r="I329">
            <v>671.10625119999997</v>
          </cell>
        </row>
        <row r="330">
          <cell r="B330" t="str">
            <v>*090477</v>
          </cell>
          <cell r="C330" t="str">
            <v>PROTECTOR PARA POSTE DE FE C/VEREDA</v>
          </cell>
          <cell r="D330" t="str">
            <v>UN</v>
          </cell>
          <cell r="E330">
            <v>2.8641999999999999</v>
          </cell>
          <cell r="F330">
            <v>9.6</v>
          </cell>
          <cell r="G330">
            <v>220.8646</v>
          </cell>
          <cell r="H330">
            <v>51.240587199999993</v>
          </cell>
          <cell r="I330">
            <v>272.10518719999999</v>
          </cell>
        </row>
        <row r="331">
          <cell r="B331" t="str">
            <v>*090478</v>
          </cell>
          <cell r="C331" t="str">
            <v>PROTECTOR PARA POSTE DE FE S/VEREDA</v>
          </cell>
          <cell r="D331" t="str">
            <v>UN</v>
          </cell>
          <cell r="E331">
            <v>3.0804999999999998</v>
          </cell>
          <cell r="F331">
            <v>9.6</v>
          </cell>
          <cell r="G331">
            <v>206.29570000000001</v>
          </cell>
          <cell r="H331">
            <v>47.860602399999998</v>
          </cell>
          <cell r="I331">
            <v>254.15630240000002</v>
          </cell>
        </row>
        <row r="332">
          <cell r="B332" t="str">
            <v>*090479</v>
          </cell>
          <cell r="C332" t="str">
            <v>CAMBIO DE POSTE INACCESIBLE (Terreno normal, pendiente máxima 20°)</v>
          </cell>
          <cell r="D332" t="str">
            <v>UN</v>
          </cell>
          <cell r="E332">
            <v>1.6808000000000001</v>
          </cell>
          <cell r="F332">
            <v>9.6</v>
          </cell>
          <cell r="G332">
            <v>1411.2267999999999</v>
          </cell>
          <cell r="H332">
            <v>327.40461759999994</v>
          </cell>
          <cell r="I332">
            <v>1738.6314175999998</v>
          </cell>
        </row>
        <row r="333">
          <cell r="B333" t="str">
            <v>*090480</v>
          </cell>
          <cell r="C333" t="str">
            <v>COLOC.POSTE C.A.C. DE 6.00 7.00 U 8.00 m</v>
          </cell>
          <cell r="D333" t="str">
            <v>UN</v>
          </cell>
          <cell r="E333">
            <v>7.3</v>
          </cell>
          <cell r="F333">
            <v>9.6</v>
          </cell>
          <cell r="G333">
            <v>236.49870000000001</v>
          </cell>
          <cell r="H333">
            <v>54.867698400000002</v>
          </cell>
          <cell r="I333">
            <v>291.36639840000004</v>
          </cell>
        </row>
        <row r="334">
          <cell r="B334" t="str">
            <v>*090481</v>
          </cell>
          <cell r="C334" t="str">
            <v>INSTALACIÓN DE POSTES CAC HASTA 8.7M EN ZONAS INACCESIBLES (Cimentado c/Red aérea)</v>
          </cell>
          <cell r="D334" t="str">
            <v>UN</v>
          </cell>
          <cell r="E334">
            <v>1.2764</v>
          </cell>
          <cell r="F334">
            <v>9.6</v>
          </cell>
          <cell r="G334">
            <v>1816.6211000000001</v>
          </cell>
          <cell r="H334">
            <v>421.45609519999999</v>
          </cell>
          <cell r="I334">
            <v>2238.0771952</v>
          </cell>
        </row>
        <row r="335">
          <cell r="B335" t="str">
            <v>*090482</v>
          </cell>
          <cell r="C335" t="str">
            <v>INSTALACIÓN DE POSTES DE PRFV HASTA 8.7 M EN ZONA INACCESIBLE CON CIMENTACIÓN</v>
          </cell>
          <cell r="D335" t="str">
            <v>UN</v>
          </cell>
          <cell r="E335">
            <v>11.2492</v>
          </cell>
          <cell r="F335">
            <v>9.6</v>
          </cell>
          <cell r="G335">
            <v>202.7517</v>
          </cell>
          <cell r="H335">
            <v>47.038394399999994</v>
          </cell>
          <cell r="I335">
            <v>249.79009439999999</v>
          </cell>
        </row>
        <row r="336">
          <cell r="B336" t="str">
            <v>*090483</v>
          </cell>
          <cell r="C336" t="str">
            <v>INSTALACIÓN DE POSTES DE PRFV HASTA 8.7 M EN ZONA INACCESIBLE CON CIMENTACIÓN - PROYECTOS</v>
          </cell>
          <cell r="D336" t="str">
            <v>UN</v>
          </cell>
          <cell r="E336">
            <v>17.5152</v>
          </cell>
          <cell r="F336">
            <v>9.6</v>
          </cell>
          <cell r="G336">
            <v>161.0335</v>
          </cell>
          <cell r="H336">
            <v>37.359772</v>
          </cell>
          <cell r="I336">
            <v>198.393272</v>
          </cell>
        </row>
        <row r="337">
          <cell r="B337" t="str">
            <v>*090484</v>
          </cell>
          <cell r="C337" t="str">
            <v>COLOC. POSTE FE 4" A 5" DIAM DE 7M A 11,5M; TRAB MASIVO EN CTRL TEC Y CAL SERV</v>
          </cell>
          <cell r="D337" t="str">
            <v>UN</v>
          </cell>
          <cell r="E337">
            <v>17.1449</v>
          </cell>
          <cell r="F337">
            <v>9.6</v>
          </cell>
          <cell r="G337">
            <v>84.558199999999999</v>
          </cell>
          <cell r="H337">
            <v>19.617502399999999</v>
          </cell>
          <cell r="I337">
            <v>104.17570240000001</v>
          </cell>
        </row>
        <row r="338">
          <cell r="B338" t="str">
            <v>*090485</v>
          </cell>
          <cell r="C338" t="str">
            <v>"COLOC.POSTE FE 4"" A 5"" DIAM DE 7m A 11,5m"</v>
          </cell>
          <cell r="D338" t="str">
            <v>UN</v>
          </cell>
          <cell r="E338">
            <v>12</v>
          </cell>
          <cell r="F338">
            <v>9.6</v>
          </cell>
          <cell r="G338">
            <v>109.61479999999999</v>
          </cell>
          <cell r="H338">
            <v>25.430633599999997</v>
          </cell>
          <cell r="I338">
            <v>135.0454336</v>
          </cell>
        </row>
        <row r="339">
          <cell r="B339" t="str">
            <v>*090491</v>
          </cell>
          <cell r="C339" t="str">
            <v>RETIRO DE POSTE TUBULAR DE ACERO EN ZONA INACCESIBLE</v>
          </cell>
          <cell r="D339" t="str">
            <v>UN</v>
          </cell>
          <cell r="E339">
            <v>26.404699999999998</v>
          </cell>
          <cell r="F339">
            <v>9.6</v>
          </cell>
          <cell r="G339">
            <v>113.15219999999999</v>
          </cell>
          <cell r="H339">
            <v>26.251310399999998</v>
          </cell>
          <cell r="I339">
            <v>139.40351039999999</v>
          </cell>
        </row>
        <row r="340">
          <cell r="B340" t="str">
            <v>*090492</v>
          </cell>
          <cell r="C340" t="str">
            <v>INSTALACIÓN MASIVA DE POSTE TUBULAR DE ACERO EN ZONA INACCESIBLE</v>
          </cell>
          <cell r="D340" t="str">
            <v>UN</v>
          </cell>
          <cell r="E340">
            <v>14.91</v>
          </cell>
          <cell r="F340">
            <v>9.6</v>
          </cell>
          <cell r="G340">
            <v>162.61679999999998</v>
          </cell>
          <cell r="H340">
            <v>37.727097599999993</v>
          </cell>
          <cell r="I340">
            <v>200.34389759999999</v>
          </cell>
        </row>
        <row r="341">
          <cell r="B341" t="str">
            <v>*090493</v>
          </cell>
          <cell r="C341" t="str">
            <v>Medición de electrizamiento de postes metálicos - Masivo</v>
          </cell>
          <cell r="D341" t="str">
            <v>UN</v>
          </cell>
          <cell r="E341">
            <v>121.88460000000001</v>
          </cell>
          <cell r="F341">
            <v>9.6</v>
          </cell>
          <cell r="G341">
            <v>5.7882999999999996</v>
          </cell>
          <cell r="H341">
            <v>1.3428855999999998</v>
          </cell>
          <cell r="I341">
            <v>7.1311855999999993</v>
          </cell>
        </row>
        <row r="342">
          <cell r="B342" t="str">
            <v>*090494</v>
          </cell>
          <cell r="C342" t="str">
            <v>INSTALACIÓN DE POSTES DE FE  7M ZONA INACCESIBLE (&gt;5Un)</v>
          </cell>
          <cell r="D342" t="str">
            <v>UN</v>
          </cell>
          <cell r="E342">
            <v>12.873799999999999</v>
          </cell>
          <cell r="F342">
            <v>9.6</v>
          </cell>
          <cell r="G342">
            <v>196.39680000000001</v>
          </cell>
          <cell r="H342">
            <v>45.564057599999998</v>
          </cell>
          <cell r="I342">
            <v>241.9608576</v>
          </cell>
        </row>
        <row r="343">
          <cell r="B343" t="str">
            <v>*090495</v>
          </cell>
          <cell r="C343" t="str">
            <v>CAMBIO DE POSTE NORMAL CON VEREDA RT-200</v>
          </cell>
          <cell r="D343" t="str">
            <v>UN</v>
          </cell>
          <cell r="E343">
            <v>2</v>
          </cell>
          <cell r="F343">
            <v>9.6</v>
          </cell>
          <cell r="G343">
            <v>1067.9274</v>
          </cell>
          <cell r="H343">
            <v>247.7591568</v>
          </cell>
          <cell r="I343">
            <v>1315.6865568000001</v>
          </cell>
        </row>
        <row r="344">
          <cell r="B344" t="str">
            <v>*090496</v>
          </cell>
          <cell r="C344" t="str">
            <v>CAMBIO DE POSTE NORMAL SIN VEREDA RT-200</v>
          </cell>
          <cell r="D344" t="str">
            <v>UN</v>
          </cell>
          <cell r="E344">
            <v>2.12</v>
          </cell>
          <cell r="F344">
            <v>9.6</v>
          </cell>
          <cell r="G344">
            <v>952.4203</v>
          </cell>
          <cell r="H344">
            <v>220.96150959999997</v>
          </cell>
          <cell r="I344">
            <v>1173.3818096</v>
          </cell>
        </row>
        <row r="345">
          <cell r="B345" t="str">
            <v>*090497</v>
          </cell>
          <cell r="C345" t="str">
            <v>RETIRO DE POSTES DE FE 7M ZONA INACCESIBLE (&gt;5Un)</v>
          </cell>
          <cell r="D345" t="str">
            <v>UN</v>
          </cell>
          <cell r="E345">
            <v>21.088100000000001</v>
          </cell>
          <cell r="F345">
            <v>9.6</v>
          </cell>
          <cell r="G345">
            <v>136.9562</v>
          </cell>
          <cell r="H345">
            <v>31.773838399999995</v>
          </cell>
          <cell r="I345">
            <v>168.73003839999998</v>
          </cell>
        </row>
        <row r="346">
          <cell r="B346" t="str">
            <v>*090509</v>
          </cell>
          <cell r="C346" t="str">
            <v>RETIRO DE PROTECCION RIEL CIMENTADO Y PINTADO(OBRA VENDIDA)</v>
          </cell>
          <cell r="D346" t="str">
            <v>UN</v>
          </cell>
          <cell r="E346">
            <v>4.8392999999999997</v>
          </cell>
          <cell r="F346">
            <v>9.6</v>
          </cell>
          <cell r="G346">
            <v>153.88030000000001</v>
          </cell>
          <cell r="H346">
            <v>35.7002296</v>
          </cell>
          <cell r="I346">
            <v>189.58052960000001</v>
          </cell>
        </row>
        <row r="347">
          <cell r="B347" t="str">
            <v>*090510</v>
          </cell>
          <cell r="C347" t="str">
            <v>PROTECCION RIEL CIMENTADO Y PINTADO(OBRA VENDIDA)</v>
          </cell>
          <cell r="D347" t="str">
            <v>UN</v>
          </cell>
          <cell r="E347">
            <v>3.1168999999999998</v>
          </cell>
          <cell r="F347">
            <v>9.6</v>
          </cell>
          <cell r="G347">
            <v>220.12120000000002</v>
          </cell>
          <cell r="H347">
            <v>51.068118400000003</v>
          </cell>
          <cell r="I347">
            <v>271.18931840000005</v>
          </cell>
        </row>
        <row r="348">
          <cell r="B348" t="str">
            <v>*090511</v>
          </cell>
          <cell r="C348" t="str">
            <v>TRASLADO DE PROTECCION RIEL CIMENTADO Y PINTADO(OBRA VENDIDA)</v>
          </cell>
          <cell r="D348" t="str">
            <v>UN</v>
          </cell>
          <cell r="E348">
            <v>2.2987000000000002</v>
          </cell>
          <cell r="F348">
            <v>9.6</v>
          </cell>
          <cell r="G348">
            <v>286.36599999999999</v>
          </cell>
          <cell r="H348">
            <v>66.436911999999992</v>
          </cell>
          <cell r="I348">
            <v>352.80291199999999</v>
          </cell>
        </row>
        <row r="349">
          <cell r="B349" t="str">
            <v>*090540</v>
          </cell>
          <cell r="C349" t="str">
            <v>RETEMPLAR RETENIDA MT Y BT</v>
          </cell>
          <cell r="D349" t="str">
            <v>UN</v>
          </cell>
          <cell r="E349">
            <v>21</v>
          </cell>
          <cell r="F349">
            <v>9.6</v>
          </cell>
          <cell r="G349">
            <v>23.582799999999999</v>
          </cell>
          <cell r="H349">
            <v>5.471209599999999</v>
          </cell>
          <cell r="I349">
            <v>29.054009599999997</v>
          </cell>
        </row>
        <row r="350">
          <cell r="B350" t="str">
            <v>*090541</v>
          </cell>
          <cell r="C350" t="str">
            <v>Corrección de ubicación de aislador en Retenida Violín en postes de acero 6,4 a 9 m - Masivo</v>
          </cell>
          <cell r="D350" t="str">
            <v>UN</v>
          </cell>
          <cell r="E350">
            <v>2.7682000000000002</v>
          </cell>
          <cell r="F350">
            <v>9.6</v>
          </cell>
          <cell r="G350">
            <v>179.4119</v>
          </cell>
          <cell r="H350">
            <v>41.6235608</v>
          </cell>
          <cell r="I350">
            <v>221.03546080000001</v>
          </cell>
        </row>
        <row r="351">
          <cell r="B351" t="str">
            <v>*090550</v>
          </cell>
          <cell r="C351" t="str">
            <v>RETEMPLAR CONDUCT.CU O AL HASTA 240mm2.</v>
          </cell>
          <cell r="D351" t="str">
            <v>M</v>
          </cell>
          <cell r="E351">
            <v>1181</v>
          </cell>
          <cell r="F351">
            <v>9.6</v>
          </cell>
          <cell r="G351">
            <v>0.998</v>
          </cell>
          <cell r="H351">
            <v>0.23153599999999999</v>
          </cell>
          <cell r="I351">
            <v>1.229536</v>
          </cell>
        </row>
        <row r="352">
          <cell r="B352" t="str">
            <v>*090591</v>
          </cell>
          <cell r="C352" t="str">
            <v>RETIRO DE CANALETA METALICA PROTECTORA PARA SUBIDA DE CABLES DE MT Y BT SIN ZOCALO</v>
          </cell>
          <cell r="D352" t="str">
            <v>UN</v>
          </cell>
          <cell r="E352">
            <v>15.142899999999999</v>
          </cell>
          <cell r="F352">
            <v>9.6</v>
          </cell>
          <cell r="G352">
            <v>32.7044</v>
          </cell>
          <cell r="H352">
            <v>7.5874207999999994</v>
          </cell>
          <cell r="I352">
            <v>40.291820799999996</v>
          </cell>
        </row>
        <row r="353">
          <cell r="B353" t="str">
            <v>*090592</v>
          </cell>
          <cell r="C353" t="str">
            <v>CANALETA METALICA PROTECTORA PARA SUBIDA DE CABLES DE MT Y BT SIN ZOCALO</v>
          </cell>
          <cell r="D353" t="str">
            <v>UN</v>
          </cell>
          <cell r="E353">
            <v>10.6</v>
          </cell>
          <cell r="F353">
            <v>9.6</v>
          </cell>
          <cell r="G353">
            <v>46.720799999999997</v>
          </cell>
          <cell r="H353">
            <v>10.839225599999999</v>
          </cell>
          <cell r="I353">
            <v>57.560025599999996</v>
          </cell>
        </row>
        <row r="354">
          <cell r="B354" t="str">
            <v>*090593</v>
          </cell>
          <cell r="C354" t="str">
            <v>TRASLADO DE CANALETA METALICA PROTECTORA PARA SUBIDA DE CABLES DE MT Y BT SIN ZOCALO</v>
          </cell>
          <cell r="D354" t="str">
            <v>UN</v>
          </cell>
          <cell r="E354">
            <v>8.1538000000000004</v>
          </cell>
          <cell r="F354">
            <v>9.6</v>
          </cell>
          <cell r="G354">
            <v>60.737200000000001</v>
          </cell>
          <cell r="H354">
            <v>14.091030399999999</v>
          </cell>
          <cell r="I354">
            <v>74.828230399999995</v>
          </cell>
        </row>
        <row r="355">
          <cell r="B355" t="str">
            <v>*090594</v>
          </cell>
          <cell r="C355" t="str">
            <v>CANALETA METALICA PROTECTORA PARA SUBIDA DE CABLES MT Y BT CON ZOCALO</v>
          </cell>
          <cell r="D355" t="str">
            <v>UN</v>
          </cell>
          <cell r="E355">
            <v>7.13</v>
          </cell>
          <cell r="F355">
            <v>9.6</v>
          </cell>
          <cell r="G355">
            <v>83.574799999999996</v>
          </cell>
          <cell r="H355">
            <v>19.389353599999996</v>
          </cell>
          <cell r="I355">
            <v>102.96415359999999</v>
          </cell>
        </row>
        <row r="356">
          <cell r="B356" t="str">
            <v>*090595</v>
          </cell>
          <cell r="C356" t="str">
            <v>RETIRO DE CANALETA METALICA PROTECTORA PARA SUBIDA DE CABLES MT Y BT CON ZOCALO</v>
          </cell>
          <cell r="D356" t="str">
            <v>UN</v>
          </cell>
          <cell r="E356">
            <v>11.198399999999999</v>
          </cell>
          <cell r="F356">
            <v>9.6</v>
          </cell>
          <cell r="G356">
            <v>58.340399999999995</v>
          </cell>
          <cell r="H356">
            <v>13.534972799999998</v>
          </cell>
          <cell r="I356">
            <v>71.875372799999994</v>
          </cell>
        </row>
        <row r="357">
          <cell r="B357" t="str">
            <v>*090600</v>
          </cell>
          <cell r="C357" t="str">
            <v>Enderezar poste de madera, fierro o C.A. Bt o Mt (c/vereda)</v>
          </cell>
          <cell r="D357" t="str">
            <v>UN</v>
          </cell>
          <cell r="E357">
            <v>7.9337</v>
          </cell>
          <cell r="F357">
            <v>9.6</v>
          </cell>
          <cell r="G357">
            <v>157.9983</v>
          </cell>
          <cell r="H357">
            <v>36.655605599999994</v>
          </cell>
          <cell r="I357">
            <v>194.6539056</v>
          </cell>
        </row>
        <row r="358">
          <cell r="B358" t="str">
            <v>*090601</v>
          </cell>
          <cell r="C358" t="str">
            <v>Enderezar Poste de madera, fierro o C.A. MT o BT (S/vereda)</v>
          </cell>
          <cell r="D358" t="str">
            <v>UN</v>
          </cell>
          <cell r="E358">
            <v>9.2315000000000005</v>
          </cell>
          <cell r="F358">
            <v>9.6</v>
          </cell>
          <cell r="G358">
            <v>135.78630000000001</v>
          </cell>
          <cell r="H358">
            <v>31.502421600000002</v>
          </cell>
          <cell r="I358">
            <v>167.2887216</v>
          </cell>
        </row>
        <row r="359">
          <cell r="B359" t="str">
            <v>*090620</v>
          </cell>
          <cell r="C359" t="str">
            <v>PERFORACIONES EN MADERA</v>
          </cell>
          <cell r="D359" t="str">
            <v>UN</v>
          </cell>
          <cell r="E359">
            <v>65</v>
          </cell>
          <cell r="F359">
            <v>9.6</v>
          </cell>
          <cell r="G359">
            <v>4.0646000000000004</v>
          </cell>
          <cell r="H359">
            <v>0.94298720000000003</v>
          </cell>
          <cell r="I359">
            <v>5.0075872000000006</v>
          </cell>
        </row>
        <row r="360">
          <cell r="B360" t="str">
            <v>*090630</v>
          </cell>
          <cell r="C360" t="str">
            <v>ARRASTRE DE POSTE DE CONCRETO  B.T.</v>
          </cell>
          <cell r="D360" t="str">
            <v>M</v>
          </cell>
          <cell r="E360">
            <v>292.5</v>
          </cell>
          <cell r="F360">
            <v>9.6</v>
          </cell>
          <cell r="G360">
            <v>7.3478999999999992</v>
          </cell>
          <cell r="H360">
            <v>1.7047127999999998</v>
          </cell>
          <cell r="I360">
            <v>9.0526127999999986</v>
          </cell>
        </row>
        <row r="361">
          <cell r="B361" t="str">
            <v>*090632</v>
          </cell>
          <cell r="C361" t="str">
            <v>ARRASTRE DE POSTE CAC HASTA 9M ZONA INACCES (PEND &gt;30° O GRADAS)</v>
          </cell>
          <cell r="D361" t="str">
            <v>M</v>
          </cell>
          <cell r="E361">
            <v>153.40520000000001</v>
          </cell>
          <cell r="F361">
            <v>9.6</v>
          </cell>
          <cell r="G361">
            <v>11.216799999999999</v>
          </cell>
          <cell r="H361">
            <v>2.6022975999999995</v>
          </cell>
          <cell r="I361">
            <v>13.819097599999999</v>
          </cell>
        </row>
        <row r="362">
          <cell r="B362" t="str">
            <v>*090633</v>
          </cell>
          <cell r="C362" t="str">
            <v>ACARREO DE MATERIALES PARA CIMENTACION DE POSTE BT EN ZONA DE DIFÍCIL ACCESO</v>
          </cell>
          <cell r="D362" t="str">
            <v>M</v>
          </cell>
          <cell r="E362">
            <v>2705.61</v>
          </cell>
          <cell r="F362">
            <v>9.6</v>
          </cell>
          <cell r="G362">
            <v>0.54710000000000003</v>
          </cell>
          <cell r="H362">
            <v>0.12692719999999999</v>
          </cell>
          <cell r="I362">
            <v>0.67402720000000005</v>
          </cell>
        </row>
        <row r="363">
          <cell r="B363" t="str">
            <v>*090634</v>
          </cell>
          <cell r="C363" t="str">
            <v>TRASLADO MANUAL DE POSTE DE Fe DE 7 M EN ZONA INACCESIBLE/PENDIENTE</v>
          </cell>
          <cell r="D363" t="str">
            <v>M</v>
          </cell>
          <cell r="E363">
            <v>3244.3</v>
          </cell>
          <cell r="F363">
            <v>9.6</v>
          </cell>
          <cell r="G363">
            <v>0.2873</v>
          </cell>
          <cell r="H363">
            <v>6.6653599999999993E-2</v>
          </cell>
          <cell r="I363">
            <v>0.35395359999999998</v>
          </cell>
        </row>
        <row r="364">
          <cell r="B364" t="str">
            <v>*090635</v>
          </cell>
          <cell r="C364" t="str">
            <v>TRASLADO MANUAL DE POSTE TUBULAR DE ACERO 6,4M EN ZONA INACCESIBLE/PENDIENTE</v>
          </cell>
          <cell r="D364" t="str">
            <v>M</v>
          </cell>
          <cell r="E364">
            <v>3392.49</v>
          </cell>
          <cell r="F364">
            <v>9.6</v>
          </cell>
          <cell r="G364">
            <v>0.22299999999999998</v>
          </cell>
          <cell r="H364">
            <v>5.173599999999999E-2</v>
          </cell>
          <cell r="I364">
            <v>0.27473599999999998</v>
          </cell>
        </row>
        <row r="365">
          <cell r="B365" t="str">
            <v>*090636</v>
          </cell>
          <cell r="C365" t="str">
            <v>TRASLADO DE POSTES DE CONCRETO A ZONA DE DISPOSICIÓN FINAL</v>
          </cell>
          <cell r="D365" t="str">
            <v>UN</v>
          </cell>
          <cell r="E365">
            <v>28.8</v>
          </cell>
          <cell r="F365">
            <v>9.6</v>
          </cell>
          <cell r="G365">
            <v>34.811199999999999</v>
          </cell>
          <cell r="H365">
            <v>8.0761983999999991</v>
          </cell>
          <cell r="I365">
            <v>42.887398399999995</v>
          </cell>
        </row>
        <row r="366">
          <cell r="B366" t="str">
            <v>*090637</v>
          </cell>
          <cell r="C366" t="str">
            <v>ACARREO DE MATERIALES AP PARA POSTES DE PRFV EN ZONA INACCESIBLE - PROYECTOS</v>
          </cell>
          <cell r="D366" t="str">
            <v>M</v>
          </cell>
          <cell r="E366">
            <v>7140</v>
          </cell>
          <cell r="F366">
            <v>9.6</v>
          </cell>
          <cell r="G366">
            <v>0.246</v>
          </cell>
          <cell r="H366">
            <v>5.7071999999999998E-2</v>
          </cell>
          <cell r="I366">
            <v>0.30307200000000001</v>
          </cell>
        </row>
        <row r="367">
          <cell r="B367" t="str">
            <v>*090640</v>
          </cell>
          <cell r="C367" t="str">
            <v>ARRASTRE DE POSTE DE CONCRETO MT</v>
          </cell>
          <cell r="D367" t="str">
            <v>M</v>
          </cell>
          <cell r="E367">
            <v>198.20519999999999</v>
          </cell>
          <cell r="F367">
            <v>9.6</v>
          </cell>
          <cell r="G367">
            <v>9.8828999999999994</v>
          </cell>
          <cell r="H367">
            <v>2.2928327999999998</v>
          </cell>
          <cell r="I367">
            <v>12.175732799999999</v>
          </cell>
        </row>
        <row r="368">
          <cell r="B368" t="str">
            <v>*090650</v>
          </cell>
          <cell r="C368" t="str">
            <v>ARRASTRE DE POSTE DE MADERA  B.T.</v>
          </cell>
          <cell r="D368" t="str">
            <v>M</v>
          </cell>
          <cell r="E368">
            <v>595.73149999999998</v>
          </cell>
          <cell r="F368">
            <v>9.6</v>
          </cell>
          <cell r="G368">
            <v>1.4053</v>
          </cell>
          <cell r="H368">
            <v>0.32602959999999997</v>
          </cell>
          <cell r="I368">
            <v>1.7313296</v>
          </cell>
        </row>
        <row r="369">
          <cell r="B369" t="str">
            <v>*090660</v>
          </cell>
          <cell r="C369" t="str">
            <v>ARRASTRE DE POSTE DE MADERA MT.</v>
          </cell>
          <cell r="D369" t="str"/>
          <cell r="E369">
            <v>688.5652</v>
          </cell>
          <cell r="F369">
            <v>9.6</v>
          </cell>
          <cell r="G369">
            <v>1.7647000000000002</v>
          </cell>
          <cell r="H369">
            <v>0.40941040000000001</v>
          </cell>
          <cell r="I369">
            <v>2.1741104</v>
          </cell>
        </row>
        <row r="370">
          <cell r="B370" t="str">
            <v>*090665</v>
          </cell>
          <cell r="C370" t="str">
            <v>Disposición final de postes de Concreto (Destrucción) menor a 15m</v>
          </cell>
          <cell r="D370" t="str">
            <v>UN</v>
          </cell>
          <cell r="E370">
            <v>9.6</v>
          </cell>
          <cell r="F370">
            <v>9.6</v>
          </cell>
          <cell r="G370">
            <v>26.785699999999999</v>
          </cell>
          <cell r="H370">
            <v>6.2142823999999992</v>
          </cell>
          <cell r="I370">
            <v>32.9999824</v>
          </cell>
        </row>
        <row r="371">
          <cell r="B371" t="str">
            <v>*090666</v>
          </cell>
          <cell r="C371" t="str">
            <v>Disposición final de postes de concreto (Destrucción) desde 15m</v>
          </cell>
          <cell r="D371" t="str">
            <v>UN</v>
          </cell>
          <cell r="E371">
            <v>9.6</v>
          </cell>
          <cell r="F371">
            <v>9.6</v>
          </cell>
          <cell r="G371">
            <v>44.642899999999997</v>
          </cell>
          <cell r="H371">
            <v>10.357152799999998</v>
          </cell>
          <cell r="I371">
            <v>55.000052799999992</v>
          </cell>
        </row>
        <row r="372">
          <cell r="B372" t="str">
            <v>*090667</v>
          </cell>
          <cell r="C372" t="str">
            <v>Disposición final de accesorios de postes de Concreto (Destrucción)</v>
          </cell>
          <cell r="D372" t="str">
            <v>UN</v>
          </cell>
          <cell r="E372">
            <v>9.6</v>
          </cell>
          <cell r="F372">
            <v>9.6</v>
          </cell>
          <cell r="G372">
            <v>8.9285999999999994</v>
          </cell>
          <cell r="H372">
            <v>2.0714351999999998</v>
          </cell>
          <cell r="I372">
            <v>11.000035199999999</v>
          </cell>
        </row>
        <row r="373">
          <cell r="B373" t="str">
            <v>*090690</v>
          </cell>
          <cell r="C373" t="str">
            <v>CAZA COMETAS</v>
          </cell>
          <cell r="D373" t="str">
            <v>UN</v>
          </cell>
          <cell r="E373">
            <v>1820</v>
          </cell>
          <cell r="F373">
            <v>9.6</v>
          </cell>
          <cell r="G373">
            <v>0.75029999999999997</v>
          </cell>
          <cell r="H373">
            <v>0.17406959999999999</v>
          </cell>
          <cell r="I373">
            <v>0.9243695999999999</v>
          </cell>
        </row>
        <row r="374">
          <cell r="B374" t="str">
            <v>*090710</v>
          </cell>
          <cell r="C374" t="str">
            <v>LIMPIEZA AISLADOR DE MT.(PIN O SUSPENSIÓN)</v>
          </cell>
          <cell r="D374" t="str">
            <v>UN</v>
          </cell>
          <cell r="E374">
            <v>126.8463</v>
          </cell>
          <cell r="F374">
            <v>9.6</v>
          </cell>
          <cell r="G374">
            <v>3.1939000000000002</v>
          </cell>
          <cell r="H374">
            <v>0.7409848</v>
          </cell>
          <cell r="I374">
            <v>3.9348848000000003</v>
          </cell>
        </row>
        <row r="375">
          <cell r="B375" t="str">
            <v>*090730</v>
          </cell>
          <cell r="C375" t="str">
            <v>ESPIGA DE FIERRO GALVANIZADO</v>
          </cell>
          <cell r="D375" t="str">
            <v>UN</v>
          </cell>
          <cell r="E375">
            <v>69.6511</v>
          </cell>
          <cell r="F375">
            <v>9.6</v>
          </cell>
          <cell r="G375">
            <v>6.1674999999999995</v>
          </cell>
          <cell r="H375">
            <v>1.4308599999999998</v>
          </cell>
          <cell r="I375">
            <v>7.5983599999999996</v>
          </cell>
        </row>
        <row r="376">
          <cell r="B376" t="str">
            <v>*090739</v>
          </cell>
          <cell r="C376" t="str">
            <v>RETIRO DE GRAPA DE TENSION COBRE Y ALUMINIO</v>
          </cell>
          <cell r="D376" t="str">
            <v>UN</v>
          </cell>
          <cell r="E376">
            <v>199.3339</v>
          </cell>
          <cell r="F376">
            <v>9.6</v>
          </cell>
          <cell r="G376">
            <v>2.4845000000000002</v>
          </cell>
          <cell r="H376">
            <v>0.57640400000000003</v>
          </cell>
          <cell r="I376">
            <v>3.0609040000000003</v>
          </cell>
        </row>
        <row r="377">
          <cell r="B377" t="str">
            <v>*090740</v>
          </cell>
          <cell r="C377" t="str">
            <v>GRAPA DE TENSION COBRE Y ALUMINIO</v>
          </cell>
          <cell r="D377" t="str">
            <v>UN</v>
          </cell>
          <cell r="E377">
            <v>139.5377</v>
          </cell>
          <cell r="F377">
            <v>9.6</v>
          </cell>
          <cell r="G377">
            <v>3.5491999999999999</v>
          </cell>
          <cell r="H377">
            <v>0.82341439999999988</v>
          </cell>
          <cell r="I377">
            <v>4.3726143999999998</v>
          </cell>
        </row>
        <row r="378">
          <cell r="B378" t="str">
            <v>*090741</v>
          </cell>
          <cell r="C378" t="str">
            <v>TRASLADO DE GRAPA DE TENSION COBRE Y ALUMINIO</v>
          </cell>
          <cell r="D378" t="str">
            <v>UN</v>
          </cell>
          <cell r="E378">
            <v>107.3365</v>
          </cell>
          <cell r="F378">
            <v>9.6</v>
          </cell>
          <cell r="G378">
            <v>4.6138999999999992</v>
          </cell>
          <cell r="H378">
            <v>1.0704247999999998</v>
          </cell>
          <cell r="I378">
            <v>5.6843247999999988</v>
          </cell>
        </row>
        <row r="379">
          <cell r="B379" t="str">
            <v>*090749</v>
          </cell>
          <cell r="C379" t="str">
            <v>RETIRO DE AISLADOR CARRETE BT</v>
          </cell>
          <cell r="D379" t="str">
            <v>UN</v>
          </cell>
          <cell r="E379">
            <v>110.764</v>
          </cell>
          <cell r="F379">
            <v>9.6</v>
          </cell>
          <cell r="G379">
            <v>2.7991999999999999</v>
          </cell>
          <cell r="H379">
            <v>0.64941439999999995</v>
          </cell>
          <cell r="I379">
            <v>3.4486143999999999</v>
          </cell>
        </row>
        <row r="380">
          <cell r="B380" t="str">
            <v>*090750</v>
          </cell>
          <cell r="C380" t="str">
            <v>AISLADOR CARRETE BT</v>
          </cell>
          <cell r="D380" t="str">
            <v>Un</v>
          </cell>
          <cell r="E380">
            <v>77.537000000000006</v>
          </cell>
          <cell r="F380">
            <v>9.6</v>
          </cell>
          <cell r="G380">
            <v>3.9988000000000001</v>
          </cell>
          <cell r="H380">
            <v>0.92772159999999992</v>
          </cell>
          <cell r="I380">
            <v>4.9265216000000001</v>
          </cell>
        </row>
        <row r="381">
          <cell r="B381" t="str">
            <v>*090751</v>
          </cell>
          <cell r="C381" t="str">
            <v>TRASLADO DE AISLADOR CARRETE BT</v>
          </cell>
          <cell r="D381" t="str">
            <v>UN</v>
          </cell>
          <cell r="E381">
            <v>59.643700000000003</v>
          </cell>
          <cell r="F381">
            <v>9.6</v>
          </cell>
          <cell r="G381">
            <v>5.1985999999999999</v>
          </cell>
          <cell r="H381">
            <v>1.2060751999999999</v>
          </cell>
          <cell r="I381">
            <v>6.4046751999999998</v>
          </cell>
        </row>
        <row r="382">
          <cell r="B382" t="str">
            <v>*090809</v>
          </cell>
          <cell r="C382" t="str">
            <v>RETIRO CONECTOR CUALQUIER TIPO HASTA 300 mm2 EN COBRE O ALUMINIO</v>
          </cell>
          <cell r="D382" t="str">
            <v>UN</v>
          </cell>
          <cell r="E382">
            <v>126.6964</v>
          </cell>
          <cell r="F382">
            <v>9.6</v>
          </cell>
          <cell r="G382">
            <v>3.2443999999999997</v>
          </cell>
          <cell r="H382">
            <v>0.75270079999999984</v>
          </cell>
          <cell r="I382">
            <v>3.9971007999999997</v>
          </cell>
        </row>
        <row r="383">
          <cell r="B383" t="str">
            <v>*090810</v>
          </cell>
          <cell r="C383" t="str">
            <v>CONECTOR CUALQUIER TIPO HASTA 300 mm2 EN COBRE O ALUMINIO</v>
          </cell>
          <cell r="D383" t="str">
            <v>UN</v>
          </cell>
          <cell r="E383">
            <v>88.69</v>
          </cell>
          <cell r="F383">
            <v>9.6</v>
          </cell>
          <cell r="G383">
            <v>4.3090999999999999</v>
          </cell>
          <cell r="H383">
            <v>0.99971119999999991</v>
          </cell>
          <cell r="I383">
            <v>5.3088112000000001</v>
          </cell>
        </row>
        <row r="384">
          <cell r="B384" t="str">
            <v>*090815</v>
          </cell>
          <cell r="C384" t="str">
            <v>Inspección y corrección de Conectores Piercing Masivo en zona accesible, por poste</v>
          </cell>
          <cell r="D384" t="str">
            <v>UN</v>
          </cell>
          <cell r="E384">
            <v>16.3034</v>
          </cell>
          <cell r="F384">
            <v>9.6</v>
          </cell>
          <cell r="G384">
            <v>30.462900000000001</v>
          </cell>
          <cell r="H384">
            <v>7.0673927999999995</v>
          </cell>
          <cell r="I384">
            <v>37.530292799999998</v>
          </cell>
        </row>
        <row r="385">
          <cell r="B385" t="str">
            <v>*090816</v>
          </cell>
          <cell r="C385" t="str">
            <v>Inspección y corrección de Conectores Piercing Masivo en zona de difícil acceso, por poste</v>
          </cell>
          <cell r="D385" t="str">
            <v>UN</v>
          </cell>
          <cell r="E385">
            <v>13.5403</v>
          </cell>
          <cell r="F385">
            <v>9.6</v>
          </cell>
          <cell r="G385">
            <v>36.679099999999998</v>
          </cell>
          <cell r="H385">
            <v>8.5095511999999989</v>
          </cell>
          <cell r="I385">
            <v>45.188651199999995</v>
          </cell>
        </row>
        <row r="386">
          <cell r="B386" t="str">
            <v>*090849</v>
          </cell>
          <cell r="C386" t="str">
            <v>RETIRO DE BLOQUE DE PROTECCION CONCRETO</v>
          </cell>
          <cell r="D386" t="str">
            <v>UN</v>
          </cell>
          <cell r="E386">
            <v>5.2649999999999997</v>
          </cell>
          <cell r="F386">
            <v>9.6</v>
          </cell>
          <cell r="G386">
            <v>140.74430000000001</v>
          </cell>
          <cell r="H386">
            <v>32.652677599999997</v>
          </cell>
          <cell r="I386">
            <v>173.39697760000001</v>
          </cell>
        </row>
        <row r="387">
          <cell r="B387" t="str">
            <v>*090850</v>
          </cell>
          <cell r="C387" t="str">
            <v>BLOQUE DE PROTECCION CONCRETO</v>
          </cell>
          <cell r="D387" t="str">
            <v>UN</v>
          </cell>
          <cell r="E387">
            <v>3.6855000000000002</v>
          </cell>
          <cell r="F387">
            <v>9.6</v>
          </cell>
          <cell r="G387">
            <v>201.0633</v>
          </cell>
          <cell r="H387">
            <v>46.646685599999998</v>
          </cell>
          <cell r="I387">
            <v>247.70998559999998</v>
          </cell>
        </row>
        <row r="388">
          <cell r="B388" t="str">
            <v>*090852</v>
          </cell>
          <cell r="C388" t="str">
            <v>INSTALACIÓN CIMENTADA DE BLOQUE PROTECTOR CON TUBO DE ACERO</v>
          </cell>
          <cell r="D388" t="str">
            <v>UN</v>
          </cell>
          <cell r="E388">
            <v>3.6855000000000002</v>
          </cell>
          <cell r="F388">
            <v>9.6</v>
          </cell>
          <cell r="G388">
            <v>206.34829999999999</v>
          </cell>
          <cell r="H388">
            <v>47.872805599999992</v>
          </cell>
          <cell r="I388">
            <v>254.22110559999999</v>
          </cell>
        </row>
        <row r="389">
          <cell r="B389" t="str">
            <v>*090879</v>
          </cell>
          <cell r="C389" t="str">
            <v>RETIRO DE PROTECCION BT PARA T/D TRIFASICO  FUSIBLES DE 1 O 2 SALIDAS</v>
          </cell>
          <cell r="D389" t="str">
            <v>PQ</v>
          </cell>
          <cell r="E389">
            <v>5.4606000000000003</v>
          </cell>
          <cell r="F389">
            <v>9.6</v>
          </cell>
          <cell r="G389">
            <v>132.3374</v>
          </cell>
          <cell r="H389">
            <v>30.7022768</v>
          </cell>
          <cell r="I389">
            <v>163.0396768</v>
          </cell>
        </row>
        <row r="390">
          <cell r="B390" t="str">
            <v>*090880</v>
          </cell>
          <cell r="C390" t="str">
            <v>PROTECCION BT PARA T/D TRIFASICO  FUSIBLES DE 1 O 2 SALIDAS</v>
          </cell>
          <cell r="D390" t="str">
            <v>PQ</v>
          </cell>
          <cell r="E390">
            <v>3.8224</v>
          </cell>
          <cell r="F390">
            <v>9.6</v>
          </cell>
          <cell r="G390">
            <v>189.05440000000002</v>
          </cell>
          <cell r="H390">
            <v>43.8606208</v>
          </cell>
          <cell r="I390">
            <v>232.91502080000001</v>
          </cell>
        </row>
        <row r="391">
          <cell r="B391" t="str">
            <v>*090909</v>
          </cell>
          <cell r="C391" t="str">
            <v>RETIRO SECCIONADOR FUSIBLE O TERMOMAGNÉTICO BT TRIPOLAR</v>
          </cell>
          <cell r="D391" t="str">
            <v>PQ</v>
          </cell>
          <cell r="E391">
            <v>16.785699999999999</v>
          </cell>
          <cell r="F391">
            <v>9.6</v>
          </cell>
          <cell r="G391">
            <v>45.263099999999994</v>
          </cell>
          <cell r="H391">
            <v>10.501039199999997</v>
          </cell>
          <cell r="I391">
            <v>55.764139199999988</v>
          </cell>
        </row>
        <row r="392">
          <cell r="B392" t="str">
            <v>*090910</v>
          </cell>
          <cell r="C392" t="str">
            <v>SECCIONADOR FUSIBLE O TERMOMAGNÉTICO BT TRIPOLAR</v>
          </cell>
          <cell r="D392" t="str">
            <v>PQ</v>
          </cell>
          <cell r="E392">
            <v>11.75</v>
          </cell>
          <cell r="F392">
            <v>9.6</v>
          </cell>
          <cell r="G392">
            <v>64.661599999999993</v>
          </cell>
          <cell r="H392">
            <v>15.001491199999997</v>
          </cell>
          <cell r="I392">
            <v>79.663091199999997</v>
          </cell>
        </row>
        <row r="393">
          <cell r="B393" t="str">
            <v>*090911</v>
          </cell>
          <cell r="C393" t="str">
            <v>TRASLADO DE SECCIONADOR FUSIBLE O TERMOMAGNÉTICO BT TRIPOLAR</v>
          </cell>
          <cell r="D393" t="str">
            <v>PQ</v>
          </cell>
          <cell r="E393">
            <v>9.0383999999999993</v>
          </cell>
          <cell r="F393">
            <v>9.6</v>
          </cell>
          <cell r="G393">
            <v>84.06049999999999</v>
          </cell>
          <cell r="H393">
            <v>19.502035999999997</v>
          </cell>
          <cell r="I393">
            <v>103.56253599999999</v>
          </cell>
        </row>
        <row r="394">
          <cell r="B394" t="str">
            <v>*090934</v>
          </cell>
          <cell r="C394" t="str">
            <v>RETIRO DE PARARRAYOS UNIPOLARES (3 UNIDADES)</v>
          </cell>
          <cell r="D394" t="str">
            <v>JG</v>
          </cell>
          <cell r="E394">
            <v>16.587900000000001</v>
          </cell>
          <cell r="F394">
            <v>9.6</v>
          </cell>
          <cell r="G394">
            <v>29.855500000000003</v>
          </cell>
          <cell r="H394">
            <v>6.9264760000000001</v>
          </cell>
          <cell r="I394">
            <v>36.781976</v>
          </cell>
        </row>
        <row r="395">
          <cell r="B395" t="str">
            <v>*090935</v>
          </cell>
          <cell r="C395" t="str">
            <v>INSTALACION DE PARARRAYOS UNIPOLARES (3 UNIDADES)</v>
          </cell>
          <cell r="D395" t="str">
            <v>JG</v>
          </cell>
          <cell r="E395">
            <v>11.611499999999999</v>
          </cell>
          <cell r="F395">
            <v>9.6</v>
          </cell>
          <cell r="G395">
            <v>42.650800000000004</v>
          </cell>
          <cell r="H395">
            <v>9.8949856</v>
          </cell>
          <cell r="I395">
            <v>52.545785600000002</v>
          </cell>
        </row>
        <row r="396">
          <cell r="B396" t="str">
            <v>*090939</v>
          </cell>
          <cell r="C396" t="str">
            <v>RETIRO DE CONEXIONADO DE MEDIA TENSIÓN PARA SE AÉREA</v>
          </cell>
          <cell r="D396" t="str">
            <v>PQ</v>
          </cell>
          <cell r="E396">
            <v>2.246</v>
          </cell>
          <cell r="F396">
            <v>9.6</v>
          </cell>
          <cell r="G396">
            <v>192.13300000000001</v>
          </cell>
          <cell r="H396">
            <v>44.574855999999997</v>
          </cell>
          <cell r="I396">
            <v>236.70785599999999</v>
          </cell>
        </row>
        <row r="397">
          <cell r="B397" t="str">
            <v>*090940</v>
          </cell>
          <cell r="C397" t="str">
            <v>CONEXIONADO DE MEDIA TENSIÓN PARA SE AÉREA</v>
          </cell>
          <cell r="D397" t="str"/>
          <cell r="E397">
            <v>1.5722</v>
          </cell>
          <cell r="F397">
            <v>9.6</v>
          </cell>
          <cell r="G397">
            <v>274.47559999999999</v>
          </cell>
          <cell r="H397">
            <v>63.678339199999989</v>
          </cell>
          <cell r="I397">
            <v>338.15393919999997</v>
          </cell>
        </row>
        <row r="398">
          <cell r="B398" t="str">
            <v>*090949</v>
          </cell>
          <cell r="C398" t="str">
            <v>RETIRO DE TRANSFORMADOR HASTA 75 KVA</v>
          </cell>
          <cell r="D398" t="str">
            <v>PQ</v>
          </cell>
          <cell r="E398">
            <v>6.8956999999999997</v>
          </cell>
          <cell r="F398">
            <v>9.6</v>
          </cell>
          <cell r="G398">
            <v>246.35269999999997</v>
          </cell>
          <cell r="H398">
            <v>57.153826399999993</v>
          </cell>
          <cell r="I398">
            <v>303.50652639999998</v>
          </cell>
        </row>
        <row r="399">
          <cell r="B399" t="str">
            <v>*090950</v>
          </cell>
          <cell r="C399" t="str">
            <v>FERRETERIA Y MONTAJE TRANSFORMADOR HASTA 75 KVA</v>
          </cell>
          <cell r="D399" t="str">
            <v>PQ</v>
          </cell>
          <cell r="E399">
            <v>4.827</v>
          </cell>
          <cell r="F399">
            <v>9.6</v>
          </cell>
          <cell r="G399">
            <v>351.93169999999998</v>
          </cell>
          <cell r="H399">
            <v>81.648154399999996</v>
          </cell>
          <cell r="I399">
            <v>433.57985439999999</v>
          </cell>
        </row>
        <row r="400">
          <cell r="B400" t="str">
            <v>*090959</v>
          </cell>
          <cell r="C400" t="str">
            <v>RETIRO DE TRANSFORMADOR  MAYOR DE 75 KVA HASTA 100 KVA</v>
          </cell>
          <cell r="D400" t="str">
            <v>PQ</v>
          </cell>
          <cell r="E400">
            <v>3.7353000000000001</v>
          </cell>
          <cell r="F400">
            <v>9.6</v>
          </cell>
          <cell r="G400">
            <v>376.45320000000004</v>
          </cell>
          <cell r="H400">
            <v>87.337142400000005</v>
          </cell>
          <cell r="I400">
            <v>463.79034240000004</v>
          </cell>
        </row>
        <row r="401">
          <cell r="B401" t="str">
            <v>*090960</v>
          </cell>
          <cell r="C401" t="str">
            <v>FERRETERIA Y MONTAJE TRANSFORMADOR  MAYOR DE 75 KVA HASTA 100 KVA</v>
          </cell>
          <cell r="D401" t="str">
            <v>PQ</v>
          </cell>
          <cell r="E401">
            <v>2.6147</v>
          </cell>
          <cell r="F401">
            <v>9.6</v>
          </cell>
          <cell r="G401">
            <v>537.79250000000002</v>
          </cell>
          <cell r="H401">
            <v>124.76786</v>
          </cell>
          <cell r="I401">
            <v>662.56036000000006</v>
          </cell>
        </row>
        <row r="402">
          <cell r="B402" t="str">
            <v>*090969</v>
          </cell>
          <cell r="C402" t="str">
            <v>RETIRO DE TRANSFORMADOR MAYOR DE 100 KVA HASTA 250 KVA</v>
          </cell>
          <cell r="D402" t="str">
            <v>PQ</v>
          </cell>
          <cell r="E402">
            <v>3.3769</v>
          </cell>
          <cell r="F402">
            <v>9.6</v>
          </cell>
          <cell r="G402">
            <v>464.03410000000002</v>
          </cell>
          <cell r="H402">
            <v>107.65591119999999</v>
          </cell>
          <cell r="I402">
            <v>571.69001120000007</v>
          </cell>
        </row>
        <row r="403">
          <cell r="B403" t="str">
            <v>*090970</v>
          </cell>
          <cell r="C403" t="str">
            <v>FERRETERIA Y MONTAJE TRANSFORMADOR MAYOR DE 100 KVA HASTA 250 KVA</v>
          </cell>
          <cell r="D403" t="str">
            <v>PQ</v>
          </cell>
          <cell r="E403">
            <v>2.3637999999999999</v>
          </cell>
          <cell r="F403">
            <v>9.6</v>
          </cell>
          <cell r="G403">
            <v>662.91449999999998</v>
          </cell>
          <cell r="H403">
            <v>153.79616399999998</v>
          </cell>
          <cell r="I403">
            <v>816.71066399999995</v>
          </cell>
        </row>
        <row r="404">
          <cell r="B404" t="str">
            <v>*090973</v>
          </cell>
          <cell r="C404" t="str">
            <v>RETIRO DE ANCLAJE CON DOS PUNTOS PARA TRANSFORMADOR DE DISTRIBUCION</v>
          </cell>
          <cell r="D404" t="str">
            <v>UN</v>
          </cell>
          <cell r="E404">
            <v>29.857299999999999</v>
          </cell>
          <cell r="F404">
            <v>9.6</v>
          </cell>
          <cell r="G404">
            <v>16.5869</v>
          </cell>
          <cell r="H404">
            <v>3.8481607999999996</v>
          </cell>
          <cell r="I404">
            <v>20.435060799999999</v>
          </cell>
        </row>
        <row r="405">
          <cell r="B405" t="str">
            <v>*090974</v>
          </cell>
          <cell r="C405" t="str">
            <v>ANCLAJE CON DOS PUNTOS PARA TRANSFORMADOR DE DISTRIBUCION</v>
          </cell>
          <cell r="D405" t="str">
            <v>UN</v>
          </cell>
          <cell r="E405">
            <v>20.900700000000001</v>
          </cell>
          <cell r="F405">
            <v>9.6</v>
          </cell>
          <cell r="G405">
            <v>23.694900000000001</v>
          </cell>
          <cell r="H405">
            <v>5.4972167999999995</v>
          </cell>
          <cell r="I405">
            <v>29.192116800000001</v>
          </cell>
        </row>
        <row r="406">
          <cell r="B406" t="str">
            <v>*090975</v>
          </cell>
          <cell r="C406" t="str">
            <v>TRASLADO DE ANCLAJE CON DOS PUNTOS PARA TRANSFORMADOR DE DISTRIBUCION</v>
          </cell>
          <cell r="D406" t="str">
            <v>UN</v>
          </cell>
          <cell r="E406">
            <v>16.077400000000001</v>
          </cell>
          <cell r="F406">
            <v>9.6</v>
          </cell>
          <cell r="G406">
            <v>30.8034</v>
          </cell>
          <cell r="H406">
            <v>7.1463887999999995</v>
          </cell>
          <cell r="I406">
            <v>37.9497888</v>
          </cell>
        </row>
        <row r="407">
          <cell r="B407" t="str">
            <v>*090994</v>
          </cell>
          <cell r="C407" t="str">
            <v>RETIRO DE EQUIPAMIENTO BT EN SCP CUALQUIER POTENCIA</v>
          </cell>
          <cell r="D407" t="str">
            <v>UN</v>
          </cell>
          <cell r="E407">
            <v>1.4286000000000001</v>
          </cell>
          <cell r="F407">
            <v>9.6</v>
          </cell>
          <cell r="G407">
            <v>342.46249999999998</v>
          </cell>
          <cell r="H407">
            <v>79.451299999999989</v>
          </cell>
          <cell r="I407">
            <v>421.91379999999998</v>
          </cell>
        </row>
        <row r="408">
          <cell r="B408" t="str">
            <v>*090995</v>
          </cell>
          <cell r="C408" t="str">
            <v>RETIRO DE AUTOTRANSFORMADOR DE BT HASTA 100 KVA, C/CAJA</v>
          </cell>
          <cell r="D408" t="str">
            <v>UN</v>
          </cell>
          <cell r="E408">
            <v>3.9056999999999999</v>
          </cell>
          <cell r="F408">
            <v>9.6</v>
          </cell>
          <cell r="G408">
            <v>288.11469999999997</v>
          </cell>
          <cell r="H408">
            <v>66.842610399999984</v>
          </cell>
          <cell r="I408">
            <v>354.95731039999998</v>
          </cell>
        </row>
        <row r="409">
          <cell r="B409" t="str">
            <v>*090996</v>
          </cell>
          <cell r="C409" t="str">
            <v>RETIRO DE CELDA MT C/SECCIONADOR INTERIOR EN  SUBESTACIÓN CONVENCIONAL</v>
          </cell>
          <cell r="D409" t="str">
            <v>UN</v>
          </cell>
          <cell r="E409">
            <v>2.7604000000000002</v>
          </cell>
          <cell r="F409">
            <v>9.6</v>
          </cell>
          <cell r="G409">
            <v>636.36689999999999</v>
          </cell>
          <cell r="H409">
            <v>147.63712079999999</v>
          </cell>
          <cell r="I409">
            <v>784.00402080000003</v>
          </cell>
        </row>
        <row r="410">
          <cell r="B410" t="str">
            <v>*090997</v>
          </cell>
          <cell r="C410" t="str">
            <v>RETIRO DE CABLEADO SIST. MEDICION AP O TOTALIZADOR DESDE TAB.DISTRIB.AEREO</v>
          </cell>
          <cell r="D410" t="str">
            <v>UN</v>
          </cell>
          <cell r="E410">
            <v>39.693399999999997</v>
          </cell>
          <cell r="F410">
            <v>9.6</v>
          </cell>
          <cell r="G410">
            <v>10.2065</v>
          </cell>
          <cell r="H410">
            <v>2.3679079999999999</v>
          </cell>
          <cell r="I410">
            <v>12.574408</v>
          </cell>
        </row>
        <row r="411">
          <cell r="B411" t="str">
            <v>*090998</v>
          </cell>
          <cell r="C411" t="str">
            <v>RETIRO DE EQUIPAMIENTO PARA TABLERO AÉREO</v>
          </cell>
          <cell r="D411" t="str">
            <v>UN</v>
          </cell>
          <cell r="E411">
            <v>3.4453999999999998</v>
          </cell>
          <cell r="F411">
            <v>9.6</v>
          </cell>
          <cell r="G411">
            <v>211.45930000000001</v>
          </cell>
          <cell r="H411">
            <v>49.0585576</v>
          </cell>
          <cell r="I411">
            <v>260.51785760000001</v>
          </cell>
        </row>
        <row r="412">
          <cell r="B412" t="str">
            <v>*090999</v>
          </cell>
          <cell r="C412" t="str">
            <v>RETIRO DE BASE DE CONCRETO PARA TABLERO TAM3, TAM4 (NO INCLUYE BASE)</v>
          </cell>
          <cell r="D412" t="str">
            <v>UN</v>
          </cell>
          <cell r="E412">
            <v>12.760300000000001</v>
          </cell>
          <cell r="F412">
            <v>9.6</v>
          </cell>
          <cell r="G412">
            <v>129.98560000000001</v>
          </cell>
          <cell r="H412">
            <v>30.1566592</v>
          </cell>
          <cell r="I412">
            <v>160.14225920000001</v>
          </cell>
        </row>
        <row r="413">
          <cell r="B413" t="str">
            <v>*091001</v>
          </cell>
          <cell r="C413" t="str">
            <v>Cambio de transformador hasta 75 KVA</v>
          </cell>
          <cell r="D413" t="str">
            <v>UN</v>
          </cell>
          <cell r="E413">
            <v>1.3</v>
          </cell>
          <cell r="F413">
            <v>9.6</v>
          </cell>
          <cell r="G413">
            <v>1192.4126000000001</v>
          </cell>
          <cell r="H413">
            <v>276.63972319999999</v>
          </cell>
          <cell r="I413">
            <v>1469.0523232</v>
          </cell>
        </row>
        <row r="414">
          <cell r="B414" t="str">
            <v>*091002</v>
          </cell>
          <cell r="C414" t="str">
            <v>Cambio de transformador mayor a 75 KVA hasta 100KVA</v>
          </cell>
          <cell r="D414" t="str">
            <v>UN</v>
          </cell>
          <cell r="E414">
            <v>1.24</v>
          </cell>
          <cell r="F414">
            <v>9.6</v>
          </cell>
          <cell r="G414">
            <v>1341.9308999999998</v>
          </cell>
          <cell r="H414">
            <v>311.32796879999995</v>
          </cell>
          <cell r="I414">
            <v>1653.2588687999998</v>
          </cell>
        </row>
        <row r="415">
          <cell r="B415" t="str">
            <v>*091003</v>
          </cell>
          <cell r="C415" t="str">
            <v>RETIRO DE TRANSFORMADOR HASTA 75 KVA SE CUALQUIER TIPO</v>
          </cell>
          <cell r="D415" t="str">
            <v>UN</v>
          </cell>
          <cell r="E415">
            <v>10.3446</v>
          </cell>
          <cell r="F415">
            <v>9.6</v>
          </cell>
          <cell r="G415">
            <v>164.21850000000001</v>
          </cell>
          <cell r="H415">
            <v>38.098692</v>
          </cell>
          <cell r="I415">
            <v>202.31719200000001</v>
          </cell>
        </row>
        <row r="416">
          <cell r="B416" t="str">
            <v>*091004</v>
          </cell>
          <cell r="C416" t="str">
            <v>RETIRO DE FERRETERIA Y TRANSFORMADOR MAYOR DE 250 KVA HASTA 630 KVA</v>
          </cell>
          <cell r="D416" t="str">
            <v>PQ</v>
          </cell>
          <cell r="E416">
            <v>2.7846000000000002</v>
          </cell>
          <cell r="F416">
            <v>9.6</v>
          </cell>
          <cell r="G416">
            <v>534.40060000000005</v>
          </cell>
          <cell r="H416">
            <v>123.98093920000001</v>
          </cell>
          <cell r="I416">
            <v>658.38153920000002</v>
          </cell>
        </row>
        <row r="417">
          <cell r="B417" t="str">
            <v>*091005</v>
          </cell>
          <cell r="C417" t="str">
            <v>FERRETERIA Y MONTAJE TRANSFORMADOR MAYOR DE 250 KVA HASTA 630 KVA</v>
          </cell>
          <cell r="D417" t="str">
            <v>PQ</v>
          </cell>
          <cell r="E417">
            <v>1.9492</v>
          </cell>
          <cell r="F417">
            <v>9.6</v>
          </cell>
          <cell r="G417">
            <v>763.43740000000003</v>
          </cell>
          <cell r="H417">
            <v>177.11747679999999</v>
          </cell>
          <cell r="I417">
            <v>940.55487679999999</v>
          </cell>
        </row>
        <row r="418">
          <cell r="B418" t="str">
            <v>*091006</v>
          </cell>
          <cell r="C418" t="str">
            <v>RETIRO DE TRANSFORMADOR  MAYOR DE 75 KVA HASTA 100 KVA SE CUALQUIER TIPO</v>
          </cell>
          <cell r="D418" t="str">
            <v>UN</v>
          </cell>
          <cell r="E418">
            <v>6.8967000000000001</v>
          </cell>
          <cell r="F418">
            <v>9.6</v>
          </cell>
          <cell r="G418">
            <v>246.31709999999998</v>
          </cell>
          <cell r="H418">
            <v>57.145567199999995</v>
          </cell>
          <cell r="I418">
            <v>303.4626672</v>
          </cell>
        </row>
        <row r="419">
          <cell r="B419" t="str">
            <v>*091007</v>
          </cell>
          <cell r="C419" t="str">
            <v>MONTAJE AUTOTRANSFORMADOR DE BT HASTA 100 KVA, C/CAJA</v>
          </cell>
          <cell r="D419" t="str">
            <v>UN</v>
          </cell>
          <cell r="E419">
            <v>2.734</v>
          </cell>
          <cell r="F419">
            <v>9.6</v>
          </cell>
          <cell r="G419">
            <v>411.59109999999998</v>
          </cell>
          <cell r="H419">
            <v>95.489135199999993</v>
          </cell>
          <cell r="I419">
            <v>507.08023519999995</v>
          </cell>
        </row>
        <row r="420">
          <cell r="B420" t="str">
            <v>*091008</v>
          </cell>
          <cell r="C420" t="str">
            <v>RETIRO DE TRANSFORMADOR MAYOR DE 250 KVA HASTA 630 KVA SE CUALQUIER TIPO</v>
          </cell>
          <cell r="D420" t="str">
            <v>UN</v>
          </cell>
          <cell r="E420">
            <v>3.9579</v>
          </cell>
          <cell r="F420">
            <v>9.6</v>
          </cell>
          <cell r="G420">
            <v>410.58429999999998</v>
          </cell>
          <cell r="H420">
            <v>95.255557599999989</v>
          </cell>
          <cell r="I420">
            <v>505.83985759999996</v>
          </cell>
        </row>
        <row r="421">
          <cell r="B421" t="str">
            <v>*091009</v>
          </cell>
          <cell r="C421" t="str">
            <v>RETIRO DE TRANSFORMADOR MAYOR DE 100 KVA HASTA 250 KVA SE CUALQUIER TIPO</v>
          </cell>
          <cell r="D421" t="str">
            <v>UN</v>
          </cell>
          <cell r="E421">
            <v>4.6170999999999998</v>
          </cell>
          <cell r="F421">
            <v>9.6</v>
          </cell>
          <cell r="G421">
            <v>351.96370000000002</v>
          </cell>
          <cell r="H421">
            <v>81.655578399999996</v>
          </cell>
          <cell r="I421">
            <v>433.61927839999998</v>
          </cell>
        </row>
        <row r="422">
          <cell r="B422" t="str">
            <v>*091011</v>
          </cell>
          <cell r="C422" t="str">
            <v>MONTAJE TRANSFORMADOR HASTA 75 KVA SE CUALQUIER TIPO</v>
          </cell>
          <cell r="D422" t="str">
            <v>UN</v>
          </cell>
          <cell r="E422">
            <v>7.2412000000000001</v>
          </cell>
          <cell r="F422">
            <v>9.6</v>
          </cell>
          <cell r="G422">
            <v>234.5985</v>
          </cell>
          <cell r="H422">
            <v>54.426851999999997</v>
          </cell>
          <cell r="I422">
            <v>289.025352</v>
          </cell>
        </row>
        <row r="423">
          <cell r="B423" t="str">
            <v>*091012</v>
          </cell>
          <cell r="C423" t="str">
            <v>MONTAJE TRANSFORMADOR  MAYOR DE 75 KVA HASTA 100 KVA SE CUALQUIER TIPO</v>
          </cell>
          <cell r="D423" t="str">
            <v>UN</v>
          </cell>
          <cell r="E423">
            <v>4.8277000000000001</v>
          </cell>
          <cell r="F423">
            <v>9.6</v>
          </cell>
          <cell r="G423">
            <v>351.88059999999996</v>
          </cell>
          <cell r="H423">
            <v>81.636299199999982</v>
          </cell>
          <cell r="I423">
            <v>433.51689919999995</v>
          </cell>
        </row>
        <row r="424">
          <cell r="B424" t="str">
            <v>*091013</v>
          </cell>
          <cell r="C424" t="str">
            <v>MONTAJE TRANSFORMADOR MAYOR DE 100 KVA HASTA 250 KVA SE CUALQUIER TIPO</v>
          </cell>
          <cell r="D424" t="str">
            <v>UN</v>
          </cell>
          <cell r="E424">
            <v>3.2320000000000002</v>
          </cell>
          <cell r="F424">
            <v>9.6</v>
          </cell>
          <cell r="G424">
            <v>502.80060000000003</v>
          </cell>
          <cell r="H424">
            <v>116.6497392</v>
          </cell>
          <cell r="I424">
            <v>619.45033920000003</v>
          </cell>
        </row>
        <row r="425">
          <cell r="B425" t="str">
            <v>*091014</v>
          </cell>
          <cell r="C425" t="str">
            <v>MONTAJE TRANSFORMADOR MAYOR DE 250 KVA HASTA 630 KVA SE CUALQUIER TIPO</v>
          </cell>
          <cell r="D425" t="str">
            <v>UN</v>
          </cell>
          <cell r="E425">
            <v>2.7705000000000002</v>
          </cell>
          <cell r="F425">
            <v>9.6</v>
          </cell>
          <cell r="G425">
            <v>586.55529999999999</v>
          </cell>
          <cell r="H425">
            <v>136.08082959999999</v>
          </cell>
          <cell r="I425">
            <v>722.6361296</v>
          </cell>
        </row>
        <row r="426">
          <cell r="B426" t="str">
            <v>*091029</v>
          </cell>
          <cell r="C426" t="str">
            <v>Equipamiento BT en Subestación Compacta Pedestal (SCP) cualquier potencia</v>
          </cell>
          <cell r="D426" t="str">
            <v>UN</v>
          </cell>
          <cell r="E426">
            <v>1</v>
          </cell>
          <cell r="F426">
            <v>9.6</v>
          </cell>
          <cell r="G426">
            <v>489.24200000000002</v>
          </cell>
          <cell r="H426">
            <v>113.504144</v>
          </cell>
          <cell r="I426">
            <v>602.74614399999996</v>
          </cell>
        </row>
        <row r="427">
          <cell r="B427" t="str">
            <v>*091030</v>
          </cell>
          <cell r="C427" t="str">
            <v>PLACA PARA IDENTIFICAR EQUIPOS</v>
          </cell>
          <cell r="D427" t="str">
            <v>Un</v>
          </cell>
          <cell r="E427">
            <v>40.740600000000001</v>
          </cell>
          <cell r="F427">
            <v>9.6</v>
          </cell>
          <cell r="G427">
            <v>8.4258000000000006</v>
          </cell>
          <cell r="H427">
            <v>1.9547855999999999</v>
          </cell>
          <cell r="I427">
            <v>10.3805856</v>
          </cell>
        </row>
        <row r="428">
          <cell r="B428" t="str">
            <v>*091032</v>
          </cell>
          <cell r="C428" t="str">
            <v>CELDA MT C/SECCIONADOR INTERIOR EN  SUBESTACIÓN CONVENCIONAL</v>
          </cell>
          <cell r="D428" t="str">
            <v>UN</v>
          </cell>
          <cell r="E428">
            <v>1.9322999999999999</v>
          </cell>
          <cell r="F428">
            <v>9.6</v>
          </cell>
          <cell r="G428">
            <v>909.08619999999996</v>
          </cell>
          <cell r="H428">
            <v>210.90799839999997</v>
          </cell>
          <cell r="I428">
            <v>1119.9941984</v>
          </cell>
        </row>
        <row r="429">
          <cell r="B429" t="str">
            <v>*091033</v>
          </cell>
          <cell r="C429" t="str">
            <v>ESTRUCTURA DE PROTECCIÓN INTERIOR EN  SUB. CONV. OBRA VENDIDA</v>
          </cell>
          <cell r="D429" t="str">
            <v>Un</v>
          </cell>
          <cell r="E429">
            <v>2.8731</v>
          </cell>
          <cell r="F429">
            <v>9.6</v>
          </cell>
          <cell r="G429">
            <v>308.24</v>
          </cell>
          <cell r="H429">
            <v>71.511679999999998</v>
          </cell>
          <cell r="I429">
            <v>379.75168000000002</v>
          </cell>
        </row>
        <row r="430">
          <cell r="B430" t="str">
            <v>*091034</v>
          </cell>
          <cell r="C430" t="str">
            <v>RETIRO CAJA Y TABLERO DISTRIBUCION SAB, SCB / SCP</v>
          </cell>
          <cell r="D430" t="str">
            <v>UN</v>
          </cell>
          <cell r="E430">
            <v>2.9014000000000002</v>
          </cell>
          <cell r="F430">
            <v>9.6</v>
          </cell>
          <cell r="G430">
            <v>340.1071</v>
          </cell>
          <cell r="H430">
            <v>78.904847199999992</v>
          </cell>
          <cell r="I430">
            <v>419.01194720000001</v>
          </cell>
        </row>
        <row r="431">
          <cell r="B431" t="str">
            <v>*091035</v>
          </cell>
          <cell r="C431" t="str">
            <v>INST.CAJA Y TABLERO DISTRIBUCION SAB, SCB / SCP</v>
          </cell>
          <cell r="D431" t="str">
            <v>UN</v>
          </cell>
          <cell r="E431">
            <v>2.0310000000000001</v>
          </cell>
          <cell r="F431">
            <v>9.6</v>
          </cell>
          <cell r="G431">
            <v>485.86249999999995</v>
          </cell>
          <cell r="H431">
            <v>112.72009999999999</v>
          </cell>
          <cell r="I431">
            <v>598.58259999999996</v>
          </cell>
        </row>
        <row r="432">
          <cell r="B432" t="str">
            <v>*091036</v>
          </cell>
          <cell r="C432" t="str">
            <v>RETIRO DE EQ. MEDIDA MT COMPLETO EN CONV. Y PMI</v>
          </cell>
          <cell r="D432" t="str">
            <v>PQ</v>
          </cell>
          <cell r="E432">
            <v>3.4636</v>
          </cell>
          <cell r="F432">
            <v>9.6</v>
          </cell>
          <cell r="G432">
            <v>370.45259999999996</v>
          </cell>
          <cell r="H432">
            <v>85.945003199999988</v>
          </cell>
          <cell r="I432">
            <v>456.39760319999993</v>
          </cell>
        </row>
        <row r="433">
          <cell r="B433" t="str">
            <v>*091037</v>
          </cell>
          <cell r="C433" t="str">
            <v>CONSTRUCCION DE BASE PARA TABLERO SCB / SCP</v>
          </cell>
          <cell r="D433" t="str">
            <v>Un</v>
          </cell>
          <cell r="E433">
            <v>3.6640000000000001</v>
          </cell>
          <cell r="F433">
            <v>9.6</v>
          </cell>
          <cell r="G433">
            <v>228.87040000000002</v>
          </cell>
          <cell r="H433">
            <v>53.097932800000002</v>
          </cell>
          <cell r="I433">
            <v>281.96833280000004</v>
          </cell>
        </row>
        <row r="434">
          <cell r="B434" t="str">
            <v>*091038</v>
          </cell>
          <cell r="C434" t="str">
            <v>INSTALACIÓN DE BASE DE CONCRETO PARA TABLERO TAM3, TAM4 (NO INCLUYE BASE)</v>
          </cell>
          <cell r="D434" t="str">
            <v>UN</v>
          </cell>
          <cell r="E434">
            <v>8.4681999999999995</v>
          </cell>
          <cell r="F434">
            <v>9.6</v>
          </cell>
          <cell r="G434">
            <v>185.82560000000001</v>
          </cell>
          <cell r="H434">
            <v>43.111539199999996</v>
          </cell>
          <cell r="I434">
            <v>228.93713919999999</v>
          </cell>
        </row>
        <row r="435">
          <cell r="B435" t="str">
            <v>*091039</v>
          </cell>
          <cell r="C435" t="str">
            <v>INSTALACION Y MONTAJE DE TRAFOMIX (SOLO EN PMI) PARA MANTENIMIENTO</v>
          </cell>
          <cell r="D435" t="str">
            <v>PQ</v>
          </cell>
          <cell r="E435">
            <v>1</v>
          </cell>
          <cell r="F435">
            <v>9.6</v>
          </cell>
          <cell r="G435">
            <v>2034.6835000000001</v>
          </cell>
          <cell r="H435">
            <v>472.04657199999997</v>
          </cell>
          <cell r="I435">
            <v>2506.7300720000003</v>
          </cell>
        </row>
        <row r="436">
          <cell r="B436" t="str">
            <v>*091040</v>
          </cell>
          <cell r="C436" t="str">
            <v>MONTAJE FERRETERIA EQ. MEDIDA MT COMPLETO EN CONV. Y PMI</v>
          </cell>
          <cell r="D436" t="str">
            <v>PQ</v>
          </cell>
          <cell r="E436">
            <v>2.4245000000000001</v>
          </cell>
          <cell r="F436">
            <v>9.6</v>
          </cell>
          <cell r="G436">
            <v>529.22239999999999</v>
          </cell>
          <cell r="H436">
            <v>122.77959679999999</v>
          </cell>
          <cell r="I436">
            <v>652.00199680000003</v>
          </cell>
        </row>
        <row r="437">
          <cell r="B437" t="str">
            <v>*091041</v>
          </cell>
          <cell r="C437" t="str">
            <v>Reemplazo de Fotocélula por contacto de medidor EMH para el control del AP</v>
          </cell>
          <cell r="D437" t="str">
            <v>UN</v>
          </cell>
          <cell r="E437">
            <v>9</v>
          </cell>
          <cell r="F437">
            <v>9.6</v>
          </cell>
          <cell r="G437">
            <v>73.799199999999999</v>
          </cell>
          <cell r="H437">
            <v>17.121414399999999</v>
          </cell>
          <cell r="I437">
            <v>90.920614400000005</v>
          </cell>
        </row>
        <row r="438">
          <cell r="B438" t="str">
            <v>*091042</v>
          </cell>
          <cell r="C438" t="str">
            <v>Conexión de medidor PMI a caja bornera</v>
          </cell>
          <cell r="D438" t="str">
            <v>UN</v>
          </cell>
          <cell r="E438">
            <v>5</v>
          </cell>
          <cell r="F438">
            <v>9.6</v>
          </cell>
          <cell r="G438">
            <v>143.1558</v>
          </cell>
          <cell r="H438">
            <v>33.212145599999999</v>
          </cell>
          <cell r="I438">
            <v>176.36794559999998</v>
          </cell>
        </row>
        <row r="439">
          <cell r="B439" t="str">
            <v>*091043</v>
          </cell>
          <cell r="C439" t="str">
            <v>CABLEADO SIST. MEDICION AP O TOTALIZADOR DESDE TAB.DISTRIB.AEREO</v>
          </cell>
          <cell r="D439" t="str">
            <v>UN</v>
          </cell>
          <cell r="E439">
            <v>27.786200000000001</v>
          </cell>
          <cell r="F439">
            <v>9.6</v>
          </cell>
          <cell r="G439">
            <v>14.5802</v>
          </cell>
          <cell r="H439">
            <v>3.3826063999999998</v>
          </cell>
          <cell r="I439">
            <v>17.962806399999998</v>
          </cell>
        </row>
        <row r="440">
          <cell r="B440" t="str">
            <v>*091044</v>
          </cell>
          <cell r="C440" t="str">
            <v>REEMPLAZO DE MEDIDORES TOTALIZADORES</v>
          </cell>
          <cell r="D440" t="str">
            <v>UN</v>
          </cell>
          <cell r="E440">
            <v>7.6957000000000004</v>
          </cell>
          <cell r="F440">
            <v>9.6</v>
          </cell>
          <cell r="G440">
            <v>86.307000000000002</v>
          </cell>
          <cell r="H440">
            <v>20.023223999999999</v>
          </cell>
          <cell r="I440">
            <v>106.330224</v>
          </cell>
        </row>
        <row r="441">
          <cell r="B441" t="str">
            <v>*091045</v>
          </cell>
          <cell r="C441" t="str">
            <v>EQUIPAMIENTO PARA TABLERO AÉREO</v>
          </cell>
          <cell r="D441" t="str">
            <v>UN</v>
          </cell>
          <cell r="E441">
            <v>2.3536000000000001</v>
          </cell>
          <cell r="F441">
            <v>9.6</v>
          </cell>
          <cell r="G441">
            <v>302.2758</v>
          </cell>
          <cell r="H441">
            <v>70.127985600000002</v>
          </cell>
          <cell r="I441">
            <v>372.40378559999999</v>
          </cell>
        </row>
        <row r="442">
          <cell r="B442" t="str">
            <v>*091046</v>
          </cell>
          <cell r="C442" t="str">
            <v>REEMPLAZO DE MEDIDORES TOTALIZADORES + Reemplazo de Fotocélula por contacto de medidor EMH AP</v>
          </cell>
          <cell r="D442" t="str">
            <v>UN</v>
          </cell>
          <cell r="E442">
            <v>6.1047000000000002</v>
          </cell>
          <cell r="F442">
            <v>9.6</v>
          </cell>
          <cell r="G442">
            <v>108.8001</v>
          </cell>
          <cell r="H442">
            <v>25.241623199999999</v>
          </cell>
          <cell r="I442">
            <v>134.04172320000001</v>
          </cell>
        </row>
        <row r="443">
          <cell r="B443" t="str">
            <v>*091047</v>
          </cell>
          <cell r="C443" t="str">
            <v>COLOCACION PARA TABLERO AÉREO EN POSTE</v>
          </cell>
          <cell r="D443" t="str">
            <v>UN</v>
          </cell>
          <cell r="E443">
            <v>11.757</v>
          </cell>
          <cell r="F443">
            <v>9.6</v>
          </cell>
          <cell r="G443">
            <v>60.414599999999993</v>
          </cell>
          <cell r="H443">
            <v>14.016187199999997</v>
          </cell>
          <cell r="I443">
            <v>74.430787199999997</v>
          </cell>
        </row>
        <row r="444">
          <cell r="B444" t="str">
            <v>*091048</v>
          </cell>
          <cell r="C444" t="str">
            <v>RETIRO DE TABLERO AÉREO EN POSTE</v>
          </cell>
          <cell r="D444" t="str">
            <v>UN</v>
          </cell>
          <cell r="E444">
            <v>16.7957</v>
          </cell>
          <cell r="F444">
            <v>9.6</v>
          </cell>
          <cell r="G444">
            <v>42.290300000000002</v>
          </cell>
          <cell r="H444">
            <v>9.8113495999999998</v>
          </cell>
          <cell r="I444">
            <v>52.101649600000002</v>
          </cell>
        </row>
        <row r="445">
          <cell r="B445" t="str">
            <v>*091049</v>
          </cell>
          <cell r="C445" t="str">
            <v>RETIRO INTERRUPTOR SE.CONVENCIONAL</v>
          </cell>
          <cell r="D445" t="str">
            <v>PQ</v>
          </cell>
          <cell r="E445">
            <v>1.7568999999999999</v>
          </cell>
          <cell r="F445">
            <v>9.6</v>
          </cell>
          <cell r="G445">
            <v>524.72719999999993</v>
          </cell>
          <cell r="H445">
            <v>121.73671039999998</v>
          </cell>
          <cell r="I445">
            <v>646.46391039999992</v>
          </cell>
        </row>
        <row r="446">
          <cell r="B446" t="str">
            <v>*091050</v>
          </cell>
          <cell r="C446" t="str">
            <v>MONTAJE INTERRUPTOR SE.CONVENCIONAL</v>
          </cell>
          <cell r="D446" t="str">
            <v>PQ</v>
          </cell>
          <cell r="E446">
            <v>1.2298</v>
          </cell>
          <cell r="F446">
            <v>9.6</v>
          </cell>
          <cell r="G446">
            <v>773.1096</v>
          </cell>
          <cell r="H446">
            <v>179.36142719999998</v>
          </cell>
          <cell r="I446">
            <v>952.47102719999998</v>
          </cell>
        </row>
        <row r="447">
          <cell r="B447" t="str">
            <v>*091059</v>
          </cell>
          <cell r="C447" t="str">
            <v>RETIRO DE SECCIONADORES SE.CONVENCIONAL</v>
          </cell>
          <cell r="D447" t="str">
            <v>PQ</v>
          </cell>
          <cell r="E447">
            <v>2.9527000000000001</v>
          </cell>
          <cell r="F447">
            <v>9.6</v>
          </cell>
          <cell r="G447">
            <v>382.78989999999999</v>
          </cell>
          <cell r="H447">
            <v>88.80725679999999</v>
          </cell>
          <cell r="I447">
            <v>471.59715679999999</v>
          </cell>
        </row>
        <row r="448">
          <cell r="B448" t="str">
            <v>*091060</v>
          </cell>
          <cell r="C448" t="str">
            <v>MONTAJE SECCIONADORES SE.CONVENCIONAL</v>
          </cell>
          <cell r="D448" t="str">
            <v>PQ</v>
          </cell>
          <cell r="E448">
            <v>2.0669</v>
          </cell>
          <cell r="F448">
            <v>9.6</v>
          </cell>
          <cell r="G448">
            <v>546.84010000000001</v>
          </cell>
          <cell r="H448">
            <v>126.8669032</v>
          </cell>
          <cell r="I448">
            <v>673.70700320000003</v>
          </cell>
        </row>
        <row r="449">
          <cell r="B449" t="str">
            <v>*091084</v>
          </cell>
          <cell r="C449" t="str">
            <v>RETIRO BASE FUSIBLE SECCIONADOR UNIPOLAR</v>
          </cell>
          <cell r="D449" t="str">
            <v>UN</v>
          </cell>
          <cell r="E449">
            <v>50.355699999999999</v>
          </cell>
          <cell r="F449">
            <v>9.6</v>
          </cell>
          <cell r="G449">
            <v>14.105499999999999</v>
          </cell>
          <cell r="H449">
            <v>3.2724759999999997</v>
          </cell>
          <cell r="I449">
            <v>17.377976</v>
          </cell>
        </row>
        <row r="450">
          <cell r="B450" t="str">
            <v>*091085</v>
          </cell>
          <cell r="C450" t="str">
            <v>BASE FUSIBLE SECCIONADOR UNIPOLAR</v>
          </cell>
          <cell r="D450" t="str">
            <v>UN</v>
          </cell>
          <cell r="E450">
            <v>35.25</v>
          </cell>
          <cell r="F450">
            <v>9.6</v>
          </cell>
          <cell r="G450">
            <v>20.150300000000001</v>
          </cell>
          <cell r="H450">
            <v>4.6748696000000001</v>
          </cell>
          <cell r="I450">
            <v>24.825169600000002</v>
          </cell>
        </row>
        <row r="451">
          <cell r="B451" t="str">
            <v>*091086</v>
          </cell>
          <cell r="C451" t="str">
            <v>TRASLADO BASE FUSIBLE SECCIONADOR UNIPOLAR</v>
          </cell>
          <cell r="D451" t="str">
            <v>UN</v>
          </cell>
          <cell r="E451">
            <v>27.115300000000001</v>
          </cell>
          <cell r="F451">
            <v>9.6</v>
          </cell>
          <cell r="G451">
            <v>26.195299999999996</v>
          </cell>
          <cell r="H451">
            <v>6.0773095999999986</v>
          </cell>
          <cell r="I451">
            <v>32.272609599999996</v>
          </cell>
        </row>
        <row r="452">
          <cell r="B452" t="str">
            <v>*091089</v>
          </cell>
          <cell r="C452" t="str">
            <v>RETIRO DE CELULA FOTOELECTRICA COMPLETA</v>
          </cell>
          <cell r="D452" t="str">
            <v>UN</v>
          </cell>
          <cell r="E452">
            <v>24.170999999999999</v>
          </cell>
          <cell r="F452">
            <v>9.6</v>
          </cell>
          <cell r="G452">
            <v>24.2379</v>
          </cell>
          <cell r="H452">
            <v>5.6231928</v>
          </cell>
          <cell r="I452">
            <v>29.861092800000002</v>
          </cell>
        </row>
        <row r="453">
          <cell r="B453" t="str">
            <v>*091090</v>
          </cell>
          <cell r="C453" t="str">
            <v>CELULA FOTOELECTRICA COMPLETA</v>
          </cell>
          <cell r="D453" t="str">
            <v>UN</v>
          </cell>
          <cell r="E453">
            <v>16.920200000000001</v>
          </cell>
          <cell r="F453">
            <v>9.6</v>
          </cell>
          <cell r="G453">
            <v>34.624499999999998</v>
          </cell>
          <cell r="H453">
            <v>8.0328839999999992</v>
          </cell>
          <cell r="I453">
            <v>42.657383999999993</v>
          </cell>
        </row>
        <row r="454">
          <cell r="B454" t="str">
            <v>*091099</v>
          </cell>
          <cell r="C454" t="str">
            <v>RETIRO DE CELULA FOTOELECTRICA SIN BASE</v>
          </cell>
          <cell r="D454" t="str">
            <v>UN</v>
          </cell>
          <cell r="E454">
            <v>200.64859999999999</v>
          </cell>
          <cell r="F454">
            <v>9.6</v>
          </cell>
          <cell r="G454">
            <v>6.1749000000000001</v>
          </cell>
          <cell r="H454">
            <v>1.4325767999999999</v>
          </cell>
          <cell r="I454">
            <v>7.6074767999999997</v>
          </cell>
        </row>
        <row r="455">
          <cell r="B455" t="str">
            <v>*091100</v>
          </cell>
          <cell r="C455" t="str">
            <v>CELULA FOTOELECTRICA SIN BASE</v>
          </cell>
          <cell r="D455" t="str">
            <v>UN</v>
          </cell>
          <cell r="E455">
            <v>140.458</v>
          </cell>
          <cell r="F455">
            <v>9.6</v>
          </cell>
          <cell r="G455">
            <v>8.8209999999999997</v>
          </cell>
          <cell r="H455">
            <v>2.0464719999999996</v>
          </cell>
          <cell r="I455">
            <v>10.867471999999999</v>
          </cell>
        </row>
        <row r="456">
          <cell r="B456" t="str">
            <v>*091101</v>
          </cell>
          <cell r="C456" t="str">
            <v>TRASLADO DE CELULA FOTOELECTRICA SIN BASE</v>
          </cell>
          <cell r="D456" t="str">
            <v>UN</v>
          </cell>
          <cell r="E456">
            <v>108.0444</v>
          </cell>
          <cell r="F456">
            <v>9.6</v>
          </cell>
          <cell r="G456">
            <v>11.4673</v>
          </cell>
          <cell r="H456">
            <v>2.6604135999999996</v>
          </cell>
          <cell r="I456">
            <v>14.1277136</v>
          </cell>
        </row>
        <row r="457">
          <cell r="B457" t="str">
            <v>*091109</v>
          </cell>
          <cell r="C457" t="str">
            <v>RETIRO DE CONTACTOR COMPLETO</v>
          </cell>
          <cell r="D457" t="str">
            <v>UN</v>
          </cell>
          <cell r="E457">
            <v>18.204899999999999</v>
          </cell>
          <cell r="F457">
            <v>9.6</v>
          </cell>
          <cell r="G457">
            <v>32.181200000000004</v>
          </cell>
          <cell r="H457">
            <v>7.4660384000000004</v>
          </cell>
          <cell r="I457">
            <v>39.647238400000006</v>
          </cell>
        </row>
        <row r="458">
          <cell r="B458" t="str">
            <v>*091110</v>
          </cell>
          <cell r="C458" t="str">
            <v>INSTALACIÓN CONTACTOR COMPLETO</v>
          </cell>
          <cell r="D458" t="str">
            <v>UN</v>
          </cell>
          <cell r="E458">
            <v>12.743399999999999</v>
          </cell>
          <cell r="F458">
            <v>9.6</v>
          </cell>
          <cell r="G458">
            <v>45.973100000000002</v>
          </cell>
          <cell r="H458">
            <v>10.6657592</v>
          </cell>
          <cell r="I458">
            <v>56.638859199999999</v>
          </cell>
        </row>
        <row r="459">
          <cell r="B459" t="str">
            <v>*091130</v>
          </cell>
          <cell r="C459" t="str">
            <v>BALASTRO INTEMPERIE</v>
          </cell>
          <cell r="D459" t="str">
            <v>Un</v>
          </cell>
          <cell r="E459">
            <v>45.322099999999999</v>
          </cell>
          <cell r="F459">
            <v>9.6</v>
          </cell>
          <cell r="G459">
            <v>9.5704999999999991</v>
          </cell>
          <cell r="H459">
            <v>2.2203559999999998</v>
          </cell>
          <cell r="I459">
            <v>11.790855999999998</v>
          </cell>
        </row>
        <row r="460">
          <cell r="B460" t="str">
            <v>*091229</v>
          </cell>
          <cell r="C460" t="str">
            <v>RETIRO DE SISTEMA DE ENCENDIDO AUTOMÁTICO AÉREO</v>
          </cell>
          <cell r="D460" t="str">
            <v>UN</v>
          </cell>
          <cell r="E460">
            <v>9.8643000000000001</v>
          </cell>
          <cell r="F460">
            <v>9.6</v>
          </cell>
          <cell r="G460">
            <v>90.365999999999985</v>
          </cell>
          <cell r="H460">
            <v>20.964911999999995</v>
          </cell>
          <cell r="I460">
            <v>111.33091199999998</v>
          </cell>
        </row>
        <row r="461">
          <cell r="B461" t="str">
            <v>*091230</v>
          </cell>
          <cell r="C461" t="str">
            <v>SISTEMA DE ENCENDIDO AUTOMÁTICO AÉREO</v>
          </cell>
          <cell r="D461" t="str">
            <v>UN</v>
          </cell>
          <cell r="E461">
            <v>6.9050000000000002</v>
          </cell>
          <cell r="F461">
            <v>9.6</v>
          </cell>
          <cell r="G461">
            <v>129.09440000000001</v>
          </cell>
          <cell r="H461">
            <v>29.949900799999998</v>
          </cell>
          <cell r="I461">
            <v>159.0443008</v>
          </cell>
        </row>
        <row r="462">
          <cell r="B462" t="str">
            <v>*091231</v>
          </cell>
          <cell r="C462" t="str">
            <v>TRASLADO DE SISTEMA DE ENCENDIDO AUTOMÁTICO AÉREO</v>
          </cell>
          <cell r="D462" t="str">
            <v>UN</v>
          </cell>
          <cell r="E462">
            <v>5.3114999999999997</v>
          </cell>
          <cell r="F462">
            <v>9.6</v>
          </cell>
          <cell r="G462">
            <v>167.82380000000001</v>
          </cell>
          <cell r="H462">
            <v>38.935121599999995</v>
          </cell>
          <cell r="I462">
            <v>206.75892160000001</v>
          </cell>
        </row>
        <row r="463">
          <cell r="B463" t="str">
            <v>*091240</v>
          </cell>
          <cell r="C463" t="str">
            <v>SUBIDA A POSTE DE CONCRETO O FIERRO C/EMPALME P/AP</v>
          </cell>
          <cell r="D463" t="str">
            <v>UN</v>
          </cell>
          <cell r="E463">
            <v>5.0449999999999999</v>
          </cell>
          <cell r="F463">
            <v>9.6</v>
          </cell>
          <cell r="G463">
            <v>204.05439999999999</v>
          </cell>
          <cell r="H463">
            <v>47.340620799999996</v>
          </cell>
          <cell r="I463">
            <v>251.3950208</v>
          </cell>
        </row>
        <row r="464">
          <cell r="B464" t="str">
            <v>*091247</v>
          </cell>
          <cell r="C464" t="str">
            <v>SUBIDA A POSTE DE CONCRETO O FIERRO C/EMPALME P/AP; TRAB MASIVO EN CTRL TEC Y CAL SERV</v>
          </cell>
          <cell r="D464" t="str">
            <v>UN</v>
          </cell>
          <cell r="E464">
            <v>3.5718999999999999</v>
          </cell>
          <cell r="F464">
            <v>9.6</v>
          </cell>
          <cell r="G464">
            <v>188.24339999999998</v>
          </cell>
          <cell r="H464">
            <v>43.67246879999999</v>
          </cell>
          <cell r="I464">
            <v>231.91586879999997</v>
          </cell>
        </row>
        <row r="465">
          <cell r="B465" t="str">
            <v>*091270</v>
          </cell>
          <cell r="C465" t="str">
            <v>ALAMBRADO DE PASTORAL  (mantenimiento)</v>
          </cell>
          <cell r="D465" t="str">
            <v>Un</v>
          </cell>
          <cell r="E465">
            <v>24.557700000000001</v>
          </cell>
          <cell r="F465">
            <v>9.6</v>
          </cell>
          <cell r="G465">
            <v>23.706199999999999</v>
          </cell>
          <cell r="H465">
            <v>5.4998383999999998</v>
          </cell>
          <cell r="I465">
            <v>29.206038399999997</v>
          </cell>
        </row>
        <row r="466">
          <cell r="B466" t="str">
            <v>*091279</v>
          </cell>
          <cell r="C466" t="str">
            <v>RETIRO CONEXION A LUMINARIA</v>
          </cell>
          <cell r="D466" t="str">
            <v>UN</v>
          </cell>
          <cell r="E466">
            <v>210.52629999999999</v>
          </cell>
          <cell r="F466">
            <v>9.6</v>
          </cell>
          <cell r="G466">
            <v>5.1405000000000003</v>
          </cell>
          <cell r="H466">
            <v>1.192596</v>
          </cell>
          <cell r="I466">
            <v>6.3330960000000003</v>
          </cell>
        </row>
        <row r="467">
          <cell r="B467" t="str">
            <v>*091280</v>
          </cell>
          <cell r="C467" t="str">
            <v>CONEXION A LUMINARIA</v>
          </cell>
          <cell r="D467" t="str">
            <v>UN</v>
          </cell>
          <cell r="E467">
            <v>147.37260000000001</v>
          </cell>
          <cell r="F467">
            <v>9.6</v>
          </cell>
          <cell r="G467">
            <v>7.4508000000000001</v>
          </cell>
          <cell r="H467">
            <v>1.7285855999999999</v>
          </cell>
          <cell r="I467">
            <v>9.1793855999999998</v>
          </cell>
        </row>
        <row r="468">
          <cell r="B468" t="str">
            <v>*091281</v>
          </cell>
          <cell r="C468" t="str">
            <v>TRASLADO DE CONEXION A LUMINARIA</v>
          </cell>
          <cell r="D468" t="str">
            <v>UN</v>
          </cell>
          <cell r="E468">
            <v>113.3633</v>
          </cell>
          <cell r="F468">
            <v>9.6</v>
          </cell>
          <cell r="G468">
            <v>11.4438</v>
          </cell>
          <cell r="H468">
            <v>2.6549615999999996</v>
          </cell>
          <cell r="I468">
            <v>14.0987616</v>
          </cell>
        </row>
        <row r="469">
          <cell r="B469" t="str">
            <v>*091298</v>
          </cell>
          <cell r="C469" t="str">
            <v>RETIRO DE PASTORAL PARABOLICO CUALQUIER TIPO DISPERSO MENOR A 6 UNIDADES</v>
          </cell>
          <cell r="D469" t="str">
            <v>UN</v>
          </cell>
          <cell r="E469">
            <v>18.454599999999999</v>
          </cell>
          <cell r="F469">
            <v>9.6</v>
          </cell>
          <cell r="G469">
            <v>88.8874</v>
          </cell>
          <cell r="H469">
            <v>20.621876799999999</v>
          </cell>
          <cell r="I469">
            <v>109.50927679999999</v>
          </cell>
        </row>
        <row r="470">
          <cell r="B470" t="str">
            <v>*091299</v>
          </cell>
          <cell r="C470" t="str">
            <v>RETIRO DE PASTORAL PARABOLICO CUALQUIER TIPO MASIVO MAYOR O IGUAL A 6 PASTORALES</v>
          </cell>
          <cell r="D470" t="str">
            <v>UN</v>
          </cell>
          <cell r="E470">
            <v>26.192399999999999</v>
          </cell>
          <cell r="F470">
            <v>9.6</v>
          </cell>
          <cell r="G470">
            <v>57.781100000000002</v>
          </cell>
          <cell r="H470">
            <v>13.405215199999999</v>
          </cell>
          <cell r="I470">
            <v>71.186315199999996</v>
          </cell>
        </row>
        <row r="471">
          <cell r="B471" t="str">
            <v>*091301</v>
          </cell>
          <cell r="C471" t="str">
            <v>PASTORAL PARABOLICO CUALQUIER TIPO DISPERSO MENOR A 6 UNIDADES</v>
          </cell>
          <cell r="D471" t="str">
            <v>UN</v>
          </cell>
          <cell r="E471">
            <v>12.918200000000001</v>
          </cell>
          <cell r="F471">
            <v>9.6</v>
          </cell>
          <cell r="G471">
            <v>126.9821</v>
          </cell>
          <cell r="H471">
            <v>29.459847199999999</v>
          </cell>
          <cell r="I471">
            <v>156.44194720000002</v>
          </cell>
        </row>
        <row r="472">
          <cell r="B472" t="str">
            <v>*091302</v>
          </cell>
          <cell r="C472" t="str">
            <v>PASTORAL PARABOLICO CUALQUIER TIPO MASIVO MAYOR O IGUAL A 6 PASTORALES</v>
          </cell>
          <cell r="D472" t="str">
            <v>UN</v>
          </cell>
          <cell r="E472">
            <v>18.334700000000002</v>
          </cell>
          <cell r="F472">
            <v>9.6</v>
          </cell>
          <cell r="G472">
            <v>82.544499999999999</v>
          </cell>
          <cell r="H472">
            <v>19.150323999999998</v>
          </cell>
          <cell r="I472">
            <v>101.694824</v>
          </cell>
        </row>
        <row r="473">
          <cell r="B473" t="str">
            <v>*091303</v>
          </cell>
          <cell r="C473" t="str">
            <v>PASTORAL PARABOLICO MODIF EN AV. ALTO TRANSITO (3,2/4,4/2,0")</v>
          </cell>
          <cell r="D473" t="str">
            <v>UN</v>
          </cell>
          <cell r="E473">
            <v>16.1905</v>
          </cell>
          <cell r="F473">
            <v>9.6</v>
          </cell>
          <cell r="G473">
            <v>97.763000000000005</v>
          </cell>
          <cell r="H473">
            <v>22.681016</v>
          </cell>
          <cell r="I473">
            <v>120.444016</v>
          </cell>
        </row>
        <row r="474">
          <cell r="B474" t="str">
            <v>*091304</v>
          </cell>
          <cell r="C474" t="str">
            <v>TRASLADO DE PASTORAL PARABOLICO CUALQUIER TIPO DISPERSO MENOR A 6 UNIDADES</v>
          </cell>
          <cell r="D474" t="str">
            <v>UN</v>
          </cell>
          <cell r="E474">
            <v>9.9370999999999992</v>
          </cell>
          <cell r="F474">
            <v>9.6</v>
          </cell>
          <cell r="G474">
            <v>165.0763</v>
          </cell>
          <cell r="H474">
            <v>38.297701599999996</v>
          </cell>
          <cell r="I474">
            <v>203.37400159999999</v>
          </cell>
        </row>
        <row r="475">
          <cell r="B475" t="str">
            <v>*091307</v>
          </cell>
          <cell r="C475" t="str">
            <v>Pastoral parabólico cualquier tipo, incluye abrazaderas,trabajo masivo en ctrl tec. - 091307</v>
          </cell>
          <cell r="D475" t="str">
            <v>UN</v>
          </cell>
          <cell r="E475">
            <v>21.408000000000001</v>
          </cell>
          <cell r="F475">
            <v>9.6</v>
          </cell>
          <cell r="G475">
            <v>60.539299999999997</v>
          </cell>
          <cell r="H475">
            <v>14.045117599999998</v>
          </cell>
          <cell r="I475">
            <v>74.584417599999995</v>
          </cell>
        </row>
        <row r="476">
          <cell r="B476" t="str">
            <v>*091315</v>
          </cell>
          <cell r="C476" t="str">
            <v>RETIRO LUMINARIA LED 125/250 HG  70/150/250/400 W NA. O FAROLA COMPLETA MASIVO</v>
          </cell>
          <cell r="D476" t="str">
            <v>UN</v>
          </cell>
          <cell r="E476">
            <v>50.363599999999998</v>
          </cell>
          <cell r="F476">
            <v>9.6</v>
          </cell>
          <cell r="G476">
            <v>23.712299999999999</v>
          </cell>
          <cell r="H476">
            <v>5.5012535999999992</v>
          </cell>
          <cell r="I476">
            <v>29.213553599999997</v>
          </cell>
        </row>
        <row r="477">
          <cell r="B477" t="str">
            <v>*091316</v>
          </cell>
          <cell r="C477" t="str">
            <v>RETIRO DE LUMINARIA 125/250 HG  70/150/250/400 W NA. O FAROLA COMPLETA MASIVO</v>
          </cell>
          <cell r="D477" t="str">
            <v>UN</v>
          </cell>
          <cell r="E477">
            <v>24.1677</v>
          </cell>
          <cell r="F477">
            <v>9.6</v>
          </cell>
          <cell r="G477">
            <v>49.414699999999996</v>
          </cell>
          <cell r="H477">
            <v>11.464210399999999</v>
          </cell>
          <cell r="I477">
            <v>60.878910399999995</v>
          </cell>
        </row>
        <row r="478">
          <cell r="B478" t="str">
            <v>*091317</v>
          </cell>
          <cell r="C478" t="str">
            <v>SUPLE DE PASTORAL; TRAB MASIVO EN CTRL TEC  Y CAL SERV</v>
          </cell>
          <cell r="D478" t="str">
            <v>UN</v>
          </cell>
          <cell r="E478">
            <v>10.3238</v>
          </cell>
          <cell r="F478">
            <v>9.6</v>
          </cell>
          <cell r="G478">
            <v>30.5139</v>
          </cell>
          <cell r="H478">
            <v>7.0792247999999995</v>
          </cell>
          <cell r="I478">
            <v>37.593124799999998</v>
          </cell>
        </row>
        <row r="479">
          <cell r="B479" t="str">
            <v>*091318</v>
          </cell>
          <cell r="C479" t="str">
            <v>REHABILITACIÓN DE PASTORAL (CUALQUIER TIPO); TRAB MASIVO EN CTRL TEC Y CAL SERV</v>
          </cell>
          <cell r="D479" t="str">
            <v>UN</v>
          </cell>
          <cell r="E479">
            <v>6.5461</v>
          </cell>
          <cell r="F479">
            <v>9.6</v>
          </cell>
          <cell r="G479">
            <v>48.1233</v>
          </cell>
          <cell r="H479">
            <v>11.1646056</v>
          </cell>
          <cell r="I479">
            <v>59.287905600000002</v>
          </cell>
        </row>
        <row r="480">
          <cell r="B480" t="str">
            <v>*091319</v>
          </cell>
          <cell r="C480" t="str">
            <v>LUMINARIA LED 125/250 HG  70/150/250/400 W NA. O FAROLA COMPLETA MASIVO</v>
          </cell>
          <cell r="D480" t="str">
            <v>UN</v>
          </cell>
          <cell r="E480">
            <v>35.255499999999998</v>
          </cell>
          <cell r="F480">
            <v>9.6</v>
          </cell>
          <cell r="G480">
            <v>33.873899999999999</v>
          </cell>
          <cell r="H480">
            <v>7.8587447999999993</v>
          </cell>
          <cell r="I480">
            <v>41.732644799999996</v>
          </cell>
        </row>
        <row r="481">
          <cell r="B481" t="str">
            <v>*091320</v>
          </cell>
          <cell r="C481" t="str">
            <v>LUMINARIA 125/250 HG  70/150/250/400 W NA. O FAROLA COMPLETA MASIVO</v>
          </cell>
          <cell r="D481" t="str">
            <v>UN</v>
          </cell>
          <cell r="E481">
            <v>16.917400000000001</v>
          </cell>
          <cell r="F481">
            <v>9.6</v>
          </cell>
          <cell r="G481">
            <v>70.592399999999998</v>
          </cell>
          <cell r="H481">
            <v>16.377436799999998</v>
          </cell>
          <cell r="I481">
            <v>86.969836799999996</v>
          </cell>
        </row>
        <row r="482">
          <cell r="B482" t="str">
            <v>*091322</v>
          </cell>
          <cell r="C482" t="str">
            <v>TRASLADO LUMINARIA 125/250 HG  70/150/250/400 W NA. O FAROLA COMPLETA MASIVO</v>
          </cell>
          <cell r="D482" t="str">
            <v>UN</v>
          </cell>
          <cell r="E482">
            <v>13.013400000000001</v>
          </cell>
          <cell r="F482">
            <v>9.6</v>
          </cell>
          <cell r="G482">
            <v>91.770099999999999</v>
          </cell>
          <cell r="H482">
            <v>21.290663199999997</v>
          </cell>
          <cell r="I482">
            <v>113.0607632</v>
          </cell>
        </row>
        <row r="483">
          <cell r="B483" t="str">
            <v>*091323</v>
          </cell>
          <cell r="C483" t="str">
            <v>SISTEMA ANTIHURTO C/CANASTILLA P LUMINARIAS TP ECONOM DE 70 Y 150 W P/LIQ EN  CTRL T, MANT Y  PROY</v>
          </cell>
          <cell r="D483" t="str">
            <v>UN</v>
          </cell>
          <cell r="E483">
            <v>17.294899999999998</v>
          </cell>
          <cell r="F483">
            <v>9.6</v>
          </cell>
          <cell r="G483">
            <v>15.3889</v>
          </cell>
          <cell r="H483">
            <v>3.5702247999999996</v>
          </cell>
          <cell r="I483">
            <v>18.959124799999998</v>
          </cell>
        </row>
        <row r="484">
          <cell r="B484" t="str">
            <v>*091325</v>
          </cell>
          <cell r="C484" t="str">
            <v>SOLDADURA DE LUMINARIA CON SISTEMA ANTIHURTO A PASTORAL DE ACERO</v>
          </cell>
          <cell r="D484" t="str">
            <v>UN</v>
          </cell>
          <cell r="E484">
            <v>43.3</v>
          </cell>
          <cell r="F484">
            <v>9.6</v>
          </cell>
          <cell r="G484">
            <v>14.810099999999998</v>
          </cell>
          <cell r="H484">
            <v>3.4359431999999992</v>
          </cell>
          <cell r="I484">
            <v>18.246043199999999</v>
          </cell>
        </row>
        <row r="485">
          <cell r="B485" t="str">
            <v>*091326</v>
          </cell>
          <cell r="C485" t="str">
            <v>TRASLADO DE LUMINARIA LED 125/250 HG  70/150/250/400 W NA. O FAROLA COMPLETA MASIVO</v>
          </cell>
          <cell r="D485" t="str">
            <v>UN</v>
          </cell>
          <cell r="E485">
            <v>27.119599999999998</v>
          </cell>
          <cell r="F485">
            <v>9.6</v>
          </cell>
          <cell r="G485">
            <v>44.036099999999998</v>
          </cell>
          <cell r="H485">
            <v>10.216375199999998</v>
          </cell>
          <cell r="I485">
            <v>54.252475199999992</v>
          </cell>
        </row>
        <row r="486">
          <cell r="B486" t="str">
            <v>*091327</v>
          </cell>
          <cell r="C486" t="str">
            <v>CAMBIO DE LUMINARIA HASTA 250 W O FAROLA (I RETIRO, INSTAL Y CONEX); TRAB MASIVO EN CTRL TEC Y CAL S</v>
          </cell>
          <cell r="D486" t="str">
            <v>UN</v>
          </cell>
          <cell r="E486">
            <v>23.191500000000001</v>
          </cell>
          <cell r="F486">
            <v>9.6</v>
          </cell>
          <cell r="G486">
            <v>53.858699999999999</v>
          </cell>
          <cell r="H486">
            <v>12.495218399999999</v>
          </cell>
          <cell r="I486">
            <v>66.353918399999998</v>
          </cell>
        </row>
        <row r="487">
          <cell r="B487" t="str">
            <v>*091328</v>
          </cell>
          <cell r="C487" t="str">
            <v>SOLDADO DE PERNOS DE FIJACIÓN DE LUMINARIA; TRAB MASIVO EN CTRL TEC Y CAL SERV</v>
          </cell>
          <cell r="D487" t="str">
            <v>UN</v>
          </cell>
          <cell r="E487">
            <v>21.687100000000001</v>
          </cell>
          <cell r="F487">
            <v>9.6</v>
          </cell>
          <cell r="G487">
            <v>19.119600000000002</v>
          </cell>
          <cell r="H487">
            <v>4.4357471999999998</v>
          </cell>
          <cell r="I487">
            <v>23.5553472</v>
          </cell>
        </row>
        <row r="488">
          <cell r="B488" t="str">
            <v>*091329</v>
          </cell>
          <cell r="C488" t="str">
            <v>RETIRO DE LUMINARIA DE 400 W. NA.</v>
          </cell>
          <cell r="D488" t="str">
            <v>UN</v>
          </cell>
          <cell r="E488">
            <v>39.2986</v>
          </cell>
          <cell r="F488">
            <v>9.6</v>
          </cell>
          <cell r="G488">
            <v>44.053699999999999</v>
          </cell>
          <cell r="H488">
            <v>10.220458399999998</v>
          </cell>
          <cell r="I488">
            <v>54.274158399999997</v>
          </cell>
        </row>
        <row r="489">
          <cell r="B489" t="str">
            <v>*091330</v>
          </cell>
          <cell r="C489" t="str">
            <v>Luminaria de 400 W NA -091330</v>
          </cell>
          <cell r="D489" t="str"/>
          <cell r="E489">
            <v>27.509</v>
          </cell>
          <cell r="F489">
            <v>9.6</v>
          </cell>
          <cell r="G489">
            <v>62.933800000000005</v>
          </cell>
          <cell r="H489">
            <v>14.600641599999999</v>
          </cell>
          <cell r="I489">
            <v>77.534441600000008</v>
          </cell>
        </row>
        <row r="490">
          <cell r="B490" t="str">
            <v>*091331</v>
          </cell>
          <cell r="C490" t="str">
            <v>CAMBIO MASIVO DE LUMINARIA O FAROLA HASTA 400 W (TURNO 24 H) INCLUYE RETIRO, INSTALACIÓN Y CONEXIONA</v>
          </cell>
          <cell r="D490" t="str">
            <v>UN</v>
          </cell>
          <cell r="E490">
            <v>42.736800000000002</v>
          </cell>
          <cell r="F490">
            <v>24</v>
          </cell>
          <cell r="G490">
            <v>47.766400000000004</v>
          </cell>
          <cell r="H490">
            <v>11.0818048</v>
          </cell>
          <cell r="I490">
            <v>58.848204800000005</v>
          </cell>
        </row>
        <row r="491">
          <cell r="B491" t="str">
            <v>*091337</v>
          </cell>
          <cell r="C491" t="str">
            <v>Cambio de luminaria de 400 W NA (incl retiro, instal y conex.)  - 091337</v>
          </cell>
          <cell r="D491" t="str">
            <v>UN</v>
          </cell>
          <cell r="E491">
            <v>23.807500000000001</v>
          </cell>
          <cell r="F491">
            <v>9.6</v>
          </cell>
          <cell r="G491">
            <v>54.437600000000003</v>
          </cell>
          <cell r="H491">
            <v>12.6295232</v>
          </cell>
          <cell r="I491">
            <v>67.067123199999997</v>
          </cell>
        </row>
        <row r="492">
          <cell r="B492" t="str">
            <v>*091338</v>
          </cell>
          <cell r="C492" t="str">
            <v>MASILLADO DE PERNOS EN LUMINARIA; TRAB MASIVO EN CTRL TEC Y CAL SERV</v>
          </cell>
          <cell r="D492" t="str">
            <v>UN</v>
          </cell>
          <cell r="E492">
            <v>29.708200000000001</v>
          </cell>
          <cell r="F492">
            <v>9.6</v>
          </cell>
          <cell r="G492">
            <v>13.382799999999998</v>
          </cell>
          <cell r="H492">
            <v>3.1048095999999994</v>
          </cell>
          <cell r="I492">
            <v>16.487609599999999</v>
          </cell>
        </row>
        <row r="493">
          <cell r="B493" t="str">
            <v>*091339</v>
          </cell>
          <cell r="C493" t="str">
            <v>TUBO PROTECTOR EN PERNO DE FIJACIÓN DE LUMINARIA; TRAB MASIVO EN CTRL TEC Y CAL SERV</v>
          </cell>
          <cell r="D493" t="str">
            <v>UN</v>
          </cell>
          <cell r="E493">
            <v>34.781300000000002</v>
          </cell>
          <cell r="F493">
            <v>9.6</v>
          </cell>
          <cell r="G493">
            <v>12.299300000000001</v>
          </cell>
          <cell r="H493">
            <v>2.8534375999999999</v>
          </cell>
          <cell r="I493">
            <v>15.1527376</v>
          </cell>
        </row>
        <row r="494">
          <cell r="B494" t="str">
            <v>*091340</v>
          </cell>
          <cell r="C494" t="str">
            <v>INSTALAR LAMPARAS</v>
          </cell>
          <cell r="D494" t="str">
            <v>UN</v>
          </cell>
          <cell r="E494">
            <v>285.79989999999998</v>
          </cell>
          <cell r="F494">
            <v>9.6</v>
          </cell>
          <cell r="G494">
            <v>4.2056000000000004</v>
          </cell>
          <cell r="H494">
            <v>0.97569919999999999</v>
          </cell>
          <cell r="I494">
            <v>5.1812992000000007</v>
          </cell>
        </row>
        <row r="495">
          <cell r="B495" t="str">
            <v>*091344</v>
          </cell>
          <cell r="C495" t="str">
            <v>RETIRO DE PASTORAL SIMPLE INC ABRAZDS (CUALQ TIPO); TRAB MASIVO EN CTRL TEC Y CAL SERV</v>
          </cell>
          <cell r="D495" t="str">
            <v>UN</v>
          </cell>
          <cell r="E495">
            <v>16.944299999999998</v>
          </cell>
          <cell r="F495">
            <v>9.6</v>
          </cell>
          <cell r="G495">
            <v>33.637700000000002</v>
          </cell>
          <cell r="H495">
            <v>7.8039464000000001</v>
          </cell>
          <cell r="I495">
            <v>41.441646400000003</v>
          </cell>
        </row>
        <row r="496">
          <cell r="B496" t="str">
            <v>*091346</v>
          </cell>
          <cell r="C496" t="str">
            <v>PASTORAL SIMPLE CUALQUIER TIPO DISPERSO MENOR A 6 PASTORALES</v>
          </cell>
          <cell r="D496" t="str">
            <v>UN</v>
          </cell>
          <cell r="E496">
            <v>15.591100000000001</v>
          </cell>
          <cell r="F496">
            <v>9.6</v>
          </cell>
          <cell r="G496">
            <v>92.002200000000002</v>
          </cell>
          <cell r="H496">
            <v>21.344510399999997</v>
          </cell>
          <cell r="I496">
            <v>113.34671040000001</v>
          </cell>
        </row>
        <row r="497">
          <cell r="B497" t="str">
            <v>*091347</v>
          </cell>
          <cell r="C497" t="str">
            <v>PASTORAL SIMPLE INC ABRAZDS (CUALQ TIPO); TRAB MASIVO EN CTRL TEC Y CAL SERV</v>
          </cell>
          <cell r="D497" t="str">
            <v>UN</v>
          </cell>
          <cell r="E497">
            <v>11.861000000000001</v>
          </cell>
          <cell r="F497">
            <v>9.6</v>
          </cell>
          <cell r="G497">
            <v>48.053899999999999</v>
          </cell>
          <cell r="H497">
            <v>11.1485048</v>
          </cell>
          <cell r="I497">
            <v>59.202404799999996</v>
          </cell>
        </row>
        <row r="498">
          <cell r="B498" t="str">
            <v>*091348</v>
          </cell>
          <cell r="C498" t="str">
            <v>PASTORAL SIMPLE CUALQUIER TIPO MASIVO MAYOR O IGUAL A 6 PASTORALES</v>
          </cell>
          <cell r="D498" t="str">
            <v>UN</v>
          </cell>
          <cell r="E498">
            <v>27.4803</v>
          </cell>
          <cell r="F498">
            <v>9.6</v>
          </cell>
          <cell r="G498">
            <v>46.326799999999999</v>
          </cell>
          <cell r="H498">
            <v>10.747817599999999</v>
          </cell>
          <cell r="I498">
            <v>57.074617599999996</v>
          </cell>
        </row>
        <row r="499">
          <cell r="B499" t="str">
            <v>*091355</v>
          </cell>
          <cell r="C499" t="str">
            <v>INSTALACIÓN DE PASTORAL ADICIONAL A UNO YA INSTALADO EN EL POSTE A INTERVENIR</v>
          </cell>
          <cell r="D499" t="str">
            <v>UN</v>
          </cell>
          <cell r="E499">
            <v>26.181799999999999</v>
          </cell>
          <cell r="F499">
            <v>9.6</v>
          </cell>
          <cell r="G499">
            <v>65.8964</v>
          </cell>
          <cell r="H499">
            <v>15.287964799999999</v>
          </cell>
          <cell r="I499">
            <v>81.184364799999997</v>
          </cell>
        </row>
        <row r="500">
          <cell r="B500" t="str">
            <v>*091356</v>
          </cell>
          <cell r="C500" t="str">
            <v>TRASLADO PASTORAL SIMPLE CUALQUIER TIPO DISPERSO MENOR A 6 PASTORALES</v>
          </cell>
          <cell r="D500" t="str">
            <v>UN</v>
          </cell>
          <cell r="E500">
            <v>11.9931</v>
          </cell>
          <cell r="F500">
            <v>9.6</v>
          </cell>
          <cell r="G500">
            <v>119.6035</v>
          </cell>
          <cell r="H500">
            <v>27.748011999999996</v>
          </cell>
          <cell r="I500">
            <v>147.35151199999999</v>
          </cell>
        </row>
        <row r="501">
          <cell r="B501" t="str">
            <v>*091357</v>
          </cell>
          <cell r="C501" t="str">
            <v>RETIRO PASTORAL SIMPLE CUALQUIER TIPO DISPERSO MENOR A 6 PASTORALES</v>
          </cell>
          <cell r="D501" t="str">
            <v>UN</v>
          </cell>
          <cell r="E501">
            <v>22.273</v>
          </cell>
          <cell r="F501">
            <v>9.6</v>
          </cell>
          <cell r="G501">
            <v>64.401499999999999</v>
          </cell>
          <cell r="H501">
            <v>14.941147999999998</v>
          </cell>
          <cell r="I501">
            <v>79.342647999999997</v>
          </cell>
        </row>
        <row r="502">
          <cell r="B502" t="str">
            <v>*091358</v>
          </cell>
          <cell r="C502" t="str">
            <v>RETIRO DE PASTORAL SIMPLE CUALQUIER TIPO MASIVO MAYOR O IGUAL A 6 PASTORALES</v>
          </cell>
          <cell r="D502" t="str">
            <v>UN</v>
          </cell>
          <cell r="E502">
            <v>39.257599999999996</v>
          </cell>
          <cell r="F502">
            <v>9.6</v>
          </cell>
          <cell r="G502">
            <v>32.428699999999999</v>
          </cell>
          <cell r="H502">
            <v>7.5234583999999991</v>
          </cell>
          <cell r="I502">
            <v>39.952158400000002</v>
          </cell>
        </row>
        <row r="503">
          <cell r="B503" t="str">
            <v>*091359</v>
          </cell>
          <cell r="C503" t="str">
            <v>TRASLADO DE PASTORAL SIMPLE CUALQUIER TIPO MASIVO MAYOR O IGUAL A 6 PASTORALES</v>
          </cell>
          <cell r="D503" t="str">
            <v>UN</v>
          </cell>
          <cell r="E503">
            <v>21.1386</v>
          </cell>
          <cell r="F503">
            <v>9.6</v>
          </cell>
          <cell r="G503">
            <v>60.225200000000001</v>
          </cell>
          <cell r="H503">
            <v>13.9722464</v>
          </cell>
          <cell r="I503">
            <v>74.197446400000004</v>
          </cell>
        </row>
        <row r="504">
          <cell r="B504" t="str">
            <v>*091360</v>
          </cell>
          <cell r="C504" t="str">
            <v>REACONDICIONAR PASTORAL DE FIERRO DE CUALQUIER TIPO</v>
          </cell>
          <cell r="D504" t="str">
            <v>UN</v>
          </cell>
          <cell r="E504">
            <v>7.5517000000000003</v>
          </cell>
          <cell r="F504">
            <v>9.6</v>
          </cell>
          <cell r="G504">
            <v>43.477899999999998</v>
          </cell>
          <cell r="H504">
            <v>10.086872799999998</v>
          </cell>
          <cell r="I504">
            <v>53.5647728</v>
          </cell>
        </row>
        <row r="505">
          <cell r="B505" t="str">
            <v>*091361</v>
          </cell>
          <cell r="C505" t="str">
            <v>TRASLADO DE PASTORAL SIMPLE INC ABRAZDS (CUALQ TIPO); TRAB MASIVO EN CTRL TEC Y CAL SERV</v>
          </cell>
          <cell r="D505" t="str">
            <v>UN</v>
          </cell>
          <cell r="E505">
            <v>9.1237999999999992</v>
          </cell>
          <cell r="F505">
            <v>9.6</v>
          </cell>
          <cell r="G505">
            <v>62.470299999999995</v>
          </cell>
          <cell r="H505">
            <v>14.493109599999999</v>
          </cell>
          <cell r="I505">
            <v>76.963409599999991</v>
          </cell>
        </row>
        <row r="506">
          <cell r="B506" t="str">
            <v>*091379</v>
          </cell>
          <cell r="C506" t="str">
            <v>RETIRO CABLE CONCENTRICO 6 mm2</v>
          </cell>
          <cell r="D506" t="str">
            <v>M</v>
          </cell>
          <cell r="E506">
            <v>998.04420000000005</v>
          </cell>
          <cell r="F506">
            <v>9.6</v>
          </cell>
          <cell r="G506">
            <v>0.59160000000000001</v>
          </cell>
          <cell r="H506">
            <v>0.13725119999999999</v>
          </cell>
          <cell r="I506">
            <v>0.72885120000000003</v>
          </cell>
        </row>
        <row r="507">
          <cell r="B507" t="str">
            <v>*091380</v>
          </cell>
          <cell r="C507" t="str">
            <v>CABLE CONCENTRICO 6 mm2</v>
          </cell>
          <cell r="D507" t="str">
            <v>M</v>
          </cell>
          <cell r="E507">
            <v>698.6508</v>
          </cell>
          <cell r="F507">
            <v>9.6</v>
          </cell>
          <cell r="G507">
            <v>0.84510000000000007</v>
          </cell>
          <cell r="H507">
            <v>0.19606319999999999</v>
          </cell>
          <cell r="I507">
            <v>1.0411632000000002</v>
          </cell>
        </row>
        <row r="508">
          <cell r="B508" t="str">
            <v>*091381</v>
          </cell>
          <cell r="C508" t="str">
            <v>TRASLADO DE CABLE CONCENTRICO 6 mm2</v>
          </cell>
          <cell r="D508" t="str">
            <v>M</v>
          </cell>
          <cell r="E508">
            <v>537.59500000000003</v>
          </cell>
          <cell r="F508">
            <v>9.6</v>
          </cell>
          <cell r="G508">
            <v>1.0983000000000001</v>
          </cell>
          <cell r="H508">
            <v>0.25480560000000002</v>
          </cell>
          <cell r="I508">
            <v>1.3531056000000001</v>
          </cell>
        </row>
        <row r="509">
          <cell r="B509" t="str">
            <v>*091382</v>
          </cell>
          <cell r="C509" t="str">
            <v>BOTA Y TUBO TERMOCONTRAIBLE PARA CABLE CONCENTRICO BT</v>
          </cell>
          <cell r="D509" t="str">
            <v>UN</v>
          </cell>
          <cell r="E509">
            <v>40.85</v>
          </cell>
          <cell r="F509">
            <v>9.6</v>
          </cell>
          <cell r="G509">
            <v>12.760899999999999</v>
          </cell>
          <cell r="H509">
            <v>2.9605287999999996</v>
          </cell>
          <cell r="I509">
            <v>15.721428799999998</v>
          </cell>
        </row>
        <row r="510">
          <cell r="B510" t="str">
            <v>*091400</v>
          </cell>
          <cell r="C510" t="str">
            <v>FIJACIÓN A POSTE CON CABLE CONCENTRICO</v>
          </cell>
          <cell r="D510" t="str">
            <v>UN</v>
          </cell>
          <cell r="E510">
            <v>741.13049999999998</v>
          </cell>
          <cell r="F510">
            <v>9.6</v>
          </cell>
          <cell r="G510">
            <v>0.53039999999999998</v>
          </cell>
          <cell r="H510">
            <v>0.12305279999999999</v>
          </cell>
          <cell r="I510">
            <v>0.65345279999999994</v>
          </cell>
        </row>
        <row r="511">
          <cell r="B511" t="str">
            <v>*091410</v>
          </cell>
          <cell r="C511" t="str">
            <v>CABLE NYY BT HASTA 3-1x16mm2</v>
          </cell>
          <cell r="D511" t="str">
            <v>M</v>
          </cell>
          <cell r="E511">
            <v>209.19120000000001</v>
          </cell>
          <cell r="F511">
            <v>9.6</v>
          </cell>
          <cell r="G511">
            <v>2.4647999999999999</v>
          </cell>
          <cell r="H511">
            <v>0.57183359999999994</v>
          </cell>
          <cell r="I511">
            <v>3.0366336</v>
          </cell>
        </row>
        <row r="512">
          <cell r="B512" t="str">
            <v>*091411</v>
          </cell>
          <cell r="C512" t="str">
            <v>RETIRO CABLE NYY BT HASTA 3-1x16mm2</v>
          </cell>
          <cell r="D512" t="str">
            <v>M</v>
          </cell>
          <cell r="E512">
            <v>298.83609999999999</v>
          </cell>
          <cell r="F512">
            <v>9.6</v>
          </cell>
          <cell r="G512">
            <v>1.7255</v>
          </cell>
          <cell r="H512">
            <v>0.40031600000000001</v>
          </cell>
          <cell r="I512">
            <v>2.1258159999999999</v>
          </cell>
        </row>
        <row r="513">
          <cell r="B513" t="str">
            <v>*091412</v>
          </cell>
          <cell r="C513" t="str">
            <v>TRASLADO CABLE NYY BT HASTA 3-1x16mm2</v>
          </cell>
          <cell r="D513" t="str">
            <v>M</v>
          </cell>
          <cell r="E513">
            <v>160.91589999999999</v>
          </cell>
          <cell r="F513">
            <v>9.6</v>
          </cell>
          <cell r="G513">
            <v>3.2043999999999997</v>
          </cell>
          <cell r="H513">
            <v>0.74342079999999988</v>
          </cell>
          <cell r="I513">
            <v>3.9478207999999997</v>
          </cell>
        </row>
        <row r="514">
          <cell r="B514" t="str">
            <v>*091419</v>
          </cell>
          <cell r="C514" t="str">
            <v>RETIRO CABLE NYY BT MAYOR A 3-1x16 HASTA 3-1x70 mm2</v>
          </cell>
          <cell r="D514" t="str">
            <v>M</v>
          </cell>
          <cell r="E514">
            <v>291.92059999999998</v>
          </cell>
          <cell r="F514">
            <v>9.6</v>
          </cell>
          <cell r="G514">
            <v>2.2821000000000002</v>
          </cell>
          <cell r="H514">
            <v>0.52944720000000001</v>
          </cell>
          <cell r="I514">
            <v>2.8115472000000001</v>
          </cell>
        </row>
        <row r="515">
          <cell r="B515" t="str">
            <v>*091420</v>
          </cell>
          <cell r="C515" t="str">
            <v>CABLE NYY BT MAYOR A 3-1x16 HASTA 3-1x70 mm2</v>
          </cell>
          <cell r="D515" t="str">
            <v>M</v>
          </cell>
          <cell r="E515">
            <v>204.3502</v>
          </cell>
          <cell r="F515">
            <v>9.6</v>
          </cell>
          <cell r="G515">
            <v>3.2601999999999998</v>
          </cell>
          <cell r="H515">
            <v>0.75636639999999988</v>
          </cell>
          <cell r="I515">
            <v>4.0165663999999994</v>
          </cell>
        </row>
        <row r="516">
          <cell r="B516" t="str">
            <v>*091421</v>
          </cell>
          <cell r="C516" t="str">
            <v>TRASLADO CABLE NYY BT MAYOR A 3-1x16 HASTA 3-1x70 mm2</v>
          </cell>
          <cell r="D516" t="str">
            <v>M</v>
          </cell>
          <cell r="E516">
            <v>157.19210000000001</v>
          </cell>
          <cell r="F516">
            <v>9.6</v>
          </cell>
          <cell r="G516">
            <v>4.2380999999999993</v>
          </cell>
          <cell r="H516">
            <v>0.98323919999999976</v>
          </cell>
          <cell r="I516">
            <v>5.2213391999999992</v>
          </cell>
        </row>
        <row r="517">
          <cell r="B517" t="str">
            <v>*091440</v>
          </cell>
          <cell r="C517" t="str">
            <v>CABLE NYY BT MAYOR A 3-1x70mm2   HASTA 3-1x185mm2</v>
          </cell>
          <cell r="D517" t="str">
            <v>M</v>
          </cell>
          <cell r="E517">
            <v>193.0521</v>
          </cell>
          <cell r="F517">
            <v>9.6</v>
          </cell>
          <cell r="G517">
            <v>4.2789999999999999</v>
          </cell>
          <cell r="H517">
            <v>0.99272799999999994</v>
          </cell>
          <cell r="I517">
            <v>5.2717279999999995</v>
          </cell>
        </row>
        <row r="518">
          <cell r="B518" t="str">
            <v>*091441</v>
          </cell>
          <cell r="C518" t="str">
            <v>RETIRO CABLE NYY BT MAYOR A 3-1x70mm2   HASTA 3-1x185mm2</v>
          </cell>
          <cell r="D518" t="str">
            <v>M</v>
          </cell>
          <cell r="E518">
            <v>275.78089999999997</v>
          </cell>
          <cell r="F518">
            <v>9.6</v>
          </cell>
          <cell r="G518">
            <v>2.9953000000000003</v>
          </cell>
          <cell r="H518">
            <v>0.69490960000000002</v>
          </cell>
          <cell r="I518">
            <v>3.6902096000000002</v>
          </cell>
        </row>
        <row r="519">
          <cell r="B519" t="str">
            <v>*091442</v>
          </cell>
          <cell r="C519" t="str">
            <v>TRASLADO CABLE NYY BT MAYOR A 3-1x70mm2   HASTA 3-1x185mm2</v>
          </cell>
          <cell r="D519" t="str">
            <v>M</v>
          </cell>
          <cell r="E519">
            <v>148.50129999999999</v>
          </cell>
          <cell r="F519">
            <v>9.6</v>
          </cell>
          <cell r="G519">
            <v>5.5626999999999995</v>
          </cell>
          <cell r="H519">
            <v>1.2905463999999998</v>
          </cell>
          <cell r="I519">
            <v>6.8532463999999997</v>
          </cell>
        </row>
        <row r="520">
          <cell r="B520" t="str">
            <v>*091447</v>
          </cell>
          <cell r="C520" t="str">
            <v>RETIRO DE CABLE NYBY BT MAYOR A 3x16mm2 HASTA 3x70mm2</v>
          </cell>
          <cell r="D520" t="str">
            <v>M</v>
          </cell>
          <cell r="E520">
            <v>215.20060000000001</v>
          </cell>
          <cell r="F520">
            <v>9.6</v>
          </cell>
          <cell r="G520">
            <v>3.0741000000000005</v>
          </cell>
          <cell r="H520">
            <v>0.71319120000000003</v>
          </cell>
          <cell r="I520">
            <v>3.7872912000000003</v>
          </cell>
        </row>
        <row r="521">
          <cell r="B521" t="str">
            <v>*091448</v>
          </cell>
          <cell r="C521" t="str">
            <v>RETIRO DE CABLE NYBY BT  HASTA 3x16mm2</v>
          </cell>
          <cell r="D521" t="str">
            <v>M</v>
          </cell>
          <cell r="E521">
            <v>433.13049999999998</v>
          </cell>
          <cell r="F521">
            <v>9.6</v>
          </cell>
          <cell r="G521">
            <v>2.0905</v>
          </cell>
          <cell r="H521">
            <v>0.48499599999999998</v>
          </cell>
          <cell r="I521">
            <v>2.5754960000000002</v>
          </cell>
        </row>
        <row r="522">
          <cell r="B522" t="str">
            <v>*091449</v>
          </cell>
          <cell r="C522" t="str">
            <v>RETIRO CABLE NYY BT MAYOR A 3-1x185mm2</v>
          </cell>
          <cell r="D522" t="str">
            <v>M</v>
          </cell>
          <cell r="E522">
            <v>201.28</v>
          </cell>
          <cell r="F522">
            <v>9.6</v>
          </cell>
          <cell r="G522">
            <v>5.2950999999999997</v>
          </cell>
          <cell r="H522">
            <v>1.2284631999999998</v>
          </cell>
          <cell r="I522">
            <v>6.5235631999999999</v>
          </cell>
        </row>
        <row r="523">
          <cell r="B523" t="str">
            <v>*091450</v>
          </cell>
          <cell r="C523" t="str">
            <v>CABLE NYY BT MAYOR A 3-1x185mm2</v>
          </cell>
          <cell r="D523" t="str">
            <v>M</v>
          </cell>
          <cell r="E523">
            <v>140.9</v>
          </cell>
          <cell r="F523">
            <v>9.6</v>
          </cell>
          <cell r="G523">
            <v>7.5641999999999996</v>
          </cell>
          <cell r="H523">
            <v>1.7548943999999997</v>
          </cell>
          <cell r="I523">
            <v>9.3190943999999991</v>
          </cell>
        </row>
        <row r="524">
          <cell r="B524" t="str">
            <v>*091451</v>
          </cell>
          <cell r="C524" t="str">
            <v>TRASLADO DE CABLE NYY BT MAYOR A 3-1x185mm2</v>
          </cell>
          <cell r="D524" t="str">
            <v>M</v>
          </cell>
          <cell r="E524">
            <v>108.3844</v>
          </cell>
          <cell r="F524">
            <v>9.6</v>
          </cell>
          <cell r="G524">
            <v>9.8337000000000003</v>
          </cell>
          <cell r="H524">
            <v>2.2814183999999997</v>
          </cell>
          <cell r="I524">
            <v>12.1151184</v>
          </cell>
        </row>
        <row r="525">
          <cell r="B525" t="str">
            <v>*091452</v>
          </cell>
          <cell r="C525" t="str">
            <v>CABLE NYBY BT  HASTA 3x16mm2</v>
          </cell>
          <cell r="D525" t="str">
            <v>M</v>
          </cell>
          <cell r="E525">
            <v>303.2</v>
          </cell>
          <cell r="F525">
            <v>9.6</v>
          </cell>
          <cell r="G525">
            <v>2.9863</v>
          </cell>
          <cell r="H525">
            <v>0.69282159999999993</v>
          </cell>
          <cell r="I525">
            <v>3.6791215999999998</v>
          </cell>
        </row>
        <row r="526">
          <cell r="B526" t="str">
            <v>*091453</v>
          </cell>
          <cell r="C526" t="str">
            <v>CABLE NYBY BT MAYOR A 3x16mm2 HASTA 3x70mm2</v>
          </cell>
          <cell r="D526" t="str">
            <v>M</v>
          </cell>
          <cell r="E526">
            <v>150.6447</v>
          </cell>
          <cell r="F526">
            <v>9.6</v>
          </cell>
          <cell r="G526">
            <v>4.3914</v>
          </cell>
          <cell r="H526">
            <v>1.0188047999999998</v>
          </cell>
          <cell r="I526">
            <v>5.4102047999999998</v>
          </cell>
        </row>
        <row r="527">
          <cell r="B527" t="str">
            <v>*091455</v>
          </cell>
          <cell r="C527" t="str">
            <v>Cable NYBY BT mayor a  3 x 70 mm2  hasta 3 x 185 mm2 - 091455</v>
          </cell>
          <cell r="D527" t="str">
            <v>m</v>
          </cell>
          <cell r="E527">
            <v>183.46299999999999</v>
          </cell>
          <cell r="F527">
            <v>9.6</v>
          </cell>
          <cell r="G527">
            <v>5.1924999999999999</v>
          </cell>
          <cell r="H527">
            <v>1.2046599999999998</v>
          </cell>
          <cell r="I527">
            <v>6.3971599999999995</v>
          </cell>
        </row>
        <row r="528">
          <cell r="B528" t="str">
            <v>*091456</v>
          </cell>
          <cell r="C528" t="str">
            <v>RETIRO DE CABLE NYBY BT MAYOR A  3 x 70 mm2  HASTA 3 x 185 mm2</v>
          </cell>
          <cell r="D528" t="str">
            <v>M</v>
          </cell>
          <cell r="E528">
            <v>262.08249999999998</v>
          </cell>
          <cell r="F528">
            <v>9.6</v>
          </cell>
          <cell r="G528">
            <v>3.6349</v>
          </cell>
          <cell r="H528">
            <v>0.84329679999999996</v>
          </cell>
          <cell r="I528">
            <v>4.4781968000000001</v>
          </cell>
        </row>
        <row r="529">
          <cell r="B529" t="str">
            <v>*091459</v>
          </cell>
          <cell r="C529" t="str">
            <v>RETIRO CABLE NKY MT HASTA 16 mm2</v>
          </cell>
          <cell r="D529" t="str">
            <v>M</v>
          </cell>
          <cell r="E529">
            <v>1873.7152000000001</v>
          </cell>
          <cell r="F529">
            <v>9.6</v>
          </cell>
          <cell r="G529">
            <v>3.3473999999999999</v>
          </cell>
          <cell r="H529">
            <v>0.77659679999999998</v>
          </cell>
          <cell r="I529">
            <v>4.1239967999999996</v>
          </cell>
        </row>
        <row r="530">
          <cell r="B530" t="str">
            <v>*091460</v>
          </cell>
          <cell r="C530" t="str">
            <v>CABLE NKY MT HASTA 16 mm2</v>
          </cell>
          <cell r="D530" t="str">
            <v>M</v>
          </cell>
          <cell r="E530">
            <v>912</v>
          </cell>
          <cell r="F530">
            <v>9.6</v>
          </cell>
          <cell r="G530">
            <v>4.8086000000000002</v>
          </cell>
          <cell r="H530">
            <v>1.1155952</v>
          </cell>
          <cell r="I530">
            <v>5.9241951999999998</v>
          </cell>
        </row>
        <row r="531">
          <cell r="B531" t="str">
            <v>*091469</v>
          </cell>
          <cell r="C531" t="str">
            <v>RETIRO DE CABLE NKY MT MAYOR A 16MM2 HASTA 70mm²</v>
          </cell>
          <cell r="D531" t="str">
            <v>M</v>
          </cell>
          <cell r="E531">
            <v>1279.0504000000001</v>
          </cell>
          <cell r="F531">
            <v>9.6</v>
          </cell>
          <cell r="G531">
            <v>4.1059999999999999</v>
          </cell>
          <cell r="H531">
            <v>0.95259199999999988</v>
          </cell>
          <cell r="I531">
            <v>5.058592</v>
          </cell>
        </row>
        <row r="532">
          <cell r="B532" t="str">
            <v>*091470</v>
          </cell>
          <cell r="C532" t="str">
            <v>Cable NKY MT mayor a  16 mm2 hasta 70 mm2 - 091470</v>
          </cell>
          <cell r="D532" t="str">
            <v>M</v>
          </cell>
          <cell r="E532">
            <v>698</v>
          </cell>
          <cell r="F532">
            <v>9.6</v>
          </cell>
          <cell r="G532">
            <v>5.8911999999999995</v>
          </cell>
          <cell r="H532">
            <v>1.3667583999999997</v>
          </cell>
          <cell r="I532">
            <v>7.2579583999999997</v>
          </cell>
        </row>
        <row r="533">
          <cell r="B533" t="str">
            <v>*091489</v>
          </cell>
          <cell r="C533" t="str">
            <v>RETIRO DE CABLE NKY MT MAYOR A 70MM2 HASTA 240mm².</v>
          </cell>
          <cell r="D533" t="str">
            <v>M</v>
          </cell>
          <cell r="E533">
            <v>808.30219999999997</v>
          </cell>
          <cell r="F533">
            <v>9.6</v>
          </cell>
          <cell r="G533">
            <v>5.8419999999999996</v>
          </cell>
          <cell r="H533">
            <v>1.3553439999999999</v>
          </cell>
          <cell r="I533">
            <v>7.1973439999999993</v>
          </cell>
        </row>
        <row r="534">
          <cell r="B534" t="str">
            <v>*091490</v>
          </cell>
          <cell r="C534" t="str">
            <v>Cable NKY MT mayor a  70 mm2 hasta 240 mm2 - 091490</v>
          </cell>
          <cell r="D534" t="str">
            <v>M</v>
          </cell>
          <cell r="E534">
            <v>489.49009999999998</v>
          </cell>
          <cell r="F534">
            <v>9.6</v>
          </cell>
          <cell r="G534">
            <v>8.3694999999999986</v>
          </cell>
          <cell r="H534">
            <v>1.9417239999999996</v>
          </cell>
          <cell r="I534">
            <v>10.311223999999998</v>
          </cell>
        </row>
        <row r="535">
          <cell r="B535" t="str">
            <v>*091508</v>
          </cell>
          <cell r="C535" t="str">
            <v>TRASLADO CABLE SECO MT DE 1x25mm2 hasta 1x35 mm2</v>
          </cell>
          <cell r="D535" t="str">
            <v>M</v>
          </cell>
          <cell r="E535">
            <v>730.47699999999998</v>
          </cell>
          <cell r="F535">
            <v>9.6</v>
          </cell>
          <cell r="G535">
            <v>3.5147000000000004</v>
          </cell>
          <cell r="H535">
            <v>0.81541039999999998</v>
          </cell>
          <cell r="I535">
            <v>4.3301104000000006</v>
          </cell>
        </row>
        <row r="536">
          <cell r="B536" t="str">
            <v>*091509</v>
          </cell>
          <cell r="C536" t="str">
            <v>RETIRO CABLE SECO MT DE 1X25MM2 HASTA 1X35 MM2</v>
          </cell>
          <cell r="D536" t="str">
            <v>M</v>
          </cell>
          <cell r="E536">
            <v>1356.5645999999999</v>
          </cell>
          <cell r="F536">
            <v>9.6</v>
          </cell>
          <cell r="G536">
            <v>1.8926000000000001</v>
          </cell>
          <cell r="H536">
            <v>0.43908320000000001</v>
          </cell>
          <cell r="I536">
            <v>2.3316832000000001</v>
          </cell>
        </row>
        <row r="537">
          <cell r="B537" t="str">
            <v>*091510</v>
          </cell>
          <cell r="C537" t="str">
            <v>Cable seco MT de 1x25mm2 hasta 1x35 mm2</v>
          </cell>
          <cell r="D537" t="str">
            <v>M</v>
          </cell>
          <cell r="E537">
            <v>949.62220000000002</v>
          </cell>
          <cell r="F537">
            <v>9.6</v>
          </cell>
          <cell r="G537">
            <v>2.7035999999999998</v>
          </cell>
          <cell r="H537">
            <v>0.62723519999999988</v>
          </cell>
          <cell r="I537">
            <v>3.3308351999999997</v>
          </cell>
        </row>
        <row r="538">
          <cell r="B538" t="str">
            <v>*091511</v>
          </cell>
          <cell r="C538" t="str">
            <v>RETIRO CABLE SECO MT DE 1x35mm2 HASTA 1x95mm2</v>
          </cell>
          <cell r="D538" t="str">
            <v>M</v>
          </cell>
          <cell r="E538">
            <v>1133.0175999999999</v>
          </cell>
          <cell r="F538">
            <v>9.6</v>
          </cell>
          <cell r="G538">
            <v>2.6471</v>
          </cell>
          <cell r="H538">
            <v>0.61412719999999998</v>
          </cell>
          <cell r="I538">
            <v>3.2612272</v>
          </cell>
        </row>
        <row r="539">
          <cell r="B539" t="str">
            <v>*091512</v>
          </cell>
          <cell r="C539" t="str">
            <v>CABLE SECO MT DE 1x35mm2 HASTA 1x95mm2</v>
          </cell>
          <cell r="D539" t="str">
            <v>M</v>
          </cell>
          <cell r="E539">
            <v>793.13490000000002</v>
          </cell>
          <cell r="F539">
            <v>9.6</v>
          </cell>
          <cell r="G539">
            <v>3.7815999999999996</v>
          </cell>
          <cell r="H539">
            <v>0.87733119999999987</v>
          </cell>
          <cell r="I539">
            <v>4.6589311999999996</v>
          </cell>
        </row>
        <row r="540">
          <cell r="B540" t="str">
            <v>*091513</v>
          </cell>
          <cell r="C540" t="str">
            <v>TRASLADO CABLE SECO MT DE 1x35mm2 HASTA 1x95mm2</v>
          </cell>
          <cell r="D540" t="str">
            <v>M</v>
          </cell>
          <cell r="E540">
            <v>610.10239999999999</v>
          </cell>
          <cell r="F540">
            <v>9.6</v>
          </cell>
          <cell r="G540">
            <v>4.9160000000000004</v>
          </cell>
          <cell r="H540">
            <v>1.140512</v>
          </cell>
          <cell r="I540">
            <v>6.0565120000000006</v>
          </cell>
        </row>
        <row r="541">
          <cell r="B541" t="str">
            <v>*091514</v>
          </cell>
          <cell r="C541" t="str">
            <v>CABLE SECO MT DE 1x120mm2 HASTA 1x400mm2</v>
          </cell>
          <cell r="D541" t="str">
            <v>M</v>
          </cell>
          <cell r="E541">
            <v>682.58510000000001</v>
          </cell>
          <cell r="F541">
            <v>9.6</v>
          </cell>
          <cell r="G541">
            <v>4.3940000000000001</v>
          </cell>
          <cell r="H541">
            <v>1.0194079999999999</v>
          </cell>
          <cell r="I541">
            <v>5.4134080000000004</v>
          </cell>
        </row>
        <row r="542">
          <cell r="B542" t="str">
            <v>*091515</v>
          </cell>
          <cell r="C542" t="str">
            <v>RETIRO CABLE SECO MT DE 1x120mm2 HASTA 1x400mm2</v>
          </cell>
          <cell r="D542" t="str">
            <v>M</v>
          </cell>
          <cell r="E542">
            <v>975.09379999999999</v>
          </cell>
          <cell r="F542">
            <v>9.6</v>
          </cell>
          <cell r="G542">
            <v>3.0758000000000001</v>
          </cell>
          <cell r="H542">
            <v>0.71358559999999993</v>
          </cell>
          <cell r="I542">
            <v>3.7893856000000001</v>
          </cell>
        </row>
        <row r="543">
          <cell r="B543" t="str">
            <v>*091516</v>
          </cell>
          <cell r="C543" t="str">
            <v>TRASLADO CABLE SECO MT DE 1x120mm2 HASTA 1x400mm2</v>
          </cell>
          <cell r="D543" t="str">
            <v>M</v>
          </cell>
          <cell r="E543">
            <v>525.0643</v>
          </cell>
          <cell r="F543">
            <v>9.6</v>
          </cell>
          <cell r="G543">
            <v>5.7121000000000004</v>
          </cell>
          <cell r="H543">
            <v>1.3252071999999999</v>
          </cell>
          <cell r="I543">
            <v>7.0373072000000008</v>
          </cell>
        </row>
        <row r="544">
          <cell r="B544" t="str">
            <v>*091519</v>
          </cell>
          <cell r="C544" t="str">
            <v>RETIRO DE CONECTOR DE CODO C/CABLE SECO N2XSY DE 25 mm2 SCP Y SCB (3 CONECT.)</v>
          </cell>
          <cell r="D544" t="str">
            <v>UN</v>
          </cell>
          <cell r="E544">
            <v>3.2170000000000001</v>
          </cell>
          <cell r="F544">
            <v>9.6</v>
          </cell>
          <cell r="G544">
            <v>134.5181</v>
          </cell>
          <cell r="H544">
            <v>31.208199199999999</v>
          </cell>
          <cell r="I544">
            <v>165.7262992</v>
          </cell>
        </row>
        <row r="545">
          <cell r="B545" t="str">
            <v>*091520</v>
          </cell>
          <cell r="C545" t="str">
            <v>SUBIDA A POSTE MT C/CABLE NKY/N2XSY HASTA 70mm2 TERMINAL TERMORR O SIMILAR</v>
          </cell>
          <cell r="D545" t="str">
            <v>UN</v>
          </cell>
          <cell r="E545">
            <v>3</v>
          </cell>
          <cell r="F545">
            <v>9.6</v>
          </cell>
          <cell r="G545">
            <v>254.61769999999999</v>
          </cell>
          <cell r="H545">
            <v>59.07130639999999</v>
          </cell>
          <cell r="I545">
            <v>313.68900639999998</v>
          </cell>
        </row>
        <row r="546">
          <cell r="B546" t="str">
            <v>*091525</v>
          </cell>
          <cell r="C546" t="str">
            <v>CONECTOR DE CODO C/CABLE SECO N2XSY DE 25 mm2 SCP Y SCB (3 CONECT.)</v>
          </cell>
          <cell r="D546" t="str">
            <v>UN</v>
          </cell>
          <cell r="E546">
            <v>2.2519</v>
          </cell>
          <cell r="F546">
            <v>9.6</v>
          </cell>
          <cell r="G546">
            <v>192.16869999999997</v>
          </cell>
          <cell r="H546">
            <v>44.583138399999989</v>
          </cell>
          <cell r="I546">
            <v>236.75183839999997</v>
          </cell>
        </row>
        <row r="547">
          <cell r="B547" t="str">
            <v>*091527</v>
          </cell>
          <cell r="C547" t="str">
            <v>TERMINAL INTERIOR O EXTERIOR TRIF. TIPO TERMOR. O SIMILAR HASTA 240 MM2.</v>
          </cell>
          <cell r="D547" t="str">
            <v>UN</v>
          </cell>
          <cell r="E547">
            <v>2.4908000000000001</v>
          </cell>
          <cell r="F547">
            <v>9.6</v>
          </cell>
          <cell r="G547">
            <v>193.44889999999998</v>
          </cell>
          <cell r="H547">
            <v>44.880144799999989</v>
          </cell>
          <cell r="I547">
            <v>238.32904479999996</v>
          </cell>
        </row>
        <row r="548">
          <cell r="B548" t="str">
            <v>*091528</v>
          </cell>
          <cell r="C548" t="str">
            <v>RETIRO DE TERMINAL INTERIOR O EXTERIOR TRIF. TIPO TERMOR. O SIMILAR HASTA 240 MM2.</v>
          </cell>
          <cell r="D548" t="str">
            <v>UN</v>
          </cell>
          <cell r="E548">
            <v>3.5583</v>
          </cell>
          <cell r="F548">
            <v>9.6</v>
          </cell>
          <cell r="G548">
            <v>135.41370000000001</v>
          </cell>
          <cell r="H548">
            <v>31.4159784</v>
          </cell>
          <cell r="I548">
            <v>166.82967840000001</v>
          </cell>
        </row>
        <row r="549">
          <cell r="B549" t="str">
            <v>*091529</v>
          </cell>
          <cell r="C549" t="str">
            <v>TRASLADO DE TERMINAL INTERIOR O EXTERIOR TRIF. TIPO TERMOR. O SIMILAR HASTA 240 MM2.</v>
          </cell>
          <cell r="D549" t="str">
            <v>UN</v>
          </cell>
          <cell r="E549">
            <v>1.9159999999999999</v>
          </cell>
          <cell r="F549">
            <v>9.6</v>
          </cell>
          <cell r="G549">
            <v>251.48349999999999</v>
          </cell>
          <cell r="H549">
            <v>58.344171999999993</v>
          </cell>
          <cell r="I549">
            <v>309.82767200000001</v>
          </cell>
        </row>
        <row r="550">
          <cell r="B550" t="str">
            <v>*091531</v>
          </cell>
          <cell r="C550" t="str">
            <v>TUBO CORRUGADO DE 1/2" O 3/4"</v>
          </cell>
          <cell r="D550" t="str">
            <v>JG</v>
          </cell>
          <cell r="E550">
            <v>9.6</v>
          </cell>
          <cell r="F550">
            <v>9.6</v>
          </cell>
          <cell r="G550">
            <v>0.81169999999999998</v>
          </cell>
          <cell r="H550">
            <v>0.18831439999999999</v>
          </cell>
          <cell r="I550">
            <v>1.0000144</v>
          </cell>
        </row>
        <row r="551">
          <cell r="B551" t="str">
            <v>*091532</v>
          </cell>
          <cell r="C551" t="str">
            <v>TORNILLO PARA MEDIDOR</v>
          </cell>
          <cell r="D551" t="str">
            <v>JG</v>
          </cell>
          <cell r="E551">
            <v>9.6</v>
          </cell>
          <cell r="F551">
            <v>9.6</v>
          </cell>
          <cell r="G551">
            <v>0.81169999999999998</v>
          </cell>
          <cell r="H551">
            <v>0.18831439999999999</v>
          </cell>
          <cell r="I551">
            <v>1.0000144</v>
          </cell>
        </row>
        <row r="552">
          <cell r="B552" t="str">
            <v>*091540</v>
          </cell>
          <cell r="C552" t="str">
            <v>SUBIDA A POSTE MT NKY/N2XSY MAYOR DE 70 HASTA 240mm2 TERMINAL TERMOR.O SIMILAR</v>
          </cell>
          <cell r="D552" t="str">
            <v>UN</v>
          </cell>
          <cell r="E552">
            <v>2.3801999999999999</v>
          </cell>
          <cell r="F552">
            <v>9.6</v>
          </cell>
          <cell r="G552">
            <v>283.78230000000002</v>
          </cell>
          <cell r="H552">
            <v>65.837493600000002</v>
          </cell>
          <cell r="I552">
            <v>349.61979360000004</v>
          </cell>
        </row>
        <row r="553">
          <cell r="B553" t="str">
            <v>*091570</v>
          </cell>
          <cell r="C553" t="str">
            <v>SUBIDA A POSTE C/CABLE NYY  HASTA 3-1x70mm2</v>
          </cell>
          <cell r="D553" t="str">
            <v>UN</v>
          </cell>
          <cell r="E553">
            <v>5.3593000000000002</v>
          </cell>
          <cell r="F553">
            <v>9.6</v>
          </cell>
          <cell r="G553">
            <v>130.1421</v>
          </cell>
          <cell r="H553">
            <v>30.192967199999998</v>
          </cell>
          <cell r="I553">
            <v>160.3350672</v>
          </cell>
        </row>
        <row r="554">
          <cell r="B554" t="str">
            <v>*091590</v>
          </cell>
          <cell r="C554" t="str">
            <v>SUBIDA A POSTE C/CABLE NYY MAYOR A 3-1x70 mm2</v>
          </cell>
          <cell r="D554" t="str">
            <v>UN</v>
          </cell>
          <cell r="E554">
            <v>3.4035000000000002</v>
          </cell>
          <cell r="F554">
            <v>9.6</v>
          </cell>
          <cell r="G554">
            <v>153.72559999999999</v>
          </cell>
          <cell r="H554">
            <v>35.664339199999993</v>
          </cell>
          <cell r="I554">
            <v>189.38993919999999</v>
          </cell>
        </row>
        <row r="555">
          <cell r="B555" t="str">
            <v>*091608</v>
          </cell>
          <cell r="C555" t="str">
            <v>Empalme aéreo BT con conector cuña, mecánico o a compresión tubular - Por fase</v>
          </cell>
          <cell r="D555" t="str">
            <v>UN</v>
          </cell>
          <cell r="E555">
            <v>57.6</v>
          </cell>
          <cell r="F555">
            <v>9.6</v>
          </cell>
          <cell r="G555">
            <v>10.907399999999999</v>
          </cell>
          <cell r="H555">
            <v>2.5305167999999996</v>
          </cell>
          <cell r="I555">
            <v>13.437916799999998</v>
          </cell>
        </row>
        <row r="556">
          <cell r="B556" t="str">
            <v>*091610</v>
          </cell>
          <cell r="C556" t="str">
            <v>EMPALME DERECHO TRIFÁSICO MT CABLE NKY HASTA 240 mm2</v>
          </cell>
          <cell r="D556" t="str">
            <v>UN</v>
          </cell>
          <cell r="E556">
            <v>1.3887</v>
          </cell>
          <cell r="F556">
            <v>9.6</v>
          </cell>
          <cell r="G556">
            <v>316.55039999999997</v>
          </cell>
          <cell r="H556">
            <v>73.439692799999989</v>
          </cell>
          <cell r="I556">
            <v>389.99009279999996</v>
          </cell>
        </row>
        <row r="557">
          <cell r="B557" t="str">
            <v>*091626</v>
          </cell>
          <cell r="C557" t="str">
            <v>EMPALME DERECHO UNIPOLAR MT CABLE N2XSY HASTA 70 mm2.</v>
          </cell>
          <cell r="D557" t="str">
            <v>UN</v>
          </cell>
          <cell r="E557">
            <v>3.6714000000000002</v>
          </cell>
          <cell r="F557">
            <v>9.6</v>
          </cell>
          <cell r="G557">
            <v>126.56960000000001</v>
          </cell>
          <cell r="H557">
            <v>29.364147200000001</v>
          </cell>
          <cell r="I557">
            <v>155.9337472</v>
          </cell>
        </row>
        <row r="558">
          <cell r="B558" t="str">
            <v>*091628</v>
          </cell>
          <cell r="C558" t="str">
            <v>EMPALME DERECHO UNIPOLAR MT CABLE N2XSY HASTA 300 mm2.</v>
          </cell>
          <cell r="D558" t="str">
            <v>UN</v>
          </cell>
          <cell r="E558">
            <v>3.1160999999999999</v>
          </cell>
          <cell r="F558">
            <v>9.6</v>
          </cell>
          <cell r="G558">
            <v>157.6353</v>
          </cell>
          <cell r="H558">
            <v>36.571389599999996</v>
          </cell>
          <cell r="I558">
            <v>194.2066896</v>
          </cell>
        </row>
        <row r="559">
          <cell r="B559" t="str">
            <v>*091631</v>
          </cell>
          <cell r="C559" t="str">
            <v>EMPALME UNIPOLAR CABLE NYY RECT.O DERIV. HASTA 35 mm2</v>
          </cell>
          <cell r="D559" t="str">
            <v>UN</v>
          </cell>
          <cell r="E559">
            <v>22.4</v>
          </cell>
          <cell r="F559">
            <v>9.6</v>
          </cell>
          <cell r="G559">
            <v>24.037300000000002</v>
          </cell>
          <cell r="H559">
            <v>5.5766536000000002</v>
          </cell>
          <cell r="I559">
            <v>29.613953600000002</v>
          </cell>
        </row>
        <row r="560">
          <cell r="B560" t="str">
            <v>*091633</v>
          </cell>
          <cell r="C560" t="str">
            <v>EMPALME UNIPOLAR CABLE NYY RECT. O  DERIV. MAYOR DE 35 HASTA 300MM2</v>
          </cell>
          <cell r="D560" t="str">
            <v>UN</v>
          </cell>
          <cell r="E560">
            <v>20.88</v>
          </cell>
          <cell r="F560">
            <v>9.6</v>
          </cell>
          <cell r="G560">
            <v>38.182200000000002</v>
          </cell>
          <cell r="H560">
            <v>8.8582704000000003</v>
          </cell>
          <cell r="I560">
            <v>47.040470400000004</v>
          </cell>
        </row>
        <row r="561">
          <cell r="B561" t="str">
            <v>*091635</v>
          </cell>
          <cell r="C561" t="str">
            <v>EMPALME DERECHO ASIMETRICO MT NKY-N2XSY MAYOR A 35 mm2.</v>
          </cell>
          <cell r="D561" t="str">
            <v>UN</v>
          </cell>
          <cell r="E561">
            <v>1.256</v>
          </cell>
          <cell r="F561">
            <v>9.6</v>
          </cell>
          <cell r="G561">
            <v>517.24770000000001</v>
          </cell>
          <cell r="H561">
            <v>120.0014664</v>
          </cell>
          <cell r="I561">
            <v>637.24916640000004</v>
          </cell>
        </row>
        <row r="562">
          <cell r="B562" t="str">
            <v>*091640</v>
          </cell>
          <cell r="C562" t="str">
            <v>EMPALME DERECHO ASIMETRICO MT NKY-N2XSY HASTA 35 mm2.</v>
          </cell>
          <cell r="D562" t="str">
            <v>UN</v>
          </cell>
          <cell r="E562">
            <v>1.3246</v>
          </cell>
          <cell r="F562">
            <v>9.6</v>
          </cell>
          <cell r="G562">
            <v>351.12239999999997</v>
          </cell>
          <cell r="H562">
            <v>81.460396799999984</v>
          </cell>
          <cell r="I562">
            <v>432.58279679999998</v>
          </cell>
        </row>
        <row r="563">
          <cell r="B563" t="str">
            <v>*091642</v>
          </cell>
          <cell r="C563" t="str">
            <v>EMPALME ASIMETRICO DE 120 A 300MM2 PARA CABLE NKY/NYY RECTO O DERIVADO EN B.T.</v>
          </cell>
          <cell r="D563" t="str">
            <v>UN</v>
          </cell>
          <cell r="E563">
            <v>3.9670000000000001</v>
          </cell>
          <cell r="F563">
            <v>9.6</v>
          </cell>
          <cell r="G563">
            <v>147.172</v>
          </cell>
          <cell r="H563">
            <v>34.143903999999999</v>
          </cell>
          <cell r="I563">
            <v>181.31590399999999</v>
          </cell>
        </row>
        <row r="564">
          <cell r="B564" t="str">
            <v>*091643</v>
          </cell>
          <cell r="C564" t="str">
            <v>EMPALME MANGA MUERTA TRIPOLAR HASTA 300 mm2 BT (NKY /NYY)</v>
          </cell>
          <cell r="D564" t="str">
            <v>UN</v>
          </cell>
          <cell r="E564">
            <v>5.38</v>
          </cell>
          <cell r="F564">
            <v>9.6</v>
          </cell>
          <cell r="G564">
            <v>123.24520000000001</v>
          </cell>
          <cell r="H564">
            <v>28.592886400000001</v>
          </cell>
          <cell r="I564">
            <v>151.83808640000001</v>
          </cell>
        </row>
        <row r="565">
          <cell r="B565" t="str">
            <v>*091645</v>
          </cell>
          <cell r="C565" t="str">
            <v>EMPALME ASIMETRICO HASTA 70 MM2 PARA CABLE NKY/NYY  RECTO O DERIVADO EN B.T.</v>
          </cell>
          <cell r="D565" t="str">
            <v>UN</v>
          </cell>
          <cell r="E565">
            <v>7.1279000000000003</v>
          </cell>
          <cell r="F565">
            <v>9.6</v>
          </cell>
          <cell r="G565">
            <v>103.9693</v>
          </cell>
          <cell r="H565">
            <v>24.1208776</v>
          </cell>
          <cell r="I565">
            <v>128.0901776</v>
          </cell>
        </row>
        <row r="566">
          <cell r="B566" t="str">
            <v>*091649</v>
          </cell>
          <cell r="C566" t="str">
            <v>IDENTIFICACION DE CABLE NKY B.T.</v>
          </cell>
          <cell r="D566" t="str">
            <v>UN</v>
          </cell>
          <cell r="E566">
            <v>12.484999999999999</v>
          </cell>
          <cell r="F566">
            <v>9.6</v>
          </cell>
          <cell r="G566">
            <v>70.307100000000005</v>
          </cell>
          <cell r="H566">
            <v>16.3112472</v>
          </cell>
          <cell r="I566">
            <v>86.618347200000002</v>
          </cell>
        </row>
        <row r="567">
          <cell r="B567" t="str">
            <v>*091669</v>
          </cell>
          <cell r="C567" t="str">
            <v>RETIRO TUBO PVC.A POSTE P/PUNTO DE ALIMENTACION</v>
          </cell>
          <cell r="D567" t="str">
            <v>UN</v>
          </cell>
          <cell r="E567">
            <v>28.852499999999999</v>
          </cell>
          <cell r="F567">
            <v>9.6</v>
          </cell>
          <cell r="G567">
            <v>15.0471</v>
          </cell>
          <cell r="H567">
            <v>3.4909271999999998</v>
          </cell>
          <cell r="I567">
            <v>18.538027200000002</v>
          </cell>
        </row>
        <row r="568">
          <cell r="B568" t="str">
            <v>*091673</v>
          </cell>
          <cell r="C568" t="str">
            <v>COLOC.TUBO PVC.A POSTE P/PUNTO DE ALIMENTACION</v>
          </cell>
          <cell r="D568" t="str">
            <v>UN</v>
          </cell>
          <cell r="E568">
            <v>20.197299999999998</v>
          </cell>
          <cell r="F568">
            <v>9.6</v>
          </cell>
          <cell r="G568">
            <v>21.495099999999997</v>
          </cell>
          <cell r="H568">
            <v>4.9868631999999993</v>
          </cell>
          <cell r="I568">
            <v>26.481963199999996</v>
          </cell>
        </row>
        <row r="569">
          <cell r="B569" t="str">
            <v>*091676</v>
          </cell>
          <cell r="C569" t="str">
            <v>PUNTA MUERTA PARA TERNA MONOFÁSICA O TRIFÁSICA CON MANGA TERMOREST. CABLE NKY / NYY HASTA 300 MM²</v>
          </cell>
          <cell r="D569" t="str">
            <v>UN</v>
          </cell>
          <cell r="E569">
            <v>18.04</v>
          </cell>
          <cell r="F569">
            <v>9.6</v>
          </cell>
          <cell r="G569">
            <v>41.620999999999995</v>
          </cell>
          <cell r="H569">
            <v>9.6560719999999982</v>
          </cell>
          <cell r="I569">
            <v>51.27707199999999</v>
          </cell>
        </row>
        <row r="570">
          <cell r="B570" t="str">
            <v>*091682</v>
          </cell>
          <cell r="C570" t="str">
            <v>PUNTO DE FIJACION CABLE BT. EN PARED</v>
          </cell>
          <cell r="D570" t="str">
            <v>UN</v>
          </cell>
          <cell r="E570">
            <v>23.463100000000001</v>
          </cell>
          <cell r="F570">
            <v>9.6</v>
          </cell>
          <cell r="G570">
            <v>21.107099999999999</v>
          </cell>
          <cell r="H570">
            <v>4.8968471999999998</v>
          </cell>
          <cell r="I570">
            <v>26.003947199999999</v>
          </cell>
        </row>
        <row r="571">
          <cell r="B571" t="str">
            <v>*091683</v>
          </cell>
          <cell r="C571" t="str">
            <v>TRASLADO TUBO PVC.A POSTE P/PUNTO DE ALIMENTACION</v>
          </cell>
          <cell r="D571" t="str">
            <v>UN</v>
          </cell>
          <cell r="E571">
            <v>15.536300000000001</v>
          </cell>
          <cell r="F571">
            <v>9.6</v>
          </cell>
          <cell r="G571">
            <v>27.944000000000003</v>
          </cell>
          <cell r="H571">
            <v>6.4830079999999999</v>
          </cell>
          <cell r="I571">
            <v>34.427008000000001</v>
          </cell>
        </row>
        <row r="572">
          <cell r="B572" t="str">
            <v>*091684</v>
          </cell>
          <cell r="C572" t="str">
            <v>PUNTA MUERTA PARA CABLE N2XSY NO ENERGIZADO (SOLO PROTEGE HUIMEDAD)</v>
          </cell>
          <cell r="D572" t="str">
            <v>UN</v>
          </cell>
          <cell r="E572">
            <v>20.468900000000001</v>
          </cell>
          <cell r="F572">
            <v>9.6</v>
          </cell>
          <cell r="G572">
            <v>24.891600000000004</v>
          </cell>
          <cell r="H572">
            <v>5.7748512000000005</v>
          </cell>
          <cell r="I572">
            <v>30.666451200000004</v>
          </cell>
        </row>
        <row r="573">
          <cell r="B573" t="str">
            <v>*091686</v>
          </cell>
          <cell r="C573" t="str">
            <v>RETIRO PUNTA MUERTA P/TERNA MONOFASICA O TRIFASICA C/MANGA TERMOREST. CABLE NKY/NYY HASTA 300 MM²</v>
          </cell>
          <cell r="D573" t="str">
            <v>UN</v>
          </cell>
          <cell r="E573">
            <v>25.770700000000001</v>
          </cell>
          <cell r="F573">
            <v>9.6</v>
          </cell>
          <cell r="G573">
            <v>29.135400000000001</v>
          </cell>
          <cell r="H573">
            <v>6.7594127999999998</v>
          </cell>
          <cell r="I573">
            <v>35.894812799999997</v>
          </cell>
        </row>
        <row r="574">
          <cell r="B574" t="str">
            <v>*091710</v>
          </cell>
          <cell r="C574" t="str">
            <v>MONTAJE BARRAS MT EN SUBST. DE 3 CELDAS</v>
          </cell>
          <cell r="D574" t="str">
            <v>PQ</v>
          </cell>
          <cell r="E574">
            <v>1.0264</v>
          </cell>
          <cell r="F574">
            <v>9.6</v>
          </cell>
          <cell r="G574">
            <v>879.63880000000006</v>
          </cell>
          <cell r="H574">
            <v>204.07620159999999</v>
          </cell>
          <cell r="I574">
            <v>1083.7150016000001</v>
          </cell>
        </row>
        <row r="575">
          <cell r="B575" t="str">
            <v>*091721</v>
          </cell>
          <cell r="C575" t="str">
            <v>RETIRO DE RELE HB EN CELDA (INCL. VARILLAS)</v>
          </cell>
          <cell r="D575" t="str">
            <v>UN</v>
          </cell>
          <cell r="E575">
            <v>24.5303</v>
          </cell>
          <cell r="F575">
            <v>9.6</v>
          </cell>
          <cell r="G575">
            <v>20.1889</v>
          </cell>
          <cell r="H575">
            <v>4.6838248</v>
          </cell>
          <cell r="I575">
            <v>24.8727248</v>
          </cell>
        </row>
        <row r="576">
          <cell r="B576" t="str">
            <v>*091722</v>
          </cell>
          <cell r="C576" t="str">
            <v>INSTALACION DE RELE HB EN CELDA (INCL. VARILLAS)</v>
          </cell>
          <cell r="D576" t="str">
            <v>UN</v>
          </cell>
          <cell r="E576">
            <v>17.171700000000001</v>
          </cell>
          <cell r="F576">
            <v>9.6</v>
          </cell>
          <cell r="G576">
            <v>28.840400000000002</v>
          </cell>
          <cell r="H576">
            <v>6.6909727999999999</v>
          </cell>
          <cell r="I576">
            <v>35.5313728</v>
          </cell>
        </row>
        <row r="577">
          <cell r="B577" t="str">
            <v>*091729</v>
          </cell>
          <cell r="C577" t="str">
            <v>RETIRO DE PROTECCION MT TRANSFORMADOR TRIFASICO</v>
          </cell>
          <cell r="D577" t="str">
            <v>PQ</v>
          </cell>
          <cell r="E577">
            <v>7.9169</v>
          </cell>
          <cell r="F577">
            <v>9.6</v>
          </cell>
          <cell r="G577">
            <v>105.71</v>
          </cell>
          <cell r="H577">
            <v>24.524719999999999</v>
          </cell>
          <cell r="I577">
            <v>130.23471999999998</v>
          </cell>
        </row>
        <row r="578">
          <cell r="B578" t="str">
            <v>*091730</v>
          </cell>
          <cell r="C578" t="str">
            <v>PROTECCION MT TRANSFORMADOR TRIFASICO</v>
          </cell>
          <cell r="D578" t="str">
            <v>PQ</v>
          </cell>
          <cell r="E578">
            <v>5.2789999999999999</v>
          </cell>
          <cell r="F578">
            <v>9.6</v>
          </cell>
          <cell r="G578">
            <v>151.32139999999998</v>
          </cell>
          <cell r="H578">
            <v>35.106564799999994</v>
          </cell>
          <cell r="I578">
            <v>186.42796479999998</v>
          </cell>
        </row>
        <row r="579">
          <cell r="B579" t="str">
            <v>*091749</v>
          </cell>
          <cell r="C579" t="str">
            <v>RETIRO DE BARRAS MT EN SUBEST. DE 4 CELDAS</v>
          </cell>
          <cell r="D579" t="str">
            <v>PQ</v>
          </cell>
          <cell r="E579">
            <v>1.4757</v>
          </cell>
          <cell r="F579">
            <v>9.6</v>
          </cell>
          <cell r="G579">
            <v>765.91699999999992</v>
          </cell>
          <cell r="H579">
            <v>177.69274399999998</v>
          </cell>
          <cell r="I579">
            <v>943.60974399999986</v>
          </cell>
        </row>
        <row r="580">
          <cell r="B580" t="str">
            <v>*091750</v>
          </cell>
          <cell r="C580" t="str">
            <v>MONTAJE BARRAS MT EN SUBEST. DE 4 CELDAS</v>
          </cell>
          <cell r="D580" t="str">
            <v>PQ</v>
          </cell>
          <cell r="E580">
            <v>1.0329999999999999</v>
          </cell>
          <cell r="F580">
            <v>9.6</v>
          </cell>
          <cell r="G580">
            <v>1094.1565000000001</v>
          </cell>
          <cell r="H580">
            <v>253.84430799999998</v>
          </cell>
          <cell r="I580">
            <v>1348.000808</v>
          </cell>
        </row>
        <row r="581">
          <cell r="B581" t="str">
            <v>*091759</v>
          </cell>
          <cell r="C581" t="str">
            <v>RETIRO DE BARRAS BT EN SE.CONV/COMP.</v>
          </cell>
          <cell r="D581" t="str">
            <v>PQ</v>
          </cell>
          <cell r="E581">
            <v>1.4666999999999999</v>
          </cell>
          <cell r="F581">
            <v>9.6</v>
          </cell>
          <cell r="G581">
            <v>615.57310000000007</v>
          </cell>
          <cell r="H581">
            <v>142.81295919999999</v>
          </cell>
          <cell r="I581">
            <v>758.38605920000009</v>
          </cell>
        </row>
        <row r="582">
          <cell r="B582" t="str">
            <v>*091760</v>
          </cell>
          <cell r="C582" t="str">
            <v>MONTAJE DE BARRAS BT EN SE.CONV/COMP.</v>
          </cell>
          <cell r="D582" t="str">
            <v>PQ</v>
          </cell>
          <cell r="E582">
            <v>1.0266999999999999</v>
          </cell>
          <cell r="F582">
            <v>9.6</v>
          </cell>
          <cell r="G582">
            <v>879.38169999999991</v>
          </cell>
          <cell r="H582">
            <v>204.01655439999996</v>
          </cell>
          <cell r="I582">
            <v>1083.3982543999998</v>
          </cell>
        </row>
        <row r="583">
          <cell r="B583" t="str">
            <v>*091770</v>
          </cell>
          <cell r="C583" t="str">
            <v>APERTURA Y CIERRE ZANJAS BT (0.60 x 0.70 PROF.) C/ APISONADORA MANUAL</v>
          </cell>
          <cell r="D583" t="str">
            <v>M</v>
          </cell>
          <cell r="E583">
            <v>37.26</v>
          </cell>
          <cell r="F583">
            <v>9.6</v>
          </cell>
          <cell r="G583">
            <v>20.862300000000001</v>
          </cell>
          <cell r="H583">
            <v>4.8400536000000001</v>
          </cell>
          <cell r="I583">
            <v>25.702353600000002</v>
          </cell>
        </row>
        <row r="584">
          <cell r="B584" t="str">
            <v>*091775</v>
          </cell>
          <cell r="C584" t="str">
            <v>APERTURA Y CIERRE ZANJAS BT(0,60 x 0,70 PROF.)  C/ APISONADORA MOTORIZ.</v>
          </cell>
          <cell r="D584" t="str">
            <v>M</v>
          </cell>
          <cell r="E584">
            <v>27.381</v>
          </cell>
          <cell r="F584">
            <v>9.6</v>
          </cell>
          <cell r="G584">
            <v>24.420999999999999</v>
          </cell>
          <cell r="H584">
            <v>5.6656719999999998</v>
          </cell>
          <cell r="I584">
            <v>30.086672</v>
          </cell>
        </row>
        <row r="585">
          <cell r="B585" t="str">
            <v>*091777</v>
          </cell>
          <cell r="C585" t="str">
            <v>APERT Y CIERRE ZANJAS BT (0.60 X 0.70 PROF.) C/APISONAD MANUAL; TRAB MASIVO EN CTRL TEC Y CAL SERV</v>
          </cell>
          <cell r="D585" t="str">
            <v>UN</v>
          </cell>
          <cell r="E585">
            <v>49.357999999999997</v>
          </cell>
          <cell r="F585">
            <v>9.6</v>
          </cell>
          <cell r="G585">
            <v>17.054299999999998</v>
          </cell>
          <cell r="H585">
            <v>3.9565975999999994</v>
          </cell>
          <cell r="I585">
            <v>21.010897599999996</v>
          </cell>
        </row>
        <row r="586">
          <cell r="B586" t="str">
            <v>*091780</v>
          </cell>
          <cell r="C586" t="str">
            <v>APERTURA Y CIERRE ZANJAS MT  (0.60 x 1.10 PROF.) C/ APISONADORA MANUAL</v>
          </cell>
          <cell r="D586" t="str">
            <v>M</v>
          </cell>
          <cell r="E586">
            <v>8.8244000000000007</v>
          </cell>
          <cell r="F586">
            <v>9.6</v>
          </cell>
          <cell r="G586">
            <v>28.474299999999999</v>
          </cell>
          <cell r="H586">
            <v>6.6060375999999996</v>
          </cell>
          <cell r="I586">
            <v>35.0803376</v>
          </cell>
        </row>
        <row r="587">
          <cell r="B587" t="str">
            <v>*091785</v>
          </cell>
          <cell r="C587" t="str">
            <v>APERTURA Y CIERRE ZANJAS MT(0,60 x 1,10 PROF.) C/ APISONADORA MOTORIZ.</v>
          </cell>
          <cell r="D587" t="str">
            <v>M</v>
          </cell>
          <cell r="E587">
            <v>21.75</v>
          </cell>
          <cell r="F587">
            <v>9.6</v>
          </cell>
          <cell r="G587">
            <v>40.046300000000002</v>
          </cell>
          <cell r="H587">
            <v>9.2907416000000005</v>
          </cell>
          <cell r="I587">
            <v>49.337041600000006</v>
          </cell>
        </row>
        <row r="588">
          <cell r="B588" t="str">
            <v>*091786</v>
          </cell>
          <cell r="C588" t="str">
            <v>APERTURA Y CIERRE ZANJAS MT(0,60 x 1,10 PROF.) C/ APISONADORA MOTORIZ. - TRABAJO EN SED</v>
          </cell>
          <cell r="D588" t="str">
            <v>M</v>
          </cell>
          <cell r="E588">
            <v>21.75</v>
          </cell>
          <cell r="F588">
            <v>9.6</v>
          </cell>
          <cell r="G588">
            <v>58.867699999999992</v>
          </cell>
          <cell r="H588">
            <v>13.657306399999998</v>
          </cell>
          <cell r="I588">
            <v>72.525006399999995</v>
          </cell>
        </row>
        <row r="589">
          <cell r="B589" t="str">
            <v>*091787</v>
          </cell>
          <cell r="C589" t="str">
            <v>APERTURA Y CIERRE ZANJAS MT(0,60 x 1,10 PROF.) C/ APISONADORA MOTORIZ. - PRESENCIA DE CABLE DE MT</v>
          </cell>
          <cell r="D589" t="str">
            <v>M</v>
          </cell>
          <cell r="E589">
            <v>21.75</v>
          </cell>
          <cell r="F589">
            <v>9.6</v>
          </cell>
          <cell r="G589">
            <v>40.590700000000005</v>
          </cell>
          <cell r="H589">
            <v>9.4170423999999997</v>
          </cell>
          <cell r="I589">
            <v>50.007742400000005</v>
          </cell>
        </row>
        <row r="590">
          <cell r="B590" t="str">
            <v>*091790</v>
          </cell>
          <cell r="C590" t="str">
            <v>APERTURA Y CIERRE ZANJA CUALQUIER TERRENO</v>
          </cell>
          <cell r="D590" t="str">
            <v>M3</v>
          </cell>
          <cell r="E590">
            <v>36</v>
          </cell>
          <cell r="F590">
            <v>9.6</v>
          </cell>
          <cell r="G590">
            <v>38.141400000000004</v>
          </cell>
          <cell r="H590">
            <v>8.8488047999999999</v>
          </cell>
          <cell r="I590">
            <v>46.990204800000001</v>
          </cell>
        </row>
        <row r="591">
          <cell r="B591" t="str">
            <v>*091791</v>
          </cell>
          <cell r="C591" t="str">
            <v>Eliminación de desmonte acopio temporal para volumenes menores a  1,5m3</v>
          </cell>
          <cell r="D591" t="str">
            <v>M3</v>
          </cell>
          <cell r="E591">
            <v>9.9464000000000006</v>
          </cell>
          <cell r="F591">
            <v>9.6</v>
          </cell>
          <cell r="G591">
            <v>28.475900000000003</v>
          </cell>
          <cell r="H591">
            <v>6.6064088000000005</v>
          </cell>
          <cell r="I591">
            <v>35.082308800000007</v>
          </cell>
        </row>
        <row r="592">
          <cell r="B592" t="str">
            <v>*091792</v>
          </cell>
          <cell r="C592" t="str">
            <v>TIERRA CERNIDA  EN TERRENO ROCOSO (ZANJA-TENDIDO DE CABLE)</v>
          </cell>
          <cell r="D592" t="str">
            <v>M</v>
          </cell>
          <cell r="E592">
            <v>190.03739999999999</v>
          </cell>
          <cell r="F592">
            <v>9.6</v>
          </cell>
          <cell r="G592">
            <v>2.2845</v>
          </cell>
          <cell r="H592">
            <v>0.53000399999999992</v>
          </cell>
          <cell r="I592">
            <v>2.8145039999999999</v>
          </cell>
        </row>
        <row r="593">
          <cell r="B593" t="str">
            <v>*091793</v>
          </cell>
          <cell r="C593" t="str">
            <v>RETIRO DE ESCOMBROS / CASCOTES POR METRO</v>
          </cell>
          <cell r="D593" t="str">
            <v>M</v>
          </cell>
          <cell r="E593">
            <v>711.08069999999998</v>
          </cell>
          <cell r="F593">
            <v>9.6</v>
          </cell>
          <cell r="G593">
            <v>1.7610000000000001</v>
          </cell>
          <cell r="H593">
            <v>0.40855200000000003</v>
          </cell>
          <cell r="I593">
            <v>2.1695520000000004</v>
          </cell>
        </row>
        <row r="594">
          <cell r="B594" t="str">
            <v>*091794</v>
          </cell>
          <cell r="C594" t="str">
            <v>RETIRO DE ESCOMBROS / CASCOTES POR M3</v>
          </cell>
          <cell r="D594" t="str">
            <v>M3</v>
          </cell>
          <cell r="E594">
            <v>21.725000000000001</v>
          </cell>
          <cell r="F594">
            <v>9.6</v>
          </cell>
          <cell r="G594">
            <v>38.483800000000002</v>
          </cell>
          <cell r="H594">
            <v>8.9282415999999998</v>
          </cell>
          <cell r="I594">
            <v>47.412041600000002</v>
          </cell>
        </row>
        <row r="595">
          <cell r="B595" t="str">
            <v>*091795</v>
          </cell>
          <cell r="C595" t="str">
            <v>EXCAVACION EN ROCA</v>
          </cell>
          <cell r="D595" t="str">
            <v>M3</v>
          </cell>
          <cell r="E595">
            <v>5.6345999999999998</v>
          </cell>
          <cell r="F595">
            <v>9.6</v>
          </cell>
          <cell r="G595">
            <v>87.892400000000009</v>
          </cell>
          <cell r="H595">
            <v>20.391036800000002</v>
          </cell>
          <cell r="I595">
            <v>108.2834368</v>
          </cell>
        </row>
        <row r="596">
          <cell r="B596" t="str">
            <v>*091796</v>
          </cell>
          <cell r="C596" t="str">
            <v>APERTURA DE HOYO PARA POSTE TERR ROCOSO (&gt;10)</v>
          </cell>
          <cell r="D596" t="str">
            <v>UN</v>
          </cell>
          <cell r="E596">
            <v>4.5751999999999997</v>
          </cell>
          <cell r="F596">
            <v>9.6</v>
          </cell>
          <cell r="G596">
            <v>111.00749999999999</v>
          </cell>
          <cell r="H596">
            <v>25.753739999999997</v>
          </cell>
          <cell r="I596">
            <v>136.76123999999999</v>
          </cell>
        </row>
        <row r="597">
          <cell r="B597" t="str">
            <v>*091797</v>
          </cell>
          <cell r="C597" t="str">
            <v>APERTURA DE HOYO PARA POSTE TERR. NORMAL (&gt;10)</v>
          </cell>
          <cell r="D597" t="str">
            <v>UN</v>
          </cell>
          <cell r="E597">
            <v>6.6201999999999996</v>
          </cell>
          <cell r="F597">
            <v>9.6</v>
          </cell>
          <cell r="G597">
            <v>44.989900000000006</v>
          </cell>
          <cell r="H597">
            <v>10.437656800000001</v>
          </cell>
          <cell r="I597">
            <v>55.427556800000005</v>
          </cell>
        </row>
        <row r="598">
          <cell r="B598" t="str">
            <v>*091798</v>
          </cell>
          <cell r="C598" t="str">
            <v>Ejecución de hoyo para poste de hasta 8,7m en roca con martillo neumático y compresora (PROPIETARIO)</v>
          </cell>
          <cell r="D598" t="str">
            <v>UN</v>
          </cell>
          <cell r="E598">
            <v>1</v>
          </cell>
          <cell r="F598">
            <v>9.6</v>
          </cell>
          <cell r="G598">
            <v>758.45749999999998</v>
          </cell>
          <cell r="H598">
            <v>175.96213999999998</v>
          </cell>
          <cell r="I598">
            <v>934.41963999999996</v>
          </cell>
        </row>
        <row r="599">
          <cell r="B599" t="str">
            <v>*091799</v>
          </cell>
          <cell r="C599" t="str">
            <v>Ejecución de hoyo para poste de hasta 8,7m en roca con martillo neumático y compresora (ALQUILER)</v>
          </cell>
          <cell r="D599" t="str">
            <v>UN</v>
          </cell>
          <cell r="E599">
            <v>1</v>
          </cell>
          <cell r="F599">
            <v>9.6</v>
          </cell>
          <cell r="G599">
            <v>849.00759999999991</v>
          </cell>
          <cell r="H599">
            <v>196.96976319999996</v>
          </cell>
          <cell r="I599">
            <v>1045.9773631999999</v>
          </cell>
        </row>
        <row r="600">
          <cell r="B600" t="str">
            <v>*091800</v>
          </cell>
          <cell r="C600" t="str">
            <v>RETIRO Y RECOLOCACION DE LOCETAS O PISOS ESPECIALES</v>
          </cell>
          <cell r="D600" t="str">
            <v>M2</v>
          </cell>
          <cell r="E600">
            <v>10.456</v>
          </cell>
          <cell r="F600">
            <v>9.6</v>
          </cell>
          <cell r="G600">
            <v>65.346800000000002</v>
          </cell>
          <cell r="H600">
            <v>15.160457599999999</v>
          </cell>
          <cell r="I600">
            <v>80.507257600000003</v>
          </cell>
        </row>
        <row r="601">
          <cell r="B601" t="str">
            <v>*091810</v>
          </cell>
          <cell r="C601" t="str">
            <v>REPOSICION DE GRASS</v>
          </cell>
          <cell r="D601" t="str">
            <v>M2</v>
          </cell>
          <cell r="E601">
            <v>75.020700000000005</v>
          </cell>
          <cell r="F601">
            <v>9.6</v>
          </cell>
          <cell r="G601">
            <v>5.7869999999999999</v>
          </cell>
          <cell r="H601">
            <v>1.342584</v>
          </cell>
          <cell r="I601">
            <v>7.1295839999999995</v>
          </cell>
        </row>
        <row r="602">
          <cell r="B602" t="str">
            <v>*091811</v>
          </cell>
          <cell r="C602" t="str">
            <v>INSTALACIÓN DE GRASS NUEVO</v>
          </cell>
          <cell r="D602" t="str">
            <v>M2</v>
          </cell>
          <cell r="E602">
            <v>209.5455</v>
          </cell>
          <cell r="F602">
            <v>9.6</v>
          </cell>
          <cell r="G602">
            <v>15.226799999999999</v>
          </cell>
          <cell r="H602">
            <v>3.5326175999999996</v>
          </cell>
          <cell r="I602">
            <v>18.759417599999999</v>
          </cell>
        </row>
        <row r="603">
          <cell r="B603" t="str">
            <v>*091820</v>
          </cell>
          <cell r="C603" t="str">
            <v>ROTURA DE ASFALTO</v>
          </cell>
          <cell r="D603" t="str">
            <v>M2</v>
          </cell>
          <cell r="E603">
            <v>51</v>
          </cell>
          <cell r="F603">
            <v>9.6</v>
          </cell>
          <cell r="G603">
            <v>17.868099999999998</v>
          </cell>
          <cell r="H603">
            <v>4.1453991999999991</v>
          </cell>
          <cell r="I603">
            <v>22.013499199999998</v>
          </cell>
        </row>
        <row r="604">
          <cell r="B604" t="str">
            <v>*091830</v>
          </cell>
          <cell r="C604" t="str">
            <v>ROTURA DE PISTA CUALQUIER ESPESOR</v>
          </cell>
          <cell r="D604" t="str">
            <v>M2</v>
          </cell>
          <cell r="E604">
            <v>19.7</v>
          </cell>
          <cell r="F604">
            <v>9.6</v>
          </cell>
          <cell r="G604">
            <v>43.865200000000002</v>
          </cell>
          <cell r="H604">
            <v>10.1767264</v>
          </cell>
          <cell r="I604">
            <v>54.041926400000001</v>
          </cell>
        </row>
        <row r="605">
          <cell r="B605" t="str">
            <v>*091835</v>
          </cell>
          <cell r="C605" t="str">
            <v>Rotura de pista &lt;= 10m2, hasta 30cm de espesor usando minicargador con martillo rompedor.</v>
          </cell>
          <cell r="D605" t="str">
            <v>M2</v>
          </cell>
          <cell r="E605">
            <v>28.69</v>
          </cell>
          <cell r="F605">
            <v>9.6</v>
          </cell>
          <cell r="G605">
            <v>61.251000000000005</v>
          </cell>
          <cell r="H605">
            <v>14.210232</v>
          </cell>
          <cell r="I605">
            <v>75.46123200000001</v>
          </cell>
        </row>
        <row r="606">
          <cell r="B606" t="str">
            <v>*091840</v>
          </cell>
          <cell r="C606" t="str">
            <v>ROTURA DE VEREDA CUALQUIER ESPESOR S/MAQ.CORTADORA</v>
          </cell>
          <cell r="D606" t="str">
            <v>M2</v>
          </cell>
          <cell r="E606">
            <v>40</v>
          </cell>
          <cell r="F606">
            <v>9.6</v>
          </cell>
          <cell r="G606">
            <v>19.927800000000001</v>
          </cell>
          <cell r="H606">
            <v>4.6232496000000003</v>
          </cell>
          <cell r="I606">
            <v>24.551049600000002</v>
          </cell>
        </row>
        <row r="607">
          <cell r="B607" t="str">
            <v>*091842</v>
          </cell>
          <cell r="C607" t="str">
            <v>CORTE DE VEREDA PARA CAMBIO DE POSTE (&lt;2M2)</v>
          </cell>
          <cell r="D607" t="str">
            <v>M2</v>
          </cell>
          <cell r="E607">
            <v>17.45</v>
          </cell>
          <cell r="F607">
            <v>9.6</v>
          </cell>
          <cell r="G607">
            <v>55.495500000000007</v>
          </cell>
          <cell r="H607">
            <v>12.874956000000001</v>
          </cell>
          <cell r="I607">
            <v>68.370456000000004</v>
          </cell>
        </row>
        <row r="608">
          <cell r="B608" t="str">
            <v>*091845</v>
          </cell>
          <cell r="C608" t="str">
            <v>ROTURA DE VEREDA CON MAQUINA CORTADORA EN M2</v>
          </cell>
          <cell r="D608" t="str">
            <v>M2</v>
          </cell>
          <cell r="E608">
            <v>56</v>
          </cell>
          <cell r="F608">
            <v>9.6</v>
          </cell>
          <cell r="G608">
            <v>25.839400000000001</v>
          </cell>
          <cell r="H608">
            <v>5.9947407999999998</v>
          </cell>
          <cell r="I608">
            <v>31.8341408</v>
          </cell>
        </row>
        <row r="609">
          <cell r="B609" t="str">
            <v>*091847</v>
          </cell>
          <cell r="C609" t="str">
            <v>Rotura de Vereda con martillo demoledor - Incluye grupo electrógeno</v>
          </cell>
          <cell r="D609" t="str">
            <v>M2</v>
          </cell>
          <cell r="E609">
            <v>72.202699999999993</v>
          </cell>
          <cell r="F609">
            <v>9.6</v>
          </cell>
          <cell r="G609">
            <v>9.3189999999999991</v>
          </cell>
          <cell r="H609">
            <v>2.1620079999999997</v>
          </cell>
          <cell r="I609">
            <v>11.481007999999999</v>
          </cell>
        </row>
        <row r="610">
          <cell r="B610" t="str">
            <v>*091848</v>
          </cell>
          <cell r="C610" t="str">
            <v>ROTURA DE VEREDA CON MARTILLO DE MINICARGADOR (ROTURA Y APILAMIENTO)</v>
          </cell>
          <cell r="D610" t="str">
            <v>M2</v>
          </cell>
          <cell r="E610">
            <v>104.7</v>
          </cell>
          <cell r="F610">
            <v>9.6</v>
          </cell>
          <cell r="G610">
            <v>7.1840999999999999</v>
          </cell>
          <cell r="H610">
            <v>1.6667111999999999</v>
          </cell>
          <cell r="I610">
            <v>8.850811199999999</v>
          </cell>
        </row>
        <row r="611">
          <cell r="B611" t="str">
            <v>*091849</v>
          </cell>
          <cell r="C611" t="str">
            <v>ROTURA DE VEREDA CON MARTILLO DE MINICARGADOR - ALQUILER (ROTURA Y APILAMIENTO)</v>
          </cell>
          <cell r="D611" t="str">
            <v>M2</v>
          </cell>
          <cell r="E611">
            <v>104.7</v>
          </cell>
          <cell r="F611">
            <v>9.6</v>
          </cell>
          <cell r="G611">
            <v>9.5303000000000004</v>
          </cell>
          <cell r="H611">
            <v>2.2110295999999998</v>
          </cell>
          <cell r="I611">
            <v>11.7413296</v>
          </cell>
        </row>
        <row r="612">
          <cell r="B612" t="str">
            <v>*091850</v>
          </cell>
          <cell r="C612" t="str">
            <v>SOLADO DE CONCRETO DE 5 CM DE ESPESOR</v>
          </cell>
          <cell r="D612" t="str">
            <v>M2</v>
          </cell>
          <cell r="E612">
            <v>42.71</v>
          </cell>
          <cell r="F612">
            <v>9.6</v>
          </cell>
          <cell r="G612">
            <v>11.4237</v>
          </cell>
          <cell r="H612">
            <v>2.6502984000000001</v>
          </cell>
          <cell r="I612">
            <v>14.073998400000001</v>
          </cell>
        </row>
        <row r="613">
          <cell r="B613" t="str">
            <v>*091900</v>
          </cell>
          <cell r="C613" t="str">
            <v>CRUZADA 2 VIAS / TIPO 1 (NO INCLUYE ROTURA  NI REPARACION DE PAVIMENTOS)</v>
          </cell>
          <cell r="D613" t="str">
            <v>M</v>
          </cell>
          <cell r="E613">
            <v>11.2417</v>
          </cell>
          <cell r="F613">
            <v>9.6</v>
          </cell>
          <cell r="G613">
            <v>106.5765</v>
          </cell>
          <cell r="H613">
            <v>24.725747999999996</v>
          </cell>
          <cell r="I613">
            <v>131.30224799999999</v>
          </cell>
        </row>
        <row r="614">
          <cell r="B614" t="str">
            <v>*091905</v>
          </cell>
          <cell r="C614" t="str">
            <v>CRUZADA 4 VIAS / TIPO 3 : (NO INCLUYE ROTURA NI REPARACION DE PAVIMENTOS)</v>
          </cell>
          <cell r="D614" t="str">
            <v>M</v>
          </cell>
          <cell r="E614">
            <v>10.468400000000001</v>
          </cell>
          <cell r="F614">
            <v>9.6</v>
          </cell>
          <cell r="G614">
            <v>113.73090000000002</v>
          </cell>
          <cell r="H614">
            <v>26.385568800000001</v>
          </cell>
          <cell r="I614">
            <v>140.11646880000001</v>
          </cell>
        </row>
        <row r="615">
          <cell r="B615" t="str">
            <v>*091910</v>
          </cell>
          <cell r="C615" t="str">
            <v>CRUZADA 8 VIAS / TIPO 5 (NO INCLUYE ROTURA  NI REPARACION DE PAVIMENTOS)</v>
          </cell>
          <cell r="D615" t="str">
            <v>M</v>
          </cell>
          <cell r="E615">
            <v>9.2024000000000008</v>
          </cell>
          <cell r="F615">
            <v>9.6</v>
          </cell>
          <cell r="G615">
            <v>128.9271</v>
          </cell>
          <cell r="H615">
            <v>29.911087199999997</v>
          </cell>
          <cell r="I615">
            <v>158.83818719999999</v>
          </cell>
        </row>
        <row r="616">
          <cell r="B616" t="str">
            <v>*091915</v>
          </cell>
          <cell r="C616" t="str">
            <v>CRUZADA 8 VIAS / TIPO 7 (NO INCLUYE ROTURA NI REPARACION DE PAVIMENTOS)</v>
          </cell>
          <cell r="D616" t="str">
            <v>M</v>
          </cell>
          <cell r="E616">
            <v>9.91</v>
          </cell>
          <cell r="F616">
            <v>9.6</v>
          </cell>
          <cell r="G616">
            <v>150.5361</v>
          </cell>
          <cell r="H616">
            <v>34.9243752</v>
          </cell>
          <cell r="I616">
            <v>185.46047520000002</v>
          </cell>
        </row>
        <row r="617">
          <cell r="B617" t="str">
            <v>*091920</v>
          </cell>
          <cell r="C617" t="str">
            <v>CRUZADA 16 VIAS / TIPO 9 (NO INCLUYE ROTURA NI REPARACION DE PAVIMENTOS)</v>
          </cell>
          <cell r="D617" t="str">
            <v>M</v>
          </cell>
          <cell r="E617">
            <v>8.4421999999999997</v>
          </cell>
          <cell r="F617">
            <v>9.6</v>
          </cell>
          <cell r="G617">
            <v>175.66460000000001</v>
          </cell>
          <cell r="H617">
            <v>40.754187199999997</v>
          </cell>
          <cell r="I617">
            <v>216.4187872</v>
          </cell>
        </row>
        <row r="618">
          <cell r="B618" t="str">
            <v>*091921</v>
          </cell>
          <cell r="C618" t="str">
            <v>COLOCACIÓN Y RETIRO DE TABLON EN CRUZADA</v>
          </cell>
          <cell r="D618" t="str">
            <v>JG</v>
          </cell>
          <cell r="E618">
            <v>19.190000000000001</v>
          </cell>
          <cell r="F618">
            <v>9.6</v>
          </cell>
          <cell r="G618">
            <v>52.381400000000006</v>
          </cell>
          <cell r="H618">
            <v>12.1524848</v>
          </cell>
          <cell r="I618">
            <v>64.53388480000001</v>
          </cell>
        </row>
        <row r="619">
          <cell r="B619" t="str">
            <v>*091922</v>
          </cell>
          <cell r="C619" t="str">
            <v>INSTALACIÓN Y RETIRO DE PLANCHA METALICA EN CRUZADAS</v>
          </cell>
          <cell r="D619" t="str">
            <v>M</v>
          </cell>
          <cell r="E619">
            <v>37.931199999999997</v>
          </cell>
          <cell r="F619">
            <v>9.6</v>
          </cell>
          <cell r="G619">
            <v>66.894000000000005</v>
          </cell>
          <cell r="H619">
            <v>15.519408</v>
          </cell>
          <cell r="I619">
            <v>82.413408000000004</v>
          </cell>
        </row>
        <row r="620">
          <cell r="B620" t="str">
            <v>*091923</v>
          </cell>
          <cell r="C620" t="str">
            <v>COLOCACIÓN Y RETIRO DE GRILLA DE 0.60 X 0.90 M EN CRUZADA</v>
          </cell>
          <cell r="D620" t="str">
            <v>UN</v>
          </cell>
          <cell r="E620">
            <v>228.19300000000001</v>
          </cell>
          <cell r="F620">
            <v>9.6</v>
          </cell>
          <cell r="G620">
            <v>7.6417999999999999</v>
          </cell>
          <cell r="H620">
            <v>1.7728975999999999</v>
          </cell>
          <cell r="I620">
            <v>9.4146976000000002</v>
          </cell>
        </row>
        <row r="621">
          <cell r="B621" t="str">
            <v>*091924</v>
          </cell>
          <cell r="C621" t="str">
            <v>REEMPLAZO DE BATERIA DE MEDIDOR ELECTRONICO MULTIFUNCION BT MT</v>
          </cell>
          <cell r="D621" t="str">
            <v>UN</v>
          </cell>
          <cell r="E621">
            <v>28.8</v>
          </cell>
          <cell r="F621">
            <v>9.6</v>
          </cell>
          <cell r="G621">
            <v>14.74</v>
          </cell>
          <cell r="H621">
            <v>3.4196799999999996</v>
          </cell>
          <cell r="I621">
            <v>18.159680000000002</v>
          </cell>
        </row>
        <row r="622">
          <cell r="B622" t="str">
            <v>*091927</v>
          </cell>
          <cell r="C622" t="str">
            <v>Medición de electrizamiento en zanjas y cruzadas - Incl. 3 niveles cada 5 metros</v>
          </cell>
          <cell r="D622" t="str">
            <v>UN</v>
          </cell>
          <cell r="E622">
            <v>233.38740000000001</v>
          </cell>
          <cell r="F622">
            <v>9.6</v>
          </cell>
          <cell r="G622">
            <v>1.0676999999999999</v>
          </cell>
          <cell r="H622">
            <v>0.24770639999999997</v>
          </cell>
          <cell r="I622">
            <v>1.3154063999999999</v>
          </cell>
        </row>
        <row r="623">
          <cell r="B623" t="str">
            <v>*091928</v>
          </cell>
          <cell r="C623" t="str">
            <v>"INSTALACION DE DUCTO PVC (POR UNIDAD DE 3M ) DE HASTA 6"" EN ZANJA DE MT O BT"</v>
          </cell>
          <cell r="D623" t="str">
            <v>UN</v>
          </cell>
          <cell r="E623">
            <v>113.0004</v>
          </cell>
          <cell r="F623">
            <v>9.6</v>
          </cell>
          <cell r="G623">
            <v>8.6638000000000002</v>
          </cell>
          <cell r="H623">
            <v>2.0100015999999998</v>
          </cell>
          <cell r="I623">
            <v>10.673801600000001</v>
          </cell>
        </row>
        <row r="624">
          <cell r="B624" t="str">
            <v>*091929</v>
          </cell>
          <cell r="C624" t="str">
            <v>RETIRO DE DUCTO PVC (POR UNIDAD DE 3M ) DE HASTA 6"" EN ZANJA DE MT O BT"</v>
          </cell>
          <cell r="D624" t="str">
            <v>UN</v>
          </cell>
          <cell r="E624">
            <v>161.4246</v>
          </cell>
          <cell r="F624">
            <v>9.6</v>
          </cell>
          <cell r="G624">
            <v>6.0648</v>
          </cell>
          <cell r="H624">
            <v>1.4070335999999999</v>
          </cell>
          <cell r="I624">
            <v>7.4718336000000001</v>
          </cell>
        </row>
        <row r="625">
          <cell r="B625" t="str">
            <v>*091930</v>
          </cell>
          <cell r="C625" t="str">
            <v>COLOCACIÓN Y RETIRO DE TAPA PROTECTORA DE MADERA</v>
          </cell>
          <cell r="D625" t="str">
            <v>UN</v>
          </cell>
          <cell r="E625">
            <v>288</v>
          </cell>
          <cell r="F625">
            <v>9.6</v>
          </cell>
          <cell r="G625">
            <v>2.7673000000000001</v>
          </cell>
          <cell r="H625">
            <v>0.64201359999999996</v>
          </cell>
          <cell r="I625">
            <v>3.4093135999999999</v>
          </cell>
        </row>
        <row r="626">
          <cell r="B626" t="str">
            <v>*092000</v>
          </cell>
          <cell r="C626" t="str">
            <v>REVISION Y CAMBIO DE LAMPARA</v>
          </cell>
          <cell r="D626" t="str">
            <v>UN</v>
          </cell>
          <cell r="E626">
            <v>72.012500000000003</v>
          </cell>
          <cell r="F626">
            <v>9.6</v>
          </cell>
          <cell r="G626">
            <v>16.5623</v>
          </cell>
          <cell r="H626">
            <v>3.8424535999999998</v>
          </cell>
          <cell r="I626">
            <v>20.404753599999999</v>
          </cell>
        </row>
        <row r="627">
          <cell r="B627" t="str">
            <v>*092030</v>
          </cell>
          <cell r="C627" t="str">
            <v>MANTENIMIENTO EQUIPOS DE CONTROL</v>
          </cell>
          <cell r="D627" t="str">
            <v>UN</v>
          </cell>
          <cell r="E627">
            <v>58.853700000000003</v>
          </cell>
          <cell r="F627">
            <v>9.6</v>
          </cell>
          <cell r="G627">
            <v>7.2990000000000004</v>
          </cell>
          <cell r="H627">
            <v>1.693368</v>
          </cell>
          <cell r="I627">
            <v>8.9923680000000008</v>
          </cell>
        </row>
        <row r="628">
          <cell r="B628" t="str">
            <v>*092031</v>
          </cell>
          <cell r="C628" t="str">
            <v>Reconocimiento adicional para equipo analizador de calidad de energia</v>
          </cell>
          <cell r="D628" t="str">
            <v>UN</v>
          </cell>
          <cell r="E628">
            <v>9.6</v>
          </cell>
          <cell r="F628">
            <v>9.6</v>
          </cell>
          <cell r="G628">
            <v>24.175599999999999</v>
          </cell>
          <cell r="H628">
            <v>5.6087391999999996</v>
          </cell>
          <cell r="I628">
            <v>29.784339199999998</v>
          </cell>
        </row>
        <row r="629">
          <cell r="B629" t="str">
            <v>*092040</v>
          </cell>
          <cell r="C629" t="str">
            <v>MANTENIMIENTO DE CELULA FOTOELECTRICA SIN BASE</v>
          </cell>
          <cell r="D629" t="str">
            <v>UN</v>
          </cell>
          <cell r="E629">
            <v>140.476</v>
          </cell>
          <cell r="F629">
            <v>9.6</v>
          </cell>
          <cell r="G629">
            <v>8.8199000000000005</v>
          </cell>
          <cell r="H629">
            <v>2.0462167999999998</v>
          </cell>
          <cell r="I629">
            <v>10.8661168</v>
          </cell>
        </row>
        <row r="630">
          <cell r="B630" t="str">
            <v>*092160</v>
          </cell>
          <cell r="C630" t="str">
            <v>PINTAR POSTES  MT Y BT</v>
          </cell>
          <cell r="D630" t="str">
            <v>UN</v>
          </cell>
          <cell r="E630">
            <v>11.450699999999999</v>
          </cell>
          <cell r="F630">
            <v>9.6</v>
          </cell>
          <cell r="G630">
            <v>43.249699999999997</v>
          </cell>
          <cell r="H630">
            <v>10.033930399999999</v>
          </cell>
          <cell r="I630">
            <v>53.283630399999993</v>
          </cell>
        </row>
        <row r="631">
          <cell r="B631" t="str">
            <v>*092162</v>
          </cell>
          <cell r="C631" t="str">
            <v>PINTADO DE POSTE DE FIERRO (COMPLETO)</v>
          </cell>
          <cell r="D631" t="str">
            <v>UN</v>
          </cell>
          <cell r="E631">
            <v>6.4865000000000004</v>
          </cell>
          <cell r="F631">
            <v>9.6</v>
          </cell>
          <cell r="G631">
            <v>215.5377</v>
          </cell>
          <cell r="H631">
            <v>50.004746399999995</v>
          </cell>
          <cell r="I631">
            <v>265.54244640000002</v>
          </cell>
        </row>
        <row r="632">
          <cell r="B632" t="str">
            <v>*092180</v>
          </cell>
          <cell r="C632" t="str">
            <v>DESPEJAR FALLAS DE CIRCUITOS DE A.P.</v>
          </cell>
          <cell r="D632" t="str">
            <v>UN</v>
          </cell>
          <cell r="E632">
            <v>12.0443</v>
          </cell>
          <cell r="F632">
            <v>9.6</v>
          </cell>
          <cell r="G632">
            <v>69.611499999999992</v>
          </cell>
          <cell r="H632">
            <v>16.149867999999998</v>
          </cell>
          <cell r="I632">
            <v>85.76136799999999</v>
          </cell>
        </row>
        <row r="633">
          <cell r="B633" t="str">
            <v>*092225</v>
          </cell>
          <cell r="C633" t="str">
            <v>DETECCIÓN DE CORTOCIRCUITO EN CABLE SUBTERRÁNEO DE A P</v>
          </cell>
          <cell r="D633" t="str">
            <v>UN</v>
          </cell>
          <cell r="E633">
            <v>1.7426999999999999</v>
          </cell>
          <cell r="F633">
            <v>9.6</v>
          </cell>
          <cell r="G633">
            <v>541.20060000000001</v>
          </cell>
          <cell r="H633">
            <v>125.5585392</v>
          </cell>
          <cell r="I633">
            <v>666.75913920000005</v>
          </cell>
        </row>
        <row r="634">
          <cell r="B634" t="str">
            <v>*092226</v>
          </cell>
          <cell r="C634" t="str">
            <v>DETECCIÓN DE CABLE SUBTERRÁNEO DE AP SECCIONADO</v>
          </cell>
          <cell r="D634" t="str">
            <v>UN</v>
          </cell>
          <cell r="E634">
            <v>16.057700000000001</v>
          </cell>
          <cell r="F634">
            <v>9.6</v>
          </cell>
          <cell r="G634">
            <v>77.762699999999995</v>
          </cell>
          <cell r="H634">
            <v>18.040946399999999</v>
          </cell>
          <cell r="I634">
            <v>95.803646399999991</v>
          </cell>
        </row>
        <row r="635">
          <cell r="B635" t="str">
            <v>*092240</v>
          </cell>
          <cell r="C635" t="str">
            <v>LIMPIAR LUMINARIAS O FAROLAS (DESMONTAJE   Y MONTAJE TOTAL)</v>
          </cell>
          <cell r="D635" t="str">
            <v>UN</v>
          </cell>
          <cell r="E635">
            <v>16</v>
          </cell>
          <cell r="F635">
            <v>9.6</v>
          </cell>
          <cell r="G635">
            <v>67.498899999999992</v>
          </cell>
          <cell r="H635">
            <v>15.659744799999997</v>
          </cell>
          <cell r="I635">
            <v>83.15864479999999</v>
          </cell>
        </row>
        <row r="636">
          <cell r="B636" t="str">
            <v>*092999</v>
          </cell>
          <cell r="C636" t="str">
            <v>RETIRO DE CONEXION MONOF. O TRIF. AÉREA C/SEGURO</v>
          </cell>
          <cell r="D636" t="str">
            <v>UN</v>
          </cell>
          <cell r="E636">
            <v>13.985799999999999</v>
          </cell>
          <cell r="F636">
            <v>9.6</v>
          </cell>
          <cell r="G636">
            <v>50.720299999999995</v>
          </cell>
          <cell r="H636">
            <v>11.767109599999998</v>
          </cell>
          <cell r="I636">
            <v>62.487409599999992</v>
          </cell>
        </row>
        <row r="637">
          <cell r="B637" t="str">
            <v>*093000</v>
          </cell>
          <cell r="C637" t="str">
            <v>CONEXION MONOF. O TRIF. AÉREA C/SEGURO</v>
          </cell>
          <cell r="D637" t="str">
            <v>UN</v>
          </cell>
          <cell r="E637">
            <v>9.2119999999999997</v>
          </cell>
          <cell r="F637">
            <v>9.6</v>
          </cell>
          <cell r="G637">
            <v>72.597300000000004</v>
          </cell>
          <cell r="H637">
            <v>16.842573600000001</v>
          </cell>
          <cell r="I637">
            <v>89.439873599999999</v>
          </cell>
        </row>
        <row r="638">
          <cell r="B638" t="str">
            <v>*093004</v>
          </cell>
          <cell r="C638" t="str">
            <v>RETIRO DE CONEXION MONOF.O TRIF.AEREA S/SEGURO</v>
          </cell>
          <cell r="D638" t="str">
            <v>UN</v>
          </cell>
          <cell r="E638">
            <v>7.6492000000000004</v>
          </cell>
          <cell r="F638">
            <v>9.6</v>
          </cell>
          <cell r="G638">
            <v>66.979800000000012</v>
          </cell>
          <cell r="H638">
            <v>15.539313600000002</v>
          </cell>
          <cell r="I638">
            <v>82.519113600000011</v>
          </cell>
        </row>
        <row r="639">
          <cell r="B639" t="str">
            <v>*093005</v>
          </cell>
          <cell r="C639" t="str">
            <v>CONEXION MONOF.O TRIF.AEREA S/SEGURO</v>
          </cell>
          <cell r="D639" t="str">
            <v>UN</v>
          </cell>
          <cell r="E639">
            <v>5.2695999999999996</v>
          </cell>
          <cell r="F639">
            <v>9.6</v>
          </cell>
          <cell r="G639">
            <v>95.750699999999995</v>
          </cell>
          <cell r="H639">
            <v>22.214162399999996</v>
          </cell>
          <cell r="I639">
            <v>117.96486239999999</v>
          </cell>
        </row>
        <row r="640">
          <cell r="B640" t="str">
            <v>*093016</v>
          </cell>
          <cell r="C640" t="str">
            <v>CONEXION PARA SOPORTE DE PRFV MONOF.O TRIF.AEREA S/SEGURO</v>
          </cell>
          <cell r="D640" t="str">
            <v>UN</v>
          </cell>
          <cell r="E640">
            <v>8.2833000000000006</v>
          </cell>
          <cell r="F640">
            <v>9.6</v>
          </cell>
          <cell r="G640">
            <v>68.530100000000004</v>
          </cell>
          <cell r="H640">
            <v>15.8989832</v>
          </cell>
          <cell r="I640">
            <v>84.429083200000008</v>
          </cell>
        </row>
        <row r="641">
          <cell r="B641" t="str">
            <v>*093018</v>
          </cell>
          <cell r="C641" t="str">
            <v>CONEXION PARA SOPORTE DE PRFV O CAJA EXISTENTE MONOF.O TRIF. SUBT.S/VER.S/SEG.HASTA 20KW</v>
          </cell>
          <cell r="D641" t="str">
            <v>UN</v>
          </cell>
          <cell r="E641">
            <v>3.4698000000000002</v>
          </cell>
          <cell r="F641">
            <v>9.6</v>
          </cell>
          <cell r="G641">
            <v>179.3963</v>
          </cell>
          <cell r="H641">
            <v>41.619941599999997</v>
          </cell>
          <cell r="I641">
            <v>221.0162416</v>
          </cell>
        </row>
        <row r="642">
          <cell r="B642" t="str">
            <v>*093019</v>
          </cell>
          <cell r="C642" t="str">
            <v>CONEX.PARA SOPORTE DE PRFV O CAJA EXISTENTE MONOF.O TRIF. AEREO SUBT. (TIPO V) CAJA L, LT S/SEGURO</v>
          </cell>
          <cell r="D642" t="str">
            <v>UN</v>
          </cell>
          <cell r="E642">
            <v>2.0518000000000001</v>
          </cell>
          <cell r="F642">
            <v>9.6</v>
          </cell>
          <cell r="G642">
            <v>329.14049999999997</v>
          </cell>
          <cell r="H642">
            <v>76.360595999999987</v>
          </cell>
          <cell r="I642">
            <v>405.50109599999996</v>
          </cell>
        </row>
        <row r="643">
          <cell r="B643" t="str">
            <v>*093021</v>
          </cell>
          <cell r="C643" t="str">
            <v>RETIRO DE CONEXIÓN  MONOFASICA TRIFASICA  AÉREA C/S PUNTA MUERTA</v>
          </cell>
          <cell r="D643" t="str">
            <v>UN</v>
          </cell>
          <cell r="E643">
            <v>12.164300000000001</v>
          </cell>
          <cell r="F643">
            <v>9.6</v>
          </cell>
          <cell r="G643">
            <v>51.125200000000007</v>
          </cell>
          <cell r="H643">
            <v>11.861046400000001</v>
          </cell>
          <cell r="I643">
            <v>62.986246400000006</v>
          </cell>
        </row>
        <row r="644">
          <cell r="B644" t="str">
            <v>*093022</v>
          </cell>
          <cell r="C644" t="str">
            <v>RETIRO DE CONEXIÓN  MONOFASICA TRIFASICA  AÉREA (INCLUYE RETIRO DE CAJAPORTAMEDIDOR C/S PUNTA MUERTA</v>
          </cell>
          <cell r="D644" t="str">
            <v>UN</v>
          </cell>
          <cell r="E644">
            <v>10.379899999999999</v>
          </cell>
          <cell r="F644">
            <v>9.6</v>
          </cell>
          <cell r="G644">
            <v>59.914000000000001</v>
          </cell>
          <cell r="H644">
            <v>13.900048</v>
          </cell>
          <cell r="I644">
            <v>73.814048</v>
          </cell>
        </row>
        <row r="645">
          <cell r="B645" t="str">
            <v>*093039</v>
          </cell>
          <cell r="C645" t="str">
            <v>RETIRO DE MASTIL DE 1,8 A 6 M</v>
          </cell>
          <cell r="D645" t="str">
            <v>UN</v>
          </cell>
          <cell r="E645">
            <v>65.349599999999995</v>
          </cell>
          <cell r="F645">
            <v>9.6</v>
          </cell>
          <cell r="G645">
            <v>9.0349000000000004</v>
          </cell>
          <cell r="H645">
            <v>2.0960967999999998</v>
          </cell>
          <cell r="I645">
            <v>11.1309968</v>
          </cell>
        </row>
        <row r="646">
          <cell r="B646" t="str">
            <v>*093040</v>
          </cell>
          <cell r="C646" t="str">
            <v>INSTALACIÓN DE MASTIL DE 1,8 A 6 M</v>
          </cell>
          <cell r="D646" t="str">
            <v>UN</v>
          </cell>
          <cell r="E646">
            <v>45.746000000000002</v>
          </cell>
          <cell r="F646">
            <v>9.6</v>
          </cell>
          <cell r="G646">
            <v>12.906500000000001</v>
          </cell>
          <cell r="H646">
            <v>2.9943080000000002</v>
          </cell>
          <cell r="I646">
            <v>15.900808000000001</v>
          </cell>
        </row>
        <row r="647">
          <cell r="B647" t="str">
            <v>*093041</v>
          </cell>
          <cell r="C647" t="str">
            <v>INSTALACION DE MÁSTIL-MURETE INTEGRADO MONOFÁSICO O TRIFÁSICO DE 3,5 METROS</v>
          </cell>
          <cell r="D647" t="str">
            <v>UN</v>
          </cell>
          <cell r="E647">
            <v>9.3928999999999991</v>
          </cell>
          <cell r="F647">
            <v>9.6</v>
          </cell>
          <cell r="G647">
            <v>46.396599999999999</v>
          </cell>
          <cell r="H647">
            <v>10.764011199999999</v>
          </cell>
          <cell r="I647">
            <v>57.160611199999998</v>
          </cell>
        </row>
        <row r="648">
          <cell r="B648" t="str">
            <v>*093042</v>
          </cell>
          <cell r="C648" t="str">
            <v>TRASLADO DE MASTIL DE 1,8 A 6 M</v>
          </cell>
          <cell r="D648" t="str">
            <v>UN</v>
          </cell>
          <cell r="E648">
            <v>35.1892</v>
          </cell>
          <cell r="F648">
            <v>9.6</v>
          </cell>
          <cell r="G648">
            <v>16.778600000000001</v>
          </cell>
          <cell r="H648">
            <v>3.8926352</v>
          </cell>
          <cell r="I648">
            <v>20.671235200000002</v>
          </cell>
        </row>
        <row r="649">
          <cell r="B649" t="str">
            <v>*093043</v>
          </cell>
          <cell r="C649" t="str">
            <v>TRASLADO DE CORONA 4 GANCHOS PARA ACOMETIDA DOMICILIARIA</v>
          </cell>
          <cell r="D649" t="str">
            <v>UN</v>
          </cell>
          <cell r="E649">
            <v>70.443200000000004</v>
          </cell>
          <cell r="F649">
            <v>9.6</v>
          </cell>
          <cell r="G649">
            <v>8.3815000000000008</v>
          </cell>
          <cell r="H649">
            <v>1.9445080000000001</v>
          </cell>
          <cell r="I649">
            <v>10.326008000000002</v>
          </cell>
        </row>
        <row r="650">
          <cell r="B650" t="str">
            <v>*093044</v>
          </cell>
          <cell r="C650" t="str">
            <v>RETIRO CORONA 4 GANCHOS PARA ACOMETIDA DOMICILIARIA</v>
          </cell>
          <cell r="D650" t="str">
            <v>UN</v>
          </cell>
          <cell r="E650">
            <v>130.81970000000001</v>
          </cell>
          <cell r="F650">
            <v>9.6</v>
          </cell>
          <cell r="G650">
            <v>4.5132999999999992</v>
          </cell>
          <cell r="H650">
            <v>1.0470855999999997</v>
          </cell>
          <cell r="I650">
            <v>5.5603855999999992</v>
          </cell>
        </row>
        <row r="651">
          <cell r="B651" t="str">
            <v>*093045</v>
          </cell>
          <cell r="C651" t="str">
            <v>CORONA 4 GANCHOS PARA ACOMETIDA DOMICILIARIA</v>
          </cell>
          <cell r="D651" t="str">
            <v>UN</v>
          </cell>
          <cell r="E651">
            <v>91.576400000000007</v>
          </cell>
          <cell r="F651">
            <v>9.6</v>
          </cell>
          <cell r="G651">
            <v>6.4473000000000011</v>
          </cell>
          <cell r="H651">
            <v>1.4957736000000001</v>
          </cell>
          <cell r="I651">
            <v>7.9430736000000017</v>
          </cell>
        </row>
        <row r="652">
          <cell r="B652" t="str">
            <v>*093049</v>
          </cell>
          <cell r="C652" t="str">
            <v>RETIRO DE CAJA SUMINISTRO BT-6</v>
          </cell>
          <cell r="D652" t="str">
            <v>UN</v>
          </cell>
          <cell r="E652">
            <v>101.42570000000001</v>
          </cell>
          <cell r="F652">
            <v>9.6</v>
          </cell>
          <cell r="G652">
            <v>3.7668999999999997</v>
          </cell>
          <cell r="H652">
            <v>0.87392079999999983</v>
          </cell>
          <cell r="I652">
            <v>4.6408207999999993</v>
          </cell>
        </row>
        <row r="653">
          <cell r="B653" t="str">
            <v>*093050</v>
          </cell>
          <cell r="C653" t="str">
            <v>Instalación de caja suministro BT-6 - 093050</v>
          </cell>
          <cell r="D653" t="str">
            <v>Un</v>
          </cell>
          <cell r="E653">
            <v>71</v>
          </cell>
          <cell r="F653">
            <v>9.6</v>
          </cell>
          <cell r="G653">
            <v>5.3809999999999993</v>
          </cell>
          <cell r="H653">
            <v>1.2483919999999997</v>
          </cell>
          <cell r="I653">
            <v>6.6293919999999993</v>
          </cell>
        </row>
        <row r="654">
          <cell r="B654" t="str">
            <v>*093051</v>
          </cell>
          <cell r="C654" t="str">
            <v>Traslado de caja suministro BT-6 - 093050</v>
          </cell>
          <cell r="D654" t="str">
            <v>UN</v>
          </cell>
          <cell r="E654">
            <v>54.615299999999998</v>
          </cell>
          <cell r="F654">
            <v>9.6</v>
          </cell>
          <cell r="G654">
            <v>6.9952999999999994</v>
          </cell>
          <cell r="H654">
            <v>1.6229095999999998</v>
          </cell>
          <cell r="I654">
            <v>8.6182096000000001</v>
          </cell>
        </row>
        <row r="655">
          <cell r="B655" t="str">
            <v>*093069</v>
          </cell>
          <cell r="C655" t="str">
            <v>RETIRO ACOMETIDA AEREA Y ACCESORIOS</v>
          </cell>
          <cell r="D655" t="str">
            <v>UN</v>
          </cell>
          <cell r="E655">
            <v>19.770900000000001</v>
          </cell>
          <cell r="F655">
            <v>9.6</v>
          </cell>
          <cell r="G655">
            <v>25.3294</v>
          </cell>
          <cell r="H655">
            <v>5.8764207999999991</v>
          </cell>
          <cell r="I655">
            <v>31.205820799999998</v>
          </cell>
        </row>
        <row r="656">
          <cell r="B656" t="str">
            <v>*093070</v>
          </cell>
          <cell r="C656" t="str">
            <v>INSTALAR ACOMETIDA AEREA Y ACCESORIOS</v>
          </cell>
          <cell r="D656" t="str">
            <v>UN</v>
          </cell>
          <cell r="E656">
            <v>13.84</v>
          </cell>
          <cell r="F656">
            <v>9.6</v>
          </cell>
          <cell r="G656">
            <v>36.183900000000001</v>
          </cell>
          <cell r="H656">
            <v>8.3946647999999993</v>
          </cell>
          <cell r="I656">
            <v>44.578564800000002</v>
          </cell>
        </row>
        <row r="657">
          <cell r="B657" t="str">
            <v>*093071</v>
          </cell>
          <cell r="C657" t="str">
            <v>TRASALDO DE ACOMETIDA AEREA Y ACCESORIOS</v>
          </cell>
          <cell r="D657" t="str">
            <v>UN</v>
          </cell>
          <cell r="E657">
            <v>10.646100000000001</v>
          </cell>
          <cell r="F657">
            <v>9.6</v>
          </cell>
          <cell r="G657">
            <v>47.039400000000001</v>
          </cell>
          <cell r="H657">
            <v>10.913140799999999</v>
          </cell>
          <cell r="I657">
            <v>57.952540800000001</v>
          </cell>
        </row>
        <row r="658">
          <cell r="B658" t="str">
            <v>*093079</v>
          </cell>
          <cell r="C658" t="str">
            <v>RETIRO DE ACOMETIDA AÉREA</v>
          </cell>
          <cell r="D658" t="str">
            <v>UN</v>
          </cell>
          <cell r="E658">
            <v>68.025599999999997</v>
          </cell>
          <cell r="F658">
            <v>9.6</v>
          </cell>
          <cell r="G658">
            <v>8.6794999999999991</v>
          </cell>
          <cell r="H658">
            <v>2.0136439999999998</v>
          </cell>
          <cell r="I658">
            <v>10.693143999999998</v>
          </cell>
        </row>
        <row r="659">
          <cell r="B659" t="str">
            <v>*093080</v>
          </cell>
          <cell r="C659" t="str">
            <v>INSTALAR SOLO ACOMETIDA AÉREA</v>
          </cell>
          <cell r="D659" t="str">
            <v>UN</v>
          </cell>
          <cell r="E659">
            <v>47.619300000000003</v>
          </cell>
          <cell r="F659">
            <v>9.6</v>
          </cell>
          <cell r="G659">
            <v>12.2491</v>
          </cell>
          <cell r="H659">
            <v>2.8417911999999999</v>
          </cell>
          <cell r="I659">
            <v>15.0908912</v>
          </cell>
        </row>
        <row r="660">
          <cell r="B660" t="str">
            <v>*093081</v>
          </cell>
          <cell r="C660" t="str">
            <v>TRASLADO SOLO ACOMETIDA AÉREA</v>
          </cell>
          <cell r="D660" t="str">
            <v>UN</v>
          </cell>
          <cell r="E660">
            <v>36.630099999999999</v>
          </cell>
          <cell r="F660">
            <v>9.6</v>
          </cell>
          <cell r="G660">
            <v>15.9237</v>
          </cell>
          <cell r="H660">
            <v>3.6942983999999996</v>
          </cell>
          <cell r="I660">
            <v>19.617998400000001</v>
          </cell>
        </row>
        <row r="661">
          <cell r="B661" t="str">
            <v>*093085</v>
          </cell>
          <cell r="C661" t="str">
            <v>Soldado de tapa CP antihurto (disperso)</v>
          </cell>
          <cell r="D661" t="str">
            <v>UN</v>
          </cell>
          <cell r="E661">
            <v>20.1309</v>
          </cell>
          <cell r="F661">
            <v>9.6</v>
          </cell>
          <cell r="G661">
            <v>21.688700000000001</v>
          </cell>
          <cell r="H661">
            <v>5.0317783999999994</v>
          </cell>
          <cell r="I661">
            <v>26.720478400000001</v>
          </cell>
        </row>
        <row r="662">
          <cell r="B662" t="str">
            <v>*093086</v>
          </cell>
          <cell r="C662" t="str">
            <v>Soldado de tapas CP antihurto (Masivo y/o en banco de medidores)</v>
          </cell>
          <cell r="D662" t="str">
            <v>UN</v>
          </cell>
          <cell r="E662">
            <v>94.22</v>
          </cell>
          <cell r="F662">
            <v>9.6</v>
          </cell>
          <cell r="G662">
            <v>7.3472000000000008</v>
          </cell>
          <cell r="H662">
            <v>1.7045504</v>
          </cell>
          <cell r="I662">
            <v>9.0517504000000013</v>
          </cell>
        </row>
        <row r="663">
          <cell r="B663" t="str">
            <v>*093089</v>
          </cell>
          <cell r="C663" t="str">
            <v>RETIRO DE CAJA COMPLETA MONOFASICA O TRIFASICA - L, LT O ESTANDAR</v>
          </cell>
          <cell r="D663" t="str">
            <v>UN</v>
          </cell>
          <cell r="E663">
            <v>19.437999999999999</v>
          </cell>
          <cell r="F663">
            <v>9.6</v>
          </cell>
          <cell r="G663">
            <v>30.374800000000004</v>
          </cell>
          <cell r="H663">
            <v>7.0469536000000002</v>
          </cell>
          <cell r="I663">
            <v>37.421753600000002</v>
          </cell>
        </row>
        <row r="664">
          <cell r="B664" t="str">
            <v>*093090</v>
          </cell>
          <cell r="C664" t="str">
            <v>INSTALAR CAJA COMPLETA MONOFASICA O TRIFASICA - L, LT O ESTANDAR</v>
          </cell>
          <cell r="D664" t="str">
            <v>UN</v>
          </cell>
          <cell r="E664">
            <v>13.6066</v>
          </cell>
          <cell r="F664">
            <v>9.6</v>
          </cell>
          <cell r="G664">
            <v>43.392499999999998</v>
          </cell>
          <cell r="H664">
            <v>10.06706</v>
          </cell>
          <cell r="I664">
            <v>53.459559999999996</v>
          </cell>
        </row>
        <row r="665">
          <cell r="B665" t="str">
            <v>*093119</v>
          </cell>
          <cell r="C665" t="str">
            <v>RETIRO CAJA L, LT O ESTANDAR SOLA O EN BANCO DE MEDIDORES</v>
          </cell>
          <cell r="D665" t="str">
            <v>UN</v>
          </cell>
          <cell r="E665">
            <v>52.728999999999999</v>
          </cell>
          <cell r="F665">
            <v>9.6</v>
          </cell>
          <cell r="G665">
            <v>13.601200000000002</v>
          </cell>
          <cell r="H665">
            <v>3.1554784000000002</v>
          </cell>
          <cell r="I665">
            <v>16.756678400000002</v>
          </cell>
        </row>
        <row r="666">
          <cell r="B666" t="str">
            <v>*093120</v>
          </cell>
          <cell r="C666" t="str">
            <v>INSTALAR CAJA L, LT O ESTANDAR SOLA O EN BANCO DE MEDIDORES</v>
          </cell>
          <cell r="D666" t="str">
            <v>UN</v>
          </cell>
          <cell r="E666">
            <v>34.596600000000002</v>
          </cell>
          <cell r="F666">
            <v>9.6</v>
          </cell>
          <cell r="G666">
            <v>19.469899999999999</v>
          </cell>
          <cell r="H666">
            <v>4.5170167999999995</v>
          </cell>
          <cell r="I666">
            <v>23.986916799999999</v>
          </cell>
        </row>
        <row r="667">
          <cell r="B667" t="str">
            <v>*093121</v>
          </cell>
          <cell r="C667" t="str">
            <v>Traslado DE CAJA L, LT O ESTANDAR SOLA O EN BANCO DE MEDIDORES</v>
          </cell>
          <cell r="D667" t="str">
            <v>UN</v>
          </cell>
          <cell r="E667">
            <v>25.743600000000001</v>
          </cell>
          <cell r="F667">
            <v>9.6</v>
          </cell>
          <cell r="G667">
            <v>25.338800000000003</v>
          </cell>
          <cell r="H667">
            <v>5.8786016000000005</v>
          </cell>
          <cell r="I667">
            <v>31.217401600000002</v>
          </cell>
        </row>
        <row r="668">
          <cell r="B668" t="str">
            <v>*093140</v>
          </cell>
          <cell r="C668" t="str">
            <v>CONEXION DERIVADA MONOF. O TRIF. C/SEGURO</v>
          </cell>
          <cell r="D668" t="str">
            <v>UN</v>
          </cell>
          <cell r="E668">
            <v>18.779199999999999</v>
          </cell>
          <cell r="F668">
            <v>9.6</v>
          </cell>
          <cell r="G668">
            <v>45.198</v>
          </cell>
          <cell r="H668">
            <v>10.485935999999999</v>
          </cell>
          <cell r="I668">
            <v>55.683936000000003</v>
          </cell>
        </row>
        <row r="669">
          <cell r="B669" t="str">
            <v>*093143</v>
          </cell>
          <cell r="C669" t="str">
            <v>RETIRO DE CONEXIÓN DERIVADA EN CAJA EXISTENTE TIPO L, LT O LRM</v>
          </cell>
          <cell r="D669" t="str">
            <v>UN</v>
          </cell>
          <cell r="E669">
            <v>20.392600000000002</v>
          </cell>
          <cell r="F669">
            <v>9.6</v>
          </cell>
          <cell r="G669">
            <v>34.479100000000003</v>
          </cell>
          <cell r="H669">
            <v>7.9991512</v>
          </cell>
          <cell r="I669">
            <v>42.478251200000003</v>
          </cell>
        </row>
        <row r="670">
          <cell r="B670" t="str">
            <v>*093144</v>
          </cell>
          <cell r="C670" t="str">
            <v>RETIRO CONEXION DERIVADA MONOF.O TRIF.S/SEGURO</v>
          </cell>
          <cell r="D670" t="str">
            <v>UN</v>
          </cell>
          <cell r="E670">
            <v>25.2303</v>
          </cell>
          <cell r="F670">
            <v>9.6</v>
          </cell>
          <cell r="G670">
            <v>27.868099999999998</v>
          </cell>
          <cell r="H670">
            <v>6.4653991999999993</v>
          </cell>
          <cell r="I670">
            <v>34.333499199999999</v>
          </cell>
        </row>
        <row r="671">
          <cell r="B671" t="str">
            <v>*093145</v>
          </cell>
          <cell r="C671" t="str">
            <v>CONEXION DERIVADA MONOF.O TRIF.S/SEGURO</v>
          </cell>
          <cell r="D671" t="str">
            <v>UN</v>
          </cell>
          <cell r="E671">
            <v>17.6617</v>
          </cell>
          <cell r="F671">
            <v>9.6</v>
          </cell>
          <cell r="G671">
            <v>39.810400000000001</v>
          </cell>
          <cell r="H671">
            <v>9.2360127999999992</v>
          </cell>
          <cell r="I671">
            <v>49.046412799999999</v>
          </cell>
        </row>
        <row r="672">
          <cell r="B672" t="str">
            <v>*093147</v>
          </cell>
          <cell r="C672" t="str">
            <v>CONEXIÓN DERIVADA EN CAJA EXISTENTE TIPO L, LT O LRM</v>
          </cell>
          <cell r="D672" t="str">
            <v>UN</v>
          </cell>
          <cell r="E672">
            <v>14.274800000000001</v>
          </cell>
          <cell r="F672">
            <v>9.6</v>
          </cell>
          <cell r="G672">
            <v>49.256</v>
          </cell>
          <cell r="H672">
            <v>11.427391999999999</v>
          </cell>
          <cell r="I672">
            <v>60.683391999999998</v>
          </cell>
        </row>
        <row r="673">
          <cell r="B673" t="str">
            <v>*093160</v>
          </cell>
          <cell r="C673" t="str">
            <v>ALAMBRADO DE CAJA MONOFÁSICA  O TRIFÁSICA (MANTENIMIENTO)</v>
          </cell>
          <cell r="D673" t="str">
            <v>UN</v>
          </cell>
          <cell r="E673">
            <v>46.68</v>
          </cell>
          <cell r="F673">
            <v>9.6</v>
          </cell>
          <cell r="G673">
            <v>10.912600000000001</v>
          </cell>
          <cell r="H673">
            <v>2.5317232000000001</v>
          </cell>
          <cell r="I673">
            <v>13.444323200000001</v>
          </cell>
        </row>
        <row r="674">
          <cell r="B674" t="str">
            <v>*093161</v>
          </cell>
          <cell r="C674" t="str">
            <v>RETIRO ALAMBRADO DE CAJA MONOFÁSICA  O TRIFÁSICA (MANTENIMIENTO)</v>
          </cell>
          <cell r="D674" t="str">
            <v>UN</v>
          </cell>
          <cell r="E674">
            <v>66.683800000000005</v>
          </cell>
          <cell r="F674">
            <v>9.6</v>
          </cell>
          <cell r="G674">
            <v>7.6388999999999996</v>
          </cell>
          <cell r="H674">
            <v>1.7722247999999998</v>
          </cell>
          <cell r="I674">
            <v>9.4111247999999996</v>
          </cell>
        </row>
        <row r="675">
          <cell r="B675" t="str">
            <v>*093162</v>
          </cell>
          <cell r="C675" t="str">
            <v>TRASLADO ALAMBRADO DE CAJA MONOFÁSICA  O TRIFÁSICA (MANTENIMIENTO)</v>
          </cell>
          <cell r="D675" t="str">
            <v>UN</v>
          </cell>
          <cell r="E675">
            <v>35.907600000000002</v>
          </cell>
          <cell r="F675">
            <v>9.6</v>
          </cell>
          <cell r="G675">
            <v>14.186299999999999</v>
          </cell>
          <cell r="H675">
            <v>3.2912215999999996</v>
          </cell>
          <cell r="I675">
            <v>17.477521599999999</v>
          </cell>
        </row>
        <row r="676">
          <cell r="B676" t="str">
            <v>*093200</v>
          </cell>
          <cell r="C676" t="str">
            <v>TRABAJOS MINIMOS</v>
          </cell>
          <cell r="D676" t="str">
            <v>UN</v>
          </cell>
          <cell r="E676">
            <v>94</v>
          </cell>
          <cell r="F676">
            <v>9.6</v>
          </cell>
          <cell r="G676">
            <v>4.0603999999999996</v>
          </cell>
          <cell r="H676">
            <v>0.94201279999999987</v>
          </cell>
          <cell r="I676">
            <v>5.0024127999999992</v>
          </cell>
        </row>
        <row r="677">
          <cell r="B677" t="str">
            <v>*093230</v>
          </cell>
          <cell r="C677" t="str">
            <v>PICADO P/TUBERIA P/ACOMETIDA AEREA</v>
          </cell>
          <cell r="D677" t="str">
            <v>Un</v>
          </cell>
          <cell r="E677">
            <v>5.5865999999999998</v>
          </cell>
          <cell r="F677">
            <v>9.6</v>
          </cell>
          <cell r="G677">
            <v>36.118499999999997</v>
          </cell>
          <cell r="H677">
            <v>8.3794919999999991</v>
          </cell>
          <cell r="I677">
            <v>44.497991999999996</v>
          </cell>
        </row>
        <row r="678">
          <cell r="B678" t="str">
            <v>*093240</v>
          </cell>
          <cell r="C678" t="str">
            <v>PICADO P/TUBERIA P/ACOMETIDA SUBTERRANEA</v>
          </cell>
          <cell r="D678" t="str">
            <v>UN</v>
          </cell>
          <cell r="E678">
            <v>25.017499999999998</v>
          </cell>
          <cell r="F678">
            <v>9.6</v>
          </cell>
          <cell r="G678">
            <v>23.6005</v>
          </cell>
          <cell r="H678">
            <v>5.4753159999999994</v>
          </cell>
          <cell r="I678">
            <v>29.075816</v>
          </cell>
        </row>
        <row r="679">
          <cell r="B679" t="str">
            <v>*093241</v>
          </cell>
          <cell r="C679" t="str">
            <v>RETIRO CAJA DE DISTRIBUC. ACOM. DOMIC. EN POSTE O PARED  (INCLUYE ALIMENTACION A CAJA)</v>
          </cell>
          <cell r="D679" t="str">
            <v>UN</v>
          </cell>
          <cell r="E679">
            <v>18.508299999999998</v>
          </cell>
          <cell r="F679">
            <v>9.6</v>
          </cell>
          <cell r="G679">
            <v>25.547000000000001</v>
          </cell>
          <cell r="H679">
            <v>5.9269039999999995</v>
          </cell>
          <cell r="I679">
            <v>31.473904000000001</v>
          </cell>
        </row>
        <row r="680">
          <cell r="B680" t="str">
            <v>*093242</v>
          </cell>
          <cell r="C680" t="str">
            <v>CAJA DE DISTRIBUC. ACOM. DOMIC. EN POSTE O PARED  (INCLUYE ALIMENTACION A CAJA)</v>
          </cell>
          <cell r="D680" t="str">
            <v>UN</v>
          </cell>
          <cell r="E680">
            <v>12.956200000000001</v>
          </cell>
          <cell r="F680">
            <v>9.6</v>
          </cell>
          <cell r="G680">
            <v>36.494500000000002</v>
          </cell>
          <cell r="H680">
            <v>8.4667239999999993</v>
          </cell>
          <cell r="I680">
            <v>44.961224000000001</v>
          </cell>
        </row>
        <row r="681">
          <cell r="B681" t="str">
            <v>*093243</v>
          </cell>
          <cell r="C681" t="str">
            <v>RETIRO DE REDUCTORES Y CONEXION CABLE CLIENTE</v>
          </cell>
          <cell r="D681" t="str">
            <v>UN</v>
          </cell>
          <cell r="E681">
            <v>20.115600000000001</v>
          </cell>
          <cell r="F681">
            <v>9.6</v>
          </cell>
          <cell r="G681">
            <v>30.541800000000002</v>
          </cell>
          <cell r="H681">
            <v>7.0856975999999996</v>
          </cell>
          <cell r="I681">
            <v>37.627497599999998</v>
          </cell>
        </row>
        <row r="682">
          <cell r="B682" t="str">
            <v>*093245</v>
          </cell>
          <cell r="C682" t="str">
            <v>COLOC.REDUCTORES Y CONEXION CABLE CLIENTE</v>
          </cell>
          <cell r="D682" t="str">
            <v>UN</v>
          </cell>
          <cell r="E682">
            <v>14.0809</v>
          </cell>
          <cell r="F682">
            <v>9.6</v>
          </cell>
          <cell r="G682">
            <v>43.631100000000004</v>
          </cell>
          <cell r="H682">
            <v>10.122415200000001</v>
          </cell>
          <cell r="I682">
            <v>53.753515200000002</v>
          </cell>
        </row>
        <row r="683">
          <cell r="B683" t="str">
            <v>*093246</v>
          </cell>
          <cell r="C683" t="str">
            <v>RETIRO ACOMETIDA SUBTERRANEA SOLA SIN CAJA CONEXION</v>
          </cell>
          <cell r="D683" t="str">
            <v>UN</v>
          </cell>
          <cell r="E683">
            <v>11.3286</v>
          </cell>
          <cell r="F683">
            <v>9.6</v>
          </cell>
          <cell r="G683">
            <v>44.205399999999997</v>
          </cell>
          <cell r="H683">
            <v>10.255652799999998</v>
          </cell>
          <cell r="I683">
            <v>54.461052799999997</v>
          </cell>
        </row>
        <row r="684">
          <cell r="B684" t="str">
            <v>*093247</v>
          </cell>
          <cell r="C684" t="str">
            <v>TRASLADO CAJA DE DISTRIBUC. ACOM. DOMIC. EN POSTE O PARED  (INCLUYE ALIMENTACION A CAJA)</v>
          </cell>
          <cell r="D684" t="str">
            <v>UN</v>
          </cell>
          <cell r="E684">
            <v>9.9663000000000004</v>
          </cell>
          <cell r="F684">
            <v>9.6</v>
          </cell>
          <cell r="G684">
            <v>47.442999999999998</v>
          </cell>
          <cell r="H684">
            <v>11.006775999999999</v>
          </cell>
          <cell r="I684">
            <v>58.449776</v>
          </cell>
        </row>
        <row r="685">
          <cell r="B685" t="str">
            <v>*093248</v>
          </cell>
          <cell r="C685" t="str">
            <v>ACOMETIDA SUBTERRANEA SOLA SIN CAJA CONEXION</v>
          </cell>
          <cell r="D685" t="str">
            <v>UN</v>
          </cell>
          <cell r="E685">
            <v>7.93</v>
          </cell>
          <cell r="F685">
            <v>9.6</v>
          </cell>
          <cell r="G685">
            <v>63.150700000000008</v>
          </cell>
          <cell r="H685">
            <v>14.650962400000001</v>
          </cell>
          <cell r="I685">
            <v>77.801662400000012</v>
          </cell>
        </row>
        <row r="686">
          <cell r="B686" t="str">
            <v>*093251</v>
          </cell>
          <cell r="C686" t="str">
            <v>TRASLADO ACOMETIDA SUBTERRANEA SOLA SIN CAJA CONEXION</v>
          </cell>
          <cell r="D686" t="str">
            <v>UN</v>
          </cell>
          <cell r="E686">
            <v>6.1</v>
          </cell>
          <cell r="F686">
            <v>9.6</v>
          </cell>
          <cell r="G686">
            <v>82.096000000000004</v>
          </cell>
          <cell r="H686">
            <v>19.046271999999998</v>
          </cell>
          <cell r="I686">
            <v>101.14227200000001</v>
          </cell>
        </row>
        <row r="687">
          <cell r="B687" t="str">
            <v>*093252</v>
          </cell>
          <cell r="C687" t="str">
            <v>TRASLADO DE REDUCTORES Y CABLE CLIENTE</v>
          </cell>
          <cell r="D687" t="str">
            <v>UN</v>
          </cell>
          <cell r="E687">
            <v>10.8314</v>
          </cell>
          <cell r="F687">
            <v>9.6</v>
          </cell>
          <cell r="G687">
            <v>56.720699999999994</v>
          </cell>
          <cell r="H687">
            <v>13.159202399999998</v>
          </cell>
          <cell r="I687">
            <v>69.879902399999992</v>
          </cell>
        </row>
        <row r="688">
          <cell r="B688" t="str">
            <v>*093270</v>
          </cell>
          <cell r="C688" t="str">
            <v>PASE A TRIFÁSICO CONEX. AEREA CAJA LT O ESTANDAR DE 3 A 20 KW.</v>
          </cell>
          <cell r="D688" t="str">
            <v>UN</v>
          </cell>
          <cell r="E688">
            <v>5.7159000000000004</v>
          </cell>
          <cell r="F688">
            <v>9.6</v>
          </cell>
          <cell r="G688">
            <v>72.996200000000002</v>
          </cell>
          <cell r="H688">
            <v>16.9351184</v>
          </cell>
          <cell r="I688">
            <v>89.931318400000009</v>
          </cell>
        </row>
        <row r="689">
          <cell r="B689" t="str">
            <v>*093300</v>
          </cell>
          <cell r="C689" t="str">
            <v>PASE A TRIFÁSICO CONEXIÓN SUBTERRANEA C/VEREDA DE 3 A 20 KW.</v>
          </cell>
          <cell r="D689" t="str">
            <v>UN</v>
          </cell>
          <cell r="E689">
            <v>2.69</v>
          </cell>
          <cell r="F689">
            <v>9.6</v>
          </cell>
          <cell r="G689">
            <v>355.07730000000004</v>
          </cell>
          <cell r="H689">
            <v>82.377933600000006</v>
          </cell>
          <cell r="I689">
            <v>437.45523360000004</v>
          </cell>
        </row>
        <row r="690">
          <cell r="B690" t="str">
            <v>*093309</v>
          </cell>
          <cell r="C690" t="str">
            <v>RETIRO DE CONEXIÓN MONOF.O TRIF.SUB.S/VER.C/SEG.HASTA 20KW</v>
          </cell>
          <cell r="D690" t="str">
            <v>UN</v>
          </cell>
          <cell r="E690">
            <v>5.9396000000000004</v>
          </cell>
          <cell r="F690">
            <v>9.6</v>
          </cell>
          <cell r="G690">
            <v>99.404799999999994</v>
          </cell>
          <cell r="H690">
            <v>23.061913599999997</v>
          </cell>
          <cell r="I690">
            <v>122.46671359999999</v>
          </cell>
        </row>
        <row r="691">
          <cell r="B691" t="str">
            <v>*093310</v>
          </cell>
          <cell r="C691" t="str">
            <v>CONEXIÓN MONOF.O TRIF.SUB.S/VER.C/SEG.HASTA 20KW</v>
          </cell>
          <cell r="D691" t="str">
            <v>UN</v>
          </cell>
          <cell r="E691">
            <v>4.1577000000000002</v>
          </cell>
          <cell r="F691">
            <v>9.6</v>
          </cell>
          <cell r="G691">
            <v>142.0076</v>
          </cell>
          <cell r="H691">
            <v>32.945763199999995</v>
          </cell>
          <cell r="I691">
            <v>174.95336319999998</v>
          </cell>
        </row>
        <row r="692">
          <cell r="B692" t="str">
            <v>*093314</v>
          </cell>
          <cell r="C692" t="str">
            <v>RETIRO DE CONEXION MONOF. O TRIF. SUBT. S/VER. S/SEG. HASTA 20KW</v>
          </cell>
          <cell r="D692" t="str">
            <v>UN</v>
          </cell>
          <cell r="E692">
            <v>3.5331999999999999</v>
          </cell>
          <cell r="F692">
            <v>9.6</v>
          </cell>
          <cell r="G692">
            <v>171.35910000000001</v>
          </cell>
          <cell r="H692">
            <v>39.755311200000001</v>
          </cell>
          <cell r="I692">
            <v>211.11441120000001</v>
          </cell>
        </row>
        <row r="693">
          <cell r="B693" t="str">
            <v>*093315</v>
          </cell>
          <cell r="C693" t="str">
            <v>CONEXION MONOF.O TRIF. SUBT.S/VER.S/SEG.HASTA 20KW</v>
          </cell>
          <cell r="D693" t="str">
            <v>UN</v>
          </cell>
          <cell r="E693">
            <v>2.4575</v>
          </cell>
          <cell r="F693">
            <v>9.6</v>
          </cell>
          <cell r="G693">
            <v>244.8544</v>
          </cell>
          <cell r="H693">
            <v>56.806220799999998</v>
          </cell>
          <cell r="I693">
            <v>301.6606208</v>
          </cell>
        </row>
        <row r="694">
          <cell r="B694" t="str">
            <v>*093330</v>
          </cell>
          <cell r="C694" t="str">
            <v>PASE A TRIF.CONEX.SUBT.S/VEREDA C/SEGURO HASTA 20KW</v>
          </cell>
          <cell r="D694" t="str">
            <v>UN</v>
          </cell>
          <cell r="E694">
            <v>4.8221999999999996</v>
          </cell>
          <cell r="F694">
            <v>9.6</v>
          </cell>
          <cell r="G694">
            <v>137.32409999999999</v>
          </cell>
          <cell r="H694">
            <v>31.859191199999994</v>
          </cell>
          <cell r="I694">
            <v>169.18329119999999</v>
          </cell>
        </row>
        <row r="695">
          <cell r="B695" t="str">
            <v>*093400</v>
          </cell>
          <cell r="C695" t="str">
            <v>Retiro de Cnx Subt Monofásica / Trifásica hasta 20 kW sin caja</v>
          </cell>
          <cell r="D695" t="str">
            <v>UN</v>
          </cell>
          <cell r="E695">
            <v>6.3951000000000002</v>
          </cell>
          <cell r="F695">
            <v>9.6</v>
          </cell>
          <cell r="G695">
            <v>94.865399999999994</v>
          </cell>
          <cell r="H695">
            <v>22.008772799999996</v>
          </cell>
          <cell r="I695">
            <v>116.8741728</v>
          </cell>
        </row>
        <row r="696">
          <cell r="B696" t="str">
            <v>*093401</v>
          </cell>
          <cell r="C696" t="str">
            <v>Retiro de Cnx Subt Monofásica / Trifásica hasta 20 kW con caja</v>
          </cell>
          <cell r="D696" t="str">
            <v>UN</v>
          </cell>
          <cell r="E696">
            <v>6.0114999999999998</v>
          </cell>
          <cell r="F696">
            <v>9.6</v>
          </cell>
          <cell r="G696">
            <v>100.9188</v>
          </cell>
          <cell r="H696">
            <v>23.413161599999999</v>
          </cell>
          <cell r="I696">
            <v>124.3319616</v>
          </cell>
        </row>
        <row r="697">
          <cell r="B697" t="str">
            <v>*093402</v>
          </cell>
          <cell r="C697" t="str">
            <v>Retiro de Conexión Subt Trifásica con medición indirecta hasta 75 kW sin caja</v>
          </cell>
          <cell r="D697" t="str">
            <v>UN</v>
          </cell>
          <cell r="E697">
            <v>2.7907999999999999</v>
          </cell>
          <cell r="F697">
            <v>9.6</v>
          </cell>
          <cell r="G697">
            <v>217.38339999999999</v>
          </cell>
          <cell r="H697">
            <v>50.432948799999998</v>
          </cell>
          <cell r="I697">
            <v>267.81634880000001</v>
          </cell>
        </row>
        <row r="698">
          <cell r="B698" t="str">
            <v>*093403</v>
          </cell>
          <cell r="C698" t="str">
            <v>Retiro de Conexión Subt Trifásica con medición indirecta hasta 75 kW con caja</v>
          </cell>
          <cell r="D698" t="str">
            <v>UN</v>
          </cell>
          <cell r="E698">
            <v>2.2210000000000001</v>
          </cell>
          <cell r="F698">
            <v>9.6</v>
          </cell>
          <cell r="G698">
            <v>273.15320000000003</v>
          </cell>
          <cell r="H698">
            <v>63.371542400000003</v>
          </cell>
          <cell r="I698">
            <v>336.52474240000004</v>
          </cell>
        </row>
        <row r="699">
          <cell r="B699" t="str">
            <v>*093404</v>
          </cell>
          <cell r="C699" t="str">
            <v>Retiro de Conx BT6 Subterránea en murete</v>
          </cell>
          <cell r="D699" t="str">
            <v>UN</v>
          </cell>
          <cell r="E699">
            <v>5.3224</v>
          </cell>
          <cell r="F699">
            <v>9.6</v>
          </cell>
          <cell r="G699">
            <v>113.98490000000001</v>
          </cell>
          <cell r="H699">
            <v>26.4444968</v>
          </cell>
          <cell r="I699">
            <v>140.42939680000001</v>
          </cell>
        </row>
        <row r="700">
          <cell r="B700" t="str">
            <v>*093405</v>
          </cell>
          <cell r="C700" t="str">
            <v>Retiro de Conx BT6 Subterránea en poste</v>
          </cell>
          <cell r="D700" t="str">
            <v>UN</v>
          </cell>
          <cell r="E700">
            <v>5.8480999999999996</v>
          </cell>
          <cell r="F700">
            <v>9.6</v>
          </cell>
          <cell r="G700">
            <v>103.7385</v>
          </cell>
          <cell r="H700">
            <v>24.067332</v>
          </cell>
          <cell r="I700">
            <v>127.80583200000001</v>
          </cell>
        </row>
        <row r="701">
          <cell r="B701" t="str">
            <v>*093406</v>
          </cell>
          <cell r="C701" t="str">
            <v>Disminución de potencia sin cambio de transformador de corriente</v>
          </cell>
          <cell r="D701" t="str">
            <v>UN</v>
          </cell>
          <cell r="E701">
            <v>12.5181</v>
          </cell>
          <cell r="F701">
            <v>9.6</v>
          </cell>
          <cell r="G701">
            <v>45.932999999999993</v>
          </cell>
          <cell r="H701">
            <v>10.656455999999997</v>
          </cell>
          <cell r="I701">
            <v>56.589455999999991</v>
          </cell>
        </row>
        <row r="702">
          <cell r="B702" t="str">
            <v>*093407</v>
          </cell>
          <cell r="C702" t="str">
            <v>Disminución de potencia con cambio de transformador de corriente</v>
          </cell>
          <cell r="D702" t="str">
            <v>UN</v>
          </cell>
          <cell r="E702">
            <v>3.7343999999999999</v>
          </cell>
          <cell r="F702">
            <v>9.6</v>
          </cell>
          <cell r="G702">
            <v>153.97219999999999</v>
          </cell>
          <cell r="H702">
            <v>35.721550399999991</v>
          </cell>
          <cell r="I702">
            <v>189.69375039999997</v>
          </cell>
        </row>
        <row r="703">
          <cell r="B703" t="str">
            <v>*093424</v>
          </cell>
          <cell r="C703" t="str">
            <v>TRASLADO DE MED. ELECTRONICO CON SEGURO</v>
          </cell>
          <cell r="D703" t="str">
            <v>UN</v>
          </cell>
          <cell r="E703">
            <v>4.1485000000000003</v>
          </cell>
          <cell r="F703">
            <v>9.6</v>
          </cell>
          <cell r="G703">
            <v>133.70849999999999</v>
          </cell>
          <cell r="H703">
            <v>31.020371999999995</v>
          </cell>
          <cell r="I703">
            <v>164.72887199999997</v>
          </cell>
        </row>
        <row r="704">
          <cell r="B704" t="str">
            <v>*093426</v>
          </cell>
          <cell r="C704" t="str">
            <v>VIAJE INDEBIDO DE REEMPLAZO DE MEDIDORES (1ra visita)</v>
          </cell>
          <cell r="D704" t="str">
            <v>UN</v>
          </cell>
          <cell r="E704">
            <v>43</v>
          </cell>
          <cell r="F704">
            <v>9.6</v>
          </cell>
          <cell r="G704">
            <v>10.2364</v>
          </cell>
          <cell r="H704">
            <v>2.3748448</v>
          </cell>
          <cell r="I704">
            <v>12.6112448</v>
          </cell>
        </row>
        <row r="705">
          <cell r="B705" t="str">
            <v>*093427</v>
          </cell>
          <cell r="C705" t="str">
            <v>VIAJE INDEBIDO DE REEMPLAZO DE MEDIDORES (2° VISITA)</v>
          </cell>
          <cell r="D705" t="str">
            <v>UN</v>
          </cell>
          <cell r="E705">
            <v>32.25</v>
          </cell>
          <cell r="F705">
            <v>9.6</v>
          </cell>
          <cell r="G705">
            <v>13.6485</v>
          </cell>
          <cell r="H705">
            <v>3.166452</v>
          </cell>
          <cell r="I705">
            <v>16.814952000000002</v>
          </cell>
        </row>
        <row r="706">
          <cell r="B706" t="str">
            <v>*093428</v>
          </cell>
          <cell r="C706" t="str">
            <v>INSPECCION PREVIA PARA CAMBIO DE MEDIDOR (Masivo)</v>
          </cell>
          <cell r="D706" t="str">
            <v>UN</v>
          </cell>
          <cell r="E706">
            <v>33.725499999999997</v>
          </cell>
          <cell r="F706">
            <v>9.6</v>
          </cell>
          <cell r="G706">
            <v>7.1665999999999999</v>
          </cell>
          <cell r="H706">
            <v>1.6626511999999998</v>
          </cell>
          <cell r="I706">
            <v>8.8292511999999999</v>
          </cell>
        </row>
        <row r="707">
          <cell r="B707" t="str">
            <v>*093429</v>
          </cell>
          <cell r="C707" t="str">
            <v>INSPECCION PREVIA PARA CAMBIO DE MEDIDOR SIN APERTURA DE TAPA</v>
          </cell>
          <cell r="D707" t="str">
            <v>UN</v>
          </cell>
          <cell r="E707">
            <v>40</v>
          </cell>
          <cell r="F707">
            <v>9.6</v>
          </cell>
          <cell r="G707">
            <v>10.3409</v>
          </cell>
          <cell r="H707">
            <v>2.3990887999999999</v>
          </cell>
          <cell r="I707">
            <v>12.739988799999999</v>
          </cell>
        </row>
        <row r="708">
          <cell r="B708" t="str">
            <v>*093431</v>
          </cell>
          <cell r="C708" t="str">
            <v>INSPECCION  PREVIA PARA CAMBIO DE MEDIDOR CON APERTURA DE TAPA</v>
          </cell>
          <cell r="D708" t="str">
            <v>UN</v>
          </cell>
          <cell r="E708">
            <v>20</v>
          </cell>
          <cell r="F708">
            <v>9.6</v>
          </cell>
          <cell r="G708">
            <v>21.354800000000001</v>
          </cell>
          <cell r="H708">
            <v>4.9543135999999999</v>
          </cell>
          <cell r="I708">
            <v>26.3091136</v>
          </cell>
        </row>
        <row r="709">
          <cell r="B709" t="str">
            <v>*093432</v>
          </cell>
          <cell r="C709" t="str">
            <v>INSTALACION MEDIDOR MONOF.SIN SEGURO - CON DIFERENTE CUADRILLA</v>
          </cell>
          <cell r="D709" t="str">
            <v>UN</v>
          </cell>
          <cell r="E709">
            <v>15.984</v>
          </cell>
          <cell r="F709">
            <v>9.6</v>
          </cell>
          <cell r="G709">
            <v>35.973099999999995</v>
          </cell>
          <cell r="H709">
            <v>8.345759199999998</v>
          </cell>
          <cell r="I709">
            <v>44.318859199999991</v>
          </cell>
        </row>
        <row r="710">
          <cell r="B710" t="str">
            <v>*093433</v>
          </cell>
          <cell r="C710" t="str">
            <v>INSTALACION MEDIDOR TRIFASICO SIN SEGURO - CON DIFERENTE CUADRILLA</v>
          </cell>
          <cell r="D710" t="str">
            <v>UN</v>
          </cell>
          <cell r="E710">
            <v>12.76</v>
          </cell>
          <cell r="F710">
            <v>9.6</v>
          </cell>
          <cell r="G710">
            <v>45.113599999999998</v>
          </cell>
          <cell r="H710">
            <v>10.466355199999999</v>
          </cell>
          <cell r="I710">
            <v>55.579955200000001</v>
          </cell>
        </row>
        <row r="711">
          <cell r="B711" t="str">
            <v>*093434</v>
          </cell>
          <cell r="C711" t="str">
            <v>INSTALACION MEDIDOR ELECTRONICO SIN SEGURO</v>
          </cell>
          <cell r="D711" t="str">
            <v>UN</v>
          </cell>
          <cell r="E711">
            <v>3.1469999999999998</v>
          </cell>
          <cell r="F711">
            <v>9.6</v>
          </cell>
          <cell r="G711">
            <v>105.51830000000001</v>
          </cell>
          <cell r="H711">
            <v>24.4802456</v>
          </cell>
          <cell r="I711">
            <v>129.9985456</v>
          </cell>
        </row>
        <row r="712">
          <cell r="B712" t="str">
            <v>*093435</v>
          </cell>
          <cell r="C712" t="str">
            <v>INSTAL. MED. MONOFASICO CON SEGURO</v>
          </cell>
          <cell r="D712" t="str">
            <v>UN</v>
          </cell>
          <cell r="E712">
            <v>13.7</v>
          </cell>
          <cell r="F712">
            <v>9.6</v>
          </cell>
          <cell r="G712">
            <v>48.158500000000004</v>
          </cell>
          <cell r="H712">
            <v>11.172772</v>
          </cell>
          <cell r="I712">
            <v>59.331272000000006</v>
          </cell>
        </row>
        <row r="713">
          <cell r="B713" t="str">
            <v>*093436</v>
          </cell>
          <cell r="C713" t="str">
            <v>INSTAL. MED. TRIFASICO CON SEGURO</v>
          </cell>
          <cell r="D713" t="str">
            <v>UN</v>
          </cell>
          <cell r="E713">
            <v>14.31</v>
          </cell>
          <cell r="F713">
            <v>9.6</v>
          </cell>
          <cell r="G713">
            <v>46.135400000000004</v>
          </cell>
          <cell r="H713">
            <v>10.703412800000001</v>
          </cell>
          <cell r="I713">
            <v>56.838812800000007</v>
          </cell>
        </row>
        <row r="714">
          <cell r="B714" t="str">
            <v>*093437</v>
          </cell>
          <cell r="C714" t="str">
            <v>INSTAL. MED. ELECTRONICO CON SEGURO</v>
          </cell>
          <cell r="D714" t="str">
            <v>UN</v>
          </cell>
          <cell r="E714">
            <v>5.3930999999999996</v>
          </cell>
          <cell r="F714">
            <v>9.6</v>
          </cell>
          <cell r="G714">
            <v>102.85169999999999</v>
          </cell>
          <cell r="H714">
            <v>23.861594399999998</v>
          </cell>
          <cell r="I714">
            <v>126.7132944</v>
          </cell>
        </row>
        <row r="715">
          <cell r="B715" t="str">
            <v>*093438</v>
          </cell>
          <cell r="C715" t="str">
            <v>VIAJE INDEBIDO INSTALACION MEDIDOR</v>
          </cell>
          <cell r="D715" t="str">
            <v>UN</v>
          </cell>
          <cell r="E715">
            <v>30.373799999999999</v>
          </cell>
          <cell r="F715">
            <v>9.6</v>
          </cell>
          <cell r="G715">
            <v>22.948400000000003</v>
          </cell>
          <cell r="H715">
            <v>5.3240288000000007</v>
          </cell>
          <cell r="I715">
            <v>28.272428800000004</v>
          </cell>
        </row>
        <row r="716">
          <cell r="B716" t="str">
            <v>*093441</v>
          </cell>
          <cell r="C716" t="str">
            <v>RETIRO DE MEDIDOR MONOFASICO O TRIFASICO</v>
          </cell>
          <cell r="D716" t="str">
            <v>UN</v>
          </cell>
          <cell r="E716">
            <v>51.681800000000003</v>
          </cell>
          <cell r="F716">
            <v>9.6</v>
          </cell>
          <cell r="G716">
            <v>9.0107999999999997</v>
          </cell>
          <cell r="H716">
            <v>2.0905055999999997</v>
          </cell>
          <cell r="I716">
            <v>11.1013056</v>
          </cell>
        </row>
        <row r="717">
          <cell r="B717" t="str">
            <v>*093443</v>
          </cell>
          <cell r="C717" t="str">
            <v>DIGITACIÓN Y CONTROL DE ACTAS DE INSTALACIÓN DE MEDIDORES</v>
          </cell>
          <cell r="D717" t="str">
            <v>UN</v>
          </cell>
          <cell r="E717">
            <v>149.07</v>
          </cell>
          <cell r="F717">
            <v>9.6</v>
          </cell>
          <cell r="G717">
            <v>0.99930000000000008</v>
          </cell>
          <cell r="H717">
            <v>0.2318376</v>
          </cell>
          <cell r="I717">
            <v>1.2311376000000001</v>
          </cell>
        </row>
        <row r="718">
          <cell r="B718" t="str">
            <v>*093444</v>
          </cell>
          <cell r="C718" t="str">
            <v>RETIRO DE MEDIDOR ELECTRONICO TRIFASICO</v>
          </cell>
          <cell r="D718" t="str">
            <v>UN</v>
          </cell>
          <cell r="E718">
            <v>24.786100000000001</v>
          </cell>
          <cell r="F718">
            <v>9.6</v>
          </cell>
          <cell r="G718">
            <v>18.788700000000002</v>
          </cell>
          <cell r="H718">
            <v>4.3589783999999998</v>
          </cell>
          <cell r="I718">
            <v>23.147678400000004</v>
          </cell>
        </row>
        <row r="719">
          <cell r="B719" t="str">
            <v>*093447</v>
          </cell>
          <cell r="C719" t="str">
            <v>REEMPLAZO MED.MONOFASICO</v>
          </cell>
          <cell r="D719" t="str">
            <v>UN</v>
          </cell>
          <cell r="E719">
            <v>10.829700000000001</v>
          </cell>
          <cell r="F719">
            <v>9.6</v>
          </cell>
          <cell r="G719">
            <v>40.872299999999996</v>
          </cell>
          <cell r="H719">
            <v>9.482373599999999</v>
          </cell>
          <cell r="I719">
            <v>50.354673599999998</v>
          </cell>
        </row>
        <row r="720">
          <cell r="B720" t="str">
            <v>*093448</v>
          </cell>
          <cell r="C720" t="str">
            <v>REEMPLAZO MED.TRIFASICO</v>
          </cell>
          <cell r="D720" t="str">
            <v>UN</v>
          </cell>
          <cell r="E720">
            <v>7.2914000000000003</v>
          </cell>
          <cell r="F720">
            <v>9.6</v>
          </cell>
          <cell r="G720">
            <v>60.706400000000002</v>
          </cell>
          <cell r="H720">
            <v>14.0838848</v>
          </cell>
          <cell r="I720">
            <v>74.790284799999995</v>
          </cell>
        </row>
        <row r="721">
          <cell r="B721" t="str">
            <v>*093449</v>
          </cell>
          <cell r="C721" t="str">
            <v>VIAJE INDEBIDO DE REEMPLAZO DE MEDIDORES - DISPERSO</v>
          </cell>
          <cell r="D721" t="str">
            <v>UN</v>
          </cell>
          <cell r="E721">
            <v>27.172799999999999</v>
          </cell>
          <cell r="F721">
            <v>9.6</v>
          </cell>
          <cell r="G721">
            <v>20.913899999999998</v>
          </cell>
          <cell r="H721">
            <v>4.8520247999999988</v>
          </cell>
          <cell r="I721">
            <v>25.765924799999997</v>
          </cell>
        </row>
        <row r="722">
          <cell r="B722" t="str">
            <v>*093451</v>
          </cell>
          <cell r="C722" t="str">
            <v>CONEXIÓN AEREA TRIFÁSICA DE MAYOR A 20 KW HASTA 35 KW (LTT+LTM)</v>
          </cell>
          <cell r="D722" t="str">
            <v>UN</v>
          </cell>
          <cell r="E722">
            <v>6.8577000000000004</v>
          </cell>
          <cell r="F722">
            <v>9.6</v>
          </cell>
          <cell r="G722">
            <v>101.28339999999997</v>
          </cell>
          <cell r="H722">
            <v>23.497748799999993</v>
          </cell>
          <cell r="I722">
            <v>124.78114879999997</v>
          </cell>
        </row>
        <row r="723">
          <cell r="B723" t="str">
            <v>*093454</v>
          </cell>
          <cell r="C723" t="str">
            <v>CONEXION AEREA TRIFASICA MAYOR A 35KW (F1+LTM) HASTA 50KW</v>
          </cell>
          <cell r="D723" t="str">
            <v>UN</v>
          </cell>
          <cell r="E723">
            <v>4.0235000000000003</v>
          </cell>
          <cell r="F723">
            <v>9.6</v>
          </cell>
          <cell r="G723">
            <v>169.23649999999998</v>
          </cell>
          <cell r="H723">
            <v>39.26286799999999</v>
          </cell>
          <cell r="I723">
            <v>208.49936799999998</v>
          </cell>
        </row>
        <row r="724">
          <cell r="B724" t="str">
            <v>*093456</v>
          </cell>
          <cell r="C724" t="str">
            <v>CONEXION AEREA TRIFASICA MAYOR A 50KW (F1+LTM)  HASTA 75KW</v>
          </cell>
          <cell r="D724" t="str">
            <v>UN</v>
          </cell>
          <cell r="E724">
            <v>4.2266000000000004</v>
          </cell>
          <cell r="F724">
            <v>9.6</v>
          </cell>
          <cell r="G724">
            <v>205.20580000000001</v>
          </cell>
          <cell r="H724">
            <v>47.607745600000001</v>
          </cell>
          <cell r="I724">
            <v>252.8135456</v>
          </cell>
        </row>
        <row r="725">
          <cell r="B725" t="str">
            <v>*093457</v>
          </cell>
          <cell r="C725" t="str">
            <v>DIGITACIÓN Y CONTROL DE ACTAS DE REEMPLAZO DE MEDIDORES</v>
          </cell>
          <cell r="D725" t="str">
            <v>UN</v>
          </cell>
          <cell r="E725">
            <v>171.22</v>
          </cell>
          <cell r="F725">
            <v>9.6</v>
          </cell>
          <cell r="G725">
            <v>0.86990000000000001</v>
          </cell>
          <cell r="H725">
            <v>0.20181679999999999</v>
          </cell>
          <cell r="I725">
            <v>1.0717167999999999</v>
          </cell>
        </row>
        <row r="726">
          <cell r="B726" t="str">
            <v>*093460</v>
          </cell>
          <cell r="C726" t="str">
            <v>CONEX.MONOF.O TRIF. AEREO SUBT. (TIPO V) CAJA L, LT S/SEGURO</v>
          </cell>
          <cell r="D726" t="str">
            <v>UN</v>
          </cell>
          <cell r="E726">
            <v>1.9935</v>
          </cell>
          <cell r="F726">
            <v>9.6</v>
          </cell>
          <cell r="G726">
            <v>338.62540000000007</v>
          </cell>
          <cell r="H726">
            <v>78.561092800000011</v>
          </cell>
          <cell r="I726">
            <v>417.18649280000011</v>
          </cell>
        </row>
        <row r="727">
          <cell r="B727" t="str">
            <v>*093461</v>
          </cell>
          <cell r="C727" t="str">
            <v>REEMPLAZO MED. MONOFASICO (DISPERSO)</v>
          </cell>
          <cell r="D727" t="str">
            <v>UN</v>
          </cell>
          <cell r="E727">
            <v>7.25</v>
          </cell>
          <cell r="F727">
            <v>9.6</v>
          </cell>
          <cell r="G727">
            <v>61.053000000000004</v>
          </cell>
          <cell r="H727">
            <v>14.164296</v>
          </cell>
          <cell r="I727">
            <v>75.217296000000005</v>
          </cell>
        </row>
        <row r="728">
          <cell r="B728" t="str">
            <v>*093462</v>
          </cell>
          <cell r="C728" t="str">
            <v>REEMPLAZO MED. TRIFASICO (DISPERSO)</v>
          </cell>
          <cell r="D728" t="str">
            <v>UN</v>
          </cell>
          <cell r="E728">
            <v>6</v>
          </cell>
          <cell r="F728">
            <v>9.6</v>
          </cell>
          <cell r="G728">
            <v>73.772400000000005</v>
          </cell>
          <cell r="H728">
            <v>17.1151968</v>
          </cell>
          <cell r="I728">
            <v>90.887596800000011</v>
          </cell>
        </row>
        <row r="729">
          <cell r="B729" t="str">
            <v>*093465</v>
          </cell>
          <cell r="C729" t="str">
            <v>VIAJE INDEBIDO EN CONEXIONES B.T.</v>
          </cell>
          <cell r="D729" t="str">
            <v>UN</v>
          </cell>
          <cell r="E729">
            <v>16.07</v>
          </cell>
          <cell r="F729">
            <v>9.6</v>
          </cell>
          <cell r="G729">
            <v>52.060099999999991</v>
          </cell>
          <cell r="H729">
            <v>12.077943199999996</v>
          </cell>
          <cell r="I729">
            <v>64.138043199999984</v>
          </cell>
        </row>
        <row r="730">
          <cell r="B730" t="str">
            <v>*093466</v>
          </cell>
          <cell r="C730" t="str">
            <v>Viaje indebido programa Mntto Preventivo Conexiones - Medición directa</v>
          </cell>
          <cell r="D730" t="str">
            <v>UN</v>
          </cell>
          <cell r="E730">
            <v>57.6</v>
          </cell>
          <cell r="F730">
            <v>9.6</v>
          </cell>
          <cell r="G730">
            <v>4.1196000000000002</v>
          </cell>
          <cell r="H730">
            <v>0.95574720000000002</v>
          </cell>
          <cell r="I730">
            <v>5.0753472000000004</v>
          </cell>
        </row>
        <row r="731">
          <cell r="B731" t="str">
            <v>*093467</v>
          </cell>
          <cell r="C731" t="str">
            <v>Viaje indebido programa Mntto Preventivo Conexiones - Medición indirecta</v>
          </cell>
          <cell r="D731" t="str">
            <v>UN</v>
          </cell>
          <cell r="E731">
            <v>31.135100000000001</v>
          </cell>
          <cell r="F731">
            <v>9.6</v>
          </cell>
          <cell r="G731">
            <v>12.5943</v>
          </cell>
          <cell r="H731">
            <v>2.9218775999999997</v>
          </cell>
          <cell r="I731">
            <v>15.516177600000001</v>
          </cell>
        </row>
        <row r="732">
          <cell r="B732" t="str">
            <v>*093471</v>
          </cell>
          <cell r="C732" t="str">
            <v>RETIRO MEDIDOR ELECTRONICO CON SEGURO</v>
          </cell>
          <cell r="D732" t="str">
            <v>UN</v>
          </cell>
          <cell r="E732">
            <v>7.7043999999999997</v>
          </cell>
          <cell r="F732">
            <v>9.6</v>
          </cell>
          <cell r="G732">
            <v>71.996600000000001</v>
          </cell>
          <cell r="H732">
            <v>16.703211199999998</v>
          </cell>
          <cell r="I732">
            <v>88.699811199999999</v>
          </cell>
        </row>
        <row r="733">
          <cell r="B733" t="str">
            <v>*093472</v>
          </cell>
          <cell r="C733" t="str">
            <v>RETIRO DE MEDIDOR ELECTRONICO SIN SEGURO</v>
          </cell>
          <cell r="D733" t="str">
            <v>UN</v>
          </cell>
          <cell r="E733">
            <v>4.4957000000000003</v>
          </cell>
          <cell r="F733">
            <v>9.6</v>
          </cell>
          <cell r="G733">
            <v>73.863</v>
          </cell>
          <cell r="H733">
            <v>17.136215999999997</v>
          </cell>
          <cell r="I733">
            <v>90.99921599999999</v>
          </cell>
        </row>
        <row r="734">
          <cell r="B734" t="str">
            <v>*093480</v>
          </cell>
          <cell r="C734" t="str">
            <v>PASE A TRIF.AERO SUBTERRANEO CAJA LT DE 3 A 20 KW  S/VEREDA</v>
          </cell>
          <cell r="D734" t="str">
            <v>UN</v>
          </cell>
          <cell r="E734">
            <v>2.1560000000000001</v>
          </cell>
          <cell r="F734">
            <v>9.6</v>
          </cell>
          <cell r="G734">
            <v>313.4658</v>
          </cell>
          <cell r="H734">
            <v>72.724065599999989</v>
          </cell>
          <cell r="I734">
            <v>386.18986559999996</v>
          </cell>
        </row>
        <row r="735">
          <cell r="B735" t="str">
            <v>*093500</v>
          </cell>
          <cell r="C735" t="str">
            <v>CONEX. TRIF.AERO SUBTERRANEA DE 20 A 35KW CAJAS F1+LTM</v>
          </cell>
          <cell r="D735" t="str">
            <v>UN</v>
          </cell>
          <cell r="E735">
            <v>1.726</v>
          </cell>
          <cell r="F735">
            <v>9.6</v>
          </cell>
          <cell r="G735">
            <v>390.36</v>
          </cell>
          <cell r="H735">
            <v>90.563519999999997</v>
          </cell>
          <cell r="I735">
            <v>480.92352</v>
          </cell>
        </row>
        <row r="736">
          <cell r="B736" t="str">
            <v>*093525</v>
          </cell>
          <cell r="C736" t="str">
            <v>CONEX.TRIF.SUBT.HASTA 35KW CJA.LTT+LTM S/VER.S/SEG</v>
          </cell>
          <cell r="D736" t="str">
            <v>UN</v>
          </cell>
          <cell r="E736">
            <v>1.6677999999999999</v>
          </cell>
          <cell r="F736">
            <v>9.6</v>
          </cell>
          <cell r="G736">
            <v>398.99880000000002</v>
          </cell>
          <cell r="H736">
            <v>92.567721599999999</v>
          </cell>
          <cell r="I736">
            <v>491.56652159999999</v>
          </cell>
        </row>
        <row r="737">
          <cell r="B737" t="str">
            <v>*093534</v>
          </cell>
          <cell r="C737" t="str">
            <v>RETIRO CONEX.TRIF.SUBT.&gt;50 HASTA 75 KW F1+LTM S/VER S/SEG</v>
          </cell>
          <cell r="D737" t="str">
            <v>UN</v>
          </cell>
          <cell r="E737">
            <v>2.5188999999999999</v>
          </cell>
          <cell r="F737">
            <v>9.6</v>
          </cell>
          <cell r="G737">
            <v>257.7321</v>
          </cell>
          <cell r="H737">
            <v>59.793847199999995</v>
          </cell>
          <cell r="I737">
            <v>317.52594720000002</v>
          </cell>
        </row>
        <row r="738">
          <cell r="B738" t="str">
            <v>*093535</v>
          </cell>
          <cell r="C738" t="str">
            <v>CONEX.TRIF.SUBT.&gt;50 HASTA 75 KW F1+LTM S/VER S/SEG</v>
          </cell>
          <cell r="D738" t="str">
            <v>UN</v>
          </cell>
          <cell r="E738">
            <v>1.7632000000000001</v>
          </cell>
          <cell r="F738">
            <v>9.6</v>
          </cell>
          <cell r="G738">
            <v>368.19510000000002</v>
          </cell>
          <cell r="H738">
            <v>85.421263199999999</v>
          </cell>
          <cell r="I738">
            <v>453.61636320000002</v>
          </cell>
        </row>
        <row r="739">
          <cell r="B739" t="str">
            <v>*093540</v>
          </cell>
          <cell r="C739" t="str">
            <v>CONEX. TRIF.SUBT. MAYOR A 75KW HASTA 150 KW CAJA</v>
          </cell>
          <cell r="D739" t="str">
            <v>UN</v>
          </cell>
          <cell r="E739">
            <v>1.4331</v>
          </cell>
          <cell r="F739">
            <v>9.6</v>
          </cell>
          <cell r="G739">
            <v>591.00559999999996</v>
          </cell>
          <cell r="H739">
            <v>137.11329919999997</v>
          </cell>
          <cell r="I739">
            <v>728.11889919999999</v>
          </cell>
        </row>
        <row r="740">
          <cell r="B740" t="str">
            <v>*093544</v>
          </cell>
          <cell r="C740" t="str">
            <v>RETIRO DE CONEX.TRIF.SUBT.&gt; A 75 - 150 KW F2+LTM S/VER.S/SEG</v>
          </cell>
          <cell r="D740" t="str">
            <v>UN</v>
          </cell>
          <cell r="E740">
            <v>2.5123000000000002</v>
          </cell>
          <cell r="F740">
            <v>9.6</v>
          </cell>
          <cell r="G740">
            <v>389.27009999999996</v>
          </cell>
          <cell r="H740">
            <v>90.310663199999979</v>
          </cell>
          <cell r="I740">
            <v>479.58076319999992</v>
          </cell>
        </row>
        <row r="741">
          <cell r="B741" t="str">
            <v>*093545</v>
          </cell>
          <cell r="C741" t="str">
            <v>CONEX.TRIF.SUBT.&gt; A 75 - 150 KW F2+LTM S/VER.S/SEG</v>
          </cell>
          <cell r="D741" t="str">
            <v>UN</v>
          </cell>
          <cell r="E741">
            <v>1.7585999999999999</v>
          </cell>
          <cell r="F741">
            <v>9.6</v>
          </cell>
          <cell r="G741">
            <v>556.10349999999994</v>
          </cell>
          <cell r="H741">
            <v>129.01601199999999</v>
          </cell>
          <cell r="I741">
            <v>685.11951199999999</v>
          </cell>
        </row>
        <row r="742">
          <cell r="B742" t="str">
            <v>*093549</v>
          </cell>
          <cell r="C742" t="str">
            <v>RETIRO DE CONEX. TRIF.SUBT. MAYOR A 150 KW CAJA F3+LTM S/VER</v>
          </cell>
          <cell r="D742" t="str">
            <v>UN</v>
          </cell>
          <cell r="E742">
            <v>1.8655999999999999</v>
          </cell>
          <cell r="F742">
            <v>9.6</v>
          </cell>
          <cell r="G742">
            <v>451.20479999999998</v>
          </cell>
          <cell r="H742">
            <v>104.67951359999999</v>
          </cell>
          <cell r="I742">
            <v>555.88431359999993</v>
          </cell>
        </row>
        <row r="743">
          <cell r="B743" t="str">
            <v>*093550</v>
          </cell>
          <cell r="C743" t="str">
            <v>CONEX. TRIF.SUBT. MAYOR A 150 KW CAJA F3+LTM S/VER</v>
          </cell>
          <cell r="D743" t="str">
            <v>UN</v>
          </cell>
          <cell r="E743">
            <v>1.3059000000000001</v>
          </cell>
          <cell r="F743">
            <v>9.6</v>
          </cell>
          <cell r="G743">
            <v>648.572</v>
          </cell>
          <cell r="H743">
            <v>150.468704</v>
          </cell>
          <cell r="I743">
            <v>799.04070400000001</v>
          </cell>
        </row>
        <row r="744">
          <cell r="B744" t="str">
            <v>*093554</v>
          </cell>
          <cell r="C744" t="str">
            <v>RETIRO DE CONEX.TRIF.SUBT.&gt; A 150-225 KW F3+LTM S/VER S/SEG</v>
          </cell>
          <cell r="D744" t="str">
            <v>UN</v>
          </cell>
          <cell r="E744">
            <v>1.8983000000000001</v>
          </cell>
          <cell r="F744">
            <v>9.6</v>
          </cell>
          <cell r="G744">
            <v>443.43249999999995</v>
          </cell>
          <cell r="H744">
            <v>102.87633999999998</v>
          </cell>
          <cell r="I744">
            <v>546.30883999999992</v>
          </cell>
        </row>
        <row r="745">
          <cell r="B745" t="str">
            <v>*093555</v>
          </cell>
          <cell r="C745" t="str">
            <v>CONEX.TRIF.SUBT.&gt; A 150-225 KW F3+LTM S/VER S/SEG</v>
          </cell>
          <cell r="D745" t="str">
            <v>UN</v>
          </cell>
          <cell r="E745">
            <v>1.3288</v>
          </cell>
          <cell r="F745">
            <v>9.6</v>
          </cell>
          <cell r="G745">
            <v>637.39469999999994</v>
          </cell>
          <cell r="H745">
            <v>147.87557039999999</v>
          </cell>
          <cell r="I745">
            <v>785.27027039999996</v>
          </cell>
        </row>
        <row r="746">
          <cell r="B746" t="str">
            <v>*093557</v>
          </cell>
          <cell r="C746" t="str">
            <v>RETIRO DE CONEXIÓN BT6 SUBTERRÁNEA</v>
          </cell>
          <cell r="D746" t="str">
            <v>UN</v>
          </cell>
          <cell r="E746">
            <v>4.6040000000000001</v>
          </cell>
          <cell r="F746">
            <v>9.6</v>
          </cell>
          <cell r="G746">
            <v>105.85420000000001</v>
          </cell>
          <cell r="H746">
            <v>24.558174399999999</v>
          </cell>
          <cell r="I746">
            <v>130.4123744</v>
          </cell>
        </row>
        <row r="747">
          <cell r="B747" t="str">
            <v>*093558</v>
          </cell>
          <cell r="C747" t="str">
            <v>RETIRO DE CAJAS DERIVADAS  MAYOR DE 20 KW LTT-LTM</v>
          </cell>
          <cell r="D747" t="str">
            <v>UN</v>
          </cell>
          <cell r="E747">
            <v>22.758600000000001</v>
          </cell>
          <cell r="F747">
            <v>9.6</v>
          </cell>
          <cell r="G747">
            <v>25.942999999999998</v>
          </cell>
          <cell r="H747">
            <v>6.018775999999999</v>
          </cell>
          <cell r="I747">
            <v>31.961775999999997</v>
          </cell>
        </row>
        <row r="748">
          <cell r="B748" t="str">
            <v>*093559</v>
          </cell>
          <cell r="C748" t="str">
            <v>RETIRO DE CONEXIÓN BT6 AÉREA</v>
          </cell>
          <cell r="D748" t="str">
            <v>UN</v>
          </cell>
          <cell r="E748">
            <v>12.558</v>
          </cell>
          <cell r="F748">
            <v>9.6</v>
          </cell>
          <cell r="G748">
            <v>38.808100000000003</v>
          </cell>
          <cell r="H748">
            <v>9.0034791999999992</v>
          </cell>
          <cell r="I748">
            <v>47.811579200000004</v>
          </cell>
        </row>
        <row r="749">
          <cell r="B749" t="str">
            <v>*093560</v>
          </cell>
          <cell r="C749" t="str">
            <v>CAJAS DERIVADAS  MAYOR DE 20 KW LTT-LTM</v>
          </cell>
          <cell r="D749" t="str">
            <v>UN</v>
          </cell>
          <cell r="E749">
            <v>15.9315</v>
          </cell>
          <cell r="F749">
            <v>9.6</v>
          </cell>
          <cell r="G749">
            <v>37.060299999999998</v>
          </cell>
          <cell r="H749">
            <v>8.5979895999999982</v>
          </cell>
          <cell r="I749">
            <v>45.658289599999996</v>
          </cell>
        </row>
        <row r="750">
          <cell r="B750" t="str">
            <v>*093561</v>
          </cell>
          <cell r="C750" t="str">
            <v>CONEXIÓN BT6 AÉREA</v>
          </cell>
          <cell r="D750" t="str">
            <v>UN</v>
          </cell>
          <cell r="E750">
            <v>8.7905999999999995</v>
          </cell>
          <cell r="F750">
            <v>9.6</v>
          </cell>
          <cell r="G750">
            <v>55.440200000000004</v>
          </cell>
          <cell r="H750">
            <v>12.862126399999999</v>
          </cell>
          <cell r="I750">
            <v>68.302326399999998</v>
          </cell>
        </row>
        <row r="751">
          <cell r="B751" t="str">
            <v>*093562</v>
          </cell>
          <cell r="C751" t="str">
            <v>CONEXIÓN BT6 SUBTERRÁNEA</v>
          </cell>
          <cell r="D751" t="str">
            <v>UN</v>
          </cell>
          <cell r="E751">
            <v>3.2227999999999999</v>
          </cell>
          <cell r="F751">
            <v>9.6</v>
          </cell>
          <cell r="G751">
            <v>151.22020000000001</v>
          </cell>
          <cell r="H751">
            <v>35.083086399999999</v>
          </cell>
          <cell r="I751">
            <v>186.30328639999999</v>
          </cell>
        </row>
        <row r="752">
          <cell r="B752" t="str">
            <v>*093571</v>
          </cell>
          <cell r="C752" t="str">
            <v>REEMPLAZO DE MEDIDOR INTELIGENTE MONOFASICO</v>
          </cell>
          <cell r="D752" t="str">
            <v>UN</v>
          </cell>
          <cell r="E752">
            <v>11.111000000000001</v>
          </cell>
          <cell r="F752">
            <v>9.6</v>
          </cell>
          <cell r="G752">
            <v>42.529800000000002</v>
          </cell>
          <cell r="H752">
            <v>9.8669136000000002</v>
          </cell>
          <cell r="I752">
            <v>52.396713599999998</v>
          </cell>
        </row>
        <row r="753">
          <cell r="B753" t="str">
            <v>*093572</v>
          </cell>
          <cell r="C753" t="str">
            <v>REEMPLAZO DE MEDIDOR INTELIGENTE TRIFASICO</v>
          </cell>
          <cell r="D753" t="str">
            <v>UN</v>
          </cell>
          <cell r="E753">
            <v>9.0442</v>
          </cell>
          <cell r="F753">
            <v>9.6</v>
          </cell>
          <cell r="G753">
            <v>52.321199999999997</v>
          </cell>
          <cell r="H753">
            <v>12.138518399999999</v>
          </cell>
          <cell r="I753">
            <v>64.4597184</v>
          </cell>
        </row>
        <row r="754">
          <cell r="B754" t="str">
            <v>*093573</v>
          </cell>
          <cell r="C754" t="str">
            <v>Instalación de Concentrador para Medidor Inteligente</v>
          </cell>
          <cell r="D754" t="str">
            <v>UN</v>
          </cell>
          <cell r="E754">
            <v>3.7208000000000001</v>
          </cell>
          <cell r="F754">
            <v>9.6</v>
          </cell>
          <cell r="G754">
            <v>281.42939999999999</v>
          </cell>
          <cell r="H754">
            <v>65.29162079999999</v>
          </cell>
          <cell r="I754">
            <v>346.72102079999996</v>
          </cell>
        </row>
        <row r="755">
          <cell r="B755" t="str">
            <v>*093574</v>
          </cell>
          <cell r="C755" t="str">
            <v>RETIRO DE SEGURO DE MEDIDOR ELECTROMECÁNICO PARA REEMPLAZO POR MEDIDOR INTELIGENTE</v>
          </cell>
          <cell r="D755" t="str">
            <v>UN</v>
          </cell>
          <cell r="E755">
            <v>288</v>
          </cell>
          <cell r="F755">
            <v>9.6</v>
          </cell>
          <cell r="G755">
            <v>1.6451</v>
          </cell>
          <cell r="H755">
            <v>0.38166319999999998</v>
          </cell>
          <cell r="I755">
            <v>2.0267632</v>
          </cell>
        </row>
        <row r="756">
          <cell r="B756" t="str">
            <v>*093575</v>
          </cell>
          <cell r="C756" t="str">
            <v>SOLDADO DE REJA DE CONEXIÓN PARA REEMPLAZO POR MEDIDOR INTELIGENTE</v>
          </cell>
          <cell r="D756" t="str">
            <v>UN</v>
          </cell>
          <cell r="E756">
            <v>28.8</v>
          </cell>
          <cell r="F756">
            <v>9.6</v>
          </cell>
          <cell r="G756">
            <v>17.476700000000001</v>
          </cell>
          <cell r="H756">
            <v>4.0545944</v>
          </cell>
          <cell r="I756">
            <v>21.5312944</v>
          </cell>
        </row>
        <row r="757">
          <cell r="B757" t="str">
            <v>*093576</v>
          </cell>
          <cell r="C757" t="str">
            <v>RETIRO DE REJA O CANDADO DE CONEXIÓN PARA REEMPLAZO POR MEDIDOR INTELIGENTE</v>
          </cell>
          <cell r="D757" t="str">
            <v>UN</v>
          </cell>
          <cell r="E757">
            <v>38.4</v>
          </cell>
          <cell r="F757">
            <v>9.6</v>
          </cell>
          <cell r="G757">
            <v>12.356999999999999</v>
          </cell>
          <cell r="H757">
            <v>2.8668239999999998</v>
          </cell>
          <cell r="I757">
            <v>15.223823999999999</v>
          </cell>
        </row>
        <row r="758">
          <cell r="B758" t="str">
            <v>*093577</v>
          </cell>
          <cell r="C758" t="str">
            <v>PEGADO DE TABLERO A CAJA PORTAMEDIDOR CON SILICONA</v>
          </cell>
          <cell r="D758" t="str">
            <v>UN</v>
          </cell>
          <cell r="E758">
            <v>115.2</v>
          </cell>
          <cell r="F758">
            <v>9.6</v>
          </cell>
          <cell r="G758">
            <v>4.6673</v>
          </cell>
          <cell r="H758">
            <v>1.0828135999999999</v>
          </cell>
          <cell r="I758">
            <v>5.7501135999999997</v>
          </cell>
        </row>
        <row r="759">
          <cell r="B759" t="str">
            <v>*093578</v>
          </cell>
          <cell r="C759" t="str">
            <v>DIGITACIÓN Y CONTROL DE ACTAS DE REEMPLAZO DE MEDIDORES INTELIGENTES (POR MEDIDOR)</v>
          </cell>
          <cell r="D759" t="str">
            <v>UN</v>
          </cell>
          <cell r="E759">
            <v>185.8065</v>
          </cell>
          <cell r="F759">
            <v>9.6</v>
          </cell>
          <cell r="G759">
            <v>1.0991</v>
          </cell>
          <cell r="H759">
            <v>0.25499119999999997</v>
          </cell>
          <cell r="I759">
            <v>1.3540912000000001</v>
          </cell>
        </row>
        <row r="760">
          <cell r="B760" t="str">
            <v>*093649</v>
          </cell>
          <cell r="C760" t="str">
            <v>RETIRO DE CAJA TOMA F1 C/ACOMET DE HASTA 75 KW. PARA USO NO INDUSTRIAL S/VEREDA</v>
          </cell>
          <cell r="D760" t="str">
            <v>UN</v>
          </cell>
          <cell r="E760">
            <v>2.7027000000000001</v>
          </cell>
          <cell r="F760">
            <v>9.6</v>
          </cell>
          <cell r="G760">
            <v>263.90819999999997</v>
          </cell>
          <cell r="H760">
            <v>61.226702399999986</v>
          </cell>
          <cell r="I760">
            <v>325.13490239999993</v>
          </cell>
        </row>
        <row r="761">
          <cell r="B761" t="str">
            <v>*093650</v>
          </cell>
          <cell r="C761" t="str">
            <v>CAJA TOMA F1 C/ACOMET DE HASTA 75 KW. PARA USO NO INDUSTRIAL S/VEREDA</v>
          </cell>
          <cell r="D761" t="str">
            <v>UN</v>
          </cell>
          <cell r="E761">
            <v>1.8918999999999999</v>
          </cell>
          <cell r="F761">
            <v>9.6</v>
          </cell>
          <cell r="G761">
            <v>377.00969999999995</v>
          </cell>
          <cell r="H761">
            <v>87.466250399999979</v>
          </cell>
          <cell r="I761">
            <v>464.47595039999993</v>
          </cell>
        </row>
        <row r="762">
          <cell r="B762" t="str">
            <v>*093655</v>
          </cell>
          <cell r="C762" t="str">
            <v>INSTALACIÓN Y EQUIPAMIENTO DE CAJA TOMA F1 C/ACOMETIDA PARA INSTALACIÓN DE BANCO DE MEDIDORES</v>
          </cell>
          <cell r="D762" t="str">
            <v>UN</v>
          </cell>
          <cell r="E762">
            <v>1.8167</v>
          </cell>
          <cell r="F762">
            <v>9.6</v>
          </cell>
          <cell r="G762">
            <v>400.66310000000004</v>
          </cell>
          <cell r="H762">
            <v>92.953839200000004</v>
          </cell>
          <cell r="I762">
            <v>493.61693920000005</v>
          </cell>
        </row>
        <row r="763">
          <cell r="B763" t="str">
            <v>*093656</v>
          </cell>
          <cell r="C763" t="str">
            <v>INSTALACIÓN Y EQUIPAMIENTO DE CAJA TOMA F2 C/ACOMETIDA PARA INSTALACIÓN DE BANCO DE MEDIDORES</v>
          </cell>
          <cell r="D763" t="str">
            <v>UN</v>
          </cell>
          <cell r="E763">
            <v>1.4282999999999999</v>
          </cell>
          <cell r="F763">
            <v>9.6</v>
          </cell>
          <cell r="G763">
            <v>598.36349999999993</v>
          </cell>
          <cell r="H763">
            <v>138.82033199999998</v>
          </cell>
          <cell r="I763">
            <v>737.18383199999994</v>
          </cell>
        </row>
        <row r="764">
          <cell r="B764" t="str">
            <v>*093657</v>
          </cell>
          <cell r="C764" t="str">
            <v>INSTALACIÓN Y EQUIPAMIENTO DE CAJA TOMA F3 C/ACOMETIDA PARA INSTALACIÓN DE BANCO DE MEDIDORES</v>
          </cell>
          <cell r="D764" t="str">
            <v>UN</v>
          </cell>
          <cell r="E764">
            <v>0.95760000000000001</v>
          </cell>
          <cell r="F764">
            <v>9.6</v>
          </cell>
          <cell r="G764">
            <v>848.34699999999998</v>
          </cell>
          <cell r="H764">
            <v>196.81650399999998</v>
          </cell>
          <cell r="I764">
            <v>1045.1635039999999</v>
          </cell>
        </row>
        <row r="765">
          <cell r="B765" t="str">
            <v>*093658</v>
          </cell>
          <cell r="C765" t="str">
            <v>INSTALACIÓN Y EQUIPAMIENTO DE CAJA TOMA F4 C/ACOMETIDA PARA INSTALACIÓN DE BANCO DE MEDIDORES</v>
          </cell>
          <cell r="D765" t="str">
            <v>UN</v>
          </cell>
          <cell r="E765">
            <v>0.8659</v>
          </cell>
          <cell r="F765">
            <v>9.6</v>
          </cell>
          <cell r="G765">
            <v>966.12440000000015</v>
          </cell>
          <cell r="H765">
            <v>224.14086080000001</v>
          </cell>
          <cell r="I765">
            <v>1190.2652608000001</v>
          </cell>
        </row>
        <row r="766">
          <cell r="B766" t="str">
            <v>*093659</v>
          </cell>
          <cell r="C766" t="str">
            <v>RETIRO DE CAJA TOMA F1 S/ACOMET HASTA 75 KW PARA USO NO INDUSTRIAL</v>
          </cell>
          <cell r="D766" t="str">
            <v>UN</v>
          </cell>
          <cell r="E766">
            <v>16.253399999999999</v>
          </cell>
          <cell r="F766">
            <v>9.6</v>
          </cell>
          <cell r="G766">
            <v>68.117599999999996</v>
          </cell>
          <cell r="H766">
            <v>15.803283199999997</v>
          </cell>
          <cell r="I766">
            <v>83.920883199999992</v>
          </cell>
        </row>
        <row r="767">
          <cell r="B767" t="str">
            <v>*093660</v>
          </cell>
          <cell r="C767" t="str">
            <v>CAJA TOMA F1 S/ACOMET HASTA 75 KW PARA USO NO INDUSTRIAL</v>
          </cell>
          <cell r="D767" t="str">
            <v>UN</v>
          </cell>
          <cell r="E767">
            <v>11.3774</v>
          </cell>
          <cell r="F767">
            <v>9.6</v>
          </cell>
          <cell r="G767">
            <v>97.310700000000011</v>
          </cell>
          <cell r="H767">
            <v>22.576082400000001</v>
          </cell>
          <cell r="I767">
            <v>119.88678240000002</v>
          </cell>
        </row>
        <row r="768">
          <cell r="B768" t="str">
            <v>*093689</v>
          </cell>
          <cell r="C768" t="str">
            <v>RETIRO DE CAJA TOMA F2 C/ACOMET MAYOR A 75KW HASTA 150KW P/USO NO INDUSTRIAL  S/VEREDA</v>
          </cell>
          <cell r="D768" t="str">
            <v>UN</v>
          </cell>
          <cell r="E768">
            <v>2.2400000000000002</v>
          </cell>
          <cell r="F768">
            <v>9.6</v>
          </cell>
          <cell r="G768">
            <v>375.62109999999996</v>
          </cell>
          <cell r="H768">
            <v>87.144095199999981</v>
          </cell>
          <cell r="I768">
            <v>462.76519519999994</v>
          </cell>
        </row>
        <row r="769">
          <cell r="B769" t="str">
            <v>*093690</v>
          </cell>
          <cell r="C769" t="str">
            <v>CAJA TOMA F2 C/ACOMET MAYOR A 75KW HASTA 150KW P/USO NO INDUSTRIAL  S/VEREDA</v>
          </cell>
          <cell r="D769" t="str">
            <v>UN</v>
          </cell>
          <cell r="E769">
            <v>1.5680000000000001</v>
          </cell>
          <cell r="F769">
            <v>9.6</v>
          </cell>
          <cell r="G769">
            <v>536.60149999999999</v>
          </cell>
          <cell r="H769">
            <v>124.49154799999999</v>
          </cell>
          <cell r="I769">
            <v>661.09304799999995</v>
          </cell>
        </row>
        <row r="770">
          <cell r="B770" t="str">
            <v>*093699</v>
          </cell>
          <cell r="C770" t="str">
            <v>RETIRO DE CAJA TOMA F2 S/ACOMET MAYOR A 75KW A HASTA 150 KW P/USO NO INDUSTRIAL</v>
          </cell>
          <cell r="D770" t="str">
            <v>UN</v>
          </cell>
          <cell r="E770">
            <v>8.8683999999999994</v>
          </cell>
          <cell r="F770">
            <v>9.6</v>
          </cell>
          <cell r="G770">
            <v>102.6468</v>
          </cell>
          <cell r="H770">
            <v>23.814057599999998</v>
          </cell>
          <cell r="I770">
            <v>126.4608576</v>
          </cell>
        </row>
        <row r="771">
          <cell r="B771" t="str">
            <v>*093700</v>
          </cell>
          <cell r="C771" t="str">
            <v>CAJA TOMA F2 S/ACOMET MAYOR A 75KW A HASTA 150 KW P/USO NO INDUSTRIAL</v>
          </cell>
          <cell r="D771" t="str">
            <v>UN</v>
          </cell>
          <cell r="E771">
            <v>6.0716000000000001</v>
          </cell>
          <cell r="F771">
            <v>9.6</v>
          </cell>
          <cell r="G771">
            <v>146.7337</v>
          </cell>
          <cell r="H771">
            <v>34.042218399999996</v>
          </cell>
          <cell r="I771">
            <v>180.77591839999999</v>
          </cell>
        </row>
        <row r="772">
          <cell r="B772" t="str">
            <v>*093709</v>
          </cell>
          <cell r="C772" t="str">
            <v>RETIRO DE CAJA TOMA F3 C/ACOMET MAYOR A 150KW HASTA 225 KW P/USO NO INDUSTRIAL</v>
          </cell>
          <cell r="D772" t="str">
            <v>UN</v>
          </cell>
          <cell r="E772">
            <v>1.857</v>
          </cell>
          <cell r="F772">
            <v>9.6</v>
          </cell>
          <cell r="G772">
            <v>435.37999999999994</v>
          </cell>
          <cell r="H772">
            <v>101.00815999999998</v>
          </cell>
          <cell r="I772">
            <v>536.38815999999997</v>
          </cell>
        </row>
        <row r="773">
          <cell r="B773" t="str">
            <v>*093710</v>
          </cell>
          <cell r="C773" t="str">
            <v>CAJA TOMA F3 C/ACOMET MAYOR A 150KW HASTA 225 KW P/USO NO INDUSTRIAL</v>
          </cell>
          <cell r="D773" t="str">
            <v>UN</v>
          </cell>
          <cell r="E773">
            <v>1.2928999999999999</v>
          </cell>
          <cell r="F773">
            <v>9.6</v>
          </cell>
          <cell r="G773">
            <v>622.06920000000002</v>
          </cell>
          <cell r="H773">
            <v>144.3200544</v>
          </cell>
          <cell r="I773">
            <v>766.38925440000003</v>
          </cell>
        </row>
        <row r="774">
          <cell r="B774" t="str">
            <v>*093719</v>
          </cell>
          <cell r="C774" t="str">
            <v>RETIRO DE CAJA TOMA F3 S/ACOMET MAYOR A 150KW HASTA 225 KW PARA USO NO INDUSTRIAL</v>
          </cell>
          <cell r="D774" t="str">
            <v>UN</v>
          </cell>
          <cell r="E774">
            <v>4.4714</v>
          </cell>
          <cell r="F774">
            <v>9.6</v>
          </cell>
          <cell r="G774">
            <v>147.95110000000003</v>
          </cell>
          <cell r="H774">
            <v>34.324655200000002</v>
          </cell>
          <cell r="I774">
            <v>182.27575520000002</v>
          </cell>
        </row>
        <row r="775">
          <cell r="B775" t="str">
            <v>*093720</v>
          </cell>
          <cell r="C775" t="str">
            <v>CAJA TOMA F3 S/ACOMET MAYOR A 150KW HASTA 225 KW PARA USO NO INDUSTRIAL</v>
          </cell>
          <cell r="D775" t="str">
            <v>UN</v>
          </cell>
          <cell r="E775">
            <v>3.13</v>
          </cell>
          <cell r="F775">
            <v>9.6</v>
          </cell>
          <cell r="G775">
            <v>211.35729999999998</v>
          </cell>
          <cell r="H775">
            <v>49.03489359999999</v>
          </cell>
          <cell r="I775">
            <v>260.39219359999998</v>
          </cell>
        </row>
        <row r="776">
          <cell r="B776" t="str">
            <v>*093729</v>
          </cell>
          <cell r="C776" t="str">
            <v>RETIRO DE CAJA TOMA F4 C/ACOMET DE MAYOR A 225KW HASTA 300 KW PARA USO NO INDUSTRIAL</v>
          </cell>
          <cell r="D776" t="str">
            <v>UN</v>
          </cell>
          <cell r="E776">
            <v>1.5296000000000001</v>
          </cell>
          <cell r="F776">
            <v>9.6</v>
          </cell>
          <cell r="G776">
            <v>539.61890000000005</v>
          </cell>
          <cell r="H776">
            <v>125.1915848</v>
          </cell>
          <cell r="I776">
            <v>664.81048480000004</v>
          </cell>
        </row>
        <row r="777">
          <cell r="B777" t="str">
            <v>*093730</v>
          </cell>
          <cell r="C777" t="str">
            <v>CAJA TOMA F4 C/ACOMET DE MAYOR A 225KW HASTA 300 KW PARA USO NO INDUSTRIAL.</v>
          </cell>
          <cell r="D777" t="str">
            <v>UN</v>
          </cell>
          <cell r="E777">
            <v>1.0707</v>
          </cell>
          <cell r="F777">
            <v>9.6</v>
          </cell>
          <cell r="G777">
            <v>770.89859999999999</v>
          </cell>
          <cell r="H777">
            <v>178.8484752</v>
          </cell>
          <cell r="I777">
            <v>949.74707519999993</v>
          </cell>
        </row>
        <row r="778">
          <cell r="B778" t="str">
            <v>*093763</v>
          </cell>
          <cell r="C778" t="str">
            <v>CAJA PORTAEQUIPO DE CONTROL TÉCNICO ADOSADA EN PARED DE SEE CONVENCIONAL</v>
          </cell>
          <cell r="D778" t="str">
            <v>UN</v>
          </cell>
          <cell r="E778">
            <v>3.2778</v>
          </cell>
          <cell r="F778">
            <v>9.6</v>
          </cell>
          <cell r="G778">
            <v>258.19749999999999</v>
          </cell>
          <cell r="H778">
            <v>59.901819999999994</v>
          </cell>
          <cell r="I778">
            <v>318.09931999999998</v>
          </cell>
        </row>
        <row r="779">
          <cell r="B779" t="str">
            <v>*093767</v>
          </cell>
          <cell r="C779" t="str">
            <v>CAJA PORTAEQUIPO DE CONTROL TÉCNICO EMPOTRADA EN PARED DE SEE CONVENCIONAL</v>
          </cell>
          <cell r="D779" t="str">
            <v>UN</v>
          </cell>
          <cell r="E779">
            <v>1.5563</v>
          </cell>
          <cell r="F779">
            <v>9.6</v>
          </cell>
          <cell r="G779">
            <v>543.80240000000003</v>
          </cell>
          <cell r="H779">
            <v>126.16215680000001</v>
          </cell>
          <cell r="I779">
            <v>669.96455680000008</v>
          </cell>
        </row>
        <row r="780">
          <cell r="B780" t="str">
            <v>*093870</v>
          </cell>
          <cell r="C780" t="str">
            <v>CONEX.AEREA MT PMI CAJA LTM HASTA 1000 KW.</v>
          </cell>
          <cell r="D780" t="str">
            <v>UN</v>
          </cell>
          <cell r="E780">
            <v>1.3399000000000001</v>
          </cell>
          <cell r="F780">
            <v>9.6</v>
          </cell>
          <cell r="G780">
            <v>1894.546</v>
          </cell>
          <cell r="H780">
            <v>439.534672</v>
          </cell>
          <cell r="I780">
            <v>2334.080672</v>
          </cell>
        </row>
        <row r="781">
          <cell r="B781" t="str">
            <v>*094190</v>
          </cell>
          <cell r="C781" t="str">
            <v>ADECUACION CONEX.AEREA MONOF. O TRIF.</v>
          </cell>
          <cell r="D781" t="str">
            <v>UN</v>
          </cell>
          <cell r="E781">
            <v>21.363499999999998</v>
          </cell>
          <cell r="F781">
            <v>9.6</v>
          </cell>
          <cell r="G781">
            <v>20.352599999999999</v>
          </cell>
          <cell r="H781">
            <v>4.7218031999999992</v>
          </cell>
          <cell r="I781">
            <v>25.074403199999999</v>
          </cell>
        </row>
        <row r="782">
          <cell r="B782" t="str">
            <v>*094210</v>
          </cell>
          <cell r="C782" t="str">
            <v>ADECUACION CONEX.SUBT.MONOF. O TRIF.</v>
          </cell>
          <cell r="D782" t="str">
            <v>UN</v>
          </cell>
          <cell r="E782">
            <v>12.433199999999999</v>
          </cell>
          <cell r="F782">
            <v>9.6</v>
          </cell>
          <cell r="G782">
            <v>34.971000000000004</v>
          </cell>
          <cell r="H782">
            <v>8.1132720000000003</v>
          </cell>
          <cell r="I782">
            <v>43.084272000000006</v>
          </cell>
        </row>
        <row r="783">
          <cell r="B783" t="str">
            <v>*094230</v>
          </cell>
          <cell r="C783" t="str">
            <v>Adecuaciones en conexiones para Control Técnico</v>
          </cell>
          <cell r="D783" t="str">
            <v>UN</v>
          </cell>
          <cell r="E783">
            <v>2.1212</v>
          </cell>
          <cell r="F783">
            <v>9.6</v>
          </cell>
          <cell r="G783">
            <v>535.70519999999999</v>
          </cell>
          <cell r="H783">
            <v>124.28360639999998</v>
          </cell>
          <cell r="I783">
            <v>659.98880639999993</v>
          </cell>
        </row>
        <row r="784">
          <cell r="B784" t="str">
            <v>*094335</v>
          </cell>
          <cell r="C784" t="str">
            <v>Traslado de maxímetro a Dpto. Mantenimiento BT concexiones</v>
          </cell>
          <cell r="D784" t="str">
            <v>UN</v>
          </cell>
          <cell r="E784">
            <v>6.2977999999999996</v>
          </cell>
          <cell r="F784">
            <v>9.6</v>
          </cell>
          <cell r="G784">
            <v>82.716200000000001</v>
          </cell>
          <cell r="H784">
            <v>19.190158399999998</v>
          </cell>
          <cell r="I784">
            <v>101.9063584</v>
          </cell>
        </row>
        <row r="785">
          <cell r="B785" t="str">
            <v>*094360</v>
          </cell>
          <cell r="C785" t="str">
            <v>APOYO TECNICO EN LA INSTALACION DE REDUCTORES FIJOS EN SS.EE. (CHACARILLA)</v>
          </cell>
          <cell r="D785" t="str">
            <v>UN</v>
          </cell>
          <cell r="E785">
            <v>25.68</v>
          </cell>
          <cell r="F785">
            <v>9.6</v>
          </cell>
          <cell r="G785">
            <v>23.745800000000003</v>
          </cell>
          <cell r="H785">
            <v>5.5090256000000002</v>
          </cell>
          <cell r="I785">
            <v>29.254825600000004</v>
          </cell>
        </row>
        <row r="786">
          <cell r="B786" t="str">
            <v>*094390</v>
          </cell>
          <cell r="C786" t="str">
            <v>INSPECCION POR VERIFICACION TECNICA DE MEDIDOR (CHACARILLA)</v>
          </cell>
          <cell r="D786" t="str">
            <v>UN</v>
          </cell>
          <cell r="E786">
            <v>35.222200000000001</v>
          </cell>
          <cell r="F786">
            <v>9.6</v>
          </cell>
          <cell r="G786">
            <v>14.491400000000001</v>
          </cell>
          <cell r="H786">
            <v>3.3620047999999998</v>
          </cell>
          <cell r="I786">
            <v>17.8534048</v>
          </cell>
        </row>
        <row r="787">
          <cell r="B787" t="str">
            <v>*094392</v>
          </cell>
          <cell r="C787" t="str">
            <v>INSPECCION PREVIA PARA CALIDAD DE PRODUCTO</v>
          </cell>
          <cell r="D787" t="str">
            <v>UN</v>
          </cell>
          <cell r="E787">
            <v>9.6</v>
          </cell>
          <cell r="F787">
            <v>9.6</v>
          </cell>
          <cell r="G787">
            <v>71.414999999999992</v>
          </cell>
          <cell r="H787">
            <v>16.568279999999998</v>
          </cell>
          <cell r="I787">
            <v>87.983279999999993</v>
          </cell>
        </row>
        <row r="788">
          <cell r="B788" t="str">
            <v>*094393</v>
          </cell>
          <cell r="C788" t="str">
            <v>INSPECCION PREVIA A MANIOBRA DE REDES</v>
          </cell>
          <cell r="D788" t="str">
            <v>UN</v>
          </cell>
          <cell r="E788">
            <v>2</v>
          </cell>
          <cell r="F788">
            <v>9.6</v>
          </cell>
          <cell r="G788">
            <v>215.9693</v>
          </cell>
          <cell r="H788">
            <v>50.104877599999995</v>
          </cell>
          <cell r="I788">
            <v>266.07417759999998</v>
          </cell>
        </row>
        <row r="789">
          <cell r="B789" t="str">
            <v>*094394</v>
          </cell>
          <cell r="C789" t="str">
            <v>INSPECCION PREVIA A REFORZAMIENTO DE POSTES MT</v>
          </cell>
          <cell r="D789" t="str">
            <v>UN</v>
          </cell>
          <cell r="E789">
            <v>15</v>
          </cell>
          <cell r="F789">
            <v>9.6</v>
          </cell>
          <cell r="G789">
            <v>28.7959</v>
          </cell>
          <cell r="H789">
            <v>6.6806487999999993</v>
          </cell>
          <cell r="I789">
            <v>35.476548799999996</v>
          </cell>
        </row>
        <row r="790">
          <cell r="B790" t="str">
            <v>*094395</v>
          </cell>
          <cell r="C790" t="str">
            <v>Inspección previa por reforma de redes por refuerzo o cambio de poste</v>
          </cell>
          <cell r="D790" t="str">
            <v>UN</v>
          </cell>
          <cell r="E790">
            <v>9.1</v>
          </cell>
          <cell r="F790">
            <v>9.6</v>
          </cell>
          <cell r="G790">
            <v>43.2652</v>
          </cell>
          <cell r="H790">
            <v>10.037526399999999</v>
          </cell>
          <cell r="I790">
            <v>53.302726399999997</v>
          </cell>
        </row>
        <row r="791">
          <cell r="B791" t="str">
            <v>*094911</v>
          </cell>
          <cell r="C791" t="str">
            <v>SOLERA DE CONCRETO PARA CUALQUIER TIPO DE POSTE</v>
          </cell>
          <cell r="D791" t="str">
            <v>M3</v>
          </cell>
          <cell r="E791">
            <v>28.7</v>
          </cell>
          <cell r="F791">
            <v>9.6</v>
          </cell>
          <cell r="G791">
            <v>17.598500000000001</v>
          </cell>
          <cell r="H791">
            <v>4.0828519999999999</v>
          </cell>
          <cell r="I791">
            <v>21.681352</v>
          </cell>
        </row>
        <row r="792">
          <cell r="B792" t="str">
            <v>*094912</v>
          </cell>
          <cell r="C792" t="str">
            <v>RETIRO DE CIMENTACIÓN PARA POSTE HASTA 9m  POSTE NUEVO (SIN SOLERA)</v>
          </cell>
          <cell r="D792" t="str">
            <v>UN</v>
          </cell>
          <cell r="E792">
            <v>52.661999999999999</v>
          </cell>
          <cell r="F792">
            <v>9.6</v>
          </cell>
          <cell r="G792">
            <v>106.07529999999998</v>
          </cell>
          <cell r="H792">
            <v>24.609469599999994</v>
          </cell>
          <cell r="I792">
            <v>130.68476959999998</v>
          </cell>
        </row>
        <row r="793">
          <cell r="B793" t="str">
            <v>*094913</v>
          </cell>
          <cell r="C793" t="str">
            <v>Punta de diamante para cimentacion de postes BT</v>
          </cell>
          <cell r="D793" t="str">
            <v>UN</v>
          </cell>
          <cell r="E793">
            <v>40.186</v>
          </cell>
          <cell r="F793">
            <v>9.6</v>
          </cell>
          <cell r="G793">
            <v>22.356900000000003</v>
          </cell>
          <cell r="H793">
            <v>5.1868008000000003</v>
          </cell>
          <cell r="I793">
            <v>27.543700800000003</v>
          </cell>
        </row>
        <row r="794">
          <cell r="B794" t="str">
            <v>*094914</v>
          </cell>
          <cell r="C794" t="str">
            <v>Punta de diamante para cimentacion de postes MT</v>
          </cell>
          <cell r="D794" t="str">
            <v>UN</v>
          </cell>
          <cell r="E794">
            <v>29.793099999999999</v>
          </cell>
          <cell r="F794">
            <v>9.6</v>
          </cell>
          <cell r="G794">
            <v>59.200800000000001</v>
          </cell>
          <cell r="H794">
            <v>13.734585599999999</v>
          </cell>
          <cell r="I794">
            <v>72.935385600000004</v>
          </cell>
        </row>
        <row r="795">
          <cell r="B795" t="str">
            <v>*094917</v>
          </cell>
          <cell r="C795" t="str">
            <v>CIMENTACION PARA POSTE 8,7 m (POSTE EXISTENTE)</v>
          </cell>
          <cell r="D795" t="str">
            <v>UN</v>
          </cell>
          <cell r="E795">
            <v>5.2337999999999996</v>
          </cell>
          <cell r="F795">
            <v>9.6</v>
          </cell>
          <cell r="G795">
            <v>332.67439999999999</v>
          </cell>
          <cell r="H795">
            <v>77.180460799999992</v>
          </cell>
          <cell r="I795">
            <v>409.85486079999998</v>
          </cell>
        </row>
        <row r="796">
          <cell r="B796" t="str">
            <v>*094918</v>
          </cell>
          <cell r="C796" t="str">
            <v>CIMENTACIÓN PARA POSTE HASTA 9m  POSTE NUEVO (SIN SOLERA)</v>
          </cell>
          <cell r="D796" t="str">
            <v>UN</v>
          </cell>
          <cell r="E796">
            <v>23.757200000000001</v>
          </cell>
          <cell r="F796">
            <v>9.6</v>
          </cell>
          <cell r="G796">
            <v>151.99359999999999</v>
          </cell>
          <cell r="H796">
            <v>35.262515199999996</v>
          </cell>
          <cell r="I796">
            <v>187.25611519999998</v>
          </cell>
        </row>
        <row r="797">
          <cell r="B797" t="str">
            <v>*094919</v>
          </cell>
          <cell r="C797" t="str">
            <v>Cimentación complementaria para trabajos en postes existentes de BT</v>
          </cell>
          <cell r="D797" t="str">
            <v>UN</v>
          </cell>
          <cell r="E797">
            <v>36</v>
          </cell>
          <cell r="F797">
            <v>9.6</v>
          </cell>
          <cell r="G797">
            <v>42.805199999999999</v>
          </cell>
          <cell r="H797">
            <v>9.9308063999999998</v>
          </cell>
          <cell r="I797">
            <v>52.736006400000001</v>
          </cell>
        </row>
        <row r="798">
          <cell r="B798" t="str">
            <v>*094920</v>
          </cell>
          <cell r="C798" t="str">
            <v>CIMENTACION POSTE 11 m TERRENO NORMAL (Incl. solera)</v>
          </cell>
          <cell r="D798" t="str">
            <v>UN</v>
          </cell>
          <cell r="E798">
            <v>17.600999999999999</v>
          </cell>
          <cell r="F798">
            <v>9.6</v>
          </cell>
          <cell r="G798">
            <v>182.09840000000003</v>
          </cell>
          <cell r="H798">
            <v>42.246828800000003</v>
          </cell>
          <cell r="I798">
            <v>224.34522880000003</v>
          </cell>
        </row>
        <row r="799">
          <cell r="B799" t="str">
            <v>*094921</v>
          </cell>
          <cell r="C799" t="str">
            <v>CIMENTACION POSTE 11 m TERRENO ROCOSO</v>
          </cell>
          <cell r="D799" t="str">
            <v>UN</v>
          </cell>
          <cell r="E799">
            <v>18.75</v>
          </cell>
          <cell r="F799">
            <v>9.6</v>
          </cell>
          <cell r="G799">
            <v>165.11339999999998</v>
          </cell>
          <cell r="H799">
            <v>38.306308799999996</v>
          </cell>
          <cell r="I799">
            <v>203.41970879999997</v>
          </cell>
        </row>
        <row r="800">
          <cell r="B800" t="str">
            <v>*094927</v>
          </cell>
          <cell r="C800" t="str">
            <v>CIMENTACIÓN PARA POSTE 13m POSTE NUEVO (SIN SOLERA)</v>
          </cell>
          <cell r="D800" t="str">
            <v>UN</v>
          </cell>
          <cell r="E800">
            <v>17.239999999999998</v>
          </cell>
          <cell r="F800">
            <v>9.6</v>
          </cell>
          <cell r="G800">
            <v>245.1609</v>
          </cell>
          <cell r="H800">
            <v>56.877328799999994</v>
          </cell>
          <cell r="I800">
            <v>302.03822880000001</v>
          </cell>
        </row>
        <row r="801">
          <cell r="B801" t="str">
            <v>*094930</v>
          </cell>
          <cell r="C801" t="str">
            <v>CIMENTACION POSTE 15 m TERRENO PANTANOSO (Incl. solera)</v>
          </cell>
          <cell r="D801" t="str">
            <v>UN</v>
          </cell>
          <cell r="E801">
            <v>14.997999999999999</v>
          </cell>
          <cell r="F801">
            <v>9.6</v>
          </cell>
          <cell r="G801">
            <v>355.09649999999999</v>
          </cell>
          <cell r="H801">
            <v>82.382387999999992</v>
          </cell>
          <cell r="I801">
            <v>437.47888799999998</v>
          </cell>
        </row>
        <row r="802">
          <cell r="B802" t="str">
            <v>*094931</v>
          </cell>
          <cell r="C802" t="str">
            <v>CIMENTACION POSTE 15 m TERRENO NORMAL (Incl. Solera)</v>
          </cell>
          <cell r="D802" t="str">
            <v>UN</v>
          </cell>
          <cell r="E802">
            <v>16.11</v>
          </cell>
          <cell r="F802">
            <v>9.6</v>
          </cell>
          <cell r="G802">
            <v>281.39319999999998</v>
          </cell>
          <cell r="H802">
            <v>65.283222399999985</v>
          </cell>
          <cell r="I802">
            <v>346.67642239999998</v>
          </cell>
        </row>
        <row r="803">
          <cell r="B803" t="str">
            <v>*094933</v>
          </cell>
          <cell r="C803" t="str">
            <v>CIMENTACION POSTE 10 m TERRENO PANTANOSO (Incl. solera)</v>
          </cell>
          <cell r="D803" t="str">
            <v>UN</v>
          </cell>
          <cell r="E803">
            <v>19.36</v>
          </cell>
          <cell r="F803">
            <v>9.6</v>
          </cell>
          <cell r="G803">
            <v>165.6661</v>
          </cell>
          <cell r="H803">
            <v>38.434535199999999</v>
          </cell>
          <cell r="I803">
            <v>204.1006352</v>
          </cell>
        </row>
        <row r="804">
          <cell r="B804" t="str">
            <v>*094934</v>
          </cell>
          <cell r="C804" t="str">
            <v>CIMENTACION POSTE 10 m TERRENO NORMAL (Incl. solera)</v>
          </cell>
          <cell r="D804" t="str">
            <v>UN</v>
          </cell>
          <cell r="E804">
            <v>20.625</v>
          </cell>
          <cell r="F804">
            <v>9.6</v>
          </cell>
          <cell r="G804">
            <v>150.41729999999998</v>
          </cell>
          <cell r="H804">
            <v>34.896813599999994</v>
          </cell>
          <cell r="I804">
            <v>185.31411359999998</v>
          </cell>
        </row>
        <row r="805">
          <cell r="B805" t="str">
            <v>*095001</v>
          </cell>
          <cell r="C805" t="str">
            <v>Apoyo en seguridad por hora. Considera un efectivo policial</v>
          </cell>
          <cell r="D805" t="str">
            <v>HH</v>
          </cell>
          <cell r="E805">
            <v>9.6</v>
          </cell>
          <cell r="F805">
            <v>9.6</v>
          </cell>
          <cell r="G805">
            <v>15.702500000000001</v>
          </cell>
          <cell r="H805">
            <v>3.6429799999999997</v>
          </cell>
          <cell r="I805">
            <v>19.345480000000002</v>
          </cell>
        </row>
        <row r="806">
          <cell r="B806" t="str">
            <v>*095002</v>
          </cell>
          <cell r="C806" t="str">
            <v>Apoyo en dirección de tránsito por hora. Considera un efectivo policial</v>
          </cell>
          <cell r="D806" t="str">
            <v>HH</v>
          </cell>
          <cell r="E806">
            <v>9.6</v>
          </cell>
          <cell r="F806">
            <v>9.6</v>
          </cell>
          <cell r="G806">
            <v>15.702500000000001</v>
          </cell>
          <cell r="H806">
            <v>3.6429799999999997</v>
          </cell>
          <cell r="I806">
            <v>19.345480000000002</v>
          </cell>
        </row>
        <row r="807">
          <cell r="B807" t="str">
            <v>*095210</v>
          </cell>
          <cell r="C807" t="str">
            <v>SONDEOS VARIOS (RECONOCIMIENTO)</v>
          </cell>
          <cell r="D807" t="str">
            <v>M3</v>
          </cell>
          <cell r="E807">
            <v>5.2759999999999998</v>
          </cell>
          <cell r="F807">
            <v>9.6</v>
          </cell>
          <cell r="G807">
            <v>123.71310000000001</v>
          </cell>
          <cell r="H807">
            <v>28.701439199999999</v>
          </cell>
          <cell r="I807">
            <v>152.41453920000001</v>
          </cell>
        </row>
        <row r="808">
          <cell r="B808" t="str">
            <v>*095220</v>
          </cell>
          <cell r="C808" t="str">
            <v>Relleno varios - 095200</v>
          </cell>
          <cell r="D808" t="str">
            <v>m3</v>
          </cell>
          <cell r="E808">
            <v>4.6079999999999997</v>
          </cell>
          <cell r="F808">
            <v>9.6</v>
          </cell>
          <cell r="G808">
            <v>54.113700000000001</v>
          </cell>
          <cell r="H808">
            <v>12.554378399999999</v>
          </cell>
          <cell r="I808">
            <v>66.668078399999999</v>
          </cell>
        </row>
        <row r="809">
          <cell r="B809" t="str">
            <v>*095221</v>
          </cell>
          <cell r="C809" t="str">
            <v>AFIRMADO &gt;6M EN PISTA (20CM AFIRMADO) INC. COMPACTADO</v>
          </cell>
          <cell r="D809" t="str">
            <v>M</v>
          </cell>
          <cell r="E809">
            <v>50.118499999999997</v>
          </cell>
          <cell r="F809">
            <v>9.6</v>
          </cell>
          <cell r="G809">
            <v>25.9162</v>
          </cell>
          <cell r="H809">
            <v>6.0125583999999996</v>
          </cell>
          <cell r="I809">
            <v>31.9287584</v>
          </cell>
        </row>
        <row r="810">
          <cell r="B810" t="str">
            <v>*095222</v>
          </cell>
          <cell r="C810" t="str">
            <v>AFIRMADO &lt;6M ENPISTA(20CM AFIRMADO) INC. COMPACTADO</v>
          </cell>
          <cell r="D810" t="str">
            <v>M</v>
          </cell>
          <cell r="E810">
            <v>26.8</v>
          </cell>
          <cell r="F810">
            <v>9.6</v>
          </cell>
          <cell r="G810">
            <v>35.352600000000002</v>
          </cell>
          <cell r="H810">
            <v>8.2018032000000005</v>
          </cell>
          <cell r="I810">
            <v>43.554403200000003</v>
          </cell>
        </row>
        <row r="811">
          <cell r="B811" t="str">
            <v>*095225</v>
          </cell>
          <cell r="C811" t="str">
            <v>RELLENO CON DESMONTE</v>
          </cell>
          <cell r="D811" t="str">
            <v>M3</v>
          </cell>
          <cell r="E811">
            <v>8.1523000000000003</v>
          </cell>
          <cell r="F811">
            <v>9.6</v>
          </cell>
          <cell r="G811">
            <v>30.746699999999997</v>
          </cell>
          <cell r="H811">
            <v>7.1332343999999992</v>
          </cell>
          <cell r="I811">
            <v>37.879934399999996</v>
          </cell>
        </row>
        <row r="812">
          <cell r="B812" t="str">
            <v>*095227</v>
          </cell>
          <cell r="C812" t="str">
            <v>AFIRMADO &gt;6M EN VEREDA (10CM AFIRMADO+10CM TIERRA DEL LUGAR) INC. COMPACTADO</v>
          </cell>
          <cell r="D812" t="str">
            <v>M</v>
          </cell>
          <cell r="E812">
            <v>50.118499999999997</v>
          </cell>
          <cell r="F812">
            <v>9.6</v>
          </cell>
          <cell r="G812">
            <v>21.621799999999997</v>
          </cell>
          <cell r="H812">
            <v>5.0162575999999985</v>
          </cell>
          <cell r="I812">
            <v>26.638057599999996</v>
          </cell>
        </row>
        <row r="813">
          <cell r="B813" t="str">
            <v>*095229</v>
          </cell>
          <cell r="C813" t="str">
            <v>AFIRMADO &lt;6M EN VEREDA (10CM AFIRMADO+10CM TIERRA DEL LUGAR) INC. COMPACTADO</v>
          </cell>
          <cell r="D813" t="str">
            <v>M</v>
          </cell>
          <cell r="E813">
            <v>26.8</v>
          </cell>
          <cell r="F813">
            <v>9.6</v>
          </cell>
          <cell r="G813">
            <v>31.058199999999999</v>
          </cell>
          <cell r="H813">
            <v>7.2055023999999994</v>
          </cell>
          <cell r="I813">
            <v>38.2637024</v>
          </cell>
        </row>
        <row r="814">
          <cell r="B814" t="str">
            <v>*095230</v>
          </cell>
          <cell r="C814" t="str">
            <v>REPARACION DE ASFALTO (5 CM. DE ESPESOR X 60CM DE ANCHO)</v>
          </cell>
          <cell r="D814" t="str">
            <v>M</v>
          </cell>
          <cell r="E814">
            <v>10.470800000000001</v>
          </cell>
          <cell r="F814">
            <v>9.6</v>
          </cell>
          <cell r="G814">
            <v>99.368900000000011</v>
          </cell>
          <cell r="H814">
            <v>23.053584799999999</v>
          </cell>
          <cell r="I814">
            <v>122.42248480000001</v>
          </cell>
        </row>
        <row r="815">
          <cell r="B815" t="str">
            <v>*095231</v>
          </cell>
          <cell r="C815" t="str">
            <v>Rotura y reparación de vereda 175 kg/cm2 en conexiones, postes - sin corte</v>
          </cell>
          <cell r="D815" t="str">
            <v>M2</v>
          </cell>
          <cell r="E815">
            <v>6.2782999999999998</v>
          </cell>
          <cell r="F815">
            <v>9.6</v>
          </cell>
          <cell r="G815">
            <v>112.74229999999999</v>
          </cell>
          <cell r="H815">
            <v>26.156213599999994</v>
          </cell>
          <cell r="I815">
            <v>138.89851359999997</v>
          </cell>
        </row>
        <row r="816">
          <cell r="B816" t="str">
            <v>*095232</v>
          </cell>
          <cell r="C816" t="str">
            <v>Rotura y reparación de vereda 175 kg/cm2 en conexiones, postes - con corte</v>
          </cell>
          <cell r="D816" t="str">
            <v>M2</v>
          </cell>
          <cell r="E816">
            <v>13.6751</v>
          </cell>
          <cell r="F816">
            <v>9.6</v>
          </cell>
          <cell r="G816">
            <v>169.2516</v>
          </cell>
          <cell r="H816">
            <v>39.266371199999995</v>
          </cell>
          <cell r="I816">
            <v>208.51797119999998</v>
          </cell>
        </row>
        <row r="817">
          <cell r="B817" t="str">
            <v>*095233</v>
          </cell>
          <cell r="C817" t="str">
            <v>Rotura y reparación de vereda 175 Kg/cm2 en conexiones - con y sin máquina cortadora</v>
          </cell>
          <cell r="D817" t="str">
            <v>M2</v>
          </cell>
          <cell r="E817">
            <v>8.4566999999999997</v>
          </cell>
          <cell r="F817">
            <v>9.6</v>
          </cell>
          <cell r="G817">
            <v>119.20359999999999</v>
          </cell>
          <cell r="H817">
            <v>27.655235199999996</v>
          </cell>
          <cell r="I817">
            <v>146.85883519999999</v>
          </cell>
        </row>
        <row r="818">
          <cell r="B818" t="str">
            <v>*095234</v>
          </cell>
          <cell r="C818" t="str">
            <v>Rotura, corte, preparación y vaciado de concreto de 5 cm adicional, 175 Kg/cm2 en conexiones.</v>
          </cell>
          <cell r="D818" t="str">
            <v>M2</v>
          </cell>
          <cell r="E818">
            <v>34.822000000000003</v>
          </cell>
          <cell r="F818">
            <v>9.6</v>
          </cell>
          <cell r="G818">
            <v>37.594700000000003</v>
          </cell>
          <cell r="H818">
            <v>8.7219704</v>
          </cell>
          <cell r="I818">
            <v>46.316670400000007</v>
          </cell>
        </row>
        <row r="819">
          <cell r="B819" t="str">
            <v>*095240</v>
          </cell>
          <cell r="C819" t="str">
            <v>REPARACION DE HORMIGON 5 CM ESPESOR 140KG/CM2</v>
          </cell>
          <cell r="D819" t="str">
            <v>M2</v>
          </cell>
          <cell r="E819">
            <v>41.328200000000002</v>
          </cell>
          <cell r="F819">
            <v>9.6</v>
          </cell>
          <cell r="G819">
            <v>35.934700000000007</v>
          </cell>
          <cell r="H819">
            <v>8.3368504000000012</v>
          </cell>
          <cell r="I819">
            <v>44.27155040000001</v>
          </cell>
        </row>
        <row r="820">
          <cell r="B820" t="str">
            <v>*095241</v>
          </cell>
          <cell r="C820" t="str">
            <v>REPARACION DE VEREDA 5 CM ESPESOR 140KG/CM2 &lt;= 2m2</v>
          </cell>
          <cell r="D820" t="str">
            <v>M2</v>
          </cell>
          <cell r="E820">
            <v>24.985499999999998</v>
          </cell>
          <cell r="F820">
            <v>9.6</v>
          </cell>
          <cell r="G820">
            <v>44.227300000000007</v>
          </cell>
          <cell r="H820">
            <v>10.2607336</v>
          </cell>
          <cell r="I820">
            <v>54.488033600000009</v>
          </cell>
        </row>
        <row r="821">
          <cell r="B821" t="str">
            <v>*095242</v>
          </cell>
          <cell r="C821" t="str">
            <v>REPARACION DE VEREDA 5 CM ESPESOR 140KG/CM2 &gt; 2m2</v>
          </cell>
          <cell r="D821" t="str">
            <v>M2</v>
          </cell>
          <cell r="E821">
            <v>20.134599999999999</v>
          </cell>
          <cell r="F821">
            <v>9.6</v>
          </cell>
          <cell r="G821">
            <v>38.364600000000003</v>
          </cell>
          <cell r="H821">
            <v>8.9005872000000004</v>
          </cell>
          <cell r="I821">
            <v>47.2651872</v>
          </cell>
        </row>
        <row r="822">
          <cell r="B822" t="str">
            <v>*095250</v>
          </cell>
          <cell r="C822" t="str">
            <v>REPARACION DE HORMIGON 7 CM. ESPESOR 140KG/CM2</v>
          </cell>
          <cell r="D822" t="str">
            <v>M2</v>
          </cell>
          <cell r="E822">
            <v>40</v>
          </cell>
          <cell r="F822">
            <v>9.6</v>
          </cell>
          <cell r="G822">
            <v>46.148100000000007</v>
          </cell>
          <cell r="H822">
            <v>10.706359200000001</v>
          </cell>
          <cell r="I822">
            <v>56.854459200000008</v>
          </cell>
        </row>
        <row r="823">
          <cell r="B823" t="str">
            <v>*095260</v>
          </cell>
          <cell r="C823" t="str">
            <v>REPARACION DE HORMIGON 10 CM ESPESOR 140KG/CM2</v>
          </cell>
          <cell r="D823" t="str">
            <v>M2</v>
          </cell>
          <cell r="E823">
            <v>21.456499999999998</v>
          </cell>
          <cell r="F823">
            <v>9.6</v>
          </cell>
          <cell r="G823">
            <v>71.845800000000011</v>
          </cell>
          <cell r="H823">
            <v>16.668225600000003</v>
          </cell>
          <cell r="I823">
            <v>88.514025600000011</v>
          </cell>
        </row>
        <row r="824">
          <cell r="B824" t="str">
            <v>*095261</v>
          </cell>
          <cell r="C824" t="str">
            <v>REPARACION DE VEREDA 10 CM ESPESOR 175 KG/CM2 &lt;= 2m2</v>
          </cell>
          <cell r="D824" t="str">
            <v>M2</v>
          </cell>
          <cell r="E824">
            <v>15.305400000000001</v>
          </cell>
          <cell r="F824">
            <v>9.6</v>
          </cell>
          <cell r="G824">
            <v>74.682500000000005</v>
          </cell>
          <cell r="H824">
            <v>17.326339999999998</v>
          </cell>
          <cell r="I824">
            <v>92.008840000000006</v>
          </cell>
        </row>
        <row r="825">
          <cell r="B825" t="str">
            <v>*095262</v>
          </cell>
          <cell r="C825" t="str">
            <v>REPARACION DE VEREDA 10 CM ESPESOR 175KG/CM2 &gt; 2m2</v>
          </cell>
          <cell r="D825" t="str">
            <v>M2</v>
          </cell>
          <cell r="E825">
            <v>11.6662</v>
          </cell>
          <cell r="F825">
            <v>9.6</v>
          </cell>
          <cell r="G825">
            <v>68.055499999999995</v>
          </cell>
          <cell r="H825">
            <v>15.788875999999998</v>
          </cell>
          <cell r="I825">
            <v>83.844375999999997</v>
          </cell>
        </row>
        <row r="826">
          <cell r="B826" t="str">
            <v>*095264</v>
          </cell>
          <cell r="C826" t="str">
            <v>REPARACION  DE VEREDA PARA CAMBIO DE POSTE (&lt;2M2)</v>
          </cell>
          <cell r="D826" t="str">
            <v>M2</v>
          </cell>
          <cell r="E826">
            <v>15.958</v>
          </cell>
          <cell r="F826">
            <v>9.6</v>
          </cell>
          <cell r="G826">
            <v>132.2242</v>
          </cell>
          <cell r="H826">
            <v>30.676014399999996</v>
          </cell>
          <cell r="I826">
            <v>162.90021439999998</v>
          </cell>
        </row>
        <row r="827">
          <cell r="B827" t="str">
            <v>*095265</v>
          </cell>
          <cell r="C827" t="str">
            <v>REPARACION DE HORMIGON 10 CM ESPESOR 175 KG/CM2 &gt;3M2</v>
          </cell>
          <cell r="D827" t="str">
            <v>M2</v>
          </cell>
          <cell r="E827">
            <v>19.84</v>
          </cell>
          <cell r="F827">
            <v>9.6</v>
          </cell>
          <cell r="G827">
            <v>68.890799999999999</v>
          </cell>
          <cell r="H827">
            <v>15.982665599999999</v>
          </cell>
          <cell r="I827">
            <v>84.873465600000003</v>
          </cell>
        </row>
        <row r="828">
          <cell r="B828" t="str">
            <v>*095266</v>
          </cell>
          <cell r="C828" t="str">
            <v>Reparación de vereda para trabajos en poste</v>
          </cell>
          <cell r="D828" t="str">
            <v>M2</v>
          </cell>
          <cell r="E828">
            <v>11.5519</v>
          </cell>
          <cell r="F828">
            <v>9.6</v>
          </cell>
          <cell r="G828">
            <v>93.678200000000004</v>
          </cell>
          <cell r="H828">
            <v>21.733342399999998</v>
          </cell>
          <cell r="I828">
            <v>115.4115424</v>
          </cell>
        </row>
        <row r="829">
          <cell r="B829" t="str">
            <v>*095267</v>
          </cell>
          <cell r="C829" t="str">
            <v>ROTURA Y REPARACION DE HORMIGON 10 CM ESPESOR 175 KG/CM2 HASTA 3M2</v>
          </cell>
          <cell r="D829" t="str">
            <v>M2</v>
          </cell>
          <cell r="E829">
            <v>7</v>
          </cell>
          <cell r="F829">
            <v>9.6</v>
          </cell>
          <cell r="G829">
            <v>104.51859999999999</v>
          </cell>
          <cell r="H829">
            <v>24.248315199999997</v>
          </cell>
          <cell r="I829">
            <v>128.7669152</v>
          </cell>
        </row>
        <row r="830">
          <cell r="B830" t="str">
            <v>*095270</v>
          </cell>
          <cell r="C830" t="str">
            <v>REPARACION DE HORMIGON 15 CM DE ESPESOR 140 KG/CM2</v>
          </cell>
          <cell r="D830" t="str">
            <v>M2</v>
          </cell>
          <cell r="E830">
            <v>33</v>
          </cell>
          <cell r="F830">
            <v>9.6</v>
          </cell>
          <cell r="G830">
            <v>84.689700000000002</v>
          </cell>
          <cell r="H830">
            <v>19.6480104</v>
          </cell>
          <cell r="I830">
            <v>104.33771040000001</v>
          </cell>
        </row>
        <row r="831">
          <cell r="B831" t="str">
            <v>*095271</v>
          </cell>
          <cell r="C831" t="str">
            <v>REPARACION DE VEREDA 15 CM ESPESOR 175 KG/CM2 &lt;= 2m2</v>
          </cell>
          <cell r="D831" t="str">
            <v>M2</v>
          </cell>
          <cell r="E831">
            <v>13.4055</v>
          </cell>
          <cell r="F831">
            <v>9.6</v>
          </cell>
          <cell r="G831">
            <v>97.651399999999995</v>
          </cell>
          <cell r="H831">
            <v>22.655124799999996</v>
          </cell>
          <cell r="I831">
            <v>120.30652479999999</v>
          </cell>
        </row>
        <row r="832">
          <cell r="B832" t="str">
            <v>*095272</v>
          </cell>
          <cell r="C832" t="str">
            <v>REPARACION DE VEREDA 15 CM ESPESOR 175 KG/CM2 &gt; 2m2</v>
          </cell>
          <cell r="D832" t="str">
            <v>M2</v>
          </cell>
          <cell r="E832">
            <v>9.4591999999999992</v>
          </cell>
          <cell r="F832">
            <v>9.6</v>
          </cell>
          <cell r="G832">
            <v>89.1387</v>
          </cell>
          <cell r="H832">
            <v>20.680178399999999</v>
          </cell>
          <cell r="I832">
            <v>109.8188784</v>
          </cell>
        </row>
        <row r="833">
          <cell r="B833" t="str">
            <v>*095273</v>
          </cell>
          <cell r="C833" t="str">
            <v>REPARACION DE CONCRETO 15 CM ESPESOR 210 KG/CM2</v>
          </cell>
          <cell r="D833" t="str">
            <v>M2</v>
          </cell>
          <cell r="E833">
            <v>13.484400000000001</v>
          </cell>
          <cell r="F833">
            <v>9.6</v>
          </cell>
          <cell r="G833">
            <v>89.715900000000005</v>
          </cell>
          <cell r="H833">
            <v>20.8140888</v>
          </cell>
          <cell r="I833">
            <v>110.52998880000001</v>
          </cell>
        </row>
        <row r="834">
          <cell r="B834" t="str">
            <v>*095275</v>
          </cell>
          <cell r="C834" t="str">
            <v>REPARACION DE HORMIGON 15 CM ESPESOR 175 KG/CM2</v>
          </cell>
          <cell r="D834" t="str">
            <v>M2</v>
          </cell>
          <cell r="E834">
            <v>10.059799999999999</v>
          </cell>
          <cell r="F834">
            <v>9.6</v>
          </cell>
          <cell r="G834">
            <v>98.110300000000009</v>
          </cell>
          <cell r="H834">
            <v>22.761589600000001</v>
          </cell>
          <cell r="I834">
            <v>120.8718896</v>
          </cell>
        </row>
        <row r="835">
          <cell r="B835" t="str">
            <v>*095278</v>
          </cell>
          <cell r="C835" t="str">
            <v>REPARACION DE HORMIGON 15 CM ESPESOR 210 KG/CM2</v>
          </cell>
          <cell r="D835" t="str">
            <v>M2</v>
          </cell>
          <cell r="E835">
            <v>31</v>
          </cell>
          <cell r="F835">
            <v>9.6</v>
          </cell>
          <cell r="G835">
            <v>97.010099999999994</v>
          </cell>
          <cell r="H835">
            <v>22.506343199999996</v>
          </cell>
          <cell r="I835">
            <v>119.5164432</v>
          </cell>
        </row>
        <row r="836">
          <cell r="B836" t="str">
            <v>*095279</v>
          </cell>
          <cell r="C836" t="str">
            <v>RETIRO DE JUNTA DE DILATACION PARA VEREDA DE CUALQUIER ESPESOR OBRA VENDIDA</v>
          </cell>
          <cell r="D836" t="str">
            <v>M</v>
          </cell>
          <cell r="E836">
            <v>70.8947</v>
          </cell>
          <cell r="F836">
            <v>9.6</v>
          </cell>
          <cell r="G836">
            <v>11.261299999999999</v>
          </cell>
          <cell r="H836">
            <v>2.6126215999999993</v>
          </cell>
          <cell r="I836">
            <v>13.873921599999997</v>
          </cell>
        </row>
        <row r="837">
          <cell r="B837" t="str">
            <v>*095280</v>
          </cell>
          <cell r="C837" t="str">
            <v>REPARACION DE HORMIGON 20 CM ESPESOR 140KG/CM2</v>
          </cell>
          <cell r="D837" t="str">
            <v>M2</v>
          </cell>
          <cell r="E837">
            <v>8.7899999999999991</v>
          </cell>
          <cell r="F837">
            <v>9.6</v>
          </cell>
          <cell r="G837">
            <v>146.65619999999998</v>
          </cell>
          <cell r="H837">
            <v>34.024238399999994</v>
          </cell>
          <cell r="I837">
            <v>180.68043839999999</v>
          </cell>
        </row>
        <row r="838">
          <cell r="B838" t="str">
            <v>*095281</v>
          </cell>
          <cell r="C838" t="str">
            <v>REPARACION DE CONCRETO 20 CM ESPESOR 210 KG/CM2</v>
          </cell>
          <cell r="D838" t="str">
            <v>M2</v>
          </cell>
          <cell r="E838">
            <v>10.6203</v>
          </cell>
          <cell r="F838">
            <v>9.6</v>
          </cell>
          <cell r="G838">
            <v>113.717</v>
          </cell>
          <cell r="H838">
            <v>26.382343999999996</v>
          </cell>
          <cell r="I838">
            <v>140.099344</v>
          </cell>
        </row>
        <row r="839">
          <cell r="B839" t="str">
            <v>*095282</v>
          </cell>
          <cell r="C839" t="str">
            <v>JUNTA DE DILATACION PARA VEREDA DE CUALQUIER ESPESOR OBRA VENDIDA</v>
          </cell>
          <cell r="D839" t="str">
            <v>M</v>
          </cell>
          <cell r="E839">
            <v>43.5</v>
          </cell>
          <cell r="F839">
            <v>9.6</v>
          </cell>
          <cell r="G839">
            <v>16.1492</v>
          </cell>
          <cell r="H839">
            <v>3.7466143999999999</v>
          </cell>
          <cell r="I839">
            <v>19.895814399999999</v>
          </cell>
        </row>
        <row r="840">
          <cell r="B840" t="str">
            <v>*095283</v>
          </cell>
          <cell r="C840" t="str">
            <v>TRANSPORTE MANUAL DE CAJA AUTOSOPORTADA, MATERIALES Y HERRAMIENTAS EN ZONA DE DIFICIL ACCESO</v>
          </cell>
          <cell r="D840" t="str">
            <v>M</v>
          </cell>
          <cell r="E840">
            <v>2865.2784999999999</v>
          </cell>
          <cell r="F840">
            <v>9.6</v>
          </cell>
          <cell r="G840">
            <v>0.15329999999999999</v>
          </cell>
          <cell r="H840">
            <v>3.5565599999999996E-2</v>
          </cell>
          <cell r="I840">
            <v>0.18886559999999999</v>
          </cell>
        </row>
        <row r="841">
          <cell r="B841" t="str">
            <v>*095284</v>
          </cell>
          <cell r="C841" t="str">
            <v>TRANSPORTE MANUAL DE MURETE EN ZONA DE DIFICIL ACCESO</v>
          </cell>
          <cell r="D841" t="str">
            <v>M</v>
          </cell>
          <cell r="E841">
            <v>1576</v>
          </cell>
          <cell r="F841">
            <v>9.6</v>
          </cell>
          <cell r="G841">
            <v>0.57450000000000001</v>
          </cell>
          <cell r="H841">
            <v>0.13328399999999999</v>
          </cell>
          <cell r="I841">
            <v>0.70778399999999997</v>
          </cell>
        </row>
        <row r="842">
          <cell r="B842" t="str">
            <v>*095285</v>
          </cell>
          <cell r="C842" t="str">
            <v>INSTALACION DE MURETE PREFABRICADO, INCLUYE  MANO DE OBRA Y TRANSPORTE</v>
          </cell>
          <cell r="D842" t="str">
            <v>UN</v>
          </cell>
          <cell r="E842">
            <v>13.0669</v>
          </cell>
          <cell r="F842">
            <v>9.6</v>
          </cell>
          <cell r="G842">
            <v>33.627300000000005</v>
          </cell>
          <cell r="H842">
            <v>7.8015336000000008</v>
          </cell>
          <cell r="I842">
            <v>41.428833600000004</v>
          </cell>
        </row>
        <row r="843">
          <cell r="B843" t="str">
            <v>*095286</v>
          </cell>
          <cell r="C843" t="str">
            <v>Instalación de soporte de PRFV para caja portamedidor</v>
          </cell>
          <cell r="D843" t="str">
            <v>UN</v>
          </cell>
          <cell r="E843">
            <v>16.170000000000002</v>
          </cell>
          <cell r="F843">
            <v>9.6</v>
          </cell>
          <cell r="G843">
            <v>28.206100000000003</v>
          </cell>
          <cell r="H843">
            <v>6.5438152000000001</v>
          </cell>
          <cell r="I843">
            <v>34.749915200000004</v>
          </cell>
        </row>
        <row r="844">
          <cell r="B844" t="str">
            <v>*095287</v>
          </cell>
          <cell r="C844" t="str">
            <v>RETIRO DE MURETE PREFABRICADO, INCLUYE  MANO DE OBRA Y TRANSPORTE</v>
          </cell>
          <cell r="D844" t="str">
            <v>UN</v>
          </cell>
          <cell r="E844">
            <v>18.922499999999999</v>
          </cell>
          <cell r="F844">
            <v>9.6</v>
          </cell>
          <cell r="G844">
            <v>23.525100000000002</v>
          </cell>
          <cell r="H844">
            <v>5.4578232</v>
          </cell>
          <cell r="I844">
            <v>28.982923200000002</v>
          </cell>
        </row>
        <row r="845">
          <cell r="B845" t="str">
            <v>*095288</v>
          </cell>
          <cell r="C845" t="str">
            <v>TRASLADO DE MURETE PREFABRICADO, INCLUYE  MANO DE OBRA Y TRANSPORTE</v>
          </cell>
          <cell r="D845" t="str">
            <v>UN</v>
          </cell>
          <cell r="E845">
            <v>9.9788999999999994</v>
          </cell>
          <cell r="F845">
            <v>9.6</v>
          </cell>
          <cell r="G845">
            <v>43.729700000000001</v>
          </cell>
          <cell r="H845">
            <v>10.1452904</v>
          </cell>
          <cell r="I845">
            <v>53.874990400000002</v>
          </cell>
        </row>
        <row r="846">
          <cell r="B846" t="str">
            <v>*095289</v>
          </cell>
          <cell r="C846" t="str">
            <v>RETIRO DE MURETE PARA CAJA F1 F2 F3 + 3B   (FABRICADO EN OBRA)</v>
          </cell>
          <cell r="D846" t="str">
            <v>UN</v>
          </cell>
          <cell r="E846">
            <v>20.165800000000001</v>
          </cell>
          <cell r="F846">
            <v>9.6</v>
          </cell>
          <cell r="G846">
            <v>117.264</v>
          </cell>
          <cell r="H846">
            <v>27.205247999999997</v>
          </cell>
          <cell r="I846">
            <v>144.46924799999999</v>
          </cell>
        </row>
        <row r="847">
          <cell r="B847" t="str">
            <v>*095290</v>
          </cell>
          <cell r="C847" t="str">
            <v>CONSTRUCCION MURETE PARA CAJA TIPO L O LT (FABRICADO EN OBRA)</v>
          </cell>
          <cell r="D847" t="str">
            <v>UN</v>
          </cell>
          <cell r="E847">
            <v>4</v>
          </cell>
          <cell r="F847">
            <v>9.6</v>
          </cell>
          <cell r="G847">
            <v>167.5959</v>
          </cell>
          <cell r="H847">
            <v>38.882248799999999</v>
          </cell>
          <cell r="I847">
            <v>206.47814879999999</v>
          </cell>
        </row>
        <row r="848">
          <cell r="B848" t="str">
            <v>*095291</v>
          </cell>
          <cell r="C848" t="str">
            <v>CONSTRUCCION MURETE PARA CAJA F1 F2 F3 + 3B   (FABRICADO EN OBRA)</v>
          </cell>
          <cell r="D848" t="str">
            <v>UN</v>
          </cell>
          <cell r="E848">
            <v>6.3</v>
          </cell>
          <cell r="F848">
            <v>9.6</v>
          </cell>
          <cell r="G848">
            <v>169.3107</v>
          </cell>
          <cell r="H848">
            <v>39.280082399999998</v>
          </cell>
          <cell r="I848">
            <v>208.59078239999999</v>
          </cell>
        </row>
        <row r="849">
          <cell r="B849" t="str">
            <v>*095298</v>
          </cell>
          <cell r="C849" t="str">
            <v>MURETE (1,30X0,50X0,25 M9 PARA CAJA PORTAEQUIPO DE CONTROL TÉCNICO DE PMI OBRA VENDIDA</v>
          </cell>
          <cell r="D849" t="str">
            <v>UN</v>
          </cell>
          <cell r="E849">
            <v>1.8120000000000001</v>
          </cell>
          <cell r="F849">
            <v>9.6</v>
          </cell>
          <cell r="G849">
            <v>554.69320000000005</v>
          </cell>
          <cell r="H849">
            <v>128.68882239999999</v>
          </cell>
          <cell r="I849">
            <v>683.3820224000001</v>
          </cell>
        </row>
        <row r="850">
          <cell r="B850" t="str">
            <v>*096001</v>
          </cell>
          <cell r="C850" t="str">
            <v>VERIFICACIÓN DE CONDICIONES DE PREDIO</v>
          </cell>
          <cell r="D850" t="str">
            <v>UN</v>
          </cell>
          <cell r="E850">
            <v>450.63679999999999</v>
          </cell>
          <cell r="F850">
            <v>9.6</v>
          </cell>
          <cell r="G850">
            <v>1.0226000000000002</v>
          </cell>
          <cell r="H850">
            <v>0.23724320000000002</v>
          </cell>
          <cell r="I850">
            <v>1.2598432000000002</v>
          </cell>
        </row>
        <row r="851">
          <cell r="B851" t="str">
            <v>*096002</v>
          </cell>
          <cell r="C851" t="str">
            <v>VERIFICACIÓN DE CUMPLIMIENTO DE REQUISITOS - RUTINA - TECNICO ELECTRICISTA</v>
          </cell>
          <cell r="D851" t="str">
            <v>UN</v>
          </cell>
          <cell r="E851">
            <v>12.7585</v>
          </cell>
          <cell r="F851">
            <v>9.6</v>
          </cell>
          <cell r="G851">
            <v>32.290900000000001</v>
          </cell>
          <cell r="H851">
            <v>7.4914887999999999</v>
          </cell>
          <cell r="I851">
            <v>39.7823888</v>
          </cell>
        </row>
        <row r="852">
          <cell r="B852" t="str">
            <v>*096003</v>
          </cell>
          <cell r="C852" t="str">
            <v>VERIFICACIÓN DE CUMPLIMIENTO DE REQUISITOS - MASIVO - TECNICO ELECTRICISTA</v>
          </cell>
          <cell r="D852" t="str">
            <v>UN</v>
          </cell>
          <cell r="E852">
            <v>52.741900000000001</v>
          </cell>
          <cell r="F852">
            <v>9.6</v>
          </cell>
          <cell r="G852">
            <v>11.790900000000001</v>
          </cell>
          <cell r="H852">
            <v>2.7354888000000002</v>
          </cell>
          <cell r="I852">
            <v>14.526388800000001</v>
          </cell>
        </row>
        <row r="853">
          <cell r="B853" t="str">
            <v>*096034</v>
          </cell>
          <cell r="C853" t="str">
            <v>CATASTRO DE POSTES DE BAJA TENSIÓN - MASIVO</v>
          </cell>
          <cell r="D853" t="str">
            <v>UN</v>
          </cell>
          <cell r="E853">
            <v>72.817800000000005</v>
          </cell>
          <cell r="F853">
            <v>9.6</v>
          </cell>
          <cell r="G853">
            <v>6.9804000000000004</v>
          </cell>
          <cell r="H853">
            <v>1.6194527999999999</v>
          </cell>
          <cell r="I853">
            <v>8.5998528000000007</v>
          </cell>
        </row>
        <row r="854">
          <cell r="B854" t="str">
            <v>*096035</v>
          </cell>
          <cell r="C854" t="str">
            <v>CATASTRO DE POSTES DE BAJA TENSIÓN - DISPERSO</v>
          </cell>
          <cell r="D854" t="str">
            <v>UN</v>
          </cell>
          <cell r="E854">
            <v>37.6053</v>
          </cell>
          <cell r="F854">
            <v>9.6</v>
          </cell>
          <cell r="G854">
            <v>13.060599999999999</v>
          </cell>
          <cell r="H854">
            <v>3.0300591999999997</v>
          </cell>
          <cell r="I854">
            <v>16.090659199999997</v>
          </cell>
        </row>
        <row r="855">
          <cell r="B855" t="str">
            <v>*096036</v>
          </cell>
          <cell r="C855" t="str">
            <v>CATASTRO DE POSTES DE MEDIA TENSIÓN</v>
          </cell>
          <cell r="D855" t="str">
            <v>UN</v>
          </cell>
          <cell r="E855">
            <v>40</v>
          </cell>
          <cell r="F855">
            <v>9.6</v>
          </cell>
          <cell r="G855">
            <v>13.429499999999999</v>
          </cell>
          <cell r="H855">
            <v>3.1156439999999996</v>
          </cell>
          <cell r="I855">
            <v>16.545144000000001</v>
          </cell>
        </row>
        <row r="856">
          <cell r="B856" t="str">
            <v>*096100</v>
          </cell>
          <cell r="C856" t="str">
            <v>MOVILIZACIÓN Y DESMOVILIZACIÓN PARA PMS</v>
          </cell>
          <cell r="D856" t="str">
            <v>UN</v>
          </cell>
          <cell r="E856">
            <v>1</v>
          </cell>
          <cell r="F856">
            <v>9.6</v>
          </cell>
          <cell r="G856">
            <v>2451.1732000000002</v>
          </cell>
          <cell r="H856">
            <v>568.6721824</v>
          </cell>
          <cell r="I856">
            <v>3019.8453824000003</v>
          </cell>
        </row>
        <row r="857">
          <cell r="B857" t="str">
            <v>*096101</v>
          </cell>
          <cell r="C857" t="str">
            <v>PROVISIÓN DE AGUA PARA LA CONSTRUCCIÓN DE PMS</v>
          </cell>
          <cell r="D857" t="str">
            <v>UN</v>
          </cell>
          <cell r="E857">
            <v>1</v>
          </cell>
          <cell r="F857">
            <v>9.6</v>
          </cell>
          <cell r="G857">
            <v>248.1405</v>
          </cell>
          <cell r="H857">
            <v>57.568595999999999</v>
          </cell>
          <cell r="I857">
            <v>305.70909599999999</v>
          </cell>
        </row>
        <row r="858">
          <cell r="B858" t="str">
            <v>*096102</v>
          </cell>
          <cell r="C858" t="str">
            <v>INSTALACIÓN DE SEÑALIZACIÓN PARA OBRAS CIVILES</v>
          </cell>
          <cell r="D858" t="str">
            <v>M</v>
          </cell>
          <cell r="E858">
            <v>268.8</v>
          </cell>
          <cell r="F858">
            <v>9.6</v>
          </cell>
          <cell r="G858">
            <v>1.6387</v>
          </cell>
          <cell r="H858">
            <v>0.38017839999999997</v>
          </cell>
          <cell r="I858">
            <v>2.0188784000000002</v>
          </cell>
        </row>
        <row r="859">
          <cell r="B859" t="str">
            <v>*096103</v>
          </cell>
          <cell r="C859" t="str">
            <v>SEÑALIZACIÓN PARA OBRAS CIVILES</v>
          </cell>
          <cell r="D859" t="str">
            <v>UN</v>
          </cell>
          <cell r="E859">
            <v>1</v>
          </cell>
          <cell r="F859">
            <v>9.6</v>
          </cell>
          <cell r="G859">
            <v>540.21690000000001</v>
          </cell>
          <cell r="H859">
            <v>125.3303208</v>
          </cell>
          <cell r="I859">
            <v>665.54722079999999</v>
          </cell>
        </row>
        <row r="860">
          <cell r="B860" t="str">
            <v>*096104</v>
          </cell>
          <cell r="C860" t="str">
            <v>SONDEOS PARA OBRAS CIVILES</v>
          </cell>
          <cell r="D860" t="str">
            <v>M3</v>
          </cell>
          <cell r="E860">
            <v>5.5</v>
          </cell>
          <cell r="F860">
            <v>9.6</v>
          </cell>
          <cell r="G860">
            <v>104.1254</v>
          </cell>
          <cell r="H860">
            <v>24.157092799999997</v>
          </cell>
          <cell r="I860">
            <v>128.2824928</v>
          </cell>
        </row>
        <row r="861">
          <cell r="B861" t="str">
            <v>*096105</v>
          </cell>
          <cell r="C861" t="str">
            <v>EXCAVACIÓN MANUAL</v>
          </cell>
          <cell r="D861" t="str">
            <v>M3</v>
          </cell>
          <cell r="E861">
            <v>5</v>
          </cell>
          <cell r="F861">
            <v>9.6</v>
          </cell>
          <cell r="G861">
            <v>94.7547</v>
          </cell>
          <cell r="H861">
            <v>21.983090399999998</v>
          </cell>
          <cell r="I861">
            <v>116.73779039999999</v>
          </cell>
        </row>
        <row r="862">
          <cell r="B862" t="str">
            <v>*096106</v>
          </cell>
          <cell r="C862" t="str">
            <v>RELLENO CON MATERIAL PROPIO</v>
          </cell>
          <cell r="D862" t="str">
            <v>M3</v>
          </cell>
          <cell r="E862">
            <v>15</v>
          </cell>
          <cell r="F862">
            <v>9.6</v>
          </cell>
          <cell r="G862">
            <v>51.244399999999999</v>
          </cell>
          <cell r="H862">
            <v>11.888700799999999</v>
          </cell>
          <cell r="I862">
            <v>63.133100799999994</v>
          </cell>
        </row>
        <row r="863">
          <cell r="B863" t="str">
            <v>*096107</v>
          </cell>
          <cell r="C863" t="str">
            <v>ACARREO DE MATERIAL EXCEDENTE</v>
          </cell>
          <cell r="D863" t="str">
            <v>M3</v>
          </cell>
          <cell r="E863">
            <v>6</v>
          </cell>
          <cell r="F863">
            <v>9.6</v>
          </cell>
          <cell r="G863">
            <v>30.489400000000003</v>
          </cell>
          <cell r="H863">
            <v>7.0735408</v>
          </cell>
          <cell r="I863">
            <v>37.562940800000007</v>
          </cell>
        </row>
        <row r="864">
          <cell r="B864" t="str">
            <v>*096108</v>
          </cell>
          <cell r="C864" t="str">
            <v>ELIMINACIÓN DE MATERIAL EXCEDENTE EN OBRAS CIVILES</v>
          </cell>
          <cell r="D864" t="str">
            <v>M3</v>
          </cell>
          <cell r="E864">
            <v>12</v>
          </cell>
          <cell r="F864">
            <v>9.6</v>
          </cell>
          <cell r="G864">
            <v>85.242699999999999</v>
          </cell>
          <cell r="H864">
            <v>19.776306399999999</v>
          </cell>
          <cell r="I864">
            <v>105.01900639999999</v>
          </cell>
        </row>
        <row r="865">
          <cell r="B865" t="str">
            <v>*096109</v>
          </cell>
          <cell r="C865" t="str">
            <v>SOLADO DE 5 CM 100KG/CM2</v>
          </cell>
          <cell r="D865" t="str">
            <v>M2</v>
          </cell>
          <cell r="E865">
            <v>60</v>
          </cell>
          <cell r="F865">
            <v>9.6</v>
          </cell>
          <cell r="G865">
            <v>35.965499999999999</v>
          </cell>
          <cell r="H865">
            <v>8.3439959999999989</v>
          </cell>
          <cell r="I865">
            <v>44.309495999999996</v>
          </cell>
        </row>
        <row r="866">
          <cell r="B866" t="str">
            <v>*096110</v>
          </cell>
          <cell r="C866" t="str">
            <v>CONCRETO f´c: 210 kg/cm2 /TIPO CISTERNA</v>
          </cell>
          <cell r="D866" t="str">
            <v>M3</v>
          </cell>
          <cell r="E866">
            <v>7.5</v>
          </cell>
          <cell r="F866">
            <v>9.6</v>
          </cell>
          <cell r="G866">
            <v>628.05250000000001</v>
          </cell>
          <cell r="H866">
            <v>145.70818</v>
          </cell>
          <cell r="I866">
            <v>773.76067999999998</v>
          </cell>
        </row>
        <row r="867">
          <cell r="B867" t="str">
            <v>*096111</v>
          </cell>
          <cell r="C867" t="str">
            <v>COLOCACIÓN DE ACERO DE REFUERZO Fy: 4200 KG/CM2</v>
          </cell>
          <cell r="D867" t="str">
            <v>KG</v>
          </cell>
          <cell r="E867">
            <v>200</v>
          </cell>
          <cell r="F867">
            <v>9.6</v>
          </cell>
          <cell r="G867">
            <v>8.0368999999999993</v>
          </cell>
          <cell r="H867">
            <v>1.8645607999999998</v>
          </cell>
          <cell r="I867">
            <v>9.9014607999999988</v>
          </cell>
        </row>
        <row r="868">
          <cell r="B868" t="str">
            <v>*096112</v>
          </cell>
          <cell r="C868" t="str">
            <v>INSTALACIÓN DE PASE DE TUBERIA PVC-SAP Ø 4"</v>
          </cell>
          <cell r="D868" t="str">
            <v>UN</v>
          </cell>
          <cell r="E868">
            <v>12</v>
          </cell>
          <cell r="F868">
            <v>9.6</v>
          </cell>
          <cell r="G868">
            <v>80.197099999999992</v>
          </cell>
          <cell r="H868">
            <v>18.605727199999997</v>
          </cell>
          <cell r="I868">
            <v>98.802827199999996</v>
          </cell>
        </row>
        <row r="869">
          <cell r="B869" t="str">
            <v>*096113</v>
          </cell>
          <cell r="C869" t="str">
            <v>PINTURA DE MUROS CON ESMALTE VERDE</v>
          </cell>
          <cell r="D869" t="str">
            <v>M2</v>
          </cell>
          <cell r="E869">
            <v>15</v>
          </cell>
          <cell r="F869">
            <v>9.6</v>
          </cell>
          <cell r="G869">
            <v>26.290699999999998</v>
          </cell>
          <cell r="H869">
            <v>6.0994423999999992</v>
          </cell>
          <cell r="I869">
            <v>32.390142399999995</v>
          </cell>
        </row>
        <row r="870">
          <cell r="B870" t="str">
            <v>*096114</v>
          </cell>
          <cell r="C870" t="str">
            <v>TAPA METÁLICA GALVANIZADA PARA PMS DE 2X2.2M</v>
          </cell>
          <cell r="D870" t="str">
            <v>UN</v>
          </cell>
          <cell r="E870">
            <v>1.5</v>
          </cell>
          <cell r="F870">
            <v>9.6</v>
          </cell>
          <cell r="G870">
            <v>4234.2978999999996</v>
          </cell>
          <cell r="H870">
            <v>982.35711279999987</v>
          </cell>
          <cell r="I870">
            <v>5216.6550127999999</v>
          </cell>
        </row>
        <row r="871">
          <cell r="B871" t="str">
            <v>*096115</v>
          </cell>
          <cell r="C871" t="str">
            <v>SUMIDERO CON REJILLA METÁLICA 1.7X0.5 M PARA PMS</v>
          </cell>
          <cell r="D871" t="str">
            <v>UN</v>
          </cell>
          <cell r="E871">
            <v>2.5</v>
          </cell>
          <cell r="F871">
            <v>9.6</v>
          </cell>
          <cell r="G871">
            <v>1052.4405000000002</v>
          </cell>
          <cell r="H871">
            <v>244.16619600000001</v>
          </cell>
          <cell r="I871">
            <v>1296.6066960000003</v>
          </cell>
        </row>
        <row r="872">
          <cell r="B872" t="str">
            <v>*096116</v>
          </cell>
          <cell r="C872" t="str">
            <v>MURETE DE CONCRETO 210 KG/CM2</v>
          </cell>
          <cell r="D872" t="str">
            <v>UN</v>
          </cell>
          <cell r="E872">
            <v>1</v>
          </cell>
          <cell r="F872">
            <v>9.6</v>
          </cell>
          <cell r="G872">
            <v>364.92320000000001</v>
          </cell>
          <cell r="H872">
            <v>84.662182399999992</v>
          </cell>
          <cell r="I872">
            <v>449.58538240000001</v>
          </cell>
        </row>
        <row r="873">
          <cell r="B873" t="str">
            <v>*096117</v>
          </cell>
          <cell r="C873" t="str">
            <v>TRAZO Y REPLANTEO TOPOGRÁFICO</v>
          </cell>
          <cell r="D873" t="str">
            <v>M2</v>
          </cell>
          <cell r="E873">
            <v>14</v>
          </cell>
          <cell r="F873">
            <v>9.6</v>
          </cell>
          <cell r="G873">
            <v>53.564299999999996</v>
          </cell>
          <cell r="H873">
            <v>12.426917599999998</v>
          </cell>
          <cell r="I873">
            <v>65.991217599999999</v>
          </cell>
        </row>
        <row r="874">
          <cell r="B874" t="str">
            <v>*096118</v>
          </cell>
          <cell r="C874" t="str">
            <v>ENCOFRADO Y DESENCOFRADO TIPO CARAVISTA</v>
          </cell>
          <cell r="D874" t="str">
            <v>M2</v>
          </cell>
          <cell r="E874">
            <v>8.5</v>
          </cell>
          <cell r="F874">
            <v>9.6</v>
          </cell>
          <cell r="G874">
            <v>70.750100000000003</v>
          </cell>
          <cell r="H874">
            <v>16.414023199999999</v>
          </cell>
          <cell r="I874">
            <v>87.164123200000006</v>
          </cell>
        </row>
        <row r="875">
          <cell r="B875" t="str">
            <v>*096119</v>
          </cell>
          <cell r="C875" t="str">
            <v>IMPERMEABILIZANTE CONTRA SALES Y SULFATOS</v>
          </cell>
          <cell r="D875" t="str">
            <v>M2</v>
          </cell>
          <cell r="E875">
            <v>15</v>
          </cell>
          <cell r="F875">
            <v>9.6</v>
          </cell>
          <cell r="G875">
            <v>47.131300000000003</v>
          </cell>
          <cell r="H875">
            <v>10.934461600000001</v>
          </cell>
          <cell r="I875">
            <v>58.065761600000002</v>
          </cell>
        </row>
        <row r="876">
          <cell r="B876" t="str">
            <v>*096120</v>
          </cell>
          <cell r="C876" t="str">
            <v>SUMINISTRO E INSTALACIÓN DE MURETE PREFABRICADO PARA PMS</v>
          </cell>
          <cell r="D876" t="str">
            <v>M2</v>
          </cell>
          <cell r="E876">
            <v>1</v>
          </cell>
          <cell r="F876">
            <v>9.6</v>
          </cell>
          <cell r="G876">
            <v>955.93099999999993</v>
          </cell>
          <cell r="H876">
            <v>221.77599199999997</v>
          </cell>
          <cell r="I876">
            <v>1177.7069919999999</v>
          </cell>
        </row>
        <row r="877">
          <cell r="B877" t="str">
            <v>*096150</v>
          </cell>
          <cell r="C877" t="str">
            <v>COLOCACIÓN Y RETIRO PISO GRATING PRFV</v>
          </cell>
          <cell r="D877" t="str">
            <v>UN</v>
          </cell>
          <cell r="E877">
            <v>288</v>
          </cell>
          <cell r="F877">
            <v>9.6</v>
          </cell>
          <cell r="G877">
            <v>3.1619999999999999</v>
          </cell>
          <cell r="H877">
            <v>0.7335839999999999</v>
          </cell>
          <cell r="I877">
            <v>3.8955839999999999</v>
          </cell>
        </row>
        <row r="878">
          <cell r="B878" t="str">
            <v>*096200</v>
          </cell>
          <cell r="C878" t="str">
            <v>Instalación de Cajas de Medición y Protección, 10kV, Caja Portamedidor,</v>
          </cell>
          <cell r="D878" t="str">
            <v>UN</v>
          </cell>
          <cell r="E878">
            <v>1</v>
          </cell>
          <cell r="F878">
            <v>9.6</v>
          </cell>
          <cell r="G878">
            <v>628.19090000000006</v>
          </cell>
          <cell r="H878">
            <v>145.7402888</v>
          </cell>
          <cell r="I878">
            <v>773.93118880000009</v>
          </cell>
        </row>
        <row r="879">
          <cell r="B879" t="str">
            <v>*096201</v>
          </cell>
          <cell r="C879" t="str">
            <v>Instalación de Medidor, 10kV, Electrónico, Trifásico, Multifunción</v>
          </cell>
          <cell r="D879" t="str">
            <v>UN</v>
          </cell>
          <cell r="E879">
            <v>1</v>
          </cell>
          <cell r="F879">
            <v>9.6</v>
          </cell>
          <cell r="G879">
            <v>57.860199999999992</v>
          </cell>
          <cell r="H879">
            <v>13.423566399999997</v>
          </cell>
          <cell r="I879">
            <v>71.28376639999999</v>
          </cell>
        </row>
        <row r="880">
          <cell r="B880" t="str">
            <v>*096203</v>
          </cell>
          <cell r="C880" t="str">
            <v>Instalación Transformadores de Medida (PMS)10kV Interior Potencia Conectada Trifásica hasta 700 kW</v>
          </cell>
          <cell r="D880" t="str">
            <v>UN</v>
          </cell>
          <cell r="E880">
            <v>1</v>
          </cell>
          <cell r="F880">
            <v>9.6</v>
          </cell>
          <cell r="G880">
            <v>386.68470000000002</v>
          </cell>
          <cell r="H880">
            <v>89.710850399999998</v>
          </cell>
          <cell r="I880">
            <v>476.39555040000005</v>
          </cell>
        </row>
        <row r="881">
          <cell r="B881" t="str">
            <v>*096204</v>
          </cell>
          <cell r="C881" t="str">
            <v>Instalación de Cable de Acometida, 10kV, PMS, Potencia Conectada Trifásica hasta 1000 kW</v>
          </cell>
          <cell r="D881" t="str">
            <v>UN</v>
          </cell>
          <cell r="E881">
            <v>1</v>
          </cell>
          <cell r="F881">
            <v>9.6</v>
          </cell>
          <cell r="G881">
            <v>847.92789999999991</v>
          </cell>
          <cell r="H881">
            <v>196.71927279999997</v>
          </cell>
          <cell r="I881">
            <v>1044.6471727999999</v>
          </cell>
        </row>
        <row r="882">
          <cell r="B882" t="str">
            <v>*096205</v>
          </cell>
          <cell r="C882" t="str">
            <v>Empalme Acometida, 10kV, Subterráneo para PMS, Empalme, Trifásico, Potencia Conectada hasta 1000 Kw</v>
          </cell>
          <cell r="D882" t="str">
            <v>UN</v>
          </cell>
          <cell r="E882">
            <v>1</v>
          </cell>
          <cell r="F882">
            <v>9.6</v>
          </cell>
          <cell r="G882">
            <v>170.4624</v>
          </cell>
          <cell r="H882">
            <v>39.547276799999999</v>
          </cell>
          <cell r="I882">
            <v>210.00967679999999</v>
          </cell>
        </row>
        <row r="883">
          <cell r="B883" t="str">
            <v>*096500</v>
          </cell>
          <cell r="C883" t="str">
            <v>Habilitación de caseta para Oficina de Supervisión, Oficina Técnica, Sala reuniones.</v>
          </cell>
          <cell r="D883" t="str">
            <v>UN</v>
          </cell>
          <cell r="E883">
            <v>27</v>
          </cell>
          <cell r="F883">
            <v>9.6</v>
          </cell>
          <cell r="G883">
            <v>139.37590000000003</v>
          </cell>
          <cell r="H883">
            <v>32.335208800000004</v>
          </cell>
          <cell r="I883">
            <v>171.71110880000003</v>
          </cell>
        </row>
        <row r="884">
          <cell r="B884" t="str">
            <v>*096501</v>
          </cell>
          <cell r="C884" t="str">
            <v>Señalización de obra civil en SED</v>
          </cell>
          <cell r="D884" t="str">
            <v>M</v>
          </cell>
          <cell r="E884">
            <v>1173.6355000000001</v>
          </cell>
          <cell r="F884">
            <v>9.6</v>
          </cell>
          <cell r="G884">
            <v>0.37809999999999999</v>
          </cell>
          <cell r="H884">
            <v>8.7719199999999997E-2</v>
          </cell>
          <cell r="I884">
            <v>0.46581919999999999</v>
          </cell>
        </row>
        <row r="885">
          <cell r="B885" t="str">
            <v>*096502</v>
          </cell>
          <cell r="C885" t="str">
            <v>Limpieza y nivelación de Terreno con Maquinaria</v>
          </cell>
          <cell r="D885" t="str">
            <v>M2</v>
          </cell>
          <cell r="E885">
            <v>600</v>
          </cell>
          <cell r="F885">
            <v>9.6</v>
          </cell>
          <cell r="G885">
            <v>3.0773000000000001</v>
          </cell>
          <cell r="H885">
            <v>0.71393359999999995</v>
          </cell>
          <cell r="I885">
            <v>3.7912336</v>
          </cell>
        </row>
        <row r="886">
          <cell r="B886" t="str">
            <v>*096503</v>
          </cell>
          <cell r="C886" t="str">
            <v>Trazo y replanteo ejes y niveles</v>
          </cell>
          <cell r="D886" t="str">
            <v>M2</v>
          </cell>
          <cell r="E886">
            <v>550</v>
          </cell>
          <cell r="F886">
            <v>9.6</v>
          </cell>
          <cell r="G886">
            <v>2.5355000000000003</v>
          </cell>
          <cell r="H886">
            <v>0.58823599999999998</v>
          </cell>
          <cell r="I886">
            <v>3.1237360000000001</v>
          </cell>
        </row>
        <row r="887">
          <cell r="B887" t="str">
            <v>*096504</v>
          </cell>
          <cell r="C887" t="str">
            <v>Excavación Manual de hoyos para Zapatas H=1.00M material suelto</v>
          </cell>
          <cell r="D887" t="str">
            <v>M3</v>
          </cell>
          <cell r="E887">
            <v>3.5</v>
          </cell>
          <cell r="F887">
            <v>9.6</v>
          </cell>
          <cell r="G887">
            <v>53.573399999999999</v>
          </cell>
          <cell r="H887">
            <v>12.429028799999999</v>
          </cell>
          <cell r="I887">
            <v>66.002428800000004</v>
          </cell>
        </row>
        <row r="888">
          <cell r="B888" t="str">
            <v>*096505</v>
          </cell>
          <cell r="C888" t="str">
            <v>Excavación Masiva de zanja para Sotanos con retroexcavadora</v>
          </cell>
          <cell r="D888" t="str">
            <v>M3</v>
          </cell>
          <cell r="E888">
            <v>800</v>
          </cell>
          <cell r="F888">
            <v>9.6</v>
          </cell>
          <cell r="G888">
            <v>4.8900000000000006</v>
          </cell>
          <cell r="H888">
            <v>1.1344800000000002</v>
          </cell>
          <cell r="I888">
            <v>6.0244800000000005</v>
          </cell>
        </row>
        <row r="889">
          <cell r="B889" t="str">
            <v>*096506</v>
          </cell>
          <cell r="C889" t="str">
            <v>Eliminacion de escombros / cascotes con retroexcavadora y traslado en volquete</v>
          </cell>
          <cell r="D889" t="str">
            <v>M3</v>
          </cell>
          <cell r="E889">
            <v>345</v>
          </cell>
          <cell r="F889">
            <v>9.6</v>
          </cell>
          <cell r="G889">
            <v>8.7919</v>
          </cell>
          <cell r="H889">
            <v>2.0397208</v>
          </cell>
          <cell r="I889">
            <v>10.8316208</v>
          </cell>
        </row>
        <row r="890">
          <cell r="B890" t="str">
            <v>*096507</v>
          </cell>
          <cell r="C890" t="str">
            <v>Habilitación y Colocación de Armadura para cimientos reforzados</v>
          </cell>
          <cell r="D890" t="str">
            <v>KG</v>
          </cell>
          <cell r="E890">
            <v>250</v>
          </cell>
          <cell r="F890">
            <v>9.6</v>
          </cell>
          <cell r="G890">
            <v>4.6563999999999997</v>
          </cell>
          <cell r="H890">
            <v>1.0802847999999998</v>
          </cell>
          <cell r="I890">
            <v>5.736684799999999</v>
          </cell>
        </row>
        <row r="891">
          <cell r="B891" t="str">
            <v>*096508</v>
          </cell>
          <cell r="C891" t="str">
            <v>Preparación y Colocación de Concreto para cimientos Reforzados fc=210 Kg/cm2</v>
          </cell>
          <cell r="D891" t="str">
            <v>M3</v>
          </cell>
          <cell r="E891">
            <v>25</v>
          </cell>
          <cell r="F891">
            <v>9.6</v>
          </cell>
          <cell r="G891">
            <v>373.35240000000005</v>
          </cell>
          <cell r="H891">
            <v>86.617756800000009</v>
          </cell>
          <cell r="I891">
            <v>459.97015680000004</v>
          </cell>
        </row>
        <row r="892">
          <cell r="B892" t="str">
            <v>*096509</v>
          </cell>
          <cell r="C892" t="str">
            <v>Encofrado / Desencofrado Normal para Cimientos reforzados</v>
          </cell>
          <cell r="D892" t="str">
            <v>M2</v>
          </cell>
          <cell r="E892">
            <v>10</v>
          </cell>
          <cell r="F892">
            <v>9.6</v>
          </cell>
          <cell r="G892">
            <v>58.844300000000004</v>
          </cell>
          <cell r="H892">
            <v>13.651877600000001</v>
          </cell>
          <cell r="I892">
            <v>72.49617760000001</v>
          </cell>
        </row>
        <row r="893">
          <cell r="B893" t="str">
            <v>*096510</v>
          </cell>
          <cell r="C893" t="str">
            <v>Habilitación y Colocación de Armadura para muros de contención</v>
          </cell>
          <cell r="D893" t="str">
            <v>KG</v>
          </cell>
          <cell r="E893">
            <v>250</v>
          </cell>
          <cell r="F893">
            <v>9.6</v>
          </cell>
          <cell r="G893">
            <v>4.6563999999999997</v>
          </cell>
          <cell r="H893">
            <v>1.0802847999999998</v>
          </cell>
          <cell r="I893">
            <v>5.736684799999999</v>
          </cell>
        </row>
        <row r="894">
          <cell r="B894" t="str">
            <v>*096511</v>
          </cell>
          <cell r="C894" t="str">
            <v>Preparación y colocación de Concreto para Muros de Contención fc=175 Kg/cm2</v>
          </cell>
          <cell r="D894" t="str">
            <v>M3</v>
          </cell>
          <cell r="E894">
            <v>11</v>
          </cell>
          <cell r="F894">
            <v>9.6</v>
          </cell>
          <cell r="G894">
            <v>527.0053999999999</v>
          </cell>
          <cell r="H894">
            <v>122.26525279999997</v>
          </cell>
          <cell r="I894">
            <v>649.27065279999988</v>
          </cell>
        </row>
        <row r="895">
          <cell r="B895" t="str">
            <v>*096512</v>
          </cell>
          <cell r="C895" t="str">
            <v>Encofrado y Desencofrado Caravista para Muros de Contención</v>
          </cell>
          <cell r="D895" t="str">
            <v>M2</v>
          </cell>
          <cell r="E895">
            <v>8</v>
          </cell>
          <cell r="F895">
            <v>9.6</v>
          </cell>
          <cell r="G895">
            <v>73.847800000000007</v>
          </cell>
          <cell r="H895">
            <v>17.132689599999999</v>
          </cell>
          <cell r="I895">
            <v>90.980489599999999</v>
          </cell>
        </row>
        <row r="896">
          <cell r="B896" t="str">
            <v>*096513</v>
          </cell>
          <cell r="C896" t="str">
            <v>Habilitación y Colocación de Armadura para columnas</v>
          </cell>
          <cell r="D896" t="str">
            <v>KG</v>
          </cell>
          <cell r="E896">
            <v>250</v>
          </cell>
          <cell r="F896">
            <v>9.6</v>
          </cell>
          <cell r="G896">
            <v>4.6563999999999997</v>
          </cell>
          <cell r="H896">
            <v>1.0802847999999998</v>
          </cell>
          <cell r="I896">
            <v>5.736684799999999</v>
          </cell>
        </row>
        <row r="897">
          <cell r="B897" t="str">
            <v>*096514</v>
          </cell>
          <cell r="C897" t="str">
            <v>Preparación y Colocación de Concreto para columnas fc=210 Kg/cm2</v>
          </cell>
          <cell r="D897" t="str">
            <v>M3</v>
          </cell>
          <cell r="E897">
            <v>12</v>
          </cell>
          <cell r="F897">
            <v>9.6</v>
          </cell>
          <cell r="G897">
            <v>524.40129999999999</v>
          </cell>
          <cell r="H897">
            <v>121.66110159999999</v>
          </cell>
          <cell r="I897">
            <v>646.06240159999993</v>
          </cell>
        </row>
        <row r="898">
          <cell r="B898" t="str">
            <v>*096515</v>
          </cell>
          <cell r="C898" t="str">
            <v>Encofrado y Desencofrado Caravista para Columnas</v>
          </cell>
          <cell r="D898" t="str">
            <v>M2</v>
          </cell>
          <cell r="E898">
            <v>6.8</v>
          </cell>
          <cell r="F898">
            <v>9.6</v>
          </cell>
          <cell r="G898">
            <v>89.303400000000011</v>
          </cell>
          <cell r="H898">
            <v>20.7183888</v>
          </cell>
          <cell r="I898">
            <v>110.02178880000001</v>
          </cell>
        </row>
        <row r="899">
          <cell r="B899" t="str">
            <v>*096516</v>
          </cell>
          <cell r="C899" t="str">
            <v>Habilitación y Colocación de Armadura para vigas</v>
          </cell>
          <cell r="D899" t="str">
            <v>KG</v>
          </cell>
          <cell r="E899">
            <v>250</v>
          </cell>
          <cell r="F899">
            <v>9.6</v>
          </cell>
          <cell r="G899">
            <v>4.6563999999999997</v>
          </cell>
          <cell r="H899">
            <v>1.0802847999999998</v>
          </cell>
          <cell r="I899">
            <v>5.736684799999999</v>
          </cell>
        </row>
        <row r="900">
          <cell r="B900" t="str">
            <v>*096517</v>
          </cell>
          <cell r="C900" t="str">
            <v>Preparación y Colocación de Concreto para vigas fc=210 Kg/cm2</v>
          </cell>
          <cell r="D900" t="str">
            <v>M3</v>
          </cell>
          <cell r="E900">
            <v>20</v>
          </cell>
          <cell r="F900">
            <v>9.6</v>
          </cell>
          <cell r="G900">
            <v>431.12720000000002</v>
          </cell>
          <cell r="H900">
            <v>100.0215104</v>
          </cell>
          <cell r="I900">
            <v>531.14871040000003</v>
          </cell>
        </row>
        <row r="901">
          <cell r="B901" t="str">
            <v>*096518</v>
          </cell>
          <cell r="C901" t="str">
            <v>Encofrado y Desencofrado Caravista para Vigas</v>
          </cell>
          <cell r="D901" t="str">
            <v>M2</v>
          </cell>
          <cell r="E901">
            <v>4.5</v>
          </cell>
          <cell r="F901">
            <v>9.6</v>
          </cell>
          <cell r="G901">
            <v>121.01740000000001</v>
          </cell>
          <cell r="H901">
            <v>28.076036800000001</v>
          </cell>
          <cell r="I901">
            <v>149.09343680000001</v>
          </cell>
        </row>
        <row r="902">
          <cell r="B902" t="str">
            <v>*096519</v>
          </cell>
          <cell r="C902" t="str">
            <v>Habilitación y Colocación de Armadura para losas macizas</v>
          </cell>
          <cell r="D902" t="str">
            <v>KG</v>
          </cell>
          <cell r="E902">
            <v>250</v>
          </cell>
          <cell r="F902">
            <v>9.6</v>
          </cell>
          <cell r="G902">
            <v>4.6563999999999997</v>
          </cell>
          <cell r="H902">
            <v>1.0802847999999998</v>
          </cell>
          <cell r="I902">
            <v>5.736684799999999</v>
          </cell>
        </row>
        <row r="903">
          <cell r="B903" t="str">
            <v>*096520</v>
          </cell>
          <cell r="C903" t="str">
            <v>Preparación y Colocación de Concreto para losas macizas fc=210 Kg/cm2</v>
          </cell>
          <cell r="D903" t="str">
            <v>M3</v>
          </cell>
          <cell r="E903">
            <v>18</v>
          </cell>
          <cell r="F903">
            <v>9.6</v>
          </cell>
          <cell r="G903">
            <v>447.64189999999996</v>
          </cell>
          <cell r="H903">
            <v>103.85292079999998</v>
          </cell>
          <cell r="I903">
            <v>551.49482079999996</v>
          </cell>
        </row>
        <row r="904">
          <cell r="B904" t="str">
            <v>*096521</v>
          </cell>
          <cell r="C904" t="str">
            <v>Encofrado y Desencofrado Caravista para Losa Maciza</v>
          </cell>
          <cell r="D904" t="str">
            <v>M2</v>
          </cell>
          <cell r="E904">
            <v>7</v>
          </cell>
          <cell r="F904">
            <v>9.6</v>
          </cell>
          <cell r="G904">
            <v>85.641199999999998</v>
          </cell>
          <cell r="H904">
            <v>19.868758399999997</v>
          </cell>
          <cell r="I904">
            <v>105.50995839999999</v>
          </cell>
        </row>
        <row r="905">
          <cell r="B905" t="str">
            <v>*096522</v>
          </cell>
          <cell r="C905" t="str">
            <v>Habilitación y Colocación de Armadura para losas aligeradas</v>
          </cell>
          <cell r="D905" t="str">
            <v>KG</v>
          </cell>
          <cell r="E905">
            <v>250</v>
          </cell>
          <cell r="F905">
            <v>9.6</v>
          </cell>
          <cell r="G905">
            <v>4.6563999999999997</v>
          </cell>
          <cell r="H905">
            <v>1.0802847999999998</v>
          </cell>
          <cell r="I905">
            <v>5.736684799999999</v>
          </cell>
        </row>
        <row r="906">
          <cell r="B906" t="str">
            <v>*096523</v>
          </cell>
          <cell r="C906" t="str">
            <v>Preparación y Colocación de Concreto para losa aligerada fc=210 kg/cm2</v>
          </cell>
          <cell r="D906" t="str">
            <v>M3</v>
          </cell>
          <cell r="E906">
            <v>25</v>
          </cell>
          <cell r="F906">
            <v>9.6</v>
          </cell>
          <cell r="G906">
            <v>413.53829999999999</v>
          </cell>
          <cell r="H906">
            <v>95.940885599999987</v>
          </cell>
          <cell r="I906">
            <v>509.47918559999999</v>
          </cell>
        </row>
        <row r="907">
          <cell r="B907" t="str">
            <v>*096524</v>
          </cell>
          <cell r="C907" t="str">
            <v>Colocación de ladrillo de arcilla para losa aligerada 15x30x30</v>
          </cell>
          <cell r="D907" t="str">
            <v>UN</v>
          </cell>
          <cell r="E907">
            <v>1600</v>
          </cell>
          <cell r="F907">
            <v>9.6</v>
          </cell>
          <cell r="G907">
            <v>2.5799999999999996</v>
          </cell>
          <cell r="H907">
            <v>0.59855999999999987</v>
          </cell>
          <cell r="I907">
            <v>3.1785599999999996</v>
          </cell>
        </row>
        <row r="908">
          <cell r="B908" t="str">
            <v>*096525</v>
          </cell>
          <cell r="C908" t="str">
            <v>Encofrado y Desencofrado Caravista para losa aligerada</v>
          </cell>
          <cell r="D908" t="str">
            <v>M2</v>
          </cell>
          <cell r="E908">
            <v>6.1</v>
          </cell>
          <cell r="F908">
            <v>9.6</v>
          </cell>
          <cell r="G908">
            <v>90.227399999999989</v>
          </cell>
          <cell r="H908">
            <v>20.932756799999996</v>
          </cell>
          <cell r="I908">
            <v>111.16015679999998</v>
          </cell>
        </row>
        <row r="909">
          <cell r="B909" t="str">
            <v>*096526</v>
          </cell>
          <cell r="C909" t="str">
            <v>Construcción de muro de ladrillo KK de arcilla, cv-cabeza mezcla 1:5</v>
          </cell>
          <cell r="D909" t="str">
            <v>M2</v>
          </cell>
          <cell r="E909">
            <v>5</v>
          </cell>
          <cell r="F909">
            <v>9.6</v>
          </cell>
          <cell r="G909">
            <v>73.534599999999998</v>
          </cell>
          <cell r="H909">
            <v>17.060027199999997</v>
          </cell>
          <cell r="I909">
            <v>90.594627199999991</v>
          </cell>
        </row>
        <row r="910">
          <cell r="B910" t="str">
            <v>*096527</v>
          </cell>
          <cell r="C910" t="str">
            <v>Cubierta con ladrillo pastelero 25x25 asentado con mezcla</v>
          </cell>
          <cell r="D910" t="str">
            <v>M2</v>
          </cell>
          <cell r="E910">
            <v>20</v>
          </cell>
          <cell r="F910">
            <v>9.6</v>
          </cell>
          <cell r="G910">
            <v>30.645700000000001</v>
          </cell>
          <cell r="H910">
            <v>7.1098023999999995</v>
          </cell>
          <cell r="I910">
            <v>37.755502399999997</v>
          </cell>
        </row>
        <row r="911">
          <cell r="B911" t="str">
            <v>*096528</v>
          </cell>
          <cell r="C911" t="str">
            <v>Manufactura y colocación de Puerta de Fierro</v>
          </cell>
          <cell r="D911" t="str">
            <v>M2</v>
          </cell>
          <cell r="E911">
            <v>2</v>
          </cell>
          <cell r="F911">
            <v>9.6</v>
          </cell>
          <cell r="G911">
            <v>217.44280000000001</v>
          </cell>
          <cell r="H911">
            <v>50.446729599999998</v>
          </cell>
          <cell r="I911">
            <v>267.8895296</v>
          </cell>
        </row>
        <row r="912">
          <cell r="B912" t="str">
            <v>*096529</v>
          </cell>
          <cell r="C912" t="str">
            <v>Manufactura y colocación de ventana de Fierro con reja de Seguridad</v>
          </cell>
          <cell r="D912" t="str">
            <v>M2</v>
          </cell>
          <cell r="E912">
            <v>1.5</v>
          </cell>
          <cell r="F912">
            <v>9.6</v>
          </cell>
          <cell r="G912">
            <v>320.61340000000001</v>
          </cell>
          <cell r="H912">
            <v>74.382308800000004</v>
          </cell>
          <cell r="I912">
            <v>394.99570879999999</v>
          </cell>
        </row>
        <row r="913">
          <cell r="B913" t="str">
            <v>*096530</v>
          </cell>
          <cell r="C913" t="str">
            <v>Manufactura y colocación de pasamanos de Tubo Galvanizado de 1"</v>
          </cell>
          <cell r="D913" t="str">
            <v>M</v>
          </cell>
          <cell r="E913">
            <v>6</v>
          </cell>
          <cell r="F913">
            <v>9.6</v>
          </cell>
          <cell r="G913">
            <v>77.578099999999992</v>
          </cell>
          <cell r="H913">
            <v>17.998119199999998</v>
          </cell>
          <cell r="I913">
            <v>95.576219199999997</v>
          </cell>
        </row>
        <row r="914">
          <cell r="B914" t="str">
            <v>*096531</v>
          </cell>
          <cell r="C914" t="str">
            <v>Manufactura y colocación de escalera de Gato, Tubo F.G. 1 1/2" y 3/4"</v>
          </cell>
          <cell r="D914" t="str">
            <v>M</v>
          </cell>
          <cell r="E914">
            <v>5</v>
          </cell>
          <cell r="F914">
            <v>9.6</v>
          </cell>
          <cell r="G914">
            <v>116.751</v>
          </cell>
          <cell r="H914">
            <v>27.086231999999999</v>
          </cell>
          <cell r="I914">
            <v>143.837232</v>
          </cell>
        </row>
        <row r="915">
          <cell r="B915" t="str">
            <v>*096532</v>
          </cell>
          <cell r="C915" t="str">
            <v>Colocación de bisagra tipo Capuchina Aluminizada de 4"</v>
          </cell>
          <cell r="D915" t="str">
            <v>UN</v>
          </cell>
          <cell r="E915">
            <v>12</v>
          </cell>
          <cell r="F915">
            <v>9.6</v>
          </cell>
          <cell r="G915">
            <v>41.064500000000002</v>
          </cell>
          <cell r="H915">
            <v>9.5269639999999995</v>
          </cell>
          <cell r="I915">
            <v>50.591464000000002</v>
          </cell>
        </row>
        <row r="916">
          <cell r="B916" t="str">
            <v>*096533</v>
          </cell>
          <cell r="C916" t="str">
            <v>Colocación de cerradura Puerta Principal Pesada</v>
          </cell>
          <cell r="D916" t="str">
            <v>UN</v>
          </cell>
          <cell r="E916">
            <v>4</v>
          </cell>
          <cell r="F916">
            <v>9.6</v>
          </cell>
          <cell r="G916">
            <v>95.731999999999999</v>
          </cell>
          <cell r="H916">
            <v>22.209823999999998</v>
          </cell>
          <cell r="I916">
            <v>117.941824</v>
          </cell>
        </row>
        <row r="917">
          <cell r="B917" t="str">
            <v>*096534</v>
          </cell>
          <cell r="C917" t="str">
            <v>Manufactura de buzón de desagüe STD de 0,60 m x 0,60 m</v>
          </cell>
          <cell r="D917" t="str">
            <v>UN</v>
          </cell>
          <cell r="E917">
            <v>0.5</v>
          </cell>
          <cell r="F917">
            <v>9.6</v>
          </cell>
          <cell r="G917">
            <v>2134.1554000000001</v>
          </cell>
          <cell r="H917">
            <v>495.12405280000002</v>
          </cell>
          <cell r="I917">
            <v>2629.2794527999999</v>
          </cell>
        </row>
        <row r="918">
          <cell r="B918" t="str">
            <v>*096535</v>
          </cell>
          <cell r="C918" t="str">
            <v>Colocación y habilitación de salida de techo, PVC-SEL cable TW12</v>
          </cell>
          <cell r="D918" t="str">
            <v>UN</v>
          </cell>
          <cell r="E918">
            <v>5</v>
          </cell>
          <cell r="F918">
            <v>9.6</v>
          </cell>
          <cell r="G918">
            <v>138.7287</v>
          </cell>
          <cell r="H918">
            <v>32.185058399999996</v>
          </cell>
          <cell r="I918">
            <v>170.91375840000001</v>
          </cell>
        </row>
        <row r="919">
          <cell r="B919" t="str">
            <v>*096536</v>
          </cell>
          <cell r="C919" t="str">
            <v>Colocación y habilitación de salida de pared, PVC-SEL cable TW12</v>
          </cell>
          <cell r="D919" t="str">
            <v>UN</v>
          </cell>
          <cell r="E919">
            <v>5</v>
          </cell>
          <cell r="F919">
            <v>9.6</v>
          </cell>
          <cell r="G919">
            <v>138.7287</v>
          </cell>
          <cell r="H919">
            <v>32.185058399999996</v>
          </cell>
          <cell r="I919">
            <v>170.91375840000001</v>
          </cell>
        </row>
        <row r="920">
          <cell r="B920" t="str">
            <v>*096537</v>
          </cell>
          <cell r="C920" t="str">
            <v>Colocación y habilitación de salida tomacorriente simple, PVC-SEL cable TW12</v>
          </cell>
          <cell r="D920" t="str">
            <v>UN</v>
          </cell>
          <cell r="E920">
            <v>4</v>
          </cell>
          <cell r="F920">
            <v>9.6</v>
          </cell>
          <cell r="G920">
            <v>155.6773</v>
          </cell>
          <cell r="H920">
            <v>36.117133599999995</v>
          </cell>
          <cell r="I920">
            <v>191.79443359999999</v>
          </cell>
        </row>
        <row r="921">
          <cell r="B921" t="str">
            <v>*096538</v>
          </cell>
          <cell r="C921" t="str">
            <v>Colocación de Tubo PVC SAP Ø=2"</v>
          </cell>
          <cell r="D921" t="str">
            <v>M</v>
          </cell>
          <cell r="E921">
            <v>60</v>
          </cell>
          <cell r="F921">
            <v>9.6</v>
          </cell>
          <cell r="G921">
            <v>4.4452999999999996</v>
          </cell>
          <cell r="H921">
            <v>1.0313095999999999</v>
          </cell>
          <cell r="I921">
            <v>5.4766095999999997</v>
          </cell>
        </row>
        <row r="922">
          <cell r="B922" t="str">
            <v>*096539</v>
          </cell>
          <cell r="C922" t="str">
            <v>Suministro y colocación de Grava para Sumidero</v>
          </cell>
          <cell r="D922" t="str">
            <v>M3</v>
          </cell>
          <cell r="E922">
            <v>30</v>
          </cell>
          <cell r="F922">
            <v>9.6</v>
          </cell>
          <cell r="G922">
            <v>50.978800000000007</v>
          </cell>
          <cell r="H922">
            <v>11.827081600000001</v>
          </cell>
          <cell r="I922">
            <v>62.805881600000006</v>
          </cell>
        </row>
        <row r="923">
          <cell r="B923" t="str">
            <v>*096540</v>
          </cell>
          <cell r="C923" t="str">
            <v>Suministro y colocación reja 0,40 m x 0,40 m para sumidero</v>
          </cell>
          <cell r="D923" t="str">
            <v>UN</v>
          </cell>
          <cell r="E923">
            <v>10</v>
          </cell>
          <cell r="F923">
            <v>9.6</v>
          </cell>
          <cell r="G923">
            <v>345.46000000000004</v>
          </cell>
          <cell r="H923">
            <v>80.146720000000002</v>
          </cell>
          <cell r="I923">
            <v>425.60672000000005</v>
          </cell>
        </row>
        <row r="924">
          <cell r="B924" t="str">
            <v>*096541</v>
          </cell>
          <cell r="C924" t="str">
            <v>Suministro y colocación de tapas metálicas de 1,20 m  x 0,60 m</v>
          </cell>
          <cell r="D924" t="str">
            <v>UN</v>
          </cell>
          <cell r="E924">
            <v>2</v>
          </cell>
          <cell r="F924">
            <v>9.6</v>
          </cell>
          <cell r="G924">
            <v>278.94030000000004</v>
          </cell>
          <cell r="H924">
            <v>64.714149599999999</v>
          </cell>
          <cell r="I924">
            <v>343.65444960000002</v>
          </cell>
        </row>
        <row r="925">
          <cell r="B925" t="str">
            <v>*096542</v>
          </cell>
          <cell r="C925" t="str">
            <v>Aplicación de Impermeabilizante</v>
          </cell>
          <cell r="D925" t="str">
            <v>M2</v>
          </cell>
          <cell r="E925">
            <v>15</v>
          </cell>
          <cell r="F925">
            <v>9.6</v>
          </cell>
          <cell r="G925">
            <v>62.794000000000004</v>
          </cell>
          <cell r="H925">
            <v>14.568208</v>
          </cell>
          <cell r="I925">
            <v>77.36220800000001</v>
          </cell>
        </row>
        <row r="926">
          <cell r="B926" t="str">
            <v>*096543</v>
          </cell>
          <cell r="C926" t="str">
            <v>Colocación de ductos de concreto de un metro lineal</v>
          </cell>
          <cell r="D926" t="str">
            <v>UN</v>
          </cell>
          <cell r="E926">
            <v>45</v>
          </cell>
          <cell r="F926">
            <v>9.6</v>
          </cell>
          <cell r="G926">
            <v>4.1667999999999994</v>
          </cell>
          <cell r="H926">
            <v>0.96669759999999982</v>
          </cell>
          <cell r="I926">
            <v>5.1334975999999992</v>
          </cell>
        </row>
        <row r="927">
          <cell r="B927" t="str">
            <v>*096544</v>
          </cell>
          <cell r="C927" t="str">
            <v>Colocación de ductos de PVC -Paso Cables</v>
          </cell>
          <cell r="D927" t="str">
            <v>M</v>
          </cell>
          <cell r="E927">
            <v>5</v>
          </cell>
          <cell r="F927">
            <v>9.6</v>
          </cell>
          <cell r="G927">
            <v>37.501300000000001</v>
          </cell>
          <cell r="H927">
            <v>8.7003015999999995</v>
          </cell>
          <cell r="I927">
            <v>46.201601600000004</v>
          </cell>
        </row>
        <row r="928">
          <cell r="B928" t="str">
            <v>*096545</v>
          </cell>
          <cell r="C928" t="str">
            <v>Relleno con material de préstamo-Tierra de Chacra</v>
          </cell>
          <cell r="D928" t="str">
            <v>M3</v>
          </cell>
          <cell r="E928">
            <v>30</v>
          </cell>
          <cell r="F928">
            <v>9.6</v>
          </cell>
          <cell r="G928">
            <v>82.463399999999993</v>
          </cell>
          <cell r="H928">
            <v>19.131508799999995</v>
          </cell>
          <cell r="I928">
            <v>101.59490879999998</v>
          </cell>
        </row>
        <row r="929">
          <cell r="B929" t="str">
            <v>*096546</v>
          </cell>
          <cell r="C929" t="str">
            <v>ENCONFRADO Y DESENCOFRADO PARA SARDINEL</v>
          </cell>
          <cell r="D929" t="str">
            <v>M2</v>
          </cell>
          <cell r="E929">
            <v>24.610800000000001</v>
          </cell>
          <cell r="F929">
            <v>9.6</v>
          </cell>
          <cell r="G929">
            <v>40.953499999999998</v>
          </cell>
          <cell r="H929">
            <v>9.5012119999999989</v>
          </cell>
          <cell r="I929">
            <v>50.454712000000001</v>
          </cell>
        </row>
        <row r="930">
          <cell r="B930" t="str">
            <v>*096547</v>
          </cell>
          <cell r="C930" t="str">
            <v>Preparación y colocación de Concreto PARA REPARACIÓN fc=175 Kg/cm2</v>
          </cell>
          <cell r="D930" t="str">
            <v>M3</v>
          </cell>
          <cell r="E930">
            <v>20</v>
          </cell>
          <cell r="F930">
            <v>9.6</v>
          </cell>
          <cell r="G930">
            <v>387.08679999999998</v>
          </cell>
          <cell r="H930">
            <v>89.80413759999999</v>
          </cell>
          <cell r="I930">
            <v>476.89093759999997</v>
          </cell>
        </row>
        <row r="931">
          <cell r="B931" t="str">
            <v>*096548</v>
          </cell>
          <cell r="C931" t="str">
            <v>Preparación y colocación de Concreto PARA REPARACIÓN fc=140 Kg/cm2</v>
          </cell>
          <cell r="D931" t="str">
            <v>M3</v>
          </cell>
          <cell r="E931">
            <v>20</v>
          </cell>
          <cell r="F931">
            <v>9.6</v>
          </cell>
          <cell r="G931">
            <v>357.83069999999998</v>
          </cell>
          <cell r="H931">
            <v>83.016722399999992</v>
          </cell>
          <cell r="I931">
            <v>440.84742239999997</v>
          </cell>
        </row>
        <row r="932">
          <cell r="B932" t="str">
            <v>*096549</v>
          </cell>
          <cell r="C932" t="str">
            <v>RETIRO DE CERRADURA PUERTA PRINCIPAL PESADA</v>
          </cell>
          <cell r="D932" t="str">
            <v>UN</v>
          </cell>
          <cell r="E932">
            <v>8.0374999999999996</v>
          </cell>
          <cell r="F932">
            <v>9.6</v>
          </cell>
          <cell r="G932">
            <v>66.258899999999997</v>
          </cell>
          <cell r="H932">
            <v>15.372064799999999</v>
          </cell>
          <cell r="I932">
            <v>81.630964800000001</v>
          </cell>
        </row>
        <row r="933">
          <cell r="B933" t="str">
            <v>*097020</v>
          </cell>
          <cell r="C933" t="str">
            <v>INSTALACION DE TAPA EN BUZON VEREDA  O SEMICAMARILLA</v>
          </cell>
          <cell r="D933" t="str">
            <v>Un</v>
          </cell>
          <cell r="E933">
            <v>18.495999999999999</v>
          </cell>
          <cell r="F933">
            <v>9.6</v>
          </cell>
          <cell r="G933">
            <v>34.852499999999999</v>
          </cell>
          <cell r="H933">
            <v>8.0857799999999997</v>
          </cell>
          <cell r="I933">
            <v>42.938279999999999</v>
          </cell>
        </row>
        <row r="934">
          <cell r="B934" t="str">
            <v>*097040</v>
          </cell>
          <cell r="C934" t="str">
            <v>INSTALACION DE TAPA EN BUZON CALZADA</v>
          </cell>
          <cell r="D934" t="str">
            <v>Un</v>
          </cell>
          <cell r="E934">
            <v>8.5559999999999992</v>
          </cell>
          <cell r="F934">
            <v>9.6</v>
          </cell>
          <cell r="G934">
            <v>75.342600000000004</v>
          </cell>
          <cell r="H934">
            <v>17.479483200000001</v>
          </cell>
          <cell r="I934">
            <v>92.822083200000009</v>
          </cell>
        </row>
        <row r="935">
          <cell r="B935" t="str">
            <v>*097080</v>
          </cell>
          <cell r="C935" t="str">
            <v>CONCRETAR TAPA DE SEMICAMARILLA</v>
          </cell>
          <cell r="D935" t="str">
            <v>Un</v>
          </cell>
          <cell r="E935">
            <v>7.2610000000000001</v>
          </cell>
          <cell r="F935">
            <v>9.6</v>
          </cell>
          <cell r="G935">
            <v>95.278099999999995</v>
          </cell>
          <cell r="H935">
            <v>22.104519199999999</v>
          </cell>
          <cell r="I935">
            <v>117.38261919999999</v>
          </cell>
        </row>
        <row r="936">
          <cell r="B936" t="str">
            <v>*097090</v>
          </cell>
          <cell r="C936" t="str">
            <v>INSTALACION DE MARCO DE BOVEDAS</v>
          </cell>
          <cell r="D936" t="str">
            <v>Un</v>
          </cell>
          <cell r="E936">
            <v>2.6937000000000002</v>
          </cell>
          <cell r="F936">
            <v>9.6</v>
          </cell>
          <cell r="G936">
            <v>313.88370000000003</v>
          </cell>
          <cell r="H936">
            <v>72.8210184</v>
          </cell>
          <cell r="I936">
            <v>386.70471840000005</v>
          </cell>
        </row>
        <row r="937">
          <cell r="B937" t="str">
            <v>*097100</v>
          </cell>
          <cell r="C937" t="str">
            <v>INSTALACION DE TAPA DE BOVEDA</v>
          </cell>
          <cell r="D937" t="str">
            <v>Un</v>
          </cell>
          <cell r="E937">
            <v>6.0076999999999998</v>
          </cell>
          <cell r="F937">
            <v>9.6</v>
          </cell>
          <cell r="G937">
            <v>128.62780000000001</v>
          </cell>
          <cell r="H937">
            <v>29.8416496</v>
          </cell>
          <cell r="I937">
            <v>158.46944960000002</v>
          </cell>
        </row>
        <row r="938">
          <cell r="B938" t="str">
            <v>*097130</v>
          </cell>
          <cell r="C938" t="str">
            <v>REPARACIONES(PARCHES)EN INTERIORES DE BUZONES SEMICAMARILLAS Y BOVEDAS</v>
          </cell>
          <cell r="D938" t="str">
            <v>UN</v>
          </cell>
          <cell r="E938">
            <v>9.1173999999999999</v>
          </cell>
          <cell r="F938">
            <v>9.6</v>
          </cell>
          <cell r="G938">
            <v>106.5342</v>
          </cell>
          <cell r="H938">
            <v>24.715934399999998</v>
          </cell>
          <cell r="I938">
            <v>131.25013440000001</v>
          </cell>
        </row>
        <row r="939">
          <cell r="B939" t="str">
            <v>*097170</v>
          </cell>
          <cell r="C939" t="str">
            <v>REPARACION DE FACHADA EDIFICIOS DAÑADOS EN MUROS POR NORMALIZACION DE CONEXIONES</v>
          </cell>
          <cell r="D939" t="str">
            <v>UN</v>
          </cell>
          <cell r="E939">
            <v>5.4276999999999997</v>
          </cell>
          <cell r="F939">
            <v>9.6</v>
          </cell>
          <cell r="G939">
            <v>127.45230000000001</v>
          </cell>
          <cell r="H939">
            <v>29.568933600000001</v>
          </cell>
          <cell r="I939">
            <v>157.02123360000002</v>
          </cell>
        </row>
        <row r="940">
          <cell r="B940" t="str">
            <v>*097200</v>
          </cell>
          <cell r="C940" t="str">
            <v>Relleno compactado y recuperación de nivel de terreno por retiro de equipos - 097200</v>
          </cell>
          <cell r="D940" t="str">
            <v>m3</v>
          </cell>
          <cell r="E940">
            <v>4.6954000000000002</v>
          </cell>
          <cell r="F940">
            <v>9.6</v>
          </cell>
          <cell r="G940">
            <v>118.2208</v>
          </cell>
          <cell r="H940">
            <v>27.427225599999996</v>
          </cell>
          <cell r="I940">
            <v>145.64802559999998</v>
          </cell>
        </row>
        <row r="941">
          <cell r="B941" t="str">
            <v>*097212</v>
          </cell>
          <cell r="C941" t="str">
            <v>SOLDAR CANDADO A CADENA</v>
          </cell>
          <cell r="D941" t="str">
            <v>UN</v>
          </cell>
          <cell r="E941">
            <v>21.177800000000001</v>
          </cell>
          <cell r="F941">
            <v>9.6</v>
          </cell>
          <cell r="G941">
            <v>23.9419</v>
          </cell>
          <cell r="H941">
            <v>5.5545207999999997</v>
          </cell>
          <cell r="I941">
            <v>29.496420799999999</v>
          </cell>
        </row>
        <row r="942">
          <cell r="B942" t="str">
            <v>*097230</v>
          </cell>
          <cell r="C942" t="str">
            <v>INSTALACION DE ESCALERA DE BOVEDA</v>
          </cell>
          <cell r="D942" t="str">
            <v>UN</v>
          </cell>
          <cell r="E942">
            <v>3.9094000000000002</v>
          </cell>
          <cell r="F942">
            <v>9.6</v>
          </cell>
          <cell r="G942">
            <v>178.32739999999998</v>
          </cell>
          <cell r="H942">
            <v>41.371956799999992</v>
          </cell>
          <cell r="I942">
            <v>219.69935679999998</v>
          </cell>
        </row>
        <row r="943">
          <cell r="B943" t="str">
            <v>*097260</v>
          </cell>
          <cell r="C943" t="str">
            <v>CAMBIAR BISAGRA EN ACCESO A BOVEDA</v>
          </cell>
          <cell r="D943" t="str">
            <v>UN</v>
          </cell>
          <cell r="E943">
            <v>11.098000000000001</v>
          </cell>
          <cell r="F943">
            <v>9.6</v>
          </cell>
          <cell r="G943">
            <v>102.1335</v>
          </cell>
          <cell r="H943">
            <v>23.694971999999996</v>
          </cell>
          <cell r="I943">
            <v>125.82847199999999</v>
          </cell>
        </row>
        <row r="944">
          <cell r="B944" t="str">
            <v>*097270</v>
          </cell>
          <cell r="C944" t="str">
            <v>CONFECCIONAR E INST. TAPA CUBRECANDADO EN TABL. O S.E. CUALQUIER TIPO</v>
          </cell>
          <cell r="D944" t="str">
            <v>UN</v>
          </cell>
          <cell r="E944">
            <v>7.0233999999999996</v>
          </cell>
          <cell r="F944">
            <v>9.6</v>
          </cell>
          <cell r="G944">
            <v>117.5254</v>
          </cell>
          <cell r="H944">
            <v>27.2658928</v>
          </cell>
          <cell r="I944">
            <v>144.79129280000001</v>
          </cell>
        </row>
        <row r="945">
          <cell r="B945" t="str">
            <v>*097280</v>
          </cell>
          <cell r="C945" t="str">
            <v>REPONER PLETINA EN REJILLA DE ACCESO O REJILLA CENTRAL EN BOVEDA</v>
          </cell>
          <cell r="D945" t="str">
            <v>UN</v>
          </cell>
          <cell r="E945">
            <v>49.932200000000002</v>
          </cell>
          <cell r="F945">
            <v>9.6</v>
          </cell>
          <cell r="G945">
            <v>39.841499999999996</v>
          </cell>
          <cell r="H945">
            <v>9.2432279999999984</v>
          </cell>
          <cell r="I945">
            <v>49.084727999999998</v>
          </cell>
        </row>
        <row r="946">
          <cell r="B946" t="str">
            <v>*097290</v>
          </cell>
          <cell r="C946" t="str">
            <v>SOLDAR PLETINA DESPRENDIDA DE REJILLA DE ACCESO TAPA CENTRAL O MARCO DE BOVED.</v>
          </cell>
          <cell r="D946" t="str">
            <v>UN</v>
          </cell>
          <cell r="E946">
            <v>5.8133999999999997</v>
          </cell>
          <cell r="F946">
            <v>9.6</v>
          </cell>
          <cell r="G946">
            <v>115.17129999999999</v>
          </cell>
          <cell r="H946">
            <v>26.719741599999995</v>
          </cell>
          <cell r="I946">
            <v>141.89104159999999</v>
          </cell>
        </row>
        <row r="947">
          <cell r="B947" t="str">
            <v>*097310</v>
          </cell>
          <cell r="C947" t="str">
            <v>SOLDAR PERNO Y/O ARANDELA P/INSTALAR  PLETINA DIAGONAL EN ACCESO A BOVEDA</v>
          </cell>
          <cell r="D947" t="str">
            <v>UN</v>
          </cell>
          <cell r="E947">
            <v>8.2097999999999995</v>
          </cell>
          <cell r="F947">
            <v>9.6</v>
          </cell>
          <cell r="G947">
            <v>102.51769999999999</v>
          </cell>
          <cell r="H947">
            <v>23.784106399999995</v>
          </cell>
          <cell r="I947">
            <v>126.30180639999999</v>
          </cell>
        </row>
        <row r="948">
          <cell r="B948" t="str">
            <v>*097330</v>
          </cell>
          <cell r="C948" t="str">
            <v>DEMOLICION Y RECONSTRUCCION LOSAS DE HORMIGON ARMADO EN BOVEDA</v>
          </cell>
          <cell r="D948" t="str">
            <v>m2</v>
          </cell>
          <cell r="E948">
            <v>2.2452999999999999</v>
          </cell>
          <cell r="F948">
            <v>9.6</v>
          </cell>
          <cell r="G948">
            <v>536.59699999999998</v>
          </cell>
          <cell r="H948">
            <v>124.49050399999999</v>
          </cell>
          <cell r="I948">
            <v>661.08750399999997</v>
          </cell>
        </row>
        <row r="949">
          <cell r="B949" t="str">
            <v>*097350</v>
          </cell>
          <cell r="C949" t="str">
            <v>PINTAR NUMEROS EN CAMARAS Y BOVEDAS</v>
          </cell>
          <cell r="D949" t="str">
            <v>UN</v>
          </cell>
          <cell r="E949">
            <v>23.5686</v>
          </cell>
          <cell r="F949">
            <v>9.6</v>
          </cell>
          <cell r="G949">
            <v>22.674699999999998</v>
          </cell>
          <cell r="H949">
            <v>5.2605303999999995</v>
          </cell>
          <cell r="I949">
            <v>27.935230399999998</v>
          </cell>
        </row>
        <row r="950">
          <cell r="B950" t="str">
            <v>*097360</v>
          </cell>
          <cell r="C950" t="str">
            <v>PINTAR Y COLOCAR LETREROS EN BOVEDAS, TRANSF. Y EQUIPOS</v>
          </cell>
          <cell r="D950" t="str">
            <v>UN</v>
          </cell>
          <cell r="E950">
            <v>7.2417999999999996</v>
          </cell>
          <cell r="F950">
            <v>9.6</v>
          </cell>
          <cell r="G950">
            <v>70.048099999999991</v>
          </cell>
          <cell r="H950">
            <v>16.251159199999996</v>
          </cell>
          <cell r="I950">
            <v>86.299259199999995</v>
          </cell>
        </row>
        <row r="951">
          <cell r="B951" t="str">
            <v>*097420</v>
          </cell>
          <cell r="C951" t="str">
            <v>RETIRO DE BASURA Y BARRO EN CAMARA Y BOVEDA</v>
          </cell>
          <cell r="D951" t="str">
            <v>UN</v>
          </cell>
          <cell r="E951">
            <v>20.651399999999999</v>
          </cell>
          <cell r="F951">
            <v>9.6</v>
          </cell>
          <cell r="G951">
            <v>34.2483</v>
          </cell>
          <cell r="H951">
            <v>7.9456055999999995</v>
          </cell>
          <cell r="I951">
            <v>42.193905600000001</v>
          </cell>
        </row>
        <row r="952">
          <cell r="B952" t="str">
            <v>*097450</v>
          </cell>
          <cell r="C952" t="str">
            <v>CONSTRUCCION DE BASES DE CONCRETO PARA  POSTE AT/BT (OBRA VENDIDA)</v>
          </cell>
          <cell r="D952" t="str">
            <v>Un</v>
          </cell>
          <cell r="E952">
            <v>8.8423999999999996</v>
          </cell>
          <cell r="F952">
            <v>9.6</v>
          </cell>
          <cell r="G952">
            <v>185.26130000000001</v>
          </cell>
          <cell r="H952">
            <v>42.980621599999999</v>
          </cell>
          <cell r="I952">
            <v>228.24192160000001</v>
          </cell>
        </row>
        <row r="953">
          <cell r="B953" t="str">
            <v>*097999</v>
          </cell>
          <cell r="C953" t="str">
            <v>RETIRO DE ABRAZADERA P/PASTORAL DE FIERRO SIMPLE O DOBLE (mantenimiento)</v>
          </cell>
          <cell r="D953" t="str">
            <v>UN</v>
          </cell>
          <cell r="E953">
            <v>57.341200000000001</v>
          </cell>
          <cell r="F953">
            <v>9.6</v>
          </cell>
          <cell r="G953">
            <v>9.7988999999999997</v>
          </cell>
          <cell r="H953">
            <v>2.2733447999999998</v>
          </cell>
          <cell r="I953">
            <v>12.0722448</v>
          </cell>
        </row>
        <row r="954">
          <cell r="B954" t="str">
            <v>*098000</v>
          </cell>
          <cell r="C954" t="str">
            <v>COLOCACIÓN DE ABRAZADERA P/PASTORAL DE FIERRO SIMPLE O DOBLE (mantenimiento)</v>
          </cell>
          <cell r="D954" t="str">
            <v>UN</v>
          </cell>
          <cell r="E954">
            <v>40.14</v>
          </cell>
          <cell r="F954">
            <v>9.6</v>
          </cell>
          <cell r="G954">
            <v>13.998099999999999</v>
          </cell>
          <cell r="H954">
            <v>3.2475591999999995</v>
          </cell>
          <cell r="I954">
            <v>17.245659199999999</v>
          </cell>
        </row>
        <row r="955">
          <cell r="B955" t="str">
            <v>*098020</v>
          </cell>
          <cell r="C955" t="str">
            <v>COLOCACIÓN DE ZÓCALO PARA POSTE</v>
          </cell>
          <cell r="D955" t="str">
            <v>UN</v>
          </cell>
          <cell r="E955">
            <v>25</v>
          </cell>
          <cell r="F955">
            <v>9.6</v>
          </cell>
          <cell r="G955">
            <v>40.628699999999988</v>
          </cell>
          <cell r="H955">
            <v>9.4258583999999956</v>
          </cell>
          <cell r="I955">
            <v>50.054558399999983</v>
          </cell>
        </row>
        <row r="956">
          <cell r="B956" t="str">
            <v>*098040</v>
          </cell>
          <cell r="C956" t="str">
            <v>INSTALACIÓN DE MANGA MUERTA (ANILLO)</v>
          </cell>
          <cell r="D956" t="str">
            <v>UN</v>
          </cell>
          <cell r="E956">
            <v>25.8399</v>
          </cell>
          <cell r="F956">
            <v>9.6</v>
          </cell>
          <cell r="G956">
            <v>25.424099999999996</v>
          </cell>
          <cell r="H956">
            <v>5.8983911999999989</v>
          </cell>
          <cell r="I956">
            <v>31.322491199999995</v>
          </cell>
        </row>
        <row r="957">
          <cell r="B957" t="str">
            <v>*098070</v>
          </cell>
          <cell r="C957" t="str">
            <v>REACONDICIONAMIENTO PASTORAL CUALQUIER TIPO EN TALLER</v>
          </cell>
          <cell r="D957" t="str">
            <v>UN</v>
          </cell>
          <cell r="E957">
            <v>13</v>
          </cell>
          <cell r="F957">
            <v>9.6</v>
          </cell>
          <cell r="G957">
            <v>63.325700000000005</v>
          </cell>
          <cell r="H957">
            <v>14.6915624</v>
          </cell>
          <cell r="I957">
            <v>78.017262400000007</v>
          </cell>
        </row>
        <row r="958">
          <cell r="B958" t="str">
            <v>*098100</v>
          </cell>
          <cell r="C958" t="str">
            <v>CAMBIO CORTACIRCUITO TIPO T-30</v>
          </cell>
          <cell r="D958" t="str">
            <v>UN</v>
          </cell>
          <cell r="E958">
            <v>25.289400000000001</v>
          </cell>
          <cell r="F958">
            <v>9.6</v>
          </cell>
          <cell r="G958">
            <v>19.582899999999999</v>
          </cell>
          <cell r="H958">
            <v>4.5432327999999993</v>
          </cell>
          <cell r="I958">
            <v>24.126132799999997</v>
          </cell>
        </row>
        <row r="959">
          <cell r="B959" t="str">
            <v>*098110</v>
          </cell>
          <cell r="C959" t="str">
            <v>CAMBIO BASE PORTAFUSIBLE UNIPOLAR EN CAJA F1,F2</v>
          </cell>
          <cell r="D959" t="str">
            <v>UN</v>
          </cell>
          <cell r="E959">
            <v>38.495100000000001</v>
          </cell>
          <cell r="F959">
            <v>9.6</v>
          </cell>
          <cell r="G959">
            <v>12.8651</v>
          </cell>
          <cell r="H959">
            <v>2.9847031999999998</v>
          </cell>
          <cell r="I959">
            <v>15.8498032</v>
          </cell>
        </row>
        <row r="960">
          <cell r="B960" t="str">
            <v>*098120</v>
          </cell>
          <cell r="C960" t="str">
            <v>CAMBIO DE CAJA F1 O 3B, INCLUYE RETIRO</v>
          </cell>
          <cell r="D960" t="str">
            <v>UN</v>
          </cell>
          <cell r="E960">
            <v>5.4260999999999999</v>
          </cell>
          <cell r="F960">
            <v>9.6</v>
          </cell>
          <cell r="G960">
            <v>91.269900000000007</v>
          </cell>
          <cell r="H960">
            <v>21.174616799999999</v>
          </cell>
          <cell r="I960">
            <v>112.4445168</v>
          </cell>
        </row>
        <row r="961">
          <cell r="B961" t="str">
            <v>*098141</v>
          </cell>
          <cell r="C961" t="str">
            <v>RETIRO DE EQUPAMIENTO DE CAJA F2</v>
          </cell>
          <cell r="D961" t="str">
            <v>UN</v>
          </cell>
          <cell r="E961">
            <v>9.8895999999999997</v>
          </cell>
          <cell r="F961">
            <v>9.6</v>
          </cell>
          <cell r="G961">
            <v>46.235399999999998</v>
          </cell>
          <cell r="H961">
            <v>10.726612799999998</v>
          </cell>
          <cell r="I961">
            <v>56.962012799999997</v>
          </cell>
        </row>
        <row r="962">
          <cell r="B962" t="str">
            <v>*098142</v>
          </cell>
          <cell r="C962" t="str">
            <v>EQUPAMIENTO DE CAJA F2</v>
          </cell>
          <cell r="D962" t="str">
            <v>UN</v>
          </cell>
          <cell r="E962">
            <v>6.9226999999999999</v>
          </cell>
          <cell r="F962">
            <v>9.6</v>
          </cell>
          <cell r="G962">
            <v>66.050700000000006</v>
          </cell>
          <cell r="H962">
            <v>15.3237624</v>
          </cell>
          <cell r="I962">
            <v>81.374462399999999</v>
          </cell>
        </row>
        <row r="963">
          <cell r="B963" t="str">
            <v>*098144</v>
          </cell>
          <cell r="C963" t="str">
            <v>EQUIPAMIENTO DE CAJA F3</v>
          </cell>
          <cell r="D963" t="str">
            <v>UN</v>
          </cell>
          <cell r="E963">
            <v>3.4609999999999999</v>
          </cell>
          <cell r="F963">
            <v>9.6</v>
          </cell>
          <cell r="G963">
            <v>149.76679999999999</v>
          </cell>
          <cell r="H963">
            <v>34.745897599999992</v>
          </cell>
          <cell r="I963">
            <v>184.51269759999997</v>
          </cell>
        </row>
        <row r="964">
          <cell r="B964" t="str">
            <v>*098145</v>
          </cell>
          <cell r="C964" t="str">
            <v>RETIRO DE EQUIPAMIENTO DE CAJA F4</v>
          </cell>
          <cell r="D964" t="str">
            <v>UN</v>
          </cell>
          <cell r="E964">
            <v>3.6225999999999998</v>
          </cell>
          <cell r="F964">
            <v>9.6</v>
          </cell>
          <cell r="G964">
            <v>136.70819999999998</v>
          </cell>
          <cell r="H964">
            <v>31.716302399999993</v>
          </cell>
          <cell r="I964">
            <v>168.42450239999997</v>
          </cell>
        </row>
        <row r="965">
          <cell r="B965" t="str">
            <v>*098146</v>
          </cell>
          <cell r="C965" t="str">
            <v>EQUIPAMIENTO DE CAJA F4</v>
          </cell>
          <cell r="D965" t="str">
            <v>UN</v>
          </cell>
          <cell r="E965">
            <v>2.5358000000000001</v>
          </cell>
          <cell r="F965">
            <v>9.6</v>
          </cell>
          <cell r="G965">
            <v>195.29900000000001</v>
          </cell>
          <cell r="H965">
            <v>45.309367999999999</v>
          </cell>
          <cell r="I965">
            <v>240.60836800000001</v>
          </cell>
        </row>
        <row r="966">
          <cell r="B966" t="str">
            <v>*098150</v>
          </cell>
          <cell r="C966" t="str">
            <v>CAMBIO DE CAJA L O LT, INCLUYE RETIRO</v>
          </cell>
          <cell r="D966" t="str">
            <v>UN</v>
          </cell>
          <cell r="E966">
            <v>8.9390999999999998</v>
          </cell>
          <cell r="F966">
            <v>9.6</v>
          </cell>
          <cell r="G966">
            <v>51.329099999999997</v>
          </cell>
          <cell r="H966">
            <v>11.908351199999998</v>
          </cell>
          <cell r="I966">
            <v>63.237451199999995</v>
          </cell>
        </row>
        <row r="967">
          <cell r="B967" t="str">
            <v>*098160</v>
          </cell>
          <cell r="C967" t="str">
            <v>CAMBIO DE CERRADURA CAJA L, LT,F1,F2,F3 Ó 3B</v>
          </cell>
          <cell r="D967" t="str">
            <v>UN</v>
          </cell>
          <cell r="E967">
            <v>60.3217</v>
          </cell>
          <cell r="F967">
            <v>9.6</v>
          </cell>
          <cell r="G967">
            <v>5.6276000000000002</v>
          </cell>
          <cell r="H967">
            <v>1.3056032</v>
          </cell>
          <cell r="I967">
            <v>6.9332032000000003</v>
          </cell>
        </row>
        <row r="968">
          <cell r="B968" t="str">
            <v>*098161</v>
          </cell>
          <cell r="C968" t="str">
            <v>CAMBIO DE CERRADURA CAJA L, LT,F1,F2,F3 Ó 3B MASIVO</v>
          </cell>
          <cell r="D968" t="str">
            <v>UN</v>
          </cell>
          <cell r="E968">
            <v>128</v>
          </cell>
          <cell r="F968">
            <v>9.6</v>
          </cell>
          <cell r="G968">
            <v>2.2178999999999998</v>
          </cell>
          <cell r="H968">
            <v>0.51455279999999992</v>
          </cell>
          <cell r="I968">
            <v>2.7324527999999999</v>
          </cell>
        </row>
        <row r="969">
          <cell r="B969" t="str">
            <v>*098162</v>
          </cell>
          <cell r="C969" t="str">
            <v>CAMBIO DE CERRADURA CAJA L, LT,F1,F2,F3 Ó 3B DISPERSO</v>
          </cell>
          <cell r="D969" t="str">
            <v>UN</v>
          </cell>
          <cell r="E969">
            <v>128</v>
          </cell>
          <cell r="F969">
            <v>9.6</v>
          </cell>
          <cell r="G969">
            <v>3.4274999999999998</v>
          </cell>
          <cell r="H969">
            <v>0.79517999999999989</v>
          </cell>
          <cell r="I969">
            <v>4.2226799999999995</v>
          </cell>
        </row>
        <row r="970">
          <cell r="B970" t="str">
            <v>*098170</v>
          </cell>
          <cell r="C970" t="str">
            <v>CAMBIO DE CORTACIRCUITO TIPO C</v>
          </cell>
          <cell r="D970" t="str">
            <v>UN</v>
          </cell>
          <cell r="E970">
            <v>46.770200000000003</v>
          </cell>
          <cell r="F970">
            <v>9.6</v>
          </cell>
          <cell r="G970">
            <v>7.2581999999999995</v>
          </cell>
          <cell r="H970">
            <v>1.6839023999999998</v>
          </cell>
          <cell r="I970">
            <v>8.9421023999999996</v>
          </cell>
        </row>
        <row r="971">
          <cell r="B971" t="str">
            <v>*098171</v>
          </cell>
          <cell r="C971" t="str">
            <v>CAMBIO DE LOZA PORTAFUSIBLE O ITM HASTA 20KW - USO MANTENIMIENTO (CON CAMIONETA STATION)</v>
          </cell>
          <cell r="D971" t="str">
            <v>UN</v>
          </cell>
          <cell r="E971">
            <v>43.243200000000002</v>
          </cell>
          <cell r="F971">
            <v>9.6</v>
          </cell>
          <cell r="G971">
            <v>10.1995</v>
          </cell>
          <cell r="H971">
            <v>2.3662839999999998</v>
          </cell>
          <cell r="I971">
            <v>12.565784000000001</v>
          </cell>
        </row>
        <row r="972">
          <cell r="B972" t="str">
            <v>*098172</v>
          </cell>
          <cell r="C972" t="str">
            <v>CAMBIO DE LOZA PORTAFUSIBLE O ITM HASTA 20KW EN TRABAJOS MAYORES (CON CAMIÓN 4 TON)</v>
          </cell>
          <cell r="D972" t="str">
            <v>UN</v>
          </cell>
          <cell r="E972">
            <v>43.243200000000002</v>
          </cell>
          <cell r="F972">
            <v>9.6</v>
          </cell>
          <cell r="G972">
            <v>7.2843</v>
          </cell>
          <cell r="H972">
            <v>1.6899575999999998</v>
          </cell>
          <cell r="I972">
            <v>8.9742575999999996</v>
          </cell>
        </row>
        <row r="973">
          <cell r="B973" t="str">
            <v>*098173</v>
          </cell>
          <cell r="C973" t="str">
            <v>CAMBIO DE LOZA PORTAFUSIBLE O ITM HASTA 20KW CON CUADRILLA DE CONEXIONES</v>
          </cell>
          <cell r="D973" t="str">
            <v>UN</v>
          </cell>
          <cell r="E973">
            <v>18.6892</v>
          </cell>
          <cell r="F973">
            <v>9.6</v>
          </cell>
          <cell r="G973">
            <v>34.736699999999999</v>
          </cell>
          <cell r="H973">
            <v>8.058914399999999</v>
          </cell>
          <cell r="I973">
            <v>42.795614399999998</v>
          </cell>
        </row>
        <row r="974">
          <cell r="B974" t="str">
            <v>*098180</v>
          </cell>
          <cell r="C974" t="str">
            <v>CAMBIO DE FUSIBLES TIPO C</v>
          </cell>
          <cell r="D974" t="str">
            <v>UN</v>
          </cell>
          <cell r="E974">
            <v>161.34270000000001</v>
          </cell>
          <cell r="F974">
            <v>9.6</v>
          </cell>
          <cell r="G974">
            <v>2.1040999999999999</v>
          </cell>
          <cell r="H974">
            <v>0.48815119999999995</v>
          </cell>
          <cell r="I974">
            <v>2.5922511999999998</v>
          </cell>
        </row>
        <row r="975">
          <cell r="B975" t="str">
            <v>*098190</v>
          </cell>
          <cell r="C975" t="str">
            <v>CAMBIO DE FUSIBLE TIPO LAMINA POR FASE</v>
          </cell>
          <cell r="D975" t="str">
            <v>UN</v>
          </cell>
          <cell r="E975">
            <v>52.026899999999998</v>
          </cell>
          <cell r="F975">
            <v>9.6</v>
          </cell>
          <cell r="G975">
            <v>6.5247000000000002</v>
          </cell>
          <cell r="H975">
            <v>1.5137304</v>
          </cell>
          <cell r="I975">
            <v>8.0384303999999993</v>
          </cell>
        </row>
        <row r="976">
          <cell r="B976" t="str">
            <v>*098191</v>
          </cell>
          <cell r="C976" t="str">
            <v>CAMBIO DE FUSIBLES TIPO LÁMINA EN CAJA F1, F2, F3 O F4 PARA CUADRILLA DE CONEXIONES PROYECTOS</v>
          </cell>
          <cell r="D976" t="str">
            <v>UN</v>
          </cell>
          <cell r="E976">
            <v>8.9939999999999998</v>
          </cell>
          <cell r="F976">
            <v>9.6</v>
          </cell>
          <cell r="G976">
            <v>53.6783</v>
          </cell>
          <cell r="H976">
            <v>12.4533656</v>
          </cell>
          <cell r="I976">
            <v>66.131665600000005</v>
          </cell>
        </row>
        <row r="977">
          <cell r="B977" t="str">
            <v>*098198</v>
          </cell>
          <cell r="C977" t="str">
            <v>Traslado de tubo corrugado</v>
          </cell>
          <cell r="D977" t="str">
            <v>UN</v>
          </cell>
          <cell r="E977">
            <v>82.061000000000007</v>
          </cell>
          <cell r="F977">
            <v>9.6</v>
          </cell>
          <cell r="G977">
            <v>4.2837000000000005</v>
          </cell>
          <cell r="H977">
            <v>0.9938184000000001</v>
          </cell>
          <cell r="I977">
            <v>5.2775184000000008</v>
          </cell>
        </row>
        <row r="978">
          <cell r="B978" t="str">
            <v>*098199</v>
          </cell>
          <cell r="C978" t="str">
            <v>RETIRO DE TUBO CORRUGADO/APLICACIÓN DE SILICONA EN CAMIONETA TIPO COMBI</v>
          </cell>
          <cell r="D978" t="str">
            <v>UN</v>
          </cell>
          <cell r="E978">
            <v>193.34119999999999</v>
          </cell>
          <cell r="F978">
            <v>9.6</v>
          </cell>
          <cell r="G978">
            <v>2.2761999999999998</v>
          </cell>
          <cell r="H978">
            <v>0.52807839999999995</v>
          </cell>
          <cell r="I978">
            <v>2.8042783999999998</v>
          </cell>
        </row>
        <row r="979">
          <cell r="B979" t="str">
            <v>*098200</v>
          </cell>
          <cell r="C979" t="str">
            <v>CAMBIO DE MICA CAJA L O LT DISPERSO</v>
          </cell>
          <cell r="D979" t="str">
            <v>UN</v>
          </cell>
          <cell r="E979">
            <v>86.469899999999996</v>
          </cell>
          <cell r="F979">
            <v>9.6</v>
          </cell>
          <cell r="G979">
            <v>3.5464000000000002</v>
          </cell>
          <cell r="H979">
            <v>0.82276479999999996</v>
          </cell>
          <cell r="I979">
            <v>4.3691648000000001</v>
          </cell>
        </row>
        <row r="980">
          <cell r="B980" t="str">
            <v>*098201</v>
          </cell>
          <cell r="C980" t="str">
            <v>CAMBIO DE MICA CAJA L O LT MASIVO</v>
          </cell>
          <cell r="D980" t="str">
            <v>UN</v>
          </cell>
          <cell r="E980">
            <v>311.37060000000002</v>
          </cell>
          <cell r="F980">
            <v>9.6</v>
          </cell>
          <cell r="G980">
            <v>0.87429999999999997</v>
          </cell>
          <cell r="H980">
            <v>0.20283759999999998</v>
          </cell>
          <cell r="I980">
            <v>1.0771375999999999</v>
          </cell>
        </row>
        <row r="981">
          <cell r="B981" t="str">
            <v>*098202</v>
          </cell>
          <cell r="C981" t="str">
            <v>CAMBIO DE MICA CAJA L O LT DISPERSO</v>
          </cell>
          <cell r="D981" t="str">
            <v>UN</v>
          </cell>
          <cell r="E981">
            <v>311.37060000000002</v>
          </cell>
          <cell r="F981">
            <v>9.6</v>
          </cell>
          <cell r="G981">
            <v>1.3714999999999999</v>
          </cell>
          <cell r="H981">
            <v>0.31818799999999997</v>
          </cell>
          <cell r="I981">
            <v>1.6896879999999999</v>
          </cell>
        </row>
        <row r="982">
          <cell r="B982" t="str">
            <v>*098203</v>
          </cell>
          <cell r="C982" t="str">
            <v>Instalación de tubo corrugado/aplicación de silicona en camioneta tipo combi</v>
          </cell>
          <cell r="D982" t="str">
            <v>UN</v>
          </cell>
          <cell r="E982">
            <v>115.2</v>
          </cell>
          <cell r="F982">
            <v>9.6</v>
          </cell>
          <cell r="G982">
            <v>3.2803999999999998</v>
          </cell>
          <cell r="H982">
            <v>0.76105279999999986</v>
          </cell>
          <cell r="I982">
            <v>4.0414528000000001</v>
          </cell>
        </row>
        <row r="983">
          <cell r="B983" t="str">
            <v>*098204</v>
          </cell>
          <cell r="C983" t="str">
            <v>Instalación de tubo corrugado/aplicación de silicona en camioneta station wagon</v>
          </cell>
          <cell r="D983" t="str">
            <v>UN</v>
          </cell>
          <cell r="E983">
            <v>115.2</v>
          </cell>
          <cell r="F983">
            <v>9.6</v>
          </cell>
          <cell r="G983">
            <v>4.6243999999999996</v>
          </cell>
          <cell r="H983">
            <v>1.0728607999999999</v>
          </cell>
          <cell r="I983">
            <v>5.6972607999999996</v>
          </cell>
        </row>
        <row r="984">
          <cell r="B984" t="str">
            <v>*098205</v>
          </cell>
          <cell r="C984" t="str">
            <v>Limpieza y ajuste de conexiones (masivo)</v>
          </cell>
          <cell r="D984" t="str">
            <v>UN</v>
          </cell>
          <cell r="E984">
            <v>46.323700000000002</v>
          </cell>
          <cell r="F984">
            <v>9.6</v>
          </cell>
          <cell r="G984">
            <v>5.9976000000000012</v>
          </cell>
          <cell r="H984">
            <v>1.3914432000000001</v>
          </cell>
          <cell r="I984">
            <v>7.3890432000000015</v>
          </cell>
        </row>
        <row r="985">
          <cell r="B985" t="str">
            <v>*098206</v>
          </cell>
          <cell r="C985" t="str">
            <v>Limpieza y ajuste de conexiones (disperso)</v>
          </cell>
          <cell r="D985" t="str">
            <v>UN</v>
          </cell>
          <cell r="E985">
            <v>26.264500000000002</v>
          </cell>
          <cell r="F985">
            <v>9.6</v>
          </cell>
          <cell r="G985">
            <v>16.3962</v>
          </cell>
          <cell r="H985">
            <v>3.8039183999999997</v>
          </cell>
          <cell r="I985">
            <v>20.200118400000001</v>
          </cell>
        </row>
        <row r="986">
          <cell r="B986" t="str">
            <v>*098207</v>
          </cell>
          <cell r="C986" t="str">
            <v>Pintado y rotulado de tapa de conexiones (complemento a limpieza y ajuste de conexiones masivo)</v>
          </cell>
          <cell r="D986" t="str">
            <v>UN</v>
          </cell>
          <cell r="E986">
            <v>58.181800000000003</v>
          </cell>
          <cell r="F986">
            <v>9.6</v>
          </cell>
          <cell r="G986">
            <v>5.5271000000000008</v>
          </cell>
          <cell r="H986">
            <v>1.2822872000000001</v>
          </cell>
          <cell r="I986">
            <v>6.8093872000000006</v>
          </cell>
        </row>
        <row r="987">
          <cell r="B987" t="str">
            <v>*098208</v>
          </cell>
          <cell r="C987" t="str">
            <v>Rotulado de tapa de conexiones sin pintado de tapa</v>
          </cell>
          <cell r="D987" t="str">
            <v>UN</v>
          </cell>
          <cell r="E987">
            <v>102.6865</v>
          </cell>
          <cell r="F987">
            <v>9.6</v>
          </cell>
          <cell r="G987">
            <v>2.2533000000000003</v>
          </cell>
          <cell r="H987">
            <v>0.52276560000000005</v>
          </cell>
          <cell r="I987">
            <v>2.7760656000000004</v>
          </cell>
        </row>
        <row r="988">
          <cell r="B988" t="str">
            <v>*098210</v>
          </cell>
          <cell r="C988" t="str">
            <v>CAMBIO DE REDUCTORES DE CORRIENTE (CADA UNO)</v>
          </cell>
          <cell r="D988" t="str">
            <v>UN</v>
          </cell>
          <cell r="E988">
            <v>26.828700000000001</v>
          </cell>
          <cell r="F988">
            <v>9.6</v>
          </cell>
          <cell r="G988">
            <v>19.003800000000002</v>
          </cell>
          <cell r="H988">
            <v>4.4088816</v>
          </cell>
          <cell r="I988">
            <v>23.412681600000003</v>
          </cell>
        </row>
        <row r="989">
          <cell r="B989" t="str">
            <v>*098211</v>
          </cell>
          <cell r="C989" t="str">
            <v>PINTADO DE CRUCE PEATONAL POR METRO LINEAL DE CRUZADA</v>
          </cell>
          <cell r="D989" t="str">
            <v>M</v>
          </cell>
          <cell r="E989">
            <v>25.769200000000001</v>
          </cell>
          <cell r="F989">
            <v>9.6</v>
          </cell>
          <cell r="G989">
            <v>38.348600000000005</v>
          </cell>
          <cell r="H989">
            <v>8.8968752000000002</v>
          </cell>
          <cell r="I989">
            <v>47.245475200000001</v>
          </cell>
        </row>
        <row r="990">
          <cell r="B990" t="str">
            <v>*098212</v>
          </cell>
          <cell r="C990" t="str">
            <v>PINTADO DE CRUCE PEATONAL, FLECHAS, LÍNEAS EN PISTA Y BORDE DE VEREDA POR M2</v>
          </cell>
          <cell r="D990" t="str">
            <v>M2</v>
          </cell>
          <cell r="E990">
            <v>51.461500000000001</v>
          </cell>
          <cell r="F990">
            <v>9.6</v>
          </cell>
          <cell r="G990">
            <v>19.377400000000002</v>
          </cell>
          <cell r="H990">
            <v>4.4955568000000001</v>
          </cell>
          <cell r="I990">
            <v>23.872956800000001</v>
          </cell>
        </row>
        <row r="991">
          <cell r="B991" t="str">
            <v>*098213</v>
          </cell>
          <cell r="C991" t="str">
            <v>Limpieza y ajuste de conexiones para medición indirecta (disperso)</v>
          </cell>
          <cell r="D991" t="str">
            <v>UN</v>
          </cell>
          <cell r="E991">
            <v>14.4915</v>
          </cell>
          <cell r="F991">
            <v>9.6</v>
          </cell>
          <cell r="G991">
            <v>29.678999999999998</v>
          </cell>
          <cell r="H991">
            <v>6.885527999999999</v>
          </cell>
          <cell r="I991">
            <v>36.564527999999996</v>
          </cell>
        </row>
        <row r="992">
          <cell r="B992" t="str">
            <v>*098214</v>
          </cell>
          <cell r="C992" t="str">
            <v>Limpieza y ajuste de conexiones para medición indirecta (masivo)</v>
          </cell>
          <cell r="D992" t="str">
            <v>UN</v>
          </cell>
          <cell r="E992">
            <v>20.4146</v>
          </cell>
          <cell r="F992">
            <v>9.6</v>
          </cell>
          <cell r="G992">
            <v>13.512099999999998</v>
          </cell>
          <cell r="H992">
            <v>3.1348071999999996</v>
          </cell>
          <cell r="I992">
            <v>16.646907199999998</v>
          </cell>
        </row>
        <row r="993">
          <cell r="B993" t="str">
            <v>*098215</v>
          </cell>
          <cell r="C993" t="str">
            <v>Pintado y rotulado de tapa de conexiones para medición indirecta (complemento a limpieza y ajuste de</v>
          </cell>
          <cell r="D993" t="str">
            <v>UN</v>
          </cell>
          <cell r="E993">
            <v>29.491599999999998</v>
          </cell>
          <cell r="F993">
            <v>9.6</v>
          </cell>
          <cell r="G993">
            <v>10.602399999999999</v>
          </cell>
          <cell r="H993">
            <v>2.4597567999999996</v>
          </cell>
          <cell r="I993">
            <v>13.062156799999999</v>
          </cell>
        </row>
        <row r="994">
          <cell r="B994" t="str">
            <v>*098220</v>
          </cell>
          <cell r="C994" t="str">
            <v>CAMBIO DE TAPA CAJA L O LT</v>
          </cell>
          <cell r="D994" t="str">
            <v>UN</v>
          </cell>
          <cell r="E994">
            <v>161.34270000000001</v>
          </cell>
          <cell r="F994">
            <v>9.6</v>
          </cell>
          <cell r="G994">
            <v>2.1324000000000001</v>
          </cell>
          <cell r="H994">
            <v>0.49471679999999996</v>
          </cell>
          <cell r="I994">
            <v>2.6271168</v>
          </cell>
        </row>
        <row r="995">
          <cell r="B995" t="str">
            <v>*098221</v>
          </cell>
          <cell r="C995" t="str">
            <v>CAMBIO DE TAPA CAJA L O LT MASIVO</v>
          </cell>
          <cell r="D995" t="str">
            <v>UN</v>
          </cell>
          <cell r="E995">
            <v>576</v>
          </cell>
          <cell r="F995">
            <v>9.6</v>
          </cell>
          <cell r="G995">
            <v>0.50080000000000002</v>
          </cell>
          <cell r="H995">
            <v>0.1161856</v>
          </cell>
          <cell r="I995">
            <v>0.61698560000000002</v>
          </cell>
        </row>
        <row r="996">
          <cell r="B996" t="str">
            <v>*098222</v>
          </cell>
          <cell r="C996" t="str">
            <v>CAMBIO DE TAPA CAJA L O LT DISPERSO</v>
          </cell>
          <cell r="D996" t="str">
            <v>UN</v>
          </cell>
          <cell r="E996">
            <v>576</v>
          </cell>
          <cell r="F996">
            <v>9.6</v>
          </cell>
          <cell r="G996">
            <v>0.76960000000000006</v>
          </cell>
          <cell r="H996">
            <v>0.17854719999999999</v>
          </cell>
          <cell r="I996">
            <v>0.94814720000000008</v>
          </cell>
        </row>
        <row r="997">
          <cell r="B997" t="str">
            <v>*098250</v>
          </cell>
          <cell r="C997" t="str">
            <v>CAMBIO TABLERO DE MAD., INCL. RECOLOCACIÓN MEDIDOR, CORTACIRCUITO Y CABLEADO</v>
          </cell>
          <cell r="D997" t="str">
            <v>UN</v>
          </cell>
          <cell r="E997">
            <v>39.566000000000003</v>
          </cell>
          <cell r="F997">
            <v>9.6</v>
          </cell>
          <cell r="G997">
            <v>10.857099999999999</v>
          </cell>
          <cell r="H997">
            <v>2.5188471999999997</v>
          </cell>
          <cell r="I997">
            <v>13.375947199999999</v>
          </cell>
        </row>
        <row r="998">
          <cell r="B998" t="str">
            <v>*098300</v>
          </cell>
          <cell r="C998" t="str">
            <v>REPARAC. CONEX. SUBTER. C/CAMBIO CABLE NYY C/EMP. C/S/ROTURA VEREDA HASTA 20KW</v>
          </cell>
          <cell r="D998" t="str">
            <v>UN</v>
          </cell>
          <cell r="E998">
            <v>3.2787000000000002</v>
          </cell>
          <cell r="F998">
            <v>9.6</v>
          </cell>
          <cell r="G998">
            <v>202.11439999999999</v>
          </cell>
          <cell r="H998">
            <v>46.890540799999997</v>
          </cell>
          <cell r="I998">
            <v>249.00494079999999</v>
          </cell>
        </row>
        <row r="999">
          <cell r="B999" t="str">
            <v>*098305</v>
          </cell>
          <cell r="C999" t="str">
            <v>REPARACION CONEX.SUBT.C/CAMBIO CABLE NKY C/EMP.C/ROTURA VEREDA HASTA 20KW</v>
          </cell>
          <cell r="D999" t="str">
            <v>UN</v>
          </cell>
          <cell r="E999">
            <v>2.4359999999999999</v>
          </cell>
          <cell r="F999">
            <v>9.6</v>
          </cell>
          <cell r="G999">
            <v>353.36419999999998</v>
          </cell>
          <cell r="H999">
            <v>81.980494399999984</v>
          </cell>
          <cell r="I999">
            <v>435.34469439999998</v>
          </cell>
        </row>
        <row r="1000">
          <cell r="B1000" t="str">
            <v>*098320</v>
          </cell>
          <cell r="C1000" t="str">
            <v>REPARACIÓN CONEX.DOMIC.SUBTERR. S/CAMBIO  CABLE NYY C/EMP. C/S/ROTURA VEREDA</v>
          </cell>
          <cell r="D1000" t="str">
            <v>UN</v>
          </cell>
          <cell r="E1000">
            <v>2.7787000000000002</v>
          </cell>
          <cell r="F1000">
            <v>9.6</v>
          </cell>
          <cell r="G1000">
            <v>158.37939999999998</v>
          </cell>
          <cell r="H1000">
            <v>36.744020799999994</v>
          </cell>
          <cell r="I1000">
            <v>195.12342079999996</v>
          </cell>
        </row>
        <row r="1001">
          <cell r="B1001" t="str">
            <v>*098330</v>
          </cell>
          <cell r="C1001" t="str">
            <v>REPARAC. CONEX.TRIFÁSICA C/VEREDA  MAYOR DE 20KW. NO INCLUYE REPARACIÓN VEREDA</v>
          </cell>
          <cell r="D1001" t="str">
            <v>UN</v>
          </cell>
          <cell r="E1001">
            <v>1.3081</v>
          </cell>
          <cell r="F1001">
            <v>9.6</v>
          </cell>
          <cell r="G1001">
            <v>333.87889999999999</v>
          </cell>
          <cell r="H1001">
            <v>77.45990479999999</v>
          </cell>
          <cell r="I1001">
            <v>411.33880479999999</v>
          </cell>
        </row>
        <row r="1002">
          <cell r="B1002" t="str">
            <v>*098379</v>
          </cell>
          <cell r="C1002" t="str">
            <v>RETIRO DE SEGUROS PARA MEDIDOR MONO O TRIFÁSICO  ELECTROMECÁNICO CON PLATINA DE FIERRO</v>
          </cell>
          <cell r="D1002" t="str">
            <v>UN</v>
          </cell>
          <cell r="E1002">
            <v>64.701599999999999</v>
          </cell>
          <cell r="F1002">
            <v>9.6</v>
          </cell>
          <cell r="G1002">
            <v>9.1254000000000008</v>
          </cell>
          <cell r="H1002">
            <v>2.1170928</v>
          </cell>
          <cell r="I1002">
            <v>11.242492800000001</v>
          </cell>
        </row>
        <row r="1003">
          <cell r="B1003" t="str">
            <v>*098380</v>
          </cell>
          <cell r="C1003" t="str">
            <v>SEGUROS PARA MEDIDOR MONO O TRIFÁSICO  ELECTROMECÁNICO CON PLATINA DE FIERRO</v>
          </cell>
          <cell r="D1003" t="str">
            <v>UN</v>
          </cell>
          <cell r="E1003">
            <v>45.292400000000001</v>
          </cell>
          <cell r="F1003">
            <v>9.6</v>
          </cell>
          <cell r="G1003">
            <v>13.0358</v>
          </cell>
          <cell r="H1003">
            <v>3.0243055999999999</v>
          </cell>
          <cell r="I1003">
            <v>16.0601056</v>
          </cell>
        </row>
        <row r="1004">
          <cell r="B1004" t="str">
            <v>*098381</v>
          </cell>
          <cell r="C1004" t="str">
            <v>INSTALACIÓN DE SEGURO PARA MEDIDOR ELECTRONICO</v>
          </cell>
          <cell r="D1004" t="str">
            <v>UN</v>
          </cell>
          <cell r="E1004">
            <v>57.6</v>
          </cell>
          <cell r="F1004">
            <v>9.6</v>
          </cell>
          <cell r="G1004">
            <v>7.2680999999999996</v>
          </cell>
          <cell r="H1004">
            <v>1.6861991999999997</v>
          </cell>
          <cell r="I1004">
            <v>8.9542991999999995</v>
          </cell>
        </row>
        <row r="1005">
          <cell r="B1005" t="str">
            <v>*098382</v>
          </cell>
          <cell r="C1005" t="str">
            <v>RETIRO DE SEGURO PARA INTERRUPTOR TERMOMAGNETICO MONOFASICO</v>
          </cell>
          <cell r="D1005" t="str">
            <v>UN</v>
          </cell>
          <cell r="E1005">
            <v>195.02629999999999</v>
          </cell>
          <cell r="F1005">
            <v>9.6</v>
          </cell>
          <cell r="G1005">
            <v>1.7027000000000001</v>
          </cell>
          <cell r="H1005">
            <v>0.3950264</v>
          </cell>
          <cell r="I1005">
            <v>2.0977264</v>
          </cell>
        </row>
        <row r="1006">
          <cell r="B1006" t="str">
            <v>*098383</v>
          </cell>
          <cell r="C1006" t="str">
            <v>SEGURO PARA INTERRUPTOR TERMOMAGNETICO MONOFASICO O TRIFASICO HASTA 20 KW. (TORNILLO)</v>
          </cell>
          <cell r="D1006" t="str">
            <v>UN</v>
          </cell>
          <cell r="E1006">
            <v>136.5223</v>
          </cell>
          <cell r="F1006">
            <v>9.6</v>
          </cell>
          <cell r="G1006">
            <v>2.4323999999999999</v>
          </cell>
          <cell r="H1006">
            <v>0.56431679999999995</v>
          </cell>
          <cell r="I1006">
            <v>2.9967167999999997</v>
          </cell>
        </row>
        <row r="1007">
          <cell r="B1007" t="str">
            <v>*098385</v>
          </cell>
          <cell r="C1007" t="str">
            <v>SEGURO PARA INTERRUPTOR TERMOMAG. MONO O TRIF. HASTA 20KW (OBRA VENDIDA)</v>
          </cell>
          <cell r="D1007" t="str">
            <v>UN</v>
          </cell>
          <cell r="E1007">
            <v>44.494799999999998</v>
          </cell>
          <cell r="F1007">
            <v>9.6</v>
          </cell>
          <cell r="G1007">
            <v>7.4030999999999993</v>
          </cell>
          <cell r="H1007">
            <v>1.7175191999999997</v>
          </cell>
          <cell r="I1007">
            <v>9.1206191999999984</v>
          </cell>
        </row>
        <row r="1008">
          <cell r="B1008" t="str">
            <v>*098386</v>
          </cell>
          <cell r="C1008" t="str">
            <v>SEGURO PARA INTERRUPTOR TERMOMAG. &gt; 20 KW HASTA 75KW   (OBRA VENDIDA)</v>
          </cell>
          <cell r="D1008" t="str">
            <v>UN</v>
          </cell>
          <cell r="E1008">
            <v>38.497700000000002</v>
          </cell>
          <cell r="F1008">
            <v>9.6</v>
          </cell>
          <cell r="G1008">
            <v>10.200800000000001</v>
          </cell>
          <cell r="H1008">
            <v>2.3665856000000001</v>
          </cell>
          <cell r="I1008">
            <v>12.567385600000001</v>
          </cell>
        </row>
        <row r="1009">
          <cell r="B1009" t="str">
            <v>*098387</v>
          </cell>
          <cell r="C1009" t="str">
            <v>SEGURO PARA INTERRUPTOR TERMOMAG.MAYOR A 75KW HASTA 300KW  (OBRA VENDIDA)</v>
          </cell>
          <cell r="D1009" t="str">
            <v>UN</v>
          </cell>
          <cell r="E1009">
            <v>14.4956</v>
          </cell>
          <cell r="F1009">
            <v>9.6</v>
          </cell>
          <cell r="G1009">
            <v>31.323300000000003</v>
          </cell>
          <cell r="H1009">
            <v>7.2670056000000001</v>
          </cell>
          <cell r="I1009">
            <v>38.590305600000001</v>
          </cell>
        </row>
        <row r="1010">
          <cell r="B1010" t="str">
            <v>*098388</v>
          </cell>
          <cell r="C1010" t="str">
            <v>RETIRO FUSIBLES E INSTALAC.TERMOMAG.HASTA 20KW</v>
          </cell>
          <cell r="D1010" t="str">
            <v>UN</v>
          </cell>
          <cell r="E1010">
            <v>30.61</v>
          </cell>
          <cell r="F1010">
            <v>9.6</v>
          </cell>
          <cell r="G1010">
            <v>16.674900000000001</v>
          </cell>
          <cell r="H1010">
            <v>3.8685768</v>
          </cell>
          <cell r="I1010">
            <v>20.543476800000001</v>
          </cell>
        </row>
        <row r="1011">
          <cell r="B1011" t="str">
            <v>*098389</v>
          </cell>
          <cell r="C1011" t="str">
            <v>RETIRO FUSIBLES E INSTALAC.TERMOMAG.HASTA 75KW</v>
          </cell>
          <cell r="D1011" t="str">
            <v>UN</v>
          </cell>
          <cell r="E1011">
            <v>16.619900000000001</v>
          </cell>
          <cell r="F1011">
            <v>9.6</v>
          </cell>
          <cell r="G1011">
            <v>26.122</v>
          </cell>
          <cell r="H1011">
            <v>6.0603039999999995</v>
          </cell>
          <cell r="I1011">
            <v>32.182304000000002</v>
          </cell>
        </row>
        <row r="1012">
          <cell r="B1012" t="str">
            <v>*098391</v>
          </cell>
          <cell r="C1012" t="str">
            <v>RETIRO FUSIBLES E INSTALAC.TERMOMAG.HASTA 300KW</v>
          </cell>
          <cell r="D1012" t="str">
            <v>UN</v>
          </cell>
          <cell r="E1012">
            <v>9.6613000000000007</v>
          </cell>
          <cell r="F1012">
            <v>9.6</v>
          </cell>
          <cell r="G1012">
            <v>44.936599999999999</v>
          </cell>
          <cell r="H1012">
            <v>10.425291199999998</v>
          </cell>
          <cell r="I1012">
            <v>55.361891199999995</v>
          </cell>
        </row>
        <row r="1013">
          <cell r="B1013" t="str">
            <v>*098392</v>
          </cell>
          <cell r="C1013" t="str">
            <v>RETIRO DE SEGURO SOLDADO DE 2 PATAS PARA MEDIDOR ELECTRÓNICO MULTIFUNCIÓN</v>
          </cell>
          <cell r="D1013" t="str">
            <v>UN</v>
          </cell>
          <cell r="E1013">
            <v>57.6</v>
          </cell>
          <cell r="F1013">
            <v>9.6</v>
          </cell>
          <cell r="G1013">
            <v>7.3675999999999995</v>
          </cell>
          <cell r="H1013">
            <v>1.7092831999999998</v>
          </cell>
          <cell r="I1013">
            <v>9.0768831999999993</v>
          </cell>
        </row>
        <row r="1014">
          <cell r="B1014" t="str">
            <v>*098393</v>
          </cell>
          <cell r="C1014" t="str">
            <v>RETIRO DE SEGURO SOLDADO DE 4 PATAS PARA MEDIDOR ELECTRÓNICO MULTIFUNCIÓN</v>
          </cell>
          <cell r="D1014" t="str">
            <v>UN</v>
          </cell>
          <cell r="E1014">
            <v>25.043500000000002</v>
          </cell>
          <cell r="F1014">
            <v>9.6</v>
          </cell>
          <cell r="G1014">
            <v>16.945700000000002</v>
          </cell>
          <cell r="H1014">
            <v>3.9314024000000001</v>
          </cell>
          <cell r="I1014">
            <v>20.877102400000002</v>
          </cell>
        </row>
        <row r="1015">
          <cell r="B1015" t="str">
            <v>*098394</v>
          </cell>
          <cell r="C1015" t="str">
            <v>RETIRO Y COLOCACIÓN DE CANDADO PARA CONEXIONES CON MEDICIÓN INDIRECTA</v>
          </cell>
          <cell r="D1015" t="str">
            <v>UN</v>
          </cell>
          <cell r="E1015">
            <v>115.2</v>
          </cell>
          <cell r="F1015">
            <v>9.6</v>
          </cell>
          <cell r="G1015">
            <v>4.0556999999999999</v>
          </cell>
          <cell r="H1015">
            <v>0.94092239999999994</v>
          </cell>
          <cell r="I1015">
            <v>4.9966223999999997</v>
          </cell>
        </row>
        <row r="1016">
          <cell r="B1016" t="str">
            <v>*098400</v>
          </cell>
          <cell r="C1016" t="str">
            <v>VERIFICACIÓN SUMINISTROS AISLADOS</v>
          </cell>
          <cell r="D1016" t="str">
            <v>UN</v>
          </cell>
          <cell r="E1016">
            <v>74.817499999999995</v>
          </cell>
          <cell r="F1016">
            <v>9.6</v>
          </cell>
          <cell r="G1016">
            <v>5.7141000000000002</v>
          </cell>
          <cell r="H1016">
            <v>1.3256711999999999</v>
          </cell>
          <cell r="I1016">
            <v>7.0397712000000006</v>
          </cell>
        </row>
        <row r="1017">
          <cell r="B1017" t="str">
            <v>*098410</v>
          </cell>
          <cell r="C1017" t="str">
            <v>VERIFICACIÓN SUMINISTROS INVERTIDOS</v>
          </cell>
          <cell r="D1017" t="str">
            <v>UN</v>
          </cell>
          <cell r="E1017">
            <v>46.018900000000002</v>
          </cell>
          <cell r="F1017">
            <v>9.6</v>
          </cell>
          <cell r="G1017">
            <v>9.2899999999999991</v>
          </cell>
          <cell r="H1017">
            <v>2.1552799999999999</v>
          </cell>
          <cell r="I1017">
            <v>11.445279999999999</v>
          </cell>
        </row>
        <row r="1018">
          <cell r="B1018" t="str">
            <v>*098420</v>
          </cell>
          <cell r="C1018" t="str">
            <v>VERIFICACIÓN SUMINISTROS MASIVOS DOMICILIARIOS</v>
          </cell>
          <cell r="D1018" t="str">
            <v>UN</v>
          </cell>
          <cell r="E1018">
            <v>206.7312</v>
          </cell>
          <cell r="F1018">
            <v>9.6</v>
          </cell>
          <cell r="G1018">
            <v>4.0341000000000005</v>
          </cell>
          <cell r="H1018">
            <v>0.93591120000000005</v>
          </cell>
          <cell r="I1018">
            <v>4.9700112000000001</v>
          </cell>
        </row>
        <row r="1019">
          <cell r="B1019" t="str">
            <v>*098425</v>
          </cell>
          <cell r="C1019" t="str">
            <v>Catastro de suministros disperso (&lt;=100 sum x km2)</v>
          </cell>
          <cell r="D1019" t="str">
            <v>UN</v>
          </cell>
          <cell r="E1019">
            <v>124.4182</v>
          </cell>
          <cell r="F1019">
            <v>9.6</v>
          </cell>
          <cell r="G1019">
            <v>7.2119</v>
          </cell>
          <cell r="H1019">
            <v>1.6731607999999998</v>
          </cell>
          <cell r="I1019">
            <v>8.8850607999999998</v>
          </cell>
        </row>
        <row r="1020">
          <cell r="B1020" t="str">
            <v>*098426</v>
          </cell>
          <cell r="C1020" t="str">
            <v>Catastro Conexiones Medición Directa - Programa Mtto. Preventivo</v>
          </cell>
          <cell r="D1020" t="str">
            <v>UN</v>
          </cell>
          <cell r="E1020">
            <v>90.017799999999994</v>
          </cell>
          <cell r="F1020">
            <v>9.6</v>
          </cell>
          <cell r="G1020">
            <v>2.7519999999999998</v>
          </cell>
          <cell r="H1020">
            <v>0.63846399999999992</v>
          </cell>
          <cell r="I1020">
            <v>3.3904639999999997</v>
          </cell>
        </row>
        <row r="1021">
          <cell r="B1021" t="str">
            <v>*098427</v>
          </cell>
          <cell r="C1021" t="str">
            <v>Catastro Conexiones Medición Directa - Programa de Catastro</v>
          </cell>
          <cell r="D1021" t="str">
            <v>UN</v>
          </cell>
          <cell r="E1021">
            <v>57.423999999999999</v>
          </cell>
          <cell r="F1021">
            <v>9.6</v>
          </cell>
          <cell r="G1021">
            <v>4.3140000000000001</v>
          </cell>
          <cell r="H1021">
            <v>1.000848</v>
          </cell>
          <cell r="I1021">
            <v>5.3148479999999996</v>
          </cell>
        </row>
        <row r="1022">
          <cell r="B1022" t="str">
            <v>*098428</v>
          </cell>
          <cell r="C1022" t="str">
            <v>Catastro Conexiones Medición Indirecta - Programa Mtto. Preventivo</v>
          </cell>
          <cell r="D1022" t="str">
            <v>UN</v>
          </cell>
          <cell r="E1022">
            <v>79.058800000000005</v>
          </cell>
          <cell r="F1022">
            <v>9.6</v>
          </cell>
          <cell r="G1022">
            <v>5.0918999999999999</v>
          </cell>
          <cell r="H1022">
            <v>1.1813207999999999</v>
          </cell>
          <cell r="I1022">
            <v>6.2732207999999998</v>
          </cell>
        </row>
        <row r="1023">
          <cell r="B1023" t="str">
            <v>*098429</v>
          </cell>
          <cell r="C1023" t="str">
            <v>Catastro Conexiones Medición Indirecta - Totalizadores</v>
          </cell>
          <cell r="D1023" t="str">
            <v>UN</v>
          </cell>
          <cell r="E1023">
            <v>21.912700000000001</v>
          </cell>
          <cell r="F1023">
            <v>9.6</v>
          </cell>
          <cell r="G1023">
            <v>18.370799999999999</v>
          </cell>
          <cell r="H1023">
            <v>4.2620255999999994</v>
          </cell>
          <cell r="I1023">
            <v>22.632825599999997</v>
          </cell>
        </row>
        <row r="1024">
          <cell r="B1024" t="str">
            <v>*098435</v>
          </cell>
          <cell r="C1024" t="str">
            <v>Catastro de mástiles masivo (&gt; 100 sum x km2)</v>
          </cell>
          <cell r="D1024" t="str">
            <v>UN</v>
          </cell>
          <cell r="E1024">
            <v>284.58819999999997</v>
          </cell>
          <cell r="F1024">
            <v>9.6</v>
          </cell>
          <cell r="G1024">
            <v>3.2084000000000001</v>
          </cell>
          <cell r="H1024">
            <v>0.74434880000000003</v>
          </cell>
          <cell r="I1024">
            <v>3.9527488000000002</v>
          </cell>
        </row>
        <row r="1025">
          <cell r="B1025" t="str">
            <v>*098440</v>
          </cell>
          <cell r="C1025" t="str">
            <v>EMPALME AÉREO A COMPRESIÓN TUBULAR  CONDUCTOR CU. O AL.</v>
          </cell>
          <cell r="D1025" t="str">
            <v>UN</v>
          </cell>
          <cell r="E1025">
            <v>15.798</v>
          </cell>
          <cell r="F1025">
            <v>9.6</v>
          </cell>
          <cell r="G1025">
            <v>44.058200000000006</v>
          </cell>
          <cell r="H1025">
            <v>10.2215024</v>
          </cell>
          <cell r="I1025">
            <v>54.279702400000005</v>
          </cell>
        </row>
        <row r="1026">
          <cell r="B1026" t="str">
            <v>*098450</v>
          </cell>
          <cell r="C1026" t="str">
            <v>ESCALAR ESTRUCTURA SOLO PARA REPARACIÓN Y  MANTENIMIENTO DE AISLADORES</v>
          </cell>
          <cell r="D1026" t="str">
            <v>UN</v>
          </cell>
          <cell r="E1026">
            <v>52.295099999999998</v>
          </cell>
          <cell r="F1026">
            <v>9.6</v>
          </cell>
          <cell r="G1026">
            <v>9.4700999999999986</v>
          </cell>
          <cell r="H1026">
            <v>2.1970631999999997</v>
          </cell>
          <cell r="I1026">
            <v>11.667163199999997</v>
          </cell>
        </row>
        <row r="1027">
          <cell r="B1027" t="str">
            <v>*098470</v>
          </cell>
          <cell r="C1027" t="str">
            <v>INSTALACIÓN Y RETIRO PUESTA A TIERRA  CON REVELADO DE TENSIÓN EN RED AÉREA</v>
          </cell>
          <cell r="D1027" t="str">
            <v>UN</v>
          </cell>
          <cell r="E1027">
            <v>22.4863</v>
          </cell>
          <cell r="F1027">
            <v>9.6</v>
          </cell>
          <cell r="G1027">
            <v>19.470400000000001</v>
          </cell>
          <cell r="H1027">
            <v>4.5171327999999997</v>
          </cell>
          <cell r="I1027">
            <v>23.9875328</v>
          </cell>
        </row>
        <row r="1028">
          <cell r="B1028" t="str">
            <v>*098480</v>
          </cell>
          <cell r="C1028" t="str">
            <v>LIMPIEZA TERMINAL EXTERIOR MT 10 KV</v>
          </cell>
          <cell r="D1028" t="str">
            <v>UN</v>
          </cell>
          <cell r="E1028">
            <v>58.035499999999999</v>
          </cell>
          <cell r="F1028">
            <v>9.6</v>
          </cell>
          <cell r="G1028">
            <v>8.5334000000000003</v>
          </cell>
          <cell r="H1028">
            <v>1.9797487999999999</v>
          </cell>
          <cell r="I1028">
            <v>10.5131488</v>
          </cell>
        </row>
        <row r="1029">
          <cell r="B1029" t="str">
            <v>*098485</v>
          </cell>
          <cell r="C1029" t="str">
            <v>LIMPIEZA DE CUT-OUT UNIPOLAR</v>
          </cell>
          <cell r="D1029" t="str">
            <v>UN</v>
          </cell>
          <cell r="E1029">
            <v>70.711200000000005</v>
          </cell>
          <cell r="F1029">
            <v>9.6</v>
          </cell>
          <cell r="G1029">
            <v>4.4550000000000001</v>
          </cell>
          <cell r="H1029">
            <v>1.03356</v>
          </cell>
          <cell r="I1029">
            <v>5.4885599999999997</v>
          </cell>
        </row>
        <row r="1030">
          <cell r="B1030" t="str">
            <v>*098490</v>
          </cell>
          <cell r="C1030" t="str">
            <v>PODA DE ÁRBOLES CON ELIMINACIÓN DE MALEZA</v>
          </cell>
          <cell r="D1030" t="str">
            <v>M</v>
          </cell>
          <cell r="E1030">
            <v>72.222300000000004</v>
          </cell>
          <cell r="F1030">
            <v>9.6</v>
          </cell>
          <cell r="G1030">
            <v>27.595199999999998</v>
          </cell>
          <cell r="H1030">
            <v>6.4020863999999991</v>
          </cell>
          <cell r="I1030">
            <v>33.9972864</v>
          </cell>
        </row>
        <row r="1031">
          <cell r="B1031" t="str">
            <v>*098491</v>
          </cell>
          <cell r="C1031" t="str">
            <v>VIAJE INDEBIDO DE PODA DE ÁRBOLES</v>
          </cell>
          <cell r="D1031" t="str">
            <v>UN</v>
          </cell>
          <cell r="E1031">
            <v>67.319999999999993</v>
          </cell>
          <cell r="F1031">
            <v>9.6</v>
          </cell>
          <cell r="G1031">
            <v>26.622900000000001</v>
          </cell>
          <cell r="H1031">
            <v>6.1765128000000002</v>
          </cell>
          <cell r="I1031">
            <v>32.799412799999999</v>
          </cell>
        </row>
        <row r="1032">
          <cell r="B1032" t="str">
            <v>*098493</v>
          </cell>
          <cell r="C1032" t="str">
            <v>PODA DE ARBUSTOS EN CONEXIONES A NIVEL CON CAMIÓN O CAMIONETA</v>
          </cell>
          <cell r="D1032" t="str">
            <v>UN</v>
          </cell>
          <cell r="E1032">
            <v>28.8</v>
          </cell>
          <cell r="F1032">
            <v>9.6</v>
          </cell>
          <cell r="G1032">
            <v>12.8599</v>
          </cell>
          <cell r="H1032">
            <v>2.9834967999999997</v>
          </cell>
          <cell r="I1032">
            <v>15.843396799999999</v>
          </cell>
        </row>
        <row r="1033">
          <cell r="B1033" t="str">
            <v>*098494</v>
          </cell>
          <cell r="C1033" t="str">
            <v>PODA DE ÁRBOLES CON ELIMINACIÓN DE MALEZA - BRAZO PROPORCIONADO POR LDS</v>
          </cell>
          <cell r="D1033" t="str">
            <v>KG</v>
          </cell>
          <cell r="E1033">
            <v>72.222300000000004</v>
          </cell>
          <cell r="F1033">
            <v>9.6</v>
          </cell>
          <cell r="G1033">
            <v>14.723000000000001</v>
          </cell>
          <cell r="H1033">
            <v>3.4157359999999999</v>
          </cell>
          <cell r="I1033">
            <v>18.138736000000002</v>
          </cell>
        </row>
        <row r="1034">
          <cell r="B1034" t="str">
            <v>*098497</v>
          </cell>
          <cell r="C1034" t="str">
            <v>PODA DE ÁRBOLES C/ELIMINACIÓN DE MALEZA; TRAB MASIVO EN CTRL TEC Y CAL SERV</v>
          </cell>
          <cell r="D1034" t="str">
            <v>UN</v>
          </cell>
          <cell r="E1034">
            <v>161</v>
          </cell>
          <cell r="F1034">
            <v>9.6</v>
          </cell>
          <cell r="G1034">
            <v>5.3445</v>
          </cell>
          <cell r="H1034">
            <v>1.239924</v>
          </cell>
          <cell r="I1034">
            <v>6.5844240000000003</v>
          </cell>
        </row>
        <row r="1035">
          <cell r="B1035" t="str">
            <v>*098498</v>
          </cell>
          <cell r="C1035" t="str">
            <v>LAVADO DE ESTRUCTURAS CON AISLADORES EN REDES AÉREAS MT- POR ESTRUCTURA</v>
          </cell>
          <cell r="D1035" t="str">
            <v>UN</v>
          </cell>
          <cell r="E1035">
            <v>32.884500000000003</v>
          </cell>
          <cell r="F1035">
            <v>9.6</v>
          </cell>
          <cell r="G1035">
            <v>19.473700000000001</v>
          </cell>
          <cell r="H1035">
            <v>4.5178984</v>
          </cell>
          <cell r="I1035">
            <v>23.991598400000001</v>
          </cell>
        </row>
        <row r="1036">
          <cell r="B1036" t="str">
            <v>*098610</v>
          </cell>
          <cell r="C1036" t="str">
            <v>EFECTUAR ANILLO EN CABLE SUBTERRÁNEO BT  HASTA 300MM2</v>
          </cell>
          <cell r="D1036" t="str">
            <v>UN</v>
          </cell>
          <cell r="E1036">
            <v>16.1738</v>
          </cell>
          <cell r="F1036">
            <v>9.6</v>
          </cell>
          <cell r="G1036">
            <v>42.622099999999996</v>
          </cell>
          <cell r="H1036">
            <v>9.8883271999999991</v>
          </cell>
          <cell r="I1036">
            <v>52.510427199999995</v>
          </cell>
        </row>
        <row r="1037">
          <cell r="B1037" t="str">
            <v>*098630</v>
          </cell>
          <cell r="C1037" t="str">
            <v>EMPALME SUBTERR.PROVISIONAL MT(50% EMPALME MT)</v>
          </cell>
          <cell r="D1037" t="str">
            <v>UN</v>
          </cell>
          <cell r="E1037">
            <v>2.75</v>
          </cell>
          <cell r="F1037">
            <v>9.6</v>
          </cell>
          <cell r="G1037">
            <v>192.0711</v>
          </cell>
          <cell r="H1037">
            <v>44.560495199999998</v>
          </cell>
          <cell r="I1037">
            <v>236.63159519999999</v>
          </cell>
        </row>
        <row r="1038">
          <cell r="B1038" t="str">
            <v>*098640</v>
          </cell>
          <cell r="C1038" t="str">
            <v>LIMPIEZA Y TAPONEO DE DUCTOS POR C/VÍA</v>
          </cell>
          <cell r="D1038" t="str">
            <v>UN</v>
          </cell>
          <cell r="E1038">
            <v>54</v>
          </cell>
          <cell r="F1038">
            <v>9.6</v>
          </cell>
          <cell r="G1038">
            <v>6.8986999999999989</v>
          </cell>
          <cell r="H1038">
            <v>1.6004983999999995</v>
          </cell>
          <cell r="I1038">
            <v>8.4991983999999992</v>
          </cell>
        </row>
        <row r="1039">
          <cell r="B1039" t="str">
            <v>*098669</v>
          </cell>
          <cell r="C1039" t="str">
            <v>RETIRO CRUCETA O MÉNSULA DOBLE DE MADERA</v>
          </cell>
          <cell r="D1039" t="str">
            <v>UN</v>
          </cell>
          <cell r="E1039">
            <v>22.1754</v>
          </cell>
          <cell r="F1039">
            <v>9.6</v>
          </cell>
          <cell r="G1039">
            <v>32.878500000000003</v>
          </cell>
          <cell r="H1039">
            <v>7.6278120000000005</v>
          </cell>
          <cell r="I1039">
            <v>40.506312000000001</v>
          </cell>
        </row>
        <row r="1040">
          <cell r="B1040" t="str">
            <v>*098670</v>
          </cell>
          <cell r="C1040" t="str">
            <v>COLOCACIÓN DE CRUCETA O MÉNSULA DOBLE DE MADERA</v>
          </cell>
          <cell r="D1040" t="str">
            <v>UN</v>
          </cell>
          <cell r="E1040">
            <v>15.5228</v>
          </cell>
          <cell r="F1040">
            <v>9.6</v>
          </cell>
          <cell r="G1040">
            <v>46.969300000000004</v>
          </cell>
          <cell r="H1040">
            <v>10.8968776</v>
          </cell>
          <cell r="I1040">
            <v>57.8661776</v>
          </cell>
        </row>
        <row r="1041">
          <cell r="B1041" t="str">
            <v>*098671</v>
          </cell>
          <cell r="C1041" t="str">
            <v>TRASLADO DE CRUCETA O MÉNSULA DOBLE DE MADERA</v>
          </cell>
          <cell r="D1041" t="str">
            <v>UN</v>
          </cell>
          <cell r="E1041">
            <v>11.9406</v>
          </cell>
          <cell r="F1041">
            <v>9.6</v>
          </cell>
          <cell r="G1041">
            <v>61.060200000000002</v>
          </cell>
          <cell r="H1041">
            <v>14.1659664</v>
          </cell>
          <cell r="I1041">
            <v>75.226166399999997</v>
          </cell>
        </row>
        <row r="1042">
          <cell r="B1042" t="str">
            <v>*098690</v>
          </cell>
          <cell r="C1042" t="str">
            <v>CAMBIO CABLE COMUNICACIÓN BT HASTA 300 MM2</v>
          </cell>
          <cell r="D1042" t="str">
            <v>M</v>
          </cell>
          <cell r="E1042">
            <v>102.53619999999999</v>
          </cell>
          <cell r="F1042">
            <v>9.6</v>
          </cell>
          <cell r="G1042">
            <v>8.8666</v>
          </cell>
          <cell r="H1042">
            <v>2.0570512000000001</v>
          </cell>
          <cell r="I1042">
            <v>10.9236512</v>
          </cell>
        </row>
        <row r="1043">
          <cell r="B1043" t="str">
            <v>*098710</v>
          </cell>
          <cell r="C1043" t="str">
            <v>CAMBIO CONTACTOR AP CUALQUIER TIPO SUBESTACIÓN</v>
          </cell>
          <cell r="D1043" t="str">
            <v>UN</v>
          </cell>
          <cell r="E1043">
            <v>19.983499999999999</v>
          </cell>
          <cell r="F1043">
            <v>9.6</v>
          </cell>
          <cell r="G1043">
            <v>24.782399999999999</v>
          </cell>
          <cell r="H1043">
            <v>5.7495167999999994</v>
          </cell>
          <cell r="I1043">
            <v>30.531916799999998</v>
          </cell>
        </row>
        <row r="1044">
          <cell r="B1044" t="str">
            <v>*098720</v>
          </cell>
          <cell r="C1044" t="str">
            <v>CAMBIO AISLADOR PORTABARRA MT SE CONV.COMPLETO</v>
          </cell>
          <cell r="D1044" t="str">
            <v>UN</v>
          </cell>
          <cell r="E1044">
            <v>41.773299999999999</v>
          </cell>
          <cell r="F1044">
            <v>9.6</v>
          </cell>
          <cell r="G1044">
            <v>10.2835</v>
          </cell>
          <cell r="H1044">
            <v>2.3857719999999998</v>
          </cell>
          <cell r="I1044">
            <v>12.669271999999999</v>
          </cell>
        </row>
        <row r="1045">
          <cell r="B1045" t="str">
            <v>*098730</v>
          </cell>
          <cell r="C1045" t="str">
            <v>CORTE Y  RETIRO DE CONECTOR DE CODO EN MT  (POR FASE)</v>
          </cell>
          <cell r="D1045" t="str">
            <v>UN</v>
          </cell>
          <cell r="E1045">
            <v>41.769100000000002</v>
          </cell>
          <cell r="F1045">
            <v>9.6</v>
          </cell>
          <cell r="G1045">
            <v>11.8565</v>
          </cell>
          <cell r="H1045">
            <v>2.7507079999999999</v>
          </cell>
          <cell r="I1045">
            <v>14.607208</v>
          </cell>
        </row>
        <row r="1046">
          <cell r="B1046" t="str">
            <v>*098740</v>
          </cell>
          <cell r="C1046" t="str">
            <v>CAMBIO DISYUNTOR BT</v>
          </cell>
          <cell r="D1046" t="str">
            <v>UN</v>
          </cell>
          <cell r="E1046">
            <v>6.7554999999999996</v>
          </cell>
          <cell r="F1046">
            <v>9.6</v>
          </cell>
          <cell r="G1046">
            <v>73.309100000000001</v>
          </cell>
          <cell r="H1046">
            <v>17.007711199999999</v>
          </cell>
          <cell r="I1046">
            <v>90.316811200000004</v>
          </cell>
        </row>
        <row r="1047">
          <cell r="B1047" t="str">
            <v>*098785</v>
          </cell>
          <cell r="C1047" t="str">
            <v>Catastro de llaves BT en SE a nivel o subterráneas</v>
          </cell>
          <cell r="D1047" t="str">
            <v>UN</v>
          </cell>
          <cell r="E1047">
            <v>66.064800000000005</v>
          </cell>
          <cell r="F1047">
            <v>9.6</v>
          </cell>
          <cell r="G1047">
            <v>12.898</v>
          </cell>
          <cell r="H1047">
            <v>2.9923359999999999</v>
          </cell>
          <cell r="I1047">
            <v>15.890336</v>
          </cell>
        </row>
        <row r="1048">
          <cell r="B1048" t="str">
            <v>*098820</v>
          </cell>
          <cell r="C1048" t="str">
            <v>CAMBIO TABLERO AP COMPLETO</v>
          </cell>
          <cell r="D1048" t="str">
            <v>UN</v>
          </cell>
          <cell r="E1048">
            <v>5.0719000000000003</v>
          </cell>
          <cell r="F1048">
            <v>9.6</v>
          </cell>
          <cell r="G1048">
            <v>97.643799999999999</v>
          </cell>
          <cell r="H1048">
            <v>22.653361599999997</v>
          </cell>
          <cell r="I1048">
            <v>120.2971616</v>
          </cell>
        </row>
        <row r="1049">
          <cell r="B1049" t="str">
            <v>*098822</v>
          </cell>
          <cell r="C1049" t="str">
            <v>ROTURA DE ZÓCALO DE POSTE HASTA 9M</v>
          </cell>
          <cell r="D1049" t="str">
            <v>UN</v>
          </cell>
          <cell r="E1049">
            <v>9.0447000000000006</v>
          </cell>
          <cell r="F1049">
            <v>9.6</v>
          </cell>
          <cell r="G1049">
            <v>59.8123</v>
          </cell>
          <cell r="H1049">
            <v>13.8764536</v>
          </cell>
          <cell r="I1049">
            <v>73.688753599999998</v>
          </cell>
        </row>
        <row r="1050">
          <cell r="B1050" t="str">
            <v>*098823</v>
          </cell>
          <cell r="C1050" t="str">
            <v>Inspección de poste (s/supervisión)</v>
          </cell>
          <cell r="D1050" t="str">
            <v>UN</v>
          </cell>
          <cell r="E1050">
            <v>48.126300000000001</v>
          </cell>
          <cell r="F1050">
            <v>9.6</v>
          </cell>
          <cell r="G1050">
            <v>7.3872000000000009</v>
          </cell>
          <cell r="H1050">
            <v>1.7138304</v>
          </cell>
          <cell r="I1050">
            <v>9.1010304000000009</v>
          </cell>
        </row>
        <row r="1051">
          <cell r="B1051" t="str">
            <v>*098824</v>
          </cell>
          <cell r="C1051" t="str">
            <v>Inspección de poste (c/supervision)</v>
          </cell>
          <cell r="D1051" t="str">
            <v>UN</v>
          </cell>
          <cell r="E1051">
            <v>55.086799999999997</v>
          </cell>
          <cell r="F1051">
            <v>9.6</v>
          </cell>
          <cell r="G1051">
            <v>12.8186</v>
          </cell>
          <cell r="H1051">
            <v>2.9739152</v>
          </cell>
          <cell r="I1051">
            <v>15.7925152</v>
          </cell>
        </row>
        <row r="1052">
          <cell r="B1052" t="str">
            <v>*098825</v>
          </cell>
          <cell r="C1052" t="str">
            <v>Catastro de postes - Calidad de AP</v>
          </cell>
          <cell r="D1052" t="str">
            <v>UN</v>
          </cell>
          <cell r="E1052">
            <v>87.547200000000004</v>
          </cell>
          <cell r="F1052">
            <v>9.6</v>
          </cell>
          <cell r="G1052">
            <v>2.5567999999999995</v>
          </cell>
          <cell r="H1052">
            <v>0.59317759999999986</v>
          </cell>
          <cell r="I1052">
            <v>3.1499775999999993</v>
          </cell>
        </row>
        <row r="1053">
          <cell r="B1053" t="str">
            <v>*098826</v>
          </cell>
          <cell r="C1053" t="str">
            <v>Etiquetado de postes - Calidad de AP</v>
          </cell>
          <cell r="D1053" t="str">
            <v>UN</v>
          </cell>
          <cell r="E1053">
            <v>44.821100000000001</v>
          </cell>
          <cell r="F1053">
            <v>9.6</v>
          </cell>
          <cell r="G1053">
            <v>6.8833000000000002</v>
          </cell>
          <cell r="H1053">
            <v>1.5969255999999998</v>
          </cell>
          <cell r="I1053">
            <v>8.4802256000000007</v>
          </cell>
        </row>
        <row r="1054">
          <cell r="B1054" t="str">
            <v>*098827</v>
          </cell>
          <cell r="C1054" t="str">
            <v>Medición de luminancia de Alumbrado Público por vano: 15 puntos por carril</v>
          </cell>
          <cell r="D1054" t="str">
            <v>UN</v>
          </cell>
          <cell r="E1054">
            <v>84.941000000000003</v>
          </cell>
          <cell r="F1054">
            <v>9.6</v>
          </cell>
          <cell r="G1054">
            <v>14.905600000000002</v>
          </cell>
          <cell r="H1054">
            <v>3.4580991999999999</v>
          </cell>
          <cell r="I1054">
            <v>18.363699200000003</v>
          </cell>
        </row>
        <row r="1055">
          <cell r="B1055" t="str">
            <v>*098828</v>
          </cell>
          <cell r="C1055" t="str">
            <v>Medición de Iluminancia de Alumbrado Público por vano: 15 puntos por carril</v>
          </cell>
          <cell r="D1055" t="str">
            <v>UN</v>
          </cell>
          <cell r="E1055">
            <v>48.027000000000001</v>
          </cell>
          <cell r="F1055">
            <v>9.6</v>
          </cell>
          <cell r="G1055">
            <v>25.834600000000002</v>
          </cell>
          <cell r="H1055">
            <v>5.9936271999999997</v>
          </cell>
          <cell r="I1055">
            <v>31.828227200000001</v>
          </cell>
        </row>
        <row r="1056">
          <cell r="B1056" t="str">
            <v>*098829</v>
          </cell>
          <cell r="C1056" t="str">
            <v>Iluminancia - Vano de alumbrado público sin medición</v>
          </cell>
          <cell r="D1056" t="str">
            <v>UN</v>
          </cell>
          <cell r="E1056">
            <v>121.73909999999999</v>
          </cell>
          <cell r="F1056">
            <v>9.6</v>
          </cell>
          <cell r="G1056">
            <v>10.192</v>
          </cell>
          <cell r="H1056">
            <v>2.364544</v>
          </cell>
          <cell r="I1056">
            <v>12.556544000000001</v>
          </cell>
        </row>
        <row r="1057">
          <cell r="B1057" t="str">
            <v>*098830</v>
          </cell>
          <cell r="C1057" t="str">
            <v>DEMOLICIÓN MURETE DE TABLERO DE DISTRIBUCIÓN  Y ELIMINACIÓN DESMONTE</v>
          </cell>
          <cell r="D1057" t="str">
            <v>UN</v>
          </cell>
          <cell r="E1057">
            <v>3.3990999999999998</v>
          </cell>
          <cell r="F1057">
            <v>9.6</v>
          </cell>
          <cell r="G1057">
            <v>194.19589999999999</v>
          </cell>
          <cell r="H1057">
            <v>45.053448799999998</v>
          </cell>
          <cell r="I1057">
            <v>239.24934880000001</v>
          </cell>
        </row>
        <row r="1058">
          <cell r="B1058" t="str">
            <v>*098840</v>
          </cell>
          <cell r="C1058" t="str">
            <v>DESOLDAR Y SOLDAR REJILLA DE VENTILACIÓN</v>
          </cell>
          <cell r="D1058" t="str">
            <v>Un</v>
          </cell>
          <cell r="E1058">
            <v>14.27</v>
          </cell>
          <cell r="F1058">
            <v>9.6</v>
          </cell>
          <cell r="G1058">
            <v>56.886800000000008</v>
          </cell>
          <cell r="H1058">
            <v>13.197737600000002</v>
          </cell>
          <cell r="I1058">
            <v>70.084537600000004</v>
          </cell>
        </row>
        <row r="1059">
          <cell r="B1059" t="str">
            <v>*098849</v>
          </cell>
          <cell r="C1059" t="str">
            <v>RETIRO DE CABLE COMUNICACIÓN POR TERNA  EN SE HASTA 500 MM2</v>
          </cell>
          <cell r="D1059" t="str">
            <v>UN</v>
          </cell>
          <cell r="E1059">
            <v>6.7847</v>
          </cell>
          <cell r="F1059">
            <v>9.6</v>
          </cell>
          <cell r="G1059">
            <v>139.93669999999997</v>
          </cell>
          <cell r="H1059">
            <v>32.46531439999999</v>
          </cell>
          <cell r="I1059">
            <v>172.40201439999996</v>
          </cell>
        </row>
        <row r="1060">
          <cell r="B1060" t="str">
            <v>*098850</v>
          </cell>
          <cell r="C1060" t="str">
            <v>INSTALACIÓN CABLE COMUNICACIÓN POR TERNA  EN SE HASTA 500 MM2</v>
          </cell>
          <cell r="D1060" t="str">
            <v>UN</v>
          </cell>
          <cell r="E1060">
            <v>4.7492999999999999</v>
          </cell>
          <cell r="F1060">
            <v>9.6</v>
          </cell>
          <cell r="G1060">
            <v>199.9091</v>
          </cell>
          <cell r="H1060">
            <v>46.378911199999997</v>
          </cell>
          <cell r="I1060">
            <v>246.2880112</v>
          </cell>
        </row>
        <row r="1061">
          <cell r="B1061" t="str">
            <v>*098851</v>
          </cell>
          <cell r="C1061" t="str">
            <v>TRASLADO CABLE COMUNICACIÓN POR TERNA  EN SE HASTA 500 MM2</v>
          </cell>
          <cell r="D1061" t="str">
            <v>PQ</v>
          </cell>
          <cell r="E1061">
            <v>3.6533000000000002</v>
          </cell>
          <cell r="F1061">
            <v>9.6</v>
          </cell>
          <cell r="G1061">
            <v>259.88229999999999</v>
          </cell>
          <cell r="H1061">
            <v>60.292693599999993</v>
          </cell>
          <cell r="I1061">
            <v>320.17499359999999</v>
          </cell>
        </row>
        <row r="1062">
          <cell r="B1062" t="str">
            <v>*098865</v>
          </cell>
          <cell r="C1062" t="str">
            <v>LIMPIEZA DE S.E. CONVENCIONAL CON TENSION POR CELDA</v>
          </cell>
          <cell r="D1062" t="str">
            <v>UN</v>
          </cell>
          <cell r="E1062">
            <v>16.438700000000001</v>
          </cell>
          <cell r="F1062">
            <v>9.6</v>
          </cell>
          <cell r="G1062">
            <v>46.099799999999995</v>
          </cell>
          <cell r="H1062">
            <v>10.695153599999998</v>
          </cell>
          <cell r="I1062">
            <v>56.794953599999992</v>
          </cell>
        </row>
        <row r="1063">
          <cell r="B1063" t="str">
            <v>*098870</v>
          </cell>
          <cell r="C1063" t="str">
            <v>LIMPIEZA BUZÓN VENTILACIÓN</v>
          </cell>
          <cell r="D1063" t="str">
            <v>UN</v>
          </cell>
          <cell r="E1063">
            <v>10.4558</v>
          </cell>
          <cell r="F1063">
            <v>9.6</v>
          </cell>
          <cell r="G1063">
            <v>41.084799999999994</v>
          </cell>
          <cell r="H1063">
            <v>9.5316735999999977</v>
          </cell>
          <cell r="I1063">
            <v>50.616473599999992</v>
          </cell>
        </row>
        <row r="1064">
          <cell r="B1064" t="str">
            <v>*098890</v>
          </cell>
          <cell r="C1064" t="str">
            <v>LIMPIEZA ZANJA/TABLERO BT C/ASPIRADORA C/TENSIÓN</v>
          </cell>
          <cell r="D1064" t="str">
            <v>UN</v>
          </cell>
          <cell r="E1064">
            <v>10.7326</v>
          </cell>
          <cell r="F1064">
            <v>9.6</v>
          </cell>
          <cell r="G1064">
            <v>32.055300000000003</v>
          </cell>
          <cell r="H1064">
            <v>7.4368296000000003</v>
          </cell>
          <cell r="I1064">
            <v>39.492129600000005</v>
          </cell>
        </row>
        <row r="1065">
          <cell r="B1065" t="str">
            <v>*098900</v>
          </cell>
          <cell r="C1065" t="str">
            <v>LIMPIEZA GENERAL SAB O SAM (INCLUYE  CUT-OUT, TERMINAL 10KV, TRAFO Y TABLERO BT)</v>
          </cell>
          <cell r="D1065" t="str">
            <v>UN</v>
          </cell>
          <cell r="E1065">
            <v>10.4933</v>
          </cell>
          <cell r="F1065">
            <v>9.6</v>
          </cell>
          <cell r="G1065">
            <v>68.86699999999999</v>
          </cell>
          <cell r="H1065">
            <v>15.977143999999997</v>
          </cell>
          <cell r="I1065">
            <v>84.844143999999986</v>
          </cell>
        </row>
        <row r="1066">
          <cell r="B1066" t="str">
            <v>*098910</v>
          </cell>
          <cell r="C1066" t="str">
            <v>LIMPIEZA GENERAL SCB (INCLUYE LIMPIEZA  DE CONECTORES DE CODO)</v>
          </cell>
          <cell r="D1066" t="str">
            <v>UN</v>
          </cell>
          <cell r="E1066">
            <v>15.758699999999999</v>
          </cell>
          <cell r="F1066">
            <v>9.6</v>
          </cell>
          <cell r="G1066">
            <v>45.8566</v>
          </cell>
          <cell r="H1066">
            <v>10.638731199999999</v>
          </cell>
          <cell r="I1066">
            <v>56.495331199999995</v>
          </cell>
        </row>
        <row r="1067">
          <cell r="B1067" t="str">
            <v>*098920</v>
          </cell>
          <cell r="C1067" t="str">
            <v>LIMPIEZA GENERAL SCP (INCLUYE LIMPIEZA  DE CONECTORES DE CODO)</v>
          </cell>
          <cell r="D1067" t="str">
            <v>UN</v>
          </cell>
          <cell r="E1067">
            <v>31.5061</v>
          </cell>
          <cell r="F1067">
            <v>9.6</v>
          </cell>
          <cell r="G1067">
            <v>22.936499999999999</v>
          </cell>
          <cell r="H1067">
            <v>5.321267999999999</v>
          </cell>
          <cell r="I1067">
            <v>28.257767999999999</v>
          </cell>
        </row>
        <row r="1068">
          <cell r="B1068" t="str">
            <v>*098921</v>
          </cell>
          <cell r="C1068" t="str">
            <v>IDENTIFICACIÓN, MEDICIÓN Y REGISTRO DE CASOS DE INCUMPLIMIENTOS DE LAS DMS EN MT EN ZONAS NO ACCESIB</v>
          </cell>
          <cell r="D1068" t="str">
            <v>UN</v>
          </cell>
          <cell r="E1068">
            <v>4.32</v>
          </cell>
          <cell r="F1068">
            <v>9.6</v>
          </cell>
          <cell r="G1068">
            <v>95.671099999999996</v>
          </cell>
          <cell r="H1068">
            <v>22.195695199999996</v>
          </cell>
          <cell r="I1068">
            <v>117.86679519999998</v>
          </cell>
        </row>
        <row r="1069">
          <cell r="B1069" t="str">
            <v>*098922</v>
          </cell>
          <cell r="C1069" t="str">
            <v>RECORRIDO PARA DETECTAR INCUMPLIMIENTOS DE LAS DMS EN MT</v>
          </cell>
          <cell r="D1069" t="str">
            <v>KM</v>
          </cell>
          <cell r="E1069">
            <v>0.9788</v>
          </cell>
          <cell r="F1069">
            <v>9.6</v>
          </cell>
          <cell r="G1069">
            <v>422.2509</v>
          </cell>
          <cell r="H1069">
            <v>97.962208799999999</v>
          </cell>
          <cell r="I1069">
            <v>520.21310879999999</v>
          </cell>
        </row>
        <row r="1070">
          <cell r="B1070" t="str">
            <v>*098923</v>
          </cell>
          <cell r="C1070" t="str">
            <v>Catastro de postes con rajaduras prematuras (SCAM)</v>
          </cell>
          <cell r="D1070" t="str">
            <v>UN</v>
          </cell>
          <cell r="E1070">
            <v>106.5</v>
          </cell>
          <cell r="F1070">
            <v>9.6</v>
          </cell>
          <cell r="G1070">
            <v>3.3519000000000001</v>
          </cell>
          <cell r="H1070">
            <v>0.77764080000000002</v>
          </cell>
          <cell r="I1070">
            <v>4.1295408</v>
          </cell>
        </row>
        <row r="1071">
          <cell r="B1071" t="str">
            <v>*098924</v>
          </cell>
          <cell r="C1071" t="str">
            <v>Levantamiento de información de casos de DMS en redes MT</v>
          </cell>
          <cell r="D1071" t="str">
            <v>UN</v>
          </cell>
          <cell r="E1071">
            <v>15</v>
          </cell>
          <cell r="F1071">
            <v>9.6</v>
          </cell>
          <cell r="G1071">
            <v>27.996299999999998</v>
          </cell>
          <cell r="H1071">
            <v>6.4951415999999993</v>
          </cell>
          <cell r="I1071">
            <v>34.491441599999995</v>
          </cell>
        </row>
        <row r="1072">
          <cell r="B1072" t="str">
            <v>*098925</v>
          </cell>
          <cell r="C1072" t="str">
            <v>Inspección de Suministros para Proyecto de Medición Inteligente</v>
          </cell>
          <cell r="D1072" t="str">
            <v>UN</v>
          </cell>
          <cell r="E1072">
            <v>40</v>
          </cell>
          <cell r="F1072">
            <v>9.6</v>
          </cell>
          <cell r="G1072">
            <v>7.2779999999999996</v>
          </cell>
          <cell r="H1072">
            <v>1.6884959999999998</v>
          </cell>
          <cell r="I1072">
            <v>8.9664959999999994</v>
          </cell>
        </row>
        <row r="1073">
          <cell r="B1073" t="str">
            <v>*098930</v>
          </cell>
          <cell r="C1073" t="str">
            <v>LIMPIEZA LOCAL Y ZANJAS SE. CONVENCIONAL</v>
          </cell>
          <cell r="D1073" t="str">
            <v>UN</v>
          </cell>
          <cell r="E1073">
            <v>10.4556</v>
          </cell>
          <cell r="F1073">
            <v>9.6</v>
          </cell>
          <cell r="G1073">
            <v>53.795999999999999</v>
          </cell>
          <cell r="H1073">
            <v>12.480671999999998</v>
          </cell>
          <cell r="I1073">
            <v>66.276671999999991</v>
          </cell>
        </row>
        <row r="1074">
          <cell r="B1074" t="str">
            <v>*098940</v>
          </cell>
          <cell r="C1074" t="str">
            <v>MANTENIMIENTO CELDA MT CON BARRA DIRECTA  (INCLUYE TERMINAL 10 KV)</v>
          </cell>
          <cell r="D1074" t="str">
            <v>UN</v>
          </cell>
          <cell r="E1074">
            <v>10.4544</v>
          </cell>
          <cell r="F1074">
            <v>9.6</v>
          </cell>
          <cell r="G1074">
            <v>41.090299999999999</v>
          </cell>
          <cell r="H1074">
            <v>9.5329495999999985</v>
          </cell>
          <cell r="I1074">
            <v>50.623249599999994</v>
          </cell>
        </row>
        <row r="1075">
          <cell r="B1075" t="str">
            <v>*098950</v>
          </cell>
          <cell r="C1075" t="str">
            <v>MANTENIMIENTO CELDA MT CON EQUIPO DE CORTE (INCL. TERMINAL  Y EQ. DE MEDIDA)</v>
          </cell>
          <cell r="D1075" t="str">
            <v>UN</v>
          </cell>
          <cell r="E1075">
            <v>6.9673999999999996</v>
          </cell>
          <cell r="F1075">
            <v>9.6</v>
          </cell>
          <cell r="G1075">
            <v>62.311000000000007</v>
          </cell>
          <cell r="H1075">
            <v>14.456152000000001</v>
          </cell>
          <cell r="I1075">
            <v>76.76715200000001</v>
          </cell>
        </row>
        <row r="1076">
          <cell r="B1076" t="str">
            <v>*098954</v>
          </cell>
          <cell r="C1076" t="str">
            <v>MANTENIMIENTO DE INTERRUPTOR DE POTENCIA</v>
          </cell>
          <cell r="D1076" t="str">
            <v>UN</v>
          </cell>
          <cell r="E1076">
            <v>7.05</v>
          </cell>
          <cell r="F1076">
            <v>9.6</v>
          </cell>
          <cell r="G1076">
            <v>120.1621</v>
          </cell>
          <cell r="H1076">
            <v>27.877607199999996</v>
          </cell>
          <cell r="I1076">
            <v>148.03970719999998</v>
          </cell>
        </row>
        <row r="1077">
          <cell r="B1077" t="str">
            <v>*098956</v>
          </cell>
          <cell r="C1077" t="str">
            <v>MANTENIMIENTO DE SECCIONADOR DE POTENCIA</v>
          </cell>
          <cell r="D1077" t="str">
            <v>UN</v>
          </cell>
          <cell r="E1077">
            <v>6.84</v>
          </cell>
          <cell r="F1077">
            <v>9.6</v>
          </cell>
          <cell r="G1077">
            <v>123.8511</v>
          </cell>
          <cell r="H1077">
            <v>28.733455199999998</v>
          </cell>
          <cell r="I1077">
            <v>152.58455520000001</v>
          </cell>
        </row>
        <row r="1078">
          <cell r="B1078" t="str">
            <v>*098960</v>
          </cell>
          <cell r="C1078" t="str">
            <v>MANTENIMIENTO EXTERIOR DE TRANSFORMADOR Y  DISYUNTOR BT</v>
          </cell>
          <cell r="D1078" t="str">
            <v>UN</v>
          </cell>
          <cell r="E1078">
            <v>10.456</v>
          </cell>
          <cell r="F1078">
            <v>9.6</v>
          </cell>
          <cell r="G1078">
            <v>47.364000000000004</v>
          </cell>
          <cell r="H1078">
            <v>10.988448</v>
          </cell>
          <cell r="I1078">
            <v>58.352448000000003</v>
          </cell>
        </row>
        <row r="1079">
          <cell r="B1079" t="str">
            <v>*098969</v>
          </cell>
          <cell r="C1079" t="str">
            <v>APLICACIÓN DE AJUSTE CALIBRADO A PERNOS CON TORQUÍMETRO</v>
          </cell>
          <cell r="D1079" t="str">
            <v>UN</v>
          </cell>
          <cell r="E1079">
            <v>246.8571</v>
          </cell>
          <cell r="F1079">
            <v>9.6</v>
          </cell>
          <cell r="G1079">
            <v>1.3639999999999999</v>
          </cell>
          <cell r="H1079">
            <v>0.31644799999999995</v>
          </cell>
          <cell r="I1079">
            <v>1.6804479999999997</v>
          </cell>
        </row>
        <row r="1080">
          <cell r="B1080" t="str">
            <v>*098970</v>
          </cell>
          <cell r="C1080" t="str">
            <v>MANTENIMIENTO TABLERO BT Y AP (CONTACTOS, AJUSTES, ALINEAM. LLAVES, CONTACTOR)</v>
          </cell>
          <cell r="D1080" t="str">
            <v>UN</v>
          </cell>
          <cell r="E1080">
            <v>10.454000000000001</v>
          </cell>
          <cell r="F1080">
            <v>9.6</v>
          </cell>
          <cell r="G1080">
            <v>64.52239999999999</v>
          </cell>
          <cell r="H1080">
            <v>14.969196799999997</v>
          </cell>
          <cell r="I1080">
            <v>79.491596799999982</v>
          </cell>
        </row>
        <row r="1081">
          <cell r="B1081" t="str">
            <v>*098971</v>
          </cell>
          <cell r="C1081" t="str">
            <v>SUPERVISION PERMANENTE DE UN CAPATAZ POR UNA HORA</v>
          </cell>
          <cell r="D1081" t="str">
            <v>HH</v>
          </cell>
          <cell r="E1081">
            <v>9.6</v>
          </cell>
          <cell r="F1081">
            <v>9.6</v>
          </cell>
          <cell r="G1081">
            <v>21.0093</v>
          </cell>
          <cell r="H1081">
            <v>4.8741575999999993</v>
          </cell>
          <cell r="I1081">
            <v>25.8834576</v>
          </cell>
        </row>
        <row r="1082">
          <cell r="B1082" t="str">
            <v>*098972</v>
          </cell>
          <cell r="C1082" t="str">
            <v>CUADRILLA DE MANTENIMIENTO CON CAMIONETA  DOBLE CABINA Y TRES PERSONAS</v>
          </cell>
          <cell r="D1082" t="str">
            <v>H</v>
          </cell>
          <cell r="E1082">
            <v>9.6</v>
          </cell>
          <cell r="F1082">
            <v>9.6</v>
          </cell>
          <cell r="G1082">
            <v>117.0646</v>
          </cell>
          <cell r="H1082">
            <v>27.158987199999999</v>
          </cell>
          <cell r="I1082">
            <v>144.2235872</v>
          </cell>
        </row>
        <row r="1083">
          <cell r="B1083" t="str">
            <v>*098974</v>
          </cell>
          <cell r="C1083" t="str">
            <v>CUADRILLA DE MANTENIMIENTO CON GRUA DE 9 TN Y CUATRO PERSONAS</v>
          </cell>
          <cell r="D1083" t="str">
            <v>H</v>
          </cell>
          <cell r="E1083">
            <v>9.6</v>
          </cell>
          <cell r="F1083">
            <v>9.6</v>
          </cell>
          <cell r="G1083">
            <v>205.00599999999997</v>
          </cell>
          <cell r="H1083">
            <v>47.561391999999991</v>
          </cell>
          <cell r="I1083">
            <v>252.56739199999996</v>
          </cell>
        </row>
        <row r="1084">
          <cell r="B1084" t="str">
            <v>*098976</v>
          </cell>
          <cell r="C1084" t="str">
            <v>CUADRILLA DE MANTENIMIENTO CON CAMIÓN DE 4 TN Y CUATRO PERSONAS</v>
          </cell>
          <cell r="D1084" t="str">
            <v>H</v>
          </cell>
          <cell r="E1084">
            <v>9.6</v>
          </cell>
          <cell r="F1084">
            <v>9.6</v>
          </cell>
          <cell r="G1084">
            <v>136.43599999999998</v>
          </cell>
          <cell r="H1084">
            <v>31.653151999999992</v>
          </cell>
          <cell r="I1084">
            <v>168.08915199999996</v>
          </cell>
        </row>
        <row r="1085">
          <cell r="B1085" t="str">
            <v>*098977</v>
          </cell>
          <cell r="C1085" t="str">
            <v>compensación por trabajo nocturno - Capataz</v>
          </cell>
          <cell r="D1085" t="str">
            <v>UN</v>
          </cell>
          <cell r="E1085">
            <v>1</v>
          </cell>
          <cell r="F1085">
            <v>9.6</v>
          </cell>
          <cell r="G1085">
            <v>199.2509</v>
          </cell>
          <cell r="H1085">
            <v>46.226208799999995</v>
          </cell>
          <cell r="I1085">
            <v>245.4771088</v>
          </cell>
        </row>
        <row r="1086">
          <cell r="B1086" t="str">
            <v>*098978</v>
          </cell>
          <cell r="C1086" t="str">
            <v>INSTALACION Y RETIRO DE PROTECTOR DE CELDA MT (SOLO MO)</v>
          </cell>
          <cell r="D1086" t="str">
            <v>UN</v>
          </cell>
          <cell r="E1086">
            <v>10.3241</v>
          </cell>
          <cell r="F1086">
            <v>9.6</v>
          </cell>
          <cell r="G1086">
            <v>64.610100000000003</v>
          </cell>
          <cell r="H1086">
            <v>14.9895432</v>
          </cell>
          <cell r="I1086">
            <v>79.599643200000003</v>
          </cell>
        </row>
        <row r="1087">
          <cell r="B1087" t="str">
            <v>*098979</v>
          </cell>
          <cell r="C1087" t="str">
            <v>Compensación por trabajo nocturno - Operario</v>
          </cell>
          <cell r="D1087" t="str">
            <v>UN</v>
          </cell>
          <cell r="E1087">
            <v>1</v>
          </cell>
          <cell r="F1087">
            <v>9.6</v>
          </cell>
          <cell r="G1087">
            <v>146.43260000000001</v>
          </cell>
          <cell r="H1087">
            <v>33.972363199999997</v>
          </cell>
          <cell r="I1087">
            <v>180.4049632</v>
          </cell>
        </row>
        <row r="1088">
          <cell r="B1088" t="str">
            <v>*098980</v>
          </cell>
          <cell r="C1088" t="str">
            <v>MEDICIÓN ELÉCTRICA DEL SISTEMA DE PUESTA  A TIERRA EN SE. CONVENCIONAL</v>
          </cell>
          <cell r="D1088" t="str">
            <v>UN</v>
          </cell>
          <cell r="E1088">
            <v>5.9713000000000003</v>
          </cell>
          <cell r="F1088">
            <v>9.6</v>
          </cell>
          <cell r="G1088">
            <v>71.94</v>
          </cell>
          <cell r="H1088">
            <v>16.690079999999998</v>
          </cell>
          <cell r="I1088">
            <v>88.630079999999992</v>
          </cell>
        </row>
        <row r="1089">
          <cell r="B1089" t="str">
            <v>*098988</v>
          </cell>
          <cell r="C1089" t="str">
            <v>Viaje indebido de cuadrilla insp y prueba en  conex B.T. - 098988</v>
          </cell>
          <cell r="D1089" t="str">
            <v>UN</v>
          </cell>
          <cell r="E1089">
            <v>16.014199999999999</v>
          </cell>
          <cell r="F1089">
            <v>9.6</v>
          </cell>
          <cell r="G1089">
            <v>30.0564</v>
          </cell>
          <cell r="H1089">
            <v>6.9730847999999996</v>
          </cell>
          <cell r="I1089">
            <v>37.029484799999999</v>
          </cell>
        </row>
        <row r="1090">
          <cell r="B1090" t="str">
            <v>*098989</v>
          </cell>
          <cell r="C1090" t="str">
            <v>Compensación por trabajo nocturno - Ayudante</v>
          </cell>
          <cell r="D1090" t="str">
            <v>UN</v>
          </cell>
          <cell r="E1090">
            <v>1</v>
          </cell>
          <cell r="F1090">
            <v>9.6</v>
          </cell>
          <cell r="G1090">
            <v>113.8579</v>
          </cell>
          <cell r="H1090">
            <v>26.415032799999999</v>
          </cell>
          <cell r="I1090">
            <v>140.27293280000001</v>
          </cell>
        </row>
        <row r="1091">
          <cell r="B1091" t="str">
            <v>*098990</v>
          </cell>
          <cell r="C1091" t="str">
            <v>PINTADO TABLERO DISTRIBUCIÓN BT CON  BASE Y ACABADO (INCLUYE ROTULADO)</v>
          </cell>
          <cell r="D1091" t="str">
            <v>UN</v>
          </cell>
          <cell r="E1091">
            <v>9.7196999999999996</v>
          </cell>
          <cell r="F1091">
            <v>9.6</v>
          </cell>
          <cell r="G1091">
            <v>63.417000000000002</v>
          </cell>
          <cell r="H1091">
            <v>14.712743999999999</v>
          </cell>
          <cell r="I1091">
            <v>78.129744000000002</v>
          </cell>
        </row>
        <row r="1092">
          <cell r="B1092" t="str">
            <v>*099000</v>
          </cell>
          <cell r="C1092" t="str">
            <v>PINTURA EXTERIOR SCP CON BASE Y ACABADO</v>
          </cell>
          <cell r="D1092" t="str">
            <v>UN</v>
          </cell>
          <cell r="E1092">
            <v>5.4039999999999999</v>
          </cell>
          <cell r="F1092">
            <v>9.6</v>
          </cell>
          <cell r="G1092">
            <v>108.26300000000001</v>
          </cell>
          <cell r="H1092">
            <v>25.117016</v>
          </cell>
          <cell r="I1092">
            <v>133.38001600000001</v>
          </cell>
        </row>
        <row r="1093">
          <cell r="B1093" t="str">
            <v>*099010</v>
          </cell>
          <cell r="C1093" t="str">
            <v>PINTURA FACHADA SE. CONVENCIONAL PUERTA Y REJA VENTILAC. (INCL. PINTURA Y ROTUL.)</v>
          </cell>
          <cell r="D1093" t="str">
            <v>UN</v>
          </cell>
          <cell r="E1093">
            <v>3.2360000000000002</v>
          </cell>
          <cell r="F1093">
            <v>9.6</v>
          </cell>
          <cell r="G1093">
            <v>256.55329999999998</v>
          </cell>
          <cell r="H1093">
            <v>59.520365599999991</v>
          </cell>
          <cell r="I1093">
            <v>316.07366559999997</v>
          </cell>
        </row>
        <row r="1094">
          <cell r="B1094" t="str">
            <v>*099030</v>
          </cell>
          <cell r="C1094" t="str">
            <v>RENOVACIÓN POZO DE TIERRA EN SE.CONVENC. (INCLUYE CAMBIO DE TIERRA)</v>
          </cell>
          <cell r="D1094" t="str">
            <v>UN</v>
          </cell>
          <cell r="E1094">
            <v>1.1184000000000001</v>
          </cell>
          <cell r="F1094">
            <v>9.6</v>
          </cell>
          <cell r="G1094">
            <v>603.10220000000004</v>
          </cell>
          <cell r="H1094">
            <v>139.91971039999999</v>
          </cell>
          <cell r="I1094">
            <v>743.02191040000002</v>
          </cell>
        </row>
        <row r="1095">
          <cell r="B1095" t="str">
            <v>*099040</v>
          </cell>
          <cell r="C1095" t="str">
            <v>RENOVACIÓN TABLERO BT SE. AÉREA</v>
          </cell>
          <cell r="D1095" t="str">
            <v>UN</v>
          </cell>
          <cell r="E1095">
            <v>1.3180000000000001</v>
          </cell>
          <cell r="F1095">
            <v>9.6</v>
          </cell>
          <cell r="G1095">
            <v>697.48869999999999</v>
          </cell>
          <cell r="H1095">
            <v>161.8173784</v>
          </cell>
          <cell r="I1095">
            <v>859.30607839999993</v>
          </cell>
        </row>
        <row r="1096">
          <cell r="B1096" t="str">
            <v>*099085</v>
          </cell>
          <cell r="C1096" t="str">
            <v>Ejecución de maniobra en llave BT</v>
          </cell>
          <cell r="D1096" t="str">
            <v>UN</v>
          </cell>
          <cell r="E1096">
            <v>50.21</v>
          </cell>
          <cell r="F1096">
            <v>9.6</v>
          </cell>
          <cell r="G1096">
            <v>3.5579000000000001</v>
          </cell>
          <cell r="H1096">
            <v>0.82543279999999997</v>
          </cell>
          <cell r="I1096">
            <v>4.3833327999999998</v>
          </cell>
        </row>
        <row r="1097">
          <cell r="B1097" t="str">
            <v>*099090</v>
          </cell>
          <cell r="C1097" t="str">
            <v>ROTULACIÓN CON LETRERO EN CELDAS,SAB O POSTES MT</v>
          </cell>
          <cell r="D1097" t="str">
            <v>UN</v>
          </cell>
          <cell r="E1097">
            <v>24.064599999999999</v>
          </cell>
          <cell r="F1097">
            <v>9.6</v>
          </cell>
          <cell r="G1097">
            <v>23.819199999999999</v>
          </cell>
          <cell r="H1097">
            <v>5.5260543999999996</v>
          </cell>
          <cell r="I1097">
            <v>29.345254399999998</v>
          </cell>
        </row>
        <row r="1098">
          <cell r="B1098" t="str">
            <v>*099095</v>
          </cell>
          <cell r="C1098" t="str">
            <v>SOPORTE DE DISYUNTOR (OBRA VENDIDA)</v>
          </cell>
          <cell r="D1098" t="str">
            <v>UN</v>
          </cell>
          <cell r="E1098">
            <v>8.2810000000000006</v>
          </cell>
          <cell r="F1098">
            <v>9.6</v>
          </cell>
          <cell r="G1098">
            <v>67.727100000000007</v>
          </cell>
          <cell r="H1098">
            <v>15.712687200000001</v>
          </cell>
          <cell r="I1098">
            <v>83.439787200000012</v>
          </cell>
        </row>
        <row r="1099">
          <cell r="B1099" t="str">
            <v>*099096</v>
          </cell>
          <cell r="C1099" t="str">
            <v>ROTULACION DE PUERTA DE CELDA</v>
          </cell>
          <cell r="D1099" t="str">
            <v>UN</v>
          </cell>
          <cell r="E1099">
            <v>8.5853000000000002</v>
          </cell>
          <cell r="F1099">
            <v>9.6</v>
          </cell>
          <cell r="G1099">
            <v>32.1751</v>
          </cell>
          <cell r="H1099">
            <v>7.4646231999999992</v>
          </cell>
          <cell r="I1099">
            <v>39.639723199999999</v>
          </cell>
        </row>
        <row r="1100">
          <cell r="B1100" t="str">
            <v>*099097</v>
          </cell>
          <cell r="C1100" t="str">
            <v>ROTULACION DE S.E. CONVENCIONAL (PUERTA DE INGRESO Y PARED INTERIOR)</v>
          </cell>
          <cell r="D1100" t="str">
            <v>UN</v>
          </cell>
          <cell r="E1100">
            <v>9.3143999999999991</v>
          </cell>
          <cell r="F1100">
            <v>9.6</v>
          </cell>
          <cell r="G1100">
            <v>31.416699999999999</v>
          </cell>
          <cell r="H1100">
            <v>7.2886743999999988</v>
          </cell>
          <cell r="I1100">
            <v>38.705374399999997</v>
          </cell>
        </row>
        <row r="1101">
          <cell r="B1101" t="str">
            <v>*099098</v>
          </cell>
          <cell r="C1101" t="str">
            <v>ROTULACIÓN DE POSTE NÚMERO CORRELATIVO</v>
          </cell>
          <cell r="D1101" t="str">
            <v>UN</v>
          </cell>
          <cell r="E1101">
            <v>92.173199999999994</v>
          </cell>
          <cell r="F1101">
            <v>9.6</v>
          </cell>
          <cell r="G1101">
            <v>8.8651</v>
          </cell>
          <cell r="H1101">
            <v>2.0567031999999998</v>
          </cell>
          <cell r="I1101">
            <v>10.921803199999999</v>
          </cell>
        </row>
        <row r="1102">
          <cell r="B1102" t="str">
            <v>*099099</v>
          </cell>
          <cell r="C1102" t="str">
            <v>ROTULACIÓN DE POSTE CON CIRCUITO</v>
          </cell>
          <cell r="D1102" t="str">
            <v>UN</v>
          </cell>
          <cell r="E1102">
            <v>21.2851</v>
          </cell>
          <cell r="F1102">
            <v>9.6</v>
          </cell>
          <cell r="G1102">
            <v>20.318199999999997</v>
          </cell>
          <cell r="H1102">
            <v>4.7138223999999989</v>
          </cell>
          <cell r="I1102">
            <v>25.032022399999995</v>
          </cell>
        </row>
        <row r="1103">
          <cell r="B1103" t="str">
            <v>*099100</v>
          </cell>
          <cell r="C1103" t="str">
            <v>ROTULACIÓN DE S.E. AÉREA</v>
          </cell>
          <cell r="D1103" t="str">
            <v>UN</v>
          </cell>
          <cell r="E1103">
            <v>10.7347</v>
          </cell>
          <cell r="F1103">
            <v>9.6</v>
          </cell>
          <cell r="G1103">
            <v>42.105199999999996</v>
          </cell>
          <cell r="H1103">
            <v>9.7684063999999982</v>
          </cell>
          <cell r="I1103">
            <v>51.873606399999993</v>
          </cell>
        </row>
        <row r="1104">
          <cell r="B1104" t="str">
            <v>*099104</v>
          </cell>
          <cell r="C1104" t="str">
            <v>ROTULACIÓN DE POSTE CON CIRCUITO, TRABAJO MASIVO &gt; 4 UN</v>
          </cell>
          <cell r="D1104" t="str">
            <v>UN</v>
          </cell>
          <cell r="E1104">
            <v>28.502400000000002</v>
          </cell>
          <cell r="F1104">
            <v>9.6</v>
          </cell>
          <cell r="G1104">
            <v>16.3916</v>
          </cell>
          <cell r="H1104">
            <v>3.8028511999999997</v>
          </cell>
          <cell r="I1104">
            <v>20.1944512</v>
          </cell>
        </row>
        <row r="1105">
          <cell r="B1105" t="str">
            <v>*099106</v>
          </cell>
          <cell r="C1105" t="str">
            <v>TRANSPORTE EN CAMIONETA STATION WAGON (VIAJE IDA Y VUELTA)</v>
          </cell>
          <cell r="D1105" t="str">
            <v>UN</v>
          </cell>
          <cell r="E1105">
            <v>4</v>
          </cell>
          <cell r="F1105">
            <v>9.6</v>
          </cell>
          <cell r="G1105">
            <v>51.96</v>
          </cell>
          <cell r="H1105">
            <v>12.05472</v>
          </cell>
          <cell r="I1105">
            <v>64.014719999999997</v>
          </cell>
        </row>
        <row r="1106">
          <cell r="B1106" t="str">
            <v>*099107</v>
          </cell>
          <cell r="C1106" t="str">
            <v>TRANSPORTE EN CAMIONETA RURAL TIPO COMBI (VIAJE IDA Y VUELTA)</v>
          </cell>
          <cell r="D1106" t="str">
            <v>UN</v>
          </cell>
          <cell r="E1106">
            <v>4</v>
          </cell>
          <cell r="F1106">
            <v>9.6</v>
          </cell>
          <cell r="G1106">
            <v>66.263999999999996</v>
          </cell>
          <cell r="H1106">
            <v>15.373247999999998</v>
          </cell>
          <cell r="I1106">
            <v>81.637248</v>
          </cell>
        </row>
        <row r="1107">
          <cell r="B1107" t="str">
            <v>*099108</v>
          </cell>
          <cell r="C1107" t="str">
            <v>Movilidad para maniobras efectuadas antes de las 7:00 a.m.</v>
          </cell>
          <cell r="D1107" t="str">
            <v>UN</v>
          </cell>
          <cell r="E1107">
            <v>9.6</v>
          </cell>
          <cell r="F1107">
            <v>9.6</v>
          </cell>
          <cell r="G1107">
            <v>20.661100000000001</v>
          </cell>
          <cell r="H1107">
            <v>4.7933751999999998</v>
          </cell>
          <cell r="I1107">
            <v>25.454475200000001</v>
          </cell>
        </row>
        <row r="1108">
          <cell r="B1108" t="str">
            <v>*099109</v>
          </cell>
          <cell r="C1108" t="str">
            <v>RETIRO DE MEDIDOR MONOF. SIN SEGURO - CON MISMA CUADRILLA - RUTINA</v>
          </cell>
          <cell r="D1108" t="str">
            <v>UN</v>
          </cell>
          <cell r="E1108">
            <v>54.546900000000001</v>
          </cell>
          <cell r="F1108">
            <v>9.6</v>
          </cell>
          <cell r="G1108">
            <v>9.5527999999999995</v>
          </cell>
          <cell r="H1108">
            <v>2.2162495999999998</v>
          </cell>
          <cell r="I1108">
            <v>11.769049599999999</v>
          </cell>
        </row>
        <row r="1109">
          <cell r="B1109" t="str">
            <v>*099111</v>
          </cell>
          <cell r="C1109" t="str">
            <v>INSTALACIÓN MEDIDOR MONOF. SIN SEGURO - CON MISMA CUADRILLA - RUTINA</v>
          </cell>
          <cell r="D1109" t="str">
            <v>UN</v>
          </cell>
          <cell r="E1109">
            <v>38.183900000000001</v>
          </cell>
          <cell r="F1109">
            <v>9.6</v>
          </cell>
          <cell r="G1109">
            <v>13.6464</v>
          </cell>
          <cell r="H1109">
            <v>3.1659647999999998</v>
          </cell>
          <cell r="I1109">
            <v>16.812364800000001</v>
          </cell>
        </row>
        <row r="1110">
          <cell r="B1110" t="str">
            <v>*099112</v>
          </cell>
          <cell r="C1110" t="str">
            <v>INSTALACION MEDIDOR TRIFÁSICO SIN SEGURO - CON MISMA CUADRILLA - RUTINA</v>
          </cell>
          <cell r="D1110" t="str">
            <v>UN</v>
          </cell>
          <cell r="E1110">
            <v>31.073</v>
          </cell>
          <cell r="F1110">
            <v>9.6</v>
          </cell>
          <cell r="G1110">
            <v>16.790500000000002</v>
          </cell>
          <cell r="H1110">
            <v>3.8953960000000003</v>
          </cell>
          <cell r="I1110">
            <v>20.685896000000003</v>
          </cell>
        </row>
        <row r="1111">
          <cell r="B1111" t="str">
            <v>*099113</v>
          </cell>
          <cell r="C1111" t="str">
            <v>TRASLADO MEDIDOR TRIFÁSICO SIN SEGURO - CON MISMA CUADRILLA - RUTINA</v>
          </cell>
          <cell r="D1111" t="str">
            <v>UN</v>
          </cell>
          <cell r="E1111">
            <v>23.9023</v>
          </cell>
          <cell r="F1111">
            <v>9.6</v>
          </cell>
          <cell r="G1111">
            <v>21.8277</v>
          </cell>
          <cell r="H1111">
            <v>5.0640263999999995</v>
          </cell>
          <cell r="I1111">
            <v>26.8917264</v>
          </cell>
        </row>
        <row r="1112">
          <cell r="B1112" t="str">
            <v>*099114</v>
          </cell>
          <cell r="C1112" t="str">
            <v>RETIRO DE MEDIDOR TRIFÁSICO SIN SEGURO - CON MISMA CUADRILLA - RUTINA</v>
          </cell>
          <cell r="D1112" t="str">
            <v>UN</v>
          </cell>
          <cell r="E1112">
            <v>44.3887</v>
          </cell>
          <cell r="F1112">
            <v>9.6</v>
          </cell>
          <cell r="G1112">
            <v>11.7536</v>
          </cell>
          <cell r="H1112">
            <v>2.7268352</v>
          </cell>
          <cell r="I1112">
            <v>14.480435200000001</v>
          </cell>
        </row>
        <row r="1113">
          <cell r="B1113" t="str">
            <v>*099115</v>
          </cell>
          <cell r="C1113" t="str">
            <v>TRASLADO DE MEDIDOR MONOF. SIN SEGURO - CON MISMA CUADRILLA - RUTINA</v>
          </cell>
          <cell r="D1113" t="str">
            <v>UN</v>
          </cell>
          <cell r="E1113">
            <v>29.372199999999999</v>
          </cell>
          <cell r="F1113">
            <v>9.6</v>
          </cell>
          <cell r="G1113">
            <v>17.740500000000001</v>
          </cell>
          <cell r="H1113">
            <v>4.1157959999999996</v>
          </cell>
          <cell r="I1113">
            <v>21.856296</v>
          </cell>
        </row>
        <row r="1114">
          <cell r="B1114" t="str">
            <v>*099198</v>
          </cell>
          <cell r="C1114" t="str">
            <v>RETIRO DE CERRADURA/CANDADO EN PUERTA DE SUBESTACIÓN CONVENCIONAL</v>
          </cell>
          <cell r="D1114" t="str">
            <v>UN</v>
          </cell>
          <cell r="E1114">
            <v>4.4381000000000004</v>
          </cell>
          <cell r="F1114">
            <v>9.6</v>
          </cell>
          <cell r="G1114">
            <v>208.63730000000001</v>
          </cell>
          <cell r="H1114">
            <v>48.403853599999998</v>
          </cell>
          <cell r="I1114">
            <v>257.04115360000003</v>
          </cell>
        </row>
        <row r="1115">
          <cell r="B1115" t="str">
            <v>*099199</v>
          </cell>
          <cell r="C1115" t="str">
            <v>INSPECCIÓN DE SED COMPACTA TIPO PEDESTAL SUBTERRANEA</v>
          </cell>
          <cell r="D1115" t="str">
            <v>UN</v>
          </cell>
          <cell r="E1115">
            <v>10</v>
          </cell>
          <cell r="F1115">
            <v>9.6</v>
          </cell>
          <cell r="G1115">
            <v>66.118099999999998</v>
          </cell>
          <cell r="H1115">
            <v>15.339399199999999</v>
          </cell>
          <cell r="I1115">
            <v>81.457499200000001</v>
          </cell>
        </row>
        <row r="1116">
          <cell r="B1116" t="str">
            <v>*099200</v>
          </cell>
          <cell r="C1116" t="str">
            <v>INSPECCIÓN DE SED COMPACTA TIPO PEDESTAL A NIVEL</v>
          </cell>
          <cell r="D1116" t="str">
            <v>UN</v>
          </cell>
          <cell r="E1116">
            <v>11</v>
          </cell>
          <cell r="F1116">
            <v>9.6</v>
          </cell>
          <cell r="G1116">
            <v>48.459500000000006</v>
          </cell>
          <cell r="H1116">
            <v>11.242604</v>
          </cell>
          <cell r="I1116">
            <v>59.702104000000006</v>
          </cell>
        </row>
        <row r="1117">
          <cell r="B1117" t="str">
            <v>*099201</v>
          </cell>
          <cell r="C1117" t="str">
            <v>INSPECCION VISUAL DE SUBESTACIONES CONVENCIONALES A NIVEL</v>
          </cell>
          <cell r="D1117" t="str">
            <v>UN</v>
          </cell>
          <cell r="E1117">
            <v>3.7970000000000002</v>
          </cell>
          <cell r="F1117">
            <v>9.6</v>
          </cell>
          <cell r="G1117">
            <v>163.3836</v>
          </cell>
          <cell r="H1117">
            <v>37.904995199999995</v>
          </cell>
          <cell r="I1117">
            <v>201.2885952</v>
          </cell>
        </row>
        <row r="1118">
          <cell r="B1118" t="str">
            <v>*099202</v>
          </cell>
          <cell r="C1118" t="str">
            <v>INSPECCIÓN VISUAL DE SUBESTACIONES CONVENCIONALES SUBTERRÁNEA.</v>
          </cell>
          <cell r="D1118" t="str">
            <v>UN</v>
          </cell>
          <cell r="E1118">
            <v>3.7970000000000002</v>
          </cell>
          <cell r="F1118">
            <v>9.6</v>
          </cell>
          <cell r="G1118">
            <v>197.1277</v>
          </cell>
          <cell r="H1118">
            <v>45.733626399999999</v>
          </cell>
          <cell r="I1118">
            <v>242.8613264</v>
          </cell>
        </row>
        <row r="1119">
          <cell r="B1119" t="str">
            <v>*099203</v>
          </cell>
          <cell r="C1119" t="str">
            <v>LIMPIEZA DE SUBESTACIONES CONVENCIONALES A NIVEL (RETIRO, RECINTO Y REJILLAS DE VENTILACIÓN)</v>
          </cell>
          <cell r="D1119" t="str">
            <v>UN</v>
          </cell>
          <cell r="E1119">
            <v>4.8818999999999999</v>
          </cell>
          <cell r="F1119">
            <v>9.6</v>
          </cell>
          <cell r="G1119">
            <v>177.19130000000001</v>
          </cell>
          <cell r="H1119">
            <v>41.108381600000001</v>
          </cell>
          <cell r="I1119">
            <v>218.29968160000001</v>
          </cell>
        </row>
        <row r="1120">
          <cell r="B1120" t="str">
            <v>*099204</v>
          </cell>
          <cell r="C1120" t="str">
            <v>LIMPIEZA DE SUBESTACIONES CONVENCIONALES SUBTERRÁNEAS (ZONA DE ACCESO Y RECINTO)</v>
          </cell>
          <cell r="D1120" t="str">
            <v>UN</v>
          </cell>
          <cell r="E1120">
            <v>4.8818999999999999</v>
          </cell>
          <cell r="F1120">
            <v>9.6</v>
          </cell>
          <cell r="G1120">
            <v>214.45269999999999</v>
          </cell>
          <cell r="H1120">
            <v>49.753026399999996</v>
          </cell>
          <cell r="I1120">
            <v>264.2057264</v>
          </cell>
        </row>
        <row r="1121">
          <cell r="B1121" t="str">
            <v>*099205</v>
          </cell>
          <cell r="C1121" t="str">
            <v>CAMBIO/MANTENIMIENTO DE SERVICIOS AUXILIARES (CARGADOR Y/O BATERÍAS).</v>
          </cell>
          <cell r="D1121" t="str">
            <v>UN</v>
          </cell>
          <cell r="E1121">
            <v>4.8818999999999999</v>
          </cell>
          <cell r="F1121">
            <v>9.6</v>
          </cell>
          <cell r="G1121">
            <v>159.46729999999999</v>
          </cell>
          <cell r="H1121">
            <v>36.996413599999997</v>
          </cell>
          <cell r="I1121">
            <v>196.46371360000001</v>
          </cell>
        </row>
        <row r="1122">
          <cell r="B1122" t="str">
            <v>*099206</v>
          </cell>
          <cell r="C1122" t="str">
            <v>ADECUACIÓN DE PUERTAS EN CELDA DE MEDIA TENSIÓN</v>
          </cell>
          <cell r="D1122" t="str">
            <v>UN</v>
          </cell>
          <cell r="E1122">
            <v>2.2782</v>
          </cell>
          <cell r="F1122">
            <v>9.6</v>
          </cell>
          <cell r="G1122">
            <v>406.44080000000002</v>
          </cell>
          <cell r="H1122">
            <v>94.294265600000003</v>
          </cell>
          <cell r="I1122">
            <v>500.73506560000004</v>
          </cell>
        </row>
        <row r="1123">
          <cell r="B1123" t="str">
            <v>*099207</v>
          </cell>
          <cell r="C1123" t="str">
            <v>LIMPIEZA DE TECHO DE SE CONVENCIONALES</v>
          </cell>
          <cell r="D1123" t="str">
            <v>UN</v>
          </cell>
          <cell r="E1123">
            <v>2.2782</v>
          </cell>
          <cell r="F1123">
            <v>9.6</v>
          </cell>
          <cell r="G1123">
            <v>349.60480000000001</v>
          </cell>
          <cell r="H1123">
            <v>81.108313600000002</v>
          </cell>
          <cell r="I1123">
            <v>430.71311360000004</v>
          </cell>
        </row>
        <row r="1124">
          <cell r="B1124" t="str">
            <v>*099208</v>
          </cell>
          <cell r="C1124" t="str">
            <v>INSTALACIÓN/CAMBIO CAMBIO DE EXTRACTOR DE AIRE EN SUBESTACIÓN CONVENCIONAL.</v>
          </cell>
          <cell r="D1124" t="str">
            <v>UN</v>
          </cell>
          <cell r="E1124">
            <v>1.7986</v>
          </cell>
          <cell r="F1124">
            <v>9.6</v>
          </cell>
          <cell r="G1124">
            <v>515.40189999999996</v>
          </cell>
          <cell r="H1124">
            <v>119.57324079999998</v>
          </cell>
          <cell r="I1124">
            <v>634.97514079999996</v>
          </cell>
        </row>
        <row r="1125">
          <cell r="B1125" t="str">
            <v>*099209</v>
          </cell>
          <cell r="C1125" t="str">
            <v>MANTENIMIENTO DE EXTRACTOR DE AIRE.</v>
          </cell>
          <cell r="D1125" t="str">
            <v>UN</v>
          </cell>
          <cell r="E1125">
            <v>3.1067</v>
          </cell>
          <cell r="F1125">
            <v>9.6</v>
          </cell>
          <cell r="G1125">
            <v>261.07389999999998</v>
          </cell>
          <cell r="H1125">
            <v>60.569144799999989</v>
          </cell>
          <cell r="I1125">
            <v>321.64304479999998</v>
          </cell>
        </row>
        <row r="1126">
          <cell r="B1126" t="str">
            <v>*099210</v>
          </cell>
          <cell r="C1126" t="str">
            <v>PICADO DE PARED PARA INSTALACIÓN DE EXTRACTOR DE AIRE EN SUBESTACIÓN CONVENCIONAL.</v>
          </cell>
          <cell r="D1126" t="str">
            <v>UN</v>
          </cell>
          <cell r="E1126">
            <v>1.2657</v>
          </cell>
          <cell r="F1126">
            <v>9.6</v>
          </cell>
          <cell r="G1126">
            <v>745.24350000000004</v>
          </cell>
          <cell r="H1126">
            <v>172.89649199999999</v>
          </cell>
          <cell r="I1126">
            <v>918.13999200000001</v>
          </cell>
        </row>
        <row r="1127">
          <cell r="B1127" t="str">
            <v>*099211</v>
          </cell>
          <cell r="C1127" t="str">
            <v>CAMBIO DE REJILLA DE VENTILACIÓN (NO INCLUYE FABRICACIÓN DE REJILLA)</v>
          </cell>
          <cell r="D1127" t="str">
            <v>UN</v>
          </cell>
          <cell r="E1127">
            <v>1.7986</v>
          </cell>
          <cell r="F1127">
            <v>9.6</v>
          </cell>
          <cell r="G1127">
            <v>514.81899999999996</v>
          </cell>
          <cell r="H1127">
            <v>119.43800799999998</v>
          </cell>
          <cell r="I1127">
            <v>634.25700799999993</v>
          </cell>
        </row>
        <row r="1128">
          <cell r="B1128" t="str">
            <v>*099212</v>
          </cell>
          <cell r="C1128" t="str">
            <v>REPARACIÓN DE REJILLAS DE VENTILACIÓN</v>
          </cell>
          <cell r="D1128" t="str">
            <v>UN</v>
          </cell>
          <cell r="E1128">
            <v>2.2782</v>
          </cell>
          <cell r="F1128">
            <v>9.6</v>
          </cell>
          <cell r="G1128">
            <v>406.44080000000002</v>
          </cell>
          <cell r="H1128">
            <v>94.294265600000003</v>
          </cell>
          <cell r="I1128">
            <v>500.73506560000004</v>
          </cell>
        </row>
        <row r="1129">
          <cell r="B1129" t="str">
            <v>*099213</v>
          </cell>
          <cell r="C1129" t="str">
            <v>CAMBIO/MANTENIMIENTO DE LÁMPARAS DE ALUMBRADO EN SUBESTACIÓN</v>
          </cell>
          <cell r="D1129" t="str">
            <v>UN</v>
          </cell>
          <cell r="E1129">
            <v>3.1067</v>
          </cell>
          <cell r="F1129">
            <v>9.6</v>
          </cell>
          <cell r="G1129">
            <v>261.07389999999998</v>
          </cell>
          <cell r="H1129">
            <v>60.569144799999989</v>
          </cell>
          <cell r="I1129">
            <v>321.64304479999998</v>
          </cell>
        </row>
        <row r="1130">
          <cell r="B1130" t="str">
            <v>*099214</v>
          </cell>
          <cell r="C1130" t="str">
            <v>PINTADO DE FACHADA DE SED</v>
          </cell>
          <cell r="D1130" t="str">
            <v>UN</v>
          </cell>
          <cell r="E1130">
            <v>1.2657</v>
          </cell>
          <cell r="F1130">
            <v>9.6</v>
          </cell>
          <cell r="G1130">
            <v>640.81389999999999</v>
          </cell>
          <cell r="H1130">
            <v>148.66882479999998</v>
          </cell>
          <cell r="I1130">
            <v>789.48272479999991</v>
          </cell>
        </row>
        <row r="1131">
          <cell r="B1131" t="str">
            <v>*099215</v>
          </cell>
          <cell r="C1131" t="str">
            <v>INSTALACIÓN DE TAPA DE BUZÓN EN SED CONVENCIONAL</v>
          </cell>
          <cell r="D1131" t="str">
            <v>UN</v>
          </cell>
          <cell r="E1131">
            <v>3.1067</v>
          </cell>
          <cell r="F1131">
            <v>9.6</v>
          </cell>
          <cell r="G1131">
            <v>261.3152</v>
          </cell>
          <cell r="H1131">
            <v>60.625126399999999</v>
          </cell>
          <cell r="I1131">
            <v>321.9403264</v>
          </cell>
        </row>
        <row r="1132">
          <cell r="B1132" t="str">
            <v>*099216</v>
          </cell>
          <cell r="C1132" t="str">
            <v>RESANE DE COLUMNA O ZÓCALO DE SED CONVENCIONAL</v>
          </cell>
          <cell r="D1132" t="str">
            <v>UN</v>
          </cell>
          <cell r="E1132">
            <v>2.2782</v>
          </cell>
          <cell r="F1132">
            <v>9.6</v>
          </cell>
          <cell r="G1132">
            <v>356.017</v>
          </cell>
          <cell r="H1132">
            <v>82.595943999999989</v>
          </cell>
          <cell r="I1132">
            <v>438.61294399999997</v>
          </cell>
        </row>
        <row r="1133">
          <cell r="B1133" t="str">
            <v>*099217</v>
          </cell>
          <cell r="C1133" t="str">
            <v>PINTADO DE REJAS (CERCO) DE SUBESTACIÓN CONVENCIONAL</v>
          </cell>
          <cell r="D1133" t="str">
            <v>UN</v>
          </cell>
          <cell r="E1133">
            <v>1.2657</v>
          </cell>
          <cell r="F1133">
            <v>9.6</v>
          </cell>
          <cell r="G1133">
            <v>821.12429999999995</v>
          </cell>
          <cell r="H1133">
            <v>190.50083759999998</v>
          </cell>
          <cell r="I1133">
            <v>1011.6251375999999</v>
          </cell>
        </row>
        <row r="1134">
          <cell r="B1134" t="str">
            <v>*099218</v>
          </cell>
          <cell r="C1134" t="str">
            <v>INSTALACIÓN DE CERRADURA/CANDADO EN PUERTA DE SUBESTACIÓN CONVENCIONAL</v>
          </cell>
          <cell r="D1134" t="str">
            <v>UN</v>
          </cell>
          <cell r="E1134">
            <v>3.1067</v>
          </cell>
          <cell r="F1134">
            <v>9.6</v>
          </cell>
          <cell r="G1134">
            <v>298.05059999999997</v>
          </cell>
          <cell r="H1134">
            <v>69.14773919999999</v>
          </cell>
          <cell r="I1134">
            <v>367.19833919999996</v>
          </cell>
        </row>
        <row r="1135">
          <cell r="B1135" t="str">
            <v>*099219</v>
          </cell>
          <cell r="C1135" t="str">
            <v>CAMBIO/INSTALACIÓN DE TECHOS DE CALAMINA EN SUBESTACIÓN CONVENCIONAL</v>
          </cell>
          <cell r="D1135" t="str">
            <v>UN</v>
          </cell>
          <cell r="E1135">
            <v>1.2657</v>
          </cell>
          <cell r="F1135">
            <v>9.6</v>
          </cell>
          <cell r="G1135">
            <v>730.9819</v>
          </cell>
          <cell r="H1135">
            <v>169.5878008</v>
          </cell>
          <cell r="I1135">
            <v>900.56970079999996</v>
          </cell>
        </row>
        <row r="1136">
          <cell r="B1136" t="str">
            <v>*099220</v>
          </cell>
          <cell r="C1136" t="str">
            <v>INSTALACIÓN DE TUBERÍA PARA CABLEADO DE CABLES DE CONTROL EN CELDAS MT</v>
          </cell>
          <cell r="D1136" t="str">
            <v>UN</v>
          </cell>
          <cell r="E1136">
            <v>1.7986</v>
          </cell>
          <cell r="F1136">
            <v>9.6</v>
          </cell>
          <cell r="G1136">
            <v>450.94960000000003</v>
          </cell>
          <cell r="H1136">
            <v>104.6203072</v>
          </cell>
          <cell r="I1136">
            <v>555.56990719999999</v>
          </cell>
        </row>
        <row r="1137">
          <cell r="B1137" t="str">
            <v>*099221</v>
          </cell>
          <cell r="C1137" t="str">
            <v>INSTALACIÓN DE TUBERIAS DE DRENAJE EN TECHOS DE SUBESTACION CONVENCIONAL</v>
          </cell>
          <cell r="D1137" t="str">
            <v>UN</v>
          </cell>
          <cell r="E1137">
            <v>2.2782</v>
          </cell>
          <cell r="F1137">
            <v>9.6</v>
          </cell>
          <cell r="G1137">
            <v>403.38070000000005</v>
          </cell>
          <cell r="H1137">
            <v>93.584322400000005</v>
          </cell>
          <cell r="I1137">
            <v>496.96502240000007</v>
          </cell>
        </row>
        <row r="1138">
          <cell r="B1138" t="str">
            <v>*099222</v>
          </cell>
          <cell r="C1138" t="str">
            <v>REPARACIÓN DE PUERTAS EN SEDS CONVENCIONAL</v>
          </cell>
          <cell r="D1138" t="str">
            <v>UN</v>
          </cell>
          <cell r="E1138">
            <v>2.2782</v>
          </cell>
          <cell r="F1138">
            <v>9.6</v>
          </cell>
          <cell r="G1138">
            <v>487.3365</v>
          </cell>
          <cell r="H1138">
            <v>113.062068</v>
          </cell>
          <cell r="I1138">
            <v>600.39856799999995</v>
          </cell>
        </row>
        <row r="1139">
          <cell r="B1139" t="str">
            <v>*099223</v>
          </cell>
          <cell r="C1139" t="str">
            <v>REPARACIÓN DE CLARABOYA DE SUBESTACIÓN CONVENCIONAL</v>
          </cell>
          <cell r="D1139" t="str">
            <v>UN</v>
          </cell>
          <cell r="E1139">
            <v>1.4858</v>
          </cell>
          <cell r="F1139">
            <v>9.6</v>
          </cell>
          <cell r="G1139">
            <v>784.4081000000001</v>
          </cell>
          <cell r="H1139">
            <v>181.98267920000001</v>
          </cell>
          <cell r="I1139">
            <v>966.39077920000011</v>
          </cell>
        </row>
        <row r="1140">
          <cell r="B1140" t="str">
            <v>*099224</v>
          </cell>
          <cell r="C1140" t="str">
            <v>TAPADO DE CLARABOYA DE SUBESTACIÓN CONVENCIONAL</v>
          </cell>
          <cell r="D1140" t="str">
            <v>UN</v>
          </cell>
          <cell r="E1140">
            <v>3.1067</v>
          </cell>
          <cell r="F1140">
            <v>9.6</v>
          </cell>
          <cell r="G1140">
            <v>375.14849999999996</v>
          </cell>
          <cell r="H1140">
            <v>87.034451999999987</v>
          </cell>
          <cell r="I1140">
            <v>462.18295199999994</v>
          </cell>
        </row>
        <row r="1141">
          <cell r="B1141" t="str">
            <v>*099225</v>
          </cell>
          <cell r="C1141" t="str">
            <v>INSTALACIÓN DE PLANCHAS METÁLICAS EN REJAS DE RETIRO</v>
          </cell>
          <cell r="D1141" t="str">
            <v>UN</v>
          </cell>
          <cell r="E1141">
            <v>1.7986</v>
          </cell>
          <cell r="F1141">
            <v>9.6</v>
          </cell>
          <cell r="G1141">
            <v>594.90340000000003</v>
          </cell>
          <cell r="H1141">
            <v>138.0175888</v>
          </cell>
          <cell r="I1141">
            <v>732.92098880000003</v>
          </cell>
        </row>
        <row r="1142">
          <cell r="B1142" t="str">
            <v>*099226</v>
          </cell>
          <cell r="C1142" t="str">
            <v>ROTULADO DE CELDA MT</v>
          </cell>
          <cell r="D1142" t="str">
            <v>UN</v>
          </cell>
          <cell r="E1142">
            <v>5.6955999999999998</v>
          </cell>
          <cell r="F1142">
            <v>9.6</v>
          </cell>
          <cell r="G1142">
            <v>142.40430000000001</v>
          </cell>
          <cell r="H1142">
            <v>33.037797599999998</v>
          </cell>
          <cell r="I1142">
            <v>175.44209760000001</v>
          </cell>
        </row>
        <row r="1143">
          <cell r="B1143" t="str">
            <v>*099227</v>
          </cell>
          <cell r="C1143" t="str">
            <v>REPARACIÓN DE CHAPAS DE PUERTA DE SUBESTACIÓN CONVENCIONAL</v>
          </cell>
          <cell r="D1143" t="str">
            <v>UN</v>
          </cell>
          <cell r="E1143">
            <v>3.1067</v>
          </cell>
          <cell r="F1143">
            <v>9.6</v>
          </cell>
          <cell r="G1143">
            <v>336.59949999999998</v>
          </cell>
          <cell r="H1143">
            <v>78.091083999999995</v>
          </cell>
          <cell r="I1143">
            <v>414.69058399999994</v>
          </cell>
        </row>
        <row r="1144">
          <cell r="B1144" t="str">
            <v>*099228</v>
          </cell>
          <cell r="C1144" t="str">
            <v>TRASLADO DE GABINETE DE PROTECCIÓN DE BASE A SUBESTACIÓN CONVENCIONAL</v>
          </cell>
          <cell r="D1144" t="str">
            <v>UN</v>
          </cell>
          <cell r="E1144">
            <v>3.1067</v>
          </cell>
          <cell r="F1144">
            <v>9.6</v>
          </cell>
          <cell r="G1144">
            <v>524.7826</v>
          </cell>
          <cell r="H1144">
            <v>121.7495632</v>
          </cell>
          <cell r="I1144">
            <v>646.53216320000001</v>
          </cell>
        </row>
        <row r="1145">
          <cell r="B1145" t="str">
            <v>*099229</v>
          </cell>
          <cell r="C1145" t="str">
            <v>IMPLEMENTACIÓN DE PUNTO CON TOMACORRIENTE INDUSTRIAL EN SUBESTACIÓN CONVENCIONAL</v>
          </cell>
          <cell r="D1145" t="str">
            <v>UN</v>
          </cell>
          <cell r="E1145">
            <v>3.1067</v>
          </cell>
          <cell r="F1145">
            <v>9.6</v>
          </cell>
          <cell r="G1145">
            <v>303.61950000000002</v>
          </cell>
          <cell r="H1145">
            <v>70.439723999999998</v>
          </cell>
          <cell r="I1145">
            <v>374.05922400000003</v>
          </cell>
        </row>
        <row r="1146">
          <cell r="B1146" t="str">
            <v>*099230</v>
          </cell>
          <cell r="C1146" t="str">
            <v>INSTALACIÓN DE REJAS EN RETIRO DE SUBESTACIÓN CONVENCIONAL</v>
          </cell>
          <cell r="D1146" t="str">
            <v>UN</v>
          </cell>
          <cell r="E1146">
            <v>1.2657</v>
          </cell>
          <cell r="F1146">
            <v>9.6</v>
          </cell>
          <cell r="G1146">
            <v>731.57429999999999</v>
          </cell>
          <cell r="H1146">
            <v>169.72523759999999</v>
          </cell>
          <cell r="I1146">
            <v>901.29953760000001</v>
          </cell>
        </row>
        <row r="1147">
          <cell r="B1147" t="str">
            <v>*099231</v>
          </cell>
          <cell r="C1147" t="str">
            <v>INSTALACIÓN DE PUERTA SUPERIOR EN CELDA DE MEDIA TENSIÓN EN SUBESTACIÓN CONVENCIONAL</v>
          </cell>
          <cell r="D1147" t="str">
            <v>UN</v>
          </cell>
          <cell r="E1147">
            <v>3.7970000000000002</v>
          </cell>
          <cell r="F1147">
            <v>9.6</v>
          </cell>
          <cell r="G1147">
            <v>243.8646</v>
          </cell>
          <cell r="H1147">
            <v>56.576587199999992</v>
          </cell>
          <cell r="I1147">
            <v>300.4411872</v>
          </cell>
        </row>
        <row r="1148">
          <cell r="B1148" t="str">
            <v>*099232</v>
          </cell>
          <cell r="C1148" t="str">
            <v>INSTALACIÓN DE BLOQUEO MECÁNICO EN INTERRPTORES DE VACÍO ABB VD4</v>
          </cell>
          <cell r="D1148" t="str">
            <v>UN</v>
          </cell>
          <cell r="E1148">
            <v>6.8346999999999998</v>
          </cell>
          <cell r="F1148">
            <v>9.6</v>
          </cell>
          <cell r="G1148">
            <v>138.18340000000001</v>
          </cell>
          <cell r="H1148">
            <v>32.058548799999997</v>
          </cell>
          <cell r="I1148">
            <v>170.24194879999999</v>
          </cell>
        </row>
        <row r="1149">
          <cell r="B1149" t="str">
            <v>*099233</v>
          </cell>
          <cell r="C1149" t="str">
            <v>CALADO DE TAPAS DE RELES SIEMENS</v>
          </cell>
          <cell r="D1149" t="str">
            <v>UN</v>
          </cell>
          <cell r="E1149">
            <v>4.8818999999999999</v>
          </cell>
          <cell r="F1149">
            <v>9.6</v>
          </cell>
          <cell r="G1149">
            <v>188.279</v>
          </cell>
          <cell r="H1149">
            <v>43.680727999999995</v>
          </cell>
          <cell r="I1149">
            <v>231.95972799999998</v>
          </cell>
        </row>
        <row r="1150">
          <cell r="B1150" t="str">
            <v>*099234</v>
          </cell>
          <cell r="C1150" t="str">
            <v>CALADO DE PORTALDABAS EN INTERRUPTORES DE VACÍO ABB VD4</v>
          </cell>
          <cell r="D1150" t="str">
            <v>UN</v>
          </cell>
          <cell r="E1150">
            <v>6.8346999999999998</v>
          </cell>
          <cell r="F1150">
            <v>9.6</v>
          </cell>
          <cell r="G1150">
            <v>138.2379</v>
          </cell>
          <cell r="H1150">
            <v>32.071192799999999</v>
          </cell>
          <cell r="I1150">
            <v>170.3090928</v>
          </cell>
        </row>
        <row r="1151">
          <cell r="B1151" t="str">
            <v>*099235</v>
          </cell>
          <cell r="C1151" t="str">
            <v>ADECUACION DE TAPAS DE BUZON BT EN SED CONVENCIONAL</v>
          </cell>
          <cell r="D1151" t="str">
            <v>UN</v>
          </cell>
          <cell r="E1151">
            <v>3.1067</v>
          </cell>
          <cell r="F1151">
            <v>9.6</v>
          </cell>
          <cell r="G1151">
            <v>298.05059999999997</v>
          </cell>
          <cell r="H1151">
            <v>69.14773919999999</v>
          </cell>
          <cell r="I1151">
            <v>367.19833919999996</v>
          </cell>
        </row>
        <row r="1152">
          <cell r="B1152" t="str">
            <v>*099236</v>
          </cell>
          <cell r="C1152" t="str">
            <v>INSTALACIÓN Y/O RETIRO DE VENTILADORES</v>
          </cell>
          <cell r="D1152" t="str">
            <v>UN</v>
          </cell>
          <cell r="E1152">
            <v>3.1067</v>
          </cell>
          <cell r="F1152">
            <v>9.6</v>
          </cell>
          <cell r="G1152">
            <v>298.05059999999997</v>
          </cell>
          <cell r="H1152">
            <v>69.14773919999999</v>
          </cell>
          <cell r="I1152">
            <v>367.19833919999996</v>
          </cell>
        </row>
        <row r="1153">
          <cell r="B1153" t="str">
            <v>*099237</v>
          </cell>
          <cell r="C1153" t="str">
            <v>RETIRO DE PUERTA SUPERIOR EN CELDA DE MEDIA TENSIÓN EN SUBESTACIÓN CONVENCIONAL</v>
          </cell>
          <cell r="D1153" t="str">
            <v>UN</v>
          </cell>
          <cell r="E1153">
            <v>5.4242999999999997</v>
          </cell>
          <cell r="F1153">
            <v>9.6</v>
          </cell>
          <cell r="G1153">
            <v>170.7047</v>
          </cell>
          <cell r="H1153">
            <v>39.603490399999998</v>
          </cell>
          <cell r="I1153">
            <v>210.3081904</v>
          </cell>
        </row>
        <row r="1154">
          <cell r="B1154" t="str">
            <v>*099238</v>
          </cell>
          <cell r="C1154" t="str">
            <v>RETIRO DE REJAS EN RETIRO DE SUBESTACIÓN CONVENCIONAL</v>
          </cell>
          <cell r="D1154" t="str">
            <v>UN</v>
          </cell>
          <cell r="E1154">
            <v>1.8081</v>
          </cell>
          <cell r="F1154">
            <v>9.6</v>
          </cell>
          <cell r="G1154">
            <v>512.11410000000001</v>
          </cell>
          <cell r="H1154">
            <v>118.81047119999999</v>
          </cell>
          <cell r="I1154">
            <v>630.92457119999995</v>
          </cell>
        </row>
        <row r="1155">
          <cell r="B1155" t="str">
            <v>*990004</v>
          </cell>
          <cell r="C1155" t="str">
            <v>Eliminación de escombros temporal y final</v>
          </cell>
          <cell r="D1155" t="str">
            <v>M3</v>
          </cell>
          <cell r="E1155">
            <v>13.824</v>
          </cell>
          <cell r="F1155">
            <v>9.6</v>
          </cell>
          <cell r="G1155">
            <v>66.90209999999999</v>
          </cell>
          <cell r="H1155">
            <v>15.521287199999996</v>
          </cell>
          <cell r="I1155">
            <v>82.423387199999979</v>
          </cell>
        </row>
        <row r="1156">
          <cell r="B1156" t="str">
            <v>*990005</v>
          </cell>
          <cell r="C1156" t="str">
            <v>Eliminación final de escombros</v>
          </cell>
          <cell r="D1156" t="str">
            <v>M3</v>
          </cell>
          <cell r="E1156">
            <v>21.725000000000001</v>
          </cell>
          <cell r="F1156">
            <v>9.6</v>
          </cell>
          <cell r="G1156">
            <v>38.483800000000002</v>
          </cell>
          <cell r="H1156">
            <v>8.9282415999999998</v>
          </cell>
          <cell r="I1156">
            <v>47.412041600000002</v>
          </cell>
        </row>
        <row r="1158">
          <cell r="B1158" t="str">
            <v>*090113</v>
          </cell>
          <cell r="C1158" t="str">
            <v>RETIRO CONDUCTOR CU O AL DESNUDO/FORRADO MAYOR DE 35 HASTA 70 mm2</v>
          </cell>
          <cell r="D1158" t="str">
            <v>M</v>
          </cell>
          <cell r="I1158">
            <v>0</v>
          </cell>
        </row>
        <row r="1159">
          <cell r="B1159" t="str">
            <v>*090123</v>
          </cell>
          <cell r="C1159" t="str">
            <v>RETIRO CONDUCTOR CU O AL  DESNUDO/FORRADO MAYOR DE 70 HASTA 120 mm2</v>
          </cell>
          <cell r="D1159" t="str">
            <v>M</v>
          </cell>
          <cell r="I1159">
            <v>0</v>
          </cell>
        </row>
        <row r="1160">
          <cell r="B1160" t="str">
            <v>*090102</v>
          </cell>
          <cell r="C1160" t="str">
            <v>RETIRO CONDUCTOR CU O AL DESNUDO/FORRADO MAYOR DE 25 HASTA 35 mm2</v>
          </cell>
          <cell r="D1160" t="str">
            <v>M</v>
          </cell>
          <cell r="I1160">
            <v>0</v>
          </cell>
        </row>
        <row r="1161">
          <cell r="B1161" t="str">
            <v>*090139</v>
          </cell>
          <cell r="C1161" t="str">
            <v>RETIRO CABLE AUTOSOPORTADO DE BT CU O AL MAYOR DE 10 HASTA 25 mm2</v>
          </cell>
          <cell r="D1161" t="str">
            <v>M</v>
          </cell>
          <cell r="I1161">
            <v>0</v>
          </cell>
        </row>
        <row r="1162">
          <cell r="B1162" t="str">
            <v>*090082</v>
          </cell>
          <cell r="C1162" t="str">
            <v>RETIRO CONDUCTOR CU O AL DESNUDO/FORRADO HASTA 25 mm2</v>
          </cell>
          <cell r="D1162" t="str">
            <v>M</v>
          </cell>
          <cell r="I1162">
            <v>0</v>
          </cell>
        </row>
        <row r="1163">
          <cell r="B1163" t="str">
            <v>*090133</v>
          </cell>
          <cell r="C1163" t="str">
            <v>RETIRO CONDUCTOR CU O AL  DESNUDO/FORRADO MAYOR DE 120 HASTA 240 mm2</v>
          </cell>
          <cell r="D1163" t="str">
            <v>M</v>
          </cell>
          <cell r="I1163">
            <v>0</v>
          </cell>
        </row>
        <row r="1164">
          <cell r="B1164" t="str">
            <v>*090138</v>
          </cell>
          <cell r="C1164" t="str">
            <v>RETIRO CABLE AUTOSOPORTADO DE BT CU O AL MAYOR DE 25 HASTA 50 mm2</v>
          </cell>
          <cell r="D1164" t="str">
            <v>M</v>
          </cell>
          <cell r="I1164">
            <v>0</v>
          </cell>
        </row>
        <row r="1165">
          <cell r="B1165" t="str">
            <v>*093161</v>
          </cell>
          <cell r="C1165" t="str">
            <v>RETIRO ALAMBRADO DE CAJA MONOFÁSICA  O TRIFÁSICA (MANTENIMIENTO)</v>
          </cell>
          <cell r="D1165" t="str">
            <v>UN</v>
          </cell>
          <cell r="I1165">
            <v>0</v>
          </cell>
        </row>
        <row r="1166">
          <cell r="B1166" t="str">
            <v>*090031</v>
          </cell>
          <cell r="C1166" t="str">
            <v>RETIRO CADENA 1 AISLADOR SUSPENSION MT</v>
          </cell>
          <cell r="D1166" t="str">
            <v>UN</v>
          </cell>
          <cell r="I1166">
            <v>0</v>
          </cell>
        </row>
        <row r="1167">
          <cell r="B1167" t="str">
            <v>*090137</v>
          </cell>
          <cell r="C1167" t="str">
            <v>RETIRO CABLE AUTOSOPORTADO DE BT CU O AL MAYOR DE 50 HASTA 120 mm2</v>
          </cell>
          <cell r="I1167">
            <v>0</v>
          </cell>
        </row>
        <row r="1168">
          <cell r="B1168" t="str">
            <v>*090011</v>
          </cell>
          <cell r="C1168" t="str">
            <v>RETIRO AISLADOR PIN MT EN CRUCETA</v>
          </cell>
          <cell r="I1168">
            <v>0</v>
          </cell>
        </row>
        <row r="1169">
          <cell r="B1169" t="str">
            <v>*090395</v>
          </cell>
          <cell r="C1169" t="str">
            <v>RETIRO PUNTO DE FIJACION  CABLE AUTOSOPORTADO</v>
          </cell>
          <cell r="I1169">
            <v>0</v>
          </cell>
        </row>
        <row r="1170">
          <cell r="B1170" t="str">
            <v>*091411</v>
          </cell>
          <cell r="C1170" t="str">
            <v>RETIRO CABLE NYY BT HASTA 3-1x16mm2</v>
          </cell>
          <cell r="I1170">
            <v>0</v>
          </cell>
        </row>
        <row r="1171">
          <cell r="B1171" t="str">
            <v>*091509</v>
          </cell>
          <cell r="C1171" t="str">
            <v>RETIRO CABLE SECO MT DE 1X25MM2 HASTA 1X35 MM2</v>
          </cell>
          <cell r="I1171">
            <v>0</v>
          </cell>
        </row>
        <row r="1172">
          <cell r="B1172" t="str">
            <v>*091515</v>
          </cell>
          <cell r="C1172" t="str">
            <v>RETIRO CABLE SECO MT DE 1x120mm2 HASTA 1x400mm2</v>
          </cell>
          <cell r="I1172">
            <v>0</v>
          </cell>
        </row>
        <row r="1173">
          <cell r="B1173" t="str">
            <v>*091441</v>
          </cell>
          <cell r="C1173" t="str">
            <v>RETIRO CABLE NYY BT MAYOR A 3-1x70mm2  HASTA 3-1x185mm2</v>
          </cell>
          <cell r="I1173">
            <v>0</v>
          </cell>
        </row>
        <row r="1174">
          <cell r="B1174" t="str">
            <v>*090061</v>
          </cell>
          <cell r="C1174" t="str">
            <v>RETIRO DIAGONAL PARA CRUCETA DE MADERA O FIERRO</v>
          </cell>
          <cell r="I1174">
            <v>0</v>
          </cell>
        </row>
        <row r="1175">
          <cell r="B1175" t="str">
            <v>*091379</v>
          </cell>
          <cell r="C1175" t="str">
            <v>RETIRO CABLE CONCENTRICO 6 mm2</v>
          </cell>
          <cell r="I1175">
            <v>0</v>
          </cell>
        </row>
        <row r="1176">
          <cell r="B1176" t="str">
            <v>*091084</v>
          </cell>
          <cell r="C1176" t="str">
            <v>RETIRO BASE FUSIBLE SECCIONADOR UNIPOLAR</v>
          </cell>
          <cell r="I1176">
            <v>0</v>
          </cell>
        </row>
        <row r="1177">
          <cell r="B1177" t="str">
            <v>*093246</v>
          </cell>
          <cell r="C1177" t="str">
            <v>RETIRO ACOMETIDA SUBTERRANEA SOLA SIN CAJA CONEXION</v>
          </cell>
          <cell r="I1177">
            <v>0</v>
          </cell>
        </row>
        <row r="1178">
          <cell r="B1178" t="str">
            <v>*090064</v>
          </cell>
          <cell r="C1178" t="str">
            <v>RETIRO ABRAZADERA PARA PERFIL DE ESTRUCTURA MT</v>
          </cell>
          <cell r="I1178">
            <v>0</v>
          </cell>
        </row>
        <row r="1179">
          <cell r="B1179" t="str">
            <v>*091419</v>
          </cell>
          <cell r="C1179" t="str">
            <v>RETIRO CABLE NYY BT MAYOR A 3-1x16 HASTA 3-1x70 mm2</v>
          </cell>
          <cell r="I1179">
            <v>0</v>
          </cell>
        </row>
        <row r="1180">
          <cell r="B1180" t="str">
            <v>*090319</v>
          </cell>
          <cell r="C1180" t="str">
            <v>RETIRO RETENIDA-TEMPLADOR AEREO MT Y BT</v>
          </cell>
          <cell r="I1180">
            <v>0</v>
          </cell>
        </row>
        <row r="1181">
          <cell r="B1181" t="str">
            <v>*090169</v>
          </cell>
          <cell r="C1181" t="str">
            <v>RETIRO MENSULA DE C.A HASTA 1.2 m</v>
          </cell>
          <cell r="I1181">
            <v>0</v>
          </cell>
        </row>
        <row r="1182">
          <cell r="B1182" t="str">
            <v>*093069</v>
          </cell>
          <cell r="C1182" t="str">
            <v>RETIRO ACOMETIDA AEREA Y ACCESORIOS</v>
          </cell>
          <cell r="I1182">
            <v>0</v>
          </cell>
        </row>
        <row r="1183">
          <cell r="B1183" t="str">
            <v>*090229</v>
          </cell>
          <cell r="C1183" t="str">
            <v>RETIRO POSTE C.A.C. DE 8.70 O 9.00 M</v>
          </cell>
          <cell r="I1183">
            <v>0</v>
          </cell>
        </row>
        <row r="1184">
          <cell r="B1184" t="str">
            <v>*090189</v>
          </cell>
          <cell r="C1184" t="str">
            <v>RETIRO DE CRUCETA O MENSULA SIMPLE DE MADERA O FIERRO</v>
          </cell>
          <cell r="I1184">
            <v>0</v>
          </cell>
        </row>
        <row r="1185">
          <cell r="B1185" t="str">
            <v>*091316</v>
          </cell>
          <cell r="C1185" t="str">
            <v>RETIRO DE LUMINARIA 125/250 HG  70/150/250/400 W NA. O FAROLA COMPLETA MASIVO</v>
          </cell>
          <cell r="I1185">
            <v>0</v>
          </cell>
        </row>
        <row r="1186">
          <cell r="B1186" t="str">
            <v>*093044</v>
          </cell>
          <cell r="C1186" t="str">
            <v>RETIRO CORONA 4 GANCHOS PARA ACOMETIDA DOMICILIARIA</v>
          </cell>
          <cell r="I1186">
            <v>0</v>
          </cell>
        </row>
        <row r="1187">
          <cell r="B1187" t="str">
            <v>*093241</v>
          </cell>
          <cell r="C1187" t="str">
            <v>RETIRO CAJA DE DISTRIBUC. ACOM. DOMIC. EN POSTE O PARED  (INCLUYE ALIMENTACION A CAJA)</v>
          </cell>
          <cell r="I1187">
            <v>0</v>
          </cell>
        </row>
        <row r="1188">
          <cell r="B1188" t="str">
            <v>*091511</v>
          </cell>
          <cell r="C1188" t="str">
            <v>RETIRO CABLE SECO MT DE 1x35mm2 HASTA 1x95mm2</v>
          </cell>
          <cell r="I1188">
            <v>0</v>
          </cell>
        </row>
        <row r="1189">
          <cell r="B1189" t="str">
            <v>*091449</v>
          </cell>
          <cell r="C1189" t="str">
            <v>RETIRO CABLE NYY BT MAYOR A 3-1x185mm2</v>
          </cell>
          <cell r="I1189">
            <v>0</v>
          </cell>
        </row>
        <row r="1190">
          <cell r="B1190" t="str">
            <v>*090909</v>
          </cell>
          <cell r="C1190" t="str">
            <v>RETIRO SECCIONADOR FUSIBLE O TERMOMAGNÉTICO BT TRIPOLAR</v>
          </cell>
          <cell r="I1190">
            <v>0</v>
          </cell>
        </row>
        <row r="1191">
          <cell r="B1191" t="str">
            <v>*090294</v>
          </cell>
          <cell r="C1191" t="str">
            <v>RETIRO DE POSTE C.A.C. DE 13.00 m - NO INCLUYE TRACTO</v>
          </cell>
          <cell r="I1191">
            <v>0</v>
          </cell>
        </row>
        <row r="1192">
          <cell r="B1192" t="str">
            <v>*090391</v>
          </cell>
          <cell r="C1192" t="str">
            <v>RETIRO PERNO PARA ANCLAJE CABLE AUTOSOPORTADO</v>
          </cell>
          <cell r="I1192">
            <v>0</v>
          </cell>
        </row>
        <row r="1193">
          <cell r="B1193" t="str">
            <v>*090491</v>
          </cell>
          <cell r="C1193" t="str">
            <v>RETIRO DE POSTE TUBULAR DE ACERO EN ZONA INACCESIBLE</v>
          </cell>
          <cell r="I1193">
            <v>0</v>
          </cell>
        </row>
        <row r="1194">
          <cell r="B1194" t="str">
            <v>*098669</v>
          </cell>
          <cell r="C1194" t="str">
            <v>RETIRO CRUCETA O MÉNSULA DOBLE DE MADERA</v>
          </cell>
          <cell r="I1194">
            <v>0</v>
          </cell>
        </row>
        <row r="1195">
          <cell r="B1195" t="str">
            <v>*093119</v>
          </cell>
          <cell r="C1195" t="str">
            <v>RETIRO CAJA L, LT O ESTANDAR SOLA O EN BANCO DE MEDIDORES</v>
          </cell>
          <cell r="I1195">
            <v>0</v>
          </cell>
        </row>
        <row r="1196">
          <cell r="B1196" t="str">
            <v>*091279</v>
          </cell>
          <cell r="C1196" t="str">
            <v>RETIRO CONEXION A LUMINARIA</v>
          </cell>
          <cell r="I1196">
            <v>0</v>
          </cell>
        </row>
        <row r="1197">
          <cell r="B1197" t="str">
            <v>*091686</v>
          </cell>
          <cell r="C1197" t="str">
            <v>RETIRO PUNTA MUERTA P/TERNA MONOFASICA O TRIFASICA C/MANGA TERMOREST. CABLE NKY/NYY HASTA 300 MM²</v>
          </cell>
          <cell r="I1197">
            <v>0</v>
          </cell>
        </row>
        <row r="1198">
          <cell r="B1198" t="str">
            <v>*091357</v>
          </cell>
          <cell r="C1198" t="str">
            <v>RETIRO PASTORAL SIMPLE CUALQUIER TIPO DISPERSO MENOR A 6 PASTORALES</v>
          </cell>
          <cell r="I1198">
            <v>0</v>
          </cell>
        </row>
        <row r="1199">
          <cell r="B1199" t="str">
            <v>*091358</v>
          </cell>
          <cell r="C1199" t="str">
            <v>RETIRO DE PASTORAL SIMPLE CUALQUIER TIPO MASIVO MAYOR O IGUAL A 6 PASTORALES</v>
          </cell>
          <cell r="I1199">
            <v>0</v>
          </cell>
        </row>
        <row r="1200">
          <cell r="B1200" t="str">
            <v>*090165</v>
          </cell>
          <cell r="C1200" t="str">
            <v>RETIRO CRUCETA DE C.A. HASTA 2.4 m. O PALOMILLA EN SAB.</v>
          </cell>
          <cell r="I1200">
            <v>0</v>
          </cell>
        </row>
        <row r="1201">
          <cell r="B1201" t="str">
            <v>*093079</v>
          </cell>
          <cell r="C1201" t="str">
            <v>RETIRO DE ACOMETIDA AÉREA</v>
          </cell>
          <cell r="I1201">
            <v>0</v>
          </cell>
        </row>
        <row r="1202">
          <cell r="B1202" t="str">
            <v>*093243</v>
          </cell>
          <cell r="C1202" t="str">
            <v>RETIRO DE REDUCTORES Y CONEXION CABLE CLIENTE</v>
          </cell>
          <cell r="I1202">
            <v>0</v>
          </cell>
        </row>
        <row r="1203">
          <cell r="B1203" t="str">
            <v>*090809</v>
          </cell>
          <cell r="C1203" t="str">
            <v>RETIRO CONECTOR CUALQUIER TIPO HASTA 300 mm2 EN COBRE O ALUMINIO</v>
          </cell>
          <cell r="I1203">
            <v>0</v>
          </cell>
        </row>
        <row r="1204">
          <cell r="B1204" t="str">
            <v>*090295</v>
          </cell>
          <cell r="C1204" t="str">
            <v>RETIRO DE POSTE C.A.C. DE 15. m.- NO INCLUYE TRACTO</v>
          </cell>
          <cell r="I1204">
            <v>0</v>
          </cell>
        </row>
        <row r="1205">
          <cell r="B1205" t="str">
            <v>*090296</v>
          </cell>
          <cell r="C1205" t="str">
            <v>RETIRO DE POSTE C.A.C. DE 11.00 O 11.50 m - NO INCLUYE TRACTO</v>
          </cell>
          <cell r="I1205">
            <v>0</v>
          </cell>
        </row>
        <row r="1206">
          <cell r="B1206" t="str">
            <v>*093471</v>
          </cell>
          <cell r="C1206" t="str">
            <v>RETIRO MEDIDOR ELECTRONICO CON SEGURO</v>
          </cell>
          <cell r="I1206">
            <v>0</v>
          </cell>
        </row>
        <row r="1207">
          <cell r="B1207" t="str">
            <v>*095287</v>
          </cell>
          <cell r="C1207" t="str">
            <v>RETIRO DE MURETE PREFABRICADO, INCLUYE  MANO DE OBRA Y TRANSPORTE</v>
          </cell>
          <cell r="I1207">
            <v>0</v>
          </cell>
        </row>
        <row r="1208">
          <cell r="B1208" t="str">
            <v>*090001</v>
          </cell>
          <cell r="C1208" t="str">
            <v>RETIRO DE AISLADOR PIN MT EN PUNTA DE POSTE</v>
          </cell>
          <cell r="I1208">
            <v>0</v>
          </cell>
        </row>
        <row r="1209">
          <cell r="B1209" t="str">
            <v>*093534</v>
          </cell>
          <cell r="C1209" t="str">
            <v>RETIRO CONEX.TRIF.SUBT.&gt;50 HASTA 75 KW F1+LTM S/VER S/SEG</v>
          </cell>
          <cell r="I1209">
            <v>0</v>
          </cell>
        </row>
        <row r="1210">
          <cell r="B1210" t="str">
            <v>*090136</v>
          </cell>
          <cell r="C1210" t="str">
            <v>RETIRO DE CABLE AUTOSOPORTADO DE BT CU O AL HASTA 10 MM2</v>
          </cell>
          <cell r="I1210">
            <v>0</v>
          </cell>
        </row>
        <row r="1211">
          <cell r="B1211" t="str">
            <v>*091049</v>
          </cell>
          <cell r="C1211" t="str">
            <v>RETIRO INTERRUPTOR SE.CONVENCIONAL</v>
          </cell>
          <cell r="I1211">
            <v>0</v>
          </cell>
        </row>
        <row r="1212">
          <cell r="B1212" t="str">
            <v>*090849</v>
          </cell>
          <cell r="C1212" t="str">
            <v>RETIRO DE BLOQUE DE PROTECCION CONCRETO</v>
          </cell>
          <cell r="I1212">
            <v>0</v>
          </cell>
        </row>
        <row r="1213">
          <cell r="B1213" t="str">
            <v>*091034</v>
          </cell>
          <cell r="C1213" t="str">
            <v>RETIRO CAJA Y TABLERO DISTRIBUCION SAB, SCB / SCP</v>
          </cell>
          <cell r="I1213">
            <v>0</v>
          </cell>
        </row>
        <row r="1214">
          <cell r="B1214" t="str">
            <v>*090469</v>
          </cell>
          <cell r="C1214" t="str">
            <v>RETIRO POSTE FE 4"" A 5"" DIAM DE 7m A 11,5m"</v>
          </cell>
          <cell r="I1214">
            <v>0</v>
          </cell>
        </row>
        <row r="1215">
          <cell r="B1215" t="str">
            <v>*090509</v>
          </cell>
          <cell r="C1215" t="str">
            <v>RETIRO DE PROTECCION RIEL CIMENTADO Y PINTADO(OBRA VENDIDA)</v>
          </cell>
          <cell r="I1215">
            <v>0</v>
          </cell>
        </row>
        <row r="1216">
          <cell r="B1216" t="str">
            <v>*091459</v>
          </cell>
          <cell r="C1216" t="str">
            <v>RETIRO CABLE NKY MT HASTA 16 mm2</v>
          </cell>
          <cell r="I1216">
            <v>0</v>
          </cell>
        </row>
        <row r="1217">
          <cell r="B1217" t="str">
            <v>*091036</v>
          </cell>
          <cell r="C1217" t="str">
            <v>RETIRO DE EQ. MEDIDA MT COMPLETO EN CONV. Y PMI</v>
          </cell>
          <cell r="I1217">
            <v>0</v>
          </cell>
        </row>
        <row r="1218">
          <cell r="B1218" t="str">
            <v>*090591</v>
          </cell>
          <cell r="C1218" t="str">
            <v>RETIRO DE CANALETA METALICA PROTECTORA PARA SUBIDA DE CABLES DE MT Y BT SIN ZOCALO</v>
          </cell>
          <cell r="I1218">
            <v>0</v>
          </cell>
        </row>
        <row r="1219">
          <cell r="B1219" t="str">
            <v>*091669</v>
          </cell>
          <cell r="C1219" t="str">
            <v>RETIRO TUBO PVC.A POSTE P/PUNTO DE ALIMENTACION</v>
          </cell>
          <cell r="I1219">
            <v>0</v>
          </cell>
        </row>
        <row r="1220">
          <cell r="B1220" t="str">
            <v>*098849</v>
          </cell>
          <cell r="C1220" t="str">
            <v>RETIRO DE CABLE COMUNICACIÓN POR TERNA  EN SE HASTA 500 MM2</v>
          </cell>
          <cell r="I1220">
            <v>0</v>
          </cell>
        </row>
        <row r="1221">
          <cell r="B1221" t="str">
            <v>*090429</v>
          </cell>
          <cell r="C1221" t="str">
            <v>RETIRO PORTALINEA DE PASO O REMATE DE 1 A 5 VIAS</v>
          </cell>
          <cell r="I1221">
            <v>0</v>
          </cell>
        </row>
        <row r="1222">
          <cell r="B1222" t="str">
            <v>*090969</v>
          </cell>
          <cell r="C1222" t="str">
            <v>RETIRO DE TRANSFORMADOR MAYOR DE 100 KVA HASTA 250 KVA</v>
          </cell>
          <cell r="I1222">
            <v>0</v>
          </cell>
        </row>
        <row r="1223">
          <cell r="B1223" t="str">
            <v>*090999</v>
          </cell>
          <cell r="C1223" t="str">
            <v>RETIRO DE BASE DE CONCRETO PARA TABLERO TAM3, TAM4 (NO INCLUYE BASE)</v>
          </cell>
          <cell r="I1223">
            <v>0</v>
          </cell>
        </row>
        <row r="1224">
          <cell r="B1224" t="str">
            <v>*098199</v>
          </cell>
          <cell r="C1224" t="str">
            <v>RETIRO DE TUBO CORRUGADO/APLICACIÓN DE SILICONA EN CAMIONETA TIPO COMBI</v>
          </cell>
          <cell r="I1224">
            <v>0</v>
          </cell>
        </row>
        <row r="1225">
          <cell r="B1225" t="str">
            <v>*091315</v>
          </cell>
          <cell r="C1225" t="str">
            <v>RETIRO LUMINARIA LED 125/250 HG  70/150/250/400 W NA. O FAROLA COMPLETA MASIVO</v>
          </cell>
          <cell r="I1225">
            <v>0</v>
          </cell>
        </row>
        <row r="1226">
          <cell r="B1226" t="str">
            <v>*090297</v>
          </cell>
          <cell r="C1226" t="str">
            <v>RETIRO DE POSTE C.A.C. DE 10.00 MT - NO INCLUYE TRACTO</v>
          </cell>
          <cell r="I1226">
            <v>0</v>
          </cell>
        </row>
        <row r="1227">
          <cell r="B1227" t="str">
            <v>*099237</v>
          </cell>
          <cell r="C1227" t="str">
            <v>RETIRO DE PUERTA SUPERIOR EN CELDA DE MEDIA TENSIÓN EN SUBESTACIÓN CONVENCIONAL</v>
          </cell>
          <cell r="I1227">
            <v>0</v>
          </cell>
        </row>
        <row r="1228">
          <cell r="B1228" t="str">
            <v>*098379</v>
          </cell>
          <cell r="C1228" t="str">
            <v>RETIRO DE SEGUROS PARA MEDIDOR MONO O TRIFÁSICO  ELECTROMECÁNICO CON PLATINA DE FIERRO</v>
          </cell>
          <cell r="I1228">
            <v>0</v>
          </cell>
        </row>
        <row r="1229">
          <cell r="B1229" t="str">
            <v>*090959</v>
          </cell>
          <cell r="C1229" t="str">
            <v>RETIRO DE TRANSFORMADOR  MAYOR DE 75 KVA HASTA 100 KVA</v>
          </cell>
          <cell r="I1229">
            <v>0</v>
          </cell>
        </row>
        <row r="1230">
          <cell r="B1230" t="str">
            <v>*091469</v>
          </cell>
          <cell r="C1230" t="str">
            <v>RETIRO DE CABLE NKY MT MAYOR A 16MM2 HASTA 70mm²</v>
          </cell>
          <cell r="I1230">
            <v>0</v>
          </cell>
        </row>
        <row r="1231">
          <cell r="B1231" t="str">
            <v>*090228</v>
          </cell>
          <cell r="C1231" t="str">
            <v>RETIRO DE POSTES HASTA 10 M INSTALACIÓN CON CABRIA</v>
          </cell>
          <cell r="I1231">
            <v>0</v>
          </cell>
        </row>
        <row r="1232">
          <cell r="B1232" t="str">
            <v>*091229</v>
          </cell>
          <cell r="C1232" t="str">
            <v>RETIRO DE SISTEMA DE ENCENDIDO AUTOMÁTICO AÉREO</v>
          </cell>
          <cell r="I1232">
            <v>0</v>
          </cell>
        </row>
        <row r="1233">
          <cell r="B1233" t="str">
            <v>*090468</v>
          </cell>
          <cell r="C1233" t="str">
            <v>RETIRO DE POSTES DE PRFV HASTA 8.7 M EN ZONA INACCESIBLE CON CIMENTACIÓN</v>
          </cell>
          <cell r="I1233">
            <v>0</v>
          </cell>
        </row>
        <row r="1234">
          <cell r="B1234" t="str">
            <v>*093144</v>
          </cell>
          <cell r="C1234" t="str">
            <v>RETIRO CONEXION DERIVADA MONOF.O TRIF.S/SEGURO</v>
          </cell>
          <cell r="I1234">
            <v>0</v>
          </cell>
        </row>
        <row r="1235">
          <cell r="B1235" t="str">
            <v>*090309</v>
          </cell>
          <cell r="C1235" t="str">
            <v>RETIRO DE RETENIDA SIMPLE O VIOLIN MT O BT</v>
          </cell>
          <cell r="I1235">
            <v>0</v>
          </cell>
        </row>
        <row r="1236">
          <cell r="B1236" t="str">
            <v>*090298</v>
          </cell>
          <cell r="C1236" t="str">
            <v>RETIRO DE POSTE DE MADERA DE 8.00 A 11.00m</v>
          </cell>
          <cell r="I1236">
            <v>0</v>
          </cell>
        </row>
        <row r="1237">
          <cell r="B1237" t="str">
            <v>*090949</v>
          </cell>
          <cell r="C1237" t="str">
            <v>RETIRO DE TRANSFORMADOR HASTA 75 KVA</v>
          </cell>
          <cell r="I1237">
            <v>0</v>
          </cell>
        </row>
        <row r="1238">
          <cell r="B1238" t="str">
            <v>*099109</v>
          </cell>
          <cell r="C1238" t="str">
            <v>RETIRO DE MEDIDOR MONOF. SIN SEGURO - CON MISMA CUADRILLA - RUTINA</v>
          </cell>
          <cell r="I1238">
            <v>0</v>
          </cell>
        </row>
        <row r="1239">
          <cell r="B1239" t="str">
            <v>*093039</v>
          </cell>
          <cell r="C1239" t="str">
            <v>RETIRO DE MASTIL DE 1,8 A 6 M</v>
          </cell>
          <cell r="I1239">
            <v>0</v>
          </cell>
        </row>
        <row r="1240">
          <cell r="B1240" t="str">
            <v>*091749</v>
          </cell>
          <cell r="C1240" t="str">
            <v>RETIRO DE BARRAS MT EN SUBEST. DE 4 CELDAS</v>
          </cell>
          <cell r="I1240">
            <v>0</v>
          </cell>
        </row>
        <row r="1241">
          <cell r="B1241" t="str">
            <v>*091344</v>
          </cell>
          <cell r="C1241" t="str">
            <v>RETIRO DE PASTORAL SIMPLE INC ABRAZDS (CUALQ TIPO); TRAB MASIVO EN CTRL TEC Y CAL SERV</v>
          </cell>
          <cell r="I1241">
            <v>0</v>
          </cell>
        </row>
        <row r="1242">
          <cell r="B1242" t="str">
            <v>*091109</v>
          </cell>
          <cell r="C1242" t="str">
            <v>RETIRO DE CONTACTOR COMPLETO</v>
          </cell>
          <cell r="I1242">
            <v>0</v>
          </cell>
        </row>
        <row r="1243">
          <cell r="B1243" t="str">
            <v>*090739</v>
          </cell>
          <cell r="C1243" t="str">
            <v>RETIRO DE GRAPA DE TENSION COBRE Y ALUMINIO</v>
          </cell>
          <cell r="I1243">
            <v>0</v>
          </cell>
        </row>
        <row r="1244">
          <cell r="B1244" t="str">
            <v>*091048</v>
          </cell>
          <cell r="C1244" t="str">
            <v>RETIRO DE TABLERO AÉREO EN POSTE</v>
          </cell>
          <cell r="I1244">
            <v>0</v>
          </cell>
        </row>
        <row r="1245">
          <cell r="B1245" t="str">
            <v>*090049</v>
          </cell>
          <cell r="C1245" t="str">
            <v>RETIRO DE AMARRAS PARA CONDUCTOR DE CU O AL</v>
          </cell>
          <cell r="I1245">
            <v>0</v>
          </cell>
        </row>
        <row r="1246">
          <cell r="B1246" t="str">
            <v>*090497</v>
          </cell>
          <cell r="C1246" t="str">
            <v>RETIRO DE POSTES DE FE 7M ZONA INACCESIBLE (&gt;5Un)</v>
          </cell>
          <cell r="I1246">
            <v>0</v>
          </cell>
        </row>
        <row r="1247">
          <cell r="B1247" t="str">
            <v>*093659</v>
          </cell>
          <cell r="C1247" t="str">
            <v>RETIRO DE CAJA TOMA F1 S/ACOMET HASTA 75 KW PARA USO NO INDUSTRIAL</v>
          </cell>
          <cell r="I1247">
            <v>0</v>
          </cell>
        </row>
        <row r="1248">
          <cell r="B1248" t="str">
            <v>*093544</v>
          </cell>
          <cell r="C1248" t="str">
            <v>RETIRO DE CONEX.TRIF.SUBT.&gt; A 75 - 150 KW F2+LTM S/VER.S/SEG</v>
          </cell>
          <cell r="I1248">
            <v>0</v>
          </cell>
        </row>
        <row r="1249">
          <cell r="B1249" t="str">
            <v>*091489</v>
          </cell>
          <cell r="C1249" t="str">
            <v>RETIRO DE CABLE NKY MT MAYOR A 70MM2 HASTA 240mm².</v>
          </cell>
          <cell r="I1249">
            <v>0</v>
          </cell>
        </row>
        <row r="1250">
          <cell r="B1250" t="str">
            <v>*090749</v>
          </cell>
          <cell r="C1250" t="str">
            <v>RETIRO DE AISLADOR CARRETE BT</v>
          </cell>
          <cell r="I1250">
            <v>0</v>
          </cell>
        </row>
        <row r="1251">
          <cell r="B1251" t="str">
            <v>*090232</v>
          </cell>
          <cell r="C1251" t="str">
            <v>RETIRO DE POSTES DE ALTURA MAYOR A 10 M HASTA 15 M INSTALADOS CON CABRIA - NO INCLUYE TRACTO</v>
          </cell>
          <cell r="I1251">
            <v>0</v>
          </cell>
        </row>
        <row r="1252">
          <cell r="B1252" t="str">
            <v>*090467</v>
          </cell>
          <cell r="C1252" t="str">
            <v>RETIRO DE POSTE C.A.C. DE 6.00 7.00 U 8.00 m</v>
          </cell>
          <cell r="I1252">
            <v>0</v>
          </cell>
        </row>
        <row r="1253">
          <cell r="B1253" t="str">
            <v>*091009</v>
          </cell>
          <cell r="C1253" t="str">
            <v>RETIRO DE TRANSFORMADOR MAYOR DE 100 KVA HASTA 250 KVA SE CUALQUIER TIPO</v>
          </cell>
          <cell r="I1253">
            <v>0</v>
          </cell>
        </row>
        <row r="1254">
          <cell r="B1254" t="str">
            <v>*091008</v>
          </cell>
          <cell r="C1254" t="str">
            <v>RETIRO DE TRANSFORMADOR MAYOR DE 250 KVA HASTA 630 KVA SE CUALQUIER TIPO</v>
          </cell>
          <cell r="I1254">
            <v>0</v>
          </cell>
        </row>
        <row r="1255">
          <cell r="B1255" t="str">
            <v>*091004</v>
          </cell>
          <cell r="C1255" t="str">
            <v>RETIRO DE FERRETERIA Y TRANSFORMADOR MAYOR DE 250 KVA HASTA 630 KVA</v>
          </cell>
          <cell r="I1255">
            <v>0</v>
          </cell>
        </row>
        <row r="1256">
          <cell r="B1256" t="str">
            <v>*090934</v>
          </cell>
          <cell r="C1256" t="str">
            <v>RETIRO DE PARARRAYOS UNIPOLARES (3 UNIDADES)</v>
          </cell>
          <cell r="I1256">
            <v>0</v>
          </cell>
        </row>
        <row r="1257">
          <cell r="B1257" t="str">
            <v>*090299</v>
          </cell>
          <cell r="C1257" t="str">
            <v>RETIRO DE POSTE DE MADERA REDONDO CREOSOTADO DE 45 PIES A 70 PIES DE ALTURA</v>
          </cell>
          <cell r="I1257">
            <v>0</v>
          </cell>
        </row>
        <row r="1258">
          <cell r="B1258" t="str">
            <v>*095289</v>
          </cell>
          <cell r="C1258" t="str">
            <v>RETIRO DE MURETE PARA CAJA F1 F2 F3 + 3B   (FABRICADO EN OBRA)</v>
          </cell>
          <cell r="I1258">
            <v>0</v>
          </cell>
        </row>
        <row r="1259">
          <cell r="B1259" t="str">
            <v>*091059</v>
          </cell>
          <cell r="C1259" t="str">
            <v>RETIRO DE SECCIONADORES SE.CONVENCIONAL</v>
          </cell>
          <cell r="I1259">
            <v>0</v>
          </cell>
        </row>
        <row r="1260">
          <cell r="B1260" t="str">
            <v>*091528</v>
          </cell>
          <cell r="C1260" t="str">
            <v>RETIRO DE TERMINAL INTERIOR O EXTERIOR TRIF. TIPO TERMOR. O SIMILAR HASTA 240 MM2.</v>
          </cell>
          <cell r="I1260">
            <v>0</v>
          </cell>
        </row>
        <row r="1261">
          <cell r="B1261" t="str">
            <v>*091519</v>
          </cell>
          <cell r="C1261" t="str">
            <v>RETIRO DE CONECTOR DE CODO C/CABLE SECO N2XSY DE 25 mm2 SCP Y SCB (3 CONECT.)</v>
          </cell>
          <cell r="I1261">
            <v>0</v>
          </cell>
        </row>
        <row r="1262">
          <cell r="B1262" t="str">
            <v>*091721</v>
          </cell>
          <cell r="C1262" t="str">
            <v>RETIRO DE RELE HB EN CELDA (INCL. VARILLAS)</v>
          </cell>
          <cell r="I1262">
            <v>0</v>
          </cell>
        </row>
        <row r="1263">
          <cell r="B1263" t="str">
            <v>*090939</v>
          </cell>
          <cell r="C1263" t="str">
            <v>RETIRO DE CONEXIONADO DE MEDIA TENSIÓN PARA SE AÉREA</v>
          </cell>
          <cell r="I1263">
            <v>0</v>
          </cell>
        </row>
        <row r="1264">
          <cell r="B1264" t="str">
            <v>*091006</v>
          </cell>
          <cell r="C1264" t="str">
            <v>RETIRO DE TRANSFORMADOR  MAYOR DE 75 KVA HASTA 100 KVA SE CUALQUIER TIPO</v>
          </cell>
          <cell r="I1264">
            <v>0</v>
          </cell>
        </row>
        <row r="1265">
          <cell r="B1265" t="str">
            <v>*091448</v>
          </cell>
          <cell r="C1265" t="str">
            <v>RETIRO DE CABLE NYBY BT  HASTA 3x16mm2</v>
          </cell>
          <cell r="I1265">
            <v>0</v>
          </cell>
        </row>
        <row r="1266">
          <cell r="B1266" t="str">
            <v>*090334</v>
          </cell>
          <cell r="C1266" t="str">
            <v>RETIRO DE RIEL DE PROTECCION</v>
          </cell>
          <cell r="I1266">
            <v>0</v>
          </cell>
        </row>
        <row r="1267">
          <cell r="B1267" t="str">
            <v>*091089</v>
          </cell>
          <cell r="C1267" t="str">
            <v>RETIRO DE CELULA FOTOELECTRICA COMPLETA</v>
          </cell>
          <cell r="I1267">
            <v>0</v>
          </cell>
        </row>
        <row r="1268">
          <cell r="B1268" t="str">
            <v>*090466</v>
          </cell>
          <cell r="C1268" t="str">
            <v>RETIRO DE POSTES DE PRFV HASTA 8.7 M EN ZONA INACCESIBLE CON CIMENTACIÓN - PROYECTOS</v>
          </cell>
          <cell r="I1268">
            <v>0</v>
          </cell>
        </row>
        <row r="1269">
          <cell r="B1269" t="str">
            <v>*099198</v>
          </cell>
          <cell r="C1269" t="str">
            <v>RETIRO DE CERRADURA/CANDADO EN PUERTA DE SUBESTACIÓN CONVENCIONAL</v>
          </cell>
          <cell r="I1269">
            <v>0</v>
          </cell>
        </row>
        <row r="1270">
          <cell r="B1270" t="str">
            <v>*090998</v>
          </cell>
          <cell r="C1270" t="str">
            <v>RETIRO DE EQUIPAMIENTO PARA TABLERO AÉREO</v>
          </cell>
          <cell r="I1270">
            <v>0</v>
          </cell>
        </row>
        <row r="1271">
          <cell r="B1271" t="str">
            <v>*096549</v>
          </cell>
          <cell r="C1271" t="str">
            <v>RETIRO DE CERRADURA PUERTA PRINCIPAL PESADA</v>
          </cell>
          <cell r="I1271">
            <v>0</v>
          </cell>
        </row>
        <row r="1272">
          <cell r="B1272" t="str">
            <v>*091003</v>
          </cell>
          <cell r="C1272" t="str">
            <v>RETIRO DE TRANSFORMADOR HASTA 75 KVA SE CUALQUIER TIPO</v>
          </cell>
          <cell r="I1272">
            <v>0</v>
          </cell>
        </row>
        <row r="1273">
          <cell r="B1273" t="str">
            <v>*098145</v>
          </cell>
          <cell r="C1273" t="str">
            <v>RETIRO DE EQUIPAMIENTO DE CAJA F4</v>
          </cell>
          <cell r="I1273">
            <v>0</v>
          </cell>
        </row>
        <row r="1274">
          <cell r="B1274" t="str">
            <v>*091299</v>
          </cell>
          <cell r="C1274" t="str">
            <v>RETIRO DE PASTORAL PARABOLICO CUALQUIER TIPO MASIVO MAYOR O IGUAL A 6 PASTORALES</v>
          </cell>
          <cell r="I1274">
            <v>0</v>
          </cell>
        </row>
        <row r="1275">
          <cell r="B1275" t="str">
            <v>*090009</v>
          </cell>
          <cell r="C1275" t="str">
            <v>RETIRO DE EXTENSOR DE LINEA DE FUGA EN AISLADOR</v>
          </cell>
          <cell r="I1275">
            <v>0</v>
          </cell>
        </row>
        <row r="1276">
          <cell r="B1276" t="str">
            <v>*090359</v>
          </cell>
          <cell r="C1276" t="str">
            <v>RETIRO DE CAJUELA DE CONCRETO PARA POZO TIERRA</v>
          </cell>
          <cell r="I1276">
            <v>0</v>
          </cell>
        </row>
        <row r="1277">
          <cell r="B1277" t="str">
            <v>*095279</v>
          </cell>
          <cell r="C1277" t="str">
            <v>RETIRO DE JUNTA DE DILATACION PARA VEREDA DE CUALQUIER ESPESOR OBRA VENDIDA</v>
          </cell>
          <cell r="I1277">
            <v>0</v>
          </cell>
        </row>
        <row r="1278">
          <cell r="B1278" t="str">
            <v>*091759</v>
          </cell>
          <cell r="C1278" t="str">
            <v>RETIRO DE BARRAS BT EN SE.CONV/COMP.</v>
          </cell>
          <cell r="I1278">
            <v>0</v>
          </cell>
        </row>
        <row r="1279">
          <cell r="B1279" t="str">
            <v>*094912</v>
          </cell>
          <cell r="C1279" t="str">
            <v>RETIRO DE CIMENTACIÓN PARA POSTE HASTA 9m  POSTE NUEVO (SIN SOLERA)</v>
          </cell>
          <cell r="I1279">
            <v>0</v>
          </cell>
        </row>
        <row r="1280">
          <cell r="B1280" t="str">
            <v>*093049</v>
          </cell>
          <cell r="C1280" t="str">
            <v>RETIRO DE CAJA SUMINISTRO BT-6</v>
          </cell>
          <cell r="I1280">
            <v>0</v>
          </cell>
        </row>
        <row r="1281">
          <cell r="B1281" t="str">
            <v>*093554</v>
          </cell>
          <cell r="C1281" t="str">
            <v>RETIRO DE CONEX.TRIF.SUBT.&gt; A 150-225 KW F3+LTM S/VER S/SEG</v>
          </cell>
          <cell r="I1281">
            <v>0</v>
          </cell>
        </row>
        <row r="1282">
          <cell r="B1282" t="str">
            <v>*097999</v>
          </cell>
          <cell r="C1282" t="str">
            <v>RETIRO DE ABRAZADERA P/PASTORAL DE FIERRO SIMPLE O DOBLE (mantenimiento)</v>
          </cell>
          <cell r="I1282">
            <v>0</v>
          </cell>
        </row>
        <row r="1283">
          <cell r="B1283" t="str">
            <v>*093649</v>
          </cell>
          <cell r="C1283" t="str">
            <v>RETIRO DE CAJA TOMA F1 C/ACOMET DE HASTA 75 KW. PARA USO NO INDUSTRIAL S/VEREDA</v>
          </cell>
          <cell r="I1283">
            <v>0</v>
          </cell>
        </row>
        <row r="1284">
          <cell r="B1284" t="str">
            <v>*090301</v>
          </cell>
          <cell r="C1284" t="str">
            <v>RETIRO DE POSTE HASTA 8.7M Z. ACCES-TERR. NORMAL(&gt;10)</v>
          </cell>
          <cell r="I1284">
            <v>0</v>
          </cell>
        </row>
        <row r="1285">
          <cell r="B1285" t="str">
            <v>*091929</v>
          </cell>
          <cell r="C1285" t="str">
            <v>RETIRO DE DUCTO PVC (POR UNIDAD DE 3M ) DE HASTA 6"" EN ZANJA DE MT O BT"</v>
          </cell>
          <cell r="I1285">
            <v>0</v>
          </cell>
        </row>
        <row r="1286">
          <cell r="B1286" t="str">
            <v>*091447</v>
          </cell>
          <cell r="C1286" t="str">
            <v>RETIRO DE CABLE NYBY BT MAYOR A 3x16mm2 HASTA 3x70mm2</v>
          </cell>
          <cell r="I1286">
            <v>0</v>
          </cell>
        </row>
        <row r="1287">
          <cell r="B1287" t="str">
            <v>*090973</v>
          </cell>
          <cell r="C1287" t="str">
            <v>RETIRO DE ANCLAJE CON DOS PUNTOS PARA TRANSFORMADOR DE DISTRIBUCION</v>
          </cell>
          <cell r="I1287">
            <v>0</v>
          </cell>
        </row>
        <row r="1288">
          <cell r="B1288" t="str">
            <v>*092999</v>
          </cell>
          <cell r="C1288" t="str">
            <v>RETIRO DE CONEXION MONOF. O TRIF. AÉREA C/SEGURO</v>
          </cell>
          <cell r="I1288">
            <v>0</v>
          </cell>
        </row>
        <row r="1289">
          <cell r="B1289" t="str">
            <v>*090465</v>
          </cell>
          <cell r="C1289" t="str">
            <v>RETIRO DE POSTE FE 4" A 5" DIAM DE 7M A 11,5M; TRAB MASIVO EN CTRL TEC Y CAL SERV</v>
          </cell>
          <cell r="I1289">
            <v>0</v>
          </cell>
        </row>
        <row r="1290">
          <cell r="B1290" t="str">
            <v>*090227</v>
          </cell>
          <cell r="C1290" t="str">
            <v>RETIRO DE POSTE HASTA 9M-Z. ACCES TERR. ROCOSO(&gt;10)</v>
          </cell>
          <cell r="I1290">
            <v>0</v>
          </cell>
        </row>
        <row r="1291">
          <cell r="B1291" t="str">
            <v>*093314</v>
          </cell>
          <cell r="C1291" t="str">
            <v>RETIRO DE CONEXION MONOF. O TRIF. SUBT. S/VER. S/SEG. HASTA 20KW</v>
          </cell>
          <cell r="I1291">
            <v>0</v>
          </cell>
        </row>
        <row r="1292">
          <cell r="B1292" t="str">
            <v>*090879</v>
          </cell>
          <cell r="C1292" t="str">
            <v>RETIRO DE PROTECCION BT PARA T/D TRIFASICO  FUSIBLES DE 1 O 2 SALIDAS</v>
          </cell>
          <cell r="I1292">
            <v>0</v>
          </cell>
        </row>
        <row r="1293">
          <cell r="B1293" t="str">
            <v>*093719</v>
          </cell>
          <cell r="C1293" t="str">
            <v>RETIRO DE CAJA TOMA F3 S/ACOMET MAYOR A 150KW HASTA 225 KW PARA USO NO INDUSTRIAL</v>
          </cell>
          <cell r="I1293">
            <v>0</v>
          </cell>
        </row>
        <row r="1294">
          <cell r="B1294" t="str">
            <v>*093699</v>
          </cell>
          <cell r="C1294" t="str">
            <v>RETIRO DE CAJA TOMA F2 S/ACOMET MAYOR A 75KW A HASTA 150 KW P/USO NO INDUSTRIAL</v>
          </cell>
          <cell r="I1294">
            <v>0</v>
          </cell>
        </row>
        <row r="1295">
          <cell r="B1295" t="str">
            <v>*090997</v>
          </cell>
          <cell r="C1295" t="str">
            <v>RETIRO DE CABLEADO SIST. MEDICION AP O TOTALIZADOR DESDE TAB.DISTRIB.AEREO</v>
          </cell>
          <cell r="I1295">
            <v>0</v>
          </cell>
        </row>
        <row r="1296">
          <cell r="B1296" t="str">
            <v>*093309</v>
          </cell>
          <cell r="C1296" t="str">
            <v>RETIRO DE CONEXIÓN MONOF.O TRIF.SUB.S/VER.C/SEG.HASTA 20KW</v>
          </cell>
          <cell r="I1296">
            <v>0</v>
          </cell>
        </row>
        <row r="1297">
          <cell r="B1297" t="str">
            <v>*091456</v>
          </cell>
          <cell r="C1297" t="str">
            <v>RETIRO DE CABLE NYBY BT MAYOR A  3 x 70 mm2  HASTA 3 x 185 mm2</v>
          </cell>
          <cell r="I1297">
            <v>0</v>
          </cell>
        </row>
        <row r="1298">
          <cell r="B1298" t="str">
            <v>*090358</v>
          </cell>
          <cell r="C1298" t="str">
            <v>RETIRO DE CABLEADO DE SISTEMA DE PUESTA A TIERRA PARA POSTE NUEVO</v>
          </cell>
          <cell r="I1298">
            <v>0</v>
          </cell>
        </row>
        <row r="1299">
          <cell r="B1299" t="str">
            <v>*090995</v>
          </cell>
          <cell r="C1299" t="str">
            <v>RETIRO DE AUTOTRANSFORMADOR DE BT HASTA 100 KVA, C/CAJA</v>
          </cell>
          <cell r="I1299">
            <v>0</v>
          </cell>
        </row>
        <row r="1300">
          <cell r="B1300" t="str">
            <v>*093004</v>
          </cell>
          <cell r="C1300" t="str">
            <v>RETIRO DE CONEXION MONOF.O TRIF.AEREA S/SEGURO</v>
          </cell>
          <cell r="I1300">
            <v>0</v>
          </cell>
        </row>
        <row r="1301">
          <cell r="B1301" t="str">
            <v>*098141</v>
          </cell>
          <cell r="C1301" t="str">
            <v>RETIRO DE EQUPAMIENTO DE CAJA F2</v>
          </cell>
          <cell r="I1301">
            <v>0</v>
          </cell>
        </row>
        <row r="1302">
          <cell r="B1302" t="str">
            <v>*091099</v>
          </cell>
          <cell r="C1302" t="str">
            <v>RETIRO DE CELULA FOTOELECTRICA SIN BASE</v>
          </cell>
          <cell r="I1302">
            <v>0</v>
          </cell>
        </row>
        <row r="1303">
          <cell r="B1303" t="str">
            <v>*090996</v>
          </cell>
          <cell r="C1303" t="str">
            <v>RETIRO DE CELDA MT C/SECCIONADOR INTERIOR EN  SUBESTACIÓN CONVENCIONAL</v>
          </cell>
          <cell r="I1303">
            <v>0</v>
          </cell>
        </row>
        <row r="1304">
          <cell r="B1304" t="str">
            <v>*090595</v>
          </cell>
          <cell r="C1304" t="str">
            <v>RETIRO DE CANALETA METALICA PROTECTORA PARA SUBIDA DE CABLES MT Y BT CON ZOCALO</v>
          </cell>
          <cell r="I1304">
            <v>0</v>
          </cell>
        </row>
        <row r="1305">
          <cell r="B1305" t="str">
            <v>*093143</v>
          </cell>
          <cell r="C1305" t="str">
            <v>RETIRO DE CONEXIÓN DERIVADA EN CAJA EXISTENTE TIPO L, LT O LRM</v>
          </cell>
          <cell r="I1305">
            <v>0</v>
          </cell>
        </row>
        <row r="1306">
          <cell r="B1306" t="str">
            <v>*093709</v>
          </cell>
          <cell r="C1306" t="str">
            <v>RETIRO DE CAJA TOMA F3 C/ACOMET MAYOR A 150KW HASTA 225 KW P/USO NO INDUSTRIAL</v>
          </cell>
          <cell r="I1306">
            <v>0</v>
          </cell>
        </row>
        <row r="1307">
          <cell r="B1307" t="str">
            <v>*093089</v>
          </cell>
          <cell r="C1307" t="str">
            <v>RETIRO DE CAJA COMPLETA MONOFASICA O TRIFASICA - L, LT O ESTANDAR</v>
          </cell>
          <cell r="I1307">
            <v>0</v>
          </cell>
        </row>
        <row r="1308">
          <cell r="B1308" t="str">
            <v>*093729</v>
          </cell>
          <cell r="C1308" t="str">
            <v>RETIRO DE CAJA TOMA F4 C/ACOMET DE MAYOR A 225KW HASTA 300 KW PARA USO NO INDUSTRIAL</v>
          </cell>
          <cell r="I1308">
            <v>0</v>
          </cell>
        </row>
        <row r="1309">
          <cell r="B1309" t="str">
            <v>*093559</v>
          </cell>
          <cell r="C1309" t="str">
            <v>RETIRO DE CONEXIÓN BT6 AÉREA</v>
          </cell>
          <cell r="I1309">
            <v>0</v>
          </cell>
        </row>
        <row r="1310">
          <cell r="B1310" t="str">
            <v>*091729</v>
          </cell>
          <cell r="C1310" t="str">
            <v>RETIRO DE PROTECCION MT TRANSFORMADOR TRIFASICO</v>
          </cell>
          <cell r="I1310">
            <v>0</v>
          </cell>
        </row>
        <row r="1311">
          <cell r="B1311" t="str">
            <v>*093472</v>
          </cell>
          <cell r="C1311" t="str">
            <v>RETIRO DE MEDIDOR ELECTRONICO SIN SEGURO</v>
          </cell>
          <cell r="I1311">
            <v>0</v>
          </cell>
        </row>
        <row r="1312">
          <cell r="B1312" t="str">
            <v>*090994</v>
          </cell>
          <cell r="C1312" t="str">
            <v>RETIRO DE EQUIPAMIENTO BT EN SCP CUALQUIER POTENCIA</v>
          </cell>
          <cell r="I1312">
            <v>0</v>
          </cell>
        </row>
        <row r="1313">
          <cell r="B1313" t="str">
            <v>*091298</v>
          </cell>
          <cell r="C1313" t="str">
            <v>RETIRO DE PASTORAL PARABOLICO CUALQUIER TIPO DISPERSO MENOR A 6 UNIDADES</v>
          </cell>
          <cell r="I1313">
            <v>0</v>
          </cell>
        </row>
        <row r="1314">
          <cell r="B1314" t="str">
            <v>*099238</v>
          </cell>
          <cell r="C1314" t="str">
            <v>RETIRO DE REJAS EN RETIRO DE SUBESTACIÓN CONVENCIONAL</v>
          </cell>
          <cell r="I1314">
            <v>0</v>
          </cell>
        </row>
        <row r="1315">
          <cell r="B1315" t="str">
            <v>*093549</v>
          </cell>
          <cell r="C1315" t="str">
            <v>RETIRO DE CONEX. TRIF.SUBT. MAYOR A 150 KW CAJA F3+LTM S/VER</v>
          </cell>
          <cell r="I1315">
            <v>0</v>
          </cell>
        </row>
        <row r="1316">
          <cell r="B1316" t="str">
            <v>*093558</v>
          </cell>
          <cell r="C1316" t="str">
            <v>RETIRO DE CAJAS DERIVADAS  MAYOR DE 20 KW LTT-LTM</v>
          </cell>
          <cell r="I1316">
            <v>0</v>
          </cell>
        </row>
        <row r="1317">
          <cell r="B1317" t="str">
            <v>*090381</v>
          </cell>
          <cell r="C1317" t="str">
            <v>RETIRO DE CABLEADO DE SISTEMA DE PUESTA A TIERRA PARA POSTE EXISTENTE</v>
          </cell>
          <cell r="I1317">
            <v>0</v>
          </cell>
        </row>
        <row r="1318">
          <cell r="B1318" t="str">
            <v>*093557</v>
          </cell>
          <cell r="C1318" t="str">
            <v>RETIRO DE CONEXIÓN BT6 SUBTERRÁNEA</v>
          </cell>
          <cell r="I1318">
            <v>0</v>
          </cell>
        </row>
        <row r="1319">
          <cell r="B1319" t="str">
            <v>*099114</v>
          </cell>
          <cell r="C1319" t="str">
            <v>RETIRO DE MEDIDOR TRIFÁSICO SIN SEGURO - CON MISMA CUADRILLA - RUTINA</v>
          </cell>
          <cell r="I1319">
            <v>0</v>
          </cell>
        </row>
        <row r="1320">
          <cell r="B1320" t="str">
            <v>*093689</v>
          </cell>
          <cell r="C1320" t="str">
            <v>RETIRO DE CAJA TOMA F2 C/ACOMET MAYOR A 75KW HASTA 150KW P/USO NO INDUSTRIAL  S/VEREDA</v>
          </cell>
          <cell r="I1320">
            <v>0</v>
          </cell>
        </row>
        <row r="1321">
          <cell r="B1321" t="str">
            <v>*090323</v>
          </cell>
          <cell r="C1321" t="str">
            <v>RETIRO DE AISLADOR EN RETENIDA DE MT Y BT</v>
          </cell>
          <cell r="I1321">
            <v>0</v>
          </cell>
        </row>
        <row r="1322">
          <cell r="B1322" t="str">
            <v>*090134</v>
          </cell>
          <cell r="C1322" t="str">
            <v>RETIRO CABLE AUTOSOPORTADO DE MT MAYOR DE 50 HASTA 120 mm</v>
          </cell>
          <cell r="I1322">
            <v>0</v>
          </cell>
        </row>
        <row r="1323">
          <cell r="B1323" t="str">
            <v>*090135</v>
          </cell>
          <cell r="C1323" t="str">
            <v>RETIRO DE CABLE AUTOSOPORTADO DE MT HASTA 50 mm2</v>
          </cell>
          <cell r="I1323">
            <v>0</v>
          </cell>
        </row>
        <row r="1324">
          <cell r="B1324" t="str">
            <v>*090168</v>
          </cell>
          <cell r="C1324" t="str">
            <v>RETIRO DE CABLE DE ACERO 5/16"</v>
          </cell>
          <cell r="I1324">
            <v>0</v>
          </cell>
        </row>
        <row r="1325">
          <cell r="B1325" t="str">
            <v>*098382</v>
          </cell>
          <cell r="C1325" t="str">
            <v>RETIRO DE SEGURO PARA INTERRUPTOR TERMOMAGNETICO MONOFASICO</v>
          </cell>
          <cell r="I1325">
            <v>0</v>
          </cell>
        </row>
        <row r="1326">
          <cell r="B1326" t="str">
            <v>*091329</v>
          </cell>
          <cell r="C1326" t="str">
            <v>RETIRO DE LUMINARIA DE 400 W. NA.</v>
          </cell>
          <cell r="I1326">
            <v>0</v>
          </cell>
        </row>
        <row r="1327">
          <cell r="B1327" t="str">
            <v>*093464</v>
          </cell>
          <cell r="C1327" t="str">
            <v>RETIRO DE CONEX.MONOF.O TRIF. AEREO SUBT. (TIPO V) CAJA L, LT S/SEGURO</v>
          </cell>
          <cell r="I1327">
            <v>0</v>
          </cell>
        </row>
        <row r="1328">
          <cell r="B1328" t="str">
            <v>*093014</v>
          </cell>
          <cell r="C1328" t="str">
            <v>RETIRO CNX P/SOPORTE DE PRFV O CAJA EXISTENTE MONOF.O TRIF. AEREO SUBT. (TIPO V) CAJA L, LT S/SEGURO</v>
          </cell>
          <cell r="I1328">
            <v>0</v>
          </cell>
        </row>
        <row r="1329">
          <cell r="B1329" t="str">
            <v>*093499</v>
          </cell>
          <cell r="C1329" t="str">
            <v>RETIRO DE CONEX. TRIF.AERO SUBTERRANEA DE 20 A 35KW CAJAS F1+LTM</v>
          </cell>
          <cell r="I1329">
            <v>0</v>
          </cell>
        </row>
        <row r="1330">
          <cell r="B1330" t="str">
            <v>*098143</v>
          </cell>
          <cell r="C1330" t="str">
            <v>RETIRO DE EQUIPAMIENTO DE CAJA F3</v>
          </cell>
          <cell r="I1330">
            <v>0</v>
          </cell>
        </row>
        <row r="1331">
          <cell r="B1331" t="str">
            <v>*093468</v>
          </cell>
          <cell r="C1331" t="str">
            <v>RETIRO DE CONEXION AEREA TRIFASICA MAYOR A 35KW (F1+LTM) HASTA 50KW</v>
          </cell>
          <cell r="I1331">
            <v>0</v>
          </cell>
        </row>
        <row r="1332">
          <cell r="B1332" t="str">
            <v>*095292</v>
          </cell>
          <cell r="C1332" t="str">
            <v>RETIRO DE SOPORTE DE PRFV PARA CAJA PORTAMEDIDOR</v>
          </cell>
          <cell r="I1332">
            <v>0</v>
          </cell>
        </row>
        <row r="1333">
          <cell r="B1333" t="str">
            <v>*096019</v>
          </cell>
          <cell r="C1333" t="str">
            <v>RETIRO DE ALAMBRADA DE CAJA DISTRIBUCIÓN A TOMA L -LT.</v>
          </cell>
          <cell r="I1333">
            <v>0</v>
          </cell>
        </row>
        <row r="1334">
          <cell r="B1334" t="str">
            <v>*090114</v>
          </cell>
          <cell r="C1334" t="str">
            <v>TRASLADO CONDUCTOR CU O AL DESNUDO/FORRADO MAYOR DE 35 HASTA 70 mm2</v>
          </cell>
          <cell r="I1334">
            <v>0</v>
          </cell>
        </row>
        <row r="1335">
          <cell r="B1335" t="str">
            <v>*090161</v>
          </cell>
          <cell r="C1335" t="str">
            <v>TRASLADO CABLE AUTOSOPORTADO DE BT CU O AL MAYOR DE 10 HASTA 25 mm2</v>
          </cell>
          <cell r="I1335">
            <v>0</v>
          </cell>
        </row>
        <row r="1336">
          <cell r="B1336" t="str">
            <v>*090162</v>
          </cell>
          <cell r="C1336" t="str">
            <v>TRASLADO CABLE AUTOSOPORTADO DE BT CU O AL MAYOR DE 10 HASTA 25 mm2</v>
          </cell>
          <cell r="I1336">
            <v>0</v>
          </cell>
        </row>
        <row r="1337">
          <cell r="B1337" t="str">
            <v>*090164</v>
          </cell>
          <cell r="C1337" t="str">
            <v>TRASLADO CONDUCTOR CU O AL  DESNUDO/FORRADO MAYOR DE 120 HASTA 240 mm2.</v>
          </cell>
          <cell r="I1337">
            <v>0</v>
          </cell>
        </row>
        <row r="1338">
          <cell r="B1338" t="str">
            <v>*090163</v>
          </cell>
          <cell r="C1338" t="str">
            <v>TRASLADO CABLE AUTOSOPORTADO DE BT CU O AL MAYOR DE 50 HASTA 120 mm2</v>
          </cell>
          <cell r="I1338">
            <v>0</v>
          </cell>
        </row>
        <row r="1339">
          <cell r="B1339" t="str">
            <v>*090124</v>
          </cell>
          <cell r="C1339" t="str">
            <v>TRASLADO DE CONDUCTOR CU O AL  DESNUDO/FORRADO MAYOR DE 70 HASTA 120 mm2</v>
          </cell>
          <cell r="I1339">
            <v>0</v>
          </cell>
        </row>
        <row r="1340">
          <cell r="B1340" t="str">
            <v>*090166</v>
          </cell>
          <cell r="C1340" t="str">
            <v>TRASLADO CONDUCTOR CU O AL DESNUDO/FORRADO HASTA 25 mm2</v>
          </cell>
          <cell r="I1340">
            <v>0</v>
          </cell>
        </row>
        <row r="1341">
          <cell r="B1341" t="str">
            <v>*093081</v>
          </cell>
          <cell r="C1341" t="str">
            <v>TRASLADO SOLO ACOMETIDA AÉREA</v>
          </cell>
          <cell r="I1341">
            <v>0</v>
          </cell>
        </row>
        <row r="1342">
          <cell r="B1342" t="str">
            <v>*091356</v>
          </cell>
          <cell r="C1342" t="str">
            <v>TRASLADO PASTORAL SIMPLE CUALQUIER TIPO DISPERSO MENOR A 6 PASTORALES</v>
          </cell>
          <cell r="I1342">
            <v>0</v>
          </cell>
        </row>
        <row r="1343">
          <cell r="B1343" t="str">
            <v>*090103</v>
          </cell>
          <cell r="C1343" t="str">
            <v>TRASLADO CONDUCTOR CU O AL DESNUDO/FORRADO MAYOR DE 25 HASTA 35 mm2</v>
          </cell>
          <cell r="I1343">
            <v>0</v>
          </cell>
        </row>
        <row r="1344">
          <cell r="B1344" t="str">
            <v>*091516</v>
          </cell>
          <cell r="C1344" t="str">
            <v>TRASLADO CABLE SECO MT DE 1x120mm2 HASTA 1x400mm2</v>
          </cell>
          <cell r="I1344">
            <v>0</v>
          </cell>
        </row>
        <row r="1345">
          <cell r="B1345" t="str">
            <v>*091322</v>
          </cell>
          <cell r="C1345" t="str">
            <v>TRASLADO LUMINARIA 125/250 HG  70/150/250/400 W NA. O FAROLA COMPLETA MASIVO</v>
          </cell>
          <cell r="I1345">
            <v>0</v>
          </cell>
        </row>
        <row r="1346">
          <cell r="B1346" t="str">
            <v>*091421</v>
          </cell>
          <cell r="C1346" t="str">
            <v>TRASLADO CABLE NYY BT MAYOR A 3-1x16 HASTA 3-1x70 mm2</v>
          </cell>
          <cell r="I1346">
            <v>0</v>
          </cell>
        </row>
        <row r="1347">
          <cell r="B1347" t="str">
            <v>*090167</v>
          </cell>
          <cell r="C1347" t="str">
            <v>TRASLADO CABLE AUTOSOPORTADO DE BT CU O AL HASTA 10 MM2</v>
          </cell>
          <cell r="I1347">
            <v>0</v>
          </cell>
        </row>
        <row r="1348">
          <cell r="B1348" t="str">
            <v>*091412</v>
          </cell>
          <cell r="C1348" t="str">
            <v>TRASLADO CABLE NYY BT HASTA 3-1x16mm2</v>
          </cell>
          <cell r="I1348">
            <v>0</v>
          </cell>
        </row>
        <row r="1349">
          <cell r="B1349" t="str">
            <v>*091513</v>
          </cell>
          <cell r="C1349" t="str">
            <v>TRASLADO CABLE SECO MT DE 1x35mm2 HASTA 1x95mm2</v>
          </cell>
          <cell r="I1349">
            <v>0</v>
          </cell>
        </row>
        <row r="1350">
          <cell r="B1350" t="str">
            <v>*093247</v>
          </cell>
          <cell r="C1350" t="str">
            <v>TRASLADO CAJA DE DISTRIBUC. ACOM. DOMIC. EN POSTE O PARED  (INCLUYE ALIMENTACION A CAJA)</v>
          </cell>
          <cell r="I1350">
            <v>0</v>
          </cell>
        </row>
        <row r="1351">
          <cell r="B1351" t="str">
            <v>*091442</v>
          </cell>
          <cell r="C1351" t="str">
            <v>TRASLADO CABLE NYY BT MAYOR A 3-1x70mm2  HASTA 3-1x185mm2</v>
          </cell>
          <cell r="I1351">
            <v>0</v>
          </cell>
        </row>
        <row r="1352">
          <cell r="B1352" t="str">
            <v>*091381</v>
          </cell>
          <cell r="C1352" t="str">
            <v>TRASLADO DE CABLE CONCENTRICO 6 mm2</v>
          </cell>
          <cell r="I1352">
            <v>0</v>
          </cell>
        </row>
        <row r="1353">
          <cell r="B1353" t="str">
            <v>*091508</v>
          </cell>
          <cell r="C1353" t="str">
            <v>TRASLADO CABLE SECO MT DE 1x25mm2 hasta 1x35 mm2</v>
          </cell>
          <cell r="I1353">
            <v>0</v>
          </cell>
        </row>
        <row r="1354">
          <cell r="B1354" t="str">
            <v>*093071</v>
          </cell>
          <cell r="C1354" t="str">
            <v>TRASLADO DE ACOMETIDA AEREA Y ACCESORIOS</v>
          </cell>
          <cell r="I1354">
            <v>0</v>
          </cell>
        </row>
        <row r="1355">
          <cell r="B1355" t="str">
            <v>*093251</v>
          </cell>
          <cell r="C1355" t="str">
            <v>TRASLADO ACOMETIDA SUBTERRANEA SOLA SIN CAJA CONEXION</v>
          </cell>
          <cell r="I1355">
            <v>0</v>
          </cell>
        </row>
        <row r="1356">
          <cell r="B1356" t="str">
            <v>*091683</v>
          </cell>
          <cell r="C1356" t="str">
            <v>TRASLADO TUBO PVC.A POSTE P/PUNTO DE ALIMENTACION</v>
          </cell>
          <cell r="I1356">
            <v>0</v>
          </cell>
        </row>
        <row r="1357">
          <cell r="B1357" t="str">
            <v>*090032</v>
          </cell>
          <cell r="C1357" t="str">
            <v>TRASLADO DE CADENA 1 AISLADOR SUSPENSION MT</v>
          </cell>
          <cell r="I1357">
            <v>0</v>
          </cell>
        </row>
        <row r="1358">
          <cell r="B1358" t="str">
            <v>*091359</v>
          </cell>
          <cell r="C1358" t="str">
            <v>TRASLADO DE PASTORAL SIMPLE CUALQUIER TIPO MASIVO MAYOR O IGUAL A 6 PASTORALES</v>
          </cell>
          <cell r="I1358">
            <v>0</v>
          </cell>
        </row>
        <row r="1359">
          <cell r="B1359" t="str">
            <v>*091361</v>
          </cell>
          <cell r="C1359" t="str">
            <v>TRASLADO DE PASTORAL SIMPLE INC ABRAZDS (CUALQ TIPO); TRAB MASIVO EN CTRL TEC Y CAL SERV</v>
          </cell>
          <cell r="I1359">
            <v>0</v>
          </cell>
        </row>
        <row r="1360">
          <cell r="B1360" t="str">
            <v>*091326</v>
          </cell>
          <cell r="C1360" t="str">
            <v>TRASLADO DE LUMINARIA LED 125/250 HG  70/150/250/400 W NA. O FAROLA COMPLETA MASIVO</v>
          </cell>
          <cell r="I1360">
            <v>0</v>
          </cell>
        </row>
        <row r="1361">
          <cell r="B1361" t="str">
            <v>*091451</v>
          </cell>
          <cell r="C1361" t="str">
            <v>TRASLADO DE CABLE NYY BT MAYOR A 3-1x185mm2</v>
          </cell>
          <cell r="I1361">
            <v>0</v>
          </cell>
        </row>
        <row r="1362">
          <cell r="B1362" t="str">
            <v>*091304</v>
          </cell>
          <cell r="C1362" t="str">
            <v>TRASLADO DE PASTORAL PARABOLICO CUALQUIER TIPO DISPERSO MENOR A 6 UNIDADES</v>
          </cell>
          <cell r="I1362">
            <v>0</v>
          </cell>
        </row>
        <row r="1363">
          <cell r="B1363" t="str">
            <v>*090396</v>
          </cell>
          <cell r="C1363" t="str">
            <v>TRASLADO DE PUNTO DE FIJACION  CABLE AUTOSOPORTADO</v>
          </cell>
          <cell r="I1363">
            <v>0</v>
          </cell>
        </row>
        <row r="1364">
          <cell r="B1364" t="str">
            <v>*090062</v>
          </cell>
          <cell r="C1364" t="str">
            <v>TRASLADO DE DIAGONAL PARA CRUCETA DE MADERA O FIERRO</v>
          </cell>
          <cell r="I1364">
            <v>0</v>
          </cell>
        </row>
        <row r="1365">
          <cell r="B1365" t="str">
            <v>*090911</v>
          </cell>
          <cell r="C1365" t="str">
            <v>TRASLADO DE SECCIONADOR FUSIBLE O TERMOMAGNÉTICO BT TRIPOLAR</v>
          </cell>
          <cell r="I1365">
            <v>0</v>
          </cell>
        </row>
        <row r="1366">
          <cell r="B1366" t="str">
            <v>*098851</v>
          </cell>
          <cell r="C1366" t="str">
            <v>TRASLADO CABLE COMUNICACIÓN POR TERNA  EN SE HASTA 500 MM2</v>
          </cell>
          <cell r="I1366">
            <v>0</v>
          </cell>
        </row>
        <row r="1367">
          <cell r="B1367" t="str">
            <v>*090321</v>
          </cell>
          <cell r="C1367" t="str">
            <v>TRASLADO DE RETENIDA-TEMPLADOR AEREO MT Y BT.</v>
          </cell>
          <cell r="I1367">
            <v>0</v>
          </cell>
        </row>
        <row r="1368">
          <cell r="B1368" t="str">
            <v>*090511</v>
          </cell>
          <cell r="C1368" t="str">
            <v>TRASLADO DE PROTECCION RIEL CIMENTADO Y PINTADO(OBRA VENDIDA)</v>
          </cell>
          <cell r="I1368">
            <v>0</v>
          </cell>
        </row>
        <row r="1369">
          <cell r="B1369" t="str">
            <v>*093162</v>
          </cell>
          <cell r="C1369" t="str">
            <v>TRASLADO ALAMBRADO DE CAJA MONOFÁSICA  O TRIFÁSICA (MANTENIMIENTO)</v>
          </cell>
          <cell r="I1369">
            <v>0</v>
          </cell>
        </row>
        <row r="1370">
          <cell r="B1370" t="str">
            <v>*090431</v>
          </cell>
          <cell r="C1370" t="str">
            <v>TRASLADO DE PORTALINEA DE PASO O REMATE DE 1 A 5 VIAS</v>
          </cell>
          <cell r="I1370">
            <v>0</v>
          </cell>
        </row>
        <row r="1371">
          <cell r="B1371" t="str">
            <v>*093042</v>
          </cell>
          <cell r="C1371" t="str">
            <v>TRASLADO DE MASTIL DE 1,8 A 6 M</v>
          </cell>
          <cell r="I1371">
            <v>0</v>
          </cell>
        </row>
        <row r="1372">
          <cell r="B1372" t="str">
            <v>*090015</v>
          </cell>
          <cell r="C1372" t="str">
            <v>TRASLADO DE AISLADOR PIN MT EN CRUCETA</v>
          </cell>
          <cell r="I1372">
            <v>0</v>
          </cell>
        </row>
        <row r="1373">
          <cell r="B1373" t="str">
            <v>*091086</v>
          </cell>
          <cell r="C1373" t="str">
            <v>TRASLADO BASE FUSIBLE SECCIONADOR UNIPOLAR</v>
          </cell>
          <cell r="I1373">
            <v>0</v>
          </cell>
        </row>
        <row r="1374">
          <cell r="B1374" t="str">
            <v>*093043</v>
          </cell>
          <cell r="C1374" t="str">
            <v>TRASLADO DE CORONA 4 GANCHOS PARA ACOMETIDA DOMICILIARIA</v>
          </cell>
          <cell r="I1374">
            <v>0</v>
          </cell>
        </row>
        <row r="1375">
          <cell r="B1375" t="str">
            <v>*090066</v>
          </cell>
          <cell r="C1375" t="str">
            <v>TRASLADO ABRAZADERA PARA PERFIL DE ESTRUCTURA MT</v>
          </cell>
          <cell r="I1375">
            <v>0</v>
          </cell>
        </row>
        <row r="1376">
          <cell r="B1376" t="str">
            <v>*093424</v>
          </cell>
          <cell r="C1376" t="str">
            <v>TRASLADO DE MED. ELECTRONICO CON SEGURO</v>
          </cell>
          <cell r="I1376">
            <v>0</v>
          </cell>
        </row>
        <row r="1377">
          <cell r="B1377" t="str">
            <v>*098198</v>
          </cell>
          <cell r="C1377" t="str">
            <v>Traslado de tubo corrugado</v>
          </cell>
          <cell r="I1377">
            <v>0</v>
          </cell>
        </row>
        <row r="1378">
          <cell r="B1378" t="str">
            <v>*098671</v>
          </cell>
          <cell r="C1378" t="str">
            <v>TRASLADO DE CRUCETA O MÉNSULA DOBLE DE MADERA</v>
          </cell>
          <cell r="I1378">
            <v>0</v>
          </cell>
        </row>
        <row r="1379">
          <cell r="B1379" t="str">
            <v>*090194</v>
          </cell>
          <cell r="C1379" t="str">
            <v>TRASLADO DE CRUCETA O MENSULA SIMPLE DE MADERA O FIERRO</v>
          </cell>
          <cell r="I1379">
            <v>0</v>
          </cell>
        </row>
        <row r="1380">
          <cell r="B1380" t="str">
            <v>*099113</v>
          </cell>
          <cell r="C1380" t="str">
            <v>TRASLADO MEDIDOR TRIFÁSICO SIN SEGURO - CON MISMA CUADRILLA - RUTINA</v>
          </cell>
          <cell r="I1380">
            <v>0</v>
          </cell>
        </row>
        <row r="1381">
          <cell r="B1381" t="str">
            <v>*093252</v>
          </cell>
          <cell r="C1381" t="str">
            <v>TRASLADO DE REDUCTORES Y CABLE CLIENTE</v>
          </cell>
          <cell r="I1381">
            <v>0</v>
          </cell>
        </row>
        <row r="1382">
          <cell r="B1382" t="str">
            <v>*090593</v>
          </cell>
          <cell r="C1382" t="str">
            <v>TRASLADO DE CANALETA METALICA PROTECTORA PARA SUBIDA DE CABLES DE MT Y BT SIN ZOCALO</v>
          </cell>
          <cell r="I1382">
            <v>0</v>
          </cell>
        </row>
        <row r="1383">
          <cell r="B1383" t="str">
            <v>*093051</v>
          </cell>
          <cell r="C1383" t="str">
            <v>Traslado de caja suministro BT-6 - 093050</v>
          </cell>
          <cell r="I1383">
            <v>0</v>
          </cell>
        </row>
        <row r="1384">
          <cell r="B1384" t="str">
            <v>*099115</v>
          </cell>
          <cell r="C1384" t="str">
            <v>TRASLADO DE MEDIDOR MONOF. SIN SEGURO - CON MISMA CUADRILLA - RUTINA</v>
          </cell>
          <cell r="I1384">
            <v>0</v>
          </cell>
        </row>
        <row r="1385">
          <cell r="B1385" t="str">
            <v>*091231</v>
          </cell>
          <cell r="C1385" t="str">
            <v>TRASLADO DE SISTEMA DE ENCENDIDO AUTOMÁTICO AÉREO</v>
          </cell>
          <cell r="I1385">
            <v>0</v>
          </cell>
        </row>
        <row r="1386">
          <cell r="B1386" t="str">
            <v>*095288</v>
          </cell>
          <cell r="C1386" t="str">
            <v>TRASLADO DE MURETE PREFABRICADO, INCLUYE  MANO DE OBRA Y TRANSPORTE</v>
          </cell>
          <cell r="I1386">
            <v>0</v>
          </cell>
        </row>
        <row r="1387">
          <cell r="B1387" t="str">
            <v>*091529</v>
          </cell>
          <cell r="C1387" t="str">
            <v>TRASLADO DE TERMINAL INTERIOR O EXTERIOR TRIF. TIPO TERMOR. O SIMILAR HASTA 240 MM2.</v>
          </cell>
          <cell r="I1387">
            <v>0</v>
          </cell>
        </row>
        <row r="1388">
          <cell r="B1388" t="str">
            <v>*090975</v>
          </cell>
          <cell r="C1388" t="str">
            <v>TRASLADO DE ANCLAJE CON DOS PUNTOS PARA TRANSFORMADOR DE DISTRIBUCION</v>
          </cell>
          <cell r="I1388">
            <v>0</v>
          </cell>
        </row>
        <row r="1389">
          <cell r="B1389" t="str">
            <v>*090393</v>
          </cell>
          <cell r="C1389" t="str">
            <v>TRASLADO DE PERNO PARA ANCLAJE CABLE AUTOSOPORTADO</v>
          </cell>
          <cell r="I1389">
            <v>0</v>
          </cell>
        </row>
        <row r="1390">
          <cell r="B1390" t="str">
            <v>*091534</v>
          </cell>
          <cell r="C1390" t="str">
            <v>TRASLADO DE CONECTOR DE CODO C/CABLE SECO N2XSY DE 25 mm2 SCP Y SCB (3 CONECT.)</v>
          </cell>
          <cell r="I1390">
            <v>0</v>
          </cell>
        </row>
        <row r="1391">
          <cell r="B1391" t="str">
            <v>*098691</v>
          </cell>
          <cell r="C1391" t="str">
            <v>TRASLADO DE CABLE COMUNICACIÓN BT HASTA 300 MM2</v>
          </cell>
          <cell r="I1391">
            <v>0</v>
          </cell>
        </row>
        <row r="1392">
          <cell r="B1392" t="str">
            <v>*091091</v>
          </cell>
          <cell r="C1392" t="str">
            <v>TRASLADO DE CELULA FOTOELECTRICA COMPLETA</v>
          </cell>
          <cell r="I1392">
            <v>0</v>
          </cell>
        </row>
        <row r="1393">
          <cell r="B1393" t="str">
            <v>*091053</v>
          </cell>
          <cell r="C1393" t="str">
            <v>TRASLADO DE CAJA Y TABLERO DISTRIBUCION SAB, SCB / SCP</v>
          </cell>
          <cell r="I1393">
            <v>0</v>
          </cell>
        </row>
        <row r="1394">
          <cell r="B1394" t="str">
            <v>*093121</v>
          </cell>
          <cell r="C1394" t="str">
            <v>Traslado DE CAJA L, LT O ESTANDAR SOLA O EN BANCO DE MEDIDORES</v>
          </cell>
          <cell r="I1394">
            <v>0</v>
          </cell>
        </row>
        <row r="1395">
          <cell r="B1395" t="str">
            <v>*091308</v>
          </cell>
          <cell r="C1395" t="str">
            <v>TrasladoPastoral parabólico cualquier tipo, incluye abrazaderas,trabajo masivo en ctrl tec. - 091307</v>
          </cell>
          <cell r="I1395">
            <v>0</v>
          </cell>
        </row>
        <row r="1396">
          <cell r="B1396" t="str">
            <v>*090936</v>
          </cell>
          <cell r="C1396" t="str">
            <v>TRASLADO DE PARARRAYOS UNIPOLARES (3 UNIDADES)</v>
          </cell>
          <cell r="I1396">
            <v>0</v>
          </cell>
        </row>
        <row r="1397">
          <cell r="B1397" t="str">
            <v>*091101</v>
          </cell>
          <cell r="C1397" t="str">
            <v>TRASLADO DE CELULA FOTOELECTRICA SIN BASE</v>
          </cell>
          <cell r="I1397">
            <v>0</v>
          </cell>
        </row>
        <row r="1398">
          <cell r="B1398" t="str">
            <v>*091281</v>
          </cell>
          <cell r="C1398" t="str">
            <v>TRASLADO DE CONEXION A LUMINARIA</v>
          </cell>
          <cell r="I1398">
            <v>0</v>
          </cell>
        </row>
        <row r="1399">
          <cell r="B1399" t="str">
            <v>*090311</v>
          </cell>
          <cell r="C1399" t="str">
            <v>TRASLADO DE RETENIDA SIMPLE O VIOLIN MT O BT</v>
          </cell>
          <cell r="I1399">
            <v>0</v>
          </cell>
        </row>
        <row r="1400">
          <cell r="B1400" t="str">
            <v>*090741</v>
          </cell>
          <cell r="C1400" t="str">
            <v>TRASLADO DE GRAPA DE TENSION COBRE Y ALUMINIO</v>
          </cell>
          <cell r="I1400">
            <v>0</v>
          </cell>
        </row>
        <row r="1401">
          <cell r="B1401" t="str">
            <v>*093455</v>
          </cell>
          <cell r="C1401" t="str">
            <v>TRASLADO DE MEDIDOR ELECTRONICO SIN SEGURO</v>
          </cell>
          <cell r="I1401">
            <v>0</v>
          </cell>
        </row>
        <row r="1402">
          <cell r="B1402" t="str">
            <v>*091723</v>
          </cell>
          <cell r="C1402" t="str">
            <v>TRASLADO DE RELE HB EN CELDA (INCL. VARILLAS)</v>
          </cell>
          <cell r="I1402">
            <v>0</v>
          </cell>
        </row>
        <row r="1403">
          <cell r="B1403" t="str">
            <v>*091051</v>
          </cell>
          <cell r="C1403" t="str">
            <v>TRASLADO DE BASE DE CONCRETO PARA TABLERO TAM3, TAM4 (NO INCLUYE BASE)</v>
          </cell>
          <cell r="I1403">
            <v>0</v>
          </cell>
        </row>
        <row r="1404">
          <cell r="B1404" t="str">
            <v>*090498</v>
          </cell>
          <cell r="C1404" t="str">
            <v>TRASLADO DE POSTES DE PRFV HASTA 8.7 M EN ZONA INACCESIBLE CON CIMENTACIÓN</v>
          </cell>
          <cell r="I1404">
            <v>0</v>
          </cell>
        </row>
        <row r="1405">
          <cell r="B1405" t="str">
            <v>*091931</v>
          </cell>
          <cell r="C1405" t="str">
            <v>TRASLADO DE DUCTO PVC (POR UNIDAD DE 3M ) DE HASTA 6"" EN ZANJA DE MT O BT"</v>
          </cell>
          <cell r="I1405">
            <v>0</v>
          </cell>
        </row>
        <row r="1406">
          <cell r="B1406" t="str">
            <v>*093459</v>
          </cell>
          <cell r="C1406" t="str">
            <v>TRASLADO DE MEDIDOR MONOF.SIN SEGURO - CON DIFERENTE CUADRILLA</v>
          </cell>
          <cell r="I1406">
            <v>0</v>
          </cell>
        </row>
        <row r="1407">
          <cell r="B1407" t="str">
            <v>*099239</v>
          </cell>
          <cell r="C1407" t="str">
            <v>TRASLADO DE PUERTA SUPERIOR EN CELDA DE MEDIA TENSIÓN EN SUBESTACIÓN CONVENCIONAL</v>
          </cell>
          <cell r="I1407">
            <v>0</v>
          </cell>
        </row>
        <row r="1408">
          <cell r="B1408" t="str">
            <v>*093463</v>
          </cell>
          <cell r="C1408" t="str">
            <v>TRASLADO DE MEDIDOR TRIFASICO SIN SEGURO - CON DIFERENTE CUADRILLA</v>
          </cell>
          <cell r="I1408">
            <v>0</v>
          </cell>
        </row>
        <row r="1409">
          <cell r="B1409" t="str">
            <v>*090336</v>
          </cell>
          <cell r="C1409" t="str">
            <v>TRASLADO DE RIEL DE PROTECCION</v>
          </cell>
          <cell r="I1409">
            <v>0</v>
          </cell>
        </row>
        <row r="1410">
          <cell r="B1410" t="str">
            <v>*090811</v>
          </cell>
          <cell r="C1410" t="str">
            <v>TRASLADO DE CONECTOR CUALQUIER TIPO HASTA 300 mm2 EN COBRE O ALUMINIO</v>
          </cell>
          <cell r="I1410">
            <v>0</v>
          </cell>
        </row>
        <row r="1411">
          <cell r="B1411" t="str">
            <v>*091305</v>
          </cell>
          <cell r="C1411" t="str">
            <v>TRASLADO DE PASTORAL PARABOLICO CUALQUIER TIPO MASIVO MAYOR O IGUAL A 6 PASTORALES</v>
          </cell>
          <cell r="I1411">
            <v>0</v>
          </cell>
        </row>
        <row r="1412">
          <cell r="B1412" t="str">
            <v>*090002</v>
          </cell>
          <cell r="C1412" t="str">
            <v>TRASLADO DE AISLADOR PIN MT EN PUNTA DE POSTE</v>
          </cell>
          <cell r="I1412">
            <v>0</v>
          </cell>
        </row>
        <row r="1413">
          <cell r="B1413" t="str">
            <v>*090379</v>
          </cell>
          <cell r="C1413" t="str">
            <v>TRASLADO DE CABLEADO DE SISTEMA DE PUESTA A TIERRA PARA POSTE NUEVO</v>
          </cell>
          <cell r="I1413">
            <v>0</v>
          </cell>
        </row>
        <row r="1414">
          <cell r="B1414" t="str">
            <v>*091052</v>
          </cell>
          <cell r="C1414" t="str">
            <v>TRASLADO DE EQUIPAMIENTO PARA TABLERO AÉREO</v>
          </cell>
          <cell r="I1414">
            <v>0</v>
          </cell>
        </row>
        <row r="1415">
          <cell r="B1415" t="str">
            <v>*090171</v>
          </cell>
          <cell r="C1415" t="str">
            <v>TRASLADO DE MENSULA DE C.A HASTA 1.2 m</v>
          </cell>
          <cell r="I1415">
            <v>0</v>
          </cell>
        </row>
        <row r="1416">
          <cell r="B1416" t="str">
            <v>*093651</v>
          </cell>
          <cell r="C1416" t="str">
            <v>TRASLADO DE CAJA TOMA F1 C/ACOMET DE HASTA 75 KW. PARA USO NO INDUSTRIAL S/VEREDA</v>
          </cell>
          <cell r="I1416">
            <v>0</v>
          </cell>
        </row>
        <row r="1417">
          <cell r="B1417" t="str">
            <v>*090306</v>
          </cell>
          <cell r="C1417" t="str">
            <v>TRASLADO DE POSTE C.A.C. DE 15. m.- No incluye Tracto</v>
          </cell>
          <cell r="I1417">
            <v>0</v>
          </cell>
        </row>
        <row r="1418">
          <cell r="B1418" t="str">
            <v>*091111</v>
          </cell>
          <cell r="C1418" t="str">
            <v>TRASLADO DE CONTACTOR COMPLETO</v>
          </cell>
          <cell r="I1418">
            <v>0</v>
          </cell>
        </row>
        <row r="1419">
          <cell r="B1419" t="str">
            <v>*090853</v>
          </cell>
          <cell r="C1419" t="str">
            <v>TRASLADO DE BLOQUE DE PROTECCION CONCRETO</v>
          </cell>
          <cell r="I1419">
            <v>0</v>
          </cell>
        </row>
        <row r="1420">
          <cell r="B1420" t="str">
            <v>*098147</v>
          </cell>
          <cell r="C1420" t="str">
            <v>TRASLADO DE EQUIPAMIENTO DE CAJA F4</v>
          </cell>
          <cell r="I1420">
            <v>0</v>
          </cell>
        </row>
        <row r="1421">
          <cell r="B1421" t="str">
            <v>*090258</v>
          </cell>
          <cell r="C1421" t="str">
            <v>TRASLADO DE POSTE C.A.C. DE 8.70 O 9.00 M</v>
          </cell>
          <cell r="I1421">
            <v>0</v>
          </cell>
        </row>
        <row r="1422">
          <cell r="B1422" t="str">
            <v>*090129</v>
          </cell>
          <cell r="C1422" t="str">
            <v>TRASLADO DE CABLE AUTOSOPORTADO DE MT MAYOR DE 50 HASTA 120 mm</v>
          </cell>
          <cell r="I1422">
            <v>0</v>
          </cell>
        </row>
        <row r="1423">
          <cell r="B1423" t="str">
            <v>*090128</v>
          </cell>
          <cell r="C1423" t="str">
            <v>TRASLADO DE CABLE AUTOSOPORTADO DE MT HASTA 50 mm2</v>
          </cell>
          <cell r="I1423">
            <v>0</v>
          </cell>
        </row>
        <row r="1424">
          <cell r="B1424" t="str">
            <v>*090751</v>
          </cell>
          <cell r="C1424" t="str">
            <v>TRASLADO DE AISLADOR CARRETE BT</v>
          </cell>
          <cell r="I1424">
            <v>0</v>
          </cell>
        </row>
      </sheetData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Materiales"/>
      <sheetName val="Servicio Tercerizado"/>
      <sheetName val="Movimientos"/>
      <sheetName val="Resumen"/>
    </sheetNames>
    <sheetDataSet>
      <sheetData sheetId="0"/>
      <sheetData sheetId="1">
        <row r="4">
          <cell r="B4" t="str">
            <v>Cod. Matrícula</v>
          </cell>
          <cell r="C4" t="str">
            <v>Descripción</v>
          </cell>
          <cell r="D4" t="str">
            <v>Tip. Val.</v>
          </cell>
          <cell r="E4" t="str">
            <v>Stp. Val.</v>
          </cell>
          <cell r="F4" t="str">
            <v>Tip. Costo</v>
          </cell>
          <cell r="G4" t="str">
            <v>Factor ITR</v>
          </cell>
          <cell r="H4" t="str">
            <v>Valor ITR</v>
          </cell>
          <cell r="I4" t="str">
            <v>Precio Unit.</v>
          </cell>
          <cell r="J4" t="str">
            <v>Proveedor</v>
          </cell>
          <cell r="K4" t="str">
            <v>SubContratista</v>
          </cell>
          <cell r="L4" t="str">
            <v>Pago Contra.</v>
          </cell>
          <cell r="M4" t="str">
            <v>Sec. Factura</v>
          </cell>
          <cell r="N4" t="str">
            <v>Moneda</v>
          </cell>
          <cell r="O4" t="str">
            <v>Precio Costo</v>
          </cell>
          <cell r="P4" t="str">
            <v>Precio Cliente</v>
          </cell>
          <cell r="Q4" t="str">
            <v>Precio Contra</v>
          </cell>
        </row>
        <row r="5">
          <cell r="B5" t="str">
            <v>*010213</v>
          </cell>
          <cell r="C5" t="str">
            <v>CUADRILLA DE MANTENIMIENTO CON GRUA DE 9 TN Y TRES</v>
          </cell>
          <cell r="D5" t="str">
            <v>40=ALP EXCLUSIVO</v>
          </cell>
          <cell r="E5" t="str">
            <v>S=SUBTERRÁNEO</v>
          </cell>
          <cell r="F5" t="str">
            <v>I=INVERSION</v>
          </cell>
          <cell r="G5" t="str">
            <v>I=INSTALACION</v>
          </cell>
          <cell r="H5">
            <v>1</v>
          </cell>
          <cell r="I5">
            <v>1</v>
          </cell>
          <cell r="J5" t="str">
            <v>20206018411=TECSUR S.A.</v>
          </cell>
          <cell r="K5" t="str">
            <v>20604989931=ENCOSSA</v>
          </cell>
          <cell r="L5" t="str">
            <v>S</v>
          </cell>
          <cell r="M5">
            <v>2</v>
          </cell>
          <cell r="N5" t="str">
            <v>NSOLES</v>
          </cell>
          <cell r="O5">
            <v>201.04</v>
          </cell>
          <cell r="P5">
            <v>201.04</v>
          </cell>
          <cell r="Q5">
            <v>201.04</v>
          </cell>
        </row>
        <row r="6">
          <cell r="B6" t="str">
            <v>*090470</v>
          </cell>
          <cell r="C6" t="str">
            <v>CAMBIO DE POSTE INACCESIBLE CON CABRIA  DE CAC POR</v>
          </cell>
          <cell r="D6" t="str">
            <v>40=ALP EXCLUSIVO</v>
          </cell>
          <cell r="E6" t="str">
            <v>S=SUBTERRÁNEO</v>
          </cell>
          <cell r="F6" t="str">
            <v>I=INVERSION</v>
          </cell>
          <cell r="G6" t="str">
            <v>I=INSTALACION</v>
          </cell>
          <cell r="H6">
            <v>1</v>
          </cell>
          <cell r="I6">
            <v>1</v>
          </cell>
          <cell r="J6" t="str">
            <v>20206018411=TECSUR S.A.</v>
          </cell>
          <cell r="K6" t="str">
            <v>20604989931=ENCOSSA</v>
          </cell>
          <cell r="L6" t="str">
            <v>S</v>
          </cell>
          <cell r="M6">
            <v>2</v>
          </cell>
          <cell r="N6" t="str">
            <v>NSOLES</v>
          </cell>
          <cell r="O6">
            <v>1535.09</v>
          </cell>
          <cell r="P6">
            <v>1535.09</v>
          </cell>
          <cell r="Q6">
            <v>1535.09</v>
          </cell>
        </row>
        <row r="7">
          <cell r="B7" t="str">
            <v>*090630</v>
          </cell>
          <cell r="C7" t="str">
            <v>ARRASTRE DE POSTE DE CONCRETO  B.T.</v>
          </cell>
          <cell r="D7" t="str">
            <v>40=ALP EXCLUSIVO</v>
          </cell>
          <cell r="E7" t="str">
            <v>S=SUBTERRÁNEO</v>
          </cell>
          <cell r="F7" t="str">
            <v>I=INVERSION</v>
          </cell>
          <cell r="G7" t="str">
            <v>I=INSTALACION</v>
          </cell>
          <cell r="H7">
            <v>1</v>
          </cell>
          <cell r="I7">
            <v>1</v>
          </cell>
          <cell r="J7" t="str">
            <v>20206018411=TECSUR S.A.</v>
          </cell>
          <cell r="K7" t="str">
            <v>20604989931=ENCOSSA</v>
          </cell>
          <cell r="L7" t="str">
            <v>S</v>
          </cell>
          <cell r="M7">
            <v>2</v>
          </cell>
          <cell r="N7" t="str">
            <v>NSOLES</v>
          </cell>
          <cell r="O7">
            <v>9.0399999999999991</v>
          </cell>
          <cell r="P7">
            <v>9.0399999999999991</v>
          </cell>
          <cell r="Q7">
            <v>9.0399999999999991</v>
          </cell>
        </row>
        <row r="8">
          <cell r="B8" t="str">
            <v>*090632</v>
          </cell>
          <cell r="C8" t="str">
            <v>ARRASTRE DE POSTE CAC HASTA 9M ZONA INACCES (PEND</v>
          </cell>
          <cell r="D8" t="str">
            <v>40=ALP EXCLUSIVO</v>
          </cell>
          <cell r="E8" t="str">
            <v>S=SUBTERRÁNEO</v>
          </cell>
          <cell r="F8" t="str">
            <v>I=INVERSION</v>
          </cell>
          <cell r="G8" t="str">
            <v>I=INSTALACION</v>
          </cell>
          <cell r="H8">
            <v>1</v>
          </cell>
          <cell r="I8">
            <v>1</v>
          </cell>
          <cell r="J8" t="str">
            <v>20206018411=TECSUR S.A.</v>
          </cell>
          <cell r="K8" t="str">
            <v>20604989931=ENCOSSA</v>
          </cell>
          <cell r="L8" t="str">
            <v>S</v>
          </cell>
          <cell r="M8">
            <v>2</v>
          </cell>
          <cell r="N8" t="str">
            <v>NSOLES</v>
          </cell>
          <cell r="O8">
            <v>13.82</v>
          </cell>
          <cell r="P8">
            <v>13.82</v>
          </cell>
          <cell r="Q8">
            <v>13.82</v>
          </cell>
        </row>
        <row r="9">
          <cell r="B9" t="str">
            <v>*090633</v>
          </cell>
          <cell r="C9" t="str">
            <v>ACARREO DE MATERIALES PARA CIMENTACION DE POSTE AC</v>
          </cell>
          <cell r="D9" t="str">
            <v>40=ALP EXCLUSIVO</v>
          </cell>
          <cell r="E9" t="str">
            <v>S=SUBTERRÁNEO</v>
          </cell>
          <cell r="F9" t="str">
            <v>I=INVERSION</v>
          </cell>
          <cell r="G9" t="str">
            <v>I=INSTALACION</v>
          </cell>
          <cell r="H9">
            <v>1</v>
          </cell>
          <cell r="I9">
            <v>1</v>
          </cell>
          <cell r="J9" t="str">
            <v>20206018411=TECSUR S.A.</v>
          </cell>
          <cell r="K9" t="str">
            <v>20604989931=ENCOSSA</v>
          </cell>
          <cell r="L9" t="str">
            <v>S</v>
          </cell>
          <cell r="M9">
            <v>2</v>
          </cell>
          <cell r="N9" t="str">
            <v>NSOLES</v>
          </cell>
          <cell r="O9">
            <v>0.67</v>
          </cell>
          <cell r="P9">
            <v>0.67</v>
          </cell>
          <cell r="Q9">
            <v>0.67</v>
          </cell>
        </row>
        <row r="10">
          <cell r="B10" t="str">
            <v>*090636</v>
          </cell>
          <cell r="C10" t="str">
            <v>TRASLADO DE POSTES DE CONCRETO A ZONA DE DISPOSICI</v>
          </cell>
          <cell r="D10" t="str">
            <v>40=ALP EXCLUSIVO</v>
          </cell>
          <cell r="E10" t="str">
            <v>S=SUBTERRÁNEO</v>
          </cell>
          <cell r="F10" t="str">
            <v>I=INVERSION</v>
          </cell>
          <cell r="G10" t="str">
            <v>I=INSTALACION</v>
          </cell>
          <cell r="H10">
            <v>1</v>
          </cell>
          <cell r="I10">
            <v>1</v>
          </cell>
          <cell r="J10" t="str">
            <v>20206018411=TECSUR S.A.</v>
          </cell>
          <cell r="K10" t="str">
            <v>20604989931=ENCOSSA</v>
          </cell>
          <cell r="L10" t="str">
            <v>S</v>
          </cell>
          <cell r="M10">
            <v>2</v>
          </cell>
          <cell r="N10" t="str">
            <v>NSOLES</v>
          </cell>
          <cell r="O10">
            <v>74.66</v>
          </cell>
          <cell r="P10">
            <v>74.66</v>
          </cell>
          <cell r="Q10">
            <v>74.66</v>
          </cell>
        </row>
        <row r="11">
          <cell r="B11" t="str">
            <v>*090665</v>
          </cell>
          <cell r="C11" t="str">
            <v>TRASLADO DE POSTES DE CONCRETO A ZONA DE DISPOSICI</v>
          </cell>
          <cell r="D11" t="str">
            <v>40=ALP EXCLUSIVO</v>
          </cell>
          <cell r="E11" t="str">
            <v>S=SUBTERRÁNEO</v>
          </cell>
          <cell r="F11" t="str">
            <v>I=INVERSION</v>
          </cell>
          <cell r="G11" t="str">
            <v>I=INSTALACION</v>
          </cell>
          <cell r="H11">
            <v>1</v>
          </cell>
          <cell r="I11">
            <v>1</v>
          </cell>
          <cell r="J11" t="str">
            <v>20206018411=TECSUR S.A.</v>
          </cell>
          <cell r="K11" t="str">
            <v>20604989931=ENCOSSA</v>
          </cell>
          <cell r="L11" t="str">
            <v>S</v>
          </cell>
          <cell r="M11">
            <v>2</v>
          </cell>
          <cell r="N11" t="str">
            <v>NSOLES</v>
          </cell>
          <cell r="O11">
            <v>15</v>
          </cell>
          <cell r="P11">
            <v>15</v>
          </cell>
          <cell r="Q11">
            <v>0</v>
          </cell>
        </row>
        <row r="12">
          <cell r="B12" t="str">
            <v>*091240</v>
          </cell>
          <cell r="C12" t="str">
            <v>SUBIDA A POSTE DE CONCRETO O FIERRO C/EMPALME P/AP</v>
          </cell>
          <cell r="D12" t="str">
            <v>40=ALP EXCLUSIVO</v>
          </cell>
          <cell r="E12" t="str">
            <v>S=SUBTERRÁNEO</v>
          </cell>
          <cell r="F12" t="str">
            <v>I=INVERSION</v>
          </cell>
          <cell r="G12" t="str">
            <v>I=INSTALACION</v>
          </cell>
          <cell r="H12">
            <v>1</v>
          </cell>
          <cell r="I12">
            <v>1</v>
          </cell>
          <cell r="J12" t="str">
            <v>20206018411=TECSUR S.A.</v>
          </cell>
          <cell r="K12" t="str">
            <v>20604989931=ENCOSSA</v>
          </cell>
          <cell r="L12" t="str">
            <v>S</v>
          </cell>
          <cell r="M12">
            <v>2</v>
          </cell>
          <cell r="N12" t="str">
            <v>NSOLES</v>
          </cell>
          <cell r="O12">
            <v>250.43</v>
          </cell>
          <cell r="P12">
            <v>250.43</v>
          </cell>
          <cell r="Q12">
            <v>250.43</v>
          </cell>
        </row>
        <row r="13">
          <cell r="B13" t="str">
            <v>*091608</v>
          </cell>
          <cell r="C13" t="str">
            <v>Empalme aéreo BT con conector cuña, mecánico o a c</v>
          </cell>
          <cell r="D13" t="str">
            <v>40=ALP EXCLUSIVO</v>
          </cell>
          <cell r="E13" t="str">
            <v>S=SUBTERRÁNEO</v>
          </cell>
          <cell r="F13" t="str">
            <v>I=INVERSION</v>
          </cell>
          <cell r="G13" t="str">
            <v>I=INSTALACION</v>
          </cell>
          <cell r="H13">
            <v>1</v>
          </cell>
          <cell r="I13">
            <v>1</v>
          </cell>
          <cell r="J13" t="str">
            <v>20206018411=TECSUR S.A.</v>
          </cell>
          <cell r="K13" t="str">
            <v>20604989931=ENCOSSA</v>
          </cell>
          <cell r="L13" t="str">
            <v>S</v>
          </cell>
          <cell r="M13">
            <v>2</v>
          </cell>
          <cell r="N13" t="str">
            <v>NSOLES</v>
          </cell>
          <cell r="O13">
            <v>13.42</v>
          </cell>
          <cell r="P13">
            <v>13.42</v>
          </cell>
          <cell r="Q13">
            <v>13.42</v>
          </cell>
        </row>
        <row r="14">
          <cell r="B14" t="str">
            <v>*091842</v>
          </cell>
          <cell r="C14" t="str">
            <v>CORTE DE VEREDA PARA CAMBIO DE POSTE (&lt;2M2)</v>
          </cell>
          <cell r="D14" t="str">
            <v>40=ALP EXCLUSIVO</v>
          </cell>
          <cell r="E14" t="str">
            <v>S=SUBTERRÁNEO</v>
          </cell>
          <cell r="F14" t="str">
            <v>I=INVERSION</v>
          </cell>
          <cell r="G14" t="str">
            <v>I=INSTALACION</v>
          </cell>
          <cell r="H14">
            <v>1</v>
          </cell>
          <cell r="I14">
            <v>1</v>
          </cell>
          <cell r="J14" t="str">
            <v>20206018411=TECSUR S.A.</v>
          </cell>
          <cell r="K14" t="str">
            <v>20604989931=ENCOSSA</v>
          </cell>
          <cell r="L14" t="str">
            <v>S</v>
          </cell>
          <cell r="M14">
            <v>2</v>
          </cell>
          <cell r="N14" t="str">
            <v>NSOLES</v>
          </cell>
          <cell r="O14">
            <v>68.17</v>
          </cell>
          <cell r="P14">
            <v>68.17</v>
          </cell>
          <cell r="Q14">
            <v>68.17</v>
          </cell>
        </row>
        <row r="15">
          <cell r="B15" t="str">
            <v>*094395</v>
          </cell>
          <cell r="C15" t="str">
            <v>Inspección previa por reforma de redes por refuerz</v>
          </cell>
          <cell r="D15" t="str">
            <v>40=ALP EXCLUSIVO</v>
          </cell>
          <cell r="E15" t="str">
            <v>S=SUBTERRÁNEO</v>
          </cell>
          <cell r="F15" t="str">
            <v>I=INVERSION</v>
          </cell>
          <cell r="G15" t="str">
            <v>I=INSTALACION</v>
          </cell>
          <cell r="H15">
            <v>1</v>
          </cell>
          <cell r="I15">
            <v>1</v>
          </cell>
          <cell r="J15" t="str">
            <v>20206018411=TECSUR S.A.</v>
          </cell>
          <cell r="K15" t="str">
            <v>20604989931=ENCOSSA</v>
          </cell>
          <cell r="L15" t="str">
            <v>S</v>
          </cell>
          <cell r="M15">
            <v>2</v>
          </cell>
          <cell r="N15" t="str">
            <v>NSOLES</v>
          </cell>
          <cell r="O15">
            <v>53.06</v>
          </cell>
          <cell r="P15">
            <v>53.06</v>
          </cell>
          <cell r="Q15">
            <v>53.06</v>
          </cell>
        </row>
        <row r="16">
          <cell r="B16" t="str">
            <v>*094911</v>
          </cell>
          <cell r="C16" t="str">
            <v>SOLERA DE CONCRETO PARA CUALQUIER TIPO DE POSTE</v>
          </cell>
          <cell r="D16" t="str">
            <v>40=ALP EXCLUSIVO</v>
          </cell>
          <cell r="E16" t="str">
            <v>S=SUBTERRÁNEO</v>
          </cell>
          <cell r="F16" t="str">
            <v>I=INVERSION</v>
          </cell>
          <cell r="G16" t="str">
            <v>I=INSTALACION</v>
          </cell>
          <cell r="H16">
            <v>1</v>
          </cell>
          <cell r="I16">
            <v>1</v>
          </cell>
          <cell r="J16" t="str">
            <v>20206018411=TECSUR S.A.</v>
          </cell>
          <cell r="K16" t="str">
            <v>20604989931=ENCOSSA</v>
          </cell>
          <cell r="L16" t="str">
            <v>S</v>
          </cell>
          <cell r="M16">
            <v>2</v>
          </cell>
          <cell r="N16" t="str">
            <v>NSOLES</v>
          </cell>
          <cell r="O16">
            <v>21.7</v>
          </cell>
          <cell r="P16">
            <v>21.7</v>
          </cell>
          <cell r="Q16">
            <v>21.7</v>
          </cell>
        </row>
        <row r="17">
          <cell r="B17" t="str">
            <v>*094918</v>
          </cell>
          <cell r="C17" t="str">
            <v>CIMENTACIÓN PARA POSTE 8,7 m  POSTE NUEVO (SIN SOL</v>
          </cell>
          <cell r="D17" t="str">
            <v>40=ALP EXCLUSIVO</v>
          </cell>
          <cell r="E17" t="str">
            <v>S=SUBTERRÁNEO</v>
          </cell>
          <cell r="F17" t="str">
            <v>I=INVERSION</v>
          </cell>
          <cell r="G17" t="str">
            <v>I=INSTALACION</v>
          </cell>
          <cell r="H17">
            <v>1</v>
          </cell>
          <cell r="I17">
            <v>1</v>
          </cell>
          <cell r="J17" t="str">
            <v>20206018411=TECSUR S.A.</v>
          </cell>
          <cell r="K17" t="str">
            <v>20604989931=ENCOSSA</v>
          </cell>
          <cell r="L17" t="str">
            <v>S</v>
          </cell>
          <cell r="M17">
            <v>2</v>
          </cell>
          <cell r="N17" t="str">
            <v>NSOLES</v>
          </cell>
          <cell r="O17">
            <v>187.92</v>
          </cell>
          <cell r="P17">
            <v>187.92</v>
          </cell>
          <cell r="Q17">
            <v>187.92</v>
          </cell>
        </row>
        <row r="18">
          <cell r="B18" t="str">
            <v>*095266</v>
          </cell>
          <cell r="C18" t="str">
            <v>REPARACIÓN DE VEREDA PARA TRABAJOS EN POSTE</v>
          </cell>
          <cell r="D18" t="str">
            <v>40=ALP EXCLUSIVO</v>
          </cell>
          <cell r="E18" t="str">
            <v>S=SUBTERRÁNEO</v>
          </cell>
          <cell r="F18" t="str">
            <v>I=INVERSION</v>
          </cell>
          <cell r="G18" t="str">
            <v>I=INSTALACION</v>
          </cell>
          <cell r="H18">
            <v>1</v>
          </cell>
          <cell r="I18">
            <v>1</v>
          </cell>
          <cell r="J18" t="str">
            <v>20206018411=TECSUR S.A.</v>
          </cell>
          <cell r="K18" t="str">
            <v>20604989931=ENCOSSA</v>
          </cell>
          <cell r="L18" t="str">
            <v>S</v>
          </cell>
          <cell r="M18">
            <v>2</v>
          </cell>
          <cell r="N18" t="str">
            <v>NSOLES</v>
          </cell>
          <cell r="O18">
            <v>119.56</v>
          </cell>
          <cell r="P18">
            <v>119.56</v>
          </cell>
          <cell r="Q18">
            <v>119.56</v>
          </cell>
        </row>
        <row r="19">
          <cell r="B19" t="str">
            <v>*098203</v>
          </cell>
          <cell r="C19" t="str">
            <v>INSTALACIÓN DE TUBO CORRUGADO/APLICACIÓN DE SILICO</v>
          </cell>
          <cell r="D19" t="str">
            <v>40=ALP EXCLUSIVO</v>
          </cell>
          <cell r="E19" t="str">
            <v>S=SUBTERRÁNEO</v>
          </cell>
          <cell r="F19" t="str">
            <v>I=INVERSION</v>
          </cell>
          <cell r="G19" t="str">
            <v>I=INSTALACION</v>
          </cell>
          <cell r="H19">
            <v>1</v>
          </cell>
          <cell r="I19">
            <v>1</v>
          </cell>
          <cell r="J19" t="str">
            <v>20206018411=TECSUR S.A.</v>
          </cell>
          <cell r="K19" t="str">
            <v>20604989931=ENCOSSA</v>
          </cell>
          <cell r="L19" t="str">
            <v>S</v>
          </cell>
          <cell r="M19">
            <v>2</v>
          </cell>
          <cell r="N19" t="str">
            <v>NSOLES</v>
          </cell>
          <cell r="O19">
            <v>4.04</v>
          </cell>
          <cell r="P19">
            <v>4.04</v>
          </cell>
          <cell r="Q19">
            <v>4.04</v>
          </cell>
        </row>
        <row r="20">
          <cell r="B20" t="str">
            <v>*098823</v>
          </cell>
          <cell r="C20" t="str">
            <v>INSPECCIÓN DE POSTE S/SUPERVISION</v>
          </cell>
          <cell r="D20" t="str">
            <v>40=ALP EXCLUSIVO</v>
          </cell>
          <cell r="E20" t="str">
            <v>S=SUBTERRÁNEO</v>
          </cell>
          <cell r="F20" t="str">
            <v>I=INVERSION</v>
          </cell>
          <cell r="G20" t="str">
            <v>I=INSTALACION</v>
          </cell>
          <cell r="H20">
            <v>1</v>
          </cell>
          <cell r="I20">
            <v>1</v>
          </cell>
          <cell r="J20" t="str">
            <v>20206018411=TECSUR S.A.</v>
          </cell>
          <cell r="K20" t="str">
            <v>20604989931=ENCOSSA</v>
          </cell>
          <cell r="L20" t="str">
            <v>S</v>
          </cell>
          <cell r="M20">
            <v>2</v>
          </cell>
          <cell r="N20" t="str">
            <v>NSOLES</v>
          </cell>
          <cell r="O20">
            <v>9.07</v>
          </cell>
          <cell r="P20">
            <v>9.07</v>
          </cell>
          <cell r="Q20">
            <v>9.07</v>
          </cell>
        </row>
        <row r="21">
          <cell r="B21" t="str">
            <v>*990007</v>
          </cell>
          <cell r="C21" t="str">
            <v>RESGUARDO SEGURIDAD PATRIMONIA</v>
          </cell>
          <cell r="D21" t="str">
            <v>40=ALP EXCLUSIVO</v>
          </cell>
          <cell r="E21" t="str">
            <v>S=SUBTERRÁNEO</v>
          </cell>
          <cell r="F21" t="str">
            <v>I=INVERSION</v>
          </cell>
          <cell r="G21" t="str">
            <v>I=INSTALACION</v>
          </cell>
          <cell r="H21">
            <v>1</v>
          </cell>
          <cell r="I21">
            <v>1</v>
          </cell>
          <cell r="J21" t="str">
            <v>20206018411=TECSUR S.A.</v>
          </cell>
          <cell r="K21" t="str">
            <v>20604989931=ENCOSSA</v>
          </cell>
          <cell r="L21" t="str">
            <v>S</v>
          </cell>
          <cell r="M21">
            <v>2</v>
          </cell>
          <cell r="N21" t="str">
            <v>NSOLES</v>
          </cell>
          <cell r="O21">
            <v>1</v>
          </cell>
          <cell r="P21">
            <v>1</v>
          </cell>
          <cell r="Q21">
            <v>0</v>
          </cell>
        </row>
        <row r="22">
          <cell r="B22" t="str">
            <v>*990008</v>
          </cell>
          <cell r="C22" t="str">
            <v>RESGUARDO APOYO VIAL</v>
          </cell>
          <cell r="D22" t="str">
            <v>40=ALP EXCLUSIVO</v>
          </cell>
          <cell r="E22" t="str">
            <v>S=SUBTERRÁNEO</v>
          </cell>
          <cell r="F22" t="str">
            <v>I=INVERSION</v>
          </cell>
          <cell r="G22" t="str">
            <v>I=INSTALACION</v>
          </cell>
          <cell r="H22">
            <v>1</v>
          </cell>
          <cell r="I22">
            <v>1</v>
          </cell>
          <cell r="J22" t="str">
            <v>20206018411=TECSUR S.A.</v>
          </cell>
          <cell r="K22" t="str">
            <v>20604989931=ENCOSSA</v>
          </cell>
          <cell r="L22" t="str">
            <v>S</v>
          </cell>
          <cell r="M22">
            <v>2</v>
          </cell>
          <cell r="N22" t="str">
            <v>NSOLES</v>
          </cell>
          <cell r="O22">
            <v>1</v>
          </cell>
          <cell r="P22">
            <v>1</v>
          </cell>
          <cell r="Q22">
            <v>0</v>
          </cell>
        </row>
        <row r="23">
          <cell r="B23" t="str">
            <v>*990015</v>
          </cell>
          <cell r="C23" t="str">
            <v>COSTO SUPERVISIÓN</v>
          </cell>
          <cell r="D23" t="str">
            <v>40=ALP EXCLUSIVO</v>
          </cell>
          <cell r="E23" t="str">
            <v>S=SUBTERRÁNEO</v>
          </cell>
          <cell r="F23" t="str">
            <v>I=INVERSION</v>
          </cell>
          <cell r="G23" t="str">
            <v>I=INSTALACION</v>
          </cell>
          <cell r="H23">
            <v>1</v>
          </cell>
          <cell r="I23">
            <v>1</v>
          </cell>
          <cell r="J23" t="str">
            <v>20206018411=TECSUR S.A.</v>
          </cell>
          <cell r="K23" t="str">
            <v>20604989931=ENCOSSA</v>
          </cell>
          <cell r="L23" t="str">
            <v>S</v>
          </cell>
          <cell r="M23">
            <v>2</v>
          </cell>
          <cell r="N23" t="str">
            <v>NSOLES</v>
          </cell>
          <cell r="O23">
            <v>1</v>
          </cell>
          <cell r="P23">
            <v>1</v>
          </cell>
          <cell r="Q23">
            <v>0</v>
          </cell>
        </row>
        <row r="24">
          <cell r="B24" t="str">
            <v>*990016</v>
          </cell>
          <cell r="C24" t="str">
            <v>UTILIDAD</v>
          </cell>
          <cell r="D24" t="str">
            <v>40=ALP EXCLUSIVO</v>
          </cell>
          <cell r="E24" t="str">
            <v>S=SUBTERRÁNEO</v>
          </cell>
          <cell r="F24" t="str">
            <v>I=INVERSION</v>
          </cell>
          <cell r="G24" t="str">
            <v>I=INSTALACION</v>
          </cell>
          <cell r="H24">
            <v>1</v>
          </cell>
          <cell r="I24">
            <v>1</v>
          </cell>
          <cell r="J24" t="str">
            <v>20206018411=TECSUR S.A.</v>
          </cell>
          <cell r="K24" t="str">
            <v>20604989931=ENCOSSA</v>
          </cell>
          <cell r="L24" t="str">
            <v>S</v>
          </cell>
          <cell r="M24">
            <v>2</v>
          </cell>
          <cell r="N24" t="str">
            <v>NSOLES</v>
          </cell>
          <cell r="O24">
            <v>1</v>
          </cell>
          <cell r="P24">
            <v>1</v>
          </cell>
          <cell r="Q24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K23"/>
  <sheetViews>
    <sheetView tabSelected="1" workbookViewId="0">
      <selection activeCell="G30" sqref="G30"/>
    </sheetView>
  </sheetViews>
  <sheetFormatPr baseColWidth="10" defaultColWidth="11.44140625" defaultRowHeight="13.2"/>
  <cols>
    <col width="3.5546875" customWidth="1" style="168" min="1" max="1"/>
    <col width="15.88671875" customWidth="1" style="168" min="2" max="2"/>
    <col width="11.44140625" customWidth="1" style="168" min="3" max="6"/>
    <col width="19.88671875" customWidth="1" style="168" min="7" max="7"/>
    <col width="13.109375" customWidth="1" style="168" min="8" max="8"/>
    <col width="11.44140625" customWidth="1" style="168" min="9" max="9"/>
    <col width="2.88671875" customWidth="1" style="168" min="10" max="10"/>
    <col width="11.44140625" customWidth="1" style="168" min="11" max="16384"/>
  </cols>
  <sheetData>
    <row r="1" ht="13.5" customHeight="1" s="450" thickTop="1">
      <c r="A1" s="186" t="n"/>
      <c r="B1" s="187" t="n"/>
      <c r="C1" s="187" t="n"/>
      <c r="D1" s="456" t="n"/>
      <c r="E1" s="485" t="n"/>
      <c r="F1" s="485" t="n"/>
      <c r="G1" s="187" t="n"/>
      <c r="H1" s="187" t="n"/>
      <c r="I1" s="187" t="n"/>
      <c r="J1" s="188" t="n"/>
      <c r="K1" s="189" t="n"/>
    </row>
    <row r="2">
      <c r="A2" s="190" t="n"/>
      <c r="B2" s="191" t="n"/>
      <c r="C2" s="191" t="n"/>
      <c r="G2" s="191" t="n"/>
      <c r="H2" s="192" t="inlineStr">
        <is>
          <t>SECUENCIA FACT.</t>
        </is>
      </c>
      <c r="I2" s="193" t="n"/>
      <c r="J2" s="194" t="n"/>
      <c r="K2" s="189" t="n"/>
    </row>
    <row r="3" ht="13.8" customHeight="1" s="450" thickBot="1">
      <c r="A3" s="190" t="n"/>
      <c r="B3" s="191" t="n"/>
      <c r="C3" s="191" t="n"/>
      <c r="D3" s="191" t="n"/>
      <c r="E3" s="191" t="n"/>
      <c r="F3" s="191" t="n"/>
      <c r="G3" s="191" t="n"/>
      <c r="H3" s="191" t="n"/>
      <c r="I3" s="191" t="n"/>
      <c r="J3" s="194" t="n"/>
      <c r="K3" s="189" t="n"/>
    </row>
    <row r="4" ht="14.4" customHeight="1" s="450" thickBot="1" thickTop="1">
      <c r="A4" s="190" t="n"/>
      <c r="B4" s="195" t="n"/>
      <c r="C4" s="196" t="n"/>
      <c r="D4" s="197" t="inlineStr">
        <is>
          <t>CUADRO DE SEGUIMIENTO DE LIQUIDACIONES</t>
        </is>
      </c>
      <c r="E4" s="198" t="n"/>
      <c r="F4" s="198" t="n"/>
      <c r="G4" s="199" t="n"/>
      <c r="H4" s="199" t="n"/>
      <c r="I4" s="200" t="n"/>
      <c r="J4" s="194" t="n"/>
      <c r="K4" s="189" t="n"/>
    </row>
    <row r="5" ht="13.8" customHeight="1" s="450" thickTop="1">
      <c r="A5" s="201" t="n"/>
      <c r="B5" s="202" t="n"/>
      <c r="C5" s="202" t="n"/>
      <c r="D5" s="202" t="n"/>
      <c r="E5" s="202" t="n"/>
      <c r="F5" s="202" t="n"/>
      <c r="G5" s="192" t="n"/>
      <c r="H5" s="192" t="n"/>
      <c r="I5" s="192" t="n"/>
      <c r="J5" s="203" t="n"/>
      <c r="K5" s="189" t="n"/>
    </row>
    <row r="6">
      <c r="A6" s="201" t="n"/>
      <c r="B6" s="202" t="n"/>
      <c r="C6" s="202" t="n"/>
      <c r="D6" s="202" t="n"/>
      <c r="E6" s="202" t="n"/>
      <c r="F6" s="202" t="n"/>
      <c r="G6" s="192" t="n"/>
      <c r="H6" s="192" t="n"/>
      <c r="I6" s="192" t="n"/>
      <c r="J6" s="203" t="n"/>
      <c r="K6" s="189" t="n"/>
    </row>
    <row r="7">
      <c r="A7" s="204" t="n"/>
      <c r="B7" s="192" t="n"/>
      <c r="C7" s="192" t="n"/>
      <c r="D7" s="192" t="n"/>
      <c r="E7" s="192" t="n"/>
      <c r="F7" s="192" t="n"/>
      <c r="G7" s="192" t="n"/>
      <c r="H7" s="191" t="n"/>
      <c r="I7" s="191" t="n"/>
      <c r="J7" s="203" t="n"/>
      <c r="K7" s="189" t="n"/>
    </row>
    <row r="8">
      <c r="A8" s="204" t="n"/>
      <c r="B8" s="192" t="inlineStr">
        <is>
          <t>N° SST</t>
        </is>
      </c>
      <c r="D8" s="192" t="n"/>
      <c r="E8" s="191" t="n"/>
      <c r="F8" s="192" t="n"/>
      <c r="G8" s="192" t="inlineStr">
        <is>
          <t>CR TECSUR</t>
        </is>
      </c>
      <c r="H8" s="206" t="n">
        <v>4230</v>
      </c>
      <c r="I8" s="207" t="n"/>
      <c r="J8" s="203" t="n"/>
      <c r="K8" s="189" t="n"/>
    </row>
    <row r="9">
      <c r="A9" s="204" t="n"/>
      <c r="B9" s="192" t="n"/>
      <c r="C9" s="208" t="n"/>
      <c r="D9" s="192" t="n"/>
      <c r="E9" s="192" t="n"/>
      <c r="F9" s="192" t="n"/>
      <c r="G9" s="192" t="n"/>
      <c r="H9" s="192" t="n"/>
      <c r="I9" s="192" t="n"/>
      <c r="J9" s="203" t="n"/>
      <c r="K9" s="189" t="n"/>
    </row>
    <row r="10">
      <c r="A10" s="204" t="n"/>
      <c r="B10" s="192" t="inlineStr">
        <is>
          <t>CLIENTE</t>
        </is>
      </c>
      <c r="C10" s="209" t="n"/>
      <c r="D10" s="210" t="n"/>
      <c r="E10" s="210" t="n"/>
      <c r="F10" s="210" t="n"/>
      <c r="G10" s="210" t="n"/>
      <c r="H10" s="210" t="n"/>
      <c r="I10" s="211" t="n"/>
      <c r="J10" s="203" t="n"/>
      <c r="K10" s="189" t="n"/>
    </row>
    <row r="11">
      <c r="A11" s="204" t="n"/>
      <c r="B11" s="192" t="n"/>
      <c r="C11" s="212" t="n"/>
      <c r="D11" s="213" t="n"/>
      <c r="E11" s="213" t="n"/>
      <c r="F11" s="213" t="n"/>
      <c r="G11" s="213" t="n"/>
      <c r="H11" s="213" t="n"/>
      <c r="I11" s="213" t="n"/>
      <c r="J11" s="203" t="n"/>
      <c r="K11" s="189" t="n"/>
    </row>
    <row r="12">
      <c r="A12" s="204" t="n"/>
      <c r="B12" s="192" t="inlineStr">
        <is>
          <t>DESCRIPCIÓN</t>
        </is>
      </c>
      <c r="C12" s="209" t="n"/>
      <c r="D12" s="210" t="n"/>
      <c r="E12" s="210" t="n"/>
      <c r="F12" s="210" t="n"/>
      <c r="G12" s="210" t="n"/>
      <c r="H12" s="210" t="n"/>
      <c r="I12" s="211" t="n"/>
      <c r="J12" s="203" t="n"/>
      <c r="K12" s="189" t="n"/>
    </row>
    <row r="13">
      <c r="A13" s="204" t="n"/>
      <c r="B13" s="192" t="n"/>
      <c r="C13" s="208" t="n"/>
      <c r="D13" s="192" t="n"/>
      <c r="E13" s="192" t="n"/>
      <c r="F13" s="192" t="n"/>
      <c r="G13" s="192" t="n"/>
      <c r="H13" s="192" t="n"/>
      <c r="I13" s="192" t="n"/>
      <c r="J13" s="203" t="n"/>
      <c r="K13" s="189" t="n"/>
    </row>
    <row r="14">
      <c r="A14" s="204" t="n"/>
      <c r="B14" s="202" t="inlineStr">
        <is>
          <t>DIRECCIÓN</t>
        </is>
      </c>
      <c r="C14" s="209" t="n"/>
      <c r="D14" s="210" t="n"/>
      <c r="E14" s="207" t="n"/>
      <c r="F14" s="191" t="n"/>
      <c r="G14" s="192" t="inlineStr">
        <is>
          <t>DISTRITO</t>
        </is>
      </c>
      <c r="H14" s="209" t="n"/>
      <c r="I14" s="207" t="n"/>
      <c r="J14" s="203" t="n"/>
      <c r="K14" s="189" t="n"/>
    </row>
    <row r="15">
      <c r="A15" s="204" t="n"/>
      <c r="B15" s="192" t="n"/>
      <c r="C15" s="208" t="n"/>
      <c r="D15" s="192" t="n"/>
      <c r="E15" s="192" t="n"/>
      <c r="F15" s="192" t="n"/>
      <c r="G15" s="192" t="n"/>
      <c r="H15" s="208" t="n"/>
      <c r="I15" s="192" t="n"/>
      <c r="J15" s="203" t="n"/>
      <c r="K15" s="189" t="n"/>
    </row>
    <row r="16">
      <c r="A16" s="204" t="n"/>
      <c r="B16" s="202" t="inlineStr">
        <is>
          <t>FECHA INICIO REAL</t>
        </is>
      </c>
      <c r="C16" s="214" t="n"/>
      <c r="D16" s="191" t="n"/>
      <c r="E16" s="191" t="n"/>
      <c r="F16" s="191" t="n"/>
      <c r="G16" s="192" t="inlineStr">
        <is>
          <t>CONTRATISTA</t>
        </is>
      </c>
      <c r="H16" s="209" t="n"/>
      <c r="I16" s="207" t="n"/>
      <c r="J16" s="203" t="n"/>
      <c r="K16" s="189" t="n"/>
    </row>
    <row r="17">
      <c r="A17" s="204" t="n"/>
      <c r="B17" s="192" t="n"/>
      <c r="C17" s="208" t="n"/>
      <c r="D17" s="215" t="n"/>
      <c r="E17" s="215" t="n"/>
      <c r="F17" s="215" t="n"/>
      <c r="G17" s="202" t="n"/>
      <c r="H17" s="216" t="n"/>
      <c r="I17" s="202" t="n"/>
      <c r="J17" s="203" t="n"/>
      <c r="K17" s="189" t="n"/>
    </row>
    <row r="18">
      <c r="A18" s="204" t="n"/>
      <c r="B18" s="202" t="inlineStr">
        <is>
          <t>FECHA FIN REAL</t>
        </is>
      </c>
      <c r="C18" s="214" t="n"/>
      <c r="D18" s="192" t="n"/>
      <c r="E18" s="192" t="n"/>
      <c r="F18" s="192" t="n"/>
      <c r="G18" s="192" t="inlineStr">
        <is>
          <t>CAPATAZ RESPONSABLE</t>
        </is>
      </c>
      <c r="H18" s="209" t="n"/>
      <c r="I18" s="207" t="n"/>
      <c r="J18" s="203" t="n"/>
      <c r="K18" s="189" t="n"/>
    </row>
    <row r="19">
      <c r="A19" s="204" t="n"/>
      <c r="B19" s="191" t="n"/>
      <c r="C19" s="217" t="n"/>
      <c r="D19" s="192" t="n"/>
      <c r="E19" s="192" t="n"/>
      <c r="F19" s="192" t="n"/>
      <c r="G19" s="192" t="n"/>
      <c r="H19" s="208" t="n"/>
      <c r="I19" s="192" t="n"/>
      <c r="J19" s="203" t="n"/>
      <c r="K19" s="189" t="n"/>
    </row>
    <row r="20">
      <c r="A20" s="204" t="n"/>
      <c r="B20" s="192" t="inlineStr">
        <is>
          <t>SUPERVISOR TECSUR</t>
        </is>
      </c>
      <c r="C20" s="205" t="n"/>
      <c r="D20" s="192" t="n"/>
      <c r="E20" s="192" t="n"/>
      <c r="F20" s="192" t="n"/>
      <c r="G20" s="192" t="inlineStr">
        <is>
          <t>LIQUIDADOR CTTA</t>
        </is>
      </c>
      <c r="H20" s="209" t="inlineStr">
        <is>
          <t>Alexander Argandoña</t>
        </is>
      </c>
      <c r="I20" s="207" t="n"/>
      <c r="J20" s="203" t="n"/>
      <c r="K20" s="189" t="n"/>
    </row>
    <row r="21">
      <c r="A21" s="204" t="n"/>
      <c r="B21" s="192" t="n"/>
      <c r="C21" s="208" t="n"/>
      <c r="D21" s="202" t="n"/>
      <c r="E21" s="202" t="n"/>
      <c r="F21" s="202" t="n"/>
      <c r="G21" s="191" t="n"/>
      <c r="H21" s="191" t="n"/>
      <c r="I21" s="191" t="n"/>
      <c r="J21" s="203" t="n"/>
      <c r="K21" s="189" t="n"/>
    </row>
    <row r="22">
      <c r="A22" s="204" t="n"/>
      <c r="B22" s="192" t="inlineStr">
        <is>
          <t>LIQUIDADOR TECSUR</t>
        </is>
      </c>
      <c r="C22" s="205" t="n"/>
      <c r="D22" s="192" t="n"/>
      <c r="E22" s="192" t="n"/>
      <c r="F22" s="192" t="n"/>
      <c r="G22" s="192" t="inlineStr">
        <is>
          <t>NEXTEL  LIQUIDADOR CTTA</t>
        </is>
      </c>
      <c r="H22" s="209" t="n">
        <v>912616906</v>
      </c>
      <c r="I22" s="207" t="n"/>
      <c r="J22" s="203" t="n"/>
      <c r="K22" s="189" t="n"/>
    </row>
    <row r="23" ht="13.8" customHeight="1" s="450" thickBot="1">
      <c r="A23" s="218" t="n"/>
      <c r="B23" s="219" t="n"/>
      <c r="C23" s="219" t="n"/>
      <c r="D23" s="219" t="n"/>
      <c r="E23" s="219" t="n"/>
      <c r="F23" s="219" t="n"/>
      <c r="G23" s="219" t="n"/>
      <c r="H23" s="219" t="n"/>
      <c r="I23" s="219" t="n"/>
      <c r="J23" s="220" t="n"/>
      <c r="K23" s="189" t="n"/>
    </row>
    <row r="24" ht="13.8" customHeight="1" s="450" thickTop="1"/>
  </sheetData>
  <mergeCells count="1">
    <mergeCell ref="D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2">
    <outlinePr summaryBelow="1" summaryRight="1"/>
    <pageSetUpPr fitToPage="1"/>
  </sheetPr>
  <dimension ref="A1:CY618"/>
  <sheetViews>
    <sheetView showGridLines="0" zoomScale="70" zoomScaleNormal="70" workbookViewId="0">
      <pane xSplit="5" ySplit="13" topLeftCell="F143" activePane="bottomRight" state="frozen"/>
      <selection activeCell="AU28" sqref="AU28"/>
      <selection pane="topRight" activeCell="AU28" sqref="AU28"/>
      <selection pane="bottomLeft" activeCell="AU28" sqref="AU28"/>
      <selection pane="bottomRight" activeCell="D13" sqref="D13"/>
    </sheetView>
  </sheetViews>
  <sheetFormatPr baseColWidth="10" defaultColWidth="11.44140625" defaultRowHeight="13.2" outlineLevelRow="1"/>
  <cols>
    <col width="13.88671875" customWidth="1" style="341" min="1" max="1"/>
    <col width="6.44140625" customWidth="1" style="341" min="2" max="2"/>
    <col width="104.6640625" bestFit="1" customWidth="1" style="341" min="3" max="3"/>
    <col width="12.109375" customWidth="1" style="341" min="4" max="4"/>
    <col width="12.33203125" customWidth="1" style="342" min="5" max="5"/>
    <col hidden="1" outlineLevel="2" width="9.6640625" customWidth="1" style="486" min="6" max="7"/>
    <col hidden="1" outlineLevel="1" collapsed="1" width="12.6640625" customWidth="1" style="487" min="8" max="8"/>
    <col hidden="1" outlineLevel="2" width="9.6640625" customWidth="1" style="486" min="9" max="12"/>
    <col hidden="1" outlineLevel="1" collapsed="1" width="12.6640625" customWidth="1" style="487" min="13" max="13"/>
    <col hidden="1" outlineLevel="2" collapsed="1" width="9.6640625" customWidth="1" style="486" min="14" max="14"/>
    <col hidden="1" outlineLevel="2" width="9.6640625" customWidth="1" style="486" min="15" max="30"/>
    <col hidden="1" outlineLevel="1" collapsed="1" width="12.6640625" customWidth="1" style="487" min="31" max="31"/>
    <col hidden="1" outlineLevel="2" collapsed="1" width="12.44140625" customWidth="1" style="486" min="32" max="32"/>
    <col hidden="1" outlineLevel="2" width="8.5546875" customWidth="1" style="486" min="33" max="35"/>
    <col hidden="1" outlineLevel="1" collapsed="1" width="12.6640625" customWidth="1" style="487" min="36" max="36"/>
    <col hidden="1" outlineLevel="2" width="8.5546875" customWidth="1" style="486" min="37" max="46"/>
    <col hidden="1" outlineLevel="1" collapsed="1" width="7" customWidth="1" style="487" min="47" max="47"/>
    <col outlineLevel="2" collapsed="1" width="9.109375" customWidth="1" style="486" min="48" max="48"/>
    <col outlineLevel="2" width="8.5546875" customWidth="1" style="486" min="49" max="50"/>
    <col outlineLevel="2" width="9.33203125" customWidth="1" style="486" min="51" max="51"/>
    <col outlineLevel="2" width="8.6640625" customWidth="1" style="486" min="52" max="52"/>
    <col outlineLevel="1" width="18.33203125" customWidth="1" style="487" min="53" max="53"/>
    <col hidden="1" outlineLevel="2" collapsed="1" width="9.109375" customWidth="1" style="486" min="54" max="54"/>
    <col hidden="1" outlineLevel="2" width="9.109375" customWidth="1" style="486" min="55" max="57"/>
    <col hidden="1" outlineLevel="1" collapsed="1" width="12.6640625" customWidth="1" style="487" min="58" max="58"/>
    <col width="2.5546875" customWidth="1" style="487" min="59" max="59"/>
    <col width="12.6640625" customWidth="1" style="488" min="60" max="60"/>
    <col width="12.6640625" customWidth="1" style="489" min="61" max="62"/>
    <col width="24.6640625" customWidth="1" style="489" min="63" max="63"/>
    <col collapsed="1" width="2.6640625" customWidth="1" style="341" min="64" max="64"/>
    <col hidden="1" outlineLevel="2" width="10.5546875" customWidth="1" style="487" min="65" max="65"/>
    <col hidden="1" outlineLevel="2" width="12.6640625" customWidth="1" style="487" min="66" max="67"/>
    <col hidden="1" outlineLevel="2" width="14.33203125" customWidth="1" style="487" min="68" max="68"/>
    <col hidden="1" outlineLevel="2" width="12.6640625" customWidth="1" style="487" min="69" max="71"/>
    <col hidden="1" outlineLevel="1" width="12.6640625" customWidth="1" style="487" min="72" max="72"/>
    <col hidden="1" outlineLevel="1" width="2.33203125" customWidth="1" style="487" min="73" max="73"/>
    <col hidden="1" outlineLevel="2" width="10.5546875" customWidth="1" style="487" min="74" max="74"/>
    <col hidden="1" outlineLevel="2" width="12.6640625" customWidth="1" style="487" min="75" max="75"/>
    <col hidden="1" outlineLevel="2" width="14.44140625" customWidth="1" style="487" min="76" max="76"/>
    <col hidden="1" outlineLevel="2" width="15.5546875" customWidth="1" style="487" min="77" max="77"/>
    <col hidden="1" outlineLevel="2" width="12.6640625" customWidth="1" style="487" min="78" max="80"/>
    <col hidden="1" outlineLevel="1" collapsed="1" width="12.6640625" customWidth="1" style="487" min="81" max="81"/>
    <col hidden="1" outlineLevel="1" width="2.5546875" customWidth="1" style="487" min="82" max="82"/>
    <col hidden="1" outlineLevel="2" width="10.5546875" customWidth="1" style="487" min="83" max="83"/>
    <col hidden="1" outlineLevel="2" width="12.6640625" customWidth="1" style="487" min="84" max="84"/>
    <col hidden="1" outlineLevel="2" width="13.109375" customWidth="1" style="487" min="85" max="85"/>
    <col hidden="1" outlineLevel="2" width="13" customWidth="1" style="487" min="86" max="86"/>
    <col hidden="1" outlineLevel="2" width="12.6640625" customWidth="1" style="487" min="87" max="89"/>
    <col hidden="1" outlineLevel="1" collapsed="1" width="12.6640625" customWidth="1" style="487" min="90" max="90"/>
    <col hidden="1" outlineLevel="1" width="2.88671875" customWidth="1" style="341" min="91" max="91"/>
    <col hidden="1" outlineLevel="1" width="14.109375" customWidth="1" style="341" min="92" max="92"/>
    <col hidden="1" outlineLevel="1" width="13.88671875" customWidth="1" style="341" min="93" max="93"/>
    <col hidden="1" outlineLevel="1" width="13.6640625" customWidth="1" style="341" min="94" max="98"/>
    <col collapsed="1" width="13.6640625" customWidth="1" style="341" min="99" max="99"/>
    <col width="13.6640625" customWidth="1" style="341" min="100" max="100"/>
    <col width="11.44140625" customWidth="1" style="341" min="101" max="16384"/>
  </cols>
  <sheetData>
    <row r="1" ht="16.5" customFormat="1" customHeight="1" s="230">
      <c r="A1" s="224" t="inlineStr">
        <is>
          <t>LIQUIDACION DE  MATERIALES</t>
        </is>
      </c>
      <c r="B1" s="224" t="n"/>
      <c r="C1" s="225" t="n"/>
      <c r="D1" s="225" t="n"/>
      <c r="E1" s="226" t="n"/>
      <c r="F1" s="225" t="n"/>
      <c r="G1" s="225" t="n"/>
      <c r="H1" s="380" t="n"/>
      <c r="I1" s="225" t="n"/>
      <c r="J1" s="225" t="n"/>
      <c r="K1" s="225" t="n"/>
      <c r="L1" s="225" t="n"/>
      <c r="M1" s="380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380" t="n"/>
      <c r="AF1" s="225" t="n"/>
      <c r="AG1" s="225" t="n"/>
      <c r="AH1" s="225" t="n"/>
      <c r="AI1" s="225" t="n"/>
      <c r="AJ1" s="380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490" t="n"/>
      <c r="AV1" s="225" t="n"/>
      <c r="AW1" s="225" t="n"/>
      <c r="AX1" s="225" t="n"/>
      <c r="AY1" s="225" t="n"/>
      <c r="AZ1" s="225" t="n"/>
      <c r="BA1" s="380" t="n"/>
      <c r="BB1" s="225" t="n"/>
      <c r="BC1" s="225" t="n"/>
      <c r="BD1" s="225" t="n"/>
      <c r="BE1" s="225" t="n"/>
      <c r="BF1" s="380" t="n"/>
      <c r="BG1" s="380" t="n"/>
      <c r="BH1" s="380" t="n"/>
      <c r="BI1" s="225" t="n"/>
      <c r="BJ1" s="225" t="n"/>
      <c r="BK1" s="229" t="n"/>
      <c r="BM1" s="380" t="n"/>
      <c r="BN1" s="380" t="n"/>
      <c r="BO1" s="380" t="n"/>
      <c r="BP1" s="380" t="n"/>
      <c r="BQ1" s="380" t="n"/>
      <c r="BR1" s="380" t="n"/>
      <c r="BS1" s="380" t="n"/>
      <c r="BT1" s="380" t="n"/>
      <c r="BU1" s="380" t="n"/>
      <c r="BV1" s="380" t="n"/>
      <c r="BW1" s="380" t="n"/>
      <c r="BX1" s="380" t="n"/>
      <c r="BY1" s="380" t="n"/>
      <c r="BZ1" s="380" t="n"/>
      <c r="CA1" s="380" t="n"/>
      <c r="CB1" s="380" t="n"/>
      <c r="CC1" s="380" t="n"/>
      <c r="CD1" s="380" t="n"/>
      <c r="CE1" s="380" t="n"/>
      <c r="CF1" s="380" t="n"/>
      <c r="CG1" s="380" t="n"/>
      <c r="CH1" s="380" t="n"/>
      <c r="CI1" s="380" t="n"/>
      <c r="CJ1" s="380" t="n"/>
      <c r="CK1" s="380" t="n"/>
      <c r="CL1" s="380" t="n"/>
      <c r="CX1" s="490" t="inlineStr">
        <is>
          <t>AP</t>
        </is>
      </c>
      <c r="CY1" s="491" t="inlineStr">
        <is>
          <t>Pastoral c/luminaria</t>
        </is>
      </c>
    </row>
    <row r="2" ht="24.75" customFormat="1" customHeight="1" s="230">
      <c r="A2" s="232" t="n"/>
      <c r="B2" s="232" t="n"/>
      <c r="C2" s="233" t="n"/>
      <c r="D2" s="233" t="n"/>
      <c r="E2" s="234" t="n"/>
      <c r="F2" s="492" t="n"/>
      <c r="G2" s="492" t="n"/>
      <c r="H2" s="493" t="n"/>
      <c r="I2" s="492" t="n"/>
      <c r="J2" s="492" t="n"/>
      <c r="K2" s="492" t="n"/>
      <c r="L2" s="492" t="n"/>
      <c r="M2" s="493" t="n"/>
      <c r="N2" s="492" t="n"/>
      <c r="O2" s="492" t="n"/>
      <c r="P2" s="492" t="n"/>
      <c r="Q2" s="492" t="n"/>
      <c r="R2" s="492" t="n"/>
      <c r="S2" s="492" t="n"/>
      <c r="T2" s="492" t="n"/>
      <c r="U2" s="492" t="n"/>
      <c r="V2" s="492" t="n"/>
      <c r="W2" s="492" t="n"/>
      <c r="X2" s="492" t="n"/>
      <c r="Y2" s="492" t="n"/>
      <c r="Z2" s="492" t="n"/>
      <c r="AA2" s="492" t="n"/>
      <c r="AB2" s="492" t="n"/>
      <c r="AC2" s="492" t="n"/>
      <c r="AD2" s="492" t="n"/>
      <c r="AE2" s="493" t="n"/>
      <c r="AF2" s="492" t="n"/>
      <c r="AG2" s="492" t="n"/>
      <c r="AH2" s="492" t="n"/>
      <c r="AI2" s="492" t="n"/>
      <c r="AJ2" s="493" t="n"/>
      <c r="AK2" s="492" t="n"/>
      <c r="AL2" s="492" t="n"/>
      <c r="AM2" s="492" t="n"/>
      <c r="AN2" s="492" t="n"/>
      <c r="AO2" s="492" t="n"/>
      <c r="AP2" s="492" t="n"/>
      <c r="AQ2" s="492" t="n"/>
      <c r="AR2" s="492" t="n"/>
      <c r="AS2" s="492" t="n"/>
      <c r="AT2" s="492" t="n"/>
      <c r="AU2" s="494" t="n"/>
      <c r="AV2" s="492" t="n"/>
      <c r="AW2" s="492" t="n"/>
      <c r="AX2" s="492" t="n"/>
      <c r="AY2" s="492" t="n"/>
      <c r="AZ2" s="492" t="n"/>
      <c r="BA2" s="493" t="n"/>
      <c r="BB2" s="492" t="n"/>
      <c r="BC2" s="492" t="n"/>
      <c r="BD2" s="492" t="n"/>
      <c r="BE2" s="492" t="n"/>
      <c r="BF2" s="493" t="n"/>
      <c r="BG2" s="493" t="n"/>
      <c r="BH2" s="495" t="n"/>
      <c r="BI2" s="496" t="n"/>
      <c r="BJ2" s="496" t="n"/>
      <c r="BK2" s="229" t="n"/>
      <c r="BM2" s="493" t="n"/>
      <c r="BN2" s="493" t="n"/>
      <c r="BO2" s="493" t="n"/>
      <c r="BP2" s="493" t="n"/>
      <c r="BQ2" s="493" t="n"/>
      <c r="BR2" s="493" t="n"/>
      <c r="BS2" s="493" t="n"/>
      <c r="BT2" s="493" t="n"/>
      <c r="BU2" s="493" t="n"/>
      <c r="BV2" s="493" t="n"/>
      <c r="BW2" s="493" t="n"/>
      <c r="BX2" s="493" t="n"/>
      <c r="BY2" s="493" t="n"/>
      <c r="BZ2" s="493" t="n"/>
      <c r="CA2" s="493" t="n"/>
      <c r="CB2" s="493" t="n"/>
      <c r="CC2" s="493" t="n"/>
      <c r="CD2" s="493" t="n"/>
      <c r="CE2" s="493" t="n"/>
      <c r="CF2" s="493" t="n"/>
      <c r="CG2" s="493" t="n"/>
      <c r="CH2" s="493" t="n"/>
      <c r="CI2" s="493" t="n"/>
      <c r="CJ2" s="493" t="n"/>
      <c r="CK2" s="493" t="n"/>
      <c r="CL2" s="493" t="n"/>
      <c r="CX2" s="494" t="inlineStr">
        <is>
          <t>P.A.T.</t>
        </is>
      </c>
      <c r="CY2" s="491" t="inlineStr">
        <is>
          <t>Pozo  Tipico</t>
        </is>
      </c>
    </row>
    <row r="3" ht="52.5" customFormat="1" customHeight="1" s="230" thickBot="1">
      <c r="A3" s="240" t="inlineStr">
        <is>
          <t xml:space="preserve">SST  :  </t>
        </is>
      </c>
      <c r="B3" s="241" t="n"/>
      <c r="C3" s="242">
        <f>+'Caratula '!C8</f>
        <v/>
      </c>
      <c r="D3" s="242" t="n"/>
      <c r="E3" s="234" t="n"/>
      <c r="F3" s="492" t="n"/>
      <c r="G3" s="492" t="n"/>
      <c r="H3" s="493" t="n"/>
      <c r="I3" s="492" t="n"/>
      <c r="J3" s="492" t="n"/>
      <c r="K3" s="492" t="n"/>
      <c r="L3" s="492" t="n"/>
      <c r="M3" s="493" t="n"/>
      <c r="N3" s="492" t="n"/>
      <c r="O3" s="492" t="n"/>
      <c r="P3" s="492" t="n"/>
      <c r="Q3" s="492" t="n"/>
      <c r="R3" s="492" t="n"/>
      <c r="S3" s="492" t="n"/>
      <c r="T3" s="492" t="n"/>
      <c r="U3" s="492" t="n"/>
      <c r="V3" s="492" t="n"/>
      <c r="W3" s="492" t="n"/>
      <c r="X3" s="492" t="n"/>
      <c r="Y3" s="492" t="n"/>
      <c r="Z3" s="492" t="n"/>
      <c r="AA3" s="492" t="n"/>
      <c r="AB3" s="492" t="n"/>
      <c r="AC3" s="492" t="n"/>
      <c r="AD3" s="492" t="n"/>
      <c r="AE3" s="493" t="n"/>
      <c r="AF3" s="492" t="n"/>
      <c r="AG3" s="492" t="n"/>
      <c r="AH3" s="492" t="n"/>
      <c r="AI3" s="492" t="n"/>
      <c r="AJ3" s="493" t="n"/>
      <c r="AK3" s="490" t="n"/>
      <c r="AL3" s="490" t="n"/>
      <c r="AM3" s="490" t="n"/>
      <c r="AN3" s="490" t="n"/>
      <c r="AO3" s="492" t="n"/>
      <c r="AP3" s="490" t="n"/>
      <c r="AQ3" s="490" t="n"/>
      <c r="AR3" s="490" t="n"/>
      <c r="AS3" s="492" t="n"/>
      <c r="AT3" s="492" t="n"/>
      <c r="AU3" s="494" t="n"/>
      <c r="AV3" s="493" t="n"/>
      <c r="AW3" s="351" t="n"/>
      <c r="AX3" s="351" t="n"/>
      <c r="AY3" s="351" t="n"/>
      <c r="AZ3" s="351" t="n"/>
      <c r="BA3" s="497" t="n"/>
      <c r="BB3" s="492" t="n"/>
      <c r="BC3" s="492" t="n"/>
      <c r="BD3" s="492" t="n"/>
      <c r="BE3" s="492" t="n"/>
      <c r="BF3" s="493" t="n"/>
      <c r="BG3" s="493" t="n"/>
      <c r="BH3" s="243" t="n"/>
      <c r="BI3" s="244" t="n"/>
      <c r="BJ3" s="244" t="n"/>
      <c r="BK3" s="229" t="n"/>
      <c r="BM3" s="245" t="n"/>
      <c r="BN3" s="245" t="n"/>
      <c r="BO3" s="245" t="n"/>
      <c r="BP3" s="245" t="n"/>
      <c r="BQ3" s="245" t="n"/>
      <c r="BR3" s="245" t="n"/>
      <c r="BS3" s="245" t="n"/>
      <c r="BT3" s="245" t="n"/>
      <c r="BU3" s="246" t="n"/>
      <c r="BV3" s="245" t="n"/>
      <c r="BW3" s="245" t="n"/>
      <c r="BX3" s="245" t="n"/>
      <c r="BY3" s="245" t="n"/>
      <c r="BZ3" s="245" t="n"/>
      <c r="CA3" s="245" t="n"/>
      <c r="CB3" s="245" t="n"/>
      <c r="CC3" s="245" t="n"/>
      <c r="CD3" s="245" t="n"/>
      <c r="CE3" s="245" t="n"/>
      <c r="CF3" s="245" t="n"/>
      <c r="CG3" s="245" t="n"/>
      <c r="CH3" s="245" t="n"/>
      <c r="CI3" s="245" t="n"/>
      <c r="CJ3" s="245" t="n"/>
      <c r="CK3" s="245" t="n"/>
      <c r="CL3" s="246" t="n"/>
      <c r="CX3" s="494" t="inlineStr">
        <is>
          <t>P.A.H.</t>
        </is>
      </c>
      <c r="CY3" s="491" t="inlineStr">
        <is>
          <t>Pozo  Horizontal</t>
        </is>
      </c>
    </row>
    <row r="4" hidden="1" outlineLevel="1" ht="14.25" customFormat="1" customHeight="1" s="230">
      <c r="A4" s="241" t="n"/>
      <c r="B4" s="241" t="n"/>
      <c r="C4" s="247" t="n"/>
      <c r="D4" s="247" t="n"/>
      <c r="E4" s="234" t="n"/>
      <c r="F4" s="492" t="n"/>
      <c r="G4" s="492" t="n"/>
      <c r="H4" s="493" t="n"/>
      <c r="I4" s="492" t="n"/>
      <c r="J4" s="492" t="n"/>
      <c r="K4" s="492" t="n"/>
      <c r="L4" s="492" t="n"/>
      <c r="M4" s="493" t="n"/>
      <c r="N4" s="492" t="n"/>
      <c r="O4" s="492" t="n"/>
      <c r="P4" s="492" t="n"/>
      <c r="Q4" s="492" t="n"/>
      <c r="R4" s="492" t="n"/>
      <c r="S4" s="492" t="n"/>
      <c r="T4" s="492" t="n"/>
      <c r="U4" s="492" t="n"/>
      <c r="V4" s="492" t="n"/>
      <c r="W4" s="492" t="n"/>
      <c r="X4" s="492" t="n"/>
      <c r="Y4" s="492" t="n"/>
      <c r="Z4" s="492" t="n"/>
      <c r="AA4" s="492" t="n"/>
      <c r="AB4" s="492" t="n"/>
      <c r="AC4" s="492" t="n"/>
      <c r="AD4" s="492" t="n"/>
      <c r="AE4" s="493" t="n"/>
      <c r="AF4" s="492" t="n"/>
      <c r="AG4" s="492" t="n"/>
      <c r="AH4" s="492" t="n"/>
      <c r="AI4" s="492" t="n"/>
      <c r="AJ4" s="493" t="n"/>
      <c r="AK4" s="490" t="n"/>
      <c r="AL4" s="490" t="n"/>
      <c r="AM4" s="490" t="inlineStr">
        <is>
          <t>AP</t>
        </is>
      </c>
      <c r="AN4" s="490" t="n"/>
      <c r="AO4" s="490" t="inlineStr">
        <is>
          <t>AP</t>
        </is>
      </c>
      <c r="AP4" s="490" t="n"/>
      <c r="AQ4" s="490" t="inlineStr">
        <is>
          <t>AP</t>
        </is>
      </c>
      <c r="AR4" s="490" t="n"/>
      <c r="AS4" s="492" t="n"/>
      <c r="AT4" s="492" t="n"/>
      <c r="AU4" s="494" t="n"/>
      <c r="AV4" s="492" t="n"/>
      <c r="AW4" s="492" t="n"/>
      <c r="AX4" s="492" t="n"/>
      <c r="AY4" s="492" t="n"/>
      <c r="AZ4" s="492" t="n"/>
      <c r="BA4" s="493" t="n"/>
      <c r="BB4" s="492" t="n"/>
      <c r="BC4" s="492" t="n"/>
      <c r="BD4" s="492" t="n"/>
      <c r="BE4" s="492" t="n"/>
      <c r="BF4" s="493" t="n"/>
      <c r="BG4" s="493" t="n"/>
      <c r="BH4" s="243" t="n"/>
      <c r="BI4" s="244" t="n"/>
      <c r="BJ4" s="244" t="n"/>
      <c r="BK4" s="229" t="n"/>
      <c r="BM4" s="498" t="n"/>
      <c r="BN4" s="498" t="n"/>
      <c r="BO4" s="498" t="n"/>
      <c r="BP4" s="498" t="n"/>
      <c r="BQ4" s="498" t="n"/>
      <c r="BR4" s="498" t="n"/>
      <c r="BS4" s="498" t="n"/>
      <c r="BT4" s="498" t="n"/>
      <c r="BU4" s="487" t="n"/>
      <c r="BV4" s="493" t="n"/>
      <c r="BW4" s="493" t="n"/>
      <c r="BX4" s="493" t="n"/>
      <c r="BY4" s="493" t="n"/>
      <c r="BZ4" s="493" t="n"/>
      <c r="CA4" s="493" t="n"/>
      <c r="CB4" s="493" t="n"/>
      <c r="CC4" s="487" t="n"/>
      <c r="CD4" s="487" t="n"/>
      <c r="CE4" s="493" t="n"/>
      <c r="CF4" s="493" t="n"/>
      <c r="CG4" s="493" t="n"/>
      <c r="CH4" s="493" t="n"/>
      <c r="CI4" s="493" t="n"/>
      <c r="CJ4" s="493" t="n"/>
      <c r="CK4" s="493" t="n"/>
      <c r="CL4" s="493" t="n"/>
      <c r="CX4" s="494" t="inlineStr">
        <is>
          <t>P.A.A.</t>
        </is>
      </c>
      <c r="CY4" s="491" t="inlineStr">
        <is>
          <t>Pozo  Altermativo (Sal-Bentonita)</t>
        </is>
      </c>
    </row>
    <row r="5" hidden="1" outlineLevel="1" ht="14.25" customFormat="1" customHeight="1" s="230">
      <c r="A5" s="241" t="n"/>
      <c r="B5" s="241" t="n"/>
      <c r="C5" s="247" t="n"/>
      <c r="D5" s="247" t="n"/>
      <c r="E5" s="234" t="n"/>
      <c r="F5" s="492" t="n"/>
      <c r="G5" s="492" t="n"/>
      <c r="H5" s="493" t="n"/>
      <c r="I5" s="492" t="n"/>
      <c r="J5" s="492" t="n"/>
      <c r="K5" s="492" t="n"/>
      <c r="L5" s="492" t="n"/>
      <c r="M5" s="493" t="n"/>
      <c r="N5" s="384" t="inlineStr">
        <is>
          <t>15/400</t>
        </is>
      </c>
      <c r="O5" s="384" t="inlineStr">
        <is>
          <t>13/300</t>
        </is>
      </c>
      <c r="P5" s="384" t="inlineStr">
        <is>
          <t>13/400</t>
        </is>
      </c>
      <c r="Q5" s="384" t="n"/>
      <c r="R5" s="384" t="n"/>
      <c r="S5" s="384" t="n"/>
      <c r="T5" s="384" t="n"/>
      <c r="U5" s="384" t="n"/>
      <c r="V5" s="384" t="n"/>
      <c r="W5" s="384" t="n"/>
      <c r="X5" s="384" t="n"/>
      <c r="Y5" s="384" t="n"/>
      <c r="Z5" s="384" t="n"/>
      <c r="AA5" s="384" t="n"/>
      <c r="AB5" s="384" t="n"/>
      <c r="AC5" s="384" t="n"/>
      <c r="AD5" s="384" t="n"/>
      <c r="AE5" s="384" t="n"/>
      <c r="AF5" s="492" t="n"/>
      <c r="AG5" s="492" t="n"/>
      <c r="AH5" s="492" t="n"/>
      <c r="AI5" s="492" t="n"/>
      <c r="AJ5" s="493" t="n"/>
      <c r="AK5" s="492" t="n"/>
      <c r="AL5" s="499" t="n"/>
      <c r="AM5" s="499" t="n"/>
      <c r="AN5" s="499" t="n"/>
      <c r="AO5" s="492" t="n"/>
      <c r="AP5" s="499" t="n"/>
      <c r="AQ5" s="499" t="n"/>
      <c r="AR5" s="492" t="n"/>
      <c r="AS5" s="492" t="n"/>
      <c r="AT5" s="492" t="n"/>
      <c r="AU5" s="500" t="n"/>
      <c r="AV5" s="492" t="n"/>
      <c r="AW5" s="492" t="n"/>
      <c r="AX5" s="492" t="n"/>
      <c r="AY5" s="492" t="n"/>
      <c r="AZ5" s="492" t="n"/>
      <c r="BA5" s="493" t="n"/>
      <c r="BB5" s="492" t="n"/>
      <c r="BC5" s="492" t="n"/>
      <c r="BD5" s="492" t="n"/>
      <c r="BE5" s="492" t="n"/>
      <c r="BF5" s="493" t="n"/>
      <c r="BG5" s="493" t="n"/>
      <c r="BH5" s="243" t="n"/>
      <c r="BI5" s="244" t="n"/>
      <c r="BJ5" s="244" t="n"/>
      <c r="BK5" s="229" t="n"/>
      <c r="BM5" s="493" t="n"/>
      <c r="BN5" s="493" t="n"/>
      <c r="BO5" s="493" t="n"/>
      <c r="BP5" s="493" t="n"/>
      <c r="BQ5" s="493" t="n"/>
      <c r="BR5" s="493" t="n"/>
      <c r="BS5" s="493" t="n"/>
      <c r="BT5" s="487" t="n"/>
      <c r="BU5" s="487" t="n"/>
      <c r="BV5" s="493" t="n"/>
      <c r="BW5" s="493" t="n"/>
      <c r="BX5" s="493" t="n"/>
      <c r="BY5" s="493" t="n"/>
      <c r="BZ5" s="493" t="n"/>
      <c r="CA5" s="493" t="n"/>
      <c r="CB5" s="493" t="n"/>
      <c r="CC5" s="487" t="n"/>
      <c r="CD5" s="487" t="n"/>
      <c r="CE5" s="493" t="n"/>
      <c r="CF5" s="493" t="n"/>
      <c r="CG5" s="493" t="n"/>
      <c r="CH5" s="493" t="n"/>
      <c r="CI5" s="493" t="n"/>
      <c r="CJ5" s="493" t="n"/>
      <c r="CK5" s="493" t="n"/>
      <c r="CL5" s="493" t="n"/>
      <c r="CX5" s="500" t="inlineStr">
        <is>
          <t>M.D.</t>
        </is>
      </c>
      <c r="CY5" s="491" t="inlineStr">
        <is>
          <t>Mensula Doble</t>
        </is>
      </c>
    </row>
    <row r="6" hidden="1" outlineLevel="1" ht="14.25" customFormat="1" customHeight="1" s="230">
      <c r="A6" s="241" t="n"/>
      <c r="B6" s="241" t="n"/>
      <c r="C6" s="247" t="n"/>
      <c r="D6" s="247" t="n"/>
      <c r="E6" s="234" t="n"/>
      <c r="F6" s="492" t="n"/>
      <c r="G6" s="492" t="n"/>
      <c r="H6" s="493" t="n"/>
      <c r="I6" s="492" t="n"/>
      <c r="J6" s="492" t="n"/>
      <c r="K6" s="492" t="n"/>
      <c r="L6" s="492" t="n"/>
      <c r="M6" s="493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253" t="n"/>
      <c r="AF6" s="492" t="n"/>
      <c r="AG6" s="492" t="n"/>
      <c r="AH6" s="492" t="n"/>
      <c r="AI6" s="492" t="n"/>
      <c r="AJ6" s="493" t="n"/>
      <c r="AK6" s="492" t="n"/>
      <c r="AL6" s="499" t="n"/>
      <c r="AM6" s="499" t="n"/>
      <c r="AN6" s="499" t="n"/>
      <c r="AO6" s="492" t="n"/>
      <c r="AP6" s="499" t="n"/>
      <c r="AQ6" s="499" t="n"/>
      <c r="AR6" s="492" t="n"/>
      <c r="AS6" s="492" t="n"/>
      <c r="AT6" s="492" t="n"/>
      <c r="AU6" s="500" t="n"/>
      <c r="AV6" s="492" t="n"/>
      <c r="AW6" s="492" t="n"/>
      <c r="AX6" s="492" t="n"/>
      <c r="AY6" s="492" t="n"/>
      <c r="AZ6" s="492" t="n"/>
      <c r="BA6" s="493" t="n"/>
      <c r="BB6" s="492" t="n"/>
      <c r="BC6" s="492" t="n"/>
      <c r="BD6" s="492" t="n"/>
      <c r="BE6" s="492" t="n"/>
      <c r="BF6" s="493" t="n"/>
      <c r="BG6" s="493" t="n"/>
      <c r="BH6" s="243" t="n"/>
      <c r="BI6" s="244" t="n"/>
      <c r="BJ6" s="244" t="n"/>
      <c r="BK6" s="229" t="n"/>
      <c r="BM6" s="493" t="n"/>
      <c r="BN6" s="493" t="n"/>
      <c r="BO6" s="493" t="n"/>
      <c r="BP6" s="493" t="n"/>
      <c r="BQ6" s="493" t="n"/>
      <c r="BR6" s="493" t="n"/>
      <c r="BS6" s="493" t="n"/>
      <c r="BT6" s="487" t="n"/>
      <c r="BU6" s="487" t="n"/>
      <c r="BV6" s="493" t="n"/>
      <c r="BW6" s="493" t="n"/>
      <c r="BX6" s="493" t="n"/>
      <c r="BY6" s="493" t="n"/>
      <c r="BZ6" s="493" t="n"/>
      <c r="CA6" s="493" t="n"/>
      <c r="CB6" s="493" t="n"/>
      <c r="CC6" s="487" t="n"/>
      <c r="CD6" s="487" t="n"/>
      <c r="CE6" s="493" t="n"/>
      <c r="CF6" s="493" t="n"/>
      <c r="CG6" s="493" t="n"/>
      <c r="CH6" s="493" t="n"/>
      <c r="CI6" s="493" t="n"/>
      <c r="CJ6" s="493" t="n"/>
      <c r="CK6" s="493" t="n"/>
      <c r="CL6" s="493" t="n"/>
      <c r="CX6" s="500" t="inlineStr">
        <is>
          <t>M.S.</t>
        </is>
      </c>
      <c r="CY6" s="491" t="inlineStr">
        <is>
          <t>Mensula Simple</t>
        </is>
      </c>
    </row>
    <row r="7" hidden="1" outlineLevel="1" ht="14.25" customFormat="1" customHeight="1" s="230">
      <c r="A7" s="241" t="n"/>
      <c r="B7" s="241" t="n"/>
      <c r="C7" s="247" t="n"/>
      <c r="D7" s="247" t="n"/>
      <c r="E7" s="234" t="n"/>
      <c r="F7" s="492" t="n"/>
      <c r="G7" s="492" t="n"/>
      <c r="H7" s="493" t="n"/>
      <c r="I7" s="492" t="n"/>
      <c r="J7" s="492" t="n"/>
      <c r="K7" s="492" t="n"/>
      <c r="L7" s="492" t="n"/>
      <c r="M7" s="493" t="n"/>
      <c r="N7" s="501" t="inlineStr">
        <is>
          <t>1 riel</t>
        </is>
      </c>
      <c r="O7" s="501" t="inlineStr">
        <is>
          <t>2 riel</t>
        </is>
      </c>
      <c r="P7" s="501" t="inlineStr">
        <is>
          <t>4 riel</t>
        </is>
      </c>
      <c r="Q7" s="494" t="n"/>
      <c r="R7" s="494" t="n"/>
      <c r="S7" s="494" t="n"/>
      <c r="T7" s="494" t="n"/>
      <c r="U7" s="494" t="n"/>
      <c r="V7" s="494" t="n"/>
      <c r="W7" s="494" t="n"/>
      <c r="X7" s="494" t="n"/>
      <c r="Y7" s="494" t="n"/>
      <c r="Z7" s="494" t="n"/>
      <c r="AA7" s="494" t="n"/>
      <c r="AB7" s="494" t="n"/>
      <c r="AC7" s="494" t="n"/>
      <c r="AD7" s="494" t="n"/>
      <c r="AE7" s="501" t="n"/>
      <c r="AF7" s="492" t="n"/>
      <c r="AG7" s="492" t="n"/>
      <c r="AH7" s="492" t="n"/>
      <c r="AI7" s="492" t="n"/>
      <c r="AJ7" s="493" t="n"/>
      <c r="AK7" s="494" t="n"/>
      <c r="AL7" s="494" t="n"/>
      <c r="AM7" s="494" t="n"/>
      <c r="AN7" s="494" t="n"/>
      <c r="AO7" s="492" t="n"/>
      <c r="AP7" s="494" t="n"/>
      <c r="AQ7" s="494" t="n"/>
      <c r="AR7" s="494" t="n"/>
      <c r="AS7" s="492" t="n"/>
      <c r="AT7" s="492" t="n"/>
      <c r="AU7" s="502" t="n"/>
      <c r="AV7" s="492" t="n"/>
      <c r="AW7" s="492" t="n"/>
      <c r="AX7" s="492" t="n"/>
      <c r="AY7" s="492" t="n"/>
      <c r="AZ7" s="492" t="n"/>
      <c r="BA7" s="493" t="n"/>
      <c r="BB7" s="492" t="n"/>
      <c r="BC7" s="492" t="n"/>
      <c r="BD7" s="492" t="n"/>
      <c r="BE7" s="492" t="n"/>
      <c r="BF7" s="493" t="n"/>
      <c r="BG7" s="493" t="n"/>
      <c r="BH7" s="385" t="n"/>
      <c r="BI7" s="257" t="n"/>
      <c r="BJ7" s="257" t="n"/>
      <c r="BK7" s="229" t="n"/>
      <c r="BM7" s="493" t="n"/>
      <c r="BN7" s="493" t="n"/>
      <c r="BO7" s="493" t="n"/>
      <c r="BP7" s="493" t="n"/>
      <c r="BQ7" s="493" t="n"/>
      <c r="BR7" s="493" t="n"/>
      <c r="BS7" s="493" t="n"/>
      <c r="BT7" s="487" t="n"/>
      <c r="BU7" s="487" t="n"/>
      <c r="BV7" s="493" t="n"/>
      <c r="BW7" s="493" t="n"/>
      <c r="BX7" s="493" t="n"/>
      <c r="BY7" s="493" t="n"/>
      <c r="BZ7" s="493" t="n"/>
      <c r="CA7" s="493" t="n"/>
      <c r="CB7" s="493" t="n"/>
      <c r="CC7" s="487" t="n"/>
      <c r="CD7" s="487" t="n"/>
      <c r="CE7" s="493" t="n"/>
      <c r="CF7" s="493" t="n"/>
      <c r="CG7" s="493" t="n"/>
      <c r="CH7" s="493" t="n"/>
      <c r="CI7" s="493" t="n"/>
      <c r="CJ7" s="493" t="n"/>
      <c r="CK7" s="493" t="n"/>
      <c r="CL7" s="493" t="n"/>
      <c r="CX7" s="502" t="inlineStr">
        <is>
          <t>R.V.</t>
        </is>
      </c>
      <c r="CY7" s="491" t="inlineStr">
        <is>
          <t xml:space="preserve">Retenida Violin </t>
        </is>
      </c>
    </row>
    <row r="8" hidden="1" outlineLevel="1" ht="14.25" customFormat="1" customHeight="1" s="230">
      <c r="A8" s="241" t="n"/>
      <c r="B8" s="241" t="n"/>
      <c r="C8" s="247" t="n"/>
      <c r="D8" s="247" t="n"/>
      <c r="E8" s="234" t="n"/>
      <c r="F8" s="492" t="n"/>
      <c r="G8" s="492" t="n"/>
      <c r="H8" s="493" t="n"/>
      <c r="I8" s="492" t="n"/>
      <c r="J8" s="492" t="n"/>
      <c r="K8" s="492" t="n"/>
      <c r="L8" s="492" t="n"/>
      <c r="M8" s="493" t="n"/>
      <c r="N8" s="503" t="inlineStr">
        <is>
          <t>P.A.A.</t>
        </is>
      </c>
      <c r="O8" s="503" t="inlineStr">
        <is>
          <t>P.A.T.</t>
        </is>
      </c>
      <c r="P8" s="503" t="n"/>
      <c r="Q8" s="503" t="n"/>
      <c r="R8" s="494" t="n"/>
      <c r="S8" s="494" t="n"/>
      <c r="T8" s="494" t="n"/>
      <c r="U8" s="494" t="n"/>
      <c r="V8" s="494" t="n"/>
      <c r="W8" s="494" t="n"/>
      <c r="X8" s="494" t="n"/>
      <c r="Y8" s="494" t="n"/>
      <c r="Z8" s="494" t="n"/>
      <c r="AA8" s="494" t="n"/>
      <c r="AB8" s="494" t="n"/>
      <c r="AC8" s="494" t="n"/>
      <c r="AD8" s="494" t="n"/>
      <c r="AE8" s="503" t="n"/>
      <c r="AF8" s="492" t="n"/>
      <c r="AG8" s="492" t="n"/>
      <c r="AH8" s="492" t="n"/>
      <c r="AI8" s="492" t="n"/>
      <c r="AJ8" s="493" t="n"/>
      <c r="AK8" s="494" t="n"/>
      <c r="AL8" s="494" t="inlineStr">
        <is>
          <t>P.A.H.</t>
        </is>
      </c>
      <c r="AM8" s="494" t="n"/>
      <c r="AN8" s="494" t="inlineStr">
        <is>
          <t>P.A.A.</t>
        </is>
      </c>
      <c r="AO8" s="492" t="n"/>
      <c r="AP8" s="494" t="n"/>
      <c r="AQ8" s="494" t="inlineStr">
        <is>
          <t>P.A.H.</t>
        </is>
      </c>
      <c r="AR8" s="494" t="n"/>
      <c r="AS8" s="492" t="n"/>
      <c r="AT8" s="492" t="n"/>
      <c r="AU8" s="502" t="n"/>
      <c r="AV8" s="492" t="n"/>
      <c r="AW8" s="492" t="n"/>
      <c r="AX8" s="492" t="n"/>
      <c r="AY8" s="492" t="n"/>
      <c r="AZ8" s="492" t="n"/>
      <c r="BA8" s="493" t="n"/>
      <c r="BB8" s="492" t="n"/>
      <c r="BC8" s="492" t="n"/>
      <c r="BD8" s="492" t="n"/>
      <c r="BE8" s="492" t="n"/>
      <c r="BF8" s="493" t="n"/>
      <c r="BG8" s="493" t="n"/>
      <c r="BH8" s="495" t="n"/>
      <c r="BI8" s="496" t="n"/>
      <c r="BJ8" s="496" t="n"/>
      <c r="BK8" s="229" t="n"/>
      <c r="BM8" s="493" t="n"/>
      <c r="BN8" s="493" t="n"/>
      <c r="BO8" s="493" t="n"/>
      <c r="BP8" s="493" t="n"/>
      <c r="BQ8" s="493" t="n"/>
      <c r="BR8" s="493" t="n"/>
      <c r="BS8" s="493" t="n"/>
      <c r="BT8" s="487" t="n"/>
      <c r="BU8" s="487" t="n"/>
      <c r="BV8" s="493" t="n"/>
      <c r="BW8" s="493" t="n"/>
      <c r="BX8" s="493" t="n"/>
      <c r="BY8" s="493" t="n"/>
      <c r="BZ8" s="493" t="n"/>
      <c r="CA8" s="493" t="n"/>
      <c r="CB8" s="493" t="n"/>
      <c r="CC8" s="487" t="n"/>
      <c r="CD8" s="487" t="n"/>
      <c r="CE8" s="493" t="n"/>
      <c r="CF8" s="493" t="n"/>
      <c r="CG8" s="493" t="n"/>
      <c r="CH8" s="493" t="n"/>
      <c r="CI8" s="493" t="n"/>
      <c r="CJ8" s="493" t="n"/>
      <c r="CK8" s="493" t="n"/>
      <c r="CL8" s="493" t="n"/>
      <c r="CX8" s="502" t="inlineStr">
        <is>
          <t>R.V. (s)</t>
        </is>
      </c>
      <c r="CY8" s="491" t="inlineStr">
        <is>
          <t>Retenida Violin (s/zapata sicadur)</t>
        </is>
      </c>
    </row>
    <row r="9" hidden="1" outlineLevel="1" ht="14.25" customFormat="1" customHeight="1" s="230">
      <c r="A9" s="241" t="n"/>
      <c r="B9" s="241" t="n"/>
      <c r="C9" s="247" t="n"/>
      <c r="D9" s="247" t="n"/>
      <c r="E9" s="234" t="n"/>
      <c r="F9" s="492" t="n"/>
      <c r="G9" s="492" t="n"/>
      <c r="H9" s="493" t="n"/>
      <c r="I9" s="492" t="n"/>
      <c r="J9" s="492" t="n"/>
      <c r="K9" s="492" t="n"/>
      <c r="L9" s="492" t="n"/>
      <c r="M9" s="493" t="n"/>
      <c r="N9" s="502" t="inlineStr">
        <is>
          <t>R.V.</t>
        </is>
      </c>
      <c r="O9" s="502" t="inlineStr">
        <is>
          <t>3R.S.</t>
        </is>
      </c>
      <c r="P9" s="502" t="inlineStr">
        <is>
          <t>R.S.</t>
        </is>
      </c>
      <c r="Q9" s="494" t="n"/>
      <c r="R9" s="494" t="n"/>
      <c r="S9" s="494" t="n"/>
      <c r="T9" s="494" t="n"/>
      <c r="U9" s="494" t="n"/>
      <c r="V9" s="494" t="n"/>
      <c r="W9" s="494" t="n"/>
      <c r="X9" s="494" t="n"/>
      <c r="Y9" s="494" t="n"/>
      <c r="Z9" s="494" t="n"/>
      <c r="AA9" s="494" t="n"/>
      <c r="AB9" s="494" t="n"/>
      <c r="AC9" s="494" t="n"/>
      <c r="AD9" s="494" t="n"/>
      <c r="AE9" s="503" t="n"/>
      <c r="AF9" s="492" t="n"/>
      <c r="AG9" s="492" t="n"/>
      <c r="AH9" s="492" t="n"/>
      <c r="AI9" s="492" t="n"/>
      <c r="AJ9" s="493" t="n"/>
      <c r="AK9" s="502" t="n"/>
      <c r="AL9" s="502" t="inlineStr">
        <is>
          <t>R.Y.</t>
        </is>
      </c>
      <c r="AM9" s="502" t="n"/>
      <c r="AN9" s="502" t="inlineStr">
        <is>
          <t>R.V.</t>
        </is>
      </c>
      <c r="AO9" s="492" t="n"/>
      <c r="AP9" s="502" t="n"/>
      <c r="AQ9" s="502" t="inlineStr">
        <is>
          <t>R.V.(s)</t>
        </is>
      </c>
      <c r="AR9" s="502" t="n"/>
      <c r="AS9" s="492" t="n"/>
      <c r="AT9" s="492" t="n"/>
      <c r="AU9" s="502" t="n"/>
      <c r="AV9" s="492" t="n"/>
      <c r="AW9" s="492" t="n"/>
      <c r="AX9" s="492" t="n"/>
      <c r="AY9" s="492" t="n"/>
      <c r="AZ9" s="492" t="n"/>
      <c r="BA9" s="493" t="n"/>
      <c r="BB9" s="492" t="n"/>
      <c r="BC9" s="492" t="n"/>
      <c r="BD9" s="492" t="n"/>
      <c r="BE9" s="492" t="n"/>
      <c r="BF9" s="493" t="n"/>
      <c r="BG9" s="493" t="n"/>
      <c r="BH9" s="495" t="n"/>
      <c r="BI9" s="496" t="n"/>
      <c r="BJ9" s="496" t="n"/>
      <c r="BK9" s="229" t="n"/>
      <c r="BM9" s="493" t="n"/>
      <c r="BN9" s="493" t="n"/>
      <c r="BO9" s="493" t="n"/>
      <c r="BP9" s="493" t="n"/>
      <c r="BQ9" s="493" t="n"/>
      <c r="BR9" s="493" t="n"/>
      <c r="BS9" s="493" t="n"/>
      <c r="BT9" s="487" t="n"/>
      <c r="BU9" s="487" t="n"/>
      <c r="BV9" s="493" t="n"/>
      <c r="BW9" s="493" t="n"/>
      <c r="BX9" s="493" t="n"/>
      <c r="BY9" s="493" t="n"/>
      <c r="BZ9" s="493" t="n"/>
      <c r="CA9" s="493" t="n"/>
      <c r="CB9" s="493" t="n"/>
      <c r="CC9" s="487" t="n"/>
      <c r="CD9" s="487" t="n"/>
      <c r="CE9" s="493" t="n"/>
      <c r="CF9" s="493" t="n"/>
      <c r="CG9" s="493" t="n"/>
      <c r="CH9" s="493" t="n"/>
      <c r="CI9" s="493" t="n"/>
      <c r="CJ9" s="493" t="n"/>
      <c r="CK9" s="493" t="n"/>
      <c r="CL9" s="493" t="n"/>
      <c r="CX9" s="502" t="inlineStr">
        <is>
          <t>R.Y.</t>
        </is>
      </c>
      <c r="CY9" s="491" t="inlineStr">
        <is>
          <t>Retenida tipo Y</t>
        </is>
      </c>
    </row>
    <row r="10" hidden="1" outlineLevel="1" ht="14.25" customFormat="1" customHeight="1" s="230">
      <c r="A10" s="241" t="n"/>
      <c r="B10" s="241" t="n"/>
      <c r="C10" s="247" t="n"/>
      <c r="D10" s="247" t="n"/>
      <c r="E10" s="234" t="n"/>
      <c r="F10" s="492" t="n"/>
      <c r="G10" s="492" t="n"/>
      <c r="H10" s="493" t="n"/>
      <c r="I10" s="492" t="n"/>
      <c r="J10" s="492" t="n"/>
      <c r="K10" s="492" t="n"/>
      <c r="L10" s="492" t="n"/>
      <c r="M10" s="493" t="n"/>
      <c r="N10" s="502" t="n"/>
      <c r="O10" s="502" t="n"/>
      <c r="P10" s="502" t="n"/>
      <c r="Q10" s="494" t="n"/>
      <c r="R10" s="494" t="n"/>
      <c r="S10" s="494" t="n"/>
      <c r="T10" s="494" t="n"/>
      <c r="U10" s="494" t="n"/>
      <c r="V10" s="494" t="n"/>
      <c r="W10" s="494" t="n"/>
      <c r="X10" s="494" t="n"/>
      <c r="Y10" s="494" t="n"/>
      <c r="Z10" s="494" t="n"/>
      <c r="AA10" s="494" t="n"/>
      <c r="AB10" s="494" t="n"/>
      <c r="AC10" s="494" t="n"/>
      <c r="AD10" s="494" t="n"/>
      <c r="AE10" s="502" t="n"/>
      <c r="AF10" s="492" t="n"/>
      <c r="AG10" s="492" t="n"/>
      <c r="AH10" s="492" t="n"/>
      <c r="AI10" s="492" t="n"/>
      <c r="AJ10" s="493" t="n"/>
      <c r="AK10" s="502" t="n"/>
      <c r="AL10" s="502" t="n"/>
      <c r="AM10" s="502" t="n"/>
      <c r="AN10" s="502" t="n"/>
      <c r="AO10" s="492" t="n"/>
      <c r="AP10" s="502" t="n"/>
      <c r="AQ10" s="502" t="n"/>
      <c r="AR10" s="502" t="n"/>
      <c r="AS10" s="492" t="n"/>
      <c r="AT10" s="492" t="n"/>
      <c r="AU10" s="502" t="n"/>
      <c r="AV10" s="492" t="n"/>
      <c r="AW10" s="492" t="n"/>
      <c r="AX10" s="492" t="n"/>
      <c r="AY10" s="492" t="n"/>
      <c r="AZ10" s="492" t="n"/>
      <c r="BA10" s="493" t="n"/>
      <c r="BB10" s="492" t="n"/>
      <c r="BC10" s="492" t="n"/>
      <c r="BD10" s="492" t="n"/>
      <c r="BE10" s="492" t="n"/>
      <c r="BF10" s="493" t="n"/>
      <c r="BG10" s="493" t="n"/>
      <c r="BH10" s="495" t="n"/>
      <c r="BI10" s="496" t="n"/>
      <c r="BJ10" s="496" t="n"/>
      <c r="BK10" s="229" t="n"/>
      <c r="BM10" s="493" t="n"/>
      <c r="BN10" s="493" t="n"/>
      <c r="BO10" s="493" t="n"/>
      <c r="BP10" s="493" t="n"/>
      <c r="BQ10" s="493" t="n"/>
      <c r="BR10" s="493" t="n"/>
      <c r="BS10" s="493" t="n"/>
      <c r="BT10" s="487" t="n"/>
      <c r="BU10" s="487" t="n"/>
      <c r="BV10" s="493" t="n"/>
      <c r="BW10" s="493" t="n"/>
      <c r="BX10" s="493" t="n"/>
      <c r="BY10" s="493" t="n"/>
      <c r="BZ10" s="493" t="n"/>
      <c r="CA10" s="493" t="n"/>
      <c r="CB10" s="493" t="n"/>
      <c r="CC10" s="487" t="n"/>
      <c r="CD10" s="487" t="n"/>
      <c r="CE10" s="493" t="n"/>
      <c r="CF10" s="493" t="n"/>
      <c r="CG10" s="493" t="n"/>
      <c r="CH10" s="493" t="n"/>
      <c r="CI10" s="493" t="n"/>
      <c r="CJ10" s="493" t="n"/>
      <c r="CK10" s="493" t="n"/>
      <c r="CL10" s="493" t="n"/>
      <c r="CX10" s="502" t="inlineStr">
        <is>
          <t>R.S.</t>
        </is>
      </c>
      <c r="CY10" s="491" t="inlineStr">
        <is>
          <t>Retenida Simple</t>
        </is>
      </c>
    </row>
    <row r="11" hidden="1" outlineLevel="1" ht="14.25" customFormat="1" customHeight="1" s="230" thickBot="1">
      <c r="A11" s="241" t="n"/>
      <c r="B11" s="241" t="n"/>
      <c r="C11" s="247" t="n"/>
      <c r="D11" s="247" t="n"/>
      <c r="E11" s="234" t="n"/>
      <c r="F11" s="492" t="n"/>
      <c r="G11" s="492" t="n"/>
      <c r="H11" s="493" t="n"/>
      <c r="I11" s="492" t="n"/>
      <c r="J11" s="492" t="n"/>
      <c r="K11" s="492" t="n"/>
      <c r="L11" s="492" t="n"/>
      <c r="M11" s="493" t="n"/>
      <c r="N11" s="494" t="n"/>
      <c r="O11" s="494" t="n"/>
      <c r="P11" s="494" t="n"/>
      <c r="Q11" s="494" t="n"/>
      <c r="R11" s="494" t="n"/>
      <c r="S11" s="494" t="n"/>
      <c r="T11" s="494" t="n"/>
      <c r="U11" s="494" t="n"/>
      <c r="V11" s="494" t="n"/>
      <c r="W11" s="494" t="n"/>
      <c r="X11" s="494" t="n"/>
      <c r="Y11" s="494" t="n"/>
      <c r="Z11" s="494" t="n"/>
      <c r="AA11" s="494" t="n"/>
      <c r="AB11" s="494" t="n"/>
      <c r="AC11" s="494" t="n"/>
      <c r="AD11" s="494" t="n"/>
      <c r="AE11" s="502" t="n"/>
      <c r="AF11" s="492" t="n"/>
      <c r="AG11" s="492" t="n"/>
      <c r="AH11" s="492" t="n"/>
      <c r="AI11" s="492" t="n"/>
      <c r="AJ11" s="493" t="n"/>
      <c r="AK11" s="503" t="inlineStr">
        <is>
          <t>L</t>
        </is>
      </c>
      <c r="AL11" s="503" t="inlineStr">
        <is>
          <t>L</t>
        </is>
      </c>
      <c r="AM11" s="503" t="inlineStr">
        <is>
          <t>L</t>
        </is>
      </c>
      <c r="AN11" s="503" t="inlineStr">
        <is>
          <t>L</t>
        </is>
      </c>
      <c r="AO11" s="492" t="n"/>
      <c r="AP11" s="503" t="inlineStr">
        <is>
          <t>L</t>
        </is>
      </c>
      <c r="AQ11" s="503" t="inlineStr">
        <is>
          <t>L</t>
        </is>
      </c>
      <c r="AR11" s="503" t="inlineStr">
        <is>
          <t>L</t>
        </is>
      </c>
      <c r="AS11" s="492" t="n"/>
      <c r="AT11" s="492" t="n"/>
      <c r="AU11" s="503" t="n"/>
      <c r="AV11" s="492" t="n"/>
      <c r="AW11" s="492" t="n"/>
      <c r="AX11" s="492" t="n"/>
      <c r="AY11" s="492" t="n"/>
      <c r="AZ11" s="492" t="n"/>
      <c r="BA11" s="493" t="n"/>
      <c r="BB11" s="492" t="n"/>
      <c r="BC11" s="492" t="n"/>
      <c r="BD11" s="492" t="n"/>
      <c r="BE11" s="492" t="n"/>
      <c r="BF11" s="493" t="n"/>
      <c r="BG11" s="493" t="n"/>
      <c r="BH11" s="495" t="n"/>
      <c r="BI11" s="496" t="n"/>
      <c r="BJ11" s="496" t="n"/>
      <c r="BK11" s="229" t="n"/>
      <c r="BM11" s="493" t="n"/>
      <c r="BN11" s="493" t="n"/>
      <c r="BO11" s="493" t="n"/>
      <c r="BP11" s="493" t="n"/>
      <c r="BQ11" s="493" t="n"/>
      <c r="BR11" s="493" t="n"/>
      <c r="BS11" s="493" t="n"/>
      <c r="BT11" s="487" t="n"/>
      <c r="BU11" s="487" t="n"/>
      <c r="BV11" s="493" t="n"/>
      <c r="BW11" s="493" t="n"/>
      <c r="BX11" s="493" t="n"/>
      <c r="BY11" s="493" t="n"/>
      <c r="BZ11" s="493" t="n"/>
      <c r="CA11" s="493" t="n"/>
      <c r="CB11" s="493" t="n"/>
      <c r="CC11" s="487" t="n"/>
      <c r="CD11" s="487" t="n"/>
      <c r="CE11" s="493" t="n"/>
      <c r="CF11" s="493" t="n"/>
      <c r="CG11" s="493" t="n"/>
      <c r="CH11" s="493" t="n"/>
      <c r="CI11" s="493" t="n"/>
      <c r="CJ11" s="493" t="n"/>
      <c r="CK11" s="493" t="n"/>
      <c r="CL11" s="493" t="n"/>
      <c r="CX11" s="503" t="inlineStr">
        <is>
          <t>L</t>
        </is>
      </c>
      <c r="CY11" s="491" t="inlineStr">
        <is>
          <t>Lonchera (Caja Distrib.)</t>
        </is>
      </c>
    </row>
    <row r="12" hidden="1" outlineLevel="1" ht="16.5" customFormat="1" customHeight="1" s="230" thickBot="1">
      <c r="A12" s="241" t="n"/>
      <c r="B12" s="247" t="n"/>
      <c r="C12" s="259" t="n"/>
      <c r="D12" s="232" t="n"/>
      <c r="E12" s="234" t="n"/>
      <c r="F12" s="260" t="n"/>
      <c r="G12" s="260" t="n"/>
      <c r="H12" s="391" t="n"/>
      <c r="I12" s="260" t="n"/>
      <c r="J12" s="260" t="n"/>
      <c r="K12" s="260" t="n"/>
      <c r="L12" s="260" t="n"/>
      <c r="M12" s="391" t="n"/>
      <c r="N12" s="259" t="inlineStr">
        <is>
          <t>A-33</t>
        </is>
      </c>
      <c r="O12" s="259" t="inlineStr">
        <is>
          <t>AC-21</t>
        </is>
      </c>
      <c r="P12" s="259" t="n"/>
      <c r="Q12" s="259" t="n"/>
      <c r="R12" s="259" t="n"/>
      <c r="S12" s="259" t="n"/>
      <c r="T12" s="259" t="n"/>
      <c r="U12" s="259" t="n"/>
      <c r="V12" s="259" t="n"/>
      <c r="W12" s="259" t="n"/>
      <c r="X12" s="259" t="n"/>
      <c r="Y12" s="259" t="n"/>
      <c r="Z12" s="259" t="n"/>
      <c r="AA12" s="259" t="n"/>
      <c r="AB12" s="259" t="n"/>
      <c r="AC12" s="259" t="n"/>
      <c r="AD12" s="259" t="n"/>
      <c r="AE12" s="262" t="n"/>
      <c r="AF12" s="260" t="n"/>
      <c r="AG12" s="260" t="n"/>
      <c r="AH12" s="260" t="n"/>
      <c r="AI12" s="260" t="n"/>
      <c r="AJ12" s="391" t="n"/>
      <c r="AK12" s="259" t="n"/>
      <c r="AL12" s="259" t="n"/>
      <c r="AM12" s="259" t="inlineStr">
        <is>
          <t>FV-7.5</t>
        </is>
      </c>
      <c r="AN12" s="259" t="n"/>
      <c r="AO12" s="259" t="inlineStr">
        <is>
          <t>FV-8.7</t>
        </is>
      </c>
      <c r="AP12" s="259" t="n"/>
      <c r="AQ12" s="259" t="inlineStr">
        <is>
          <t>10/300</t>
        </is>
      </c>
      <c r="AR12" s="259" t="inlineStr">
        <is>
          <t>Exist.</t>
        </is>
      </c>
      <c r="AS12" s="260" t="n"/>
      <c r="AT12" s="260" t="n"/>
      <c r="AU12" s="391" t="n"/>
      <c r="AV12" s="260" t="n"/>
      <c r="AW12" s="260" t="n"/>
      <c r="AX12" s="260" t="n"/>
      <c r="AY12" s="260" t="n"/>
      <c r="AZ12" s="260" t="n"/>
      <c r="BA12" s="391" t="n"/>
      <c r="BB12" s="260" t="n"/>
      <c r="BC12" s="260" t="n"/>
      <c r="BD12" s="260" t="n"/>
      <c r="BE12" s="260" t="n"/>
      <c r="BF12" s="391" t="n"/>
      <c r="BG12" s="391" t="n"/>
      <c r="BH12" s="391" t="n"/>
      <c r="BJ12" s="263" t="n"/>
      <c r="BK12" s="229" t="n"/>
      <c r="BM12" s="264" t="n"/>
      <c r="BN12" s="265" t="n"/>
      <c r="BO12" s="265" t="n"/>
      <c r="BP12" s="265" t="inlineStr">
        <is>
          <t>PARCIAL 01</t>
        </is>
      </c>
      <c r="BQ12" s="265" t="n"/>
      <c r="BR12" s="265" t="n"/>
      <c r="BS12" s="266" t="n"/>
      <c r="BT12" s="267" t="n"/>
      <c r="BU12" s="267" t="n"/>
      <c r="BV12" s="264" t="n"/>
      <c r="BW12" s="265" t="n"/>
      <c r="BX12" s="265" t="n"/>
      <c r="BY12" s="265" t="inlineStr">
        <is>
          <t>PARCIAL 02</t>
        </is>
      </c>
      <c r="BZ12" s="265" t="n"/>
      <c r="CA12" s="265" t="n"/>
      <c r="CB12" s="266" t="n"/>
      <c r="CC12" s="267" t="n"/>
      <c r="CD12" s="267" t="n"/>
      <c r="CE12" s="264" t="n"/>
      <c r="CF12" s="265" t="n"/>
      <c r="CG12" s="265" t="n"/>
      <c r="CH12" s="265" t="inlineStr">
        <is>
          <t>PARCIAL 03</t>
        </is>
      </c>
      <c r="CI12" s="265" t="n"/>
      <c r="CJ12" s="265" t="n"/>
      <c r="CK12" s="266" t="n"/>
      <c r="CL12" s="391" t="n"/>
      <c r="CN12" s="504" t="inlineStr">
        <is>
          <t>DIFERENCIA X LIQUIDAR</t>
        </is>
      </c>
      <c r="CO12" s="505" t="n"/>
      <c r="CP12" s="505" t="n"/>
      <c r="CQ12" s="505" t="n"/>
      <c r="CR12" s="505" t="n"/>
      <c r="CS12" s="505" t="n"/>
      <c r="CT12" s="506" t="n"/>
      <c r="CU12" s="268" t="n"/>
      <c r="CX12" s="262" t="inlineStr">
        <is>
          <t>Tipos Estructura</t>
        </is>
      </c>
      <c r="CY12" s="269" t="inlineStr">
        <is>
          <t>Tipos Estructura</t>
        </is>
      </c>
    </row>
    <row r="13" collapsed="1" ht="48" customFormat="1" customHeight="1" s="284" thickBot="1">
      <c r="A13" s="270" t="inlineStr">
        <is>
          <t>L</t>
        </is>
      </c>
      <c r="B13" s="271" t="inlineStr">
        <is>
          <t>MARCA</t>
        </is>
      </c>
      <c r="C13" s="271" t="inlineStr">
        <is>
          <t>DESCRIPCION</t>
        </is>
      </c>
      <c r="D13" s="271" t="inlineStr">
        <is>
          <t>S/.</t>
        </is>
      </c>
      <c r="E13" s="271" t="inlineStr">
        <is>
          <t xml:space="preserve">Saldo </t>
        </is>
      </c>
      <c r="F13" s="271" t="inlineStr">
        <is>
          <t>SE 01</t>
        </is>
      </c>
      <c r="G13" s="272" t="inlineStr">
        <is>
          <t>SE 02</t>
        </is>
      </c>
      <c r="H13" s="273" t="inlineStr">
        <is>
          <t>SE</t>
        </is>
      </c>
      <c r="I13" s="274" t="inlineStr">
        <is>
          <t>Zanja</t>
        </is>
      </c>
      <c r="J13" s="271" t="inlineStr">
        <is>
          <t>E1</t>
        </is>
      </c>
      <c r="K13" s="271" t="inlineStr">
        <is>
          <t>E2</t>
        </is>
      </c>
      <c r="L13" s="272" t="inlineStr">
        <is>
          <t>E3</t>
        </is>
      </c>
      <c r="M13" s="273" t="inlineStr">
        <is>
          <t>MT/SUBT</t>
        </is>
      </c>
      <c r="N13" s="274" t="inlineStr">
        <is>
          <t>P1</t>
        </is>
      </c>
      <c r="O13" s="271" t="inlineStr">
        <is>
          <t>P2</t>
        </is>
      </c>
      <c r="P13" s="271" t="inlineStr">
        <is>
          <t>P3</t>
        </is>
      </c>
      <c r="Q13" s="271" t="inlineStr">
        <is>
          <t>P4</t>
        </is>
      </c>
      <c r="R13" s="271" t="inlineStr">
        <is>
          <t>P5</t>
        </is>
      </c>
      <c r="S13" s="271" t="inlineStr">
        <is>
          <t>P6</t>
        </is>
      </c>
      <c r="T13" s="271" t="inlineStr">
        <is>
          <t>P7</t>
        </is>
      </c>
      <c r="U13" s="271" t="inlineStr">
        <is>
          <t>P8</t>
        </is>
      </c>
      <c r="V13" s="271" t="inlineStr">
        <is>
          <t>P9</t>
        </is>
      </c>
      <c r="W13" s="271" t="inlineStr">
        <is>
          <t>P10</t>
        </is>
      </c>
      <c r="X13" s="271" t="inlineStr">
        <is>
          <t>P11</t>
        </is>
      </c>
      <c r="Y13" s="271" t="inlineStr">
        <is>
          <t>P12</t>
        </is>
      </c>
      <c r="Z13" s="271" t="inlineStr">
        <is>
          <t>P13</t>
        </is>
      </c>
      <c r="AA13" s="271" t="inlineStr">
        <is>
          <t>P14</t>
        </is>
      </c>
      <c r="AB13" s="271" t="inlineStr">
        <is>
          <t>P15</t>
        </is>
      </c>
      <c r="AC13" s="271" t="inlineStr">
        <is>
          <t>Cuello</t>
        </is>
      </c>
      <c r="AD13" s="272" t="inlineStr">
        <is>
          <t>Flecha</t>
        </is>
      </c>
      <c r="AE13" s="273" t="inlineStr">
        <is>
          <t>MT/AER.</t>
        </is>
      </c>
      <c r="AF13" s="274" t="inlineStr">
        <is>
          <t>Zanja</t>
        </is>
      </c>
      <c r="AG13" s="271" t="inlineStr">
        <is>
          <t>E1</t>
        </is>
      </c>
      <c r="AH13" s="271" t="inlineStr">
        <is>
          <t>E2</t>
        </is>
      </c>
      <c r="AI13" s="272" t="inlineStr">
        <is>
          <t>PM</t>
        </is>
      </c>
      <c r="AJ13" s="273" t="inlineStr">
        <is>
          <t>BT/SUBT.</t>
        </is>
      </c>
      <c r="AK13" s="271" t="inlineStr">
        <is>
          <t>P1</t>
        </is>
      </c>
      <c r="AL13" s="271" t="inlineStr">
        <is>
          <t>P2</t>
        </is>
      </c>
      <c r="AM13" s="271" t="inlineStr">
        <is>
          <t>P3</t>
        </is>
      </c>
      <c r="AN13" s="271" t="inlineStr">
        <is>
          <t>P4</t>
        </is>
      </c>
      <c r="AO13" s="271" t="inlineStr">
        <is>
          <t>P5</t>
        </is>
      </c>
      <c r="AP13" s="271" t="inlineStr">
        <is>
          <t>P6</t>
        </is>
      </c>
      <c r="AQ13" s="271" t="inlineStr">
        <is>
          <t>P7</t>
        </is>
      </c>
      <c r="AR13" s="271" t="inlineStr">
        <is>
          <t>P8</t>
        </is>
      </c>
      <c r="AS13" s="275" t="inlineStr">
        <is>
          <t>Flecha 5%</t>
        </is>
      </c>
      <c r="AT13" s="276" t="inlineStr">
        <is>
          <t>Cuello</t>
        </is>
      </c>
      <c r="AU13" s="273" t="inlineStr">
        <is>
          <t>BT/AER.</t>
        </is>
      </c>
      <c r="AV13" s="274" t="inlineStr">
        <is>
          <t>P1</t>
        </is>
      </c>
      <c r="AW13" s="276" t="inlineStr">
        <is>
          <t>P2</t>
        </is>
      </c>
      <c r="AX13" s="276" t="inlineStr">
        <is>
          <t>P3</t>
        </is>
      </c>
      <c r="AY13" s="447" t="n">
        <v>0.03</v>
      </c>
      <c r="AZ13" s="276" t="inlineStr">
        <is>
          <t xml:space="preserve">cuello </t>
        </is>
      </c>
      <c r="BA13" s="273" t="inlineStr">
        <is>
          <t>AP/SUBT.</t>
        </is>
      </c>
      <c r="BB13" s="274" t="inlineStr">
        <is>
          <t>BM1</t>
        </is>
      </c>
      <c r="BC13" s="271" t="inlineStr">
        <is>
          <t>BM2</t>
        </is>
      </c>
      <c r="BD13" s="271" t="inlineStr">
        <is>
          <t>BCI</t>
        </is>
      </c>
      <c r="BE13" s="272" t="inlineStr">
        <is>
          <t>S.G.</t>
        </is>
      </c>
      <c r="BF13" s="273" t="inlineStr">
        <is>
          <t>CX/SUBT.</t>
        </is>
      </c>
      <c r="BG13" s="277" t="n"/>
      <c r="BH13" s="278" t="inlineStr">
        <is>
          <t xml:space="preserve">Cantidad Total </t>
        </is>
      </c>
      <c r="BI13" s="279" t="inlineStr">
        <is>
          <t>CANT.
PEDIR</t>
        </is>
      </c>
      <c r="BJ13" s="279" t="inlineStr">
        <is>
          <t>CANT.
DEVOLVER</t>
        </is>
      </c>
      <c r="BK13" s="279" t="inlineStr">
        <is>
          <t>OBS.</t>
        </is>
      </c>
      <c r="BL13" s="280" t="n"/>
      <c r="BM13" s="395" t="inlineStr">
        <is>
          <t>SE</t>
        </is>
      </c>
      <c r="BN13" s="273" t="inlineStr">
        <is>
          <t>MT/SUBT</t>
        </is>
      </c>
      <c r="BO13" s="273" t="inlineStr">
        <is>
          <t>MT/AER.</t>
        </is>
      </c>
      <c r="BP13" s="273" t="inlineStr">
        <is>
          <t>BT/SUBT.</t>
        </is>
      </c>
      <c r="BQ13" s="273" t="inlineStr">
        <is>
          <t>BT/AER.</t>
        </is>
      </c>
      <c r="BR13" s="273" t="inlineStr">
        <is>
          <t>AP/AER.</t>
        </is>
      </c>
      <c r="BS13" s="273" t="inlineStr">
        <is>
          <t>CX/SUBT.</t>
        </is>
      </c>
      <c r="BT13" s="282" t="inlineStr">
        <is>
          <t>PARCIAL 01</t>
        </is>
      </c>
      <c r="BU13" s="283" t="n"/>
      <c r="BV13" s="273" t="inlineStr">
        <is>
          <t>SE</t>
        </is>
      </c>
      <c r="BW13" s="273" t="inlineStr">
        <is>
          <t>MT/SUBT</t>
        </is>
      </c>
      <c r="BX13" s="273" t="inlineStr">
        <is>
          <t>MT/AER.</t>
        </is>
      </c>
      <c r="BY13" s="273" t="inlineStr">
        <is>
          <t>BT/SUBT.</t>
        </is>
      </c>
      <c r="BZ13" s="273" t="inlineStr">
        <is>
          <t>BT/AER.</t>
        </is>
      </c>
      <c r="CA13" s="273" t="inlineStr">
        <is>
          <t>AP/AER.</t>
        </is>
      </c>
      <c r="CB13" s="273" t="inlineStr">
        <is>
          <t>CX/SUBT.</t>
        </is>
      </c>
      <c r="CC13" s="282" t="inlineStr">
        <is>
          <t>PARCIAL 02</t>
        </is>
      </c>
      <c r="CD13" s="283" t="n"/>
      <c r="CE13" s="273" t="inlineStr">
        <is>
          <t>SE</t>
        </is>
      </c>
      <c r="CF13" s="273" t="inlineStr">
        <is>
          <t>MT/SUBT</t>
        </is>
      </c>
      <c r="CG13" s="273" t="inlineStr">
        <is>
          <t>MT/AER.</t>
        </is>
      </c>
      <c r="CH13" s="273" t="inlineStr">
        <is>
          <t>BT/SUBT.</t>
        </is>
      </c>
      <c r="CI13" s="273" t="inlineStr">
        <is>
          <t>BT/AER.</t>
        </is>
      </c>
      <c r="CJ13" s="273" t="inlineStr">
        <is>
          <t>AP/AER.</t>
        </is>
      </c>
      <c r="CK13" s="273" t="inlineStr">
        <is>
          <t>CX/SUBT.</t>
        </is>
      </c>
      <c r="CL13" s="273" t="inlineStr">
        <is>
          <t>PARCIAL 03</t>
        </is>
      </c>
      <c r="CN13" s="278" t="inlineStr">
        <is>
          <t>SE</t>
        </is>
      </c>
      <c r="CO13" s="278" t="inlineStr">
        <is>
          <t>MT/SUBT</t>
        </is>
      </c>
      <c r="CP13" s="278" t="inlineStr">
        <is>
          <t xml:space="preserve"> MT/AER.</t>
        </is>
      </c>
      <c r="CQ13" s="278" t="inlineStr">
        <is>
          <t xml:space="preserve"> BT/SUBT.</t>
        </is>
      </c>
      <c r="CR13" s="278" t="inlineStr">
        <is>
          <t xml:space="preserve"> BT/AER.</t>
        </is>
      </c>
      <c r="CS13" s="278" t="inlineStr">
        <is>
          <t>AP/AER.</t>
        </is>
      </c>
      <c r="CT13" s="278" t="inlineStr">
        <is>
          <t xml:space="preserve"> CX/SUBT.</t>
        </is>
      </c>
      <c r="CU13" s="398" t="inlineStr">
        <is>
          <t xml:space="preserve"> Parcial Liquidado
TOTAL</t>
        </is>
      </c>
      <c r="CV13" s="398" t="inlineStr">
        <is>
          <t>Dif. x Liquidar
TOTAL</t>
        </is>
      </c>
    </row>
    <row r="14" ht="21" customFormat="1" customHeight="1" s="230" thickBot="1">
      <c r="A14" s="452" t="n">
        <v>5331600</v>
      </c>
      <c r="B14" s="286" t="inlineStr">
        <is>
          <t>GGG</t>
        </is>
      </c>
      <c r="C14" s="287" t="inlineStr">
        <is>
          <t>POSTE DE POLIESTER REFORZADO EN FIBRA DE VIDRIO 8,7 / 200 / 150 / 300 F.S. 2 P.A.P. Y/O L.A.B.T. O M</t>
        </is>
      </c>
      <c r="D14" s="289" t="n">
        <v>1062.355</v>
      </c>
      <c r="E14" s="507" t="n"/>
      <c r="F14" s="508" t="n"/>
      <c r="G14" s="509" t="n"/>
      <c r="H14" s="510" t="n"/>
      <c r="I14" s="511" t="n"/>
      <c r="J14" s="512" t="n"/>
      <c r="K14" s="512" t="n"/>
      <c r="L14" s="513" t="n"/>
      <c r="M14" s="510" t="n"/>
      <c r="N14" s="511" t="n"/>
      <c r="O14" s="512" t="n"/>
      <c r="P14" s="512" t="n"/>
      <c r="Q14" s="512" t="n"/>
      <c r="R14" s="512" t="n"/>
      <c r="S14" s="512" t="n"/>
      <c r="T14" s="512" t="n"/>
      <c r="U14" s="512" t="n"/>
      <c r="V14" s="512" t="n"/>
      <c r="W14" s="512" t="n"/>
      <c r="X14" s="512" t="n"/>
      <c r="Y14" s="512" t="n"/>
      <c r="Z14" s="512" t="n"/>
      <c r="AA14" s="512" t="n"/>
      <c r="AB14" s="512" t="n"/>
      <c r="AC14" s="512" t="n"/>
      <c r="AD14" s="512" t="n"/>
      <c r="AE14" s="510" t="n"/>
      <c r="AF14" s="511" t="n"/>
      <c r="AG14" s="512" t="n"/>
      <c r="AH14" s="512" t="n"/>
      <c r="AI14" s="513" t="n"/>
      <c r="AJ14" s="510" t="n"/>
      <c r="AK14" s="514" t="n"/>
      <c r="AL14" s="514" t="n"/>
      <c r="AM14" s="514" t="n"/>
      <c r="AN14" s="514" t="n"/>
      <c r="AO14" s="514" t="n"/>
      <c r="AP14" s="514" t="n"/>
      <c r="AQ14" s="514" t="n"/>
      <c r="AR14" s="514" t="n"/>
      <c r="AS14" s="514" t="n"/>
      <c r="AT14" s="514" t="n"/>
      <c r="AU14" s="515" t="n"/>
      <c r="AV14" s="509" t="n"/>
      <c r="AW14" s="514" t="n"/>
      <c r="AX14" s="514" t="n"/>
      <c r="AY14" s="514" t="n"/>
      <c r="AZ14" s="514" t="n"/>
      <c r="BA14" s="515">
        <f>SUM(AV14:AZ14)</f>
        <v/>
      </c>
      <c r="BB14" s="516" t="n"/>
      <c r="BC14" s="517" t="n"/>
      <c r="BD14" s="517" t="n"/>
      <c r="BE14" s="517" t="n"/>
      <c r="BF14" s="515">
        <f>SUM(BB14:BE14)</f>
        <v/>
      </c>
      <c r="BG14" s="518" t="n"/>
      <c r="BH14" s="519">
        <f>H14+M14+AE14+AJ14+AU14+BA14+BF14</f>
        <v/>
      </c>
      <c r="BI14" s="520">
        <f>IF(E14-BH14&lt;0, BH14-E14, )</f>
        <v/>
      </c>
      <c r="BJ14" s="521">
        <f>IF(E14-BH14&lt;0, ,E14-BH14)</f>
        <v/>
      </c>
      <c r="BK14" s="522" t="n"/>
      <c r="BM14" s="523" t="n"/>
      <c r="BN14" s="523" t="n"/>
      <c r="BO14" s="523" t="n"/>
      <c r="BP14" s="523" t="n"/>
      <c r="BQ14" s="523" t="n"/>
      <c r="BR14" s="523" t="n"/>
      <c r="BS14" s="523" t="n"/>
      <c r="BT14" s="524">
        <f>SUM(BM14:BS14)</f>
        <v/>
      </c>
      <c r="BU14" s="518" t="n"/>
      <c r="BV14" s="523" t="n"/>
      <c r="BW14" s="523" t="n"/>
      <c r="BX14" s="523" t="n"/>
      <c r="BY14" s="523" t="n"/>
      <c r="BZ14" s="523" t="n"/>
      <c r="CA14" s="523" t="n"/>
      <c r="CB14" s="523" t="n"/>
      <c r="CC14" s="524">
        <f>SUM(BV14:CB14)</f>
        <v/>
      </c>
      <c r="CD14" s="518" t="n"/>
      <c r="CE14" s="523" t="n"/>
      <c r="CF14" s="523" t="n"/>
      <c r="CG14" s="523" t="n"/>
      <c r="CH14" s="523" t="n"/>
      <c r="CI14" s="523" t="n"/>
      <c r="CJ14" s="523" t="n"/>
      <c r="CK14" s="523" t="n"/>
      <c r="CL14" s="518">
        <f>SUM(CE14:CK14)</f>
        <v/>
      </c>
      <c r="CN14" s="525">
        <f>+H14-(BM14+BV14+CE14)</f>
        <v/>
      </c>
      <c r="CO14" s="525">
        <f>+M14-(BN14+BW14+CF14)</f>
        <v/>
      </c>
      <c r="CP14" s="525">
        <f>+AE14-(BO14+BX14+CG14)</f>
        <v/>
      </c>
      <c r="CQ14" s="525">
        <f>+AJ14-(BP14+BY14+CH14)</f>
        <v/>
      </c>
      <c r="CR14" s="525">
        <f>+AU14-(BQ14+BZ14+CI14)</f>
        <v/>
      </c>
      <c r="CS14" s="525">
        <f>+BA14-(BR14+CA14+CJ14)</f>
        <v/>
      </c>
      <c r="CT14" s="525">
        <f>+BF14-(BS14+CB14+CK14)</f>
        <v/>
      </c>
      <c r="CU14" s="525">
        <f>BT14+CC14+CL14</f>
        <v/>
      </c>
      <c r="CV14" s="525">
        <f>SUM(CN14:CT14)</f>
        <v/>
      </c>
    </row>
    <row r="15" ht="21" customFormat="1" customHeight="1" s="230" thickBot="1">
      <c r="A15" s="452" t="n">
        <v>5331596</v>
      </c>
      <c r="B15" s="286" t="inlineStr">
        <is>
          <t>GGG</t>
        </is>
      </c>
      <c r="C15" s="287" t="inlineStr">
        <is>
          <t>POSTE DE POLIESTER REFORZADO EN FIBRA DE VIDRIO 7,5 / 150 / 150 / 270 P.A.P. Y/O L.A.B.T. O M</t>
        </is>
      </c>
      <c r="D15" s="289" t="n">
        <v>707.216</v>
      </c>
      <c r="E15" s="507" t="n"/>
      <c r="F15" s="508" t="n"/>
      <c r="G15" s="509" t="n"/>
      <c r="H15" s="510" t="n"/>
      <c r="I15" s="511" t="n"/>
      <c r="J15" s="512" t="n"/>
      <c r="K15" s="512" t="n"/>
      <c r="L15" s="513" t="n"/>
      <c r="M15" s="510" t="n"/>
      <c r="N15" s="511" t="n"/>
      <c r="O15" s="512" t="n"/>
      <c r="P15" s="512" t="n"/>
      <c r="Q15" s="512" t="n"/>
      <c r="R15" s="512" t="n"/>
      <c r="S15" s="512" t="n"/>
      <c r="T15" s="512" t="n"/>
      <c r="U15" s="512" t="n"/>
      <c r="V15" s="512" t="n"/>
      <c r="W15" s="512" t="n"/>
      <c r="X15" s="512" t="n"/>
      <c r="Y15" s="512" t="n"/>
      <c r="Z15" s="512" t="n"/>
      <c r="AA15" s="512" t="n"/>
      <c r="AB15" s="512" t="n"/>
      <c r="AC15" s="512" t="n"/>
      <c r="AD15" s="512" t="n"/>
      <c r="AE15" s="510" t="n"/>
      <c r="AF15" s="511" t="n"/>
      <c r="AG15" s="512" t="n"/>
      <c r="AH15" s="512" t="n"/>
      <c r="AI15" s="513" t="n"/>
      <c r="AJ15" s="510" t="n"/>
      <c r="AK15" s="514" t="n"/>
      <c r="AL15" s="514" t="n"/>
      <c r="AM15" s="514" t="n"/>
      <c r="AN15" s="514" t="n"/>
      <c r="AO15" s="514" t="n"/>
      <c r="AP15" s="514" t="n"/>
      <c r="AQ15" s="514" t="n"/>
      <c r="AR15" s="514" t="n"/>
      <c r="AS15" s="514" t="n"/>
      <c r="AT15" s="514" t="n"/>
      <c r="AU15" s="515" t="n"/>
      <c r="AV15" s="509" t="n"/>
      <c r="AW15" s="514" t="n"/>
      <c r="AX15" s="514" t="n"/>
      <c r="AY15" s="514" t="n"/>
      <c r="AZ15" s="514" t="n"/>
      <c r="BA15" s="515">
        <f>SUM(AV15:AZ15)</f>
        <v/>
      </c>
      <c r="BB15" s="516" t="n"/>
      <c r="BC15" s="517" t="n"/>
      <c r="BD15" s="517" t="n"/>
      <c r="BE15" s="517" t="n"/>
      <c r="BF15" s="515">
        <f>SUM(BB15:BE15)</f>
        <v/>
      </c>
      <c r="BG15" s="518" t="n"/>
      <c r="BH15" s="519">
        <f>H15+M15+AE15+AJ15+AU15+BA15+BF15</f>
        <v/>
      </c>
      <c r="BI15" s="520">
        <f>IF(E15-BH15&lt;0, BH15-E15, )</f>
        <v/>
      </c>
      <c r="BJ15" s="521">
        <f>IF(E15-BH15&lt;0, ,E15-BH15)</f>
        <v/>
      </c>
      <c r="BK15" s="522" t="n"/>
      <c r="BM15" s="523" t="n"/>
      <c r="BN15" s="523" t="n"/>
      <c r="BO15" s="523" t="n"/>
      <c r="BP15" s="523" t="n"/>
      <c r="BQ15" s="523" t="n"/>
      <c r="BR15" s="523" t="n"/>
      <c r="BS15" s="523" t="n"/>
      <c r="BT15" s="524">
        <f>SUM(BM15:BS15)</f>
        <v/>
      </c>
      <c r="BU15" s="518" t="n"/>
      <c r="BV15" s="523" t="n"/>
      <c r="BW15" s="523" t="n"/>
      <c r="BX15" s="523" t="n"/>
      <c r="BY15" s="523" t="n"/>
      <c r="BZ15" s="523" t="n"/>
      <c r="CA15" s="523" t="n"/>
      <c r="CB15" s="523" t="n"/>
      <c r="CC15" s="524">
        <f>SUM(BV15:CB15)</f>
        <v/>
      </c>
      <c r="CD15" s="518" t="n"/>
      <c r="CE15" s="523" t="n"/>
      <c r="CF15" s="523" t="n"/>
      <c r="CG15" s="523" t="n"/>
      <c r="CH15" s="523" t="n"/>
      <c r="CI15" s="523" t="n"/>
      <c r="CJ15" s="523" t="n"/>
      <c r="CK15" s="523" t="n"/>
      <c r="CL15" s="518">
        <f>SUM(CE15:CK15)</f>
        <v/>
      </c>
      <c r="CN15" s="525">
        <f>+H15-(BM15+BV15+CE15)</f>
        <v/>
      </c>
      <c r="CO15" s="525">
        <f>+M15-(BN15+BW15+CF15)</f>
        <v/>
      </c>
      <c r="CP15" s="525">
        <f>+AE15-(BO15+BX15+CG15)</f>
        <v/>
      </c>
      <c r="CQ15" s="525">
        <f>+AJ15-(BP15+BY15+CH15)</f>
        <v/>
      </c>
      <c r="CR15" s="525">
        <f>+AU15-(BQ15+BZ15+CI15)</f>
        <v/>
      </c>
      <c r="CS15" s="525">
        <f>+BA15-(BR15+CA15+CJ15)</f>
        <v/>
      </c>
      <c r="CT15" s="525">
        <f>+BF15-(BS15+CB15+CK15)</f>
        <v/>
      </c>
      <c r="CU15" s="525">
        <f>BT15+CC15+CL15</f>
        <v/>
      </c>
      <c r="CV15" s="525">
        <f>SUM(CN15:CT15)</f>
        <v/>
      </c>
    </row>
    <row r="16" ht="21" customFormat="1" customHeight="1" s="230">
      <c r="A16" s="452" t="n">
        <v>5331616</v>
      </c>
      <c r="B16" s="286" t="inlineStr">
        <is>
          <t>GGG</t>
        </is>
      </c>
      <c r="C16" s="287" t="inlineStr">
        <is>
          <t>POSTE POLIESTER REFORZADO CON FIBRA DE VIDRIO 9 / 200 / 150 / 285 P.A.P. Y/O L.A.B.T.</t>
        </is>
      </c>
      <c r="D16" s="289" t="e">
        <v>#N/A</v>
      </c>
      <c r="E16" s="507" t="n"/>
      <c r="F16" s="508" t="n"/>
      <c r="G16" s="509" t="n"/>
      <c r="H16" s="510" t="n"/>
      <c r="I16" s="511" t="n"/>
      <c r="J16" s="512" t="n"/>
      <c r="K16" s="512" t="n"/>
      <c r="L16" s="513" t="n"/>
      <c r="M16" s="510" t="n"/>
      <c r="N16" s="511" t="n"/>
      <c r="O16" s="512" t="n"/>
      <c r="P16" s="512" t="n"/>
      <c r="Q16" s="512" t="n"/>
      <c r="R16" s="512" t="n"/>
      <c r="S16" s="512" t="n"/>
      <c r="T16" s="512" t="n"/>
      <c r="U16" s="512" t="n"/>
      <c r="V16" s="512" t="n"/>
      <c r="W16" s="512" t="n"/>
      <c r="X16" s="512" t="n"/>
      <c r="Y16" s="512" t="n"/>
      <c r="Z16" s="512" t="n"/>
      <c r="AA16" s="512" t="n"/>
      <c r="AB16" s="512" t="n"/>
      <c r="AC16" s="512" t="n"/>
      <c r="AD16" s="512" t="n"/>
      <c r="AE16" s="510" t="n"/>
      <c r="AF16" s="511" t="n"/>
      <c r="AG16" s="512" t="n"/>
      <c r="AH16" s="512" t="n"/>
      <c r="AI16" s="513" t="n"/>
      <c r="AJ16" s="510" t="n"/>
      <c r="AK16" s="514" t="n"/>
      <c r="AL16" s="514" t="n"/>
      <c r="AM16" s="514" t="n"/>
      <c r="AN16" s="514" t="n"/>
      <c r="AO16" s="514" t="n"/>
      <c r="AP16" s="514" t="n"/>
      <c r="AQ16" s="514" t="n"/>
      <c r="AR16" s="514" t="n"/>
      <c r="AS16" s="514" t="n"/>
      <c r="AT16" s="514" t="n"/>
      <c r="AU16" s="515" t="n"/>
      <c r="AV16" s="509" t="n"/>
      <c r="AW16" s="514" t="n"/>
      <c r="AX16" s="514" t="n"/>
      <c r="AY16" s="514" t="n"/>
      <c r="AZ16" s="514" t="n"/>
      <c r="BA16" s="515">
        <f>SUM(AV16:AZ16)</f>
        <v/>
      </c>
      <c r="BB16" s="516" t="n"/>
      <c r="BC16" s="517" t="n"/>
      <c r="BD16" s="517" t="n"/>
      <c r="BE16" s="517" t="n"/>
      <c r="BF16" s="515">
        <f>SUM(BB16:BE16)</f>
        <v/>
      </c>
      <c r="BG16" s="518" t="n"/>
      <c r="BH16" s="519">
        <f>H16+M16+AE16+AJ16+AU16+BA16+BF16</f>
        <v/>
      </c>
      <c r="BI16" s="520">
        <f>IF(E16-BH16&lt;0, BH16-E16, )</f>
        <v/>
      </c>
      <c r="BJ16" s="521">
        <f>IF(E16-BH16&lt;0, ,E16-BH16)</f>
        <v/>
      </c>
      <c r="BK16" s="522" t="n"/>
      <c r="BM16" s="523" t="n"/>
      <c r="BN16" s="523" t="n"/>
      <c r="BO16" s="523" t="n"/>
      <c r="BP16" s="523" t="n"/>
      <c r="BQ16" s="523" t="n"/>
      <c r="BR16" s="523" t="n"/>
      <c r="BS16" s="523" t="n"/>
      <c r="BT16" s="524">
        <f>SUM(BM16:BS16)</f>
        <v/>
      </c>
      <c r="BU16" s="518" t="n"/>
      <c r="BV16" s="523" t="n"/>
      <c r="BW16" s="523" t="n"/>
      <c r="BX16" s="523" t="n"/>
      <c r="BY16" s="523" t="n"/>
      <c r="BZ16" s="523" t="n"/>
      <c r="CA16" s="523" t="n"/>
      <c r="CB16" s="523" t="n"/>
      <c r="CC16" s="524">
        <f>SUM(BV16:CB16)</f>
        <v/>
      </c>
      <c r="CD16" s="518" t="n"/>
      <c r="CE16" s="523" t="n"/>
      <c r="CF16" s="523" t="n"/>
      <c r="CG16" s="523" t="n"/>
      <c r="CH16" s="523" t="n"/>
      <c r="CI16" s="523" t="n"/>
      <c r="CJ16" s="523" t="n"/>
      <c r="CK16" s="523" t="n"/>
      <c r="CL16" s="518">
        <f>SUM(CE16:CK16)</f>
        <v/>
      </c>
      <c r="CN16" s="525">
        <f>+H16-(BM16+BV16+CE16)</f>
        <v/>
      </c>
      <c r="CO16" s="525">
        <f>+M16-(BN16+BW16+CF16)</f>
        <v/>
      </c>
      <c r="CP16" s="525">
        <f>+AE16-(BO16+BX16+CG16)</f>
        <v/>
      </c>
      <c r="CQ16" s="525">
        <f>+AJ16-(BP16+BY16+CH16)</f>
        <v/>
      </c>
      <c r="CR16" s="525">
        <f>+AU16-(BQ16+BZ16+CI16)</f>
        <v/>
      </c>
      <c r="CS16" s="525">
        <f>+BA16-(BR16+CA16+CJ16)</f>
        <v/>
      </c>
      <c r="CT16" s="525">
        <f>+BF16-(BS16+CB16+CK16)</f>
        <v/>
      </c>
      <c r="CU16" s="525">
        <f>BT16+CC16+CL16</f>
        <v/>
      </c>
      <c r="CV16" s="525">
        <f>SUM(CN16:CT16)</f>
        <v/>
      </c>
    </row>
    <row r="17" ht="21" customFormat="1" customHeight="1" s="230">
      <c r="A17" s="453" t="n">
        <v>5411514</v>
      </c>
      <c r="B17" s="286" t="inlineStr">
        <is>
          <t>GGG</t>
        </is>
      </c>
      <c r="C17" s="287" t="inlineStr">
        <is>
          <t>CONECTOR BIMET.FORRADO TP.PERFORACION / PIERCING P.COND.CU - AL 10 - 35 / 1,5 - 6MM2 FASE AISL.</t>
        </is>
      </c>
      <c r="D17" s="288" t="n">
        <v>2.944</v>
      </c>
      <c r="E17" s="507" t="n"/>
      <c r="F17" s="526" t="n"/>
      <c r="G17" s="527" t="n"/>
      <c r="H17" s="510" t="n"/>
      <c r="I17" s="511" t="n"/>
      <c r="J17" s="512" t="n"/>
      <c r="K17" s="512" t="n"/>
      <c r="L17" s="513" t="n"/>
      <c r="M17" s="510" t="n"/>
      <c r="N17" s="511" t="n"/>
      <c r="O17" s="512" t="n"/>
      <c r="P17" s="512" t="n"/>
      <c r="Q17" s="512" t="n"/>
      <c r="R17" s="512" t="n"/>
      <c r="S17" s="512" t="n"/>
      <c r="T17" s="512" t="n"/>
      <c r="U17" s="512" t="n"/>
      <c r="V17" s="512" t="n"/>
      <c r="W17" s="512" t="n"/>
      <c r="X17" s="512" t="n"/>
      <c r="Y17" s="512" t="n"/>
      <c r="Z17" s="512" t="n"/>
      <c r="AA17" s="512" t="n"/>
      <c r="AB17" s="512" t="n"/>
      <c r="AC17" s="512" t="n"/>
      <c r="AD17" s="512" t="n"/>
      <c r="AE17" s="510" t="n"/>
      <c r="AF17" s="511" t="n"/>
      <c r="AG17" s="512" t="n"/>
      <c r="AH17" s="512" t="n"/>
      <c r="AI17" s="513" t="n"/>
      <c r="AJ17" s="510" t="n"/>
      <c r="AK17" s="513" t="n"/>
      <c r="AL17" s="513" t="n"/>
      <c r="AM17" s="513" t="n"/>
      <c r="AN17" s="513" t="n"/>
      <c r="AO17" s="513" t="n"/>
      <c r="AP17" s="513" t="n"/>
      <c r="AQ17" s="513" t="n"/>
      <c r="AR17" s="513" t="n"/>
      <c r="AS17" s="513" t="n"/>
      <c r="AT17" s="513" t="n"/>
      <c r="AU17" s="510" t="n"/>
      <c r="AV17" s="527" t="n"/>
      <c r="AW17" s="514" t="n"/>
      <c r="AX17" s="514" t="n"/>
      <c r="AY17" s="514" t="n"/>
      <c r="AZ17" s="514" t="n"/>
      <c r="BA17" s="510">
        <f>SUM(AV17:AZ17)</f>
        <v/>
      </c>
      <c r="BB17" s="511" t="n"/>
      <c r="BC17" s="512" t="n"/>
      <c r="BD17" s="512" t="n"/>
      <c r="BE17" s="512" t="n"/>
      <c r="BF17" s="510">
        <f>SUM(BB17:BE17)</f>
        <v/>
      </c>
      <c r="BG17" s="518" t="n"/>
      <c r="BH17" s="519">
        <f>H17+M17+AE17+AJ17+AU17+BA17+BF17</f>
        <v/>
      </c>
      <c r="BI17" s="528">
        <f>IF(E17-BH17&lt;0, BH17-E17, )</f>
        <v/>
      </c>
      <c r="BJ17" s="529">
        <f>IF(E17-BH17&lt;0, ,E17-BH17)</f>
        <v/>
      </c>
      <c r="BK17" s="530" t="n"/>
      <c r="BM17" s="523" t="n"/>
      <c r="BN17" s="523" t="n"/>
      <c r="BO17" s="523" t="n"/>
      <c r="BP17" s="523" t="n"/>
      <c r="BQ17" s="523" t="n"/>
      <c r="BR17" s="523" t="n"/>
      <c r="BS17" s="523" t="n"/>
      <c r="BT17" s="518">
        <f>SUM(BM17:BS17)</f>
        <v/>
      </c>
      <c r="BU17" s="518" t="n"/>
      <c r="BV17" s="523" t="n"/>
      <c r="BW17" s="523" t="n"/>
      <c r="BX17" s="523" t="n"/>
      <c r="BY17" s="523" t="n"/>
      <c r="BZ17" s="523" t="n"/>
      <c r="CA17" s="523" t="n"/>
      <c r="CB17" s="523" t="n"/>
      <c r="CC17" s="518">
        <f>SUM(BV17:CB17)</f>
        <v/>
      </c>
      <c r="CD17" s="518" t="n"/>
      <c r="CE17" s="523" t="n"/>
      <c r="CF17" s="523" t="n"/>
      <c r="CG17" s="523" t="n"/>
      <c r="CH17" s="523" t="n"/>
      <c r="CI17" s="523" t="n"/>
      <c r="CJ17" s="523" t="n"/>
      <c r="CK17" s="523" t="n"/>
      <c r="CL17" s="518">
        <f>SUM(CE17:CK17)</f>
        <v/>
      </c>
      <c r="CN17" s="525">
        <f>+H17-(BM17+BV17+CE17)</f>
        <v/>
      </c>
      <c r="CO17" s="525">
        <f>+M17-(BN17+BW17+CF17)</f>
        <v/>
      </c>
      <c r="CP17" s="525">
        <f>+AE17-(BO17+BX17+CG17)</f>
        <v/>
      </c>
      <c r="CQ17" s="525">
        <f>+AJ17-(BP17+BY17+CH17)</f>
        <v/>
      </c>
      <c r="CR17" s="525">
        <f>+AU17-(BQ17+BZ17+CI17)</f>
        <v/>
      </c>
      <c r="CS17" s="525">
        <f>+BA17-(BR17+CA17+CJ17)</f>
        <v/>
      </c>
      <c r="CT17" s="525">
        <f>+BF17-(BS17+CB17+CK17)</f>
        <v/>
      </c>
      <c r="CU17" s="525">
        <f>BT17+CC17+CL17</f>
        <v/>
      </c>
      <c r="CV17" s="525">
        <f>SUM(CN17:CT17)</f>
        <v/>
      </c>
    </row>
    <row r="18" ht="21" customFormat="1" customHeight="1" s="230">
      <c r="A18" s="453" t="n">
        <v>5422366</v>
      </c>
      <c r="B18" s="286" t="inlineStr">
        <is>
          <t>GGG</t>
        </is>
      </c>
      <c r="C18" s="287" t="inlineStr">
        <is>
          <t>GRAPA DE DOS VIAS CON 2 PERNOS GALV.CALIENTE</t>
        </is>
      </c>
      <c r="D18" s="288" t="n">
        <v>5.26</v>
      </c>
      <c r="E18" s="507" t="n"/>
      <c r="F18" s="526" t="n"/>
      <c r="G18" s="527" t="n"/>
      <c r="H18" s="510" t="n"/>
      <c r="I18" s="511" t="n"/>
      <c r="J18" s="512" t="n"/>
      <c r="K18" s="512" t="n"/>
      <c r="L18" s="513" t="n"/>
      <c r="M18" s="510" t="n"/>
      <c r="N18" s="511" t="n"/>
      <c r="O18" s="512" t="n"/>
      <c r="P18" s="512" t="n"/>
      <c r="Q18" s="512" t="n"/>
      <c r="R18" s="512" t="n"/>
      <c r="S18" s="512" t="n"/>
      <c r="T18" s="512" t="n"/>
      <c r="U18" s="512" t="n"/>
      <c r="V18" s="512" t="n"/>
      <c r="W18" s="512" t="n"/>
      <c r="X18" s="512" t="n"/>
      <c r="Y18" s="512" t="n"/>
      <c r="Z18" s="512" t="n"/>
      <c r="AA18" s="512" t="n"/>
      <c r="AB18" s="512" t="n"/>
      <c r="AC18" s="512" t="n"/>
      <c r="AD18" s="512" t="n"/>
      <c r="AE18" s="510" t="n"/>
      <c r="AF18" s="511" t="n"/>
      <c r="AG18" s="512" t="n"/>
      <c r="AH18" s="512" t="n"/>
      <c r="AI18" s="513" t="n"/>
      <c r="AJ18" s="510" t="n"/>
      <c r="AK18" s="513" t="n"/>
      <c r="AL18" s="513" t="n"/>
      <c r="AM18" s="513" t="n"/>
      <c r="AN18" s="513" t="n"/>
      <c r="AO18" s="513" t="n"/>
      <c r="AP18" s="513" t="n"/>
      <c r="AQ18" s="513" t="n"/>
      <c r="AR18" s="513" t="n"/>
      <c r="AS18" s="513" t="n"/>
      <c r="AT18" s="513" t="n"/>
      <c r="AU18" s="510" t="n"/>
      <c r="AV18" s="527" t="n"/>
      <c r="AW18" s="514" t="n"/>
      <c r="AX18" s="514" t="n"/>
      <c r="AY18" s="514" t="n"/>
      <c r="AZ18" s="514" t="n"/>
      <c r="BA18" s="510">
        <f>SUM(AV18:AZ18)</f>
        <v/>
      </c>
      <c r="BB18" s="511" t="n"/>
      <c r="BC18" s="512" t="n"/>
      <c r="BD18" s="512" t="n"/>
      <c r="BE18" s="512" t="n"/>
      <c r="BF18" s="510">
        <f>SUM(BB18:BE18)</f>
        <v/>
      </c>
      <c r="BG18" s="518" t="n"/>
      <c r="BH18" s="519">
        <f>H18+M18+AE18+AJ18+AU18+BA18+BF18</f>
        <v/>
      </c>
      <c r="BI18" s="528">
        <f>IF(E18-BH18&lt;0, BH18-E18, )</f>
        <v/>
      </c>
      <c r="BJ18" s="529">
        <f>IF(E18-BH18&lt;0, ,E18-BH18)</f>
        <v/>
      </c>
      <c r="BK18" s="530" t="n"/>
      <c r="BM18" s="523" t="n"/>
      <c r="BN18" s="523" t="n"/>
      <c r="BO18" s="523" t="n"/>
      <c r="BP18" s="523" t="n"/>
      <c r="BQ18" s="523" t="n"/>
      <c r="BR18" s="523" t="n"/>
      <c r="BS18" s="523" t="n"/>
      <c r="BT18" s="518">
        <f>SUM(BM18:BS18)</f>
        <v/>
      </c>
      <c r="BU18" s="518" t="n"/>
      <c r="BV18" s="523" t="n"/>
      <c r="BW18" s="523" t="n"/>
      <c r="BX18" s="523" t="n"/>
      <c r="BY18" s="523" t="n"/>
      <c r="BZ18" s="523" t="n"/>
      <c r="CA18" s="523" t="n"/>
      <c r="CB18" s="523" t="n"/>
      <c r="CC18" s="518">
        <f>SUM(BV18:CB18)</f>
        <v/>
      </c>
      <c r="CD18" s="518" t="n"/>
      <c r="CE18" s="523" t="n"/>
      <c r="CF18" s="523" t="n"/>
      <c r="CG18" s="523" t="n"/>
      <c r="CH18" s="523" t="n"/>
      <c r="CI18" s="523" t="n"/>
      <c r="CJ18" s="523" t="n"/>
      <c r="CK18" s="523" t="n"/>
      <c r="CL18" s="518">
        <f>SUM(CE18:CK18)</f>
        <v/>
      </c>
      <c r="CN18" s="525">
        <f>+H18-(BM18+BV18+CE18)</f>
        <v/>
      </c>
      <c r="CO18" s="525">
        <f>+M18-(BN18+BW18+CF18)</f>
        <v/>
      </c>
      <c r="CP18" s="525">
        <f>+AE18-(BO18+BX18+CG18)</f>
        <v/>
      </c>
      <c r="CQ18" s="525">
        <f>+AJ18-(BP18+BY18+CH18)</f>
        <v/>
      </c>
      <c r="CR18" s="525">
        <f>+AU18-(BQ18+BZ18+CI18)</f>
        <v/>
      </c>
      <c r="CS18" s="525">
        <f>+BA18-(BR18+CA18+CJ18)</f>
        <v/>
      </c>
      <c r="CT18" s="525">
        <f>+BF18-(BS18+CB18+CK18)</f>
        <v/>
      </c>
      <c r="CU18" s="525">
        <f>BT18+CC18+CL18</f>
        <v/>
      </c>
      <c r="CV18" s="525">
        <f>SUM(CN18:CT18)</f>
        <v/>
      </c>
    </row>
    <row r="19" ht="21" customFormat="1" customHeight="1" s="230">
      <c r="A19" s="453" t="n">
        <v>5422364</v>
      </c>
      <c r="B19" s="286" t="inlineStr">
        <is>
          <t>GGG</t>
        </is>
      </c>
      <c r="C19" s="287" t="inlineStr">
        <is>
          <t>GRAPA DE UNA VIA CON 2 PERNOS GALV.CALIENTE</t>
        </is>
      </c>
      <c r="D19" s="288" t="n">
        <v>5.273</v>
      </c>
      <c r="E19" s="507" t="n"/>
      <c r="F19" s="526" t="n"/>
      <c r="G19" s="527" t="n"/>
      <c r="H19" s="510" t="n"/>
      <c r="I19" s="511" t="n"/>
      <c r="J19" s="512" t="n"/>
      <c r="K19" s="512" t="n"/>
      <c r="L19" s="513" t="n"/>
      <c r="M19" s="510" t="n"/>
      <c r="N19" s="511" t="n"/>
      <c r="O19" s="512" t="n"/>
      <c r="P19" s="512" t="n"/>
      <c r="Q19" s="512" t="n"/>
      <c r="R19" s="512" t="n"/>
      <c r="S19" s="512" t="n"/>
      <c r="T19" s="512" t="n"/>
      <c r="U19" s="512" t="n"/>
      <c r="V19" s="512" t="n"/>
      <c r="W19" s="512" t="n"/>
      <c r="X19" s="512" t="n"/>
      <c r="Y19" s="512" t="n"/>
      <c r="Z19" s="512" t="n"/>
      <c r="AA19" s="512" t="n"/>
      <c r="AB19" s="512" t="n"/>
      <c r="AC19" s="512" t="n"/>
      <c r="AD19" s="512" t="n"/>
      <c r="AE19" s="510" t="n"/>
      <c r="AF19" s="511" t="n"/>
      <c r="AG19" s="512" t="n"/>
      <c r="AH19" s="512" t="n"/>
      <c r="AI19" s="513" t="n"/>
      <c r="AJ19" s="510" t="n"/>
      <c r="AK19" s="513" t="n"/>
      <c r="AL19" s="513" t="n"/>
      <c r="AM19" s="513" t="n"/>
      <c r="AN19" s="513" t="n"/>
      <c r="AO19" s="513" t="n"/>
      <c r="AP19" s="513" t="n"/>
      <c r="AQ19" s="513" t="n"/>
      <c r="AR19" s="513" t="n"/>
      <c r="AS19" s="513" t="n"/>
      <c r="AT19" s="513" t="n"/>
      <c r="AU19" s="510" t="n"/>
      <c r="AV19" s="527" t="n"/>
      <c r="AW19" s="514" t="n"/>
      <c r="AX19" s="514" t="n"/>
      <c r="AY19" s="514" t="n"/>
      <c r="AZ19" s="514" t="n"/>
      <c r="BA19" s="510">
        <f>SUM(AV19:AZ19)</f>
        <v/>
      </c>
      <c r="BB19" s="511" t="n"/>
      <c r="BC19" s="512" t="n"/>
      <c r="BD19" s="512" t="n"/>
      <c r="BE19" s="512" t="n"/>
      <c r="BF19" s="510">
        <f>SUM(BB19:BE19)</f>
        <v/>
      </c>
      <c r="BG19" s="518" t="n"/>
      <c r="BH19" s="519">
        <f>H19+M19+AE19+AJ19+AU19+BA19+BF19</f>
        <v/>
      </c>
      <c r="BI19" s="528">
        <f>IF(E19-BH19&lt;0, BH19-E19, )</f>
        <v/>
      </c>
      <c r="BJ19" s="529">
        <f>IF(E19-BH19&lt;0, ,E19-BH19)</f>
        <v/>
      </c>
      <c r="BK19" s="530" t="n"/>
      <c r="BM19" s="523" t="n"/>
      <c r="BN19" s="523" t="n"/>
      <c r="BO19" s="523" t="n"/>
      <c r="BP19" s="523" t="n"/>
      <c r="BQ19" s="523" t="n"/>
      <c r="BR19" s="523" t="n"/>
      <c r="BS19" s="523" t="n"/>
      <c r="BT19" s="518">
        <f>SUM(BM19:BS19)</f>
        <v/>
      </c>
      <c r="BU19" s="518" t="n"/>
      <c r="BV19" s="523" t="n"/>
      <c r="BW19" s="523" t="n"/>
      <c r="BX19" s="523" t="n"/>
      <c r="BY19" s="523" t="n"/>
      <c r="BZ19" s="523" t="n"/>
      <c r="CA19" s="523" t="n"/>
      <c r="CB19" s="523" t="n"/>
      <c r="CC19" s="518">
        <f>SUM(BV19:CB19)</f>
        <v/>
      </c>
      <c r="CD19" s="518" t="n"/>
      <c r="CE19" s="523" t="n"/>
      <c r="CF19" s="523" t="n"/>
      <c r="CG19" s="523" t="n"/>
      <c r="CH19" s="523" t="n"/>
      <c r="CI19" s="523" t="n"/>
      <c r="CJ19" s="523" t="n"/>
      <c r="CK19" s="523" t="n"/>
      <c r="CL19" s="518">
        <f>SUM(CE19:CK19)</f>
        <v/>
      </c>
      <c r="CN19" s="525">
        <f>+H19-(BM19+BV19+CE19)</f>
        <v/>
      </c>
      <c r="CO19" s="525">
        <f>+M19-(BN19+BW19+CF19)</f>
        <v/>
      </c>
      <c r="CP19" s="525">
        <f>+AE19-(BO19+BX19+CG19)</f>
        <v/>
      </c>
      <c r="CQ19" s="525">
        <f>+AJ19-(BP19+BY19+CH19)</f>
        <v/>
      </c>
      <c r="CR19" s="525">
        <f>+AU19-(BQ19+BZ19+CI19)</f>
        <v/>
      </c>
      <c r="CS19" s="525">
        <f>+BA19-(BR19+CA19+CJ19)</f>
        <v/>
      </c>
      <c r="CT19" s="525">
        <f>+BF19-(BS19+CB19+CK19)</f>
        <v/>
      </c>
      <c r="CU19" s="525">
        <f>BT19+CC19+CL19</f>
        <v/>
      </c>
      <c r="CV19" s="525">
        <f>SUM(CN19:CT19)</f>
        <v/>
      </c>
    </row>
    <row r="20" ht="21" customFormat="1" customHeight="1" s="230">
      <c r="A20" s="453" t="n">
        <v>5463620</v>
      </c>
      <c r="B20" s="286" t="inlineStr">
        <is>
          <t>GGG</t>
        </is>
      </c>
      <c r="C20" s="287" t="inlineStr">
        <is>
          <t>OJAL ROSCADO AC.GALV.,DE 5/8PULG.D. X80MML. P.L.A.</t>
        </is>
      </c>
      <c r="D20" s="288" t="n">
        <v>3.697</v>
      </c>
      <c r="E20" s="507" t="n"/>
      <c r="F20" s="526" t="n"/>
      <c r="G20" s="527" t="n"/>
      <c r="H20" s="510" t="n"/>
      <c r="I20" s="511" t="n"/>
      <c r="J20" s="512" t="n"/>
      <c r="K20" s="512" t="n"/>
      <c r="L20" s="513" t="n"/>
      <c r="M20" s="510" t="n"/>
      <c r="N20" s="511" t="n"/>
      <c r="O20" s="512" t="n"/>
      <c r="P20" s="512" t="n"/>
      <c r="Q20" s="512" t="n"/>
      <c r="R20" s="512" t="n"/>
      <c r="S20" s="512" t="n"/>
      <c r="T20" s="512" t="n"/>
      <c r="U20" s="512" t="n"/>
      <c r="V20" s="512" t="n"/>
      <c r="W20" s="512" t="n"/>
      <c r="X20" s="512" t="n"/>
      <c r="Y20" s="512" t="n"/>
      <c r="Z20" s="512" t="n"/>
      <c r="AA20" s="512" t="n"/>
      <c r="AB20" s="512" t="n"/>
      <c r="AC20" s="512" t="n"/>
      <c r="AD20" s="512" t="n"/>
      <c r="AE20" s="510" t="n"/>
      <c r="AF20" s="511" t="n"/>
      <c r="AG20" s="512" t="n"/>
      <c r="AH20" s="512" t="n"/>
      <c r="AI20" s="513" t="n"/>
      <c r="AJ20" s="510" t="n"/>
      <c r="AK20" s="513" t="n"/>
      <c r="AL20" s="513" t="n"/>
      <c r="AM20" s="513" t="n"/>
      <c r="AN20" s="513" t="n"/>
      <c r="AO20" s="513" t="n"/>
      <c r="AP20" s="513" t="n"/>
      <c r="AQ20" s="513" t="n"/>
      <c r="AR20" s="513" t="n"/>
      <c r="AS20" s="513" t="n"/>
      <c r="AT20" s="513" t="n"/>
      <c r="AU20" s="510" t="n"/>
      <c r="AV20" s="527" t="n"/>
      <c r="AW20" s="514" t="n"/>
      <c r="AX20" s="514" t="n"/>
      <c r="AY20" s="514" t="n"/>
      <c r="AZ20" s="514" t="n"/>
      <c r="BA20" s="510">
        <f>SUM(AV20:AZ20)</f>
        <v/>
      </c>
      <c r="BB20" s="511" t="n"/>
      <c r="BC20" s="512" t="n"/>
      <c r="BD20" s="512" t="n"/>
      <c r="BE20" s="512" t="n"/>
      <c r="BF20" s="510">
        <f>SUM(BB20:BE20)</f>
        <v/>
      </c>
      <c r="BG20" s="518" t="n"/>
      <c r="BH20" s="519">
        <f>H20+M20+AE20+AJ20+AU20+BA20+BF20</f>
        <v/>
      </c>
      <c r="BI20" s="528">
        <f>IF(E20-BH20&lt;0, BH20-E20, )</f>
        <v/>
      </c>
      <c r="BJ20" s="529">
        <f>IF(E20-BH20&lt;0, ,E20-BH20)</f>
        <v/>
      </c>
      <c r="BK20" s="530" t="n"/>
      <c r="BM20" s="523" t="n"/>
      <c r="BN20" s="523" t="n"/>
      <c r="BO20" s="523" t="n"/>
      <c r="BP20" s="523" t="n"/>
      <c r="BQ20" s="523" t="n"/>
      <c r="BR20" s="523" t="n"/>
      <c r="BS20" s="523" t="n"/>
      <c r="BT20" s="518">
        <f>SUM(BM20:BS20)</f>
        <v/>
      </c>
      <c r="BU20" s="518" t="n"/>
      <c r="BV20" s="523" t="n"/>
      <c r="BW20" s="523" t="n"/>
      <c r="BX20" s="523" t="n"/>
      <c r="BY20" s="523" t="n"/>
      <c r="BZ20" s="523" t="n"/>
      <c r="CA20" s="523" t="n"/>
      <c r="CB20" s="523" t="n"/>
      <c r="CC20" s="518">
        <f>SUM(BV20:CB20)</f>
        <v/>
      </c>
      <c r="CD20" s="518" t="n"/>
      <c r="CE20" s="523" t="n"/>
      <c r="CF20" s="523" t="n"/>
      <c r="CG20" s="523" t="n"/>
      <c r="CH20" s="523" t="n"/>
      <c r="CI20" s="523" t="n"/>
      <c r="CJ20" s="523" t="n"/>
      <c r="CK20" s="523" t="n"/>
      <c r="CL20" s="518">
        <f>SUM(CE20:CK20)</f>
        <v/>
      </c>
      <c r="CN20" s="525">
        <f>+H20-(BM20+BV20+CE20)</f>
        <v/>
      </c>
      <c r="CO20" s="525">
        <f>+M20-(BN20+BW20+CF20)</f>
        <v/>
      </c>
      <c r="CP20" s="525">
        <f>+AE20-(BO20+BX20+CG20)</f>
        <v/>
      </c>
      <c r="CQ20" s="525">
        <f>+AJ20-(BP20+BY20+CH20)</f>
        <v/>
      </c>
      <c r="CR20" s="525">
        <f>+AU20-(BQ20+BZ20+CI20)</f>
        <v/>
      </c>
      <c r="CS20" s="525">
        <f>+BA20-(BR20+CA20+CJ20)</f>
        <v/>
      </c>
      <c r="CT20" s="525">
        <f>+BF20-(BS20+CB20+CK20)</f>
        <v/>
      </c>
      <c r="CU20" s="525">
        <f>BT20+CC20+CL20</f>
        <v/>
      </c>
      <c r="CV20" s="525">
        <f>SUM(CN20:CT20)</f>
        <v/>
      </c>
    </row>
    <row r="21" ht="21" customFormat="1" customHeight="1" s="230">
      <c r="A21" s="453" t="n">
        <v>1015413</v>
      </c>
      <c r="B21" s="286" t="inlineStr">
        <is>
          <t>GGG</t>
        </is>
      </c>
      <c r="C21" s="287" t="inlineStr">
        <is>
          <t>GUARDACABO DE ACERO GALV. P.CABLE 13MM DIAM. 1,5MM ESPESOR P.PROTEGER CABLE PORTANTE</t>
        </is>
      </c>
      <c r="D21" s="288" t="n">
        <v>0.8159999999999999</v>
      </c>
      <c r="E21" s="507" t="n"/>
      <c r="F21" s="526" t="n"/>
      <c r="G21" s="527" t="n"/>
      <c r="H21" s="510" t="n"/>
      <c r="I21" s="511" t="n"/>
      <c r="J21" s="512" t="n"/>
      <c r="K21" s="512" t="n"/>
      <c r="L21" s="513" t="n"/>
      <c r="M21" s="510" t="n"/>
      <c r="N21" s="511" t="n"/>
      <c r="O21" s="512" t="n"/>
      <c r="P21" s="512" t="n"/>
      <c r="Q21" s="512" t="n"/>
      <c r="R21" s="512" t="n"/>
      <c r="S21" s="512" t="n"/>
      <c r="T21" s="512" t="n"/>
      <c r="U21" s="512" t="n"/>
      <c r="V21" s="512" t="n"/>
      <c r="W21" s="512" t="n"/>
      <c r="X21" s="512" t="n"/>
      <c r="Y21" s="512" t="n"/>
      <c r="Z21" s="512" t="n"/>
      <c r="AA21" s="512" t="n"/>
      <c r="AB21" s="512" t="n"/>
      <c r="AC21" s="512" t="n"/>
      <c r="AD21" s="512" t="n"/>
      <c r="AE21" s="510" t="n"/>
      <c r="AF21" s="511" t="n"/>
      <c r="AG21" s="512" t="n"/>
      <c r="AH21" s="512" t="n"/>
      <c r="AI21" s="513" t="n"/>
      <c r="AJ21" s="510" t="n"/>
      <c r="AK21" s="513" t="n"/>
      <c r="AL21" s="513" t="n"/>
      <c r="AM21" s="513" t="n"/>
      <c r="AN21" s="513" t="n"/>
      <c r="AO21" s="513" t="n"/>
      <c r="AP21" s="513" t="n"/>
      <c r="AQ21" s="513" t="n"/>
      <c r="AR21" s="513" t="n"/>
      <c r="AS21" s="513" t="n"/>
      <c r="AT21" s="513" t="n"/>
      <c r="AU21" s="510" t="n"/>
      <c r="AV21" s="527" t="n"/>
      <c r="AW21" s="514" t="n"/>
      <c r="AX21" s="514" t="n"/>
      <c r="AY21" s="514" t="n"/>
      <c r="AZ21" s="514" t="n"/>
      <c r="BA21" s="510">
        <f>SUM(AV21:AZ21)</f>
        <v/>
      </c>
      <c r="BB21" s="511" t="n"/>
      <c r="BC21" s="512" t="n"/>
      <c r="BD21" s="512" t="n"/>
      <c r="BE21" s="512" t="n"/>
      <c r="BF21" s="510">
        <f>SUM(BB21:BE21)</f>
        <v/>
      </c>
      <c r="BG21" s="518" t="n"/>
      <c r="BH21" s="519">
        <f>H21+M21+AE21+AJ21+AU21+BA21+BF21</f>
        <v/>
      </c>
      <c r="BI21" s="528">
        <f>IF(E21-BH21&lt;0, BH21-E21, )</f>
        <v/>
      </c>
      <c r="BJ21" s="529">
        <f>IF(E21-BH21&lt;0, ,E21-BH21)</f>
        <v/>
      </c>
      <c r="BK21" s="530" t="n"/>
      <c r="BM21" s="523" t="n"/>
      <c r="BN21" s="523" t="n"/>
      <c r="BO21" s="523" t="n"/>
      <c r="BP21" s="523" t="n"/>
      <c r="BQ21" s="523" t="n"/>
      <c r="BR21" s="523" t="n"/>
      <c r="BS21" s="523" t="n"/>
      <c r="BT21" s="518">
        <f>SUM(BM21:BS21)</f>
        <v/>
      </c>
      <c r="BU21" s="518" t="n"/>
      <c r="BV21" s="523" t="n"/>
      <c r="BW21" s="523" t="n"/>
      <c r="BX21" s="523" t="n"/>
      <c r="BY21" s="523" t="n"/>
      <c r="BZ21" s="523" t="n"/>
      <c r="CA21" s="523" t="n"/>
      <c r="CB21" s="523" t="n"/>
      <c r="CC21" s="518">
        <f>SUM(BV21:CB21)</f>
        <v/>
      </c>
      <c r="CD21" s="518" t="n"/>
      <c r="CE21" s="523" t="n"/>
      <c r="CF21" s="523" t="n"/>
      <c r="CG21" s="523" t="n"/>
      <c r="CH21" s="523" t="n"/>
      <c r="CI21" s="523" t="n"/>
      <c r="CJ21" s="523" t="n"/>
      <c r="CK21" s="523" t="n"/>
      <c r="CL21" s="518">
        <f>SUM(CE21:CK21)</f>
        <v/>
      </c>
      <c r="CN21" s="525">
        <f>+H21-(BM21+BV21+CE21)</f>
        <v/>
      </c>
      <c r="CO21" s="525">
        <f>+M21-(BN21+BW21+CF21)</f>
        <v/>
      </c>
      <c r="CP21" s="525">
        <f>+AE21-(BO21+BX21+CG21)</f>
        <v/>
      </c>
      <c r="CQ21" s="525">
        <f>+AJ21-(BP21+BY21+CH21)</f>
        <v/>
      </c>
      <c r="CR21" s="525">
        <f>+AU21-(BQ21+BZ21+CI21)</f>
        <v/>
      </c>
      <c r="CS21" s="525">
        <f>+BA21-(BR21+CA21+CJ21)</f>
        <v/>
      </c>
      <c r="CT21" s="525">
        <f>+BF21-(BS21+CB21+CK21)</f>
        <v/>
      </c>
      <c r="CU21" s="525">
        <f>BT21+CC21+CL21</f>
        <v/>
      </c>
      <c r="CV21" s="525">
        <f>SUM(CN21:CT21)</f>
        <v/>
      </c>
    </row>
    <row r="22" ht="21" customFormat="1" customHeight="1" s="230">
      <c r="A22" s="453" t="n">
        <v>5461238</v>
      </c>
      <c r="B22" s="286" t="inlineStr">
        <is>
          <t>GGG</t>
        </is>
      </c>
      <c r="C22" s="287" t="inlineStr">
        <is>
          <t>ARANDELA CUADRADA PLANA DE ACERO GALV. 55 X 4,5MM C.AGUJERO 17,5MM DIAM</t>
        </is>
      </c>
      <c r="D22" s="288" t="n">
        <v>0.571</v>
      </c>
      <c r="E22" s="507" t="n"/>
      <c r="F22" s="526" t="n"/>
      <c r="G22" s="527" t="n"/>
      <c r="H22" s="510" t="n"/>
      <c r="I22" s="511" t="n"/>
      <c r="J22" s="512" t="n"/>
      <c r="K22" s="512" t="n"/>
      <c r="L22" s="513" t="n"/>
      <c r="M22" s="510" t="n"/>
      <c r="N22" s="511" t="n"/>
      <c r="O22" s="512" t="n"/>
      <c r="P22" s="512" t="n"/>
      <c r="Q22" s="512" t="n"/>
      <c r="R22" s="512" t="n"/>
      <c r="S22" s="512" t="n"/>
      <c r="T22" s="512" t="n"/>
      <c r="U22" s="512" t="n"/>
      <c r="V22" s="512" t="n"/>
      <c r="W22" s="512" t="n"/>
      <c r="X22" s="512" t="n"/>
      <c r="Y22" s="512" t="n"/>
      <c r="Z22" s="512" t="n"/>
      <c r="AA22" s="512" t="n"/>
      <c r="AB22" s="512" t="n"/>
      <c r="AC22" s="512" t="n"/>
      <c r="AD22" s="512" t="n"/>
      <c r="AE22" s="510" t="n"/>
      <c r="AF22" s="511" t="n"/>
      <c r="AG22" s="512" t="n"/>
      <c r="AH22" s="512" t="n"/>
      <c r="AI22" s="513" t="n"/>
      <c r="AJ22" s="510" t="n"/>
      <c r="AK22" s="513" t="n"/>
      <c r="AL22" s="513" t="n"/>
      <c r="AM22" s="513" t="n"/>
      <c r="AN22" s="513" t="n"/>
      <c r="AO22" s="513" t="n"/>
      <c r="AP22" s="513" t="n"/>
      <c r="AQ22" s="513" t="n"/>
      <c r="AR22" s="513" t="n"/>
      <c r="AS22" s="513" t="n"/>
      <c r="AT22" s="513" t="n"/>
      <c r="AU22" s="510" t="n"/>
      <c r="AV22" s="527" t="n"/>
      <c r="AW22" s="514" t="n"/>
      <c r="AX22" s="514" t="n"/>
      <c r="AY22" s="514" t="n"/>
      <c r="AZ22" s="514" t="n"/>
      <c r="BA22" s="510">
        <f>SUM(AV22:AZ22)</f>
        <v/>
      </c>
      <c r="BB22" s="511" t="n"/>
      <c r="BC22" s="512" t="n"/>
      <c r="BD22" s="512" t="n"/>
      <c r="BE22" s="512" t="n"/>
      <c r="BF22" s="510">
        <f>SUM(BB22:BE22)</f>
        <v/>
      </c>
      <c r="BG22" s="518" t="n"/>
      <c r="BH22" s="519">
        <f>H22+M22+AE22+AJ22+AU22+BA22+BF22</f>
        <v/>
      </c>
      <c r="BI22" s="528">
        <f>IF(E22-BH22&lt;0, BH22-E22, )</f>
        <v/>
      </c>
      <c r="BJ22" s="529">
        <f>IF(E22-BH22&lt;0, ,E22-BH22)</f>
        <v/>
      </c>
      <c r="BK22" s="530" t="n"/>
      <c r="BM22" s="523" t="n"/>
      <c r="BN22" s="523" t="n"/>
      <c r="BO22" s="523" t="n"/>
      <c r="BP22" s="523" t="n"/>
      <c r="BQ22" s="523" t="n"/>
      <c r="BR22" s="523" t="n"/>
      <c r="BS22" s="523" t="n"/>
      <c r="BT22" s="518">
        <f>SUM(BM22:BS22)</f>
        <v/>
      </c>
      <c r="BU22" s="518" t="n"/>
      <c r="BV22" s="523" t="n"/>
      <c r="BW22" s="523" t="n"/>
      <c r="BX22" s="523" t="n"/>
      <c r="BY22" s="523" t="n"/>
      <c r="BZ22" s="523" t="n"/>
      <c r="CA22" s="523" t="n"/>
      <c r="CB22" s="523" t="n"/>
      <c r="CC22" s="518">
        <f>SUM(BV22:CB22)</f>
        <v/>
      </c>
      <c r="CD22" s="518" t="n"/>
      <c r="CE22" s="523" t="n"/>
      <c r="CF22" s="523" t="n"/>
      <c r="CG22" s="523" t="n"/>
      <c r="CH22" s="523" t="n"/>
      <c r="CI22" s="523" t="n"/>
      <c r="CJ22" s="523" t="n"/>
      <c r="CK22" s="523" t="n"/>
      <c r="CL22" s="518">
        <f>SUM(CE22:CK22)</f>
        <v/>
      </c>
      <c r="CN22" s="525">
        <f>+H22-(BM22+BV22+CE22)</f>
        <v/>
      </c>
      <c r="CO22" s="525">
        <f>+M22-(BN22+BW22+CF22)</f>
        <v/>
      </c>
      <c r="CP22" s="525">
        <f>+AE22-(BO22+BX22+CG22)</f>
        <v/>
      </c>
      <c r="CQ22" s="525">
        <f>+AJ22-(BP22+BY22+CH22)</f>
        <v/>
      </c>
      <c r="CR22" s="525">
        <f>+AU22-(BQ22+BZ22+CI22)</f>
        <v/>
      </c>
      <c r="CS22" s="525">
        <f>+BA22-(BR22+CA22+CJ22)</f>
        <v/>
      </c>
      <c r="CT22" s="525">
        <f>+BF22-(BS22+CB22+CK22)</f>
        <v/>
      </c>
      <c r="CU22" s="525">
        <f>BT22+CC22+CL22</f>
        <v/>
      </c>
      <c r="CV22" s="525">
        <f>SUM(CN22:CT22)</f>
        <v/>
      </c>
    </row>
    <row r="23" ht="21" customFormat="1" customHeight="1" s="230">
      <c r="A23" s="453" t="n">
        <v>5411054</v>
      </c>
      <c r="B23" s="286" t="inlineStr">
        <is>
          <t>GGG</t>
        </is>
      </c>
      <c r="C23" s="287" t="inlineStr">
        <is>
          <t>CONECTOR .CUÑA.TP.UDC.REF.CU.16/6-10MM2   25/1.5-6MM2</t>
        </is>
      </c>
      <c r="D23" s="288" t="n">
        <v>1.587</v>
      </c>
      <c r="E23" s="507" t="n"/>
      <c r="F23" s="526" t="n"/>
      <c r="G23" s="527" t="n"/>
      <c r="H23" s="510" t="n"/>
      <c r="I23" s="511" t="n"/>
      <c r="J23" s="512" t="n"/>
      <c r="K23" s="512" t="n"/>
      <c r="L23" s="513" t="n"/>
      <c r="M23" s="510" t="n"/>
      <c r="N23" s="511" t="n"/>
      <c r="O23" s="512" t="n"/>
      <c r="P23" s="512" t="n"/>
      <c r="Q23" s="512" t="n"/>
      <c r="R23" s="512" t="n"/>
      <c r="S23" s="512" t="n"/>
      <c r="T23" s="512" t="n"/>
      <c r="U23" s="512" t="n"/>
      <c r="V23" s="512" t="n"/>
      <c r="W23" s="512" t="n"/>
      <c r="X23" s="512" t="n"/>
      <c r="Y23" s="512" t="n"/>
      <c r="Z23" s="512" t="n"/>
      <c r="AA23" s="512" t="n"/>
      <c r="AB23" s="512" t="n"/>
      <c r="AC23" s="512" t="n"/>
      <c r="AD23" s="512" t="n"/>
      <c r="AE23" s="510" t="n"/>
      <c r="AF23" s="511" t="n"/>
      <c r="AG23" s="512" t="n"/>
      <c r="AH23" s="512" t="n"/>
      <c r="AI23" s="513" t="n"/>
      <c r="AJ23" s="510" t="n"/>
      <c r="AK23" s="513" t="n"/>
      <c r="AL23" s="513" t="n"/>
      <c r="AM23" s="513" t="n"/>
      <c r="AN23" s="513" t="n"/>
      <c r="AO23" s="513" t="n"/>
      <c r="AP23" s="513" t="n"/>
      <c r="AQ23" s="513" t="n"/>
      <c r="AR23" s="513" t="n"/>
      <c r="AS23" s="513" t="n"/>
      <c r="AT23" s="513" t="n"/>
      <c r="AU23" s="510" t="n"/>
      <c r="AV23" s="527" t="n"/>
      <c r="AW23" s="514" t="n"/>
      <c r="AX23" s="514" t="n"/>
      <c r="AY23" s="514" t="n"/>
      <c r="AZ23" s="514" t="n"/>
      <c r="BA23" s="510">
        <f>SUM(AV23:AZ23)</f>
        <v/>
      </c>
      <c r="BB23" s="511" t="n"/>
      <c r="BC23" s="512" t="n"/>
      <c r="BD23" s="512" t="n"/>
      <c r="BE23" s="512" t="n"/>
      <c r="BF23" s="510">
        <f>SUM(BB23:BE23)</f>
        <v/>
      </c>
      <c r="BG23" s="518" t="n"/>
      <c r="BH23" s="519">
        <f>H23+M23+AE23+AJ23+AU23+BA23+BF23</f>
        <v/>
      </c>
      <c r="BI23" s="528">
        <f>IF(E23-BH23&lt;0, BH23-E23, )</f>
        <v/>
      </c>
      <c r="BJ23" s="529">
        <f>IF(E23-BH23&lt;0, ,E23-BH23)</f>
        <v/>
      </c>
      <c r="BK23" s="530" t="n"/>
      <c r="BM23" s="523" t="n"/>
      <c r="BN23" s="523" t="n"/>
      <c r="BO23" s="523" t="n"/>
      <c r="BP23" s="523" t="n"/>
      <c r="BQ23" s="523" t="n"/>
      <c r="BR23" s="523" t="n"/>
      <c r="BS23" s="523" t="n"/>
      <c r="BT23" s="518">
        <f>SUM(BM23:BS23)</f>
        <v/>
      </c>
      <c r="BU23" s="518" t="n"/>
      <c r="BV23" s="523" t="n"/>
      <c r="BW23" s="523" t="n"/>
      <c r="BX23" s="523" t="n"/>
      <c r="BY23" s="523" t="n"/>
      <c r="BZ23" s="523" t="n"/>
      <c r="CA23" s="523" t="n"/>
      <c r="CB23" s="523" t="n"/>
      <c r="CC23" s="518">
        <f>SUM(BV23:CB23)</f>
        <v/>
      </c>
      <c r="CD23" s="518" t="n"/>
      <c r="CE23" s="523" t="n"/>
      <c r="CF23" s="523" t="n"/>
      <c r="CG23" s="523" t="n"/>
      <c r="CH23" s="523" t="n"/>
      <c r="CI23" s="523" t="n"/>
      <c r="CJ23" s="523" t="n"/>
      <c r="CK23" s="523" t="n"/>
      <c r="CL23" s="518">
        <f>SUM(CE23:CK23)</f>
        <v/>
      </c>
      <c r="CN23" s="525">
        <f>+H23-(BM23+BV23+CE23)</f>
        <v/>
      </c>
      <c r="CO23" s="525">
        <f>+M23-(BN23+BW23+CF23)</f>
        <v/>
      </c>
      <c r="CP23" s="525">
        <f>+AE23-(BO23+BX23+CG23)</f>
        <v/>
      </c>
      <c r="CQ23" s="525">
        <f>+AJ23-(BP23+BY23+CH23)</f>
        <v/>
      </c>
      <c r="CR23" s="525">
        <f>+AU23-(BQ23+BZ23+CI23)</f>
        <v/>
      </c>
      <c r="CS23" s="525">
        <f>+BA23-(BR23+CA23+CJ23)</f>
        <v/>
      </c>
      <c r="CT23" s="525">
        <f>+BF23-(BS23+CB23+CK23)</f>
        <v/>
      </c>
      <c r="CU23" s="525">
        <f>BT23+CC23+CL23</f>
        <v/>
      </c>
      <c r="CV23" s="525">
        <f>SUM(CN23:CT23)</f>
        <v/>
      </c>
    </row>
    <row r="24" ht="21" customFormat="1" customHeight="1" s="230">
      <c r="A24" s="453" t="n">
        <v>5111215</v>
      </c>
      <c r="B24" s="286" t="inlineStr">
        <is>
          <t>GGG</t>
        </is>
      </c>
      <c r="C24" s="287" t="inlineStr">
        <is>
          <t>EMPALME DERECHO DERIVACION UNIPOLAR AUTOFUNDENTE P.CABLE SECO 6-120 / 1,5-120MM2 EN RED AEREA B.T.</t>
        </is>
      </c>
      <c r="D24" s="288" t="e">
        <v>#N/A</v>
      </c>
      <c r="E24" s="507" t="n"/>
      <c r="F24" s="526" t="n"/>
      <c r="G24" s="527" t="n"/>
      <c r="H24" s="510" t="n"/>
      <c r="I24" s="511" t="n"/>
      <c r="J24" s="512" t="n"/>
      <c r="K24" s="512" t="n"/>
      <c r="L24" s="513" t="n"/>
      <c r="M24" s="510" t="n"/>
      <c r="N24" s="511" t="n"/>
      <c r="O24" s="512" t="n"/>
      <c r="P24" s="512" t="n"/>
      <c r="Q24" s="512" t="n"/>
      <c r="R24" s="512" t="n"/>
      <c r="S24" s="512" t="n"/>
      <c r="T24" s="512" t="n"/>
      <c r="U24" s="512" t="n"/>
      <c r="V24" s="512" t="n"/>
      <c r="W24" s="512" t="n"/>
      <c r="X24" s="512" t="n"/>
      <c r="Y24" s="512" t="n"/>
      <c r="Z24" s="512" t="n"/>
      <c r="AA24" s="512" t="n"/>
      <c r="AB24" s="512" t="n"/>
      <c r="AC24" s="512" t="n"/>
      <c r="AD24" s="512" t="n"/>
      <c r="AE24" s="510" t="n"/>
      <c r="AF24" s="511" t="n"/>
      <c r="AG24" s="512" t="n"/>
      <c r="AH24" s="512" t="n"/>
      <c r="AI24" s="513" t="n"/>
      <c r="AJ24" s="510" t="n"/>
      <c r="AK24" s="513" t="n"/>
      <c r="AL24" s="513" t="n"/>
      <c r="AM24" s="513" t="n"/>
      <c r="AN24" s="513" t="n"/>
      <c r="AO24" s="513" t="n"/>
      <c r="AP24" s="513" t="n"/>
      <c r="AQ24" s="513" t="n"/>
      <c r="AR24" s="513" t="n"/>
      <c r="AS24" s="513" t="n"/>
      <c r="AT24" s="513" t="n"/>
      <c r="AU24" s="510" t="n"/>
      <c r="AV24" s="527" t="n"/>
      <c r="AW24" s="514" t="n"/>
      <c r="AX24" s="514" t="n"/>
      <c r="AY24" s="514" t="n"/>
      <c r="AZ24" s="514" t="n"/>
      <c r="BA24" s="510">
        <f>SUM(AV24:AZ24)</f>
        <v/>
      </c>
      <c r="BB24" s="511" t="n"/>
      <c r="BC24" s="512" t="n"/>
      <c r="BD24" s="512" t="n"/>
      <c r="BE24" s="512" t="n"/>
      <c r="BF24" s="510">
        <f>SUM(BB24:BE24)</f>
        <v/>
      </c>
      <c r="BG24" s="518" t="n"/>
      <c r="BH24" s="519">
        <f>H24+M24+AE24+AJ24+AU24+BA24+BF24</f>
        <v/>
      </c>
      <c r="BI24" s="528">
        <f>IF(E24-BH24&lt;0, BH24-E24, )</f>
        <v/>
      </c>
      <c r="BJ24" s="529">
        <f>IF(E24-BH24&lt;0, ,E24-BH24)</f>
        <v/>
      </c>
      <c r="BK24" s="530" t="n"/>
      <c r="BM24" s="523" t="n"/>
      <c r="BN24" s="523" t="n"/>
      <c r="BO24" s="523" t="n"/>
      <c r="BP24" s="523" t="n"/>
      <c r="BQ24" s="523" t="n"/>
      <c r="BR24" s="523" t="n"/>
      <c r="BS24" s="523" t="n"/>
      <c r="BT24" s="518">
        <f>SUM(BM24:BS24)</f>
        <v/>
      </c>
      <c r="BU24" s="518" t="n"/>
      <c r="BV24" s="523" t="n"/>
      <c r="BW24" s="523" t="n"/>
      <c r="BX24" s="523" t="n"/>
      <c r="BY24" s="523" t="n"/>
      <c r="BZ24" s="523" t="n"/>
      <c r="CA24" s="523" t="n"/>
      <c r="CB24" s="523" t="n"/>
      <c r="CC24" s="518">
        <f>SUM(BV24:CB24)</f>
        <v/>
      </c>
      <c r="CD24" s="518" t="n"/>
      <c r="CE24" s="523" t="n"/>
      <c r="CF24" s="523" t="n"/>
      <c r="CG24" s="523" t="n"/>
      <c r="CH24" s="523" t="n"/>
      <c r="CI24" s="523" t="n"/>
      <c r="CJ24" s="523" t="n"/>
      <c r="CK24" s="523" t="n"/>
      <c r="CL24" s="518">
        <f>SUM(CE24:CK24)</f>
        <v/>
      </c>
      <c r="CN24" s="525">
        <f>+H24-(BM24+BV24+CE24)</f>
        <v/>
      </c>
      <c r="CO24" s="525">
        <f>+M24-(BN24+BW24+CF24)</f>
        <v/>
      </c>
      <c r="CP24" s="525">
        <f>+AE24-(BO24+BX24+CG24)</f>
        <v/>
      </c>
      <c r="CQ24" s="525">
        <f>+AJ24-(BP24+BY24+CH24)</f>
        <v/>
      </c>
      <c r="CR24" s="525">
        <f>+AU24-(BQ24+BZ24+CI24)</f>
        <v/>
      </c>
      <c r="CS24" s="525">
        <f>+BA24-(BR24+CA24+CJ24)</f>
        <v/>
      </c>
      <c r="CT24" s="525">
        <f>+BF24-(BS24+CB24+CK24)</f>
        <v/>
      </c>
      <c r="CU24" s="525">
        <f>BT24+CC24+CL24</f>
        <v/>
      </c>
      <c r="CV24" s="525">
        <f>SUM(CN24:CT24)</f>
        <v/>
      </c>
    </row>
    <row r="25" ht="21" customFormat="1" customHeight="1" s="230">
      <c r="A25" s="453" t="n">
        <v>5021243</v>
      </c>
      <c r="B25" s="286" t="inlineStr">
        <is>
          <t>GGG</t>
        </is>
      </c>
      <c r="C25" s="287" t="inlineStr">
        <is>
          <t>CONDUCTOR CABLEADO UNIPOLAR TIPO TW 16MM2 COLOR AMARILLO 450 / 750V</t>
        </is>
      </c>
      <c r="D25" s="288" t="n">
        <v>3.881</v>
      </c>
      <c r="E25" s="507" t="n"/>
      <c r="F25" s="526" t="n"/>
      <c r="G25" s="527" t="n"/>
      <c r="H25" s="510" t="n"/>
      <c r="I25" s="511" t="n"/>
      <c r="J25" s="512" t="n"/>
      <c r="K25" s="512" t="n"/>
      <c r="L25" s="513" t="n"/>
      <c r="M25" s="510" t="n"/>
      <c r="N25" s="511" t="n"/>
      <c r="O25" s="512" t="n"/>
      <c r="P25" s="512" t="n"/>
      <c r="Q25" s="512" t="n"/>
      <c r="R25" s="512" t="n"/>
      <c r="S25" s="512" t="n"/>
      <c r="T25" s="512" t="n"/>
      <c r="U25" s="512" t="n"/>
      <c r="V25" s="512" t="n"/>
      <c r="W25" s="512" t="n"/>
      <c r="X25" s="512" t="n"/>
      <c r="Y25" s="512" t="n"/>
      <c r="Z25" s="512" t="n"/>
      <c r="AA25" s="512" t="n"/>
      <c r="AB25" s="512" t="n"/>
      <c r="AC25" s="512" t="n"/>
      <c r="AD25" s="512" t="n"/>
      <c r="AE25" s="510" t="n"/>
      <c r="AF25" s="511" t="n"/>
      <c r="AG25" s="512" t="n"/>
      <c r="AH25" s="512" t="n"/>
      <c r="AI25" s="513" t="n"/>
      <c r="AJ25" s="510" t="n"/>
      <c r="AK25" s="513" t="n"/>
      <c r="AL25" s="513" t="n"/>
      <c r="AM25" s="513" t="n"/>
      <c r="AN25" s="513" t="n"/>
      <c r="AO25" s="513" t="n"/>
      <c r="AP25" s="513" t="n"/>
      <c r="AQ25" s="513" t="n"/>
      <c r="AR25" s="513" t="n"/>
      <c r="AS25" s="513" t="n"/>
      <c r="AT25" s="513" t="n"/>
      <c r="AU25" s="510" t="n"/>
      <c r="AV25" s="527" t="n"/>
      <c r="AW25" s="514" t="n"/>
      <c r="AX25" s="514" t="n"/>
      <c r="AY25" s="514" t="n"/>
      <c r="AZ25" s="514" t="n"/>
      <c r="BA25" s="510">
        <f>SUM(AV25:AZ25)</f>
        <v/>
      </c>
      <c r="BB25" s="511" t="n"/>
      <c r="BC25" s="512" t="n"/>
      <c r="BD25" s="512" t="n"/>
      <c r="BE25" s="512" t="n"/>
      <c r="BF25" s="510">
        <f>SUM(BB25:BE25)</f>
        <v/>
      </c>
      <c r="BG25" s="518" t="n"/>
      <c r="BH25" s="519">
        <f>H25+M25+AE25+AJ25+AU25+BA25+BF25</f>
        <v/>
      </c>
      <c r="BI25" s="528">
        <f>IF(E25-BH25&lt;0, BH25-E25, )</f>
        <v/>
      </c>
      <c r="BJ25" s="529">
        <f>IF(E25-BH25&lt;0, ,E25-BH25)</f>
        <v/>
      </c>
      <c r="BK25" s="530" t="n"/>
      <c r="BM25" s="523" t="n"/>
      <c r="BN25" s="523" t="n"/>
      <c r="BO25" s="523" t="n"/>
      <c r="BP25" s="523" t="n"/>
      <c r="BQ25" s="523" t="n"/>
      <c r="BR25" s="523" t="n"/>
      <c r="BS25" s="523" t="n"/>
      <c r="BT25" s="518">
        <f>SUM(BM25:BS25)</f>
        <v/>
      </c>
      <c r="BU25" s="518" t="n"/>
      <c r="BV25" s="523" t="n"/>
      <c r="BW25" s="523" t="n"/>
      <c r="BX25" s="523" t="n"/>
      <c r="BY25" s="523" t="n"/>
      <c r="BZ25" s="523" t="n"/>
      <c r="CA25" s="523" t="n"/>
      <c r="CB25" s="523" t="n"/>
      <c r="CC25" s="518">
        <f>SUM(BV25:CB25)</f>
        <v/>
      </c>
      <c r="CD25" s="518" t="n"/>
      <c r="CE25" s="523" t="n"/>
      <c r="CF25" s="523" t="n"/>
      <c r="CG25" s="523" t="n"/>
      <c r="CH25" s="523" t="n"/>
      <c r="CI25" s="523" t="n"/>
      <c r="CJ25" s="523" t="n"/>
      <c r="CK25" s="523" t="n"/>
      <c r="CL25" s="518">
        <f>SUM(CE25:CK25)</f>
        <v/>
      </c>
      <c r="CN25" s="525">
        <f>+H25-(BM25+BV25+CE25)</f>
        <v/>
      </c>
      <c r="CO25" s="525">
        <f>+M25-(BN25+BW25+CF25)</f>
        <v/>
      </c>
      <c r="CP25" s="525">
        <f>+AE25-(BO25+BX25+CG25)</f>
        <v/>
      </c>
      <c r="CQ25" s="525">
        <f>+AJ25-(BP25+BY25+CH25)</f>
        <v/>
      </c>
      <c r="CR25" s="525">
        <f>+AU25-(BQ25+BZ25+CI25)</f>
        <v/>
      </c>
      <c r="CS25" s="525">
        <f>+BA25-(BR25+CA25+CJ25)</f>
        <v/>
      </c>
      <c r="CT25" s="525">
        <f>+BF25-(BS25+CB25+CK25)</f>
        <v/>
      </c>
      <c r="CU25" s="525">
        <f>BT25+CC25+CL25</f>
        <v/>
      </c>
      <c r="CV25" s="525">
        <f>SUM(CN25:CT25)</f>
        <v/>
      </c>
    </row>
    <row r="26" ht="21" customFormat="1" customHeight="1" s="230">
      <c r="A26" s="454" t="n">
        <v>5335110</v>
      </c>
      <c r="B26" s="286" t="inlineStr">
        <is>
          <t>GGG</t>
        </is>
      </c>
      <c r="C26" s="287" t="inlineStr">
        <is>
          <t>MENSULA DE MADERA DE 4" X 5" X 4 PIES CON TRATAMIENTO CCB</t>
        </is>
      </c>
      <c r="D26" s="288" t="n">
        <v>49.582</v>
      </c>
      <c r="E26" s="507" t="n"/>
      <c r="F26" s="526" t="n"/>
      <c r="G26" s="527" t="n"/>
      <c r="H26" s="510" t="n"/>
      <c r="I26" s="511" t="n"/>
      <c r="J26" s="512" t="n"/>
      <c r="K26" s="512" t="n"/>
      <c r="L26" s="513" t="n"/>
      <c r="M26" s="510" t="n"/>
      <c r="N26" s="511" t="n"/>
      <c r="O26" s="512" t="n"/>
      <c r="P26" s="512" t="n"/>
      <c r="Q26" s="512" t="n"/>
      <c r="R26" s="512" t="n"/>
      <c r="S26" s="512" t="n"/>
      <c r="T26" s="512" t="n"/>
      <c r="U26" s="512" t="n"/>
      <c r="V26" s="512" t="n"/>
      <c r="W26" s="512" t="n"/>
      <c r="X26" s="512" t="n"/>
      <c r="Y26" s="512" t="n"/>
      <c r="Z26" s="512" t="n"/>
      <c r="AA26" s="512" t="n"/>
      <c r="AB26" s="512" t="n"/>
      <c r="AC26" s="512" t="n"/>
      <c r="AD26" s="512" t="n"/>
      <c r="AE26" s="510" t="n"/>
      <c r="AF26" s="511" t="n"/>
      <c r="AG26" s="512" t="n"/>
      <c r="AH26" s="512" t="n"/>
      <c r="AI26" s="513" t="n"/>
      <c r="AJ26" s="510" t="n"/>
      <c r="AK26" s="513" t="n"/>
      <c r="AL26" s="513" t="n"/>
      <c r="AM26" s="513" t="n"/>
      <c r="AN26" s="513" t="n"/>
      <c r="AO26" s="513" t="n"/>
      <c r="AP26" s="513" t="n"/>
      <c r="AQ26" s="513" t="n"/>
      <c r="AR26" s="513" t="n"/>
      <c r="AS26" s="513" t="n"/>
      <c r="AT26" s="513" t="n"/>
      <c r="AU26" s="510" t="n"/>
      <c r="AV26" s="527" t="n"/>
      <c r="AW26" s="514" t="n"/>
      <c r="AX26" s="514" t="n"/>
      <c r="AY26" s="514" t="n"/>
      <c r="AZ26" s="514" t="n"/>
      <c r="BA26" s="510">
        <f>SUM(AV26:AZ26)</f>
        <v/>
      </c>
      <c r="BB26" s="511" t="n"/>
      <c r="BC26" s="512" t="n"/>
      <c r="BD26" s="512" t="n"/>
      <c r="BE26" s="512" t="n"/>
      <c r="BF26" s="510">
        <f>SUM(BB26:BE26)</f>
        <v/>
      </c>
      <c r="BG26" s="518" t="n"/>
      <c r="BH26" s="519">
        <f>H26+M26+AE26+AJ26+AU26+BA26+BF26</f>
        <v/>
      </c>
      <c r="BI26" s="528">
        <f>IF(E26-BH26&lt;0, BH26-E26, )</f>
        <v/>
      </c>
      <c r="BJ26" s="529">
        <f>IF(E26-BH26&lt;0, ,E26-BH26)</f>
        <v/>
      </c>
      <c r="BK26" s="530" t="n"/>
      <c r="BM26" s="523" t="n"/>
      <c r="BN26" s="523" t="n"/>
      <c r="BO26" s="523" t="n"/>
      <c r="BP26" s="523" t="n"/>
      <c r="BQ26" s="523" t="n"/>
      <c r="BR26" s="523" t="n"/>
      <c r="BS26" s="523" t="n"/>
      <c r="BT26" s="518">
        <f>SUM(BM26:BS26)</f>
        <v/>
      </c>
      <c r="BU26" s="518" t="n"/>
      <c r="BV26" s="523" t="n"/>
      <c r="BW26" s="523" t="n"/>
      <c r="BX26" s="523" t="n"/>
      <c r="BY26" s="523" t="n"/>
      <c r="BZ26" s="523" t="n"/>
      <c r="CA26" s="523" t="n"/>
      <c r="CB26" s="523" t="n"/>
      <c r="CC26" s="518">
        <f>SUM(BV26:CB26)</f>
        <v/>
      </c>
      <c r="CD26" s="518" t="n"/>
      <c r="CE26" s="523" t="n"/>
      <c r="CF26" s="523" t="n"/>
      <c r="CG26" s="523" t="n"/>
      <c r="CH26" s="523" t="n"/>
      <c r="CI26" s="523" t="n"/>
      <c r="CJ26" s="523" t="n"/>
      <c r="CK26" s="523" t="n"/>
      <c r="CL26" s="518">
        <f>SUM(CE26:CK26)</f>
        <v/>
      </c>
      <c r="CN26" s="525">
        <f>+H26-(BM26+BV26+CE26)</f>
        <v/>
      </c>
      <c r="CO26" s="525">
        <f>+M26-(BN26+BW26+CF26)</f>
        <v/>
      </c>
      <c r="CP26" s="525">
        <f>+AE26-(BO26+BX26+CG26)</f>
        <v/>
      </c>
      <c r="CQ26" s="525">
        <f>+AJ26-(BP26+BY26+CH26)</f>
        <v/>
      </c>
      <c r="CR26" s="525">
        <f>+AU26-(BQ26+BZ26+CI26)</f>
        <v/>
      </c>
      <c r="CS26" s="525">
        <f>+BA26-(BR26+CA26+CJ26)</f>
        <v/>
      </c>
      <c r="CT26" s="525">
        <f>+BF26-(BS26+CB26+CK26)</f>
        <v/>
      </c>
      <c r="CU26" s="525">
        <f>BT26+CC26+CL26</f>
        <v/>
      </c>
      <c r="CV26" s="525">
        <f>SUM(CN26:CT26)</f>
        <v/>
      </c>
    </row>
    <row r="27" ht="21" customFormat="1" customHeight="1" s="230">
      <c r="A27" s="454" t="n">
        <v>5337120</v>
      </c>
      <c r="B27" s="286" t="inlineStr">
        <is>
          <t>GGG</t>
        </is>
      </c>
      <c r="C27" s="287" t="inlineStr">
        <is>
          <t>DIAGONAL ACERO GALV. 45MM X 45MM X 1,07M X 4MM</t>
        </is>
      </c>
      <c r="D27" s="288" t="n">
        <v>15.63</v>
      </c>
      <c r="E27" s="507" t="n"/>
      <c r="F27" s="526" t="n"/>
      <c r="G27" s="527" t="n"/>
      <c r="H27" s="510" t="n"/>
      <c r="I27" s="511" t="n"/>
      <c r="J27" s="512" t="n"/>
      <c r="K27" s="512" t="n"/>
      <c r="L27" s="513" t="n"/>
      <c r="M27" s="510" t="n"/>
      <c r="N27" s="511" t="n"/>
      <c r="O27" s="512" t="n"/>
      <c r="P27" s="512" t="n"/>
      <c r="Q27" s="512" t="n"/>
      <c r="R27" s="512" t="n"/>
      <c r="S27" s="512" t="n"/>
      <c r="T27" s="512" t="n"/>
      <c r="U27" s="512" t="n"/>
      <c r="V27" s="512" t="n"/>
      <c r="W27" s="512" t="n"/>
      <c r="X27" s="512" t="n"/>
      <c r="Y27" s="512" t="n"/>
      <c r="Z27" s="512" t="n"/>
      <c r="AA27" s="512" t="n"/>
      <c r="AB27" s="512" t="n"/>
      <c r="AC27" s="512" t="n"/>
      <c r="AD27" s="512" t="n"/>
      <c r="AE27" s="510" t="n"/>
      <c r="AF27" s="511" t="n"/>
      <c r="AG27" s="512" t="n"/>
      <c r="AH27" s="512" t="n"/>
      <c r="AI27" s="513" t="n"/>
      <c r="AJ27" s="510" t="n"/>
      <c r="AK27" s="513" t="n"/>
      <c r="AL27" s="513" t="n"/>
      <c r="AM27" s="513" t="n"/>
      <c r="AN27" s="513" t="n"/>
      <c r="AO27" s="513" t="n"/>
      <c r="AP27" s="513" t="n"/>
      <c r="AQ27" s="513" t="n"/>
      <c r="AR27" s="513" t="n"/>
      <c r="AS27" s="513" t="n"/>
      <c r="AT27" s="513" t="n"/>
      <c r="AU27" s="510" t="n"/>
      <c r="AV27" s="527" t="n"/>
      <c r="AW27" s="514" t="n"/>
      <c r="AX27" s="514" t="n"/>
      <c r="AY27" s="514" t="n"/>
      <c r="AZ27" s="514" t="n"/>
      <c r="BA27" s="510">
        <f>SUM(AV27:AZ27)</f>
        <v/>
      </c>
      <c r="BB27" s="511" t="n"/>
      <c r="BC27" s="512" t="n"/>
      <c r="BD27" s="512" t="n"/>
      <c r="BE27" s="512" t="n"/>
      <c r="BF27" s="510">
        <f>SUM(BB27:BE27)</f>
        <v/>
      </c>
      <c r="BG27" s="518" t="n"/>
      <c r="BH27" s="519">
        <f>H27+M27+AE27+AJ27+AU27+BA27+BF27</f>
        <v/>
      </c>
      <c r="BI27" s="528">
        <f>IF(E27-BH27&lt;0, BH27-E27, )</f>
        <v/>
      </c>
      <c r="BJ27" s="529">
        <f>IF(E27-BH27&lt;0, ,E27-BH27)</f>
        <v/>
      </c>
      <c r="BK27" s="530" t="n"/>
      <c r="BM27" s="523" t="n"/>
      <c r="BN27" s="523" t="n"/>
      <c r="BO27" s="523" t="n"/>
      <c r="BP27" s="523" t="n"/>
      <c r="BQ27" s="523" t="n"/>
      <c r="BR27" s="523" t="n"/>
      <c r="BS27" s="523" t="n"/>
      <c r="BT27" s="518">
        <f>SUM(BM27:BS27)</f>
        <v/>
      </c>
      <c r="BU27" s="518" t="n"/>
      <c r="BV27" s="523" t="n"/>
      <c r="BW27" s="523" t="n"/>
      <c r="BX27" s="523" t="n"/>
      <c r="BY27" s="523" t="n"/>
      <c r="BZ27" s="523" t="n"/>
      <c r="CA27" s="523" t="n"/>
      <c r="CB27" s="523" t="n"/>
      <c r="CC27" s="518">
        <f>SUM(BV27:CB27)</f>
        <v/>
      </c>
      <c r="CD27" s="518" t="n"/>
      <c r="CE27" s="523" t="n"/>
      <c r="CF27" s="523" t="n"/>
      <c r="CG27" s="523" t="n"/>
      <c r="CH27" s="523" t="n"/>
      <c r="CI27" s="523" t="n"/>
      <c r="CJ27" s="523" t="n"/>
      <c r="CK27" s="523" t="n"/>
      <c r="CL27" s="518">
        <f>SUM(CE27:CK27)</f>
        <v/>
      </c>
      <c r="CN27" s="525">
        <f>+H27-(BM27+BV27+CE27)</f>
        <v/>
      </c>
      <c r="CO27" s="525">
        <f>+M27-(BN27+BW27+CF27)</f>
        <v/>
      </c>
      <c r="CP27" s="525">
        <f>+AE27-(BO27+BX27+CG27)</f>
        <v/>
      </c>
      <c r="CQ27" s="525">
        <f>+AJ27-(BP27+BY27+CH27)</f>
        <v/>
      </c>
      <c r="CR27" s="525">
        <f>+AU27-(BQ27+BZ27+CI27)</f>
        <v/>
      </c>
      <c r="CS27" s="525">
        <f>+BA27-(BR27+CA27+CJ27)</f>
        <v/>
      </c>
      <c r="CT27" s="525">
        <f>+BF27-(BS27+CB27+CK27)</f>
        <v/>
      </c>
      <c r="CU27" s="525">
        <f>BT27+CC27+CL27</f>
        <v/>
      </c>
      <c r="CV27" s="525">
        <f>SUM(CN27:CT27)</f>
        <v/>
      </c>
    </row>
    <row r="28" ht="21" customFormat="1" customHeight="1" s="230">
      <c r="A28" s="454" t="n">
        <v>6941170</v>
      </c>
      <c r="B28" s="286" t="inlineStr">
        <is>
          <t>GGG</t>
        </is>
      </c>
      <c r="C28" s="287" t="inlineStr">
        <is>
          <t>ABRAZADERA DE ACERO GALV. 160 - 190MM DIAM. C.4 PERNOS DE AJUSTE P.SOPORTE DEL BRAZO DE APOYO</t>
        </is>
      </c>
      <c r="D28" s="288" t="n">
        <v>29.53</v>
      </c>
      <c r="E28" s="507" t="n"/>
      <c r="F28" s="526" t="n"/>
      <c r="G28" s="527" t="n"/>
      <c r="H28" s="510" t="n"/>
      <c r="I28" s="511" t="n"/>
      <c r="J28" s="512" t="n"/>
      <c r="K28" s="512" t="n"/>
      <c r="L28" s="513" t="n"/>
      <c r="M28" s="510" t="n"/>
      <c r="N28" s="511" t="n"/>
      <c r="O28" s="512" t="n"/>
      <c r="P28" s="512" t="n"/>
      <c r="Q28" s="512" t="n"/>
      <c r="R28" s="512" t="n"/>
      <c r="S28" s="512" t="n"/>
      <c r="T28" s="512" t="n"/>
      <c r="U28" s="512" t="n"/>
      <c r="V28" s="512" t="n"/>
      <c r="W28" s="512" t="n"/>
      <c r="X28" s="512" t="n"/>
      <c r="Y28" s="512" t="n"/>
      <c r="Z28" s="512" t="n"/>
      <c r="AA28" s="512" t="n"/>
      <c r="AB28" s="512" t="n"/>
      <c r="AC28" s="512" t="n"/>
      <c r="AD28" s="512" t="n"/>
      <c r="AE28" s="510" t="n"/>
      <c r="AF28" s="511" t="n"/>
      <c r="AG28" s="512" t="n"/>
      <c r="AH28" s="512" t="n"/>
      <c r="AI28" s="513" t="n"/>
      <c r="AJ28" s="510" t="n"/>
      <c r="AK28" s="513" t="n"/>
      <c r="AL28" s="513" t="n"/>
      <c r="AM28" s="513" t="n"/>
      <c r="AN28" s="513" t="n"/>
      <c r="AO28" s="513" t="n"/>
      <c r="AP28" s="513" t="n"/>
      <c r="AQ28" s="513" t="n"/>
      <c r="AR28" s="513" t="n"/>
      <c r="AS28" s="513" t="n"/>
      <c r="AT28" s="513" t="n"/>
      <c r="AU28" s="510" t="n"/>
      <c r="AV28" s="527" t="n"/>
      <c r="AW28" s="514" t="n"/>
      <c r="AX28" s="514" t="n"/>
      <c r="AY28" s="514" t="n"/>
      <c r="AZ28" s="514" t="n"/>
      <c r="BA28" s="510">
        <f>SUM(AV28:AZ28)</f>
        <v/>
      </c>
      <c r="BB28" s="511" t="n"/>
      <c r="BC28" s="512" t="n"/>
      <c r="BD28" s="512" t="n"/>
      <c r="BE28" s="512" t="n"/>
      <c r="BF28" s="510">
        <f>SUM(BB28:BE28)</f>
        <v/>
      </c>
      <c r="BG28" s="518" t="n"/>
      <c r="BH28" s="519">
        <f>H28+M28+AE28+AJ28+AU28+BA28+BF28</f>
        <v/>
      </c>
      <c r="BI28" s="528">
        <f>IF(E28-BH28&lt;0, BH28-E28, )</f>
        <v/>
      </c>
      <c r="BJ28" s="529">
        <f>IF(E28-BH28&lt;0, ,E28-BH28)</f>
        <v/>
      </c>
      <c r="BK28" s="530" t="n"/>
      <c r="BM28" s="523" t="n"/>
      <c r="BN28" s="523" t="n"/>
      <c r="BO28" s="523" t="n"/>
      <c r="BP28" s="523" t="n"/>
      <c r="BQ28" s="523" t="n"/>
      <c r="BR28" s="523" t="n"/>
      <c r="BS28" s="523" t="n"/>
      <c r="BT28" s="518">
        <f>SUM(BM28:BS28)</f>
        <v/>
      </c>
      <c r="BU28" s="518" t="n"/>
      <c r="BV28" s="523" t="n"/>
      <c r="BW28" s="523" t="n"/>
      <c r="BX28" s="523" t="n"/>
      <c r="BY28" s="523" t="n"/>
      <c r="BZ28" s="523" t="n"/>
      <c r="CA28" s="523" t="n"/>
      <c r="CB28" s="523" t="n"/>
      <c r="CC28" s="518">
        <f>SUM(BV28:CB28)</f>
        <v/>
      </c>
      <c r="CD28" s="518" t="n"/>
      <c r="CE28" s="523" t="n"/>
      <c r="CF28" s="523" t="n"/>
      <c r="CG28" s="523" t="n"/>
      <c r="CH28" s="523" t="n"/>
      <c r="CI28" s="523" t="n"/>
      <c r="CJ28" s="523" t="n"/>
      <c r="CK28" s="523" t="n"/>
      <c r="CL28" s="518">
        <f>SUM(CE28:CK28)</f>
        <v/>
      </c>
      <c r="CN28" s="525">
        <f>+H28-(BM28+BV28+CE28)</f>
        <v/>
      </c>
      <c r="CO28" s="525">
        <f>+M28-(BN28+BW28+CF28)</f>
        <v/>
      </c>
      <c r="CP28" s="525">
        <f>+AE28-(BO28+BX28+CG28)</f>
        <v/>
      </c>
      <c r="CQ28" s="525">
        <f>+AJ28-(BP28+BY28+CH28)</f>
        <v/>
      </c>
      <c r="CR28" s="525">
        <f>+AU28-(BQ28+BZ28+CI28)</f>
        <v/>
      </c>
      <c r="CS28" s="525">
        <f>+BA28-(BR28+CA28+CJ28)</f>
        <v/>
      </c>
      <c r="CT28" s="525">
        <f>+BF28-(BS28+CB28+CK28)</f>
        <v/>
      </c>
      <c r="CU28" s="525">
        <f>BT28+CC28+CL28</f>
        <v/>
      </c>
      <c r="CV28" s="525">
        <f>SUM(CN28:CT28)</f>
        <v/>
      </c>
    </row>
    <row r="29" ht="21" customFormat="1" customHeight="1" s="230">
      <c r="A29" s="454" t="n">
        <v>5463118</v>
      </c>
      <c r="B29" s="286" t="inlineStr">
        <is>
          <t>GGG</t>
        </is>
      </c>
      <c r="C29" s="287" t="inlineStr">
        <is>
          <t>VARILLA ROSCADA AC.GALV. 16MMD. X 450MML. L.AEREAS</t>
        </is>
      </c>
      <c r="D29" s="288" t="n">
        <v>4.705</v>
      </c>
      <c r="E29" s="507" t="n"/>
      <c r="F29" s="526" t="n"/>
      <c r="G29" s="527" t="n"/>
      <c r="H29" s="510" t="n"/>
      <c r="I29" s="511" t="n"/>
      <c r="J29" s="512" t="n"/>
      <c r="K29" s="512" t="n"/>
      <c r="L29" s="513" t="n"/>
      <c r="M29" s="510" t="n"/>
      <c r="N29" s="511" t="n"/>
      <c r="O29" s="512" t="n"/>
      <c r="P29" s="512" t="n"/>
      <c r="Q29" s="512" t="n"/>
      <c r="R29" s="512" t="n"/>
      <c r="S29" s="512" t="n"/>
      <c r="T29" s="512" t="n"/>
      <c r="U29" s="512" t="n"/>
      <c r="V29" s="512" t="n"/>
      <c r="W29" s="512" t="n"/>
      <c r="X29" s="512" t="n"/>
      <c r="Y29" s="512" t="n"/>
      <c r="Z29" s="512" t="n"/>
      <c r="AA29" s="512" t="n"/>
      <c r="AB29" s="512" t="n"/>
      <c r="AC29" s="512" t="n"/>
      <c r="AD29" s="512" t="n"/>
      <c r="AE29" s="510" t="n"/>
      <c r="AF29" s="511" t="n"/>
      <c r="AG29" s="512" t="n"/>
      <c r="AH29" s="512" t="n"/>
      <c r="AI29" s="513" t="n"/>
      <c r="AJ29" s="510" t="n"/>
      <c r="AK29" s="513" t="n"/>
      <c r="AL29" s="513" t="n"/>
      <c r="AM29" s="513" t="n"/>
      <c r="AN29" s="513" t="n"/>
      <c r="AO29" s="513" t="n"/>
      <c r="AP29" s="513" t="n"/>
      <c r="AQ29" s="513" t="n"/>
      <c r="AR29" s="513" t="n"/>
      <c r="AS29" s="513" t="n"/>
      <c r="AT29" s="513" t="n"/>
      <c r="AU29" s="510" t="n"/>
      <c r="AV29" s="527" t="n"/>
      <c r="AW29" s="514" t="n"/>
      <c r="AX29" s="514" t="n"/>
      <c r="AY29" s="514" t="n"/>
      <c r="AZ29" s="514" t="n"/>
      <c r="BA29" s="510">
        <f>SUM(AV29:AZ29)</f>
        <v/>
      </c>
      <c r="BB29" s="511" t="n"/>
      <c r="BC29" s="512" t="n"/>
      <c r="BD29" s="512" t="n"/>
      <c r="BE29" s="512" t="n"/>
      <c r="BF29" s="510">
        <f>SUM(BB29:BE29)</f>
        <v/>
      </c>
      <c r="BG29" s="518" t="n"/>
      <c r="BH29" s="519">
        <f>H29+M29+AE29+AJ29+AU29+BA29+BF29</f>
        <v/>
      </c>
      <c r="BI29" s="528">
        <f>IF(E29-BH29&lt;0, BH29-E29, )</f>
        <v/>
      </c>
      <c r="BJ29" s="529">
        <f>IF(E29-BH29&lt;0, ,E29-BH29)</f>
        <v/>
      </c>
      <c r="BK29" s="530" t="n"/>
      <c r="BM29" s="523" t="n"/>
      <c r="BN29" s="523" t="n"/>
      <c r="BO29" s="523" t="n"/>
      <c r="BP29" s="523" t="n"/>
      <c r="BQ29" s="523" t="n"/>
      <c r="BR29" s="523" t="n"/>
      <c r="BS29" s="523" t="n"/>
      <c r="BT29" s="518">
        <f>SUM(BM29:BS29)</f>
        <v/>
      </c>
      <c r="BU29" s="518" t="n"/>
      <c r="BV29" s="523" t="n"/>
      <c r="BW29" s="523" t="n"/>
      <c r="BX29" s="523" t="n"/>
      <c r="BY29" s="523" t="n"/>
      <c r="BZ29" s="523" t="n"/>
      <c r="CA29" s="523" t="n"/>
      <c r="CB29" s="523" t="n"/>
      <c r="CC29" s="518">
        <f>SUM(BV29:CB29)</f>
        <v/>
      </c>
      <c r="CD29" s="518" t="n"/>
      <c r="CE29" s="523" t="n"/>
      <c r="CF29" s="523" t="n"/>
      <c r="CG29" s="523" t="n"/>
      <c r="CH29" s="523" t="n"/>
      <c r="CI29" s="523" t="n"/>
      <c r="CJ29" s="523" t="n"/>
      <c r="CK29" s="523" t="n"/>
      <c r="CL29" s="518">
        <f>SUM(CE29:CK29)</f>
        <v/>
      </c>
      <c r="CN29" s="525">
        <f>+H29-(BM29+BV29+CE29)</f>
        <v/>
      </c>
      <c r="CO29" s="525">
        <f>+M29-(BN29+BW29+CF29)</f>
        <v/>
      </c>
      <c r="CP29" s="525">
        <f>+AE29-(BO29+BX29+CG29)</f>
        <v/>
      </c>
      <c r="CQ29" s="525">
        <f>+AJ29-(BP29+BY29+CH29)</f>
        <v/>
      </c>
      <c r="CR29" s="525">
        <f>+AU29-(BQ29+BZ29+CI29)</f>
        <v/>
      </c>
      <c r="CS29" s="525">
        <f>+BA29-(BR29+CA29+CJ29)</f>
        <v/>
      </c>
      <c r="CT29" s="525">
        <f>+BF29-(BS29+CB29+CK29)</f>
        <v/>
      </c>
      <c r="CU29" s="525">
        <f>BT29+CC29+CL29</f>
        <v/>
      </c>
      <c r="CV29" s="525">
        <f>SUM(CN29:CT29)</f>
        <v/>
      </c>
    </row>
    <row r="30" ht="21" customFormat="1" customHeight="1" s="230">
      <c r="A30" s="454" t="n">
        <v>5463110</v>
      </c>
      <c r="B30" s="286" t="inlineStr">
        <is>
          <t>GGG</t>
        </is>
      </c>
      <c r="C30" s="287" t="inlineStr">
        <is>
          <t>VARILLA ROSCADA AC.GALV. 16MMD. X 250MML. L.AEREAS</t>
        </is>
      </c>
      <c r="D30" s="288" t="n">
        <v>2.902</v>
      </c>
      <c r="E30" s="507" t="n"/>
      <c r="F30" s="526" t="n"/>
      <c r="G30" s="527" t="n"/>
      <c r="H30" s="510" t="n"/>
      <c r="I30" s="511" t="n"/>
      <c r="J30" s="512" t="n"/>
      <c r="K30" s="512" t="n"/>
      <c r="L30" s="513" t="n"/>
      <c r="M30" s="510" t="n"/>
      <c r="N30" s="511" t="n"/>
      <c r="O30" s="512" t="n"/>
      <c r="P30" s="512" t="n"/>
      <c r="Q30" s="512" t="n"/>
      <c r="R30" s="512" t="n"/>
      <c r="S30" s="512" t="n"/>
      <c r="T30" s="512" t="n"/>
      <c r="U30" s="512" t="n"/>
      <c r="V30" s="512" t="n"/>
      <c r="W30" s="512" t="n"/>
      <c r="X30" s="512" t="n"/>
      <c r="Y30" s="512" t="n"/>
      <c r="Z30" s="512" t="n"/>
      <c r="AA30" s="512" t="n"/>
      <c r="AB30" s="512" t="n"/>
      <c r="AC30" s="512" t="n"/>
      <c r="AD30" s="512" t="n"/>
      <c r="AE30" s="510" t="n"/>
      <c r="AF30" s="511" t="n"/>
      <c r="AG30" s="512" t="n"/>
      <c r="AH30" s="512" t="n"/>
      <c r="AI30" s="513" t="n"/>
      <c r="AJ30" s="510" t="n"/>
      <c r="AK30" s="513" t="n"/>
      <c r="AL30" s="513" t="n"/>
      <c r="AM30" s="513" t="n"/>
      <c r="AN30" s="513" t="n"/>
      <c r="AO30" s="513" t="n"/>
      <c r="AP30" s="513" t="n"/>
      <c r="AQ30" s="513" t="n"/>
      <c r="AR30" s="513" t="n"/>
      <c r="AS30" s="513" t="n"/>
      <c r="AT30" s="513" t="n"/>
      <c r="AU30" s="510" t="n"/>
      <c r="AV30" s="527" t="n"/>
      <c r="AW30" s="514" t="n"/>
      <c r="AX30" s="514" t="n"/>
      <c r="AY30" s="514" t="n"/>
      <c r="AZ30" s="514" t="n"/>
      <c r="BA30" s="510">
        <f>SUM(AV30:AZ30)</f>
        <v/>
      </c>
      <c r="BB30" s="511" t="n"/>
      <c r="BC30" s="512" t="n"/>
      <c r="BD30" s="512" t="n"/>
      <c r="BE30" s="512" t="n"/>
      <c r="BF30" s="510">
        <f>SUM(BB30:BE30)</f>
        <v/>
      </c>
      <c r="BG30" s="518" t="n"/>
      <c r="BH30" s="519">
        <f>H30+M30+AE30+AJ30+AU30+BA30+BF30</f>
        <v/>
      </c>
      <c r="BI30" s="528">
        <f>IF(E30-BH30&lt;0, BH30-E30, )</f>
        <v/>
      </c>
      <c r="BJ30" s="529">
        <f>IF(E30-BH30&lt;0, ,E30-BH30)</f>
        <v/>
      </c>
      <c r="BK30" s="530" t="n"/>
      <c r="BM30" s="523" t="n"/>
      <c r="BN30" s="523" t="n"/>
      <c r="BO30" s="523" t="n"/>
      <c r="BP30" s="523" t="n"/>
      <c r="BQ30" s="523" t="n"/>
      <c r="BR30" s="523" t="n"/>
      <c r="BS30" s="523" t="n"/>
      <c r="BT30" s="518">
        <f>SUM(BM30:BS30)</f>
        <v/>
      </c>
      <c r="BU30" s="518" t="n"/>
      <c r="BV30" s="523" t="n"/>
      <c r="BW30" s="523" t="n"/>
      <c r="BX30" s="523" t="n"/>
      <c r="BY30" s="523" t="n"/>
      <c r="BZ30" s="523" t="n"/>
      <c r="CA30" s="523" t="n"/>
      <c r="CB30" s="523" t="n"/>
      <c r="CC30" s="518">
        <f>SUM(BV30:CB30)</f>
        <v/>
      </c>
      <c r="CD30" s="518" t="n"/>
      <c r="CE30" s="523" t="n"/>
      <c r="CF30" s="523" t="n"/>
      <c r="CG30" s="523" t="n"/>
      <c r="CH30" s="523" t="n"/>
      <c r="CI30" s="523" t="n"/>
      <c r="CJ30" s="523" t="n"/>
      <c r="CK30" s="523" t="n"/>
      <c r="CL30" s="518">
        <f>SUM(CE30:CK30)</f>
        <v/>
      </c>
      <c r="CN30" s="525">
        <f>+H30-(BM30+BV30+CE30)</f>
        <v/>
      </c>
      <c r="CO30" s="525">
        <f>+M30-(BN30+BW30+CF30)</f>
        <v/>
      </c>
      <c r="CP30" s="525">
        <f>+AE30-(BO30+BX30+CG30)</f>
        <v/>
      </c>
      <c r="CQ30" s="525">
        <f>+AJ30-(BP30+BY30+CH30)</f>
        <v/>
      </c>
      <c r="CR30" s="525">
        <f>+AU30-(BQ30+BZ30+CI30)</f>
        <v/>
      </c>
      <c r="CS30" s="525">
        <f>+BA30-(BR30+CA30+CJ30)</f>
        <v/>
      </c>
      <c r="CT30" s="525">
        <f>+BF30-(BS30+CB30+CK30)</f>
        <v/>
      </c>
      <c r="CU30" s="525">
        <f>BT30+CC30+CL30</f>
        <v/>
      </c>
      <c r="CV30" s="525">
        <f>SUM(CN30:CT30)</f>
        <v/>
      </c>
    </row>
    <row r="31" ht="21" customFormat="1" customHeight="1" s="230">
      <c r="A31" s="454" t="n">
        <v>5021407</v>
      </c>
      <c r="B31" s="286" t="inlineStr">
        <is>
          <t>GGG</t>
        </is>
      </c>
      <c r="C31" s="287" t="inlineStr">
        <is>
          <t>CONDUCTOR SOLIDO TWT 450/750V.BIPOLAR   2X 1.5 MM2 (INDOPRENE)</t>
        </is>
      </c>
      <c r="D31" s="288" t="n">
        <v>0.916</v>
      </c>
      <c r="E31" s="507" t="n"/>
      <c r="F31" s="526" t="n"/>
      <c r="G31" s="527" t="n"/>
      <c r="H31" s="510" t="n"/>
      <c r="I31" s="511" t="n"/>
      <c r="J31" s="512" t="n"/>
      <c r="K31" s="512" t="n"/>
      <c r="L31" s="513" t="n"/>
      <c r="M31" s="510" t="n"/>
      <c r="N31" s="511" t="n"/>
      <c r="O31" s="512" t="n"/>
      <c r="P31" s="512" t="n"/>
      <c r="Q31" s="512" t="n"/>
      <c r="R31" s="512" t="n"/>
      <c r="S31" s="512" t="n"/>
      <c r="T31" s="512" t="n"/>
      <c r="U31" s="512" t="n"/>
      <c r="V31" s="512" t="n"/>
      <c r="W31" s="512" t="n"/>
      <c r="X31" s="512" t="n"/>
      <c r="Y31" s="512" t="n"/>
      <c r="Z31" s="512" t="n"/>
      <c r="AA31" s="512" t="n"/>
      <c r="AB31" s="512" t="n"/>
      <c r="AC31" s="512" t="n"/>
      <c r="AD31" s="512" t="n"/>
      <c r="AE31" s="510" t="n"/>
      <c r="AF31" s="511" t="n"/>
      <c r="AG31" s="512" t="n"/>
      <c r="AH31" s="512" t="n"/>
      <c r="AI31" s="513" t="n"/>
      <c r="AJ31" s="510" t="n"/>
      <c r="AK31" s="513" t="n"/>
      <c r="AL31" s="513" t="n"/>
      <c r="AM31" s="513" t="n"/>
      <c r="AN31" s="513" t="n"/>
      <c r="AO31" s="513" t="n"/>
      <c r="AP31" s="513" t="n"/>
      <c r="AQ31" s="513" t="n"/>
      <c r="AR31" s="513" t="n"/>
      <c r="AS31" s="513" t="n"/>
      <c r="AT31" s="513" t="n"/>
      <c r="AU31" s="510" t="n"/>
      <c r="AV31" s="527" t="n"/>
      <c r="AW31" s="514" t="n"/>
      <c r="AX31" s="514" t="n"/>
      <c r="AY31" s="514" t="n"/>
      <c r="AZ31" s="514" t="n"/>
      <c r="BA31" s="510">
        <f>SUM(AV31:AZ31)</f>
        <v/>
      </c>
      <c r="BB31" s="511" t="n"/>
      <c r="BC31" s="512" t="n"/>
      <c r="BD31" s="512" t="n"/>
      <c r="BE31" s="512" t="n"/>
      <c r="BF31" s="510">
        <f>SUM(BB31:BE31)</f>
        <v/>
      </c>
      <c r="BG31" s="518" t="n"/>
      <c r="BH31" s="519">
        <f>H31+M31+AE31+AJ31+AU31+BA31+BF31</f>
        <v/>
      </c>
      <c r="BI31" s="528">
        <f>IF(E31-BH31&lt;0, BH31-E31, )</f>
        <v/>
      </c>
      <c r="BJ31" s="529">
        <f>IF(E31-BH31&lt;0, ,E31-BH31)</f>
        <v/>
      </c>
      <c r="BK31" s="530" t="n"/>
      <c r="BM31" s="523" t="n"/>
      <c r="BN31" s="523" t="n"/>
      <c r="BO31" s="523" t="n"/>
      <c r="BP31" s="523" t="n"/>
      <c r="BQ31" s="523" t="n"/>
      <c r="BR31" s="523" t="n"/>
      <c r="BS31" s="523" t="n"/>
      <c r="BT31" s="518">
        <f>SUM(BM31:BS31)</f>
        <v/>
      </c>
      <c r="BU31" s="518" t="n"/>
      <c r="BV31" s="523" t="n"/>
      <c r="BW31" s="523" t="n"/>
      <c r="BX31" s="523" t="n"/>
      <c r="BY31" s="523" t="n"/>
      <c r="BZ31" s="523" t="n"/>
      <c r="CA31" s="523" t="n"/>
      <c r="CB31" s="523" t="n"/>
      <c r="CC31" s="518">
        <f>SUM(BV31:CB31)</f>
        <v/>
      </c>
      <c r="CD31" s="518" t="n"/>
      <c r="CE31" s="523" t="n"/>
      <c r="CF31" s="523" t="n"/>
      <c r="CG31" s="523" t="n"/>
      <c r="CH31" s="523" t="n"/>
      <c r="CI31" s="523" t="n"/>
      <c r="CJ31" s="523" t="n"/>
      <c r="CK31" s="523" t="n"/>
      <c r="CL31" s="518">
        <f>SUM(CE31:CK31)</f>
        <v/>
      </c>
      <c r="CN31" s="525">
        <f>+H31-(BM31+BV31+CE31)</f>
        <v/>
      </c>
      <c r="CO31" s="525">
        <f>+M31-(BN31+BW31+CF31)</f>
        <v/>
      </c>
      <c r="CP31" s="525">
        <f>+AE31-(BO31+BX31+CG31)</f>
        <v/>
      </c>
      <c r="CQ31" s="525">
        <f>+AJ31-(BP31+BY31+CH31)</f>
        <v/>
      </c>
      <c r="CR31" s="525">
        <f>+AU31-(BQ31+BZ31+CI31)</f>
        <v/>
      </c>
      <c r="CS31" s="525">
        <f>+BA31-(BR31+CA31+CJ31)</f>
        <v/>
      </c>
      <c r="CT31" s="525">
        <f>+BF31-(BS31+CB31+CK31)</f>
        <v/>
      </c>
      <c r="CU31" s="525">
        <f>BT31+CC31+CL31</f>
        <v/>
      </c>
      <c r="CV31" s="525">
        <f>SUM(CN31:CT31)</f>
        <v/>
      </c>
    </row>
    <row r="32" ht="21" customFormat="1" customHeight="1" s="230">
      <c r="A32" s="454" t="n">
        <v>5567063</v>
      </c>
      <c r="B32" s="286" t="inlineStr">
        <is>
          <t>GGG</t>
        </is>
      </c>
      <c r="C32" s="287" t="inlineStr">
        <is>
          <t>LUMINARIA LED P.VIAS LOCAL RESIDENCIAL TP.ALUMBRAD</t>
        </is>
      </c>
      <c r="D32" s="288" t="e">
        <v>#N/A</v>
      </c>
      <c r="E32" s="507" t="n"/>
      <c r="F32" s="526" t="n"/>
      <c r="G32" s="527" t="n"/>
      <c r="H32" s="510" t="n"/>
      <c r="I32" s="511" t="n"/>
      <c r="J32" s="512" t="n"/>
      <c r="K32" s="512" t="n"/>
      <c r="L32" s="513" t="n"/>
      <c r="M32" s="510" t="n"/>
      <c r="N32" s="511" t="n"/>
      <c r="O32" s="512" t="n"/>
      <c r="P32" s="512" t="n"/>
      <c r="Q32" s="512" t="n"/>
      <c r="R32" s="512" t="n"/>
      <c r="S32" s="512" t="n"/>
      <c r="T32" s="512" t="n"/>
      <c r="U32" s="512" t="n"/>
      <c r="V32" s="512" t="n"/>
      <c r="W32" s="512" t="n"/>
      <c r="X32" s="512" t="n"/>
      <c r="Y32" s="512" t="n"/>
      <c r="Z32" s="512" t="n"/>
      <c r="AA32" s="512" t="n"/>
      <c r="AB32" s="512" t="n"/>
      <c r="AC32" s="512" t="n"/>
      <c r="AD32" s="512" t="n"/>
      <c r="AE32" s="510" t="n"/>
      <c r="AF32" s="511" t="n"/>
      <c r="AG32" s="512" t="n"/>
      <c r="AH32" s="512" t="n"/>
      <c r="AI32" s="513" t="n"/>
      <c r="AJ32" s="510" t="n"/>
      <c r="AK32" s="513" t="n"/>
      <c r="AL32" s="513" t="n"/>
      <c r="AM32" s="513" t="n"/>
      <c r="AN32" s="513" t="n"/>
      <c r="AO32" s="513" t="n"/>
      <c r="AP32" s="513" t="n"/>
      <c r="AQ32" s="513" t="n"/>
      <c r="AR32" s="513" t="n"/>
      <c r="AS32" s="513" t="n"/>
      <c r="AT32" s="513" t="n"/>
      <c r="AU32" s="510" t="n"/>
      <c r="AV32" s="527" t="n"/>
      <c r="AW32" s="514" t="n"/>
      <c r="AX32" s="514" t="n"/>
      <c r="AY32" s="514" t="n"/>
      <c r="AZ32" s="514" t="n"/>
      <c r="BA32" s="510">
        <f>SUM(AV32:AZ32)</f>
        <v/>
      </c>
      <c r="BB32" s="511" t="n"/>
      <c r="BC32" s="512" t="n"/>
      <c r="BD32" s="512" t="n"/>
      <c r="BE32" s="512" t="n"/>
      <c r="BF32" s="510">
        <f>SUM(BB32:BE32)</f>
        <v/>
      </c>
      <c r="BG32" s="518" t="n"/>
      <c r="BH32" s="519">
        <f>H32+M32+AE32+AJ32+AU32+BA32+BF32</f>
        <v/>
      </c>
      <c r="BI32" s="528">
        <f>IF(E32-BH32&lt;0, BH32-E32, )</f>
        <v/>
      </c>
      <c r="BJ32" s="529">
        <f>IF(E32-BH32&lt;0, ,E32-BH32)</f>
        <v/>
      </c>
      <c r="BK32" s="530" t="n"/>
      <c r="BM32" s="523" t="n"/>
      <c r="BN32" s="523" t="n"/>
      <c r="BO32" s="523" t="n"/>
      <c r="BP32" s="523" t="n"/>
      <c r="BQ32" s="523" t="n"/>
      <c r="BR32" s="523" t="n"/>
      <c r="BS32" s="523" t="n"/>
      <c r="BT32" s="518">
        <f>SUM(BM32:BS32)</f>
        <v/>
      </c>
      <c r="BU32" s="518" t="n"/>
      <c r="BV32" s="523" t="n"/>
      <c r="BW32" s="523" t="n"/>
      <c r="BX32" s="523" t="n"/>
      <c r="BY32" s="523" t="n"/>
      <c r="BZ32" s="523" t="n"/>
      <c r="CA32" s="523" t="n"/>
      <c r="CB32" s="523" t="n"/>
      <c r="CC32" s="518">
        <f>SUM(BV32:CB32)</f>
        <v/>
      </c>
      <c r="CD32" s="518" t="n"/>
      <c r="CE32" s="523" t="n"/>
      <c r="CF32" s="523" t="n"/>
      <c r="CG32" s="523" t="n"/>
      <c r="CH32" s="523" t="n"/>
      <c r="CI32" s="523" t="n"/>
      <c r="CJ32" s="523" t="n"/>
      <c r="CK32" s="523" t="n"/>
      <c r="CL32" s="518">
        <f>SUM(CE32:CK32)</f>
        <v/>
      </c>
      <c r="CN32" s="525">
        <f>+H32-(BM32+BV32+CE32)</f>
        <v/>
      </c>
      <c r="CO32" s="525">
        <f>+M32-(BN32+BW32+CF32)</f>
        <v/>
      </c>
      <c r="CP32" s="525">
        <f>+AE32-(BO32+BX32+CG32)</f>
        <v/>
      </c>
      <c r="CQ32" s="525">
        <f>+AJ32-(BP32+BY32+CH32)</f>
        <v/>
      </c>
      <c r="CR32" s="525">
        <f>+AU32-(BQ32+BZ32+CI32)</f>
        <v/>
      </c>
      <c r="CS32" s="525">
        <f>+BA32-(BR32+CA32+CJ32)</f>
        <v/>
      </c>
      <c r="CT32" s="525">
        <f>+BF32-(BS32+CB32+CK32)</f>
        <v/>
      </c>
      <c r="CU32" s="525">
        <f>BT32+CC32+CL32</f>
        <v/>
      </c>
      <c r="CV32" s="525">
        <f>SUM(CN32:CT32)</f>
        <v/>
      </c>
    </row>
    <row r="33" ht="21" customFormat="1" customHeight="1" s="230">
      <c r="A33" s="454" t="n">
        <v>6941274</v>
      </c>
      <c r="B33" s="286" t="inlineStr">
        <is>
          <t>GGG</t>
        </is>
      </c>
      <c r="C33" s="287" t="inlineStr">
        <is>
          <t>ABRAZADERA ACERO GALV.SIMPLE 3/16" X 1 1/2" P.PASTORAL 48MM / POSTE 152MM DIAM.</t>
        </is>
      </c>
      <c r="D33" s="288" t="n">
        <v>10.584</v>
      </c>
      <c r="E33" s="507" t="n"/>
      <c r="F33" s="526" t="n"/>
      <c r="G33" s="527" t="n"/>
      <c r="H33" s="510" t="n"/>
      <c r="I33" s="511" t="n"/>
      <c r="J33" s="512" t="n"/>
      <c r="K33" s="512" t="n"/>
      <c r="L33" s="513" t="n"/>
      <c r="M33" s="510" t="n"/>
      <c r="N33" s="511" t="n"/>
      <c r="O33" s="512" t="n"/>
      <c r="P33" s="512" t="n"/>
      <c r="Q33" s="512" t="n"/>
      <c r="R33" s="512" t="n"/>
      <c r="S33" s="512" t="n"/>
      <c r="T33" s="512" t="n"/>
      <c r="U33" s="512" t="n"/>
      <c r="V33" s="512" t="n"/>
      <c r="W33" s="512" t="n"/>
      <c r="X33" s="512" t="n"/>
      <c r="Y33" s="512" t="n"/>
      <c r="Z33" s="512" t="n"/>
      <c r="AA33" s="512" t="n"/>
      <c r="AB33" s="512" t="n"/>
      <c r="AC33" s="512" t="n"/>
      <c r="AD33" s="512" t="n"/>
      <c r="AE33" s="510" t="n"/>
      <c r="AF33" s="511" t="n"/>
      <c r="AG33" s="512" t="n"/>
      <c r="AH33" s="512" t="n"/>
      <c r="AI33" s="513" t="n"/>
      <c r="AJ33" s="510" t="n"/>
      <c r="AK33" s="513" t="n"/>
      <c r="AL33" s="513" t="n"/>
      <c r="AM33" s="513" t="n"/>
      <c r="AN33" s="513" t="n"/>
      <c r="AO33" s="513" t="n"/>
      <c r="AP33" s="513" t="n"/>
      <c r="AQ33" s="513" t="n"/>
      <c r="AR33" s="513" t="n"/>
      <c r="AS33" s="513" t="n"/>
      <c r="AT33" s="513" t="n"/>
      <c r="AU33" s="510" t="n"/>
      <c r="AV33" s="527" t="n"/>
      <c r="AW33" s="514" t="n"/>
      <c r="AX33" s="514" t="n"/>
      <c r="AY33" s="514" t="n"/>
      <c r="AZ33" s="514" t="n"/>
      <c r="BA33" s="510">
        <f>SUM(AV33:AZ33)</f>
        <v/>
      </c>
      <c r="BB33" s="511" t="n"/>
      <c r="BC33" s="512" t="n"/>
      <c r="BD33" s="512" t="n"/>
      <c r="BE33" s="512" t="n"/>
      <c r="BF33" s="510">
        <f>SUM(BB33:BE33)</f>
        <v/>
      </c>
      <c r="BG33" s="518" t="n"/>
      <c r="BH33" s="519">
        <f>H33+M33+AE33+AJ33+AU33+BA33+BF33</f>
        <v/>
      </c>
      <c r="BI33" s="528">
        <f>IF(E33-BH33&lt;0, BH33-E33, )</f>
        <v/>
      </c>
      <c r="BJ33" s="529">
        <f>IF(E33-BH33&lt;0, ,E33-BH33)</f>
        <v/>
      </c>
      <c r="BK33" s="530" t="n"/>
      <c r="BM33" s="523" t="n"/>
      <c r="BN33" s="523" t="n"/>
      <c r="BO33" s="523" t="n"/>
      <c r="BP33" s="523" t="n"/>
      <c r="BQ33" s="523" t="n"/>
      <c r="BR33" s="523" t="n"/>
      <c r="BS33" s="523" t="n"/>
      <c r="BT33" s="518">
        <f>SUM(BM33:BS33)</f>
        <v/>
      </c>
      <c r="BU33" s="518" t="n"/>
      <c r="BV33" s="523" t="n"/>
      <c r="BW33" s="523" t="n"/>
      <c r="BX33" s="523" t="n"/>
      <c r="BY33" s="523" t="n"/>
      <c r="BZ33" s="523" t="n"/>
      <c r="CA33" s="523" t="n"/>
      <c r="CB33" s="523" t="n"/>
      <c r="CC33" s="518">
        <f>SUM(BV33:CB33)</f>
        <v/>
      </c>
      <c r="CD33" s="518" t="n"/>
      <c r="CE33" s="523" t="n"/>
      <c r="CF33" s="523" t="n"/>
      <c r="CG33" s="523" t="n"/>
      <c r="CH33" s="523" t="n"/>
      <c r="CI33" s="523" t="n"/>
      <c r="CJ33" s="523" t="n"/>
      <c r="CK33" s="523" t="n"/>
      <c r="CL33" s="518">
        <f>SUM(CE33:CK33)</f>
        <v/>
      </c>
      <c r="CN33" s="525">
        <f>+H33-(BM33+BV33+CE33)</f>
        <v/>
      </c>
      <c r="CO33" s="525">
        <f>+M33-(BN33+BW33+CF33)</f>
        <v/>
      </c>
      <c r="CP33" s="525">
        <f>+AE33-(BO33+BX33+CG33)</f>
        <v/>
      </c>
      <c r="CQ33" s="525">
        <f>+AJ33-(BP33+BY33+CH33)</f>
        <v/>
      </c>
      <c r="CR33" s="525">
        <f>+AU33-(BQ33+BZ33+CI33)</f>
        <v/>
      </c>
      <c r="CS33" s="525">
        <f>+BA33-(BR33+CA33+CJ33)</f>
        <v/>
      </c>
      <c r="CT33" s="525">
        <f>+BF33-(BS33+CB33+CK33)</f>
        <v/>
      </c>
      <c r="CU33" s="525">
        <f>BT33+CC33+CL33</f>
        <v/>
      </c>
      <c r="CV33" s="525">
        <f>SUM(CN33:CT33)</f>
        <v/>
      </c>
    </row>
    <row r="34" ht="21" customFormat="1" customHeight="1" s="230">
      <c r="A34" s="454" t="n">
        <v>1014213</v>
      </c>
      <c r="B34" s="309" t="inlineStr">
        <is>
          <t>GGG</t>
        </is>
      </c>
      <c r="C34" s="287" t="inlineStr">
        <is>
          <t>FLEJE DE ACERO INOXIDABLE TIPO AISI 316 DE 19MM (3/4") ANCHO P.ALTA CORROSION</t>
        </is>
      </c>
      <c r="D34" s="288" t="e">
        <v>#N/A</v>
      </c>
      <c r="E34" s="507" t="n"/>
      <c r="F34" s="526" t="n"/>
      <c r="G34" s="527" t="n"/>
      <c r="H34" s="510" t="n"/>
      <c r="I34" s="511" t="n"/>
      <c r="J34" s="512" t="n"/>
      <c r="K34" s="512" t="n"/>
      <c r="L34" s="513" t="n"/>
      <c r="M34" s="510" t="n"/>
      <c r="N34" s="511" t="n"/>
      <c r="O34" s="512" t="n"/>
      <c r="P34" s="512" t="n"/>
      <c r="Q34" s="512" t="n"/>
      <c r="R34" s="512" t="n"/>
      <c r="S34" s="512" t="n"/>
      <c r="T34" s="512" t="n"/>
      <c r="U34" s="512" t="n"/>
      <c r="V34" s="512" t="n"/>
      <c r="W34" s="512" t="n"/>
      <c r="X34" s="512" t="n"/>
      <c r="Y34" s="512" t="n"/>
      <c r="Z34" s="512" t="n"/>
      <c r="AA34" s="512" t="n"/>
      <c r="AB34" s="512" t="n"/>
      <c r="AC34" s="512" t="n"/>
      <c r="AD34" s="512" t="n"/>
      <c r="AE34" s="510" t="n"/>
      <c r="AF34" s="511" t="n"/>
      <c r="AG34" s="512" t="n"/>
      <c r="AH34" s="512" t="n"/>
      <c r="AI34" s="513" t="n"/>
      <c r="AJ34" s="510" t="n"/>
      <c r="AK34" s="513" t="n"/>
      <c r="AL34" s="513" t="n"/>
      <c r="AM34" s="513" t="n"/>
      <c r="AN34" s="513" t="n"/>
      <c r="AO34" s="513" t="n"/>
      <c r="AP34" s="513" t="n"/>
      <c r="AQ34" s="513" t="n"/>
      <c r="AR34" s="513" t="n"/>
      <c r="AS34" s="513" t="n"/>
      <c r="AT34" s="513" t="n"/>
      <c r="AU34" s="510" t="n"/>
      <c r="AV34" s="527" t="n"/>
      <c r="AW34" s="514" t="n"/>
      <c r="AX34" s="514" t="n"/>
      <c r="AY34" s="514" t="n"/>
      <c r="AZ34" s="514" t="n"/>
      <c r="BA34" s="510">
        <f>SUM(AV34:AZ34)</f>
        <v/>
      </c>
      <c r="BB34" s="511" t="n"/>
      <c r="BC34" s="512" t="n"/>
      <c r="BD34" s="512" t="n"/>
      <c r="BE34" s="512" t="n"/>
      <c r="BF34" s="510">
        <f>SUM(BB34:BE34)</f>
        <v/>
      </c>
      <c r="BG34" s="518" t="n"/>
      <c r="BH34" s="519">
        <f>H34+M34+AE34+AJ34+AU34+BA34+BF34</f>
        <v/>
      </c>
      <c r="BI34" s="528">
        <f>IF(E34-BH34&lt;0, BH34-E34, )</f>
        <v/>
      </c>
      <c r="BJ34" s="529">
        <f>IF(E34-BH34&lt;0, ,E34-BH34)</f>
        <v/>
      </c>
      <c r="BK34" s="530" t="n"/>
      <c r="BM34" s="523" t="n"/>
      <c r="BN34" s="523" t="n"/>
      <c r="BO34" s="523" t="n"/>
      <c r="BP34" s="523" t="n"/>
      <c r="BQ34" s="523" t="n"/>
      <c r="BR34" s="523" t="n"/>
      <c r="BS34" s="523" t="n"/>
      <c r="BT34" s="518">
        <f>SUM(BM34:BS34)</f>
        <v/>
      </c>
      <c r="BU34" s="518" t="n"/>
      <c r="BV34" s="523" t="n"/>
      <c r="BW34" s="523" t="n"/>
      <c r="BX34" s="523" t="n"/>
      <c r="BY34" s="523" t="n"/>
      <c r="BZ34" s="523" t="n"/>
      <c r="CA34" s="523" t="n"/>
      <c r="CB34" s="523" t="n"/>
      <c r="CC34" s="518">
        <f>SUM(BV34:CB34)</f>
        <v/>
      </c>
      <c r="CD34" s="518" t="n"/>
      <c r="CE34" s="523" t="n"/>
      <c r="CF34" s="523" t="n"/>
      <c r="CG34" s="523" t="n"/>
      <c r="CH34" s="523" t="n"/>
      <c r="CI34" s="523" t="n"/>
      <c r="CJ34" s="523" t="n"/>
      <c r="CK34" s="523" t="n"/>
      <c r="CL34" s="518">
        <f>SUM(CE34:CK34)</f>
        <v/>
      </c>
      <c r="CN34" s="525">
        <f>+H34-(BM34+BV34+CE34)</f>
        <v/>
      </c>
      <c r="CO34" s="525">
        <f>+M34-(BN34+BW34+CF34)</f>
        <v/>
      </c>
      <c r="CP34" s="525">
        <f>+AE34-(BO34+BX34+CG34)</f>
        <v/>
      </c>
      <c r="CQ34" s="525">
        <f>+AJ34-(BP34+BY34+CH34)</f>
        <v/>
      </c>
      <c r="CR34" s="525">
        <f>+AU34-(BQ34+BZ34+CI34)</f>
        <v/>
      </c>
      <c r="CS34" s="525">
        <f>+BA34-(BR34+CA34+CJ34)</f>
        <v/>
      </c>
      <c r="CT34" s="525">
        <f>+BF34-(BS34+CB34+CK34)</f>
        <v/>
      </c>
      <c r="CU34" s="525">
        <f>BT34+CC34+CL34</f>
        <v/>
      </c>
      <c r="CV34" s="525">
        <f>SUM(CN34:CT34)</f>
        <v/>
      </c>
    </row>
    <row r="35" ht="21" customFormat="1" customHeight="1" s="230">
      <c r="A35" s="454" t="n">
        <v>1014308</v>
      </c>
      <c r="B35" s="309" t="inlineStr">
        <is>
          <t>GGG</t>
        </is>
      </c>
      <c r="C35" s="287" t="inlineStr">
        <is>
          <t>GRAPA (HEBILLA) AC. INOX. P.FLEJE 19MM. ANCHO</t>
        </is>
      </c>
      <c r="D35" s="288" t="e">
        <v>#N/A</v>
      </c>
      <c r="E35" s="507" t="n"/>
      <c r="F35" s="526" t="n"/>
      <c r="G35" s="527" t="n"/>
      <c r="H35" s="510" t="n"/>
      <c r="I35" s="511" t="n"/>
      <c r="J35" s="512" t="n"/>
      <c r="K35" s="512" t="n"/>
      <c r="L35" s="513" t="n"/>
      <c r="M35" s="510" t="n"/>
      <c r="N35" s="511" t="n"/>
      <c r="O35" s="512" t="n"/>
      <c r="P35" s="512" t="n"/>
      <c r="Q35" s="512" t="n"/>
      <c r="R35" s="512" t="n"/>
      <c r="S35" s="512" t="n"/>
      <c r="T35" s="512" t="n"/>
      <c r="U35" s="512" t="n"/>
      <c r="V35" s="512" t="n"/>
      <c r="W35" s="512" t="n"/>
      <c r="X35" s="512" t="n"/>
      <c r="Y35" s="512" t="n"/>
      <c r="Z35" s="512" t="n"/>
      <c r="AA35" s="512" t="n"/>
      <c r="AB35" s="512" t="n"/>
      <c r="AC35" s="512" t="n"/>
      <c r="AD35" s="512" t="n"/>
      <c r="AE35" s="510" t="n"/>
      <c r="AF35" s="511" t="n"/>
      <c r="AG35" s="512" t="n"/>
      <c r="AH35" s="512" t="n"/>
      <c r="AI35" s="513" t="n"/>
      <c r="AJ35" s="510" t="n"/>
      <c r="AK35" s="513" t="n"/>
      <c r="AL35" s="513" t="n"/>
      <c r="AM35" s="513" t="n"/>
      <c r="AN35" s="513" t="n"/>
      <c r="AO35" s="513" t="n"/>
      <c r="AP35" s="513" t="n"/>
      <c r="AQ35" s="513" t="n"/>
      <c r="AR35" s="513" t="n"/>
      <c r="AS35" s="513" t="n"/>
      <c r="AT35" s="513" t="n"/>
      <c r="AU35" s="510" t="n"/>
      <c r="AV35" s="527" t="n"/>
      <c r="AW35" s="514" t="n"/>
      <c r="AX35" s="514" t="n"/>
      <c r="AY35" s="514" t="n"/>
      <c r="AZ35" s="514" t="n"/>
      <c r="BA35" s="510">
        <f>SUM(AV35:AZ35)</f>
        <v/>
      </c>
      <c r="BB35" s="511" t="n"/>
      <c r="BC35" s="512" t="n"/>
      <c r="BD35" s="512" t="n"/>
      <c r="BE35" s="512" t="n"/>
      <c r="BF35" s="510">
        <f>SUM(BB35:BE35)</f>
        <v/>
      </c>
      <c r="BG35" s="518" t="n"/>
      <c r="BH35" s="519">
        <f>H35+M35+AE35+AJ35+AU35+BA35+BF35</f>
        <v/>
      </c>
      <c r="BI35" s="528">
        <f>IF(E35-BH35&lt;0, BH35-E35, )</f>
        <v/>
      </c>
      <c r="BJ35" s="529">
        <f>IF(E35-BH35&lt;0, ,E35-BH35)</f>
        <v/>
      </c>
      <c r="BK35" s="530" t="n"/>
      <c r="BM35" s="523" t="n"/>
      <c r="BN35" s="523" t="n"/>
      <c r="BO35" s="523" t="n"/>
      <c r="BP35" s="523" t="n"/>
      <c r="BQ35" s="523" t="n"/>
      <c r="BR35" s="523" t="n"/>
      <c r="BS35" s="523" t="n"/>
      <c r="BT35" s="518">
        <f>SUM(BM35:BS35)</f>
        <v/>
      </c>
      <c r="BU35" s="518" t="n"/>
      <c r="BV35" s="523" t="n"/>
      <c r="BW35" s="523" t="n"/>
      <c r="BX35" s="523" t="n"/>
      <c r="BY35" s="523" t="n"/>
      <c r="BZ35" s="523" t="n"/>
      <c r="CA35" s="523" t="n"/>
      <c r="CB35" s="523" t="n"/>
      <c r="CC35" s="518">
        <f>SUM(BV35:CB35)</f>
        <v/>
      </c>
      <c r="CD35" s="518" t="n"/>
      <c r="CE35" s="523" t="n"/>
      <c r="CF35" s="523" t="n"/>
      <c r="CG35" s="523" t="n"/>
      <c r="CH35" s="523" t="n"/>
      <c r="CI35" s="523" t="n"/>
      <c r="CJ35" s="523" t="n"/>
      <c r="CK35" s="523" t="n"/>
      <c r="CL35" s="518">
        <f>SUM(CE35:CK35)</f>
        <v/>
      </c>
      <c r="CN35" s="525">
        <f>+H35-(BM35+BV35+CE35)</f>
        <v/>
      </c>
      <c r="CO35" s="525">
        <f>+M35-(BN35+BW35+CF35)</f>
        <v/>
      </c>
      <c r="CP35" s="525">
        <f>+AE35-(BO35+BX35+CG35)</f>
        <v/>
      </c>
      <c r="CQ35" s="525">
        <f>+AJ35-(BP35+BY35+CH35)</f>
        <v/>
      </c>
      <c r="CR35" s="525">
        <f>+AU35-(BQ35+BZ35+CI35)</f>
        <v/>
      </c>
      <c r="CS35" s="525">
        <f>+BA35-(BR35+CA35+CJ35)</f>
        <v/>
      </c>
      <c r="CT35" s="525">
        <f>+BF35-(BS35+CB35+CK35)</f>
        <v/>
      </c>
      <c r="CU35" s="525">
        <f>BT35+CC35+CL35</f>
        <v/>
      </c>
      <c r="CV35" s="525">
        <f>SUM(CN35:CT35)</f>
        <v/>
      </c>
    </row>
    <row r="36" ht="21" customFormat="1" customHeight="1" s="230">
      <c r="A36" s="453" t="n">
        <v>6933194</v>
      </c>
      <c r="B36" s="309" t="inlineStr">
        <is>
          <t>GGG</t>
        </is>
      </c>
      <c r="C36" s="287" t="inlineStr">
        <is>
          <t>CAJA NO METALICA DE DERIVACION Y ACOMETIDA EN REDES AEREAS DE BAJA TENSION</t>
        </is>
      </c>
      <c r="D36" s="288" t="n">
        <v>99.575</v>
      </c>
      <c r="E36" s="507" t="n"/>
      <c r="F36" s="526" t="n"/>
      <c r="G36" s="527" t="n"/>
      <c r="H36" s="510" t="n"/>
      <c r="I36" s="511" t="n"/>
      <c r="J36" s="512" t="n"/>
      <c r="K36" s="512" t="n"/>
      <c r="L36" s="513" t="n"/>
      <c r="M36" s="510" t="n"/>
      <c r="N36" s="511" t="n"/>
      <c r="O36" s="512" t="n"/>
      <c r="P36" s="512" t="n"/>
      <c r="Q36" s="512" t="n"/>
      <c r="R36" s="512" t="n"/>
      <c r="S36" s="512" t="n"/>
      <c r="T36" s="512" t="n"/>
      <c r="U36" s="512" t="n"/>
      <c r="V36" s="512" t="n"/>
      <c r="W36" s="512" t="n"/>
      <c r="X36" s="512" t="n"/>
      <c r="Y36" s="512" t="n"/>
      <c r="Z36" s="512" t="n"/>
      <c r="AA36" s="512" t="n"/>
      <c r="AB36" s="512" t="n"/>
      <c r="AC36" s="512" t="n"/>
      <c r="AD36" s="512" t="n"/>
      <c r="AE36" s="510" t="n"/>
      <c r="AF36" s="511" t="n"/>
      <c r="AG36" s="512" t="n"/>
      <c r="AH36" s="512" t="n"/>
      <c r="AI36" s="513" t="n"/>
      <c r="AJ36" s="510" t="n"/>
      <c r="AK36" s="513" t="n"/>
      <c r="AL36" s="513" t="n"/>
      <c r="AM36" s="513" t="n"/>
      <c r="AN36" s="513" t="n"/>
      <c r="AO36" s="513" t="n"/>
      <c r="AP36" s="513" t="n"/>
      <c r="AQ36" s="513" t="n"/>
      <c r="AR36" s="513" t="n"/>
      <c r="AS36" s="513" t="n"/>
      <c r="AT36" s="513" t="n"/>
      <c r="AU36" s="510" t="n"/>
      <c r="AV36" s="527" t="n"/>
      <c r="AW36" s="514" t="n"/>
      <c r="AX36" s="514" t="n"/>
      <c r="AY36" s="514" t="n"/>
      <c r="AZ36" s="514" t="n"/>
      <c r="BA36" s="510">
        <f>SUM(AV36:AZ36)</f>
        <v/>
      </c>
      <c r="BB36" s="511" t="n"/>
      <c r="BC36" s="512" t="n"/>
      <c r="BD36" s="512" t="n"/>
      <c r="BE36" s="512" t="n"/>
      <c r="BF36" s="510">
        <f>SUM(BB36:BE36)</f>
        <v/>
      </c>
      <c r="BG36" s="518" t="n"/>
      <c r="BH36" s="519">
        <f>H36+M36+AE36+AJ36+AU36+BA36+BF36</f>
        <v/>
      </c>
      <c r="BI36" s="528">
        <f>IF(E36-BH36&lt;0, BH36-E36, )</f>
        <v/>
      </c>
      <c r="BJ36" s="529">
        <f>IF(E36-BH36&lt;0, ,E36-BH36)</f>
        <v/>
      </c>
      <c r="BK36" s="530" t="n"/>
      <c r="BM36" s="523" t="n"/>
      <c r="BN36" s="523" t="n"/>
      <c r="BO36" s="523" t="n"/>
      <c r="BP36" s="523" t="n"/>
      <c r="BQ36" s="523" t="n"/>
      <c r="BR36" s="523" t="n"/>
      <c r="BS36" s="523" t="n"/>
      <c r="BT36" s="518">
        <f>SUM(BM36:BS36)</f>
        <v/>
      </c>
      <c r="BU36" s="518" t="n"/>
      <c r="BV36" s="523" t="n"/>
      <c r="BW36" s="523" t="n"/>
      <c r="BX36" s="523" t="n"/>
      <c r="BY36" s="523" t="n"/>
      <c r="BZ36" s="523" t="n"/>
      <c r="CA36" s="523" t="n"/>
      <c r="CB36" s="523" t="n"/>
      <c r="CC36" s="518">
        <f>SUM(BV36:CB36)</f>
        <v/>
      </c>
      <c r="CD36" s="518" t="n"/>
      <c r="CE36" s="523" t="n"/>
      <c r="CF36" s="523" t="n"/>
      <c r="CG36" s="523" t="n"/>
      <c r="CH36" s="523" t="n"/>
      <c r="CI36" s="523" t="n"/>
      <c r="CJ36" s="523" t="n"/>
      <c r="CK36" s="523" t="n"/>
      <c r="CL36" s="518">
        <f>SUM(CE36:CK36)</f>
        <v/>
      </c>
      <c r="CN36" s="525">
        <f>+H36-(BM36+BV36+CE36)</f>
        <v/>
      </c>
      <c r="CO36" s="525">
        <f>+M36-(BN36+BW36+CF36)</f>
        <v/>
      </c>
      <c r="CP36" s="525">
        <f>+AE36-(BO36+BX36+CG36)</f>
        <v/>
      </c>
      <c r="CQ36" s="525">
        <f>+AJ36-(BP36+BY36+CH36)</f>
        <v/>
      </c>
      <c r="CR36" s="525">
        <f>+AU36-(BQ36+BZ36+CI36)</f>
        <v/>
      </c>
      <c r="CS36" s="525">
        <f>+BA36-(BR36+CA36+CJ36)</f>
        <v/>
      </c>
      <c r="CT36" s="525">
        <f>+BF36-(BS36+CB36+CK36)</f>
        <v/>
      </c>
      <c r="CU36" s="525">
        <f>BT36+CC36+CL36</f>
        <v/>
      </c>
      <c r="CV36" s="525">
        <f>SUM(CN36:CT36)</f>
        <v/>
      </c>
    </row>
    <row r="37" ht="21" customFormat="1" customHeight="1" s="230">
      <c r="A37" s="453" t="n">
        <v>5023720</v>
      </c>
      <c r="B37" s="309" t="inlineStr">
        <is>
          <t>GGG</t>
        </is>
      </c>
      <c r="C37" s="287" t="inlineStr">
        <is>
          <t>CABLE DE ENERGIA AUTOPORTANTE TIPO CAAI-S VW-1 3X16 MM2 PARA REDES AEREAS B.T.</t>
        </is>
      </c>
      <c r="D37" s="288" t="n">
        <v>3.443</v>
      </c>
      <c r="E37" s="507" t="n"/>
      <c r="F37" s="526" t="n"/>
      <c r="G37" s="527" t="n"/>
      <c r="H37" s="510" t="n"/>
      <c r="I37" s="511" t="n"/>
      <c r="J37" s="512" t="n"/>
      <c r="K37" s="512" t="n"/>
      <c r="L37" s="513" t="n"/>
      <c r="M37" s="510" t="n"/>
      <c r="N37" s="511" t="n"/>
      <c r="O37" s="512" t="n"/>
      <c r="P37" s="512" t="n"/>
      <c r="Q37" s="512" t="n"/>
      <c r="R37" s="512" t="n"/>
      <c r="S37" s="512" t="n"/>
      <c r="T37" s="512" t="n"/>
      <c r="U37" s="512" t="n"/>
      <c r="V37" s="512" t="n"/>
      <c r="W37" s="512" t="n"/>
      <c r="X37" s="512" t="n"/>
      <c r="Y37" s="512" t="n"/>
      <c r="Z37" s="512" t="n"/>
      <c r="AA37" s="512" t="n"/>
      <c r="AB37" s="512" t="n"/>
      <c r="AC37" s="512" t="n"/>
      <c r="AD37" s="512" t="n"/>
      <c r="AE37" s="510" t="n"/>
      <c r="AF37" s="511" t="n"/>
      <c r="AG37" s="512" t="n"/>
      <c r="AH37" s="512" t="n"/>
      <c r="AI37" s="513" t="n"/>
      <c r="AJ37" s="510" t="n"/>
      <c r="AK37" s="513" t="n"/>
      <c r="AL37" s="513" t="n"/>
      <c r="AM37" s="513" t="n"/>
      <c r="AN37" s="513" t="n"/>
      <c r="AO37" s="513" t="n"/>
      <c r="AP37" s="513" t="n"/>
      <c r="AQ37" s="513" t="n"/>
      <c r="AR37" s="513" t="n"/>
      <c r="AS37" s="513" t="n"/>
      <c r="AT37" s="513" t="n"/>
      <c r="AU37" s="510" t="n"/>
      <c r="AV37" s="527" t="n"/>
      <c r="AW37" s="514" t="n"/>
      <c r="AX37" s="514" t="n"/>
      <c r="AY37" s="514" t="n"/>
      <c r="AZ37" s="514" t="n"/>
      <c r="BA37" s="510">
        <f>SUM(AV37:AZ37)</f>
        <v/>
      </c>
      <c r="BB37" s="511" t="n"/>
      <c r="BC37" s="512" t="n"/>
      <c r="BD37" s="512" t="n"/>
      <c r="BE37" s="512" t="n"/>
      <c r="BF37" s="510">
        <f>SUM(BB37:BE37)</f>
        <v/>
      </c>
      <c r="BG37" s="518" t="n"/>
      <c r="BH37" s="519">
        <f>H37+M37+AE37+AJ37+AU37+BA37+BF37</f>
        <v/>
      </c>
      <c r="BI37" s="528">
        <f>IF(E37-BH37&lt;0, BH37-E37, )</f>
        <v/>
      </c>
      <c r="BJ37" s="529">
        <f>IF(E37-BH37&lt;0, ,E37-BH37)</f>
        <v/>
      </c>
      <c r="BK37" s="530" t="n"/>
      <c r="BM37" s="523" t="n"/>
      <c r="BN37" s="523" t="n"/>
      <c r="BO37" s="523" t="n"/>
      <c r="BP37" s="523" t="n"/>
      <c r="BQ37" s="523" t="n"/>
      <c r="BR37" s="523" t="n"/>
      <c r="BS37" s="523" t="n"/>
      <c r="BT37" s="518">
        <f>SUM(BM37:BS37)</f>
        <v/>
      </c>
      <c r="BU37" s="518" t="n"/>
      <c r="BV37" s="523" t="n"/>
      <c r="BW37" s="523" t="n"/>
      <c r="BX37" s="523" t="n"/>
      <c r="BY37" s="523" t="n"/>
      <c r="BZ37" s="523" t="n"/>
      <c r="CA37" s="523" t="n"/>
      <c r="CB37" s="523" t="n"/>
      <c r="CC37" s="518">
        <f>SUM(BV37:CB37)</f>
        <v/>
      </c>
      <c r="CD37" s="518" t="n"/>
      <c r="CE37" s="523" t="n"/>
      <c r="CF37" s="523" t="n"/>
      <c r="CG37" s="523" t="n"/>
      <c r="CH37" s="523" t="n"/>
      <c r="CI37" s="523" t="n"/>
      <c r="CJ37" s="523" t="n"/>
      <c r="CK37" s="523" t="n"/>
      <c r="CL37" s="518">
        <f>SUM(CE37:CK37)</f>
        <v/>
      </c>
      <c r="CN37" s="525">
        <f>+H37-(BM37+BV37+CE37)</f>
        <v/>
      </c>
      <c r="CO37" s="525">
        <f>+M37-(BN37+BW37+CF37)</f>
        <v/>
      </c>
      <c r="CP37" s="525">
        <f>+AE37-(BO37+BX37+CG37)</f>
        <v/>
      </c>
      <c r="CQ37" s="525">
        <f>+AJ37-(BP37+BY37+CH37)</f>
        <v/>
      </c>
      <c r="CR37" s="525">
        <f>+AU37-(BQ37+BZ37+CI37)</f>
        <v/>
      </c>
      <c r="CS37" s="525">
        <f>+BA37-(BR37+CA37+CJ37)</f>
        <v/>
      </c>
      <c r="CT37" s="525">
        <f>+BF37-(BS37+CB37+CK37)</f>
        <v/>
      </c>
      <c r="CU37" s="525">
        <f>BT37+CC37+CL37</f>
        <v/>
      </c>
      <c r="CV37" s="525">
        <f>SUM(CN37:CT37)</f>
        <v/>
      </c>
    </row>
    <row r="38" ht="21" customFormat="1" customHeight="1" s="230">
      <c r="A38" s="453" t="n">
        <v>6941188</v>
      </c>
      <c r="B38" s="309" t="inlineStr">
        <is>
          <t>GGG</t>
        </is>
      </c>
      <c r="C38" s="287" t="inlineStr">
        <is>
          <t>ABRAZADERA POSTE C.A.150MMD.C/GANCHO ACOMET.DOMIC.</t>
        </is>
      </c>
      <c r="D38" s="288" t="n">
        <v>13.995</v>
      </c>
      <c r="E38" s="507" t="n"/>
      <c r="F38" s="526" t="n"/>
      <c r="G38" s="527" t="n"/>
      <c r="H38" s="510" t="n"/>
      <c r="I38" s="511" t="n"/>
      <c r="J38" s="512" t="n"/>
      <c r="K38" s="512" t="n"/>
      <c r="L38" s="513" t="n"/>
      <c r="M38" s="510" t="n"/>
      <c r="N38" s="511" t="n"/>
      <c r="O38" s="512" t="n"/>
      <c r="P38" s="512" t="n"/>
      <c r="Q38" s="512" t="n"/>
      <c r="R38" s="512" t="n"/>
      <c r="S38" s="512" t="n"/>
      <c r="T38" s="512" t="n"/>
      <c r="U38" s="512" t="n"/>
      <c r="V38" s="512" t="n"/>
      <c r="W38" s="512" t="n"/>
      <c r="X38" s="512" t="n"/>
      <c r="Y38" s="512" t="n"/>
      <c r="Z38" s="512" t="n"/>
      <c r="AA38" s="512" t="n"/>
      <c r="AB38" s="512" t="n"/>
      <c r="AC38" s="512" t="n"/>
      <c r="AD38" s="512" t="n"/>
      <c r="AE38" s="510" t="n"/>
      <c r="AF38" s="511" t="n"/>
      <c r="AG38" s="512" t="n"/>
      <c r="AH38" s="512" t="n"/>
      <c r="AI38" s="513" t="n"/>
      <c r="AJ38" s="510" t="n"/>
      <c r="AK38" s="513" t="n"/>
      <c r="AL38" s="513" t="n"/>
      <c r="AM38" s="513" t="n"/>
      <c r="AN38" s="513" t="n"/>
      <c r="AO38" s="513" t="n"/>
      <c r="AP38" s="513" t="n"/>
      <c r="AQ38" s="513" t="n"/>
      <c r="AR38" s="513" t="n"/>
      <c r="AS38" s="513" t="n"/>
      <c r="AT38" s="513" t="n"/>
      <c r="AU38" s="510" t="n"/>
      <c r="AV38" s="527" t="n"/>
      <c r="AW38" s="514" t="n"/>
      <c r="AX38" s="514" t="n"/>
      <c r="AY38" s="514" t="n"/>
      <c r="AZ38" s="514" t="n"/>
      <c r="BA38" s="510">
        <f>SUM(AV38:AZ38)</f>
        <v/>
      </c>
      <c r="BB38" s="511" t="n"/>
      <c r="BC38" s="512" t="n"/>
      <c r="BD38" s="512" t="n"/>
      <c r="BE38" s="512" t="n"/>
      <c r="BF38" s="510">
        <f>SUM(BB38:BE38)</f>
        <v/>
      </c>
      <c r="BG38" s="518" t="n"/>
      <c r="BH38" s="519">
        <f>H38+M38+AE38+AJ38+AU38+BA38+BF38</f>
        <v/>
      </c>
      <c r="BI38" s="528">
        <f>IF(E38-BH38&lt;0, BH38-E38, )</f>
        <v/>
      </c>
      <c r="BJ38" s="529">
        <f>IF(E38-BH38&lt;0, ,E38-BH38)</f>
        <v/>
      </c>
      <c r="BK38" s="530" t="n"/>
      <c r="BM38" s="523" t="n"/>
      <c r="BN38" s="523" t="n"/>
      <c r="BO38" s="523" t="n"/>
      <c r="BP38" s="523" t="n"/>
      <c r="BQ38" s="523" t="n"/>
      <c r="BR38" s="523" t="n"/>
      <c r="BS38" s="523" t="n"/>
      <c r="BT38" s="518">
        <f>SUM(BM38:BS38)</f>
        <v/>
      </c>
      <c r="BU38" s="518" t="n"/>
      <c r="BV38" s="523" t="n"/>
      <c r="BW38" s="523" t="n"/>
      <c r="BX38" s="523" t="n"/>
      <c r="BY38" s="523" t="n"/>
      <c r="BZ38" s="523" t="n"/>
      <c r="CA38" s="523" t="n"/>
      <c r="CB38" s="523" t="n"/>
      <c r="CC38" s="518">
        <f>SUM(BV38:CB38)</f>
        <v/>
      </c>
      <c r="CD38" s="518" t="n"/>
      <c r="CE38" s="523" t="n"/>
      <c r="CF38" s="523" t="n"/>
      <c r="CG38" s="523" t="n"/>
      <c r="CH38" s="523" t="n"/>
      <c r="CI38" s="523" t="n"/>
      <c r="CJ38" s="523" t="n"/>
      <c r="CK38" s="523" t="n"/>
      <c r="CL38" s="518">
        <f>SUM(CE38:CK38)</f>
        <v/>
      </c>
      <c r="CN38" s="525">
        <f>+H38-(BM38+BV38+CE38)</f>
        <v/>
      </c>
      <c r="CO38" s="525">
        <f>+M38-(BN38+BW38+CF38)</f>
        <v/>
      </c>
      <c r="CP38" s="525">
        <f>+AE38-(BO38+BX38+CG38)</f>
        <v/>
      </c>
      <c r="CQ38" s="525">
        <f>+AJ38-(BP38+BY38+CH38)</f>
        <v/>
      </c>
      <c r="CR38" s="525">
        <f>+AU38-(BQ38+BZ38+CI38)</f>
        <v/>
      </c>
      <c r="CS38" s="525">
        <f>+BA38-(BR38+CA38+CJ38)</f>
        <v/>
      </c>
      <c r="CT38" s="525">
        <f>+BF38-(BS38+CB38+CK38)</f>
        <v/>
      </c>
      <c r="CU38" s="525">
        <f>BT38+CC38+CL38</f>
        <v/>
      </c>
      <c r="CV38" s="525">
        <f>SUM(CN38:CT38)</f>
        <v/>
      </c>
    </row>
    <row r="39" ht="21" customFormat="1" customHeight="1" s="230">
      <c r="A39" s="453" t="n">
        <v>5411524</v>
      </c>
      <c r="B39" s="309" t="inlineStr">
        <is>
          <t>GGG</t>
        </is>
      </c>
      <c r="C39" s="287" t="inlineStr">
        <is>
          <t>CONECTOR BIMET.FORRADO TP.PERFORACION / PIERCING P.COND.CU - AL 25 - 70 / 10 - 35MM2 FASE AISL.</t>
        </is>
      </c>
      <c r="D39" s="288" t="n">
        <v>4.961</v>
      </c>
      <c r="E39" s="507" t="n"/>
      <c r="F39" s="526" t="n"/>
      <c r="G39" s="527" t="n"/>
      <c r="H39" s="510" t="n"/>
      <c r="I39" s="511" t="n"/>
      <c r="J39" s="512" t="n"/>
      <c r="K39" s="512" t="n"/>
      <c r="L39" s="513" t="n"/>
      <c r="M39" s="510" t="n"/>
      <c r="N39" s="511" t="n"/>
      <c r="O39" s="512" t="n"/>
      <c r="P39" s="512" t="n"/>
      <c r="Q39" s="512" t="n"/>
      <c r="R39" s="512" t="n"/>
      <c r="S39" s="512" t="n"/>
      <c r="T39" s="512" t="n"/>
      <c r="U39" s="512" t="n"/>
      <c r="V39" s="512" t="n"/>
      <c r="W39" s="512" t="n"/>
      <c r="X39" s="512" t="n"/>
      <c r="Y39" s="512" t="n"/>
      <c r="Z39" s="512" t="n"/>
      <c r="AA39" s="512" t="n"/>
      <c r="AB39" s="512" t="n"/>
      <c r="AC39" s="512" t="n"/>
      <c r="AD39" s="512" t="n"/>
      <c r="AE39" s="510" t="n"/>
      <c r="AF39" s="511" t="n"/>
      <c r="AG39" s="512" t="n"/>
      <c r="AH39" s="512" t="n"/>
      <c r="AI39" s="513" t="n"/>
      <c r="AJ39" s="510" t="n"/>
      <c r="AK39" s="513" t="n"/>
      <c r="AL39" s="513" t="n"/>
      <c r="AM39" s="513" t="n"/>
      <c r="AN39" s="513" t="n"/>
      <c r="AO39" s="513" t="n"/>
      <c r="AP39" s="513" t="n"/>
      <c r="AQ39" s="513" t="n"/>
      <c r="AR39" s="513" t="n"/>
      <c r="AS39" s="513" t="n"/>
      <c r="AT39" s="513" t="n"/>
      <c r="AU39" s="510" t="n"/>
      <c r="AV39" s="527" t="n"/>
      <c r="AW39" s="514" t="n"/>
      <c r="AX39" s="514" t="n"/>
      <c r="AY39" s="514" t="n"/>
      <c r="AZ39" s="514" t="n"/>
      <c r="BA39" s="510">
        <f>SUM(AV39:AZ39)</f>
        <v/>
      </c>
      <c r="BB39" s="511" t="n"/>
      <c r="BC39" s="512" t="n"/>
      <c r="BD39" s="512" t="n"/>
      <c r="BE39" s="512" t="n"/>
      <c r="BF39" s="510">
        <f>SUM(BB39:BE39)</f>
        <v/>
      </c>
      <c r="BG39" s="518" t="n"/>
      <c r="BH39" s="519">
        <f>H39+M39+AE39+AJ39+AU39+BA39+BF39</f>
        <v/>
      </c>
      <c r="BI39" s="528">
        <f>IF(E39-BH39&lt;0, BH39-E39, )</f>
        <v/>
      </c>
      <c r="BJ39" s="529">
        <f>IF(E39-BH39&lt;0, ,E39-BH39)</f>
        <v/>
      </c>
      <c r="BK39" s="530" t="n"/>
      <c r="BM39" s="523" t="n"/>
      <c r="BN39" s="523" t="n"/>
      <c r="BO39" s="523" t="n"/>
      <c r="BP39" s="523" t="n"/>
      <c r="BQ39" s="523" t="n"/>
      <c r="BR39" s="523" t="n"/>
      <c r="BS39" s="523" t="n"/>
      <c r="BT39" s="518">
        <f>SUM(BM39:BS39)</f>
        <v/>
      </c>
      <c r="BU39" s="518" t="n"/>
      <c r="BV39" s="523" t="n"/>
      <c r="BW39" s="523" t="n"/>
      <c r="BX39" s="523" t="n"/>
      <c r="BY39" s="523" t="n"/>
      <c r="BZ39" s="523" t="n"/>
      <c r="CA39" s="523" t="n"/>
      <c r="CB39" s="523" t="n"/>
      <c r="CC39" s="518">
        <f>SUM(BV39:CB39)</f>
        <v/>
      </c>
      <c r="CD39" s="518" t="n"/>
      <c r="CE39" s="523" t="n"/>
      <c r="CF39" s="523" t="n"/>
      <c r="CG39" s="523" t="n"/>
      <c r="CH39" s="523" t="n"/>
      <c r="CI39" s="523" t="n"/>
      <c r="CJ39" s="523" t="n"/>
      <c r="CK39" s="523" t="n"/>
      <c r="CL39" s="518">
        <f>SUM(CE39:CK39)</f>
        <v/>
      </c>
      <c r="CN39" s="525">
        <f>+H39-(BM39+BV39+CE39)</f>
        <v/>
      </c>
      <c r="CO39" s="525">
        <f>+M39-(BN39+BW39+CF39)</f>
        <v/>
      </c>
      <c r="CP39" s="525">
        <f>+AE39-(BO39+BX39+CG39)</f>
        <v/>
      </c>
      <c r="CQ39" s="525">
        <f>+AJ39-(BP39+BY39+CH39)</f>
        <v/>
      </c>
      <c r="CR39" s="525">
        <f>+AU39-(BQ39+BZ39+CI39)</f>
        <v/>
      </c>
      <c r="CS39" s="525">
        <f>+BA39-(BR39+CA39+CJ39)</f>
        <v/>
      </c>
      <c r="CT39" s="525">
        <f>+BF39-(BS39+CB39+CK39)</f>
        <v/>
      </c>
      <c r="CU39" s="525">
        <f>BT39+CC39+CL39</f>
        <v/>
      </c>
      <c r="CV39" s="525">
        <f>SUM(CN39:CT39)</f>
        <v/>
      </c>
    </row>
    <row r="40" ht="21" customFormat="1" customHeight="1" s="230">
      <c r="A40" s="453" t="n">
        <v>5461510</v>
      </c>
      <c r="B40" s="309" t="inlineStr">
        <is>
          <t>GGG</t>
        </is>
      </c>
      <c r="C40" s="287" t="inlineStr">
        <is>
          <t>ARANDELA CUADRADA CURVA DE ACERO GALV. 55 X 5MM C.AGUJERO 17,5MM DIAM</t>
        </is>
      </c>
      <c r="D40" s="288" t="n">
        <v>0.631</v>
      </c>
      <c r="E40" s="507" t="n"/>
      <c r="F40" s="526" t="n"/>
      <c r="G40" s="527" t="n"/>
      <c r="H40" s="510" t="n"/>
      <c r="I40" s="511" t="n"/>
      <c r="J40" s="512" t="n"/>
      <c r="K40" s="512" t="n"/>
      <c r="L40" s="513" t="n"/>
      <c r="M40" s="510" t="n"/>
      <c r="N40" s="511" t="n"/>
      <c r="O40" s="512" t="n"/>
      <c r="P40" s="512" t="n"/>
      <c r="Q40" s="512" t="n"/>
      <c r="R40" s="512" t="n"/>
      <c r="S40" s="512" t="n"/>
      <c r="T40" s="512" t="n"/>
      <c r="U40" s="512" t="n"/>
      <c r="V40" s="512" t="n"/>
      <c r="W40" s="512" t="n"/>
      <c r="X40" s="512" t="n"/>
      <c r="Y40" s="512" t="n"/>
      <c r="Z40" s="512" t="n"/>
      <c r="AA40" s="512" t="n"/>
      <c r="AB40" s="512" t="n"/>
      <c r="AC40" s="512" t="n"/>
      <c r="AD40" s="512" t="n"/>
      <c r="AE40" s="510" t="n"/>
      <c r="AF40" s="511" t="n"/>
      <c r="AG40" s="512" t="n"/>
      <c r="AH40" s="512" t="n"/>
      <c r="AI40" s="513" t="n"/>
      <c r="AJ40" s="510" t="n"/>
      <c r="AK40" s="513" t="n"/>
      <c r="AL40" s="513" t="n"/>
      <c r="AM40" s="513" t="n"/>
      <c r="AN40" s="513" t="n"/>
      <c r="AO40" s="513" t="n"/>
      <c r="AP40" s="513" t="n"/>
      <c r="AQ40" s="513" t="n"/>
      <c r="AR40" s="513" t="n"/>
      <c r="AS40" s="513" t="n"/>
      <c r="AT40" s="513" t="n"/>
      <c r="AU40" s="510" t="n"/>
      <c r="AV40" s="527" t="n"/>
      <c r="AW40" s="514" t="n"/>
      <c r="AX40" s="514" t="n"/>
      <c r="AY40" s="514" t="n"/>
      <c r="AZ40" s="514" t="n"/>
      <c r="BA40" s="510">
        <f>SUM(AV40:AZ40)</f>
        <v/>
      </c>
      <c r="BB40" s="511" t="n"/>
      <c r="BC40" s="512" t="n"/>
      <c r="BD40" s="512" t="n"/>
      <c r="BE40" s="512" t="n"/>
      <c r="BF40" s="510">
        <f>SUM(BB40:BE40)</f>
        <v/>
      </c>
      <c r="BG40" s="518" t="n"/>
      <c r="BH40" s="519">
        <f>H40+M40+AE40+AJ40+AU40+BA40+BF40</f>
        <v/>
      </c>
      <c r="BI40" s="528">
        <f>IF(E40-BH40&lt;0, BH40-E40, )</f>
        <v/>
      </c>
      <c r="BJ40" s="529">
        <f>IF(E40-BH40&lt;0, ,E40-BH40)</f>
        <v/>
      </c>
      <c r="BK40" s="530" t="n"/>
      <c r="BM40" s="523" t="n"/>
      <c r="BN40" s="523" t="n"/>
      <c r="BO40" s="523" t="n"/>
      <c r="BP40" s="523" t="n"/>
      <c r="BQ40" s="523" t="n"/>
      <c r="BR40" s="523" t="n"/>
      <c r="BS40" s="523" t="n"/>
      <c r="BT40" s="518">
        <f>SUM(BM40:BS40)</f>
        <v/>
      </c>
      <c r="BU40" s="518" t="n"/>
      <c r="BV40" s="523" t="n"/>
      <c r="BW40" s="523" t="n"/>
      <c r="BX40" s="523" t="n"/>
      <c r="BY40" s="523" t="n"/>
      <c r="BZ40" s="523" t="n"/>
      <c r="CA40" s="523" t="n"/>
      <c r="CB40" s="523" t="n"/>
      <c r="CC40" s="518">
        <f>SUM(BV40:CB40)</f>
        <v/>
      </c>
      <c r="CD40" s="518" t="n"/>
      <c r="CE40" s="523" t="n"/>
      <c r="CF40" s="523" t="n"/>
      <c r="CG40" s="523" t="n"/>
      <c r="CH40" s="523" t="n"/>
      <c r="CI40" s="523" t="n"/>
      <c r="CJ40" s="523" t="n"/>
      <c r="CK40" s="523" t="n"/>
      <c r="CL40" s="518">
        <f>SUM(CE40:CK40)</f>
        <v/>
      </c>
      <c r="CN40" s="525">
        <f>+H40-(BM40+BV40+CE40)</f>
        <v/>
      </c>
      <c r="CO40" s="525">
        <f>+M40-(BN40+BW40+CF40)</f>
        <v/>
      </c>
      <c r="CP40" s="525">
        <f>+AE40-(BO40+BX40+CG40)</f>
        <v/>
      </c>
      <c r="CQ40" s="525">
        <f>+AJ40-(BP40+BY40+CH40)</f>
        <v/>
      </c>
      <c r="CR40" s="525">
        <f>+AU40-(BQ40+BZ40+CI40)</f>
        <v/>
      </c>
      <c r="CS40" s="525">
        <f>+BA40-(BR40+CA40+CJ40)</f>
        <v/>
      </c>
      <c r="CT40" s="525">
        <f>+BF40-(BS40+CB40+CK40)</f>
        <v/>
      </c>
      <c r="CU40" s="525">
        <f>BT40+CC40+CL40</f>
        <v/>
      </c>
      <c r="CV40" s="525">
        <f>SUM(CN40:CT40)</f>
        <v/>
      </c>
    </row>
    <row r="41" ht="21" customFormat="1" customHeight="1" s="230">
      <c r="A41" s="453" t="n">
        <v>5464210</v>
      </c>
      <c r="B41" s="309" t="inlineStr">
        <is>
          <t>GGG</t>
        </is>
      </c>
      <c r="C41" s="287" t="inlineStr">
        <is>
          <t>PERNO CON OJAL DE ACERO GALV. 5/8" X 10", ROSCA 6" C.ACCESORIOS</t>
        </is>
      </c>
      <c r="D41" s="288" t="n">
        <v>6.011</v>
      </c>
      <c r="E41" s="507" t="n"/>
      <c r="F41" s="526" t="n"/>
      <c r="G41" s="527" t="n"/>
      <c r="H41" s="510" t="n"/>
      <c r="I41" s="511" t="n"/>
      <c r="J41" s="512" t="n"/>
      <c r="K41" s="512" t="n"/>
      <c r="L41" s="513" t="n"/>
      <c r="M41" s="510" t="n"/>
      <c r="N41" s="511" t="n"/>
      <c r="O41" s="512" t="n"/>
      <c r="P41" s="512" t="n"/>
      <c r="Q41" s="512" t="n"/>
      <c r="R41" s="512" t="n"/>
      <c r="S41" s="512" t="n"/>
      <c r="T41" s="512" t="n"/>
      <c r="U41" s="512" t="n"/>
      <c r="V41" s="512" t="n"/>
      <c r="W41" s="512" t="n"/>
      <c r="X41" s="512" t="n"/>
      <c r="Y41" s="512" t="n"/>
      <c r="Z41" s="512" t="n"/>
      <c r="AA41" s="512" t="n"/>
      <c r="AB41" s="512" t="n"/>
      <c r="AC41" s="512" t="n"/>
      <c r="AD41" s="512" t="n"/>
      <c r="AE41" s="510" t="n"/>
      <c r="AF41" s="511" t="n"/>
      <c r="AG41" s="512" t="n"/>
      <c r="AH41" s="512" t="n"/>
      <c r="AI41" s="513" t="n"/>
      <c r="AJ41" s="510" t="n"/>
      <c r="AK41" s="513" t="n"/>
      <c r="AL41" s="513" t="n"/>
      <c r="AM41" s="513" t="n"/>
      <c r="AN41" s="513" t="n"/>
      <c r="AO41" s="513" t="n"/>
      <c r="AP41" s="513" t="n"/>
      <c r="AQ41" s="513" t="n"/>
      <c r="AR41" s="513" t="n"/>
      <c r="AS41" s="513" t="n"/>
      <c r="AT41" s="513" t="n"/>
      <c r="AU41" s="510" t="n"/>
      <c r="AV41" s="527" t="n"/>
      <c r="AW41" s="514" t="n"/>
      <c r="AX41" s="514" t="n"/>
      <c r="AY41" s="514" t="n"/>
      <c r="AZ41" s="514" t="n"/>
      <c r="BA41" s="510">
        <f>SUM(AV41:AZ41)</f>
        <v/>
      </c>
      <c r="BB41" s="511" t="n"/>
      <c r="BC41" s="512" t="n"/>
      <c r="BD41" s="512" t="n"/>
      <c r="BE41" s="512" t="n"/>
      <c r="BF41" s="510">
        <f>SUM(BB41:BE41)</f>
        <v/>
      </c>
      <c r="BG41" s="518" t="n"/>
      <c r="BH41" s="519">
        <f>H41+M41+AE41+AJ41+AU41+BA41+BF41</f>
        <v/>
      </c>
      <c r="BI41" s="528">
        <f>IF(E41-BH41&lt;0, BH41-E41, )</f>
        <v/>
      </c>
      <c r="BJ41" s="529">
        <f>IF(E41-BH41&lt;0, ,E41-BH41)</f>
        <v/>
      </c>
      <c r="BK41" s="530" t="n"/>
      <c r="BM41" s="523" t="n"/>
      <c r="BN41" s="523" t="n"/>
      <c r="BO41" s="523" t="n"/>
      <c r="BP41" s="523" t="n"/>
      <c r="BQ41" s="523" t="n"/>
      <c r="BR41" s="523" t="n"/>
      <c r="BS41" s="523" t="n"/>
      <c r="BT41" s="518">
        <f>SUM(BM41:BS41)</f>
        <v/>
      </c>
      <c r="BU41" s="518" t="n"/>
      <c r="BV41" s="523" t="n"/>
      <c r="BW41" s="523" t="n"/>
      <c r="BX41" s="523" t="n"/>
      <c r="BY41" s="523" t="n"/>
      <c r="BZ41" s="523" t="n"/>
      <c r="CA41" s="523" t="n"/>
      <c r="CB41" s="523" t="n"/>
      <c r="CC41" s="518">
        <f>SUM(BV41:CB41)</f>
        <v/>
      </c>
      <c r="CD41" s="518" t="n"/>
      <c r="CE41" s="523" t="n"/>
      <c r="CF41" s="523" t="n"/>
      <c r="CG41" s="523" t="n"/>
      <c r="CH41" s="523" t="n"/>
      <c r="CI41" s="523" t="n"/>
      <c r="CJ41" s="523" t="n"/>
      <c r="CK41" s="523" t="n"/>
      <c r="CL41" s="518">
        <f>SUM(CE41:CK41)</f>
        <v/>
      </c>
      <c r="CN41" s="525">
        <f>+H41-(BM41+BV41+CE41)</f>
        <v/>
      </c>
      <c r="CO41" s="525">
        <f>+M41-(BN41+BW41+CF41)</f>
        <v/>
      </c>
      <c r="CP41" s="525">
        <f>+AE41-(BO41+BX41+CG41)</f>
        <v/>
      </c>
      <c r="CQ41" s="525">
        <f>+AJ41-(BP41+BY41+CH41)</f>
        <v/>
      </c>
      <c r="CR41" s="525">
        <f>+AU41-(BQ41+BZ41+CI41)</f>
        <v/>
      </c>
      <c r="CS41" s="525">
        <f>+BA41-(BR41+CA41+CJ41)</f>
        <v/>
      </c>
      <c r="CT41" s="525">
        <f>+BF41-(BS41+CB41+CK41)</f>
        <v/>
      </c>
      <c r="CU41" s="525">
        <f>BT41+CC41+CL41</f>
        <v/>
      </c>
      <c r="CV41" s="525">
        <f>SUM(CN41:CT41)</f>
        <v/>
      </c>
    </row>
    <row r="42" ht="21" customFormat="1" customHeight="1" s="230">
      <c r="A42" s="453" t="n">
        <v>5016361</v>
      </c>
      <c r="B42" s="309" t="inlineStr">
        <is>
          <t>GGG</t>
        </is>
      </c>
      <c r="C42" s="287" t="inlineStr">
        <is>
          <t>CABLE AO.GO.TIPO "B" DE 5/16".5080KG.MANO IZQ.7 HILOS.P.RETENIDA</t>
        </is>
      </c>
      <c r="D42" s="288" t="n">
        <v>1.92</v>
      </c>
      <c r="E42" s="507" t="n"/>
      <c r="F42" s="526" t="n"/>
      <c r="G42" s="527" t="n"/>
      <c r="H42" s="510" t="n"/>
      <c r="I42" s="511" t="n"/>
      <c r="J42" s="512" t="n"/>
      <c r="K42" s="512" t="n"/>
      <c r="L42" s="513" t="n"/>
      <c r="M42" s="510" t="n"/>
      <c r="N42" s="511" t="n"/>
      <c r="O42" s="512" t="n"/>
      <c r="P42" s="512" t="n"/>
      <c r="Q42" s="512" t="n"/>
      <c r="R42" s="512" t="n"/>
      <c r="S42" s="512" t="n"/>
      <c r="T42" s="512" t="n"/>
      <c r="U42" s="512" t="n"/>
      <c r="V42" s="512" t="n"/>
      <c r="W42" s="512" t="n"/>
      <c r="X42" s="512" t="n"/>
      <c r="Y42" s="512" t="n"/>
      <c r="Z42" s="512" t="n"/>
      <c r="AA42" s="512" t="n"/>
      <c r="AB42" s="512" t="n"/>
      <c r="AC42" s="512" t="n"/>
      <c r="AD42" s="512" t="n"/>
      <c r="AE42" s="510" t="n"/>
      <c r="AF42" s="511" t="n"/>
      <c r="AG42" s="512" t="n"/>
      <c r="AH42" s="512" t="n"/>
      <c r="AI42" s="513" t="n"/>
      <c r="AJ42" s="510" t="n"/>
      <c r="AK42" s="513" t="n"/>
      <c r="AL42" s="513" t="n"/>
      <c r="AM42" s="513" t="n"/>
      <c r="AN42" s="513" t="n"/>
      <c r="AO42" s="513" t="n"/>
      <c r="AP42" s="513" t="n"/>
      <c r="AQ42" s="513" t="n"/>
      <c r="AR42" s="513" t="n"/>
      <c r="AS42" s="513" t="n"/>
      <c r="AT42" s="513" t="n"/>
      <c r="AU42" s="510" t="n"/>
      <c r="AV42" s="527" t="n"/>
      <c r="AW42" s="514" t="n"/>
      <c r="AX42" s="514" t="n"/>
      <c r="AY42" s="514" t="n"/>
      <c r="AZ42" s="514" t="n"/>
      <c r="BA42" s="510">
        <f>SUM(AV42:AZ42)</f>
        <v/>
      </c>
      <c r="BB42" s="511" t="n"/>
      <c r="BC42" s="512" t="n"/>
      <c r="BD42" s="512" t="n"/>
      <c r="BE42" s="512" t="n"/>
      <c r="BF42" s="510">
        <f>SUM(BB42:BE42)</f>
        <v/>
      </c>
      <c r="BG42" s="518" t="n"/>
      <c r="BH42" s="519">
        <f>H42+M42+AE42+AJ42+AU42+BA42+BF42</f>
        <v/>
      </c>
      <c r="BI42" s="528">
        <f>IF(E42-BH42&lt;0, BH42-E42, )</f>
        <v/>
      </c>
      <c r="BJ42" s="529">
        <f>IF(E42-BH42&lt;0, ,E42-BH42)</f>
        <v/>
      </c>
      <c r="BK42" s="530" t="n"/>
      <c r="BM42" s="523" t="n"/>
      <c r="BN42" s="523" t="n"/>
      <c r="BO42" s="523" t="n"/>
      <c r="BP42" s="523" t="n"/>
      <c r="BQ42" s="523" t="n"/>
      <c r="BR42" s="523" t="n"/>
      <c r="BS42" s="523" t="n"/>
      <c r="BT42" s="518">
        <f>SUM(BM42:BS42)</f>
        <v/>
      </c>
      <c r="BU42" s="518" t="n"/>
      <c r="BV42" s="523" t="n"/>
      <c r="BW42" s="523" t="n"/>
      <c r="BX42" s="523" t="n"/>
      <c r="BY42" s="523" t="n"/>
      <c r="BZ42" s="523" t="n"/>
      <c r="CA42" s="523" t="n"/>
      <c r="CB42" s="523" t="n"/>
      <c r="CC42" s="518">
        <f>SUM(BV42:CB42)</f>
        <v/>
      </c>
      <c r="CD42" s="518" t="n"/>
      <c r="CE42" s="523" t="n"/>
      <c r="CF42" s="523" t="n"/>
      <c r="CG42" s="523" t="n"/>
      <c r="CH42" s="523" t="n"/>
      <c r="CI42" s="523" t="n"/>
      <c r="CJ42" s="523" t="n"/>
      <c r="CK42" s="523" t="n"/>
      <c r="CL42" s="518">
        <f>SUM(CE42:CK42)</f>
        <v/>
      </c>
      <c r="CN42" s="525">
        <f>+H42-(BM42+BV42+CE42)</f>
        <v/>
      </c>
      <c r="CO42" s="525">
        <f>+M42-(BN42+BW42+CF42)</f>
        <v/>
      </c>
      <c r="CP42" s="525">
        <f>+AE42-(BO42+BX42+CG42)</f>
        <v/>
      </c>
      <c r="CQ42" s="525">
        <f>+AJ42-(BP42+BY42+CH42)</f>
        <v/>
      </c>
      <c r="CR42" s="525">
        <f>+AU42-(BQ42+BZ42+CI42)</f>
        <v/>
      </c>
      <c r="CS42" s="525">
        <f>+BA42-(BR42+CA42+CJ42)</f>
        <v/>
      </c>
      <c r="CT42" s="525">
        <f>+BF42-(BS42+CB42+CK42)</f>
        <v/>
      </c>
      <c r="CU42" s="525">
        <f>BT42+CC42+CL42</f>
        <v/>
      </c>
      <c r="CV42" s="525">
        <f>SUM(CN42:CT42)</f>
        <v/>
      </c>
    </row>
    <row r="43" ht="21" customFormat="1" customHeight="1" s="230">
      <c r="A43" s="453" t="n">
        <v>5419120</v>
      </c>
      <c r="B43" s="309" t="inlineStr">
        <is>
          <t>GGG</t>
        </is>
      </c>
      <c r="C43" s="287" t="inlineStr">
        <is>
          <t>AMARRE PREFORMADO P.SUJECION CABLE DE VIENTO DE ACERO GALV. 5/16" DIAM. CLASE C</t>
        </is>
      </c>
      <c r="D43" s="288" t="n">
        <v>6.521</v>
      </c>
      <c r="E43" s="507" t="n"/>
      <c r="F43" s="526" t="n"/>
      <c r="G43" s="527" t="n"/>
      <c r="H43" s="510" t="n"/>
      <c r="I43" s="511" t="n"/>
      <c r="J43" s="512" t="n"/>
      <c r="K43" s="512" t="n"/>
      <c r="L43" s="513" t="n"/>
      <c r="M43" s="510" t="n"/>
      <c r="N43" s="511" t="n"/>
      <c r="O43" s="512" t="n"/>
      <c r="P43" s="512" t="n"/>
      <c r="Q43" s="512" t="n"/>
      <c r="R43" s="512" t="n"/>
      <c r="S43" s="512" t="n"/>
      <c r="T43" s="512" t="n"/>
      <c r="U43" s="512" t="n"/>
      <c r="V43" s="512" t="n"/>
      <c r="W43" s="512" t="n"/>
      <c r="X43" s="512" t="n"/>
      <c r="Y43" s="512" t="n"/>
      <c r="Z43" s="512" t="n"/>
      <c r="AA43" s="512" t="n"/>
      <c r="AB43" s="512" t="n"/>
      <c r="AC43" s="512" t="n"/>
      <c r="AD43" s="512" t="n"/>
      <c r="AE43" s="510" t="n"/>
      <c r="AF43" s="511" t="n"/>
      <c r="AG43" s="512" t="n"/>
      <c r="AH43" s="512" t="n"/>
      <c r="AI43" s="513" t="n"/>
      <c r="AJ43" s="510" t="n"/>
      <c r="AK43" s="513" t="n"/>
      <c r="AL43" s="513" t="n"/>
      <c r="AM43" s="513" t="n"/>
      <c r="AN43" s="513" t="n"/>
      <c r="AO43" s="513" t="n"/>
      <c r="AP43" s="513" t="n"/>
      <c r="AQ43" s="513" t="n"/>
      <c r="AR43" s="513" t="n"/>
      <c r="AS43" s="513" t="n"/>
      <c r="AT43" s="513" t="n"/>
      <c r="AU43" s="510" t="n"/>
      <c r="AV43" s="527" t="n"/>
      <c r="AW43" s="514" t="n"/>
      <c r="AX43" s="514" t="n"/>
      <c r="AY43" s="514" t="n"/>
      <c r="AZ43" s="514" t="n"/>
      <c r="BA43" s="510">
        <f>SUM(AV43:AZ43)</f>
        <v/>
      </c>
      <c r="BB43" s="511" t="n"/>
      <c r="BC43" s="512" t="n"/>
      <c r="BD43" s="512" t="n"/>
      <c r="BE43" s="512" t="n"/>
      <c r="BF43" s="510">
        <f>SUM(BB43:BE43)</f>
        <v/>
      </c>
      <c r="BG43" s="518" t="n"/>
      <c r="BH43" s="519">
        <f>H43+M43+AE43+AJ43+AU43+BA43+BF43</f>
        <v/>
      </c>
      <c r="BI43" s="528">
        <f>IF(E43-BH43&lt;0, BH43-E43, )</f>
        <v/>
      </c>
      <c r="BJ43" s="529">
        <f>IF(E43-BH43&lt;0, ,E43-BH43)</f>
        <v/>
      </c>
      <c r="BK43" s="530" t="n"/>
      <c r="BM43" s="523" t="n"/>
      <c r="BN43" s="523" t="n"/>
      <c r="BO43" s="523" t="n"/>
      <c r="BP43" s="523" t="n"/>
      <c r="BQ43" s="523" t="n"/>
      <c r="BR43" s="523" t="n"/>
      <c r="BS43" s="523" t="n"/>
      <c r="BT43" s="518">
        <f>SUM(BM43:BS43)</f>
        <v/>
      </c>
      <c r="BU43" s="518" t="n"/>
      <c r="BV43" s="523" t="n"/>
      <c r="BW43" s="523" t="n"/>
      <c r="BX43" s="523" t="n"/>
      <c r="BY43" s="523" t="n"/>
      <c r="BZ43" s="523" t="n"/>
      <c r="CA43" s="523" t="n"/>
      <c r="CB43" s="523" t="n"/>
      <c r="CC43" s="518">
        <f>SUM(BV43:CB43)</f>
        <v/>
      </c>
      <c r="CD43" s="518" t="n"/>
      <c r="CE43" s="523" t="n"/>
      <c r="CF43" s="523" t="n"/>
      <c r="CG43" s="523" t="n"/>
      <c r="CH43" s="523" t="n"/>
      <c r="CI43" s="523" t="n"/>
      <c r="CJ43" s="523" t="n"/>
      <c r="CK43" s="523" t="n"/>
      <c r="CL43" s="518">
        <f>SUM(CE43:CK43)</f>
        <v/>
      </c>
      <c r="CN43" s="525">
        <f>+H43-(BM43+BV43+CE43)</f>
        <v/>
      </c>
      <c r="CO43" s="525">
        <f>+M43-(BN43+BW43+CF43)</f>
        <v/>
      </c>
      <c r="CP43" s="525">
        <f>+AE43-(BO43+BX43+CG43)</f>
        <v/>
      </c>
      <c r="CQ43" s="525">
        <f>+AJ43-(BP43+BY43+CH43)</f>
        <v/>
      </c>
      <c r="CR43" s="525">
        <f>+AU43-(BQ43+BZ43+CI43)</f>
        <v/>
      </c>
      <c r="CS43" s="525">
        <f>+BA43-(BR43+CA43+CJ43)</f>
        <v/>
      </c>
      <c r="CT43" s="525">
        <f>+BF43-(BS43+CB43+CK43)</f>
        <v/>
      </c>
      <c r="CU43" s="525">
        <f>BT43+CC43+CL43</f>
        <v/>
      </c>
      <c r="CV43" s="525">
        <f>SUM(CN43:CT43)</f>
        <v/>
      </c>
    </row>
    <row r="44" ht="21" customFormat="1" customHeight="1" s="230">
      <c r="A44" s="453" t="n">
        <v>5217631</v>
      </c>
      <c r="B44" s="309" t="inlineStr">
        <is>
          <t>GGG</t>
        </is>
      </c>
      <c r="C44" s="287" t="inlineStr">
        <is>
          <t>AISLADOR DE TENSION, PORCELANA, CLASE 54-2  P.VIENTO</t>
        </is>
      </c>
      <c r="D44" s="288" t="n">
        <v>5.934</v>
      </c>
      <c r="E44" s="507" t="n"/>
      <c r="F44" s="526" t="n"/>
      <c r="G44" s="527" t="n"/>
      <c r="H44" s="510" t="n"/>
      <c r="I44" s="511" t="n"/>
      <c r="J44" s="512" t="n"/>
      <c r="K44" s="512" t="n"/>
      <c r="L44" s="513" t="n"/>
      <c r="M44" s="510" t="n"/>
      <c r="N44" s="511" t="n"/>
      <c r="O44" s="512" t="n"/>
      <c r="P44" s="512" t="n"/>
      <c r="Q44" s="512" t="n"/>
      <c r="R44" s="512" t="n"/>
      <c r="S44" s="512" t="n"/>
      <c r="T44" s="512" t="n"/>
      <c r="U44" s="512" t="n"/>
      <c r="V44" s="512" t="n"/>
      <c r="W44" s="512" t="n"/>
      <c r="X44" s="512" t="n"/>
      <c r="Y44" s="512" t="n"/>
      <c r="Z44" s="512" t="n"/>
      <c r="AA44" s="512" t="n"/>
      <c r="AB44" s="512" t="n"/>
      <c r="AC44" s="512" t="n"/>
      <c r="AD44" s="512" t="n"/>
      <c r="AE44" s="510" t="n"/>
      <c r="AF44" s="511" t="n"/>
      <c r="AG44" s="512" t="n"/>
      <c r="AH44" s="512" t="n"/>
      <c r="AI44" s="513" t="n"/>
      <c r="AJ44" s="510" t="n"/>
      <c r="AK44" s="513" t="n"/>
      <c r="AL44" s="513" t="n"/>
      <c r="AM44" s="513" t="n"/>
      <c r="AN44" s="513" t="n"/>
      <c r="AO44" s="513" t="n"/>
      <c r="AP44" s="513" t="n"/>
      <c r="AQ44" s="513" t="n"/>
      <c r="AR44" s="513" t="n"/>
      <c r="AS44" s="513" t="n"/>
      <c r="AT44" s="513" t="n"/>
      <c r="AU44" s="510" t="n"/>
      <c r="AV44" s="527" t="n"/>
      <c r="AW44" s="514" t="n"/>
      <c r="AX44" s="514" t="n"/>
      <c r="AY44" s="514" t="n"/>
      <c r="AZ44" s="514" t="n"/>
      <c r="BA44" s="510">
        <f>SUM(AV44:AZ44)</f>
        <v/>
      </c>
      <c r="BB44" s="511" t="n"/>
      <c r="BC44" s="512" t="n"/>
      <c r="BD44" s="512" t="n"/>
      <c r="BE44" s="512" t="n"/>
      <c r="BF44" s="510">
        <f>SUM(BB44:BE44)</f>
        <v/>
      </c>
      <c r="BG44" s="518" t="n"/>
      <c r="BH44" s="519">
        <f>H44+M44+AE44+AJ44+AU44+BA44+BF44</f>
        <v/>
      </c>
      <c r="BI44" s="528">
        <f>IF(E44-BH44&lt;0, BH44-E44, )</f>
        <v/>
      </c>
      <c r="BJ44" s="529">
        <f>IF(E44-BH44&lt;0, ,E44-BH44)</f>
        <v/>
      </c>
      <c r="BK44" s="530" t="n"/>
      <c r="BM44" s="523" t="n"/>
      <c r="BN44" s="523" t="n"/>
      <c r="BO44" s="523" t="n"/>
      <c r="BP44" s="523" t="n"/>
      <c r="BQ44" s="523" t="n"/>
      <c r="BR44" s="523" t="n"/>
      <c r="BS44" s="523" t="n"/>
      <c r="BT44" s="518">
        <f>SUM(BM44:BS44)</f>
        <v/>
      </c>
      <c r="BU44" s="518" t="n"/>
      <c r="BV44" s="523" t="n"/>
      <c r="BW44" s="523" t="n"/>
      <c r="BX44" s="523" t="n"/>
      <c r="BY44" s="523" t="n"/>
      <c r="BZ44" s="523" t="n"/>
      <c r="CA44" s="523" t="n"/>
      <c r="CB44" s="523" t="n"/>
      <c r="CC44" s="518">
        <f>SUM(BV44:CB44)</f>
        <v/>
      </c>
      <c r="CD44" s="518" t="n"/>
      <c r="CE44" s="523" t="n"/>
      <c r="CF44" s="523" t="n"/>
      <c r="CG44" s="523" t="n"/>
      <c r="CH44" s="523" t="n"/>
      <c r="CI44" s="523" t="n"/>
      <c r="CJ44" s="523" t="n"/>
      <c r="CK44" s="523" t="n"/>
      <c r="CL44" s="518">
        <f>SUM(CE44:CK44)</f>
        <v/>
      </c>
      <c r="CN44" s="525">
        <f>+H44-(BM44+BV44+CE44)</f>
        <v/>
      </c>
      <c r="CO44" s="525">
        <f>+M44-(BN44+BW44+CF44)</f>
        <v/>
      </c>
      <c r="CP44" s="525">
        <f>+AE44-(BO44+BX44+CG44)</f>
        <v/>
      </c>
      <c r="CQ44" s="525">
        <f>+AJ44-(BP44+BY44+CH44)</f>
        <v/>
      </c>
      <c r="CR44" s="525">
        <f>+AU44-(BQ44+BZ44+CI44)</f>
        <v/>
      </c>
      <c r="CS44" s="525">
        <f>+BA44-(BR44+CA44+CJ44)</f>
        <v/>
      </c>
      <c r="CT44" s="525">
        <f>+BF44-(BS44+CB44+CK44)</f>
        <v/>
      </c>
      <c r="CU44" s="525">
        <f>BT44+CC44+CL44</f>
        <v/>
      </c>
      <c r="CV44" s="525">
        <f>SUM(CN44:CT44)</f>
        <v/>
      </c>
    </row>
    <row r="45" ht="21" customFormat="1" customHeight="1" s="230">
      <c r="A45" s="453" t="n">
        <v>5467804</v>
      </c>
      <c r="B45" s="309" t="inlineStr">
        <is>
          <t>GGG</t>
        </is>
      </c>
      <c r="C45" s="287" t="inlineStr">
        <is>
          <t>BRAZO DE APOYO TP.VIOLIN DE ACERO GALV. 2" X 875MM C.ACCESORIOS</t>
        </is>
      </c>
      <c r="D45" s="288" t="n">
        <v>29.311</v>
      </c>
      <c r="E45" s="507" t="n"/>
      <c r="F45" s="526" t="n"/>
      <c r="G45" s="527" t="n"/>
      <c r="H45" s="510" t="n"/>
      <c r="I45" s="511" t="n"/>
      <c r="J45" s="512" t="n"/>
      <c r="K45" s="512" t="n"/>
      <c r="L45" s="513" t="n"/>
      <c r="M45" s="510" t="n"/>
      <c r="N45" s="511" t="n"/>
      <c r="O45" s="512" t="n"/>
      <c r="P45" s="512" t="n"/>
      <c r="Q45" s="512" t="n"/>
      <c r="R45" s="512" t="n"/>
      <c r="S45" s="512" t="n"/>
      <c r="T45" s="512" t="n"/>
      <c r="U45" s="512" t="n"/>
      <c r="V45" s="512" t="n"/>
      <c r="W45" s="512" t="n"/>
      <c r="X45" s="512" t="n"/>
      <c r="Y45" s="512" t="n"/>
      <c r="Z45" s="512" t="n"/>
      <c r="AA45" s="512" t="n"/>
      <c r="AB45" s="512" t="n"/>
      <c r="AC45" s="512" t="n"/>
      <c r="AD45" s="512" t="n"/>
      <c r="AE45" s="510" t="n"/>
      <c r="AF45" s="511" t="n"/>
      <c r="AG45" s="512" t="n"/>
      <c r="AH45" s="512" t="n"/>
      <c r="AI45" s="513" t="n"/>
      <c r="AJ45" s="510" t="n"/>
      <c r="AK45" s="513" t="n"/>
      <c r="AL45" s="513" t="n"/>
      <c r="AM45" s="513" t="n"/>
      <c r="AN45" s="513" t="n"/>
      <c r="AO45" s="513" t="n"/>
      <c r="AP45" s="513" t="n"/>
      <c r="AQ45" s="513" t="n"/>
      <c r="AR45" s="513" t="n"/>
      <c r="AS45" s="513" t="n"/>
      <c r="AT45" s="513" t="n"/>
      <c r="AU45" s="510" t="n"/>
      <c r="AV45" s="527" t="n"/>
      <c r="AW45" s="514" t="n"/>
      <c r="AX45" s="514" t="n"/>
      <c r="AY45" s="514" t="n"/>
      <c r="AZ45" s="514" t="n"/>
      <c r="BA45" s="510">
        <f>SUM(AV45:AZ45)</f>
        <v/>
      </c>
      <c r="BB45" s="511" t="n"/>
      <c r="BC45" s="512" t="n"/>
      <c r="BD45" s="512" t="n"/>
      <c r="BE45" s="512" t="n"/>
      <c r="BF45" s="510">
        <f>SUM(BB45:BE45)</f>
        <v/>
      </c>
      <c r="BG45" s="518" t="n"/>
      <c r="BH45" s="519">
        <f>H45+M45+AE45+AJ45+AU45+BA45+BF45</f>
        <v/>
      </c>
      <c r="BI45" s="528">
        <f>IF(E45-BH45&lt;0, BH45-E45, )</f>
        <v/>
      </c>
      <c r="BJ45" s="529">
        <f>IF(E45-BH45&lt;0, ,E45-BH45)</f>
        <v/>
      </c>
      <c r="BK45" s="530" t="n"/>
      <c r="BM45" s="523" t="n"/>
      <c r="BN45" s="523" t="n"/>
      <c r="BO45" s="523" t="n"/>
      <c r="BP45" s="523" t="n"/>
      <c r="BQ45" s="523" t="n"/>
      <c r="BR45" s="523" t="n"/>
      <c r="BS45" s="523" t="n"/>
      <c r="BT45" s="518">
        <f>SUM(BM45:BS45)</f>
        <v/>
      </c>
      <c r="BU45" s="518" t="n"/>
      <c r="BV45" s="523" t="n"/>
      <c r="BW45" s="523" t="n"/>
      <c r="BX45" s="523" t="n"/>
      <c r="BY45" s="523" t="n"/>
      <c r="BZ45" s="523" t="n"/>
      <c r="CA45" s="523" t="n"/>
      <c r="CB45" s="523" t="n"/>
      <c r="CC45" s="518">
        <f>SUM(BV45:CB45)</f>
        <v/>
      </c>
      <c r="CD45" s="518" t="n"/>
      <c r="CE45" s="523" t="n"/>
      <c r="CF45" s="523" t="n"/>
      <c r="CG45" s="523" t="n"/>
      <c r="CH45" s="523" t="n"/>
      <c r="CI45" s="523" t="n"/>
      <c r="CJ45" s="523" t="n"/>
      <c r="CK45" s="523" t="n"/>
      <c r="CL45" s="518">
        <f>SUM(CE45:CK45)</f>
        <v/>
      </c>
      <c r="CN45" s="525">
        <f>+H45-(BM45+BV45+CE45)</f>
        <v/>
      </c>
      <c r="CO45" s="525">
        <f>+M45-(BN45+BW45+CF45)</f>
        <v/>
      </c>
      <c r="CP45" s="525">
        <f>+AE45-(BO45+BX45+CG45)</f>
        <v/>
      </c>
      <c r="CQ45" s="525">
        <f>+AJ45-(BP45+BY45+CH45)</f>
        <v/>
      </c>
      <c r="CR45" s="525">
        <f>+AU45-(BQ45+BZ45+CI45)</f>
        <v/>
      </c>
      <c r="CS45" s="525">
        <f>+BA45-(BR45+CA45+CJ45)</f>
        <v/>
      </c>
      <c r="CT45" s="525">
        <f>+BF45-(BS45+CB45+CK45)</f>
        <v/>
      </c>
      <c r="CU45" s="525">
        <f>BT45+CC45+CL45</f>
        <v/>
      </c>
      <c r="CV45" s="525">
        <f>SUM(CN45:CT45)</f>
        <v/>
      </c>
    </row>
    <row r="46" ht="21" customFormat="1" customHeight="1" s="230">
      <c r="A46" s="453" t="n">
        <v>5467624</v>
      </c>
      <c r="B46" s="309" t="inlineStr">
        <is>
          <t>GGG</t>
        </is>
      </c>
      <c r="C46" s="287" t="inlineStr">
        <is>
          <t>CANALETA PROTECTORA ACERO GALV. 2200MM P.PROTEGER CABLE P.VIENTO</t>
        </is>
      </c>
      <c r="D46" s="288" t="n">
        <v>16.315</v>
      </c>
      <c r="E46" s="507" t="n"/>
      <c r="F46" s="526" t="n"/>
      <c r="G46" s="527" t="n"/>
      <c r="H46" s="510" t="n"/>
      <c r="I46" s="511" t="n"/>
      <c r="J46" s="512" t="n"/>
      <c r="K46" s="512" t="n"/>
      <c r="L46" s="513" t="n"/>
      <c r="M46" s="510" t="n"/>
      <c r="N46" s="511" t="n"/>
      <c r="O46" s="512" t="n"/>
      <c r="P46" s="512" t="n"/>
      <c r="Q46" s="512" t="n"/>
      <c r="R46" s="512" t="n"/>
      <c r="S46" s="512" t="n"/>
      <c r="T46" s="512" t="n"/>
      <c r="U46" s="512" t="n"/>
      <c r="V46" s="512" t="n"/>
      <c r="W46" s="512" t="n"/>
      <c r="X46" s="512" t="n"/>
      <c r="Y46" s="512" t="n"/>
      <c r="Z46" s="512" t="n"/>
      <c r="AA46" s="512" t="n"/>
      <c r="AB46" s="512" t="n"/>
      <c r="AC46" s="512" t="n"/>
      <c r="AD46" s="512" t="n"/>
      <c r="AE46" s="510" t="n"/>
      <c r="AF46" s="511" t="n"/>
      <c r="AG46" s="512" t="n"/>
      <c r="AH46" s="512" t="n"/>
      <c r="AI46" s="513" t="n"/>
      <c r="AJ46" s="510" t="n"/>
      <c r="AK46" s="513" t="n"/>
      <c r="AL46" s="513" t="n"/>
      <c r="AM46" s="513" t="n"/>
      <c r="AN46" s="513" t="n"/>
      <c r="AO46" s="513" t="n"/>
      <c r="AP46" s="513" t="n"/>
      <c r="AQ46" s="513" t="n"/>
      <c r="AR46" s="513" t="n"/>
      <c r="AS46" s="513" t="n"/>
      <c r="AT46" s="513" t="n"/>
      <c r="AU46" s="510" t="n"/>
      <c r="AV46" s="527" t="n"/>
      <c r="AW46" s="514" t="n"/>
      <c r="AX46" s="514" t="n"/>
      <c r="AY46" s="514" t="n"/>
      <c r="AZ46" s="514" t="n"/>
      <c r="BA46" s="510">
        <f>SUM(AV46:AZ46)</f>
        <v/>
      </c>
      <c r="BB46" s="511" t="n"/>
      <c r="BC46" s="512" t="n"/>
      <c r="BD46" s="512" t="n"/>
      <c r="BE46" s="512" t="n"/>
      <c r="BF46" s="510">
        <f>SUM(BB46:BE46)</f>
        <v/>
      </c>
      <c r="BG46" s="518" t="n"/>
      <c r="BH46" s="519">
        <f>H46+M46+AE46+AJ46+AU46+BA46+BF46</f>
        <v/>
      </c>
      <c r="BI46" s="528">
        <f>IF(E46-BH46&lt;0, BH46-E46, )</f>
        <v/>
      </c>
      <c r="BJ46" s="529">
        <f>IF(E46-BH46&lt;0, ,E46-BH46)</f>
        <v/>
      </c>
      <c r="BK46" s="530" t="n"/>
      <c r="BM46" s="523" t="n"/>
      <c r="BN46" s="523" t="n"/>
      <c r="BO46" s="523" t="n"/>
      <c r="BP46" s="523" t="n"/>
      <c r="BQ46" s="523" t="n"/>
      <c r="BR46" s="523" t="n"/>
      <c r="BS46" s="523" t="n"/>
      <c r="BT46" s="518">
        <f>SUM(BM46:BS46)</f>
        <v/>
      </c>
      <c r="BU46" s="518" t="n"/>
      <c r="BV46" s="523" t="n"/>
      <c r="BW46" s="523" t="n"/>
      <c r="BX46" s="523" t="n"/>
      <c r="BY46" s="523" t="n"/>
      <c r="BZ46" s="523" t="n"/>
      <c r="CA46" s="523" t="n"/>
      <c r="CB46" s="523" t="n"/>
      <c r="CC46" s="518">
        <f>SUM(BV46:CB46)</f>
        <v/>
      </c>
      <c r="CD46" s="518" t="n"/>
      <c r="CE46" s="523" t="n"/>
      <c r="CF46" s="523" t="n"/>
      <c r="CG46" s="523" t="n"/>
      <c r="CH46" s="523" t="n"/>
      <c r="CI46" s="523" t="n"/>
      <c r="CJ46" s="523" t="n"/>
      <c r="CK46" s="523" t="n"/>
      <c r="CL46" s="518">
        <f>SUM(CE46:CK46)</f>
        <v/>
      </c>
      <c r="CN46" s="525">
        <f>+H46-(BM46+BV46+CE46)</f>
        <v/>
      </c>
      <c r="CO46" s="525">
        <f>+M46-(BN46+BW46+CF46)</f>
        <v/>
      </c>
      <c r="CP46" s="525">
        <f>+AE46-(BO46+BX46+CG46)</f>
        <v/>
      </c>
      <c r="CQ46" s="525">
        <f>+AJ46-(BP46+BY46+CH46)</f>
        <v/>
      </c>
      <c r="CR46" s="525">
        <f>+AU46-(BQ46+BZ46+CI46)</f>
        <v/>
      </c>
      <c r="CS46" s="525">
        <f>+BA46-(BR46+CA46+CJ46)</f>
        <v/>
      </c>
      <c r="CT46" s="525">
        <f>+BF46-(BS46+CB46+CK46)</f>
        <v/>
      </c>
      <c r="CU46" s="525">
        <f>BT46+CC46+CL46</f>
        <v/>
      </c>
      <c r="CV46" s="525">
        <f>SUM(CN46:CT46)</f>
        <v/>
      </c>
    </row>
    <row r="47" ht="21" customFormat="1" customHeight="1" s="230">
      <c r="A47" s="453" t="n">
        <v>5464101</v>
      </c>
      <c r="B47" s="309" t="inlineStr">
        <is>
          <t>GGG</t>
        </is>
      </c>
      <c r="C47" s="287" t="inlineStr">
        <is>
          <t>ESLABON ANGULAR DE ACERO GALV. 17,50MM P.ENLACE EN ESTRUCTURAS DE REDES AEREAS</t>
        </is>
      </c>
      <c r="D47" s="288" t="n">
        <v>6.386</v>
      </c>
      <c r="E47" s="507" t="n"/>
      <c r="F47" s="526" t="n"/>
      <c r="G47" s="527" t="n"/>
      <c r="H47" s="510" t="n"/>
      <c r="I47" s="511" t="n"/>
      <c r="J47" s="512" t="n"/>
      <c r="K47" s="512" t="n"/>
      <c r="L47" s="513" t="n"/>
      <c r="M47" s="510" t="n"/>
      <c r="N47" s="511" t="n"/>
      <c r="O47" s="512" t="n"/>
      <c r="P47" s="512" t="n"/>
      <c r="Q47" s="512" t="n"/>
      <c r="R47" s="512" t="n"/>
      <c r="S47" s="512" t="n"/>
      <c r="T47" s="512" t="n"/>
      <c r="U47" s="512" t="n"/>
      <c r="V47" s="512" t="n"/>
      <c r="W47" s="512" t="n"/>
      <c r="X47" s="512" t="n"/>
      <c r="Y47" s="512" t="n"/>
      <c r="Z47" s="512" t="n"/>
      <c r="AA47" s="512" t="n"/>
      <c r="AB47" s="512" t="n"/>
      <c r="AC47" s="512" t="n"/>
      <c r="AD47" s="512" t="n"/>
      <c r="AE47" s="510" t="n"/>
      <c r="AF47" s="511" t="n"/>
      <c r="AG47" s="512" t="n"/>
      <c r="AH47" s="512" t="n"/>
      <c r="AI47" s="513" t="n"/>
      <c r="AJ47" s="510" t="n"/>
      <c r="AK47" s="513" t="n"/>
      <c r="AL47" s="513" t="n"/>
      <c r="AM47" s="513" t="n"/>
      <c r="AN47" s="513" t="n"/>
      <c r="AO47" s="513" t="n"/>
      <c r="AP47" s="513" t="n"/>
      <c r="AQ47" s="513" t="n"/>
      <c r="AR47" s="513" t="n"/>
      <c r="AS47" s="513" t="n"/>
      <c r="AT47" s="513" t="n"/>
      <c r="AU47" s="510" t="n"/>
      <c r="AV47" s="527" t="n"/>
      <c r="AW47" s="514" t="n"/>
      <c r="AX47" s="514" t="n"/>
      <c r="AY47" s="514" t="n"/>
      <c r="AZ47" s="514" t="n"/>
      <c r="BA47" s="510">
        <f>SUM(AV47:AZ47)</f>
        <v/>
      </c>
      <c r="BB47" s="511" t="n"/>
      <c r="BC47" s="512" t="n"/>
      <c r="BD47" s="512" t="n"/>
      <c r="BE47" s="512" t="n"/>
      <c r="BF47" s="510">
        <f>SUM(BB47:BE47)</f>
        <v/>
      </c>
      <c r="BG47" s="518" t="n"/>
      <c r="BH47" s="519">
        <f>H47+M47+AE47+AJ47+AU47+BA47+BF47</f>
        <v/>
      </c>
      <c r="BI47" s="528">
        <f>IF(E47-BH47&lt;0, BH47-E47, )</f>
        <v/>
      </c>
      <c r="BJ47" s="529">
        <f>IF(E47-BH47&lt;0, ,E47-BH47)</f>
        <v/>
      </c>
      <c r="BK47" s="530" t="n"/>
      <c r="BM47" s="523" t="n"/>
      <c r="BN47" s="523" t="n"/>
      <c r="BO47" s="523" t="n"/>
      <c r="BP47" s="523" t="n"/>
      <c r="BQ47" s="523" t="n"/>
      <c r="BR47" s="523" t="n"/>
      <c r="BS47" s="523" t="n"/>
      <c r="BT47" s="518">
        <f>SUM(BM47:BS47)</f>
        <v/>
      </c>
      <c r="BU47" s="518" t="n"/>
      <c r="BV47" s="523" t="n"/>
      <c r="BW47" s="523" t="n"/>
      <c r="BX47" s="523" t="n"/>
      <c r="BY47" s="523" t="n"/>
      <c r="BZ47" s="523" t="n"/>
      <c r="CA47" s="523" t="n"/>
      <c r="CB47" s="523" t="n"/>
      <c r="CC47" s="518">
        <f>SUM(BV47:CB47)</f>
        <v/>
      </c>
      <c r="CD47" s="518" t="n"/>
      <c r="CE47" s="523" t="n"/>
      <c r="CF47" s="523" t="n"/>
      <c r="CG47" s="523" t="n"/>
      <c r="CH47" s="523" t="n"/>
      <c r="CI47" s="523" t="n"/>
      <c r="CJ47" s="523" t="n"/>
      <c r="CK47" s="523" t="n"/>
      <c r="CL47" s="518">
        <f>SUM(CE47:CK47)</f>
        <v/>
      </c>
      <c r="CN47" s="525">
        <f>+H47-(BM47+BV47+CE47)</f>
        <v/>
      </c>
      <c r="CO47" s="525">
        <f>+M47-(BN47+BW47+CF47)</f>
        <v/>
      </c>
      <c r="CP47" s="525">
        <f>+AE47-(BO47+BX47+CG47)</f>
        <v/>
      </c>
      <c r="CQ47" s="525">
        <f>+AJ47-(BP47+BY47+CH47)</f>
        <v/>
      </c>
      <c r="CR47" s="525">
        <f>+AU47-(BQ47+BZ47+CI47)</f>
        <v/>
      </c>
      <c r="CS47" s="525">
        <f>+BA47-(BR47+CA47+CJ47)</f>
        <v/>
      </c>
      <c r="CT47" s="525">
        <f>+BF47-(BS47+CB47+CK47)</f>
        <v/>
      </c>
      <c r="CU47" s="525">
        <f>BT47+CC47+CL47</f>
        <v/>
      </c>
      <c r="CV47" s="525">
        <f>SUM(CN47:CT47)</f>
        <v/>
      </c>
    </row>
    <row r="48" ht="21" customFormat="1" customHeight="1" s="230">
      <c r="A48" s="453" t="n">
        <v>5411528</v>
      </c>
      <c r="B48" s="309" t="inlineStr">
        <is>
          <t>GGG</t>
        </is>
      </c>
      <c r="C48" s="287" t="inlineStr">
        <is>
          <t>CONECTOR BIMET.FORRADO TP.PERFORACION / PIERCING P.COND.CU - AL 16 / 10MM2 FASE AISL.</t>
        </is>
      </c>
      <c r="D48" s="288" t="n">
        <v>3.265</v>
      </c>
      <c r="E48" s="507" t="n"/>
      <c r="F48" s="526" t="n"/>
      <c r="G48" s="527" t="n"/>
      <c r="H48" s="510" t="n"/>
      <c r="I48" s="511" t="n"/>
      <c r="J48" s="512" t="n"/>
      <c r="K48" s="512" t="n"/>
      <c r="L48" s="513" t="n"/>
      <c r="M48" s="510" t="n"/>
      <c r="N48" s="511" t="n"/>
      <c r="O48" s="512" t="n"/>
      <c r="P48" s="512" t="n"/>
      <c r="Q48" s="512" t="n"/>
      <c r="R48" s="512" t="n"/>
      <c r="S48" s="512" t="n"/>
      <c r="T48" s="512" t="n"/>
      <c r="U48" s="512" t="n"/>
      <c r="V48" s="512" t="n"/>
      <c r="W48" s="512" t="n"/>
      <c r="X48" s="512" t="n"/>
      <c r="Y48" s="512" t="n"/>
      <c r="Z48" s="512" t="n"/>
      <c r="AA48" s="512" t="n"/>
      <c r="AB48" s="512" t="n"/>
      <c r="AC48" s="512" t="n"/>
      <c r="AD48" s="512" t="n"/>
      <c r="AE48" s="510" t="n"/>
      <c r="AF48" s="511" t="n"/>
      <c r="AG48" s="512" t="n"/>
      <c r="AH48" s="512" t="n"/>
      <c r="AI48" s="513" t="n"/>
      <c r="AJ48" s="510" t="n"/>
      <c r="AK48" s="513" t="n"/>
      <c r="AL48" s="513" t="n"/>
      <c r="AM48" s="513" t="n"/>
      <c r="AN48" s="513" t="n"/>
      <c r="AO48" s="513" t="n"/>
      <c r="AP48" s="513" t="n"/>
      <c r="AQ48" s="513" t="n"/>
      <c r="AR48" s="513" t="n"/>
      <c r="AS48" s="513" t="n"/>
      <c r="AT48" s="513" t="n"/>
      <c r="AU48" s="510" t="n"/>
      <c r="AV48" s="527" t="n"/>
      <c r="AW48" s="514" t="n"/>
      <c r="AX48" s="514" t="n"/>
      <c r="AY48" s="514" t="n"/>
      <c r="AZ48" s="514" t="n"/>
      <c r="BA48" s="510">
        <f>SUM(AV48:AZ48)</f>
        <v/>
      </c>
      <c r="BB48" s="511" t="n"/>
      <c r="BC48" s="512" t="n"/>
      <c r="BD48" s="512" t="n"/>
      <c r="BE48" s="512" t="n"/>
      <c r="BF48" s="510">
        <f>SUM(BB48:BE48)</f>
        <v/>
      </c>
      <c r="BG48" s="518" t="n"/>
      <c r="BH48" s="519">
        <f>H48+M48+AE48+AJ48+AU48+BA48+BF48</f>
        <v/>
      </c>
      <c r="BI48" s="528">
        <f>IF(E48-BH48&lt;0, BH48-E48, )</f>
        <v/>
      </c>
      <c r="BJ48" s="529">
        <f>IF(E48-BH48&lt;0, ,E48-BH48)</f>
        <v/>
      </c>
      <c r="BK48" s="530" t="n"/>
      <c r="BM48" s="523" t="n"/>
      <c r="BN48" s="523" t="n"/>
      <c r="BO48" s="523" t="n"/>
      <c r="BP48" s="523" t="n"/>
      <c r="BQ48" s="523" t="n"/>
      <c r="BR48" s="523" t="n"/>
      <c r="BS48" s="523" t="n"/>
      <c r="BT48" s="518">
        <f>SUM(BM48:BS48)</f>
        <v/>
      </c>
      <c r="BU48" s="518" t="n"/>
      <c r="BV48" s="523" t="n"/>
      <c r="BW48" s="523" t="n"/>
      <c r="BX48" s="523" t="n"/>
      <c r="BY48" s="523" t="n"/>
      <c r="BZ48" s="523" t="n"/>
      <c r="CA48" s="523" t="n"/>
      <c r="CB48" s="523" t="n"/>
      <c r="CC48" s="518">
        <f>SUM(BV48:CB48)</f>
        <v/>
      </c>
      <c r="CD48" s="518" t="n"/>
      <c r="CE48" s="523" t="n"/>
      <c r="CF48" s="523" t="n"/>
      <c r="CG48" s="523" t="n"/>
      <c r="CH48" s="523" t="n"/>
      <c r="CI48" s="523" t="n"/>
      <c r="CJ48" s="523" t="n"/>
      <c r="CK48" s="523" t="n"/>
      <c r="CL48" s="518">
        <f>SUM(CE48:CK48)</f>
        <v/>
      </c>
      <c r="CN48" s="525">
        <f>+H48-(BM48+BV48+CE48)</f>
        <v/>
      </c>
      <c r="CO48" s="525">
        <f>+M48-(BN48+BW48+CF48)</f>
        <v/>
      </c>
      <c r="CP48" s="525">
        <f>+AE48-(BO48+BX48+CG48)</f>
        <v/>
      </c>
      <c r="CQ48" s="525">
        <f>+AJ48-(BP48+BY48+CH48)</f>
        <v/>
      </c>
      <c r="CR48" s="525">
        <f>+AU48-(BQ48+BZ48+CI48)</f>
        <v/>
      </c>
      <c r="CS48" s="525">
        <f>+BA48-(BR48+CA48+CJ48)</f>
        <v/>
      </c>
      <c r="CT48" s="525">
        <f>+BF48-(BS48+CB48+CK48)</f>
        <v/>
      </c>
      <c r="CU48" s="525">
        <f>BT48+CC48+CL48</f>
        <v/>
      </c>
      <c r="CV48" s="525">
        <f>SUM(CN48:CT48)</f>
        <v/>
      </c>
    </row>
    <row r="49" ht="21" customFormat="1" customHeight="1" s="230">
      <c r="A49" s="453" t="n">
        <v>5467060</v>
      </c>
      <c r="B49" s="309" t="inlineStr">
        <is>
          <t>GGG</t>
        </is>
      </c>
      <c r="C49" s="287" t="inlineStr">
        <is>
          <t>PERNO ACERO GALV. DE CABEZA HEXAGONAL 5/8" X 10", GRADO 5</t>
        </is>
      </c>
      <c r="D49" s="288" t="n">
        <v>4.347</v>
      </c>
      <c r="E49" s="507" t="n"/>
      <c r="F49" s="526" t="n"/>
      <c r="G49" s="527" t="n"/>
      <c r="H49" s="510" t="n"/>
      <c r="I49" s="511" t="n"/>
      <c r="J49" s="512" t="n"/>
      <c r="K49" s="512" t="n"/>
      <c r="L49" s="513" t="n"/>
      <c r="M49" s="510" t="n"/>
      <c r="N49" s="511" t="n"/>
      <c r="O49" s="512" t="n"/>
      <c r="P49" s="512" t="n"/>
      <c r="Q49" s="512" t="n"/>
      <c r="R49" s="512" t="n"/>
      <c r="S49" s="512" t="n"/>
      <c r="T49" s="512" t="n"/>
      <c r="U49" s="512" t="n"/>
      <c r="V49" s="512" t="n"/>
      <c r="W49" s="512" t="n"/>
      <c r="X49" s="512" t="n"/>
      <c r="Y49" s="512" t="n"/>
      <c r="Z49" s="512" t="n"/>
      <c r="AA49" s="512" t="n"/>
      <c r="AB49" s="512" t="n"/>
      <c r="AC49" s="512" t="n"/>
      <c r="AD49" s="512" t="n"/>
      <c r="AE49" s="510" t="n"/>
      <c r="AF49" s="511" t="n"/>
      <c r="AG49" s="512" t="n"/>
      <c r="AH49" s="512" t="n"/>
      <c r="AI49" s="513" t="n"/>
      <c r="AJ49" s="510" t="n"/>
      <c r="AK49" s="513" t="n"/>
      <c r="AL49" s="513" t="n"/>
      <c r="AM49" s="513" t="n"/>
      <c r="AN49" s="513" t="n"/>
      <c r="AO49" s="513" t="n"/>
      <c r="AP49" s="513" t="n"/>
      <c r="AQ49" s="513" t="n"/>
      <c r="AR49" s="513" t="n"/>
      <c r="AS49" s="513" t="n"/>
      <c r="AT49" s="513" t="n"/>
      <c r="AU49" s="510" t="n"/>
      <c r="AV49" s="527" t="n"/>
      <c r="AW49" s="514" t="n"/>
      <c r="AX49" s="514" t="n"/>
      <c r="AY49" s="514" t="n"/>
      <c r="AZ49" s="514" t="n"/>
      <c r="BA49" s="510">
        <f>SUM(AV49:AZ49)</f>
        <v/>
      </c>
      <c r="BB49" s="511" t="n"/>
      <c r="BC49" s="512" t="n"/>
      <c r="BD49" s="512" t="n"/>
      <c r="BE49" s="512" t="n"/>
      <c r="BF49" s="510">
        <f>SUM(BB49:BE49)</f>
        <v/>
      </c>
      <c r="BG49" s="518" t="n"/>
      <c r="BH49" s="519">
        <f>H49+M49+AE49+AJ49+AU49+BA49+BF49</f>
        <v/>
      </c>
      <c r="BI49" s="528">
        <f>IF(E49-BH49&lt;0, BH49-E49, )</f>
        <v/>
      </c>
      <c r="BJ49" s="529">
        <f>IF(E49-BH49&lt;0, ,E49-BH49)</f>
        <v/>
      </c>
      <c r="BK49" s="530" t="n"/>
      <c r="BM49" s="523" t="n"/>
      <c r="BN49" s="523" t="n"/>
      <c r="BO49" s="523" t="n"/>
      <c r="BP49" s="523" t="n"/>
      <c r="BQ49" s="523" t="n"/>
      <c r="BR49" s="523" t="n"/>
      <c r="BS49" s="523" t="n"/>
      <c r="BT49" s="518">
        <f>SUM(BM49:BS49)</f>
        <v/>
      </c>
      <c r="BU49" s="518" t="n"/>
      <c r="BV49" s="523" t="n"/>
      <c r="BW49" s="523" t="n"/>
      <c r="BX49" s="523" t="n"/>
      <c r="BY49" s="523" t="n"/>
      <c r="BZ49" s="523" t="n"/>
      <c r="CA49" s="523" t="n"/>
      <c r="CB49" s="523" t="n"/>
      <c r="CC49" s="518">
        <f>SUM(BV49:CB49)</f>
        <v/>
      </c>
      <c r="CD49" s="518" t="n"/>
      <c r="CE49" s="523" t="n"/>
      <c r="CF49" s="523" t="n"/>
      <c r="CG49" s="523" t="n"/>
      <c r="CH49" s="523" t="n"/>
      <c r="CI49" s="523" t="n"/>
      <c r="CJ49" s="523" t="n"/>
      <c r="CK49" s="523" t="n"/>
      <c r="CL49" s="518">
        <f>SUM(CE49:CK49)</f>
        <v/>
      </c>
      <c r="CN49" s="525">
        <f>+H49-(BM49+BV49+CE49)</f>
        <v/>
      </c>
      <c r="CO49" s="525">
        <f>+M49-(BN49+BW49+CF49)</f>
        <v/>
      </c>
      <c r="CP49" s="525">
        <f>+AE49-(BO49+BX49+CG49)</f>
        <v/>
      </c>
      <c r="CQ49" s="525">
        <f>+AJ49-(BP49+BY49+CH49)</f>
        <v/>
      </c>
      <c r="CR49" s="525">
        <f>+AU49-(BQ49+BZ49+CI49)</f>
        <v/>
      </c>
      <c r="CS49" s="525">
        <f>+BA49-(BR49+CA49+CJ49)</f>
        <v/>
      </c>
      <c r="CT49" s="525">
        <f>+BF49-(BS49+CB49+CK49)</f>
        <v/>
      </c>
      <c r="CU49" s="525">
        <f>BT49+CC49+CL49</f>
        <v/>
      </c>
      <c r="CV49" s="525">
        <f>SUM(CN49:CT49)</f>
        <v/>
      </c>
    </row>
    <row r="50" ht="21" customFormat="1" customHeight="1" s="230">
      <c r="A50" s="453" t="n">
        <v>5334104</v>
      </c>
      <c r="B50" s="309" t="inlineStr">
        <is>
          <t>GGG</t>
        </is>
      </c>
      <c r="C50" s="287" t="inlineStr">
        <is>
          <t>CRUCETA SIMETRICA DE MADERA DE 4" X 4" X 1,3 PIES CON TRATAMIENTO CCB</t>
        </is>
      </c>
      <c r="D50" s="288" t="n">
        <v>12.355</v>
      </c>
      <c r="E50" s="507" t="n"/>
      <c r="F50" s="526" t="n"/>
      <c r="G50" s="527" t="n"/>
      <c r="H50" s="510" t="n"/>
      <c r="I50" s="511" t="n"/>
      <c r="J50" s="512" t="n"/>
      <c r="K50" s="512" t="n"/>
      <c r="L50" s="513" t="n"/>
      <c r="M50" s="510" t="n"/>
      <c r="N50" s="511" t="n"/>
      <c r="O50" s="512" t="n"/>
      <c r="P50" s="512" t="n"/>
      <c r="Q50" s="512" t="n"/>
      <c r="R50" s="512" t="n"/>
      <c r="S50" s="512" t="n"/>
      <c r="T50" s="512" t="n"/>
      <c r="U50" s="512" t="n"/>
      <c r="V50" s="512" t="n"/>
      <c r="W50" s="512" t="n"/>
      <c r="X50" s="512" t="n"/>
      <c r="Y50" s="512" t="n"/>
      <c r="Z50" s="512" t="n"/>
      <c r="AA50" s="512" t="n"/>
      <c r="AB50" s="512" t="n"/>
      <c r="AC50" s="512" t="n"/>
      <c r="AD50" s="512" t="n"/>
      <c r="AE50" s="510" t="n"/>
      <c r="AF50" s="511" t="n"/>
      <c r="AG50" s="512" t="n"/>
      <c r="AH50" s="512" t="n"/>
      <c r="AI50" s="513" t="n"/>
      <c r="AJ50" s="510" t="n"/>
      <c r="AK50" s="513" t="n"/>
      <c r="AL50" s="513" t="n"/>
      <c r="AM50" s="513" t="n"/>
      <c r="AN50" s="513" t="n"/>
      <c r="AO50" s="513" t="n"/>
      <c r="AP50" s="513" t="n"/>
      <c r="AQ50" s="513" t="n"/>
      <c r="AR50" s="513" t="n"/>
      <c r="AS50" s="513" t="n"/>
      <c r="AT50" s="513" t="n"/>
      <c r="AU50" s="510" t="n"/>
      <c r="AV50" s="527" t="n"/>
      <c r="AW50" s="514" t="n"/>
      <c r="AX50" s="514" t="n"/>
      <c r="AY50" s="514" t="n"/>
      <c r="AZ50" s="514" t="n"/>
      <c r="BA50" s="510">
        <f>SUM(AV50:AZ50)</f>
        <v/>
      </c>
      <c r="BB50" s="511" t="n"/>
      <c r="BC50" s="512" t="n"/>
      <c r="BD50" s="512" t="n"/>
      <c r="BE50" s="512" t="n"/>
      <c r="BF50" s="510">
        <f>SUM(BB50:BE50)</f>
        <v/>
      </c>
      <c r="BG50" s="518" t="n"/>
      <c r="BH50" s="519">
        <f>H50+M50+AE50+AJ50+AU50+BA50+BF50</f>
        <v/>
      </c>
      <c r="BI50" s="528">
        <f>IF(E50-BH50&lt;0, BH50-E50, )</f>
        <v/>
      </c>
      <c r="BJ50" s="529">
        <f>IF(E50-BH50&lt;0, ,E50-BH50)</f>
        <v/>
      </c>
      <c r="BK50" s="530" t="n"/>
      <c r="BM50" s="523" t="n"/>
      <c r="BN50" s="523" t="n"/>
      <c r="BO50" s="523" t="n"/>
      <c r="BP50" s="523" t="n"/>
      <c r="BQ50" s="523" t="n"/>
      <c r="BR50" s="523" t="n"/>
      <c r="BS50" s="523" t="n"/>
      <c r="BT50" s="518">
        <f>SUM(BM50:BS50)</f>
        <v/>
      </c>
      <c r="BU50" s="518" t="n"/>
      <c r="BV50" s="523" t="n"/>
      <c r="BW50" s="523" t="n"/>
      <c r="BX50" s="523" t="n"/>
      <c r="BY50" s="523" t="n"/>
      <c r="BZ50" s="523" t="n"/>
      <c r="CA50" s="523" t="n"/>
      <c r="CB50" s="523" t="n"/>
      <c r="CC50" s="518">
        <f>SUM(BV50:CB50)</f>
        <v/>
      </c>
      <c r="CD50" s="518" t="n"/>
      <c r="CE50" s="523" t="n"/>
      <c r="CF50" s="523" t="n"/>
      <c r="CG50" s="523" t="n"/>
      <c r="CH50" s="523" t="n"/>
      <c r="CI50" s="523" t="n"/>
      <c r="CJ50" s="523" t="n"/>
      <c r="CK50" s="523" t="n"/>
      <c r="CL50" s="518">
        <f>SUM(CE50:CK50)</f>
        <v/>
      </c>
      <c r="CN50" s="525">
        <f>+H50-(BM50+BV50+CE50)</f>
        <v/>
      </c>
      <c r="CO50" s="525">
        <f>+M50-(BN50+BW50+CF50)</f>
        <v/>
      </c>
      <c r="CP50" s="525">
        <f>+AE50-(BO50+BX50+CG50)</f>
        <v/>
      </c>
      <c r="CQ50" s="525">
        <f>+AJ50-(BP50+BY50+CH50)</f>
        <v/>
      </c>
      <c r="CR50" s="525">
        <f>+AU50-(BQ50+BZ50+CI50)</f>
        <v/>
      </c>
      <c r="CS50" s="525">
        <f>+BA50-(BR50+CA50+CJ50)</f>
        <v/>
      </c>
      <c r="CT50" s="525">
        <f>+BF50-(BS50+CB50+CK50)</f>
        <v/>
      </c>
      <c r="CU50" s="525">
        <f>BT50+CC50+CL50</f>
        <v/>
      </c>
      <c r="CV50" s="525">
        <f>SUM(CN50:CT50)</f>
        <v/>
      </c>
    </row>
    <row r="51" ht="21" customFormat="1" customHeight="1" s="230">
      <c r="A51" s="453" t="n">
        <v>5411010</v>
      </c>
      <c r="B51" s="309" t="inlineStr">
        <is>
          <t>GGG</t>
        </is>
      </c>
      <c r="C51" s="287" t="inlineStr">
        <is>
          <t>CONECTOR DERIV.TP.CUÑA MINIW. AA 16/CU 1.5-6 MM2.</t>
        </is>
      </c>
      <c r="D51" s="288" t="n">
        <v>6.034</v>
      </c>
      <c r="E51" s="507" t="n"/>
      <c r="F51" s="526" t="n"/>
      <c r="G51" s="527" t="n"/>
      <c r="H51" s="510" t="n"/>
      <c r="I51" s="511" t="n"/>
      <c r="J51" s="512" t="n"/>
      <c r="K51" s="512" t="n"/>
      <c r="L51" s="513" t="n"/>
      <c r="M51" s="510" t="n"/>
      <c r="N51" s="511" t="n"/>
      <c r="O51" s="512" t="n"/>
      <c r="P51" s="512" t="n"/>
      <c r="Q51" s="512" t="n"/>
      <c r="R51" s="512" t="n"/>
      <c r="S51" s="512" t="n"/>
      <c r="T51" s="512" t="n"/>
      <c r="U51" s="512" t="n"/>
      <c r="V51" s="512" t="n"/>
      <c r="W51" s="512" t="n"/>
      <c r="X51" s="512" t="n"/>
      <c r="Y51" s="512" t="n"/>
      <c r="Z51" s="512" t="n"/>
      <c r="AA51" s="512" t="n"/>
      <c r="AB51" s="512" t="n"/>
      <c r="AC51" s="512" t="n"/>
      <c r="AD51" s="512" t="n"/>
      <c r="AE51" s="510" t="n"/>
      <c r="AF51" s="511" t="n"/>
      <c r="AG51" s="512" t="n"/>
      <c r="AH51" s="512" t="n"/>
      <c r="AI51" s="513" t="n"/>
      <c r="AJ51" s="510" t="n"/>
      <c r="AK51" s="513" t="n"/>
      <c r="AL51" s="513" t="n"/>
      <c r="AM51" s="513" t="n"/>
      <c r="AN51" s="513" t="n"/>
      <c r="AO51" s="513" t="n"/>
      <c r="AP51" s="513" t="n"/>
      <c r="AQ51" s="513" t="n"/>
      <c r="AR51" s="513" t="n"/>
      <c r="AS51" s="513" t="n"/>
      <c r="AT51" s="513" t="n"/>
      <c r="AU51" s="510" t="n"/>
      <c r="AV51" s="527" t="n"/>
      <c r="AW51" s="514" t="n"/>
      <c r="AX51" s="514" t="n"/>
      <c r="AY51" s="514" t="n"/>
      <c r="AZ51" s="514" t="n"/>
      <c r="BA51" s="510">
        <f>SUM(AV51:AZ51)</f>
        <v/>
      </c>
      <c r="BB51" s="511" t="n"/>
      <c r="BC51" s="512" t="n"/>
      <c r="BD51" s="512" t="n"/>
      <c r="BE51" s="512" t="n"/>
      <c r="BF51" s="510">
        <f>SUM(BB51:BE51)</f>
        <v/>
      </c>
      <c r="BG51" s="518" t="n"/>
      <c r="BH51" s="519">
        <f>H51+M51+AE51+AJ51+AU51+BA51+BF51</f>
        <v/>
      </c>
      <c r="BI51" s="528">
        <f>IF(E51-BH51&lt;0, BH51-E51, )</f>
        <v/>
      </c>
      <c r="BJ51" s="529">
        <f>IF(E51-BH51&lt;0, ,E51-BH51)</f>
        <v/>
      </c>
      <c r="BK51" s="530" t="n"/>
      <c r="BM51" s="523" t="n"/>
      <c r="BN51" s="523" t="n"/>
      <c r="BO51" s="523" t="n"/>
      <c r="BP51" s="523" t="n"/>
      <c r="BQ51" s="523" t="n"/>
      <c r="BR51" s="523" t="n"/>
      <c r="BS51" s="523" t="n"/>
      <c r="BT51" s="518">
        <f>SUM(BM51:BS51)</f>
        <v/>
      </c>
      <c r="BU51" s="518" t="n"/>
      <c r="BV51" s="523" t="n"/>
      <c r="BW51" s="523" t="n"/>
      <c r="BX51" s="523" t="n"/>
      <c r="BY51" s="523" t="n"/>
      <c r="BZ51" s="523" t="n"/>
      <c r="CA51" s="523" t="n"/>
      <c r="CB51" s="523" t="n"/>
      <c r="CC51" s="518">
        <f>SUM(BV51:CB51)</f>
        <v/>
      </c>
      <c r="CD51" s="518" t="n"/>
      <c r="CE51" s="523" t="n"/>
      <c r="CF51" s="523" t="n"/>
      <c r="CG51" s="523" t="n"/>
      <c r="CH51" s="523" t="n"/>
      <c r="CI51" s="523" t="n"/>
      <c r="CJ51" s="523" t="n"/>
      <c r="CK51" s="523" t="n"/>
      <c r="CL51" s="518">
        <f>SUM(CE51:CK51)</f>
        <v/>
      </c>
      <c r="CN51" s="525">
        <f>+H51-(BM51+BV51+CE51)</f>
        <v/>
      </c>
      <c r="CO51" s="525">
        <f>+M51-(BN51+BW51+CF51)</f>
        <v/>
      </c>
      <c r="CP51" s="525">
        <f>+AE51-(BO51+BX51+CG51)</f>
        <v/>
      </c>
      <c r="CQ51" s="525">
        <f>+AJ51-(BP51+BY51+CH51)</f>
        <v/>
      </c>
      <c r="CR51" s="525">
        <f>+AU51-(BQ51+BZ51+CI51)</f>
        <v/>
      </c>
      <c r="CS51" s="525">
        <f>+BA51-(BR51+CA51+CJ51)</f>
        <v/>
      </c>
      <c r="CT51" s="525">
        <f>+BF51-(BS51+CB51+CK51)</f>
        <v/>
      </c>
      <c r="CU51" s="525">
        <f>BT51+CC51+CL51</f>
        <v/>
      </c>
      <c r="CV51" s="525">
        <f>SUM(CN51:CT51)</f>
        <v/>
      </c>
    </row>
    <row r="52" ht="21" customFormat="1" customHeight="1" s="230">
      <c r="A52" s="453" t="n">
        <v>5411058</v>
      </c>
      <c r="B52" s="309" t="inlineStr">
        <is>
          <t>GGG</t>
        </is>
      </c>
      <c r="C52" s="287" t="inlineStr">
        <is>
          <t>CONECTOR DE DERIVACION DE COBRE ESTANADO TP.CUNA P.CONDUCTOR DE COBRE 6 - 10 / 1,5 - 4MM2</t>
        </is>
      </c>
      <c r="D52" s="288" t="n">
        <v>1.351</v>
      </c>
      <c r="E52" s="507" t="n"/>
      <c r="F52" s="526" t="n"/>
      <c r="G52" s="527" t="n"/>
      <c r="H52" s="510" t="n"/>
      <c r="I52" s="511" t="n"/>
      <c r="J52" s="512" t="n"/>
      <c r="K52" s="512" t="n"/>
      <c r="L52" s="513" t="n"/>
      <c r="M52" s="510" t="n"/>
      <c r="N52" s="511" t="n"/>
      <c r="O52" s="512" t="n"/>
      <c r="P52" s="512" t="n"/>
      <c r="Q52" s="512" t="n"/>
      <c r="R52" s="512" t="n"/>
      <c r="S52" s="512" t="n"/>
      <c r="T52" s="512" t="n"/>
      <c r="U52" s="512" t="n"/>
      <c r="V52" s="512" t="n"/>
      <c r="W52" s="512" t="n"/>
      <c r="X52" s="512" t="n"/>
      <c r="Y52" s="512" t="n"/>
      <c r="Z52" s="512" t="n"/>
      <c r="AA52" s="512" t="n"/>
      <c r="AB52" s="512" t="n"/>
      <c r="AC52" s="512" t="n"/>
      <c r="AD52" s="512" t="n"/>
      <c r="AE52" s="510" t="n"/>
      <c r="AF52" s="511" t="n"/>
      <c r="AG52" s="512" t="n"/>
      <c r="AH52" s="512" t="n"/>
      <c r="AI52" s="513" t="n"/>
      <c r="AJ52" s="510" t="n"/>
      <c r="AK52" s="513" t="n"/>
      <c r="AL52" s="513" t="n"/>
      <c r="AM52" s="513" t="n"/>
      <c r="AN52" s="513" t="n"/>
      <c r="AO52" s="513" t="n"/>
      <c r="AP52" s="513" t="n"/>
      <c r="AQ52" s="513" t="n"/>
      <c r="AR52" s="513" t="n"/>
      <c r="AS52" s="513" t="n"/>
      <c r="AT52" s="513" t="n"/>
      <c r="AU52" s="510" t="n"/>
      <c r="AV52" s="527" t="n"/>
      <c r="AW52" s="514" t="n"/>
      <c r="AX52" s="514" t="n"/>
      <c r="AY52" s="514" t="n"/>
      <c r="AZ52" s="514" t="n"/>
      <c r="BA52" s="510">
        <f>SUM(AV52:AZ52)</f>
        <v/>
      </c>
      <c r="BB52" s="511" t="n"/>
      <c r="BC52" s="512" t="n"/>
      <c r="BD52" s="512" t="n"/>
      <c r="BE52" s="512" t="n"/>
      <c r="BF52" s="510">
        <f>SUM(BB52:BE52)</f>
        <v/>
      </c>
      <c r="BG52" s="518" t="n"/>
      <c r="BH52" s="519">
        <f>H52+M52+AE52+AJ52+AU52+BA52+BF52</f>
        <v/>
      </c>
      <c r="BI52" s="528">
        <f>IF(E52-BH52&lt;0, BH52-E52, )</f>
        <v/>
      </c>
      <c r="BJ52" s="529">
        <f>IF(E52-BH52&lt;0, ,E52-BH52)</f>
        <v/>
      </c>
      <c r="BK52" s="530" t="n"/>
      <c r="BM52" s="523" t="n"/>
      <c r="BN52" s="523" t="n"/>
      <c r="BO52" s="523" t="n"/>
      <c r="BP52" s="523" t="n"/>
      <c r="BQ52" s="523" t="n"/>
      <c r="BR52" s="523" t="n"/>
      <c r="BS52" s="523" t="n"/>
      <c r="BT52" s="518">
        <f>SUM(BM52:BS52)</f>
        <v/>
      </c>
      <c r="BU52" s="518" t="n"/>
      <c r="BV52" s="523" t="n"/>
      <c r="BW52" s="523" t="n"/>
      <c r="BX52" s="523" t="n"/>
      <c r="BY52" s="523" t="n"/>
      <c r="BZ52" s="523" t="n"/>
      <c r="CA52" s="523" t="n"/>
      <c r="CB52" s="523" t="n"/>
      <c r="CC52" s="518">
        <f>SUM(BV52:CB52)</f>
        <v/>
      </c>
      <c r="CD52" s="518" t="n"/>
      <c r="CE52" s="523" t="n"/>
      <c r="CF52" s="523" t="n"/>
      <c r="CG52" s="523" t="n"/>
      <c r="CH52" s="523" t="n"/>
      <c r="CI52" s="523" t="n"/>
      <c r="CJ52" s="523" t="n"/>
      <c r="CK52" s="523" t="n"/>
      <c r="CL52" s="518">
        <f>SUM(CE52:CK52)</f>
        <v/>
      </c>
      <c r="CN52" s="525">
        <f>+H52-(BM52+BV52+CE52)</f>
        <v/>
      </c>
      <c r="CO52" s="525">
        <f>+M52-(BN52+BW52+CF52)</f>
        <v/>
      </c>
      <c r="CP52" s="525">
        <f>+AE52-(BO52+BX52+CG52)</f>
        <v/>
      </c>
      <c r="CQ52" s="525">
        <f>+AJ52-(BP52+BY52+CH52)</f>
        <v/>
      </c>
      <c r="CR52" s="525">
        <f>+AU52-(BQ52+BZ52+CI52)</f>
        <v/>
      </c>
      <c r="CS52" s="525">
        <f>+BA52-(BR52+CA52+CJ52)</f>
        <v/>
      </c>
      <c r="CT52" s="525">
        <f>+BF52-(BS52+CB52+CK52)</f>
        <v/>
      </c>
      <c r="CU52" s="525">
        <f>BT52+CC52+CL52</f>
        <v/>
      </c>
      <c r="CV52" s="525">
        <f>SUM(CN52:CT52)</f>
        <v/>
      </c>
    </row>
    <row r="53" ht="21" customFormat="1" customHeight="1" s="230">
      <c r="A53" s="453" t="n">
        <v>5411056</v>
      </c>
      <c r="B53" s="309" t="inlineStr">
        <is>
          <t>GGG</t>
        </is>
      </c>
      <c r="C53" s="287" t="inlineStr">
        <is>
          <t>CONEC.CUÑA.TP.UDC.REF.CU.10/6-10MM2   16/1.5-4MM2</t>
        </is>
      </c>
      <c r="D53" s="288" t="n">
        <v>1.46</v>
      </c>
      <c r="E53" s="507" t="n"/>
      <c r="F53" s="526" t="n"/>
      <c r="G53" s="527" t="n"/>
      <c r="H53" s="510" t="n"/>
      <c r="I53" s="511" t="n"/>
      <c r="J53" s="512" t="n"/>
      <c r="K53" s="512" t="n"/>
      <c r="L53" s="513" t="n"/>
      <c r="M53" s="510" t="n"/>
      <c r="N53" s="511" t="n"/>
      <c r="O53" s="512" t="n"/>
      <c r="P53" s="512" t="n"/>
      <c r="Q53" s="512" t="n"/>
      <c r="R53" s="512" t="n"/>
      <c r="S53" s="512" t="n"/>
      <c r="T53" s="512" t="n"/>
      <c r="U53" s="512" t="n"/>
      <c r="V53" s="512" t="n"/>
      <c r="W53" s="512" t="n"/>
      <c r="X53" s="512" t="n"/>
      <c r="Y53" s="512" t="n"/>
      <c r="Z53" s="512" t="n"/>
      <c r="AA53" s="512" t="n"/>
      <c r="AB53" s="512" t="n"/>
      <c r="AC53" s="512" t="n"/>
      <c r="AD53" s="512" t="n"/>
      <c r="AE53" s="510" t="n"/>
      <c r="AF53" s="511" t="n"/>
      <c r="AG53" s="512" t="n"/>
      <c r="AH53" s="512" t="n"/>
      <c r="AI53" s="513" t="n"/>
      <c r="AJ53" s="510" t="n"/>
      <c r="AK53" s="511" t="n"/>
      <c r="AL53" s="513" t="n"/>
      <c r="AM53" s="513" t="n"/>
      <c r="AN53" s="513" t="n"/>
      <c r="AO53" s="513" t="n"/>
      <c r="AP53" s="513" t="n"/>
      <c r="AQ53" s="513" t="n"/>
      <c r="AR53" s="513" t="n"/>
      <c r="AS53" s="513" t="n"/>
      <c r="AT53" s="513" t="n"/>
      <c r="AU53" s="510" t="n"/>
      <c r="AV53" s="527" t="n"/>
      <c r="AW53" s="514" t="n"/>
      <c r="AX53" s="514" t="n"/>
      <c r="AY53" s="514" t="n"/>
      <c r="AZ53" s="514" t="n"/>
      <c r="BA53" s="510">
        <f>SUM(AV53:AZ53)</f>
        <v/>
      </c>
      <c r="BB53" s="511" t="n"/>
      <c r="BC53" s="512" t="n"/>
      <c r="BD53" s="512" t="n"/>
      <c r="BE53" s="512" t="n"/>
      <c r="BF53" s="510">
        <f>SUM(BB53:BE53)</f>
        <v/>
      </c>
      <c r="BG53" s="518" t="n"/>
      <c r="BH53" s="519">
        <f>H53+M53+AE53+AJ53+AU53+BA53+BF53</f>
        <v/>
      </c>
      <c r="BI53" s="528">
        <f>IF(E53-BH53&lt;0, BH53-E53, )</f>
        <v/>
      </c>
      <c r="BJ53" s="529">
        <f>IF(E53-BH53&lt;0, ,E53-BH53)</f>
        <v/>
      </c>
      <c r="BK53" s="530" t="n"/>
      <c r="BM53" s="523" t="n"/>
      <c r="BN53" s="523" t="n"/>
      <c r="BO53" s="523" t="n"/>
      <c r="BP53" s="523" t="n"/>
      <c r="BQ53" s="523" t="n"/>
      <c r="BR53" s="523" t="n"/>
      <c r="BS53" s="523" t="n"/>
      <c r="BT53" s="518">
        <f>SUM(BM53:BS53)</f>
        <v/>
      </c>
      <c r="BU53" s="518" t="n"/>
      <c r="BV53" s="523" t="n"/>
      <c r="BW53" s="523" t="n"/>
      <c r="BX53" s="523" t="n"/>
      <c r="BY53" s="523" t="n"/>
      <c r="BZ53" s="523" t="n"/>
      <c r="CA53" s="523" t="n"/>
      <c r="CB53" s="523" t="n"/>
      <c r="CC53" s="518">
        <f>SUM(BV53:CB53)</f>
        <v/>
      </c>
      <c r="CD53" s="518" t="n"/>
      <c r="CE53" s="523" t="n"/>
      <c r="CF53" s="523" t="n"/>
      <c r="CG53" s="523" t="n"/>
      <c r="CH53" s="523" t="n"/>
      <c r="CI53" s="523" t="n"/>
      <c r="CJ53" s="523" t="n"/>
      <c r="CK53" s="523" t="n"/>
      <c r="CL53" s="518">
        <f>SUM(CE53:CK53)</f>
        <v/>
      </c>
      <c r="CN53" s="525">
        <f>+H53-(BM53+BV53+CE53)</f>
        <v/>
      </c>
      <c r="CO53" s="525">
        <f>+M53-(BN53+BW53+CF53)</f>
        <v/>
      </c>
      <c r="CP53" s="525">
        <f>+AE53-(BO53+BX53+CG53)</f>
        <v/>
      </c>
      <c r="CQ53" s="525">
        <f>+AJ53-(BP53+BY53+CH53)</f>
        <v/>
      </c>
      <c r="CR53" s="525">
        <f>+AU53-(BQ53+BZ53+CI53)</f>
        <v/>
      </c>
      <c r="CS53" s="525">
        <f>+BA53-(BR53+CA53+CJ53)</f>
        <v/>
      </c>
      <c r="CT53" s="525">
        <f>+BF53-(BS53+CB53+CK53)</f>
        <v/>
      </c>
      <c r="CU53" s="525">
        <f>BT53+CC53+CL53</f>
        <v/>
      </c>
      <c r="CV53" s="525">
        <f>SUM(CN53:CT53)</f>
        <v/>
      </c>
    </row>
    <row r="54" ht="21" customFormat="1" customHeight="1" s="230">
      <c r="A54" s="453" t="n">
        <v>5111102</v>
      </c>
      <c r="B54" s="309" t="inlineStr">
        <is>
          <t>GGG</t>
        </is>
      </c>
      <c r="C54" s="287" t="inlineStr">
        <is>
          <t>EMPALME DERECHO - DERIVACION SIMETRICO UNIPOLAR AUTOFUNDENTE P.CABLE SECO 6-16 / 6-16MM2 B.T.</t>
        </is>
      </c>
      <c r="D54" s="288" t="n">
        <v>5.196</v>
      </c>
      <c r="E54" s="507" t="n"/>
      <c r="F54" s="526" t="n"/>
      <c r="G54" s="527" t="n"/>
      <c r="H54" s="510" t="n"/>
      <c r="I54" s="511" t="n"/>
      <c r="J54" s="512" t="n"/>
      <c r="K54" s="512" t="n"/>
      <c r="L54" s="513" t="n"/>
      <c r="M54" s="510" t="n"/>
      <c r="N54" s="511" t="n"/>
      <c r="O54" s="511" t="n"/>
      <c r="P54" s="511" t="n"/>
      <c r="Q54" s="511" t="n"/>
      <c r="R54" s="511" t="n"/>
      <c r="S54" s="511" t="n"/>
      <c r="T54" s="511" t="n"/>
      <c r="U54" s="511" t="n"/>
      <c r="V54" s="511" t="n"/>
      <c r="W54" s="511" t="n"/>
      <c r="X54" s="511" t="n"/>
      <c r="Y54" s="511" t="n"/>
      <c r="Z54" s="511" t="n"/>
      <c r="AA54" s="511" t="n"/>
      <c r="AB54" s="511" t="n"/>
      <c r="AC54" s="512" t="n"/>
      <c r="AD54" s="512" t="n"/>
      <c r="AE54" s="510" t="n"/>
      <c r="AF54" s="511" t="n"/>
      <c r="AG54" s="512" t="n"/>
      <c r="AH54" s="512" t="n"/>
      <c r="AI54" s="513" t="n"/>
      <c r="AJ54" s="510" t="n"/>
      <c r="AK54" s="513" t="n"/>
      <c r="AL54" s="513" t="n"/>
      <c r="AM54" s="513" t="n"/>
      <c r="AN54" s="513" t="n"/>
      <c r="AO54" s="513" t="n"/>
      <c r="AP54" s="513" t="n"/>
      <c r="AQ54" s="513" t="n"/>
      <c r="AR54" s="513" t="n"/>
      <c r="AS54" s="513" t="n"/>
      <c r="AT54" s="513" t="n"/>
      <c r="AU54" s="510" t="n"/>
      <c r="AV54" s="527" t="n"/>
      <c r="AW54" s="514" t="n"/>
      <c r="AX54" s="514" t="n"/>
      <c r="AY54" s="514" t="n"/>
      <c r="AZ54" s="514" t="n"/>
      <c r="BA54" s="510">
        <f>SUM(AV54:AZ54)</f>
        <v/>
      </c>
      <c r="BB54" s="511" t="n"/>
      <c r="BC54" s="512" t="n"/>
      <c r="BD54" s="512" t="n"/>
      <c r="BE54" s="512" t="n"/>
      <c r="BF54" s="510">
        <f>SUM(BB54:BE54)</f>
        <v/>
      </c>
      <c r="BG54" s="518" t="n"/>
      <c r="BH54" s="519">
        <f>H54+M54+AE54+AJ54+AU54+BA54+BF54</f>
        <v/>
      </c>
      <c r="BI54" s="528">
        <f>IF(E54-BH54&lt;0, BH54-E54, )</f>
        <v/>
      </c>
      <c r="BJ54" s="529">
        <f>IF(E54-BH54&lt;0, ,E54-BH54)</f>
        <v/>
      </c>
      <c r="BK54" s="530" t="n"/>
      <c r="BM54" s="523" t="n"/>
      <c r="BN54" s="523" t="n"/>
      <c r="BO54" s="523" t="n"/>
      <c r="BP54" s="523" t="n"/>
      <c r="BQ54" s="523" t="n"/>
      <c r="BR54" s="523" t="n"/>
      <c r="BS54" s="523" t="n"/>
      <c r="BT54" s="518">
        <f>SUM(BM54:BS54)</f>
        <v/>
      </c>
      <c r="BU54" s="518" t="n"/>
      <c r="BV54" s="523" t="n"/>
      <c r="BW54" s="523" t="n"/>
      <c r="BX54" s="523" t="n"/>
      <c r="BY54" s="523" t="n"/>
      <c r="BZ54" s="523" t="n"/>
      <c r="CA54" s="523" t="n"/>
      <c r="CB54" s="523" t="n"/>
      <c r="CC54" s="518">
        <f>SUM(BV54:CB54)</f>
        <v/>
      </c>
      <c r="CD54" s="518" t="n"/>
      <c r="CE54" s="523" t="n"/>
      <c r="CF54" s="523" t="n"/>
      <c r="CG54" s="523" t="n"/>
      <c r="CH54" s="523" t="n"/>
      <c r="CI54" s="523" t="n"/>
      <c r="CJ54" s="523" t="n"/>
      <c r="CK54" s="523" t="n"/>
      <c r="CL54" s="518">
        <f>SUM(CE54:CK54)</f>
        <v/>
      </c>
      <c r="CN54" s="525">
        <f>+H54-(BM54+BV54+CE54)</f>
        <v/>
      </c>
      <c r="CO54" s="525">
        <f>+M54-(BN54+BW54+CF54)</f>
        <v/>
      </c>
      <c r="CP54" s="525">
        <f>+AE54-(BO54+BX54+CG54)</f>
        <v/>
      </c>
      <c r="CQ54" s="525">
        <f>+AJ54-(BP54+BY54+CH54)</f>
        <v/>
      </c>
      <c r="CR54" s="525">
        <f>+AU54-(BQ54+BZ54+CI54)</f>
        <v/>
      </c>
      <c r="CS54" s="525">
        <f>+BA54-(BR54+CA54+CJ54)</f>
        <v/>
      </c>
      <c r="CT54" s="525">
        <f>+BF54-(BS54+CB54+CK54)</f>
        <v/>
      </c>
      <c r="CU54" s="525">
        <f>BT54+CC54+CL54</f>
        <v/>
      </c>
      <c r="CV54" s="525">
        <f>SUM(CN54:CT54)</f>
        <v/>
      </c>
    </row>
    <row r="55" ht="21" customFormat="1" customHeight="1" s="230">
      <c r="A55" s="453" t="n">
        <v>5131920</v>
      </c>
      <c r="B55" s="309" t="inlineStr">
        <is>
          <t>GGG</t>
        </is>
      </c>
      <c r="C55" s="287" t="inlineStr">
        <is>
          <t>ETIQUETAS MARCACION EMPALMES SUBTERRANEOS 85X50MM.</t>
        </is>
      </c>
      <c r="D55" s="288" t="n">
        <v>1.42</v>
      </c>
      <c r="E55" s="507" t="n"/>
      <c r="F55" s="526" t="n"/>
      <c r="G55" s="527" t="n"/>
      <c r="H55" s="510" t="n"/>
      <c r="I55" s="511" t="n"/>
      <c r="J55" s="512" t="n"/>
      <c r="K55" s="512" t="n"/>
      <c r="L55" s="513" t="n"/>
      <c r="M55" s="510" t="n"/>
      <c r="N55" s="511" t="n"/>
      <c r="O55" s="512" t="n"/>
      <c r="P55" s="512" t="n"/>
      <c r="Q55" s="512" t="n"/>
      <c r="R55" s="512" t="n"/>
      <c r="S55" s="512" t="n"/>
      <c r="T55" s="512" t="n"/>
      <c r="U55" s="512" t="n"/>
      <c r="V55" s="512" t="n"/>
      <c r="W55" s="512" t="n"/>
      <c r="X55" s="512" t="n"/>
      <c r="Y55" s="512" t="n"/>
      <c r="Z55" s="512" t="n"/>
      <c r="AA55" s="512" t="n"/>
      <c r="AB55" s="512" t="n"/>
      <c r="AC55" s="512" t="n"/>
      <c r="AD55" s="512" t="n"/>
      <c r="AE55" s="510" t="n"/>
      <c r="AF55" s="511" t="n"/>
      <c r="AG55" s="512" t="n"/>
      <c r="AH55" s="512" t="n"/>
      <c r="AI55" s="513" t="n"/>
      <c r="AJ55" s="510" t="n"/>
      <c r="AK55" s="513" t="n"/>
      <c r="AL55" s="513" t="n"/>
      <c r="AM55" s="513" t="n"/>
      <c r="AN55" s="513" t="n"/>
      <c r="AO55" s="513" t="n"/>
      <c r="AP55" s="513" t="n"/>
      <c r="AQ55" s="513" t="n"/>
      <c r="AR55" s="513" t="n"/>
      <c r="AS55" s="513" t="n"/>
      <c r="AT55" s="513" t="n"/>
      <c r="AU55" s="510" t="n"/>
      <c r="AV55" s="527" t="n"/>
      <c r="AW55" s="514" t="n"/>
      <c r="AX55" s="514" t="n"/>
      <c r="AY55" s="514" t="n"/>
      <c r="AZ55" s="514" t="n"/>
      <c r="BA55" s="510">
        <f>SUM(AV55:AZ55)</f>
        <v/>
      </c>
      <c r="BB55" s="511" t="n"/>
      <c r="BC55" s="512" t="n"/>
      <c r="BD55" s="512" t="n"/>
      <c r="BE55" s="512" t="n"/>
      <c r="BF55" s="510">
        <f>SUM(BB55:BE55)</f>
        <v/>
      </c>
      <c r="BG55" s="518" t="n"/>
      <c r="BH55" s="519">
        <f>H55+M55+AE55+AJ55+AU55+BA55+BF55</f>
        <v/>
      </c>
      <c r="BI55" s="528">
        <f>IF(E55-BH55&lt;0, BH55-E55, )</f>
        <v/>
      </c>
      <c r="BJ55" s="529">
        <f>IF(E55-BH55&lt;0, ,E55-BH55)</f>
        <v/>
      </c>
      <c r="BK55" s="530" t="n"/>
      <c r="BM55" s="523" t="n"/>
      <c r="BN55" s="523" t="n"/>
      <c r="BO55" s="523" t="n"/>
      <c r="BP55" s="523" t="n"/>
      <c r="BQ55" s="523" t="n"/>
      <c r="BR55" s="523" t="n"/>
      <c r="BS55" s="523" t="n"/>
      <c r="BT55" s="518">
        <f>SUM(BM55:BS55)</f>
        <v/>
      </c>
      <c r="BU55" s="518" t="n"/>
      <c r="BV55" s="523" t="n"/>
      <c r="BW55" s="523" t="n"/>
      <c r="BX55" s="523" t="n"/>
      <c r="BY55" s="523" t="n"/>
      <c r="BZ55" s="523" t="n"/>
      <c r="CA55" s="523" t="n"/>
      <c r="CB55" s="523" t="n"/>
      <c r="CC55" s="518">
        <f>SUM(BV55:CB55)</f>
        <v/>
      </c>
      <c r="CD55" s="518" t="n"/>
      <c r="CE55" s="523" t="n"/>
      <c r="CF55" s="523" t="n"/>
      <c r="CG55" s="523" t="n"/>
      <c r="CH55" s="523" t="n"/>
      <c r="CI55" s="523" t="n"/>
      <c r="CJ55" s="523" t="n"/>
      <c r="CK55" s="523" t="n"/>
      <c r="CL55" s="518">
        <f>SUM(CE55:CK55)</f>
        <v/>
      </c>
      <c r="CN55" s="525">
        <f>+H55-(BM55+BV55+CE55)</f>
        <v/>
      </c>
      <c r="CO55" s="525">
        <f>+M55-(BN55+BW55+CF55)</f>
        <v/>
      </c>
      <c r="CP55" s="525">
        <f>+AE55-(BO55+BX55+CG55)</f>
        <v/>
      </c>
      <c r="CQ55" s="525">
        <f>+AJ55-(BP55+BY55+CH55)</f>
        <v/>
      </c>
      <c r="CR55" s="525">
        <f>+AU55-(BQ55+BZ55+CI55)</f>
        <v/>
      </c>
      <c r="CS55" s="525">
        <f>+BA55-(BR55+CA55+CJ55)</f>
        <v/>
      </c>
      <c r="CT55" s="525">
        <f>+BF55-(BS55+CB55+CK55)</f>
        <v/>
      </c>
      <c r="CU55" s="525">
        <f>BT55+CC55+CL55</f>
        <v/>
      </c>
      <c r="CV55" s="525">
        <f>SUM(CN55:CT55)</f>
        <v/>
      </c>
    </row>
    <row r="56" ht="21" customFormat="1" customHeight="1" s="230">
      <c r="A56" s="453" t="n">
        <v>5114702</v>
      </c>
      <c r="B56" s="309" t="inlineStr">
        <is>
          <t>GGG</t>
        </is>
      </c>
      <c r="C56" s="287" t="inlineStr">
        <is>
          <t>CINTA SENALIZADORA AMARILLA P.CABLES SUBTERRANEOS 220V P.LUZ DEL SUR</t>
        </is>
      </c>
      <c r="D56" s="288" t="n">
        <v>0.184</v>
      </c>
      <c r="E56" s="507" t="n"/>
      <c r="F56" s="526" t="n"/>
      <c r="G56" s="527" t="n"/>
      <c r="H56" s="510" t="n"/>
      <c r="I56" s="511" t="n"/>
      <c r="J56" s="512" t="n"/>
      <c r="K56" s="512" t="n"/>
      <c r="L56" s="513" t="n"/>
      <c r="M56" s="510" t="n"/>
      <c r="N56" s="511" t="n"/>
      <c r="O56" s="512" t="n"/>
      <c r="P56" s="512" t="n"/>
      <c r="Q56" s="512" t="n"/>
      <c r="R56" s="512" t="n"/>
      <c r="S56" s="512" t="n"/>
      <c r="T56" s="512" t="n"/>
      <c r="U56" s="512" t="n"/>
      <c r="V56" s="512" t="n"/>
      <c r="W56" s="512" t="n"/>
      <c r="X56" s="512" t="n"/>
      <c r="Y56" s="512" t="n"/>
      <c r="Z56" s="512" t="n"/>
      <c r="AA56" s="512" t="n"/>
      <c r="AB56" s="512" t="n"/>
      <c r="AC56" s="512" t="n"/>
      <c r="AD56" s="512" t="n"/>
      <c r="AE56" s="510" t="n"/>
      <c r="AF56" s="511" t="n"/>
      <c r="AG56" s="512" t="n"/>
      <c r="AH56" s="512" t="n"/>
      <c r="AI56" s="513" t="n"/>
      <c r="AJ56" s="510" t="n"/>
      <c r="AK56" s="513" t="n"/>
      <c r="AL56" s="513" t="n"/>
      <c r="AM56" s="513" t="n"/>
      <c r="AN56" s="513" t="n"/>
      <c r="AO56" s="513" t="n"/>
      <c r="AP56" s="513" t="n"/>
      <c r="AQ56" s="513" t="n"/>
      <c r="AR56" s="513" t="n"/>
      <c r="AS56" s="513" t="n"/>
      <c r="AT56" s="513" t="n"/>
      <c r="AU56" s="510" t="n"/>
      <c r="AV56" s="527" t="n"/>
      <c r="AW56" s="514" t="n"/>
      <c r="AX56" s="514" t="n"/>
      <c r="AY56" s="514" t="n"/>
      <c r="AZ56" s="514" t="n"/>
      <c r="BA56" s="510">
        <f>SUM(AV56:AZ56)</f>
        <v/>
      </c>
      <c r="BB56" s="511" t="n"/>
      <c r="BC56" s="512" t="n"/>
      <c r="BD56" s="512" t="n"/>
      <c r="BE56" s="512" t="n"/>
      <c r="BF56" s="510">
        <f>SUM(BB56:BE56)</f>
        <v/>
      </c>
      <c r="BG56" s="518" t="n"/>
      <c r="BH56" s="519">
        <f>H56+M56+AE56+AJ56+AU56+BA56+BF56</f>
        <v/>
      </c>
      <c r="BI56" s="528">
        <f>IF(E56-BH56&lt;0, BH56-E56, )</f>
        <v/>
      </c>
      <c r="BJ56" s="529">
        <f>IF(E56-BH56&lt;0, ,E56-BH56)</f>
        <v/>
      </c>
      <c r="BK56" s="530" t="n"/>
      <c r="BM56" s="523" t="n"/>
      <c r="BN56" s="523" t="n"/>
      <c r="BO56" s="523" t="n"/>
      <c r="BP56" s="523" t="n"/>
      <c r="BQ56" s="523" t="n"/>
      <c r="BR56" s="523" t="n"/>
      <c r="BS56" s="523" t="n"/>
      <c r="BT56" s="518">
        <f>SUM(BM56:BS56)</f>
        <v/>
      </c>
      <c r="BU56" s="518" t="n"/>
      <c r="BV56" s="523" t="n"/>
      <c r="BW56" s="523" t="n"/>
      <c r="BX56" s="523" t="n"/>
      <c r="BY56" s="523" t="n"/>
      <c r="BZ56" s="523" t="n"/>
      <c r="CA56" s="523" t="n"/>
      <c r="CB56" s="523" t="n"/>
      <c r="CC56" s="518">
        <f>SUM(BV56:CB56)</f>
        <v/>
      </c>
      <c r="CD56" s="518" t="n"/>
      <c r="CE56" s="523" t="n"/>
      <c r="CF56" s="523" t="n"/>
      <c r="CG56" s="523" t="n"/>
      <c r="CH56" s="523" t="n"/>
      <c r="CI56" s="523" t="n"/>
      <c r="CJ56" s="523" t="n"/>
      <c r="CK56" s="523" t="n"/>
      <c r="CL56" s="518">
        <f>SUM(CE56:CK56)</f>
        <v/>
      </c>
      <c r="CN56" s="525">
        <f>+H56-(BM56+BV56+CE56)</f>
        <v/>
      </c>
      <c r="CO56" s="525">
        <f>+M56-(BN56+BW56+CF56)</f>
        <v/>
      </c>
      <c r="CP56" s="525">
        <f>+AE56-(BO56+BX56+CG56)</f>
        <v/>
      </c>
      <c r="CQ56" s="525">
        <f>+AJ56-(BP56+BY56+CH56)</f>
        <v/>
      </c>
      <c r="CR56" s="525">
        <f>+AU56-(BQ56+BZ56+CI56)</f>
        <v/>
      </c>
      <c r="CS56" s="525">
        <f>+BA56-(BR56+CA56+CJ56)</f>
        <v/>
      </c>
      <c r="CT56" s="525">
        <f>+BF56-(BS56+CB56+CK56)</f>
        <v/>
      </c>
      <c r="CU56" s="525">
        <f>BT56+CC56+CL56</f>
        <v/>
      </c>
      <c r="CV56" s="525">
        <f>SUM(CN56:CT56)</f>
        <v/>
      </c>
    </row>
    <row r="57" ht="21" customFormat="1" customHeight="1" s="230">
      <c r="A57" s="453" t="n">
        <v>5031165</v>
      </c>
      <c r="B57" s="309" t="inlineStr">
        <is>
          <t>GGG</t>
        </is>
      </c>
      <c r="C57" s="287" t="inlineStr">
        <is>
          <t>CABLE DE ENERGIA BIPOLAR TIPO N2XY 2 - 1 X 6MM2 0,6 / 1KV</t>
        </is>
      </c>
      <c r="D57" s="288" t="n">
        <v>3.572</v>
      </c>
      <c r="E57" s="507" t="n"/>
      <c r="F57" s="526" t="n"/>
      <c r="G57" s="527" t="n"/>
      <c r="H57" s="510" t="n"/>
      <c r="I57" s="511" t="n"/>
      <c r="J57" s="512" t="n"/>
      <c r="K57" s="512" t="n"/>
      <c r="L57" s="513" t="n"/>
      <c r="M57" s="510" t="n"/>
      <c r="N57" s="511" t="n"/>
      <c r="O57" s="512" t="n"/>
      <c r="P57" s="512" t="n"/>
      <c r="Q57" s="512" t="n"/>
      <c r="R57" s="512" t="n"/>
      <c r="S57" s="512" t="n"/>
      <c r="T57" s="512" t="n"/>
      <c r="U57" s="512" t="n"/>
      <c r="V57" s="512" t="n"/>
      <c r="W57" s="512" t="n"/>
      <c r="X57" s="512" t="n"/>
      <c r="Y57" s="512" t="n"/>
      <c r="Z57" s="512" t="n"/>
      <c r="AA57" s="512" t="n"/>
      <c r="AB57" s="512" t="n"/>
      <c r="AC57" s="512" t="n"/>
      <c r="AD57" s="512" t="n"/>
      <c r="AE57" s="510" t="n"/>
      <c r="AF57" s="511" t="n"/>
      <c r="AG57" s="512" t="n"/>
      <c r="AH57" s="512" t="n"/>
      <c r="AI57" s="513" t="n"/>
      <c r="AJ57" s="510" t="n"/>
      <c r="AK57" s="513" t="n"/>
      <c r="AL57" s="513" t="n"/>
      <c r="AM57" s="513" t="n"/>
      <c r="AN57" s="513" t="n"/>
      <c r="AO57" s="513" t="n"/>
      <c r="AP57" s="513" t="n"/>
      <c r="AQ57" s="513" t="n"/>
      <c r="AR57" s="513" t="n"/>
      <c r="AS57" s="513" t="n"/>
      <c r="AT57" s="513" t="n"/>
      <c r="AU57" s="510" t="n"/>
      <c r="AV57" s="527" t="n"/>
      <c r="AW57" s="514" t="n"/>
      <c r="AX57" s="514" t="n"/>
      <c r="AY57" s="514" t="n"/>
      <c r="AZ57" s="514" t="n"/>
      <c r="BA57" s="510">
        <f>SUM(AV57:AZ57)</f>
        <v/>
      </c>
      <c r="BB57" s="511" t="n"/>
      <c r="BC57" s="512" t="n"/>
      <c r="BD57" s="512" t="n"/>
      <c r="BE57" s="512" t="n"/>
      <c r="BF57" s="510">
        <f>SUM(BB57:BE57)</f>
        <v/>
      </c>
      <c r="BG57" s="518" t="n"/>
      <c r="BH57" s="519">
        <f>H57+M57+AE57+AJ57+AU57+BA57+BF57</f>
        <v/>
      </c>
      <c r="BI57" s="528">
        <f>IF(E57-BH57&lt;0, BH57-E57, )</f>
        <v/>
      </c>
      <c r="BJ57" s="529">
        <f>IF(E57-BH57&lt;0, ,E57-BH57)</f>
        <v/>
      </c>
      <c r="BK57" s="530" t="n"/>
      <c r="BM57" s="523" t="n"/>
      <c r="BN57" s="523" t="n"/>
      <c r="BO57" s="523" t="n"/>
      <c r="BP57" s="523" t="n"/>
      <c r="BQ57" s="523" t="n"/>
      <c r="BR57" s="523" t="n"/>
      <c r="BS57" s="523" t="n"/>
      <c r="BT57" s="518">
        <f>SUM(BM57:BS57)</f>
        <v/>
      </c>
      <c r="BU57" s="518" t="n"/>
      <c r="BV57" s="523" t="n"/>
      <c r="BW57" s="523" t="n"/>
      <c r="BX57" s="523" t="n"/>
      <c r="BY57" s="523" t="n"/>
      <c r="BZ57" s="523" t="n"/>
      <c r="CA57" s="523" t="n"/>
      <c r="CB57" s="523" t="n"/>
      <c r="CC57" s="518">
        <f>SUM(BV57:CB57)</f>
        <v/>
      </c>
      <c r="CD57" s="518" t="n"/>
      <c r="CE57" s="523" t="n"/>
      <c r="CF57" s="523" t="n"/>
      <c r="CG57" s="523" t="n"/>
      <c r="CH57" s="523" t="n"/>
      <c r="CI57" s="523" t="n"/>
      <c r="CJ57" s="523" t="n"/>
      <c r="CK57" s="523" t="n"/>
      <c r="CL57" s="518">
        <f>SUM(CE57:CK57)</f>
        <v/>
      </c>
      <c r="CN57" s="525">
        <f>+H57-(BM57+BV57+CE57)</f>
        <v/>
      </c>
      <c r="CO57" s="525">
        <f>+M57-(BN57+BW57+CF57)</f>
        <v/>
      </c>
      <c r="CP57" s="525">
        <f>+AE57-(BO57+BX57+CG57)</f>
        <v/>
      </c>
      <c r="CQ57" s="525">
        <f>+AJ57-(BP57+BY57+CH57)</f>
        <v/>
      </c>
      <c r="CR57" s="525">
        <f>+AU57-(BQ57+BZ57+CI57)</f>
        <v/>
      </c>
      <c r="CS57" s="525">
        <f>+BA57-(BR57+CA57+CJ57)</f>
        <v/>
      </c>
      <c r="CT57" s="525">
        <f>+BF57-(BS57+CB57+CK57)</f>
        <v/>
      </c>
      <c r="CU57" s="525">
        <f>BT57+CC57+CL57</f>
        <v/>
      </c>
      <c r="CV57" s="525">
        <f>SUM(CN57:CT57)</f>
        <v/>
      </c>
    </row>
    <row r="58" ht="21" customFormat="1" customHeight="1" s="230">
      <c r="A58" s="453" t="n">
        <v>5347088</v>
      </c>
      <c r="B58" s="309" t="inlineStr">
        <is>
          <t>GGG</t>
        </is>
      </c>
      <c r="C58" s="287" t="inlineStr">
        <is>
          <t>PASTORAL JP</t>
        </is>
      </c>
      <c r="D58" s="288" t="n">
        <v>67.657</v>
      </c>
      <c r="E58" s="507" t="n"/>
      <c r="F58" s="526" t="n"/>
      <c r="G58" s="527" t="n"/>
      <c r="H58" s="510" t="n"/>
      <c r="I58" s="511" t="n"/>
      <c r="J58" s="512" t="n"/>
      <c r="K58" s="512" t="n"/>
      <c r="L58" s="513" t="n"/>
      <c r="M58" s="510" t="n"/>
      <c r="N58" s="511" t="n"/>
      <c r="O58" s="512" t="n"/>
      <c r="P58" s="512" t="n"/>
      <c r="Q58" s="512" t="n"/>
      <c r="R58" s="512" t="n"/>
      <c r="S58" s="512" t="n"/>
      <c r="T58" s="512" t="n"/>
      <c r="U58" s="512" t="n"/>
      <c r="V58" s="512" t="n"/>
      <c r="W58" s="512" t="n"/>
      <c r="X58" s="512" t="n"/>
      <c r="Y58" s="512" t="n"/>
      <c r="Z58" s="512" t="n"/>
      <c r="AA58" s="512" t="n"/>
      <c r="AB58" s="512" t="n"/>
      <c r="AC58" s="512" t="n"/>
      <c r="AD58" s="512" t="n"/>
      <c r="AE58" s="510" t="n"/>
      <c r="AF58" s="511" t="n"/>
      <c r="AG58" s="512" t="n"/>
      <c r="AH58" s="512" t="n"/>
      <c r="AI58" s="513" t="n"/>
      <c r="AJ58" s="510" t="n"/>
      <c r="AK58" s="513" t="n"/>
      <c r="AL58" s="513" t="n"/>
      <c r="AM58" s="513" t="n"/>
      <c r="AN58" s="513" t="n"/>
      <c r="AO58" s="513" t="n"/>
      <c r="AP58" s="513" t="n"/>
      <c r="AQ58" s="513" t="n"/>
      <c r="AR58" s="513" t="n"/>
      <c r="AS58" s="513" t="n"/>
      <c r="AT58" s="513" t="n"/>
      <c r="AU58" s="510" t="n"/>
      <c r="AV58" s="531" t="n"/>
      <c r="AW58" s="514" t="n"/>
      <c r="AX58" s="514" t="n"/>
      <c r="AY58" s="514" t="n"/>
      <c r="AZ58" s="514" t="n"/>
      <c r="BA58" s="510">
        <f>SUM(AV58:AZ58)</f>
        <v/>
      </c>
      <c r="BB58" s="511" t="n"/>
      <c r="BC58" s="512" t="n"/>
      <c r="BD58" s="512" t="n"/>
      <c r="BE58" s="512" t="n"/>
      <c r="BF58" s="510">
        <f>SUM(BB58:BE58)</f>
        <v/>
      </c>
      <c r="BG58" s="518" t="n"/>
      <c r="BH58" s="519">
        <f>H58+M58+AE58+AJ58+AU58+BA58+BF58</f>
        <v/>
      </c>
      <c r="BI58" s="528">
        <f>IF(E58-BH58&lt;0, BH58-E58, )</f>
        <v/>
      </c>
      <c r="BJ58" s="529">
        <f>IF(E58-BH58&lt;0, ,E58-BH58)</f>
        <v/>
      </c>
      <c r="BK58" s="530" t="n"/>
      <c r="BM58" s="523" t="n"/>
      <c r="BN58" s="523" t="n"/>
      <c r="BO58" s="523" t="n"/>
      <c r="BP58" s="523" t="n"/>
      <c r="BQ58" s="523" t="n"/>
      <c r="BR58" s="523" t="n"/>
      <c r="BS58" s="523" t="n"/>
      <c r="BT58" s="518">
        <f>SUM(BM58:BS58)</f>
        <v/>
      </c>
      <c r="BU58" s="518" t="n"/>
      <c r="BV58" s="523" t="n"/>
      <c r="BW58" s="523" t="n"/>
      <c r="BX58" s="523" t="n"/>
      <c r="BY58" s="523" t="n"/>
      <c r="BZ58" s="523" t="n"/>
      <c r="CA58" s="523" t="n"/>
      <c r="CB58" s="523" t="n"/>
      <c r="CC58" s="518">
        <f>SUM(BV58:CB58)</f>
        <v/>
      </c>
      <c r="CD58" s="518" t="n"/>
      <c r="CE58" s="523" t="n"/>
      <c r="CF58" s="523" t="n"/>
      <c r="CG58" s="523" t="n"/>
      <c r="CH58" s="523" t="n"/>
      <c r="CI58" s="523" t="n"/>
      <c r="CJ58" s="523" t="n"/>
      <c r="CK58" s="523" t="n"/>
      <c r="CL58" s="518">
        <f>SUM(CE58:CK58)</f>
        <v/>
      </c>
      <c r="CN58" s="525">
        <f>+H58-(BM58+BV58+CE58)</f>
        <v/>
      </c>
      <c r="CO58" s="525">
        <f>+M58-(BN58+BW58+CF58)</f>
        <v/>
      </c>
      <c r="CP58" s="525">
        <f>+AE58-(BO58+BX58+CG58)</f>
        <v/>
      </c>
      <c r="CQ58" s="525">
        <f>+AJ58-(BP58+BY58+CH58)</f>
        <v/>
      </c>
      <c r="CR58" s="525">
        <f>+AU58-(BQ58+BZ58+CI58)</f>
        <v/>
      </c>
      <c r="CS58" s="525">
        <f>+BA58-(BR58+CA58+CJ58)</f>
        <v/>
      </c>
      <c r="CT58" s="525">
        <f>+BF58-(BS58+CB58+CK58)</f>
        <v/>
      </c>
      <c r="CU58" s="525">
        <f>BT58+CC58+CL58</f>
        <v/>
      </c>
      <c r="CV58" s="525">
        <f>SUM(CN58:CT58)</f>
        <v/>
      </c>
    </row>
    <row r="59" ht="21" customFormat="1" customHeight="1" s="230">
      <c r="A59" s="455" t="n">
        <v>5347174</v>
      </c>
      <c r="B59" s="309" t="inlineStr">
        <is>
          <t>GGG</t>
        </is>
      </c>
      <c r="C59" s="287" t="inlineStr">
        <is>
          <t>PASTORAL CHILENO CORTO</t>
        </is>
      </c>
      <c r="D59" s="288" t="e">
        <v>#N/A</v>
      </c>
      <c r="E59" s="507" t="n"/>
      <c r="F59" s="526" t="n"/>
      <c r="G59" s="527" t="n"/>
      <c r="H59" s="510" t="n"/>
      <c r="I59" s="511" t="n"/>
      <c r="J59" s="512" t="n"/>
      <c r="K59" s="512" t="n"/>
      <c r="L59" s="513" t="n"/>
      <c r="M59" s="510" t="n"/>
      <c r="N59" s="511" t="n"/>
      <c r="O59" s="512" t="n"/>
      <c r="P59" s="512" t="n"/>
      <c r="Q59" s="512" t="n"/>
      <c r="R59" s="512" t="n"/>
      <c r="S59" s="512" t="n"/>
      <c r="T59" s="512" t="n"/>
      <c r="U59" s="512" t="n"/>
      <c r="V59" s="512" t="n"/>
      <c r="W59" s="512" t="n"/>
      <c r="X59" s="512" t="n"/>
      <c r="Y59" s="512" t="n"/>
      <c r="Z59" s="512" t="n"/>
      <c r="AA59" s="512" t="n"/>
      <c r="AB59" s="512" t="n"/>
      <c r="AC59" s="512" t="n"/>
      <c r="AD59" s="512" t="n"/>
      <c r="AE59" s="510" t="n"/>
      <c r="AF59" s="511" t="n"/>
      <c r="AG59" s="512" t="n"/>
      <c r="AH59" s="512" t="n"/>
      <c r="AI59" s="513" t="n"/>
      <c r="AJ59" s="510" t="n"/>
      <c r="AK59" s="513" t="n"/>
      <c r="AL59" s="513" t="n"/>
      <c r="AM59" s="513" t="n"/>
      <c r="AN59" s="513" t="n"/>
      <c r="AO59" s="513" t="n"/>
      <c r="AP59" s="513" t="n"/>
      <c r="AQ59" s="513" t="n"/>
      <c r="AR59" s="513" t="n"/>
      <c r="AS59" s="513" t="n"/>
      <c r="AT59" s="513" t="n"/>
      <c r="AU59" s="510" t="n"/>
      <c r="AV59" s="527" t="n"/>
      <c r="AW59" s="514" t="n"/>
      <c r="AX59" s="514" t="n"/>
      <c r="AY59" s="514" t="n"/>
      <c r="AZ59" s="514" t="n"/>
      <c r="BA59" s="510">
        <f>SUM(AV59:AZ59)</f>
        <v/>
      </c>
      <c r="BB59" s="511" t="n"/>
      <c r="BC59" s="512" t="n"/>
      <c r="BD59" s="512" t="n"/>
      <c r="BE59" s="512" t="n"/>
      <c r="BF59" s="510">
        <f>SUM(BB59:BE59)</f>
        <v/>
      </c>
      <c r="BG59" s="518" t="n"/>
      <c r="BH59" s="519">
        <f>H59+M59+AE59+AJ59+AU59+BA59+BF59</f>
        <v/>
      </c>
      <c r="BI59" s="528">
        <f>IF(E59-BH59&lt;0, BH59-E59, )</f>
        <v/>
      </c>
      <c r="BJ59" s="529">
        <f>IF(E59-BH59&lt;0, ,E59-BH59)</f>
        <v/>
      </c>
      <c r="BK59" s="530" t="n"/>
      <c r="BM59" s="523" t="n"/>
      <c r="BN59" s="523" t="n"/>
      <c r="BO59" s="523" t="n"/>
      <c r="BP59" s="523" t="n"/>
      <c r="BQ59" s="523" t="n"/>
      <c r="BR59" s="523" t="n"/>
      <c r="BS59" s="523" t="n"/>
      <c r="BT59" s="518">
        <f>SUM(BM59:BS59)</f>
        <v/>
      </c>
      <c r="BU59" s="518" t="n"/>
      <c r="BV59" s="523" t="n"/>
      <c r="BW59" s="523" t="n"/>
      <c r="BX59" s="523" t="n"/>
      <c r="BY59" s="523" t="n"/>
      <c r="BZ59" s="523" t="n"/>
      <c r="CA59" s="523" t="n"/>
      <c r="CB59" s="523" t="n"/>
      <c r="CC59" s="518">
        <f>SUM(BV59:CB59)</f>
        <v/>
      </c>
      <c r="CD59" s="518" t="n"/>
      <c r="CE59" s="523" t="n"/>
      <c r="CF59" s="523" t="n"/>
      <c r="CG59" s="523" t="n"/>
      <c r="CH59" s="523" t="n"/>
      <c r="CI59" s="523" t="n"/>
      <c r="CJ59" s="523" t="n"/>
      <c r="CK59" s="523" t="n"/>
      <c r="CL59" s="518">
        <f>SUM(CE59:CK59)</f>
        <v/>
      </c>
      <c r="CN59" s="525">
        <f>+H59-(BM59+BV59+CE59)</f>
        <v/>
      </c>
      <c r="CO59" s="525">
        <f>+M59-(BN59+BW59+CF59)</f>
        <v/>
      </c>
      <c r="CP59" s="525">
        <f>+AE59-(BO59+BX59+CG59)</f>
        <v/>
      </c>
      <c r="CQ59" s="525">
        <f>+AJ59-(BP59+BY59+CH59)</f>
        <v/>
      </c>
      <c r="CR59" s="525">
        <f>+AU59-(BQ59+BZ59+CI59)</f>
        <v/>
      </c>
      <c r="CS59" s="525">
        <f>+BA59-(BR59+CA59+CJ59)</f>
        <v/>
      </c>
      <c r="CT59" s="525">
        <f>+BF59-(BS59+CB59+CK59)</f>
        <v/>
      </c>
      <c r="CU59" s="525">
        <f>BT59+CC59+CL59</f>
        <v/>
      </c>
      <c r="CV59" s="525">
        <f>SUM(CN59:CT59)</f>
        <v/>
      </c>
    </row>
    <row r="60" ht="21" customFormat="1" customHeight="1" s="230">
      <c r="A60" s="453" t="n">
        <v>5484220</v>
      </c>
      <c r="B60" s="363" t="inlineStr">
        <is>
          <t>GGG</t>
        </is>
      </c>
      <c r="C60" s="364" t="inlineStr">
        <is>
          <t>TEMPLADOR P.ACOMETIDA DOMICILIARIA EN L.A.DE B.T.</t>
        </is>
      </c>
      <c r="D60" s="365" t="n">
        <v>1.002</v>
      </c>
      <c r="E60" s="507" t="n"/>
      <c r="F60" s="526" t="n"/>
      <c r="G60" s="527" t="n"/>
      <c r="H60" s="510" t="n"/>
      <c r="I60" s="511" t="n"/>
      <c r="J60" s="512" t="n"/>
      <c r="K60" s="512" t="n"/>
      <c r="L60" s="513" t="n"/>
      <c r="M60" s="510" t="n"/>
      <c r="N60" s="511" t="n"/>
      <c r="O60" s="512" t="n"/>
      <c r="P60" s="512" t="n"/>
      <c r="Q60" s="512" t="n"/>
      <c r="R60" s="512" t="n"/>
      <c r="S60" s="512" t="n"/>
      <c r="T60" s="512" t="n"/>
      <c r="U60" s="512" t="n"/>
      <c r="V60" s="512" t="n"/>
      <c r="W60" s="512" t="n"/>
      <c r="X60" s="512" t="n"/>
      <c r="Y60" s="512" t="n"/>
      <c r="Z60" s="512" t="n"/>
      <c r="AA60" s="512" t="n"/>
      <c r="AB60" s="512" t="n"/>
      <c r="AC60" s="512" t="n"/>
      <c r="AD60" s="512" t="n"/>
      <c r="AE60" s="510" t="n"/>
      <c r="AF60" s="511" t="n"/>
      <c r="AG60" s="512" t="n"/>
      <c r="AH60" s="512" t="n"/>
      <c r="AI60" s="513" t="n"/>
      <c r="AJ60" s="510" t="n"/>
      <c r="AK60" s="513" t="n"/>
      <c r="AL60" s="513" t="n"/>
      <c r="AM60" s="513" t="n"/>
      <c r="AN60" s="513" t="n"/>
      <c r="AO60" s="513" t="n"/>
      <c r="AP60" s="513" t="n"/>
      <c r="AQ60" s="513" t="n"/>
      <c r="AR60" s="513" t="n"/>
      <c r="AS60" s="513" t="n"/>
      <c r="AT60" s="513" t="n"/>
      <c r="AU60" s="510" t="n"/>
      <c r="AV60" s="527" t="n"/>
      <c r="AW60" s="514" t="n"/>
      <c r="AX60" s="514" t="n"/>
      <c r="AY60" s="514" t="n"/>
      <c r="AZ60" s="514" t="n"/>
      <c r="BA60" s="510">
        <f>SUM(AV60:AZ60)</f>
        <v/>
      </c>
      <c r="BB60" s="511" t="n"/>
      <c r="BC60" s="512" t="n"/>
      <c r="BD60" s="512" t="n"/>
      <c r="BE60" s="512" t="n"/>
      <c r="BF60" s="510">
        <f>SUM(BB60:BE60)</f>
        <v/>
      </c>
      <c r="BG60" s="518" t="n"/>
      <c r="BH60" s="519">
        <f>H60+M60+AE60+AJ60+AU60+BA60+BF60</f>
        <v/>
      </c>
      <c r="BI60" s="528">
        <f>IF(E60-BH60&lt;0, BH60-E60, )</f>
        <v/>
      </c>
      <c r="BJ60" s="529">
        <f>IF(E60-BH60&lt;0, ,E60-BH60)</f>
        <v/>
      </c>
      <c r="BK60" s="530" t="n"/>
      <c r="BM60" s="523" t="n"/>
      <c r="BN60" s="523" t="n"/>
      <c r="BO60" s="523" t="n"/>
      <c r="BP60" s="523" t="n"/>
      <c r="BQ60" s="523" t="n"/>
      <c r="BR60" s="523" t="n"/>
      <c r="BS60" s="523" t="n"/>
      <c r="BT60" s="518">
        <f>SUM(BM60:BS60)</f>
        <v/>
      </c>
      <c r="BU60" s="518" t="n"/>
      <c r="BV60" s="523" t="n"/>
      <c r="BW60" s="523" t="n"/>
      <c r="BX60" s="523" t="n"/>
      <c r="BY60" s="523" t="n"/>
      <c r="BZ60" s="523" t="n"/>
      <c r="CA60" s="523" t="n"/>
      <c r="CB60" s="523" t="n"/>
      <c r="CC60" s="518">
        <f>SUM(BV60:CB60)</f>
        <v/>
      </c>
      <c r="CD60" s="518" t="n"/>
      <c r="CE60" s="523" t="n"/>
      <c r="CF60" s="523" t="n"/>
      <c r="CG60" s="523" t="n"/>
      <c r="CH60" s="523" t="n"/>
      <c r="CI60" s="523" t="n"/>
      <c r="CJ60" s="523" t="n"/>
      <c r="CK60" s="523" t="n"/>
      <c r="CL60" s="518">
        <f>SUM(CE60:CK60)</f>
        <v/>
      </c>
      <c r="CN60" s="525">
        <f>+H60-(BM60+BV60+CE60)</f>
        <v/>
      </c>
      <c r="CO60" s="525">
        <f>+M60-(BN60+BW60+CF60)</f>
        <v/>
      </c>
      <c r="CP60" s="525">
        <f>+AE60-(BO60+BX60+CG60)</f>
        <v/>
      </c>
      <c r="CQ60" s="525">
        <f>+AJ60-(BP60+BY60+CH60)</f>
        <v/>
      </c>
      <c r="CR60" s="525">
        <f>+AU60-(BQ60+BZ60+CI60)</f>
        <v/>
      </c>
      <c r="CS60" s="525">
        <f>+BA60-(BR60+CA60+CJ60)</f>
        <v/>
      </c>
      <c r="CT60" s="525">
        <f>+BF60-(BS60+CB60+CK60)</f>
        <v/>
      </c>
      <c r="CU60" s="525">
        <f>BT60+CC60+CL60</f>
        <v/>
      </c>
      <c r="CV60" s="525">
        <f>SUM(CN60:CT60)</f>
        <v/>
      </c>
    </row>
    <row r="61" ht="21" customFormat="1" customHeight="1" s="230">
      <c r="A61" s="453" t="n">
        <v>5111262</v>
      </c>
      <c r="B61" s="363" t="inlineStr">
        <is>
          <t>GGG</t>
        </is>
      </c>
      <c r="C61" s="364" t="inlineStr">
        <is>
          <t>EMPALME DERECHO DERIVACION SIMETRICO UNIPOLAR AUTOFUNDENTE P.CABLE SECO 35-95 / 6-35MM2 B.T.</t>
        </is>
      </c>
      <c r="D61" s="365" t="n">
        <v>17.435</v>
      </c>
      <c r="E61" s="507" t="n"/>
      <c r="F61" s="526" t="n"/>
      <c r="G61" s="527" t="n"/>
      <c r="H61" s="510" t="n"/>
      <c r="I61" s="511" t="n"/>
      <c r="J61" s="512" t="n"/>
      <c r="K61" s="512" t="n"/>
      <c r="L61" s="513" t="n"/>
      <c r="M61" s="510" t="n"/>
      <c r="N61" s="511" t="n"/>
      <c r="O61" s="512" t="n"/>
      <c r="P61" s="512" t="n"/>
      <c r="Q61" s="512" t="n"/>
      <c r="R61" s="512" t="n"/>
      <c r="S61" s="512" t="n"/>
      <c r="T61" s="512" t="n"/>
      <c r="U61" s="512" t="n"/>
      <c r="V61" s="512" t="n"/>
      <c r="W61" s="512" t="n"/>
      <c r="X61" s="512" t="n"/>
      <c r="Y61" s="512" t="n"/>
      <c r="Z61" s="512" t="n"/>
      <c r="AA61" s="512" t="n"/>
      <c r="AB61" s="512" t="n"/>
      <c r="AC61" s="512" t="n"/>
      <c r="AD61" s="512" t="n"/>
      <c r="AE61" s="510" t="n"/>
      <c r="AF61" s="511" t="n"/>
      <c r="AG61" s="512" t="n"/>
      <c r="AH61" s="512" t="n"/>
      <c r="AI61" s="513" t="n"/>
      <c r="AJ61" s="510" t="n"/>
      <c r="AK61" s="513" t="n"/>
      <c r="AL61" s="513" t="n"/>
      <c r="AM61" s="513" t="n"/>
      <c r="AN61" s="513" t="n"/>
      <c r="AO61" s="513" t="n"/>
      <c r="AP61" s="513" t="n"/>
      <c r="AQ61" s="513" t="n"/>
      <c r="AR61" s="513" t="n"/>
      <c r="AS61" s="513" t="n"/>
      <c r="AT61" s="513" t="n"/>
      <c r="AU61" s="510" t="n"/>
      <c r="AV61" s="527" t="n"/>
      <c r="AW61" s="514" t="n"/>
      <c r="AX61" s="514" t="n"/>
      <c r="AY61" s="514" t="n"/>
      <c r="AZ61" s="514" t="n"/>
      <c r="BA61" s="510">
        <f>SUM(AV61:AZ61)</f>
        <v/>
      </c>
      <c r="BB61" s="511" t="n"/>
      <c r="BC61" s="512" t="n"/>
      <c r="BD61" s="512" t="n"/>
      <c r="BE61" s="512" t="n"/>
      <c r="BF61" s="510">
        <f>SUM(BB61:BE61)</f>
        <v/>
      </c>
      <c r="BG61" s="518" t="n"/>
      <c r="BH61" s="519">
        <f>H61+M61+AE61+AJ61+AU61+BA61+BF61</f>
        <v/>
      </c>
      <c r="BI61" s="528">
        <f>IF(E61-BH61&lt;0, BH61-E61, )</f>
        <v/>
      </c>
      <c r="BJ61" s="529">
        <f>IF(E61-BH61&lt;0, ,E61-BH61)</f>
        <v/>
      </c>
      <c r="BK61" s="530" t="n"/>
      <c r="BM61" s="523" t="n"/>
      <c r="BN61" s="523" t="n"/>
      <c r="BO61" s="523" t="n"/>
      <c r="BP61" s="523" t="n"/>
      <c r="BQ61" s="523" t="n"/>
      <c r="BR61" s="523" t="n"/>
      <c r="BS61" s="523" t="n"/>
      <c r="BT61" s="518">
        <f>SUM(BM61:BS61)</f>
        <v/>
      </c>
      <c r="BU61" s="518" t="n"/>
      <c r="BV61" s="523" t="n"/>
      <c r="BW61" s="523" t="n"/>
      <c r="BX61" s="523" t="n"/>
      <c r="BY61" s="523" t="n"/>
      <c r="BZ61" s="523" t="n"/>
      <c r="CA61" s="523" t="n"/>
      <c r="CB61" s="523" t="n"/>
      <c r="CC61" s="518">
        <f>SUM(BV61:CB61)</f>
        <v/>
      </c>
      <c r="CD61" s="518" t="n"/>
      <c r="CE61" s="523" t="n"/>
      <c r="CF61" s="523" t="n"/>
      <c r="CG61" s="523" t="n"/>
      <c r="CH61" s="523" t="n"/>
      <c r="CI61" s="523" t="n"/>
      <c r="CJ61" s="523" t="n"/>
      <c r="CK61" s="523" t="n"/>
      <c r="CL61" s="518">
        <f>SUM(CE61:CK61)</f>
        <v/>
      </c>
      <c r="CN61" s="525">
        <f>+H61-(BM61+BV61+CE61)</f>
        <v/>
      </c>
      <c r="CO61" s="525">
        <f>+M61-(BN61+BW61+CF61)</f>
        <v/>
      </c>
      <c r="CP61" s="525">
        <f>+AE61-(BO61+BX61+CG61)</f>
        <v/>
      </c>
      <c r="CQ61" s="525">
        <f>+AJ61-(BP61+BY61+CH61)</f>
        <v/>
      </c>
      <c r="CR61" s="525">
        <f>+AU61-(BQ61+BZ61+CI61)</f>
        <v/>
      </c>
      <c r="CS61" s="525">
        <f>+BA61-(BR61+CA61+CJ61)</f>
        <v/>
      </c>
      <c r="CT61" s="525">
        <f>+BF61-(BS61+CB61+CK61)</f>
        <v/>
      </c>
      <c r="CU61" s="525">
        <f>BT61+CC61+CL61</f>
        <v/>
      </c>
      <c r="CV61" s="525">
        <f>SUM(CN61:CT61)</f>
        <v/>
      </c>
    </row>
    <row r="62" ht="21" customFormat="1" customHeight="1" s="230">
      <c r="A62" s="453" t="n">
        <v>5411032</v>
      </c>
      <c r="B62" s="309" t="inlineStr">
        <is>
          <t>GGG</t>
        </is>
      </c>
      <c r="C62" s="287" t="inlineStr">
        <is>
          <t>CONECTOR DERIV.TP.CUÑA MINIW. AA 16/CU 16 MM2.</t>
        </is>
      </c>
      <c r="D62" s="288" t="n">
        <v>6.828</v>
      </c>
      <c r="E62" s="507" t="n"/>
      <c r="F62" s="526" t="n"/>
      <c r="G62" s="527" t="n"/>
      <c r="H62" s="510" t="n"/>
      <c r="I62" s="511" t="n"/>
      <c r="J62" s="512" t="n"/>
      <c r="K62" s="512" t="n"/>
      <c r="L62" s="513" t="n"/>
      <c r="M62" s="510" t="n"/>
      <c r="N62" s="511" t="n"/>
      <c r="O62" s="512" t="n"/>
      <c r="P62" s="512" t="n"/>
      <c r="Q62" s="512" t="n"/>
      <c r="R62" s="512" t="n"/>
      <c r="S62" s="512" t="n"/>
      <c r="T62" s="512" t="n"/>
      <c r="U62" s="512" t="n"/>
      <c r="V62" s="512" t="n"/>
      <c r="W62" s="512" t="n"/>
      <c r="X62" s="512" t="n"/>
      <c r="Y62" s="512" t="n"/>
      <c r="Z62" s="512" t="n"/>
      <c r="AA62" s="512" t="n"/>
      <c r="AB62" s="512" t="n"/>
      <c r="AC62" s="512" t="n"/>
      <c r="AD62" s="512" t="n"/>
      <c r="AE62" s="510" t="n"/>
      <c r="AF62" s="511" t="n"/>
      <c r="AG62" s="512" t="n"/>
      <c r="AH62" s="512" t="n"/>
      <c r="AI62" s="513" t="n"/>
      <c r="AJ62" s="510" t="n"/>
      <c r="AK62" s="513" t="n"/>
      <c r="AL62" s="513" t="n"/>
      <c r="AM62" s="513" t="n"/>
      <c r="AN62" s="513" t="n"/>
      <c r="AO62" s="513" t="n"/>
      <c r="AP62" s="513" t="n"/>
      <c r="AQ62" s="513" t="n"/>
      <c r="AR62" s="513" t="n"/>
      <c r="AS62" s="513" t="n"/>
      <c r="AT62" s="513" t="n"/>
      <c r="AU62" s="510" t="n"/>
      <c r="AV62" s="527" t="n"/>
      <c r="AW62" s="514" t="n"/>
      <c r="AX62" s="514" t="n"/>
      <c r="AY62" s="514" t="n"/>
      <c r="AZ62" s="514" t="n"/>
      <c r="BA62" s="510">
        <f>SUM(AV62:AZ62)</f>
        <v/>
      </c>
      <c r="BB62" s="511" t="n"/>
      <c r="BC62" s="512" t="n"/>
      <c r="BD62" s="512" t="n"/>
      <c r="BE62" s="512" t="n"/>
      <c r="BF62" s="510">
        <f>SUM(BB62:BE62)</f>
        <v/>
      </c>
      <c r="BG62" s="518" t="n"/>
      <c r="BH62" s="519">
        <f>H62+M62+AE62+AJ62+AU62+BA62+BF62</f>
        <v/>
      </c>
      <c r="BI62" s="528">
        <f>IF(E62-BH62&lt;0, BH62-E62, )</f>
        <v/>
      </c>
      <c r="BJ62" s="529">
        <f>IF(E62-BH62&lt;0, ,E62-BH62)</f>
        <v/>
      </c>
      <c r="BK62" s="530" t="n"/>
      <c r="BM62" s="523" t="n"/>
      <c r="BN62" s="523" t="n"/>
      <c r="BO62" s="523" t="n"/>
      <c r="BP62" s="523" t="n"/>
      <c r="BQ62" s="523" t="n"/>
      <c r="BR62" s="523" t="n"/>
      <c r="BS62" s="523" t="n"/>
      <c r="BT62" s="518">
        <f>SUM(BM62:BS62)</f>
        <v/>
      </c>
      <c r="BU62" s="518" t="n"/>
      <c r="BV62" s="523" t="n"/>
      <c r="BW62" s="523" t="n"/>
      <c r="BX62" s="523" t="n"/>
      <c r="BY62" s="523" t="n"/>
      <c r="BZ62" s="523" t="n"/>
      <c r="CA62" s="523" t="n"/>
      <c r="CB62" s="523" t="n"/>
      <c r="CC62" s="518">
        <f>SUM(BV62:CB62)</f>
        <v/>
      </c>
      <c r="CD62" s="518" t="n"/>
      <c r="CE62" s="523" t="n"/>
      <c r="CF62" s="523" t="n"/>
      <c r="CG62" s="523" t="n"/>
      <c r="CH62" s="523" t="n"/>
      <c r="CI62" s="523" t="n"/>
      <c r="CJ62" s="523" t="n"/>
      <c r="CK62" s="523" t="n"/>
      <c r="CL62" s="518">
        <f>SUM(CE62:CK62)</f>
        <v/>
      </c>
      <c r="CN62" s="525">
        <f>+H62-(BM62+BV62+CE62)</f>
        <v/>
      </c>
      <c r="CO62" s="525">
        <f>+M62-(BN62+BW62+CF62)</f>
        <v/>
      </c>
      <c r="CP62" s="525">
        <f>+AE62-(BO62+BX62+CG62)</f>
        <v/>
      </c>
      <c r="CQ62" s="525">
        <f>+AJ62-(BP62+BY62+CH62)</f>
        <v/>
      </c>
      <c r="CR62" s="525">
        <f>+AU62-(BQ62+BZ62+CI62)</f>
        <v/>
      </c>
      <c r="CS62" s="525">
        <f>+BA62-(BR62+CA62+CJ62)</f>
        <v/>
      </c>
      <c r="CT62" s="525">
        <f>+BF62-(BS62+CB62+CK62)</f>
        <v/>
      </c>
      <c r="CU62" s="525">
        <f>BT62+CC62+CL62</f>
        <v/>
      </c>
      <c r="CV62" s="525">
        <f>SUM(CN62:CT62)</f>
        <v/>
      </c>
    </row>
    <row r="63" ht="21" customFormat="1" customHeight="1" s="230">
      <c r="A63" s="453" t="n">
        <v>5466606</v>
      </c>
      <c r="B63" s="309" t="inlineStr">
        <is>
          <t>GGG</t>
        </is>
      </c>
      <c r="C63" s="287" t="inlineStr">
        <is>
          <t>PLANCHA DE COBRE P.LINEA A TIERRA C.AGUJERO 20MM DIAM.</t>
        </is>
      </c>
      <c r="D63" s="288" t="n">
        <v>4.341</v>
      </c>
      <c r="E63" s="507" t="n"/>
      <c r="F63" s="526" t="n"/>
      <c r="G63" s="527" t="n"/>
      <c r="H63" s="510" t="n"/>
      <c r="I63" s="511" t="n"/>
      <c r="J63" s="512" t="n"/>
      <c r="K63" s="512" t="n"/>
      <c r="L63" s="513" t="n"/>
      <c r="M63" s="510" t="n"/>
      <c r="N63" s="526" t="n"/>
      <c r="O63" s="512" t="n"/>
      <c r="P63" s="512" t="n"/>
      <c r="Q63" s="512" t="n"/>
      <c r="R63" s="512" t="n"/>
      <c r="S63" s="512" t="n"/>
      <c r="T63" s="512" t="n"/>
      <c r="U63" s="512" t="n"/>
      <c r="V63" s="512" t="n"/>
      <c r="W63" s="512" t="n"/>
      <c r="X63" s="512" t="n"/>
      <c r="Y63" s="512" t="n"/>
      <c r="Z63" s="512" t="n"/>
      <c r="AA63" s="512" t="n"/>
      <c r="AB63" s="512" t="n"/>
      <c r="AC63" s="512" t="n"/>
      <c r="AD63" s="512" t="n"/>
      <c r="AE63" s="510" t="n"/>
      <c r="AF63" s="511" t="n"/>
      <c r="AG63" s="512" t="n"/>
      <c r="AH63" s="512" t="n"/>
      <c r="AI63" s="513" t="n"/>
      <c r="AJ63" s="510" t="n"/>
      <c r="AK63" s="513" t="n"/>
      <c r="AL63" s="513" t="n"/>
      <c r="AM63" s="513" t="n"/>
      <c r="AN63" s="513" t="n"/>
      <c r="AO63" s="513" t="n"/>
      <c r="AP63" s="513" t="n"/>
      <c r="AQ63" s="513" t="n"/>
      <c r="AR63" s="513" t="n"/>
      <c r="AS63" s="513" t="n"/>
      <c r="AT63" s="513" t="n"/>
      <c r="AU63" s="510" t="n"/>
      <c r="AV63" s="527" t="n"/>
      <c r="AW63" s="514" t="n"/>
      <c r="AX63" s="514" t="n"/>
      <c r="AY63" s="514" t="n"/>
      <c r="AZ63" s="514" t="n"/>
      <c r="BA63" s="510">
        <f>SUM(AV63:AZ63)</f>
        <v/>
      </c>
      <c r="BB63" s="511" t="n"/>
      <c r="BC63" s="512" t="n"/>
      <c r="BD63" s="512" t="n"/>
      <c r="BE63" s="512" t="n"/>
      <c r="BF63" s="510">
        <f>SUM(BB63:BE63)</f>
        <v/>
      </c>
      <c r="BG63" s="518" t="n"/>
      <c r="BH63" s="519">
        <f>H63+M63+AE63+AJ63+AU63+BA63+BF63</f>
        <v/>
      </c>
      <c r="BI63" s="528">
        <f>IF(E63-BH63&lt;0, BH63-E63, )</f>
        <v/>
      </c>
      <c r="BJ63" s="529">
        <f>IF(E63-BH63&lt;0, ,E63-BH63)</f>
        <v/>
      </c>
      <c r="BK63" s="530" t="n"/>
      <c r="BM63" s="523" t="n"/>
      <c r="BN63" s="523" t="n"/>
      <c r="BO63" s="523" t="n"/>
      <c r="BP63" s="523" t="n"/>
      <c r="BQ63" s="523" t="n"/>
      <c r="BR63" s="523" t="n"/>
      <c r="BS63" s="523" t="n"/>
      <c r="BT63" s="518">
        <f>SUM(BM63:BS63)</f>
        <v/>
      </c>
      <c r="BU63" s="518" t="n"/>
      <c r="BV63" s="523" t="n"/>
      <c r="BW63" s="523" t="n"/>
      <c r="BX63" s="523" t="n"/>
      <c r="BY63" s="523" t="n"/>
      <c r="BZ63" s="523" t="n"/>
      <c r="CA63" s="523" t="n"/>
      <c r="CB63" s="523" t="n"/>
      <c r="CC63" s="518">
        <f>SUM(BV63:CB63)</f>
        <v/>
      </c>
      <c r="CD63" s="518" t="n"/>
      <c r="CE63" s="523" t="n"/>
      <c r="CF63" s="523" t="n"/>
      <c r="CG63" s="523" t="n"/>
      <c r="CH63" s="523" t="n"/>
      <c r="CI63" s="523" t="n"/>
      <c r="CJ63" s="523" t="n"/>
      <c r="CK63" s="523" t="n"/>
      <c r="CL63" s="518">
        <f>SUM(CE63:CK63)</f>
        <v/>
      </c>
      <c r="CN63" s="525">
        <f>+H63-(BM63+BV63+CE63)</f>
        <v/>
      </c>
      <c r="CO63" s="525">
        <f>+M63-(BN63+BW63+CF63)</f>
        <v/>
      </c>
      <c r="CP63" s="525">
        <f>+AE63-(BO63+BX63+CG63)</f>
        <v/>
      </c>
      <c r="CQ63" s="525">
        <f>+AJ63-(BP63+BY63+CH63)</f>
        <v/>
      </c>
      <c r="CR63" s="525">
        <f>+AU63-(BQ63+BZ63+CI63)</f>
        <v/>
      </c>
      <c r="CS63" s="525">
        <f>+BA63-(BR63+CA63+CJ63)</f>
        <v/>
      </c>
      <c r="CT63" s="525">
        <f>+BF63-(BS63+CB63+CK63)</f>
        <v/>
      </c>
      <c r="CU63" s="525">
        <f>BT63+CC63+CL63</f>
        <v/>
      </c>
      <c r="CV63" s="525">
        <f>SUM(CN63:CT63)</f>
        <v/>
      </c>
    </row>
    <row r="64" ht="21" customFormat="1" customHeight="1" s="230">
      <c r="A64" s="453" t="n">
        <v>5111218</v>
      </c>
      <c r="B64" s="309" t="inlineStr">
        <is>
          <t>GGG</t>
        </is>
      </c>
      <c r="C64" s="287" t="inlineStr">
        <is>
          <t>EMPALME DERECHO DERIVACION UNIPOLAR AUTOFUNDENTE P.CABLE SECO 6-120 / 10-120MM2 CONEX. MONOFASICA BT</t>
        </is>
      </c>
      <c r="D64" s="288" t="e">
        <v>#N/A</v>
      </c>
      <c r="E64" s="507" t="n"/>
      <c r="F64" s="526" t="n"/>
      <c r="G64" s="527" t="n"/>
      <c r="H64" s="510" t="n"/>
      <c r="I64" s="511" t="n"/>
      <c r="J64" s="512" t="n"/>
      <c r="K64" s="512" t="n"/>
      <c r="L64" s="513" t="n"/>
      <c r="M64" s="510" t="n"/>
      <c r="N64" s="526" t="n"/>
      <c r="O64" s="512" t="n"/>
      <c r="P64" s="512" t="n"/>
      <c r="Q64" s="512" t="n"/>
      <c r="R64" s="512" t="n"/>
      <c r="S64" s="512" t="n"/>
      <c r="T64" s="512" t="n"/>
      <c r="U64" s="512" t="n"/>
      <c r="V64" s="512" t="n"/>
      <c r="W64" s="512" t="n"/>
      <c r="X64" s="512" t="n"/>
      <c r="Y64" s="512" t="n"/>
      <c r="Z64" s="512" t="n"/>
      <c r="AA64" s="512" t="n"/>
      <c r="AB64" s="512" t="n"/>
      <c r="AC64" s="512" t="n"/>
      <c r="AD64" s="512" t="n"/>
      <c r="AE64" s="510" t="n"/>
      <c r="AF64" s="511" t="n"/>
      <c r="AG64" s="512" t="n"/>
      <c r="AH64" s="512" t="n"/>
      <c r="AI64" s="513" t="n"/>
      <c r="AJ64" s="510" t="n"/>
      <c r="AK64" s="513" t="n"/>
      <c r="AL64" s="513" t="n"/>
      <c r="AM64" s="513" t="n"/>
      <c r="AN64" s="513" t="n"/>
      <c r="AO64" s="513" t="n"/>
      <c r="AP64" s="513" t="n"/>
      <c r="AQ64" s="513" t="n"/>
      <c r="AR64" s="513" t="n"/>
      <c r="AS64" s="513" t="n"/>
      <c r="AT64" s="513" t="n"/>
      <c r="AU64" s="510" t="n"/>
      <c r="AV64" s="527" t="n"/>
      <c r="AW64" s="514" t="n"/>
      <c r="AX64" s="514" t="n"/>
      <c r="AY64" s="514" t="n"/>
      <c r="AZ64" s="514" t="n"/>
      <c r="BA64" s="510">
        <f>SUM(AV64:AZ64)</f>
        <v/>
      </c>
      <c r="BB64" s="511" t="n"/>
      <c r="BC64" s="512" t="n"/>
      <c r="BD64" s="512" t="n"/>
      <c r="BE64" s="512" t="n"/>
      <c r="BF64" s="510">
        <f>SUM(BB64:BE64)</f>
        <v/>
      </c>
      <c r="BG64" s="518" t="n"/>
      <c r="BH64" s="519">
        <f>H64+M64+AE64+AJ64+AU64+BA64+BF64</f>
        <v/>
      </c>
      <c r="BI64" s="528">
        <f>IF(E64-BH64&lt;0, BH64-E64, )</f>
        <v/>
      </c>
      <c r="BJ64" s="529">
        <f>IF(E64-BH64&lt;0, ,E64-BH64)</f>
        <v/>
      </c>
      <c r="BK64" s="530" t="n"/>
      <c r="BM64" s="523" t="n"/>
      <c r="BN64" s="523" t="n"/>
      <c r="BO64" s="523" t="n"/>
      <c r="BP64" s="523" t="n"/>
      <c r="BQ64" s="523" t="n"/>
      <c r="BR64" s="523" t="n"/>
      <c r="BS64" s="523" t="n"/>
      <c r="BT64" s="518">
        <f>SUM(BM64:BS64)</f>
        <v/>
      </c>
      <c r="BU64" s="518" t="n"/>
      <c r="BV64" s="523" t="n"/>
      <c r="BW64" s="523" t="n"/>
      <c r="BX64" s="523" t="n"/>
      <c r="BY64" s="523" t="n"/>
      <c r="BZ64" s="523" t="n"/>
      <c r="CA64" s="523" t="n"/>
      <c r="CB64" s="523" t="n"/>
      <c r="CC64" s="518">
        <f>SUM(BV64:CB64)</f>
        <v/>
      </c>
      <c r="CD64" s="518" t="n"/>
      <c r="CE64" s="523" t="n"/>
      <c r="CF64" s="523" t="n"/>
      <c r="CG64" s="523" t="n"/>
      <c r="CH64" s="523" t="n"/>
      <c r="CI64" s="523" t="n"/>
      <c r="CJ64" s="523" t="n"/>
      <c r="CK64" s="523" t="n"/>
      <c r="CL64" s="518">
        <f>SUM(CE64:CK64)</f>
        <v/>
      </c>
      <c r="CN64" s="525">
        <f>+H64-(BM64+BV64+CE64)</f>
        <v/>
      </c>
      <c r="CO64" s="525">
        <f>+M64-(BN64+BW64+CF64)</f>
        <v/>
      </c>
      <c r="CP64" s="525">
        <f>+AE64-(BO64+BX64+CG64)</f>
        <v/>
      </c>
      <c r="CQ64" s="525">
        <f>+AJ64-(BP64+BY64+CH64)</f>
        <v/>
      </c>
      <c r="CR64" s="525">
        <f>+AU64-(BQ64+BZ64+CI64)</f>
        <v/>
      </c>
      <c r="CS64" s="525">
        <f>+BA64-(BR64+CA64+CJ64)</f>
        <v/>
      </c>
      <c r="CT64" s="525">
        <f>+BF64-(BS64+CB64+CK64)</f>
        <v/>
      </c>
      <c r="CU64" s="525">
        <f>BT64+CC64+CL64</f>
        <v/>
      </c>
      <c r="CV64" s="525">
        <f>SUM(CN64:CT64)</f>
        <v/>
      </c>
    </row>
    <row r="65" ht="21" customFormat="1" customHeight="1" s="230">
      <c r="A65" s="453" t="n">
        <v>5411011</v>
      </c>
      <c r="B65" s="309" t="inlineStr">
        <is>
          <t>GGG</t>
        </is>
      </c>
      <c r="C65" s="287" t="inlineStr">
        <is>
          <t>CONECTOR DERIV.TP.CUÑA MINIW. AA 16/CU 10 MM2.</t>
        </is>
      </c>
      <c r="D65" s="288" t="n">
        <v>5.881</v>
      </c>
      <c r="E65" s="507" t="n"/>
      <c r="F65" s="526" t="n"/>
      <c r="G65" s="527" t="n"/>
      <c r="H65" s="510" t="n"/>
      <c r="I65" s="511" t="n"/>
      <c r="J65" s="512" t="n"/>
      <c r="K65" s="512" t="n"/>
      <c r="L65" s="513" t="n"/>
      <c r="M65" s="510" t="n"/>
      <c r="N65" s="526" t="n"/>
      <c r="O65" s="512" t="n"/>
      <c r="P65" s="512" t="n"/>
      <c r="Q65" s="512" t="n"/>
      <c r="R65" s="512" t="n"/>
      <c r="S65" s="512" t="n"/>
      <c r="T65" s="512" t="n"/>
      <c r="U65" s="512" t="n"/>
      <c r="V65" s="512" t="n"/>
      <c r="W65" s="512" t="n"/>
      <c r="X65" s="512" t="n"/>
      <c r="Y65" s="512" t="n"/>
      <c r="Z65" s="512" t="n"/>
      <c r="AA65" s="512" t="n"/>
      <c r="AB65" s="512" t="n"/>
      <c r="AC65" s="512" t="n"/>
      <c r="AD65" s="512" t="n"/>
      <c r="AE65" s="510" t="n"/>
      <c r="AF65" s="511" t="n"/>
      <c r="AG65" s="512" t="n"/>
      <c r="AH65" s="512" t="n"/>
      <c r="AI65" s="513" t="n"/>
      <c r="AJ65" s="510" t="n"/>
      <c r="AK65" s="513" t="n"/>
      <c r="AL65" s="513" t="n"/>
      <c r="AM65" s="513" t="n"/>
      <c r="AN65" s="513" t="n"/>
      <c r="AO65" s="513" t="n"/>
      <c r="AP65" s="513" t="n"/>
      <c r="AQ65" s="513" t="n"/>
      <c r="AR65" s="513" t="n"/>
      <c r="AS65" s="513" t="n"/>
      <c r="AT65" s="513" t="n"/>
      <c r="AU65" s="510" t="n"/>
      <c r="AV65" s="527" t="n"/>
      <c r="AW65" s="514" t="n"/>
      <c r="AX65" s="514" t="n"/>
      <c r="AY65" s="514" t="n"/>
      <c r="AZ65" s="514" t="n"/>
      <c r="BA65" s="510">
        <f>SUM(AV65:AZ65)</f>
        <v/>
      </c>
      <c r="BB65" s="511" t="n"/>
      <c r="BC65" s="512" t="n"/>
      <c r="BD65" s="512" t="n"/>
      <c r="BE65" s="512" t="n"/>
      <c r="BF65" s="510">
        <f>SUM(BB65:BE65)</f>
        <v/>
      </c>
      <c r="BG65" s="518" t="n"/>
      <c r="BH65" s="519">
        <f>H65+M65+AE65+AJ65+AU65+BA65+BF65</f>
        <v/>
      </c>
      <c r="BI65" s="528">
        <f>IF(E65-BH65&lt;0, BH65-E65, )</f>
        <v/>
      </c>
      <c r="BJ65" s="529">
        <f>IF(E65-BH65&lt;0, ,E65-BH65)</f>
        <v/>
      </c>
      <c r="BK65" s="530" t="n"/>
      <c r="BM65" s="523" t="n"/>
      <c r="BN65" s="523" t="n"/>
      <c r="BO65" s="523" t="n"/>
      <c r="BP65" s="523" t="n"/>
      <c r="BQ65" s="523" t="n"/>
      <c r="BR65" s="523" t="n"/>
      <c r="BS65" s="523" t="n"/>
      <c r="BT65" s="518">
        <f>SUM(BM65:BS65)</f>
        <v/>
      </c>
      <c r="BU65" s="518" t="n"/>
      <c r="BV65" s="523" t="n"/>
      <c r="BW65" s="523" t="n"/>
      <c r="BX65" s="523" t="n"/>
      <c r="BY65" s="523" t="n"/>
      <c r="BZ65" s="523" t="n"/>
      <c r="CA65" s="523" t="n"/>
      <c r="CB65" s="523" t="n"/>
      <c r="CC65" s="518">
        <f>SUM(BV65:CB65)</f>
        <v/>
      </c>
      <c r="CD65" s="518" t="n"/>
      <c r="CE65" s="523" t="n"/>
      <c r="CF65" s="523" t="n"/>
      <c r="CG65" s="523" t="n"/>
      <c r="CH65" s="523" t="n"/>
      <c r="CI65" s="523" t="n"/>
      <c r="CJ65" s="523" t="n"/>
      <c r="CK65" s="523" t="n"/>
      <c r="CL65" s="518">
        <f>SUM(CE65:CK65)</f>
        <v/>
      </c>
      <c r="CN65" s="525">
        <f>+H65-(BM65+BV65+CE65)</f>
        <v/>
      </c>
      <c r="CO65" s="525">
        <f>+M65-(BN65+BW65+CF65)</f>
        <v/>
      </c>
      <c r="CP65" s="525">
        <f>+AE65-(BO65+BX65+CG65)</f>
        <v/>
      </c>
      <c r="CQ65" s="525">
        <f>+AJ65-(BP65+BY65+CH65)</f>
        <v/>
      </c>
      <c r="CR65" s="525">
        <f>+AU65-(BQ65+BZ65+CI65)</f>
        <v/>
      </c>
      <c r="CS65" s="525">
        <f>+BA65-(BR65+CA65+CJ65)</f>
        <v/>
      </c>
      <c r="CT65" s="525">
        <f>+BF65-(BS65+CB65+CK65)</f>
        <v/>
      </c>
      <c r="CU65" s="525">
        <f>BT65+CC65+CL65</f>
        <v/>
      </c>
      <c r="CV65" s="525">
        <f>SUM(CN65:CT65)</f>
        <v/>
      </c>
    </row>
    <row r="66" ht="21" customFormat="1" customHeight="1" s="230">
      <c r="A66" s="453" t="n">
        <v>1035714</v>
      </c>
      <c r="B66" s="309" t="inlineStr">
        <is>
          <t>GGG</t>
        </is>
      </c>
      <c r="C66" s="287" t="inlineStr">
        <is>
          <t>TUBO PVC TP. SAP P. INST. ELECT.  1"   DIAM.</t>
        </is>
      </c>
      <c r="D66" s="288" t="n">
        <v>1.187</v>
      </c>
      <c r="E66" s="507" t="n"/>
      <c r="F66" s="526" t="n"/>
      <c r="G66" s="527" t="n"/>
      <c r="H66" s="510" t="n"/>
      <c r="I66" s="511" t="n"/>
      <c r="J66" s="512" t="n"/>
      <c r="K66" s="512" t="n"/>
      <c r="L66" s="513" t="n"/>
      <c r="M66" s="510" t="n"/>
      <c r="N66" s="526" t="n"/>
      <c r="O66" s="512" t="n"/>
      <c r="P66" s="512" t="n"/>
      <c r="Q66" s="512" t="n"/>
      <c r="R66" s="512" t="n"/>
      <c r="S66" s="512" t="n"/>
      <c r="T66" s="512" t="n"/>
      <c r="U66" s="512" t="n"/>
      <c r="V66" s="512" t="n"/>
      <c r="W66" s="512" t="n"/>
      <c r="X66" s="512" t="n"/>
      <c r="Y66" s="512" t="n"/>
      <c r="Z66" s="512" t="n"/>
      <c r="AA66" s="512" t="n"/>
      <c r="AB66" s="512" t="n"/>
      <c r="AC66" s="512" t="n"/>
      <c r="AD66" s="512" t="n"/>
      <c r="AE66" s="510" t="n"/>
      <c r="AF66" s="511" t="n"/>
      <c r="AG66" s="512" t="n"/>
      <c r="AH66" s="512" t="n"/>
      <c r="AI66" s="513" t="n"/>
      <c r="AJ66" s="510" t="n"/>
      <c r="AK66" s="513" t="n"/>
      <c r="AL66" s="513" t="n"/>
      <c r="AM66" s="513" t="n"/>
      <c r="AN66" s="513" t="n"/>
      <c r="AO66" s="513" t="n"/>
      <c r="AP66" s="513" t="n"/>
      <c r="AQ66" s="513" t="n"/>
      <c r="AR66" s="513" t="n"/>
      <c r="AS66" s="513" t="n"/>
      <c r="AT66" s="513" t="n"/>
      <c r="AU66" s="510" t="n"/>
      <c r="AV66" s="527" t="n"/>
      <c r="AW66" s="514" t="n"/>
      <c r="AX66" s="514" t="n"/>
      <c r="AY66" s="514" t="n"/>
      <c r="AZ66" s="514" t="n"/>
      <c r="BA66" s="510">
        <f>SUM(AV66:AZ66)</f>
        <v/>
      </c>
      <c r="BB66" s="511" t="n"/>
      <c r="BC66" s="512" t="n"/>
      <c r="BD66" s="512" t="n"/>
      <c r="BE66" s="512" t="n"/>
      <c r="BF66" s="510">
        <f>SUM(BB66:BE66)</f>
        <v/>
      </c>
      <c r="BG66" s="518" t="n"/>
      <c r="BH66" s="519">
        <f>H66+M66+AE66+AJ66+AU66+BA66+BF66</f>
        <v/>
      </c>
      <c r="BI66" s="528">
        <f>IF(E66-BH66&lt;0, BH66-E66, )</f>
        <v/>
      </c>
      <c r="BJ66" s="529">
        <f>IF(E66-BH66&lt;0, ,E66-BH66)</f>
        <v/>
      </c>
      <c r="BK66" s="530" t="n"/>
      <c r="BM66" s="523" t="n"/>
      <c r="BN66" s="523" t="n"/>
      <c r="BO66" s="523" t="n"/>
      <c r="BP66" s="523" t="n"/>
      <c r="BQ66" s="523" t="n"/>
      <c r="BR66" s="523" t="n"/>
      <c r="BS66" s="523" t="n"/>
      <c r="BT66" s="518">
        <f>SUM(BM66:BS66)</f>
        <v/>
      </c>
      <c r="BU66" s="518" t="n"/>
      <c r="BV66" s="523" t="n"/>
      <c r="BW66" s="523" t="n"/>
      <c r="BX66" s="523" t="n"/>
      <c r="BY66" s="523" t="n"/>
      <c r="BZ66" s="523" t="n"/>
      <c r="CA66" s="523" t="n"/>
      <c r="CB66" s="523" t="n"/>
      <c r="CC66" s="518">
        <f>SUM(BV66:CB66)</f>
        <v/>
      </c>
      <c r="CD66" s="518" t="n"/>
      <c r="CE66" s="523" t="n"/>
      <c r="CF66" s="523" t="n"/>
      <c r="CG66" s="523" t="n"/>
      <c r="CH66" s="523" t="n"/>
      <c r="CI66" s="523" t="n"/>
      <c r="CJ66" s="523" t="n"/>
      <c r="CK66" s="523" t="n"/>
      <c r="CL66" s="518">
        <f>SUM(CE66:CK66)</f>
        <v/>
      </c>
      <c r="CN66" s="525">
        <f>+H66-(BM66+BV66+CE66)</f>
        <v/>
      </c>
      <c r="CO66" s="525">
        <f>+M66-(BN66+BW66+CF66)</f>
        <v/>
      </c>
      <c r="CP66" s="525">
        <f>+AE66-(BO66+BX66+CG66)</f>
        <v/>
      </c>
      <c r="CQ66" s="525">
        <f>+AJ66-(BP66+BY66+CH66)</f>
        <v/>
      </c>
      <c r="CR66" s="525">
        <f>+AU66-(BQ66+BZ66+CI66)</f>
        <v/>
      </c>
      <c r="CS66" s="525">
        <f>+BA66-(BR66+CA66+CJ66)</f>
        <v/>
      </c>
      <c r="CT66" s="525">
        <f>+BF66-(BS66+CB66+CK66)</f>
        <v/>
      </c>
      <c r="CU66" s="525">
        <f>BT66+CC66+CL66</f>
        <v/>
      </c>
      <c r="CV66" s="525">
        <f>SUM(CN66:CT66)</f>
        <v/>
      </c>
    </row>
    <row r="67" ht="21" customFormat="1" customHeight="1" s="230">
      <c r="A67" s="453" t="n">
        <v>1035718</v>
      </c>
      <c r="B67" s="309" t="inlineStr">
        <is>
          <t>GGG</t>
        </is>
      </c>
      <c r="C67" s="287" t="inlineStr">
        <is>
          <t>TUBO PVC TP. SAP P. INST. ELECT.  2" DIAM.</t>
        </is>
      </c>
      <c r="D67" s="288" t="n">
        <v>3.391</v>
      </c>
      <c r="E67" s="507" t="n"/>
      <c r="F67" s="526" t="n"/>
      <c r="G67" s="527" t="n"/>
      <c r="H67" s="510" t="n"/>
      <c r="I67" s="511" t="n"/>
      <c r="J67" s="512" t="n"/>
      <c r="K67" s="512" t="n"/>
      <c r="L67" s="513" t="n"/>
      <c r="M67" s="510" t="n"/>
      <c r="N67" s="526" t="n"/>
      <c r="O67" s="512" t="n"/>
      <c r="P67" s="512" t="n"/>
      <c r="Q67" s="512" t="n"/>
      <c r="R67" s="512" t="n"/>
      <c r="S67" s="512" t="n"/>
      <c r="T67" s="512" t="n"/>
      <c r="U67" s="512" t="n"/>
      <c r="V67" s="512" t="n"/>
      <c r="W67" s="512" t="n"/>
      <c r="X67" s="512" t="n"/>
      <c r="Y67" s="512" t="n"/>
      <c r="Z67" s="512" t="n"/>
      <c r="AA67" s="512" t="n"/>
      <c r="AB67" s="512" t="n"/>
      <c r="AC67" s="512" t="n"/>
      <c r="AD67" s="512" t="n"/>
      <c r="AE67" s="510" t="n"/>
      <c r="AF67" s="511" t="n"/>
      <c r="AG67" s="512" t="n"/>
      <c r="AH67" s="512" t="n"/>
      <c r="AI67" s="513" t="n"/>
      <c r="AJ67" s="510" t="n"/>
      <c r="AK67" s="513" t="n"/>
      <c r="AL67" s="513" t="n"/>
      <c r="AM67" s="513" t="n"/>
      <c r="AN67" s="513" t="n"/>
      <c r="AO67" s="513" t="n"/>
      <c r="AP67" s="513" t="n"/>
      <c r="AQ67" s="513" t="n"/>
      <c r="AR67" s="513" t="n"/>
      <c r="AS67" s="513" t="n"/>
      <c r="AT67" s="513" t="n"/>
      <c r="AU67" s="510" t="n"/>
      <c r="AV67" s="527" t="n"/>
      <c r="AW67" s="514" t="n"/>
      <c r="AX67" s="514" t="n"/>
      <c r="AY67" s="514" t="n"/>
      <c r="AZ67" s="514" t="n"/>
      <c r="BA67" s="510">
        <f>SUM(AV67:AZ67)</f>
        <v/>
      </c>
      <c r="BB67" s="511" t="n"/>
      <c r="BC67" s="512" t="n"/>
      <c r="BD67" s="512" t="n"/>
      <c r="BE67" s="512" t="n"/>
      <c r="BF67" s="510">
        <f>SUM(BB67:BE67)</f>
        <v/>
      </c>
      <c r="BG67" s="518" t="n"/>
      <c r="BH67" s="519">
        <f>H67+M67+AE67+AJ67+AU67+BA67+BF67</f>
        <v/>
      </c>
      <c r="BI67" s="528">
        <f>IF(E67-BH67&lt;0, BH67-E67, )</f>
        <v/>
      </c>
      <c r="BJ67" s="529">
        <f>IF(E67-BH67&lt;0, ,E67-BH67)</f>
        <v/>
      </c>
      <c r="BK67" s="530" t="n"/>
      <c r="BM67" s="523" t="n"/>
      <c r="BN67" s="523" t="n"/>
      <c r="BO67" s="523" t="n"/>
      <c r="BP67" s="523" t="n"/>
      <c r="BQ67" s="523" t="n"/>
      <c r="BR67" s="523" t="n"/>
      <c r="BS67" s="523" t="n"/>
      <c r="BT67" s="518">
        <f>SUM(BM67:BS67)</f>
        <v/>
      </c>
      <c r="BU67" s="518" t="n"/>
      <c r="BV67" s="523" t="n"/>
      <c r="BW67" s="523" t="n"/>
      <c r="BX67" s="523" t="n"/>
      <c r="BY67" s="523" t="n"/>
      <c r="BZ67" s="523" t="n"/>
      <c r="CA67" s="523" t="n"/>
      <c r="CB67" s="523" t="n"/>
      <c r="CC67" s="518">
        <f>SUM(BV67:CB67)</f>
        <v/>
      </c>
      <c r="CD67" s="518" t="n"/>
      <c r="CE67" s="523" t="n"/>
      <c r="CF67" s="523" t="n"/>
      <c r="CG67" s="523" t="n"/>
      <c r="CH67" s="523" t="n"/>
      <c r="CI67" s="523" t="n"/>
      <c r="CJ67" s="523" t="n"/>
      <c r="CK67" s="523" t="n"/>
      <c r="CL67" s="518">
        <f>SUM(CE67:CK67)</f>
        <v/>
      </c>
      <c r="CN67" s="525">
        <f>+H67-(BM67+BV67+CE67)</f>
        <v/>
      </c>
      <c r="CO67" s="525">
        <f>+M67-(BN67+BW67+CF67)</f>
        <v/>
      </c>
      <c r="CP67" s="525">
        <f>+AE67-(BO67+BX67+CG67)</f>
        <v/>
      </c>
      <c r="CQ67" s="525">
        <f>+AJ67-(BP67+BY67+CH67)</f>
        <v/>
      </c>
      <c r="CR67" s="525">
        <f>+AU67-(BQ67+BZ67+CI67)</f>
        <v/>
      </c>
      <c r="CS67" s="525">
        <f>+BA67-(BR67+CA67+CJ67)</f>
        <v/>
      </c>
      <c r="CT67" s="525">
        <f>+BF67-(BS67+CB67+CK67)</f>
        <v/>
      </c>
      <c r="CU67" s="525">
        <f>BT67+CC67+CL67</f>
        <v/>
      </c>
      <c r="CV67" s="525">
        <f>SUM(CN67:CT67)</f>
        <v/>
      </c>
    </row>
    <row r="68" ht="21" customFormat="1" customHeight="1" s="230">
      <c r="A68" s="453" t="n">
        <v>5022006</v>
      </c>
      <c r="B68" s="309" t="inlineStr">
        <is>
          <t>GGG</t>
        </is>
      </c>
      <c r="C68" s="287" t="inlineStr">
        <is>
          <t>CABLE CONCENTRICO BIPOLAR DE COBRE 6MM2 P.ACOMETIDA MONOFASICA EN RED BAJA TENSION</t>
        </is>
      </c>
      <c r="D68" s="288" t="n">
        <v>3.335</v>
      </c>
      <c r="E68" s="507" t="n"/>
      <c r="F68" s="526" t="n"/>
      <c r="G68" s="527" t="n"/>
      <c r="H68" s="510" t="n"/>
      <c r="I68" s="511" t="n"/>
      <c r="J68" s="512" t="n"/>
      <c r="K68" s="512" t="n"/>
      <c r="L68" s="513" t="n"/>
      <c r="M68" s="510" t="n"/>
      <c r="N68" s="526" t="n"/>
      <c r="O68" s="512" t="n"/>
      <c r="P68" s="512" t="n"/>
      <c r="Q68" s="512" t="n"/>
      <c r="R68" s="512" t="n"/>
      <c r="S68" s="512" t="n"/>
      <c r="T68" s="512" t="n"/>
      <c r="U68" s="512" t="n"/>
      <c r="V68" s="512" t="n"/>
      <c r="W68" s="512" t="n"/>
      <c r="X68" s="512" t="n"/>
      <c r="Y68" s="512" t="n"/>
      <c r="Z68" s="512" t="n"/>
      <c r="AA68" s="512" t="n"/>
      <c r="AB68" s="512" t="n"/>
      <c r="AC68" s="512" t="n"/>
      <c r="AD68" s="512" t="n"/>
      <c r="AE68" s="510" t="n"/>
      <c r="AF68" s="511" t="n"/>
      <c r="AG68" s="512" t="n"/>
      <c r="AH68" s="512" t="n"/>
      <c r="AI68" s="513" t="n"/>
      <c r="AJ68" s="510" t="n"/>
      <c r="AK68" s="513" t="n"/>
      <c r="AL68" s="513" t="n"/>
      <c r="AM68" s="513" t="n"/>
      <c r="AN68" s="513" t="n"/>
      <c r="AO68" s="513" t="n"/>
      <c r="AP68" s="513" t="n"/>
      <c r="AQ68" s="513" t="n"/>
      <c r="AR68" s="513" t="n"/>
      <c r="AS68" s="513" t="n"/>
      <c r="AT68" s="513" t="n"/>
      <c r="AU68" s="510" t="n"/>
      <c r="AV68" s="527" t="n"/>
      <c r="AW68" s="514" t="n"/>
      <c r="AX68" s="514" t="n"/>
      <c r="AY68" s="514" t="n"/>
      <c r="AZ68" s="514" t="n"/>
      <c r="BA68" s="510">
        <f>SUM(AV68:AZ68)</f>
        <v/>
      </c>
      <c r="BB68" s="511" t="n"/>
      <c r="BC68" s="512" t="n"/>
      <c r="BD68" s="512" t="n"/>
      <c r="BE68" s="512" t="n"/>
      <c r="BF68" s="510">
        <f>SUM(BB68:BE68)</f>
        <v/>
      </c>
      <c r="BG68" s="518" t="n"/>
      <c r="BH68" s="519">
        <f>H68+M68+AE68+AJ68+AU68+BA68+BF68</f>
        <v/>
      </c>
      <c r="BI68" s="528">
        <f>IF(E68-BH68&lt;0, BH68-E68, )</f>
        <v/>
      </c>
      <c r="BJ68" s="529">
        <f>IF(E68-BH68&lt;0, ,E68-BH68)</f>
        <v/>
      </c>
      <c r="BK68" s="530" t="n"/>
      <c r="BM68" s="523" t="n"/>
      <c r="BN68" s="523" t="n"/>
      <c r="BO68" s="523" t="n"/>
      <c r="BP68" s="523" t="n"/>
      <c r="BQ68" s="523" t="n"/>
      <c r="BR68" s="523" t="n"/>
      <c r="BS68" s="523" t="n"/>
      <c r="BT68" s="518">
        <f>SUM(BM68:BS68)</f>
        <v/>
      </c>
      <c r="BU68" s="518" t="n"/>
      <c r="BV68" s="523" t="n"/>
      <c r="BW68" s="523" t="n"/>
      <c r="BX68" s="523" t="n"/>
      <c r="BY68" s="523" t="n"/>
      <c r="BZ68" s="523" t="n"/>
      <c r="CA68" s="523" t="n"/>
      <c r="CB68" s="523" t="n"/>
      <c r="CC68" s="518">
        <f>SUM(BV68:CB68)</f>
        <v/>
      </c>
      <c r="CD68" s="518" t="n"/>
      <c r="CE68" s="523" t="n"/>
      <c r="CF68" s="523" t="n"/>
      <c r="CG68" s="523" t="n"/>
      <c r="CH68" s="523" t="n"/>
      <c r="CI68" s="523" t="n"/>
      <c r="CJ68" s="523" t="n"/>
      <c r="CK68" s="523" t="n"/>
      <c r="CL68" s="518">
        <f>SUM(CE68:CK68)</f>
        <v/>
      </c>
      <c r="CN68" s="525">
        <f>+H68-(BM68+BV68+CE68)</f>
        <v/>
      </c>
      <c r="CO68" s="525">
        <f>+M68-(BN68+BW68+CF68)</f>
        <v/>
      </c>
      <c r="CP68" s="525">
        <f>+AE68-(BO68+BX68+CG68)</f>
        <v/>
      </c>
      <c r="CQ68" s="525">
        <f>+AJ68-(BP68+BY68+CH68)</f>
        <v/>
      </c>
      <c r="CR68" s="525">
        <f>+AU68-(BQ68+BZ68+CI68)</f>
        <v/>
      </c>
      <c r="CS68" s="525">
        <f>+BA68-(BR68+CA68+CJ68)</f>
        <v/>
      </c>
      <c r="CT68" s="525">
        <f>+BF68-(BS68+CB68+CK68)</f>
        <v/>
      </c>
      <c r="CU68" s="525">
        <f>BT68+CC68+CL68</f>
        <v/>
      </c>
      <c r="CV68" s="525">
        <f>SUM(CN68:CT68)</f>
        <v/>
      </c>
    </row>
    <row r="69" ht="21" customFormat="1" customHeight="1" s="230">
      <c r="A69" s="453" t="n">
        <v>5031175</v>
      </c>
      <c r="B69" s="309" t="inlineStr">
        <is>
          <t>GGG</t>
        </is>
      </c>
      <c r="C69" s="287" t="inlineStr">
        <is>
          <t>CABLE DE ENERGIA TRIPOLAR TIPO N2XY 3 - 1 X 16MM2 0,6 / 1KV</t>
        </is>
      </c>
      <c r="D69" s="288" t="n">
        <v>12.978</v>
      </c>
      <c r="E69" s="507" t="n"/>
      <c r="F69" s="526" t="n"/>
      <c r="G69" s="527" t="n"/>
      <c r="H69" s="510" t="n"/>
      <c r="I69" s="511" t="n"/>
      <c r="J69" s="512" t="n"/>
      <c r="K69" s="512" t="n"/>
      <c r="L69" s="513" t="n"/>
      <c r="M69" s="510" t="n"/>
      <c r="N69" s="526" t="n"/>
      <c r="O69" s="512" t="n"/>
      <c r="P69" s="512" t="n"/>
      <c r="Q69" s="512" t="n"/>
      <c r="R69" s="512" t="n"/>
      <c r="S69" s="512" t="n"/>
      <c r="T69" s="512" t="n"/>
      <c r="U69" s="512" t="n"/>
      <c r="V69" s="512" t="n"/>
      <c r="W69" s="512" t="n"/>
      <c r="X69" s="512" t="n"/>
      <c r="Y69" s="512" t="n"/>
      <c r="Z69" s="512" t="n"/>
      <c r="AA69" s="512" t="n"/>
      <c r="AB69" s="512" t="n"/>
      <c r="AC69" s="512" t="n"/>
      <c r="AD69" s="512" t="n"/>
      <c r="AE69" s="510" t="n"/>
      <c r="AF69" s="511" t="n"/>
      <c r="AG69" s="512" t="n"/>
      <c r="AH69" s="512" t="n"/>
      <c r="AI69" s="513" t="n"/>
      <c r="AJ69" s="510" t="n"/>
      <c r="AK69" s="513" t="n"/>
      <c r="AL69" s="513" t="n"/>
      <c r="AM69" s="513" t="n"/>
      <c r="AN69" s="513" t="n"/>
      <c r="AO69" s="513" t="n"/>
      <c r="AP69" s="513" t="n"/>
      <c r="AQ69" s="513" t="n"/>
      <c r="AR69" s="513" t="n"/>
      <c r="AS69" s="513" t="n"/>
      <c r="AT69" s="513" t="n"/>
      <c r="AU69" s="510" t="n"/>
      <c r="AV69" s="527" t="n"/>
      <c r="AW69" s="514" t="n"/>
      <c r="AX69" s="514" t="n"/>
      <c r="AY69" s="514" t="n"/>
      <c r="AZ69" s="514" t="n"/>
      <c r="BA69" s="510">
        <f>SUM(AV69:AZ69)</f>
        <v/>
      </c>
      <c r="BB69" s="511" t="n"/>
      <c r="BC69" s="512" t="n"/>
      <c r="BD69" s="512" t="n"/>
      <c r="BE69" s="512" t="n"/>
      <c r="BF69" s="510">
        <f>SUM(BB69:BE69)</f>
        <v/>
      </c>
      <c r="BG69" s="518" t="n"/>
      <c r="BH69" s="519">
        <f>H69+M69+AE69+AJ69+AU69+BA69+BF69</f>
        <v/>
      </c>
      <c r="BI69" s="528">
        <f>IF(E69-BH69&lt;0, BH69-E69, )</f>
        <v/>
      </c>
      <c r="BJ69" s="529">
        <f>IF(E69-BH69&lt;0, ,E69-BH69)</f>
        <v/>
      </c>
      <c r="BK69" s="530" t="n"/>
      <c r="BM69" s="523" t="n"/>
      <c r="BN69" s="523" t="n"/>
      <c r="BO69" s="523" t="n"/>
      <c r="BP69" s="523" t="n"/>
      <c r="BQ69" s="523" t="n"/>
      <c r="BR69" s="523" t="n"/>
      <c r="BS69" s="523" t="n"/>
      <c r="BT69" s="518">
        <f>SUM(BM69:BS69)</f>
        <v/>
      </c>
      <c r="BU69" s="518" t="n"/>
      <c r="BV69" s="523" t="n"/>
      <c r="BW69" s="523" t="n"/>
      <c r="BX69" s="523" t="n"/>
      <c r="BY69" s="523" t="n"/>
      <c r="BZ69" s="523" t="n"/>
      <c r="CA69" s="523" t="n"/>
      <c r="CB69" s="523" t="n"/>
      <c r="CC69" s="518">
        <f>SUM(BV69:CB69)</f>
        <v/>
      </c>
      <c r="CD69" s="518" t="n"/>
      <c r="CE69" s="523" t="n"/>
      <c r="CF69" s="523" t="n"/>
      <c r="CG69" s="523" t="n"/>
      <c r="CH69" s="523" t="n"/>
      <c r="CI69" s="523" t="n"/>
      <c r="CJ69" s="523" t="n"/>
      <c r="CK69" s="523" t="n"/>
      <c r="CL69" s="518">
        <f>SUM(CE69:CK69)</f>
        <v/>
      </c>
      <c r="CN69" s="525">
        <f>+H69-(BM69+BV69+CE69)</f>
        <v/>
      </c>
      <c r="CO69" s="525">
        <f>+M69-(BN69+BW69+CF69)</f>
        <v/>
      </c>
      <c r="CP69" s="525">
        <f>+AE69-(BO69+BX69+CG69)</f>
        <v/>
      </c>
      <c r="CQ69" s="525">
        <f>+AJ69-(BP69+BY69+CH69)</f>
        <v/>
      </c>
      <c r="CR69" s="525">
        <f>+AU69-(BQ69+BZ69+CI69)</f>
        <v/>
      </c>
      <c r="CS69" s="525">
        <f>+BA69-(BR69+CA69+CJ69)</f>
        <v/>
      </c>
      <c r="CT69" s="525">
        <f>+BF69-(BS69+CB69+CK69)</f>
        <v/>
      </c>
      <c r="CU69" s="525">
        <f>BT69+CC69+CL69</f>
        <v/>
      </c>
      <c r="CV69" s="525">
        <f>SUM(CN69:CT69)</f>
        <v/>
      </c>
    </row>
    <row r="70" ht="21" customFormat="1" customHeight="1" s="230">
      <c r="A70" s="453" t="n">
        <v>5031178</v>
      </c>
      <c r="B70" s="309" t="inlineStr">
        <is>
          <t>GGG</t>
        </is>
      </c>
      <c r="C70" s="287" t="inlineStr">
        <is>
          <t>CABLE DE ENERGIA TRIPOLAR TIPO N2XY 3 - 1 X 70MM2 0,6 / 1KV</t>
        </is>
      </c>
      <c r="D70" s="288" t="n">
        <v>49.312</v>
      </c>
      <c r="E70" s="507" t="n"/>
      <c r="F70" s="526" t="n"/>
      <c r="G70" s="527" t="n"/>
      <c r="H70" s="510" t="n"/>
      <c r="I70" s="511" t="n"/>
      <c r="J70" s="512" t="n"/>
      <c r="K70" s="512" t="n"/>
      <c r="L70" s="513" t="n"/>
      <c r="M70" s="510" t="n"/>
      <c r="N70" s="526" t="n"/>
      <c r="O70" s="512" t="n"/>
      <c r="P70" s="512" t="n"/>
      <c r="Q70" s="512" t="n"/>
      <c r="R70" s="512" t="n"/>
      <c r="S70" s="512" t="n"/>
      <c r="T70" s="512" t="n"/>
      <c r="U70" s="512" t="n"/>
      <c r="V70" s="512" t="n"/>
      <c r="W70" s="512" t="n"/>
      <c r="X70" s="512" t="n"/>
      <c r="Y70" s="512" t="n"/>
      <c r="Z70" s="512" t="n"/>
      <c r="AA70" s="512" t="n"/>
      <c r="AB70" s="512" t="n"/>
      <c r="AC70" s="512" t="n"/>
      <c r="AD70" s="512" t="n"/>
      <c r="AE70" s="510" t="n"/>
      <c r="AF70" s="511" t="n"/>
      <c r="AG70" s="512" t="n"/>
      <c r="AH70" s="512" t="n"/>
      <c r="AI70" s="513" t="n"/>
      <c r="AJ70" s="510" t="n"/>
      <c r="AK70" s="513" t="n"/>
      <c r="AL70" s="513" t="n"/>
      <c r="AM70" s="513" t="n"/>
      <c r="AN70" s="513" t="n"/>
      <c r="AO70" s="513" t="n"/>
      <c r="AP70" s="513" t="n"/>
      <c r="AQ70" s="513" t="n"/>
      <c r="AR70" s="513" t="n"/>
      <c r="AS70" s="513" t="n"/>
      <c r="AT70" s="513" t="n"/>
      <c r="AU70" s="510" t="n"/>
      <c r="AV70" s="527" t="n"/>
      <c r="AW70" s="514" t="n"/>
      <c r="AX70" s="514" t="n"/>
      <c r="AY70" s="514" t="n"/>
      <c r="AZ70" s="514" t="n"/>
      <c r="BA70" s="510">
        <f>SUM(AV70:AZ70)</f>
        <v/>
      </c>
      <c r="BB70" s="511" t="n"/>
      <c r="BC70" s="512" t="n"/>
      <c r="BD70" s="512" t="n"/>
      <c r="BE70" s="512" t="n"/>
      <c r="BF70" s="510">
        <f>SUM(BB70:BE70)</f>
        <v/>
      </c>
      <c r="BG70" s="518" t="n"/>
      <c r="BH70" s="519">
        <f>H70+M70+AE70+AJ70+AU70+BA70+BF70</f>
        <v/>
      </c>
      <c r="BI70" s="528">
        <f>IF(E70-BH70&lt;0, BH70-E70, )</f>
        <v/>
      </c>
      <c r="BJ70" s="529">
        <f>IF(E70-BH70&lt;0, ,E70-BH70)</f>
        <v/>
      </c>
      <c r="BK70" s="530" t="n"/>
      <c r="BM70" s="523" t="n"/>
      <c r="BN70" s="523" t="n"/>
      <c r="BO70" s="523" t="n"/>
      <c r="BP70" s="523" t="n"/>
      <c r="BQ70" s="523" t="n"/>
      <c r="BR70" s="523" t="n"/>
      <c r="BS70" s="523" t="n"/>
      <c r="BT70" s="518">
        <f>SUM(BM70:BS70)</f>
        <v/>
      </c>
      <c r="BU70" s="518" t="n"/>
      <c r="BV70" s="523" t="n"/>
      <c r="BW70" s="523" t="n"/>
      <c r="BX70" s="523" t="n"/>
      <c r="BY70" s="523" t="n"/>
      <c r="BZ70" s="523" t="n"/>
      <c r="CA70" s="523" t="n"/>
      <c r="CB70" s="523" t="n"/>
      <c r="CC70" s="518">
        <f>SUM(BV70:CB70)</f>
        <v/>
      </c>
      <c r="CD70" s="518" t="n"/>
      <c r="CE70" s="523" t="n"/>
      <c r="CF70" s="523" t="n"/>
      <c r="CG70" s="523" t="n"/>
      <c r="CH70" s="523" t="n"/>
      <c r="CI70" s="523" t="n"/>
      <c r="CJ70" s="523" t="n"/>
      <c r="CK70" s="523" t="n"/>
      <c r="CL70" s="518">
        <f>SUM(CE70:CK70)</f>
        <v/>
      </c>
      <c r="CN70" s="525">
        <f>+H70-(BM70+BV70+CE70)</f>
        <v/>
      </c>
      <c r="CO70" s="525">
        <f>+M70-(BN70+BW70+CF70)</f>
        <v/>
      </c>
      <c r="CP70" s="525">
        <f>+AE70-(BO70+BX70+CG70)</f>
        <v/>
      </c>
      <c r="CQ70" s="525">
        <f>+AJ70-(BP70+BY70+CH70)</f>
        <v/>
      </c>
      <c r="CR70" s="525">
        <f>+AU70-(BQ70+BZ70+CI70)</f>
        <v/>
      </c>
      <c r="CS70" s="525">
        <f>+BA70-(BR70+CA70+CJ70)</f>
        <v/>
      </c>
      <c r="CT70" s="525">
        <f>+BF70-(BS70+CB70+CK70)</f>
        <v/>
      </c>
      <c r="CU70" s="525">
        <f>BT70+CC70+CL70</f>
        <v/>
      </c>
      <c r="CV70" s="525">
        <f>SUM(CN70:CT70)</f>
        <v/>
      </c>
    </row>
    <row r="71" ht="21" customFormat="1" customHeight="1" s="230">
      <c r="A71" s="453" t="n">
        <v>5111267</v>
      </c>
      <c r="B71" s="309" t="inlineStr">
        <is>
          <t>GGG</t>
        </is>
      </c>
      <c r="C71" s="287" t="inlineStr">
        <is>
          <t>EMPALME DERECHO DERIVACION SIMETRICO UNIPOLAR AUTOFUNDENTE P.CABLE SECO 240-300 / 70-300MM2 B.T.</t>
        </is>
      </c>
      <c r="D71" s="288" t="n">
        <v>47.568</v>
      </c>
      <c r="E71" s="507" t="n"/>
      <c r="F71" s="526" t="n"/>
      <c r="G71" s="527" t="n"/>
      <c r="H71" s="510" t="n"/>
      <c r="I71" s="511" t="n"/>
      <c r="J71" s="512" t="n"/>
      <c r="K71" s="512" t="n"/>
      <c r="L71" s="513" t="n"/>
      <c r="M71" s="510" t="n"/>
      <c r="N71" s="526" t="n"/>
      <c r="O71" s="512" t="n"/>
      <c r="P71" s="512" t="n"/>
      <c r="Q71" s="512" t="n"/>
      <c r="R71" s="512" t="n"/>
      <c r="S71" s="512" t="n"/>
      <c r="T71" s="512" t="n"/>
      <c r="U71" s="512" t="n"/>
      <c r="V71" s="512" t="n"/>
      <c r="W71" s="512" t="n"/>
      <c r="X71" s="512" t="n"/>
      <c r="Y71" s="512" t="n"/>
      <c r="Z71" s="512" t="n"/>
      <c r="AA71" s="512" t="n"/>
      <c r="AB71" s="512" t="n"/>
      <c r="AC71" s="512" t="n"/>
      <c r="AD71" s="512" t="n"/>
      <c r="AE71" s="510" t="n"/>
      <c r="AF71" s="511" t="n"/>
      <c r="AG71" s="512" t="n"/>
      <c r="AH71" s="512" t="n"/>
      <c r="AI71" s="513" t="n"/>
      <c r="AJ71" s="510" t="n"/>
      <c r="AK71" s="513" t="n"/>
      <c r="AL71" s="513" t="n"/>
      <c r="AM71" s="513" t="n"/>
      <c r="AN71" s="513" t="n"/>
      <c r="AO71" s="513" t="n"/>
      <c r="AP71" s="513" t="n"/>
      <c r="AQ71" s="513" t="n"/>
      <c r="AR71" s="513" t="n"/>
      <c r="AS71" s="513" t="n"/>
      <c r="AT71" s="513" t="n"/>
      <c r="AU71" s="510" t="n"/>
      <c r="AV71" s="527" t="n"/>
      <c r="AW71" s="514" t="n"/>
      <c r="AX71" s="514" t="n"/>
      <c r="AY71" s="514" t="n"/>
      <c r="AZ71" s="514" t="n"/>
      <c r="BA71" s="510">
        <f>SUM(AV71:AZ71)</f>
        <v/>
      </c>
      <c r="BB71" s="511" t="n"/>
      <c r="BC71" s="512" t="n"/>
      <c r="BD71" s="512" t="n"/>
      <c r="BE71" s="512" t="n"/>
      <c r="BF71" s="510">
        <f>SUM(BB71:BE71)</f>
        <v/>
      </c>
      <c r="BG71" s="518" t="n"/>
      <c r="BH71" s="519">
        <f>H71+M71+AE71+AJ71+AU71+BA71+BF71</f>
        <v/>
      </c>
      <c r="BI71" s="528">
        <f>IF(E71-BH71&lt;0, BH71-E71, )</f>
        <v/>
      </c>
      <c r="BJ71" s="529">
        <f>IF(E71-BH71&lt;0, ,E71-BH71)</f>
        <v/>
      </c>
      <c r="BK71" s="530" t="n"/>
      <c r="BM71" s="523" t="n"/>
      <c r="BN71" s="523" t="n"/>
      <c r="BO71" s="523" t="n"/>
      <c r="BP71" s="523" t="n"/>
      <c r="BQ71" s="523" t="n"/>
      <c r="BR71" s="523" t="n"/>
      <c r="BS71" s="523" t="n"/>
      <c r="BT71" s="518">
        <f>SUM(BM71:BS71)</f>
        <v/>
      </c>
      <c r="BU71" s="518" t="n"/>
      <c r="BV71" s="523" t="n"/>
      <c r="BW71" s="523" t="n"/>
      <c r="BX71" s="523" t="n"/>
      <c r="BY71" s="523" t="n"/>
      <c r="BZ71" s="523" t="n"/>
      <c r="CA71" s="523" t="n"/>
      <c r="CB71" s="523" t="n"/>
      <c r="CC71" s="518">
        <f>SUM(BV71:CB71)</f>
        <v/>
      </c>
      <c r="CD71" s="518" t="n"/>
      <c r="CE71" s="523" t="n"/>
      <c r="CF71" s="523" t="n"/>
      <c r="CG71" s="523" t="n"/>
      <c r="CH71" s="523" t="n"/>
      <c r="CI71" s="523" t="n"/>
      <c r="CJ71" s="523" t="n"/>
      <c r="CK71" s="523" t="n"/>
      <c r="CL71" s="518">
        <f>SUM(CE71:CK71)</f>
        <v/>
      </c>
      <c r="CN71" s="525">
        <f>+H71-(BM71+BV71+CE71)</f>
        <v/>
      </c>
      <c r="CO71" s="525">
        <f>+M71-(BN71+BW71+CF71)</f>
        <v/>
      </c>
      <c r="CP71" s="525">
        <f>+AE71-(BO71+BX71+CG71)</f>
        <v/>
      </c>
      <c r="CQ71" s="525">
        <f>+AJ71-(BP71+BY71+CH71)</f>
        <v/>
      </c>
      <c r="CR71" s="525">
        <f>+AU71-(BQ71+BZ71+CI71)</f>
        <v/>
      </c>
      <c r="CS71" s="525">
        <f>+BA71-(BR71+CA71+CJ71)</f>
        <v/>
      </c>
      <c r="CT71" s="525">
        <f>+BF71-(BS71+CB71+CK71)</f>
        <v/>
      </c>
      <c r="CU71" s="525">
        <f>BT71+CC71+CL71</f>
        <v/>
      </c>
      <c r="CV71" s="525">
        <f>SUM(CN71:CT71)</f>
        <v/>
      </c>
    </row>
    <row r="72" ht="21" customFormat="1" customHeight="1" s="230">
      <c r="A72" s="453" t="n">
        <v>5112876</v>
      </c>
      <c r="B72" s="309" t="inlineStr">
        <is>
          <t>GGG</t>
        </is>
      </c>
      <c r="C72" s="287" t="inlineStr">
        <is>
          <t>CONECTOR MECANICO EN DERIVACION DE ALEACION DE ALUMINIO P.CABLES DE ALUMINIO 240-300/70-300MM2, B.T</t>
        </is>
      </c>
      <c r="D72" s="288" t="n">
        <v>55.69</v>
      </c>
      <c r="E72" s="507" t="n"/>
      <c r="F72" s="526" t="n"/>
      <c r="G72" s="527" t="n"/>
      <c r="H72" s="510" t="n"/>
      <c r="I72" s="511" t="n"/>
      <c r="J72" s="512" t="n"/>
      <c r="K72" s="512" t="n"/>
      <c r="L72" s="513" t="n"/>
      <c r="M72" s="510" t="n"/>
      <c r="N72" s="526" t="n"/>
      <c r="O72" s="512" t="n"/>
      <c r="P72" s="512" t="n"/>
      <c r="Q72" s="512" t="n"/>
      <c r="R72" s="512" t="n"/>
      <c r="S72" s="512" t="n"/>
      <c r="T72" s="512" t="n"/>
      <c r="U72" s="512" t="n"/>
      <c r="V72" s="512" t="n"/>
      <c r="W72" s="512" t="n"/>
      <c r="X72" s="512" t="n"/>
      <c r="Y72" s="512" t="n"/>
      <c r="Z72" s="512" t="n"/>
      <c r="AA72" s="512" t="n"/>
      <c r="AB72" s="512" t="n"/>
      <c r="AC72" s="512" t="n"/>
      <c r="AD72" s="512" t="n"/>
      <c r="AE72" s="510" t="n"/>
      <c r="AF72" s="511" t="n"/>
      <c r="AG72" s="512" t="n"/>
      <c r="AH72" s="512" t="n"/>
      <c r="AI72" s="513" t="n"/>
      <c r="AJ72" s="510" t="n"/>
      <c r="AK72" s="513" t="n"/>
      <c r="AL72" s="513" t="n"/>
      <c r="AM72" s="513" t="n"/>
      <c r="AN72" s="513" t="n"/>
      <c r="AO72" s="513" t="n"/>
      <c r="AP72" s="513" t="n"/>
      <c r="AQ72" s="513" t="n"/>
      <c r="AR72" s="513" t="n"/>
      <c r="AS72" s="513" t="n"/>
      <c r="AT72" s="513" t="n"/>
      <c r="AU72" s="510" t="n"/>
      <c r="AV72" s="527" t="n"/>
      <c r="AW72" s="514" t="n"/>
      <c r="AX72" s="514" t="n"/>
      <c r="AY72" s="514" t="n"/>
      <c r="AZ72" s="514" t="n"/>
      <c r="BA72" s="510">
        <f>SUM(AV72:AZ72)</f>
        <v/>
      </c>
      <c r="BB72" s="511" t="n"/>
      <c r="BC72" s="512" t="n"/>
      <c r="BD72" s="512" t="n"/>
      <c r="BE72" s="512" t="n"/>
      <c r="BF72" s="510">
        <f>SUM(BB72:BE72)</f>
        <v/>
      </c>
      <c r="BG72" s="518" t="n"/>
      <c r="BH72" s="519">
        <f>H72+M72+AE72+AJ72+AU72+BA72+BF72</f>
        <v/>
      </c>
      <c r="BI72" s="528">
        <f>IF(E72-BH72&lt;0, BH72-E72, )</f>
        <v/>
      </c>
      <c r="BJ72" s="529">
        <f>IF(E72-BH72&lt;0, ,E72-BH72)</f>
        <v/>
      </c>
      <c r="BK72" s="530" t="n"/>
      <c r="BM72" s="523" t="n"/>
      <c r="BN72" s="523" t="n"/>
      <c r="BO72" s="523" t="n"/>
      <c r="BP72" s="523" t="n"/>
      <c r="BQ72" s="523" t="n"/>
      <c r="BR72" s="523" t="n"/>
      <c r="BS72" s="523" t="n"/>
      <c r="BT72" s="518">
        <f>SUM(BM72:BS72)</f>
        <v/>
      </c>
      <c r="BU72" s="518" t="n"/>
      <c r="BV72" s="523" t="n"/>
      <c r="BW72" s="523" t="n"/>
      <c r="BX72" s="523" t="n"/>
      <c r="BY72" s="523" t="n"/>
      <c r="BZ72" s="523" t="n"/>
      <c r="CA72" s="523" t="n"/>
      <c r="CB72" s="523" t="n"/>
      <c r="CC72" s="518">
        <f>SUM(BV72:CB72)</f>
        <v/>
      </c>
      <c r="CD72" s="518" t="n"/>
      <c r="CE72" s="523" t="n"/>
      <c r="CF72" s="523" t="n"/>
      <c r="CG72" s="523" t="n"/>
      <c r="CH72" s="523" t="n"/>
      <c r="CI72" s="523" t="n"/>
      <c r="CJ72" s="523" t="n"/>
      <c r="CK72" s="523" t="n"/>
      <c r="CL72" s="518">
        <f>SUM(CE72:CK72)</f>
        <v/>
      </c>
      <c r="CN72" s="525">
        <f>+H72-(BM72+BV72+CE72)</f>
        <v/>
      </c>
      <c r="CO72" s="525">
        <f>+M72-(BN72+BW72+CF72)</f>
        <v/>
      </c>
      <c r="CP72" s="525">
        <f>+AE72-(BO72+BX72+CG72)</f>
        <v/>
      </c>
      <c r="CQ72" s="525">
        <f>+AJ72-(BP72+BY72+CH72)</f>
        <v/>
      </c>
      <c r="CR72" s="525">
        <f>+AU72-(BQ72+BZ72+CI72)</f>
        <v/>
      </c>
      <c r="CS72" s="525">
        <f>+BA72-(BR72+CA72+CJ72)</f>
        <v/>
      </c>
      <c r="CT72" s="525">
        <f>+BF72-(BS72+CB72+CK72)</f>
        <v/>
      </c>
      <c r="CU72" s="525">
        <f>BT72+CC72+CL72</f>
        <v/>
      </c>
      <c r="CV72" s="525">
        <f>SUM(CN72:CT72)</f>
        <v/>
      </c>
    </row>
    <row r="73" ht="21" customFormat="1" customHeight="1" s="230">
      <c r="A73" s="453" t="n">
        <v>5567061</v>
      </c>
      <c r="B73" s="309" t="inlineStr">
        <is>
          <t>GGG</t>
        </is>
      </c>
      <c r="C73" s="287" t="inlineStr">
        <is>
          <t>LUMINARIA LED P.VIAS COLECTORAS TIPO ALUMBRADO III, 220V, 60HZ, CLASE II, PREPARADA PARA TELEGESTION</t>
        </is>
      </c>
      <c r="D73" s="288" t="e">
        <v>#N/A</v>
      </c>
      <c r="E73" s="507" t="n"/>
      <c r="F73" s="526" t="n"/>
      <c r="G73" s="527" t="n"/>
      <c r="H73" s="510" t="n"/>
      <c r="I73" s="511" t="n"/>
      <c r="J73" s="512" t="n"/>
      <c r="K73" s="512" t="n"/>
      <c r="L73" s="513" t="n"/>
      <c r="M73" s="510" t="n"/>
      <c r="N73" s="526" t="n"/>
      <c r="O73" s="512" t="n"/>
      <c r="P73" s="512" t="n"/>
      <c r="Q73" s="512" t="n"/>
      <c r="R73" s="512" t="n"/>
      <c r="S73" s="512" t="n"/>
      <c r="T73" s="512" t="n"/>
      <c r="U73" s="512" t="n"/>
      <c r="V73" s="512" t="n"/>
      <c r="W73" s="512" t="n"/>
      <c r="X73" s="512" t="n"/>
      <c r="Y73" s="512" t="n"/>
      <c r="Z73" s="512" t="n"/>
      <c r="AA73" s="512" t="n"/>
      <c r="AB73" s="512" t="n"/>
      <c r="AC73" s="512" t="n"/>
      <c r="AD73" s="512" t="n"/>
      <c r="AE73" s="510" t="n"/>
      <c r="AF73" s="511" t="n"/>
      <c r="AG73" s="512" t="n"/>
      <c r="AH73" s="512" t="n"/>
      <c r="AI73" s="513" t="n"/>
      <c r="AJ73" s="510" t="n"/>
      <c r="AK73" s="513" t="n"/>
      <c r="AL73" s="513" t="n"/>
      <c r="AM73" s="513" t="n"/>
      <c r="AN73" s="513" t="n"/>
      <c r="AO73" s="513" t="n"/>
      <c r="AP73" s="513" t="n"/>
      <c r="AQ73" s="513" t="n"/>
      <c r="AR73" s="513" t="n"/>
      <c r="AS73" s="513" t="n"/>
      <c r="AT73" s="513" t="n"/>
      <c r="AU73" s="510" t="n"/>
      <c r="AV73" s="527" t="n"/>
      <c r="AW73" s="514" t="n"/>
      <c r="AX73" s="514" t="n"/>
      <c r="AY73" s="514" t="n"/>
      <c r="AZ73" s="514" t="n"/>
      <c r="BA73" s="510">
        <f>SUM(AV73:AZ73)</f>
        <v/>
      </c>
      <c r="BB73" s="511" t="n"/>
      <c r="BC73" s="512" t="n"/>
      <c r="BD73" s="512" t="n"/>
      <c r="BE73" s="512" t="n"/>
      <c r="BF73" s="510">
        <f>SUM(BB73:BE73)</f>
        <v/>
      </c>
      <c r="BG73" s="518" t="n"/>
      <c r="BH73" s="519">
        <f>H73+M73+AE73+AJ73+AU73+BA73+BF73</f>
        <v/>
      </c>
      <c r="BI73" s="528">
        <f>IF(E73-BH73&lt;0, BH73-E73, )</f>
        <v/>
      </c>
      <c r="BJ73" s="529">
        <f>IF(E73-BH73&lt;0, ,E73-BH73)</f>
        <v/>
      </c>
      <c r="BK73" s="530" t="n"/>
      <c r="BM73" s="523" t="n"/>
      <c r="BN73" s="523" t="n"/>
      <c r="BO73" s="523" t="n"/>
      <c r="BP73" s="523" t="n"/>
      <c r="BQ73" s="523" t="n"/>
      <c r="BR73" s="523" t="n"/>
      <c r="BS73" s="523" t="n"/>
      <c r="BT73" s="518">
        <f>SUM(BM73:BS73)</f>
        <v/>
      </c>
      <c r="BU73" s="518" t="n"/>
      <c r="BV73" s="523" t="n"/>
      <c r="BW73" s="523" t="n"/>
      <c r="BX73" s="523" t="n"/>
      <c r="BY73" s="523" t="n"/>
      <c r="BZ73" s="523" t="n"/>
      <c r="CA73" s="523" t="n"/>
      <c r="CB73" s="523" t="n"/>
      <c r="CC73" s="518">
        <f>SUM(BV73:CB73)</f>
        <v/>
      </c>
      <c r="CD73" s="518" t="n"/>
      <c r="CE73" s="523" t="n"/>
      <c r="CF73" s="523" t="n"/>
      <c r="CG73" s="523" t="n"/>
      <c r="CH73" s="523" t="n"/>
      <c r="CI73" s="523" t="n"/>
      <c r="CJ73" s="523" t="n"/>
      <c r="CK73" s="523" t="n"/>
      <c r="CL73" s="518">
        <f>SUM(CE73:CK73)</f>
        <v/>
      </c>
      <c r="CN73" s="525">
        <f>+H73-(BM73+BV73+CE73)</f>
        <v/>
      </c>
      <c r="CO73" s="525">
        <f>+M73-(BN73+BW73+CF73)</f>
        <v/>
      </c>
      <c r="CP73" s="525">
        <f>+AE73-(BO73+BX73+CG73)</f>
        <v/>
      </c>
      <c r="CQ73" s="525">
        <f>+AJ73-(BP73+BY73+CH73)</f>
        <v/>
      </c>
      <c r="CR73" s="525">
        <f>+AU73-(BQ73+BZ73+CI73)</f>
        <v/>
      </c>
      <c r="CS73" s="525">
        <f>+BA73-(BR73+CA73+CJ73)</f>
        <v/>
      </c>
      <c r="CT73" s="525">
        <f>+BF73-(BS73+CB73+CK73)</f>
        <v/>
      </c>
      <c r="CU73" s="525">
        <f>BT73+CC73+CL73</f>
        <v/>
      </c>
      <c r="CV73" s="525">
        <f>SUM(CN73:CT73)</f>
        <v/>
      </c>
    </row>
    <row r="74" ht="21" customFormat="1" customHeight="1" s="230">
      <c r="A74" s="453" t="n">
        <v>5464501</v>
      </c>
      <c r="B74" s="309" t="inlineStr">
        <is>
          <t>GGG</t>
        </is>
      </c>
      <c r="C74" s="287" t="inlineStr">
        <is>
          <t>SOPORTE FIN DE LINEA LIVIANO AC.GALV.     SAE 1020</t>
        </is>
      </c>
      <c r="D74" s="288" t="n">
        <v>3.031</v>
      </c>
      <c r="E74" s="507" t="n"/>
      <c r="F74" s="526" t="n"/>
      <c r="G74" s="527" t="n"/>
      <c r="H74" s="510" t="n"/>
      <c r="I74" s="511" t="n"/>
      <c r="J74" s="512" t="n"/>
      <c r="K74" s="512" t="n"/>
      <c r="L74" s="513" t="n"/>
      <c r="M74" s="510" t="n"/>
      <c r="N74" s="526" t="n"/>
      <c r="O74" s="512" t="n"/>
      <c r="P74" s="512" t="n"/>
      <c r="Q74" s="512" t="n"/>
      <c r="R74" s="512" t="n"/>
      <c r="S74" s="512" t="n"/>
      <c r="T74" s="512" t="n"/>
      <c r="U74" s="512" t="n"/>
      <c r="V74" s="512" t="n"/>
      <c r="W74" s="512" t="n"/>
      <c r="X74" s="512" t="n"/>
      <c r="Y74" s="512" t="n"/>
      <c r="Z74" s="512" t="n"/>
      <c r="AA74" s="512" t="n"/>
      <c r="AB74" s="512" t="n"/>
      <c r="AC74" s="512" t="n"/>
      <c r="AD74" s="512" t="n"/>
      <c r="AE74" s="510" t="n"/>
      <c r="AF74" s="511" t="n"/>
      <c r="AG74" s="512" t="n"/>
      <c r="AH74" s="512" t="n"/>
      <c r="AI74" s="513" t="n"/>
      <c r="AJ74" s="510" t="n"/>
      <c r="AK74" s="513" t="n"/>
      <c r="AL74" s="513" t="n"/>
      <c r="AM74" s="513" t="n"/>
      <c r="AN74" s="513" t="n"/>
      <c r="AO74" s="513" t="n"/>
      <c r="AP74" s="513" t="n"/>
      <c r="AQ74" s="513" t="n"/>
      <c r="AR74" s="513" t="n"/>
      <c r="AS74" s="513" t="n"/>
      <c r="AT74" s="513" t="n"/>
      <c r="AU74" s="510" t="n"/>
      <c r="AV74" s="527" t="n"/>
      <c r="AW74" s="514" t="n"/>
      <c r="AX74" s="514" t="n"/>
      <c r="AY74" s="514" t="n"/>
      <c r="AZ74" s="514" t="n"/>
      <c r="BA74" s="510">
        <f>SUM(AV74:AZ74)</f>
        <v/>
      </c>
      <c r="BB74" s="511" t="n"/>
      <c r="BC74" s="512" t="n"/>
      <c r="BD74" s="512" t="n"/>
      <c r="BE74" s="512" t="n"/>
      <c r="BF74" s="510">
        <f>SUM(BB74:BE74)</f>
        <v/>
      </c>
      <c r="BG74" s="518" t="n"/>
      <c r="BH74" s="519">
        <f>H74+M74+AE74+AJ74+AU74+BA74+BF74</f>
        <v/>
      </c>
      <c r="BI74" s="528">
        <f>IF(E74-BH74&lt;0, BH74-E74, )</f>
        <v/>
      </c>
      <c r="BJ74" s="529">
        <f>IF(E74-BH74&lt;0, ,E74-BH74)</f>
        <v/>
      </c>
      <c r="BK74" s="530" t="n"/>
      <c r="BM74" s="523" t="n"/>
      <c r="BN74" s="523" t="n"/>
      <c r="BO74" s="523" t="n"/>
      <c r="BP74" s="523" t="n"/>
      <c r="BQ74" s="523" t="n"/>
      <c r="BR74" s="523" t="n"/>
      <c r="BS74" s="523" t="n"/>
      <c r="BT74" s="518">
        <f>SUM(BM74:BS74)</f>
        <v/>
      </c>
      <c r="BU74" s="518" t="n"/>
      <c r="BV74" s="523" t="n"/>
      <c r="BW74" s="523" t="n"/>
      <c r="BX74" s="523" t="n"/>
      <c r="BY74" s="523" t="n"/>
      <c r="BZ74" s="523" t="n"/>
      <c r="CA74" s="523" t="n"/>
      <c r="CB74" s="523" t="n"/>
      <c r="CC74" s="518">
        <f>SUM(BV74:CB74)</f>
        <v/>
      </c>
      <c r="CD74" s="518" t="n"/>
      <c r="CE74" s="523" t="n"/>
      <c r="CF74" s="523" t="n"/>
      <c r="CG74" s="523" t="n"/>
      <c r="CH74" s="523" t="n"/>
      <c r="CI74" s="523" t="n"/>
      <c r="CJ74" s="523" t="n"/>
      <c r="CK74" s="523" t="n"/>
      <c r="CL74" s="518">
        <f>SUM(CE74:CK74)</f>
        <v/>
      </c>
      <c r="CN74" s="525">
        <f>+H74-(BM74+BV74+CE74)</f>
        <v/>
      </c>
      <c r="CO74" s="525">
        <f>+M74-(BN74+BW74+CF74)</f>
        <v/>
      </c>
      <c r="CP74" s="525">
        <f>+AE74-(BO74+BX74+CG74)</f>
        <v/>
      </c>
      <c r="CQ74" s="525">
        <f>+AJ74-(BP74+BY74+CH74)</f>
        <v/>
      </c>
      <c r="CR74" s="525">
        <f>+AU74-(BQ74+BZ74+CI74)</f>
        <v/>
      </c>
      <c r="CS74" s="525">
        <f>+BA74-(BR74+CA74+CJ74)</f>
        <v/>
      </c>
      <c r="CT74" s="525">
        <f>+BF74-(BS74+CB74+CK74)</f>
        <v/>
      </c>
      <c r="CU74" s="525">
        <f>BT74+CC74+CL74</f>
        <v/>
      </c>
      <c r="CV74" s="525">
        <f>SUM(CN74:CT74)</f>
        <v/>
      </c>
    </row>
    <row r="75" ht="21" customFormat="1" customHeight="1" s="230">
      <c r="A75" s="453" t="n">
        <v>5111588</v>
      </c>
      <c r="B75" s="309" t="inlineStr">
        <is>
          <t>GGG</t>
        </is>
      </c>
      <c r="C75" s="287" t="inlineStr">
        <is>
          <t>EMPALME DERECHO DERIVACION ASIMETRICO TRIPOLAR TERMOCONTRAIBLE P.CABLE NKY / SECO AL 6-16/6-16MM2</t>
        </is>
      </c>
      <c r="D75" s="288" t="e">
        <v>#N/A</v>
      </c>
      <c r="E75" s="507" t="n"/>
      <c r="F75" s="526" t="n"/>
      <c r="G75" s="527" t="n"/>
      <c r="H75" s="510" t="n"/>
      <c r="I75" s="511" t="n"/>
      <c r="J75" s="512" t="n"/>
      <c r="K75" s="512" t="n"/>
      <c r="L75" s="513" t="n"/>
      <c r="M75" s="510" t="n"/>
      <c r="N75" s="526" t="n"/>
      <c r="O75" s="512" t="n"/>
      <c r="P75" s="512" t="n"/>
      <c r="Q75" s="512" t="n"/>
      <c r="R75" s="512" t="n"/>
      <c r="S75" s="512" t="n"/>
      <c r="T75" s="512" t="n"/>
      <c r="U75" s="512" t="n"/>
      <c r="V75" s="512" t="n"/>
      <c r="W75" s="512" t="n"/>
      <c r="X75" s="512" t="n"/>
      <c r="Y75" s="512" t="n"/>
      <c r="Z75" s="512" t="n"/>
      <c r="AA75" s="512" t="n"/>
      <c r="AB75" s="512" t="n"/>
      <c r="AC75" s="512" t="n"/>
      <c r="AD75" s="512" t="n"/>
      <c r="AE75" s="510" t="n"/>
      <c r="AF75" s="511" t="n"/>
      <c r="AG75" s="512" t="n"/>
      <c r="AH75" s="512" t="n"/>
      <c r="AI75" s="513" t="n"/>
      <c r="AJ75" s="510" t="n"/>
      <c r="AK75" s="513" t="n"/>
      <c r="AL75" s="513" t="n"/>
      <c r="AM75" s="513" t="n"/>
      <c r="AN75" s="513" t="n"/>
      <c r="AO75" s="513" t="n"/>
      <c r="AP75" s="513" t="n"/>
      <c r="AQ75" s="513" t="n"/>
      <c r="AR75" s="513" t="n"/>
      <c r="AS75" s="513" t="n"/>
      <c r="AT75" s="513" t="n"/>
      <c r="AU75" s="510" t="n"/>
      <c r="AV75" s="527" t="n"/>
      <c r="AW75" s="514" t="n"/>
      <c r="AX75" s="514" t="n"/>
      <c r="AY75" s="514" t="n"/>
      <c r="AZ75" s="514" t="n"/>
      <c r="BA75" s="510">
        <f>SUM(AV75:AZ75)</f>
        <v/>
      </c>
      <c r="BB75" s="511" t="n"/>
      <c r="BC75" s="512" t="n"/>
      <c r="BD75" s="512" t="n"/>
      <c r="BE75" s="512" t="n"/>
      <c r="BF75" s="510">
        <f>SUM(BB75:BE75)</f>
        <v/>
      </c>
      <c r="BG75" s="518" t="n"/>
      <c r="BH75" s="519">
        <f>H75+M75+AE75+AJ75+AU75+BA75+BF75</f>
        <v/>
      </c>
      <c r="BI75" s="528">
        <f>IF(E75-BH75&lt;0, BH75-E75, )</f>
        <v/>
      </c>
      <c r="BJ75" s="529">
        <f>IF(E75-BH75&lt;0, ,E75-BH75)</f>
        <v/>
      </c>
      <c r="BK75" s="530" t="n"/>
      <c r="BM75" s="523" t="n"/>
      <c r="BN75" s="523" t="n"/>
      <c r="BO75" s="523" t="n"/>
      <c r="BP75" s="523" t="n"/>
      <c r="BQ75" s="523" t="n"/>
      <c r="BR75" s="523" t="n"/>
      <c r="BS75" s="523" t="n"/>
      <c r="BT75" s="518">
        <f>SUM(BM75:BS75)</f>
        <v/>
      </c>
      <c r="BU75" s="518" t="n"/>
      <c r="BV75" s="523" t="n"/>
      <c r="BW75" s="523" t="n"/>
      <c r="BX75" s="523" t="n"/>
      <c r="BY75" s="523" t="n"/>
      <c r="BZ75" s="523" t="n"/>
      <c r="CA75" s="523" t="n"/>
      <c r="CB75" s="523" t="n"/>
      <c r="CC75" s="518">
        <f>SUM(BV75:CB75)</f>
        <v/>
      </c>
      <c r="CD75" s="518" t="n"/>
      <c r="CE75" s="523" t="n"/>
      <c r="CF75" s="523" t="n"/>
      <c r="CG75" s="523" t="n"/>
      <c r="CH75" s="523" t="n"/>
      <c r="CI75" s="523" t="n"/>
      <c r="CJ75" s="523" t="n"/>
      <c r="CK75" s="523" t="n"/>
      <c r="CL75" s="518">
        <f>SUM(CE75:CK75)</f>
        <v/>
      </c>
      <c r="CN75" s="525">
        <f>+H75-(BM75+BV75+CE75)</f>
        <v/>
      </c>
      <c r="CO75" s="525">
        <f>+M75-(BN75+BW75+CF75)</f>
        <v/>
      </c>
      <c r="CP75" s="525">
        <f>+AE75-(BO75+BX75+CG75)</f>
        <v/>
      </c>
      <c r="CQ75" s="525">
        <f>+AJ75-(BP75+BY75+CH75)</f>
        <v/>
      </c>
      <c r="CR75" s="525">
        <f>+AU75-(BQ75+BZ75+CI75)</f>
        <v/>
      </c>
      <c r="CS75" s="525">
        <f>+BA75-(BR75+CA75+CJ75)</f>
        <v/>
      </c>
      <c r="CT75" s="525">
        <f>+BF75-(BS75+CB75+CK75)</f>
        <v/>
      </c>
      <c r="CU75" s="525">
        <f>BT75+CC75+CL75</f>
        <v/>
      </c>
      <c r="CV75" s="525">
        <f>SUM(CN75:CT75)</f>
        <v/>
      </c>
    </row>
    <row r="76" ht="21" customFormat="1" customHeight="1" s="230">
      <c r="A76" s="453" t="n">
        <v>5347015</v>
      </c>
      <c r="B76" s="309" t="inlineStr">
        <is>
          <t>GGG</t>
        </is>
      </c>
      <c r="C76" s="287" t="inlineStr">
        <is>
          <t>PASTORAL BASTON</t>
        </is>
      </c>
      <c r="D76" s="288" t="n">
        <v>29.754</v>
      </c>
      <c r="E76" s="507" t="n"/>
      <c r="F76" s="526" t="n"/>
      <c r="G76" s="527" t="n"/>
      <c r="H76" s="510" t="n"/>
      <c r="I76" s="511" t="n"/>
      <c r="J76" s="512" t="n"/>
      <c r="K76" s="512" t="n"/>
      <c r="L76" s="513" t="n"/>
      <c r="M76" s="510" t="n"/>
      <c r="N76" s="526" t="n"/>
      <c r="O76" s="512" t="n"/>
      <c r="P76" s="512" t="n"/>
      <c r="Q76" s="512" t="n"/>
      <c r="R76" s="512" t="n"/>
      <c r="S76" s="512" t="n"/>
      <c r="T76" s="512" t="n"/>
      <c r="U76" s="512" t="n"/>
      <c r="V76" s="512" t="n"/>
      <c r="W76" s="512" t="n"/>
      <c r="X76" s="512" t="n"/>
      <c r="Y76" s="512" t="n"/>
      <c r="Z76" s="512" t="n"/>
      <c r="AA76" s="512" t="n"/>
      <c r="AB76" s="512" t="n"/>
      <c r="AC76" s="512" t="n"/>
      <c r="AD76" s="512" t="n"/>
      <c r="AE76" s="510" t="n"/>
      <c r="AF76" s="511" t="n"/>
      <c r="AG76" s="512" t="n"/>
      <c r="AH76" s="512" t="n"/>
      <c r="AI76" s="513" t="n"/>
      <c r="AJ76" s="510" t="n"/>
      <c r="AK76" s="513" t="n"/>
      <c r="AL76" s="513" t="n"/>
      <c r="AM76" s="513" t="n"/>
      <c r="AN76" s="513" t="n"/>
      <c r="AO76" s="513" t="n"/>
      <c r="AP76" s="513" t="n"/>
      <c r="AQ76" s="513" t="n"/>
      <c r="AR76" s="513" t="n"/>
      <c r="AS76" s="513" t="n"/>
      <c r="AT76" s="513" t="n"/>
      <c r="AU76" s="510" t="n"/>
      <c r="AV76" s="527" t="n"/>
      <c r="AW76" s="514" t="n"/>
      <c r="AX76" s="514" t="n"/>
      <c r="AY76" s="514" t="n"/>
      <c r="AZ76" s="514" t="n"/>
      <c r="BA76" s="510">
        <f>SUM(AV76:AZ76)</f>
        <v/>
      </c>
      <c r="BB76" s="511" t="n"/>
      <c r="BC76" s="512" t="n"/>
      <c r="BD76" s="512" t="n"/>
      <c r="BE76" s="512" t="n"/>
      <c r="BF76" s="510">
        <f>SUM(BB76:BE76)</f>
        <v/>
      </c>
      <c r="BG76" s="518" t="n"/>
      <c r="BH76" s="519">
        <f>H76+M76+AE76+AJ76+AU76+BA76+BF76</f>
        <v/>
      </c>
      <c r="BI76" s="528">
        <f>IF(E76-BH76&lt;0, BH76-E76, )</f>
        <v/>
      </c>
      <c r="BJ76" s="529">
        <f>IF(E76-BH76&lt;0, ,E76-BH76)</f>
        <v/>
      </c>
      <c r="BK76" s="530" t="n"/>
      <c r="BM76" s="523" t="n"/>
      <c r="BN76" s="523" t="n"/>
      <c r="BO76" s="523" t="n"/>
      <c r="BP76" s="523" t="n"/>
      <c r="BQ76" s="523" t="n"/>
      <c r="BR76" s="523" t="n"/>
      <c r="BS76" s="523" t="n"/>
      <c r="BT76" s="518">
        <f>SUM(BM76:BS76)</f>
        <v/>
      </c>
      <c r="BU76" s="518" t="n"/>
      <c r="BV76" s="523" t="n"/>
      <c r="BW76" s="523" t="n"/>
      <c r="BX76" s="523" t="n"/>
      <c r="BY76" s="523" t="n"/>
      <c r="BZ76" s="523" t="n"/>
      <c r="CA76" s="523" t="n"/>
      <c r="CB76" s="523" t="n"/>
      <c r="CC76" s="518">
        <f>SUM(BV76:CB76)</f>
        <v/>
      </c>
      <c r="CD76" s="518" t="n"/>
      <c r="CE76" s="523" t="n"/>
      <c r="CF76" s="523" t="n"/>
      <c r="CG76" s="523" t="n"/>
      <c r="CH76" s="523" t="n"/>
      <c r="CI76" s="523" t="n"/>
      <c r="CJ76" s="523" t="n"/>
      <c r="CK76" s="523" t="n"/>
      <c r="CL76" s="518">
        <f>SUM(CE76:CK76)</f>
        <v/>
      </c>
      <c r="CN76" s="525">
        <f>+H76-(BM76+BV76+CE76)</f>
        <v/>
      </c>
      <c r="CO76" s="525">
        <f>+M76-(BN76+BW76+CF76)</f>
        <v/>
      </c>
      <c r="CP76" s="525">
        <f>+AE76-(BO76+BX76+CG76)</f>
        <v/>
      </c>
      <c r="CQ76" s="525">
        <f>+AJ76-(BP76+BY76+CH76)</f>
        <v/>
      </c>
      <c r="CR76" s="525">
        <f>+AU76-(BQ76+BZ76+CI76)</f>
        <v/>
      </c>
      <c r="CS76" s="525">
        <f>+BA76-(BR76+CA76+CJ76)</f>
        <v/>
      </c>
      <c r="CT76" s="525">
        <f>+BF76-(BS76+CB76+CK76)</f>
        <v/>
      </c>
      <c r="CU76" s="525">
        <f>BT76+CC76+CL76</f>
        <v/>
      </c>
      <c r="CV76" s="525">
        <f>SUM(CN76:CT76)</f>
        <v/>
      </c>
    </row>
    <row r="77" ht="21" customFormat="1" customHeight="1" s="230">
      <c r="A77" s="453" t="n">
        <v>5114191</v>
      </c>
      <c r="B77" s="309" t="inlineStr">
        <is>
          <t>GGG</t>
        </is>
      </c>
      <c r="C77" s="287" t="inlineStr">
        <is>
          <t>CINTA AISLANTE TERMOPLASTICA DE PVC DE 19MM X 18,3</t>
        </is>
      </c>
      <c r="D77" s="288" t="e">
        <v>#N/A</v>
      </c>
      <c r="E77" s="507" t="n"/>
      <c r="F77" s="526" t="n"/>
      <c r="G77" s="527" t="n"/>
      <c r="H77" s="510" t="n"/>
      <c r="I77" s="511" t="n"/>
      <c r="J77" s="512" t="n"/>
      <c r="K77" s="512" t="n"/>
      <c r="L77" s="513" t="n"/>
      <c r="M77" s="510" t="n"/>
      <c r="N77" s="526" t="n"/>
      <c r="O77" s="512" t="n"/>
      <c r="P77" s="512" t="n"/>
      <c r="Q77" s="512" t="n"/>
      <c r="R77" s="512" t="n"/>
      <c r="S77" s="512" t="n"/>
      <c r="T77" s="512" t="n"/>
      <c r="U77" s="512" t="n"/>
      <c r="V77" s="512" t="n"/>
      <c r="W77" s="512" t="n"/>
      <c r="X77" s="512" t="n"/>
      <c r="Y77" s="512" t="n"/>
      <c r="Z77" s="512" t="n"/>
      <c r="AA77" s="512" t="n"/>
      <c r="AB77" s="512" t="n"/>
      <c r="AC77" s="512" t="n"/>
      <c r="AD77" s="512" t="n"/>
      <c r="AE77" s="510" t="n"/>
      <c r="AF77" s="511" t="n"/>
      <c r="AG77" s="512" t="n"/>
      <c r="AH77" s="512" t="n"/>
      <c r="AI77" s="513" t="n"/>
      <c r="AJ77" s="510" t="n"/>
      <c r="AK77" s="513" t="n"/>
      <c r="AL77" s="513" t="n"/>
      <c r="AM77" s="513" t="n"/>
      <c r="AN77" s="513" t="n"/>
      <c r="AO77" s="513" t="n"/>
      <c r="AP77" s="513" t="n"/>
      <c r="AQ77" s="513" t="n"/>
      <c r="AR77" s="513" t="n"/>
      <c r="AS77" s="513" t="n"/>
      <c r="AT77" s="513" t="n"/>
      <c r="AU77" s="510" t="n"/>
      <c r="AV77" s="527" t="n"/>
      <c r="AW77" s="514" t="n"/>
      <c r="AX77" s="514" t="n"/>
      <c r="AY77" s="514" t="n"/>
      <c r="AZ77" s="514" t="n"/>
      <c r="BA77" s="510">
        <f>SUM(AV77:AZ77)</f>
        <v/>
      </c>
      <c r="BB77" s="511" t="n"/>
      <c r="BC77" s="512" t="n"/>
      <c r="BD77" s="512" t="n"/>
      <c r="BE77" s="512" t="n"/>
      <c r="BF77" s="510">
        <f>SUM(BB77:BE77)</f>
        <v/>
      </c>
      <c r="BG77" s="518" t="n"/>
      <c r="BH77" s="519">
        <f>H77+M77+AE77+AJ77+AU77+BA77+BF77</f>
        <v/>
      </c>
      <c r="BI77" s="528">
        <f>IF(E77-BH77&lt;0, BH77-E77, )</f>
        <v/>
      </c>
      <c r="BJ77" s="529">
        <f>IF(E77-BH77&lt;0, ,E77-BH77)</f>
        <v/>
      </c>
      <c r="BK77" s="530" t="n"/>
      <c r="BM77" s="523" t="n"/>
      <c r="BN77" s="523" t="n"/>
      <c r="BO77" s="523" t="n"/>
      <c r="BP77" s="523" t="n"/>
      <c r="BQ77" s="523" t="n"/>
      <c r="BR77" s="523" t="n"/>
      <c r="BS77" s="523" t="n"/>
      <c r="BT77" s="518">
        <f>SUM(BM77:BS77)</f>
        <v/>
      </c>
      <c r="BU77" s="518" t="n"/>
      <c r="BV77" s="523" t="n"/>
      <c r="BW77" s="523" t="n"/>
      <c r="BX77" s="523" t="n"/>
      <c r="BY77" s="523" t="n"/>
      <c r="BZ77" s="523" t="n"/>
      <c r="CA77" s="523" t="n"/>
      <c r="CB77" s="523" t="n"/>
      <c r="CC77" s="518">
        <f>SUM(BV77:CB77)</f>
        <v/>
      </c>
      <c r="CD77" s="518" t="n"/>
      <c r="CE77" s="523" t="n"/>
      <c r="CF77" s="523" t="n"/>
      <c r="CG77" s="523" t="n"/>
      <c r="CH77" s="523" t="n"/>
      <c r="CI77" s="523" t="n"/>
      <c r="CJ77" s="523" t="n"/>
      <c r="CK77" s="523" t="n"/>
      <c r="CL77" s="518">
        <f>SUM(CE77:CK77)</f>
        <v/>
      </c>
      <c r="CN77" s="525">
        <f>+H77-(BM77+BV77+CE77)</f>
        <v/>
      </c>
      <c r="CO77" s="525">
        <f>+M77-(BN77+BW77+CF77)</f>
        <v/>
      </c>
      <c r="CP77" s="525">
        <f>+AE77-(BO77+BX77+CG77)</f>
        <v/>
      </c>
      <c r="CQ77" s="525">
        <f>+AJ77-(BP77+BY77+CH77)</f>
        <v/>
      </c>
      <c r="CR77" s="525">
        <f>+AU77-(BQ77+BZ77+CI77)</f>
        <v/>
      </c>
      <c r="CS77" s="525">
        <f>+BA77-(BR77+CA77+CJ77)</f>
        <v/>
      </c>
      <c r="CT77" s="525">
        <f>+BF77-(BS77+CB77+CK77)</f>
        <v/>
      </c>
      <c r="CU77" s="525">
        <f>BT77+CC77+CL77</f>
        <v/>
      </c>
      <c r="CV77" s="525">
        <f>SUM(CN77:CT77)</f>
        <v/>
      </c>
    </row>
    <row r="78" ht="21" customFormat="1" customHeight="1" s="230">
      <c r="A78" s="453" t="n">
        <v>5134557</v>
      </c>
      <c r="B78" s="309" t="inlineStr">
        <is>
          <t>GGG</t>
        </is>
      </c>
      <c r="C78" s="287" t="inlineStr">
        <is>
          <t>CINTA AISLANTE MASTIC DE GOMA AUTOFUNDENTE C.SOPORTE DE PVC 102MM X 3M X 2,29MM 600V COLOR NEGRO</t>
        </is>
      </c>
      <c r="D78" s="288" t="n">
        <v>56.843</v>
      </c>
      <c r="E78" s="507" t="n"/>
      <c r="F78" s="526" t="n"/>
      <c r="G78" s="527" t="n"/>
      <c r="H78" s="510" t="n"/>
      <c r="I78" s="511" t="n"/>
      <c r="J78" s="512" t="n"/>
      <c r="K78" s="512" t="n"/>
      <c r="L78" s="513" t="n"/>
      <c r="M78" s="510" t="n"/>
      <c r="N78" s="526" t="n"/>
      <c r="O78" s="512" t="n"/>
      <c r="P78" s="512" t="n"/>
      <c r="Q78" s="512" t="n"/>
      <c r="R78" s="512" t="n"/>
      <c r="S78" s="512" t="n"/>
      <c r="T78" s="512" t="n"/>
      <c r="U78" s="512" t="n"/>
      <c r="V78" s="512" t="n"/>
      <c r="W78" s="512" t="n"/>
      <c r="X78" s="512" t="n"/>
      <c r="Y78" s="512" t="n"/>
      <c r="Z78" s="512" t="n"/>
      <c r="AA78" s="512" t="n"/>
      <c r="AB78" s="512" t="n"/>
      <c r="AC78" s="512" t="n"/>
      <c r="AD78" s="512" t="n"/>
      <c r="AE78" s="510" t="n"/>
      <c r="AF78" s="511" t="n"/>
      <c r="AG78" s="512" t="n"/>
      <c r="AH78" s="512" t="n"/>
      <c r="AI78" s="513" t="n"/>
      <c r="AJ78" s="510" t="n"/>
      <c r="AK78" s="513" t="n"/>
      <c r="AL78" s="513" t="n"/>
      <c r="AM78" s="513" t="n"/>
      <c r="AN78" s="513" t="n"/>
      <c r="AO78" s="513" t="n"/>
      <c r="AP78" s="513" t="n"/>
      <c r="AQ78" s="513" t="n"/>
      <c r="AR78" s="513" t="n"/>
      <c r="AS78" s="513" t="n"/>
      <c r="AT78" s="513" t="n"/>
      <c r="AU78" s="510" t="n"/>
      <c r="AV78" s="527" t="n"/>
      <c r="AW78" s="514" t="n"/>
      <c r="AX78" s="514" t="n"/>
      <c r="AY78" s="514" t="n"/>
      <c r="AZ78" s="514" t="n"/>
      <c r="BA78" s="510">
        <f>SUM(AV78:AZ78)</f>
        <v/>
      </c>
      <c r="BB78" s="511" t="n"/>
      <c r="BC78" s="512" t="n"/>
      <c r="BD78" s="512" t="n"/>
      <c r="BE78" s="512" t="n"/>
      <c r="BF78" s="510">
        <f>SUM(BB78:BE78)</f>
        <v/>
      </c>
      <c r="BG78" s="518" t="n"/>
      <c r="BH78" s="519">
        <f>H78+M78+AE78+AJ78+AU78+BA78+BF78</f>
        <v/>
      </c>
      <c r="BI78" s="528">
        <f>IF(E78-BH78&lt;0, BH78-E78, )</f>
        <v/>
      </c>
      <c r="BJ78" s="529">
        <f>IF(E78-BH78&lt;0, ,E78-BH78)</f>
        <v/>
      </c>
      <c r="BK78" s="530" t="n"/>
      <c r="BM78" s="523" t="n"/>
      <c r="BN78" s="523" t="n"/>
      <c r="BO78" s="523" t="n"/>
      <c r="BP78" s="523" t="n"/>
      <c r="BQ78" s="523" t="n"/>
      <c r="BR78" s="523" t="n"/>
      <c r="BS78" s="523" t="n"/>
      <c r="BT78" s="518">
        <f>SUM(BM78:BS78)</f>
        <v/>
      </c>
      <c r="BU78" s="518" t="n"/>
      <c r="BV78" s="523" t="n"/>
      <c r="BW78" s="523" t="n"/>
      <c r="BX78" s="523" t="n"/>
      <c r="BY78" s="523" t="n"/>
      <c r="BZ78" s="523" t="n"/>
      <c r="CA78" s="523" t="n"/>
      <c r="CB78" s="523" t="n"/>
      <c r="CC78" s="518">
        <f>SUM(BV78:CB78)</f>
        <v/>
      </c>
      <c r="CD78" s="518" t="n"/>
      <c r="CE78" s="523" t="n"/>
      <c r="CF78" s="523" t="n"/>
      <c r="CG78" s="523" t="n"/>
      <c r="CH78" s="523" t="n"/>
      <c r="CI78" s="523" t="n"/>
      <c r="CJ78" s="523" t="n"/>
      <c r="CK78" s="523" t="n"/>
      <c r="CL78" s="518">
        <f>SUM(CE78:CK78)</f>
        <v/>
      </c>
      <c r="CN78" s="525">
        <f>+H78-(BM78+BV78+CE78)</f>
        <v/>
      </c>
      <c r="CO78" s="525">
        <f>+M78-(BN78+BW78+CF78)</f>
        <v/>
      </c>
      <c r="CP78" s="525">
        <f>+AE78-(BO78+BX78+CG78)</f>
        <v/>
      </c>
      <c r="CQ78" s="525">
        <f>+AJ78-(BP78+BY78+CH78)</f>
        <v/>
      </c>
      <c r="CR78" s="525">
        <f>+AU78-(BQ78+BZ78+CI78)</f>
        <v/>
      </c>
      <c r="CS78" s="525">
        <f>+BA78-(BR78+CA78+CJ78)</f>
        <v/>
      </c>
      <c r="CT78" s="525">
        <f>+BF78-(BS78+CB78+CK78)</f>
        <v/>
      </c>
      <c r="CU78" s="525">
        <f>BT78+CC78+CL78</f>
        <v/>
      </c>
      <c r="CV78" s="525">
        <f>SUM(CN78:CT78)</f>
        <v/>
      </c>
    </row>
    <row r="79" ht="21" customFormat="1" customHeight="1" s="230">
      <c r="A79" s="453" t="n">
        <v>5111180</v>
      </c>
      <c r="B79" s="309" t="inlineStr">
        <is>
          <t>GGG</t>
        </is>
      </c>
      <c r="C79" s="287" t="inlineStr">
        <is>
          <t>EMPALME TERMOCONTRAIBLE UNIPOLAR DERECHO/DERIVACION P. CABLE SECO B.T. 6-16/6-16 MM2.</t>
        </is>
      </c>
      <c r="D79" s="288" t="n">
        <v>5.051</v>
      </c>
      <c r="E79" s="507" t="n"/>
      <c r="F79" s="526" t="n"/>
      <c r="G79" s="527" t="n"/>
      <c r="H79" s="510" t="n"/>
      <c r="I79" s="511" t="n"/>
      <c r="J79" s="512" t="n"/>
      <c r="K79" s="512" t="n"/>
      <c r="L79" s="513" t="n"/>
      <c r="M79" s="510" t="n"/>
      <c r="N79" s="526" t="n"/>
      <c r="O79" s="512" t="n"/>
      <c r="P79" s="512" t="n"/>
      <c r="Q79" s="512" t="n"/>
      <c r="R79" s="512" t="n"/>
      <c r="S79" s="512" t="n"/>
      <c r="T79" s="512" t="n"/>
      <c r="U79" s="512" t="n"/>
      <c r="V79" s="512" t="n"/>
      <c r="W79" s="512" t="n"/>
      <c r="X79" s="512" t="n"/>
      <c r="Y79" s="512" t="n"/>
      <c r="Z79" s="512" t="n"/>
      <c r="AA79" s="512" t="n"/>
      <c r="AB79" s="512" t="n"/>
      <c r="AC79" s="512" t="n"/>
      <c r="AD79" s="512" t="n"/>
      <c r="AE79" s="510" t="n"/>
      <c r="AF79" s="511" t="n"/>
      <c r="AG79" s="512" t="n"/>
      <c r="AH79" s="512" t="n"/>
      <c r="AI79" s="513" t="n"/>
      <c r="AJ79" s="510" t="n"/>
      <c r="AK79" s="513" t="n"/>
      <c r="AL79" s="513" t="n"/>
      <c r="AM79" s="513" t="n"/>
      <c r="AN79" s="513" t="n"/>
      <c r="AO79" s="513" t="n"/>
      <c r="AP79" s="513" t="n"/>
      <c r="AQ79" s="513" t="n"/>
      <c r="AR79" s="513" t="n"/>
      <c r="AS79" s="513" t="n"/>
      <c r="AT79" s="513" t="n"/>
      <c r="AU79" s="510" t="n"/>
      <c r="AV79" s="527" t="n"/>
      <c r="AW79" s="514" t="n"/>
      <c r="AX79" s="514" t="n"/>
      <c r="AY79" s="514" t="n"/>
      <c r="AZ79" s="514" t="n"/>
      <c r="BA79" s="510">
        <f>SUM(AV79:AZ79)</f>
        <v/>
      </c>
      <c r="BB79" s="511" t="n"/>
      <c r="BC79" s="512" t="n"/>
      <c r="BD79" s="512" t="n"/>
      <c r="BE79" s="512" t="n"/>
      <c r="BF79" s="510">
        <f>SUM(BB79:BE79)</f>
        <v/>
      </c>
      <c r="BG79" s="518" t="n"/>
      <c r="BH79" s="519">
        <f>H79+M79+AE79+AJ79+AU79+BA79+BF79</f>
        <v/>
      </c>
      <c r="BI79" s="528">
        <f>IF(E79-BH79&lt;0, BH79-E79, )</f>
        <v/>
      </c>
      <c r="BJ79" s="529">
        <f>IF(E79-BH79&lt;0, ,E79-BH79)</f>
        <v/>
      </c>
      <c r="BK79" s="530" t="n"/>
      <c r="BM79" s="523" t="n"/>
      <c r="BN79" s="523" t="n"/>
      <c r="BO79" s="523" t="n"/>
      <c r="BP79" s="523" t="n"/>
      <c r="BQ79" s="523" t="n"/>
      <c r="BR79" s="523" t="n"/>
      <c r="BS79" s="523" t="n"/>
      <c r="BT79" s="518">
        <f>SUM(BM79:BS79)</f>
        <v/>
      </c>
      <c r="BU79" s="518" t="n"/>
      <c r="BV79" s="523" t="n"/>
      <c r="BW79" s="523" t="n"/>
      <c r="BX79" s="523" t="n"/>
      <c r="BY79" s="523" t="n"/>
      <c r="BZ79" s="523" t="n"/>
      <c r="CA79" s="523" t="n"/>
      <c r="CB79" s="523" t="n"/>
      <c r="CC79" s="518">
        <f>SUM(BV79:CB79)</f>
        <v/>
      </c>
      <c r="CD79" s="518" t="n"/>
      <c r="CE79" s="523" t="n"/>
      <c r="CF79" s="523" t="n"/>
      <c r="CG79" s="523" t="n"/>
      <c r="CH79" s="523" t="n"/>
      <c r="CI79" s="523" t="n"/>
      <c r="CJ79" s="523" t="n"/>
      <c r="CK79" s="523" t="n"/>
      <c r="CL79" s="518">
        <f>SUM(CE79:CK79)</f>
        <v/>
      </c>
      <c r="CN79" s="525">
        <f>+H79-(BM79+BV79+CE79)</f>
        <v/>
      </c>
      <c r="CO79" s="525">
        <f>+M79-(BN79+BW79+CF79)</f>
        <v/>
      </c>
      <c r="CP79" s="525">
        <f>+AE79-(BO79+BX79+CG79)</f>
        <v/>
      </c>
      <c r="CQ79" s="525">
        <f>+AJ79-(BP79+BY79+CH79)</f>
        <v/>
      </c>
      <c r="CR79" s="525">
        <f>+AU79-(BQ79+BZ79+CI79)</f>
        <v/>
      </c>
      <c r="CS79" s="525">
        <f>+BA79-(BR79+CA79+CJ79)</f>
        <v/>
      </c>
      <c r="CT79" s="525">
        <f>+BF79-(BS79+CB79+CK79)</f>
        <v/>
      </c>
      <c r="CU79" s="525">
        <f>BT79+CC79+CL79</f>
        <v/>
      </c>
      <c r="CV79" s="525">
        <f>SUM(CN79:CT79)</f>
        <v/>
      </c>
    </row>
    <row r="80" ht="21" customFormat="1" customHeight="1" s="230">
      <c r="A80" s="453" t="n">
        <v>1035712</v>
      </c>
      <c r="B80" s="309" t="inlineStr">
        <is>
          <t>GGG</t>
        </is>
      </c>
      <c r="C80" s="287" t="inlineStr">
        <is>
          <t>TUBO DE PVC TIPO SAP DE 3/4" / 20MM DIAM.P.INSTALACION ELECTRICA</t>
        </is>
      </c>
      <c r="D80" s="288" t="n">
        <v>0.927</v>
      </c>
      <c r="E80" s="507" t="n"/>
      <c r="F80" s="526" t="n"/>
      <c r="G80" s="527" t="n"/>
      <c r="H80" s="510" t="n"/>
      <c r="I80" s="511" t="n"/>
      <c r="J80" s="512" t="n"/>
      <c r="K80" s="512" t="n"/>
      <c r="L80" s="513" t="n"/>
      <c r="M80" s="510" t="n"/>
      <c r="N80" s="526" t="n"/>
      <c r="O80" s="512" t="n"/>
      <c r="P80" s="512" t="n"/>
      <c r="Q80" s="512" t="n"/>
      <c r="R80" s="512" t="n"/>
      <c r="S80" s="512" t="n"/>
      <c r="T80" s="512" t="n"/>
      <c r="U80" s="512" t="n"/>
      <c r="V80" s="512" t="n"/>
      <c r="W80" s="512" t="n"/>
      <c r="X80" s="512" t="n"/>
      <c r="Y80" s="512" t="n"/>
      <c r="Z80" s="512" t="n"/>
      <c r="AA80" s="512" t="n"/>
      <c r="AB80" s="512" t="n"/>
      <c r="AC80" s="512" t="n"/>
      <c r="AD80" s="512" t="n"/>
      <c r="AE80" s="510" t="n"/>
      <c r="AF80" s="511" t="n"/>
      <c r="AG80" s="512" t="n"/>
      <c r="AH80" s="512" t="n"/>
      <c r="AI80" s="513" t="n"/>
      <c r="AJ80" s="510" t="n"/>
      <c r="AK80" s="513" t="n"/>
      <c r="AL80" s="513" t="n"/>
      <c r="AM80" s="513" t="n"/>
      <c r="AN80" s="513" t="n"/>
      <c r="AO80" s="513" t="n"/>
      <c r="AP80" s="513" t="n"/>
      <c r="AQ80" s="513" t="n"/>
      <c r="AR80" s="513" t="n"/>
      <c r="AS80" s="513" t="n"/>
      <c r="AT80" s="513" t="n"/>
      <c r="AU80" s="510" t="n"/>
      <c r="AV80" s="527" t="n"/>
      <c r="AW80" s="514" t="n"/>
      <c r="AX80" s="514" t="n"/>
      <c r="AY80" s="514" t="n"/>
      <c r="AZ80" s="514" t="n"/>
      <c r="BA80" s="510">
        <f>SUM(AV80:AZ80)</f>
        <v/>
      </c>
      <c r="BB80" s="511" t="n"/>
      <c r="BC80" s="512" t="n"/>
      <c r="BD80" s="512" t="n"/>
      <c r="BE80" s="512" t="n"/>
      <c r="BF80" s="510">
        <f>SUM(BB80:BE80)</f>
        <v/>
      </c>
      <c r="BG80" s="518" t="n"/>
      <c r="BH80" s="519">
        <f>H80+M80+AE80+AJ80+AU80+BA80+BF80</f>
        <v/>
      </c>
      <c r="BI80" s="528">
        <f>IF(E80-BH80&lt;0, BH80-E80, )</f>
        <v/>
      </c>
      <c r="BJ80" s="529">
        <f>IF(E80-BH80&lt;0, ,E80-BH80)</f>
        <v/>
      </c>
      <c r="BK80" s="530" t="n"/>
      <c r="BM80" s="523" t="n"/>
      <c r="BN80" s="523" t="n"/>
      <c r="BO80" s="523" t="n"/>
      <c r="BP80" s="523" t="n"/>
      <c r="BQ80" s="523" t="n"/>
      <c r="BR80" s="523" t="n"/>
      <c r="BS80" s="523" t="n"/>
      <c r="BT80" s="518">
        <f>SUM(BM80:BS80)</f>
        <v/>
      </c>
      <c r="BU80" s="518" t="n"/>
      <c r="BV80" s="523" t="n"/>
      <c r="BW80" s="523" t="n"/>
      <c r="BX80" s="523" t="n"/>
      <c r="BY80" s="523" t="n"/>
      <c r="BZ80" s="523" t="n"/>
      <c r="CA80" s="523" t="n"/>
      <c r="CB80" s="523" t="n"/>
      <c r="CC80" s="518">
        <f>SUM(BV80:CB80)</f>
        <v/>
      </c>
      <c r="CD80" s="518" t="n"/>
      <c r="CE80" s="523" t="n"/>
      <c r="CF80" s="523" t="n"/>
      <c r="CG80" s="523" t="n"/>
      <c r="CH80" s="523" t="n"/>
      <c r="CI80" s="523" t="n"/>
      <c r="CJ80" s="523" t="n"/>
      <c r="CK80" s="523" t="n"/>
      <c r="CL80" s="518">
        <f>SUM(CE80:CK80)</f>
        <v/>
      </c>
      <c r="CN80" s="525">
        <f>+H80-(BM80+BV80+CE80)</f>
        <v/>
      </c>
      <c r="CO80" s="525">
        <f>+M80-(BN80+BW80+CF80)</f>
        <v/>
      </c>
      <c r="CP80" s="525">
        <f>+AE80-(BO80+BX80+CG80)</f>
        <v/>
      </c>
      <c r="CQ80" s="525">
        <f>+AJ80-(BP80+BY80+CH80)</f>
        <v/>
      </c>
      <c r="CR80" s="525">
        <f>+AU80-(BQ80+BZ80+CI80)</f>
        <v/>
      </c>
      <c r="CS80" s="525">
        <f>+BA80-(BR80+CA80+CJ80)</f>
        <v/>
      </c>
      <c r="CT80" s="525">
        <f>+BF80-(BS80+CB80+CK80)</f>
        <v/>
      </c>
      <c r="CU80" s="525">
        <f>BT80+CC80+CL80</f>
        <v/>
      </c>
      <c r="CV80" s="525">
        <f>SUM(CN80:CT80)</f>
        <v/>
      </c>
    </row>
    <row r="81" ht="21" customFormat="1" customHeight="1" s="230">
      <c r="A81" s="453" t="n">
        <v>5111188</v>
      </c>
      <c r="B81" s="309" t="inlineStr">
        <is>
          <t>GGG</t>
        </is>
      </c>
      <c r="C81" s="287" t="inlineStr">
        <is>
          <t>EMPALME TERMOCONTRAIBLE UNIPOLAR DERECHO/DERIVACION P. CABLE SECO B.T. 300/10-300 MM2.</t>
        </is>
      </c>
      <c r="D81" s="288" t="n">
        <v>27.253</v>
      </c>
      <c r="E81" s="507" t="n"/>
      <c r="F81" s="526" t="n"/>
      <c r="G81" s="527" t="n"/>
      <c r="H81" s="510" t="n"/>
      <c r="I81" s="511" t="n"/>
      <c r="J81" s="512" t="n"/>
      <c r="K81" s="512" t="n"/>
      <c r="L81" s="513" t="n"/>
      <c r="M81" s="510" t="n"/>
      <c r="N81" s="526" t="n"/>
      <c r="O81" s="512" t="n"/>
      <c r="P81" s="512" t="n"/>
      <c r="Q81" s="512" t="n"/>
      <c r="R81" s="512" t="n"/>
      <c r="S81" s="512" t="n"/>
      <c r="T81" s="512" t="n"/>
      <c r="U81" s="512" t="n"/>
      <c r="V81" s="512" t="n"/>
      <c r="W81" s="512" t="n"/>
      <c r="X81" s="512" t="n"/>
      <c r="Y81" s="512" t="n"/>
      <c r="Z81" s="512" t="n"/>
      <c r="AA81" s="512" t="n"/>
      <c r="AB81" s="512" t="n"/>
      <c r="AC81" s="512" t="n"/>
      <c r="AD81" s="512" t="n"/>
      <c r="AE81" s="510" t="n"/>
      <c r="AF81" s="511" t="n"/>
      <c r="AG81" s="512" t="n"/>
      <c r="AH81" s="512" t="n"/>
      <c r="AI81" s="513" t="n"/>
      <c r="AJ81" s="510" t="n"/>
      <c r="AK81" s="513" t="n"/>
      <c r="AL81" s="513" t="n"/>
      <c r="AM81" s="513" t="n"/>
      <c r="AN81" s="513" t="n"/>
      <c r="AO81" s="513" t="n"/>
      <c r="AP81" s="513" t="n"/>
      <c r="AQ81" s="513" t="n"/>
      <c r="AR81" s="513" t="n"/>
      <c r="AS81" s="513" t="n"/>
      <c r="AT81" s="513" t="n"/>
      <c r="AU81" s="510" t="n"/>
      <c r="AV81" s="527" t="n"/>
      <c r="AW81" s="514" t="n"/>
      <c r="AX81" s="514" t="n"/>
      <c r="AY81" s="514" t="n"/>
      <c r="AZ81" s="514" t="n"/>
      <c r="BA81" s="510">
        <f>SUM(AV81:AZ81)</f>
        <v/>
      </c>
      <c r="BB81" s="511" t="n"/>
      <c r="BC81" s="512" t="n"/>
      <c r="BD81" s="512" t="n"/>
      <c r="BE81" s="512" t="n"/>
      <c r="BF81" s="510">
        <f>SUM(BB81:BE81)</f>
        <v/>
      </c>
      <c r="BG81" s="518" t="n"/>
      <c r="BH81" s="519">
        <f>H81+M81+AE81+AJ81+AU81+BA81+BF81</f>
        <v/>
      </c>
      <c r="BI81" s="528">
        <f>IF(E81-BH81&lt;0, BH81-E81, )</f>
        <v/>
      </c>
      <c r="BJ81" s="529">
        <f>IF(E81-BH81&lt;0, ,E81-BH81)</f>
        <v/>
      </c>
      <c r="BK81" s="530" t="n"/>
      <c r="BM81" s="523" t="n"/>
      <c r="BN81" s="523" t="n"/>
      <c r="BO81" s="523" t="n"/>
      <c r="BP81" s="523" t="n"/>
      <c r="BQ81" s="523" t="n"/>
      <c r="BR81" s="523" t="n"/>
      <c r="BS81" s="523" t="n"/>
      <c r="BT81" s="518">
        <f>SUM(BM81:BS81)</f>
        <v/>
      </c>
      <c r="BU81" s="518" t="n"/>
      <c r="BV81" s="523" t="n"/>
      <c r="BW81" s="523" t="n"/>
      <c r="BX81" s="523" t="n"/>
      <c r="BY81" s="523" t="n"/>
      <c r="BZ81" s="523" t="n"/>
      <c r="CA81" s="523" t="n"/>
      <c r="CB81" s="523" t="n"/>
      <c r="CC81" s="518">
        <f>SUM(BV81:CB81)</f>
        <v/>
      </c>
      <c r="CD81" s="518" t="n"/>
      <c r="CE81" s="523" t="n"/>
      <c r="CF81" s="523" t="n"/>
      <c r="CG81" s="523" t="n"/>
      <c r="CH81" s="523" t="n"/>
      <c r="CI81" s="523" t="n"/>
      <c r="CJ81" s="523" t="n"/>
      <c r="CK81" s="523" t="n"/>
      <c r="CL81" s="518">
        <f>SUM(CE81:CK81)</f>
        <v/>
      </c>
      <c r="CN81" s="525">
        <f>+H81-(BM81+BV81+CE81)</f>
        <v/>
      </c>
      <c r="CO81" s="525">
        <f>+M81-(BN81+BW81+CF81)</f>
        <v/>
      </c>
      <c r="CP81" s="525">
        <f>+AE81-(BO81+BX81+CG81)</f>
        <v/>
      </c>
      <c r="CQ81" s="525">
        <f>+AJ81-(BP81+BY81+CH81)</f>
        <v/>
      </c>
      <c r="CR81" s="525">
        <f>+AU81-(BQ81+BZ81+CI81)</f>
        <v/>
      </c>
      <c r="CS81" s="525">
        <f>+BA81-(BR81+CA81+CJ81)</f>
        <v/>
      </c>
      <c r="CT81" s="525">
        <f>+BF81-(BS81+CB81+CK81)</f>
        <v/>
      </c>
      <c r="CU81" s="525">
        <f>BT81+CC81+CL81</f>
        <v/>
      </c>
      <c r="CV81" s="525">
        <f>SUM(CN81:CT81)</f>
        <v/>
      </c>
    </row>
    <row r="82" ht="21" customFormat="1" customHeight="1" s="230">
      <c r="A82" s="453" t="n">
        <v>5111587</v>
      </c>
      <c r="B82" s="309" t="inlineStr">
        <is>
          <t>GGG</t>
        </is>
      </c>
      <c r="C82" s="287" t="inlineStr">
        <is>
          <t>EMPALME DERECHO - DERIVACION ASIMETRICO AUTOFUNDENTE P.CABLE NKY / CABLE SECO 6-16 / 6-16MM2 B.T.</t>
        </is>
      </c>
      <c r="D82" s="288" t="n">
        <v>29.115</v>
      </c>
      <c r="E82" s="507" t="n"/>
      <c r="F82" s="526" t="n"/>
      <c r="G82" s="527" t="n"/>
      <c r="H82" s="510" t="n"/>
      <c r="I82" s="511" t="n"/>
      <c r="J82" s="512" t="n"/>
      <c r="K82" s="512" t="n"/>
      <c r="L82" s="513" t="n"/>
      <c r="M82" s="510" t="n"/>
      <c r="N82" s="526" t="n"/>
      <c r="O82" s="512" t="n"/>
      <c r="P82" s="512" t="n"/>
      <c r="Q82" s="512" t="n"/>
      <c r="R82" s="512" t="n"/>
      <c r="S82" s="512" t="n"/>
      <c r="T82" s="512" t="n"/>
      <c r="U82" s="512" t="n"/>
      <c r="V82" s="512" t="n"/>
      <c r="W82" s="512" t="n"/>
      <c r="X82" s="512" t="n"/>
      <c r="Y82" s="512" t="n"/>
      <c r="Z82" s="512" t="n"/>
      <c r="AA82" s="512" t="n"/>
      <c r="AB82" s="512" t="n"/>
      <c r="AC82" s="512" t="n"/>
      <c r="AD82" s="512" t="n"/>
      <c r="AE82" s="510" t="n"/>
      <c r="AF82" s="511" t="n"/>
      <c r="AG82" s="512" t="n"/>
      <c r="AH82" s="512" t="n"/>
      <c r="AI82" s="513" t="n"/>
      <c r="AJ82" s="510" t="n"/>
      <c r="AK82" s="513" t="n"/>
      <c r="AL82" s="513" t="n"/>
      <c r="AM82" s="513" t="n"/>
      <c r="AN82" s="513" t="n"/>
      <c r="AO82" s="513" t="n"/>
      <c r="AP82" s="513" t="n"/>
      <c r="AQ82" s="513" t="n"/>
      <c r="AR82" s="513" t="n"/>
      <c r="AS82" s="513" t="n"/>
      <c r="AT82" s="513" t="n"/>
      <c r="AU82" s="510" t="n"/>
      <c r="AV82" s="527" t="n"/>
      <c r="AW82" s="514" t="n"/>
      <c r="AX82" s="514" t="n"/>
      <c r="AY82" s="514" t="n"/>
      <c r="AZ82" s="514" t="n"/>
      <c r="BA82" s="510">
        <f>SUM(AV82:AZ82)</f>
        <v/>
      </c>
      <c r="BB82" s="511" t="n"/>
      <c r="BC82" s="512" t="n"/>
      <c r="BD82" s="512" t="n"/>
      <c r="BE82" s="512" t="n"/>
      <c r="BF82" s="510">
        <f>SUM(BB82:BE82)</f>
        <v/>
      </c>
      <c r="BG82" s="518" t="n"/>
      <c r="BH82" s="519">
        <f>H82+M82+AE82+AJ82+AU82+BA82+BF82</f>
        <v/>
      </c>
      <c r="BI82" s="528">
        <f>IF(E82-BH82&lt;0, BH82-E82, )</f>
        <v/>
      </c>
      <c r="BJ82" s="529">
        <f>IF(E82-BH82&lt;0, ,E82-BH82)</f>
        <v/>
      </c>
      <c r="BK82" s="530" t="n"/>
      <c r="BM82" s="523" t="n"/>
      <c r="BN82" s="523" t="n"/>
      <c r="BO82" s="523" t="n"/>
      <c r="BP82" s="523" t="n"/>
      <c r="BQ82" s="523" t="n"/>
      <c r="BR82" s="523" t="n"/>
      <c r="BS82" s="523" t="n"/>
      <c r="BT82" s="518">
        <f>SUM(BM82:BS82)</f>
        <v/>
      </c>
      <c r="BU82" s="518" t="n"/>
      <c r="BV82" s="523" t="n"/>
      <c r="BW82" s="523" t="n"/>
      <c r="BX82" s="523" t="n"/>
      <c r="BY82" s="523" t="n"/>
      <c r="BZ82" s="523" t="n"/>
      <c r="CA82" s="523" t="n"/>
      <c r="CB82" s="523" t="n"/>
      <c r="CC82" s="518">
        <f>SUM(BV82:CB82)</f>
        <v/>
      </c>
      <c r="CD82" s="518" t="n"/>
      <c r="CE82" s="523" t="n"/>
      <c r="CF82" s="523" t="n"/>
      <c r="CG82" s="523" t="n"/>
      <c r="CH82" s="523" t="n"/>
      <c r="CI82" s="523" t="n"/>
      <c r="CJ82" s="523" t="n"/>
      <c r="CK82" s="523" t="n"/>
      <c r="CL82" s="518">
        <f>SUM(CE82:CK82)</f>
        <v/>
      </c>
      <c r="CN82" s="525">
        <f>+H82-(BM82+BV82+CE82)</f>
        <v/>
      </c>
      <c r="CO82" s="525">
        <f>+M82-(BN82+BW82+CF82)</f>
        <v/>
      </c>
      <c r="CP82" s="525">
        <f>+AE82-(BO82+BX82+CG82)</f>
        <v/>
      </c>
      <c r="CQ82" s="525">
        <f>+AJ82-(BP82+BY82+CH82)</f>
        <v/>
      </c>
      <c r="CR82" s="525">
        <f>+AU82-(BQ82+BZ82+CI82)</f>
        <v/>
      </c>
      <c r="CS82" s="525">
        <f>+BA82-(BR82+CA82+CJ82)</f>
        <v/>
      </c>
      <c r="CT82" s="525">
        <f>+BF82-(BS82+CB82+CK82)</f>
        <v/>
      </c>
      <c r="CU82" s="525">
        <f>BT82+CC82+CL82</f>
        <v/>
      </c>
      <c r="CV82" s="525">
        <f>SUM(CN82:CT82)</f>
        <v/>
      </c>
    </row>
    <row r="83" ht="21" customFormat="1" customHeight="1" s="230">
      <c r="A83" s="453" t="n">
        <v>5484222</v>
      </c>
      <c r="B83" s="309" t="inlineStr">
        <is>
          <t>GGG</t>
        </is>
      </c>
      <c r="C83" s="287" t="inlineStr">
        <is>
          <t>TEMPLADOR P. ACOMETIDA DOMICILIARIA L.A./B.T. TRIP</t>
        </is>
      </c>
      <c r="D83" s="288" t="n">
        <v>6.217</v>
      </c>
      <c r="E83" s="507" t="n"/>
      <c r="F83" s="526" t="n"/>
      <c r="G83" s="527" t="n"/>
      <c r="H83" s="510" t="n"/>
      <c r="I83" s="511" t="n"/>
      <c r="J83" s="512" t="n"/>
      <c r="K83" s="512" t="n"/>
      <c r="L83" s="513" t="n"/>
      <c r="M83" s="510" t="n"/>
      <c r="N83" s="526" t="n"/>
      <c r="O83" s="512" t="n"/>
      <c r="P83" s="512" t="n"/>
      <c r="Q83" s="512" t="n"/>
      <c r="R83" s="512" t="n"/>
      <c r="S83" s="512" t="n"/>
      <c r="T83" s="512" t="n"/>
      <c r="U83" s="512" t="n"/>
      <c r="V83" s="512" t="n"/>
      <c r="W83" s="512" t="n"/>
      <c r="X83" s="512" t="n"/>
      <c r="Y83" s="512" t="n"/>
      <c r="Z83" s="512" t="n"/>
      <c r="AA83" s="512" t="n"/>
      <c r="AB83" s="512" t="n"/>
      <c r="AC83" s="512" t="n"/>
      <c r="AD83" s="512" t="n"/>
      <c r="AE83" s="510" t="n"/>
      <c r="AF83" s="511" t="n"/>
      <c r="AG83" s="512" t="n"/>
      <c r="AH83" s="512" t="n"/>
      <c r="AI83" s="513" t="n"/>
      <c r="AJ83" s="510" t="n"/>
      <c r="AK83" s="513" t="n"/>
      <c r="AL83" s="513" t="n"/>
      <c r="AM83" s="513" t="n"/>
      <c r="AN83" s="513" t="n"/>
      <c r="AO83" s="513" t="n"/>
      <c r="AP83" s="513" t="n"/>
      <c r="AQ83" s="513" t="n"/>
      <c r="AR83" s="513" t="n"/>
      <c r="AS83" s="513" t="n"/>
      <c r="AT83" s="513" t="n"/>
      <c r="AU83" s="510" t="n"/>
      <c r="AV83" s="527" t="n"/>
      <c r="AW83" s="514" t="n"/>
      <c r="AX83" s="514" t="n"/>
      <c r="AY83" s="514" t="n"/>
      <c r="AZ83" s="514" t="n"/>
      <c r="BA83" s="510">
        <f>SUM(AV83:AZ83)</f>
        <v/>
      </c>
      <c r="BB83" s="511" t="n"/>
      <c r="BC83" s="512" t="n"/>
      <c r="BD83" s="512" t="n"/>
      <c r="BE83" s="512" t="n"/>
      <c r="BF83" s="510">
        <f>SUM(BB83:BE83)</f>
        <v/>
      </c>
      <c r="BG83" s="518" t="n"/>
      <c r="BH83" s="519">
        <f>H83+M83+AE83+AJ83+AU83+BA83+BF83</f>
        <v/>
      </c>
      <c r="BI83" s="528">
        <f>IF(E83-BH83&lt;0, BH83-E83, )</f>
        <v/>
      </c>
      <c r="BJ83" s="529">
        <f>IF(E83-BH83&lt;0, ,E83-BH83)</f>
        <v/>
      </c>
      <c r="BK83" s="530" t="n"/>
      <c r="BM83" s="523" t="n"/>
      <c r="BN83" s="523" t="n"/>
      <c r="BO83" s="523" t="n"/>
      <c r="BP83" s="523" t="n"/>
      <c r="BQ83" s="523" t="n"/>
      <c r="BR83" s="523" t="n"/>
      <c r="BS83" s="523" t="n"/>
      <c r="BT83" s="518">
        <f>SUM(BM83:BS83)</f>
        <v/>
      </c>
      <c r="BU83" s="518" t="n"/>
      <c r="BV83" s="523" t="n"/>
      <c r="BW83" s="523" t="n"/>
      <c r="BX83" s="523" t="n"/>
      <c r="BY83" s="523" t="n"/>
      <c r="BZ83" s="523" t="n"/>
      <c r="CA83" s="523" t="n"/>
      <c r="CB83" s="523" t="n"/>
      <c r="CC83" s="518">
        <f>SUM(BV83:CB83)</f>
        <v/>
      </c>
      <c r="CD83" s="518" t="n"/>
      <c r="CE83" s="523" t="n"/>
      <c r="CF83" s="523" t="n"/>
      <c r="CG83" s="523" t="n"/>
      <c r="CH83" s="523" t="n"/>
      <c r="CI83" s="523" t="n"/>
      <c r="CJ83" s="523" t="n"/>
      <c r="CK83" s="523" t="n"/>
      <c r="CL83" s="518">
        <f>SUM(CE83:CK83)</f>
        <v/>
      </c>
      <c r="CN83" s="525">
        <f>+H83-(BM83+BV83+CE83)</f>
        <v/>
      </c>
      <c r="CO83" s="525">
        <f>+M83-(BN83+BW83+CF83)</f>
        <v/>
      </c>
      <c r="CP83" s="525">
        <f>+AE83-(BO83+BX83+CG83)</f>
        <v/>
      </c>
      <c r="CQ83" s="525">
        <f>+AJ83-(BP83+BY83+CH83)</f>
        <v/>
      </c>
      <c r="CR83" s="525">
        <f>+AU83-(BQ83+BZ83+CI83)</f>
        <v/>
      </c>
      <c r="CS83" s="525">
        <f>+BA83-(BR83+CA83+CJ83)</f>
        <v/>
      </c>
      <c r="CT83" s="525">
        <f>+BF83-(BS83+CB83+CK83)</f>
        <v/>
      </c>
      <c r="CU83" s="525">
        <f>BT83+CC83+CL83</f>
        <v/>
      </c>
      <c r="CV83" s="525">
        <f>SUM(CN83:CT83)</f>
        <v/>
      </c>
    </row>
    <row r="84" ht="21" customFormat="1" customHeight="1" s="230">
      <c r="A84" s="453" t="n">
        <v>5023744</v>
      </c>
      <c r="B84" s="309" t="inlineStr">
        <is>
          <t>GGG</t>
        </is>
      </c>
      <c r="C84" s="287" t="inlineStr">
        <is>
          <t>CABLE DE ENERGIA AUTOPORTANTE TIPO CAAI-S VW-1 3X35+1X16 MM2 PARA REDES AEREAS B.T.</t>
        </is>
      </c>
      <c r="D84" s="288" t="n">
        <v>5.813</v>
      </c>
      <c r="E84" s="507" t="n"/>
      <c r="F84" s="526" t="n"/>
      <c r="G84" s="527" t="n"/>
      <c r="H84" s="510" t="n"/>
      <c r="I84" s="511" t="n"/>
      <c r="J84" s="512" t="n"/>
      <c r="K84" s="512" t="n"/>
      <c r="L84" s="513" t="n"/>
      <c r="M84" s="510" t="n"/>
      <c r="N84" s="526" t="n"/>
      <c r="O84" s="512" t="n"/>
      <c r="P84" s="512" t="n"/>
      <c r="Q84" s="512" t="n"/>
      <c r="R84" s="512" t="n"/>
      <c r="S84" s="512" t="n"/>
      <c r="T84" s="512" t="n"/>
      <c r="U84" s="512" t="n"/>
      <c r="V84" s="512" t="n"/>
      <c r="W84" s="512" t="n"/>
      <c r="X84" s="512" t="n"/>
      <c r="Y84" s="512" t="n"/>
      <c r="Z84" s="512" t="n"/>
      <c r="AA84" s="512" t="n"/>
      <c r="AB84" s="512" t="n"/>
      <c r="AC84" s="512" t="n"/>
      <c r="AD84" s="512" t="n"/>
      <c r="AE84" s="510" t="n"/>
      <c r="AF84" s="511" t="n"/>
      <c r="AG84" s="512" t="n"/>
      <c r="AH84" s="512" t="n"/>
      <c r="AI84" s="513" t="n"/>
      <c r="AJ84" s="510" t="n"/>
      <c r="AK84" s="513" t="n"/>
      <c r="AL84" s="513" t="n"/>
      <c r="AM84" s="513" t="n"/>
      <c r="AN84" s="513" t="n"/>
      <c r="AO84" s="513" t="n"/>
      <c r="AP84" s="513" t="n"/>
      <c r="AQ84" s="513" t="n"/>
      <c r="AR84" s="513" t="n"/>
      <c r="AS84" s="513" t="n"/>
      <c r="AT84" s="513" t="n"/>
      <c r="AU84" s="510" t="n"/>
      <c r="AV84" s="527" t="n"/>
      <c r="AW84" s="514" t="n"/>
      <c r="AX84" s="514" t="n"/>
      <c r="AY84" s="514" t="n"/>
      <c r="AZ84" s="514" t="n"/>
      <c r="BA84" s="510">
        <f>SUM(AV84:AZ84)</f>
        <v/>
      </c>
      <c r="BB84" s="511" t="n"/>
      <c r="BC84" s="512" t="n"/>
      <c r="BD84" s="512" t="n"/>
      <c r="BE84" s="512" t="n"/>
      <c r="BF84" s="510">
        <f>SUM(BB84:BE84)</f>
        <v/>
      </c>
      <c r="BG84" s="518" t="n"/>
      <c r="BH84" s="519">
        <f>H84+M84+AE84+AJ84+AU84+BA84+BF84</f>
        <v/>
      </c>
      <c r="BI84" s="528">
        <f>IF(E84-BH84&lt;0, BH84-E84, )</f>
        <v/>
      </c>
      <c r="BJ84" s="529">
        <f>IF(E84-BH84&lt;0, ,E84-BH84)</f>
        <v/>
      </c>
      <c r="BK84" s="530" t="n"/>
      <c r="BM84" s="523" t="n"/>
      <c r="BN84" s="523" t="n"/>
      <c r="BO84" s="523" t="n"/>
      <c r="BP84" s="523" t="n"/>
      <c r="BQ84" s="523" t="n"/>
      <c r="BR84" s="523" t="n"/>
      <c r="BS84" s="523" t="n"/>
      <c r="BT84" s="518">
        <f>SUM(BM84:BS84)</f>
        <v/>
      </c>
      <c r="BU84" s="518" t="n"/>
      <c r="BV84" s="523" t="n"/>
      <c r="BW84" s="523" t="n"/>
      <c r="BX84" s="523" t="n"/>
      <c r="BY84" s="523" t="n"/>
      <c r="BZ84" s="523" t="n"/>
      <c r="CA84" s="523" t="n"/>
      <c r="CB84" s="523" t="n"/>
      <c r="CC84" s="518">
        <f>SUM(BV84:CB84)</f>
        <v/>
      </c>
      <c r="CD84" s="518" t="n"/>
      <c r="CE84" s="523" t="n"/>
      <c r="CF84" s="523" t="n"/>
      <c r="CG84" s="523" t="n"/>
      <c r="CH84" s="523" t="n"/>
      <c r="CI84" s="523" t="n"/>
      <c r="CJ84" s="523" t="n"/>
      <c r="CK84" s="523" t="n"/>
      <c r="CL84" s="518">
        <f>SUM(CE84:CK84)</f>
        <v/>
      </c>
      <c r="CN84" s="525">
        <f>+H84-(BM84+BV84+CE84)</f>
        <v/>
      </c>
      <c r="CO84" s="525">
        <f>+M84-(BN84+BW84+CF84)</f>
        <v/>
      </c>
      <c r="CP84" s="525">
        <f>+AE84-(BO84+BX84+CG84)</f>
        <v/>
      </c>
      <c r="CQ84" s="525">
        <f>+AJ84-(BP84+BY84+CH84)</f>
        <v/>
      </c>
      <c r="CR84" s="525">
        <f>+AU84-(BQ84+BZ84+CI84)</f>
        <v/>
      </c>
      <c r="CS84" s="525">
        <f>+BA84-(BR84+CA84+CJ84)</f>
        <v/>
      </c>
      <c r="CT84" s="525">
        <f>+BF84-(BS84+CB84+CK84)</f>
        <v/>
      </c>
      <c r="CU84" s="525">
        <f>BT84+CC84+CL84</f>
        <v/>
      </c>
      <c r="CV84" s="525">
        <f>SUM(CN84:CT84)</f>
        <v/>
      </c>
    </row>
    <row r="85" ht="21" customFormat="1" customHeight="1" s="230">
      <c r="A85" s="453" t="n">
        <v>5022004</v>
      </c>
      <c r="B85" s="309" t="inlineStr">
        <is>
          <t>GGG</t>
        </is>
      </c>
      <c r="C85" s="287" t="inlineStr">
        <is>
          <t>CABLE CONCENTRICO BIPOLAR DE COBRE 4MM2 P.ACOMETIDA MONOFASICA EN RED BAJA TENSION</t>
        </is>
      </c>
      <c r="D85" s="288" t="n">
        <v>2.464</v>
      </c>
      <c r="E85" s="507" t="n"/>
      <c r="F85" s="526" t="n"/>
      <c r="G85" s="527" t="n"/>
      <c r="H85" s="510" t="n"/>
      <c r="I85" s="511" t="n"/>
      <c r="J85" s="512" t="n"/>
      <c r="K85" s="512" t="n"/>
      <c r="L85" s="513" t="n"/>
      <c r="M85" s="510" t="n"/>
      <c r="N85" s="526" t="n"/>
      <c r="O85" s="512" t="n"/>
      <c r="P85" s="512" t="n"/>
      <c r="Q85" s="512" t="n"/>
      <c r="R85" s="512" t="n"/>
      <c r="S85" s="512" t="n"/>
      <c r="T85" s="512" t="n"/>
      <c r="U85" s="512" t="n"/>
      <c r="V85" s="512" t="n"/>
      <c r="W85" s="512" t="n"/>
      <c r="X85" s="512" t="n"/>
      <c r="Y85" s="512" t="n"/>
      <c r="Z85" s="512" t="n"/>
      <c r="AA85" s="512" t="n"/>
      <c r="AB85" s="512" t="n"/>
      <c r="AC85" s="512" t="n"/>
      <c r="AD85" s="512" t="n"/>
      <c r="AE85" s="510" t="n"/>
      <c r="AF85" s="511" t="n"/>
      <c r="AG85" s="512" t="n"/>
      <c r="AH85" s="512" t="n"/>
      <c r="AI85" s="513" t="n"/>
      <c r="AJ85" s="510" t="n"/>
      <c r="AK85" s="513" t="n"/>
      <c r="AL85" s="513" t="n"/>
      <c r="AM85" s="513" t="n"/>
      <c r="AN85" s="513" t="n"/>
      <c r="AO85" s="513" t="n"/>
      <c r="AP85" s="513" t="n"/>
      <c r="AQ85" s="513" t="n"/>
      <c r="AR85" s="513" t="n"/>
      <c r="AS85" s="513" t="n"/>
      <c r="AT85" s="513" t="n"/>
      <c r="AU85" s="510" t="n"/>
      <c r="AV85" s="527" t="n"/>
      <c r="AW85" s="514" t="n"/>
      <c r="AX85" s="514" t="n"/>
      <c r="AY85" s="514" t="n"/>
      <c r="AZ85" s="514" t="n"/>
      <c r="BA85" s="510">
        <f>SUM(AV85:AZ85)</f>
        <v/>
      </c>
      <c r="BB85" s="511" t="n"/>
      <c r="BC85" s="512" t="n"/>
      <c r="BD85" s="512" t="n"/>
      <c r="BE85" s="512" t="n"/>
      <c r="BF85" s="510">
        <f>SUM(BB85:BE85)</f>
        <v/>
      </c>
      <c r="BG85" s="518" t="n"/>
      <c r="BH85" s="519">
        <f>H85+M85+AE85+AJ85+AU85+BA85+BF85</f>
        <v/>
      </c>
      <c r="BI85" s="528">
        <f>IF(E85-BH85&lt;0, BH85-E85, )</f>
        <v/>
      </c>
      <c r="BJ85" s="529">
        <f>IF(E85-BH85&lt;0, ,E85-BH85)</f>
        <v/>
      </c>
      <c r="BK85" s="530" t="n"/>
      <c r="BM85" s="523" t="n"/>
      <c r="BN85" s="523" t="n"/>
      <c r="BO85" s="523" t="n"/>
      <c r="BP85" s="523" t="n"/>
      <c r="BQ85" s="523" t="n"/>
      <c r="BR85" s="523" t="n"/>
      <c r="BS85" s="523" t="n"/>
      <c r="BT85" s="518">
        <f>SUM(BM85:BS85)</f>
        <v/>
      </c>
      <c r="BU85" s="518" t="n"/>
      <c r="BV85" s="523" t="n"/>
      <c r="BW85" s="523" t="n"/>
      <c r="BX85" s="523" t="n"/>
      <c r="BY85" s="523" t="n"/>
      <c r="BZ85" s="523" t="n"/>
      <c r="CA85" s="523" t="n"/>
      <c r="CB85" s="523" t="n"/>
      <c r="CC85" s="518">
        <f>SUM(BV85:CB85)</f>
        <v/>
      </c>
      <c r="CD85" s="518" t="n"/>
      <c r="CE85" s="523" t="n"/>
      <c r="CF85" s="523" t="n"/>
      <c r="CG85" s="523" t="n"/>
      <c r="CH85" s="523" t="n"/>
      <c r="CI85" s="523" t="n"/>
      <c r="CJ85" s="523" t="n"/>
      <c r="CK85" s="523" t="n"/>
      <c r="CL85" s="518">
        <f>SUM(CE85:CK85)</f>
        <v/>
      </c>
      <c r="CN85" s="525">
        <f>+H85-(BM85+BV85+CE85)</f>
        <v/>
      </c>
      <c r="CO85" s="525">
        <f>+M85-(BN85+BW85+CF85)</f>
        <v/>
      </c>
      <c r="CP85" s="525">
        <f>+AE85-(BO85+BX85+CG85)</f>
        <v/>
      </c>
      <c r="CQ85" s="525">
        <f>+AJ85-(BP85+BY85+CH85)</f>
        <v/>
      </c>
      <c r="CR85" s="525">
        <f>+AU85-(BQ85+BZ85+CI85)</f>
        <v/>
      </c>
      <c r="CS85" s="525">
        <f>+BA85-(BR85+CA85+CJ85)</f>
        <v/>
      </c>
      <c r="CT85" s="525">
        <f>+BF85-(BS85+CB85+CK85)</f>
        <v/>
      </c>
      <c r="CU85" s="525">
        <f>BT85+CC85+CL85</f>
        <v/>
      </c>
      <c r="CV85" s="525">
        <f>SUM(CN85:CT85)</f>
        <v/>
      </c>
    </row>
    <row r="86" ht="21" customFormat="1" customHeight="1" s="230">
      <c r="A86" s="453" t="n">
        <v>5567146</v>
      </c>
      <c r="B86" s="309" t="inlineStr">
        <is>
          <t>GGG</t>
        </is>
      </c>
      <c r="C86" s="287" t="inlineStr">
        <is>
          <t>LUMINARIA .LED TP.IV,220V,60HZ,CL.II,SIN TELEG. 90W</t>
        </is>
      </c>
      <c r="D86" s="288" t="e">
        <v>#N/A</v>
      </c>
      <c r="E86" s="507" t="n"/>
      <c r="F86" s="526" t="n"/>
      <c r="G86" s="527" t="n"/>
      <c r="H86" s="510" t="n"/>
      <c r="I86" s="511" t="n"/>
      <c r="J86" s="512" t="n"/>
      <c r="K86" s="512" t="n"/>
      <c r="L86" s="513" t="n"/>
      <c r="M86" s="510" t="n"/>
      <c r="N86" s="526" t="n"/>
      <c r="O86" s="512" t="n"/>
      <c r="P86" s="512" t="n"/>
      <c r="Q86" s="512" t="n"/>
      <c r="R86" s="512" t="n"/>
      <c r="S86" s="512" t="n"/>
      <c r="T86" s="512" t="n"/>
      <c r="U86" s="512" t="n"/>
      <c r="V86" s="512" t="n"/>
      <c r="W86" s="512" t="n"/>
      <c r="X86" s="512" t="n"/>
      <c r="Y86" s="512" t="n"/>
      <c r="Z86" s="512" t="n"/>
      <c r="AA86" s="512" t="n"/>
      <c r="AB86" s="512" t="n"/>
      <c r="AC86" s="512" t="n"/>
      <c r="AD86" s="512" t="n"/>
      <c r="AE86" s="510" t="n"/>
      <c r="AF86" s="511" t="n"/>
      <c r="AG86" s="512" t="n"/>
      <c r="AH86" s="512" t="n"/>
      <c r="AI86" s="513" t="n"/>
      <c r="AJ86" s="510" t="n"/>
      <c r="AK86" s="513" t="n"/>
      <c r="AL86" s="513" t="n"/>
      <c r="AM86" s="513" t="n"/>
      <c r="AN86" s="513" t="n"/>
      <c r="AO86" s="513" t="n"/>
      <c r="AP86" s="513" t="n"/>
      <c r="AQ86" s="513" t="n"/>
      <c r="AR86" s="513" t="n"/>
      <c r="AS86" s="513" t="n"/>
      <c r="AT86" s="513" t="n"/>
      <c r="AU86" s="510" t="n"/>
      <c r="AV86" s="527" t="n"/>
      <c r="AW86" s="514" t="n"/>
      <c r="AX86" s="514" t="n"/>
      <c r="AY86" s="514" t="n"/>
      <c r="AZ86" s="514" t="n"/>
      <c r="BA86" s="510">
        <f>SUM(AV86:AZ86)</f>
        <v/>
      </c>
      <c r="BB86" s="511" t="n"/>
      <c r="BC86" s="512" t="n"/>
      <c r="BD86" s="512" t="n"/>
      <c r="BE86" s="512" t="n"/>
      <c r="BF86" s="510">
        <f>SUM(BB86:BE86)</f>
        <v/>
      </c>
      <c r="BG86" s="518" t="n"/>
      <c r="BH86" s="519">
        <f>H86+M86+AE86+AJ86+AU86+BA86+BF86</f>
        <v/>
      </c>
      <c r="BI86" s="528">
        <f>IF(E86-BH86&lt;0, BH86-E86, )</f>
        <v/>
      </c>
      <c r="BJ86" s="529">
        <f>IF(E86-BH86&lt;0, ,E86-BH86)</f>
        <v/>
      </c>
      <c r="BK86" s="530" t="n"/>
      <c r="BM86" s="523" t="n"/>
      <c r="BN86" s="523" t="n"/>
      <c r="BO86" s="523" t="n"/>
      <c r="BP86" s="523" t="n"/>
      <c r="BQ86" s="523" t="n"/>
      <c r="BR86" s="523" t="n"/>
      <c r="BS86" s="523" t="n"/>
      <c r="BT86" s="518">
        <f>SUM(BM86:BS86)</f>
        <v/>
      </c>
      <c r="BU86" s="518" t="n"/>
      <c r="BV86" s="523" t="n"/>
      <c r="BW86" s="523" t="n"/>
      <c r="BX86" s="523" t="n"/>
      <c r="BY86" s="523" t="n"/>
      <c r="BZ86" s="523" t="n"/>
      <c r="CA86" s="523" t="n"/>
      <c r="CB86" s="523" t="n"/>
      <c r="CC86" s="518">
        <f>SUM(BV86:CB86)</f>
        <v/>
      </c>
      <c r="CD86" s="518" t="n"/>
      <c r="CE86" s="523" t="n"/>
      <c r="CF86" s="523" t="n"/>
      <c r="CG86" s="523" t="n"/>
      <c r="CH86" s="523" t="n"/>
      <c r="CI86" s="523" t="n"/>
      <c r="CJ86" s="523" t="n"/>
      <c r="CK86" s="523" t="n"/>
      <c r="CL86" s="518">
        <f>SUM(CE86:CK86)</f>
        <v/>
      </c>
      <c r="CN86" s="525">
        <f>+H86-(BM86+BV86+CE86)</f>
        <v/>
      </c>
      <c r="CO86" s="525">
        <f>+M86-(BN86+BW86+CF86)</f>
        <v/>
      </c>
      <c r="CP86" s="525">
        <f>+AE86-(BO86+BX86+CG86)</f>
        <v/>
      </c>
      <c r="CQ86" s="525">
        <f>+AJ86-(BP86+BY86+CH86)</f>
        <v/>
      </c>
      <c r="CR86" s="525">
        <f>+AU86-(BQ86+BZ86+CI86)</f>
        <v/>
      </c>
      <c r="CS86" s="525">
        <f>+BA86-(BR86+CA86+CJ86)</f>
        <v/>
      </c>
      <c r="CT86" s="525">
        <f>+BF86-(BS86+CB86+CK86)</f>
        <v/>
      </c>
      <c r="CU86" s="525">
        <f>BT86+CC86+CL86</f>
        <v/>
      </c>
      <c r="CV86" s="525">
        <f>SUM(CN86:CT86)</f>
        <v/>
      </c>
    </row>
    <row r="87" ht="21" customFormat="1" customHeight="1" s="230">
      <c r="A87" s="453" t="n">
        <v>5567145</v>
      </c>
      <c r="B87" s="309" t="inlineStr">
        <is>
          <t>GGG</t>
        </is>
      </c>
      <c r="C87" s="287" t="inlineStr">
        <is>
          <t>LUMINARIA .LED TP.III,220V,60HZ,CL.II,SIN TELEG. 165W</t>
        </is>
      </c>
      <c r="D87" s="288" t="e">
        <v>#N/A</v>
      </c>
      <c r="E87" s="507" t="n"/>
      <c r="F87" s="526" t="n"/>
      <c r="G87" s="527" t="n"/>
      <c r="H87" s="510" t="n"/>
      <c r="I87" s="511" t="n"/>
      <c r="J87" s="512" t="n"/>
      <c r="K87" s="512" t="n"/>
      <c r="L87" s="513" t="n"/>
      <c r="M87" s="510" t="n"/>
      <c r="N87" s="526" t="n"/>
      <c r="O87" s="512" t="n"/>
      <c r="P87" s="512" t="n"/>
      <c r="Q87" s="512" t="n"/>
      <c r="R87" s="512" t="n"/>
      <c r="S87" s="512" t="n"/>
      <c r="T87" s="512" t="n"/>
      <c r="U87" s="512" t="n"/>
      <c r="V87" s="512" t="n"/>
      <c r="W87" s="512" t="n"/>
      <c r="X87" s="512" t="n"/>
      <c r="Y87" s="512" t="n"/>
      <c r="Z87" s="512" t="n"/>
      <c r="AA87" s="512" t="n"/>
      <c r="AB87" s="512" t="n"/>
      <c r="AC87" s="512" t="n"/>
      <c r="AD87" s="512" t="n"/>
      <c r="AE87" s="510" t="n"/>
      <c r="AF87" s="511" t="n"/>
      <c r="AG87" s="512" t="n"/>
      <c r="AH87" s="512" t="n"/>
      <c r="AI87" s="513" t="n"/>
      <c r="AJ87" s="510" t="n"/>
      <c r="AK87" s="513" t="n"/>
      <c r="AL87" s="513" t="n"/>
      <c r="AM87" s="513" t="n"/>
      <c r="AN87" s="513" t="n"/>
      <c r="AO87" s="513" t="n"/>
      <c r="AP87" s="513" t="n"/>
      <c r="AQ87" s="513" t="n"/>
      <c r="AR87" s="513" t="n"/>
      <c r="AS87" s="513" t="n"/>
      <c r="AT87" s="513" t="n"/>
      <c r="AU87" s="510" t="n"/>
      <c r="AV87" s="527" t="n"/>
      <c r="AW87" s="514" t="n"/>
      <c r="AX87" s="514" t="n"/>
      <c r="AY87" s="514" t="n"/>
      <c r="AZ87" s="514" t="n"/>
      <c r="BA87" s="510">
        <f>SUM(AV87:AZ87)</f>
        <v/>
      </c>
      <c r="BB87" s="511" t="n"/>
      <c r="BC87" s="512" t="n"/>
      <c r="BD87" s="512" t="n"/>
      <c r="BE87" s="512" t="n"/>
      <c r="BF87" s="510">
        <f>SUM(BB87:BE87)</f>
        <v/>
      </c>
      <c r="BG87" s="518" t="n"/>
      <c r="BH87" s="519">
        <f>H87+M87+AE87+AJ87+AU87+BA87+BF87</f>
        <v/>
      </c>
      <c r="BI87" s="528">
        <f>IF(E87-BH87&lt;0, BH87-E87, )</f>
        <v/>
      </c>
      <c r="BJ87" s="529">
        <f>IF(E87-BH87&lt;0, ,E87-BH87)</f>
        <v/>
      </c>
      <c r="BK87" s="530" t="n"/>
      <c r="BM87" s="523" t="n"/>
      <c r="BN87" s="523" t="n"/>
      <c r="BO87" s="523" t="n"/>
      <c r="BP87" s="523" t="n"/>
      <c r="BQ87" s="523" t="n"/>
      <c r="BR87" s="523" t="n"/>
      <c r="BS87" s="523" t="n"/>
      <c r="BT87" s="518">
        <f>SUM(BM87:BS87)</f>
        <v/>
      </c>
      <c r="BU87" s="518" t="n"/>
      <c r="BV87" s="523" t="n"/>
      <c r="BW87" s="523" t="n"/>
      <c r="BX87" s="523" t="n"/>
      <c r="BY87" s="523" t="n"/>
      <c r="BZ87" s="523" t="n"/>
      <c r="CA87" s="523" t="n"/>
      <c r="CB87" s="523" t="n"/>
      <c r="CC87" s="518">
        <f>SUM(BV87:CB87)</f>
        <v/>
      </c>
      <c r="CD87" s="518" t="n"/>
      <c r="CE87" s="523" t="n"/>
      <c r="CF87" s="523" t="n"/>
      <c r="CG87" s="523" t="n"/>
      <c r="CH87" s="523" t="n"/>
      <c r="CI87" s="523" t="n"/>
      <c r="CJ87" s="523" t="n"/>
      <c r="CK87" s="523" t="n"/>
      <c r="CL87" s="518">
        <f>SUM(CE87:CK87)</f>
        <v/>
      </c>
      <c r="CN87" s="525">
        <f>+H87-(BM87+BV87+CE87)</f>
        <v/>
      </c>
      <c r="CO87" s="525">
        <f>+M87-(BN87+BW87+CF87)</f>
        <v/>
      </c>
      <c r="CP87" s="525">
        <f>+AE87-(BO87+BX87+CG87)</f>
        <v/>
      </c>
      <c r="CQ87" s="525">
        <f>+AJ87-(BP87+BY87+CH87)</f>
        <v/>
      </c>
      <c r="CR87" s="525">
        <f>+AU87-(BQ87+BZ87+CI87)</f>
        <v/>
      </c>
      <c r="CS87" s="525">
        <f>+BA87-(BR87+CA87+CJ87)</f>
        <v/>
      </c>
      <c r="CT87" s="525">
        <f>+BF87-(BS87+CB87+CK87)</f>
        <v/>
      </c>
      <c r="CU87" s="525">
        <f>BT87+CC87+CL87</f>
        <v/>
      </c>
      <c r="CV87" s="525">
        <f>SUM(CN87:CT87)</f>
        <v/>
      </c>
    </row>
    <row r="88" ht="21" customFormat="1" customHeight="1" s="230">
      <c r="A88" s="453" t="n">
        <v>5329301</v>
      </c>
      <c r="B88" s="309" t="inlineStr">
        <is>
          <t>GGG</t>
        </is>
      </c>
      <c r="C88" s="287" t="inlineStr">
        <is>
          <t>ZAPATA DE CONCRETO DE 400 MMD. P. VIENTO</t>
        </is>
      </c>
      <c r="D88" s="288" t="n">
        <v>11.681</v>
      </c>
      <c r="E88" s="507" t="n"/>
      <c r="F88" s="526" t="n"/>
      <c r="G88" s="527" t="n"/>
      <c r="H88" s="510" t="n"/>
      <c r="I88" s="511" t="n"/>
      <c r="J88" s="512" t="n"/>
      <c r="K88" s="512" t="n"/>
      <c r="L88" s="513" t="n"/>
      <c r="M88" s="510" t="n"/>
      <c r="N88" s="526" t="n"/>
      <c r="O88" s="512" t="n"/>
      <c r="P88" s="512" t="n"/>
      <c r="Q88" s="512" t="n"/>
      <c r="R88" s="512" t="n"/>
      <c r="S88" s="512" t="n"/>
      <c r="T88" s="512" t="n"/>
      <c r="U88" s="512" t="n"/>
      <c r="V88" s="512" t="n"/>
      <c r="W88" s="512" t="n"/>
      <c r="X88" s="512" t="n"/>
      <c r="Y88" s="512" t="n"/>
      <c r="Z88" s="512" t="n"/>
      <c r="AA88" s="512" t="n"/>
      <c r="AB88" s="512" t="n"/>
      <c r="AC88" s="512" t="n"/>
      <c r="AD88" s="512" t="n"/>
      <c r="AE88" s="510" t="n"/>
      <c r="AF88" s="511" t="n"/>
      <c r="AG88" s="512" t="n"/>
      <c r="AH88" s="512" t="n"/>
      <c r="AI88" s="513" t="n"/>
      <c r="AJ88" s="510" t="n"/>
      <c r="AK88" s="513" t="n"/>
      <c r="AL88" s="513" t="n"/>
      <c r="AM88" s="513" t="n"/>
      <c r="AN88" s="513" t="n"/>
      <c r="AO88" s="513" t="n"/>
      <c r="AP88" s="513" t="n"/>
      <c r="AQ88" s="513" t="n"/>
      <c r="AR88" s="513" t="n"/>
      <c r="AS88" s="513" t="n"/>
      <c r="AT88" s="513" t="n"/>
      <c r="AU88" s="510" t="n"/>
      <c r="AV88" s="527" t="n"/>
      <c r="AW88" s="514" t="n"/>
      <c r="AX88" s="514" t="n"/>
      <c r="AY88" s="514">
        <f>+ROUNDUP(AV88*0.03,0)</f>
        <v/>
      </c>
      <c r="AZ88" s="514" t="n"/>
      <c r="BA88" s="510">
        <f>SUM(AV88:AZ88)</f>
        <v/>
      </c>
      <c r="BB88" s="511" t="n"/>
      <c r="BC88" s="512" t="n"/>
      <c r="BD88" s="512" t="n"/>
      <c r="BE88" s="512" t="n"/>
      <c r="BF88" s="510">
        <f>SUM(BB88:BE88)</f>
        <v/>
      </c>
      <c r="BG88" s="518" t="n"/>
      <c r="BH88" s="519">
        <f>H88+M88+AE88+AJ88+AU88+BA88+BF88</f>
        <v/>
      </c>
      <c r="BI88" s="528">
        <f>IF(E88-BH88&lt;0, BH88-E88, )</f>
        <v/>
      </c>
      <c r="BJ88" s="529">
        <f>IF(E88-BH88&lt;0, ,E88-BH88)</f>
        <v/>
      </c>
      <c r="BK88" s="530" t="n"/>
      <c r="BM88" s="523" t="n"/>
      <c r="BN88" s="523" t="n"/>
      <c r="BO88" s="523" t="n"/>
      <c r="BP88" s="523" t="n"/>
      <c r="BQ88" s="523" t="n"/>
      <c r="BR88" s="523" t="n"/>
      <c r="BS88" s="523" t="n"/>
      <c r="BT88" s="518">
        <f>SUM(BM88:BS88)</f>
        <v/>
      </c>
      <c r="BU88" s="518" t="n"/>
      <c r="BV88" s="523" t="n"/>
      <c r="BW88" s="523" t="n"/>
      <c r="BX88" s="523" t="n"/>
      <c r="BY88" s="523" t="n"/>
      <c r="BZ88" s="523" t="n"/>
      <c r="CA88" s="523" t="n"/>
      <c r="CB88" s="523" t="n"/>
      <c r="CC88" s="518">
        <f>SUM(BV88:CB88)</f>
        <v/>
      </c>
      <c r="CD88" s="518" t="n"/>
      <c r="CE88" s="523" t="n"/>
      <c r="CF88" s="523" t="n"/>
      <c r="CG88" s="523" t="n"/>
      <c r="CH88" s="523" t="n"/>
      <c r="CI88" s="523" t="n"/>
      <c r="CJ88" s="523" t="n"/>
      <c r="CK88" s="523" t="n"/>
      <c r="CL88" s="518">
        <f>SUM(CE88:CK88)</f>
        <v/>
      </c>
      <c r="CN88" s="525">
        <f>+H88-(BM88+BV88+CE88)</f>
        <v/>
      </c>
      <c r="CO88" s="525">
        <f>+M88-(BN88+BW88+CF88)</f>
        <v/>
      </c>
      <c r="CP88" s="525">
        <f>+AE88-(BO88+BX88+CG88)</f>
        <v/>
      </c>
      <c r="CQ88" s="525">
        <f>+AJ88-(BP88+BY88+CH88)</f>
        <v/>
      </c>
      <c r="CR88" s="525">
        <f>+AU88-(BQ88+BZ88+CI88)</f>
        <v/>
      </c>
      <c r="CS88" s="525">
        <f>+BA88-(BR88+CA88+CJ88)</f>
        <v/>
      </c>
      <c r="CT88" s="525">
        <f>+BF88-(BS88+CB88+CK88)</f>
        <v/>
      </c>
      <c r="CU88" s="525">
        <f>BT88+CC88+CL88</f>
        <v/>
      </c>
      <c r="CV88" s="525">
        <f>SUM(CN88:CT88)</f>
        <v/>
      </c>
    </row>
    <row r="89" ht="21" customFormat="1" customHeight="1" s="230">
      <c r="A89" s="453" t="n">
        <v>5467101</v>
      </c>
      <c r="B89" s="309" t="inlineStr">
        <is>
          <t>GGG</t>
        </is>
      </c>
      <c r="C89" s="287" t="inlineStr">
        <is>
          <t>BARRA C.OJO (VARILLA DOBLADA SOLDADA) DE ANCLAJE DE ACERO GALV. 5/8" X 2400MM C.ACCESORIOS P.VIENTO</t>
        </is>
      </c>
      <c r="D89" s="288" t="n">
        <v>21.911</v>
      </c>
      <c r="E89" s="507" t="n"/>
      <c r="F89" s="526" t="n"/>
      <c r="G89" s="527" t="n"/>
      <c r="H89" s="510" t="n"/>
      <c r="I89" s="511" t="n"/>
      <c r="J89" s="512" t="n"/>
      <c r="K89" s="512" t="n"/>
      <c r="L89" s="513" t="n"/>
      <c r="M89" s="510" t="n"/>
      <c r="N89" s="526" t="n"/>
      <c r="O89" s="512" t="n"/>
      <c r="P89" s="512" t="n"/>
      <c r="Q89" s="512" t="n"/>
      <c r="R89" s="512" t="n"/>
      <c r="S89" s="512" t="n"/>
      <c r="T89" s="512" t="n"/>
      <c r="U89" s="512" t="n"/>
      <c r="V89" s="512" t="n"/>
      <c r="W89" s="512" t="n"/>
      <c r="X89" s="512" t="n"/>
      <c r="Y89" s="512" t="n"/>
      <c r="Z89" s="512" t="n"/>
      <c r="AA89" s="512" t="n"/>
      <c r="AB89" s="512" t="n"/>
      <c r="AC89" s="512" t="n"/>
      <c r="AD89" s="512" t="n"/>
      <c r="AE89" s="510" t="n"/>
      <c r="AF89" s="511" t="n"/>
      <c r="AG89" s="512" t="n"/>
      <c r="AH89" s="512" t="n"/>
      <c r="AI89" s="513" t="n"/>
      <c r="AJ89" s="510" t="n"/>
      <c r="AK89" s="513" t="n"/>
      <c r="AL89" s="513" t="n"/>
      <c r="AM89" s="513" t="n"/>
      <c r="AN89" s="513" t="n"/>
      <c r="AO89" s="513" t="n"/>
      <c r="AP89" s="513" t="n"/>
      <c r="AQ89" s="513" t="n"/>
      <c r="AR89" s="513" t="n"/>
      <c r="AS89" s="513" t="n"/>
      <c r="AT89" s="513" t="n"/>
      <c r="AU89" s="510" t="n"/>
      <c r="AV89" s="527" t="n"/>
      <c r="AW89" s="514" t="n"/>
      <c r="AX89" s="514" t="n"/>
      <c r="AY89" s="514" t="n"/>
      <c r="AZ89" s="514" t="n"/>
      <c r="BA89" s="510">
        <f>SUM(AV89:AZ89)</f>
        <v/>
      </c>
      <c r="BB89" s="511" t="n"/>
      <c r="BC89" s="512" t="n"/>
      <c r="BD89" s="512" t="n"/>
      <c r="BE89" s="512" t="n"/>
      <c r="BF89" s="510">
        <f>SUM(BB89:BE89)</f>
        <v/>
      </c>
      <c r="BG89" s="518" t="n"/>
      <c r="BH89" s="519">
        <f>H89+M89+AE89+AJ89+AU89+BA89+BF89</f>
        <v/>
      </c>
      <c r="BI89" s="528">
        <f>IF(E89-BH89&lt;0, BH89-E89, )</f>
        <v/>
      </c>
      <c r="BJ89" s="529">
        <f>IF(E89-BH89&lt;0, ,E89-BH89)</f>
        <v/>
      </c>
      <c r="BK89" s="530" t="n"/>
      <c r="BM89" s="523" t="n"/>
      <c r="BN89" s="523" t="n"/>
      <c r="BO89" s="523" t="n"/>
      <c r="BP89" s="523" t="n"/>
      <c r="BQ89" s="523" t="n"/>
      <c r="BR89" s="523" t="n"/>
      <c r="BS89" s="523" t="n"/>
      <c r="BT89" s="518">
        <f>SUM(BM89:BS89)</f>
        <v/>
      </c>
      <c r="BU89" s="518" t="n"/>
      <c r="BV89" s="523" t="n"/>
      <c r="BW89" s="523" t="n"/>
      <c r="BX89" s="523" t="n"/>
      <c r="BY89" s="523" t="n"/>
      <c r="BZ89" s="523" t="n"/>
      <c r="CA89" s="523" t="n"/>
      <c r="CB89" s="523" t="n"/>
      <c r="CC89" s="518">
        <f>SUM(BV89:CB89)</f>
        <v/>
      </c>
      <c r="CD89" s="518" t="n"/>
      <c r="CE89" s="523" t="n"/>
      <c r="CF89" s="523" t="n"/>
      <c r="CG89" s="523" t="n"/>
      <c r="CH89" s="523" t="n"/>
      <c r="CI89" s="523" t="n"/>
      <c r="CJ89" s="523" t="n"/>
      <c r="CK89" s="523" t="n"/>
      <c r="CL89" s="518">
        <f>SUM(CE89:CK89)</f>
        <v/>
      </c>
      <c r="CN89" s="525">
        <f>+H89-(BM89+BV89+CE89)</f>
        <v/>
      </c>
      <c r="CO89" s="525">
        <f>+M89-(BN89+BW89+CF89)</f>
        <v/>
      </c>
      <c r="CP89" s="525">
        <f>+AE89-(BO89+BX89+CG89)</f>
        <v/>
      </c>
      <c r="CQ89" s="525">
        <f>+AJ89-(BP89+BY89+CH89)</f>
        <v/>
      </c>
      <c r="CR89" s="525">
        <f>+AU89-(BQ89+BZ89+CI89)</f>
        <v/>
      </c>
      <c r="CS89" s="525">
        <f>+BA89-(BR89+CA89+CJ89)</f>
        <v/>
      </c>
      <c r="CT89" s="525">
        <f>+BF89-(BS89+CB89+CK89)</f>
        <v/>
      </c>
      <c r="CU89" s="525">
        <f>BT89+CC89+CL89</f>
        <v/>
      </c>
      <c r="CV89" s="525">
        <f>SUM(CN89:CT89)</f>
        <v/>
      </c>
    </row>
    <row r="90" ht="21" customFormat="1" customHeight="1" s="230">
      <c r="A90" s="453" t="n">
        <v>5411050</v>
      </c>
      <c r="B90" s="309" t="inlineStr">
        <is>
          <t>GGG</t>
        </is>
      </c>
      <c r="C90" s="287" t="inlineStr">
        <is>
          <t>CONEC.CUÑA.TP.UDC.REF.CU.25-35/16-25MM2.</t>
        </is>
      </c>
      <c r="D90" s="288" t="n">
        <v>4.908</v>
      </c>
      <c r="E90" s="507" t="n"/>
      <c r="F90" s="526" t="n"/>
      <c r="G90" s="527" t="n"/>
      <c r="H90" s="510" t="n"/>
      <c r="I90" s="511" t="n"/>
      <c r="J90" s="512" t="n"/>
      <c r="K90" s="512" t="n"/>
      <c r="L90" s="513" t="n"/>
      <c r="M90" s="510" t="n"/>
      <c r="N90" s="526" t="n"/>
      <c r="O90" s="512" t="n"/>
      <c r="P90" s="512" t="n"/>
      <c r="Q90" s="512" t="n"/>
      <c r="R90" s="512" t="n"/>
      <c r="S90" s="512" t="n"/>
      <c r="T90" s="512" t="n"/>
      <c r="U90" s="512" t="n"/>
      <c r="V90" s="512" t="n"/>
      <c r="W90" s="512" t="n"/>
      <c r="X90" s="512" t="n"/>
      <c r="Y90" s="512" t="n"/>
      <c r="Z90" s="512" t="n"/>
      <c r="AA90" s="512" t="n"/>
      <c r="AB90" s="512" t="n"/>
      <c r="AC90" s="512" t="n"/>
      <c r="AD90" s="512" t="n"/>
      <c r="AE90" s="510" t="n"/>
      <c r="AF90" s="511" t="n"/>
      <c r="AG90" s="512" t="n"/>
      <c r="AH90" s="512" t="n"/>
      <c r="AI90" s="513" t="n"/>
      <c r="AJ90" s="510" t="n"/>
      <c r="AK90" s="513" t="n"/>
      <c r="AL90" s="513" t="n"/>
      <c r="AM90" s="513" t="n"/>
      <c r="AN90" s="513" t="n"/>
      <c r="AO90" s="513" t="n"/>
      <c r="AP90" s="513" t="n"/>
      <c r="AQ90" s="513" t="n"/>
      <c r="AR90" s="513" t="n"/>
      <c r="AS90" s="513" t="n"/>
      <c r="AT90" s="513" t="n"/>
      <c r="AU90" s="510" t="n"/>
      <c r="AV90" s="527" t="n"/>
      <c r="AW90" s="514" t="n"/>
      <c r="AX90" s="514" t="n"/>
      <c r="AY90" s="514" t="n"/>
      <c r="AZ90" s="514" t="n"/>
      <c r="BA90" s="510">
        <f>SUM(AV90:AZ90)</f>
        <v/>
      </c>
      <c r="BB90" s="511" t="n"/>
      <c r="BC90" s="512" t="n"/>
      <c r="BD90" s="512" t="n"/>
      <c r="BE90" s="512" t="n"/>
      <c r="BF90" s="510">
        <f>SUM(BB90:BE90)</f>
        <v/>
      </c>
      <c r="BG90" s="518" t="n"/>
      <c r="BH90" s="519">
        <f>H90+M90+AE90+AJ90+AU90+BA90+BF90</f>
        <v/>
      </c>
      <c r="BI90" s="528">
        <f>IF(E90-BH90&lt;0, BH90-E90, )</f>
        <v/>
      </c>
      <c r="BJ90" s="529">
        <f>IF(E90-BH90&lt;0, ,E90-BH90)</f>
        <v/>
      </c>
      <c r="BK90" s="530" t="n"/>
      <c r="BM90" s="523" t="n"/>
      <c r="BN90" s="523" t="n"/>
      <c r="BO90" s="523" t="n"/>
      <c r="BP90" s="523" t="n"/>
      <c r="BQ90" s="523" t="n"/>
      <c r="BR90" s="523" t="n"/>
      <c r="BS90" s="523" t="n"/>
      <c r="BT90" s="518">
        <f>SUM(BM90:BS90)</f>
        <v/>
      </c>
      <c r="BU90" s="518" t="n"/>
      <c r="BV90" s="523" t="n"/>
      <c r="BW90" s="523" t="n"/>
      <c r="BX90" s="523" t="n"/>
      <c r="BY90" s="523" t="n"/>
      <c r="BZ90" s="523" t="n"/>
      <c r="CA90" s="523" t="n"/>
      <c r="CB90" s="523" t="n"/>
      <c r="CC90" s="518">
        <f>SUM(BV90:CB90)</f>
        <v/>
      </c>
      <c r="CD90" s="518" t="n"/>
      <c r="CE90" s="523" t="n"/>
      <c r="CF90" s="523" t="n"/>
      <c r="CG90" s="523" t="n"/>
      <c r="CH90" s="523" t="n"/>
      <c r="CI90" s="523" t="n"/>
      <c r="CJ90" s="523" t="n"/>
      <c r="CK90" s="523" t="n"/>
      <c r="CL90" s="518">
        <f>SUM(CE90:CK90)</f>
        <v/>
      </c>
      <c r="CN90" s="525">
        <f>+H90-(BM90+BV90+CE90)</f>
        <v/>
      </c>
      <c r="CO90" s="525">
        <f>+M90-(BN90+BW90+CF90)</f>
        <v/>
      </c>
      <c r="CP90" s="525">
        <f>+AE90-(BO90+BX90+CG90)</f>
        <v/>
      </c>
      <c r="CQ90" s="525">
        <f>+AJ90-(BP90+BY90+CH90)</f>
        <v/>
      </c>
      <c r="CR90" s="525">
        <f>+AU90-(BQ90+BZ90+CI90)</f>
        <v/>
      </c>
      <c r="CS90" s="525">
        <f>+BA90-(BR90+CA90+CJ90)</f>
        <v/>
      </c>
      <c r="CT90" s="525">
        <f>+BF90-(BS90+CB90+CK90)</f>
        <v/>
      </c>
      <c r="CU90" s="525">
        <f>BT90+CC90+CL90</f>
        <v/>
      </c>
      <c r="CV90" s="525">
        <f>SUM(CN90:CT90)</f>
        <v/>
      </c>
    </row>
    <row r="91" ht="21" customFormat="1" customHeight="1" s="230">
      <c r="A91" s="453" t="n">
        <v>5411052</v>
      </c>
      <c r="B91" s="309" t="inlineStr">
        <is>
          <t>GGG</t>
        </is>
      </c>
      <c r="C91" s="287" t="inlineStr">
        <is>
          <t>CONEC.CUÑA.TP.UDC.REF.CU.16/16MM2   25/10MM2</t>
        </is>
      </c>
      <c r="D91" s="288" t="n">
        <v>2.882</v>
      </c>
      <c r="E91" s="507" t="n"/>
      <c r="F91" s="526" t="n"/>
      <c r="G91" s="527" t="n"/>
      <c r="H91" s="510" t="n"/>
      <c r="I91" s="511" t="n"/>
      <c r="J91" s="512" t="n"/>
      <c r="K91" s="512" t="n"/>
      <c r="L91" s="513" t="n"/>
      <c r="M91" s="510" t="n"/>
      <c r="N91" s="526" t="n"/>
      <c r="O91" s="512" t="n"/>
      <c r="P91" s="512" t="n"/>
      <c r="Q91" s="512" t="n"/>
      <c r="R91" s="512" t="n"/>
      <c r="S91" s="512" t="n"/>
      <c r="T91" s="512" t="n"/>
      <c r="U91" s="512" t="n"/>
      <c r="V91" s="512" t="n"/>
      <c r="W91" s="512" t="n"/>
      <c r="X91" s="512" t="n"/>
      <c r="Y91" s="512" t="n"/>
      <c r="Z91" s="512" t="n"/>
      <c r="AA91" s="512" t="n"/>
      <c r="AB91" s="512" t="n"/>
      <c r="AC91" s="512" t="n"/>
      <c r="AD91" s="512" t="n"/>
      <c r="AE91" s="510" t="n"/>
      <c r="AF91" s="511" t="n"/>
      <c r="AG91" s="512" t="n"/>
      <c r="AH91" s="512" t="n"/>
      <c r="AI91" s="513" t="n"/>
      <c r="AJ91" s="510" t="n"/>
      <c r="AK91" s="513" t="n"/>
      <c r="AL91" s="513" t="n"/>
      <c r="AM91" s="513" t="n"/>
      <c r="AN91" s="513" t="n"/>
      <c r="AO91" s="513" t="n"/>
      <c r="AP91" s="513" t="n"/>
      <c r="AQ91" s="513" t="n"/>
      <c r="AR91" s="513" t="n"/>
      <c r="AS91" s="513" t="n"/>
      <c r="AT91" s="513" t="n"/>
      <c r="AU91" s="510" t="n"/>
      <c r="AV91" s="527" t="n"/>
      <c r="AW91" s="514" t="n"/>
      <c r="AX91" s="514" t="n"/>
      <c r="AY91" s="514" t="n"/>
      <c r="AZ91" s="514" t="n"/>
      <c r="BA91" s="510">
        <f>SUM(AV91:AZ91)</f>
        <v/>
      </c>
      <c r="BB91" s="511" t="n"/>
      <c r="BC91" s="512" t="n"/>
      <c r="BD91" s="512" t="n"/>
      <c r="BE91" s="512" t="n"/>
      <c r="BF91" s="510">
        <f>SUM(BB91:BE91)</f>
        <v/>
      </c>
      <c r="BG91" s="518" t="n"/>
      <c r="BH91" s="519">
        <f>H91+M91+AE91+AJ91+AU91+BA91+BF91</f>
        <v/>
      </c>
      <c r="BI91" s="528">
        <f>IF(E91-BH91&lt;0, BH91-E91, )</f>
        <v/>
      </c>
      <c r="BJ91" s="529">
        <f>IF(E91-BH91&lt;0, ,E91-BH91)</f>
        <v/>
      </c>
      <c r="BK91" s="530" t="n"/>
      <c r="BM91" s="523" t="n"/>
      <c r="BN91" s="523" t="n"/>
      <c r="BO91" s="523" t="n"/>
      <c r="BP91" s="523" t="n"/>
      <c r="BQ91" s="523" t="n"/>
      <c r="BR91" s="523" t="n"/>
      <c r="BS91" s="523" t="n"/>
      <c r="BT91" s="518">
        <f>SUM(BM91:BS91)</f>
        <v/>
      </c>
      <c r="BU91" s="518" t="n"/>
      <c r="BV91" s="523" t="n"/>
      <c r="BW91" s="523" t="n"/>
      <c r="BX91" s="523" t="n"/>
      <c r="BY91" s="523" t="n"/>
      <c r="BZ91" s="523" t="n"/>
      <c r="CA91" s="523" t="n"/>
      <c r="CB91" s="523" t="n"/>
      <c r="CC91" s="518">
        <f>SUM(BV91:CB91)</f>
        <v/>
      </c>
      <c r="CD91" s="518" t="n"/>
      <c r="CE91" s="523" t="n"/>
      <c r="CF91" s="523" t="n"/>
      <c r="CG91" s="523" t="n"/>
      <c r="CH91" s="523" t="n"/>
      <c r="CI91" s="523" t="n"/>
      <c r="CJ91" s="523" t="n"/>
      <c r="CK91" s="523" t="n"/>
      <c r="CL91" s="518">
        <f>SUM(CE91:CK91)</f>
        <v/>
      </c>
      <c r="CN91" s="525">
        <f>+H91-(BM91+BV91+CE91)</f>
        <v/>
      </c>
      <c r="CO91" s="525">
        <f>+M91-(BN91+BW91+CF91)</f>
        <v/>
      </c>
      <c r="CP91" s="525">
        <f>+AE91-(BO91+BX91+CG91)</f>
        <v/>
      </c>
      <c r="CQ91" s="525">
        <f>+AJ91-(BP91+BY91+CH91)</f>
        <v/>
      </c>
      <c r="CR91" s="525">
        <f>+AU91-(BQ91+BZ91+CI91)</f>
        <v/>
      </c>
      <c r="CS91" s="525">
        <f>+BA91-(BR91+CA91+CJ91)</f>
        <v/>
      </c>
      <c r="CT91" s="525">
        <f>+BF91-(BS91+CB91+CK91)</f>
        <v/>
      </c>
      <c r="CU91" s="525">
        <f>BT91+CC91+CL91</f>
        <v/>
      </c>
      <c r="CV91" s="525">
        <f>SUM(CN91:CT91)</f>
        <v/>
      </c>
    </row>
    <row r="92" ht="21" customFormat="1" customHeight="1" s="230">
      <c r="A92" s="453" t="n">
        <v>5411060</v>
      </c>
      <c r="B92" s="309" t="inlineStr">
        <is>
          <t>GGG</t>
        </is>
      </c>
      <c r="C92" s="287" t="inlineStr">
        <is>
          <t>CONECTOR CUÑA TP UDC. REF. CU.70/35MM2</t>
        </is>
      </c>
      <c r="D92" s="288" t="e">
        <v>#N/A</v>
      </c>
      <c r="E92" s="507" t="n"/>
      <c r="F92" s="526" t="n"/>
      <c r="G92" s="527" t="n"/>
      <c r="H92" s="510" t="n"/>
      <c r="I92" s="511" t="n"/>
      <c r="J92" s="512" t="n"/>
      <c r="K92" s="512" t="n"/>
      <c r="L92" s="513" t="n"/>
      <c r="M92" s="510" t="n"/>
      <c r="N92" s="526" t="n"/>
      <c r="O92" s="512" t="n"/>
      <c r="P92" s="512" t="n"/>
      <c r="Q92" s="512" t="n"/>
      <c r="R92" s="512" t="n"/>
      <c r="S92" s="512" t="n"/>
      <c r="T92" s="512" t="n"/>
      <c r="U92" s="512" t="n"/>
      <c r="V92" s="512" t="n"/>
      <c r="W92" s="512" t="n"/>
      <c r="X92" s="512" t="n"/>
      <c r="Y92" s="512" t="n"/>
      <c r="Z92" s="512" t="n"/>
      <c r="AA92" s="512" t="n"/>
      <c r="AB92" s="512" t="n"/>
      <c r="AC92" s="512" t="n"/>
      <c r="AD92" s="512" t="n"/>
      <c r="AE92" s="510" t="n"/>
      <c r="AF92" s="511" t="n"/>
      <c r="AG92" s="512" t="n"/>
      <c r="AH92" s="512" t="n"/>
      <c r="AI92" s="513" t="n"/>
      <c r="AJ92" s="510" t="n"/>
      <c r="AK92" s="513" t="n"/>
      <c r="AL92" s="513" t="n"/>
      <c r="AM92" s="513" t="n"/>
      <c r="AN92" s="513" t="n"/>
      <c r="AO92" s="513" t="n"/>
      <c r="AP92" s="513" t="n"/>
      <c r="AQ92" s="513" t="n"/>
      <c r="AR92" s="513" t="n"/>
      <c r="AS92" s="513" t="n"/>
      <c r="AT92" s="513" t="n"/>
      <c r="AU92" s="510" t="n"/>
      <c r="AV92" s="527" t="n"/>
      <c r="AW92" s="514" t="n"/>
      <c r="AX92" s="514" t="n"/>
      <c r="AY92" s="514" t="n"/>
      <c r="AZ92" s="514" t="n"/>
      <c r="BA92" s="510">
        <f>SUM(AV92:AZ92)</f>
        <v/>
      </c>
      <c r="BB92" s="511" t="n"/>
      <c r="BC92" s="512" t="n"/>
      <c r="BD92" s="512" t="n"/>
      <c r="BE92" s="512" t="n"/>
      <c r="BF92" s="510">
        <f>SUM(BB92:BE92)</f>
        <v/>
      </c>
      <c r="BG92" s="518" t="n"/>
      <c r="BH92" s="519">
        <f>H92+M92+AE92+AJ92+AU92+BA92+BF92</f>
        <v/>
      </c>
      <c r="BI92" s="528">
        <f>IF(E92-BH92&lt;0, BH92-E92, )</f>
        <v/>
      </c>
      <c r="BJ92" s="529">
        <f>IF(E92-BH92&lt;0, ,E92-BH92)</f>
        <v/>
      </c>
      <c r="BK92" s="530" t="n"/>
      <c r="BM92" s="523" t="n"/>
      <c r="BN92" s="523" t="n"/>
      <c r="BO92" s="523" t="n"/>
      <c r="BP92" s="523" t="n"/>
      <c r="BQ92" s="523" t="n"/>
      <c r="BR92" s="523" t="n"/>
      <c r="BS92" s="523" t="n"/>
      <c r="BT92" s="518">
        <f>SUM(BM92:BS92)</f>
        <v/>
      </c>
      <c r="BU92" s="518" t="n"/>
      <c r="BV92" s="523" t="n"/>
      <c r="BW92" s="523" t="n"/>
      <c r="BX92" s="523" t="n"/>
      <c r="BY92" s="523" t="n"/>
      <c r="BZ92" s="523" t="n"/>
      <c r="CA92" s="523" t="n"/>
      <c r="CB92" s="523" t="n"/>
      <c r="CC92" s="518">
        <f>SUM(BV92:CB92)</f>
        <v/>
      </c>
      <c r="CD92" s="518" t="n"/>
      <c r="CE92" s="523" t="n"/>
      <c r="CF92" s="523" t="n"/>
      <c r="CG92" s="523" t="n"/>
      <c r="CH92" s="523" t="n"/>
      <c r="CI92" s="523" t="n"/>
      <c r="CJ92" s="523" t="n"/>
      <c r="CK92" s="523" t="n"/>
      <c r="CL92" s="518">
        <f>SUM(CE92:CK92)</f>
        <v/>
      </c>
      <c r="CN92" s="525">
        <f>+H92-(BM92+BV92+CE92)</f>
        <v/>
      </c>
      <c r="CO92" s="525">
        <f>+M92-(BN92+BW92+CF92)</f>
        <v/>
      </c>
      <c r="CP92" s="525">
        <f>+AE92-(BO92+BX92+CG92)</f>
        <v/>
      </c>
      <c r="CQ92" s="525">
        <f>+AJ92-(BP92+BY92+CH92)</f>
        <v/>
      </c>
      <c r="CR92" s="525">
        <f>+AU92-(BQ92+BZ92+CI92)</f>
        <v/>
      </c>
      <c r="CS92" s="525">
        <f>+BA92-(BR92+CA92+CJ92)</f>
        <v/>
      </c>
      <c r="CT92" s="525">
        <f>+BF92-(BS92+CB92+CK92)</f>
        <v/>
      </c>
      <c r="CU92" s="525">
        <f>BT92+CC92+CL92</f>
        <v/>
      </c>
      <c r="CV92" s="525">
        <f>SUM(CN92:CT92)</f>
        <v/>
      </c>
    </row>
    <row r="93" ht="21" customFormat="1" customHeight="1" s="230">
      <c r="A93" s="453" t="n">
        <v>5411062</v>
      </c>
      <c r="B93" s="309" t="n"/>
      <c r="C93" s="287" t="inlineStr">
        <is>
          <t>CONEC.CUÑA.TP.UDC.REF.CU.35/35MM2   50/16-35MM2   70/25MM2</t>
        </is>
      </c>
      <c r="D93" s="288" t="n">
        <v>6.502</v>
      </c>
      <c r="E93" s="507" t="n"/>
      <c r="F93" s="526" t="n"/>
      <c r="G93" s="527" t="n"/>
      <c r="H93" s="510" t="n"/>
      <c r="I93" s="511" t="n"/>
      <c r="J93" s="512" t="n"/>
      <c r="K93" s="512" t="n"/>
      <c r="L93" s="513" t="n"/>
      <c r="M93" s="510" t="n"/>
      <c r="N93" s="526" t="n"/>
      <c r="O93" s="512" t="n"/>
      <c r="P93" s="512" t="n"/>
      <c r="Q93" s="512" t="n"/>
      <c r="R93" s="512" t="n"/>
      <c r="S93" s="512" t="n"/>
      <c r="T93" s="512" t="n"/>
      <c r="U93" s="512" t="n"/>
      <c r="V93" s="512" t="n"/>
      <c r="W93" s="512" t="n"/>
      <c r="X93" s="512" t="n"/>
      <c r="Y93" s="512" t="n"/>
      <c r="Z93" s="512" t="n"/>
      <c r="AA93" s="512" t="n"/>
      <c r="AB93" s="512" t="n"/>
      <c r="AC93" s="512" t="n"/>
      <c r="AD93" s="512" t="n"/>
      <c r="AE93" s="510" t="n"/>
      <c r="AF93" s="511" t="n"/>
      <c r="AG93" s="512" t="n"/>
      <c r="AH93" s="512" t="n"/>
      <c r="AI93" s="513" t="n"/>
      <c r="AJ93" s="510" t="n"/>
      <c r="AK93" s="513" t="n"/>
      <c r="AL93" s="513" t="n"/>
      <c r="AM93" s="513" t="n"/>
      <c r="AN93" s="513" t="n"/>
      <c r="AO93" s="513" t="n"/>
      <c r="AP93" s="513" t="n"/>
      <c r="AQ93" s="513" t="n"/>
      <c r="AR93" s="513" t="n"/>
      <c r="AS93" s="513" t="n"/>
      <c r="AT93" s="513" t="n"/>
      <c r="AU93" s="510" t="n"/>
      <c r="AV93" s="527" t="n"/>
      <c r="AW93" s="514" t="n"/>
      <c r="AX93" s="514" t="n"/>
      <c r="AY93" s="514" t="n"/>
      <c r="AZ93" s="514" t="n"/>
      <c r="BA93" s="510">
        <f>SUM(AV93:AZ93)</f>
        <v/>
      </c>
      <c r="BB93" s="511" t="n"/>
      <c r="BC93" s="512" t="n"/>
      <c r="BD93" s="512" t="n"/>
      <c r="BE93" s="512" t="n"/>
      <c r="BF93" s="510">
        <f>SUM(BB93:BE93)</f>
        <v/>
      </c>
      <c r="BG93" s="518" t="n"/>
      <c r="BH93" s="519">
        <f>H93+M93+AE93+AJ93+AU93+BA93+BF93</f>
        <v/>
      </c>
      <c r="BI93" s="528">
        <f>IF(E93-BH93&lt;0, BH93-E93, )</f>
        <v/>
      </c>
      <c r="BJ93" s="529">
        <f>IF(E93-BH93&lt;0, ,E93-BH93)</f>
        <v/>
      </c>
      <c r="BK93" s="530" t="n"/>
      <c r="BM93" s="523" t="n"/>
      <c r="BN93" s="523" t="n"/>
      <c r="BO93" s="523" t="n"/>
      <c r="BP93" s="523" t="n"/>
      <c r="BQ93" s="523" t="n"/>
      <c r="BR93" s="523" t="n"/>
      <c r="BS93" s="523" t="n"/>
      <c r="BT93" s="518">
        <f>SUM(BM93:BS93)</f>
        <v/>
      </c>
      <c r="BU93" s="518" t="n"/>
      <c r="BV93" s="523" t="n"/>
      <c r="BW93" s="523" t="n"/>
      <c r="BX93" s="523" t="n"/>
      <c r="BY93" s="523" t="n"/>
      <c r="BZ93" s="523" t="n"/>
      <c r="CA93" s="523" t="n"/>
      <c r="CB93" s="523" t="n"/>
      <c r="CC93" s="518">
        <f>SUM(BV93:CB93)</f>
        <v/>
      </c>
      <c r="CD93" s="518" t="n"/>
      <c r="CE93" s="523" t="n"/>
      <c r="CF93" s="523" t="n"/>
      <c r="CG93" s="523" t="n"/>
      <c r="CH93" s="523" t="n"/>
      <c r="CI93" s="523" t="n"/>
      <c r="CJ93" s="523" t="n"/>
      <c r="CK93" s="523" t="n"/>
      <c r="CL93" s="518">
        <f>SUM(CE93:CK93)</f>
        <v/>
      </c>
      <c r="CN93" s="525">
        <f>+H93-(BM93+BV93+CE93)</f>
        <v/>
      </c>
      <c r="CO93" s="525">
        <f>+M93-(BN93+BW93+CF93)</f>
        <v/>
      </c>
      <c r="CP93" s="525">
        <f>+AE93-(BO93+BX93+CG93)</f>
        <v/>
      </c>
      <c r="CQ93" s="525">
        <f>+AJ93-(BP93+BY93+CH93)</f>
        <v/>
      </c>
      <c r="CR93" s="525">
        <f>+AU93-(BQ93+BZ93+CI93)</f>
        <v/>
      </c>
      <c r="CS93" s="525">
        <f>+BA93-(BR93+CA93+CJ93)</f>
        <v/>
      </c>
      <c r="CT93" s="525">
        <f>+BF93-(BS93+CB93+CK93)</f>
        <v/>
      </c>
      <c r="CU93" s="525">
        <f>BT93+CC93+CL93</f>
        <v/>
      </c>
      <c r="CV93" s="525">
        <f>SUM(CN93:CT93)</f>
        <v/>
      </c>
    </row>
    <row r="94" ht="21" customFormat="1" customHeight="1" s="230">
      <c r="A94" s="453" t="n">
        <v>5411063</v>
      </c>
      <c r="B94" s="309" t="n"/>
      <c r="C94" s="287" t="inlineStr">
        <is>
          <t>CONECTOR DE DERIVACION DE COBRE ESTAÑADO TP.CUÑA P.CONDUCTOR DE COBRE 70 / 70MM2</t>
        </is>
      </c>
      <c r="D94" s="288" t="e">
        <v>#N/A</v>
      </c>
      <c r="E94" s="507" t="n"/>
      <c r="F94" s="526" t="n"/>
      <c r="G94" s="527" t="n"/>
      <c r="H94" s="510" t="n"/>
      <c r="I94" s="511" t="n"/>
      <c r="J94" s="512" t="n"/>
      <c r="K94" s="512" t="n"/>
      <c r="L94" s="513" t="n"/>
      <c r="M94" s="510" t="n"/>
      <c r="N94" s="526" t="n"/>
      <c r="O94" s="512" t="n"/>
      <c r="P94" s="512" t="n"/>
      <c r="Q94" s="512" t="n"/>
      <c r="R94" s="512" t="n"/>
      <c r="S94" s="512" t="n"/>
      <c r="T94" s="512" t="n"/>
      <c r="U94" s="512" t="n"/>
      <c r="V94" s="512" t="n"/>
      <c r="W94" s="512" t="n"/>
      <c r="X94" s="512" t="n"/>
      <c r="Y94" s="512" t="n"/>
      <c r="Z94" s="512" t="n"/>
      <c r="AA94" s="512" t="n"/>
      <c r="AB94" s="512" t="n"/>
      <c r="AC94" s="512" t="n"/>
      <c r="AD94" s="512" t="n"/>
      <c r="AE94" s="510" t="n"/>
      <c r="AF94" s="511" t="n"/>
      <c r="AG94" s="512" t="n"/>
      <c r="AH94" s="512" t="n"/>
      <c r="AI94" s="513" t="n"/>
      <c r="AJ94" s="510" t="n"/>
      <c r="AK94" s="513" t="n"/>
      <c r="AL94" s="513" t="n"/>
      <c r="AM94" s="513" t="n"/>
      <c r="AN94" s="513" t="n"/>
      <c r="AO94" s="513" t="n"/>
      <c r="AP94" s="513" t="n"/>
      <c r="AQ94" s="513" t="n"/>
      <c r="AR94" s="513" t="n"/>
      <c r="AS94" s="513" t="n"/>
      <c r="AT94" s="513" t="n"/>
      <c r="AU94" s="510" t="n"/>
      <c r="AV94" s="527" t="n"/>
      <c r="AW94" s="514" t="n"/>
      <c r="AX94" s="514" t="n"/>
      <c r="AY94" s="514" t="n"/>
      <c r="AZ94" s="514" t="n"/>
      <c r="BA94" s="510">
        <f>SUM(AV94:AZ94)</f>
        <v/>
      </c>
      <c r="BB94" s="511" t="n"/>
      <c r="BC94" s="512" t="n"/>
      <c r="BD94" s="512" t="n"/>
      <c r="BE94" s="512" t="n"/>
      <c r="BF94" s="510">
        <f>SUM(BB94:BE94)</f>
        <v/>
      </c>
      <c r="BG94" s="518" t="n"/>
      <c r="BH94" s="519">
        <f>H94+M94+AE94+AJ94+AU94+BA94+BF94</f>
        <v/>
      </c>
      <c r="BI94" s="528">
        <f>IF(E94-BH94&lt;0, BH94-E94, )</f>
        <v/>
      </c>
      <c r="BJ94" s="529">
        <f>IF(E94-BH94&lt;0, ,E94-BH94)</f>
        <v/>
      </c>
      <c r="BK94" s="530" t="n"/>
      <c r="BM94" s="523" t="n"/>
      <c r="BN94" s="523" t="n"/>
      <c r="BO94" s="523" t="n"/>
      <c r="BP94" s="523" t="n"/>
      <c r="BQ94" s="523" t="n"/>
      <c r="BR94" s="523" t="n"/>
      <c r="BS94" s="523" t="n"/>
      <c r="BT94" s="518">
        <f>SUM(BM94:BS94)</f>
        <v/>
      </c>
      <c r="BU94" s="518" t="n"/>
      <c r="BV94" s="523" t="n"/>
      <c r="BW94" s="523" t="n"/>
      <c r="BX94" s="523" t="n"/>
      <c r="BY94" s="523" t="n"/>
      <c r="BZ94" s="523" t="n"/>
      <c r="CA94" s="523" t="n"/>
      <c r="CB94" s="523" t="n"/>
      <c r="CC94" s="518">
        <f>SUM(BV94:CB94)</f>
        <v/>
      </c>
      <c r="CD94" s="518" t="n"/>
      <c r="CE94" s="523" t="n"/>
      <c r="CF94" s="523" t="n"/>
      <c r="CG94" s="523" t="n"/>
      <c r="CH94" s="523" t="n"/>
      <c r="CI94" s="523" t="n"/>
      <c r="CJ94" s="523" t="n"/>
      <c r="CK94" s="523" t="n"/>
      <c r="CL94" s="518">
        <f>SUM(CE94:CK94)</f>
        <v/>
      </c>
      <c r="CN94" s="525">
        <f>+H94-(BM94+BV94+CE94)</f>
        <v/>
      </c>
      <c r="CO94" s="525">
        <f>+M94-(BN94+BW94+CF94)</f>
        <v/>
      </c>
      <c r="CP94" s="525">
        <f>+AE94-(BO94+BX94+CG94)</f>
        <v/>
      </c>
      <c r="CQ94" s="525">
        <f>+AJ94-(BP94+BY94+CH94)</f>
        <v/>
      </c>
      <c r="CR94" s="525">
        <f>+AU94-(BQ94+BZ94+CI94)</f>
        <v/>
      </c>
      <c r="CS94" s="525">
        <f>+BA94-(BR94+CA94+CJ94)</f>
        <v/>
      </c>
      <c r="CT94" s="525">
        <f>+BF94-(BS94+CB94+CK94)</f>
        <v/>
      </c>
      <c r="CU94" s="525">
        <f>BT94+CC94+CL94</f>
        <v/>
      </c>
      <c r="CV94" s="525">
        <f>SUM(CN94:CT94)</f>
        <v/>
      </c>
    </row>
    <row r="95" ht="21" customFormat="1" customHeight="1" s="230">
      <c r="A95" s="453" t="n">
        <v>5411076</v>
      </c>
      <c r="B95" s="309" t="n"/>
      <c r="C95" s="287" t="inlineStr">
        <is>
          <t>CONECTOR DE DERIVACION DE COBRE ESTAÑADO TP.CUÑA P.CONDUCTOR DE COBRE 70 / 2,5-4-6MM2</t>
        </is>
      </c>
      <c r="D95" s="288" t="n">
        <v>7.895</v>
      </c>
      <c r="E95" s="507" t="n"/>
      <c r="F95" s="526" t="n"/>
      <c r="G95" s="527" t="n"/>
      <c r="H95" s="510" t="n"/>
      <c r="I95" s="511" t="n"/>
      <c r="J95" s="512" t="n"/>
      <c r="K95" s="512" t="n"/>
      <c r="L95" s="513" t="n"/>
      <c r="M95" s="510" t="n"/>
      <c r="N95" s="526" t="n"/>
      <c r="O95" s="512" t="n"/>
      <c r="P95" s="512" t="n"/>
      <c r="Q95" s="512" t="n"/>
      <c r="R95" s="512" t="n"/>
      <c r="S95" s="512" t="n"/>
      <c r="T95" s="512" t="n"/>
      <c r="U95" s="512" t="n"/>
      <c r="V95" s="512" t="n"/>
      <c r="W95" s="512" t="n"/>
      <c r="X95" s="512" t="n"/>
      <c r="Y95" s="512" t="n"/>
      <c r="Z95" s="512" t="n"/>
      <c r="AA95" s="512" t="n"/>
      <c r="AB95" s="512" t="n"/>
      <c r="AC95" s="512" t="n"/>
      <c r="AD95" s="512" t="n"/>
      <c r="AE95" s="510" t="n"/>
      <c r="AF95" s="511" t="n"/>
      <c r="AG95" s="512" t="n"/>
      <c r="AH95" s="512" t="n"/>
      <c r="AI95" s="513" t="n"/>
      <c r="AJ95" s="510" t="n"/>
      <c r="AK95" s="513" t="n"/>
      <c r="AL95" s="513" t="n"/>
      <c r="AM95" s="513" t="n"/>
      <c r="AN95" s="513" t="n"/>
      <c r="AO95" s="513" t="n"/>
      <c r="AP95" s="513" t="n"/>
      <c r="AQ95" s="513" t="n"/>
      <c r="AR95" s="513" t="n"/>
      <c r="AS95" s="513" t="n"/>
      <c r="AT95" s="513" t="n"/>
      <c r="AU95" s="510" t="n"/>
      <c r="AV95" s="527" t="n"/>
      <c r="AW95" s="514" t="n"/>
      <c r="AX95" s="514" t="n"/>
      <c r="AY95" s="514" t="n"/>
      <c r="AZ95" s="514" t="n"/>
      <c r="BA95" s="510">
        <f>SUM(AV95:AZ95)</f>
        <v/>
      </c>
      <c r="BB95" s="511" t="n"/>
      <c r="BC95" s="512" t="n"/>
      <c r="BD95" s="512" t="n"/>
      <c r="BE95" s="512" t="n"/>
      <c r="BF95" s="510">
        <f>SUM(BB95:BE95)</f>
        <v/>
      </c>
      <c r="BG95" s="518" t="n"/>
      <c r="BH95" s="519">
        <f>H95+M95+AE95+AJ95+AU95+BA95+BF95</f>
        <v/>
      </c>
      <c r="BI95" s="528">
        <f>IF(E95-BH95&lt;0, BH95-E95, )</f>
        <v/>
      </c>
      <c r="BJ95" s="529">
        <f>IF(E95-BH95&lt;0, ,E95-BH95)</f>
        <v/>
      </c>
      <c r="BK95" s="530" t="n"/>
      <c r="BM95" s="523" t="n"/>
      <c r="BN95" s="523" t="n"/>
      <c r="BO95" s="523" t="n"/>
      <c r="BP95" s="523" t="n"/>
      <c r="BQ95" s="523" t="n"/>
      <c r="BR95" s="523" t="n"/>
      <c r="BS95" s="523" t="n"/>
      <c r="BT95" s="518">
        <f>SUM(BM95:BS95)</f>
        <v/>
      </c>
      <c r="BU95" s="518" t="n"/>
      <c r="BV95" s="523" t="n"/>
      <c r="BW95" s="523" t="n"/>
      <c r="BX95" s="523" t="n"/>
      <c r="BY95" s="523" t="n"/>
      <c r="BZ95" s="523" t="n"/>
      <c r="CA95" s="523" t="n"/>
      <c r="CB95" s="523" t="n"/>
      <c r="CC95" s="518">
        <f>SUM(BV95:CB95)</f>
        <v/>
      </c>
      <c r="CD95" s="518" t="n"/>
      <c r="CE95" s="523" t="n"/>
      <c r="CF95" s="523" t="n"/>
      <c r="CG95" s="523" t="n"/>
      <c r="CH95" s="523" t="n"/>
      <c r="CI95" s="523" t="n"/>
      <c r="CJ95" s="523" t="n"/>
      <c r="CK95" s="523" t="n"/>
      <c r="CL95" s="518">
        <f>SUM(CE95:CK95)</f>
        <v/>
      </c>
      <c r="CN95" s="525">
        <f>+H95-(BM95+BV95+CE95)</f>
        <v/>
      </c>
      <c r="CO95" s="525">
        <f>+M95-(BN95+BW95+CF95)</f>
        <v/>
      </c>
      <c r="CP95" s="525">
        <f>+AE95-(BO95+BX95+CG95)</f>
        <v/>
      </c>
      <c r="CQ95" s="525">
        <f>+AJ95-(BP95+BY95+CH95)</f>
        <v/>
      </c>
      <c r="CR95" s="525">
        <f>+AU95-(BQ95+BZ95+CI95)</f>
        <v/>
      </c>
      <c r="CS95" s="525">
        <f>+BA95-(BR95+CA95+CJ95)</f>
        <v/>
      </c>
      <c r="CT95" s="525">
        <f>+BF95-(BS95+CB95+CK95)</f>
        <v/>
      </c>
      <c r="CU95" s="525">
        <f>BT95+CC95+CL95</f>
        <v/>
      </c>
      <c r="CV95" s="525">
        <f>SUM(CN95:CT95)</f>
        <v/>
      </c>
    </row>
    <row r="96" ht="21" customFormat="1" customHeight="1" s="230">
      <c r="A96" s="453" t="n">
        <v>5411078</v>
      </c>
      <c r="B96" s="309" t="n"/>
      <c r="C96" s="287" t="inlineStr">
        <is>
          <t>CONECTOR DE DERIVACION DE COBRE ESTAÑADO TP.CUÑA P.CONDUCTOR DE COBRE 70 / 1,5 MM2</t>
        </is>
      </c>
      <c r="D96" s="288" t="e">
        <v>#N/A</v>
      </c>
      <c r="E96" s="507" t="n"/>
      <c r="F96" s="526" t="n"/>
      <c r="G96" s="527" t="n"/>
      <c r="H96" s="510" t="n"/>
      <c r="I96" s="511" t="n"/>
      <c r="J96" s="512" t="n"/>
      <c r="K96" s="512" t="n"/>
      <c r="L96" s="513" t="n"/>
      <c r="M96" s="510" t="n"/>
      <c r="N96" s="526" t="n"/>
      <c r="O96" s="512" t="n"/>
      <c r="P96" s="512" t="n"/>
      <c r="Q96" s="512" t="n"/>
      <c r="R96" s="512" t="n"/>
      <c r="S96" s="512" t="n"/>
      <c r="T96" s="512" t="n"/>
      <c r="U96" s="512" t="n"/>
      <c r="V96" s="512" t="n"/>
      <c r="W96" s="512" t="n"/>
      <c r="X96" s="512" t="n"/>
      <c r="Y96" s="512" t="n"/>
      <c r="Z96" s="512" t="n"/>
      <c r="AA96" s="512" t="n"/>
      <c r="AB96" s="512" t="n"/>
      <c r="AC96" s="512" t="n"/>
      <c r="AD96" s="512" t="n"/>
      <c r="AE96" s="510" t="n"/>
      <c r="AF96" s="511" t="n"/>
      <c r="AG96" s="512" t="n"/>
      <c r="AH96" s="512" t="n"/>
      <c r="AI96" s="513" t="n"/>
      <c r="AJ96" s="510" t="n"/>
      <c r="AK96" s="513" t="n"/>
      <c r="AL96" s="513" t="n"/>
      <c r="AM96" s="513" t="n"/>
      <c r="AN96" s="513" t="n"/>
      <c r="AO96" s="513" t="n"/>
      <c r="AP96" s="513" t="n"/>
      <c r="AQ96" s="513" t="n"/>
      <c r="AR96" s="513" t="n"/>
      <c r="AS96" s="513" t="n"/>
      <c r="AT96" s="513" t="n"/>
      <c r="AU96" s="510" t="n"/>
      <c r="AV96" s="527" t="n"/>
      <c r="AW96" s="514" t="n"/>
      <c r="AX96" s="514" t="n"/>
      <c r="AY96" s="514" t="n"/>
      <c r="AZ96" s="514" t="n"/>
      <c r="BA96" s="510">
        <f>SUM(AV96:AZ96)</f>
        <v/>
      </c>
      <c r="BB96" s="511" t="n"/>
      <c r="BC96" s="512" t="n"/>
      <c r="BD96" s="512" t="n"/>
      <c r="BE96" s="512" t="n"/>
      <c r="BF96" s="510">
        <f>SUM(BB96:BE96)</f>
        <v/>
      </c>
      <c r="BG96" s="518" t="n"/>
      <c r="BH96" s="519">
        <f>H96+M96+AE96+AJ96+AU96+BA96+BF96</f>
        <v/>
      </c>
      <c r="BI96" s="528">
        <f>IF(E96-BH96&lt;0, BH96-E96, )</f>
        <v/>
      </c>
      <c r="BJ96" s="529">
        <f>IF(E96-BH96&lt;0, ,E96-BH96)</f>
        <v/>
      </c>
      <c r="BK96" s="530" t="n"/>
      <c r="BM96" s="523" t="n"/>
      <c r="BN96" s="523" t="n"/>
      <c r="BO96" s="523" t="n"/>
      <c r="BP96" s="523" t="n"/>
      <c r="BQ96" s="523" t="n"/>
      <c r="BR96" s="523" t="n"/>
      <c r="BS96" s="523" t="n"/>
      <c r="BT96" s="518">
        <f>SUM(BM96:BS96)</f>
        <v/>
      </c>
      <c r="BU96" s="518" t="n"/>
      <c r="BV96" s="523" t="n"/>
      <c r="BW96" s="523" t="n"/>
      <c r="BX96" s="523" t="n"/>
      <c r="BY96" s="523" t="n"/>
      <c r="BZ96" s="523" t="n"/>
      <c r="CA96" s="523" t="n"/>
      <c r="CB96" s="523" t="n"/>
      <c r="CC96" s="518">
        <f>SUM(BV96:CB96)</f>
        <v/>
      </c>
      <c r="CD96" s="518" t="n"/>
      <c r="CE96" s="523" t="n"/>
      <c r="CF96" s="523" t="n"/>
      <c r="CG96" s="523" t="n"/>
      <c r="CH96" s="523" t="n"/>
      <c r="CI96" s="523" t="n"/>
      <c r="CJ96" s="523" t="n"/>
      <c r="CK96" s="523" t="n"/>
      <c r="CL96" s="518">
        <f>SUM(CE96:CK96)</f>
        <v/>
      </c>
      <c r="CN96" s="525">
        <f>+H96-(BM96+BV96+CE96)</f>
        <v/>
      </c>
      <c r="CO96" s="525">
        <f>+M96-(BN96+BW96+CF96)</f>
        <v/>
      </c>
      <c r="CP96" s="525">
        <f>+AE96-(BO96+BX96+CG96)</f>
        <v/>
      </c>
      <c r="CQ96" s="525">
        <f>+AJ96-(BP96+BY96+CH96)</f>
        <v/>
      </c>
      <c r="CR96" s="525">
        <f>+AU96-(BQ96+BZ96+CI96)</f>
        <v/>
      </c>
      <c r="CS96" s="525">
        <f>+BA96-(BR96+CA96+CJ96)</f>
        <v/>
      </c>
      <c r="CT96" s="525">
        <f>+BF96-(BS96+CB96+CK96)</f>
        <v/>
      </c>
      <c r="CU96" s="525">
        <f>BT96+CC96+CL96</f>
        <v/>
      </c>
      <c r="CV96" s="525">
        <f>SUM(CN96:CT96)</f>
        <v/>
      </c>
    </row>
    <row r="97" ht="21" customFormat="1" customHeight="1" s="230">
      <c r="A97" s="453" t="n">
        <v>5411072</v>
      </c>
      <c r="B97" s="309" t="n"/>
      <c r="C97" s="287" t="inlineStr">
        <is>
          <t>CONECTOR DE DERIVACION DE COBRE ESTAÑADO TP.CUÑA P.CONDUCTOR DE COBRE 35 / 1,5 - 2,5MM2</t>
        </is>
      </c>
      <c r="D97" s="288" t="n">
        <v>5.284</v>
      </c>
      <c r="E97" s="507" t="n"/>
      <c r="F97" s="526" t="n"/>
      <c r="G97" s="527" t="n"/>
      <c r="H97" s="510" t="n"/>
      <c r="I97" s="511" t="n"/>
      <c r="J97" s="512" t="n"/>
      <c r="K97" s="512" t="n"/>
      <c r="L97" s="513" t="n"/>
      <c r="M97" s="510" t="n"/>
      <c r="N97" s="526" t="n"/>
      <c r="O97" s="512" t="n"/>
      <c r="P97" s="512" t="n"/>
      <c r="Q97" s="512" t="n"/>
      <c r="R97" s="512" t="n"/>
      <c r="S97" s="512" t="n"/>
      <c r="T97" s="512" t="n"/>
      <c r="U97" s="512" t="n"/>
      <c r="V97" s="512" t="n"/>
      <c r="W97" s="512" t="n"/>
      <c r="X97" s="512" t="n"/>
      <c r="Y97" s="512" t="n"/>
      <c r="Z97" s="512" t="n"/>
      <c r="AA97" s="512" t="n"/>
      <c r="AB97" s="512" t="n"/>
      <c r="AC97" s="512" t="n"/>
      <c r="AD97" s="512" t="n"/>
      <c r="AE97" s="510" t="n"/>
      <c r="AF97" s="511" t="n"/>
      <c r="AG97" s="512" t="n"/>
      <c r="AH97" s="512" t="n"/>
      <c r="AI97" s="513" t="n"/>
      <c r="AJ97" s="510" t="n"/>
      <c r="AK97" s="513" t="n"/>
      <c r="AL97" s="513" t="n"/>
      <c r="AM97" s="513" t="n"/>
      <c r="AN97" s="513" t="n"/>
      <c r="AO97" s="513" t="n"/>
      <c r="AP97" s="513" t="n"/>
      <c r="AQ97" s="513" t="n"/>
      <c r="AR97" s="513" t="n"/>
      <c r="AS97" s="513" t="n"/>
      <c r="AT97" s="513" t="n"/>
      <c r="AU97" s="510" t="n"/>
      <c r="AV97" s="527" t="n"/>
      <c r="AW97" s="514" t="n"/>
      <c r="AX97" s="514" t="n"/>
      <c r="AY97" s="514" t="n"/>
      <c r="AZ97" s="514" t="n"/>
      <c r="BA97" s="510">
        <f>SUM(AV97:AZ97)</f>
        <v/>
      </c>
      <c r="BB97" s="511" t="n"/>
      <c r="BC97" s="512" t="n"/>
      <c r="BD97" s="512" t="n"/>
      <c r="BE97" s="512" t="n"/>
      <c r="BF97" s="510">
        <f>SUM(BB97:BE97)</f>
        <v/>
      </c>
      <c r="BG97" s="518" t="n"/>
      <c r="BH97" s="519">
        <f>H97+M97+AE97+AJ97+AU97+BA97+BF97</f>
        <v/>
      </c>
      <c r="BI97" s="528">
        <f>IF(E97-BH97&lt;0, BH97-E97, )</f>
        <v/>
      </c>
      <c r="BJ97" s="529">
        <f>IF(E97-BH97&lt;0, ,E97-BH97)</f>
        <v/>
      </c>
      <c r="BK97" s="530" t="n"/>
      <c r="BM97" s="523" t="n"/>
      <c r="BN97" s="523" t="n"/>
      <c r="BO97" s="523" t="n"/>
      <c r="BP97" s="523" t="n"/>
      <c r="BQ97" s="523" t="n"/>
      <c r="BR97" s="523" t="n"/>
      <c r="BS97" s="523" t="n"/>
      <c r="BT97" s="518">
        <f>SUM(BM97:BS97)</f>
        <v/>
      </c>
      <c r="BU97" s="518" t="n"/>
      <c r="BV97" s="523" t="n"/>
      <c r="BW97" s="523" t="n"/>
      <c r="BX97" s="523" t="n"/>
      <c r="BY97" s="523" t="n"/>
      <c r="BZ97" s="523" t="n"/>
      <c r="CA97" s="523" t="n"/>
      <c r="CB97" s="523" t="n"/>
      <c r="CC97" s="518">
        <f>SUM(BV97:CB97)</f>
        <v/>
      </c>
      <c r="CD97" s="518" t="n"/>
      <c r="CE97" s="523" t="n"/>
      <c r="CF97" s="523" t="n"/>
      <c r="CG97" s="523" t="n"/>
      <c r="CH97" s="523" t="n"/>
      <c r="CI97" s="523" t="n"/>
      <c r="CJ97" s="523" t="n"/>
      <c r="CK97" s="523" t="n"/>
      <c r="CL97" s="518">
        <f>SUM(CE97:CK97)</f>
        <v/>
      </c>
      <c r="CN97" s="525">
        <f>+H97-(BM97+BV97+CE97)</f>
        <v/>
      </c>
      <c r="CO97" s="525">
        <f>+M97-(BN97+BW97+CF97)</f>
        <v/>
      </c>
      <c r="CP97" s="525">
        <f>+AE97-(BO97+BX97+CG97)</f>
        <v/>
      </c>
      <c r="CQ97" s="525">
        <f>+AJ97-(BP97+BY97+CH97)</f>
        <v/>
      </c>
      <c r="CR97" s="525">
        <f>+AU97-(BQ97+BZ97+CI97)</f>
        <v/>
      </c>
      <c r="CS97" s="525">
        <f>+BA97-(BR97+CA97+CJ97)</f>
        <v/>
      </c>
      <c r="CT97" s="525">
        <f>+BF97-(BS97+CB97+CK97)</f>
        <v/>
      </c>
      <c r="CU97" s="525">
        <f>BT97+CC97+CL97</f>
        <v/>
      </c>
      <c r="CV97" s="525">
        <f>SUM(CN97:CT97)</f>
        <v/>
      </c>
    </row>
    <row r="98" ht="21" customFormat="1" customHeight="1" s="230">
      <c r="A98" s="453" t="n">
        <v>5347095</v>
      </c>
      <c r="B98" s="309" t="n"/>
      <c r="C98" s="287" t="inlineStr">
        <is>
          <t>PASTORAL JP</t>
        </is>
      </c>
      <c r="D98" s="288" t="e">
        <v>#N/A</v>
      </c>
      <c r="E98" s="507" t="n"/>
      <c r="F98" s="526" t="n"/>
      <c r="G98" s="527" t="n"/>
      <c r="H98" s="510" t="n"/>
      <c r="I98" s="511" t="n"/>
      <c r="J98" s="512" t="n"/>
      <c r="K98" s="512" t="n"/>
      <c r="L98" s="513" t="n"/>
      <c r="M98" s="510" t="n"/>
      <c r="N98" s="526" t="n"/>
      <c r="O98" s="512" t="n"/>
      <c r="P98" s="512" t="n"/>
      <c r="Q98" s="512" t="n"/>
      <c r="R98" s="512" t="n"/>
      <c r="S98" s="512" t="n"/>
      <c r="T98" s="512" t="n"/>
      <c r="U98" s="512" t="n"/>
      <c r="V98" s="512" t="n"/>
      <c r="W98" s="512" t="n"/>
      <c r="X98" s="512" t="n"/>
      <c r="Y98" s="512" t="n"/>
      <c r="Z98" s="512" t="n"/>
      <c r="AA98" s="512" t="n"/>
      <c r="AB98" s="512" t="n"/>
      <c r="AC98" s="512" t="n"/>
      <c r="AD98" s="512" t="n"/>
      <c r="AE98" s="510" t="n"/>
      <c r="AF98" s="511" t="n"/>
      <c r="AG98" s="512" t="n"/>
      <c r="AH98" s="512" t="n"/>
      <c r="AI98" s="513" t="n"/>
      <c r="AJ98" s="510" t="n"/>
      <c r="AK98" s="513" t="n"/>
      <c r="AL98" s="513" t="n"/>
      <c r="AM98" s="513" t="n"/>
      <c r="AN98" s="513" t="n"/>
      <c r="AO98" s="513" t="n"/>
      <c r="AP98" s="513" t="n"/>
      <c r="AQ98" s="513" t="n"/>
      <c r="AR98" s="513" t="n"/>
      <c r="AS98" s="513" t="n"/>
      <c r="AT98" s="513" t="n"/>
      <c r="AU98" s="510" t="n"/>
      <c r="AV98" s="527" t="n"/>
      <c r="AW98" s="514" t="n"/>
      <c r="AX98" s="514" t="n"/>
      <c r="AY98" s="514" t="n"/>
      <c r="AZ98" s="514" t="n"/>
      <c r="BA98" s="510">
        <f>SUM(AV98:AZ98)</f>
        <v/>
      </c>
      <c r="BB98" s="511" t="n"/>
      <c r="BC98" s="512" t="n"/>
      <c r="BD98" s="512" t="n"/>
      <c r="BE98" s="512" t="n"/>
      <c r="BF98" s="510">
        <f>SUM(BB98:BE98)</f>
        <v/>
      </c>
      <c r="BG98" s="518" t="n"/>
      <c r="BH98" s="519">
        <f>H98+M98+AE98+AJ98+AU98+BA98+BF98</f>
        <v/>
      </c>
      <c r="BI98" s="528">
        <f>IF(E98-BH98&lt;0, BH98-E98, )</f>
        <v/>
      </c>
      <c r="BJ98" s="529">
        <f>IF(E98-BH98&lt;0, ,E98-BH98)</f>
        <v/>
      </c>
      <c r="BK98" s="530" t="n"/>
      <c r="BM98" s="523" t="n"/>
      <c r="BN98" s="523" t="n"/>
      <c r="BO98" s="523" t="n"/>
      <c r="BP98" s="523" t="n"/>
      <c r="BQ98" s="523" t="n"/>
      <c r="BR98" s="523" t="n"/>
      <c r="BS98" s="523" t="n"/>
      <c r="BT98" s="518">
        <f>SUM(BM98:BS98)</f>
        <v/>
      </c>
      <c r="BU98" s="518" t="n"/>
      <c r="BV98" s="523" t="n"/>
      <c r="BW98" s="523" t="n"/>
      <c r="BX98" s="523" t="n"/>
      <c r="BY98" s="523" t="n"/>
      <c r="BZ98" s="523" t="n"/>
      <c r="CA98" s="523" t="n"/>
      <c r="CB98" s="523" t="n"/>
      <c r="CC98" s="518">
        <f>SUM(BV98:CB98)</f>
        <v/>
      </c>
      <c r="CD98" s="518" t="n"/>
      <c r="CE98" s="523" t="n"/>
      <c r="CF98" s="523" t="n"/>
      <c r="CG98" s="523" t="n"/>
      <c r="CH98" s="523" t="n"/>
      <c r="CI98" s="523" t="n"/>
      <c r="CJ98" s="523" t="n"/>
      <c r="CK98" s="523" t="n"/>
      <c r="CL98" s="518">
        <f>SUM(CE98:CK98)</f>
        <v/>
      </c>
      <c r="CN98" s="525">
        <f>+H98-(BM98+BV98+CE98)</f>
        <v/>
      </c>
      <c r="CO98" s="525">
        <f>+M98-(BN98+BW98+CF98)</f>
        <v/>
      </c>
      <c r="CP98" s="525">
        <f>+AE98-(BO98+BX98+CG98)</f>
        <v/>
      </c>
      <c r="CQ98" s="525">
        <f>+AJ98-(BP98+BY98+CH98)</f>
        <v/>
      </c>
      <c r="CR98" s="525">
        <f>+AU98-(BQ98+BZ98+CI98)</f>
        <v/>
      </c>
      <c r="CS98" s="525">
        <f>+BA98-(BR98+CA98+CJ98)</f>
        <v/>
      </c>
      <c r="CT98" s="525">
        <f>+BF98-(BS98+CB98+CK98)</f>
        <v/>
      </c>
      <c r="CU98" s="525">
        <f>BT98+CC98+CL98</f>
        <v/>
      </c>
      <c r="CV98" s="525">
        <f>SUM(CN98:CT98)</f>
        <v/>
      </c>
    </row>
    <row r="99" ht="21" customFormat="1" customHeight="1" s="230">
      <c r="A99" s="453" t="n">
        <v>5411070</v>
      </c>
      <c r="B99" s="309" t="n"/>
      <c r="C99" s="287" t="inlineStr">
        <is>
          <t>CONECTOR DE DERIVACION DE COBRE ESTAÑADO TP.CUÑA P.CONDUCTOR DE COBRE 70 / 16MM2</t>
        </is>
      </c>
      <c r="D99" s="288" t="n">
        <v>8.848000000000001</v>
      </c>
      <c r="E99" s="507" t="n"/>
      <c r="F99" s="526" t="n"/>
      <c r="G99" s="527" t="n"/>
      <c r="H99" s="510" t="n"/>
      <c r="I99" s="511" t="n"/>
      <c r="J99" s="512" t="n"/>
      <c r="K99" s="512" t="n"/>
      <c r="L99" s="513" t="n"/>
      <c r="M99" s="510" t="n"/>
      <c r="N99" s="526" t="n"/>
      <c r="O99" s="512" t="n"/>
      <c r="P99" s="512" t="n"/>
      <c r="Q99" s="512" t="n"/>
      <c r="R99" s="512" t="n"/>
      <c r="S99" s="512" t="n"/>
      <c r="T99" s="512" t="n"/>
      <c r="U99" s="512" t="n"/>
      <c r="V99" s="512" t="n"/>
      <c r="W99" s="512" t="n"/>
      <c r="X99" s="512" t="n"/>
      <c r="Y99" s="512" t="n"/>
      <c r="Z99" s="512" t="n"/>
      <c r="AA99" s="512" t="n"/>
      <c r="AB99" s="512" t="n"/>
      <c r="AC99" s="512" t="n"/>
      <c r="AD99" s="512" t="n"/>
      <c r="AE99" s="510" t="n"/>
      <c r="AF99" s="511" t="n"/>
      <c r="AG99" s="512" t="n"/>
      <c r="AH99" s="512" t="n"/>
      <c r="AI99" s="513" t="n"/>
      <c r="AJ99" s="510" t="n"/>
      <c r="AK99" s="513" t="n"/>
      <c r="AL99" s="513" t="n"/>
      <c r="AM99" s="513" t="n"/>
      <c r="AN99" s="513" t="n"/>
      <c r="AO99" s="513" t="n"/>
      <c r="AP99" s="513" t="n"/>
      <c r="AQ99" s="513" t="n"/>
      <c r="AR99" s="513" t="n"/>
      <c r="AS99" s="513" t="n"/>
      <c r="AT99" s="513" t="n"/>
      <c r="AU99" s="510" t="n"/>
      <c r="AV99" s="527" t="n"/>
      <c r="AW99" s="514" t="n"/>
      <c r="AX99" s="514" t="n"/>
      <c r="AY99" s="514" t="n"/>
      <c r="AZ99" s="514" t="n"/>
      <c r="BA99" s="510">
        <f>SUM(AV99:AZ99)</f>
        <v/>
      </c>
      <c r="BB99" s="511" t="n"/>
      <c r="BC99" s="512" t="n"/>
      <c r="BD99" s="512" t="n"/>
      <c r="BE99" s="512" t="n"/>
      <c r="BF99" s="510">
        <f>SUM(BB99:BE99)</f>
        <v/>
      </c>
      <c r="BG99" s="518" t="n"/>
      <c r="BH99" s="519">
        <f>H99+M99+AE99+AJ99+AU99+BA99+BF99</f>
        <v/>
      </c>
      <c r="BI99" s="528">
        <f>IF(E99-BH99&lt;0, BH99-E99, )</f>
        <v/>
      </c>
      <c r="BJ99" s="529">
        <f>IF(E99-BH99&lt;0, ,E99-BH99)</f>
        <v/>
      </c>
      <c r="BK99" s="530" t="n"/>
      <c r="BM99" s="523" t="n"/>
      <c r="BN99" s="523" t="n"/>
      <c r="BO99" s="523" t="n"/>
      <c r="BP99" s="523" t="n"/>
      <c r="BQ99" s="523" t="n"/>
      <c r="BR99" s="523" t="n"/>
      <c r="BS99" s="523" t="n"/>
      <c r="BT99" s="518">
        <f>SUM(BM99:BS99)</f>
        <v/>
      </c>
      <c r="BU99" s="518" t="n"/>
      <c r="BV99" s="523" t="n"/>
      <c r="BW99" s="523" t="n"/>
      <c r="BX99" s="523" t="n"/>
      <c r="BY99" s="523" t="n"/>
      <c r="BZ99" s="523" t="n"/>
      <c r="CA99" s="523" t="n"/>
      <c r="CB99" s="523" t="n"/>
      <c r="CC99" s="518">
        <f>SUM(BV99:CB99)</f>
        <v/>
      </c>
      <c r="CD99" s="518" t="n"/>
      <c r="CE99" s="523" t="n"/>
      <c r="CF99" s="523" t="n"/>
      <c r="CG99" s="523" t="n"/>
      <c r="CH99" s="523" t="n"/>
      <c r="CI99" s="523" t="n"/>
      <c r="CJ99" s="523" t="n"/>
      <c r="CK99" s="523" t="n"/>
      <c r="CL99" s="518">
        <f>SUM(CE99:CK99)</f>
        <v/>
      </c>
      <c r="CN99" s="525">
        <f>+H99-(BM99+BV99+CE99)</f>
        <v/>
      </c>
      <c r="CO99" s="525">
        <f>+M99-(BN99+BW99+CF99)</f>
        <v/>
      </c>
      <c r="CP99" s="525">
        <f>+AE99-(BO99+BX99+CG99)</f>
        <v/>
      </c>
      <c r="CQ99" s="525">
        <f>+AJ99-(BP99+BY99+CH99)</f>
        <v/>
      </c>
      <c r="CR99" s="525">
        <f>+AU99-(BQ99+BZ99+CI99)</f>
        <v/>
      </c>
      <c r="CS99" s="525">
        <f>+BA99-(BR99+CA99+CJ99)</f>
        <v/>
      </c>
      <c r="CT99" s="525">
        <f>+BF99-(BS99+CB99+CK99)</f>
        <v/>
      </c>
      <c r="CU99" s="525">
        <f>BT99+CC99+CL99</f>
        <v/>
      </c>
      <c r="CV99" s="525">
        <f>SUM(CN99:CT99)</f>
        <v/>
      </c>
    </row>
    <row r="100" ht="21" customFormat="1" customHeight="1" s="230">
      <c r="A100" s="453" t="n">
        <v>5111221</v>
      </c>
      <c r="B100" s="309" t="n"/>
      <c r="C100" s="287" t="inlineStr">
        <is>
          <t>EMPALME DERECHO DERIVACION UNIPOLAR AUTOFUNDENTE P.CABLE SECO 6-120 / 10-120MM2 CONEX. TRIFASICA BT</t>
        </is>
      </c>
      <c r="D100" s="288" t="e">
        <v>#N/A</v>
      </c>
      <c r="E100" s="507" t="n"/>
      <c r="F100" s="526" t="n"/>
      <c r="G100" s="527" t="n"/>
      <c r="H100" s="510" t="n"/>
      <c r="I100" s="511" t="n"/>
      <c r="J100" s="512" t="n"/>
      <c r="K100" s="512" t="n"/>
      <c r="L100" s="513" t="n"/>
      <c r="M100" s="510" t="n"/>
      <c r="N100" s="526" t="n"/>
      <c r="O100" s="512" t="n"/>
      <c r="P100" s="512" t="n"/>
      <c r="Q100" s="512" t="n"/>
      <c r="R100" s="512" t="n"/>
      <c r="S100" s="512" t="n"/>
      <c r="T100" s="512" t="n"/>
      <c r="U100" s="512" t="n"/>
      <c r="V100" s="512" t="n"/>
      <c r="W100" s="512" t="n"/>
      <c r="X100" s="512" t="n"/>
      <c r="Y100" s="512" t="n"/>
      <c r="Z100" s="512" t="n"/>
      <c r="AA100" s="512" t="n"/>
      <c r="AB100" s="512" t="n"/>
      <c r="AC100" s="512" t="n"/>
      <c r="AD100" s="512" t="n"/>
      <c r="AE100" s="510" t="n"/>
      <c r="AF100" s="511" t="n"/>
      <c r="AG100" s="512" t="n"/>
      <c r="AH100" s="512" t="n"/>
      <c r="AI100" s="513" t="n"/>
      <c r="AJ100" s="510" t="n"/>
      <c r="AK100" s="513" t="n"/>
      <c r="AL100" s="513" t="n"/>
      <c r="AM100" s="513" t="n"/>
      <c r="AN100" s="513" t="n"/>
      <c r="AO100" s="513" t="n"/>
      <c r="AP100" s="513" t="n"/>
      <c r="AQ100" s="513" t="n"/>
      <c r="AR100" s="513" t="n"/>
      <c r="AS100" s="513" t="n"/>
      <c r="AT100" s="513" t="n"/>
      <c r="AU100" s="510" t="n"/>
      <c r="AV100" s="527" t="n"/>
      <c r="AW100" s="514" t="n"/>
      <c r="AX100" s="514" t="n"/>
      <c r="AY100" s="514" t="n"/>
      <c r="AZ100" s="514" t="n"/>
      <c r="BA100" s="510">
        <f>SUM(AV100:AZ100)</f>
        <v/>
      </c>
      <c r="BB100" s="511" t="n"/>
      <c r="BC100" s="512" t="n"/>
      <c r="BD100" s="512" t="n"/>
      <c r="BE100" s="512" t="n"/>
      <c r="BF100" s="510">
        <f>SUM(BB100:BE100)</f>
        <v/>
      </c>
      <c r="BG100" s="518" t="n"/>
      <c r="BH100" s="519">
        <f>H100+M100+AE100+AJ100+AU100+BA100+BF100</f>
        <v/>
      </c>
      <c r="BI100" s="528">
        <f>IF(E100-BH100&lt;0, BH100-E100, )</f>
        <v/>
      </c>
      <c r="BJ100" s="529">
        <f>IF(E100-BH100&lt;0, ,E100-BH100)</f>
        <v/>
      </c>
      <c r="BK100" s="530" t="n"/>
      <c r="BM100" s="523" t="n"/>
      <c r="BN100" s="523" t="n"/>
      <c r="BO100" s="523" t="n"/>
      <c r="BP100" s="523" t="n"/>
      <c r="BQ100" s="523" t="n"/>
      <c r="BR100" s="523" t="n"/>
      <c r="BS100" s="523" t="n"/>
      <c r="BT100" s="518">
        <f>SUM(BM100:BS100)</f>
        <v/>
      </c>
      <c r="BU100" s="518" t="n"/>
      <c r="BV100" s="523" t="n"/>
      <c r="BW100" s="523" t="n"/>
      <c r="BX100" s="523" t="n"/>
      <c r="BY100" s="523" t="n"/>
      <c r="BZ100" s="523" t="n"/>
      <c r="CA100" s="523" t="n"/>
      <c r="CB100" s="523" t="n"/>
      <c r="CC100" s="518">
        <f>SUM(BV100:CB100)</f>
        <v/>
      </c>
      <c r="CD100" s="518" t="n"/>
      <c r="CE100" s="523" t="n"/>
      <c r="CF100" s="523" t="n"/>
      <c r="CG100" s="523" t="n"/>
      <c r="CH100" s="523" t="n"/>
      <c r="CI100" s="523" t="n"/>
      <c r="CJ100" s="523" t="n"/>
      <c r="CK100" s="523" t="n"/>
      <c r="CL100" s="518">
        <f>SUM(CE100:CK100)</f>
        <v/>
      </c>
      <c r="CN100" s="525">
        <f>+H100-(BM100+BV100+CE100)</f>
        <v/>
      </c>
      <c r="CO100" s="525">
        <f>+M100-(BN100+BW100+CF100)</f>
        <v/>
      </c>
      <c r="CP100" s="525">
        <f>+AE100-(BO100+BX100+CG100)</f>
        <v/>
      </c>
      <c r="CQ100" s="525">
        <f>+AJ100-(BP100+BY100+CH100)</f>
        <v/>
      </c>
      <c r="CR100" s="525">
        <f>+AU100-(BQ100+BZ100+CI100)</f>
        <v/>
      </c>
      <c r="CS100" s="525">
        <f>+BA100-(BR100+CA100+CJ100)</f>
        <v/>
      </c>
      <c r="CT100" s="525">
        <f>+BF100-(BS100+CB100+CK100)</f>
        <v/>
      </c>
      <c r="CU100" s="525">
        <f>BT100+CC100+CL100</f>
        <v/>
      </c>
      <c r="CV100" s="525">
        <f>SUM(CN100:CT100)</f>
        <v/>
      </c>
    </row>
    <row r="101" ht="21" customFormat="1" customHeight="1" s="230">
      <c r="A101" s="453" t="n"/>
      <c r="B101" s="309" t="n"/>
      <c r="C101" s="287">
        <f>IF($A101=0,"",(VLOOKUP(A101,[3]MAT!$B$5:$D$4756,3,FALSE)))</f>
        <v/>
      </c>
      <c r="D101" s="288" t="inlineStr"/>
      <c r="E101" s="507" t="n"/>
      <c r="F101" s="526" t="n"/>
      <c r="G101" s="527" t="n"/>
      <c r="H101" s="510" t="n"/>
      <c r="I101" s="511" t="n"/>
      <c r="J101" s="512" t="n"/>
      <c r="K101" s="512" t="n"/>
      <c r="L101" s="513" t="n"/>
      <c r="M101" s="510" t="n"/>
      <c r="N101" s="526" t="n"/>
      <c r="O101" s="512" t="n"/>
      <c r="P101" s="512" t="n"/>
      <c r="Q101" s="512" t="n"/>
      <c r="R101" s="512" t="n"/>
      <c r="S101" s="512" t="n"/>
      <c r="T101" s="512" t="n"/>
      <c r="U101" s="512" t="n"/>
      <c r="V101" s="512" t="n"/>
      <c r="W101" s="512" t="n"/>
      <c r="X101" s="512" t="n"/>
      <c r="Y101" s="512" t="n"/>
      <c r="Z101" s="512" t="n"/>
      <c r="AA101" s="512" t="n"/>
      <c r="AB101" s="512" t="n"/>
      <c r="AC101" s="512" t="n"/>
      <c r="AD101" s="512" t="n"/>
      <c r="AE101" s="510" t="n"/>
      <c r="AF101" s="511" t="n"/>
      <c r="AG101" s="512" t="n"/>
      <c r="AH101" s="512" t="n"/>
      <c r="AI101" s="513" t="n"/>
      <c r="AJ101" s="510" t="n"/>
      <c r="AK101" s="513" t="n"/>
      <c r="AL101" s="513" t="n"/>
      <c r="AM101" s="513" t="n"/>
      <c r="AN101" s="513" t="n"/>
      <c r="AO101" s="513" t="n"/>
      <c r="AP101" s="513" t="n"/>
      <c r="AQ101" s="513" t="n"/>
      <c r="AR101" s="513" t="n"/>
      <c r="AS101" s="513" t="n"/>
      <c r="AT101" s="513" t="n"/>
      <c r="AU101" s="510" t="n"/>
      <c r="AV101" s="527" t="n"/>
      <c r="AW101" s="514" t="n"/>
      <c r="AX101" s="514" t="n"/>
      <c r="AY101" s="514" t="n"/>
      <c r="AZ101" s="514" t="n"/>
      <c r="BA101" s="510">
        <f>SUM(AV101:AZ101)</f>
        <v/>
      </c>
      <c r="BB101" s="511" t="n"/>
      <c r="BC101" s="512" t="n"/>
      <c r="BD101" s="512" t="n"/>
      <c r="BE101" s="512" t="n"/>
      <c r="BF101" s="510">
        <f>SUM(BB101:BE101)</f>
        <v/>
      </c>
      <c r="BG101" s="518" t="n"/>
      <c r="BH101" s="519">
        <f>H101+M101+AE101+AJ101+AU101+BA101+BF101</f>
        <v/>
      </c>
      <c r="BI101" s="528">
        <f>IF(E101-BH101&lt;0, BH101-E101, )</f>
        <v/>
      </c>
      <c r="BJ101" s="529">
        <f>IF(E101-BH101&lt;0, ,E101-BH101)</f>
        <v/>
      </c>
      <c r="BK101" s="530" t="n"/>
      <c r="BM101" s="523" t="n"/>
      <c r="BN101" s="523" t="n"/>
      <c r="BO101" s="523" t="n"/>
      <c r="BP101" s="523" t="n"/>
      <c r="BQ101" s="523" t="n"/>
      <c r="BR101" s="523" t="n"/>
      <c r="BS101" s="523" t="n"/>
      <c r="BT101" s="518">
        <f>SUM(BM101:BS101)</f>
        <v/>
      </c>
      <c r="BU101" s="518" t="n"/>
      <c r="BV101" s="523" t="n"/>
      <c r="BW101" s="523" t="n"/>
      <c r="BX101" s="523" t="n"/>
      <c r="BY101" s="523" t="n"/>
      <c r="BZ101" s="523" t="n"/>
      <c r="CA101" s="523" t="n"/>
      <c r="CB101" s="523" t="n"/>
      <c r="CC101" s="518">
        <f>SUM(BV101:CB101)</f>
        <v/>
      </c>
      <c r="CD101" s="518" t="n"/>
      <c r="CE101" s="523" t="n"/>
      <c r="CF101" s="523" t="n"/>
      <c r="CG101" s="523" t="n"/>
      <c r="CH101" s="523" t="n"/>
      <c r="CI101" s="523" t="n"/>
      <c r="CJ101" s="523" t="n"/>
      <c r="CK101" s="523" t="n"/>
      <c r="CL101" s="518">
        <f>SUM(CE101:CK101)</f>
        <v/>
      </c>
      <c r="CN101" s="525">
        <f>+H101-(BM101+BV101+CE101)</f>
        <v/>
      </c>
      <c r="CO101" s="525">
        <f>+M101-(BN101+BW101+CF101)</f>
        <v/>
      </c>
      <c r="CP101" s="525">
        <f>+AE101-(BO101+BX101+CG101)</f>
        <v/>
      </c>
      <c r="CQ101" s="525">
        <f>+AJ101-(BP101+BY101+CH101)</f>
        <v/>
      </c>
      <c r="CR101" s="525">
        <f>+AU101-(BQ101+BZ101+CI101)</f>
        <v/>
      </c>
      <c r="CS101" s="525">
        <f>+BA101-(BR101+CA101+CJ101)</f>
        <v/>
      </c>
      <c r="CT101" s="525">
        <f>+BF101-(BS101+CB101+CK101)</f>
        <v/>
      </c>
      <c r="CU101" s="525">
        <f>BT101+CC101+CL101</f>
        <v/>
      </c>
      <c r="CV101" s="525">
        <f>SUM(CN101:CT101)</f>
        <v/>
      </c>
    </row>
    <row r="102" ht="21" customFormat="1" customHeight="1" s="230">
      <c r="A102" s="453" t="n"/>
      <c r="B102" s="309" t="n"/>
      <c r="C102" s="287">
        <f>IF($A102=0,"",(VLOOKUP(A102,[3]MAT!$B$5:$D$4756,3,FALSE)))</f>
        <v/>
      </c>
      <c r="D102" s="288" t="inlineStr"/>
      <c r="E102" s="507" t="n"/>
      <c r="F102" s="526" t="n"/>
      <c r="G102" s="527" t="n"/>
      <c r="H102" s="510" t="n"/>
      <c r="I102" s="511" t="n"/>
      <c r="J102" s="512" t="n"/>
      <c r="K102" s="512" t="n"/>
      <c r="L102" s="513" t="n"/>
      <c r="M102" s="510" t="n"/>
      <c r="N102" s="526" t="n"/>
      <c r="O102" s="512" t="n"/>
      <c r="P102" s="512" t="n"/>
      <c r="Q102" s="512" t="n"/>
      <c r="R102" s="512" t="n"/>
      <c r="S102" s="512" t="n"/>
      <c r="T102" s="512" t="n"/>
      <c r="U102" s="512" t="n"/>
      <c r="V102" s="512" t="n"/>
      <c r="W102" s="512" t="n"/>
      <c r="X102" s="512" t="n"/>
      <c r="Y102" s="512" t="n"/>
      <c r="Z102" s="512" t="n"/>
      <c r="AA102" s="512" t="n"/>
      <c r="AB102" s="512" t="n"/>
      <c r="AC102" s="512" t="n"/>
      <c r="AD102" s="512" t="n"/>
      <c r="AE102" s="510" t="n"/>
      <c r="AF102" s="511" t="n"/>
      <c r="AG102" s="512" t="n"/>
      <c r="AH102" s="512" t="n"/>
      <c r="AI102" s="513" t="n"/>
      <c r="AJ102" s="510" t="n"/>
      <c r="AK102" s="513" t="n"/>
      <c r="AL102" s="513" t="n"/>
      <c r="AM102" s="513" t="n"/>
      <c r="AN102" s="513" t="n"/>
      <c r="AO102" s="513" t="n"/>
      <c r="AP102" s="513" t="n"/>
      <c r="AQ102" s="513" t="n"/>
      <c r="AR102" s="513" t="n"/>
      <c r="AS102" s="513" t="n"/>
      <c r="AT102" s="513" t="n"/>
      <c r="AU102" s="510" t="n"/>
      <c r="AV102" s="527" t="n"/>
      <c r="AW102" s="514" t="n"/>
      <c r="AX102" s="514" t="n"/>
      <c r="AY102" s="514" t="n"/>
      <c r="AZ102" s="514" t="n"/>
      <c r="BA102" s="510">
        <f>SUM(AV102:AZ102)</f>
        <v/>
      </c>
      <c r="BB102" s="511" t="n"/>
      <c r="BC102" s="512" t="n"/>
      <c r="BD102" s="512" t="n"/>
      <c r="BE102" s="512" t="n"/>
      <c r="BF102" s="510">
        <f>SUM(BB102:BE102)</f>
        <v/>
      </c>
      <c r="BG102" s="518" t="n"/>
      <c r="BH102" s="519">
        <f>H102+M102+AE102+AJ102+AU102+BA102+BF102</f>
        <v/>
      </c>
      <c r="BI102" s="528">
        <f>IF(E102-BH102&lt;0, BH102-E102, )</f>
        <v/>
      </c>
      <c r="BJ102" s="529">
        <f>IF(E102-BH102&lt;0, ,E102-BH102)</f>
        <v/>
      </c>
      <c r="BK102" s="530" t="n"/>
      <c r="BM102" s="523" t="n"/>
      <c r="BN102" s="523" t="n"/>
      <c r="BO102" s="523" t="n"/>
      <c r="BP102" s="523" t="n"/>
      <c r="BQ102" s="523" t="n"/>
      <c r="BR102" s="523" t="n"/>
      <c r="BS102" s="523" t="n"/>
      <c r="BT102" s="518">
        <f>SUM(BM102:BS102)</f>
        <v/>
      </c>
      <c r="BU102" s="518" t="n"/>
      <c r="BV102" s="523" t="n"/>
      <c r="BW102" s="523" t="n"/>
      <c r="BX102" s="523" t="n"/>
      <c r="BY102" s="523" t="n"/>
      <c r="BZ102" s="523" t="n"/>
      <c r="CA102" s="523" t="n"/>
      <c r="CB102" s="523" t="n"/>
      <c r="CC102" s="518">
        <f>SUM(BV102:CB102)</f>
        <v/>
      </c>
      <c r="CD102" s="518" t="n"/>
      <c r="CE102" s="523" t="n"/>
      <c r="CF102" s="523" t="n"/>
      <c r="CG102" s="523" t="n"/>
      <c r="CH102" s="523" t="n"/>
      <c r="CI102" s="523" t="n"/>
      <c r="CJ102" s="523" t="n"/>
      <c r="CK102" s="523" t="n"/>
      <c r="CL102" s="518">
        <f>SUM(CE102:CK102)</f>
        <v/>
      </c>
      <c r="CN102" s="525">
        <f>+H102-(BM102+BV102+CE102)</f>
        <v/>
      </c>
      <c r="CO102" s="525">
        <f>+M102-(BN102+BW102+CF102)</f>
        <v/>
      </c>
      <c r="CP102" s="525">
        <f>+AE102-(BO102+BX102+CG102)</f>
        <v/>
      </c>
      <c r="CQ102" s="525">
        <f>+AJ102-(BP102+BY102+CH102)</f>
        <v/>
      </c>
      <c r="CR102" s="525">
        <f>+AU102-(BQ102+BZ102+CI102)</f>
        <v/>
      </c>
      <c r="CS102" s="525">
        <f>+BA102-(BR102+CA102+CJ102)</f>
        <v/>
      </c>
      <c r="CT102" s="525">
        <f>+BF102-(BS102+CB102+CK102)</f>
        <v/>
      </c>
      <c r="CU102" s="525">
        <f>BT102+CC102+CL102</f>
        <v/>
      </c>
      <c r="CV102" s="525">
        <f>SUM(CN102:CT102)</f>
        <v/>
      </c>
    </row>
    <row r="103" ht="21" customFormat="1" customHeight="1" s="230">
      <c r="A103" s="453" t="n"/>
      <c r="B103" s="309" t="n"/>
      <c r="C103" s="287">
        <f>IF($A103=0,"",(VLOOKUP(A103,[3]MAT!$B$5:$D$4756,3,FALSE)))</f>
        <v/>
      </c>
      <c r="D103" s="288" t="inlineStr"/>
      <c r="E103" s="507" t="n"/>
      <c r="F103" s="526" t="n"/>
      <c r="G103" s="527" t="n"/>
      <c r="H103" s="510" t="n"/>
      <c r="I103" s="511" t="n"/>
      <c r="J103" s="512" t="n"/>
      <c r="K103" s="512" t="n"/>
      <c r="L103" s="513" t="n"/>
      <c r="M103" s="510" t="n"/>
      <c r="N103" s="526" t="n"/>
      <c r="O103" s="512" t="n"/>
      <c r="P103" s="512" t="n"/>
      <c r="Q103" s="512" t="n"/>
      <c r="R103" s="512" t="n"/>
      <c r="S103" s="512" t="n"/>
      <c r="T103" s="512" t="n"/>
      <c r="U103" s="512" t="n"/>
      <c r="V103" s="512" t="n"/>
      <c r="W103" s="512" t="n"/>
      <c r="X103" s="512" t="n"/>
      <c r="Y103" s="512" t="n"/>
      <c r="Z103" s="512" t="n"/>
      <c r="AA103" s="512" t="n"/>
      <c r="AB103" s="512" t="n"/>
      <c r="AC103" s="512" t="n"/>
      <c r="AD103" s="512" t="n"/>
      <c r="AE103" s="510" t="n"/>
      <c r="AF103" s="511" t="n"/>
      <c r="AG103" s="512" t="n"/>
      <c r="AH103" s="512" t="n"/>
      <c r="AI103" s="513" t="n"/>
      <c r="AJ103" s="510" t="n"/>
      <c r="AK103" s="513" t="n"/>
      <c r="AL103" s="513" t="n"/>
      <c r="AM103" s="513" t="n"/>
      <c r="AN103" s="513" t="n"/>
      <c r="AO103" s="513" t="n"/>
      <c r="AP103" s="513" t="n"/>
      <c r="AQ103" s="513" t="n"/>
      <c r="AR103" s="513" t="n"/>
      <c r="AS103" s="513" t="n"/>
      <c r="AT103" s="513" t="n"/>
      <c r="AU103" s="510" t="n"/>
      <c r="AV103" s="527" t="n"/>
      <c r="AW103" s="514" t="n"/>
      <c r="AX103" s="514" t="n"/>
      <c r="AY103" s="514" t="n"/>
      <c r="AZ103" s="514" t="n"/>
      <c r="BA103" s="510">
        <f>SUM(AV103:AZ103)</f>
        <v/>
      </c>
      <c r="BB103" s="511" t="n"/>
      <c r="BC103" s="512" t="n"/>
      <c r="BD103" s="512" t="n"/>
      <c r="BE103" s="512" t="n"/>
      <c r="BF103" s="510">
        <f>SUM(BB103:BE103)</f>
        <v/>
      </c>
      <c r="BG103" s="518" t="n"/>
      <c r="BH103" s="519">
        <f>H103+M103+AE103+AJ103+AU103+BA103+BF103</f>
        <v/>
      </c>
      <c r="BI103" s="528">
        <f>IF(E103-BH103&lt;0, BH103-E103, )</f>
        <v/>
      </c>
      <c r="BJ103" s="529">
        <f>IF(E103-BH103&lt;0, ,E103-BH103)</f>
        <v/>
      </c>
      <c r="BK103" s="530" t="n"/>
      <c r="BM103" s="523" t="n"/>
      <c r="BN103" s="523" t="n"/>
      <c r="BO103" s="523" t="n"/>
      <c r="BP103" s="523" t="n"/>
      <c r="BQ103" s="523" t="n"/>
      <c r="BR103" s="523" t="n"/>
      <c r="BS103" s="523" t="n"/>
      <c r="BT103" s="518">
        <f>SUM(BM103:BS103)</f>
        <v/>
      </c>
      <c r="BU103" s="518" t="n"/>
      <c r="BV103" s="523" t="n"/>
      <c r="BW103" s="523" t="n"/>
      <c r="BX103" s="523" t="n"/>
      <c r="BY103" s="523" t="n"/>
      <c r="BZ103" s="523" t="n"/>
      <c r="CA103" s="523" t="n"/>
      <c r="CB103" s="523" t="n"/>
      <c r="CC103" s="518">
        <f>SUM(BV103:CB103)</f>
        <v/>
      </c>
      <c r="CD103" s="518" t="n"/>
      <c r="CE103" s="523" t="n"/>
      <c r="CF103" s="523" t="n"/>
      <c r="CG103" s="523" t="n"/>
      <c r="CH103" s="523" t="n"/>
      <c r="CI103" s="523" t="n"/>
      <c r="CJ103" s="523" t="n"/>
      <c r="CK103" s="523" t="n"/>
      <c r="CL103" s="518">
        <f>SUM(CE103:CK103)</f>
        <v/>
      </c>
      <c r="CN103" s="525">
        <f>+H103-(BM103+BV103+CE103)</f>
        <v/>
      </c>
      <c r="CO103" s="525">
        <f>+M103-(BN103+BW103+CF103)</f>
        <v/>
      </c>
      <c r="CP103" s="525">
        <f>+AE103-(BO103+BX103+CG103)</f>
        <v/>
      </c>
      <c r="CQ103" s="525">
        <f>+AJ103-(BP103+BY103+CH103)</f>
        <v/>
      </c>
      <c r="CR103" s="525">
        <f>+AU103-(BQ103+BZ103+CI103)</f>
        <v/>
      </c>
      <c r="CS103" s="525">
        <f>+BA103-(BR103+CA103+CJ103)</f>
        <v/>
      </c>
      <c r="CT103" s="525">
        <f>+BF103-(BS103+CB103+CK103)</f>
        <v/>
      </c>
      <c r="CU103" s="525">
        <f>BT103+CC103+CL103</f>
        <v/>
      </c>
      <c r="CV103" s="525">
        <f>SUM(CN103:CT103)</f>
        <v/>
      </c>
    </row>
    <row r="104" ht="21" customFormat="1" customHeight="1" s="230">
      <c r="A104" s="453" t="n"/>
      <c r="B104" s="309" t="n"/>
      <c r="C104" s="287">
        <f>IF($A104=0,"",(VLOOKUP(A104,[3]MAT!$B$5:$D$4756,3,FALSE)))</f>
        <v/>
      </c>
      <c r="D104" s="288" t="inlineStr"/>
      <c r="E104" s="507" t="n"/>
      <c r="F104" s="526" t="n"/>
      <c r="G104" s="527" t="n"/>
      <c r="H104" s="510" t="n"/>
      <c r="I104" s="511" t="n"/>
      <c r="J104" s="512" t="n"/>
      <c r="K104" s="512" t="n"/>
      <c r="L104" s="513" t="n"/>
      <c r="M104" s="510" t="n"/>
      <c r="N104" s="526" t="n"/>
      <c r="O104" s="512" t="n"/>
      <c r="P104" s="512" t="n"/>
      <c r="Q104" s="512" t="n"/>
      <c r="R104" s="512" t="n"/>
      <c r="S104" s="512" t="n"/>
      <c r="T104" s="512" t="n"/>
      <c r="U104" s="512" t="n"/>
      <c r="V104" s="512" t="n"/>
      <c r="W104" s="512" t="n"/>
      <c r="X104" s="512" t="n"/>
      <c r="Y104" s="512" t="n"/>
      <c r="Z104" s="512" t="n"/>
      <c r="AA104" s="512" t="n"/>
      <c r="AB104" s="512" t="n"/>
      <c r="AC104" s="512" t="n"/>
      <c r="AD104" s="512" t="n"/>
      <c r="AE104" s="510" t="n"/>
      <c r="AF104" s="511" t="n"/>
      <c r="AG104" s="512" t="n"/>
      <c r="AH104" s="512" t="n"/>
      <c r="AI104" s="513" t="n"/>
      <c r="AJ104" s="510" t="n"/>
      <c r="AK104" s="513" t="n"/>
      <c r="AL104" s="513" t="n"/>
      <c r="AM104" s="513" t="n"/>
      <c r="AN104" s="513" t="n"/>
      <c r="AO104" s="513" t="n"/>
      <c r="AP104" s="513" t="n"/>
      <c r="AQ104" s="513" t="n"/>
      <c r="AR104" s="513" t="n"/>
      <c r="AS104" s="513" t="n"/>
      <c r="AT104" s="513" t="n"/>
      <c r="AU104" s="510" t="n"/>
      <c r="AV104" s="527" t="n"/>
      <c r="AW104" s="514" t="n"/>
      <c r="AX104" s="514" t="n"/>
      <c r="AY104" s="514" t="n"/>
      <c r="AZ104" s="514" t="n"/>
      <c r="BA104" s="510">
        <f>SUM(AV104:AZ104)</f>
        <v/>
      </c>
      <c r="BB104" s="511" t="n"/>
      <c r="BC104" s="512" t="n"/>
      <c r="BD104" s="512" t="n"/>
      <c r="BE104" s="512" t="n"/>
      <c r="BF104" s="510">
        <f>SUM(BB104:BE104)</f>
        <v/>
      </c>
      <c r="BG104" s="518" t="n"/>
      <c r="BH104" s="519">
        <f>H104+M104+AE104+AJ104+AU104+BA104+BF104</f>
        <v/>
      </c>
      <c r="BI104" s="528">
        <f>IF(E104-BH104&lt;0, BH104-E104, )</f>
        <v/>
      </c>
      <c r="BJ104" s="529">
        <f>IF(E104-BH104&lt;0, ,E104-BH104)</f>
        <v/>
      </c>
      <c r="BK104" s="530" t="n"/>
      <c r="BM104" s="523" t="n"/>
      <c r="BN104" s="523" t="n"/>
      <c r="BO104" s="523" t="n"/>
      <c r="BP104" s="523" t="n"/>
      <c r="BQ104" s="523" t="n"/>
      <c r="BR104" s="523" t="n"/>
      <c r="BS104" s="523" t="n"/>
      <c r="BT104" s="518">
        <f>SUM(BM104:BS104)</f>
        <v/>
      </c>
      <c r="BU104" s="518" t="n"/>
      <c r="BV104" s="523" t="n"/>
      <c r="BW104" s="523" t="n"/>
      <c r="BX104" s="523" t="n"/>
      <c r="BY104" s="523" t="n"/>
      <c r="BZ104" s="523" t="n"/>
      <c r="CA104" s="523" t="n"/>
      <c r="CB104" s="523" t="n"/>
      <c r="CC104" s="518">
        <f>SUM(BV104:CB104)</f>
        <v/>
      </c>
      <c r="CD104" s="518" t="n"/>
      <c r="CE104" s="523" t="n"/>
      <c r="CF104" s="523" t="n"/>
      <c r="CG104" s="523" t="n"/>
      <c r="CH104" s="523" t="n"/>
      <c r="CI104" s="523" t="n"/>
      <c r="CJ104" s="523" t="n"/>
      <c r="CK104" s="523" t="n"/>
      <c r="CL104" s="518">
        <f>SUM(CE104:CK104)</f>
        <v/>
      </c>
      <c r="CN104" s="525">
        <f>+H104-(BM104+BV104+CE104)</f>
        <v/>
      </c>
      <c r="CO104" s="525">
        <f>+M104-(BN104+BW104+CF104)</f>
        <v/>
      </c>
      <c r="CP104" s="525">
        <f>+AE104-(BO104+BX104+CG104)</f>
        <v/>
      </c>
      <c r="CQ104" s="525">
        <f>+AJ104-(BP104+BY104+CH104)</f>
        <v/>
      </c>
      <c r="CR104" s="525">
        <f>+AU104-(BQ104+BZ104+CI104)</f>
        <v/>
      </c>
      <c r="CS104" s="525">
        <f>+BA104-(BR104+CA104+CJ104)</f>
        <v/>
      </c>
      <c r="CT104" s="525">
        <f>+BF104-(BS104+CB104+CK104)</f>
        <v/>
      </c>
      <c r="CU104" s="525">
        <f>BT104+CC104+CL104</f>
        <v/>
      </c>
      <c r="CV104" s="525">
        <f>SUM(CN104:CT104)</f>
        <v/>
      </c>
    </row>
    <row r="105" ht="21" customFormat="1" customHeight="1" s="230">
      <c r="A105" s="453" t="n"/>
      <c r="B105" s="309" t="n"/>
      <c r="C105" s="287">
        <f>IF($A105=0,"",(VLOOKUP(A105,[3]MAT!$B$5:$D$4756,3,FALSE)))</f>
        <v/>
      </c>
      <c r="D105" s="288" t="inlineStr"/>
      <c r="E105" s="507" t="n"/>
      <c r="F105" s="526" t="n"/>
      <c r="G105" s="527" t="n"/>
      <c r="H105" s="510" t="n"/>
      <c r="I105" s="511" t="n"/>
      <c r="J105" s="512" t="n"/>
      <c r="K105" s="512" t="n"/>
      <c r="L105" s="513" t="n"/>
      <c r="M105" s="510" t="n"/>
      <c r="N105" s="526" t="n"/>
      <c r="O105" s="512" t="n"/>
      <c r="P105" s="512" t="n"/>
      <c r="Q105" s="512" t="n"/>
      <c r="R105" s="512" t="n"/>
      <c r="S105" s="512" t="n"/>
      <c r="T105" s="512" t="n"/>
      <c r="U105" s="512" t="n"/>
      <c r="V105" s="512" t="n"/>
      <c r="W105" s="512" t="n"/>
      <c r="X105" s="512" t="n"/>
      <c r="Y105" s="512" t="n"/>
      <c r="Z105" s="512" t="n"/>
      <c r="AA105" s="512" t="n"/>
      <c r="AB105" s="512" t="n"/>
      <c r="AC105" s="512" t="n"/>
      <c r="AD105" s="512" t="n"/>
      <c r="AE105" s="510" t="n"/>
      <c r="AF105" s="511" t="n"/>
      <c r="AG105" s="512" t="n"/>
      <c r="AH105" s="512" t="n"/>
      <c r="AI105" s="513" t="n"/>
      <c r="AJ105" s="510" t="n"/>
      <c r="AK105" s="513" t="n"/>
      <c r="AL105" s="513" t="n"/>
      <c r="AM105" s="513" t="n"/>
      <c r="AN105" s="513" t="n"/>
      <c r="AO105" s="513" t="n"/>
      <c r="AP105" s="513" t="n"/>
      <c r="AQ105" s="513" t="n"/>
      <c r="AR105" s="513" t="n"/>
      <c r="AS105" s="513" t="n"/>
      <c r="AT105" s="513" t="n"/>
      <c r="AU105" s="510" t="n"/>
      <c r="AV105" s="527" t="n"/>
      <c r="AW105" s="514" t="n"/>
      <c r="AX105" s="514" t="n"/>
      <c r="AY105" s="514" t="n"/>
      <c r="AZ105" s="514" t="n"/>
      <c r="BA105" s="510">
        <f>SUM(AV105:AZ105)</f>
        <v/>
      </c>
      <c r="BB105" s="511" t="n"/>
      <c r="BC105" s="512" t="n"/>
      <c r="BD105" s="512" t="n"/>
      <c r="BE105" s="512" t="n"/>
      <c r="BF105" s="510">
        <f>SUM(BB105:BE105)</f>
        <v/>
      </c>
      <c r="BG105" s="518" t="n"/>
      <c r="BH105" s="519">
        <f>H105+M105+AE105+AJ105+AU105+BA105+BF105</f>
        <v/>
      </c>
      <c r="BI105" s="528">
        <f>IF(E105-BH105&lt;0, BH105-E105, )</f>
        <v/>
      </c>
      <c r="BJ105" s="529">
        <f>IF(E105-BH105&lt;0, ,E105-BH105)</f>
        <v/>
      </c>
      <c r="BK105" s="530" t="n"/>
      <c r="BM105" s="523" t="n"/>
      <c r="BN105" s="523" t="n"/>
      <c r="BO105" s="523" t="n"/>
      <c r="BP105" s="523" t="n"/>
      <c r="BQ105" s="523" t="n"/>
      <c r="BR105" s="523" t="n"/>
      <c r="BS105" s="523" t="n"/>
      <c r="BT105" s="518">
        <f>SUM(BM105:BS105)</f>
        <v/>
      </c>
      <c r="BU105" s="518" t="n"/>
      <c r="BV105" s="523" t="n"/>
      <c r="BW105" s="523" t="n"/>
      <c r="BX105" s="523" t="n"/>
      <c r="BY105" s="523" t="n"/>
      <c r="BZ105" s="523" t="n"/>
      <c r="CA105" s="523" t="n"/>
      <c r="CB105" s="523" t="n"/>
      <c r="CC105" s="518">
        <f>SUM(BV105:CB105)</f>
        <v/>
      </c>
      <c r="CD105" s="518" t="n"/>
      <c r="CE105" s="523" t="n"/>
      <c r="CF105" s="523" t="n"/>
      <c r="CG105" s="523" t="n"/>
      <c r="CH105" s="523" t="n"/>
      <c r="CI105" s="523" t="n"/>
      <c r="CJ105" s="523" t="n"/>
      <c r="CK105" s="523" t="n"/>
      <c r="CL105" s="518">
        <f>SUM(CE105:CK105)</f>
        <v/>
      </c>
      <c r="CN105" s="525">
        <f>+H105-(BM105+BV105+CE105)</f>
        <v/>
      </c>
      <c r="CO105" s="525">
        <f>+M105-(BN105+BW105+CF105)</f>
        <v/>
      </c>
      <c r="CP105" s="525">
        <f>+AE105-(BO105+BX105+CG105)</f>
        <v/>
      </c>
      <c r="CQ105" s="525">
        <f>+AJ105-(BP105+BY105+CH105)</f>
        <v/>
      </c>
      <c r="CR105" s="525">
        <f>+AU105-(BQ105+BZ105+CI105)</f>
        <v/>
      </c>
      <c r="CS105" s="525">
        <f>+BA105-(BR105+CA105+CJ105)</f>
        <v/>
      </c>
      <c r="CT105" s="525">
        <f>+BF105-(BS105+CB105+CK105)</f>
        <v/>
      </c>
      <c r="CU105" s="525">
        <f>BT105+CC105+CL105</f>
        <v/>
      </c>
      <c r="CV105" s="525">
        <f>SUM(CN105:CT105)</f>
        <v/>
      </c>
    </row>
    <row r="106" ht="21" customFormat="1" customHeight="1" s="230">
      <c r="A106" s="453" t="n"/>
      <c r="B106" s="309" t="n"/>
      <c r="C106" s="287">
        <f>IF($A106=0,"",(VLOOKUP(A106,[3]MAT!$B$5:$D$4756,3,FALSE)))</f>
        <v/>
      </c>
      <c r="D106" s="288" t="inlineStr"/>
      <c r="E106" s="507" t="n"/>
      <c r="F106" s="526" t="n"/>
      <c r="G106" s="527" t="n"/>
      <c r="H106" s="510" t="n"/>
      <c r="I106" s="511" t="n"/>
      <c r="J106" s="512" t="n"/>
      <c r="K106" s="512" t="n"/>
      <c r="L106" s="513" t="n"/>
      <c r="M106" s="510" t="n"/>
      <c r="N106" s="526" t="n"/>
      <c r="O106" s="512" t="n"/>
      <c r="P106" s="512" t="n"/>
      <c r="Q106" s="512" t="n"/>
      <c r="R106" s="512" t="n"/>
      <c r="S106" s="512" t="n"/>
      <c r="T106" s="512" t="n"/>
      <c r="U106" s="512" t="n"/>
      <c r="V106" s="512" t="n"/>
      <c r="W106" s="512" t="n"/>
      <c r="X106" s="512" t="n"/>
      <c r="Y106" s="512" t="n"/>
      <c r="Z106" s="512" t="n"/>
      <c r="AA106" s="512" t="n"/>
      <c r="AB106" s="512" t="n"/>
      <c r="AC106" s="512" t="n"/>
      <c r="AD106" s="512" t="n"/>
      <c r="AE106" s="510" t="n"/>
      <c r="AF106" s="511" t="n"/>
      <c r="AG106" s="512" t="n"/>
      <c r="AH106" s="512" t="n"/>
      <c r="AI106" s="513" t="n"/>
      <c r="AJ106" s="510" t="n"/>
      <c r="AK106" s="513" t="n"/>
      <c r="AL106" s="513" t="n"/>
      <c r="AM106" s="513" t="n"/>
      <c r="AN106" s="513" t="n"/>
      <c r="AO106" s="513" t="n"/>
      <c r="AP106" s="513" t="n"/>
      <c r="AQ106" s="513" t="n"/>
      <c r="AR106" s="513" t="n"/>
      <c r="AS106" s="513" t="n"/>
      <c r="AT106" s="513" t="n"/>
      <c r="AU106" s="510" t="n"/>
      <c r="AV106" s="527" t="n"/>
      <c r="AW106" s="514" t="n"/>
      <c r="AX106" s="514" t="n"/>
      <c r="AY106" s="514" t="n"/>
      <c r="AZ106" s="514" t="n"/>
      <c r="BA106" s="510">
        <f>SUM(AV106:AZ106)</f>
        <v/>
      </c>
      <c r="BB106" s="511" t="n"/>
      <c r="BC106" s="512" t="n"/>
      <c r="BD106" s="512" t="n"/>
      <c r="BE106" s="512" t="n"/>
      <c r="BF106" s="510">
        <f>SUM(BB106:BE106)</f>
        <v/>
      </c>
      <c r="BG106" s="518" t="n"/>
      <c r="BH106" s="519">
        <f>H106+M106+AE106+AJ106+AU106+BA106+BF106</f>
        <v/>
      </c>
      <c r="BI106" s="528">
        <f>IF(E106-BH106&lt;0, BH106-E106, )</f>
        <v/>
      </c>
      <c r="BJ106" s="529">
        <f>IF(E106-BH106&lt;0, ,E106-BH106)</f>
        <v/>
      </c>
      <c r="BK106" s="530" t="n"/>
      <c r="BM106" s="523" t="n"/>
      <c r="BN106" s="523" t="n"/>
      <c r="BO106" s="523" t="n"/>
      <c r="BP106" s="523" t="n"/>
      <c r="BQ106" s="523" t="n"/>
      <c r="BR106" s="523" t="n"/>
      <c r="BS106" s="523" t="n"/>
      <c r="BT106" s="518">
        <f>SUM(BM106:BS106)</f>
        <v/>
      </c>
      <c r="BU106" s="518" t="n"/>
      <c r="BV106" s="523" t="n"/>
      <c r="BW106" s="523" t="n"/>
      <c r="BX106" s="523" t="n"/>
      <c r="BY106" s="523" t="n"/>
      <c r="BZ106" s="523" t="n"/>
      <c r="CA106" s="523" t="n"/>
      <c r="CB106" s="523" t="n"/>
      <c r="CC106" s="518">
        <f>SUM(BV106:CB106)</f>
        <v/>
      </c>
      <c r="CD106" s="518" t="n"/>
      <c r="CE106" s="523" t="n"/>
      <c r="CF106" s="523" t="n"/>
      <c r="CG106" s="523" t="n"/>
      <c r="CH106" s="523" t="n"/>
      <c r="CI106" s="523" t="n"/>
      <c r="CJ106" s="523" t="n"/>
      <c r="CK106" s="523" t="n"/>
      <c r="CL106" s="518">
        <f>SUM(CE106:CK106)</f>
        <v/>
      </c>
      <c r="CN106" s="525">
        <f>+H106-(BM106+BV106+CE106)</f>
        <v/>
      </c>
      <c r="CO106" s="525">
        <f>+M106-(BN106+BW106+CF106)</f>
        <v/>
      </c>
      <c r="CP106" s="525">
        <f>+AE106-(BO106+BX106+CG106)</f>
        <v/>
      </c>
      <c r="CQ106" s="525">
        <f>+AJ106-(BP106+BY106+CH106)</f>
        <v/>
      </c>
      <c r="CR106" s="525">
        <f>+AU106-(BQ106+BZ106+CI106)</f>
        <v/>
      </c>
      <c r="CS106" s="525">
        <f>+BA106-(BR106+CA106+CJ106)</f>
        <v/>
      </c>
      <c r="CT106" s="525">
        <f>+BF106-(BS106+CB106+CK106)</f>
        <v/>
      </c>
      <c r="CU106" s="525">
        <f>BT106+CC106+CL106</f>
        <v/>
      </c>
      <c r="CV106" s="525">
        <f>SUM(CN106:CT106)</f>
        <v/>
      </c>
    </row>
    <row r="107" ht="21" customFormat="1" customHeight="1" s="230">
      <c r="A107" s="453" t="n"/>
      <c r="B107" s="309" t="n"/>
      <c r="C107" s="287">
        <f>IF($A107=0,"",(VLOOKUP(A107,[3]MAT!$B$5:$D$4756,3,FALSE)))</f>
        <v/>
      </c>
      <c r="D107" s="288" t="inlineStr"/>
      <c r="E107" s="507" t="n"/>
      <c r="F107" s="526" t="n"/>
      <c r="G107" s="527" t="n"/>
      <c r="H107" s="510" t="n"/>
      <c r="I107" s="511" t="n"/>
      <c r="J107" s="512" t="n"/>
      <c r="K107" s="512" t="n"/>
      <c r="L107" s="513" t="n"/>
      <c r="M107" s="510" t="n"/>
      <c r="N107" s="526" t="n"/>
      <c r="O107" s="512" t="n"/>
      <c r="P107" s="512" t="n"/>
      <c r="Q107" s="512" t="n"/>
      <c r="R107" s="512" t="n"/>
      <c r="S107" s="512" t="n"/>
      <c r="T107" s="512" t="n"/>
      <c r="U107" s="512" t="n"/>
      <c r="V107" s="512" t="n"/>
      <c r="W107" s="512" t="n"/>
      <c r="X107" s="512" t="n"/>
      <c r="Y107" s="512" t="n"/>
      <c r="Z107" s="512" t="n"/>
      <c r="AA107" s="512" t="n"/>
      <c r="AB107" s="512" t="n"/>
      <c r="AC107" s="512" t="n"/>
      <c r="AD107" s="512" t="n"/>
      <c r="AE107" s="510" t="n"/>
      <c r="AF107" s="511" t="n"/>
      <c r="AG107" s="512" t="n"/>
      <c r="AH107" s="512" t="n"/>
      <c r="AI107" s="513" t="n"/>
      <c r="AJ107" s="510" t="n"/>
      <c r="AK107" s="513" t="n"/>
      <c r="AL107" s="513" t="n"/>
      <c r="AM107" s="513" t="n"/>
      <c r="AN107" s="513" t="n"/>
      <c r="AO107" s="513" t="n"/>
      <c r="AP107" s="513" t="n"/>
      <c r="AQ107" s="513" t="n"/>
      <c r="AR107" s="513" t="n"/>
      <c r="AS107" s="513" t="n"/>
      <c r="AT107" s="513" t="n"/>
      <c r="AU107" s="510" t="n"/>
      <c r="AV107" s="527" t="n"/>
      <c r="AW107" s="514" t="n"/>
      <c r="AX107" s="514" t="n"/>
      <c r="AY107" s="514" t="n"/>
      <c r="AZ107" s="514" t="n"/>
      <c r="BA107" s="510">
        <f>SUM(AV107:AZ107)</f>
        <v/>
      </c>
      <c r="BB107" s="511" t="n"/>
      <c r="BC107" s="512" t="n"/>
      <c r="BD107" s="512" t="n"/>
      <c r="BE107" s="512" t="n"/>
      <c r="BF107" s="510">
        <f>SUM(BB107:BE107)</f>
        <v/>
      </c>
      <c r="BG107" s="518" t="n"/>
      <c r="BH107" s="519">
        <f>H107+M107+AE107+AJ107+AU107+BA107+BF107</f>
        <v/>
      </c>
      <c r="BI107" s="528">
        <f>IF(E107-BH107&lt;0, BH107-E107, )</f>
        <v/>
      </c>
      <c r="BJ107" s="529">
        <f>IF(E107-BH107&lt;0, ,E107-BH107)</f>
        <v/>
      </c>
      <c r="BK107" s="530" t="n"/>
      <c r="BM107" s="523" t="n"/>
      <c r="BN107" s="523" t="n"/>
      <c r="BO107" s="523" t="n"/>
      <c r="BP107" s="523" t="n"/>
      <c r="BQ107" s="523" t="n"/>
      <c r="BR107" s="523" t="n"/>
      <c r="BS107" s="523" t="n"/>
      <c r="BT107" s="518">
        <f>SUM(BM107:BS107)</f>
        <v/>
      </c>
      <c r="BU107" s="518" t="n"/>
      <c r="BV107" s="523" t="n"/>
      <c r="BW107" s="523" t="n"/>
      <c r="BX107" s="523" t="n"/>
      <c r="BY107" s="523" t="n"/>
      <c r="BZ107" s="523" t="n"/>
      <c r="CA107" s="523" t="n"/>
      <c r="CB107" s="523" t="n"/>
      <c r="CC107" s="518">
        <f>SUM(BV107:CB107)</f>
        <v/>
      </c>
      <c r="CD107" s="518" t="n"/>
      <c r="CE107" s="523" t="n"/>
      <c r="CF107" s="523" t="n"/>
      <c r="CG107" s="523" t="n"/>
      <c r="CH107" s="523" t="n"/>
      <c r="CI107" s="523" t="n"/>
      <c r="CJ107" s="523" t="n"/>
      <c r="CK107" s="523" t="n"/>
      <c r="CL107" s="518">
        <f>SUM(CE107:CK107)</f>
        <v/>
      </c>
      <c r="CN107" s="525">
        <f>+H107-(BM107+BV107+CE107)</f>
        <v/>
      </c>
      <c r="CO107" s="525">
        <f>+M107-(BN107+BW107+CF107)</f>
        <v/>
      </c>
      <c r="CP107" s="525">
        <f>+AE107-(BO107+BX107+CG107)</f>
        <v/>
      </c>
      <c r="CQ107" s="525">
        <f>+AJ107-(BP107+BY107+CH107)</f>
        <v/>
      </c>
      <c r="CR107" s="525">
        <f>+AU107-(BQ107+BZ107+CI107)</f>
        <v/>
      </c>
      <c r="CS107" s="525">
        <f>+BA107-(BR107+CA107+CJ107)</f>
        <v/>
      </c>
      <c r="CT107" s="525">
        <f>+BF107-(BS107+CB107+CK107)</f>
        <v/>
      </c>
      <c r="CU107" s="525">
        <f>BT107+CC107+CL107</f>
        <v/>
      </c>
      <c r="CV107" s="525">
        <f>SUM(CN107:CT107)</f>
        <v/>
      </c>
    </row>
    <row r="108" ht="21" customFormat="1" customHeight="1" s="230">
      <c r="A108" s="453" t="n"/>
      <c r="B108" s="309" t="n"/>
      <c r="C108" s="287">
        <f>IF($A108=0,"",(VLOOKUP(A108,[3]MAT!$B$5:$D$4756,3,FALSE)))</f>
        <v/>
      </c>
      <c r="D108" s="288" t="inlineStr"/>
      <c r="E108" s="507" t="n"/>
      <c r="F108" s="526" t="n"/>
      <c r="G108" s="527" t="n"/>
      <c r="H108" s="510" t="n"/>
      <c r="I108" s="511" t="n"/>
      <c r="J108" s="512" t="n"/>
      <c r="K108" s="512" t="n"/>
      <c r="L108" s="513" t="n"/>
      <c r="M108" s="510" t="n"/>
      <c r="N108" s="526" t="n"/>
      <c r="O108" s="512" t="n"/>
      <c r="P108" s="512" t="n"/>
      <c r="Q108" s="512" t="n"/>
      <c r="R108" s="512" t="n"/>
      <c r="S108" s="512" t="n"/>
      <c r="T108" s="512" t="n"/>
      <c r="U108" s="512" t="n"/>
      <c r="V108" s="512" t="n"/>
      <c r="W108" s="512" t="n"/>
      <c r="X108" s="512" t="n"/>
      <c r="Y108" s="512" t="n"/>
      <c r="Z108" s="512" t="n"/>
      <c r="AA108" s="512" t="n"/>
      <c r="AB108" s="512" t="n"/>
      <c r="AC108" s="512" t="n"/>
      <c r="AD108" s="512" t="n"/>
      <c r="AE108" s="510" t="n"/>
      <c r="AF108" s="511" t="n"/>
      <c r="AG108" s="512" t="n"/>
      <c r="AH108" s="512" t="n"/>
      <c r="AI108" s="513" t="n"/>
      <c r="AJ108" s="510" t="n"/>
      <c r="AK108" s="513" t="n"/>
      <c r="AL108" s="513" t="n"/>
      <c r="AM108" s="513" t="n"/>
      <c r="AN108" s="513" t="n"/>
      <c r="AO108" s="513" t="n"/>
      <c r="AP108" s="513" t="n"/>
      <c r="AQ108" s="513" t="n"/>
      <c r="AR108" s="513" t="n"/>
      <c r="AS108" s="513" t="n"/>
      <c r="AT108" s="513" t="n"/>
      <c r="AU108" s="510" t="n"/>
      <c r="AV108" s="527" t="n"/>
      <c r="AW108" s="514" t="n"/>
      <c r="AX108" s="514" t="n"/>
      <c r="AY108" s="514" t="n"/>
      <c r="AZ108" s="514" t="n"/>
      <c r="BA108" s="510">
        <f>SUM(AV108:AZ108)</f>
        <v/>
      </c>
      <c r="BB108" s="511" t="n"/>
      <c r="BC108" s="512" t="n"/>
      <c r="BD108" s="512" t="n"/>
      <c r="BE108" s="512" t="n"/>
      <c r="BF108" s="510">
        <f>SUM(BB108:BE108)</f>
        <v/>
      </c>
      <c r="BG108" s="518" t="n"/>
      <c r="BH108" s="519">
        <f>H108+M108+AE108+AJ108+AU108+BA108+BF108</f>
        <v/>
      </c>
      <c r="BI108" s="528">
        <f>IF(E108-BH108&lt;0, BH108-E108, )</f>
        <v/>
      </c>
      <c r="BJ108" s="529">
        <f>IF(E108-BH108&lt;0, ,E108-BH108)</f>
        <v/>
      </c>
      <c r="BK108" s="530" t="n"/>
      <c r="BM108" s="523" t="n"/>
      <c r="BN108" s="523" t="n"/>
      <c r="BO108" s="523" t="n"/>
      <c r="BP108" s="523" t="n"/>
      <c r="BQ108" s="523" t="n"/>
      <c r="BR108" s="523" t="n"/>
      <c r="BS108" s="523" t="n"/>
      <c r="BT108" s="518">
        <f>SUM(BM108:BS108)</f>
        <v/>
      </c>
      <c r="BU108" s="518" t="n"/>
      <c r="BV108" s="523" t="n"/>
      <c r="BW108" s="523" t="n"/>
      <c r="BX108" s="523" t="n"/>
      <c r="BY108" s="523" t="n"/>
      <c r="BZ108" s="523" t="n"/>
      <c r="CA108" s="523" t="n"/>
      <c r="CB108" s="523" t="n"/>
      <c r="CC108" s="518">
        <f>SUM(BV108:CB108)</f>
        <v/>
      </c>
      <c r="CD108" s="518" t="n"/>
      <c r="CE108" s="523" t="n"/>
      <c r="CF108" s="523" t="n"/>
      <c r="CG108" s="523" t="n"/>
      <c r="CH108" s="523" t="n"/>
      <c r="CI108" s="523" t="n"/>
      <c r="CJ108" s="523" t="n"/>
      <c r="CK108" s="523" t="n"/>
      <c r="CL108" s="518">
        <f>SUM(CE108:CK108)</f>
        <v/>
      </c>
      <c r="CN108" s="525">
        <f>+H108-(BM108+BV108+CE108)</f>
        <v/>
      </c>
      <c r="CO108" s="525">
        <f>+M108-(BN108+BW108+CF108)</f>
        <v/>
      </c>
      <c r="CP108" s="525">
        <f>+AE108-(BO108+BX108+CG108)</f>
        <v/>
      </c>
      <c r="CQ108" s="525">
        <f>+AJ108-(BP108+BY108+CH108)</f>
        <v/>
      </c>
      <c r="CR108" s="525">
        <f>+AU108-(BQ108+BZ108+CI108)</f>
        <v/>
      </c>
      <c r="CS108" s="525">
        <f>+BA108-(BR108+CA108+CJ108)</f>
        <v/>
      </c>
      <c r="CT108" s="525">
        <f>+BF108-(BS108+CB108+CK108)</f>
        <v/>
      </c>
      <c r="CU108" s="525">
        <f>BT108+CC108+CL108</f>
        <v/>
      </c>
      <c r="CV108" s="525">
        <f>SUM(CN108:CT108)</f>
        <v/>
      </c>
    </row>
    <row r="109" ht="21" customFormat="1" customHeight="1" s="230">
      <c r="A109" s="453" t="n"/>
      <c r="B109" s="309" t="n"/>
      <c r="C109" s="287">
        <f>IF($A109=0,"",(VLOOKUP(A109,[3]MAT!$B$5:$D$4756,3,FALSE)))</f>
        <v/>
      </c>
      <c r="D109" s="288" t="inlineStr"/>
      <c r="E109" s="507" t="n"/>
      <c r="F109" s="526" t="n"/>
      <c r="G109" s="527" t="n"/>
      <c r="H109" s="510" t="n"/>
      <c r="I109" s="511" t="n"/>
      <c r="J109" s="512" t="n"/>
      <c r="K109" s="512" t="n"/>
      <c r="L109" s="513" t="n"/>
      <c r="M109" s="510" t="n"/>
      <c r="N109" s="526" t="n"/>
      <c r="O109" s="512" t="n"/>
      <c r="P109" s="512" t="n"/>
      <c r="Q109" s="512" t="n"/>
      <c r="R109" s="512" t="n"/>
      <c r="S109" s="512" t="n"/>
      <c r="T109" s="512" t="n"/>
      <c r="U109" s="512" t="n"/>
      <c r="V109" s="512" t="n"/>
      <c r="W109" s="512" t="n"/>
      <c r="X109" s="512" t="n"/>
      <c r="Y109" s="512" t="n"/>
      <c r="Z109" s="512" t="n"/>
      <c r="AA109" s="512" t="n"/>
      <c r="AB109" s="512" t="n"/>
      <c r="AC109" s="512" t="n"/>
      <c r="AD109" s="512" t="n"/>
      <c r="AE109" s="510" t="n"/>
      <c r="AF109" s="511" t="n"/>
      <c r="AG109" s="512" t="n"/>
      <c r="AH109" s="512" t="n"/>
      <c r="AI109" s="513" t="n"/>
      <c r="AJ109" s="510" t="n"/>
      <c r="AK109" s="513" t="n"/>
      <c r="AL109" s="513" t="n"/>
      <c r="AM109" s="513" t="n"/>
      <c r="AN109" s="513" t="n"/>
      <c r="AO109" s="513" t="n"/>
      <c r="AP109" s="513" t="n"/>
      <c r="AQ109" s="513" t="n"/>
      <c r="AR109" s="513" t="n"/>
      <c r="AS109" s="513" t="n"/>
      <c r="AT109" s="513" t="n"/>
      <c r="AU109" s="510" t="n"/>
      <c r="AV109" s="527" t="n"/>
      <c r="AW109" s="514" t="n"/>
      <c r="AX109" s="514" t="n"/>
      <c r="AY109" s="514" t="n"/>
      <c r="AZ109" s="514" t="n"/>
      <c r="BA109" s="510">
        <f>SUM(AV109:AZ109)</f>
        <v/>
      </c>
      <c r="BB109" s="511" t="n"/>
      <c r="BC109" s="512" t="n"/>
      <c r="BD109" s="512" t="n"/>
      <c r="BE109" s="512" t="n"/>
      <c r="BF109" s="510">
        <f>SUM(BB109:BE109)</f>
        <v/>
      </c>
      <c r="BG109" s="518" t="n"/>
      <c r="BH109" s="519">
        <f>H109+M109+AE109+AJ109+AU109+BA109+BF109</f>
        <v/>
      </c>
      <c r="BI109" s="528">
        <f>IF(E109-BH109&lt;0, BH109-E109, )</f>
        <v/>
      </c>
      <c r="BJ109" s="529">
        <f>IF(E109-BH109&lt;0, ,E109-BH109)</f>
        <v/>
      </c>
      <c r="BK109" s="530" t="n"/>
      <c r="BM109" s="523" t="n"/>
      <c r="BN109" s="523" t="n"/>
      <c r="BO109" s="523" t="n"/>
      <c r="BP109" s="523" t="n"/>
      <c r="BQ109" s="523" t="n"/>
      <c r="BR109" s="523" t="n"/>
      <c r="BS109" s="523" t="n"/>
      <c r="BT109" s="518">
        <f>SUM(BM109:BS109)</f>
        <v/>
      </c>
      <c r="BU109" s="518" t="n"/>
      <c r="BV109" s="523" t="n"/>
      <c r="BW109" s="523" t="n"/>
      <c r="BX109" s="523" t="n"/>
      <c r="BY109" s="523" t="n"/>
      <c r="BZ109" s="523" t="n"/>
      <c r="CA109" s="523" t="n"/>
      <c r="CB109" s="523" t="n"/>
      <c r="CC109" s="518">
        <f>SUM(BV109:CB109)</f>
        <v/>
      </c>
      <c r="CD109" s="518" t="n"/>
      <c r="CE109" s="523" t="n"/>
      <c r="CF109" s="523" t="n"/>
      <c r="CG109" s="523" t="n"/>
      <c r="CH109" s="523" t="n"/>
      <c r="CI109" s="523" t="n"/>
      <c r="CJ109" s="523" t="n"/>
      <c r="CK109" s="523" t="n"/>
      <c r="CL109" s="518">
        <f>SUM(CE109:CK109)</f>
        <v/>
      </c>
      <c r="CN109" s="525">
        <f>+H109-(BM109+BV109+CE109)</f>
        <v/>
      </c>
      <c r="CO109" s="525">
        <f>+M109-(BN109+BW109+CF109)</f>
        <v/>
      </c>
      <c r="CP109" s="525">
        <f>+AE109-(BO109+BX109+CG109)</f>
        <v/>
      </c>
      <c r="CQ109" s="525">
        <f>+AJ109-(BP109+BY109+CH109)</f>
        <v/>
      </c>
      <c r="CR109" s="525">
        <f>+AU109-(BQ109+BZ109+CI109)</f>
        <v/>
      </c>
      <c r="CS109" s="525">
        <f>+BA109-(BR109+CA109+CJ109)</f>
        <v/>
      </c>
      <c r="CT109" s="525">
        <f>+BF109-(BS109+CB109+CK109)</f>
        <v/>
      </c>
      <c r="CU109" s="525">
        <f>BT109+CC109+CL109</f>
        <v/>
      </c>
      <c r="CV109" s="525">
        <f>SUM(CN109:CT109)</f>
        <v/>
      </c>
    </row>
    <row r="110" ht="21" customFormat="1" customHeight="1" s="230">
      <c r="A110" s="453" t="n"/>
      <c r="B110" s="309" t="n"/>
      <c r="C110" s="287">
        <f>IF($A110=0,"",(VLOOKUP(A110,[3]MAT!$B$5:$D$4756,3,FALSE)))</f>
        <v/>
      </c>
      <c r="D110" s="288" t="inlineStr"/>
      <c r="E110" s="507" t="n"/>
      <c r="F110" s="526" t="n"/>
      <c r="G110" s="527" t="n"/>
      <c r="H110" s="510" t="n"/>
      <c r="I110" s="511" t="n"/>
      <c r="J110" s="512" t="n"/>
      <c r="K110" s="512" t="n"/>
      <c r="L110" s="513" t="n"/>
      <c r="M110" s="510" t="n"/>
      <c r="N110" s="526" t="n"/>
      <c r="O110" s="512" t="n"/>
      <c r="P110" s="512" t="n"/>
      <c r="Q110" s="512" t="n"/>
      <c r="R110" s="512" t="n"/>
      <c r="S110" s="512" t="n"/>
      <c r="T110" s="512" t="n"/>
      <c r="U110" s="512" t="n"/>
      <c r="V110" s="512" t="n"/>
      <c r="W110" s="512" t="n"/>
      <c r="X110" s="512" t="n"/>
      <c r="Y110" s="512" t="n"/>
      <c r="Z110" s="512" t="n"/>
      <c r="AA110" s="512" t="n"/>
      <c r="AB110" s="512" t="n"/>
      <c r="AC110" s="512" t="n"/>
      <c r="AD110" s="512" t="n"/>
      <c r="AE110" s="510" t="n"/>
      <c r="AF110" s="511" t="n"/>
      <c r="AG110" s="512" t="n"/>
      <c r="AH110" s="512" t="n"/>
      <c r="AI110" s="513" t="n"/>
      <c r="AJ110" s="510" t="n"/>
      <c r="AK110" s="513" t="n"/>
      <c r="AL110" s="513" t="n"/>
      <c r="AM110" s="513" t="n"/>
      <c r="AN110" s="513" t="n"/>
      <c r="AO110" s="513" t="n"/>
      <c r="AP110" s="513" t="n"/>
      <c r="AQ110" s="513" t="n"/>
      <c r="AR110" s="513" t="n"/>
      <c r="AS110" s="513" t="n"/>
      <c r="AT110" s="513" t="n"/>
      <c r="AU110" s="510" t="n"/>
      <c r="AV110" s="527" t="n"/>
      <c r="AW110" s="514" t="n"/>
      <c r="AX110" s="514" t="n"/>
      <c r="AY110" s="514" t="n"/>
      <c r="AZ110" s="514" t="n"/>
      <c r="BA110" s="510">
        <f>SUM(AV110:AZ110)</f>
        <v/>
      </c>
      <c r="BB110" s="511" t="n"/>
      <c r="BC110" s="512" t="n"/>
      <c r="BD110" s="512" t="n"/>
      <c r="BE110" s="512" t="n"/>
      <c r="BF110" s="510">
        <f>SUM(BB110:BE110)</f>
        <v/>
      </c>
      <c r="BG110" s="518" t="n"/>
      <c r="BH110" s="519">
        <f>H110+M110+AE110+AJ110+AU110+BA110+BF110</f>
        <v/>
      </c>
      <c r="BI110" s="528">
        <f>IF(E110-BH110&lt;0, BH110-E110, )</f>
        <v/>
      </c>
      <c r="BJ110" s="529">
        <f>IF(E110-BH110&lt;0, ,E110-BH110)</f>
        <v/>
      </c>
      <c r="BK110" s="530" t="n"/>
      <c r="BM110" s="523" t="n"/>
      <c r="BN110" s="523" t="n"/>
      <c r="BO110" s="523" t="n"/>
      <c r="BP110" s="523" t="n"/>
      <c r="BQ110" s="523" t="n"/>
      <c r="BR110" s="523" t="n"/>
      <c r="BS110" s="523" t="n"/>
      <c r="BT110" s="518">
        <f>SUM(BM110:BS110)</f>
        <v/>
      </c>
      <c r="BU110" s="518" t="n"/>
      <c r="BV110" s="523" t="n"/>
      <c r="BW110" s="523" t="n"/>
      <c r="BX110" s="523" t="n"/>
      <c r="BY110" s="523" t="n"/>
      <c r="BZ110" s="523" t="n"/>
      <c r="CA110" s="523" t="n"/>
      <c r="CB110" s="523" t="n"/>
      <c r="CC110" s="518">
        <f>SUM(BV110:CB110)</f>
        <v/>
      </c>
      <c r="CD110" s="518" t="n"/>
      <c r="CE110" s="523" t="n"/>
      <c r="CF110" s="523" t="n"/>
      <c r="CG110" s="523" t="n"/>
      <c r="CH110" s="523" t="n"/>
      <c r="CI110" s="523" t="n"/>
      <c r="CJ110" s="523" t="n"/>
      <c r="CK110" s="523" t="n"/>
      <c r="CL110" s="518">
        <f>SUM(CE110:CK110)</f>
        <v/>
      </c>
      <c r="CN110" s="525">
        <f>+H110-(BM110+BV110+CE110)</f>
        <v/>
      </c>
      <c r="CO110" s="525">
        <f>+M110-(BN110+BW110+CF110)</f>
        <v/>
      </c>
      <c r="CP110" s="525">
        <f>+AE110-(BO110+BX110+CG110)</f>
        <v/>
      </c>
      <c r="CQ110" s="525">
        <f>+AJ110-(BP110+BY110+CH110)</f>
        <v/>
      </c>
      <c r="CR110" s="525">
        <f>+AU110-(BQ110+BZ110+CI110)</f>
        <v/>
      </c>
      <c r="CS110" s="525">
        <f>+BA110-(BR110+CA110+CJ110)</f>
        <v/>
      </c>
      <c r="CT110" s="525">
        <f>+BF110-(BS110+CB110+CK110)</f>
        <v/>
      </c>
      <c r="CU110" s="525">
        <f>BT110+CC110+CL110</f>
        <v/>
      </c>
      <c r="CV110" s="525">
        <f>SUM(CN110:CT110)</f>
        <v/>
      </c>
    </row>
    <row r="111" ht="21" customFormat="1" customHeight="1" s="230">
      <c r="A111" s="453" t="n"/>
      <c r="B111" s="309" t="n"/>
      <c r="C111" s="287">
        <f>IF($A111=0,"",(VLOOKUP(A111,[3]MAT!$B$5:$D$4756,3,FALSE)))</f>
        <v/>
      </c>
      <c r="D111" s="288" t="inlineStr"/>
      <c r="E111" s="507" t="n"/>
      <c r="F111" s="526" t="n"/>
      <c r="G111" s="527" t="n"/>
      <c r="H111" s="510" t="n"/>
      <c r="I111" s="511" t="n"/>
      <c r="J111" s="512" t="n"/>
      <c r="K111" s="512" t="n"/>
      <c r="L111" s="513" t="n"/>
      <c r="M111" s="510" t="n"/>
      <c r="N111" s="526" t="n"/>
      <c r="O111" s="512" t="n"/>
      <c r="P111" s="512" t="n"/>
      <c r="Q111" s="512" t="n"/>
      <c r="R111" s="512" t="n"/>
      <c r="S111" s="512" t="n"/>
      <c r="T111" s="512" t="n"/>
      <c r="U111" s="512" t="n"/>
      <c r="V111" s="512" t="n"/>
      <c r="W111" s="512" t="n"/>
      <c r="X111" s="512" t="n"/>
      <c r="Y111" s="512" t="n"/>
      <c r="Z111" s="512" t="n"/>
      <c r="AA111" s="512" t="n"/>
      <c r="AB111" s="512" t="n"/>
      <c r="AC111" s="512" t="n"/>
      <c r="AD111" s="512" t="n"/>
      <c r="AE111" s="510" t="n"/>
      <c r="AF111" s="511" t="n"/>
      <c r="AG111" s="512" t="n"/>
      <c r="AH111" s="512" t="n"/>
      <c r="AI111" s="513" t="n"/>
      <c r="AJ111" s="510" t="n"/>
      <c r="AK111" s="513" t="n"/>
      <c r="AL111" s="513" t="n"/>
      <c r="AM111" s="513" t="n"/>
      <c r="AN111" s="513" t="n"/>
      <c r="AO111" s="513" t="n"/>
      <c r="AP111" s="513" t="n"/>
      <c r="AQ111" s="513" t="n"/>
      <c r="AR111" s="513" t="n"/>
      <c r="AS111" s="513" t="n"/>
      <c r="AT111" s="513" t="n"/>
      <c r="AU111" s="510" t="n"/>
      <c r="AV111" s="527" t="n"/>
      <c r="AW111" s="514" t="n"/>
      <c r="AX111" s="514" t="n"/>
      <c r="AY111" s="514" t="n"/>
      <c r="AZ111" s="514" t="n"/>
      <c r="BA111" s="510">
        <f>SUM(AV111:AZ111)</f>
        <v/>
      </c>
      <c r="BB111" s="511" t="n"/>
      <c r="BC111" s="512" t="n"/>
      <c r="BD111" s="512" t="n"/>
      <c r="BE111" s="512" t="n"/>
      <c r="BF111" s="510">
        <f>SUM(BB111:BE111)</f>
        <v/>
      </c>
      <c r="BG111" s="518" t="n"/>
      <c r="BH111" s="519">
        <f>H111+M111+AE111+AJ111+AU111+BA111+BF111</f>
        <v/>
      </c>
      <c r="BI111" s="528">
        <f>IF(E111-BH111&lt;0, BH111-E111, )</f>
        <v/>
      </c>
      <c r="BJ111" s="529">
        <f>IF(E111-BH111&lt;0, ,E111-BH111)</f>
        <v/>
      </c>
      <c r="BK111" s="530" t="n"/>
      <c r="BM111" s="523" t="n"/>
      <c r="BN111" s="523" t="n"/>
      <c r="BO111" s="523" t="n"/>
      <c r="BP111" s="523" t="n"/>
      <c r="BQ111" s="523" t="n"/>
      <c r="BR111" s="523" t="n"/>
      <c r="BS111" s="523" t="n"/>
      <c r="BT111" s="518">
        <f>SUM(BM111:BS111)</f>
        <v/>
      </c>
      <c r="BU111" s="518" t="n"/>
      <c r="BV111" s="523" t="n"/>
      <c r="BW111" s="523" t="n"/>
      <c r="BX111" s="523" t="n"/>
      <c r="BY111" s="523" t="n"/>
      <c r="BZ111" s="523" t="n"/>
      <c r="CA111" s="523" t="n"/>
      <c r="CB111" s="523" t="n"/>
      <c r="CC111" s="518">
        <f>SUM(BV111:CB111)</f>
        <v/>
      </c>
      <c r="CD111" s="518" t="n"/>
      <c r="CE111" s="523" t="n"/>
      <c r="CF111" s="523" t="n"/>
      <c r="CG111" s="523" t="n"/>
      <c r="CH111" s="523" t="n"/>
      <c r="CI111" s="523" t="n"/>
      <c r="CJ111" s="523" t="n"/>
      <c r="CK111" s="523" t="n"/>
      <c r="CL111" s="518">
        <f>SUM(CE111:CK111)</f>
        <v/>
      </c>
      <c r="CN111" s="525">
        <f>+H111-(BM111+BV111+CE111)</f>
        <v/>
      </c>
      <c r="CO111" s="525">
        <f>+M111-(BN111+BW111+CF111)</f>
        <v/>
      </c>
      <c r="CP111" s="525">
        <f>+AE111-(BO111+BX111+CG111)</f>
        <v/>
      </c>
      <c r="CQ111" s="525">
        <f>+AJ111-(BP111+BY111+CH111)</f>
        <v/>
      </c>
      <c r="CR111" s="525">
        <f>+AU111-(BQ111+BZ111+CI111)</f>
        <v/>
      </c>
      <c r="CS111" s="525">
        <f>+BA111-(BR111+CA111+CJ111)</f>
        <v/>
      </c>
      <c r="CT111" s="525">
        <f>+BF111-(BS111+CB111+CK111)</f>
        <v/>
      </c>
      <c r="CU111" s="525">
        <f>BT111+CC111+CL111</f>
        <v/>
      </c>
      <c r="CV111" s="525">
        <f>SUM(CN111:CT111)</f>
        <v/>
      </c>
    </row>
    <row r="112" ht="21" customFormat="1" customHeight="1" s="230">
      <c r="A112" s="453" t="n"/>
      <c r="B112" s="309" t="n"/>
      <c r="C112" s="287">
        <f>IF($A112=0,"",(VLOOKUP(A112,[3]MAT!$B$5:$D$4756,3,FALSE)))</f>
        <v/>
      </c>
      <c r="D112" s="288" t="inlineStr"/>
      <c r="E112" s="507" t="n"/>
      <c r="F112" s="526" t="n"/>
      <c r="G112" s="527" t="n"/>
      <c r="H112" s="510" t="n"/>
      <c r="I112" s="511" t="n"/>
      <c r="J112" s="512" t="n"/>
      <c r="K112" s="512" t="n"/>
      <c r="L112" s="513" t="n"/>
      <c r="M112" s="510" t="n"/>
      <c r="N112" s="526" t="n"/>
      <c r="O112" s="512" t="n"/>
      <c r="P112" s="512" t="n"/>
      <c r="Q112" s="512" t="n"/>
      <c r="R112" s="512" t="n"/>
      <c r="S112" s="512" t="n"/>
      <c r="T112" s="512" t="n"/>
      <c r="U112" s="512" t="n"/>
      <c r="V112" s="512" t="n"/>
      <c r="W112" s="512" t="n"/>
      <c r="X112" s="512" t="n"/>
      <c r="Y112" s="512" t="n"/>
      <c r="Z112" s="512" t="n"/>
      <c r="AA112" s="512" t="n"/>
      <c r="AB112" s="512" t="n"/>
      <c r="AC112" s="512" t="n"/>
      <c r="AD112" s="512" t="n"/>
      <c r="AE112" s="510" t="n"/>
      <c r="AF112" s="511" t="n"/>
      <c r="AG112" s="512" t="n"/>
      <c r="AH112" s="512" t="n"/>
      <c r="AI112" s="513" t="n"/>
      <c r="AJ112" s="510" t="n"/>
      <c r="AK112" s="513" t="n"/>
      <c r="AL112" s="513" t="n"/>
      <c r="AM112" s="513" t="n"/>
      <c r="AN112" s="513" t="n"/>
      <c r="AO112" s="513" t="n"/>
      <c r="AP112" s="513" t="n"/>
      <c r="AQ112" s="513" t="n"/>
      <c r="AR112" s="513" t="n"/>
      <c r="AS112" s="513" t="n"/>
      <c r="AT112" s="513" t="n"/>
      <c r="AU112" s="510" t="n"/>
      <c r="AV112" s="527" t="n"/>
      <c r="AW112" s="514" t="n"/>
      <c r="AX112" s="514" t="n"/>
      <c r="AY112" s="514" t="n"/>
      <c r="AZ112" s="514" t="n"/>
      <c r="BA112" s="510">
        <f>SUM(AV112:AZ112)</f>
        <v/>
      </c>
      <c r="BB112" s="511" t="n"/>
      <c r="BC112" s="512" t="n"/>
      <c r="BD112" s="512" t="n"/>
      <c r="BE112" s="512" t="n"/>
      <c r="BF112" s="510">
        <f>SUM(BB112:BE112)</f>
        <v/>
      </c>
      <c r="BG112" s="518" t="n"/>
      <c r="BH112" s="519">
        <f>H112+M112+AE112+AJ112+AU112+BA112+BF112</f>
        <v/>
      </c>
      <c r="BI112" s="528">
        <f>IF(E112-BH112&lt;0, BH112-E112, )</f>
        <v/>
      </c>
      <c r="BJ112" s="529">
        <f>IF(E112-BH112&lt;0, ,E112-BH112)</f>
        <v/>
      </c>
      <c r="BK112" s="530" t="n"/>
      <c r="BM112" s="523" t="n"/>
      <c r="BN112" s="523" t="n"/>
      <c r="BO112" s="523" t="n"/>
      <c r="BP112" s="523" t="n"/>
      <c r="BQ112" s="523" t="n"/>
      <c r="BR112" s="523" t="n"/>
      <c r="BS112" s="523" t="n"/>
      <c r="BT112" s="518">
        <f>SUM(BM112:BS112)</f>
        <v/>
      </c>
      <c r="BU112" s="518" t="n"/>
      <c r="BV112" s="523" t="n"/>
      <c r="BW112" s="523" t="n"/>
      <c r="BX112" s="523" t="n"/>
      <c r="BY112" s="523" t="n"/>
      <c r="BZ112" s="523" t="n"/>
      <c r="CA112" s="523" t="n"/>
      <c r="CB112" s="523" t="n"/>
      <c r="CC112" s="518">
        <f>SUM(BV112:CB112)</f>
        <v/>
      </c>
      <c r="CD112" s="518" t="n"/>
      <c r="CE112" s="523" t="n"/>
      <c r="CF112" s="523" t="n"/>
      <c r="CG112" s="523" t="n"/>
      <c r="CH112" s="523" t="n"/>
      <c r="CI112" s="523" t="n"/>
      <c r="CJ112" s="523" t="n"/>
      <c r="CK112" s="523" t="n"/>
      <c r="CL112" s="518">
        <f>SUM(CE112:CK112)</f>
        <v/>
      </c>
      <c r="CN112" s="525">
        <f>+H112-(BM112+BV112+CE112)</f>
        <v/>
      </c>
      <c r="CO112" s="525">
        <f>+M112-(BN112+BW112+CF112)</f>
        <v/>
      </c>
      <c r="CP112" s="525">
        <f>+AE112-(BO112+BX112+CG112)</f>
        <v/>
      </c>
      <c r="CQ112" s="525">
        <f>+AJ112-(BP112+BY112+CH112)</f>
        <v/>
      </c>
      <c r="CR112" s="525">
        <f>+AU112-(BQ112+BZ112+CI112)</f>
        <v/>
      </c>
      <c r="CS112" s="525">
        <f>+BA112-(BR112+CA112+CJ112)</f>
        <v/>
      </c>
      <c r="CT112" s="525">
        <f>+BF112-(BS112+CB112+CK112)</f>
        <v/>
      </c>
      <c r="CU112" s="525">
        <f>BT112+CC112+CL112</f>
        <v/>
      </c>
      <c r="CV112" s="525">
        <f>SUM(CN112:CT112)</f>
        <v/>
      </c>
    </row>
    <row r="113" ht="21" customFormat="1" customHeight="1" s="230">
      <c r="A113" s="453" t="n"/>
      <c r="B113" s="309" t="n"/>
      <c r="C113" s="287">
        <f>IF($A113=0,"",(VLOOKUP(A113,[3]MAT!$B$5:$D$4756,3,FALSE)))</f>
        <v/>
      </c>
      <c r="D113" s="288" t="inlineStr"/>
      <c r="E113" s="507" t="n"/>
      <c r="F113" s="526" t="n"/>
      <c r="G113" s="527" t="n"/>
      <c r="H113" s="510" t="n"/>
      <c r="I113" s="511" t="n"/>
      <c r="J113" s="512" t="n"/>
      <c r="K113" s="512" t="n"/>
      <c r="L113" s="513" t="n"/>
      <c r="M113" s="510" t="n"/>
      <c r="N113" s="526" t="n"/>
      <c r="O113" s="512" t="n"/>
      <c r="P113" s="512" t="n"/>
      <c r="Q113" s="512" t="n"/>
      <c r="R113" s="512" t="n"/>
      <c r="S113" s="512" t="n"/>
      <c r="T113" s="512" t="n"/>
      <c r="U113" s="512" t="n"/>
      <c r="V113" s="512" t="n"/>
      <c r="W113" s="512" t="n"/>
      <c r="X113" s="512" t="n"/>
      <c r="Y113" s="512" t="n"/>
      <c r="Z113" s="512" t="n"/>
      <c r="AA113" s="512" t="n"/>
      <c r="AB113" s="512" t="n"/>
      <c r="AC113" s="512" t="n"/>
      <c r="AD113" s="512" t="n"/>
      <c r="AE113" s="510" t="n"/>
      <c r="AF113" s="511" t="n"/>
      <c r="AG113" s="512" t="n"/>
      <c r="AH113" s="512" t="n"/>
      <c r="AI113" s="513" t="n"/>
      <c r="AJ113" s="510" t="n"/>
      <c r="AK113" s="513" t="n"/>
      <c r="AL113" s="513" t="n"/>
      <c r="AM113" s="513" t="n"/>
      <c r="AN113" s="513" t="n"/>
      <c r="AO113" s="513" t="n"/>
      <c r="AP113" s="513" t="n"/>
      <c r="AQ113" s="513" t="n"/>
      <c r="AR113" s="513" t="n"/>
      <c r="AS113" s="513" t="n"/>
      <c r="AT113" s="513" t="n"/>
      <c r="AU113" s="510" t="n"/>
      <c r="AV113" s="527" t="n"/>
      <c r="AW113" s="514" t="n"/>
      <c r="AX113" s="514" t="n"/>
      <c r="AY113" s="514" t="n"/>
      <c r="AZ113" s="514" t="n"/>
      <c r="BA113" s="510">
        <f>SUM(AV113:AZ113)</f>
        <v/>
      </c>
      <c r="BB113" s="511" t="n"/>
      <c r="BC113" s="512" t="n"/>
      <c r="BD113" s="512" t="n"/>
      <c r="BE113" s="512" t="n"/>
      <c r="BF113" s="510">
        <f>SUM(BB113:BE113)</f>
        <v/>
      </c>
      <c r="BG113" s="518" t="n"/>
      <c r="BH113" s="519">
        <f>H113+M113+AE113+AJ113+AU113+BA113+BF113</f>
        <v/>
      </c>
      <c r="BI113" s="528">
        <f>IF(E113-BH113&lt;0, BH113-E113, )</f>
        <v/>
      </c>
      <c r="BJ113" s="529">
        <f>IF(E113-BH113&lt;0, ,E113-BH113)</f>
        <v/>
      </c>
      <c r="BK113" s="530" t="n"/>
      <c r="BM113" s="523" t="n"/>
      <c r="BN113" s="523" t="n"/>
      <c r="BO113" s="523" t="n"/>
      <c r="BP113" s="523" t="n"/>
      <c r="BQ113" s="523" t="n"/>
      <c r="BR113" s="523" t="n"/>
      <c r="BS113" s="523" t="n"/>
      <c r="BT113" s="518">
        <f>SUM(BM113:BS113)</f>
        <v/>
      </c>
      <c r="BU113" s="518" t="n"/>
      <c r="BV113" s="523" t="n"/>
      <c r="BW113" s="523" t="n"/>
      <c r="BX113" s="523" t="n"/>
      <c r="BY113" s="523" t="n"/>
      <c r="BZ113" s="523" t="n"/>
      <c r="CA113" s="523" t="n"/>
      <c r="CB113" s="523" t="n"/>
      <c r="CC113" s="518">
        <f>SUM(BV113:CB113)</f>
        <v/>
      </c>
      <c r="CD113" s="518" t="n"/>
      <c r="CE113" s="523" t="n"/>
      <c r="CF113" s="523" t="n"/>
      <c r="CG113" s="523" t="n"/>
      <c r="CH113" s="523" t="n"/>
      <c r="CI113" s="523" t="n"/>
      <c r="CJ113" s="523" t="n"/>
      <c r="CK113" s="523" t="n"/>
      <c r="CL113" s="518">
        <f>SUM(CE113:CK113)</f>
        <v/>
      </c>
      <c r="CN113" s="525">
        <f>+H113-(BM113+BV113+CE113)</f>
        <v/>
      </c>
      <c r="CO113" s="525">
        <f>+M113-(BN113+BW113+CF113)</f>
        <v/>
      </c>
      <c r="CP113" s="525">
        <f>+AE113-(BO113+BX113+CG113)</f>
        <v/>
      </c>
      <c r="CQ113" s="525">
        <f>+AJ113-(BP113+BY113+CH113)</f>
        <v/>
      </c>
      <c r="CR113" s="525">
        <f>+AU113-(BQ113+BZ113+CI113)</f>
        <v/>
      </c>
      <c r="CS113" s="525">
        <f>+BA113-(BR113+CA113+CJ113)</f>
        <v/>
      </c>
      <c r="CT113" s="525">
        <f>+BF113-(BS113+CB113+CK113)</f>
        <v/>
      </c>
      <c r="CU113" s="525">
        <f>BT113+CC113+CL113</f>
        <v/>
      </c>
      <c r="CV113" s="525">
        <f>SUM(CN113:CT113)</f>
        <v/>
      </c>
    </row>
    <row r="114" ht="21" customFormat="1" customHeight="1" s="230">
      <c r="A114" s="453" t="n"/>
      <c r="B114" s="309" t="n"/>
      <c r="C114" s="287">
        <f>IF($A114=0,"",(VLOOKUP(A114,[3]MAT!$B$5:$D$4756,3,FALSE)))</f>
        <v/>
      </c>
      <c r="D114" s="288" t="inlineStr"/>
      <c r="E114" s="507" t="n"/>
      <c r="F114" s="526" t="n"/>
      <c r="G114" s="527" t="n"/>
      <c r="H114" s="510" t="n"/>
      <c r="I114" s="511" t="n"/>
      <c r="J114" s="512" t="n"/>
      <c r="K114" s="512" t="n"/>
      <c r="L114" s="513" t="n"/>
      <c r="M114" s="510" t="n"/>
      <c r="N114" s="526" t="n"/>
      <c r="O114" s="512" t="n"/>
      <c r="P114" s="512" t="n"/>
      <c r="Q114" s="512" t="n"/>
      <c r="R114" s="512" t="n"/>
      <c r="S114" s="512" t="n"/>
      <c r="T114" s="512" t="n"/>
      <c r="U114" s="512" t="n"/>
      <c r="V114" s="512" t="n"/>
      <c r="W114" s="512" t="n"/>
      <c r="X114" s="512" t="n"/>
      <c r="Y114" s="512" t="n"/>
      <c r="Z114" s="512" t="n"/>
      <c r="AA114" s="512" t="n"/>
      <c r="AB114" s="512" t="n"/>
      <c r="AC114" s="512" t="n"/>
      <c r="AD114" s="512" t="n"/>
      <c r="AE114" s="510" t="n"/>
      <c r="AF114" s="511" t="n"/>
      <c r="AG114" s="512" t="n"/>
      <c r="AH114" s="512" t="n"/>
      <c r="AI114" s="513" t="n"/>
      <c r="AJ114" s="510" t="n"/>
      <c r="AK114" s="513" t="n"/>
      <c r="AL114" s="513" t="n"/>
      <c r="AM114" s="513" t="n"/>
      <c r="AN114" s="513" t="n"/>
      <c r="AO114" s="513" t="n"/>
      <c r="AP114" s="513" t="n"/>
      <c r="AQ114" s="513" t="n"/>
      <c r="AR114" s="513" t="n"/>
      <c r="AS114" s="513" t="n"/>
      <c r="AT114" s="513" t="n"/>
      <c r="AU114" s="510" t="n"/>
      <c r="AV114" s="527" t="n"/>
      <c r="AW114" s="514" t="n"/>
      <c r="AX114" s="514" t="n"/>
      <c r="AY114" s="514" t="n"/>
      <c r="AZ114" s="514" t="n"/>
      <c r="BA114" s="510">
        <f>SUM(AV114:AZ114)</f>
        <v/>
      </c>
      <c r="BB114" s="511" t="n"/>
      <c r="BC114" s="512" t="n"/>
      <c r="BD114" s="512" t="n"/>
      <c r="BE114" s="512" t="n"/>
      <c r="BF114" s="510">
        <f>SUM(BB114:BE114)</f>
        <v/>
      </c>
      <c r="BG114" s="518" t="n"/>
      <c r="BH114" s="519">
        <f>H114+M114+AE114+AJ114+AU114+BA114+BF114</f>
        <v/>
      </c>
      <c r="BI114" s="528">
        <f>IF(E114-BH114&lt;0, BH114-E114, )</f>
        <v/>
      </c>
      <c r="BJ114" s="529">
        <f>IF(E114-BH114&lt;0, ,E114-BH114)</f>
        <v/>
      </c>
      <c r="BK114" s="530" t="n"/>
      <c r="BM114" s="523" t="n"/>
      <c r="BN114" s="523" t="n"/>
      <c r="BO114" s="523" t="n"/>
      <c r="BP114" s="523" t="n"/>
      <c r="BQ114" s="523" t="n"/>
      <c r="BR114" s="523" t="n"/>
      <c r="BS114" s="523" t="n"/>
      <c r="BT114" s="518">
        <f>SUM(BM114:BS114)</f>
        <v/>
      </c>
      <c r="BU114" s="518" t="n"/>
      <c r="BV114" s="523" t="n"/>
      <c r="BW114" s="523" t="n"/>
      <c r="BX114" s="523" t="n"/>
      <c r="BY114" s="523" t="n"/>
      <c r="BZ114" s="523" t="n"/>
      <c r="CA114" s="523" t="n"/>
      <c r="CB114" s="523" t="n"/>
      <c r="CC114" s="518">
        <f>SUM(BV114:CB114)</f>
        <v/>
      </c>
      <c r="CD114" s="518" t="n"/>
      <c r="CE114" s="523" t="n"/>
      <c r="CF114" s="523" t="n"/>
      <c r="CG114" s="523" t="n"/>
      <c r="CH114" s="523" t="n"/>
      <c r="CI114" s="523" t="n"/>
      <c r="CJ114" s="523" t="n"/>
      <c r="CK114" s="523" t="n"/>
      <c r="CL114" s="518">
        <f>SUM(CE114:CK114)</f>
        <v/>
      </c>
      <c r="CN114" s="525">
        <f>+H114-(BM114+BV114+CE114)</f>
        <v/>
      </c>
      <c r="CO114" s="525">
        <f>+M114-(BN114+BW114+CF114)</f>
        <v/>
      </c>
      <c r="CP114" s="525">
        <f>+AE114-(BO114+BX114+CG114)</f>
        <v/>
      </c>
      <c r="CQ114" s="525">
        <f>+AJ114-(BP114+BY114+CH114)</f>
        <v/>
      </c>
      <c r="CR114" s="525">
        <f>+AU114-(BQ114+BZ114+CI114)</f>
        <v/>
      </c>
      <c r="CS114" s="525">
        <f>+BA114-(BR114+CA114+CJ114)</f>
        <v/>
      </c>
      <c r="CT114" s="525">
        <f>+BF114-(BS114+CB114+CK114)</f>
        <v/>
      </c>
      <c r="CU114" s="525">
        <f>BT114+CC114+CL114</f>
        <v/>
      </c>
      <c r="CV114" s="525">
        <f>SUM(CN114:CT114)</f>
        <v/>
      </c>
    </row>
    <row r="115" ht="21" customFormat="1" customHeight="1" s="230">
      <c r="A115" s="453" t="n"/>
      <c r="B115" s="309" t="n"/>
      <c r="C115" s="287">
        <f>IF($A115=0,"",(VLOOKUP(A115,[3]MAT!$B$5:$D$4756,3,FALSE)))</f>
        <v/>
      </c>
      <c r="D115" s="288" t="inlineStr"/>
      <c r="E115" s="507" t="n"/>
      <c r="F115" s="526" t="n"/>
      <c r="G115" s="527" t="n"/>
      <c r="H115" s="510" t="n"/>
      <c r="I115" s="511" t="n"/>
      <c r="J115" s="512" t="n"/>
      <c r="K115" s="512" t="n"/>
      <c r="L115" s="513" t="n"/>
      <c r="M115" s="510" t="n"/>
      <c r="N115" s="526" t="n"/>
      <c r="O115" s="512" t="n"/>
      <c r="P115" s="512" t="n"/>
      <c r="Q115" s="512" t="n"/>
      <c r="R115" s="512" t="n"/>
      <c r="S115" s="512" t="n"/>
      <c r="T115" s="512" t="n"/>
      <c r="U115" s="512" t="n"/>
      <c r="V115" s="512" t="n"/>
      <c r="W115" s="512" t="n"/>
      <c r="X115" s="512" t="n"/>
      <c r="Y115" s="512" t="n"/>
      <c r="Z115" s="512" t="n"/>
      <c r="AA115" s="512" t="n"/>
      <c r="AB115" s="512" t="n"/>
      <c r="AC115" s="512" t="n"/>
      <c r="AD115" s="512" t="n"/>
      <c r="AE115" s="510" t="n"/>
      <c r="AF115" s="511" t="n"/>
      <c r="AG115" s="512" t="n"/>
      <c r="AH115" s="512" t="n"/>
      <c r="AI115" s="513" t="n"/>
      <c r="AJ115" s="510" t="n"/>
      <c r="AK115" s="513" t="n"/>
      <c r="AL115" s="513" t="n"/>
      <c r="AM115" s="513" t="n"/>
      <c r="AN115" s="513" t="n"/>
      <c r="AO115" s="513" t="n"/>
      <c r="AP115" s="513" t="n"/>
      <c r="AQ115" s="513" t="n"/>
      <c r="AR115" s="513" t="n"/>
      <c r="AS115" s="513" t="n"/>
      <c r="AT115" s="513" t="n"/>
      <c r="AU115" s="510" t="n"/>
      <c r="AV115" s="527" t="n"/>
      <c r="AW115" s="514" t="n"/>
      <c r="AX115" s="514" t="n"/>
      <c r="AY115" s="514" t="n"/>
      <c r="AZ115" s="514" t="n"/>
      <c r="BA115" s="510">
        <f>SUM(AV115:AZ115)</f>
        <v/>
      </c>
      <c r="BB115" s="511" t="n"/>
      <c r="BC115" s="512" t="n"/>
      <c r="BD115" s="512" t="n"/>
      <c r="BE115" s="512" t="n"/>
      <c r="BF115" s="510">
        <f>SUM(BB115:BE115)</f>
        <v/>
      </c>
      <c r="BG115" s="518" t="n"/>
      <c r="BH115" s="519">
        <f>H115+M115+AE115+AJ115+AU115+BA115+BF115</f>
        <v/>
      </c>
      <c r="BI115" s="528">
        <f>IF(E115-BH115&lt;0, BH115-E115, )</f>
        <v/>
      </c>
      <c r="BJ115" s="529">
        <f>IF(E115-BH115&lt;0, ,E115-BH115)</f>
        <v/>
      </c>
      <c r="BK115" s="530" t="n"/>
      <c r="BM115" s="523" t="n"/>
      <c r="BN115" s="523" t="n"/>
      <c r="BO115" s="523" t="n"/>
      <c r="BP115" s="523" t="n"/>
      <c r="BQ115" s="523" t="n"/>
      <c r="BR115" s="523" t="n"/>
      <c r="BS115" s="523" t="n"/>
      <c r="BT115" s="518">
        <f>SUM(BM115:BS115)</f>
        <v/>
      </c>
      <c r="BU115" s="518" t="n"/>
      <c r="BV115" s="523" t="n"/>
      <c r="BW115" s="523" t="n"/>
      <c r="BX115" s="523" t="n"/>
      <c r="BY115" s="523" t="n"/>
      <c r="BZ115" s="523" t="n"/>
      <c r="CA115" s="523" t="n"/>
      <c r="CB115" s="523" t="n"/>
      <c r="CC115" s="518">
        <f>SUM(BV115:CB115)</f>
        <v/>
      </c>
      <c r="CD115" s="518" t="n"/>
      <c r="CE115" s="523" t="n"/>
      <c r="CF115" s="523" t="n"/>
      <c r="CG115" s="523" t="n"/>
      <c r="CH115" s="523" t="n"/>
      <c r="CI115" s="523" t="n"/>
      <c r="CJ115" s="523" t="n"/>
      <c r="CK115" s="523" t="n"/>
      <c r="CL115" s="518">
        <f>SUM(CE115:CK115)</f>
        <v/>
      </c>
      <c r="CN115" s="525">
        <f>+H115-(BM115+BV115+CE115)</f>
        <v/>
      </c>
      <c r="CO115" s="525">
        <f>+M115-(BN115+BW115+CF115)</f>
        <v/>
      </c>
      <c r="CP115" s="525">
        <f>+AE115-(BO115+BX115+CG115)</f>
        <v/>
      </c>
      <c r="CQ115" s="525">
        <f>+AJ115-(BP115+BY115+CH115)</f>
        <v/>
      </c>
      <c r="CR115" s="525">
        <f>+AU115-(BQ115+BZ115+CI115)</f>
        <v/>
      </c>
      <c r="CS115" s="525">
        <f>+BA115-(BR115+CA115+CJ115)</f>
        <v/>
      </c>
      <c r="CT115" s="525">
        <f>+BF115-(BS115+CB115+CK115)</f>
        <v/>
      </c>
      <c r="CU115" s="525">
        <f>BT115+CC115+CL115</f>
        <v/>
      </c>
      <c r="CV115" s="525">
        <f>SUM(CN115:CT115)</f>
        <v/>
      </c>
    </row>
    <row r="116" ht="21" customFormat="1" customHeight="1" s="230">
      <c r="A116" s="453" t="n"/>
      <c r="B116" s="309" t="n"/>
      <c r="C116" s="287">
        <f>IF($A116=0,"",(VLOOKUP(A116,[3]MAT!$B$5:$D$4756,3,FALSE)))</f>
        <v/>
      </c>
      <c r="D116" s="288" t="inlineStr"/>
      <c r="E116" s="507" t="n"/>
      <c r="F116" s="526" t="n"/>
      <c r="G116" s="527" t="n"/>
      <c r="H116" s="510" t="n"/>
      <c r="I116" s="511" t="n"/>
      <c r="J116" s="512" t="n"/>
      <c r="K116" s="512" t="n"/>
      <c r="L116" s="513" t="n"/>
      <c r="M116" s="510" t="n"/>
      <c r="N116" s="526" t="n"/>
      <c r="O116" s="512" t="n"/>
      <c r="P116" s="512" t="n"/>
      <c r="Q116" s="512" t="n"/>
      <c r="R116" s="512" t="n"/>
      <c r="S116" s="512" t="n"/>
      <c r="T116" s="512" t="n"/>
      <c r="U116" s="512" t="n"/>
      <c r="V116" s="512" t="n"/>
      <c r="W116" s="512" t="n"/>
      <c r="X116" s="512" t="n"/>
      <c r="Y116" s="512" t="n"/>
      <c r="Z116" s="512" t="n"/>
      <c r="AA116" s="512" t="n"/>
      <c r="AB116" s="512" t="n"/>
      <c r="AC116" s="512" t="n"/>
      <c r="AD116" s="512" t="n"/>
      <c r="AE116" s="510" t="n"/>
      <c r="AF116" s="511" t="n"/>
      <c r="AG116" s="512" t="n"/>
      <c r="AH116" s="512" t="n"/>
      <c r="AI116" s="513" t="n"/>
      <c r="AJ116" s="510" t="n"/>
      <c r="AK116" s="513" t="n"/>
      <c r="AL116" s="513" t="n"/>
      <c r="AM116" s="513" t="n"/>
      <c r="AN116" s="513" t="n"/>
      <c r="AO116" s="513" t="n"/>
      <c r="AP116" s="513" t="n"/>
      <c r="AQ116" s="513" t="n"/>
      <c r="AR116" s="513" t="n"/>
      <c r="AS116" s="513" t="n"/>
      <c r="AT116" s="513" t="n"/>
      <c r="AU116" s="510" t="n"/>
      <c r="AV116" s="527" t="n"/>
      <c r="AW116" s="514" t="n"/>
      <c r="AX116" s="514" t="n"/>
      <c r="AY116" s="514" t="n"/>
      <c r="AZ116" s="514" t="n"/>
      <c r="BA116" s="510">
        <f>SUM(AV116:AZ116)</f>
        <v/>
      </c>
      <c r="BB116" s="511" t="n"/>
      <c r="BC116" s="512" t="n"/>
      <c r="BD116" s="512" t="n"/>
      <c r="BE116" s="512" t="n"/>
      <c r="BF116" s="510">
        <f>SUM(BB116:BE116)</f>
        <v/>
      </c>
      <c r="BG116" s="518" t="n"/>
      <c r="BH116" s="519">
        <f>H116+M116+AE116+AJ116+AU116+BA116+BF116</f>
        <v/>
      </c>
      <c r="BI116" s="528">
        <f>IF(E116-BH116&lt;0, BH116-E116, )</f>
        <v/>
      </c>
      <c r="BJ116" s="529">
        <f>IF(E116-BH116&lt;0, ,E116-BH116)</f>
        <v/>
      </c>
      <c r="BK116" s="530" t="n"/>
      <c r="BM116" s="523" t="n"/>
      <c r="BN116" s="523" t="n"/>
      <c r="BO116" s="523" t="n"/>
      <c r="BP116" s="523" t="n"/>
      <c r="BQ116" s="523" t="n"/>
      <c r="BR116" s="523" t="n"/>
      <c r="BS116" s="523" t="n"/>
      <c r="BT116" s="518">
        <f>SUM(BM116:BS116)</f>
        <v/>
      </c>
      <c r="BU116" s="518" t="n"/>
      <c r="BV116" s="523" t="n"/>
      <c r="BW116" s="523" t="n"/>
      <c r="BX116" s="523" t="n"/>
      <c r="BY116" s="523" t="n"/>
      <c r="BZ116" s="523" t="n"/>
      <c r="CA116" s="523" t="n"/>
      <c r="CB116" s="523" t="n"/>
      <c r="CC116" s="518">
        <f>SUM(BV116:CB116)</f>
        <v/>
      </c>
      <c r="CD116" s="518" t="n"/>
      <c r="CE116" s="523" t="n"/>
      <c r="CF116" s="523" t="n"/>
      <c r="CG116" s="523" t="n"/>
      <c r="CH116" s="523" t="n"/>
      <c r="CI116" s="523" t="n"/>
      <c r="CJ116" s="523" t="n"/>
      <c r="CK116" s="523" t="n"/>
      <c r="CL116" s="518">
        <f>SUM(CE116:CK116)</f>
        <v/>
      </c>
      <c r="CN116" s="525">
        <f>+H116-(BM116+BV116+CE116)</f>
        <v/>
      </c>
      <c r="CO116" s="525">
        <f>+M116-(BN116+BW116+CF116)</f>
        <v/>
      </c>
      <c r="CP116" s="525">
        <f>+AE116-(BO116+BX116+CG116)</f>
        <v/>
      </c>
      <c r="CQ116" s="525">
        <f>+AJ116-(BP116+BY116+CH116)</f>
        <v/>
      </c>
      <c r="CR116" s="525">
        <f>+AU116-(BQ116+BZ116+CI116)</f>
        <v/>
      </c>
      <c r="CS116" s="525">
        <f>+BA116-(BR116+CA116+CJ116)</f>
        <v/>
      </c>
      <c r="CT116" s="525">
        <f>+BF116-(BS116+CB116+CK116)</f>
        <v/>
      </c>
      <c r="CU116" s="525">
        <f>BT116+CC116+CL116</f>
        <v/>
      </c>
      <c r="CV116" s="525">
        <f>SUM(CN116:CT116)</f>
        <v/>
      </c>
    </row>
    <row r="117" ht="21" customFormat="1" customHeight="1" s="230">
      <c r="A117" s="453" t="n"/>
      <c r="B117" s="309" t="n"/>
      <c r="C117" s="287">
        <f>IF($A117=0,"",(VLOOKUP(A117,[3]MAT!$B$5:$D$4756,3,FALSE)))</f>
        <v/>
      </c>
      <c r="D117" s="288" t="inlineStr"/>
      <c r="E117" s="507" t="n"/>
      <c r="F117" s="526" t="n"/>
      <c r="G117" s="527" t="n"/>
      <c r="H117" s="510" t="n"/>
      <c r="I117" s="511" t="n"/>
      <c r="J117" s="512" t="n"/>
      <c r="K117" s="512" t="n"/>
      <c r="L117" s="513" t="n"/>
      <c r="M117" s="510" t="n"/>
      <c r="N117" s="526" t="n"/>
      <c r="O117" s="512" t="n"/>
      <c r="P117" s="512" t="n"/>
      <c r="Q117" s="512" t="n"/>
      <c r="R117" s="512" t="n"/>
      <c r="S117" s="512" t="n"/>
      <c r="T117" s="512" t="n"/>
      <c r="U117" s="512" t="n"/>
      <c r="V117" s="512" t="n"/>
      <c r="W117" s="512" t="n"/>
      <c r="X117" s="512" t="n"/>
      <c r="Y117" s="512" t="n"/>
      <c r="Z117" s="512" t="n"/>
      <c r="AA117" s="512" t="n"/>
      <c r="AB117" s="512" t="n"/>
      <c r="AC117" s="512" t="n"/>
      <c r="AD117" s="512" t="n"/>
      <c r="AE117" s="510" t="n"/>
      <c r="AF117" s="511" t="n"/>
      <c r="AG117" s="512" t="n"/>
      <c r="AH117" s="512" t="n"/>
      <c r="AI117" s="513" t="n"/>
      <c r="AJ117" s="510" t="n"/>
      <c r="AK117" s="513" t="n"/>
      <c r="AL117" s="513" t="n"/>
      <c r="AM117" s="513" t="n"/>
      <c r="AN117" s="513" t="n"/>
      <c r="AO117" s="513" t="n"/>
      <c r="AP117" s="513" t="n"/>
      <c r="AQ117" s="513" t="n"/>
      <c r="AR117" s="513" t="n"/>
      <c r="AS117" s="513" t="n"/>
      <c r="AT117" s="513" t="n"/>
      <c r="AU117" s="510" t="n"/>
      <c r="AV117" s="527" t="n"/>
      <c r="AW117" s="514" t="n"/>
      <c r="AX117" s="514" t="n"/>
      <c r="AY117" s="514" t="n"/>
      <c r="AZ117" s="514" t="n"/>
      <c r="BA117" s="510">
        <f>SUM(AV117:AZ117)</f>
        <v/>
      </c>
      <c r="BB117" s="511" t="n"/>
      <c r="BC117" s="512" t="n"/>
      <c r="BD117" s="512" t="n"/>
      <c r="BE117" s="512" t="n"/>
      <c r="BF117" s="510">
        <f>SUM(BB117:BE117)</f>
        <v/>
      </c>
      <c r="BG117" s="518" t="n"/>
      <c r="BH117" s="519">
        <f>H117+M117+AE117+AJ117+AU117+BA117+BF117</f>
        <v/>
      </c>
      <c r="BI117" s="528">
        <f>IF(E117-BH117&lt;0, BH117-E117, )</f>
        <v/>
      </c>
      <c r="BJ117" s="529">
        <f>IF(E117-BH117&lt;0, ,E117-BH117)</f>
        <v/>
      </c>
      <c r="BK117" s="530" t="n"/>
      <c r="BM117" s="523" t="n"/>
      <c r="BN117" s="523" t="n"/>
      <c r="BO117" s="523" t="n"/>
      <c r="BP117" s="523" t="n"/>
      <c r="BQ117" s="523" t="n"/>
      <c r="BR117" s="523" t="n"/>
      <c r="BS117" s="523" t="n"/>
      <c r="BT117" s="518">
        <f>SUM(BM117:BS117)</f>
        <v/>
      </c>
      <c r="BU117" s="518" t="n"/>
      <c r="BV117" s="523" t="n"/>
      <c r="BW117" s="523" t="n"/>
      <c r="BX117" s="523" t="n"/>
      <c r="BY117" s="523" t="n"/>
      <c r="BZ117" s="523" t="n"/>
      <c r="CA117" s="523" t="n"/>
      <c r="CB117" s="523" t="n"/>
      <c r="CC117" s="518">
        <f>SUM(BV117:CB117)</f>
        <v/>
      </c>
      <c r="CD117" s="518" t="n"/>
      <c r="CE117" s="523" t="n"/>
      <c r="CF117" s="523" t="n"/>
      <c r="CG117" s="523" t="n"/>
      <c r="CH117" s="523" t="n"/>
      <c r="CI117" s="523" t="n"/>
      <c r="CJ117" s="523" t="n"/>
      <c r="CK117" s="523" t="n"/>
      <c r="CL117" s="518">
        <f>SUM(CE117:CK117)</f>
        <v/>
      </c>
      <c r="CN117" s="525">
        <f>+H117-(BM117+BV117+CE117)</f>
        <v/>
      </c>
      <c r="CO117" s="525">
        <f>+M117-(BN117+BW117+CF117)</f>
        <v/>
      </c>
      <c r="CP117" s="525">
        <f>+AE117-(BO117+BX117+CG117)</f>
        <v/>
      </c>
      <c r="CQ117" s="525">
        <f>+AJ117-(BP117+BY117+CH117)</f>
        <v/>
      </c>
      <c r="CR117" s="525">
        <f>+AU117-(BQ117+BZ117+CI117)</f>
        <v/>
      </c>
      <c r="CS117" s="525">
        <f>+BA117-(BR117+CA117+CJ117)</f>
        <v/>
      </c>
      <c r="CT117" s="525">
        <f>+BF117-(BS117+CB117+CK117)</f>
        <v/>
      </c>
      <c r="CU117" s="525">
        <f>BT117+CC117+CL117</f>
        <v/>
      </c>
      <c r="CV117" s="525">
        <f>SUM(CN117:CT117)</f>
        <v/>
      </c>
    </row>
    <row r="118" ht="21" customFormat="1" customHeight="1" s="230">
      <c r="A118" s="453" t="n"/>
      <c r="B118" s="309" t="n"/>
      <c r="C118" s="287">
        <f>IF($A118=0,"",(VLOOKUP(A118,[3]MAT!$B$5:$D$4756,3,FALSE)))</f>
        <v/>
      </c>
      <c r="D118" s="288" t="inlineStr"/>
      <c r="E118" s="507" t="n"/>
      <c r="F118" s="526" t="n"/>
      <c r="G118" s="527" t="n"/>
      <c r="H118" s="510" t="n"/>
      <c r="I118" s="511" t="n"/>
      <c r="J118" s="512" t="n"/>
      <c r="K118" s="512" t="n"/>
      <c r="L118" s="513" t="n"/>
      <c r="M118" s="510" t="n"/>
      <c r="N118" s="526" t="n"/>
      <c r="O118" s="512" t="n"/>
      <c r="P118" s="512" t="n"/>
      <c r="Q118" s="512" t="n"/>
      <c r="R118" s="512" t="n"/>
      <c r="S118" s="512" t="n"/>
      <c r="T118" s="512" t="n"/>
      <c r="U118" s="512" t="n"/>
      <c r="V118" s="512" t="n"/>
      <c r="W118" s="512" t="n"/>
      <c r="X118" s="512" t="n"/>
      <c r="Y118" s="512" t="n"/>
      <c r="Z118" s="512" t="n"/>
      <c r="AA118" s="512" t="n"/>
      <c r="AB118" s="512" t="n"/>
      <c r="AC118" s="512" t="n"/>
      <c r="AD118" s="512" t="n"/>
      <c r="AE118" s="510" t="n"/>
      <c r="AF118" s="511" t="n"/>
      <c r="AG118" s="512" t="n"/>
      <c r="AH118" s="512" t="n"/>
      <c r="AI118" s="513" t="n"/>
      <c r="AJ118" s="510" t="n"/>
      <c r="AK118" s="513" t="n"/>
      <c r="AL118" s="513" t="n"/>
      <c r="AM118" s="513" t="n"/>
      <c r="AN118" s="513" t="n"/>
      <c r="AO118" s="513" t="n"/>
      <c r="AP118" s="513" t="n"/>
      <c r="AQ118" s="513" t="n"/>
      <c r="AR118" s="513" t="n"/>
      <c r="AS118" s="513" t="n"/>
      <c r="AT118" s="513" t="n"/>
      <c r="AU118" s="510" t="n"/>
      <c r="AV118" s="527" t="n"/>
      <c r="AW118" s="514" t="n"/>
      <c r="AX118" s="514" t="n"/>
      <c r="AY118" s="514" t="n"/>
      <c r="AZ118" s="514" t="n"/>
      <c r="BA118" s="510">
        <f>SUM(AV118:AZ118)</f>
        <v/>
      </c>
      <c r="BB118" s="511" t="n"/>
      <c r="BC118" s="512" t="n"/>
      <c r="BD118" s="512" t="n"/>
      <c r="BE118" s="512" t="n"/>
      <c r="BF118" s="510">
        <f>SUM(BB118:BE118)</f>
        <v/>
      </c>
      <c r="BG118" s="518" t="n"/>
      <c r="BH118" s="519">
        <f>H118+M118+AE118+AJ118+AU118+BA118+BF118</f>
        <v/>
      </c>
      <c r="BI118" s="528">
        <f>IF(E118-BH118&lt;0, BH118-E118, )</f>
        <v/>
      </c>
      <c r="BJ118" s="529">
        <f>IF(E118-BH118&lt;0, ,E118-BH118)</f>
        <v/>
      </c>
      <c r="BK118" s="530" t="n"/>
      <c r="BM118" s="523" t="n"/>
      <c r="BN118" s="523" t="n"/>
      <c r="BO118" s="523" t="n"/>
      <c r="BP118" s="523" t="n"/>
      <c r="BQ118" s="523" t="n"/>
      <c r="BR118" s="523" t="n"/>
      <c r="BS118" s="523" t="n"/>
      <c r="BT118" s="518">
        <f>SUM(BM118:BS118)</f>
        <v/>
      </c>
      <c r="BU118" s="518" t="n"/>
      <c r="BV118" s="523" t="n"/>
      <c r="BW118" s="523" t="n"/>
      <c r="BX118" s="523" t="n"/>
      <c r="BY118" s="523" t="n"/>
      <c r="BZ118" s="523" t="n"/>
      <c r="CA118" s="523" t="n"/>
      <c r="CB118" s="523" t="n"/>
      <c r="CC118" s="518">
        <f>SUM(BV118:CB118)</f>
        <v/>
      </c>
      <c r="CD118" s="518" t="n"/>
      <c r="CE118" s="523" t="n"/>
      <c r="CF118" s="523" t="n"/>
      <c r="CG118" s="523" t="n"/>
      <c r="CH118" s="523" t="n"/>
      <c r="CI118" s="523" t="n"/>
      <c r="CJ118" s="523" t="n"/>
      <c r="CK118" s="523" t="n"/>
      <c r="CL118" s="518">
        <f>SUM(CE118:CK118)</f>
        <v/>
      </c>
      <c r="CN118" s="525">
        <f>+H118-(BM118+BV118+CE118)</f>
        <v/>
      </c>
      <c r="CO118" s="525">
        <f>+M118-(BN118+BW118+CF118)</f>
        <v/>
      </c>
      <c r="CP118" s="525">
        <f>+AE118-(BO118+BX118+CG118)</f>
        <v/>
      </c>
      <c r="CQ118" s="525">
        <f>+AJ118-(BP118+BY118+CH118)</f>
        <v/>
      </c>
      <c r="CR118" s="525">
        <f>+AU118-(BQ118+BZ118+CI118)</f>
        <v/>
      </c>
      <c r="CS118" s="525">
        <f>+BA118-(BR118+CA118+CJ118)</f>
        <v/>
      </c>
      <c r="CT118" s="525">
        <f>+BF118-(BS118+CB118+CK118)</f>
        <v/>
      </c>
      <c r="CU118" s="525">
        <f>BT118+CC118+CL118</f>
        <v/>
      </c>
      <c r="CV118" s="525">
        <f>SUM(CN118:CT118)</f>
        <v/>
      </c>
    </row>
    <row r="119" ht="21" customFormat="1" customHeight="1" s="230">
      <c r="A119" s="453" t="n"/>
      <c r="B119" s="309" t="n"/>
      <c r="C119" s="287">
        <f>IF($A119=0,"",(VLOOKUP(A119,[3]MAT!$B$5:$D$4756,3,FALSE)))</f>
        <v/>
      </c>
      <c r="D119" s="288" t="inlineStr"/>
      <c r="E119" s="507" t="n"/>
      <c r="F119" s="526" t="n"/>
      <c r="G119" s="527" t="n"/>
      <c r="H119" s="510" t="n"/>
      <c r="I119" s="511" t="n"/>
      <c r="J119" s="512" t="n"/>
      <c r="K119" s="512" t="n"/>
      <c r="L119" s="513" t="n"/>
      <c r="M119" s="510" t="n"/>
      <c r="N119" s="526" t="n"/>
      <c r="O119" s="512" t="n"/>
      <c r="P119" s="512" t="n"/>
      <c r="Q119" s="512" t="n"/>
      <c r="R119" s="512" t="n"/>
      <c r="S119" s="512" t="n"/>
      <c r="T119" s="512" t="n"/>
      <c r="U119" s="512" t="n"/>
      <c r="V119" s="512" t="n"/>
      <c r="W119" s="512" t="n"/>
      <c r="X119" s="512" t="n"/>
      <c r="Y119" s="512" t="n"/>
      <c r="Z119" s="512" t="n"/>
      <c r="AA119" s="512" t="n"/>
      <c r="AB119" s="512" t="n"/>
      <c r="AC119" s="512" t="n"/>
      <c r="AD119" s="512" t="n"/>
      <c r="AE119" s="510" t="n"/>
      <c r="AF119" s="511" t="n"/>
      <c r="AG119" s="512" t="n"/>
      <c r="AH119" s="512" t="n"/>
      <c r="AI119" s="513" t="n"/>
      <c r="AJ119" s="510" t="n"/>
      <c r="AK119" s="513" t="n"/>
      <c r="AL119" s="513" t="n"/>
      <c r="AM119" s="513" t="n"/>
      <c r="AN119" s="513" t="n"/>
      <c r="AO119" s="513" t="n"/>
      <c r="AP119" s="513" t="n"/>
      <c r="AQ119" s="513" t="n"/>
      <c r="AR119" s="513" t="n"/>
      <c r="AS119" s="513" t="n"/>
      <c r="AT119" s="513" t="n"/>
      <c r="AU119" s="510" t="n"/>
      <c r="AV119" s="527" t="n"/>
      <c r="AW119" s="514" t="n"/>
      <c r="AX119" s="514" t="n"/>
      <c r="AY119" s="514" t="n"/>
      <c r="AZ119" s="514" t="n"/>
      <c r="BA119" s="510">
        <f>SUM(AV119:AZ119)</f>
        <v/>
      </c>
      <c r="BB119" s="511" t="n"/>
      <c r="BC119" s="512" t="n"/>
      <c r="BD119" s="512" t="n"/>
      <c r="BE119" s="512" t="n"/>
      <c r="BF119" s="510">
        <f>SUM(BB119:BE119)</f>
        <v/>
      </c>
      <c r="BG119" s="518" t="n"/>
      <c r="BH119" s="519">
        <f>H119+M119+AE119+AJ119+AU119+BA119+BF119</f>
        <v/>
      </c>
      <c r="BI119" s="528">
        <f>IF(E119-BH119&lt;0, BH119-E119, )</f>
        <v/>
      </c>
      <c r="BJ119" s="529">
        <f>IF(E119-BH119&lt;0, ,E119-BH119)</f>
        <v/>
      </c>
      <c r="BK119" s="530" t="n"/>
      <c r="BM119" s="523" t="n"/>
      <c r="BN119" s="523" t="n"/>
      <c r="BO119" s="523" t="n"/>
      <c r="BP119" s="523" t="n"/>
      <c r="BQ119" s="523" t="n"/>
      <c r="BR119" s="523" t="n"/>
      <c r="BS119" s="523" t="n"/>
      <c r="BT119" s="518">
        <f>SUM(BM119:BS119)</f>
        <v/>
      </c>
      <c r="BU119" s="518" t="n"/>
      <c r="BV119" s="523" t="n"/>
      <c r="BW119" s="523" t="n"/>
      <c r="BX119" s="523" t="n"/>
      <c r="BY119" s="523" t="n"/>
      <c r="BZ119" s="523" t="n"/>
      <c r="CA119" s="523" t="n"/>
      <c r="CB119" s="523" t="n"/>
      <c r="CC119" s="518">
        <f>SUM(BV119:CB119)</f>
        <v/>
      </c>
      <c r="CD119" s="518" t="n"/>
      <c r="CE119" s="523" t="n"/>
      <c r="CF119" s="523" t="n"/>
      <c r="CG119" s="523" t="n"/>
      <c r="CH119" s="523" t="n"/>
      <c r="CI119" s="523" t="n"/>
      <c r="CJ119" s="523" t="n"/>
      <c r="CK119" s="523" t="n"/>
      <c r="CL119" s="518">
        <f>SUM(CE119:CK119)</f>
        <v/>
      </c>
      <c r="CN119" s="525">
        <f>+H119-(BM119+BV119+CE119)</f>
        <v/>
      </c>
      <c r="CO119" s="525">
        <f>+M119-(BN119+BW119+CF119)</f>
        <v/>
      </c>
      <c r="CP119" s="525">
        <f>+AE119-(BO119+BX119+CG119)</f>
        <v/>
      </c>
      <c r="CQ119" s="525">
        <f>+AJ119-(BP119+BY119+CH119)</f>
        <v/>
      </c>
      <c r="CR119" s="525">
        <f>+AU119-(BQ119+BZ119+CI119)</f>
        <v/>
      </c>
      <c r="CS119" s="525">
        <f>+BA119-(BR119+CA119+CJ119)</f>
        <v/>
      </c>
      <c r="CT119" s="525">
        <f>+BF119-(BS119+CB119+CK119)</f>
        <v/>
      </c>
      <c r="CU119" s="525">
        <f>BT119+CC119+CL119</f>
        <v/>
      </c>
      <c r="CV119" s="525">
        <f>SUM(CN119:CT119)</f>
        <v/>
      </c>
    </row>
    <row r="120" ht="21" customFormat="1" customHeight="1" s="230">
      <c r="A120" s="453" t="n"/>
      <c r="B120" s="309" t="n"/>
      <c r="C120" s="287">
        <f>IF($A120=0,"",(VLOOKUP(A120,[3]MAT!$B$5:$D$4756,3,FALSE)))</f>
        <v/>
      </c>
      <c r="D120" s="288" t="inlineStr"/>
      <c r="E120" s="507" t="n"/>
      <c r="F120" s="526" t="n"/>
      <c r="G120" s="527" t="n"/>
      <c r="H120" s="510" t="n"/>
      <c r="I120" s="511" t="n"/>
      <c r="J120" s="512" t="n"/>
      <c r="K120" s="512" t="n"/>
      <c r="L120" s="513" t="n"/>
      <c r="M120" s="510" t="n"/>
      <c r="N120" s="526" t="n"/>
      <c r="O120" s="512" t="n"/>
      <c r="P120" s="512" t="n"/>
      <c r="Q120" s="512" t="n"/>
      <c r="R120" s="512" t="n"/>
      <c r="S120" s="512" t="n"/>
      <c r="T120" s="512" t="n"/>
      <c r="U120" s="512" t="n"/>
      <c r="V120" s="512" t="n"/>
      <c r="W120" s="512" t="n"/>
      <c r="X120" s="512" t="n"/>
      <c r="Y120" s="512" t="n"/>
      <c r="Z120" s="512" t="n"/>
      <c r="AA120" s="512" t="n"/>
      <c r="AB120" s="512" t="n"/>
      <c r="AC120" s="512" t="n"/>
      <c r="AD120" s="512" t="n"/>
      <c r="AE120" s="510" t="n"/>
      <c r="AF120" s="511" t="n"/>
      <c r="AG120" s="512" t="n"/>
      <c r="AH120" s="512" t="n"/>
      <c r="AI120" s="513" t="n"/>
      <c r="AJ120" s="510" t="n"/>
      <c r="AK120" s="513" t="n"/>
      <c r="AL120" s="513" t="n"/>
      <c r="AM120" s="513" t="n"/>
      <c r="AN120" s="513" t="n"/>
      <c r="AO120" s="513" t="n"/>
      <c r="AP120" s="513" t="n"/>
      <c r="AQ120" s="513" t="n"/>
      <c r="AR120" s="513" t="n"/>
      <c r="AS120" s="513" t="n"/>
      <c r="AT120" s="513" t="n"/>
      <c r="AU120" s="510" t="n"/>
      <c r="AV120" s="527" t="n"/>
      <c r="AW120" s="514" t="n"/>
      <c r="AX120" s="514" t="n"/>
      <c r="AY120" s="514" t="n"/>
      <c r="AZ120" s="514" t="n"/>
      <c r="BA120" s="510">
        <f>SUM(AV120:AZ120)</f>
        <v/>
      </c>
      <c r="BB120" s="511" t="n"/>
      <c r="BC120" s="512" t="n"/>
      <c r="BD120" s="512" t="n"/>
      <c r="BE120" s="512" t="n"/>
      <c r="BF120" s="510">
        <f>SUM(BB120:BE120)</f>
        <v/>
      </c>
      <c r="BG120" s="518" t="n"/>
      <c r="BH120" s="519">
        <f>H120+M120+AE120+AJ120+AU120+BA120+BF120</f>
        <v/>
      </c>
      <c r="BI120" s="528">
        <f>IF(E120-BH120&lt;0, BH120-E120, )</f>
        <v/>
      </c>
      <c r="BJ120" s="529">
        <f>IF(E120-BH120&lt;0, ,E120-BH120)</f>
        <v/>
      </c>
      <c r="BK120" s="530" t="n"/>
      <c r="BM120" s="523" t="n"/>
      <c r="BN120" s="523" t="n"/>
      <c r="BO120" s="523" t="n"/>
      <c r="BP120" s="523" t="n"/>
      <c r="BQ120" s="523" t="n"/>
      <c r="BR120" s="523" t="n"/>
      <c r="BS120" s="523" t="n"/>
      <c r="BT120" s="518">
        <f>SUM(BM120:BS120)</f>
        <v/>
      </c>
      <c r="BU120" s="518" t="n"/>
      <c r="BV120" s="523" t="n"/>
      <c r="BW120" s="523" t="n"/>
      <c r="BX120" s="523" t="n"/>
      <c r="BY120" s="523" t="n"/>
      <c r="BZ120" s="523" t="n"/>
      <c r="CA120" s="523" t="n"/>
      <c r="CB120" s="523" t="n"/>
      <c r="CC120" s="518">
        <f>SUM(BV120:CB120)</f>
        <v/>
      </c>
      <c r="CD120" s="518" t="n"/>
      <c r="CE120" s="523" t="n"/>
      <c r="CF120" s="523" t="n"/>
      <c r="CG120" s="523" t="n"/>
      <c r="CH120" s="523" t="n"/>
      <c r="CI120" s="523" t="n"/>
      <c r="CJ120" s="523" t="n"/>
      <c r="CK120" s="523" t="n"/>
      <c r="CL120" s="518">
        <f>SUM(CE120:CK120)</f>
        <v/>
      </c>
      <c r="CN120" s="525">
        <f>+H120-(BM120+BV120+CE120)</f>
        <v/>
      </c>
      <c r="CO120" s="525">
        <f>+M120-(BN120+BW120+CF120)</f>
        <v/>
      </c>
      <c r="CP120" s="525">
        <f>+AE120-(BO120+BX120+CG120)</f>
        <v/>
      </c>
      <c r="CQ120" s="525">
        <f>+AJ120-(BP120+BY120+CH120)</f>
        <v/>
      </c>
      <c r="CR120" s="525">
        <f>+AU120-(BQ120+BZ120+CI120)</f>
        <v/>
      </c>
      <c r="CS120" s="525">
        <f>+BA120-(BR120+CA120+CJ120)</f>
        <v/>
      </c>
      <c r="CT120" s="525">
        <f>+BF120-(BS120+CB120+CK120)</f>
        <v/>
      </c>
      <c r="CU120" s="525">
        <f>BT120+CC120+CL120</f>
        <v/>
      </c>
      <c r="CV120" s="525">
        <f>SUM(CN120:CT120)</f>
        <v/>
      </c>
    </row>
    <row r="121" ht="21" customFormat="1" customHeight="1" s="230">
      <c r="A121" s="453" t="n"/>
      <c r="B121" s="309" t="n"/>
      <c r="C121" s="287">
        <f>IF($A121=0,"",(VLOOKUP(A121,[3]MAT!$B$5:$D$4756,3,FALSE)))</f>
        <v/>
      </c>
      <c r="D121" s="288" t="inlineStr"/>
      <c r="E121" s="507" t="n"/>
      <c r="F121" s="526" t="n"/>
      <c r="G121" s="527" t="n"/>
      <c r="H121" s="510" t="n"/>
      <c r="I121" s="511" t="n"/>
      <c r="J121" s="512" t="n"/>
      <c r="K121" s="512" t="n"/>
      <c r="L121" s="513" t="n"/>
      <c r="M121" s="510" t="n"/>
      <c r="N121" s="526" t="n"/>
      <c r="O121" s="512" t="n"/>
      <c r="P121" s="512" t="n"/>
      <c r="Q121" s="512" t="n"/>
      <c r="R121" s="512" t="n"/>
      <c r="S121" s="512" t="n"/>
      <c r="T121" s="512" t="n"/>
      <c r="U121" s="512" t="n"/>
      <c r="V121" s="512" t="n"/>
      <c r="W121" s="512" t="n"/>
      <c r="X121" s="512" t="n"/>
      <c r="Y121" s="512" t="n"/>
      <c r="Z121" s="512" t="n"/>
      <c r="AA121" s="512" t="n"/>
      <c r="AB121" s="512" t="n"/>
      <c r="AC121" s="512" t="n"/>
      <c r="AD121" s="512" t="n"/>
      <c r="AE121" s="510" t="n"/>
      <c r="AF121" s="511" t="n"/>
      <c r="AG121" s="512" t="n"/>
      <c r="AH121" s="512" t="n"/>
      <c r="AI121" s="513" t="n"/>
      <c r="AJ121" s="510" t="n"/>
      <c r="AK121" s="513" t="n"/>
      <c r="AL121" s="513" t="n"/>
      <c r="AM121" s="513" t="n"/>
      <c r="AN121" s="513" t="n"/>
      <c r="AO121" s="513" t="n"/>
      <c r="AP121" s="513" t="n"/>
      <c r="AQ121" s="513" t="n"/>
      <c r="AR121" s="513" t="n"/>
      <c r="AS121" s="513" t="n"/>
      <c r="AT121" s="513" t="n"/>
      <c r="AU121" s="510" t="n"/>
      <c r="AV121" s="527" t="n"/>
      <c r="AW121" s="514" t="n"/>
      <c r="AX121" s="514" t="n"/>
      <c r="AY121" s="514" t="n"/>
      <c r="AZ121" s="514" t="n"/>
      <c r="BA121" s="510">
        <f>SUM(AV121:AZ121)</f>
        <v/>
      </c>
      <c r="BB121" s="511" t="n"/>
      <c r="BC121" s="512" t="n"/>
      <c r="BD121" s="512" t="n"/>
      <c r="BE121" s="512" t="n"/>
      <c r="BF121" s="510">
        <f>SUM(BB121:BE121)</f>
        <v/>
      </c>
      <c r="BG121" s="518" t="n"/>
      <c r="BH121" s="519">
        <f>H121+M121+AE121+AJ121+AU121+BA121+BF121</f>
        <v/>
      </c>
      <c r="BI121" s="528">
        <f>IF(E121-BH121&lt;0, BH121-E121, )</f>
        <v/>
      </c>
      <c r="BJ121" s="529">
        <f>IF(E121-BH121&lt;0, ,E121-BH121)</f>
        <v/>
      </c>
      <c r="BK121" s="530" t="n"/>
      <c r="BM121" s="523" t="n"/>
      <c r="BN121" s="523" t="n"/>
      <c r="BO121" s="523" t="n"/>
      <c r="BP121" s="523" t="n"/>
      <c r="BQ121" s="523" t="n"/>
      <c r="BR121" s="523" t="n"/>
      <c r="BS121" s="523" t="n"/>
      <c r="BT121" s="518">
        <f>SUM(BM121:BS121)</f>
        <v/>
      </c>
      <c r="BU121" s="518" t="n"/>
      <c r="BV121" s="523" t="n"/>
      <c r="BW121" s="523" t="n"/>
      <c r="BX121" s="523" t="n"/>
      <c r="BY121" s="523" t="n"/>
      <c r="BZ121" s="523" t="n"/>
      <c r="CA121" s="523" t="n"/>
      <c r="CB121" s="523" t="n"/>
      <c r="CC121" s="518">
        <f>SUM(BV121:CB121)</f>
        <v/>
      </c>
      <c r="CD121" s="518" t="n"/>
      <c r="CE121" s="523" t="n"/>
      <c r="CF121" s="523" t="n"/>
      <c r="CG121" s="523" t="n"/>
      <c r="CH121" s="523" t="n"/>
      <c r="CI121" s="523" t="n"/>
      <c r="CJ121" s="523" t="n"/>
      <c r="CK121" s="523" t="n"/>
      <c r="CL121" s="518">
        <f>SUM(CE121:CK121)</f>
        <v/>
      </c>
      <c r="CN121" s="525">
        <f>+H121-(BM121+BV121+CE121)</f>
        <v/>
      </c>
      <c r="CO121" s="525">
        <f>+M121-(BN121+BW121+CF121)</f>
        <v/>
      </c>
      <c r="CP121" s="525">
        <f>+AE121-(BO121+BX121+CG121)</f>
        <v/>
      </c>
      <c r="CQ121" s="525">
        <f>+AJ121-(BP121+BY121+CH121)</f>
        <v/>
      </c>
      <c r="CR121" s="525">
        <f>+AU121-(BQ121+BZ121+CI121)</f>
        <v/>
      </c>
      <c r="CS121" s="525">
        <f>+BA121-(BR121+CA121+CJ121)</f>
        <v/>
      </c>
      <c r="CT121" s="525">
        <f>+BF121-(BS121+CB121+CK121)</f>
        <v/>
      </c>
      <c r="CU121" s="525">
        <f>BT121+CC121+CL121</f>
        <v/>
      </c>
      <c r="CV121" s="525">
        <f>SUM(CN121:CT121)</f>
        <v/>
      </c>
    </row>
    <row r="122" ht="21" customFormat="1" customHeight="1" s="230">
      <c r="A122" s="453" t="n"/>
      <c r="B122" s="309" t="n"/>
      <c r="C122" s="287">
        <f>IF($A122=0,"",(VLOOKUP(A122,[3]MAT!$B$5:$D$4756,3,FALSE)))</f>
        <v/>
      </c>
      <c r="D122" s="288" t="inlineStr"/>
      <c r="E122" s="507" t="n"/>
      <c r="F122" s="526" t="n"/>
      <c r="G122" s="527" t="n"/>
      <c r="H122" s="510" t="n"/>
      <c r="I122" s="511" t="n"/>
      <c r="J122" s="512" t="n"/>
      <c r="K122" s="512" t="n"/>
      <c r="L122" s="513" t="n"/>
      <c r="M122" s="510" t="n"/>
      <c r="N122" s="526" t="n"/>
      <c r="O122" s="512" t="n"/>
      <c r="P122" s="512" t="n"/>
      <c r="Q122" s="512" t="n"/>
      <c r="R122" s="512" t="n"/>
      <c r="S122" s="512" t="n"/>
      <c r="T122" s="512" t="n"/>
      <c r="U122" s="512" t="n"/>
      <c r="V122" s="512" t="n"/>
      <c r="W122" s="512" t="n"/>
      <c r="X122" s="512" t="n"/>
      <c r="Y122" s="512" t="n"/>
      <c r="Z122" s="512" t="n"/>
      <c r="AA122" s="512" t="n"/>
      <c r="AB122" s="512" t="n"/>
      <c r="AC122" s="512" t="n"/>
      <c r="AD122" s="512" t="n"/>
      <c r="AE122" s="510" t="n"/>
      <c r="AF122" s="511" t="n"/>
      <c r="AG122" s="512" t="n"/>
      <c r="AH122" s="512" t="n"/>
      <c r="AI122" s="513" t="n"/>
      <c r="AJ122" s="510" t="n"/>
      <c r="AK122" s="513" t="n"/>
      <c r="AL122" s="513" t="n"/>
      <c r="AM122" s="513" t="n"/>
      <c r="AN122" s="513" t="n"/>
      <c r="AO122" s="513" t="n"/>
      <c r="AP122" s="513" t="n"/>
      <c r="AQ122" s="513" t="n"/>
      <c r="AR122" s="513" t="n"/>
      <c r="AS122" s="513" t="n"/>
      <c r="AT122" s="513" t="n"/>
      <c r="AU122" s="510" t="n"/>
      <c r="AV122" s="527" t="n"/>
      <c r="AW122" s="514" t="n"/>
      <c r="AX122" s="514" t="n"/>
      <c r="AY122" s="514" t="n"/>
      <c r="AZ122" s="514" t="n"/>
      <c r="BA122" s="510">
        <f>SUM(AV122:AZ122)</f>
        <v/>
      </c>
      <c r="BB122" s="511" t="n"/>
      <c r="BC122" s="512" t="n"/>
      <c r="BD122" s="512" t="n"/>
      <c r="BE122" s="512" t="n"/>
      <c r="BF122" s="510">
        <f>SUM(BB122:BE122)</f>
        <v/>
      </c>
      <c r="BG122" s="518" t="n"/>
      <c r="BH122" s="519">
        <f>H122+M122+AE122+AJ122+AU122+BA122+BF122</f>
        <v/>
      </c>
      <c r="BI122" s="528">
        <f>IF(E122-BH122&lt;0, BH122-E122, )</f>
        <v/>
      </c>
      <c r="BJ122" s="529">
        <f>IF(E122-BH122&lt;0, ,E122-BH122)</f>
        <v/>
      </c>
      <c r="BK122" s="530" t="n"/>
      <c r="BM122" s="523" t="n"/>
      <c r="BN122" s="523" t="n"/>
      <c r="BO122" s="523" t="n"/>
      <c r="BP122" s="523" t="n"/>
      <c r="BQ122" s="523" t="n"/>
      <c r="BR122" s="523" t="n"/>
      <c r="BS122" s="523" t="n"/>
      <c r="BT122" s="518">
        <f>SUM(BM122:BS122)</f>
        <v/>
      </c>
      <c r="BU122" s="518" t="n"/>
      <c r="BV122" s="523" t="n"/>
      <c r="BW122" s="523" t="n"/>
      <c r="BX122" s="523" t="n"/>
      <c r="BY122" s="523" t="n"/>
      <c r="BZ122" s="523" t="n"/>
      <c r="CA122" s="523" t="n"/>
      <c r="CB122" s="523" t="n"/>
      <c r="CC122" s="518">
        <f>SUM(BV122:CB122)</f>
        <v/>
      </c>
      <c r="CD122" s="518" t="n"/>
      <c r="CE122" s="523" t="n"/>
      <c r="CF122" s="523" t="n"/>
      <c r="CG122" s="523" t="n"/>
      <c r="CH122" s="523" t="n"/>
      <c r="CI122" s="523" t="n"/>
      <c r="CJ122" s="523" t="n"/>
      <c r="CK122" s="523" t="n"/>
      <c r="CL122" s="518">
        <f>SUM(CE122:CK122)</f>
        <v/>
      </c>
      <c r="CN122" s="525">
        <f>+H122-(BM122+BV122+CE122)</f>
        <v/>
      </c>
      <c r="CO122" s="525">
        <f>+M122-(BN122+BW122+CF122)</f>
        <v/>
      </c>
      <c r="CP122" s="525">
        <f>+AE122-(BO122+BX122+CG122)</f>
        <v/>
      </c>
      <c r="CQ122" s="525">
        <f>+AJ122-(BP122+BY122+CH122)</f>
        <v/>
      </c>
      <c r="CR122" s="525">
        <f>+AU122-(BQ122+BZ122+CI122)</f>
        <v/>
      </c>
      <c r="CS122" s="525">
        <f>+BA122-(BR122+CA122+CJ122)</f>
        <v/>
      </c>
      <c r="CT122" s="525">
        <f>+BF122-(BS122+CB122+CK122)</f>
        <v/>
      </c>
      <c r="CU122" s="525">
        <f>BT122+CC122+CL122</f>
        <v/>
      </c>
      <c r="CV122" s="525">
        <f>SUM(CN122:CT122)</f>
        <v/>
      </c>
    </row>
    <row r="123" ht="21" customFormat="1" customHeight="1" s="230">
      <c r="A123" s="453" t="n"/>
      <c r="B123" s="309" t="n"/>
      <c r="C123" s="287">
        <f>IF($A123=0,"",(VLOOKUP(A123,[3]MAT!$B$5:$D$4756,3,FALSE)))</f>
        <v/>
      </c>
      <c r="D123" s="288" t="inlineStr"/>
      <c r="E123" s="507" t="n"/>
      <c r="F123" s="526" t="n"/>
      <c r="G123" s="527" t="n"/>
      <c r="H123" s="510" t="n"/>
      <c r="I123" s="511" t="n"/>
      <c r="J123" s="512" t="n"/>
      <c r="K123" s="512" t="n"/>
      <c r="L123" s="513" t="n"/>
      <c r="M123" s="510" t="n"/>
      <c r="N123" s="526" t="n"/>
      <c r="O123" s="512" t="n"/>
      <c r="P123" s="512" t="n"/>
      <c r="Q123" s="512" t="n"/>
      <c r="R123" s="512" t="n"/>
      <c r="S123" s="512" t="n"/>
      <c r="T123" s="512" t="n"/>
      <c r="U123" s="512" t="n"/>
      <c r="V123" s="512" t="n"/>
      <c r="W123" s="512" t="n"/>
      <c r="X123" s="512" t="n"/>
      <c r="Y123" s="512" t="n"/>
      <c r="Z123" s="512" t="n"/>
      <c r="AA123" s="512" t="n"/>
      <c r="AB123" s="512" t="n"/>
      <c r="AC123" s="512" t="n"/>
      <c r="AD123" s="512" t="n"/>
      <c r="AE123" s="510" t="n"/>
      <c r="AF123" s="511" t="n"/>
      <c r="AG123" s="512" t="n"/>
      <c r="AH123" s="512" t="n"/>
      <c r="AI123" s="513" t="n"/>
      <c r="AJ123" s="510" t="n"/>
      <c r="AK123" s="513" t="n"/>
      <c r="AL123" s="513" t="n"/>
      <c r="AM123" s="513" t="n"/>
      <c r="AN123" s="513" t="n"/>
      <c r="AO123" s="513" t="n"/>
      <c r="AP123" s="513" t="n"/>
      <c r="AQ123" s="513" t="n"/>
      <c r="AR123" s="513" t="n"/>
      <c r="AS123" s="513" t="n"/>
      <c r="AT123" s="513" t="n"/>
      <c r="AU123" s="510" t="n"/>
      <c r="AV123" s="527" t="n"/>
      <c r="AW123" s="514" t="n"/>
      <c r="AX123" s="514" t="n"/>
      <c r="AY123" s="514" t="n"/>
      <c r="AZ123" s="514" t="n"/>
      <c r="BA123" s="510">
        <f>SUM(AV123:AZ123)</f>
        <v/>
      </c>
      <c r="BB123" s="511" t="n"/>
      <c r="BC123" s="512" t="n"/>
      <c r="BD123" s="512" t="n"/>
      <c r="BE123" s="512" t="n"/>
      <c r="BF123" s="510">
        <f>SUM(BB123:BE123)</f>
        <v/>
      </c>
      <c r="BG123" s="518" t="n"/>
      <c r="BH123" s="519">
        <f>H123+M123+AE123+AJ123+AU123+BA123+BF123</f>
        <v/>
      </c>
      <c r="BI123" s="528">
        <f>IF(E123-BH123&lt;0, BH123-E123, )</f>
        <v/>
      </c>
      <c r="BJ123" s="529">
        <f>IF(E123-BH123&lt;0, ,E123-BH123)</f>
        <v/>
      </c>
      <c r="BK123" s="530" t="n"/>
      <c r="BM123" s="523" t="n"/>
      <c r="BN123" s="523" t="n"/>
      <c r="BO123" s="523" t="n"/>
      <c r="BP123" s="523" t="n"/>
      <c r="BQ123" s="523" t="n"/>
      <c r="BR123" s="523" t="n"/>
      <c r="BS123" s="523" t="n"/>
      <c r="BT123" s="518">
        <f>SUM(BM123:BS123)</f>
        <v/>
      </c>
      <c r="BU123" s="518" t="n"/>
      <c r="BV123" s="523" t="n"/>
      <c r="BW123" s="523" t="n"/>
      <c r="BX123" s="523" t="n"/>
      <c r="BY123" s="523" t="n"/>
      <c r="BZ123" s="523" t="n"/>
      <c r="CA123" s="523" t="n"/>
      <c r="CB123" s="523" t="n"/>
      <c r="CC123" s="518">
        <f>SUM(BV123:CB123)</f>
        <v/>
      </c>
      <c r="CD123" s="518" t="n"/>
      <c r="CE123" s="523" t="n"/>
      <c r="CF123" s="523" t="n"/>
      <c r="CG123" s="523" t="n"/>
      <c r="CH123" s="523" t="n"/>
      <c r="CI123" s="523" t="n"/>
      <c r="CJ123" s="523" t="n"/>
      <c r="CK123" s="523" t="n"/>
      <c r="CL123" s="518">
        <f>SUM(CE123:CK123)</f>
        <v/>
      </c>
      <c r="CN123" s="525">
        <f>+H123-(BM123+BV123+CE123)</f>
        <v/>
      </c>
      <c r="CO123" s="525">
        <f>+M123-(BN123+BW123+CF123)</f>
        <v/>
      </c>
      <c r="CP123" s="525">
        <f>+AE123-(BO123+BX123+CG123)</f>
        <v/>
      </c>
      <c r="CQ123" s="525">
        <f>+AJ123-(BP123+BY123+CH123)</f>
        <v/>
      </c>
      <c r="CR123" s="525">
        <f>+AU123-(BQ123+BZ123+CI123)</f>
        <v/>
      </c>
      <c r="CS123" s="525">
        <f>+BA123-(BR123+CA123+CJ123)</f>
        <v/>
      </c>
      <c r="CT123" s="525">
        <f>+BF123-(BS123+CB123+CK123)</f>
        <v/>
      </c>
      <c r="CU123" s="525">
        <f>BT123+CC123+CL123</f>
        <v/>
      </c>
      <c r="CV123" s="525">
        <f>SUM(CN123:CT123)</f>
        <v/>
      </c>
    </row>
    <row r="124" ht="21" customFormat="1" customHeight="1" s="230">
      <c r="A124" s="453" t="n"/>
      <c r="B124" s="309" t="n"/>
      <c r="C124" s="287">
        <f>IF($A124=0,"",(VLOOKUP(A124,[3]MAT!$B$5:$D$4756,3,FALSE)))</f>
        <v/>
      </c>
      <c r="D124" s="288" t="inlineStr"/>
      <c r="E124" s="507" t="n"/>
      <c r="F124" s="526" t="n"/>
      <c r="G124" s="527" t="n"/>
      <c r="H124" s="510" t="n"/>
      <c r="I124" s="511" t="n"/>
      <c r="J124" s="512" t="n"/>
      <c r="K124" s="512" t="n"/>
      <c r="L124" s="513" t="n"/>
      <c r="M124" s="510" t="n"/>
      <c r="N124" s="526" t="n"/>
      <c r="O124" s="512" t="n"/>
      <c r="P124" s="512" t="n"/>
      <c r="Q124" s="512" t="n"/>
      <c r="R124" s="512" t="n"/>
      <c r="S124" s="512" t="n"/>
      <c r="T124" s="512" t="n"/>
      <c r="U124" s="512" t="n"/>
      <c r="V124" s="512" t="n"/>
      <c r="W124" s="512" t="n"/>
      <c r="X124" s="512" t="n"/>
      <c r="Y124" s="512" t="n"/>
      <c r="Z124" s="512" t="n"/>
      <c r="AA124" s="512" t="n"/>
      <c r="AB124" s="512" t="n"/>
      <c r="AC124" s="512" t="n"/>
      <c r="AD124" s="512" t="n"/>
      <c r="AE124" s="510" t="n"/>
      <c r="AF124" s="511" t="n"/>
      <c r="AG124" s="512" t="n"/>
      <c r="AH124" s="512" t="n"/>
      <c r="AI124" s="513" t="n"/>
      <c r="AJ124" s="510" t="n"/>
      <c r="AK124" s="513" t="n"/>
      <c r="AL124" s="513" t="n"/>
      <c r="AM124" s="513" t="n"/>
      <c r="AN124" s="513" t="n"/>
      <c r="AO124" s="513" t="n"/>
      <c r="AP124" s="513" t="n"/>
      <c r="AQ124" s="513" t="n"/>
      <c r="AR124" s="513" t="n"/>
      <c r="AS124" s="513" t="n"/>
      <c r="AT124" s="513" t="n"/>
      <c r="AU124" s="510" t="n"/>
      <c r="AV124" s="527" t="n"/>
      <c r="AW124" s="514" t="n"/>
      <c r="AX124" s="514" t="n"/>
      <c r="AY124" s="514" t="n"/>
      <c r="AZ124" s="514" t="n"/>
      <c r="BA124" s="510">
        <f>SUM(AV124:AZ124)</f>
        <v/>
      </c>
      <c r="BB124" s="511" t="n"/>
      <c r="BC124" s="512" t="n"/>
      <c r="BD124" s="512" t="n"/>
      <c r="BE124" s="512" t="n"/>
      <c r="BF124" s="510">
        <f>SUM(BB124:BE124)</f>
        <v/>
      </c>
      <c r="BG124" s="518" t="n"/>
      <c r="BH124" s="519">
        <f>H124+M124+AE124+AJ124+AU124+BA124+BF124</f>
        <v/>
      </c>
      <c r="BI124" s="528">
        <f>IF(E124-BH124&lt;0, BH124-E124, )</f>
        <v/>
      </c>
      <c r="BJ124" s="529">
        <f>IF(E124-BH124&lt;0, ,E124-BH124)</f>
        <v/>
      </c>
      <c r="BK124" s="530" t="n"/>
      <c r="BM124" s="523" t="n"/>
      <c r="BN124" s="523" t="n"/>
      <c r="BO124" s="523" t="n"/>
      <c r="BP124" s="523" t="n"/>
      <c r="BQ124" s="523" t="n"/>
      <c r="BR124" s="523" t="n"/>
      <c r="BS124" s="523" t="n"/>
      <c r="BT124" s="518">
        <f>SUM(BM124:BS124)</f>
        <v/>
      </c>
      <c r="BU124" s="518" t="n"/>
      <c r="BV124" s="523" t="n"/>
      <c r="BW124" s="523" t="n"/>
      <c r="BX124" s="523" t="n"/>
      <c r="BY124" s="523" t="n"/>
      <c r="BZ124" s="523" t="n"/>
      <c r="CA124" s="523" t="n"/>
      <c r="CB124" s="523" t="n"/>
      <c r="CC124" s="518">
        <f>SUM(BV124:CB124)</f>
        <v/>
      </c>
      <c r="CD124" s="518" t="n"/>
      <c r="CE124" s="523" t="n"/>
      <c r="CF124" s="523" t="n"/>
      <c r="CG124" s="523" t="n"/>
      <c r="CH124" s="523" t="n"/>
      <c r="CI124" s="523" t="n"/>
      <c r="CJ124" s="523" t="n"/>
      <c r="CK124" s="523" t="n"/>
      <c r="CL124" s="518">
        <f>SUM(CE124:CK124)</f>
        <v/>
      </c>
      <c r="CN124" s="525">
        <f>+H124-(BM124+BV124+CE124)</f>
        <v/>
      </c>
      <c r="CO124" s="525">
        <f>+M124-(BN124+BW124+CF124)</f>
        <v/>
      </c>
      <c r="CP124" s="525">
        <f>+AE124-(BO124+BX124+CG124)</f>
        <v/>
      </c>
      <c r="CQ124" s="525">
        <f>+AJ124-(BP124+BY124+CH124)</f>
        <v/>
      </c>
      <c r="CR124" s="525">
        <f>+AU124-(BQ124+BZ124+CI124)</f>
        <v/>
      </c>
      <c r="CS124" s="525">
        <f>+BA124-(BR124+CA124+CJ124)</f>
        <v/>
      </c>
      <c r="CT124" s="525">
        <f>+BF124-(BS124+CB124+CK124)</f>
        <v/>
      </c>
      <c r="CU124" s="525">
        <f>BT124+CC124+CL124</f>
        <v/>
      </c>
      <c r="CV124" s="525">
        <f>SUM(CN124:CT124)</f>
        <v/>
      </c>
    </row>
    <row r="125" ht="21" customFormat="1" customHeight="1" s="230">
      <c r="A125" s="453" t="n"/>
      <c r="B125" s="309" t="n"/>
      <c r="C125" s="287">
        <f>IF($A125=0,"",(VLOOKUP(A125,[3]MAT!$B$5:$D$4756,3,FALSE)))</f>
        <v/>
      </c>
      <c r="D125" s="288" t="inlineStr"/>
      <c r="E125" s="507" t="n"/>
      <c r="F125" s="526" t="n"/>
      <c r="G125" s="527" t="n"/>
      <c r="H125" s="510" t="n"/>
      <c r="I125" s="511" t="n"/>
      <c r="J125" s="512" t="n"/>
      <c r="K125" s="512" t="n"/>
      <c r="L125" s="513" t="n"/>
      <c r="M125" s="510" t="n"/>
      <c r="N125" s="526" t="n"/>
      <c r="O125" s="512" t="n"/>
      <c r="P125" s="512" t="n"/>
      <c r="Q125" s="512" t="n"/>
      <c r="R125" s="512" t="n"/>
      <c r="S125" s="512" t="n"/>
      <c r="T125" s="512" t="n"/>
      <c r="U125" s="512" t="n"/>
      <c r="V125" s="512" t="n"/>
      <c r="W125" s="512" t="n"/>
      <c r="X125" s="512" t="n"/>
      <c r="Y125" s="512" t="n"/>
      <c r="Z125" s="512" t="n"/>
      <c r="AA125" s="512" t="n"/>
      <c r="AB125" s="512" t="n"/>
      <c r="AC125" s="512" t="n"/>
      <c r="AD125" s="512" t="n"/>
      <c r="AE125" s="510" t="n"/>
      <c r="AF125" s="511" t="n"/>
      <c r="AG125" s="512" t="n"/>
      <c r="AH125" s="512" t="n"/>
      <c r="AI125" s="513" t="n"/>
      <c r="AJ125" s="510" t="n"/>
      <c r="AK125" s="513" t="n"/>
      <c r="AL125" s="513" t="n"/>
      <c r="AM125" s="513" t="n"/>
      <c r="AN125" s="513" t="n"/>
      <c r="AO125" s="513" t="n"/>
      <c r="AP125" s="513" t="n"/>
      <c r="AQ125" s="513" t="n"/>
      <c r="AR125" s="513" t="n"/>
      <c r="AS125" s="513" t="n"/>
      <c r="AT125" s="513" t="n"/>
      <c r="AU125" s="510" t="n"/>
      <c r="AV125" s="527" t="n"/>
      <c r="AW125" s="514" t="n"/>
      <c r="AX125" s="514" t="n"/>
      <c r="AY125" s="514" t="n"/>
      <c r="AZ125" s="514" t="n"/>
      <c r="BA125" s="510">
        <f>SUM(AV125:AZ125)</f>
        <v/>
      </c>
      <c r="BB125" s="511" t="n"/>
      <c r="BC125" s="512" t="n"/>
      <c r="BD125" s="512" t="n"/>
      <c r="BE125" s="512" t="n"/>
      <c r="BF125" s="510">
        <f>SUM(BB125:BE125)</f>
        <v/>
      </c>
      <c r="BG125" s="518" t="n"/>
      <c r="BH125" s="519">
        <f>H125+M125+AE125+AJ125+AU125+BA125+BF125</f>
        <v/>
      </c>
      <c r="BI125" s="528">
        <f>IF(E125-BH125&lt;0, BH125-E125, )</f>
        <v/>
      </c>
      <c r="BJ125" s="529">
        <f>IF(E125-BH125&lt;0, ,E125-BH125)</f>
        <v/>
      </c>
      <c r="BK125" s="530" t="n"/>
      <c r="BM125" s="523" t="n"/>
      <c r="BN125" s="523" t="n"/>
      <c r="BO125" s="523" t="n"/>
      <c r="BP125" s="523" t="n"/>
      <c r="BQ125" s="523" t="n"/>
      <c r="BR125" s="523" t="n"/>
      <c r="BS125" s="523" t="n"/>
      <c r="BT125" s="518">
        <f>SUM(BM125:BS125)</f>
        <v/>
      </c>
      <c r="BU125" s="518" t="n"/>
      <c r="BV125" s="523" t="n"/>
      <c r="BW125" s="523" t="n"/>
      <c r="BX125" s="523" t="n"/>
      <c r="BY125" s="523" t="n"/>
      <c r="BZ125" s="523" t="n"/>
      <c r="CA125" s="523" t="n"/>
      <c r="CB125" s="523" t="n"/>
      <c r="CC125" s="518">
        <f>SUM(BV125:CB125)</f>
        <v/>
      </c>
      <c r="CD125" s="518" t="n"/>
      <c r="CE125" s="523" t="n"/>
      <c r="CF125" s="523" t="n"/>
      <c r="CG125" s="523" t="n"/>
      <c r="CH125" s="523" t="n"/>
      <c r="CI125" s="523" t="n"/>
      <c r="CJ125" s="523" t="n"/>
      <c r="CK125" s="523" t="n"/>
      <c r="CL125" s="518">
        <f>SUM(CE125:CK125)</f>
        <v/>
      </c>
      <c r="CN125" s="525">
        <f>+H125-(BM125+BV125+CE125)</f>
        <v/>
      </c>
      <c r="CO125" s="525">
        <f>+M125-(BN125+BW125+CF125)</f>
        <v/>
      </c>
      <c r="CP125" s="525">
        <f>+AE125-(BO125+BX125+CG125)</f>
        <v/>
      </c>
      <c r="CQ125" s="525">
        <f>+AJ125-(BP125+BY125+CH125)</f>
        <v/>
      </c>
      <c r="CR125" s="525">
        <f>+AU125-(BQ125+BZ125+CI125)</f>
        <v/>
      </c>
      <c r="CS125" s="525">
        <f>+BA125-(BR125+CA125+CJ125)</f>
        <v/>
      </c>
      <c r="CT125" s="525">
        <f>+BF125-(BS125+CB125+CK125)</f>
        <v/>
      </c>
      <c r="CU125" s="525">
        <f>BT125+CC125+CL125</f>
        <v/>
      </c>
      <c r="CV125" s="525">
        <f>SUM(CN125:CT125)</f>
        <v/>
      </c>
    </row>
    <row r="126" ht="21" customFormat="1" customHeight="1" s="230">
      <c r="A126" s="453" t="n"/>
      <c r="B126" s="309" t="n"/>
      <c r="C126" s="287">
        <f>IF($A126=0,"",(VLOOKUP(A126,[3]MAT!$B$5:$D$4756,3,FALSE)))</f>
        <v/>
      </c>
      <c r="D126" s="288" t="inlineStr"/>
      <c r="E126" s="507" t="n"/>
      <c r="F126" s="526" t="n"/>
      <c r="G126" s="527" t="n"/>
      <c r="H126" s="510" t="n"/>
      <c r="I126" s="511" t="n"/>
      <c r="J126" s="512" t="n"/>
      <c r="K126" s="512" t="n"/>
      <c r="L126" s="513" t="n"/>
      <c r="M126" s="510" t="n"/>
      <c r="N126" s="526" t="n"/>
      <c r="O126" s="512" t="n"/>
      <c r="P126" s="512" t="n"/>
      <c r="Q126" s="512" t="n"/>
      <c r="R126" s="512" t="n"/>
      <c r="S126" s="512" t="n"/>
      <c r="T126" s="512" t="n"/>
      <c r="U126" s="512" t="n"/>
      <c r="V126" s="512" t="n"/>
      <c r="W126" s="512" t="n"/>
      <c r="X126" s="512" t="n"/>
      <c r="Y126" s="512" t="n"/>
      <c r="Z126" s="512" t="n"/>
      <c r="AA126" s="512" t="n"/>
      <c r="AB126" s="512" t="n"/>
      <c r="AC126" s="512" t="n"/>
      <c r="AD126" s="512" t="n"/>
      <c r="AE126" s="510" t="n"/>
      <c r="AF126" s="511" t="n"/>
      <c r="AG126" s="512" t="n"/>
      <c r="AH126" s="512" t="n"/>
      <c r="AI126" s="513" t="n"/>
      <c r="AJ126" s="510" t="n"/>
      <c r="AK126" s="513" t="n"/>
      <c r="AL126" s="513" t="n"/>
      <c r="AM126" s="513" t="n"/>
      <c r="AN126" s="513" t="n"/>
      <c r="AO126" s="513" t="n"/>
      <c r="AP126" s="513" t="n"/>
      <c r="AQ126" s="513" t="n"/>
      <c r="AR126" s="513" t="n"/>
      <c r="AS126" s="513" t="n"/>
      <c r="AT126" s="513" t="n"/>
      <c r="AU126" s="510" t="n"/>
      <c r="AV126" s="527" t="n"/>
      <c r="AW126" s="514" t="n"/>
      <c r="AX126" s="514" t="n"/>
      <c r="AY126" s="514" t="n"/>
      <c r="AZ126" s="514" t="n"/>
      <c r="BA126" s="510">
        <f>SUM(AV126:AZ126)</f>
        <v/>
      </c>
      <c r="BB126" s="511" t="n"/>
      <c r="BC126" s="512" t="n"/>
      <c r="BD126" s="512" t="n"/>
      <c r="BE126" s="512" t="n"/>
      <c r="BF126" s="510">
        <f>SUM(BB126:BE126)</f>
        <v/>
      </c>
      <c r="BG126" s="518" t="n"/>
      <c r="BH126" s="519">
        <f>H126+M126+AE126+AJ126+AU126+BA126+BF126</f>
        <v/>
      </c>
      <c r="BI126" s="528">
        <f>IF(E126-BH126&lt;0, BH126-E126, )</f>
        <v/>
      </c>
      <c r="BJ126" s="529">
        <f>IF(E126-BH126&lt;0, ,E126-BH126)</f>
        <v/>
      </c>
      <c r="BK126" s="530" t="n"/>
      <c r="BM126" s="523" t="n"/>
      <c r="BN126" s="523" t="n"/>
      <c r="BO126" s="523" t="n"/>
      <c r="BP126" s="523" t="n"/>
      <c r="BQ126" s="523" t="n"/>
      <c r="BR126" s="523" t="n"/>
      <c r="BS126" s="523" t="n"/>
      <c r="BT126" s="518">
        <f>SUM(BM126:BS126)</f>
        <v/>
      </c>
      <c r="BU126" s="518" t="n"/>
      <c r="BV126" s="523" t="n"/>
      <c r="BW126" s="523" t="n"/>
      <c r="BX126" s="523" t="n"/>
      <c r="BY126" s="523" t="n"/>
      <c r="BZ126" s="523" t="n"/>
      <c r="CA126" s="523" t="n"/>
      <c r="CB126" s="523" t="n"/>
      <c r="CC126" s="518">
        <f>SUM(BV126:CB126)</f>
        <v/>
      </c>
      <c r="CD126" s="518" t="n"/>
      <c r="CE126" s="523" t="n"/>
      <c r="CF126" s="523" t="n"/>
      <c r="CG126" s="523" t="n"/>
      <c r="CH126" s="523" t="n"/>
      <c r="CI126" s="523" t="n"/>
      <c r="CJ126" s="523" t="n"/>
      <c r="CK126" s="523" t="n"/>
      <c r="CL126" s="518">
        <f>SUM(CE126:CK126)</f>
        <v/>
      </c>
      <c r="CN126" s="525">
        <f>+H126-(BM126+BV126+CE126)</f>
        <v/>
      </c>
      <c r="CO126" s="525">
        <f>+M126-(BN126+BW126+CF126)</f>
        <v/>
      </c>
      <c r="CP126" s="525">
        <f>+AE126-(BO126+BX126+CG126)</f>
        <v/>
      </c>
      <c r="CQ126" s="525">
        <f>+AJ126-(BP126+BY126+CH126)</f>
        <v/>
      </c>
      <c r="CR126" s="525">
        <f>+AU126-(BQ126+BZ126+CI126)</f>
        <v/>
      </c>
      <c r="CS126" s="525">
        <f>+BA126-(BR126+CA126+CJ126)</f>
        <v/>
      </c>
      <c r="CT126" s="525">
        <f>+BF126-(BS126+CB126+CK126)</f>
        <v/>
      </c>
      <c r="CU126" s="525">
        <f>BT126+CC126+CL126</f>
        <v/>
      </c>
      <c r="CV126" s="525">
        <f>SUM(CN126:CT126)</f>
        <v/>
      </c>
    </row>
    <row r="127" ht="21" customFormat="1" customHeight="1" s="230">
      <c r="A127" s="453" t="n"/>
      <c r="B127" s="309" t="n"/>
      <c r="C127" s="287">
        <f>IF($A127=0,"",(VLOOKUP(A127,[3]MAT!$B$5:$D$4756,3,FALSE)))</f>
        <v/>
      </c>
      <c r="D127" s="288" t="inlineStr"/>
      <c r="E127" s="507" t="n"/>
      <c r="F127" s="526" t="n"/>
      <c r="G127" s="527" t="n"/>
      <c r="H127" s="510" t="n"/>
      <c r="I127" s="511" t="n"/>
      <c r="J127" s="512" t="n"/>
      <c r="K127" s="512" t="n"/>
      <c r="L127" s="513" t="n"/>
      <c r="M127" s="510" t="n"/>
      <c r="N127" s="526" t="n"/>
      <c r="O127" s="512" t="n"/>
      <c r="P127" s="512" t="n"/>
      <c r="Q127" s="512" t="n"/>
      <c r="R127" s="512" t="n"/>
      <c r="S127" s="512" t="n"/>
      <c r="T127" s="512" t="n"/>
      <c r="U127" s="512" t="n"/>
      <c r="V127" s="512" t="n"/>
      <c r="W127" s="512" t="n"/>
      <c r="X127" s="512" t="n"/>
      <c r="Y127" s="512" t="n"/>
      <c r="Z127" s="512" t="n"/>
      <c r="AA127" s="512" t="n"/>
      <c r="AB127" s="512" t="n"/>
      <c r="AC127" s="512" t="n"/>
      <c r="AD127" s="512" t="n"/>
      <c r="AE127" s="510" t="n"/>
      <c r="AF127" s="511" t="n"/>
      <c r="AG127" s="512" t="n"/>
      <c r="AH127" s="512" t="n"/>
      <c r="AI127" s="513" t="n"/>
      <c r="AJ127" s="510" t="n"/>
      <c r="AK127" s="513" t="n"/>
      <c r="AL127" s="513" t="n"/>
      <c r="AM127" s="513" t="n"/>
      <c r="AN127" s="513" t="n"/>
      <c r="AO127" s="513" t="n"/>
      <c r="AP127" s="513" t="n"/>
      <c r="AQ127" s="513" t="n"/>
      <c r="AR127" s="513" t="n"/>
      <c r="AS127" s="513" t="n"/>
      <c r="AT127" s="513" t="n"/>
      <c r="AU127" s="510" t="n"/>
      <c r="AV127" s="527" t="n"/>
      <c r="AW127" s="514" t="n"/>
      <c r="AX127" s="514" t="n"/>
      <c r="AY127" s="514" t="n"/>
      <c r="AZ127" s="514" t="n"/>
      <c r="BA127" s="510">
        <f>SUM(AV127:AZ127)</f>
        <v/>
      </c>
      <c r="BB127" s="511" t="n"/>
      <c r="BC127" s="512" t="n"/>
      <c r="BD127" s="512" t="n"/>
      <c r="BE127" s="512" t="n"/>
      <c r="BF127" s="510">
        <f>SUM(BB127:BE127)</f>
        <v/>
      </c>
      <c r="BG127" s="518" t="n"/>
      <c r="BH127" s="519">
        <f>H127+M127+AE127+AJ127+AU127+BA127+BF127</f>
        <v/>
      </c>
      <c r="BI127" s="528">
        <f>IF(E127-BH127&lt;0, BH127-E127, )</f>
        <v/>
      </c>
      <c r="BJ127" s="529">
        <f>IF(E127-BH127&lt;0, ,E127-BH127)</f>
        <v/>
      </c>
      <c r="BK127" s="530" t="n"/>
      <c r="BM127" s="523" t="n"/>
      <c r="BN127" s="523" t="n"/>
      <c r="BO127" s="523" t="n"/>
      <c r="BP127" s="523" t="n"/>
      <c r="BQ127" s="523" t="n"/>
      <c r="BR127" s="523" t="n"/>
      <c r="BS127" s="523" t="n"/>
      <c r="BT127" s="518">
        <f>SUM(BM127:BS127)</f>
        <v/>
      </c>
      <c r="BU127" s="518" t="n"/>
      <c r="BV127" s="523" t="n"/>
      <c r="BW127" s="523" t="n"/>
      <c r="BX127" s="523" t="n"/>
      <c r="BY127" s="523" t="n"/>
      <c r="BZ127" s="523" t="n"/>
      <c r="CA127" s="523" t="n"/>
      <c r="CB127" s="523" t="n"/>
      <c r="CC127" s="518">
        <f>SUM(BV127:CB127)</f>
        <v/>
      </c>
      <c r="CD127" s="518" t="n"/>
      <c r="CE127" s="523" t="n"/>
      <c r="CF127" s="523" t="n"/>
      <c r="CG127" s="523" t="n"/>
      <c r="CH127" s="523" t="n"/>
      <c r="CI127" s="523" t="n"/>
      <c r="CJ127" s="523" t="n"/>
      <c r="CK127" s="523" t="n"/>
      <c r="CL127" s="518">
        <f>SUM(CE127:CK127)</f>
        <v/>
      </c>
      <c r="CN127" s="525">
        <f>+H127-(BM127+BV127+CE127)</f>
        <v/>
      </c>
      <c r="CO127" s="525">
        <f>+M127-(BN127+BW127+CF127)</f>
        <v/>
      </c>
      <c r="CP127" s="525">
        <f>+AE127-(BO127+BX127+CG127)</f>
        <v/>
      </c>
      <c r="CQ127" s="525">
        <f>+AJ127-(BP127+BY127+CH127)</f>
        <v/>
      </c>
      <c r="CR127" s="525">
        <f>+AU127-(BQ127+BZ127+CI127)</f>
        <v/>
      </c>
      <c r="CS127" s="525">
        <f>+BA127-(BR127+CA127+CJ127)</f>
        <v/>
      </c>
      <c r="CT127" s="525">
        <f>+BF127-(BS127+CB127+CK127)</f>
        <v/>
      </c>
      <c r="CU127" s="525">
        <f>BT127+CC127+CL127</f>
        <v/>
      </c>
      <c r="CV127" s="525">
        <f>SUM(CN127:CT127)</f>
        <v/>
      </c>
    </row>
    <row r="128" ht="21" customFormat="1" customHeight="1" s="230">
      <c r="A128" s="453" t="n"/>
      <c r="B128" s="309" t="n"/>
      <c r="C128" s="287">
        <f>IF($A128=0,"",(VLOOKUP(A128,[3]MAT!$B$5:$D$4756,3,FALSE)))</f>
        <v/>
      </c>
      <c r="D128" s="288" t="inlineStr"/>
      <c r="E128" s="507" t="n"/>
      <c r="F128" s="526" t="n"/>
      <c r="G128" s="527" t="n"/>
      <c r="H128" s="510" t="n"/>
      <c r="I128" s="511" t="n"/>
      <c r="J128" s="512" t="n"/>
      <c r="K128" s="512" t="n"/>
      <c r="L128" s="513" t="n"/>
      <c r="M128" s="510" t="n"/>
      <c r="N128" s="526" t="n"/>
      <c r="O128" s="512" t="n"/>
      <c r="P128" s="512" t="n"/>
      <c r="Q128" s="512" t="n"/>
      <c r="R128" s="512" t="n"/>
      <c r="S128" s="512" t="n"/>
      <c r="T128" s="512" t="n"/>
      <c r="U128" s="512" t="n"/>
      <c r="V128" s="512" t="n"/>
      <c r="W128" s="512" t="n"/>
      <c r="X128" s="512" t="n"/>
      <c r="Y128" s="512" t="n"/>
      <c r="Z128" s="512" t="n"/>
      <c r="AA128" s="512" t="n"/>
      <c r="AB128" s="512" t="n"/>
      <c r="AC128" s="512" t="n"/>
      <c r="AD128" s="512" t="n"/>
      <c r="AE128" s="510" t="n"/>
      <c r="AF128" s="511" t="n"/>
      <c r="AG128" s="512" t="n"/>
      <c r="AH128" s="512" t="n"/>
      <c r="AI128" s="513" t="n"/>
      <c r="AJ128" s="510" t="n"/>
      <c r="AK128" s="513" t="n"/>
      <c r="AL128" s="513" t="n"/>
      <c r="AM128" s="513" t="n"/>
      <c r="AN128" s="513" t="n"/>
      <c r="AO128" s="513" t="n"/>
      <c r="AP128" s="513" t="n"/>
      <c r="AQ128" s="513" t="n"/>
      <c r="AR128" s="513" t="n"/>
      <c r="AS128" s="513" t="n"/>
      <c r="AT128" s="513" t="n"/>
      <c r="AU128" s="510" t="n"/>
      <c r="AV128" s="527" t="n"/>
      <c r="AW128" s="514" t="n"/>
      <c r="AX128" s="514" t="n"/>
      <c r="AY128" s="514" t="n"/>
      <c r="AZ128" s="514" t="n"/>
      <c r="BA128" s="510">
        <f>SUM(AV128:AZ128)</f>
        <v/>
      </c>
      <c r="BB128" s="511" t="n"/>
      <c r="BC128" s="512" t="n"/>
      <c r="BD128" s="512" t="n"/>
      <c r="BE128" s="512" t="n"/>
      <c r="BF128" s="510">
        <f>SUM(BB128:BE128)</f>
        <v/>
      </c>
      <c r="BG128" s="518" t="n"/>
      <c r="BH128" s="519">
        <f>H128+M128+AE128+AJ128+AU128+BA128+BF128</f>
        <v/>
      </c>
      <c r="BI128" s="528">
        <f>IF(E128-BH128&lt;0, BH128-E128, )</f>
        <v/>
      </c>
      <c r="BJ128" s="529">
        <f>IF(E128-BH128&lt;0, ,E128-BH128)</f>
        <v/>
      </c>
      <c r="BK128" s="530" t="n"/>
      <c r="BM128" s="523" t="n"/>
      <c r="BN128" s="523" t="n"/>
      <c r="BO128" s="523" t="n"/>
      <c r="BP128" s="523" t="n"/>
      <c r="BQ128" s="523" t="n"/>
      <c r="BR128" s="523" t="n"/>
      <c r="BS128" s="523" t="n"/>
      <c r="BT128" s="518">
        <f>SUM(BM128:BS128)</f>
        <v/>
      </c>
      <c r="BU128" s="518" t="n"/>
      <c r="BV128" s="523" t="n"/>
      <c r="BW128" s="523" t="n"/>
      <c r="BX128" s="523" t="n"/>
      <c r="BY128" s="523" t="n"/>
      <c r="BZ128" s="523" t="n"/>
      <c r="CA128" s="523" t="n"/>
      <c r="CB128" s="523" t="n"/>
      <c r="CC128" s="518">
        <f>SUM(BV128:CB128)</f>
        <v/>
      </c>
      <c r="CD128" s="518" t="n"/>
      <c r="CE128" s="523" t="n"/>
      <c r="CF128" s="523" t="n"/>
      <c r="CG128" s="523" t="n"/>
      <c r="CH128" s="523" t="n"/>
      <c r="CI128" s="523" t="n"/>
      <c r="CJ128" s="523" t="n"/>
      <c r="CK128" s="523" t="n"/>
      <c r="CL128" s="518">
        <f>SUM(CE128:CK128)</f>
        <v/>
      </c>
      <c r="CN128" s="525">
        <f>+H128-(BM128+BV128+CE128)</f>
        <v/>
      </c>
      <c r="CO128" s="525">
        <f>+M128-(BN128+BW128+CF128)</f>
        <v/>
      </c>
      <c r="CP128" s="525">
        <f>+AE128-(BO128+BX128+CG128)</f>
        <v/>
      </c>
      <c r="CQ128" s="525">
        <f>+AJ128-(BP128+BY128+CH128)</f>
        <v/>
      </c>
      <c r="CR128" s="525">
        <f>+AU128-(BQ128+BZ128+CI128)</f>
        <v/>
      </c>
      <c r="CS128" s="525">
        <f>+BA128-(BR128+CA128+CJ128)</f>
        <v/>
      </c>
      <c r="CT128" s="525">
        <f>+BF128-(BS128+CB128+CK128)</f>
        <v/>
      </c>
      <c r="CU128" s="525">
        <f>BT128+CC128+CL128</f>
        <v/>
      </c>
      <c r="CV128" s="525">
        <f>SUM(CN128:CT128)</f>
        <v/>
      </c>
    </row>
    <row r="129" ht="21" customFormat="1" customHeight="1" s="230">
      <c r="A129" s="453" t="n"/>
      <c r="B129" s="309" t="n"/>
      <c r="C129" s="287">
        <f>IF($A129=0,"",(VLOOKUP(A129,[3]MAT!$B$5:$D$4756,3,FALSE)))</f>
        <v/>
      </c>
      <c r="D129" s="288" t="inlineStr"/>
      <c r="E129" s="507" t="n"/>
      <c r="F129" s="526" t="n"/>
      <c r="G129" s="527" t="n"/>
      <c r="H129" s="510" t="n"/>
      <c r="I129" s="511" t="n"/>
      <c r="J129" s="512" t="n"/>
      <c r="K129" s="512" t="n"/>
      <c r="L129" s="513" t="n"/>
      <c r="M129" s="510" t="n"/>
      <c r="N129" s="526" t="n"/>
      <c r="O129" s="512" t="n"/>
      <c r="P129" s="512" t="n"/>
      <c r="Q129" s="512" t="n"/>
      <c r="R129" s="512" t="n"/>
      <c r="S129" s="512" t="n"/>
      <c r="T129" s="512" t="n"/>
      <c r="U129" s="512" t="n"/>
      <c r="V129" s="512" t="n"/>
      <c r="W129" s="512" t="n"/>
      <c r="X129" s="512" t="n"/>
      <c r="Y129" s="512" t="n"/>
      <c r="Z129" s="512" t="n"/>
      <c r="AA129" s="512" t="n"/>
      <c r="AB129" s="512" t="n"/>
      <c r="AC129" s="512" t="n"/>
      <c r="AD129" s="512" t="n"/>
      <c r="AE129" s="510" t="n"/>
      <c r="AF129" s="511" t="n"/>
      <c r="AG129" s="512" t="n"/>
      <c r="AH129" s="512" t="n"/>
      <c r="AI129" s="513" t="n"/>
      <c r="AJ129" s="510" t="n"/>
      <c r="AK129" s="513" t="n"/>
      <c r="AL129" s="513" t="n"/>
      <c r="AM129" s="513" t="n"/>
      <c r="AN129" s="513" t="n"/>
      <c r="AO129" s="513" t="n"/>
      <c r="AP129" s="513" t="n"/>
      <c r="AQ129" s="513" t="n"/>
      <c r="AR129" s="513" t="n"/>
      <c r="AS129" s="513" t="n"/>
      <c r="AT129" s="513" t="n"/>
      <c r="AU129" s="510" t="n"/>
      <c r="AV129" s="527" t="n"/>
      <c r="AW129" s="514" t="n"/>
      <c r="AX129" s="514" t="n"/>
      <c r="AY129" s="514" t="n"/>
      <c r="AZ129" s="514" t="n"/>
      <c r="BA129" s="510">
        <f>SUM(AV129:AZ129)</f>
        <v/>
      </c>
      <c r="BB129" s="511" t="n"/>
      <c r="BC129" s="512" t="n"/>
      <c r="BD129" s="512" t="n"/>
      <c r="BE129" s="512" t="n"/>
      <c r="BF129" s="510">
        <f>SUM(BB129:BE129)</f>
        <v/>
      </c>
      <c r="BG129" s="518" t="n"/>
      <c r="BH129" s="519">
        <f>H129+M129+AE129+AJ129+AU129+BA129+BF129</f>
        <v/>
      </c>
      <c r="BI129" s="528">
        <f>IF(E129-BH129&lt;0, BH129-E129, )</f>
        <v/>
      </c>
      <c r="BJ129" s="529">
        <f>IF(E129-BH129&lt;0, ,E129-BH129)</f>
        <v/>
      </c>
      <c r="BK129" s="530" t="n"/>
      <c r="BM129" s="523" t="n"/>
      <c r="BN129" s="523" t="n"/>
      <c r="BO129" s="523" t="n"/>
      <c r="BP129" s="523" t="n"/>
      <c r="BQ129" s="523" t="n"/>
      <c r="BR129" s="523" t="n"/>
      <c r="BS129" s="523" t="n"/>
      <c r="BT129" s="518">
        <f>SUM(BM129:BS129)</f>
        <v/>
      </c>
      <c r="BU129" s="518" t="n"/>
      <c r="BV129" s="523" t="n"/>
      <c r="BW129" s="523" t="n"/>
      <c r="BX129" s="523" t="n"/>
      <c r="BY129" s="523" t="n"/>
      <c r="BZ129" s="523" t="n"/>
      <c r="CA129" s="523" t="n"/>
      <c r="CB129" s="523" t="n"/>
      <c r="CC129" s="518">
        <f>SUM(BV129:CB129)</f>
        <v/>
      </c>
      <c r="CD129" s="518" t="n"/>
      <c r="CE129" s="523" t="n"/>
      <c r="CF129" s="523" t="n"/>
      <c r="CG129" s="523" t="n"/>
      <c r="CH129" s="523" t="n"/>
      <c r="CI129" s="523" t="n"/>
      <c r="CJ129" s="523" t="n"/>
      <c r="CK129" s="523" t="n"/>
      <c r="CL129" s="518">
        <f>SUM(CE129:CK129)</f>
        <v/>
      </c>
      <c r="CN129" s="525">
        <f>+H129-(BM129+BV129+CE129)</f>
        <v/>
      </c>
      <c r="CO129" s="525">
        <f>+M129-(BN129+BW129+CF129)</f>
        <v/>
      </c>
      <c r="CP129" s="525">
        <f>+AE129-(BO129+BX129+CG129)</f>
        <v/>
      </c>
      <c r="CQ129" s="525">
        <f>+AJ129-(BP129+BY129+CH129)</f>
        <v/>
      </c>
      <c r="CR129" s="525">
        <f>+AU129-(BQ129+BZ129+CI129)</f>
        <v/>
      </c>
      <c r="CS129" s="525">
        <f>+BA129-(BR129+CA129+CJ129)</f>
        <v/>
      </c>
      <c r="CT129" s="525">
        <f>+BF129-(BS129+CB129+CK129)</f>
        <v/>
      </c>
      <c r="CU129" s="525">
        <f>BT129+CC129+CL129</f>
        <v/>
      </c>
      <c r="CV129" s="525">
        <f>SUM(CN129:CT129)</f>
        <v/>
      </c>
    </row>
    <row r="130" ht="21" customFormat="1" customHeight="1" s="230">
      <c r="A130" s="453" t="n"/>
      <c r="B130" s="309" t="n"/>
      <c r="C130" s="287">
        <f>IF($A130=0,"",(VLOOKUP(A130,[3]MAT!$B$5:$D$4756,3,FALSE)))</f>
        <v/>
      </c>
      <c r="D130" s="288" t="inlineStr"/>
      <c r="E130" s="507" t="n"/>
      <c r="F130" s="526" t="n"/>
      <c r="G130" s="527" t="n"/>
      <c r="H130" s="510" t="n"/>
      <c r="I130" s="511" t="n"/>
      <c r="J130" s="512" t="n"/>
      <c r="K130" s="512" t="n"/>
      <c r="L130" s="513" t="n"/>
      <c r="M130" s="510" t="n"/>
      <c r="N130" s="526" t="n"/>
      <c r="O130" s="512" t="n"/>
      <c r="P130" s="512" t="n"/>
      <c r="Q130" s="512" t="n"/>
      <c r="R130" s="512" t="n"/>
      <c r="S130" s="512" t="n"/>
      <c r="T130" s="512" t="n"/>
      <c r="U130" s="512" t="n"/>
      <c r="V130" s="512" t="n"/>
      <c r="W130" s="512" t="n"/>
      <c r="X130" s="512" t="n"/>
      <c r="Y130" s="512" t="n"/>
      <c r="Z130" s="512" t="n"/>
      <c r="AA130" s="512" t="n"/>
      <c r="AB130" s="512" t="n"/>
      <c r="AC130" s="512" t="n"/>
      <c r="AD130" s="512" t="n"/>
      <c r="AE130" s="510" t="n"/>
      <c r="AF130" s="511" t="n"/>
      <c r="AG130" s="512" t="n"/>
      <c r="AH130" s="512" t="n"/>
      <c r="AI130" s="513" t="n"/>
      <c r="AJ130" s="510" t="n"/>
      <c r="AK130" s="513" t="n"/>
      <c r="AL130" s="513" t="n"/>
      <c r="AM130" s="513" t="n"/>
      <c r="AN130" s="513" t="n"/>
      <c r="AO130" s="513" t="n"/>
      <c r="AP130" s="513" t="n"/>
      <c r="AQ130" s="513" t="n"/>
      <c r="AR130" s="513" t="n"/>
      <c r="AS130" s="513" t="n"/>
      <c r="AT130" s="513" t="n"/>
      <c r="AU130" s="510" t="n"/>
      <c r="AV130" s="527" t="n"/>
      <c r="AW130" s="514" t="n"/>
      <c r="AX130" s="514" t="n"/>
      <c r="AY130" s="514" t="n"/>
      <c r="AZ130" s="514" t="n"/>
      <c r="BA130" s="510">
        <f>SUM(AV130:AZ130)</f>
        <v/>
      </c>
      <c r="BB130" s="511" t="n"/>
      <c r="BC130" s="512" t="n"/>
      <c r="BD130" s="512" t="n"/>
      <c r="BE130" s="512" t="n"/>
      <c r="BF130" s="510">
        <f>SUM(BB130:BE130)</f>
        <v/>
      </c>
      <c r="BG130" s="518" t="n"/>
      <c r="BH130" s="519">
        <f>H130+M130+AE130+AJ130+AU130+BA130+BF130</f>
        <v/>
      </c>
      <c r="BI130" s="528">
        <f>IF(E130-BH130&lt;0, BH130-E130, )</f>
        <v/>
      </c>
      <c r="BJ130" s="529">
        <f>IF(E130-BH130&lt;0, ,E130-BH130)</f>
        <v/>
      </c>
      <c r="BK130" s="530" t="n"/>
      <c r="BM130" s="523" t="n"/>
      <c r="BN130" s="523" t="n"/>
      <c r="BO130" s="523" t="n"/>
      <c r="BP130" s="523" t="n"/>
      <c r="BQ130" s="523" t="n"/>
      <c r="BR130" s="523" t="n"/>
      <c r="BS130" s="523" t="n"/>
      <c r="BT130" s="518">
        <f>SUM(BM130:BS130)</f>
        <v/>
      </c>
      <c r="BU130" s="518" t="n"/>
      <c r="BV130" s="523" t="n"/>
      <c r="BW130" s="523" t="n"/>
      <c r="BX130" s="523" t="n"/>
      <c r="BY130" s="523" t="n"/>
      <c r="BZ130" s="523" t="n"/>
      <c r="CA130" s="523" t="n"/>
      <c r="CB130" s="523" t="n"/>
      <c r="CC130" s="518">
        <f>SUM(BV130:CB130)</f>
        <v/>
      </c>
      <c r="CD130" s="518" t="n"/>
      <c r="CE130" s="523" t="n"/>
      <c r="CF130" s="523" t="n"/>
      <c r="CG130" s="523" t="n"/>
      <c r="CH130" s="523" t="n"/>
      <c r="CI130" s="523" t="n"/>
      <c r="CJ130" s="523" t="n"/>
      <c r="CK130" s="523" t="n"/>
      <c r="CL130" s="518">
        <f>SUM(CE130:CK130)</f>
        <v/>
      </c>
      <c r="CN130" s="525">
        <f>+H130-(BM130+BV130+CE130)</f>
        <v/>
      </c>
      <c r="CO130" s="525">
        <f>+M130-(BN130+BW130+CF130)</f>
        <v/>
      </c>
      <c r="CP130" s="525">
        <f>+AE130-(BO130+BX130+CG130)</f>
        <v/>
      </c>
      <c r="CQ130" s="525">
        <f>+AJ130-(BP130+BY130+CH130)</f>
        <v/>
      </c>
      <c r="CR130" s="525">
        <f>+AU130-(BQ130+BZ130+CI130)</f>
        <v/>
      </c>
      <c r="CS130" s="525">
        <f>+BA130-(BR130+CA130+CJ130)</f>
        <v/>
      </c>
      <c r="CT130" s="525">
        <f>+BF130-(BS130+CB130+CK130)</f>
        <v/>
      </c>
      <c r="CU130" s="525">
        <f>BT130+CC130+CL130</f>
        <v/>
      </c>
      <c r="CV130" s="525">
        <f>SUM(CN130:CT130)</f>
        <v/>
      </c>
    </row>
    <row r="131" ht="21" customFormat="1" customHeight="1" s="230">
      <c r="A131" s="453" t="n"/>
      <c r="B131" s="309" t="n"/>
      <c r="C131" s="287">
        <f>IF($A131=0,"",(VLOOKUP(A131,[3]MAT!$B$5:$D$4756,3,FALSE)))</f>
        <v/>
      </c>
      <c r="D131" s="288" t="inlineStr"/>
      <c r="E131" s="507" t="n"/>
      <c r="F131" s="526" t="n"/>
      <c r="G131" s="527" t="n"/>
      <c r="H131" s="510" t="n"/>
      <c r="I131" s="511" t="n"/>
      <c r="J131" s="512" t="n"/>
      <c r="K131" s="512" t="n"/>
      <c r="L131" s="513" t="n"/>
      <c r="M131" s="510" t="n"/>
      <c r="N131" s="526" t="n"/>
      <c r="O131" s="512" t="n"/>
      <c r="P131" s="512" t="n"/>
      <c r="Q131" s="512" t="n"/>
      <c r="R131" s="512" t="n"/>
      <c r="S131" s="512" t="n"/>
      <c r="T131" s="512" t="n"/>
      <c r="U131" s="512" t="n"/>
      <c r="V131" s="512" t="n"/>
      <c r="W131" s="512" t="n"/>
      <c r="X131" s="512" t="n"/>
      <c r="Y131" s="512" t="n"/>
      <c r="Z131" s="512" t="n"/>
      <c r="AA131" s="512" t="n"/>
      <c r="AB131" s="512" t="n"/>
      <c r="AC131" s="512" t="n"/>
      <c r="AD131" s="512" t="n"/>
      <c r="AE131" s="510" t="n"/>
      <c r="AF131" s="511" t="n"/>
      <c r="AG131" s="512" t="n"/>
      <c r="AH131" s="512" t="n"/>
      <c r="AI131" s="513" t="n"/>
      <c r="AJ131" s="510" t="n"/>
      <c r="AK131" s="513" t="n"/>
      <c r="AL131" s="513" t="n"/>
      <c r="AM131" s="513" t="n"/>
      <c r="AN131" s="513" t="n"/>
      <c r="AO131" s="513" t="n"/>
      <c r="AP131" s="513" t="n"/>
      <c r="AQ131" s="513" t="n"/>
      <c r="AR131" s="513" t="n"/>
      <c r="AS131" s="513" t="n"/>
      <c r="AT131" s="513" t="n"/>
      <c r="AU131" s="510" t="n"/>
      <c r="AV131" s="527" t="n"/>
      <c r="AW131" s="514" t="n"/>
      <c r="AX131" s="514" t="n"/>
      <c r="AY131" s="514" t="n"/>
      <c r="AZ131" s="514" t="n"/>
      <c r="BA131" s="510">
        <f>SUM(AV131:AZ131)</f>
        <v/>
      </c>
      <c r="BB131" s="511" t="n"/>
      <c r="BC131" s="512" t="n"/>
      <c r="BD131" s="512" t="n"/>
      <c r="BE131" s="512" t="n"/>
      <c r="BF131" s="510">
        <f>SUM(BB131:BE131)</f>
        <v/>
      </c>
      <c r="BG131" s="518" t="n"/>
      <c r="BH131" s="519">
        <f>H131+M131+AE131+AJ131+AU131+BA131+BF131</f>
        <v/>
      </c>
      <c r="BI131" s="528">
        <f>IF(E131-BH131&lt;0, BH131-E131, )</f>
        <v/>
      </c>
      <c r="BJ131" s="529">
        <f>IF(E131-BH131&lt;0, ,E131-BH131)</f>
        <v/>
      </c>
      <c r="BK131" s="530" t="n"/>
      <c r="BM131" s="523" t="n"/>
      <c r="BN131" s="523" t="n"/>
      <c r="BO131" s="523" t="n"/>
      <c r="BP131" s="523" t="n"/>
      <c r="BQ131" s="523" t="n"/>
      <c r="BR131" s="523" t="n"/>
      <c r="BS131" s="523" t="n"/>
      <c r="BT131" s="518">
        <f>SUM(BM131:BS131)</f>
        <v/>
      </c>
      <c r="BU131" s="518" t="n"/>
      <c r="BV131" s="523" t="n"/>
      <c r="BW131" s="523" t="n"/>
      <c r="BX131" s="523" t="n"/>
      <c r="BY131" s="523" t="n"/>
      <c r="BZ131" s="523" t="n"/>
      <c r="CA131" s="523" t="n"/>
      <c r="CB131" s="523" t="n"/>
      <c r="CC131" s="518">
        <f>SUM(BV131:CB131)</f>
        <v/>
      </c>
      <c r="CD131" s="518" t="n"/>
      <c r="CE131" s="523" t="n"/>
      <c r="CF131" s="523" t="n"/>
      <c r="CG131" s="523" t="n"/>
      <c r="CH131" s="523" t="n"/>
      <c r="CI131" s="523" t="n"/>
      <c r="CJ131" s="523" t="n"/>
      <c r="CK131" s="523" t="n"/>
      <c r="CL131" s="518">
        <f>SUM(CE131:CK131)</f>
        <v/>
      </c>
      <c r="CN131" s="525">
        <f>+H131-(BM131+BV131+CE131)</f>
        <v/>
      </c>
      <c r="CO131" s="525">
        <f>+M131-(BN131+BW131+CF131)</f>
        <v/>
      </c>
      <c r="CP131" s="525">
        <f>+AE131-(BO131+BX131+CG131)</f>
        <v/>
      </c>
      <c r="CQ131" s="525">
        <f>+AJ131-(BP131+BY131+CH131)</f>
        <v/>
      </c>
      <c r="CR131" s="525">
        <f>+AU131-(BQ131+BZ131+CI131)</f>
        <v/>
      </c>
      <c r="CS131" s="525">
        <f>+BA131-(BR131+CA131+CJ131)</f>
        <v/>
      </c>
      <c r="CT131" s="525">
        <f>+BF131-(BS131+CB131+CK131)</f>
        <v/>
      </c>
      <c r="CU131" s="525">
        <f>BT131+CC131+CL131</f>
        <v/>
      </c>
      <c r="CV131" s="525">
        <f>SUM(CN131:CT131)</f>
        <v/>
      </c>
    </row>
    <row r="132" ht="21" customFormat="1" customHeight="1" s="230">
      <c r="A132" s="453" t="n"/>
      <c r="B132" s="309" t="n"/>
      <c r="C132" s="287">
        <f>IF($A132=0,"",(VLOOKUP(A132,[3]MAT!$B$5:$D$4756,3,FALSE)))</f>
        <v/>
      </c>
      <c r="D132" s="288" t="inlineStr"/>
      <c r="E132" s="507" t="n"/>
      <c r="F132" s="526" t="n"/>
      <c r="G132" s="527" t="n"/>
      <c r="H132" s="510" t="n"/>
      <c r="I132" s="511" t="n"/>
      <c r="J132" s="512" t="n"/>
      <c r="K132" s="512" t="n"/>
      <c r="L132" s="513" t="n"/>
      <c r="M132" s="510" t="n"/>
      <c r="N132" s="526" t="n"/>
      <c r="O132" s="512" t="n"/>
      <c r="P132" s="512" t="n"/>
      <c r="Q132" s="512" t="n"/>
      <c r="R132" s="512" t="n"/>
      <c r="S132" s="512" t="n"/>
      <c r="T132" s="512" t="n"/>
      <c r="U132" s="512" t="n"/>
      <c r="V132" s="512" t="n"/>
      <c r="W132" s="512" t="n"/>
      <c r="X132" s="512" t="n"/>
      <c r="Y132" s="512" t="n"/>
      <c r="Z132" s="512" t="n"/>
      <c r="AA132" s="512" t="n"/>
      <c r="AB132" s="512" t="n"/>
      <c r="AC132" s="512" t="n"/>
      <c r="AD132" s="512" t="n"/>
      <c r="AE132" s="510" t="n"/>
      <c r="AF132" s="511" t="n"/>
      <c r="AG132" s="512" t="n"/>
      <c r="AH132" s="512" t="n"/>
      <c r="AI132" s="513" t="n"/>
      <c r="AJ132" s="510" t="n"/>
      <c r="AK132" s="513" t="n"/>
      <c r="AL132" s="513" t="n"/>
      <c r="AM132" s="513" t="n"/>
      <c r="AN132" s="513" t="n"/>
      <c r="AO132" s="513" t="n"/>
      <c r="AP132" s="513" t="n"/>
      <c r="AQ132" s="513" t="n"/>
      <c r="AR132" s="513" t="n"/>
      <c r="AS132" s="513" t="n"/>
      <c r="AT132" s="513" t="n"/>
      <c r="AU132" s="510" t="n"/>
      <c r="AV132" s="527" t="n"/>
      <c r="AW132" s="514" t="n"/>
      <c r="AX132" s="514" t="n"/>
      <c r="AY132" s="514" t="n"/>
      <c r="AZ132" s="514" t="n"/>
      <c r="BA132" s="510">
        <f>SUM(AV132:AZ132)</f>
        <v/>
      </c>
      <c r="BB132" s="511" t="n"/>
      <c r="BC132" s="512" t="n"/>
      <c r="BD132" s="512" t="n"/>
      <c r="BE132" s="512" t="n"/>
      <c r="BF132" s="510">
        <f>SUM(BB132:BE132)</f>
        <v/>
      </c>
      <c r="BG132" s="518" t="n"/>
      <c r="BH132" s="519">
        <f>H132+M132+AE132+AJ132+AU132+BA132+BF132</f>
        <v/>
      </c>
      <c r="BI132" s="528">
        <f>IF(E132-BH132&lt;0, BH132-E132, )</f>
        <v/>
      </c>
      <c r="BJ132" s="529">
        <f>IF(E132-BH132&lt;0, ,E132-BH132)</f>
        <v/>
      </c>
      <c r="BK132" s="530" t="n"/>
      <c r="BM132" s="523" t="n"/>
      <c r="BN132" s="523" t="n"/>
      <c r="BO132" s="523" t="n"/>
      <c r="BP132" s="523" t="n"/>
      <c r="BQ132" s="523" t="n"/>
      <c r="BR132" s="523" t="n"/>
      <c r="BS132" s="523" t="n"/>
      <c r="BT132" s="518">
        <f>SUM(BM132:BS132)</f>
        <v/>
      </c>
      <c r="BU132" s="518" t="n"/>
      <c r="BV132" s="523" t="n"/>
      <c r="BW132" s="523" t="n"/>
      <c r="BX132" s="523" t="n"/>
      <c r="BY132" s="523" t="n"/>
      <c r="BZ132" s="523" t="n"/>
      <c r="CA132" s="523" t="n"/>
      <c r="CB132" s="523" t="n"/>
      <c r="CC132" s="518">
        <f>SUM(BV132:CB132)</f>
        <v/>
      </c>
      <c r="CD132" s="518" t="n"/>
      <c r="CE132" s="523" t="n"/>
      <c r="CF132" s="523" t="n"/>
      <c r="CG132" s="523" t="n"/>
      <c r="CH132" s="523" t="n"/>
      <c r="CI132" s="523" t="n"/>
      <c r="CJ132" s="523" t="n"/>
      <c r="CK132" s="523" t="n"/>
      <c r="CL132" s="518">
        <f>SUM(CE132:CK132)</f>
        <v/>
      </c>
      <c r="CN132" s="525">
        <f>+H132-(BM132+BV132+CE132)</f>
        <v/>
      </c>
      <c r="CO132" s="525">
        <f>+M132-(BN132+BW132+CF132)</f>
        <v/>
      </c>
      <c r="CP132" s="525">
        <f>+AE132-(BO132+BX132+CG132)</f>
        <v/>
      </c>
      <c r="CQ132" s="525">
        <f>+AJ132-(BP132+BY132+CH132)</f>
        <v/>
      </c>
      <c r="CR132" s="525">
        <f>+AU132-(BQ132+BZ132+CI132)</f>
        <v/>
      </c>
      <c r="CS132" s="525">
        <f>+BA132-(BR132+CA132+CJ132)</f>
        <v/>
      </c>
      <c r="CT132" s="525">
        <f>+BF132-(BS132+CB132+CK132)</f>
        <v/>
      </c>
      <c r="CU132" s="525">
        <f>BT132+CC132+CL132</f>
        <v/>
      </c>
      <c r="CV132" s="525">
        <f>SUM(CN132:CT132)</f>
        <v/>
      </c>
    </row>
    <row r="133" ht="21" customFormat="1" customHeight="1" s="230">
      <c r="A133" s="453" t="n"/>
      <c r="B133" s="309" t="n"/>
      <c r="C133" s="287">
        <f>IF($A133=0,"",(VLOOKUP(A133,[3]MAT!$B$5:$D$4756,3,FALSE)))</f>
        <v/>
      </c>
      <c r="D133" s="288" t="inlineStr"/>
      <c r="E133" s="507" t="n"/>
      <c r="F133" s="526" t="n"/>
      <c r="G133" s="527" t="n"/>
      <c r="H133" s="510" t="n"/>
      <c r="I133" s="511" t="n"/>
      <c r="J133" s="512" t="n"/>
      <c r="K133" s="512" t="n"/>
      <c r="L133" s="513" t="n"/>
      <c r="M133" s="510" t="n"/>
      <c r="N133" s="526" t="n"/>
      <c r="O133" s="512" t="n"/>
      <c r="P133" s="512" t="n"/>
      <c r="Q133" s="512" t="n"/>
      <c r="R133" s="512" t="n"/>
      <c r="S133" s="512" t="n"/>
      <c r="T133" s="512" t="n"/>
      <c r="U133" s="512" t="n"/>
      <c r="V133" s="512" t="n"/>
      <c r="W133" s="512" t="n"/>
      <c r="X133" s="512" t="n"/>
      <c r="Y133" s="512" t="n"/>
      <c r="Z133" s="512" t="n"/>
      <c r="AA133" s="512" t="n"/>
      <c r="AB133" s="512" t="n"/>
      <c r="AC133" s="512" t="n"/>
      <c r="AD133" s="512" t="n"/>
      <c r="AE133" s="510" t="n"/>
      <c r="AF133" s="511" t="n"/>
      <c r="AG133" s="512" t="n"/>
      <c r="AH133" s="512" t="n"/>
      <c r="AI133" s="513" t="n"/>
      <c r="AJ133" s="510" t="n"/>
      <c r="AK133" s="513" t="n"/>
      <c r="AL133" s="513" t="n"/>
      <c r="AM133" s="513" t="n"/>
      <c r="AN133" s="513" t="n"/>
      <c r="AO133" s="513" t="n"/>
      <c r="AP133" s="513" t="n"/>
      <c r="AQ133" s="513" t="n"/>
      <c r="AR133" s="513" t="n"/>
      <c r="AS133" s="513" t="n"/>
      <c r="AT133" s="513" t="n"/>
      <c r="AU133" s="510" t="n"/>
      <c r="AV133" s="527" t="n"/>
      <c r="AW133" s="514" t="n"/>
      <c r="AX133" s="514" t="n"/>
      <c r="AY133" s="514" t="n"/>
      <c r="AZ133" s="514" t="n"/>
      <c r="BA133" s="510">
        <f>SUM(AV133:AZ133)</f>
        <v/>
      </c>
      <c r="BB133" s="511" t="n"/>
      <c r="BC133" s="512" t="n"/>
      <c r="BD133" s="512" t="n"/>
      <c r="BE133" s="512" t="n"/>
      <c r="BF133" s="510">
        <f>SUM(BB133:BE133)</f>
        <v/>
      </c>
      <c r="BG133" s="518" t="n"/>
      <c r="BH133" s="519">
        <f>H133+M133+AE133+AJ133+AU133+BA133+BF133</f>
        <v/>
      </c>
      <c r="BI133" s="528">
        <f>IF(E133-BH133&lt;0, BH133-E133, )</f>
        <v/>
      </c>
      <c r="BJ133" s="529">
        <f>IF(E133-BH133&lt;0, ,E133-BH133)</f>
        <v/>
      </c>
      <c r="BK133" s="530" t="n"/>
      <c r="BM133" s="523" t="n"/>
      <c r="BN133" s="523" t="n"/>
      <c r="BO133" s="523" t="n"/>
      <c r="BP133" s="523" t="n"/>
      <c r="BQ133" s="523" t="n"/>
      <c r="BR133" s="523" t="n"/>
      <c r="BS133" s="523" t="n"/>
      <c r="BT133" s="518">
        <f>SUM(BM133:BS133)</f>
        <v/>
      </c>
      <c r="BU133" s="518" t="n"/>
      <c r="BV133" s="523" t="n"/>
      <c r="BW133" s="523" t="n"/>
      <c r="BX133" s="523" t="n"/>
      <c r="BY133" s="523" t="n"/>
      <c r="BZ133" s="523" t="n"/>
      <c r="CA133" s="523" t="n"/>
      <c r="CB133" s="523" t="n"/>
      <c r="CC133" s="518">
        <f>SUM(BV133:CB133)</f>
        <v/>
      </c>
      <c r="CD133" s="518" t="n"/>
      <c r="CE133" s="523" t="n"/>
      <c r="CF133" s="523" t="n"/>
      <c r="CG133" s="523" t="n"/>
      <c r="CH133" s="523" t="n"/>
      <c r="CI133" s="523" t="n"/>
      <c r="CJ133" s="523" t="n"/>
      <c r="CK133" s="523" t="n"/>
      <c r="CL133" s="518">
        <f>SUM(CE133:CK133)</f>
        <v/>
      </c>
      <c r="CN133" s="525">
        <f>+H133-(BM133+BV133+CE133)</f>
        <v/>
      </c>
      <c r="CO133" s="525">
        <f>+M133-(BN133+BW133+CF133)</f>
        <v/>
      </c>
      <c r="CP133" s="525">
        <f>+AE133-(BO133+BX133+CG133)</f>
        <v/>
      </c>
      <c r="CQ133" s="525">
        <f>+AJ133-(BP133+BY133+CH133)</f>
        <v/>
      </c>
      <c r="CR133" s="525">
        <f>+AU133-(BQ133+BZ133+CI133)</f>
        <v/>
      </c>
      <c r="CS133" s="525">
        <f>+BA133-(BR133+CA133+CJ133)</f>
        <v/>
      </c>
      <c r="CT133" s="525">
        <f>+BF133-(BS133+CB133+CK133)</f>
        <v/>
      </c>
      <c r="CU133" s="525">
        <f>BT133+CC133+CL133</f>
        <v/>
      </c>
      <c r="CV133" s="525">
        <f>SUM(CN133:CT133)</f>
        <v/>
      </c>
    </row>
    <row r="134" ht="21" customFormat="1" customHeight="1" s="230">
      <c r="A134" s="453" t="n"/>
      <c r="B134" s="309" t="n"/>
      <c r="C134" s="287">
        <f>IF($A134=0,"",(VLOOKUP(A134,[3]MAT!$B$5:$D$4756,3,FALSE)))</f>
        <v/>
      </c>
      <c r="D134" s="288" t="inlineStr"/>
      <c r="E134" s="507" t="n"/>
      <c r="F134" s="526" t="n"/>
      <c r="G134" s="527" t="n"/>
      <c r="H134" s="510" t="n"/>
      <c r="I134" s="511" t="n"/>
      <c r="J134" s="512" t="n"/>
      <c r="K134" s="512" t="n"/>
      <c r="L134" s="513" t="n"/>
      <c r="M134" s="510" t="n"/>
      <c r="N134" s="526" t="n"/>
      <c r="O134" s="512" t="n"/>
      <c r="P134" s="512" t="n"/>
      <c r="Q134" s="512" t="n"/>
      <c r="R134" s="512" t="n"/>
      <c r="S134" s="512" t="n"/>
      <c r="T134" s="512" t="n"/>
      <c r="U134" s="512" t="n"/>
      <c r="V134" s="512" t="n"/>
      <c r="W134" s="512" t="n"/>
      <c r="X134" s="512" t="n"/>
      <c r="Y134" s="512" t="n"/>
      <c r="Z134" s="512" t="n"/>
      <c r="AA134" s="512" t="n"/>
      <c r="AB134" s="512" t="n"/>
      <c r="AC134" s="512" t="n"/>
      <c r="AD134" s="512" t="n"/>
      <c r="AE134" s="510" t="n"/>
      <c r="AF134" s="511" t="n"/>
      <c r="AG134" s="512" t="n"/>
      <c r="AH134" s="512" t="n"/>
      <c r="AI134" s="513" t="n"/>
      <c r="AJ134" s="510" t="n"/>
      <c r="AK134" s="513" t="n"/>
      <c r="AL134" s="513" t="n"/>
      <c r="AM134" s="513" t="n"/>
      <c r="AN134" s="513" t="n"/>
      <c r="AO134" s="513" t="n"/>
      <c r="AP134" s="513" t="n"/>
      <c r="AQ134" s="513" t="n"/>
      <c r="AR134" s="513" t="n"/>
      <c r="AS134" s="513" t="n"/>
      <c r="AT134" s="513" t="n"/>
      <c r="AU134" s="510" t="n"/>
      <c r="AV134" s="527" t="n"/>
      <c r="AW134" s="514" t="n"/>
      <c r="AX134" s="514" t="n"/>
      <c r="AY134" s="514" t="n"/>
      <c r="AZ134" s="514" t="n"/>
      <c r="BA134" s="510">
        <f>SUM(AV134:AZ134)</f>
        <v/>
      </c>
      <c r="BB134" s="511" t="n"/>
      <c r="BC134" s="512" t="n"/>
      <c r="BD134" s="512" t="n"/>
      <c r="BE134" s="512" t="n"/>
      <c r="BF134" s="510">
        <f>SUM(BB134:BE134)</f>
        <v/>
      </c>
      <c r="BG134" s="518" t="n"/>
      <c r="BH134" s="519">
        <f>H134+M134+AE134+AJ134+AU134+BA134+BF134</f>
        <v/>
      </c>
      <c r="BI134" s="528">
        <f>IF(E134-BH134&lt;0, BH134-E134, )</f>
        <v/>
      </c>
      <c r="BJ134" s="529">
        <f>IF(E134-BH134&lt;0, ,E134-BH134)</f>
        <v/>
      </c>
      <c r="BK134" s="530" t="n"/>
      <c r="BM134" s="523" t="n"/>
      <c r="BN134" s="523" t="n"/>
      <c r="BO134" s="523" t="n"/>
      <c r="BP134" s="523" t="n"/>
      <c r="BQ134" s="523" t="n"/>
      <c r="BR134" s="523" t="n"/>
      <c r="BS134" s="523" t="n"/>
      <c r="BT134" s="518">
        <f>SUM(BM134:BS134)</f>
        <v/>
      </c>
      <c r="BU134" s="518" t="n"/>
      <c r="BV134" s="523" t="n"/>
      <c r="BW134" s="523" t="n"/>
      <c r="BX134" s="523" t="n"/>
      <c r="BY134" s="523" t="n"/>
      <c r="BZ134" s="523" t="n"/>
      <c r="CA134" s="523" t="n"/>
      <c r="CB134" s="523" t="n"/>
      <c r="CC134" s="518">
        <f>SUM(BV134:CB134)</f>
        <v/>
      </c>
      <c r="CD134" s="518" t="n"/>
      <c r="CE134" s="523" t="n"/>
      <c r="CF134" s="523" t="n"/>
      <c r="CG134" s="523" t="n"/>
      <c r="CH134" s="523" t="n"/>
      <c r="CI134" s="523" t="n"/>
      <c r="CJ134" s="523" t="n"/>
      <c r="CK134" s="523" t="n"/>
      <c r="CL134" s="518">
        <f>SUM(CE134:CK134)</f>
        <v/>
      </c>
      <c r="CN134" s="525">
        <f>+H134-(BM134+BV134+CE134)</f>
        <v/>
      </c>
      <c r="CO134" s="525">
        <f>+M134-(BN134+BW134+CF134)</f>
        <v/>
      </c>
      <c r="CP134" s="525">
        <f>+AE134-(BO134+BX134+CG134)</f>
        <v/>
      </c>
      <c r="CQ134" s="525">
        <f>+AJ134-(BP134+BY134+CH134)</f>
        <v/>
      </c>
      <c r="CR134" s="525">
        <f>+AU134-(BQ134+BZ134+CI134)</f>
        <v/>
      </c>
      <c r="CS134" s="525">
        <f>+BA134-(BR134+CA134+CJ134)</f>
        <v/>
      </c>
      <c r="CT134" s="525">
        <f>+BF134-(BS134+CB134+CK134)</f>
        <v/>
      </c>
      <c r="CU134" s="525">
        <f>BT134+CC134+CL134</f>
        <v/>
      </c>
      <c r="CV134" s="525">
        <f>SUM(CN134:CT134)</f>
        <v/>
      </c>
    </row>
    <row r="135" ht="21" customFormat="1" customHeight="1" s="230">
      <c r="A135" s="453" t="n"/>
      <c r="B135" s="309" t="n"/>
      <c r="C135" s="287">
        <f>IF($A135=0,"",(VLOOKUP(A135,[3]MAT!$B$5:$D$4756,3,FALSE)))</f>
        <v/>
      </c>
      <c r="D135" s="288" t="inlineStr"/>
      <c r="E135" s="507" t="n"/>
      <c r="F135" s="526" t="n"/>
      <c r="G135" s="527" t="n"/>
      <c r="H135" s="510" t="n"/>
      <c r="I135" s="511" t="n"/>
      <c r="J135" s="512" t="n"/>
      <c r="K135" s="512" t="n"/>
      <c r="L135" s="513" t="n"/>
      <c r="M135" s="510" t="n"/>
      <c r="N135" s="526" t="n"/>
      <c r="O135" s="512" t="n"/>
      <c r="P135" s="512" t="n"/>
      <c r="Q135" s="512" t="n"/>
      <c r="R135" s="512" t="n"/>
      <c r="S135" s="512" t="n"/>
      <c r="T135" s="512" t="n"/>
      <c r="U135" s="512" t="n"/>
      <c r="V135" s="512" t="n"/>
      <c r="W135" s="512" t="n"/>
      <c r="X135" s="512" t="n"/>
      <c r="Y135" s="512" t="n"/>
      <c r="Z135" s="512" t="n"/>
      <c r="AA135" s="512" t="n"/>
      <c r="AB135" s="512" t="n"/>
      <c r="AC135" s="512" t="n"/>
      <c r="AD135" s="512" t="n"/>
      <c r="AE135" s="510" t="n"/>
      <c r="AF135" s="511" t="n"/>
      <c r="AG135" s="512" t="n"/>
      <c r="AH135" s="512" t="n"/>
      <c r="AI135" s="513" t="n"/>
      <c r="AJ135" s="510" t="n"/>
      <c r="AK135" s="513" t="n"/>
      <c r="AL135" s="513" t="n"/>
      <c r="AM135" s="513" t="n"/>
      <c r="AN135" s="513" t="n"/>
      <c r="AO135" s="513" t="n"/>
      <c r="AP135" s="513" t="n"/>
      <c r="AQ135" s="513" t="n"/>
      <c r="AR135" s="513" t="n"/>
      <c r="AS135" s="513" t="n"/>
      <c r="AT135" s="513" t="n"/>
      <c r="AU135" s="510" t="n"/>
      <c r="AV135" s="527" t="n"/>
      <c r="AW135" s="514" t="n"/>
      <c r="AX135" s="514" t="n"/>
      <c r="AY135" s="514" t="n"/>
      <c r="AZ135" s="514" t="n"/>
      <c r="BA135" s="510">
        <f>SUM(AV135:AZ135)</f>
        <v/>
      </c>
      <c r="BB135" s="511" t="n"/>
      <c r="BC135" s="512" t="n"/>
      <c r="BD135" s="512" t="n"/>
      <c r="BE135" s="512" t="n"/>
      <c r="BF135" s="510">
        <f>SUM(BB135:BE135)</f>
        <v/>
      </c>
      <c r="BG135" s="518" t="n"/>
      <c r="BH135" s="519">
        <f>H135+M135+AE135+AJ135+AU135+BA135+BF135</f>
        <v/>
      </c>
      <c r="BI135" s="528">
        <f>IF(E135-BH135&lt;0, BH135-E135, )</f>
        <v/>
      </c>
      <c r="BJ135" s="529">
        <f>IF(E135-BH135&lt;0, ,E135-BH135)</f>
        <v/>
      </c>
      <c r="BK135" s="530" t="n"/>
      <c r="BM135" s="523" t="n"/>
      <c r="BN135" s="523" t="n"/>
      <c r="BO135" s="523" t="n"/>
      <c r="BP135" s="523" t="n"/>
      <c r="BQ135" s="523" t="n"/>
      <c r="BR135" s="523" t="n"/>
      <c r="BS135" s="523" t="n"/>
      <c r="BT135" s="518">
        <f>SUM(BM135:BS135)</f>
        <v/>
      </c>
      <c r="BU135" s="518" t="n"/>
      <c r="BV135" s="523" t="n"/>
      <c r="BW135" s="523" t="n"/>
      <c r="BX135" s="523" t="n"/>
      <c r="BY135" s="523" t="n"/>
      <c r="BZ135" s="523" t="n"/>
      <c r="CA135" s="523" t="n"/>
      <c r="CB135" s="523" t="n"/>
      <c r="CC135" s="518">
        <f>SUM(BV135:CB135)</f>
        <v/>
      </c>
      <c r="CD135" s="518" t="n"/>
      <c r="CE135" s="523" t="n"/>
      <c r="CF135" s="523" t="n"/>
      <c r="CG135" s="523" t="n"/>
      <c r="CH135" s="523" t="n"/>
      <c r="CI135" s="523" t="n"/>
      <c r="CJ135" s="523" t="n"/>
      <c r="CK135" s="523" t="n"/>
      <c r="CL135" s="518">
        <f>SUM(CE135:CK135)</f>
        <v/>
      </c>
      <c r="CN135" s="525">
        <f>+H135-(BM135+BV135+CE135)</f>
        <v/>
      </c>
      <c r="CO135" s="525">
        <f>+M135-(BN135+BW135+CF135)</f>
        <v/>
      </c>
      <c r="CP135" s="525">
        <f>+AE135-(BO135+BX135+CG135)</f>
        <v/>
      </c>
      <c r="CQ135" s="525">
        <f>+AJ135-(BP135+BY135+CH135)</f>
        <v/>
      </c>
      <c r="CR135" s="525">
        <f>+AU135-(BQ135+BZ135+CI135)</f>
        <v/>
      </c>
      <c r="CS135" s="525">
        <f>+BA135-(BR135+CA135+CJ135)</f>
        <v/>
      </c>
      <c r="CT135" s="525">
        <f>+BF135-(BS135+CB135+CK135)</f>
        <v/>
      </c>
      <c r="CU135" s="525">
        <f>BT135+CC135+CL135</f>
        <v/>
      </c>
      <c r="CV135" s="525">
        <f>SUM(CN135:CT135)</f>
        <v/>
      </c>
    </row>
    <row r="136" ht="21" customFormat="1" customHeight="1" s="230">
      <c r="A136" s="453" t="n"/>
      <c r="B136" s="309" t="n"/>
      <c r="C136" s="287">
        <f>IF($A136=0,"",(VLOOKUP(A136,[3]MAT!$B$5:$D$4756,3,FALSE)))</f>
        <v/>
      </c>
      <c r="D136" s="288" t="inlineStr"/>
      <c r="E136" s="507" t="n"/>
      <c r="F136" s="526" t="n"/>
      <c r="G136" s="527" t="n"/>
      <c r="H136" s="510" t="n"/>
      <c r="I136" s="511" t="n"/>
      <c r="J136" s="512" t="n"/>
      <c r="K136" s="512" t="n"/>
      <c r="L136" s="513" t="n"/>
      <c r="M136" s="510" t="n"/>
      <c r="N136" s="526" t="n"/>
      <c r="O136" s="512" t="n"/>
      <c r="P136" s="512" t="n"/>
      <c r="Q136" s="512" t="n"/>
      <c r="R136" s="512" t="n"/>
      <c r="S136" s="512" t="n"/>
      <c r="T136" s="512" t="n"/>
      <c r="U136" s="512" t="n"/>
      <c r="V136" s="512" t="n"/>
      <c r="W136" s="512" t="n"/>
      <c r="X136" s="512" t="n"/>
      <c r="Y136" s="512" t="n"/>
      <c r="Z136" s="512" t="n"/>
      <c r="AA136" s="512" t="n"/>
      <c r="AB136" s="512" t="n"/>
      <c r="AC136" s="512" t="n"/>
      <c r="AD136" s="512" t="n"/>
      <c r="AE136" s="510" t="n"/>
      <c r="AF136" s="511" t="n"/>
      <c r="AG136" s="512" t="n"/>
      <c r="AH136" s="512" t="n"/>
      <c r="AI136" s="513" t="n"/>
      <c r="AJ136" s="510" t="n"/>
      <c r="AK136" s="513" t="n"/>
      <c r="AL136" s="513" t="n"/>
      <c r="AM136" s="513" t="n"/>
      <c r="AN136" s="513" t="n"/>
      <c r="AO136" s="513" t="n"/>
      <c r="AP136" s="513" t="n"/>
      <c r="AQ136" s="513" t="n"/>
      <c r="AR136" s="513" t="n"/>
      <c r="AS136" s="513" t="n"/>
      <c r="AT136" s="513" t="n"/>
      <c r="AU136" s="510" t="n"/>
      <c r="AV136" s="527" t="n"/>
      <c r="AW136" s="514" t="n"/>
      <c r="AX136" s="514" t="n"/>
      <c r="AY136" s="514" t="n"/>
      <c r="AZ136" s="514" t="n"/>
      <c r="BA136" s="510">
        <f>SUM(AV136:AZ136)</f>
        <v/>
      </c>
      <c r="BB136" s="511" t="n"/>
      <c r="BC136" s="512" t="n"/>
      <c r="BD136" s="512" t="n"/>
      <c r="BE136" s="512" t="n"/>
      <c r="BF136" s="510">
        <f>SUM(BB136:BE136)</f>
        <v/>
      </c>
      <c r="BG136" s="518" t="n"/>
      <c r="BH136" s="519">
        <f>H136+M136+AE136+AJ136+AU136+BA136+BF136</f>
        <v/>
      </c>
      <c r="BI136" s="528">
        <f>IF(E136-BH136&lt;0, BH136-E136, )</f>
        <v/>
      </c>
      <c r="BJ136" s="529">
        <f>IF(E136-BH136&lt;0, ,E136-BH136)</f>
        <v/>
      </c>
      <c r="BK136" s="530" t="n"/>
      <c r="BM136" s="523" t="n"/>
      <c r="BN136" s="523" t="n"/>
      <c r="BO136" s="523" t="n"/>
      <c r="BP136" s="523" t="n"/>
      <c r="BQ136" s="523" t="n"/>
      <c r="BR136" s="523" t="n"/>
      <c r="BS136" s="523" t="n"/>
      <c r="BT136" s="518">
        <f>SUM(BM136:BS136)</f>
        <v/>
      </c>
      <c r="BU136" s="518" t="n"/>
      <c r="BV136" s="523" t="n"/>
      <c r="BW136" s="523" t="n"/>
      <c r="BX136" s="523" t="n"/>
      <c r="BY136" s="523" t="n"/>
      <c r="BZ136" s="523" t="n"/>
      <c r="CA136" s="523" t="n"/>
      <c r="CB136" s="523" t="n"/>
      <c r="CC136" s="518">
        <f>SUM(BV136:CB136)</f>
        <v/>
      </c>
      <c r="CD136" s="518" t="n"/>
      <c r="CE136" s="523" t="n"/>
      <c r="CF136" s="523" t="n"/>
      <c r="CG136" s="523" t="n"/>
      <c r="CH136" s="523" t="n"/>
      <c r="CI136" s="523" t="n"/>
      <c r="CJ136" s="523" t="n"/>
      <c r="CK136" s="523" t="n"/>
      <c r="CL136" s="518">
        <f>SUM(CE136:CK136)</f>
        <v/>
      </c>
      <c r="CN136" s="525">
        <f>+H136-(BM136+BV136+CE136)</f>
        <v/>
      </c>
      <c r="CO136" s="525">
        <f>+M136-(BN136+BW136+CF136)</f>
        <v/>
      </c>
      <c r="CP136" s="525">
        <f>+AE136-(BO136+BX136+CG136)</f>
        <v/>
      </c>
      <c r="CQ136" s="525">
        <f>+AJ136-(BP136+BY136+CH136)</f>
        <v/>
      </c>
      <c r="CR136" s="525">
        <f>+AU136-(BQ136+BZ136+CI136)</f>
        <v/>
      </c>
      <c r="CS136" s="525">
        <f>+BA136-(BR136+CA136+CJ136)</f>
        <v/>
      </c>
      <c r="CT136" s="525">
        <f>+BF136-(BS136+CB136+CK136)</f>
        <v/>
      </c>
      <c r="CU136" s="525">
        <f>BT136+CC136+CL136</f>
        <v/>
      </c>
      <c r="CV136" s="525">
        <f>SUM(CN136:CT136)</f>
        <v/>
      </c>
    </row>
    <row r="137" ht="21" customFormat="1" customHeight="1" s="230">
      <c r="A137" s="453" t="n"/>
      <c r="B137" s="309" t="n"/>
      <c r="C137" s="287">
        <f>IF($A137=0,"",(VLOOKUP(A137,[3]MAT!$B$5:$D$4756,3,FALSE)))</f>
        <v/>
      </c>
      <c r="D137" s="288" t="inlineStr"/>
      <c r="E137" s="507" t="n"/>
      <c r="F137" s="526" t="n"/>
      <c r="G137" s="527" t="n"/>
      <c r="H137" s="510" t="n"/>
      <c r="I137" s="511" t="n"/>
      <c r="J137" s="512" t="n"/>
      <c r="K137" s="512" t="n"/>
      <c r="L137" s="513" t="n"/>
      <c r="M137" s="510" t="n"/>
      <c r="N137" s="526" t="n"/>
      <c r="O137" s="512" t="n"/>
      <c r="P137" s="512" t="n"/>
      <c r="Q137" s="512" t="n"/>
      <c r="R137" s="512" t="n"/>
      <c r="S137" s="512" t="n"/>
      <c r="T137" s="512" t="n"/>
      <c r="U137" s="512" t="n"/>
      <c r="V137" s="512" t="n"/>
      <c r="W137" s="512" t="n"/>
      <c r="X137" s="512" t="n"/>
      <c r="Y137" s="512" t="n"/>
      <c r="Z137" s="512" t="n"/>
      <c r="AA137" s="512" t="n"/>
      <c r="AB137" s="512" t="n"/>
      <c r="AC137" s="512" t="n"/>
      <c r="AD137" s="512" t="n"/>
      <c r="AE137" s="510" t="n"/>
      <c r="AF137" s="511" t="n"/>
      <c r="AG137" s="512" t="n"/>
      <c r="AH137" s="512" t="n"/>
      <c r="AI137" s="513" t="n"/>
      <c r="AJ137" s="510" t="n"/>
      <c r="AK137" s="513" t="n"/>
      <c r="AL137" s="513" t="n"/>
      <c r="AM137" s="513" t="n"/>
      <c r="AN137" s="513" t="n"/>
      <c r="AO137" s="513" t="n"/>
      <c r="AP137" s="513" t="n"/>
      <c r="AQ137" s="513" t="n"/>
      <c r="AR137" s="513" t="n"/>
      <c r="AS137" s="513" t="n"/>
      <c r="AT137" s="513" t="n"/>
      <c r="AU137" s="510" t="n"/>
      <c r="AV137" s="527" t="n"/>
      <c r="AW137" s="514" t="n"/>
      <c r="AX137" s="514" t="n"/>
      <c r="AY137" s="514" t="n"/>
      <c r="AZ137" s="514" t="n"/>
      <c r="BA137" s="510">
        <f>SUM(AV137:AZ137)</f>
        <v/>
      </c>
      <c r="BB137" s="511" t="n"/>
      <c r="BC137" s="512" t="n"/>
      <c r="BD137" s="512" t="n"/>
      <c r="BE137" s="512" t="n"/>
      <c r="BF137" s="510">
        <f>SUM(BB137:BE137)</f>
        <v/>
      </c>
      <c r="BG137" s="518" t="n"/>
      <c r="BH137" s="519">
        <f>H137+M137+AE137+AJ137+AU137+BA137+BF137</f>
        <v/>
      </c>
      <c r="BI137" s="528">
        <f>IF(E137-BH137&lt;0, BH137-E137, )</f>
        <v/>
      </c>
      <c r="BJ137" s="529">
        <f>IF(E137-BH137&lt;0, ,E137-BH137)</f>
        <v/>
      </c>
      <c r="BK137" s="530" t="n"/>
      <c r="BM137" s="523" t="n"/>
      <c r="BN137" s="523" t="n"/>
      <c r="BO137" s="523" t="n"/>
      <c r="BP137" s="523" t="n"/>
      <c r="BQ137" s="523" t="n"/>
      <c r="BR137" s="523" t="n"/>
      <c r="BS137" s="523" t="n"/>
      <c r="BT137" s="518">
        <f>SUM(BM137:BS137)</f>
        <v/>
      </c>
      <c r="BU137" s="518" t="n"/>
      <c r="BV137" s="523" t="n"/>
      <c r="BW137" s="523" t="n"/>
      <c r="BX137" s="523" t="n"/>
      <c r="BY137" s="523" t="n"/>
      <c r="BZ137" s="523" t="n"/>
      <c r="CA137" s="523" t="n"/>
      <c r="CB137" s="523" t="n"/>
      <c r="CC137" s="518">
        <f>SUM(BV137:CB137)</f>
        <v/>
      </c>
      <c r="CD137" s="518" t="n"/>
      <c r="CE137" s="523" t="n"/>
      <c r="CF137" s="523" t="n"/>
      <c r="CG137" s="523" t="n"/>
      <c r="CH137" s="523" t="n"/>
      <c r="CI137" s="523" t="n"/>
      <c r="CJ137" s="523" t="n"/>
      <c r="CK137" s="523" t="n"/>
      <c r="CL137" s="518">
        <f>SUM(CE137:CK137)</f>
        <v/>
      </c>
      <c r="CN137" s="525">
        <f>+H137-(BM137+BV137+CE137)</f>
        <v/>
      </c>
      <c r="CO137" s="525">
        <f>+M137-(BN137+BW137+CF137)</f>
        <v/>
      </c>
      <c r="CP137" s="525">
        <f>+AE137-(BO137+BX137+CG137)</f>
        <v/>
      </c>
      <c r="CQ137" s="525">
        <f>+AJ137-(BP137+BY137+CH137)</f>
        <v/>
      </c>
      <c r="CR137" s="525">
        <f>+AU137-(BQ137+BZ137+CI137)</f>
        <v/>
      </c>
      <c r="CS137" s="525">
        <f>+BA137-(BR137+CA137+CJ137)</f>
        <v/>
      </c>
      <c r="CT137" s="525">
        <f>+BF137-(BS137+CB137+CK137)</f>
        <v/>
      </c>
      <c r="CU137" s="525">
        <f>BT137+CC137+CL137</f>
        <v/>
      </c>
      <c r="CV137" s="525">
        <f>SUM(CN137:CT137)</f>
        <v/>
      </c>
    </row>
    <row r="138" ht="21" customFormat="1" customHeight="1" s="230">
      <c r="A138" s="453" t="n"/>
      <c r="B138" s="309" t="n"/>
      <c r="C138" s="287">
        <f>IF($A138=0,"",(VLOOKUP(A138,[3]MAT!$B$5:$D$4756,3,FALSE)))</f>
        <v/>
      </c>
      <c r="D138" s="288" t="inlineStr"/>
      <c r="E138" s="507" t="n"/>
      <c r="F138" s="526" t="n"/>
      <c r="G138" s="527" t="n"/>
      <c r="H138" s="510" t="n"/>
      <c r="I138" s="511" t="n"/>
      <c r="J138" s="512" t="n"/>
      <c r="K138" s="512" t="n"/>
      <c r="L138" s="513" t="n"/>
      <c r="M138" s="510" t="n"/>
      <c r="N138" s="526" t="n"/>
      <c r="O138" s="512" t="n"/>
      <c r="P138" s="512" t="n"/>
      <c r="Q138" s="512" t="n"/>
      <c r="R138" s="512" t="n"/>
      <c r="S138" s="512" t="n"/>
      <c r="T138" s="512" t="n"/>
      <c r="U138" s="512" t="n"/>
      <c r="V138" s="512" t="n"/>
      <c r="W138" s="512" t="n"/>
      <c r="X138" s="512" t="n"/>
      <c r="Y138" s="512" t="n"/>
      <c r="Z138" s="512" t="n"/>
      <c r="AA138" s="512" t="n"/>
      <c r="AB138" s="512" t="n"/>
      <c r="AC138" s="512" t="n"/>
      <c r="AD138" s="512" t="n"/>
      <c r="AE138" s="510" t="n"/>
      <c r="AF138" s="511" t="n"/>
      <c r="AG138" s="512" t="n"/>
      <c r="AH138" s="512" t="n"/>
      <c r="AI138" s="513" t="n"/>
      <c r="AJ138" s="510" t="n"/>
      <c r="AK138" s="513" t="n"/>
      <c r="AL138" s="513" t="n"/>
      <c r="AM138" s="513" t="n"/>
      <c r="AN138" s="513" t="n"/>
      <c r="AO138" s="513" t="n"/>
      <c r="AP138" s="513" t="n"/>
      <c r="AQ138" s="513" t="n"/>
      <c r="AR138" s="513" t="n"/>
      <c r="AS138" s="513" t="n"/>
      <c r="AT138" s="513" t="n"/>
      <c r="AU138" s="510" t="n"/>
      <c r="AV138" s="527" t="n"/>
      <c r="AW138" s="514" t="n"/>
      <c r="AX138" s="514" t="n"/>
      <c r="AY138" s="514" t="n"/>
      <c r="AZ138" s="514" t="n"/>
      <c r="BA138" s="510">
        <f>SUM(AV138:AZ138)</f>
        <v/>
      </c>
      <c r="BB138" s="511" t="n"/>
      <c r="BC138" s="512" t="n"/>
      <c r="BD138" s="512" t="n"/>
      <c r="BE138" s="512" t="n"/>
      <c r="BF138" s="510">
        <f>SUM(BB138:BE138)</f>
        <v/>
      </c>
      <c r="BG138" s="518" t="n"/>
      <c r="BH138" s="519">
        <f>H138+M138+AE138+AJ138+AU138+BA138+BF138</f>
        <v/>
      </c>
      <c r="BI138" s="528">
        <f>IF(E138-BH138&lt;0, BH138-E138, )</f>
        <v/>
      </c>
      <c r="BJ138" s="529">
        <f>IF(E138-BH138&lt;0, ,E138-BH138)</f>
        <v/>
      </c>
      <c r="BK138" s="530" t="n"/>
      <c r="BM138" s="523" t="n"/>
      <c r="BN138" s="523" t="n"/>
      <c r="BO138" s="523" t="n"/>
      <c r="BP138" s="523" t="n"/>
      <c r="BQ138" s="523" t="n"/>
      <c r="BR138" s="523" t="n"/>
      <c r="BS138" s="523" t="n"/>
      <c r="BT138" s="518">
        <f>SUM(BM138:BS138)</f>
        <v/>
      </c>
      <c r="BU138" s="518" t="n"/>
      <c r="BV138" s="523" t="n"/>
      <c r="BW138" s="523" t="n"/>
      <c r="BX138" s="523" t="n"/>
      <c r="BY138" s="523" t="n"/>
      <c r="BZ138" s="523" t="n"/>
      <c r="CA138" s="523" t="n"/>
      <c r="CB138" s="523" t="n"/>
      <c r="CC138" s="518">
        <f>SUM(BV138:CB138)</f>
        <v/>
      </c>
      <c r="CD138" s="518" t="n"/>
      <c r="CE138" s="523" t="n"/>
      <c r="CF138" s="523" t="n"/>
      <c r="CG138" s="523" t="n"/>
      <c r="CH138" s="523" t="n"/>
      <c r="CI138" s="523" t="n"/>
      <c r="CJ138" s="523" t="n"/>
      <c r="CK138" s="523" t="n"/>
      <c r="CL138" s="518">
        <f>SUM(CE138:CK138)</f>
        <v/>
      </c>
      <c r="CN138" s="525">
        <f>+H138-(BM138+BV138+CE138)</f>
        <v/>
      </c>
      <c r="CO138" s="525">
        <f>+M138-(BN138+BW138+CF138)</f>
        <v/>
      </c>
      <c r="CP138" s="525">
        <f>+AE138-(BO138+BX138+CG138)</f>
        <v/>
      </c>
      <c r="CQ138" s="525">
        <f>+AJ138-(BP138+BY138+CH138)</f>
        <v/>
      </c>
      <c r="CR138" s="525">
        <f>+AU138-(BQ138+BZ138+CI138)</f>
        <v/>
      </c>
      <c r="CS138" s="525">
        <f>+BA138-(BR138+CA138+CJ138)</f>
        <v/>
      </c>
      <c r="CT138" s="525">
        <f>+BF138-(BS138+CB138+CK138)</f>
        <v/>
      </c>
      <c r="CU138" s="525">
        <f>BT138+CC138+CL138</f>
        <v/>
      </c>
      <c r="CV138" s="525">
        <f>SUM(CN138:CT138)</f>
        <v/>
      </c>
    </row>
    <row r="139" ht="21" customFormat="1" customHeight="1" s="230">
      <c r="A139" s="453" t="n"/>
      <c r="B139" s="309" t="n"/>
      <c r="C139" s="287">
        <f>IF($A139=0,"",(VLOOKUP(A139,[3]MAT!$B$5:$D$4756,3,FALSE)))</f>
        <v/>
      </c>
      <c r="D139" s="288" t="inlineStr"/>
      <c r="E139" s="507" t="n"/>
      <c r="F139" s="526" t="n"/>
      <c r="G139" s="527" t="n"/>
      <c r="H139" s="510" t="n"/>
      <c r="I139" s="511" t="n"/>
      <c r="J139" s="512" t="n"/>
      <c r="K139" s="512" t="n"/>
      <c r="L139" s="513" t="n"/>
      <c r="M139" s="510" t="n"/>
      <c r="N139" s="526" t="n"/>
      <c r="O139" s="512" t="n"/>
      <c r="P139" s="512" t="n"/>
      <c r="Q139" s="512" t="n"/>
      <c r="R139" s="512" t="n"/>
      <c r="S139" s="512" t="n"/>
      <c r="T139" s="512" t="n"/>
      <c r="U139" s="512" t="n"/>
      <c r="V139" s="512" t="n"/>
      <c r="W139" s="512" t="n"/>
      <c r="X139" s="512" t="n"/>
      <c r="Y139" s="512" t="n"/>
      <c r="Z139" s="512" t="n"/>
      <c r="AA139" s="512" t="n"/>
      <c r="AB139" s="512" t="n"/>
      <c r="AC139" s="512" t="n"/>
      <c r="AD139" s="512" t="n"/>
      <c r="AE139" s="510" t="n"/>
      <c r="AF139" s="511" t="n"/>
      <c r="AG139" s="512" t="n"/>
      <c r="AH139" s="512" t="n"/>
      <c r="AI139" s="513" t="n"/>
      <c r="AJ139" s="510" t="n"/>
      <c r="AK139" s="513" t="n"/>
      <c r="AL139" s="513" t="n"/>
      <c r="AM139" s="513" t="n"/>
      <c r="AN139" s="513" t="n"/>
      <c r="AO139" s="513" t="n"/>
      <c r="AP139" s="513" t="n"/>
      <c r="AQ139" s="513" t="n"/>
      <c r="AR139" s="513" t="n"/>
      <c r="AS139" s="513" t="n"/>
      <c r="AT139" s="513" t="n"/>
      <c r="AU139" s="510" t="n"/>
      <c r="AV139" s="527" t="n"/>
      <c r="AW139" s="514" t="n"/>
      <c r="AX139" s="514" t="n"/>
      <c r="AY139" s="514" t="n"/>
      <c r="AZ139" s="514" t="n"/>
      <c r="BA139" s="510">
        <f>SUM(AV139:AZ139)</f>
        <v/>
      </c>
      <c r="BB139" s="511" t="n"/>
      <c r="BC139" s="512" t="n"/>
      <c r="BD139" s="512" t="n"/>
      <c r="BE139" s="512" t="n"/>
      <c r="BF139" s="510">
        <f>SUM(BB139:BE139)</f>
        <v/>
      </c>
      <c r="BG139" s="518" t="n"/>
      <c r="BH139" s="519">
        <f>H139+M139+AE139+AJ139+AU139+BA139+BF139</f>
        <v/>
      </c>
      <c r="BI139" s="528">
        <f>IF(E139-BH139&lt;0, BH139-E139, )</f>
        <v/>
      </c>
      <c r="BJ139" s="529">
        <f>IF(E139-BH139&lt;0, ,E139-BH139)</f>
        <v/>
      </c>
      <c r="BK139" s="530" t="n"/>
      <c r="BM139" s="523" t="n"/>
      <c r="BN139" s="523" t="n"/>
      <c r="BO139" s="523" t="n"/>
      <c r="BP139" s="523" t="n"/>
      <c r="BQ139" s="523" t="n"/>
      <c r="BR139" s="523" t="n"/>
      <c r="BS139" s="523" t="n"/>
      <c r="BT139" s="518">
        <f>SUM(BM139:BS139)</f>
        <v/>
      </c>
      <c r="BU139" s="518" t="n"/>
      <c r="BV139" s="523" t="n"/>
      <c r="BW139" s="523" t="n"/>
      <c r="BX139" s="523" t="n"/>
      <c r="BY139" s="523" t="n"/>
      <c r="BZ139" s="523" t="n"/>
      <c r="CA139" s="523" t="n"/>
      <c r="CB139" s="523" t="n"/>
      <c r="CC139" s="518">
        <f>SUM(BV139:CB139)</f>
        <v/>
      </c>
      <c r="CD139" s="518" t="n"/>
      <c r="CE139" s="523" t="n"/>
      <c r="CF139" s="523" t="n"/>
      <c r="CG139" s="523" t="n"/>
      <c r="CH139" s="523" t="n"/>
      <c r="CI139" s="523" t="n"/>
      <c r="CJ139" s="523" t="n"/>
      <c r="CK139" s="523" t="n"/>
      <c r="CL139" s="518">
        <f>SUM(CE139:CK139)</f>
        <v/>
      </c>
      <c r="CN139" s="525">
        <f>+H139-(BM139+BV139+CE139)</f>
        <v/>
      </c>
      <c r="CO139" s="525">
        <f>+M139-(BN139+BW139+CF139)</f>
        <v/>
      </c>
      <c r="CP139" s="525">
        <f>+AE139-(BO139+BX139+CG139)</f>
        <v/>
      </c>
      <c r="CQ139" s="525">
        <f>+AJ139-(BP139+BY139+CH139)</f>
        <v/>
      </c>
      <c r="CR139" s="525">
        <f>+AU139-(BQ139+BZ139+CI139)</f>
        <v/>
      </c>
      <c r="CS139" s="525">
        <f>+BA139-(BR139+CA139+CJ139)</f>
        <v/>
      </c>
      <c r="CT139" s="525">
        <f>+BF139-(BS139+CB139+CK139)</f>
        <v/>
      </c>
      <c r="CU139" s="525">
        <f>BT139+CC139+CL139</f>
        <v/>
      </c>
      <c r="CV139" s="525">
        <f>SUM(CN139:CT139)</f>
        <v/>
      </c>
    </row>
    <row r="140" ht="21" customFormat="1" customHeight="1" s="230">
      <c r="A140" s="453" t="n"/>
      <c r="B140" s="309" t="n"/>
      <c r="C140" s="287">
        <f>IF($A140=0,"",(VLOOKUP(A140,[3]MAT!$B$5:$D$4756,3,FALSE)))</f>
        <v/>
      </c>
      <c r="D140" s="288" t="inlineStr"/>
      <c r="E140" s="507" t="n"/>
      <c r="F140" s="526" t="n"/>
      <c r="G140" s="527" t="n"/>
      <c r="H140" s="510" t="n"/>
      <c r="I140" s="511" t="n"/>
      <c r="J140" s="512" t="n"/>
      <c r="K140" s="512" t="n"/>
      <c r="L140" s="513" t="n"/>
      <c r="M140" s="510" t="n"/>
      <c r="N140" s="526" t="n"/>
      <c r="O140" s="512" t="n"/>
      <c r="P140" s="512" t="n"/>
      <c r="Q140" s="512" t="n"/>
      <c r="R140" s="512" t="n"/>
      <c r="S140" s="512" t="n"/>
      <c r="T140" s="512" t="n"/>
      <c r="U140" s="512" t="n"/>
      <c r="V140" s="512" t="n"/>
      <c r="W140" s="512" t="n"/>
      <c r="X140" s="512" t="n"/>
      <c r="Y140" s="512" t="n"/>
      <c r="Z140" s="512" t="n"/>
      <c r="AA140" s="512" t="n"/>
      <c r="AB140" s="512" t="n"/>
      <c r="AC140" s="512" t="n"/>
      <c r="AD140" s="512" t="n"/>
      <c r="AE140" s="510" t="n"/>
      <c r="AF140" s="511" t="n"/>
      <c r="AG140" s="512" t="n"/>
      <c r="AH140" s="512" t="n"/>
      <c r="AI140" s="513" t="n"/>
      <c r="AJ140" s="510" t="n"/>
      <c r="AK140" s="513" t="n"/>
      <c r="AL140" s="513" t="n"/>
      <c r="AM140" s="513" t="n"/>
      <c r="AN140" s="513" t="n"/>
      <c r="AO140" s="513" t="n"/>
      <c r="AP140" s="513" t="n"/>
      <c r="AQ140" s="513" t="n"/>
      <c r="AR140" s="513" t="n"/>
      <c r="AS140" s="513" t="n"/>
      <c r="AT140" s="513" t="n"/>
      <c r="AU140" s="510" t="n"/>
      <c r="AV140" s="527" t="n"/>
      <c r="AW140" s="514" t="n"/>
      <c r="AX140" s="514" t="n"/>
      <c r="AY140" s="514" t="n"/>
      <c r="AZ140" s="514" t="n"/>
      <c r="BA140" s="510">
        <f>SUM(AV140:AZ140)</f>
        <v/>
      </c>
      <c r="BB140" s="511" t="n"/>
      <c r="BC140" s="512" t="n"/>
      <c r="BD140" s="512" t="n"/>
      <c r="BE140" s="512" t="n"/>
      <c r="BF140" s="510">
        <f>SUM(BB140:BE140)</f>
        <v/>
      </c>
      <c r="BG140" s="518" t="n"/>
      <c r="BH140" s="519">
        <f>H140+M140+AE140+AJ140+AU140+BA140+BF140</f>
        <v/>
      </c>
      <c r="BI140" s="528">
        <f>IF(E140-BH140&lt;0, BH140-E140, )</f>
        <v/>
      </c>
      <c r="BJ140" s="529">
        <f>IF(E140-BH140&lt;0, ,E140-BH140)</f>
        <v/>
      </c>
      <c r="BK140" s="530" t="n"/>
      <c r="BM140" s="523" t="n"/>
      <c r="BN140" s="523" t="n"/>
      <c r="BO140" s="523" t="n"/>
      <c r="BP140" s="523" t="n"/>
      <c r="BQ140" s="523" t="n"/>
      <c r="BR140" s="523" t="n"/>
      <c r="BS140" s="523" t="n"/>
      <c r="BT140" s="518">
        <f>SUM(BM140:BS140)</f>
        <v/>
      </c>
      <c r="BU140" s="518" t="n"/>
      <c r="BV140" s="523" t="n"/>
      <c r="BW140" s="523" t="n"/>
      <c r="BX140" s="523" t="n"/>
      <c r="BY140" s="523" t="n"/>
      <c r="BZ140" s="523" t="n"/>
      <c r="CA140" s="523" t="n"/>
      <c r="CB140" s="523" t="n"/>
      <c r="CC140" s="518">
        <f>SUM(BV140:CB140)</f>
        <v/>
      </c>
      <c r="CD140" s="518" t="n"/>
      <c r="CE140" s="523" t="n"/>
      <c r="CF140" s="523" t="n"/>
      <c r="CG140" s="523" t="n"/>
      <c r="CH140" s="523" t="n"/>
      <c r="CI140" s="523" t="n"/>
      <c r="CJ140" s="523" t="n"/>
      <c r="CK140" s="523" t="n"/>
      <c r="CL140" s="518">
        <f>SUM(CE140:CK140)</f>
        <v/>
      </c>
      <c r="CN140" s="525">
        <f>+H140-(BM140+BV140+CE140)</f>
        <v/>
      </c>
      <c r="CO140" s="525">
        <f>+M140-(BN140+BW140+CF140)</f>
        <v/>
      </c>
      <c r="CP140" s="525">
        <f>+AE140-(BO140+BX140+CG140)</f>
        <v/>
      </c>
      <c r="CQ140" s="525">
        <f>+AJ140-(BP140+BY140+CH140)</f>
        <v/>
      </c>
      <c r="CR140" s="525">
        <f>+AU140-(BQ140+BZ140+CI140)</f>
        <v/>
      </c>
      <c r="CS140" s="525">
        <f>+BA140-(BR140+CA140+CJ140)</f>
        <v/>
      </c>
      <c r="CT140" s="525">
        <f>+BF140-(BS140+CB140+CK140)</f>
        <v/>
      </c>
      <c r="CU140" s="525">
        <f>BT140+CC140+CL140</f>
        <v/>
      </c>
      <c r="CV140" s="525">
        <f>SUM(CN140:CT140)</f>
        <v/>
      </c>
    </row>
    <row r="141" ht="21" customFormat="1" customHeight="1" s="230">
      <c r="A141" s="453" t="n"/>
      <c r="B141" s="309" t="n"/>
      <c r="C141" s="287">
        <f>IF($A141=0,"",(VLOOKUP(A141,[3]MAT!$B$5:$D$4756,3,FALSE)))</f>
        <v/>
      </c>
      <c r="D141" s="288" t="inlineStr"/>
      <c r="E141" s="507" t="n"/>
      <c r="F141" s="526" t="n"/>
      <c r="G141" s="527" t="n"/>
      <c r="H141" s="510" t="n"/>
      <c r="I141" s="511" t="n"/>
      <c r="J141" s="512" t="n"/>
      <c r="K141" s="512" t="n"/>
      <c r="L141" s="513" t="n"/>
      <c r="M141" s="510" t="n"/>
      <c r="N141" s="526" t="n"/>
      <c r="O141" s="512" t="n"/>
      <c r="P141" s="512" t="n"/>
      <c r="Q141" s="512" t="n"/>
      <c r="R141" s="512" t="n"/>
      <c r="S141" s="512" t="n"/>
      <c r="T141" s="512" t="n"/>
      <c r="U141" s="512" t="n"/>
      <c r="V141" s="512" t="n"/>
      <c r="W141" s="512" t="n"/>
      <c r="X141" s="512" t="n"/>
      <c r="Y141" s="512" t="n"/>
      <c r="Z141" s="512" t="n"/>
      <c r="AA141" s="512" t="n"/>
      <c r="AB141" s="512" t="n"/>
      <c r="AC141" s="512" t="n"/>
      <c r="AD141" s="512" t="n"/>
      <c r="AE141" s="510" t="n"/>
      <c r="AF141" s="511" t="n"/>
      <c r="AG141" s="512" t="n"/>
      <c r="AH141" s="512" t="n"/>
      <c r="AI141" s="513" t="n"/>
      <c r="AJ141" s="510" t="n"/>
      <c r="AK141" s="513" t="n"/>
      <c r="AL141" s="513" t="n"/>
      <c r="AM141" s="513" t="n"/>
      <c r="AN141" s="513" t="n"/>
      <c r="AO141" s="513" t="n"/>
      <c r="AP141" s="513" t="n"/>
      <c r="AQ141" s="513" t="n"/>
      <c r="AR141" s="513" t="n"/>
      <c r="AS141" s="513" t="n"/>
      <c r="AT141" s="513" t="n"/>
      <c r="AU141" s="510" t="n"/>
      <c r="AV141" s="527" t="n"/>
      <c r="AW141" s="514" t="n"/>
      <c r="AX141" s="514" t="n"/>
      <c r="AY141" s="514" t="n"/>
      <c r="AZ141" s="514" t="n"/>
      <c r="BA141" s="510">
        <f>SUM(AV141:AZ141)</f>
        <v/>
      </c>
      <c r="BB141" s="511" t="n"/>
      <c r="BC141" s="512" t="n"/>
      <c r="BD141" s="512" t="n"/>
      <c r="BE141" s="512" t="n"/>
      <c r="BF141" s="510">
        <f>SUM(BB141:BE141)</f>
        <v/>
      </c>
      <c r="BG141" s="518" t="n"/>
      <c r="BH141" s="519">
        <f>H141+M141+AE141+AJ141+AU141+BA141+BF141</f>
        <v/>
      </c>
      <c r="BI141" s="528">
        <f>IF(E141-BH141&lt;0, BH141-E141, )</f>
        <v/>
      </c>
      <c r="BJ141" s="529">
        <f>IF(E141-BH141&lt;0, ,E141-BH141)</f>
        <v/>
      </c>
      <c r="BK141" s="530" t="n"/>
      <c r="BM141" s="523" t="n"/>
      <c r="BN141" s="523" t="n"/>
      <c r="BO141" s="523" t="n"/>
      <c r="BP141" s="523" t="n"/>
      <c r="BQ141" s="523" t="n"/>
      <c r="BR141" s="523" t="n"/>
      <c r="BS141" s="523" t="n"/>
      <c r="BT141" s="518">
        <f>SUM(BM141:BS141)</f>
        <v/>
      </c>
      <c r="BU141" s="518" t="n"/>
      <c r="BV141" s="523" t="n"/>
      <c r="BW141" s="523" t="n"/>
      <c r="BX141" s="523" t="n"/>
      <c r="BY141" s="523" t="n"/>
      <c r="BZ141" s="523" t="n"/>
      <c r="CA141" s="523" t="n"/>
      <c r="CB141" s="523" t="n"/>
      <c r="CC141" s="518">
        <f>SUM(BV141:CB141)</f>
        <v/>
      </c>
      <c r="CD141" s="518" t="n"/>
      <c r="CE141" s="523" t="n"/>
      <c r="CF141" s="523" t="n"/>
      <c r="CG141" s="523" t="n"/>
      <c r="CH141" s="523" t="n"/>
      <c r="CI141" s="523" t="n"/>
      <c r="CJ141" s="523" t="n"/>
      <c r="CK141" s="523" t="n"/>
      <c r="CL141" s="518">
        <f>SUM(CE141:CK141)</f>
        <v/>
      </c>
      <c r="CN141" s="525">
        <f>+H141-(BM141+BV141+CE141)</f>
        <v/>
      </c>
      <c r="CO141" s="525">
        <f>+M141-(BN141+BW141+CF141)</f>
        <v/>
      </c>
      <c r="CP141" s="525">
        <f>+AE141-(BO141+BX141+CG141)</f>
        <v/>
      </c>
      <c r="CQ141" s="525">
        <f>+AJ141-(BP141+BY141+CH141)</f>
        <v/>
      </c>
      <c r="CR141" s="525">
        <f>+AU141-(BQ141+BZ141+CI141)</f>
        <v/>
      </c>
      <c r="CS141" s="525">
        <f>+BA141-(BR141+CA141+CJ141)</f>
        <v/>
      </c>
      <c r="CT141" s="525">
        <f>+BF141-(BS141+CB141+CK141)</f>
        <v/>
      </c>
      <c r="CU141" s="525">
        <f>BT141+CC141+CL141</f>
        <v/>
      </c>
      <c r="CV141" s="525">
        <f>SUM(CN141:CT141)</f>
        <v/>
      </c>
    </row>
    <row r="142" ht="21" customFormat="1" customHeight="1" s="230">
      <c r="A142" s="453" t="n"/>
      <c r="B142" s="309" t="n"/>
      <c r="C142" s="287">
        <f>IF($A142=0,"",(VLOOKUP(A142,[3]MAT!$B$5:$D$4756,3,FALSE)))</f>
        <v/>
      </c>
      <c r="D142" s="288" t="inlineStr"/>
      <c r="E142" s="507" t="n"/>
      <c r="F142" s="526" t="n"/>
      <c r="G142" s="527" t="n"/>
      <c r="H142" s="510" t="n"/>
      <c r="I142" s="511" t="n"/>
      <c r="J142" s="512" t="n"/>
      <c r="K142" s="512" t="n"/>
      <c r="L142" s="513" t="n"/>
      <c r="M142" s="510" t="n"/>
      <c r="N142" s="526" t="n"/>
      <c r="O142" s="512" t="n"/>
      <c r="P142" s="512" t="n"/>
      <c r="Q142" s="512" t="n"/>
      <c r="R142" s="512" t="n"/>
      <c r="S142" s="512" t="n"/>
      <c r="T142" s="512" t="n"/>
      <c r="U142" s="512" t="n"/>
      <c r="V142" s="512" t="n"/>
      <c r="W142" s="512" t="n"/>
      <c r="X142" s="512" t="n"/>
      <c r="Y142" s="512" t="n"/>
      <c r="Z142" s="512" t="n"/>
      <c r="AA142" s="512" t="n"/>
      <c r="AB142" s="512" t="n"/>
      <c r="AC142" s="512" t="n"/>
      <c r="AD142" s="512" t="n"/>
      <c r="AE142" s="510" t="n"/>
      <c r="AF142" s="511" t="n"/>
      <c r="AG142" s="512" t="n"/>
      <c r="AH142" s="512" t="n"/>
      <c r="AI142" s="513" t="n"/>
      <c r="AJ142" s="510" t="n"/>
      <c r="AK142" s="513" t="n"/>
      <c r="AL142" s="513" t="n"/>
      <c r="AM142" s="513" t="n"/>
      <c r="AN142" s="513" t="n"/>
      <c r="AO142" s="513" t="n"/>
      <c r="AP142" s="513" t="n"/>
      <c r="AQ142" s="513" t="n"/>
      <c r="AR142" s="513" t="n"/>
      <c r="AS142" s="513" t="n"/>
      <c r="AT142" s="513" t="n"/>
      <c r="AU142" s="510" t="n"/>
      <c r="AV142" s="527" t="n"/>
      <c r="AW142" s="514" t="n"/>
      <c r="AX142" s="514" t="n"/>
      <c r="AY142" s="514" t="n"/>
      <c r="AZ142" s="514" t="n"/>
      <c r="BA142" s="510">
        <f>SUM(AV142:AZ142)</f>
        <v/>
      </c>
      <c r="BB142" s="511" t="n"/>
      <c r="BC142" s="512" t="n"/>
      <c r="BD142" s="512" t="n"/>
      <c r="BE142" s="512" t="n"/>
      <c r="BF142" s="510">
        <f>SUM(BB142:BE142)</f>
        <v/>
      </c>
      <c r="BG142" s="518" t="n"/>
      <c r="BH142" s="519">
        <f>H142+M142+AE142+AJ142+AU142+BA142+BF142</f>
        <v/>
      </c>
      <c r="BI142" s="528">
        <f>IF(E142-BH142&lt;0, BH142-E142, )</f>
        <v/>
      </c>
      <c r="BJ142" s="529">
        <f>IF(E142-BH142&lt;0, ,E142-BH142)</f>
        <v/>
      </c>
      <c r="BK142" s="530" t="n"/>
      <c r="BM142" s="523" t="n"/>
      <c r="BN142" s="523" t="n"/>
      <c r="BO142" s="523" t="n"/>
      <c r="BP142" s="523" t="n"/>
      <c r="BQ142" s="523" t="n"/>
      <c r="BR142" s="523" t="n"/>
      <c r="BS142" s="523" t="n"/>
      <c r="BT142" s="518">
        <f>SUM(BM142:BS142)</f>
        <v/>
      </c>
      <c r="BU142" s="518" t="n"/>
      <c r="BV142" s="523" t="n"/>
      <c r="BW142" s="523" t="n"/>
      <c r="BX142" s="523" t="n"/>
      <c r="BY142" s="523" t="n"/>
      <c r="BZ142" s="523" t="n"/>
      <c r="CA142" s="523" t="n"/>
      <c r="CB142" s="523" t="n"/>
      <c r="CC142" s="518">
        <f>SUM(BV142:CB142)</f>
        <v/>
      </c>
      <c r="CD142" s="518" t="n"/>
      <c r="CE142" s="523" t="n"/>
      <c r="CF142" s="523" t="n"/>
      <c r="CG142" s="523" t="n"/>
      <c r="CH142" s="523" t="n"/>
      <c r="CI142" s="523" t="n"/>
      <c r="CJ142" s="523" t="n"/>
      <c r="CK142" s="523" t="n"/>
      <c r="CL142" s="518">
        <f>SUM(CE142:CK142)</f>
        <v/>
      </c>
      <c r="CN142" s="525">
        <f>+H142-(BM142+BV142+CE142)</f>
        <v/>
      </c>
      <c r="CO142" s="525">
        <f>+M142-(BN142+BW142+CF142)</f>
        <v/>
      </c>
      <c r="CP142" s="525">
        <f>+AE142-(BO142+BX142+CG142)</f>
        <v/>
      </c>
      <c r="CQ142" s="525">
        <f>+AJ142-(BP142+BY142+CH142)</f>
        <v/>
      </c>
      <c r="CR142" s="525">
        <f>+AU142-(BQ142+BZ142+CI142)</f>
        <v/>
      </c>
      <c r="CS142" s="525">
        <f>+BA142-(BR142+CA142+CJ142)</f>
        <v/>
      </c>
      <c r="CT142" s="525">
        <f>+BF142-(BS142+CB142+CK142)</f>
        <v/>
      </c>
      <c r="CU142" s="525">
        <f>BT142+CC142+CL142</f>
        <v/>
      </c>
      <c r="CV142" s="525">
        <f>SUM(CN142:CT142)</f>
        <v/>
      </c>
    </row>
    <row r="143" ht="21" customFormat="1" customHeight="1" s="230">
      <c r="A143" s="453" t="n"/>
      <c r="B143" s="309" t="n"/>
      <c r="C143" s="287">
        <f>IF($A143=0,"",(VLOOKUP(A143,[3]MAT!$B$5:$D$4756,3,FALSE)))</f>
        <v/>
      </c>
      <c r="D143" s="288" t="inlineStr"/>
      <c r="E143" s="507" t="n"/>
      <c r="F143" s="526" t="n"/>
      <c r="G143" s="527" t="n"/>
      <c r="H143" s="510" t="n"/>
      <c r="I143" s="511" t="n"/>
      <c r="J143" s="512" t="n"/>
      <c r="K143" s="512" t="n"/>
      <c r="L143" s="513" t="n"/>
      <c r="M143" s="510" t="n"/>
      <c r="N143" s="526" t="n"/>
      <c r="O143" s="512" t="n"/>
      <c r="P143" s="512" t="n"/>
      <c r="Q143" s="512" t="n"/>
      <c r="R143" s="512" t="n"/>
      <c r="S143" s="512" t="n"/>
      <c r="T143" s="512" t="n"/>
      <c r="U143" s="512" t="n"/>
      <c r="V143" s="512" t="n"/>
      <c r="W143" s="512" t="n"/>
      <c r="X143" s="512" t="n"/>
      <c r="Y143" s="512" t="n"/>
      <c r="Z143" s="512" t="n"/>
      <c r="AA143" s="512" t="n"/>
      <c r="AB143" s="512" t="n"/>
      <c r="AC143" s="512" t="n"/>
      <c r="AD143" s="512" t="n"/>
      <c r="AE143" s="510" t="n"/>
      <c r="AF143" s="511" t="n"/>
      <c r="AG143" s="512" t="n"/>
      <c r="AH143" s="512" t="n"/>
      <c r="AI143" s="513" t="n"/>
      <c r="AJ143" s="510" t="n"/>
      <c r="AK143" s="513" t="n"/>
      <c r="AL143" s="513" t="n"/>
      <c r="AM143" s="513" t="n"/>
      <c r="AN143" s="513" t="n"/>
      <c r="AO143" s="513" t="n"/>
      <c r="AP143" s="513" t="n"/>
      <c r="AQ143" s="513" t="n"/>
      <c r="AR143" s="513" t="n"/>
      <c r="AS143" s="513" t="n"/>
      <c r="AT143" s="513" t="n"/>
      <c r="AU143" s="510" t="n"/>
      <c r="AV143" s="527" t="n"/>
      <c r="AW143" s="514" t="n"/>
      <c r="AX143" s="514" t="n"/>
      <c r="AY143" s="514" t="n"/>
      <c r="AZ143" s="514" t="n"/>
      <c r="BA143" s="510">
        <f>SUM(AV143:AZ143)</f>
        <v/>
      </c>
      <c r="BB143" s="511" t="n"/>
      <c r="BC143" s="512" t="n"/>
      <c r="BD143" s="512" t="n"/>
      <c r="BE143" s="512" t="n"/>
      <c r="BF143" s="510">
        <f>SUM(BB143:BE143)</f>
        <v/>
      </c>
      <c r="BG143" s="518" t="n"/>
      <c r="BH143" s="519">
        <f>H143+M143+AE143+AJ143+AU143+BA143+BF143</f>
        <v/>
      </c>
      <c r="BI143" s="528">
        <f>IF(E143-BH143&lt;0, BH143-E143, )</f>
        <v/>
      </c>
      <c r="BJ143" s="529">
        <f>IF(E143-BH143&lt;0, ,E143-BH143)</f>
        <v/>
      </c>
      <c r="BK143" s="530" t="n"/>
      <c r="BM143" s="523" t="n"/>
      <c r="BN143" s="523" t="n"/>
      <c r="BO143" s="523" t="n"/>
      <c r="BP143" s="523" t="n"/>
      <c r="BQ143" s="523" t="n"/>
      <c r="BR143" s="523" t="n"/>
      <c r="BS143" s="523" t="n"/>
      <c r="BT143" s="518">
        <f>SUM(BM143:BS143)</f>
        <v/>
      </c>
      <c r="BU143" s="518" t="n"/>
      <c r="BV143" s="523" t="n"/>
      <c r="BW143" s="523" t="n"/>
      <c r="BX143" s="523" t="n"/>
      <c r="BY143" s="523" t="n"/>
      <c r="BZ143" s="523" t="n"/>
      <c r="CA143" s="523" t="n"/>
      <c r="CB143" s="523" t="n"/>
      <c r="CC143" s="518">
        <f>SUM(BV143:CB143)</f>
        <v/>
      </c>
      <c r="CD143" s="518" t="n"/>
      <c r="CE143" s="523" t="n"/>
      <c r="CF143" s="523" t="n"/>
      <c r="CG143" s="523" t="n"/>
      <c r="CH143" s="523" t="n"/>
      <c r="CI143" s="523" t="n"/>
      <c r="CJ143" s="523" t="n"/>
      <c r="CK143" s="523" t="n"/>
      <c r="CL143" s="518">
        <f>SUM(CE143:CK143)</f>
        <v/>
      </c>
      <c r="CN143" s="525">
        <f>+H143-(BM143+BV143+CE143)</f>
        <v/>
      </c>
      <c r="CO143" s="525">
        <f>+M143-(BN143+BW143+CF143)</f>
        <v/>
      </c>
      <c r="CP143" s="525">
        <f>+AE143-(BO143+BX143+CG143)</f>
        <v/>
      </c>
      <c r="CQ143" s="525">
        <f>+AJ143-(BP143+BY143+CH143)</f>
        <v/>
      </c>
      <c r="CR143" s="525">
        <f>+AU143-(BQ143+BZ143+CI143)</f>
        <v/>
      </c>
      <c r="CS143" s="525">
        <f>+BA143-(BR143+CA143+CJ143)</f>
        <v/>
      </c>
      <c r="CT143" s="525">
        <f>+BF143-(BS143+CB143+CK143)</f>
        <v/>
      </c>
      <c r="CU143" s="525">
        <f>BT143+CC143+CL143</f>
        <v/>
      </c>
      <c r="CV143" s="525">
        <f>SUM(CN143:CT143)</f>
        <v/>
      </c>
    </row>
    <row r="144" ht="21" customFormat="1" customHeight="1" s="230">
      <c r="A144" s="453" t="n"/>
      <c r="B144" s="309" t="n"/>
      <c r="C144" s="287">
        <f>IF($A144=0,"",(VLOOKUP(A144,[3]MAT!$B$5:$D$4756,3,FALSE)))</f>
        <v/>
      </c>
      <c r="D144" s="288" t="inlineStr"/>
      <c r="E144" s="507" t="n"/>
      <c r="F144" s="526" t="n"/>
      <c r="G144" s="527" t="n"/>
      <c r="H144" s="510" t="n"/>
      <c r="I144" s="511" t="n"/>
      <c r="J144" s="512" t="n"/>
      <c r="K144" s="512" t="n"/>
      <c r="L144" s="513" t="n"/>
      <c r="M144" s="510" t="n"/>
      <c r="N144" s="526" t="n"/>
      <c r="O144" s="512" t="n"/>
      <c r="P144" s="512" t="n"/>
      <c r="Q144" s="512" t="n"/>
      <c r="R144" s="512" t="n"/>
      <c r="S144" s="512" t="n"/>
      <c r="T144" s="512" t="n"/>
      <c r="U144" s="512" t="n"/>
      <c r="V144" s="512" t="n"/>
      <c r="W144" s="512" t="n"/>
      <c r="X144" s="512" t="n"/>
      <c r="Y144" s="512" t="n"/>
      <c r="Z144" s="512" t="n"/>
      <c r="AA144" s="512" t="n"/>
      <c r="AB144" s="512" t="n"/>
      <c r="AC144" s="512" t="n"/>
      <c r="AD144" s="512" t="n"/>
      <c r="AE144" s="510" t="n"/>
      <c r="AF144" s="511" t="n"/>
      <c r="AG144" s="512" t="n"/>
      <c r="AH144" s="512" t="n"/>
      <c r="AI144" s="513" t="n"/>
      <c r="AJ144" s="510" t="n"/>
      <c r="AK144" s="513" t="n"/>
      <c r="AL144" s="513" t="n"/>
      <c r="AM144" s="513" t="n"/>
      <c r="AN144" s="513" t="n"/>
      <c r="AO144" s="513" t="n"/>
      <c r="AP144" s="513" t="n"/>
      <c r="AQ144" s="513" t="n"/>
      <c r="AR144" s="513" t="n"/>
      <c r="AS144" s="513" t="n"/>
      <c r="AT144" s="513" t="n"/>
      <c r="AU144" s="510" t="n"/>
      <c r="AV144" s="527" t="n"/>
      <c r="AW144" s="514" t="n"/>
      <c r="AX144" s="514" t="n"/>
      <c r="AY144" s="514" t="n"/>
      <c r="AZ144" s="514" t="n"/>
      <c r="BA144" s="510">
        <f>SUM(AV144:AZ144)</f>
        <v/>
      </c>
      <c r="BB144" s="511" t="n"/>
      <c r="BC144" s="512" t="n"/>
      <c r="BD144" s="512" t="n"/>
      <c r="BE144" s="512" t="n"/>
      <c r="BF144" s="510">
        <f>SUM(BB144:BE144)</f>
        <v/>
      </c>
      <c r="BG144" s="518" t="n"/>
      <c r="BH144" s="519">
        <f>H144+M144+AE144+AJ144+AU144+BA144+BF144</f>
        <v/>
      </c>
      <c r="BI144" s="528">
        <f>IF(E144-BH144&lt;0, BH144-E144, )</f>
        <v/>
      </c>
      <c r="BJ144" s="529">
        <f>IF(E144-BH144&lt;0, ,E144-BH144)</f>
        <v/>
      </c>
      <c r="BK144" s="530" t="n"/>
      <c r="BM144" s="523" t="n"/>
      <c r="BN144" s="523" t="n"/>
      <c r="BO144" s="523" t="n"/>
      <c r="BP144" s="523" t="n"/>
      <c r="BQ144" s="523" t="n"/>
      <c r="BR144" s="523" t="n"/>
      <c r="BS144" s="523" t="n"/>
      <c r="BT144" s="518">
        <f>SUM(BM144:BS144)</f>
        <v/>
      </c>
      <c r="BU144" s="518" t="n"/>
      <c r="BV144" s="523" t="n"/>
      <c r="BW144" s="523" t="n"/>
      <c r="BX144" s="523" t="n"/>
      <c r="BY144" s="523" t="n"/>
      <c r="BZ144" s="523" t="n"/>
      <c r="CA144" s="523" t="n"/>
      <c r="CB144" s="523" t="n"/>
      <c r="CC144" s="518">
        <f>SUM(BV144:CB144)</f>
        <v/>
      </c>
      <c r="CD144" s="518" t="n"/>
      <c r="CE144" s="523" t="n"/>
      <c r="CF144" s="523" t="n"/>
      <c r="CG144" s="523" t="n"/>
      <c r="CH144" s="523" t="n"/>
      <c r="CI144" s="523" t="n"/>
      <c r="CJ144" s="523" t="n"/>
      <c r="CK144" s="523" t="n"/>
      <c r="CL144" s="518">
        <f>SUM(CE144:CK144)</f>
        <v/>
      </c>
      <c r="CN144" s="525">
        <f>+H144-(BM144+BV144+CE144)</f>
        <v/>
      </c>
      <c r="CO144" s="525">
        <f>+M144-(BN144+BW144+CF144)</f>
        <v/>
      </c>
      <c r="CP144" s="525">
        <f>+AE144-(BO144+BX144+CG144)</f>
        <v/>
      </c>
      <c r="CQ144" s="525">
        <f>+AJ144-(BP144+BY144+CH144)</f>
        <v/>
      </c>
      <c r="CR144" s="525">
        <f>+AU144-(BQ144+BZ144+CI144)</f>
        <v/>
      </c>
      <c r="CS144" s="525">
        <f>+BA144-(BR144+CA144+CJ144)</f>
        <v/>
      </c>
      <c r="CT144" s="525">
        <f>+BF144-(BS144+CB144+CK144)</f>
        <v/>
      </c>
      <c r="CU144" s="525">
        <f>BT144+CC144+CL144</f>
        <v/>
      </c>
      <c r="CV144" s="525">
        <f>SUM(CN144:CT144)</f>
        <v/>
      </c>
    </row>
    <row r="145" ht="21" customFormat="1" customHeight="1" s="230">
      <c r="A145" s="453" t="n"/>
      <c r="B145" s="309" t="n"/>
      <c r="C145" s="287">
        <f>IF($A145=0,"",(VLOOKUP(A145,[3]MAT!$B$5:$D$4756,3,FALSE)))</f>
        <v/>
      </c>
      <c r="D145" s="288" t="inlineStr"/>
      <c r="E145" s="507" t="n"/>
      <c r="F145" s="526" t="n"/>
      <c r="G145" s="527" t="n"/>
      <c r="H145" s="510" t="n"/>
      <c r="I145" s="511" t="n"/>
      <c r="J145" s="512" t="n"/>
      <c r="K145" s="512" t="n"/>
      <c r="L145" s="513" t="n"/>
      <c r="M145" s="510" t="n"/>
      <c r="N145" s="526" t="n"/>
      <c r="O145" s="512" t="n"/>
      <c r="P145" s="512" t="n"/>
      <c r="Q145" s="512" t="n"/>
      <c r="R145" s="512" t="n"/>
      <c r="S145" s="512" t="n"/>
      <c r="T145" s="512" t="n"/>
      <c r="U145" s="512" t="n"/>
      <c r="V145" s="512" t="n"/>
      <c r="W145" s="512" t="n"/>
      <c r="X145" s="512" t="n"/>
      <c r="Y145" s="512" t="n"/>
      <c r="Z145" s="512" t="n"/>
      <c r="AA145" s="512" t="n"/>
      <c r="AB145" s="512" t="n"/>
      <c r="AC145" s="512" t="n"/>
      <c r="AD145" s="512" t="n"/>
      <c r="AE145" s="510" t="n"/>
      <c r="AF145" s="511" t="n"/>
      <c r="AG145" s="512" t="n"/>
      <c r="AH145" s="512" t="n"/>
      <c r="AI145" s="513" t="n"/>
      <c r="AJ145" s="510" t="n"/>
      <c r="AK145" s="513" t="n"/>
      <c r="AL145" s="513" t="n"/>
      <c r="AM145" s="513" t="n"/>
      <c r="AN145" s="513" t="n"/>
      <c r="AO145" s="513" t="n"/>
      <c r="AP145" s="513" t="n"/>
      <c r="AQ145" s="513" t="n"/>
      <c r="AR145" s="513" t="n"/>
      <c r="AS145" s="513" t="n"/>
      <c r="AT145" s="513" t="n"/>
      <c r="AU145" s="510" t="n"/>
      <c r="AV145" s="527" t="n"/>
      <c r="AW145" s="514" t="n"/>
      <c r="AX145" s="514" t="n"/>
      <c r="AY145" s="514" t="n"/>
      <c r="AZ145" s="514" t="n"/>
      <c r="BA145" s="510">
        <f>SUM(AV145:AZ145)</f>
        <v/>
      </c>
      <c r="BB145" s="511" t="n"/>
      <c r="BC145" s="512" t="n"/>
      <c r="BD145" s="512" t="n"/>
      <c r="BE145" s="512" t="n"/>
      <c r="BF145" s="510">
        <f>SUM(BB145:BE145)</f>
        <v/>
      </c>
      <c r="BG145" s="518" t="n"/>
      <c r="BH145" s="519">
        <f>H145+M145+AE145+AJ145+AU145+BA145+BF145</f>
        <v/>
      </c>
      <c r="BI145" s="528">
        <f>IF(E145-BH145&lt;0, BH145-E145, )</f>
        <v/>
      </c>
      <c r="BJ145" s="529">
        <f>IF(E145-BH145&lt;0, ,E145-BH145)</f>
        <v/>
      </c>
      <c r="BK145" s="530" t="n"/>
      <c r="BM145" s="523" t="n"/>
      <c r="BN145" s="523" t="n"/>
      <c r="BO145" s="523" t="n"/>
      <c r="BP145" s="523" t="n"/>
      <c r="BQ145" s="523" t="n"/>
      <c r="BR145" s="523" t="n"/>
      <c r="BS145" s="523" t="n"/>
      <c r="BT145" s="518">
        <f>SUM(BM145:BS145)</f>
        <v/>
      </c>
      <c r="BU145" s="518" t="n"/>
      <c r="BV145" s="523" t="n"/>
      <c r="BW145" s="523" t="n"/>
      <c r="BX145" s="523" t="n"/>
      <c r="BY145" s="523" t="n"/>
      <c r="BZ145" s="523" t="n"/>
      <c r="CA145" s="523" t="n"/>
      <c r="CB145" s="523" t="n"/>
      <c r="CC145" s="518">
        <f>SUM(BV145:CB145)</f>
        <v/>
      </c>
      <c r="CD145" s="518" t="n"/>
      <c r="CE145" s="523" t="n"/>
      <c r="CF145" s="523" t="n"/>
      <c r="CG145" s="523" t="n"/>
      <c r="CH145" s="523" t="n"/>
      <c r="CI145" s="523" t="n"/>
      <c r="CJ145" s="523" t="n"/>
      <c r="CK145" s="523" t="n"/>
      <c r="CL145" s="518">
        <f>SUM(CE145:CK145)</f>
        <v/>
      </c>
      <c r="CN145" s="525">
        <f>+H145-(BM145+BV145+CE145)</f>
        <v/>
      </c>
      <c r="CO145" s="525">
        <f>+M145-(BN145+BW145+CF145)</f>
        <v/>
      </c>
      <c r="CP145" s="525">
        <f>+AE145-(BO145+BX145+CG145)</f>
        <v/>
      </c>
      <c r="CQ145" s="525">
        <f>+AJ145-(BP145+BY145+CH145)</f>
        <v/>
      </c>
      <c r="CR145" s="525">
        <f>+AU145-(BQ145+BZ145+CI145)</f>
        <v/>
      </c>
      <c r="CS145" s="525">
        <f>+BA145-(BR145+CA145+CJ145)</f>
        <v/>
      </c>
      <c r="CT145" s="525">
        <f>+BF145-(BS145+CB145+CK145)</f>
        <v/>
      </c>
      <c r="CU145" s="525">
        <f>BT145+CC145+CL145</f>
        <v/>
      </c>
      <c r="CV145" s="525">
        <f>SUM(CN145:CT145)</f>
        <v/>
      </c>
    </row>
    <row r="146" ht="21" customFormat="1" customHeight="1" s="230">
      <c r="A146" s="453" t="n"/>
      <c r="B146" s="309" t="n"/>
      <c r="C146" s="287">
        <f>IF($A146=0,"",(VLOOKUP(A146,[3]MAT!$B$5:$D$4756,3,FALSE)))</f>
        <v/>
      </c>
      <c r="D146" s="288" t="inlineStr"/>
      <c r="E146" s="507" t="n"/>
      <c r="F146" s="526" t="n"/>
      <c r="G146" s="527" t="n"/>
      <c r="H146" s="510" t="n"/>
      <c r="I146" s="511" t="n"/>
      <c r="J146" s="512" t="n"/>
      <c r="K146" s="512" t="n"/>
      <c r="L146" s="513" t="n"/>
      <c r="M146" s="510" t="n"/>
      <c r="N146" s="526" t="n"/>
      <c r="O146" s="512" t="n"/>
      <c r="P146" s="512" t="n"/>
      <c r="Q146" s="512" t="n"/>
      <c r="R146" s="512" t="n"/>
      <c r="S146" s="512" t="n"/>
      <c r="T146" s="512" t="n"/>
      <c r="U146" s="512" t="n"/>
      <c r="V146" s="512" t="n"/>
      <c r="W146" s="512" t="n"/>
      <c r="X146" s="512" t="n"/>
      <c r="Y146" s="512" t="n"/>
      <c r="Z146" s="512" t="n"/>
      <c r="AA146" s="512" t="n"/>
      <c r="AB146" s="512" t="n"/>
      <c r="AC146" s="512" t="n"/>
      <c r="AD146" s="512" t="n"/>
      <c r="AE146" s="510" t="n"/>
      <c r="AF146" s="511" t="n"/>
      <c r="AG146" s="512" t="n"/>
      <c r="AH146" s="512" t="n"/>
      <c r="AI146" s="513" t="n"/>
      <c r="AJ146" s="510" t="n"/>
      <c r="AK146" s="513" t="n"/>
      <c r="AL146" s="513" t="n"/>
      <c r="AM146" s="513" t="n"/>
      <c r="AN146" s="513" t="n"/>
      <c r="AO146" s="513" t="n"/>
      <c r="AP146" s="513" t="n"/>
      <c r="AQ146" s="513" t="n"/>
      <c r="AR146" s="513" t="n"/>
      <c r="AS146" s="513" t="n"/>
      <c r="AT146" s="513" t="n"/>
      <c r="AU146" s="510" t="n"/>
      <c r="AV146" s="527" t="n"/>
      <c r="AW146" s="514" t="n"/>
      <c r="AX146" s="514" t="n"/>
      <c r="AY146" s="514" t="n"/>
      <c r="AZ146" s="514" t="n"/>
      <c r="BA146" s="510">
        <f>SUM(AV146:AZ146)</f>
        <v/>
      </c>
      <c r="BB146" s="511" t="n"/>
      <c r="BC146" s="512" t="n"/>
      <c r="BD146" s="512" t="n"/>
      <c r="BE146" s="512" t="n"/>
      <c r="BF146" s="510">
        <f>SUM(BB146:BE146)</f>
        <v/>
      </c>
      <c r="BG146" s="518" t="n"/>
      <c r="BH146" s="519">
        <f>H146+M146+AE146+AJ146+AU146+BA146+BF146</f>
        <v/>
      </c>
      <c r="BI146" s="528">
        <f>IF(E146-BH146&lt;0, BH146-E146, )</f>
        <v/>
      </c>
      <c r="BJ146" s="529">
        <f>IF(E146-BH146&lt;0, ,E146-BH146)</f>
        <v/>
      </c>
      <c r="BK146" s="530" t="n"/>
      <c r="BM146" s="523" t="n"/>
      <c r="BN146" s="523" t="n"/>
      <c r="BO146" s="523" t="n"/>
      <c r="BP146" s="523" t="n"/>
      <c r="BQ146" s="523" t="n"/>
      <c r="BR146" s="523" t="n"/>
      <c r="BS146" s="523" t="n"/>
      <c r="BT146" s="518">
        <f>SUM(BM146:BS146)</f>
        <v/>
      </c>
      <c r="BU146" s="518" t="n"/>
      <c r="BV146" s="523" t="n"/>
      <c r="BW146" s="523" t="n"/>
      <c r="BX146" s="523" t="n"/>
      <c r="BY146" s="523" t="n"/>
      <c r="BZ146" s="523" t="n"/>
      <c r="CA146" s="523" t="n"/>
      <c r="CB146" s="523" t="n"/>
      <c r="CC146" s="518">
        <f>SUM(BV146:CB146)</f>
        <v/>
      </c>
      <c r="CD146" s="518" t="n"/>
      <c r="CE146" s="523" t="n"/>
      <c r="CF146" s="523" t="n"/>
      <c r="CG146" s="523" t="n"/>
      <c r="CH146" s="523" t="n"/>
      <c r="CI146" s="523" t="n"/>
      <c r="CJ146" s="523" t="n"/>
      <c r="CK146" s="523" t="n"/>
      <c r="CL146" s="518">
        <f>SUM(CE146:CK146)</f>
        <v/>
      </c>
      <c r="CN146" s="525">
        <f>+H146-(BM146+BV146+CE146)</f>
        <v/>
      </c>
      <c r="CO146" s="525">
        <f>+M146-(BN146+BW146+CF146)</f>
        <v/>
      </c>
      <c r="CP146" s="525">
        <f>+AE146-(BO146+BX146+CG146)</f>
        <v/>
      </c>
      <c r="CQ146" s="525">
        <f>+AJ146-(BP146+BY146+CH146)</f>
        <v/>
      </c>
      <c r="CR146" s="525">
        <f>+AU146-(BQ146+BZ146+CI146)</f>
        <v/>
      </c>
      <c r="CS146" s="525">
        <f>+BA146-(BR146+CA146+CJ146)</f>
        <v/>
      </c>
      <c r="CT146" s="525">
        <f>+BF146-(BS146+CB146+CK146)</f>
        <v/>
      </c>
      <c r="CU146" s="525">
        <f>BT146+CC146+CL146</f>
        <v/>
      </c>
      <c r="CV146" s="525">
        <f>SUM(CN146:CT146)</f>
        <v/>
      </c>
    </row>
    <row r="147" ht="21" customFormat="1" customHeight="1" s="230">
      <c r="A147" s="453" t="n"/>
      <c r="B147" s="309" t="n"/>
      <c r="C147" s="287">
        <f>IF($A147=0,"",(VLOOKUP(A147,[3]MAT!$B$5:$D$4756,3,FALSE)))</f>
        <v/>
      </c>
      <c r="D147" s="288" t="inlineStr"/>
      <c r="E147" s="507" t="n"/>
      <c r="F147" s="526" t="n"/>
      <c r="G147" s="527" t="n"/>
      <c r="H147" s="510" t="n"/>
      <c r="I147" s="511" t="n"/>
      <c r="J147" s="512" t="n"/>
      <c r="K147" s="512" t="n"/>
      <c r="L147" s="513" t="n"/>
      <c r="M147" s="510" t="n"/>
      <c r="N147" s="526" t="n"/>
      <c r="O147" s="512" t="n"/>
      <c r="P147" s="512" t="n"/>
      <c r="Q147" s="512" t="n"/>
      <c r="R147" s="512" t="n"/>
      <c r="S147" s="512" t="n"/>
      <c r="T147" s="512" t="n"/>
      <c r="U147" s="512" t="n"/>
      <c r="V147" s="512" t="n"/>
      <c r="W147" s="512" t="n"/>
      <c r="X147" s="512" t="n"/>
      <c r="Y147" s="512" t="n"/>
      <c r="Z147" s="512" t="n"/>
      <c r="AA147" s="512" t="n"/>
      <c r="AB147" s="512" t="n"/>
      <c r="AC147" s="512" t="n"/>
      <c r="AD147" s="512" t="n"/>
      <c r="AE147" s="510" t="n"/>
      <c r="AF147" s="511" t="n"/>
      <c r="AG147" s="512" t="n"/>
      <c r="AH147" s="512" t="n"/>
      <c r="AI147" s="513" t="n"/>
      <c r="AJ147" s="510" t="n"/>
      <c r="AK147" s="513" t="n"/>
      <c r="AL147" s="513" t="n"/>
      <c r="AM147" s="513" t="n"/>
      <c r="AN147" s="513" t="n"/>
      <c r="AO147" s="513" t="n"/>
      <c r="AP147" s="513" t="n"/>
      <c r="AQ147" s="513" t="n"/>
      <c r="AR147" s="513" t="n"/>
      <c r="AS147" s="513" t="n"/>
      <c r="AT147" s="513" t="n"/>
      <c r="AU147" s="510" t="n"/>
      <c r="AV147" s="527" t="n"/>
      <c r="AW147" s="514" t="n"/>
      <c r="AX147" s="514" t="n"/>
      <c r="AY147" s="514" t="n"/>
      <c r="AZ147" s="514" t="n"/>
      <c r="BA147" s="510">
        <f>SUM(AV147:AZ147)</f>
        <v/>
      </c>
      <c r="BB147" s="511" t="n"/>
      <c r="BC147" s="512" t="n"/>
      <c r="BD147" s="512" t="n"/>
      <c r="BE147" s="512" t="n"/>
      <c r="BF147" s="510">
        <f>SUM(BB147:BE147)</f>
        <v/>
      </c>
      <c r="BG147" s="518" t="n"/>
      <c r="BH147" s="519">
        <f>H147+M147+AE147+AJ147+AU147+BA147+BF147</f>
        <v/>
      </c>
      <c r="BI147" s="528">
        <f>IF(E147-BH147&lt;0, BH147-E147, )</f>
        <v/>
      </c>
      <c r="BJ147" s="529">
        <f>IF(E147-BH147&lt;0, ,E147-BH147)</f>
        <v/>
      </c>
      <c r="BK147" s="530" t="n"/>
      <c r="BM147" s="523" t="n"/>
      <c r="BN147" s="523" t="n"/>
      <c r="BO147" s="523" t="n"/>
      <c r="BP147" s="523" t="n"/>
      <c r="BQ147" s="523" t="n"/>
      <c r="BR147" s="523" t="n"/>
      <c r="BS147" s="523" t="n"/>
      <c r="BT147" s="518">
        <f>SUM(BM147:BS147)</f>
        <v/>
      </c>
      <c r="BU147" s="518" t="n"/>
      <c r="BV147" s="523" t="n"/>
      <c r="BW147" s="523" t="n"/>
      <c r="BX147" s="523" t="n"/>
      <c r="BY147" s="523" t="n"/>
      <c r="BZ147" s="523" t="n"/>
      <c r="CA147" s="523" t="n"/>
      <c r="CB147" s="523" t="n"/>
      <c r="CC147" s="518">
        <f>SUM(BV147:CB147)</f>
        <v/>
      </c>
      <c r="CD147" s="518" t="n"/>
      <c r="CE147" s="523" t="n"/>
      <c r="CF147" s="523" t="n"/>
      <c r="CG147" s="523" t="n"/>
      <c r="CH147" s="523" t="n"/>
      <c r="CI147" s="523" t="n"/>
      <c r="CJ147" s="523" t="n"/>
      <c r="CK147" s="523" t="n"/>
      <c r="CL147" s="518">
        <f>SUM(CE147:CK147)</f>
        <v/>
      </c>
      <c r="CN147" s="525">
        <f>+H147-(BM147+BV147+CE147)</f>
        <v/>
      </c>
      <c r="CO147" s="525">
        <f>+M147-(BN147+BW147+CF147)</f>
        <v/>
      </c>
      <c r="CP147" s="525">
        <f>+AE147-(BO147+BX147+CG147)</f>
        <v/>
      </c>
      <c r="CQ147" s="525">
        <f>+AJ147-(BP147+BY147+CH147)</f>
        <v/>
      </c>
      <c r="CR147" s="525">
        <f>+AU147-(BQ147+BZ147+CI147)</f>
        <v/>
      </c>
      <c r="CS147" s="525">
        <f>+BA147-(BR147+CA147+CJ147)</f>
        <v/>
      </c>
      <c r="CT147" s="525">
        <f>+BF147-(BS147+CB147+CK147)</f>
        <v/>
      </c>
      <c r="CU147" s="525">
        <f>BT147+CC147+CL147</f>
        <v/>
      </c>
      <c r="CV147" s="525">
        <f>SUM(CN147:CT147)</f>
        <v/>
      </c>
    </row>
    <row r="148" ht="21" customFormat="1" customHeight="1" s="230">
      <c r="A148" s="453" t="n"/>
      <c r="B148" s="309" t="n"/>
      <c r="C148" s="287">
        <f>IF($A148=0,"",(VLOOKUP(A148,[3]MAT!$B$5:$D$4756,3,FALSE)))</f>
        <v/>
      </c>
      <c r="D148" s="288" t="inlineStr"/>
      <c r="E148" s="507" t="n"/>
      <c r="F148" s="526" t="n"/>
      <c r="G148" s="527" t="n"/>
      <c r="H148" s="510" t="n"/>
      <c r="I148" s="511" t="n"/>
      <c r="J148" s="512" t="n"/>
      <c r="K148" s="512" t="n"/>
      <c r="L148" s="513" t="n"/>
      <c r="M148" s="510" t="n"/>
      <c r="N148" s="526" t="n"/>
      <c r="O148" s="512" t="n"/>
      <c r="P148" s="512" t="n"/>
      <c r="Q148" s="512" t="n"/>
      <c r="R148" s="512" t="n"/>
      <c r="S148" s="512" t="n"/>
      <c r="T148" s="512" t="n"/>
      <c r="U148" s="512" t="n"/>
      <c r="V148" s="512" t="n"/>
      <c r="W148" s="512" t="n"/>
      <c r="X148" s="512" t="n"/>
      <c r="Y148" s="512" t="n"/>
      <c r="Z148" s="512" t="n"/>
      <c r="AA148" s="512" t="n"/>
      <c r="AB148" s="512" t="n"/>
      <c r="AC148" s="512" t="n"/>
      <c r="AD148" s="512" t="n"/>
      <c r="AE148" s="510" t="n"/>
      <c r="AF148" s="511" t="n"/>
      <c r="AG148" s="512" t="n"/>
      <c r="AH148" s="512" t="n"/>
      <c r="AI148" s="513" t="n"/>
      <c r="AJ148" s="510" t="n"/>
      <c r="AK148" s="513" t="n"/>
      <c r="AL148" s="513" t="n"/>
      <c r="AM148" s="513" t="n"/>
      <c r="AN148" s="513" t="n"/>
      <c r="AO148" s="513" t="n"/>
      <c r="AP148" s="513" t="n"/>
      <c r="AQ148" s="513" t="n"/>
      <c r="AR148" s="513" t="n"/>
      <c r="AS148" s="513" t="n"/>
      <c r="AT148" s="513" t="n"/>
      <c r="AU148" s="510" t="n"/>
      <c r="AV148" s="527" t="n"/>
      <c r="AW148" s="514" t="n"/>
      <c r="AX148" s="514" t="n"/>
      <c r="AY148" s="514" t="n"/>
      <c r="AZ148" s="514" t="n"/>
      <c r="BA148" s="510">
        <f>SUM(AV148:AZ148)</f>
        <v/>
      </c>
      <c r="BB148" s="511" t="n"/>
      <c r="BC148" s="512" t="n"/>
      <c r="BD148" s="512" t="n"/>
      <c r="BE148" s="512" t="n"/>
      <c r="BF148" s="510">
        <f>SUM(BB148:BE148)</f>
        <v/>
      </c>
      <c r="BG148" s="518" t="n"/>
      <c r="BH148" s="519">
        <f>H148+M148+AE148+AJ148+AU148+BA148+BF148</f>
        <v/>
      </c>
      <c r="BI148" s="528">
        <f>IF(E148-BH148&lt;0, BH148-E148, )</f>
        <v/>
      </c>
      <c r="BJ148" s="529">
        <f>IF(E148-BH148&lt;0, ,E148-BH148)</f>
        <v/>
      </c>
      <c r="BK148" s="530" t="n"/>
      <c r="BM148" s="523" t="n"/>
      <c r="BN148" s="523" t="n"/>
      <c r="BO148" s="523" t="n"/>
      <c r="BP148" s="523" t="n"/>
      <c r="BQ148" s="523" t="n"/>
      <c r="BR148" s="523" t="n"/>
      <c r="BS148" s="523" t="n"/>
      <c r="BT148" s="518">
        <f>SUM(BM148:BS148)</f>
        <v/>
      </c>
      <c r="BU148" s="518" t="n"/>
      <c r="BV148" s="523" t="n"/>
      <c r="BW148" s="523" t="n"/>
      <c r="BX148" s="523" t="n"/>
      <c r="BY148" s="523" t="n"/>
      <c r="BZ148" s="523" t="n"/>
      <c r="CA148" s="523" t="n"/>
      <c r="CB148" s="523" t="n"/>
      <c r="CC148" s="518">
        <f>SUM(BV148:CB148)</f>
        <v/>
      </c>
      <c r="CD148" s="518" t="n"/>
      <c r="CE148" s="523" t="n"/>
      <c r="CF148" s="523" t="n"/>
      <c r="CG148" s="523" t="n"/>
      <c r="CH148" s="523" t="n"/>
      <c r="CI148" s="523" t="n"/>
      <c r="CJ148" s="523" t="n"/>
      <c r="CK148" s="523" t="n"/>
      <c r="CL148" s="518">
        <f>SUM(CE148:CK148)</f>
        <v/>
      </c>
      <c r="CN148" s="525">
        <f>+H148-(BM148+BV148+CE148)</f>
        <v/>
      </c>
      <c r="CO148" s="525">
        <f>+M148-(BN148+BW148+CF148)</f>
        <v/>
      </c>
      <c r="CP148" s="525">
        <f>+AE148-(BO148+BX148+CG148)</f>
        <v/>
      </c>
      <c r="CQ148" s="525">
        <f>+AJ148-(BP148+BY148+CH148)</f>
        <v/>
      </c>
      <c r="CR148" s="525">
        <f>+AU148-(BQ148+BZ148+CI148)</f>
        <v/>
      </c>
      <c r="CS148" s="525">
        <f>+BA148-(BR148+CA148+CJ148)</f>
        <v/>
      </c>
      <c r="CT148" s="525">
        <f>+BF148-(BS148+CB148+CK148)</f>
        <v/>
      </c>
      <c r="CU148" s="525">
        <f>BT148+CC148+CL148</f>
        <v/>
      </c>
      <c r="CV148" s="525">
        <f>SUM(CN148:CT148)</f>
        <v/>
      </c>
    </row>
    <row r="149" ht="21" customFormat="1" customHeight="1" s="230">
      <c r="A149" s="453" t="n"/>
      <c r="B149" s="309" t="n"/>
      <c r="C149" s="287">
        <f>IF($A149=0,"",(VLOOKUP(A149,[3]MAT!$B$5:$D$4756,3,FALSE)))</f>
        <v/>
      </c>
      <c r="D149" s="288" t="inlineStr"/>
      <c r="E149" s="507" t="n"/>
      <c r="F149" s="526" t="n"/>
      <c r="G149" s="527" t="n"/>
      <c r="H149" s="510" t="n"/>
      <c r="I149" s="511" t="n"/>
      <c r="J149" s="512" t="n"/>
      <c r="K149" s="512" t="n"/>
      <c r="L149" s="513" t="n"/>
      <c r="M149" s="510" t="n"/>
      <c r="N149" s="526" t="n"/>
      <c r="O149" s="512" t="n"/>
      <c r="P149" s="512" t="n"/>
      <c r="Q149" s="512" t="n"/>
      <c r="R149" s="512" t="n"/>
      <c r="S149" s="512" t="n"/>
      <c r="T149" s="512" t="n"/>
      <c r="U149" s="512" t="n"/>
      <c r="V149" s="512" t="n"/>
      <c r="W149" s="512" t="n"/>
      <c r="X149" s="512" t="n"/>
      <c r="Y149" s="512" t="n"/>
      <c r="Z149" s="512" t="n"/>
      <c r="AA149" s="512" t="n"/>
      <c r="AB149" s="512" t="n"/>
      <c r="AC149" s="512" t="n"/>
      <c r="AD149" s="512" t="n"/>
      <c r="AE149" s="510" t="n"/>
      <c r="AF149" s="511" t="n"/>
      <c r="AG149" s="512" t="n"/>
      <c r="AH149" s="512" t="n"/>
      <c r="AI149" s="513" t="n"/>
      <c r="AJ149" s="510" t="n"/>
      <c r="AK149" s="513" t="n"/>
      <c r="AL149" s="513" t="n"/>
      <c r="AM149" s="513" t="n"/>
      <c r="AN149" s="513" t="n"/>
      <c r="AO149" s="513" t="n"/>
      <c r="AP149" s="513" t="n"/>
      <c r="AQ149" s="513" t="n"/>
      <c r="AR149" s="513" t="n"/>
      <c r="AS149" s="513" t="n"/>
      <c r="AT149" s="513" t="n"/>
      <c r="AU149" s="510" t="n"/>
      <c r="AV149" s="527" t="n"/>
      <c r="AW149" s="514" t="n"/>
      <c r="AX149" s="514" t="n"/>
      <c r="AY149" s="514" t="n"/>
      <c r="AZ149" s="514" t="n"/>
      <c r="BA149" s="510">
        <f>SUM(AV149:AZ149)</f>
        <v/>
      </c>
      <c r="BB149" s="511" t="n"/>
      <c r="BC149" s="512" t="n"/>
      <c r="BD149" s="512" t="n"/>
      <c r="BE149" s="512" t="n"/>
      <c r="BF149" s="510">
        <f>SUM(BB149:BE149)</f>
        <v/>
      </c>
      <c r="BG149" s="518" t="n"/>
      <c r="BH149" s="519">
        <f>H149+M149+AE149+AJ149+AU149+BA149+BF149</f>
        <v/>
      </c>
      <c r="BI149" s="528">
        <f>IF(E149-BH149&lt;0, BH149-E149, )</f>
        <v/>
      </c>
      <c r="BJ149" s="529">
        <f>IF(E149-BH149&lt;0, ,E149-BH149)</f>
        <v/>
      </c>
      <c r="BK149" s="530" t="n"/>
      <c r="BM149" s="523" t="n"/>
      <c r="BN149" s="523" t="n"/>
      <c r="BO149" s="523" t="n"/>
      <c r="BP149" s="523" t="n"/>
      <c r="BQ149" s="523" t="n"/>
      <c r="BR149" s="523" t="n"/>
      <c r="BS149" s="523" t="n"/>
      <c r="BT149" s="518">
        <f>SUM(BM149:BS149)</f>
        <v/>
      </c>
      <c r="BU149" s="518" t="n"/>
      <c r="BV149" s="523" t="n"/>
      <c r="BW149" s="523" t="n"/>
      <c r="BX149" s="523" t="n"/>
      <c r="BY149" s="523" t="n"/>
      <c r="BZ149" s="523" t="n"/>
      <c r="CA149" s="523" t="n"/>
      <c r="CB149" s="523" t="n"/>
      <c r="CC149" s="518">
        <f>SUM(BV149:CB149)</f>
        <v/>
      </c>
      <c r="CD149" s="518" t="n"/>
      <c r="CE149" s="523" t="n"/>
      <c r="CF149" s="523" t="n"/>
      <c r="CG149" s="523" t="n"/>
      <c r="CH149" s="523" t="n"/>
      <c r="CI149" s="523" t="n"/>
      <c r="CJ149" s="523" t="n"/>
      <c r="CK149" s="523" t="n"/>
      <c r="CL149" s="518">
        <f>SUM(CE149:CK149)</f>
        <v/>
      </c>
      <c r="CN149" s="525">
        <f>+H149-(BM149+BV149+CE149)</f>
        <v/>
      </c>
      <c r="CO149" s="525">
        <f>+M149-(BN149+BW149+CF149)</f>
        <v/>
      </c>
      <c r="CP149" s="525">
        <f>+AE149-(BO149+BX149+CG149)</f>
        <v/>
      </c>
      <c r="CQ149" s="525">
        <f>+AJ149-(BP149+BY149+CH149)</f>
        <v/>
      </c>
      <c r="CR149" s="525">
        <f>+AU149-(BQ149+BZ149+CI149)</f>
        <v/>
      </c>
      <c r="CS149" s="525">
        <f>+BA149-(BR149+CA149+CJ149)</f>
        <v/>
      </c>
      <c r="CT149" s="525">
        <f>+BF149-(BS149+CB149+CK149)</f>
        <v/>
      </c>
      <c r="CU149" s="525">
        <f>BT149+CC149+CL149</f>
        <v/>
      </c>
      <c r="CV149" s="525">
        <f>SUM(CN149:CT149)</f>
        <v/>
      </c>
    </row>
    <row r="150" ht="21" customFormat="1" customHeight="1" s="230">
      <c r="A150" s="453" t="n"/>
      <c r="B150" s="309" t="n"/>
      <c r="C150" s="287">
        <f>IF($A150=0,"",(VLOOKUP(A150,[3]MAT!$B$5:$D$4756,3,FALSE)))</f>
        <v/>
      </c>
      <c r="D150" s="288" t="inlineStr"/>
      <c r="E150" s="507" t="n"/>
      <c r="F150" s="526" t="n"/>
      <c r="G150" s="527" t="n"/>
      <c r="H150" s="510" t="n"/>
      <c r="I150" s="511" t="n"/>
      <c r="J150" s="512" t="n"/>
      <c r="K150" s="512" t="n"/>
      <c r="L150" s="513" t="n"/>
      <c r="M150" s="510" t="n"/>
      <c r="N150" s="526" t="n"/>
      <c r="O150" s="512" t="n"/>
      <c r="P150" s="512" t="n"/>
      <c r="Q150" s="512" t="n"/>
      <c r="R150" s="512" t="n"/>
      <c r="S150" s="512" t="n"/>
      <c r="T150" s="512" t="n"/>
      <c r="U150" s="512" t="n"/>
      <c r="V150" s="512" t="n"/>
      <c r="W150" s="512" t="n"/>
      <c r="X150" s="512" t="n"/>
      <c r="Y150" s="512" t="n"/>
      <c r="Z150" s="512" t="n"/>
      <c r="AA150" s="512" t="n"/>
      <c r="AB150" s="512" t="n"/>
      <c r="AC150" s="512" t="n"/>
      <c r="AD150" s="512" t="n"/>
      <c r="AE150" s="510" t="n"/>
      <c r="AF150" s="511" t="n"/>
      <c r="AG150" s="512" t="n"/>
      <c r="AH150" s="512" t="n"/>
      <c r="AI150" s="513" t="n"/>
      <c r="AJ150" s="510" t="n"/>
      <c r="AK150" s="513" t="n"/>
      <c r="AL150" s="513" t="n"/>
      <c r="AM150" s="513" t="n"/>
      <c r="AN150" s="513" t="n"/>
      <c r="AO150" s="513" t="n"/>
      <c r="AP150" s="513" t="n"/>
      <c r="AQ150" s="513" t="n"/>
      <c r="AR150" s="513" t="n"/>
      <c r="AS150" s="513" t="n"/>
      <c r="AT150" s="513" t="n"/>
      <c r="AU150" s="510" t="n"/>
      <c r="AV150" s="527" t="n"/>
      <c r="AW150" s="514" t="n"/>
      <c r="AX150" s="514" t="n"/>
      <c r="AY150" s="514" t="n"/>
      <c r="AZ150" s="514" t="n"/>
      <c r="BA150" s="510">
        <f>SUM(AV150:AZ150)</f>
        <v/>
      </c>
      <c r="BB150" s="511" t="n"/>
      <c r="BC150" s="512" t="n"/>
      <c r="BD150" s="512" t="n"/>
      <c r="BE150" s="512" t="n"/>
      <c r="BF150" s="510">
        <f>SUM(BB150:BE150)</f>
        <v/>
      </c>
      <c r="BG150" s="518" t="n"/>
      <c r="BH150" s="519">
        <f>H150+M150+AE150+AJ150+AU150+BA150+BF150</f>
        <v/>
      </c>
      <c r="BI150" s="528">
        <f>IF(E150-BH150&lt;0, BH150-E150, )</f>
        <v/>
      </c>
      <c r="BJ150" s="529">
        <f>IF(E150-BH150&lt;0, ,E150-BH150)</f>
        <v/>
      </c>
      <c r="BK150" s="530" t="n"/>
      <c r="BM150" s="523" t="n"/>
      <c r="BN150" s="523" t="n"/>
      <c r="BO150" s="523" t="n"/>
      <c r="BP150" s="523" t="n"/>
      <c r="BQ150" s="523" t="n"/>
      <c r="BR150" s="523" t="n"/>
      <c r="BS150" s="523" t="n"/>
      <c r="BT150" s="518">
        <f>SUM(BM150:BS150)</f>
        <v/>
      </c>
      <c r="BU150" s="518" t="n"/>
      <c r="BV150" s="523" t="n"/>
      <c r="BW150" s="523" t="n"/>
      <c r="BX150" s="523" t="n"/>
      <c r="BY150" s="523" t="n"/>
      <c r="BZ150" s="523" t="n"/>
      <c r="CA150" s="523" t="n"/>
      <c r="CB150" s="523" t="n"/>
      <c r="CC150" s="518">
        <f>SUM(BV150:CB150)</f>
        <v/>
      </c>
      <c r="CD150" s="518" t="n"/>
      <c r="CE150" s="523" t="n"/>
      <c r="CF150" s="523" t="n"/>
      <c r="CG150" s="523" t="n"/>
      <c r="CH150" s="523" t="n"/>
      <c r="CI150" s="523" t="n"/>
      <c r="CJ150" s="523" t="n"/>
      <c r="CK150" s="523" t="n"/>
      <c r="CL150" s="518">
        <f>SUM(CE150:CK150)</f>
        <v/>
      </c>
      <c r="CN150" s="525">
        <f>+H150-(BM150+BV150+CE150)</f>
        <v/>
      </c>
      <c r="CO150" s="525">
        <f>+M150-(BN150+BW150+CF150)</f>
        <v/>
      </c>
      <c r="CP150" s="525">
        <f>+AE150-(BO150+BX150+CG150)</f>
        <v/>
      </c>
      <c r="CQ150" s="525">
        <f>+AJ150-(BP150+BY150+CH150)</f>
        <v/>
      </c>
      <c r="CR150" s="525">
        <f>+AU150-(BQ150+BZ150+CI150)</f>
        <v/>
      </c>
      <c r="CS150" s="525">
        <f>+BA150-(BR150+CA150+CJ150)</f>
        <v/>
      </c>
      <c r="CT150" s="525">
        <f>+BF150-(BS150+CB150+CK150)</f>
        <v/>
      </c>
      <c r="CU150" s="525">
        <f>BT150+CC150+CL150</f>
        <v/>
      </c>
      <c r="CV150" s="525">
        <f>SUM(CN150:CT150)</f>
        <v/>
      </c>
    </row>
    <row r="151" ht="21" customFormat="1" customHeight="1" s="230">
      <c r="A151" s="453" t="n"/>
      <c r="B151" s="309" t="n"/>
      <c r="C151" s="287">
        <f>IF($A151=0,"",(VLOOKUP(A151,[3]MAT!$B$5:$D$4756,3,FALSE)))</f>
        <v/>
      </c>
      <c r="D151" s="288" t="inlineStr"/>
      <c r="E151" s="507" t="n"/>
      <c r="F151" s="526" t="n"/>
      <c r="G151" s="527" t="n"/>
      <c r="H151" s="510" t="n"/>
      <c r="I151" s="511" t="n"/>
      <c r="J151" s="512" t="n"/>
      <c r="K151" s="512" t="n"/>
      <c r="L151" s="513" t="n"/>
      <c r="M151" s="510" t="n"/>
      <c r="N151" s="526" t="n"/>
      <c r="O151" s="512" t="n"/>
      <c r="P151" s="512" t="n"/>
      <c r="Q151" s="512" t="n"/>
      <c r="R151" s="512" t="n"/>
      <c r="S151" s="512" t="n"/>
      <c r="T151" s="512" t="n"/>
      <c r="U151" s="512" t="n"/>
      <c r="V151" s="512" t="n"/>
      <c r="W151" s="512" t="n"/>
      <c r="X151" s="512" t="n"/>
      <c r="Y151" s="512" t="n"/>
      <c r="Z151" s="512" t="n"/>
      <c r="AA151" s="512" t="n"/>
      <c r="AB151" s="512" t="n"/>
      <c r="AC151" s="512" t="n"/>
      <c r="AD151" s="512" t="n"/>
      <c r="AE151" s="510" t="n"/>
      <c r="AF151" s="511" t="n"/>
      <c r="AG151" s="512" t="n"/>
      <c r="AH151" s="512" t="n"/>
      <c r="AI151" s="513" t="n"/>
      <c r="AJ151" s="510" t="n"/>
      <c r="AK151" s="513" t="n"/>
      <c r="AL151" s="513" t="n"/>
      <c r="AM151" s="513" t="n"/>
      <c r="AN151" s="513" t="n"/>
      <c r="AO151" s="513" t="n"/>
      <c r="AP151" s="513" t="n"/>
      <c r="AQ151" s="513" t="n"/>
      <c r="AR151" s="513" t="n"/>
      <c r="AS151" s="513" t="n"/>
      <c r="AT151" s="513" t="n"/>
      <c r="AU151" s="510" t="n"/>
      <c r="AV151" s="527" t="n"/>
      <c r="AW151" s="514" t="n"/>
      <c r="AX151" s="514" t="n"/>
      <c r="AY151" s="514" t="n"/>
      <c r="AZ151" s="514" t="n"/>
      <c r="BA151" s="510">
        <f>SUM(AV151:AZ151)</f>
        <v/>
      </c>
      <c r="BB151" s="511" t="n"/>
      <c r="BC151" s="512" t="n"/>
      <c r="BD151" s="512" t="n"/>
      <c r="BE151" s="512" t="n"/>
      <c r="BF151" s="510">
        <f>SUM(BB151:BE151)</f>
        <v/>
      </c>
      <c r="BG151" s="518" t="n"/>
      <c r="BH151" s="519">
        <f>H151+M151+AE151+AJ151+AU151+BA151+BF151</f>
        <v/>
      </c>
      <c r="BI151" s="528">
        <f>IF(E151-BH151&lt;0, BH151-E151, )</f>
        <v/>
      </c>
      <c r="BJ151" s="529">
        <f>IF(E151-BH151&lt;0, ,E151-BH151)</f>
        <v/>
      </c>
      <c r="BK151" s="530" t="n"/>
      <c r="BM151" s="523" t="n"/>
      <c r="BN151" s="523" t="n"/>
      <c r="BO151" s="523" t="n"/>
      <c r="BP151" s="523" t="n"/>
      <c r="BQ151" s="523" t="n"/>
      <c r="BR151" s="523" t="n"/>
      <c r="BS151" s="523" t="n"/>
      <c r="BT151" s="518">
        <f>SUM(BM151:BS151)</f>
        <v/>
      </c>
      <c r="BU151" s="518" t="n"/>
      <c r="BV151" s="523" t="n"/>
      <c r="BW151" s="523" t="n"/>
      <c r="BX151" s="523" t="n"/>
      <c r="BY151" s="523" t="n"/>
      <c r="BZ151" s="523" t="n"/>
      <c r="CA151" s="523" t="n"/>
      <c r="CB151" s="523" t="n"/>
      <c r="CC151" s="518">
        <f>SUM(BV151:CB151)</f>
        <v/>
      </c>
      <c r="CD151" s="518" t="n"/>
      <c r="CE151" s="523" t="n"/>
      <c r="CF151" s="523" t="n"/>
      <c r="CG151" s="523" t="n"/>
      <c r="CH151" s="523" t="n"/>
      <c r="CI151" s="523" t="n"/>
      <c r="CJ151" s="523" t="n"/>
      <c r="CK151" s="523" t="n"/>
      <c r="CL151" s="518">
        <f>SUM(CE151:CK151)</f>
        <v/>
      </c>
      <c r="CN151" s="525">
        <f>+H151-(BM151+BV151+CE151)</f>
        <v/>
      </c>
      <c r="CO151" s="525">
        <f>+M151-(BN151+BW151+CF151)</f>
        <v/>
      </c>
      <c r="CP151" s="525">
        <f>+AE151-(BO151+BX151+CG151)</f>
        <v/>
      </c>
      <c r="CQ151" s="525">
        <f>+AJ151-(BP151+BY151+CH151)</f>
        <v/>
      </c>
      <c r="CR151" s="525">
        <f>+AU151-(BQ151+BZ151+CI151)</f>
        <v/>
      </c>
      <c r="CS151" s="525">
        <f>+BA151-(BR151+CA151+CJ151)</f>
        <v/>
      </c>
      <c r="CT151" s="525">
        <f>+BF151-(BS151+CB151+CK151)</f>
        <v/>
      </c>
      <c r="CU151" s="525">
        <f>BT151+CC151+CL151</f>
        <v/>
      </c>
      <c r="CV151" s="525">
        <f>SUM(CN151:CT151)</f>
        <v/>
      </c>
    </row>
    <row r="152" ht="21" customFormat="1" customHeight="1" s="230">
      <c r="A152" s="453" t="n"/>
      <c r="B152" s="309" t="n"/>
      <c r="C152" s="287">
        <f>IF($A152=0,"",(VLOOKUP(A152,[3]MAT!$B$5:$D$4756,3,FALSE)))</f>
        <v/>
      </c>
      <c r="D152" s="288" t="inlineStr"/>
      <c r="E152" s="507" t="n"/>
      <c r="F152" s="526" t="n"/>
      <c r="G152" s="527" t="n"/>
      <c r="H152" s="510" t="n"/>
      <c r="I152" s="511" t="n"/>
      <c r="J152" s="512" t="n"/>
      <c r="K152" s="512" t="n"/>
      <c r="L152" s="513" t="n"/>
      <c r="M152" s="510" t="n"/>
      <c r="N152" s="526" t="n"/>
      <c r="O152" s="512" t="n"/>
      <c r="P152" s="512" t="n"/>
      <c r="Q152" s="512" t="n"/>
      <c r="R152" s="512" t="n"/>
      <c r="S152" s="512" t="n"/>
      <c r="T152" s="512" t="n"/>
      <c r="U152" s="512" t="n"/>
      <c r="V152" s="512" t="n"/>
      <c r="W152" s="512" t="n"/>
      <c r="X152" s="512" t="n"/>
      <c r="Y152" s="512" t="n"/>
      <c r="Z152" s="512" t="n"/>
      <c r="AA152" s="512" t="n"/>
      <c r="AB152" s="512" t="n"/>
      <c r="AC152" s="512" t="n"/>
      <c r="AD152" s="512" t="n"/>
      <c r="AE152" s="510" t="n"/>
      <c r="AF152" s="511" t="n"/>
      <c r="AG152" s="512" t="n"/>
      <c r="AH152" s="512" t="n"/>
      <c r="AI152" s="513" t="n"/>
      <c r="AJ152" s="510" t="n"/>
      <c r="AK152" s="513" t="n"/>
      <c r="AL152" s="513" t="n"/>
      <c r="AM152" s="513" t="n"/>
      <c r="AN152" s="513" t="n"/>
      <c r="AO152" s="513" t="n"/>
      <c r="AP152" s="513" t="n"/>
      <c r="AQ152" s="513" t="n"/>
      <c r="AR152" s="513" t="n"/>
      <c r="AS152" s="513" t="n"/>
      <c r="AT152" s="513" t="n"/>
      <c r="AU152" s="510" t="n"/>
      <c r="AV152" s="527" t="n"/>
      <c r="AW152" s="514" t="n"/>
      <c r="AX152" s="514" t="n"/>
      <c r="AY152" s="514" t="n"/>
      <c r="AZ152" s="514" t="n"/>
      <c r="BA152" s="510">
        <f>SUM(AV152:AZ152)</f>
        <v/>
      </c>
      <c r="BB152" s="511" t="n"/>
      <c r="BC152" s="512" t="n"/>
      <c r="BD152" s="512" t="n"/>
      <c r="BE152" s="512" t="n"/>
      <c r="BF152" s="510">
        <f>SUM(BB152:BE152)</f>
        <v/>
      </c>
      <c r="BG152" s="518" t="n"/>
      <c r="BH152" s="519">
        <f>H152+M152+AE152+AJ152+AU152+BA152+BF152</f>
        <v/>
      </c>
      <c r="BI152" s="528">
        <f>IF(E152-BH152&lt;0, BH152-E152, )</f>
        <v/>
      </c>
      <c r="BJ152" s="529">
        <f>IF(E152-BH152&lt;0, ,E152-BH152)</f>
        <v/>
      </c>
      <c r="BK152" s="530" t="n"/>
      <c r="BM152" s="523" t="n"/>
      <c r="BN152" s="523" t="n"/>
      <c r="BO152" s="523" t="n"/>
      <c r="BP152" s="523" t="n"/>
      <c r="BQ152" s="523" t="n"/>
      <c r="BR152" s="523" t="n"/>
      <c r="BS152" s="523" t="n"/>
      <c r="BT152" s="518">
        <f>SUM(BM152:BS152)</f>
        <v/>
      </c>
      <c r="BU152" s="518" t="n"/>
      <c r="BV152" s="523" t="n"/>
      <c r="BW152" s="523" t="n"/>
      <c r="BX152" s="523" t="n"/>
      <c r="BY152" s="523" t="n"/>
      <c r="BZ152" s="523" t="n"/>
      <c r="CA152" s="523" t="n"/>
      <c r="CB152" s="523" t="n"/>
      <c r="CC152" s="518">
        <f>SUM(BV152:CB152)</f>
        <v/>
      </c>
      <c r="CD152" s="518" t="n"/>
      <c r="CE152" s="523" t="n"/>
      <c r="CF152" s="523" t="n"/>
      <c r="CG152" s="523" t="n"/>
      <c r="CH152" s="523" t="n"/>
      <c r="CI152" s="523" t="n"/>
      <c r="CJ152" s="523" t="n"/>
      <c r="CK152" s="523" t="n"/>
      <c r="CL152" s="518">
        <f>SUM(CE152:CK152)</f>
        <v/>
      </c>
      <c r="CN152" s="525">
        <f>+H152-(BM152+BV152+CE152)</f>
        <v/>
      </c>
      <c r="CO152" s="525">
        <f>+M152-(BN152+BW152+CF152)</f>
        <v/>
      </c>
      <c r="CP152" s="525">
        <f>+AE152-(BO152+BX152+CG152)</f>
        <v/>
      </c>
      <c r="CQ152" s="525">
        <f>+AJ152-(BP152+BY152+CH152)</f>
        <v/>
      </c>
      <c r="CR152" s="525">
        <f>+AU152-(BQ152+BZ152+CI152)</f>
        <v/>
      </c>
      <c r="CS152" s="525">
        <f>+BA152-(BR152+CA152+CJ152)</f>
        <v/>
      </c>
      <c r="CT152" s="525">
        <f>+BF152-(BS152+CB152+CK152)</f>
        <v/>
      </c>
      <c r="CU152" s="525">
        <f>BT152+CC152+CL152</f>
        <v/>
      </c>
      <c r="CV152" s="525">
        <f>SUM(CN152:CT152)</f>
        <v/>
      </c>
    </row>
    <row r="153" ht="21" customFormat="1" customHeight="1" s="230">
      <c r="A153" s="453" t="n"/>
      <c r="B153" s="309" t="n"/>
      <c r="C153" s="287">
        <f>IF($A153=0,"",(VLOOKUP(A153,[3]MAT!$B$5:$D$4756,3,FALSE)))</f>
        <v/>
      </c>
      <c r="D153" s="288" t="inlineStr"/>
      <c r="E153" s="507" t="n"/>
      <c r="F153" s="526" t="n"/>
      <c r="G153" s="527" t="n"/>
      <c r="H153" s="510" t="n"/>
      <c r="I153" s="511" t="n"/>
      <c r="J153" s="512" t="n"/>
      <c r="K153" s="512" t="n"/>
      <c r="L153" s="513" t="n"/>
      <c r="M153" s="510" t="n"/>
      <c r="N153" s="526" t="n"/>
      <c r="O153" s="512" t="n"/>
      <c r="P153" s="512" t="n"/>
      <c r="Q153" s="512" t="n"/>
      <c r="R153" s="512" t="n"/>
      <c r="S153" s="512" t="n"/>
      <c r="T153" s="512" t="n"/>
      <c r="U153" s="512" t="n"/>
      <c r="V153" s="512" t="n"/>
      <c r="W153" s="512" t="n"/>
      <c r="X153" s="512" t="n"/>
      <c r="Y153" s="512" t="n"/>
      <c r="Z153" s="512" t="n"/>
      <c r="AA153" s="512" t="n"/>
      <c r="AB153" s="512" t="n"/>
      <c r="AC153" s="512" t="n"/>
      <c r="AD153" s="512" t="n"/>
      <c r="AE153" s="510" t="n"/>
      <c r="AF153" s="511" t="n"/>
      <c r="AG153" s="512" t="n"/>
      <c r="AH153" s="512" t="n"/>
      <c r="AI153" s="513" t="n"/>
      <c r="AJ153" s="510" t="n"/>
      <c r="AK153" s="513" t="n"/>
      <c r="AL153" s="513" t="n"/>
      <c r="AM153" s="513" t="n"/>
      <c r="AN153" s="513" t="n"/>
      <c r="AO153" s="513" t="n"/>
      <c r="AP153" s="513" t="n"/>
      <c r="AQ153" s="513" t="n"/>
      <c r="AR153" s="513" t="n"/>
      <c r="AS153" s="513" t="n"/>
      <c r="AT153" s="513" t="n"/>
      <c r="AU153" s="510" t="n"/>
      <c r="AV153" s="527" t="n"/>
      <c r="AW153" s="514" t="n"/>
      <c r="AX153" s="514" t="n"/>
      <c r="AY153" s="514" t="n"/>
      <c r="AZ153" s="514" t="n"/>
      <c r="BA153" s="510">
        <f>SUM(AV153:AZ153)</f>
        <v/>
      </c>
      <c r="BB153" s="511" t="n"/>
      <c r="BC153" s="512" t="n"/>
      <c r="BD153" s="512" t="n"/>
      <c r="BE153" s="512" t="n"/>
      <c r="BF153" s="510">
        <f>SUM(BB153:BE153)</f>
        <v/>
      </c>
      <c r="BG153" s="518" t="n"/>
      <c r="BH153" s="519">
        <f>H153+M153+AE153+AJ153+AU153+BA153+BF153</f>
        <v/>
      </c>
      <c r="BI153" s="528">
        <f>IF(E153-BH153&lt;0, BH153-E153, )</f>
        <v/>
      </c>
      <c r="BJ153" s="529">
        <f>IF(E153-BH153&lt;0, ,E153-BH153)</f>
        <v/>
      </c>
      <c r="BK153" s="530" t="n"/>
      <c r="BM153" s="523" t="n"/>
      <c r="BN153" s="523" t="n"/>
      <c r="BO153" s="523" t="n"/>
      <c r="BP153" s="523" t="n"/>
      <c r="BQ153" s="523" t="n"/>
      <c r="BR153" s="523" t="n"/>
      <c r="BS153" s="523" t="n"/>
      <c r="BT153" s="518">
        <f>SUM(BM153:BS153)</f>
        <v/>
      </c>
      <c r="BU153" s="518" t="n"/>
      <c r="BV153" s="523" t="n"/>
      <c r="BW153" s="523" t="n"/>
      <c r="BX153" s="523" t="n"/>
      <c r="BY153" s="523" t="n"/>
      <c r="BZ153" s="523" t="n"/>
      <c r="CA153" s="523" t="n"/>
      <c r="CB153" s="523" t="n"/>
      <c r="CC153" s="518">
        <f>SUM(BV153:CB153)</f>
        <v/>
      </c>
      <c r="CD153" s="518" t="n"/>
      <c r="CE153" s="523" t="n"/>
      <c r="CF153" s="523" t="n"/>
      <c r="CG153" s="523" t="n"/>
      <c r="CH153" s="523" t="n"/>
      <c r="CI153" s="523" t="n"/>
      <c r="CJ153" s="523" t="n"/>
      <c r="CK153" s="523" t="n"/>
      <c r="CL153" s="518">
        <f>SUM(CE153:CK153)</f>
        <v/>
      </c>
      <c r="CN153" s="525">
        <f>+H153-(BM153+BV153+CE153)</f>
        <v/>
      </c>
      <c r="CO153" s="525">
        <f>+M153-(BN153+BW153+CF153)</f>
        <v/>
      </c>
      <c r="CP153" s="525">
        <f>+AE153-(BO153+BX153+CG153)</f>
        <v/>
      </c>
      <c r="CQ153" s="525">
        <f>+AJ153-(BP153+BY153+CH153)</f>
        <v/>
      </c>
      <c r="CR153" s="525">
        <f>+AU153-(BQ153+BZ153+CI153)</f>
        <v/>
      </c>
      <c r="CS153" s="525">
        <f>+BA153-(BR153+CA153+CJ153)</f>
        <v/>
      </c>
      <c r="CT153" s="525">
        <f>+BF153-(BS153+CB153+CK153)</f>
        <v/>
      </c>
      <c r="CU153" s="525">
        <f>BT153+CC153+CL153</f>
        <v/>
      </c>
      <c r="CV153" s="525">
        <f>SUM(CN153:CT153)</f>
        <v/>
      </c>
    </row>
    <row r="154" ht="21" customFormat="1" customHeight="1" s="230">
      <c r="A154" s="453" t="n"/>
      <c r="B154" s="309" t="n"/>
      <c r="C154" s="287">
        <f>IF($A154=0,"",(VLOOKUP(A154,[3]MAT!$B$5:$D$4756,3,FALSE)))</f>
        <v/>
      </c>
      <c r="D154" s="288" t="inlineStr"/>
      <c r="E154" s="507" t="n"/>
      <c r="F154" s="526" t="n"/>
      <c r="G154" s="527" t="n"/>
      <c r="H154" s="510" t="n"/>
      <c r="I154" s="511" t="n"/>
      <c r="J154" s="512" t="n"/>
      <c r="K154" s="512" t="n"/>
      <c r="L154" s="513" t="n"/>
      <c r="M154" s="510" t="n"/>
      <c r="N154" s="526" t="n"/>
      <c r="O154" s="512" t="n"/>
      <c r="P154" s="512" t="n"/>
      <c r="Q154" s="512" t="n"/>
      <c r="R154" s="512" t="n"/>
      <c r="S154" s="512" t="n"/>
      <c r="T154" s="512" t="n"/>
      <c r="U154" s="512" t="n"/>
      <c r="V154" s="512" t="n"/>
      <c r="W154" s="512" t="n"/>
      <c r="X154" s="512" t="n"/>
      <c r="Y154" s="512" t="n"/>
      <c r="Z154" s="512" t="n"/>
      <c r="AA154" s="512" t="n"/>
      <c r="AB154" s="512" t="n"/>
      <c r="AC154" s="512" t="n"/>
      <c r="AD154" s="512" t="n"/>
      <c r="AE154" s="510" t="n"/>
      <c r="AF154" s="511" t="n"/>
      <c r="AG154" s="512" t="n"/>
      <c r="AH154" s="512" t="n"/>
      <c r="AI154" s="513" t="n"/>
      <c r="AJ154" s="510" t="n"/>
      <c r="AK154" s="513" t="n"/>
      <c r="AL154" s="513" t="n"/>
      <c r="AM154" s="513" t="n"/>
      <c r="AN154" s="513" t="n"/>
      <c r="AO154" s="513" t="n"/>
      <c r="AP154" s="513" t="n"/>
      <c r="AQ154" s="513" t="n"/>
      <c r="AR154" s="513" t="n"/>
      <c r="AS154" s="513" t="n"/>
      <c r="AT154" s="513" t="n"/>
      <c r="AU154" s="510" t="n"/>
      <c r="AV154" s="527" t="n"/>
      <c r="AW154" s="514" t="n"/>
      <c r="AX154" s="514" t="n"/>
      <c r="AY154" s="514" t="n"/>
      <c r="AZ154" s="514" t="n"/>
      <c r="BA154" s="510">
        <f>SUM(AV154:AZ154)</f>
        <v/>
      </c>
      <c r="BB154" s="511" t="n"/>
      <c r="BC154" s="512" t="n"/>
      <c r="BD154" s="512" t="n"/>
      <c r="BE154" s="512" t="n"/>
      <c r="BF154" s="510">
        <f>SUM(BB154:BE154)</f>
        <v/>
      </c>
      <c r="BG154" s="518" t="n"/>
      <c r="BH154" s="519">
        <f>H154+M154+AE154+AJ154+AU154+BA154+BF154</f>
        <v/>
      </c>
      <c r="BI154" s="528">
        <f>IF(E154-BH154&lt;0, BH154-E154, )</f>
        <v/>
      </c>
      <c r="BJ154" s="529">
        <f>IF(E154-BH154&lt;0, ,E154-BH154)</f>
        <v/>
      </c>
      <c r="BK154" s="530" t="n"/>
      <c r="BM154" s="523" t="n"/>
      <c r="BN154" s="523" t="n"/>
      <c r="BO154" s="523" t="n"/>
      <c r="BP154" s="523" t="n"/>
      <c r="BQ154" s="523" t="n"/>
      <c r="BR154" s="523" t="n"/>
      <c r="BS154" s="523" t="n"/>
      <c r="BT154" s="518">
        <f>SUM(BM154:BS154)</f>
        <v/>
      </c>
      <c r="BU154" s="518" t="n"/>
      <c r="BV154" s="523" t="n"/>
      <c r="BW154" s="523" t="n"/>
      <c r="BX154" s="523" t="n"/>
      <c r="BY154" s="523" t="n"/>
      <c r="BZ154" s="523" t="n"/>
      <c r="CA154" s="523" t="n"/>
      <c r="CB154" s="523" t="n"/>
      <c r="CC154" s="518">
        <f>SUM(BV154:CB154)</f>
        <v/>
      </c>
      <c r="CD154" s="518" t="n"/>
      <c r="CE154" s="523" t="n"/>
      <c r="CF154" s="523" t="n"/>
      <c r="CG154" s="523" t="n"/>
      <c r="CH154" s="523" t="n"/>
      <c r="CI154" s="523" t="n"/>
      <c r="CJ154" s="523" t="n"/>
      <c r="CK154" s="523" t="n"/>
      <c r="CL154" s="518">
        <f>SUM(CE154:CK154)</f>
        <v/>
      </c>
      <c r="CN154" s="525">
        <f>+H154-(BM154+BV154+CE154)</f>
        <v/>
      </c>
      <c r="CO154" s="525">
        <f>+M154-(BN154+BW154+CF154)</f>
        <v/>
      </c>
      <c r="CP154" s="525">
        <f>+AE154-(BO154+BX154+CG154)</f>
        <v/>
      </c>
      <c r="CQ154" s="525">
        <f>+AJ154-(BP154+BY154+CH154)</f>
        <v/>
      </c>
      <c r="CR154" s="525">
        <f>+AU154-(BQ154+BZ154+CI154)</f>
        <v/>
      </c>
      <c r="CS154" s="525">
        <f>+BA154-(BR154+CA154+CJ154)</f>
        <v/>
      </c>
      <c r="CT154" s="525">
        <f>+BF154-(BS154+CB154+CK154)</f>
        <v/>
      </c>
      <c r="CU154" s="525">
        <f>BT154+CC154+CL154</f>
        <v/>
      </c>
      <c r="CV154" s="525">
        <f>SUM(CN154:CT154)</f>
        <v/>
      </c>
    </row>
    <row r="155" ht="21" customFormat="1" customHeight="1" s="230">
      <c r="A155" s="453" t="n"/>
      <c r="B155" s="309" t="n"/>
      <c r="C155" s="287">
        <f>IF($A155=0,"",(VLOOKUP(A155,[3]MAT!$B$5:$D$4756,3,FALSE)))</f>
        <v/>
      </c>
      <c r="D155" s="288" t="inlineStr"/>
      <c r="E155" s="507" t="n"/>
      <c r="F155" s="526" t="n"/>
      <c r="G155" s="527" t="n"/>
      <c r="H155" s="510" t="n"/>
      <c r="I155" s="511" t="n"/>
      <c r="J155" s="512" t="n"/>
      <c r="K155" s="512" t="n"/>
      <c r="L155" s="513" t="n"/>
      <c r="M155" s="510" t="n"/>
      <c r="N155" s="526" t="n"/>
      <c r="O155" s="512" t="n"/>
      <c r="P155" s="512" t="n"/>
      <c r="Q155" s="512" t="n"/>
      <c r="R155" s="512" t="n"/>
      <c r="S155" s="512" t="n"/>
      <c r="T155" s="512" t="n"/>
      <c r="U155" s="512" t="n"/>
      <c r="V155" s="512" t="n"/>
      <c r="W155" s="512" t="n"/>
      <c r="X155" s="512" t="n"/>
      <c r="Y155" s="512" t="n"/>
      <c r="Z155" s="512" t="n"/>
      <c r="AA155" s="512" t="n"/>
      <c r="AB155" s="512" t="n"/>
      <c r="AC155" s="512" t="n"/>
      <c r="AD155" s="512" t="n"/>
      <c r="AE155" s="510" t="n"/>
      <c r="AF155" s="511" t="n"/>
      <c r="AG155" s="512" t="n"/>
      <c r="AH155" s="512" t="n"/>
      <c r="AI155" s="513" t="n"/>
      <c r="AJ155" s="510" t="n"/>
      <c r="AK155" s="513" t="n"/>
      <c r="AL155" s="513" t="n"/>
      <c r="AM155" s="513" t="n"/>
      <c r="AN155" s="513" t="n"/>
      <c r="AO155" s="513" t="n"/>
      <c r="AP155" s="513" t="n"/>
      <c r="AQ155" s="513" t="n"/>
      <c r="AR155" s="513" t="n"/>
      <c r="AS155" s="513" t="n"/>
      <c r="AT155" s="513" t="n"/>
      <c r="AU155" s="510" t="n"/>
      <c r="AV155" s="527" t="n"/>
      <c r="AW155" s="514" t="n"/>
      <c r="AX155" s="514" t="n"/>
      <c r="AY155" s="514" t="n"/>
      <c r="AZ155" s="514" t="n"/>
      <c r="BA155" s="510">
        <f>SUM(AV155:AZ155)</f>
        <v/>
      </c>
      <c r="BB155" s="511" t="n"/>
      <c r="BC155" s="512" t="n"/>
      <c r="BD155" s="512" t="n"/>
      <c r="BE155" s="512" t="n"/>
      <c r="BF155" s="510">
        <f>SUM(BB155:BE155)</f>
        <v/>
      </c>
      <c r="BG155" s="518" t="n"/>
      <c r="BH155" s="519">
        <f>H155+M155+AE155+AJ155+AU155+BA155+BF155</f>
        <v/>
      </c>
      <c r="BI155" s="528">
        <f>IF(E155-BH155&lt;0, BH155-E155, )</f>
        <v/>
      </c>
      <c r="BJ155" s="529">
        <f>IF(E155-BH155&lt;0, ,E155-BH155)</f>
        <v/>
      </c>
      <c r="BK155" s="530" t="n"/>
      <c r="BM155" s="523" t="n"/>
      <c r="BN155" s="523" t="n"/>
      <c r="BO155" s="523" t="n"/>
      <c r="BP155" s="523" t="n"/>
      <c r="BQ155" s="523" t="n"/>
      <c r="BR155" s="523" t="n"/>
      <c r="BS155" s="523" t="n"/>
      <c r="BT155" s="518">
        <f>SUM(BM155:BS155)</f>
        <v/>
      </c>
      <c r="BU155" s="518" t="n"/>
      <c r="BV155" s="523" t="n"/>
      <c r="BW155" s="523" t="n"/>
      <c r="BX155" s="523" t="n"/>
      <c r="BY155" s="523" t="n"/>
      <c r="BZ155" s="523" t="n"/>
      <c r="CA155" s="523" t="n"/>
      <c r="CB155" s="523" t="n"/>
      <c r="CC155" s="518">
        <f>SUM(BV155:CB155)</f>
        <v/>
      </c>
      <c r="CD155" s="518" t="n"/>
      <c r="CE155" s="523" t="n"/>
      <c r="CF155" s="523" t="n"/>
      <c r="CG155" s="523" t="n"/>
      <c r="CH155" s="523" t="n"/>
      <c r="CI155" s="523" t="n"/>
      <c r="CJ155" s="523" t="n"/>
      <c r="CK155" s="523" t="n"/>
      <c r="CL155" s="518">
        <f>SUM(CE155:CK155)</f>
        <v/>
      </c>
      <c r="CN155" s="525">
        <f>+H155-(BM155+BV155+CE155)</f>
        <v/>
      </c>
      <c r="CO155" s="525">
        <f>+M155-(BN155+BW155+CF155)</f>
        <v/>
      </c>
      <c r="CP155" s="525">
        <f>+AE155-(BO155+BX155+CG155)</f>
        <v/>
      </c>
      <c r="CQ155" s="525">
        <f>+AJ155-(BP155+BY155+CH155)</f>
        <v/>
      </c>
      <c r="CR155" s="525">
        <f>+AU155-(BQ155+BZ155+CI155)</f>
        <v/>
      </c>
      <c r="CS155" s="525">
        <f>+BA155-(BR155+CA155+CJ155)</f>
        <v/>
      </c>
      <c r="CT155" s="525">
        <f>+BF155-(BS155+CB155+CK155)</f>
        <v/>
      </c>
      <c r="CU155" s="525">
        <f>BT155+CC155+CL155</f>
        <v/>
      </c>
      <c r="CV155" s="525">
        <f>SUM(CN155:CT155)</f>
        <v/>
      </c>
    </row>
    <row r="156" ht="21" customFormat="1" customHeight="1" s="230">
      <c r="A156" s="453" t="n"/>
      <c r="B156" s="309" t="n"/>
      <c r="C156" s="287">
        <f>IF($A156=0,"",(VLOOKUP(A156,[3]MAT!$B$5:$D$4756,3,FALSE)))</f>
        <v/>
      </c>
      <c r="D156" s="288" t="inlineStr"/>
      <c r="E156" s="507" t="n"/>
      <c r="F156" s="526" t="n"/>
      <c r="G156" s="527" t="n"/>
      <c r="H156" s="510" t="n"/>
      <c r="I156" s="511" t="n"/>
      <c r="J156" s="512" t="n"/>
      <c r="K156" s="512" t="n"/>
      <c r="L156" s="513" t="n"/>
      <c r="M156" s="510" t="n"/>
      <c r="N156" s="526" t="n"/>
      <c r="O156" s="512" t="n"/>
      <c r="P156" s="512" t="n"/>
      <c r="Q156" s="512" t="n"/>
      <c r="R156" s="512" t="n"/>
      <c r="S156" s="512" t="n"/>
      <c r="T156" s="512" t="n"/>
      <c r="U156" s="512" t="n"/>
      <c r="V156" s="512" t="n"/>
      <c r="W156" s="512" t="n"/>
      <c r="X156" s="512" t="n"/>
      <c r="Y156" s="512" t="n"/>
      <c r="Z156" s="512" t="n"/>
      <c r="AA156" s="512" t="n"/>
      <c r="AB156" s="512" t="n"/>
      <c r="AC156" s="512" t="n"/>
      <c r="AD156" s="512" t="n"/>
      <c r="AE156" s="510" t="n"/>
      <c r="AF156" s="511" t="n"/>
      <c r="AG156" s="512" t="n"/>
      <c r="AH156" s="512" t="n"/>
      <c r="AI156" s="513" t="n"/>
      <c r="AJ156" s="510" t="n"/>
      <c r="AK156" s="513" t="n"/>
      <c r="AL156" s="513" t="n"/>
      <c r="AM156" s="513" t="n"/>
      <c r="AN156" s="513" t="n"/>
      <c r="AO156" s="513" t="n"/>
      <c r="AP156" s="513" t="n"/>
      <c r="AQ156" s="513" t="n"/>
      <c r="AR156" s="513" t="n"/>
      <c r="AS156" s="513" t="n"/>
      <c r="AT156" s="513" t="n"/>
      <c r="AU156" s="510" t="n"/>
      <c r="AV156" s="527" t="n"/>
      <c r="AW156" s="514" t="n"/>
      <c r="AX156" s="514" t="n"/>
      <c r="AY156" s="514" t="n"/>
      <c r="AZ156" s="514" t="n"/>
      <c r="BA156" s="510">
        <f>SUM(AV156:AZ156)</f>
        <v/>
      </c>
      <c r="BB156" s="511" t="n"/>
      <c r="BC156" s="512" t="n"/>
      <c r="BD156" s="512" t="n"/>
      <c r="BE156" s="512" t="n"/>
      <c r="BF156" s="510">
        <f>SUM(BB156:BE156)</f>
        <v/>
      </c>
      <c r="BG156" s="518" t="n"/>
      <c r="BH156" s="519">
        <f>H156+M156+AE156+AJ156+AU156+BA156+BF156</f>
        <v/>
      </c>
      <c r="BI156" s="528">
        <f>IF(E156-BH156&lt;0, BH156-E156, )</f>
        <v/>
      </c>
      <c r="BJ156" s="529">
        <f>IF(E156-BH156&lt;0, ,E156-BH156)</f>
        <v/>
      </c>
      <c r="BK156" s="530" t="n"/>
      <c r="BM156" s="523" t="n"/>
      <c r="BN156" s="523" t="n"/>
      <c r="BO156" s="523" t="n"/>
      <c r="BP156" s="523" t="n"/>
      <c r="BQ156" s="523" t="n"/>
      <c r="BR156" s="523" t="n"/>
      <c r="BS156" s="523" t="n"/>
      <c r="BT156" s="518">
        <f>SUM(BM156:BS156)</f>
        <v/>
      </c>
      <c r="BU156" s="518" t="n"/>
      <c r="BV156" s="523" t="n"/>
      <c r="BW156" s="523" t="n"/>
      <c r="BX156" s="523" t="n"/>
      <c r="BY156" s="523" t="n"/>
      <c r="BZ156" s="523" t="n"/>
      <c r="CA156" s="523" t="n"/>
      <c r="CB156" s="523" t="n"/>
      <c r="CC156" s="518">
        <f>SUM(BV156:CB156)</f>
        <v/>
      </c>
      <c r="CD156" s="518" t="n"/>
      <c r="CE156" s="523" t="n"/>
      <c r="CF156" s="523" t="n"/>
      <c r="CG156" s="523" t="n"/>
      <c r="CH156" s="523" t="n"/>
      <c r="CI156" s="523" t="n"/>
      <c r="CJ156" s="523" t="n"/>
      <c r="CK156" s="523" t="n"/>
      <c r="CL156" s="518">
        <f>SUM(CE156:CK156)</f>
        <v/>
      </c>
      <c r="CN156" s="525">
        <f>+H156-(BM156+BV156+CE156)</f>
        <v/>
      </c>
      <c r="CO156" s="525">
        <f>+M156-(BN156+BW156+CF156)</f>
        <v/>
      </c>
      <c r="CP156" s="525">
        <f>+AE156-(BO156+BX156+CG156)</f>
        <v/>
      </c>
      <c r="CQ156" s="525">
        <f>+AJ156-(BP156+BY156+CH156)</f>
        <v/>
      </c>
      <c r="CR156" s="525">
        <f>+AU156-(BQ156+BZ156+CI156)</f>
        <v/>
      </c>
      <c r="CS156" s="525">
        <f>+BA156-(BR156+CA156+CJ156)</f>
        <v/>
      </c>
      <c r="CT156" s="525">
        <f>+BF156-(BS156+CB156+CK156)</f>
        <v/>
      </c>
      <c r="CU156" s="525">
        <f>BT156+CC156+CL156</f>
        <v/>
      </c>
      <c r="CV156" s="525">
        <f>SUM(CN156:CT156)</f>
        <v/>
      </c>
    </row>
    <row r="157" ht="21" customFormat="1" customHeight="1" s="230">
      <c r="A157" s="453" t="n"/>
      <c r="B157" s="309" t="n"/>
      <c r="C157" s="287">
        <f>IF($A157=0,"",(VLOOKUP(A157,[3]MAT!$B$5:$D$4756,3,FALSE)))</f>
        <v/>
      </c>
      <c r="D157" s="288" t="inlineStr"/>
      <c r="E157" s="507" t="n"/>
      <c r="F157" s="526" t="n"/>
      <c r="G157" s="527" t="n"/>
      <c r="H157" s="510" t="n"/>
      <c r="I157" s="511" t="n"/>
      <c r="J157" s="512" t="n"/>
      <c r="K157" s="512" t="n"/>
      <c r="L157" s="513" t="n"/>
      <c r="M157" s="510" t="n"/>
      <c r="N157" s="526" t="n"/>
      <c r="O157" s="512" t="n"/>
      <c r="P157" s="512" t="n"/>
      <c r="Q157" s="512" t="n"/>
      <c r="R157" s="512" t="n"/>
      <c r="S157" s="512" t="n"/>
      <c r="T157" s="512" t="n"/>
      <c r="U157" s="512" t="n"/>
      <c r="V157" s="512" t="n"/>
      <c r="W157" s="512" t="n"/>
      <c r="X157" s="512" t="n"/>
      <c r="Y157" s="512" t="n"/>
      <c r="Z157" s="512" t="n"/>
      <c r="AA157" s="512" t="n"/>
      <c r="AB157" s="512" t="n"/>
      <c r="AC157" s="512" t="n"/>
      <c r="AD157" s="512" t="n"/>
      <c r="AE157" s="510" t="n"/>
      <c r="AF157" s="511" t="n"/>
      <c r="AG157" s="512" t="n"/>
      <c r="AH157" s="512" t="n"/>
      <c r="AI157" s="513" t="n"/>
      <c r="AJ157" s="510" t="n"/>
      <c r="AK157" s="513" t="n"/>
      <c r="AL157" s="513" t="n"/>
      <c r="AM157" s="513" t="n"/>
      <c r="AN157" s="513" t="n"/>
      <c r="AO157" s="513" t="n"/>
      <c r="AP157" s="513" t="n"/>
      <c r="AQ157" s="513" t="n"/>
      <c r="AR157" s="513" t="n"/>
      <c r="AS157" s="513" t="n"/>
      <c r="AT157" s="513" t="n"/>
      <c r="AU157" s="510" t="n"/>
      <c r="AV157" s="527" t="n"/>
      <c r="AW157" s="514" t="n"/>
      <c r="AX157" s="514" t="n"/>
      <c r="AY157" s="514" t="n"/>
      <c r="AZ157" s="514" t="n"/>
      <c r="BA157" s="510">
        <f>SUM(AV157:AZ157)</f>
        <v/>
      </c>
      <c r="BB157" s="511" t="n"/>
      <c r="BC157" s="512" t="n"/>
      <c r="BD157" s="512" t="n"/>
      <c r="BE157" s="512" t="n"/>
      <c r="BF157" s="510">
        <f>SUM(BB157:BE157)</f>
        <v/>
      </c>
      <c r="BG157" s="518" t="n"/>
      <c r="BH157" s="519">
        <f>H157+M157+AE157+AJ157+AU157+BA157+BF157</f>
        <v/>
      </c>
      <c r="BI157" s="528">
        <f>IF(E157-BH157&lt;0, BH157-E157, )</f>
        <v/>
      </c>
      <c r="BJ157" s="529">
        <f>IF(E157-BH157&lt;0, ,E157-BH157)</f>
        <v/>
      </c>
      <c r="BK157" s="530" t="n"/>
      <c r="BM157" s="523" t="n"/>
      <c r="BN157" s="523" t="n"/>
      <c r="BO157" s="523" t="n"/>
      <c r="BP157" s="523" t="n"/>
      <c r="BQ157" s="523" t="n"/>
      <c r="BR157" s="523" t="n"/>
      <c r="BS157" s="523" t="n"/>
      <c r="BT157" s="518">
        <f>SUM(BM157:BS157)</f>
        <v/>
      </c>
      <c r="BU157" s="518" t="n"/>
      <c r="BV157" s="523" t="n"/>
      <c r="BW157" s="523" t="n"/>
      <c r="BX157" s="523" t="n"/>
      <c r="BY157" s="523" t="n"/>
      <c r="BZ157" s="523" t="n"/>
      <c r="CA157" s="523" t="n"/>
      <c r="CB157" s="523" t="n"/>
      <c r="CC157" s="518">
        <f>SUM(BV157:CB157)</f>
        <v/>
      </c>
      <c r="CD157" s="518" t="n"/>
      <c r="CE157" s="523" t="n"/>
      <c r="CF157" s="523" t="n"/>
      <c r="CG157" s="523" t="n"/>
      <c r="CH157" s="523" t="n"/>
      <c r="CI157" s="523" t="n"/>
      <c r="CJ157" s="523" t="n"/>
      <c r="CK157" s="523" t="n"/>
      <c r="CL157" s="518">
        <f>SUM(CE157:CK157)</f>
        <v/>
      </c>
      <c r="CN157" s="525">
        <f>+H157-(BM157+BV157+CE157)</f>
        <v/>
      </c>
      <c r="CO157" s="525">
        <f>+M157-(BN157+BW157+CF157)</f>
        <v/>
      </c>
      <c r="CP157" s="525">
        <f>+AE157-(BO157+BX157+CG157)</f>
        <v/>
      </c>
      <c r="CQ157" s="525">
        <f>+AJ157-(BP157+BY157+CH157)</f>
        <v/>
      </c>
      <c r="CR157" s="525">
        <f>+AU157-(BQ157+BZ157+CI157)</f>
        <v/>
      </c>
      <c r="CS157" s="525">
        <f>+BA157-(BR157+CA157+CJ157)</f>
        <v/>
      </c>
      <c r="CT157" s="525">
        <f>+BF157-(BS157+CB157+CK157)</f>
        <v/>
      </c>
      <c r="CU157" s="525">
        <f>BT157+CC157+CL157</f>
        <v/>
      </c>
      <c r="CV157" s="525">
        <f>SUM(CN157:CT157)</f>
        <v/>
      </c>
    </row>
    <row r="158" ht="21" customFormat="1" customHeight="1" s="230">
      <c r="A158" s="453" t="n"/>
      <c r="B158" s="309" t="n"/>
      <c r="C158" s="287">
        <f>IF($A158=0,"",(VLOOKUP(A158,[3]MAT!$B$5:$D$4756,3,FALSE)))</f>
        <v/>
      </c>
      <c r="D158" s="288" t="inlineStr"/>
      <c r="E158" s="507" t="n"/>
      <c r="F158" s="526" t="n"/>
      <c r="G158" s="527" t="n"/>
      <c r="H158" s="510" t="n"/>
      <c r="I158" s="511" t="n"/>
      <c r="J158" s="512" t="n"/>
      <c r="K158" s="512" t="n"/>
      <c r="L158" s="513" t="n"/>
      <c r="M158" s="510" t="n"/>
      <c r="N158" s="526" t="n"/>
      <c r="O158" s="512" t="n"/>
      <c r="P158" s="512" t="n"/>
      <c r="Q158" s="512" t="n"/>
      <c r="R158" s="512" t="n"/>
      <c r="S158" s="512" t="n"/>
      <c r="T158" s="512" t="n"/>
      <c r="U158" s="512" t="n"/>
      <c r="V158" s="512" t="n"/>
      <c r="W158" s="512" t="n"/>
      <c r="X158" s="512" t="n"/>
      <c r="Y158" s="512" t="n"/>
      <c r="Z158" s="512" t="n"/>
      <c r="AA158" s="512" t="n"/>
      <c r="AB158" s="512" t="n"/>
      <c r="AC158" s="512" t="n"/>
      <c r="AD158" s="512" t="n"/>
      <c r="AE158" s="510" t="n"/>
      <c r="AF158" s="511" t="n"/>
      <c r="AG158" s="512" t="n"/>
      <c r="AH158" s="512" t="n"/>
      <c r="AI158" s="513" t="n"/>
      <c r="AJ158" s="510" t="n"/>
      <c r="AK158" s="513" t="n"/>
      <c r="AL158" s="513" t="n"/>
      <c r="AM158" s="513" t="n"/>
      <c r="AN158" s="513" t="n"/>
      <c r="AO158" s="513" t="n"/>
      <c r="AP158" s="513" t="n"/>
      <c r="AQ158" s="513" t="n"/>
      <c r="AR158" s="513" t="n"/>
      <c r="AS158" s="513" t="n"/>
      <c r="AT158" s="513" t="n"/>
      <c r="AU158" s="510" t="n"/>
      <c r="AV158" s="527" t="n"/>
      <c r="AW158" s="514" t="n"/>
      <c r="AX158" s="514" t="n"/>
      <c r="AY158" s="514" t="n"/>
      <c r="AZ158" s="514" t="n"/>
      <c r="BA158" s="510">
        <f>SUM(AV158:AZ158)</f>
        <v/>
      </c>
      <c r="BB158" s="511" t="n"/>
      <c r="BC158" s="512" t="n"/>
      <c r="BD158" s="512" t="n"/>
      <c r="BE158" s="512" t="n"/>
      <c r="BF158" s="510">
        <f>SUM(BB158:BE158)</f>
        <v/>
      </c>
      <c r="BG158" s="518" t="n"/>
      <c r="BH158" s="519">
        <f>H158+M158+AE158+AJ158+AU158+BA158+BF158</f>
        <v/>
      </c>
      <c r="BI158" s="528">
        <f>IF(E158-BH158&lt;0, BH158-E158, )</f>
        <v/>
      </c>
      <c r="BJ158" s="529">
        <f>IF(E158-BH158&lt;0, ,E158-BH158)</f>
        <v/>
      </c>
      <c r="BK158" s="530" t="n"/>
      <c r="BM158" s="523" t="n"/>
      <c r="BN158" s="523" t="n"/>
      <c r="BO158" s="523" t="n"/>
      <c r="BP158" s="523" t="n"/>
      <c r="BQ158" s="523" t="n"/>
      <c r="BR158" s="523" t="n"/>
      <c r="BS158" s="523" t="n"/>
      <c r="BT158" s="518">
        <f>SUM(BM158:BS158)</f>
        <v/>
      </c>
      <c r="BU158" s="518" t="n"/>
      <c r="BV158" s="523" t="n"/>
      <c r="BW158" s="523" t="n"/>
      <c r="BX158" s="523" t="n"/>
      <c r="BY158" s="523" t="n"/>
      <c r="BZ158" s="523" t="n"/>
      <c r="CA158" s="523" t="n"/>
      <c r="CB158" s="523" t="n"/>
      <c r="CC158" s="518">
        <f>SUM(BV158:CB158)</f>
        <v/>
      </c>
      <c r="CD158" s="518" t="n"/>
      <c r="CE158" s="523" t="n"/>
      <c r="CF158" s="523" t="n"/>
      <c r="CG158" s="523" t="n"/>
      <c r="CH158" s="523" t="n"/>
      <c r="CI158" s="523" t="n"/>
      <c r="CJ158" s="523" t="n"/>
      <c r="CK158" s="523" t="n"/>
      <c r="CL158" s="518">
        <f>SUM(CE158:CK158)</f>
        <v/>
      </c>
      <c r="CN158" s="525">
        <f>+H158-(BM158+BV158+CE158)</f>
        <v/>
      </c>
      <c r="CO158" s="525">
        <f>+M158-(BN158+BW158+CF158)</f>
        <v/>
      </c>
      <c r="CP158" s="525">
        <f>+AE158-(BO158+BX158+CG158)</f>
        <v/>
      </c>
      <c r="CQ158" s="525">
        <f>+AJ158-(BP158+BY158+CH158)</f>
        <v/>
      </c>
      <c r="CR158" s="525">
        <f>+AU158-(BQ158+BZ158+CI158)</f>
        <v/>
      </c>
      <c r="CS158" s="525">
        <f>+BA158-(BR158+CA158+CJ158)</f>
        <v/>
      </c>
      <c r="CT158" s="525">
        <f>+BF158-(BS158+CB158+CK158)</f>
        <v/>
      </c>
      <c r="CU158" s="525">
        <f>BT158+CC158+CL158</f>
        <v/>
      </c>
      <c r="CV158" s="525">
        <f>SUM(CN158:CT158)</f>
        <v/>
      </c>
    </row>
    <row r="159" ht="21" customFormat="1" customHeight="1" s="230">
      <c r="A159" s="453" t="n"/>
      <c r="B159" s="309" t="n"/>
      <c r="C159" s="287">
        <f>IF($A159=0,"",(VLOOKUP(A159,[3]MAT!$B$5:$D$4756,3,FALSE)))</f>
        <v/>
      </c>
      <c r="D159" s="288" t="inlineStr"/>
      <c r="E159" s="507" t="n"/>
      <c r="F159" s="526" t="n"/>
      <c r="G159" s="527" t="n"/>
      <c r="H159" s="510" t="n"/>
      <c r="I159" s="511" t="n"/>
      <c r="J159" s="512" t="n"/>
      <c r="K159" s="512" t="n"/>
      <c r="L159" s="513" t="n"/>
      <c r="M159" s="510" t="n"/>
      <c r="N159" s="526" t="n"/>
      <c r="O159" s="512" t="n"/>
      <c r="P159" s="512" t="n"/>
      <c r="Q159" s="512" t="n"/>
      <c r="R159" s="512" t="n"/>
      <c r="S159" s="512" t="n"/>
      <c r="T159" s="512" t="n"/>
      <c r="U159" s="512" t="n"/>
      <c r="V159" s="512" t="n"/>
      <c r="W159" s="512" t="n"/>
      <c r="X159" s="512" t="n"/>
      <c r="Y159" s="512" t="n"/>
      <c r="Z159" s="512" t="n"/>
      <c r="AA159" s="512" t="n"/>
      <c r="AB159" s="512" t="n"/>
      <c r="AC159" s="512" t="n"/>
      <c r="AD159" s="512" t="n"/>
      <c r="AE159" s="510" t="n"/>
      <c r="AF159" s="511" t="n"/>
      <c r="AG159" s="512" t="n"/>
      <c r="AH159" s="512" t="n"/>
      <c r="AI159" s="513" t="n"/>
      <c r="AJ159" s="510" t="n"/>
      <c r="AK159" s="513" t="n"/>
      <c r="AL159" s="513" t="n"/>
      <c r="AM159" s="513" t="n"/>
      <c r="AN159" s="513" t="n"/>
      <c r="AO159" s="513" t="n"/>
      <c r="AP159" s="513" t="n"/>
      <c r="AQ159" s="513" t="n"/>
      <c r="AR159" s="513" t="n"/>
      <c r="AS159" s="513" t="n"/>
      <c r="AT159" s="513" t="n"/>
      <c r="AU159" s="510" t="n"/>
      <c r="AV159" s="527" t="n"/>
      <c r="AW159" s="514" t="n"/>
      <c r="AX159" s="514" t="n"/>
      <c r="AY159" s="514" t="n"/>
      <c r="AZ159" s="514" t="n"/>
      <c r="BA159" s="510">
        <f>SUM(AV159:AZ159)</f>
        <v/>
      </c>
      <c r="BB159" s="511" t="n"/>
      <c r="BC159" s="512" t="n"/>
      <c r="BD159" s="512" t="n"/>
      <c r="BE159" s="512" t="n"/>
      <c r="BF159" s="510">
        <f>SUM(BB159:BE159)</f>
        <v/>
      </c>
      <c r="BG159" s="518" t="n"/>
      <c r="BH159" s="519">
        <f>H159+M159+AE159+AJ159+AU159+BA159+BF159</f>
        <v/>
      </c>
      <c r="BI159" s="528">
        <f>IF(E159-BH159&lt;0, BH159-E159, )</f>
        <v/>
      </c>
      <c r="BJ159" s="529">
        <f>IF(E159-BH159&lt;0, ,E159-BH159)</f>
        <v/>
      </c>
      <c r="BK159" s="530" t="n"/>
      <c r="BM159" s="523" t="n"/>
      <c r="BN159" s="523" t="n"/>
      <c r="BO159" s="523" t="n"/>
      <c r="BP159" s="523" t="n"/>
      <c r="BQ159" s="523" t="n"/>
      <c r="BR159" s="523" t="n"/>
      <c r="BS159" s="523" t="n"/>
      <c r="BT159" s="518">
        <f>SUM(BM159:BS159)</f>
        <v/>
      </c>
      <c r="BU159" s="518" t="n"/>
      <c r="BV159" s="523" t="n"/>
      <c r="BW159" s="523" t="n"/>
      <c r="BX159" s="523" t="n"/>
      <c r="BY159" s="523" t="n"/>
      <c r="BZ159" s="523" t="n"/>
      <c r="CA159" s="523" t="n"/>
      <c r="CB159" s="523" t="n"/>
      <c r="CC159" s="518">
        <f>SUM(BV159:CB159)</f>
        <v/>
      </c>
      <c r="CD159" s="518" t="n"/>
      <c r="CE159" s="523" t="n"/>
      <c r="CF159" s="523" t="n"/>
      <c r="CG159" s="523" t="n"/>
      <c r="CH159" s="523" t="n"/>
      <c r="CI159" s="523" t="n"/>
      <c r="CJ159" s="523" t="n"/>
      <c r="CK159" s="523" t="n"/>
      <c r="CL159" s="518">
        <f>SUM(CE159:CK159)</f>
        <v/>
      </c>
      <c r="CN159" s="525">
        <f>+H159-(BM159+BV159+CE159)</f>
        <v/>
      </c>
      <c r="CO159" s="525">
        <f>+M159-(BN159+BW159+CF159)</f>
        <v/>
      </c>
      <c r="CP159" s="525">
        <f>+AE159-(BO159+BX159+CG159)</f>
        <v/>
      </c>
      <c r="CQ159" s="525">
        <f>+AJ159-(BP159+BY159+CH159)</f>
        <v/>
      </c>
      <c r="CR159" s="525">
        <f>+AU159-(BQ159+BZ159+CI159)</f>
        <v/>
      </c>
      <c r="CS159" s="525">
        <f>+BA159-(BR159+CA159+CJ159)</f>
        <v/>
      </c>
      <c r="CT159" s="525">
        <f>+BF159-(BS159+CB159+CK159)</f>
        <v/>
      </c>
      <c r="CU159" s="525">
        <f>BT159+CC159+CL159</f>
        <v/>
      </c>
      <c r="CV159" s="525">
        <f>SUM(CN159:CT159)</f>
        <v/>
      </c>
    </row>
    <row r="160" ht="21" customFormat="1" customHeight="1" s="230">
      <c r="A160" s="453" t="n"/>
      <c r="B160" s="309" t="n"/>
      <c r="C160" s="287">
        <f>IF($A160=0,"",(VLOOKUP(A160,[3]MAT!$B$5:$D$4756,3,FALSE)))</f>
        <v/>
      </c>
      <c r="D160" s="288" t="inlineStr"/>
      <c r="E160" s="507" t="n"/>
      <c r="F160" s="526" t="n"/>
      <c r="G160" s="527" t="n"/>
      <c r="H160" s="510" t="n"/>
      <c r="I160" s="511" t="n"/>
      <c r="J160" s="512" t="n"/>
      <c r="K160" s="512" t="n"/>
      <c r="L160" s="513" t="n"/>
      <c r="M160" s="510" t="n"/>
      <c r="N160" s="526" t="n"/>
      <c r="O160" s="512" t="n"/>
      <c r="P160" s="512" t="n"/>
      <c r="Q160" s="512" t="n"/>
      <c r="R160" s="512" t="n"/>
      <c r="S160" s="512" t="n"/>
      <c r="T160" s="512" t="n"/>
      <c r="U160" s="512" t="n"/>
      <c r="V160" s="512" t="n"/>
      <c r="W160" s="512" t="n"/>
      <c r="X160" s="512" t="n"/>
      <c r="Y160" s="512" t="n"/>
      <c r="Z160" s="512" t="n"/>
      <c r="AA160" s="512" t="n"/>
      <c r="AB160" s="512" t="n"/>
      <c r="AC160" s="512" t="n"/>
      <c r="AD160" s="512" t="n"/>
      <c r="AE160" s="510" t="n"/>
      <c r="AF160" s="511" t="n"/>
      <c r="AG160" s="512" t="n"/>
      <c r="AH160" s="512" t="n"/>
      <c r="AI160" s="513" t="n"/>
      <c r="AJ160" s="510" t="n"/>
      <c r="AK160" s="513" t="n"/>
      <c r="AL160" s="513" t="n"/>
      <c r="AM160" s="513" t="n"/>
      <c r="AN160" s="513" t="n"/>
      <c r="AO160" s="513" t="n"/>
      <c r="AP160" s="513" t="n"/>
      <c r="AQ160" s="513" t="n"/>
      <c r="AR160" s="513" t="n"/>
      <c r="AS160" s="513" t="n"/>
      <c r="AT160" s="513" t="n"/>
      <c r="AU160" s="510" t="n"/>
      <c r="AV160" s="527" t="n"/>
      <c r="AW160" s="514" t="n"/>
      <c r="AX160" s="514" t="n"/>
      <c r="AY160" s="514" t="n"/>
      <c r="AZ160" s="514" t="n"/>
      <c r="BA160" s="510">
        <f>SUM(AV160:AZ160)</f>
        <v/>
      </c>
      <c r="BB160" s="511" t="n"/>
      <c r="BC160" s="512" t="n"/>
      <c r="BD160" s="512" t="n"/>
      <c r="BE160" s="512" t="n"/>
      <c r="BF160" s="510">
        <f>SUM(BB160:BE160)</f>
        <v/>
      </c>
      <c r="BG160" s="518" t="n"/>
      <c r="BH160" s="519">
        <f>H160+M160+AE160+AJ160+AU160+BA160+BF160</f>
        <v/>
      </c>
      <c r="BI160" s="528">
        <f>IF(E160-BH160&lt;0, BH160-E160, )</f>
        <v/>
      </c>
      <c r="BJ160" s="529">
        <f>IF(E160-BH160&lt;0, ,E160-BH160)</f>
        <v/>
      </c>
      <c r="BK160" s="530" t="n"/>
      <c r="BM160" s="523" t="n"/>
      <c r="BN160" s="523" t="n"/>
      <c r="BO160" s="523" t="n"/>
      <c r="BP160" s="523" t="n"/>
      <c r="BQ160" s="523" t="n"/>
      <c r="BR160" s="523" t="n"/>
      <c r="BS160" s="523" t="n"/>
      <c r="BT160" s="518">
        <f>SUM(BM160:BS160)</f>
        <v/>
      </c>
      <c r="BU160" s="518" t="n"/>
      <c r="BV160" s="523" t="n"/>
      <c r="BW160" s="523" t="n"/>
      <c r="BX160" s="523" t="n"/>
      <c r="BY160" s="523" t="n"/>
      <c r="BZ160" s="523" t="n"/>
      <c r="CA160" s="523" t="n"/>
      <c r="CB160" s="523" t="n"/>
      <c r="CC160" s="518">
        <f>SUM(BV160:CB160)</f>
        <v/>
      </c>
      <c r="CD160" s="518" t="n"/>
      <c r="CE160" s="523" t="n"/>
      <c r="CF160" s="523" t="n"/>
      <c r="CG160" s="523" t="n"/>
      <c r="CH160" s="523" t="n"/>
      <c r="CI160" s="523" t="n"/>
      <c r="CJ160" s="523" t="n"/>
      <c r="CK160" s="523" t="n"/>
      <c r="CL160" s="518">
        <f>SUM(CE160:CK160)</f>
        <v/>
      </c>
      <c r="CN160" s="525">
        <f>+H160-(BM160+BV160+CE160)</f>
        <v/>
      </c>
      <c r="CO160" s="525">
        <f>+M160-(BN160+BW160+CF160)</f>
        <v/>
      </c>
      <c r="CP160" s="525">
        <f>+AE160-(BO160+BX160+CG160)</f>
        <v/>
      </c>
      <c r="CQ160" s="525">
        <f>+AJ160-(BP160+BY160+CH160)</f>
        <v/>
      </c>
      <c r="CR160" s="525">
        <f>+AU160-(BQ160+BZ160+CI160)</f>
        <v/>
      </c>
      <c r="CS160" s="525">
        <f>+BA160-(BR160+CA160+CJ160)</f>
        <v/>
      </c>
      <c r="CT160" s="525">
        <f>+BF160-(BS160+CB160+CK160)</f>
        <v/>
      </c>
      <c r="CU160" s="525">
        <f>BT160+CC160+CL160</f>
        <v/>
      </c>
      <c r="CV160" s="525">
        <f>SUM(CN160:CT160)</f>
        <v/>
      </c>
    </row>
    <row r="161" ht="21" customFormat="1" customHeight="1" s="230">
      <c r="A161" s="453" t="n"/>
      <c r="B161" s="309" t="n"/>
      <c r="C161" s="287">
        <f>IF($A161=0,"",(VLOOKUP(A161,[3]MAT!$B$5:$D$4756,3,FALSE)))</f>
        <v/>
      </c>
      <c r="D161" s="288" t="inlineStr"/>
      <c r="E161" s="507" t="n"/>
      <c r="F161" s="526" t="n"/>
      <c r="G161" s="527" t="n"/>
      <c r="H161" s="510" t="n"/>
      <c r="I161" s="511" t="n"/>
      <c r="J161" s="512" t="n"/>
      <c r="K161" s="512" t="n"/>
      <c r="L161" s="513" t="n"/>
      <c r="M161" s="510" t="n"/>
      <c r="N161" s="526" t="n"/>
      <c r="O161" s="512" t="n"/>
      <c r="P161" s="512" t="n"/>
      <c r="Q161" s="512" t="n"/>
      <c r="R161" s="512" t="n"/>
      <c r="S161" s="512" t="n"/>
      <c r="T161" s="512" t="n"/>
      <c r="U161" s="512" t="n"/>
      <c r="V161" s="512" t="n"/>
      <c r="W161" s="512" t="n"/>
      <c r="X161" s="512" t="n"/>
      <c r="Y161" s="512" t="n"/>
      <c r="Z161" s="512" t="n"/>
      <c r="AA161" s="512" t="n"/>
      <c r="AB161" s="512" t="n"/>
      <c r="AC161" s="512" t="n"/>
      <c r="AD161" s="512" t="n"/>
      <c r="AE161" s="510" t="n"/>
      <c r="AF161" s="511" t="n"/>
      <c r="AG161" s="512" t="n"/>
      <c r="AH161" s="512" t="n"/>
      <c r="AI161" s="513" t="n"/>
      <c r="AJ161" s="510" t="n"/>
      <c r="AK161" s="513" t="n"/>
      <c r="AL161" s="513" t="n"/>
      <c r="AM161" s="513" t="n"/>
      <c r="AN161" s="513" t="n"/>
      <c r="AO161" s="513" t="n"/>
      <c r="AP161" s="513" t="n"/>
      <c r="AQ161" s="513" t="n"/>
      <c r="AR161" s="513" t="n"/>
      <c r="AS161" s="513" t="n"/>
      <c r="AT161" s="513" t="n"/>
      <c r="AU161" s="510" t="n"/>
      <c r="AV161" s="527" t="n"/>
      <c r="AW161" s="514" t="n"/>
      <c r="AX161" s="514" t="n"/>
      <c r="AY161" s="514" t="n"/>
      <c r="AZ161" s="514" t="n"/>
      <c r="BA161" s="510">
        <f>SUM(AV161:AZ161)</f>
        <v/>
      </c>
      <c r="BB161" s="511" t="n"/>
      <c r="BC161" s="512" t="n"/>
      <c r="BD161" s="512" t="n"/>
      <c r="BE161" s="512" t="n"/>
      <c r="BF161" s="510">
        <f>SUM(BB161:BE161)</f>
        <v/>
      </c>
      <c r="BG161" s="518" t="n"/>
      <c r="BH161" s="519">
        <f>H161+M161+AE161+AJ161+AU161+BA161+BF161</f>
        <v/>
      </c>
      <c r="BI161" s="528">
        <f>IF(E161-BH161&lt;0, BH161-E161, )</f>
        <v/>
      </c>
      <c r="BJ161" s="529">
        <f>IF(E161-BH161&lt;0, ,E161-BH161)</f>
        <v/>
      </c>
      <c r="BK161" s="530" t="n"/>
      <c r="BM161" s="523" t="n"/>
      <c r="BN161" s="523" t="n"/>
      <c r="BO161" s="523" t="n"/>
      <c r="BP161" s="523" t="n"/>
      <c r="BQ161" s="523" t="n"/>
      <c r="BR161" s="523" t="n"/>
      <c r="BS161" s="523" t="n"/>
      <c r="BT161" s="518">
        <f>SUM(BM161:BS161)</f>
        <v/>
      </c>
      <c r="BU161" s="518" t="n"/>
      <c r="BV161" s="523" t="n"/>
      <c r="BW161" s="523" t="n"/>
      <c r="BX161" s="523" t="n"/>
      <c r="BY161" s="523" t="n"/>
      <c r="BZ161" s="523" t="n"/>
      <c r="CA161" s="523" t="n"/>
      <c r="CB161" s="523" t="n"/>
      <c r="CC161" s="518">
        <f>SUM(BV161:CB161)</f>
        <v/>
      </c>
      <c r="CD161" s="518" t="n"/>
      <c r="CE161" s="523" t="n"/>
      <c r="CF161" s="523" t="n"/>
      <c r="CG161" s="523" t="n"/>
      <c r="CH161" s="523" t="n"/>
      <c r="CI161" s="523" t="n"/>
      <c r="CJ161" s="523" t="n"/>
      <c r="CK161" s="523" t="n"/>
      <c r="CL161" s="518">
        <f>SUM(CE161:CK161)</f>
        <v/>
      </c>
      <c r="CN161" s="525">
        <f>+H161-(BM161+BV161+CE161)</f>
        <v/>
      </c>
      <c r="CO161" s="525">
        <f>+M161-(BN161+BW161+CF161)</f>
        <v/>
      </c>
      <c r="CP161" s="525">
        <f>+AE161-(BO161+BX161+CG161)</f>
        <v/>
      </c>
      <c r="CQ161" s="525">
        <f>+AJ161-(BP161+BY161+CH161)</f>
        <v/>
      </c>
      <c r="CR161" s="525">
        <f>+AU161-(BQ161+BZ161+CI161)</f>
        <v/>
      </c>
      <c r="CS161" s="525">
        <f>+BA161-(BR161+CA161+CJ161)</f>
        <v/>
      </c>
      <c r="CT161" s="525">
        <f>+BF161-(BS161+CB161+CK161)</f>
        <v/>
      </c>
      <c r="CU161" s="525">
        <f>BT161+CC161+CL161</f>
        <v/>
      </c>
      <c r="CV161" s="525">
        <f>SUM(CN161:CT161)</f>
        <v/>
      </c>
    </row>
    <row r="162" ht="21" customFormat="1" customHeight="1" s="230">
      <c r="A162" s="453" t="n"/>
      <c r="B162" s="309" t="n"/>
      <c r="C162" s="287">
        <f>IF($A162=0,"",(VLOOKUP(A162,[3]MAT!$B$5:$D$4756,3,FALSE)))</f>
        <v/>
      </c>
      <c r="D162" s="288" t="inlineStr"/>
      <c r="E162" s="507" t="n"/>
      <c r="F162" s="526" t="n"/>
      <c r="G162" s="527" t="n"/>
      <c r="H162" s="510" t="n"/>
      <c r="I162" s="511" t="n"/>
      <c r="J162" s="512" t="n"/>
      <c r="K162" s="512" t="n"/>
      <c r="L162" s="513" t="n"/>
      <c r="M162" s="510" t="n"/>
      <c r="N162" s="526" t="n"/>
      <c r="O162" s="512" t="n"/>
      <c r="P162" s="512" t="n"/>
      <c r="Q162" s="512" t="n"/>
      <c r="R162" s="512" t="n"/>
      <c r="S162" s="512" t="n"/>
      <c r="T162" s="512" t="n"/>
      <c r="U162" s="512" t="n"/>
      <c r="V162" s="512" t="n"/>
      <c r="W162" s="512" t="n"/>
      <c r="X162" s="512" t="n"/>
      <c r="Y162" s="512" t="n"/>
      <c r="Z162" s="512" t="n"/>
      <c r="AA162" s="512" t="n"/>
      <c r="AB162" s="512" t="n"/>
      <c r="AC162" s="512" t="n"/>
      <c r="AD162" s="512" t="n"/>
      <c r="AE162" s="510" t="n"/>
      <c r="AF162" s="511" t="n"/>
      <c r="AG162" s="512" t="n"/>
      <c r="AH162" s="512" t="n"/>
      <c r="AI162" s="513" t="n"/>
      <c r="AJ162" s="510" t="n"/>
      <c r="AK162" s="513" t="n"/>
      <c r="AL162" s="513" t="n"/>
      <c r="AM162" s="513" t="n"/>
      <c r="AN162" s="513" t="n"/>
      <c r="AO162" s="513" t="n"/>
      <c r="AP162" s="513" t="n"/>
      <c r="AQ162" s="513" t="n"/>
      <c r="AR162" s="513" t="n"/>
      <c r="AS162" s="513" t="n"/>
      <c r="AT162" s="513" t="n"/>
      <c r="AU162" s="510" t="n"/>
      <c r="AV162" s="527" t="n"/>
      <c r="AW162" s="514" t="n"/>
      <c r="AX162" s="514" t="n"/>
      <c r="AY162" s="514" t="n"/>
      <c r="AZ162" s="514" t="n"/>
      <c r="BA162" s="510">
        <f>SUM(AV162:AZ162)</f>
        <v/>
      </c>
      <c r="BB162" s="511" t="n"/>
      <c r="BC162" s="512" t="n"/>
      <c r="BD162" s="512" t="n"/>
      <c r="BE162" s="512" t="n"/>
      <c r="BF162" s="510">
        <f>SUM(BB162:BE162)</f>
        <v/>
      </c>
      <c r="BG162" s="518" t="n"/>
      <c r="BH162" s="519">
        <f>H162+M162+AE162+AJ162+AU162+BA162+BF162</f>
        <v/>
      </c>
      <c r="BI162" s="528">
        <f>IF(E162-BH162&lt;0, BH162-E162, )</f>
        <v/>
      </c>
      <c r="BJ162" s="529">
        <f>IF(E162-BH162&lt;0, ,E162-BH162)</f>
        <v/>
      </c>
      <c r="BK162" s="530" t="n"/>
      <c r="BM162" s="523" t="n"/>
      <c r="BN162" s="523" t="n"/>
      <c r="BO162" s="523" t="n"/>
      <c r="BP162" s="523" t="n"/>
      <c r="BQ162" s="523" t="n"/>
      <c r="BR162" s="523" t="n"/>
      <c r="BS162" s="523" t="n"/>
      <c r="BT162" s="518">
        <f>SUM(BM162:BS162)</f>
        <v/>
      </c>
      <c r="BU162" s="518" t="n"/>
      <c r="BV162" s="523" t="n"/>
      <c r="BW162" s="523" t="n"/>
      <c r="BX162" s="523" t="n"/>
      <c r="BY162" s="523" t="n"/>
      <c r="BZ162" s="523" t="n"/>
      <c r="CA162" s="523" t="n"/>
      <c r="CB162" s="523" t="n"/>
      <c r="CC162" s="518">
        <f>SUM(BV162:CB162)</f>
        <v/>
      </c>
      <c r="CD162" s="518" t="n"/>
      <c r="CE162" s="523" t="n"/>
      <c r="CF162" s="523" t="n"/>
      <c r="CG162" s="523" t="n"/>
      <c r="CH162" s="523" t="n"/>
      <c r="CI162" s="523" t="n"/>
      <c r="CJ162" s="523" t="n"/>
      <c r="CK162" s="523" t="n"/>
      <c r="CL162" s="518">
        <f>SUM(CE162:CK162)</f>
        <v/>
      </c>
      <c r="CN162" s="525">
        <f>+H162-(BM162+BV162+CE162)</f>
        <v/>
      </c>
      <c r="CO162" s="525">
        <f>+M162-(BN162+BW162+CF162)</f>
        <v/>
      </c>
      <c r="CP162" s="525">
        <f>+AE162-(BO162+BX162+CG162)</f>
        <v/>
      </c>
      <c r="CQ162" s="525">
        <f>+AJ162-(BP162+BY162+CH162)</f>
        <v/>
      </c>
      <c r="CR162" s="525">
        <f>+AU162-(BQ162+BZ162+CI162)</f>
        <v/>
      </c>
      <c r="CS162" s="525">
        <f>+BA162-(BR162+CA162+CJ162)</f>
        <v/>
      </c>
      <c r="CT162" s="525">
        <f>+BF162-(BS162+CB162+CK162)</f>
        <v/>
      </c>
      <c r="CU162" s="525">
        <f>BT162+CC162+CL162</f>
        <v/>
      </c>
      <c r="CV162" s="525">
        <f>SUM(CN162:CT162)</f>
        <v/>
      </c>
    </row>
    <row r="163" ht="21" customFormat="1" customHeight="1" s="230">
      <c r="A163" s="453" t="n"/>
      <c r="B163" s="309" t="n"/>
      <c r="C163" s="287">
        <f>IF($A163=0,"",(VLOOKUP(A163,[3]MAT!$B$5:$D$4756,3,FALSE)))</f>
        <v/>
      </c>
      <c r="D163" s="288" t="inlineStr"/>
      <c r="E163" s="507" t="n"/>
      <c r="F163" s="526" t="n"/>
      <c r="G163" s="527" t="n"/>
      <c r="H163" s="510" t="n"/>
      <c r="I163" s="511" t="n"/>
      <c r="J163" s="512" t="n"/>
      <c r="K163" s="512" t="n"/>
      <c r="L163" s="513" t="n"/>
      <c r="M163" s="510" t="n"/>
      <c r="N163" s="526" t="n"/>
      <c r="O163" s="512" t="n"/>
      <c r="P163" s="512" t="n"/>
      <c r="Q163" s="512" t="n"/>
      <c r="R163" s="512" t="n"/>
      <c r="S163" s="512" t="n"/>
      <c r="T163" s="512" t="n"/>
      <c r="U163" s="512" t="n"/>
      <c r="V163" s="512" t="n"/>
      <c r="W163" s="512" t="n"/>
      <c r="X163" s="512" t="n"/>
      <c r="Y163" s="512" t="n"/>
      <c r="Z163" s="512" t="n"/>
      <c r="AA163" s="512" t="n"/>
      <c r="AB163" s="512" t="n"/>
      <c r="AC163" s="512" t="n"/>
      <c r="AD163" s="512" t="n"/>
      <c r="AE163" s="510" t="n"/>
      <c r="AF163" s="511" t="n"/>
      <c r="AG163" s="512" t="n"/>
      <c r="AH163" s="512" t="n"/>
      <c r="AI163" s="513" t="n"/>
      <c r="AJ163" s="510" t="n"/>
      <c r="AK163" s="513" t="n"/>
      <c r="AL163" s="513" t="n"/>
      <c r="AM163" s="513" t="n"/>
      <c r="AN163" s="513" t="n"/>
      <c r="AO163" s="513" t="n"/>
      <c r="AP163" s="513" t="n"/>
      <c r="AQ163" s="513" t="n"/>
      <c r="AR163" s="513" t="n"/>
      <c r="AS163" s="513" t="n"/>
      <c r="AT163" s="513" t="n"/>
      <c r="AU163" s="510" t="n"/>
      <c r="AV163" s="527" t="n"/>
      <c r="AW163" s="514" t="n"/>
      <c r="AX163" s="514" t="n"/>
      <c r="AY163" s="514" t="n"/>
      <c r="AZ163" s="514" t="n"/>
      <c r="BA163" s="510">
        <f>SUM(AV163:AZ163)</f>
        <v/>
      </c>
      <c r="BB163" s="511" t="n"/>
      <c r="BC163" s="512" t="n"/>
      <c r="BD163" s="512" t="n"/>
      <c r="BE163" s="512" t="n"/>
      <c r="BF163" s="510">
        <f>SUM(BB163:BE163)</f>
        <v/>
      </c>
      <c r="BG163" s="518" t="n"/>
      <c r="BH163" s="519">
        <f>H163+M163+AE163+AJ163+AU163+BA163+BF163</f>
        <v/>
      </c>
      <c r="BI163" s="528">
        <f>IF(E163-BH163&lt;0, BH163-E163, )</f>
        <v/>
      </c>
      <c r="BJ163" s="529">
        <f>IF(E163-BH163&lt;0, ,E163-BH163)</f>
        <v/>
      </c>
      <c r="BK163" s="530" t="n"/>
      <c r="BM163" s="523" t="n"/>
      <c r="BN163" s="523" t="n"/>
      <c r="BO163" s="523" t="n"/>
      <c r="BP163" s="523" t="n"/>
      <c r="BQ163" s="523" t="n"/>
      <c r="BR163" s="523" t="n"/>
      <c r="BS163" s="523" t="n"/>
      <c r="BT163" s="518">
        <f>SUM(BM163:BS163)</f>
        <v/>
      </c>
      <c r="BU163" s="518" t="n"/>
      <c r="BV163" s="523" t="n"/>
      <c r="BW163" s="523" t="n"/>
      <c r="BX163" s="523" t="n"/>
      <c r="BY163" s="523" t="n"/>
      <c r="BZ163" s="523" t="n"/>
      <c r="CA163" s="523" t="n"/>
      <c r="CB163" s="523" t="n"/>
      <c r="CC163" s="518">
        <f>SUM(BV163:CB163)</f>
        <v/>
      </c>
      <c r="CD163" s="518" t="n"/>
      <c r="CE163" s="523" t="n"/>
      <c r="CF163" s="523" t="n"/>
      <c r="CG163" s="523" t="n"/>
      <c r="CH163" s="523" t="n"/>
      <c r="CI163" s="523" t="n"/>
      <c r="CJ163" s="523" t="n"/>
      <c r="CK163" s="523" t="n"/>
      <c r="CL163" s="518">
        <f>SUM(CE163:CK163)</f>
        <v/>
      </c>
      <c r="CN163" s="525">
        <f>+H163-(BM163+BV163+CE163)</f>
        <v/>
      </c>
      <c r="CO163" s="525">
        <f>+M163-(BN163+BW163+CF163)</f>
        <v/>
      </c>
      <c r="CP163" s="525">
        <f>+AE163-(BO163+BX163+CG163)</f>
        <v/>
      </c>
      <c r="CQ163" s="525">
        <f>+AJ163-(BP163+BY163+CH163)</f>
        <v/>
      </c>
      <c r="CR163" s="525">
        <f>+AU163-(BQ163+BZ163+CI163)</f>
        <v/>
      </c>
      <c r="CS163" s="525">
        <f>+BA163-(BR163+CA163+CJ163)</f>
        <v/>
      </c>
      <c r="CT163" s="525">
        <f>+BF163-(BS163+CB163+CK163)</f>
        <v/>
      </c>
      <c r="CU163" s="525">
        <f>BT163+CC163+CL163</f>
        <v/>
      </c>
      <c r="CV163" s="525">
        <f>SUM(CN163:CT163)</f>
        <v/>
      </c>
    </row>
    <row r="164" ht="21" customFormat="1" customHeight="1" s="230">
      <c r="A164" s="453" t="n"/>
      <c r="B164" s="309" t="n"/>
      <c r="C164" s="287">
        <f>IF($A164=0,"",(VLOOKUP(A164,[3]MAT!$B$5:$D$4756,3,FALSE)))</f>
        <v/>
      </c>
      <c r="D164" s="288" t="inlineStr"/>
      <c r="E164" s="507" t="n"/>
      <c r="F164" s="526" t="n"/>
      <c r="G164" s="527" t="n"/>
      <c r="H164" s="510" t="n"/>
      <c r="I164" s="511" t="n"/>
      <c r="J164" s="512" t="n"/>
      <c r="K164" s="512" t="n"/>
      <c r="L164" s="513" t="n"/>
      <c r="M164" s="510" t="n"/>
      <c r="N164" s="526" t="n"/>
      <c r="O164" s="512" t="n"/>
      <c r="P164" s="512" t="n"/>
      <c r="Q164" s="512" t="n"/>
      <c r="R164" s="512" t="n"/>
      <c r="S164" s="512" t="n"/>
      <c r="T164" s="512" t="n"/>
      <c r="U164" s="512" t="n"/>
      <c r="V164" s="512" t="n"/>
      <c r="W164" s="512" t="n"/>
      <c r="X164" s="512" t="n"/>
      <c r="Y164" s="512" t="n"/>
      <c r="Z164" s="512" t="n"/>
      <c r="AA164" s="512" t="n"/>
      <c r="AB164" s="512" t="n"/>
      <c r="AC164" s="512" t="n"/>
      <c r="AD164" s="512" t="n"/>
      <c r="AE164" s="510" t="n"/>
      <c r="AF164" s="511" t="n"/>
      <c r="AG164" s="512" t="n"/>
      <c r="AH164" s="512" t="n"/>
      <c r="AI164" s="513" t="n"/>
      <c r="AJ164" s="510" t="n"/>
      <c r="AK164" s="513" t="n"/>
      <c r="AL164" s="513" t="n"/>
      <c r="AM164" s="513" t="n"/>
      <c r="AN164" s="513" t="n"/>
      <c r="AO164" s="513" t="n"/>
      <c r="AP164" s="513" t="n"/>
      <c r="AQ164" s="513" t="n"/>
      <c r="AR164" s="513" t="n"/>
      <c r="AS164" s="513" t="n"/>
      <c r="AT164" s="513" t="n"/>
      <c r="AU164" s="510" t="n"/>
      <c r="AV164" s="527" t="n"/>
      <c r="AW164" s="514" t="n"/>
      <c r="AX164" s="514" t="n"/>
      <c r="AY164" s="514" t="n"/>
      <c r="AZ164" s="514" t="n"/>
      <c r="BA164" s="510">
        <f>SUM(AV164:AZ164)</f>
        <v/>
      </c>
      <c r="BB164" s="511" t="n"/>
      <c r="BC164" s="512" t="n"/>
      <c r="BD164" s="512" t="n"/>
      <c r="BE164" s="512" t="n"/>
      <c r="BF164" s="510">
        <f>SUM(BB164:BE164)</f>
        <v/>
      </c>
      <c r="BG164" s="518" t="n"/>
      <c r="BH164" s="519">
        <f>H164+M164+AE164+AJ164+AU164+BA164+BF164</f>
        <v/>
      </c>
      <c r="BI164" s="528">
        <f>IF(E164-BH164&lt;0, BH164-E164, )</f>
        <v/>
      </c>
      <c r="BJ164" s="529">
        <f>IF(E164-BH164&lt;0, ,E164-BH164)</f>
        <v/>
      </c>
      <c r="BK164" s="530" t="n"/>
      <c r="BM164" s="523" t="n"/>
      <c r="BN164" s="523" t="n"/>
      <c r="BO164" s="523" t="n"/>
      <c r="BP164" s="523" t="n"/>
      <c r="BQ164" s="523" t="n"/>
      <c r="BR164" s="523" t="n"/>
      <c r="BS164" s="523" t="n"/>
      <c r="BT164" s="518">
        <f>SUM(BM164:BS164)</f>
        <v/>
      </c>
      <c r="BU164" s="518" t="n"/>
      <c r="BV164" s="523" t="n"/>
      <c r="BW164" s="523" t="n"/>
      <c r="BX164" s="523" t="n"/>
      <c r="BY164" s="523" t="n"/>
      <c r="BZ164" s="523" t="n"/>
      <c r="CA164" s="523" t="n"/>
      <c r="CB164" s="523" t="n"/>
      <c r="CC164" s="518">
        <f>SUM(BV164:CB164)</f>
        <v/>
      </c>
      <c r="CD164" s="518" t="n"/>
      <c r="CE164" s="523" t="n"/>
      <c r="CF164" s="523" t="n"/>
      <c r="CG164" s="523" t="n"/>
      <c r="CH164" s="523" t="n"/>
      <c r="CI164" s="523" t="n"/>
      <c r="CJ164" s="523" t="n"/>
      <c r="CK164" s="523" t="n"/>
      <c r="CL164" s="518">
        <f>SUM(CE164:CK164)</f>
        <v/>
      </c>
      <c r="CN164" s="525">
        <f>+H164-(BM164+BV164+CE164)</f>
        <v/>
      </c>
      <c r="CO164" s="525">
        <f>+M164-(BN164+BW164+CF164)</f>
        <v/>
      </c>
      <c r="CP164" s="525">
        <f>+AE164-(BO164+BX164+CG164)</f>
        <v/>
      </c>
      <c r="CQ164" s="525">
        <f>+AJ164-(BP164+BY164+CH164)</f>
        <v/>
      </c>
      <c r="CR164" s="525">
        <f>+AU164-(BQ164+BZ164+CI164)</f>
        <v/>
      </c>
      <c r="CS164" s="525">
        <f>+BA164-(BR164+CA164+CJ164)</f>
        <v/>
      </c>
      <c r="CT164" s="525">
        <f>+BF164-(BS164+CB164+CK164)</f>
        <v/>
      </c>
      <c r="CU164" s="525">
        <f>BT164+CC164+CL164</f>
        <v/>
      </c>
      <c r="CV164" s="525">
        <f>SUM(CN164:CT164)</f>
        <v/>
      </c>
    </row>
    <row r="165" ht="21" customFormat="1" customHeight="1" s="230">
      <c r="A165" s="453" t="n"/>
      <c r="B165" s="309" t="n"/>
      <c r="C165" s="287">
        <f>IF($A165=0,"",(VLOOKUP(A165,[3]MAT!$B$5:$D$4756,3,FALSE)))</f>
        <v/>
      </c>
      <c r="D165" s="288" t="inlineStr"/>
      <c r="E165" s="507" t="n"/>
      <c r="F165" s="526" t="n"/>
      <c r="G165" s="527" t="n"/>
      <c r="H165" s="510" t="n"/>
      <c r="I165" s="511" t="n"/>
      <c r="J165" s="512" t="n"/>
      <c r="K165" s="512" t="n"/>
      <c r="L165" s="513" t="n"/>
      <c r="M165" s="510" t="n"/>
      <c r="N165" s="526" t="n"/>
      <c r="O165" s="512" t="n"/>
      <c r="P165" s="512" t="n"/>
      <c r="Q165" s="512" t="n"/>
      <c r="R165" s="512" t="n"/>
      <c r="S165" s="512" t="n"/>
      <c r="T165" s="512" t="n"/>
      <c r="U165" s="512" t="n"/>
      <c r="V165" s="512" t="n"/>
      <c r="W165" s="512" t="n"/>
      <c r="X165" s="512" t="n"/>
      <c r="Y165" s="512" t="n"/>
      <c r="Z165" s="512" t="n"/>
      <c r="AA165" s="512" t="n"/>
      <c r="AB165" s="512" t="n"/>
      <c r="AC165" s="512" t="n"/>
      <c r="AD165" s="512" t="n"/>
      <c r="AE165" s="510" t="n"/>
      <c r="AF165" s="511" t="n"/>
      <c r="AG165" s="512" t="n"/>
      <c r="AH165" s="512" t="n"/>
      <c r="AI165" s="513" t="n"/>
      <c r="AJ165" s="510" t="n"/>
      <c r="AK165" s="513" t="n"/>
      <c r="AL165" s="513" t="n"/>
      <c r="AM165" s="513" t="n"/>
      <c r="AN165" s="513" t="n"/>
      <c r="AO165" s="513" t="n"/>
      <c r="AP165" s="513" t="n"/>
      <c r="AQ165" s="513" t="n"/>
      <c r="AR165" s="513" t="n"/>
      <c r="AS165" s="513" t="n"/>
      <c r="AT165" s="513" t="n"/>
      <c r="AU165" s="510" t="n"/>
      <c r="AV165" s="527" t="n"/>
      <c r="AW165" s="514" t="n"/>
      <c r="AX165" s="514" t="n"/>
      <c r="AY165" s="514" t="n"/>
      <c r="AZ165" s="514" t="n"/>
      <c r="BA165" s="510">
        <f>SUM(AV165:AZ165)</f>
        <v/>
      </c>
      <c r="BB165" s="511" t="n"/>
      <c r="BC165" s="512" t="n"/>
      <c r="BD165" s="512" t="n"/>
      <c r="BE165" s="512" t="n"/>
      <c r="BF165" s="510">
        <f>SUM(BB165:BE165)</f>
        <v/>
      </c>
      <c r="BG165" s="518" t="n"/>
      <c r="BH165" s="519">
        <f>H165+M165+AE165+AJ165+AU165+BA165+BF165</f>
        <v/>
      </c>
      <c r="BI165" s="528">
        <f>IF(E165-BH165&lt;0, BH165-E165, )</f>
        <v/>
      </c>
      <c r="BJ165" s="529">
        <f>IF(E165-BH165&lt;0, ,E165-BH165)</f>
        <v/>
      </c>
      <c r="BK165" s="530" t="n"/>
      <c r="BM165" s="523" t="n"/>
      <c r="BN165" s="523" t="n"/>
      <c r="BO165" s="523" t="n"/>
      <c r="BP165" s="523" t="n"/>
      <c r="BQ165" s="523" t="n"/>
      <c r="BR165" s="523" t="n"/>
      <c r="BS165" s="523" t="n"/>
      <c r="BT165" s="518">
        <f>SUM(BM165:BS165)</f>
        <v/>
      </c>
      <c r="BU165" s="518" t="n"/>
      <c r="BV165" s="523" t="n"/>
      <c r="BW165" s="523" t="n"/>
      <c r="BX165" s="523" t="n"/>
      <c r="BY165" s="523" t="n"/>
      <c r="BZ165" s="523" t="n"/>
      <c r="CA165" s="523" t="n"/>
      <c r="CB165" s="523" t="n"/>
      <c r="CC165" s="518">
        <f>SUM(BV165:CB165)</f>
        <v/>
      </c>
      <c r="CD165" s="518" t="n"/>
      <c r="CE165" s="523" t="n"/>
      <c r="CF165" s="523" t="n"/>
      <c r="CG165" s="523" t="n"/>
      <c r="CH165" s="523" t="n"/>
      <c r="CI165" s="523" t="n"/>
      <c r="CJ165" s="523" t="n"/>
      <c r="CK165" s="523" t="n"/>
      <c r="CL165" s="518">
        <f>SUM(CE165:CK165)</f>
        <v/>
      </c>
      <c r="CN165" s="525">
        <f>+H165-(BM165+BV165+CE165)</f>
        <v/>
      </c>
      <c r="CO165" s="525">
        <f>+M165-(BN165+BW165+CF165)</f>
        <v/>
      </c>
      <c r="CP165" s="525">
        <f>+AE165-(BO165+BX165+CG165)</f>
        <v/>
      </c>
      <c r="CQ165" s="525">
        <f>+AJ165-(BP165+BY165+CH165)</f>
        <v/>
      </c>
      <c r="CR165" s="525">
        <f>+AU165-(BQ165+BZ165+CI165)</f>
        <v/>
      </c>
      <c r="CS165" s="525">
        <f>+BA165-(BR165+CA165+CJ165)</f>
        <v/>
      </c>
      <c r="CT165" s="525">
        <f>+BF165-(BS165+CB165+CK165)</f>
        <v/>
      </c>
      <c r="CU165" s="525">
        <f>BT165+CC165+CL165</f>
        <v/>
      </c>
      <c r="CV165" s="525">
        <f>SUM(CN165:CT165)</f>
        <v/>
      </c>
    </row>
    <row r="166" ht="21" customFormat="1" customHeight="1" s="230">
      <c r="A166" s="453" t="n"/>
      <c r="B166" s="309" t="n"/>
      <c r="C166" s="287">
        <f>IF($A166=0,"",(VLOOKUP(A166,[3]MAT!$B$5:$D$4756,3,FALSE)))</f>
        <v/>
      </c>
      <c r="D166" s="288" t="inlineStr"/>
      <c r="E166" s="507" t="n"/>
      <c r="F166" s="526" t="n"/>
      <c r="G166" s="527" t="n"/>
      <c r="H166" s="510" t="n"/>
      <c r="I166" s="511" t="n"/>
      <c r="J166" s="512" t="n"/>
      <c r="K166" s="512" t="n"/>
      <c r="L166" s="513" t="n"/>
      <c r="M166" s="510" t="n"/>
      <c r="N166" s="526" t="n"/>
      <c r="O166" s="512" t="n"/>
      <c r="P166" s="512" t="n"/>
      <c r="Q166" s="512" t="n"/>
      <c r="R166" s="512" t="n"/>
      <c r="S166" s="512" t="n"/>
      <c r="T166" s="512" t="n"/>
      <c r="U166" s="512" t="n"/>
      <c r="V166" s="512" t="n"/>
      <c r="W166" s="512" t="n"/>
      <c r="X166" s="512" t="n"/>
      <c r="Y166" s="512" t="n"/>
      <c r="Z166" s="512" t="n"/>
      <c r="AA166" s="512" t="n"/>
      <c r="AB166" s="512" t="n"/>
      <c r="AC166" s="512" t="n"/>
      <c r="AD166" s="512" t="n"/>
      <c r="AE166" s="510" t="n"/>
      <c r="AF166" s="511" t="n"/>
      <c r="AG166" s="512" t="n"/>
      <c r="AH166" s="512" t="n"/>
      <c r="AI166" s="513" t="n"/>
      <c r="AJ166" s="510" t="n"/>
      <c r="AK166" s="513" t="n"/>
      <c r="AL166" s="513" t="n"/>
      <c r="AM166" s="513" t="n"/>
      <c r="AN166" s="513" t="n"/>
      <c r="AO166" s="513" t="n"/>
      <c r="AP166" s="513" t="n"/>
      <c r="AQ166" s="513" t="n"/>
      <c r="AR166" s="513" t="n"/>
      <c r="AS166" s="513" t="n"/>
      <c r="AT166" s="513" t="n"/>
      <c r="AU166" s="510" t="n"/>
      <c r="AV166" s="527" t="n"/>
      <c r="AW166" s="514" t="n"/>
      <c r="AX166" s="514" t="n"/>
      <c r="AY166" s="514" t="n"/>
      <c r="AZ166" s="514" t="n"/>
      <c r="BA166" s="510">
        <f>SUM(AV166:AZ166)</f>
        <v/>
      </c>
      <c r="BB166" s="511" t="n"/>
      <c r="BC166" s="512" t="n"/>
      <c r="BD166" s="512" t="n"/>
      <c r="BE166" s="512" t="n"/>
      <c r="BF166" s="510">
        <f>SUM(BB166:BE166)</f>
        <v/>
      </c>
      <c r="BG166" s="518" t="n"/>
      <c r="BH166" s="519">
        <f>H166+M166+AE166+AJ166+AU166+BA166+BF166</f>
        <v/>
      </c>
      <c r="BI166" s="528">
        <f>IF(E166-BH166&lt;0, BH166-E166, )</f>
        <v/>
      </c>
      <c r="BJ166" s="529">
        <f>IF(E166-BH166&lt;0, ,E166-BH166)</f>
        <v/>
      </c>
      <c r="BK166" s="530" t="n"/>
      <c r="BM166" s="523" t="n"/>
      <c r="BN166" s="523" t="n"/>
      <c r="BO166" s="523" t="n"/>
      <c r="BP166" s="523" t="n"/>
      <c r="BQ166" s="523" t="n"/>
      <c r="BR166" s="523" t="n"/>
      <c r="BS166" s="523" t="n"/>
      <c r="BT166" s="518">
        <f>SUM(BM166:BS166)</f>
        <v/>
      </c>
      <c r="BU166" s="518" t="n"/>
      <c r="BV166" s="523" t="n"/>
      <c r="BW166" s="523" t="n"/>
      <c r="BX166" s="523" t="n"/>
      <c r="BY166" s="523" t="n"/>
      <c r="BZ166" s="523" t="n"/>
      <c r="CA166" s="523" t="n"/>
      <c r="CB166" s="523" t="n"/>
      <c r="CC166" s="518">
        <f>SUM(BV166:CB166)</f>
        <v/>
      </c>
      <c r="CD166" s="518" t="n"/>
      <c r="CE166" s="523" t="n"/>
      <c r="CF166" s="523" t="n"/>
      <c r="CG166" s="523" t="n"/>
      <c r="CH166" s="523" t="n"/>
      <c r="CI166" s="523" t="n"/>
      <c r="CJ166" s="523" t="n"/>
      <c r="CK166" s="523" t="n"/>
      <c r="CL166" s="518">
        <f>SUM(CE166:CK166)</f>
        <v/>
      </c>
      <c r="CN166" s="525">
        <f>+H166-(BM166+BV166+CE166)</f>
        <v/>
      </c>
      <c r="CO166" s="525">
        <f>+M166-(BN166+BW166+CF166)</f>
        <v/>
      </c>
      <c r="CP166" s="525">
        <f>+AE166-(BO166+BX166+CG166)</f>
        <v/>
      </c>
      <c r="CQ166" s="525">
        <f>+AJ166-(BP166+BY166+CH166)</f>
        <v/>
      </c>
      <c r="CR166" s="525">
        <f>+AU166-(BQ166+BZ166+CI166)</f>
        <v/>
      </c>
      <c r="CS166" s="525">
        <f>+BA166-(BR166+CA166+CJ166)</f>
        <v/>
      </c>
      <c r="CT166" s="525">
        <f>+BF166-(BS166+CB166+CK166)</f>
        <v/>
      </c>
      <c r="CU166" s="525">
        <f>BT166+CC166+CL166</f>
        <v/>
      </c>
      <c r="CV166" s="525">
        <f>SUM(CN166:CT166)</f>
        <v/>
      </c>
    </row>
    <row r="167" ht="21" customFormat="1" customHeight="1" s="230">
      <c r="A167" s="453" t="n"/>
      <c r="B167" s="309" t="n"/>
      <c r="C167" s="287">
        <f>IF($A167=0,"",(VLOOKUP(A167,[3]MAT!$B$5:$D$4756,3,FALSE)))</f>
        <v/>
      </c>
      <c r="D167" s="288" t="inlineStr"/>
      <c r="E167" s="507" t="n"/>
      <c r="F167" s="526" t="n"/>
      <c r="G167" s="527" t="n"/>
      <c r="H167" s="510" t="n"/>
      <c r="I167" s="511" t="n"/>
      <c r="J167" s="512" t="n"/>
      <c r="K167" s="512" t="n"/>
      <c r="L167" s="513" t="n"/>
      <c r="M167" s="510" t="n"/>
      <c r="N167" s="526" t="n"/>
      <c r="O167" s="512" t="n"/>
      <c r="P167" s="512" t="n"/>
      <c r="Q167" s="512" t="n"/>
      <c r="R167" s="512" t="n"/>
      <c r="S167" s="512" t="n"/>
      <c r="T167" s="512" t="n"/>
      <c r="U167" s="512" t="n"/>
      <c r="V167" s="512" t="n"/>
      <c r="W167" s="512" t="n"/>
      <c r="X167" s="512" t="n"/>
      <c r="Y167" s="512" t="n"/>
      <c r="Z167" s="512" t="n"/>
      <c r="AA167" s="512" t="n"/>
      <c r="AB167" s="512" t="n"/>
      <c r="AC167" s="512" t="n"/>
      <c r="AD167" s="512" t="n"/>
      <c r="AE167" s="510" t="n"/>
      <c r="AF167" s="511" t="n"/>
      <c r="AG167" s="512" t="n"/>
      <c r="AH167" s="512" t="n"/>
      <c r="AI167" s="513" t="n"/>
      <c r="AJ167" s="510" t="n"/>
      <c r="AK167" s="513" t="n"/>
      <c r="AL167" s="513" t="n"/>
      <c r="AM167" s="513" t="n"/>
      <c r="AN167" s="513" t="n"/>
      <c r="AO167" s="513" t="n"/>
      <c r="AP167" s="513" t="n"/>
      <c r="AQ167" s="513" t="n"/>
      <c r="AR167" s="513" t="n"/>
      <c r="AS167" s="513" t="n"/>
      <c r="AT167" s="513" t="n"/>
      <c r="AU167" s="510" t="n"/>
      <c r="AV167" s="527" t="n"/>
      <c r="AW167" s="514" t="n"/>
      <c r="AX167" s="514" t="n"/>
      <c r="AY167" s="514" t="n"/>
      <c r="AZ167" s="514" t="n"/>
      <c r="BA167" s="510">
        <f>SUM(AV167:AZ167)</f>
        <v/>
      </c>
      <c r="BB167" s="511" t="n"/>
      <c r="BC167" s="512" t="n"/>
      <c r="BD167" s="512" t="n"/>
      <c r="BE167" s="512" t="n"/>
      <c r="BF167" s="510">
        <f>SUM(BB167:BE167)</f>
        <v/>
      </c>
      <c r="BG167" s="518" t="n"/>
      <c r="BH167" s="519">
        <f>H167+M167+AE167+AJ167+AU167+BA167+BF167</f>
        <v/>
      </c>
      <c r="BI167" s="528">
        <f>IF(E167-BH167&lt;0, BH167-E167, )</f>
        <v/>
      </c>
      <c r="BJ167" s="529">
        <f>IF(E167-BH167&lt;0, ,E167-BH167)</f>
        <v/>
      </c>
      <c r="BK167" s="530" t="n"/>
      <c r="BM167" s="523" t="n"/>
      <c r="BN167" s="523" t="n"/>
      <c r="BO167" s="523" t="n"/>
      <c r="BP167" s="523" t="n"/>
      <c r="BQ167" s="523" t="n"/>
      <c r="BR167" s="523" t="n"/>
      <c r="BS167" s="523" t="n"/>
      <c r="BT167" s="518">
        <f>SUM(BM167:BS167)</f>
        <v/>
      </c>
      <c r="BU167" s="518" t="n"/>
      <c r="BV167" s="523" t="n"/>
      <c r="BW167" s="523" t="n"/>
      <c r="BX167" s="523" t="n"/>
      <c r="BY167" s="523" t="n"/>
      <c r="BZ167" s="523" t="n"/>
      <c r="CA167" s="523" t="n"/>
      <c r="CB167" s="523" t="n"/>
      <c r="CC167" s="518">
        <f>SUM(BV167:CB167)</f>
        <v/>
      </c>
      <c r="CD167" s="518" t="n"/>
      <c r="CE167" s="523" t="n"/>
      <c r="CF167" s="523" t="n"/>
      <c r="CG167" s="523" t="n"/>
      <c r="CH167" s="523" t="n"/>
      <c r="CI167" s="523" t="n"/>
      <c r="CJ167" s="523" t="n"/>
      <c r="CK167" s="523" t="n"/>
      <c r="CL167" s="518">
        <f>SUM(CE167:CK167)</f>
        <v/>
      </c>
      <c r="CN167" s="525">
        <f>+H167-(BM167+BV167+CE167)</f>
        <v/>
      </c>
      <c r="CO167" s="525">
        <f>+M167-(BN167+BW167+CF167)</f>
        <v/>
      </c>
      <c r="CP167" s="525">
        <f>+AE167-(BO167+BX167+CG167)</f>
        <v/>
      </c>
      <c r="CQ167" s="525">
        <f>+AJ167-(BP167+BY167+CH167)</f>
        <v/>
      </c>
      <c r="CR167" s="525">
        <f>+AU167-(BQ167+BZ167+CI167)</f>
        <v/>
      </c>
      <c r="CS167" s="525">
        <f>+BA167-(BR167+CA167+CJ167)</f>
        <v/>
      </c>
      <c r="CT167" s="525">
        <f>+BF167-(BS167+CB167+CK167)</f>
        <v/>
      </c>
      <c r="CU167" s="525">
        <f>BT167+CC167+CL167</f>
        <v/>
      </c>
      <c r="CV167" s="525">
        <f>SUM(CN167:CT167)</f>
        <v/>
      </c>
    </row>
    <row r="168" ht="21" customFormat="1" customHeight="1" s="230">
      <c r="A168" s="453" t="n"/>
      <c r="B168" s="309" t="n"/>
      <c r="C168" s="287">
        <f>IF($A168=0,"",(VLOOKUP(A168,[3]MAT!$B$5:$D$4756,3,FALSE)))</f>
        <v/>
      </c>
      <c r="D168" s="288" t="inlineStr"/>
      <c r="E168" s="507" t="n"/>
      <c r="F168" s="526" t="n"/>
      <c r="G168" s="527" t="n"/>
      <c r="H168" s="510" t="n"/>
      <c r="I168" s="511" t="n"/>
      <c r="J168" s="512" t="n"/>
      <c r="K168" s="512" t="n"/>
      <c r="L168" s="513" t="n"/>
      <c r="M168" s="510" t="n"/>
      <c r="N168" s="526" t="n"/>
      <c r="O168" s="512" t="n"/>
      <c r="P168" s="512" t="n"/>
      <c r="Q168" s="512" t="n"/>
      <c r="R168" s="512" t="n"/>
      <c r="S168" s="512" t="n"/>
      <c r="T168" s="512" t="n"/>
      <c r="U168" s="512" t="n"/>
      <c r="V168" s="512" t="n"/>
      <c r="W168" s="512" t="n"/>
      <c r="X168" s="512" t="n"/>
      <c r="Y168" s="512" t="n"/>
      <c r="Z168" s="512" t="n"/>
      <c r="AA168" s="512" t="n"/>
      <c r="AB168" s="512" t="n"/>
      <c r="AC168" s="512" t="n"/>
      <c r="AD168" s="512" t="n"/>
      <c r="AE168" s="510" t="n"/>
      <c r="AF168" s="511" t="n"/>
      <c r="AG168" s="512" t="n"/>
      <c r="AH168" s="512" t="n"/>
      <c r="AI168" s="513" t="n"/>
      <c r="AJ168" s="510" t="n"/>
      <c r="AK168" s="513" t="n"/>
      <c r="AL168" s="513" t="n"/>
      <c r="AM168" s="513" t="n"/>
      <c r="AN168" s="513" t="n"/>
      <c r="AO168" s="513" t="n"/>
      <c r="AP168" s="513" t="n"/>
      <c r="AQ168" s="513" t="n"/>
      <c r="AR168" s="513" t="n"/>
      <c r="AS168" s="513" t="n"/>
      <c r="AT168" s="513" t="n"/>
      <c r="AU168" s="510" t="n"/>
      <c r="AV168" s="527" t="n"/>
      <c r="AW168" s="514" t="n"/>
      <c r="AX168" s="514" t="n"/>
      <c r="AY168" s="514" t="n"/>
      <c r="AZ168" s="514" t="n"/>
      <c r="BA168" s="510">
        <f>SUM(AV168:AZ168)</f>
        <v/>
      </c>
      <c r="BB168" s="511" t="n"/>
      <c r="BC168" s="512" t="n"/>
      <c r="BD168" s="512" t="n"/>
      <c r="BE168" s="512" t="n"/>
      <c r="BF168" s="510">
        <f>SUM(BB168:BE168)</f>
        <v/>
      </c>
      <c r="BG168" s="518" t="n"/>
      <c r="BH168" s="519">
        <f>H168+M168+AE168+AJ168+AU168+BA168+BF168</f>
        <v/>
      </c>
      <c r="BI168" s="528">
        <f>IF(E168-BH168&lt;0, BH168-E168, )</f>
        <v/>
      </c>
      <c r="BJ168" s="529">
        <f>IF(E168-BH168&lt;0, ,E168-BH168)</f>
        <v/>
      </c>
      <c r="BK168" s="530" t="n"/>
      <c r="BM168" s="523" t="n"/>
      <c r="BN168" s="523" t="n"/>
      <c r="BO168" s="523" t="n"/>
      <c r="BP168" s="523" t="n"/>
      <c r="BQ168" s="523" t="n"/>
      <c r="BR168" s="523" t="n"/>
      <c r="BS168" s="523" t="n"/>
      <c r="BT168" s="518">
        <f>SUM(BM168:BS168)</f>
        <v/>
      </c>
      <c r="BU168" s="518" t="n"/>
      <c r="BV168" s="523" t="n"/>
      <c r="BW168" s="523" t="n"/>
      <c r="BX168" s="523" t="n"/>
      <c r="BY168" s="523" t="n"/>
      <c r="BZ168" s="523" t="n"/>
      <c r="CA168" s="523" t="n"/>
      <c r="CB168" s="523" t="n"/>
      <c r="CC168" s="518">
        <f>SUM(BV168:CB168)</f>
        <v/>
      </c>
      <c r="CD168" s="518" t="n"/>
      <c r="CE168" s="523" t="n"/>
      <c r="CF168" s="523" t="n"/>
      <c r="CG168" s="523" t="n"/>
      <c r="CH168" s="523" t="n"/>
      <c r="CI168" s="523" t="n"/>
      <c r="CJ168" s="523" t="n"/>
      <c r="CK168" s="523" t="n"/>
      <c r="CL168" s="518">
        <f>SUM(CE168:CK168)</f>
        <v/>
      </c>
      <c r="CN168" s="525">
        <f>+H168-(BM168+BV168+CE168)</f>
        <v/>
      </c>
      <c r="CO168" s="525">
        <f>+M168-(BN168+BW168+CF168)</f>
        <v/>
      </c>
      <c r="CP168" s="525">
        <f>+AE168-(BO168+BX168+CG168)</f>
        <v/>
      </c>
      <c r="CQ168" s="525">
        <f>+AJ168-(BP168+BY168+CH168)</f>
        <v/>
      </c>
      <c r="CR168" s="525">
        <f>+AU168-(BQ168+BZ168+CI168)</f>
        <v/>
      </c>
      <c r="CS168" s="525">
        <f>+BA168-(BR168+CA168+CJ168)</f>
        <v/>
      </c>
      <c r="CT168" s="525">
        <f>+BF168-(BS168+CB168+CK168)</f>
        <v/>
      </c>
      <c r="CU168" s="525">
        <f>BT168+CC168+CL168</f>
        <v/>
      </c>
      <c r="CV168" s="525">
        <f>SUM(CN168:CT168)</f>
        <v/>
      </c>
    </row>
    <row r="169" ht="21" customFormat="1" customHeight="1" s="230">
      <c r="A169" s="453" t="n"/>
      <c r="B169" s="309" t="n"/>
      <c r="C169" s="287">
        <f>IF($A169=0,"",(VLOOKUP(A169,[3]MAT!$B$5:$D$4756,3,FALSE)))</f>
        <v/>
      </c>
      <c r="D169" s="288" t="inlineStr"/>
      <c r="E169" s="507" t="n"/>
      <c r="F169" s="526" t="n"/>
      <c r="G169" s="527" t="n"/>
      <c r="H169" s="510" t="n"/>
      <c r="I169" s="511" t="n"/>
      <c r="J169" s="512" t="n"/>
      <c r="K169" s="512" t="n"/>
      <c r="L169" s="513" t="n"/>
      <c r="M169" s="510" t="n"/>
      <c r="N169" s="526" t="n"/>
      <c r="O169" s="512" t="n"/>
      <c r="P169" s="512" t="n"/>
      <c r="Q169" s="512" t="n"/>
      <c r="R169" s="512" t="n"/>
      <c r="S169" s="512" t="n"/>
      <c r="T169" s="512" t="n"/>
      <c r="U169" s="512" t="n"/>
      <c r="V169" s="512" t="n"/>
      <c r="W169" s="512" t="n"/>
      <c r="X169" s="512" t="n"/>
      <c r="Y169" s="512" t="n"/>
      <c r="Z169" s="512" t="n"/>
      <c r="AA169" s="512" t="n"/>
      <c r="AB169" s="512" t="n"/>
      <c r="AC169" s="512" t="n"/>
      <c r="AD169" s="512" t="n"/>
      <c r="AE169" s="510" t="n"/>
      <c r="AF169" s="511" t="n"/>
      <c r="AG169" s="512" t="n"/>
      <c r="AH169" s="512" t="n"/>
      <c r="AI169" s="513" t="n"/>
      <c r="AJ169" s="510" t="n"/>
      <c r="AK169" s="513" t="n"/>
      <c r="AL169" s="513" t="n"/>
      <c r="AM169" s="513" t="n"/>
      <c r="AN169" s="513" t="n"/>
      <c r="AO169" s="513" t="n"/>
      <c r="AP169" s="513" t="n"/>
      <c r="AQ169" s="513" t="n"/>
      <c r="AR169" s="513" t="n"/>
      <c r="AS169" s="513" t="n"/>
      <c r="AT169" s="513" t="n"/>
      <c r="AU169" s="510" t="n"/>
      <c r="AV169" s="527" t="n"/>
      <c r="AW169" s="514" t="n"/>
      <c r="AX169" s="514" t="n"/>
      <c r="AY169" s="514" t="n"/>
      <c r="AZ169" s="514" t="n"/>
      <c r="BA169" s="510">
        <f>SUM(AV169:AZ169)</f>
        <v/>
      </c>
      <c r="BB169" s="511" t="n"/>
      <c r="BC169" s="512" t="n"/>
      <c r="BD169" s="512" t="n"/>
      <c r="BE169" s="512" t="n"/>
      <c r="BF169" s="510">
        <f>SUM(BB169:BE169)</f>
        <v/>
      </c>
      <c r="BG169" s="518" t="n"/>
      <c r="BH169" s="519">
        <f>H169+M169+AE169+AJ169+AU169+BA169+BF169</f>
        <v/>
      </c>
      <c r="BI169" s="528">
        <f>IF(E169-BH169&lt;0, BH169-E169, )</f>
        <v/>
      </c>
      <c r="BJ169" s="529">
        <f>IF(E169-BH169&lt;0, ,E169-BH169)</f>
        <v/>
      </c>
      <c r="BK169" s="530" t="n"/>
      <c r="BM169" s="523" t="n"/>
      <c r="BN169" s="523" t="n"/>
      <c r="BO169" s="523" t="n"/>
      <c r="BP169" s="523" t="n"/>
      <c r="BQ169" s="523" t="n"/>
      <c r="BR169" s="523" t="n"/>
      <c r="BS169" s="523" t="n"/>
      <c r="BT169" s="518">
        <f>SUM(BM169:BS169)</f>
        <v/>
      </c>
      <c r="BU169" s="518" t="n"/>
      <c r="BV169" s="523" t="n"/>
      <c r="BW169" s="523" t="n"/>
      <c r="BX169" s="523" t="n"/>
      <c r="BY169" s="523" t="n"/>
      <c r="BZ169" s="523" t="n"/>
      <c r="CA169" s="523" t="n"/>
      <c r="CB169" s="523" t="n"/>
      <c r="CC169" s="518">
        <f>SUM(BV169:CB169)</f>
        <v/>
      </c>
      <c r="CD169" s="518" t="n"/>
      <c r="CE169" s="523" t="n"/>
      <c r="CF169" s="523" t="n"/>
      <c r="CG169" s="523" t="n"/>
      <c r="CH169" s="523" t="n"/>
      <c r="CI169" s="523" t="n"/>
      <c r="CJ169" s="523" t="n"/>
      <c r="CK169" s="523" t="n"/>
      <c r="CL169" s="518">
        <f>SUM(CE169:CK169)</f>
        <v/>
      </c>
      <c r="CN169" s="525">
        <f>+H169-(BM169+BV169+CE169)</f>
        <v/>
      </c>
      <c r="CO169" s="525">
        <f>+M169-(BN169+BW169+CF169)</f>
        <v/>
      </c>
      <c r="CP169" s="525">
        <f>+AE169-(BO169+BX169+CG169)</f>
        <v/>
      </c>
      <c r="CQ169" s="525">
        <f>+AJ169-(BP169+BY169+CH169)</f>
        <v/>
      </c>
      <c r="CR169" s="525">
        <f>+AU169-(BQ169+BZ169+CI169)</f>
        <v/>
      </c>
      <c r="CS169" s="525">
        <f>+BA169-(BR169+CA169+CJ169)</f>
        <v/>
      </c>
      <c r="CT169" s="525">
        <f>+BF169-(BS169+CB169+CK169)</f>
        <v/>
      </c>
      <c r="CU169" s="525">
        <f>BT169+CC169+CL169</f>
        <v/>
      </c>
      <c r="CV169" s="525">
        <f>SUM(CN169:CT169)</f>
        <v/>
      </c>
    </row>
    <row r="170" ht="21" customFormat="1" customHeight="1" s="230">
      <c r="A170" s="315" t="n"/>
      <c r="B170" s="316" t="n"/>
      <c r="C170" s="287">
        <f>IF($A170=0,"",(VLOOKUP(A170,[3]MAT!$B$5:$D$4756,3,FALSE)))</f>
        <v/>
      </c>
      <c r="D170" s="317" t="inlineStr"/>
      <c r="E170" s="507" t="n"/>
      <c r="F170" s="532" t="n"/>
      <c r="G170" s="533" t="n"/>
      <c r="H170" s="510" t="n"/>
      <c r="I170" s="534" t="n"/>
      <c r="J170" s="535" t="n"/>
      <c r="K170" s="535" t="n"/>
      <c r="L170" s="536" t="n"/>
      <c r="M170" s="510" t="n"/>
      <c r="N170" s="532" t="n"/>
      <c r="O170" s="535" t="n"/>
      <c r="P170" s="535" t="n"/>
      <c r="Q170" s="535" t="n"/>
      <c r="R170" s="535" t="n"/>
      <c r="S170" s="535" t="n"/>
      <c r="T170" s="535" t="n"/>
      <c r="U170" s="535" t="n"/>
      <c r="V170" s="535" t="n"/>
      <c r="W170" s="535" t="n"/>
      <c r="X170" s="535" t="n"/>
      <c r="Y170" s="535" t="n"/>
      <c r="Z170" s="535" t="n"/>
      <c r="AA170" s="535" t="n"/>
      <c r="AB170" s="535" t="n"/>
      <c r="AC170" s="535" t="n"/>
      <c r="AD170" s="535" t="n"/>
      <c r="AE170" s="510" t="n"/>
      <c r="AF170" s="534" t="n"/>
      <c r="AG170" s="535" t="n"/>
      <c r="AH170" s="535" t="n"/>
      <c r="AI170" s="536" t="n"/>
      <c r="AJ170" s="510" t="n"/>
      <c r="AK170" s="536" t="n"/>
      <c r="AL170" s="536" t="n"/>
      <c r="AM170" s="536" t="n"/>
      <c r="AN170" s="536" t="n"/>
      <c r="AO170" s="536" t="n"/>
      <c r="AP170" s="536" t="n"/>
      <c r="AQ170" s="536" t="n"/>
      <c r="AR170" s="536" t="n"/>
      <c r="AS170" s="536" t="n"/>
      <c r="AT170" s="536" t="n"/>
      <c r="AU170" s="510" t="n"/>
      <c r="AV170" s="533" t="n"/>
      <c r="AW170" s="533" t="n"/>
      <c r="AX170" s="533" t="n"/>
      <c r="AY170" s="533" t="n"/>
      <c r="AZ170" s="533" t="n"/>
      <c r="BA170" s="510">
        <f>SUM(AV170:AZ170)</f>
        <v/>
      </c>
      <c r="BB170" s="534" t="n"/>
      <c r="BC170" s="535" t="n"/>
      <c r="BD170" s="535" t="n"/>
      <c r="BE170" s="535" t="n"/>
      <c r="BF170" s="510">
        <f>SUM(BB170:BE170)</f>
        <v/>
      </c>
      <c r="BG170" s="518" t="n"/>
      <c r="BH170" s="537">
        <f>H170+M170+AE170+AJ170+AU170+BA170+BF170</f>
        <v/>
      </c>
      <c r="BI170" s="528">
        <f>IF(E170-BH170&lt;0, BH170-E170, )</f>
        <v/>
      </c>
      <c r="BJ170" s="529">
        <f>IF(E170-BH170&lt;0, ,E170-BH170)</f>
        <v/>
      </c>
      <c r="BK170" s="530" t="n"/>
      <c r="BM170" s="523" t="n"/>
      <c r="BN170" s="523" t="n"/>
      <c r="BO170" s="523" t="n"/>
      <c r="BP170" s="523" t="n"/>
      <c r="BQ170" s="523" t="n"/>
      <c r="BR170" s="523" t="n"/>
      <c r="BS170" s="523" t="n"/>
      <c r="BT170" s="518">
        <f>SUM(BM170:BS170)</f>
        <v/>
      </c>
      <c r="BU170" s="518" t="n"/>
      <c r="BV170" s="523" t="n"/>
      <c r="BW170" s="523" t="n"/>
      <c r="BX170" s="523" t="n"/>
      <c r="BY170" s="523" t="n"/>
      <c r="BZ170" s="523" t="n"/>
      <c r="CA170" s="523" t="n"/>
      <c r="CB170" s="523" t="n"/>
      <c r="CC170" s="518">
        <f>SUM(BV170:CB170)</f>
        <v/>
      </c>
      <c r="CD170" s="518" t="n"/>
      <c r="CE170" s="523" t="n"/>
      <c r="CF170" s="523" t="n"/>
      <c r="CG170" s="523" t="n"/>
      <c r="CH170" s="523" t="n"/>
      <c r="CI170" s="523" t="n"/>
      <c r="CJ170" s="523" t="n"/>
      <c r="CK170" s="523" t="n"/>
      <c r="CL170" s="518">
        <f>SUM(CE170:CK170)</f>
        <v/>
      </c>
      <c r="CN170" s="525">
        <f>+H170-(BM170+BV170+CE170)</f>
        <v/>
      </c>
      <c r="CO170" s="525">
        <f>+M170-(BN170+BW170+CF170)</f>
        <v/>
      </c>
      <c r="CP170" s="525">
        <f>+AE170-(BO170+BX170+CG170)</f>
        <v/>
      </c>
      <c r="CQ170" s="525">
        <f>+AJ170-(BP170+BY170+CH170)</f>
        <v/>
      </c>
      <c r="CR170" s="525">
        <f>+AU170-(BQ170+BZ170+CI170)</f>
        <v/>
      </c>
      <c r="CS170" s="525">
        <f>+BA170-(BR170+CA170+CJ170)</f>
        <v/>
      </c>
      <c r="CT170" s="525">
        <f>+BF170-(BS170+CB170+CK170)</f>
        <v/>
      </c>
      <c r="CU170" s="525">
        <f>BT170+CC170+CL170</f>
        <v/>
      </c>
      <c r="CV170" s="525">
        <f>SUM(CN170:CT170)</f>
        <v/>
      </c>
    </row>
    <row r="171" ht="23.25" customFormat="1" customHeight="1" s="230">
      <c r="A171" s="324" t="inlineStr">
        <is>
          <t>MAT. PROPORCIONADO POR LDS</t>
        </is>
      </c>
      <c r="B171" s="324" t="n"/>
      <c r="C171" s="325" t="n"/>
      <c r="D171" s="326" t="n"/>
      <c r="E171" s="507" t="n"/>
      <c r="F171" s="538" t="n"/>
      <c r="G171" s="538" t="n"/>
      <c r="H171" s="539" t="n"/>
      <c r="I171" s="538" t="n"/>
      <c r="J171" s="538" t="n"/>
      <c r="K171" s="538" t="n"/>
      <c r="L171" s="538" t="n"/>
      <c r="M171" s="539" t="n"/>
      <c r="N171" s="538" t="n"/>
      <c r="O171" s="538" t="n"/>
      <c r="P171" s="538" t="n"/>
      <c r="Q171" s="538" t="n"/>
      <c r="R171" s="538" t="n"/>
      <c r="S171" s="538" t="n"/>
      <c r="T171" s="538" t="n"/>
      <c r="U171" s="538" t="n"/>
      <c r="V171" s="538" t="n"/>
      <c r="W171" s="538" t="n"/>
      <c r="X171" s="538" t="n"/>
      <c r="Y171" s="538" t="n"/>
      <c r="Z171" s="538" t="n"/>
      <c r="AA171" s="538" t="n"/>
      <c r="AB171" s="538" t="n"/>
      <c r="AC171" s="538" t="n"/>
      <c r="AD171" s="538" t="n"/>
      <c r="AE171" s="539" t="n"/>
      <c r="AF171" s="538" t="n"/>
      <c r="AG171" s="538" t="n"/>
      <c r="AH171" s="538" t="n"/>
      <c r="AI171" s="538" t="n"/>
      <c r="AJ171" s="539" t="n"/>
      <c r="AK171" s="538" t="n"/>
      <c r="AL171" s="538" t="n"/>
      <c r="AM171" s="538" t="n"/>
      <c r="AN171" s="538" t="n"/>
      <c r="AO171" s="538" t="n"/>
      <c r="AP171" s="538" t="n"/>
      <c r="AQ171" s="538" t="n"/>
      <c r="AR171" s="538" t="n"/>
      <c r="AS171" s="538" t="n"/>
      <c r="AT171" s="538" t="n"/>
      <c r="AU171" s="539" t="n"/>
      <c r="AV171" s="538" t="n"/>
      <c r="AW171" s="538" t="n"/>
      <c r="AX171" s="538" t="n"/>
      <c r="AY171" s="538" t="n"/>
      <c r="AZ171" s="538" t="n"/>
      <c r="BA171" s="539" t="n"/>
      <c r="BB171" s="538" t="n"/>
      <c r="BC171" s="538" t="n"/>
      <c r="BD171" s="538" t="n"/>
      <c r="BE171" s="538" t="n"/>
      <c r="BF171" s="539" t="n"/>
      <c r="BG171" s="540" t="n"/>
      <c r="BH171" s="540" t="n"/>
      <c r="BI171" s="541" t="n"/>
      <c r="BJ171" s="541" t="n"/>
      <c r="BK171" s="542" t="n"/>
      <c r="BM171" s="543" t="n"/>
      <c r="BN171" s="543" t="n"/>
      <c r="BO171" s="543" t="n"/>
      <c r="BP171" s="543" t="n"/>
      <c r="BQ171" s="543" t="n"/>
      <c r="BR171" s="543" t="n"/>
      <c r="BS171" s="543" t="n"/>
      <c r="BT171" s="540" t="n"/>
      <c r="BU171" s="540" t="n"/>
      <c r="BV171" s="543" t="n"/>
      <c r="BW171" s="543" t="n"/>
      <c r="BX171" s="543" t="n"/>
      <c r="BY171" s="543" t="n"/>
      <c r="BZ171" s="543" t="n"/>
      <c r="CA171" s="543" t="n"/>
      <c r="CB171" s="543" t="n"/>
      <c r="CC171" s="540" t="n"/>
      <c r="CD171" s="540" t="n"/>
      <c r="CE171" s="543" t="n"/>
      <c r="CF171" s="543" t="n"/>
      <c r="CG171" s="543" t="n"/>
      <c r="CH171" s="543" t="n"/>
      <c r="CI171" s="543" t="n"/>
      <c r="CJ171" s="543" t="n"/>
      <c r="CK171" s="543" t="n"/>
      <c r="CL171" s="540" t="n"/>
      <c r="CN171" s="544" t="n"/>
      <c r="CO171" s="544" t="n"/>
      <c r="CP171" s="544" t="n"/>
      <c r="CQ171" s="544" t="n"/>
      <c r="CR171" s="544" t="n"/>
      <c r="CS171" s="544" t="n"/>
      <c r="CT171" s="544" t="n"/>
      <c r="CU171" s="544" t="n"/>
      <c r="CV171" s="544" t="n"/>
    </row>
    <row r="172" ht="21" customFormat="1" customHeight="1" s="230">
      <c r="A172" s="453" t="n"/>
      <c r="B172" s="309" t="n"/>
      <c r="C172" s="287">
        <f>IF($A172=0,"",(VLOOKUP(A172,[3]MAT!$B$5:$D$4756,3,FALSE)))</f>
        <v/>
      </c>
      <c r="D172" s="334">
        <f>IF($A172=0,"",(VLOOKUP(A172,[4]Hoja1!$A$2:$D$10000,4,FALSE)))</f>
        <v/>
      </c>
      <c r="E172" s="507" t="n"/>
      <c r="F172" s="526" t="n"/>
      <c r="G172" s="527" t="n"/>
      <c r="H172" s="510" t="n"/>
      <c r="I172" s="511" t="n"/>
      <c r="J172" s="512" t="n"/>
      <c r="K172" s="512" t="n"/>
      <c r="L172" s="513" t="n"/>
      <c r="M172" s="510" t="n"/>
      <c r="N172" s="526" t="n"/>
      <c r="O172" s="512" t="n"/>
      <c r="P172" s="512" t="n"/>
      <c r="Q172" s="512" t="n"/>
      <c r="R172" s="512" t="n"/>
      <c r="S172" s="512" t="n"/>
      <c r="T172" s="512" t="n"/>
      <c r="U172" s="512" t="n"/>
      <c r="V172" s="512" t="n"/>
      <c r="W172" s="512" t="n"/>
      <c r="X172" s="512" t="n"/>
      <c r="Y172" s="512" t="n"/>
      <c r="Z172" s="512" t="n"/>
      <c r="AA172" s="512" t="n"/>
      <c r="AB172" s="512" t="n"/>
      <c r="AC172" s="512" t="n"/>
      <c r="AD172" s="512" t="n"/>
      <c r="AE172" s="510" t="n"/>
      <c r="AF172" s="511" t="n"/>
      <c r="AG172" s="512" t="n"/>
      <c r="AH172" s="512" t="n"/>
      <c r="AI172" s="513" t="n"/>
      <c r="AJ172" s="510" t="n"/>
      <c r="AK172" s="513" t="n"/>
      <c r="AL172" s="513" t="n"/>
      <c r="AM172" s="513" t="n"/>
      <c r="AN172" s="513" t="n"/>
      <c r="AO172" s="513" t="n"/>
      <c r="AP172" s="513" t="n"/>
      <c r="AQ172" s="513" t="n"/>
      <c r="AR172" s="513" t="n"/>
      <c r="AS172" s="513" t="n"/>
      <c r="AT172" s="513" t="n"/>
      <c r="AU172" s="510" t="n"/>
      <c r="AV172" s="527" t="n"/>
      <c r="AW172" s="527" t="n"/>
      <c r="AX172" s="527" t="n"/>
      <c r="AY172" s="527" t="n"/>
      <c r="AZ172" s="527" t="n"/>
      <c r="BA172" s="510">
        <f>SUM(AV172:AZ172)</f>
        <v/>
      </c>
      <c r="BB172" s="511" t="n"/>
      <c r="BC172" s="512" t="n"/>
      <c r="BD172" s="512" t="n"/>
      <c r="BE172" s="512" t="n"/>
      <c r="BF172" s="510">
        <f>SUM(BB172:BE172)</f>
        <v/>
      </c>
      <c r="BG172" s="518" t="n"/>
      <c r="BH172" s="545">
        <f>H172+M172+AE172+AJ172+AU172+BA172+BF172</f>
        <v/>
      </c>
      <c r="BI172" s="528">
        <f>IF(E172-BH172&lt;0, BH172-E172, )</f>
        <v/>
      </c>
      <c r="BJ172" s="529">
        <f>IF(E172-BH172&lt;0, ,E172-BH172)</f>
        <v/>
      </c>
      <c r="BK172" s="546" t="n"/>
      <c r="BM172" s="547" t="n"/>
      <c r="BN172" s="547" t="n"/>
      <c r="BO172" s="547" t="n"/>
      <c r="BP172" s="547" t="n"/>
      <c r="BQ172" s="547" t="n"/>
      <c r="BR172" s="547" t="n"/>
      <c r="BS172" s="547" t="n"/>
      <c r="BT172" s="518">
        <f>SUM(BM172:BS172)</f>
        <v/>
      </c>
      <c r="BU172" s="518" t="n"/>
      <c r="BV172" s="547" t="n"/>
      <c r="BW172" s="547" t="n"/>
      <c r="BX172" s="547" t="n"/>
      <c r="BY172" s="547" t="n"/>
      <c r="BZ172" s="547" t="n"/>
      <c r="CA172" s="547" t="n"/>
      <c r="CB172" s="547" t="n"/>
      <c r="CC172" s="518">
        <f>SUM(BV172:CB172)</f>
        <v/>
      </c>
      <c r="CD172" s="518" t="n"/>
      <c r="CE172" s="547" t="n"/>
      <c r="CF172" s="547" t="n"/>
      <c r="CG172" s="547" t="n"/>
      <c r="CH172" s="547" t="n"/>
      <c r="CI172" s="547" t="n"/>
      <c r="CJ172" s="547" t="n"/>
      <c r="CK172" s="547" t="n"/>
      <c r="CL172" s="518">
        <f>SUM(CE172:CK172)</f>
        <v/>
      </c>
      <c r="CN172" s="525">
        <f>+H172-(BM172+BV172+CE172)</f>
        <v/>
      </c>
      <c r="CO172" s="525">
        <f>+M172-(BN172+BW172+CF172)</f>
        <v/>
      </c>
      <c r="CP172" s="525">
        <f>+AE172-(BO172+BX172+CG172)</f>
        <v/>
      </c>
      <c r="CQ172" s="525">
        <f>+AJ172-(BP172+BY172+CH172)</f>
        <v/>
      </c>
      <c r="CR172" s="525">
        <f>+AU172-(BQ172+BZ172+CI172)</f>
        <v/>
      </c>
      <c r="CS172" s="525">
        <f>+BA172-(BR172+CA172+CJ172)</f>
        <v/>
      </c>
      <c r="CT172" s="525">
        <f>+BF172-(BS172+CB172+CK172)</f>
        <v/>
      </c>
      <c r="CU172" s="525">
        <f>BT172+CC172+CL172</f>
        <v/>
      </c>
      <c r="CV172" s="525">
        <f>SUM(CN172:CT172)</f>
        <v/>
      </c>
    </row>
    <row r="173" ht="21" customFormat="1" customHeight="1" s="230">
      <c r="A173" s="453" t="n"/>
      <c r="B173" s="309" t="n"/>
      <c r="C173" s="287">
        <f>IF($A173=0,"",(VLOOKUP(A173,[3]MAT!$B$5:$D$4756,3,FALSE)))</f>
        <v/>
      </c>
      <c r="D173" s="288">
        <f>IF($A173=0,"",(VLOOKUP(A173,[4]Hoja1!$A$2:$D$10000,4,FALSE)))</f>
        <v/>
      </c>
      <c r="E173" s="507" t="n"/>
      <c r="F173" s="526" t="n"/>
      <c r="G173" s="527" t="n"/>
      <c r="H173" s="510" t="n"/>
      <c r="I173" s="511" t="n"/>
      <c r="J173" s="512" t="n"/>
      <c r="K173" s="512" t="n"/>
      <c r="L173" s="513" t="n"/>
      <c r="M173" s="510" t="n"/>
      <c r="N173" s="511" t="n"/>
      <c r="O173" s="512" t="n"/>
      <c r="P173" s="512" t="n"/>
      <c r="Q173" s="512" t="n"/>
      <c r="R173" s="512" t="n"/>
      <c r="S173" s="512" t="n"/>
      <c r="T173" s="512" t="n"/>
      <c r="U173" s="512" t="n"/>
      <c r="V173" s="512" t="n"/>
      <c r="W173" s="512" t="n"/>
      <c r="X173" s="512" t="n"/>
      <c r="Y173" s="512" t="n"/>
      <c r="Z173" s="512" t="n"/>
      <c r="AA173" s="512" t="n"/>
      <c r="AB173" s="512" t="n"/>
      <c r="AC173" s="512" t="n"/>
      <c r="AD173" s="512" t="n"/>
      <c r="AE173" s="510" t="n"/>
      <c r="AF173" s="511" t="n"/>
      <c r="AG173" s="512" t="n"/>
      <c r="AH173" s="512" t="n"/>
      <c r="AI173" s="513" t="n"/>
      <c r="AJ173" s="510" t="n"/>
      <c r="AK173" s="513" t="n"/>
      <c r="AL173" s="513" t="n"/>
      <c r="AM173" s="513" t="n"/>
      <c r="AN173" s="513" t="n"/>
      <c r="AO173" s="513" t="n"/>
      <c r="AP173" s="513" t="n"/>
      <c r="AQ173" s="513" t="n"/>
      <c r="AR173" s="513" t="n"/>
      <c r="AS173" s="513" t="n"/>
      <c r="AT173" s="513" t="n"/>
      <c r="AU173" s="510" t="n"/>
      <c r="AV173" s="527" t="n"/>
      <c r="AW173" s="527" t="n"/>
      <c r="AX173" s="527" t="n"/>
      <c r="AY173" s="527" t="n"/>
      <c r="AZ173" s="527" t="n"/>
      <c r="BA173" s="510">
        <f>SUM(AV173:AZ173)</f>
        <v/>
      </c>
      <c r="BB173" s="511" t="n"/>
      <c r="BC173" s="512" t="n"/>
      <c r="BD173" s="512" t="n"/>
      <c r="BE173" s="512" t="n"/>
      <c r="BF173" s="510">
        <f>SUM(BB173:BE173)</f>
        <v/>
      </c>
      <c r="BG173" s="518" t="n"/>
      <c r="BH173" s="519">
        <f>H173+M173+AE173+AJ173+AU173+BA173+BF173</f>
        <v/>
      </c>
      <c r="BI173" s="528">
        <f>IF(E173-BH173&lt;0, BH173-E173, )</f>
        <v/>
      </c>
      <c r="BJ173" s="529">
        <f>IF(E173-BH173&lt;0, ,E173-BH173)</f>
        <v/>
      </c>
      <c r="BK173" s="546" t="n"/>
      <c r="BM173" s="523" t="n"/>
      <c r="BN173" s="523" t="n"/>
      <c r="BO173" s="523" t="n"/>
      <c r="BP173" s="523" t="n"/>
      <c r="BQ173" s="523" t="n"/>
      <c r="BR173" s="523" t="n"/>
      <c r="BS173" s="523" t="n"/>
      <c r="BT173" s="518">
        <f>SUM(BM173:BS173)</f>
        <v/>
      </c>
      <c r="BU173" s="518" t="n"/>
      <c r="BV173" s="523" t="n"/>
      <c r="BW173" s="523" t="n"/>
      <c r="BX173" s="523" t="n"/>
      <c r="BY173" s="523" t="n"/>
      <c r="BZ173" s="523" t="n"/>
      <c r="CA173" s="523" t="n"/>
      <c r="CB173" s="523" t="n"/>
      <c r="CC173" s="518">
        <f>SUM(BV173:CB173)</f>
        <v/>
      </c>
      <c r="CD173" s="518" t="n"/>
      <c r="CE173" s="523" t="n"/>
      <c r="CF173" s="523" t="n"/>
      <c r="CG173" s="523" t="n"/>
      <c r="CH173" s="523" t="n"/>
      <c r="CI173" s="523" t="n"/>
      <c r="CJ173" s="523" t="n"/>
      <c r="CK173" s="523" t="n"/>
      <c r="CL173" s="518">
        <f>SUM(CE173:CK173)</f>
        <v/>
      </c>
      <c r="CN173" s="525">
        <f>+H173-(BM173+BV173+CE173)</f>
        <v/>
      </c>
      <c r="CO173" s="525">
        <f>+M173-(BN173+BW173+CF173)</f>
        <v/>
      </c>
      <c r="CP173" s="525">
        <f>+AE173-(BO173+BX173+CG173)</f>
        <v/>
      </c>
      <c r="CQ173" s="525">
        <f>+AJ173-(BP173+BY173+CH173)</f>
        <v/>
      </c>
      <c r="CR173" s="525">
        <f>+AU173-(BQ173+BZ173+CI173)</f>
        <v/>
      </c>
      <c r="CS173" s="525">
        <f>+BA173-(BR173+CA173+CJ173)</f>
        <v/>
      </c>
      <c r="CT173" s="525">
        <f>+BF173-(BS173+CB173+CK173)</f>
        <v/>
      </c>
      <c r="CU173" s="525">
        <f>BT173+CC173+CL173</f>
        <v/>
      </c>
      <c r="CV173" s="525">
        <f>SUM(CN173:CT173)</f>
        <v/>
      </c>
    </row>
    <row r="174" ht="21.75" customFormat="1" customHeight="1" s="230">
      <c r="A174" s="453" t="n"/>
      <c r="B174" s="309" t="n"/>
      <c r="C174" s="287">
        <f>IF($A174=0,"",(VLOOKUP(A174,[3]MAT!$B$5:$D$4756,3,FALSE)))</f>
        <v/>
      </c>
      <c r="D174" s="288">
        <f>IF($A174=0,"",(VLOOKUP(A174,[4]Hoja1!$A$2:$D$10000,4,FALSE)))</f>
        <v/>
      </c>
      <c r="E174" s="507" t="n"/>
      <c r="F174" s="526" t="n"/>
      <c r="G174" s="527" t="n"/>
      <c r="H174" s="510" t="n"/>
      <c r="I174" s="511" t="n"/>
      <c r="J174" s="512" t="n"/>
      <c r="K174" s="512" t="n"/>
      <c r="L174" s="513" t="n"/>
      <c r="M174" s="510" t="n"/>
      <c r="N174" s="511" t="n"/>
      <c r="O174" s="512" t="n"/>
      <c r="P174" s="512" t="n"/>
      <c r="Q174" s="512" t="n"/>
      <c r="R174" s="512" t="n"/>
      <c r="S174" s="512" t="n"/>
      <c r="T174" s="512" t="n"/>
      <c r="U174" s="512" t="n"/>
      <c r="V174" s="512" t="n"/>
      <c r="W174" s="512" t="n"/>
      <c r="X174" s="512" t="n"/>
      <c r="Y174" s="512" t="n"/>
      <c r="Z174" s="512" t="n"/>
      <c r="AA174" s="512" t="n"/>
      <c r="AB174" s="512" t="n"/>
      <c r="AC174" s="512" t="n"/>
      <c r="AD174" s="512" t="n"/>
      <c r="AE174" s="510" t="n"/>
      <c r="AF174" s="511" t="n"/>
      <c r="AG174" s="512" t="n"/>
      <c r="AH174" s="512" t="n"/>
      <c r="AI174" s="513" t="n"/>
      <c r="AJ174" s="510" t="n"/>
      <c r="AK174" s="513" t="n"/>
      <c r="AL174" s="513" t="n"/>
      <c r="AM174" s="513" t="n"/>
      <c r="AN174" s="513" t="n"/>
      <c r="AO174" s="513" t="n"/>
      <c r="AP174" s="513" t="n"/>
      <c r="AQ174" s="513" t="n"/>
      <c r="AR174" s="513" t="n"/>
      <c r="AS174" s="513" t="n"/>
      <c r="AT174" s="513" t="n"/>
      <c r="AU174" s="510" t="n"/>
      <c r="AV174" s="527" t="n"/>
      <c r="AW174" s="527" t="n"/>
      <c r="AX174" s="527" t="n"/>
      <c r="AY174" s="527" t="n"/>
      <c r="AZ174" s="527" t="n"/>
      <c r="BA174" s="510">
        <f>SUM(AV174:AZ174)</f>
        <v/>
      </c>
      <c r="BB174" s="511" t="n"/>
      <c r="BC174" s="512" t="n"/>
      <c r="BD174" s="512" t="n"/>
      <c r="BE174" s="512" t="n"/>
      <c r="BF174" s="510">
        <f>SUM(BB174:BE174)</f>
        <v/>
      </c>
      <c r="BG174" s="518" t="n"/>
      <c r="BH174" s="519">
        <f>H174+M174+AE174+AJ174+AU174+BA174+BF174</f>
        <v/>
      </c>
      <c r="BI174" s="528">
        <f>IF(E174-BH174&lt;0, BH174-E174, )</f>
        <v/>
      </c>
      <c r="BJ174" s="529">
        <f>IF(E174-BH174&lt;0, ,E174-BH174)</f>
        <v/>
      </c>
      <c r="BK174" s="546" t="n"/>
      <c r="BM174" s="523" t="n"/>
      <c r="BN174" s="523" t="n"/>
      <c r="BO174" s="523" t="n"/>
      <c r="BP174" s="523" t="n"/>
      <c r="BQ174" s="523" t="n"/>
      <c r="BR174" s="523" t="n"/>
      <c r="BS174" s="523" t="n"/>
      <c r="BT174" s="518">
        <f>SUM(BM174:BS174)</f>
        <v/>
      </c>
      <c r="BU174" s="518" t="n"/>
      <c r="BV174" s="523" t="n"/>
      <c r="BW174" s="523" t="n"/>
      <c r="BX174" s="523" t="n"/>
      <c r="BY174" s="523" t="n"/>
      <c r="BZ174" s="523" t="n"/>
      <c r="CA174" s="523" t="n"/>
      <c r="CB174" s="523" t="n"/>
      <c r="CC174" s="518">
        <f>SUM(BV174:CB174)</f>
        <v/>
      </c>
      <c r="CD174" s="518" t="n"/>
      <c r="CE174" s="523" t="n"/>
      <c r="CF174" s="523" t="n"/>
      <c r="CG174" s="523" t="n"/>
      <c r="CH174" s="523" t="n"/>
      <c r="CI174" s="523" t="n"/>
      <c r="CJ174" s="523" t="n"/>
      <c r="CK174" s="523" t="n"/>
      <c r="CL174" s="518">
        <f>SUM(CE174:CK174)</f>
        <v/>
      </c>
      <c r="CN174" s="525">
        <f>+H174-(BM174+BV174+CE174)</f>
        <v/>
      </c>
      <c r="CO174" s="525">
        <f>+M174-(BN174+BW174+CF174)</f>
        <v/>
      </c>
      <c r="CP174" s="525">
        <f>+AE174-(BO174+BX174+CG174)</f>
        <v/>
      </c>
      <c r="CQ174" s="525">
        <f>+AJ174-(BP174+BY174+CH174)</f>
        <v/>
      </c>
      <c r="CR174" s="525">
        <f>+AU174-(BQ174+BZ174+CI174)</f>
        <v/>
      </c>
      <c r="CS174" s="525">
        <f>+BA174-(BR174+CA174+CJ174)</f>
        <v/>
      </c>
      <c r="CT174" s="525">
        <f>+BF174-(BS174+CB174+CK174)</f>
        <v/>
      </c>
      <c r="CU174" s="525">
        <f>BT174+CC174+CL174</f>
        <v/>
      </c>
      <c r="CV174" s="525">
        <f>SUM(CN174:CT174)</f>
        <v/>
      </c>
    </row>
    <row r="175" ht="21" customFormat="1" customHeight="1" s="230">
      <c r="A175" s="453" t="n"/>
      <c r="B175" s="309" t="n"/>
      <c r="C175" s="287">
        <f>IF($A175=0,"",(VLOOKUP(A175,[3]MAT!$B$5:$D$4756,3,FALSE)))</f>
        <v/>
      </c>
      <c r="D175" s="288">
        <f>IF($A175=0,"",(VLOOKUP(A175,[4]Hoja1!$A$2:$D$10000,4,FALSE)))</f>
        <v/>
      </c>
      <c r="E175" s="507" t="n"/>
      <c r="F175" s="526" t="n"/>
      <c r="G175" s="527" t="n"/>
      <c r="H175" s="510" t="n"/>
      <c r="I175" s="511" t="n"/>
      <c r="J175" s="512" t="n"/>
      <c r="K175" s="512" t="n"/>
      <c r="L175" s="513" t="n"/>
      <c r="M175" s="510" t="n"/>
      <c r="N175" s="511" t="n"/>
      <c r="O175" s="512" t="n"/>
      <c r="P175" s="512" t="n"/>
      <c r="Q175" s="512" t="n"/>
      <c r="R175" s="512" t="n"/>
      <c r="S175" s="512" t="n"/>
      <c r="T175" s="512" t="n"/>
      <c r="U175" s="512" t="n"/>
      <c r="V175" s="512" t="n"/>
      <c r="W175" s="512" t="n"/>
      <c r="X175" s="512" t="n"/>
      <c r="Y175" s="512" t="n"/>
      <c r="Z175" s="512" t="n"/>
      <c r="AA175" s="512" t="n"/>
      <c r="AB175" s="512" t="n"/>
      <c r="AC175" s="512" t="n"/>
      <c r="AD175" s="512" t="n"/>
      <c r="AE175" s="510" t="n"/>
      <c r="AF175" s="511" t="n"/>
      <c r="AG175" s="512" t="n"/>
      <c r="AH175" s="512" t="n"/>
      <c r="AI175" s="513" t="n"/>
      <c r="AJ175" s="510" t="n"/>
      <c r="AK175" s="513" t="n"/>
      <c r="AL175" s="513" t="n"/>
      <c r="AM175" s="513" t="n"/>
      <c r="AN175" s="513" t="n"/>
      <c r="AO175" s="513" t="n"/>
      <c r="AP175" s="513" t="n"/>
      <c r="AQ175" s="513" t="n"/>
      <c r="AR175" s="513" t="n"/>
      <c r="AS175" s="513" t="n"/>
      <c r="AT175" s="513" t="n"/>
      <c r="AU175" s="510" t="n"/>
      <c r="AV175" s="527" t="n"/>
      <c r="AW175" s="527" t="n"/>
      <c r="AX175" s="527" t="n"/>
      <c r="AY175" s="527" t="n"/>
      <c r="AZ175" s="527" t="n"/>
      <c r="BA175" s="510">
        <f>SUM(AV175:AZ175)</f>
        <v/>
      </c>
      <c r="BB175" s="511" t="n"/>
      <c r="BC175" s="512" t="n"/>
      <c r="BD175" s="512" t="n"/>
      <c r="BE175" s="512" t="n"/>
      <c r="BF175" s="510">
        <f>SUM(BB175:BE175)</f>
        <v/>
      </c>
      <c r="BG175" s="518" t="n"/>
      <c r="BH175" s="519">
        <f>H175+M175+AE175+AJ175+AU175+BA175+BF175</f>
        <v/>
      </c>
      <c r="BI175" s="528">
        <f>IF(E175-BH175&lt;0, BH175-E175, )</f>
        <v/>
      </c>
      <c r="BJ175" s="529">
        <f>IF(E175-BH175&lt;0, ,E175-BH175)</f>
        <v/>
      </c>
      <c r="BK175" s="546" t="n"/>
      <c r="BM175" s="523" t="n"/>
      <c r="BN175" s="523" t="n"/>
      <c r="BO175" s="523" t="n"/>
      <c r="BP175" s="523" t="n"/>
      <c r="BQ175" s="523" t="n"/>
      <c r="BR175" s="523" t="n"/>
      <c r="BS175" s="523" t="n"/>
      <c r="BT175" s="518">
        <f>SUM(BM175:BS175)</f>
        <v/>
      </c>
      <c r="BU175" s="518" t="n"/>
      <c r="BV175" s="523" t="n"/>
      <c r="BW175" s="523" t="n"/>
      <c r="BX175" s="523" t="n"/>
      <c r="BY175" s="523" t="n"/>
      <c r="BZ175" s="523" t="n"/>
      <c r="CA175" s="523" t="n"/>
      <c r="CB175" s="523" t="n"/>
      <c r="CC175" s="518">
        <f>SUM(BV175:CB175)</f>
        <v/>
      </c>
      <c r="CD175" s="518" t="n"/>
      <c r="CE175" s="523" t="n"/>
      <c r="CF175" s="523" t="n"/>
      <c r="CG175" s="523" t="n"/>
      <c r="CH175" s="523" t="n"/>
      <c r="CI175" s="523" t="n"/>
      <c r="CJ175" s="523" t="n"/>
      <c r="CK175" s="523" t="n"/>
      <c r="CL175" s="518">
        <f>SUM(CE175:CK175)</f>
        <v/>
      </c>
      <c r="CN175" s="525">
        <f>+H175-(BM175+BV175+CE175)</f>
        <v/>
      </c>
      <c r="CO175" s="525">
        <f>+M175-(BN175+BW175+CF175)</f>
        <v/>
      </c>
      <c r="CP175" s="525">
        <f>+AE175-(BO175+BX175+CG175)</f>
        <v/>
      </c>
      <c r="CQ175" s="525">
        <f>+AJ175-(BP175+BY175+CH175)</f>
        <v/>
      </c>
      <c r="CR175" s="525">
        <f>+AU175-(BQ175+BZ175+CI175)</f>
        <v/>
      </c>
      <c r="CS175" s="525">
        <f>+BA175-(BR175+CA175+CJ175)</f>
        <v/>
      </c>
      <c r="CT175" s="525">
        <f>+BF175-(BS175+CB175+CK175)</f>
        <v/>
      </c>
      <c r="CU175" s="525">
        <f>BT175+CC175+CL175</f>
        <v/>
      </c>
      <c r="CV175" s="525">
        <f>SUM(CN175:CT175)</f>
        <v/>
      </c>
    </row>
    <row r="176" ht="21" customFormat="1" customHeight="1" s="230">
      <c r="A176" s="453" t="n"/>
      <c r="B176" s="309" t="n"/>
      <c r="C176" s="287">
        <f>IF($A176=0,"",(VLOOKUP(A176,[3]MAT!$B$5:$D$4756,3,FALSE)))</f>
        <v/>
      </c>
      <c r="D176" s="288">
        <f>IF($A176=0,"",(VLOOKUP(A176,[4]Hoja1!$A$2:$D$10000,4,FALSE)))</f>
        <v/>
      </c>
      <c r="E176" s="507" t="n"/>
      <c r="F176" s="526" t="n"/>
      <c r="G176" s="527" t="n"/>
      <c r="H176" s="510" t="n"/>
      <c r="I176" s="511" t="n"/>
      <c r="J176" s="512" t="n"/>
      <c r="K176" s="512" t="n"/>
      <c r="L176" s="513" t="n"/>
      <c r="M176" s="510" t="n"/>
      <c r="N176" s="511" t="n"/>
      <c r="O176" s="512" t="n"/>
      <c r="P176" s="512" t="n"/>
      <c r="Q176" s="512" t="n"/>
      <c r="R176" s="512" t="n"/>
      <c r="S176" s="512" t="n"/>
      <c r="T176" s="512" t="n"/>
      <c r="U176" s="512" t="n"/>
      <c r="V176" s="512" t="n"/>
      <c r="W176" s="512" t="n"/>
      <c r="X176" s="512" t="n"/>
      <c r="Y176" s="512" t="n"/>
      <c r="Z176" s="512" t="n"/>
      <c r="AA176" s="512" t="n"/>
      <c r="AB176" s="512" t="n"/>
      <c r="AC176" s="512" t="n"/>
      <c r="AD176" s="512" t="n"/>
      <c r="AE176" s="510" t="n"/>
      <c r="AF176" s="511" t="n"/>
      <c r="AG176" s="512" t="n"/>
      <c r="AH176" s="512" t="n"/>
      <c r="AI176" s="513" t="n"/>
      <c r="AJ176" s="510" t="n"/>
      <c r="AK176" s="513" t="n"/>
      <c r="AL176" s="513" t="n"/>
      <c r="AM176" s="513" t="n"/>
      <c r="AN176" s="513" t="n"/>
      <c r="AO176" s="513" t="n"/>
      <c r="AP176" s="513" t="n"/>
      <c r="AQ176" s="513" t="n"/>
      <c r="AR176" s="513" t="n"/>
      <c r="AS176" s="513" t="n"/>
      <c r="AT176" s="513" t="n"/>
      <c r="AU176" s="510" t="n"/>
      <c r="AV176" s="527" t="n"/>
      <c r="AW176" s="527" t="n"/>
      <c r="AX176" s="527" t="n"/>
      <c r="AY176" s="527" t="n"/>
      <c r="AZ176" s="527" t="n"/>
      <c r="BA176" s="510">
        <f>SUM(AV176:AZ176)</f>
        <v/>
      </c>
      <c r="BB176" s="511" t="n"/>
      <c r="BC176" s="512" t="n"/>
      <c r="BD176" s="512" t="n"/>
      <c r="BE176" s="512" t="n"/>
      <c r="BF176" s="510">
        <f>SUM(BB176:BE176)</f>
        <v/>
      </c>
      <c r="BG176" s="518" t="n"/>
      <c r="BH176" s="519">
        <f>H176+M176+AE176+AJ176+AU176+BA176+BF176</f>
        <v/>
      </c>
      <c r="BI176" s="528">
        <f>IF(E176-BH176&lt;0, BH176-E176, )</f>
        <v/>
      </c>
      <c r="BJ176" s="529">
        <f>IF(E176-BH176&lt;0, ,E176-BH176)</f>
        <v/>
      </c>
      <c r="BK176" s="546" t="n"/>
      <c r="BM176" s="523" t="n"/>
      <c r="BN176" s="523" t="n"/>
      <c r="BO176" s="523" t="n"/>
      <c r="BP176" s="523" t="n"/>
      <c r="BQ176" s="523" t="n"/>
      <c r="BR176" s="523" t="n"/>
      <c r="BS176" s="523" t="n"/>
      <c r="BT176" s="518">
        <f>SUM(BM176:BS176)</f>
        <v/>
      </c>
      <c r="BU176" s="518" t="n"/>
      <c r="BV176" s="523" t="n"/>
      <c r="BW176" s="523" t="n"/>
      <c r="BX176" s="523" t="n"/>
      <c r="BY176" s="523" t="n"/>
      <c r="BZ176" s="523" t="n"/>
      <c r="CA176" s="523" t="n"/>
      <c r="CB176" s="523" t="n"/>
      <c r="CC176" s="518">
        <f>SUM(BV176:CB176)</f>
        <v/>
      </c>
      <c r="CD176" s="518" t="n"/>
      <c r="CE176" s="523" t="n"/>
      <c r="CF176" s="523" t="n"/>
      <c r="CG176" s="523" t="n"/>
      <c r="CH176" s="523" t="n"/>
      <c r="CI176" s="523" t="n"/>
      <c r="CJ176" s="523" t="n"/>
      <c r="CK176" s="523" t="n"/>
      <c r="CL176" s="518">
        <f>SUM(CE176:CK176)</f>
        <v/>
      </c>
      <c r="CN176" s="525">
        <f>+H176-(BM176+BV176+CE176)</f>
        <v/>
      </c>
      <c r="CO176" s="525">
        <f>+M176-(BN176+BW176+CF176)</f>
        <v/>
      </c>
      <c r="CP176" s="525">
        <f>+AE176-(BO176+BX176+CG176)</f>
        <v/>
      </c>
      <c r="CQ176" s="525">
        <f>+AJ176-(BP176+BY176+CH176)</f>
        <v/>
      </c>
      <c r="CR176" s="525">
        <f>+AU176-(BQ176+BZ176+CI176)</f>
        <v/>
      </c>
      <c r="CS176" s="525">
        <f>+BA176-(BR176+CA176+CJ176)</f>
        <v/>
      </c>
      <c r="CT176" s="525">
        <f>+BF176-(BS176+CB176+CK176)</f>
        <v/>
      </c>
      <c r="CU176" s="525">
        <f>BT176+CC176+CL176</f>
        <v/>
      </c>
      <c r="CV176" s="525">
        <f>SUM(CN176:CT176)</f>
        <v/>
      </c>
    </row>
    <row r="177" ht="21" customFormat="1" customHeight="1" s="230">
      <c r="A177" s="453" t="n"/>
      <c r="B177" s="309" t="n"/>
      <c r="C177" s="287">
        <f>IF($A177=0,"",(VLOOKUP(A177,[3]MAT!$B$5:$D$4756,3,FALSE)))</f>
        <v/>
      </c>
      <c r="D177" s="288">
        <f>IF($A177=0,"",(VLOOKUP(A177,[4]Hoja1!$A$2:$D$10000,4,FALSE)))</f>
        <v/>
      </c>
      <c r="E177" s="507" t="n"/>
      <c r="F177" s="526" t="n"/>
      <c r="G177" s="527" t="n"/>
      <c r="H177" s="510" t="n"/>
      <c r="I177" s="511" t="n"/>
      <c r="J177" s="512" t="n"/>
      <c r="K177" s="512" t="n"/>
      <c r="L177" s="513" t="n"/>
      <c r="M177" s="510" t="n"/>
      <c r="N177" s="511" t="n"/>
      <c r="O177" s="512" t="n"/>
      <c r="P177" s="512" t="n"/>
      <c r="Q177" s="512" t="n"/>
      <c r="R177" s="512" t="n"/>
      <c r="S177" s="512" t="n"/>
      <c r="T177" s="512" t="n"/>
      <c r="U177" s="512" t="n"/>
      <c r="V177" s="512" t="n"/>
      <c r="W177" s="512" t="n"/>
      <c r="X177" s="512" t="n"/>
      <c r="Y177" s="512" t="n"/>
      <c r="Z177" s="512" t="n"/>
      <c r="AA177" s="512" t="n"/>
      <c r="AB177" s="512" t="n"/>
      <c r="AC177" s="512" t="n"/>
      <c r="AD177" s="512" t="n"/>
      <c r="AE177" s="510" t="n"/>
      <c r="AF177" s="511" t="n"/>
      <c r="AG177" s="512" t="n"/>
      <c r="AH177" s="512" t="n"/>
      <c r="AI177" s="513" t="n"/>
      <c r="AJ177" s="510" t="n"/>
      <c r="AK177" s="513" t="n"/>
      <c r="AL177" s="513" t="n"/>
      <c r="AM177" s="513" t="n"/>
      <c r="AN177" s="513" t="n"/>
      <c r="AO177" s="513" t="n"/>
      <c r="AP177" s="513" t="n"/>
      <c r="AQ177" s="513" t="n"/>
      <c r="AR177" s="513" t="n"/>
      <c r="AS177" s="513" t="n"/>
      <c r="AT177" s="513" t="n"/>
      <c r="AU177" s="510" t="n"/>
      <c r="AV177" s="527" t="n"/>
      <c r="AW177" s="527" t="n"/>
      <c r="AX177" s="527" t="n"/>
      <c r="AY177" s="527" t="n"/>
      <c r="AZ177" s="527" t="n"/>
      <c r="BA177" s="510">
        <f>SUM(AV177:AZ177)</f>
        <v/>
      </c>
      <c r="BB177" s="511" t="n"/>
      <c r="BC177" s="512" t="n"/>
      <c r="BD177" s="512" t="n"/>
      <c r="BE177" s="512" t="n"/>
      <c r="BF177" s="510">
        <f>SUM(BB177:BE177)</f>
        <v/>
      </c>
      <c r="BG177" s="518" t="n"/>
      <c r="BH177" s="519">
        <f>H177+M177+AE177+AJ177+AU177+BA177+BF177</f>
        <v/>
      </c>
      <c r="BI177" s="528">
        <f>IF(E177-BH177&lt;0, BH177-E177, )</f>
        <v/>
      </c>
      <c r="BJ177" s="529">
        <f>IF(E177-BH177&lt;0, ,E177-BH177)</f>
        <v/>
      </c>
      <c r="BK177" s="546" t="n"/>
      <c r="BM177" s="523" t="n"/>
      <c r="BN177" s="523" t="n"/>
      <c r="BO177" s="523" t="n"/>
      <c r="BP177" s="523" t="n"/>
      <c r="BQ177" s="523" t="n"/>
      <c r="BR177" s="523" t="n"/>
      <c r="BS177" s="523" t="n"/>
      <c r="BT177" s="518">
        <f>SUM(BM177:BS177)</f>
        <v/>
      </c>
      <c r="BU177" s="518" t="n"/>
      <c r="BV177" s="523" t="n"/>
      <c r="BW177" s="523" t="n"/>
      <c r="BX177" s="523" t="n"/>
      <c r="BY177" s="523" t="n"/>
      <c r="BZ177" s="523" t="n"/>
      <c r="CA177" s="523" t="n"/>
      <c r="CB177" s="523" t="n"/>
      <c r="CC177" s="518">
        <f>SUM(BV177:CB177)</f>
        <v/>
      </c>
      <c r="CD177" s="518" t="n"/>
      <c r="CE177" s="523" t="n"/>
      <c r="CF177" s="523" t="n"/>
      <c r="CG177" s="523" t="n"/>
      <c r="CH177" s="523" t="n"/>
      <c r="CI177" s="523" t="n"/>
      <c r="CJ177" s="523" t="n"/>
      <c r="CK177" s="523" t="n"/>
      <c r="CL177" s="518">
        <f>SUM(CE177:CK177)</f>
        <v/>
      </c>
      <c r="CN177" s="525">
        <f>+H177-(BM177+BV177+CE177)</f>
        <v/>
      </c>
      <c r="CO177" s="525">
        <f>+M177-(BN177+BW177+CF177)</f>
        <v/>
      </c>
      <c r="CP177" s="525">
        <f>+AE177-(BO177+BX177+CG177)</f>
        <v/>
      </c>
      <c r="CQ177" s="525">
        <f>+AJ177-(BP177+BY177+CH177)</f>
        <v/>
      </c>
      <c r="CR177" s="525">
        <f>+AU177-(BQ177+BZ177+CI177)</f>
        <v/>
      </c>
      <c r="CS177" s="525">
        <f>+BA177-(BR177+CA177+CJ177)</f>
        <v/>
      </c>
      <c r="CT177" s="525">
        <f>+BF177-(BS177+CB177+CK177)</f>
        <v/>
      </c>
      <c r="CU177" s="525">
        <f>BT177+CC177+CL177</f>
        <v/>
      </c>
      <c r="CV177" s="525">
        <f>SUM(CN177:CT177)</f>
        <v/>
      </c>
    </row>
    <row r="178" ht="21" customFormat="1" customHeight="1" s="230">
      <c r="A178" s="453" t="n"/>
      <c r="B178" s="309" t="n"/>
      <c r="C178" s="287">
        <f>IF($A178=0,"",(VLOOKUP(A178,[3]MAT!$B$5:$D$4756,3,FALSE)))</f>
        <v/>
      </c>
      <c r="D178" s="288">
        <f>IF($A178=0,"",(VLOOKUP(A178,[4]Hoja1!$A$2:$D$10000,4,FALSE)))</f>
        <v/>
      </c>
      <c r="E178" s="507" t="n"/>
      <c r="F178" s="526" t="n"/>
      <c r="G178" s="527" t="n"/>
      <c r="H178" s="510" t="n"/>
      <c r="I178" s="511" t="n"/>
      <c r="J178" s="512" t="n"/>
      <c r="K178" s="512" t="n"/>
      <c r="L178" s="513" t="n"/>
      <c r="M178" s="510" t="n"/>
      <c r="N178" s="511" t="n"/>
      <c r="O178" s="512" t="n"/>
      <c r="P178" s="512" t="n"/>
      <c r="Q178" s="512" t="n"/>
      <c r="R178" s="512" t="n"/>
      <c r="S178" s="512" t="n"/>
      <c r="T178" s="512" t="n"/>
      <c r="U178" s="512" t="n"/>
      <c r="V178" s="512" t="n"/>
      <c r="W178" s="512" t="n"/>
      <c r="X178" s="512" t="n"/>
      <c r="Y178" s="512" t="n"/>
      <c r="Z178" s="512" t="n"/>
      <c r="AA178" s="512" t="n"/>
      <c r="AB178" s="512" t="n"/>
      <c r="AC178" s="512" t="n"/>
      <c r="AD178" s="512" t="n"/>
      <c r="AE178" s="510" t="n"/>
      <c r="AF178" s="511" t="n"/>
      <c r="AG178" s="512" t="n"/>
      <c r="AH178" s="512" t="n"/>
      <c r="AI178" s="513" t="n"/>
      <c r="AJ178" s="510" t="n"/>
      <c r="AK178" s="513" t="n"/>
      <c r="AL178" s="513" t="n"/>
      <c r="AM178" s="513" t="n"/>
      <c r="AN178" s="513" t="n"/>
      <c r="AO178" s="513" t="n"/>
      <c r="AP178" s="513" t="n"/>
      <c r="AQ178" s="513" t="n"/>
      <c r="AR178" s="513" t="n"/>
      <c r="AS178" s="513" t="n"/>
      <c r="AT178" s="513" t="n"/>
      <c r="AU178" s="510" t="n"/>
      <c r="AV178" s="527" t="n"/>
      <c r="AW178" s="527" t="n"/>
      <c r="AX178" s="527" t="n"/>
      <c r="AY178" s="527" t="n"/>
      <c r="AZ178" s="527" t="n"/>
      <c r="BA178" s="510">
        <f>SUM(AV178:AZ178)</f>
        <v/>
      </c>
      <c r="BB178" s="511" t="n"/>
      <c r="BC178" s="512" t="n"/>
      <c r="BD178" s="512" t="n"/>
      <c r="BE178" s="512" t="n"/>
      <c r="BF178" s="510">
        <f>SUM(BB178:BE178)</f>
        <v/>
      </c>
      <c r="BG178" s="518" t="n"/>
      <c r="BH178" s="519">
        <f>H178+M178+AE178+AJ178+AU178+BA178+BF178</f>
        <v/>
      </c>
      <c r="BI178" s="528">
        <f>IF(E178-BH178&lt;0, BH178-E178, )</f>
        <v/>
      </c>
      <c r="BJ178" s="529">
        <f>IF(E178-BH178&lt;0, ,E178-BH178)</f>
        <v/>
      </c>
      <c r="BK178" s="548" t="n"/>
      <c r="BM178" s="523" t="n"/>
      <c r="BN178" s="523" t="n"/>
      <c r="BO178" s="523" t="n"/>
      <c r="BP178" s="523" t="n"/>
      <c r="BQ178" s="523" t="n"/>
      <c r="BR178" s="523" t="n"/>
      <c r="BS178" s="523" t="n"/>
      <c r="BT178" s="518">
        <f>SUM(BM178:BS178)</f>
        <v/>
      </c>
      <c r="BU178" s="518" t="n"/>
      <c r="BV178" s="523" t="n"/>
      <c r="BW178" s="523" t="n"/>
      <c r="BX178" s="523" t="n"/>
      <c r="BY178" s="523" t="n"/>
      <c r="BZ178" s="523" t="n"/>
      <c r="CA178" s="523" t="n"/>
      <c r="CB178" s="523" t="n"/>
      <c r="CC178" s="518">
        <f>SUM(BV178:CB178)</f>
        <v/>
      </c>
      <c r="CD178" s="518" t="n"/>
      <c r="CE178" s="523" t="n"/>
      <c r="CF178" s="523" t="n"/>
      <c r="CG178" s="523" t="n"/>
      <c r="CH178" s="523" t="n"/>
      <c r="CI178" s="523" t="n"/>
      <c r="CJ178" s="523" t="n"/>
      <c r="CK178" s="523" t="n"/>
      <c r="CL178" s="518">
        <f>SUM(CE178:CK178)</f>
        <v/>
      </c>
      <c r="CN178" s="525">
        <f>+H178-(BM178+BV178+CE178)</f>
        <v/>
      </c>
      <c r="CO178" s="525">
        <f>+M178-(BN178+BW178+CF178)</f>
        <v/>
      </c>
      <c r="CP178" s="525">
        <f>+AE178-(BO178+BX178+CG178)</f>
        <v/>
      </c>
      <c r="CQ178" s="525">
        <f>+AJ178-(BP178+BY178+CH178)</f>
        <v/>
      </c>
      <c r="CR178" s="525">
        <f>+AU178-(BQ178+BZ178+CI178)</f>
        <v/>
      </c>
      <c r="CS178" s="525">
        <f>+BA178-(BR178+CA178+CJ178)</f>
        <v/>
      </c>
      <c r="CT178" s="525">
        <f>+BF178-(BS178+CB178+CK178)</f>
        <v/>
      </c>
      <c r="CU178" s="525">
        <f>BT178+CC178+CL178</f>
        <v/>
      </c>
      <c r="CV178" s="525">
        <f>SUM(CN178:CT178)</f>
        <v/>
      </c>
    </row>
    <row r="179" ht="21" customFormat="1" customHeight="1" s="230">
      <c r="A179" s="453" t="n"/>
      <c r="B179" s="309" t="n"/>
      <c r="C179" s="287">
        <f>IF($A179=0,"",(VLOOKUP(A179,[3]MAT!$B$5:$D$4756,3,FALSE)))</f>
        <v/>
      </c>
      <c r="D179" s="288">
        <f>IF($A179=0,"",(VLOOKUP(A179,[4]Hoja1!$A$2:$D$10000,4,FALSE)))</f>
        <v/>
      </c>
      <c r="E179" s="507" t="n"/>
      <c r="F179" s="526" t="n"/>
      <c r="G179" s="527" t="n"/>
      <c r="H179" s="510" t="n"/>
      <c r="I179" s="511" t="n"/>
      <c r="J179" s="512" t="n"/>
      <c r="K179" s="512" t="n"/>
      <c r="L179" s="513" t="n"/>
      <c r="M179" s="510" t="n"/>
      <c r="N179" s="511" t="n"/>
      <c r="O179" s="512" t="n"/>
      <c r="P179" s="512" t="n"/>
      <c r="Q179" s="512" t="n"/>
      <c r="R179" s="512" t="n"/>
      <c r="S179" s="512" t="n"/>
      <c r="T179" s="512" t="n"/>
      <c r="U179" s="512" t="n"/>
      <c r="V179" s="512" t="n"/>
      <c r="W179" s="512" t="n"/>
      <c r="X179" s="512" t="n"/>
      <c r="Y179" s="512" t="n"/>
      <c r="Z179" s="512" t="n"/>
      <c r="AA179" s="512" t="n"/>
      <c r="AB179" s="512" t="n"/>
      <c r="AC179" s="512" t="n"/>
      <c r="AD179" s="512" t="n"/>
      <c r="AE179" s="510" t="n"/>
      <c r="AF179" s="511" t="n"/>
      <c r="AG179" s="512" t="n"/>
      <c r="AH179" s="512" t="n"/>
      <c r="AI179" s="513" t="n"/>
      <c r="AJ179" s="510" t="n"/>
      <c r="AK179" s="513" t="n"/>
      <c r="AL179" s="513" t="n"/>
      <c r="AM179" s="513" t="n"/>
      <c r="AN179" s="513" t="n"/>
      <c r="AO179" s="513" t="n"/>
      <c r="AP179" s="513" t="n"/>
      <c r="AQ179" s="513" t="n"/>
      <c r="AR179" s="513" t="n"/>
      <c r="AS179" s="513" t="n"/>
      <c r="AT179" s="513" t="n"/>
      <c r="AU179" s="510" t="n"/>
      <c r="AV179" s="527" t="n"/>
      <c r="AW179" s="527" t="n"/>
      <c r="AX179" s="527" t="n"/>
      <c r="AY179" s="527" t="n"/>
      <c r="AZ179" s="527" t="n"/>
      <c r="BA179" s="510">
        <f>SUM(AV179:AZ179)</f>
        <v/>
      </c>
      <c r="BB179" s="511" t="n"/>
      <c r="BC179" s="512" t="n"/>
      <c r="BD179" s="512" t="n"/>
      <c r="BE179" s="512" t="n"/>
      <c r="BF179" s="510">
        <f>SUM(BB179:BE179)</f>
        <v/>
      </c>
      <c r="BG179" s="518" t="n"/>
      <c r="BH179" s="519">
        <f>H179+M179+AE179+AJ179+AU179+BA179+BF179</f>
        <v/>
      </c>
      <c r="BI179" s="528">
        <f>IF(E179-BH179&lt;0, BH179-E179, )</f>
        <v/>
      </c>
      <c r="BJ179" s="529">
        <f>IF(E179-BH179&lt;0, ,E179-BH179)</f>
        <v/>
      </c>
      <c r="BK179" s="546" t="n"/>
      <c r="BM179" s="523" t="n"/>
      <c r="BN179" s="523" t="n"/>
      <c r="BO179" s="523" t="n"/>
      <c r="BP179" s="523" t="n"/>
      <c r="BQ179" s="523" t="n"/>
      <c r="BR179" s="523" t="n"/>
      <c r="BS179" s="523" t="n"/>
      <c r="BT179" s="518">
        <f>SUM(BM179:BS179)</f>
        <v/>
      </c>
      <c r="BU179" s="518" t="n"/>
      <c r="BV179" s="523" t="n"/>
      <c r="BW179" s="523" t="n"/>
      <c r="BX179" s="523" t="n"/>
      <c r="BY179" s="523" t="n"/>
      <c r="BZ179" s="523" t="n"/>
      <c r="CA179" s="523" t="n"/>
      <c r="CB179" s="523" t="n"/>
      <c r="CC179" s="518">
        <f>SUM(BV179:CB179)</f>
        <v/>
      </c>
      <c r="CD179" s="518" t="n"/>
      <c r="CE179" s="523" t="n"/>
      <c r="CF179" s="523" t="n"/>
      <c r="CG179" s="523" t="n"/>
      <c r="CH179" s="523" t="n"/>
      <c r="CI179" s="523" t="n"/>
      <c r="CJ179" s="523" t="n"/>
      <c r="CK179" s="523" t="n"/>
      <c r="CL179" s="518">
        <f>SUM(CE179:CK179)</f>
        <v/>
      </c>
      <c r="CN179" s="525">
        <f>+H179-(BM179+BV179+CE179)</f>
        <v/>
      </c>
      <c r="CO179" s="525">
        <f>+M179-(BN179+BW179+CF179)</f>
        <v/>
      </c>
      <c r="CP179" s="525">
        <f>+AE179-(BO179+BX179+CG179)</f>
        <v/>
      </c>
      <c r="CQ179" s="525">
        <f>+AJ179-(BP179+BY179+CH179)</f>
        <v/>
      </c>
      <c r="CR179" s="525">
        <f>+AU179-(BQ179+BZ179+CI179)</f>
        <v/>
      </c>
      <c r="CS179" s="525">
        <f>+BA179-(BR179+CA179+CJ179)</f>
        <v/>
      </c>
      <c r="CT179" s="525">
        <f>+BF179-(BS179+CB179+CK179)</f>
        <v/>
      </c>
      <c r="CU179" s="525">
        <f>BT179+CC179+CL179</f>
        <v/>
      </c>
      <c r="CV179" s="525">
        <f>SUM(CN179:CT179)</f>
        <v/>
      </c>
    </row>
    <row r="180" ht="21" customFormat="1" customHeight="1" s="230">
      <c r="A180" s="453" t="n"/>
      <c r="B180" s="309" t="n"/>
      <c r="C180" s="287">
        <f>IF($A180=0,"",(VLOOKUP(A180,[3]MAT!$B$5:$D$4756,3,FALSE)))</f>
        <v/>
      </c>
      <c r="D180" s="288">
        <f>IF($A180=0,"",(VLOOKUP(A180,[4]Hoja1!$A$2:$D$10000,4,FALSE)))</f>
        <v/>
      </c>
      <c r="E180" s="507" t="n"/>
      <c r="F180" s="526" t="n"/>
      <c r="G180" s="527" t="n"/>
      <c r="H180" s="510" t="n"/>
      <c r="I180" s="511" t="n"/>
      <c r="J180" s="512" t="n"/>
      <c r="K180" s="512" t="n"/>
      <c r="L180" s="513" t="n"/>
      <c r="M180" s="510" t="n"/>
      <c r="N180" s="511" t="n"/>
      <c r="O180" s="512" t="n"/>
      <c r="P180" s="512" t="n"/>
      <c r="Q180" s="512" t="n"/>
      <c r="R180" s="512" t="n"/>
      <c r="S180" s="512" t="n"/>
      <c r="T180" s="512" t="n"/>
      <c r="U180" s="512" t="n"/>
      <c r="V180" s="512" t="n"/>
      <c r="W180" s="512" t="n"/>
      <c r="X180" s="512" t="n"/>
      <c r="Y180" s="512" t="n"/>
      <c r="Z180" s="512" t="n"/>
      <c r="AA180" s="512" t="n"/>
      <c r="AB180" s="512" t="n"/>
      <c r="AC180" s="512" t="n"/>
      <c r="AD180" s="512" t="n"/>
      <c r="AE180" s="510" t="n"/>
      <c r="AF180" s="511" t="n"/>
      <c r="AG180" s="512" t="n"/>
      <c r="AH180" s="512" t="n"/>
      <c r="AI180" s="513" t="n"/>
      <c r="AJ180" s="510" t="n"/>
      <c r="AK180" s="513" t="n"/>
      <c r="AL180" s="513" t="n"/>
      <c r="AM180" s="513" t="n"/>
      <c r="AN180" s="513" t="n"/>
      <c r="AO180" s="513" t="n"/>
      <c r="AP180" s="513" t="n"/>
      <c r="AQ180" s="513" t="n"/>
      <c r="AR180" s="513" t="n"/>
      <c r="AS180" s="513" t="n"/>
      <c r="AT180" s="513" t="n"/>
      <c r="AU180" s="510" t="n"/>
      <c r="AV180" s="527" t="n"/>
      <c r="AW180" s="527" t="n"/>
      <c r="AX180" s="527" t="n"/>
      <c r="AY180" s="527" t="n"/>
      <c r="AZ180" s="527" t="n"/>
      <c r="BA180" s="510">
        <f>SUM(AV180:AZ180)</f>
        <v/>
      </c>
      <c r="BB180" s="511" t="n"/>
      <c r="BC180" s="512" t="n"/>
      <c r="BD180" s="512" t="n"/>
      <c r="BE180" s="512" t="n"/>
      <c r="BF180" s="510">
        <f>SUM(BB180:BE180)</f>
        <v/>
      </c>
      <c r="BG180" s="518" t="n"/>
      <c r="BH180" s="519">
        <f>H180+M180+AE180+AJ180+AU180+BA180+BF180</f>
        <v/>
      </c>
      <c r="BI180" s="528">
        <f>IF(E180-BH180&lt;0, BH180-E180, )</f>
        <v/>
      </c>
      <c r="BJ180" s="529">
        <f>IF(E180-BH180&lt;0, ,E180-BH180)</f>
        <v/>
      </c>
      <c r="BK180" s="546" t="n"/>
      <c r="BM180" s="523" t="n"/>
      <c r="BN180" s="523" t="n"/>
      <c r="BO180" s="523" t="n"/>
      <c r="BP180" s="523" t="n"/>
      <c r="BQ180" s="523" t="n"/>
      <c r="BR180" s="523" t="n"/>
      <c r="BS180" s="523" t="n"/>
      <c r="BT180" s="518">
        <f>SUM(BM180:BS180)</f>
        <v/>
      </c>
      <c r="BU180" s="518" t="n"/>
      <c r="BV180" s="523" t="n"/>
      <c r="BW180" s="523" t="n"/>
      <c r="BX180" s="523" t="n"/>
      <c r="BY180" s="523" t="n"/>
      <c r="BZ180" s="523" t="n"/>
      <c r="CA180" s="523" t="n"/>
      <c r="CB180" s="523" t="n"/>
      <c r="CC180" s="518">
        <f>SUM(BV180:CB180)</f>
        <v/>
      </c>
      <c r="CD180" s="518" t="n"/>
      <c r="CE180" s="523" t="n"/>
      <c r="CF180" s="523" t="n"/>
      <c r="CG180" s="523" t="n"/>
      <c r="CH180" s="523" t="n"/>
      <c r="CI180" s="523" t="n"/>
      <c r="CJ180" s="523" t="n"/>
      <c r="CK180" s="523" t="n"/>
      <c r="CL180" s="518">
        <f>SUM(CE180:CK180)</f>
        <v/>
      </c>
      <c r="CN180" s="525">
        <f>+H180-(BM180+BV180+CE180)</f>
        <v/>
      </c>
      <c r="CO180" s="525">
        <f>+M180-(BN180+BW180+CF180)</f>
        <v/>
      </c>
      <c r="CP180" s="525">
        <f>+AE180-(BO180+BX180+CG180)</f>
        <v/>
      </c>
      <c r="CQ180" s="525">
        <f>+AJ180-(BP180+BY180+CH180)</f>
        <v/>
      </c>
      <c r="CR180" s="525">
        <f>+AU180-(BQ180+BZ180+CI180)</f>
        <v/>
      </c>
      <c r="CS180" s="525">
        <f>+BA180-(BR180+CA180+CJ180)</f>
        <v/>
      </c>
      <c r="CT180" s="525">
        <f>+BF180-(BS180+CB180+CK180)</f>
        <v/>
      </c>
      <c r="CU180" s="525">
        <f>BT180+CC180+CL180</f>
        <v/>
      </c>
      <c r="CV180" s="525">
        <f>SUM(CN180:CT180)</f>
        <v/>
      </c>
    </row>
    <row r="181" ht="21" customFormat="1" customHeight="1" s="230">
      <c r="A181" s="453" t="n"/>
      <c r="B181" s="309" t="n"/>
      <c r="C181" s="287">
        <f>IF($A181=0,"",(VLOOKUP(A181,[3]MAT!$B$5:$D$4756,3,FALSE)))</f>
        <v/>
      </c>
      <c r="D181" s="288">
        <f>IF($A181=0,"",(VLOOKUP(A181,[4]Hoja1!$A$2:$D$10000,4,FALSE)))</f>
        <v/>
      </c>
      <c r="E181" s="507" t="n"/>
      <c r="F181" s="526" t="n"/>
      <c r="G181" s="527" t="n"/>
      <c r="H181" s="510" t="n"/>
      <c r="I181" s="511" t="n"/>
      <c r="J181" s="512" t="n"/>
      <c r="K181" s="512" t="n"/>
      <c r="L181" s="513" t="n"/>
      <c r="M181" s="510" t="n"/>
      <c r="N181" s="511" t="n"/>
      <c r="O181" s="512" t="n"/>
      <c r="P181" s="512" t="n"/>
      <c r="Q181" s="512" t="n"/>
      <c r="R181" s="512" t="n"/>
      <c r="S181" s="512" t="n"/>
      <c r="T181" s="512" t="n"/>
      <c r="U181" s="512" t="n"/>
      <c r="V181" s="512" t="n"/>
      <c r="W181" s="512" t="n"/>
      <c r="X181" s="512" t="n"/>
      <c r="Y181" s="512" t="n"/>
      <c r="Z181" s="512" t="n"/>
      <c r="AA181" s="512" t="n"/>
      <c r="AB181" s="512" t="n"/>
      <c r="AC181" s="512" t="n"/>
      <c r="AD181" s="512" t="n"/>
      <c r="AE181" s="510" t="n"/>
      <c r="AF181" s="511" t="n"/>
      <c r="AG181" s="512" t="n"/>
      <c r="AH181" s="512" t="n"/>
      <c r="AI181" s="513" t="n"/>
      <c r="AJ181" s="510" t="n"/>
      <c r="AK181" s="513" t="n"/>
      <c r="AL181" s="513" t="n"/>
      <c r="AM181" s="513" t="n"/>
      <c r="AN181" s="513" t="n"/>
      <c r="AO181" s="513" t="n"/>
      <c r="AP181" s="513" t="n"/>
      <c r="AQ181" s="513" t="n"/>
      <c r="AR181" s="513" t="n"/>
      <c r="AS181" s="513" t="n"/>
      <c r="AT181" s="513" t="n"/>
      <c r="AU181" s="510" t="n"/>
      <c r="AV181" s="527" t="n"/>
      <c r="AW181" s="527" t="n"/>
      <c r="AX181" s="527" t="n"/>
      <c r="AY181" s="527" t="n"/>
      <c r="AZ181" s="527" t="n"/>
      <c r="BA181" s="510">
        <f>SUM(AV181:AZ181)</f>
        <v/>
      </c>
      <c r="BB181" s="511" t="n"/>
      <c r="BC181" s="512" t="n"/>
      <c r="BD181" s="512" t="n"/>
      <c r="BE181" s="512" t="n"/>
      <c r="BF181" s="510">
        <f>SUM(BB181:BE181)</f>
        <v/>
      </c>
      <c r="BG181" s="518" t="n"/>
      <c r="BH181" s="519">
        <f>H181+M181+AE181+AJ181+AU181+BA181+BF181</f>
        <v/>
      </c>
      <c r="BI181" s="528">
        <f>IF(E181-BH181&lt;0, BH181-E181, )</f>
        <v/>
      </c>
      <c r="BJ181" s="529">
        <f>IF(E181-BH181&lt;0, ,E181-BH181)</f>
        <v/>
      </c>
      <c r="BK181" s="546" t="n"/>
      <c r="BM181" s="523" t="n"/>
      <c r="BN181" s="523" t="n"/>
      <c r="BO181" s="523" t="n"/>
      <c r="BP181" s="523" t="n"/>
      <c r="BQ181" s="523" t="n"/>
      <c r="BR181" s="523" t="n"/>
      <c r="BS181" s="523" t="n"/>
      <c r="BT181" s="518">
        <f>SUM(BM181:BS181)</f>
        <v/>
      </c>
      <c r="BU181" s="518" t="n"/>
      <c r="BV181" s="523" t="n"/>
      <c r="BW181" s="523" t="n"/>
      <c r="BX181" s="523" t="n"/>
      <c r="BY181" s="523" t="n"/>
      <c r="BZ181" s="523" t="n"/>
      <c r="CA181" s="523" t="n"/>
      <c r="CB181" s="523" t="n"/>
      <c r="CC181" s="518">
        <f>SUM(BV181:CB181)</f>
        <v/>
      </c>
      <c r="CD181" s="518" t="n"/>
      <c r="CE181" s="523" t="n"/>
      <c r="CF181" s="523" t="n"/>
      <c r="CG181" s="523" t="n"/>
      <c r="CH181" s="523" t="n"/>
      <c r="CI181" s="523" t="n"/>
      <c r="CJ181" s="523" t="n"/>
      <c r="CK181" s="523" t="n"/>
      <c r="CL181" s="518">
        <f>SUM(CE181:CK181)</f>
        <v/>
      </c>
      <c r="CN181" s="525">
        <f>+H181-(BM181+BV181+CE181)</f>
        <v/>
      </c>
      <c r="CO181" s="525">
        <f>+M181-(BN181+BW181+CF181)</f>
        <v/>
      </c>
      <c r="CP181" s="525">
        <f>+AE181-(BO181+BX181+CG181)</f>
        <v/>
      </c>
      <c r="CQ181" s="525">
        <f>+AJ181-(BP181+BY181+CH181)</f>
        <v/>
      </c>
      <c r="CR181" s="525">
        <f>+AU181-(BQ181+BZ181+CI181)</f>
        <v/>
      </c>
      <c r="CS181" s="525">
        <f>+BA181-(BR181+CA181+CJ181)</f>
        <v/>
      </c>
      <c r="CT181" s="525">
        <f>+BF181-(BS181+CB181+CK181)</f>
        <v/>
      </c>
      <c r="CU181" s="525">
        <f>BT181+CC181+CL181</f>
        <v/>
      </c>
      <c r="CV181" s="525">
        <f>SUM(CN181:CT181)</f>
        <v/>
      </c>
    </row>
    <row r="182" ht="21" customFormat="1" customHeight="1" s="230">
      <c r="A182" s="453" t="n"/>
      <c r="B182" s="309" t="n"/>
      <c r="C182" s="287">
        <f>IF($A182=0,"",(VLOOKUP(A182,[3]MAT!$B$5:$D$4756,3,FALSE)))</f>
        <v/>
      </c>
      <c r="D182" s="288">
        <f>IF($A182=0,"",(VLOOKUP(A182,[4]Hoja1!$A$2:$D$10000,4,FALSE)))</f>
        <v/>
      </c>
      <c r="E182" s="507" t="n"/>
      <c r="F182" s="526" t="n"/>
      <c r="G182" s="527" t="n"/>
      <c r="H182" s="510" t="n"/>
      <c r="I182" s="511" t="n"/>
      <c r="J182" s="512" t="n"/>
      <c r="K182" s="512" t="n"/>
      <c r="L182" s="513" t="n"/>
      <c r="M182" s="510" t="n"/>
      <c r="N182" s="511" t="n"/>
      <c r="O182" s="512" t="n"/>
      <c r="P182" s="512" t="n"/>
      <c r="Q182" s="512" t="n"/>
      <c r="R182" s="512" t="n"/>
      <c r="S182" s="512" t="n"/>
      <c r="T182" s="512" t="n"/>
      <c r="U182" s="512" t="n"/>
      <c r="V182" s="512" t="n"/>
      <c r="W182" s="512" t="n"/>
      <c r="X182" s="512" t="n"/>
      <c r="Y182" s="512" t="n"/>
      <c r="Z182" s="512" t="n"/>
      <c r="AA182" s="512" t="n"/>
      <c r="AB182" s="512" t="n"/>
      <c r="AC182" s="512" t="n"/>
      <c r="AD182" s="512" t="n"/>
      <c r="AE182" s="510" t="n"/>
      <c r="AF182" s="511" t="n"/>
      <c r="AG182" s="512" t="n"/>
      <c r="AH182" s="512" t="n"/>
      <c r="AI182" s="513" t="n"/>
      <c r="AJ182" s="510" t="n"/>
      <c r="AK182" s="513" t="n"/>
      <c r="AL182" s="513" t="n"/>
      <c r="AM182" s="513" t="n"/>
      <c r="AN182" s="513" t="n"/>
      <c r="AO182" s="513" t="n"/>
      <c r="AP182" s="513" t="n"/>
      <c r="AQ182" s="513" t="n"/>
      <c r="AR182" s="513" t="n"/>
      <c r="AS182" s="513" t="n"/>
      <c r="AT182" s="513" t="n"/>
      <c r="AU182" s="510" t="n"/>
      <c r="AV182" s="527" t="n"/>
      <c r="AW182" s="527" t="n"/>
      <c r="AX182" s="527" t="n"/>
      <c r="AY182" s="527" t="n"/>
      <c r="AZ182" s="527" t="n"/>
      <c r="BA182" s="510">
        <f>SUM(AV182:AZ182)</f>
        <v/>
      </c>
      <c r="BB182" s="511" t="n"/>
      <c r="BC182" s="512" t="n"/>
      <c r="BD182" s="512" t="n"/>
      <c r="BE182" s="512" t="n"/>
      <c r="BF182" s="510">
        <f>SUM(BB182:BE182)</f>
        <v/>
      </c>
      <c r="BG182" s="518" t="n"/>
      <c r="BH182" s="519">
        <f>H182+M182+AE182+AJ182+AU182+BA182+BF182</f>
        <v/>
      </c>
      <c r="BI182" s="528">
        <f>IF(E182-BH182&lt;0, BH182-E182, )</f>
        <v/>
      </c>
      <c r="BJ182" s="529">
        <f>IF(E182-BH182&lt;0, ,E182-BH182)</f>
        <v/>
      </c>
      <c r="BK182" s="546" t="n"/>
      <c r="BM182" s="523" t="n"/>
      <c r="BN182" s="523" t="n"/>
      <c r="BO182" s="523" t="n"/>
      <c r="BP182" s="523" t="n"/>
      <c r="BQ182" s="523" t="n"/>
      <c r="BR182" s="523" t="n"/>
      <c r="BS182" s="523" t="n"/>
      <c r="BT182" s="518">
        <f>SUM(BM182:BS182)</f>
        <v/>
      </c>
      <c r="BU182" s="518" t="n"/>
      <c r="BV182" s="523" t="n"/>
      <c r="BW182" s="523" t="n"/>
      <c r="BX182" s="523" t="n"/>
      <c r="BY182" s="523" t="n"/>
      <c r="BZ182" s="523" t="n"/>
      <c r="CA182" s="523" t="n"/>
      <c r="CB182" s="523" t="n"/>
      <c r="CC182" s="518">
        <f>SUM(BV182:CB182)</f>
        <v/>
      </c>
      <c r="CD182" s="518" t="n"/>
      <c r="CE182" s="523" t="n"/>
      <c r="CF182" s="523" t="n"/>
      <c r="CG182" s="523" t="n"/>
      <c r="CH182" s="523" t="n"/>
      <c r="CI182" s="523" t="n"/>
      <c r="CJ182" s="523" t="n"/>
      <c r="CK182" s="523" t="n"/>
      <c r="CL182" s="518">
        <f>SUM(CE182:CK182)</f>
        <v/>
      </c>
      <c r="CN182" s="525">
        <f>+H182-(BM182+BV182+CE182)</f>
        <v/>
      </c>
      <c r="CO182" s="525">
        <f>+M182-(BN182+BW182+CF182)</f>
        <v/>
      </c>
      <c r="CP182" s="525">
        <f>+AE182-(BO182+BX182+CG182)</f>
        <v/>
      </c>
      <c r="CQ182" s="525">
        <f>+AJ182-(BP182+BY182+CH182)</f>
        <v/>
      </c>
      <c r="CR182" s="525">
        <f>+AU182-(BQ182+BZ182+CI182)</f>
        <v/>
      </c>
      <c r="CS182" s="525">
        <f>+BA182-(BR182+CA182+CJ182)</f>
        <v/>
      </c>
      <c r="CT182" s="525">
        <f>+BF182-(BS182+CB182+CK182)</f>
        <v/>
      </c>
      <c r="CU182" s="525">
        <f>BT182+CC182+CL182</f>
        <v/>
      </c>
      <c r="CV182" s="525">
        <f>SUM(CN182:CT182)</f>
        <v/>
      </c>
    </row>
    <row r="183" ht="21" customFormat="1" customHeight="1" s="230">
      <c r="A183" s="453" t="n"/>
      <c r="B183" s="309" t="n"/>
      <c r="C183" s="287">
        <f>IF($A183=0,"",(VLOOKUP(A183,[3]MAT!$B$5:$D$4756,3,FALSE)))</f>
        <v/>
      </c>
      <c r="D183" s="288">
        <f>IF($A183=0,"",(VLOOKUP(A183,[4]Hoja1!$A$2:$D$10000,4,FALSE)))</f>
        <v/>
      </c>
      <c r="E183" s="507" t="n"/>
      <c r="F183" s="526" t="n"/>
      <c r="G183" s="527" t="n"/>
      <c r="H183" s="510" t="n"/>
      <c r="I183" s="511" t="n"/>
      <c r="J183" s="512" t="n"/>
      <c r="K183" s="512" t="n"/>
      <c r="L183" s="513" t="n"/>
      <c r="M183" s="510" t="n"/>
      <c r="N183" s="511" t="n"/>
      <c r="O183" s="512" t="n"/>
      <c r="P183" s="512" t="n"/>
      <c r="Q183" s="512" t="n"/>
      <c r="R183" s="512" t="n"/>
      <c r="S183" s="512" t="n"/>
      <c r="T183" s="512" t="n"/>
      <c r="U183" s="512" t="n"/>
      <c r="V183" s="512" t="n"/>
      <c r="W183" s="512" t="n"/>
      <c r="X183" s="512" t="n"/>
      <c r="Y183" s="512" t="n"/>
      <c r="Z183" s="512" t="n"/>
      <c r="AA183" s="512" t="n"/>
      <c r="AB183" s="512" t="n"/>
      <c r="AC183" s="512" t="n"/>
      <c r="AD183" s="512" t="n"/>
      <c r="AE183" s="510" t="n"/>
      <c r="AF183" s="511" t="n"/>
      <c r="AG183" s="512" t="n"/>
      <c r="AH183" s="512" t="n"/>
      <c r="AI183" s="513" t="n"/>
      <c r="AJ183" s="510" t="n"/>
      <c r="AK183" s="513" t="n"/>
      <c r="AL183" s="513" t="n"/>
      <c r="AM183" s="513" t="n"/>
      <c r="AN183" s="513" t="n"/>
      <c r="AO183" s="513" t="n"/>
      <c r="AP183" s="513" t="n"/>
      <c r="AQ183" s="513" t="n"/>
      <c r="AR183" s="513" t="n"/>
      <c r="AS183" s="513" t="n"/>
      <c r="AT183" s="513" t="n"/>
      <c r="AU183" s="510" t="n"/>
      <c r="AV183" s="527" t="n"/>
      <c r="AW183" s="527" t="n"/>
      <c r="AX183" s="527" t="n"/>
      <c r="AY183" s="527" t="n"/>
      <c r="AZ183" s="527" t="n"/>
      <c r="BA183" s="510">
        <f>SUM(AV183:AZ183)</f>
        <v/>
      </c>
      <c r="BB183" s="511" t="n"/>
      <c r="BC183" s="512" t="n"/>
      <c r="BD183" s="512" t="n"/>
      <c r="BE183" s="512" t="n"/>
      <c r="BF183" s="510">
        <f>SUM(BB183:BE183)</f>
        <v/>
      </c>
      <c r="BG183" s="518" t="n"/>
      <c r="BH183" s="519">
        <f>H183+M183+AE183+AJ183+AU183+BA183+BF183</f>
        <v/>
      </c>
      <c r="BI183" s="528">
        <f>IF(E183-BH183&lt;0, BH183-E183, )</f>
        <v/>
      </c>
      <c r="BJ183" s="529">
        <f>IF(E183-BH183&lt;0, ,E183-BH183)</f>
        <v/>
      </c>
      <c r="BK183" s="546" t="n"/>
      <c r="BM183" s="523" t="n"/>
      <c r="BN183" s="523" t="n"/>
      <c r="BO183" s="523" t="n"/>
      <c r="BP183" s="523" t="n"/>
      <c r="BQ183" s="523" t="n"/>
      <c r="BR183" s="523" t="n"/>
      <c r="BS183" s="523" t="n"/>
      <c r="BT183" s="518">
        <f>SUM(BM183:BS183)</f>
        <v/>
      </c>
      <c r="BU183" s="518" t="n"/>
      <c r="BV183" s="523" t="n"/>
      <c r="BW183" s="523" t="n"/>
      <c r="BX183" s="523" t="n"/>
      <c r="BY183" s="523" t="n"/>
      <c r="BZ183" s="523" t="n"/>
      <c r="CA183" s="523" t="n"/>
      <c r="CB183" s="523" t="n"/>
      <c r="CC183" s="518">
        <f>SUM(BV183:CB183)</f>
        <v/>
      </c>
      <c r="CD183" s="518" t="n"/>
      <c r="CE183" s="523" t="n"/>
      <c r="CF183" s="523" t="n"/>
      <c r="CG183" s="523" t="n"/>
      <c r="CH183" s="523" t="n"/>
      <c r="CI183" s="523" t="n"/>
      <c r="CJ183" s="523" t="n"/>
      <c r="CK183" s="523" t="n"/>
      <c r="CL183" s="518">
        <f>SUM(CE183:CK183)</f>
        <v/>
      </c>
      <c r="CN183" s="525">
        <f>+H183-(BM183+BV183+CE183)</f>
        <v/>
      </c>
      <c r="CO183" s="525">
        <f>+M183-(BN183+BW183+CF183)</f>
        <v/>
      </c>
      <c r="CP183" s="525">
        <f>+AE183-(BO183+BX183+CG183)</f>
        <v/>
      </c>
      <c r="CQ183" s="525">
        <f>+AJ183-(BP183+BY183+CH183)</f>
        <v/>
      </c>
      <c r="CR183" s="525">
        <f>+AU183-(BQ183+BZ183+CI183)</f>
        <v/>
      </c>
      <c r="CS183" s="525">
        <f>+BA183-(BR183+CA183+CJ183)</f>
        <v/>
      </c>
      <c r="CT183" s="525">
        <f>+BF183-(BS183+CB183+CK183)</f>
        <v/>
      </c>
      <c r="CU183" s="525">
        <f>BT183+CC183+CL183</f>
        <v/>
      </c>
      <c r="CV183" s="525">
        <f>SUM(CN183:CT183)</f>
        <v/>
      </c>
    </row>
    <row r="184" ht="21" customFormat="1" customHeight="1" s="230">
      <c r="A184" s="453" t="n"/>
      <c r="B184" s="309" t="n"/>
      <c r="C184" s="287">
        <f>IF($A184=0,"",(VLOOKUP(A184,[3]MAT!$B$5:$D$4756,3,FALSE)))</f>
        <v/>
      </c>
      <c r="D184" s="288">
        <f>IF($A184=0,"",(VLOOKUP(A184,[4]Hoja1!$A$2:$D$10000,4,FALSE)))</f>
        <v/>
      </c>
      <c r="E184" s="507" t="n"/>
      <c r="F184" s="526" t="n"/>
      <c r="G184" s="527" t="n"/>
      <c r="H184" s="510" t="n"/>
      <c r="I184" s="511" t="n"/>
      <c r="J184" s="512" t="n"/>
      <c r="K184" s="512" t="n"/>
      <c r="L184" s="513" t="n"/>
      <c r="M184" s="510" t="n"/>
      <c r="N184" s="511" t="n"/>
      <c r="O184" s="512" t="n"/>
      <c r="P184" s="512" t="n"/>
      <c r="Q184" s="512" t="n"/>
      <c r="R184" s="512" t="n"/>
      <c r="S184" s="512" t="n"/>
      <c r="T184" s="512" t="n"/>
      <c r="U184" s="512" t="n"/>
      <c r="V184" s="512" t="n"/>
      <c r="W184" s="512" t="n"/>
      <c r="X184" s="512" t="n"/>
      <c r="Y184" s="512" t="n"/>
      <c r="Z184" s="512" t="n"/>
      <c r="AA184" s="512" t="n"/>
      <c r="AB184" s="512" t="n"/>
      <c r="AC184" s="512" t="n"/>
      <c r="AD184" s="512" t="n"/>
      <c r="AE184" s="510" t="n"/>
      <c r="AF184" s="511" t="n"/>
      <c r="AG184" s="512" t="n"/>
      <c r="AH184" s="512" t="n"/>
      <c r="AI184" s="513" t="n"/>
      <c r="AJ184" s="510" t="n"/>
      <c r="AK184" s="513" t="n"/>
      <c r="AL184" s="513" t="n"/>
      <c r="AM184" s="513" t="n"/>
      <c r="AN184" s="513" t="n"/>
      <c r="AO184" s="513" t="n"/>
      <c r="AP184" s="513" t="n"/>
      <c r="AQ184" s="513" t="n"/>
      <c r="AR184" s="513" t="n"/>
      <c r="AS184" s="513" t="n"/>
      <c r="AT184" s="513" t="n"/>
      <c r="AU184" s="510" t="n"/>
      <c r="AV184" s="527" t="n"/>
      <c r="AW184" s="527" t="n"/>
      <c r="AX184" s="527" t="n"/>
      <c r="AY184" s="527" t="n"/>
      <c r="AZ184" s="527" t="n"/>
      <c r="BA184" s="510">
        <f>SUM(AV184:AZ184)</f>
        <v/>
      </c>
      <c r="BB184" s="511" t="n"/>
      <c r="BC184" s="512" t="n"/>
      <c r="BD184" s="512" t="n"/>
      <c r="BE184" s="512" t="n"/>
      <c r="BF184" s="510">
        <f>SUM(BB184:BE184)</f>
        <v/>
      </c>
      <c r="BG184" s="518" t="n"/>
      <c r="BH184" s="519">
        <f>H184+M184+AE184+AJ184+AU184+BA184+BF184</f>
        <v/>
      </c>
      <c r="BI184" s="528">
        <f>IF(E184-BH184&lt;0, BH184-E184, )</f>
        <v/>
      </c>
      <c r="BJ184" s="529">
        <f>IF(E184-BH184&lt;0, ,E184-BH184)</f>
        <v/>
      </c>
      <c r="BK184" s="546" t="n"/>
      <c r="BM184" s="523" t="n"/>
      <c r="BN184" s="523" t="n"/>
      <c r="BO184" s="523" t="n"/>
      <c r="BP184" s="523" t="n"/>
      <c r="BQ184" s="523" t="n"/>
      <c r="BR184" s="523" t="n"/>
      <c r="BS184" s="523" t="n"/>
      <c r="BT184" s="518">
        <f>SUM(BM184:BS184)</f>
        <v/>
      </c>
      <c r="BU184" s="518" t="n"/>
      <c r="BV184" s="523" t="n"/>
      <c r="BW184" s="523" t="n"/>
      <c r="BX184" s="523" t="n"/>
      <c r="BY184" s="523" t="n"/>
      <c r="BZ184" s="523" t="n"/>
      <c r="CA184" s="523" t="n"/>
      <c r="CB184" s="523" t="n"/>
      <c r="CC184" s="518">
        <f>SUM(BV184:CB184)</f>
        <v/>
      </c>
      <c r="CD184" s="518" t="n"/>
      <c r="CE184" s="523" t="n"/>
      <c r="CF184" s="523" t="n"/>
      <c r="CG184" s="523" t="n"/>
      <c r="CH184" s="523" t="n"/>
      <c r="CI184" s="523" t="n"/>
      <c r="CJ184" s="523" t="n"/>
      <c r="CK184" s="523" t="n"/>
      <c r="CL184" s="518">
        <f>SUM(CE184:CK184)</f>
        <v/>
      </c>
      <c r="CN184" s="525">
        <f>+H184-(BM184+BV184+CE184)</f>
        <v/>
      </c>
      <c r="CO184" s="525">
        <f>+M184-(BN184+BW184+CF184)</f>
        <v/>
      </c>
      <c r="CP184" s="525">
        <f>+AE184-(BO184+BX184+CG184)</f>
        <v/>
      </c>
      <c r="CQ184" s="525">
        <f>+AJ184-(BP184+BY184+CH184)</f>
        <v/>
      </c>
      <c r="CR184" s="525">
        <f>+AU184-(BQ184+BZ184+CI184)</f>
        <v/>
      </c>
      <c r="CS184" s="525">
        <f>+BA184-(BR184+CA184+CJ184)</f>
        <v/>
      </c>
      <c r="CT184" s="525">
        <f>+BF184-(BS184+CB184+CK184)</f>
        <v/>
      </c>
      <c r="CU184" s="525">
        <f>BT184+CC184+CL184</f>
        <v/>
      </c>
      <c r="CV184" s="525">
        <f>SUM(CN184:CT184)</f>
        <v/>
      </c>
    </row>
    <row r="185" ht="21" customFormat="1" customHeight="1" s="230">
      <c r="A185" s="453" t="n"/>
      <c r="B185" s="309" t="n"/>
      <c r="C185" s="287">
        <f>IF($A185=0,"",(VLOOKUP(A185,[3]MAT!$B$5:$D$4756,3,FALSE)))</f>
        <v/>
      </c>
      <c r="D185" s="288">
        <f>IF($A185=0,"",(VLOOKUP(A185,[4]Hoja1!$A$2:$D$10000,4,FALSE)))</f>
        <v/>
      </c>
      <c r="E185" s="507" t="n"/>
      <c r="F185" s="526" t="n"/>
      <c r="G185" s="527" t="n"/>
      <c r="H185" s="510" t="n"/>
      <c r="I185" s="511" t="n"/>
      <c r="J185" s="512" t="n"/>
      <c r="K185" s="512" t="n"/>
      <c r="L185" s="513" t="n"/>
      <c r="M185" s="510" t="n"/>
      <c r="N185" s="511" t="n"/>
      <c r="O185" s="512" t="n"/>
      <c r="P185" s="512" t="n"/>
      <c r="Q185" s="512" t="n"/>
      <c r="R185" s="512" t="n"/>
      <c r="S185" s="512" t="n"/>
      <c r="T185" s="512" t="n"/>
      <c r="U185" s="512" t="n"/>
      <c r="V185" s="512" t="n"/>
      <c r="W185" s="512" t="n"/>
      <c r="X185" s="512" t="n"/>
      <c r="Y185" s="512" t="n"/>
      <c r="Z185" s="512" t="n"/>
      <c r="AA185" s="512" t="n"/>
      <c r="AB185" s="512" t="n"/>
      <c r="AC185" s="512" t="n"/>
      <c r="AD185" s="512" t="n"/>
      <c r="AE185" s="510" t="n"/>
      <c r="AF185" s="511" t="n"/>
      <c r="AG185" s="512" t="n"/>
      <c r="AH185" s="512" t="n"/>
      <c r="AI185" s="513" t="n"/>
      <c r="AJ185" s="510" t="n"/>
      <c r="AK185" s="513" t="n"/>
      <c r="AL185" s="513" t="n"/>
      <c r="AM185" s="513" t="n"/>
      <c r="AN185" s="513" t="n"/>
      <c r="AO185" s="513" t="n"/>
      <c r="AP185" s="513" t="n"/>
      <c r="AQ185" s="513" t="n"/>
      <c r="AR185" s="513" t="n"/>
      <c r="AS185" s="513" t="n"/>
      <c r="AT185" s="513" t="n"/>
      <c r="AU185" s="510" t="n"/>
      <c r="AV185" s="527" t="n"/>
      <c r="AW185" s="527" t="n"/>
      <c r="AX185" s="527" t="n"/>
      <c r="AY185" s="527" t="n"/>
      <c r="AZ185" s="527" t="n"/>
      <c r="BA185" s="510">
        <f>SUM(AV185:AZ185)</f>
        <v/>
      </c>
      <c r="BB185" s="511" t="n"/>
      <c r="BC185" s="512" t="n"/>
      <c r="BD185" s="512" t="n"/>
      <c r="BE185" s="512" t="n"/>
      <c r="BF185" s="510">
        <f>SUM(BB185:BE185)</f>
        <v/>
      </c>
      <c r="BG185" s="518" t="n"/>
      <c r="BH185" s="519">
        <f>H185+M185+AE185+AJ185+AU185+BA185+BF185</f>
        <v/>
      </c>
      <c r="BI185" s="528">
        <f>IF(E185-BH185&lt;0, BH185-E185, )</f>
        <v/>
      </c>
      <c r="BJ185" s="529">
        <f>IF(E185-BH185&lt;0, ,E185-BH185)</f>
        <v/>
      </c>
      <c r="BK185" s="546" t="n"/>
      <c r="BM185" s="523" t="n"/>
      <c r="BN185" s="523" t="n"/>
      <c r="BO185" s="523" t="n"/>
      <c r="BP185" s="523" t="n"/>
      <c r="BQ185" s="523" t="n"/>
      <c r="BR185" s="523" t="n"/>
      <c r="BS185" s="523" t="n"/>
      <c r="BT185" s="518">
        <f>SUM(BM185:BS185)</f>
        <v/>
      </c>
      <c r="BU185" s="518" t="n"/>
      <c r="BV185" s="523" t="n"/>
      <c r="BW185" s="523" t="n"/>
      <c r="BX185" s="523" t="n"/>
      <c r="BY185" s="523" t="n"/>
      <c r="BZ185" s="523" t="n"/>
      <c r="CA185" s="523" t="n"/>
      <c r="CB185" s="523" t="n"/>
      <c r="CC185" s="518">
        <f>SUM(BV185:CB185)</f>
        <v/>
      </c>
      <c r="CD185" s="518" t="n"/>
      <c r="CE185" s="523" t="n"/>
      <c r="CF185" s="523" t="n"/>
      <c r="CG185" s="523" t="n"/>
      <c r="CH185" s="523" t="n"/>
      <c r="CI185" s="523" t="n"/>
      <c r="CJ185" s="523" t="n"/>
      <c r="CK185" s="523" t="n"/>
      <c r="CL185" s="518">
        <f>SUM(CE185:CK185)</f>
        <v/>
      </c>
      <c r="CN185" s="525">
        <f>+H185-(BM185+BV185+CE185)</f>
        <v/>
      </c>
      <c r="CO185" s="525">
        <f>+M185-(BN185+BW185+CF185)</f>
        <v/>
      </c>
      <c r="CP185" s="525">
        <f>+AE185-(BO185+BX185+CG185)</f>
        <v/>
      </c>
      <c r="CQ185" s="525">
        <f>+AJ185-(BP185+BY185+CH185)</f>
        <v/>
      </c>
      <c r="CR185" s="525">
        <f>+AU185-(BQ185+BZ185+CI185)</f>
        <v/>
      </c>
      <c r="CS185" s="525">
        <f>+BA185-(BR185+CA185+CJ185)</f>
        <v/>
      </c>
      <c r="CT185" s="525">
        <f>+BF185-(BS185+CB185+CK185)</f>
        <v/>
      </c>
      <c r="CU185" s="525">
        <f>BT185+CC185+CL185</f>
        <v/>
      </c>
      <c r="CV185" s="525">
        <f>SUM(CN185:CT185)</f>
        <v/>
      </c>
    </row>
    <row r="186" ht="21" customFormat="1" customHeight="1" s="230">
      <c r="A186" s="453" t="n"/>
      <c r="B186" s="309" t="n"/>
      <c r="C186" s="287">
        <f>IF($A186=0,"",(VLOOKUP(A186,[3]MAT!$B$5:$D$4756,3,FALSE)))</f>
        <v/>
      </c>
      <c r="D186" s="288">
        <f>IF($A186=0,"",(VLOOKUP(A186,[4]Hoja1!$A$2:$D$10000,4,FALSE)))</f>
        <v/>
      </c>
      <c r="E186" s="507" t="n"/>
      <c r="F186" s="526" t="n"/>
      <c r="G186" s="527" t="n"/>
      <c r="H186" s="510" t="n"/>
      <c r="I186" s="511" t="n"/>
      <c r="J186" s="512" t="n"/>
      <c r="K186" s="512" t="n"/>
      <c r="L186" s="513" t="n"/>
      <c r="M186" s="510" t="n"/>
      <c r="N186" s="511" t="n"/>
      <c r="O186" s="512" t="n"/>
      <c r="P186" s="512" t="n"/>
      <c r="Q186" s="512" t="n"/>
      <c r="R186" s="512" t="n"/>
      <c r="S186" s="512" t="n"/>
      <c r="T186" s="512" t="n"/>
      <c r="U186" s="512" t="n"/>
      <c r="V186" s="512" t="n"/>
      <c r="W186" s="512" t="n"/>
      <c r="X186" s="512" t="n"/>
      <c r="Y186" s="512" t="n"/>
      <c r="Z186" s="512" t="n"/>
      <c r="AA186" s="512" t="n"/>
      <c r="AB186" s="512" t="n"/>
      <c r="AC186" s="512" t="n"/>
      <c r="AD186" s="512" t="n"/>
      <c r="AE186" s="510" t="n"/>
      <c r="AF186" s="511" t="n"/>
      <c r="AG186" s="512" t="n"/>
      <c r="AH186" s="512" t="n"/>
      <c r="AI186" s="513" t="n"/>
      <c r="AJ186" s="510" t="n"/>
      <c r="AK186" s="513" t="n"/>
      <c r="AL186" s="513" t="n"/>
      <c r="AM186" s="513" t="n"/>
      <c r="AN186" s="513" t="n"/>
      <c r="AO186" s="513" t="n"/>
      <c r="AP186" s="513" t="n"/>
      <c r="AQ186" s="513" t="n"/>
      <c r="AR186" s="513" t="n"/>
      <c r="AS186" s="513" t="n"/>
      <c r="AT186" s="513" t="n"/>
      <c r="AU186" s="510" t="n"/>
      <c r="AV186" s="527" t="n"/>
      <c r="AW186" s="527" t="n"/>
      <c r="AX186" s="527" t="n"/>
      <c r="AY186" s="527" t="n"/>
      <c r="AZ186" s="527" t="n"/>
      <c r="BA186" s="510">
        <f>SUM(AV186:AZ186)</f>
        <v/>
      </c>
      <c r="BB186" s="511" t="n"/>
      <c r="BC186" s="512" t="n"/>
      <c r="BD186" s="512" t="n"/>
      <c r="BE186" s="512" t="n"/>
      <c r="BF186" s="510">
        <f>SUM(BB186:BE186)</f>
        <v/>
      </c>
      <c r="BG186" s="518" t="n"/>
      <c r="BH186" s="519">
        <f>H186+M186+AE186+AJ186+AU186+BA186+BF186</f>
        <v/>
      </c>
      <c r="BI186" s="528">
        <f>IF(E186-BH186&lt;0, BH186-E186, )</f>
        <v/>
      </c>
      <c r="BJ186" s="529">
        <f>IF(E186-BH186&lt;0, ,E186-BH186)</f>
        <v/>
      </c>
      <c r="BK186" s="546" t="n"/>
      <c r="BM186" s="523" t="n"/>
      <c r="BN186" s="523" t="n"/>
      <c r="BO186" s="523" t="n"/>
      <c r="BP186" s="523" t="n"/>
      <c r="BQ186" s="523" t="n"/>
      <c r="BR186" s="523" t="n"/>
      <c r="BS186" s="523" t="n"/>
      <c r="BT186" s="518">
        <f>SUM(BM186:BS186)</f>
        <v/>
      </c>
      <c r="BU186" s="518" t="n"/>
      <c r="BV186" s="523" t="n"/>
      <c r="BW186" s="523" t="n"/>
      <c r="BX186" s="523" t="n"/>
      <c r="BY186" s="523" t="n"/>
      <c r="BZ186" s="523" t="n"/>
      <c r="CA186" s="523" t="n"/>
      <c r="CB186" s="523" t="n"/>
      <c r="CC186" s="518">
        <f>SUM(BV186:CB186)</f>
        <v/>
      </c>
      <c r="CD186" s="518" t="n"/>
      <c r="CE186" s="523" t="n"/>
      <c r="CF186" s="523" t="n"/>
      <c r="CG186" s="523" t="n"/>
      <c r="CH186" s="523" t="n"/>
      <c r="CI186" s="523" t="n"/>
      <c r="CJ186" s="523" t="n"/>
      <c r="CK186" s="523" t="n"/>
      <c r="CL186" s="518">
        <f>SUM(CE186:CK186)</f>
        <v/>
      </c>
      <c r="CN186" s="525">
        <f>+H186-(BM186+BV186+CE186)</f>
        <v/>
      </c>
      <c r="CO186" s="525">
        <f>+M186-(BN186+BW186+CF186)</f>
        <v/>
      </c>
      <c r="CP186" s="525">
        <f>+AE186-(BO186+BX186+CG186)</f>
        <v/>
      </c>
      <c r="CQ186" s="525">
        <f>+AJ186-(BP186+BY186+CH186)</f>
        <v/>
      </c>
      <c r="CR186" s="525">
        <f>+AU186-(BQ186+BZ186+CI186)</f>
        <v/>
      </c>
      <c r="CS186" s="525">
        <f>+BA186-(BR186+CA186+CJ186)</f>
        <v/>
      </c>
      <c r="CT186" s="525">
        <f>+BF186-(BS186+CB186+CK186)</f>
        <v/>
      </c>
      <c r="CU186" s="525">
        <f>BT186+CC186+CL186</f>
        <v/>
      </c>
      <c r="CV186" s="525">
        <f>SUM(CN186:CT186)</f>
        <v/>
      </c>
    </row>
    <row r="187" ht="21" customFormat="1" customHeight="1" s="230">
      <c r="A187" s="453" t="n"/>
      <c r="B187" s="309" t="n"/>
      <c r="C187" s="287">
        <f>IF($A187=0,"",(VLOOKUP(A187,[3]MAT!$B$5:$D$4756,3,FALSE)))</f>
        <v/>
      </c>
      <c r="D187" s="288">
        <f>IF($A187=0,"",(VLOOKUP(A187,[4]Hoja1!$A$2:$D$10000,4,FALSE)))</f>
        <v/>
      </c>
      <c r="E187" s="507" t="n"/>
      <c r="F187" s="526" t="n"/>
      <c r="G187" s="527" t="n"/>
      <c r="H187" s="510" t="n"/>
      <c r="I187" s="511" t="n"/>
      <c r="J187" s="512" t="n"/>
      <c r="K187" s="512" t="n"/>
      <c r="L187" s="513" t="n"/>
      <c r="M187" s="510" t="n"/>
      <c r="N187" s="511" t="n"/>
      <c r="O187" s="512" t="n"/>
      <c r="P187" s="512" t="n"/>
      <c r="Q187" s="512" t="n"/>
      <c r="R187" s="512" t="n"/>
      <c r="S187" s="512" t="n"/>
      <c r="T187" s="512" t="n"/>
      <c r="U187" s="512" t="n"/>
      <c r="V187" s="512" t="n"/>
      <c r="W187" s="512" t="n"/>
      <c r="X187" s="512" t="n"/>
      <c r="Y187" s="512" t="n"/>
      <c r="Z187" s="512" t="n"/>
      <c r="AA187" s="512" t="n"/>
      <c r="AB187" s="512" t="n"/>
      <c r="AC187" s="512" t="n"/>
      <c r="AD187" s="512" t="n"/>
      <c r="AE187" s="510" t="n"/>
      <c r="AF187" s="511" t="n"/>
      <c r="AG187" s="512" t="n"/>
      <c r="AH187" s="512" t="n"/>
      <c r="AI187" s="513" t="n"/>
      <c r="AJ187" s="510" t="n"/>
      <c r="AK187" s="513" t="n"/>
      <c r="AL187" s="513" t="n"/>
      <c r="AM187" s="513" t="n"/>
      <c r="AN187" s="513" t="n"/>
      <c r="AO187" s="513" t="n"/>
      <c r="AP187" s="513" t="n"/>
      <c r="AQ187" s="513" t="n"/>
      <c r="AR187" s="513" t="n"/>
      <c r="AS187" s="513" t="n"/>
      <c r="AT187" s="513" t="n"/>
      <c r="AU187" s="510" t="n"/>
      <c r="AV187" s="527" t="n"/>
      <c r="AW187" s="527" t="n"/>
      <c r="AX187" s="527" t="n"/>
      <c r="AY187" s="527" t="n"/>
      <c r="AZ187" s="527" t="n"/>
      <c r="BA187" s="510">
        <f>SUM(AV187:AZ187)</f>
        <v/>
      </c>
      <c r="BB187" s="511" t="n"/>
      <c r="BC187" s="512" t="n"/>
      <c r="BD187" s="512" t="n"/>
      <c r="BE187" s="512" t="n"/>
      <c r="BF187" s="510">
        <f>SUM(BB187:BE187)</f>
        <v/>
      </c>
      <c r="BG187" s="518" t="n"/>
      <c r="BH187" s="519">
        <f>H187+M187+AE187+AJ187+AU187+BA187+BF187</f>
        <v/>
      </c>
      <c r="BI187" s="528">
        <f>IF(E187-BH187&lt;0, BH187-E187, )</f>
        <v/>
      </c>
      <c r="BJ187" s="529">
        <f>IF(E187-BH187&lt;0, ,E187-BH187)</f>
        <v/>
      </c>
      <c r="BK187" s="546" t="n"/>
      <c r="BM187" s="523" t="n"/>
      <c r="BN187" s="523" t="n"/>
      <c r="BO187" s="523" t="n"/>
      <c r="BP187" s="523" t="n"/>
      <c r="BQ187" s="523" t="n"/>
      <c r="BR187" s="523" t="n"/>
      <c r="BS187" s="523" t="n"/>
      <c r="BT187" s="518">
        <f>SUM(BM187:BS187)</f>
        <v/>
      </c>
      <c r="BU187" s="518" t="n"/>
      <c r="BV187" s="523" t="n"/>
      <c r="BW187" s="523" t="n"/>
      <c r="BX187" s="523" t="n"/>
      <c r="BY187" s="523" t="n"/>
      <c r="BZ187" s="523" t="n"/>
      <c r="CA187" s="523" t="n"/>
      <c r="CB187" s="523" t="n"/>
      <c r="CC187" s="518">
        <f>SUM(BV187:CB187)</f>
        <v/>
      </c>
      <c r="CD187" s="518" t="n"/>
      <c r="CE187" s="523" t="n"/>
      <c r="CF187" s="523" t="n"/>
      <c r="CG187" s="523" t="n"/>
      <c r="CH187" s="523" t="n"/>
      <c r="CI187" s="523" t="n"/>
      <c r="CJ187" s="523" t="n"/>
      <c r="CK187" s="523" t="n"/>
      <c r="CL187" s="518">
        <f>SUM(CE187:CK187)</f>
        <v/>
      </c>
      <c r="CN187" s="525">
        <f>+H187-(BM187+BV187+CE187)</f>
        <v/>
      </c>
      <c r="CO187" s="525">
        <f>+M187-(BN187+BW187+CF187)</f>
        <v/>
      </c>
      <c r="CP187" s="525">
        <f>+AE187-(BO187+BX187+CG187)</f>
        <v/>
      </c>
      <c r="CQ187" s="525">
        <f>+AJ187-(BP187+BY187+CH187)</f>
        <v/>
      </c>
      <c r="CR187" s="525">
        <f>+AU187-(BQ187+BZ187+CI187)</f>
        <v/>
      </c>
      <c r="CS187" s="525">
        <f>+BA187-(BR187+CA187+CJ187)</f>
        <v/>
      </c>
      <c r="CT187" s="525">
        <f>+BF187-(BS187+CB187+CK187)</f>
        <v/>
      </c>
      <c r="CU187" s="525">
        <f>BT187+CC187+CL187</f>
        <v/>
      </c>
      <c r="CV187" s="525">
        <f>SUM(CN187:CT187)</f>
        <v/>
      </c>
    </row>
    <row r="188" ht="21" customFormat="1" customHeight="1" s="230">
      <c r="A188" s="453" t="n"/>
      <c r="B188" s="309" t="n"/>
      <c r="C188" s="287">
        <f>IF($A188=0,"",(VLOOKUP(A188,[3]MAT!$B$5:$D$4756,3,FALSE)))</f>
        <v/>
      </c>
      <c r="D188" s="288">
        <f>IF($A188=0,"",(VLOOKUP(A188,[4]Hoja1!$A$2:$D$10000,4,FALSE)))</f>
        <v/>
      </c>
      <c r="E188" s="507" t="n"/>
      <c r="F188" s="526" t="n"/>
      <c r="G188" s="527" t="n"/>
      <c r="H188" s="510" t="n"/>
      <c r="I188" s="511" t="n"/>
      <c r="J188" s="512" t="n"/>
      <c r="K188" s="512" t="n"/>
      <c r="L188" s="513" t="n"/>
      <c r="M188" s="510" t="n"/>
      <c r="N188" s="511" t="n"/>
      <c r="O188" s="512" t="n"/>
      <c r="P188" s="512" t="n"/>
      <c r="Q188" s="512" t="n"/>
      <c r="R188" s="512" t="n"/>
      <c r="S188" s="512" t="n"/>
      <c r="T188" s="512" t="n"/>
      <c r="U188" s="512" t="n"/>
      <c r="V188" s="512" t="n"/>
      <c r="W188" s="512" t="n"/>
      <c r="X188" s="512" t="n"/>
      <c r="Y188" s="512" t="n"/>
      <c r="Z188" s="512" t="n"/>
      <c r="AA188" s="512" t="n"/>
      <c r="AB188" s="512" t="n"/>
      <c r="AC188" s="512" t="n"/>
      <c r="AD188" s="512" t="n"/>
      <c r="AE188" s="510" t="n"/>
      <c r="AF188" s="511" t="n"/>
      <c r="AG188" s="512" t="n"/>
      <c r="AH188" s="512" t="n"/>
      <c r="AI188" s="513" t="n"/>
      <c r="AJ188" s="510" t="n"/>
      <c r="AK188" s="513" t="n"/>
      <c r="AL188" s="513" t="n"/>
      <c r="AM188" s="513" t="n"/>
      <c r="AN188" s="513" t="n"/>
      <c r="AO188" s="513" t="n"/>
      <c r="AP188" s="513" t="n"/>
      <c r="AQ188" s="513" t="n"/>
      <c r="AR188" s="513" t="n"/>
      <c r="AS188" s="513" t="n"/>
      <c r="AT188" s="513" t="n"/>
      <c r="AU188" s="510" t="n"/>
      <c r="AV188" s="527" t="n"/>
      <c r="AW188" s="527" t="n"/>
      <c r="AX188" s="527" t="n"/>
      <c r="AY188" s="527" t="n"/>
      <c r="AZ188" s="527" t="n"/>
      <c r="BA188" s="510">
        <f>SUM(AV188:AZ188)</f>
        <v/>
      </c>
      <c r="BB188" s="511" t="n"/>
      <c r="BC188" s="512" t="n"/>
      <c r="BD188" s="512" t="n"/>
      <c r="BE188" s="512" t="n"/>
      <c r="BF188" s="510">
        <f>SUM(BB188:BE188)</f>
        <v/>
      </c>
      <c r="BG188" s="518" t="n"/>
      <c r="BH188" s="519">
        <f>H188+M188+AE188+AJ188+AU188+BA188+BF188</f>
        <v/>
      </c>
      <c r="BI188" s="528">
        <f>IF(E188-BH188&lt;0, BH188-E188, )</f>
        <v/>
      </c>
      <c r="BJ188" s="529">
        <f>IF(E188-BH188&lt;0, ,E188-BH188)</f>
        <v/>
      </c>
      <c r="BK188" s="546" t="n"/>
      <c r="BM188" s="523" t="n"/>
      <c r="BN188" s="523" t="n"/>
      <c r="BO188" s="523" t="n"/>
      <c r="BP188" s="523" t="n"/>
      <c r="BQ188" s="523" t="n"/>
      <c r="BR188" s="523" t="n"/>
      <c r="BS188" s="523" t="n"/>
      <c r="BT188" s="518">
        <f>SUM(BM188:BS188)</f>
        <v/>
      </c>
      <c r="BU188" s="518" t="n"/>
      <c r="BV188" s="523" t="n"/>
      <c r="BW188" s="523" t="n"/>
      <c r="BX188" s="523" t="n"/>
      <c r="BY188" s="523" t="n"/>
      <c r="BZ188" s="523" t="n"/>
      <c r="CA188" s="523" t="n"/>
      <c r="CB188" s="523" t="n"/>
      <c r="CC188" s="518">
        <f>SUM(BV188:CB188)</f>
        <v/>
      </c>
      <c r="CD188" s="518" t="n"/>
      <c r="CE188" s="523" t="n"/>
      <c r="CF188" s="523" t="n"/>
      <c r="CG188" s="523" t="n"/>
      <c r="CH188" s="523" t="n"/>
      <c r="CI188" s="523" t="n"/>
      <c r="CJ188" s="523" t="n"/>
      <c r="CK188" s="523" t="n"/>
      <c r="CL188" s="518">
        <f>SUM(CE188:CK188)</f>
        <v/>
      </c>
      <c r="CN188" s="525">
        <f>+H188-(BM188+BV188+CE188)</f>
        <v/>
      </c>
      <c r="CO188" s="525">
        <f>+M188-(BN188+BW188+CF188)</f>
        <v/>
      </c>
      <c r="CP188" s="525">
        <f>+AE188-(BO188+BX188+CG188)</f>
        <v/>
      </c>
      <c r="CQ188" s="525">
        <f>+AJ188-(BP188+BY188+CH188)</f>
        <v/>
      </c>
      <c r="CR188" s="525">
        <f>+AU188-(BQ188+BZ188+CI188)</f>
        <v/>
      </c>
      <c r="CS188" s="525">
        <f>+BA188-(BR188+CA188+CJ188)</f>
        <v/>
      </c>
      <c r="CT188" s="525">
        <f>+BF188-(BS188+CB188+CK188)</f>
        <v/>
      </c>
      <c r="CU188" s="525">
        <f>BT188+CC188+CL188</f>
        <v/>
      </c>
      <c r="CV188" s="525">
        <f>SUM(CN188:CT188)</f>
        <v/>
      </c>
    </row>
    <row r="189" ht="21" customFormat="1" customHeight="1" s="230">
      <c r="A189" s="453" t="n"/>
      <c r="B189" s="309" t="n"/>
      <c r="C189" s="287">
        <f>IF($A189=0,"",(VLOOKUP(A189,[3]MAT!$B$5:$D$4756,3,FALSE)))</f>
        <v/>
      </c>
      <c r="D189" s="288">
        <f>IF($A189=0,"",(VLOOKUP(A189,[4]Hoja1!$A$2:$D$10000,4,FALSE)))</f>
        <v/>
      </c>
      <c r="E189" s="507" t="n"/>
      <c r="F189" s="526" t="n"/>
      <c r="G189" s="527" t="n"/>
      <c r="H189" s="510" t="n"/>
      <c r="I189" s="511" t="n"/>
      <c r="J189" s="512" t="n"/>
      <c r="K189" s="512" t="n"/>
      <c r="L189" s="513" t="n"/>
      <c r="M189" s="510" t="n"/>
      <c r="N189" s="511" t="n"/>
      <c r="O189" s="512" t="n"/>
      <c r="P189" s="512" t="n"/>
      <c r="Q189" s="512" t="n"/>
      <c r="R189" s="512" t="n"/>
      <c r="S189" s="512" t="n"/>
      <c r="T189" s="512" t="n"/>
      <c r="U189" s="512" t="n"/>
      <c r="V189" s="512" t="n"/>
      <c r="W189" s="512" t="n"/>
      <c r="X189" s="512" t="n"/>
      <c r="Y189" s="512" t="n"/>
      <c r="Z189" s="512" t="n"/>
      <c r="AA189" s="512" t="n"/>
      <c r="AB189" s="512" t="n"/>
      <c r="AC189" s="512" t="n"/>
      <c r="AD189" s="512" t="n"/>
      <c r="AE189" s="510" t="n"/>
      <c r="AF189" s="511" t="n"/>
      <c r="AG189" s="512" t="n"/>
      <c r="AH189" s="512" t="n"/>
      <c r="AI189" s="513" t="n"/>
      <c r="AJ189" s="510" t="n"/>
      <c r="AK189" s="513" t="n"/>
      <c r="AL189" s="513" t="n"/>
      <c r="AM189" s="513" t="n"/>
      <c r="AN189" s="513" t="n"/>
      <c r="AO189" s="513" t="n"/>
      <c r="AP189" s="513" t="n"/>
      <c r="AQ189" s="513" t="n"/>
      <c r="AR189" s="513" t="n"/>
      <c r="AS189" s="513" t="n"/>
      <c r="AT189" s="513" t="n"/>
      <c r="AU189" s="510" t="n"/>
      <c r="AV189" s="527" t="n"/>
      <c r="AW189" s="527" t="n"/>
      <c r="AX189" s="527" t="n"/>
      <c r="AY189" s="527" t="n"/>
      <c r="AZ189" s="527" t="n"/>
      <c r="BA189" s="510">
        <f>SUM(AV189:AZ189)</f>
        <v/>
      </c>
      <c r="BB189" s="511" t="n"/>
      <c r="BC189" s="512" t="n"/>
      <c r="BD189" s="512" t="n"/>
      <c r="BE189" s="512" t="n"/>
      <c r="BF189" s="510">
        <f>SUM(BB189:BE189)</f>
        <v/>
      </c>
      <c r="BG189" s="518" t="n"/>
      <c r="BH189" s="519">
        <f>H189+M189+AE189+AJ189+AU189+BA189+BF189</f>
        <v/>
      </c>
      <c r="BI189" s="528">
        <f>IF(E189-BH189&lt;0, BH189-E189, )</f>
        <v/>
      </c>
      <c r="BJ189" s="529">
        <f>IF(E189-BH189&lt;0, ,E189-BH189)</f>
        <v/>
      </c>
      <c r="BK189" s="546" t="n"/>
      <c r="BM189" s="523" t="n"/>
      <c r="BN189" s="523" t="n"/>
      <c r="BO189" s="523" t="n"/>
      <c r="BP189" s="523" t="n"/>
      <c r="BQ189" s="523" t="n"/>
      <c r="BR189" s="523" t="n"/>
      <c r="BS189" s="523" t="n"/>
      <c r="BT189" s="518">
        <f>SUM(BM189:BS189)</f>
        <v/>
      </c>
      <c r="BU189" s="518" t="n"/>
      <c r="BV189" s="523" t="n"/>
      <c r="BW189" s="523" t="n"/>
      <c r="BX189" s="523" t="n"/>
      <c r="BY189" s="523" t="n"/>
      <c r="BZ189" s="523" t="n"/>
      <c r="CA189" s="523" t="n"/>
      <c r="CB189" s="523" t="n"/>
      <c r="CC189" s="518">
        <f>SUM(BV189:CB189)</f>
        <v/>
      </c>
      <c r="CD189" s="518" t="n"/>
      <c r="CE189" s="523" t="n"/>
      <c r="CF189" s="523" t="n"/>
      <c r="CG189" s="523" t="n"/>
      <c r="CH189" s="523" t="n"/>
      <c r="CI189" s="523" t="n"/>
      <c r="CJ189" s="523" t="n"/>
      <c r="CK189" s="523" t="n"/>
      <c r="CL189" s="518">
        <f>SUM(CE189:CK189)</f>
        <v/>
      </c>
      <c r="CN189" s="525">
        <f>+H189-(BM189+BV189+CE189)</f>
        <v/>
      </c>
      <c r="CO189" s="525">
        <f>+M189-(BN189+BW189+CF189)</f>
        <v/>
      </c>
      <c r="CP189" s="525">
        <f>+AE189-(BO189+BX189+CG189)</f>
        <v/>
      </c>
      <c r="CQ189" s="525">
        <f>+AJ189-(BP189+BY189+CH189)</f>
        <v/>
      </c>
      <c r="CR189" s="525">
        <f>+AU189-(BQ189+BZ189+CI189)</f>
        <v/>
      </c>
      <c r="CS189" s="525">
        <f>+BA189-(BR189+CA189+CJ189)</f>
        <v/>
      </c>
      <c r="CT189" s="525">
        <f>+BF189-(BS189+CB189+CK189)</f>
        <v/>
      </c>
      <c r="CU189" s="525">
        <f>BT189+CC189+CL189</f>
        <v/>
      </c>
      <c r="CV189" s="525">
        <f>SUM(CN189:CT189)</f>
        <v/>
      </c>
    </row>
    <row r="190" ht="21" customFormat="1" customHeight="1" s="230">
      <c r="A190" s="453" t="n"/>
      <c r="B190" s="309" t="n"/>
      <c r="C190" s="287">
        <f>IF($A190=0,"",(VLOOKUP(A190,[3]MAT!$B$5:$D$4756,3,FALSE)))</f>
        <v/>
      </c>
      <c r="D190" s="288">
        <f>IF($A190=0,"",(VLOOKUP(A190,[4]Hoja1!$A$2:$D$10000,4,FALSE)))</f>
        <v/>
      </c>
      <c r="E190" s="507" t="n"/>
      <c r="F190" s="526" t="n"/>
      <c r="G190" s="527" t="n"/>
      <c r="H190" s="510" t="n"/>
      <c r="I190" s="511" t="n"/>
      <c r="J190" s="512" t="n"/>
      <c r="K190" s="512" t="n"/>
      <c r="L190" s="513" t="n"/>
      <c r="M190" s="510" t="n"/>
      <c r="N190" s="511" t="n"/>
      <c r="O190" s="512" t="n"/>
      <c r="P190" s="512" t="n"/>
      <c r="Q190" s="512" t="n"/>
      <c r="R190" s="512" t="n"/>
      <c r="S190" s="512" t="n"/>
      <c r="T190" s="512" t="n"/>
      <c r="U190" s="512" t="n"/>
      <c r="V190" s="512" t="n"/>
      <c r="W190" s="512" t="n"/>
      <c r="X190" s="512" t="n"/>
      <c r="Y190" s="512" t="n"/>
      <c r="Z190" s="512" t="n"/>
      <c r="AA190" s="512" t="n"/>
      <c r="AB190" s="512" t="n"/>
      <c r="AC190" s="512" t="n"/>
      <c r="AD190" s="512" t="n"/>
      <c r="AE190" s="510" t="n"/>
      <c r="AF190" s="511" t="n"/>
      <c r="AG190" s="512" t="n"/>
      <c r="AH190" s="512" t="n"/>
      <c r="AI190" s="513" t="n"/>
      <c r="AJ190" s="510" t="n"/>
      <c r="AK190" s="513" t="n"/>
      <c r="AL190" s="513" t="n"/>
      <c r="AM190" s="513" t="n"/>
      <c r="AN190" s="513" t="n"/>
      <c r="AO190" s="513" t="n"/>
      <c r="AP190" s="513" t="n"/>
      <c r="AQ190" s="513" t="n"/>
      <c r="AR190" s="513" t="n"/>
      <c r="AS190" s="513" t="n"/>
      <c r="AT190" s="513" t="n"/>
      <c r="AU190" s="510" t="n"/>
      <c r="AV190" s="527" t="n"/>
      <c r="AW190" s="527" t="n"/>
      <c r="AX190" s="527" t="n"/>
      <c r="AY190" s="527" t="n"/>
      <c r="AZ190" s="527" t="n"/>
      <c r="BA190" s="510">
        <f>SUM(AV190:AZ190)</f>
        <v/>
      </c>
      <c r="BB190" s="511" t="n"/>
      <c r="BC190" s="512" t="n"/>
      <c r="BD190" s="512" t="n"/>
      <c r="BE190" s="512" t="n"/>
      <c r="BF190" s="510">
        <f>SUM(BB190:BE190)</f>
        <v/>
      </c>
      <c r="BG190" s="518" t="n"/>
      <c r="BH190" s="519">
        <f>H190+M190+AE190+AJ190+AU190+BA190+BF190</f>
        <v/>
      </c>
      <c r="BI190" s="528">
        <f>IF(E190-BH190&lt;0, BH190-E190, )</f>
        <v/>
      </c>
      <c r="BJ190" s="529">
        <f>IF(E190-BH190&lt;0, ,E190-BH190)</f>
        <v/>
      </c>
      <c r="BK190" s="546" t="n"/>
      <c r="BM190" s="523" t="n"/>
      <c r="BN190" s="523" t="n"/>
      <c r="BO190" s="523" t="n"/>
      <c r="BP190" s="523" t="n"/>
      <c r="BQ190" s="523" t="n"/>
      <c r="BR190" s="523" t="n"/>
      <c r="BS190" s="523" t="n"/>
      <c r="BT190" s="518">
        <f>SUM(BM190:BS190)</f>
        <v/>
      </c>
      <c r="BU190" s="518" t="n"/>
      <c r="BV190" s="523" t="n"/>
      <c r="BW190" s="523" t="n"/>
      <c r="BX190" s="523" t="n"/>
      <c r="BY190" s="523" t="n"/>
      <c r="BZ190" s="523" t="n"/>
      <c r="CA190" s="523" t="n"/>
      <c r="CB190" s="523" t="n"/>
      <c r="CC190" s="518">
        <f>SUM(BV190:CB190)</f>
        <v/>
      </c>
      <c r="CD190" s="518" t="n"/>
      <c r="CE190" s="523" t="n"/>
      <c r="CF190" s="523" t="n"/>
      <c r="CG190" s="523" t="n"/>
      <c r="CH190" s="523" t="n"/>
      <c r="CI190" s="523" t="n"/>
      <c r="CJ190" s="523" t="n"/>
      <c r="CK190" s="523" t="n"/>
      <c r="CL190" s="518">
        <f>SUM(CE190:CK190)</f>
        <v/>
      </c>
      <c r="CN190" s="525">
        <f>+H190-(BM190+BV190+CE190)</f>
        <v/>
      </c>
      <c r="CO190" s="525">
        <f>+M190-(BN190+BW190+CF190)</f>
        <v/>
      </c>
      <c r="CP190" s="525">
        <f>+AE190-(BO190+BX190+CG190)</f>
        <v/>
      </c>
      <c r="CQ190" s="525">
        <f>+AJ190-(BP190+BY190+CH190)</f>
        <v/>
      </c>
      <c r="CR190" s="525">
        <f>+AU190-(BQ190+BZ190+CI190)</f>
        <v/>
      </c>
      <c r="CS190" s="525">
        <f>+BA190-(BR190+CA190+CJ190)</f>
        <v/>
      </c>
      <c r="CT190" s="525">
        <f>+BF190-(BS190+CB190+CK190)</f>
        <v/>
      </c>
      <c r="CU190" s="525">
        <f>BT190+CC190+CL190</f>
        <v/>
      </c>
      <c r="CV190" s="525">
        <f>SUM(CN190:CT190)</f>
        <v/>
      </c>
    </row>
    <row r="191" ht="21" customFormat="1" customHeight="1" s="230">
      <c r="A191" s="453" t="n"/>
      <c r="B191" s="309" t="n"/>
      <c r="C191" s="287">
        <f>IF($A191=0,"",(VLOOKUP(A191,[3]MAT!$B$5:$D$4756,3,FALSE)))</f>
        <v/>
      </c>
      <c r="D191" s="288">
        <f>IF($A191=0,"",(VLOOKUP(A191,[4]Hoja1!$A$2:$D$10000,4,FALSE)))</f>
        <v/>
      </c>
      <c r="E191" s="507" t="n"/>
      <c r="F191" s="526" t="n"/>
      <c r="G191" s="527" t="n"/>
      <c r="H191" s="510" t="n"/>
      <c r="I191" s="511" t="n"/>
      <c r="J191" s="512" t="n"/>
      <c r="K191" s="512" t="n"/>
      <c r="L191" s="513" t="n"/>
      <c r="M191" s="510" t="n"/>
      <c r="N191" s="511" t="n"/>
      <c r="O191" s="512" t="n"/>
      <c r="P191" s="512" t="n"/>
      <c r="Q191" s="512" t="n"/>
      <c r="R191" s="512" t="n"/>
      <c r="S191" s="512" t="n"/>
      <c r="T191" s="512" t="n"/>
      <c r="U191" s="512" t="n"/>
      <c r="V191" s="512" t="n"/>
      <c r="W191" s="512" t="n"/>
      <c r="X191" s="512" t="n"/>
      <c r="Y191" s="512" t="n"/>
      <c r="Z191" s="512" t="n"/>
      <c r="AA191" s="512" t="n"/>
      <c r="AB191" s="512" t="n"/>
      <c r="AC191" s="512" t="n"/>
      <c r="AD191" s="512" t="n"/>
      <c r="AE191" s="510" t="n"/>
      <c r="AF191" s="511" t="n"/>
      <c r="AG191" s="512" t="n"/>
      <c r="AH191" s="512" t="n"/>
      <c r="AI191" s="513" t="n"/>
      <c r="AJ191" s="510" t="n"/>
      <c r="AK191" s="513" t="n"/>
      <c r="AL191" s="513" t="n"/>
      <c r="AM191" s="513" t="n"/>
      <c r="AN191" s="513" t="n"/>
      <c r="AO191" s="513" t="n"/>
      <c r="AP191" s="513" t="n"/>
      <c r="AQ191" s="513" t="n"/>
      <c r="AR191" s="513" t="n"/>
      <c r="AS191" s="513" t="n"/>
      <c r="AT191" s="513" t="n"/>
      <c r="AU191" s="510" t="n"/>
      <c r="AV191" s="527" t="n"/>
      <c r="AW191" s="527" t="n"/>
      <c r="AX191" s="527" t="n"/>
      <c r="AY191" s="527" t="n"/>
      <c r="AZ191" s="527" t="n"/>
      <c r="BA191" s="510">
        <f>SUM(AV191:AZ191)</f>
        <v/>
      </c>
      <c r="BB191" s="511" t="n"/>
      <c r="BC191" s="512" t="n"/>
      <c r="BD191" s="512" t="n"/>
      <c r="BE191" s="512" t="n"/>
      <c r="BF191" s="510">
        <f>SUM(BB191:BE191)</f>
        <v/>
      </c>
      <c r="BG191" s="518" t="n"/>
      <c r="BH191" s="519">
        <f>H191+M191+AE191+AJ191+AU191+BA191+BF191</f>
        <v/>
      </c>
      <c r="BI191" s="528">
        <f>IF(E191-BH191&lt;0, BH191-E191, )</f>
        <v/>
      </c>
      <c r="BJ191" s="529">
        <f>IF(E191-BH191&lt;0, ,E191-BH191)</f>
        <v/>
      </c>
      <c r="BK191" s="549" t="n"/>
      <c r="BM191" s="523" t="n"/>
      <c r="BN191" s="523" t="n"/>
      <c r="BO191" s="523" t="n"/>
      <c r="BP191" s="523" t="n"/>
      <c r="BQ191" s="523" t="n"/>
      <c r="BR191" s="523" t="n"/>
      <c r="BS191" s="523" t="n"/>
      <c r="BT191" s="518">
        <f>SUM(BM191:BS191)</f>
        <v/>
      </c>
      <c r="BU191" s="518" t="n"/>
      <c r="BV191" s="523" t="n"/>
      <c r="BW191" s="523" t="n"/>
      <c r="BX191" s="523" t="n"/>
      <c r="BY191" s="523" t="n"/>
      <c r="BZ191" s="523" t="n"/>
      <c r="CA191" s="523" t="n"/>
      <c r="CB191" s="523" t="n"/>
      <c r="CC191" s="518">
        <f>SUM(BV191:CB191)</f>
        <v/>
      </c>
      <c r="CD191" s="518" t="n"/>
      <c r="CE191" s="523" t="n"/>
      <c r="CF191" s="523" t="n"/>
      <c r="CG191" s="523" t="n"/>
      <c r="CH191" s="523" t="n"/>
      <c r="CI191" s="523" t="n"/>
      <c r="CJ191" s="523" t="n"/>
      <c r="CK191" s="523" t="n"/>
      <c r="CL191" s="518">
        <f>SUM(CE191:CK191)</f>
        <v/>
      </c>
      <c r="CN191" s="525">
        <f>+H191-(BM191+BV191+CE191)</f>
        <v/>
      </c>
      <c r="CO191" s="525">
        <f>+M191-(BN191+BW191+CF191)</f>
        <v/>
      </c>
      <c r="CP191" s="525">
        <f>+AE191-(BO191+BX191+CG191)</f>
        <v/>
      </c>
      <c r="CQ191" s="525">
        <f>+AJ191-(BP191+BY191+CH191)</f>
        <v/>
      </c>
      <c r="CR191" s="525">
        <f>+AU191-(BQ191+BZ191+CI191)</f>
        <v/>
      </c>
      <c r="CS191" s="525">
        <f>+BA191-(BR191+CA191+CJ191)</f>
        <v/>
      </c>
      <c r="CT191" s="525">
        <f>+BF191-(BS191+CB191+CK191)</f>
        <v/>
      </c>
      <c r="CU191" s="525">
        <f>BT191+CC191+CL191</f>
        <v/>
      </c>
      <c r="CV191" s="525">
        <f>SUM(CN191:CT191)</f>
        <v/>
      </c>
    </row>
    <row r="192" ht="20.25" customFormat="1" customHeight="1" s="230">
      <c r="E192" s="234" t="n"/>
      <c r="F192" s="492" t="n"/>
      <c r="G192" s="492" t="n"/>
      <c r="H192" s="493" t="n"/>
      <c r="I192" s="492" t="n"/>
      <c r="J192" s="492" t="n"/>
      <c r="K192" s="492" t="n"/>
      <c r="L192" s="492" t="n"/>
      <c r="M192" s="493" t="n"/>
      <c r="N192" s="492" t="n"/>
      <c r="O192" s="492" t="n"/>
      <c r="P192" s="492" t="n"/>
      <c r="Q192" s="492" t="n"/>
      <c r="R192" s="492" t="n"/>
      <c r="S192" s="492" t="n"/>
      <c r="T192" s="492" t="n"/>
      <c r="U192" s="492" t="n"/>
      <c r="V192" s="492" t="n"/>
      <c r="W192" s="492" t="n"/>
      <c r="X192" s="492" t="n"/>
      <c r="Y192" s="492" t="n"/>
      <c r="Z192" s="492" t="n"/>
      <c r="AA192" s="492" t="n"/>
      <c r="AB192" s="492" t="n"/>
      <c r="AC192" s="492" t="n"/>
      <c r="AD192" s="492" t="n"/>
      <c r="AE192" s="493" t="n"/>
      <c r="AF192" s="492" t="n"/>
      <c r="AG192" s="492" t="n"/>
      <c r="AH192" s="492" t="n"/>
      <c r="AI192" s="492" t="n"/>
      <c r="AJ192" s="493" t="n"/>
      <c r="AK192" s="492" t="n"/>
      <c r="AL192" s="492" t="n"/>
      <c r="AM192" s="492" t="n"/>
      <c r="AN192" s="492" t="n"/>
      <c r="AO192" s="492" t="n"/>
      <c r="AP192" s="492" t="n"/>
      <c r="AQ192" s="492" t="n"/>
      <c r="AR192" s="492" t="n"/>
      <c r="AS192" s="492" t="n"/>
      <c r="AT192" s="492" t="n"/>
      <c r="AU192" s="493" t="n"/>
      <c r="AV192" s="492" t="n"/>
      <c r="AW192" s="492" t="n"/>
      <c r="AX192" s="492" t="n"/>
      <c r="AY192" s="492" t="n"/>
      <c r="AZ192" s="492" t="n"/>
      <c r="BA192" s="493" t="n"/>
      <c r="BB192" s="492" t="n"/>
      <c r="BC192" s="492" t="n"/>
      <c r="BD192" s="492" t="n"/>
      <c r="BE192" s="492" t="n"/>
      <c r="BF192" s="493" t="n"/>
      <c r="BG192" s="493" t="n"/>
      <c r="BH192" s="495" t="n"/>
      <c r="BI192" s="496" t="n"/>
      <c r="BJ192" s="496" t="n"/>
      <c r="BK192" s="550" t="n"/>
      <c r="BM192" s="493" t="n"/>
      <c r="BN192" s="493" t="n"/>
      <c r="BO192" s="493" t="n"/>
      <c r="BP192" s="493" t="n"/>
      <c r="BQ192" s="493" t="n"/>
      <c r="BR192" s="493" t="n"/>
      <c r="BS192" s="493" t="n"/>
      <c r="BT192" s="493" t="n"/>
      <c r="BU192" s="493" t="n"/>
      <c r="BV192" s="493" t="n"/>
      <c r="BW192" s="493" t="n"/>
      <c r="BX192" s="493" t="n"/>
      <c r="BY192" s="493" t="n"/>
      <c r="BZ192" s="493" t="n"/>
      <c r="CA192" s="493" t="n"/>
      <c r="CB192" s="493" t="n"/>
      <c r="CC192" s="493" t="n"/>
      <c r="CD192" s="493" t="n"/>
      <c r="CE192" s="493" t="n"/>
      <c r="CF192" s="493" t="n"/>
      <c r="CG192" s="493" t="n"/>
      <c r="CH192" s="493" t="n"/>
      <c r="CI192" s="493" t="n"/>
      <c r="CJ192" s="493" t="n"/>
      <c r="CK192" s="493" t="n"/>
      <c r="CL192" s="493" t="n"/>
    </row>
    <row r="193" customFormat="1" s="230">
      <c r="E193" s="234" t="n"/>
      <c r="F193" s="492" t="n"/>
      <c r="G193" s="492" t="n"/>
      <c r="H193" s="493" t="n"/>
      <c r="I193" s="492" t="n"/>
      <c r="J193" s="492" t="n"/>
      <c r="K193" s="492" t="n"/>
      <c r="L193" s="492" t="n"/>
      <c r="M193" s="493" t="n"/>
      <c r="N193" s="492" t="n"/>
      <c r="O193" s="492" t="n"/>
      <c r="P193" s="492" t="n"/>
      <c r="Q193" s="492" t="n"/>
      <c r="R193" s="492" t="n"/>
      <c r="S193" s="492" t="n"/>
      <c r="T193" s="492" t="n"/>
      <c r="U193" s="492" t="n"/>
      <c r="V193" s="492" t="n"/>
      <c r="W193" s="492" t="n"/>
      <c r="X193" s="492" t="n"/>
      <c r="Y193" s="492" t="n"/>
      <c r="Z193" s="492" t="n"/>
      <c r="AA193" s="492" t="n"/>
      <c r="AB193" s="492" t="n"/>
      <c r="AC193" s="492" t="n"/>
      <c r="AD193" s="492" t="n"/>
      <c r="AE193" s="493" t="n"/>
      <c r="AF193" s="492" t="n"/>
      <c r="AG193" s="492" t="n"/>
      <c r="AH193" s="492" t="n"/>
      <c r="AI193" s="492" t="n"/>
      <c r="AJ193" s="493" t="n"/>
      <c r="AK193" s="492" t="n"/>
      <c r="AL193" s="492" t="n"/>
      <c r="AM193" s="492" t="n"/>
      <c r="AN193" s="492" t="n"/>
      <c r="AO193" s="492" t="n"/>
      <c r="AP193" s="492" t="n"/>
      <c r="AQ193" s="492" t="n"/>
      <c r="AR193" s="492" t="n"/>
      <c r="AS193" s="492" t="n"/>
      <c r="AT193" s="492" t="n"/>
      <c r="AU193" s="493" t="n"/>
      <c r="AV193" s="492" t="n"/>
      <c r="AW193" s="492" t="n"/>
      <c r="AX193" s="492" t="n"/>
      <c r="AY193" s="492" t="n"/>
      <c r="AZ193" s="492" t="n"/>
      <c r="BA193" s="493" t="n"/>
      <c r="BB193" s="492" t="n"/>
      <c r="BC193" s="492" t="n"/>
      <c r="BD193" s="492" t="n"/>
      <c r="BE193" s="492" t="n"/>
      <c r="BF193" s="493" t="n"/>
      <c r="BG193" s="493" t="n"/>
      <c r="BH193" s="495" t="n"/>
      <c r="BI193" s="496" t="n"/>
      <c r="BJ193" s="496" t="n"/>
      <c r="BK193" s="550" t="n"/>
      <c r="BM193" s="493" t="n"/>
      <c r="BN193" s="493" t="n"/>
      <c r="BO193" s="493" t="n"/>
      <c r="BP193" s="493" t="n"/>
      <c r="BQ193" s="493" t="n"/>
      <c r="BR193" s="493" t="n"/>
      <c r="BS193" s="493" t="n"/>
      <c r="BT193" s="493" t="n"/>
      <c r="BU193" s="493" t="n"/>
      <c r="BV193" s="493" t="n"/>
      <c r="BW193" s="493" t="n"/>
      <c r="BX193" s="493" t="n"/>
      <c r="BY193" s="493" t="n"/>
      <c r="BZ193" s="493" t="n"/>
      <c r="CA193" s="493" t="n"/>
      <c r="CB193" s="493" t="n"/>
      <c r="CC193" s="493" t="n"/>
      <c r="CD193" s="493" t="n"/>
      <c r="CE193" s="493" t="n"/>
      <c r="CF193" s="493" t="n"/>
      <c r="CG193" s="493" t="n"/>
      <c r="CH193" s="493" t="n"/>
      <c r="CI193" s="493" t="n"/>
      <c r="CJ193" s="493" t="n"/>
      <c r="CK193" s="493" t="n"/>
      <c r="CL193" s="493" t="n"/>
    </row>
    <row r="194" customFormat="1" s="230">
      <c r="E194" s="234" t="n"/>
      <c r="F194" s="492" t="n"/>
      <c r="G194" s="492" t="n"/>
      <c r="H194" s="493" t="n"/>
      <c r="I194" s="492" t="n"/>
      <c r="J194" s="492" t="n"/>
      <c r="K194" s="492" t="n"/>
      <c r="L194" s="492" t="n"/>
      <c r="M194" s="493" t="n"/>
      <c r="N194" s="492" t="n"/>
      <c r="O194" s="492" t="n"/>
      <c r="P194" s="492" t="n"/>
      <c r="Q194" s="492" t="n"/>
      <c r="R194" s="492" t="n"/>
      <c r="S194" s="492" t="n"/>
      <c r="T194" s="492" t="n"/>
      <c r="U194" s="492" t="n"/>
      <c r="V194" s="492" t="n"/>
      <c r="W194" s="492" t="n"/>
      <c r="X194" s="492" t="n"/>
      <c r="Y194" s="492" t="n"/>
      <c r="Z194" s="492" t="n"/>
      <c r="AA194" s="492" t="n"/>
      <c r="AB194" s="492" t="n"/>
      <c r="AC194" s="492" t="n"/>
      <c r="AD194" s="492" t="n"/>
      <c r="AE194" s="493" t="n"/>
      <c r="AF194" s="492" t="n"/>
      <c r="AG194" s="492" t="n"/>
      <c r="AH194" s="492" t="n"/>
      <c r="AI194" s="492" t="n"/>
      <c r="AJ194" s="493" t="n"/>
      <c r="AK194" s="492" t="n"/>
      <c r="AL194" s="492" t="n"/>
      <c r="AM194" s="492" t="n"/>
      <c r="AN194" s="492" t="n"/>
      <c r="AO194" s="492" t="n"/>
      <c r="AP194" s="492" t="n"/>
      <c r="AQ194" s="492" t="n"/>
      <c r="AR194" s="492" t="n"/>
      <c r="AS194" s="492" t="n"/>
      <c r="AT194" s="492" t="n"/>
      <c r="AU194" s="493" t="n"/>
      <c r="AV194" s="492" t="n"/>
      <c r="AW194" s="492" t="n"/>
      <c r="AX194" s="492" t="n"/>
      <c r="AY194" s="492" t="n"/>
      <c r="AZ194" s="492" t="n"/>
      <c r="BA194" s="493" t="n"/>
      <c r="BB194" s="492" t="n"/>
      <c r="BC194" s="492" t="n"/>
      <c r="BD194" s="492" t="n"/>
      <c r="BE194" s="492" t="n"/>
      <c r="BF194" s="493" t="n"/>
      <c r="BG194" s="493" t="n"/>
      <c r="BH194" s="495" t="n"/>
      <c r="BI194" s="496" t="n"/>
      <c r="BJ194" s="496" t="n"/>
      <c r="BK194" s="550" t="n"/>
      <c r="BM194" s="493" t="n"/>
      <c r="BN194" s="493" t="n"/>
      <c r="BO194" s="493" t="n"/>
      <c r="BP194" s="493" t="n"/>
      <c r="BQ194" s="493" t="n"/>
      <c r="BR194" s="493" t="n"/>
      <c r="BS194" s="493" t="n"/>
      <c r="BT194" s="493" t="n"/>
      <c r="BU194" s="493" t="n"/>
      <c r="BV194" s="493" t="n"/>
      <c r="BW194" s="493" t="n"/>
      <c r="BX194" s="493" t="n"/>
      <c r="BY194" s="493" t="n"/>
      <c r="BZ194" s="493" t="n"/>
      <c r="CA194" s="493" t="n"/>
      <c r="CB194" s="493" t="n"/>
      <c r="CC194" s="493" t="n"/>
      <c r="CD194" s="493" t="n"/>
      <c r="CE194" s="493" t="n"/>
      <c r="CF194" s="493" t="n"/>
      <c r="CG194" s="493" t="n"/>
      <c r="CH194" s="493" t="n"/>
      <c r="CI194" s="493" t="n"/>
      <c r="CJ194" s="493" t="n"/>
      <c r="CK194" s="493" t="n"/>
      <c r="CL194" s="493" t="n"/>
    </row>
    <row r="195" customFormat="1" s="230">
      <c r="E195" s="234" t="n"/>
      <c r="F195" s="492" t="n"/>
      <c r="G195" s="492" t="n"/>
      <c r="H195" s="493" t="n"/>
      <c r="I195" s="492" t="n"/>
      <c r="J195" s="492" t="n"/>
      <c r="K195" s="492" t="n"/>
      <c r="L195" s="492" t="n"/>
      <c r="M195" s="493" t="n"/>
      <c r="N195" s="492" t="n"/>
      <c r="O195" s="492" t="n"/>
      <c r="P195" s="492" t="n"/>
      <c r="Q195" s="492" t="n"/>
      <c r="R195" s="492" t="n"/>
      <c r="S195" s="492" t="n"/>
      <c r="T195" s="492" t="n"/>
      <c r="U195" s="492" t="n"/>
      <c r="V195" s="492" t="n"/>
      <c r="W195" s="492" t="n"/>
      <c r="X195" s="492" t="n"/>
      <c r="Y195" s="492" t="n"/>
      <c r="Z195" s="492" t="n"/>
      <c r="AA195" s="492" t="n"/>
      <c r="AB195" s="492" t="n"/>
      <c r="AC195" s="492" t="n"/>
      <c r="AD195" s="492" t="n"/>
      <c r="AE195" s="493" t="n"/>
      <c r="AF195" s="492" t="n"/>
      <c r="AG195" s="492" t="n"/>
      <c r="AH195" s="492" t="n"/>
      <c r="AI195" s="492" t="n"/>
      <c r="AJ195" s="493" t="n"/>
      <c r="AK195" s="492" t="n"/>
      <c r="AL195" s="492" t="n"/>
      <c r="AM195" s="492" t="n"/>
      <c r="AN195" s="492" t="n"/>
      <c r="AO195" s="492" t="n"/>
      <c r="AP195" s="492" t="n"/>
      <c r="AQ195" s="492" t="n"/>
      <c r="AR195" s="492" t="n"/>
      <c r="AS195" s="492" t="n"/>
      <c r="AT195" s="492" t="n"/>
      <c r="AU195" s="493" t="n"/>
      <c r="AV195" s="492" t="n"/>
      <c r="AW195" s="492" t="n"/>
      <c r="AX195" s="492" t="n"/>
      <c r="AY195" s="492" t="n"/>
      <c r="AZ195" s="492" t="n"/>
      <c r="BA195" s="493" t="n"/>
      <c r="BB195" s="492" t="n"/>
      <c r="BC195" s="492" t="n"/>
      <c r="BD195" s="492" t="n"/>
      <c r="BE195" s="492" t="n"/>
      <c r="BF195" s="493" t="n"/>
      <c r="BG195" s="493" t="n"/>
      <c r="BH195" s="495" t="n"/>
      <c r="BI195" s="496" t="n"/>
      <c r="BJ195" s="496" t="n"/>
      <c r="BK195" s="550" t="n"/>
      <c r="BM195" s="493" t="n"/>
      <c r="BN195" s="493" t="n"/>
      <c r="BO195" s="493" t="n"/>
      <c r="BP195" s="493" t="n"/>
      <c r="BQ195" s="493" t="n"/>
      <c r="BR195" s="493" t="n"/>
      <c r="BS195" s="493" t="n"/>
      <c r="BT195" s="493" t="n"/>
      <c r="BU195" s="493" t="n"/>
      <c r="BV195" s="493" t="n"/>
      <c r="BW195" s="493" t="n"/>
      <c r="BX195" s="493" t="n"/>
      <c r="BY195" s="493" t="n"/>
      <c r="BZ195" s="493" t="n"/>
      <c r="CA195" s="493" t="n"/>
      <c r="CB195" s="493" t="n"/>
      <c r="CC195" s="493" t="n"/>
      <c r="CD195" s="493" t="n"/>
      <c r="CE195" s="493" t="n"/>
      <c r="CF195" s="493" t="n"/>
      <c r="CG195" s="493" t="n"/>
      <c r="CH195" s="493" t="n"/>
      <c r="CI195" s="493" t="n"/>
      <c r="CJ195" s="493" t="n"/>
      <c r="CK195" s="493" t="n"/>
      <c r="CL195" s="493" t="n"/>
    </row>
    <row r="196" customFormat="1" s="230">
      <c r="E196" s="234" t="n"/>
      <c r="F196" s="492" t="n"/>
      <c r="G196" s="492" t="n"/>
      <c r="H196" s="493" t="n"/>
      <c r="I196" s="492" t="n"/>
      <c r="J196" s="492" t="n"/>
      <c r="K196" s="492" t="n"/>
      <c r="L196" s="492" t="n"/>
      <c r="M196" s="493" t="n"/>
      <c r="N196" s="492" t="n"/>
      <c r="O196" s="492" t="n"/>
      <c r="P196" s="492" t="n"/>
      <c r="Q196" s="492" t="n"/>
      <c r="R196" s="492" t="n"/>
      <c r="S196" s="492" t="n"/>
      <c r="T196" s="492" t="n"/>
      <c r="U196" s="492" t="n"/>
      <c r="V196" s="492" t="n"/>
      <c r="W196" s="492" t="n"/>
      <c r="X196" s="492" t="n"/>
      <c r="Y196" s="492" t="n"/>
      <c r="Z196" s="492" t="n"/>
      <c r="AA196" s="492" t="n"/>
      <c r="AB196" s="492" t="n"/>
      <c r="AC196" s="492" t="n"/>
      <c r="AD196" s="492" t="n"/>
      <c r="AE196" s="493" t="n"/>
      <c r="AF196" s="492" t="n"/>
      <c r="AG196" s="492" t="n"/>
      <c r="AH196" s="492" t="n"/>
      <c r="AI196" s="492" t="n"/>
      <c r="AJ196" s="493" t="n"/>
      <c r="AK196" s="492" t="n"/>
      <c r="AL196" s="492" t="n"/>
      <c r="AM196" s="492" t="n"/>
      <c r="AN196" s="492" t="n"/>
      <c r="AO196" s="492" t="n"/>
      <c r="AP196" s="492" t="n"/>
      <c r="AQ196" s="492" t="n"/>
      <c r="AR196" s="492" t="n"/>
      <c r="AS196" s="492" t="n"/>
      <c r="AT196" s="492" t="n"/>
      <c r="AU196" s="493" t="n"/>
      <c r="AV196" s="492" t="n"/>
      <c r="AW196" s="492" t="n"/>
      <c r="AX196" s="492" t="n"/>
      <c r="AY196" s="492" t="n"/>
      <c r="AZ196" s="492" t="n"/>
      <c r="BA196" s="493" t="n"/>
      <c r="BB196" s="492" t="n"/>
      <c r="BC196" s="492" t="n"/>
      <c r="BD196" s="492" t="n"/>
      <c r="BE196" s="492" t="n"/>
      <c r="BF196" s="493" t="n"/>
      <c r="BG196" s="493" t="n"/>
      <c r="BH196" s="495" t="n"/>
      <c r="BI196" s="496" t="n"/>
      <c r="BJ196" s="496" t="n"/>
      <c r="BK196" s="550" t="n"/>
      <c r="BM196" s="493" t="n"/>
      <c r="BN196" s="493" t="n"/>
      <c r="BO196" s="493" t="n"/>
      <c r="BP196" s="493" t="n"/>
      <c r="BQ196" s="493" t="n"/>
      <c r="BR196" s="493" t="n"/>
      <c r="BS196" s="493" t="n"/>
      <c r="BT196" s="493" t="n"/>
      <c r="BU196" s="493" t="n"/>
      <c r="BV196" s="493" t="n"/>
      <c r="BW196" s="493" t="n"/>
      <c r="BX196" s="493" t="n"/>
      <c r="BY196" s="493" t="n"/>
      <c r="BZ196" s="493" t="n"/>
      <c r="CA196" s="493" t="n"/>
      <c r="CB196" s="493" t="n"/>
      <c r="CC196" s="493" t="n"/>
      <c r="CD196" s="493" t="n"/>
      <c r="CE196" s="493" t="n"/>
      <c r="CF196" s="493" t="n"/>
      <c r="CG196" s="493" t="n"/>
      <c r="CH196" s="493" t="n"/>
      <c r="CI196" s="493" t="n"/>
      <c r="CJ196" s="493" t="n"/>
      <c r="CK196" s="493" t="n"/>
      <c r="CL196" s="493" t="n"/>
    </row>
    <row r="197" customFormat="1" s="230">
      <c r="E197" s="234" t="n"/>
      <c r="F197" s="492" t="n"/>
      <c r="G197" s="492" t="n"/>
      <c r="H197" s="493" t="n"/>
      <c r="I197" s="492" t="n"/>
      <c r="J197" s="492" t="n"/>
      <c r="K197" s="492" t="n"/>
      <c r="L197" s="492" t="n"/>
      <c r="M197" s="493" t="n"/>
      <c r="N197" s="492" t="n"/>
      <c r="O197" s="492" t="n"/>
      <c r="P197" s="492" t="n"/>
      <c r="Q197" s="492" t="n"/>
      <c r="R197" s="492" t="n"/>
      <c r="S197" s="492" t="n"/>
      <c r="T197" s="492" t="n"/>
      <c r="U197" s="492" t="n"/>
      <c r="V197" s="492" t="n"/>
      <c r="W197" s="492" t="n"/>
      <c r="X197" s="492" t="n"/>
      <c r="Y197" s="492" t="n"/>
      <c r="Z197" s="492" t="n"/>
      <c r="AA197" s="492" t="n"/>
      <c r="AB197" s="492" t="n"/>
      <c r="AC197" s="492" t="n"/>
      <c r="AD197" s="492" t="n"/>
      <c r="AE197" s="493" t="n"/>
      <c r="AF197" s="492" t="n"/>
      <c r="AG197" s="492" t="n"/>
      <c r="AH197" s="492" t="n"/>
      <c r="AI197" s="492" t="n"/>
      <c r="AJ197" s="493" t="n"/>
      <c r="AK197" s="492" t="n"/>
      <c r="AL197" s="492" t="n"/>
      <c r="AM197" s="492" t="n"/>
      <c r="AN197" s="492" t="n"/>
      <c r="AO197" s="492" t="n"/>
      <c r="AP197" s="492" t="n"/>
      <c r="AQ197" s="492" t="n"/>
      <c r="AR197" s="492" t="n"/>
      <c r="AS197" s="492" t="n"/>
      <c r="AT197" s="492" t="n"/>
      <c r="AU197" s="493" t="n"/>
      <c r="AV197" s="492" t="n"/>
      <c r="AW197" s="492" t="n"/>
      <c r="AX197" s="492" t="n"/>
      <c r="AY197" s="492" t="n"/>
      <c r="AZ197" s="492" t="n"/>
      <c r="BA197" s="493" t="n"/>
      <c r="BB197" s="492" t="n"/>
      <c r="BC197" s="492" t="n"/>
      <c r="BD197" s="492" t="n"/>
      <c r="BE197" s="492" t="n"/>
      <c r="BF197" s="493" t="n"/>
      <c r="BG197" s="493" t="n"/>
      <c r="BH197" s="495" t="n"/>
      <c r="BI197" s="496" t="n"/>
      <c r="BJ197" s="496" t="n"/>
      <c r="BK197" s="550" t="n"/>
      <c r="BM197" s="493" t="n"/>
      <c r="BN197" s="493" t="n"/>
      <c r="BO197" s="493" t="n"/>
      <c r="BP197" s="493" t="n"/>
      <c r="BQ197" s="493" t="n"/>
      <c r="BR197" s="493" t="n"/>
      <c r="BS197" s="493" t="n"/>
      <c r="BT197" s="493" t="n"/>
      <c r="BU197" s="493" t="n"/>
      <c r="BV197" s="493" t="n"/>
      <c r="BW197" s="493" t="n"/>
      <c r="BX197" s="493" t="n"/>
      <c r="BY197" s="493" t="n"/>
      <c r="BZ197" s="493" t="n"/>
      <c r="CA197" s="493" t="n"/>
      <c r="CB197" s="493" t="n"/>
      <c r="CC197" s="493" t="n"/>
      <c r="CD197" s="493" t="n"/>
      <c r="CE197" s="493" t="n"/>
      <c r="CF197" s="493" t="n"/>
      <c r="CG197" s="493" t="n"/>
      <c r="CH197" s="493" t="n"/>
      <c r="CI197" s="493" t="n"/>
      <c r="CJ197" s="493" t="n"/>
      <c r="CK197" s="493" t="n"/>
      <c r="CL197" s="493" t="n"/>
    </row>
    <row r="198" customFormat="1" s="230">
      <c r="E198" s="234" t="n"/>
      <c r="F198" s="492" t="n"/>
      <c r="G198" s="492" t="n"/>
      <c r="H198" s="493" t="n"/>
      <c r="I198" s="492" t="n"/>
      <c r="J198" s="492" t="n"/>
      <c r="K198" s="492" t="n"/>
      <c r="L198" s="492" t="n"/>
      <c r="M198" s="493" t="n"/>
      <c r="N198" s="492" t="n"/>
      <c r="O198" s="492" t="n"/>
      <c r="P198" s="492" t="n"/>
      <c r="Q198" s="492" t="n"/>
      <c r="R198" s="492" t="n"/>
      <c r="S198" s="492" t="n"/>
      <c r="T198" s="492" t="n"/>
      <c r="U198" s="492" t="n"/>
      <c r="V198" s="492" t="n"/>
      <c r="W198" s="492" t="n"/>
      <c r="X198" s="492" t="n"/>
      <c r="Y198" s="492" t="n"/>
      <c r="Z198" s="492" t="n"/>
      <c r="AA198" s="492" t="n"/>
      <c r="AB198" s="492" t="n"/>
      <c r="AC198" s="492" t="n"/>
      <c r="AD198" s="492" t="n"/>
      <c r="AE198" s="493" t="n"/>
      <c r="AF198" s="492" t="n"/>
      <c r="AG198" s="492" t="n"/>
      <c r="AH198" s="492" t="n"/>
      <c r="AI198" s="492" t="n"/>
      <c r="AJ198" s="493" t="n"/>
      <c r="AK198" s="492" t="n"/>
      <c r="AL198" s="492" t="n"/>
      <c r="AM198" s="492" t="n"/>
      <c r="AN198" s="492" t="n"/>
      <c r="AO198" s="492" t="n"/>
      <c r="AP198" s="492" t="n"/>
      <c r="AQ198" s="492" t="n"/>
      <c r="AR198" s="492" t="n"/>
      <c r="AS198" s="492" t="n"/>
      <c r="AT198" s="492" t="n"/>
      <c r="AU198" s="493" t="n"/>
      <c r="AV198" s="492" t="n"/>
      <c r="AW198" s="492" t="n"/>
      <c r="AX198" s="492" t="n"/>
      <c r="AY198" s="492" t="n"/>
      <c r="AZ198" s="492" t="n"/>
      <c r="BA198" s="493" t="n"/>
      <c r="BB198" s="492" t="n"/>
      <c r="BC198" s="492" t="n"/>
      <c r="BD198" s="492" t="n"/>
      <c r="BE198" s="492" t="n"/>
      <c r="BF198" s="493" t="n"/>
      <c r="BG198" s="493" t="n"/>
      <c r="BH198" s="495" t="n"/>
      <c r="BI198" s="496" t="n"/>
      <c r="BJ198" s="496" t="n"/>
      <c r="BK198" s="550" t="n"/>
      <c r="BM198" s="493" t="n"/>
      <c r="BN198" s="493" t="n"/>
      <c r="BO198" s="493" t="n"/>
      <c r="BP198" s="493" t="n"/>
      <c r="BQ198" s="493" t="n"/>
      <c r="BR198" s="493" t="n"/>
      <c r="BS198" s="493" t="n"/>
      <c r="BT198" s="493" t="n"/>
      <c r="BU198" s="493" t="n"/>
      <c r="BV198" s="493" t="n"/>
      <c r="BW198" s="493" t="n"/>
      <c r="BX198" s="493" t="n"/>
      <c r="BY198" s="493" t="n"/>
      <c r="BZ198" s="493" t="n"/>
      <c r="CA198" s="493" t="n"/>
      <c r="CB198" s="493" t="n"/>
      <c r="CC198" s="493" t="n"/>
      <c r="CD198" s="493" t="n"/>
      <c r="CE198" s="493" t="n"/>
      <c r="CF198" s="493" t="n"/>
      <c r="CG198" s="493" t="n"/>
      <c r="CH198" s="493" t="n"/>
      <c r="CI198" s="493" t="n"/>
      <c r="CJ198" s="493" t="n"/>
      <c r="CK198" s="493" t="n"/>
      <c r="CL198" s="493" t="n"/>
    </row>
    <row r="199" customFormat="1" s="230">
      <c r="E199" s="234" t="n"/>
      <c r="F199" s="492" t="n"/>
      <c r="G199" s="492" t="n"/>
      <c r="H199" s="493" t="n"/>
      <c r="I199" s="492" t="n"/>
      <c r="J199" s="492" t="n"/>
      <c r="K199" s="492" t="n"/>
      <c r="L199" s="492" t="n"/>
      <c r="M199" s="493" t="n"/>
      <c r="N199" s="492" t="n"/>
      <c r="O199" s="492" t="n"/>
      <c r="P199" s="492" t="n"/>
      <c r="Q199" s="492" t="n"/>
      <c r="R199" s="492" t="n"/>
      <c r="S199" s="492" t="n"/>
      <c r="T199" s="492" t="n"/>
      <c r="U199" s="492" t="n"/>
      <c r="V199" s="492" t="n"/>
      <c r="W199" s="492" t="n"/>
      <c r="X199" s="492" t="n"/>
      <c r="Y199" s="492" t="n"/>
      <c r="Z199" s="492" t="n"/>
      <c r="AA199" s="492" t="n"/>
      <c r="AB199" s="492" t="n"/>
      <c r="AC199" s="492" t="n"/>
      <c r="AD199" s="492" t="n"/>
      <c r="AE199" s="493" t="n"/>
      <c r="AF199" s="492" t="n"/>
      <c r="AG199" s="492" t="n"/>
      <c r="AH199" s="492" t="n"/>
      <c r="AI199" s="492" t="n"/>
      <c r="AJ199" s="493" t="n"/>
      <c r="AK199" s="492" t="n"/>
      <c r="AL199" s="492" t="n"/>
      <c r="AM199" s="492" t="n"/>
      <c r="AN199" s="492" t="n"/>
      <c r="AO199" s="492" t="n"/>
      <c r="AP199" s="492" t="n"/>
      <c r="AQ199" s="492" t="n"/>
      <c r="AR199" s="492" t="n"/>
      <c r="AS199" s="492" t="n"/>
      <c r="AT199" s="492" t="n"/>
      <c r="AU199" s="493" t="n"/>
      <c r="AV199" s="492" t="n"/>
      <c r="AW199" s="492" t="n"/>
      <c r="AX199" s="492" t="n"/>
      <c r="AY199" s="492" t="n"/>
      <c r="AZ199" s="492" t="n"/>
      <c r="BA199" s="493" t="n"/>
      <c r="BB199" s="492" t="n"/>
      <c r="BC199" s="492" t="n"/>
      <c r="BD199" s="492" t="n"/>
      <c r="BE199" s="492" t="n"/>
      <c r="BF199" s="493" t="n"/>
      <c r="BG199" s="493" t="n"/>
      <c r="BH199" s="495" t="n"/>
      <c r="BI199" s="496" t="n"/>
      <c r="BJ199" s="496" t="n"/>
      <c r="BK199" s="550" t="n"/>
      <c r="BM199" s="493" t="n"/>
      <c r="BN199" s="493" t="n"/>
      <c r="BO199" s="493" t="n"/>
      <c r="BP199" s="493" t="n"/>
      <c r="BQ199" s="493" t="n"/>
      <c r="BR199" s="493" t="n"/>
      <c r="BS199" s="493" t="n"/>
      <c r="BT199" s="493" t="n"/>
      <c r="BU199" s="493" t="n"/>
      <c r="BV199" s="493" t="n"/>
      <c r="BW199" s="493" t="n"/>
      <c r="BX199" s="493" t="n"/>
      <c r="BY199" s="493" t="n"/>
      <c r="BZ199" s="493" t="n"/>
      <c r="CA199" s="493" t="n"/>
      <c r="CB199" s="493" t="n"/>
      <c r="CC199" s="493" t="n"/>
      <c r="CD199" s="493" t="n"/>
      <c r="CE199" s="493" t="n"/>
      <c r="CF199" s="493" t="n"/>
      <c r="CG199" s="493" t="n"/>
      <c r="CH199" s="493" t="n"/>
      <c r="CI199" s="493" t="n"/>
      <c r="CJ199" s="493" t="n"/>
      <c r="CK199" s="493" t="n"/>
      <c r="CL199" s="493" t="n"/>
    </row>
    <row r="200" customFormat="1" s="230">
      <c r="E200" s="234" t="n"/>
      <c r="F200" s="492" t="n"/>
      <c r="G200" s="492" t="n"/>
      <c r="H200" s="493" t="n"/>
      <c r="I200" s="492" t="n"/>
      <c r="J200" s="492" t="n"/>
      <c r="K200" s="492" t="n"/>
      <c r="L200" s="492" t="n"/>
      <c r="M200" s="493" t="n"/>
      <c r="N200" s="492" t="n"/>
      <c r="O200" s="492" t="n"/>
      <c r="P200" s="492" t="n"/>
      <c r="Q200" s="492" t="n"/>
      <c r="R200" s="492" t="n"/>
      <c r="S200" s="492" t="n"/>
      <c r="T200" s="492" t="n"/>
      <c r="U200" s="492" t="n"/>
      <c r="V200" s="492" t="n"/>
      <c r="W200" s="492" t="n"/>
      <c r="X200" s="492" t="n"/>
      <c r="Y200" s="492" t="n"/>
      <c r="Z200" s="492" t="n"/>
      <c r="AA200" s="492" t="n"/>
      <c r="AB200" s="492" t="n"/>
      <c r="AC200" s="492" t="n"/>
      <c r="AD200" s="492" t="n"/>
      <c r="AE200" s="493" t="n"/>
      <c r="AF200" s="492" t="n"/>
      <c r="AG200" s="492" t="n"/>
      <c r="AH200" s="492" t="n"/>
      <c r="AI200" s="492" t="n"/>
      <c r="AJ200" s="493" t="n"/>
      <c r="AK200" s="492" t="n"/>
      <c r="AL200" s="492" t="n"/>
      <c r="AM200" s="492" t="n"/>
      <c r="AN200" s="492" t="n"/>
      <c r="AO200" s="492" t="n"/>
      <c r="AP200" s="492" t="n"/>
      <c r="AQ200" s="492" t="n"/>
      <c r="AR200" s="492" t="n"/>
      <c r="AS200" s="492" t="n"/>
      <c r="AT200" s="492" t="n"/>
      <c r="AU200" s="493" t="n"/>
      <c r="AV200" s="492" t="n"/>
      <c r="AW200" s="492" t="n"/>
      <c r="AX200" s="492" t="n"/>
      <c r="AY200" s="492" t="n"/>
      <c r="AZ200" s="492" t="n"/>
      <c r="BA200" s="493" t="n"/>
      <c r="BB200" s="492" t="n"/>
      <c r="BC200" s="492" t="n"/>
      <c r="BD200" s="492" t="n"/>
      <c r="BE200" s="492" t="n"/>
      <c r="BF200" s="493" t="n"/>
      <c r="BG200" s="493" t="n"/>
      <c r="BH200" s="495" t="n"/>
      <c r="BI200" s="496" t="n"/>
      <c r="BJ200" s="496" t="n"/>
      <c r="BK200" s="550" t="n"/>
      <c r="BM200" s="493" t="n"/>
      <c r="BN200" s="493" t="n"/>
      <c r="BO200" s="493" t="n"/>
      <c r="BP200" s="493" t="n"/>
      <c r="BQ200" s="493" t="n"/>
      <c r="BR200" s="493" t="n"/>
      <c r="BS200" s="493" t="n"/>
      <c r="BT200" s="493" t="n"/>
      <c r="BU200" s="493" t="n"/>
      <c r="BV200" s="493" t="n"/>
      <c r="BW200" s="493" t="n"/>
      <c r="BX200" s="493" t="n"/>
      <c r="BY200" s="493" t="n"/>
      <c r="BZ200" s="493" t="n"/>
      <c r="CA200" s="493" t="n"/>
      <c r="CB200" s="493" t="n"/>
      <c r="CC200" s="493" t="n"/>
      <c r="CD200" s="493" t="n"/>
      <c r="CE200" s="493" t="n"/>
      <c r="CF200" s="493" t="n"/>
      <c r="CG200" s="493" t="n"/>
      <c r="CH200" s="493" t="n"/>
      <c r="CI200" s="493" t="n"/>
      <c r="CJ200" s="493" t="n"/>
      <c r="CK200" s="493" t="n"/>
      <c r="CL200" s="493" t="n"/>
    </row>
    <row r="201" customFormat="1" s="230">
      <c r="E201" s="234" t="n"/>
      <c r="F201" s="492" t="n"/>
      <c r="G201" s="492" t="n"/>
      <c r="H201" s="493" t="n"/>
      <c r="I201" s="492" t="n"/>
      <c r="J201" s="492" t="n"/>
      <c r="K201" s="492" t="n"/>
      <c r="L201" s="492" t="n"/>
      <c r="M201" s="493" t="n"/>
      <c r="N201" s="492" t="n"/>
      <c r="O201" s="492" t="n"/>
      <c r="P201" s="492" t="n"/>
      <c r="Q201" s="492" t="n"/>
      <c r="R201" s="492" t="n"/>
      <c r="S201" s="492" t="n"/>
      <c r="T201" s="492" t="n"/>
      <c r="U201" s="492" t="n"/>
      <c r="V201" s="492" t="n"/>
      <c r="W201" s="492" t="n"/>
      <c r="X201" s="492" t="n"/>
      <c r="Y201" s="492" t="n"/>
      <c r="Z201" s="492" t="n"/>
      <c r="AA201" s="492" t="n"/>
      <c r="AB201" s="492" t="n"/>
      <c r="AC201" s="492" t="n"/>
      <c r="AD201" s="492" t="n"/>
      <c r="AE201" s="493" t="n"/>
      <c r="AF201" s="492" t="n"/>
      <c r="AG201" s="492" t="n"/>
      <c r="AH201" s="492" t="n"/>
      <c r="AI201" s="492" t="n"/>
      <c r="AJ201" s="493" t="n"/>
      <c r="AK201" s="492" t="n"/>
      <c r="AL201" s="492" t="n"/>
      <c r="AM201" s="492" t="n"/>
      <c r="AN201" s="492" t="n"/>
      <c r="AO201" s="492" t="n"/>
      <c r="AP201" s="492" t="n"/>
      <c r="AQ201" s="492" t="n"/>
      <c r="AR201" s="492" t="n"/>
      <c r="AS201" s="492" t="n"/>
      <c r="AT201" s="492" t="n"/>
      <c r="AU201" s="493" t="n"/>
      <c r="AV201" s="492" t="n"/>
      <c r="AW201" s="492" t="n"/>
      <c r="AX201" s="492" t="n"/>
      <c r="AY201" s="492" t="n"/>
      <c r="AZ201" s="492" t="n"/>
      <c r="BA201" s="493" t="n"/>
      <c r="BB201" s="492" t="n"/>
      <c r="BC201" s="492" t="n"/>
      <c r="BD201" s="492" t="n"/>
      <c r="BE201" s="492" t="n"/>
      <c r="BF201" s="493" t="n"/>
      <c r="BG201" s="493" t="n"/>
      <c r="BH201" s="495" t="n"/>
      <c r="BI201" s="496" t="n"/>
      <c r="BJ201" s="496" t="n"/>
      <c r="BK201" s="550" t="n"/>
      <c r="BM201" s="493" t="n"/>
      <c r="BN201" s="493" t="n"/>
      <c r="BO201" s="493" t="n"/>
      <c r="BP201" s="493" t="n"/>
      <c r="BQ201" s="493" t="n"/>
      <c r="BR201" s="493" t="n"/>
      <c r="BS201" s="493" t="n"/>
      <c r="BT201" s="493" t="n"/>
      <c r="BU201" s="493" t="n"/>
      <c r="BV201" s="493" t="n"/>
      <c r="BW201" s="493" t="n"/>
      <c r="BX201" s="493" t="n"/>
      <c r="BY201" s="493" t="n"/>
      <c r="BZ201" s="493" t="n"/>
      <c r="CA201" s="493" t="n"/>
      <c r="CB201" s="493" t="n"/>
      <c r="CC201" s="493" t="n"/>
      <c r="CD201" s="493" t="n"/>
      <c r="CE201" s="493" t="n"/>
      <c r="CF201" s="493" t="n"/>
      <c r="CG201" s="493" t="n"/>
      <c r="CH201" s="493" t="n"/>
      <c r="CI201" s="493" t="n"/>
      <c r="CJ201" s="493" t="n"/>
      <c r="CK201" s="493" t="n"/>
      <c r="CL201" s="493" t="n"/>
    </row>
    <row r="202" customFormat="1" s="230">
      <c r="E202" s="234" t="n"/>
      <c r="F202" s="492" t="n"/>
      <c r="G202" s="492" t="n"/>
      <c r="H202" s="493" t="n"/>
      <c r="I202" s="492" t="n"/>
      <c r="J202" s="492" t="n"/>
      <c r="K202" s="492" t="n"/>
      <c r="L202" s="492" t="n"/>
      <c r="M202" s="493" t="n"/>
      <c r="N202" s="492" t="n"/>
      <c r="O202" s="492" t="n"/>
      <c r="P202" s="492" t="n"/>
      <c r="Q202" s="492" t="n"/>
      <c r="R202" s="492" t="n"/>
      <c r="S202" s="492" t="n"/>
      <c r="T202" s="492" t="n"/>
      <c r="U202" s="492" t="n"/>
      <c r="V202" s="492" t="n"/>
      <c r="W202" s="492" t="n"/>
      <c r="X202" s="492" t="n"/>
      <c r="Y202" s="492" t="n"/>
      <c r="Z202" s="492" t="n"/>
      <c r="AA202" s="492" t="n"/>
      <c r="AB202" s="492" t="n"/>
      <c r="AC202" s="492" t="n"/>
      <c r="AD202" s="492" t="n"/>
      <c r="AE202" s="493" t="n"/>
      <c r="AF202" s="492" t="n"/>
      <c r="AG202" s="492" t="n"/>
      <c r="AH202" s="492" t="n"/>
      <c r="AI202" s="492" t="n"/>
      <c r="AJ202" s="493" t="n"/>
      <c r="AK202" s="492" t="n"/>
      <c r="AL202" s="492" t="n"/>
      <c r="AM202" s="492" t="n"/>
      <c r="AN202" s="492" t="n"/>
      <c r="AO202" s="492" t="n"/>
      <c r="AP202" s="492" t="n"/>
      <c r="AQ202" s="492" t="n"/>
      <c r="AR202" s="492" t="n"/>
      <c r="AS202" s="492" t="n"/>
      <c r="AT202" s="492" t="n"/>
      <c r="AU202" s="493" t="n"/>
      <c r="AV202" s="492" t="n"/>
      <c r="AW202" s="492" t="n"/>
      <c r="AX202" s="492" t="n"/>
      <c r="AY202" s="492" t="n"/>
      <c r="AZ202" s="492" t="n"/>
      <c r="BA202" s="493" t="n"/>
      <c r="BB202" s="492" t="n"/>
      <c r="BC202" s="492" t="n"/>
      <c r="BD202" s="492" t="n"/>
      <c r="BE202" s="492" t="n"/>
      <c r="BF202" s="493" t="n"/>
      <c r="BG202" s="493" t="n"/>
      <c r="BH202" s="495" t="n"/>
      <c r="BI202" s="496" t="n"/>
      <c r="BJ202" s="496" t="n"/>
      <c r="BK202" s="550" t="n"/>
      <c r="BM202" s="493" t="n"/>
      <c r="BN202" s="493" t="n"/>
      <c r="BO202" s="493" t="n"/>
      <c r="BP202" s="493" t="n"/>
      <c r="BQ202" s="493" t="n"/>
      <c r="BR202" s="493" t="n"/>
      <c r="BS202" s="493" t="n"/>
      <c r="BT202" s="493" t="n"/>
      <c r="BU202" s="493" t="n"/>
      <c r="BV202" s="493" t="n"/>
      <c r="BW202" s="493" t="n"/>
      <c r="BX202" s="493" t="n"/>
      <c r="BY202" s="493" t="n"/>
      <c r="BZ202" s="493" t="n"/>
      <c r="CA202" s="493" t="n"/>
      <c r="CB202" s="493" t="n"/>
      <c r="CC202" s="493" t="n"/>
      <c r="CD202" s="493" t="n"/>
      <c r="CE202" s="493" t="n"/>
      <c r="CF202" s="493" t="n"/>
      <c r="CG202" s="493" t="n"/>
      <c r="CH202" s="493" t="n"/>
      <c r="CI202" s="493" t="n"/>
      <c r="CJ202" s="493" t="n"/>
      <c r="CK202" s="493" t="n"/>
      <c r="CL202" s="493" t="n"/>
    </row>
    <row r="203" customFormat="1" s="230">
      <c r="E203" s="234" t="n"/>
      <c r="F203" s="492" t="n"/>
      <c r="G203" s="492" t="n"/>
      <c r="H203" s="493" t="n"/>
      <c r="I203" s="492" t="n"/>
      <c r="J203" s="492" t="n"/>
      <c r="K203" s="492" t="n"/>
      <c r="L203" s="492" t="n"/>
      <c r="M203" s="493" t="n"/>
      <c r="N203" s="492" t="n"/>
      <c r="O203" s="492" t="n"/>
      <c r="P203" s="492" t="n"/>
      <c r="Q203" s="492" t="n"/>
      <c r="R203" s="492" t="n"/>
      <c r="S203" s="492" t="n"/>
      <c r="T203" s="492" t="n"/>
      <c r="U203" s="492" t="n"/>
      <c r="V203" s="492" t="n"/>
      <c r="W203" s="492" t="n"/>
      <c r="X203" s="492" t="n"/>
      <c r="Y203" s="492" t="n"/>
      <c r="Z203" s="492" t="n"/>
      <c r="AA203" s="492" t="n"/>
      <c r="AB203" s="492" t="n"/>
      <c r="AC203" s="492" t="n"/>
      <c r="AD203" s="492" t="n"/>
      <c r="AE203" s="493" t="n"/>
      <c r="AF203" s="492" t="n"/>
      <c r="AG203" s="492" t="n"/>
      <c r="AH203" s="492" t="n"/>
      <c r="AI203" s="492" t="n"/>
      <c r="AJ203" s="493" t="n"/>
      <c r="AK203" s="492" t="n"/>
      <c r="AL203" s="492" t="n"/>
      <c r="AM203" s="492" t="n"/>
      <c r="AN203" s="492" t="n"/>
      <c r="AO203" s="492" t="n"/>
      <c r="AP203" s="492" t="n"/>
      <c r="AQ203" s="492" t="n"/>
      <c r="AR203" s="492" t="n"/>
      <c r="AS203" s="492" t="n"/>
      <c r="AT203" s="492" t="n"/>
      <c r="AU203" s="493" t="n"/>
      <c r="AV203" s="492" t="n"/>
      <c r="AW203" s="492" t="n"/>
      <c r="AX203" s="492" t="n"/>
      <c r="AY203" s="492" t="n"/>
      <c r="AZ203" s="492" t="n"/>
      <c r="BA203" s="493" t="n"/>
      <c r="BB203" s="492" t="n"/>
      <c r="BC203" s="492" t="n"/>
      <c r="BD203" s="492" t="n"/>
      <c r="BE203" s="492" t="n"/>
      <c r="BF203" s="493" t="n"/>
      <c r="BG203" s="493" t="n"/>
      <c r="BH203" s="495" t="n"/>
      <c r="BI203" s="496" t="n"/>
      <c r="BJ203" s="496" t="n"/>
      <c r="BK203" s="550" t="n"/>
      <c r="BM203" s="493" t="n"/>
      <c r="BN203" s="493" t="n"/>
      <c r="BO203" s="493" t="n"/>
      <c r="BP203" s="493" t="n"/>
      <c r="BQ203" s="493" t="n"/>
      <c r="BR203" s="493" t="n"/>
      <c r="BS203" s="493" t="n"/>
      <c r="BT203" s="493" t="n"/>
      <c r="BU203" s="493" t="n"/>
      <c r="BV203" s="493" t="n"/>
      <c r="BW203" s="493" t="n"/>
      <c r="BX203" s="493" t="n"/>
      <c r="BY203" s="493" t="n"/>
      <c r="BZ203" s="493" t="n"/>
      <c r="CA203" s="493" t="n"/>
      <c r="CB203" s="493" t="n"/>
      <c r="CC203" s="493" t="n"/>
      <c r="CD203" s="493" t="n"/>
      <c r="CE203" s="493" t="n"/>
      <c r="CF203" s="493" t="n"/>
      <c r="CG203" s="493" t="n"/>
      <c r="CH203" s="493" t="n"/>
      <c r="CI203" s="493" t="n"/>
      <c r="CJ203" s="493" t="n"/>
      <c r="CK203" s="493" t="n"/>
      <c r="CL203" s="493" t="n"/>
    </row>
    <row r="204" customFormat="1" s="230">
      <c r="E204" s="234" t="n"/>
      <c r="F204" s="492" t="n"/>
      <c r="G204" s="492" t="n"/>
      <c r="H204" s="493" t="n"/>
      <c r="I204" s="492" t="n"/>
      <c r="J204" s="492" t="n"/>
      <c r="K204" s="492" t="n"/>
      <c r="L204" s="492" t="n"/>
      <c r="M204" s="493" t="n"/>
      <c r="N204" s="492" t="n"/>
      <c r="O204" s="492" t="n"/>
      <c r="P204" s="492" t="n"/>
      <c r="Q204" s="492" t="n"/>
      <c r="R204" s="492" t="n"/>
      <c r="S204" s="492" t="n"/>
      <c r="T204" s="492" t="n"/>
      <c r="U204" s="492" t="n"/>
      <c r="V204" s="492" t="n"/>
      <c r="W204" s="492" t="n"/>
      <c r="X204" s="492" t="n"/>
      <c r="Y204" s="492" t="n"/>
      <c r="Z204" s="492" t="n"/>
      <c r="AA204" s="492" t="n"/>
      <c r="AB204" s="492" t="n"/>
      <c r="AC204" s="492" t="n"/>
      <c r="AD204" s="492" t="n"/>
      <c r="AE204" s="493" t="n"/>
      <c r="AF204" s="492" t="n"/>
      <c r="AG204" s="492" t="n"/>
      <c r="AH204" s="492" t="n"/>
      <c r="AI204" s="492" t="n"/>
      <c r="AJ204" s="493" t="n"/>
      <c r="AK204" s="492" t="n"/>
      <c r="AL204" s="492" t="n"/>
      <c r="AM204" s="492" t="n"/>
      <c r="AN204" s="492" t="n"/>
      <c r="AO204" s="492" t="n"/>
      <c r="AP204" s="492" t="n"/>
      <c r="AQ204" s="492" t="n"/>
      <c r="AR204" s="492" t="n"/>
      <c r="AS204" s="492" t="n"/>
      <c r="AT204" s="492" t="n"/>
      <c r="AU204" s="493" t="n"/>
      <c r="AV204" s="492" t="n"/>
      <c r="AW204" s="492" t="n"/>
      <c r="AX204" s="492" t="n"/>
      <c r="AY204" s="492" t="n"/>
      <c r="AZ204" s="492" t="n"/>
      <c r="BA204" s="493" t="n"/>
      <c r="BB204" s="492" t="n"/>
      <c r="BC204" s="492" t="n"/>
      <c r="BD204" s="492" t="n"/>
      <c r="BE204" s="492" t="n"/>
      <c r="BF204" s="493" t="n"/>
      <c r="BG204" s="493" t="n"/>
      <c r="BH204" s="495" t="n"/>
      <c r="BI204" s="496" t="n"/>
      <c r="BJ204" s="496" t="n"/>
      <c r="BK204" s="550" t="n"/>
      <c r="BM204" s="493" t="n"/>
      <c r="BN204" s="493" t="n"/>
      <c r="BO204" s="493" t="n"/>
      <c r="BP204" s="493" t="n"/>
      <c r="BQ204" s="493" t="n"/>
      <c r="BR204" s="493" t="n"/>
      <c r="BS204" s="493" t="n"/>
      <c r="BT204" s="493" t="n"/>
      <c r="BU204" s="493" t="n"/>
      <c r="BV204" s="493" t="n"/>
      <c r="BW204" s="493" t="n"/>
      <c r="BX204" s="493" t="n"/>
      <c r="BY204" s="493" t="n"/>
      <c r="BZ204" s="493" t="n"/>
      <c r="CA204" s="493" t="n"/>
      <c r="CB204" s="493" t="n"/>
      <c r="CC204" s="493" t="n"/>
      <c r="CD204" s="493" t="n"/>
      <c r="CE204" s="493" t="n"/>
      <c r="CF204" s="493" t="n"/>
      <c r="CG204" s="493" t="n"/>
      <c r="CH204" s="493" t="n"/>
      <c r="CI204" s="493" t="n"/>
      <c r="CJ204" s="493" t="n"/>
      <c r="CK204" s="493" t="n"/>
      <c r="CL204" s="493" t="n"/>
    </row>
    <row r="205" customFormat="1" s="230">
      <c r="E205" s="234" t="n"/>
      <c r="F205" s="492" t="n"/>
      <c r="G205" s="492" t="n"/>
      <c r="H205" s="493" t="n"/>
      <c r="I205" s="492" t="n"/>
      <c r="J205" s="492" t="n"/>
      <c r="K205" s="492" t="n"/>
      <c r="L205" s="492" t="n"/>
      <c r="M205" s="493" t="n"/>
      <c r="N205" s="492" t="n"/>
      <c r="O205" s="492" t="n"/>
      <c r="P205" s="492" t="n"/>
      <c r="Q205" s="492" t="n"/>
      <c r="R205" s="492" t="n"/>
      <c r="S205" s="492" t="n"/>
      <c r="T205" s="492" t="n"/>
      <c r="U205" s="492" t="n"/>
      <c r="V205" s="492" t="n"/>
      <c r="W205" s="492" t="n"/>
      <c r="X205" s="492" t="n"/>
      <c r="Y205" s="492" t="n"/>
      <c r="Z205" s="492" t="n"/>
      <c r="AA205" s="492" t="n"/>
      <c r="AB205" s="492" t="n"/>
      <c r="AC205" s="492" t="n"/>
      <c r="AD205" s="492" t="n"/>
      <c r="AE205" s="493" t="n"/>
      <c r="AF205" s="492" t="n"/>
      <c r="AG205" s="492" t="n"/>
      <c r="AH205" s="492" t="n"/>
      <c r="AI205" s="492" t="n"/>
      <c r="AJ205" s="493" t="n"/>
      <c r="AK205" s="492" t="n"/>
      <c r="AL205" s="492" t="n"/>
      <c r="AM205" s="492" t="n"/>
      <c r="AN205" s="492" t="n"/>
      <c r="AO205" s="492" t="n"/>
      <c r="AP205" s="492" t="n"/>
      <c r="AQ205" s="492" t="n"/>
      <c r="AR205" s="492" t="n"/>
      <c r="AS205" s="492" t="n"/>
      <c r="AT205" s="492" t="n"/>
      <c r="AU205" s="493" t="n"/>
      <c r="AV205" s="492" t="n"/>
      <c r="AW205" s="492" t="n"/>
      <c r="AX205" s="492" t="n"/>
      <c r="AY205" s="492" t="n"/>
      <c r="AZ205" s="492" t="n"/>
      <c r="BA205" s="493" t="n"/>
      <c r="BB205" s="492" t="n"/>
      <c r="BC205" s="492" t="n"/>
      <c r="BD205" s="492" t="n"/>
      <c r="BE205" s="492" t="n"/>
      <c r="BF205" s="493" t="n"/>
      <c r="BG205" s="493" t="n"/>
      <c r="BH205" s="495" t="n"/>
      <c r="BI205" s="496" t="n"/>
      <c r="BJ205" s="496" t="n"/>
      <c r="BK205" s="550" t="n"/>
      <c r="BM205" s="493" t="n"/>
      <c r="BN205" s="493" t="n"/>
      <c r="BO205" s="493" t="n"/>
      <c r="BP205" s="493" t="n"/>
      <c r="BQ205" s="493" t="n"/>
      <c r="BR205" s="493" t="n"/>
      <c r="BS205" s="493" t="n"/>
      <c r="BT205" s="493" t="n"/>
      <c r="BU205" s="493" t="n"/>
      <c r="BV205" s="493" t="n"/>
      <c r="BW205" s="493" t="n"/>
      <c r="BX205" s="493" t="n"/>
      <c r="BY205" s="493" t="n"/>
      <c r="BZ205" s="493" t="n"/>
      <c r="CA205" s="493" t="n"/>
      <c r="CB205" s="493" t="n"/>
      <c r="CC205" s="493" t="n"/>
      <c r="CD205" s="493" t="n"/>
      <c r="CE205" s="493" t="n"/>
      <c r="CF205" s="493" t="n"/>
      <c r="CG205" s="493" t="n"/>
      <c r="CH205" s="493" t="n"/>
      <c r="CI205" s="493" t="n"/>
      <c r="CJ205" s="493" t="n"/>
      <c r="CK205" s="493" t="n"/>
      <c r="CL205" s="493" t="n"/>
    </row>
    <row r="206" customFormat="1" s="230">
      <c r="E206" s="234" t="n"/>
      <c r="F206" s="492" t="n"/>
      <c r="G206" s="492" t="n"/>
      <c r="H206" s="493" t="n"/>
      <c r="I206" s="492" t="n"/>
      <c r="J206" s="492" t="n"/>
      <c r="K206" s="492" t="n"/>
      <c r="L206" s="492" t="n"/>
      <c r="M206" s="493" t="n"/>
      <c r="N206" s="492" t="n"/>
      <c r="O206" s="492" t="n"/>
      <c r="P206" s="492" t="n"/>
      <c r="Q206" s="492" t="n"/>
      <c r="R206" s="492" t="n"/>
      <c r="S206" s="492" t="n"/>
      <c r="T206" s="492" t="n"/>
      <c r="U206" s="492" t="n"/>
      <c r="V206" s="492" t="n"/>
      <c r="W206" s="492" t="n"/>
      <c r="X206" s="492" t="n"/>
      <c r="Y206" s="492" t="n"/>
      <c r="Z206" s="492" t="n"/>
      <c r="AA206" s="492" t="n"/>
      <c r="AB206" s="492" t="n"/>
      <c r="AC206" s="492" t="n"/>
      <c r="AD206" s="492" t="n"/>
      <c r="AE206" s="493" t="n"/>
      <c r="AF206" s="492" t="n"/>
      <c r="AG206" s="492" t="n"/>
      <c r="AH206" s="492" t="n"/>
      <c r="AI206" s="492" t="n"/>
      <c r="AJ206" s="493" t="n"/>
      <c r="AK206" s="492" t="n"/>
      <c r="AL206" s="492" t="n"/>
      <c r="AM206" s="492" t="n"/>
      <c r="AN206" s="492" t="n"/>
      <c r="AO206" s="492" t="n"/>
      <c r="AP206" s="492" t="n"/>
      <c r="AQ206" s="492" t="n"/>
      <c r="AR206" s="492" t="n"/>
      <c r="AS206" s="492" t="n"/>
      <c r="AT206" s="492" t="n"/>
      <c r="AU206" s="493" t="n"/>
      <c r="AV206" s="492" t="n"/>
      <c r="AW206" s="492" t="n"/>
      <c r="AX206" s="492" t="n"/>
      <c r="AY206" s="492" t="n"/>
      <c r="AZ206" s="492" t="n"/>
      <c r="BA206" s="493" t="n"/>
      <c r="BB206" s="492" t="n"/>
      <c r="BC206" s="492" t="n"/>
      <c r="BD206" s="492" t="n"/>
      <c r="BE206" s="492" t="n"/>
      <c r="BF206" s="493" t="n"/>
      <c r="BG206" s="493" t="n"/>
      <c r="BH206" s="495" t="n"/>
      <c r="BI206" s="496" t="n"/>
      <c r="BJ206" s="496" t="n"/>
      <c r="BK206" s="550" t="n"/>
      <c r="BM206" s="493" t="n"/>
      <c r="BN206" s="493" t="n"/>
      <c r="BO206" s="493" t="n"/>
      <c r="BP206" s="493" t="n"/>
      <c r="BQ206" s="493" t="n"/>
      <c r="BR206" s="493" t="n"/>
      <c r="BS206" s="493" t="n"/>
      <c r="BT206" s="493" t="n"/>
      <c r="BU206" s="493" t="n"/>
      <c r="BV206" s="493" t="n"/>
      <c r="BW206" s="493" t="n"/>
      <c r="BX206" s="493" t="n"/>
      <c r="BY206" s="493" t="n"/>
      <c r="BZ206" s="493" t="n"/>
      <c r="CA206" s="493" t="n"/>
      <c r="CB206" s="493" t="n"/>
      <c r="CC206" s="493" t="n"/>
      <c r="CD206" s="493" t="n"/>
      <c r="CE206" s="493" t="n"/>
      <c r="CF206" s="493" t="n"/>
      <c r="CG206" s="493" t="n"/>
      <c r="CH206" s="493" t="n"/>
      <c r="CI206" s="493" t="n"/>
      <c r="CJ206" s="493" t="n"/>
      <c r="CK206" s="493" t="n"/>
      <c r="CL206" s="493" t="n"/>
    </row>
    <row r="207" customFormat="1" s="230">
      <c r="E207" s="234" t="n"/>
      <c r="F207" s="492" t="n"/>
      <c r="G207" s="492" t="n"/>
      <c r="H207" s="493" t="n"/>
      <c r="I207" s="492" t="n"/>
      <c r="J207" s="492" t="n"/>
      <c r="K207" s="492" t="n"/>
      <c r="L207" s="492" t="n"/>
      <c r="M207" s="493" t="n"/>
      <c r="N207" s="492" t="n"/>
      <c r="O207" s="492" t="n"/>
      <c r="P207" s="492" t="n"/>
      <c r="Q207" s="492" t="n"/>
      <c r="R207" s="492" t="n"/>
      <c r="S207" s="492" t="n"/>
      <c r="T207" s="492" t="n"/>
      <c r="U207" s="492" t="n"/>
      <c r="V207" s="492" t="n"/>
      <c r="W207" s="492" t="n"/>
      <c r="X207" s="492" t="n"/>
      <c r="Y207" s="492" t="n"/>
      <c r="Z207" s="492" t="n"/>
      <c r="AA207" s="492" t="n"/>
      <c r="AB207" s="492" t="n"/>
      <c r="AC207" s="492" t="n"/>
      <c r="AD207" s="492" t="n"/>
      <c r="AE207" s="493" t="n"/>
      <c r="AF207" s="492" t="n"/>
      <c r="AG207" s="492" t="n"/>
      <c r="AH207" s="492" t="n"/>
      <c r="AI207" s="492" t="n"/>
      <c r="AJ207" s="493" t="n"/>
      <c r="AK207" s="492" t="n"/>
      <c r="AL207" s="492" t="n"/>
      <c r="AM207" s="492" t="n"/>
      <c r="AN207" s="492" t="n"/>
      <c r="AO207" s="492" t="n"/>
      <c r="AP207" s="492" t="n"/>
      <c r="AQ207" s="492" t="n"/>
      <c r="AR207" s="492" t="n"/>
      <c r="AS207" s="492" t="n"/>
      <c r="AT207" s="492" t="n"/>
      <c r="AU207" s="493" t="n"/>
      <c r="AV207" s="492" t="n"/>
      <c r="AW207" s="492" t="n"/>
      <c r="AX207" s="492" t="n"/>
      <c r="AY207" s="492" t="n"/>
      <c r="AZ207" s="492" t="n"/>
      <c r="BA207" s="493" t="n"/>
      <c r="BB207" s="492" t="n"/>
      <c r="BC207" s="492" t="n"/>
      <c r="BD207" s="492" t="n"/>
      <c r="BE207" s="492" t="n"/>
      <c r="BF207" s="493" t="n"/>
      <c r="BG207" s="493" t="n"/>
      <c r="BH207" s="495" t="n"/>
      <c r="BI207" s="496" t="n"/>
      <c r="BJ207" s="496" t="n"/>
      <c r="BK207" s="550" t="n"/>
      <c r="BM207" s="493" t="n"/>
      <c r="BN207" s="493" t="n"/>
      <c r="BO207" s="493" t="n"/>
      <c r="BP207" s="493" t="n"/>
      <c r="BQ207" s="493" t="n"/>
      <c r="BR207" s="493" t="n"/>
      <c r="BS207" s="493" t="n"/>
      <c r="BT207" s="493" t="n"/>
      <c r="BU207" s="493" t="n"/>
      <c r="BV207" s="493" t="n"/>
      <c r="BW207" s="493" t="n"/>
      <c r="BX207" s="493" t="n"/>
      <c r="BY207" s="493" t="n"/>
      <c r="BZ207" s="493" t="n"/>
      <c r="CA207" s="493" t="n"/>
      <c r="CB207" s="493" t="n"/>
      <c r="CC207" s="493" t="n"/>
      <c r="CD207" s="493" t="n"/>
      <c r="CE207" s="493" t="n"/>
      <c r="CF207" s="493" t="n"/>
      <c r="CG207" s="493" t="n"/>
      <c r="CH207" s="493" t="n"/>
      <c r="CI207" s="493" t="n"/>
      <c r="CJ207" s="493" t="n"/>
      <c r="CK207" s="493" t="n"/>
      <c r="CL207" s="493" t="n"/>
    </row>
    <row r="208" customFormat="1" s="230">
      <c r="E208" s="234" t="n"/>
      <c r="F208" s="492" t="n"/>
      <c r="G208" s="492" t="n"/>
      <c r="H208" s="493" t="n"/>
      <c r="I208" s="492" t="n"/>
      <c r="J208" s="492" t="n"/>
      <c r="K208" s="492" t="n"/>
      <c r="L208" s="492" t="n"/>
      <c r="M208" s="493" t="n"/>
      <c r="N208" s="492" t="n"/>
      <c r="O208" s="492" t="n"/>
      <c r="P208" s="492" t="n"/>
      <c r="Q208" s="492" t="n"/>
      <c r="R208" s="492" t="n"/>
      <c r="S208" s="492" t="n"/>
      <c r="T208" s="492" t="n"/>
      <c r="U208" s="492" t="n"/>
      <c r="V208" s="492" t="n"/>
      <c r="W208" s="492" t="n"/>
      <c r="X208" s="492" t="n"/>
      <c r="Y208" s="492" t="n"/>
      <c r="Z208" s="492" t="n"/>
      <c r="AA208" s="492" t="n"/>
      <c r="AB208" s="492" t="n"/>
      <c r="AC208" s="492" t="n"/>
      <c r="AD208" s="492" t="n"/>
      <c r="AE208" s="493" t="n"/>
      <c r="AF208" s="492" t="n"/>
      <c r="AG208" s="492" t="n"/>
      <c r="AH208" s="492" t="n"/>
      <c r="AI208" s="492" t="n"/>
      <c r="AJ208" s="493" t="n"/>
      <c r="AK208" s="492" t="n"/>
      <c r="AL208" s="492" t="n"/>
      <c r="AM208" s="492" t="n"/>
      <c r="AN208" s="492" t="n"/>
      <c r="AO208" s="492" t="n"/>
      <c r="AP208" s="492" t="n"/>
      <c r="AQ208" s="492" t="n"/>
      <c r="AR208" s="492" t="n"/>
      <c r="AS208" s="492" t="n"/>
      <c r="AT208" s="492" t="n"/>
      <c r="AU208" s="493" t="n"/>
      <c r="AV208" s="492" t="n"/>
      <c r="AW208" s="492" t="n"/>
      <c r="AX208" s="492" t="n"/>
      <c r="AY208" s="492" t="n"/>
      <c r="AZ208" s="492" t="n"/>
      <c r="BA208" s="493" t="n"/>
      <c r="BB208" s="492" t="n"/>
      <c r="BC208" s="492" t="n"/>
      <c r="BD208" s="492" t="n"/>
      <c r="BE208" s="492" t="n"/>
      <c r="BF208" s="493" t="n"/>
      <c r="BG208" s="493" t="n"/>
      <c r="BH208" s="495" t="n"/>
      <c r="BI208" s="496" t="n"/>
      <c r="BJ208" s="496" t="n"/>
      <c r="BK208" s="550" t="n"/>
      <c r="BM208" s="493" t="n"/>
      <c r="BN208" s="493" t="n"/>
      <c r="BO208" s="493" t="n"/>
      <c r="BP208" s="493" t="n"/>
      <c r="BQ208" s="493" t="n"/>
      <c r="BR208" s="493" t="n"/>
      <c r="BS208" s="493" t="n"/>
      <c r="BT208" s="493" t="n"/>
      <c r="BU208" s="493" t="n"/>
      <c r="BV208" s="493" t="n"/>
      <c r="BW208" s="493" t="n"/>
      <c r="BX208" s="493" t="n"/>
      <c r="BY208" s="493" t="n"/>
      <c r="BZ208" s="493" t="n"/>
      <c r="CA208" s="493" t="n"/>
      <c r="CB208" s="493" t="n"/>
      <c r="CC208" s="493" t="n"/>
      <c r="CD208" s="493" t="n"/>
      <c r="CE208" s="493" t="n"/>
      <c r="CF208" s="493" t="n"/>
      <c r="CG208" s="493" t="n"/>
      <c r="CH208" s="493" t="n"/>
      <c r="CI208" s="493" t="n"/>
      <c r="CJ208" s="493" t="n"/>
      <c r="CK208" s="493" t="n"/>
      <c r="CL208" s="493" t="n"/>
    </row>
    <row r="209" customFormat="1" s="230">
      <c r="E209" s="234" t="n"/>
      <c r="F209" s="492" t="n"/>
      <c r="G209" s="492" t="n"/>
      <c r="H209" s="493" t="n"/>
      <c r="I209" s="492" t="n"/>
      <c r="J209" s="492" t="n"/>
      <c r="K209" s="492" t="n"/>
      <c r="L209" s="492" t="n"/>
      <c r="M209" s="493" t="n"/>
      <c r="N209" s="492" t="n"/>
      <c r="O209" s="492" t="n"/>
      <c r="P209" s="492" t="n"/>
      <c r="Q209" s="492" t="n"/>
      <c r="R209" s="492" t="n"/>
      <c r="S209" s="492" t="n"/>
      <c r="T209" s="492" t="n"/>
      <c r="U209" s="492" t="n"/>
      <c r="V209" s="492" t="n"/>
      <c r="W209" s="492" t="n"/>
      <c r="X209" s="492" t="n"/>
      <c r="Y209" s="492" t="n"/>
      <c r="Z209" s="492" t="n"/>
      <c r="AA209" s="492" t="n"/>
      <c r="AB209" s="492" t="n"/>
      <c r="AC209" s="492" t="n"/>
      <c r="AD209" s="492" t="n"/>
      <c r="AE209" s="493" t="n"/>
      <c r="AF209" s="492" t="n"/>
      <c r="AG209" s="492" t="n"/>
      <c r="AH209" s="492" t="n"/>
      <c r="AI209" s="492" t="n"/>
      <c r="AJ209" s="493" t="n"/>
      <c r="AK209" s="492" t="n"/>
      <c r="AL209" s="492" t="n"/>
      <c r="AM209" s="492" t="n"/>
      <c r="AN209" s="492" t="n"/>
      <c r="AO209" s="492" t="n"/>
      <c r="AP209" s="492" t="n"/>
      <c r="AQ209" s="492" t="n"/>
      <c r="AR209" s="492" t="n"/>
      <c r="AS209" s="492" t="n"/>
      <c r="AT209" s="492" t="n"/>
      <c r="AU209" s="493" t="n"/>
      <c r="AV209" s="492" t="n"/>
      <c r="AW209" s="492" t="n"/>
      <c r="AX209" s="492" t="n"/>
      <c r="AY209" s="492" t="n"/>
      <c r="AZ209" s="492" t="n"/>
      <c r="BA209" s="493" t="n"/>
      <c r="BB209" s="492" t="n"/>
      <c r="BC209" s="492" t="n"/>
      <c r="BD209" s="492" t="n"/>
      <c r="BE209" s="492" t="n"/>
      <c r="BF209" s="493" t="n"/>
      <c r="BG209" s="493" t="n"/>
      <c r="BH209" s="495" t="n"/>
      <c r="BI209" s="496" t="n"/>
      <c r="BJ209" s="496" t="n"/>
      <c r="BK209" s="550" t="n"/>
      <c r="BM209" s="493" t="n"/>
      <c r="BN209" s="493" t="n"/>
      <c r="BO209" s="493" t="n"/>
      <c r="BP209" s="493" t="n"/>
      <c r="BQ209" s="493" t="n"/>
      <c r="BR209" s="493" t="n"/>
      <c r="BS209" s="493" t="n"/>
      <c r="BT209" s="493" t="n"/>
      <c r="BU209" s="493" t="n"/>
      <c r="BV209" s="493" t="n"/>
      <c r="BW209" s="493" t="n"/>
      <c r="BX209" s="493" t="n"/>
      <c r="BY209" s="493" t="n"/>
      <c r="BZ209" s="493" t="n"/>
      <c r="CA209" s="493" t="n"/>
      <c r="CB209" s="493" t="n"/>
      <c r="CC209" s="493" t="n"/>
      <c r="CD209" s="493" t="n"/>
      <c r="CE209" s="493" t="n"/>
      <c r="CF209" s="493" t="n"/>
      <c r="CG209" s="493" t="n"/>
      <c r="CH209" s="493" t="n"/>
      <c r="CI209" s="493" t="n"/>
      <c r="CJ209" s="493" t="n"/>
      <c r="CK209" s="493" t="n"/>
      <c r="CL209" s="493" t="n"/>
    </row>
    <row r="210" customFormat="1" s="230">
      <c r="E210" s="234" t="n"/>
      <c r="F210" s="492" t="n"/>
      <c r="G210" s="492" t="n"/>
      <c r="H210" s="493" t="n"/>
      <c r="I210" s="492" t="n"/>
      <c r="J210" s="492" t="n"/>
      <c r="K210" s="492" t="n"/>
      <c r="L210" s="492" t="n"/>
      <c r="M210" s="493" t="n"/>
      <c r="N210" s="492" t="n"/>
      <c r="O210" s="492" t="n"/>
      <c r="P210" s="492" t="n"/>
      <c r="Q210" s="492" t="n"/>
      <c r="R210" s="492" t="n"/>
      <c r="S210" s="492" t="n"/>
      <c r="T210" s="492" t="n"/>
      <c r="U210" s="492" t="n"/>
      <c r="V210" s="492" t="n"/>
      <c r="W210" s="492" t="n"/>
      <c r="X210" s="492" t="n"/>
      <c r="Y210" s="492" t="n"/>
      <c r="Z210" s="492" t="n"/>
      <c r="AA210" s="492" t="n"/>
      <c r="AB210" s="492" t="n"/>
      <c r="AC210" s="492" t="n"/>
      <c r="AD210" s="492" t="n"/>
      <c r="AE210" s="493" t="n"/>
      <c r="AF210" s="492" t="n"/>
      <c r="AG210" s="492" t="n"/>
      <c r="AH210" s="492" t="n"/>
      <c r="AI210" s="492" t="n"/>
      <c r="AJ210" s="493" t="n"/>
      <c r="AK210" s="492" t="n"/>
      <c r="AL210" s="492" t="n"/>
      <c r="AM210" s="492" t="n"/>
      <c r="AN210" s="492" t="n"/>
      <c r="AO210" s="492" t="n"/>
      <c r="AP210" s="492" t="n"/>
      <c r="AQ210" s="492" t="n"/>
      <c r="AR210" s="492" t="n"/>
      <c r="AS210" s="492" t="n"/>
      <c r="AT210" s="492" t="n"/>
      <c r="AU210" s="493" t="n"/>
      <c r="AV210" s="492" t="n"/>
      <c r="AW210" s="492" t="n"/>
      <c r="AX210" s="492" t="n"/>
      <c r="AY210" s="492" t="n"/>
      <c r="AZ210" s="492" t="n"/>
      <c r="BA210" s="493" t="n"/>
      <c r="BB210" s="492" t="n"/>
      <c r="BC210" s="492" t="n"/>
      <c r="BD210" s="492" t="n"/>
      <c r="BE210" s="492" t="n"/>
      <c r="BF210" s="493" t="n"/>
      <c r="BG210" s="493" t="n"/>
      <c r="BH210" s="495" t="n"/>
      <c r="BI210" s="496" t="n"/>
      <c r="BJ210" s="496" t="n"/>
      <c r="BK210" s="550" t="n"/>
      <c r="BM210" s="493" t="n"/>
      <c r="BN210" s="493" t="n"/>
      <c r="BO210" s="493" t="n"/>
      <c r="BP210" s="493" t="n"/>
      <c r="BQ210" s="493" t="n"/>
      <c r="BR210" s="493" t="n"/>
      <c r="BS210" s="493" t="n"/>
      <c r="BT210" s="493" t="n"/>
      <c r="BU210" s="493" t="n"/>
      <c r="BV210" s="493" t="n"/>
      <c r="BW210" s="493" t="n"/>
      <c r="BX210" s="493" t="n"/>
      <c r="BY210" s="493" t="n"/>
      <c r="BZ210" s="493" t="n"/>
      <c r="CA210" s="493" t="n"/>
      <c r="CB210" s="493" t="n"/>
      <c r="CC210" s="493" t="n"/>
      <c r="CD210" s="493" t="n"/>
      <c r="CE210" s="493" t="n"/>
      <c r="CF210" s="493" t="n"/>
      <c r="CG210" s="493" t="n"/>
      <c r="CH210" s="493" t="n"/>
      <c r="CI210" s="493" t="n"/>
      <c r="CJ210" s="493" t="n"/>
      <c r="CK210" s="493" t="n"/>
      <c r="CL210" s="493" t="n"/>
    </row>
    <row r="211" customFormat="1" s="230">
      <c r="E211" s="234" t="n"/>
      <c r="F211" s="492" t="n"/>
      <c r="G211" s="492" t="n"/>
      <c r="H211" s="493" t="n"/>
      <c r="I211" s="492" t="n"/>
      <c r="J211" s="492" t="n"/>
      <c r="K211" s="492" t="n"/>
      <c r="L211" s="492" t="n"/>
      <c r="M211" s="493" t="n"/>
      <c r="N211" s="492" t="n"/>
      <c r="O211" s="492" t="n"/>
      <c r="P211" s="492" t="n"/>
      <c r="Q211" s="492" t="n"/>
      <c r="R211" s="492" t="n"/>
      <c r="S211" s="492" t="n"/>
      <c r="T211" s="492" t="n"/>
      <c r="U211" s="492" t="n"/>
      <c r="V211" s="492" t="n"/>
      <c r="W211" s="492" t="n"/>
      <c r="X211" s="492" t="n"/>
      <c r="Y211" s="492" t="n"/>
      <c r="Z211" s="492" t="n"/>
      <c r="AA211" s="492" t="n"/>
      <c r="AB211" s="492" t="n"/>
      <c r="AC211" s="492" t="n"/>
      <c r="AD211" s="492" t="n"/>
      <c r="AE211" s="493" t="n"/>
      <c r="AF211" s="492" t="n"/>
      <c r="AG211" s="492" t="n"/>
      <c r="AH211" s="492" t="n"/>
      <c r="AI211" s="492" t="n"/>
      <c r="AJ211" s="493" t="n"/>
      <c r="AK211" s="492" t="n"/>
      <c r="AL211" s="492" t="n"/>
      <c r="AM211" s="492" t="n"/>
      <c r="AN211" s="492" t="n"/>
      <c r="AO211" s="492" t="n"/>
      <c r="AP211" s="492" t="n"/>
      <c r="AQ211" s="492" t="n"/>
      <c r="AR211" s="492" t="n"/>
      <c r="AS211" s="492" t="n"/>
      <c r="AT211" s="492" t="n"/>
      <c r="AU211" s="493" t="n"/>
      <c r="AV211" s="492" t="n"/>
      <c r="AW211" s="492" t="n"/>
      <c r="AX211" s="492" t="n"/>
      <c r="AY211" s="492" t="n"/>
      <c r="AZ211" s="492" t="n"/>
      <c r="BA211" s="493" t="n"/>
      <c r="BB211" s="492" t="n"/>
      <c r="BC211" s="492" t="n"/>
      <c r="BD211" s="492" t="n"/>
      <c r="BE211" s="492" t="n"/>
      <c r="BF211" s="493" t="n"/>
      <c r="BG211" s="493" t="n"/>
      <c r="BH211" s="495" t="n"/>
      <c r="BI211" s="496" t="n"/>
      <c r="BJ211" s="496" t="n"/>
      <c r="BK211" s="550" t="n"/>
      <c r="BM211" s="493" t="n"/>
      <c r="BN211" s="493" t="n"/>
      <c r="BO211" s="493" t="n"/>
      <c r="BP211" s="493" t="n"/>
      <c r="BQ211" s="493" t="n"/>
      <c r="BR211" s="493" t="n"/>
      <c r="BS211" s="493" t="n"/>
      <c r="BT211" s="493" t="n"/>
      <c r="BU211" s="493" t="n"/>
      <c r="BV211" s="493" t="n"/>
      <c r="BW211" s="493" t="n"/>
      <c r="BX211" s="493" t="n"/>
      <c r="BY211" s="493" t="n"/>
      <c r="BZ211" s="493" t="n"/>
      <c r="CA211" s="493" t="n"/>
      <c r="CB211" s="493" t="n"/>
      <c r="CC211" s="493" t="n"/>
      <c r="CD211" s="493" t="n"/>
      <c r="CE211" s="493" t="n"/>
      <c r="CF211" s="493" t="n"/>
      <c r="CG211" s="493" t="n"/>
      <c r="CH211" s="493" t="n"/>
      <c r="CI211" s="493" t="n"/>
      <c r="CJ211" s="493" t="n"/>
      <c r="CK211" s="493" t="n"/>
      <c r="CL211" s="493" t="n"/>
    </row>
    <row r="212" customFormat="1" s="230">
      <c r="E212" s="234" t="n"/>
      <c r="F212" s="492" t="n"/>
      <c r="G212" s="492" t="n"/>
      <c r="H212" s="493" t="n"/>
      <c r="I212" s="492" t="n"/>
      <c r="J212" s="492" t="n"/>
      <c r="K212" s="492" t="n"/>
      <c r="L212" s="492" t="n"/>
      <c r="M212" s="493" t="n"/>
      <c r="N212" s="492" t="n"/>
      <c r="O212" s="492" t="n"/>
      <c r="P212" s="492" t="n"/>
      <c r="Q212" s="492" t="n"/>
      <c r="R212" s="492" t="n"/>
      <c r="S212" s="492" t="n"/>
      <c r="T212" s="492" t="n"/>
      <c r="U212" s="492" t="n"/>
      <c r="V212" s="492" t="n"/>
      <c r="W212" s="492" t="n"/>
      <c r="X212" s="492" t="n"/>
      <c r="Y212" s="492" t="n"/>
      <c r="Z212" s="492" t="n"/>
      <c r="AA212" s="492" t="n"/>
      <c r="AB212" s="492" t="n"/>
      <c r="AC212" s="492" t="n"/>
      <c r="AD212" s="492" t="n"/>
      <c r="AE212" s="493" t="n"/>
      <c r="AF212" s="492" t="n"/>
      <c r="AG212" s="492" t="n"/>
      <c r="AH212" s="492" t="n"/>
      <c r="AI212" s="492" t="n"/>
      <c r="AJ212" s="493" t="n"/>
      <c r="AK212" s="492" t="n"/>
      <c r="AL212" s="492" t="n"/>
      <c r="AM212" s="492" t="n"/>
      <c r="AN212" s="492" t="n"/>
      <c r="AO212" s="492" t="n"/>
      <c r="AP212" s="492" t="n"/>
      <c r="AQ212" s="492" t="n"/>
      <c r="AR212" s="492" t="n"/>
      <c r="AS212" s="492" t="n"/>
      <c r="AT212" s="492" t="n"/>
      <c r="AU212" s="493" t="n"/>
      <c r="AV212" s="492" t="n"/>
      <c r="AW212" s="492" t="n"/>
      <c r="AX212" s="492" t="n"/>
      <c r="AY212" s="492" t="n"/>
      <c r="AZ212" s="492" t="n"/>
      <c r="BA212" s="493" t="n"/>
      <c r="BB212" s="492" t="n"/>
      <c r="BC212" s="492" t="n"/>
      <c r="BD212" s="492" t="n"/>
      <c r="BE212" s="492" t="n"/>
      <c r="BF212" s="493" t="n"/>
      <c r="BG212" s="493" t="n"/>
      <c r="BH212" s="495" t="n"/>
      <c r="BI212" s="496" t="n"/>
      <c r="BJ212" s="496" t="n"/>
      <c r="BK212" s="550" t="n"/>
      <c r="BM212" s="493" t="n"/>
      <c r="BN212" s="493" t="n"/>
      <c r="BO212" s="493" t="n"/>
      <c r="BP212" s="493" t="n"/>
      <c r="BQ212" s="493" t="n"/>
      <c r="BR212" s="493" t="n"/>
      <c r="BS212" s="493" t="n"/>
      <c r="BT212" s="493" t="n"/>
      <c r="BU212" s="493" t="n"/>
      <c r="BV212" s="493" t="n"/>
      <c r="BW212" s="493" t="n"/>
      <c r="BX212" s="493" t="n"/>
      <c r="BY212" s="493" t="n"/>
      <c r="BZ212" s="493" t="n"/>
      <c r="CA212" s="493" t="n"/>
      <c r="CB212" s="493" t="n"/>
      <c r="CC212" s="493" t="n"/>
      <c r="CD212" s="493" t="n"/>
      <c r="CE212" s="493" t="n"/>
      <c r="CF212" s="493" t="n"/>
      <c r="CG212" s="493" t="n"/>
      <c r="CH212" s="493" t="n"/>
      <c r="CI212" s="493" t="n"/>
      <c r="CJ212" s="493" t="n"/>
      <c r="CK212" s="493" t="n"/>
      <c r="CL212" s="493" t="n"/>
    </row>
    <row r="213" customFormat="1" s="230">
      <c r="E213" s="234" t="n"/>
      <c r="F213" s="492" t="n"/>
      <c r="G213" s="492" t="n"/>
      <c r="H213" s="493" t="n"/>
      <c r="I213" s="492" t="n"/>
      <c r="J213" s="492" t="n"/>
      <c r="K213" s="492" t="n"/>
      <c r="L213" s="492" t="n"/>
      <c r="M213" s="493" t="n"/>
      <c r="N213" s="492" t="n"/>
      <c r="O213" s="492" t="n"/>
      <c r="P213" s="492" t="n"/>
      <c r="Q213" s="492" t="n"/>
      <c r="R213" s="492" t="n"/>
      <c r="S213" s="492" t="n"/>
      <c r="T213" s="492" t="n"/>
      <c r="U213" s="492" t="n"/>
      <c r="V213" s="492" t="n"/>
      <c r="W213" s="492" t="n"/>
      <c r="X213" s="492" t="n"/>
      <c r="Y213" s="492" t="n"/>
      <c r="Z213" s="492" t="n"/>
      <c r="AA213" s="492" t="n"/>
      <c r="AB213" s="492" t="n"/>
      <c r="AC213" s="492" t="n"/>
      <c r="AD213" s="492" t="n"/>
      <c r="AE213" s="493" t="n"/>
      <c r="AF213" s="492" t="n"/>
      <c r="AG213" s="492" t="n"/>
      <c r="AH213" s="492" t="n"/>
      <c r="AI213" s="492" t="n"/>
      <c r="AJ213" s="493" t="n"/>
      <c r="AK213" s="492" t="n"/>
      <c r="AL213" s="492" t="n"/>
      <c r="AM213" s="492" t="n"/>
      <c r="AN213" s="492" t="n"/>
      <c r="AO213" s="492" t="n"/>
      <c r="AP213" s="492" t="n"/>
      <c r="AQ213" s="492" t="n"/>
      <c r="AR213" s="492" t="n"/>
      <c r="AS213" s="492" t="n"/>
      <c r="AT213" s="492" t="n"/>
      <c r="AU213" s="493" t="n"/>
      <c r="AV213" s="492" t="n"/>
      <c r="AW213" s="492" t="n"/>
      <c r="AX213" s="492" t="n"/>
      <c r="AY213" s="492" t="n"/>
      <c r="AZ213" s="492" t="n"/>
      <c r="BA213" s="493" t="n"/>
      <c r="BB213" s="492" t="n"/>
      <c r="BC213" s="492" t="n"/>
      <c r="BD213" s="492" t="n"/>
      <c r="BE213" s="492" t="n"/>
      <c r="BF213" s="493" t="n"/>
      <c r="BG213" s="493" t="n"/>
      <c r="BH213" s="495" t="n"/>
      <c r="BI213" s="496" t="n"/>
      <c r="BJ213" s="496" t="n"/>
      <c r="BK213" s="550" t="n"/>
      <c r="BM213" s="493" t="n"/>
      <c r="BN213" s="493" t="n"/>
      <c r="BO213" s="493" t="n"/>
      <c r="BP213" s="493" t="n"/>
      <c r="BQ213" s="493" t="n"/>
      <c r="BR213" s="493" t="n"/>
      <c r="BS213" s="493" t="n"/>
      <c r="BT213" s="493" t="n"/>
      <c r="BU213" s="493" t="n"/>
      <c r="BV213" s="493" t="n"/>
      <c r="BW213" s="493" t="n"/>
      <c r="BX213" s="493" t="n"/>
      <c r="BY213" s="493" t="n"/>
      <c r="BZ213" s="493" t="n"/>
      <c r="CA213" s="493" t="n"/>
      <c r="CB213" s="493" t="n"/>
      <c r="CC213" s="493" t="n"/>
      <c r="CD213" s="493" t="n"/>
      <c r="CE213" s="493" t="n"/>
      <c r="CF213" s="493" t="n"/>
      <c r="CG213" s="493" t="n"/>
      <c r="CH213" s="493" t="n"/>
      <c r="CI213" s="493" t="n"/>
      <c r="CJ213" s="493" t="n"/>
      <c r="CK213" s="493" t="n"/>
      <c r="CL213" s="493" t="n"/>
    </row>
    <row r="214" customFormat="1" s="230">
      <c r="E214" s="234" t="n"/>
      <c r="F214" s="492" t="n"/>
      <c r="G214" s="492" t="n"/>
      <c r="H214" s="493" t="n"/>
      <c r="I214" s="492" t="n"/>
      <c r="J214" s="492" t="n"/>
      <c r="K214" s="492" t="n"/>
      <c r="L214" s="492" t="n"/>
      <c r="M214" s="493" t="n"/>
      <c r="N214" s="492" t="n"/>
      <c r="O214" s="492" t="n"/>
      <c r="P214" s="492" t="n"/>
      <c r="Q214" s="492" t="n"/>
      <c r="R214" s="492" t="n"/>
      <c r="S214" s="492" t="n"/>
      <c r="T214" s="492" t="n"/>
      <c r="U214" s="492" t="n"/>
      <c r="V214" s="492" t="n"/>
      <c r="W214" s="492" t="n"/>
      <c r="X214" s="492" t="n"/>
      <c r="Y214" s="492" t="n"/>
      <c r="Z214" s="492" t="n"/>
      <c r="AA214" s="492" t="n"/>
      <c r="AB214" s="492" t="n"/>
      <c r="AC214" s="492" t="n"/>
      <c r="AD214" s="492" t="n"/>
      <c r="AE214" s="493" t="n"/>
      <c r="AF214" s="492" t="n"/>
      <c r="AG214" s="492" t="n"/>
      <c r="AH214" s="492" t="n"/>
      <c r="AI214" s="492" t="n"/>
      <c r="AJ214" s="493" t="n"/>
      <c r="AK214" s="492" t="n"/>
      <c r="AL214" s="492" t="n"/>
      <c r="AM214" s="492" t="n"/>
      <c r="AN214" s="492" t="n"/>
      <c r="AO214" s="492" t="n"/>
      <c r="AP214" s="492" t="n"/>
      <c r="AQ214" s="492" t="n"/>
      <c r="AR214" s="492" t="n"/>
      <c r="AS214" s="492" t="n"/>
      <c r="AT214" s="492" t="n"/>
      <c r="AU214" s="493" t="n"/>
      <c r="AV214" s="492" t="n"/>
      <c r="AW214" s="492" t="n"/>
      <c r="AX214" s="492" t="n"/>
      <c r="AY214" s="492" t="n"/>
      <c r="AZ214" s="492" t="n"/>
      <c r="BA214" s="493" t="n"/>
      <c r="BB214" s="492" t="n"/>
      <c r="BC214" s="492" t="n"/>
      <c r="BD214" s="492" t="n"/>
      <c r="BE214" s="492" t="n"/>
      <c r="BF214" s="493" t="n"/>
      <c r="BG214" s="493" t="n"/>
      <c r="BH214" s="495" t="n"/>
      <c r="BI214" s="496" t="n"/>
      <c r="BJ214" s="496" t="n"/>
      <c r="BK214" s="550" t="n"/>
      <c r="BM214" s="493" t="n"/>
      <c r="BN214" s="493" t="n"/>
      <c r="BO214" s="493" t="n"/>
      <c r="BP214" s="493" t="n"/>
      <c r="BQ214" s="493" t="n"/>
      <c r="BR214" s="493" t="n"/>
      <c r="BS214" s="493" t="n"/>
      <c r="BT214" s="493" t="n"/>
      <c r="BU214" s="493" t="n"/>
      <c r="BV214" s="493" t="n"/>
      <c r="BW214" s="493" t="n"/>
      <c r="BX214" s="493" t="n"/>
      <c r="BY214" s="493" t="n"/>
      <c r="BZ214" s="493" t="n"/>
      <c r="CA214" s="493" t="n"/>
      <c r="CB214" s="493" t="n"/>
      <c r="CC214" s="493" t="n"/>
      <c r="CD214" s="493" t="n"/>
      <c r="CE214" s="493" t="n"/>
      <c r="CF214" s="493" t="n"/>
      <c r="CG214" s="493" t="n"/>
      <c r="CH214" s="493" t="n"/>
      <c r="CI214" s="493" t="n"/>
      <c r="CJ214" s="493" t="n"/>
      <c r="CK214" s="493" t="n"/>
      <c r="CL214" s="493" t="n"/>
    </row>
    <row r="215" customFormat="1" s="230">
      <c r="E215" s="234" t="n"/>
      <c r="F215" s="492" t="n"/>
      <c r="G215" s="492" t="n"/>
      <c r="H215" s="493" t="n"/>
      <c r="I215" s="492" t="n"/>
      <c r="J215" s="492" t="n"/>
      <c r="K215" s="492" t="n"/>
      <c r="L215" s="492" t="n"/>
      <c r="M215" s="493" t="n"/>
      <c r="N215" s="492" t="n"/>
      <c r="O215" s="492" t="n"/>
      <c r="P215" s="492" t="n"/>
      <c r="Q215" s="492" t="n"/>
      <c r="R215" s="492" t="n"/>
      <c r="S215" s="492" t="n"/>
      <c r="T215" s="492" t="n"/>
      <c r="U215" s="492" t="n"/>
      <c r="V215" s="492" t="n"/>
      <c r="W215" s="492" t="n"/>
      <c r="X215" s="492" t="n"/>
      <c r="Y215" s="492" t="n"/>
      <c r="Z215" s="492" t="n"/>
      <c r="AA215" s="492" t="n"/>
      <c r="AB215" s="492" t="n"/>
      <c r="AC215" s="492" t="n"/>
      <c r="AD215" s="492" t="n"/>
      <c r="AE215" s="493" t="n"/>
      <c r="AF215" s="492" t="n"/>
      <c r="AG215" s="492" t="n"/>
      <c r="AH215" s="492" t="n"/>
      <c r="AI215" s="492" t="n"/>
      <c r="AJ215" s="493" t="n"/>
      <c r="AK215" s="492" t="n"/>
      <c r="AL215" s="492" t="n"/>
      <c r="AM215" s="492" t="n"/>
      <c r="AN215" s="492" t="n"/>
      <c r="AO215" s="492" t="n"/>
      <c r="AP215" s="492" t="n"/>
      <c r="AQ215" s="492" t="n"/>
      <c r="AR215" s="492" t="n"/>
      <c r="AS215" s="492" t="n"/>
      <c r="AT215" s="492" t="n"/>
      <c r="AU215" s="493" t="n"/>
      <c r="AV215" s="492" t="n"/>
      <c r="AW215" s="492" t="n"/>
      <c r="AX215" s="492" t="n"/>
      <c r="AY215" s="492" t="n"/>
      <c r="AZ215" s="492" t="n"/>
      <c r="BA215" s="493" t="n"/>
      <c r="BB215" s="492" t="n"/>
      <c r="BC215" s="492" t="n"/>
      <c r="BD215" s="492" t="n"/>
      <c r="BE215" s="492" t="n"/>
      <c r="BF215" s="493" t="n"/>
      <c r="BG215" s="493" t="n"/>
      <c r="BH215" s="495" t="n"/>
      <c r="BI215" s="496" t="n"/>
      <c r="BJ215" s="496" t="n"/>
      <c r="BK215" s="550" t="n"/>
      <c r="BM215" s="493" t="n"/>
      <c r="BN215" s="493" t="n"/>
      <c r="BO215" s="493" t="n"/>
      <c r="BP215" s="493" t="n"/>
      <c r="BQ215" s="493" t="n"/>
      <c r="BR215" s="493" t="n"/>
      <c r="BS215" s="493" t="n"/>
      <c r="BT215" s="493" t="n"/>
      <c r="BU215" s="493" t="n"/>
      <c r="BV215" s="493" t="n"/>
      <c r="BW215" s="493" t="n"/>
      <c r="BX215" s="493" t="n"/>
      <c r="BY215" s="493" t="n"/>
      <c r="BZ215" s="493" t="n"/>
      <c r="CA215" s="493" t="n"/>
      <c r="CB215" s="493" t="n"/>
      <c r="CC215" s="493" t="n"/>
      <c r="CD215" s="493" t="n"/>
      <c r="CE215" s="493" t="n"/>
      <c r="CF215" s="493" t="n"/>
      <c r="CG215" s="493" t="n"/>
      <c r="CH215" s="493" t="n"/>
      <c r="CI215" s="493" t="n"/>
      <c r="CJ215" s="493" t="n"/>
      <c r="CK215" s="493" t="n"/>
      <c r="CL215" s="493" t="n"/>
    </row>
    <row r="216" customFormat="1" s="230">
      <c r="E216" s="234" t="n"/>
      <c r="F216" s="492" t="n"/>
      <c r="G216" s="492" t="n"/>
      <c r="H216" s="493" t="n"/>
      <c r="I216" s="492" t="n"/>
      <c r="J216" s="492" t="n"/>
      <c r="K216" s="492" t="n"/>
      <c r="L216" s="492" t="n"/>
      <c r="M216" s="493" t="n"/>
      <c r="N216" s="492" t="n"/>
      <c r="O216" s="492" t="n"/>
      <c r="P216" s="492" t="n"/>
      <c r="Q216" s="492" t="n"/>
      <c r="R216" s="492" t="n"/>
      <c r="S216" s="492" t="n"/>
      <c r="T216" s="492" t="n"/>
      <c r="U216" s="492" t="n"/>
      <c r="V216" s="492" t="n"/>
      <c r="W216" s="492" t="n"/>
      <c r="X216" s="492" t="n"/>
      <c r="Y216" s="492" t="n"/>
      <c r="Z216" s="492" t="n"/>
      <c r="AA216" s="492" t="n"/>
      <c r="AB216" s="492" t="n"/>
      <c r="AC216" s="492" t="n"/>
      <c r="AD216" s="492" t="n"/>
      <c r="AE216" s="493" t="n"/>
      <c r="AF216" s="492" t="n"/>
      <c r="AG216" s="492" t="n"/>
      <c r="AH216" s="492" t="n"/>
      <c r="AI216" s="492" t="n"/>
      <c r="AJ216" s="493" t="n"/>
      <c r="AK216" s="492" t="n"/>
      <c r="AL216" s="492" t="n"/>
      <c r="AM216" s="492" t="n"/>
      <c r="AN216" s="492" t="n"/>
      <c r="AO216" s="492" t="n"/>
      <c r="AP216" s="492" t="n"/>
      <c r="AQ216" s="492" t="n"/>
      <c r="AR216" s="492" t="n"/>
      <c r="AS216" s="492" t="n"/>
      <c r="AT216" s="492" t="n"/>
      <c r="AU216" s="493" t="n"/>
      <c r="AV216" s="492" t="n"/>
      <c r="AW216" s="492" t="n"/>
      <c r="AX216" s="492" t="n"/>
      <c r="AY216" s="492" t="n"/>
      <c r="AZ216" s="492" t="n"/>
      <c r="BA216" s="493" t="n"/>
      <c r="BB216" s="492" t="n"/>
      <c r="BC216" s="492" t="n"/>
      <c r="BD216" s="492" t="n"/>
      <c r="BE216" s="492" t="n"/>
      <c r="BF216" s="493" t="n"/>
      <c r="BG216" s="493" t="n"/>
      <c r="BH216" s="495" t="n"/>
      <c r="BI216" s="496" t="n"/>
      <c r="BJ216" s="496" t="n"/>
      <c r="BK216" s="550" t="n"/>
      <c r="BM216" s="493" t="n"/>
      <c r="BN216" s="493" t="n"/>
      <c r="BO216" s="493" t="n"/>
      <c r="BP216" s="493" t="n"/>
      <c r="BQ216" s="493" t="n"/>
      <c r="BR216" s="493" t="n"/>
      <c r="BS216" s="493" t="n"/>
      <c r="BT216" s="493" t="n"/>
      <c r="BU216" s="493" t="n"/>
      <c r="BV216" s="493" t="n"/>
      <c r="BW216" s="493" t="n"/>
      <c r="BX216" s="493" t="n"/>
      <c r="BY216" s="493" t="n"/>
      <c r="BZ216" s="493" t="n"/>
      <c r="CA216" s="493" t="n"/>
      <c r="CB216" s="493" t="n"/>
      <c r="CC216" s="493" t="n"/>
      <c r="CD216" s="493" t="n"/>
      <c r="CE216" s="493" t="n"/>
      <c r="CF216" s="493" t="n"/>
      <c r="CG216" s="493" t="n"/>
      <c r="CH216" s="493" t="n"/>
      <c r="CI216" s="493" t="n"/>
      <c r="CJ216" s="493" t="n"/>
      <c r="CK216" s="493" t="n"/>
      <c r="CL216" s="493" t="n"/>
    </row>
    <row r="217" customFormat="1" s="230">
      <c r="E217" s="234" t="n"/>
      <c r="F217" s="492" t="n"/>
      <c r="G217" s="492" t="n"/>
      <c r="H217" s="493" t="n"/>
      <c r="I217" s="492" t="n"/>
      <c r="J217" s="492" t="n"/>
      <c r="K217" s="492" t="n"/>
      <c r="L217" s="492" t="n"/>
      <c r="M217" s="493" t="n"/>
      <c r="N217" s="492" t="n"/>
      <c r="O217" s="492" t="n"/>
      <c r="P217" s="492" t="n"/>
      <c r="Q217" s="492" t="n"/>
      <c r="R217" s="492" t="n"/>
      <c r="S217" s="492" t="n"/>
      <c r="T217" s="492" t="n"/>
      <c r="U217" s="492" t="n"/>
      <c r="V217" s="492" t="n"/>
      <c r="W217" s="492" t="n"/>
      <c r="X217" s="492" t="n"/>
      <c r="Y217" s="492" t="n"/>
      <c r="Z217" s="492" t="n"/>
      <c r="AA217" s="492" t="n"/>
      <c r="AB217" s="492" t="n"/>
      <c r="AC217" s="492" t="n"/>
      <c r="AD217" s="492" t="n"/>
      <c r="AE217" s="493" t="n"/>
      <c r="AF217" s="492" t="n"/>
      <c r="AG217" s="492" t="n"/>
      <c r="AH217" s="492" t="n"/>
      <c r="AI217" s="492" t="n"/>
      <c r="AJ217" s="493" t="n"/>
      <c r="AK217" s="492" t="n"/>
      <c r="AL217" s="492" t="n"/>
      <c r="AM217" s="492" t="n"/>
      <c r="AN217" s="492" t="n"/>
      <c r="AO217" s="492" t="n"/>
      <c r="AP217" s="492" t="n"/>
      <c r="AQ217" s="492" t="n"/>
      <c r="AR217" s="492" t="n"/>
      <c r="AS217" s="492" t="n"/>
      <c r="AT217" s="492" t="n"/>
      <c r="AU217" s="493" t="n"/>
      <c r="AV217" s="492" t="n"/>
      <c r="AW217" s="492" t="n"/>
      <c r="AX217" s="492" t="n"/>
      <c r="AY217" s="492" t="n"/>
      <c r="AZ217" s="492" t="n"/>
      <c r="BA217" s="493" t="n"/>
      <c r="BB217" s="492" t="n"/>
      <c r="BC217" s="492" t="n"/>
      <c r="BD217" s="492" t="n"/>
      <c r="BE217" s="492" t="n"/>
      <c r="BF217" s="493" t="n"/>
      <c r="BG217" s="493" t="n"/>
      <c r="BH217" s="495" t="n"/>
      <c r="BI217" s="496" t="n"/>
      <c r="BJ217" s="496" t="n"/>
      <c r="BK217" s="550" t="n"/>
      <c r="BM217" s="493" t="n"/>
      <c r="BN217" s="493" t="n"/>
      <c r="BO217" s="493" t="n"/>
      <c r="BP217" s="493" t="n"/>
      <c r="BQ217" s="493" t="n"/>
      <c r="BR217" s="493" t="n"/>
      <c r="BS217" s="493" t="n"/>
      <c r="BT217" s="493" t="n"/>
      <c r="BU217" s="493" t="n"/>
      <c r="BV217" s="493" t="n"/>
      <c r="BW217" s="493" t="n"/>
      <c r="BX217" s="493" t="n"/>
      <c r="BY217" s="493" t="n"/>
      <c r="BZ217" s="493" t="n"/>
      <c r="CA217" s="493" t="n"/>
      <c r="CB217" s="493" t="n"/>
      <c r="CC217" s="493" t="n"/>
      <c r="CD217" s="493" t="n"/>
      <c r="CE217" s="493" t="n"/>
      <c r="CF217" s="493" t="n"/>
      <c r="CG217" s="493" t="n"/>
      <c r="CH217" s="493" t="n"/>
      <c r="CI217" s="493" t="n"/>
      <c r="CJ217" s="493" t="n"/>
      <c r="CK217" s="493" t="n"/>
      <c r="CL217" s="493" t="n"/>
    </row>
    <row r="218" customFormat="1" s="230">
      <c r="E218" s="234" t="n"/>
      <c r="F218" s="492" t="n"/>
      <c r="G218" s="492" t="n"/>
      <c r="H218" s="493" t="n"/>
      <c r="I218" s="492" t="n"/>
      <c r="J218" s="492" t="n"/>
      <c r="K218" s="492" t="n"/>
      <c r="L218" s="492" t="n"/>
      <c r="M218" s="493" t="n"/>
      <c r="N218" s="492" t="n"/>
      <c r="O218" s="492" t="n"/>
      <c r="P218" s="492" t="n"/>
      <c r="Q218" s="492" t="n"/>
      <c r="R218" s="492" t="n"/>
      <c r="S218" s="492" t="n"/>
      <c r="T218" s="492" t="n"/>
      <c r="U218" s="492" t="n"/>
      <c r="V218" s="492" t="n"/>
      <c r="W218" s="492" t="n"/>
      <c r="X218" s="492" t="n"/>
      <c r="Y218" s="492" t="n"/>
      <c r="Z218" s="492" t="n"/>
      <c r="AA218" s="492" t="n"/>
      <c r="AB218" s="492" t="n"/>
      <c r="AC218" s="492" t="n"/>
      <c r="AD218" s="492" t="n"/>
      <c r="AE218" s="493" t="n"/>
      <c r="AF218" s="492" t="n"/>
      <c r="AG218" s="492" t="n"/>
      <c r="AH218" s="492" t="n"/>
      <c r="AI218" s="492" t="n"/>
      <c r="AJ218" s="493" t="n"/>
      <c r="AK218" s="492" t="n"/>
      <c r="AL218" s="492" t="n"/>
      <c r="AM218" s="492" t="n"/>
      <c r="AN218" s="492" t="n"/>
      <c r="AO218" s="492" t="n"/>
      <c r="AP218" s="492" t="n"/>
      <c r="AQ218" s="492" t="n"/>
      <c r="AR218" s="492" t="n"/>
      <c r="AS218" s="492" t="n"/>
      <c r="AT218" s="492" t="n"/>
      <c r="AU218" s="493" t="n"/>
      <c r="AV218" s="492" t="n"/>
      <c r="AW218" s="492" t="n"/>
      <c r="AX218" s="492" t="n"/>
      <c r="AY218" s="492" t="n"/>
      <c r="AZ218" s="492" t="n"/>
      <c r="BA218" s="493" t="n"/>
      <c r="BB218" s="492" t="n"/>
      <c r="BC218" s="492" t="n"/>
      <c r="BD218" s="492" t="n"/>
      <c r="BE218" s="492" t="n"/>
      <c r="BF218" s="493" t="n"/>
      <c r="BG218" s="493" t="n"/>
      <c r="BH218" s="495" t="n"/>
      <c r="BI218" s="496" t="n"/>
      <c r="BJ218" s="496" t="n"/>
      <c r="BK218" s="550" t="n"/>
      <c r="BM218" s="493" t="n"/>
      <c r="BN218" s="493" t="n"/>
      <c r="BO218" s="493" t="n"/>
      <c r="BP218" s="493" t="n"/>
      <c r="BQ218" s="493" t="n"/>
      <c r="BR218" s="493" t="n"/>
      <c r="BS218" s="493" t="n"/>
      <c r="BT218" s="493" t="n"/>
      <c r="BU218" s="493" t="n"/>
      <c r="BV218" s="493" t="n"/>
      <c r="BW218" s="493" t="n"/>
      <c r="BX218" s="493" t="n"/>
      <c r="BY218" s="493" t="n"/>
      <c r="BZ218" s="493" t="n"/>
      <c r="CA218" s="493" t="n"/>
      <c r="CB218" s="493" t="n"/>
      <c r="CC218" s="493" t="n"/>
      <c r="CD218" s="493" t="n"/>
      <c r="CE218" s="493" t="n"/>
      <c r="CF218" s="493" t="n"/>
      <c r="CG218" s="493" t="n"/>
      <c r="CH218" s="493" t="n"/>
      <c r="CI218" s="493" t="n"/>
      <c r="CJ218" s="493" t="n"/>
      <c r="CK218" s="493" t="n"/>
      <c r="CL218" s="493" t="n"/>
    </row>
    <row r="219" customFormat="1" s="230">
      <c r="E219" s="234" t="n"/>
      <c r="F219" s="492" t="n"/>
      <c r="G219" s="492" t="n"/>
      <c r="H219" s="493" t="n"/>
      <c r="I219" s="492" t="n"/>
      <c r="J219" s="492" t="n"/>
      <c r="K219" s="492" t="n"/>
      <c r="L219" s="492" t="n"/>
      <c r="M219" s="493" t="n"/>
      <c r="N219" s="492" t="n"/>
      <c r="O219" s="492" t="n"/>
      <c r="P219" s="492" t="n"/>
      <c r="Q219" s="492" t="n"/>
      <c r="R219" s="492" t="n"/>
      <c r="S219" s="492" t="n"/>
      <c r="T219" s="492" t="n"/>
      <c r="U219" s="492" t="n"/>
      <c r="V219" s="492" t="n"/>
      <c r="W219" s="492" t="n"/>
      <c r="X219" s="492" t="n"/>
      <c r="Y219" s="492" t="n"/>
      <c r="Z219" s="492" t="n"/>
      <c r="AA219" s="492" t="n"/>
      <c r="AB219" s="492" t="n"/>
      <c r="AC219" s="492" t="n"/>
      <c r="AD219" s="492" t="n"/>
      <c r="AE219" s="493" t="n"/>
      <c r="AF219" s="492" t="n"/>
      <c r="AG219" s="492" t="n"/>
      <c r="AH219" s="492" t="n"/>
      <c r="AI219" s="492" t="n"/>
      <c r="AJ219" s="493" t="n"/>
      <c r="AK219" s="492" t="n"/>
      <c r="AL219" s="492" t="n"/>
      <c r="AM219" s="492" t="n"/>
      <c r="AN219" s="492" t="n"/>
      <c r="AO219" s="492" t="n"/>
      <c r="AP219" s="492" t="n"/>
      <c r="AQ219" s="492" t="n"/>
      <c r="AR219" s="492" t="n"/>
      <c r="AS219" s="492" t="n"/>
      <c r="AT219" s="492" t="n"/>
      <c r="AU219" s="493" t="n"/>
      <c r="AV219" s="492" t="n"/>
      <c r="AW219" s="492" t="n"/>
      <c r="AX219" s="492" t="n"/>
      <c r="AY219" s="492" t="n"/>
      <c r="AZ219" s="492" t="n"/>
      <c r="BA219" s="493" t="n"/>
      <c r="BB219" s="492" t="n"/>
      <c r="BC219" s="492" t="n"/>
      <c r="BD219" s="492" t="n"/>
      <c r="BE219" s="492" t="n"/>
      <c r="BF219" s="493" t="n"/>
      <c r="BG219" s="493" t="n"/>
      <c r="BH219" s="495" t="n"/>
      <c r="BI219" s="496" t="n"/>
      <c r="BJ219" s="496" t="n"/>
      <c r="BK219" s="550" t="n"/>
      <c r="BM219" s="493" t="n"/>
      <c r="BN219" s="493" t="n"/>
      <c r="BO219" s="493" t="n"/>
      <c r="BP219" s="493" t="n"/>
      <c r="BQ219" s="493" t="n"/>
      <c r="BR219" s="493" t="n"/>
      <c r="BS219" s="493" t="n"/>
      <c r="BT219" s="493" t="n"/>
      <c r="BU219" s="493" t="n"/>
      <c r="BV219" s="493" t="n"/>
      <c r="BW219" s="493" t="n"/>
      <c r="BX219" s="493" t="n"/>
      <c r="BY219" s="493" t="n"/>
      <c r="BZ219" s="493" t="n"/>
      <c r="CA219" s="493" t="n"/>
      <c r="CB219" s="493" t="n"/>
      <c r="CC219" s="493" t="n"/>
      <c r="CD219" s="493" t="n"/>
      <c r="CE219" s="493" t="n"/>
      <c r="CF219" s="493" t="n"/>
      <c r="CG219" s="493" t="n"/>
      <c r="CH219" s="493" t="n"/>
      <c r="CI219" s="493" t="n"/>
      <c r="CJ219" s="493" t="n"/>
      <c r="CK219" s="493" t="n"/>
      <c r="CL219" s="493" t="n"/>
    </row>
    <row r="220" customFormat="1" s="230">
      <c r="E220" s="234" t="n"/>
      <c r="F220" s="492" t="n"/>
      <c r="G220" s="492" t="n"/>
      <c r="H220" s="493" t="n"/>
      <c r="I220" s="492" t="n"/>
      <c r="J220" s="492" t="n"/>
      <c r="K220" s="492" t="n"/>
      <c r="L220" s="492" t="n"/>
      <c r="M220" s="493" t="n"/>
      <c r="N220" s="492" t="n"/>
      <c r="O220" s="492" t="n"/>
      <c r="P220" s="492" t="n"/>
      <c r="Q220" s="492" t="n"/>
      <c r="R220" s="492" t="n"/>
      <c r="S220" s="492" t="n"/>
      <c r="T220" s="492" t="n"/>
      <c r="U220" s="492" t="n"/>
      <c r="V220" s="492" t="n"/>
      <c r="W220" s="492" t="n"/>
      <c r="X220" s="492" t="n"/>
      <c r="Y220" s="492" t="n"/>
      <c r="Z220" s="492" t="n"/>
      <c r="AA220" s="492" t="n"/>
      <c r="AB220" s="492" t="n"/>
      <c r="AC220" s="492" t="n"/>
      <c r="AD220" s="492" t="n"/>
      <c r="AE220" s="493" t="n"/>
      <c r="AF220" s="492" t="n"/>
      <c r="AG220" s="492" t="n"/>
      <c r="AH220" s="492" t="n"/>
      <c r="AI220" s="492" t="n"/>
      <c r="AJ220" s="493" t="n"/>
      <c r="AK220" s="492" t="n"/>
      <c r="AL220" s="492" t="n"/>
      <c r="AM220" s="492" t="n"/>
      <c r="AN220" s="492" t="n"/>
      <c r="AO220" s="492" t="n"/>
      <c r="AP220" s="492" t="n"/>
      <c r="AQ220" s="492" t="n"/>
      <c r="AR220" s="492" t="n"/>
      <c r="AS220" s="492" t="n"/>
      <c r="AT220" s="492" t="n"/>
      <c r="AU220" s="493" t="n"/>
      <c r="AV220" s="492" t="n"/>
      <c r="AW220" s="492" t="n"/>
      <c r="AX220" s="492" t="n"/>
      <c r="AY220" s="492" t="n"/>
      <c r="AZ220" s="492" t="n"/>
      <c r="BA220" s="493" t="n"/>
      <c r="BB220" s="492" t="n"/>
      <c r="BC220" s="492" t="n"/>
      <c r="BD220" s="492" t="n"/>
      <c r="BE220" s="492" t="n"/>
      <c r="BF220" s="493" t="n"/>
      <c r="BG220" s="493" t="n"/>
      <c r="BH220" s="495" t="n"/>
      <c r="BI220" s="496" t="n"/>
      <c r="BJ220" s="496" t="n"/>
      <c r="BK220" s="550" t="n"/>
      <c r="BM220" s="493" t="n"/>
      <c r="BN220" s="493" t="n"/>
      <c r="BO220" s="493" t="n"/>
      <c r="BP220" s="493" t="n"/>
      <c r="BQ220" s="493" t="n"/>
      <c r="BR220" s="493" t="n"/>
      <c r="BS220" s="493" t="n"/>
      <c r="BT220" s="493" t="n"/>
      <c r="BU220" s="493" t="n"/>
      <c r="BV220" s="493" t="n"/>
      <c r="BW220" s="493" t="n"/>
      <c r="BX220" s="493" t="n"/>
      <c r="BY220" s="493" t="n"/>
      <c r="BZ220" s="493" t="n"/>
      <c r="CA220" s="493" t="n"/>
      <c r="CB220" s="493" t="n"/>
      <c r="CC220" s="493" t="n"/>
      <c r="CD220" s="493" t="n"/>
      <c r="CE220" s="493" t="n"/>
      <c r="CF220" s="493" t="n"/>
      <c r="CG220" s="493" t="n"/>
      <c r="CH220" s="493" t="n"/>
      <c r="CI220" s="493" t="n"/>
      <c r="CJ220" s="493" t="n"/>
      <c r="CK220" s="493" t="n"/>
      <c r="CL220" s="493" t="n"/>
    </row>
    <row r="221" customFormat="1" s="230">
      <c r="E221" s="234" t="n"/>
      <c r="F221" s="492" t="n"/>
      <c r="G221" s="492" t="n"/>
      <c r="H221" s="493" t="n"/>
      <c r="I221" s="492" t="n"/>
      <c r="J221" s="492" t="n"/>
      <c r="K221" s="492" t="n"/>
      <c r="L221" s="492" t="n"/>
      <c r="M221" s="493" t="n"/>
      <c r="N221" s="492" t="n"/>
      <c r="O221" s="492" t="n"/>
      <c r="P221" s="492" t="n"/>
      <c r="Q221" s="492" t="n"/>
      <c r="R221" s="492" t="n"/>
      <c r="S221" s="492" t="n"/>
      <c r="T221" s="492" t="n"/>
      <c r="U221" s="492" t="n"/>
      <c r="V221" s="492" t="n"/>
      <c r="W221" s="492" t="n"/>
      <c r="X221" s="492" t="n"/>
      <c r="Y221" s="492" t="n"/>
      <c r="Z221" s="492" t="n"/>
      <c r="AA221" s="492" t="n"/>
      <c r="AB221" s="492" t="n"/>
      <c r="AC221" s="492" t="n"/>
      <c r="AD221" s="492" t="n"/>
      <c r="AE221" s="493" t="n"/>
      <c r="AF221" s="492" t="n"/>
      <c r="AG221" s="492" t="n"/>
      <c r="AH221" s="492" t="n"/>
      <c r="AI221" s="492" t="n"/>
      <c r="AJ221" s="493" t="n"/>
      <c r="AK221" s="492" t="n"/>
      <c r="AL221" s="492" t="n"/>
      <c r="AM221" s="492" t="n"/>
      <c r="AN221" s="492" t="n"/>
      <c r="AO221" s="492" t="n"/>
      <c r="AP221" s="492" t="n"/>
      <c r="AQ221" s="492" t="n"/>
      <c r="AR221" s="492" t="n"/>
      <c r="AS221" s="492" t="n"/>
      <c r="AT221" s="492" t="n"/>
      <c r="AU221" s="493" t="n"/>
      <c r="AV221" s="492" t="n"/>
      <c r="AW221" s="492" t="n"/>
      <c r="AX221" s="492" t="n"/>
      <c r="AY221" s="492" t="n"/>
      <c r="AZ221" s="492" t="n"/>
      <c r="BA221" s="493" t="n"/>
      <c r="BB221" s="492" t="n"/>
      <c r="BC221" s="492" t="n"/>
      <c r="BD221" s="492" t="n"/>
      <c r="BE221" s="492" t="n"/>
      <c r="BF221" s="493" t="n"/>
      <c r="BG221" s="493" t="n"/>
      <c r="BH221" s="495" t="n"/>
      <c r="BI221" s="496" t="n"/>
      <c r="BJ221" s="496" t="n"/>
      <c r="BK221" s="550" t="n"/>
      <c r="BM221" s="493" t="n"/>
      <c r="BN221" s="493" t="n"/>
      <c r="BO221" s="493" t="n"/>
      <c r="BP221" s="493" t="n"/>
      <c r="BQ221" s="493" t="n"/>
      <c r="BR221" s="493" t="n"/>
      <c r="BS221" s="493" t="n"/>
      <c r="BT221" s="493" t="n"/>
      <c r="BU221" s="493" t="n"/>
      <c r="BV221" s="493" t="n"/>
      <c r="BW221" s="493" t="n"/>
      <c r="BX221" s="493" t="n"/>
      <c r="BY221" s="493" t="n"/>
      <c r="BZ221" s="493" t="n"/>
      <c r="CA221" s="493" t="n"/>
      <c r="CB221" s="493" t="n"/>
      <c r="CC221" s="493" t="n"/>
      <c r="CD221" s="493" t="n"/>
      <c r="CE221" s="493" t="n"/>
      <c r="CF221" s="493" t="n"/>
      <c r="CG221" s="493" t="n"/>
      <c r="CH221" s="493" t="n"/>
      <c r="CI221" s="493" t="n"/>
      <c r="CJ221" s="493" t="n"/>
      <c r="CK221" s="493" t="n"/>
      <c r="CL221" s="493" t="n"/>
    </row>
    <row r="222" customFormat="1" s="230">
      <c r="E222" s="234" t="n"/>
      <c r="F222" s="492" t="n"/>
      <c r="G222" s="492" t="n"/>
      <c r="H222" s="493" t="n"/>
      <c r="I222" s="492" t="n"/>
      <c r="J222" s="492" t="n"/>
      <c r="K222" s="492" t="n"/>
      <c r="L222" s="492" t="n"/>
      <c r="M222" s="493" t="n"/>
      <c r="N222" s="492" t="n"/>
      <c r="O222" s="492" t="n"/>
      <c r="P222" s="492" t="n"/>
      <c r="Q222" s="492" t="n"/>
      <c r="R222" s="492" t="n"/>
      <c r="S222" s="492" t="n"/>
      <c r="T222" s="492" t="n"/>
      <c r="U222" s="492" t="n"/>
      <c r="V222" s="492" t="n"/>
      <c r="W222" s="492" t="n"/>
      <c r="X222" s="492" t="n"/>
      <c r="Y222" s="492" t="n"/>
      <c r="Z222" s="492" t="n"/>
      <c r="AA222" s="492" t="n"/>
      <c r="AB222" s="492" t="n"/>
      <c r="AC222" s="492" t="n"/>
      <c r="AD222" s="492" t="n"/>
      <c r="AE222" s="493" t="n"/>
      <c r="AF222" s="492" t="n"/>
      <c r="AG222" s="492" t="n"/>
      <c r="AH222" s="492" t="n"/>
      <c r="AI222" s="492" t="n"/>
      <c r="AJ222" s="493" t="n"/>
      <c r="AK222" s="492" t="n"/>
      <c r="AL222" s="492" t="n"/>
      <c r="AM222" s="492" t="n"/>
      <c r="AN222" s="492" t="n"/>
      <c r="AO222" s="492" t="n"/>
      <c r="AP222" s="492" t="n"/>
      <c r="AQ222" s="492" t="n"/>
      <c r="AR222" s="492" t="n"/>
      <c r="AS222" s="492" t="n"/>
      <c r="AT222" s="492" t="n"/>
      <c r="AU222" s="493" t="n"/>
      <c r="AV222" s="492" t="n"/>
      <c r="AW222" s="492" t="n"/>
      <c r="AX222" s="492" t="n"/>
      <c r="AY222" s="492" t="n"/>
      <c r="AZ222" s="492" t="n"/>
      <c r="BA222" s="493" t="n"/>
      <c r="BB222" s="492" t="n"/>
      <c r="BC222" s="492" t="n"/>
      <c r="BD222" s="492" t="n"/>
      <c r="BE222" s="492" t="n"/>
      <c r="BF222" s="493" t="n"/>
      <c r="BG222" s="493" t="n"/>
      <c r="BH222" s="495" t="n"/>
      <c r="BI222" s="496" t="n"/>
      <c r="BJ222" s="496" t="n"/>
      <c r="BK222" s="550" t="n"/>
      <c r="BM222" s="493" t="n"/>
      <c r="BN222" s="493" t="n"/>
      <c r="BO222" s="493" t="n"/>
      <c r="BP222" s="493" t="n"/>
      <c r="BQ222" s="493" t="n"/>
      <c r="BR222" s="493" t="n"/>
      <c r="BS222" s="493" t="n"/>
      <c r="BT222" s="493" t="n"/>
      <c r="BU222" s="493" t="n"/>
      <c r="BV222" s="493" t="n"/>
      <c r="BW222" s="493" t="n"/>
      <c r="BX222" s="493" t="n"/>
      <c r="BY222" s="493" t="n"/>
      <c r="BZ222" s="493" t="n"/>
      <c r="CA222" s="493" t="n"/>
      <c r="CB222" s="493" t="n"/>
      <c r="CC222" s="493" t="n"/>
      <c r="CD222" s="493" t="n"/>
      <c r="CE222" s="493" t="n"/>
      <c r="CF222" s="493" t="n"/>
      <c r="CG222" s="493" t="n"/>
      <c r="CH222" s="493" t="n"/>
      <c r="CI222" s="493" t="n"/>
      <c r="CJ222" s="493" t="n"/>
      <c r="CK222" s="493" t="n"/>
      <c r="CL222" s="493" t="n"/>
    </row>
    <row r="223" customFormat="1" s="230">
      <c r="E223" s="234" t="n"/>
      <c r="F223" s="492" t="n"/>
      <c r="G223" s="492" t="n"/>
      <c r="H223" s="493" t="n"/>
      <c r="I223" s="492" t="n"/>
      <c r="J223" s="492" t="n"/>
      <c r="K223" s="492" t="n"/>
      <c r="L223" s="492" t="n"/>
      <c r="M223" s="493" t="n"/>
      <c r="N223" s="492" t="n"/>
      <c r="O223" s="492" t="n"/>
      <c r="P223" s="492" t="n"/>
      <c r="Q223" s="492" t="n"/>
      <c r="R223" s="492" t="n"/>
      <c r="S223" s="492" t="n"/>
      <c r="T223" s="492" t="n"/>
      <c r="U223" s="492" t="n"/>
      <c r="V223" s="492" t="n"/>
      <c r="W223" s="492" t="n"/>
      <c r="X223" s="492" t="n"/>
      <c r="Y223" s="492" t="n"/>
      <c r="Z223" s="492" t="n"/>
      <c r="AA223" s="492" t="n"/>
      <c r="AB223" s="492" t="n"/>
      <c r="AC223" s="492" t="n"/>
      <c r="AD223" s="492" t="n"/>
      <c r="AE223" s="493" t="n"/>
      <c r="AF223" s="492" t="n"/>
      <c r="AG223" s="492" t="n"/>
      <c r="AH223" s="492" t="n"/>
      <c r="AI223" s="492" t="n"/>
      <c r="AJ223" s="493" t="n"/>
      <c r="AK223" s="492" t="n"/>
      <c r="AL223" s="492" t="n"/>
      <c r="AM223" s="492" t="n"/>
      <c r="AN223" s="492" t="n"/>
      <c r="AO223" s="492" t="n"/>
      <c r="AP223" s="492" t="n"/>
      <c r="AQ223" s="492" t="n"/>
      <c r="AR223" s="492" t="n"/>
      <c r="AS223" s="492" t="n"/>
      <c r="AT223" s="492" t="n"/>
      <c r="AU223" s="493" t="n"/>
      <c r="AV223" s="492" t="n"/>
      <c r="AW223" s="492" t="n"/>
      <c r="AX223" s="492" t="n"/>
      <c r="AY223" s="492" t="n"/>
      <c r="AZ223" s="492" t="n"/>
      <c r="BA223" s="493" t="n"/>
      <c r="BB223" s="492" t="n"/>
      <c r="BC223" s="492" t="n"/>
      <c r="BD223" s="492" t="n"/>
      <c r="BE223" s="492" t="n"/>
      <c r="BF223" s="493" t="n"/>
      <c r="BG223" s="493" t="n"/>
      <c r="BH223" s="495" t="n"/>
      <c r="BI223" s="496" t="n"/>
      <c r="BJ223" s="496" t="n"/>
      <c r="BK223" s="550" t="n"/>
      <c r="BM223" s="493" t="n"/>
      <c r="BN223" s="493" t="n"/>
      <c r="BO223" s="493" t="n"/>
      <c r="BP223" s="493" t="n"/>
      <c r="BQ223" s="493" t="n"/>
      <c r="BR223" s="493" t="n"/>
      <c r="BS223" s="493" t="n"/>
      <c r="BT223" s="493" t="n"/>
      <c r="BU223" s="493" t="n"/>
      <c r="BV223" s="493" t="n"/>
      <c r="BW223" s="493" t="n"/>
      <c r="BX223" s="493" t="n"/>
      <c r="BY223" s="493" t="n"/>
      <c r="BZ223" s="493" t="n"/>
      <c r="CA223" s="493" t="n"/>
      <c r="CB223" s="493" t="n"/>
      <c r="CC223" s="493" t="n"/>
      <c r="CD223" s="493" t="n"/>
      <c r="CE223" s="493" t="n"/>
      <c r="CF223" s="493" t="n"/>
      <c r="CG223" s="493" t="n"/>
      <c r="CH223" s="493" t="n"/>
      <c r="CI223" s="493" t="n"/>
      <c r="CJ223" s="493" t="n"/>
      <c r="CK223" s="493" t="n"/>
      <c r="CL223" s="493" t="n"/>
    </row>
    <row r="224" customFormat="1" s="230">
      <c r="E224" s="234" t="n"/>
      <c r="F224" s="492" t="n"/>
      <c r="G224" s="492" t="n"/>
      <c r="H224" s="493" t="n"/>
      <c r="I224" s="492" t="n"/>
      <c r="J224" s="492" t="n"/>
      <c r="K224" s="492" t="n"/>
      <c r="L224" s="492" t="n"/>
      <c r="M224" s="493" t="n"/>
      <c r="N224" s="492" t="n"/>
      <c r="O224" s="492" t="n"/>
      <c r="P224" s="492" t="n"/>
      <c r="Q224" s="492" t="n"/>
      <c r="R224" s="492" t="n"/>
      <c r="S224" s="492" t="n"/>
      <c r="T224" s="492" t="n"/>
      <c r="U224" s="492" t="n"/>
      <c r="V224" s="492" t="n"/>
      <c r="W224" s="492" t="n"/>
      <c r="X224" s="492" t="n"/>
      <c r="Y224" s="492" t="n"/>
      <c r="Z224" s="492" t="n"/>
      <c r="AA224" s="492" t="n"/>
      <c r="AB224" s="492" t="n"/>
      <c r="AC224" s="492" t="n"/>
      <c r="AD224" s="492" t="n"/>
      <c r="AE224" s="493" t="n"/>
      <c r="AF224" s="492" t="n"/>
      <c r="AG224" s="492" t="n"/>
      <c r="AH224" s="492" t="n"/>
      <c r="AI224" s="492" t="n"/>
      <c r="AJ224" s="493" t="n"/>
      <c r="AK224" s="492" t="n"/>
      <c r="AL224" s="492" t="n"/>
      <c r="AM224" s="492" t="n"/>
      <c r="AN224" s="492" t="n"/>
      <c r="AO224" s="492" t="n"/>
      <c r="AP224" s="492" t="n"/>
      <c r="AQ224" s="492" t="n"/>
      <c r="AR224" s="492" t="n"/>
      <c r="AS224" s="492" t="n"/>
      <c r="AT224" s="492" t="n"/>
      <c r="AU224" s="493" t="n"/>
      <c r="AV224" s="492" t="n"/>
      <c r="AW224" s="492" t="n"/>
      <c r="AX224" s="492" t="n"/>
      <c r="AY224" s="492" t="n"/>
      <c r="AZ224" s="492" t="n"/>
      <c r="BA224" s="493" t="n"/>
      <c r="BB224" s="492" t="n"/>
      <c r="BC224" s="492" t="n"/>
      <c r="BD224" s="492" t="n"/>
      <c r="BE224" s="492" t="n"/>
      <c r="BF224" s="493" t="n"/>
      <c r="BG224" s="493" t="n"/>
      <c r="BH224" s="495" t="n"/>
      <c r="BI224" s="496" t="n"/>
      <c r="BJ224" s="496" t="n"/>
      <c r="BK224" s="550" t="n"/>
      <c r="BM224" s="493" t="n"/>
      <c r="BN224" s="493" t="n"/>
      <c r="BO224" s="493" t="n"/>
      <c r="BP224" s="493" t="n"/>
      <c r="BQ224" s="493" t="n"/>
      <c r="BR224" s="493" t="n"/>
      <c r="BS224" s="493" t="n"/>
      <c r="BT224" s="493" t="n"/>
      <c r="BU224" s="493" t="n"/>
      <c r="BV224" s="493" t="n"/>
      <c r="BW224" s="493" t="n"/>
      <c r="BX224" s="493" t="n"/>
      <c r="BY224" s="493" t="n"/>
      <c r="BZ224" s="493" t="n"/>
      <c r="CA224" s="493" t="n"/>
      <c r="CB224" s="493" t="n"/>
      <c r="CC224" s="493" t="n"/>
      <c r="CD224" s="493" t="n"/>
      <c r="CE224" s="493" t="n"/>
      <c r="CF224" s="493" t="n"/>
      <c r="CG224" s="493" t="n"/>
      <c r="CH224" s="493" t="n"/>
      <c r="CI224" s="493" t="n"/>
      <c r="CJ224" s="493" t="n"/>
      <c r="CK224" s="493" t="n"/>
      <c r="CL224" s="493" t="n"/>
    </row>
    <row r="225" customFormat="1" s="230">
      <c r="E225" s="234" t="n"/>
      <c r="F225" s="492" t="n"/>
      <c r="G225" s="492" t="n"/>
      <c r="H225" s="493" t="n"/>
      <c r="I225" s="492" t="n"/>
      <c r="J225" s="492" t="n"/>
      <c r="K225" s="492" t="n"/>
      <c r="L225" s="492" t="n"/>
      <c r="M225" s="493" t="n"/>
      <c r="N225" s="492" t="n"/>
      <c r="O225" s="492" t="n"/>
      <c r="P225" s="492" t="n"/>
      <c r="Q225" s="492" t="n"/>
      <c r="R225" s="492" t="n"/>
      <c r="S225" s="492" t="n"/>
      <c r="T225" s="492" t="n"/>
      <c r="U225" s="492" t="n"/>
      <c r="V225" s="492" t="n"/>
      <c r="W225" s="492" t="n"/>
      <c r="X225" s="492" t="n"/>
      <c r="Y225" s="492" t="n"/>
      <c r="Z225" s="492" t="n"/>
      <c r="AA225" s="492" t="n"/>
      <c r="AB225" s="492" t="n"/>
      <c r="AC225" s="492" t="n"/>
      <c r="AD225" s="492" t="n"/>
      <c r="AE225" s="493" t="n"/>
      <c r="AF225" s="492" t="n"/>
      <c r="AG225" s="492" t="n"/>
      <c r="AH225" s="492" t="n"/>
      <c r="AI225" s="492" t="n"/>
      <c r="AJ225" s="493" t="n"/>
      <c r="AK225" s="492" t="n"/>
      <c r="AL225" s="492" t="n"/>
      <c r="AM225" s="492" t="n"/>
      <c r="AN225" s="492" t="n"/>
      <c r="AO225" s="492" t="n"/>
      <c r="AP225" s="492" t="n"/>
      <c r="AQ225" s="492" t="n"/>
      <c r="AR225" s="492" t="n"/>
      <c r="AS225" s="492" t="n"/>
      <c r="AT225" s="492" t="n"/>
      <c r="AU225" s="493" t="n"/>
      <c r="AV225" s="492" t="n"/>
      <c r="AW225" s="492" t="n"/>
      <c r="AX225" s="492" t="n"/>
      <c r="AY225" s="492" t="n"/>
      <c r="AZ225" s="492" t="n"/>
      <c r="BA225" s="493" t="n"/>
      <c r="BB225" s="492" t="n"/>
      <c r="BC225" s="492" t="n"/>
      <c r="BD225" s="492" t="n"/>
      <c r="BE225" s="492" t="n"/>
      <c r="BF225" s="493" t="n"/>
      <c r="BG225" s="493" t="n"/>
      <c r="BH225" s="495" t="n"/>
      <c r="BI225" s="496" t="n"/>
      <c r="BJ225" s="496" t="n"/>
      <c r="BK225" s="550" t="n"/>
      <c r="BM225" s="493" t="n"/>
      <c r="BN225" s="493" t="n"/>
      <c r="BO225" s="493" t="n"/>
      <c r="BP225" s="493" t="n"/>
      <c r="BQ225" s="493" t="n"/>
      <c r="BR225" s="493" t="n"/>
      <c r="BS225" s="493" t="n"/>
      <c r="BT225" s="493" t="n"/>
      <c r="BU225" s="493" t="n"/>
      <c r="BV225" s="493" t="n"/>
      <c r="BW225" s="493" t="n"/>
      <c r="BX225" s="493" t="n"/>
      <c r="BY225" s="493" t="n"/>
      <c r="BZ225" s="493" t="n"/>
      <c r="CA225" s="493" t="n"/>
      <c r="CB225" s="493" t="n"/>
      <c r="CC225" s="493" t="n"/>
      <c r="CD225" s="493" t="n"/>
      <c r="CE225" s="493" t="n"/>
      <c r="CF225" s="493" t="n"/>
      <c r="CG225" s="493" t="n"/>
      <c r="CH225" s="493" t="n"/>
      <c r="CI225" s="493" t="n"/>
      <c r="CJ225" s="493" t="n"/>
      <c r="CK225" s="493" t="n"/>
      <c r="CL225" s="493" t="n"/>
    </row>
    <row r="226" customFormat="1" s="230">
      <c r="E226" s="234" t="n"/>
      <c r="F226" s="492" t="n"/>
      <c r="G226" s="492" t="n"/>
      <c r="H226" s="493" t="n"/>
      <c r="I226" s="492" t="n"/>
      <c r="J226" s="492" t="n"/>
      <c r="K226" s="492" t="n"/>
      <c r="L226" s="492" t="n"/>
      <c r="M226" s="493" t="n"/>
      <c r="N226" s="492" t="n"/>
      <c r="O226" s="492" t="n"/>
      <c r="P226" s="492" t="n"/>
      <c r="Q226" s="492" t="n"/>
      <c r="R226" s="492" t="n"/>
      <c r="S226" s="492" t="n"/>
      <c r="T226" s="492" t="n"/>
      <c r="U226" s="492" t="n"/>
      <c r="V226" s="492" t="n"/>
      <c r="W226" s="492" t="n"/>
      <c r="X226" s="492" t="n"/>
      <c r="Y226" s="492" t="n"/>
      <c r="Z226" s="492" t="n"/>
      <c r="AA226" s="492" t="n"/>
      <c r="AB226" s="492" t="n"/>
      <c r="AC226" s="492" t="n"/>
      <c r="AD226" s="492" t="n"/>
      <c r="AE226" s="493" t="n"/>
      <c r="AF226" s="492" t="n"/>
      <c r="AG226" s="492" t="n"/>
      <c r="AH226" s="492" t="n"/>
      <c r="AI226" s="492" t="n"/>
      <c r="AJ226" s="493" t="n"/>
      <c r="AK226" s="492" t="n"/>
      <c r="AL226" s="492" t="n"/>
      <c r="AM226" s="492" t="n"/>
      <c r="AN226" s="492" t="n"/>
      <c r="AO226" s="492" t="n"/>
      <c r="AP226" s="492" t="n"/>
      <c r="AQ226" s="492" t="n"/>
      <c r="AR226" s="492" t="n"/>
      <c r="AS226" s="492" t="n"/>
      <c r="AT226" s="492" t="n"/>
      <c r="AU226" s="493" t="n"/>
      <c r="AV226" s="492" t="n"/>
      <c r="AW226" s="492" t="n"/>
      <c r="AX226" s="492" t="n"/>
      <c r="AY226" s="492" t="n"/>
      <c r="AZ226" s="492" t="n"/>
      <c r="BA226" s="493" t="n"/>
      <c r="BB226" s="492" t="n"/>
      <c r="BC226" s="492" t="n"/>
      <c r="BD226" s="492" t="n"/>
      <c r="BE226" s="492" t="n"/>
      <c r="BF226" s="493" t="n"/>
      <c r="BG226" s="493" t="n"/>
      <c r="BH226" s="495" t="n"/>
      <c r="BI226" s="496" t="n"/>
      <c r="BJ226" s="496" t="n"/>
      <c r="BK226" s="550" t="n"/>
      <c r="BM226" s="493" t="n"/>
      <c r="BN226" s="493" t="n"/>
      <c r="BO226" s="493" t="n"/>
      <c r="BP226" s="493" t="n"/>
      <c r="BQ226" s="493" t="n"/>
      <c r="BR226" s="493" t="n"/>
      <c r="BS226" s="493" t="n"/>
      <c r="BT226" s="493" t="n"/>
      <c r="BU226" s="493" t="n"/>
      <c r="BV226" s="493" t="n"/>
      <c r="BW226" s="493" t="n"/>
      <c r="BX226" s="493" t="n"/>
      <c r="BY226" s="493" t="n"/>
      <c r="BZ226" s="493" t="n"/>
      <c r="CA226" s="493" t="n"/>
      <c r="CB226" s="493" t="n"/>
      <c r="CC226" s="493" t="n"/>
      <c r="CD226" s="493" t="n"/>
      <c r="CE226" s="493" t="n"/>
      <c r="CF226" s="493" t="n"/>
      <c r="CG226" s="493" t="n"/>
      <c r="CH226" s="493" t="n"/>
      <c r="CI226" s="493" t="n"/>
      <c r="CJ226" s="493" t="n"/>
      <c r="CK226" s="493" t="n"/>
      <c r="CL226" s="493" t="n"/>
    </row>
    <row r="227" customFormat="1" s="230">
      <c r="E227" s="234" t="n"/>
      <c r="F227" s="492" t="n"/>
      <c r="G227" s="492" t="n"/>
      <c r="H227" s="493" t="n"/>
      <c r="I227" s="492" t="n"/>
      <c r="J227" s="492" t="n"/>
      <c r="K227" s="492" t="n"/>
      <c r="L227" s="492" t="n"/>
      <c r="M227" s="493" t="n"/>
      <c r="N227" s="492" t="n"/>
      <c r="O227" s="492" t="n"/>
      <c r="P227" s="492" t="n"/>
      <c r="Q227" s="492" t="n"/>
      <c r="R227" s="492" t="n"/>
      <c r="S227" s="492" t="n"/>
      <c r="T227" s="492" t="n"/>
      <c r="U227" s="492" t="n"/>
      <c r="V227" s="492" t="n"/>
      <c r="W227" s="492" t="n"/>
      <c r="X227" s="492" t="n"/>
      <c r="Y227" s="492" t="n"/>
      <c r="Z227" s="492" t="n"/>
      <c r="AA227" s="492" t="n"/>
      <c r="AB227" s="492" t="n"/>
      <c r="AC227" s="492" t="n"/>
      <c r="AD227" s="492" t="n"/>
      <c r="AE227" s="493" t="n"/>
      <c r="AF227" s="492" t="n"/>
      <c r="AG227" s="492" t="n"/>
      <c r="AH227" s="492" t="n"/>
      <c r="AI227" s="492" t="n"/>
      <c r="AJ227" s="493" t="n"/>
      <c r="AK227" s="492" t="n"/>
      <c r="AL227" s="492" t="n"/>
      <c r="AM227" s="492" t="n"/>
      <c r="AN227" s="492" t="n"/>
      <c r="AO227" s="492" t="n"/>
      <c r="AP227" s="492" t="n"/>
      <c r="AQ227" s="492" t="n"/>
      <c r="AR227" s="492" t="n"/>
      <c r="AS227" s="492" t="n"/>
      <c r="AT227" s="492" t="n"/>
      <c r="AU227" s="493" t="n"/>
      <c r="AV227" s="492" t="n"/>
      <c r="AW227" s="492" t="n"/>
      <c r="AX227" s="492" t="n"/>
      <c r="AY227" s="492" t="n"/>
      <c r="AZ227" s="492" t="n"/>
      <c r="BA227" s="493" t="n"/>
      <c r="BB227" s="492" t="n"/>
      <c r="BC227" s="492" t="n"/>
      <c r="BD227" s="492" t="n"/>
      <c r="BE227" s="492" t="n"/>
      <c r="BF227" s="493" t="n"/>
      <c r="BG227" s="493" t="n"/>
      <c r="BH227" s="495" t="n"/>
      <c r="BI227" s="496" t="n"/>
      <c r="BJ227" s="496" t="n"/>
      <c r="BK227" s="550" t="n"/>
      <c r="BM227" s="493" t="n"/>
      <c r="BN227" s="493" t="n"/>
      <c r="BO227" s="493" t="n"/>
      <c r="BP227" s="493" t="n"/>
      <c r="BQ227" s="493" t="n"/>
      <c r="BR227" s="493" t="n"/>
      <c r="BS227" s="493" t="n"/>
      <c r="BT227" s="493" t="n"/>
      <c r="BU227" s="493" t="n"/>
      <c r="BV227" s="493" t="n"/>
      <c r="BW227" s="493" t="n"/>
      <c r="BX227" s="493" t="n"/>
      <c r="BY227" s="493" t="n"/>
      <c r="BZ227" s="493" t="n"/>
      <c r="CA227" s="493" t="n"/>
      <c r="CB227" s="493" t="n"/>
      <c r="CC227" s="493" t="n"/>
      <c r="CD227" s="493" t="n"/>
      <c r="CE227" s="493" t="n"/>
      <c r="CF227" s="493" t="n"/>
      <c r="CG227" s="493" t="n"/>
      <c r="CH227" s="493" t="n"/>
      <c r="CI227" s="493" t="n"/>
      <c r="CJ227" s="493" t="n"/>
      <c r="CK227" s="493" t="n"/>
      <c r="CL227" s="493" t="n"/>
    </row>
    <row r="228" customFormat="1" s="230">
      <c r="E228" s="234" t="n"/>
      <c r="F228" s="492" t="n"/>
      <c r="G228" s="492" t="n"/>
      <c r="H228" s="493" t="n"/>
      <c r="I228" s="492" t="n"/>
      <c r="J228" s="492" t="n"/>
      <c r="K228" s="492" t="n"/>
      <c r="L228" s="492" t="n"/>
      <c r="M228" s="493" t="n"/>
      <c r="N228" s="492" t="n"/>
      <c r="O228" s="492" t="n"/>
      <c r="P228" s="492" t="n"/>
      <c r="Q228" s="492" t="n"/>
      <c r="R228" s="492" t="n"/>
      <c r="S228" s="492" t="n"/>
      <c r="T228" s="492" t="n"/>
      <c r="U228" s="492" t="n"/>
      <c r="V228" s="492" t="n"/>
      <c r="W228" s="492" t="n"/>
      <c r="X228" s="492" t="n"/>
      <c r="Y228" s="492" t="n"/>
      <c r="Z228" s="492" t="n"/>
      <c r="AA228" s="492" t="n"/>
      <c r="AB228" s="492" t="n"/>
      <c r="AC228" s="492" t="n"/>
      <c r="AD228" s="492" t="n"/>
      <c r="AE228" s="493" t="n"/>
      <c r="AF228" s="492" t="n"/>
      <c r="AG228" s="492" t="n"/>
      <c r="AH228" s="492" t="n"/>
      <c r="AI228" s="492" t="n"/>
      <c r="AJ228" s="493" t="n"/>
      <c r="AK228" s="492" t="n"/>
      <c r="AL228" s="492" t="n"/>
      <c r="AM228" s="492" t="n"/>
      <c r="AN228" s="492" t="n"/>
      <c r="AO228" s="492" t="n"/>
      <c r="AP228" s="492" t="n"/>
      <c r="AQ228" s="492" t="n"/>
      <c r="AR228" s="492" t="n"/>
      <c r="AS228" s="492" t="n"/>
      <c r="AT228" s="492" t="n"/>
      <c r="AU228" s="493" t="n"/>
      <c r="AV228" s="492" t="n"/>
      <c r="AW228" s="492" t="n"/>
      <c r="AX228" s="492" t="n"/>
      <c r="AY228" s="492" t="n"/>
      <c r="AZ228" s="492" t="n"/>
      <c r="BA228" s="493" t="n"/>
      <c r="BB228" s="492" t="n"/>
      <c r="BC228" s="492" t="n"/>
      <c r="BD228" s="492" t="n"/>
      <c r="BE228" s="492" t="n"/>
      <c r="BF228" s="493" t="n"/>
      <c r="BG228" s="493" t="n"/>
      <c r="BH228" s="495" t="n"/>
      <c r="BI228" s="496" t="n"/>
      <c r="BJ228" s="496" t="n"/>
      <c r="BK228" s="550" t="n"/>
      <c r="BM228" s="493" t="n"/>
      <c r="BN228" s="493" t="n"/>
      <c r="BO228" s="493" t="n"/>
      <c r="BP228" s="493" t="n"/>
      <c r="BQ228" s="493" t="n"/>
      <c r="BR228" s="493" t="n"/>
      <c r="BS228" s="493" t="n"/>
      <c r="BT228" s="493" t="n"/>
      <c r="BU228" s="493" t="n"/>
      <c r="BV228" s="493" t="n"/>
      <c r="BW228" s="493" t="n"/>
      <c r="BX228" s="493" t="n"/>
      <c r="BY228" s="493" t="n"/>
      <c r="BZ228" s="493" t="n"/>
      <c r="CA228" s="493" t="n"/>
      <c r="CB228" s="493" t="n"/>
      <c r="CC228" s="493" t="n"/>
      <c r="CD228" s="493" t="n"/>
      <c r="CE228" s="493" t="n"/>
      <c r="CF228" s="493" t="n"/>
      <c r="CG228" s="493" t="n"/>
      <c r="CH228" s="493" t="n"/>
      <c r="CI228" s="493" t="n"/>
      <c r="CJ228" s="493" t="n"/>
      <c r="CK228" s="493" t="n"/>
      <c r="CL228" s="493" t="n"/>
    </row>
    <row r="229" customFormat="1" s="230">
      <c r="E229" s="234" t="n"/>
      <c r="F229" s="492" t="n"/>
      <c r="G229" s="492" t="n"/>
      <c r="H229" s="493" t="n"/>
      <c r="I229" s="492" t="n"/>
      <c r="J229" s="492" t="n"/>
      <c r="K229" s="492" t="n"/>
      <c r="L229" s="492" t="n"/>
      <c r="M229" s="493" t="n"/>
      <c r="N229" s="492" t="n"/>
      <c r="O229" s="492" t="n"/>
      <c r="P229" s="492" t="n"/>
      <c r="Q229" s="492" t="n"/>
      <c r="R229" s="492" t="n"/>
      <c r="S229" s="492" t="n"/>
      <c r="T229" s="492" t="n"/>
      <c r="U229" s="492" t="n"/>
      <c r="V229" s="492" t="n"/>
      <c r="W229" s="492" t="n"/>
      <c r="X229" s="492" t="n"/>
      <c r="Y229" s="492" t="n"/>
      <c r="Z229" s="492" t="n"/>
      <c r="AA229" s="492" t="n"/>
      <c r="AB229" s="492" t="n"/>
      <c r="AC229" s="492" t="n"/>
      <c r="AD229" s="492" t="n"/>
      <c r="AE229" s="493" t="n"/>
      <c r="AF229" s="492" t="n"/>
      <c r="AG229" s="492" t="n"/>
      <c r="AH229" s="492" t="n"/>
      <c r="AI229" s="492" t="n"/>
      <c r="AJ229" s="493" t="n"/>
      <c r="AK229" s="492" t="n"/>
      <c r="AL229" s="492" t="n"/>
      <c r="AM229" s="492" t="n"/>
      <c r="AN229" s="492" t="n"/>
      <c r="AO229" s="492" t="n"/>
      <c r="AP229" s="492" t="n"/>
      <c r="AQ229" s="492" t="n"/>
      <c r="AR229" s="492" t="n"/>
      <c r="AS229" s="492" t="n"/>
      <c r="AT229" s="492" t="n"/>
      <c r="AU229" s="493" t="n"/>
      <c r="AV229" s="492" t="n"/>
      <c r="AW229" s="492" t="n"/>
      <c r="AX229" s="492" t="n"/>
      <c r="AY229" s="492" t="n"/>
      <c r="AZ229" s="492" t="n"/>
      <c r="BA229" s="493" t="n"/>
      <c r="BB229" s="492" t="n"/>
      <c r="BC229" s="492" t="n"/>
      <c r="BD229" s="492" t="n"/>
      <c r="BE229" s="492" t="n"/>
      <c r="BF229" s="493" t="n"/>
      <c r="BG229" s="493" t="n"/>
      <c r="BH229" s="495" t="n"/>
      <c r="BI229" s="496" t="n"/>
      <c r="BJ229" s="496" t="n"/>
      <c r="BK229" s="550" t="n"/>
      <c r="BM229" s="493" t="n"/>
      <c r="BN229" s="493" t="n"/>
      <c r="BO229" s="493" t="n"/>
      <c r="BP229" s="493" t="n"/>
      <c r="BQ229" s="493" t="n"/>
      <c r="BR229" s="493" t="n"/>
      <c r="BS229" s="493" t="n"/>
      <c r="BT229" s="493" t="n"/>
      <c r="BU229" s="493" t="n"/>
      <c r="BV229" s="493" t="n"/>
      <c r="BW229" s="493" t="n"/>
      <c r="BX229" s="493" t="n"/>
      <c r="BY229" s="493" t="n"/>
      <c r="BZ229" s="493" t="n"/>
      <c r="CA229" s="493" t="n"/>
      <c r="CB229" s="493" t="n"/>
      <c r="CC229" s="493" t="n"/>
      <c r="CD229" s="493" t="n"/>
      <c r="CE229" s="493" t="n"/>
      <c r="CF229" s="493" t="n"/>
      <c r="CG229" s="493" t="n"/>
      <c r="CH229" s="493" t="n"/>
      <c r="CI229" s="493" t="n"/>
      <c r="CJ229" s="493" t="n"/>
      <c r="CK229" s="493" t="n"/>
      <c r="CL229" s="493" t="n"/>
    </row>
    <row r="230" customFormat="1" s="230">
      <c r="E230" s="234" t="n"/>
      <c r="F230" s="492" t="n"/>
      <c r="G230" s="492" t="n"/>
      <c r="H230" s="493" t="n"/>
      <c r="I230" s="492" t="n"/>
      <c r="J230" s="492" t="n"/>
      <c r="K230" s="492" t="n"/>
      <c r="L230" s="492" t="n"/>
      <c r="M230" s="493" t="n"/>
      <c r="N230" s="492" t="n"/>
      <c r="O230" s="492" t="n"/>
      <c r="P230" s="492" t="n"/>
      <c r="Q230" s="492" t="n"/>
      <c r="R230" s="492" t="n"/>
      <c r="S230" s="492" t="n"/>
      <c r="T230" s="492" t="n"/>
      <c r="U230" s="492" t="n"/>
      <c r="V230" s="492" t="n"/>
      <c r="W230" s="492" t="n"/>
      <c r="X230" s="492" t="n"/>
      <c r="Y230" s="492" t="n"/>
      <c r="Z230" s="492" t="n"/>
      <c r="AA230" s="492" t="n"/>
      <c r="AB230" s="492" t="n"/>
      <c r="AC230" s="492" t="n"/>
      <c r="AD230" s="492" t="n"/>
      <c r="AE230" s="493" t="n"/>
      <c r="AF230" s="492" t="n"/>
      <c r="AG230" s="492" t="n"/>
      <c r="AH230" s="492" t="n"/>
      <c r="AI230" s="492" t="n"/>
      <c r="AJ230" s="493" t="n"/>
      <c r="AK230" s="492" t="n"/>
      <c r="AL230" s="492" t="n"/>
      <c r="AM230" s="492" t="n"/>
      <c r="AN230" s="492" t="n"/>
      <c r="AO230" s="492" t="n"/>
      <c r="AP230" s="492" t="n"/>
      <c r="AQ230" s="492" t="n"/>
      <c r="AR230" s="492" t="n"/>
      <c r="AS230" s="492" t="n"/>
      <c r="AT230" s="492" t="n"/>
      <c r="AU230" s="493" t="n"/>
      <c r="AV230" s="492" t="n"/>
      <c r="AW230" s="492" t="n"/>
      <c r="AX230" s="492" t="n"/>
      <c r="AY230" s="492" t="n"/>
      <c r="AZ230" s="492" t="n"/>
      <c r="BA230" s="493" t="n"/>
      <c r="BB230" s="492" t="n"/>
      <c r="BC230" s="492" t="n"/>
      <c r="BD230" s="492" t="n"/>
      <c r="BE230" s="492" t="n"/>
      <c r="BF230" s="493" t="n"/>
      <c r="BG230" s="493" t="n"/>
      <c r="BH230" s="495" t="n"/>
      <c r="BI230" s="496" t="n"/>
      <c r="BJ230" s="496" t="n"/>
      <c r="BK230" s="550" t="n"/>
      <c r="BM230" s="493" t="n"/>
      <c r="BN230" s="493" t="n"/>
      <c r="BO230" s="493" t="n"/>
      <c r="BP230" s="493" t="n"/>
      <c r="BQ230" s="493" t="n"/>
      <c r="BR230" s="493" t="n"/>
      <c r="BS230" s="493" t="n"/>
      <c r="BT230" s="493" t="n"/>
      <c r="BU230" s="493" t="n"/>
      <c r="BV230" s="493" t="n"/>
      <c r="BW230" s="493" t="n"/>
      <c r="BX230" s="493" t="n"/>
      <c r="BY230" s="493" t="n"/>
      <c r="BZ230" s="493" t="n"/>
      <c r="CA230" s="493" t="n"/>
      <c r="CB230" s="493" t="n"/>
      <c r="CC230" s="493" t="n"/>
      <c r="CD230" s="493" t="n"/>
      <c r="CE230" s="493" t="n"/>
      <c r="CF230" s="493" t="n"/>
      <c r="CG230" s="493" t="n"/>
      <c r="CH230" s="493" t="n"/>
      <c r="CI230" s="493" t="n"/>
      <c r="CJ230" s="493" t="n"/>
      <c r="CK230" s="493" t="n"/>
      <c r="CL230" s="493" t="n"/>
    </row>
    <row r="231" customFormat="1" s="230">
      <c r="E231" s="234" t="n"/>
      <c r="F231" s="492" t="n"/>
      <c r="G231" s="492" t="n"/>
      <c r="H231" s="493" t="n"/>
      <c r="I231" s="492" t="n"/>
      <c r="J231" s="492" t="n"/>
      <c r="K231" s="492" t="n"/>
      <c r="L231" s="492" t="n"/>
      <c r="M231" s="493" t="n"/>
      <c r="N231" s="492" t="n"/>
      <c r="O231" s="492" t="n"/>
      <c r="P231" s="492" t="n"/>
      <c r="Q231" s="492" t="n"/>
      <c r="R231" s="492" t="n"/>
      <c r="S231" s="492" t="n"/>
      <c r="T231" s="492" t="n"/>
      <c r="U231" s="492" t="n"/>
      <c r="V231" s="492" t="n"/>
      <c r="W231" s="492" t="n"/>
      <c r="X231" s="492" t="n"/>
      <c r="Y231" s="492" t="n"/>
      <c r="Z231" s="492" t="n"/>
      <c r="AA231" s="492" t="n"/>
      <c r="AB231" s="492" t="n"/>
      <c r="AC231" s="492" t="n"/>
      <c r="AD231" s="492" t="n"/>
      <c r="AE231" s="493" t="n"/>
      <c r="AF231" s="492" t="n"/>
      <c r="AG231" s="492" t="n"/>
      <c r="AH231" s="492" t="n"/>
      <c r="AI231" s="492" t="n"/>
      <c r="AJ231" s="493" t="n"/>
      <c r="AK231" s="492" t="n"/>
      <c r="AL231" s="492" t="n"/>
      <c r="AM231" s="492" t="n"/>
      <c r="AN231" s="492" t="n"/>
      <c r="AO231" s="492" t="n"/>
      <c r="AP231" s="492" t="n"/>
      <c r="AQ231" s="492" t="n"/>
      <c r="AR231" s="492" t="n"/>
      <c r="AS231" s="492" t="n"/>
      <c r="AT231" s="492" t="n"/>
      <c r="AU231" s="493" t="n"/>
      <c r="AV231" s="492" t="n"/>
      <c r="AW231" s="492" t="n"/>
      <c r="AX231" s="492" t="n"/>
      <c r="AY231" s="492" t="n"/>
      <c r="AZ231" s="492" t="n"/>
      <c r="BA231" s="493" t="n"/>
      <c r="BB231" s="492" t="n"/>
      <c r="BC231" s="492" t="n"/>
      <c r="BD231" s="492" t="n"/>
      <c r="BE231" s="492" t="n"/>
      <c r="BF231" s="493" t="n"/>
      <c r="BG231" s="493" t="n"/>
      <c r="BH231" s="495" t="n"/>
      <c r="BI231" s="496" t="n"/>
      <c r="BJ231" s="496" t="n"/>
      <c r="BK231" s="550" t="n"/>
      <c r="BM231" s="493" t="n"/>
      <c r="BN231" s="493" t="n"/>
      <c r="BO231" s="493" t="n"/>
      <c r="BP231" s="493" t="n"/>
      <c r="BQ231" s="493" t="n"/>
      <c r="BR231" s="493" t="n"/>
      <c r="BS231" s="493" t="n"/>
      <c r="BT231" s="493" t="n"/>
      <c r="BU231" s="493" t="n"/>
      <c r="BV231" s="493" t="n"/>
      <c r="BW231" s="493" t="n"/>
      <c r="BX231" s="493" t="n"/>
      <c r="BY231" s="493" t="n"/>
      <c r="BZ231" s="493" t="n"/>
      <c r="CA231" s="493" t="n"/>
      <c r="CB231" s="493" t="n"/>
      <c r="CC231" s="493" t="n"/>
      <c r="CD231" s="493" t="n"/>
      <c r="CE231" s="493" t="n"/>
      <c r="CF231" s="493" t="n"/>
      <c r="CG231" s="493" t="n"/>
      <c r="CH231" s="493" t="n"/>
      <c r="CI231" s="493" t="n"/>
      <c r="CJ231" s="493" t="n"/>
      <c r="CK231" s="493" t="n"/>
      <c r="CL231" s="493" t="n"/>
    </row>
    <row r="232" customFormat="1" s="230">
      <c r="E232" s="234" t="n"/>
      <c r="F232" s="492" t="n"/>
      <c r="G232" s="492" t="n"/>
      <c r="H232" s="493" t="n"/>
      <c r="I232" s="492" t="n"/>
      <c r="J232" s="492" t="n"/>
      <c r="K232" s="492" t="n"/>
      <c r="L232" s="492" t="n"/>
      <c r="M232" s="493" t="n"/>
      <c r="N232" s="492" t="n"/>
      <c r="O232" s="492" t="n"/>
      <c r="P232" s="492" t="n"/>
      <c r="Q232" s="492" t="n"/>
      <c r="R232" s="492" t="n"/>
      <c r="S232" s="492" t="n"/>
      <c r="T232" s="492" t="n"/>
      <c r="U232" s="492" t="n"/>
      <c r="V232" s="492" t="n"/>
      <c r="W232" s="492" t="n"/>
      <c r="X232" s="492" t="n"/>
      <c r="Y232" s="492" t="n"/>
      <c r="Z232" s="492" t="n"/>
      <c r="AA232" s="492" t="n"/>
      <c r="AB232" s="492" t="n"/>
      <c r="AC232" s="492" t="n"/>
      <c r="AD232" s="492" t="n"/>
      <c r="AE232" s="493" t="n"/>
      <c r="AF232" s="492" t="n"/>
      <c r="AG232" s="492" t="n"/>
      <c r="AH232" s="492" t="n"/>
      <c r="AI232" s="492" t="n"/>
      <c r="AJ232" s="493" t="n"/>
      <c r="AK232" s="492" t="n"/>
      <c r="AL232" s="492" t="n"/>
      <c r="AM232" s="492" t="n"/>
      <c r="AN232" s="492" t="n"/>
      <c r="AO232" s="492" t="n"/>
      <c r="AP232" s="492" t="n"/>
      <c r="AQ232" s="492" t="n"/>
      <c r="AR232" s="492" t="n"/>
      <c r="AS232" s="492" t="n"/>
      <c r="AT232" s="492" t="n"/>
      <c r="AU232" s="493" t="n"/>
      <c r="AV232" s="492" t="n"/>
      <c r="AW232" s="492" t="n"/>
      <c r="AX232" s="492" t="n"/>
      <c r="AY232" s="492" t="n"/>
      <c r="AZ232" s="492" t="n"/>
      <c r="BA232" s="493" t="n"/>
      <c r="BB232" s="492" t="n"/>
      <c r="BC232" s="492" t="n"/>
      <c r="BD232" s="492" t="n"/>
      <c r="BE232" s="492" t="n"/>
      <c r="BF232" s="493" t="n"/>
      <c r="BG232" s="493" t="n"/>
      <c r="BH232" s="495" t="n"/>
      <c r="BI232" s="496" t="n"/>
      <c r="BJ232" s="496" t="n"/>
      <c r="BK232" s="550" t="n"/>
      <c r="BM232" s="493" t="n"/>
      <c r="BN232" s="493" t="n"/>
      <c r="BO232" s="493" t="n"/>
      <c r="BP232" s="493" t="n"/>
      <c r="BQ232" s="493" t="n"/>
      <c r="BR232" s="493" t="n"/>
      <c r="BS232" s="493" t="n"/>
      <c r="BT232" s="493" t="n"/>
      <c r="BU232" s="493" t="n"/>
      <c r="BV232" s="493" t="n"/>
      <c r="BW232" s="493" t="n"/>
      <c r="BX232" s="493" t="n"/>
      <c r="BY232" s="493" t="n"/>
      <c r="BZ232" s="493" t="n"/>
      <c r="CA232" s="493" t="n"/>
      <c r="CB232" s="493" t="n"/>
      <c r="CC232" s="493" t="n"/>
      <c r="CD232" s="493" t="n"/>
      <c r="CE232" s="493" t="n"/>
      <c r="CF232" s="493" t="n"/>
      <c r="CG232" s="493" t="n"/>
      <c r="CH232" s="493" t="n"/>
      <c r="CI232" s="493" t="n"/>
      <c r="CJ232" s="493" t="n"/>
      <c r="CK232" s="493" t="n"/>
      <c r="CL232" s="493" t="n"/>
    </row>
    <row r="233" customFormat="1" s="230">
      <c r="E233" s="234" t="n"/>
      <c r="F233" s="492" t="n"/>
      <c r="G233" s="492" t="n"/>
      <c r="H233" s="493" t="n"/>
      <c r="I233" s="492" t="n"/>
      <c r="J233" s="492" t="n"/>
      <c r="K233" s="492" t="n"/>
      <c r="L233" s="492" t="n"/>
      <c r="M233" s="493" t="n"/>
      <c r="N233" s="492" t="n"/>
      <c r="O233" s="492" t="n"/>
      <c r="P233" s="492" t="n"/>
      <c r="Q233" s="492" t="n"/>
      <c r="R233" s="492" t="n"/>
      <c r="S233" s="492" t="n"/>
      <c r="T233" s="492" t="n"/>
      <c r="U233" s="492" t="n"/>
      <c r="V233" s="492" t="n"/>
      <c r="W233" s="492" t="n"/>
      <c r="X233" s="492" t="n"/>
      <c r="Y233" s="492" t="n"/>
      <c r="Z233" s="492" t="n"/>
      <c r="AA233" s="492" t="n"/>
      <c r="AB233" s="492" t="n"/>
      <c r="AC233" s="492" t="n"/>
      <c r="AD233" s="492" t="n"/>
      <c r="AE233" s="493" t="n"/>
      <c r="AF233" s="492" t="n"/>
      <c r="AG233" s="492" t="n"/>
      <c r="AH233" s="492" t="n"/>
      <c r="AI233" s="492" t="n"/>
      <c r="AJ233" s="493" t="n"/>
      <c r="AK233" s="492" t="n"/>
      <c r="AL233" s="492" t="n"/>
      <c r="AM233" s="492" t="n"/>
      <c r="AN233" s="492" t="n"/>
      <c r="AO233" s="492" t="n"/>
      <c r="AP233" s="492" t="n"/>
      <c r="AQ233" s="492" t="n"/>
      <c r="AR233" s="492" t="n"/>
      <c r="AS233" s="492" t="n"/>
      <c r="AT233" s="492" t="n"/>
      <c r="AU233" s="493" t="n"/>
      <c r="AV233" s="492" t="n"/>
      <c r="AW233" s="492" t="n"/>
      <c r="AX233" s="492" t="n"/>
      <c r="AY233" s="492" t="n"/>
      <c r="AZ233" s="492" t="n"/>
      <c r="BA233" s="493" t="n"/>
      <c r="BB233" s="492" t="n"/>
      <c r="BC233" s="492" t="n"/>
      <c r="BD233" s="492" t="n"/>
      <c r="BE233" s="492" t="n"/>
      <c r="BF233" s="493" t="n"/>
      <c r="BG233" s="493" t="n"/>
      <c r="BH233" s="495" t="n"/>
      <c r="BI233" s="496" t="n"/>
      <c r="BJ233" s="496" t="n"/>
      <c r="BK233" s="550" t="n"/>
      <c r="BM233" s="493" t="n"/>
      <c r="BN233" s="493" t="n"/>
      <c r="BO233" s="493" t="n"/>
      <c r="BP233" s="493" t="n"/>
      <c r="BQ233" s="493" t="n"/>
      <c r="BR233" s="493" t="n"/>
      <c r="BS233" s="493" t="n"/>
      <c r="BT233" s="493" t="n"/>
      <c r="BU233" s="493" t="n"/>
      <c r="BV233" s="493" t="n"/>
      <c r="BW233" s="493" t="n"/>
      <c r="BX233" s="493" t="n"/>
      <c r="BY233" s="493" t="n"/>
      <c r="BZ233" s="493" t="n"/>
      <c r="CA233" s="493" t="n"/>
      <c r="CB233" s="493" t="n"/>
      <c r="CC233" s="493" t="n"/>
      <c r="CD233" s="493" t="n"/>
      <c r="CE233" s="493" t="n"/>
      <c r="CF233" s="493" t="n"/>
      <c r="CG233" s="493" t="n"/>
      <c r="CH233" s="493" t="n"/>
      <c r="CI233" s="493" t="n"/>
      <c r="CJ233" s="493" t="n"/>
      <c r="CK233" s="493" t="n"/>
      <c r="CL233" s="493" t="n"/>
    </row>
    <row r="234" customFormat="1" s="230">
      <c r="E234" s="234" t="n"/>
      <c r="F234" s="492" t="n"/>
      <c r="G234" s="492" t="n"/>
      <c r="H234" s="493" t="n"/>
      <c r="I234" s="492" t="n"/>
      <c r="J234" s="492" t="n"/>
      <c r="K234" s="492" t="n"/>
      <c r="L234" s="492" t="n"/>
      <c r="M234" s="493" t="n"/>
      <c r="N234" s="492" t="n"/>
      <c r="O234" s="492" t="n"/>
      <c r="P234" s="492" t="n"/>
      <c r="Q234" s="492" t="n"/>
      <c r="R234" s="492" t="n"/>
      <c r="S234" s="492" t="n"/>
      <c r="T234" s="492" t="n"/>
      <c r="U234" s="492" t="n"/>
      <c r="V234" s="492" t="n"/>
      <c r="W234" s="492" t="n"/>
      <c r="X234" s="492" t="n"/>
      <c r="Y234" s="492" t="n"/>
      <c r="Z234" s="492" t="n"/>
      <c r="AA234" s="492" t="n"/>
      <c r="AB234" s="492" t="n"/>
      <c r="AC234" s="492" t="n"/>
      <c r="AD234" s="492" t="n"/>
      <c r="AE234" s="493" t="n"/>
      <c r="AF234" s="492" t="n"/>
      <c r="AG234" s="492" t="n"/>
      <c r="AH234" s="492" t="n"/>
      <c r="AI234" s="492" t="n"/>
      <c r="AJ234" s="493" t="n"/>
      <c r="AK234" s="492" t="n"/>
      <c r="AL234" s="492" t="n"/>
      <c r="AM234" s="492" t="n"/>
      <c r="AN234" s="492" t="n"/>
      <c r="AO234" s="492" t="n"/>
      <c r="AP234" s="492" t="n"/>
      <c r="AQ234" s="492" t="n"/>
      <c r="AR234" s="492" t="n"/>
      <c r="AS234" s="492" t="n"/>
      <c r="AT234" s="492" t="n"/>
      <c r="AU234" s="493" t="n"/>
      <c r="AV234" s="492" t="n"/>
      <c r="AW234" s="492" t="n"/>
      <c r="AX234" s="492" t="n"/>
      <c r="AY234" s="492" t="n"/>
      <c r="AZ234" s="492" t="n"/>
      <c r="BA234" s="493" t="n"/>
      <c r="BB234" s="492" t="n"/>
      <c r="BC234" s="492" t="n"/>
      <c r="BD234" s="492" t="n"/>
      <c r="BE234" s="492" t="n"/>
      <c r="BF234" s="493" t="n"/>
      <c r="BG234" s="493" t="n"/>
      <c r="BH234" s="495" t="n"/>
      <c r="BI234" s="496" t="n"/>
      <c r="BJ234" s="496" t="n"/>
      <c r="BK234" s="550" t="n"/>
      <c r="BM234" s="493" t="n"/>
      <c r="BN234" s="493" t="n"/>
      <c r="BO234" s="493" t="n"/>
      <c r="BP234" s="493" t="n"/>
      <c r="BQ234" s="493" t="n"/>
      <c r="BR234" s="493" t="n"/>
      <c r="BS234" s="493" t="n"/>
      <c r="BT234" s="493" t="n"/>
      <c r="BU234" s="493" t="n"/>
      <c r="BV234" s="493" t="n"/>
      <c r="BW234" s="493" t="n"/>
      <c r="BX234" s="493" t="n"/>
      <c r="BY234" s="493" t="n"/>
      <c r="BZ234" s="493" t="n"/>
      <c r="CA234" s="493" t="n"/>
      <c r="CB234" s="493" t="n"/>
      <c r="CC234" s="493" t="n"/>
      <c r="CD234" s="493" t="n"/>
      <c r="CE234" s="493" t="n"/>
      <c r="CF234" s="493" t="n"/>
      <c r="CG234" s="493" t="n"/>
      <c r="CH234" s="493" t="n"/>
      <c r="CI234" s="493" t="n"/>
      <c r="CJ234" s="493" t="n"/>
      <c r="CK234" s="493" t="n"/>
      <c r="CL234" s="493" t="n"/>
    </row>
    <row r="235" customFormat="1" s="230">
      <c r="E235" s="234" t="n"/>
      <c r="F235" s="492" t="n"/>
      <c r="G235" s="492" t="n"/>
      <c r="H235" s="493" t="n"/>
      <c r="I235" s="492" t="n"/>
      <c r="J235" s="492" t="n"/>
      <c r="K235" s="492" t="n"/>
      <c r="L235" s="492" t="n"/>
      <c r="M235" s="493" t="n"/>
      <c r="N235" s="492" t="n"/>
      <c r="O235" s="492" t="n"/>
      <c r="P235" s="492" t="n"/>
      <c r="Q235" s="492" t="n"/>
      <c r="R235" s="492" t="n"/>
      <c r="S235" s="492" t="n"/>
      <c r="T235" s="492" t="n"/>
      <c r="U235" s="492" t="n"/>
      <c r="V235" s="492" t="n"/>
      <c r="W235" s="492" t="n"/>
      <c r="X235" s="492" t="n"/>
      <c r="Y235" s="492" t="n"/>
      <c r="Z235" s="492" t="n"/>
      <c r="AA235" s="492" t="n"/>
      <c r="AB235" s="492" t="n"/>
      <c r="AC235" s="492" t="n"/>
      <c r="AD235" s="492" t="n"/>
      <c r="AE235" s="493" t="n"/>
      <c r="AF235" s="492" t="n"/>
      <c r="AG235" s="492" t="n"/>
      <c r="AH235" s="492" t="n"/>
      <c r="AI235" s="492" t="n"/>
      <c r="AJ235" s="493" t="n"/>
      <c r="AK235" s="492" t="n"/>
      <c r="AL235" s="492" t="n"/>
      <c r="AM235" s="492" t="n"/>
      <c r="AN235" s="492" t="n"/>
      <c r="AO235" s="492" t="n"/>
      <c r="AP235" s="492" t="n"/>
      <c r="AQ235" s="492" t="n"/>
      <c r="AR235" s="492" t="n"/>
      <c r="AS235" s="492" t="n"/>
      <c r="AT235" s="492" t="n"/>
      <c r="AU235" s="493" t="n"/>
      <c r="AV235" s="492" t="n"/>
      <c r="AW235" s="492" t="n"/>
      <c r="AX235" s="492" t="n"/>
      <c r="AY235" s="492" t="n"/>
      <c r="AZ235" s="492" t="n"/>
      <c r="BA235" s="493" t="n"/>
      <c r="BB235" s="492" t="n"/>
      <c r="BC235" s="492" t="n"/>
      <c r="BD235" s="492" t="n"/>
      <c r="BE235" s="492" t="n"/>
      <c r="BF235" s="493" t="n"/>
      <c r="BG235" s="493" t="n"/>
      <c r="BH235" s="495" t="n"/>
      <c r="BI235" s="496" t="n"/>
      <c r="BJ235" s="496" t="n"/>
      <c r="BK235" s="550" t="n"/>
      <c r="BM235" s="493" t="n"/>
      <c r="BN235" s="493" t="n"/>
      <c r="BO235" s="493" t="n"/>
      <c r="BP235" s="493" t="n"/>
      <c r="BQ235" s="493" t="n"/>
      <c r="BR235" s="493" t="n"/>
      <c r="BS235" s="493" t="n"/>
      <c r="BT235" s="493" t="n"/>
      <c r="BU235" s="493" t="n"/>
      <c r="BV235" s="493" t="n"/>
      <c r="BW235" s="493" t="n"/>
      <c r="BX235" s="493" t="n"/>
      <c r="BY235" s="493" t="n"/>
      <c r="BZ235" s="493" t="n"/>
      <c r="CA235" s="493" t="n"/>
      <c r="CB235" s="493" t="n"/>
      <c r="CC235" s="493" t="n"/>
      <c r="CD235" s="493" t="n"/>
      <c r="CE235" s="493" t="n"/>
      <c r="CF235" s="493" t="n"/>
      <c r="CG235" s="493" t="n"/>
      <c r="CH235" s="493" t="n"/>
      <c r="CI235" s="493" t="n"/>
      <c r="CJ235" s="493" t="n"/>
      <c r="CK235" s="493" t="n"/>
      <c r="CL235" s="493" t="n"/>
    </row>
    <row r="236" customFormat="1" s="230">
      <c r="E236" s="234" t="n"/>
      <c r="F236" s="492" t="n"/>
      <c r="G236" s="492" t="n"/>
      <c r="H236" s="493" t="n"/>
      <c r="I236" s="492" t="n"/>
      <c r="J236" s="492" t="n"/>
      <c r="K236" s="492" t="n"/>
      <c r="L236" s="492" t="n"/>
      <c r="M236" s="493" t="n"/>
      <c r="N236" s="492" t="n"/>
      <c r="O236" s="492" t="n"/>
      <c r="P236" s="492" t="n"/>
      <c r="Q236" s="492" t="n"/>
      <c r="R236" s="492" t="n"/>
      <c r="S236" s="492" t="n"/>
      <c r="T236" s="492" t="n"/>
      <c r="U236" s="492" t="n"/>
      <c r="V236" s="492" t="n"/>
      <c r="W236" s="492" t="n"/>
      <c r="X236" s="492" t="n"/>
      <c r="Y236" s="492" t="n"/>
      <c r="Z236" s="492" t="n"/>
      <c r="AA236" s="492" t="n"/>
      <c r="AB236" s="492" t="n"/>
      <c r="AC236" s="492" t="n"/>
      <c r="AD236" s="492" t="n"/>
      <c r="AE236" s="493" t="n"/>
      <c r="AF236" s="492" t="n"/>
      <c r="AG236" s="492" t="n"/>
      <c r="AH236" s="492" t="n"/>
      <c r="AI236" s="492" t="n"/>
      <c r="AJ236" s="493" t="n"/>
      <c r="AK236" s="492" t="n"/>
      <c r="AL236" s="492" t="n"/>
      <c r="AM236" s="492" t="n"/>
      <c r="AN236" s="492" t="n"/>
      <c r="AO236" s="492" t="n"/>
      <c r="AP236" s="492" t="n"/>
      <c r="AQ236" s="492" t="n"/>
      <c r="AR236" s="492" t="n"/>
      <c r="AS236" s="492" t="n"/>
      <c r="AT236" s="492" t="n"/>
      <c r="AU236" s="493" t="n"/>
      <c r="AV236" s="492" t="n"/>
      <c r="AW236" s="492" t="n"/>
      <c r="AX236" s="492" t="n"/>
      <c r="AY236" s="492" t="n"/>
      <c r="AZ236" s="492" t="n"/>
      <c r="BA236" s="493" t="n"/>
      <c r="BB236" s="492" t="n"/>
      <c r="BC236" s="492" t="n"/>
      <c r="BD236" s="492" t="n"/>
      <c r="BE236" s="492" t="n"/>
      <c r="BF236" s="493" t="n"/>
      <c r="BG236" s="493" t="n"/>
      <c r="BH236" s="495" t="n"/>
      <c r="BI236" s="496" t="n"/>
      <c r="BJ236" s="496" t="n"/>
      <c r="BK236" s="550" t="n"/>
      <c r="BM236" s="493" t="n"/>
      <c r="BN236" s="493" t="n"/>
      <c r="BO236" s="493" t="n"/>
      <c r="BP236" s="493" t="n"/>
      <c r="BQ236" s="493" t="n"/>
      <c r="BR236" s="493" t="n"/>
      <c r="BS236" s="493" t="n"/>
      <c r="BT236" s="493" t="n"/>
      <c r="BU236" s="493" t="n"/>
      <c r="BV236" s="493" t="n"/>
      <c r="BW236" s="493" t="n"/>
      <c r="BX236" s="493" t="n"/>
      <c r="BY236" s="493" t="n"/>
      <c r="BZ236" s="493" t="n"/>
      <c r="CA236" s="493" t="n"/>
      <c r="CB236" s="493" t="n"/>
      <c r="CC236" s="493" t="n"/>
      <c r="CD236" s="493" t="n"/>
      <c r="CE236" s="493" t="n"/>
      <c r="CF236" s="493" t="n"/>
      <c r="CG236" s="493" t="n"/>
      <c r="CH236" s="493" t="n"/>
      <c r="CI236" s="493" t="n"/>
      <c r="CJ236" s="493" t="n"/>
      <c r="CK236" s="493" t="n"/>
      <c r="CL236" s="493" t="n"/>
    </row>
    <row r="237" customFormat="1" s="230">
      <c r="E237" s="234" t="n"/>
      <c r="F237" s="492" t="n"/>
      <c r="G237" s="492" t="n"/>
      <c r="H237" s="493" t="n"/>
      <c r="I237" s="492" t="n"/>
      <c r="J237" s="492" t="n"/>
      <c r="K237" s="492" t="n"/>
      <c r="L237" s="492" t="n"/>
      <c r="M237" s="493" t="n"/>
      <c r="N237" s="492" t="n"/>
      <c r="O237" s="492" t="n"/>
      <c r="P237" s="492" t="n"/>
      <c r="Q237" s="492" t="n"/>
      <c r="R237" s="492" t="n"/>
      <c r="S237" s="492" t="n"/>
      <c r="T237" s="492" t="n"/>
      <c r="U237" s="492" t="n"/>
      <c r="V237" s="492" t="n"/>
      <c r="W237" s="492" t="n"/>
      <c r="X237" s="492" t="n"/>
      <c r="Y237" s="492" t="n"/>
      <c r="Z237" s="492" t="n"/>
      <c r="AA237" s="492" t="n"/>
      <c r="AB237" s="492" t="n"/>
      <c r="AC237" s="492" t="n"/>
      <c r="AD237" s="492" t="n"/>
      <c r="AE237" s="493" t="n"/>
      <c r="AF237" s="492" t="n"/>
      <c r="AG237" s="492" t="n"/>
      <c r="AH237" s="492" t="n"/>
      <c r="AI237" s="492" t="n"/>
      <c r="AJ237" s="493" t="n"/>
      <c r="AK237" s="492" t="n"/>
      <c r="AL237" s="492" t="n"/>
      <c r="AM237" s="492" t="n"/>
      <c r="AN237" s="492" t="n"/>
      <c r="AO237" s="492" t="n"/>
      <c r="AP237" s="492" t="n"/>
      <c r="AQ237" s="492" t="n"/>
      <c r="AR237" s="492" t="n"/>
      <c r="AS237" s="492" t="n"/>
      <c r="AT237" s="492" t="n"/>
      <c r="AU237" s="493" t="n"/>
      <c r="AV237" s="492" t="n"/>
      <c r="AW237" s="492" t="n"/>
      <c r="AX237" s="492" t="n"/>
      <c r="AY237" s="492" t="n"/>
      <c r="AZ237" s="492" t="n"/>
      <c r="BA237" s="493" t="n"/>
      <c r="BB237" s="492" t="n"/>
      <c r="BC237" s="492" t="n"/>
      <c r="BD237" s="492" t="n"/>
      <c r="BE237" s="492" t="n"/>
      <c r="BF237" s="493" t="n"/>
      <c r="BG237" s="493" t="n"/>
      <c r="BH237" s="495" t="n"/>
      <c r="BI237" s="496" t="n"/>
      <c r="BJ237" s="496" t="n"/>
      <c r="BK237" s="550" t="n"/>
      <c r="BM237" s="493" t="n"/>
      <c r="BN237" s="493" t="n"/>
      <c r="BO237" s="493" t="n"/>
      <c r="BP237" s="493" t="n"/>
      <c r="BQ237" s="493" t="n"/>
      <c r="BR237" s="493" t="n"/>
      <c r="BS237" s="493" t="n"/>
      <c r="BT237" s="493" t="n"/>
      <c r="BU237" s="493" t="n"/>
      <c r="BV237" s="493" t="n"/>
      <c r="BW237" s="493" t="n"/>
      <c r="BX237" s="493" t="n"/>
      <c r="BY237" s="493" t="n"/>
      <c r="BZ237" s="493" t="n"/>
      <c r="CA237" s="493" t="n"/>
      <c r="CB237" s="493" t="n"/>
      <c r="CC237" s="493" t="n"/>
      <c r="CD237" s="493" t="n"/>
      <c r="CE237" s="493" t="n"/>
      <c r="CF237" s="493" t="n"/>
      <c r="CG237" s="493" t="n"/>
      <c r="CH237" s="493" t="n"/>
      <c r="CI237" s="493" t="n"/>
      <c r="CJ237" s="493" t="n"/>
      <c r="CK237" s="493" t="n"/>
      <c r="CL237" s="493" t="n"/>
    </row>
    <row r="238" customFormat="1" s="230">
      <c r="E238" s="234" t="n"/>
      <c r="F238" s="492" t="n"/>
      <c r="G238" s="492" t="n"/>
      <c r="H238" s="493" t="n"/>
      <c r="I238" s="492" t="n"/>
      <c r="J238" s="492" t="n"/>
      <c r="K238" s="492" t="n"/>
      <c r="L238" s="492" t="n"/>
      <c r="M238" s="493" t="n"/>
      <c r="N238" s="492" t="n"/>
      <c r="O238" s="492" t="n"/>
      <c r="P238" s="492" t="n"/>
      <c r="Q238" s="492" t="n"/>
      <c r="R238" s="492" t="n"/>
      <c r="S238" s="492" t="n"/>
      <c r="T238" s="492" t="n"/>
      <c r="U238" s="492" t="n"/>
      <c r="V238" s="492" t="n"/>
      <c r="W238" s="492" t="n"/>
      <c r="X238" s="492" t="n"/>
      <c r="Y238" s="492" t="n"/>
      <c r="Z238" s="492" t="n"/>
      <c r="AA238" s="492" t="n"/>
      <c r="AB238" s="492" t="n"/>
      <c r="AC238" s="492" t="n"/>
      <c r="AD238" s="492" t="n"/>
      <c r="AE238" s="493" t="n"/>
      <c r="AF238" s="492" t="n"/>
      <c r="AG238" s="492" t="n"/>
      <c r="AH238" s="492" t="n"/>
      <c r="AI238" s="492" t="n"/>
      <c r="AJ238" s="493" t="n"/>
      <c r="AK238" s="492" t="n"/>
      <c r="AL238" s="492" t="n"/>
      <c r="AM238" s="492" t="n"/>
      <c r="AN238" s="492" t="n"/>
      <c r="AO238" s="492" t="n"/>
      <c r="AP238" s="492" t="n"/>
      <c r="AQ238" s="492" t="n"/>
      <c r="AR238" s="492" t="n"/>
      <c r="AS238" s="492" t="n"/>
      <c r="AT238" s="492" t="n"/>
      <c r="AU238" s="493" t="n"/>
      <c r="AV238" s="492" t="n"/>
      <c r="AW238" s="492" t="n"/>
      <c r="AX238" s="492" t="n"/>
      <c r="AY238" s="492" t="n"/>
      <c r="AZ238" s="492" t="n"/>
      <c r="BA238" s="493" t="n"/>
      <c r="BB238" s="492" t="n"/>
      <c r="BC238" s="492" t="n"/>
      <c r="BD238" s="492" t="n"/>
      <c r="BE238" s="492" t="n"/>
      <c r="BF238" s="493" t="n"/>
      <c r="BG238" s="493" t="n"/>
      <c r="BH238" s="495" t="n"/>
      <c r="BI238" s="496" t="n"/>
      <c r="BJ238" s="496" t="n"/>
      <c r="BK238" s="550" t="n"/>
      <c r="BM238" s="493" t="n"/>
      <c r="BN238" s="493" t="n"/>
      <c r="BO238" s="493" t="n"/>
      <c r="BP238" s="493" t="n"/>
      <c r="BQ238" s="493" t="n"/>
      <c r="BR238" s="493" t="n"/>
      <c r="BS238" s="493" t="n"/>
      <c r="BT238" s="493" t="n"/>
      <c r="BU238" s="493" t="n"/>
      <c r="BV238" s="493" t="n"/>
      <c r="BW238" s="493" t="n"/>
      <c r="BX238" s="493" t="n"/>
      <c r="BY238" s="493" t="n"/>
      <c r="BZ238" s="493" t="n"/>
      <c r="CA238" s="493" t="n"/>
      <c r="CB238" s="493" t="n"/>
      <c r="CC238" s="493" t="n"/>
      <c r="CD238" s="493" t="n"/>
      <c r="CE238" s="493" t="n"/>
      <c r="CF238" s="493" t="n"/>
      <c r="CG238" s="493" t="n"/>
      <c r="CH238" s="493" t="n"/>
      <c r="CI238" s="493" t="n"/>
      <c r="CJ238" s="493" t="n"/>
      <c r="CK238" s="493" t="n"/>
      <c r="CL238" s="493" t="n"/>
    </row>
    <row r="239" customFormat="1" s="230">
      <c r="E239" s="234" t="n"/>
      <c r="F239" s="492" t="n"/>
      <c r="G239" s="492" t="n"/>
      <c r="H239" s="493" t="n"/>
      <c r="I239" s="492" t="n"/>
      <c r="J239" s="492" t="n"/>
      <c r="K239" s="492" t="n"/>
      <c r="L239" s="492" t="n"/>
      <c r="M239" s="493" t="n"/>
      <c r="N239" s="492" t="n"/>
      <c r="O239" s="492" t="n"/>
      <c r="P239" s="492" t="n"/>
      <c r="Q239" s="492" t="n"/>
      <c r="R239" s="492" t="n"/>
      <c r="S239" s="492" t="n"/>
      <c r="T239" s="492" t="n"/>
      <c r="U239" s="492" t="n"/>
      <c r="V239" s="492" t="n"/>
      <c r="W239" s="492" t="n"/>
      <c r="X239" s="492" t="n"/>
      <c r="Y239" s="492" t="n"/>
      <c r="Z239" s="492" t="n"/>
      <c r="AA239" s="492" t="n"/>
      <c r="AB239" s="492" t="n"/>
      <c r="AC239" s="492" t="n"/>
      <c r="AD239" s="492" t="n"/>
      <c r="AE239" s="493" t="n"/>
      <c r="AF239" s="492" t="n"/>
      <c r="AG239" s="492" t="n"/>
      <c r="AH239" s="492" t="n"/>
      <c r="AI239" s="492" t="n"/>
      <c r="AJ239" s="493" t="n"/>
      <c r="AK239" s="492" t="n"/>
      <c r="AL239" s="492" t="n"/>
      <c r="AM239" s="492" t="n"/>
      <c r="AN239" s="492" t="n"/>
      <c r="AO239" s="492" t="n"/>
      <c r="AP239" s="492" t="n"/>
      <c r="AQ239" s="492" t="n"/>
      <c r="AR239" s="492" t="n"/>
      <c r="AS239" s="492" t="n"/>
      <c r="AT239" s="492" t="n"/>
      <c r="AU239" s="493" t="n"/>
      <c r="AV239" s="492" t="n"/>
      <c r="AW239" s="492" t="n"/>
      <c r="AX239" s="492" t="n"/>
      <c r="AY239" s="492" t="n"/>
      <c r="AZ239" s="492" t="n"/>
      <c r="BA239" s="493" t="n"/>
      <c r="BB239" s="492" t="n"/>
      <c r="BC239" s="492" t="n"/>
      <c r="BD239" s="492" t="n"/>
      <c r="BE239" s="492" t="n"/>
      <c r="BF239" s="493" t="n"/>
      <c r="BG239" s="493" t="n"/>
      <c r="BH239" s="495" t="n"/>
      <c r="BI239" s="496" t="n"/>
      <c r="BJ239" s="496" t="n"/>
      <c r="BK239" s="550" t="n"/>
      <c r="BM239" s="493" t="n"/>
      <c r="BN239" s="493" t="n"/>
      <c r="BO239" s="493" t="n"/>
      <c r="BP239" s="493" t="n"/>
      <c r="BQ239" s="493" t="n"/>
      <c r="BR239" s="493" t="n"/>
      <c r="BS239" s="493" t="n"/>
      <c r="BT239" s="493" t="n"/>
      <c r="BU239" s="493" t="n"/>
      <c r="BV239" s="493" t="n"/>
      <c r="BW239" s="493" t="n"/>
      <c r="BX239" s="493" t="n"/>
      <c r="BY239" s="493" t="n"/>
      <c r="BZ239" s="493" t="n"/>
      <c r="CA239" s="493" t="n"/>
      <c r="CB239" s="493" t="n"/>
      <c r="CC239" s="493" t="n"/>
      <c r="CD239" s="493" t="n"/>
      <c r="CE239" s="493" t="n"/>
      <c r="CF239" s="493" t="n"/>
      <c r="CG239" s="493" t="n"/>
      <c r="CH239" s="493" t="n"/>
      <c r="CI239" s="493" t="n"/>
      <c r="CJ239" s="493" t="n"/>
      <c r="CK239" s="493" t="n"/>
      <c r="CL239" s="493" t="n"/>
    </row>
    <row r="240" customFormat="1" s="230">
      <c r="E240" s="234" t="n"/>
      <c r="F240" s="492" t="n"/>
      <c r="G240" s="492" t="n"/>
      <c r="H240" s="493" t="n"/>
      <c r="I240" s="492" t="n"/>
      <c r="J240" s="492" t="n"/>
      <c r="K240" s="492" t="n"/>
      <c r="L240" s="492" t="n"/>
      <c r="M240" s="493" t="n"/>
      <c r="N240" s="492" t="n"/>
      <c r="O240" s="492" t="n"/>
      <c r="P240" s="492" t="n"/>
      <c r="Q240" s="492" t="n"/>
      <c r="R240" s="492" t="n"/>
      <c r="S240" s="492" t="n"/>
      <c r="T240" s="492" t="n"/>
      <c r="U240" s="492" t="n"/>
      <c r="V240" s="492" t="n"/>
      <c r="W240" s="492" t="n"/>
      <c r="X240" s="492" t="n"/>
      <c r="Y240" s="492" t="n"/>
      <c r="Z240" s="492" t="n"/>
      <c r="AA240" s="492" t="n"/>
      <c r="AB240" s="492" t="n"/>
      <c r="AC240" s="492" t="n"/>
      <c r="AD240" s="492" t="n"/>
      <c r="AE240" s="493" t="n"/>
      <c r="AF240" s="492" t="n"/>
      <c r="AG240" s="492" t="n"/>
      <c r="AH240" s="492" t="n"/>
      <c r="AI240" s="492" t="n"/>
      <c r="AJ240" s="493" t="n"/>
      <c r="AK240" s="492" t="n"/>
      <c r="AL240" s="492" t="n"/>
      <c r="AM240" s="492" t="n"/>
      <c r="AN240" s="492" t="n"/>
      <c r="AO240" s="492" t="n"/>
      <c r="AP240" s="492" t="n"/>
      <c r="AQ240" s="492" t="n"/>
      <c r="AR240" s="492" t="n"/>
      <c r="AS240" s="492" t="n"/>
      <c r="AT240" s="492" t="n"/>
      <c r="AU240" s="493" t="n"/>
      <c r="AV240" s="492" t="n"/>
      <c r="AW240" s="492" t="n"/>
      <c r="AX240" s="492" t="n"/>
      <c r="AY240" s="492" t="n"/>
      <c r="AZ240" s="492" t="n"/>
      <c r="BA240" s="493" t="n"/>
      <c r="BB240" s="492" t="n"/>
      <c r="BC240" s="492" t="n"/>
      <c r="BD240" s="492" t="n"/>
      <c r="BE240" s="492" t="n"/>
      <c r="BF240" s="493" t="n"/>
      <c r="BG240" s="493" t="n"/>
      <c r="BH240" s="495" t="n"/>
      <c r="BI240" s="496" t="n"/>
      <c r="BJ240" s="496" t="n"/>
      <c r="BK240" s="550" t="n"/>
      <c r="BM240" s="493" t="n"/>
      <c r="BN240" s="493" t="n"/>
      <c r="BO240" s="493" t="n"/>
      <c r="BP240" s="493" t="n"/>
      <c r="BQ240" s="493" t="n"/>
      <c r="BR240" s="493" t="n"/>
      <c r="BS240" s="493" t="n"/>
      <c r="BT240" s="493" t="n"/>
      <c r="BU240" s="493" t="n"/>
      <c r="BV240" s="493" t="n"/>
      <c r="BW240" s="493" t="n"/>
      <c r="BX240" s="493" t="n"/>
      <c r="BY240" s="493" t="n"/>
      <c r="BZ240" s="493" t="n"/>
      <c r="CA240" s="493" t="n"/>
      <c r="CB240" s="493" t="n"/>
      <c r="CC240" s="493" t="n"/>
      <c r="CD240" s="493" t="n"/>
      <c r="CE240" s="493" t="n"/>
      <c r="CF240" s="493" t="n"/>
      <c r="CG240" s="493" t="n"/>
      <c r="CH240" s="493" t="n"/>
      <c r="CI240" s="493" t="n"/>
      <c r="CJ240" s="493" t="n"/>
      <c r="CK240" s="493" t="n"/>
      <c r="CL240" s="493" t="n"/>
    </row>
    <row r="241" customFormat="1" s="230">
      <c r="E241" s="234" t="n"/>
      <c r="F241" s="492" t="n"/>
      <c r="G241" s="492" t="n"/>
      <c r="H241" s="493" t="n"/>
      <c r="I241" s="492" t="n"/>
      <c r="J241" s="492" t="n"/>
      <c r="K241" s="492" t="n"/>
      <c r="L241" s="492" t="n"/>
      <c r="M241" s="493" t="n"/>
      <c r="N241" s="492" t="n"/>
      <c r="O241" s="492" t="n"/>
      <c r="P241" s="492" t="n"/>
      <c r="Q241" s="492" t="n"/>
      <c r="R241" s="492" t="n"/>
      <c r="S241" s="492" t="n"/>
      <c r="T241" s="492" t="n"/>
      <c r="U241" s="492" t="n"/>
      <c r="V241" s="492" t="n"/>
      <c r="W241" s="492" t="n"/>
      <c r="X241" s="492" t="n"/>
      <c r="Y241" s="492" t="n"/>
      <c r="Z241" s="492" t="n"/>
      <c r="AA241" s="492" t="n"/>
      <c r="AB241" s="492" t="n"/>
      <c r="AC241" s="492" t="n"/>
      <c r="AD241" s="492" t="n"/>
      <c r="AE241" s="493" t="n"/>
      <c r="AF241" s="492" t="n"/>
      <c r="AG241" s="492" t="n"/>
      <c r="AH241" s="492" t="n"/>
      <c r="AI241" s="492" t="n"/>
      <c r="AJ241" s="493" t="n"/>
      <c r="AK241" s="492" t="n"/>
      <c r="AL241" s="492" t="n"/>
      <c r="AM241" s="492" t="n"/>
      <c r="AN241" s="492" t="n"/>
      <c r="AO241" s="492" t="n"/>
      <c r="AP241" s="492" t="n"/>
      <c r="AQ241" s="492" t="n"/>
      <c r="AR241" s="492" t="n"/>
      <c r="AS241" s="492" t="n"/>
      <c r="AT241" s="492" t="n"/>
      <c r="AU241" s="493" t="n"/>
      <c r="AV241" s="492" t="n"/>
      <c r="AW241" s="492" t="n"/>
      <c r="AX241" s="492" t="n"/>
      <c r="AY241" s="492" t="n"/>
      <c r="AZ241" s="492" t="n"/>
      <c r="BA241" s="493" t="n"/>
      <c r="BB241" s="492" t="n"/>
      <c r="BC241" s="492" t="n"/>
      <c r="BD241" s="492" t="n"/>
      <c r="BE241" s="492" t="n"/>
      <c r="BF241" s="493" t="n"/>
      <c r="BG241" s="493" t="n"/>
      <c r="BH241" s="495" t="n"/>
      <c r="BI241" s="496" t="n"/>
      <c r="BJ241" s="496" t="n"/>
      <c r="BK241" s="550" t="n"/>
      <c r="BM241" s="493" t="n"/>
      <c r="BN241" s="493" t="n"/>
      <c r="BO241" s="493" t="n"/>
      <c r="BP241" s="493" t="n"/>
      <c r="BQ241" s="493" t="n"/>
      <c r="BR241" s="493" t="n"/>
      <c r="BS241" s="493" t="n"/>
      <c r="BT241" s="493" t="n"/>
      <c r="BU241" s="493" t="n"/>
      <c r="BV241" s="493" t="n"/>
      <c r="BW241" s="493" t="n"/>
      <c r="BX241" s="493" t="n"/>
      <c r="BY241" s="493" t="n"/>
      <c r="BZ241" s="493" t="n"/>
      <c r="CA241" s="493" t="n"/>
      <c r="CB241" s="493" t="n"/>
      <c r="CC241" s="493" t="n"/>
      <c r="CD241" s="493" t="n"/>
      <c r="CE241" s="493" t="n"/>
      <c r="CF241" s="493" t="n"/>
      <c r="CG241" s="493" t="n"/>
      <c r="CH241" s="493" t="n"/>
      <c r="CI241" s="493" t="n"/>
      <c r="CJ241" s="493" t="n"/>
      <c r="CK241" s="493" t="n"/>
      <c r="CL241" s="493" t="n"/>
    </row>
    <row r="242" customFormat="1" s="230">
      <c r="E242" s="234" t="n"/>
      <c r="F242" s="492" t="n"/>
      <c r="G242" s="492" t="n"/>
      <c r="H242" s="493" t="n"/>
      <c r="I242" s="492" t="n"/>
      <c r="J242" s="492" t="n"/>
      <c r="K242" s="492" t="n"/>
      <c r="L242" s="492" t="n"/>
      <c r="M242" s="493" t="n"/>
      <c r="N242" s="492" t="n"/>
      <c r="O242" s="492" t="n"/>
      <c r="P242" s="492" t="n"/>
      <c r="Q242" s="492" t="n"/>
      <c r="R242" s="492" t="n"/>
      <c r="S242" s="492" t="n"/>
      <c r="T242" s="492" t="n"/>
      <c r="U242" s="492" t="n"/>
      <c r="V242" s="492" t="n"/>
      <c r="W242" s="492" t="n"/>
      <c r="X242" s="492" t="n"/>
      <c r="Y242" s="492" t="n"/>
      <c r="Z242" s="492" t="n"/>
      <c r="AA242" s="492" t="n"/>
      <c r="AB242" s="492" t="n"/>
      <c r="AC242" s="492" t="n"/>
      <c r="AD242" s="492" t="n"/>
      <c r="AE242" s="493" t="n"/>
      <c r="AF242" s="492" t="n"/>
      <c r="AG242" s="492" t="n"/>
      <c r="AH242" s="492" t="n"/>
      <c r="AI242" s="492" t="n"/>
      <c r="AJ242" s="493" t="n"/>
      <c r="AK242" s="492" t="n"/>
      <c r="AL242" s="492" t="n"/>
      <c r="AM242" s="492" t="n"/>
      <c r="AN242" s="492" t="n"/>
      <c r="AO242" s="492" t="n"/>
      <c r="AP242" s="492" t="n"/>
      <c r="AQ242" s="492" t="n"/>
      <c r="AR242" s="492" t="n"/>
      <c r="AS242" s="492" t="n"/>
      <c r="AT242" s="492" t="n"/>
      <c r="AU242" s="493" t="n"/>
      <c r="AV242" s="492" t="n"/>
      <c r="AW242" s="492" t="n"/>
      <c r="AX242" s="492" t="n"/>
      <c r="AY242" s="492" t="n"/>
      <c r="AZ242" s="492" t="n"/>
      <c r="BA242" s="493" t="n"/>
      <c r="BB242" s="492" t="n"/>
      <c r="BC242" s="492" t="n"/>
      <c r="BD242" s="492" t="n"/>
      <c r="BE242" s="492" t="n"/>
      <c r="BF242" s="493" t="n"/>
      <c r="BG242" s="493" t="n"/>
      <c r="BH242" s="495" t="n"/>
      <c r="BI242" s="496" t="n"/>
      <c r="BJ242" s="496" t="n"/>
      <c r="BK242" s="550" t="n"/>
      <c r="BM242" s="493" t="n"/>
      <c r="BN242" s="493" t="n"/>
      <c r="BO242" s="493" t="n"/>
      <c r="BP242" s="493" t="n"/>
      <c r="BQ242" s="493" t="n"/>
      <c r="BR242" s="493" t="n"/>
      <c r="BS242" s="493" t="n"/>
      <c r="BT242" s="493" t="n"/>
      <c r="BU242" s="493" t="n"/>
      <c r="BV242" s="493" t="n"/>
      <c r="BW242" s="493" t="n"/>
      <c r="BX242" s="493" t="n"/>
      <c r="BY242" s="493" t="n"/>
      <c r="BZ242" s="493" t="n"/>
      <c r="CA242" s="493" t="n"/>
      <c r="CB242" s="493" t="n"/>
      <c r="CC242" s="493" t="n"/>
      <c r="CD242" s="493" t="n"/>
      <c r="CE242" s="493" t="n"/>
      <c r="CF242" s="493" t="n"/>
      <c r="CG242" s="493" t="n"/>
      <c r="CH242" s="493" t="n"/>
      <c r="CI242" s="493" t="n"/>
      <c r="CJ242" s="493" t="n"/>
      <c r="CK242" s="493" t="n"/>
      <c r="CL242" s="493" t="n"/>
    </row>
    <row r="243" customFormat="1" s="230">
      <c r="E243" s="234" t="n"/>
      <c r="F243" s="492" t="n"/>
      <c r="G243" s="492" t="n"/>
      <c r="H243" s="493" t="n"/>
      <c r="I243" s="492" t="n"/>
      <c r="J243" s="492" t="n"/>
      <c r="K243" s="492" t="n"/>
      <c r="L243" s="492" t="n"/>
      <c r="M243" s="493" t="n"/>
      <c r="N243" s="492" t="n"/>
      <c r="O243" s="492" t="n"/>
      <c r="P243" s="492" t="n"/>
      <c r="Q243" s="492" t="n"/>
      <c r="R243" s="492" t="n"/>
      <c r="S243" s="492" t="n"/>
      <c r="T243" s="492" t="n"/>
      <c r="U243" s="492" t="n"/>
      <c r="V243" s="492" t="n"/>
      <c r="W243" s="492" t="n"/>
      <c r="X243" s="492" t="n"/>
      <c r="Y243" s="492" t="n"/>
      <c r="Z243" s="492" t="n"/>
      <c r="AA243" s="492" t="n"/>
      <c r="AB243" s="492" t="n"/>
      <c r="AC243" s="492" t="n"/>
      <c r="AD243" s="492" t="n"/>
      <c r="AE243" s="493" t="n"/>
      <c r="AF243" s="492" t="n"/>
      <c r="AG243" s="492" t="n"/>
      <c r="AH243" s="492" t="n"/>
      <c r="AI243" s="492" t="n"/>
      <c r="AJ243" s="493" t="n"/>
      <c r="AK243" s="492" t="n"/>
      <c r="AL243" s="492" t="n"/>
      <c r="AM243" s="492" t="n"/>
      <c r="AN243" s="492" t="n"/>
      <c r="AO243" s="492" t="n"/>
      <c r="AP243" s="492" t="n"/>
      <c r="AQ243" s="492" t="n"/>
      <c r="AR243" s="492" t="n"/>
      <c r="AS243" s="492" t="n"/>
      <c r="AT243" s="492" t="n"/>
      <c r="AU243" s="493" t="n"/>
      <c r="AV243" s="492" t="n"/>
      <c r="AW243" s="492" t="n"/>
      <c r="AX243" s="492" t="n"/>
      <c r="AY243" s="492" t="n"/>
      <c r="AZ243" s="492" t="n"/>
      <c r="BA243" s="493" t="n"/>
      <c r="BB243" s="492" t="n"/>
      <c r="BC243" s="492" t="n"/>
      <c r="BD243" s="492" t="n"/>
      <c r="BE243" s="492" t="n"/>
      <c r="BF243" s="493" t="n"/>
      <c r="BG243" s="493" t="n"/>
      <c r="BH243" s="495" t="n"/>
      <c r="BI243" s="496" t="n"/>
      <c r="BJ243" s="496" t="n"/>
      <c r="BK243" s="550" t="n"/>
      <c r="BM243" s="493" t="n"/>
      <c r="BN243" s="493" t="n"/>
      <c r="BO243" s="493" t="n"/>
      <c r="BP243" s="493" t="n"/>
      <c r="BQ243" s="493" t="n"/>
      <c r="BR243" s="493" t="n"/>
      <c r="BS243" s="493" t="n"/>
      <c r="BT243" s="493" t="n"/>
      <c r="BU243" s="493" t="n"/>
      <c r="BV243" s="493" t="n"/>
      <c r="BW243" s="493" t="n"/>
      <c r="BX243" s="493" t="n"/>
      <c r="BY243" s="493" t="n"/>
      <c r="BZ243" s="493" t="n"/>
      <c r="CA243" s="493" t="n"/>
      <c r="CB243" s="493" t="n"/>
      <c r="CC243" s="493" t="n"/>
      <c r="CD243" s="493" t="n"/>
      <c r="CE243" s="493" t="n"/>
      <c r="CF243" s="493" t="n"/>
      <c r="CG243" s="493" t="n"/>
      <c r="CH243" s="493" t="n"/>
      <c r="CI243" s="493" t="n"/>
      <c r="CJ243" s="493" t="n"/>
      <c r="CK243" s="493" t="n"/>
      <c r="CL243" s="493" t="n"/>
    </row>
    <row r="244" customFormat="1" s="230">
      <c r="E244" s="234" t="n"/>
      <c r="F244" s="492" t="n"/>
      <c r="G244" s="492" t="n"/>
      <c r="H244" s="493" t="n"/>
      <c r="I244" s="492" t="n"/>
      <c r="J244" s="492" t="n"/>
      <c r="K244" s="492" t="n"/>
      <c r="L244" s="492" t="n"/>
      <c r="M244" s="493" t="n"/>
      <c r="N244" s="492" t="n"/>
      <c r="O244" s="492" t="n"/>
      <c r="P244" s="492" t="n"/>
      <c r="Q244" s="492" t="n"/>
      <c r="R244" s="492" t="n"/>
      <c r="S244" s="492" t="n"/>
      <c r="T244" s="492" t="n"/>
      <c r="U244" s="492" t="n"/>
      <c r="V244" s="492" t="n"/>
      <c r="W244" s="492" t="n"/>
      <c r="X244" s="492" t="n"/>
      <c r="Y244" s="492" t="n"/>
      <c r="Z244" s="492" t="n"/>
      <c r="AA244" s="492" t="n"/>
      <c r="AB244" s="492" t="n"/>
      <c r="AC244" s="492" t="n"/>
      <c r="AD244" s="492" t="n"/>
      <c r="AE244" s="493" t="n"/>
      <c r="AF244" s="492" t="n"/>
      <c r="AG244" s="492" t="n"/>
      <c r="AH244" s="492" t="n"/>
      <c r="AI244" s="492" t="n"/>
      <c r="AJ244" s="493" t="n"/>
      <c r="AK244" s="492" t="n"/>
      <c r="AL244" s="492" t="n"/>
      <c r="AM244" s="492" t="n"/>
      <c r="AN244" s="492" t="n"/>
      <c r="AO244" s="492" t="n"/>
      <c r="AP244" s="492" t="n"/>
      <c r="AQ244" s="492" t="n"/>
      <c r="AR244" s="492" t="n"/>
      <c r="AS244" s="492" t="n"/>
      <c r="AT244" s="492" t="n"/>
      <c r="AU244" s="493" t="n"/>
      <c r="AV244" s="492" t="n"/>
      <c r="AW244" s="492" t="n"/>
      <c r="AX244" s="492" t="n"/>
      <c r="AY244" s="492" t="n"/>
      <c r="AZ244" s="492" t="n"/>
      <c r="BA244" s="493" t="n"/>
      <c r="BB244" s="492" t="n"/>
      <c r="BC244" s="492" t="n"/>
      <c r="BD244" s="492" t="n"/>
      <c r="BE244" s="492" t="n"/>
      <c r="BF244" s="493" t="n"/>
      <c r="BG244" s="493" t="n"/>
      <c r="BH244" s="495" t="n"/>
      <c r="BI244" s="496" t="n"/>
      <c r="BJ244" s="496" t="n"/>
      <c r="BK244" s="550" t="n"/>
      <c r="BM244" s="493" t="n"/>
      <c r="BN244" s="493" t="n"/>
      <c r="BO244" s="493" t="n"/>
      <c r="BP244" s="493" t="n"/>
      <c r="BQ244" s="493" t="n"/>
      <c r="BR244" s="493" t="n"/>
      <c r="BS244" s="493" t="n"/>
      <c r="BT244" s="493" t="n"/>
      <c r="BU244" s="493" t="n"/>
      <c r="BV244" s="493" t="n"/>
      <c r="BW244" s="493" t="n"/>
      <c r="BX244" s="493" t="n"/>
      <c r="BY244" s="493" t="n"/>
      <c r="BZ244" s="493" t="n"/>
      <c r="CA244" s="493" t="n"/>
      <c r="CB244" s="493" t="n"/>
      <c r="CC244" s="493" t="n"/>
      <c r="CD244" s="493" t="n"/>
      <c r="CE244" s="493" t="n"/>
      <c r="CF244" s="493" t="n"/>
      <c r="CG244" s="493" t="n"/>
      <c r="CH244" s="493" t="n"/>
      <c r="CI244" s="493" t="n"/>
      <c r="CJ244" s="493" t="n"/>
      <c r="CK244" s="493" t="n"/>
      <c r="CL244" s="493" t="n"/>
    </row>
    <row r="245" customFormat="1" s="230">
      <c r="E245" s="234" t="n"/>
      <c r="F245" s="492" t="n"/>
      <c r="G245" s="492" t="n"/>
      <c r="H245" s="493" t="n"/>
      <c r="I245" s="492" t="n"/>
      <c r="J245" s="492" t="n"/>
      <c r="K245" s="492" t="n"/>
      <c r="L245" s="492" t="n"/>
      <c r="M245" s="493" t="n"/>
      <c r="N245" s="492" t="n"/>
      <c r="O245" s="492" t="n"/>
      <c r="P245" s="492" t="n"/>
      <c r="Q245" s="492" t="n"/>
      <c r="R245" s="492" t="n"/>
      <c r="S245" s="492" t="n"/>
      <c r="T245" s="492" t="n"/>
      <c r="U245" s="492" t="n"/>
      <c r="V245" s="492" t="n"/>
      <c r="W245" s="492" t="n"/>
      <c r="X245" s="492" t="n"/>
      <c r="Y245" s="492" t="n"/>
      <c r="Z245" s="492" t="n"/>
      <c r="AA245" s="492" t="n"/>
      <c r="AB245" s="492" t="n"/>
      <c r="AC245" s="492" t="n"/>
      <c r="AD245" s="492" t="n"/>
      <c r="AE245" s="493" t="n"/>
      <c r="AF245" s="492" t="n"/>
      <c r="AG245" s="492" t="n"/>
      <c r="AH245" s="492" t="n"/>
      <c r="AI245" s="492" t="n"/>
      <c r="AJ245" s="493" t="n"/>
      <c r="AK245" s="492" t="n"/>
      <c r="AL245" s="492" t="n"/>
      <c r="AM245" s="492" t="n"/>
      <c r="AN245" s="492" t="n"/>
      <c r="AO245" s="492" t="n"/>
      <c r="AP245" s="492" t="n"/>
      <c r="AQ245" s="492" t="n"/>
      <c r="AR245" s="492" t="n"/>
      <c r="AS245" s="492" t="n"/>
      <c r="AT245" s="492" t="n"/>
      <c r="AU245" s="493" t="n"/>
      <c r="AV245" s="492" t="n"/>
      <c r="AW245" s="492" t="n"/>
      <c r="AX245" s="492" t="n"/>
      <c r="AY245" s="492" t="n"/>
      <c r="AZ245" s="492" t="n"/>
      <c r="BA245" s="493" t="n"/>
      <c r="BB245" s="492" t="n"/>
      <c r="BC245" s="492" t="n"/>
      <c r="BD245" s="492" t="n"/>
      <c r="BE245" s="492" t="n"/>
      <c r="BF245" s="493" t="n"/>
      <c r="BG245" s="493" t="n"/>
      <c r="BH245" s="495" t="n"/>
      <c r="BI245" s="496" t="n"/>
      <c r="BJ245" s="496" t="n"/>
      <c r="BK245" s="550" t="n"/>
      <c r="BM245" s="493" t="n"/>
      <c r="BN245" s="493" t="n"/>
      <c r="BO245" s="493" t="n"/>
      <c r="BP245" s="493" t="n"/>
      <c r="BQ245" s="493" t="n"/>
      <c r="BR245" s="493" t="n"/>
      <c r="BS245" s="493" t="n"/>
      <c r="BT245" s="493" t="n"/>
      <c r="BU245" s="493" t="n"/>
      <c r="BV245" s="493" t="n"/>
      <c r="BW245" s="493" t="n"/>
      <c r="BX245" s="493" t="n"/>
      <c r="BY245" s="493" t="n"/>
      <c r="BZ245" s="493" t="n"/>
      <c r="CA245" s="493" t="n"/>
      <c r="CB245" s="493" t="n"/>
      <c r="CC245" s="493" t="n"/>
      <c r="CD245" s="493" t="n"/>
      <c r="CE245" s="493" t="n"/>
      <c r="CF245" s="493" t="n"/>
      <c r="CG245" s="493" t="n"/>
      <c r="CH245" s="493" t="n"/>
      <c r="CI245" s="493" t="n"/>
      <c r="CJ245" s="493" t="n"/>
      <c r="CK245" s="493" t="n"/>
      <c r="CL245" s="493" t="n"/>
    </row>
    <row r="246" customFormat="1" s="230">
      <c r="E246" s="234" t="n"/>
      <c r="F246" s="492" t="n"/>
      <c r="G246" s="492" t="n"/>
      <c r="H246" s="493" t="n"/>
      <c r="I246" s="492" t="n"/>
      <c r="J246" s="492" t="n"/>
      <c r="K246" s="492" t="n"/>
      <c r="L246" s="492" t="n"/>
      <c r="M246" s="493" t="n"/>
      <c r="N246" s="492" t="n"/>
      <c r="O246" s="492" t="n"/>
      <c r="P246" s="492" t="n"/>
      <c r="Q246" s="492" t="n"/>
      <c r="R246" s="492" t="n"/>
      <c r="S246" s="492" t="n"/>
      <c r="T246" s="492" t="n"/>
      <c r="U246" s="492" t="n"/>
      <c r="V246" s="492" t="n"/>
      <c r="W246" s="492" t="n"/>
      <c r="X246" s="492" t="n"/>
      <c r="Y246" s="492" t="n"/>
      <c r="Z246" s="492" t="n"/>
      <c r="AA246" s="492" t="n"/>
      <c r="AB246" s="492" t="n"/>
      <c r="AC246" s="492" t="n"/>
      <c r="AD246" s="492" t="n"/>
      <c r="AE246" s="493" t="n"/>
      <c r="AF246" s="492" t="n"/>
      <c r="AG246" s="492" t="n"/>
      <c r="AH246" s="492" t="n"/>
      <c r="AI246" s="492" t="n"/>
      <c r="AJ246" s="493" t="n"/>
      <c r="AK246" s="492" t="n"/>
      <c r="AL246" s="492" t="n"/>
      <c r="AM246" s="492" t="n"/>
      <c r="AN246" s="492" t="n"/>
      <c r="AO246" s="492" t="n"/>
      <c r="AP246" s="492" t="n"/>
      <c r="AQ246" s="492" t="n"/>
      <c r="AR246" s="492" t="n"/>
      <c r="AS246" s="492" t="n"/>
      <c r="AT246" s="492" t="n"/>
      <c r="AU246" s="493" t="n"/>
      <c r="AV246" s="492" t="n"/>
      <c r="AW246" s="492" t="n"/>
      <c r="AX246" s="492" t="n"/>
      <c r="AY246" s="492" t="n"/>
      <c r="AZ246" s="492" t="n"/>
      <c r="BA246" s="493" t="n"/>
      <c r="BB246" s="492" t="n"/>
      <c r="BC246" s="492" t="n"/>
      <c r="BD246" s="492" t="n"/>
      <c r="BE246" s="492" t="n"/>
      <c r="BF246" s="493" t="n"/>
      <c r="BG246" s="493" t="n"/>
      <c r="BH246" s="495" t="n"/>
      <c r="BI246" s="496" t="n"/>
      <c r="BJ246" s="496" t="n"/>
      <c r="BK246" s="550" t="n"/>
      <c r="BM246" s="493" t="n"/>
      <c r="BN246" s="493" t="n"/>
      <c r="BO246" s="493" t="n"/>
      <c r="BP246" s="493" t="n"/>
      <c r="BQ246" s="493" t="n"/>
      <c r="BR246" s="493" t="n"/>
      <c r="BS246" s="493" t="n"/>
      <c r="BT246" s="493" t="n"/>
      <c r="BU246" s="493" t="n"/>
      <c r="BV246" s="493" t="n"/>
      <c r="BW246" s="493" t="n"/>
      <c r="BX246" s="493" t="n"/>
      <c r="BY246" s="493" t="n"/>
      <c r="BZ246" s="493" t="n"/>
      <c r="CA246" s="493" t="n"/>
      <c r="CB246" s="493" t="n"/>
      <c r="CC246" s="493" t="n"/>
      <c r="CD246" s="493" t="n"/>
      <c r="CE246" s="493" t="n"/>
      <c r="CF246" s="493" t="n"/>
      <c r="CG246" s="493" t="n"/>
      <c r="CH246" s="493" t="n"/>
      <c r="CI246" s="493" t="n"/>
      <c r="CJ246" s="493" t="n"/>
      <c r="CK246" s="493" t="n"/>
      <c r="CL246" s="493" t="n"/>
    </row>
    <row r="247" customFormat="1" s="230">
      <c r="E247" s="234" t="n"/>
      <c r="F247" s="492" t="n"/>
      <c r="G247" s="492" t="n"/>
      <c r="H247" s="493" t="n"/>
      <c r="I247" s="492" t="n"/>
      <c r="J247" s="492" t="n"/>
      <c r="K247" s="492" t="n"/>
      <c r="L247" s="492" t="n"/>
      <c r="M247" s="493" t="n"/>
      <c r="N247" s="492" t="n"/>
      <c r="O247" s="492" t="n"/>
      <c r="P247" s="492" t="n"/>
      <c r="Q247" s="492" t="n"/>
      <c r="R247" s="492" t="n"/>
      <c r="S247" s="492" t="n"/>
      <c r="T247" s="492" t="n"/>
      <c r="U247" s="492" t="n"/>
      <c r="V247" s="492" t="n"/>
      <c r="W247" s="492" t="n"/>
      <c r="X247" s="492" t="n"/>
      <c r="Y247" s="492" t="n"/>
      <c r="Z247" s="492" t="n"/>
      <c r="AA247" s="492" t="n"/>
      <c r="AB247" s="492" t="n"/>
      <c r="AC247" s="492" t="n"/>
      <c r="AD247" s="492" t="n"/>
      <c r="AE247" s="493" t="n"/>
      <c r="AF247" s="492" t="n"/>
      <c r="AG247" s="492" t="n"/>
      <c r="AH247" s="492" t="n"/>
      <c r="AI247" s="492" t="n"/>
      <c r="AJ247" s="493" t="n"/>
      <c r="AK247" s="492" t="n"/>
      <c r="AL247" s="492" t="n"/>
      <c r="AM247" s="492" t="n"/>
      <c r="AN247" s="492" t="n"/>
      <c r="AO247" s="492" t="n"/>
      <c r="AP247" s="492" t="n"/>
      <c r="AQ247" s="492" t="n"/>
      <c r="AR247" s="492" t="n"/>
      <c r="AS247" s="492" t="n"/>
      <c r="AT247" s="492" t="n"/>
      <c r="AU247" s="493" t="n"/>
      <c r="AV247" s="492" t="n"/>
      <c r="AW247" s="492" t="n"/>
      <c r="AX247" s="492" t="n"/>
      <c r="AY247" s="492" t="n"/>
      <c r="AZ247" s="492" t="n"/>
      <c r="BA247" s="493" t="n"/>
      <c r="BB247" s="492" t="n"/>
      <c r="BC247" s="492" t="n"/>
      <c r="BD247" s="492" t="n"/>
      <c r="BE247" s="492" t="n"/>
      <c r="BF247" s="493" t="n"/>
      <c r="BG247" s="493" t="n"/>
      <c r="BH247" s="495" t="n"/>
      <c r="BI247" s="496" t="n"/>
      <c r="BJ247" s="496" t="n"/>
      <c r="BK247" s="550" t="n"/>
      <c r="BM247" s="493" t="n"/>
      <c r="BN247" s="493" t="n"/>
      <c r="BO247" s="493" t="n"/>
      <c r="BP247" s="493" t="n"/>
      <c r="BQ247" s="493" t="n"/>
      <c r="BR247" s="493" t="n"/>
      <c r="BS247" s="493" t="n"/>
      <c r="BT247" s="493" t="n"/>
      <c r="BU247" s="493" t="n"/>
      <c r="BV247" s="493" t="n"/>
      <c r="BW247" s="493" t="n"/>
      <c r="BX247" s="493" t="n"/>
      <c r="BY247" s="493" t="n"/>
      <c r="BZ247" s="493" t="n"/>
      <c r="CA247" s="493" t="n"/>
      <c r="CB247" s="493" t="n"/>
      <c r="CC247" s="493" t="n"/>
      <c r="CD247" s="493" t="n"/>
      <c r="CE247" s="493" t="n"/>
      <c r="CF247" s="493" t="n"/>
      <c r="CG247" s="493" t="n"/>
      <c r="CH247" s="493" t="n"/>
      <c r="CI247" s="493" t="n"/>
      <c r="CJ247" s="493" t="n"/>
      <c r="CK247" s="493" t="n"/>
      <c r="CL247" s="493" t="n"/>
    </row>
    <row r="248" customFormat="1" s="230">
      <c r="E248" s="234" t="n"/>
      <c r="F248" s="492" t="n"/>
      <c r="G248" s="492" t="n"/>
      <c r="H248" s="493" t="n"/>
      <c r="I248" s="492" t="n"/>
      <c r="J248" s="492" t="n"/>
      <c r="K248" s="492" t="n"/>
      <c r="L248" s="492" t="n"/>
      <c r="M248" s="493" t="n"/>
      <c r="N248" s="492" t="n"/>
      <c r="O248" s="492" t="n"/>
      <c r="P248" s="492" t="n"/>
      <c r="Q248" s="492" t="n"/>
      <c r="R248" s="492" t="n"/>
      <c r="S248" s="492" t="n"/>
      <c r="T248" s="492" t="n"/>
      <c r="U248" s="492" t="n"/>
      <c r="V248" s="492" t="n"/>
      <c r="W248" s="492" t="n"/>
      <c r="X248" s="492" t="n"/>
      <c r="Y248" s="492" t="n"/>
      <c r="Z248" s="492" t="n"/>
      <c r="AA248" s="492" t="n"/>
      <c r="AB248" s="492" t="n"/>
      <c r="AC248" s="492" t="n"/>
      <c r="AD248" s="492" t="n"/>
      <c r="AE248" s="493" t="n"/>
      <c r="AF248" s="492" t="n"/>
      <c r="AG248" s="492" t="n"/>
      <c r="AH248" s="492" t="n"/>
      <c r="AI248" s="492" t="n"/>
      <c r="AJ248" s="493" t="n"/>
      <c r="AK248" s="492" t="n"/>
      <c r="AL248" s="492" t="n"/>
      <c r="AM248" s="492" t="n"/>
      <c r="AN248" s="492" t="n"/>
      <c r="AO248" s="492" t="n"/>
      <c r="AP248" s="492" t="n"/>
      <c r="AQ248" s="492" t="n"/>
      <c r="AR248" s="492" t="n"/>
      <c r="AS248" s="492" t="n"/>
      <c r="AT248" s="492" t="n"/>
      <c r="AU248" s="493" t="n"/>
      <c r="AV248" s="492" t="n"/>
      <c r="AW248" s="492" t="n"/>
      <c r="AX248" s="492" t="n"/>
      <c r="AY248" s="492" t="n"/>
      <c r="AZ248" s="492" t="n"/>
      <c r="BA248" s="493" t="n"/>
      <c r="BB248" s="492" t="n"/>
      <c r="BC248" s="492" t="n"/>
      <c r="BD248" s="492" t="n"/>
      <c r="BE248" s="492" t="n"/>
      <c r="BF248" s="493" t="n"/>
      <c r="BG248" s="493" t="n"/>
      <c r="BH248" s="495" t="n"/>
      <c r="BI248" s="496" t="n"/>
      <c r="BJ248" s="496" t="n"/>
      <c r="BK248" s="550" t="n"/>
      <c r="BM248" s="493" t="n"/>
      <c r="BN248" s="493" t="n"/>
      <c r="BO248" s="493" t="n"/>
      <c r="BP248" s="493" t="n"/>
      <c r="BQ248" s="493" t="n"/>
      <c r="BR248" s="493" t="n"/>
      <c r="BS248" s="493" t="n"/>
      <c r="BT248" s="493" t="n"/>
      <c r="BU248" s="493" t="n"/>
      <c r="BV248" s="493" t="n"/>
      <c r="BW248" s="493" t="n"/>
      <c r="BX248" s="493" t="n"/>
      <c r="BY248" s="493" t="n"/>
      <c r="BZ248" s="493" t="n"/>
      <c r="CA248" s="493" t="n"/>
      <c r="CB248" s="493" t="n"/>
      <c r="CC248" s="493" t="n"/>
      <c r="CD248" s="493" t="n"/>
      <c r="CE248" s="493" t="n"/>
      <c r="CF248" s="493" t="n"/>
      <c r="CG248" s="493" t="n"/>
      <c r="CH248" s="493" t="n"/>
      <c r="CI248" s="493" t="n"/>
      <c r="CJ248" s="493" t="n"/>
      <c r="CK248" s="493" t="n"/>
      <c r="CL248" s="493" t="n"/>
    </row>
    <row r="249" customFormat="1" s="230">
      <c r="E249" s="234" t="n"/>
      <c r="F249" s="492" t="n"/>
      <c r="G249" s="492" t="n"/>
      <c r="H249" s="493" t="n"/>
      <c r="I249" s="492" t="n"/>
      <c r="J249" s="492" t="n"/>
      <c r="K249" s="492" t="n"/>
      <c r="L249" s="492" t="n"/>
      <c r="M249" s="493" t="n"/>
      <c r="N249" s="492" t="n"/>
      <c r="O249" s="492" t="n"/>
      <c r="P249" s="492" t="n"/>
      <c r="Q249" s="492" t="n"/>
      <c r="R249" s="492" t="n"/>
      <c r="S249" s="492" t="n"/>
      <c r="T249" s="492" t="n"/>
      <c r="U249" s="492" t="n"/>
      <c r="V249" s="492" t="n"/>
      <c r="W249" s="492" t="n"/>
      <c r="X249" s="492" t="n"/>
      <c r="Y249" s="492" t="n"/>
      <c r="Z249" s="492" t="n"/>
      <c r="AA249" s="492" t="n"/>
      <c r="AB249" s="492" t="n"/>
      <c r="AC249" s="492" t="n"/>
      <c r="AD249" s="492" t="n"/>
      <c r="AE249" s="493" t="n"/>
      <c r="AF249" s="492" t="n"/>
      <c r="AG249" s="492" t="n"/>
      <c r="AH249" s="492" t="n"/>
      <c r="AI249" s="492" t="n"/>
      <c r="AJ249" s="493" t="n"/>
      <c r="AK249" s="492" t="n"/>
      <c r="AL249" s="492" t="n"/>
      <c r="AM249" s="492" t="n"/>
      <c r="AN249" s="492" t="n"/>
      <c r="AO249" s="492" t="n"/>
      <c r="AP249" s="492" t="n"/>
      <c r="AQ249" s="492" t="n"/>
      <c r="AR249" s="492" t="n"/>
      <c r="AS249" s="492" t="n"/>
      <c r="AT249" s="492" t="n"/>
      <c r="AU249" s="493" t="n"/>
      <c r="AV249" s="492" t="n"/>
      <c r="AW249" s="492" t="n"/>
      <c r="AX249" s="492" t="n"/>
      <c r="AY249" s="492" t="n"/>
      <c r="AZ249" s="492" t="n"/>
      <c r="BA249" s="493" t="n"/>
      <c r="BB249" s="492" t="n"/>
      <c r="BC249" s="492" t="n"/>
      <c r="BD249" s="492" t="n"/>
      <c r="BE249" s="492" t="n"/>
      <c r="BF249" s="493" t="n"/>
      <c r="BG249" s="493" t="n"/>
      <c r="BH249" s="495" t="n"/>
      <c r="BI249" s="496" t="n"/>
      <c r="BJ249" s="496" t="n"/>
      <c r="BK249" s="550" t="n"/>
      <c r="BM249" s="493" t="n"/>
      <c r="BN249" s="493" t="n"/>
      <c r="BO249" s="493" t="n"/>
      <c r="BP249" s="493" t="n"/>
      <c r="BQ249" s="493" t="n"/>
      <c r="BR249" s="493" t="n"/>
      <c r="BS249" s="493" t="n"/>
      <c r="BT249" s="493" t="n"/>
      <c r="BU249" s="493" t="n"/>
      <c r="BV249" s="493" t="n"/>
      <c r="BW249" s="493" t="n"/>
      <c r="BX249" s="493" t="n"/>
      <c r="BY249" s="493" t="n"/>
      <c r="BZ249" s="493" t="n"/>
      <c r="CA249" s="493" t="n"/>
      <c r="CB249" s="493" t="n"/>
      <c r="CC249" s="493" t="n"/>
      <c r="CD249" s="493" t="n"/>
      <c r="CE249" s="493" t="n"/>
      <c r="CF249" s="493" t="n"/>
      <c r="CG249" s="493" t="n"/>
      <c r="CH249" s="493" t="n"/>
      <c r="CI249" s="493" t="n"/>
      <c r="CJ249" s="493" t="n"/>
      <c r="CK249" s="493" t="n"/>
      <c r="CL249" s="493" t="n"/>
    </row>
    <row r="250" customFormat="1" s="230">
      <c r="E250" s="234" t="n"/>
      <c r="F250" s="492" t="n"/>
      <c r="G250" s="492" t="n"/>
      <c r="H250" s="493" t="n"/>
      <c r="I250" s="492" t="n"/>
      <c r="J250" s="492" t="n"/>
      <c r="K250" s="492" t="n"/>
      <c r="L250" s="492" t="n"/>
      <c r="M250" s="493" t="n"/>
      <c r="N250" s="492" t="n"/>
      <c r="O250" s="492" t="n"/>
      <c r="P250" s="492" t="n"/>
      <c r="Q250" s="492" t="n"/>
      <c r="R250" s="492" t="n"/>
      <c r="S250" s="492" t="n"/>
      <c r="T250" s="492" t="n"/>
      <c r="U250" s="492" t="n"/>
      <c r="V250" s="492" t="n"/>
      <c r="W250" s="492" t="n"/>
      <c r="X250" s="492" t="n"/>
      <c r="Y250" s="492" t="n"/>
      <c r="Z250" s="492" t="n"/>
      <c r="AA250" s="492" t="n"/>
      <c r="AB250" s="492" t="n"/>
      <c r="AC250" s="492" t="n"/>
      <c r="AD250" s="492" t="n"/>
      <c r="AE250" s="493" t="n"/>
      <c r="AF250" s="492" t="n"/>
      <c r="AG250" s="492" t="n"/>
      <c r="AH250" s="492" t="n"/>
      <c r="AI250" s="492" t="n"/>
      <c r="AJ250" s="493" t="n"/>
      <c r="AK250" s="492" t="n"/>
      <c r="AL250" s="492" t="n"/>
      <c r="AM250" s="492" t="n"/>
      <c r="AN250" s="492" t="n"/>
      <c r="AO250" s="492" t="n"/>
      <c r="AP250" s="492" t="n"/>
      <c r="AQ250" s="492" t="n"/>
      <c r="AR250" s="492" t="n"/>
      <c r="AS250" s="492" t="n"/>
      <c r="AT250" s="492" t="n"/>
      <c r="AU250" s="493" t="n"/>
      <c r="AV250" s="492" t="n"/>
      <c r="AW250" s="492" t="n"/>
      <c r="AX250" s="492" t="n"/>
      <c r="AY250" s="492" t="n"/>
      <c r="AZ250" s="492" t="n"/>
      <c r="BA250" s="493" t="n"/>
      <c r="BB250" s="492" t="n"/>
      <c r="BC250" s="492" t="n"/>
      <c r="BD250" s="492" t="n"/>
      <c r="BE250" s="492" t="n"/>
      <c r="BF250" s="493" t="n"/>
      <c r="BG250" s="493" t="n"/>
      <c r="BH250" s="495" t="n"/>
      <c r="BI250" s="496" t="n"/>
      <c r="BJ250" s="496" t="n"/>
      <c r="BK250" s="550" t="n"/>
      <c r="BM250" s="493" t="n"/>
      <c r="BN250" s="493" t="n"/>
      <c r="BO250" s="493" t="n"/>
      <c r="BP250" s="493" t="n"/>
      <c r="BQ250" s="493" t="n"/>
      <c r="BR250" s="493" t="n"/>
      <c r="BS250" s="493" t="n"/>
      <c r="BT250" s="493" t="n"/>
      <c r="BU250" s="493" t="n"/>
      <c r="BV250" s="493" t="n"/>
      <c r="BW250" s="493" t="n"/>
      <c r="BX250" s="493" t="n"/>
      <c r="BY250" s="493" t="n"/>
      <c r="BZ250" s="493" t="n"/>
      <c r="CA250" s="493" t="n"/>
      <c r="CB250" s="493" t="n"/>
      <c r="CC250" s="493" t="n"/>
      <c r="CD250" s="493" t="n"/>
      <c r="CE250" s="493" t="n"/>
      <c r="CF250" s="493" t="n"/>
      <c r="CG250" s="493" t="n"/>
      <c r="CH250" s="493" t="n"/>
      <c r="CI250" s="493" t="n"/>
      <c r="CJ250" s="493" t="n"/>
      <c r="CK250" s="493" t="n"/>
      <c r="CL250" s="493" t="n"/>
    </row>
    <row r="251" customFormat="1" s="230">
      <c r="E251" s="234" t="n"/>
      <c r="F251" s="492" t="n"/>
      <c r="G251" s="492" t="n"/>
      <c r="H251" s="493" t="n"/>
      <c r="I251" s="492" t="n"/>
      <c r="J251" s="492" t="n"/>
      <c r="K251" s="492" t="n"/>
      <c r="L251" s="492" t="n"/>
      <c r="M251" s="493" t="n"/>
      <c r="N251" s="492" t="n"/>
      <c r="O251" s="492" t="n"/>
      <c r="P251" s="492" t="n"/>
      <c r="Q251" s="492" t="n"/>
      <c r="R251" s="492" t="n"/>
      <c r="S251" s="492" t="n"/>
      <c r="T251" s="492" t="n"/>
      <c r="U251" s="492" t="n"/>
      <c r="V251" s="492" t="n"/>
      <c r="W251" s="492" t="n"/>
      <c r="X251" s="492" t="n"/>
      <c r="Y251" s="492" t="n"/>
      <c r="Z251" s="492" t="n"/>
      <c r="AA251" s="492" t="n"/>
      <c r="AB251" s="492" t="n"/>
      <c r="AC251" s="492" t="n"/>
      <c r="AD251" s="492" t="n"/>
      <c r="AE251" s="493" t="n"/>
      <c r="AF251" s="492" t="n"/>
      <c r="AG251" s="492" t="n"/>
      <c r="AH251" s="492" t="n"/>
      <c r="AI251" s="492" t="n"/>
      <c r="AJ251" s="493" t="n"/>
      <c r="AK251" s="492" t="n"/>
      <c r="AL251" s="492" t="n"/>
      <c r="AM251" s="492" t="n"/>
      <c r="AN251" s="492" t="n"/>
      <c r="AO251" s="492" t="n"/>
      <c r="AP251" s="492" t="n"/>
      <c r="AQ251" s="492" t="n"/>
      <c r="AR251" s="492" t="n"/>
      <c r="AS251" s="492" t="n"/>
      <c r="AT251" s="492" t="n"/>
      <c r="AU251" s="493" t="n"/>
      <c r="AV251" s="492" t="n"/>
      <c r="AW251" s="492" t="n"/>
      <c r="AX251" s="492" t="n"/>
      <c r="AY251" s="492" t="n"/>
      <c r="AZ251" s="492" t="n"/>
      <c r="BA251" s="493" t="n"/>
      <c r="BB251" s="492" t="n"/>
      <c r="BC251" s="492" t="n"/>
      <c r="BD251" s="492" t="n"/>
      <c r="BE251" s="492" t="n"/>
      <c r="BF251" s="493" t="n"/>
      <c r="BG251" s="493" t="n"/>
      <c r="BH251" s="495" t="n"/>
      <c r="BI251" s="496" t="n"/>
      <c r="BJ251" s="496" t="n"/>
      <c r="BK251" s="550" t="n"/>
      <c r="BM251" s="493" t="n"/>
      <c r="BN251" s="493" t="n"/>
      <c r="BO251" s="493" t="n"/>
      <c r="BP251" s="493" t="n"/>
      <c r="BQ251" s="493" t="n"/>
      <c r="BR251" s="493" t="n"/>
      <c r="BS251" s="493" t="n"/>
      <c r="BT251" s="493" t="n"/>
      <c r="BU251" s="493" t="n"/>
      <c r="BV251" s="493" t="n"/>
      <c r="BW251" s="493" t="n"/>
      <c r="BX251" s="493" t="n"/>
      <c r="BY251" s="493" t="n"/>
      <c r="BZ251" s="493" t="n"/>
      <c r="CA251" s="493" t="n"/>
      <c r="CB251" s="493" t="n"/>
      <c r="CC251" s="493" t="n"/>
      <c r="CD251" s="493" t="n"/>
      <c r="CE251" s="493" t="n"/>
      <c r="CF251" s="493" t="n"/>
      <c r="CG251" s="493" t="n"/>
      <c r="CH251" s="493" t="n"/>
      <c r="CI251" s="493" t="n"/>
      <c r="CJ251" s="493" t="n"/>
      <c r="CK251" s="493" t="n"/>
      <c r="CL251" s="493" t="n"/>
    </row>
    <row r="252" customFormat="1" s="230">
      <c r="E252" s="234" t="n"/>
      <c r="F252" s="492" t="n"/>
      <c r="G252" s="492" t="n"/>
      <c r="H252" s="493" t="n"/>
      <c r="I252" s="492" t="n"/>
      <c r="J252" s="492" t="n"/>
      <c r="K252" s="492" t="n"/>
      <c r="L252" s="492" t="n"/>
      <c r="M252" s="493" t="n"/>
      <c r="N252" s="492" t="n"/>
      <c r="O252" s="492" t="n"/>
      <c r="P252" s="492" t="n"/>
      <c r="Q252" s="492" t="n"/>
      <c r="R252" s="492" t="n"/>
      <c r="S252" s="492" t="n"/>
      <c r="T252" s="492" t="n"/>
      <c r="U252" s="492" t="n"/>
      <c r="V252" s="492" t="n"/>
      <c r="W252" s="492" t="n"/>
      <c r="X252" s="492" t="n"/>
      <c r="Y252" s="492" t="n"/>
      <c r="Z252" s="492" t="n"/>
      <c r="AA252" s="492" t="n"/>
      <c r="AB252" s="492" t="n"/>
      <c r="AC252" s="492" t="n"/>
      <c r="AD252" s="492" t="n"/>
      <c r="AE252" s="493" t="n"/>
      <c r="AF252" s="492" t="n"/>
      <c r="AG252" s="492" t="n"/>
      <c r="AH252" s="492" t="n"/>
      <c r="AI252" s="492" t="n"/>
      <c r="AJ252" s="493" t="n"/>
      <c r="AK252" s="492" t="n"/>
      <c r="AL252" s="492" t="n"/>
      <c r="AM252" s="492" t="n"/>
      <c r="AN252" s="492" t="n"/>
      <c r="AO252" s="492" t="n"/>
      <c r="AP252" s="492" t="n"/>
      <c r="AQ252" s="492" t="n"/>
      <c r="AR252" s="492" t="n"/>
      <c r="AS252" s="492" t="n"/>
      <c r="AT252" s="492" t="n"/>
      <c r="AU252" s="493" t="n"/>
      <c r="AV252" s="492" t="n"/>
      <c r="AW252" s="492" t="n"/>
      <c r="AX252" s="492" t="n"/>
      <c r="AY252" s="492" t="n"/>
      <c r="AZ252" s="492" t="n"/>
      <c r="BA252" s="493" t="n"/>
      <c r="BB252" s="492" t="n"/>
      <c r="BC252" s="492" t="n"/>
      <c r="BD252" s="492" t="n"/>
      <c r="BE252" s="492" t="n"/>
      <c r="BF252" s="493" t="n"/>
      <c r="BG252" s="493" t="n"/>
      <c r="BH252" s="495" t="n"/>
      <c r="BI252" s="496" t="n"/>
      <c r="BJ252" s="496" t="n"/>
      <c r="BK252" s="550" t="n"/>
      <c r="BM252" s="493" t="n"/>
      <c r="BN252" s="493" t="n"/>
      <c r="BO252" s="493" t="n"/>
      <c r="BP252" s="493" t="n"/>
      <c r="BQ252" s="493" t="n"/>
      <c r="BR252" s="493" t="n"/>
      <c r="BS252" s="493" t="n"/>
      <c r="BT252" s="493" t="n"/>
      <c r="BU252" s="493" t="n"/>
      <c r="BV252" s="493" t="n"/>
      <c r="BW252" s="493" t="n"/>
      <c r="BX252" s="493" t="n"/>
      <c r="BY252" s="493" t="n"/>
      <c r="BZ252" s="493" t="n"/>
      <c r="CA252" s="493" t="n"/>
      <c r="CB252" s="493" t="n"/>
      <c r="CC252" s="493" t="n"/>
      <c r="CD252" s="493" t="n"/>
      <c r="CE252" s="493" t="n"/>
      <c r="CF252" s="493" t="n"/>
      <c r="CG252" s="493" t="n"/>
      <c r="CH252" s="493" t="n"/>
      <c r="CI252" s="493" t="n"/>
      <c r="CJ252" s="493" t="n"/>
      <c r="CK252" s="493" t="n"/>
      <c r="CL252" s="493" t="n"/>
    </row>
    <row r="253" customFormat="1" s="230">
      <c r="E253" s="234" t="n"/>
      <c r="F253" s="492" t="n"/>
      <c r="G253" s="492" t="n"/>
      <c r="H253" s="493" t="n"/>
      <c r="I253" s="492" t="n"/>
      <c r="J253" s="492" t="n"/>
      <c r="K253" s="492" t="n"/>
      <c r="L253" s="492" t="n"/>
      <c r="M253" s="493" t="n"/>
      <c r="N253" s="492" t="n"/>
      <c r="O253" s="492" t="n"/>
      <c r="P253" s="492" t="n"/>
      <c r="Q253" s="492" t="n"/>
      <c r="R253" s="492" t="n"/>
      <c r="S253" s="492" t="n"/>
      <c r="T253" s="492" t="n"/>
      <c r="U253" s="492" t="n"/>
      <c r="V253" s="492" t="n"/>
      <c r="W253" s="492" t="n"/>
      <c r="X253" s="492" t="n"/>
      <c r="Y253" s="492" t="n"/>
      <c r="Z253" s="492" t="n"/>
      <c r="AA253" s="492" t="n"/>
      <c r="AB253" s="492" t="n"/>
      <c r="AC253" s="492" t="n"/>
      <c r="AD253" s="492" t="n"/>
      <c r="AE253" s="493" t="n"/>
      <c r="AF253" s="492" t="n"/>
      <c r="AG253" s="492" t="n"/>
      <c r="AH253" s="492" t="n"/>
      <c r="AI253" s="492" t="n"/>
      <c r="AJ253" s="493" t="n"/>
      <c r="AK253" s="492" t="n"/>
      <c r="AL253" s="492" t="n"/>
      <c r="AM253" s="492" t="n"/>
      <c r="AN253" s="492" t="n"/>
      <c r="AO253" s="492" t="n"/>
      <c r="AP253" s="492" t="n"/>
      <c r="AQ253" s="492" t="n"/>
      <c r="AR253" s="492" t="n"/>
      <c r="AS253" s="492" t="n"/>
      <c r="AT253" s="492" t="n"/>
      <c r="AU253" s="493" t="n"/>
      <c r="AV253" s="492" t="n"/>
      <c r="AW253" s="492" t="n"/>
      <c r="AX253" s="492" t="n"/>
      <c r="AY253" s="492" t="n"/>
      <c r="AZ253" s="492" t="n"/>
      <c r="BA253" s="493" t="n"/>
      <c r="BB253" s="492" t="n"/>
      <c r="BC253" s="492" t="n"/>
      <c r="BD253" s="492" t="n"/>
      <c r="BE253" s="492" t="n"/>
      <c r="BF253" s="493" t="n"/>
      <c r="BG253" s="493" t="n"/>
      <c r="BH253" s="495" t="n"/>
      <c r="BI253" s="496" t="n"/>
      <c r="BJ253" s="496" t="n"/>
      <c r="BK253" s="550" t="n"/>
      <c r="BM253" s="493" t="n"/>
      <c r="BN253" s="493" t="n"/>
      <c r="BO253" s="493" t="n"/>
      <c r="BP253" s="493" t="n"/>
      <c r="BQ253" s="493" t="n"/>
      <c r="BR253" s="493" t="n"/>
      <c r="BS253" s="493" t="n"/>
      <c r="BT253" s="493" t="n"/>
      <c r="BU253" s="493" t="n"/>
      <c r="BV253" s="493" t="n"/>
      <c r="BW253" s="493" t="n"/>
      <c r="BX253" s="493" t="n"/>
      <c r="BY253" s="493" t="n"/>
      <c r="BZ253" s="493" t="n"/>
      <c r="CA253" s="493" t="n"/>
      <c r="CB253" s="493" t="n"/>
      <c r="CC253" s="493" t="n"/>
      <c r="CD253" s="493" t="n"/>
      <c r="CE253" s="493" t="n"/>
      <c r="CF253" s="493" t="n"/>
      <c r="CG253" s="493" t="n"/>
      <c r="CH253" s="493" t="n"/>
      <c r="CI253" s="493" t="n"/>
      <c r="CJ253" s="493" t="n"/>
      <c r="CK253" s="493" t="n"/>
      <c r="CL253" s="493" t="n"/>
    </row>
    <row r="254" customFormat="1" s="230">
      <c r="E254" s="234" t="n"/>
      <c r="F254" s="492" t="n"/>
      <c r="G254" s="492" t="n"/>
      <c r="H254" s="493" t="n"/>
      <c r="I254" s="492" t="n"/>
      <c r="J254" s="492" t="n"/>
      <c r="K254" s="492" t="n"/>
      <c r="L254" s="492" t="n"/>
      <c r="M254" s="493" t="n"/>
      <c r="N254" s="492" t="n"/>
      <c r="O254" s="492" t="n"/>
      <c r="P254" s="492" t="n"/>
      <c r="Q254" s="492" t="n"/>
      <c r="R254" s="492" t="n"/>
      <c r="S254" s="492" t="n"/>
      <c r="T254" s="492" t="n"/>
      <c r="U254" s="492" t="n"/>
      <c r="V254" s="492" t="n"/>
      <c r="W254" s="492" t="n"/>
      <c r="X254" s="492" t="n"/>
      <c r="Y254" s="492" t="n"/>
      <c r="Z254" s="492" t="n"/>
      <c r="AA254" s="492" t="n"/>
      <c r="AB254" s="492" t="n"/>
      <c r="AC254" s="492" t="n"/>
      <c r="AD254" s="492" t="n"/>
      <c r="AE254" s="493" t="n"/>
      <c r="AF254" s="492" t="n"/>
      <c r="AG254" s="492" t="n"/>
      <c r="AH254" s="492" t="n"/>
      <c r="AI254" s="492" t="n"/>
      <c r="AJ254" s="493" t="n"/>
      <c r="AK254" s="492" t="n"/>
      <c r="AL254" s="492" t="n"/>
      <c r="AM254" s="492" t="n"/>
      <c r="AN254" s="492" t="n"/>
      <c r="AO254" s="492" t="n"/>
      <c r="AP254" s="492" t="n"/>
      <c r="AQ254" s="492" t="n"/>
      <c r="AR254" s="492" t="n"/>
      <c r="AS254" s="492" t="n"/>
      <c r="AT254" s="492" t="n"/>
      <c r="AU254" s="493" t="n"/>
      <c r="AV254" s="492" t="n"/>
      <c r="AW254" s="492" t="n"/>
      <c r="AX254" s="492" t="n"/>
      <c r="AY254" s="492" t="n"/>
      <c r="AZ254" s="492" t="n"/>
      <c r="BA254" s="493" t="n"/>
      <c r="BB254" s="492" t="n"/>
      <c r="BC254" s="492" t="n"/>
      <c r="BD254" s="492" t="n"/>
      <c r="BE254" s="492" t="n"/>
      <c r="BF254" s="493" t="n"/>
      <c r="BG254" s="493" t="n"/>
      <c r="BH254" s="495" t="n"/>
      <c r="BI254" s="496" t="n"/>
      <c r="BJ254" s="496" t="n"/>
      <c r="BK254" s="550" t="n"/>
      <c r="BM254" s="493" t="n"/>
      <c r="BN254" s="493" t="n"/>
      <c r="BO254" s="493" t="n"/>
      <c r="BP254" s="493" t="n"/>
      <c r="BQ254" s="493" t="n"/>
      <c r="BR254" s="493" t="n"/>
      <c r="BS254" s="493" t="n"/>
      <c r="BT254" s="493" t="n"/>
      <c r="BU254" s="493" t="n"/>
      <c r="BV254" s="493" t="n"/>
      <c r="BW254" s="493" t="n"/>
      <c r="BX254" s="493" t="n"/>
      <c r="BY254" s="493" t="n"/>
      <c r="BZ254" s="493" t="n"/>
      <c r="CA254" s="493" t="n"/>
      <c r="CB254" s="493" t="n"/>
      <c r="CC254" s="493" t="n"/>
      <c r="CD254" s="493" t="n"/>
      <c r="CE254" s="493" t="n"/>
      <c r="CF254" s="493" t="n"/>
      <c r="CG254" s="493" t="n"/>
      <c r="CH254" s="493" t="n"/>
      <c r="CI254" s="493" t="n"/>
      <c r="CJ254" s="493" t="n"/>
      <c r="CK254" s="493" t="n"/>
      <c r="CL254" s="493" t="n"/>
    </row>
    <row r="255" customFormat="1" s="230">
      <c r="E255" s="234" t="n"/>
      <c r="F255" s="492" t="n"/>
      <c r="G255" s="492" t="n"/>
      <c r="H255" s="493" t="n"/>
      <c r="I255" s="492" t="n"/>
      <c r="J255" s="492" t="n"/>
      <c r="K255" s="492" t="n"/>
      <c r="L255" s="492" t="n"/>
      <c r="M255" s="493" t="n"/>
      <c r="N255" s="492" t="n"/>
      <c r="O255" s="492" t="n"/>
      <c r="P255" s="492" t="n"/>
      <c r="Q255" s="492" t="n"/>
      <c r="R255" s="492" t="n"/>
      <c r="S255" s="492" t="n"/>
      <c r="T255" s="492" t="n"/>
      <c r="U255" s="492" t="n"/>
      <c r="V255" s="492" t="n"/>
      <c r="W255" s="492" t="n"/>
      <c r="X255" s="492" t="n"/>
      <c r="Y255" s="492" t="n"/>
      <c r="Z255" s="492" t="n"/>
      <c r="AA255" s="492" t="n"/>
      <c r="AB255" s="492" t="n"/>
      <c r="AC255" s="492" t="n"/>
      <c r="AD255" s="492" t="n"/>
      <c r="AE255" s="493" t="n"/>
      <c r="AF255" s="492" t="n"/>
      <c r="AG255" s="492" t="n"/>
      <c r="AH255" s="492" t="n"/>
      <c r="AI255" s="492" t="n"/>
      <c r="AJ255" s="493" t="n"/>
      <c r="AK255" s="492" t="n"/>
      <c r="AL255" s="492" t="n"/>
      <c r="AM255" s="492" t="n"/>
      <c r="AN255" s="492" t="n"/>
      <c r="AO255" s="492" t="n"/>
      <c r="AP255" s="492" t="n"/>
      <c r="AQ255" s="492" t="n"/>
      <c r="AR255" s="492" t="n"/>
      <c r="AS255" s="492" t="n"/>
      <c r="AT255" s="492" t="n"/>
      <c r="AU255" s="493" t="n"/>
      <c r="AV255" s="492" t="n"/>
      <c r="AW255" s="492" t="n"/>
      <c r="AX255" s="492" t="n"/>
      <c r="AY255" s="492" t="n"/>
      <c r="AZ255" s="492" t="n"/>
      <c r="BA255" s="493" t="n"/>
      <c r="BB255" s="492" t="n"/>
      <c r="BC255" s="492" t="n"/>
      <c r="BD255" s="492" t="n"/>
      <c r="BE255" s="492" t="n"/>
      <c r="BF255" s="493" t="n"/>
      <c r="BG255" s="493" t="n"/>
      <c r="BH255" s="495" t="n"/>
      <c r="BI255" s="496" t="n"/>
      <c r="BJ255" s="496" t="n"/>
      <c r="BK255" s="550" t="n"/>
      <c r="BM255" s="493" t="n"/>
      <c r="BN255" s="493" t="n"/>
      <c r="BO255" s="493" t="n"/>
      <c r="BP255" s="493" t="n"/>
      <c r="BQ255" s="493" t="n"/>
      <c r="BR255" s="493" t="n"/>
      <c r="BS255" s="493" t="n"/>
      <c r="BT255" s="493" t="n"/>
      <c r="BU255" s="493" t="n"/>
      <c r="BV255" s="493" t="n"/>
      <c r="BW255" s="493" t="n"/>
      <c r="BX255" s="493" t="n"/>
      <c r="BY255" s="493" t="n"/>
      <c r="BZ255" s="493" t="n"/>
      <c r="CA255" s="493" t="n"/>
      <c r="CB255" s="493" t="n"/>
      <c r="CC255" s="493" t="n"/>
      <c r="CD255" s="493" t="n"/>
      <c r="CE255" s="493" t="n"/>
      <c r="CF255" s="493" t="n"/>
      <c r="CG255" s="493" t="n"/>
      <c r="CH255" s="493" t="n"/>
      <c r="CI255" s="493" t="n"/>
      <c r="CJ255" s="493" t="n"/>
      <c r="CK255" s="493" t="n"/>
      <c r="CL255" s="493" t="n"/>
    </row>
    <row r="256" customFormat="1" s="230">
      <c r="E256" s="234" t="n"/>
      <c r="F256" s="492" t="n"/>
      <c r="G256" s="492" t="n"/>
      <c r="H256" s="493" t="n"/>
      <c r="I256" s="492" t="n"/>
      <c r="J256" s="492" t="n"/>
      <c r="K256" s="492" t="n"/>
      <c r="L256" s="492" t="n"/>
      <c r="M256" s="493" t="n"/>
      <c r="N256" s="492" t="n"/>
      <c r="O256" s="492" t="n"/>
      <c r="P256" s="492" t="n"/>
      <c r="Q256" s="492" t="n"/>
      <c r="R256" s="492" t="n"/>
      <c r="S256" s="492" t="n"/>
      <c r="T256" s="492" t="n"/>
      <c r="U256" s="492" t="n"/>
      <c r="V256" s="492" t="n"/>
      <c r="W256" s="492" t="n"/>
      <c r="X256" s="492" t="n"/>
      <c r="Y256" s="492" t="n"/>
      <c r="Z256" s="492" t="n"/>
      <c r="AA256" s="492" t="n"/>
      <c r="AB256" s="492" t="n"/>
      <c r="AC256" s="492" t="n"/>
      <c r="AD256" s="492" t="n"/>
      <c r="AE256" s="493" t="n"/>
      <c r="AF256" s="492" t="n"/>
      <c r="AG256" s="492" t="n"/>
      <c r="AH256" s="492" t="n"/>
      <c r="AI256" s="492" t="n"/>
      <c r="AJ256" s="493" t="n"/>
      <c r="AK256" s="492" t="n"/>
      <c r="AL256" s="492" t="n"/>
      <c r="AM256" s="492" t="n"/>
      <c r="AN256" s="492" t="n"/>
      <c r="AO256" s="492" t="n"/>
      <c r="AP256" s="492" t="n"/>
      <c r="AQ256" s="492" t="n"/>
      <c r="AR256" s="492" t="n"/>
      <c r="AS256" s="492" t="n"/>
      <c r="AT256" s="492" t="n"/>
      <c r="AU256" s="493" t="n"/>
      <c r="AV256" s="492" t="n"/>
      <c r="AW256" s="492" t="n"/>
      <c r="AX256" s="492" t="n"/>
      <c r="AY256" s="492" t="n"/>
      <c r="AZ256" s="492" t="n"/>
      <c r="BA256" s="493" t="n"/>
      <c r="BB256" s="492" t="n"/>
      <c r="BC256" s="492" t="n"/>
      <c r="BD256" s="492" t="n"/>
      <c r="BE256" s="492" t="n"/>
      <c r="BF256" s="493" t="n"/>
      <c r="BG256" s="493" t="n"/>
      <c r="BH256" s="495" t="n"/>
      <c r="BI256" s="496" t="n"/>
      <c r="BJ256" s="496" t="n"/>
      <c r="BK256" s="550" t="n"/>
      <c r="BM256" s="493" t="n"/>
      <c r="BN256" s="493" t="n"/>
      <c r="BO256" s="493" t="n"/>
      <c r="BP256" s="493" t="n"/>
      <c r="BQ256" s="493" t="n"/>
      <c r="BR256" s="493" t="n"/>
      <c r="BS256" s="493" t="n"/>
      <c r="BT256" s="493" t="n"/>
      <c r="BU256" s="493" t="n"/>
      <c r="BV256" s="493" t="n"/>
      <c r="BW256" s="493" t="n"/>
      <c r="BX256" s="493" t="n"/>
      <c r="BY256" s="493" t="n"/>
      <c r="BZ256" s="493" t="n"/>
      <c r="CA256" s="493" t="n"/>
      <c r="CB256" s="493" t="n"/>
      <c r="CC256" s="493" t="n"/>
      <c r="CD256" s="493" t="n"/>
      <c r="CE256" s="493" t="n"/>
      <c r="CF256" s="493" t="n"/>
      <c r="CG256" s="493" t="n"/>
      <c r="CH256" s="493" t="n"/>
      <c r="CI256" s="493" t="n"/>
      <c r="CJ256" s="493" t="n"/>
      <c r="CK256" s="493" t="n"/>
      <c r="CL256" s="493" t="n"/>
    </row>
    <row r="257" customFormat="1" s="230">
      <c r="E257" s="234" t="n"/>
      <c r="F257" s="492" t="n"/>
      <c r="G257" s="492" t="n"/>
      <c r="H257" s="493" t="n"/>
      <c r="I257" s="492" t="n"/>
      <c r="J257" s="492" t="n"/>
      <c r="K257" s="492" t="n"/>
      <c r="L257" s="492" t="n"/>
      <c r="M257" s="493" t="n"/>
      <c r="N257" s="492" t="n"/>
      <c r="O257" s="492" t="n"/>
      <c r="P257" s="492" t="n"/>
      <c r="Q257" s="492" t="n"/>
      <c r="R257" s="492" t="n"/>
      <c r="S257" s="492" t="n"/>
      <c r="T257" s="492" t="n"/>
      <c r="U257" s="492" t="n"/>
      <c r="V257" s="492" t="n"/>
      <c r="W257" s="492" t="n"/>
      <c r="X257" s="492" t="n"/>
      <c r="Y257" s="492" t="n"/>
      <c r="Z257" s="492" t="n"/>
      <c r="AA257" s="492" t="n"/>
      <c r="AB257" s="492" t="n"/>
      <c r="AC257" s="492" t="n"/>
      <c r="AD257" s="492" t="n"/>
      <c r="AE257" s="493" t="n"/>
      <c r="AF257" s="492" t="n"/>
      <c r="AG257" s="492" t="n"/>
      <c r="AH257" s="492" t="n"/>
      <c r="AI257" s="492" t="n"/>
      <c r="AJ257" s="493" t="n"/>
      <c r="AK257" s="492" t="n"/>
      <c r="AL257" s="492" t="n"/>
      <c r="AM257" s="492" t="n"/>
      <c r="AN257" s="492" t="n"/>
      <c r="AO257" s="492" t="n"/>
      <c r="AP257" s="492" t="n"/>
      <c r="AQ257" s="492" t="n"/>
      <c r="AR257" s="492" t="n"/>
      <c r="AS257" s="492" t="n"/>
      <c r="AT257" s="492" t="n"/>
      <c r="AU257" s="493" t="n"/>
      <c r="AV257" s="492" t="n"/>
      <c r="AW257" s="492" t="n"/>
      <c r="AX257" s="492" t="n"/>
      <c r="AY257" s="492" t="n"/>
      <c r="AZ257" s="492" t="n"/>
      <c r="BA257" s="493" t="n"/>
      <c r="BB257" s="492" t="n"/>
      <c r="BC257" s="492" t="n"/>
      <c r="BD257" s="492" t="n"/>
      <c r="BE257" s="492" t="n"/>
      <c r="BF257" s="493" t="n"/>
      <c r="BG257" s="493" t="n"/>
      <c r="BH257" s="495" t="n"/>
      <c r="BI257" s="496" t="n"/>
      <c r="BJ257" s="496" t="n"/>
      <c r="BK257" s="550" t="n"/>
      <c r="BM257" s="493" t="n"/>
      <c r="BN257" s="493" t="n"/>
      <c r="BO257" s="493" t="n"/>
      <c r="BP257" s="493" t="n"/>
      <c r="BQ257" s="493" t="n"/>
      <c r="BR257" s="493" t="n"/>
      <c r="BS257" s="493" t="n"/>
      <c r="BT257" s="493" t="n"/>
      <c r="BU257" s="493" t="n"/>
      <c r="BV257" s="493" t="n"/>
      <c r="BW257" s="493" t="n"/>
      <c r="BX257" s="493" t="n"/>
      <c r="BY257" s="493" t="n"/>
      <c r="BZ257" s="493" t="n"/>
      <c r="CA257" s="493" t="n"/>
      <c r="CB257" s="493" t="n"/>
      <c r="CC257" s="493" t="n"/>
      <c r="CD257" s="493" t="n"/>
      <c r="CE257" s="493" t="n"/>
      <c r="CF257" s="493" t="n"/>
      <c r="CG257" s="493" t="n"/>
      <c r="CH257" s="493" t="n"/>
      <c r="CI257" s="493" t="n"/>
      <c r="CJ257" s="493" t="n"/>
      <c r="CK257" s="493" t="n"/>
      <c r="CL257" s="493" t="n"/>
    </row>
    <row r="258" customFormat="1" s="230">
      <c r="E258" s="234" t="n"/>
      <c r="F258" s="492" t="n"/>
      <c r="G258" s="492" t="n"/>
      <c r="H258" s="493" t="n"/>
      <c r="I258" s="492" t="n"/>
      <c r="J258" s="492" t="n"/>
      <c r="K258" s="492" t="n"/>
      <c r="L258" s="492" t="n"/>
      <c r="M258" s="493" t="n"/>
      <c r="N258" s="492" t="n"/>
      <c r="O258" s="492" t="n"/>
      <c r="P258" s="492" t="n"/>
      <c r="Q258" s="492" t="n"/>
      <c r="R258" s="492" t="n"/>
      <c r="S258" s="492" t="n"/>
      <c r="T258" s="492" t="n"/>
      <c r="U258" s="492" t="n"/>
      <c r="V258" s="492" t="n"/>
      <c r="W258" s="492" t="n"/>
      <c r="X258" s="492" t="n"/>
      <c r="Y258" s="492" t="n"/>
      <c r="Z258" s="492" t="n"/>
      <c r="AA258" s="492" t="n"/>
      <c r="AB258" s="492" t="n"/>
      <c r="AC258" s="492" t="n"/>
      <c r="AD258" s="492" t="n"/>
      <c r="AE258" s="493" t="n"/>
      <c r="AF258" s="492" t="n"/>
      <c r="AG258" s="492" t="n"/>
      <c r="AH258" s="492" t="n"/>
      <c r="AI258" s="492" t="n"/>
      <c r="AJ258" s="493" t="n"/>
      <c r="AK258" s="492" t="n"/>
      <c r="AL258" s="492" t="n"/>
      <c r="AM258" s="492" t="n"/>
      <c r="AN258" s="492" t="n"/>
      <c r="AO258" s="492" t="n"/>
      <c r="AP258" s="492" t="n"/>
      <c r="AQ258" s="492" t="n"/>
      <c r="AR258" s="492" t="n"/>
      <c r="AS258" s="492" t="n"/>
      <c r="AT258" s="492" t="n"/>
      <c r="AU258" s="493" t="n"/>
      <c r="AV258" s="492" t="n"/>
      <c r="AW258" s="492" t="n"/>
      <c r="AX258" s="492" t="n"/>
      <c r="AY258" s="492" t="n"/>
      <c r="AZ258" s="492" t="n"/>
      <c r="BA258" s="493" t="n"/>
      <c r="BB258" s="492" t="n"/>
      <c r="BC258" s="492" t="n"/>
      <c r="BD258" s="492" t="n"/>
      <c r="BE258" s="492" t="n"/>
      <c r="BF258" s="493" t="n"/>
      <c r="BG258" s="493" t="n"/>
      <c r="BH258" s="495" t="n"/>
      <c r="BI258" s="496" t="n"/>
      <c r="BJ258" s="496" t="n"/>
      <c r="BK258" s="550" t="n"/>
      <c r="BM258" s="493" t="n"/>
      <c r="BN258" s="493" t="n"/>
      <c r="BO258" s="493" t="n"/>
      <c r="BP258" s="493" t="n"/>
      <c r="BQ258" s="493" t="n"/>
      <c r="BR258" s="493" t="n"/>
      <c r="BS258" s="493" t="n"/>
      <c r="BT258" s="493" t="n"/>
      <c r="BU258" s="493" t="n"/>
      <c r="BV258" s="493" t="n"/>
      <c r="BW258" s="493" t="n"/>
      <c r="BX258" s="493" t="n"/>
      <c r="BY258" s="493" t="n"/>
      <c r="BZ258" s="493" t="n"/>
      <c r="CA258" s="493" t="n"/>
      <c r="CB258" s="493" t="n"/>
      <c r="CC258" s="493" t="n"/>
      <c r="CD258" s="493" t="n"/>
      <c r="CE258" s="493" t="n"/>
      <c r="CF258" s="493" t="n"/>
      <c r="CG258" s="493" t="n"/>
      <c r="CH258" s="493" t="n"/>
      <c r="CI258" s="493" t="n"/>
      <c r="CJ258" s="493" t="n"/>
      <c r="CK258" s="493" t="n"/>
      <c r="CL258" s="493" t="n"/>
    </row>
    <row r="259" customFormat="1" s="230">
      <c r="E259" s="234" t="n"/>
      <c r="F259" s="492" t="n"/>
      <c r="G259" s="492" t="n"/>
      <c r="H259" s="493" t="n"/>
      <c r="I259" s="492" t="n"/>
      <c r="J259" s="492" t="n"/>
      <c r="K259" s="492" t="n"/>
      <c r="L259" s="492" t="n"/>
      <c r="M259" s="493" t="n"/>
      <c r="N259" s="492" t="n"/>
      <c r="O259" s="492" t="n"/>
      <c r="P259" s="492" t="n"/>
      <c r="Q259" s="492" t="n"/>
      <c r="R259" s="492" t="n"/>
      <c r="S259" s="492" t="n"/>
      <c r="T259" s="492" t="n"/>
      <c r="U259" s="492" t="n"/>
      <c r="V259" s="492" t="n"/>
      <c r="W259" s="492" t="n"/>
      <c r="X259" s="492" t="n"/>
      <c r="Y259" s="492" t="n"/>
      <c r="Z259" s="492" t="n"/>
      <c r="AA259" s="492" t="n"/>
      <c r="AB259" s="492" t="n"/>
      <c r="AC259" s="492" t="n"/>
      <c r="AD259" s="492" t="n"/>
      <c r="AE259" s="493" t="n"/>
      <c r="AF259" s="492" t="n"/>
      <c r="AG259" s="492" t="n"/>
      <c r="AH259" s="492" t="n"/>
      <c r="AI259" s="492" t="n"/>
      <c r="AJ259" s="493" t="n"/>
      <c r="AK259" s="492" t="n"/>
      <c r="AL259" s="492" t="n"/>
      <c r="AM259" s="492" t="n"/>
      <c r="AN259" s="492" t="n"/>
      <c r="AO259" s="492" t="n"/>
      <c r="AP259" s="492" t="n"/>
      <c r="AQ259" s="492" t="n"/>
      <c r="AR259" s="492" t="n"/>
      <c r="AS259" s="492" t="n"/>
      <c r="AT259" s="492" t="n"/>
      <c r="AU259" s="493" t="n"/>
      <c r="AV259" s="492" t="n"/>
      <c r="AW259" s="492" t="n"/>
      <c r="AX259" s="492" t="n"/>
      <c r="AY259" s="492" t="n"/>
      <c r="AZ259" s="492" t="n"/>
      <c r="BA259" s="493" t="n"/>
      <c r="BB259" s="492" t="n"/>
      <c r="BC259" s="492" t="n"/>
      <c r="BD259" s="492" t="n"/>
      <c r="BE259" s="492" t="n"/>
      <c r="BF259" s="493" t="n"/>
      <c r="BG259" s="493" t="n"/>
      <c r="BH259" s="495" t="n"/>
      <c r="BI259" s="496" t="n"/>
      <c r="BJ259" s="496" t="n"/>
      <c r="BK259" s="550" t="n"/>
      <c r="BM259" s="493" t="n"/>
      <c r="BN259" s="493" t="n"/>
      <c r="BO259" s="493" t="n"/>
      <c r="BP259" s="493" t="n"/>
      <c r="BQ259" s="493" t="n"/>
      <c r="BR259" s="493" t="n"/>
      <c r="BS259" s="493" t="n"/>
      <c r="BT259" s="493" t="n"/>
      <c r="BU259" s="493" t="n"/>
      <c r="BV259" s="493" t="n"/>
      <c r="BW259" s="493" t="n"/>
      <c r="BX259" s="493" t="n"/>
      <c r="BY259" s="493" t="n"/>
      <c r="BZ259" s="493" t="n"/>
      <c r="CA259" s="493" t="n"/>
      <c r="CB259" s="493" t="n"/>
      <c r="CC259" s="493" t="n"/>
      <c r="CD259" s="493" t="n"/>
      <c r="CE259" s="493" t="n"/>
      <c r="CF259" s="493" t="n"/>
      <c r="CG259" s="493" t="n"/>
      <c r="CH259" s="493" t="n"/>
      <c r="CI259" s="493" t="n"/>
      <c r="CJ259" s="493" t="n"/>
      <c r="CK259" s="493" t="n"/>
      <c r="CL259" s="493" t="n"/>
    </row>
    <row r="260" customFormat="1" s="230">
      <c r="E260" s="234" t="n"/>
      <c r="F260" s="492" t="n"/>
      <c r="G260" s="492" t="n"/>
      <c r="H260" s="493" t="n"/>
      <c r="I260" s="492" t="n"/>
      <c r="J260" s="492" t="n"/>
      <c r="K260" s="492" t="n"/>
      <c r="L260" s="492" t="n"/>
      <c r="M260" s="493" t="n"/>
      <c r="N260" s="492" t="n"/>
      <c r="O260" s="492" t="n"/>
      <c r="P260" s="492" t="n"/>
      <c r="Q260" s="492" t="n"/>
      <c r="R260" s="492" t="n"/>
      <c r="S260" s="492" t="n"/>
      <c r="T260" s="492" t="n"/>
      <c r="U260" s="492" t="n"/>
      <c r="V260" s="492" t="n"/>
      <c r="W260" s="492" t="n"/>
      <c r="X260" s="492" t="n"/>
      <c r="Y260" s="492" t="n"/>
      <c r="Z260" s="492" t="n"/>
      <c r="AA260" s="492" t="n"/>
      <c r="AB260" s="492" t="n"/>
      <c r="AC260" s="492" t="n"/>
      <c r="AD260" s="492" t="n"/>
      <c r="AE260" s="493" t="n"/>
      <c r="AF260" s="492" t="n"/>
      <c r="AG260" s="492" t="n"/>
      <c r="AH260" s="492" t="n"/>
      <c r="AI260" s="492" t="n"/>
      <c r="AJ260" s="493" t="n"/>
      <c r="AK260" s="492" t="n"/>
      <c r="AL260" s="492" t="n"/>
      <c r="AM260" s="492" t="n"/>
      <c r="AN260" s="492" t="n"/>
      <c r="AO260" s="492" t="n"/>
      <c r="AP260" s="492" t="n"/>
      <c r="AQ260" s="492" t="n"/>
      <c r="AR260" s="492" t="n"/>
      <c r="AS260" s="492" t="n"/>
      <c r="AT260" s="492" t="n"/>
      <c r="AU260" s="493" t="n"/>
      <c r="AV260" s="492" t="n"/>
      <c r="AW260" s="492" t="n"/>
      <c r="AX260" s="492" t="n"/>
      <c r="AY260" s="492" t="n"/>
      <c r="AZ260" s="492" t="n"/>
      <c r="BA260" s="493" t="n"/>
      <c r="BB260" s="492" t="n"/>
      <c r="BC260" s="492" t="n"/>
      <c r="BD260" s="492" t="n"/>
      <c r="BE260" s="492" t="n"/>
      <c r="BF260" s="493" t="n"/>
      <c r="BG260" s="493" t="n"/>
      <c r="BH260" s="495" t="n"/>
      <c r="BI260" s="496" t="n"/>
      <c r="BJ260" s="496" t="n"/>
      <c r="BK260" s="550" t="n"/>
      <c r="BM260" s="493" t="n"/>
      <c r="BN260" s="493" t="n"/>
      <c r="BO260" s="493" t="n"/>
      <c r="BP260" s="493" t="n"/>
      <c r="BQ260" s="493" t="n"/>
      <c r="BR260" s="493" t="n"/>
      <c r="BS260" s="493" t="n"/>
      <c r="BT260" s="493" t="n"/>
      <c r="BU260" s="493" t="n"/>
      <c r="BV260" s="493" t="n"/>
      <c r="BW260" s="493" t="n"/>
      <c r="BX260" s="493" t="n"/>
      <c r="BY260" s="493" t="n"/>
      <c r="BZ260" s="493" t="n"/>
      <c r="CA260" s="493" t="n"/>
      <c r="CB260" s="493" t="n"/>
      <c r="CC260" s="493" t="n"/>
      <c r="CD260" s="493" t="n"/>
      <c r="CE260" s="493" t="n"/>
      <c r="CF260" s="493" t="n"/>
      <c r="CG260" s="493" t="n"/>
      <c r="CH260" s="493" t="n"/>
      <c r="CI260" s="493" t="n"/>
      <c r="CJ260" s="493" t="n"/>
      <c r="CK260" s="493" t="n"/>
      <c r="CL260" s="493" t="n"/>
    </row>
    <row r="261" customFormat="1" s="230">
      <c r="E261" s="234" t="n"/>
      <c r="F261" s="492" t="n"/>
      <c r="G261" s="492" t="n"/>
      <c r="H261" s="493" t="n"/>
      <c r="I261" s="492" t="n"/>
      <c r="J261" s="492" t="n"/>
      <c r="K261" s="492" t="n"/>
      <c r="L261" s="492" t="n"/>
      <c r="M261" s="493" t="n"/>
      <c r="N261" s="492" t="n"/>
      <c r="O261" s="492" t="n"/>
      <c r="P261" s="492" t="n"/>
      <c r="Q261" s="492" t="n"/>
      <c r="R261" s="492" t="n"/>
      <c r="S261" s="492" t="n"/>
      <c r="T261" s="492" t="n"/>
      <c r="U261" s="492" t="n"/>
      <c r="V261" s="492" t="n"/>
      <c r="W261" s="492" t="n"/>
      <c r="X261" s="492" t="n"/>
      <c r="Y261" s="492" t="n"/>
      <c r="Z261" s="492" t="n"/>
      <c r="AA261" s="492" t="n"/>
      <c r="AB261" s="492" t="n"/>
      <c r="AC261" s="492" t="n"/>
      <c r="AD261" s="492" t="n"/>
      <c r="AE261" s="493" t="n"/>
      <c r="AF261" s="492" t="n"/>
      <c r="AG261" s="492" t="n"/>
      <c r="AH261" s="492" t="n"/>
      <c r="AI261" s="492" t="n"/>
      <c r="AJ261" s="493" t="n"/>
      <c r="AK261" s="492" t="n"/>
      <c r="AL261" s="492" t="n"/>
      <c r="AM261" s="492" t="n"/>
      <c r="AN261" s="492" t="n"/>
      <c r="AO261" s="492" t="n"/>
      <c r="AP261" s="492" t="n"/>
      <c r="AQ261" s="492" t="n"/>
      <c r="AR261" s="492" t="n"/>
      <c r="AS261" s="492" t="n"/>
      <c r="AT261" s="492" t="n"/>
      <c r="AU261" s="493" t="n"/>
      <c r="AV261" s="492" t="n"/>
      <c r="AW261" s="492" t="n"/>
      <c r="AX261" s="492" t="n"/>
      <c r="AY261" s="492" t="n"/>
      <c r="AZ261" s="492" t="n"/>
      <c r="BA261" s="493" t="n"/>
      <c r="BB261" s="492" t="n"/>
      <c r="BC261" s="492" t="n"/>
      <c r="BD261" s="492" t="n"/>
      <c r="BE261" s="492" t="n"/>
      <c r="BF261" s="493" t="n"/>
      <c r="BG261" s="493" t="n"/>
      <c r="BH261" s="495" t="n"/>
      <c r="BI261" s="496" t="n"/>
      <c r="BJ261" s="496" t="n"/>
      <c r="BK261" s="550" t="n"/>
      <c r="BM261" s="493" t="n"/>
      <c r="BN261" s="493" t="n"/>
      <c r="BO261" s="493" t="n"/>
      <c r="BP261" s="493" t="n"/>
      <c r="BQ261" s="493" t="n"/>
      <c r="BR261" s="493" t="n"/>
      <c r="BS261" s="493" t="n"/>
      <c r="BT261" s="493" t="n"/>
      <c r="BU261" s="493" t="n"/>
      <c r="BV261" s="493" t="n"/>
      <c r="BW261" s="493" t="n"/>
      <c r="BX261" s="493" t="n"/>
      <c r="BY261" s="493" t="n"/>
      <c r="BZ261" s="493" t="n"/>
      <c r="CA261" s="493" t="n"/>
      <c r="CB261" s="493" t="n"/>
      <c r="CC261" s="493" t="n"/>
      <c r="CD261" s="493" t="n"/>
      <c r="CE261" s="493" t="n"/>
      <c r="CF261" s="493" t="n"/>
      <c r="CG261" s="493" t="n"/>
      <c r="CH261" s="493" t="n"/>
      <c r="CI261" s="493" t="n"/>
      <c r="CJ261" s="493" t="n"/>
      <c r="CK261" s="493" t="n"/>
      <c r="CL261" s="493" t="n"/>
    </row>
    <row r="262" customFormat="1" s="230">
      <c r="E262" s="234" t="n"/>
      <c r="F262" s="492" t="n"/>
      <c r="G262" s="492" t="n"/>
      <c r="H262" s="493" t="n"/>
      <c r="I262" s="492" t="n"/>
      <c r="J262" s="492" t="n"/>
      <c r="K262" s="492" t="n"/>
      <c r="L262" s="492" t="n"/>
      <c r="M262" s="493" t="n"/>
      <c r="N262" s="492" t="n"/>
      <c r="O262" s="492" t="n"/>
      <c r="P262" s="492" t="n"/>
      <c r="Q262" s="492" t="n"/>
      <c r="R262" s="492" t="n"/>
      <c r="S262" s="492" t="n"/>
      <c r="T262" s="492" t="n"/>
      <c r="U262" s="492" t="n"/>
      <c r="V262" s="492" t="n"/>
      <c r="W262" s="492" t="n"/>
      <c r="X262" s="492" t="n"/>
      <c r="Y262" s="492" t="n"/>
      <c r="Z262" s="492" t="n"/>
      <c r="AA262" s="492" t="n"/>
      <c r="AB262" s="492" t="n"/>
      <c r="AC262" s="492" t="n"/>
      <c r="AD262" s="492" t="n"/>
      <c r="AE262" s="493" t="n"/>
      <c r="AF262" s="492" t="n"/>
      <c r="AG262" s="492" t="n"/>
      <c r="AH262" s="492" t="n"/>
      <c r="AI262" s="492" t="n"/>
      <c r="AJ262" s="493" t="n"/>
      <c r="AK262" s="492" t="n"/>
      <c r="AL262" s="492" t="n"/>
      <c r="AM262" s="492" t="n"/>
      <c r="AN262" s="492" t="n"/>
      <c r="AO262" s="492" t="n"/>
      <c r="AP262" s="492" t="n"/>
      <c r="AQ262" s="492" t="n"/>
      <c r="AR262" s="492" t="n"/>
      <c r="AS262" s="492" t="n"/>
      <c r="AT262" s="492" t="n"/>
      <c r="AU262" s="493" t="n"/>
      <c r="AV262" s="492" t="n"/>
      <c r="AW262" s="492" t="n"/>
      <c r="AX262" s="492" t="n"/>
      <c r="AY262" s="492" t="n"/>
      <c r="AZ262" s="492" t="n"/>
      <c r="BA262" s="493" t="n"/>
      <c r="BB262" s="492" t="n"/>
      <c r="BC262" s="492" t="n"/>
      <c r="BD262" s="492" t="n"/>
      <c r="BE262" s="492" t="n"/>
      <c r="BF262" s="493" t="n"/>
      <c r="BG262" s="493" t="n"/>
      <c r="BH262" s="495" t="n"/>
      <c r="BI262" s="496" t="n"/>
      <c r="BJ262" s="496" t="n"/>
      <c r="BK262" s="550" t="n"/>
      <c r="BM262" s="493" t="n"/>
      <c r="BN262" s="493" t="n"/>
      <c r="BO262" s="493" t="n"/>
      <c r="BP262" s="493" t="n"/>
      <c r="BQ262" s="493" t="n"/>
      <c r="BR262" s="493" t="n"/>
      <c r="BS262" s="493" t="n"/>
      <c r="BT262" s="493" t="n"/>
      <c r="BU262" s="493" t="n"/>
      <c r="BV262" s="493" t="n"/>
      <c r="BW262" s="493" t="n"/>
      <c r="BX262" s="493" t="n"/>
      <c r="BY262" s="493" t="n"/>
      <c r="BZ262" s="493" t="n"/>
      <c r="CA262" s="493" t="n"/>
      <c r="CB262" s="493" t="n"/>
      <c r="CC262" s="493" t="n"/>
      <c r="CD262" s="493" t="n"/>
      <c r="CE262" s="493" t="n"/>
      <c r="CF262" s="493" t="n"/>
      <c r="CG262" s="493" t="n"/>
      <c r="CH262" s="493" t="n"/>
      <c r="CI262" s="493" t="n"/>
      <c r="CJ262" s="493" t="n"/>
      <c r="CK262" s="493" t="n"/>
      <c r="CL262" s="493" t="n"/>
    </row>
    <row r="263" customFormat="1" s="230">
      <c r="E263" s="234" t="n"/>
      <c r="F263" s="492" t="n"/>
      <c r="G263" s="492" t="n"/>
      <c r="H263" s="493" t="n"/>
      <c r="I263" s="492" t="n"/>
      <c r="J263" s="492" t="n"/>
      <c r="K263" s="492" t="n"/>
      <c r="L263" s="492" t="n"/>
      <c r="M263" s="493" t="n"/>
      <c r="N263" s="492" t="n"/>
      <c r="O263" s="492" t="n"/>
      <c r="P263" s="492" t="n"/>
      <c r="Q263" s="492" t="n"/>
      <c r="R263" s="492" t="n"/>
      <c r="S263" s="492" t="n"/>
      <c r="T263" s="492" t="n"/>
      <c r="U263" s="492" t="n"/>
      <c r="V263" s="492" t="n"/>
      <c r="W263" s="492" t="n"/>
      <c r="X263" s="492" t="n"/>
      <c r="Y263" s="492" t="n"/>
      <c r="Z263" s="492" t="n"/>
      <c r="AA263" s="492" t="n"/>
      <c r="AB263" s="492" t="n"/>
      <c r="AC263" s="492" t="n"/>
      <c r="AD263" s="492" t="n"/>
      <c r="AE263" s="493" t="n"/>
      <c r="AF263" s="492" t="n"/>
      <c r="AG263" s="492" t="n"/>
      <c r="AH263" s="492" t="n"/>
      <c r="AI263" s="492" t="n"/>
      <c r="AJ263" s="493" t="n"/>
      <c r="AK263" s="492" t="n"/>
      <c r="AL263" s="492" t="n"/>
      <c r="AM263" s="492" t="n"/>
      <c r="AN263" s="492" t="n"/>
      <c r="AO263" s="492" t="n"/>
      <c r="AP263" s="492" t="n"/>
      <c r="AQ263" s="492" t="n"/>
      <c r="AR263" s="492" t="n"/>
      <c r="AS263" s="492" t="n"/>
      <c r="AT263" s="492" t="n"/>
      <c r="AU263" s="493" t="n"/>
      <c r="AV263" s="492" t="n"/>
      <c r="AW263" s="492" t="n"/>
      <c r="AX263" s="492" t="n"/>
      <c r="AY263" s="492" t="n"/>
      <c r="AZ263" s="492" t="n"/>
      <c r="BA263" s="493" t="n"/>
      <c r="BB263" s="492" t="n"/>
      <c r="BC263" s="492" t="n"/>
      <c r="BD263" s="492" t="n"/>
      <c r="BE263" s="492" t="n"/>
      <c r="BF263" s="493" t="n"/>
      <c r="BG263" s="493" t="n"/>
      <c r="BH263" s="495" t="n"/>
      <c r="BI263" s="496" t="n"/>
      <c r="BJ263" s="496" t="n"/>
      <c r="BK263" s="550" t="n"/>
      <c r="BM263" s="493" t="n"/>
      <c r="BN263" s="493" t="n"/>
      <c r="BO263" s="493" t="n"/>
      <c r="BP263" s="493" t="n"/>
      <c r="BQ263" s="493" t="n"/>
      <c r="BR263" s="493" t="n"/>
      <c r="BS263" s="493" t="n"/>
      <c r="BT263" s="493" t="n"/>
      <c r="BU263" s="493" t="n"/>
      <c r="BV263" s="493" t="n"/>
      <c r="BW263" s="493" t="n"/>
      <c r="BX263" s="493" t="n"/>
      <c r="BY263" s="493" t="n"/>
      <c r="BZ263" s="493" t="n"/>
      <c r="CA263" s="493" t="n"/>
      <c r="CB263" s="493" t="n"/>
      <c r="CC263" s="493" t="n"/>
      <c r="CD263" s="493" t="n"/>
      <c r="CE263" s="493" t="n"/>
      <c r="CF263" s="493" t="n"/>
      <c r="CG263" s="493" t="n"/>
      <c r="CH263" s="493" t="n"/>
      <c r="CI263" s="493" t="n"/>
      <c r="CJ263" s="493" t="n"/>
      <c r="CK263" s="493" t="n"/>
      <c r="CL263" s="493" t="n"/>
    </row>
    <row r="264" customFormat="1" s="230">
      <c r="E264" s="234" t="n"/>
      <c r="F264" s="492" t="n"/>
      <c r="G264" s="492" t="n"/>
      <c r="H264" s="493" t="n"/>
      <c r="I264" s="492" t="n"/>
      <c r="J264" s="492" t="n"/>
      <c r="K264" s="492" t="n"/>
      <c r="L264" s="492" t="n"/>
      <c r="M264" s="493" t="n"/>
      <c r="N264" s="492" t="n"/>
      <c r="O264" s="492" t="n"/>
      <c r="P264" s="492" t="n"/>
      <c r="Q264" s="492" t="n"/>
      <c r="R264" s="492" t="n"/>
      <c r="S264" s="492" t="n"/>
      <c r="T264" s="492" t="n"/>
      <c r="U264" s="492" t="n"/>
      <c r="V264" s="492" t="n"/>
      <c r="W264" s="492" t="n"/>
      <c r="X264" s="492" t="n"/>
      <c r="Y264" s="492" t="n"/>
      <c r="Z264" s="492" t="n"/>
      <c r="AA264" s="492" t="n"/>
      <c r="AB264" s="492" t="n"/>
      <c r="AC264" s="492" t="n"/>
      <c r="AD264" s="492" t="n"/>
      <c r="AE264" s="493" t="n"/>
      <c r="AF264" s="492" t="n"/>
      <c r="AG264" s="492" t="n"/>
      <c r="AH264" s="492" t="n"/>
      <c r="AI264" s="492" t="n"/>
      <c r="AJ264" s="493" t="n"/>
      <c r="AK264" s="492" t="n"/>
      <c r="AL264" s="492" t="n"/>
      <c r="AM264" s="492" t="n"/>
      <c r="AN264" s="492" t="n"/>
      <c r="AO264" s="492" t="n"/>
      <c r="AP264" s="492" t="n"/>
      <c r="AQ264" s="492" t="n"/>
      <c r="AR264" s="492" t="n"/>
      <c r="AS264" s="492" t="n"/>
      <c r="AT264" s="492" t="n"/>
      <c r="AU264" s="493" t="n"/>
      <c r="AV264" s="492" t="n"/>
      <c r="AW264" s="492" t="n"/>
      <c r="AX264" s="492" t="n"/>
      <c r="AY264" s="492" t="n"/>
      <c r="AZ264" s="492" t="n"/>
      <c r="BA264" s="493" t="n"/>
      <c r="BB264" s="492" t="n"/>
      <c r="BC264" s="492" t="n"/>
      <c r="BD264" s="492" t="n"/>
      <c r="BE264" s="492" t="n"/>
      <c r="BF264" s="493" t="n"/>
      <c r="BG264" s="493" t="n"/>
      <c r="BH264" s="495" t="n"/>
      <c r="BI264" s="496" t="n"/>
      <c r="BJ264" s="496" t="n"/>
      <c r="BK264" s="550" t="n"/>
      <c r="BM264" s="493" t="n"/>
      <c r="BN264" s="493" t="n"/>
      <c r="BO264" s="493" t="n"/>
      <c r="BP264" s="493" t="n"/>
      <c r="BQ264" s="493" t="n"/>
      <c r="BR264" s="493" t="n"/>
      <c r="BS264" s="493" t="n"/>
      <c r="BT264" s="493" t="n"/>
      <c r="BU264" s="493" t="n"/>
      <c r="BV264" s="493" t="n"/>
      <c r="BW264" s="493" t="n"/>
      <c r="BX264" s="493" t="n"/>
      <c r="BY264" s="493" t="n"/>
      <c r="BZ264" s="493" t="n"/>
      <c r="CA264" s="493" t="n"/>
      <c r="CB264" s="493" t="n"/>
      <c r="CC264" s="493" t="n"/>
      <c r="CD264" s="493" t="n"/>
      <c r="CE264" s="493" t="n"/>
      <c r="CF264" s="493" t="n"/>
      <c r="CG264" s="493" t="n"/>
      <c r="CH264" s="493" t="n"/>
      <c r="CI264" s="493" t="n"/>
      <c r="CJ264" s="493" t="n"/>
      <c r="CK264" s="493" t="n"/>
      <c r="CL264" s="493" t="n"/>
    </row>
    <row r="265" customFormat="1" s="230">
      <c r="E265" s="234" t="n"/>
      <c r="F265" s="492" t="n"/>
      <c r="G265" s="492" t="n"/>
      <c r="H265" s="493" t="n"/>
      <c r="I265" s="492" t="n"/>
      <c r="J265" s="492" t="n"/>
      <c r="K265" s="492" t="n"/>
      <c r="L265" s="492" t="n"/>
      <c r="M265" s="493" t="n"/>
      <c r="N265" s="492" t="n"/>
      <c r="O265" s="492" t="n"/>
      <c r="P265" s="492" t="n"/>
      <c r="Q265" s="492" t="n"/>
      <c r="R265" s="492" t="n"/>
      <c r="S265" s="492" t="n"/>
      <c r="T265" s="492" t="n"/>
      <c r="U265" s="492" t="n"/>
      <c r="V265" s="492" t="n"/>
      <c r="W265" s="492" t="n"/>
      <c r="X265" s="492" t="n"/>
      <c r="Y265" s="492" t="n"/>
      <c r="Z265" s="492" t="n"/>
      <c r="AA265" s="492" t="n"/>
      <c r="AB265" s="492" t="n"/>
      <c r="AC265" s="492" t="n"/>
      <c r="AD265" s="492" t="n"/>
      <c r="AE265" s="493" t="n"/>
      <c r="AF265" s="492" t="n"/>
      <c r="AG265" s="492" t="n"/>
      <c r="AH265" s="492" t="n"/>
      <c r="AI265" s="492" t="n"/>
      <c r="AJ265" s="493" t="n"/>
      <c r="AK265" s="492" t="n"/>
      <c r="AL265" s="492" t="n"/>
      <c r="AM265" s="492" t="n"/>
      <c r="AN265" s="492" t="n"/>
      <c r="AO265" s="492" t="n"/>
      <c r="AP265" s="492" t="n"/>
      <c r="AQ265" s="492" t="n"/>
      <c r="AR265" s="492" t="n"/>
      <c r="AS265" s="492" t="n"/>
      <c r="AT265" s="492" t="n"/>
      <c r="AU265" s="493" t="n"/>
      <c r="AV265" s="492" t="n"/>
      <c r="AW265" s="492" t="n"/>
      <c r="AX265" s="492" t="n"/>
      <c r="AY265" s="492" t="n"/>
      <c r="AZ265" s="492" t="n"/>
      <c r="BA265" s="493" t="n"/>
      <c r="BB265" s="492" t="n"/>
      <c r="BC265" s="492" t="n"/>
      <c r="BD265" s="492" t="n"/>
      <c r="BE265" s="492" t="n"/>
      <c r="BF265" s="493" t="n"/>
      <c r="BG265" s="493" t="n"/>
      <c r="BH265" s="495" t="n"/>
      <c r="BI265" s="496" t="n"/>
      <c r="BJ265" s="496" t="n"/>
      <c r="BK265" s="550" t="n"/>
      <c r="BM265" s="493" t="n"/>
      <c r="BN265" s="493" t="n"/>
      <c r="BO265" s="493" t="n"/>
      <c r="BP265" s="493" t="n"/>
      <c r="BQ265" s="493" t="n"/>
      <c r="BR265" s="493" t="n"/>
      <c r="BS265" s="493" t="n"/>
      <c r="BT265" s="493" t="n"/>
      <c r="BU265" s="493" t="n"/>
      <c r="BV265" s="493" t="n"/>
      <c r="BW265" s="493" t="n"/>
      <c r="BX265" s="493" t="n"/>
      <c r="BY265" s="493" t="n"/>
      <c r="BZ265" s="493" t="n"/>
      <c r="CA265" s="493" t="n"/>
      <c r="CB265" s="493" t="n"/>
      <c r="CC265" s="493" t="n"/>
      <c r="CD265" s="493" t="n"/>
      <c r="CE265" s="493" t="n"/>
      <c r="CF265" s="493" t="n"/>
      <c r="CG265" s="493" t="n"/>
      <c r="CH265" s="493" t="n"/>
      <c r="CI265" s="493" t="n"/>
      <c r="CJ265" s="493" t="n"/>
      <c r="CK265" s="493" t="n"/>
      <c r="CL265" s="493" t="n"/>
    </row>
    <row r="266" customFormat="1" s="230">
      <c r="E266" s="234" t="n"/>
      <c r="F266" s="492" t="n"/>
      <c r="G266" s="492" t="n"/>
      <c r="H266" s="493" t="n"/>
      <c r="I266" s="492" t="n"/>
      <c r="J266" s="492" t="n"/>
      <c r="K266" s="492" t="n"/>
      <c r="L266" s="492" t="n"/>
      <c r="M266" s="493" t="n"/>
      <c r="N266" s="492" t="n"/>
      <c r="O266" s="492" t="n"/>
      <c r="P266" s="492" t="n"/>
      <c r="Q266" s="492" t="n"/>
      <c r="R266" s="492" t="n"/>
      <c r="S266" s="492" t="n"/>
      <c r="T266" s="492" t="n"/>
      <c r="U266" s="492" t="n"/>
      <c r="V266" s="492" t="n"/>
      <c r="W266" s="492" t="n"/>
      <c r="X266" s="492" t="n"/>
      <c r="Y266" s="492" t="n"/>
      <c r="Z266" s="492" t="n"/>
      <c r="AA266" s="492" t="n"/>
      <c r="AB266" s="492" t="n"/>
      <c r="AC266" s="492" t="n"/>
      <c r="AD266" s="492" t="n"/>
      <c r="AE266" s="493" t="n"/>
      <c r="AF266" s="492" t="n"/>
      <c r="AG266" s="492" t="n"/>
      <c r="AH266" s="492" t="n"/>
      <c r="AI266" s="492" t="n"/>
      <c r="AJ266" s="493" t="n"/>
      <c r="AK266" s="492" t="n"/>
      <c r="AL266" s="492" t="n"/>
      <c r="AM266" s="492" t="n"/>
      <c r="AN266" s="492" t="n"/>
      <c r="AO266" s="492" t="n"/>
      <c r="AP266" s="492" t="n"/>
      <c r="AQ266" s="492" t="n"/>
      <c r="AR266" s="492" t="n"/>
      <c r="AS266" s="492" t="n"/>
      <c r="AT266" s="492" t="n"/>
      <c r="AU266" s="493" t="n"/>
      <c r="AV266" s="492" t="n"/>
      <c r="AW266" s="492" t="n"/>
      <c r="AX266" s="492" t="n"/>
      <c r="AY266" s="492" t="n"/>
      <c r="AZ266" s="492" t="n"/>
      <c r="BA266" s="493" t="n"/>
      <c r="BB266" s="492" t="n"/>
      <c r="BC266" s="492" t="n"/>
      <c r="BD266" s="492" t="n"/>
      <c r="BE266" s="492" t="n"/>
      <c r="BF266" s="493" t="n"/>
      <c r="BG266" s="493" t="n"/>
      <c r="BH266" s="495" t="n"/>
      <c r="BI266" s="496" t="n"/>
      <c r="BJ266" s="496" t="n"/>
      <c r="BK266" s="550" t="n"/>
      <c r="BM266" s="493" t="n"/>
      <c r="BN266" s="493" t="n"/>
      <c r="BO266" s="493" t="n"/>
      <c r="BP266" s="493" t="n"/>
      <c r="BQ266" s="493" t="n"/>
      <c r="BR266" s="493" t="n"/>
      <c r="BS266" s="493" t="n"/>
      <c r="BT266" s="493" t="n"/>
      <c r="BU266" s="493" t="n"/>
      <c r="BV266" s="493" t="n"/>
      <c r="BW266" s="493" t="n"/>
      <c r="BX266" s="493" t="n"/>
      <c r="BY266" s="493" t="n"/>
      <c r="BZ266" s="493" t="n"/>
      <c r="CA266" s="493" t="n"/>
      <c r="CB266" s="493" t="n"/>
      <c r="CC266" s="493" t="n"/>
      <c r="CD266" s="493" t="n"/>
      <c r="CE266" s="493" t="n"/>
      <c r="CF266" s="493" t="n"/>
      <c r="CG266" s="493" t="n"/>
      <c r="CH266" s="493" t="n"/>
      <c r="CI266" s="493" t="n"/>
      <c r="CJ266" s="493" t="n"/>
      <c r="CK266" s="493" t="n"/>
      <c r="CL266" s="493" t="n"/>
    </row>
    <row r="267" customFormat="1" s="230">
      <c r="E267" s="234" t="n"/>
      <c r="F267" s="492" t="n"/>
      <c r="G267" s="492" t="n"/>
      <c r="H267" s="493" t="n"/>
      <c r="I267" s="492" t="n"/>
      <c r="J267" s="492" t="n"/>
      <c r="K267" s="492" t="n"/>
      <c r="L267" s="492" t="n"/>
      <c r="M267" s="493" t="n"/>
      <c r="N267" s="492" t="n"/>
      <c r="O267" s="492" t="n"/>
      <c r="P267" s="492" t="n"/>
      <c r="Q267" s="492" t="n"/>
      <c r="R267" s="492" t="n"/>
      <c r="S267" s="492" t="n"/>
      <c r="T267" s="492" t="n"/>
      <c r="U267" s="492" t="n"/>
      <c r="V267" s="492" t="n"/>
      <c r="W267" s="492" t="n"/>
      <c r="X267" s="492" t="n"/>
      <c r="Y267" s="492" t="n"/>
      <c r="Z267" s="492" t="n"/>
      <c r="AA267" s="492" t="n"/>
      <c r="AB267" s="492" t="n"/>
      <c r="AC267" s="492" t="n"/>
      <c r="AD267" s="492" t="n"/>
      <c r="AE267" s="493" t="n"/>
      <c r="AF267" s="492" t="n"/>
      <c r="AG267" s="492" t="n"/>
      <c r="AH267" s="492" t="n"/>
      <c r="AI267" s="492" t="n"/>
      <c r="AJ267" s="493" t="n"/>
      <c r="AK267" s="492" t="n"/>
      <c r="AL267" s="492" t="n"/>
      <c r="AM267" s="492" t="n"/>
      <c r="AN267" s="492" t="n"/>
      <c r="AO267" s="492" t="n"/>
      <c r="AP267" s="492" t="n"/>
      <c r="AQ267" s="492" t="n"/>
      <c r="AR267" s="492" t="n"/>
      <c r="AS267" s="492" t="n"/>
      <c r="AT267" s="492" t="n"/>
      <c r="AU267" s="493" t="n"/>
      <c r="AV267" s="492" t="n"/>
      <c r="AW267" s="492" t="n"/>
      <c r="AX267" s="492" t="n"/>
      <c r="AY267" s="492" t="n"/>
      <c r="AZ267" s="492" t="n"/>
      <c r="BA267" s="493" t="n"/>
      <c r="BB267" s="492" t="n"/>
      <c r="BC267" s="492" t="n"/>
      <c r="BD267" s="492" t="n"/>
      <c r="BE267" s="492" t="n"/>
      <c r="BF267" s="493" t="n"/>
      <c r="BG267" s="493" t="n"/>
      <c r="BH267" s="495" t="n"/>
      <c r="BI267" s="496" t="n"/>
      <c r="BJ267" s="496" t="n"/>
      <c r="BK267" s="550" t="n"/>
      <c r="BM267" s="493" t="n"/>
      <c r="BN267" s="493" t="n"/>
      <c r="BO267" s="493" t="n"/>
      <c r="BP267" s="493" t="n"/>
      <c r="BQ267" s="493" t="n"/>
      <c r="BR267" s="493" t="n"/>
      <c r="BS267" s="493" t="n"/>
      <c r="BT267" s="493" t="n"/>
      <c r="BU267" s="493" t="n"/>
      <c r="BV267" s="493" t="n"/>
      <c r="BW267" s="493" t="n"/>
      <c r="BX267" s="493" t="n"/>
      <c r="BY267" s="493" t="n"/>
      <c r="BZ267" s="493" t="n"/>
      <c r="CA267" s="493" t="n"/>
      <c r="CB267" s="493" t="n"/>
      <c r="CC267" s="493" t="n"/>
      <c r="CD267" s="493" t="n"/>
      <c r="CE267" s="493" t="n"/>
      <c r="CF267" s="493" t="n"/>
      <c r="CG267" s="493" t="n"/>
      <c r="CH267" s="493" t="n"/>
      <c r="CI267" s="493" t="n"/>
      <c r="CJ267" s="493" t="n"/>
      <c r="CK267" s="493" t="n"/>
      <c r="CL267" s="493" t="n"/>
    </row>
    <row r="268" customFormat="1" s="230">
      <c r="E268" s="234" t="n"/>
      <c r="F268" s="492" t="n"/>
      <c r="G268" s="492" t="n"/>
      <c r="H268" s="493" t="n"/>
      <c r="I268" s="492" t="n"/>
      <c r="J268" s="492" t="n"/>
      <c r="K268" s="492" t="n"/>
      <c r="L268" s="492" t="n"/>
      <c r="M268" s="493" t="n"/>
      <c r="N268" s="492" t="n"/>
      <c r="O268" s="492" t="n"/>
      <c r="P268" s="492" t="n"/>
      <c r="Q268" s="492" t="n"/>
      <c r="R268" s="492" t="n"/>
      <c r="S268" s="492" t="n"/>
      <c r="T268" s="492" t="n"/>
      <c r="U268" s="492" t="n"/>
      <c r="V268" s="492" t="n"/>
      <c r="W268" s="492" t="n"/>
      <c r="X268" s="492" t="n"/>
      <c r="Y268" s="492" t="n"/>
      <c r="Z268" s="492" t="n"/>
      <c r="AA268" s="492" t="n"/>
      <c r="AB268" s="492" t="n"/>
      <c r="AC268" s="492" t="n"/>
      <c r="AD268" s="492" t="n"/>
      <c r="AE268" s="493" t="n"/>
      <c r="AF268" s="492" t="n"/>
      <c r="AG268" s="492" t="n"/>
      <c r="AH268" s="492" t="n"/>
      <c r="AI268" s="492" t="n"/>
      <c r="AJ268" s="493" t="n"/>
      <c r="AK268" s="492" t="n"/>
      <c r="AL268" s="492" t="n"/>
      <c r="AM268" s="492" t="n"/>
      <c r="AN268" s="492" t="n"/>
      <c r="AO268" s="492" t="n"/>
      <c r="AP268" s="492" t="n"/>
      <c r="AQ268" s="492" t="n"/>
      <c r="AR268" s="492" t="n"/>
      <c r="AS268" s="492" t="n"/>
      <c r="AT268" s="492" t="n"/>
      <c r="AU268" s="493" t="n"/>
      <c r="AV268" s="492" t="n"/>
      <c r="AW268" s="492" t="n"/>
      <c r="AX268" s="492" t="n"/>
      <c r="AY268" s="492" t="n"/>
      <c r="AZ268" s="492" t="n"/>
      <c r="BA268" s="493" t="n"/>
      <c r="BB268" s="492" t="n"/>
      <c r="BC268" s="492" t="n"/>
      <c r="BD268" s="492" t="n"/>
      <c r="BE268" s="492" t="n"/>
      <c r="BF268" s="493" t="n"/>
      <c r="BG268" s="493" t="n"/>
      <c r="BH268" s="495" t="n"/>
      <c r="BI268" s="496" t="n"/>
      <c r="BJ268" s="496" t="n"/>
      <c r="BK268" s="550" t="n"/>
      <c r="BM268" s="493" t="n"/>
      <c r="BN268" s="493" t="n"/>
      <c r="BO268" s="493" t="n"/>
      <c r="BP268" s="493" t="n"/>
      <c r="BQ268" s="493" t="n"/>
      <c r="BR268" s="493" t="n"/>
      <c r="BS268" s="493" t="n"/>
      <c r="BT268" s="493" t="n"/>
      <c r="BU268" s="493" t="n"/>
      <c r="BV268" s="493" t="n"/>
      <c r="BW268" s="493" t="n"/>
      <c r="BX268" s="493" t="n"/>
      <c r="BY268" s="493" t="n"/>
      <c r="BZ268" s="493" t="n"/>
      <c r="CA268" s="493" t="n"/>
      <c r="CB268" s="493" t="n"/>
      <c r="CC268" s="493" t="n"/>
      <c r="CD268" s="493" t="n"/>
      <c r="CE268" s="493" t="n"/>
      <c r="CF268" s="493" t="n"/>
      <c r="CG268" s="493" t="n"/>
      <c r="CH268" s="493" t="n"/>
      <c r="CI268" s="493" t="n"/>
      <c r="CJ268" s="493" t="n"/>
      <c r="CK268" s="493" t="n"/>
      <c r="CL268" s="493" t="n"/>
    </row>
    <row r="269" customFormat="1" s="230">
      <c r="E269" s="234" t="n"/>
      <c r="F269" s="492" t="n"/>
      <c r="G269" s="492" t="n"/>
      <c r="H269" s="493" t="n"/>
      <c r="I269" s="492" t="n"/>
      <c r="J269" s="492" t="n"/>
      <c r="K269" s="492" t="n"/>
      <c r="L269" s="492" t="n"/>
      <c r="M269" s="493" t="n"/>
      <c r="N269" s="492" t="n"/>
      <c r="O269" s="492" t="n"/>
      <c r="P269" s="492" t="n"/>
      <c r="Q269" s="492" t="n"/>
      <c r="R269" s="492" t="n"/>
      <c r="S269" s="492" t="n"/>
      <c r="T269" s="492" t="n"/>
      <c r="U269" s="492" t="n"/>
      <c r="V269" s="492" t="n"/>
      <c r="W269" s="492" t="n"/>
      <c r="X269" s="492" t="n"/>
      <c r="Y269" s="492" t="n"/>
      <c r="Z269" s="492" t="n"/>
      <c r="AA269" s="492" t="n"/>
      <c r="AB269" s="492" t="n"/>
      <c r="AC269" s="492" t="n"/>
      <c r="AD269" s="492" t="n"/>
      <c r="AE269" s="493" t="n"/>
      <c r="AF269" s="492" t="n"/>
      <c r="AG269" s="492" t="n"/>
      <c r="AH269" s="492" t="n"/>
      <c r="AI269" s="492" t="n"/>
      <c r="AJ269" s="493" t="n"/>
      <c r="AK269" s="492" t="n"/>
      <c r="AL269" s="492" t="n"/>
      <c r="AM269" s="492" t="n"/>
      <c r="AN269" s="492" t="n"/>
      <c r="AO269" s="492" t="n"/>
      <c r="AP269" s="492" t="n"/>
      <c r="AQ269" s="492" t="n"/>
      <c r="AR269" s="492" t="n"/>
      <c r="AS269" s="492" t="n"/>
      <c r="AT269" s="492" t="n"/>
      <c r="AU269" s="493" t="n"/>
      <c r="AV269" s="492" t="n"/>
      <c r="AW269" s="492" t="n"/>
      <c r="AX269" s="492" t="n"/>
      <c r="AY269" s="492" t="n"/>
      <c r="AZ269" s="492" t="n"/>
      <c r="BA269" s="493" t="n"/>
      <c r="BB269" s="492" t="n"/>
      <c r="BC269" s="492" t="n"/>
      <c r="BD269" s="492" t="n"/>
      <c r="BE269" s="492" t="n"/>
      <c r="BF269" s="493" t="n"/>
      <c r="BG269" s="493" t="n"/>
      <c r="BH269" s="495" t="n"/>
      <c r="BI269" s="496" t="n"/>
      <c r="BJ269" s="496" t="n"/>
      <c r="BK269" s="550" t="n"/>
      <c r="BM269" s="493" t="n"/>
      <c r="BN269" s="493" t="n"/>
      <c r="BO269" s="493" t="n"/>
      <c r="BP269" s="493" t="n"/>
      <c r="BQ269" s="493" t="n"/>
      <c r="BR269" s="493" t="n"/>
      <c r="BS269" s="493" t="n"/>
      <c r="BT269" s="493" t="n"/>
      <c r="BU269" s="493" t="n"/>
      <c r="BV269" s="493" t="n"/>
      <c r="BW269" s="493" t="n"/>
      <c r="BX269" s="493" t="n"/>
      <c r="BY269" s="493" t="n"/>
      <c r="BZ269" s="493" t="n"/>
      <c r="CA269" s="493" t="n"/>
      <c r="CB269" s="493" t="n"/>
      <c r="CC269" s="493" t="n"/>
      <c r="CD269" s="493" t="n"/>
      <c r="CE269" s="493" t="n"/>
      <c r="CF269" s="493" t="n"/>
      <c r="CG269" s="493" t="n"/>
      <c r="CH269" s="493" t="n"/>
      <c r="CI269" s="493" t="n"/>
      <c r="CJ269" s="493" t="n"/>
      <c r="CK269" s="493" t="n"/>
      <c r="CL269" s="493" t="n"/>
    </row>
    <row r="270" customFormat="1" s="230">
      <c r="E270" s="234" t="n"/>
      <c r="F270" s="492" t="n"/>
      <c r="G270" s="492" t="n"/>
      <c r="H270" s="493" t="n"/>
      <c r="I270" s="492" t="n"/>
      <c r="J270" s="492" t="n"/>
      <c r="K270" s="492" t="n"/>
      <c r="L270" s="492" t="n"/>
      <c r="M270" s="493" t="n"/>
      <c r="N270" s="492" t="n"/>
      <c r="O270" s="492" t="n"/>
      <c r="P270" s="492" t="n"/>
      <c r="Q270" s="492" t="n"/>
      <c r="R270" s="492" t="n"/>
      <c r="S270" s="492" t="n"/>
      <c r="T270" s="492" t="n"/>
      <c r="U270" s="492" t="n"/>
      <c r="V270" s="492" t="n"/>
      <c r="W270" s="492" t="n"/>
      <c r="X270" s="492" t="n"/>
      <c r="Y270" s="492" t="n"/>
      <c r="Z270" s="492" t="n"/>
      <c r="AA270" s="492" t="n"/>
      <c r="AB270" s="492" t="n"/>
      <c r="AC270" s="492" t="n"/>
      <c r="AD270" s="492" t="n"/>
      <c r="AE270" s="493" t="n"/>
      <c r="AF270" s="492" t="n"/>
      <c r="AG270" s="492" t="n"/>
      <c r="AH270" s="492" t="n"/>
      <c r="AI270" s="492" t="n"/>
      <c r="AJ270" s="493" t="n"/>
      <c r="AK270" s="492" t="n"/>
      <c r="AL270" s="492" t="n"/>
      <c r="AM270" s="492" t="n"/>
      <c r="AN270" s="492" t="n"/>
      <c r="AO270" s="492" t="n"/>
      <c r="AP270" s="492" t="n"/>
      <c r="AQ270" s="492" t="n"/>
      <c r="AR270" s="492" t="n"/>
      <c r="AS270" s="492" t="n"/>
      <c r="AT270" s="492" t="n"/>
      <c r="AU270" s="493" t="n"/>
      <c r="AV270" s="492" t="n"/>
      <c r="AW270" s="492" t="n"/>
      <c r="AX270" s="492" t="n"/>
      <c r="AY270" s="492" t="n"/>
      <c r="AZ270" s="492" t="n"/>
      <c r="BA270" s="493" t="n"/>
      <c r="BB270" s="492" t="n"/>
      <c r="BC270" s="492" t="n"/>
      <c r="BD270" s="492" t="n"/>
      <c r="BE270" s="492" t="n"/>
      <c r="BF270" s="493" t="n"/>
      <c r="BG270" s="493" t="n"/>
      <c r="BH270" s="495" t="n"/>
      <c r="BI270" s="496" t="n"/>
      <c r="BJ270" s="496" t="n"/>
      <c r="BK270" s="550" t="n"/>
      <c r="BM270" s="493" t="n"/>
      <c r="BN270" s="493" t="n"/>
      <c r="BO270" s="493" t="n"/>
      <c r="BP270" s="493" t="n"/>
      <c r="BQ270" s="493" t="n"/>
      <c r="BR270" s="493" t="n"/>
      <c r="BS270" s="493" t="n"/>
      <c r="BT270" s="493" t="n"/>
      <c r="BU270" s="493" t="n"/>
      <c r="BV270" s="493" t="n"/>
      <c r="BW270" s="493" t="n"/>
      <c r="BX270" s="493" t="n"/>
      <c r="BY270" s="493" t="n"/>
      <c r="BZ270" s="493" t="n"/>
      <c r="CA270" s="493" t="n"/>
      <c r="CB270" s="493" t="n"/>
      <c r="CC270" s="493" t="n"/>
      <c r="CD270" s="493" t="n"/>
      <c r="CE270" s="493" t="n"/>
      <c r="CF270" s="493" t="n"/>
      <c r="CG270" s="493" t="n"/>
      <c r="CH270" s="493" t="n"/>
      <c r="CI270" s="493" t="n"/>
      <c r="CJ270" s="493" t="n"/>
      <c r="CK270" s="493" t="n"/>
      <c r="CL270" s="493" t="n"/>
    </row>
    <row r="271" customFormat="1" s="230">
      <c r="E271" s="234" t="n"/>
      <c r="F271" s="492" t="n"/>
      <c r="G271" s="492" t="n"/>
      <c r="H271" s="493" t="n"/>
      <c r="I271" s="492" t="n"/>
      <c r="J271" s="492" t="n"/>
      <c r="K271" s="492" t="n"/>
      <c r="L271" s="492" t="n"/>
      <c r="M271" s="493" t="n"/>
      <c r="N271" s="492" t="n"/>
      <c r="O271" s="492" t="n"/>
      <c r="P271" s="492" t="n"/>
      <c r="Q271" s="492" t="n"/>
      <c r="R271" s="492" t="n"/>
      <c r="S271" s="492" t="n"/>
      <c r="T271" s="492" t="n"/>
      <c r="U271" s="492" t="n"/>
      <c r="V271" s="492" t="n"/>
      <c r="W271" s="492" t="n"/>
      <c r="X271" s="492" t="n"/>
      <c r="Y271" s="492" t="n"/>
      <c r="Z271" s="492" t="n"/>
      <c r="AA271" s="492" t="n"/>
      <c r="AB271" s="492" t="n"/>
      <c r="AC271" s="492" t="n"/>
      <c r="AD271" s="492" t="n"/>
      <c r="AE271" s="493" t="n"/>
      <c r="AF271" s="492" t="n"/>
      <c r="AG271" s="492" t="n"/>
      <c r="AH271" s="492" t="n"/>
      <c r="AI271" s="492" t="n"/>
      <c r="AJ271" s="493" t="n"/>
      <c r="AK271" s="492" t="n"/>
      <c r="AL271" s="492" t="n"/>
      <c r="AM271" s="492" t="n"/>
      <c r="AN271" s="492" t="n"/>
      <c r="AO271" s="492" t="n"/>
      <c r="AP271" s="492" t="n"/>
      <c r="AQ271" s="492" t="n"/>
      <c r="AR271" s="492" t="n"/>
      <c r="AS271" s="492" t="n"/>
      <c r="AT271" s="492" t="n"/>
      <c r="AU271" s="493" t="n"/>
      <c r="AV271" s="492" t="n"/>
      <c r="AW271" s="492" t="n"/>
      <c r="AX271" s="492" t="n"/>
      <c r="AY271" s="492" t="n"/>
      <c r="AZ271" s="492" t="n"/>
      <c r="BA271" s="493" t="n"/>
      <c r="BB271" s="492" t="n"/>
      <c r="BC271" s="492" t="n"/>
      <c r="BD271" s="492" t="n"/>
      <c r="BE271" s="492" t="n"/>
      <c r="BF271" s="493" t="n"/>
      <c r="BG271" s="493" t="n"/>
      <c r="BH271" s="495" t="n"/>
      <c r="BI271" s="496" t="n"/>
      <c r="BJ271" s="496" t="n"/>
      <c r="BK271" s="550" t="n"/>
      <c r="BM271" s="493" t="n"/>
      <c r="BN271" s="493" t="n"/>
      <c r="BO271" s="493" t="n"/>
      <c r="BP271" s="493" t="n"/>
      <c r="BQ271" s="493" t="n"/>
      <c r="BR271" s="493" t="n"/>
      <c r="BS271" s="493" t="n"/>
      <c r="BT271" s="493" t="n"/>
      <c r="BU271" s="493" t="n"/>
      <c r="BV271" s="493" t="n"/>
      <c r="BW271" s="493" t="n"/>
      <c r="BX271" s="493" t="n"/>
      <c r="BY271" s="493" t="n"/>
      <c r="BZ271" s="493" t="n"/>
      <c r="CA271" s="493" t="n"/>
      <c r="CB271" s="493" t="n"/>
      <c r="CC271" s="493" t="n"/>
      <c r="CD271" s="493" t="n"/>
      <c r="CE271" s="493" t="n"/>
      <c r="CF271" s="493" t="n"/>
      <c r="CG271" s="493" t="n"/>
      <c r="CH271" s="493" t="n"/>
      <c r="CI271" s="493" t="n"/>
      <c r="CJ271" s="493" t="n"/>
      <c r="CK271" s="493" t="n"/>
      <c r="CL271" s="493" t="n"/>
    </row>
    <row r="272" customFormat="1" s="230">
      <c r="E272" s="234" t="n"/>
      <c r="F272" s="492" t="n"/>
      <c r="G272" s="492" t="n"/>
      <c r="H272" s="493" t="n"/>
      <c r="I272" s="492" t="n"/>
      <c r="J272" s="492" t="n"/>
      <c r="K272" s="492" t="n"/>
      <c r="L272" s="492" t="n"/>
      <c r="M272" s="493" t="n"/>
      <c r="N272" s="492" t="n"/>
      <c r="O272" s="492" t="n"/>
      <c r="P272" s="492" t="n"/>
      <c r="Q272" s="492" t="n"/>
      <c r="R272" s="492" t="n"/>
      <c r="S272" s="492" t="n"/>
      <c r="T272" s="492" t="n"/>
      <c r="U272" s="492" t="n"/>
      <c r="V272" s="492" t="n"/>
      <c r="W272" s="492" t="n"/>
      <c r="X272" s="492" t="n"/>
      <c r="Y272" s="492" t="n"/>
      <c r="Z272" s="492" t="n"/>
      <c r="AA272" s="492" t="n"/>
      <c r="AB272" s="492" t="n"/>
      <c r="AC272" s="492" t="n"/>
      <c r="AD272" s="492" t="n"/>
      <c r="AE272" s="493" t="n"/>
      <c r="AF272" s="492" t="n"/>
      <c r="AG272" s="492" t="n"/>
      <c r="AH272" s="492" t="n"/>
      <c r="AI272" s="492" t="n"/>
      <c r="AJ272" s="493" t="n"/>
      <c r="AK272" s="492" t="n"/>
      <c r="AL272" s="492" t="n"/>
      <c r="AM272" s="492" t="n"/>
      <c r="AN272" s="492" t="n"/>
      <c r="AO272" s="492" t="n"/>
      <c r="AP272" s="492" t="n"/>
      <c r="AQ272" s="492" t="n"/>
      <c r="AR272" s="492" t="n"/>
      <c r="AS272" s="492" t="n"/>
      <c r="AT272" s="492" t="n"/>
      <c r="AU272" s="493" t="n"/>
      <c r="AV272" s="492" t="n"/>
      <c r="AW272" s="492" t="n"/>
      <c r="AX272" s="492" t="n"/>
      <c r="AY272" s="492" t="n"/>
      <c r="AZ272" s="492" t="n"/>
      <c r="BA272" s="493" t="n"/>
      <c r="BB272" s="492" t="n"/>
      <c r="BC272" s="492" t="n"/>
      <c r="BD272" s="492" t="n"/>
      <c r="BE272" s="492" t="n"/>
      <c r="BF272" s="493" t="n"/>
      <c r="BG272" s="493" t="n"/>
      <c r="BH272" s="495" t="n"/>
      <c r="BI272" s="496" t="n"/>
      <c r="BJ272" s="496" t="n"/>
      <c r="BK272" s="550" t="n"/>
      <c r="BM272" s="493" t="n"/>
      <c r="BN272" s="493" t="n"/>
      <c r="BO272" s="493" t="n"/>
      <c r="BP272" s="493" t="n"/>
      <c r="BQ272" s="493" t="n"/>
      <c r="BR272" s="493" t="n"/>
      <c r="BS272" s="493" t="n"/>
      <c r="BT272" s="493" t="n"/>
      <c r="BU272" s="493" t="n"/>
      <c r="BV272" s="493" t="n"/>
      <c r="BW272" s="493" t="n"/>
      <c r="BX272" s="493" t="n"/>
      <c r="BY272" s="493" t="n"/>
      <c r="BZ272" s="493" t="n"/>
      <c r="CA272" s="493" t="n"/>
      <c r="CB272" s="493" t="n"/>
      <c r="CC272" s="493" t="n"/>
      <c r="CD272" s="493" t="n"/>
      <c r="CE272" s="493" t="n"/>
      <c r="CF272" s="493" t="n"/>
      <c r="CG272" s="493" t="n"/>
      <c r="CH272" s="493" t="n"/>
      <c r="CI272" s="493" t="n"/>
      <c r="CJ272" s="493" t="n"/>
      <c r="CK272" s="493" t="n"/>
      <c r="CL272" s="493" t="n"/>
    </row>
    <row r="273" customFormat="1" s="230">
      <c r="E273" s="234" t="n"/>
      <c r="F273" s="492" t="n"/>
      <c r="G273" s="492" t="n"/>
      <c r="H273" s="493" t="n"/>
      <c r="I273" s="492" t="n"/>
      <c r="J273" s="492" t="n"/>
      <c r="K273" s="492" t="n"/>
      <c r="L273" s="492" t="n"/>
      <c r="M273" s="493" t="n"/>
      <c r="N273" s="492" t="n"/>
      <c r="O273" s="492" t="n"/>
      <c r="P273" s="492" t="n"/>
      <c r="Q273" s="492" t="n"/>
      <c r="R273" s="492" t="n"/>
      <c r="S273" s="492" t="n"/>
      <c r="T273" s="492" t="n"/>
      <c r="U273" s="492" t="n"/>
      <c r="V273" s="492" t="n"/>
      <c r="W273" s="492" t="n"/>
      <c r="X273" s="492" t="n"/>
      <c r="Y273" s="492" t="n"/>
      <c r="Z273" s="492" t="n"/>
      <c r="AA273" s="492" t="n"/>
      <c r="AB273" s="492" t="n"/>
      <c r="AC273" s="492" t="n"/>
      <c r="AD273" s="492" t="n"/>
      <c r="AE273" s="493" t="n"/>
      <c r="AF273" s="492" t="n"/>
      <c r="AG273" s="492" t="n"/>
      <c r="AH273" s="492" t="n"/>
      <c r="AI273" s="492" t="n"/>
      <c r="AJ273" s="493" t="n"/>
      <c r="AK273" s="492" t="n"/>
      <c r="AL273" s="492" t="n"/>
      <c r="AM273" s="492" t="n"/>
      <c r="AN273" s="492" t="n"/>
      <c r="AO273" s="492" t="n"/>
      <c r="AP273" s="492" t="n"/>
      <c r="AQ273" s="492" t="n"/>
      <c r="AR273" s="492" t="n"/>
      <c r="AS273" s="492" t="n"/>
      <c r="AT273" s="492" t="n"/>
      <c r="AU273" s="493" t="n"/>
      <c r="AV273" s="492" t="n"/>
      <c r="AW273" s="492" t="n"/>
      <c r="AX273" s="492" t="n"/>
      <c r="AY273" s="492" t="n"/>
      <c r="AZ273" s="492" t="n"/>
      <c r="BA273" s="493" t="n"/>
      <c r="BB273" s="492" t="n"/>
      <c r="BC273" s="492" t="n"/>
      <c r="BD273" s="492" t="n"/>
      <c r="BE273" s="492" t="n"/>
      <c r="BF273" s="493" t="n"/>
      <c r="BG273" s="493" t="n"/>
      <c r="BH273" s="495" t="n"/>
      <c r="BI273" s="496" t="n"/>
      <c r="BJ273" s="496" t="n"/>
      <c r="BK273" s="550" t="n"/>
      <c r="BM273" s="493" t="n"/>
      <c r="BN273" s="493" t="n"/>
      <c r="BO273" s="493" t="n"/>
      <c r="BP273" s="493" t="n"/>
      <c r="BQ273" s="493" t="n"/>
      <c r="BR273" s="493" t="n"/>
      <c r="BS273" s="493" t="n"/>
      <c r="BT273" s="493" t="n"/>
      <c r="BU273" s="493" t="n"/>
      <c r="BV273" s="493" t="n"/>
      <c r="BW273" s="493" t="n"/>
      <c r="BX273" s="493" t="n"/>
      <c r="BY273" s="493" t="n"/>
      <c r="BZ273" s="493" t="n"/>
      <c r="CA273" s="493" t="n"/>
      <c r="CB273" s="493" t="n"/>
      <c r="CC273" s="493" t="n"/>
      <c r="CD273" s="493" t="n"/>
      <c r="CE273" s="493" t="n"/>
      <c r="CF273" s="493" t="n"/>
      <c r="CG273" s="493" t="n"/>
      <c r="CH273" s="493" t="n"/>
      <c r="CI273" s="493" t="n"/>
      <c r="CJ273" s="493" t="n"/>
      <c r="CK273" s="493" t="n"/>
      <c r="CL273" s="493" t="n"/>
    </row>
    <row r="274" customFormat="1" s="230">
      <c r="E274" s="234" t="n"/>
      <c r="F274" s="492" t="n"/>
      <c r="G274" s="492" t="n"/>
      <c r="H274" s="493" t="n"/>
      <c r="I274" s="492" t="n"/>
      <c r="J274" s="492" t="n"/>
      <c r="K274" s="492" t="n"/>
      <c r="L274" s="492" t="n"/>
      <c r="M274" s="493" t="n"/>
      <c r="N274" s="492" t="n"/>
      <c r="O274" s="492" t="n"/>
      <c r="P274" s="492" t="n"/>
      <c r="Q274" s="492" t="n"/>
      <c r="R274" s="492" t="n"/>
      <c r="S274" s="492" t="n"/>
      <c r="T274" s="492" t="n"/>
      <c r="U274" s="492" t="n"/>
      <c r="V274" s="492" t="n"/>
      <c r="W274" s="492" t="n"/>
      <c r="X274" s="492" t="n"/>
      <c r="Y274" s="492" t="n"/>
      <c r="Z274" s="492" t="n"/>
      <c r="AA274" s="492" t="n"/>
      <c r="AB274" s="492" t="n"/>
      <c r="AC274" s="492" t="n"/>
      <c r="AD274" s="492" t="n"/>
      <c r="AE274" s="493" t="n"/>
      <c r="AF274" s="492" t="n"/>
      <c r="AG274" s="492" t="n"/>
      <c r="AH274" s="492" t="n"/>
      <c r="AI274" s="492" t="n"/>
      <c r="AJ274" s="493" t="n"/>
      <c r="AK274" s="492" t="n"/>
      <c r="AL274" s="492" t="n"/>
      <c r="AM274" s="492" t="n"/>
      <c r="AN274" s="492" t="n"/>
      <c r="AO274" s="492" t="n"/>
      <c r="AP274" s="492" t="n"/>
      <c r="AQ274" s="492" t="n"/>
      <c r="AR274" s="492" t="n"/>
      <c r="AS274" s="492" t="n"/>
      <c r="AT274" s="492" t="n"/>
      <c r="AU274" s="493" t="n"/>
      <c r="AV274" s="492" t="n"/>
      <c r="AW274" s="492" t="n"/>
      <c r="AX274" s="492" t="n"/>
      <c r="AY274" s="492" t="n"/>
      <c r="AZ274" s="492" t="n"/>
      <c r="BA274" s="493" t="n"/>
      <c r="BB274" s="492" t="n"/>
      <c r="BC274" s="492" t="n"/>
      <c r="BD274" s="492" t="n"/>
      <c r="BE274" s="492" t="n"/>
      <c r="BF274" s="493" t="n"/>
      <c r="BG274" s="493" t="n"/>
      <c r="BH274" s="495" t="n"/>
      <c r="BI274" s="496" t="n"/>
      <c r="BJ274" s="496" t="n"/>
      <c r="BK274" s="550" t="n"/>
      <c r="BM274" s="493" t="n"/>
      <c r="BN274" s="493" t="n"/>
      <c r="BO274" s="493" t="n"/>
      <c r="BP274" s="493" t="n"/>
      <c r="BQ274" s="493" t="n"/>
      <c r="BR274" s="493" t="n"/>
      <c r="BS274" s="493" t="n"/>
      <c r="BT274" s="493" t="n"/>
      <c r="BU274" s="493" t="n"/>
      <c r="BV274" s="493" t="n"/>
      <c r="BW274" s="493" t="n"/>
      <c r="BX274" s="493" t="n"/>
      <c r="BY274" s="493" t="n"/>
      <c r="BZ274" s="493" t="n"/>
      <c r="CA274" s="493" t="n"/>
      <c r="CB274" s="493" t="n"/>
      <c r="CC274" s="493" t="n"/>
      <c r="CD274" s="493" t="n"/>
      <c r="CE274" s="493" t="n"/>
      <c r="CF274" s="493" t="n"/>
      <c r="CG274" s="493" t="n"/>
      <c r="CH274" s="493" t="n"/>
      <c r="CI274" s="493" t="n"/>
      <c r="CJ274" s="493" t="n"/>
      <c r="CK274" s="493" t="n"/>
      <c r="CL274" s="493" t="n"/>
    </row>
    <row r="275" customFormat="1" s="230">
      <c r="E275" s="234" t="n"/>
      <c r="F275" s="492" t="n"/>
      <c r="G275" s="492" t="n"/>
      <c r="H275" s="493" t="n"/>
      <c r="I275" s="492" t="n"/>
      <c r="J275" s="492" t="n"/>
      <c r="K275" s="492" t="n"/>
      <c r="L275" s="492" t="n"/>
      <c r="M275" s="493" t="n"/>
      <c r="N275" s="492" t="n"/>
      <c r="O275" s="492" t="n"/>
      <c r="P275" s="492" t="n"/>
      <c r="Q275" s="492" t="n"/>
      <c r="R275" s="492" t="n"/>
      <c r="S275" s="492" t="n"/>
      <c r="T275" s="492" t="n"/>
      <c r="U275" s="492" t="n"/>
      <c r="V275" s="492" t="n"/>
      <c r="W275" s="492" t="n"/>
      <c r="X275" s="492" t="n"/>
      <c r="Y275" s="492" t="n"/>
      <c r="Z275" s="492" t="n"/>
      <c r="AA275" s="492" t="n"/>
      <c r="AB275" s="492" t="n"/>
      <c r="AC275" s="492" t="n"/>
      <c r="AD275" s="492" t="n"/>
      <c r="AE275" s="493" t="n"/>
      <c r="AF275" s="492" t="n"/>
      <c r="AG275" s="492" t="n"/>
      <c r="AH275" s="492" t="n"/>
      <c r="AI275" s="492" t="n"/>
      <c r="AJ275" s="493" t="n"/>
      <c r="AK275" s="492" t="n"/>
      <c r="AL275" s="492" t="n"/>
      <c r="AM275" s="492" t="n"/>
      <c r="AN275" s="492" t="n"/>
      <c r="AO275" s="492" t="n"/>
      <c r="AP275" s="492" t="n"/>
      <c r="AQ275" s="492" t="n"/>
      <c r="AR275" s="492" t="n"/>
      <c r="AS275" s="492" t="n"/>
      <c r="AT275" s="492" t="n"/>
      <c r="AU275" s="493" t="n"/>
      <c r="AV275" s="492" t="n"/>
      <c r="AW275" s="492" t="n"/>
      <c r="AX275" s="492" t="n"/>
      <c r="AY275" s="492" t="n"/>
      <c r="AZ275" s="492" t="n"/>
      <c r="BA275" s="493" t="n"/>
      <c r="BB275" s="492" t="n"/>
      <c r="BC275" s="492" t="n"/>
      <c r="BD275" s="492" t="n"/>
      <c r="BE275" s="492" t="n"/>
      <c r="BF275" s="493" t="n"/>
      <c r="BG275" s="493" t="n"/>
      <c r="BH275" s="495" t="n"/>
      <c r="BI275" s="496" t="n"/>
      <c r="BJ275" s="496" t="n"/>
      <c r="BK275" s="550" t="n"/>
      <c r="BM275" s="493" t="n"/>
      <c r="BN275" s="493" t="n"/>
      <c r="BO275" s="493" t="n"/>
      <c r="BP275" s="493" t="n"/>
      <c r="BQ275" s="493" t="n"/>
      <c r="BR275" s="493" t="n"/>
      <c r="BS275" s="493" t="n"/>
      <c r="BT275" s="493" t="n"/>
      <c r="BU275" s="493" t="n"/>
      <c r="BV275" s="493" t="n"/>
      <c r="BW275" s="493" t="n"/>
      <c r="BX275" s="493" t="n"/>
      <c r="BY275" s="493" t="n"/>
      <c r="BZ275" s="493" t="n"/>
      <c r="CA275" s="493" t="n"/>
      <c r="CB275" s="493" t="n"/>
      <c r="CC275" s="493" t="n"/>
      <c r="CD275" s="493" t="n"/>
      <c r="CE275" s="493" t="n"/>
      <c r="CF275" s="493" t="n"/>
      <c r="CG275" s="493" t="n"/>
      <c r="CH275" s="493" t="n"/>
      <c r="CI275" s="493" t="n"/>
      <c r="CJ275" s="493" t="n"/>
      <c r="CK275" s="493" t="n"/>
      <c r="CL275" s="493" t="n"/>
    </row>
    <row r="276" customFormat="1" s="230">
      <c r="E276" s="234" t="n"/>
      <c r="F276" s="492" t="n"/>
      <c r="G276" s="492" t="n"/>
      <c r="H276" s="493" t="n"/>
      <c r="I276" s="492" t="n"/>
      <c r="J276" s="492" t="n"/>
      <c r="K276" s="492" t="n"/>
      <c r="L276" s="492" t="n"/>
      <c r="M276" s="493" t="n"/>
      <c r="N276" s="492" t="n"/>
      <c r="O276" s="492" t="n"/>
      <c r="P276" s="492" t="n"/>
      <c r="Q276" s="492" t="n"/>
      <c r="R276" s="492" t="n"/>
      <c r="S276" s="492" t="n"/>
      <c r="T276" s="492" t="n"/>
      <c r="U276" s="492" t="n"/>
      <c r="V276" s="492" t="n"/>
      <c r="W276" s="492" t="n"/>
      <c r="X276" s="492" t="n"/>
      <c r="Y276" s="492" t="n"/>
      <c r="Z276" s="492" t="n"/>
      <c r="AA276" s="492" t="n"/>
      <c r="AB276" s="492" t="n"/>
      <c r="AC276" s="492" t="n"/>
      <c r="AD276" s="492" t="n"/>
      <c r="AE276" s="493" t="n"/>
      <c r="AF276" s="492" t="n"/>
      <c r="AG276" s="492" t="n"/>
      <c r="AH276" s="492" t="n"/>
      <c r="AI276" s="492" t="n"/>
      <c r="AJ276" s="493" t="n"/>
      <c r="AK276" s="492" t="n"/>
      <c r="AL276" s="492" t="n"/>
      <c r="AM276" s="492" t="n"/>
      <c r="AN276" s="492" t="n"/>
      <c r="AO276" s="492" t="n"/>
      <c r="AP276" s="492" t="n"/>
      <c r="AQ276" s="492" t="n"/>
      <c r="AR276" s="492" t="n"/>
      <c r="AS276" s="492" t="n"/>
      <c r="AT276" s="492" t="n"/>
      <c r="AU276" s="493" t="n"/>
      <c r="AV276" s="492" t="n"/>
      <c r="AW276" s="492" t="n"/>
      <c r="AX276" s="492" t="n"/>
      <c r="AY276" s="492" t="n"/>
      <c r="AZ276" s="492" t="n"/>
      <c r="BA276" s="493" t="n"/>
      <c r="BB276" s="492" t="n"/>
      <c r="BC276" s="492" t="n"/>
      <c r="BD276" s="492" t="n"/>
      <c r="BE276" s="492" t="n"/>
      <c r="BF276" s="493" t="n"/>
      <c r="BG276" s="493" t="n"/>
      <c r="BH276" s="495" t="n"/>
      <c r="BI276" s="496" t="n"/>
      <c r="BJ276" s="496" t="n"/>
      <c r="BK276" s="550" t="n"/>
      <c r="BM276" s="493" t="n"/>
      <c r="BN276" s="493" t="n"/>
      <c r="BO276" s="493" t="n"/>
      <c r="BP276" s="493" t="n"/>
      <c r="BQ276" s="493" t="n"/>
      <c r="BR276" s="493" t="n"/>
      <c r="BS276" s="493" t="n"/>
      <c r="BT276" s="493" t="n"/>
      <c r="BU276" s="493" t="n"/>
      <c r="BV276" s="493" t="n"/>
      <c r="BW276" s="493" t="n"/>
      <c r="BX276" s="493" t="n"/>
      <c r="BY276" s="493" t="n"/>
      <c r="BZ276" s="493" t="n"/>
      <c r="CA276" s="493" t="n"/>
      <c r="CB276" s="493" t="n"/>
      <c r="CC276" s="493" t="n"/>
      <c r="CD276" s="493" t="n"/>
      <c r="CE276" s="493" t="n"/>
      <c r="CF276" s="493" t="n"/>
      <c r="CG276" s="493" t="n"/>
      <c r="CH276" s="493" t="n"/>
      <c r="CI276" s="493" t="n"/>
      <c r="CJ276" s="493" t="n"/>
      <c r="CK276" s="493" t="n"/>
      <c r="CL276" s="493" t="n"/>
    </row>
    <row r="277" customFormat="1" s="230">
      <c r="E277" s="234" t="n"/>
      <c r="F277" s="492" t="n"/>
      <c r="G277" s="492" t="n"/>
      <c r="H277" s="493" t="n"/>
      <c r="I277" s="492" t="n"/>
      <c r="J277" s="492" t="n"/>
      <c r="K277" s="492" t="n"/>
      <c r="L277" s="492" t="n"/>
      <c r="M277" s="493" t="n"/>
      <c r="N277" s="492" t="n"/>
      <c r="O277" s="492" t="n"/>
      <c r="P277" s="492" t="n"/>
      <c r="Q277" s="492" t="n"/>
      <c r="R277" s="492" t="n"/>
      <c r="S277" s="492" t="n"/>
      <c r="T277" s="492" t="n"/>
      <c r="U277" s="492" t="n"/>
      <c r="V277" s="492" t="n"/>
      <c r="W277" s="492" t="n"/>
      <c r="X277" s="492" t="n"/>
      <c r="Y277" s="492" t="n"/>
      <c r="Z277" s="492" t="n"/>
      <c r="AA277" s="492" t="n"/>
      <c r="AB277" s="492" t="n"/>
      <c r="AC277" s="492" t="n"/>
      <c r="AD277" s="492" t="n"/>
      <c r="AE277" s="493" t="n"/>
      <c r="AF277" s="492" t="n"/>
      <c r="AG277" s="492" t="n"/>
      <c r="AH277" s="492" t="n"/>
      <c r="AI277" s="492" t="n"/>
      <c r="AJ277" s="493" t="n"/>
      <c r="AK277" s="492" t="n"/>
      <c r="AL277" s="492" t="n"/>
      <c r="AM277" s="492" t="n"/>
      <c r="AN277" s="492" t="n"/>
      <c r="AO277" s="492" t="n"/>
      <c r="AP277" s="492" t="n"/>
      <c r="AQ277" s="492" t="n"/>
      <c r="AR277" s="492" t="n"/>
      <c r="AS277" s="492" t="n"/>
      <c r="AT277" s="492" t="n"/>
      <c r="AU277" s="493" t="n"/>
      <c r="AV277" s="492" t="n"/>
      <c r="AW277" s="492" t="n"/>
      <c r="AX277" s="492" t="n"/>
      <c r="AY277" s="492" t="n"/>
      <c r="AZ277" s="492" t="n"/>
      <c r="BA277" s="493" t="n"/>
      <c r="BB277" s="492" t="n"/>
      <c r="BC277" s="492" t="n"/>
      <c r="BD277" s="492" t="n"/>
      <c r="BE277" s="492" t="n"/>
      <c r="BF277" s="493" t="n"/>
      <c r="BG277" s="493" t="n"/>
      <c r="BH277" s="495" t="n"/>
      <c r="BI277" s="496" t="n"/>
      <c r="BJ277" s="496" t="n"/>
      <c r="BK277" s="550" t="n"/>
      <c r="BM277" s="493" t="n"/>
      <c r="BN277" s="493" t="n"/>
      <c r="BO277" s="493" t="n"/>
      <c r="BP277" s="493" t="n"/>
      <c r="BQ277" s="493" t="n"/>
      <c r="BR277" s="493" t="n"/>
      <c r="BS277" s="493" t="n"/>
      <c r="BT277" s="493" t="n"/>
      <c r="BU277" s="493" t="n"/>
      <c r="BV277" s="493" t="n"/>
      <c r="BW277" s="493" t="n"/>
      <c r="BX277" s="493" t="n"/>
      <c r="BY277" s="493" t="n"/>
      <c r="BZ277" s="493" t="n"/>
      <c r="CA277" s="493" t="n"/>
      <c r="CB277" s="493" t="n"/>
      <c r="CC277" s="493" t="n"/>
      <c r="CD277" s="493" t="n"/>
      <c r="CE277" s="493" t="n"/>
      <c r="CF277" s="493" t="n"/>
      <c r="CG277" s="493" t="n"/>
      <c r="CH277" s="493" t="n"/>
      <c r="CI277" s="493" t="n"/>
      <c r="CJ277" s="493" t="n"/>
      <c r="CK277" s="493" t="n"/>
      <c r="CL277" s="493" t="n"/>
    </row>
    <row r="278" customFormat="1" s="230">
      <c r="E278" s="234" t="n"/>
      <c r="F278" s="492" t="n"/>
      <c r="G278" s="492" t="n"/>
      <c r="H278" s="493" t="n"/>
      <c r="I278" s="492" t="n"/>
      <c r="J278" s="492" t="n"/>
      <c r="K278" s="492" t="n"/>
      <c r="L278" s="492" t="n"/>
      <c r="M278" s="493" t="n"/>
      <c r="N278" s="492" t="n"/>
      <c r="O278" s="492" t="n"/>
      <c r="P278" s="492" t="n"/>
      <c r="Q278" s="492" t="n"/>
      <c r="R278" s="492" t="n"/>
      <c r="S278" s="492" t="n"/>
      <c r="T278" s="492" t="n"/>
      <c r="U278" s="492" t="n"/>
      <c r="V278" s="492" t="n"/>
      <c r="W278" s="492" t="n"/>
      <c r="X278" s="492" t="n"/>
      <c r="Y278" s="492" t="n"/>
      <c r="Z278" s="492" t="n"/>
      <c r="AA278" s="492" t="n"/>
      <c r="AB278" s="492" t="n"/>
      <c r="AC278" s="492" t="n"/>
      <c r="AD278" s="492" t="n"/>
      <c r="AE278" s="493" t="n"/>
      <c r="AF278" s="492" t="n"/>
      <c r="AG278" s="492" t="n"/>
      <c r="AH278" s="492" t="n"/>
      <c r="AI278" s="492" t="n"/>
      <c r="AJ278" s="493" t="n"/>
      <c r="AK278" s="492" t="n"/>
      <c r="AL278" s="492" t="n"/>
      <c r="AM278" s="492" t="n"/>
      <c r="AN278" s="492" t="n"/>
      <c r="AO278" s="492" t="n"/>
      <c r="AP278" s="492" t="n"/>
      <c r="AQ278" s="492" t="n"/>
      <c r="AR278" s="492" t="n"/>
      <c r="AS278" s="492" t="n"/>
      <c r="AT278" s="492" t="n"/>
      <c r="AU278" s="493" t="n"/>
      <c r="AV278" s="492" t="n"/>
      <c r="AW278" s="492" t="n"/>
      <c r="AX278" s="492" t="n"/>
      <c r="AY278" s="492" t="n"/>
      <c r="AZ278" s="492" t="n"/>
      <c r="BA278" s="493" t="n"/>
      <c r="BB278" s="492" t="n"/>
      <c r="BC278" s="492" t="n"/>
      <c r="BD278" s="492" t="n"/>
      <c r="BE278" s="492" t="n"/>
      <c r="BF278" s="493" t="n"/>
      <c r="BG278" s="493" t="n"/>
      <c r="BH278" s="495" t="n"/>
      <c r="BI278" s="496" t="n"/>
      <c r="BJ278" s="496" t="n"/>
      <c r="BK278" s="550" t="n"/>
      <c r="BM278" s="493" t="n"/>
      <c r="BN278" s="493" t="n"/>
      <c r="BO278" s="493" t="n"/>
      <c r="BP278" s="493" t="n"/>
      <c r="BQ278" s="493" t="n"/>
      <c r="BR278" s="493" t="n"/>
      <c r="BS278" s="493" t="n"/>
      <c r="BT278" s="493" t="n"/>
      <c r="BU278" s="493" t="n"/>
      <c r="BV278" s="493" t="n"/>
      <c r="BW278" s="493" t="n"/>
      <c r="BX278" s="493" t="n"/>
      <c r="BY278" s="493" t="n"/>
      <c r="BZ278" s="493" t="n"/>
      <c r="CA278" s="493" t="n"/>
      <c r="CB278" s="493" t="n"/>
      <c r="CC278" s="493" t="n"/>
      <c r="CD278" s="493" t="n"/>
      <c r="CE278" s="493" t="n"/>
      <c r="CF278" s="493" t="n"/>
      <c r="CG278" s="493" t="n"/>
      <c r="CH278" s="493" t="n"/>
      <c r="CI278" s="493" t="n"/>
      <c r="CJ278" s="493" t="n"/>
      <c r="CK278" s="493" t="n"/>
      <c r="CL278" s="493" t="n"/>
    </row>
    <row r="279" customFormat="1" s="230">
      <c r="E279" s="234" t="n"/>
      <c r="F279" s="492" t="n"/>
      <c r="G279" s="492" t="n"/>
      <c r="H279" s="493" t="n"/>
      <c r="I279" s="492" t="n"/>
      <c r="J279" s="492" t="n"/>
      <c r="K279" s="492" t="n"/>
      <c r="L279" s="492" t="n"/>
      <c r="M279" s="493" t="n"/>
      <c r="N279" s="492" t="n"/>
      <c r="O279" s="492" t="n"/>
      <c r="P279" s="492" t="n"/>
      <c r="Q279" s="492" t="n"/>
      <c r="R279" s="492" t="n"/>
      <c r="S279" s="492" t="n"/>
      <c r="T279" s="492" t="n"/>
      <c r="U279" s="492" t="n"/>
      <c r="V279" s="492" t="n"/>
      <c r="W279" s="492" t="n"/>
      <c r="X279" s="492" t="n"/>
      <c r="Y279" s="492" t="n"/>
      <c r="Z279" s="492" t="n"/>
      <c r="AA279" s="492" t="n"/>
      <c r="AB279" s="492" t="n"/>
      <c r="AC279" s="492" t="n"/>
      <c r="AD279" s="492" t="n"/>
      <c r="AE279" s="493" t="n"/>
      <c r="AF279" s="492" t="n"/>
      <c r="AG279" s="492" t="n"/>
      <c r="AH279" s="492" t="n"/>
      <c r="AI279" s="492" t="n"/>
      <c r="AJ279" s="493" t="n"/>
      <c r="AK279" s="492" t="n"/>
      <c r="AL279" s="492" t="n"/>
      <c r="AM279" s="492" t="n"/>
      <c r="AN279" s="492" t="n"/>
      <c r="AO279" s="492" t="n"/>
      <c r="AP279" s="492" t="n"/>
      <c r="AQ279" s="492" t="n"/>
      <c r="AR279" s="492" t="n"/>
      <c r="AS279" s="492" t="n"/>
      <c r="AT279" s="492" t="n"/>
      <c r="AU279" s="493" t="n"/>
      <c r="AV279" s="492" t="n"/>
      <c r="AW279" s="492" t="n"/>
      <c r="AX279" s="492" t="n"/>
      <c r="AY279" s="492" t="n"/>
      <c r="AZ279" s="492" t="n"/>
      <c r="BA279" s="493" t="n"/>
      <c r="BB279" s="492" t="n"/>
      <c r="BC279" s="492" t="n"/>
      <c r="BD279" s="492" t="n"/>
      <c r="BE279" s="492" t="n"/>
      <c r="BF279" s="493" t="n"/>
      <c r="BG279" s="493" t="n"/>
      <c r="BH279" s="495" t="n"/>
      <c r="BI279" s="496" t="n"/>
      <c r="BJ279" s="496" t="n"/>
      <c r="BK279" s="550" t="n"/>
      <c r="BM279" s="493" t="n"/>
      <c r="BN279" s="493" t="n"/>
      <c r="BO279" s="493" t="n"/>
      <c r="BP279" s="493" t="n"/>
      <c r="BQ279" s="493" t="n"/>
      <c r="BR279" s="493" t="n"/>
      <c r="BS279" s="493" t="n"/>
      <c r="BT279" s="493" t="n"/>
      <c r="BU279" s="493" t="n"/>
      <c r="BV279" s="493" t="n"/>
      <c r="BW279" s="493" t="n"/>
      <c r="BX279" s="493" t="n"/>
      <c r="BY279" s="493" t="n"/>
      <c r="BZ279" s="493" t="n"/>
      <c r="CA279" s="493" t="n"/>
      <c r="CB279" s="493" t="n"/>
      <c r="CC279" s="493" t="n"/>
      <c r="CD279" s="493" t="n"/>
      <c r="CE279" s="493" t="n"/>
      <c r="CF279" s="493" t="n"/>
      <c r="CG279" s="493" t="n"/>
      <c r="CH279" s="493" t="n"/>
      <c r="CI279" s="493" t="n"/>
      <c r="CJ279" s="493" t="n"/>
      <c r="CK279" s="493" t="n"/>
      <c r="CL279" s="493" t="n"/>
    </row>
    <row r="280" customFormat="1" s="230">
      <c r="E280" s="234" t="n"/>
      <c r="F280" s="492" t="n"/>
      <c r="G280" s="492" t="n"/>
      <c r="H280" s="493" t="n"/>
      <c r="I280" s="492" t="n"/>
      <c r="J280" s="492" t="n"/>
      <c r="K280" s="492" t="n"/>
      <c r="L280" s="492" t="n"/>
      <c r="M280" s="493" t="n"/>
      <c r="N280" s="492" t="n"/>
      <c r="O280" s="492" t="n"/>
      <c r="P280" s="492" t="n"/>
      <c r="Q280" s="492" t="n"/>
      <c r="R280" s="492" t="n"/>
      <c r="S280" s="492" t="n"/>
      <c r="T280" s="492" t="n"/>
      <c r="U280" s="492" t="n"/>
      <c r="V280" s="492" t="n"/>
      <c r="W280" s="492" t="n"/>
      <c r="X280" s="492" t="n"/>
      <c r="Y280" s="492" t="n"/>
      <c r="Z280" s="492" t="n"/>
      <c r="AA280" s="492" t="n"/>
      <c r="AB280" s="492" t="n"/>
      <c r="AC280" s="492" t="n"/>
      <c r="AD280" s="492" t="n"/>
      <c r="AE280" s="493" t="n"/>
      <c r="AF280" s="492" t="n"/>
      <c r="AG280" s="492" t="n"/>
      <c r="AH280" s="492" t="n"/>
      <c r="AI280" s="492" t="n"/>
      <c r="AJ280" s="493" t="n"/>
      <c r="AK280" s="492" t="n"/>
      <c r="AL280" s="492" t="n"/>
      <c r="AM280" s="492" t="n"/>
      <c r="AN280" s="492" t="n"/>
      <c r="AO280" s="492" t="n"/>
      <c r="AP280" s="492" t="n"/>
      <c r="AQ280" s="492" t="n"/>
      <c r="AR280" s="492" t="n"/>
      <c r="AS280" s="492" t="n"/>
      <c r="AT280" s="492" t="n"/>
      <c r="AU280" s="493" t="n"/>
      <c r="AV280" s="492" t="n"/>
      <c r="AW280" s="492" t="n"/>
      <c r="AX280" s="492" t="n"/>
      <c r="AY280" s="492" t="n"/>
      <c r="AZ280" s="492" t="n"/>
      <c r="BA280" s="493" t="n"/>
      <c r="BB280" s="492" t="n"/>
      <c r="BC280" s="492" t="n"/>
      <c r="BD280" s="492" t="n"/>
      <c r="BE280" s="492" t="n"/>
      <c r="BF280" s="493" t="n"/>
      <c r="BG280" s="493" t="n"/>
      <c r="BH280" s="495" t="n"/>
      <c r="BI280" s="496" t="n"/>
      <c r="BJ280" s="496" t="n"/>
      <c r="BK280" s="550" t="n"/>
      <c r="BM280" s="493" t="n"/>
      <c r="BN280" s="493" t="n"/>
      <c r="BO280" s="493" t="n"/>
      <c r="BP280" s="493" t="n"/>
      <c r="BQ280" s="493" t="n"/>
      <c r="BR280" s="493" t="n"/>
      <c r="BS280" s="493" t="n"/>
      <c r="BT280" s="493" t="n"/>
      <c r="BU280" s="493" t="n"/>
      <c r="BV280" s="493" t="n"/>
      <c r="BW280" s="493" t="n"/>
      <c r="BX280" s="493" t="n"/>
      <c r="BY280" s="493" t="n"/>
      <c r="BZ280" s="493" t="n"/>
      <c r="CA280" s="493" t="n"/>
      <c r="CB280" s="493" t="n"/>
      <c r="CC280" s="493" t="n"/>
      <c r="CD280" s="493" t="n"/>
      <c r="CE280" s="493" t="n"/>
      <c r="CF280" s="493" t="n"/>
      <c r="CG280" s="493" t="n"/>
      <c r="CH280" s="493" t="n"/>
      <c r="CI280" s="493" t="n"/>
      <c r="CJ280" s="493" t="n"/>
      <c r="CK280" s="493" t="n"/>
      <c r="CL280" s="493" t="n"/>
    </row>
    <row r="281" customFormat="1" s="230">
      <c r="E281" s="234" t="n"/>
      <c r="F281" s="492" t="n"/>
      <c r="G281" s="492" t="n"/>
      <c r="H281" s="493" t="n"/>
      <c r="I281" s="492" t="n"/>
      <c r="J281" s="492" t="n"/>
      <c r="K281" s="492" t="n"/>
      <c r="L281" s="492" t="n"/>
      <c r="M281" s="493" t="n"/>
      <c r="N281" s="492" t="n"/>
      <c r="O281" s="492" t="n"/>
      <c r="P281" s="492" t="n"/>
      <c r="Q281" s="492" t="n"/>
      <c r="R281" s="492" t="n"/>
      <c r="S281" s="492" t="n"/>
      <c r="T281" s="492" t="n"/>
      <c r="U281" s="492" t="n"/>
      <c r="V281" s="492" t="n"/>
      <c r="W281" s="492" t="n"/>
      <c r="X281" s="492" t="n"/>
      <c r="Y281" s="492" t="n"/>
      <c r="Z281" s="492" t="n"/>
      <c r="AA281" s="492" t="n"/>
      <c r="AB281" s="492" t="n"/>
      <c r="AC281" s="492" t="n"/>
      <c r="AD281" s="492" t="n"/>
      <c r="AE281" s="493" t="n"/>
      <c r="AF281" s="492" t="n"/>
      <c r="AG281" s="492" t="n"/>
      <c r="AH281" s="492" t="n"/>
      <c r="AI281" s="492" t="n"/>
      <c r="AJ281" s="493" t="n"/>
      <c r="AK281" s="492" t="n"/>
      <c r="AL281" s="492" t="n"/>
      <c r="AM281" s="492" t="n"/>
      <c r="AN281" s="492" t="n"/>
      <c r="AO281" s="492" t="n"/>
      <c r="AP281" s="492" t="n"/>
      <c r="AQ281" s="492" t="n"/>
      <c r="AR281" s="492" t="n"/>
      <c r="AS281" s="492" t="n"/>
      <c r="AT281" s="492" t="n"/>
      <c r="AU281" s="493" t="n"/>
      <c r="AV281" s="492" t="n"/>
      <c r="AW281" s="492" t="n"/>
      <c r="AX281" s="492" t="n"/>
      <c r="AY281" s="492" t="n"/>
      <c r="AZ281" s="492" t="n"/>
      <c r="BA281" s="493" t="n"/>
      <c r="BB281" s="492" t="n"/>
      <c r="BC281" s="492" t="n"/>
      <c r="BD281" s="492" t="n"/>
      <c r="BE281" s="492" t="n"/>
      <c r="BF281" s="493" t="n"/>
      <c r="BG281" s="493" t="n"/>
      <c r="BH281" s="495" t="n"/>
      <c r="BI281" s="496" t="n"/>
      <c r="BJ281" s="496" t="n"/>
      <c r="BK281" s="550" t="n"/>
      <c r="BM281" s="493" t="n"/>
      <c r="BN281" s="493" t="n"/>
      <c r="BO281" s="493" t="n"/>
      <c r="BP281" s="493" t="n"/>
      <c r="BQ281" s="493" t="n"/>
      <c r="BR281" s="493" t="n"/>
      <c r="BS281" s="493" t="n"/>
      <c r="BT281" s="493" t="n"/>
      <c r="BU281" s="493" t="n"/>
      <c r="BV281" s="493" t="n"/>
      <c r="BW281" s="493" t="n"/>
      <c r="BX281" s="493" t="n"/>
      <c r="BY281" s="493" t="n"/>
      <c r="BZ281" s="493" t="n"/>
      <c r="CA281" s="493" t="n"/>
      <c r="CB281" s="493" t="n"/>
      <c r="CC281" s="493" t="n"/>
      <c r="CD281" s="493" t="n"/>
      <c r="CE281" s="493" t="n"/>
      <c r="CF281" s="493" t="n"/>
      <c r="CG281" s="493" t="n"/>
      <c r="CH281" s="493" t="n"/>
      <c r="CI281" s="493" t="n"/>
      <c r="CJ281" s="493" t="n"/>
      <c r="CK281" s="493" t="n"/>
      <c r="CL281" s="493" t="n"/>
    </row>
    <row r="282" customFormat="1" s="230">
      <c r="E282" s="234" t="n"/>
      <c r="F282" s="492" t="n"/>
      <c r="G282" s="492" t="n"/>
      <c r="H282" s="493" t="n"/>
      <c r="I282" s="492" t="n"/>
      <c r="J282" s="492" t="n"/>
      <c r="K282" s="492" t="n"/>
      <c r="L282" s="492" t="n"/>
      <c r="M282" s="493" t="n"/>
      <c r="N282" s="492" t="n"/>
      <c r="O282" s="492" t="n"/>
      <c r="P282" s="492" t="n"/>
      <c r="Q282" s="492" t="n"/>
      <c r="R282" s="492" t="n"/>
      <c r="S282" s="492" t="n"/>
      <c r="T282" s="492" t="n"/>
      <c r="U282" s="492" t="n"/>
      <c r="V282" s="492" t="n"/>
      <c r="W282" s="492" t="n"/>
      <c r="X282" s="492" t="n"/>
      <c r="Y282" s="492" t="n"/>
      <c r="Z282" s="492" t="n"/>
      <c r="AA282" s="492" t="n"/>
      <c r="AB282" s="492" t="n"/>
      <c r="AC282" s="492" t="n"/>
      <c r="AD282" s="492" t="n"/>
      <c r="AE282" s="493" t="n"/>
      <c r="AF282" s="492" t="n"/>
      <c r="AG282" s="492" t="n"/>
      <c r="AH282" s="492" t="n"/>
      <c r="AI282" s="492" t="n"/>
      <c r="AJ282" s="493" t="n"/>
      <c r="AK282" s="492" t="n"/>
      <c r="AL282" s="492" t="n"/>
      <c r="AM282" s="492" t="n"/>
      <c r="AN282" s="492" t="n"/>
      <c r="AO282" s="492" t="n"/>
      <c r="AP282" s="492" t="n"/>
      <c r="AQ282" s="492" t="n"/>
      <c r="AR282" s="492" t="n"/>
      <c r="AS282" s="492" t="n"/>
      <c r="AT282" s="492" t="n"/>
      <c r="AU282" s="493" t="n"/>
      <c r="AV282" s="492" t="n"/>
      <c r="AW282" s="492" t="n"/>
      <c r="AX282" s="492" t="n"/>
      <c r="AY282" s="492" t="n"/>
      <c r="AZ282" s="492" t="n"/>
      <c r="BA282" s="493" t="n"/>
      <c r="BB282" s="492" t="n"/>
      <c r="BC282" s="492" t="n"/>
      <c r="BD282" s="492" t="n"/>
      <c r="BE282" s="492" t="n"/>
      <c r="BF282" s="493" t="n"/>
      <c r="BG282" s="493" t="n"/>
      <c r="BH282" s="495" t="n"/>
      <c r="BI282" s="496" t="n"/>
      <c r="BJ282" s="496" t="n"/>
      <c r="BK282" s="550" t="n"/>
      <c r="BM282" s="493" t="n"/>
      <c r="BN282" s="493" t="n"/>
      <c r="BO282" s="493" t="n"/>
      <c r="BP282" s="493" t="n"/>
      <c r="BQ282" s="493" t="n"/>
      <c r="BR282" s="493" t="n"/>
      <c r="BS282" s="493" t="n"/>
      <c r="BT282" s="493" t="n"/>
      <c r="BU282" s="493" t="n"/>
      <c r="BV282" s="493" t="n"/>
      <c r="BW282" s="493" t="n"/>
      <c r="BX282" s="493" t="n"/>
      <c r="BY282" s="493" t="n"/>
      <c r="BZ282" s="493" t="n"/>
      <c r="CA282" s="493" t="n"/>
      <c r="CB282" s="493" t="n"/>
      <c r="CC282" s="493" t="n"/>
      <c r="CD282" s="493" t="n"/>
      <c r="CE282" s="493" t="n"/>
      <c r="CF282" s="493" t="n"/>
      <c r="CG282" s="493" t="n"/>
      <c r="CH282" s="493" t="n"/>
      <c r="CI282" s="493" t="n"/>
      <c r="CJ282" s="493" t="n"/>
      <c r="CK282" s="493" t="n"/>
      <c r="CL282" s="493" t="n"/>
    </row>
    <row r="283" customFormat="1" s="230">
      <c r="E283" s="234" t="n"/>
      <c r="F283" s="492" t="n"/>
      <c r="G283" s="492" t="n"/>
      <c r="H283" s="493" t="n"/>
      <c r="I283" s="492" t="n"/>
      <c r="J283" s="492" t="n"/>
      <c r="K283" s="492" t="n"/>
      <c r="L283" s="492" t="n"/>
      <c r="M283" s="493" t="n"/>
      <c r="N283" s="492" t="n"/>
      <c r="O283" s="492" t="n"/>
      <c r="P283" s="492" t="n"/>
      <c r="Q283" s="492" t="n"/>
      <c r="R283" s="492" t="n"/>
      <c r="S283" s="492" t="n"/>
      <c r="T283" s="492" t="n"/>
      <c r="U283" s="492" t="n"/>
      <c r="V283" s="492" t="n"/>
      <c r="W283" s="492" t="n"/>
      <c r="X283" s="492" t="n"/>
      <c r="Y283" s="492" t="n"/>
      <c r="Z283" s="492" t="n"/>
      <c r="AA283" s="492" t="n"/>
      <c r="AB283" s="492" t="n"/>
      <c r="AC283" s="492" t="n"/>
      <c r="AD283" s="492" t="n"/>
      <c r="AE283" s="493" t="n"/>
      <c r="AF283" s="492" t="n"/>
      <c r="AG283" s="492" t="n"/>
      <c r="AH283" s="492" t="n"/>
      <c r="AI283" s="492" t="n"/>
      <c r="AJ283" s="493" t="n"/>
      <c r="AK283" s="492" t="n"/>
      <c r="AL283" s="492" t="n"/>
      <c r="AM283" s="492" t="n"/>
      <c r="AN283" s="492" t="n"/>
      <c r="AO283" s="492" t="n"/>
      <c r="AP283" s="492" t="n"/>
      <c r="AQ283" s="492" t="n"/>
      <c r="AR283" s="492" t="n"/>
      <c r="AS283" s="492" t="n"/>
      <c r="AT283" s="492" t="n"/>
      <c r="AU283" s="493" t="n"/>
      <c r="AV283" s="492" t="n"/>
      <c r="AW283" s="492" t="n"/>
      <c r="AX283" s="492" t="n"/>
      <c r="AY283" s="492" t="n"/>
      <c r="AZ283" s="492" t="n"/>
      <c r="BA283" s="493" t="n"/>
      <c r="BB283" s="492" t="n"/>
      <c r="BC283" s="492" t="n"/>
      <c r="BD283" s="492" t="n"/>
      <c r="BE283" s="492" t="n"/>
      <c r="BF283" s="493" t="n"/>
      <c r="BG283" s="493" t="n"/>
      <c r="BH283" s="495" t="n"/>
      <c r="BI283" s="496" t="n"/>
      <c r="BJ283" s="496" t="n"/>
      <c r="BK283" s="550" t="n"/>
      <c r="BM283" s="493" t="n"/>
      <c r="BN283" s="493" t="n"/>
      <c r="BO283" s="493" t="n"/>
      <c r="BP283" s="493" t="n"/>
      <c r="BQ283" s="493" t="n"/>
      <c r="BR283" s="493" t="n"/>
      <c r="BS283" s="493" t="n"/>
      <c r="BT283" s="493" t="n"/>
      <c r="BU283" s="493" t="n"/>
      <c r="BV283" s="493" t="n"/>
      <c r="BW283" s="493" t="n"/>
      <c r="BX283" s="493" t="n"/>
      <c r="BY283" s="493" t="n"/>
      <c r="BZ283" s="493" t="n"/>
      <c r="CA283" s="493" t="n"/>
      <c r="CB283" s="493" t="n"/>
      <c r="CC283" s="493" t="n"/>
      <c r="CD283" s="493" t="n"/>
      <c r="CE283" s="493" t="n"/>
      <c r="CF283" s="493" t="n"/>
      <c r="CG283" s="493" t="n"/>
      <c r="CH283" s="493" t="n"/>
      <c r="CI283" s="493" t="n"/>
      <c r="CJ283" s="493" t="n"/>
      <c r="CK283" s="493" t="n"/>
      <c r="CL283" s="493" t="n"/>
    </row>
    <row r="284" customFormat="1" s="230">
      <c r="E284" s="234" t="n"/>
      <c r="F284" s="492" t="n"/>
      <c r="G284" s="492" t="n"/>
      <c r="H284" s="493" t="n"/>
      <c r="I284" s="492" t="n"/>
      <c r="J284" s="492" t="n"/>
      <c r="K284" s="492" t="n"/>
      <c r="L284" s="492" t="n"/>
      <c r="M284" s="493" t="n"/>
      <c r="N284" s="492" t="n"/>
      <c r="O284" s="492" t="n"/>
      <c r="P284" s="492" t="n"/>
      <c r="Q284" s="492" t="n"/>
      <c r="R284" s="492" t="n"/>
      <c r="S284" s="492" t="n"/>
      <c r="T284" s="492" t="n"/>
      <c r="U284" s="492" t="n"/>
      <c r="V284" s="492" t="n"/>
      <c r="W284" s="492" t="n"/>
      <c r="X284" s="492" t="n"/>
      <c r="Y284" s="492" t="n"/>
      <c r="Z284" s="492" t="n"/>
      <c r="AA284" s="492" t="n"/>
      <c r="AB284" s="492" t="n"/>
      <c r="AC284" s="492" t="n"/>
      <c r="AD284" s="492" t="n"/>
      <c r="AE284" s="493" t="n"/>
      <c r="AF284" s="492" t="n"/>
      <c r="AG284" s="492" t="n"/>
      <c r="AH284" s="492" t="n"/>
      <c r="AI284" s="492" t="n"/>
      <c r="AJ284" s="493" t="n"/>
      <c r="AK284" s="492" t="n"/>
      <c r="AL284" s="492" t="n"/>
      <c r="AM284" s="492" t="n"/>
      <c r="AN284" s="492" t="n"/>
      <c r="AO284" s="492" t="n"/>
      <c r="AP284" s="492" t="n"/>
      <c r="AQ284" s="492" t="n"/>
      <c r="AR284" s="492" t="n"/>
      <c r="AS284" s="492" t="n"/>
      <c r="AT284" s="492" t="n"/>
      <c r="AU284" s="493" t="n"/>
      <c r="AV284" s="492" t="n"/>
      <c r="AW284" s="492" t="n"/>
      <c r="AX284" s="492" t="n"/>
      <c r="AY284" s="492" t="n"/>
      <c r="AZ284" s="492" t="n"/>
      <c r="BA284" s="493" t="n"/>
      <c r="BB284" s="492" t="n"/>
      <c r="BC284" s="492" t="n"/>
      <c r="BD284" s="492" t="n"/>
      <c r="BE284" s="492" t="n"/>
      <c r="BF284" s="493" t="n"/>
      <c r="BG284" s="493" t="n"/>
      <c r="BH284" s="495" t="n"/>
      <c r="BI284" s="496" t="n"/>
      <c r="BJ284" s="496" t="n"/>
      <c r="BK284" s="550" t="n"/>
      <c r="BM284" s="493" t="n"/>
      <c r="BN284" s="493" t="n"/>
      <c r="BO284" s="493" t="n"/>
      <c r="BP284" s="493" t="n"/>
      <c r="BQ284" s="493" t="n"/>
      <c r="BR284" s="493" t="n"/>
      <c r="BS284" s="493" t="n"/>
      <c r="BT284" s="493" t="n"/>
      <c r="BU284" s="493" t="n"/>
      <c r="BV284" s="493" t="n"/>
      <c r="BW284" s="493" t="n"/>
      <c r="BX284" s="493" t="n"/>
      <c r="BY284" s="493" t="n"/>
      <c r="BZ284" s="493" t="n"/>
      <c r="CA284" s="493" t="n"/>
      <c r="CB284" s="493" t="n"/>
      <c r="CC284" s="493" t="n"/>
      <c r="CD284" s="493" t="n"/>
      <c r="CE284" s="493" t="n"/>
      <c r="CF284" s="493" t="n"/>
      <c r="CG284" s="493" t="n"/>
      <c r="CH284" s="493" t="n"/>
      <c r="CI284" s="493" t="n"/>
      <c r="CJ284" s="493" t="n"/>
      <c r="CK284" s="493" t="n"/>
      <c r="CL284" s="493" t="n"/>
    </row>
    <row r="285" customFormat="1" s="230">
      <c r="E285" s="234" t="n"/>
      <c r="F285" s="492" t="n"/>
      <c r="G285" s="492" t="n"/>
      <c r="H285" s="493" t="n"/>
      <c r="I285" s="492" t="n"/>
      <c r="J285" s="492" t="n"/>
      <c r="K285" s="492" t="n"/>
      <c r="L285" s="492" t="n"/>
      <c r="M285" s="493" t="n"/>
      <c r="N285" s="492" t="n"/>
      <c r="O285" s="492" t="n"/>
      <c r="P285" s="492" t="n"/>
      <c r="Q285" s="492" t="n"/>
      <c r="R285" s="492" t="n"/>
      <c r="S285" s="492" t="n"/>
      <c r="T285" s="492" t="n"/>
      <c r="U285" s="492" t="n"/>
      <c r="V285" s="492" t="n"/>
      <c r="W285" s="492" t="n"/>
      <c r="X285" s="492" t="n"/>
      <c r="Y285" s="492" t="n"/>
      <c r="Z285" s="492" t="n"/>
      <c r="AA285" s="492" t="n"/>
      <c r="AB285" s="492" t="n"/>
      <c r="AC285" s="492" t="n"/>
      <c r="AD285" s="492" t="n"/>
      <c r="AE285" s="493" t="n"/>
      <c r="AF285" s="492" t="n"/>
      <c r="AG285" s="492" t="n"/>
      <c r="AH285" s="492" t="n"/>
      <c r="AI285" s="492" t="n"/>
      <c r="AJ285" s="493" t="n"/>
      <c r="AK285" s="492" t="n"/>
      <c r="AL285" s="492" t="n"/>
      <c r="AM285" s="492" t="n"/>
      <c r="AN285" s="492" t="n"/>
      <c r="AO285" s="492" t="n"/>
      <c r="AP285" s="492" t="n"/>
      <c r="AQ285" s="492" t="n"/>
      <c r="AR285" s="492" t="n"/>
      <c r="AS285" s="492" t="n"/>
      <c r="AT285" s="492" t="n"/>
      <c r="AU285" s="493" t="n"/>
      <c r="AV285" s="492" t="n"/>
      <c r="AW285" s="492" t="n"/>
      <c r="AX285" s="492" t="n"/>
      <c r="AY285" s="492" t="n"/>
      <c r="AZ285" s="492" t="n"/>
      <c r="BA285" s="493" t="n"/>
      <c r="BB285" s="492" t="n"/>
      <c r="BC285" s="492" t="n"/>
      <c r="BD285" s="492" t="n"/>
      <c r="BE285" s="492" t="n"/>
      <c r="BF285" s="493" t="n"/>
      <c r="BG285" s="493" t="n"/>
      <c r="BH285" s="495" t="n"/>
      <c r="BI285" s="496" t="n"/>
      <c r="BJ285" s="496" t="n"/>
      <c r="BK285" s="550" t="n"/>
      <c r="BM285" s="493" t="n"/>
      <c r="BN285" s="493" t="n"/>
      <c r="BO285" s="493" t="n"/>
      <c r="BP285" s="493" t="n"/>
      <c r="BQ285" s="493" t="n"/>
      <c r="BR285" s="493" t="n"/>
      <c r="BS285" s="493" t="n"/>
      <c r="BT285" s="493" t="n"/>
      <c r="BU285" s="493" t="n"/>
      <c r="BV285" s="493" t="n"/>
      <c r="BW285" s="493" t="n"/>
      <c r="BX285" s="493" t="n"/>
      <c r="BY285" s="493" t="n"/>
      <c r="BZ285" s="493" t="n"/>
      <c r="CA285" s="493" t="n"/>
      <c r="CB285" s="493" t="n"/>
      <c r="CC285" s="493" t="n"/>
      <c r="CD285" s="493" t="n"/>
      <c r="CE285" s="493" t="n"/>
      <c r="CF285" s="493" t="n"/>
      <c r="CG285" s="493" t="n"/>
      <c r="CH285" s="493" t="n"/>
      <c r="CI285" s="493" t="n"/>
      <c r="CJ285" s="493" t="n"/>
      <c r="CK285" s="493" t="n"/>
      <c r="CL285" s="493" t="n"/>
    </row>
    <row r="286" customFormat="1" s="230">
      <c r="E286" s="234" t="n"/>
      <c r="F286" s="492" t="n"/>
      <c r="G286" s="492" t="n"/>
      <c r="H286" s="493" t="n"/>
      <c r="I286" s="492" t="n"/>
      <c r="J286" s="492" t="n"/>
      <c r="K286" s="492" t="n"/>
      <c r="L286" s="492" t="n"/>
      <c r="M286" s="493" t="n"/>
      <c r="N286" s="492" t="n"/>
      <c r="O286" s="492" t="n"/>
      <c r="P286" s="492" t="n"/>
      <c r="Q286" s="492" t="n"/>
      <c r="R286" s="492" t="n"/>
      <c r="S286" s="492" t="n"/>
      <c r="T286" s="492" t="n"/>
      <c r="U286" s="492" t="n"/>
      <c r="V286" s="492" t="n"/>
      <c r="W286" s="492" t="n"/>
      <c r="X286" s="492" t="n"/>
      <c r="Y286" s="492" t="n"/>
      <c r="Z286" s="492" t="n"/>
      <c r="AA286" s="492" t="n"/>
      <c r="AB286" s="492" t="n"/>
      <c r="AC286" s="492" t="n"/>
      <c r="AD286" s="492" t="n"/>
      <c r="AE286" s="493" t="n"/>
      <c r="AF286" s="492" t="n"/>
      <c r="AG286" s="492" t="n"/>
      <c r="AH286" s="492" t="n"/>
      <c r="AI286" s="492" t="n"/>
      <c r="AJ286" s="493" t="n"/>
      <c r="AK286" s="492" t="n"/>
      <c r="AL286" s="492" t="n"/>
      <c r="AM286" s="492" t="n"/>
      <c r="AN286" s="492" t="n"/>
      <c r="AO286" s="492" t="n"/>
      <c r="AP286" s="492" t="n"/>
      <c r="AQ286" s="492" t="n"/>
      <c r="AR286" s="492" t="n"/>
      <c r="AS286" s="492" t="n"/>
      <c r="AT286" s="492" t="n"/>
      <c r="AU286" s="493" t="n"/>
      <c r="AV286" s="492" t="n"/>
      <c r="AW286" s="492" t="n"/>
      <c r="AX286" s="492" t="n"/>
      <c r="AY286" s="492" t="n"/>
      <c r="AZ286" s="492" t="n"/>
      <c r="BA286" s="493" t="n"/>
      <c r="BB286" s="492" t="n"/>
      <c r="BC286" s="492" t="n"/>
      <c r="BD286" s="492" t="n"/>
      <c r="BE286" s="492" t="n"/>
      <c r="BF286" s="493" t="n"/>
      <c r="BG286" s="493" t="n"/>
      <c r="BH286" s="495" t="n"/>
      <c r="BI286" s="496" t="n"/>
      <c r="BJ286" s="496" t="n"/>
      <c r="BK286" s="550" t="n"/>
      <c r="BM286" s="493" t="n"/>
      <c r="BN286" s="493" t="n"/>
      <c r="BO286" s="493" t="n"/>
      <c r="BP286" s="493" t="n"/>
      <c r="BQ286" s="493" t="n"/>
      <c r="BR286" s="493" t="n"/>
      <c r="BS286" s="493" t="n"/>
      <c r="BT286" s="493" t="n"/>
      <c r="BU286" s="493" t="n"/>
      <c r="BV286" s="493" t="n"/>
      <c r="BW286" s="493" t="n"/>
      <c r="BX286" s="493" t="n"/>
      <c r="BY286" s="493" t="n"/>
      <c r="BZ286" s="493" t="n"/>
      <c r="CA286" s="493" t="n"/>
      <c r="CB286" s="493" t="n"/>
      <c r="CC286" s="493" t="n"/>
      <c r="CD286" s="493" t="n"/>
      <c r="CE286" s="493" t="n"/>
      <c r="CF286" s="493" t="n"/>
      <c r="CG286" s="493" t="n"/>
      <c r="CH286" s="493" t="n"/>
      <c r="CI286" s="493" t="n"/>
      <c r="CJ286" s="493" t="n"/>
      <c r="CK286" s="493" t="n"/>
      <c r="CL286" s="493" t="n"/>
    </row>
    <row r="287" customFormat="1" s="230">
      <c r="E287" s="234" t="n"/>
      <c r="F287" s="492" t="n"/>
      <c r="G287" s="492" t="n"/>
      <c r="H287" s="493" t="n"/>
      <c r="I287" s="492" t="n"/>
      <c r="J287" s="492" t="n"/>
      <c r="K287" s="492" t="n"/>
      <c r="L287" s="492" t="n"/>
      <c r="M287" s="493" t="n"/>
      <c r="N287" s="492" t="n"/>
      <c r="O287" s="492" t="n"/>
      <c r="P287" s="492" t="n"/>
      <c r="Q287" s="492" t="n"/>
      <c r="R287" s="492" t="n"/>
      <c r="S287" s="492" t="n"/>
      <c r="T287" s="492" t="n"/>
      <c r="U287" s="492" t="n"/>
      <c r="V287" s="492" t="n"/>
      <c r="W287" s="492" t="n"/>
      <c r="X287" s="492" t="n"/>
      <c r="Y287" s="492" t="n"/>
      <c r="Z287" s="492" t="n"/>
      <c r="AA287" s="492" t="n"/>
      <c r="AB287" s="492" t="n"/>
      <c r="AC287" s="492" t="n"/>
      <c r="AD287" s="492" t="n"/>
      <c r="AE287" s="493" t="n"/>
      <c r="AF287" s="492" t="n"/>
      <c r="AG287" s="492" t="n"/>
      <c r="AH287" s="492" t="n"/>
      <c r="AI287" s="492" t="n"/>
      <c r="AJ287" s="493" t="n"/>
      <c r="AK287" s="492" t="n"/>
      <c r="AL287" s="492" t="n"/>
      <c r="AM287" s="492" t="n"/>
      <c r="AN287" s="492" t="n"/>
      <c r="AO287" s="492" t="n"/>
      <c r="AP287" s="492" t="n"/>
      <c r="AQ287" s="492" t="n"/>
      <c r="AR287" s="492" t="n"/>
      <c r="AS287" s="492" t="n"/>
      <c r="AT287" s="492" t="n"/>
      <c r="AU287" s="493" t="n"/>
      <c r="AV287" s="492" t="n"/>
      <c r="AW287" s="492" t="n"/>
      <c r="AX287" s="492" t="n"/>
      <c r="AY287" s="492" t="n"/>
      <c r="AZ287" s="492" t="n"/>
      <c r="BA287" s="493" t="n"/>
      <c r="BB287" s="492" t="n"/>
      <c r="BC287" s="492" t="n"/>
      <c r="BD287" s="492" t="n"/>
      <c r="BE287" s="492" t="n"/>
      <c r="BF287" s="493" t="n"/>
      <c r="BG287" s="493" t="n"/>
      <c r="BH287" s="495" t="n"/>
      <c r="BI287" s="496" t="n"/>
      <c r="BJ287" s="496" t="n"/>
      <c r="BK287" s="550" t="n"/>
      <c r="BM287" s="493" t="n"/>
      <c r="BN287" s="493" t="n"/>
      <c r="BO287" s="493" t="n"/>
      <c r="BP287" s="493" t="n"/>
      <c r="BQ287" s="493" t="n"/>
      <c r="BR287" s="493" t="n"/>
      <c r="BS287" s="493" t="n"/>
      <c r="BT287" s="493" t="n"/>
      <c r="BU287" s="493" t="n"/>
      <c r="BV287" s="493" t="n"/>
      <c r="BW287" s="493" t="n"/>
      <c r="BX287" s="493" t="n"/>
      <c r="BY287" s="493" t="n"/>
      <c r="BZ287" s="493" t="n"/>
      <c r="CA287" s="493" t="n"/>
      <c r="CB287" s="493" t="n"/>
      <c r="CC287" s="493" t="n"/>
      <c r="CD287" s="493" t="n"/>
      <c r="CE287" s="493" t="n"/>
      <c r="CF287" s="493" t="n"/>
      <c r="CG287" s="493" t="n"/>
      <c r="CH287" s="493" t="n"/>
      <c r="CI287" s="493" t="n"/>
      <c r="CJ287" s="493" t="n"/>
      <c r="CK287" s="493" t="n"/>
      <c r="CL287" s="493" t="n"/>
    </row>
    <row r="288" customFormat="1" s="230">
      <c r="E288" s="234" t="n"/>
      <c r="F288" s="492" t="n"/>
      <c r="G288" s="492" t="n"/>
      <c r="H288" s="493" t="n"/>
      <c r="I288" s="492" t="n"/>
      <c r="J288" s="492" t="n"/>
      <c r="K288" s="492" t="n"/>
      <c r="L288" s="492" t="n"/>
      <c r="M288" s="493" t="n"/>
      <c r="N288" s="492" t="n"/>
      <c r="O288" s="492" t="n"/>
      <c r="P288" s="492" t="n"/>
      <c r="Q288" s="492" t="n"/>
      <c r="R288" s="492" t="n"/>
      <c r="S288" s="492" t="n"/>
      <c r="T288" s="492" t="n"/>
      <c r="U288" s="492" t="n"/>
      <c r="V288" s="492" t="n"/>
      <c r="W288" s="492" t="n"/>
      <c r="X288" s="492" t="n"/>
      <c r="Y288" s="492" t="n"/>
      <c r="Z288" s="492" t="n"/>
      <c r="AA288" s="492" t="n"/>
      <c r="AB288" s="492" t="n"/>
      <c r="AC288" s="492" t="n"/>
      <c r="AD288" s="492" t="n"/>
      <c r="AE288" s="493" t="n"/>
      <c r="AF288" s="492" t="n"/>
      <c r="AG288" s="492" t="n"/>
      <c r="AH288" s="492" t="n"/>
      <c r="AI288" s="492" t="n"/>
      <c r="AJ288" s="493" t="n"/>
      <c r="AK288" s="492" t="n"/>
      <c r="AL288" s="492" t="n"/>
      <c r="AM288" s="492" t="n"/>
      <c r="AN288" s="492" t="n"/>
      <c r="AO288" s="492" t="n"/>
      <c r="AP288" s="492" t="n"/>
      <c r="AQ288" s="492" t="n"/>
      <c r="AR288" s="492" t="n"/>
      <c r="AS288" s="492" t="n"/>
      <c r="AT288" s="492" t="n"/>
      <c r="AU288" s="493" t="n"/>
      <c r="AV288" s="492" t="n"/>
      <c r="AW288" s="492" t="n"/>
      <c r="AX288" s="492" t="n"/>
      <c r="AY288" s="492" t="n"/>
      <c r="AZ288" s="492" t="n"/>
      <c r="BA288" s="493" t="n"/>
      <c r="BB288" s="492" t="n"/>
      <c r="BC288" s="492" t="n"/>
      <c r="BD288" s="492" t="n"/>
      <c r="BE288" s="492" t="n"/>
      <c r="BF288" s="493" t="n"/>
      <c r="BG288" s="493" t="n"/>
      <c r="BH288" s="495" t="n"/>
      <c r="BI288" s="496" t="n"/>
      <c r="BJ288" s="496" t="n"/>
      <c r="BK288" s="550" t="n"/>
      <c r="BM288" s="493" t="n"/>
      <c r="BN288" s="493" t="n"/>
      <c r="BO288" s="493" t="n"/>
      <c r="BP288" s="493" t="n"/>
      <c r="BQ288" s="493" t="n"/>
      <c r="BR288" s="493" t="n"/>
      <c r="BS288" s="493" t="n"/>
      <c r="BT288" s="493" t="n"/>
      <c r="BU288" s="493" t="n"/>
      <c r="BV288" s="493" t="n"/>
      <c r="BW288" s="493" t="n"/>
      <c r="BX288" s="493" t="n"/>
      <c r="BY288" s="493" t="n"/>
      <c r="BZ288" s="493" t="n"/>
      <c r="CA288" s="493" t="n"/>
      <c r="CB288" s="493" t="n"/>
      <c r="CC288" s="493" t="n"/>
      <c r="CD288" s="493" t="n"/>
      <c r="CE288" s="493" t="n"/>
      <c r="CF288" s="493" t="n"/>
      <c r="CG288" s="493" t="n"/>
      <c r="CH288" s="493" t="n"/>
      <c r="CI288" s="493" t="n"/>
      <c r="CJ288" s="493" t="n"/>
      <c r="CK288" s="493" t="n"/>
      <c r="CL288" s="493" t="n"/>
    </row>
    <row r="289" customFormat="1" s="230">
      <c r="E289" s="234" t="n"/>
      <c r="F289" s="492" t="n"/>
      <c r="G289" s="492" t="n"/>
      <c r="H289" s="493" t="n"/>
      <c r="I289" s="492" t="n"/>
      <c r="J289" s="492" t="n"/>
      <c r="K289" s="492" t="n"/>
      <c r="L289" s="492" t="n"/>
      <c r="M289" s="493" t="n"/>
      <c r="N289" s="492" t="n"/>
      <c r="O289" s="492" t="n"/>
      <c r="P289" s="492" t="n"/>
      <c r="Q289" s="492" t="n"/>
      <c r="R289" s="492" t="n"/>
      <c r="S289" s="492" t="n"/>
      <c r="T289" s="492" t="n"/>
      <c r="U289" s="492" t="n"/>
      <c r="V289" s="492" t="n"/>
      <c r="W289" s="492" t="n"/>
      <c r="X289" s="492" t="n"/>
      <c r="Y289" s="492" t="n"/>
      <c r="Z289" s="492" t="n"/>
      <c r="AA289" s="492" t="n"/>
      <c r="AB289" s="492" t="n"/>
      <c r="AC289" s="492" t="n"/>
      <c r="AD289" s="492" t="n"/>
      <c r="AE289" s="493" t="n"/>
      <c r="AF289" s="492" t="n"/>
      <c r="AG289" s="492" t="n"/>
      <c r="AH289" s="492" t="n"/>
      <c r="AI289" s="492" t="n"/>
      <c r="AJ289" s="493" t="n"/>
      <c r="AK289" s="492" t="n"/>
      <c r="AL289" s="492" t="n"/>
      <c r="AM289" s="492" t="n"/>
      <c r="AN289" s="492" t="n"/>
      <c r="AO289" s="492" t="n"/>
      <c r="AP289" s="492" t="n"/>
      <c r="AQ289" s="492" t="n"/>
      <c r="AR289" s="492" t="n"/>
      <c r="AS289" s="492" t="n"/>
      <c r="AT289" s="492" t="n"/>
      <c r="AU289" s="493" t="n"/>
      <c r="AV289" s="492" t="n"/>
      <c r="AW289" s="492" t="n"/>
      <c r="AX289" s="492" t="n"/>
      <c r="AY289" s="492" t="n"/>
      <c r="AZ289" s="492" t="n"/>
      <c r="BA289" s="493" t="n"/>
      <c r="BB289" s="492" t="n"/>
      <c r="BC289" s="492" t="n"/>
      <c r="BD289" s="492" t="n"/>
      <c r="BE289" s="492" t="n"/>
      <c r="BF289" s="493" t="n"/>
      <c r="BG289" s="493" t="n"/>
      <c r="BH289" s="495" t="n"/>
      <c r="BI289" s="496" t="n"/>
      <c r="BJ289" s="496" t="n"/>
      <c r="BK289" s="550" t="n"/>
      <c r="BM289" s="493" t="n"/>
      <c r="BN289" s="493" t="n"/>
      <c r="BO289" s="493" t="n"/>
      <c r="BP289" s="493" t="n"/>
      <c r="BQ289" s="493" t="n"/>
      <c r="BR289" s="493" t="n"/>
      <c r="BS289" s="493" t="n"/>
      <c r="BT289" s="493" t="n"/>
      <c r="BU289" s="493" t="n"/>
      <c r="BV289" s="493" t="n"/>
      <c r="BW289" s="493" t="n"/>
      <c r="BX289" s="493" t="n"/>
      <c r="BY289" s="493" t="n"/>
      <c r="BZ289" s="493" t="n"/>
      <c r="CA289" s="493" t="n"/>
      <c r="CB289" s="493" t="n"/>
      <c r="CC289" s="493" t="n"/>
      <c r="CD289" s="493" t="n"/>
      <c r="CE289" s="493" t="n"/>
      <c r="CF289" s="493" t="n"/>
      <c r="CG289" s="493" t="n"/>
      <c r="CH289" s="493" t="n"/>
      <c r="CI289" s="493" t="n"/>
      <c r="CJ289" s="493" t="n"/>
      <c r="CK289" s="493" t="n"/>
      <c r="CL289" s="493" t="n"/>
    </row>
    <row r="290" customFormat="1" s="230">
      <c r="E290" s="234" t="n"/>
      <c r="F290" s="492" t="n"/>
      <c r="G290" s="492" t="n"/>
      <c r="H290" s="493" t="n"/>
      <c r="I290" s="492" t="n"/>
      <c r="J290" s="492" t="n"/>
      <c r="K290" s="492" t="n"/>
      <c r="L290" s="492" t="n"/>
      <c r="M290" s="493" t="n"/>
      <c r="N290" s="492" t="n"/>
      <c r="O290" s="492" t="n"/>
      <c r="P290" s="492" t="n"/>
      <c r="Q290" s="492" t="n"/>
      <c r="R290" s="492" t="n"/>
      <c r="S290" s="492" t="n"/>
      <c r="T290" s="492" t="n"/>
      <c r="U290" s="492" t="n"/>
      <c r="V290" s="492" t="n"/>
      <c r="W290" s="492" t="n"/>
      <c r="X290" s="492" t="n"/>
      <c r="Y290" s="492" t="n"/>
      <c r="Z290" s="492" t="n"/>
      <c r="AA290" s="492" t="n"/>
      <c r="AB290" s="492" t="n"/>
      <c r="AC290" s="492" t="n"/>
      <c r="AD290" s="492" t="n"/>
      <c r="AE290" s="493" t="n"/>
      <c r="AF290" s="492" t="n"/>
      <c r="AG290" s="492" t="n"/>
      <c r="AH290" s="492" t="n"/>
      <c r="AI290" s="492" t="n"/>
      <c r="AJ290" s="493" t="n"/>
      <c r="AK290" s="492" t="n"/>
      <c r="AL290" s="492" t="n"/>
      <c r="AM290" s="492" t="n"/>
      <c r="AN290" s="492" t="n"/>
      <c r="AO290" s="492" t="n"/>
      <c r="AP290" s="492" t="n"/>
      <c r="AQ290" s="492" t="n"/>
      <c r="AR290" s="492" t="n"/>
      <c r="AS290" s="492" t="n"/>
      <c r="AT290" s="492" t="n"/>
      <c r="AU290" s="493" t="n"/>
      <c r="AV290" s="492" t="n"/>
      <c r="AW290" s="492" t="n"/>
      <c r="AX290" s="492" t="n"/>
      <c r="AY290" s="492" t="n"/>
      <c r="AZ290" s="492" t="n"/>
      <c r="BA290" s="493" t="n"/>
      <c r="BB290" s="492" t="n"/>
      <c r="BC290" s="492" t="n"/>
      <c r="BD290" s="492" t="n"/>
      <c r="BE290" s="492" t="n"/>
      <c r="BF290" s="493" t="n"/>
      <c r="BG290" s="493" t="n"/>
      <c r="BH290" s="495" t="n"/>
      <c r="BI290" s="496" t="n"/>
      <c r="BJ290" s="496" t="n"/>
      <c r="BK290" s="550" t="n"/>
      <c r="BM290" s="493" t="n"/>
      <c r="BN290" s="493" t="n"/>
      <c r="BO290" s="493" t="n"/>
      <c r="BP290" s="493" t="n"/>
      <c r="BQ290" s="493" t="n"/>
      <c r="BR290" s="493" t="n"/>
      <c r="BS290" s="493" t="n"/>
      <c r="BT290" s="493" t="n"/>
      <c r="BU290" s="493" t="n"/>
      <c r="BV290" s="493" t="n"/>
      <c r="BW290" s="493" t="n"/>
      <c r="BX290" s="493" t="n"/>
      <c r="BY290" s="493" t="n"/>
      <c r="BZ290" s="493" t="n"/>
      <c r="CA290" s="493" t="n"/>
      <c r="CB290" s="493" t="n"/>
      <c r="CC290" s="493" t="n"/>
      <c r="CD290" s="493" t="n"/>
      <c r="CE290" s="493" t="n"/>
      <c r="CF290" s="493" t="n"/>
      <c r="CG290" s="493" t="n"/>
      <c r="CH290" s="493" t="n"/>
      <c r="CI290" s="493" t="n"/>
      <c r="CJ290" s="493" t="n"/>
      <c r="CK290" s="493" t="n"/>
      <c r="CL290" s="493" t="n"/>
    </row>
    <row r="291" customFormat="1" s="230">
      <c r="E291" s="234" t="n"/>
      <c r="F291" s="492" t="n"/>
      <c r="G291" s="492" t="n"/>
      <c r="H291" s="493" t="n"/>
      <c r="I291" s="492" t="n"/>
      <c r="J291" s="492" t="n"/>
      <c r="K291" s="492" t="n"/>
      <c r="L291" s="492" t="n"/>
      <c r="M291" s="493" t="n"/>
      <c r="N291" s="492" t="n"/>
      <c r="O291" s="492" t="n"/>
      <c r="P291" s="492" t="n"/>
      <c r="Q291" s="492" t="n"/>
      <c r="R291" s="492" t="n"/>
      <c r="S291" s="492" t="n"/>
      <c r="T291" s="492" t="n"/>
      <c r="U291" s="492" t="n"/>
      <c r="V291" s="492" t="n"/>
      <c r="W291" s="492" t="n"/>
      <c r="X291" s="492" t="n"/>
      <c r="Y291" s="492" t="n"/>
      <c r="Z291" s="492" t="n"/>
      <c r="AA291" s="492" t="n"/>
      <c r="AB291" s="492" t="n"/>
      <c r="AC291" s="492" t="n"/>
      <c r="AD291" s="492" t="n"/>
      <c r="AE291" s="493" t="n"/>
      <c r="AF291" s="492" t="n"/>
      <c r="AG291" s="492" t="n"/>
      <c r="AH291" s="492" t="n"/>
      <c r="AI291" s="492" t="n"/>
      <c r="AJ291" s="493" t="n"/>
      <c r="AK291" s="492" t="n"/>
      <c r="AL291" s="492" t="n"/>
      <c r="AM291" s="492" t="n"/>
      <c r="AN291" s="492" t="n"/>
      <c r="AO291" s="492" t="n"/>
      <c r="AP291" s="492" t="n"/>
      <c r="AQ291" s="492" t="n"/>
      <c r="AR291" s="492" t="n"/>
      <c r="AS291" s="492" t="n"/>
      <c r="AT291" s="492" t="n"/>
      <c r="AU291" s="493" t="n"/>
      <c r="AV291" s="492" t="n"/>
      <c r="AW291" s="492" t="n"/>
      <c r="AX291" s="492" t="n"/>
      <c r="AY291" s="492" t="n"/>
      <c r="AZ291" s="492" t="n"/>
      <c r="BA291" s="493" t="n"/>
      <c r="BB291" s="492" t="n"/>
      <c r="BC291" s="492" t="n"/>
      <c r="BD291" s="492" t="n"/>
      <c r="BE291" s="492" t="n"/>
      <c r="BF291" s="493" t="n"/>
      <c r="BG291" s="493" t="n"/>
      <c r="BH291" s="495" t="n"/>
      <c r="BI291" s="496" t="n"/>
      <c r="BJ291" s="496" t="n"/>
      <c r="BK291" s="550" t="n"/>
      <c r="BM291" s="493" t="n"/>
      <c r="BN291" s="493" t="n"/>
      <c r="BO291" s="493" t="n"/>
      <c r="BP291" s="493" t="n"/>
      <c r="BQ291" s="493" t="n"/>
      <c r="BR291" s="493" t="n"/>
      <c r="BS291" s="493" t="n"/>
      <c r="BT291" s="493" t="n"/>
      <c r="BU291" s="493" t="n"/>
      <c r="BV291" s="493" t="n"/>
      <c r="BW291" s="493" t="n"/>
      <c r="BX291" s="493" t="n"/>
      <c r="BY291" s="493" t="n"/>
      <c r="BZ291" s="493" t="n"/>
      <c r="CA291" s="493" t="n"/>
      <c r="CB291" s="493" t="n"/>
      <c r="CC291" s="493" t="n"/>
      <c r="CD291" s="493" t="n"/>
      <c r="CE291" s="493" t="n"/>
      <c r="CF291" s="493" t="n"/>
      <c r="CG291" s="493" t="n"/>
      <c r="CH291" s="493" t="n"/>
      <c r="CI291" s="493" t="n"/>
      <c r="CJ291" s="493" t="n"/>
      <c r="CK291" s="493" t="n"/>
      <c r="CL291" s="493" t="n"/>
    </row>
    <row r="292" customFormat="1" s="230">
      <c r="E292" s="234" t="n"/>
      <c r="F292" s="492" t="n"/>
      <c r="G292" s="492" t="n"/>
      <c r="H292" s="493" t="n"/>
      <c r="I292" s="492" t="n"/>
      <c r="J292" s="492" t="n"/>
      <c r="K292" s="492" t="n"/>
      <c r="L292" s="492" t="n"/>
      <c r="M292" s="493" t="n"/>
      <c r="N292" s="492" t="n"/>
      <c r="O292" s="492" t="n"/>
      <c r="P292" s="492" t="n"/>
      <c r="Q292" s="492" t="n"/>
      <c r="R292" s="492" t="n"/>
      <c r="S292" s="492" t="n"/>
      <c r="T292" s="492" t="n"/>
      <c r="U292" s="492" t="n"/>
      <c r="V292" s="492" t="n"/>
      <c r="W292" s="492" t="n"/>
      <c r="X292" s="492" t="n"/>
      <c r="Y292" s="492" t="n"/>
      <c r="Z292" s="492" t="n"/>
      <c r="AA292" s="492" t="n"/>
      <c r="AB292" s="492" t="n"/>
      <c r="AC292" s="492" t="n"/>
      <c r="AD292" s="492" t="n"/>
      <c r="AE292" s="493" t="n"/>
      <c r="AF292" s="492" t="n"/>
      <c r="AG292" s="492" t="n"/>
      <c r="AH292" s="492" t="n"/>
      <c r="AI292" s="492" t="n"/>
      <c r="AJ292" s="493" t="n"/>
      <c r="AK292" s="492" t="n"/>
      <c r="AL292" s="492" t="n"/>
      <c r="AM292" s="492" t="n"/>
      <c r="AN292" s="492" t="n"/>
      <c r="AO292" s="492" t="n"/>
      <c r="AP292" s="492" t="n"/>
      <c r="AQ292" s="492" t="n"/>
      <c r="AR292" s="492" t="n"/>
      <c r="AS292" s="492" t="n"/>
      <c r="AT292" s="492" t="n"/>
      <c r="AU292" s="493" t="n"/>
      <c r="AV292" s="492" t="n"/>
      <c r="AW292" s="492" t="n"/>
      <c r="AX292" s="492" t="n"/>
      <c r="AY292" s="492" t="n"/>
      <c r="AZ292" s="492" t="n"/>
      <c r="BA292" s="493" t="n"/>
      <c r="BB292" s="492" t="n"/>
      <c r="BC292" s="492" t="n"/>
      <c r="BD292" s="492" t="n"/>
      <c r="BE292" s="492" t="n"/>
      <c r="BF292" s="493" t="n"/>
      <c r="BG292" s="493" t="n"/>
      <c r="BH292" s="495" t="n"/>
      <c r="BI292" s="496" t="n"/>
      <c r="BJ292" s="496" t="n"/>
      <c r="BK292" s="550" t="n"/>
      <c r="BM292" s="493" t="n"/>
      <c r="BN292" s="493" t="n"/>
      <c r="BO292" s="493" t="n"/>
      <c r="BP292" s="493" t="n"/>
      <c r="BQ292" s="493" t="n"/>
      <c r="BR292" s="493" t="n"/>
      <c r="BS292" s="493" t="n"/>
      <c r="BT292" s="493" t="n"/>
      <c r="BU292" s="493" t="n"/>
      <c r="BV292" s="493" t="n"/>
      <c r="BW292" s="493" t="n"/>
      <c r="BX292" s="493" t="n"/>
      <c r="BY292" s="493" t="n"/>
      <c r="BZ292" s="493" t="n"/>
      <c r="CA292" s="493" t="n"/>
      <c r="CB292" s="493" t="n"/>
      <c r="CC292" s="493" t="n"/>
      <c r="CD292" s="493" t="n"/>
      <c r="CE292" s="493" t="n"/>
      <c r="CF292" s="493" t="n"/>
      <c r="CG292" s="493" t="n"/>
      <c r="CH292" s="493" t="n"/>
      <c r="CI292" s="493" t="n"/>
      <c r="CJ292" s="493" t="n"/>
      <c r="CK292" s="493" t="n"/>
      <c r="CL292" s="493" t="n"/>
    </row>
    <row r="293" customFormat="1" s="230">
      <c r="E293" s="234" t="n"/>
      <c r="F293" s="492" t="n"/>
      <c r="G293" s="492" t="n"/>
      <c r="H293" s="493" t="n"/>
      <c r="I293" s="492" t="n"/>
      <c r="J293" s="492" t="n"/>
      <c r="K293" s="492" t="n"/>
      <c r="L293" s="492" t="n"/>
      <c r="M293" s="493" t="n"/>
      <c r="N293" s="492" t="n"/>
      <c r="O293" s="492" t="n"/>
      <c r="P293" s="492" t="n"/>
      <c r="Q293" s="492" t="n"/>
      <c r="R293" s="492" t="n"/>
      <c r="S293" s="492" t="n"/>
      <c r="T293" s="492" t="n"/>
      <c r="U293" s="492" t="n"/>
      <c r="V293" s="492" t="n"/>
      <c r="W293" s="492" t="n"/>
      <c r="X293" s="492" t="n"/>
      <c r="Y293" s="492" t="n"/>
      <c r="Z293" s="492" t="n"/>
      <c r="AA293" s="492" t="n"/>
      <c r="AB293" s="492" t="n"/>
      <c r="AC293" s="492" t="n"/>
      <c r="AD293" s="492" t="n"/>
      <c r="AE293" s="493" t="n"/>
      <c r="AF293" s="492" t="n"/>
      <c r="AG293" s="492" t="n"/>
      <c r="AH293" s="492" t="n"/>
      <c r="AI293" s="492" t="n"/>
      <c r="AJ293" s="493" t="n"/>
      <c r="AK293" s="492" t="n"/>
      <c r="AL293" s="492" t="n"/>
      <c r="AM293" s="492" t="n"/>
      <c r="AN293" s="492" t="n"/>
      <c r="AO293" s="492" t="n"/>
      <c r="AP293" s="492" t="n"/>
      <c r="AQ293" s="492" t="n"/>
      <c r="AR293" s="492" t="n"/>
      <c r="AS293" s="492" t="n"/>
      <c r="AT293" s="492" t="n"/>
      <c r="AU293" s="493" t="n"/>
      <c r="AV293" s="492" t="n"/>
      <c r="AW293" s="492" t="n"/>
      <c r="AX293" s="492" t="n"/>
      <c r="AY293" s="492" t="n"/>
      <c r="AZ293" s="492" t="n"/>
      <c r="BA293" s="493" t="n"/>
      <c r="BB293" s="492" t="n"/>
      <c r="BC293" s="492" t="n"/>
      <c r="BD293" s="492" t="n"/>
      <c r="BE293" s="492" t="n"/>
      <c r="BF293" s="493" t="n"/>
      <c r="BG293" s="493" t="n"/>
      <c r="BH293" s="495" t="n"/>
      <c r="BI293" s="496" t="n"/>
      <c r="BJ293" s="496" t="n"/>
      <c r="BK293" s="550" t="n"/>
      <c r="BM293" s="493" t="n"/>
      <c r="BN293" s="493" t="n"/>
      <c r="BO293" s="493" t="n"/>
      <c r="BP293" s="493" t="n"/>
      <c r="BQ293" s="493" t="n"/>
      <c r="BR293" s="493" t="n"/>
      <c r="BS293" s="493" t="n"/>
      <c r="BT293" s="493" t="n"/>
      <c r="BU293" s="493" t="n"/>
      <c r="BV293" s="493" t="n"/>
      <c r="BW293" s="493" t="n"/>
      <c r="BX293" s="493" t="n"/>
      <c r="BY293" s="493" t="n"/>
      <c r="BZ293" s="493" t="n"/>
      <c r="CA293" s="493" t="n"/>
      <c r="CB293" s="493" t="n"/>
      <c r="CC293" s="493" t="n"/>
      <c r="CD293" s="493" t="n"/>
      <c r="CE293" s="493" t="n"/>
      <c r="CF293" s="493" t="n"/>
      <c r="CG293" s="493" t="n"/>
      <c r="CH293" s="493" t="n"/>
      <c r="CI293" s="493" t="n"/>
      <c r="CJ293" s="493" t="n"/>
      <c r="CK293" s="493" t="n"/>
      <c r="CL293" s="493" t="n"/>
    </row>
    <row r="294" customFormat="1" s="230">
      <c r="E294" s="234" t="n"/>
      <c r="F294" s="492" t="n"/>
      <c r="G294" s="492" t="n"/>
      <c r="H294" s="493" t="n"/>
      <c r="I294" s="492" t="n"/>
      <c r="J294" s="492" t="n"/>
      <c r="K294" s="492" t="n"/>
      <c r="L294" s="492" t="n"/>
      <c r="M294" s="493" t="n"/>
      <c r="N294" s="492" t="n"/>
      <c r="O294" s="492" t="n"/>
      <c r="P294" s="492" t="n"/>
      <c r="Q294" s="492" t="n"/>
      <c r="R294" s="492" t="n"/>
      <c r="S294" s="492" t="n"/>
      <c r="T294" s="492" t="n"/>
      <c r="U294" s="492" t="n"/>
      <c r="V294" s="492" t="n"/>
      <c r="W294" s="492" t="n"/>
      <c r="X294" s="492" t="n"/>
      <c r="Y294" s="492" t="n"/>
      <c r="Z294" s="492" t="n"/>
      <c r="AA294" s="492" t="n"/>
      <c r="AB294" s="492" t="n"/>
      <c r="AC294" s="492" t="n"/>
      <c r="AD294" s="492" t="n"/>
      <c r="AE294" s="493" t="n"/>
      <c r="AF294" s="492" t="n"/>
      <c r="AG294" s="492" t="n"/>
      <c r="AH294" s="492" t="n"/>
      <c r="AI294" s="492" t="n"/>
      <c r="AJ294" s="493" t="n"/>
      <c r="AK294" s="492" t="n"/>
      <c r="AL294" s="492" t="n"/>
      <c r="AM294" s="492" t="n"/>
      <c r="AN294" s="492" t="n"/>
      <c r="AO294" s="492" t="n"/>
      <c r="AP294" s="492" t="n"/>
      <c r="AQ294" s="492" t="n"/>
      <c r="AR294" s="492" t="n"/>
      <c r="AS294" s="492" t="n"/>
      <c r="AT294" s="492" t="n"/>
      <c r="AU294" s="493" t="n"/>
      <c r="AV294" s="492" t="n"/>
      <c r="AW294" s="492" t="n"/>
      <c r="AX294" s="492" t="n"/>
      <c r="AY294" s="492" t="n"/>
      <c r="AZ294" s="492" t="n"/>
      <c r="BA294" s="493" t="n"/>
      <c r="BB294" s="492" t="n"/>
      <c r="BC294" s="492" t="n"/>
      <c r="BD294" s="492" t="n"/>
      <c r="BE294" s="492" t="n"/>
      <c r="BF294" s="493" t="n"/>
      <c r="BG294" s="493" t="n"/>
      <c r="BH294" s="495" t="n"/>
      <c r="BI294" s="496" t="n"/>
      <c r="BJ294" s="496" t="n"/>
      <c r="BK294" s="550" t="n"/>
      <c r="BM294" s="493" t="n"/>
      <c r="BN294" s="493" t="n"/>
      <c r="BO294" s="493" t="n"/>
      <c r="BP294" s="493" t="n"/>
      <c r="BQ294" s="493" t="n"/>
      <c r="BR294" s="493" t="n"/>
      <c r="BS294" s="493" t="n"/>
      <c r="BT294" s="493" t="n"/>
      <c r="BU294" s="493" t="n"/>
      <c r="BV294" s="493" t="n"/>
      <c r="BW294" s="493" t="n"/>
      <c r="BX294" s="493" t="n"/>
      <c r="BY294" s="493" t="n"/>
      <c r="BZ294" s="493" t="n"/>
      <c r="CA294" s="493" t="n"/>
      <c r="CB294" s="493" t="n"/>
      <c r="CC294" s="493" t="n"/>
      <c r="CD294" s="493" t="n"/>
      <c r="CE294" s="493" t="n"/>
      <c r="CF294" s="493" t="n"/>
      <c r="CG294" s="493" t="n"/>
      <c r="CH294" s="493" t="n"/>
      <c r="CI294" s="493" t="n"/>
      <c r="CJ294" s="493" t="n"/>
      <c r="CK294" s="493" t="n"/>
      <c r="CL294" s="493" t="n"/>
    </row>
    <row r="295" customFormat="1" s="230">
      <c r="E295" s="234" t="n"/>
      <c r="F295" s="492" t="n"/>
      <c r="G295" s="492" t="n"/>
      <c r="H295" s="493" t="n"/>
      <c r="I295" s="492" t="n"/>
      <c r="J295" s="492" t="n"/>
      <c r="K295" s="492" t="n"/>
      <c r="L295" s="492" t="n"/>
      <c r="M295" s="493" t="n"/>
      <c r="N295" s="492" t="n"/>
      <c r="O295" s="492" t="n"/>
      <c r="P295" s="492" t="n"/>
      <c r="Q295" s="492" t="n"/>
      <c r="R295" s="492" t="n"/>
      <c r="S295" s="492" t="n"/>
      <c r="T295" s="492" t="n"/>
      <c r="U295" s="492" t="n"/>
      <c r="V295" s="492" t="n"/>
      <c r="W295" s="492" t="n"/>
      <c r="X295" s="492" t="n"/>
      <c r="Y295" s="492" t="n"/>
      <c r="Z295" s="492" t="n"/>
      <c r="AA295" s="492" t="n"/>
      <c r="AB295" s="492" t="n"/>
      <c r="AC295" s="492" t="n"/>
      <c r="AD295" s="492" t="n"/>
      <c r="AE295" s="493" t="n"/>
      <c r="AF295" s="492" t="n"/>
      <c r="AG295" s="492" t="n"/>
      <c r="AH295" s="492" t="n"/>
      <c r="AI295" s="492" t="n"/>
      <c r="AJ295" s="493" t="n"/>
      <c r="AK295" s="492" t="n"/>
      <c r="AL295" s="492" t="n"/>
      <c r="AM295" s="492" t="n"/>
      <c r="AN295" s="492" t="n"/>
      <c r="AO295" s="492" t="n"/>
      <c r="AP295" s="492" t="n"/>
      <c r="AQ295" s="492" t="n"/>
      <c r="AR295" s="492" t="n"/>
      <c r="AS295" s="492" t="n"/>
      <c r="AT295" s="492" t="n"/>
      <c r="AU295" s="493" t="n"/>
      <c r="AV295" s="492" t="n"/>
      <c r="AW295" s="492" t="n"/>
      <c r="AX295" s="492" t="n"/>
      <c r="AY295" s="492" t="n"/>
      <c r="AZ295" s="492" t="n"/>
      <c r="BA295" s="493" t="n"/>
      <c r="BB295" s="492" t="n"/>
      <c r="BC295" s="492" t="n"/>
      <c r="BD295" s="492" t="n"/>
      <c r="BE295" s="492" t="n"/>
      <c r="BF295" s="493" t="n"/>
      <c r="BG295" s="493" t="n"/>
      <c r="BH295" s="495" t="n"/>
      <c r="BI295" s="496" t="n"/>
      <c r="BJ295" s="496" t="n"/>
      <c r="BK295" s="550" t="n"/>
      <c r="BM295" s="493" t="n"/>
      <c r="BN295" s="493" t="n"/>
      <c r="BO295" s="493" t="n"/>
      <c r="BP295" s="493" t="n"/>
      <c r="BQ295" s="493" t="n"/>
      <c r="BR295" s="493" t="n"/>
      <c r="BS295" s="493" t="n"/>
      <c r="BT295" s="493" t="n"/>
      <c r="BU295" s="493" t="n"/>
      <c r="BV295" s="493" t="n"/>
      <c r="BW295" s="493" t="n"/>
      <c r="BX295" s="493" t="n"/>
      <c r="BY295" s="493" t="n"/>
      <c r="BZ295" s="493" t="n"/>
      <c r="CA295" s="493" t="n"/>
      <c r="CB295" s="493" t="n"/>
      <c r="CC295" s="493" t="n"/>
      <c r="CD295" s="493" t="n"/>
      <c r="CE295" s="493" t="n"/>
      <c r="CF295" s="493" t="n"/>
      <c r="CG295" s="493" t="n"/>
      <c r="CH295" s="493" t="n"/>
      <c r="CI295" s="493" t="n"/>
      <c r="CJ295" s="493" t="n"/>
      <c r="CK295" s="493" t="n"/>
      <c r="CL295" s="493" t="n"/>
    </row>
    <row r="296" customFormat="1" s="230">
      <c r="E296" s="234" t="n"/>
      <c r="F296" s="492" t="n"/>
      <c r="G296" s="492" t="n"/>
      <c r="H296" s="493" t="n"/>
      <c r="I296" s="492" t="n"/>
      <c r="J296" s="492" t="n"/>
      <c r="K296" s="492" t="n"/>
      <c r="L296" s="492" t="n"/>
      <c r="M296" s="493" t="n"/>
      <c r="N296" s="492" t="n"/>
      <c r="O296" s="492" t="n"/>
      <c r="P296" s="492" t="n"/>
      <c r="Q296" s="492" t="n"/>
      <c r="R296" s="492" t="n"/>
      <c r="S296" s="492" t="n"/>
      <c r="T296" s="492" t="n"/>
      <c r="U296" s="492" t="n"/>
      <c r="V296" s="492" t="n"/>
      <c r="W296" s="492" t="n"/>
      <c r="X296" s="492" t="n"/>
      <c r="Y296" s="492" t="n"/>
      <c r="Z296" s="492" t="n"/>
      <c r="AA296" s="492" t="n"/>
      <c r="AB296" s="492" t="n"/>
      <c r="AC296" s="492" t="n"/>
      <c r="AD296" s="492" t="n"/>
      <c r="AE296" s="493" t="n"/>
      <c r="AF296" s="492" t="n"/>
      <c r="AG296" s="492" t="n"/>
      <c r="AH296" s="492" t="n"/>
      <c r="AI296" s="492" t="n"/>
      <c r="AJ296" s="493" t="n"/>
      <c r="AK296" s="492" t="n"/>
      <c r="AL296" s="492" t="n"/>
      <c r="AM296" s="492" t="n"/>
      <c r="AN296" s="492" t="n"/>
      <c r="AO296" s="492" t="n"/>
      <c r="AP296" s="492" t="n"/>
      <c r="AQ296" s="492" t="n"/>
      <c r="AR296" s="492" t="n"/>
      <c r="AS296" s="492" t="n"/>
      <c r="AT296" s="492" t="n"/>
      <c r="AU296" s="493" t="n"/>
      <c r="AV296" s="492" t="n"/>
      <c r="AW296" s="492" t="n"/>
      <c r="AX296" s="492" t="n"/>
      <c r="AY296" s="492" t="n"/>
      <c r="AZ296" s="492" t="n"/>
      <c r="BA296" s="493" t="n"/>
      <c r="BB296" s="492" t="n"/>
      <c r="BC296" s="492" t="n"/>
      <c r="BD296" s="492" t="n"/>
      <c r="BE296" s="492" t="n"/>
      <c r="BF296" s="493" t="n"/>
      <c r="BG296" s="493" t="n"/>
      <c r="BH296" s="495" t="n"/>
      <c r="BI296" s="496" t="n"/>
      <c r="BJ296" s="496" t="n"/>
      <c r="BK296" s="550" t="n"/>
      <c r="BM296" s="493" t="n"/>
      <c r="BN296" s="493" t="n"/>
      <c r="BO296" s="493" t="n"/>
      <c r="BP296" s="493" t="n"/>
      <c r="BQ296" s="493" t="n"/>
      <c r="BR296" s="493" t="n"/>
      <c r="BS296" s="493" t="n"/>
      <c r="BT296" s="493" t="n"/>
      <c r="BU296" s="493" t="n"/>
      <c r="BV296" s="493" t="n"/>
      <c r="BW296" s="493" t="n"/>
      <c r="BX296" s="493" t="n"/>
      <c r="BY296" s="493" t="n"/>
      <c r="BZ296" s="493" t="n"/>
      <c r="CA296" s="493" t="n"/>
      <c r="CB296" s="493" t="n"/>
      <c r="CC296" s="493" t="n"/>
      <c r="CD296" s="493" t="n"/>
      <c r="CE296" s="493" t="n"/>
      <c r="CF296" s="493" t="n"/>
      <c r="CG296" s="493" t="n"/>
      <c r="CH296" s="493" t="n"/>
      <c r="CI296" s="493" t="n"/>
      <c r="CJ296" s="493" t="n"/>
      <c r="CK296" s="493" t="n"/>
      <c r="CL296" s="493" t="n"/>
    </row>
    <row r="297" customFormat="1" s="230">
      <c r="E297" s="234" t="n"/>
      <c r="F297" s="492" t="n"/>
      <c r="G297" s="492" t="n"/>
      <c r="H297" s="493" t="n"/>
      <c r="I297" s="492" t="n"/>
      <c r="J297" s="492" t="n"/>
      <c r="K297" s="492" t="n"/>
      <c r="L297" s="492" t="n"/>
      <c r="M297" s="493" t="n"/>
      <c r="N297" s="492" t="n"/>
      <c r="O297" s="492" t="n"/>
      <c r="P297" s="492" t="n"/>
      <c r="Q297" s="492" t="n"/>
      <c r="R297" s="492" t="n"/>
      <c r="S297" s="492" t="n"/>
      <c r="T297" s="492" t="n"/>
      <c r="U297" s="492" t="n"/>
      <c r="V297" s="492" t="n"/>
      <c r="W297" s="492" t="n"/>
      <c r="X297" s="492" t="n"/>
      <c r="Y297" s="492" t="n"/>
      <c r="Z297" s="492" t="n"/>
      <c r="AA297" s="492" t="n"/>
      <c r="AB297" s="492" t="n"/>
      <c r="AC297" s="492" t="n"/>
      <c r="AD297" s="492" t="n"/>
      <c r="AE297" s="493" t="n"/>
      <c r="AF297" s="492" t="n"/>
      <c r="AG297" s="492" t="n"/>
      <c r="AH297" s="492" t="n"/>
      <c r="AI297" s="492" t="n"/>
      <c r="AJ297" s="493" t="n"/>
      <c r="AK297" s="492" t="n"/>
      <c r="AL297" s="492" t="n"/>
      <c r="AM297" s="492" t="n"/>
      <c r="AN297" s="492" t="n"/>
      <c r="AO297" s="492" t="n"/>
      <c r="AP297" s="492" t="n"/>
      <c r="AQ297" s="492" t="n"/>
      <c r="AR297" s="492" t="n"/>
      <c r="AS297" s="492" t="n"/>
      <c r="AT297" s="492" t="n"/>
      <c r="AU297" s="493" t="n"/>
      <c r="AV297" s="492" t="n"/>
      <c r="AW297" s="492" t="n"/>
      <c r="AX297" s="492" t="n"/>
      <c r="AY297" s="492" t="n"/>
      <c r="AZ297" s="492" t="n"/>
      <c r="BA297" s="493" t="n"/>
      <c r="BB297" s="492" t="n"/>
      <c r="BC297" s="492" t="n"/>
      <c r="BD297" s="492" t="n"/>
      <c r="BE297" s="492" t="n"/>
      <c r="BF297" s="493" t="n"/>
      <c r="BG297" s="493" t="n"/>
      <c r="BH297" s="495" t="n"/>
      <c r="BI297" s="496" t="n"/>
      <c r="BJ297" s="496" t="n"/>
      <c r="BK297" s="550" t="n"/>
      <c r="BM297" s="493" t="n"/>
      <c r="BN297" s="493" t="n"/>
      <c r="BO297" s="493" t="n"/>
      <c r="BP297" s="493" t="n"/>
      <c r="BQ297" s="493" t="n"/>
      <c r="BR297" s="493" t="n"/>
      <c r="BS297" s="493" t="n"/>
      <c r="BT297" s="493" t="n"/>
      <c r="BU297" s="493" t="n"/>
      <c r="BV297" s="493" t="n"/>
      <c r="BW297" s="493" t="n"/>
      <c r="BX297" s="493" t="n"/>
      <c r="BY297" s="493" t="n"/>
      <c r="BZ297" s="493" t="n"/>
      <c r="CA297" s="493" t="n"/>
      <c r="CB297" s="493" t="n"/>
      <c r="CC297" s="493" t="n"/>
      <c r="CD297" s="493" t="n"/>
      <c r="CE297" s="493" t="n"/>
      <c r="CF297" s="493" t="n"/>
      <c r="CG297" s="493" t="n"/>
      <c r="CH297" s="493" t="n"/>
      <c r="CI297" s="493" t="n"/>
      <c r="CJ297" s="493" t="n"/>
      <c r="CK297" s="493" t="n"/>
      <c r="CL297" s="493" t="n"/>
    </row>
    <row r="298" customFormat="1" s="230">
      <c r="E298" s="234" t="n"/>
      <c r="F298" s="492" t="n"/>
      <c r="G298" s="492" t="n"/>
      <c r="H298" s="493" t="n"/>
      <c r="I298" s="492" t="n"/>
      <c r="J298" s="492" t="n"/>
      <c r="K298" s="492" t="n"/>
      <c r="L298" s="492" t="n"/>
      <c r="M298" s="493" t="n"/>
      <c r="N298" s="492" t="n"/>
      <c r="O298" s="492" t="n"/>
      <c r="P298" s="492" t="n"/>
      <c r="Q298" s="492" t="n"/>
      <c r="R298" s="492" t="n"/>
      <c r="S298" s="492" t="n"/>
      <c r="T298" s="492" t="n"/>
      <c r="U298" s="492" t="n"/>
      <c r="V298" s="492" t="n"/>
      <c r="W298" s="492" t="n"/>
      <c r="X298" s="492" t="n"/>
      <c r="Y298" s="492" t="n"/>
      <c r="Z298" s="492" t="n"/>
      <c r="AA298" s="492" t="n"/>
      <c r="AB298" s="492" t="n"/>
      <c r="AC298" s="492" t="n"/>
      <c r="AD298" s="492" t="n"/>
      <c r="AE298" s="493" t="n"/>
      <c r="AF298" s="492" t="n"/>
      <c r="AG298" s="492" t="n"/>
      <c r="AH298" s="492" t="n"/>
      <c r="AI298" s="492" t="n"/>
      <c r="AJ298" s="493" t="n"/>
      <c r="AK298" s="492" t="n"/>
      <c r="AL298" s="492" t="n"/>
      <c r="AM298" s="492" t="n"/>
      <c r="AN298" s="492" t="n"/>
      <c r="AO298" s="492" t="n"/>
      <c r="AP298" s="492" t="n"/>
      <c r="AQ298" s="492" t="n"/>
      <c r="AR298" s="492" t="n"/>
      <c r="AS298" s="492" t="n"/>
      <c r="AT298" s="492" t="n"/>
      <c r="AU298" s="493" t="n"/>
      <c r="AV298" s="492" t="n"/>
      <c r="AW298" s="492" t="n"/>
      <c r="AX298" s="492" t="n"/>
      <c r="AY298" s="492" t="n"/>
      <c r="AZ298" s="492" t="n"/>
      <c r="BA298" s="493" t="n"/>
      <c r="BB298" s="492" t="n"/>
      <c r="BC298" s="492" t="n"/>
      <c r="BD298" s="492" t="n"/>
      <c r="BE298" s="492" t="n"/>
      <c r="BF298" s="493" t="n"/>
      <c r="BG298" s="493" t="n"/>
      <c r="BH298" s="495" t="n"/>
      <c r="BI298" s="496" t="n"/>
      <c r="BJ298" s="496" t="n"/>
      <c r="BK298" s="550" t="n"/>
      <c r="BM298" s="493" t="n"/>
      <c r="BN298" s="493" t="n"/>
      <c r="BO298" s="493" t="n"/>
      <c r="BP298" s="493" t="n"/>
      <c r="BQ298" s="493" t="n"/>
      <c r="BR298" s="493" t="n"/>
      <c r="BS298" s="493" t="n"/>
      <c r="BT298" s="493" t="n"/>
      <c r="BU298" s="493" t="n"/>
      <c r="BV298" s="493" t="n"/>
      <c r="BW298" s="493" t="n"/>
      <c r="BX298" s="493" t="n"/>
      <c r="BY298" s="493" t="n"/>
      <c r="BZ298" s="493" t="n"/>
      <c r="CA298" s="493" t="n"/>
      <c r="CB298" s="493" t="n"/>
      <c r="CC298" s="493" t="n"/>
      <c r="CD298" s="493" t="n"/>
      <c r="CE298" s="493" t="n"/>
      <c r="CF298" s="493" t="n"/>
      <c r="CG298" s="493" t="n"/>
      <c r="CH298" s="493" t="n"/>
      <c r="CI298" s="493" t="n"/>
      <c r="CJ298" s="493" t="n"/>
      <c r="CK298" s="493" t="n"/>
      <c r="CL298" s="493" t="n"/>
    </row>
    <row r="299" customFormat="1" s="230">
      <c r="E299" s="234" t="n"/>
      <c r="F299" s="492" t="n"/>
      <c r="G299" s="492" t="n"/>
      <c r="H299" s="493" t="n"/>
      <c r="I299" s="492" t="n"/>
      <c r="J299" s="492" t="n"/>
      <c r="K299" s="492" t="n"/>
      <c r="L299" s="492" t="n"/>
      <c r="M299" s="493" t="n"/>
      <c r="N299" s="492" t="n"/>
      <c r="O299" s="492" t="n"/>
      <c r="P299" s="492" t="n"/>
      <c r="Q299" s="492" t="n"/>
      <c r="R299" s="492" t="n"/>
      <c r="S299" s="492" t="n"/>
      <c r="T299" s="492" t="n"/>
      <c r="U299" s="492" t="n"/>
      <c r="V299" s="492" t="n"/>
      <c r="W299" s="492" t="n"/>
      <c r="X299" s="492" t="n"/>
      <c r="Y299" s="492" t="n"/>
      <c r="Z299" s="492" t="n"/>
      <c r="AA299" s="492" t="n"/>
      <c r="AB299" s="492" t="n"/>
      <c r="AC299" s="492" t="n"/>
      <c r="AD299" s="492" t="n"/>
      <c r="AE299" s="493" t="n"/>
      <c r="AF299" s="492" t="n"/>
      <c r="AG299" s="492" t="n"/>
      <c r="AH299" s="492" t="n"/>
      <c r="AI299" s="492" t="n"/>
      <c r="AJ299" s="493" t="n"/>
      <c r="AK299" s="492" t="n"/>
      <c r="AL299" s="492" t="n"/>
      <c r="AM299" s="492" t="n"/>
      <c r="AN299" s="492" t="n"/>
      <c r="AO299" s="492" t="n"/>
      <c r="AP299" s="492" t="n"/>
      <c r="AQ299" s="492" t="n"/>
      <c r="AR299" s="492" t="n"/>
      <c r="AS299" s="492" t="n"/>
      <c r="AT299" s="492" t="n"/>
      <c r="AU299" s="493" t="n"/>
      <c r="AV299" s="492" t="n"/>
      <c r="AW299" s="492" t="n"/>
      <c r="AX299" s="492" t="n"/>
      <c r="AY299" s="492" t="n"/>
      <c r="AZ299" s="492" t="n"/>
      <c r="BA299" s="493" t="n"/>
      <c r="BB299" s="492" t="n"/>
      <c r="BC299" s="492" t="n"/>
      <c r="BD299" s="492" t="n"/>
      <c r="BE299" s="492" t="n"/>
      <c r="BF299" s="493" t="n"/>
      <c r="BG299" s="493" t="n"/>
      <c r="BH299" s="495" t="n"/>
      <c r="BI299" s="496" t="n"/>
      <c r="BJ299" s="496" t="n"/>
      <c r="BK299" s="550" t="n"/>
      <c r="BM299" s="493" t="n"/>
      <c r="BN299" s="493" t="n"/>
      <c r="BO299" s="493" t="n"/>
      <c r="BP299" s="493" t="n"/>
      <c r="BQ299" s="493" t="n"/>
      <c r="BR299" s="493" t="n"/>
      <c r="BS299" s="493" t="n"/>
      <c r="BT299" s="493" t="n"/>
      <c r="BU299" s="493" t="n"/>
      <c r="BV299" s="493" t="n"/>
      <c r="BW299" s="493" t="n"/>
      <c r="BX299" s="493" t="n"/>
      <c r="BY299" s="493" t="n"/>
      <c r="BZ299" s="493" t="n"/>
      <c r="CA299" s="493" t="n"/>
      <c r="CB299" s="493" t="n"/>
      <c r="CC299" s="493" t="n"/>
      <c r="CD299" s="493" t="n"/>
      <c r="CE299" s="493" t="n"/>
      <c r="CF299" s="493" t="n"/>
      <c r="CG299" s="493" t="n"/>
      <c r="CH299" s="493" t="n"/>
      <c r="CI299" s="493" t="n"/>
      <c r="CJ299" s="493" t="n"/>
      <c r="CK299" s="493" t="n"/>
      <c r="CL299" s="493" t="n"/>
    </row>
    <row r="300" customFormat="1" s="230">
      <c r="E300" s="234" t="n"/>
      <c r="F300" s="492" t="n"/>
      <c r="G300" s="492" t="n"/>
      <c r="H300" s="493" t="n"/>
      <c r="I300" s="492" t="n"/>
      <c r="J300" s="492" t="n"/>
      <c r="K300" s="492" t="n"/>
      <c r="L300" s="492" t="n"/>
      <c r="M300" s="493" t="n"/>
      <c r="N300" s="492" t="n"/>
      <c r="O300" s="492" t="n"/>
      <c r="P300" s="492" t="n"/>
      <c r="Q300" s="492" t="n"/>
      <c r="R300" s="492" t="n"/>
      <c r="S300" s="492" t="n"/>
      <c r="T300" s="492" t="n"/>
      <c r="U300" s="492" t="n"/>
      <c r="V300" s="492" t="n"/>
      <c r="W300" s="492" t="n"/>
      <c r="X300" s="492" t="n"/>
      <c r="Y300" s="492" t="n"/>
      <c r="Z300" s="492" t="n"/>
      <c r="AA300" s="492" t="n"/>
      <c r="AB300" s="492" t="n"/>
      <c r="AC300" s="492" t="n"/>
      <c r="AD300" s="492" t="n"/>
      <c r="AE300" s="493" t="n"/>
      <c r="AF300" s="492" t="n"/>
      <c r="AG300" s="492" t="n"/>
      <c r="AH300" s="492" t="n"/>
      <c r="AI300" s="492" t="n"/>
      <c r="AJ300" s="493" t="n"/>
      <c r="AK300" s="492" t="n"/>
      <c r="AL300" s="492" t="n"/>
      <c r="AM300" s="492" t="n"/>
      <c r="AN300" s="492" t="n"/>
      <c r="AO300" s="492" t="n"/>
      <c r="AP300" s="492" t="n"/>
      <c r="AQ300" s="492" t="n"/>
      <c r="AR300" s="492" t="n"/>
      <c r="AS300" s="492" t="n"/>
      <c r="AT300" s="492" t="n"/>
      <c r="AU300" s="493" t="n"/>
      <c r="AV300" s="492" t="n"/>
      <c r="AW300" s="492" t="n"/>
      <c r="AX300" s="492" t="n"/>
      <c r="AY300" s="492" t="n"/>
      <c r="AZ300" s="492" t="n"/>
      <c r="BA300" s="493" t="n"/>
      <c r="BB300" s="492" t="n"/>
      <c r="BC300" s="492" t="n"/>
      <c r="BD300" s="492" t="n"/>
      <c r="BE300" s="492" t="n"/>
      <c r="BF300" s="493" t="n"/>
      <c r="BG300" s="493" t="n"/>
      <c r="BH300" s="495" t="n"/>
      <c r="BI300" s="496" t="n"/>
      <c r="BJ300" s="496" t="n"/>
      <c r="BK300" s="550" t="n"/>
      <c r="BM300" s="493" t="n"/>
      <c r="BN300" s="493" t="n"/>
      <c r="BO300" s="493" t="n"/>
      <c r="BP300" s="493" t="n"/>
      <c r="BQ300" s="493" t="n"/>
      <c r="BR300" s="493" t="n"/>
      <c r="BS300" s="493" t="n"/>
      <c r="BT300" s="493" t="n"/>
      <c r="BU300" s="493" t="n"/>
      <c r="BV300" s="493" t="n"/>
      <c r="BW300" s="493" t="n"/>
      <c r="BX300" s="493" t="n"/>
      <c r="BY300" s="493" t="n"/>
      <c r="BZ300" s="493" t="n"/>
      <c r="CA300" s="493" t="n"/>
      <c r="CB300" s="493" t="n"/>
      <c r="CC300" s="493" t="n"/>
      <c r="CD300" s="493" t="n"/>
      <c r="CE300" s="493" t="n"/>
      <c r="CF300" s="493" t="n"/>
      <c r="CG300" s="493" t="n"/>
      <c r="CH300" s="493" t="n"/>
      <c r="CI300" s="493" t="n"/>
      <c r="CJ300" s="493" t="n"/>
      <c r="CK300" s="493" t="n"/>
      <c r="CL300" s="493" t="n"/>
    </row>
    <row r="301" customFormat="1" s="230">
      <c r="E301" s="234" t="n"/>
      <c r="F301" s="492" t="n"/>
      <c r="G301" s="492" t="n"/>
      <c r="H301" s="493" t="n"/>
      <c r="I301" s="492" t="n"/>
      <c r="J301" s="492" t="n"/>
      <c r="K301" s="492" t="n"/>
      <c r="L301" s="492" t="n"/>
      <c r="M301" s="493" t="n"/>
      <c r="N301" s="492" t="n"/>
      <c r="O301" s="492" t="n"/>
      <c r="P301" s="492" t="n"/>
      <c r="Q301" s="492" t="n"/>
      <c r="R301" s="492" t="n"/>
      <c r="S301" s="492" t="n"/>
      <c r="T301" s="492" t="n"/>
      <c r="U301" s="492" t="n"/>
      <c r="V301" s="492" t="n"/>
      <c r="W301" s="492" t="n"/>
      <c r="X301" s="492" t="n"/>
      <c r="Y301" s="492" t="n"/>
      <c r="Z301" s="492" t="n"/>
      <c r="AA301" s="492" t="n"/>
      <c r="AB301" s="492" t="n"/>
      <c r="AC301" s="492" t="n"/>
      <c r="AD301" s="492" t="n"/>
      <c r="AE301" s="493" t="n"/>
      <c r="AF301" s="492" t="n"/>
      <c r="AG301" s="492" t="n"/>
      <c r="AH301" s="492" t="n"/>
      <c r="AI301" s="492" t="n"/>
      <c r="AJ301" s="493" t="n"/>
      <c r="AK301" s="492" t="n"/>
      <c r="AL301" s="492" t="n"/>
      <c r="AM301" s="492" t="n"/>
      <c r="AN301" s="492" t="n"/>
      <c r="AO301" s="492" t="n"/>
      <c r="AP301" s="492" t="n"/>
      <c r="AQ301" s="492" t="n"/>
      <c r="AR301" s="492" t="n"/>
      <c r="AS301" s="492" t="n"/>
      <c r="AT301" s="492" t="n"/>
      <c r="AU301" s="493" t="n"/>
      <c r="AV301" s="492" t="n"/>
      <c r="AW301" s="492" t="n"/>
      <c r="AX301" s="492" t="n"/>
      <c r="AY301" s="492" t="n"/>
      <c r="AZ301" s="492" t="n"/>
      <c r="BA301" s="493" t="n"/>
      <c r="BB301" s="492" t="n"/>
      <c r="BC301" s="492" t="n"/>
      <c r="BD301" s="492" t="n"/>
      <c r="BE301" s="492" t="n"/>
      <c r="BF301" s="493" t="n"/>
      <c r="BG301" s="493" t="n"/>
      <c r="BH301" s="495" t="n"/>
      <c r="BI301" s="496" t="n"/>
      <c r="BJ301" s="496" t="n"/>
      <c r="BK301" s="550" t="n"/>
      <c r="BM301" s="493" t="n"/>
      <c r="BN301" s="493" t="n"/>
      <c r="BO301" s="493" t="n"/>
      <c r="BP301" s="493" t="n"/>
      <c r="BQ301" s="493" t="n"/>
      <c r="BR301" s="493" t="n"/>
      <c r="BS301" s="493" t="n"/>
      <c r="BT301" s="493" t="n"/>
      <c r="BU301" s="493" t="n"/>
      <c r="BV301" s="493" t="n"/>
      <c r="BW301" s="493" t="n"/>
      <c r="BX301" s="493" t="n"/>
      <c r="BY301" s="493" t="n"/>
      <c r="BZ301" s="493" t="n"/>
      <c r="CA301" s="493" t="n"/>
      <c r="CB301" s="493" t="n"/>
      <c r="CC301" s="493" t="n"/>
      <c r="CD301" s="493" t="n"/>
      <c r="CE301" s="493" t="n"/>
      <c r="CF301" s="493" t="n"/>
      <c r="CG301" s="493" t="n"/>
      <c r="CH301" s="493" t="n"/>
      <c r="CI301" s="493" t="n"/>
      <c r="CJ301" s="493" t="n"/>
      <c r="CK301" s="493" t="n"/>
      <c r="CL301" s="493" t="n"/>
    </row>
    <row r="302" customFormat="1" s="230">
      <c r="E302" s="234" t="n"/>
      <c r="F302" s="492" t="n"/>
      <c r="G302" s="492" t="n"/>
      <c r="H302" s="493" t="n"/>
      <c r="I302" s="492" t="n"/>
      <c r="J302" s="492" t="n"/>
      <c r="K302" s="492" t="n"/>
      <c r="L302" s="492" t="n"/>
      <c r="M302" s="493" t="n"/>
      <c r="N302" s="492" t="n"/>
      <c r="O302" s="492" t="n"/>
      <c r="P302" s="492" t="n"/>
      <c r="Q302" s="492" t="n"/>
      <c r="R302" s="492" t="n"/>
      <c r="S302" s="492" t="n"/>
      <c r="T302" s="492" t="n"/>
      <c r="U302" s="492" t="n"/>
      <c r="V302" s="492" t="n"/>
      <c r="W302" s="492" t="n"/>
      <c r="X302" s="492" t="n"/>
      <c r="Y302" s="492" t="n"/>
      <c r="Z302" s="492" t="n"/>
      <c r="AA302" s="492" t="n"/>
      <c r="AB302" s="492" t="n"/>
      <c r="AC302" s="492" t="n"/>
      <c r="AD302" s="492" t="n"/>
      <c r="AE302" s="493" t="n"/>
      <c r="AF302" s="492" t="n"/>
      <c r="AG302" s="492" t="n"/>
      <c r="AH302" s="492" t="n"/>
      <c r="AI302" s="492" t="n"/>
      <c r="AJ302" s="493" t="n"/>
      <c r="AK302" s="492" t="n"/>
      <c r="AL302" s="492" t="n"/>
      <c r="AM302" s="492" t="n"/>
      <c r="AN302" s="492" t="n"/>
      <c r="AO302" s="492" t="n"/>
      <c r="AP302" s="492" t="n"/>
      <c r="AQ302" s="492" t="n"/>
      <c r="AR302" s="492" t="n"/>
      <c r="AS302" s="492" t="n"/>
      <c r="AT302" s="492" t="n"/>
      <c r="AU302" s="493" t="n"/>
      <c r="AV302" s="492" t="n"/>
      <c r="AW302" s="492" t="n"/>
      <c r="AX302" s="492" t="n"/>
      <c r="AY302" s="492" t="n"/>
      <c r="AZ302" s="492" t="n"/>
      <c r="BA302" s="493" t="n"/>
      <c r="BB302" s="492" t="n"/>
      <c r="BC302" s="492" t="n"/>
      <c r="BD302" s="492" t="n"/>
      <c r="BE302" s="492" t="n"/>
      <c r="BF302" s="493" t="n"/>
      <c r="BG302" s="493" t="n"/>
      <c r="BH302" s="495" t="n"/>
      <c r="BI302" s="496" t="n"/>
      <c r="BJ302" s="496" t="n"/>
      <c r="BK302" s="550" t="n"/>
      <c r="BM302" s="493" t="n"/>
      <c r="BN302" s="493" t="n"/>
      <c r="BO302" s="493" t="n"/>
      <c r="BP302" s="493" t="n"/>
      <c r="BQ302" s="493" t="n"/>
      <c r="BR302" s="493" t="n"/>
      <c r="BS302" s="493" t="n"/>
      <c r="BT302" s="493" t="n"/>
      <c r="BU302" s="493" t="n"/>
      <c r="BV302" s="493" t="n"/>
      <c r="BW302" s="493" t="n"/>
      <c r="BX302" s="493" t="n"/>
      <c r="BY302" s="493" t="n"/>
      <c r="BZ302" s="493" t="n"/>
      <c r="CA302" s="493" t="n"/>
      <c r="CB302" s="493" t="n"/>
      <c r="CC302" s="493" t="n"/>
      <c r="CD302" s="493" t="n"/>
      <c r="CE302" s="493" t="n"/>
      <c r="CF302" s="493" t="n"/>
      <c r="CG302" s="493" t="n"/>
      <c r="CH302" s="493" t="n"/>
      <c r="CI302" s="493" t="n"/>
      <c r="CJ302" s="493" t="n"/>
      <c r="CK302" s="493" t="n"/>
      <c r="CL302" s="493" t="n"/>
    </row>
    <row r="303" customFormat="1" s="230">
      <c r="E303" s="234" t="n"/>
      <c r="F303" s="492" t="n"/>
      <c r="G303" s="492" t="n"/>
      <c r="H303" s="493" t="n"/>
      <c r="I303" s="492" t="n"/>
      <c r="J303" s="492" t="n"/>
      <c r="K303" s="492" t="n"/>
      <c r="L303" s="492" t="n"/>
      <c r="M303" s="493" t="n"/>
      <c r="N303" s="492" t="n"/>
      <c r="O303" s="492" t="n"/>
      <c r="P303" s="492" t="n"/>
      <c r="Q303" s="492" t="n"/>
      <c r="R303" s="492" t="n"/>
      <c r="S303" s="492" t="n"/>
      <c r="T303" s="492" t="n"/>
      <c r="U303" s="492" t="n"/>
      <c r="V303" s="492" t="n"/>
      <c r="W303" s="492" t="n"/>
      <c r="X303" s="492" t="n"/>
      <c r="Y303" s="492" t="n"/>
      <c r="Z303" s="492" t="n"/>
      <c r="AA303" s="492" t="n"/>
      <c r="AB303" s="492" t="n"/>
      <c r="AC303" s="492" t="n"/>
      <c r="AD303" s="492" t="n"/>
      <c r="AE303" s="493" t="n"/>
      <c r="AF303" s="492" t="n"/>
      <c r="AG303" s="492" t="n"/>
      <c r="AH303" s="492" t="n"/>
      <c r="AI303" s="492" t="n"/>
      <c r="AJ303" s="493" t="n"/>
      <c r="AK303" s="492" t="n"/>
      <c r="AL303" s="492" t="n"/>
      <c r="AM303" s="492" t="n"/>
      <c r="AN303" s="492" t="n"/>
      <c r="AO303" s="492" t="n"/>
      <c r="AP303" s="492" t="n"/>
      <c r="AQ303" s="492" t="n"/>
      <c r="AR303" s="492" t="n"/>
      <c r="AS303" s="492" t="n"/>
      <c r="AT303" s="492" t="n"/>
      <c r="AU303" s="493" t="n"/>
      <c r="AV303" s="492" t="n"/>
      <c r="AW303" s="492" t="n"/>
      <c r="AX303" s="492" t="n"/>
      <c r="AY303" s="492" t="n"/>
      <c r="AZ303" s="492" t="n"/>
      <c r="BA303" s="493" t="n"/>
      <c r="BB303" s="492" t="n"/>
      <c r="BC303" s="492" t="n"/>
      <c r="BD303" s="492" t="n"/>
      <c r="BE303" s="492" t="n"/>
      <c r="BF303" s="493" t="n"/>
      <c r="BG303" s="493" t="n"/>
      <c r="BH303" s="495" t="n"/>
      <c r="BI303" s="496" t="n"/>
      <c r="BJ303" s="496" t="n"/>
      <c r="BK303" s="550" t="n"/>
      <c r="BM303" s="493" t="n"/>
      <c r="BN303" s="493" t="n"/>
      <c r="BO303" s="493" t="n"/>
      <c r="BP303" s="493" t="n"/>
      <c r="BQ303" s="493" t="n"/>
      <c r="BR303" s="493" t="n"/>
      <c r="BS303" s="493" t="n"/>
      <c r="BT303" s="493" t="n"/>
      <c r="BU303" s="493" t="n"/>
      <c r="BV303" s="493" t="n"/>
      <c r="BW303" s="493" t="n"/>
      <c r="BX303" s="493" t="n"/>
      <c r="BY303" s="493" t="n"/>
      <c r="BZ303" s="493" t="n"/>
      <c r="CA303" s="493" t="n"/>
      <c r="CB303" s="493" t="n"/>
      <c r="CC303" s="493" t="n"/>
      <c r="CD303" s="493" t="n"/>
      <c r="CE303" s="493" t="n"/>
      <c r="CF303" s="493" t="n"/>
      <c r="CG303" s="493" t="n"/>
      <c r="CH303" s="493" t="n"/>
      <c r="CI303" s="493" t="n"/>
      <c r="CJ303" s="493" t="n"/>
      <c r="CK303" s="493" t="n"/>
      <c r="CL303" s="493" t="n"/>
    </row>
    <row r="304" customFormat="1" s="230">
      <c r="E304" s="234" t="n"/>
      <c r="F304" s="492" t="n"/>
      <c r="G304" s="492" t="n"/>
      <c r="H304" s="493" t="n"/>
      <c r="I304" s="492" t="n"/>
      <c r="J304" s="492" t="n"/>
      <c r="K304" s="492" t="n"/>
      <c r="L304" s="492" t="n"/>
      <c r="M304" s="493" t="n"/>
      <c r="N304" s="492" t="n"/>
      <c r="O304" s="492" t="n"/>
      <c r="P304" s="492" t="n"/>
      <c r="Q304" s="492" t="n"/>
      <c r="R304" s="492" t="n"/>
      <c r="S304" s="492" t="n"/>
      <c r="T304" s="492" t="n"/>
      <c r="U304" s="492" t="n"/>
      <c r="V304" s="492" t="n"/>
      <c r="W304" s="492" t="n"/>
      <c r="X304" s="492" t="n"/>
      <c r="Y304" s="492" t="n"/>
      <c r="Z304" s="492" t="n"/>
      <c r="AA304" s="492" t="n"/>
      <c r="AB304" s="492" t="n"/>
      <c r="AC304" s="492" t="n"/>
      <c r="AD304" s="492" t="n"/>
      <c r="AE304" s="493" t="n"/>
      <c r="AF304" s="492" t="n"/>
      <c r="AG304" s="492" t="n"/>
      <c r="AH304" s="492" t="n"/>
      <c r="AI304" s="492" t="n"/>
      <c r="AJ304" s="493" t="n"/>
      <c r="AK304" s="492" t="n"/>
      <c r="AL304" s="492" t="n"/>
      <c r="AM304" s="492" t="n"/>
      <c r="AN304" s="492" t="n"/>
      <c r="AO304" s="492" t="n"/>
      <c r="AP304" s="492" t="n"/>
      <c r="AQ304" s="492" t="n"/>
      <c r="AR304" s="492" t="n"/>
      <c r="AS304" s="492" t="n"/>
      <c r="AT304" s="492" t="n"/>
      <c r="AU304" s="493" t="n"/>
      <c r="AV304" s="492" t="n"/>
      <c r="AW304" s="492" t="n"/>
      <c r="AX304" s="492" t="n"/>
      <c r="AY304" s="492" t="n"/>
      <c r="AZ304" s="492" t="n"/>
      <c r="BA304" s="493" t="n"/>
      <c r="BB304" s="492" t="n"/>
      <c r="BC304" s="492" t="n"/>
      <c r="BD304" s="492" t="n"/>
      <c r="BE304" s="492" t="n"/>
      <c r="BF304" s="493" t="n"/>
      <c r="BG304" s="493" t="n"/>
      <c r="BH304" s="495" t="n"/>
      <c r="BI304" s="496" t="n"/>
      <c r="BJ304" s="496" t="n"/>
      <c r="BK304" s="550" t="n"/>
      <c r="BM304" s="493" t="n"/>
      <c r="BN304" s="493" t="n"/>
      <c r="BO304" s="493" t="n"/>
      <c r="BP304" s="493" t="n"/>
      <c r="BQ304" s="493" t="n"/>
      <c r="BR304" s="493" t="n"/>
      <c r="BS304" s="493" t="n"/>
      <c r="BT304" s="493" t="n"/>
      <c r="BU304" s="493" t="n"/>
      <c r="BV304" s="493" t="n"/>
      <c r="BW304" s="493" t="n"/>
      <c r="BX304" s="493" t="n"/>
      <c r="BY304" s="493" t="n"/>
      <c r="BZ304" s="493" t="n"/>
      <c r="CA304" s="493" t="n"/>
      <c r="CB304" s="493" t="n"/>
      <c r="CC304" s="493" t="n"/>
      <c r="CD304" s="493" t="n"/>
      <c r="CE304" s="493" t="n"/>
      <c r="CF304" s="493" t="n"/>
      <c r="CG304" s="493" t="n"/>
      <c r="CH304" s="493" t="n"/>
      <c r="CI304" s="493" t="n"/>
      <c r="CJ304" s="493" t="n"/>
      <c r="CK304" s="493" t="n"/>
      <c r="CL304" s="493" t="n"/>
    </row>
    <row r="305" customFormat="1" s="230">
      <c r="E305" s="234" t="n"/>
      <c r="F305" s="492" t="n"/>
      <c r="G305" s="492" t="n"/>
      <c r="H305" s="493" t="n"/>
      <c r="I305" s="492" t="n"/>
      <c r="J305" s="492" t="n"/>
      <c r="K305" s="492" t="n"/>
      <c r="L305" s="492" t="n"/>
      <c r="M305" s="493" t="n"/>
      <c r="N305" s="492" t="n"/>
      <c r="O305" s="492" t="n"/>
      <c r="P305" s="492" t="n"/>
      <c r="Q305" s="492" t="n"/>
      <c r="R305" s="492" t="n"/>
      <c r="S305" s="492" t="n"/>
      <c r="T305" s="492" t="n"/>
      <c r="U305" s="492" t="n"/>
      <c r="V305" s="492" t="n"/>
      <c r="W305" s="492" t="n"/>
      <c r="X305" s="492" t="n"/>
      <c r="Y305" s="492" t="n"/>
      <c r="Z305" s="492" t="n"/>
      <c r="AA305" s="492" t="n"/>
      <c r="AB305" s="492" t="n"/>
      <c r="AC305" s="492" t="n"/>
      <c r="AD305" s="492" t="n"/>
      <c r="AE305" s="493" t="n"/>
      <c r="AF305" s="492" t="n"/>
      <c r="AG305" s="492" t="n"/>
      <c r="AH305" s="492" t="n"/>
      <c r="AI305" s="492" t="n"/>
      <c r="AJ305" s="493" t="n"/>
      <c r="AK305" s="492" t="n"/>
      <c r="AL305" s="492" t="n"/>
      <c r="AM305" s="492" t="n"/>
      <c r="AN305" s="492" t="n"/>
      <c r="AO305" s="492" t="n"/>
      <c r="AP305" s="492" t="n"/>
      <c r="AQ305" s="492" t="n"/>
      <c r="AR305" s="492" t="n"/>
      <c r="AS305" s="492" t="n"/>
      <c r="AT305" s="492" t="n"/>
      <c r="AU305" s="493" t="n"/>
      <c r="AV305" s="492" t="n"/>
      <c r="AW305" s="492" t="n"/>
      <c r="AX305" s="492" t="n"/>
      <c r="AY305" s="492" t="n"/>
      <c r="AZ305" s="492" t="n"/>
      <c r="BA305" s="493" t="n"/>
      <c r="BB305" s="492" t="n"/>
      <c r="BC305" s="492" t="n"/>
      <c r="BD305" s="492" t="n"/>
      <c r="BE305" s="492" t="n"/>
      <c r="BF305" s="493" t="n"/>
      <c r="BG305" s="493" t="n"/>
      <c r="BH305" s="495" t="n"/>
      <c r="BI305" s="496" t="n"/>
      <c r="BJ305" s="496" t="n"/>
      <c r="BK305" s="550" t="n"/>
      <c r="BM305" s="493" t="n"/>
      <c r="BN305" s="493" t="n"/>
      <c r="BO305" s="493" t="n"/>
      <c r="BP305" s="493" t="n"/>
      <c r="BQ305" s="493" t="n"/>
      <c r="BR305" s="493" t="n"/>
      <c r="BS305" s="493" t="n"/>
      <c r="BT305" s="493" t="n"/>
      <c r="BU305" s="493" t="n"/>
      <c r="BV305" s="493" t="n"/>
      <c r="BW305" s="493" t="n"/>
      <c r="BX305" s="493" t="n"/>
      <c r="BY305" s="493" t="n"/>
      <c r="BZ305" s="493" t="n"/>
      <c r="CA305" s="493" t="n"/>
      <c r="CB305" s="493" t="n"/>
      <c r="CC305" s="493" t="n"/>
      <c r="CD305" s="493" t="n"/>
      <c r="CE305" s="493" t="n"/>
      <c r="CF305" s="493" t="n"/>
      <c r="CG305" s="493" t="n"/>
      <c r="CH305" s="493" t="n"/>
      <c r="CI305" s="493" t="n"/>
      <c r="CJ305" s="493" t="n"/>
      <c r="CK305" s="493" t="n"/>
      <c r="CL305" s="493" t="n"/>
    </row>
    <row r="306" customFormat="1" s="230">
      <c r="E306" s="234" t="n"/>
      <c r="F306" s="492" t="n"/>
      <c r="G306" s="492" t="n"/>
      <c r="H306" s="493" t="n"/>
      <c r="I306" s="492" t="n"/>
      <c r="J306" s="492" t="n"/>
      <c r="K306" s="492" t="n"/>
      <c r="L306" s="492" t="n"/>
      <c r="M306" s="493" t="n"/>
      <c r="N306" s="492" t="n"/>
      <c r="O306" s="492" t="n"/>
      <c r="P306" s="492" t="n"/>
      <c r="Q306" s="492" t="n"/>
      <c r="R306" s="492" t="n"/>
      <c r="S306" s="492" t="n"/>
      <c r="T306" s="492" t="n"/>
      <c r="U306" s="492" t="n"/>
      <c r="V306" s="492" t="n"/>
      <c r="W306" s="492" t="n"/>
      <c r="X306" s="492" t="n"/>
      <c r="Y306" s="492" t="n"/>
      <c r="Z306" s="492" t="n"/>
      <c r="AA306" s="492" t="n"/>
      <c r="AB306" s="492" t="n"/>
      <c r="AC306" s="492" t="n"/>
      <c r="AD306" s="492" t="n"/>
      <c r="AE306" s="493" t="n"/>
      <c r="AF306" s="492" t="n"/>
      <c r="AG306" s="492" t="n"/>
      <c r="AH306" s="492" t="n"/>
      <c r="AI306" s="492" t="n"/>
      <c r="AJ306" s="493" t="n"/>
      <c r="AK306" s="492" t="n"/>
      <c r="AL306" s="492" t="n"/>
      <c r="AM306" s="492" t="n"/>
      <c r="AN306" s="492" t="n"/>
      <c r="AO306" s="492" t="n"/>
      <c r="AP306" s="492" t="n"/>
      <c r="AQ306" s="492" t="n"/>
      <c r="AR306" s="492" t="n"/>
      <c r="AS306" s="492" t="n"/>
      <c r="AT306" s="492" t="n"/>
      <c r="AU306" s="493" t="n"/>
      <c r="AV306" s="492" t="n"/>
      <c r="AW306" s="492" t="n"/>
      <c r="AX306" s="492" t="n"/>
      <c r="AY306" s="492" t="n"/>
      <c r="AZ306" s="492" t="n"/>
      <c r="BA306" s="493" t="n"/>
      <c r="BB306" s="492" t="n"/>
      <c r="BC306" s="492" t="n"/>
      <c r="BD306" s="492" t="n"/>
      <c r="BE306" s="492" t="n"/>
      <c r="BF306" s="493" t="n"/>
      <c r="BG306" s="493" t="n"/>
      <c r="BH306" s="495" t="n"/>
      <c r="BI306" s="496" t="n"/>
      <c r="BJ306" s="496" t="n"/>
      <c r="BK306" s="550" t="n"/>
      <c r="BM306" s="493" t="n"/>
      <c r="BN306" s="493" t="n"/>
      <c r="BO306" s="493" t="n"/>
      <c r="BP306" s="493" t="n"/>
      <c r="BQ306" s="493" t="n"/>
      <c r="BR306" s="493" t="n"/>
      <c r="BS306" s="493" t="n"/>
      <c r="BT306" s="493" t="n"/>
      <c r="BU306" s="493" t="n"/>
      <c r="BV306" s="493" t="n"/>
      <c r="BW306" s="493" t="n"/>
      <c r="BX306" s="493" t="n"/>
      <c r="BY306" s="493" t="n"/>
      <c r="BZ306" s="493" t="n"/>
      <c r="CA306" s="493" t="n"/>
      <c r="CB306" s="493" t="n"/>
      <c r="CC306" s="493" t="n"/>
      <c r="CD306" s="493" t="n"/>
      <c r="CE306" s="493" t="n"/>
      <c r="CF306" s="493" t="n"/>
      <c r="CG306" s="493" t="n"/>
      <c r="CH306" s="493" t="n"/>
      <c r="CI306" s="493" t="n"/>
      <c r="CJ306" s="493" t="n"/>
      <c r="CK306" s="493" t="n"/>
      <c r="CL306" s="493" t="n"/>
    </row>
    <row r="307" customFormat="1" s="230">
      <c r="E307" s="234" t="n"/>
      <c r="F307" s="492" t="n"/>
      <c r="G307" s="492" t="n"/>
      <c r="H307" s="493" t="n"/>
      <c r="I307" s="492" t="n"/>
      <c r="J307" s="492" t="n"/>
      <c r="K307" s="492" t="n"/>
      <c r="L307" s="492" t="n"/>
      <c r="M307" s="493" t="n"/>
      <c r="N307" s="492" t="n"/>
      <c r="O307" s="492" t="n"/>
      <c r="P307" s="492" t="n"/>
      <c r="Q307" s="492" t="n"/>
      <c r="R307" s="492" t="n"/>
      <c r="S307" s="492" t="n"/>
      <c r="T307" s="492" t="n"/>
      <c r="U307" s="492" t="n"/>
      <c r="V307" s="492" t="n"/>
      <c r="W307" s="492" t="n"/>
      <c r="X307" s="492" t="n"/>
      <c r="Y307" s="492" t="n"/>
      <c r="Z307" s="492" t="n"/>
      <c r="AA307" s="492" t="n"/>
      <c r="AB307" s="492" t="n"/>
      <c r="AC307" s="492" t="n"/>
      <c r="AD307" s="492" t="n"/>
      <c r="AE307" s="493" t="n"/>
      <c r="AF307" s="492" t="n"/>
      <c r="AG307" s="492" t="n"/>
      <c r="AH307" s="492" t="n"/>
      <c r="AI307" s="492" t="n"/>
      <c r="AJ307" s="493" t="n"/>
      <c r="AK307" s="492" t="n"/>
      <c r="AL307" s="492" t="n"/>
      <c r="AM307" s="492" t="n"/>
      <c r="AN307" s="492" t="n"/>
      <c r="AO307" s="492" t="n"/>
      <c r="AP307" s="492" t="n"/>
      <c r="AQ307" s="492" t="n"/>
      <c r="AR307" s="492" t="n"/>
      <c r="AS307" s="492" t="n"/>
      <c r="AT307" s="492" t="n"/>
      <c r="AU307" s="493" t="n"/>
      <c r="AV307" s="492" t="n"/>
      <c r="AW307" s="492" t="n"/>
      <c r="AX307" s="492" t="n"/>
      <c r="AY307" s="492" t="n"/>
      <c r="AZ307" s="492" t="n"/>
      <c r="BA307" s="493" t="n"/>
      <c r="BB307" s="492" t="n"/>
      <c r="BC307" s="492" t="n"/>
      <c r="BD307" s="492" t="n"/>
      <c r="BE307" s="492" t="n"/>
      <c r="BF307" s="493" t="n"/>
      <c r="BG307" s="493" t="n"/>
      <c r="BH307" s="495" t="n"/>
      <c r="BI307" s="496" t="n"/>
      <c r="BJ307" s="496" t="n"/>
      <c r="BK307" s="550" t="n"/>
      <c r="BM307" s="493" t="n"/>
      <c r="BN307" s="493" t="n"/>
      <c r="BO307" s="493" t="n"/>
      <c r="BP307" s="493" t="n"/>
      <c r="BQ307" s="493" t="n"/>
      <c r="BR307" s="493" t="n"/>
      <c r="BS307" s="493" t="n"/>
      <c r="BT307" s="493" t="n"/>
      <c r="BU307" s="493" t="n"/>
      <c r="BV307" s="493" t="n"/>
      <c r="BW307" s="493" t="n"/>
      <c r="BX307" s="493" t="n"/>
      <c r="BY307" s="493" t="n"/>
      <c r="BZ307" s="493" t="n"/>
      <c r="CA307" s="493" t="n"/>
      <c r="CB307" s="493" t="n"/>
      <c r="CC307" s="493" t="n"/>
      <c r="CD307" s="493" t="n"/>
      <c r="CE307" s="493" t="n"/>
      <c r="CF307" s="493" t="n"/>
      <c r="CG307" s="493" t="n"/>
      <c r="CH307" s="493" t="n"/>
      <c r="CI307" s="493" t="n"/>
      <c r="CJ307" s="493" t="n"/>
      <c r="CK307" s="493" t="n"/>
      <c r="CL307" s="493" t="n"/>
    </row>
    <row r="308" customFormat="1" s="230">
      <c r="E308" s="234" t="n"/>
      <c r="F308" s="492" t="n"/>
      <c r="G308" s="492" t="n"/>
      <c r="H308" s="493" t="n"/>
      <c r="I308" s="492" t="n"/>
      <c r="J308" s="492" t="n"/>
      <c r="K308" s="492" t="n"/>
      <c r="L308" s="492" t="n"/>
      <c r="M308" s="493" t="n"/>
      <c r="N308" s="492" t="n"/>
      <c r="O308" s="492" t="n"/>
      <c r="P308" s="492" t="n"/>
      <c r="Q308" s="492" t="n"/>
      <c r="R308" s="492" t="n"/>
      <c r="S308" s="492" t="n"/>
      <c r="T308" s="492" t="n"/>
      <c r="U308" s="492" t="n"/>
      <c r="V308" s="492" t="n"/>
      <c r="W308" s="492" t="n"/>
      <c r="X308" s="492" t="n"/>
      <c r="Y308" s="492" t="n"/>
      <c r="Z308" s="492" t="n"/>
      <c r="AA308" s="492" t="n"/>
      <c r="AB308" s="492" t="n"/>
      <c r="AC308" s="492" t="n"/>
      <c r="AD308" s="492" t="n"/>
      <c r="AE308" s="493" t="n"/>
      <c r="AF308" s="492" t="n"/>
      <c r="AG308" s="492" t="n"/>
      <c r="AH308" s="492" t="n"/>
      <c r="AI308" s="492" t="n"/>
      <c r="AJ308" s="493" t="n"/>
      <c r="AK308" s="492" t="n"/>
      <c r="AL308" s="492" t="n"/>
      <c r="AM308" s="492" t="n"/>
      <c r="AN308" s="492" t="n"/>
      <c r="AO308" s="492" t="n"/>
      <c r="AP308" s="492" t="n"/>
      <c r="AQ308" s="492" t="n"/>
      <c r="AR308" s="492" t="n"/>
      <c r="AS308" s="492" t="n"/>
      <c r="AT308" s="492" t="n"/>
      <c r="AU308" s="493" t="n"/>
      <c r="AV308" s="492" t="n"/>
      <c r="AW308" s="492" t="n"/>
      <c r="AX308" s="492" t="n"/>
      <c r="AY308" s="492" t="n"/>
      <c r="AZ308" s="492" t="n"/>
      <c r="BA308" s="493" t="n"/>
      <c r="BB308" s="492" t="n"/>
      <c r="BC308" s="492" t="n"/>
      <c r="BD308" s="492" t="n"/>
      <c r="BE308" s="492" t="n"/>
      <c r="BF308" s="493" t="n"/>
      <c r="BG308" s="493" t="n"/>
      <c r="BH308" s="495" t="n"/>
      <c r="BI308" s="496" t="n"/>
      <c r="BJ308" s="496" t="n"/>
      <c r="BK308" s="550" t="n"/>
      <c r="BM308" s="493" t="n"/>
      <c r="BN308" s="493" t="n"/>
      <c r="BO308" s="493" t="n"/>
      <c r="BP308" s="493" t="n"/>
      <c r="BQ308" s="493" t="n"/>
      <c r="BR308" s="493" t="n"/>
      <c r="BS308" s="493" t="n"/>
      <c r="BT308" s="493" t="n"/>
      <c r="BU308" s="493" t="n"/>
      <c r="BV308" s="493" t="n"/>
      <c r="BW308" s="493" t="n"/>
      <c r="BX308" s="493" t="n"/>
      <c r="BY308" s="493" t="n"/>
      <c r="BZ308" s="493" t="n"/>
      <c r="CA308" s="493" t="n"/>
      <c r="CB308" s="493" t="n"/>
      <c r="CC308" s="493" t="n"/>
      <c r="CD308" s="493" t="n"/>
      <c r="CE308" s="493" t="n"/>
      <c r="CF308" s="493" t="n"/>
      <c r="CG308" s="493" t="n"/>
      <c r="CH308" s="493" t="n"/>
      <c r="CI308" s="493" t="n"/>
      <c r="CJ308" s="493" t="n"/>
      <c r="CK308" s="493" t="n"/>
      <c r="CL308" s="493" t="n"/>
    </row>
    <row r="309" customFormat="1" s="230">
      <c r="E309" s="234" t="n"/>
      <c r="F309" s="492" t="n"/>
      <c r="G309" s="492" t="n"/>
      <c r="H309" s="493" t="n"/>
      <c r="I309" s="492" t="n"/>
      <c r="J309" s="492" t="n"/>
      <c r="K309" s="492" t="n"/>
      <c r="L309" s="492" t="n"/>
      <c r="M309" s="493" t="n"/>
      <c r="N309" s="492" t="n"/>
      <c r="O309" s="492" t="n"/>
      <c r="P309" s="492" t="n"/>
      <c r="Q309" s="492" t="n"/>
      <c r="R309" s="492" t="n"/>
      <c r="S309" s="492" t="n"/>
      <c r="T309" s="492" t="n"/>
      <c r="U309" s="492" t="n"/>
      <c r="V309" s="492" t="n"/>
      <c r="W309" s="492" t="n"/>
      <c r="X309" s="492" t="n"/>
      <c r="Y309" s="492" t="n"/>
      <c r="Z309" s="492" t="n"/>
      <c r="AA309" s="492" t="n"/>
      <c r="AB309" s="492" t="n"/>
      <c r="AC309" s="492" t="n"/>
      <c r="AD309" s="492" t="n"/>
      <c r="AE309" s="493" t="n"/>
      <c r="AF309" s="492" t="n"/>
      <c r="AG309" s="492" t="n"/>
      <c r="AH309" s="492" t="n"/>
      <c r="AI309" s="492" t="n"/>
      <c r="AJ309" s="493" t="n"/>
      <c r="AK309" s="492" t="n"/>
      <c r="AL309" s="492" t="n"/>
      <c r="AM309" s="492" t="n"/>
      <c r="AN309" s="492" t="n"/>
      <c r="AO309" s="492" t="n"/>
      <c r="AP309" s="492" t="n"/>
      <c r="AQ309" s="492" t="n"/>
      <c r="AR309" s="492" t="n"/>
      <c r="AS309" s="492" t="n"/>
      <c r="AT309" s="492" t="n"/>
      <c r="AU309" s="493" t="n"/>
      <c r="AV309" s="492" t="n"/>
      <c r="AW309" s="492" t="n"/>
      <c r="AX309" s="492" t="n"/>
      <c r="AY309" s="492" t="n"/>
      <c r="AZ309" s="492" t="n"/>
      <c r="BA309" s="493" t="n"/>
      <c r="BB309" s="492" t="n"/>
      <c r="BC309" s="492" t="n"/>
      <c r="BD309" s="492" t="n"/>
      <c r="BE309" s="492" t="n"/>
      <c r="BF309" s="493" t="n"/>
      <c r="BG309" s="493" t="n"/>
      <c r="BH309" s="495" t="n"/>
      <c r="BI309" s="496" t="n"/>
      <c r="BJ309" s="496" t="n"/>
      <c r="BK309" s="550" t="n"/>
      <c r="BM309" s="493" t="n"/>
      <c r="BN309" s="493" t="n"/>
      <c r="BO309" s="493" t="n"/>
      <c r="BP309" s="493" t="n"/>
      <c r="BQ309" s="493" t="n"/>
      <c r="BR309" s="493" t="n"/>
      <c r="BS309" s="493" t="n"/>
      <c r="BT309" s="493" t="n"/>
      <c r="BU309" s="493" t="n"/>
      <c r="BV309" s="493" t="n"/>
      <c r="BW309" s="493" t="n"/>
      <c r="BX309" s="493" t="n"/>
      <c r="BY309" s="493" t="n"/>
      <c r="BZ309" s="493" t="n"/>
      <c r="CA309" s="493" t="n"/>
      <c r="CB309" s="493" t="n"/>
      <c r="CC309" s="493" t="n"/>
      <c r="CD309" s="493" t="n"/>
      <c r="CE309" s="493" t="n"/>
      <c r="CF309" s="493" t="n"/>
      <c r="CG309" s="493" t="n"/>
      <c r="CH309" s="493" t="n"/>
      <c r="CI309" s="493" t="n"/>
      <c r="CJ309" s="493" t="n"/>
      <c r="CK309" s="493" t="n"/>
      <c r="CL309" s="493" t="n"/>
    </row>
    <row r="310" customFormat="1" s="230">
      <c r="E310" s="234" t="n"/>
      <c r="F310" s="492" t="n"/>
      <c r="G310" s="492" t="n"/>
      <c r="H310" s="493" t="n"/>
      <c r="I310" s="492" t="n"/>
      <c r="J310" s="492" t="n"/>
      <c r="K310" s="492" t="n"/>
      <c r="L310" s="492" t="n"/>
      <c r="M310" s="493" t="n"/>
      <c r="N310" s="492" t="n"/>
      <c r="O310" s="492" t="n"/>
      <c r="P310" s="492" t="n"/>
      <c r="Q310" s="492" t="n"/>
      <c r="R310" s="492" t="n"/>
      <c r="S310" s="492" t="n"/>
      <c r="T310" s="492" t="n"/>
      <c r="U310" s="492" t="n"/>
      <c r="V310" s="492" t="n"/>
      <c r="W310" s="492" t="n"/>
      <c r="X310" s="492" t="n"/>
      <c r="Y310" s="492" t="n"/>
      <c r="Z310" s="492" t="n"/>
      <c r="AA310" s="492" t="n"/>
      <c r="AB310" s="492" t="n"/>
      <c r="AC310" s="492" t="n"/>
      <c r="AD310" s="492" t="n"/>
      <c r="AE310" s="493" t="n"/>
      <c r="AF310" s="492" t="n"/>
      <c r="AG310" s="492" t="n"/>
      <c r="AH310" s="492" t="n"/>
      <c r="AI310" s="492" t="n"/>
      <c r="AJ310" s="493" t="n"/>
      <c r="AK310" s="492" t="n"/>
      <c r="AL310" s="492" t="n"/>
      <c r="AM310" s="492" t="n"/>
      <c r="AN310" s="492" t="n"/>
      <c r="AO310" s="492" t="n"/>
      <c r="AP310" s="492" t="n"/>
      <c r="AQ310" s="492" t="n"/>
      <c r="AR310" s="492" t="n"/>
      <c r="AS310" s="492" t="n"/>
      <c r="AT310" s="492" t="n"/>
      <c r="AU310" s="493" t="n"/>
      <c r="AV310" s="492" t="n"/>
      <c r="AW310" s="492" t="n"/>
      <c r="AX310" s="492" t="n"/>
      <c r="AY310" s="492" t="n"/>
      <c r="AZ310" s="492" t="n"/>
      <c r="BA310" s="493" t="n"/>
      <c r="BB310" s="492" t="n"/>
      <c r="BC310" s="492" t="n"/>
      <c r="BD310" s="492" t="n"/>
      <c r="BE310" s="492" t="n"/>
      <c r="BF310" s="493" t="n"/>
      <c r="BG310" s="493" t="n"/>
      <c r="BH310" s="495" t="n"/>
      <c r="BI310" s="496" t="n"/>
      <c r="BJ310" s="496" t="n"/>
      <c r="BK310" s="550" t="n"/>
      <c r="BM310" s="493" t="n"/>
      <c r="BN310" s="493" t="n"/>
      <c r="BO310" s="493" t="n"/>
      <c r="BP310" s="493" t="n"/>
      <c r="BQ310" s="493" t="n"/>
      <c r="BR310" s="493" t="n"/>
      <c r="BS310" s="493" t="n"/>
      <c r="BT310" s="493" t="n"/>
      <c r="BU310" s="493" t="n"/>
      <c r="BV310" s="493" t="n"/>
      <c r="BW310" s="493" t="n"/>
      <c r="BX310" s="493" t="n"/>
      <c r="BY310" s="493" t="n"/>
      <c r="BZ310" s="493" t="n"/>
      <c r="CA310" s="493" t="n"/>
      <c r="CB310" s="493" t="n"/>
      <c r="CC310" s="493" t="n"/>
      <c r="CD310" s="493" t="n"/>
      <c r="CE310" s="493" t="n"/>
      <c r="CF310" s="493" t="n"/>
      <c r="CG310" s="493" t="n"/>
      <c r="CH310" s="493" t="n"/>
      <c r="CI310" s="493" t="n"/>
      <c r="CJ310" s="493" t="n"/>
      <c r="CK310" s="493" t="n"/>
      <c r="CL310" s="493" t="n"/>
    </row>
    <row r="311" customFormat="1" s="230">
      <c r="E311" s="234" t="n"/>
      <c r="F311" s="492" t="n"/>
      <c r="G311" s="492" t="n"/>
      <c r="H311" s="493" t="n"/>
      <c r="I311" s="492" t="n"/>
      <c r="J311" s="492" t="n"/>
      <c r="K311" s="492" t="n"/>
      <c r="L311" s="492" t="n"/>
      <c r="M311" s="493" t="n"/>
      <c r="N311" s="492" t="n"/>
      <c r="O311" s="492" t="n"/>
      <c r="P311" s="492" t="n"/>
      <c r="Q311" s="492" t="n"/>
      <c r="R311" s="492" t="n"/>
      <c r="S311" s="492" t="n"/>
      <c r="T311" s="492" t="n"/>
      <c r="U311" s="492" t="n"/>
      <c r="V311" s="492" t="n"/>
      <c r="W311" s="492" t="n"/>
      <c r="X311" s="492" t="n"/>
      <c r="Y311" s="492" t="n"/>
      <c r="Z311" s="492" t="n"/>
      <c r="AA311" s="492" t="n"/>
      <c r="AB311" s="492" t="n"/>
      <c r="AC311" s="492" t="n"/>
      <c r="AD311" s="492" t="n"/>
      <c r="AE311" s="493" t="n"/>
      <c r="AF311" s="492" t="n"/>
      <c r="AG311" s="492" t="n"/>
      <c r="AH311" s="492" t="n"/>
      <c r="AI311" s="492" t="n"/>
      <c r="AJ311" s="493" t="n"/>
      <c r="AK311" s="492" t="n"/>
      <c r="AL311" s="492" t="n"/>
      <c r="AM311" s="492" t="n"/>
      <c r="AN311" s="492" t="n"/>
      <c r="AO311" s="492" t="n"/>
      <c r="AP311" s="492" t="n"/>
      <c r="AQ311" s="492" t="n"/>
      <c r="AR311" s="492" t="n"/>
      <c r="AS311" s="492" t="n"/>
      <c r="AT311" s="492" t="n"/>
      <c r="AU311" s="493" t="n"/>
      <c r="AV311" s="492" t="n"/>
      <c r="AW311" s="492" t="n"/>
      <c r="AX311" s="492" t="n"/>
      <c r="AY311" s="492" t="n"/>
      <c r="AZ311" s="492" t="n"/>
      <c r="BA311" s="493" t="n"/>
      <c r="BB311" s="492" t="n"/>
      <c r="BC311" s="492" t="n"/>
      <c r="BD311" s="492" t="n"/>
      <c r="BE311" s="492" t="n"/>
      <c r="BF311" s="493" t="n"/>
      <c r="BG311" s="493" t="n"/>
      <c r="BH311" s="495" t="n"/>
      <c r="BI311" s="496" t="n"/>
      <c r="BJ311" s="496" t="n"/>
      <c r="BK311" s="550" t="n"/>
      <c r="BM311" s="493" t="n"/>
      <c r="BN311" s="493" t="n"/>
      <c r="BO311" s="493" t="n"/>
      <c r="BP311" s="493" t="n"/>
      <c r="BQ311" s="493" t="n"/>
      <c r="BR311" s="493" t="n"/>
      <c r="BS311" s="493" t="n"/>
      <c r="BT311" s="493" t="n"/>
      <c r="BU311" s="493" t="n"/>
      <c r="BV311" s="493" t="n"/>
      <c r="BW311" s="493" t="n"/>
      <c r="BX311" s="493" t="n"/>
      <c r="BY311" s="493" t="n"/>
      <c r="BZ311" s="493" t="n"/>
      <c r="CA311" s="493" t="n"/>
      <c r="CB311" s="493" t="n"/>
      <c r="CC311" s="493" t="n"/>
      <c r="CD311" s="493" t="n"/>
      <c r="CE311" s="493" t="n"/>
      <c r="CF311" s="493" t="n"/>
      <c r="CG311" s="493" t="n"/>
      <c r="CH311" s="493" t="n"/>
      <c r="CI311" s="493" t="n"/>
      <c r="CJ311" s="493" t="n"/>
      <c r="CK311" s="493" t="n"/>
      <c r="CL311" s="493" t="n"/>
    </row>
    <row r="312" customFormat="1" s="230">
      <c r="E312" s="234" t="n"/>
      <c r="F312" s="492" t="n"/>
      <c r="G312" s="492" t="n"/>
      <c r="H312" s="493" t="n"/>
      <c r="I312" s="492" t="n"/>
      <c r="J312" s="492" t="n"/>
      <c r="K312" s="492" t="n"/>
      <c r="L312" s="492" t="n"/>
      <c r="M312" s="493" t="n"/>
      <c r="N312" s="492" t="n"/>
      <c r="O312" s="492" t="n"/>
      <c r="P312" s="492" t="n"/>
      <c r="Q312" s="492" t="n"/>
      <c r="R312" s="492" t="n"/>
      <c r="S312" s="492" t="n"/>
      <c r="T312" s="492" t="n"/>
      <c r="U312" s="492" t="n"/>
      <c r="V312" s="492" t="n"/>
      <c r="W312" s="492" t="n"/>
      <c r="X312" s="492" t="n"/>
      <c r="Y312" s="492" t="n"/>
      <c r="Z312" s="492" t="n"/>
      <c r="AA312" s="492" t="n"/>
      <c r="AB312" s="492" t="n"/>
      <c r="AC312" s="492" t="n"/>
      <c r="AD312" s="492" t="n"/>
      <c r="AE312" s="493" t="n"/>
      <c r="AF312" s="492" t="n"/>
      <c r="AG312" s="492" t="n"/>
      <c r="AH312" s="492" t="n"/>
      <c r="AI312" s="492" t="n"/>
      <c r="AJ312" s="493" t="n"/>
      <c r="AK312" s="492" t="n"/>
      <c r="AL312" s="492" t="n"/>
      <c r="AM312" s="492" t="n"/>
      <c r="AN312" s="492" t="n"/>
      <c r="AO312" s="492" t="n"/>
      <c r="AP312" s="492" t="n"/>
      <c r="AQ312" s="492" t="n"/>
      <c r="AR312" s="492" t="n"/>
      <c r="AS312" s="492" t="n"/>
      <c r="AT312" s="492" t="n"/>
      <c r="AU312" s="493" t="n"/>
      <c r="AV312" s="492" t="n"/>
      <c r="AW312" s="492" t="n"/>
      <c r="AX312" s="492" t="n"/>
      <c r="AY312" s="492" t="n"/>
      <c r="AZ312" s="492" t="n"/>
      <c r="BA312" s="493" t="n"/>
      <c r="BB312" s="492" t="n"/>
      <c r="BC312" s="492" t="n"/>
      <c r="BD312" s="492" t="n"/>
      <c r="BE312" s="492" t="n"/>
      <c r="BF312" s="493" t="n"/>
      <c r="BG312" s="493" t="n"/>
      <c r="BH312" s="495" t="n"/>
      <c r="BI312" s="496" t="n"/>
      <c r="BJ312" s="496" t="n"/>
      <c r="BK312" s="550" t="n"/>
      <c r="BM312" s="493" t="n"/>
      <c r="BN312" s="493" t="n"/>
      <c r="BO312" s="493" t="n"/>
      <c r="BP312" s="493" t="n"/>
      <c r="BQ312" s="493" t="n"/>
      <c r="BR312" s="493" t="n"/>
      <c r="BS312" s="493" t="n"/>
      <c r="BT312" s="493" t="n"/>
      <c r="BU312" s="493" t="n"/>
      <c r="BV312" s="493" t="n"/>
      <c r="BW312" s="493" t="n"/>
      <c r="BX312" s="493" t="n"/>
      <c r="BY312" s="493" t="n"/>
      <c r="BZ312" s="493" t="n"/>
      <c r="CA312" s="493" t="n"/>
      <c r="CB312" s="493" t="n"/>
      <c r="CC312" s="493" t="n"/>
      <c r="CD312" s="493" t="n"/>
      <c r="CE312" s="493" t="n"/>
      <c r="CF312" s="493" t="n"/>
      <c r="CG312" s="493" t="n"/>
      <c r="CH312" s="493" t="n"/>
      <c r="CI312" s="493" t="n"/>
      <c r="CJ312" s="493" t="n"/>
      <c r="CK312" s="493" t="n"/>
      <c r="CL312" s="493" t="n"/>
    </row>
    <row r="313" customFormat="1" s="230">
      <c r="E313" s="234" t="n"/>
      <c r="F313" s="492" t="n"/>
      <c r="G313" s="492" t="n"/>
      <c r="H313" s="493" t="n"/>
      <c r="I313" s="492" t="n"/>
      <c r="J313" s="492" t="n"/>
      <c r="K313" s="492" t="n"/>
      <c r="L313" s="492" t="n"/>
      <c r="M313" s="493" t="n"/>
      <c r="N313" s="492" t="n"/>
      <c r="O313" s="492" t="n"/>
      <c r="P313" s="492" t="n"/>
      <c r="Q313" s="492" t="n"/>
      <c r="R313" s="492" t="n"/>
      <c r="S313" s="492" t="n"/>
      <c r="T313" s="492" t="n"/>
      <c r="U313" s="492" t="n"/>
      <c r="V313" s="492" t="n"/>
      <c r="W313" s="492" t="n"/>
      <c r="X313" s="492" t="n"/>
      <c r="Y313" s="492" t="n"/>
      <c r="Z313" s="492" t="n"/>
      <c r="AA313" s="492" t="n"/>
      <c r="AB313" s="492" t="n"/>
      <c r="AC313" s="492" t="n"/>
      <c r="AD313" s="492" t="n"/>
      <c r="AE313" s="493" t="n"/>
      <c r="AF313" s="492" t="n"/>
      <c r="AG313" s="492" t="n"/>
      <c r="AH313" s="492" t="n"/>
      <c r="AI313" s="492" t="n"/>
      <c r="AJ313" s="493" t="n"/>
      <c r="AK313" s="492" t="n"/>
      <c r="AL313" s="492" t="n"/>
      <c r="AM313" s="492" t="n"/>
      <c r="AN313" s="492" t="n"/>
      <c r="AO313" s="492" t="n"/>
      <c r="AP313" s="492" t="n"/>
      <c r="AQ313" s="492" t="n"/>
      <c r="AR313" s="492" t="n"/>
      <c r="AS313" s="492" t="n"/>
      <c r="AT313" s="492" t="n"/>
      <c r="AU313" s="493" t="n"/>
      <c r="AV313" s="492" t="n"/>
      <c r="AW313" s="492" t="n"/>
      <c r="AX313" s="492" t="n"/>
      <c r="AY313" s="492" t="n"/>
      <c r="AZ313" s="492" t="n"/>
      <c r="BA313" s="493" t="n"/>
      <c r="BB313" s="492" t="n"/>
      <c r="BC313" s="492" t="n"/>
      <c r="BD313" s="492" t="n"/>
      <c r="BE313" s="492" t="n"/>
      <c r="BF313" s="493" t="n"/>
      <c r="BG313" s="493" t="n"/>
      <c r="BH313" s="495" t="n"/>
      <c r="BI313" s="496" t="n"/>
      <c r="BJ313" s="496" t="n"/>
      <c r="BK313" s="550" t="n"/>
      <c r="BM313" s="493" t="n"/>
      <c r="BN313" s="493" t="n"/>
      <c r="BO313" s="493" t="n"/>
      <c r="BP313" s="493" t="n"/>
      <c r="BQ313" s="493" t="n"/>
      <c r="BR313" s="493" t="n"/>
      <c r="BS313" s="493" t="n"/>
      <c r="BT313" s="493" t="n"/>
      <c r="BU313" s="493" t="n"/>
      <c r="BV313" s="493" t="n"/>
      <c r="BW313" s="493" t="n"/>
      <c r="BX313" s="493" t="n"/>
      <c r="BY313" s="493" t="n"/>
      <c r="BZ313" s="493" t="n"/>
      <c r="CA313" s="493" t="n"/>
      <c r="CB313" s="493" t="n"/>
      <c r="CC313" s="493" t="n"/>
      <c r="CD313" s="493" t="n"/>
      <c r="CE313" s="493" t="n"/>
      <c r="CF313" s="493" t="n"/>
      <c r="CG313" s="493" t="n"/>
      <c r="CH313" s="493" t="n"/>
      <c r="CI313" s="493" t="n"/>
      <c r="CJ313" s="493" t="n"/>
      <c r="CK313" s="493" t="n"/>
      <c r="CL313" s="493" t="n"/>
    </row>
    <row r="314" customFormat="1" s="230">
      <c r="E314" s="234" t="n"/>
      <c r="F314" s="492" t="n"/>
      <c r="G314" s="492" t="n"/>
      <c r="H314" s="493" t="n"/>
      <c r="I314" s="492" t="n"/>
      <c r="J314" s="492" t="n"/>
      <c r="K314" s="492" t="n"/>
      <c r="L314" s="492" t="n"/>
      <c r="M314" s="493" t="n"/>
      <c r="N314" s="492" t="n"/>
      <c r="O314" s="492" t="n"/>
      <c r="P314" s="492" t="n"/>
      <c r="Q314" s="492" t="n"/>
      <c r="R314" s="492" t="n"/>
      <c r="S314" s="492" t="n"/>
      <c r="T314" s="492" t="n"/>
      <c r="U314" s="492" t="n"/>
      <c r="V314" s="492" t="n"/>
      <c r="W314" s="492" t="n"/>
      <c r="X314" s="492" t="n"/>
      <c r="Y314" s="492" t="n"/>
      <c r="Z314" s="492" t="n"/>
      <c r="AA314" s="492" t="n"/>
      <c r="AB314" s="492" t="n"/>
      <c r="AC314" s="492" t="n"/>
      <c r="AD314" s="492" t="n"/>
      <c r="AE314" s="493" t="n"/>
      <c r="AF314" s="492" t="n"/>
      <c r="AG314" s="492" t="n"/>
      <c r="AH314" s="492" t="n"/>
      <c r="AI314" s="492" t="n"/>
      <c r="AJ314" s="493" t="n"/>
      <c r="AK314" s="492" t="n"/>
      <c r="AL314" s="492" t="n"/>
      <c r="AM314" s="492" t="n"/>
      <c r="AN314" s="492" t="n"/>
      <c r="AO314" s="492" t="n"/>
      <c r="AP314" s="492" t="n"/>
      <c r="AQ314" s="492" t="n"/>
      <c r="AR314" s="492" t="n"/>
      <c r="AS314" s="492" t="n"/>
      <c r="AT314" s="492" t="n"/>
      <c r="AU314" s="493" t="n"/>
      <c r="AV314" s="492" t="n"/>
      <c r="AW314" s="492" t="n"/>
      <c r="AX314" s="492" t="n"/>
      <c r="AY314" s="492" t="n"/>
      <c r="AZ314" s="492" t="n"/>
      <c r="BA314" s="493" t="n"/>
      <c r="BB314" s="492" t="n"/>
      <c r="BC314" s="492" t="n"/>
      <c r="BD314" s="492" t="n"/>
      <c r="BE314" s="492" t="n"/>
      <c r="BF314" s="493" t="n"/>
      <c r="BG314" s="493" t="n"/>
      <c r="BH314" s="495" t="n"/>
      <c r="BI314" s="496" t="n"/>
      <c r="BJ314" s="496" t="n"/>
      <c r="BK314" s="550" t="n"/>
      <c r="BM314" s="493" t="n"/>
      <c r="BN314" s="493" t="n"/>
      <c r="BO314" s="493" t="n"/>
      <c r="BP314" s="493" t="n"/>
      <c r="BQ314" s="493" t="n"/>
      <c r="BR314" s="493" t="n"/>
      <c r="BS314" s="493" t="n"/>
      <c r="BT314" s="493" t="n"/>
      <c r="BU314" s="493" t="n"/>
      <c r="BV314" s="493" t="n"/>
      <c r="BW314" s="493" t="n"/>
      <c r="BX314" s="493" t="n"/>
      <c r="BY314" s="493" t="n"/>
      <c r="BZ314" s="493" t="n"/>
      <c r="CA314" s="493" t="n"/>
      <c r="CB314" s="493" t="n"/>
      <c r="CC314" s="493" t="n"/>
      <c r="CD314" s="493" t="n"/>
      <c r="CE314" s="493" t="n"/>
      <c r="CF314" s="493" t="n"/>
      <c r="CG314" s="493" t="n"/>
      <c r="CH314" s="493" t="n"/>
      <c r="CI314" s="493" t="n"/>
      <c r="CJ314" s="493" t="n"/>
      <c r="CK314" s="493" t="n"/>
      <c r="CL314" s="493" t="n"/>
    </row>
    <row r="315" customFormat="1" s="230">
      <c r="E315" s="234" t="n"/>
      <c r="F315" s="492" t="n"/>
      <c r="G315" s="492" t="n"/>
      <c r="H315" s="493" t="n"/>
      <c r="I315" s="492" t="n"/>
      <c r="J315" s="492" t="n"/>
      <c r="K315" s="492" t="n"/>
      <c r="L315" s="492" t="n"/>
      <c r="M315" s="493" t="n"/>
      <c r="N315" s="492" t="n"/>
      <c r="O315" s="492" t="n"/>
      <c r="P315" s="492" t="n"/>
      <c r="Q315" s="492" t="n"/>
      <c r="R315" s="492" t="n"/>
      <c r="S315" s="492" t="n"/>
      <c r="T315" s="492" t="n"/>
      <c r="U315" s="492" t="n"/>
      <c r="V315" s="492" t="n"/>
      <c r="W315" s="492" t="n"/>
      <c r="X315" s="492" t="n"/>
      <c r="Y315" s="492" t="n"/>
      <c r="Z315" s="492" t="n"/>
      <c r="AA315" s="492" t="n"/>
      <c r="AB315" s="492" t="n"/>
      <c r="AC315" s="492" t="n"/>
      <c r="AD315" s="492" t="n"/>
      <c r="AE315" s="493" t="n"/>
      <c r="AF315" s="492" t="n"/>
      <c r="AG315" s="492" t="n"/>
      <c r="AH315" s="492" t="n"/>
      <c r="AI315" s="492" t="n"/>
      <c r="AJ315" s="493" t="n"/>
      <c r="AK315" s="492" t="n"/>
      <c r="AL315" s="492" t="n"/>
      <c r="AM315" s="492" t="n"/>
      <c r="AN315" s="492" t="n"/>
      <c r="AO315" s="492" t="n"/>
      <c r="AP315" s="492" t="n"/>
      <c r="AQ315" s="492" t="n"/>
      <c r="AR315" s="492" t="n"/>
      <c r="AS315" s="492" t="n"/>
      <c r="AT315" s="492" t="n"/>
      <c r="AU315" s="493" t="n"/>
      <c r="AV315" s="492" t="n"/>
      <c r="AW315" s="492" t="n"/>
      <c r="AX315" s="492" t="n"/>
      <c r="AY315" s="492" t="n"/>
      <c r="AZ315" s="492" t="n"/>
      <c r="BA315" s="493" t="n"/>
      <c r="BB315" s="492" t="n"/>
      <c r="BC315" s="492" t="n"/>
      <c r="BD315" s="492" t="n"/>
      <c r="BE315" s="492" t="n"/>
      <c r="BF315" s="493" t="n"/>
      <c r="BG315" s="493" t="n"/>
      <c r="BH315" s="495" t="n"/>
      <c r="BI315" s="496" t="n"/>
      <c r="BJ315" s="496" t="n"/>
      <c r="BK315" s="550" t="n"/>
      <c r="BM315" s="493" t="n"/>
      <c r="BN315" s="493" t="n"/>
      <c r="BO315" s="493" t="n"/>
      <c r="BP315" s="493" t="n"/>
      <c r="BQ315" s="493" t="n"/>
      <c r="BR315" s="493" t="n"/>
      <c r="BS315" s="493" t="n"/>
      <c r="BT315" s="493" t="n"/>
      <c r="BU315" s="493" t="n"/>
      <c r="BV315" s="493" t="n"/>
      <c r="BW315" s="493" t="n"/>
      <c r="BX315" s="493" t="n"/>
      <c r="BY315" s="493" t="n"/>
      <c r="BZ315" s="493" t="n"/>
      <c r="CA315" s="493" t="n"/>
      <c r="CB315" s="493" t="n"/>
      <c r="CC315" s="493" t="n"/>
      <c r="CD315" s="493" t="n"/>
      <c r="CE315" s="493" t="n"/>
      <c r="CF315" s="493" t="n"/>
      <c r="CG315" s="493" t="n"/>
      <c r="CH315" s="493" t="n"/>
      <c r="CI315" s="493" t="n"/>
      <c r="CJ315" s="493" t="n"/>
      <c r="CK315" s="493" t="n"/>
      <c r="CL315" s="493" t="n"/>
    </row>
    <row r="316" customFormat="1" s="230">
      <c r="E316" s="234" t="n"/>
      <c r="F316" s="492" t="n"/>
      <c r="G316" s="492" t="n"/>
      <c r="H316" s="493" t="n"/>
      <c r="I316" s="492" t="n"/>
      <c r="J316" s="492" t="n"/>
      <c r="K316" s="492" t="n"/>
      <c r="L316" s="492" t="n"/>
      <c r="M316" s="493" t="n"/>
      <c r="N316" s="492" t="n"/>
      <c r="O316" s="492" t="n"/>
      <c r="P316" s="492" t="n"/>
      <c r="Q316" s="492" t="n"/>
      <c r="R316" s="492" t="n"/>
      <c r="S316" s="492" t="n"/>
      <c r="T316" s="492" t="n"/>
      <c r="U316" s="492" t="n"/>
      <c r="V316" s="492" t="n"/>
      <c r="W316" s="492" t="n"/>
      <c r="X316" s="492" t="n"/>
      <c r="Y316" s="492" t="n"/>
      <c r="Z316" s="492" t="n"/>
      <c r="AA316" s="492" t="n"/>
      <c r="AB316" s="492" t="n"/>
      <c r="AC316" s="492" t="n"/>
      <c r="AD316" s="492" t="n"/>
      <c r="AE316" s="493" t="n"/>
      <c r="AF316" s="492" t="n"/>
      <c r="AG316" s="492" t="n"/>
      <c r="AH316" s="492" t="n"/>
      <c r="AI316" s="492" t="n"/>
      <c r="AJ316" s="493" t="n"/>
      <c r="AK316" s="492" t="n"/>
      <c r="AL316" s="492" t="n"/>
      <c r="AM316" s="492" t="n"/>
      <c r="AN316" s="492" t="n"/>
      <c r="AO316" s="492" t="n"/>
      <c r="AP316" s="492" t="n"/>
      <c r="AQ316" s="492" t="n"/>
      <c r="AR316" s="492" t="n"/>
      <c r="AS316" s="492" t="n"/>
      <c r="AT316" s="492" t="n"/>
      <c r="AU316" s="493" t="n"/>
      <c r="AV316" s="492" t="n"/>
      <c r="AW316" s="492" t="n"/>
      <c r="AX316" s="492" t="n"/>
      <c r="AY316" s="492" t="n"/>
      <c r="AZ316" s="492" t="n"/>
      <c r="BA316" s="493" t="n"/>
      <c r="BB316" s="492" t="n"/>
      <c r="BC316" s="492" t="n"/>
      <c r="BD316" s="492" t="n"/>
      <c r="BE316" s="492" t="n"/>
      <c r="BF316" s="493" t="n"/>
      <c r="BG316" s="493" t="n"/>
      <c r="BH316" s="495" t="n"/>
      <c r="BI316" s="496" t="n"/>
      <c r="BJ316" s="496" t="n"/>
      <c r="BK316" s="550" t="n"/>
      <c r="BM316" s="493" t="n"/>
      <c r="BN316" s="493" t="n"/>
      <c r="BO316" s="493" t="n"/>
      <c r="BP316" s="493" t="n"/>
      <c r="BQ316" s="493" t="n"/>
      <c r="BR316" s="493" t="n"/>
      <c r="BS316" s="493" t="n"/>
      <c r="BT316" s="493" t="n"/>
      <c r="BU316" s="493" t="n"/>
      <c r="BV316" s="493" t="n"/>
      <c r="BW316" s="493" t="n"/>
      <c r="BX316" s="493" t="n"/>
      <c r="BY316" s="493" t="n"/>
      <c r="BZ316" s="493" t="n"/>
      <c r="CA316" s="493" t="n"/>
      <c r="CB316" s="493" t="n"/>
      <c r="CC316" s="493" t="n"/>
      <c r="CD316" s="493" t="n"/>
      <c r="CE316" s="493" t="n"/>
      <c r="CF316" s="493" t="n"/>
      <c r="CG316" s="493" t="n"/>
      <c r="CH316" s="493" t="n"/>
      <c r="CI316" s="493" t="n"/>
      <c r="CJ316" s="493" t="n"/>
      <c r="CK316" s="493" t="n"/>
      <c r="CL316" s="493" t="n"/>
    </row>
    <row r="317" customFormat="1" s="230">
      <c r="E317" s="234" t="n"/>
      <c r="F317" s="492" t="n"/>
      <c r="G317" s="492" t="n"/>
      <c r="H317" s="493" t="n"/>
      <c r="I317" s="492" t="n"/>
      <c r="J317" s="492" t="n"/>
      <c r="K317" s="492" t="n"/>
      <c r="L317" s="492" t="n"/>
      <c r="M317" s="493" t="n"/>
      <c r="N317" s="492" t="n"/>
      <c r="O317" s="492" t="n"/>
      <c r="P317" s="492" t="n"/>
      <c r="Q317" s="492" t="n"/>
      <c r="R317" s="492" t="n"/>
      <c r="S317" s="492" t="n"/>
      <c r="T317" s="492" t="n"/>
      <c r="U317" s="492" t="n"/>
      <c r="V317" s="492" t="n"/>
      <c r="W317" s="492" t="n"/>
      <c r="X317" s="492" t="n"/>
      <c r="Y317" s="492" t="n"/>
      <c r="Z317" s="492" t="n"/>
      <c r="AA317" s="492" t="n"/>
      <c r="AB317" s="492" t="n"/>
      <c r="AC317" s="492" t="n"/>
      <c r="AD317" s="492" t="n"/>
      <c r="AE317" s="493" t="n"/>
      <c r="AF317" s="492" t="n"/>
      <c r="AG317" s="492" t="n"/>
      <c r="AH317" s="492" t="n"/>
      <c r="AI317" s="492" t="n"/>
      <c r="AJ317" s="493" t="n"/>
      <c r="AK317" s="492" t="n"/>
      <c r="AL317" s="492" t="n"/>
      <c r="AM317" s="492" t="n"/>
      <c r="AN317" s="492" t="n"/>
      <c r="AO317" s="492" t="n"/>
      <c r="AP317" s="492" t="n"/>
      <c r="AQ317" s="492" t="n"/>
      <c r="AR317" s="492" t="n"/>
      <c r="AS317" s="492" t="n"/>
      <c r="AT317" s="492" t="n"/>
      <c r="AU317" s="493" t="n"/>
      <c r="AV317" s="492" t="n"/>
      <c r="AW317" s="492" t="n"/>
      <c r="AX317" s="492" t="n"/>
      <c r="AY317" s="492" t="n"/>
      <c r="AZ317" s="492" t="n"/>
      <c r="BA317" s="493" t="n"/>
      <c r="BB317" s="492" t="n"/>
      <c r="BC317" s="492" t="n"/>
      <c r="BD317" s="492" t="n"/>
      <c r="BE317" s="492" t="n"/>
      <c r="BF317" s="493" t="n"/>
      <c r="BG317" s="493" t="n"/>
      <c r="BH317" s="495" t="n"/>
      <c r="BI317" s="496" t="n"/>
      <c r="BJ317" s="496" t="n"/>
      <c r="BK317" s="550" t="n"/>
      <c r="BM317" s="493" t="n"/>
      <c r="BN317" s="493" t="n"/>
      <c r="BO317" s="493" t="n"/>
      <c r="BP317" s="493" t="n"/>
      <c r="BQ317" s="493" t="n"/>
      <c r="BR317" s="493" t="n"/>
      <c r="BS317" s="493" t="n"/>
      <c r="BT317" s="493" t="n"/>
      <c r="BU317" s="493" t="n"/>
      <c r="BV317" s="493" t="n"/>
      <c r="BW317" s="493" t="n"/>
      <c r="BX317" s="493" t="n"/>
      <c r="BY317" s="493" t="n"/>
      <c r="BZ317" s="493" t="n"/>
      <c r="CA317" s="493" t="n"/>
      <c r="CB317" s="493" t="n"/>
      <c r="CC317" s="493" t="n"/>
      <c r="CD317" s="493" t="n"/>
      <c r="CE317" s="493" t="n"/>
      <c r="CF317" s="493" t="n"/>
      <c r="CG317" s="493" t="n"/>
      <c r="CH317" s="493" t="n"/>
      <c r="CI317" s="493" t="n"/>
      <c r="CJ317" s="493" t="n"/>
      <c r="CK317" s="493" t="n"/>
      <c r="CL317" s="493" t="n"/>
    </row>
    <row r="318" customFormat="1" s="230">
      <c r="E318" s="234" t="n"/>
      <c r="F318" s="492" t="n"/>
      <c r="G318" s="492" t="n"/>
      <c r="H318" s="493" t="n"/>
      <c r="I318" s="492" t="n"/>
      <c r="J318" s="492" t="n"/>
      <c r="K318" s="492" t="n"/>
      <c r="L318" s="492" t="n"/>
      <c r="M318" s="493" t="n"/>
      <c r="N318" s="492" t="n"/>
      <c r="O318" s="492" t="n"/>
      <c r="P318" s="492" t="n"/>
      <c r="Q318" s="492" t="n"/>
      <c r="R318" s="492" t="n"/>
      <c r="S318" s="492" t="n"/>
      <c r="T318" s="492" t="n"/>
      <c r="U318" s="492" t="n"/>
      <c r="V318" s="492" t="n"/>
      <c r="W318" s="492" t="n"/>
      <c r="X318" s="492" t="n"/>
      <c r="Y318" s="492" t="n"/>
      <c r="Z318" s="492" t="n"/>
      <c r="AA318" s="492" t="n"/>
      <c r="AB318" s="492" t="n"/>
      <c r="AC318" s="492" t="n"/>
      <c r="AD318" s="492" t="n"/>
      <c r="AE318" s="493" t="n"/>
      <c r="AF318" s="492" t="n"/>
      <c r="AG318" s="492" t="n"/>
      <c r="AH318" s="492" t="n"/>
      <c r="AI318" s="492" t="n"/>
      <c r="AJ318" s="493" t="n"/>
      <c r="AK318" s="492" t="n"/>
      <c r="AL318" s="492" t="n"/>
      <c r="AM318" s="492" t="n"/>
      <c r="AN318" s="492" t="n"/>
      <c r="AO318" s="492" t="n"/>
      <c r="AP318" s="492" t="n"/>
      <c r="AQ318" s="492" t="n"/>
      <c r="AR318" s="492" t="n"/>
      <c r="AS318" s="492" t="n"/>
      <c r="AT318" s="492" t="n"/>
      <c r="AU318" s="493" t="n"/>
      <c r="AV318" s="492" t="n"/>
      <c r="AW318" s="492" t="n"/>
      <c r="AX318" s="492" t="n"/>
      <c r="AY318" s="492" t="n"/>
      <c r="AZ318" s="492" t="n"/>
      <c r="BA318" s="493" t="n"/>
      <c r="BB318" s="492" t="n"/>
      <c r="BC318" s="492" t="n"/>
      <c r="BD318" s="492" t="n"/>
      <c r="BE318" s="492" t="n"/>
      <c r="BF318" s="493" t="n"/>
      <c r="BG318" s="493" t="n"/>
      <c r="BH318" s="495" t="n"/>
      <c r="BI318" s="496" t="n"/>
      <c r="BJ318" s="496" t="n"/>
      <c r="BK318" s="550" t="n"/>
      <c r="BM318" s="493" t="n"/>
      <c r="BN318" s="493" t="n"/>
      <c r="BO318" s="493" t="n"/>
      <c r="BP318" s="493" t="n"/>
      <c r="BQ318" s="493" t="n"/>
      <c r="BR318" s="493" t="n"/>
      <c r="BS318" s="493" t="n"/>
      <c r="BT318" s="493" t="n"/>
      <c r="BU318" s="493" t="n"/>
      <c r="BV318" s="493" t="n"/>
      <c r="BW318" s="493" t="n"/>
      <c r="BX318" s="493" t="n"/>
      <c r="BY318" s="493" t="n"/>
      <c r="BZ318" s="493" t="n"/>
      <c r="CA318" s="493" t="n"/>
      <c r="CB318" s="493" t="n"/>
      <c r="CC318" s="493" t="n"/>
      <c r="CD318" s="493" t="n"/>
      <c r="CE318" s="493" t="n"/>
      <c r="CF318" s="493" t="n"/>
      <c r="CG318" s="493" t="n"/>
      <c r="CH318" s="493" t="n"/>
      <c r="CI318" s="493" t="n"/>
      <c r="CJ318" s="493" t="n"/>
      <c r="CK318" s="493" t="n"/>
      <c r="CL318" s="493" t="n"/>
    </row>
    <row r="319" customFormat="1" s="230">
      <c r="E319" s="234" t="n"/>
      <c r="F319" s="492" t="n"/>
      <c r="G319" s="492" t="n"/>
      <c r="H319" s="493" t="n"/>
      <c r="I319" s="492" t="n"/>
      <c r="J319" s="492" t="n"/>
      <c r="K319" s="492" t="n"/>
      <c r="L319" s="492" t="n"/>
      <c r="M319" s="493" t="n"/>
      <c r="N319" s="492" t="n"/>
      <c r="O319" s="492" t="n"/>
      <c r="P319" s="492" t="n"/>
      <c r="Q319" s="492" t="n"/>
      <c r="R319" s="492" t="n"/>
      <c r="S319" s="492" t="n"/>
      <c r="T319" s="492" t="n"/>
      <c r="U319" s="492" t="n"/>
      <c r="V319" s="492" t="n"/>
      <c r="W319" s="492" t="n"/>
      <c r="X319" s="492" t="n"/>
      <c r="Y319" s="492" t="n"/>
      <c r="Z319" s="492" t="n"/>
      <c r="AA319" s="492" t="n"/>
      <c r="AB319" s="492" t="n"/>
      <c r="AC319" s="492" t="n"/>
      <c r="AD319" s="492" t="n"/>
      <c r="AE319" s="493" t="n"/>
      <c r="AF319" s="492" t="n"/>
      <c r="AG319" s="492" t="n"/>
      <c r="AH319" s="492" t="n"/>
      <c r="AI319" s="492" t="n"/>
      <c r="AJ319" s="493" t="n"/>
      <c r="AK319" s="492" t="n"/>
      <c r="AL319" s="492" t="n"/>
      <c r="AM319" s="492" t="n"/>
      <c r="AN319" s="492" t="n"/>
      <c r="AO319" s="492" t="n"/>
      <c r="AP319" s="492" t="n"/>
      <c r="AQ319" s="492" t="n"/>
      <c r="AR319" s="492" t="n"/>
      <c r="AS319" s="492" t="n"/>
      <c r="AT319" s="492" t="n"/>
      <c r="AU319" s="493" t="n"/>
      <c r="AV319" s="492" t="n"/>
      <c r="AW319" s="492" t="n"/>
      <c r="AX319" s="492" t="n"/>
      <c r="AY319" s="492" t="n"/>
      <c r="AZ319" s="492" t="n"/>
      <c r="BA319" s="493" t="n"/>
      <c r="BB319" s="492" t="n"/>
      <c r="BC319" s="492" t="n"/>
      <c r="BD319" s="492" t="n"/>
      <c r="BE319" s="492" t="n"/>
      <c r="BF319" s="493" t="n"/>
      <c r="BG319" s="493" t="n"/>
      <c r="BH319" s="495" t="n"/>
      <c r="BI319" s="496" t="n"/>
      <c r="BJ319" s="496" t="n"/>
      <c r="BK319" s="550" t="n"/>
      <c r="BM319" s="493" t="n"/>
      <c r="BN319" s="493" t="n"/>
      <c r="BO319" s="493" t="n"/>
      <c r="BP319" s="493" t="n"/>
      <c r="BQ319" s="493" t="n"/>
      <c r="BR319" s="493" t="n"/>
      <c r="BS319" s="493" t="n"/>
      <c r="BT319" s="493" t="n"/>
      <c r="BU319" s="493" t="n"/>
      <c r="BV319" s="493" t="n"/>
      <c r="BW319" s="493" t="n"/>
      <c r="BX319" s="493" t="n"/>
      <c r="BY319" s="493" t="n"/>
      <c r="BZ319" s="493" t="n"/>
      <c r="CA319" s="493" t="n"/>
      <c r="CB319" s="493" t="n"/>
      <c r="CC319" s="493" t="n"/>
      <c r="CD319" s="493" t="n"/>
      <c r="CE319" s="493" t="n"/>
      <c r="CF319" s="493" t="n"/>
      <c r="CG319" s="493" t="n"/>
      <c r="CH319" s="493" t="n"/>
      <c r="CI319" s="493" t="n"/>
      <c r="CJ319" s="493" t="n"/>
      <c r="CK319" s="493" t="n"/>
      <c r="CL319" s="493" t="n"/>
    </row>
    <row r="320" customFormat="1" s="230">
      <c r="E320" s="234" t="n"/>
      <c r="F320" s="492" t="n"/>
      <c r="G320" s="492" t="n"/>
      <c r="H320" s="493" t="n"/>
      <c r="I320" s="492" t="n"/>
      <c r="J320" s="492" t="n"/>
      <c r="K320" s="492" t="n"/>
      <c r="L320" s="492" t="n"/>
      <c r="M320" s="493" t="n"/>
      <c r="N320" s="492" t="n"/>
      <c r="O320" s="492" t="n"/>
      <c r="P320" s="492" t="n"/>
      <c r="Q320" s="492" t="n"/>
      <c r="R320" s="492" t="n"/>
      <c r="S320" s="492" t="n"/>
      <c r="T320" s="492" t="n"/>
      <c r="U320" s="492" t="n"/>
      <c r="V320" s="492" t="n"/>
      <c r="W320" s="492" t="n"/>
      <c r="X320" s="492" t="n"/>
      <c r="Y320" s="492" t="n"/>
      <c r="Z320" s="492" t="n"/>
      <c r="AA320" s="492" t="n"/>
      <c r="AB320" s="492" t="n"/>
      <c r="AC320" s="492" t="n"/>
      <c r="AD320" s="492" t="n"/>
      <c r="AE320" s="493" t="n"/>
      <c r="AF320" s="492" t="n"/>
      <c r="AG320" s="492" t="n"/>
      <c r="AH320" s="492" t="n"/>
      <c r="AI320" s="492" t="n"/>
      <c r="AJ320" s="493" t="n"/>
      <c r="AK320" s="492" t="n"/>
      <c r="AL320" s="492" t="n"/>
      <c r="AM320" s="492" t="n"/>
      <c r="AN320" s="492" t="n"/>
      <c r="AO320" s="492" t="n"/>
      <c r="AP320" s="492" t="n"/>
      <c r="AQ320" s="492" t="n"/>
      <c r="AR320" s="492" t="n"/>
      <c r="AS320" s="492" t="n"/>
      <c r="AT320" s="492" t="n"/>
      <c r="AU320" s="493" t="n"/>
      <c r="AV320" s="492" t="n"/>
      <c r="AW320" s="492" t="n"/>
      <c r="AX320" s="492" t="n"/>
      <c r="AY320" s="492" t="n"/>
      <c r="AZ320" s="492" t="n"/>
      <c r="BA320" s="493" t="n"/>
      <c r="BB320" s="492" t="n"/>
      <c r="BC320" s="492" t="n"/>
      <c r="BD320" s="492" t="n"/>
      <c r="BE320" s="492" t="n"/>
      <c r="BF320" s="493" t="n"/>
      <c r="BG320" s="493" t="n"/>
      <c r="BH320" s="495" t="n"/>
      <c r="BI320" s="496" t="n"/>
      <c r="BJ320" s="496" t="n"/>
      <c r="BK320" s="496" t="n"/>
      <c r="BM320" s="493" t="n"/>
      <c r="BN320" s="493" t="n"/>
      <c r="BO320" s="493" t="n"/>
      <c r="BP320" s="493" t="n"/>
      <c r="BQ320" s="493" t="n"/>
      <c r="BR320" s="493" t="n"/>
      <c r="BS320" s="493" t="n"/>
      <c r="BT320" s="493" t="n"/>
      <c r="BU320" s="493" t="n"/>
      <c r="BV320" s="493" t="n"/>
      <c r="BW320" s="493" t="n"/>
      <c r="BX320" s="493" t="n"/>
      <c r="BY320" s="493" t="n"/>
      <c r="BZ320" s="493" t="n"/>
      <c r="CA320" s="493" t="n"/>
      <c r="CB320" s="493" t="n"/>
      <c r="CC320" s="493" t="n"/>
      <c r="CD320" s="493" t="n"/>
      <c r="CE320" s="493" t="n"/>
      <c r="CF320" s="493" t="n"/>
      <c r="CG320" s="493" t="n"/>
      <c r="CH320" s="493" t="n"/>
      <c r="CI320" s="493" t="n"/>
      <c r="CJ320" s="493" t="n"/>
      <c r="CK320" s="493" t="n"/>
      <c r="CL320" s="493" t="n"/>
    </row>
    <row r="321" customFormat="1" s="230">
      <c r="E321" s="234" t="n"/>
      <c r="F321" s="492" t="n"/>
      <c r="G321" s="492" t="n"/>
      <c r="H321" s="493" t="n"/>
      <c r="I321" s="492" t="n"/>
      <c r="J321" s="492" t="n"/>
      <c r="K321" s="492" t="n"/>
      <c r="L321" s="492" t="n"/>
      <c r="M321" s="493" t="n"/>
      <c r="N321" s="492" t="n"/>
      <c r="O321" s="492" t="n"/>
      <c r="P321" s="492" t="n"/>
      <c r="Q321" s="492" t="n"/>
      <c r="R321" s="492" t="n"/>
      <c r="S321" s="492" t="n"/>
      <c r="T321" s="492" t="n"/>
      <c r="U321" s="492" t="n"/>
      <c r="V321" s="492" t="n"/>
      <c r="W321" s="492" t="n"/>
      <c r="X321" s="492" t="n"/>
      <c r="Y321" s="492" t="n"/>
      <c r="Z321" s="492" t="n"/>
      <c r="AA321" s="492" t="n"/>
      <c r="AB321" s="492" t="n"/>
      <c r="AC321" s="492" t="n"/>
      <c r="AD321" s="492" t="n"/>
      <c r="AE321" s="493" t="n"/>
      <c r="AF321" s="492" t="n"/>
      <c r="AG321" s="492" t="n"/>
      <c r="AH321" s="492" t="n"/>
      <c r="AI321" s="492" t="n"/>
      <c r="AJ321" s="493" t="n"/>
      <c r="AK321" s="492" t="n"/>
      <c r="AL321" s="492" t="n"/>
      <c r="AM321" s="492" t="n"/>
      <c r="AN321" s="492" t="n"/>
      <c r="AO321" s="492" t="n"/>
      <c r="AP321" s="492" t="n"/>
      <c r="AQ321" s="492" t="n"/>
      <c r="AR321" s="492" t="n"/>
      <c r="AS321" s="492" t="n"/>
      <c r="AT321" s="492" t="n"/>
      <c r="AU321" s="493" t="n"/>
      <c r="AV321" s="492" t="n"/>
      <c r="AW321" s="492" t="n"/>
      <c r="AX321" s="492" t="n"/>
      <c r="AY321" s="492" t="n"/>
      <c r="AZ321" s="492" t="n"/>
      <c r="BA321" s="493" t="n"/>
      <c r="BB321" s="492" t="n"/>
      <c r="BC321" s="492" t="n"/>
      <c r="BD321" s="492" t="n"/>
      <c r="BE321" s="492" t="n"/>
      <c r="BF321" s="493" t="n"/>
      <c r="BG321" s="493" t="n"/>
      <c r="BH321" s="495" t="n"/>
      <c r="BI321" s="496" t="n"/>
      <c r="BJ321" s="496" t="n"/>
      <c r="BK321" s="496" t="n"/>
      <c r="BM321" s="493" t="n"/>
      <c r="BN321" s="493" t="n"/>
      <c r="BO321" s="493" t="n"/>
      <c r="BP321" s="493" t="n"/>
      <c r="BQ321" s="493" t="n"/>
      <c r="BR321" s="493" t="n"/>
      <c r="BS321" s="493" t="n"/>
      <c r="BT321" s="493" t="n"/>
      <c r="BU321" s="493" t="n"/>
      <c r="BV321" s="493" t="n"/>
      <c r="BW321" s="493" t="n"/>
      <c r="BX321" s="493" t="n"/>
      <c r="BY321" s="493" t="n"/>
      <c r="BZ321" s="493" t="n"/>
      <c r="CA321" s="493" t="n"/>
      <c r="CB321" s="493" t="n"/>
      <c r="CC321" s="493" t="n"/>
      <c r="CD321" s="493" t="n"/>
      <c r="CE321" s="493" t="n"/>
      <c r="CF321" s="493" t="n"/>
      <c r="CG321" s="493" t="n"/>
      <c r="CH321" s="493" t="n"/>
      <c r="CI321" s="493" t="n"/>
      <c r="CJ321" s="493" t="n"/>
      <c r="CK321" s="493" t="n"/>
      <c r="CL321" s="493" t="n"/>
    </row>
    <row r="322" customFormat="1" s="230">
      <c r="E322" s="234" t="n"/>
      <c r="F322" s="492" t="n"/>
      <c r="G322" s="492" t="n"/>
      <c r="H322" s="493" t="n"/>
      <c r="I322" s="492" t="n"/>
      <c r="J322" s="492" t="n"/>
      <c r="K322" s="492" t="n"/>
      <c r="L322" s="492" t="n"/>
      <c r="M322" s="493" t="n"/>
      <c r="N322" s="492" t="n"/>
      <c r="O322" s="492" t="n"/>
      <c r="P322" s="492" t="n"/>
      <c r="Q322" s="492" t="n"/>
      <c r="R322" s="492" t="n"/>
      <c r="S322" s="492" t="n"/>
      <c r="T322" s="492" t="n"/>
      <c r="U322" s="492" t="n"/>
      <c r="V322" s="492" t="n"/>
      <c r="W322" s="492" t="n"/>
      <c r="X322" s="492" t="n"/>
      <c r="Y322" s="492" t="n"/>
      <c r="Z322" s="492" t="n"/>
      <c r="AA322" s="492" t="n"/>
      <c r="AB322" s="492" t="n"/>
      <c r="AC322" s="492" t="n"/>
      <c r="AD322" s="492" t="n"/>
      <c r="AE322" s="493" t="n"/>
      <c r="AF322" s="492" t="n"/>
      <c r="AG322" s="492" t="n"/>
      <c r="AH322" s="492" t="n"/>
      <c r="AI322" s="492" t="n"/>
      <c r="AJ322" s="493" t="n"/>
      <c r="AK322" s="492" t="n"/>
      <c r="AL322" s="492" t="n"/>
      <c r="AM322" s="492" t="n"/>
      <c r="AN322" s="492" t="n"/>
      <c r="AO322" s="492" t="n"/>
      <c r="AP322" s="492" t="n"/>
      <c r="AQ322" s="492" t="n"/>
      <c r="AR322" s="492" t="n"/>
      <c r="AS322" s="492" t="n"/>
      <c r="AT322" s="492" t="n"/>
      <c r="AU322" s="493" t="n"/>
      <c r="AV322" s="492" t="n"/>
      <c r="AW322" s="492" t="n"/>
      <c r="AX322" s="492" t="n"/>
      <c r="AY322" s="492" t="n"/>
      <c r="AZ322" s="492" t="n"/>
      <c r="BA322" s="493" t="n"/>
      <c r="BB322" s="492" t="n"/>
      <c r="BC322" s="492" t="n"/>
      <c r="BD322" s="492" t="n"/>
      <c r="BE322" s="492" t="n"/>
      <c r="BF322" s="493" t="n"/>
      <c r="BG322" s="493" t="n"/>
      <c r="BH322" s="495" t="n"/>
      <c r="BI322" s="496" t="n"/>
      <c r="BJ322" s="496" t="n"/>
      <c r="BK322" s="496" t="n"/>
      <c r="BM322" s="493" t="n"/>
      <c r="BN322" s="493" t="n"/>
      <c r="BO322" s="493" t="n"/>
      <c r="BP322" s="493" t="n"/>
      <c r="BQ322" s="493" t="n"/>
      <c r="BR322" s="493" t="n"/>
      <c r="BS322" s="493" t="n"/>
      <c r="BT322" s="493" t="n"/>
      <c r="BU322" s="493" t="n"/>
      <c r="BV322" s="493" t="n"/>
      <c r="BW322" s="493" t="n"/>
      <c r="BX322" s="493" t="n"/>
      <c r="BY322" s="493" t="n"/>
      <c r="BZ322" s="493" t="n"/>
      <c r="CA322" s="493" t="n"/>
      <c r="CB322" s="493" t="n"/>
      <c r="CC322" s="493" t="n"/>
      <c r="CD322" s="493" t="n"/>
      <c r="CE322" s="493" t="n"/>
      <c r="CF322" s="493" t="n"/>
      <c r="CG322" s="493" t="n"/>
      <c r="CH322" s="493" t="n"/>
      <c r="CI322" s="493" t="n"/>
      <c r="CJ322" s="493" t="n"/>
      <c r="CK322" s="493" t="n"/>
      <c r="CL322" s="493" t="n"/>
    </row>
    <row r="323" customFormat="1" s="230">
      <c r="E323" s="234" t="n"/>
      <c r="F323" s="492" t="n"/>
      <c r="G323" s="492" t="n"/>
      <c r="H323" s="493" t="n"/>
      <c r="I323" s="492" t="n"/>
      <c r="J323" s="492" t="n"/>
      <c r="K323" s="492" t="n"/>
      <c r="L323" s="492" t="n"/>
      <c r="M323" s="493" t="n"/>
      <c r="N323" s="492" t="n"/>
      <c r="O323" s="492" t="n"/>
      <c r="P323" s="492" t="n"/>
      <c r="Q323" s="492" t="n"/>
      <c r="R323" s="492" t="n"/>
      <c r="S323" s="492" t="n"/>
      <c r="T323" s="492" t="n"/>
      <c r="U323" s="492" t="n"/>
      <c r="V323" s="492" t="n"/>
      <c r="W323" s="492" t="n"/>
      <c r="X323" s="492" t="n"/>
      <c r="Y323" s="492" t="n"/>
      <c r="Z323" s="492" t="n"/>
      <c r="AA323" s="492" t="n"/>
      <c r="AB323" s="492" t="n"/>
      <c r="AC323" s="492" t="n"/>
      <c r="AD323" s="492" t="n"/>
      <c r="AE323" s="493" t="n"/>
      <c r="AF323" s="492" t="n"/>
      <c r="AG323" s="492" t="n"/>
      <c r="AH323" s="492" t="n"/>
      <c r="AI323" s="492" t="n"/>
      <c r="AJ323" s="493" t="n"/>
      <c r="AK323" s="492" t="n"/>
      <c r="AL323" s="492" t="n"/>
      <c r="AM323" s="492" t="n"/>
      <c r="AN323" s="492" t="n"/>
      <c r="AO323" s="492" t="n"/>
      <c r="AP323" s="492" t="n"/>
      <c r="AQ323" s="492" t="n"/>
      <c r="AR323" s="492" t="n"/>
      <c r="AS323" s="492" t="n"/>
      <c r="AT323" s="492" t="n"/>
      <c r="AU323" s="493" t="n"/>
      <c r="AV323" s="492" t="n"/>
      <c r="AW323" s="492" t="n"/>
      <c r="AX323" s="492" t="n"/>
      <c r="AY323" s="492" t="n"/>
      <c r="AZ323" s="492" t="n"/>
      <c r="BA323" s="493" t="n"/>
      <c r="BB323" s="492" t="n"/>
      <c r="BC323" s="492" t="n"/>
      <c r="BD323" s="492" t="n"/>
      <c r="BE323" s="492" t="n"/>
      <c r="BF323" s="493" t="n"/>
      <c r="BG323" s="493" t="n"/>
      <c r="BH323" s="495" t="n"/>
      <c r="BI323" s="496" t="n"/>
      <c r="BJ323" s="496" t="n"/>
      <c r="BK323" s="496" t="n"/>
      <c r="BM323" s="493" t="n"/>
      <c r="BN323" s="493" t="n"/>
      <c r="BO323" s="493" t="n"/>
      <c r="BP323" s="493" t="n"/>
      <c r="BQ323" s="493" t="n"/>
      <c r="BR323" s="493" t="n"/>
      <c r="BS323" s="493" t="n"/>
      <c r="BT323" s="493" t="n"/>
      <c r="BU323" s="493" t="n"/>
      <c r="BV323" s="493" t="n"/>
      <c r="BW323" s="493" t="n"/>
      <c r="BX323" s="493" t="n"/>
      <c r="BY323" s="493" t="n"/>
      <c r="BZ323" s="493" t="n"/>
      <c r="CA323" s="493" t="n"/>
      <c r="CB323" s="493" t="n"/>
      <c r="CC323" s="493" t="n"/>
      <c r="CD323" s="493" t="n"/>
      <c r="CE323" s="493" t="n"/>
      <c r="CF323" s="493" t="n"/>
      <c r="CG323" s="493" t="n"/>
      <c r="CH323" s="493" t="n"/>
      <c r="CI323" s="493" t="n"/>
      <c r="CJ323" s="493" t="n"/>
      <c r="CK323" s="493" t="n"/>
      <c r="CL323" s="493" t="n"/>
    </row>
    <row r="324" customFormat="1" s="230">
      <c r="E324" s="234" t="n"/>
      <c r="F324" s="492" t="n"/>
      <c r="G324" s="492" t="n"/>
      <c r="H324" s="493" t="n"/>
      <c r="I324" s="492" t="n"/>
      <c r="J324" s="492" t="n"/>
      <c r="K324" s="492" t="n"/>
      <c r="L324" s="492" t="n"/>
      <c r="M324" s="493" t="n"/>
      <c r="N324" s="492" t="n"/>
      <c r="O324" s="492" t="n"/>
      <c r="P324" s="492" t="n"/>
      <c r="Q324" s="492" t="n"/>
      <c r="R324" s="492" t="n"/>
      <c r="S324" s="492" t="n"/>
      <c r="T324" s="492" t="n"/>
      <c r="U324" s="492" t="n"/>
      <c r="V324" s="492" t="n"/>
      <c r="W324" s="492" t="n"/>
      <c r="X324" s="492" t="n"/>
      <c r="Y324" s="492" t="n"/>
      <c r="Z324" s="492" t="n"/>
      <c r="AA324" s="492" t="n"/>
      <c r="AB324" s="492" t="n"/>
      <c r="AC324" s="492" t="n"/>
      <c r="AD324" s="492" t="n"/>
      <c r="AE324" s="493" t="n"/>
      <c r="AF324" s="492" t="n"/>
      <c r="AG324" s="492" t="n"/>
      <c r="AH324" s="492" t="n"/>
      <c r="AI324" s="492" t="n"/>
      <c r="AJ324" s="493" t="n"/>
      <c r="AK324" s="492" t="n"/>
      <c r="AL324" s="492" t="n"/>
      <c r="AM324" s="492" t="n"/>
      <c r="AN324" s="492" t="n"/>
      <c r="AO324" s="492" t="n"/>
      <c r="AP324" s="492" t="n"/>
      <c r="AQ324" s="492" t="n"/>
      <c r="AR324" s="492" t="n"/>
      <c r="AS324" s="492" t="n"/>
      <c r="AT324" s="492" t="n"/>
      <c r="AU324" s="493" t="n"/>
      <c r="AV324" s="492" t="n"/>
      <c r="AW324" s="492" t="n"/>
      <c r="AX324" s="492" t="n"/>
      <c r="AY324" s="492" t="n"/>
      <c r="AZ324" s="492" t="n"/>
      <c r="BA324" s="493" t="n"/>
      <c r="BB324" s="492" t="n"/>
      <c r="BC324" s="492" t="n"/>
      <c r="BD324" s="492" t="n"/>
      <c r="BE324" s="492" t="n"/>
      <c r="BF324" s="493" t="n"/>
      <c r="BG324" s="493" t="n"/>
      <c r="BH324" s="495" t="n"/>
      <c r="BI324" s="496" t="n"/>
      <c r="BJ324" s="496" t="n"/>
      <c r="BK324" s="496" t="n"/>
      <c r="BM324" s="493" t="n"/>
      <c r="BN324" s="493" t="n"/>
      <c r="BO324" s="493" t="n"/>
      <c r="BP324" s="493" t="n"/>
      <c r="BQ324" s="493" t="n"/>
      <c r="BR324" s="493" t="n"/>
      <c r="BS324" s="493" t="n"/>
      <c r="BT324" s="493" t="n"/>
      <c r="BU324" s="493" t="n"/>
      <c r="BV324" s="493" t="n"/>
      <c r="BW324" s="493" t="n"/>
      <c r="BX324" s="493" t="n"/>
      <c r="BY324" s="493" t="n"/>
      <c r="BZ324" s="493" t="n"/>
      <c r="CA324" s="493" t="n"/>
      <c r="CB324" s="493" t="n"/>
      <c r="CC324" s="493" t="n"/>
      <c r="CD324" s="493" t="n"/>
      <c r="CE324" s="493" t="n"/>
      <c r="CF324" s="493" t="n"/>
      <c r="CG324" s="493" t="n"/>
      <c r="CH324" s="493" t="n"/>
      <c r="CI324" s="493" t="n"/>
      <c r="CJ324" s="493" t="n"/>
      <c r="CK324" s="493" t="n"/>
      <c r="CL324" s="493" t="n"/>
    </row>
    <row r="325" customFormat="1" s="230">
      <c r="E325" s="234" t="n"/>
      <c r="F325" s="492" t="n"/>
      <c r="G325" s="492" t="n"/>
      <c r="H325" s="493" t="n"/>
      <c r="I325" s="492" t="n"/>
      <c r="J325" s="492" t="n"/>
      <c r="K325" s="492" t="n"/>
      <c r="L325" s="492" t="n"/>
      <c r="M325" s="493" t="n"/>
      <c r="N325" s="492" t="n"/>
      <c r="O325" s="492" t="n"/>
      <c r="P325" s="492" t="n"/>
      <c r="Q325" s="492" t="n"/>
      <c r="R325" s="492" t="n"/>
      <c r="S325" s="492" t="n"/>
      <c r="T325" s="492" t="n"/>
      <c r="U325" s="492" t="n"/>
      <c r="V325" s="492" t="n"/>
      <c r="W325" s="492" t="n"/>
      <c r="X325" s="492" t="n"/>
      <c r="Y325" s="492" t="n"/>
      <c r="Z325" s="492" t="n"/>
      <c r="AA325" s="492" t="n"/>
      <c r="AB325" s="492" t="n"/>
      <c r="AC325" s="492" t="n"/>
      <c r="AD325" s="492" t="n"/>
      <c r="AE325" s="493" t="n"/>
      <c r="AF325" s="492" t="n"/>
      <c r="AG325" s="492" t="n"/>
      <c r="AH325" s="492" t="n"/>
      <c r="AI325" s="492" t="n"/>
      <c r="AJ325" s="493" t="n"/>
      <c r="AK325" s="492" t="n"/>
      <c r="AL325" s="492" t="n"/>
      <c r="AM325" s="492" t="n"/>
      <c r="AN325" s="492" t="n"/>
      <c r="AO325" s="492" t="n"/>
      <c r="AP325" s="492" t="n"/>
      <c r="AQ325" s="492" t="n"/>
      <c r="AR325" s="492" t="n"/>
      <c r="AS325" s="492" t="n"/>
      <c r="AT325" s="492" t="n"/>
      <c r="AU325" s="493" t="n"/>
      <c r="AV325" s="492" t="n"/>
      <c r="AW325" s="492" t="n"/>
      <c r="AX325" s="492" t="n"/>
      <c r="AY325" s="492" t="n"/>
      <c r="AZ325" s="492" t="n"/>
      <c r="BA325" s="493" t="n"/>
      <c r="BB325" s="492" t="n"/>
      <c r="BC325" s="492" t="n"/>
      <c r="BD325" s="492" t="n"/>
      <c r="BE325" s="492" t="n"/>
      <c r="BF325" s="493" t="n"/>
      <c r="BG325" s="493" t="n"/>
      <c r="BH325" s="495" t="n"/>
      <c r="BI325" s="496" t="n"/>
      <c r="BJ325" s="496" t="n"/>
      <c r="BK325" s="496" t="n"/>
      <c r="BM325" s="493" t="n"/>
      <c r="BN325" s="493" t="n"/>
      <c r="BO325" s="493" t="n"/>
      <c r="BP325" s="493" t="n"/>
      <c r="BQ325" s="493" t="n"/>
      <c r="BR325" s="493" t="n"/>
      <c r="BS325" s="493" t="n"/>
      <c r="BT325" s="493" t="n"/>
      <c r="BU325" s="493" t="n"/>
      <c r="BV325" s="493" t="n"/>
      <c r="BW325" s="493" t="n"/>
      <c r="BX325" s="493" t="n"/>
      <c r="BY325" s="493" t="n"/>
      <c r="BZ325" s="493" t="n"/>
      <c r="CA325" s="493" t="n"/>
      <c r="CB325" s="493" t="n"/>
      <c r="CC325" s="493" t="n"/>
      <c r="CD325" s="493" t="n"/>
      <c r="CE325" s="493" t="n"/>
      <c r="CF325" s="493" t="n"/>
      <c r="CG325" s="493" t="n"/>
      <c r="CH325" s="493" t="n"/>
      <c r="CI325" s="493" t="n"/>
      <c r="CJ325" s="493" t="n"/>
      <c r="CK325" s="493" t="n"/>
      <c r="CL325" s="493" t="n"/>
    </row>
    <row r="326" customFormat="1" s="230">
      <c r="E326" s="234" t="n"/>
      <c r="F326" s="492" t="n"/>
      <c r="G326" s="492" t="n"/>
      <c r="H326" s="493" t="n"/>
      <c r="I326" s="492" t="n"/>
      <c r="J326" s="492" t="n"/>
      <c r="K326" s="492" t="n"/>
      <c r="L326" s="492" t="n"/>
      <c r="M326" s="493" t="n"/>
      <c r="N326" s="492" t="n"/>
      <c r="O326" s="492" t="n"/>
      <c r="P326" s="492" t="n"/>
      <c r="Q326" s="492" t="n"/>
      <c r="R326" s="492" t="n"/>
      <c r="S326" s="492" t="n"/>
      <c r="T326" s="492" t="n"/>
      <c r="U326" s="492" t="n"/>
      <c r="V326" s="492" t="n"/>
      <c r="W326" s="492" t="n"/>
      <c r="X326" s="492" t="n"/>
      <c r="Y326" s="492" t="n"/>
      <c r="Z326" s="492" t="n"/>
      <c r="AA326" s="492" t="n"/>
      <c r="AB326" s="492" t="n"/>
      <c r="AC326" s="492" t="n"/>
      <c r="AD326" s="492" t="n"/>
      <c r="AE326" s="493" t="n"/>
      <c r="AF326" s="492" t="n"/>
      <c r="AG326" s="492" t="n"/>
      <c r="AH326" s="492" t="n"/>
      <c r="AI326" s="492" t="n"/>
      <c r="AJ326" s="493" t="n"/>
      <c r="AK326" s="492" t="n"/>
      <c r="AL326" s="492" t="n"/>
      <c r="AM326" s="492" t="n"/>
      <c r="AN326" s="492" t="n"/>
      <c r="AO326" s="492" t="n"/>
      <c r="AP326" s="492" t="n"/>
      <c r="AQ326" s="492" t="n"/>
      <c r="AR326" s="492" t="n"/>
      <c r="AS326" s="492" t="n"/>
      <c r="AT326" s="492" t="n"/>
      <c r="AU326" s="493" t="n"/>
      <c r="AV326" s="492" t="n"/>
      <c r="AW326" s="492" t="n"/>
      <c r="AX326" s="492" t="n"/>
      <c r="AY326" s="492" t="n"/>
      <c r="AZ326" s="492" t="n"/>
      <c r="BA326" s="493" t="n"/>
      <c r="BB326" s="492" t="n"/>
      <c r="BC326" s="492" t="n"/>
      <c r="BD326" s="492" t="n"/>
      <c r="BE326" s="492" t="n"/>
      <c r="BF326" s="493" t="n"/>
      <c r="BG326" s="493" t="n"/>
      <c r="BH326" s="495" t="n"/>
      <c r="BI326" s="496" t="n"/>
      <c r="BJ326" s="496" t="n"/>
      <c r="BK326" s="496" t="n"/>
      <c r="BM326" s="493" t="n"/>
      <c r="BN326" s="493" t="n"/>
      <c r="BO326" s="493" t="n"/>
      <c r="BP326" s="493" t="n"/>
      <c r="BQ326" s="493" t="n"/>
      <c r="BR326" s="493" t="n"/>
      <c r="BS326" s="493" t="n"/>
      <c r="BT326" s="493" t="n"/>
      <c r="BU326" s="493" t="n"/>
      <c r="BV326" s="493" t="n"/>
      <c r="BW326" s="493" t="n"/>
      <c r="BX326" s="493" t="n"/>
      <c r="BY326" s="493" t="n"/>
      <c r="BZ326" s="493" t="n"/>
      <c r="CA326" s="493" t="n"/>
      <c r="CB326" s="493" t="n"/>
      <c r="CC326" s="493" t="n"/>
      <c r="CD326" s="493" t="n"/>
      <c r="CE326" s="493" t="n"/>
      <c r="CF326" s="493" t="n"/>
      <c r="CG326" s="493" t="n"/>
      <c r="CH326" s="493" t="n"/>
      <c r="CI326" s="493" t="n"/>
      <c r="CJ326" s="493" t="n"/>
      <c r="CK326" s="493" t="n"/>
      <c r="CL326" s="493" t="n"/>
    </row>
    <row r="327" customFormat="1" s="230">
      <c r="E327" s="234" t="n"/>
      <c r="F327" s="492" t="n"/>
      <c r="G327" s="492" t="n"/>
      <c r="H327" s="493" t="n"/>
      <c r="I327" s="492" t="n"/>
      <c r="J327" s="492" t="n"/>
      <c r="K327" s="492" t="n"/>
      <c r="L327" s="492" t="n"/>
      <c r="M327" s="493" t="n"/>
      <c r="N327" s="492" t="n"/>
      <c r="O327" s="492" t="n"/>
      <c r="P327" s="492" t="n"/>
      <c r="Q327" s="492" t="n"/>
      <c r="R327" s="492" t="n"/>
      <c r="S327" s="492" t="n"/>
      <c r="T327" s="492" t="n"/>
      <c r="U327" s="492" t="n"/>
      <c r="V327" s="492" t="n"/>
      <c r="W327" s="492" t="n"/>
      <c r="X327" s="492" t="n"/>
      <c r="Y327" s="492" t="n"/>
      <c r="Z327" s="492" t="n"/>
      <c r="AA327" s="492" t="n"/>
      <c r="AB327" s="492" t="n"/>
      <c r="AC327" s="492" t="n"/>
      <c r="AD327" s="492" t="n"/>
      <c r="AE327" s="493" t="n"/>
      <c r="AF327" s="492" t="n"/>
      <c r="AG327" s="492" t="n"/>
      <c r="AH327" s="492" t="n"/>
      <c r="AI327" s="492" t="n"/>
      <c r="AJ327" s="493" t="n"/>
      <c r="AK327" s="492" t="n"/>
      <c r="AL327" s="492" t="n"/>
      <c r="AM327" s="492" t="n"/>
      <c r="AN327" s="492" t="n"/>
      <c r="AO327" s="492" t="n"/>
      <c r="AP327" s="492" t="n"/>
      <c r="AQ327" s="492" t="n"/>
      <c r="AR327" s="492" t="n"/>
      <c r="AS327" s="492" t="n"/>
      <c r="AT327" s="492" t="n"/>
      <c r="AU327" s="493" t="n"/>
      <c r="AV327" s="492" t="n"/>
      <c r="AW327" s="492" t="n"/>
      <c r="AX327" s="492" t="n"/>
      <c r="AY327" s="492" t="n"/>
      <c r="AZ327" s="492" t="n"/>
      <c r="BA327" s="493" t="n"/>
      <c r="BB327" s="492" t="n"/>
      <c r="BC327" s="492" t="n"/>
      <c r="BD327" s="492" t="n"/>
      <c r="BE327" s="492" t="n"/>
      <c r="BF327" s="493" t="n"/>
      <c r="BG327" s="493" t="n"/>
      <c r="BH327" s="495" t="n"/>
      <c r="BI327" s="496" t="n"/>
      <c r="BJ327" s="496" t="n"/>
      <c r="BK327" s="496" t="n"/>
      <c r="BM327" s="493" t="n"/>
      <c r="BN327" s="493" t="n"/>
      <c r="BO327" s="493" t="n"/>
      <c r="BP327" s="493" t="n"/>
      <c r="BQ327" s="493" t="n"/>
      <c r="BR327" s="493" t="n"/>
      <c r="BS327" s="493" t="n"/>
      <c r="BT327" s="493" t="n"/>
      <c r="BU327" s="493" t="n"/>
      <c r="BV327" s="493" t="n"/>
      <c r="BW327" s="493" t="n"/>
      <c r="BX327" s="493" t="n"/>
      <c r="BY327" s="493" t="n"/>
      <c r="BZ327" s="493" t="n"/>
      <c r="CA327" s="493" t="n"/>
      <c r="CB327" s="493" t="n"/>
      <c r="CC327" s="493" t="n"/>
      <c r="CD327" s="493" t="n"/>
      <c r="CE327" s="493" t="n"/>
      <c r="CF327" s="493" t="n"/>
      <c r="CG327" s="493" t="n"/>
      <c r="CH327" s="493" t="n"/>
      <c r="CI327" s="493" t="n"/>
      <c r="CJ327" s="493" t="n"/>
      <c r="CK327" s="493" t="n"/>
      <c r="CL327" s="493" t="n"/>
    </row>
    <row r="328" customFormat="1" s="230">
      <c r="E328" s="234" t="n"/>
      <c r="F328" s="492" t="n"/>
      <c r="G328" s="492" t="n"/>
      <c r="H328" s="493" t="n"/>
      <c r="I328" s="492" t="n"/>
      <c r="J328" s="492" t="n"/>
      <c r="K328" s="492" t="n"/>
      <c r="L328" s="492" t="n"/>
      <c r="M328" s="493" t="n"/>
      <c r="N328" s="492" t="n"/>
      <c r="O328" s="492" t="n"/>
      <c r="P328" s="492" t="n"/>
      <c r="Q328" s="492" t="n"/>
      <c r="R328" s="492" t="n"/>
      <c r="S328" s="492" t="n"/>
      <c r="T328" s="492" t="n"/>
      <c r="U328" s="492" t="n"/>
      <c r="V328" s="492" t="n"/>
      <c r="W328" s="492" t="n"/>
      <c r="X328" s="492" t="n"/>
      <c r="Y328" s="492" t="n"/>
      <c r="Z328" s="492" t="n"/>
      <c r="AA328" s="492" t="n"/>
      <c r="AB328" s="492" t="n"/>
      <c r="AC328" s="492" t="n"/>
      <c r="AD328" s="492" t="n"/>
      <c r="AE328" s="493" t="n"/>
      <c r="AF328" s="492" t="n"/>
      <c r="AG328" s="492" t="n"/>
      <c r="AH328" s="492" t="n"/>
      <c r="AI328" s="492" t="n"/>
      <c r="AJ328" s="493" t="n"/>
      <c r="AK328" s="492" t="n"/>
      <c r="AL328" s="492" t="n"/>
      <c r="AM328" s="492" t="n"/>
      <c r="AN328" s="492" t="n"/>
      <c r="AO328" s="492" t="n"/>
      <c r="AP328" s="492" t="n"/>
      <c r="AQ328" s="492" t="n"/>
      <c r="AR328" s="492" t="n"/>
      <c r="AS328" s="492" t="n"/>
      <c r="AT328" s="492" t="n"/>
      <c r="AU328" s="493" t="n"/>
      <c r="AV328" s="492" t="n"/>
      <c r="AW328" s="492" t="n"/>
      <c r="AX328" s="492" t="n"/>
      <c r="AY328" s="492" t="n"/>
      <c r="AZ328" s="492" t="n"/>
      <c r="BA328" s="493" t="n"/>
      <c r="BB328" s="492" t="n"/>
      <c r="BC328" s="492" t="n"/>
      <c r="BD328" s="492" t="n"/>
      <c r="BE328" s="492" t="n"/>
      <c r="BF328" s="493" t="n"/>
      <c r="BG328" s="493" t="n"/>
      <c r="BH328" s="495" t="n"/>
      <c r="BI328" s="496" t="n"/>
      <c r="BJ328" s="496" t="n"/>
      <c r="BK328" s="496" t="n"/>
      <c r="BM328" s="493" t="n"/>
      <c r="BN328" s="493" t="n"/>
      <c r="BO328" s="493" t="n"/>
      <c r="BP328" s="493" t="n"/>
      <c r="BQ328" s="493" t="n"/>
      <c r="BR328" s="493" t="n"/>
      <c r="BS328" s="493" t="n"/>
      <c r="BT328" s="493" t="n"/>
      <c r="BU328" s="493" t="n"/>
      <c r="BV328" s="493" t="n"/>
      <c r="BW328" s="493" t="n"/>
      <c r="BX328" s="493" t="n"/>
      <c r="BY328" s="493" t="n"/>
      <c r="BZ328" s="493" t="n"/>
      <c r="CA328" s="493" t="n"/>
      <c r="CB328" s="493" t="n"/>
      <c r="CC328" s="493" t="n"/>
      <c r="CD328" s="493" t="n"/>
      <c r="CE328" s="493" t="n"/>
      <c r="CF328" s="493" t="n"/>
      <c r="CG328" s="493" t="n"/>
      <c r="CH328" s="493" t="n"/>
      <c r="CI328" s="493" t="n"/>
      <c r="CJ328" s="493" t="n"/>
      <c r="CK328" s="493" t="n"/>
      <c r="CL328" s="493" t="n"/>
    </row>
    <row r="329" customFormat="1" s="230">
      <c r="E329" s="234" t="n"/>
      <c r="F329" s="492" t="n"/>
      <c r="G329" s="492" t="n"/>
      <c r="H329" s="493" t="n"/>
      <c r="I329" s="492" t="n"/>
      <c r="J329" s="492" t="n"/>
      <c r="K329" s="492" t="n"/>
      <c r="L329" s="492" t="n"/>
      <c r="M329" s="493" t="n"/>
      <c r="N329" s="492" t="n"/>
      <c r="O329" s="492" t="n"/>
      <c r="P329" s="492" t="n"/>
      <c r="Q329" s="492" t="n"/>
      <c r="R329" s="492" t="n"/>
      <c r="S329" s="492" t="n"/>
      <c r="T329" s="492" t="n"/>
      <c r="U329" s="492" t="n"/>
      <c r="V329" s="492" t="n"/>
      <c r="W329" s="492" t="n"/>
      <c r="X329" s="492" t="n"/>
      <c r="Y329" s="492" t="n"/>
      <c r="Z329" s="492" t="n"/>
      <c r="AA329" s="492" t="n"/>
      <c r="AB329" s="492" t="n"/>
      <c r="AC329" s="492" t="n"/>
      <c r="AD329" s="492" t="n"/>
      <c r="AE329" s="493" t="n"/>
      <c r="AF329" s="492" t="n"/>
      <c r="AG329" s="492" t="n"/>
      <c r="AH329" s="492" t="n"/>
      <c r="AI329" s="492" t="n"/>
      <c r="AJ329" s="493" t="n"/>
      <c r="AK329" s="492" t="n"/>
      <c r="AL329" s="492" t="n"/>
      <c r="AM329" s="492" t="n"/>
      <c r="AN329" s="492" t="n"/>
      <c r="AO329" s="492" t="n"/>
      <c r="AP329" s="492" t="n"/>
      <c r="AQ329" s="492" t="n"/>
      <c r="AR329" s="492" t="n"/>
      <c r="AS329" s="492" t="n"/>
      <c r="AT329" s="492" t="n"/>
      <c r="AU329" s="493" t="n"/>
      <c r="AV329" s="492" t="n"/>
      <c r="AW329" s="492" t="n"/>
      <c r="AX329" s="492" t="n"/>
      <c r="AY329" s="492" t="n"/>
      <c r="AZ329" s="492" t="n"/>
      <c r="BA329" s="493" t="n"/>
      <c r="BB329" s="492" t="n"/>
      <c r="BC329" s="492" t="n"/>
      <c r="BD329" s="492" t="n"/>
      <c r="BE329" s="492" t="n"/>
      <c r="BF329" s="493" t="n"/>
      <c r="BG329" s="493" t="n"/>
      <c r="BH329" s="495" t="n"/>
      <c r="BI329" s="496" t="n"/>
      <c r="BJ329" s="496" t="n"/>
      <c r="BK329" s="496" t="n"/>
      <c r="BM329" s="493" t="n"/>
      <c r="BN329" s="493" t="n"/>
      <c r="BO329" s="493" t="n"/>
      <c r="BP329" s="493" t="n"/>
      <c r="BQ329" s="493" t="n"/>
      <c r="BR329" s="493" t="n"/>
      <c r="BS329" s="493" t="n"/>
      <c r="BT329" s="493" t="n"/>
      <c r="BU329" s="493" t="n"/>
      <c r="BV329" s="493" t="n"/>
      <c r="BW329" s="493" t="n"/>
      <c r="BX329" s="493" t="n"/>
      <c r="BY329" s="493" t="n"/>
      <c r="BZ329" s="493" t="n"/>
      <c r="CA329" s="493" t="n"/>
      <c r="CB329" s="493" t="n"/>
      <c r="CC329" s="493" t="n"/>
      <c r="CD329" s="493" t="n"/>
      <c r="CE329" s="493" t="n"/>
      <c r="CF329" s="493" t="n"/>
      <c r="CG329" s="493" t="n"/>
      <c r="CH329" s="493" t="n"/>
      <c r="CI329" s="493" t="n"/>
      <c r="CJ329" s="493" t="n"/>
      <c r="CK329" s="493" t="n"/>
      <c r="CL329" s="493" t="n"/>
    </row>
    <row r="330" customFormat="1" s="230">
      <c r="E330" s="234" t="n"/>
      <c r="F330" s="492" t="n"/>
      <c r="G330" s="492" t="n"/>
      <c r="H330" s="493" t="n"/>
      <c r="I330" s="492" t="n"/>
      <c r="J330" s="492" t="n"/>
      <c r="K330" s="492" t="n"/>
      <c r="L330" s="492" t="n"/>
      <c r="M330" s="493" t="n"/>
      <c r="N330" s="492" t="n"/>
      <c r="O330" s="492" t="n"/>
      <c r="P330" s="492" t="n"/>
      <c r="Q330" s="492" t="n"/>
      <c r="R330" s="492" t="n"/>
      <c r="S330" s="492" t="n"/>
      <c r="T330" s="492" t="n"/>
      <c r="U330" s="492" t="n"/>
      <c r="V330" s="492" t="n"/>
      <c r="W330" s="492" t="n"/>
      <c r="X330" s="492" t="n"/>
      <c r="Y330" s="492" t="n"/>
      <c r="Z330" s="492" t="n"/>
      <c r="AA330" s="492" t="n"/>
      <c r="AB330" s="492" t="n"/>
      <c r="AC330" s="492" t="n"/>
      <c r="AD330" s="492" t="n"/>
      <c r="AE330" s="493" t="n"/>
      <c r="AF330" s="492" t="n"/>
      <c r="AG330" s="492" t="n"/>
      <c r="AH330" s="492" t="n"/>
      <c r="AI330" s="492" t="n"/>
      <c r="AJ330" s="493" t="n"/>
      <c r="AK330" s="492" t="n"/>
      <c r="AL330" s="492" t="n"/>
      <c r="AM330" s="492" t="n"/>
      <c r="AN330" s="492" t="n"/>
      <c r="AO330" s="492" t="n"/>
      <c r="AP330" s="492" t="n"/>
      <c r="AQ330" s="492" t="n"/>
      <c r="AR330" s="492" t="n"/>
      <c r="AS330" s="492" t="n"/>
      <c r="AT330" s="492" t="n"/>
      <c r="AU330" s="493" t="n"/>
      <c r="AV330" s="492" t="n"/>
      <c r="AW330" s="492" t="n"/>
      <c r="AX330" s="492" t="n"/>
      <c r="AY330" s="492" t="n"/>
      <c r="AZ330" s="492" t="n"/>
      <c r="BA330" s="493" t="n"/>
      <c r="BB330" s="492" t="n"/>
      <c r="BC330" s="492" t="n"/>
      <c r="BD330" s="492" t="n"/>
      <c r="BE330" s="492" t="n"/>
      <c r="BF330" s="493" t="n"/>
      <c r="BG330" s="493" t="n"/>
      <c r="BH330" s="495" t="n"/>
      <c r="BI330" s="496" t="n"/>
      <c r="BJ330" s="496" t="n"/>
      <c r="BK330" s="496" t="n"/>
      <c r="BM330" s="493" t="n"/>
      <c r="BN330" s="493" t="n"/>
      <c r="BO330" s="493" t="n"/>
      <c r="BP330" s="493" t="n"/>
      <c r="BQ330" s="493" t="n"/>
      <c r="BR330" s="493" t="n"/>
      <c r="BS330" s="493" t="n"/>
      <c r="BT330" s="493" t="n"/>
      <c r="BU330" s="493" t="n"/>
      <c r="BV330" s="493" t="n"/>
      <c r="BW330" s="493" t="n"/>
      <c r="BX330" s="493" t="n"/>
      <c r="BY330" s="493" t="n"/>
      <c r="BZ330" s="493" t="n"/>
      <c r="CA330" s="493" t="n"/>
      <c r="CB330" s="493" t="n"/>
      <c r="CC330" s="493" t="n"/>
      <c r="CD330" s="493" t="n"/>
      <c r="CE330" s="493" t="n"/>
      <c r="CF330" s="493" t="n"/>
      <c r="CG330" s="493" t="n"/>
      <c r="CH330" s="493" t="n"/>
      <c r="CI330" s="493" t="n"/>
      <c r="CJ330" s="493" t="n"/>
      <c r="CK330" s="493" t="n"/>
      <c r="CL330" s="493" t="n"/>
    </row>
    <row r="331" customFormat="1" s="230">
      <c r="E331" s="234" t="n"/>
      <c r="F331" s="492" t="n"/>
      <c r="G331" s="492" t="n"/>
      <c r="H331" s="493" t="n"/>
      <c r="I331" s="492" t="n"/>
      <c r="J331" s="492" t="n"/>
      <c r="K331" s="492" t="n"/>
      <c r="L331" s="492" t="n"/>
      <c r="M331" s="493" t="n"/>
      <c r="N331" s="492" t="n"/>
      <c r="O331" s="492" t="n"/>
      <c r="P331" s="492" t="n"/>
      <c r="Q331" s="492" t="n"/>
      <c r="R331" s="492" t="n"/>
      <c r="S331" s="492" t="n"/>
      <c r="T331" s="492" t="n"/>
      <c r="U331" s="492" t="n"/>
      <c r="V331" s="492" t="n"/>
      <c r="W331" s="492" t="n"/>
      <c r="X331" s="492" t="n"/>
      <c r="Y331" s="492" t="n"/>
      <c r="Z331" s="492" t="n"/>
      <c r="AA331" s="492" t="n"/>
      <c r="AB331" s="492" t="n"/>
      <c r="AC331" s="492" t="n"/>
      <c r="AD331" s="492" t="n"/>
      <c r="AE331" s="493" t="n"/>
      <c r="AF331" s="492" t="n"/>
      <c r="AG331" s="492" t="n"/>
      <c r="AH331" s="492" t="n"/>
      <c r="AI331" s="492" t="n"/>
      <c r="AJ331" s="493" t="n"/>
      <c r="AK331" s="492" t="n"/>
      <c r="AL331" s="492" t="n"/>
      <c r="AM331" s="492" t="n"/>
      <c r="AN331" s="492" t="n"/>
      <c r="AO331" s="492" t="n"/>
      <c r="AP331" s="492" t="n"/>
      <c r="AQ331" s="492" t="n"/>
      <c r="AR331" s="492" t="n"/>
      <c r="AS331" s="492" t="n"/>
      <c r="AT331" s="492" t="n"/>
      <c r="AU331" s="493" t="n"/>
      <c r="AV331" s="492" t="n"/>
      <c r="AW331" s="492" t="n"/>
      <c r="AX331" s="492" t="n"/>
      <c r="AY331" s="492" t="n"/>
      <c r="AZ331" s="492" t="n"/>
      <c r="BA331" s="493" t="n"/>
      <c r="BB331" s="492" t="n"/>
      <c r="BC331" s="492" t="n"/>
      <c r="BD331" s="492" t="n"/>
      <c r="BE331" s="492" t="n"/>
      <c r="BF331" s="493" t="n"/>
      <c r="BG331" s="493" t="n"/>
      <c r="BH331" s="495" t="n"/>
      <c r="BI331" s="496" t="n"/>
      <c r="BJ331" s="496" t="n"/>
      <c r="BK331" s="496" t="n"/>
      <c r="BM331" s="493" t="n"/>
      <c r="BN331" s="493" t="n"/>
      <c r="BO331" s="493" t="n"/>
      <c r="BP331" s="493" t="n"/>
      <c r="BQ331" s="493" t="n"/>
      <c r="BR331" s="493" t="n"/>
      <c r="BS331" s="493" t="n"/>
      <c r="BT331" s="493" t="n"/>
      <c r="BU331" s="493" t="n"/>
      <c r="BV331" s="493" t="n"/>
      <c r="BW331" s="493" t="n"/>
      <c r="BX331" s="493" t="n"/>
      <c r="BY331" s="493" t="n"/>
      <c r="BZ331" s="493" t="n"/>
      <c r="CA331" s="493" t="n"/>
      <c r="CB331" s="493" t="n"/>
      <c r="CC331" s="493" t="n"/>
      <c r="CD331" s="493" t="n"/>
      <c r="CE331" s="493" t="n"/>
      <c r="CF331" s="493" t="n"/>
      <c r="CG331" s="493" t="n"/>
      <c r="CH331" s="493" t="n"/>
      <c r="CI331" s="493" t="n"/>
      <c r="CJ331" s="493" t="n"/>
      <c r="CK331" s="493" t="n"/>
      <c r="CL331" s="493" t="n"/>
    </row>
    <row r="332" customFormat="1" s="230">
      <c r="E332" s="234" t="n"/>
      <c r="F332" s="492" t="n"/>
      <c r="G332" s="492" t="n"/>
      <c r="H332" s="493" t="n"/>
      <c r="I332" s="492" t="n"/>
      <c r="J332" s="492" t="n"/>
      <c r="K332" s="492" t="n"/>
      <c r="L332" s="492" t="n"/>
      <c r="M332" s="493" t="n"/>
      <c r="N332" s="492" t="n"/>
      <c r="O332" s="492" t="n"/>
      <c r="P332" s="492" t="n"/>
      <c r="Q332" s="492" t="n"/>
      <c r="R332" s="492" t="n"/>
      <c r="S332" s="492" t="n"/>
      <c r="T332" s="492" t="n"/>
      <c r="U332" s="492" t="n"/>
      <c r="V332" s="492" t="n"/>
      <c r="W332" s="492" t="n"/>
      <c r="X332" s="492" t="n"/>
      <c r="Y332" s="492" t="n"/>
      <c r="Z332" s="492" t="n"/>
      <c r="AA332" s="492" t="n"/>
      <c r="AB332" s="492" t="n"/>
      <c r="AC332" s="492" t="n"/>
      <c r="AD332" s="492" t="n"/>
      <c r="AE332" s="493" t="n"/>
      <c r="AF332" s="492" t="n"/>
      <c r="AG332" s="492" t="n"/>
      <c r="AH332" s="492" t="n"/>
      <c r="AI332" s="492" t="n"/>
      <c r="AJ332" s="493" t="n"/>
      <c r="AK332" s="492" t="n"/>
      <c r="AL332" s="492" t="n"/>
      <c r="AM332" s="492" t="n"/>
      <c r="AN332" s="492" t="n"/>
      <c r="AO332" s="492" t="n"/>
      <c r="AP332" s="492" t="n"/>
      <c r="AQ332" s="492" t="n"/>
      <c r="AR332" s="492" t="n"/>
      <c r="AS332" s="492" t="n"/>
      <c r="AT332" s="492" t="n"/>
      <c r="AU332" s="493" t="n"/>
      <c r="AV332" s="492" t="n"/>
      <c r="AW332" s="492" t="n"/>
      <c r="AX332" s="492" t="n"/>
      <c r="AY332" s="492" t="n"/>
      <c r="AZ332" s="492" t="n"/>
      <c r="BA332" s="493" t="n"/>
      <c r="BB332" s="492" t="n"/>
      <c r="BC332" s="492" t="n"/>
      <c r="BD332" s="492" t="n"/>
      <c r="BE332" s="492" t="n"/>
      <c r="BF332" s="493" t="n"/>
      <c r="BG332" s="493" t="n"/>
      <c r="BH332" s="495" t="n"/>
      <c r="BI332" s="496" t="n"/>
      <c r="BJ332" s="496" t="n"/>
      <c r="BK332" s="496" t="n"/>
      <c r="BM332" s="493" t="n"/>
      <c r="BN332" s="493" t="n"/>
      <c r="BO332" s="493" t="n"/>
      <c r="BP332" s="493" t="n"/>
      <c r="BQ332" s="493" t="n"/>
      <c r="BR332" s="493" t="n"/>
      <c r="BS332" s="493" t="n"/>
      <c r="BT332" s="493" t="n"/>
      <c r="BU332" s="493" t="n"/>
      <c r="BV332" s="493" t="n"/>
      <c r="BW332" s="493" t="n"/>
      <c r="BX332" s="493" t="n"/>
      <c r="BY332" s="493" t="n"/>
      <c r="BZ332" s="493" t="n"/>
      <c r="CA332" s="493" t="n"/>
      <c r="CB332" s="493" t="n"/>
      <c r="CC332" s="493" t="n"/>
      <c r="CD332" s="493" t="n"/>
      <c r="CE332" s="493" t="n"/>
      <c r="CF332" s="493" t="n"/>
      <c r="CG332" s="493" t="n"/>
      <c r="CH332" s="493" t="n"/>
      <c r="CI332" s="493" t="n"/>
      <c r="CJ332" s="493" t="n"/>
      <c r="CK332" s="493" t="n"/>
      <c r="CL332" s="493" t="n"/>
    </row>
    <row r="333" customFormat="1" s="230">
      <c r="E333" s="234" t="n"/>
      <c r="F333" s="492" t="n"/>
      <c r="G333" s="492" t="n"/>
      <c r="H333" s="493" t="n"/>
      <c r="I333" s="492" t="n"/>
      <c r="J333" s="492" t="n"/>
      <c r="K333" s="492" t="n"/>
      <c r="L333" s="492" t="n"/>
      <c r="M333" s="493" t="n"/>
      <c r="N333" s="492" t="n"/>
      <c r="O333" s="492" t="n"/>
      <c r="P333" s="492" t="n"/>
      <c r="Q333" s="492" t="n"/>
      <c r="R333" s="492" t="n"/>
      <c r="S333" s="492" t="n"/>
      <c r="T333" s="492" t="n"/>
      <c r="U333" s="492" t="n"/>
      <c r="V333" s="492" t="n"/>
      <c r="W333" s="492" t="n"/>
      <c r="X333" s="492" t="n"/>
      <c r="Y333" s="492" t="n"/>
      <c r="Z333" s="492" t="n"/>
      <c r="AA333" s="492" t="n"/>
      <c r="AB333" s="492" t="n"/>
      <c r="AC333" s="492" t="n"/>
      <c r="AD333" s="492" t="n"/>
      <c r="AE333" s="493" t="n"/>
      <c r="AF333" s="492" t="n"/>
      <c r="AG333" s="492" t="n"/>
      <c r="AH333" s="492" t="n"/>
      <c r="AI333" s="492" t="n"/>
      <c r="AJ333" s="493" t="n"/>
      <c r="AK333" s="492" t="n"/>
      <c r="AL333" s="492" t="n"/>
      <c r="AM333" s="492" t="n"/>
      <c r="AN333" s="492" t="n"/>
      <c r="AO333" s="492" t="n"/>
      <c r="AP333" s="492" t="n"/>
      <c r="AQ333" s="492" t="n"/>
      <c r="AR333" s="492" t="n"/>
      <c r="AS333" s="492" t="n"/>
      <c r="AT333" s="492" t="n"/>
      <c r="AU333" s="493" t="n"/>
      <c r="AV333" s="492" t="n"/>
      <c r="AW333" s="492" t="n"/>
      <c r="AX333" s="492" t="n"/>
      <c r="AY333" s="492" t="n"/>
      <c r="AZ333" s="492" t="n"/>
      <c r="BA333" s="493" t="n"/>
      <c r="BB333" s="492" t="n"/>
      <c r="BC333" s="492" t="n"/>
      <c r="BD333" s="492" t="n"/>
      <c r="BE333" s="492" t="n"/>
      <c r="BF333" s="493" t="n"/>
      <c r="BG333" s="493" t="n"/>
      <c r="BH333" s="495" t="n"/>
      <c r="BI333" s="496" t="n"/>
      <c r="BJ333" s="496" t="n"/>
      <c r="BK333" s="496" t="n"/>
      <c r="BM333" s="493" t="n"/>
      <c r="BN333" s="493" t="n"/>
      <c r="BO333" s="493" t="n"/>
      <c r="BP333" s="493" t="n"/>
      <c r="BQ333" s="493" t="n"/>
      <c r="BR333" s="493" t="n"/>
      <c r="BS333" s="493" t="n"/>
      <c r="BT333" s="493" t="n"/>
      <c r="BU333" s="493" t="n"/>
      <c r="BV333" s="493" t="n"/>
      <c r="BW333" s="493" t="n"/>
      <c r="BX333" s="493" t="n"/>
      <c r="BY333" s="493" t="n"/>
      <c r="BZ333" s="493" t="n"/>
      <c r="CA333" s="493" t="n"/>
      <c r="CB333" s="493" t="n"/>
      <c r="CC333" s="493" t="n"/>
      <c r="CD333" s="493" t="n"/>
      <c r="CE333" s="493" t="n"/>
      <c r="CF333" s="493" t="n"/>
      <c r="CG333" s="493" t="n"/>
      <c r="CH333" s="493" t="n"/>
      <c r="CI333" s="493" t="n"/>
      <c r="CJ333" s="493" t="n"/>
      <c r="CK333" s="493" t="n"/>
      <c r="CL333" s="493" t="n"/>
    </row>
    <row r="334" customFormat="1" s="230">
      <c r="E334" s="234" t="n"/>
      <c r="F334" s="492" t="n"/>
      <c r="G334" s="492" t="n"/>
      <c r="H334" s="493" t="n"/>
      <c r="I334" s="492" t="n"/>
      <c r="J334" s="492" t="n"/>
      <c r="K334" s="492" t="n"/>
      <c r="L334" s="492" t="n"/>
      <c r="M334" s="493" t="n"/>
      <c r="N334" s="492" t="n"/>
      <c r="O334" s="492" t="n"/>
      <c r="P334" s="492" t="n"/>
      <c r="Q334" s="492" t="n"/>
      <c r="R334" s="492" t="n"/>
      <c r="S334" s="492" t="n"/>
      <c r="T334" s="492" t="n"/>
      <c r="U334" s="492" t="n"/>
      <c r="V334" s="492" t="n"/>
      <c r="W334" s="492" t="n"/>
      <c r="X334" s="492" t="n"/>
      <c r="Y334" s="492" t="n"/>
      <c r="Z334" s="492" t="n"/>
      <c r="AA334" s="492" t="n"/>
      <c r="AB334" s="492" t="n"/>
      <c r="AC334" s="492" t="n"/>
      <c r="AD334" s="492" t="n"/>
      <c r="AE334" s="493" t="n"/>
      <c r="AF334" s="492" t="n"/>
      <c r="AG334" s="492" t="n"/>
      <c r="AH334" s="492" t="n"/>
      <c r="AI334" s="492" t="n"/>
      <c r="AJ334" s="493" t="n"/>
      <c r="AK334" s="492" t="n"/>
      <c r="AL334" s="492" t="n"/>
      <c r="AM334" s="492" t="n"/>
      <c r="AN334" s="492" t="n"/>
      <c r="AO334" s="492" t="n"/>
      <c r="AP334" s="492" t="n"/>
      <c r="AQ334" s="492" t="n"/>
      <c r="AR334" s="492" t="n"/>
      <c r="AS334" s="492" t="n"/>
      <c r="AT334" s="492" t="n"/>
      <c r="AU334" s="493" t="n"/>
      <c r="AV334" s="492" t="n"/>
      <c r="AW334" s="492" t="n"/>
      <c r="AX334" s="492" t="n"/>
      <c r="AY334" s="492" t="n"/>
      <c r="AZ334" s="492" t="n"/>
      <c r="BA334" s="493" t="n"/>
      <c r="BB334" s="492" t="n"/>
      <c r="BC334" s="492" t="n"/>
      <c r="BD334" s="492" t="n"/>
      <c r="BE334" s="492" t="n"/>
      <c r="BF334" s="493" t="n"/>
      <c r="BG334" s="493" t="n"/>
      <c r="BH334" s="495" t="n"/>
      <c r="BI334" s="496" t="n"/>
      <c r="BJ334" s="496" t="n"/>
      <c r="BK334" s="496" t="n"/>
      <c r="BM334" s="493" t="n"/>
      <c r="BN334" s="493" t="n"/>
      <c r="BO334" s="493" t="n"/>
      <c r="BP334" s="493" t="n"/>
      <c r="BQ334" s="493" t="n"/>
      <c r="BR334" s="493" t="n"/>
      <c r="BS334" s="493" t="n"/>
      <c r="BT334" s="493" t="n"/>
      <c r="BU334" s="493" t="n"/>
      <c r="BV334" s="493" t="n"/>
      <c r="BW334" s="493" t="n"/>
      <c r="BX334" s="493" t="n"/>
      <c r="BY334" s="493" t="n"/>
      <c r="BZ334" s="493" t="n"/>
      <c r="CA334" s="493" t="n"/>
      <c r="CB334" s="493" t="n"/>
      <c r="CC334" s="493" t="n"/>
      <c r="CD334" s="493" t="n"/>
      <c r="CE334" s="493" t="n"/>
      <c r="CF334" s="493" t="n"/>
      <c r="CG334" s="493" t="n"/>
      <c r="CH334" s="493" t="n"/>
      <c r="CI334" s="493" t="n"/>
      <c r="CJ334" s="493" t="n"/>
      <c r="CK334" s="493" t="n"/>
      <c r="CL334" s="493" t="n"/>
    </row>
    <row r="335" customFormat="1" s="230">
      <c r="E335" s="234" t="n"/>
      <c r="F335" s="492" t="n"/>
      <c r="G335" s="492" t="n"/>
      <c r="H335" s="493" t="n"/>
      <c r="I335" s="492" t="n"/>
      <c r="J335" s="492" t="n"/>
      <c r="K335" s="492" t="n"/>
      <c r="L335" s="492" t="n"/>
      <c r="M335" s="493" t="n"/>
      <c r="N335" s="492" t="n"/>
      <c r="O335" s="492" t="n"/>
      <c r="P335" s="492" t="n"/>
      <c r="Q335" s="492" t="n"/>
      <c r="R335" s="492" t="n"/>
      <c r="S335" s="492" t="n"/>
      <c r="T335" s="492" t="n"/>
      <c r="U335" s="492" t="n"/>
      <c r="V335" s="492" t="n"/>
      <c r="W335" s="492" t="n"/>
      <c r="X335" s="492" t="n"/>
      <c r="Y335" s="492" t="n"/>
      <c r="Z335" s="492" t="n"/>
      <c r="AA335" s="492" t="n"/>
      <c r="AB335" s="492" t="n"/>
      <c r="AC335" s="492" t="n"/>
      <c r="AD335" s="492" t="n"/>
      <c r="AE335" s="493" t="n"/>
      <c r="AF335" s="492" t="n"/>
      <c r="AG335" s="492" t="n"/>
      <c r="AH335" s="492" t="n"/>
      <c r="AI335" s="492" t="n"/>
      <c r="AJ335" s="493" t="n"/>
      <c r="AK335" s="492" t="n"/>
      <c r="AL335" s="492" t="n"/>
      <c r="AM335" s="492" t="n"/>
      <c r="AN335" s="492" t="n"/>
      <c r="AO335" s="492" t="n"/>
      <c r="AP335" s="492" t="n"/>
      <c r="AQ335" s="492" t="n"/>
      <c r="AR335" s="492" t="n"/>
      <c r="AS335" s="492" t="n"/>
      <c r="AT335" s="492" t="n"/>
      <c r="AU335" s="493" t="n"/>
      <c r="AV335" s="492" t="n"/>
      <c r="AW335" s="492" t="n"/>
      <c r="AX335" s="492" t="n"/>
      <c r="AY335" s="492" t="n"/>
      <c r="AZ335" s="492" t="n"/>
      <c r="BA335" s="493" t="n"/>
      <c r="BB335" s="492" t="n"/>
      <c r="BC335" s="492" t="n"/>
      <c r="BD335" s="492" t="n"/>
      <c r="BE335" s="492" t="n"/>
      <c r="BF335" s="493" t="n"/>
      <c r="BG335" s="493" t="n"/>
      <c r="BH335" s="495" t="n"/>
      <c r="BI335" s="496" t="n"/>
      <c r="BJ335" s="496" t="n"/>
      <c r="BK335" s="496" t="n"/>
      <c r="BM335" s="493" t="n"/>
      <c r="BN335" s="493" t="n"/>
      <c r="BO335" s="493" t="n"/>
      <c r="BP335" s="493" t="n"/>
      <c r="BQ335" s="493" t="n"/>
      <c r="BR335" s="493" t="n"/>
      <c r="BS335" s="493" t="n"/>
      <c r="BT335" s="493" t="n"/>
      <c r="BU335" s="493" t="n"/>
      <c r="BV335" s="493" t="n"/>
      <c r="BW335" s="493" t="n"/>
      <c r="BX335" s="493" t="n"/>
      <c r="BY335" s="493" t="n"/>
      <c r="BZ335" s="493" t="n"/>
      <c r="CA335" s="493" t="n"/>
      <c r="CB335" s="493" t="n"/>
      <c r="CC335" s="493" t="n"/>
      <c r="CD335" s="493" t="n"/>
      <c r="CE335" s="493" t="n"/>
      <c r="CF335" s="493" t="n"/>
      <c r="CG335" s="493" t="n"/>
      <c r="CH335" s="493" t="n"/>
      <c r="CI335" s="493" t="n"/>
      <c r="CJ335" s="493" t="n"/>
      <c r="CK335" s="493" t="n"/>
      <c r="CL335" s="493" t="n"/>
    </row>
    <row r="336" customFormat="1" s="230">
      <c r="E336" s="234" t="n"/>
      <c r="F336" s="492" t="n"/>
      <c r="G336" s="492" t="n"/>
      <c r="H336" s="493" t="n"/>
      <c r="I336" s="492" t="n"/>
      <c r="J336" s="492" t="n"/>
      <c r="K336" s="492" t="n"/>
      <c r="L336" s="492" t="n"/>
      <c r="M336" s="493" t="n"/>
      <c r="N336" s="492" t="n"/>
      <c r="O336" s="492" t="n"/>
      <c r="P336" s="492" t="n"/>
      <c r="Q336" s="492" t="n"/>
      <c r="R336" s="492" t="n"/>
      <c r="S336" s="492" t="n"/>
      <c r="T336" s="492" t="n"/>
      <c r="U336" s="492" t="n"/>
      <c r="V336" s="492" t="n"/>
      <c r="W336" s="492" t="n"/>
      <c r="X336" s="492" t="n"/>
      <c r="Y336" s="492" t="n"/>
      <c r="Z336" s="492" t="n"/>
      <c r="AA336" s="492" t="n"/>
      <c r="AB336" s="492" t="n"/>
      <c r="AC336" s="492" t="n"/>
      <c r="AD336" s="492" t="n"/>
      <c r="AE336" s="493" t="n"/>
      <c r="AF336" s="492" t="n"/>
      <c r="AG336" s="492" t="n"/>
      <c r="AH336" s="492" t="n"/>
      <c r="AI336" s="492" t="n"/>
      <c r="AJ336" s="493" t="n"/>
      <c r="AK336" s="492" t="n"/>
      <c r="AL336" s="492" t="n"/>
      <c r="AM336" s="492" t="n"/>
      <c r="AN336" s="492" t="n"/>
      <c r="AO336" s="492" t="n"/>
      <c r="AP336" s="492" t="n"/>
      <c r="AQ336" s="492" t="n"/>
      <c r="AR336" s="492" t="n"/>
      <c r="AS336" s="492" t="n"/>
      <c r="AT336" s="492" t="n"/>
      <c r="AU336" s="493" t="n"/>
      <c r="AV336" s="492" t="n"/>
      <c r="AW336" s="492" t="n"/>
      <c r="AX336" s="492" t="n"/>
      <c r="AY336" s="492" t="n"/>
      <c r="AZ336" s="492" t="n"/>
      <c r="BA336" s="493" t="n"/>
      <c r="BB336" s="492" t="n"/>
      <c r="BC336" s="492" t="n"/>
      <c r="BD336" s="492" t="n"/>
      <c r="BE336" s="492" t="n"/>
      <c r="BF336" s="493" t="n"/>
      <c r="BG336" s="493" t="n"/>
      <c r="BH336" s="495" t="n"/>
      <c r="BI336" s="496" t="n"/>
      <c r="BJ336" s="496" t="n"/>
      <c r="BK336" s="496" t="n"/>
      <c r="BM336" s="493" t="n"/>
      <c r="BN336" s="493" t="n"/>
      <c r="BO336" s="493" t="n"/>
      <c r="BP336" s="493" t="n"/>
      <c r="BQ336" s="493" t="n"/>
      <c r="BR336" s="493" t="n"/>
      <c r="BS336" s="493" t="n"/>
      <c r="BT336" s="493" t="n"/>
      <c r="BU336" s="493" t="n"/>
      <c r="BV336" s="493" t="n"/>
      <c r="BW336" s="493" t="n"/>
      <c r="BX336" s="493" t="n"/>
      <c r="BY336" s="493" t="n"/>
      <c r="BZ336" s="493" t="n"/>
      <c r="CA336" s="493" t="n"/>
      <c r="CB336" s="493" t="n"/>
      <c r="CC336" s="493" t="n"/>
      <c r="CD336" s="493" t="n"/>
      <c r="CE336" s="493" t="n"/>
      <c r="CF336" s="493" t="n"/>
      <c r="CG336" s="493" t="n"/>
      <c r="CH336" s="493" t="n"/>
      <c r="CI336" s="493" t="n"/>
      <c r="CJ336" s="493" t="n"/>
      <c r="CK336" s="493" t="n"/>
      <c r="CL336" s="493" t="n"/>
    </row>
    <row r="337" customFormat="1" s="230">
      <c r="E337" s="234" t="n"/>
      <c r="F337" s="492" t="n"/>
      <c r="G337" s="492" t="n"/>
      <c r="H337" s="493" t="n"/>
      <c r="I337" s="492" t="n"/>
      <c r="J337" s="492" t="n"/>
      <c r="K337" s="492" t="n"/>
      <c r="L337" s="492" t="n"/>
      <c r="M337" s="493" t="n"/>
      <c r="N337" s="492" t="n"/>
      <c r="O337" s="492" t="n"/>
      <c r="P337" s="492" t="n"/>
      <c r="Q337" s="492" t="n"/>
      <c r="R337" s="492" t="n"/>
      <c r="S337" s="492" t="n"/>
      <c r="T337" s="492" t="n"/>
      <c r="U337" s="492" t="n"/>
      <c r="V337" s="492" t="n"/>
      <c r="W337" s="492" t="n"/>
      <c r="X337" s="492" t="n"/>
      <c r="Y337" s="492" t="n"/>
      <c r="Z337" s="492" t="n"/>
      <c r="AA337" s="492" t="n"/>
      <c r="AB337" s="492" t="n"/>
      <c r="AC337" s="492" t="n"/>
      <c r="AD337" s="492" t="n"/>
      <c r="AE337" s="493" t="n"/>
      <c r="AF337" s="492" t="n"/>
      <c r="AG337" s="492" t="n"/>
      <c r="AH337" s="492" t="n"/>
      <c r="AI337" s="492" t="n"/>
      <c r="AJ337" s="493" t="n"/>
      <c r="AK337" s="492" t="n"/>
      <c r="AL337" s="492" t="n"/>
      <c r="AM337" s="492" t="n"/>
      <c r="AN337" s="492" t="n"/>
      <c r="AO337" s="492" t="n"/>
      <c r="AP337" s="492" t="n"/>
      <c r="AQ337" s="492" t="n"/>
      <c r="AR337" s="492" t="n"/>
      <c r="AS337" s="492" t="n"/>
      <c r="AT337" s="492" t="n"/>
      <c r="AU337" s="493" t="n"/>
      <c r="AV337" s="492" t="n"/>
      <c r="AW337" s="492" t="n"/>
      <c r="AX337" s="492" t="n"/>
      <c r="AY337" s="492" t="n"/>
      <c r="AZ337" s="492" t="n"/>
      <c r="BA337" s="493" t="n"/>
      <c r="BB337" s="492" t="n"/>
      <c r="BC337" s="492" t="n"/>
      <c r="BD337" s="492" t="n"/>
      <c r="BE337" s="492" t="n"/>
      <c r="BF337" s="493" t="n"/>
      <c r="BG337" s="493" t="n"/>
      <c r="BH337" s="495" t="n"/>
      <c r="BI337" s="496" t="n"/>
      <c r="BJ337" s="496" t="n"/>
      <c r="BK337" s="496" t="n"/>
      <c r="BM337" s="493" t="n"/>
      <c r="BN337" s="493" t="n"/>
      <c r="BO337" s="493" t="n"/>
      <c r="BP337" s="493" t="n"/>
      <c r="BQ337" s="493" t="n"/>
      <c r="BR337" s="493" t="n"/>
      <c r="BS337" s="493" t="n"/>
      <c r="BT337" s="493" t="n"/>
      <c r="BU337" s="493" t="n"/>
      <c r="BV337" s="493" t="n"/>
      <c r="BW337" s="493" t="n"/>
      <c r="BX337" s="493" t="n"/>
      <c r="BY337" s="493" t="n"/>
      <c r="BZ337" s="493" t="n"/>
      <c r="CA337" s="493" t="n"/>
      <c r="CB337" s="493" t="n"/>
      <c r="CC337" s="493" t="n"/>
      <c r="CD337" s="493" t="n"/>
      <c r="CE337" s="493" t="n"/>
      <c r="CF337" s="493" t="n"/>
      <c r="CG337" s="493" t="n"/>
      <c r="CH337" s="493" t="n"/>
      <c r="CI337" s="493" t="n"/>
      <c r="CJ337" s="493" t="n"/>
      <c r="CK337" s="493" t="n"/>
      <c r="CL337" s="493" t="n"/>
    </row>
    <row r="338" customFormat="1" s="230">
      <c r="E338" s="234" t="n"/>
      <c r="F338" s="492" t="n"/>
      <c r="G338" s="492" t="n"/>
      <c r="H338" s="493" t="n"/>
      <c r="I338" s="492" t="n"/>
      <c r="J338" s="492" t="n"/>
      <c r="K338" s="492" t="n"/>
      <c r="L338" s="492" t="n"/>
      <c r="M338" s="493" t="n"/>
      <c r="N338" s="492" t="n"/>
      <c r="O338" s="492" t="n"/>
      <c r="P338" s="492" t="n"/>
      <c r="Q338" s="492" t="n"/>
      <c r="R338" s="492" t="n"/>
      <c r="S338" s="492" t="n"/>
      <c r="T338" s="492" t="n"/>
      <c r="U338" s="492" t="n"/>
      <c r="V338" s="492" t="n"/>
      <c r="W338" s="492" t="n"/>
      <c r="X338" s="492" t="n"/>
      <c r="Y338" s="492" t="n"/>
      <c r="Z338" s="492" t="n"/>
      <c r="AA338" s="492" t="n"/>
      <c r="AB338" s="492" t="n"/>
      <c r="AC338" s="492" t="n"/>
      <c r="AD338" s="492" t="n"/>
      <c r="AE338" s="493" t="n"/>
      <c r="AF338" s="492" t="n"/>
      <c r="AG338" s="492" t="n"/>
      <c r="AH338" s="492" t="n"/>
      <c r="AI338" s="492" t="n"/>
      <c r="AJ338" s="493" t="n"/>
      <c r="AK338" s="492" t="n"/>
      <c r="AL338" s="492" t="n"/>
      <c r="AM338" s="492" t="n"/>
      <c r="AN338" s="492" t="n"/>
      <c r="AO338" s="492" t="n"/>
      <c r="AP338" s="492" t="n"/>
      <c r="AQ338" s="492" t="n"/>
      <c r="AR338" s="492" t="n"/>
      <c r="AS338" s="492" t="n"/>
      <c r="AT338" s="492" t="n"/>
      <c r="AU338" s="493" t="n"/>
      <c r="AV338" s="492" t="n"/>
      <c r="AW338" s="492" t="n"/>
      <c r="AX338" s="492" t="n"/>
      <c r="AY338" s="492" t="n"/>
      <c r="AZ338" s="492" t="n"/>
      <c r="BA338" s="493" t="n"/>
      <c r="BB338" s="492" t="n"/>
      <c r="BC338" s="492" t="n"/>
      <c r="BD338" s="492" t="n"/>
      <c r="BE338" s="492" t="n"/>
      <c r="BF338" s="493" t="n"/>
      <c r="BG338" s="493" t="n"/>
      <c r="BH338" s="495" t="n"/>
      <c r="BI338" s="496" t="n"/>
      <c r="BJ338" s="496" t="n"/>
      <c r="BK338" s="496" t="n"/>
      <c r="BM338" s="493" t="n"/>
      <c r="BN338" s="493" t="n"/>
      <c r="BO338" s="493" t="n"/>
      <c r="BP338" s="493" t="n"/>
      <c r="BQ338" s="493" t="n"/>
      <c r="BR338" s="493" t="n"/>
      <c r="BS338" s="493" t="n"/>
      <c r="BT338" s="493" t="n"/>
      <c r="BU338" s="493" t="n"/>
      <c r="BV338" s="493" t="n"/>
      <c r="BW338" s="493" t="n"/>
      <c r="BX338" s="493" t="n"/>
      <c r="BY338" s="493" t="n"/>
      <c r="BZ338" s="493" t="n"/>
      <c r="CA338" s="493" t="n"/>
      <c r="CB338" s="493" t="n"/>
      <c r="CC338" s="493" t="n"/>
      <c r="CD338" s="493" t="n"/>
      <c r="CE338" s="493" t="n"/>
      <c r="CF338" s="493" t="n"/>
      <c r="CG338" s="493" t="n"/>
      <c r="CH338" s="493" t="n"/>
      <c r="CI338" s="493" t="n"/>
      <c r="CJ338" s="493" t="n"/>
      <c r="CK338" s="493" t="n"/>
      <c r="CL338" s="493" t="n"/>
    </row>
    <row r="339" customFormat="1" s="230">
      <c r="E339" s="234" t="n"/>
      <c r="F339" s="492" t="n"/>
      <c r="G339" s="492" t="n"/>
      <c r="H339" s="493" t="n"/>
      <c r="I339" s="492" t="n"/>
      <c r="J339" s="492" t="n"/>
      <c r="K339" s="492" t="n"/>
      <c r="L339" s="492" t="n"/>
      <c r="M339" s="493" t="n"/>
      <c r="N339" s="492" t="n"/>
      <c r="O339" s="492" t="n"/>
      <c r="P339" s="492" t="n"/>
      <c r="Q339" s="492" t="n"/>
      <c r="R339" s="492" t="n"/>
      <c r="S339" s="492" t="n"/>
      <c r="T339" s="492" t="n"/>
      <c r="U339" s="492" t="n"/>
      <c r="V339" s="492" t="n"/>
      <c r="W339" s="492" t="n"/>
      <c r="X339" s="492" t="n"/>
      <c r="Y339" s="492" t="n"/>
      <c r="Z339" s="492" t="n"/>
      <c r="AA339" s="492" t="n"/>
      <c r="AB339" s="492" t="n"/>
      <c r="AC339" s="492" t="n"/>
      <c r="AD339" s="492" t="n"/>
      <c r="AE339" s="493" t="n"/>
      <c r="AF339" s="492" t="n"/>
      <c r="AG339" s="492" t="n"/>
      <c r="AH339" s="492" t="n"/>
      <c r="AI339" s="492" t="n"/>
      <c r="AJ339" s="493" t="n"/>
      <c r="AK339" s="492" t="n"/>
      <c r="AL339" s="492" t="n"/>
      <c r="AM339" s="492" t="n"/>
      <c r="AN339" s="492" t="n"/>
      <c r="AO339" s="492" t="n"/>
      <c r="AP339" s="492" t="n"/>
      <c r="AQ339" s="492" t="n"/>
      <c r="AR339" s="492" t="n"/>
      <c r="AS339" s="492" t="n"/>
      <c r="AT339" s="492" t="n"/>
      <c r="AU339" s="493" t="n"/>
      <c r="AV339" s="492" t="n"/>
      <c r="AW339" s="492" t="n"/>
      <c r="AX339" s="492" t="n"/>
      <c r="AY339" s="492" t="n"/>
      <c r="AZ339" s="492" t="n"/>
      <c r="BA339" s="493" t="n"/>
      <c r="BB339" s="492" t="n"/>
      <c r="BC339" s="492" t="n"/>
      <c r="BD339" s="492" t="n"/>
      <c r="BE339" s="492" t="n"/>
      <c r="BF339" s="493" t="n"/>
      <c r="BG339" s="493" t="n"/>
      <c r="BH339" s="495" t="n"/>
      <c r="BI339" s="496" t="n"/>
      <c r="BJ339" s="496" t="n"/>
      <c r="BK339" s="496" t="n"/>
      <c r="BM339" s="493" t="n"/>
      <c r="BN339" s="493" t="n"/>
      <c r="BO339" s="493" t="n"/>
      <c r="BP339" s="493" t="n"/>
      <c r="BQ339" s="493" t="n"/>
      <c r="BR339" s="493" t="n"/>
      <c r="BS339" s="493" t="n"/>
      <c r="BT339" s="493" t="n"/>
      <c r="BU339" s="493" t="n"/>
      <c r="BV339" s="493" t="n"/>
      <c r="BW339" s="493" t="n"/>
      <c r="BX339" s="493" t="n"/>
      <c r="BY339" s="493" t="n"/>
      <c r="BZ339" s="493" t="n"/>
      <c r="CA339" s="493" t="n"/>
      <c r="CB339" s="493" t="n"/>
      <c r="CC339" s="493" t="n"/>
      <c r="CD339" s="493" t="n"/>
      <c r="CE339" s="493" t="n"/>
      <c r="CF339" s="493" t="n"/>
      <c r="CG339" s="493" t="n"/>
      <c r="CH339" s="493" t="n"/>
      <c r="CI339" s="493" t="n"/>
      <c r="CJ339" s="493" t="n"/>
      <c r="CK339" s="493" t="n"/>
      <c r="CL339" s="493" t="n"/>
    </row>
    <row r="340" customFormat="1" s="230">
      <c r="E340" s="234" t="n"/>
      <c r="F340" s="492" t="n"/>
      <c r="G340" s="492" t="n"/>
      <c r="H340" s="493" t="n"/>
      <c r="I340" s="492" t="n"/>
      <c r="J340" s="492" t="n"/>
      <c r="K340" s="492" t="n"/>
      <c r="L340" s="492" t="n"/>
      <c r="M340" s="493" t="n"/>
      <c r="N340" s="492" t="n"/>
      <c r="O340" s="492" t="n"/>
      <c r="P340" s="492" t="n"/>
      <c r="Q340" s="492" t="n"/>
      <c r="R340" s="492" t="n"/>
      <c r="S340" s="492" t="n"/>
      <c r="T340" s="492" t="n"/>
      <c r="U340" s="492" t="n"/>
      <c r="V340" s="492" t="n"/>
      <c r="W340" s="492" t="n"/>
      <c r="X340" s="492" t="n"/>
      <c r="Y340" s="492" t="n"/>
      <c r="Z340" s="492" t="n"/>
      <c r="AA340" s="492" t="n"/>
      <c r="AB340" s="492" t="n"/>
      <c r="AC340" s="492" t="n"/>
      <c r="AD340" s="492" t="n"/>
      <c r="AE340" s="493" t="n"/>
      <c r="AF340" s="492" t="n"/>
      <c r="AG340" s="492" t="n"/>
      <c r="AH340" s="492" t="n"/>
      <c r="AI340" s="492" t="n"/>
      <c r="AJ340" s="493" t="n"/>
      <c r="AK340" s="492" t="n"/>
      <c r="AL340" s="492" t="n"/>
      <c r="AM340" s="492" t="n"/>
      <c r="AN340" s="492" t="n"/>
      <c r="AO340" s="492" t="n"/>
      <c r="AP340" s="492" t="n"/>
      <c r="AQ340" s="492" t="n"/>
      <c r="AR340" s="492" t="n"/>
      <c r="AS340" s="492" t="n"/>
      <c r="AT340" s="492" t="n"/>
      <c r="AU340" s="493" t="n"/>
      <c r="AV340" s="492" t="n"/>
      <c r="AW340" s="492" t="n"/>
      <c r="AX340" s="492" t="n"/>
      <c r="AY340" s="492" t="n"/>
      <c r="AZ340" s="492" t="n"/>
      <c r="BA340" s="493" t="n"/>
      <c r="BB340" s="492" t="n"/>
      <c r="BC340" s="492" t="n"/>
      <c r="BD340" s="492" t="n"/>
      <c r="BE340" s="492" t="n"/>
      <c r="BF340" s="493" t="n"/>
      <c r="BG340" s="493" t="n"/>
      <c r="BH340" s="495" t="n"/>
      <c r="BI340" s="496" t="n"/>
      <c r="BJ340" s="496" t="n"/>
      <c r="BK340" s="496" t="n"/>
      <c r="BM340" s="493" t="n"/>
      <c r="BN340" s="493" t="n"/>
      <c r="BO340" s="493" t="n"/>
      <c r="BP340" s="493" t="n"/>
      <c r="BQ340" s="493" t="n"/>
      <c r="BR340" s="493" t="n"/>
      <c r="BS340" s="493" t="n"/>
      <c r="BT340" s="493" t="n"/>
      <c r="BU340" s="493" t="n"/>
      <c r="BV340" s="493" t="n"/>
      <c r="BW340" s="493" t="n"/>
      <c r="BX340" s="493" t="n"/>
      <c r="BY340" s="493" t="n"/>
      <c r="BZ340" s="493" t="n"/>
      <c r="CA340" s="493" t="n"/>
      <c r="CB340" s="493" t="n"/>
      <c r="CC340" s="493" t="n"/>
      <c r="CD340" s="493" t="n"/>
      <c r="CE340" s="493" t="n"/>
      <c r="CF340" s="493" t="n"/>
      <c r="CG340" s="493" t="n"/>
      <c r="CH340" s="493" t="n"/>
      <c r="CI340" s="493" t="n"/>
      <c r="CJ340" s="493" t="n"/>
      <c r="CK340" s="493" t="n"/>
      <c r="CL340" s="493" t="n"/>
    </row>
    <row r="341" customFormat="1" s="230">
      <c r="E341" s="234" t="n"/>
      <c r="F341" s="492" t="n"/>
      <c r="G341" s="492" t="n"/>
      <c r="H341" s="493" t="n"/>
      <c r="I341" s="492" t="n"/>
      <c r="J341" s="492" t="n"/>
      <c r="K341" s="492" t="n"/>
      <c r="L341" s="492" t="n"/>
      <c r="M341" s="493" t="n"/>
      <c r="N341" s="492" t="n"/>
      <c r="O341" s="492" t="n"/>
      <c r="P341" s="492" t="n"/>
      <c r="Q341" s="492" t="n"/>
      <c r="R341" s="492" t="n"/>
      <c r="S341" s="492" t="n"/>
      <c r="T341" s="492" t="n"/>
      <c r="U341" s="492" t="n"/>
      <c r="V341" s="492" t="n"/>
      <c r="W341" s="492" t="n"/>
      <c r="X341" s="492" t="n"/>
      <c r="Y341" s="492" t="n"/>
      <c r="Z341" s="492" t="n"/>
      <c r="AA341" s="492" t="n"/>
      <c r="AB341" s="492" t="n"/>
      <c r="AC341" s="492" t="n"/>
      <c r="AD341" s="492" t="n"/>
      <c r="AE341" s="493" t="n"/>
      <c r="AF341" s="492" t="n"/>
      <c r="AG341" s="492" t="n"/>
      <c r="AH341" s="492" t="n"/>
      <c r="AI341" s="492" t="n"/>
      <c r="AJ341" s="493" t="n"/>
      <c r="AK341" s="492" t="n"/>
      <c r="AL341" s="492" t="n"/>
      <c r="AM341" s="492" t="n"/>
      <c r="AN341" s="492" t="n"/>
      <c r="AO341" s="492" t="n"/>
      <c r="AP341" s="492" t="n"/>
      <c r="AQ341" s="492" t="n"/>
      <c r="AR341" s="492" t="n"/>
      <c r="AS341" s="492" t="n"/>
      <c r="AT341" s="492" t="n"/>
      <c r="AU341" s="493" t="n"/>
      <c r="AV341" s="492" t="n"/>
      <c r="AW341" s="492" t="n"/>
      <c r="AX341" s="492" t="n"/>
      <c r="AY341" s="492" t="n"/>
      <c r="AZ341" s="492" t="n"/>
      <c r="BA341" s="493" t="n"/>
      <c r="BB341" s="492" t="n"/>
      <c r="BC341" s="492" t="n"/>
      <c r="BD341" s="492" t="n"/>
      <c r="BE341" s="492" t="n"/>
      <c r="BF341" s="493" t="n"/>
      <c r="BG341" s="493" t="n"/>
      <c r="BH341" s="495" t="n"/>
      <c r="BI341" s="496" t="n"/>
      <c r="BJ341" s="496" t="n"/>
      <c r="BK341" s="496" t="n"/>
      <c r="BM341" s="493" t="n"/>
      <c r="BN341" s="493" t="n"/>
      <c r="BO341" s="493" t="n"/>
      <c r="BP341" s="493" t="n"/>
      <c r="BQ341" s="493" t="n"/>
      <c r="BR341" s="493" t="n"/>
      <c r="BS341" s="493" t="n"/>
      <c r="BT341" s="493" t="n"/>
      <c r="BU341" s="493" t="n"/>
      <c r="BV341" s="493" t="n"/>
      <c r="BW341" s="493" t="n"/>
      <c r="BX341" s="493" t="n"/>
      <c r="BY341" s="493" t="n"/>
      <c r="BZ341" s="493" t="n"/>
      <c r="CA341" s="493" t="n"/>
      <c r="CB341" s="493" t="n"/>
      <c r="CC341" s="493" t="n"/>
      <c r="CD341" s="493" t="n"/>
      <c r="CE341" s="493" t="n"/>
      <c r="CF341" s="493" t="n"/>
      <c r="CG341" s="493" t="n"/>
      <c r="CH341" s="493" t="n"/>
      <c r="CI341" s="493" t="n"/>
      <c r="CJ341" s="493" t="n"/>
      <c r="CK341" s="493" t="n"/>
      <c r="CL341" s="493" t="n"/>
    </row>
    <row r="342" customFormat="1" s="230">
      <c r="E342" s="234" t="n"/>
      <c r="F342" s="492" t="n"/>
      <c r="G342" s="492" t="n"/>
      <c r="H342" s="493" t="n"/>
      <c r="I342" s="492" t="n"/>
      <c r="J342" s="492" t="n"/>
      <c r="K342" s="492" t="n"/>
      <c r="L342" s="492" t="n"/>
      <c r="M342" s="493" t="n"/>
      <c r="N342" s="492" t="n"/>
      <c r="O342" s="492" t="n"/>
      <c r="P342" s="492" t="n"/>
      <c r="Q342" s="492" t="n"/>
      <c r="R342" s="492" t="n"/>
      <c r="S342" s="492" t="n"/>
      <c r="T342" s="492" t="n"/>
      <c r="U342" s="492" t="n"/>
      <c r="V342" s="492" t="n"/>
      <c r="W342" s="492" t="n"/>
      <c r="X342" s="492" t="n"/>
      <c r="Y342" s="492" t="n"/>
      <c r="Z342" s="492" t="n"/>
      <c r="AA342" s="492" t="n"/>
      <c r="AB342" s="492" t="n"/>
      <c r="AC342" s="492" t="n"/>
      <c r="AD342" s="492" t="n"/>
      <c r="AE342" s="493" t="n"/>
      <c r="AF342" s="492" t="n"/>
      <c r="AG342" s="492" t="n"/>
      <c r="AH342" s="492" t="n"/>
      <c r="AI342" s="492" t="n"/>
      <c r="AJ342" s="493" t="n"/>
      <c r="AK342" s="492" t="n"/>
      <c r="AL342" s="492" t="n"/>
      <c r="AM342" s="492" t="n"/>
      <c r="AN342" s="492" t="n"/>
      <c r="AO342" s="492" t="n"/>
      <c r="AP342" s="492" t="n"/>
      <c r="AQ342" s="492" t="n"/>
      <c r="AR342" s="492" t="n"/>
      <c r="AS342" s="492" t="n"/>
      <c r="AT342" s="492" t="n"/>
      <c r="AU342" s="493" t="n"/>
      <c r="AV342" s="492" t="n"/>
      <c r="AW342" s="492" t="n"/>
      <c r="AX342" s="492" t="n"/>
      <c r="AY342" s="492" t="n"/>
      <c r="AZ342" s="492" t="n"/>
      <c r="BA342" s="493" t="n"/>
      <c r="BB342" s="492" t="n"/>
      <c r="BC342" s="492" t="n"/>
      <c r="BD342" s="492" t="n"/>
      <c r="BE342" s="492" t="n"/>
      <c r="BF342" s="493" t="n"/>
      <c r="BG342" s="493" t="n"/>
      <c r="BH342" s="495" t="n"/>
      <c r="BI342" s="496" t="n"/>
      <c r="BJ342" s="496" t="n"/>
      <c r="BK342" s="496" t="n"/>
      <c r="BM342" s="493" t="n"/>
      <c r="BN342" s="493" t="n"/>
      <c r="BO342" s="493" t="n"/>
      <c r="BP342" s="493" t="n"/>
      <c r="BQ342" s="493" t="n"/>
      <c r="BR342" s="493" t="n"/>
      <c r="BS342" s="493" t="n"/>
      <c r="BT342" s="493" t="n"/>
      <c r="BU342" s="493" t="n"/>
      <c r="BV342" s="493" t="n"/>
      <c r="BW342" s="493" t="n"/>
      <c r="BX342" s="493" t="n"/>
      <c r="BY342" s="493" t="n"/>
      <c r="BZ342" s="493" t="n"/>
      <c r="CA342" s="493" t="n"/>
      <c r="CB342" s="493" t="n"/>
      <c r="CC342" s="493" t="n"/>
      <c r="CD342" s="493" t="n"/>
      <c r="CE342" s="493" t="n"/>
      <c r="CF342" s="493" t="n"/>
      <c r="CG342" s="493" t="n"/>
      <c r="CH342" s="493" t="n"/>
      <c r="CI342" s="493" t="n"/>
      <c r="CJ342" s="493" t="n"/>
      <c r="CK342" s="493" t="n"/>
      <c r="CL342" s="493" t="n"/>
    </row>
    <row r="343" customFormat="1" s="230">
      <c r="E343" s="234" t="n"/>
      <c r="F343" s="492" t="n"/>
      <c r="G343" s="492" t="n"/>
      <c r="H343" s="493" t="n"/>
      <c r="I343" s="492" t="n"/>
      <c r="J343" s="492" t="n"/>
      <c r="K343" s="492" t="n"/>
      <c r="L343" s="492" t="n"/>
      <c r="M343" s="493" t="n"/>
      <c r="N343" s="492" t="n"/>
      <c r="O343" s="492" t="n"/>
      <c r="P343" s="492" t="n"/>
      <c r="Q343" s="492" t="n"/>
      <c r="R343" s="492" t="n"/>
      <c r="S343" s="492" t="n"/>
      <c r="T343" s="492" t="n"/>
      <c r="U343" s="492" t="n"/>
      <c r="V343" s="492" t="n"/>
      <c r="W343" s="492" t="n"/>
      <c r="X343" s="492" t="n"/>
      <c r="Y343" s="492" t="n"/>
      <c r="Z343" s="492" t="n"/>
      <c r="AA343" s="492" t="n"/>
      <c r="AB343" s="492" t="n"/>
      <c r="AC343" s="492" t="n"/>
      <c r="AD343" s="492" t="n"/>
      <c r="AE343" s="493" t="n"/>
      <c r="AF343" s="492" t="n"/>
      <c r="AG343" s="492" t="n"/>
      <c r="AH343" s="492" t="n"/>
      <c r="AI343" s="492" t="n"/>
      <c r="AJ343" s="493" t="n"/>
      <c r="AK343" s="492" t="n"/>
      <c r="AL343" s="492" t="n"/>
      <c r="AM343" s="492" t="n"/>
      <c r="AN343" s="492" t="n"/>
      <c r="AO343" s="492" t="n"/>
      <c r="AP343" s="492" t="n"/>
      <c r="AQ343" s="492" t="n"/>
      <c r="AR343" s="492" t="n"/>
      <c r="AS343" s="492" t="n"/>
      <c r="AT343" s="492" t="n"/>
      <c r="AU343" s="493" t="n"/>
      <c r="AV343" s="492" t="n"/>
      <c r="AW343" s="492" t="n"/>
      <c r="AX343" s="492" t="n"/>
      <c r="AY343" s="492" t="n"/>
      <c r="AZ343" s="492" t="n"/>
      <c r="BA343" s="493" t="n"/>
      <c r="BB343" s="492" t="n"/>
      <c r="BC343" s="492" t="n"/>
      <c r="BD343" s="492" t="n"/>
      <c r="BE343" s="492" t="n"/>
      <c r="BF343" s="493" t="n"/>
      <c r="BG343" s="493" t="n"/>
      <c r="BH343" s="495" t="n"/>
      <c r="BI343" s="496" t="n"/>
      <c r="BJ343" s="496" t="n"/>
      <c r="BK343" s="496" t="n"/>
      <c r="BM343" s="493" t="n"/>
      <c r="BN343" s="493" t="n"/>
      <c r="BO343" s="493" t="n"/>
      <c r="BP343" s="493" t="n"/>
      <c r="BQ343" s="493" t="n"/>
      <c r="BR343" s="493" t="n"/>
      <c r="BS343" s="493" t="n"/>
      <c r="BT343" s="493" t="n"/>
      <c r="BU343" s="493" t="n"/>
      <c r="BV343" s="493" t="n"/>
      <c r="BW343" s="493" t="n"/>
      <c r="BX343" s="493" t="n"/>
      <c r="BY343" s="493" t="n"/>
      <c r="BZ343" s="493" t="n"/>
      <c r="CA343" s="493" t="n"/>
      <c r="CB343" s="493" t="n"/>
      <c r="CC343" s="493" t="n"/>
      <c r="CD343" s="493" t="n"/>
      <c r="CE343" s="493" t="n"/>
      <c r="CF343" s="493" t="n"/>
      <c r="CG343" s="493" t="n"/>
      <c r="CH343" s="493" t="n"/>
      <c r="CI343" s="493" t="n"/>
      <c r="CJ343" s="493" t="n"/>
      <c r="CK343" s="493" t="n"/>
      <c r="CL343" s="493" t="n"/>
    </row>
    <row r="344" customFormat="1" s="230">
      <c r="E344" s="234" t="n"/>
      <c r="F344" s="492" t="n"/>
      <c r="G344" s="492" t="n"/>
      <c r="H344" s="493" t="n"/>
      <c r="I344" s="492" t="n"/>
      <c r="J344" s="492" t="n"/>
      <c r="K344" s="492" t="n"/>
      <c r="L344" s="492" t="n"/>
      <c r="M344" s="493" t="n"/>
      <c r="N344" s="492" t="n"/>
      <c r="O344" s="492" t="n"/>
      <c r="P344" s="492" t="n"/>
      <c r="Q344" s="492" t="n"/>
      <c r="R344" s="492" t="n"/>
      <c r="S344" s="492" t="n"/>
      <c r="T344" s="492" t="n"/>
      <c r="U344" s="492" t="n"/>
      <c r="V344" s="492" t="n"/>
      <c r="W344" s="492" t="n"/>
      <c r="X344" s="492" t="n"/>
      <c r="Y344" s="492" t="n"/>
      <c r="Z344" s="492" t="n"/>
      <c r="AA344" s="492" t="n"/>
      <c r="AB344" s="492" t="n"/>
      <c r="AC344" s="492" t="n"/>
      <c r="AD344" s="492" t="n"/>
      <c r="AE344" s="493" t="n"/>
      <c r="AF344" s="492" t="n"/>
      <c r="AG344" s="492" t="n"/>
      <c r="AH344" s="492" t="n"/>
      <c r="AI344" s="492" t="n"/>
      <c r="AJ344" s="493" t="n"/>
      <c r="AK344" s="492" t="n"/>
      <c r="AL344" s="492" t="n"/>
      <c r="AM344" s="492" t="n"/>
      <c r="AN344" s="492" t="n"/>
      <c r="AO344" s="492" t="n"/>
      <c r="AP344" s="492" t="n"/>
      <c r="AQ344" s="492" t="n"/>
      <c r="AR344" s="492" t="n"/>
      <c r="AS344" s="492" t="n"/>
      <c r="AT344" s="492" t="n"/>
      <c r="AU344" s="493" t="n"/>
      <c r="AV344" s="492" t="n"/>
      <c r="AW344" s="492" t="n"/>
      <c r="AX344" s="492" t="n"/>
      <c r="AY344" s="492" t="n"/>
      <c r="AZ344" s="492" t="n"/>
      <c r="BA344" s="493" t="n"/>
      <c r="BB344" s="492" t="n"/>
      <c r="BC344" s="492" t="n"/>
      <c r="BD344" s="492" t="n"/>
      <c r="BE344" s="492" t="n"/>
      <c r="BF344" s="493" t="n"/>
      <c r="BG344" s="493" t="n"/>
      <c r="BH344" s="495" t="n"/>
      <c r="BI344" s="496" t="n"/>
      <c r="BJ344" s="496" t="n"/>
      <c r="BK344" s="496" t="n"/>
      <c r="BM344" s="493" t="n"/>
      <c r="BN344" s="493" t="n"/>
      <c r="BO344" s="493" t="n"/>
      <c r="BP344" s="493" t="n"/>
      <c r="BQ344" s="493" t="n"/>
      <c r="BR344" s="493" t="n"/>
      <c r="BS344" s="493" t="n"/>
      <c r="BT344" s="493" t="n"/>
      <c r="BU344" s="493" t="n"/>
      <c r="BV344" s="493" t="n"/>
      <c r="BW344" s="493" t="n"/>
      <c r="BX344" s="493" t="n"/>
      <c r="BY344" s="493" t="n"/>
      <c r="BZ344" s="493" t="n"/>
      <c r="CA344" s="493" t="n"/>
      <c r="CB344" s="493" t="n"/>
      <c r="CC344" s="493" t="n"/>
      <c r="CD344" s="493" t="n"/>
      <c r="CE344" s="493" t="n"/>
      <c r="CF344" s="493" t="n"/>
      <c r="CG344" s="493" t="n"/>
      <c r="CH344" s="493" t="n"/>
      <c r="CI344" s="493" t="n"/>
      <c r="CJ344" s="493" t="n"/>
      <c r="CK344" s="493" t="n"/>
      <c r="CL344" s="493" t="n"/>
    </row>
    <row r="345" customFormat="1" s="230">
      <c r="E345" s="234" t="n"/>
      <c r="F345" s="492" t="n"/>
      <c r="G345" s="492" t="n"/>
      <c r="H345" s="493" t="n"/>
      <c r="I345" s="492" t="n"/>
      <c r="J345" s="492" t="n"/>
      <c r="K345" s="492" t="n"/>
      <c r="L345" s="492" t="n"/>
      <c r="M345" s="493" t="n"/>
      <c r="N345" s="492" t="n"/>
      <c r="O345" s="492" t="n"/>
      <c r="P345" s="492" t="n"/>
      <c r="Q345" s="492" t="n"/>
      <c r="R345" s="492" t="n"/>
      <c r="S345" s="492" t="n"/>
      <c r="T345" s="492" t="n"/>
      <c r="U345" s="492" t="n"/>
      <c r="V345" s="492" t="n"/>
      <c r="W345" s="492" t="n"/>
      <c r="X345" s="492" t="n"/>
      <c r="Y345" s="492" t="n"/>
      <c r="Z345" s="492" t="n"/>
      <c r="AA345" s="492" t="n"/>
      <c r="AB345" s="492" t="n"/>
      <c r="AC345" s="492" t="n"/>
      <c r="AD345" s="492" t="n"/>
      <c r="AE345" s="493" t="n"/>
      <c r="AF345" s="492" t="n"/>
      <c r="AG345" s="492" t="n"/>
      <c r="AH345" s="492" t="n"/>
      <c r="AI345" s="492" t="n"/>
      <c r="AJ345" s="493" t="n"/>
      <c r="AK345" s="492" t="n"/>
      <c r="AL345" s="492" t="n"/>
      <c r="AM345" s="492" t="n"/>
      <c r="AN345" s="492" t="n"/>
      <c r="AO345" s="492" t="n"/>
      <c r="AP345" s="492" t="n"/>
      <c r="AQ345" s="492" t="n"/>
      <c r="AR345" s="492" t="n"/>
      <c r="AS345" s="492" t="n"/>
      <c r="AT345" s="492" t="n"/>
      <c r="AU345" s="493" t="n"/>
      <c r="AV345" s="492" t="n"/>
      <c r="AW345" s="492" t="n"/>
      <c r="AX345" s="492" t="n"/>
      <c r="AY345" s="492" t="n"/>
      <c r="AZ345" s="492" t="n"/>
      <c r="BA345" s="493" t="n"/>
      <c r="BB345" s="492" t="n"/>
      <c r="BC345" s="492" t="n"/>
      <c r="BD345" s="492" t="n"/>
      <c r="BE345" s="492" t="n"/>
      <c r="BF345" s="493" t="n"/>
      <c r="BG345" s="493" t="n"/>
      <c r="BH345" s="495" t="n"/>
      <c r="BI345" s="496" t="n"/>
      <c r="BJ345" s="496" t="n"/>
      <c r="BK345" s="496" t="n"/>
      <c r="BM345" s="493" t="n"/>
      <c r="BN345" s="493" t="n"/>
      <c r="BO345" s="493" t="n"/>
      <c r="BP345" s="493" t="n"/>
      <c r="BQ345" s="493" t="n"/>
      <c r="BR345" s="493" t="n"/>
      <c r="BS345" s="493" t="n"/>
      <c r="BT345" s="493" t="n"/>
      <c r="BU345" s="493" t="n"/>
      <c r="BV345" s="493" t="n"/>
      <c r="BW345" s="493" t="n"/>
      <c r="BX345" s="493" t="n"/>
      <c r="BY345" s="493" t="n"/>
      <c r="BZ345" s="493" t="n"/>
      <c r="CA345" s="493" t="n"/>
      <c r="CB345" s="493" t="n"/>
      <c r="CC345" s="493" t="n"/>
      <c r="CD345" s="493" t="n"/>
      <c r="CE345" s="493" t="n"/>
      <c r="CF345" s="493" t="n"/>
      <c r="CG345" s="493" t="n"/>
      <c r="CH345" s="493" t="n"/>
      <c r="CI345" s="493" t="n"/>
      <c r="CJ345" s="493" t="n"/>
      <c r="CK345" s="493" t="n"/>
      <c r="CL345" s="493" t="n"/>
    </row>
    <row r="346" customFormat="1" s="230">
      <c r="E346" s="234" t="n"/>
      <c r="F346" s="492" t="n"/>
      <c r="G346" s="492" t="n"/>
      <c r="H346" s="493" t="n"/>
      <c r="I346" s="492" t="n"/>
      <c r="J346" s="492" t="n"/>
      <c r="K346" s="492" t="n"/>
      <c r="L346" s="492" t="n"/>
      <c r="M346" s="493" t="n"/>
      <c r="N346" s="492" t="n"/>
      <c r="O346" s="492" t="n"/>
      <c r="P346" s="492" t="n"/>
      <c r="Q346" s="492" t="n"/>
      <c r="R346" s="492" t="n"/>
      <c r="S346" s="492" t="n"/>
      <c r="T346" s="492" t="n"/>
      <c r="U346" s="492" t="n"/>
      <c r="V346" s="492" t="n"/>
      <c r="W346" s="492" t="n"/>
      <c r="X346" s="492" t="n"/>
      <c r="Y346" s="492" t="n"/>
      <c r="Z346" s="492" t="n"/>
      <c r="AA346" s="492" t="n"/>
      <c r="AB346" s="492" t="n"/>
      <c r="AC346" s="492" t="n"/>
      <c r="AD346" s="492" t="n"/>
      <c r="AE346" s="493" t="n"/>
      <c r="AF346" s="492" t="n"/>
      <c r="AG346" s="492" t="n"/>
      <c r="AH346" s="492" t="n"/>
      <c r="AI346" s="492" t="n"/>
      <c r="AJ346" s="493" t="n"/>
      <c r="AK346" s="492" t="n"/>
      <c r="AL346" s="492" t="n"/>
      <c r="AM346" s="492" t="n"/>
      <c r="AN346" s="492" t="n"/>
      <c r="AO346" s="492" t="n"/>
      <c r="AP346" s="492" t="n"/>
      <c r="AQ346" s="492" t="n"/>
      <c r="AR346" s="492" t="n"/>
      <c r="AS346" s="492" t="n"/>
      <c r="AT346" s="492" t="n"/>
      <c r="AU346" s="493" t="n"/>
      <c r="AV346" s="492" t="n"/>
      <c r="AW346" s="492" t="n"/>
      <c r="AX346" s="492" t="n"/>
      <c r="AY346" s="492" t="n"/>
      <c r="AZ346" s="492" t="n"/>
      <c r="BA346" s="493" t="n"/>
      <c r="BB346" s="492" t="n"/>
      <c r="BC346" s="492" t="n"/>
      <c r="BD346" s="492" t="n"/>
      <c r="BE346" s="492" t="n"/>
      <c r="BF346" s="493" t="n"/>
      <c r="BG346" s="493" t="n"/>
      <c r="BH346" s="495" t="n"/>
      <c r="BI346" s="496" t="n"/>
      <c r="BJ346" s="496" t="n"/>
      <c r="BK346" s="496" t="n"/>
      <c r="BM346" s="493" t="n"/>
      <c r="BN346" s="493" t="n"/>
      <c r="BO346" s="493" t="n"/>
      <c r="BP346" s="493" t="n"/>
      <c r="BQ346" s="493" t="n"/>
      <c r="BR346" s="493" t="n"/>
      <c r="BS346" s="493" t="n"/>
      <c r="BT346" s="493" t="n"/>
      <c r="BU346" s="493" t="n"/>
      <c r="BV346" s="493" t="n"/>
      <c r="BW346" s="493" t="n"/>
      <c r="BX346" s="493" t="n"/>
      <c r="BY346" s="493" t="n"/>
      <c r="BZ346" s="493" t="n"/>
      <c r="CA346" s="493" t="n"/>
      <c r="CB346" s="493" t="n"/>
      <c r="CC346" s="493" t="n"/>
      <c r="CD346" s="493" t="n"/>
      <c r="CE346" s="493" t="n"/>
      <c r="CF346" s="493" t="n"/>
      <c r="CG346" s="493" t="n"/>
      <c r="CH346" s="493" t="n"/>
      <c r="CI346" s="493" t="n"/>
      <c r="CJ346" s="493" t="n"/>
      <c r="CK346" s="493" t="n"/>
      <c r="CL346" s="493" t="n"/>
    </row>
    <row r="347" customFormat="1" s="230">
      <c r="E347" s="234" t="n"/>
      <c r="F347" s="492" t="n"/>
      <c r="G347" s="492" t="n"/>
      <c r="H347" s="493" t="n"/>
      <c r="I347" s="492" t="n"/>
      <c r="J347" s="492" t="n"/>
      <c r="K347" s="492" t="n"/>
      <c r="L347" s="492" t="n"/>
      <c r="M347" s="493" t="n"/>
      <c r="N347" s="492" t="n"/>
      <c r="O347" s="492" t="n"/>
      <c r="P347" s="492" t="n"/>
      <c r="Q347" s="492" t="n"/>
      <c r="R347" s="492" t="n"/>
      <c r="S347" s="492" t="n"/>
      <c r="T347" s="492" t="n"/>
      <c r="U347" s="492" t="n"/>
      <c r="V347" s="492" t="n"/>
      <c r="W347" s="492" t="n"/>
      <c r="X347" s="492" t="n"/>
      <c r="Y347" s="492" t="n"/>
      <c r="Z347" s="492" t="n"/>
      <c r="AA347" s="492" t="n"/>
      <c r="AB347" s="492" t="n"/>
      <c r="AC347" s="492" t="n"/>
      <c r="AD347" s="492" t="n"/>
      <c r="AE347" s="493" t="n"/>
      <c r="AF347" s="492" t="n"/>
      <c r="AG347" s="492" t="n"/>
      <c r="AH347" s="492" t="n"/>
      <c r="AI347" s="492" t="n"/>
      <c r="AJ347" s="493" t="n"/>
      <c r="AK347" s="492" t="n"/>
      <c r="AL347" s="492" t="n"/>
      <c r="AM347" s="492" t="n"/>
      <c r="AN347" s="492" t="n"/>
      <c r="AO347" s="492" t="n"/>
      <c r="AP347" s="492" t="n"/>
      <c r="AQ347" s="492" t="n"/>
      <c r="AR347" s="492" t="n"/>
      <c r="AS347" s="492" t="n"/>
      <c r="AT347" s="492" t="n"/>
      <c r="AU347" s="493" t="n"/>
      <c r="AV347" s="492" t="n"/>
      <c r="AW347" s="492" t="n"/>
      <c r="AX347" s="492" t="n"/>
      <c r="AY347" s="492" t="n"/>
      <c r="AZ347" s="492" t="n"/>
      <c r="BA347" s="493" t="n"/>
      <c r="BB347" s="492" t="n"/>
      <c r="BC347" s="492" t="n"/>
      <c r="BD347" s="492" t="n"/>
      <c r="BE347" s="492" t="n"/>
      <c r="BF347" s="493" t="n"/>
      <c r="BG347" s="493" t="n"/>
      <c r="BH347" s="495" t="n"/>
      <c r="BI347" s="496" t="n"/>
      <c r="BJ347" s="496" t="n"/>
      <c r="BK347" s="496" t="n"/>
      <c r="BM347" s="493" t="n"/>
      <c r="BN347" s="493" t="n"/>
      <c r="BO347" s="493" t="n"/>
      <c r="BP347" s="493" t="n"/>
      <c r="BQ347" s="493" t="n"/>
      <c r="BR347" s="493" t="n"/>
      <c r="BS347" s="493" t="n"/>
      <c r="BT347" s="493" t="n"/>
      <c r="BU347" s="493" t="n"/>
      <c r="BV347" s="493" t="n"/>
      <c r="BW347" s="493" t="n"/>
      <c r="BX347" s="493" t="n"/>
      <c r="BY347" s="493" t="n"/>
      <c r="BZ347" s="493" t="n"/>
      <c r="CA347" s="493" t="n"/>
      <c r="CB347" s="493" t="n"/>
      <c r="CC347" s="493" t="n"/>
      <c r="CD347" s="493" t="n"/>
      <c r="CE347" s="493" t="n"/>
      <c r="CF347" s="493" t="n"/>
      <c r="CG347" s="493" t="n"/>
      <c r="CH347" s="493" t="n"/>
      <c r="CI347" s="493" t="n"/>
      <c r="CJ347" s="493" t="n"/>
      <c r="CK347" s="493" t="n"/>
      <c r="CL347" s="493" t="n"/>
    </row>
    <row r="348" customFormat="1" s="230">
      <c r="E348" s="234" t="n"/>
      <c r="F348" s="492" t="n"/>
      <c r="G348" s="492" t="n"/>
      <c r="H348" s="493" t="n"/>
      <c r="I348" s="492" t="n"/>
      <c r="J348" s="492" t="n"/>
      <c r="K348" s="492" t="n"/>
      <c r="L348" s="492" t="n"/>
      <c r="M348" s="493" t="n"/>
      <c r="N348" s="492" t="n"/>
      <c r="O348" s="492" t="n"/>
      <c r="P348" s="492" t="n"/>
      <c r="Q348" s="492" t="n"/>
      <c r="R348" s="492" t="n"/>
      <c r="S348" s="492" t="n"/>
      <c r="T348" s="492" t="n"/>
      <c r="U348" s="492" t="n"/>
      <c r="V348" s="492" t="n"/>
      <c r="W348" s="492" t="n"/>
      <c r="X348" s="492" t="n"/>
      <c r="Y348" s="492" t="n"/>
      <c r="Z348" s="492" t="n"/>
      <c r="AA348" s="492" t="n"/>
      <c r="AB348" s="492" t="n"/>
      <c r="AC348" s="492" t="n"/>
      <c r="AD348" s="492" t="n"/>
      <c r="AE348" s="493" t="n"/>
      <c r="AF348" s="492" t="n"/>
      <c r="AG348" s="492" t="n"/>
      <c r="AH348" s="492" t="n"/>
      <c r="AI348" s="492" t="n"/>
      <c r="AJ348" s="493" t="n"/>
      <c r="AK348" s="492" t="n"/>
      <c r="AL348" s="492" t="n"/>
      <c r="AM348" s="492" t="n"/>
      <c r="AN348" s="492" t="n"/>
      <c r="AO348" s="492" t="n"/>
      <c r="AP348" s="492" t="n"/>
      <c r="AQ348" s="492" t="n"/>
      <c r="AR348" s="492" t="n"/>
      <c r="AS348" s="492" t="n"/>
      <c r="AT348" s="492" t="n"/>
      <c r="AU348" s="493" t="n"/>
      <c r="AV348" s="492" t="n"/>
      <c r="AW348" s="492" t="n"/>
      <c r="AX348" s="492" t="n"/>
      <c r="AY348" s="492" t="n"/>
      <c r="AZ348" s="492" t="n"/>
      <c r="BA348" s="493" t="n"/>
      <c r="BB348" s="492" t="n"/>
      <c r="BC348" s="492" t="n"/>
      <c r="BD348" s="492" t="n"/>
      <c r="BE348" s="492" t="n"/>
      <c r="BF348" s="493" t="n"/>
      <c r="BG348" s="493" t="n"/>
      <c r="BH348" s="495" t="n"/>
      <c r="BI348" s="496" t="n"/>
      <c r="BJ348" s="496" t="n"/>
      <c r="BK348" s="496" t="n"/>
      <c r="BM348" s="493" t="n"/>
      <c r="BN348" s="493" t="n"/>
      <c r="BO348" s="493" t="n"/>
      <c r="BP348" s="493" t="n"/>
      <c r="BQ348" s="493" t="n"/>
      <c r="BR348" s="493" t="n"/>
      <c r="BS348" s="493" t="n"/>
      <c r="BT348" s="493" t="n"/>
      <c r="BU348" s="493" t="n"/>
      <c r="BV348" s="493" t="n"/>
      <c r="BW348" s="493" t="n"/>
      <c r="BX348" s="493" t="n"/>
      <c r="BY348" s="493" t="n"/>
      <c r="BZ348" s="493" t="n"/>
      <c r="CA348" s="493" t="n"/>
      <c r="CB348" s="493" t="n"/>
      <c r="CC348" s="493" t="n"/>
      <c r="CD348" s="493" t="n"/>
      <c r="CE348" s="493" t="n"/>
      <c r="CF348" s="493" t="n"/>
      <c r="CG348" s="493" t="n"/>
      <c r="CH348" s="493" t="n"/>
      <c r="CI348" s="493" t="n"/>
      <c r="CJ348" s="493" t="n"/>
      <c r="CK348" s="493" t="n"/>
      <c r="CL348" s="493" t="n"/>
    </row>
    <row r="349" customFormat="1" s="230">
      <c r="E349" s="234" t="n"/>
      <c r="F349" s="492" t="n"/>
      <c r="G349" s="492" t="n"/>
      <c r="H349" s="493" t="n"/>
      <c r="I349" s="492" t="n"/>
      <c r="J349" s="492" t="n"/>
      <c r="K349" s="492" t="n"/>
      <c r="L349" s="492" t="n"/>
      <c r="M349" s="493" t="n"/>
      <c r="N349" s="492" t="n"/>
      <c r="O349" s="492" t="n"/>
      <c r="P349" s="492" t="n"/>
      <c r="Q349" s="492" t="n"/>
      <c r="R349" s="492" t="n"/>
      <c r="S349" s="492" t="n"/>
      <c r="T349" s="492" t="n"/>
      <c r="U349" s="492" t="n"/>
      <c r="V349" s="492" t="n"/>
      <c r="W349" s="492" t="n"/>
      <c r="X349" s="492" t="n"/>
      <c r="Y349" s="492" t="n"/>
      <c r="Z349" s="492" t="n"/>
      <c r="AA349" s="492" t="n"/>
      <c r="AB349" s="492" t="n"/>
      <c r="AC349" s="492" t="n"/>
      <c r="AD349" s="492" t="n"/>
      <c r="AE349" s="493" t="n"/>
      <c r="AF349" s="492" t="n"/>
      <c r="AG349" s="492" t="n"/>
      <c r="AH349" s="492" t="n"/>
      <c r="AI349" s="492" t="n"/>
      <c r="AJ349" s="493" t="n"/>
      <c r="AK349" s="492" t="n"/>
      <c r="AL349" s="492" t="n"/>
      <c r="AM349" s="492" t="n"/>
      <c r="AN349" s="492" t="n"/>
      <c r="AO349" s="492" t="n"/>
      <c r="AP349" s="492" t="n"/>
      <c r="AQ349" s="492" t="n"/>
      <c r="AR349" s="492" t="n"/>
      <c r="AS349" s="492" t="n"/>
      <c r="AT349" s="492" t="n"/>
      <c r="AU349" s="493" t="n"/>
      <c r="AV349" s="492" t="n"/>
      <c r="AW349" s="492" t="n"/>
      <c r="AX349" s="492" t="n"/>
      <c r="AY349" s="492" t="n"/>
      <c r="AZ349" s="492" t="n"/>
      <c r="BA349" s="493" t="n"/>
      <c r="BB349" s="492" t="n"/>
      <c r="BC349" s="492" t="n"/>
      <c r="BD349" s="492" t="n"/>
      <c r="BE349" s="492" t="n"/>
      <c r="BF349" s="493" t="n"/>
      <c r="BG349" s="493" t="n"/>
      <c r="BH349" s="495" t="n"/>
      <c r="BI349" s="496" t="n"/>
      <c r="BJ349" s="496" t="n"/>
      <c r="BK349" s="496" t="n"/>
      <c r="BM349" s="493" t="n"/>
      <c r="BN349" s="493" t="n"/>
      <c r="BO349" s="493" t="n"/>
      <c r="BP349" s="493" t="n"/>
      <c r="BQ349" s="493" t="n"/>
      <c r="BR349" s="493" t="n"/>
      <c r="BS349" s="493" t="n"/>
      <c r="BT349" s="493" t="n"/>
      <c r="BU349" s="493" t="n"/>
      <c r="BV349" s="493" t="n"/>
      <c r="BW349" s="493" t="n"/>
      <c r="BX349" s="493" t="n"/>
      <c r="BY349" s="493" t="n"/>
      <c r="BZ349" s="493" t="n"/>
      <c r="CA349" s="493" t="n"/>
      <c r="CB349" s="493" t="n"/>
      <c r="CC349" s="493" t="n"/>
      <c r="CD349" s="493" t="n"/>
      <c r="CE349" s="493" t="n"/>
      <c r="CF349" s="493" t="n"/>
      <c r="CG349" s="493" t="n"/>
      <c r="CH349" s="493" t="n"/>
      <c r="CI349" s="493" t="n"/>
      <c r="CJ349" s="493" t="n"/>
      <c r="CK349" s="493" t="n"/>
      <c r="CL349" s="493" t="n"/>
    </row>
    <row r="350" customFormat="1" s="230">
      <c r="E350" s="234" t="n"/>
      <c r="F350" s="492" t="n"/>
      <c r="G350" s="492" t="n"/>
      <c r="H350" s="493" t="n"/>
      <c r="I350" s="492" t="n"/>
      <c r="J350" s="492" t="n"/>
      <c r="K350" s="492" t="n"/>
      <c r="L350" s="492" t="n"/>
      <c r="M350" s="493" t="n"/>
      <c r="N350" s="492" t="n"/>
      <c r="O350" s="492" t="n"/>
      <c r="P350" s="492" t="n"/>
      <c r="Q350" s="492" t="n"/>
      <c r="R350" s="492" t="n"/>
      <c r="S350" s="492" t="n"/>
      <c r="T350" s="492" t="n"/>
      <c r="U350" s="492" t="n"/>
      <c r="V350" s="492" t="n"/>
      <c r="W350" s="492" t="n"/>
      <c r="X350" s="492" t="n"/>
      <c r="Y350" s="492" t="n"/>
      <c r="Z350" s="492" t="n"/>
      <c r="AA350" s="492" t="n"/>
      <c r="AB350" s="492" t="n"/>
      <c r="AC350" s="492" t="n"/>
      <c r="AD350" s="492" t="n"/>
      <c r="AE350" s="493" t="n"/>
      <c r="AF350" s="492" t="n"/>
      <c r="AG350" s="492" t="n"/>
      <c r="AH350" s="492" t="n"/>
      <c r="AI350" s="492" t="n"/>
      <c r="AJ350" s="493" t="n"/>
      <c r="AK350" s="492" t="n"/>
      <c r="AL350" s="492" t="n"/>
      <c r="AM350" s="492" t="n"/>
      <c r="AN350" s="492" t="n"/>
      <c r="AO350" s="492" t="n"/>
      <c r="AP350" s="492" t="n"/>
      <c r="AQ350" s="492" t="n"/>
      <c r="AR350" s="492" t="n"/>
      <c r="AS350" s="492" t="n"/>
      <c r="AT350" s="492" t="n"/>
      <c r="AU350" s="493" t="n"/>
      <c r="AV350" s="492" t="n"/>
      <c r="AW350" s="492" t="n"/>
      <c r="AX350" s="492" t="n"/>
      <c r="AY350" s="492" t="n"/>
      <c r="AZ350" s="492" t="n"/>
      <c r="BA350" s="493" t="n"/>
      <c r="BB350" s="492" t="n"/>
      <c r="BC350" s="492" t="n"/>
      <c r="BD350" s="492" t="n"/>
      <c r="BE350" s="492" t="n"/>
      <c r="BF350" s="493" t="n"/>
      <c r="BG350" s="493" t="n"/>
      <c r="BH350" s="495" t="n"/>
      <c r="BI350" s="496" t="n"/>
      <c r="BJ350" s="496" t="n"/>
      <c r="BK350" s="496" t="n"/>
      <c r="BM350" s="493" t="n"/>
      <c r="BN350" s="493" t="n"/>
      <c r="BO350" s="493" t="n"/>
      <c r="BP350" s="493" t="n"/>
      <c r="BQ350" s="493" t="n"/>
      <c r="BR350" s="493" t="n"/>
      <c r="BS350" s="493" t="n"/>
      <c r="BT350" s="493" t="n"/>
      <c r="BU350" s="493" t="n"/>
      <c r="BV350" s="493" t="n"/>
      <c r="BW350" s="493" t="n"/>
      <c r="BX350" s="493" t="n"/>
      <c r="BY350" s="493" t="n"/>
      <c r="BZ350" s="493" t="n"/>
      <c r="CA350" s="493" t="n"/>
      <c r="CB350" s="493" t="n"/>
      <c r="CC350" s="493" t="n"/>
      <c r="CD350" s="493" t="n"/>
      <c r="CE350" s="493" t="n"/>
      <c r="CF350" s="493" t="n"/>
      <c r="CG350" s="493" t="n"/>
      <c r="CH350" s="493" t="n"/>
      <c r="CI350" s="493" t="n"/>
      <c r="CJ350" s="493" t="n"/>
      <c r="CK350" s="493" t="n"/>
      <c r="CL350" s="493" t="n"/>
    </row>
    <row r="351" customFormat="1" s="230">
      <c r="E351" s="234" t="n"/>
      <c r="F351" s="492" t="n"/>
      <c r="G351" s="492" t="n"/>
      <c r="H351" s="493" t="n"/>
      <c r="I351" s="492" t="n"/>
      <c r="J351" s="492" t="n"/>
      <c r="K351" s="492" t="n"/>
      <c r="L351" s="492" t="n"/>
      <c r="M351" s="493" t="n"/>
      <c r="N351" s="492" t="n"/>
      <c r="O351" s="492" t="n"/>
      <c r="P351" s="492" t="n"/>
      <c r="Q351" s="492" t="n"/>
      <c r="R351" s="492" t="n"/>
      <c r="S351" s="492" t="n"/>
      <c r="T351" s="492" t="n"/>
      <c r="U351" s="492" t="n"/>
      <c r="V351" s="492" t="n"/>
      <c r="W351" s="492" t="n"/>
      <c r="X351" s="492" t="n"/>
      <c r="Y351" s="492" t="n"/>
      <c r="Z351" s="492" t="n"/>
      <c r="AA351" s="492" t="n"/>
      <c r="AB351" s="492" t="n"/>
      <c r="AC351" s="492" t="n"/>
      <c r="AD351" s="492" t="n"/>
      <c r="AE351" s="493" t="n"/>
      <c r="AF351" s="492" t="n"/>
      <c r="AG351" s="492" t="n"/>
      <c r="AH351" s="492" t="n"/>
      <c r="AI351" s="492" t="n"/>
      <c r="AJ351" s="493" t="n"/>
      <c r="AK351" s="492" t="n"/>
      <c r="AL351" s="492" t="n"/>
      <c r="AM351" s="492" t="n"/>
      <c r="AN351" s="492" t="n"/>
      <c r="AO351" s="492" t="n"/>
      <c r="AP351" s="492" t="n"/>
      <c r="AQ351" s="492" t="n"/>
      <c r="AR351" s="492" t="n"/>
      <c r="AS351" s="492" t="n"/>
      <c r="AT351" s="492" t="n"/>
      <c r="AU351" s="493" t="n"/>
      <c r="AV351" s="492" t="n"/>
      <c r="AW351" s="492" t="n"/>
      <c r="AX351" s="492" t="n"/>
      <c r="AY351" s="492" t="n"/>
      <c r="AZ351" s="492" t="n"/>
      <c r="BA351" s="493" t="n"/>
      <c r="BB351" s="492" t="n"/>
      <c r="BC351" s="492" t="n"/>
      <c r="BD351" s="492" t="n"/>
      <c r="BE351" s="492" t="n"/>
      <c r="BF351" s="493" t="n"/>
      <c r="BG351" s="493" t="n"/>
      <c r="BH351" s="495" t="n"/>
      <c r="BI351" s="496" t="n"/>
      <c r="BJ351" s="496" t="n"/>
      <c r="BK351" s="496" t="n"/>
      <c r="BM351" s="493" t="n"/>
      <c r="BN351" s="493" t="n"/>
      <c r="BO351" s="493" t="n"/>
      <c r="BP351" s="493" t="n"/>
      <c r="BQ351" s="493" t="n"/>
      <c r="BR351" s="493" t="n"/>
      <c r="BS351" s="493" t="n"/>
      <c r="BT351" s="493" t="n"/>
      <c r="BU351" s="493" t="n"/>
      <c r="BV351" s="493" t="n"/>
      <c r="BW351" s="493" t="n"/>
      <c r="BX351" s="493" t="n"/>
      <c r="BY351" s="493" t="n"/>
      <c r="BZ351" s="493" t="n"/>
      <c r="CA351" s="493" t="n"/>
      <c r="CB351" s="493" t="n"/>
      <c r="CC351" s="493" t="n"/>
      <c r="CD351" s="493" t="n"/>
      <c r="CE351" s="493" t="n"/>
      <c r="CF351" s="493" t="n"/>
      <c r="CG351" s="493" t="n"/>
      <c r="CH351" s="493" t="n"/>
      <c r="CI351" s="493" t="n"/>
      <c r="CJ351" s="493" t="n"/>
      <c r="CK351" s="493" t="n"/>
      <c r="CL351" s="493" t="n"/>
    </row>
    <row r="352" customFormat="1" s="230">
      <c r="E352" s="234" t="n"/>
      <c r="F352" s="492" t="n"/>
      <c r="G352" s="492" t="n"/>
      <c r="H352" s="493" t="n"/>
      <c r="I352" s="492" t="n"/>
      <c r="J352" s="492" t="n"/>
      <c r="K352" s="492" t="n"/>
      <c r="L352" s="492" t="n"/>
      <c r="M352" s="493" t="n"/>
      <c r="N352" s="492" t="n"/>
      <c r="O352" s="492" t="n"/>
      <c r="P352" s="492" t="n"/>
      <c r="Q352" s="492" t="n"/>
      <c r="R352" s="492" t="n"/>
      <c r="S352" s="492" t="n"/>
      <c r="T352" s="492" t="n"/>
      <c r="U352" s="492" t="n"/>
      <c r="V352" s="492" t="n"/>
      <c r="W352" s="492" t="n"/>
      <c r="X352" s="492" t="n"/>
      <c r="Y352" s="492" t="n"/>
      <c r="Z352" s="492" t="n"/>
      <c r="AA352" s="492" t="n"/>
      <c r="AB352" s="492" t="n"/>
      <c r="AC352" s="492" t="n"/>
      <c r="AD352" s="492" t="n"/>
      <c r="AE352" s="493" t="n"/>
      <c r="AF352" s="492" t="n"/>
      <c r="AG352" s="492" t="n"/>
      <c r="AH352" s="492" t="n"/>
      <c r="AI352" s="492" t="n"/>
      <c r="AJ352" s="493" t="n"/>
      <c r="AK352" s="492" t="n"/>
      <c r="AL352" s="492" t="n"/>
      <c r="AM352" s="492" t="n"/>
      <c r="AN352" s="492" t="n"/>
      <c r="AO352" s="492" t="n"/>
      <c r="AP352" s="492" t="n"/>
      <c r="AQ352" s="492" t="n"/>
      <c r="AR352" s="492" t="n"/>
      <c r="AS352" s="492" t="n"/>
      <c r="AT352" s="492" t="n"/>
      <c r="AU352" s="493" t="n"/>
      <c r="AV352" s="492" t="n"/>
      <c r="AW352" s="492" t="n"/>
      <c r="AX352" s="492" t="n"/>
      <c r="AY352" s="492" t="n"/>
      <c r="AZ352" s="492" t="n"/>
      <c r="BA352" s="493" t="n"/>
      <c r="BB352" s="492" t="n"/>
      <c r="BC352" s="492" t="n"/>
      <c r="BD352" s="492" t="n"/>
      <c r="BE352" s="492" t="n"/>
      <c r="BF352" s="493" t="n"/>
      <c r="BG352" s="493" t="n"/>
      <c r="BH352" s="495" t="n"/>
      <c r="BI352" s="496" t="n"/>
      <c r="BJ352" s="496" t="n"/>
      <c r="BK352" s="496" t="n"/>
      <c r="BM352" s="493" t="n"/>
      <c r="BN352" s="493" t="n"/>
      <c r="BO352" s="493" t="n"/>
      <c r="BP352" s="493" t="n"/>
      <c r="BQ352" s="493" t="n"/>
      <c r="BR352" s="493" t="n"/>
      <c r="BS352" s="493" t="n"/>
      <c r="BT352" s="493" t="n"/>
      <c r="BU352" s="493" t="n"/>
      <c r="BV352" s="493" t="n"/>
      <c r="BW352" s="493" t="n"/>
      <c r="BX352" s="493" t="n"/>
      <c r="BY352" s="493" t="n"/>
      <c r="BZ352" s="493" t="n"/>
      <c r="CA352" s="493" t="n"/>
      <c r="CB352" s="493" t="n"/>
      <c r="CC352" s="493" t="n"/>
      <c r="CD352" s="493" t="n"/>
      <c r="CE352" s="493" t="n"/>
      <c r="CF352" s="493" t="n"/>
      <c r="CG352" s="493" t="n"/>
      <c r="CH352" s="493" t="n"/>
      <c r="CI352" s="493" t="n"/>
      <c r="CJ352" s="493" t="n"/>
      <c r="CK352" s="493" t="n"/>
      <c r="CL352" s="493" t="n"/>
    </row>
    <row r="353" customFormat="1" s="230">
      <c r="E353" s="234" t="n"/>
      <c r="F353" s="492" t="n"/>
      <c r="G353" s="492" t="n"/>
      <c r="H353" s="493" t="n"/>
      <c r="I353" s="492" t="n"/>
      <c r="J353" s="492" t="n"/>
      <c r="K353" s="492" t="n"/>
      <c r="L353" s="492" t="n"/>
      <c r="M353" s="493" t="n"/>
      <c r="N353" s="492" t="n"/>
      <c r="O353" s="492" t="n"/>
      <c r="P353" s="492" t="n"/>
      <c r="Q353" s="492" t="n"/>
      <c r="R353" s="492" t="n"/>
      <c r="S353" s="492" t="n"/>
      <c r="T353" s="492" t="n"/>
      <c r="U353" s="492" t="n"/>
      <c r="V353" s="492" t="n"/>
      <c r="W353" s="492" t="n"/>
      <c r="X353" s="492" t="n"/>
      <c r="Y353" s="492" t="n"/>
      <c r="Z353" s="492" t="n"/>
      <c r="AA353" s="492" t="n"/>
      <c r="AB353" s="492" t="n"/>
      <c r="AC353" s="492" t="n"/>
      <c r="AD353" s="492" t="n"/>
      <c r="AE353" s="493" t="n"/>
      <c r="AF353" s="492" t="n"/>
      <c r="AG353" s="492" t="n"/>
      <c r="AH353" s="492" t="n"/>
      <c r="AI353" s="492" t="n"/>
      <c r="AJ353" s="493" t="n"/>
      <c r="AK353" s="492" t="n"/>
      <c r="AL353" s="492" t="n"/>
      <c r="AM353" s="492" t="n"/>
      <c r="AN353" s="492" t="n"/>
      <c r="AO353" s="492" t="n"/>
      <c r="AP353" s="492" t="n"/>
      <c r="AQ353" s="492" t="n"/>
      <c r="AR353" s="492" t="n"/>
      <c r="AS353" s="492" t="n"/>
      <c r="AT353" s="492" t="n"/>
      <c r="AU353" s="493" t="n"/>
      <c r="AV353" s="492" t="n"/>
      <c r="AW353" s="492" t="n"/>
      <c r="AX353" s="492" t="n"/>
      <c r="AY353" s="492" t="n"/>
      <c r="AZ353" s="492" t="n"/>
      <c r="BA353" s="493" t="n"/>
      <c r="BB353" s="492" t="n"/>
      <c r="BC353" s="492" t="n"/>
      <c r="BD353" s="492" t="n"/>
      <c r="BE353" s="492" t="n"/>
      <c r="BF353" s="493" t="n"/>
      <c r="BG353" s="493" t="n"/>
      <c r="BH353" s="495" t="n"/>
      <c r="BI353" s="496" t="n"/>
      <c r="BJ353" s="496" t="n"/>
      <c r="BK353" s="496" t="n"/>
      <c r="BM353" s="493" t="n"/>
      <c r="BN353" s="493" t="n"/>
      <c r="BO353" s="493" t="n"/>
      <c r="BP353" s="493" t="n"/>
      <c r="BQ353" s="493" t="n"/>
      <c r="BR353" s="493" t="n"/>
      <c r="BS353" s="493" t="n"/>
      <c r="BT353" s="493" t="n"/>
      <c r="BU353" s="493" t="n"/>
      <c r="BV353" s="493" t="n"/>
      <c r="BW353" s="493" t="n"/>
      <c r="BX353" s="493" t="n"/>
      <c r="BY353" s="493" t="n"/>
      <c r="BZ353" s="493" t="n"/>
      <c r="CA353" s="493" t="n"/>
      <c r="CB353" s="493" t="n"/>
      <c r="CC353" s="493" t="n"/>
      <c r="CD353" s="493" t="n"/>
      <c r="CE353" s="493" t="n"/>
      <c r="CF353" s="493" t="n"/>
      <c r="CG353" s="493" t="n"/>
      <c r="CH353" s="493" t="n"/>
      <c r="CI353" s="493" t="n"/>
      <c r="CJ353" s="493" t="n"/>
      <c r="CK353" s="493" t="n"/>
      <c r="CL353" s="493" t="n"/>
    </row>
    <row r="354" customFormat="1" s="230">
      <c r="E354" s="234" t="n"/>
      <c r="F354" s="492" t="n"/>
      <c r="G354" s="492" t="n"/>
      <c r="H354" s="493" t="n"/>
      <c r="I354" s="492" t="n"/>
      <c r="J354" s="492" t="n"/>
      <c r="K354" s="492" t="n"/>
      <c r="L354" s="492" t="n"/>
      <c r="M354" s="493" t="n"/>
      <c r="N354" s="492" t="n"/>
      <c r="O354" s="492" t="n"/>
      <c r="P354" s="492" t="n"/>
      <c r="Q354" s="492" t="n"/>
      <c r="R354" s="492" t="n"/>
      <c r="S354" s="492" t="n"/>
      <c r="T354" s="492" t="n"/>
      <c r="U354" s="492" t="n"/>
      <c r="V354" s="492" t="n"/>
      <c r="W354" s="492" t="n"/>
      <c r="X354" s="492" t="n"/>
      <c r="Y354" s="492" t="n"/>
      <c r="Z354" s="492" t="n"/>
      <c r="AA354" s="492" t="n"/>
      <c r="AB354" s="492" t="n"/>
      <c r="AC354" s="492" t="n"/>
      <c r="AD354" s="492" t="n"/>
      <c r="AE354" s="493" t="n"/>
      <c r="AF354" s="492" t="n"/>
      <c r="AG354" s="492" t="n"/>
      <c r="AH354" s="492" t="n"/>
      <c r="AI354" s="492" t="n"/>
      <c r="AJ354" s="493" t="n"/>
      <c r="AK354" s="492" t="n"/>
      <c r="AL354" s="492" t="n"/>
      <c r="AM354" s="492" t="n"/>
      <c r="AN354" s="492" t="n"/>
      <c r="AO354" s="492" t="n"/>
      <c r="AP354" s="492" t="n"/>
      <c r="AQ354" s="492" t="n"/>
      <c r="AR354" s="492" t="n"/>
      <c r="AS354" s="492" t="n"/>
      <c r="AT354" s="492" t="n"/>
      <c r="AU354" s="493" t="n"/>
      <c r="AV354" s="492" t="n"/>
      <c r="AW354" s="492" t="n"/>
      <c r="AX354" s="492" t="n"/>
      <c r="AY354" s="492" t="n"/>
      <c r="AZ354" s="492" t="n"/>
      <c r="BA354" s="493" t="n"/>
      <c r="BB354" s="492" t="n"/>
      <c r="BC354" s="492" t="n"/>
      <c r="BD354" s="492" t="n"/>
      <c r="BE354" s="492" t="n"/>
      <c r="BF354" s="493" t="n"/>
      <c r="BG354" s="493" t="n"/>
      <c r="BH354" s="495" t="n"/>
      <c r="BI354" s="496" t="n"/>
      <c r="BJ354" s="496" t="n"/>
      <c r="BK354" s="496" t="n"/>
      <c r="BM354" s="493" t="n"/>
      <c r="BN354" s="493" t="n"/>
      <c r="BO354" s="493" t="n"/>
      <c r="BP354" s="493" t="n"/>
      <c r="BQ354" s="493" t="n"/>
      <c r="BR354" s="493" t="n"/>
      <c r="BS354" s="493" t="n"/>
      <c r="BT354" s="493" t="n"/>
      <c r="BU354" s="493" t="n"/>
      <c r="BV354" s="493" t="n"/>
      <c r="BW354" s="493" t="n"/>
      <c r="BX354" s="493" t="n"/>
      <c r="BY354" s="493" t="n"/>
      <c r="BZ354" s="493" t="n"/>
      <c r="CA354" s="493" t="n"/>
      <c r="CB354" s="493" t="n"/>
      <c r="CC354" s="493" t="n"/>
      <c r="CD354" s="493" t="n"/>
      <c r="CE354" s="493" t="n"/>
      <c r="CF354" s="493" t="n"/>
      <c r="CG354" s="493" t="n"/>
      <c r="CH354" s="493" t="n"/>
      <c r="CI354" s="493" t="n"/>
      <c r="CJ354" s="493" t="n"/>
      <c r="CK354" s="493" t="n"/>
      <c r="CL354" s="493" t="n"/>
    </row>
    <row r="355" customFormat="1" s="230">
      <c r="E355" s="234" t="n"/>
      <c r="F355" s="492" t="n"/>
      <c r="G355" s="492" t="n"/>
      <c r="H355" s="493" t="n"/>
      <c r="I355" s="492" t="n"/>
      <c r="J355" s="492" t="n"/>
      <c r="K355" s="492" t="n"/>
      <c r="L355" s="492" t="n"/>
      <c r="M355" s="493" t="n"/>
      <c r="N355" s="492" t="n"/>
      <c r="O355" s="492" t="n"/>
      <c r="P355" s="492" t="n"/>
      <c r="Q355" s="492" t="n"/>
      <c r="R355" s="492" t="n"/>
      <c r="S355" s="492" t="n"/>
      <c r="T355" s="492" t="n"/>
      <c r="U355" s="492" t="n"/>
      <c r="V355" s="492" t="n"/>
      <c r="W355" s="492" t="n"/>
      <c r="X355" s="492" t="n"/>
      <c r="Y355" s="492" t="n"/>
      <c r="Z355" s="492" t="n"/>
      <c r="AA355" s="492" t="n"/>
      <c r="AB355" s="492" t="n"/>
      <c r="AC355" s="492" t="n"/>
      <c r="AD355" s="492" t="n"/>
      <c r="AE355" s="493" t="n"/>
      <c r="AF355" s="492" t="n"/>
      <c r="AG355" s="492" t="n"/>
      <c r="AH355" s="492" t="n"/>
      <c r="AI355" s="492" t="n"/>
      <c r="AJ355" s="493" t="n"/>
      <c r="AK355" s="492" t="n"/>
      <c r="AL355" s="492" t="n"/>
      <c r="AM355" s="492" t="n"/>
      <c r="AN355" s="492" t="n"/>
      <c r="AO355" s="492" t="n"/>
      <c r="AP355" s="492" t="n"/>
      <c r="AQ355" s="492" t="n"/>
      <c r="AR355" s="492" t="n"/>
      <c r="AS355" s="492" t="n"/>
      <c r="AT355" s="492" t="n"/>
      <c r="AU355" s="493" t="n"/>
      <c r="AV355" s="492" t="n"/>
      <c r="AW355" s="492" t="n"/>
      <c r="AX355" s="492" t="n"/>
      <c r="AY355" s="492" t="n"/>
      <c r="AZ355" s="492" t="n"/>
      <c r="BA355" s="493" t="n"/>
      <c r="BB355" s="492" t="n"/>
      <c r="BC355" s="492" t="n"/>
      <c r="BD355" s="492" t="n"/>
      <c r="BE355" s="492" t="n"/>
      <c r="BF355" s="493" t="n"/>
      <c r="BG355" s="493" t="n"/>
      <c r="BH355" s="495" t="n"/>
      <c r="BI355" s="496" t="n"/>
      <c r="BJ355" s="496" t="n"/>
      <c r="BK355" s="496" t="n"/>
      <c r="BM355" s="493" t="n"/>
      <c r="BN355" s="493" t="n"/>
      <c r="BO355" s="493" t="n"/>
      <c r="BP355" s="493" t="n"/>
      <c r="BQ355" s="493" t="n"/>
      <c r="BR355" s="493" t="n"/>
      <c r="BS355" s="493" t="n"/>
      <c r="BT355" s="493" t="n"/>
      <c r="BU355" s="493" t="n"/>
      <c r="BV355" s="493" t="n"/>
      <c r="BW355" s="493" t="n"/>
      <c r="BX355" s="493" t="n"/>
      <c r="BY355" s="493" t="n"/>
      <c r="BZ355" s="493" t="n"/>
      <c r="CA355" s="493" t="n"/>
      <c r="CB355" s="493" t="n"/>
      <c r="CC355" s="493" t="n"/>
      <c r="CD355" s="493" t="n"/>
      <c r="CE355" s="493" t="n"/>
      <c r="CF355" s="493" t="n"/>
      <c r="CG355" s="493" t="n"/>
      <c r="CH355" s="493" t="n"/>
      <c r="CI355" s="493" t="n"/>
      <c r="CJ355" s="493" t="n"/>
      <c r="CK355" s="493" t="n"/>
      <c r="CL355" s="493" t="n"/>
    </row>
    <row r="356" customFormat="1" s="230">
      <c r="E356" s="234" t="n"/>
      <c r="F356" s="492" t="n"/>
      <c r="G356" s="492" t="n"/>
      <c r="H356" s="493" t="n"/>
      <c r="I356" s="492" t="n"/>
      <c r="J356" s="492" t="n"/>
      <c r="K356" s="492" t="n"/>
      <c r="L356" s="492" t="n"/>
      <c r="M356" s="493" t="n"/>
      <c r="N356" s="492" t="n"/>
      <c r="O356" s="492" t="n"/>
      <c r="P356" s="492" t="n"/>
      <c r="Q356" s="492" t="n"/>
      <c r="R356" s="492" t="n"/>
      <c r="S356" s="492" t="n"/>
      <c r="T356" s="492" t="n"/>
      <c r="U356" s="492" t="n"/>
      <c r="V356" s="492" t="n"/>
      <c r="W356" s="492" t="n"/>
      <c r="X356" s="492" t="n"/>
      <c r="Y356" s="492" t="n"/>
      <c r="Z356" s="492" t="n"/>
      <c r="AA356" s="492" t="n"/>
      <c r="AB356" s="492" t="n"/>
      <c r="AC356" s="492" t="n"/>
      <c r="AD356" s="492" t="n"/>
      <c r="AE356" s="493" t="n"/>
      <c r="AF356" s="492" t="n"/>
      <c r="AG356" s="492" t="n"/>
      <c r="AH356" s="492" t="n"/>
      <c r="AI356" s="492" t="n"/>
      <c r="AJ356" s="493" t="n"/>
      <c r="AK356" s="492" t="n"/>
      <c r="AL356" s="492" t="n"/>
      <c r="AM356" s="492" t="n"/>
      <c r="AN356" s="492" t="n"/>
      <c r="AO356" s="492" t="n"/>
      <c r="AP356" s="492" t="n"/>
      <c r="AQ356" s="492" t="n"/>
      <c r="AR356" s="492" t="n"/>
      <c r="AS356" s="492" t="n"/>
      <c r="AT356" s="492" t="n"/>
      <c r="AU356" s="493" t="n"/>
      <c r="AV356" s="492" t="n"/>
      <c r="AW356" s="492" t="n"/>
      <c r="AX356" s="492" t="n"/>
      <c r="AY356" s="492" t="n"/>
      <c r="AZ356" s="492" t="n"/>
      <c r="BA356" s="493" t="n"/>
      <c r="BB356" s="492" t="n"/>
      <c r="BC356" s="492" t="n"/>
      <c r="BD356" s="492" t="n"/>
      <c r="BE356" s="492" t="n"/>
      <c r="BF356" s="493" t="n"/>
      <c r="BG356" s="493" t="n"/>
      <c r="BH356" s="495" t="n"/>
      <c r="BI356" s="496" t="n"/>
      <c r="BJ356" s="496" t="n"/>
      <c r="BK356" s="496" t="n"/>
      <c r="BM356" s="493" t="n"/>
      <c r="BN356" s="493" t="n"/>
      <c r="BO356" s="493" t="n"/>
      <c r="BP356" s="493" t="n"/>
      <c r="BQ356" s="493" t="n"/>
      <c r="BR356" s="493" t="n"/>
      <c r="BS356" s="493" t="n"/>
      <c r="BT356" s="493" t="n"/>
      <c r="BU356" s="493" t="n"/>
      <c r="BV356" s="493" t="n"/>
      <c r="BW356" s="493" t="n"/>
      <c r="BX356" s="493" t="n"/>
      <c r="BY356" s="493" t="n"/>
      <c r="BZ356" s="493" t="n"/>
      <c r="CA356" s="493" t="n"/>
      <c r="CB356" s="493" t="n"/>
      <c r="CC356" s="493" t="n"/>
      <c r="CD356" s="493" t="n"/>
      <c r="CE356" s="493" t="n"/>
      <c r="CF356" s="493" t="n"/>
      <c r="CG356" s="493" t="n"/>
      <c r="CH356" s="493" t="n"/>
      <c r="CI356" s="493" t="n"/>
      <c r="CJ356" s="493" t="n"/>
      <c r="CK356" s="493" t="n"/>
      <c r="CL356" s="493" t="n"/>
    </row>
    <row r="357" customFormat="1" s="230">
      <c r="E357" s="234" t="n"/>
      <c r="F357" s="492" t="n"/>
      <c r="G357" s="492" t="n"/>
      <c r="H357" s="493" t="n"/>
      <c r="I357" s="492" t="n"/>
      <c r="J357" s="492" t="n"/>
      <c r="K357" s="492" t="n"/>
      <c r="L357" s="492" t="n"/>
      <c r="M357" s="493" t="n"/>
      <c r="N357" s="492" t="n"/>
      <c r="O357" s="492" t="n"/>
      <c r="P357" s="492" t="n"/>
      <c r="Q357" s="492" t="n"/>
      <c r="R357" s="492" t="n"/>
      <c r="S357" s="492" t="n"/>
      <c r="T357" s="492" t="n"/>
      <c r="U357" s="492" t="n"/>
      <c r="V357" s="492" t="n"/>
      <c r="W357" s="492" t="n"/>
      <c r="X357" s="492" t="n"/>
      <c r="Y357" s="492" t="n"/>
      <c r="Z357" s="492" t="n"/>
      <c r="AA357" s="492" t="n"/>
      <c r="AB357" s="492" t="n"/>
      <c r="AC357" s="492" t="n"/>
      <c r="AD357" s="492" t="n"/>
      <c r="AE357" s="493" t="n"/>
      <c r="AF357" s="492" t="n"/>
      <c r="AG357" s="492" t="n"/>
      <c r="AH357" s="492" t="n"/>
      <c r="AI357" s="492" t="n"/>
      <c r="AJ357" s="493" t="n"/>
      <c r="AK357" s="492" t="n"/>
      <c r="AL357" s="492" t="n"/>
      <c r="AM357" s="492" t="n"/>
      <c r="AN357" s="492" t="n"/>
      <c r="AO357" s="492" t="n"/>
      <c r="AP357" s="492" t="n"/>
      <c r="AQ357" s="492" t="n"/>
      <c r="AR357" s="492" t="n"/>
      <c r="AS357" s="492" t="n"/>
      <c r="AT357" s="492" t="n"/>
      <c r="AU357" s="493" t="n"/>
      <c r="AV357" s="492" t="n"/>
      <c r="AW357" s="492" t="n"/>
      <c r="AX357" s="492" t="n"/>
      <c r="AY357" s="492" t="n"/>
      <c r="AZ357" s="492" t="n"/>
      <c r="BA357" s="493" t="n"/>
      <c r="BB357" s="492" t="n"/>
      <c r="BC357" s="492" t="n"/>
      <c r="BD357" s="492" t="n"/>
      <c r="BE357" s="492" t="n"/>
      <c r="BF357" s="493" t="n"/>
      <c r="BG357" s="493" t="n"/>
      <c r="BH357" s="495" t="n"/>
      <c r="BI357" s="496" t="n"/>
      <c r="BJ357" s="496" t="n"/>
      <c r="BK357" s="496" t="n"/>
      <c r="BM357" s="493" t="n"/>
      <c r="BN357" s="493" t="n"/>
      <c r="BO357" s="493" t="n"/>
      <c r="BP357" s="493" t="n"/>
      <c r="BQ357" s="493" t="n"/>
      <c r="BR357" s="493" t="n"/>
      <c r="BS357" s="493" t="n"/>
      <c r="BT357" s="493" t="n"/>
      <c r="BU357" s="493" t="n"/>
      <c r="BV357" s="493" t="n"/>
      <c r="BW357" s="493" t="n"/>
      <c r="BX357" s="493" t="n"/>
      <c r="BY357" s="493" t="n"/>
      <c r="BZ357" s="493" t="n"/>
      <c r="CA357" s="493" t="n"/>
      <c r="CB357" s="493" t="n"/>
      <c r="CC357" s="493" t="n"/>
      <c r="CD357" s="493" t="n"/>
      <c r="CE357" s="493" t="n"/>
      <c r="CF357" s="493" t="n"/>
      <c r="CG357" s="493" t="n"/>
      <c r="CH357" s="493" t="n"/>
      <c r="CI357" s="493" t="n"/>
      <c r="CJ357" s="493" t="n"/>
      <c r="CK357" s="493" t="n"/>
      <c r="CL357" s="493" t="n"/>
    </row>
    <row r="358" customFormat="1" s="230">
      <c r="E358" s="234" t="n"/>
      <c r="F358" s="492" t="n"/>
      <c r="G358" s="492" t="n"/>
      <c r="H358" s="493" t="n"/>
      <c r="I358" s="492" t="n"/>
      <c r="J358" s="492" t="n"/>
      <c r="K358" s="492" t="n"/>
      <c r="L358" s="492" t="n"/>
      <c r="M358" s="493" t="n"/>
      <c r="N358" s="492" t="n"/>
      <c r="O358" s="492" t="n"/>
      <c r="P358" s="492" t="n"/>
      <c r="Q358" s="492" t="n"/>
      <c r="R358" s="492" t="n"/>
      <c r="S358" s="492" t="n"/>
      <c r="T358" s="492" t="n"/>
      <c r="U358" s="492" t="n"/>
      <c r="V358" s="492" t="n"/>
      <c r="W358" s="492" t="n"/>
      <c r="X358" s="492" t="n"/>
      <c r="Y358" s="492" t="n"/>
      <c r="Z358" s="492" t="n"/>
      <c r="AA358" s="492" t="n"/>
      <c r="AB358" s="492" t="n"/>
      <c r="AC358" s="492" t="n"/>
      <c r="AD358" s="492" t="n"/>
      <c r="AE358" s="493" t="n"/>
      <c r="AF358" s="492" t="n"/>
      <c r="AG358" s="492" t="n"/>
      <c r="AH358" s="492" t="n"/>
      <c r="AI358" s="492" t="n"/>
      <c r="AJ358" s="493" t="n"/>
      <c r="AK358" s="492" t="n"/>
      <c r="AL358" s="492" t="n"/>
      <c r="AM358" s="492" t="n"/>
      <c r="AN358" s="492" t="n"/>
      <c r="AO358" s="492" t="n"/>
      <c r="AP358" s="492" t="n"/>
      <c r="AQ358" s="492" t="n"/>
      <c r="AR358" s="492" t="n"/>
      <c r="AS358" s="492" t="n"/>
      <c r="AT358" s="492" t="n"/>
      <c r="AU358" s="493" t="n"/>
      <c r="AV358" s="492" t="n"/>
      <c r="AW358" s="492" t="n"/>
      <c r="AX358" s="492" t="n"/>
      <c r="AY358" s="492" t="n"/>
      <c r="AZ358" s="492" t="n"/>
      <c r="BA358" s="493" t="n"/>
      <c r="BB358" s="492" t="n"/>
      <c r="BC358" s="492" t="n"/>
      <c r="BD358" s="492" t="n"/>
      <c r="BE358" s="492" t="n"/>
      <c r="BF358" s="493" t="n"/>
      <c r="BG358" s="493" t="n"/>
      <c r="BH358" s="495" t="n"/>
      <c r="BI358" s="496" t="n"/>
      <c r="BJ358" s="496" t="n"/>
      <c r="BK358" s="496" t="n"/>
      <c r="BM358" s="493" t="n"/>
      <c r="BN358" s="493" t="n"/>
      <c r="BO358" s="493" t="n"/>
      <c r="BP358" s="493" t="n"/>
      <c r="BQ358" s="493" t="n"/>
      <c r="BR358" s="493" t="n"/>
      <c r="BS358" s="493" t="n"/>
      <c r="BT358" s="493" t="n"/>
      <c r="BU358" s="493" t="n"/>
      <c r="BV358" s="493" t="n"/>
      <c r="BW358" s="493" t="n"/>
      <c r="BX358" s="493" t="n"/>
      <c r="BY358" s="493" t="n"/>
      <c r="BZ358" s="493" t="n"/>
      <c r="CA358" s="493" t="n"/>
      <c r="CB358" s="493" t="n"/>
      <c r="CC358" s="493" t="n"/>
      <c r="CD358" s="493" t="n"/>
      <c r="CE358" s="493" t="n"/>
      <c r="CF358" s="493" t="n"/>
      <c r="CG358" s="493" t="n"/>
      <c r="CH358" s="493" t="n"/>
      <c r="CI358" s="493" t="n"/>
      <c r="CJ358" s="493" t="n"/>
      <c r="CK358" s="493" t="n"/>
      <c r="CL358" s="493" t="n"/>
    </row>
    <row r="359" customFormat="1" s="230">
      <c r="E359" s="234" t="n"/>
      <c r="F359" s="492" t="n"/>
      <c r="G359" s="492" t="n"/>
      <c r="H359" s="493" t="n"/>
      <c r="I359" s="492" t="n"/>
      <c r="J359" s="492" t="n"/>
      <c r="K359" s="492" t="n"/>
      <c r="L359" s="492" t="n"/>
      <c r="M359" s="493" t="n"/>
      <c r="N359" s="492" t="n"/>
      <c r="O359" s="492" t="n"/>
      <c r="P359" s="492" t="n"/>
      <c r="Q359" s="492" t="n"/>
      <c r="R359" s="492" t="n"/>
      <c r="S359" s="492" t="n"/>
      <c r="T359" s="492" t="n"/>
      <c r="U359" s="492" t="n"/>
      <c r="V359" s="492" t="n"/>
      <c r="W359" s="492" t="n"/>
      <c r="X359" s="492" t="n"/>
      <c r="Y359" s="492" t="n"/>
      <c r="Z359" s="492" t="n"/>
      <c r="AA359" s="492" t="n"/>
      <c r="AB359" s="492" t="n"/>
      <c r="AC359" s="492" t="n"/>
      <c r="AD359" s="492" t="n"/>
      <c r="AE359" s="493" t="n"/>
      <c r="AF359" s="492" t="n"/>
      <c r="AG359" s="492" t="n"/>
      <c r="AH359" s="492" t="n"/>
      <c r="AI359" s="492" t="n"/>
      <c r="AJ359" s="493" t="n"/>
      <c r="AK359" s="492" t="n"/>
      <c r="AL359" s="492" t="n"/>
      <c r="AM359" s="492" t="n"/>
      <c r="AN359" s="492" t="n"/>
      <c r="AO359" s="492" t="n"/>
      <c r="AP359" s="492" t="n"/>
      <c r="AQ359" s="492" t="n"/>
      <c r="AR359" s="492" t="n"/>
      <c r="AS359" s="492" t="n"/>
      <c r="AT359" s="492" t="n"/>
      <c r="AU359" s="493" t="n"/>
      <c r="AV359" s="492" t="n"/>
      <c r="AW359" s="492" t="n"/>
      <c r="AX359" s="492" t="n"/>
      <c r="AY359" s="492" t="n"/>
      <c r="AZ359" s="492" t="n"/>
      <c r="BA359" s="493" t="n"/>
      <c r="BB359" s="492" t="n"/>
      <c r="BC359" s="492" t="n"/>
      <c r="BD359" s="492" t="n"/>
      <c r="BE359" s="492" t="n"/>
      <c r="BF359" s="493" t="n"/>
      <c r="BG359" s="493" t="n"/>
      <c r="BH359" s="495" t="n"/>
      <c r="BI359" s="496" t="n"/>
      <c r="BJ359" s="496" t="n"/>
      <c r="BK359" s="496" t="n"/>
      <c r="BM359" s="493" t="n"/>
      <c r="BN359" s="493" t="n"/>
      <c r="BO359" s="493" t="n"/>
      <c r="BP359" s="493" t="n"/>
      <c r="BQ359" s="493" t="n"/>
      <c r="BR359" s="493" t="n"/>
      <c r="BS359" s="493" t="n"/>
      <c r="BT359" s="493" t="n"/>
      <c r="BU359" s="493" t="n"/>
      <c r="BV359" s="493" t="n"/>
      <c r="BW359" s="493" t="n"/>
      <c r="BX359" s="493" t="n"/>
      <c r="BY359" s="493" t="n"/>
      <c r="BZ359" s="493" t="n"/>
      <c r="CA359" s="493" t="n"/>
      <c r="CB359" s="493" t="n"/>
      <c r="CC359" s="493" t="n"/>
      <c r="CD359" s="493" t="n"/>
      <c r="CE359" s="493" t="n"/>
      <c r="CF359" s="493" t="n"/>
      <c r="CG359" s="493" t="n"/>
      <c r="CH359" s="493" t="n"/>
      <c r="CI359" s="493" t="n"/>
      <c r="CJ359" s="493" t="n"/>
      <c r="CK359" s="493" t="n"/>
      <c r="CL359" s="493" t="n"/>
    </row>
    <row r="360" customFormat="1" s="230">
      <c r="E360" s="234" t="n"/>
      <c r="F360" s="492" t="n"/>
      <c r="G360" s="492" t="n"/>
      <c r="H360" s="493" t="n"/>
      <c r="I360" s="492" t="n"/>
      <c r="J360" s="492" t="n"/>
      <c r="K360" s="492" t="n"/>
      <c r="L360" s="492" t="n"/>
      <c r="M360" s="493" t="n"/>
      <c r="N360" s="492" t="n"/>
      <c r="O360" s="492" t="n"/>
      <c r="P360" s="492" t="n"/>
      <c r="Q360" s="492" t="n"/>
      <c r="R360" s="492" t="n"/>
      <c r="S360" s="492" t="n"/>
      <c r="T360" s="492" t="n"/>
      <c r="U360" s="492" t="n"/>
      <c r="V360" s="492" t="n"/>
      <c r="W360" s="492" t="n"/>
      <c r="X360" s="492" t="n"/>
      <c r="Y360" s="492" t="n"/>
      <c r="Z360" s="492" t="n"/>
      <c r="AA360" s="492" t="n"/>
      <c r="AB360" s="492" t="n"/>
      <c r="AC360" s="492" t="n"/>
      <c r="AD360" s="492" t="n"/>
      <c r="AE360" s="493" t="n"/>
      <c r="AF360" s="492" t="n"/>
      <c r="AG360" s="492" t="n"/>
      <c r="AH360" s="492" t="n"/>
      <c r="AI360" s="492" t="n"/>
      <c r="AJ360" s="493" t="n"/>
      <c r="AK360" s="492" t="n"/>
      <c r="AL360" s="492" t="n"/>
      <c r="AM360" s="492" t="n"/>
      <c r="AN360" s="492" t="n"/>
      <c r="AO360" s="492" t="n"/>
      <c r="AP360" s="492" t="n"/>
      <c r="AQ360" s="492" t="n"/>
      <c r="AR360" s="492" t="n"/>
      <c r="AS360" s="492" t="n"/>
      <c r="AT360" s="492" t="n"/>
      <c r="AU360" s="493" t="n"/>
      <c r="AV360" s="492" t="n"/>
      <c r="AW360" s="492" t="n"/>
      <c r="AX360" s="492" t="n"/>
      <c r="AY360" s="492" t="n"/>
      <c r="AZ360" s="492" t="n"/>
      <c r="BA360" s="493" t="n"/>
      <c r="BB360" s="492" t="n"/>
      <c r="BC360" s="492" t="n"/>
      <c r="BD360" s="492" t="n"/>
      <c r="BE360" s="492" t="n"/>
      <c r="BF360" s="493" t="n"/>
      <c r="BG360" s="493" t="n"/>
      <c r="BH360" s="495" t="n"/>
      <c r="BI360" s="496" t="n"/>
      <c r="BJ360" s="496" t="n"/>
      <c r="BK360" s="496" t="n"/>
      <c r="BM360" s="493" t="n"/>
      <c r="BN360" s="493" t="n"/>
      <c r="BO360" s="493" t="n"/>
      <c r="BP360" s="493" t="n"/>
      <c r="BQ360" s="493" t="n"/>
      <c r="BR360" s="493" t="n"/>
      <c r="BS360" s="493" t="n"/>
      <c r="BT360" s="493" t="n"/>
      <c r="BU360" s="493" t="n"/>
      <c r="BV360" s="493" t="n"/>
      <c r="BW360" s="493" t="n"/>
      <c r="BX360" s="493" t="n"/>
      <c r="BY360" s="493" t="n"/>
      <c r="BZ360" s="493" t="n"/>
      <c r="CA360" s="493" t="n"/>
      <c r="CB360" s="493" t="n"/>
      <c r="CC360" s="493" t="n"/>
      <c r="CD360" s="493" t="n"/>
      <c r="CE360" s="493" t="n"/>
      <c r="CF360" s="493" t="n"/>
      <c r="CG360" s="493" t="n"/>
      <c r="CH360" s="493" t="n"/>
      <c r="CI360" s="493" t="n"/>
      <c r="CJ360" s="493" t="n"/>
      <c r="CK360" s="493" t="n"/>
      <c r="CL360" s="493" t="n"/>
    </row>
    <row r="361" customFormat="1" s="230">
      <c r="E361" s="234" t="n"/>
      <c r="F361" s="492" t="n"/>
      <c r="G361" s="492" t="n"/>
      <c r="H361" s="493" t="n"/>
      <c r="I361" s="492" t="n"/>
      <c r="J361" s="492" t="n"/>
      <c r="K361" s="492" t="n"/>
      <c r="L361" s="492" t="n"/>
      <c r="M361" s="493" t="n"/>
      <c r="N361" s="492" t="n"/>
      <c r="O361" s="492" t="n"/>
      <c r="P361" s="492" t="n"/>
      <c r="Q361" s="492" t="n"/>
      <c r="R361" s="492" t="n"/>
      <c r="S361" s="492" t="n"/>
      <c r="T361" s="492" t="n"/>
      <c r="U361" s="492" t="n"/>
      <c r="V361" s="492" t="n"/>
      <c r="W361" s="492" t="n"/>
      <c r="X361" s="492" t="n"/>
      <c r="Y361" s="492" t="n"/>
      <c r="Z361" s="492" t="n"/>
      <c r="AA361" s="492" t="n"/>
      <c r="AB361" s="492" t="n"/>
      <c r="AC361" s="492" t="n"/>
      <c r="AD361" s="492" t="n"/>
      <c r="AE361" s="493" t="n"/>
      <c r="AF361" s="492" t="n"/>
      <c r="AG361" s="492" t="n"/>
      <c r="AH361" s="492" t="n"/>
      <c r="AI361" s="492" t="n"/>
      <c r="AJ361" s="493" t="n"/>
      <c r="AK361" s="492" t="n"/>
      <c r="AL361" s="492" t="n"/>
      <c r="AM361" s="492" t="n"/>
      <c r="AN361" s="492" t="n"/>
      <c r="AO361" s="492" t="n"/>
      <c r="AP361" s="492" t="n"/>
      <c r="AQ361" s="492" t="n"/>
      <c r="AR361" s="492" t="n"/>
      <c r="AS361" s="492" t="n"/>
      <c r="AT361" s="492" t="n"/>
      <c r="AU361" s="493" t="n"/>
      <c r="AV361" s="492" t="n"/>
      <c r="AW361" s="492" t="n"/>
      <c r="AX361" s="492" t="n"/>
      <c r="AY361" s="492" t="n"/>
      <c r="AZ361" s="492" t="n"/>
      <c r="BA361" s="493" t="n"/>
      <c r="BB361" s="492" t="n"/>
      <c r="BC361" s="492" t="n"/>
      <c r="BD361" s="492" t="n"/>
      <c r="BE361" s="492" t="n"/>
      <c r="BF361" s="493" t="n"/>
      <c r="BG361" s="493" t="n"/>
      <c r="BH361" s="495" t="n"/>
      <c r="BI361" s="496" t="n"/>
      <c r="BJ361" s="496" t="n"/>
      <c r="BK361" s="496" t="n"/>
      <c r="BM361" s="493" t="n"/>
      <c r="BN361" s="493" t="n"/>
      <c r="BO361" s="493" t="n"/>
      <c r="BP361" s="493" t="n"/>
      <c r="BQ361" s="493" t="n"/>
      <c r="BR361" s="493" t="n"/>
      <c r="BS361" s="493" t="n"/>
      <c r="BT361" s="493" t="n"/>
      <c r="BU361" s="493" t="n"/>
      <c r="BV361" s="493" t="n"/>
      <c r="BW361" s="493" t="n"/>
      <c r="BX361" s="493" t="n"/>
      <c r="BY361" s="493" t="n"/>
      <c r="BZ361" s="493" t="n"/>
      <c r="CA361" s="493" t="n"/>
      <c r="CB361" s="493" t="n"/>
      <c r="CC361" s="493" t="n"/>
      <c r="CD361" s="493" t="n"/>
      <c r="CE361" s="493" t="n"/>
      <c r="CF361" s="493" t="n"/>
      <c r="CG361" s="493" t="n"/>
      <c r="CH361" s="493" t="n"/>
      <c r="CI361" s="493" t="n"/>
      <c r="CJ361" s="493" t="n"/>
      <c r="CK361" s="493" t="n"/>
      <c r="CL361" s="493" t="n"/>
    </row>
    <row r="362" customFormat="1" s="230">
      <c r="E362" s="234" t="n"/>
      <c r="F362" s="492" t="n"/>
      <c r="G362" s="492" t="n"/>
      <c r="H362" s="493" t="n"/>
      <c r="I362" s="492" t="n"/>
      <c r="J362" s="492" t="n"/>
      <c r="K362" s="492" t="n"/>
      <c r="L362" s="492" t="n"/>
      <c r="M362" s="493" t="n"/>
      <c r="N362" s="492" t="n"/>
      <c r="O362" s="492" t="n"/>
      <c r="P362" s="492" t="n"/>
      <c r="Q362" s="492" t="n"/>
      <c r="R362" s="492" t="n"/>
      <c r="S362" s="492" t="n"/>
      <c r="T362" s="492" t="n"/>
      <c r="U362" s="492" t="n"/>
      <c r="V362" s="492" t="n"/>
      <c r="W362" s="492" t="n"/>
      <c r="X362" s="492" t="n"/>
      <c r="Y362" s="492" t="n"/>
      <c r="Z362" s="492" t="n"/>
      <c r="AA362" s="492" t="n"/>
      <c r="AB362" s="492" t="n"/>
      <c r="AC362" s="492" t="n"/>
      <c r="AD362" s="492" t="n"/>
      <c r="AE362" s="493" t="n"/>
      <c r="AF362" s="492" t="n"/>
      <c r="AG362" s="492" t="n"/>
      <c r="AH362" s="492" t="n"/>
      <c r="AI362" s="492" t="n"/>
      <c r="AJ362" s="493" t="n"/>
      <c r="AK362" s="492" t="n"/>
      <c r="AL362" s="492" t="n"/>
      <c r="AM362" s="492" t="n"/>
      <c r="AN362" s="492" t="n"/>
      <c r="AO362" s="492" t="n"/>
      <c r="AP362" s="492" t="n"/>
      <c r="AQ362" s="492" t="n"/>
      <c r="AR362" s="492" t="n"/>
      <c r="AS362" s="492" t="n"/>
      <c r="AT362" s="492" t="n"/>
      <c r="AU362" s="493" t="n"/>
      <c r="AV362" s="492" t="n"/>
      <c r="AW362" s="492" t="n"/>
      <c r="AX362" s="492" t="n"/>
      <c r="AY362" s="492" t="n"/>
      <c r="AZ362" s="492" t="n"/>
      <c r="BA362" s="493" t="n"/>
      <c r="BB362" s="492" t="n"/>
      <c r="BC362" s="492" t="n"/>
      <c r="BD362" s="492" t="n"/>
      <c r="BE362" s="492" t="n"/>
      <c r="BF362" s="493" t="n"/>
      <c r="BG362" s="493" t="n"/>
      <c r="BH362" s="495" t="n"/>
      <c r="BI362" s="496" t="n"/>
      <c r="BJ362" s="496" t="n"/>
      <c r="BK362" s="496" t="n"/>
      <c r="BM362" s="493" t="n"/>
      <c r="BN362" s="493" t="n"/>
      <c r="BO362" s="493" t="n"/>
      <c r="BP362" s="493" t="n"/>
      <c r="BQ362" s="493" t="n"/>
      <c r="BR362" s="493" t="n"/>
      <c r="BS362" s="493" t="n"/>
      <c r="BT362" s="493" t="n"/>
      <c r="BU362" s="493" t="n"/>
      <c r="BV362" s="493" t="n"/>
      <c r="BW362" s="493" t="n"/>
      <c r="BX362" s="493" t="n"/>
      <c r="BY362" s="493" t="n"/>
      <c r="BZ362" s="493" t="n"/>
      <c r="CA362" s="493" t="n"/>
      <c r="CB362" s="493" t="n"/>
      <c r="CC362" s="493" t="n"/>
      <c r="CD362" s="493" t="n"/>
      <c r="CE362" s="493" t="n"/>
      <c r="CF362" s="493" t="n"/>
      <c r="CG362" s="493" t="n"/>
      <c r="CH362" s="493" t="n"/>
      <c r="CI362" s="493" t="n"/>
      <c r="CJ362" s="493" t="n"/>
      <c r="CK362" s="493" t="n"/>
      <c r="CL362" s="493" t="n"/>
    </row>
    <row r="363" customFormat="1" s="230">
      <c r="E363" s="234" t="n"/>
      <c r="F363" s="492" t="n"/>
      <c r="G363" s="492" t="n"/>
      <c r="H363" s="493" t="n"/>
      <c r="I363" s="492" t="n"/>
      <c r="J363" s="492" t="n"/>
      <c r="K363" s="492" t="n"/>
      <c r="L363" s="492" t="n"/>
      <c r="M363" s="493" t="n"/>
      <c r="N363" s="492" t="n"/>
      <c r="O363" s="492" t="n"/>
      <c r="P363" s="492" t="n"/>
      <c r="Q363" s="492" t="n"/>
      <c r="R363" s="492" t="n"/>
      <c r="S363" s="492" t="n"/>
      <c r="T363" s="492" t="n"/>
      <c r="U363" s="492" t="n"/>
      <c r="V363" s="492" t="n"/>
      <c r="W363" s="492" t="n"/>
      <c r="X363" s="492" t="n"/>
      <c r="Y363" s="492" t="n"/>
      <c r="Z363" s="492" t="n"/>
      <c r="AA363" s="492" t="n"/>
      <c r="AB363" s="492" t="n"/>
      <c r="AC363" s="492" t="n"/>
      <c r="AD363" s="492" t="n"/>
      <c r="AE363" s="493" t="n"/>
      <c r="AF363" s="492" t="n"/>
      <c r="AG363" s="492" t="n"/>
      <c r="AH363" s="492" t="n"/>
      <c r="AI363" s="492" t="n"/>
      <c r="AJ363" s="493" t="n"/>
      <c r="AK363" s="492" t="n"/>
      <c r="AL363" s="492" t="n"/>
      <c r="AM363" s="492" t="n"/>
      <c r="AN363" s="492" t="n"/>
      <c r="AO363" s="492" t="n"/>
      <c r="AP363" s="492" t="n"/>
      <c r="AQ363" s="492" t="n"/>
      <c r="AR363" s="492" t="n"/>
      <c r="AS363" s="492" t="n"/>
      <c r="AT363" s="492" t="n"/>
      <c r="AU363" s="493" t="n"/>
      <c r="AV363" s="492" t="n"/>
      <c r="AW363" s="492" t="n"/>
      <c r="AX363" s="492" t="n"/>
      <c r="AY363" s="492" t="n"/>
      <c r="AZ363" s="492" t="n"/>
      <c r="BA363" s="493" t="n"/>
      <c r="BB363" s="492" t="n"/>
      <c r="BC363" s="492" t="n"/>
      <c r="BD363" s="492" t="n"/>
      <c r="BE363" s="492" t="n"/>
      <c r="BF363" s="493" t="n"/>
      <c r="BG363" s="493" t="n"/>
      <c r="BH363" s="495" t="n"/>
      <c r="BI363" s="496" t="n"/>
      <c r="BJ363" s="496" t="n"/>
      <c r="BK363" s="496" t="n"/>
      <c r="BM363" s="493" t="n"/>
      <c r="BN363" s="493" t="n"/>
      <c r="BO363" s="493" t="n"/>
      <c r="BP363" s="493" t="n"/>
      <c r="BQ363" s="493" t="n"/>
      <c r="BR363" s="493" t="n"/>
      <c r="BS363" s="493" t="n"/>
      <c r="BT363" s="493" t="n"/>
      <c r="BU363" s="493" t="n"/>
      <c r="BV363" s="493" t="n"/>
      <c r="BW363" s="493" t="n"/>
      <c r="BX363" s="493" t="n"/>
      <c r="BY363" s="493" t="n"/>
      <c r="BZ363" s="493" t="n"/>
      <c r="CA363" s="493" t="n"/>
      <c r="CB363" s="493" t="n"/>
      <c r="CC363" s="493" t="n"/>
      <c r="CD363" s="493" t="n"/>
      <c r="CE363" s="493" t="n"/>
      <c r="CF363" s="493" t="n"/>
      <c r="CG363" s="493" t="n"/>
      <c r="CH363" s="493" t="n"/>
      <c r="CI363" s="493" t="n"/>
      <c r="CJ363" s="493" t="n"/>
      <c r="CK363" s="493" t="n"/>
      <c r="CL363" s="493" t="n"/>
    </row>
    <row r="364" customFormat="1" s="230">
      <c r="E364" s="234" t="n"/>
      <c r="F364" s="492" t="n"/>
      <c r="G364" s="492" t="n"/>
      <c r="H364" s="493" t="n"/>
      <c r="I364" s="492" t="n"/>
      <c r="J364" s="492" t="n"/>
      <c r="K364" s="492" t="n"/>
      <c r="L364" s="492" t="n"/>
      <c r="M364" s="493" t="n"/>
      <c r="N364" s="492" t="n"/>
      <c r="O364" s="492" t="n"/>
      <c r="P364" s="492" t="n"/>
      <c r="Q364" s="492" t="n"/>
      <c r="R364" s="492" t="n"/>
      <c r="S364" s="492" t="n"/>
      <c r="T364" s="492" t="n"/>
      <c r="U364" s="492" t="n"/>
      <c r="V364" s="492" t="n"/>
      <c r="W364" s="492" t="n"/>
      <c r="X364" s="492" t="n"/>
      <c r="Y364" s="492" t="n"/>
      <c r="Z364" s="492" t="n"/>
      <c r="AA364" s="492" t="n"/>
      <c r="AB364" s="492" t="n"/>
      <c r="AC364" s="492" t="n"/>
      <c r="AD364" s="492" t="n"/>
      <c r="AE364" s="493" t="n"/>
      <c r="AF364" s="492" t="n"/>
      <c r="AG364" s="492" t="n"/>
      <c r="AH364" s="492" t="n"/>
      <c r="AI364" s="492" t="n"/>
      <c r="AJ364" s="493" t="n"/>
      <c r="AK364" s="492" t="n"/>
      <c r="AL364" s="492" t="n"/>
      <c r="AM364" s="492" t="n"/>
      <c r="AN364" s="492" t="n"/>
      <c r="AO364" s="492" t="n"/>
      <c r="AP364" s="492" t="n"/>
      <c r="AQ364" s="492" t="n"/>
      <c r="AR364" s="492" t="n"/>
      <c r="AS364" s="492" t="n"/>
      <c r="AT364" s="492" t="n"/>
      <c r="AU364" s="493" t="n"/>
      <c r="AV364" s="492" t="n"/>
      <c r="AW364" s="492" t="n"/>
      <c r="AX364" s="492" t="n"/>
      <c r="AY364" s="492" t="n"/>
      <c r="AZ364" s="492" t="n"/>
      <c r="BA364" s="493" t="n"/>
      <c r="BB364" s="492" t="n"/>
      <c r="BC364" s="492" t="n"/>
      <c r="BD364" s="492" t="n"/>
      <c r="BE364" s="492" t="n"/>
      <c r="BF364" s="493" t="n"/>
      <c r="BG364" s="493" t="n"/>
      <c r="BH364" s="495" t="n"/>
      <c r="BI364" s="496" t="n"/>
      <c r="BJ364" s="496" t="n"/>
      <c r="BK364" s="496" t="n"/>
      <c r="BM364" s="493" t="n"/>
      <c r="BN364" s="493" t="n"/>
      <c r="BO364" s="493" t="n"/>
      <c r="BP364" s="493" t="n"/>
      <c r="BQ364" s="493" t="n"/>
      <c r="BR364" s="493" t="n"/>
      <c r="BS364" s="493" t="n"/>
      <c r="BT364" s="493" t="n"/>
      <c r="BU364" s="493" t="n"/>
      <c r="BV364" s="493" t="n"/>
      <c r="BW364" s="493" t="n"/>
      <c r="BX364" s="493" t="n"/>
      <c r="BY364" s="493" t="n"/>
      <c r="BZ364" s="493" t="n"/>
      <c r="CA364" s="493" t="n"/>
      <c r="CB364" s="493" t="n"/>
      <c r="CC364" s="493" t="n"/>
      <c r="CD364" s="493" t="n"/>
      <c r="CE364" s="493" t="n"/>
      <c r="CF364" s="493" t="n"/>
      <c r="CG364" s="493" t="n"/>
      <c r="CH364" s="493" t="n"/>
      <c r="CI364" s="493" t="n"/>
      <c r="CJ364" s="493" t="n"/>
      <c r="CK364" s="493" t="n"/>
      <c r="CL364" s="493" t="n"/>
    </row>
    <row r="365" customFormat="1" s="230">
      <c r="E365" s="234" t="n"/>
      <c r="F365" s="492" t="n"/>
      <c r="G365" s="492" t="n"/>
      <c r="H365" s="493" t="n"/>
      <c r="I365" s="492" t="n"/>
      <c r="J365" s="492" t="n"/>
      <c r="K365" s="492" t="n"/>
      <c r="L365" s="492" t="n"/>
      <c r="M365" s="493" t="n"/>
      <c r="N365" s="492" t="n"/>
      <c r="O365" s="492" t="n"/>
      <c r="P365" s="492" t="n"/>
      <c r="Q365" s="492" t="n"/>
      <c r="R365" s="492" t="n"/>
      <c r="S365" s="492" t="n"/>
      <c r="T365" s="492" t="n"/>
      <c r="U365" s="492" t="n"/>
      <c r="V365" s="492" t="n"/>
      <c r="W365" s="492" t="n"/>
      <c r="X365" s="492" t="n"/>
      <c r="Y365" s="492" t="n"/>
      <c r="Z365" s="492" t="n"/>
      <c r="AA365" s="492" t="n"/>
      <c r="AB365" s="492" t="n"/>
      <c r="AC365" s="492" t="n"/>
      <c r="AD365" s="492" t="n"/>
      <c r="AE365" s="493" t="n"/>
      <c r="AF365" s="492" t="n"/>
      <c r="AG365" s="492" t="n"/>
      <c r="AH365" s="492" t="n"/>
      <c r="AI365" s="492" t="n"/>
      <c r="AJ365" s="493" t="n"/>
      <c r="AK365" s="492" t="n"/>
      <c r="AL365" s="492" t="n"/>
      <c r="AM365" s="492" t="n"/>
      <c r="AN365" s="492" t="n"/>
      <c r="AO365" s="492" t="n"/>
      <c r="AP365" s="492" t="n"/>
      <c r="AQ365" s="492" t="n"/>
      <c r="AR365" s="492" t="n"/>
      <c r="AS365" s="492" t="n"/>
      <c r="AT365" s="492" t="n"/>
      <c r="AU365" s="493" t="n"/>
      <c r="AV365" s="492" t="n"/>
      <c r="AW365" s="492" t="n"/>
      <c r="AX365" s="492" t="n"/>
      <c r="AY365" s="492" t="n"/>
      <c r="AZ365" s="492" t="n"/>
      <c r="BA365" s="493" t="n"/>
      <c r="BB365" s="492" t="n"/>
      <c r="BC365" s="492" t="n"/>
      <c r="BD365" s="492" t="n"/>
      <c r="BE365" s="492" t="n"/>
      <c r="BF365" s="493" t="n"/>
      <c r="BG365" s="493" t="n"/>
      <c r="BH365" s="495" t="n"/>
      <c r="BI365" s="496" t="n"/>
      <c r="BJ365" s="496" t="n"/>
      <c r="BK365" s="496" t="n"/>
      <c r="BM365" s="493" t="n"/>
      <c r="BN365" s="493" t="n"/>
      <c r="BO365" s="493" t="n"/>
      <c r="BP365" s="493" t="n"/>
      <c r="BQ365" s="493" t="n"/>
      <c r="BR365" s="493" t="n"/>
      <c r="BS365" s="493" t="n"/>
      <c r="BT365" s="493" t="n"/>
      <c r="BU365" s="493" t="n"/>
      <c r="BV365" s="493" t="n"/>
      <c r="BW365" s="493" t="n"/>
      <c r="BX365" s="493" t="n"/>
      <c r="BY365" s="493" t="n"/>
      <c r="BZ365" s="493" t="n"/>
      <c r="CA365" s="493" t="n"/>
      <c r="CB365" s="493" t="n"/>
      <c r="CC365" s="493" t="n"/>
      <c r="CD365" s="493" t="n"/>
      <c r="CE365" s="493" t="n"/>
      <c r="CF365" s="493" t="n"/>
      <c r="CG365" s="493" t="n"/>
      <c r="CH365" s="493" t="n"/>
      <c r="CI365" s="493" t="n"/>
      <c r="CJ365" s="493" t="n"/>
      <c r="CK365" s="493" t="n"/>
      <c r="CL365" s="493" t="n"/>
    </row>
    <row r="366" customFormat="1" s="230">
      <c r="E366" s="234" t="n"/>
      <c r="F366" s="492" t="n"/>
      <c r="G366" s="492" t="n"/>
      <c r="H366" s="493" t="n"/>
      <c r="I366" s="492" t="n"/>
      <c r="J366" s="492" t="n"/>
      <c r="K366" s="492" t="n"/>
      <c r="L366" s="492" t="n"/>
      <c r="M366" s="493" t="n"/>
      <c r="N366" s="492" t="n"/>
      <c r="O366" s="492" t="n"/>
      <c r="P366" s="492" t="n"/>
      <c r="Q366" s="492" t="n"/>
      <c r="R366" s="492" t="n"/>
      <c r="S366" s="492" t="n"/>
      <c r="T366" s="492" t="n"/>
      <c r="U366" s="492" t="n"/>
      <c r="V366" s="492" t="n"/>
      <c r="W366" s="492" t="n"/>
      <c r="X366" s="492" t="n"/>
      <c r="Y366" s="492" t="n"/>
      <c r="Z366" s="492" t="n"/>
      <c r="AA366" s="492" t="n"/>
      <c r="AB366" s="492" t="n"/>
      <c r="AC366" s="492" t="n"/>
      <c r="AD366" s="492" t="n"/>
      <c r="AE366" s="493" t="n"/>
      <c r="AF366" s="492" t="n"/>
      <c r="AG366" s="492" t="n"/>
      <c r="AH366" s="492" t="n"/>
      <c r="AI366" s="492" t="n"/>
      <c r="AJ366" s="493" t="n"/>
      <c r="AK366" s="492" t="n"/>
      <c r="AL366" s="492" t="n"/>
      <c r="AM366" s="492" t="n"/>
      <c r="AN366" s="492" t="n"/>
      <c r="AO366" s="492" t="n"/>
      <c r="AP366" s="492" t="n"/>
      <c r="AQ366" s="492" t="n"/>
      <c r="AR366" s="492" t="n"/>
      <c r="AS366" s="492" t="n"/>
      <c r="AT366" s="492" t="n"/>
      <c r="AU366" s="493" t="n"/>
      <c r="AV366" s="492" t="n"/>
      <c r="AW366" s="492" t="n"/>
      <c r="AX366" s="492" t="n"/>
      <c r="AY366" s="492" t="n"/>
      <c r="AZ366" s="492" t="n"/>
      <c r="BA366" s="493" t="n"/>
      <c r="BB366" s="492" t="n"/>
      <c r="BC366" s="492" t="n"/>
      <c r="BD366" s="492" t="n"/>
      <c r="BE366" s="492" t="n"/>
      <c r="BF366" s="493" t="n"/>
      <c r="BG366" s="493" t="n"/>
      <c r="BH366" s="495" t="n"/>
      <c r="BI366" s="496" t="n"/>
      <c r="BJ366" s="496" t="n"/>
      <c r="BK366" s="496" t="n"/>
      <c r="BM366" s="493" t="n"/>
      <c r="BN366" s="493" t="n"/>
      <c r="BO366" s="493" t="n"/>
      <c r="BP366" s="493" t="n"/>
      <c r="BQ366" s="493" t="n"/>
      <c r="BR366" s="493" t="n"/>
      <c r="BS366" s="493" t="n"/>
      <c r="BT366" s="493" t="n"/>
      <c r="BU366" s="493" t="n"/>
      <c r="BV366" s="493" t="n"/>
      <c r="BW366" s="493" t="n"/>
      <c r="BX366" s="493" t="n"/>
      <c r="BY366" s="493" t="n"/>
      <c r="BZ366" s="493" t="n"/>
      <c r="CA366" s="493" t="n"/>
      <c r="CB366" s="493" t="n"/>
      <c r="CC366" s="493" t="n"/>
      <c r="CD366" s="493" t="n"/>
      <c r="CE366" s="493" t="n"/>
      <c r="CF366" s="493" t="n"/>
      <c r="CG366" s="493" t="n"/>
      <c r="CH366" s="493" t="n"/>
      <c r="CI366" s="493" t="n"/>
      <c r="CJ366" s="493" t="n"/>
      <c r="CK366" s="493" t="n"/>
      <c r="CL366" s="493" t="n"/>
    </row>
    <row r="367" customFormat="1" s="230">
      <c r="E367" s="234" t="n"/>
      <c r="F367" s="492" t="n"/>
      <c r="G367" s="492" t="n"/>
      <c r="H367" s="493" t="n"/>
      <c r="I367" s="492" t="n"/>
      <c r="J367" s="492" t="n"/>
      <c r="K367" s="492" t="n"/>
      <c r="L367" s="492" t="n"/>
      <c r="M367" s="493" t="n"/>
      <c r="N367" s="492" t="n"/>
      <c r="O367" s="492" t="n"/>
      <c r="P367" s="492" t="n"/>
      <c r="Q367" s="492" t="n"/>
      <c r="R367" s="492" t="n"/>
      <c r="S367" s="492" t="n"/>
      <c r="T367" s="492" t="n"/>
      <c r="U367" s="492" t="n"/>
      <c r="V367" s="492" t="n"/>
      <c r="W367" s="492" t="n"/>
      <c r="X367" s="492" t="n"/>
      <c r="Y367" s="492" t="n"/>
      <c r="Z367" s="492" t="n"/>
      <c r="AA367" s="492" t="n"/>
      <c r="AB367" s="492" t="n"/>
      <c r="AC367" s="492" t="n"/>
      <c r="AD367" s="492" t="n"/>
      <c r="AE367" s="493" t="n"/>
      <c r="AF367" s="492" t="n"/>
      <c r="AG367" s="492" t="n"/>
      <c r="AH367" s="492" t="n"/>
      <c r="AI367" s="492" t="n"/>
      <c r="AJ367" s="493" t="n"/>
      <c r="AK367" s="492" t="n"/>
      <c r="AL367" s="492" t="n"/>
      <c r="AM367" s="492" t="n"/>
      <c r="AN367" s="492" t="n"/>
      <c r="AO367" s="492" t="n"/>
      <c r="AP367" s="492" t="n"/>
      <c r="AQ367" s="492" t="n"/>
      <c r="AR367" s="492" t="n"/>
      <c r="AS367" s="492" t="n"/>
      <c r="AT367" s="492" t="n"/>
      <c r="AU367" s="493" t="n"/>
      <c r="AV367" s="492" t="n"/>
      <c r="AW367" s="492" t="n"/>
      <c r="AX367" s="492" t="n"/>
      <c r="AY367" s="492" t="n"/>
      <c r="AZ367" s="492" t="n"/>
      <c r="BA367" s="493" t="n"/>
      <c r="BB367" s="492" t="n"/>
      <c r="BC367" s="492" t="n"/>
      <c r="BD367" s="492" t="n"/>
      <c r="BE367" s="492" t="n"/>
      <c r="BF367" s="493" t="n"/>
      <c r="BG367" s="493" t="n"/>
      <c r="BH367" s="495" t="n"/>
      <c r="BI367" s="496" t="n"/>
      <c r="BJ367" s="496" t="n"/>
      <c r="BK367" s="496" t="n"/>
      <c r="BM367" s="493" t="n"/>
      <c r="BN367" s="493" t="n"/>
      <c r="BO367" s="493" t="n"/>
      <c r="BP367" s="493" t="n"/>
      <c r="BQ367" s="493" t="n"/>
      <c r="BR367" s="493" t="n"/>
      <c r="BS367" s="493" t="n"/>
      <c r="BT367" s="493" t="n"/>
      <c r="BU367" s="493" t="n"/>
      <c r="BV367" s="493" t="n"/>
      <c r="BW367" s="493" t="n"/>
      <c r="BX367" s="493" t="n"/>
      <c r="BY367" s="493" t="n"/>
      <c r="BZ367" s="493" t="n"/>
      <c r="CA367" s="493" t="n"/>
      <c r="CB367" s="493" t="n"/>
      <c r="CC367" s="493" t="n"/>
      <c r="CD367" s="493" t="n"/>
      <c r="CE367" s="493" t="n"/>
      <c r="CF367" s="493" t="n"/>
      <c r="CG367" s="493" t="n"/>
      <c r="CH367" s="493" t="n"/>
      <c r="CI367" s="493" t="n"/>
      <c r="CJ367" s="493" t="n"/>
      <c r="CK367" s="493" t="n"/>
      <c r="CL367" s="493" t="n"/>
    </row>
    <row r="368" customFormat="1" s="230">
      <c r="E368" s="234" t="n"/>
      <c r="F368" s="492" t="n"/>
      <c r="G368" s="492" t="n"/>
      <c r="H368" s="493" t="n"/>
      <c r="I368" s="492" t="n"/>
      <c r="J368" s="492" t="n"/>
      <c r="K368" s="492" t="n"/>
      <c r="L368" s="492" t="n"/>
      <c r="M368" s="493" t="n"/>
      <c r="N368" s="492" t="n"/>
      <c r="O368" s="492" t="n"/>
      <c r="P368" s="492" t="n"/>
      <c r="Q368" s="492" t="n"/>
      <c r="R368" s="492" t="n"/>
      <c r="S368" s="492" t="n"/>
      <c r="T368" s="492" t="n"/>
      <c r="U368" s="492" t="n"/>
      <c r="V368" s="492" t="n"/>
      <c r="W368" s="492" t="n"/>
      <c r="X368" s="492" t="n"/>
      <c r="Y368" s="492" t="n"/>
      <c r="Z368" s="492" t="n"/>
      <c r="AA368" s="492" t="n"/>
      <c r="AB368" s="492" t="n"/>
      <c r="AC368" s="492" t="n"/>
      <c r="AD368" s="492" t="n"/>
      <c r="AE368" s="493" t="n"/>
      <c r="AF368" s="492" t="n"/>
      <c r="AG368" s="492" t="n"/>
      <c r="AH368" s="492" t="n"/>
      <c r="AI368" s="492" t="n"/>
      <c r="AJ368" s="493" t="n"/>
      <c r="AK368" s="492" t="n"/>
      <c r="AL368" s="492" t="n"/>
      <c r="AM368" s="492" t="n"/>
      <c r="AN368" s="492" t="n"/>
      <c r="AO368" s="492" t="n"/>
      <c r="AP368" s="492" t="n"/>
      <c r="AQ368" s="492" t="n"/>
      <c r="AR368" s="492" t="n"/>
      <c r="AS368" s="492" t="n"/>
      <c r="AT368" s="492" t="n"/>
      <c r="AU368" s="493" t="n"/>
      <c r="AV368" s="492" t="n"/>
      <c r="AW368" s="492" t="n"/>
      <c r="AX368" s="492" t="n"/>
      <c r="AY368" s="492" t="n"/>
      <c r="AZ368" s="492" t="n"/>
      <c r="BA368" s="493" t="n"/>
      <c r="BB368" s="492" t="n"/>
      <c r="BC368" s="492" t="n"/>
      <c r="BD368" s="492" t="n"/>
      <c r="BE368" s="492" t="n"/>
      <c r="BF368" s="493" t="n"/>
      <c r="BG368" s="493" t="n"/>
      <c r="BH368" s="495" t="n"/>
      <c r="BI368" s="496" t="n"/>
      <c r="BJ368" s="496" t="n"/>
      <c r="BK368" s="496" t="n"/>
      <c r="BM368" s="493" t="n"/>
      <c r="BN368" s="493" t="n"/>
      <c r="BO368" s="493" t="n"/>
      <c r="BP368" s="493" t="n"/>
      <c r="BQ368" s="493" t="n"/>
      <c r="BR368" s="493" t="n"/>
      <c r="BS368" s="493" t="n"/>
      <c r="BT368" s="493" t="n"/>
      <c r="BU368" s="493" t="n"/>
      <c r="BV368" s="493" t="n"/>
      <c r="BW368" s="493" t="n"/>
      <c r="BX368" s="493" t="n"/>
      <c r="BY368" s="493" t="n"/>
      <c r="BZ368" s="493" t="n"/>
      <c r="CA368" s="493" t="n"/>
      <c r="CB368" s="493" t="n"/>
      <c r="CC368" s="493" t="n"/>
      <c r="CD368" s="493" t="n"/>
      <c r="CE368" s="493" t="n"/>
      <c r="CF368" s="493" t="n"/>
      <c r="CG368" s="493" t="n"/>
      <c r="CH368" s="493" t="n"/>
      <c r="CI368" s="493" t="n"/>
      <c r="CJ368" s="493" t="n"/>
      <c r="CK368" s="493" t="n"/>
      <c r="CL368" s="493" t="n"/>
    </row>
    <row r="369" customFormat="1" s="230">
      <c r="E369" s="234" t="n"/>
      <c r="F369" s="492" t="n"/>
      <c r="G369" s="492" t="n"/>
      <c r="H369" s="493" t="n"/>
      <c r="I369" s="492" t="n"/>
      <c r="J369" s="492" t="n"/>
      <c r="K369" s="492" t="n"/>
      <c r="L369" s="492" t="n"/>
      <c r="M369" s="493" t="n"/>
      <c r="N369" s="492" t="n"/>
      <c r="O369" s="492" t="n"/>
      <c r="P369" s="492" t="n"/>
      <c r="Q369" s="492" t="n"/>
      <c r="R369" s="492" t="n"/>
      <c r="S369" s="492" t="n"/>
      <c r="T369" s="492" t="n"/>
      <c r="U369" s="492" t="n"/>
      <c r="V369" s="492" t="n"/>
      <c r="W369" s="492" t="n"/>
      <c r="X369" s="492" t="n"/>
      <c r="Y369" s="492" t="n"/>
      <c r="Z369" s="492" t="n"/>
      <c r="AA369" s="492" t="n"/>
      <c r="AB369" s="492" t="n"/>
      <c r="AC369" s="492" t="n"/>
      <c r="AD369" s="492" t="n"/>
      <c r="AE369" s="493" t="n"/>
      <c r="AF369" s="492" t="n"/>
      <c r="AG369" s="492" t="n"/>
      <c r="AH369" s="492" t="n"/>
      <c r="AI369" s="492" t="n"/>
      <c r="AJ369" s="493" t="n"/>
      <c r="AK369" s="492" t="n"/>
      <c r="AL369" s="492" t="n"/>
      <c r="AM369" s="492" t="n"/>
      <c r="AN369" s="492" t="n"/>
      <c r="AO369" s="492" t="n"/>
      <c r="AP369" s="492" t="n"/>
      <c r="AQ369" s="492" t="n"/>
      <c r="AR369" s="492" t="n"/>
      <c r="AS369" s="492" t="n"/>
      <c r="AT369" s="492" t="n"/>
      <c r="AU369" s="493" t="n"/>
      <c r="AV369" s="492" t="n"/>
      <c r="AW369" s="492" t="n"/>
      <c r="AX369" s="492" t="n"/>
      <c r="AY369" s="492" t="n"/>
      <c r="AZ369" s="492" t="n"/>
      <c r="BA369" s="493" t="n"/>
      <c r="BB369" s="492" t="n"/>
      <c r="BC369" s="492" t="n"/>
      <c r="BD369" s="492" t="n"/>
      <c r="BE369" s="492" t="n"/>
      <c r="BF369" s="493" t="n"/>
      <c r="BG369" s="493" t="n"/>
      <c r="BH369" s="495" t="n"/>
      <c r="BI369" s="496" t="n"/>
      <c r="BJ369" s="496" t="n"/>
      <c r="BK369" s="496" t="n"/>
      <c r="BM369" s="493" t="n"/>
      <c r="BN369" s="493" t="n"/>
      <c r="BO369" s="493" t="n"/>
      <c r="BP369" s="493" t="n"/>
      <c r="BQ369" s="493" t="n"/>
      <c r="BR369" s="493" t="n"/>
      <c r="BS369" s="493" t="n"/>
      <c r="BT369" s="493" t="n"/>
      <c r="BU369" s="493" t="n"/>
      <c r="BV369" s="493" t="n"/>
      <c r="BW369" s="493" t="n"/>
      <c r="BX369" s="493" t="n"/>
      <c r="BY369" s="493" t="n"/>
      <c r="BZ369" s="493" t="n"/>
      <c r="CA369" s="493" t="n"/>
      <c r="CB369" s="493" t="n"/>
      <c r="CC369" s="493" t="n"/>
      <c r="CD369" s="493" t="n"/>
      <c r="CE369" s="493" t="n"/>
      <c r="CF369" s="493" t="n"/>
      <c r="CG369" s="493" t="n"/>
      <c r="CH369" s="493" t="n"/>
      <c r="CI369" s="493" t="n"/>
      <c r="CJ369" s="493" t="n"/>
      <c r="CK369" s="493" t="n"/>
      <c r="CL369" s="493" t="n"/>
    </row>
    <row r="370" customFormat="1" s="230">
      <c r="E370" s="234" t="n"/>
      <c r="F370" s="492" t="n"/>
      <c r="G370" s="492" t="n"/>
      <c r="H370" s="493" t="n"/>
      <c r="I370" s="492" t="n"/>
      <c r="J370" s="492" t="n"/>
      <c r="K370" s="492" t="n"/>
      <c r="L370" s="492" t="n"/>
      <c r="M370" s="493" t="n"/>
      <c r="N370" s="492" t="n"/>
      <c r="O370" s="492" t="n"/>
      <c r="P370" s="492" t="n"/>
      <c r="Q370" s="492" t="n"/>
      <c r="R370" s="492" t="n"/>
      <c r="S370" s="492" t="n"/>
      <c r="T370" s="492" t="n"/>
      <c r="U370" s="492" t="n"/>
      <c r="V370" s="492" t="n"/>
      <c r="W370" s="492" t="n"/>
      <c r="X370" s="492" t="n"/>
      <c r="Y370" s="492" t="n"/>
      <c r="Z370" s="492" t="n"/>
      <c r="AA370" s="492" t="n"/>
      <c r="AB370" s="492" t="n"/>
      <c r="AC370" s="492" t="n"/>
      <c r="AD370" s="492" t="n"/>
      <c r="AE370" s="493" t="n"/>
      <c r="AF370" s="492" t="n"/>
      <c r="AG370" s="492" t="n"/>
      <c r="AH370" s="492" t="n"/>
      <c r="AI370" s="492" t="n"/>
      <c r="AJ370" s="493" t="n"/>
      <c r="AK370" s="492" t="n"/>
      <c r="AL370" s="492" t="n"/>
      <c r="AM370" s="492" t="n"/>
      <c r="AN370" s="492" t="n"/>
      <c r="AO370" s="492" t="n"/>
      <c r="AP370" s="492" t="n"/>
      <c r="AQ370" s="492" t="n"/>
      <c r="AR370" s="492" t="n"/>
      <c r="AS370" s="492" t="n"/>
      <c r="AT370" s="492" t="n"/>
      <c r="AU370" s="493" t="n"/>
      <c r="AV370" s="492" t="n"/>
      <c r="AW370" s="492" t="n"/>
      <c r="AX370" s="492" t="n"/>
      <c r="AY370" s="492" t="n"/>
      <c r="AZ370" s="492" t="n"/>
      <c r="BA370" s="493" t="n"/>
      <c r="BB370" s="492" t="n"/>
      <c r="BC370" s="492" t="n"/>
      <c r="BD370" s="492" t="n"/>
      <c r="BE370" s="492" t="n"/>
      <c r="BF370" s="493" t="n"/>
      <c r="BG370" s="493" t="n"/>
      <c r="BH370" s="495" t="n"/>
      <c r="BI370" s="496" t="n"/>
      <c r="BJ370" s="496" t="n"/>
      <c r="BK370" s="496" t="n"/>
      <c r="BM370" s="493" t="n"/>
      <c r="BN370" s="493" t="n"/>
      <c r="BO370" s="493" t="n"/>
      <c r="BP370" s="493" t="n"/>
      <c r="BQ370" s="493" t="n"/>
      <c r="BR370" s="493" t="n"/>
      <c r="BS370" s="493" t="n"/>
      <c r="BT370" s="493" t="n"/>
      <c r="BU370" s="493" t="n"/>
      <c r="BV370" s="493" t="n"/>
      <c r="BW370" s="493" t="n"/>
      <c r="BX370" s="493" t="n"/>
      <c r="BY370" s="493" t="n"/>
      <c r="BZ370" s="493" t="n"/>
      <c r="CA370" s="493" t="n"/>
      <c r="CB370" s="493" t="n"/>
      <c r="CC370" s="493" t="n"/>
      <c r="CD370" s="493" t="n"/>
      <c r="CE370" s="493" t="n"/>
      <c r="CF370" s="493" t="n"/>
      <c r="CG370" s="493" t="n"/>
      <c r="CH370" s="493" t="n"/>
      <c r="CI370" s="493" t="n"/>
      <c r="CJ370" s="493" t="n"/>
      <c r="CK370" s="493" t="n"/>
      <c r="CL370" s="493" t="n"/>
    </row>
    <row r="371" customFormat="1" s="230">
      <c r="E371" s="234" t="n"/>
      <c r="F371" s="492" t="n"/>
      <c r="G371" s="492" t="n"/>
      <c r="H371" s="493" t="n"/>
      <c r="I371" s="492" t="n"/>
      <c r="J371" s="492" t="n"/>
      <c r="K371" s="492" t="n"/>
      <c r="L371" s="492" t="n"/>
      <c r="M371" s="493" t="n"/>
      <c r="N371" s="492" t="n"/>
      <c r="O371" s="492" t="n"/>
      <c r="P371" s="492" t="n"/>
      <c r="Q371" s="492" t="n"/>
      <c r="R371" s="492" t="n"/>
      <c r="S371" s="492" t="n"/>
      <c r="T371" s="492" t="n"/>
      <c r="U371" s="492" t="n"/>
      <c r="V371" s="492" t="n"/>
      <c r="W371" s="492" t="n"/>
      <c r="X371" s="492" t="n"/>
      <c r="Y371" s="492" t="n"/>
      <c r="Z371" s="492" t="n"/>
      <c r="AA371" s="492" t="n"/>
      <c r="AB371" s="492" t="n"/>
      <c r="AC371" s="492" t="n"/>
      <c r="AD371" s="492" t="n"/>
      <c r="AE371" s="493" t="n"/>
      <c r="AF371" s="492" t="n"/>
      <c r="AG371" s="492" t="n"/>
      <c r="AH371" s="492" t="n"/>
      <c r="AI371" s="492" t="n"/>
      <c r="AJ371" s="493" t="n"/>
      <c r="AK371" s="492" t="n"/>
      <c r="AL371" s="492" t="n"/>
      <c r="AM371" s="492" t="n"/>
      <c r="AN371" s="492" t="n"/>
      <c r="AO371" s="492" t="n"/>
      <c r="AP371" s="492" t="n"/>
      <c r="AQ371" s="492" t="n"/>
      <c r="AR371" s="492" t="n"/>
      <c r="AS371" s="492" t="n"/>
      <c r="AT371" s="492" t="n"/>
      <c r="AU371" s="493" t="n"/>
      <c r="AV371" s="492" t="n"/>
      <c r="AW371" s="492" t="n"/>
      <c r="AX371" s="492" t="n"/>
      <c r="AY371" s="492" t="n"/>
      <c r="AZ371" s="492" t="n"/>
      <c r="BA371" s="493" t="n"/>
      <c r="BB371" s="492" t="n"/>
      <c r="BC371" s="492" t="n"/>
      <c r="BD371" s="492" t="n"/>
      <c r="BE371" s="492" t="n"/>
      <c r="BF371" s="493" t="n"/>
      <c r="BG371" s="493" t="n"/>
      <c r="BH371" s="495" t="n"/>
      <c r="BI371" s="496" t="n"/>
      <c r="BJ371" s="496" t="n"/>
      <c r="BK371" s="496" t="n"/>
      <c r="BM371" s="493" t="n"/>
      <c r="BN371" s="493" t="n"/>
      <c r="BO371" s="493" t="n"/>
      <c r="BP371" s="493" t="n"/>
      <c r="BQ371" s="493" t="n"/>
      <c r="BR371" s="493" t="n"/>
      <c r="BS371" s="493" t="n"/>
      <c r="BT371" s="493" t="n"/>
      <c r="BU371" s="493" t="n"/>
      <c r="BV371" s="493" t="n"/>
      <c r="BW371" s="493" t="n"/>
      <c r="BX371" s="493" t="n"/>
      <c r="BY371" s="493" t="n"/>
      <c r="BZ371" s="493" t="n"/>
      <c r="CA371" s="493" t="n"/>
      <c r="CB371" s="493" t="n"/>
      <c r="CC371" s="493" t="n"/>
      <c r="CD371" s="493" t="n"/>
      <c r="CE371" s="493" t="n"/>
      <c r="CF371" s="493" t="n"/>
      <c r="CG371" s="493" t="n"/>
      <c r="CH371" s="493" t="n"/>
      <c r="CI371" s="493" t="n"/>
      <c r="CJ371" s="493" t="n"/>
      <c r="CK371" s="493" t="n"/>
      <c r="CL371" s="493" t="n"/>
    </row>
    <row r="372" customFormat="1" s="230">
      <c r="E372" s="234" t="n"/>
      <c r="F372" s="492" t="n"/>
      <c r="G372" s="492" t="n"/>
      <c r="H372" s="493" t="n"/>
      <c r="I372" s="492" t="n"/>
      <c r="J372" s="492" t="n"/>
      <c r="K372" s="492" t="n"/>
      <c r="L372" s="492" t="n"/>
      <c r="M372" s="493" t="n"/>
      <c r="N372" s="492" t="n"/>
      <c r="O372" s="492" t="n"/>
      <c r="P372" s="492" t="n"/>
      <c r="Q372" s="492" t="n"/>
      <c r="R372" s="492" t="n"/>
      <c r="S372" s="492" t="n"/>
      <c r="T372" s="492" t="n"/>
      <c r="U372" s="492" t="n"/>
      <c r="V372" s="492" t="n"/>
      <c r="W372" s="492" t="n"/>
      <c r="X372" s="492" t="n"/>
      <c r="Y372" s="492" t="n"/>
      <c r="Z372" s="492" t="n"/>
      <c r="AA372" s="492" t="n"/>
      <c r="AB372" s="492" t="n"/>
      <c r="AC372" s="492" t="n"/>
      <c r="AD372" s="492" t="n"/>
      <c r="AE372" s="493" t="n"/>
      <c r="AF372" s="492" t="n"/>
      <c r="AG372" s="492" t="n"/>
      <c r="AH372" s="492" t="n"/>
      <c r="AI372" s="492" t="n"/>
      <c r="AJ372" s="493" t="n"/>
      <c r="AK372" s="492" t="n"/>
      <c r="AL372" s="492" t="n"/>
      <c r="AM372" s="492" t="n"/>
      <c r="AN372" s="492" t="n"/>
      <c r="AO372" s="492" t="n"/>
      <c r="AP372" s="492" t="n"/>
      <c r="AQ372" s="492" t="n"/>
      <c r="AR372" s="492" t="n"/>
      <c r="AS372" s="492" t="n"/>
      <c r="AT372" s="492" t="n"/>
      <c r="AU372" s="493" t="n"/>
      <c r="AV372" s="492" t="n"/>
      <c r="AW372" s="492" t="n"/>
      <c r="AX372" s="492" t="n"/>
      <c r="AY372" s="492" t="n"/>
      <c r="AZ372" s="492" t="n"/>
      <c r="BA372" s="493" t="n"/>
      <c r="BB372" s="492" t="n"/>
      <c r="BC372" s="492" t="n"/>
      <c r="BD372" s="492" t="n"/>
      <c r="BE372" s="492" t="n"/>
      <c r="BF372" s="493" t="n"/>
      <c r="BG372" s="493" t="n"/>
      <c r="BH372" s="495" t="n"/>
      <c r="BI372" s="496" t="n"/>
      <c r="BJ372" s="496" t="n"/>
      <c r="BK372" s="496" t="n"/>
      <c r="BM372" s="493" t="n"/>
      <c r="BN372" s="493" t="n"/>
      <c r="BO372" s="493" t="n"/>
      <c r="BP372" s="493" t="n"/>
      <c r="BQ372" s="493" t="n"/>
      <c r="BR372" s="493" t="n"/>
      <c r="BS372" s="493" t="n"/>
      <c r="BT372" s="493" t="n"/>
      <c r="BU372" s="493" t="n"/>
      <c r="BV372" s="493" t="n"/>
      <c r="BW372" s="493" t="n"/>
      <c r="BX372" s="493" t="n"/>
      <c r="BY372" s="493" t="n"/>
      <c r="BZ372" s="493" t="n"/>
      <c r="CA372" s="493" t="n"/>
      <c r="CB372" s="493" t="n"/>
      <c r="CC372" s="493" t="n"/>
      <c r="CD372" s="493" t="n"/>
      <c r="CE372" s="493" t="n"/>
      <c r="CF372" s="493" t="n"/>
      <c r="CG372" s="493" t="n"/>
      <c r="CH372" s="493" t="n"/>
      <c r="CI372" s="493" t="n"/>
      <c r="CJ372" s="493" t="n"/>
      <c r="CK372" s="493" t="n"/>
      <c r="CL372" s="493" t="n"/>
    </row>
    <row r="373" customFormat="1" s="230">
      <c r="E373" s="234" t="n"/>
      <c r="F373" s="492" t="n"/>
      <c r="G373" s="492" t="n"/>
      <c r="H373" s="493" t="n"/>
      <c r="I373" s="492" t="n"/>
      <c r="J373" s="492" t="n"/>
      <c r="K373" s="492" t="n"/>
      <c r="L373" s="492" t="n"/>
      <c r="M373" s="493" t="n"/>
      <c r="N373" s="492" t="n"/>
      <c r="O373" s="492" t="n"/>
      <c r="P373" s="492" t="n"/>
      <c r="Q373" s="492" t="n"/>
      <c r="R373" s="492" t="n"/>
      <c r="S373" s="492" t="n"/>
      <c r="T373" s="492" t="n"/>
      <c r="U373" s="492" t="n"/>
      <c r="V373" s="492" t="n"/>
      <c r="W373" s="492" t="n"/>
      <c r="X373" s="492" t="n"/>
      <c r="Y373" s="492" t="n"/>
      <c r="Z373" s="492" t="n"/>
      <c r="AA373" s="492" t="n"/>
      <c r="AB373" s="492" t="n"/>
      <c r="AC373" s="492" t="n"/>
      <c r="AD373" s="492" t="n"/>
      <c r="AE373" s="493" t="n"/>
      <c r="AF373" s="492" t="n"/>
      <c r="AG373" s="492" t="n"/>
      <c r="AH373" s="492" t="n"/>
      <c r="AI373" s="492" t="n"/>
      <c r="AJ373" s="493" t="n"/>
      <c r="AK373" s="492" t="n"/>
      <c r="AL373" s="492" t="n"/>
      <c r="AM373" s="492" t="n"/>
      <c r="AN373" s="492" t="n"/>
      <c r="AO373" s="492" t="n"/>
      <c r="AP373" s="492" t="n"/>
      <c r="AQ373" s="492" t="n"/>
      <c r="AR373" s="492" t="n"/>
      <c r="AS373" s="492" t="n"/>
      <c r="AT373" s="492" t="n"/>
      <c r="AU373" s="493" t="n"/>
      <c r="AV373" s="492" t="n"/>
      <c r="AW373" s="492" t="n"/>
      <c r="AX373" s="492" t="n"/>
      <c r="AY373" s="492" t="n"/>
      <c r="AZ373" s="492" t="n"/>
      <c r="BA373" s="493" t="n"/>
      <c r="BB373" s="492" t="n"/>
      <c r="BC373" s="492" t="n"/>
      <c r="BD373" s="492" t="n"/>
      <c r="BE373" s="492" t="n"/>
      <c r="BF373" s="493" t="n"/>
      <c r="BG373" s="493" t="n"/>
      <c r="BH373" s="495" t="n"/>
      <c r="BI373" s="496" t="n"/>
      <c r="BJ373" s="496" t="n"/>
      <c r="BK373" s="496" t="n"/>
      <c r="BM373" s="493" t="n"/>
      <c r="BN373" s="493" t="n"/>
      <c r="BO373" s="493" t="n"/>
      <c r="BP373" s="493" t="n"/>
      <c r="BQ373" s="493" t="n"/>
      <c r="BR373" s="493" t="n"/>
      <c r="BS373" s="493" t="n"/>
      <c r="BT373" s="493" t="n"/>
      <c r="BU373" s="493" t="n"/>
      <c r="BV373" s="493" t="n"/>
      <c r="BW373" s="493" t="n"/>
      <c r="BX373" s="493" t="n"/>
      <c r="BY373" s="493" t="n"/>
      <c r="BZ373" s="493" t="n"/>
      <c r="CA373" s="493" t="n"/>
      <c r="CB373" s="493" t="n"/>
      <c r="CC373" s="493" t="n"/>
      <c r="CD373" s="493" t="n"/>
      <c r="CE373" s="493" t="n"/>
      <c r="CF373" s="493" t="n"/>
      <c r="CG373" s="493" t="n"/>
      <c r="CH373" s="493" t="n"/>
      <c r="CI373" s="493" t="n"/>
      <c r="CJ373" s="493" t="n"/>
      <c r="CK373" s="493" t="n"/>
      <c r="CL373" s="493" t="n"/>
    </row>
    <row r="374" customFormat="1" s="230">
      <c r="E374" s="234" t="n"/>
      <c r="F374" s="492" t="n"/>
      <c r="G374" s="492" t="n"/>
      <c r="H374" s="493" t="n"/>
      <c r="I374" s="492" t="n"/>
      <c r="J374" s="492" t="n"/>
      <c r="K374" s="492" t="n"/>
      <c r="L374" s="492" t="n"/>
      <c r="M374" s="493" t="n"/>
      <c r="N374" s="492" t="n"/>
      <c r="O374" s="492" t="n"/>
      <c r="P374" s="492" t="n"/>
      <c r="Q374" s="492" t="n"/>
      <c r="R374" s="492" t="n"/>
      <c r="S374" s="492" t="n"/>
      <c r="T374" s="492" t="n"/>
      <c r="U374" s="492" t="n"/>
      <c r="V374" s="492" t="n"/>
      <c r="W374" s="492" t="n"/>
      <c r="X374" s="492" t="n"/>
      <c r="Y374" s="492" t="n"/>
      <c r="Z374" s="492" t="n"/>
      <c r="AA374" s="492" t="n"/>
      <c r="AB374" s="492" t="n"/>
      <c r="AC374" s="492" t="n"/>
      <c r="AD374" s="492" t="n"/>
      <c r="AE374" s="493" t="n"/>
      <c r="AF374" s="492" t="n"/>
      <c r="AG374" s="492" t="n"/>
      <c r="AH374" s="492" t="n"/>
      <c r="AI374" s="492" t="n"/>
      <c r="AJ374" s="493" t="n"/>
      <c r="AK374" s="492" t="n"/>
      <c r="AL374" s="492" t="n"/>
      <c r="AM374" s="492" t="n"/>
      <c r="AN374" s="492" t="n"/>
      <c r="AO374" s="492" t="n"/>
      <c r="AP374" s="492" t="n"/>
      <c r="AQ374" s="492" t="n"/>
      <c r="AR374" s="492" t="n"/>
      <c r="AS374" s="492" t="n"/>
      <c r="AT374" s="492" t="n"/>
      <c r="AU374" s="493" t="n"/>
      <c r="AV374" s="492" t="n"/>
      <c r="AW374" s="492" t="n"/>
      <c r="AX374" s="492" t="n"/>
      <c r="AY374" s="492" t="n"/>
      <c r="AZ374" s="492" t="n"/>
      <c r="BA374" s="493" t="n"/>
      <c r="BB374" s="492" t="n"/>
      <c r="BC374" s="492" t="n"/>
      <c r="BD374" s="492" t="n"/>
      <c r="BE374" s="492" t="n"/>
      <c r="BF374" s="493" t="n"/>
      <c r="BG374" s="493" t="n"/>
      <c r="BH374" s="495" t="n"/>
      <c r="BI374" s="496" t="n"/>
      <c r="BJ374" s="496" t="n"/>
      <c r="BK374" s="496" t="n"/>
      <c r="BM374" s="493" t="n"/>
      <c r="BN374" s="493" t="n"/>
      <c r="BO374" s="493" t="n"/>
      <c r="BP374" s="493" t="n"/>
      <c r="BQ374" s="493" t="n"/>
      <c r="BR374" s="493" t="n"/>
      <c r="BS374" s="493" t="n"/>
      <c r="BT374" s="493" t="n"/>
      <c r="BU374" s="493" t="n"/>
      <c r="BV374" s="493" t="n"/>
      <c r="BW374" s="493" t="n"/>
      <c r="BX374" s="493" t="n"/>
      <c r="BY374" s="493" t="n"/>
      <c r="BZ374" s="493" t="n"/>
      <c r="CA374" s="493" t="n"/>
      <c r="CB374" s="493" t="n"/>
      <c r="CC374" s="493" t="n"/>
      <c r="CD374" s="493" t="n"/>
      <c r="CE374" s="493" t="n"/>
      <c r="CF374" s="493" t="n"/>
      <c r="CG374" s="493" t="n"/>
      <c r="CH374" s="493" t="n"/>
      <c r="CI374" s="493" t="n"/>
      <c r="CJ374" s="493" t="n"/>
      <c r="CK374" s="493" t="n"/>
      <c r="CL374" s="493" t="n"/>
    </row>
    <row r="375" customFormat="1" s="230">
      <c r="E375" s="234" t="n"/>
      <c r="F375" s="492" t="n"/>
      <c r="G375" s="492" t="n"/>
      <c r="H375" s="493" t="n"/>
      <c r="I375" s="492" t="n"/>
      <c r="J375" s="492" t="n"/>
      <c r="K375" s="492" t="n"/>
      <c r="L375" s="492" t="n"/>
      <c r="M375" s="493" t="n"/>
      <c r="N375" s="492" t="n"/>
      <c r="O375" s="492" t="n"/>
      <c r="P375" s="492" t="n"/>
      <c r="Q375" s="492" t="n"/>
      <c r="R375" s="492" t="n"/>
      <c r="S375" s="492" t="n"/>
      <c r="T375" s="492" t="n"/>
      <c r="U375" s="492" t="n"/>
      <c r="V375" s="492" t="n"/>
      <c r="W375" s="492" t="n"/>
      <c r="X375" s="492" t="n"/>
      <c r="Y375" s="492" t="n"/>
      <c r="Z375" s="492" t="n"/>
      <c r="AA375" s="492" t="n"/>
      <c r="AB375" s="492" t="n"/>
      <c r="AC375" s="492" t="n"/>
      <c r="AD375" s="492" t="n"/>
      <c r="AE375" s="493" t="n"/>
      <c r="AF375" s="492" t="n"/>
      <c r="AG375" s="492" t="n"/>
      <c r="AH375" s="492" t="n"/>
      <c r="AI375" s="492" t="n"/>
      <c r="AJ375" s="493" t="n"/>
      <c r="AK375" s="492" t="n"/>
      <c r="AL375" s="492" t="n"/>
      <c r="AM375" s="492" t="n"/>
      <c r="AN375" s="492" t="n"/>
      <c r="AO375" s="492" t="n"/>
      <c r="AP375" s="492" t="n"/>
      <c r="AQ375" s="492" t="n"/>
      <c r="AR375" s="492" t="n"/>
      <c r="AS375" s="492" t="n"/>
      <c r="AT375" s="492" t="n"/>
      <c r="AU375" s="493" t="n"/>
      <c r="AV375" s="492" t="n"/>
      <c r="AW375" s="492" t="n"/>
      <c r="AX375" s="492" t="n"/>
      <c r="AY375" s="492" t="n"/>
      <c r="AZ375" s="492" t="n"/>
      <c r="BA375" s="493" t="n"/>
      <c r="BB375" s="492" t="n"/>
      <c r="BC375" s="492" t="n"/>
      <c r="BD375" s="492" t="n"/>
      <c r="BE375" s="492" t="n"/>
      <c r="BF375" s="493" t="n"/>
      <c r="BG375" s="493" t="n"/>
      <c r="BH375" s="495" t="n"/>
      <c r="BI375" s="496" t="n"/>
      <c r="BJ375" s="496" t="n"/>
      <c r="BK375" s="496" t="n"/>
      <c r="BM375" s="493" t="n"/>
      <c r="BN375" s="493" t="n"/>
      <c r="BO375" s="493" t="n"/>
      <c r="BP375" s="493" t="n"/>
      <c r="BQ375" s="493" t="n"/>
      <c r="BR375" s="493" t="n"/>
      <c r="BS375" s="493" t="n"/>
      <c r="BT375" s="493" t="n"/>
      <c r="BU375" s="493" t="n"/>
      <c r="BV375" s="493" t="n"/>
      <c r="BW375" s="493" t="n"/>
      <c r="BX375" s="493" t="n"/>
      <c r="BY375" s="493" t="n"/>
      <c r="BZ375" s="493" t="n"/>
      <c r="CA375" s="493" t="n"/>
      <c r="CB375" s="493" t="n"/>
      <c r="CC375" s="493" t="n"/>
      <c r="CD375" s="493" t="n"/>
      <c r="CE375" s="493" t="n"/>
      <c r="CF375" s="493" t="n"/>
      <c r="CG375" s="493" t="n"/>
      <c r="CH375" s="493" t="n"/>
      <c r="CI375" s="493" t="n"/>
      <c r="CJ375" s="493" t="n"/>
      <c r="CK375" s="493" t="n"/>
      <c r="CL375" s="493" t="n"/>
    </row>
    <row r="376" customFormat="1" s="230">
      <c r="E376" s="234" t="n"/>
      <c r="F376" s="492" t="n"/>
      <c r="G376" s="492" t="n"/>
      <c r="H376" s="493" t="n"/>
      <c r="I376" s="492" t="n"/>
      <c r="J376" s="492" t="n"/>
      <c r="K376" s="492" t="n"/>
      <c r="L376" s="492" t="n"/>
      <c r="M376" s="493" t="n"/>
      <c r="N376" s="492" t="n"/>
      <c r="O376" s="492" t="n"/>
      <c r="P376" s="492" t="n"/>
      <c r="Q376" s="492" t="n"/>
      <c r="R376" s="492" t="n"/>
      <c r="S376" s="492" t="n"/>
      <c r="T376" s="492" t="n"/>
      <c r="U376" s="492" t="n"/>
      <c r="V376" s="492" t="n"/>
      <c r="W376" s="492" t="n"/>
      <c r="X376" s="492" t="n"/>
      <c r="Y376" s="492" t="n"/>
      <c r="Z376" s="492" t="n"/>
      <c r="AA376" s="492" t="n"/>
      <c r="AB376" s="492" t="n"/>
      <c r="AC376" s="492" t="n"/>
      <c r="AD376" s="492" t="n"/>
      <c r="AE376" s="493" t="n"/>
      <c r="AF376" s="492" t="n"/>
      <c r="AG376" s="492" t="n"/>
      <c r="AH376" s="492" t="n"/>
      <c r="AI376" s="492" t="n"/>
      <c r="AJ376" s="493" t="n"/>
      <c r="AK376" s="492" t="n"/>
      <c r="AL376" s="492" t="n"/>
      <c r="AM376" s="492" t="n"/>
      <c r="AN376" s="492" t="n"/>
      <c r="AO376" s="492" t="n"/>
      <c r="AP376" s="492" t="n"/>
      <c r="AQ376" s="492" t="n"/>
      <c r="AR376" s="492" t="n"/>
      <c r="AS376" s="492" t="n"/>
      <c r="AT376" s="492" t="n"/>
      <c r="AU376" s="493" t="n"/>
      <c r="AV376" s="492" t="n"/>
      <c r="AW376" s="492" t="n"/>
      <c r="AX376" s="492" t="n"/>
      <c r="AY376" s="492" t="n"/>
      <c r="AZ376" s="492" t="n"/>
      <c r="BA376" s="493" t="n"/>
      <c r="BB376" s="492" t="n"/>
      <c r="BC376" s="492" t="n"/>
      <c r="BD376" s="492" t="n"/>
      <c r="BE376" s="492" t="n"/>
      <c r="BF376" s="493" t="n"/>
      <c r="BG376" s="493" t="n"/>
      <c r="BH376" s="495" t="n"/>
      <c r="BI376" s="496" t="n"/>
      <c r="BJ376" s="496" t="n"/>
      <c r="BK376" s="496" t="n"/>
      <c r="BM376" s="493" t="n"/>
      <c r="BN376" s="493" t="n"/>
      <c r="BO376" s="493" t="n"/>
      <c r="BP376" s="493" t="n"/>
      <c r="BQ376" s="493" t="n"/>
      <c r="BR376" s="493" t="n"/>
      <c r="BS376" s="493" t="n"/>
      <c r="BT376" s="493" t="n"/>
      <c r="BU376" s="493" t="n"/>
      <c r="BV376" s="493" t="n"/>
      <c r="BW376" s="493" t="n"/>
      <c r="BX376" s="493" t="n"/>
      <c r="BY376" s="493" t="n"/>
      <c r="BZ376" s="493" t="n"/>
      <c r="CA376" s="493" t="n"/>
      <c r="CB376" s="493" t="n"/>
      <c r="CC376" s="493" t="n"/>
      <c r="CD376" s="493" t="n"/>
      <c r="CE376" s="493" t="n"/>
      <c r="CF376" s="493" t="n"/>
      <c r="CG376" s="493" t="n"/>
      <c r="CH376" s="493" t="n"/>
      <c r="CI376" s="493" t="n"/>
      <c r="CJ376" s="493" t="n"/>
      <c r="CK376" s="493" t="n"/>
      <c r="CL376" s="493" t="n"/>
    </row>
    <row r="377" customFormat="1" s="230">
      <c r="E377" s="234" t="n"/>
      <c r="F377" s="492" t="n"/>
      <c r="G377" s="492" t="n"/>
      <c r="H377" s="493" t="n"/>
      <c r="I377" s="492" t="n"/>
      <c r="J377" s="492" t="n"/>
      <c r="K377" s="492" t="n"/>
      <c r="L377" s="492" t="n"/>
      <c r="M377" s="493" t="n"/>
      <c r="N377" s="492" t="n"/>
      <c r="O377" s="492" t="n"/>
      <c r="P377" s="492" t="n"/>
      <c r="Q377" s="492" t="n"/>
      <c r="R377" s="492" t="n"/>
      <c r="S377" s="492" t="n"/>
      <c r="T377" s="492" t="n"/>
      <c r="U377" s="492" t="n"/>
      <c r="V377" s="492" t="n"/>
      <c r="W377" s="492" t="n"/>
      <c r="X377" s="492" t="n"/>
      <c r="Y377" s="492" t="n"/>
      <c r="Z377" s="492" t="n"/>
      <c r="AA377" s="492" t="n"/>
      <c r="AB377" s="492" t="n"/>
      <c r="AC377" s="492" t="n"/>
      <c r="AD377" s="492" t="n"/>
      <c r="AE377" s="493" t="n"/>
      <c r="AF377" s="492" t="n"/>
      <c r="AG377" s="492" t="n"/>
      <c r="AH377" s="492" t="n"/>
      <c r="AI377" s="492" t="n"/>
      <c r="AJ377" s="493" t="n"/>
      <c r="AK377" s="492" t="n"/>
      <c r="AL377" s="492" t="n"/>
      <c r="AM377" s="492" t="n"/>
      <c r="AN377" s="492" t="n"/>
      <c r="AO377" s="492" t="n"/>
      <c r="AP377" s="492" t="n"/>
      <c r="AQ377" s="492" t="n"/>
      <c r="AR377" s="492" t="n"/>
      <c r="AS377" s="492" t="n"/>
      <c r="AT377" s="492" t="n"/>
      <c r="AU377" s="493" t="n"/>
      <c r="AV377" s="492" t="n"/>
      <c r="AW377" s="492" t="n"/>
      <c r="AX377" s="492" t="n"/>
      <c r="AY377" s="492" t="n"/>
      <c r="AZ377" s="492" t="n"/>
      <c r="BA377" s="493" t="n"/>
      <c r="BB377" s="492" t="n"/>
      <c r="BC377" s="492" t="n"/>
      <c r="BD377" s="492" t="n"/>
      <c r="BE377" s="492" t="n"/>
      <c r="BF377" s="493" t="n"/>
      <c r="BG377" s="493" t="n"/>
      <c r="BH377" s="495" t="n"/>
      <c r="BI377" s="496" t="n"/>
      <c r="BJ377" s="496" t="n"/>
      <c r="BK377" s="496" t="n"/>
      <c r="BM377" s="493" t="n"/>
      <c r="BN377" s="493" t="n"/>
      <c r="BO377" s="493" t="n"/>
      <c r="BP377" s="493" t="n"/>
      <c r="BQ377" s="493" t="n"/>
      <c r="BR377" s="493" t="n"/>
      <c r="BS377" s="493" t="n"/>
      <c r="BT377" s="493" t="n"/>
      <c r="BU377" s="493" t="n"/>
      <c r="BV377" s="493" t="n"/>
      <c r="BW377" s="493" t="n"/>
      <c r="BX377" s="493" t="n"/>
      <c r="BY377" s="493" t="n"/>
      <c r="BZ377" s="493" t="n"/>
      <c r="CA377" s="493" t="n"/>
      <c r="CB377" s="493" t="n"/>
      <c r="CC377" s="493" t="n"/>
      <c r="CD377" s="493" t="n"/>
      <c r="CE377" s="493" t="n"/>
      <c r="CF377" s="493" t="n"/>
      <c r="CG377" s="493" t="n"/>
      <c r="CH377" s="493" t="n"/>
      <c r="CI377" s="493" t="n"/>
      <c r="CJ377" s="493" t="n"/>
      <c r="CK377" s="493" t="n"/>
      <c r="CL377" s="493" t="n"/>
    </row>
    <row r="378" customFormat="1" s="230">
      <c r="E378" s="234" t="n"/>
      <c r="F378" s="492" t="n"/>
      <c r="G378" s="492" t="n"/>
      <c r="H378" s="493" t="n"/>
      <c r="I378" s="492" t="n"/>
      <c r="J378" s="492" t="n"/>
      <c r="K378" s="492" t="n"/>
      <c r="L378" s="492" t="n"/>
      <c r="M378" s="493" t="n"/>
      <c r="N378" s="492" t="n"/>
      <c r="O378" s="492" t="n"/>
      <c r="P378" s="492" t="n"/>
      <c r="Q378" s="492" t="n"/>
      <c r="R378" s="492" t="n"/>
      <c r="S378" s="492" t="n"/>
      <c r="T378" s="492" t="n"/>
      <c r="U378" s="492" t="n"/>
      <c r="V378" s="492" t="n"/>
      <c r="W378" s="492" t="n"/>
      <c r="X378" s="492" t="n"/>
      <c r="Y378" s="492" t="n"/>
      <c r="Z378" s="492" t="n"/>
      <c r="AA378" s="492" t="n"/>
      <c r="AB378" s="492" t="n"/>
      <c r="AC378" s="492" t="n"/>
      <c r="AD378" s="492" t="n"/>
      <c r="AE378" s="493" t="n"/>
      <c r="AF378" s="492" t="n"/>
      <c r="AG378" s="492" t="n"/>
      <c r="AH378" s="492" t="n"/>
      <c r="AI378" s="492" t="n"/>
      <c r="AJ378" s="493" t="n"/>
      <c r="AK378" s="492" t="n"/>
      <c r="AL378" s="492" t="n"/>
      <c r="AM378" s="492" t="n"/>
      <c r="AN378" s="492" t="n"/>
      <c r="AO378" s="492" t="n"/>
      <c r="AP378" s="492" t="n"/>
      <c r="AQ378" s="492" t="n"/>
      <c r="AR378" s="492" t="n"/>
      <c r="AS378" s="492" t="n"/>
      <c r="AT378" s="492" t="n"/>
      <c r="AU378" s="493" t="n"/>
      <c r="AV378" s="492" t="n"/>
      <c r="AW378" s="492" t="n"/>
      <c r="AX378" s="492" t="n"/>
      <c r="AY378" s="492" t="n"/>
      <c r="AZ378" s="492" t="n"/>
      <c r="BA378" s="493" t="n"/>
      <c r="BB378" s="492" t="n"/>
      <c r="BC378" s="492" t="n"/>
      <c r="BD378" s="492" t="n"/>
      <c r="BE378" s="492" t="n"/>
      <c r="BF378" s="493" t="n"/>
      <c r="BG378" s="493" t="n"/>
      <c r="BH378" s="495" t="n"/>
      <c r="BI378" s="496" t="n"/>
      <c r="BJ378" s="496" t="n"/>
      <c r="BK378" s="496" t="n"/>
      <c r="BM378" s="493" t="n"/>
      <c r="BN378" s="493" t="n"/>
      <c r="BO378" s="493" t="n"/>
      <c r="BP378" s="493" t="n"/>
      <c r="BQ378" s="493" t="n"/>
      <c r="BR378" s="493" t="n"/>
      <c r="BS378" s="493" t="n"/>
      <c r="BT378" s="493" t="n"/>
      <c r="BU378" s="493" t="n"/>
      <c r="BV378" s="493" t="n"/>
      <c r="BW378" s="493" t="n"/>
      <c r="BX378" s="493" t="n"/>
      <c r="BY378" s="493" t="n"/>
      <c r="BZ378" s="493" t="n"/>
      <c r="CA378" s="493" t="n"/>
      <c r="CB378" s="493" t="n"/>
      <c r="CC378" s="493" t="n"/>
      <c r="CD378" s="493" t="n"/>
      <c r="CE378" s="493" t="n"/>
      <c r="CF378" s="493" t="n"/>
      <c r="CG378" s="493" t="n"/>
      <c r="CH378" s="493" t="n"/>
      <c r="CI378" s="493" t="n"/>
      <c r="CJ378" s="493" t="n"/>
      <c r="CK378" s="493" t="n"/>
      <c r="CL378" s="493" t="n"/>
    </row>
    <row r="379" customFormat="1" s="230">
      <c r="E379" s="234" t="n"/>
      <c r="F379" s="492" t="n"/>
      <c r="G379" s="492" t="n"/>
      <c r="H379" s="493" t="n"/>
      <c r="I379" s="492" t="n"/>
      <c r="J379" s="492" t="n"/>
      <c r="K379" s="492" t="n"/>
      <c r="L379" s="492" t="n"/>
      <c r="M379" s="493" t="n"/>
      <c r="N379" s="492" t="n"/>
      <c r="O379" s="492" t="n"/>
      <c r="P379" s="492" t="n"/>
      <c r="Q379" s="492" t="n"/>
      <c r="R379" s="492" t="n"/>
      <c r="S379" s="492" t="n"/>
      <c r="T379" s="492" t="n"/>
      <c r="U379" s="492" t="n"/>
      <c r="V379" s="492" t="n"/>
      <c r="W379" s="492" t="n"/>
      <c r="X379" s="492" t="n"/>
      <c r="Y379" s="492" t="n"/>
      <c r="Z379" s="492" t="n"/>
      <c r="AA379" s="492" t="n"/>
      <c r="AB379" s="492" t="n"/>
      <c r="AC379" s="492" t="n"/>
      <c r="AD379" s="492" t="n"/>
      <c r="AE379" s="493" t="n"/>
      <c r="AF379" s="492" t="n"/>
      <c r="AG379" s="492" t="n"/>
      <c r="AH379" s="492" t="n"/>
      <c r="AI379" s="492" t="n"/>
      <c r="AJ379" s="493" t="n"/>
      <c r="AK379" s="492" t="n"/>
      <c r="AL379" s="492" t="n"/>
      <c r="AM379" s="492" t="n"/>
      <c r="AN379" s="492" t="n"/>
      <c r="AO379" s="492" t="n"/>
      <c r="AP379" s="492" t="n"/>
      <c r="AQ379" s="492" t="n"/>
      <c r="AR379" s="492" t="n"/>
      <c r="AS379" s="492" t="n"/>
      <c r="AT379" s="492" t="n"/>
      <c r="AU379" s="493" t="n"/>
      <c r="AV379" s="492" t="n"/>
      <c r="AW379" s="492" t="n"/>
      <c r="AX379" s="492" t="n"/>
      <c r="AY379" s="492" t="n"/>
      <c r="AZ379" s="492" t="n"/>
      <c r="BA379" s="493" t="n"/>
      <c r="BB379" s="492" t="n"/>
      <c r="BC379" s="492" t="n"/>
      <c r="BD379" s="492" t="n"/>
      <c r="BE379" s="492" t="n"/>
      <c r="BF379" s="493" t="n"/>
      <c r="BG379" s="493" t="n"/>
      <c r="BH379" s="495" t="n"/>
      <c r="BI379" s="496" t="n"/>
      <c r="BJ379" s="496" t="n"/>
      <c r="BK379" s="496" t="n"/>
      <c r="BM379" s="493" t="n"/>
      <c r="BN379" s="493" t="n"/>
      <c r="BO379" s="493" t="n"/>
      <c r="BP379" s="493" t="n"/>
      <c r="BQ379" s="493" t="n"/>
      <c r="BR379" s="493" t="n"/>
      <c r="BS379" s="493" t="n"/>
      <c r="BT379" s="493" t="n"/>
      <c r="BU379" s="493" t="n"/>
      <c r="BV379" s="493" t="n"/>
      <c r="BW379" s="493" t="n"/>
      <c r="BX379" s="493" t="n"/>
      <c r="BY379" s="493" t="n"/>
      <c r="BZ379" s="493" t="n"/>
      <c r="CA379" s="493" t="n"/>
      <c r="CB379" s="493" t="n"/>
      <c r="CC379" s="493" t="n"/>
      <c r="CD379" s="493" t="n"/>
      <c r="CE379" s="493" t="n"/>
      <c r="CF379" s="493" t="n"/>
      <c r="CG379" s="493" t="n"/>
      <c r="CH379" s="493" t="n"/>
      <c r="CI379" s="493" t="n"/>
      <c r="CJ379" s="493" t="n"/>
      <c r="CK379" s="493" t="n"/>
      <c r="CL379" s="493" t="n"/>
    </row>
    <row r="380" customFormat="1" s="230">
      <c r="E380" s="234" t="n"/>
      <c r="F380" s="492" t="n"/>
      <c r="G380" s="492" t="n"/>
      <c r="H380" s="493" t="n"/>
      <c r="I380" s="492" t="n"/>
      <c r="J380" s="492" t="n"/>
      <c r="K380" s="492" t="n"/>
      <c r="L380" s="492" t="n"/>
      <c r="M380" s="493" t="n"/>
      <c r="N380" s="492" t="n"/>
      <c r="O380" s="492" t="n"/>
      <c r="P380" s="492" t="n"/>
      <c r="Q380" s="492" t="n"/>
      <c r="R380" s="492" t="n"/>
      <c r="S380" s="492" t="n"/>
      <c r="T380" s="492" t="n"/>
      <c r="U380" s="492" t="n"/>
      <c r="V380" s="492" t="n"/>
      <c r="W380" s="492" t="n"/>
      <c r="X380" s="492" t="n"/>
      <c r="Y380" s="492" t="n"/>
      <c r="Z380" s="492" t="n"/>
      <c r="AA380" s="492" t="n"/>
      <c r="AB380" s="492" t="n"/>
      <c r="AC380" s="492" t="n"/>
      <c r="AD380" s="492" t="n"/>
      <c r="AE380" s="493" t="n"/>
      <c r="AF380" s="492" t="n"/>
      <c r="AG380" s="492" t="n"/>
      <c r="AH380" s="492" t="n"/>
      <c r="AI380" s="492" t="n"/>
      <c r="AJ380" s="493" t="n"/>
      <c r="AK380" s="492" t="n"/>
      <c r="AL380" s="492" t="n"/>
      <c r="AM380" s="492" t="n"/>
      <c r="AN380" s="492" t="n"/>
      <c r="AO380" s="492" t="n"/>
      <c r="AP380" s="492" t="n"/>
      <c r="AQ380" s="492" t="n"/>
      <c r="AR380" s="492" t="n"/>
      <c r="AS380" s="492" t="n"/>
      <c r="AT380" s="492" t="n"/>
      <c r="AU380" s="493" t="n"/>
      <c r="AV380" s="492" t="n"/>
      <c r="AW380" s="492" t="n"/>
      <c r="AX380" s="492" t="n"/>
      <c r="AY380" s="492" t="n"/>
      <c r="AZ380" s="492" t="n"/>
      <c r="BA380" s="493" t="n"/>
      <c r="BB380" s="492" t="n"/>
      <c r="BC380" s="492" t="n"/>
      <c r="BD380" s="492" t="n"/>
      <c r="BE380" s="492" t="n"/>
      <c r="BF380" s="493" t="n"/>
      <c r="BG380" s="493" t="n"/>
      <c r="BH380" s="495" t="n"/>
      <c r="BI380" s="496" t="n"/>
      <c r="BJ380" s="496" t="n"/>
      <c r="BK380" s="496" t="n"/>
      <c r="BM380" s="493" t="n"/>
      <c r="BN380" s="493" t="n"/>
      <c r="BO380" s="493" t="n"/>
      <c r="BP380" s="493" t="n"/>
      <c r="BQ380" s="493" t="n"/>
      <c r="BR380" s="493" t="n"/>
      <c r="BS380" s="493" t="n"/>
      <c r="BT380" s="493" t="n"/>
      <c r="BU380" s="493" t="n"/>
      <c r="BV380" s="493" t="n"/>
      <c r="BW380" s="493" t="n"/>
      <c r="BX380" s="493" t="n"/>
      <c r="BY380" s="493" t="n"/>
      <c r="BZ380" s="493" t="n"/>
      <c r="CA380" s="493" t="n"/>
      <c r="CB380" s="493" t="n"/>
      <c r="CC380" s="493" t="n"/>
      <c r="CD380" s="493" t="n"/>
      <c r="CE380" s="493" t="n"/>
      <c r="CF380" s="493" t="n"/>
      <c r="CG380" s="493" t="n"/>
      <c r="CH380" s="493" t="n"/>
      <c r="CI380" s="493" t="n"/>
      <c r="CJ380" s="493" t="n"/>
      <c r="CK380" s="493" t="n"/>
      <c r="CL380" s="493" t="n"/>
    </row>
    <row r="381" customFormat="1" s="230">
      <c r="E381" s="234" t="n"/>
      <c r="F381" s="492" t="n"/>
      <c r="G381" s="492" t="n"/>
      <c r="H381" s="493" t="n"/>
      <c r="I381" s="492" t="n"/>
      <c r="J381" s="492" t="n"/>
      <c r="K381" s="492" t="n"/>
      <c r="L381" s="492" t="n"/>
      <c r="M381" s="493" t="n"/>
      <c r="N381" s="492" t="n"/>
      <c r="O381" s="492" t="n"/>
      <c r="P381" s="492" t="n"/>
      <c r="Q381" s="492" t="n"/>
      <c r="R381" s="492" t="n"/>
      <c r="S381" s="492" t="n"/>
      <c r="T381" s="492" t="n"/>
      <c r="U381" s="492" t="n"/>
      <c r="V381" s="492" t="n"/>
      <c r="W381" s="492" t="n"/>
      <c r="X381" s="492" t="n"/>
      <c r="Y381" s="492" t="n"/>
      <c r="Z381" s="492" t="n"/>
      <c r="AA381" s="492" t="n"/>
      <c r="AB381" s="492" t="n"/>
      <c r="AC381" s="492" t="n"/>
      <c r="AD381" s="492" t="n"/>
      <c r="AE381" s="493" t="n"/>
      <c r="AF381" s="492" t="n"/>
      <c r="AG381" s="492" t="n"/>
      <c r="AH381" s="492" t="n"/>
      <c r="AI381" s="492" t="n"/>
      <c r="AJ381" s="493" t="n"/>
      <c r="AK381" s="492" t="n"/>
      <c r="AL381" s="492" t="n"/>
      <c r="AM381" s="492" t="n"/>
      <c r="AN381" s="492" t="n"/>
      <c r="AO381" s="492" t="n"/>
      <c r="AP381" s="492" t="n"/>
      <c r="AQ381" s="492" t="n"/>
      <c r="AR381" s="492" t="n"/>
      <c r="AS381" s="492" t="n"/>
      <c r="AT381" s="492" t="n"/>
      <c r="AU381" s="493" t="n"/>
      <c r="AV381" s="492" t="n"/>
      <c r="AW381" s="492" t="n"/>
      <c r="AX381" s="492" t="n"/>
      <c r="AY381" s="492" t="n"/>
      <c r="AZ381" s="492" t="n"/>
      <c r="BA381" s="493" t="n"/>
      <c r="BB381" s="492" t="n"/>
      <c r="BC381" s="492" t="n"/>
      <c r="BD381" s="492" t="n"/>
      <c r="BE381" s="492" t="n"/>
      <c r="BF381" s="493" t="n"/>
      <c r="BG381" s="493" t="n"/>
      <c r="BH381" s="495" t="n"/>
      <c r="BI381" s="496" t="n"/>
      <c r="BJ381" s="496" t="n"/>
      <c r="BK381" s="496" t="n"/>
      <c r="BM381" s="493" t="n"/>
      <c r="BN381" s="493" t="n"/>
      <c r="BO381" s="493" t="n"/>
      <c r="BP381" s="493" t="n"/>
      <c r="BQ381" s="493" t="n"/>
      <c r="BR381" s="493" t="n"/>
      <c r="BS381" s="493" t="n"/>
      <c r="BT381" s="493" t="n"/>
      <c r="BU381" s="493" t="n"/>
      <c r="BV381" s="493" t="n"/>
      <c r="BW381" s="493" t="n"/>
      <c r="BX381" s="493" t="n"/>
      <c r="BY381" s="493" t="n"/>
      <c r="BZ381" s="493" t="n"/>
      <c r="CA381" s="493" t="n"/>
      <c r="CB381" s="493" t="n"/>
      <c r="CC381" s="493" t="n"/>
      <c r="CD381" s="493" t="n"/>
      <c r="CE381" s="493" t="n"/>
      <c r="CF381" s="493" t="n"/>
      <c r="CG381" s="493" t="n"/>
      <c r="CH381" s="493" t="n"/>
      <c r="CI381" s="493" t="n"/>
      <c r="CJ381" s="493" t="n"/>
      <c r="CK381" s="493" t="n"/>
      <c r="CL381" s="493" t="n"/>
    </row>
    <row r="382" customFormat="1" s="230">
      <c r="E382" s="234" t="n"/>
      <c r="F382" s="492" t="n"/>
      <c r="G382" s="492" t="n"/>
      <c r="H382" s="493" t="n"/>
      <c r="I382" s="492" t="n"/>
      <c r="J382" s="492" t="n"/>
      <c r="K382" s="492" t="n"/>
      <c r="L382" s="492" t="n"/>
      <c r="M382" s="493" t="n"/>
      <c r="N382" s="492" t="n"/>
      <c r="O382" s="492" t="n"/>
      <c r="P382" s="492" t="n"/>
      <c r="Q382" s="492" t="n"/>
      <c r="R382" s="492" t="n"/>
      <c r="S382" s="492" t="n"/>
      <c r="T382" s="492" t="n"/>
      <c r="U382" s="492" t="n"/>
      <c r="V382" s="492" t="n"/>
      <c r="W382" s="492" t="n"/>
      <c r="X382" s="492" t="n"/>
      <c r="Y382" s="492" t="n"/>
      <c r="Z382" s="492" t="n"/>
      <c r="AA382" s="492" t="n"/>
      <c r="AB382" s="492" t="n"/>
      <c r="AC382" s="492" t="n"/>
      <c r="AD382" s="492" t="n"/>
      <c r="AE382" s="493" t="n"/>
      <c r="AF382" s="492" t="n"/>
      <c r="AG382" s="492" t="n"/>
      <c r="AH382" s="492" t="n"/>
      <c r="AI382" s="492" t="n"/>
      <c r="AJ382" s="493" t="n"/>
      <c r="AK382" s="492" t="n"/>
      <c r="AL382" s="492" t="n"/>
      <c r="AM382" s="492" t="n"/>
      <c r="AN382" s="492" t="n"/>
      <c r="AO382" s="492" t="n"/>
      <c r="AP382" s="492" t="n"/>
      <c r="AQ382" s="492" t="n"/>
      <c r="AR382" s="492" t="n"/>
      <c r="AS382" s="492" t="n"/>
      <c r="AT382" s="492" t="n"/>
      <c r="AU382" s="493" t="n"/>
      <c r="AV382" s="492" t="n"/>
      <c r="AW382" s="492" t="n"/>
      <c r="AX382" s="492" t="n"/>
      <c r="AY382" s="492" t="n"/>
      <c r="AZ382" s="492" t="n"/>
      <c r="BA382" s="493" t="n"/>
      <c r="BB382" s="492" t="n"/>
      <c r="BC382" s="492" t="n"/>
      <c r="BD382" s="492" t="n"/>
      <c r="BE382" s="492" t="n"/>
      <c r="BF382" s="493" t="n"/>
      <c r="BG382" s="493" t="n"/>
      <c r="BH382" s="495" t="n"/>
      <c r="BI382" s="496" t="n"/>
      <c r="BJ382" s="496" t="n"/>
      <c r="BK382" s="496" t="n"/>
      <c r="BM382" s="493" t="n"/>
      <c r="BN382" s="493" t="n"/>
      <c r="BO382" s="493" t="n"/>
      <c r="BP382" s="493" t="n"/>
      <c r="BQ382" s="493" t="n"/>
      <c r="BR382" s="493" t="n"/>
      <c r="BS382" s="493" t="n"/>
      <c r="BT382" s="493" t="n"/>
      <c r="BU382" s="493" t="n"/>
      <c r="BV382" s="493" t="n"/>
      <c r="BW382" s="493" t="n"/>
      <c r="BX382" s="493" t="n"/>
      <c r="BY382" s="493" t="n"/>
      <c r="BZ382" s="493" t="n"/>
      <c r="CA382" s="493" t="n"/>
      <c r="CB382" s="493" t="n"/>
      <c r="CC382" s="493" t="n"/>
      <c r="CD382" s="493" t="n"/>
      <c r="CE382" s="493" t="n"/>
      <c r="CF382" s="493" t="n"/>
      <c r="CG382" s="493" t="n"/>
      <c r="CH382" s="493" t="n"/>
      <c r="CI382" s="493" t="n"/>
      <c r="CJ382" s="493" t="n"/>
      <c r="CK382" s="493" t="n"/>
      <c r="CL382" s="493" t="n"/>
    </row>
    <row r="383" customFormat="1" s="230">
      <c r="E383" s="234" t="n"/>
      <c r="F383" s="492" t="n"/>
      <c r="G383" s="492" t="n"/>
      <c r="H383" s="493" t="n"/>
      <c r="I383" s="492" t="n"/>
      <c r="J383" s="492" t="n"/>
      <c r="K383" s="492" t="n"/>
      <c r="L383" s="492" t="n"/>
      <c r="M383" s="493" t="n"/>
      <c r="N383" s="492" t="n"/>
      <c r="O383" s="492" t="n"/>
      <c r="P383" s="492" t="n"/>
      <c r="Q383" s="492" t="n"/>
      <c r="R383" s="492" t="n"/>
      <c r="S383" s="492" t="n"/>
      <c r="T383" s="492" t="n"/>
      <c r="U383" s="492" t="n"/>
      <c r="V383" s="492" t="n"/>
      <c r="W383" s="492" t="n"/>
      <c r="X383" s="492" t="n"/>
      <c r="Y383" s="492" t="n"/>
      <c r="Z383" s="492" t="n"/>
      <c r="AA383" s="492" t="n"/>
      <c r="AB383" s="492" t="n"/>
      <c r="AC383" s="492" t="n"/>
      <c r="AD383" s="492" t="n"/>
      <c r="AE383" s="493" t="n"/>
      <c r="AF383" s="492" t="n"/>
      <c r="AG383" s="492" t="n"/>
      <c r="AH383" s="492" t="n"/>
      <c r="AI383" s="492" t="n"/>
      <c r="AJ383" s="493" t="n"/>
      <c r="AK383" s="492" t="n"/>
      <c r="AL383" s="492" t="n"/>
      <c r="AM383" s="492" t="n"/>
      <c r="AN383" s="492" t="n"/>
      <c r="AO383" s="492" t="n"/>
      <c r="AP383" s="492" t="n"/>
      <c r="AQ383" s="492" t="n"/>
      <c r="AR383" s="492" t="n"/>
      <c r="AS383" s="492" t="n"/>
      <c r="AT383" s="492" t="n"/>
      <c r="AU383" s="493" t="n"/>
      <c r="AV383" s="492" t="n"/>
      <c r="AW383" s="492" t="n"/>
      <c r="AX383" s="492" t="n"/>
      <c r="AY383" s="492" t="n"/>
      <c r="AZ383" s="492" t="n"/>
      <c r="BA383" s="493" t="n"/>
      <c r="BB383" s="492" t="n"/>
      <c r="BC383" s="492" t="n"/>
      <c r="BD383" s="492" t="n"/>
      <c r="BE383" s="492" t="n"/>
      <c r="BF383" s="493" t="n"/>
      <c r="BG383" s="493" t="n"/>
      <c r="BH383" s="495" t="n"/>
      <c r="BI383" s="496" t="n"/>
      <c r="BJ383" s="496" t="n"/>
      <c r="BK383" s="496" t="n"/>
      <c r="BM383" s="493" t="n"/>
      <c r="BN383" s="493" t="n"/>
      <c r="BO383" s="493" t="n"/>
      <c r="BP383" s="493" t="n"/>
      <c r="BQ383" s="493" t="n"/>
      <c r="BR383" s="493" t="n"/>
      <c r="BS383" s="493" t="n"/>
      <c r="BT383" s="493" t="n"/>
      <c r="BU383" s="493" t="n"/>
      <c r="BV383" s="493" t="n"/>
      <c r="BW383" s="493" t="n"/>
      <c r="BX383" s="493" t="n"/>
      <c r="BY383" s="493" t="n"/>
      <c r="BZ383" s="493" t="n"/>
      <c r="CA383" s="493" t="n"/>
      <c r="CB383" s="493" t="n"/>
      <c r="CC383" s="493" t="n"/>
      <c r="CD383" s="493" t="n"/>
      <c r="CE383" s="493" t="n"/>
      <c r="CF383" s="493" t="n"/>
      <c r="CG383" s="493" t="n"/>
      <c r="CH383" s="493" t="n"/>
      <c r="CI383" s="493" t="n"/>
      <c r="CJ383" s="493" t="n"/>
      <c r="CK383" s="493" t="n"/>
      <c r="CL383" s="493" t="n"/>
    </row>
    <row r="384" customFormat="1" s="230">
      <c r="E384" s="234" t="n"/>
      <c r="F384" s="492" t="n"/>
      <c r="G384" s="492" t="n"/>
      <c r="H384" s="493" t="n"/>
      <c r="I384" s="492" t="n"/>
      <c r="J384" s="492" t="n"/>
      <c r="K384" s="492" t="n"/>
      <c r="L384" s="492" t="n"/>
      <c r="M384" s="493" t="n"/>
      <c r="N384" s="492" t="n"/>
      <c r="O384" s="492" t="n"/>
      <c r="P384" s="492" t="n"/>
      <c r="Q384" s="492" t="n"/>
      <c r="R384" s="492" t="n"/>
      <c r="S384" s="492" t="n"/>
      <c r="T384" s="492" t="n"/>
      <c r="U384" s="492" t="n"/>
      <c r="V384" s="492" t="n"/>
      <c r="W384" s="492" t="n"/>
      <c r="X384" s="492" t="n"/>
      <c r="Y384" s="492" t="n"/>
      <c r="Z384" s="492" t="n"/>
      <c r="AA384" s="492" t="n"/>
      <c r="AB384" s="492" t="n"/>
      <c r="AC384" s="492" t="n"/>
      <c r="AD384" s="492" t="n"/>
      <c r="AE384" s="493" t="n"/>
      <c r="AF384" s="492" t="n"/>
      <c r="AG384" s="492" t="n"/>
      <c r="AH384" s="492" t="n"/>
      <c r="AI384" s="492" t="n"/>
      <c r="AJ384" s="493" t="n"/>
      <c r="AK384" s="492" t="n"/>
      <c r="AL384" s="492" t="n"/>
      <c r="AM384" s="492" t="n"/>
      <c r="AN384" s="492" t="n"/>
      <c r="AO384" s="492" t="n"/>
      <c r="AP384" s="492" t="n"/>
      <c r="AQ384" s="492" t="n"/>
      <c r="AR384" s="492" t="n"/>
      <c r="AS384" s="492" t="n"/>
      <c r="AT384" s="492" t="n"/>
      <c r="AU384" s="493" t="n"/>
      <c r="AV384" s="492" t="n"/>
      <c r="AW384" s="492" t="n"/>
      <c r="AX384" s="492" t="n"/>
      <c r="AY384" s="492" t="n"/>
      <c r="AZ384" s="492" t="n"/>
      <c r="BA384" s="493" t="n"/>
      <c r="BB384" s="492" t="n"/>
      <c r="BC384" s="492" t="n"/>
      <c r="BD384" s="492" t="n"/>
      <c r="BE384" s="492" t="n"/>
      <c r="BF384" s="493" t="n"/>
      <c r="BG384" s="493" t="n"/>
      <c r="BH384" s="495" t="n"/>
      <c r="BI384" s="496" t="n"/>
      <c r="BJ384" s="496" t="n"/>
      <c r="BK384" s="496" t="n"/>
      <c r="BM384" s="493" t="n"/>
      <c r="BN384" s="493" t="n"/>
      <c r="BO384" s="493" t="n"/>
      <c r="BP384" s="493" t="n"/>
      <c r="BQ384" s="493" t="n"/>
      <c r="BR384" s="493" t="n"/>
      <c r="BS384" s="493" t="n"/>
      <c r="BT384" s="493" t="n"/>
      <c r="BU384" s="493" t="n"/>
      <c r="BV384" s="493" t="n"/>
      <c r="BW384" s="493" t="n"/>
      <c r="BX384" s="493" t="n"/>
      <c r="BY384" s="493" t="n"/>
      <c r="BZ384" s="493" t="n"/>
      <c r="CA384" s="493" t="n"/>
      <c r="CB384" s="493" t="n"/>
      <c r="CC384" s="493" t="n"/>
      <c r="CD384" s="493" t="n"/>
      <c r="CE384" s="493" t="n"/>
      <c r="CF384" s="493" t="n"/>
      <c r="CG384" s="493" t="n"/>
      <c r="CH384" s="493" t="n"/>
      <c r="CI384" s="493" t="n"/>
      <c r="CJ384" s="493" t="n"/>
      <c r="CK384" s="493" t="n"/>
      <c r="CL384" s="493" t="n"/>
    </row>
    <row r="385" customFormat="1" s="230">
      <c r="E385" s="234" t="n"/>
      <c r="F385" s="492" t="n"/>
      <c r="G385" s="492" t="n"/>
      <c r="H385" s="493" t="n"/>
      <c r="I385" s="492" t="n"/>
      <c r="J385" s="492" t="n"/>
      <c r="K385" s="492" t="n"/>
      <c r="L385" s="492" t="n"/>
      <c r="M385" s="493" t="n"/>
      <c r="N385" s="492" t="n"/>
      <c r="O385" s="492" t="n"/>
      <c r="P385" s="492" t="n"/>
      <c r="Q385" s="492" t="n"/>
      <c r="R385" s="492" t="n"/>
      <c r="S385" s="492" t="n"/>
      <c r="T385" s="492" t="n"/>
      <c r="U385" s="492" t="n"/>
      <c r="V385" s="492" t="n"/>
      <c r="W385" s="492" t="n"/>
      <c r="X385" s="492" t="n"/>
      <c r="Y385" s="492" t="n"/>
      <c r="Z385" s="492" t="n"/>
      <c r="AA385" s="492" t="n"/>
      <c r="AB385" s="492" t="n"/>
      <c r="AC385" s="492" t="n"/>
      <c r="AD385" s="492" t="n"/>
      <c r="AE385" s="493" t="n"/>
      <c r="AF385" s="492" t="n"/>
      <c r="AG385" s="492" t="n"/>
      <c r="AH385" s="492" t="n"/>
      <c r="AI385" s="492" t="n"/>
      <c r="AJ385" s="493" t="n"/>
      <c r="AK385" s="492" t="n"/>
      <c r="AL385" s="492" t="n"/>
      <c r="AM385" s="492" t="n"/>
      <c r="AN385" s="492" t="n"/>
      <c r="AO385" s="492" t="n"/>
      <c r="AP385" s="492" t="n"/>
      <c r="AQ385" s="492" t="n"/>
      <c r="AR385" s="492" t="n"/>
      <c r="AS385" s="492" t="n"/>
      <c r="AT385" s="492" t="n"/>
      <c r="AU385" s="493" t="n"/>
      <c r="AV385" s="492" t="n"/>
      <c r="AW385" s="492" t="n"/>
      <c r="AX385" s="492" t="n"/>
      <c r="AY385" s="492" t="n"/>
      <c r="AZ385" s="492" t="n"/>
      <c r="BA385" s="493" t="n"/>
      <c r="BB385" s="492" t="n"/>
      <c r="BC385" s="492" t="n"/>
      <c r="BD385" s="492" t="n"/>
      <c r="BE385" s="492" t="n"/>
      <c r="BF385" s="493" t="n"/>
      <c r="BG385" s="493" t="n"/>
      <c r="BH385" s="495" t="n"/>
      <c r="BI385" s="496" t="n"/>
      <c r="BJ385" s="496" t="n"/>
      <c r="BK385" s="496" t="n"/>
      <c r="BM385" s="493" t="n"/>
      <c r="BN385" s="493" t="n"/>
      <c r="BO385" s="493" t="n"/>
      <c r="BP385" s="493" t="n"/>
      <c r="BQ385" s="493" t="n"/>
      <c r="BR385" s="493" t="n"/>
      <c r="BS385" s="493" t="n"/>
      <c r="BT385" s="493" t="n"/>
      <c r="BU385" s="493" t="n"/>
      <c r="BV385" s="493" t="n"/>
      <c r="BW385" s="493" t="n"/>
      <c r="BX385" s="493" t="n"/>
      <c r="BY385" s="493" t="n"/>
      <c r="BZ385" s="493" t="n"/>
      <c r="CA385" s="493" t="n"/>
      <c r="CB385" s="493" t="n"/>
      <c r="CC385" s="493" t="n"/>
      <c r="CD385" s="493" t="n"/>
      <c r="CE385" s="493" t="n"/>
      <c r="CF385" s="493" t="n"/>
      <c r="CG385" s="493" t="n"/>
      <c r="CH385" s="493" t="n"/>
      <c r="CI385" s="493" t="n"/>
      <c r="CJ385" s="493" t="n"/>
      <c r="CK385" s="493" t="n"/>
      <c r="CL385" s="493" t="n"/>
    </row>
    <row r="386" customFormat="1" s="230">
      <c r="E386" s="234" t="n"/>
      <c r="F386" s="492" t="n"/>
      <c r="G386" s="492" t="n"/>
      <c r="H386" s="493" t="n"/>
      <c r="I386" s="492" t="n"/>
      <c r="J386" s="492" t="n"/>
      <c r="K386" s="492" t="n"/>
      <c r="L386" s="492" t="n"/>
      <c r="M386" s="493" t="n"/>
      <c r="N386" s="492" t="n"/>
      <c r="O386" s="492" t="n"/>
      <c r="P386" s="492" t="n"/>
      <c r="Q386" s="492" t="n"/>
      <c r="R386" s="492" t="n"/>
      <c r="S386" s="492" t="n"/>
      <c r="T386" s="492" t="n"/>
      <c r="U386" s="492" t="n"/>
      <c r="V386" s="492" t="n"/>
      <c r="W386" s="492" t="n"/>
      <c r="X386" s="492" t="n"/>
      <c r="Y386" s="492" t="n"/>
      <c r="Z386" s="492" t="n"/>
      <c r="AA386" s="492" t="n"/>
      <c r="AB386" s="492" t="n"/>
      <c r="AC386" s="492" t="n"/>
      <c r="AD386" s="492" t="n"/>
      <c r="AE386" s="493" t="n"/>
      <c r="AF386" s="492" t="n"/>
      <c r="AG386" s="492" t="n"/>
      <c r="AH386" s="492" t="n"/>
      <c r="AI386" s="492" t="n"/>
      <c r="AJ386" s="493" t="n"/>
      <c r="AK386" s="492" t="n"/>
      <c r="AL386" s="492" t="n"/>
      <c r="AM386" s="492" t="n"/>
      <c r="AN386" s="492" t="n"/>
      <c r="AO386" s="492" t="n"/>
      <c r="AP386" s="492" t="n"/>
      <c r="AQ386" s="492" t="n"/>
      <c r="AR386" s="492" t="n"/>
      <c r="AS386" s="492" t="n"/>
      <c r="AT386" s="492" t="n"/>
      <c r="AU386" s="493" t="n"/>
      <c r="AV386" s="492" t="n"/>
      <c r="AW386" s="492" t="n"/>
      <c r="AX386" s="492" t="n"/>
      <c r="AY386" s="492" t="n"/>
      <c r="AZ386" s="492" t="n"/>
      <c r="BA386" s="493" t="n"/>
      <c r="BB386" s="492" t="n"/>
      <c r="BC386" s="492" t="n"/>
      <c r="BD386" s="492" t="n"/>
      <c r="BE386" s="492" t="n"/>
      <c r="BF386" s="493" t="n"/>
      <c r="BG386" s="493" t="n"/>
      <c r="BH386" s="495" t="n"/>
      <c r="BI386" s="496" t="n"/>
      <c r="BJ386" s="496" t="n"/>
      <c r="BK386" s="496" t="n"/>
      <c r="BM386" s="493" t="n"/>
      <c r="BN386" s="493" t="n"/>
      <c r="BO386" s="493" t="n"/>
      <c r="BP386" s="493" t="n"/>
      <c r="BQ386" s="493" t="n"/>
      <c r="BR386" s="493" t="n"/>
      <c r="BS386" s="493" t="n"/>
      <c r="BT386" s="493" t="n"/>
      <c r="BU386" s="493" t="n"/>
      <c r="BV386" s="493" t="n"/>
      <c r="BW386" s="493" t="n"/>
      <c r="BX386" s="493" t="n"/>
      <c r="BY386" s="493" t="n"/>
      <c r="BZ386" s="493" t="n"/>
      <c r="CA386" s="493" t="n"/>
      <c r="CB386" s="493" t="n"/>
      <c r="CC386" s="493" t="n"/>
      <c r="CD386" s="493" t="n"/>
      <c r="CE386" s="493" t="n"/>
      <c r="CF386" s="493" t="n"/>
      <c r="CG386" s="493" t="n"/>
      <c r="CH386" s="493" t="n"/>
      <c r="CI386" s="493" t="n"/>
      <c r="CJ386" s="493" t="n"/>
      <c r="CK386" s="493" t="n"/>
      <c r="CL386" s="493" t="n"/>
    </row>
    <row r="387" customFormat="1" s="230">
      <c r="E387" s="234" t="n"/>
      <c r="F387" s="492" t="n"/>
      <c r="G387" s="492" t="n"/>
      <c r="H387" s="493" t="n"/>
      <c r="I387" s="492" t="n"/>
      <c r="J387" s="492" t="n"/>
      <c r="K387" s="492" t="n"/>
      <c r="L387" s="492" t="n"/>
      <c r="M387" s="493" t="n"/>
      <c r="N387" s="492" t="n"/>
      <c r="O387" s="492" t="n"/>
      <c r="P387" s="492" t="n"/>
      <c r="Q387" s="492" t="n"/>
      <c r="R387" s="492" t="n"/>
      <c r="S387" s="492" t="n"/>
      <c r="T387" s="492" t="n"/>
      <c r="U387" s="492" t="n"/>
      <c r="V387" s="492" t="n"/>
      <c r="W387" s="492" t="n"/>
      <c r="X387" s="492" t="n"/>
      <c r="Y387" s="492" t="n"/>
      <c r="Z387" s="492" t="n"/>
      <c r="AA387" s="492" t="n"/>
      <c r="AB387" s="492" t="n"/>
      <c r="AC387" s="492" t="n"/>
      <c r="AD387" s="492" t="n"/>
      <c r="AE387" s="493" t="n"/>
      <c r="AF387" s="492" t="n"/>
      <c r="AG387" s="492" t="n"/>
      <c r="AH387" s="492" t="n"/>
      <c r="AI387" s="492" t="n"/>
      <c r="AJ387" s="493" t="n"/>
      <c r="AK387" s="492" t="n"/>
      <c r="AL387" s="492" t="n"/>
      <c r="AM387" s="492" t="n"/>
      <c r="AN387" s="492" t="n"/>
      <c r="AO387" s="492" t="n"/>
      <c r="AP387" s="492" t="n"/>
      <c r="AQ387" s="492" t="n"/>
      <c r="AR387" s="492" t="n"/>
      <c r="AS387" s="492" t="n"/>
      <c r="AT387" s="492" t="n"/>
      <c r="AU387" s="493" t="n"/>
      <c r="AV387" s="492" t="n"/>
      <c r="AW387" s="492" t="n"/>
      <c r="AX387" s="492" t="n"/>
      <c r="AY387" s="492" t="n"/>
      <c r="AZ387" s="492" t="n"/>
      <c r="BA387" s="493" t="n"/>
      <c r="BB387" s="492" t="n"/>
      <c r="BC387" s="492" t="n"/>
      <c r="BD387" s="492" t="n"/>
      <c r="BE387" s="492" t="n"/>
      <c r="BF387" s="493" t="n"/>
      <c r="BG387" s="493" t="n"/>
      <c r="BH387" s="495" t="n"/>
      <c r="BI387" s="496" t="n"/>
      <c r="BJ387" s="496" t="n"/>
      <c r="BK387" s="496" t="n"/>
      <c r="BM387" s="493" t="n"/>
      <c r="BN387" s="493" t="n"/>
      <c r="BO387" s="493" t="n"/>
      <c r="BP387" s="493" t="n"/>
      <c r="BQ387" s="493" t="n"/>
      <c r="BR387" s="493" t="n"/>
      <c r="BS387" s="493" t="n"/>
      <c r="BT387" s="493" t="n"/>
      <c r="BU387" s="493" t="n"/>
      <c r="BV387" s="493" t="n"/>
      <c r="BW387" s="493" t="n"/>
      <c r="BX387" s="493" t="n"/>
      <c r="BY387" s="493" t="n"/>
      <c r="BZ387" s="493" t="n"/>
      <c r="CA387" s="493" t="n"/>
      <c r="CB387" s="493" t="n"/>
      <c r="CC387" s="493" t="n"/>
      <c r="CD387" s="493" t="n"/>
      <c r="CE387" s="493" t="n"/>
      <c r="CF387" s="493" t="n"/>
      <c r="CG387" s="493" t="n"/>
      <c r="CH387" s="493" t="n"/>
      <c r="CI387" s="493" t="n"/>
      <c r="CJ387" s="493" t="n"/>
      <c r="CK387" s="493" t="n"/>
      <c r="CL387" s="493" t="n"/>
    </row>
    <row r="388" customFormat="1" s="230">
      <c r="E388" s="234" t="n"/>
      <c r="F388" s="492" t="n"/>
      <c r="G388" s="492" t="n"/>
      <c r="H388" s="493" t="n"/>
      <c r="I388" s="492" t="n"/>
      <c r="J388" s="492" t="n"/>
      <c r="K388" s="492" t="n"/>
      <c r="L388" s="492" t="n"/>
      <c r="M388" s="493" t="n"/>
      <c r="N388" s="492" t="n"/>
      <c r="O388" s="492" t="n"/>
      <c r="P388" s="492" t="n"/>
      <c r="Q388" s="492" t="n"/>
      <c r="R388" s="492" t="n"/>
      <c r="S388" s="492" t="n"/>
      <c r="T388" s="492" t="n"/>
      <c r="U388" s="492" t="n"/>
      <c r="V388" s="492" t="n"/>
      <c r="W388" s="492" t="n"/>
      <c r="X388" s="492" t="n"/>
      <c r="Y388" s="492" t="n"/>
      <c r="Z388" s="492" t="n"/>
      <c r="AA388" s="492" t="n"/>
      <c r="AB388" s="492" t="n"/>
      <c r="AC388" s="492" t="n"/>
      <c r="AD388" s="492" t="n"/>
      <c r="AE388" s="493" t="n"/>
      <c r="AF388" s="492" t="n"/>
      <c r="AG388" s="492" t="n"/>
      <c r="AH388" s="492" t="n"/>
      <c r="AI388" s="492" t="n"/>
      <c r="AJ388" s="493" t="n"/>
      <c r="AK388" s="492" t="n"/>
      <c r="AL388" s="492" t="n"/>
      <c r="AM388" s="492" t="n"/>
      <c r="AN388" s="492" t="n"/>
      <c r="AO388" s="492" t="n"/>
      <c r="AP388" s="492" t="n"/>
      <c r="AQ388" s="492" t="n"/>
      <c r="AR388" s="492" t="n"/>
      <c r="AS388" s="492" t="n"/>
      <c r="AT388" s="492" t="n"/>
      <c r="AU388" s="493" t="n"/>
      <c r="AV388" s="492" t="n"/>
      <c r="AW388" s="492" t="n"/>
      <c r="AX388" s="492" t="n"/>
      <c r="AY388" s="492" t="n"/>
      <c r="AZ388" s="492" t="n"/>
      <c r="BA388" s="493" t="n"/>
      <c r="BB388" s="492" t="n"/>
      <c r="BC388" s="492" t="n"/>
      <c r="BD388" s="492" t="n"/>
      <c r="BE388" s="492" t="n"/>
      <c r="BF388" s="493" t="n"/>
      <c r="BG388" s="493" t="n"/>
      <c r="BH388" s="495" t="n"/>
      <c r="BI388" s="496" t="n"/>
      <c r="BJ388" s="496" t="n"/>
      <c r="BK388" s="496" t="n"/>
      <c r="BM388" s="493" t="n"/>
      <c r="BN388" s="493" t="n"/>
      <c r="BO388" s="493" t="n"/>
      <c r="BP388" s="493" t="n"/>
      <c r="BQ388" s="493" t="n"/>
      <c r="BR388" s="493" t="n"/>
      <c r="BS388" s="493" t="n"/>
      <c r="BT388" s="493" t="n"/>
      <c r="BU388" s="493" t="n"/>
      <c r="BV388" s="493" t="n"/>
      <c r="BW388" s="493" t="n"/>
      <c r="BX388" s="493" t="n"/>
      <c r="BY388" s="493" t="n"/>
      <c r="BZ388" s="493" t="n"/>
      <c r="CA388" s="493" t="n"/>
      <c r="CB388" s="493" t="n"/>
      <c r="CC388" s="493" t="n"/>
      <c r="CD388" s="493" t="n"/>
      <c r="CE388" s="493" t="n"/>
      <c r="CF388" s="493" t="n"/>
      <c r="CG388" s="493" t="n"/>
      <c r="CH388" s="493" t="n"/>
      <c r="CI388" s="493" t="n"/>
      <c r="CJ388" s="493" t="n"/>
      <c r="CK388" s="493" t="n"/>
      <c r="CL388" s="493" t="n"/>
    </row>
    <row r="389" customFormat="1" s="230">
      <c r="E389" s="234" t="n"/>
      <c r="F389" s="492" t="n"/>
      <c r="G389" s="492" t="n"/>
      <c r="H389" s="493" t="n"/>
      <c r="I389" s="492" t="n"/>
      <c r="J389" s="492" t="n"/>
      <c r="K389" s="492" t="n"/>
      <c r="L389" s="492" t="n"/>
      <c r="M389" s="493" t="n"/>
      <c r="N389" s="492" t="n"/>
      <c r="O389" s="492" t="n"/>
      <c r="P389" s="492" t="n"/>
      <c r="Q389" s="492" t="n"/>
      <c r="R389" s="492" t="n"/>
      <c r="S389" s="492" t="n"/>
      <c r="T389" s="492" t="n"/>
      <c r="U389" s="492" t="n"/>
      <c r="V389" s="492" t="n"/>
      <c r="W389" s="492" t="n"/>
      <c r="X389" s="492" t="n"/>
      <c r="Y389" s="492" t="n"/>
      <c r="Z389" s="492" t="n"/>
      <c r="AA389" s="492" t="n"/>
      <c r="AB389" s="492" t="n"/>
      <c r="AC389" s="492" t="n"/>
      <c r="AD389" s="492" t="n"/>
      <c r="AE389" s="493" t="n"/>
      <c r="AF389" s="492" t="n"/>
      <c r="AG389" s="492" t="n"/>
      <c r="AH389" s="492" t="n"/>
      <c r="AI389" s="492" t="n"/>
      <c r="AJ389" s="493" t="n"/>
      <c r="AK389" s="492" t="n"/>
      <c r="AL389" s="492" t="n"/>
      <c r="AM389" s="492" t="n"/>
      <c r="AN389" s="492" t="n"/>
      <c r="AO389" s="492" t="n"/>
      <c r="AP389" s="492" t="n"/>
      <c r="AQ389" s="492" t="n"/>
      <c r="AR389" s="492" t="n"/>
      <c r="AS389" s="492" t="n"/>
      <c r="AT389" s="492" t="n"/>
      <c r="AU389" s="493" t="n"/>
      <c r="AV389" s="492" t="n"/>
      <c r="AW389" s="492" t="n"/>
      <c r="AX389" s="492" t="n"/>
      <c r="AY389" s="492" t="n"/>
      <c r="AZ389" s="492" t="n"/>
      <c r="BA389" s="493" t="n"/>
      <c r="BB389" s="492" t="n"/>
      <c r="BC389" s="492" t="n"/>
      <c r="BD389" s="492" t="n"/>
      <c r="BE389" s="492" t="n"/>
      <c r="BF389" s="493" t="n"/>
      <c r="BG389" s="493" t="n"/>
      <c r="BH389" s="495" t="n"/>
      <c r="BI389" s="496" t="n"/>
      <c r="BJ389" s="496" t="n"/>
      <c r="BK389" s="496" t="n"/>
      <c r="BM389" s="493" t="n"/>
      <c r="BN389" s="493" t="n"/>
      <c r="BO389" s="493" t="n"/>
      <c r="BP389" s="493" t="n"/>
      <c r="BQ389" s="493" t="n"/>
      <c r="BR389" s="493" t="n"/>
      <c r="BS389" s="493" t="n"/>
      <c r="BT389" s="493" t="n"/>
      <c r="BU389" s="493" t="n"/>
      <c r="BV389" s="493" t="n"/>
      <c r="BW389" s="493" t="n"/>
      <c r="BX389" s="493" t="n"/>
      <c r="BY389" s="493" t="n"/>
      <c r="BZ389" s="493" t="n"/>
      <c r="CA389" s="493" t="n"/>
      <c r="CB389" s="493" t="n"/>
      <c r="CC389" s="493" t="n"/>
      <c r="CD389" s="493" t="n"/>
      <c r="CE389" s="493" t="n"/>
      <c r="CF389" s="493" t="n"/>
      <c r="CG389" s="493" t="n"/>
      <c r="CH389" s="493" t="n"/>
      <c r="CI389" s="493" t="n"/>
      <c r="CJ389" s="493" t="n"/>
      <c r="CK389" s="493" t="n"/>
      <c r="CL389" s="493" t="n"/>
    </row>
    <row r="390" customFormat="1" s="230">
      <c r="E390" s="234" t="n"/>
      <c r="F390" s="492" t="n"/>
      <c r="G390" s="492" t="n"/>
      <c r="H390" s="493" t="n"/>
      <c r="I390" s="492" t="n"/>
      <c r="J390" s="492" t="n"/>
      <c r="K390" s="492" t="n"/>
      <c r="L390" s="492" t="n"/>
      <c r="M390" s="493" t="n"/>
      <c r="N390" s="492" t="n"/>
      <c r="O390" s="492" t="n"/>
      <c r="P390" s="492" t="n"/>
      <c r="Q390" s="492" t="n"/>
      <c r="R390" s="492" t="n"/>
      <c r="S390" s="492" t="n"/>
      <c r="T390" s="492" t="n"/>
      <c r="U390" s="492" t="n"/>
      <c r="V390" s="492" t="n"/>
      <c r="W390" s="492" t="n"/>
      <c r="X390" s="492" t="n"/>
      <c r="Y390" s="492" t="n"/>
      <c r="Z390" s="492" t="n"/>
      <c r="AA390" s="492" t="n"/>
      <c r="AB390" s="492" t="n"/>
      <c r="AC390" s="492" t="n"/>
      <c r="AD390" s="492" t="n"/>
      <c r="AE390" s="493" t="n"/>
      <c r="AF390" s="492" t="n"/>
      <c r="AG390" s="492" t="n"/>
      <c r="AH390" s="492" t="n"/>
      <c r="AI390" s="492" t="n"/>
      <c r="AJ390" s="493" t="n"/>
      <c r="AK390" s="492" t="n"/>
      <c r="AL390" s="492" t="n"/>
      <c r="AM390" s="492" t="n"/>
      <c r="AN390" s="492" t="n"/>
      <c r="AO390" s="492" t="n"/>
      <c r="AP390" s="492" t="n"/>
      <c r="AQ390" s="492" t="n"/>
      <c r="AR390" s="492" t="n"/>
      <c r="AS390" s="492" t="n"/>
      <c r="AT390" s="492" t="n"/>
      <c r="AU390" s="493" t="n"/>
      <c r="AV390" s="492" t="n"/>
      <c r="AW390" s="492" t="n"/>
      <c r="AX390" s="492" t="n"/>
      <c r="AY390" s="492" t="n"/>
      <c r="AZ390" s="492" t="n"/>
      <c r="BA390" s="493" t="n"/>
      <c r="BB390" s="492" t="n"/>
      <c r="BC390" s="492" t="n"/>
      <c r="BD390" s="492" t="n"/>
      <c r="BE390" s="492" t="n"/>
      <c r="BF390" s="493" t="n"/>
      <c r="BG390" s="493" t="n"/>
      <c r="BH390" s="495" t="n"/>
      <c r="BI390" s="496" t="n"/>
      <c r="BJ390" s="496" t="n"/>
      <c r="BK390" s="496" t="n"/>
      <c r="BM390" s="493" t="n"/>
      <c r="BN390" s="493" t="n"/>
      <c r="BO390" s="493" t="n"/>
      <c r="BP390" s="493" t="n"/>
      <c r="BQ390" s="493" t="n"/>
      <c r="BR390" s="493" t="n"/>
      <c r="BS390" s="493" t="n"/>
      <c r="BT390" s="493" t="n"/>
      <c r="BU390" s="493" t="n"/>
      <c r="BV390" s="493" t="n"/>
      <c r="BW390" s="493" t="n"/>
      <c r="BX390" s="493" t="n"/>
      <c r="BY390" s="493" t="n"/>
      <c r="BZ390" s="493" t="n"/>
      <c r="CA390" s="493" t="n"/>
      <c r="CB390" s="493" t="n"/>
      <c r="CC390" s="493" t="n"/>
      <c r="CD390" s="493" t="n"/>
      <c r="CE390" s="493" t="n"/>
      <c r="CF390" s="493" t="n"/>
      <c r="CG390" s="493" t="n"/>
      <c r="CH390" s="493" t="n"/>
      <c r="CI390" s="493" t="n"/>
      <c r="CJ390" s="493" t="n"/>
      <c r="CK390" s="493" t="n"/>
      <c r="CL390" s="493" t="n"/>
    </row>
    <row r="391" customFormat="1" s="230">
      <c r="E391" s="234" t="n"/>
      <c r="F391" s="492" t="n"/>
      <c r="G391" s="492" t="n"/>
      <c r="H391" s="493" t="n"/>
      <c r="I391" s="492" t="n"/>
      <c r="J391" s="492" t="n"/>
      <c r="K391" s="492" t="n"/>
      <c r="L391" s="492" t="n"/>
      <c r="M391" s="493" t="n"/>
      <c r="N391" s="492" t="n"/>
      <c r="O391" s="492" t="n"/>
      <c r="P391" s="492" t="n"/>
      <c r="Q391" s="492" t="n"/>
      <c r="R391" s="492" t="n"/>
      <c r="S391" s="492" t="n"/>
      <c r="T391" s="492" t="n"/>
      <c r="U391" s="492" t="n"/>
      <c r="V391" s="492" t="n"/>
      <c r="W391" s="492" t="n"/>
      <c r="X391" s="492" t="n"/>
      <c r="Y391" s="492" t="n"/>
      <c r="Z391" s="492" t="n"/>
      <c r="AA391" s="492" t="n"/>
      <c r="AB391" s="492" t="n"/>
      <c r="AC391" s="492" t="n"/>
      <c r="AD391" s="492" t="n"/>
      <c r="AE391" s="493" t="n"/>
      <c r="AF391" s="492" t="n"/>
      <c r="AG391" s="492" t="n"/>
      <c r="AH391" s="492" t="n"/>
      <c r="AI391" s="492" t="n"/>
      <c r="AJ391" s="493" t="n"/>
      <c r="AK391" s="492" t="n"/>
      <c r="AL391" s="492" t="n"/>
      <c r="AM391" s="492" t="n"/>
      <c r="AN391" s="492" t="n"/>
      <c r="AO391" s="492" t="n"/>
      <c r="AP391" s="492" t="n"/>
      <c r="AQ391" s="492" t="n"/>
      <c r="AR391" s="492" t="n"/>
      <c r="AS391" s="492" t="n"/>
      <c r="AT391" s="492" t="n"/>
      <c r="AU391" s="493" t="n"/>
      <c r="AV391" s="492" t="n"/>
      <c r="AW391" s="492" t="n"/>
      <c r="AX391" s="492" t="n"/>
      <c r="AY391" s="492" t="n"/>
      <c r="AZ391" s="492" t="n"/>
      <c r="BA391" s="493" t="n"/>
      <c r="BB391" s="492" t="n"/>
      <c r="BC391" s="492" t="n"/>
      <c r="BD391" s="492" t="n"/>
      <c r="BE391" s="492" t="n"/>
      <c r="BF391" s="493" t="n"/>
      <c r="BG391" s="493" t="n"/>
      <c r="BH391" s="495" t="n"/>
      <c r="BI391" s="496" t="n"/>
      <c r="BJ391" s="496" t="n"/>
      <c r="BK391" s="496" t="n"/>
      <c r="BM391" s="493" t="n"/>
      <c r="BN391" s="493" t="n"/>
      <c r="BO391" s="493" t="n"/>
      <c r="BP391" s="493" t="n"/>
      <c r="BQ391" s="493" t="n"/>
      <c r="BR391" s="493" t="n"/>
      <c r="BS391" s="493" t="n"/>
      <c r="BT391" s="493" t="n"/>
      <c r="BU391" s="493" t="n"/>
      <c r="BV391" s="493" t="n"/>
      <c r="BW391" s="493" t="n"/>
      <c r="BX391" s="493" t="n"/>
      <c r="BY391" s="493" t="n"/>
      <c r="BZ391" s="493" t="n"/>
      <c r="CA391" s="493" t="n"/>
      <c r="CB391" s="493" t="n"/>
      <c r="CC391" s="493" t="n"/>
      <c r="CD391" s="493" t="n"/>
      <c r="CE391" s="493" t="n"/>
      <c r="CF391" s="493" t="n"/>
      <c r="CG391" s="493" t="n"/>
      <c r="CH391" s="493" t="n"/>
      <c r="CI391" s="493" t="n"/>
      <c r="CJ391" s="493" t="n"/>
      <c r="CK391" s="493" t="n"/>
      <c r="CL391" s="493" t="n"/>
    </row>
    <row r="392" customFormat="1" s="230">
      <c r="E392" s="234" t="n"/>
      <c r="F392" s="492" t="n"/>
      <c r="G392" s="492" t="n"/>
      <c r="H392" s="493" t="n"/>
      <c r="I392" s="492" t="n"/>
      <c r="J392" s="492" t="n"/>
      <c r="K392" s="492" t="n"/>
      <c r="L392" s="492" t="n"/>
      <c r="M392" s="493" t="n"/>
      <c r="N392" s="492" t="n"/>
      <c r="O392" s="492" t="n"/>
      <c r="P392" s="492" t="n"/>
      <c r="Q392" s="492" t="n"/>
      <c r="R392" s="492" t="n"/>
      <c r="S392" s="492" t="n"/>
      <c r="T392" s="492" t="n"/>
      <c r="U392" s="492" t="n"/>
      <c r="V392" s="492" t="n"/>
      <c r="W392" s="492" t="n"/>
      <c r="X392" s="492" t="n"/>
      <c r="Y392" s="492" t="n"/>
      <c r="Z392" s="492" t="n"/>
      <c r="AA392" s="492" t="n"/>
      <c r="AB392" s="492" t="n"/>
      <c r="AC392" s="492" t="n"/>
      <c r="AD392" s="492" t="n"/>
      <c r="AE392" s="493" t="n"/>
      <c r="AF392" s="492" t="n"/>
      <c r="AG392" s="492" t="n"/>
      <c r="AH392" s="492" t="n"/>
      <c r="AI392" s="492" t="n"/>
      <c r="AJ392" s="493" t="n"/>
      <c r="AK392" s="492" t="n"/>
      <c r="AL392" s="492" t="n"/>
      <c r="AM392" s="492" t="n"/>
      <c r="AN392" s="492" t="n"/>
      <c r="AO392" s="492" t="n"/>
      <c r="AP392" s="492" t="n"/>
      <c r="AQ392" s="492" t="n"/>
      <c r="AR392" s="492" t="n"/>
      <c r="AS392" s="492" t="n"/>
      <c r="AT392" s="492" t="n"/>
      <c r="AU392" s="493" t="n"/>
      <c r="AV392" s="492" t="n"/>
      <c r="AW392" s="492" t="n"/>
      <c r="AX392" s="492" t="n"/>
      <c r="AY392" s="492" t="n"/>
      <c r="AZ392" s="492" t="n"/>
      <c r="BA392" s="493" t="n"/>
      <c r="BB392" s="492" t="n"/>
      <c r="BC392" s="492" t="n"/>
      <c r="BD392" s="492" t="n"/>
      <c r="BE392" s="492" t="n"/>
      <c r="BF392" s="493" t="n"/>
      <c r="BG392" s="493" t="n"/>
      <c r="BH392" s="495" t="n"/>
      <c r="BI392" s="496" t="n"/>
      <c r="BJ392" s="496" t="n"/>
      <c r="BK392" s="496" t="n"/>
      <c r="BM392" s="493" t="n"/>
      <c r="BN392" s="493" t="n"/>
      <c r="BO392" s="493" t="n"/>
      <c r="BP392" s="493" t="n"/>
      <c r="BQ392" s="493" t="n"/>
      <c r="BR392" s="493" t="n"/>
      <c r="BS392" s="493" t="n"/>
      <c r="BT392" s="493" t="n"/>
      <c r="BU392" s="493" t="n"/>
      <c r="BV392" s="493" t="n"/>
      <c r="BW392" s="493" t="n"/>
      <c r="BX392" s="493" t="n"/>
      <c r="BY392" s="493" t="n"/>
      <c r="BZ392" s="493" t="n"/>
      <c r="CA392" s="493" t="n"/>
      <c r="CB392" s="493" t="n"/>
      <c r="CC392" s="493" t="n"/>
      <c r="CD392" s="493" t="n"/>
      <c r="CE392" s="493" t="n"/>
      <c r="CF392" s="493" t="n"/>
      <c r="CG392" s="493" t="n"/>
      <c r="CH392" s="493" t="n"/>
      <c r="CI392" s="493" t="n"/>
      <c r="CJ392" s="493" t="n"/>
      <c r="CK392" s="493" t="n"/>
      <c r="CL392" s="493" t="n"/>
    </row>
    <row r="393" customFormat="1" s="230">
      <c r="E393" s="234" t="n"/>
      <c r="F393" s="492" t="n"/>
      <c r="G393" s="492" t="n"/>
      <c r="H393" s="493" t="n"/>
      <c r="I393" s="492" t="n"/>
      <c r="J393" s="492" t="n"/>
      <c r="K393" s="492" t="n"/>
      <c r="L393" s="492" t="n"/>
      <c r="M393" s="493" t="n"/>
      <c r="N393" s="492" t="n"/>
      <c r="O393" s="492" t="n"/>
      <c r="P393" s="492" t="n"/>
      <c r="Q393" s="492" t="n"/>
      <c r="R393" s="492" t="n"/>
      <c r="S393" s="492" t="n"/>
      <c r="T393" s="492" t="n"/>
      <c r="U393" s="492" t="n"/>
      <c r="V393" s="492" t="n"/>
      <c r="W393" s="492" t="n"/>
      <c r="X393" s="492" t="n"/>
      <c r="Y393" s="492" t="n"/>
      <c r="Z393" s="492" t="n"/>
      <c r="AA393" s="492" t="n"/>
      <c r="AB393" s="492" t="n"/>
      <c r="AC393" s="492" t="n"/>
      <c r="AD393" s="492" t="n"/>
      <c r="AE393" s="493" t="n"/>
      <c r="AF393" s="492" t="n"/>
      <c r="AG393" s="492" t="n"/>
      <c r="AH393" s="492" t="n"/>
      <c r="AI393" s="492" t="n"/>
      <c r="AJ393" s="493" t="n"/>
      <c r="AK393" s="492" t="n"/>
      <c r="AL393" s="492" t="n"/>
      <c r="AM393" s="492" t="n"/>
      <c r="AN393" s="492" t="n"/>
      <c r="AO393" s="492" t="n"/>
      <c r="AP393" s="492" t="n"/>
      <c r="AQ393" s="492" t="n"/>
      <c r="AR393" s="492" t="n"/>
      <c r="AS393" s="492" t="n"/>
      <c r="AT393" s="492" t="n"/>
      <c r="AU393" s="493" t="n"/>
      <c r="AV393" s="492" t="n"/>
      <c r="AW393" s="492" t="n"/>
      <c r="AX393" s="492" t="n"/>
      <c r="AY393" s="492" t="n"/>
      <c r="AZ393" s="492" t="n"/>
      <c r="BA393" s="493" t="n"/>
      <c r="BB393" s="492" t="n"/>
      <c r="BC393" s="492" t="n"/>
      <c r="BD393" s="492" t="n"/>
      <c r="BE393" s="492" t="n"/>
      <c r="BF393" s="493" t="n"/>
      <c r="BG393" s="493" t="n"/>
      <c r="BH393" s="495" t="n"/>
      <c r="BI393" s="496" t="n"/>
      <c r="BJ393" s="496" t="n"/>
      <c r="BK393" s="496" t="n"/>
      <c r="BM393" s="493" t="n"/>
      <c r="BN393" s="493" t="n"/>
      <c r="BO393" s="493" t="n"/>
      <c r="BP393" s="493" t="n"/>
      <c r="BQ393" s="493" t="n"/>
      <c r="BR393" s="493" t="n"/>
      <c r="BS393" s="493" t="n"/>
      <c r="BT393" s="493" t="n"/>
      <c r="BU393" s="493" t="n"/>
      <c r="BV393" s="493" t="n"/>
      <c r="BW393" s="493" t="n"/>
      <c r="BX393" s="493" t="n"/>
      <c r="BY393" s="493" t="n"/>
      <c r="BZ393" s="493" t="n"/>
      <c r="CA393" s="493" t="n"/>
      <c r="CB393" s="493" t="n"/>
      <c r="CC393" s="493" t="n"/>
      <c r="CD393" s="493" t="n"/>
      <c r="CE393" s="493" t="n"/>
      <c r="CF393" s="493" t="n"/>
      <c r="CG393" s="493" t="n"/>
      <c r="CH393" s="493" t="n"/>
      <c r="CI393" s="493" t="n"/>
      <c r="CJ393" s="493" t="n"/>
      <c r="CK393" s="493" t="n"/>
      <c r="CL393" s="493" t="n"/>
    </row>
    <row r="394" customFormat="1" s="230">
      <c r="E394" s="234" t="n"/>
      <c r="F394" s="492" t="n"/>
      <c r="G394" s="492" t="n"/>
      <c r="H394" s="493" t="n"/>
      <c r="I394" s="492" t="n"/>
      <c r="J394" s="492" t="n"/>
      <c r="K394" s="492" t="n"/>
      <c r="L394" s="492" t="n"/>
      <c r="M394" s="493" t="n"/>
      <c r="N394" s="492" t="n"/>
      <c r="O394" s="492" t="n"/>
      <c r="P394" s="492" t="n"/>
      <c r="Q394" s="492" t="n"/>
      <c r="R394" s="492" t="n"/>
      <c r="S394" s="492" t="n"/>
      <c r="T394" s="492" t="n"/>
      <c r="U394" s="492" t="n"/>
      <c r="V394" s="492" t="n"/>
      <c r="W394" s="492" t="n"/>
      <c r="X394" s="492" t="n"/>
      <c r="Y394" s="492" t="n"/>
      <c r="Z394" s="492" t="n"/>
      <c r="AA394" s="492" t="n"/>
      <c r="AB394" s="492" t="n"/>
      <c r="AC394" s="492" t="n"/>
      <c r="AD394" s="492" t="n"/>
      <c r="AE394" s="493" t="n"/>
      <c r="AF394" s="492" t="n"/>
      <c r="AG394" s="492" t="n"/>
      <c r="AH394" s="492" t="n"/>
      <c r="AI394" s="492" t="n"/>
      <c r="AJ394" s="493" t="n"/>
      <c r="AK394" s="492" t="n"/>
      <c r="AL394" s="492" t="n"/>
      <c r="AM394" s="492" t="n"/>
      <c r="AN394" s="492" t="n"/>
      <c r="AO394" s="492" t="n"/>
      <c r="AP394" s="492" t="n"/>
      <c r="AQ394" s="492" t="n"/>
      <c r="AR394" s="492" t="n"/>
      <c r="AS394" s="492" t="n"/>
      <c r="AT394" s="492" t="n"/>
      <c r="AU394" s="493" t="n"/>
      <c r="AV394" s="492" t="n"/>
      <c r="AW394" s="492" t="n"/>
      <c r="AX394" s="492" t="n"/>
      <c r="AY394" s="492" t="n"/>
      <c r="AZ394" s="492" t="n"/>
      <c r="BA394" s="493" t="n"/>
      <c r="BB394" s="492" t="n"/>
      <c r="BC394" s="492" t="n"/>
      <c r="BD394" s="492" t="n"/>
      <c r="BE394" s="492" t="n"/>
      <c r="BF394" s="493" t="n"/>
      <c r="BG394" s="493" t="n"/>
      <c r="BH394" s="495" t="n"/>
      <c r="BI394" s="496" t="n"/>
      <c r="BJ394" s="496" t="n"/>
      <c r="BK394" s="496" t="n"/>
      <c r="BM394" s="493" t="n"/>
      <c r="BN394" s="493" t="n"/>
      <c r="BO394" s="493" t="n"/>
      <c r="BP394" s="493" t="n"/>
      <c r="BQ394" s="493" t="n"/>
      <c r="BR394" s="493" t="n"/>
      <c r="BS394" s="493" t="n"/>
      <c r="BT394" s="493" t="n"/>
      <c r="BU394" s="493" t="n"/>
      <c r="BV394" s="493" t="n"/>
      <c r="BW394" s="493" t="n"/>
      <c r="BX394" s="493" t="n"/>
      <c r="BY394" s="493" t="n"/>
      <c r="BZ394" s="493" t="n"/>
      <c r="CA394" s="493" t="n"/>
      <c r="CB394" s="493" t="n"/>
      <c r="CC394" s="493" t="n"/>
      <c r="CD394" s="493" t="n"/>
      <c r="CE394" s="493" t="n"/>
      <c r="CF394" s="493" t="n"/>
      <c r="CG394" s="493" t="n"/>
      <c r="CH394" s="493" t="n"/>
      <c r="CI394" s="493" t="n"/>
      <c r="CJ394" s="493" t="n"/>
      <c r="CK394" s="493" t="n"/>
      <c r="CL394" s="493" t="n"/>
    </row>
    <row r="395" customFormat="1" s="230">
      <c r="E395" s="234" t="n"/>
      <c r="F395" s="492" t="n"/>
      <c r="G395" s="492" t="n"/>
      <c r="H395" s="493" t="n"/>
      <c r="I395" s="492" t="n"/>
      <c r="J395" s="492" t="n"/>
      <c r="K395" s="492" t="n"/>
      <c r="L395" s="492" t="n"/>
      <c r="M395" s="493" t="n"/>
      <c r="N395" s="492" t="n"/>
      <c r="O395" s="492" t="n"/>
      <c r="P395" s="492" t="n"/>
      <c r="Q395" s="492" t="n"/>
      <c r="R395" s="492" t="n"/>
      <c r="S395" s="492" t="n"/>
      <c r="T395" s="492" t="n"/>
      <c r="U395" s="492" t="n"/>
      <c r="V395" s="492" t="n"/>
      <c r="W395" s="492" t="n"/>
      <c r="X395" s="492" t="n"/>
      <c r="Y395" s="492" t="n"/>
      <c r="Z395" s="492" t="n"/>
      <c r="AA395" s="492" t="n"/>
      <c r="AB395" s="492" t="n"/>
      <c r="AC395" s="492" t="n"/>
      <c r="AD395" s="492" t="n"/>
      <c r="AE395" s="493" t="n"/>
      <c r="AF395" s="492" t="n"/>
      <c r="AG395" s="492" t="n"/>
      <c r="AH395" s="492" t="n"/>
      <c r="AI395" s="492" t="n"/>
      <c r="AJ395" s="493" t="n"/>
      <c r="AK395" s="492" t="n"/>
      <c r="AL395" s="492" t="n"/>
      <c r="AM395" s="492" t="n"/>
      <c r="AN395" s="492" t="n"/>
      <c r="AO395" s="492" t="n"/>
      <c r="AP395" s="492" t="n"/>
      <c r="AQ395" s="492" t="n"/>
      <c r="AR395" s="492" t="n"/>
      <c r="AS395" s="492" t="n"/>
      <c r="AT395" s="492" t="n"/>
      <c r="AU395" s="493" t="n"/>
      <c r="AV395" s="492" t="n"/>
      <c r="AW395" s="492" t="n"/>
      <c r="AX395" s="492" t="n"/>
      <c r="AY395" s="492" t="n"/>
      <c r="AZ395" s="492" t="n"/>
      <c r="BA395" s="493" t="n"/>
      <c r="BB395" s="492" t="n"/>
      <c r="BC395" s="492" t="n"/>
      <c r="BD395" s="492" t="n"/>
      <c r="BE395" s="492" t="n"/>
      <c r="BF395" s="493" t="n"/>
      <c r="BG395" s="493" t="n"/>
      <c r="BH395" s="495" t="n"/>
      <c r="BI395" s="496" t="n"/>
      <c r="BJ395" s="496" t="n"/>
      <c r="BK395" s="496" t="n"/>
      <c r="BM395" s="493" t="n"/>
      <c r="BN395" s="493" t="n"/>
      <c r="BO395" s="493" t="n"/>
      <c r="BP395" s="493" t="n"/>
      <c r="BQ395" s="493" t="n"/>
      <c r="BR395" s="493" t="n"/>
      <c r="BS395" s="493" t="n"/>
      <c r="BT395" s="493" t="n"/>
      <c r="BU395" s="493" t="n"/>
      <c r="BV395" s="493" t="n"/>
      <c r="BW395" s="493" t="n"/>
      <c r="BX395" s="493" t="n"/>
      <c r="BY395" s="493" t="n"/>
      <c r="BZ395" s="493" t="n"/>
      <c r="CA395" s="493" t="n"/>
      <c r="CB395" s="493" t="n"/>
      <c r="CC395" s="493" t="n"/>
      <c r="CD395" s="493" t="n"/>
      <c r="CE395" s="493" t="n"/>
      <c r="CF395" s="493" t="n"/>
      <c r="CG395" s="493" t="n"/>
      <c r="CH395" s="493" t="n"/>
      <c r="CI395" s="493" t="n"/>
      <c r="CJ395" s="493" t="n"/>
      <c r="CK395" s="493" t="n"/>
      <c r="CL395" s="493" t="n"/>
    </row>
    <row r="396" customFormat="1" s="230">
      <c r="E396" s="234" t="n"/>
      <c r="F396" s="492" t="n"/>
      <c r="G396" s="492" t="n"/>
      <c r="H396" s="493" t="n"/>
      <c r="I396" s="492" t="n"/>
      <c r="J396" s="492" t="n"/>
      <c r="K396" s="492" t="n"/>
      <c r="L396" s="492" t="n"/>
      <c r="M396" s="493" t="n"/>
      <c r="N396" s="492" t="n"/>
      <c r="O396" s="492" t="n"/>
      <c r="P396" s="492" t="n"/>
      <c r="Q396" s="492" t="n"/>
      <c r="R396" s="492" t="n"/>
      <c r="S396" s="492" t="n"/>
      <c r="T396" s="492" t="n"/>
      <c r="U396" s="492" t="n"/>
      <c r="V396" s="492" t="n"/>
      <c r="W396" s="492" t="n"/>
      <c r="X396" s="492" t="n"/>
      <c r="Y396" s="492" t="n"/>
      <c r="Z396" s="492" t="n"/>
      <c r="AA396" s="492" t="n"/>
      <c r="AB396" s="492" t="n"/>
      <c r="AC396" s="492" t="n"/>
      <c r="AD396" s="492" t="n"/>
      <c r="AE396" s="493" t="n"/>
      <c r="AF396" s="492" t="n"/>
      <c r="AG396" s="492" t="n"/>
      <c r="AH396" s="492" t="n"/>
      <c r="AI396" s="492" t="n"/>
      <c r="AJ396" s="493" t="n"/>
      <c r="AK396" s="492" t="n"/>
      <c r="AL396" s="492" t="n"/>
      <c r="AM396" s="492" t="n"/>
      <c r="AN396" s="492" t="n"/>
      <c r="AO396" s="492" t="n"/>
      <c r="AP396" s="492" t="n"/>
      <c r="AQ396" s="492" t="n"/>
      <c r="AR396" s="492" t="n"/>
      <c r="AS396" s="492" t="n"/>
      <c r="AT396" s="492" t="n"/>
      <c r="AU396" s="493" t="n"/>
      <c r="AV396" s="492" t="n"/>
      <c r="AW396" s="492" t="n"/>
      <c r="AX396" s="492" t="n"/>
      <c r="AY396" s="492" t="n"/>
      <c r="AZ396" s="492" t="n"/>
      <c r="BA396" s="493" t="n"/>
      <c r="BB396" s="492" t="n"/>
      <c r="BC396" s="492" t="n"/>
      <c r="BD396" s="492" t="n"/>
      <c r="BE396" s="492" t="n"/>
      <c r="BF396" s="493" t="n"/>
      <c r="BG396" s="493" t="n"/>
      <c r="BH396" s="495" t="n"/>
      <c r="BI396" s="496" t="n"/>
      <c r="BJ396" s="496" t="n"/>
      <c r="BK396" s="496" t="n"/>
      <c r="BM396" s="493" t="n"/>
      <c r="BN396" s="493" t="n"/>
      <c r="BO396" s="493" t="n"/>
      <c r="BP396" s="493" t="n"/>
      <c r="BQ396" s="493" t="n"/>
      <c r="BR396" s="493" t="n"/>
      <c r="BS396" s="493" t="n"/>
      <c r="BT396" s="493" t="n"/>
      <c r="BU396" s="493" t="n"/>
      <c r="BV396" s="493" t="n"/>
      <c r="BW396" s="493" t="n"/>
      <c r="BX396" s="493" t="n"/>
      <c r="BY396" s="493" t="n"/>
      <c r="BZ396" s="493" t="n"/>
      <c r="CA396" s="493" t="n"/>
      <c r="CB396" s="493" t="n"/>
      <c r="CC396" s="493" t="n"/>
      <c r="CD396" s="493" t="n"/>
      <c r="CE396" s="493" t="n"/>
      <c r="CF396" s="493" t="n"/>
      <c r="CG396" s="493" t="n"/>
      <c r="CH396" s="493" t="n"/>
      <c r="CI396" s="493" t="n"/>
      <c r="CJ396" s="493" t="n"/>
      <c r="CK396" s="493" t="n"/>
      <c r="CL396" s="493" t="n"/>
    </row>
    <row r="397" customFormat="1" s="230">
      <c r="E397" s="234" t="n"/>
      <c r="F397" s="492" t="n"/>
      <c r="G397" s="492" t="n"/>
      <c r="H397" s="493" t="n"/>
      <c r="I397" s="492" t="n"/>
      <c r="J397" s="492" t="n"/>
      <c r="K397" s="492" t="n"/>
      <c r="L397" s="492" t="n"/>
      <c r="M397" s="493" t="n"/>
      <c r="N397" s="492" t="n"/>
      <c r="O397" s="492" t="n"/>
      <c r="P397" s="492" t="n"/>
      <c r="Q397" s="492" t="n"/>
      <c r="R397" s="492" t="n"/>
      <c r="S397" s="492" t="n"/>
      <c r="T397" s="492" t="n"/>
      <c r="U397" s="492" t="n"/>
      <c r="V397" s="492" t="n"/>
      <c r="W397" s="492" t="n"/>
      <c r="X397" s="492" t="n"/>
      <c r="Y397" s="492" t="n"/>
      <c r="Z397" s="492" t="n"/>
      <c r="AA397" s="492" t="n"/>
      <c r="AB397" s="492" t="n"/>
      <c r="AC397" s="492" t="n"/>
      <c r="AD397" s="492" t="n"/>
      <c r="AE397" s="493" t="n"/>
      <c r="AF397" s="492" t="n"/>
      <c r="AG397" s="492" t="n"/>
      <c r="AH397" s="492" t="n"/>
      <c r="AI397" s="492" t="n"/>
      <c r="AJ397" s="493" t="n"/>
      <c r="AK397" s="492" t="n"/>
      <c r="AL397" s="492" t="n"/>
      <c r="AM397" s="492" t="n"/>
      <c r="AN397" s="492" t="n"/>
      <c r="AO397" s="492" t="n"/>
      <c r="AP397" s="492" t="n"/>
      <c r="AQ397" s="492" t="n"/>
      <c r="AR397" s="492" t="n"/>
      <c r="AS397" s="492" t="n"/>
      <c r="AT397" s="492" t="n"/>
      <c r="AU397" s="493" t="n"/>
      <c r="AV397" s="492" t="n"/>
      <c r="AW397" s="492" t="n"/>
      <c r="AX397" s="492" t="n"/>
      <c r="AY397" s="492" t="n"/>
      <c r="AZ397" s="492" t="n"/>
      <c r="BA397" s="493" t="n"/>
      <c r="BB397" s="492" t="n"/>
      <c r="BC397" s="492" t="n"/>
      <c r="BD397" s="492" t="n"/>
      <c r="BE397" s="492" t="n"/>
      <c r="BF397" s="493" t="n"/>
      <c r="BG397" s="493" t="n"/>
      <c r="BH397" s="495" t="n"/>
      <c r="BI397" s="496" t="n"/>
      <c r="BJ397" s="496" t="n"/>
      <c r="BK397" s="496" t="n"/>
      <c r="BM397" s="493" t="n"/>
      <c r="BN397" s="493" t="n"/>
      <c r="BO397" s="493" t="n"/>
      <c r="BP397" s="493" t="n"/>
      <c r="BQ397" s="493" t="n"/>
      <c r="BR397" s="493" t="n"/>
      <c r="BS397" s="493" t="n"/>
      <c r="BT397" s="493" t="n"/>
      <c r="BU397" s="493" t="n"/>
      <c r="BV397" s="493" t="n"/>
      <c r="BW397" s="493" t="n"/>
      <c r="BX397" s="493" t="n"/>
      <c r="BY397" s="493" t="n"/>
      <c r="BZ397" s="493" t="n"/>
      <c r="CA397" s="493" t="n"/>
      <c r="CB397" s="493" t="n"/>
      <c r="CC397" s="493" t="n"/>
      <c r="CD397" s="493" t="n"/>
      <c r="CE397" s="493" t="n"/>
      <c r="CF397" s="493" t="n"/>
      <c r="CG397" s="493" t="n"/>
      <c r="CH397" s="493" t="n"/>
      <c r="CI397" s="493" t="n"/>
      <c r="CJ397" s="493" t="n"/>
      <c r="CK397" s="493" t="n"/>
      <c r="CL397" s="493" t="n"/>
    </row>
    <row r="398" customFormat="1" s="230">
      <c r="E398" s="234" t="n"/>
      <c r="F398" s="492" t="n"/>
      <c r="G398" s="492" t="n"/>
      <c r="H398" s="493" t="n"/>
      <c r="I398" s="492" t="n"/>
      <c r="J398" s="492" t="n"/>
      <c r="K398" s="492" t="n"/>
      <c r="L398" s="492" t="n"/>
      <c r="M398" s="493" t="n"/>
      <c r="N398" s="492" t="n"/>
      <c r="O398" s="492" t="n"/>
      <c r="P398" s="492" t="n"/>
      <c r="Q398" s="492" t="n"/>
      <c r="R398" s="492" t="n"/>
      <c r="S398" s="492" t="n"/>
      <c r="T398" s="492" t="n"/>
      <c r="U398" s="492" t="n"/>
      <c r="V398" s="492" t="n"/>
      <c r="W398" s="492" t="n"/>
      <c r="X398" s="492" t="n"/>
      <c r="Y398" s="492" t="n"/>
      <c r="Z398" s="492" t="n"/>
      <c r="AA398" s="492" t="n"/>
      <c r="AB398" s="492" t="n"/>
      <c r="AC398" s="492" t="n"/>
      <c r="AD398" s="492" t="n"/>
      <c r="AE398" s="493" t="n"/>
      <c r="AF398" s="492" t="n"/>
      <c r="AG398" s="492" t="n"/>
      <c r="AH398" s="492" t="n"/>
      <c r="AI398" s="492" t="n"/>
      <c r="AJ398" s="493" t="n"/>
      <c r="AK398" s="492" t="n"/>
      <c r="AL398" s="492" t="n"/>
      <c r="AM398" s="492" t="n"/>
      <c r="AN398" s="492" t="n"/>
      <c r="AO398" s="492" t="n"/>
      <c r="AP398" s="492" t="n"/>
      <c r="AQ398" s="492" t="n"/>
      <c r="AR398" s="492" t="n"/>
      <c r="AS398" s="492" t="n"/>
      <c r="AT398" s="492" t="n"/>
      <c r="AU398" s="493" t="n"/>
      <c r="AV398" s="492" t="n"/>
      <c r="AW398" s="492" t="n"/>
      <c r="AX398" s="492" t="n"/>
      <c r="AY398" s="492" t="n"/>
      <c r="AZ398" s="492" t="n"/>
      <c r="BA398" s="493" t="n"/>
      <c r="BB398" s="492" t="n"/>
      <c r="BC398" s="492" t="n"/>
      <c r="BD398" s="492" t="n"/>
      <c r="BE398" s="492" t="n"/>
      <c r="BF398" s="493" t="n"/>
      <c r="BG398" s="493" t="n"/>
      <c r="BH398" s="495" t="n"/>
      <c r="BI398" s="496" t="n"/>
      <c r="BJ398" s="496" t="n"/>
      <c r="BK398" s="496" t="n"/>
      <c r="BM398" s="493" t="n"/>
      <c r="BN398" s="493" t="n"/>
      <c r="BO398" s="493" t="n"/>
      <c r="BP398" s="493" t="n"/>
      <c r="BQ398" s="493" t="n"/>
      <c r="BR398" s="493" t="n"/>
      <c r="BS398" s="493" t="n"/>
      <c r="BT398" s="493" t="n"/>
      <c r="BU398" s="493" t="n"/>
      <c r="BV398" s="493" t="n"/>
      <c r="BW398" s="493" t="n"/>
      <c r="BX398" s="493" t="n"/>
      <c r="BY398" s="493" t="n"/>
      <c r="BZ398" s="493" t="n"/>
      <c r="CA398" s="493" t="n"/>
      <c r="CB398" s="493" t="n"/>
      <c r="CC398" s="493" t="n"/>
      <c r="CD398" s="493" t="n"/>
      <c r="CE398" s="493" t="n"/>
      <c r="CF398" s="493" t="n"/>
      <c r="CG398" s="493" t="n"/>
      <c r="CH398" s="493" t="n"/>
      <c r="CI398" s="493" t="n"/>
      <c r="CJ398" s="493" t="n"/>
      <c r="CK398" s="493" t="n"/>
      <c r="CL398" s="493" t="n"/>
    </row>
    <row r="399" customFormat="1" s="230">
      <c r="E399" s="234" t="n"/>
      <c r="F399" s="492" t="n"/>
      <c r="G399" s="492" t="n"/>
      <c r="H399" s="493" t="n"/>
      <c r="I399" s="492" t="n"/>
      <c r="J399" s="492" t="n"/>
      <c r="K399" s="492" t="n"/>
      <c r="L399" s="492" t="n"/>
      <c r="M399" s="493" t="n"/>
      <c r="N399" s="492" t="n"/>
      <c r="O399" s="492" t="n"/>
      <c r="P399" s="492" t="n"/>
      <c r="Q399" s="492" t="n"/>
      <c r="R399" s="492" t="n"/>
      <c r="S399" s="492" t="n"/>
      <c r="T399" s="492" t="n"/>
      <c r="U399" s="492" t="n"/>
      <c r="V399" s="492" t="n"/>
      <c r="W399" s="492" t="n"/>
      <c r="X399" s="492" t="n"/>
      <c r="Y399" s="492" t="n"/>
      <c r="Z399" s="492" t="n"/>
      <c r="AA399" s="492" t="n"/>
      <c r="AB399" s="492" t="n"/>
      <c r="AC399" s="492" t="n"/>
      <c r="AD399" s="492" t="n"/>
      <c r="AE399" s="493" t="n"/>
      <c r="AF399" s="492" t="n"/>
      <c r="AG399" s="492" t="n"/>
      <c r="AH399" s="492" t="n"/>
      <c r="AI399" s="492" t="n"/>
      <c r="AJ399" s="493" t="n"/>
      <c r="AK399" s="492" t="n"/>
      <c r="AL399" s="492" t="n"/>
      <c r="AM399" s="492" t="n"/>
      <c r="AN399" s="492" t="n"/>
      <c r="AO399" s="492" t="n"/>
      <c r="AP399" s="492" t="n"/>
      <c r="AQ399" s="492" t="n"/>
      <c r="AR399" s="492" t="n"/>
      <c r="AS399" s="492" t="n"/>
      <c r="AT399" s="492" t="n"/>
      <c r="AU399" s="493" t="n"/>
      <c r="AV399" s="492" t="n"/>
      <c r="AW399" s="492" t="n"/>
      <c r="AX399" s="492" t="n"/>
      <c r="AY399" s="492" t="n"/>
      <c r="AZ399" s="492" t="n"/>
      <c r="BA399" s="493" t="n"/>
      <c r="BB399" s="492" t="n"/>
      <c r="BC399" s="492" t="n"/>
      <c r="BD399" s="492" t="n"/>
      <c r="BE399" s="492" t="n"/>
      <c r="BF399" s="493" t="n"/>
      <c r="BG399" s="493" t="n"/>
      <c r="BH399" s="495" t="n"/>
      <c r="BI399" s="496" t="n"/>
      <c r="BJ399" s="496" t="n"/>
      <c r="BK399" s="496" t="n"/>
      <c r="BM399" s="493" t="n"/>
      <c r="BN399" s="493" t="n"/>
      <c r="BO399" s="493" t="n"/>
      <c r="BP399" s="493" t="n"/>
      <c r="BQ399" s="493" t="n"/>
      <c r="BR399" s="493" t="n"/>
      <c r="BS399" s="493" t="n"/>
      <c r="BT399" s="493" t="n"/>
      <c r="BU399" s="493" t="n"/>
      <c r="BV399" s="493" t="n"/>
      <c r="BW399" s="493" t="n"/>
      <c r="BX399" s="493" t="n"/>
      <c r="BY399" s="493" t="n"/>
      <c r="BZ399" s="493" t="n"/>
      <c r="CA399" s="493" t="n"/>
      <c r="CB399" s="493" t="n"/>
      <c r="CC399" s="493" t="n"/>
      <c r="CD399" s="493" t="n"/>
      <c r="CE399" s="493" t="n"/>
      <c r="CF399" s="493" t="n"/>
      <c r="CG399" s="493" t="n"/>
      <c r="CH399" s="493" t="n"/>
      <c r="CI399" s="493" t="n"/>
      <c r="CJ399" s="493" t="n"/>
      <c r="CK399" s="493" t="n"/>
      <c r="CL399" s="493" t="n"/>
    </row>
    <row r="400" customFormat="1" s="230">
      <c r="E400" s="234" t="n"/>
      <c r="F400" s="492" t="n"/>
      <c r="G400" s="492" t="n"/>
      <c r="H400" s="493" t="n"/>
      <c r="I400" s="492" t="n"/>
      <c r="J400" s="492" t="n"/>
      <c r="K400" s="492" t="n"/>
      <c r="L400" s="492" t="n"/>
      <c r="M400" s="493" t="n"/>
      <c r="N400" s="492" t="n"/>
      <c r="O400" s="492" t="n"/>
      <c r="P400" s="492" t="n"/>
      <c r="Q400" s="492" t="n"/>
      <c r="R400" s="492" t="n"/>
      <c r="S400" s="492" t="n"/>
      <c r="T400" s="492" t="n"/>
      <c r="U400" s="492" t="n"/>
      <c r="V400" s="492" t="n"/>
      <c r="W400" s="492" t="n"/>
      <c r="X400" s="492" t="n"/>
      <c r="Y400" s="492" t="n"/>
      <c r="Z400" s="492" t="n"/>
      <c r="AA400" s="492" t="n"/>
      <c r="AB400" s="492" t="n"/>
      <c r="AC400" s="492" t="n"/>
      <c r="AD400" s="492" t="n"/>
      <c r="AE400" s="493" t="n"/>
      <c r="AF400" s="492" t="n"/>
      <c r="AG400" s="492" t="n"/>
      <c r="AH400" s="492" t="n"/>
      <c r="AI400" s="492" t="n"/>
      <c r="AJ400" s="493" t="n"/>
      <c r="AK400" s="492" t="n"/>
      <c r="AL400" s="492" t="n"/>
      <c r="AM400" s="492" t="n"/>
      <c r="AN400" s="492" t="n"/>
      <c r="AO400" s="492" t="n"/>
      <c r="AP400" s="492" t="n"/>
      <c r="AQ400" s="492" t="n"/>
      <c r="AR400" s="492" t="n"/>
      <c r="AS400" s="492" t="n"/>
      <c r="AT400" s="492" t="n"/>
      <c r="AU400" s="493" t="n"/>
      <c r="AV400" s="492" t="n"/>
      <c r="AW400" s="492" t="n"/>
      <c r="AX400" s="492" t="n"/>
      <c r="AY400" s="492" t="n"/>
      <c r="AZ400" s="492" t="n"/>
      <c r="BA400" s="493" t="n"/>
      <c r="BB400" s="492" t="n"/>
      <c r="BC400" s="492" t="n"/>
      <c r="BD400" s="492" t="n"/>
      <c r="BE400" s="492" t="n"/>
      <c r="BF400" s="493" t="n"/>
      <c r="BG400" s="493" t="n"/>
      <c r="BH400" s="495" t="n"/>
      <c r="BI400" s="496" t="n"/>
      <c r="BJ400" s="496" t="n"/>
      <c r="BK400" s="496" t="n"/>
      <c r="BM400" s="493" t="n"/>
      <c r="BN400" s="493" t="n"/>
      <c r="BO400" s="493" t="n"/>
      <c r="BP400" s="493" t="n"/>
      <c r="BQ400" s="493" t="n"/>
      <c r="BR400" s="493" t="n"/>
      <c r="BS400" s="493" t="n"/>
      <c r="BT400" s="493" t="n"/>
      <c r="BU400" s="493" t="n"/>
      <c r="BV400" s="493" t="n"/>
      <c r="BW400" s="493" t="n"/>
      <c r="BX400" s="493" t="n"/>
      <c r="BY400" s="493" t="n"/>
      <c r="BZ400" s="493" t="n"/>
      <c r="CA400" s="493" t="n"/>
      <c r="CB400" s="493" t="n"/>
      <c r="CC400" s="493" t="n"/>
      <c r="CD400" s="493" t="n"/>
      <c r="CE400" s="493" t="n"/>
      <c r="CF400" s="493" t="n"/>
      <c r="CG400" s="493" t="n"/>
      <c r="CH400" s="493" t="n"/>
      <c r="CI400" s="493" t="n"/>
      <c r="CJ400" s="493" t="n"/>
      <c r="CK400" s="493" t="n"/>
      <c r="CL400" s="493" t="n"/>
    </row>
    <row r="401" customFormat="1" s="230">
      <c r="E401" s="234" t="n"/>
      <c r="F401" s="492" t="n"/>
      <c r="G401" s="492" t="n"/>
      <c r="H401" s="493" t="n"/>
      <c r="I401" s="492" t="n"/>
      <c r="J401" s="492" t="n"/>
      <c r="K401" s="492" t="n"/>
      <c r="L401" s="492" t="n"/>
      <c r="M401" s="493" t="n"/>
      <c r="N401" s="492" t="n"/>
      <c r="O401" s="492" t="n"/>
      <c r="P401" s="492" t="n"/>
      <c r="Q401" s="492" t="n"/>
      <c r="R401" s="492" t="n"/>
      <c r="S401" s="492" t="n"/>
      <c r="T401" s="492" t="n"/>
      <c r="U401" s="492" t="n"/>
      <c r="V401" s="492" t="n"/>
      <c r="W401" s="492" t="n"/>
      <c r="X401" s="492" t="n"/>
      <c r="Y401" s="492" t="n"/>
      <c r="Z401" s="492" t="n"/>
      <c r="AA401" s="492" t="n"/>
      <c r="AB401" s="492" t="n"/>
      <c r="AC401" s="492" t="n"/>
      <c r="AD401" s="492" t="n"/>
      <c r="AE401" s="493" t="n"/>
      <c r="AF401" s="492" t="n"/>
      <c r="AG401" s="492" t="n"/>
      <c r="AH401" s="492" t="n"/>
      <c r="AI401" s="492" t="n"/>
      <c r="AJ401" s="493" t="n"/>
      <c r="AK401" s="492" t="n"/>
      <c r="AL401" s="492" t="n"/>
      <c r="AM401" s="492" t="n"/>
      <c r="AN401" s="492" t="n"/>
      <c r="AO401" s="492" t="n"/>
      <c r="AP401" s="492" t="n"/>
      <c r="AQ401" s="492" t="n"/>
      <c r="AR401" s="492" t="n"/>
      <c r="AS401" s="492" t="n"/>
      <c r="AT401" s="492" t="n"/>
      <c r="AU401" s="493" t="n"/>
      <c r="AV401" s="492" t="n"/>
      <c r="AW401" s="492" t="n"/>
      <c r="AX401" s="492" t="n"/>
      <c r="AY401" s="492" t="n"/>
      <c r="AZ401" s="492" t="n"/>
      <c r="BA401" s="493" t="n"/>
      <c r="BB401" s="492" t="n"/>
      <c r="BC401" s="492" t="n"/>
      <c r="BD401" s="492" t="n"/>
      <c r="BE401" s="492" t="n"/>
      <c r="BF401" s="493" t="n"/>
      <c r="BG401" s="493" t="n"/>
      <c r="BH401" s="495" t="n"/>
      <c r="BI401" s="496" t="n"/>
      <c r="BJ401" s="496" t="n"/>
      <c r="BK401" s="496" t="n"/>
      <c r="BM401" s="493" t="n"/>
      <c r="BN401" s="493" t="n"/>
      <c r="BO401" s="493" t="n"/>
      <c r="BP401" s="493" t="n"/>
      <c r="BQ401" s="493" t="n"/>
      <c r="BR401" s="493" t="n"/>
      <c r="BS401" s="493" t="n"/>
      <c r="BT401" s="493" t="n"/>
      <c r="BU401" s="493" t="n"/>
      <c r="BV401" s="493" t="n"/>
      <c r="BW401" s="493" t="n"/>
      <c r="BX401" s="493" t="n"/>
      <c r="BY401" s="493" t="n"/>
      <c r="BZ401" s="493" t="n"/>
      <c r="CA401" s="493" t="n"/>
      <c r="CB401" s="493" t="n"/>
      <c r="CC401" s="493" t="n"/>
      <c r="CD401" s="493" t="n"/>
      <c r="CE401" s="493" t="n"/>
      <c r="CF401" s="493" t="n"/>
      <c r="CG401" s="493" t="n"/>
      <c r="CH401" s="493" t="n"/>
      <c r="CI401" s="493" t="n"/>
      <c r="CJ401" s="493" t="n"/>
      <c r="CK401" s="493" t="n"/>
      <c r="CL401" s="493" t="n"/>
    </row>
    <row r="402" customFormat="1" s="230">
      <c r="E402" s="234" t="n"/>
      <c r="F402" s="492" t="n"/>
      <c r="G402" s="492" t="n"/>
      <c r="H402" s="493" t="n"/>
      <c r="I402" s="492" t="n"/>
      <c r="J402" s="492" t="n"/>
      <c r="K402" s="492" t="n"/>
      <c r="L402" s="492" t="n"/>
      <c r="M402" s="493" t="n"/>
      <c r="N402" s="492" t="n"/>
      <c r="O402" s="492" t="n"/>
      <c r="P402" s="492" t="n"/>
      <c r="Q402" s="492" t="n"/>
      <c r="R402" s="492" t="n"/>
      <c r="S402" s="492" t="n"/>
      <c r="T402" s="492" t="n"/>
      <c r="U402" s="492" t="n"/>
      <c r="V402" s="492" t="n"/>
      <c r="W402" s="492" t="n"/>
      <c r="X402" s="492" t="n"/>
      <c r="Y402" s="492" t="n"/>
      <c r="Z402" s="492" t="n"/>
      <c r="AA402" s="492" t="n"/>
      <c r="AB402" s="492" t="n"/>
      <c r="AC402" s="492" t="n"/>
      <c r="AD402" s="492" t="n"/>
      <c r="AE402" s="493" t="n"/>
      <c r="AF402" s="492" t="n"/>
      <c r="AG402" s="492" t="n"/>
      <c r="AH402" s="492" t="n"/>
      <c r="AI402" s="492" t="n"/>
      <c r="AJ402" s="493" t="n"/>
      <c r="AK402" s="492" t="n"/>
      <c r="AL402" s="492" t="n"/>
      <c r="AM402" s="492" t="n"/>
      <c r="AN402" s="492" t="n"/>
      <c r="AO402" s="492" t="n"/>
      <c r="AP402" s="492" t="n"/>
      <c r="AQ402" s="492" t="n"/>
      <c r="AR402" s="492" t="n"/>
      <c r="AS402" s="492" t="n"/>
      <c r="AT402" s="492" t="n"/>
      <c r="AU402" s="493" t="n"/>
      <c r="AV402" s="492" t="n"/>
      <c r="AW402" s="492" t="n"/>
      <c r="AX402" s="492" t="n"/>
      <c r="AY402" s="492" t="n"/>
      <c r="AZ402" s="492" t="n"/>
      <c r="BA402" s="493" t="n"/>
      <c r="BB402" s="492" t="n"/>
      <c r="BC402" s="492" t="n"/>
      <c r="BD402" s="492" t="n"/>
      <c r="BE402" s="492" t="n"/>
      <c r="BF402" s="493" t="n"/>
      <c r="BG402" s="493" t="n"/>
      <c r="BH402" s="495" t="n"/>
      <c r="BI402" s="496" t="n"/>
      <c r="BJ402" s="496" t="n"/>
      <c r="BK402" s="496" t="n"/>
      <c r="BM402" s="493" t="n"/>
      <c r="BN402" s="493" t="n"/>
      <c r="BO402" s="493" t="n"/>
      <c r="BP402" s="493" t="n"/>
      <c r="BQ402" s="493" t="n"/>
      <c r="BR402" s="493" t="n"/>
      <c r="BS402" s="493" t="n"/>
      <c r="BT402" s="493" t="n"/>
      <c r="BU402" s="493" t="n"/>
      <c r="BV402" s="493" t="n"/>
      <c r="BW402" s="493" t="n"/>
      <c r="BX402" s="493" t="n"/>
      <c r="BY402" s="493" t="n"/>
      <c r="BZ402" s="493" t="n"/>
      <c r="CA402" s="493" t="n"/>
      <c r="CB402" s="493" t="n"/>
      <c r="CC402" s="493" t="n"/>
      <c r="CD402" s="493" t="n"/>
      <c r="CE402" s="493" t="n"/>
      <c r="CF402" s="493" t="n"/>
      <c r="CG402" s="493" t="n"/>
      <c r="CH402" s="493" t="n"/>
      <c r="CI402" s="493" t="n"/>
      <c r="CJ402" s="493" t="n"/>
      <c r="CK402" s="493" t="n"/>
      <c r="CL402" s="493" t="n"/>
    </row>
    <row r="403" customFormat="1" s="230">
      <c r="E403" s="234" t="n"/>
      <c r="F403" s="492" t="n"/>
      <c r="G403" s="492" t="n"/>
      <c r="H403" s="493" t="n"/>
      <c r="I403" s="492" t="n"/>
      <c r="J403" s="492" t="n"/>
      <c r="K403" s="492" t="n"/>
      <c r="L403" s="492" t="n"/>
      <c r="M403" s="493" t="n"/>
      <c r="N403" s="492" t="n"/>
      <c r="O403" s="492" t="n"/>
      <c r="P403" s="492" t="n"/>
      <c r="Q403" s="492" t="n"/>
      <c r="R403" s="492" t="n"/>
      <c r="S403" s="492" t="n"/>
      <c r="T403" s="492" t="n"/>
      <c r="U403" s="492" t="n"/>
      <c r="V403" s="492" t="n"/>
      <c r="W403" s="492" t="n"/>
      <c r="X403" s="492" t="n"/>
      <c r="Y403" s="492" t="n"/>
      <c r="Z403" s="492" t="n"/>
      <c r="AA403" s="492" t="n"/>
      <c r="AB403" s="492" t="n"/>
      <c r="AC403" s="492" t="n"/>
      <c r="AD403" s="492" t="n"/>
      <c r="AE403" s="493" t="n"/>
      <c r="AF403" s="492" t="n"/>
      <c r="AG403" s="492" t="n"/>
      <c r="AH403" s="492" t="n"/>
      <c r="AI403" s="492" t="n"/>
      <c r="AJ403" s="493" t="n"/>
      <c r="AK403" s="492" t="n"/>
      <c r="AL403" s="492" t="n"/>
      <c r="AM403" s="492" t="n"/>
      <c r="AN403" s="492" t="n"/>
      <c r="AO403" s="492" t="n"/>
      <c r="AP403" s="492" t="n"/>
      <c r="AQ403" s="492" t="n"/>
      <c r="AR403" s="492" t="n"/>
      <c r="AS403" s="492" t="n"/>
      <c r="AT403" s="492" t="n"/>
      <c r="AU403" s="493" t="n"/>
      <c r="AV403" s="492" t="n"/>
      <c r="AW403" s="492" t="n"/>
      <c r="AX403" s="492" t="n"/>
      <c r="AY403" s="492" t="n"/>
      <c r="AZ403" s="492" t="n"/>
      <c r="BA403" s="493" t="n"/>
      <c r="BB403" s="492" t="n"/>
      <c r="BC403" s="492" t="n"/>
      <c r="BD403" s="492" t="n"/>
      <c r="BE403" s="492" t="n"/>
      <c r="BF403" s="493" t="n"/>
      <c r="BG403" s="493" t="n"/>
      <c r="BH403" s="495" t="n"/>
      <c r="BI403" s="496" t="n"/>
      <c r="BJ403" s="496" t="n"/>
      <c r="BK403" s="496" t="n"/>
      <c r="BM403" s="493" t="n"/>
      <c r="BN403" s="493" t="n"/>
      <c r="BO403" s="493" t="n"/>
      <c r="BP403" s="493" t="n"/>
      <c r="BQ403" s="493" t="n"/>
      <c r="BR403" s="493" t="n"/>
      <c r="BS403" s="493" t="n"/>
      <c r="BT403" s="493" t="n"/>
      <c r="BU403" s="493" t="n"/>
      <c r="BV403" s="493" t="n"/>
      <c r="BW403" s="493" t="n"/>
      <c r="BX403" s="493" t="n"/>
      <c r="BY403" s="493" t="n"/>
      <c r="BZ403" s="493" t="n"/>
      <c r="CA403" s="493" t="n"/>
      <c r="CB403" s="493" t="n"/>
      <c r="CC403" s="493" t="n"/>
      <c r="CD403" s="493" t="n"/>
      <c r="CE403" s="493" t="n"/>
      <c r="CF403" s="493" t="n"/>
      <c r="CG403" s="493" t="n"/>
      <c r="CH403" s="493" t="n"/>
      <c r="CI403" s="493" t="n"/>
      <c r="CJ403" s="493" t="n"/>
      <c r="CK403" s="493" t="n"/>
      <c r="CL403" s="493" t="n"/>
    </row>
    <row r="404" customFormat="1" s="230">
      <c r="E404" s="234" t="n"/>
      <c r="F404" s="492" t="n"/>
      <c r="G404" s="492" t="n"/>
      <c r="H404" s="493" t="n"/>
      <c r="I404" s="492" t="n"/>
      <c r="J404" s="492" t="n"/>
      <c r="K404" s="492" t="n"/>
      <c r="L404" s="492" t="n"/>
      <c r="M404" s="493" t="n"/>
      <c r="N404" s="492" t="n"/>
      <c r="O404" s="492" t="n"/>
      <c r="P404" s="492" t="n"/>
      <c r="Q404" s="492" t="n"/>
      <c r="R404" s="492" t="n"/>
      <c r="S404" s="492" t="n"/>
      <c r="T404" s="492" t="n"/>
      <c r="U404" s="492" t="n"/>
      <c r="V404" s="492" t="n"/>
      <c r="W404" s="492" t="n"/>
      <c r="X404" s="492" t="n"/>
      <c r="Y404" s="492" t="n"/>
      <c r="Z404" s="492" t="n"/>
      <c r="AA404" s="492" t="n"/>
      <c r="AB404" s="492" t="n"/>
      <c r="AC404" s="492" t="n"/>
      <c r="AD404" s="492" t="n"/>
      <c r="AE404" s="493" t="n"/>
      <c r="AF404" s="492" t="n"/>
      <c r="AG404" s="492" t="n"/>
      <c r="AH404" s="492" t="n"/>
      <c r="AI404" s="492" t="n"/>
      <c r="AJ404" s="493" t="n"/>
      <c r="AK404" s="492" t="n"/>
      <c r="AL404" s="492" t="n"/>
      <c r="AM404" s="492" t="n"/>
      <c r="AN404" s="492" t="n"/>
      <c r="AO404" s="492" t="n"/>
      <c r="AP404" s="492" t="n"/>
      <c r="AQ404" s="492" t="n"/>
      <c r="AR404" s="492" t="n"/>
      <c r="AS404" s="492" t="n"/>
      <c r="AT404" s="492" t="n"/>
      <c r="AU404" s="493" t="n"/>
      <c r="AV404" s="492" t="n"/>
      <c r="AW404" s="492" t="n"/>
      <c r="AX404" s="492" t="n"/>
      <c r="AY404" s="492" t="n"/>
      <c r="AZ404" s="492" t="n"/>
      <c r="BA404" s="493" t="n"/>
      <c r="BB404" s="492" t="n"/>
      <c r="BC404" s="492" t="n"/>
      <c r="BD404" s="492" t="n"/>
      <c r="BE404" s="492" t="n"/>
      <c r="BF404" s="493" t="n"/>
      <c r="BG404" s="493" t="n"/>
      <c r="BH404" s="495" t="n"/>
      <c r="BI404" s="496" t="n"/>
      <c r="BJ404" s="496" t="n"/>
      <c r="BK404" s="496" t="n"/>
      <c r="BM404" s="493" t="n"/>
      <c r="BN404" s="493" t="n"/>
      <c r="BO404" s="493" t="n"/>
      <c r="BP404" s="493" t="n"/>
      <c r="BQ404" s="493" t="n"/>
      <c r="BR404" s="493" t="n"/>
      <c r="BS404" s="493" t="n"/>
      <c r="BT404" s="493" t="n"/>
      <c r="BU404" s="493" t="n"/>
      <c r="BV404" s="493" t="n"/>
      <c r="BW404" s="493" t="n"/>
      <c r="BX404" s="493" t="n"/>
      <c r="BY404" s="493" t="n"/>
      <c r="BZ404" s="493" t="n"/>
      <c r="CA404" s="493" t="n"/>
      <c r="CB404" s="493" t="n"/>
      <c r="CC404" s="493" t="n"/>
      <c r="CD404" s="493" t="n"/>
      <c r="CE404" s="493" t="n"/>
      <c r="CF404" s="493" t="n"/>
      <c r="CG404" s="493" t="n"/>
      <c r="CH404" s="493" t="n"/>
      <c r="CI404" s="493" t="n"/>
      <c r="CJ404" s="493" t="n"/>
      <c r="CK404" s="493" t="n"/>
      <c r="CL404" s="493" t="n"/>
    </row>
    <row r="405" customFormat="1" s="230">
      <c r="E405" s="234" t="n"/>
      <c r="F405" s="492" t="n"/>
      <c r="G405" s="492" t="n"/>
      <c r="H405" s="493" t="n"/>
      <c r="I405" s="492" t="n"/>
      <c r="J405" s="492" t="n"/>
      <c r="K405" s="492" t="n"/>
      <c r="L405" s="492" t="n"/>
      <c r="M405" s="493" t="n"/>
      <c r="N405" s="492" t="n"/>
      <c r="O405" s="492" t="n"/>
      <c r="P405" s="492" t="n"/>
      <c r="Q405" s="492" t="n"/>
      <c r="R405" s="492" t="n"/>
      <c r="S405" s="492" t="n"/>
      <c r="T405" s="492" t="n"/>
      <c r="U405" s="492" t="n"/>
      <c r="V405" s="492" t="n"/>
      <c r="W405" s="492" t="n"/>
      <c r="X405" s="492" t="n"/>
      <c r="Y405" s="492" t="n"/>
      <c r="Z405" s="492" t="n"/>
      <c r="AA405" s="492" t="n"/>
      <c r="AB405" s="492" t="n"/>
      <c r="AC405" s="492" t="n"/>
      <c r="AD405" s="492" t="n"/>
      <c r="AE405" s="493" t="n"/>
      <c r="AF405" s="492" t="n"/>
      <c r="AG405" s="492" t="n"/>
      <c r="AH405" s="492" t="n"/>
      <c r="AI405" s="492" t="n"/>
      <c r="AJ405" s="493" t="n"/>
      <c r="AK405" s="492" t="n"/>
      <c r="AL405" s="492" t="n"/>
      <c r="AM405" s="492" t="n"/>
      <c r="AN405" s="492" t="n"/>
      <c r="AO405" s="492" t="n"/>
      <c r="AP405" s="492" t="n"/>
      <c r="AQ405" s="492" t="n"/>
      <c r="AR405" s="492" t="n"/>
      <c r="AS405" s="492" t="n"/>
      <c r="AT405" s="492" t="n"/>
      <c r="AU405" s="493" t="n"/>
      <c r="AV405" s="492" t="n"/>
      <c r="AW405" s="492" t="n"/>
      <c r="AX405" s="492" t="n"/>
      <c r="AY405" s="492" t="n"/>
      <c r="AZ405" s="492" t="n"/>
      <c r="BA405" s="493" t="n"/>
      <c r="BB405" s="492" t="n"/>
      <c r="BC405" s="492" t="n"/>
      <c r="BD405" s="492" t="n"/>
      <c r="BE405" s="492" t="n"/>
      <c r="BF405" s="493" t="n"/>
      <c r="BG405" s="493" t="n"/>
      <c r="BH405" s="495" t="n"/>
      <c r="BI405" s="496" t="n"/>
      <c r="BJ405" s="496" t="n"/>
      <c r="BK405" s="496" t="n"/>
      <c r="BM405" s="493" t="n"/>
      <c r="BN405" s="493" t="n"/>
      <c r="BO405" s="493" t="n"/>
      <c r="BP405" s="493" t="n"/>
      <c r="BQ405" s="493" t="n"/>
      <c r="BR405" s="493" t="n"/>
      <c r="BS405" s="493" t="n"/>
      <c r="BT405" s="493" t="n"/>
      <c r="BU405" s="493" t="n"/>
      <c r="BV405" s="493" t="n"/>
      <c r="BW405" s="493" t="n"/>
      <c r="BX405" s="493" t="n"/>
      <c r="BY405" s="493" t="n"/>
      <c r="BZ405" s="493" t="n"/>
      <c r="CA405" s="493" t="n"/>
      <c r="CB405" s="493" t="n"/>
      <c r="CC405" s="493" t="n"/>
      <c r="CD405" s="493" t="n"/>
      <c r="CE405" s="493" t="n"/>
      <c r="CF405" s="493" t="n"/>
      <c r="CG405" s="493" t="n"/>
      <c r="CH405" s="493" t="n"/>
      <c r="CI405" s="493" t="n"/>
      <c r="CJ405" s="493" t="n"/>
      <c r="CK405" s="493" t="n"/>
      <c r="CL405" s="493" t="n"/>
    </row>
    <row r="406" customFormat="1" s="230">
      <c r="E406" s="234" t="n"/>
      <c r="F406" s="492" t="n"/>
      <c r="G406" s="492" t="n"/>
      <c r="H406" s="493" t="n"/>
      <c r="I406" s="492" t="n"/>
      <c r="J406" s="492" t="n"/>
      <c r="K406" s="492" t="n"/>
      <c r="L406" s="492" t="n"/>
      <c r="M406" s="493" t="n"/>
      <c r="N406" s="492" t="n"/>
      <c r="O406" s="492" t="n"/>
      <c r="P406" s="492" t="n"/>
      <c r="Q406" s="492" t="n"/>
      <c r="R406" s="492" t="n"/>
      <c r="S406" s="492" t="n"/>
      <c r="T406" s="492" t="n"/>
      <c r="U406" s="492" t="n"/>
      <c r="V406" s="492" t="n"/>
      <c r="W406" s="492" t="n"/>
      <c r="X406" s="492" t="n"/>
      <c r="Y406" s="492" t="n"/>
      <c r="Z406" s="492" t="n"/>
      <c r="AA406" s="492" t="n"/>
      <c r="AB406" s="492" t="n"/>
      <c r="AC406" s="492" t="n"/>
      <c r="AD406" s="492" t="n"/>
      <c r="AE406" s="493" t="n"/>
      <c r="AF406" s="492" t="n"/>
      <c r="AG406" s="492" t="n"/>
      <c r="AH406" s="492" t="n"/>
      <c r="AI406" s="492" t="n"/>
      <c r="AJ406" s="493" t="n"/>
      <c r="AK406" s="492" t="n"/>
      <c r="AL406" s="492" t="n"/>
      <c r="AM406" s="492" t="n"/>
      <c r="AN406" s="492" t="n"/>
      <c r="AO406" s="492" t="n"/>
      <c r="AP406" s="492" t="n"/>
      <c r="AQ406" s="492" t="n"/>
      <c r="AR406" s="492" t="n"/>
      <c r="AS406" s="492" t="n"/>
      <c r="AT406" s="492" t="n"/>
      <c r="AU406" s="493" t="n"/>
      <c r="AV406" s="492" t="n"/>
      <c r="AW406" s="492" t="n"/>
      <c r="AX406" s="492" t="n"/>
      <c r="AY406" s="492" t="n"/>
      <c r="AZ406" s="492" t="n"/>
      <c r="BA406" s="493" t="n"/>
      <c r="BB406" s="492" t="n"/>
      <c r="BC406" s="492" t="n"/>
      <c r="BD406" s="492" t="n"/>
      <c r="BE406" s="492" t="n"/>
      <c r="BF406" s="493" t="n"/>
      <c r="BG406" s="493" t="n"/>
      <c r="BH406" s="495" t="n"/>
      <c r="BI406" s="496" t="n"/>
      <c r="BJ406" s="496" t="n"/>
      <c r="BK406" s="496" t="n"/>
      <c r="BM406" s="493" t="n"/>
      <c r="BN406" s="493" t="n"/>
      <c r="BO406" s="493" t="n"/>
      <c r="BP406" s="493" t="n"/>
      <c r="BQ406" s="493" t="n"/>
      <c r="BR406" s="493" t="n"/>
      <c r="BS406" s="493" t="n"/>
      <c r="BT406" s="493" t="n"/>
      <c r="BU406" s="493" t="n"/>
      <c r="BV406" s="493" t="n"/>
      <c r="BW406" s="493" t="n"/>
      <c r="BX406" s="493" t="n"/>
      <c r="BY406" s="493" t="n"/>
      <c r="BZ406" s="493" t="n"/>
      <c r="CA406" s="493" t="n"/>
      <c r="CB406" s="493" t="n"/>
      <c r="CC406" s="493" t="n"/>
      <c r="CD406" s="493" t="n"/>
      <c r="CE406" s="493" t="n"/>
      <c r="CF406" s="493" t="n"/>
      <c r="CG406" s="493" t="n"/>
      <c r="CH406" s="493" t="n"/>
      <c r="CI406" s="493" t="n"/>
      <c r="CJ406" s="493" t="n"/>
      <c r="CK406" s="493" t="n"/>
      <c r="CL406" s="493" t="n"/>
    </row>
    <row r="407" customFormat="1" s="230">
      <c r="E407" s="234" t="n"/>
      <c r="F407" s="492" t="n"/>
      <c r="G407" s="492" t="n"/>
      <c r="H407" s="493" t="n"/>
      <c r="I407" s="492" t="n"/>
      <c r="J407" s="492" t="n"/>
      <c r="K407" s="492" t="n"/>
      <c r="L407" s="492" t="n"/>
      <c r="M407" s="493" t="n"/>
      <c r="N407" s="492" t="n"/>
      <c r="O407" s="492" t="n"/>
      <c r="P407" s="492" t="n"/>
      <c r="Q407" s="492" t="n"/>
      <c r="R407" s="492" t="n"/>
      <c r="S407" s="492" t="n"/>
      <c r="T407" s="492" t="n"/>
      <c r="U407" s="492" t="n"/>
      <c r="V407" s="492" t="n"/>
      <c r="W407" s="492" t="n"/>
      <c r="X407" s="492" t="n"/>
      <c r="Y407" s="492" t="n"/>
      <c r="Z407" s="492" t="n"/>
      <c r="AA407" s="492" t="n"/>
      <c r="AB407" s="492" t="n"/>
      <c r="AC407" s="492" t="n"/>
      <c r="AD407" s="492" t="n"/>
      <c r="AE407" s="493" t="n"/>
      <c r="AF407" s="492" t="n"/>
      <c r="AG407" s="492" t="n"/>
      <c r="AH407" s="492" t="n"/>
      <c r="AI407" s="492" t="n"/>
      <c r="AJ407" s="493" t="n"/>
      <c r="AK407" s="492" t="n"/>
      <c r="AL407" s="492" t="n"/>
      <c r="AM407" s="492" t="n"/>
      <c r="AN407" s="492" t="n"/>
      <c r="AO407" s="492" t="n"/>
      <c r="AP407" s="492" t="n"/>
      <c r="AQ407" s="492" t="n"/>
      <c r="AR407" s="492" t="n"/>
      <c r="AS407" s="492" t="n"/>
      <c r="AT407" s="492" t="n"/>
      <c r="AU407" s="493" t="n"/>
      <c r="AV407" s="492" t="n"/>
      <c r="AW407" s="492" t="n"/>
      <c r="AX407" s="492" t="n"/>
      <c r="AY407" s="492" t="n"/>
      <c r="AZ407" s="492" t="n"/>
      <c r="BA407" s="493" t="n"/>
      <c r="BB407" s="492" t="n"/>
      <c r="BC407" s="492" t="n"/>
      <c r="BD407" s="492" t="n"/>
      <c r="BE407" s="492" t="n"/>
      <c r="BF407" s="493" t="n"/>
      <c r="BG407" s="493" t="n"/>
      <c r="BH407" s="495" t="n"/>
      <c r="BI407" s="496" t="n"/>
      <c r="BJ407" s="496" t="n"/>
      <c r="BK407" s="496" t="n"/>
      <c r="BM407" s="493" t="n"/>
      <c r="BN407" s="493" t="n"/>
      <c r="BO407" s="493" t="n"/>
      <c r="BP407" s="493" t="n"/>
      <c r="BQ407" s="493" t="n"/>
      <c r="BR407" s="493" t="n"/>
      <c r="BS407" s="493" t="n"/>
      <c r="BT407" s="493" t="n"/>
      <c r="BU407" s="493" t="n"/>
      <c r="BV407" s="493" t="n"/>
      <c r="BW407" s="493" t="n"/>
      <c r="BX407" s="493" t="n"/>
      <c r="BY407" s="493" t="n"/>
      <c r="BZ407" s="493" t="n"/>
      <c r="CA407" s="493" t="n"/>
      <c r="CB407" s="493" t="n"/>
      <c r="CC407" s="493" t="n"/>
      <c r="CD407" s="493" t="n"/>
      <c r="CE407" s="493" t="n"/>
      <c r="CF407" s="493" t="n"/>
      <c r="CG407" s="493" t="n"/>
      <c r="CH407" s="493" t="n"/>
      <c r="CI407" s="493" t="n"/>
      <c r="CJ407" s="493" t="n"/>
      <c r="CK407" s="493" t="n"/>
      <c r="CL407" s="493" t="n"/>
    </row>
    <row r="408" customFormat="1" s="230">
      <c r="E408" s="234" t="n"/>
      <c r="F408" s="492" t="n"/>
      <c r="G408" s="492" t="n"/>
      <c r="H408" s="493" t="n"/>
      <c r="I408" s="492" t="n"/>
      <c r="J408" s="492" t="n"/>
      <c r="K408" s="492" t="n"/>
      <c r="L408" s="492" t="n"/>
      <c r="M408" s="493" t="n"/>
      <c r="N408" s="492" t="n"/>
      <c r="O408" s="492" t="n"/>
      <c r="P408" s="492" t="n"/>
      <c r="Q408" s="492" t="n"/>
      <c r="R408" s="492" t="n"/>
      <c r="S408" s="492" t="n"/>
      <c r="T408" s="492" t="n"/>
      <c r="U408" s="492" t="n"/>
      <c r="V408" s="492" t="n"/>
      <c r="W408" s="492" t="n"/>
      <c r="X408" s="492" t="n"/>
      <c r="Y408" s="492" t="n"/>
      <c r="Z408" s="492" t="n"/>
      <c r="AA408" s="492" t="n"/>
      <c r="AB408" s="492" t="n"/>
      <c r="AC408" s="492" t="n"/>
      <c r="AD408" s="492" t="n"/>
      <c r="AE408" s="493" t="n"/>
      <c r="AF408" s="492" t="n"/>
      <c r="AG408" s="492" t="n"/>
      <c r="AH408" s="492" t="n"/>
      <c r="AI408" s="492" t="n"/>
      <c r="AJ408" s="493" t="n"/>
      <c r="AK408" s="492" t="n"/>
      <c r="AL408" s="492" t="n"/>
      <c r="AM408" s="492" t="n"/>
      <c r="AN408" s="492" t="n"/>
      <c r="AO408" s="492" t="n"/>
      <c r="AP408" s="492" t="n"/>
      <c r="AQ408" s="492" t="n"/>
      <c r="AR408" s="492" t="n"/>
      <c r="AS408" s="492" t="n"/>
      <c r="AT408" s="492" t="n"/>
      <c r="AU408" s="493" t="n"/>
      <c r="AV408" s="492" t="n"/>
      <c r="AW408" s="492" t="n"/>
      <c r="AX408" s="492" t="n"/>
      <c r="AY408" s="492" t="n"/>
      <c r="AZ408" s="492" t="n"/>
      <c r="BA408" s="493" t="n"/>
      <c r="BB408" s="492" t="n"/>
      <c r="BC408" s="492" t="n"/>
      <c r="BD408" s="492" t="n"/>
      <c r="BE408" s="492" t="n"/>
      <c r="BF408" s="493" t="n"/>
      <c r="BG408" s="493" t="n"/>
      <c r="BH408" s="495" t="n"/>
      <c r="BI408" s="496" t="n"/>
      <c r="BJ408" s="496" t="n"/>
      <c r="BK408" s="496" t="n"/>
      <c r="BM408" s="493" t="n"/>
      <c r="BN408" s="493" t="n"/>
      <c r="BO408" s="493" t="n"/>
      <c r="BP408" s="493" t="n"/>
      <c r="BQ408" s="493" t="n"/>
      <c r="BR408" s="493" t="n"/>
      <c r="BS408" s="493" t="n"/>
      <c r="BT408" s="493" t="n"/>
      <c r="BU408" s="493" t="n"/>
      <c r="BV408" s="493" t="n"/>
      <c r="BW408" s="493" t="n"/>
      <c r="BX408" s="493" t="n"/>
      <c r="BY408" s="493" t="n"/>
      <c r="BZ408" s="493" t="n"/>
      <c r="CA408" s="493" t="n"/>
      <c r="CB408" s="493" t="n"/>
      <c r="CC408" s="493" t="n"/>
      <c r="CD408" s="493" t="n"/>
      <c r="CE408" s="493" t="n"/>
      <c r="CF408" s="493" t="n"/>
      <c r="CG408" s="493" t="n"/>
      <c r="CH408" s="493" t="n"/>
      <c r="CI408" s="493" t="n"/>
      <c r="CJ408" s="493" t="n"/>
      <c r="CK408" s="493" t="n"/>
      <c r="CL408" s="493" t="n"/>
    </row>
    <row r="409" customFormat="1" s="230">
      <c r="E409" s="234" t="n"/>
      <c r="F409" s="492" t="n"/>
      <c r="G409" s="492" t="n"/>
      <c r="H409" s="493" t="n"/>
      <c r="I409" s="492" t="n"/>
      <c r="J409" s="492" t="n"/>
      <c r="K409" s="492" t="n"/>
      <c r="L409" s="492" t="n"/>
      <c r="M409" s="493" t="n"/>
      <c r="N409" s="492" t="n"/>
      <c r="O409" s="492" t="n"/>
      <c r="P409" s="492" t="n"/>
      <c r="Q409" s="492" t="n"/>
      <c r="R409" s="492" t="n"/>
      <c r="S409" s="492" t="n"/>
      <c r="T409" s="492" t="n"/>
      <c r="U409" s="492" t="n"/>
      <c r="V409" s="492" t="n"/>
      <c r="W409" s="492" t="n"/>
      <c r="X409" s="492" t="n"/>
      <c r="Y409" s="492" t="n"/>
      <c r="Z409" s="492" t="n"/>
      <c r="AA409" s="492" t="n"/>
      <c r="AB409" s="492" t="n"/>
      <c r="AC409" s="492" t="n"/>
      <c r="AD409" s="492" t="n"/>
      <c r="AE409" s="493" t="n"/>
      <c r="AF409" s="492" t="n"/>
      <c r="AG409" s="492" t="n"/>
      <c r="AH409" s="492" t="n"/>
      <c r="AI409" s="492" t="n"/>
      <c r="AJ409" s="493" t="n"/>
      <c r="AK409" s="492" t="n"/>
      <c r="AL409" s="492" t="n"/>
      <c r="AM409" s="492" t="n"/>
      <c r="AN409" s="492" t="n"/>
      <c r="AO409" s="492" t="n"/>
      <c r="AP409" s="492" t="n"/>
      <c r="AQ409" s="492" t="n"/>
      <c r="AR409" s="492" t="n"/>
      <c r="AS409" s="492" t="n"/>
      <c r="AT409" s="492" t="n"/>
      <c r="AU409" s="493" t="n"/>
      <c r="AV409" s="492" t="n"/>
      <c r="AW409" s="492" t="n"/>
      <c r="AX409" s="492" t="n"/>
      <c r="AY409" s="492" t="n"/>
      <c r="AZ409" s="492" t="n"/>
      <c r="BA409" s="493" t="n"/>
      <c r="BB409" s="492" t="n"/>
      <c r="BC409" s="492" t="n"/>
      <c r="BD409" s="492" t="n"/>
      <c r="BE409" s="492" t="n"/>
      <c r="BF409" s="493" t="n"/>
      <c r="BG409" s="493" t="n"/>
      <c r="BH409" s="495" t="n"/>
      <c r="BI409" s="496" t="n"/>
      <c r="BJ409" s="496" t="n"/>
      <c r="BK409" s="496" t="n"/>
      <c r="BM409" s="493" t="n"/>
      <c r="BN409" s="493" t="n"/>
      <c r="BO409" s="493" t="n"/>
      <c r="BP409" s="493" t="n"/>
      <c r="BQ409" s="493" t="n"/>
      <c r="BR409" s="493" t="n"/>
      <c r="BS409" s="493" t="n"/>
      <c r="BT409" s="493" t="n"/>
      <c r="BU409" s="493" t="n"/>
      <c r="BV409" s="493" t="n"/>
      <c r="BW409" s="493" t="n"/>
      <c r="BX409" s="493" t="n"/>
      <c r="BY409" s="493" t="n"/>
      <c r="BZ409" s="493" t="n"/>
      <c r="CA409" s="493" t="n"/>
      <c r="CB409" s="493" t="n"/>
      <c r="CC409" s="493" t="n"/>
      <c r="CD409" s="493" t="n"/>
      <c r="CE409" s="493" t="n"/>
      <c r="CF409" s="493" t="n"/>
      <c r="CG409" s="493" t="n"/>
      <c r="CH409" s="493" t="n"/>
      <c r="CI409" s="493" t="n"/>
      <c r="CJ409" s="493" t="n"/>
      <c r="CK409" s="493" t="n"/>
      <c r="CL409" s="493" t="n"/>
    </row>
    <row r="410" customFormat="1" s="230">
      <c r="E410" s="234" t="n"/>
      <c r="F410" s="492" t="n"/>
      <c r="G410" s="492" t="n"/>
      <c r="H410" s="493" t="n"/>
      <c r="I410" s="492" t="n"/>
      <c r="J410" s="492" t="n"/>
      <c r="K410" s="492" t="n"/>
      <c r="L410" s="492" t="n"/>
      <c r="M410" s="493" t="n"/>
      <c r="N410" s="492" t="n"/>
      <c r="O410" s="492" t="n"/>
      <c r="P410" s="492" t="n"/>
      <c r="Q410" s="492" t="n"/>
      <c r="R410" s="492" t="n"/>
      <c r="S410" s="492" t="n"/>
      <c r="T410" s="492" t="n"/>
      <c r="U410" s="492" t="n"/>
      <c r="V410" s="492" t="n"/>
      <c r="W410" s="492" t="n"/>
      <c r="X410" s="492" t="n"/>
      <c r="Y410" s="492" t="n"/>
      <c r="Z410" s="492" t="n"/>
      <c r="AA410" s="492" t="n"/>
      <c r="AB410" s="492" t="n"/>
      <c r="AC410" s="492" t="n"/>
      <c r="AD410" s="492" t="n"/>
      <c r="AE410" s="493" t="n"/>
      <c r="AF410" s="492" t="n"/>
      <c r="AG410" s="492" t="n"/>
      <c r="AH410" s="492" t="n"/>
      <c r="AI410" s="492" t="n"/>
      <c r="AJ410" s="493" t="n"/>
      <c r="AK410" s="492" t="n"/>
      <c r="AL410" s="492" t="n"/>
      <c r="AM410" s="492" t="n"/>
      <c r="AN410" s="492" t="n"/>
      <c r="AO410" s="492" t="n"/>
      <c r="AP410" s="492" t="n"/>
      <c r="AQ410" s="492" t="n"/>
      <c r="AR410" s="492" t="n"/>
      <c r="AS410" s="492" t="n"/>
      <c r="AT410" s="492" t="n"/>
      <c r="AU410" s="493" t="n"/>
      <c r="AV410" s="492" t="n"/>
      <c r="AW410" s="492" t="n"/>
      <c r="AX410" s="492" t="n"/>
      <c r="AY410" s="492" t="n"/>
      <c r="AZ410" s="492" t="n"/>
      <c r="BA410" s="493" t="n"/>
      <c r="BB410" s="492" t="n"/>
      <c r="BC410" s="492" t="n"/>
      <c r="BD410" s="492" t="n"/>
      <c r="BE410" s="492" t="n"/>
      <c r="BF410" s="493" t="n"/>
      <c r="BG410" s="493" t="n"/>
      <c r="BH410" s="495" t="n"/>
      <c r="BI410" s="496" t="n"/>
      <c r="BJ410" s="496" t="n"/>
      <c r="BK410" s="496" t="n"/>
      <c r="BM410" s="493" t="n"/>
      <c r="BN410" s="493" t="n"/>
      <c r="BO410" s="493" t="n"/>
      <c r="BP410" s="493" t="n"/>
      <c r="BQ410" s="493" t="n"/>
      <c r="BR410" s="493" t="n"/>
      <c r="BS410" s="493" t="n"/>
      <c r="BT410" s="493" t="n"/>
      <c r="BU410" s="493" t="n"/>
      <c r="BV410" s="493" t="n"/>
      <c r="BW410" s="493" t="n"/>
      <c r="BX410" s="493" t="n"/>
      <c r="BY410" s="493" t="n"/>
      <c r="BZ410" s="493" t="n"/>
      <c r="CA410" s="493" t="n"/>
      <c r="CB410" s="493" t="n"/>
      <c r="CC410" s="493" t="n"/>
      <c r="CD410" s="493" t="n"/>
      <c r="CE410" s="493" t="n"/>
      <c r="CF410" s="493" t="n"/>
      <c r="CG410" s="493" t="n"/>
      <c r="CH410" s="493" t="n"/>
      <c r="CI410" s="493" t="n"/>
      <c r="CJ410" s="493" t="n"/>
      <c r="CK410" s="493" t="n"/>
      <c r="CL410" s="493" t="n"/>
    </row>
    <row r="411" customFormat="1" s="230">
      <c r="E411" s="234" t="n"/>
      <c r="F411" s="492" t="n"/>
      <c r="G411" s="492" t="n"/>
      <c r="H411" s="493" t="n"/>
      <c r="I411" s="492" t="n"/>
      <c r="J411" s="492" t="n"/>
      <c r="K411" s="492" t="n"/>
      <c r="L411" s="492" t="n"/>
      <c r="M411" s="493" t="n"/>
      <c r="N411" s="492" t="n"/>
      <c r="O411" s="492" t="n"/>
      <c r="P411" s="492" t="n"/>
      <c r="Q411" s="492" t="n"/>
      <c r="R411" s="492" t="n"/>
      <c r="S411" s="492" t="n"/>
      <c r="T411" s="492" t="n"/>
      <c r="U411" s="492" t="n"/>
      <c r="V411" s="492" t="n"/>
      <c r="W411" s="492" t="n"/>
      <c r="X411" s="492" t="n"/>
      <c r="Y411" s="492" t="n"/>
      <c r="Z411" s="492" t="n"/>
      <c r="AA411" s="492" t="n"/>
      <c r="AB411" s="492" t="n"/>
      <c r="AC411" s="492" t="n"/>
      <c r="AD411" s="492" t="n"/>
      <c r="AE411" s="493" t="n"/>
      <c r="AF411" s="492" t="n"/>
      <c r="AG411" s="492" t="n"/>
      <c r="AH411" s="492" t="n"/>
      <c r="AI411" s="492" t="n"/>
      <c r="AJ411" s="493" t="n"/>
      <c r="AK411" s="492" t="n"/>
      <c r="AL411" s="492" t="n"/>
      <c r="AM411" s="492" t="n"/>
      <c r="AN411" s="492" t="n"/>
      <c r="AO411" s="492" t="n"/>
      <c r="AP411" s="492" t="n"/>
      <c r="AQ411" s="492" t="n"/>
      <c r="AR411" s="492" t="n"/>
      <c r="AS411" s="492" t="n"/>
      <c r="AT411" s="492" t="n"/>
      <c r="AU411" s="493" t="n"/>
      <c r="AV411" s="492" t="n"/>
      <c r="AW411" s="492" t="n"/>
      <c r="AX411" s="492" t="n"/>
      <c r="AY411" s="492" t="n"/>
      <c r="AZ411" s="492" t="n"/>
      <c r="BA411" s="493" t="n"/>
      <c r="BB411" s="492" t="n"/>
      <c r="BC411" s="492" t="n"/>
      <c r="BD411" s="492" t="n"/>
      <c r="BE411" s="492" t="n"/>
      <c r="BF411" s="493" t="n"/>
      <c r="BG411" s="493" t="n"/>
      <c r="BH411" s="495" t="n"/>
      <c r="BI411" s="496" t="n"/>
      <c r="BJ411" s="496" t="n"/>
      <c r="BK411" s="496" t="n"/>
      <c r="BM411" s="493" t="n"/>
      <c r="BN411" s="493" t="n"/>
      <c r="BO411" s="493" t="n"/>
      <c r="BP411" s="493" t="n"/>
      <c r="BQ411" s="493" t="n"/>
      <c r="BR411" s="493" t="n"/>
      <c r="BS411" s="493" t="n"/>
      <c r="BT411" s="493" t="n"/>
      <c r="BU411" s="493" t="n"/>
      <c r="BV411" s="493" t="n"/>
      <c r="BW411" s="493" t="n"/>
      <c r="BX411" s="493" t="n"/>
      <c r="BY411" s="493" t="n"/>
      <c r="BZ411" s="493" t="n"/>
      <c r="CA411" s="493" t="n"/>
      <c r="CB411" s="493" t="n"/>
      <c r="CC411" s="493" t="n"/>
      <c r="CD411" s="493" t="n"/>
      <c r="CE411" s="493" t="n"/>
      <c r="CF411" s="493" t="n"/>
      <c r="CG411" s="493" t="n"/>
      <c r="CH411" s="493" t="n"/>
      <c r="CI411" s="493" t="n"/>
      <c r="CJ411" s="493" t="n"/>
      <c r="CK411" s="493" t="n"/>
      <c r="CL411" s="493" t="n"/>
    </row>
    <row r="412" customFormat="1" s="230">
      <c r="E412" s="234" t="n"/>
      <c r="F412" s="492" t="n"/>
      <c r="G412" s="492" t="n"/>
      <c r="H412" s="493" t="n"/>
      <c r="I412" s="492" t="n"/>
      <c r="J412" s="492" t="n"/>
      <c r="K412" s="492" t="n"/>
      <c r="L412" s="492" t="n"/>
      <c r="M412" s="493" t="n"/>
      <c r="N412" s="492" t="n"/>
      <c r="O412" s="492" t="n"/>
      <c r="P412" s="492" t="n"/>
      <c r="Q412" s="492" t="n"/>
      <c r="R412" s="492" t="n"/>
      <c r="S412" s="492" t="n"/>
      <c r="T412" s="492" t="n"/>
      <c r="U412" s="492" t="n"/>
      <c r="V412" s="492" t="n"/>
      <c r="W412" s="492" t="n"/>
      <c r="X412" s="492" t="n"/>
      <c r="Y412" s="492" t="n"/>
      <c r="Z412" s="492" t="n"/>
      <c r="AA412" s="492" t="n"/>
      <c r="AB412" s="492" t="n"/>
      <c r="AC412" s="492" t="n"/>
      <c r="AD412" s="492" t="n"/>
      <c r="AE412" s="493" t="n"/>
      <c r="AF412" s="492" t="n"/>
      <c r="AG412" s="492" t="n"/>
      <c r="AH412" s="492" t="n"/>
      <c r="AI412" s="492" t="n"/>
      <c r="AJ412" s="493" t="n"/>
      <c r="AK412" s="492" t="n"/>
      <c r="AL412" s="492" t="n"/>
      <c r="AM412" s="492" t="n"/>
      <c r="AN412" s="492" t="n"/>
      <c r="AO412" s="492" t="n"/>
      <c r="AP412" s="492" t="n"/>
      <c r="AQ412" s="492" t="n"/>
      <c r="AR412" s="492" t="n"/>
      <c r="AS412" s="492" t="n"/>
      <c r="AT412" s="492" t="n"/>
      <c r="AU412" s="493" t="n"/>
      <c r="AV412" s="492" t="n"/>
      <c r="AW412" s="492" t="n"/>
      <c r="AX412" s="492" t="n"/>
      <c r="AY412" s="492" t="n"/>
      <c r="AZ412" s="492" t="n"/>
      <c r="BA412" s="493" t="n"/>
      <c r="BB412" s="492" t="n"/>
      <c r="BC412" s="492" t="n"/>
      <c r="BD412" s="492" t="n"/>
      <c r="BE412" s="492" t="n"/>
      <c r="BF412" s="493" t="n"/>
      <c r="BG412" s="493" t="n"/>
      <c r="BH412" s="495" t="n"/>
      <c r="BI412" s="496" t="n"/>
      <c r="BJ412" s="496" t="n"/>
      <c r="BK412" s="496" t="n"/>
      <c r="BM412" s="493" t="n"/>
      <c r="BN412" s="493" t="n"/>
      <c r="BO412" s="493" t="n"/>
      <c r="BP412" s="493" t="n"/>
      <c r="BQ412" s="493" t="n"/>
      <c r="BR412" s="493" t="n"/>
      <c r="BS412" s="493" t="n"/>
      <c r="BT412" s="493" t="n"/>
      <c r="BU412" s="493" t="n"/>
      <c r="BV412" s="493" t="n"/>
      <c r="BW412" s="493" t="n"/>
      <c r="BX412" s="493" t="n"/>
      <c r="BY412" s="493" t="n"/>
      <c r="BZ412" s="493" t="n"/>
      <c r="CA412" s="493" t="n"/>
      <c r="CB412" s="493" t="n"/>
      <c r="CC412" s="493" t="n"/>
      <c r="CD412" s="493" t="n"/>
      <c r="CE412" s="493" t="n"/>
      <c r="CF412" s="493" t="n"/>
      <c r="CG412" s="493" t="n"/>
      <c r="CH412" s="493" t="n"/>
      <c r="CI412" s="493" t="n"/>
      <c r="CJ412" s="493" t="n"/>
      <c r="CK412" s="493" t="n"/>
      <c r="CL412" s="493" t="n"/>
    </row>
    <row r="413" customFormat="1" s="230">
      <c r="E413" s="234" t="n"/>
      <c r="F413" s="492" t="n"/>
      <c r="G413" s="492" t="n"/>
      <c r="H413" s="493" t="n"/>
      <c r="I413" s="492" t="n"/>
      <c r="J413" s="492" t="n"/>
      <c r="K413" s="492" t="n"/>
      <c r="L413" s="492" t="n"/>
      <c r="M413" s="493" t="n"/>
      <c r="N413" s="492" t="n"/>
      <c r="O413" s="492" t="n"/>
      <c r="P413" s="492" t="n"/>
      <c r="Q413" s="492" t="n"/>
      <c r="R413" s="492" t="n"/>
      <c r="S413" s="492" t="n"/>
      <c r="T413" s="492" t="n"/>
      <c r="U413" s="492" t="n"/>
      <c r="V413" s="492" t="n"/>
      <c r="W413" s="492" t="n"/>
      <c r="X413" s="492" t="n"/>
      <c r="Y413" s="492" t="n"/>
      <c r="Z413" s="492" t="n"/>
      <c r="AA413" s="492" t="n"/>
      <c r="AB413" s="492" t="n"/>
      <c r="AC413" s="492" t="n"/>
      <c r="AD413" s="492" t="n"/>
      <c r="AE413" s="493" t="n"/>
      <c r="AF413" s="492" t="n"/>
      <c r="AG413" s="492" t="n"/>
      <c r="AH413" s="492" t="n"/>
      <c r="AI413" s="492" t="n"/>
      <c r="AJ413" s="493" t="n"/>
      <c r="AK413" s="492" t="n"/>
      <c r="AL413" s="492" t="n"/>
      <c r="AM413" s="492" t="n"/>
      <c r="AN413" s="492" t="n"/>
      <c r="AO413" s="492" t="n"/>
      <c r="AP413" s="492" t="n"/>
      <c r="AQ413" s="492" t="n"/>
      <c r="AR413" s="492" t="n"/>
      <c r="AS413" s="492" t="n"/>
      <c r="AT413" s="492" t="n"/>
      <c r="AU413" s="493" t="n"/>
      <c r="AV413" s="492" t="n"/>
      <c r="AW413" s="492" t="n"/>
      <c r="AX413" s="492" t="n"/>
      <c r="AY413" s="492" t="n"/>
      <c r="AZ413" s="492" t="n"/>
      <c r="BA413" s="493" t="n"/>
      <c r="BB413" s="492" t="n"/>
      <c r="BC413" s="492" t="n"/>
      <c r="BD413" s="492" t="n"/>
      <c r="BE413" s="492" t="n"/>
      <c r="BF413" s="493" t="n"/>
      <c r="BG413" s="493" t="n"/>
      <c r="BH413" s="495" t="n"/>
      <c r="BI413" s="496" t="n"/>
      <c r="BJ413" s="496" t="n"/>
      <c r="BK413" s="496" t="n"/>
      <c r="BM413" s="493" t="n"/>
      <c r="BN413" s="493" t="n"/>
      <c r="BO413" s="493" t="n"/>
      <c r="BP413" s="493" t="n"/>
      <c r="BQ413" s="493" t="n"/>
      <c r="BR413" s="493" t="n"/>
      <c r="BS413" s="493" t="n"/>
      <c r="BT413" s="493" t="n"/>
      <c r="BU413" s="493" t="n"/>
      <c r="BV413" s="493" t="n"/>
      <c r="BW413" s="493" t="n"/>
      <c r="BX413" s="493" t="n"/>
      <c r="BY413" s="493" t="n"/>
      <c r="BZ413" s="493" t="n"/>
      <c r="CA413" s="493" t="n"/>
      <c r="CB413" s="493" t="n"/>
      <c r="CC413" s="493" t="n"/>
      <c r="CD413" s="493" t="n"/>
      <c r="CE413" s="493" t="n"/>
      <c r="CF413" s="493" t="n"/>
      <c r="CG413" s="493" t="n"/>
      <c r="CH413" s="493" t="n"/>
      <c r="CI413" s="493" t="n"/>
      <c r="CJ413" s="493" t="n"/>
      <c r="CK413" s="493" t="n"/>
      <c r="CL413" s="493" t="n"/>
    </row>
    <row r="414" customFormat="1" s="230">
      <c r="E414" s="234" t="n"/>
      <c r="F414" s="492" t="n"/>
      <c r="G414" s="492" t="n"/>
      <c r="H414" s="493" t="n"/>
      <c r="I414" s="492" t="n"/>
      <c r="J414" s="492" t="n"/>
      <c r="K414" s="492" t="n"/>
      <c r="L414" s="492" t="n"/>
      <c r="M414" s="493" t="n"/>
      <c r="N414" s="492" t="n"/>
      <c r="O414" s="492" t="n"/>
      <c r="P414" s="492" t="n"/>
      <c r="Q414" s="492" t="n"/>
      <c r="R414" s="492" t="n"/>
      <c r="S414" s="492" t="n"/>
      <c r="T414" s="492" t="n"/>
      <c r="U414" s="492" t="n"/>
      <c r="V414" s="492" t="n"/>
      <c r="W414" s="492" t="n"/>
      <c r="X414" s="492" t="n"/>
      <c r="Y414" s="492" t="n"/>
      <c r="Z414" s="492" t="n"/>
      <c r="AA414" s="492" t="n"/>
      <c r="AB414" s="492" t="n"/>
      <c r="AC414" s="492" t="n"/>
      <c r="AD414" s="492" t="n"/>
      <c r="AE414" s="493" t="n"/>
      <c r="AF414" s="492" t="n"/>
      <c r="AG414" s="492" t="n"/>
      <c r="AH414" s="492" t="n"/>
      <c r="AI414" s="492" t="n"/>
      <c r="AJ414" s="493" t="n"/>
      <c r="AK414" s="492" t="n"/>
      <c r="AL414" s="492" t="n"/>
      <c r="AM414" s="492" t="n"/>
      <c r="AN414" s="492" t="n"/>
      <c r="AO414" s="492" t="n"/>
      <c r="AP414" s="492" t="n"/>
      <c r="AQ414" s="492" t="n"/>
      <c r="AR414" s="492" t="n"/>
      <c r="AS414" s="492" t="n"/>
      <c r="AT414" s="492" t="n"/>
      <c r="AU414" s="493" t="n"/>
      <c r="AV414" s="492" t="n"/>
      <c r="AW414" s="492" t="n"/>
      <c r="AX414" s="492" t="n"/>
      <c r="AY414" s="492" t="n"/>
      <c r="AZ414" s="492" t="n"/>
      <c r="BA414" s="493" t="n"/>
      <c r="BB414" s="492" t="n"/>
      <c r="BC414" s="492" t="n"/>
      <c r="BD414" s="492" t="n"/>
      <c r="BE414" s="492" t="n"/>
      <c r="BF414" s="493" t="n"/>
      <c r="BG414" s="493" t="n"/>
      <c r="BH414" s="495" t="n"/>
      <c r="BI414" s="496" t="n"/>
      <c r="BJ414" s="496" t="n"/>
      <c r="BK414" s="496" t="n"/>
      <c r="BM414" s="493" t="n"/>
      <c r="BN414" s="493" t="n"/>
      <c r="BO414" s="493" t="n"/>
      <c r="BP414" s="493" t="n"/>
      <c r="BQ414" s="493" t="n"/>
      <c r="BR414" s="493" t="n"/>
      <c r="BS414" s="493" t="n"/>
      <c r="BT414" s="493" t="n"/>
      <c r="BU414" s="493" t="n"/>
      <c r="BV414" s="493" t="n"/>
      <c r="BW414" s="493" t="n"/>
      <c r="BX414" s="493" t="n"/>
      <c r="BY414" s="493" t="n"/>
      <c r="BZ414" s="493" t="n"/>
      <c r="CA414" s="493" t="n"/>
      <c r="CB414" s="493" t="n"/>
      <c r="CC414" s="493" t="n"/>
      <c r="CD414" s="493" t="n"/>
      <c r="CE414" s="493" t="n"/>
      <c r="CF414" s="493" t="n"/>
      <c r="CG414" s="493" t="n"/>
      <c r="CH414" s="493" t="n"/>
      <c r="CI414" s="493" t="n"/>
      <c r="CJ414" s="493" t="n"/>
      <c r="CK414" s="493" t="n"/>
      <c r="CL414" s="493" t="n"/>
    </row>
    <row r="415" customFormat="1" s="230">
      <c r="E415" s="234" t="n"/>
      <c r="F415" s="492" t="n"/>
      <c r="G415" s="492" t="n"/>
      <c r="H415" s="493" t="n"/>
      <c r="I415" s="492" t="n"/>
      <c r="J415" s="492" t="n"/>
      <c r="K415" s="492" t="n"/>
      <c r="L415" s="492" t="n"/>
      <c r="M415" s="493" t="n"/>
      <c r="N415" s="492" t="n"/>
      <c r="O415" s="492" t="n"/>
      <c r="P415" s="492" t="n"/>
      <c r="Q415" s="492" t="n"/>
      <c r="R415" s="492" t="n"/>
      <c r="S415" s="492" t="n"/>
      <c r="T415" s="492" t="n"/>
      <c r="U415" s="492" t="n"/>
      <c r="V415" s="492" t="n"/>
      <c r="W415" s="492" t="n"/>
      <c r="X415" s="492" t="n"/>
      <c r="Y415" s="492" t="n"/>
      <c r="Z415" s="492" t="n"/>
      <c r="AA415" s="492" t="n"/>
      <c r="AB415" s="492" t="n"/>
      <c r="AC415" s="492" t="n"/>
      <c r="AD415" s="492" t="n"/>
      <c r="AE415" s="493" t="n"/>
      <c r="AF415" s="492" t="n"/>
      <c r="AG415" s="492" t="n"/>
      <c r="AH415" s="492" t="n"/>
      <c r="AI415" s="492" t="n"/>
      <c r="AJ415" s="493" t="n"/>
      <c r="AK415" s="492" t="n"/>
      <c r="AL415" s="492" t="n"/>
      <c r="AM415" s="492" t="n"/>
      <c r="AN415" s="492" t="n"/>
      <c r="AO415" s="492" t="n"/>
      <c r="AP415" s="492" t="n"/>
      <c r="AQ415" s="492" t="n"/>
      <c r="AR415" s="492" t="n"/>
      <c r="AS415" s="492" t="n"/>
      <c r="AT415" s="492" t="n"/>
      <c r="AU415" s="493" t="n"/>
      <c r="AV415" s="492" t="n"/>
      <c r="AW415" s="492" t="n"/>
      <c r="AX415" s="492" t="n"/>
      <c r="AY415" s="492" t="n"/>
      <c r="AZ415" s="492" t="n"/>
      <c r="BA415" s="493" t="n"/>
      <c r="BB415" s="492" t="n"/>
      <c r="BC415" s="492" t="n"/>
      <c r="BD415" s="492" t="n"/>
      <c r="BE415" s="492" t="n"/>
      <c r="BF415" s="493" t="n"/>
      <c r="BG415" s="493" t="n"/>
      <c r="BH415" s="495" t="n"/>
      <c r="BI415" s="496" t="n"/>
      <c r="BJ415" s="496" t="n"/>
      <c r="BK415" s="496" t="n"/>
      <c r="BM415" s="493" t="n"/>
      <c r="BN415" s="493" t="n"/>
      <c r="BO415" s="493" t="n"/>
      <c r="BP415" s="493" t="n"/>
      <c r="BQ415" s="493" t="n"/>
      <c r="BR415" s="493" t="n"/>
      <c r="BS415" s="493" t="n"/>
      <c r="BT415" s="493" t="n"/>
      <c r="BU415" s="493" t="n"/>
      <c r="BV415" s="493" t="n"/>
      <c r="BW415" s="493" t="n"/>
      <c r="BX415" s="493" t="n"/>
      <c r="BY415" s="493" t="n"/>
      <c r="BZ415" s="493" t="n"/>
      <c r="CA415" s="493" t="n"/>
      <c r="CB415" s="493" t="n"/>
      <c r="CC415" s="493" t="n"/>
      <c r="CD415" s="493" t="n"/>
      <c r="CE415" s="493" t="n"/>
      <c r="CF415" s="493" t="n"/>
      <c r="CG415" s="493" t="n"/>
      <c r="CH415" s="493" t="n"/>
      <c r="CI415" s="493" t="n"/>
      <c r="CJ415" s="493" t="n"/>
      <c r="CK415" s="493" t="n"/>
      <c r="CL415" s="493" t="n"/>
    </row>
    <row r="416" customFormat="1" s="230">
      <c r="E416" s="234" t="n"/>
      <c r="F416" s="492" t="n"/>
      <c r="G416" s="492" t="n"/>
      <c r="H416" s="493" t="n"/>
      <c r="I416" s="492" t="n"/>
      <c r="J416" s="492" t="n"/>
      <c r="K416" s="492" t="n"/>
      <c r="L416" s="492" t="n"/>
      <c r="M416" s="493" t="n"/>
      <c r="N416" s="492" t="n"/>
      <c r="O416" s="492" t="n"/>
      <c r="P416" s="492" t="n"/>
      <c r="Q416" s="492" t="n"/>
      <c r="R416" s="492" t="n"/>
      <c r="S416" s="492" t="n"/>
      <c r="T416" s="492" t="n"/>
      <c r="U416" s="492" t="n"/>
      <c r="V416" s="492" t="n"/>
      <c r="W416" s="492" t="n"/>
      <c r="X416" s="492" t="n"/>
      <c r="Y416" s="492" t="n"/>
      <c r="Z416" s="492" t="n"/>
      <c r="AA416" s="492" t="n"/>
      <c r="AB416" s="492" t="n"/>
      <c r="AC416" s="492" t="n"/>
      <c r="AD416" s="492" t="n"/>
      <c r="AE416" s="493" t="n"/>
      <c r="AF416" s="492" t="n"/>
      <c r="AG416" s="492" t="n"/>
      <c r="AH416" s="492" t="n"/>
      <c r="AI416" s="492" t="n"/>
      <c r="AJ416" s="493" t="n"/>
      <c r="AK416" s="492" t="n"/>
      <c r="AL416" s="492" t="n"/>
      <c r="AM416" s="492" t="n"/>
      <c r="AN416" s="492" t="n"/>
      <c r="AO416" s="492" t="n"/>
      <c r="AP416" s="492" t="n"/>
      <c r="AQ416" s="492" t="n"/>
      <c r="AR416" s="492" t="n"/>
      <c r="AS416" s="492" t="n"/>
      <c r="AT416" s="492" t="n"/>
      <c r="AU416" s="493" t="n"/>
      <c r="AV416" s="492" t="n"/>
      <c r="AW416" s="492" t="n"/>
      <c r="AX416" s="492" t="n"/>
      <c r="AY416" s="492" t="n"/>
      <c r="AZ416" s="492" t="n"/>
      <c r="BA416" s="493" t="n"/>
      <c r="BB416" s="492" t="n"/>
      <c r="BC416" s="492" t="n"/>
      <c r="BD416" s="492" t="n"/>
      <c r="BE416" s="492" t="n"/>
      <c r="BF416" s="493" t="n"/>
      <c r="BG416" s="493" t="n"/>
      <c r="BH416" s="495" t="n"/>
      <c r="BI416" s="496" t="n"/>
      <c r="BJ416" s="496" t="n"/>
      <c r="BK416" s="496" t="n"/>
      <c r="BM416" s="493" t="n"/>
      <c r="BN416" s="493" t="n"/>
      <c r="BO416" s="493" t="n"/>
      <c r="BP416" s="493" t="n"/>
      <c r="BQ416" s="493" t="n"/>
      <c r="BR416" s="493" t="n"/>
      <c r="BS416" s="493" t="n"/>
      <c r="BT416" s="493" t="n"/>
      <c r="BU416" s="493" t="n"/>
      <c r="BV416" s="493" t="n"/>
      <c r="BW416" s="493" t="n"/>
      <c r="BX416" s="493" t="n"/>
      <c r="BY416" s="493" t="n"/>
      <c r="BZ416" s="493" t="n"/>
      <c r="CA416" s="493" t="n"/>
      <c r="CB416" s="493" t="n"/>
      <c r="CC416" s="493" t="n"/>
      <c r="CD416" s="493" t="n"/>
      <c r="CE416" s="493" t="n"/>
      <c r="CF416" s="493" t="n"/>
      <c r="CG416" s="493" t="n"/>
      <c r="CH416" s="493" t="n"/>
      <c r="CI416" s="493" t="n"/>
      <c r="CJ416" s="493" t="n"/>
      <c r="CK416" s="493" t="n"/>
      <c r="CL416" s="493" t="n"/>
    </row>
    <row r="417" customFormat="1" s="230">
      <c r="E417" s="234" t="n"/>
      <c r="F417" s="492" t="n"/>
      <c r="G417" s="492" t="n"/>
      <c r="H417" s="493" t="n"/>
      <c r="I417" s="492" t="n"/>
      <c r="J417" s="492" t="n"/>
      <c r="K417" s="492" t="n"/>
      <c r="L417" s="492" t="n"/>
      <c r="M417" s="493" t="n"/>
      <c r="N417" s="492" t="n"/>
      <c r="O417" s="492" t="n"/>
      <c r="P417" s="492" t="n"/>
      <c r="Q417" s="492" t="n"/>
      <c r="R417" s="492" t="n"/>
      <c r="S417" s="492" t="n"/>
      <c r="T417" s="492" t="n"/>
      <c r="U417" s="492" t="n"/>
      <c r="V417" s="492" t="n"/>
      <c r="W417" s="492" t="n"/>
      <c r="X417" s="492" t="n"/>
      <c r="Y417" s="492" t="n"/>
      <c r="Z417" s="492" t="n"/>
      <c r="AA417" s="492" t="n"/>
      <c r="AB417" s="492" t="n"/>
      <c r="AC417" s="492" t="n"/>
      <c r="AD417" s="492" t="n"/>
      <c r="AE417" s="493" t="n"/>
      <c r="AF417" s="492" t="n"/>
      <c r="AG417" s="492" t="n"/>
      <c r="AH417" s="492" t="n"/>
      <c r="AI417" s="492" t="n"/>
      <c r="AJ417" s="493" t="n"/>
      <c r="AK417" s="492" t="n"/>
      <c r="AL417" s="492" t="n"/>
      <c r="AM417" s="492" t="n"/>
      <c r="AN417" s="492" t="n"/>
      <c r="AO417" s="492" t="n"/>
      <c r="AP417" s="492" t="n"/>
      <c r="AQ417" s="492" t="n"/>
      <c r="AR417" s="492" t="n"/>
      <c r="AS417" s="492" t="n"/>
      <c r="AT417" s="492" t="n"/>
      <c r="AU417" s="493" t="n"/>
      <c r="AV417" s="492" t="n"/>
      <c r="AW417" s="492" t="n"/>
      <c r="AX417" s="492" t="n"/>
      <c r="AY417" s="492" t="n"/>
      <c r="AZ417" s="492" t="n"/>
      <c r="BA417" s="493" t="n"/>
      <c r="BB417" s="492" t="n"/>
      <c r="BC417" s="492" t="n"/>
      <c r="BD417" s="492" t="n"/>
      <c r="BE417" s="492" t="n"/>
      <c r="BF417" s="493" t="n"/>
      <c r="BG417" s="493" t="n"/>
      <c r="BH417" s="495" t="n"/>
      <c r="BI417" s="496" t="n"/>
      <c r="BJ417" s="496" t="n"/>
      <c r="BK417" s="496" t="n"/>
      <c r="BM417" s="493" t="n"/>
      <c r="BN417" s="493" t="n"/>
      <c r="BO417" s="493" t="n"/>
      <c r="BP417" s="493" t="n"/>
      <c r="BQ417" s="493" t="n"/>
      <c r="BR417" s="493" t="n"/>
      <c r="BS417" s="493" t="n"/>
      <c r="BT417" s="493" t="n"/>
      <c r="BU417" s="493" t="n"/>
      <c r="BV417" s="493" t="n"/>
      <c r="BW417" s="493" t="n"/>
      <c r="BX417" s="493" t="n"/>
      <c r="BY417" s="493" t="n"/>
      <c r="BZ417" s="493" t="n"/>
      <c r="CA417" s="493" t="n"/>
      <c r="CB417" s="493" t="n"/>
      <c r="CC417" s="493" t="n"/>
      <c r="CD417" s="493" t="n"/>
      <c r="CE417" s="493" t="n"/>
      <c r="CF417" s="493" t="n"/>
      <c r="CG417" s="493" t="n"/>
      <c r="CH417" s="493" t="n"/>
      <c r="CI417" s="493" t="n"/>
      <c r="CJ417" s="493" t="n"/>
      <c r="CK417" s="493" t="n"/>
      <c r="CL417" s="493" t="n"/>
    </row>
    <row r="418" customFormat="1" s="230">
      <c r="E418" s="234" t="n"/>
      <c r="F418" s="492" t="n"/>
      <c r="G418" s="492" t="n"/>
      <c r="H418" s="493" t="n"/>
      <c r="I418" s="492" t="n"/>
      <c r="J418" s="492" t="n"/>
      <c r="K418" s="492" t="n"/>
      <c r="L418" s="492" t="n"/>
      <c r="M418" s="493" t="n"/>
      <c r="N418" s="492" t="n"/>
      <c r="O418" s="492" t="n"/>
      <c r="P418" s="492" t="n"/>
      <c r="Q418" s="492" t="n"/>
      <c r="R418" s="492" t="n"/>
      <c r="S418" s="492" t="n"/>
      <c r="T418" s="492" t="n"/>
      <c r="U418" s="492" t="n"/>
      <c r="V418" s="492" t="n"/>
      <c r="W418" s="492" t="n"/>
      <c r="X418" s="492" t="n"/>
      <c r="Y418" s="492" t="n"/>
      <c r="Z418" s="492" t="n"/>
      <c r="AA418" s="492" t="n"/>
      <c r="AB418" s="492" t="n"/>
      <c r="AC418" s="492" t="n"/>
      <c r="AD418" s="492" t="n"/>
      <c r="AE418" s="493" t="n"/>
      <c r="AF418" s="492" t="n"/>
      <c r="AG418" s="492" t="n"/>
      <c r="AH418" s="492" t="n"/>
      <c r="AI418" s="492" t="n"/>
      <c r="AJ418" s="493" t="n"/>
      <c r="AK418" s="492" t="n"/>
      <c r="AL418" s="492" t="n"/>
      <c r="AM418" s="492" t="n"/>
      <c r="AN418" s="492" t="n"/>
      <c r="AO418" s="492" t="n"/>
      <c r="AP418" s="492" t="n"/>
      <c r="AQ418" s="492" t="n"/>
      <c r="AR418" s="492" t="n"/>
      <c r="AS418" s="492" t="n"/>
      <c r="AT418" s="492" t="n"/>
      <c r="AU418" s="493" t="n"/>
      <c r="AV418" s="492" t="n"/>
      <c r="AW418" s="492" t="n"/>
      <c r="AX418" s="492" t="n"/>
      <c r="AY418" s="492" t="n"/>
      <c r="AZ418" s="492" t="n"/>
      <c r="BA418" s="493" t="n"/>
      <c r="BB418" s="492" t="n"/>
      <c r="BC418" s="492" t="n"/>
      <c r="BD418" s="492" t="n"/>
      <c r="BE418" s="492" t="n"/>
      <c r="BF418" s="493" t="n"/>
      <c r="BG418" s="493" t="n"/>
      <c r="BH418" s="495" t="n"/>
      <c r="BI418" s="496" t="n"/>
      <c r="BJ418" s="496" t="n"/>
      <c r="BK418" s="496" t="n"/>
      <c r="BM418" s="493" t="n"/>
      <c r="BN418" s="493" t="n"/>
      <c r="BO418" s="493" t="n"/>
      <c r="BP418" s="493" t="n"/>
      <c r="BQ418" s="493" t="n"/>
      <c r="BR418" s="493" t="n"/>
      <c r="BS418" s="493" t="n"/>
      <c r="BT418" s="493" t="n"/>
      <c r="BU418" s="493" t="n"/>
      <c r="BV418" s="493" t="n"/>
      <c r="BW418" s="493" t="n"/>
      <c r="BX418" s="493" t="n"/>
      <c r="BY418" s="493" t="n"/>
      <c r="BZ418" s="493" t="n"/>
      <c r="CA418" s="493" t="n"/>
      <c r="CB418" s="493" t="n"/>
      <c r="CC418" s="493" t="n"/>
      <c r="CD418" s="493" t="n"/>
      <c r="CE418" s="493" t="n"/>
      <c r="CF418" s="493" t="n"/>
      <c r="CG418" s="493" t="n"/>
      <c r="CH418" s="493" t="n"/>
      <c r="CI418" s="493" t="n"/>
      <c r="CJ418" s="493" t="n"/>
      <c r="CK418" s="493" t="n"/>
      <c r="CL418" s="493" t="n"/>
    </row>
    <row r="419" customFormat="1" s="230">
      <c r="E419" s="234" t="n"/>
      <c r="F419" s="492" t="n"/>
      <c r="G419" s="492" t="n"/>
      <c r="H419" s="493" t="n"/>
      <c r="I419" s="492" t="n"/>
      <c r="J419" s="492" t="n"/>
      <c r="K419" s="492" t="n"/>
      <c r="L419" s="492" t="n"/>
      <c r="M419" s="493" t="n"/>
      <c r="N419" s="492" t="n"/>
      <c r="O419" s="492" t="n"/>
      <c r="P419" s="492" t="n"/>
      <c r="Q419" s="492" t="n"/>
      <c r="R419" s="492" t="n"/>
      <c r="S419" s="492" t="n"/>
      <c r="T419" s="492" t="n"/>
      <c r="U419" s="492" t="n"/>
      <c r="V419" s="492" t="n"/>
      <c r="W419" s="492" t="n"/>
      <c r="X419" s="492" t="n"/>
      <c r="Y419" s="492" t="n"/>
      <c r="Z419" s="492" t="n"/>
      <c r="AA419" s="492" t="n"/>
      <c r="AB419" s="492" t="n"/>
      <c r="AC419" s="492" t="n"/>
      <c r="AD419" s="492" t="n"/>
      <c r="AE419" s="493" t="n"/>
      <c r="AF419" s="492" t="n"/>
      <c r="AG419" s="492" t="n"/>
      <c r="AH419" s="492" t="n"/>
      <c r="AI419" s="492" t="n"/>
      <c r="AJ419" s="493" t="n"/>
      <c r="AK419" s="492" t="n"/>
      <c r="AL419" s="492" t="n"/>
      <c r="AM419" s="492" t="n"/>
      <c r="AN419" s="492" t="n"/>
      <c r="AO419" s="492" t="n"/>
      <c r="AP419" s="492" t="n"/>
      <c r="AQ419" s="492" t="n"/>
      <c r="AR419" s="492" t="n"/>
      <c r="AS419" s="492" t="n"/>
      <c r="AT419" s="492" t="n"/>
      <c r="AU419" s="493" t="n"/>
      <c r="AV419" s="492" t="n"/>
      <c r="AW419" s="492" t="n"/>
      <c r="AX419" s="492" t="n"/>
      <c r="AY419" s="492" t="n"/>
      <c r="AZ419" s="492" t="n"/>
      <c r="BA419" s="493" t="n"/>
      <c r="BB419" s="492" t="n"/>
      <c r="BC419" s="492" t="n"/>
      <c r="BD419" s="492" t="n"/>
      <c r="BE419" s="492" t="n"/>
      <c r="BF419" s="493" t="n"/>
      <c r="BG419" s="493" t="n"/>
      <c r="BH419" s="495" t="n"/>
      <c r="BI419" s="496" t="n"/>
      <c r="BJ419" s="496" t="n"/>
      <c r="BK419" s="496" t="n"/>
      <c r="BM419" s="493" t="n"/>
      <c r="BN419" s="493" t="n"/>
      <c r="BO419" s="493" t="n"/>
      <c r="BP419" s="493" t="n"/>
      <c r="BQ419" s="493" t="n"/>
      <c r="BR419" s="493" t="n"/>
      <c r="BS419" s="493" t="n"/>
      <c r="BT419" s="493" t="n"/>
      <c r="BU419" s="493" t="n"/>
      <c r="BV419" s="493" t="n"/>
      <c r="BW419" s="493" t="n"/>
      <c r="BX419" s="493" t="n"/>
      <c r="BY419" s="493" t="n"/>
      <c r="BZ419" s="493" t="n"/>
      <c r="CA419" s="493" t="n"/>
      <c r="CB419" s="493" t="n"/>
      <c r="CC419" s="493" t="n"/>
      <c r="CD419" s="493" t="n"/>
      <c r="CE419" s="493" t="n"/>
      <c r="CF419" s="493" t="n"/>
      <c r="CG419" s="493" t="n"/>
      <c r="CH419" s="493" t="n"/>
      <c r="CI419" s="493" t="n"/>
      <c r="CJ419" s="493" t="n"/>
      <c r="CK419" s="493" t="n"/>
      <c r="CL419" s="493" t="n"/>
    </row>
    <row r="420" customFormat="1" s="230">
      <c r="E420" s="234" t="n"/>
      <c r="F420" s="492" t="n"/>
      <c r="G420" s="492" t="n"/>
      <c r="H420" s="493" t="n"/>
      <c r="I420" s="492" t="n"/>
      <c r="J420" s="492" t="n"/>
      <c r="K420" s="492" t="n"/>
      <c r="L420" s="492" t="n"/>
      <c r="M420" s="493" t="n"/>
      <c r="N420" s="492" t="n"/>
      <c r="O420" s="492" t="n"/>
      <c r="P420" s="492" t="n"/>
      <c r="Q420" s="492" t="n"/>
      <c r="R420" s="492" t="n"/>
      <c r="S420" s="492" t="n"/>
      <c r="T420" s="492" t="n"/>
      <c r="U420" s="492" t="n"/>
      <c r="V420" s="492" t="n"/>
      <c r="W420" s="492" t="n"/>
      <c r="X420" s="492" t="n"/>
      <c r="Y420" s="492" t="n"/>
      <c r="Z420" s="492" t="n"/>
      <c r="AA420" s="492" t="n"/>
      <c r="AB420" s="492" t="n"/>
      <c r="AC420" s="492" t="n"/>
      <c r="AD420" s="492" t="n"/>
      <c r="AE420" s="493" t="n"/>
      <c r="AF420" s="492" t="n"/>
      <c r="AG420" s="492" t="n"/>
      <c r="AH420" s="492" t="n"/>
      <c r="AI420" s="492" t="n"/>
      <c r="AJ420" s="493" t="n"/>
      <c r="AK420" s="492" t="n"/>
      <c r="AL420" s="492" t="n"/>
      <c r="AM420" s="492" t="n"/>
      <c r="AN420" s="492" t="n"/>
      <c r="AO420" s="492" t="n"/>
      <c r="AP420" s="492" t="n"/>
      <c r="AQ420" s="492" t="n"/>
      <c r="AR420" s="492" t="n"/>
      <c r="AS420" s="492" t="n"/>
      <c r="AT420" s="492" t="n"/>
      <c r="AU420" s="493" t="n"/>
      <c r="AV420" s="492" t="n"/>
      <c r="AW420" s="492" t="n"/>
      <c r="AX420" s="492" t="n"/>
      <c r="AY420" s="492" t="n"/>
      <c r="AZ420" s="492" t="n"/>
      <c r="BA420" s="493" t="n"/>
      <c r="BB420" s="492" t="n"/>
      <c r="BC420" s="492" t="n"/>
      <c r="BD420" s="492" t="n"/>
      <c r="BE420" s="492" t="n"/>
      <c r="BF420" s="493" t="n"/>
      <c r="BG420" s="493" t="n"/>
      <c r="BH420" s="495" t="n"/>
      <c r="BI420" s="496" t="n"/>
      <c r="BJ420" s="496" t="n"/>
      <c r="BK420" s="496" t="n"/>
      <c r="BM420" s="493" t="n"/>
      <c r="BN420" s="493" t="n"/>
      <c r="BO420" s="493" t="n"/>
      <c r="BP420" s="493" t="n"/>
      <c r="BQ420" s="493" t="n"/>
      <c r="BR420" s="493" t="n"/>
      <c r="BS420" s="493" t="n"/>
      <c r="BT420" s="493" t="n"/>
      <c r="BU420" s="493" t="n"/>
      <c r="BV420" s="493" t="n"/>
      <c r="BW420" s="493" t="n"/>
      <c r="BX420" s="493" t="n"/>
      <c r="BY420" s="493" t="n"/>
      <c r="BZ420" s="493" t="n"/>
      <c r="CA420" s="493" t="n"/>
      <c r="CB420" s="493" t="n"/>
      <c r="CC420" s="493" t="n"/>
      <c r="CD420" s="493" t="n"/>
      <c r="CE420" s="493" t="n"/>
      <c r="CF420" s="493" t="n"/>
      <c r="CG420" s="493" t="n"/>
      <c r="CH420" s="493" t="n"/>
      <c r="CI420" s="493" t="n"/>
      <c r="CJ420" s="493" t="n"/>
      <c r="CK420" s="493" t="n"/>
      <c r="CL420" s="493" t="n"/>
    </row>
    <row r="421" customFormat="1" s="230">
      <c r="E421" s="234" t="n"/>
      <c r="F421" s="492" t="n"/>
      <c r="G421" s="492" t="n"/>
      <c r="H421" s="493" t="n"/>
      <c r="I421" s="492" t="n"/>
      <c r="J421" s="492" t="n"/>
      <c r="K421" s="492" t="n"/>
      <c r="L421" s="492" t="n"/>
      <c r="M421" s="493" t="n"/>
      <c r="N421" s="492" t="n"/>
      <c r="O421" s="492" t="n"/>
      <c r="P421" s="492" t="n"/>
      <c r="Q421" s="492" t="n"/>
      <c r="R421" s="492" t="n"/>
      <c r="S421" s="492" t="n"/>
      <c r="T421" s="492" t="n"/>
      <c r="U421" s="492" t="n"/>
      <c r="V421" s="492" t="n"/>
      <c r="W421" s="492" t="n"/>
      <c r="X421" s="492" t="n"/>
      <c r="Y421" s="492" t="n"/>
      <c r="Z421" s="492" t="n"/>
      <c r="AA421" s="492" t="n"/>
      <c r="AB421" s="492" t="n"/>
      <c r="AC421" s="492" t="n"/>
      <c r="AD421" s="492" t="n"/>
      <c r="AE421" s="493" t="n"/>
      <c r="AF421" s="492" t="n"/>
      <c r="AG421" s="492" t="n"/>
      <c r="AH421" s="492" t="n"/>
      <c r="AI421" s="492" t="n"/>
      <c r="AJ421" s="493" t="n"/>
      <c r="AK421" s="492" t="n"/>
      <c r="AL421" s="492" t="n"/>
      <c r="AM421" s="492" t="n"/>
      <c r="AN421" s="492" t="n"/>
      <c r="AO421" s="492" t="n"/>
      <c r="AP421" s="492" t="n"/>
      <c r="AQ421" s="492" t="n"/>
      <c r="AR421" s="492" t="n"/>
      <c r="AS421" s="492" t="n"/>
      <c r="AT421" s="492" t="n"/>
      <c r="AU421" s="493" t="n"/>
      <c r="AV421" s="492" t="n"/>
      <c r="AW421" s="492" t="n"/>
      <c r="AX421" s="492" t="n"/>
      <c r="AY421" s="492" t="n"/>
      <c r="AZ421" s="492" t="n"/>
      <c r="BA421" s="493" t="n"/>
      <c r="BB421" s="492" t="n"/>
      <c r="BC421" s="492" t="n"/>
      <c r="BD421" s="492" t="n"/>
      <c r="BE421" s="492" t="n"/>
      <c r="BF421" s="493" t="n"/>
      <c r="BG421" s="493" t="n"/>
      <c r="BH421" s="495" t="n"/>
      <c r="BI421" s="496" t="n"/>
      <c r="BJ421" s="496" t="n"/>
      <c r="BK421" s="496" t="n"/>
      <c r="BM421" s="493" t="n"/>
      <c r="BN421" s="493" t="n"/>
      <c r="BO421" s="493" t="n"/>
      <c r="BP421" s="493" t="n"/>
      <c r="BQ421" s="493" t="n"/>
      <c r="BR421" s="493" t="n"/>
      <c r="BS421" s="493" t="n"/>
      <c r="BT421" s="493" t="n"/>
      <c r="BU421" s="493" t="n"/>
      <c r="BV421" s="493" t="n"/>
      <c r="BW421" s="493" t="n"/>
      <c r="BX421" s="493" t="n"/>
      <c r="BY421" s="493" t="n"/>
      <c r="BZ421" s="493" t="n"/>
      <c r="CA421" s="493" t="n"/>
      <c r="CB421" s="493" t="n"/>
      <c r="CC421" s="493" t="n"/>
      <c r="CD421" s="493" t="n"/>
      <c r="CE421" s="493" t="n"/>
      <c r="CF421" s="493" t="n"/>
      <c r="CG421" s="493" t="n"/>
      <c r="CH421" s="493" t="n"/>
      <c r="CI421" s="493" t="n"/>
      <c r="CJ421" s="493" t="n"/>
      <c r="CK421" s="493" t="n"/>
      <c r="CL421" s="493" t="n"/>
    </row>
    <row r="422" customFormat="1" s="230">
      <c r="E422" s="234" t="n"/>
      <c r="F422" s="492" t="n"/>
      <c r="G422" s="492" t="n"/>
      <c r="H422" s="493" t="n"/>
      <c r="I422" s="492" t="n"/>
      <c r="J422" s="492" t="n"/>
      <c r="K422" s="492" t="n"/>
      <c r="L422" s="492" t="n"/>
      <c r="M422" s="493" t="n"/>
      <c r="N422" s="492" t="n"/>
      <c r="O422" s="492" t="n"/>
      <c r="P422" s="492" t="n"/>
      <c r="Q422" s="492" t="n"/>
      <c r="R422" s="492" t="n"/>
      <c r="S422" s="492" t="n"/>
      <c r="T422" s="492" t="n"/>
      <c r="U422" s="492" t="n"/>
      <c r="V422" s="492" t="n"/>
      <c r="W422" s="492" t="n"/>
      <c r="X422" s="492" t="n"/>
      <c r="Y422" s="492" t="n"/>
      <c r="Z422" s="492" t="n"/>
      <c r="AA422" s="492" t="n"/>
      <c r="AB422" s="492" t="n"/>
      <c r="AC422" s="492" t="n"/>
      <c r="AD422" s="492" t="n"/>
      <c r="AE422" s="493" t="n"/>
      <c r="AF422" s="492" t="n"/>
      <c r="AG422" s="492" t="n"/>
      <c r="AH422" s="492" t="n"/>
      <c r="AI422" s="492" t="n"/>
      <c r="AJ422" s="493" t="n"/>
      <c r="AK422" s="492" t="n"/>
      <c r="AL422" s="492" t="n"/>
      <c r="AM422" s="492" t="n"/>
      <c r="AN422" s="492" t="n"/>
      <c r="AO422" s="492" t="n"/>
      <c r="AP422" s="492" t="n"/>
      <c r="AQ422" s="492" t="n"/>
      <c r="AR422" s="492" t="n"/>
      <c r="AS422" s="492" t="n"/>
      <c r="AT422" s="492" t="n"/>
      <c r="AU422" s="493" t="n"/>
      <c r="AV422" s="492" t="n"/>
      <c r="AW422" s="492" t="n"/>
      <c r="AX422" s="492" t="n"/>
      <c r="AY422" s="492" t="n"/>
      <c r="AZ422" s="492" t="n"/>
      <c r="BA422" s="493" t="n"/>
      <c r="BB422" s="492" t="n"/>
      <c r="BC422" s="492" t="n"/>
      <c r="BD422" s="492" t="n"/>
      <c r="BE422" s="492" t="n"/>
      <c r="BF422" s="493" t="n"/>
      <c r="BG422" s="493" t="n"/>
      <c r="BH422" s="495" t="n"/>
      <c r="BI422" s="496" t="n"/>
      <c r="BJ422" s="496" t="n"/>
      <c r="BK422" s="496" t="n"/>
      <c r="BM422" s="493" t="n"/>
      <c r="BN422" s="493" t="n"/>
      <c r="BO422" s="493" t="n"/>
      <c r="BP422" s="493" t="n"/>
      <c r="BQ422" s="493" t="n"/>
      <c r="BR422" s="493" t="n"/>
      <c r="BS422" s="493" t="n"/>
      <c r="BT422" s="493" t="n"/>
      <c r="BU422" s="493" t="n"/>
      <c r="BV422" s="493" t="n"/>
      <c r="BW422" s="493" t="n"/>
      <c r="BX422" s="493" t="n"/>
      <c r="BY422" s="493" t="n"/>
      <c r="BZ422" s="493" t="n"/>
      <c r="CA422" s="493" t="n"/>
      <c r="CB422" s="493" t="n"/>
      <c r="CC422" s="493" t="n"/>
      <c r="CD422" s="493" t="n"/>
      <c r="CE422" s="493" t="n"/>
      <c r="CF422" s="493" t="n"/>
      <c r="CG422" s="493" t="n"/>
      <c r="CH422" s="493" t="n"/>
      <c r="CI422" s="493" t="n"/>
      <c r="CJ422" s="493" t="n"/>
      <c r="CK422" s="493" t="n"/>
      <c r="CL422" s="493" t="n"/>
    </row>
    <row r="423" customFormat="1" s="230">
      <c r="E423" s="234" t="n"/>
      <c r="F423" s="492" t="n"/>
      <c r="G423" s="492" t="n"/>
      <c r="H423" s="493" t="n"/>
      <c r="I423" s="492" t="n"/>
      <c r="J423" s="492" t="n"/>
      <c r="K423" s="492" t="n"/>
      <c r="L423" s="492" t="n"/>
      <c r="M423" s="493" t="n"/>
      <c r="N423" s="492" t="n"/>
      <c r="O423" s="492" t="n"/>
      <c r="P423" s="492" t="n"/>
      <c r="Q423" s="492" t="n"/>
      <c r="R423" s="492" t="n"/>
      <c r="S423" s="492" t="n"/>
      <c r="T423" s="492" t="n"/>
      <c r="U423" s="492" t="n"/>
      <c r="V423" s="492" t="n"/>
      <c r="W423" s="492" t="n"/>
      <c r="X423" s="492" t="n"/>
      <c r="Y423" s="492" t="n"/>
      <c r="Z423" s="492" t="n"/>
      <c r="AA423" s="492" t="n"/>
      <c r="AB423" s="492" t="n"/>
      <c r="AC423" s="492" t="n"/>
      <c r="AD423" s="492" t="n"/>
      <c r="AE423" s="493" t="n"/>
      <c r="AF423" s="492" t="n"/>
      <c r="AG423" s="492" t="n"/>
      <c r="AH423" s="492" t="n"/>
      <c r="AI423" s="492" t="n"/>
      <c r="AJ423" s="493" t="n"/>
      <c r="AK423" s="492" t="n"/>
      <c r="AL423" s="492" t="n"/>
      <c r="AM423" s="492" t="n"/>
      <c r="AN423" s="492" t="n"/>
      <c r="AO423" s="492" t="n"/>
      <c r="AP423" s="492" t="n"/>
      <c r="AQ423" s="492" t="n"/>
      <c r="AR423" s="492" t="n"/>
      <c r="AS423" s="492" t="n"/>
      <c r="AT423" s="492" t="n"/>
      <c r="AU423" s="493" t="n"/>
      <c r="AV423" s="492" t="n"/>
      <c r="AW423" s="492" t="n"/>
      <c r="AX423" s="492" t="n"/>
      <c r="AY423" s="492" t="n"/>
      <c r="AZ423" s="492" t="n"/>
      <c r="BA423" s="493" t="n"/>
      <c r="BB423" s="492" t="n"/>
      <c r="BC423" s="492" t="n"/>
      <c r="BD423" s="492" t="n"/>
      <c r="BE423" s="492" t="n"/>
      <c r="BF423" s="493" t="n"/>
      <c r="BG423" s="493" t="n"/>
      <c r="BH423" s="495" t="n"/>
      <c r="BI423" s="496" t="n"/>
      <c r="BJ423" s="496" t="n"/>
      <c r="BK423" s="496" t="n"/>
      <c r="BM423" s="493" t="n"/>
      <c r="BN423" s="493" t="n"/>
      <c r="BO423" s="493" t="n"/>
      <c r="BP423" s="493" t="n"/>
      <c r="BQ423" s="493" t="n"/>
      <c r="BR423" s="493" t="n"/>
      <c r="BS423" s="493" t="n"/>
      <c r="BT423" s="493" t="n"/>
      <c r="BU423" s="493" t="n"/>
      <c r="BV423" s="493" t="n"/>
      <c r="BW423" s="493" t="n"/>
      <c r="BX423" s="493" t="n"/>
      <c r="BY423" s="493" t="n"/>
      <c r="BZ423" s="493" t="n"/>
      <c r="CA423" s="493" t="n"/>
      <c r="CB423" s="493" t="n"/>
      <c r="CC423" s="493" t="n"/>
      <c r="CD423" s="493" t="n"/>
      <c r="CE423" s="493" t="n"/>
      <c r="CF423" s="493" t="n"/>
      <c r="CG423" s="493" t="n"/>
      <c r="CH423" s="493" t="n"/>
      <c r="CI423" s="493" t="n"/>
      <c r="CJ423" s="493" t="n"/>
      <c r="CK423" s="493" t="n"/>
      <c r="CL423" s="493" t="n"/>
    </row>
    <row r="424" customFormat="1" s="230">
      <c r="E424" s="234" t="n"/>
      <c r="F424" s="492" t="n"/>
      <c r="G424" s="492" t="n"/>
      <c r="H424" s="493" t="n"/>
      <c r="I424" s="492" t="n"/>
      <c r="J424" s="492" t="n"/>
      <c r="K424" s="492" t="n"/>
      <c r="L424" s="492" t="n"/>
      <c r="M424" s="493" t="n"/>
      <c r="N424" s="492" t="n"/>
      <c r="O424" s="492" t="n"/>
      <c r="P424" s="492" t="n"/>
      <c r="Q424" s="492" t="n"/>
      <c r="R424" s="492" t="n"/>
      <c r="S424" s="492" t="n"/>
      <c r="T424" s="492" t="n"/>
      <c r="U424" s="492" t="n"/>
      <c r="V424" s="492" t="n"/>
      <c r="W424" s="492" t="n"/>
      <c r="X424" s="492" t="n"/>
      <c r="Y424" s="492" t="n"/>
      <c r="Z424" s="492" t="n"/>
      <c r="AA424" s="492" t="n"/>
      <c r="AB424" s="492" t="n"/>
      <c r="AC424" s="492" t="n"/>
      <c r="AD424" s="492" t="n"/>
      <c r="AE424" s="493" t="n"/>
      <c r="AF424" s="492" t="n"/>
      <c r="AG424" s="492" t="n"/>
      <c r="AH424" s="492" t="n"/>
      <c r="AI424" s="492" t="n"/>
      <c r="AJ424" s="493" t="n"/>
      <c r="AK424" s="492" t="n"/>
      <c r="AL424" s="492" t="n"/>
      <c r="AM424" s="492" t="n"/>
      <c r="AN424" s="492" t="n"/>
      <c r="AO424" s="492" t="n"/>
      <c r="AP424" s="492" t="n"/>
      <c r="AQ424" s="492" t="n"/>
      <c r="AR424" s="492" t="n"/>
      <c r="AS424" s="492" t="n"/>
      <c r="AT424" s="492" t="n"/>
      <c r="AU424" s="493" t="n"/>
      <c r="AV424" s="492" t="n"/>
      <c r="AW424" s="492" t="n"/>
      <c r="AX424" s="492" t="n"/>
      <c r="AY424" s="492" t="n"/>
      <c r="AZ424" s="492" t="n"/>
      <c r="BA424" s="493" t="n"/>
      <c r="BB424" s="492" t="n"/>
      <c r="BC424" s="492" t="n"/>
      <c r="BD424" s="492" t="n"/>
      <c r="BE424" s="492" t="n"/>
      <c r="BF424" s="493" t="n"/>
      <c r="BG424" s="493" t="n"/>
      <c r="BH424" s="495" t="n"/>
      <c r="BI424" s="496" t="n"/>
      <c r="BJ424" s="496" t="n"/>
      <c r="BK424" s="496" t="n"/>
      <c r="BM424" s="493" t="n"/>
      <c r="BN424" s="493" t="n"/>
      <c r="BO424" s="493" t="n"/>
      <c r="BP424" s="493" t="n"/>
      <c r="BQ424" s="493" t="n"/>
      <c r="BR424" s="493" t="n"/>
      <c r="BS424" s="493" t="n"/>
      <c r="BT424" s="493" t="n"/>
      <c r="BU424" s="493" t="n"/>
      <c r="BV424" s="493" t="n"/>
      <c r="BW424" s="493" t="n"/>
      <c r="BX424" s="493" t="n"/>
      <c r="BY424" s="493" t="n"/>
      <c r="BZ424" s="493" t="n"/>
      <c r="CA424" s="493" t="n"/>
      <c r="CB424" s="493" t="n"/>
      <c r="CC424" s="493" t="n"/>
      <c r="CD424" s="493" t="n"/>
      <c r="CE424" s="493" t="n"/>
      <c r="CF424" s="493" t="n"/>
      <c r="CG424" s="493" t="n"/>
      <c r="CH424" s="493" t="n"/>
      <c r="CI424" s="493" t="n"/>
      <c r="CJ424" s="493" t="n"/>
      <c r="CK424" s="493" t="n"/>
      <c r="CL424" s="493" t="n"/>
    </row>
    <row r="425" customFormat="1" s="230">
      <c r="E425" s="234" t="n"/>
      <c r="F425" s="492" t="n"/>
      <c r="G425" s="492" t="n"/>
      <c r="H425" s="493" t="n"/>
      <c r="I425" s="492" t="n"/>
      <c r="J425" s="492" t="n"/>
      <c r="K425" s="492" t="n"/>
      <c r="L425" s="492" t="n"/>
      <c r="M425" s="493" t="n"/>
      <c r="N425" s="492" t="n"/>
      <c r="O425" s="492" t="n"/>
      <c r="P425" s="492" t="n"/>
      <c r="Q425" s="492" t="n"/>
      <c r="R425" s="492" t="n"/>
      <c r="S425" s="492" t="n"/>
      <c r="T425" s="492" t="n"/>
      <c r="U425" s="492" t="n"/>
      <c r="V425" s="492" t="n"/>
      <c r="W425" s="492" t="n"/>
      <c r="X425" s="492" t="n"/>
      <c r="Y425" s="492" t="n"/>
      <c r="Z425" s="492" t="n"/>
      <c r="AA425" s="492" t="n"/>
      <c r="AB425" s="492" t="n"/>
      <c r="AC425" s="492" t="n"/>
      <c r="AD425" s="492" t="n"/>
      <c r="AE425" s="493" t="n"/>
      <c r="AF425" s="492" t="n"/>
      <c r="AG425" s="492" t="n"/>
      <c r="AH425" s="492" t="n"/>
      <c r="AI425" s="492" t="n"/>
      <c r="AJ425" s="493" t="n"/>
      <c r="AK425" s="492" t="n"/>
      <c r="AL425" s="492" t="n"/>
      <c r="AM425" s="492" t="n"/>
      <c r="AN425" s="492" t="n"/>
      <c r="AO425" s="492" t="n"/>
      <c r="AP425" s="492" t="n"/>
      <c r="AQ425" s="492" t="n"/>
      <c r="AR425" s="492" t="n"/>
      <c r="AS425" s="492" t="n"/>
      <c r="AT425" s="492" t="n"/>
      <c r="AU425" s="493" t="n"/>
      <c r="AV425" s="492" t="n"/>
      <c r="AW425" s="492" t="n"/>
      <c r="AX425" s="492" t="n"/>
      <c r="AY425" s="492" t="n"/>
      <c r="AZ425" s="492" t="n"/>
      <c r="BA425" s="493" t="n"/>
      <c r="BB425" s="492" t="n"/>
      <c r="BC425" s="492" t="n"/>
      <c r="BD425" s="492" t="n"/>
      <c r="BE425" s="492" t="n"/>
      <c r="BF425" s="493" t="n"/>
      <c r="BG425" s="493" t="n"/>
      <c r="BH425" s="495" t="n"/>
      <c r="BI425" s="496" t="n"/>
      <c r="BJ425" s="496" t="n"/>
      <c r="BK425" s="496" t="n"/>
      <c r="BM425" s="493" t="n"/>
      <c r="BN425" s="493" t="n"/>
      <c r="BO425" s="493" t="n"/>
      <c r="BP425" s="493" t="n"/>
      <c r="BQ425" s="493" t="n"/>
      <c r="BR425" s="493" t="n"/>
      <c r="BS425" s="493" t="n"/>
      <c r="BT425" s="493" t="n"/>
      <c r="BU425" s="493" t="n"/>
      <c r="BV425" s="493" t="n"/>
      <c r="BW425" s="493" t="n"/>
      <c r="BX425" s="493" t="n"/>
      <c r="BY425" s="493" t="n"/>
      <c r="BZ425" s="493" t="n"/>
      <c r="CA425" s="493" t="n"/>
      <c r="CB425" s="493" t="n"/>
      <c r="CC425" s="493" t="n"/>
      <c r="CD425" s="493" t="n"/>
      <c r="CE425" s="493" t="n"/>
      <c r="CF425" s="493" t="n"/>
      <c r="CG425" s="493" t="n"/>
      <c r="CH425" s="493" t="n"/>
      <c r="CI425" s="493" t="n"/>
      <c r="CJ425" s="493" t="n"/>
      <c r="CK425" s="493" t="n"/>
      <c r="CL425" s="493" t="n"/>
    </row>
    <row r="426" customFormat="1" s="230">
      <c r="E426" s="234" t="n"/>
      <c r="F426" s="492" t="n"/>
      <c r="G426" s="492" t="n"/>
      <c r="H426" s="493" t="n"/>
      <c r="I426" s="492" t="n"/>
      <c r="J426" s="492" t="n"/>
      <c r="K426" s="492" t="n"/>
      <c r="L426" s="492" t="n"/>
      <c r="M426" s="493" t="n"/>
      <c r="N426" s="492" t="n"/>
      <c r="O426" s="492" t="n"/>
      <c r="P426" s="492" t="n"/>
      <c r="Q426" s="492" t="n"/>
      <c r="R426" s="492" t="n"/>
      <c r="S426" s="492" t="n"/>
      <c r="T426" s="492" t="n"/>
      <c r="U426" s="492" t="n"/>
      <c r="V426" s="492" t="n"/>
      <c r="W426" s="492" t="n"/>
      <c r="X426" s="492" t="n"/>
      <c r="Y426" s="492" t="n"/>
      <c r="Z426" s="492" t="n"/>
      <c r="AA426" s="492" t="n"/>
      <c r="AB426" s="492" t="n"/>
      <c r="AC426" s="492" t="n"/>
      <c r="AD426" s="492" t="n"/>
      <c r="AE426" s="493" t="n"/>
      <c r="AF426" s="492" t="n"/>
      <c r="AG426" s="492" t="n"/>
      <c r="AH426" s="492" t="n"/>
      <c r="AI426" s="492" t="n"/>
      <c r="AJ426" s="493" t="n"/>
      <c r="AK426" s="492" t="n"/>
      <c r="AL426" s="492" t="n"/>
      <c r="AM426" s="492" t="n"/>
      <c r="AN426" s="492" t="n"/>
      <c r="AO426" s="492" t="n"/>
      <c r="AP426" s="492" t="n"/>
      <c r="AQ426" s="492" t="n"/>
      <c r="AR426" s="492" t="n"/>
      <c r="AS426" s="492" t="n"/>
      <c r="AT426" s="492" t="n"/>
      <c r="AU426" s="493" t="n"/>
      <c r="AV426" s="492" t="n"/>
      <c r="AW426" s="492" t="n"/>
      <c r="AX426" s="492" t="n"/>
      <c r="AY426" s="492" t="n"/>
      <c r="AZ426" s="492" t="n"/>
      <c r="BA426" s="493" t="n"/>
      <c r="BB426" s="492" t="n"/>
      <c r="BC426" s="492" t="n"/>
      <c r="BD426" s="492" t="n"/>
      <c r="BE426" s="492" t="n"/>
      <c r="BF426" s="493" t="n"/>
      <c r="BG426" s="493" t="n"/>
      <c r="BH426" s="495" t="n"/>
      <c r="BI426" s="496" t="n"/>
      <c r="BJ426" s="496" t="n"/>
      <c r="BK426" s="496" t="n"/>
      <c r="BM426" s="493" t="n"/>
      <c r="BN426" s="493" t="n"/>
      <c r="BO426" s="493" t="n"/>
      <c r="BP426" s="493" t="n"/>
      <c r="BQ426" s="493" t="n"/>
      <c r="BR426" s="493" t="n"/>
      <c r="BS426" s="493" t="n"/>
      <c r="BT426" s="493" t="n"/>
      <c r="BU426" s="493" t="n"/>
      <c r="BV426" s="493" t="n"/>
      <c r="BW426" s="493" t="n"/>
      <c r="BX426" s="493" t="n"/>
      <c r="BY426" s="493" t="n"/>
      <c r="BZ426" s="493" t="n"/>
      <c r="CA426" s="493" t="n"/>
      <c r="CB426" s="493" t="n"/>
      <c r="CC426" s="493" t="n"/>
      <c r="CD426" s="493" t="n"/>
      <c r="CE426" s="493" t="n"/>
      <c r="CF426" s="493" t="n"/>
      <c r="CG426" s="493" t="n"/>
      <c r="CH426" s="493" t="n"/>
      <c r="CI426" s="493" t="n"/>
      <c r="CJ426" s="493" t="n"/>
      <c r="CK426" s="493" t="n"/>
      <c r="CL426" s="493" t="n"/>
    </row>
    <row r="427" customFormat="1" s="230">
      <c r="E427" s="234" t="n"/>
      <c r="F427" s="492" t="n"/>
      <c r="G427" s="492" t="n"/>
      <c r="H427" s="493" t="n"/>
      <c r="I427" s="492" t="n"/>
      <c r="J427" s="492" t="n"/>
      <c r="K427" s="492" t="n"/>
      <c r="L427" s="492" t="n"/>
      <c r="M427" s="493" t="n"/>
      <c r="N427" s="492" t="n"/>
      <c r="O427" s="492" t="n"/>
      <c r="P427" s="492" t="n"/>
      <c r="Q427" s="492" t="n"/>
      <c r="R427" s="492" t="n"/>
      <c r="S427" s="492" t="n"/>
      <c r="T427" s="492" t="n"/>
      <c r="U427" s="492" t="n"/>
      <c r="V427" s="492" t="n"/>
      <c r="W427" s="492" t="n"/>
      <c r="X427" s="492" t="n"/>
      <c r="Y427" s="492" t="n"/>
      <c r="Z427" s="492" t="n"/>
      <c r="AA427" s="492" t="n"/>
      <c r="AB427" s="492" t="n"/>
      <c r="AC427" s="492" t="n"/>
      <c r="AD427" s="492" t="n"/>
      <c r="AE427" s="493" t="n"/>
      <c r="AF427" s="492" t="n"/>
      <c r="AG427" s="492" t="n"/>
      <c r="AH427" s="492" t="n"/>
      <c r="AI427" s="492" t="n"/>
      <c r="AJ427" s="493" t="n"/>
      <c r="AK427" s="492" t="n"/>
      <c r="AL427" s="492" t="n"/>
      <c r="AM427" s="492" t="n"/>
      <c r="AN427" s="492" t="n"/>
      <c r="AO427" s="492" t="n"/>
      <c r="AP427" s="492" t="n"/>
      <c r="AQ427" s="492" t="n"/>
      <c r="AR427" s="492" t="n"/>
      <c r="AS427" s="492" t="n"/>
      <c r="AT427" s="492" t="n"/>
      <c r="AU427" s="493" t="n"/>
      <c r="AV427" s="492" t="n"/>
      <c r="AW427" s="492" t="n"/>
      <c r="AX427" s="492" t="n"/>
      <c r="AY427" s="492" t="n"/>
      <c r="AZ427" s="492" t="n"/>
      <c r="BA427" s="493" t="n"/>
      <c r="BB427" s="492" t="n"/>
      <c r="BC427" s="492" t="n"/>
      <c r="BD427" s="492" t="n"/>
      <c r="BE427" s="492" t="n"/>
      <c r="BF427" s="493" t="n"/>
      <c r="BG427" s="493" t="n"/>
      <c r="BH427" s="495" t="n"/>
      <c r="BI427" s="496" t="n"/>
      <c r="BJ427" s="496" t="n"/>
      <c r="BK427" s="496" t="n"/>
      <c r="BM427" s="493" t="n"/>
      <c r="BN427" s="493" t="n"/>
      <c r="BO427" s="493" t="n"/>
      <c r="BP427" s="493" t="n"/>
      <c r="BQ427" s="493" t="n"/>
      <c r="BR427" s="493" t="n"/>
      <c r="BS427" s="493" t="n"/>
      <c r="BT427" s="493" t="n"/>
      <c r="BU427" s="493" t="n"/>
      <c r="BV427" s="493" t="n"/>
      <c r="BW427" s="493" t="n"/>
      <c r="BX427" s="493" t="n"/>
      <c r="BY427" s="493" t="n"/>
      <c r="BZ427" s="493" t="n"/>
      <c r="CA427" s="493" t="n"/>
      <c r="CB427" s="493" t="n"/>
      <c r="CC427" s="493" t="n"/>
      <c r="CD427" s="493" t="n"/>
      <c r="CE427" s="493" t="n"/>
      <c r="CF427" s="493" t="n"/>
      <c r="CG427" s="493" t="n"/>
      <c r="CH427" s="493" t="n"/>
      <c r="CI427" s="493" t="n"/>
      <c r="CJ427" s="493" t="n"/>
      <c r="CK427" s="493" t="n"/>
      <c r="CL427" s="493" t="n"/>
    </row>
    <row r="428" customFormat="1" s="230">
      <c r="E428" s="234" t="n"/>
      <c r="F428" s="492" t="n"/>
      <c r="G428" s="492" t="n"/>
      <c r="H428" s="493" t="n"/>
      <c r="I428" s="492" t="n"/>
      <c r="J428" s="492" t="n"/>
      <c r="K428" s="492" t="n"/>
      <c r="L428" s="492" t="n"/>
      <c r="M428" s="493" t="n"/>
      <c r="N428" s="492" t="n"/>
      <c r="O428" s="492" t="n"/>
      <c r="P428" s="492" t="n"/>
      <c r="Q428" s="492" t="n"/>
      <c r="R428" s="492" t="n"/>
      <c r="S428" s="492" t="n"/>
      <c r="T428" s="492" t="n"/>
      <c r="U428" s="492" t="n"/>
      <c r="V428" s="492" t="n"/>
      <c r="W428" s="492" t="n"/>
      <c r="X428" s="492" t="n"/>
      <c r="Y428" s="492" t="n"/>
      <c r="Z428" s="492" t="n"/>
      <c r="AA428" s="492" t="n"/>
      <c r="AB428" s="492" t="n"/>
      <c r="AC428" s="492" t="n"/>
      <c r="AD428" s="492" t="n"/>
      <c r="AE428" s="493" t="n"/>
      <c r="AF428" s="492" t="n"/>
      <c r="AG428" s="492" t="n"/>
      <c r="AH428" s="492" t="n"/>
      <c r="AI428" s="492" t="n"/>
      <c r="AJ428" s="493" t="n"/>
      <c r="AK428" s="492" t="n"/>
      <c r="AL428" s="492" t="n"/>
      <c r="AM428" s="492" t="n"/>
      <c r="AN428" s="492" t="n"/>
      <c r="AO428" s="492" t="n"/>
      <c r="AP428" s="492" t="n"/>
      <c r="AQ428" s="492" t="n"/>
      <c r="AR428" s="492" t="n"/>
      <c r="AS428" s="492" t="n"/>
      <c r="AT428" s="492" t="n"/>
      <c r="AU428" s="493" t="n"/>
      <c r="AV428" s="492" t="n"/>
      <c r="AW428" s="492" t="n"/>
      <c r="AX428" s="492" t="n"/>
      <c r="AY428" s="492" t="n"/>
      <c r="AZ428" s="492" t="n"/>
      <c r="BA428" s="493" t="n"/>
      <c r="BB428" s="492" t="n"/>
      <c r="BC428" s="492" t="n"/>
      <c r="BD428" s="492" t="n"/>
      <c r="BE428" s="492" t="n"/>
      <c r="BF428" s="493" t="n"/>
      <c r="BG428" s="493" t="n"/>
      <c r="BH428" s="495" t="n"/>
      <c r="BI428" s="496" t="n"/>
      <c r="BJ428" s="496" t="n"/>
      <c r="BK428" s="496" t="n"/>
      <c r="BM428" s="493" t="n"/>
      <c r="BN428" s="493" t="n"/>
      <c r="BO428" s="493" t="n"/>
      <c r="BP428" s="493" t="n"/>
      <c r="BQ428" s="493" t="n"/>
      <c r="BR428" s="493" t="n"/>
      <c r="BS428" s="493" t="n"/>
      <c r="BT428" s="493" t="n"/>
      <c r="BU428" s="493" t="n"/>
      <c r="BV428" s="493" t="n"/>
      <c r="BW428" s="493" t="n"/>
      <c r="BX428" s="493" t="n"/>
      <c r="BY428" s="493" t="n"/>
      <c r="BZ428" s="493" t="n"/>
      <c r="CA428" s="493" t="n"/>
      <c r="CB428" s="493" t="n"/>
      <c r="CC428" s="493" t="n"/>
      <c r="CD428" s="493" t="n"/>
      <c r="CE428" s="493" t="n"/>
      <c r="CF428" s="493" t="n"/>
      <c r="CG428" s="493" t="n"/>
      <c r="CH428" s="493" t="n"/>
      <c r="CI428" s="493" t="n"/>
      <c r="CJ428" s="493" t="n"/>
      <c r="CK428" s="493" t="n"/>
      <c r="CL428" s="493" t="n"/>
    </row>
    <row r="429" customFormat="1" s="230">
      <c r="E429" s="234" t="n"/>
      <c r="F429" s="492" t="n"/>
      <c r="G429" s="492" t="n"/>
      <c r="H429" s="493" t="n"/>
      <c r="I429" s="492" t="n"/>
      <c r="J429" s="492" t="n"/>
      <c r="K429" s="492" t="n"/>
      <c r="L429" s="492" t="n"/>
      <c r="M429" s="493" t="n"/>
      <c r="N429" s="492" t="n"/>
      <c r="O429" s="492" t="n"/>
      <c r="P429" s="492" t="n"/>
      <c r="Q429" s="492" t="n"/>
      <c r="R429" s="492" t="n"/>
      <c r="S429" s="492" t="n"/>
      <c r="T429" s="492" t="n"/>
      <c r="U429" s="492" t="n"/>
      <c r="V429" s="492" t="n"/>
      <c r="W429" s="492" t="n"/>
      <c r="X429" s="492" t="n"/>
      <c r="Y429" s="492" t="n"/>
      <c r="Z429" s="492" t="n"/>
      <c r="AA429" s="492" t="n"/>
      <c r="AB429" s="492" t="n"/>
      <c r="AC429" s="492" t="n"/>
      <c r="AD429" s="492" t="n"/>
      <c r="AE429" s="493" t="n"/>
      <c r="AF429" s="492" t="n"/>
      <c r="AG429" s="492" t="n"/>
      <c r="AH429" s="492" t="n"/>
      <c r="AI429" s="492" t="n"/>
      <c r="AJ429" s="493" t="n"/>
      <c r="AK429" s="492" t="n"/>
      <c r="AL429" s="492" t="n"/>
      <c r="AM429" s="492" t="n"/>
      <c r="AN429" s="492" t="n"/>
      <c r="AO429" s="492" t="n"/>
      <c r="AP429" s="492" t="n"/>
      <c r="AQ429" s="492" t="n"/>
      <c r="AR429" s="492" t="n"/>
      <c r="AS429" s="492" t="n"/>
      <c r="AT429" s="492" t="n"/>
      <c r="AU429" s="493" t="n"/>
      <c r="AV429" s="492" t="n"/>
      <c r="AW429" s="492" t="n"/>
      <c r="AX429" s="492" t="n"/>
      <c r="AY429" s="492" t="n"/>
      <c r="AZ429" s="492" t="n"/>
      <c r="BA429" s="493" t="n"/>
      <c r="BB429" s="492" t="n"/>
      <c r="BC429" s="492" t="n"/>
      <c r="BD429" s="492" t="n"/>
      <c r="BE429" s="492" t="n"/>
      <c r="BF429" s="493" t="n"/>
      <c r="BG429" s="493" t="n"/>
      <c r="BH429" s="495" t="n"/>
      <c r="BI429" s="496" t="n"/>
      <c r="BJ429" s="496" t="n"/>
      <c r="BK429" s="496" t="n"/>
      <c r="BM429" s="493" t="n"/>
      <c r="BN429" s="493" t="n"/>
      <c r="BO429" s="493" t="n"/>
      <c r="BP429" s="493" t="n"/>
      <c r="BQ429" s="493" t="n"/>
      <c r="BR429" s="493" t="n"/>
      <c r="BS429" s="493" t="n"/>
      <c r="BT429" s="493" t="n"/>
      <c r="BU429" s="493" t="n"/>
      <c r="BV429" s="493" t="n"/>
      <c r="BW429" s="493" t="n"/>
      <c r="BX429" s="493" t="n"/>
      <c r="BY429" s="493" t="n"/>
      <c r="BZ429" s="493" t="n"/>
      <c r="CA429" s="493" t="n"/>
      <c r="CB429" s="493" t="n"/>
      <c r="CC429" s="493" t="n"/>
      <c r="CD429" s="493" t="n"/>
      <c r="CE429" s="493" t="n"/>
      <c r="CF429" s="493" t="n"/>
      <c r="CG429" s="493" t="n"/>
      <c r="CH429" s="493" t="n"/>
      <c r="CI429" s="493" t="n"/>
      <c r="CJ429" s="493" t="n"/>
      <c r="CK429" s="493" t="n"/>
      <c r="CL429" s="493" t="n"/>
    </row>
    <row r="430" customFormat="1" s="230">
      <c r="E430" s="234" t="n"/>
      <c r="F430" s="492" t="n"/>
      <c r="G430" s="492" t="n"/>
      <c r="H430" s="493" t="n"/>
      <c r="I430" s="492" t="n"/>
      <c r="J430" s="492" t="n"/>
      <c r="K430" s="492" t="n"/>
      <c r="L430" s="492" t="n"/>
      <c r="M430" s="493" t="n"/>
      <c r="N430" s="492" t="n"/>
      <c r="O430" s="492" t="n"/>
      <c r="P430" s="492" t="n"/>
      <c r="Q430" s="492" t="n"/>
      <c r="R430" s="492" t="n"/>
      <c r="S430" s="492" t="n"/>
      <c r="T430" s="492" t="n"/>
      <c r="U430" s="492" t="n"/>
      <c r="V430" s="492" t="n"/>
      <c r="W430" s="492" t="n"/>
      <c r="X430" s="492" t="n"/>
      <c r="Y430" s="492" t="n"/>
      <c r="Z430" s="492" t="n"/>
      <c r="AA430" s="492" t="n"/>
      <c r="AB430" s="492" t="n"/>
      <c r="AC430" s="492" t="n"/>
      <c r="AD430" s="492" t="n"/>
      <c r="AE430" s="493" t="n"/>
      <c r="AF430" s="492" t="n"/>
      <c r="AG430" s="492" t="n"/>
      <c r="AH430" s="492" t="n"/>
      <c r="AI430" s="492" t="n"/>
      <c r="AJ430" s="493" t="n"/>
      <c r="AK430" s="492" t="n"/>
      <c r="AL430" s="492" t="n"/>
      <c r="AM430" s="492" t="n"/>
      <c r="AN430" s="492" t="n"/>
      <c r="AO430" s="492" t="n"/>
      <c r="AP430" s="492" t="n"/>
      <c r="AQ430" s="492" t="n"/>
      <c r="AR430" s="492" t="n"/>
      <c r="AS430" s="492" t="n"/>
      <c r="AT430" s="492" t="n"/>
      <c r="AU430" s="493" t="n"/>
      <c r="AV430" s="492" t="n"/>
      <c r="AW430" s="492" t="n"/>
      <c r="AX430" s="492" t="n"/>
      <c r="AY430" s="492" t="n"/>
      <c r="AZ430" s="492" t="n"/>
      <c r="BA430" s="493" t="n"/>
      <c r="BB430" s="492" t="n"/>
      <c r="BC430" s="492" t="n"/>
      <c r="BD430" s="492" t="n"/>
      <c r="BE430" s="492" t="n"/>
      <c r="BF430" s="493" t="n"/>
      <c r="BG430" s="493" t="n"/>
      <c r="BH430" s="495" t="n"/>
      <c r="BI430" s="496" t="n"/>
      <c r="BJ430" s="496" t="n"/>
      <c r="BK430" s="496" t="n"/>
      <c r="BM430" s="493" t="n"/>
      <c r="BN430" s="493" t="n"/>
      <c r="BO430" s="493" t="n"/>
      <c r="BP430" s="493" t="n"/>
      <c r="BQ430" s="493" t="n"/>
      <c r="BR430" s="493" t="n"/>
      <c r="BS430" s="493" t="n"/>
      <c r="BT430" s="493" t="n"/>
      <c r="BU430" s="493" t="n"/>
      <c r="BV430" s="493" t="n"/>
      <c r="BW430" s="493" t="n"/>
      <c r="BX430" s="493" t="n"/>
      <c r="BY430" s="493" t="n"/>
      <c r="BZ430" s="493" t="n"/>
      <c r="CA430" s="493" t="n"/>
      <c r="CB430" s="493" t="n"/>
      <c r="CC430" s="493" t="n"/>
      <c r="CD430" s="493" t="n"/>
      <c r="CE430" s="493" t="n"/>
      <c r="CF430" s="493" t="n"/>
      <c r="CG430" s="493" t="n"/>
      <c r="CH430" s="493" t="n"/>
      <c r="CI430" s="493" t="n"/>
      <c r="CJ430" s="493" t="n"/>
      <c r="CK430" s="493" t="n"/>
      <c r="CL430" s="493" t="n"/>
    </row>
    <row r="431" customFormat="1" s="230">
      <c r="E431" s="234" t="n"/>
      <c r="F431" s="492" t="n"/>
      <c r="G431" s="492" t="n"/>
      <c r="H431" s="493" t="n"/>
      <c r="I431" s="492" t="n"/>
      <c r="J431" s="492" t="n"/>
      <c r="K431" s="492" t="n"/>
      <c r="L431" s="492" t="n"/>
      <c r="M431" s="493" t="n"/>
      <c r="N431" s="492" t="n"/>
      <c r="O431" s="492" t="n"/>
      <c r="P431" s="492" t="n"/>
      <c r="Q431" s="492" t="n"/>
      <c r="R431" s="492" t="n"/>
      <c r="S431" s="492" t="n"/>
      <c r="T431" s="492" t="n"/>
      <c r="U431" s="492" t="n"/>
      <c r="V431" s="492" t="n"/>
      <c r="W431" s="492" t="n"/>
      <c r="X431" s="492" t="n"/>
      <c r="Y431" s="492" t="n"/>
      <c r="Z431" s="492" t="n"/>
      <c r="AA431" s="492" t="n"/>
      <c r="AB431" s="492" t="n"/>
      <c r="AC431" s="492" t="n"/>
      <c r="AD431" s="492" t="n"/>
      <c r="AE431" s="493" t="n"/>
      <c r="AF431" s="492" t="n"/>
      <c r="AG431" s="492" t="n"/>
      <c r="AH431" s="492" t="n"/>
      <c r="AI431" s="492" t="n"/>
      <c r="AJ431" s="493" t="n"/>
      <c r="AK431" s="492" t="n"/>
      <c r="AL431" s="492" t="n"/>
      <c r="AM431" s="492" t="n"/>
      <c r="AN431" s="492" t="n"/>
      <c r="AO431" s="492" t="n"/>
      <c r="AP431" s="492" t="n"/>
      <c r="AQ431" s="492" t="n"/>
      <c r="AR431" s="492" t="n"/>
      <c r="AS431" s="492" t="n"/>
      <c r="AT431" s="492" t="n"/>
      <c r="AU431" s="493" t="n"/>
      <c r="AV431" s="492" t="n"/>
      <c r="AW431" s="492" t="n"/>
      <c r="AX431" s="492" t="n"/>
      <c r="AY431" s="492" t="n"/>
      <c r="AZ431" s="492" t="n"/>
      <c r="BA431" s="493" t="n"/>
      <c r="BB431" s="492" t="n"/>
      <c r="BC431" s="492" t="n"/>
      <c r="BD431" s="492" t="n"/>
      <c r="BE431" s="492" t="n"/>
      <c r="BF431" s="493" t="n"/>
      <c r="BG431" s="493" t="n"/>
      <c r="BH431" s="495" t="n"/>
      <c r="BI431" s="496" t="n"/>
      <c r="BJ431" s="496" t="n"/>
      <c r="BK431" s="496" t="n"/>
      <c r="BM431" s="493" t="n"/>
      <c r="BN431" s="493" t="n"/>
      <c r="BO431" s="493" t="n"/>
      <c r="BP431" s="493" t="n"/>
      <c r="BQ431" s="493" t="n"/>
      <c r="BR431" s="493" t="n"/>
      <c r="BS431" s="493" t="n"/>
      <c r="BT431" s="493" t="n"/>
      <c r="BU431" s="493" t="n"/>
      <c r="BV431" s="493" t="n"/>
      <c r="BW431" s="493" t="n"/>
      <c r="BX431" s="493" t="n"/>
      <c r="BY431" s="493" t="n"/>
      <c r="BZ431" s="493" t="n"/>
      <c r="CA431" s="493" t="n"/>
      <c r="CB431" s="493" t="n"/>
      <c r="CC431" s="493" t="n"/>
      <c r="CD431" s="493" t="n"/>
      <c r="CE431" s="493" t="n"/>
      <c r="CF431" s="493" t="n"/>
      <c r="CG431" s="493" t="n"/>
      <c r="CH431" s="493" t="n"/>
      <c r="CI431" s="493" t="n"/>
      <c r="CJ431" s="493" t="n"/>
      <c r="CK431" s="493" t="n"/>
      <c r="CL431" s="493" t="n"/>
    </row>
    <row r="432" customFormat="1" s="230">
      <c r="E432" s="234" t="n"/>
      <c r="F432" s="492" t="n"/>
      <c r="G432" s="492" t="n"/>
      <c r="H432" s="493" t="n"/>
      <c r="I432" s="492" t="n"/>
      <c r="J432" s="492" t="n"/>
      <c r="K432" s="492" t="n"/>
      <c r="L432" s="492" t="n"/>
      <c r="M432" s="493" t="n"/>
      <c r="N432" s="492" t="n"/>
      <c r="O432" s="492" t="n"/>
      <c r="P432" s="492" t="n"/>
      <c r="Q432" s="492" t="n"/>
      <c r="R432" s="492" t="n"/>
      <c r="S432" s="492" t="n"/>
      <c r="T432" s="492" t="n"/>
      <c r="U432" s="492" t="n"/>
      <c r="V432" s="492" t="n"/>
      <c r="W432" s="492" t="n"/>
      <c r="X432" s="492" t="n"/>
      <c r="Y432" s="492" t="n"/>
      <c r="Z432" s="492" t="n"/>
      <c r="AA432" s="492" t="n"/>
      <c r="AB432" s="492" t="n"/>
      <c r="AC432" s="492" t="n"/>
      <c r="AD432" s="492" t="n"/>
      <c r="AE432" s="493" t="n"/>
      <c r="AF432" s="492" t="n"/>
      <c r="AG432" s="492" t="n"/>
      <c r="AH432" s="492" t="n"/>
      <c r="AI432" s="492" t="n"/>
      <c r="AJ432" s="493" t="n"/>
      <c r="AK432" s="492" t="n"/>
      <c r="AL432" s="492" t="n"/>
      <c r="AM432" s="492" t="n"/>
      <c r="AN432" s="492" t="n"/>
      <c r="AO432" s="492" t="n"/>
      <c r="AP432" s="492" t="n"/>
      <c r="AQ432" s="492" t="n"/>
      <c r="AR432" s="492" t="n"/>
      <c r="AS432" s="492" t="n"/>
      <c r="AT432" s="492" t="n"/>
      <c r="AU432" s="493" t="n"/>
      <c r="AV432" s="492" t="n"/>
      <c r="AW432" s="492" t="n"/>
      <c r="AX432" s="492" t="n"/>
      <c r="AY432" s="492" t="n"/>
      <c r="AZ432" s="492" t="n"/>
      <c r="BA432" s="493" t="n"/>
      <c r="BB432" s="492" t="n"/>
      <c r="BC432" s="492" t="n"/>
      <c r="BD432" s="492" t="n"/>
      <c r="BE432" s="492" t="n"/>
      <c r="BF432" s="493" t="n"/>
      <c r="BG432" s="493" t="n"/>
      <c r="BH432" s="495" t="n"/>
      <c r="BI432" s="496" t="n"/>
      <c r="BJ432" s="496" t="n"/>
      <c r="BK432" s="496" t="n"/>
      <c r="BM432" s="493" t="n"/>
      <c r="BN432" s="493" t="n"/>
      <c r="BO432" s="493" t="n"/>
      <c r="BP432" s="493" t="n"/>
      <c r="BQ432" s="493" t="n"/>
      <c r="BR432" s="493" t="n"/>
      <c r="BS432" s="493" t="n"/>
      <c r="BT432" s="493" t="n"/>
      <c r="BU432" s="493" t="n"/>
      <c r="BV432" s="493" t="n"/>
      <c r="BW432" s="493" t="n"/>
      <c r="BX432" s="493" t="n"/>
      <c r="BY432" s="493" t="n"/>
      <c r="BZ432" s="493" t="n"/>
      <c r="CA432" s="493" t="n"/>
      <c r="CB432" s="493" t="n"/>
      <c r="CC432" s="493" t="n"/>
      <c r="CD432" s="493" t="n"/>
      <c r="CE432" s="493" t="n"/>
      <c r="CF432" s="493" t="n"/>
      <c r="CG432" s="493" t="n"/>
      <c r="CH432" s="493" t="n"/>
      <c r="CI432" s="493" t="n"/>
      <c r="CJ432" s="493" t="n"/>
      <c r="CK432" s="493" t="n"/>
      <c r="CL432" s="493" t="n"/>
    </row>
    <row r="433" customFormat="1" s="230">
      <c r="E433" s="234" t="n"/>
      <c r="F433" s="492" t="n"/>
      <c r="G433" s="492" t="n"/>
      <c r="H433" s="493" t="n"/>
      <c r="I433" s="492" t="n"/>
      <c r="J433" s="492" t="n"/>
      <c r="K433" s="492" t="n"/>
      <c r="L433" s="492" t="n"/>
      <c r="M433" s="493" t="n"/>
      <c r="N433" s="492" t="n"/>
      <c r="O433" s="492" t="n"/>
      <c r="P433" s="492" t="n"/>
      <c r="Q433" s="492" t="n"/>
      <c r="R433" s="492" t="n"/>
      <c r="S433" s="492" t="n"/>
      <c r="T433" s="492" t="n"/>
      <c r="U433" s="492" t="n"/>
      <c r="V433" s="492" t="n"/>
      <c r="W433" s="492" t="n"/>
      <c r="X433" s="492" t="n"/>
      <c r="Y433" s="492" t="n"/>
      <c r="Z433" s="492" t="n"/>
      <c r="AA433" s="492" t="n"/>
      <c r="AB433" s="492" t="n"/>
      <c r="AC433" s="492" t="n"/>
      <c r="AD433" s="492" t="n"/>
      <c r="AE433" s="493" t="n"/>
      <c r="AF433" s="492" t="n"/>
      <c r="AG433" s="492" t="n"/>
      <c r="AH433" s="492" t="n"/>
      <c r="AI433" s="492" t="n"/>
      <c r="AJ433" s="493" t="n"/>
      <c r="AK433" s="492" t="n"/>
      <c r="AL433" s="492" t="n"/>
      <c r="AM433" s="492" t="n"/>
      <c r="AN433" s="492" t="n"/>
      <c r="AO433" s="492" t="n"/>
      <c r="AP433" s="492" t="n"/>
      <c r="AQ433" s="492" t="n"/>
      <c r="AR433" s="492" t="n"/>
      <c r="AS433" s="492" t="n"/>
      <c r="AT433" s="492" t="n"/>
      <c r="AU433" s="493" t="n"/>
      <c r="AV433" s="492" t="n"/>
      <c r="AW433" s="492" t="n"/>
      <c r="AX433" s="492" t="n"/>
      <c r="AY433" s="492" t="n"/>
      <c r="AZ433" s="492" t="n"/>
      <c r="BA433" s="493" t="n"/>
      <c r="BB433" s="492" t="n"/>
      <c r="BC433" s="492" t="n"/>
      <c r="BD433" s="492" t="n"/>
      <c r="BE433" s="492" t="n"/>
      <c r="BF433" s="493" t="n"/>
      <c r="BG433" s="493" t="n"/>
      <c r="BH433" s="495" t="n"/>
      <c r="BI433" s="496" t="n"/>
      <c r="BJ433" s="496" t="n"/>
      <c r="BK433" s="496" t="n"/>
      <c r="BM433" s="493" t="n"/>
      <c r="BN433" s="493" t="n"/>
      <c r="BO433" s="493" t="n"/>
      <c r="BP433" s="493" t="n"/>
      <c r="BQ433" s="493" t="n"/>
      <c r="BR433" s="493" t="n"/>
      <c r="BS433" s="493" t="n"/>
      <c r="BT433" s="493" t="n"/>
      <c r="BU433" s="493" t="n"/>
      <c r="BV433" s="493" t="n"/>
      <c r="BW433" s="493" t="n"/>
      <c r="BX433" s="493" t="n"/>
      <c r="BY433" s="493" t="n"/>
      <c r="BZ433" s="493" t="n"/>
      <c r="CA433" s="493" t="n"/>
      <c r="CB433" s="493" t="n"/>
      <c r="CC433" s="493" t="n"/>
      <c r="CD433" s="493" t="n"/>
      <c r="CE433" s="493" t="n"/>
      <c r="CF433" s="493" t="n"/>
      <c r="CG433" s="493" t="n"/>
      <c r="CH433" s="493" t="n"/>
      <c r="CI433" s="493" t="n"/>
      <c r="CJ433" s="493" t="n"/>
      <c r="CK433" s="493" t="n"/>
      <c r="CL433" s="493" t="n"/>
    </row>
    <row r="434" customFormat="1" s="230">
      <c r="E434" s="234" t="n"/>
      <c r="F434" s="492" t="n"/>
      <c r="G434" s="492" t="n"/>
      <c r="H434" s="493" t="n"/>
      <c r="I434" s="492" t="n"/>
      <c r="J434" s="492" t="n"/>
      <c r="K434" s="492" t="n"/>
      <c r="L434" s="492" t="n"/>
      <c r="M434" s="493" t="n"/>
      <c r="N434" s="492" t="n"/>
      <c r="O434" s="492" t="n"/>
      <c r="P434" s="492" t="n"/>
      <c r="Q434" s="492" t="n"/>
      <c r="R434" s="492" t="n"/>
      <c r="S434" s="492" t="n"/>
      <c r="T434" s="492" t="n"/>
      <c r="U434" s="492" t="n"/>
      <c r="V434" s="492" t="n"/>
      <c r="W434" s="492" t="n"/>
      <c r="X434" s="492" t="n"/>
      <c r="Y434" s="492" t="n"/>
      <c r="Z434" s="492" t="n"/>
      <c r="AA434" s="492" t="n"/>
      <c r="AB434" s="492" t="n"/>
      <c r="AC434" s="492" t="n"/>
      <c r="AD434" s="492" t="n"/>
      <c r="AE434" s="493" t="n"/>
      <c r="AF434" s="492" t="n"/>
      <c r="AG434" s="492" t="n"/>
      <c r="AH434" s="492" t="n"/>
      <c r="AI434" s="492" t="n"/>
      <c r="AJ434" s="493" t="n"/>
      <c r="AK434" s="492" t="n"/>
      <c r="AL434" s="492" t="n"/>
      <c r="AM434" s="492" t="n"/>
      <c r="AN434" s="492" t="n"/>
      <c r="AO434" s="492" t="n"/>
      <c r="AP434" s="492" t="n"/>
      <c r="AQ434" s="492" t="n"/>
      <c r="AR434" s="492" t="n"/>
      <c r="AS434" s="492" t="n"/>
      <c r="AT434" s="492" t="n"/>
      <c r="AU434" s="493" t="n"/>
      <c r="AV434" s="492" t="n"/>
      <c r="AW434" s="492" t="n"/>
      <c r="AX434" s="492" t="n"/>
      <c r="AY434" s="492" t="n"/>
      <c r="AZ434" s="492" t="n"/>
      <c r="BA434" s="493" t="n"/>
      <c r="BB434" s="492" t="n"/>
      <c r="BC434" s="492" t="n"/>
      <c r="BD434" s="492" t="n"/>
      <c r="BE434" s="492" t="n"/>
      <c r="BF434" s="493" t="n"/>
      <c r="BG434" s="493" t="n"/>
      <c r="BH434" s="495" t="n"/>
      <c r="BI434" s="496" t="n"/>
      <c r="BJ434" s="496" t="n"/>
      <c r="BK434" s="496" t="n"/>
      <c r="BM434" s="493" t="n"/>
      <c r="BN434" s="493" t="n"/>
      <c r="BO434" s="493" t="n"/>
      <c r="BP434" s="493" t="n"/>
      <c r="BQ434" s="493" t="n"/>
      <c r="BR434" s="493" t="n"/>
      <c r="BS434" s="493" t="n"/>
      <c r="BT434" s="493" t="n"/>
      <c r="BU434" s="493" t="n"/>
      <c r="BV434" s="493" t="n"/>
      <c r="BW434" s="493" t="n"/>
      <c r="BX434" s="493" t="n"/>
      <c r="BY434" s="493" t="n"/>
      <c r="BZ434" s="493" t="n"/>
      <c r="CA434" s="493" t="n"/>
      <c r="CB434" s="493" t="n"/>
      <c r="CC434" s="493" t="n"/>
      <c r="CD434" s="493" t="n"/>
      <c r="CE434" s="493" t="n"/>
      <c r="CF434" s="493" t="n"/>
      <c r="CG434" s="493" t="n"/>
      <c r="CH434" s="493" t="n"/>
      <c r="CI434" s="493" t="n"/>
      <c r="CJ434" s="493" t="n"/>
      <c r="CK434" s="493" t="n"/>
      <c r="CL434" s="493" t="n"/>
    </row>
    <row r="435" customFormat="1" s="230">
      <c r="E435" s="234" t="n"/>
      <c r="F435" s="492" t="n"/>
      <c r="G435" s="492" t="n"/>
      <c r="H435" s="493" t="n"/>
      <c r="I435" s="492" t="n"/>
      <c r="J435" s="492" t="n"/>
      <c r="K435" s="492" t="n"/>
      <c r="L435" s="492" t="n"/>
      <c r="M435" s="493" t="n"/>
      <c r="N435" s="492" t="n"/>
      <c r="O435" s="492" t="n"/>
      <c r="P435" s="492" t="n"/>
      <c r="Q435" s="492" t="n"/>
      <c r="R435" s="492" t="n"/>
      <c r="S435" s="492" t="n"/>
      <c r="T435" s="492" t="n"/>
      <c r="U435" s="492" t="n"/>
      <c r="V435" s="492" t="n"/>
      <c r="W435" s="492" t="n"/>
      <c r="X435" s="492" t="n"/>
      <c r="Y435" s="492" t="n"/>
      <c r="Z435" s="492" t="n"/>
      <c r="AA435" s="492" t="n"/>
      <c r="AB435" s="492" t="n"/>
      <c r="AC435" s="492" t="n"/>
      <c r="AD435" s="492" t="n"/>
      <c r="AE435" s="493" t="n"/>
      <c r="AF435" s="492" t="n"/>
      <c r="AG435" s="492" t="n"/>
      <c r="AH435" s="492" t="n"/>
      <c r="AI435" s="492" t="n"/>
      <c r="AJ435" s="493" t="n"/>
      <c r="AK435" s="492" t="n"/>
      <c r="AL435" s="492" t="n"/>
      <c r="AM435" s="492" t="n"/>
      <c r="AN435" s="492" t="n"/>
      <c r="AO435" s="492" t="n"/>
      <c r="AP435" s="492" t="n"/>
      <c r="AQ435" s="492" t="n"/>
      <c r="AR435" s="492" t="n"/>
      <c r="AS435" s="492" t="n"/>
      <c r="AT435" s="492" t="n"/>
      <c r="AU435" s="493" t="n"/>
      <c r="AV435" s="492" t="n"/>
      <c r="AW435" s="492" t="n"/>
      <c r="AX435" s="492" t="n"/>
      <c r="AY435" s="492" t="n"/>
      <c r="AZ435" s="492" t="n"/>
      <c r="BA435" s="493" t="n"/>
      <c r="BB435" s="492" t="n"/>
      <c r="BC435" s="492" t="n"/>
      <c r="BD435" s="492" t="n"/>
      <c r="BE435" s="492" t="n"/>
      <c r="BF435" s="493" t="n"/>
      <c r="BG435" s="493" t="n"/>
      <c r="BH435" s="495" t="n"/>
      <c r="BI435" s="496" t="n"/>
      <c r="BJ435" s="496" t="n"/>
      <c r="BK435" s="496" t="n"/>
      <c r="BM435" s="493" t="n"/>
      <c r="BN435" s="493" t="n"/>
      <c r="BO435" s="493" t="n"/>
      <c r="BP435" s="493" t="n"/>
      <c r="BQ435" s="493" t="n"/>
      <c r="BR435" s="493" t="n"/>
      <c r="BS435" s="493" t="n"/>
      <c r="BT435" s="493" t="n"/>
      <c r="BU435" s="493" t="n"/>
      <c r="BV435" s="493" t="n"/>
      <c r="BW435" s="493" t="n"/>
      <c r="BX435" s="493" t="n"/>
      <c r="BY435" s="493" t="n"/>
      <c r="BZ435" s="493" t="n"/>
      <c r="CA435" s="493" t="n"/>
      <c r="CB435" s="493" t="n"/>
      <c r="CC435" s="493" t="n"/>
      <c r="CD435" s="493" t="n"/>
      <c r="CE435" s="493" t="n"/>
      <c r="CF435" s="493" t="n"/>
      <c r="CG435" s="493" t="n"/>
      <c r="CH435" s="493" t="n"/>
      <c r="CI435" s="493" t="n"/>
      <c r="CJ435" s="493" t="n"/>
      <c r="CK435" s="493" t="n"/>
      <c r="CL435" s="493" t="n"/>
    </row>
    <row r="436" customFormat="1" s="230">
      <c r="E436" s="234" t="n"/>
      <c r="F436" s="492" t="n"/>
      <c r="G436" s="492" t="n"/>
      <c r="H436" s="493" t="n"/>
      <c r="I436" s="492" t="n"/>
      <c r="J436" s="492" t="n"/>
      <c r="K436" s="492" t="n"/>
      <c r="L436" s="492" t="n"/>
      <c r="M436" s="493" t="n"/>
      <c r="N436" s="492" t="n"/>
      <c r="O436" s="492" t="n"/>
      <c r="P436" s="492" t="n"/>
      <c r="Q436" s="492" t="n"/>
      <c r="R436" s="492" t="n"/>
      <c r="S436" s="492" t="n"/>
      <c r="T436" s="492" t="n"/>
      <c r="U436" s="492" t="n"/>
      <c r="V436" s="492" t="n"/>
      <c r="W436" s="492" t="n"/>
      <c r="X436" s="492" t="n"/>
      <c r="Y436" s="492" t="n"/>
      <c r="Z436" s="492" t="n"/>
      <c r="AA436" s="492" t="n"/>
      <c r="AB436" s="492" t="n"/>
      <c r="AC436" s="492" t="n"/>
      <c r="AD436" s="492" t="n"/>
      <c r="AE436" s="493" t="n"/>
      <c r="AF436" s="492" t="n"/>
      <c r="AG436" s="492" t="n"/>
      <c r="AH436" s="492" t="n"/>
      <c r="AI436" s="492" t="n"/>
      <c r="AJ436" s="493" t="n"/>
      <c r="AK436" s="492" t="n"/>
      <c r="AL436" s="492" t="n"/>
      <c r="AM436" s="492" t="n"/>
      <c r="AN436" s="492" t="n"/>
      <c r="AO436" s="492" t="n"/>
      <c r="AP436" s="492" t="n"/>
      <c r="AQ436" s="492" t="n"/>
      <c r="AR436" s="492" t="n"/>
      <c r="AS436" s="492" t="n"/>
      <c r="AT436" s="492" t="n"/>
      <c r="AU436" s="493" t="n"/>
      <c r="AV436" s="492" t="n"/>
      <c r="AW436" s="492" t="n"/>
      <c r="AX436" s="492" t="n"/>
      <c r="AY436" s="492" t="n"/>
      <c r="AZ436" s="492" t="n"/>
      <c r="BA436" s="493" t="n"/>
      <c r="BB436" s="492" t="n"/>
      <c r="BC436" s="492" t="n"/>
      <c r="BD436" s="492" t="n"/>
      <c r="BE436" s="492" t="n"/>
      <c r="BF436" s="493" t="n"/>
      <c r="BG436" s="493" t="n"/>
      <c r="BH436" s="495" t="n"/>
      <c r="BI436" s="496" t="n"/>
      <c r="BJ436" s="496" t="n"/>
      <c r="BK436" s="496" t="n"/>
      <c r="BM436" s="493" t="n"/>
      <c r="BN436" s="493" t="n"/>
      <c r="BO436" s="493" t="n"/>
      <c r="BP436" s="493" t="n"/>
      <c r="BQ436" s="493" t="n"/>
      <c r="BR436" s="493" t="n"/>
      <c r="BS436" s="493" t="n"/>
      <c r="BT436" s="493" t="n"/>
      <c r="BU436" s="493" t="n"/>
      <c r="BV436" s="493" t="n"/>
      <c r="BW436" s="493" t="n"/>
      <c r="BX436" s="493" t="n"/>
      <c r="BY436" s="493" t="n"/>
      <c r="BZ436" s="493" t="n"/>
      <c r="CA436" s="493" t="n"/>
      <c r="CB436" s="493" t="n"/>
      <c r="CC436" s="493" t="n"/>
      <c r="CD436" s="493" t="n"/>
      <c r="CE436" s="493" t="n"/>
      <c r="CF436" s="493" t="n"/>
      <c r="CG436" s="493" t="n"/>
      <c r="CH436" s="493" t="n"/>
      <c r="CI436" s="493" t="n"/>
      <c r="CJ436" s="493" t="n"/>
      <c r="CK436" s="493" t="n"/>
      <c r="CL436" s="493" t="n"/>
    </row>
    <row r="437" customFormat="1" s="230">
      <c r="E437" s="234" t="n"/>
      <c r="F437" s="492" t="n"/>
      <c r="G437" s="492" t="n"/>
      <c r="H437" s="493" t="n"/>
      <c r="I437" s="492" t="n"/>
      <c r="J437" s="492" t="n"/>
      <c r="K437" s="492" t="n"/>
      <c r="L437" s="492" t="n"/>
      <c r="M437" s="493" t="n"/>
      <c r="N437" s="492" t="n"/>
      <c r="O437" s="492" t="n"/>
      <c r="P437" s="492" t="n"/>
      <c r="Q437" s="492" t="n"/>
      <c r="R437" s="492" t="n"/>
      <c r="S437" s="492" t="n"/>
      <c r="T437" s="492" t="n"/>
      <c r="U437" s="492" t="n"/>
      <c r="V437" s="492" t="n"/>
      <c r="W437" s="492" t="n"/>
      <c r="X437" s="492" t="n"/>
      <c r="Y437" s="492" t="n"/>
      <c r="Z437" s="492" t="n"/>
      <c r="AA437" s="492" t="n"/>
      <c r="AB437" s="492" t="n"/>
      <c r="AC437" s="492" t="n"/>
      <c r="AD437" s="492" t="n"/>
      <c r="AE437" s="493" t="n"/>
      <c r="AF437" s="492" t="n"/>
      <c r="AG437" s="492" t="n"/>
      <c r="AH437" s="492" t="n"/>
      <c r="AI437" s="492" t="n"/>
      <c r="AJ437" s="493" t="n"/>
      <c r="AK437" s="492" t="n"/>
      <c r="AL437" s="492" t="n"/>
      <c r="AM437" s="492" t="n"/>
      <c r="AN437" s="492" t="n"/>
      <c r="AO437" s="492" t="n"/>
      <c r="AP437" s="492" t="n"/>
      <c r="AQ437" s="492" t="n"/>
      <c r="AR437" s="492" t="n"/>
      <c r="AS437" s="492" t="n"/>
      <c r="AT437" s="492" t="n"/>
      <c r="AU437" s="493" t="n"/>
      <c r="AV437" s="492" t="n"/>
      <c r="AW437" s="492" t="n"/>
      <c r="AX437" s="492" t="n"/>
      <c r="AY437" s="492" t="n"/>
      <c r="AZ437" s="492" t="n"/>
      <c r="BA437" s="493" t="n"/>
      <c r="BB437" s="492" t="n"/>
      <c r="BC437" s="492" t="n"/>
      <c r="BD437" s="492" t="n"/>
      <c r="BE437" s="492" t="n"/>
      <c r="BF437" s="493" t="n"/>
      <c r="BG437" s="493" t="n"/>
      <c r="BH437" s="495" t="n"/>
      <c r="BI437" s="496" t="n"/>
      <c r="BJ437" s="496" t="n"/>
      <c r="BK437" s="496" t="n"/>
      <c r="BM437" s="493" t="n"/>
      <c r="BN437" s="493" t="n"/>
      <c r="BO437" s="493" t="n"/>
      <c r="BP437" s="493" t="n"/>
      <c r="BQ437" s="493" t="n"/>
      <c r="BR437" s="493" t="n"/>
      <c r="BS437" s="493" t="n"/>
      <c r="BT437" s="493" t="n"/>
      <c r="BU437" s="493" t="n"/>
      <c r="BV437" s="493" t="n"/>
      <c r="BW437" s="493" t="n"/>
      <c r="BX437" s="493" t="n"/>
      <c r="BY437" s="493" t="n"/>
      <c r="BZ437" s="493" t="n"/>
      <c r="CA437" s="493" t="n"/>
      <c r="CB437" s="493" t="n"/>
      <c r="CC437" s="493" t="n"/>
      <c r="CD437" s="493" t="n"/>
      <c r="CE437" s="493" t="n"/>
      <c r="CF437" s="493" t="n"/>
      <c r="CG437" s="493" t="n"/>
      <c r="CH437" s="493" t="n"/>
      <c r="CI437" s="493" t="n"/>
      <c r="CJ437" s="493" t="n"/>
      <c r="CK437" s="493" t="n"/>
      <c r="CL437" s="493" t="n"/>
    </row>
    <row r="438" customFormat="1" s="230">
      <c r="E438" s="234" t="n"/>
      <c r="F438" s="492" t="n"/>
      <c r="G438" s="492" t="n"/>
      <c r="H438" s="493" t="n"/>
      <c r="I438" s="492" t="n"/>
      <c r="J438" s="492" t="n"/>
      <c r="K438" s="492" t="n"/>
      <c r="L438" s="492" t="n"/>
      <c r="M438" s="493" t="n"/>
      <c r="N438" s="492" t="n"/>
      <c r="O438" s="492" t="n"/>
      <c r="P438" s="492" t="n"/>
      <c r="Q438" s="492" t="n"/>
      <c r="R438" s="492" t="n"/>
      <c r="S438" s="492" t="n"/>
      <c r="T438" s="492" t="n"/>
      <c r="U438" s="492" t="n"/>
      <c r="V438" s="492" t="n"/>
      <c r="W438" s="492" t="n"/>
      <c r="X438" s="492" t="n"/>
      <c r="Y438" s="492" t="n"/>
      <c r="Z438" s="492" t="n"/>
      <c r="AA438" s="492" t="n"/>
      <c r="AB438" s="492" t="n"/>
      <c r="AC438" s="492" t="n"/>
      <c r="AD438" s="492" t="n"/>
      <c r="AE438" s="493" t="n"/>
      <c r="AF438" s="492" t="n"/>
      <c r="AG438" s="492" t="n"/>
      <c r="AH438" s="492" t="n"/>
      <c r="AI438" s="492" t="n"/>
      <c r="AJ438" s="493" t="n"/>
      <c r="AK438" s="492" t="n"/>
      <c r="AL438" s="492" t="n"/>
      <c r="AM438" s="492" t="n"/>
      <c r="AN438" s="492" t="n"/>
      <c r="AO438" s="492" t="n"/>
      <c r="AP438" s="492" t="n"/>
      <c r="AQ438" s="492" t="n"/>
      <c r="AR438" s="492" t="n"/>
      <c r="AS438" s="492" t="n"/>
      <c r="AT438" s="492" t="n"/>
      <c r="AU438" s="493" t="n"/>
      <c r="AV438" s="492" t="n"/>
      <c r="AW438" s="492" t="n"/>
      <c r="AX438" s="492" t="n"/>
      <c r="AY438" s="492" t="n"/>
      <c r="AZ438" s="492" t="n"/>
      <c r="BA438" s="493" t="n"/>
      <c r="BB438" s="492" t="n"/>
      <c r="BC438" s="492" t="n"/>
      <c r="BD438" s="492" t="n"/>
      <c r="BE438" s="492" t="n"/>
      <c r="BF438" s="493" t="n"/>
      <c r="BG438" s="493" t="n"/>
      <c r="BH438" s="495" t="n"/>
      <c r="BI438" s="496" t="n"/>
      <c r="BJ438" s="496" t="n"/>
      <c r="BK438" s="496" t="n"/>
      <c r="BM438" s="493" t="n"/>
      <c r="BN438" s="493" t="n"/>
      <c r="BO438" s="493" t="n"/>
      <c r="BP438" s="493" t="n"/>
      <c r="BQ438" s="493" t="n"/>
      <c r="BR438" s="493" t="n"/>
      <c r="BS438" s="493" t="n"/>
      <c r="BT438" s="493" t="n"/>
      <c r="BU438" s="493" t="n"/>
      <c r="BV438" s="493" t="n"/>
      <c r="BW438" s="493" t="n"/>
      <c r="BX438" s="493" t="n"/>
      <c r="BY438" s="493" t="n"/>
      <c r="BZ438" s="493" t="n"/>
      <c r="CA438" s="493" t="n"/>
      <c r="CB438" s="493" t="n"/>
      <c r="CC438" s="493" t="n"/>
      <c r="CD438" s="493" t="n"/>
      <c r="CE438" s="493" t="n"/>
      <c r="CF438" s="493" t="n"/>
      <c r="CG438" s="493" t="n"/>
      <c r="CH438" s="493" t="n"/>
      <c r="CI438" s="493" t="n"/>
      <c r="CJ438" s="493" t="n"/>
      <c r="CK438" s="493" t="n"/>
      <c r="CL438" s="493" t="n"/>
    </row>
    <row r="439" customFormat="1" s="230">
      <c r="E439" s="234" t="n"/>
      <c r="F439" s="492" t="n"/>
      <c r="G439" s="492" t="n"/>
      <c r="H439" s="493" t="n"/>
      <c r="I439" s="492" t="n"/>
      <c r="J439" s="492" t="n"/>
      <c r="K439" s="492" t="n"/>
      <c r="L439" s="492" t="n"/>
      <c r="M439" s="493" t="n"/>
      <c r="N439" s="492" t="n"/>
      <c r="O439" s="492" t="n"/>
      <c r="P439" s="492" t="n"/>
      <c r="Q439" s="492" t="n"/>
      <c r="R439" s="492" t="n"/>
      <c r="S439" s="492" t="n"/>
      <c r="T439" s="492" t="n"/>
      <c r="U439" s="492" t="n"/>
      <c r="V439" s="492" t="n"/>
      <c r="W439" s="492" t="n"/>
      <c r="X439" s="492" t="n"/>
      <c r="Y439" s="492" t="n"/>
      <c r="Z439" s="492" t="n"/>
      <c r="AA439" s="492" t="n"/>
      <c r="AB439" s="492" t="n"/>
      <c r="AC439" s="492" t="n"/>
      <c r="AD439" s="492" t="n"/>
      <c r="AE439" s="493" t="n"/>
      <c r="AF439" s="492" t="n"/>
      <c r="AG439" s="492" t="n"/>
      <c r="AH439" s="492" t="n"/>
      <c r="AI439" s="492" t="n"/>
      <c r="AJ439" s="493" t="n"/>
      <c r="AK439" s="492" t="n"/>
      <c r="AL439" s="492" t="n"/>
      <c r="AM439" s="492" t="n"/>
      <c r="AN439" s="492" t="n"/>
      <c r="AO439" s="492" t="n"/>
      <c r="AP439" s="492" t="n"/>
      <c r="AQ439" s="492" t="n"/>
      <c r="AR439" s="492" t="n"/>
      <c r="AS439" s="492" t="n"/>
      <c r="AT439" s="492" t="n"/>
      <c r="AU439" s="493" t="n"/>
      <c r="AV439" s="492" t="n"/>
      <c r="AW439" s="492" t="n"/>
      <c r="AX439" s="492" t="n"/>
      <c r="AY439" s="492" t="n"/>
      <c r="AZ439" s="492" t="n"/>
      <c r="BA439" s="493" t="n"/>
      <c r="BB439" s="492" t="n"/>
      <c r="BC439" s="492" t="n"/>
      <c r="BD439" s="492" t="n"/>
      <c r="BE439" s="492" t="n"/>
      <c r="BF439" s="493" t="n"/>
      <c r="BG439" s="493" t="n"/>
      <c r="BH439" s="495" t="n"/>
      <c r="BI439" s="496" t="n"/>
      <c r="BJ439" s="496" t="n"/>
      <c r="BK439" s="496" t="n"/>
      <c r="BM439" s="493" t="n"/>
      <c r="BN439" s="493" t="n"/>
      <c r="BO439" s="493" t="n"/>
      <c r="BP439" s="493" t="n"/>
      <c r="BQ439" s="493" t="n"/>
      <c r="BR439" s="493" t="n"/>
      <c r="BS439" s="493" t="n"/>
      <c r="BT439" s="493" t="n"/>
      <c r="BU439" s="493" t="n"/>
      <c r="BV439" s="493" t="n"/>
      <c r="BW439" s="493" t="n"/>
      <c r="BX439" s="493" t="n"/>
      <c r="BY439" s="493" t="n"/>
      <c r="BZ439" s="493" t="n"/>
      <c r="CA439" s="493" t="n"/>
      <c r="CB439" s="493" t="n"/>
      <c r="CC439" s="493" t="n"/>
      <c r="CD439" s="493" t="n"/>
      <c r="CE439" s="493" t="n"/>
      <c r="CF439" s="493" t="n"/>
      <c r="CG439" s="493" t="n"/>
      <c r="CH439" s="493" t="n"/>
      <c r="CI439" s="493" t="n"/>
      <c r="CJ439" s="493" t="n"/>
      <c r="CK439" s="493" t="n"/>
      <c r="CL439" s="493" t="n"/>
    </row>
    <row r="440" customFormat="1" s="230">
      <c r="E440" s="234" t="n"/>
      <c r="F440" s="492" t="n"/>
      <c r="G440" s="492" t="n"/>
      <c r="H440" s="493" t="n"/>
      <c r="I440" s="492" t="n"/>
      <c r="J440" s="492" t="n"/>
      <c r="K440" s="492" t="n"/>
      <c r="L440" s="492" t="n"/>
      <c r="M440" s="493" t="n"/>
      <c r="N440" s="492" t="n"/>
      <c r="O440" s="492" t="n"/>
      <c r="P440" s="492" t="n"/>
      <c r="Q440" s="492" t="n"/>
      <c r="R440" s="492" t="n"/>
      <c r="S440" s="492" t="n"/>
      <c r="T440" s="492" t="n"/>
      <c r="U440" s="492" t="n"/>
      <c r="V440" s="492" t="n"/>
      <c r="W440" s="492" t="n"/>
      <c r="X440" s="492" t="n"/>
      <c r="Y440" s="492" t="n"/>
      <c r="Z440" s="492" t="n"/>
      <c r="AA440" s="492" t="n"/>
      <c r="AB440" s="492" t="n"/>
      <c r="AC440" s="492" t="n"/>
      <c r="AD440" s="492" t="n"/>
      <c r="AE440" s="493" t="n"/>
      <c r="AF440" s="492" t="n"/>
      <c r="AG440" s="492" t="n"/>
      <c r="AH440" s="492" t="n"/>
      <c r="AI440" s="492" t="n"/>
      <c r="AJ440" s="493" t="n"/>
      <c r="AK440" s="492" t="n"/>
      <c r="AL440" s="492" t="n"/>
      <c r="AM440" s="492" t="n"/>
      <c r="AN440" s="492" t="n"/>
      <c r="AO440" s="492" t="n"/>
      <c r="AP440" s="492" t="n"/>
      <c r="AQ440" s="492" t="n"/>
      <c r="AR440" s="492" t="n"/>
      <c r="AS440" s="492" t="n"/>
      <c r="AT440" s="492" t="n"/>
      <c r="AU440" s="493" t="n"/>
      <c r="AV440" s="492" t="n"/>
      <c r="AW440" s="492" t="n"/>
      <c r="AX440" s="492" t="n"/>
      <c r="AY440" s="492" t="n"/>
      <c r="AZ440" s="492" t="n"/>
      <c r="BA440" s="493" t="n"/>
      <c r="BB440" s="492" t="n"/>
      <c r="BC440" s="492" t="n"/>
      <c r="BD440" s="492" t="n"/>
      <c r="BE440" s="492" t="n"/>
      <c r="BF440" s="493" t="n"/>
      <c r="BG440" s="493" t="n"/>
      <c r="BH440" s="495" t="n"/>
      <c r="BI440" s="496" t="n"/>
      <c r="BJ440" s="496" t="n"/>
      <c r="BK440" s="496" t="n"/>
      <c r="BM440" s="493" t="n"/>
      <c r="BN440" s="493" t="n"/>
      <c r="BO440" s="493" t="n"/>
      <c r="BP440" s="493" t="n"/>
      <c r="BQ440" s="493" t="n"/>
      <c r="BR440" s="493" t="n"/>
      <c r="BS440" s="493" t="n"/>
      <c r="BT440" s="493" t="n"/>
      <c r="BU440" s="493" t="n"/>
      <c r="BV440" s="493" t="n"/>
      <c r="BW440" s="493" t="n"/>
      <c r="BX440" s="493" t="n"/>
      <c r="BY440" s="493" t="n"/>
      <c r="BZ440" s="493" t="n"/>
      <c r="CA440" s="493" t="n"/>
      <c r="CB440" s="493" t="n"/>
      <c r="CC440" s="493" t="n"/>
      <c r="CD440" s="493" t="n"/>
      <c r="CE440" s="493" t="n"/>
      <c r="CF440" s="493" t="n"/>
      <c r="CG440" s="493" t="n"/>
      <c r="CH440" s="493" t="n"/>
      <c r="CI440" s="493" t="n"/>
      <c r="CJ440" s="493" t="n"/>
      <c r="CK440" s="493" t="n"/>
      <c r="CL440" s="493" t="n"/>
    </row>
    <row r="441" customFormat="1" s="230">
      <c r="E441" s="234" t="n"/>
      <c r="F441" s="492" t="n"/>
      <c r="G441" s="492" t="n"/>
      <c r="H441" s="493" t="n"/>
      <c r="I441" s="492" t="n"/>
      <c r="J441" s="492" t="n"/>
      <c r="K441" s="492" t="n"/>
      <c r="L441" s="492" t="n"/>
      <c r="M441" s="493" t="n"/>
      <c r="N441" s="492" t="n"/>
      <c r="O441" s="492" t="n"/>
      <c r="P441" s="492" t="n"/>
      <c r="Q441" s="492" t="n"/>
      <c r="R441" s="492" t="n"/>
      <c r="S441" s="492" t="n"/>
      <c r="T441" s="492" t="n"/>
      <c r="U441" s="492" t="n"/>
      <c r="V441" s="492" t="n"/>
      <c r="W441" s="492" t="n"/>
      <c r="X441" s="492" t="n"/>
      <c r="Y441" s="492" t="n"/>
      <c r="Z441" s="492" t="n"/>
      <c r="AA441" s="492" t="n"/>
      <c r="AB441" s="492" t="n"/>
      <c r="AC441" s="492" t="n"/>
      <c r="AD441" s="492" t="n"/>
      <c r="AE441" s="493" t="n"/>
      <c r="AF441" s="492" t="n"/>
      <c r="AG441" s="492" t="n"/>
      <c r="AH441" s="492" t="n"/>
      <c r="AI441" s="492" t="n"/>
      <c r="AJ441" s="493" t="n"/>
      <c r="AK441" s="492" t="n"/>
      <c r="AL441" s="492" t="n"/>
      <c r="AM441" s="492" t="n"/>
      <c r="AN441" s="492" t="n"/>
      <c r="AO441" s="492" t="n"/>
      <c r="AP441" s="492" t="n"/>
      <c r="AQ441" s="492" t="n"/>
      <c r="AR441" s="492" t="n"/>
      <c r="AS441" s="492" t="n"/>
      <c r="AT441" s="492" t="n"/>
      <c r="AU441" s="493" t="n"/>
      <c r="AV441" s="492" t="n"/>
      <c r="AW441" s="492" t="n"/>
      <c r="AX441" s="492" t="n"/>
      <c r="AY441" s="492" t="n"/>
      <c r="AZ441" s="492" t="n"/>
      <c r="BA441" s="493" t="n"/>
      <c r="BB441" s="492" t="n"/>
      <c r="BC441" s="492" t="n"/>
      <c r="BD441" s="492" t="n"/>
      <c r="BE441" s="492" t="n"/>
      <c r="BF441" s="493" t="n"/>
      <c r="BG441" s="493" t="n"/>
      <c r="BH441" s="495" t="n"/>
      <c r="BI441" s="496" t="n"/>
      <c r="BJ441" s="496" t="n"/>
      <c r="BK441" s="496" t="n"/>
      <c r="BM441" s="493" t="n"/>
      <c r="BN441" s="493" t="n"/>
      <c r="BO441" s="493" t="n"/>
      <c r="BP441" s="493" t="n"/>
      <c r="BQ441" s="493" t="n"/>
      <c r="BR441" s="493" t="n"/>
      <c r="BS441" s="493" t="n"/>
      <c r="BT441" s="493" t="n"/>
      <c r="BU441" s="493" t="n"/>
      <c r="BV441" s="493" t="n"/>
      <c r="BW441" s="493" t="n"/>
      <c r="BX441" s="493" t="n"/>
      <c r="BY441" s="493" t="n"/>
      <c r="BZ441" s="493" t="n"/>
      <c r="CA441" s="493" t="n"/>
      <c r="CB441" s="493" t="n"/>
      <c r="CC441" s="493" t="n"/>
      <c r="CD441" s="493" t="n"/>
      <c r="CE441" s="493" t="n"/>
      <c r="CF441" s="493" t="n"/>
      <c r="CG441" s="493" t="n"/>
      <c r="CH441" s="493" t="n"/>
      <c r="CI441" s="493" t="n"/>
      <c r="CJ441" s="493" t="n"/>
      <c r="CK441" s="493" t="n"/>
      <c r="CL441" s="493" t="n"/>
    </row>
    <row r="442" customFormat="1" s="230">
      <c r="E442" s="234" t="n"/>
      <c r="F442" s="492" t="n"/>
      <c r="G442" s="492" t="n"/>
      <c r="H442" s="493" t="n"/>
      <c r="I442" s="492" t="n"/>
      <c r="J442" s="492" t="n"/>
      <c r="K442" s="492" t="n"/>
      <c r="L442" s="492" t="n"/>
      <c r="M442" s="493" t="n"/>
      <c r="N442" s="492" t="n"/>
      <c r="O442" s="492" t="n"/>
      <c r="P442" s="492" t="n"/>
      <c r="Q442" s="492" t="n"/>
      <c r="R442" s="492" t="n"/>
      <c r="S442" s="492" t="n"/>
      <c r="T442" s="492" t="n"/>
      <c r="U442" s="492" t="n"/>
      <c r="V442" s="492" t="n"/>
      <c r="W442" s="492" t="n"/>
      <c r="X442" s="492" t="n"/>
      <c r="Y442" s="492" t="n"/>
      <c r="Z442" s="492" t="n"/>
      <c r="AA442" s="492" t="n"/>
      <c r="AB442" s="492" t="n"/>
      <c r="AC442" s="492" t="n"/>
      <c r="AD442" s="492" t="n"/>
      <c r="AE442" s="493" t="n"/>
      <c r="AF442" s="492" t="n"/>
      <c r="AG442" s="492" t="n"/>
      <c r="AH442" s="492" t="n"/>
      <c r="AI442" s="492" t="n"/>
      <c r="AJ442" s="493" t="n"/>
      <c r="AK442" s="492" t="n"/>
      <c r="AL442" s="492" t="n"/>
      <c r="AM442" s="492" t="n"/>
      <c r="AN442" s="492" t="n"/>
      <c r="AO442" s="492" t="n"/>
      <c r="AP442" s="492" t="n"/>
      <c r="AQ442" s="492" t="n"/>
      <c r="AR442" s="492" t="n"/>
      <c r="AS442" s="492" t="n"/>
      <c r="AT442" s="492" t="n"/>
      <c r="AU442" s="493" t="n"/>
      <c r="AV442" s="492" t="n"/>
      <c r="AW442" s="492" t="n"/>
      <c r="AX442" s="492" t="n"/>
      <c r="AY442" s="492" t="n"/>
      <c r="AZ442" s="492" t="n"/>
      <c r="BA442" s="493" t="n"/>
      <c r="BB442" s="492" t="n"/>
      <c r="BC442" s="492" t="n"/>
      <c r="BD442" s="492" t="n"/>
      <c r="BE442" s="492" t="n"/>
      <c r="BF442" s="493" t="n"/>
      <c r="BG442" s="493" t="n"/>
      <c r="BH442" s="495" t="n"/>
      <c r="BI442" s="496" t="n"/>
      <c r="BJ442" s="496" t="n"/>
      <c r="BK442" s="496" t="n"/>
      <c r="BM442" s="493" t="n"/>
      <c r="BN442" s="493" t="n"/>
      <c r="BO442" s="493" t="n"/>
      <c r="BP442" s="493" t="n"/>
      <c r="BQ442" s="493" t="n"/>
      <c r="BR442" s="493" t="n"/>
      <c r="BS442" s="493" t="n"/>
      <c r="BT442" s="493" t="n"/>
      <c r="BU442" s="493" t="n"/>
      <c r="BV442" s="493" t="n"/>
      <c r="BW442" s="493" t="n"/>
      <c r="BX442" s="493" t="n"/>
      <c r="BY442" s="493" t="n"/>
      <c r="BZ442" s="493" t="n"/>
      <c r="CA442" s="493" t="n"/>
      <c r="CB442" s="493" t="n"/>
      <c r="CC442" s="493" t="n"/>
      <c r="CD442" s="493" t="n"/>
      <c r="CE442" s="493" t="n"/>
      <c r="CF442" s="493" t="n"/>
      <c r="CG442" s="493" t="n"/>
      <c r="CH442" s="493" t="n"/>
      <c r="CI442" s="493" t="n"/>
      <c r="CJ442" s="493" t="n"/>
      <c r="CK442" s="493" t="n"/>
      <c r="CL442" s="493" t="n"/>
    </row>
    <row r="443" customFormat="1" s="230">
      <c r="E443" s="234" t="n"/>
      <c r="F443" s="492" t="n"/>
      <c r="G443" s="492" t="n"/>
      <c r="H443" s="493" t="n"/>
      <c r="I443" s="492" t="n"/>
      <c r="J443" s="492" t="n"/>
      <c r="K443" s="492" t="n"/>
      <c r="L443" s="492" t="n"/>
      <c r="M443" s="493" t="n"/>
      <c r="N443" s="492" t="n"/>
      <c r="O443" s="492" t="n"/>
      <c r="P443" s="492" t="n"/>
      <c r="Q443" s="492" t="n"/>
      <c r="R443" s="492" t="n"/>
      <c r="S443" s="492" t="n"/>
      <c r="T443" s="492" t="n"/>
      <c r="U443" s="492" t="n"/>
      <c r="V443" s="492" t="n"/>
      <c r="W443" s="492" t="n"/>
      <c r="X443" s="492" t="n"/>
      <c r="Y443" s="492" t="n"/>
      <c r="Z443" s="492" t="n"/>
      <c r="AA443" s="492" t="n"/>
      <c r="AB443" s="492" t="n"/>
      <c r="AC443" s="492" t="n"/>
      <c r="AD443" s="492" t="n"/>
      <c r="AE443" s="493" t="n"/>
      <c r="AF443" s="492" t="n"/>
      <c r="AG443" s="492" t="n"/>
      <c r="AH443" s="492" t="n"/>
      <c r="AI443" s="492" t="n"/>
      <c r="AJ443" s="493" t="n"/>
      <c r="AK443" s="492" t="n"/>
      <c r="AL443" s="492" t="n"/>
      <c r="AM443" s="492" t="n"/>
      <c r="AN443" s="492" t="n"/>
      <c r="AO443" s="492" t="n"/>
      <c r="AP443" s="492" t="n"/>
      <c r="AQ443" s="492" t="n"/>
      <c r="AR443" s="492" t="n"/>
      <c r="AS443" s="492" t="n"/>
      <c r="AT443" s="492" t="n"/>
      <c r="AU443" s="493" t="n"/>
      <c r="AV443" s="492" t="n"/>
      <c r="AW443" s="492" t="n"/>
      <c r="AX443" s="492" t="n"/>
      <c r="AY443" s="492" t="n"/>
      <c r="AZ443" s="492" t="n"/>
      <c r="BA443" s="493" t="n"/>
      <c r="BB443" s="492" t="n"/>
      <c r="BC443" s="492" t="n"/>
      <c r="BD443" s="492" t="n"/>
      <c r="BE443" s="492" t="n"/>
      <c r="BF443" s="493" t="n"/>
      <c r="BG443" s="493" t="n"/>
      <c r="BH443" s="495" t="n"/>
      <c r="BI443" s="496" t="n"/>
      <c r="BJ443" s="496" t="n"/>
      <c r="BK443" s="496" t="n"/>
      <c r="BM443" s="493" t="n"/>
      <c r="BN443" s="493" t="n"/>
      <c r="BO443" s="493" t="n"/>
      <c r="BP443" s="493" t="n"/>
      <c r="BQ443" s="493" t="n"/>
      <c r="BR443" s="493" t="n"/>
      <c r="BS443" s="493" t="n"/>
      <c r="BT443" s="493" t="n"/>
      <c r="BU443" s="493" t="n"/>
      <c r="BV443" s="493" t="n"/>
      <c r="BW443" s="493" t="n"/>
      <c r="BX443" s="493" t="n"/>
      <c r="BY443" s="493" t="n"/>
      <c r="BZ443" s="493" t="n"/>
      <c r="CA443" s="493" t="n"/>
      <c r="CB443" s="493" t="n"/>
      <c r="CC443" s="493" t="n"/>
      <c r="CD443" s="493" t="n"/>
      <c r="CE443" s="493" t="n"/>
      <c r="CF443" s="493" t="n"/>
      <c r="CG443" s="493" t="n"/>
      <c r="CH443" s="493" t="n"/>
      <c r="CI443" s="493" t="n"/>
      <c r="CJ443" s="493" t="n"/>
      <c r="CK443" s="493" t="n"/>
      <c r="CL443" s="493" t="n"/>
    </row>
    <row r="444" customFormat="1" s="230">
      <c r="E444" s="234" t="n"/>
      <c r="F444" s="492" t="n"/>
      <c r="G444" s="492" t="n"/>
      <c r="H444" s="493" t="n"/>
      <c r="I444" s="492" t="n"/>
      <c r="J444" s="492" t="n"/>
      <c r="K444" s="492" t="n"/>
      <c r="L444" s="492" t="n"/>
      <c r="M444" s="493" t="n"/>
      <c r="N444" s="492" t="n"/>
      <c r="O444" s="492" t="n"/>
      <c r="P444" s="492" t="n"/>
      <c r="Q444" s="492" t="n"/>
      <c r="R444" s="492" t="n"/>
      <c r="S444" s="492" t="n"/>
      <c r="T444" s="492" t="n"/>
      <c r="U444" s="492" t="n"/>
      <c r="V444" s="492" t="n"/>
      <c r="W444" s="492" t="n"/>
      <c r="X444" s="492" t="n"/>
      <c r="Y444" s="492" t="n"/>
      <c r="Z444" s="492" t="n"/>
      <c r="AA444" s="492" t="n"/>
      <c r="AB444" s="492" t="n"/>
      <c r="AC444" s="492" t="n"/>
      <c r="AD444" s="492" t="n"/>
      <c r="AE444" s="493" t="n"/>
      <c r="AF444" s="492" t="n"/>
      <c r="AG444" s="492" t="n"/>
      <c r="AH444" s="492" t="n"/>
      <c r="AI444" s="492" t="n"/>
      <c r="AJ444" s="493" t="n"/>
      <c r="AK444" s="492" t="n"/>
      <c r="AL444" s="492" t="n"/>
      <c r="AM444" s="492" t="n"/>
      <c r="AN444" s="492" t="n"/>
      <c r="AO444" s="492" t="n"/>
      <c r="AP444" s="492" t="n"/>
      <c r="AQ444" s="492" t="n"/>
      <c r="AR444" s="492" t="n"/>
      <c r="AS444" s="492" t="n"/>
      <c r="AT444" s="492" t="n"/>
      <c r="AU444" s="493" t="n"/>
      <c r="AV444" s="492" t="n"/>
      <c r="AW444" s="492" t="n"/>
      <c r="AX444" s="492" t="n"/>
      <c r="AY444" s="492" t="n"/>
      <c r="AZ444" s="492" t="n"/>
      <c r="BA444" s="493" t="n"/>
      <c r="BB444" s="492" t="n"/>
      <c r="BC444" s="492" t="n"/>
      <c r="BD444" s="492" t="n"/>
      <c r="BE444" s="492" t="n"/>
      <c r="BF444" s="493" t="n"/>
      <c r="BG444" s="493" t="n"/>
      <c r="BH444" s="495" t="n"/>
      <c r="BI444" s="496" t="n"/>
      <c r="BJ444" s="496" t="n"/>
      <c r="BK444" s="496" t="n"/>
      <c r="BM444" s="493" t="n"/>
      <c r="BN444" s="493" t="n"/>
      <c r="BO444" s="493" t="n"/>
      <c r="BP444" s="493" t="n"/>
      <c r="BQ444" s="493" t="n"/>
      <c r="BR444" s="493" t="n"/>
      <c r="BS444" s="493" t="n"/>
      <c r="BT444" s="493" t="n"/>
      <c r="BU444" s="493" t="n"/>
      <c r="BV444" s="493" t="n"/>
      <c r="BW444" s="493" t="n"/>
      <c r="BX444" s="493" t="n"/>
      <c r="BY444" s="493" t="n"/>
      <c r="BZ444" s="493" t="n"/>
      <c r="CA444" s="493" t="n"/>
      <c r="CB444" s="493" t="n"/>
      <c r="CC444" s="493" t="n"/>
      <c r="CD444" s="493" t="n"/>
      <c r="CE444" s="493" t="n"/>
      <c r="CF444" s="493" t="n"/>
      <c r="CG444" s="493" t="n"/>
      <c r="CH444" s="493" t="n"/>
      <c r="CI444" s="493" t="n"/>
      <c r="CJ444" s="493" t="n"/>
      <c r="CK444" s="493" t="n"/>
      <c r="CL444" s="493" t="n"/>
    </row>
    <row r="445" customFormat="1" s="230">
      <c r="E445" s="234" t="n"/>
      <c r="F445" s="492" t="n"/>
      <c r="G445" s="492" t="n"/>
      <c r="H445" s="493" t="n"/>
      <c r="I445" s="492" t="n"/>
      <c r="J445" s="492" t="n"/>
      <c r="K445" s="492" t="n"/>
      <c r="L445" s="492" t="n"/>
      <c r="M445" s="493" t="n"/>
      <c r="N445" s="492" t="n"/>
      <c r="O445" s="492" t="n"/>
      <c r="P445" s="492" t="n"/>
      <c r="Q445" s="492" t="n"/>
      <c r="R445" s="492" t="n"/>
      <c r="S445" s="492" t="n"/>
      <c r="T445" s="492" t="n"/>
      <c r="U445" s="492" t="n"/>
      <c r="V445" s="492" t="n"/>
      <c r="W445" s="492" t="n"/>
      <c r="X445" s="492" t="n"/>
      <c r="Y445" s="492" t="n"/>
      <c r="Z445" s="492" t="n"/>
      <c r="AA445" s="492" t="n"/>
      <c r="AB445" s="492" t="n"/>
      <c r="AC445" s="492" t="n"/>
      <c r="AD445" s="492" t="n"/>
      <c r="AE445" s="493" t="n"/>
      <c r="AF445" s="492" t="n"/>
      <c r="AG445" s="492" t="n"/>
      <c r="AH445" s="492" t="n"/>
      <c r="AI445" s="492" t="n"/>
      <c r="AJ445" s="493" t="n"/>
      <c r="AK445" s="492" t="n"/>
      <c r="AL445" s="492" t="n"/>
      <c r="AM445" s="492" t="n"/>
      <c r="AN445" s="492" t="n"/>
      <c r="AO445" s="492" t="n"/>
      <c r="AP445" s="492" t="n"/>
      <c r="AQ445" s="492" t="n"/>
      <c r="AR445" s="492" t="n"/>
      <c r="AS445" s="492" t="n"/>
      <c r="AT445" s="492" t="n"/>
      <c r="AU445" s="493" t="n"/>
      <c r="AV445" s="492" t="n"/>
      <c r="AW445" s="492" t="n"/>
      <c r="AX445" s="492" t="n"/>
      <c r="AY445" s="492" t="n"/>
      <c r="AZ445" s="492" t="n"/>
      <c r="BA445" s="493" t="n"/>
      <c r="BB445" s="492" t="n"/>
      <c r="BC445" s="492" t="n"/>
      <c r="BD445" s="492" t="n"/>
      <c r="BE445" s="492" t="n"/>
      <c r="BF445" s="493" t="n"/>
      <c r="BG445" s="493" t="n"/>
      <c r="BH445" s="495" t="n"/>
      <c r="BI445" s="496" t="n"/>
      <c r="BJ445" s="496" t="n"/>
      <c r="BK445" s="496" t="n"/>
      <c r="BM445" s="493" t="n"/>
      <c r="BN445" s="493" t="n"/>
      <c r="BO445" s="493" t="n"/>
      <c r="BP445" s="493" t="n"/>
      <c r="BQ445" s="493" t="n"/>
      <c r="BR445" s="493" t="n"/>
      <c r="BS445" s="493" t="n"/>
      <c r="BT445" s="493" t="n"/>
      <c r="BU445" s="493" t="n"/>
      <c r="BV445" s="493" t="n"/>
      <c r="BW445" s="493" t="n"/>
      <c r="BX445" s="493" t="n"/>
      <c r="BY445" s="493" t="n"/>
      <c r="BZ445" s="493" t="n"/>
      <c r="CA445" s="493" t="n"/>
      <c r="CB445" s="493" t="n"/>
      <c r="CC445" s="493" t="n"/>
      <c r="CD445" s="493" t="n"/>
      <c r="CE445" s="493" t="n"/>
      <c r="CF445" s="493" t="n"/>
      <c r="CG445" s="493" t="n"/>
      <c r="CH445" s="493" t="n"/>
      <c r="CI445" s="493" t="n"/>
      <c r="CJ445" s="493" t="n"/>
      <c r="CK445" s="493" t="n"/>
      <c r="CL445" s="493" t="n"/>
    </row>
    <row r="446" customFormat="1" s="230">
      <c r="E446" s="234" t="n"/>
      <c r="F446" s="492" t="n"/>
      <c r="G446" s="492" t="n"/>
      <c r="H446" s="493" t="n"/>
      <c r="I446" s="492" t="n"/>
      <c r="J446" s="492" t="n"/>
      <c r="K446" s="492" t="n"/>
      <c r="L446" s="492" t="n"/>
      <c r="M446" s="493" t="n"/>
      <c r="N446" s="492" t="n"/>
      <c r="O446" s="492" t="n"/>
      <c r="P446" s="492" t="n"/>
      <c r="Q446" s="492" t="n"/>
      <c r="R446" s="492" t="n"/>
      <c r="S446" s="492" t="n"/>
      <c r="T446" s="492" t="n"/>
      <c r="U446" s="492" t="n"/>
      <c r="V446" s="492" t="n"/>
      <c r="W446" s="492" t="n"/>
      <c r="X446" s="492" t="n"/>
      <c r="Y446" s="492" t="n"/>
      <c r="Z446" s="492" t="n"/>
      <c r="AA446" s="492" t="n"/>
      <c r="AB446" s="492" t="n"/>
      <c r="AC446" s="492" t="n"/>
      <c r="AD446" s="492" t="n"/>
      <c r="AE446" s="493" t="n"/>
      <c r="AF446" s="492" t="n"/>
      <c r="AG446" s="492" t="n"/>
      <c r="AH446" s="492" t="n"/>
      <c r="AI446" s="492" t="n"/>
      <c r="AJ446" s="493" t="n"/>
      <c r="AK446" s="492" t="n"/>
      <c r="AL446" s="492" t="n"/>
      <c r="AM446" s="492" t="n"/>
      <c r="AN446" s="492" t="n"/>
      <c r="AO446" s="492" t="n"/>
      <c r="AP446" s="492" t="n"/>
      <c r="AQ446" s="492" t="n"/>
      <c r="AR446" s="492" t="n"/>
      <c r="AS446" s="492" t="n"/>
      <c r="AT446" s="492" t="n"/>
      <c r="AU446" s="493" t="n"/>
      <c r="AV446" s="492" t="n"/>
      <c r="AW446" s="492" t="n"/>
      <c r="AX446" s="492" t="n"/>
      <c r="AY446" s="492" t="n"/>
      <c r="AZ446" s="492" t="n"/>
      <c r="BA446" s="493" t="n"/>
      <c r="BB446" s="492" t="n"/>
      <c r="BC446" s="492" t="n"/>
      <c r="BD446" s="492" t="n"/>
      <c r="BE446" s="492" t="n"/>
      <c r="BF446" s="493" t="n"/>
      <c r="BG446" s="493" t="n"/>
      <c r="BH446" s="495" t="n"/>
      <c r="BI446" s="496" t="n"/>
      <c r="BJ446" s="496" t="n"/>
      <c r="BK446" s="496" t="n"/>
      <c r="BM446" s="493" t="n"/>
      <c r="BN446" s="493" t="n"/>
      <c r="BO446" s="493" t="n"/>
      <c r="BP446" s="493" t="n"/>
      <c r="BQ446" s="493" t="n"/>
      <c r="BR446" s="493" t="n"/>
      <c r="BS446" s="493" t="n"/>
      <c r="BT446" s="493" t="n"/>
      <c r="BU446" s="493" t="n"/>
      <c r="BV446" s="493" t="n"/>
      <c r="BW446" s="493" t="n"/>
      <c r="BX446" s="493" t="n"/>
      <c r="BY446" s="493" t="n"/>
      <c r="BZ446" s="493" t="n"/>
      <c r="CA446" s="493" t="n"/>
      <c r="CB446" s="493" t="n"/>
      <c r="CC446" s="493" t="n"/>
      <c r="CD446" s="493" t="n"/>
      <c r="CE446" s="493" t="n"/>
      <c r="CF446" s="493" t="n"/>
      <c r="CG446" s="493" t="n"/>
      <c r="CH446" s="493" t="n"/>
      <c r="CI446" s="493" t="n"/>
      <c r="CJ446" s="493" t="n"/>
      <c r="CK446" s="493" t="n"/>
      <c r="CL446" s="493" t="n"/>
    </row>
    <row r="447" customFormat="1" s="230">
      <c r="E447" s="234" t="n"/>
      <c r="F447" s="492" t="n"/>
      <c r="G447" s="492" t="n"/>
      <c r="H447" s="493" t="n"/>
      <c r="I447" s="492" t="n"/>
      <c r="J447" s="492" t="n"/>
      <c r="K447" s="492" t="n"/>
      <c r="L447" s="492" t="n"/>
      <c r="M447" s="493" t="n"/>
      <c r="N447" s="492" t="n"/>
      <c r="O447" s="492" t="n"/>
      <c r="P447" s="492" t="n"/>
      <c r="Q447" s="492" t="n"/>
      <c r="R447" s="492" t="n"/>
      <c r="S447" s="492" t="n"/>
      <c r="T447" s="492" t="n"/>
      <c r="U447" s="492" t="n"/>
      <c r="V447" s="492" t="n"/>
      <c r="W447" s="492" t="n"/>
      <c r="X447" s="492" t="n"/>
      <c r="Y447" s="492" t="n"/>
      <c r="Z447" s="492" t="n"/>
      <c r="AA447" s="492" t="n"/>
      <c r="AB447" s="492" t="n"/>
      <c r="AC447" s="492" t="n"/>
      <c r="AD447" s="492" t="n"/>
      <c r="AE447" s="493" t="n"/>
      <c r="AF447" s="492" t="n"/>
      <c r="AG447" s="492" t="n"/>
      <c r="AH447" s="492" t="n"/>
      <c r="AI447" s="492" t="n"/>
      <c r="AJ447" s="493" t="n"/>
      <c r="AK447" s="492" t="n"/>
      <c r="AL447" s="492" t="n"/>
      <c r="AM447" s="492" t="n"/>
      <c r="AN447" s="492" t="n"/>
      <c r="AO447" s="492" t="n"/>
      <c r="AP447" s="492" t="n"/>
      <c r="AQ447" s="492" t="n"/>
      <c r="AR447" s="492" t="n"/>
      <c r="AS447" s="492" t="n"/>
      <c r="AT447" s="492" t="n"/>
      <c r="AU447" s="493" t="n"/>
      <c r="AV447" s="492" t="n"/>
      <c r="AW447" s="492" t="n"/>
      <c r="AX447" s="492" t="n"/>
      <c r="AY447" s="492" t="n"/>
      <c r="AZ447" s="492" t="n"/>
      <c r="BA447" s="493" t="n"/>
      <c r="BB447" s="492" t="n"/>
      <c r="BC447" s="492" t="n"/>
      <c r="BD447" s="492" t="n"/>
      <c r="BE447" s="492" t="n"/>
      <c r="BF447" s="493" t="n"/>
      <c r="BG447" s="493" t="n"/>
      <c r="BH447" s="495" t="n"/>
      <c r="BI447" s="496" t="n"/>
      <c r="BJ447" s="496" t="n"/>
      <c r="BK447" s="496" t="n"/>
      <c r="BM447" s="493" t="n"/>
      <c r="BN447" s="493" t="n"/>
      <c r="BO447" s="493" t="n"/>
      <c r="BP447" s="493" t="n"/>
      <c r="BQ447" s="493" t="n"/>
      <c r="BR447" s="493" t="n"/>
      <c r="BS447" s="493" t="n"/>
      <c r="BT447" s="493" t="n"/>
      <c r="BU447" s="493" t="n"/>
      <c r="BV447" s="493" t="n"/>
      <c r="BW447" s="493" t="n"/>
      <c r="BX447" s="493" t="n"/>
      <c r="BY447" s="493" t="n"/>
      <c r="BZ447" s="493" t="n"/>
      <c r="CA447" s="493" t="n"/>
      <c r="CB447" s="493" t="n"/>
      <c r="CC447" s="493" t="n"/>
      <c r="CD447" s="493" t="n"/>
      <c r="CE447" s="493" t="n"/>
      <c r="CF447" s="493" t="n"/>
      <c r="CG447" s="493" t="n"/>
      <c r="CH447" s="493" t="n"/>
      <c r="CI447" s="493" t="n"/>
      <c r="CJ447" s="493" t="n"/>
      <c r="CK447" s="493" t="n"/>
      <c r="CL447" s="493" t="n"/>
    </row>
    <row r="448" customFormat="1" s="230">
      <c r="E448" s="234" t="n"/>
      <c r="F448" s="492" t="n"/>
      <c r="G448" s="492" t="n"/>
      <c r="H448" s="493" t="n"/>
      <c r="I448" s="492" t="n"/>
      <c r="J448" s="492" t="n"/>
      <c r="K448" s="492" t="n"/>
      <c r="L448" s="492" t="n"/>
      <c r="M448" s="493" t="n"/>
      <c r="N448" s="492" t="n"/>
      <c r="O448" s="492" t="n"/>
      <c r="P448" s="492" t="n"/>
      <c r="Q448" s="492" t="n"/>
      <c r="R448" s="492" t="n"/>
      <c r="S448" s="492" t="n"/>
      <c r="T448" s="492" t="n"/>
      <c r="U448" s="492" t="n"/>
      <c r="V448" s="492" t="n"/>
      <c r="W448" s="492" t="n"/>
      <c r="X448" s="492" t="n"/>
      <c r="Y448" s="492" t="n"/>
      <c r="Z448" s="492" t="n"/>
      <c r="AA448" s="492" t="n"/>
      <c r="AB448" s="492" t="n"/>
      <c r="AC448" s="492" t="n"/>
      <c r="AD448" s="492" t="n"/>
      <c r="AE448" s="493" t="n"/>
      <c r="AF448" s="492" t="n"/>
      <c r="AG448" s="492" t="n"/>
      <c r="AH448" s="492" t="n"/>
      <c r="AI448" s="492" t="n"/>
      <c r="AJ448" s="493" t="n"/>
      <c r="AK448" s="492" t="n"/>
      <c r="AL448" s="492" t="n"/>
      <c r="AM448" s="492" t="n"/>
      <c r="AN448" s="492" t="n"/>
      <c r="AO448" s="492" t="n"/>
      <c r="AP448" s="492" t="n"/>
      <c r="AQ448" s="492" t="n"/>
      <c r="AR448" s="492" t="n"/>
      <c r="AS448" s="492" t="n"/>
      <c r="AT448" s="492" t="n"/>
      <c r="AU448" s="493" t="n"/>
      <c r="AV448" s="492" t="n"/>
      <c r="AW448" s="492" t="n"/>
      <c r="AX448" s="492" t="n"/>
      <c r="AY448" s="492" t="n"/>
      <c r="AZ448" s="492" t="n"/>
      <c r="BA448" s="493" t="n"/>
      <c r="BB448" s="492" t="n"/>
      <c r="BC448" s="492" t="n"/>
      <c r="BD448" s="492" t="n"/>
      <c r="BE448" s="492" t="n"/>
      <c r="BF448" s="493" t="n"/>
      <c r="BG448" s="493" t="n"/>
      <c r="BH448" s="495" t="n"/>
      <c r="BI448" s="496" t="n"/>
      <c r="BJ448" s="496" t="n"/>
      <c r="BK448" s="496" t="n"/>
      <c r="BM448" s="493" t="n"/>
      <c r="BN448" s="493" t="n"/>
      <c r="BO448" s="493" t="n"/>
      <c r="BP448" s="493" t="n"/>
      <c r="BQ448" s="493" t="n"/>
      <c r="BR448" s="493" t="n"/>
      <c r="BS448" s="493" t="n"/>
      <c r="BT448" s="493" t="n"/>
      <c r="BU448" s="493" t="n"/>
      <c r="BV448" s="493" t="n"/>
      <c r="BW448" s="493" t="n"/>
      <c r="BX448" s="493" t="n"/>
      <c r="BY448" s="493" t="n"/>
      <c r="BZ448" s="493" t="n"/>
      <c r="CA448" s="493" t="n"/>
      <c r="CB448" s="493" t="n"/>
      <c r="CC448" s="493" t="n"/>
      <c r="CD448" s="493" t="n"/>
      <c r="CE448" s="493" t="n"/>
      <c r="CF448" s="493" t="n"/>
      <c r="CG448" s="493" t="n"/>
      <c r="CH448" s="493" t="n"/>
      <c r="CI448" s="493" t="n"/>
      <c r="CJ448" s="493" t="n"/>
      <c r="CK448" s="493" t="n"/>
      <c r="CL448" s="493" t="n"/>
    </row>
    <row r="449" customFormat="1" s="230">
      <c r="E449" s="234" t="n"/>
      <c r="F449" s="492" t="n"/>
      <c r="G449" s="492" t="n"/>
      <c r="H449" s="493" t="n"/>
      <c r="I449" s="492" t="n"/>
      <c r="J449" s="492" t="n"/>
      <c r="K449" s="492" t="n"/>
      <c r="L449" s="492" t="n"/>
      <c r="M449" s="493" t="n"/>
      <c r="N449" s="492" t="n"/>
      <c r="O449" s="492" t="n"/>
      <c r="P449" s="492" t="n"/>
      <c r="Q449" s="492" t="n"/>
      <c r="R449" s="492" t="n"/>
      <c r="S449" s="492" t="n"/>
      <c r="T449" s="492" t="n"/>
      <c r="U449" s="492" t="n"/>
      <c r="V449" s="492" t="n"/>
      <c r="W449" s="492" t="n"/>
      <c r="X449" s="492" t="n"/>
      <c r="Y449" s="492" t="n"/>
      <c r="Z449" s="492" t="n"/>
      <c r="AA449" s="492" t="n"/>
      <c r="AB449" s="492" t="n"/>
      <c r="AC449" s="492" t="n"/>
      <c r="AD449" s="492" t="n"/>
      <c r="AE449" s="493" t="n"/>
      <c r="AF449" s="492" t="n"/>
      <c r="AG449" s="492" t="n"/>
      <c r="AH449" s="492" t="n"/>
      <c r="AI449" s="492" t="n"/>
      <c r="AJ449" s="493" t="n"/>
      <c r="AK449" s="492" t="n"/>
      <c r="AL449" s="492" t="n"/>
      <c r="AM449" s="492" t="n"/>
      <c r="AN449" s="492" t="n"/>
      <c r="AO449" s="492" t="n"/>
      <c r="AP449" s="492" t="n"/>
      <c r="AQ449" s="492" t="n"/>
      <c r="AR449" s="492" t="n"/>
      <c r="AS449" s="492" t="n"/>
      <c r="AT449" s="492" t="n"/>
      <c r="AU449" s="493" t="n"/>
      <c r="AV449" s="492" t="n"/>
      <c r="AW449" s="492" t="n"/>
      <c r="AX449" s="492" t="n"/>
      <c r="AY449" s="492" t="n"/>
      <c r="AZ449" s="492" t="n"/>
      <c r="BA449" s="493" t="n"/>
      <c r="BB449" s="492" t="n"/>
      <c r="BC449" s="492" t="n"/>
      <c r="BD449" s="492" t="n"/>
      <c r="BE449" s="492" t="n"/>
      <c r="BF449" s="493" t="n"/>
      <c r="BG449" s="493" t="n"/>
      <c r="BH449" s="495" t="n"/>
      <c r="BI449" s="496" t="n"/>
      <c r="BJ449" s="496" t="n"/>
      <c r="BK449" s="496" t="n"/>
      <c r="BM449" s="493" t="n"/>
      <c r="BN449" s="493" t="n"/>
      <c r="BO449" s="493" t="n"/>
      <c r="BP449" s="493" t="n"/>
      <c r="BQ449" s="493" t="n"/>
      <c r="BR449" s="493" t="n"/>
      <c r="BS449" s="493" t="n"/>
      <c r="BT449" s="493" t="n"/>
      <c r="BU449" s="493" t="n"/>
      <c r="BV449" s="493" t="n"/>
      <c r="BW449" s="493" t="n"/>
      <c r="BX449" s="493" t="n"/>
      <c r="BY449" s="493" t="n"/>
      <c r="BZ449" s="493" t="n"/>
      <c r="CA449" s="493" t="n"/>
      <c r="CB449" s="493" t="n"/>
      <c r="CC449" s="493" t="n"/>
      <c r="CD449" s="493" t="n"/>
      <c r="CE449" s="493" t="n"/>
      <c r="CF449" s="493" t="n"/>
      <c r="CG449" s="493" t="n"/>
      <c r="CH449" s="493" t="n"/>
      <c r="CI449" s="493" t="n"/>
      <c r="CJ449" s="493" t="n"/>
      <c r="CK449" s="493" t="n"/>
      <c r="CL449" s="493" t="n"/>
    </row>
    <row r="450" customFormat="1" s="230">
      <c r="E450" s="234" t="n"/>
      <c r="F450" s="492" t="n"/>
      <c r="G450" s="492" t="n"/>
      <c r="H450" s="493" t="n"/>
      <c r="I450" s="492" t="n"/>
      <c r="J450" s="492" t="n"/>
      <c r="K450" s="492" t="n"/>
      <c r="L450" s="492" t="n"/>
      <c r="M450" s="493" t="n"/>
      <c r="N450" s="492" t="n"/>
      <c r="O450" s="492" t="n"/>
      <c r="P450" s="492" t="n"/>
      <c r="Q450" s="492" t="n"/>
      <c r="R450" s="492" t="n"/>
      <c r="S450" s="492" t="n"/>
      <c r="T450" s="492" t="n"/>
      <c r="U450" s="492" t="n"/>
      <c r="V450" s="492" t="n"/>
      <c r="W450" s="492" t="n"/>
      <c r="X450" s="492" t="n"/>
      <c r="Y450" s="492" t="n"/>
      <c r="Z450" s="492" t="n"/>
      <c r="AA450" s="492" t="n"/>
      <c r="AB450" s="492" t="n"/>
      <c r="AC450" s="492" t="n"/>
      <c r="AD450" s="492" t="n"/>
      <c r="AE450" s="493" t="n"/>
      <c r="AF450" s="492" t="n"/>
      <c r="AG450" s="492" t="n"/>
      <c r="AH450" s="492" t="n"/>
      <c r="AI450" s="492" t="n"/>
      <c r="AJ450" s="493" t="n"/>
      <c r="AK450" s="492" t="n"/>
      <c r="AL450" s="492" t="n"/>
      <c r="AM450" s="492" t="n"/>
      <c r="AN450" s="492" t="n"/>
      <c r="AO450" s="492" t="n"/>
      <c r="AP450" s="492" t="n"/>
      <c r="AQ450" s="492" t="n"/>
      <c r="AR450" s="492" t="n"/>
      <c r="AS450" s="492" t="n"/>
      <c r="AT450" s="492" t="n"/>
      <c r="AU450" s="493" t="n"/>
      <c r="AV450" s="492" t="n"/>
      <c r="AW450" s="492" t="n"/>
      <c r="AX450" s="492" t="n"/>
      <c r="AY450" s="492" t="n"/>
      <c r="AZ450" s="492" t="n"/>
      <c r="BA450" s="493" t="n"/>
      <c r="BB450" s="492" t="n"/>
      <c r="BC450" s="492" t="n"/>
      <c r="BD450" s="492" t="n"/>
      <c r="BE450" s="492" t="n"/>
      <c r="BF450" s="493" t="n"/>
      <c r="BG450" s="493" t="n"/>
      <c r="BH450" s="495" t="n"/>
      <c r="BI450" s="496" t="n"/>
      <c r="BJ450" s="496" t="n"/>
      <c r="BK450" s="496" t="n"/>
      <c r="BM450" s="493" t="n"/>
      <c r="BN450" s="493" t="n"/>
      <c r="BO450" s="493" t="n"/>
      <c r="BP450" s="493" t="n"/>
      <c r="BQ450" s="493" t="n"/>
      <c r="BR450" s="493" t="n"/>
      <c r="BS450" s="493" t="n"/>
      <c r="BT450" s="493" t="n"/>
      <c r="BU450" s="493" t="n"/>
      <c r="BV450" s="493" t="n"/>
      <c r="BW450" s="493" t="n"/>
      <c r="BX450" s="493" t="n"/>
      <c r="BY450" s="493" t="n"/>
      <c r="BZ450" s="493" t="n"/>
      <c r="CA450" s="493" t="n"/>
      <c r="CB450" s="493" t="n"/>
      <c r="CC450" s="493" t="n"/>
      <c r="CD450" s="493" t="n"/>
      <c r="CE450" s="493" t="n"/>
      <c r="CF450" s="493" t="n"/>
      <c r="CG450" s="493" t="n"/>
      <c r="CH450" s="493" t="n"/>
      <c r="CI450" s="493" t="n"/>
      <c r="CJ450" s="493" t="n"/>
      <c r="CK450" s="493" t="n"/>
      <c r="CL450" s="493" t="n"/>
    </row>
    <row r="451" customFormat="1" s="230">
      <c r="E451" s="234" t="n"/>
      <c r="F451" s="492" t="n"/>
      <c r="G451" s="492" t="n"/>
      <c r="H451" s="493" t="n"/>
      <c r="I451" s="492" t="n"/>
      <c r="J451" s="492" t="n"/>
      <c r="K451" s="492" t="n"/>
      <c r="L451" s="492" t="n"/>
      <c r="M451" s="493" t="n"/>
      <c r="N451" s="492" t="n"/>
      <c r="O451" s="492" t="n"/>
      <c r="P451" s="492" t="n"/>
      <c r="Q451" s="492" t="n"/>
      <c r="R451" s="492" t="n"/>
      <c r="S451" s="492" t="n"/>
      <c r="T451" s="492" t="n"/>
      <c r="U451" s="492" t="n"/>
      <c r="V451" s="492" t="n"/>
      <c r="W451" s="492" t="n"/>
      <c r="X451" s="492" t="n"/>
      <c r="Y451" s="492" t="n"/>
      <c r="Z451" s="492" t="n"/>
      <c r="AA451" s="492" t="n"/>
      <c r="AB451" s="492" t="n"/>
      <c r="AC451" s="492" t="n"/>
      <c r="AD451" s="492" t="n"/>
      <c r="AE451" s="493" t="n"/>
      <c r="AF451" s="492" t="n"/>
      <c r="AG451" s="492" t="n"/>
      <c r="AH451" s="492" t="n"/>
      <c r="AI451" s="492" t="n"/>
      <c r="AJ451" s="493" t="n"/>
      <c r="AK451" s="492" t="n"/>
      <c r="AL451" s="492" t="n"/>
      <c r="AM451" s="492" t="n"/>
      <c r="AN451" s="492" t="n"/>
      <c r="AO451" s="492" t="n"/>
      <c r="AP451" s="492" t="n"/>
      <c r="AQ451" s="492" t="n"/>
      <c r="AR451" s="492" t="n"/>
      <c r="AS451" s="492" t="n"/>
      <c r="AT451" s="492" t="n"/>
      <c r="AU451" s="493" t="n"/>
      <c r="AV451" s="492" t="n"/>
      <c r="AW451" s="492" t="n"/>
      <c r="AX451" s="492" t="n"/>
      <c r="AY451" s="492" t="n"/>
      <c r="AZ451" s="492" t="n"/>
      <c r="BA451" s="493" t="n"/>
      <c r="BB451" s="492" t="n"/>
      <c r="BC451" s="492" t="n"/>
      <c r="BD451" s="492" t="n"/>
      <c r="BE451" s="492" t="n"/>
      <c r="BF451" s="493" t="n"/>
      <c r="BG451" s="493" t="n"/>
      <c r="BH451" s="495" t="n"/>
      <c r="BI451" s="496" t="n"/>
      <c r="BJ451" s="496" t="n"/>
      <c r="BK451" s="496" t="n"/>
      <c r="BM451" s="493" t="n"/>
      <c r="BN451" s="493" t="n"/>
      <c r="BO451" s="493" t="n"/>
      <c r="BP451" s="493" t="n"/>
      <c r="BQ451" s="493" t="n"/>
      <c r="BR451" s="493" t="n"/>
      <c r="BS451" s="493" t="n"/>
      <c r="BT451" s="493" t="n"/>
      <c r="BU451" s="493" t="n"/>
      <c r="BV451" s="493" t="n"/>
      <c r="BW451" s="493" t="n"/>
      <c r="BX451" s="493" t="n"/>
      <c r="BY451" s="493" t="n"/>
      <c r="BZ451" s="493" t="n"/>
      <c r="CA451" s="493" t="n"/>
      <c r="CB451" s="493" t="n"/>
      <c r="CC451" s="493" t="n"/>
      <c r="CD451" s="493" t="n"/>
      <c r="CE451" s="493" t="n"/>
      <c r="CF451" s="493" t="n"/>
      <c r="CG451" s="493" t="n"/>
      <c r="CH451" s="493" t="n"/>
      <c r="CI451" s="493" t="n"/>
      <c r="CJ451" s="493" t="n"/>
      <c r="CK451" s="493" t="n"/>
      <c r="CL451" s="493" t="n"/>
    </row>
    <row r="452" customFormat="1" s="230">
      <c r="E452" s="234" t="n"/>
      <c r="F452" s="492" t="n"/>
      <c r="G452" s="492" t="n"/>
      <c r="H452" s="493" t="n"/>
      <c r="I452" s="492" t="n"/>
      <c r="J452" s="492" t="n"/>
      <c r="K452" s="492" t="n"/>
      <c r="L452" s="492" t="n"/>
      <c r="M452" s="493" t="n"/>
      <c r="N452" s="492" t="n"/>
      <c r="O452" s="492" t="n"/>
      <c r="P452" s="492" t="n"/>
      <c r="Q452" s="492" t="n"/>
      <c r="R452" s="492" t="n"/>
      <c r="S452" s="492" t="n"/>
      <c r="T452" s="492" t="n"/>
      <c r="U452" s="492" t="n"/>
      <c r="V452" s="492" t="n"/>
      <c r="W452" s="492" t="n"/>
      <c r="X452" s="492" t="n"/>
      <c r="Y452" s="492" t="n"/>
      <c r="Z452" s="492" t="n"/>
      <c r="AA452" s="492" t="n"/>
      <c r="AB452" s="492" t="n"/>
      <c r="AC452" s="492" t="n"/>
      <c r="AD452" s="492" t="n"/>
      <c r="AE452" s="493" t="n"/>
      <c r="AF452" s="492" t="n"/>
      <c r="AG452" s="492" t="n"/>
      <c r="AH452" s="492" t="n"/>
      <c r="AI452" s="492" t="n"/>
      <c r="AJ452" s="493" t="n"/>
      <c r="AK452" s="492" t="n"/>
      <c r="AL452" s="492" t="n"/>
      <c r="AM452" s="492" t="n"/>
      <c r="AN452" s="492" t="n"/>
      <c r="AO452" s="492" t="n"/>
      <c r="AP452" s="492" t="n"/>
      <c r="AQ452" s="492" t="n"/>
      <c r="AR452" s="492" t="n"/>
      <c r="AS452" s="492" t="n"/>
      <c r="AT452" s="492" t="n"/>
      <c r="AU452" s="493" t="n"/>
      <c r="AV452" s="492" t="n"/>
      <c r="AW452" s="492" t="n"/>
      <c r="AX452" s="492" t="n"/>
      <c r="AY452" s="492" t="n"/>
      <c r="AZ452" s="492" t="n"/>
      <c r="BA452" s="493" t="n"/>
      <c r="BB452" s="492" t="n"/>
      <c r="BC452" s="492" t="n"/>
      <c r="BD452" s="492" t="n"/>
      <c r="BE452" s="492" t="n"/>
      <c r="BF452" s="493" t="n"/>
      <c r="BG452" s="493" t="n"/>
      <c r="BH452" s="495" t="n"/>
      <c r="BI452" s="496" t="n"/>
      <c r="BJ452" s="496" t="n"/>
      <c r="BK452" s="496" t="n"/>
      <c r="BM452" s="493" t="n"/>
      <c r="BN452" s="493" t="n"/>
      <c r="BO452" s="493" t="n"/>
      <c r="BP452" s="493" t="n"/>
      <c r="BQ452" s="493" t="n"/>
      <c r="BR452" s="493" t="n"/>
      <c r="BS452" s="493" t="n"/>
      <c r="BT452" s="493" t="n"/>
      <c r="BU452" s="493" t="n"/>
      <c r="BV452" s="493" t="n"/>
      <c r="BW452" s="493" t="n"/>
      <c r="BX452" s="493" t="n"/>
      <c r="BY452" s="493" t="n"/>
      <c r="BZ452" s="493" t="n"/>
      <c r="CA452" s="493" t="n"/>
      <c r="CB452" s="493" t="n"/>
      <c r="CC452" s="493" t="n"/>
      <c r="CD452" s="493" t="n"/>
      <c r="CE452" s="493" t="n"/>
      <c r="CF452" s="493" t="n"/>
      <c r="CG452" s="493" t="n"/>
      <c r="CH452" s="493" t="n"/>
      <c r="CI452" s="493" t="n"/>
      <c r="CJ452" s="493" t="n"/>
      <c r="CK452" s="493" t="n"/>
      <c r="CL452" s="493" t="n"/>
    </row>
    <row r="453" customFormat="1" s="230">
      <c r="E453" s="234" t="n"/>
      <c r="F453" s="492" t="n"/>
      <c r="G453" s="492" t="n"/>
      <c r="H453" s="493" t="n"/>
      <c r="I453" s="492" t="n"/>
      <c r="J453" s="492" t="n"/>
      <c r="K453" s="492" t="n"/>
      <c r="L453" s="492" t="n"/>
      <c r="M453" s="493" t="n"/>
      <c r="N453" s="492" t="n"/>
      <c r="O453" s="492" t="n"/>
      <c r="P453" s="492" t="n"/>
      <c r="Q453" s="492" t="n"/>
      <c r="R453" s="492" t="n"/>
      <c r="S453" s="492" t="n"/>
      <c r="T453" s="492" t="n"/>
      <c r="U453" s="492" t="n"/>
      <c r="V453" s="492" t="n"/>
      <c r="W453" s="492" t="n"/>
      <c r="X453" s="492" t="n"/>
      <c r="Y453" s="492" t="n"/>
      <c r="Z453" s="492" t="n"/>
      <c r="AA453" s="492" t="n"/>
      <c r="AB453" s="492" t="n"/>
      <c r="AC453" s="492" t="n"/>
      <c r="AD453" s="492" t="n"/>
      <c r="AE453" s="493" t="n"/>
      <c r="AF453" s="492" t="n"/>
      <c r="AG453" s="492" t="n"/>
      <c r="AH453" s="492" t="n"/>
      <c r="AI453" s="492" t="n"/>
      <c r="AJ453" s="493" t="n"/>
      <c r="AK453" s="492" t="n"/>
      <c r="AL453" s="492" t="n"/>
      <c r="AM453" s="492" t="n"/>
      <c r="AN453" s="492" t="n"/>
      <c r="AO453" s="492" t="n"/>
      <c r="AP453" s="492" t="n"/>
      <c r="AQ453" s="492" t="n"/>
      <c r="AR453" s="492" t="n"/>
      <c r="AS453" s="492" t="n"/>
      <c r="AT453" s="492" t="n"/>
      <c r="AU453" s="493" t="n"/>
      <c r="AV453" s="492" t="n"/>
      <c r="AW453" s="492" t="n"/>
      <c r="AX453" s="492" t="n"/>
      <c r="AY453" s="492" t="n"/>
      <c r="AZ453" s="492" t="n"/>
      <c r="BA453" s="493" t="n"/>
      <c r="BB453" s="492" t="n"/>
      <c r="BC453" s="492" t="n"/>
      <c r="BD453" s="492" t="n"/>
      <c r="BE453" s="492" t="n"/>
      <c r="BF453" s="493" t="n"/>
      <c r="BG453" s="493" t="n"/>
      <c r="BH453" s="495" t="n"/>
      <c r="BI453" s="496" t="n"/>
      <c r="BJ453" s="496" t="n"/>
      <c r="BK453" s="496" t="n"/>
      <c r="BM453" s="493" t="n"/>
      <c r="BN453" s="493" t="n"/>
      <c r="BO453" s="493" t="n"/>
      <c r="BP453" s="493" t="n"/>
      <c r="BQ453" s="493" t="n"/>
      <c r="BR453" s="493" t="n"/>
      <c r="BS453" s="493" t="n"/>
      <c r="BT453" s="493" t="n"/>
      <c r="BU453" s="493" t="n"/>
      <c r="BV453" s="493" t="n"/>
      <c r="BW453" s="493" t="n"/>
      <c r="BX453" s="493" t="n"/>
      <c r="BY453" s="493" t="n"/>
      <c r="BZ453" s="493" t="n"/>
      <c r="CA453" s="493" t="n"/>
      <c r="CB453" s="493" t="n"/>
      <c r="CC453" s="493" t="n"/>
      <c r="CD453" s="493" t="n"/>
      <c r="CE453" s="493" t="n"/>
      <c r="CF453" s="493" t="n"/>
      <c r="CG453" s="493" t="n"/>
      <c r="CH453" s="493" t="n"/>
      <c r="CI453" s="493" t="n"/>
      <c r="CJ453" s="493" t="n"/>
      <c r="CK453" s="493" t="n"/>
      <c r="CL453" s="493" t="n"/>
    </row>
    <row r="454" customFormat="1" s="230">
      <c r="E454" s="234" t="n"/>
      <c r="F454" s="492" t="n"/>
      <c r="G454" s="492" t="n"/>
      <c r="H454" s="493" t="n"/>
      <c r="I454" s="492" t="n"/>
      <c r="J454" s="492" t="n"/>
      <c r="K454" s="492" t="n"/>
      <c r="L454" s="492" t="n"/>
      <c r="M454" s="493" t="n"/>
      <c r="N454" s="492" t="n"/>
      <c r="O454" s="492" t="n"/>
      <c r="P454" s="492" t="n"/>
      <c r="Q454" s="492" t="n"/>
      <c r="R454" s="492" t="n"/>
      <c r="S454" s="492" t="n"/>
      <c r="T454" s="492" t="n"/>
      <c r="U454" s="492" t="n"/>
      <c r="V454" s="492" t="n"/>
      <c r="W454" s="492" t="n"/>
      <c r="X454" s="492" t="n"/>
      <c r="Y454" s="492" t="n"/>
      <c r="Z454" s="492" t="n"/>
      <c r="AA454" s="492" t="n"/>
      <c r="AB454" s="492" t="n"/>
      <c r="AC454" s="492" t="n"/>
      <c r="AD454" s="492" t="n"/>
      <c r="AE454" s="493" t="n"/>
      <c r="AF454" s="492" t="n"/>
      <c r="AG454" s="492" t="n"/>
      <c r="AH454" s="492" t="n"/>
      <c r="AI454" s="492" t="n"/>
      <c r="AJ454" s="493" t="n"/>
      <c r="AK454" s="492" t="n"/>
      <c r="AL454" s="492" t="n"/>
      <c r="AM454" s="492" t="n"/>
      <c r="AN454" s="492" t="n"/>
      <c r="AO454" s="492" t="n"/>
      <c r="AP454" s="492" t="n"/>
      <c r="AQ454" s="492" t="n"/>
      <c r="AR454" s="492" t="n"/>
      <c r="AS454" s="492" t="n"/>
      <c r="AT454" s="492" t="n"/>
      <c r="AU454" s="493" t="n"/>
      <c r="AV454" s="492" t="n"/>
      <c r="AW454" s="492" t="n"/>
      <c r="AX454" s="492" t="n"/>
      <c r="AY454" s="492" t="n"/>
      <c r="AZ454" s="492" t="n"/>
      <c r="BA454" s="493" t="n"/>
      <c r="BB454" s="492" t="n"/>
      <c r="BC454" s="492" t="n"/>
      <c r="BD454" s="492" t="n"/>
      <c r="BE454" s="492" t="n"/>
      <c r="BF454" s="493" t="n"/>
      <c r="BG454" s="493" t="n"/>
      <c r="BH454" s="495" t="n"/>
      <c r="BI454" s="496" t="n"/>
      <c r="BJ454" s="496" t="n"/>
      <c r="BK454" s="496" t="n"/>
      <c r="BM454" s="493" t="n"/>
      <c r="BN454" s="493" t="n"/>
      <c r="BO454" s="493" t="n"/>
      <c r="BP454" s="493" t="n"/>
      <c r="BQ454" s="493" t="n"/>
      <c r="BR454" s="493" t="n"/>
      <c r="BS454" s="493" t="n"/>
      <c r="BT454" s="493" t="n"/>
      <c r="BU454" s="493" t="n"/>
      <c r="BV454" s="493" t="n"/>
      <c r="BW454" s="493" t="n"/>
      <c r="BX454" s="493" t="n"/>
      <c r="BY454" s="493" t="n"/>
      <c r="BZ454" s="493" t="n"/>
      <c r="CA454" s="493" t="n"/>
      <c r="CB454" s="493" t="n"/>
      <c r="CC454" s="493" t="n"/>
      <c r="CD454" s="493" t="n"/>
      <c r="CE454" s="493" t="n"/>
      <c r="CF454" s="493" t="n"/>
      <c r="CG454" s="493" t="n"/>
      <c r="CH454" s="493" t="n"/>
      <c r="CI454" s="493" t="n"/>
      <c r="CJ454" s="493" t="n"/>
      <c r="CK454" s="493" t="n"/>
      <c r="CL454" s="493" t="n"/>
    </row>
    <row r="455" customFormat="1" s="230">
      <c r="E455" s="234" t="n"/>
      <c r="F455" s="492" t="n"/>
      <c r="G455" s="492" t="n"/>
      <c r="H455" s="493" t="n"/>
      <c r="I455" s="492" t="n"/>
      <c r="J455" s="492" t="n"/>
      <c r="K455" s="492" t="n"/>
      <c r="L455" s="492" t="n"/>
      <c r="M455" s="493" t="n"/>
      <c r="N455" s="492" t="n"/>
      <c r="O455" s="492" t="n"/>
      <c r="P455" s="492" t="n"/>
      <c r="Q455" s="492" t="n"/>
      <c r="R455" s="492" t="n"/>
      <c r="S455" s="492" t="n"/>
      <c r="T455" s="492" t="n"/>
      <c r="U455" s="492" t="n"/>
      <c r="V455" s="492" t="n"/>
      <c r="W455" s="492" t="n"/>
      <c r="X455" s="492" t="n"/>
      <c r="Y455" s="492" t="n"/>
      <c r="Z455" s="492" t="n"/>
      <c r="AA455" s="492" t="n"/>
      <c r="AB455" s="492" t="n"/>
      <c r="AC455" s="492" t="n"/>
      <c r="AD455" s="492" t="n"/>
      <c r="AE455" s="493" t="n"/>
      <c r="AF455" s="492" t="n"/>
      <c r="AG455" s="492" t="n"/>
      <c r="AH455" s="492" t="n"/>
      <c r="AI455" s="492" t="n"/>
      <c r="AJ455" s="493" t="n"/>
      <c r="AK455" s="492" t="n"/>
      <c r="AL455" s="492" t="n"/>
      <c r="AM455" s="492" t="n"/>
      <c r="AN455" s="492" t="n"/>
      <c r="AO455" s="492" t="n"/>
      <c r="AP455" s="492" t="n"/>
      <c r="AQ455" s="492" t="n"/>
      <c r="AR455" s="492" t="n"/>
      <c r="AS455" s="492" t="n"/>
      <c r="AT455" s="492" t="n"/>
      <c r="AU455" s="493" t="n"/>
      <c r="AV455" s="492" t="n"/>
      <c r="AW455" s="492" t="n"/>
      <c r="AX455" s="492" t="n"/>
      <c r="AY455" s="492" t="n"/>
      <c r="AZ455" s="492" t="n"/>
      <c r="BA455" s="493" t="n"/>
      <c r="BB455" s="492" t="n"/>
      <c r="BC455" s="492" t="n"/>
      <c r="BD455" s="492" t="n"/>
      <c r="BE455" s="492" t="n"/>
      <c r="BF455" s="493" t="n"/>
      <c r="BG455" s="493" t="n"/>
      <c r="BH455" s="495" t="n"/>
      <c r="BI455" s="496" t="n"/>
      <c r="BJ455" s="496" t="n"/>
      <c r="BK455" s="496" t="n"/>
      <c r="BM455" s="493" t="n"/>
      <c r="BN455" s="493" t="n"/>
      <c r="BO455" s="493" t="n"/>
      <c r="BP455" s="493" t="n"/>
      <c r="BQ455" s="493" t="n"/>
      <c r="BR455" s="493" t="n"/>
      <c r="BS455" s="493" t="n"/>
      <c r="BT455" s="493" t="n"/>
      <c r="BU455" s="493" t="n"/>
      <c r="BV455" s="493" t="n"/>
      <c r="BW455" s="493" t="n"/>
      <c r="BX455" s="493" t="n"/>
      <c r="BY455" s="493" t="n"/>
      <c r="BZ455" s="493" t="n"/>
      <c r="CA455" s="493" t="n"/>
      <c r="CB455" s="493" t="n"/>
      <c r="CC455" s="493" t="n"/>
      <c r="CD455" s="493" t="n"/>
      <c r="CE455" s="493" t="n"/>
      <c r="CF455" s="493" t="n"/>
      <c r="CG455" s="493" t="n"/>
      <c r="CH455" s="493" t="n"/>
      <c r="CI455" s="493" t="n"/>
      <c r="CJ455" s="493" t="n"/>
      <c r="CK455" s="493" t="n"/>
      <c r="CL455" s="493" t="n"/>
    </row>
    <row r="456" customFormat="1" s="230">
      <c r="E456" s="234" t="n"/>
      <c r="F456" s="492" t="n"/>
      <c r="G456" s="492" t="n"/>
      <c r="H456" s="493" t="n"/>
      <c r="I456" s="492" t="n"/>
      <c r="J456" s="492" t="n"/>
      <c r="K456" s="492" t="n"/>
      <c r="L456" s="492" t="n"/>
      <c r="M456" s="493" t="n"/>
      <c r="N456" s="492" t="n"/>
      <c r="O456" s="492" t="n"/>
      <c r="P456" s="492" t="n"/>
      <c r="Q456" s="492" t="n"/>
      <c r="R456" s="492" t="n"/>
      <c r="S456" s="492" t="n"/>
      <c r="T456" s="492" t="n"/>
      <c r="U456" s="492" t="n"/>
      <c r="V456" s="492" t="n"/>
      <c r="W456" s="492" t="n"/>
      <c r="X456" s="492" t="n"/>
      <c r="Y456" s="492" t="n"/>
      <c r="Z456" s="492" t="n"/>
      <c r="AA456" s="492" t="n"/>
      <c r="AB456" s="492" t="n"/>
      <c r="AC456" s="492" t="n"/>
      <c r="AD456" s="492" t="n"/>
      <c r="AE456" s="493" t="n"/>
      <c r="AF456" s="492" t="n"/>
      <c r="AG456" s="492" t="n"/>
      <c r="AH456" s="492" t="n"/>
      <c r="AI456" s="492" t="n"/>
      <c r="AJ456" s="493" t="n"/>
      <c r="AK456" s="492" t="n"/>
      <c r="AL456" s="492" t="n"/>
      <c r="AM456" s="492" t="n"/>
      <c r="AN456" s="492" t="n"/>
      <c r="AO456" s="492" t="n"/>
      <c r="AP456" s="492" t="n"/>
      <c r="AQ456" s="492" t="n"/>
      <c r="AR456" s="492" t="n"/>
      <c r="AS456" s="492" t="n"/>
      <c r="AT456" s="492" t="n"/>
      <c r="AU456" s="493" t="n"/>
      <c r="AV456" s="492" t="n"/>
      <c r="AW456" s="492" t="n"/>
      <c r="AX456" s="492" t="n"/>
      <c r="AY456" s="492" t="n"/>
      <c r="AZ456" s="492" t="n"/>
      <c r="BA456" s="493" t="n"/>
      <c r="BB456" s="492" t="n"/>
      <c r="BC456" s="492" t="n"/>
      <c r="BD456" s="492" t="n"/>
      <c r="BE456" s="492" t="n"/>
      <c r="BF456" s="493" t="n"/>
      <c r="BG456" s="493" t="n"/>
      <c r="BH456" s="495" t="n"/>
      <c r="BI456" s="496" t="n"/>
      <c r="BJ456" s="496" t="n"/>
      <c r="BK456" s="496" t="n"/>
      <c r="BM456" s="493" t="n"/>
      <c r="BN456" s="493" t="n"/>
      <c r="BO456" s="493" t="n"/>
      <c r="BP456" s="493" t="n"/>
      <c r="BQ456" s="493" t="n"/>
      <c r="BR456" s="493" t="n"/>
      <c r="BS456" s="493" t="n"/>
      <c r="BT456" s="493" t="n"/>
      <c r="BU456" s="493" t="n"/>
      <c r="BV456" s="493" t="n"/>
      <c r="BW456" s="493" t="n"/>
      <c r="BX456" s="493" t="n"/>
      <c r="BY456" s="493" t="n"/>
      <c r="BZ456" s="493" t="n"/>
      <c r="CA456" s="493" t="n"/>
      <c r="CB456" s="493" t="n"/>
      <c r="CC456" s="493" t="n"/>
      <c r="CD456" s="493" t="n"/>
      <c r="CE456" s="493" t="n"/>
      <c r="CF456" s="493" t="n"/>
      <c r="CG456" s="493" t="n"/>
      <c r="CH456" s="493" t="n"/>
      <c r="CI456" s="493" t="n"/>
      <c r="CJ456" s="493" t="n"/>
      <c r="CK456" s="493" t="n"/>
      <c r="CL456" s="493" t="n"/>
    </row>
    <row r="457" customFormat="1" s="230">
      <c r="E457" s="234" t="n"/>
      <c r="F457" s="492" t="n"/>
      <c r="G457" s="492" t="n"/>
      <c r="H457" s="493" t="n"/>
      <c r="I457" s="492" t="n"/>
      <c r="J457" s="492" t="n"/>
      <c r="K457" s="492" t="n"/>
      <c r="L457" s="492" t="n"/>
      <c r="M457" s="493" t="n"/>
      <c r="N457" s="492" t="n"/>
      <c r="O457" s="492" t="n"/>
      <c r="P457" s="492" t="n"/>
      <c r="Q457" s="492" t="n"/>
      <c r="R457" s="492" t="n"/>
      <c r="S457" s="492" t="n"/>
      <c r="T457" s="492" t="n"/>
      <c r="U457" s="492" t="n"/>
      <c r="V457" s="492" t="n"/>
      <c r="W457" s="492" t="n"/>
      <c r="X457" s="492" t="n"/>
      <c r="Y457" s="492" t="n"/>
      <c r="Z457" s="492" t="n"/>
      <c r="AA457" s="492" t="n"/>
      <c r="AB457" s="492" t="n"/>
      <c r="AC457" s="492" t="n"/>
      <c r="AD457" s="492" t="n"/>
      <c r="AE457" s="493" t="n"/>
      <c r="AF457" s="492" t="n"/>
      <c r="AG457" s="492" t="n"/>
      <c r="AH457" s="492" t="n"/>
      <c r="AI457" s="492" t="n"/>
      <c r="AJ457" s="493" t="n"/>
      <c r="AK457" s="492" t="n"/>
      <c r="AL457" s="492" t="n"/>
      <c r="AM457" s="492" t="n"/>
      <c r="AN457" s="492" t="n"/>
      <c r="AO457" s="492" t="n"/>
      <c r="AP457" s="492" t="n"/>
      <c r="AQ457" s="492" t="n"/>
      <c r="AR457" s="492" t="n"/>
      <c r="AS457" s="492" t="n"/>
      <c r="AT457" s="492" t="n"/>
      <c r="AU457" s="493" t="n"/>
      <c r="AV457" s="492" t="n"/>
      <c r="AW457" s="492" t="n"/>
      <c r="AX457" s="492" t="n"/>
      <c r="AY457" s="492" t="n"/>
      <c r="AZ457" s="492" t="n"/>
      <c r="BA457" s="493" t="n"/>
      <c r="BB457" s="492" t="n"/>
      <c r="BC457" s="492" t="n"/>
      <c r="BD457" s="492" t="n"/>
      <c r="BE457" s="492" t="n"/>
      <c r="BF457" s="493" t="n"/>
      <c r="BG457" s="493" t="n"/>
      <c r="BH457" s="495" t="n"/>
      <c r="BI457" s="496" t="n"/>
      <c r="BJ457" s="496" t="n"/>
      <c r="BK457" s="496" t="n"/>
      <c r="BM457" s="493" t="n"/>
      <c r="BN457" s="493" t="n"/>
      <c r="BO457" s="493" t="n"/>
      <c r="BP457" s="493" t="n"/>
      <c r="BQ457" s="493" t="n"/>
      <c r="BR457" s="493" t="n"/>
      <c r="BS457" s="493" t="n"/>
      <c r="BT457" s="493" t="n"/>
      <c r="BU457" s="493" t="n"/>
      <c r="BV457" s="493" t="n"/>
      <c r="BW457" s="493" t="n"/>
      <c r="BX457" s="493" t="n"/>
      <c r="BY457" s="493" t="n"/>
      <c r="BZ457" s="493" t="n"/>
      <c r="CA457" s="493" t="n"/>
      <c r="CB457" s="493" t="n"/>
      <c r="CC457" s="493" t="n"/>
      <c r="CD457" s="493" t="n"/>
      <c r="CE457" s="493" t="n"/>
      <c r="CF457" s="493" t="n"/>
      <c r="CG457" s="493" t="n"/>
      <c r="CH457" s="493" t="n"/>
      <c r="CI457" s="493" t="n"/>
      <c r="CJ457" s="493" t="n"/>
      <c r="CK457" s="493" t="n"/>
      <c r="CL457" s="493" t="n"/>
    </row>
    <row r="458" customFormat="1" s="230">
      <c r="E458" s="234" t="n"/>
      <c r="F458" s="492" t="n"/>
      <c r="G458" s="492" t="n"/>
      <c r="H458" s="493" t="n"/>
      <c r="I458" s="492" t="n"/>
      <c r="J458" s="492" t="n"/>
      <c r="K458" s="492" t="n"/>
      <c r="L458" s="492" t="n"/>
      <c r="M458" s="493" t="n"/>
      <c r="N458" s="492" t="n"/>
      <c r="O458" s="492" t="n"/>
      <c r="P458" s="492" t="n"/>
      <c r="Q458" s="492" t="n"/>
      <c r="R458" s="492" t="n"/>
      <c r="S458" s="492" t="n"/>
      <c r="T458" s="492" t="n"/>
      <c r="U458" s="492" t="n"/>
      <c r="V458" s="492" t="n"/>
      <c r="W458" s="492" t="n"/>
      <c r="X458" s="492" t="n"/>
      <c r="Y458" s="492" t="n"/>
      <c r="Z458" s="492" t="n"/>
      <c r="AA458" s="492" t="n"/>
      <c r="AB458" s="492" t="n"/>
      <c r="AC458" s="492" t="n"/>
      <c r="AD458" s="492" t="n"/>
      <c r="AE458" s="493" t="n"/>
      <c r="AF458" s="492" t="n"/>
      <c r="AG458" s="492" t="n"/>
      <c r="AH458" s="492" t="n"/>
      <c r="AI458" s="492" t="n"/>
      <c r="AJ458" s="493" t="n"/>
      <c r="AK458" s="492" t="n"/>
      <c r="AL458" s="492" t="n"/>
      <c r="AM458" s="492" t="n"/>
      <c r="AN458" s="492" t="n"/>
      <c r="AO458" s="492" t="n"/>
      <c r="AP458" s="492" t="n"/>
      <c r="AQ458" s="492" t="n"/>
      <c r="AR458" s="492" t="n"/>
      <c r="AS458" s="492" t="n"/>
      <c r="AT458" s="492" t="n"/>
      <c r="AU458" s="493" t="n"/>
      <c r="AV458" s="492" t="n"/>
      <c r="AW458" s="492" t="n"/>
      <c r="AX458" s="492" t="n"/>
      <c r="AY458" s="492" t="n"/>
      <c r="AZ458" s="492" t="n"/>
      <c r="BA458" s="493" t="n"/>
      <c r="BB458" s="492" t="n"/>
      <c r="BC458" s="492" t="n"/>
      <c r="BD458" s="492" t="n"/>
      <c r="BE458" s="492" t="n"/>
      <c r="BF458" s="493" t="n"/>
      <c r="BG458" s="493" t="n"/>
      <c r="BH458" s="495" t="n"/>
      <c r="BI458" s="496" t="n"/>
      <c r="BJ458" s="496" t="n"/>
      <c r="BK458" s="496" t="n"/>
      <c r="BM458" s="493" t="n"/>
      <c r="BN458" s="493" t="n"/>
      <c r="BO458" s="493" t="n"/>
      <c r="BP458" s="493" t="n"/>
      <c r="BQ458" s="493" t="n"/>
      <c r="BR458" s="493" t="n"/>
      <c r="BS458" s="493" t="n"/>
      <c r="BT458" s="493" t="n"/>
      <c r="BU458" s="493" t="n"/>
      <c r="BV458" s="493" t="n"/>
      <c r="BW458" s="493" t="n"/>
      <c r="BX458" s="493" t="n"/>
      <c r="BY458" s="493" t="n"/>
      <c r="BZ458" s="493" t="n"/>
      <c r="CA458" s="493" t="n"/>
      <c r="CB458" s="493" t="n"/>
      <c r="CC458" s="493" t="n"/>
      <c r="CD458" s="493" t="n"/>
      <c r="CE458" s="493" t="n"/>
      <c r="CF458" s="493" t="n"/>
      <c r="CG458" s="493" t="n"/>
      <c r="CH458" s="493" t="n"/>
      <c r="CI458" s="493" t="n"/>
      <c r="CJ458" s="493" t="n"/>
      <c r="CK458" s="493" t="n"/>
      <c r="CL458" s="493" t="n"/>
    </row>
    <row r="459" customFormat="1" s="230">
      <c r="E459" s="234" t="n"/>
      <c r="F459" s="492" t="n"/>
      <c r="G459" s="492" t="n"/>
      <c r="H459" s="493" t="n"/>
      <c r="I459" s="492" t="n"/>
      <c r="J459" s="492" t="n"/>
      <c r="K459" s="492" t="n"/>
      <c r="L459" s="492" t="n"/>
      <c r="M459" s="493" t="n"/>
      <c r="N459" s="492" t="n"/>
      <c r="O459" s="492" t="n"/>
      <c r="P459" s="492" t="n"/>
      <c r="Q459" s="492" t="n"/>
      <c r="R459" s="492" t="n"/>
      <c r="S459" s="492" t="n"/>
      <c r="T459" s="492" t="n"/>
      <c r="U459" s="492" t="n"/>
      <c r="V459" s="492" t="n"/>
      <c r="W459" s="492" t="n"/>
      <c r="X459" s="492" t="n"/>
      <c r="Y459" s="492" t="n"/>
      <c r="Z459" s="492" t="n"/>
      <c r="AA459" s="492" t="n"/>
      <c r="AB459" s="492" t="n"/>
      <c r="AC459" s="492" t="n"/>
      <c r="AD459" s="492" t="n"/>
      <c r="AE459" s="493" t="n"/>
      <c r="AF459" s="492" t="n"/>
      <c r="AG459" s="492" t="n"/>
      <c r="AH459" s="492" t="n"/>
      <c r="AI459" s="492" t="n"/>
      <c r="AJ459" s="493" t="n"/>
      <c r="AK459" s="492" t="n"/>
      <c r="AL459" s="492" t="n"/>
      <c r="AM459" s="492" t="n"/>
      <c r="AN459" s="492" t="n"/>
      <c r="AO459" s="492" t="n"/>
      <c r="AP459" s="492" t="n"/>
      <c r="AQ459" s="492" t="n"/>
      <c r="AR459" s="492" t="n"/>
      <c r="AS459" s="492" t="n"/>
      <c r="AT459" s="492" t="n"/>
      <c r="AU459" s="493" t="n"/>
      <c r="AV459" s="492" t="n"/>
      <c r="AW459" s="492" t="n"/>
      <c r="AX459" s="492" t="n"/>
      <c r="AY459" s="492" t="n"/>
      <c r="AZ459" s="492" t="n"/>
      <c r="BA459" s="493" t="n"/>
      <c r="BB459" s="492" t="n"/>
      <c r="BC459" s="492" t="n"/>
      <c r="BD459" s="492" t="n"/>
      <c r="BE459" s="492" t="n"/>
      <c r="BF459" s="493" t="n"/>
      <c r="BG459" s="493" t="n"/>
      <c r="BH459" s="495" t="n"/>
      <c r="BI459" s="496" t="n"/>
      <c r="BJ459" s="496" t="n"/>
      <c r="BK459" s="496" t="n"/>
      <c r="BM459" s="493" t="n"/>
      <c r="BN459" s="493" t="n"/>
      <c r="BO459" s="493" t="n"/>
      <c r="BP459" s="493" t="n"/>
      <c r="BQ459" s="493" t="n"/>
      <c r="BR459" s="493" t="n"/>
      <c r="BS459" s="493" t="n"/>
      <c r="BT459" s="493" t="n"/>
      <c r="BU459" s="493" t="n"/>
      <c r="BV459" s="493" t="n"/>
      <c r="BW459" s="493" t="n"/>
      <c r="BX459" s="493" t="n"/>
      <c r="BY459" s="493" t="n"/>
      <c r="BZ459" s="493" t="n"/>
      <c r="CA459" s="493" t="n"/>
      <c r="CB459" s="493" t="n"/>
      <c r="CC459" s="493" t="n"/>
      <c r="CD459" s="493" t="n"/>
      <c r="CE459" s="493" t="n"/>
      <c r="CF459" s="493" t="n"/>
      <c r="CG459" s="493" t="n"/>
      <c r="CH459" s="493" t="n"/>
      <c r="CI459" s="493" t="n"/>
      <c r="CJ459" s="493" t="n"/>
      <c r="CK459" s="493" t="n"/>
      <c r="CL459" s="493" t="n"/>
    </row>
    <row r="460" customFormat="1" s="230">
      <c r="E460" s="234" t="n"/>
      <c r="F460" s="492" t="n"/>
      <c r="G460" s="492" t="n"/>
      <c r="H460" s="493" t="n"/>
      <c r="I460" s="492" t="n"/>
      <c r="J460" s="492" t="n"/>
      <c r="K460" s="492" t="n"/>
      <c r="L460" s="492" t="n"/>
      <c r="M460" s="493" t="n"/>
      <c r="N460" s="492" t="n"/>
      <c r="O460" s="492" t="n"/>
      <c r="P460" s="492" t="n"/>
      <c r="Q460" s="492" t="n"/>
      <c r="R460" s="492" t="n"/>
      <c r="S460" s="492" t="n"/>
      <c r="T460" s="492" t="n"/>
      <c r="U460" s="492" t="n"/>
      <c r="V460" s="492" t="n"/>
      <c r="W460" s="492" t="n"/>
      <c r="X460" s="492" t="n"/>
      <c r="Y460" s="492" t="n"/>
      <c r="Z460" s="492" t="n"/>
      <c r="AA460" s="492" t="n"/>
      <c r="AB460" s="492" t="n"/>
      <c r="AC460" s="492" t="n"/>
      <c r="AD460" s="492" t="n"/>
      <c r="AE460" s="493" t="n"/>
      <c r="AF460" s="492" t="n"/>
      <c r="AG460" s="492" t="n"/>
      <c r="AH460" s="492" t="n"/>
      <c r="AI460" s="492" t="n"/>
      <c r="AJ460" s="493" t="n"/>
      <c r="AK460" s="492" t="n"/>
      <c r="AL460" s="492" t="n"/>
      <c r="AM460" s="492" t="n"/>
      <c r="AN460" s="492" t="n"/>
      <c r="AO460" s="492" t="n"/>
      <c r="AP460" s="492" t="n"/>
      <c r="AQ460" s="492" t="n"/>
      <c r="AR460" s="492" t="n"/>
      <c r="AS460" s="492" t="n"/>
      <c r="AT460" s="492" t="n"/>
      <c r="AU460" s="493" t="n"/>
      <c r="AV460" s="492" t="n"/>
      <c r="AW460" s="492" t="n"/>
      <c r="AX460" s="492" t="n"/>
      <c r="AY460" s="492" t="n"/>
      <c r="AZ460" s="492" t="n"/>
      <c r="BA460" s="493" t="n"/>
      <c r="BB460" s="492" t="n"/>
      <c r="BC460" s="492" t="n"/>
      <c r="BD460" s="492" t="n"/>
      <c r="BE460" s="492" t="n"/>
      <c r="BF460" s="493" t="n"/>
      <c r="BG460" s="493" t="n"/>
      <c r="BH460" s="495" t="n"/>
      <c r="BI460" s="496" t="n"/>
      <c r="BJ460" s="496" t="n"/>
      <c r="BK460" s="496" t="n"/>
      <c r="BM460" s="493" t="n"/>
      <c r="BN460" s="493" t="n"/>
      <c r="BO460" s="493" t="n"/>
      <c r="BP460" s="493" t="n"/>
      <c r="BQ460" s="493" t="n"/>
      <c r="BR460" s="493" t="n"/>
      <c r="BS460" s="493" t="n"/>
      <c r="BT460" s="493" t="n"/>
      <c r="BU460" s="493" t="n"/>
      <c r="BV460" s="493" t="n"/>
      <c r="BW460" s="493" t="n"/>
      <c r="BX460" s="493" t="n"/>
      <c r="BY460" s="493" t="n"/>
      <c r="BZ460" s="493" t="n"/>
      <c r="CA460" s="493" t="n"/>
      <c r="CB460" s="493" t="n"/>
      <c r="CC460" s="493" t="n"/>
      <c r="CD460" s="493" t="n"/>
      <c r="CE460" s="493" t="n"/>
      <c r="CF460" s="493" t="n"/>
      <c r="CG460" s="493" t="n"/>
      <c r="CH460" s="493" t="n"/>
      <c r="CI460" s="493" t="n"/>
      <c r="CJ460" s="493" t="n"/>
      <c r="CK460" s="493" t="n"/>
      <c r="CL460" s="493" t="n"/>
    </row>
    <row r="461" customFormat="1" s="230">
      <c r="E461" s="234" t="n"/>
      <c r="F461" s="492" t="n"/>
      <c r="G461" s="492" t="n"/>
      <c r="H461" s="493" t="n"/>
      <c r="I461" s="492" t="n"/>
      <c r="J461" s="492" t="n"/>
      <c r="K461" s="492" t="n"/>
      <c r="L461" s="492" t="n"/>
      <c r="M461" s="493" t="n"/>
      <c r="N461" s="492" t="n"/>
      <c r="O461" s="492" t="n"/>
      <c r="P461" s="492" t="n"/>
      <c r="Q461" s="492" t="n"/>
      <c r="R461" s="492" t="n"/>
      <c r="S461" s="492" t="n"/>
      <c r="T461" s="492" t="n"/>
      <c r="U461" s="492" t="n"/>
      <c r="V461" s="492" t="n"/>
      <c r="W461" s="492" t="n"/>
      <c r="X461" s="492" t="n"/>
      <c r="Y461" s="492" t="n"/>
      <c r="Z461" s="492" t="n"/>
      <c r="AA461" s="492" t="n"/>
      <c r="AB461" s="492" t="n"/>
      <c r="AC461" s="492" t="n"/>
      <c r="AD461" s="492" t="n"/>
      <c r="AE461" s="493" t="n"/>
      <c r="AF461" s="492" t="n"/>
      <c r="AG461" s="492" t="n"/>
      <c r="AH461" s="492" t="n"/>
      <c r="AI461" s="492" t="n"/>
      <c r="AJ461" s="493" t="n"/>
      <c r="AK461" s="492" t="n"/>
      <c r="AL461" s="492" t="n"/>
      <c r="AM461" s="492" t="n"/>
      <c r="AN461" s="492" t="n"/>
      <c r="AO461" s="492" t="n"/>
      <c r="AP461" s="492" t="n"/>
      <c r="AQ461" s="492" t="n"/>
      <c r="AR461" s="492" t="n"/>
      <c r="AS461" s="492" t="n"/>
      <c r="AT461" s="492" t="n"/>
      <c r="AU461" s="493" t="n"/>
      <c r="AV461" s="492" t="n"/>
      <c r="AW461" s="492" t="n"/>
      <c r="AX461" s="492" t="n"/>
      <c r="AY461" s="492" t="n"/>
      <c r="AZ461" s="492" t="n"/>
      <c r="BA461" s="493" t="n"/>
      <c r="BB461" s="492" t="n"/>
      <c r="BC461" s="492" t="n"/>
      <c r="BD461" s="492" t="n"/>
      <c r="BE461" s="492" t="n"/>
      <c r="BF461" s="493" t="n"/>
      <c r="BG461" s="493" t="n"/>
      <c r="BH461" s="495" t="n"/>
      <c r="BI461" s="496" t="n"/>
      <c r="BJ461" s="496" t="n"/>
      <c r="BK461" s="496" t="n"/>
      <c r="BM461" s="493" t="n"/>
      <c r="BN461" s="493" t="n"/>
      <c r="BO461" s="493" t="n"/>
      <c r="BP461" s="493" t="n"/>
      <c r="BQ461" s="493" t="n"/>
      <c r="BR461" s="493" t="n"/>
      <c r="BS461" s="493" t="n"/>
      <c r="BT461" s="493" t="n"/>
      <c r="BU461" s="493" t="n"/>
      <c r="BV461" s="493" t="n"/>
      <c r="BW461" s="493" t="n"/>
      <c r="BX461" s="493" t="n"/>
      <c r="BY461" s="493" t="n"/>
      <c r="BZ461" s="493" t="n"/>
      <c r="CA461" s="493" t="n"/>
      <c r="CB461" s="493" t="n"/>
      <c r="CC461" s="493" t="n"/>
      <c r="CD461" s="493" t="n"/>
      <c r="CE461" s="493" t="n"/>
      <c r="CF461" s="493" t="n"/>
      <c r="CG461" s="493" t="n"/>
      <c r="CH461" s="493" t="n"/>
      <c r="CI461" s="493" t="n"/>
      <c r="CJ461" s="493" t="n"/>
      <c r="CK461" s="493" t="n"/>
      <c r="CL461" s="493" t="n"/>
    </row>
    <row r="462" customFormat="1" s="230">
      <c r="E462" s="234" t="n"/>
      <c r="F462" s="492" t="n"/>
      <c r="G462" s="492" t="n"/>
      <c r="H462" s="493" t="n"/>
      <c r="I462" s="492" t="n"/>
      <c r="J462" s="492" t="n"/>
      <c r="K462" s="492" t="n"/>
      <c r="L462" s="492" t="n"/>
      <c r="M462" s="493" t="n"/>
      <c r="N462" s="492" t="n"/>
      <c r="O462" s="492" t="n"/>
      <c r="P462" s="492" t="n"/>
      <c r="Q462" s="492" t="n"/>
      <c r="R462" s="492" t="n"/>
      <c r="S462" s="492" t="n"/>
      <c r="T462" s="492" t="n"/>
      <c r="U462" s="492" t="n"/>
      <c r="V462" s="492" t="n"/>
      <c r="W462" s="492" t="n"/>
      <c r="X462" s="492" t="n"/>
      <c r="Y462" s="492" t="n"/>
      <c r="Z462" s="492" t="n"/>
      <c r="AA462" s="492" t="n"/>
      <c r="AB462" s="492" t="n"/>
      <c r="AC462" s="492" t="n"/>
      <c r="AD462" s="492" t="n"/>
      <c r="AE462" s="493" t="n"/>
      <c r="AF462" s="492" t="n"/>
      <c r="AG462" s="492" t="n"/>
      <c r="AH462" s="492" t="n"/>
      <c r="AI462" s="492" t="n"/>
      <c r="AJ462" s="493" t="n"/>
      <c r="AK462" s="492" t="n"/>
      <c r="AL462" s="492" t="n"/>
      <c r="AM462" s="492" t="n"/>
      <c r="AN462" s="492" t="n"/>
      <c r="AO462" s="492" t="n"/>
      <c r="AP462" s="492" t="n"/>
      <c r="AQ462" s="492" t="n"/>
      <c r="AR462" s="492" t="n"/>
      <c r="AS462" s="492" t="n"/>
      <c r="AT462" s="492" t="n"/>
      <c r="AU462" s="493" t="n"/>
      <c r="AV462" s="492" t="n"/>
      <c r="AW462" s="492" t="n"/>
      <c r="AX462" s="492" t="n"/>
      <c r="AY462" s="492" t="n"/>
      <c r="AZ462" s="492" t="n"/>
      <c r="BA462" s="493" t="n"/>
      <c r="BB462" s="492" t="n"/>
      <c r="BC462" s="492" t="n"/>
      <c r="BD462" s="492" t="n"/>
      <c r="BE462" s="492" t="n"/>
      <c r="BF462" s="493" t="n"/>
      <c r="BG462" s="493" t="n"/>
      <c r="BH462" s="495" t="n"/>
      <c r="BI462" s="496" t="n"/>
      <c r="BJ462" s="496" t="n"/>
      <c r="BK462" s="496" t="n"/>
      <c r="BM462" s="493" t="n"/>
      <c r="BN462" s="493" t="n"/>
      <c r="BO462" s="493" t="n"/>
      <c r="BP462" s="493" t="n"/>
      <c r="BQ462" s="493" t="n"/>
      <c r="BR462" s="493" t="n"/>
      <c r="BS462" s="493" t="n"/>
      <c r="BT462" s="493" t="n"/>
      <c r="BU462" s="493" t="n"/>
      <c r="BV462" s="493" t="n"/>
      <c r="BW462" s="493" t="n"/>
      <c r="BX462" s="493" t="n"/>
      <c r="BY462" s="493" t="n"/>
      <c r="BZ462" s="493" t="n"/>
      <c r="CA462" s="493" t="n"/>
      <c r="CB462" s="493" t="n"/>
      <c r="CC462" s="493" t="n"/>
      <c r="CD462" s="493" t="n"/>
      <c r="CE462" s="493" t="n"/>
      <c r="CF462" s="493" t="n"/>
      <c r="CG462" s="493" t="n"/>
      <c r="CH462" s="493" t="n"/>
      <c r="CI462" s="493" t="n"/>
      <c r="CJ462" s="493" t="n"/>
      <c r="CK462" s="493" t="n"/>
      <c r="CL462" s="493" t="n"/>
    </row>
    <row r="463" customFormat="1" s="230">
      <c r="E463" s="234" t="n"/>
      <c r="F463" s="492" t="n"/>
      <c r="G463" s="492" t="n"/>
      <c r="H463" s="493" t="n"/>
      <c r="I463" s="492" t="n"/>
      <c r="J463" s="492" t="n"/>
      <c r="K463" s="492" t="n"/>
      <c r="L463" s="492" t="n"/>
      <c r="M463" s="493" t="n"/>
      <c r="N463" s="492" t="n"/>
      <c r="O463" s="492" t="n"/>
      <c r="P463" s="492" t="n"/>
      <c r="Q463" s="492" t="n"/>
      <c r="R463" s="492" t="n"/>
      <c r="S463" s="492" t="n"/>
      <c r="T463" s="492" t="n"/>
      <c r="U463" s="492" t="n"/>
      <c r="V463" s="492" t="n"/>
      <c r="W463" s="492" t="n"/>
      <c r="X463" s="492" t="n"/>
      <c r="Y463" s="492" t="n"/>
      <c r="Z463" s="492" t="n"/>
      <c r="AA463" s="492" t="n"/>
      <c r="AB463" s="492" t="n"/>
      <c r="AC463" s="492" t="n"/>
      <c r="AD463" s="492" t="n"/>
      <c r="AE463" s="493" t="n"/>
      <c r="AF463" s="492" t="n"/>
      <c r="AG463" s="492" t="n"/>
      <c r="AH463" s="492" t="n"/>
      <c r="AI463" s="492" t="n"/>
      <c r="AJ463" s="493" t="n"/>
      <c r="AK463" s="492" t="n"/>
      <c r="AL463" s="492" t="n"/>
      <c r="AM463" s="492" t="n"/>
      <c r="AN463" s="492" t="n"/>
      <c r="AO463" s="492" t="n"/>
      <c r="AP463" s="492" t="n"/>
      <c r="AQ463" s="492" t="n"/>
      <c r="AR463" s="492" t="n"/>
      <c r="AS463" s="492" t="n"/>
      <c r="AT463" s="492" t="n"/>
      <c r="AU463" s="493" t="n"/>
      <c r="AV463" s="492" t="n"/>
      <c r="AW463" s="492" t="n"/>
      <c r="AX463" s="492" t="n"/>
      <c r="AY463" s="492" t="n"/>
      <c r="AZ463" s="492" t="n"/>
      <c r="BA463" s="493" t="n"/>
      <c r="BB463" s="492" t="n"/>
      <c r="BC463" s="492" t="n"/>
      <c r="BD463" s="492" t="n"/>
      <c r="BE463" s="492" t="n"/>
      <c r="BF463" s="493" t="n"/>
      <c r="BG463" s="493" t="n"/>
      <c r="BH463" s="495" t="n"/>
      <c r="BI463" s="496" t="n"/>
      <c r="BJ463" s="496" t="n"/>
      <c r="BK463" s="496" t="n"/>
      <c r="BM463" s="493" t="n"/>
      <c r="BN463" s="493" t="n"/>
      <c r="BO463" s="493" t="n"/>
      <c r="BP463" s="493" t="n"/>
      <c r="BQ463" s="493" t="n"/>
      <c r="BR463" s="493" t="n"/>
      <c r="BS463" s="493" t="n"/>
      <c r="BT463" s="493" t="n"/>
      <c r="BU463" s="493" t="n"/>
      <c r="BV463" s="493" t="n"/>
      <c r="BW463" s="493" t="n"/>
      <c r="BX463" s="493" t="n"/>
      <c r="BY463" s="493" t="n"/>
      <c r="BZ463" s="493" t="n"/>
      <c r="CA463" s="493" t="n"/>
      <c r="CB463" s="493" t="n"/>
      <c r="CC463" s="493" t="n"/>
      <c r="CD463" s="493" t="n"/>
      <c r="CE463" s="493" t="n"/>
      <c r="CF463" s="493" t="n"/>
      <c r="CG463" s="493" t="n"/>
      <c r="CH463" s="493" t="n"/>
      <c r="CI463" s="493" t="n"/>
      <c r="CJ463" s="493" t="n"/>
      <c r="CK463" s="493" t="n"/>
      <c r="CL463" s="493" t="n"/>
    </row>
    <row r="464" customFormat="1" s="230">
      <c r="E464" s="234" t="n"/>
      <c r="F464" s="492" t="n"/>
      <c r="G464" s="492" t="n"/>
      <c r="H464" s="493" t="n"/>
      <c r="I464" s="492" t="n"/>
      <c r="J464" s="492" t="n"/>
      <c r="K464" s="492" t="n"/>
      <c r="L464" s="492" t="n"/>
      <c r="M464" s="493" t="n"/>
      <c r="N464" s="492" t="n"/>
      <c r="O464" s="492" t="n"/>
      <c r="P464" s="492" t="n"/>
      <c r="Q464" s="492" t="n"/>
      <c r="R464" s="492" t="n"/>
      <c r="S464" s="492" t="n"/>
      <c r="T464" s="492" t="n"/>
      <c r="U464" s="492" t="n"/>
      <c r="V464" s="492" t="n"/>
      <c r="W464" s="492" t="n"/>
      <c r="X464" s="492" t="n"/>
      <c r="Y464" s="492" t="n"/>
      <c r="Z464" s="492" t="n"/>
      <c r="AA464" s="492" t="n"/>
      <c r="AB464" s="492" t="n"/>
      <c r="AC464" s="492" t="n"/>
      <c r="AD464" s="492" t="n"/>
      <c r="AE464" s="493" t="n"/>
      <c r="AF464" s="492" t="n"/>
      <c r="AG464" s="492" t="n"/>
      <c r="AH464" s="492" t="n"/>
      <c r="AI464" s="492" t="n"/>
      <c r="AJ464" s="493" t="n"/>
      <c r="AK464" s="492" t="n"/>
      <c r="AL464" s="492" t="n"/>
      <c r="AM464" s="492" t="n"/>
      <c r="AN464" s="492" t="n"/>
      <c r="AO464" s="492" t="n"/>
      <c r="AP464" s="492" t="n"/>
      <c r="AQ464" s="492" t="n"/>
      <c r="AR464" s="492" t="n"/>
      <c r="AS464" s="492" t="n"/>
      <c r="AT464" s="492" t="n"/>
      <c r="AU464" s="493" t="n"/>
      <c r="AV464" s="492" t="n"/>
      <c r="AW464" s="492" t="n"/>
      <c r="AX464" s="492" t="n"/>
      <c r="AY464" s="492" t="n"/>
      <c r="AZ464" s="492" t="n"/>
      <c r="BA464" s="493" t="n"/>
      <c r="BB464" s="492" t="n"/>
      <c r="BC464" s="492" t="n"/>
      <c r="BD464" s="492" t="n"/>
      <c r="BE464" s="492" t="n"/>
      <c r="BF464" s="493" t="n"/>
      <c r="BG464" s="493" t="n"/>
      <c r="BH464" s="495" t="n"/>
      <c r="BI464" s="496" t="n"/>
      <c r="BJ464" s="496" t="n"/>
      <c r="BK464" s="496" t="n"/>
      <c r="BM464" s="493" t="n"/>
      <c r="BN464" s="493" t="n"/>
      <c r="BO464" s="493" t="n"/>
      <c r="BP464" s="493" t="n"/>
      <c r="BQ464" s="493" t="n"/>
      <c r="BR464" s="493" t="n"/>
      <c r="BS464" s="493" t="n"/>
      <c r="BT464" s="493" t="n"/>
      <c r="BU464" s="493" t="n"/>
      <c r="BV464" s="493" t="n"/>
      <c r="BW464" s="493" t="n"/>
      <c r="BX464" s="493" t="n"/>
      <c r="BY464" s="493" t="n"/>
      <c r="BZ464" s="493" t="n"/>
      <c r="CA464" s="493" t="n"/>
      <c r="CB464" s="493" t="n"/>
      <c r="CC464" s="493" t="n"/>
      <c r="CD464" s="493" t="n"/>
      <c r="CE464" s="493" t="n"/>
      <c r="CF464" s="493" t="n"/>
      <c r="CG464" s="493" t="n"/>
      <c r="CH464" s="493" t="n"/>
      <c r="CI464" s="493" t="n"/>
      <c r="CJ464" s="493" t="n"/>
      <c r="CK464" s="493" t="n"/>
      <c r="CL464" s="493" t="n"/>
    </row>
    <row r="465" customFormat="1" s="230">
      <c r="E465" s="234" t="n"/>
      <c r="F465" s="492" t="n"/>
      <c r="G465" s="492" t="n"/>
      <c r="H465" s="493" t="n"/>
      <c r="I465" s="492" t="n"/>
      <c r="J465" s="492" t="n"/>
      <c r="K465" s="492" t="n"/>
      <c r="L465" s="492" t="n"/>
      <c r="M465" s="493" t="n"/>
      <c r="N465" s="492" t="n"/>
      <c r="O465" s="492" t="n"/>
      <c r="P465" s="492" t="n"/>
      <c r="Q465" s="492" t="n"/>
      <c r="R465" s="492" t="n"/>
      <c r="S465" s="492" t="n"/>
      <c r="T465" s="492" t="n"/>
      <c r="U465" s="492" t="n"/>
      <c r="V465" s="492" t="n"/>
      <c r="W465" s="492" t="n"/>
      <c r="X465" s="492" t="n"/>
      <c r="Y465" s="492" t="n"/>
      <c r="Z465" s="492" t="n"/>
      <c r="AA465" s="492" t="n"/>
      <c r="AB465" s="492" t="n"/>
      <c r="AC465" s="492" t="n"/>
      <c r="AD465" s="492" t="n"/>
      <c r="AE465" s="493" t="n"/>
      <c r="AF465" s="492" t="n"/>
      <c r="AG465" s="492" t="n"/>
      <c r="AH465" s="492" t="n"/>
      <c r="AI465" s="492" t="n"/>
      <c r="AJ465" s="493" t="n"/>
      <c r="AK465" s="492" t="n"/>
      <c r="AL465" s="492" t="n"/>
      <c r="AM465" s="492" t="n"/>
      <c r="AN465" s="492" t="n"/>
      <c r="AO465" s="492" t="n"/>
      <c r="AP465" s="492" t="n"/>
      <c r="AQ465" s="492" t="n"/>
      <c r="AR465" s="492" t="n"/>
      <c r="AS465" s="492" t="n"/>
      <c r="AT465" s="492" t="n"/>
      <c r="AU465" s="493" t="n"/>
      <c r="AV465" s="492" t="n"/>
      <c r="AW465" s="492" t="n"/>
      <c r="AX465" s="492" t="n"/>
      <c r="AY465" s="492" t="n"/>
      <c r="AZ465" s="492" t="n"/>
      <c r="BA465" s="493" t="n"/>
      <c r="BB465" s="492" t="n"/>
      <c r="BC465" s="492" t="n"/>
      <c r="BD465" s="492" t="n"/>
      <c r="BE465" s="492" t="n"/>
      <c r="BF465" s="493" t="n"/>
      <c r="BG465" s="493" t="n"/>
      <c r="BH465" s="495" t="n"/>
      <c r="BI465" s="496" t="n"/>
      <c r="BJ465" s="496" t="n"/>
      <c r="BK465" s="496" t="n"/>
      <c r="BM465" s="493" t="n"/>
      <c r="BN465" s="493" t="n"/>
      <c r="BO465" s="493" t="n"/>
      <c r="BP465" s="493" t="n"/>
      <c r="BQ465" s="493" t="n"/>
      <c r="BR465" s="493" t="n"/>
      <c r="BS465" s="493" t="n"/>
      <c r="BT465" s="493" t="n"/>
      <c r="BU465" s="493" t="n"/>
      <c r="BV465" s="493" t="n"/>
      <c r="BW465" s="493" t="n"/>
      <c r="BX465" s="493" t="n"/>
      <c r="BY465" s="493" t="n"/>
      <c r="BZ465" s="493" t="n"/>
      <c r="CA465" s="493" t="n"/>
      <c r="CB465" s="493" t="n"/>
      <c r="CC465" s="493" t="n"/>
      <c r="CD465" s="493" t="n"/>
      <c r="CE465" s="493" t="n"/>
      <c r="CF465" s="493" t="n"/>
      <c r="CG465" s="493" t="n"/>
      <c r="CH465" s="493" t="n"/>
      <c r="CI465" s="493" t="n"/>
      <c r="CJ465" s="493" t="n"/>
      <c r="CK465" s="493" t="n"/>
      <c r="CL465" s="493" t="n"/>
    </row>
    <row r="466" customFormat="1" s="230">
      <c r="E466" s="234" t="n"/>
      <c r="F466" s="492" t="n"/>
      <c r="G466" s="492" t="n"/>
      <c r="H466" s="493" t="n"/>
      <c r="I466" s="492" t="n"/>
      <c r="J466" s="492" t="n"/>
      <c r="K466" s="492" t="n"/>
      <c r="L466" s="492" t="n"/>
      <c r="M466" s="493" t="n"/>
      <c r="N466" s="492" t="n"/>
      <c r="O466" s="492" t="n"/>
      <c r="P466" s="492" t="n"/>
      <c r="Q466" s="492" t="n"/>
      <c r="R466" s="492" t="n"/>
      <c r="S466" s="492" t="n"/>
      <c r="T466" s="492" t="n"/>
      <c r="U466" s="492" t="n"/>
      <c r="V466" s="492" t="n"/>
      <c r="W466" s="492" t="n"/>
      <c r="X466" s="492" t="n"/>
      <c r="Y466" s="492" t="n"/>
      <c r="Z466" s="492" t="n"/>
      <c r="AA466" s="492" t="n"/>
      <c r="AB466" s="492" t="n"/>
      <c r="AC466" s="492" t="n"/>
      <c r="AD466" s="492" t="n"/>
      <c r="AE466" s="493" t="n"/>
      <c r="AF466" s="492" t="n"/>
      <c r="AG466" s="492" t="n"/>
      <c r="AH466" s="492" t="n"/>
      <c r="AI466" s="492" t="n"/>
      <c r="AJ466" s="493" t="n"/>
      <c r="AK466" s="492" t="n"/>
      <c r="AL466" s="492" t="n"/>
      <c r="AM466" s="492" t="n"/>
      <c r="AN466" s="492" t="n"/>
      <c r="AO466" s="492" t="n"/>
      <c r="AP466" s="492" t="n"/>
      <c r="AQ466" s="492" t="n"/>
      <c r="AR466" s="492" t="n"/>
      <c r="AS466" s="492" t="n"/>
      <c r="AT466" s="492" t="n"/>
      <c r="AU466" s="493" t="n"/>
      <c r="AV466" s="492" t="n"/>
      <c r="AW466" s="492" t="n"/>
      <c r="AX466" s="492" t="n"/>
      <c r="AY466" s="492" t="n"/>
      <c r="AZ466" s="492" t="n"/>
      <c r="BA466" s="493" t="n"/>
      <c r="BB466" s="492" t="n"/>
      <c r="BC466" s="492" t="n"/>
      <c r="BD466" s="492" t="n"/>
      <c r="BE466" s="492" t="n"/>
      <c r="BF466" s="493" t="n"/>
      <c r="BG466" s="493" t="n"/>
      <c r="BH466" s="495" t="n"/>
      <c r="BI466" s="496" t="n"/>
      <c r="BJ466" s="496" t="n"/>
      <c r="BK466" s="496" t="n"/>
      <c r="BM466" s="493" t="n"/>
      <c r="BN466" s="493" t="n"/>
      <c r="BO466" s="493" t="n"/>
      <c r="BP466" s="493" t="n"/>
      <c r="BQ466" s="493" t="n"/>
      <c r="BR466" s="493" t="n"/>
      <c r="BS466" s="493" t="n"/>
      <c r="BT466" s="493" t="n"/>
      <c r="BU466" s="493" t="n"/>
      <c r="BV466" s="493" t="n"/>
      <c r="BW466" s="493" t="n"/>
      <c r="BX466" s="493" t="n"/>
      <c r="BY466" s="493" t="n"/>
      <c r="BZ466" s="493" t="n"/>
      <c r="CA466" s="493" t="n"/>
      <c r="CB466" s="493" t="n"/>
      <c r="CC466" s="493" t="n"/>
      <c r="CD466" s="493" t="n"/>
      <c r="CE466" s="493" t="n"/>
      <c r="CF466" s="493" t="n"/>
      <c r="CG466" s="493" t="n"/>
      <c r="CH466" s="493" t="n"/>
      <c r="CI466" s="493" t="n"/>
      <c r="CJ466" s="493" t="n"/>
      <c r="CK466" s="493" t="n"/>
      <c r="CL466" s="493" t="n"/>
    </row>
    <row r="467" customFormat="1" s="230">
      <c r="E467" s="234" t="n"/>
      <c r="F467" s="492" t="n"/>
      <c r="G467" s="492" t="n"/>
      <c r="H467" s="493" t="n"/>
      <c r="I467" s="492" t="n"/>
      <c r="J467" s="492" t="n"/>
      <c r="K467" s="492" t="n"/>
      <c r="L467" s="492" t="n"/>
      <c r="M467" s="493" t="n"/>
      <c r="N467" s="492" t="n"/>
      <c r="O467" s="492" t="n"/>
      <c r="P467" s="492" t="n"/>
      <c r="Q467" s="492" t="n"/>
      <c r="R467" s="492" t="n"/>
      <c r="S467" s="492" t="n"/>
      <c r="T467" s="492" t="n"/>
      <c r="U467" s="492" t="n"/>
      <c r="V467" s="492" t="n"/>
      <c r="W467" s="492" t="n"/>
      <c r="X467" s="492" t="n"/>
      <c r="Y467" s="492" t="n"/>
      <c r="Z467" s="492" t="n"/>
      <c r="AA467" s="492" t="n"/>
      <c r="AB467" s="492" t="n"/>
      <c r="AC467" s="492" t="n"/>
      <c r="AD467" s="492" t="n"/>
      <c r="AE467" s="493" t="n"/>
      <c r="AF467" s="492" t="n"/>
      <c r="AG467" s="492" t="n"/>
      <c r="AH467" s="492" t="n"/>
      <c r="AI467" s="492" t="n"/>
      <c r="AJ467" s="493" t="n"/>
      <c r="AK467" s="492" t="n"/>
      <c r="AL467" s="492" t="n"/>
      <c r="AM467" s="492" t="n"/>
      <c r="AN467" s="492" t="n"/>
      <c r="AO467" s="492" t="n"/>
      <c r="AP467" s="492" t="n"/>
      <c r="AQ467" s="492" t="n"/>
      <c r="AR467" s="492" t="n"/>
      <c r="AS467" s="492" t="n"/>
      <c r="AT467" s="492" t="n"/>
      <c r="AU467" s="493" t="n"/>
      <c r="AV467" s="492" t="n"/>
      <c r="AW467" s="492" t="n"/>
      <c r="AX467" s="492" t="n"/>
      <c r="AY467" s="492" t="n"/>
      <c r="AZ467" s="492" t="n"/>
      <c r="BA467" s="493" t="n"/>
      <c r="BB467" s="492" t="n"/>
      <c r="BC467" s="492" t="n"/>
      <c r="BD467" s="492" t="n"/>
      <c r="BE467" s="492" t="n"/>
      <c r="BF467" s="493" t="n"/>
      <c r="BG467" s="493" t="n"/>
      <c r="BH467" s="495" t="n"/>
      <c r="BI467" s="496" t="n"/>
      <c r="BJ467" s="496" t="n"/>
      <c r="BK467" s="496" t="n"/>
      <c r="BM467" s="493" t="n"/>
      <c r="BN467" s="493" t="n"/>
      <c r="BO467" s="493" t="n"/>
      <c r="BP467" s="493" t="n"/>
      <c r="BQ467" s="493" t="n"/>
      <c r="BR467" s="493" t="n"/>
      <c r="BS467" s="493" t="n"/>
      <c r="BT467" s="493" t="n"/>
      <c r="BU467" s="493" t="n"/>
      <c r="BV467" s="493" t="n"/>
      <c r="BW467" s="493" t="n"/>
      <c r="BX467" s="493" t="n"/>
      <c r="BY467" s="493" t="n"/>
      <c r="BZ467" s="493" t="n"/>
      <c r="CA467" s="493" t="n"/>
      <c r="CB467" s="493" t="n"/>
      <c r="CC467" s="493" t="n"/>
      <c r="CD467" s="493" t="n"/>
      <c r="CE467" s="493" t="n"/>
      <c r="CF467" s="493" t="n"/>
      <c r="CG467" s="493" t="n"/>
      <c r="CH467" s="493" t="n"/>
      <c r="CI467" s="493" t="n"/>
      <c r="CJ467" s="493" t="n"/>
      <c r="CK467" s="493" t="n"/>
      <c r="CL467" s="493" t="n"/>
    </row>
    <row r="468" customFormat="1" s="230">
      <c r="E468" s="234" t="n"/>
      <c r="F468" s="492" t="n"/>
      <c r="G468" s="492" t="n"/>
      <c r="H468" s="493" t="n"/>
      <c r="I468" s="492" t="n"/>
      <c r="J468" s="492" t="n"/>
      <c r="K468" s="492" t="n"/>
      <c r="L468" s="492" t="n"/>
      <c r="M468" s="493" t="n"/>
      <c r="N468" s="492" t="n"/>
      <c r="O468" s="492" t="n"/>
      <c r="P468" s="492" t="n"/>
      <c r="Q468" s="492" t="n"/>
      <c r="R468" s="492" t="n"/>
      <c r="S468" s="492" t="n"/>
      <c r="T468" s="492" t="n"/>
      <c r="U468" s="492" t="n"/>
      <c r="V468" s="492" t="n"/>
      <c r="W468" s="492" t="n"/>
      <c r="X468" s="492" t="n"/>
      <c r="Y468" s="492" t="n"/>
      <c r="Z468" s="492" t="n"/>
      <c r="AA468" s="492" t="n"/>
      <c r="AB468" s="492" t="n"/>
      <c r="AC468" s="492" t="n"/>
      <c r="AD468" s="492" t="n"/>
      <c r="AE468" s="493" t="n"/>
      <c r="AF468" s="492" t="n"/>
      <c r="AG468" s="492" t="n"/>
      <c r="AH468" s="492" t="n"/>
      <c r="AI468" s="492" t="n"/>
      <c r="AJ468" s="493" t="n"/>
      <c r="AK468" s="492" t="n"/>
      <c r="AL468" s="492" t="n"/>
      <c r="AM468" s="492" t="n"/>
      <c r="AN468" s="492" t="n"/>
      <c r="AO468" s="492" t="n"/>
      <c r="AP468" s="492" t="n"/>
      <c r="AQ468" s="492" t="n"/>
      <c r="AR468" s="492" t="n"/>
      <c r="AS468" s="492" t="n"/>
      <c r="AT468" s="492" t="n"/>
      <c r="AU468" s="493" t="n"/>
      <c r="AV468" s="492" t="n"/>
      <c r="AW468" s="492" t="n"/>
      <c r="AX468" s="492" t="n"/>
      <c r="AY468" s="492" t="n"/>
      <c r="AZ468" s="492" t="n"/>
      <c r="BA468" s="493" t="n"/>
      <c r="BB468" s="492" t="n"/>
      <c r="BC468" s="492" t="n"/>
      <c r="BD468" s="492" t="n"/>
      <c r="BE468" s="492" t="n"/>
      <c r="BF468" s="493" t="n"/>
      <c r="BG468" s="493" t="n"/>
      <c r="BH468" s="495" t="n"/>
      <c r="BI468" s="496" t="n"/>
      <c r="BJ468" s="496" t="n"/>
      <c r="BK468" s="496" t="n"/>
      <c r="BM468" s="493" t="n"/>
      <c r="BN468" s="493" t="n"/>
      <c r="BO468" s="493" t="n"/>
      <c r="BP468" s="493" t="n"/>
      <c r="BQ468" s="493" t="n"/>
      <c r="BR468" s="493" t="n"/>
      <c r="BS468" s="493" t="n"/>
      <c r="BT468" s="493" t="n"/>
      <c r="BU468" s="493" t="n"/>
      <c r="BV468" s="493" t="n"/>
      <c r="BW468" s="493" t="n"/>
      <c r="BX468" s="493" t="n"/>
      <c r="BY468" s="493" t="n"/>
      <c r="BZ468" s="493" t="n"/>
      <c r="CA468" s="493" t="n"/>
      <c r="CB468" s="493" t="n"/>
      <c r="CC468" s="493" t="n"/>
      <c r="CD468" s="493" t="n"/>
      <c r="CE468" s="493" t="n"/>
      <c r="CF468" s="493" t="n"/>
      <c r="CG468" s="493" t="n"/>
      <c r="CH468" s="493" t="n"/>
      <c r="CI468" s="493" t="n"/>
      <c r="CJ468" s="493" t="n"/>
      <c r="CK468" s="493" t="n"/>
      <c r="CL468" s="493" t="n"/>
    </row>
    <row r="469" customFormat="1" s="230">
      <c r="E469" s="234" t="n"/>
      <c r="F469" s="492" t="n"/>
      <c r="G469" s="492" t="n"/>
      <c r="H469" s="493" t="n"/>
      <c r="I469" s="492" t="n"/>
      <c r="J469" s="492" t="n"/>
      <c r="K469" s="492" t="n"/>
      <c r="L469" s="492" t="n"/>
      <c r="M469" s="493" t="n"/>
      <c r="N469" s="492" t="n"/>
      <c r="O469" s="492" t="n"/>
      <c r="P469" s="492" t="n"/>
      <c r="Q469" s="492" t="n"/>
      <c r="R469" s="492" t="n"/>
      <c r="S469" s="492" t="n"/>
      <c r="T469" s="492" t="n"/>
      <c r="U469" s="492" t="n"/>
      <c r="V469" s="492" t="n"/>
      <c r="W469" s="492" t="n"/>
      <c r="X469" s="492" t="n"/>
      <c r="Y469" s="492" t="n"/>
      <c r="Z469" s="492" t="n"/>
      <c r="AA469" s="492" t="n"/>
      <c r="AB469" s="492" t="n"/>
      <c r="AC469" s="492" t="n"/>
      <c r="AD469" s="492" t="n"/>
      <c r="AE469" s="493" t="n"/>
      <c r="AF469" s="492" t="n"/>
      <c r="AG469" s="492" t="n"/>
      <c r="AH469" s="492" t="n"/>
      <c r="AI469" s="492" t="n"/>
      <c r="AJ469" s="493" t="n"/>
      <c r="AK469" s="492" t="n"/>
      <c r="AL469" s="492" t="n"/>
      <c r="AM469" s="492" t="n"/>
      <c r="AN469" s="492" t="n"/>
      <c r="AO469" s="492" t="n"/>
      <c r="AP469" s="492" t="n"/>
      <c r="AQ469" s="492" t="n"/>
      <c r="AR469" s="492" t="n"/>
      <c r="AS469" s="492" t="n"/>
      <c r="AT469" s="492" t="n"/>
      <c r="AU469" s="493" t="n"/>
      <c r="AV469" s="492" t="n"/>
      <c r="AW469" s="492" t="n"/>
      <c r="AX469" s="492" t="n"/>
      <c r="AY469" s="492" t="n"/>
      <c r="AZ469" s="492" t="n"/>
      <c r="BA469" s="493" t="n"/>
      <c r="BB469" s="492" t="n"/>
      <c r="BC469" s="492" t="n"/>
      <c r="BD469" s="492" t="n"/>
      <c r="BE469" s="492" t="n"/>
      <c r="BF469" s="493" t="n"/>
      <c r="BG469" s="493" t="n"/>
      <c r="BH469" s="495" t="n"/>
      <c r="BI469" s="496" t="n"/>
      <c r="BJ469" s="496" t="n"/>
      <c r="BK469" s="496" t="n"/>
      <c r="BM469" s="493" t="n"/>
      <c r="BN469" s="493" t="n"/>
      <c r="BO469" s="493" t="n"/>
      <c r="BP469" s="493" t="n"/>
      <c r="BQ469" s="493" t="n"/>
      <c r="BR469" s="493" t="n"/>
      <c r="BS469" s="493" t="n"/>
      <c r="BT469" s="493" t="n"/>
      <c r="BU469" s="493" t="n"/>
      <c r="BV469" s="493" t="n"/>
      <c r="BW469" s="493" t="n"/>
      <c r="BX469" s="493" t="n"/>
      <c r="BY469" s="493" t="n"/>
      <c r="BZ469" s="493" t="n"/>
      <c r="CA469" s="493" t="n"/>
      <c r="CB469" s="493" t="n"/>
      <c r="CC469" s="493" t="n"/>
      <c r="CD469" s="493" t="n"/>
      <c r="CE469" s="493" t="n"/>
      <c r="CF469" s="493" t="n"/>
      <c r="CG469" s="493" t="n"/>
      <c r="CH469" s="493" t="n"/>
      <c r="CI469" s="493" t="n"/>
      <c r="CJ469" s="493" t="n"/>
      <c r="CK469" s="493" t="n"/>
      <c r="CL469" s="493" t="n"/>
    </row>
    <row r="470" customFormat="1" s="230">
      <c r="E470" s="234" t="n"/>
      <c r="F470" s="492" t="n"/>
      <c r="G470" s="492" t="n"/>
      <c r="H470" s="493" t="n"/>
      <c r="I470" s="492" t="n"/>
      <c r="J470" s="492" t="n"/>
      <c r="K470" s="492" t="n"/>
      <c r="L470" s="492" t="n"/>
      <c r="M470" s="493" t="n"/>
      <c r="N470" s="492" t="n"/>
      <c r="O470" s="492" t="n"/>
      <c r="P470" s="492" t="n"/>
      <c r="Q470" s="492" t="n"/>
      <c r="R470" s="492" t="n"/>
      <c r="S470" s="492" t="n"/>
      <c r="T470" s="492" t="n"/>
      <c r="U470" s="492" t="n"/>
      <c r="V470" s="492" t="n"/>
      <c r="W470" s="492" t="n"/>
      <c r="X470" s="492" t="n"/>
      <c r="Y470" s="492" t="n"/>
      <c r="Z470" s="492" t="n"/>
      <c r="AA470" s="492" t="n"/>
      <c r="AB470" s="492" t="n"/>
      <c r="AC470" s="492" t="n"/>
      <c r="AD470" s="492" t="n"/>
      <c r="AE470" s="493" t="n"/>
      <c r="AF470" s="492" t="n"/>
      <c r="AG470" s="492" t="n"/>
      <c r="AH470" s="492" t="n"/>
      <c r="AI470" s="492" t="n"/>
      <c r="AJ470" s="493" t="n"/>
      <c r="AK470" s="492" t="n"/>
      <c r="AL470" s="492" t="n"/>
      <c r="AM470" s="492" t="n"/>
      <c r="AN470" s="492" t="n"/>
      <c r="AO470" s="492" t="n"/>
      <c r="AP470" s="492" t="n"/>
      <c r="AQ470" s="492" t="n"/>
      <c r="AR470" s="492" t="n"/>
      <c r="AS470" s="492" t="n"/>
      <c r="AT470" s="492" t="n"/>
      <c r="AU470" s="493" t="n"/>
      <c r="AV470" s="492" t="n"/>
      <c r="AW470" s="492" t="n"/>
      <c r="AX470" s="492" t="n"/>
      <c r="AY470" s="492" t="n"/>
      <c r="AZ470" s="492" t="n"/>
      <c r="BA470" s="493" t="n"/>
      <c r="BB470" s="492" t="n"/>
      <c r="BC470" s="492" t="n"/>
      <c r="BD470" s="492" t="n"/>
      <c r="BE470" s="492" t="n"/>
      <c r="BF470" s="493" t="n"/>
      <c r="BG470" s="493" t="n"/>
      <c r="BH470" s="495" t="n"/>
      <c r="BI470" s="496" t="n"/>
      <c r="BJ470" s="496" t="n"/>
      <c r="BK470" s="496" t="n"/>
      <c r="BM470" s="493" t="n"/>
      <c r="BN470" s="493" t="n"/>
      <c r="BO470" s="493" t="n"/>
      <c r="BP470" s="493" t="n"/>
      <c r="BQ470" s="493" t="n"/>
      <c r="BR470" s="493" t="n"/>
      <c r="BS470" s="493" t="n"/>
      <c r="BT470" s="493" t="n"/>
      <c r="BU470" s="493" t="n"/>
      <c r="BV470" s="493" t="n"/>
      <c r="BW470" s="493" t="n"/>
      <c r="BX470" s="493" t="n"/>
      <c r="BY470" s="493" t="n"/>
      <c r="BZ470" s="493" t="n"/>
      <c r="CA470" s="493" t="n"/>
      <c r="CB470" s="493" t="n"/>
      <c r="CC470" s="493" t="n"/>
      <c r="CD470" s="493" t="n"/>
      <c r="CE470" s="493" t="n"/>
      <c r="CF470" s="493" t="n"/>
      <c r="CG470" s="493" t="n"/>
      <c r="CH470" s="493" t="n"/>
      <c r="CI470" s="493" t="n"/>
      <c r="CJ470" s="493" t="n"/>
      <c r="CK470" s="493" t="n"/>
      <c r="CL470" s="493" t="n"/>
    </row>
    <row r="471" customFormat="1" s="230">
      <c r="E471" s="234" t="n"/>
      <c r="F471" s="492" t="n"/>
      <c r="G471" s="492" t="n"/>
      <c r="H471" s="493" t="n"/>
      <c r="I471" s="492" t="n"/>
      <c r="J471" s="492" t="n"/>
      <c r="K471" s="492" t="n"/>
      <c r="L471" s="492" t="n"/>
      <c r="M471" s="493" t="n"/>
      <c r="N471" s="492" t="n"/>
      <c r="O471" s="492" t="n"/>
      <c r="P471" s="492" t="n"/>
      <c r="Q471" s="492" t="n"/>
      <c r="R471" s="492" t="n"/>
      <c r="S471" s="492" t="n"/>
      <c r="T471" s="492" t="n"/>
      <c r="U471" s="492" t="n"/>
      <c r="V471" s="492" t="n"/>
      <c r="W471" s="492" t="n"/>
      <c r="X471" s="492" t="n"/>
      <c r="Y471" s="492" t="n"/>
      <c r="Z471" s="492" t="n"/>
      <c r="AA471" s="492" t="n"/>
      <c r="AB471" s="492" t="n"/>
      <c r="AC471" s="492" t="n"/>
      <c r="AD471" s="492" t="n"/>
      <c r="AE471" s="493" t="n"/>
      <c r="AF471" s="492" t="n"/>
      <c r="AG471" s="492" t="n"/>
      <c r="AH471" s="492" t="n"/>
      <c r="AI471" s="492" t="n"/>
      <c r="AJ471" s="493" t="n"/>
      <c r="AK471" s="492" t="n"/>
      <c r="AL471" s="492" t="n"/>
      <c r="AM471" s="492" t="n"/>
      <c r="AN471" s="492" t="n"/>
      <c r="AO471" s="492" t="n"/>
      <c r="AP471" s="492" t="n"/>
      <c r="AQ471" s="492" t="n"/>
      <c r="AR471" s="492" t="n"/>
      <c r="AS471" s="492" t="n"/>
      <c r="AT471" s="492" t="n"/>
      <c r="AU471" s="493" t="n"/>
      <c r="AV471" s="492" t="n"/>
      <c r="AW471" s="492" t="n"/>
      <c r="AX471" s="492" t="n"/>
      <c r="AY471" s="492" t="n"/>
      <c r="AZ471" s="492" t="n"/>
      <c r="BA471" s="493" t="n"/>
      <c r="BB471" s="492" t="n"/>
      <c r="BC471" s="492" t="n"/>
      <c r="BD471" s="492" t="n"/>
      <c r="BE471" s="492" t="n"/>
      <c r="BF471" s="493" t="n"/>
      <c r="BG471" s="493" t="n"/>
      <c r="BH471" s="495" t="n"/>
      <c r="BI471" s="496" t="n"/>
      <c r="BJ471" s="496" t="n"/>
      <c r="BK471" s="496" t="n"/>
      <c r="BM471" s="493" t="n"/>
      <c r="BN471" s="493" t="n"/>
      <c r="BO471" s="493" t="n"/>
      <c r="BP471" s="493" t="n"/>
      <c r="BQ471" s="493" t="n"/>
      <c r="BR471" s="493" t="n"/>
      <c r="BS471" s="493" t="n"/>
      <c r="BT471" s="493" t="n"/>
      <c r="BU471" s="493" t="n"/>
      <c r="BV471" s="493" t="n"/>
      <c r="BW471" s="493" t="n"/>
      <c r="BX471" s="493" t="n"/>
      <c r="BY471" s="493" t="n"/>
      <c r="BZ471" s="493" t="n"/>
      <c r="CA471" s="493" t="n"/>
      <c r="CB471" s="493" t="n"/>
      <c r="CC471" s="493" t="n"/>
      <c r="CD471" s="493" t="n"/>
      <c r="CE471" s="493" t="n"/>
      <c r="CF471" s="493" t="n"/>
      <c r="CG471" s="493" t="n"/>
      <c r="CH471" s="493" t="n"/>
      <c r="CI471" s="493" t="n"/>
      <c r="CJ471" s="493" t="n"/>
      <c r="CK471" s="493" t="n"/>
      <c r="CL471" s="493" t="n"/>
    </row>
    <row r="472" customFormat="1" s="230">
      <c r="E472" s="234" t="n"/>
      <c r="F472" s="492" t="n"/>
      <c r="G472" s="492" t="n"/>
      <c r="H472" s="493" t="n"/>
      <c r="I472" s="492" t="n"/>
      <c r="J472" s="492" t="n"/>
      <c r="K472" s="492" t="n"/>
      <c r="L472" s="492" t="n"/>
      <c r="M472" s="493" t="n"/>
      <c r="N472" s="492" t="n"/>
      <c r="O472" s="492" t="n"/>
      <c r="P472" s="492" t="n"/>
      <c r="Q472" s="492" t="n"/>
      <c r="R472" s="492" t="n"/>
      <c r="S472" s="492" t="n"/>
      <c r="T472" s="492" t="n"/>
      <c r="U472" s="492" t="n"/>
      <c r="V472" s="492" t="n"/>
      <c r="W472" s="492" t="n"/>
      <c r="X472" s="492" t="n"/>
      <c r="Y472" s="492" t="n"/>
      <c r="Z472" s="492" t="n"/>
      <c r="AA472" s="492" t="n"/>
      <c r="AB472" s="492" t="n"/>
      <c r="AC472" s="492" t="n"/>
      <c r="AD472" s="492" t="n"/>
      <c r="AE472" s="493" t="n"/>
      <c r="AF472" s="492" t="n"/>
      <c r="AG472" s="492" t="n"/>
      <c r="AH472" s="492" t="n"/>
      <c r="AI472" s="492" t="n"/>
      <c r="AJ472" s="493" t="n"/>
      <c r="AK472" s="492" t="n"/>
      <c r="AL472" s="492" t="n"/>
      <c r="AM472" s="492" t="n"/>
      <c r="AN472" s="492" t="n"/>
      <c r="AO472" s="492" t="n"/>
      <c r="AP472" s="492" t="n"/>
      <c r="AQ472" s="492" t="n"/>
      <c r="AR472" s="492" t="n"/>
      <c r="AS472" s="492" t="n"/>
      <c r="AT472" s="492" t="n"/>
      <c r="AU472" s="493" t="n"/>
      <c r="AV472" s="492" t="n"/>
      <c r="AW472" s="492" t="n"/>
      <c r="AX472" s="492" t="n"/>
      <c r="AY472" s="492" t="n"/>
      <c r="AZ472" s="492" t="n"/>
      <c r="BA472" s="493" t="n"/>
      <c r="BB472" s="492" t="n"/>
      <c r="BC472" s="492" t="n"/>
      <c r="BD472" s="492" t="n"/>
      <c r="BE472" s="492" t="n"/>
      <c r="BF472" s="493" t="n"/>
      <c r="BG472" s="493" t="n"/>
      <c r="BH472" s="495" t="n"/>
      <c r="BI472" s="496" t="n"/>
      <c r="BJ472" s="496" t="n"/>
      <c r="BK472" s="496" t="n"/>
      <c r="BM472" s="493" t="n"/>
      <c r="BN472" s="493" t="n"/>
      <c r="BO472" s="493" t="n"/>
      <c r="BP472" s="493" t="n"/>
      <c r="BQ472" s="493" t="n"/>
      <c r="BR472" s="493" t="n"/>
      <c r="BS472" s="493" t="n"/>
      <c r="BT472" s="493" t="n"/>
      <c r="BU472" s="493" t="n"/>
      <c r="BV472" s="493" t="n"/>
      <c r="BW472" s="493" t="n"/>
      <c r="BX472" s="493" t="n"/>
      <c r="BY472" s="493" t="n"/>
      <c r="BZ472" s="493" t="n"/>
      <c r="CA472" s="493" t="n"/>
      <c r="CB472" s="493" t="n"/>
      <c r="CC472" s="493" t="n"/>
      <c r="CD472" s="493" t="n"/>
      <c r="CE472" s="493" t="n"/>
      <c r="CF472" s="493" t="n"/>
      <c r="CG472" s="493" t="n"/>
      <c r="CH472" s="493" t="n"/>
      <c r="CI472" s="493" t="n"/>
      <c r="CJ472" s="493" t="n"/>
      <c r="CK472" s="493" t="n"/>
      <c r="CL472" s="493" t="n"/>
    </row>
    <row r="473" customFormat="1" s="230">
      <c r="E473" s="234" t="n"/>
      <c r="F473" s="492" t="n"/>
      <c r="G473" s="492" t="n"/>
      <c r="H473" s="493" t="n"/>
      <c r="I473" s="492" t="n"/>
      <c r="J473" s="492" t="n"/>
      <c r="K473" s="492" t="n"/>
      <c r="L473" s="492" t="n"/>
      <c r="M473" s="493" t="n"/>
      <c r="N473" s="492" t="n"/>
      <c r="O473" s="492" t="n"/>
      <c r="P473" s="492" t="n"/>
      <c r="Q473" s="492" t="n"/>
      <c r="R473" s="492" t="n"/>
      <c r="S473" s="492" t="n"/>
      <c r="T473" s="492" t="n"/>
      <c r="U473" s="492" t="n"/>
      <c r="V473" s="492" t="n"/>
      <c r="W473" s="492" t="n"/>
      <c r="X473" s="492" t="n"/>
      <c r="Y473" s="492" t="n"/>
      <c r="Z473" s="492" t="n"/>
      <c r="AA473" s="492" t="n"/>
      <c r="AB473" s="492" t="n"/>
      <c r="AC473" s="492" t="n"/>
      <c r="AD473" s="492" t="n"/>
      <c r="AE473" s="493" t="n"/>
      <c r="AF473" s="492" t="n"/>
      <c r="AG473" s="492" t="n"/>
      <c r="AH473" s="492" t="n"/>
      <c r="AI473" s="492" t="n"/>
      <c r="AJ473" s="493" t="n"/>
      <c r="AK473" s="492" t="n"/>
      <c r="AL473" s="492" t="n"/>
      <c r="AM473" s="492" t="n"/>
      <c r="AN473" s="492" t="n"/>
      <c r="AO473" s="492" t="n"/>
      <c r="AP473" s="492" t="n"/>
      <c r="AQ473" s="492" t="n"/>
      <c r="AR473" s="492" t="n"/>
      <c r="AS473" s="492" t="n"/>
      <c r="AT473" s="492" t="n"/>
      <c r="AU473" s="493" t="n"/>
      <c r="AV473" s="492" t="n"/>
      <c r="AW473" s="492" t="n"/>
      <c r="AX473" s="492" t="n"/>
      <c r="AY473" s="492" t="n"/>
      <c r="AZ473" s="492" t="n"/>
      <c r="BA473" s="493" t="n"/>
      <c r="BB473" s="492" t="n"/>
      <c r="BC473" s="492" t="n"/>
      <c r="BD473" s="492" t="n"/>
      <c r="BE473" s="492" t="n"/>
      <c r="BF473" s="493" t="n"/>
      <c r="BG473" s="493" t="n"/>
      <c r="BH473" s="495" t="n"/>
      <c r="BI473" s="496" t="n"/>
      <c r="BJ473" s="496" t="n"/>
      <c r="BK473" s="496" t="n"/>
      <c r="BM473" s="493" t="n"/>
      <c r="BN473" s="493" t="n"/>
      <c r="BO473" s="493" t="n"/>
      <c r="BP473" s="493" t="n"/>
      <c r="BQ473" s="493" t="n"/>
      <c r="BR473" s="493" t="n"/>
      <c r="BS473" s="493" t="n"/>
      <c r="BT473" s="493" t="n"/>
      <c r="BU473" s="493" t="n"/>
      <c r="BV473" s="493" t="n"/>
      <c r="BW473" s="493" t="n"/>
      <c r="BX473" s="493" t="n"/>
      <c r="BY473" s="493" t="n"/>
      <c r="BZ473" s="493" t="n"/>
      <c r="CA473" s="493" t="n"/>
      <c r="CB473" s="493" t="n"/>
      <c r="CC473" s="493" t="n"/>
      <c r="CD473" s="493" t="n"/>
      <c r="CE473" s="493" t="n"/>
      <c r="CF473" s="493" t="n"/>
      <c r="CG473" s="493" t="n"/>
      <c r="CH473" s="493" t="n"/>
      <c r="CI473" s="493" t="n"/>
      <c r="CJ473" s="493" t="n"/>
      <c r="CK473" s="493" t="n"/>
      <c r="CL473" s="493" t="n"/>
    </row>
    <row r="474" customFormat="1" s="230">
      <c r="E474" s="234" t="n"/>
      <c r="F474" s="492" t="n"/>
      <c r="G474" s="492" t="n"/>
      <c r="H474" s="493" t="n"/>
      <c r="I474" s="492" t="n"/>
      <c r="J474" s="492" t="n"/>
      <c r="K474" s="492" t="n"/>
      <c r="L474" s="492" t="n"/>
      <c r="M474" s="493" t="n"/>
      <c r="N474" s="492" t="n"/>
      <c r="O474" s="492" t="n"/>
      <c r="P474" s="492" t="n"/>
      <c r="Q474" s="492" t="n"/>
      <c r="R474" s="492" t="n"/>
      <c r="S474" s="492" t="n"/>
      <c r="T474" s="492" t="n"/>
      <c r="U474" s="492" t="n"/>
      <c r="V474" s="492" t="n"/>
      <c r="W474" s="492" t="n"/>
      <c r="X474" s="492" t="n"/>
      <c r="Y474" s="492" t="n"/>
      <c r="Z474" s="492" t="n"/>
      <c r="AA474" s="492" t="n"/>
      <c r="AB474" s="492" t="n"/>
      <c r="AC474" s="492" t="n"/>
      <c r="AD474" s="492" t="n"/>
      <c r="AE474" s="493" t="n"/>
      <c r="AF474" s="492" t="n"/>
      <c r="AG474" s="492" t="n"/>
      <c r="AH474" s="492" t="n"/>
      <c r="AI474" s="492" t="n"/>
      <c r="AJ474" s="493" t="n"/>
      <c r="AK474" s="492" t="n"/>
      <c r="AL474" s="492" t="n"/>
      <c r="AM474" s="492" t="n"/>
      <c r="AN474" s="492" t="n"/>
      <c r="AO474" s="492" t="n"/>
      <c r="AP474" s="492" t="n"/>
      <c r="AQ474" s="492" t="n"/>
      <c r="AR474" s="492" t="n"/>
      <c r="AS474" s="492" t="n"/>
      <c r="AT474" s="492" t="n"/>
      <c r="AU474" s="493" t="n"/>
      <c r="AV474" s="492" t="n"/>
      <c r="AW474" s="492" t="n"/>
      <c r="AX474" s="492" t="n"/>
      <c r="AY474" s="492" t="n"/>
      <c r="AZ474" s="492" t="n"/>
      <c r="BA474" s="493" t="n"/>
      <c r="BB474" s="492" t="n"/>
      <c r="BC474" s="492" t="n"/>
      <c r="BD474" s="492" t="n"/>
      <c r="BE474" s="492" t="n"/>
      <c r="BF474" s="493" t="n"/>
      <c r="BG474" s="493" t="n"/>
      <c r="BH474" s="495" t="n"/>
      <c r="BI474" s="496" t="n"/>
      <c r="BJ474" s="496" t="n"/>
      <c r="BK474" s="496" t="n"/>
      <c r="BM474" s="493" t="n"/>
      <c r="BN474" s="493" t="n"/>
      <c r="BO474" s="493" t="n"/>
      <c r="BP474" s="493" t="n"/>
      <c r="BQ474" s="493" t="n"/>
      <c r="BR474" s="493" t="n"/>
      <c r="BS474" s="493" t="n"/>
      <c r="BT474" s="493" t="n"/>
      <c r="BU474" s="493" t="n"/>
      <c r="BV474" s="493" t="n"/>
      <c r="BW474" s="493" t="n"/>
      <c r="BX474" s="493" t="n"/>
      <c r="BY474" s="493" t="n"/>
      <c r="BZ474" s="493" t="n"/>
      <c r="CA474" s="493" t="n"/>
      <c r="CB474" s="493" t="n"/>
      <c r="CC474" s="493" t="n"/>
      <c r="CD474" s="493" t="n"/>
      <c r="CE474" s="493" t="n"/>
      <c r="CF474" s="493" t="n"/>
      <c r="CG474" s="493" t="n"/>
      <c r="CH474" s="493" t="n"/>
      <c r="CI474" s="493" t="n"/>
      <c r="CJ474" s="493" t="n"/>
      <c r="CK474" s="493" t="n"/>
      <c r="CL474" s="493" t="n"/>
    </row>
    <row r="475" customFormat="1" s="230">
      <c r="E475" s="234" t="n"/>
      <c r="F475" s="492" t="n"/>
      <c r="G475" s="492" t="n"/>
      <c r="H475" s="493" t="n"/>
      <c r="I475" s="492" t="n"/>
      <c r="J475" s="492" t="n"/>
      <c r="K475" s="492" t="n"/>
      <c r="L475" s="492" t="n"/>
      <c r="M475" s="493" t="n"/>
      <c r="N475" s="492" t="n"/>
      <c r="O475" s="492" t="n"/>
      <c r="P475" s="492" t="n"/>
      <c r="Q475" s="492" t="n"/>
      <c r="R475" s="492" t="n"/>
      <c r="S475" s="492" t="n"/>
      <c r="T475" s="492" t="n"/>
      <c r="U475" s="492" t="n"/>
      <c r="V475" s="492" t="n"/>
      <c r="W475" s="492" t="n"/>
      <c r="X475" s="492" t="n"/>
      <c r="Y475" s="492" t="n"/>
      <c r="Z475" s="492" t="n"/>
      <c r="AA475" s="492" t="n"/>
      <c r="AB475" s="492" t="n"/>
      <c r="AC475" s="492" t="n"/>
      <c r="AD475" s="492" t="n"/>
      <c r="AE475" s="493" t="n"/>
      <c r="AF475" s="492" t="n"/>
      <c r="AG475" s="492" t="n"/>
      <c r="AH475" s="492" t="n"/>
      <c r="AI475" s="492" t="n"/>
      <c r="AJ475" s="493" t="n"/>
      <c r="AK475" s="492" t="n"/>
      <c r="AL475" s="492" t="n"/>
      <c r="AM475" s="492" t="n"/>
      <c r="AN475" s="492" t="n"/>
      <c r="AO475" s="492" t="n"/>
      <c r="AP475" s="492" t="n"/>
      <c r="AQ475" s="492" t="n"/>
      <c r="AR475" s="492" t="n"/>
      <c r="AS475" s="492" t="n"/>
      <c r="AT475" s="492" t="n"/>
      <c r="AU475" s="493" t="n"/>
      <c r="AV475" s="492" t="n"/>
      <c r="AW475" s="492" t="n"/>
      <c r="AX475" s="492" t="n"/>
      <c r="AY475" s="492" t="n"/>
      <c r="AZ475" s="492" t="n"/>
      <c r="BA475" s="493" t="n"/>
      <c r="BB475" s="492" t="n"/>
      <c r="BC475" s="492" t="n"/>
      <c r="BD475" s="492" t="n"/>
      <c r="BE475" s="492" t="n"/>
      <c r="BF475" s="493" t="n"/>
      <c r="BG475" s="493" t="n"/>
      <c r="BH475" s="495" t="n"/>
      <c r="BI475" s="496" t="n"/>
      <c r="BJ475" s="496" t="n"/>
      <c r="BK475" s="496" t="n"/>
      <c r="BM475" s="493" t="n"/>
      <c r="BN475" s="493" t="n"/>
      <c r="BO475" s="493" t="n"/>
      <c r="BP475" s="493" t="n"/>
      <c r="BQ475" s="493" t="n"/>
      <c r="BR475" s="493" t="n"/>
      <c r="BS475" s="493" t="n"/>
      <c r="BT475" s="493" t="n"/>
      <c r="BU475" s="493" t="n"/>
      <c r="BV475" s="493" t="n"/>
      <c r="BW475" s="493" t="n"/>
      <c r="BX475" s="493" t="n"/>
      <c r="BY475" s="493" t="n"/>
      <c r="BZ475" s="493" t="n"/>
      <c r="CA475" s="493" t="n"/>
      <c r="CB475" s="493" t="n"/>
      <c r="CC475" s="493" t="n"/>
      <c r="CD475" s="493" t="n"/>
      <c r="CE475" s="493" t="n"/>
      <c r="CF475" s="493" t="n"/>
      <c r="CG475" s="493" t="n"/>
      <c r="CH475" s="493" t="n"/>
      <c r="CI475" s="493" t="n"/>
      <c r="CJ475" s="493" t="n"/>
      <c r="CK475" s="493" t="n"/>
      <c r="CL475" s="493" t="n"/>
    </row>
    <row r="476" customFormat="1" s="230">
      <c r="E476" s="234" t="n"/>
      <c r="F476" s="492" t="n"/>
      <c r="G476" s="492" t="n"/>
      <c r="H476" s="493" t="n"/>
      <c r="I476" s="492" t="n"/>
      <c r="J476" s="492" t="n"/>
      <c r="K476" s="492" t="n"/>
      <c r="L476" s="492" t="n"/>
      <c r="M476" s="493" t="n"/>
      <c r="N476" s="492" t="n"/>
      <c r="O476" s="492" t="n"/>
      <c r="P476" s="492" t="n"/>
      <c r="Q476" s="492" t="n"/>
      <c r="R476" s="492" t="n"/>
      <c r="S476" s="492" t="n"/>
      <c r="T476" s="492" t="n"/>
      <c r="U476" s="492" t="n"/>
      <c r="V476" s="492" t="n"/>
      <c r="W476" s="492" t="n"/>
      <c r="X476" s="492" t="n"/>
      <c r="Y476" s="492" t="n"/>
      <c r="Z476" s="492" t="n"/>
      <c r="AA476" s="492" t="n"/>
      <c r="AB476" s="492" t="n"/>
      <c r="AC476" s="492" t="n"/>
      <c r="AD476" s="492" t="n"/>
      <c r="AE476" s="493" t="n"/>
      <c r="AF476" s="492" t="n"/>
      <c r="AG476" s="492" t="n"/>
      <c r="AH476" s="492" t="n"/>
      <c r="AI476" s="492" t="n"/>
      <c r="AJ476" s="493" t="n"/>
      <c r="AK476" s="492" t="n"/>
      <c r="AL476" s="492" t="n"/>
      <c r="AM476" s="492" t="n"/>
      <c r="AN476" s="492" t="n"/>
      <c r="AO476" s="492" t="n"/>
      <c r="AP476" s="492" t="n"/>
      <c r="AQ476" s="492" t="n"/>
      <c r="AR476" s="492" t="n"/>
      <c r="AS476" s="492" t="n"/>
      <c r="AT476" s="492" t="n"/>
      <c r="AU476" s="493" t="n"/>
      <c r="AV476" s="492" t="n"/>
      <c r="AW476" s="492" t="n"/>
      <c r="AX476" s="492" t="n"/>
      <c r="AY476" s="492" t="n"/>
      <c r="AZ476" s="492" t="n"/>
      <c r="BA476" s="493" t="n"/>
      <c r="BB476" s="492" t="n"/>
      <c r="BC476" s="492" t="n"/>
      <c r="BD476" s="492" t="n"/>
      <c r="BE476" s="492" t="n"/>
      <c r="BF476" s="493" t="n"/>
      <c r="BG476" s="493" t="n"/>
      <c r="BH476" s="495" t="n"/>
      <c r="BI476" s="496" t="n"/>
      <c r="BJ476" s="496" t="n"/>
      <c r="BK476" s="496" t="n"/>
      <c r="BM476" s="493" t="n"/>
      <c r="BN476" s="493" t="n"/>
      <c r="BO476" s="493" t="n"/>
      <c r="BP476" s="493" t="n"/>
      <c r="BQ476" s="493" t="n"/>
      <c r="BR476" s="493" t="n"/>
      <c r="BS476" s="493" t="n"/>
      <c r="BT476" s="493" t="n"/>
      <c r="BU476" s="493" t="n"/>
      <c r="BV476" s="493" t="n"/>
      <c r="BW476" s="493" t="n"/>
      <c r="BX476" s="493" t="n"/>
      <c r="BY476" s="493" t="n"/>
      <c r="BZ476" s="493" t="n"/>
      <c r="CA476" s="493" t="n"/>
      <c r="CB476" s="493" t="n"/>
      <c r="CC476" s="493" t="n"/>
      <c r="CD476" s="493" t="n"/>
      <c r="CE476" s="493" t="n"/>
      <c r="CF476" s="493" t="n"/>
      <c r="CG476" s="493" t="n"/>
      <c r="CH476" s="493" t="n"/>
      <c r="CI476" s="493" t="n"/>
      <c r="CJ476" s="493" t="n"/>
      <c r="CK476" s="493" t="n"/>
      <c r="CL476" s="493" t="n"/>
    </row>
    <row r="477" customFormat="1" s="230">
      <c r="E477" s="234" t="n"/>
      <c r="F477" s="492" t="n"/>
      <c r="G477" s="492" t="n"/>
      <c r="H477" s="493" t="n"/>
      <c r="I477" s="492" t="n"/>
      <c r="J477" s="492" t="n"/>
      <c r="K477" s="492" t="n"/>
      <c r="L477" s="492" t="n"/>
      <c r="M477" s="493" t="n"/>
      <c r="N477" s="492" t="n"/>
      <c r="O477" s="492" t="n"/>
      <c r="P477" s="492" t="n"/>
      <c r="Q477" s="492" t="n"/>
      <c r="R477" s="492" t="n"/>
      <c r="S477" s="492" t="n"/>
      <c r="T477" s="492" t="n"/>
      <c r="U477" s="492" t="n"/>
      <c r="V477" s="492" t="n"/>
      <c r="W477" s="492" t="n"/>
      <c r="X477" s="492" t="n"/>
      <c r="Y477" s="492" t="n"/>
      <c r="Z477" s="492" t="n"/>
      <c r="AA477" s="492" t="n"/>
      <c r="AB477" s="492" t="n"/>
      <c r="AC477" s="492" t="n"/>
      <c r="AD477" s="492" t="n"/>
      <c r="AE477" s="493" t="n"/>
      <c r="AF477" s="492" t="n"/>
      <c r="AG477" s="492" t="n"/>
      <c r="AH477" s="492" t="n"/>
      <c r="AI477" s="492" t="n"/>
      <c r="AJ477" s="493" t="n"/>
      <c r="AK477" s="492" t="n"/>
      <c r="AL477" s="492" t="n"/>
      <c r="AM477" s="492" t="n"/>
      <c r="AN477" s="492" t="n"/>
      <c r="AO477" s="492" t="n"/>
      <c r="AP477" s="492" t="n"/>
      <c r="AQ477" s="492" t="n"/>
      <c r="AR477" s="492" t="n"/>
      <c r="AS477" s="492" t="n"/>
      <c r="AT477" s="492" t="n"/>
      <c r="AU477" s="493" t="n"/>
      <c r="AV477" s="492" t="n"/>
      <c r="AW477" s="492" t="n"/>
      <c r="AX477" s="492" t="n"/>
      <c r="AY477" s="492" t="n"/>
      <c r="AZ477" s="492" t="n"/>
      <c r="BA477" s="493" t="n"/>
      <c r="BB477" s="492" t="n"/>
      <c r="BC477" s="492" t="n"/>
      <c r="BD477" s="492" t="n"/>
      <c r="BE477" s="492" t="n"/>
      <c r="BF477" s="493" t="n"/>
      <c r="BG477" s="493" t="n"/>
      <c r="BH477" s="495" t="n"/>
      <c r="BI477" s="496" t="n"/>
      <c r="BJ477" s="496" t="n"/>
      <c r="BK477" s="496" t="n"/>
      <c r="BM477" s="493" t="n"/>
      <c r="BN477" s="493" t="n"/>
      <c r="BO477" s="493" t="n"/>
      <c r="BP477" s="493" t="n"/>
      <c r="BQ477" s="493" t="n"/>
      <c r="BR477" s="493" t="n"/>
      <c r="BS477" s="493" t="n"/>
      <c r="BT477" s="493" t="n"/>
      <c r="BU477" s="493" t="n"/>
      <c r="BV477" s="493" t="n"/>
      <c r="BW477" s="493" t="n"/>
      <c r="BX477" s="493" t="n"/>
      <c r="BY477" s="493" t="n"/>
      <c r="BZ477" s="493" t="n"/>
      <c r="CA477" s="493" t="n"/>
      <c r="CB477" s="493" t="n"/>
      <c r="CC477" s="493" t="n"/>
      <c r="CD477" s="493" t="n"/>
      <c r="CE477" s="493" t="n"/>
      <c r="CF477" s="493" t="n"/>
      <c r="CG477" s="493" t="n"/>
      <c r="CH477" s="493" t="n"/>
      <c r="CI477" s="493" t="n"/>
      <c r="CJ477" s="493" t="n"/>
      <c r="CK477" s="493" t="n"/>
      <c r="CL477" s="493" t="n"/>
    </row>
    <row r="478" customFormat="1" s="230">
      <c r="E478" s="234" t="n"/>
      <c r="F478" s="492" t="n"/>
      <c r="G478" s="492" t="n"/>
      <c r="H478" s="493" t="n"/>
      <c r="I478" s="492" t="n"/>
      <c r="J478" s="492" t="n"/>
      <c r="K478" s="492" t="n"/>
      <c r="L478" s="492" t="n"/>
      <c r="M478" s="493" t="n"/>
      <c r="N478" s="492" t="n"/>
      <c r="O478" s="492" t="n"/>
      <c r="P478" s="492" t="n"/>
      <c r="Q478" s="492" t="n"/>
      <c r="R478" s="492" t="n"/>
      <c r="S478" s="492" t="n"/>
      <c r="T478" s="492" t="n"/>
      <c r="U478" s="492" t="n"/>
      <c r="V478" s="492" t="n"/>
      <c r="W478" s="492" t="n"/>
      <c r="X478" s="492" t="n"/>
      <c r="Y478" s="492" t="n"/>
      <c r="Z478" s="492" t="n"/>
      <c r="AA478" s="492" t="n"/>
      <c r="AB478" s="492" t="n"/>
      <c r="AC478" s="492" t="n"/>
      <c r="AD478" s="492" t="n"/>
      <c r="AE478" s="493" t="n"/>
      <c r="AF478" s="492" t="n"/>
      <c r="AG478" s="492" t="n"/>
      <c r="AH478" s="492" t="n"/>
      <c r="AI478" s="492" t="n"/>
      <c r="AJ478" s="493" t="n"/>
      <c r="AK478" s="492" t="n"/>
      <c r="AL478" s="492" t="n"/>
      <c r="AM478" s="492" t="n"/>
      <c r="AN478" s="492" t="n"/>
      <c r="AO478" s="492" t="n"/>
      <c r="AP478" s="492" t="n"/>
      <c r="AQ478" s="492" t="n"/>
      <c r="AR478" s="492" t="n"/>
      <c r="AS478" s="492" t="n"/>
      <c r="AT478" s="492" t="n"/>
      <c r="AU478" s="493" t="n"/>
      <c r="AV478" s="492" t="n"/>
      <c r="AW478" s="492" t="n"/>
      <c r="AX478" s="492" t="n"/>
      <c r="AY478" s="492" t="n"/>
      <c r="AZ478" s="492" t="n"/>
      <c r="BA478" s="493" t="n"/>
      <c r="BB478" s="492" t="n"/>
      <c r="BC478" s="492" t="n"/>
      <c r="BD478" s="492" t="n"/>
      <c r="BE478" s="492" t="n"/>
      <c r="BF478" s="493" t="n"/>
      <c r="BG478" s="493" t="n"/>
      <c r="BH478" s="495" t="n"/>
      <c r="BI478" s="496" t="n"/>
      <c r="BJ478" s="496" t="n"/>
      <c r="BK478" s="496" t="n"/>
      <c r="BM478" s="493" t="n"/>
      <c r="BN478" s="493" t="n"/>
      <c r="BO478" s="493" t="n"/>
      <c r="BP478" s="493" t="n"/>
      <c r="BQ478" s="493" t="n"/>
      <c r="BR478" s="493" t="n"/>
      <c r="BS478" s="493" t="n"/>
      <c r="BT478" s="493" t="n"/>
      <c r="BU478" s="493" t="n"/>
      <c r="BV478" s="493" t="n"/>
      <c r="BW478" s="493" t="n"/>
      <c r="BX478" s="493" t="n"/>
      <c r="BY478" s="493" t="n"/>
      <c r="BZ478" s="493" t="n"/>
      <c r="CA478" s="493" t="n"/>
      <c r="CB478" s="493" t="n"/>
      <c r="CC478" s="493" t="n"/>
      <c r="CD478" s="493" t="n"/>
      <c r="CE478" s="493" t="n"/>
      <c r="CF478" s="493" t="n"/>
      <c r="CG478" s="493" t="n"/>
      <c r="CH478" s="493" t="n"/>
      <c r="CI478" s="493" t="n"/>
      <c r="CJ478" s="493" t="n"/>
      <c r="CK478" s="493" t="n"/>
      <c r="CL478" s="493" t="n"/>
    </row>
    <row r="479" customFormat="1" s="230">
      <c r="E479" s="234" t="n"/>
      <c r="F479" s="492" t="n"/>
      <c r="G479" s="492" t="n"/>
      <c r="H479" s="493" t="n"/>
      <c r="I479" s="492" t="n"/>
      <c r="J479" s="492" t="n"/>
      <c r="K479" s="492" t="n"/>
      <c r="L479" s="492" t="n"/>
      <c r="M479" s="493" t="n"/>
      <c r="N479" s="492" t="n"/>
      <c r="O479" s="492" t="n"/>
      <c r="P479" s="492" t="n"/>
      <c r="Q479" s="492" t="n"/>
      <c r="R479" s="492" t="n"/>
      <c r="S479" s="492" t="n"/>
      <c r="T479" s="492" t="n"/>
      <c r="U479" s="492" t="n"/>
      <c r="V479" s="492" t="n"/>
      <c r="W479" s="492" t="n"/>
      <c r="X479" s="492" t="n"/>
      <c r="Y479" s="492" t="n"/>
      <c r="Z479" s="492" t="n"/>
      <c r="AA479" s="492" t="n"/>
      <c r="AB479" s="492" t="n"/>
      <c r="AC479" s="492" t="n"/>
      <c r="AD479" s="492" t="n"/>
      <c r="AE479" s="493" t="n"/>
      <c r="AF479" s="492" t="n"/>
      <c r="AG479" s="492" t="n"/>
      <c r="AH479" s="492" t="n"/>
      <c r="AI479" s="492" t="n"/>
      <c r="AJ479" s="493" t="n"/>
      <c r="AK479" s="492" t="n"/>
      <c r="AL479" s="492" t="n"/>
      <c r="AM479" s="492" t="n"/>
      <c r="AN479" s="492" t="n"/>
      <c r="AO479" s="492" t="n"/>
      <c r="AP479" s="492" t="n"/>
      <c r="AQ479" s="492" t="n"/>
      <c r="AR479" s="492" t="n"/>
      <c r="AS479" s="492" t="n"/>
      <c r="AT479" s="492" t="n"/>
      <c r="AU479" s="493" t="n"/>
      <c r="AV479" s="492" t="n"/>
      <c r="AW479" s="492" t="n"/>
      <c r="AX479" s="492" t="n"/>
      <c r="AY479" s="492" t="n"/>
      <c r="AZ479" s="492" t="n"/>
      <c r="BA479" s="493" t="n"/>
      <c r="BB479" s="492" t="n"/>
      <c r="BC479" s="492" t="n"/>
      <c r="BD479" s="492" t="n"/>
      <c r="BE479" s="492" t="n"/>
      <c r="BF479" s="493" t="n"/>
      <c r="BG479" s="493" t="n"/>
      <c r="BH479" s="495" t="n"/>
      <c r="BI479" s="496" t="n"/>
      <c r="BJ479" s="496" t="n"/>
      <c r="BK479" s="496" t="n"/>
      <c r="BM479" s="493" t="n"/>
      <c r="BN479" s="493" t="n"/>
      <c r="BO479" s="493" t="n"/>
      <c r="BP479" s="493" t="n"/>
      <c r="BQ479" s="493" t="n"/>
      <c r="BR479" s="493" t="n"/>
      <c r="BS479" s="493" t="n"/>
      <c r="BT479" s="493" t="n"/>
      <c r="BU479" s="493" t="n"/>
      <c r="BV479" s="493" t="n"/>
      <c r="BW479" s="493" t="n"/>
      <c r="BX479" s="493" t="n"/>
      <c r="BY479" s="493" t="n"/>
      <c r="BZ479" s="493" t="n"/>
      <c r="CA479" s="493" t="n"/>
      <c r="CB479" s="493" t="n"/>
      <c r="CC479" s="493" t="n"/>
      <c r="CD479" s="493" t="n"/>
      <c r="CE479" s="493" t="n"/>
      <c r="CF479" s="493" t="n"/>
      <c r="CG479" s="493" t="n"/>
      <c r="CH479" s="493" t="n"/>
      <c r="CI479" s="493" t="n"/>
      <c r="CJ479" s="493" t="n"/>
      <c r="CK479" s="493" t="n"/>
      <c r="CL479" s="493" t="n"/>
    </row>
    <row r="480" customFormat="1" s="230">
      <c r="E480" s="234" t="n"/>
      <c r="F480" s="492" t="n"/>
      <c r="G480" s="492" t="n"/>
      <c r="H480" s="493" t="n"/>
      <c r="I480" s="492" t="n"/>
      <c r="J480" s="492" t="n"/>
      <c r="K480" s="492" t="n"/>
      <c r="L480" s="492" t="n"/>
      <c r="M480" s="493" t="n"/>
      <c r="N480" s="492" t="n"/>
      <c r="O480" s="492" t="n"/>
      <c r="P480" s="492" t="n"/>
      <c r="Q480" s="492" t="n"/>
      <c r="R480" s="492" t="n"/>
      <c r="S480" s="492" t="n"/>
      <c r="T480" s="492" t="n"/>
      <c r="U480" s="492" t="n"/>
      <c r="V480" s="492" t="n"/>
      <c r="W480" s="492" t="n"/>
      <c r="X480" s="492" t="n"/>
      <c r="Y480" s="492" t="n"/>
      <c r="Z480" s="492" t="n"/>
      <c r="AA480" s="492" t="n"/>
      <c r="AB480" s="492" t="n"/>
      <c r="AC480" s="492" t="n"/>
      <c r="AD480" s="492" t="n"/>
      <c r="AE480" s="493" t="n"/>
      <c r="AF480" s="492" t="n"/>
      <c r="AG480" s="492" t="n"/>
      <c r="AH480" s="492" t="n"/>
      <c r="AI480" s="492" t="n"/>
      <c r="AJ480" s="493" t="n"/>
      <c r="AK480" s="492" t="n"/>
      <c r="AL480" s="492" t="n"/>
      <c r="AM480" s="492" t="n"/>
      <c r="AN480" s="492" t="n"/>
      <c r="AO480" s="492" t="n"/>
      <c r="AP480" s="492" t="n"/>
      <c r="AQ480" s="492" t="n"/>
      <c r="AR480" s="492" t="n"/>
      <c r="AS480" s="492" t="n"/>
      <c r="AT480" s="492" t="n"/>
      <c r="AU480" s="493" t="n"/>
      <c r="AV480" s="492" t="n"/>
      <c r="AW480" s="492" t="n"/>
      <c r="AX480" s="492" t="n"/>
      <c r="AY480" s="492" t="n"/>
      <c r="AZ480" s="492" t="n"/>
      <c r="BA480" s="493" t="n"/>
      <c r="BB480" s="492" t="n"/>
      <c r="BC480" s="492" t="n"/>
      <c r="BD480" s="492" t="n"/>
      <c r="BE480" s="492" t="n"/>
      <c r="BF480" s="493" t="n"/>
      <c r="BG480" s="493" t="n"/>
      <c r="BH480" s="495" t="n"/>
      <c r="BI480" s="496" t="n"/>
      <c r="BJ480" s="496" t="n"/>
      <c r="BK480" s="496" t="n"/>
      <c r="BM480" s="493" t="n"/>
      <c r="BN480" s="493" t="n"/>
      <c r="BO480" s="493" t="n"/>
      <c r="BP480" s="493" t="n"/>
      <c r="BQ480" s="493" t="n"/>
      <c r="BR480" s="493" t="n"/>
      <c r="BS480" s="493" t="n"/>
      <c r="BT480" s="493" t="n"/>
      <c r="BU480" s="493" t="n"/>
      <c r="BV480" s="493" t="n"/>
      <c r="BW480" s="493" t="n"/>
      <c r="BX480" s="493" t="n"/>
      <c r="BY480" s="493" t="n"/>
      <c r="BZ480" s="493" t="n"/>
      <c r="CA480" s="493" t="n"/>
      <c r="CB480" s="493" t="n"/>
      <c r="CC480" s="493" t="n"/>
      <c r="CD480" s="493" t="n"/>
      <c r="CE480" s="493" t="n"/>
      <c r="CF480" s="493" t="n"/>
      <c r="CG480" s="493" t="n"/>
      <c r="CH480" s="493" t="n"/>
      <c r="CI480" s="493" t="n"/>
      <c r="CJ480" s="493" t="n"/>
      <c r="CK480" s="493" t="n"/>
      <c r="CL480" s="493" t="n"/>
    </row>
    <row r="481" customFormat="1" s="230">
      <c r="E481" s="234" t="n"/>
      <c r="F481" s="492" t="n"/>
      <c r="G481" s="492" t="n"/>
      <c r="H481" s="493" t="n"/>
      <c r="I481" s="492" t="n"/>
      <c r="J481" s="492" t="n"/>
      <c r="K481" s="492" t="n"/>
      <c r="L481" s="492" t="n"/>
      <c r="M481" s="493" t="n"/>
      <c r="N481" s="492" t="n"/>
      <c r="O481" s="492" t="n"/>
      <c r="P481" s="492" t="n"/>
      <c r="Q481" s="492" t="n"/>
      <c r="R481" s="492" t="n"/>
      <c r="S481" s="492" t="n"/>
      <c r="T481" s="492" t="n"/>
      <c r="U481" s="492" t="n"/>
      <c r="V481" s="492" t="n"/>
      <c r="W481" s="492" t="n"/>
      <c r="X481" s="492" t="n"/>
      <c r="Y481" s="492" t="n"/>
      <c r="Z481" s="492" t="n"/>
      <c r="AA481" s="492" t="n"/>
      <c r="AB481" s="492" t="n"/>
      <c r="AC481" s="492" t="n"/>
      <c r="AD481" s="492" t="n"/>
      <c r="AE481" s="493" t="n"/>
      <c r="AF481" s="492" t="n"/>
      <c r="AG481" s="492" t="n"/>
      <c r="AH481" s="492" t="n"/>
      <c r="AI481" s="492" t="n"/>
      <c r="AJ481" s="493" t="n"/>
      <c r="AK481" s="492" t="n"/>
      <c r="AL481" s="492" t="n"/>
      <c r="AM481" s="492" t="n"/>
      <c r="AN481" s="492" t="n"/>
      <c r="AO481" s="492" t="n"/>
      <c r="AP481" s="492" t="n"/>
      <c r="AQ481" s="492" t="n"/>
      <c r="AR481" s="492" t="n"/>
      <c r="AS481" s="492" t="n"/>
      <c r="AT481" s="492" t="n"/>
      <c r="AU481" s="493" t="n"/>
      <c r="AV481" s="492" t="n"/>
      <c r="AW481" s="492" t="n"/>
      <c r="AX481" s="492" t="n"/>
      <c r="AY481" s="492" t="n"/>
      <c r="AZ481" s="492" t="n"/>
      <c r="BA481" s="493" t="n"/>
      <c r="BB481" s="492" t="n"/>
      <c r="BC481" s="492" t="n"/>
      <c r="BD481" s="492" t="n"/>
      <c r="BE481" s="492" t="n"/>
      <c r="BF481" s="493" t="n"/>
      <c r="BG481" s="493" t="n"/>
      <c r="BH481" s="495" t="n"/>
      <c r="BI481" s="496" t="n"/>
      <c r="BJ481" s="496" t="n"/>
      <c r="BK481" s="496" t="n"/>
      <c r="BM481" s="493" t="n"/>
      <c r="BN481" s="493" t="n"/>
      <c r="BO481" s="493" t="n"/>
      <c r="BP481" s="493" t="n"/>
      <c r="BQ481" s="493" t="n"/>
      <c r="BR481" s="493" t="n"/>
      <c r="BS481" s="493" t="n"/>
      <c r="BT481" s="493" t="n"/>
      <c r="BU481" s="493" t="n"/>
      <c r="BV481" s="493" t="n"/>
      <c r="BW481" s="493" t="n"/>
      <c r="BX481" s="493" t="n"/>
      <c r="BY481" s="493" t="n"/>
      <c r="BZ481" s="493" t="n"/>
      <c r="CA481" s="493" t="n"/>
      <c r="CB481" s="493" t="n"/>
      <c r="CC481" s="493" t="n"/>
      <c r="CD481" s="493" t="n"/>
      <c r="CE481" s="493" t="n"/>
      <c r="CF481" s="493" t="n"/>
      <c r="CG481" s="493" t="n"/>
      <c r="CH481" s="493" t="n"/>
      <c r="CI481" s="493" t="n"/>
      <c r="CJ481" s="493" t="n"/>
      <c r="CK481" s="493" t="n"/>
      <c r="CL481" s="493" t="n"/>
    </row>
    <row r="482" customFormat="1" s="230">
      <c r="E482" s="234" t="n"/>
      <c r="F482" s="492" t="n"/>
      <c r="G482" s="492" t="n"/>
      <c r="H482" s="493" t="n"/>
      <c r="I482" s="492" t="n"/>
      <c r="J482" s="492" t="n"/>
      <c r="K482" s="492" t="n"/>
      <c r="L482" s="492" t="n"/>
      <c r="M482" s="493" t="n"/>
      <c r="N482" s="492" t="n"/>
      <c r="O482" s="492" t="n"/>
      <c r="P482" s="492" t="n"/>
      <c r="Q482" s="492" t="n"/>
      <c r="R482" s="492" t="n"/>
      <c r="S482" s="492" t="n"/>
      <c r="T482" s="492" t="n"/>
      <c r="U482" s="492" t="n"/>
      <c r="V482" s="492" t="n"/>
      <c r="W482" s="492" t="n"/>
      <c r="X482" s="492" t="n"/>
      <c r="Y482" s="492" t="n"/>
      <c r="Z482" s="492" t="n"/>
      <c r="AA482" s="492" t="n"/>
      <c r="AB482" s="492" t="n"/>
      <c r="AC482" s="492" t="n"/>
      <c r="AD482" s="492" t="n"/>
      <c r="AE482" s="493" t="n"/>
      <c r="AF482" s="492" t="n"/>
      <c r="AG482" s="492" t="n"/>
      <c r="AH482" s="492" t="n"/>
      <c r="AI482" s="492" t="n"/>
      <c r="AJ482" s="493" t="n"/>
      <c r="AK482" s="492" t="n"/>
      <c r="AL482" s="492" t="n"/>
      <c r="AM482" s="492" t="n"/>
      <c r="AN482" s="492" t="n"/>
      <c r="AO482" s="492" t="n"/>
      <c r="AP482" s="492" t="n"/>
      <c r="AQ482" s="492" t="n"/>
      <c r="AR482" s="492" t="n"/>
      <c r="AS482" s="492" t="n"/>
      <c r="AT482" s="492" t="n"/>
      <c r="AU482" s="493" t="n"/>
      <c r="AV482" s="492" t="n"/>
      <c r="AW482" s="492" t="n"/>
      <c r="AX482" s="492" t="n"/>
      <c r="AY482" s="492" t="n"/>
      <c r="AZ482" s="492" t="n"/>
      <c r="BA482" s="493" t="n"/>
      <c r="BB482" s="492" t="n"/>
      <c r="BC482" s="492" t="n"/>
      <c r="BD482" s="492" t="n"/>
      <c r="BE482" s="492" t="n"/>
      <c r="BF482" s="493" t="n"/>
      <c r="BG482" s="493" t="n"/>
      <c r="BH482" s="495" t="n"/>
      <c r="BI482" s="496" t="n"/>
      <c r="BJ482" s="496" t="n"/>
      <c r="BK482" s="496" t="n"/>
      <c r="BM482" s="493" t="n"/>
      <c r="BN482" s="493" t="n"/>
      <c r="BO482" s="493" t="n"/>
      <c r="BP482" s="493" t="n"/>
      <c r="BQ482" s="493" t="n"/>
      <c r="BR482" s="493" t="n"/>
      <c r="BS482" s="493" t="n"/>
      <c r="BT482" s="493" t="n"/>
      <c r="BU482" s="493" t="n"/>
      <c r="BV482" s="493" t="n"/>
      <c r="BW482" s="493" t="n"/>
      <c r="BX482" s="493" t="n"/>
      <c r="BY482" s="493" t="n"/>
      <c r="BZ482" s="493" t="n"/>
      <c r="CA482" s="493" t="n"/>
      <c r="CB482" s="493" t="n"/>
      <c r="CC482" s="493" t="n"/>
      <c r="CD482" s="493" t="n"/>
      <c r="CE482" s="493" t="n"/>
      <c r="CF482" s="493" t="n"/>
      <c r="CG482" s="493" t="n"/>
      <c r="CH482" s="493" t="n"/>
      <c r="CI482" s="493" t="n"/>
      <c r="CJ482" s="493" t="n"/>
      <c r="CK482" s="493" t="n"/>
      <c r="CL482" s="493" t="n"/>
    </row>
    <row r="483" customFormat="1" s="230">
      <c r="E483" s="234" t="n"/>
      <c r="F483" s="492" t="n"/>
      <c r="G483" s="492" t="n"/>
      <c r="H483" s="493" t="n"/>
      <c r="I483" s="492" t="n"/>
      <c r="J483" s="492" t="n"/>
      <c r="K483" s="492" t="n"/>
      <c r="L483" s="492" t="n"/>
      <c r="M483" s="493" t="n"/>
      <c r="N483" s="492" t="n"/>
      <c r="O483" s="492" t="n"/>
      <c r="P483" s="492" t="n"/>
      <c r="Q483" s="492" t="n"/>
      <c r="R483" s="492" t="n"/>
      <c r="S483" s="492" t="n"/>
      <c r="T483" s="492" t="n"/>
      <c r="U483" s="492" t="n"/>
      <c r="V483" s="492" t="n"/>
      <c r="W483" s="492" t="n"/>
      <c r="X483" s="492" t="n"/>
      <c r="Y483" s="492" t="n"/>
      <c r="Z483" s="492" t="n"/>
      <c r="AA483" s="492" t="n"/>
      <c r="AB483" s="492" t="n"/>
      <c r="AC483" s="492" t="n"/>
      <c r="AD483" s="492" t="n"/>
      <c r="AE483" s="493" t="n"/>
      <c r="AF483" s="492" t="n"/>
      <c r="AG483" s="492" t="n"/>
      <c r="AH483" s="492" t="n"/>
      <c r="AI483" s="492" t="n"/>
      <c r="AJ483" s="493" t="n"/>
      <c r="AK483" s="492" t="n"/>
      <c r="AL483" s="492" t="n"/>
      <c r="AM483" s="492" t="n"/>
      <c r="AN483" s="492" t="n"/>
      <c r="AO483" s="492" t="n"/>
      <c r="AP483" s="492" t="n"/>
      <c r="AQ483" s="492" t="n"/>
      <c r="AR483" s="492" t="n"/>
      <c r="AS483" s="492" t="n"/>
      <c r="AT483" s="492" t="n"/>
      <c r="AU483" s="493" t="n"/>
      <c r="AV483" s="492" t="n"/>
      <c r="AW483" s="492" t="n"/>
      <c r="AX483" s="492" t="n"/>
      <c r="AY483" s="492" t="n"/>
      <c r="AZ483" s="492" t="n"/>
      <c r="BA483" s="493" t="n"/>
      <c r="BB483" s="492" t="n"/>
      <c r="BC483" s="492" t="n"/>
      <c r="BD483" s="492" t="n"/>
      <c r="BE483" s="492" t="n"/>
      <c r="BF483" s="493" t="n"/>
      <c r="BG483" s="493" t="n"/>
      <c r="BH483" s="495" t="n"/>
      <c r="BI483" s="496" t="n"/>
      <c r="BJ483" s="496" t="n"/>
      <c r="BK483" s="496" t="n"/>
      <c r="BM483" s="493" t="n"/>
      <c r="BN483" s="493" t="n"/>
      <c r="BO483" s="493" t="n"/>
      <c r="BP483" s="493" t="n"/>
      <c r="BQ483" s="493" t="n"/>
      <c r="BR483" s="493" t="n"/>
      <c r="BS483" s="493" t="n"/>
      <c r="BT483" s="493" t="n"/>
      <c r="BU483" s="493" t="n"/>
      <c r="BV483" s="493" t="n"/>
      <c r="BW483" s="493" t="n"/>
      <c r="BX483" s="493" t="n"/>
      <c r="BY483" s="493" t="n"/>
      <c r="BZ483" s="493" t="n"/>
      <c r="CA483" s="493" t="n"/>
      <c r="CB483" s="493" t="n"/>
      <c r="CC483" s="493" t="n"/>
      <c r="CD483" s="493" t="n"/>
      <c r="CE483" s="493" t="n"/>
      <c r="CF483" s="493" t="n"/>
      <c r="CG483" s="493" t="n"/>
      <c r="CH483" s="493" t="n"/>
      <c r="CI483" s="493" t="n"/>
      <c r="CJ483" s="493" t="n"/>
      <c r="CK483" s="493" t="n"/>
      <c r="CL483" s="493" t="n"/>
    </row>
    <row r="484" customFormat="1" s="230">
      <c r="E484" s="234" t="n"/>
      <c r="F484" s="492" t="n"/>
      <c r="G484" s="492" t="n"/>
      <c r="H484" s="493" t="n"/>
      <c r="I484" s="492" t="n"/>
      <c r="J484" s="492" t="n"/>
      <c r="K484" s="492" t="n"/>
      <c r="L484" s="492" t="n"/>
      <c r="M484" s="493" t="n"/>
      <c r="N484" s="492" t="n"/>
      <c r="O484" s="492" t="n"/>
      <c r="P484" s="492" t="n"/>
      <c r="Q484" s="492" t="n"/>
      <c r="R484" s="492" t="n"/>
      <c r="S484" s="492" t="n"/>
      <c r="T484" s="492" t="n"/>
      <c r="U484" s="492" t="n"/>
      <c r="V484" s="492" t="n"/>
      <c r="W484" s="492" t="n"/>
      <c r="X484" s="492" t="n"/>
      <c r="Y484" s="492" t="n"/>
      <c r="Z484" s="492" t="n"/>
      <c r="AA484" s="492" t="n"/>
      <c r="AB484" s="492" t="n"/>
      <c r="AC484" s="492" t="n"/>
      <c r="AD484" s="492" t="n"/>
      <c r="AE484" s="493" t="n"/>
      <c r="AF484" s="492" t="n"/>
      <c r="AG484" s="492" t="n"/>
      <c r="AH484" s="492" t="n"/>
      <c r="AI484" s="492" t="n"/>
      <c r="AJ484" s="493" t="n"/>
      <c r="AK484" s="492" t="n"/>
      <c r="AL484" s="492" t="n"/>
      <c r="AM484" s="492" t="n"/>
      <c r="AN484" s="492" t="n"/>
      <c r="AO484" s="492" t="n"/>
      <c r="AP484" s="492" t="n"/>
      <c r="AQ484" s="492" t="n"/>
      <c r="AR484" s="492" t="n"/>
      <c r="AS484" s="492" t="n"/>
      <c r="AT484" s="492" t="n"/>
      <c r="AU484" s="493" t="n"/>
      <c r="AV484" s="492" t="n"/>
      <c r="AW484" s="492" t="n"/>
      <c r="AX484" s="492" t="n"/>
      <c r="AY484" s="492" t="n"/>
      <c r="AZ484" s="492" t="n"/>
      <c r="BA484" s="493" t="n"/>
      <c r="BB484" s="492" t="n"/>
      <c r="BC484" s="492" t="n"/>
      <c r="BD484" s="492" t="n"/>
      <c r="BE484" s="492" t="n"/>
      <c r="BF484" s="493" t="n"/>
      <c r="BG484" s="493" t="n"/>
      <c r="BH484" s="495" t="n"/>
      <c r="BI484" s="496" t="n"/>
      <c r="BJ484" s="496" t="n"/>
      <c r="BK484" s="496" t="n"/>
      <c r="BM484" s="493" t="n"/>
      <c r="BN484" s="493" t="n"/>
      <c r="BO484" s="493" t="n"/>
      <c r="BP484" s="493" t="n"/>
      <c r="BQ484" s="493" t="n"/>
      <c r="BR484" s="493" t="n"/>
      <c r="BS484" s="493" t="n"/>
      <c r="BT484" s="493" t="n"/>
      <c r="BU484" s="493" t="n"/>
      <c r="BV484" s="493" t="n"/>
      <c r="BW484" s="493" t="n"/>
      <c r="BX484" s="493" t="n"/>
      <c r="BY484" s="493" t="n"/>
      <c r="BZ484" s="493" t="n"/>
      <c r="CA484" s="493" t="n"/>
      <c r="CB484" s="493" t="n"/>
      <c r="CC484" s="493" t="n"/>
      <c r="CD484" s="493" t="n"/>
      <c r="CE484" s="493" t="n"/>
      <c r="CF484" s="493" t="n"/>
      <c r="CG484" s="493" t="n"/>
      <c r="CH484" s="493" t="n"/>
      <c r="CI484" s="493" t="n"/>
      <c r="CJ484" s="493" t="n"/>
      <c r="CK484" s="493" t="n"/>
      <c r="CL484" s="493" t="n"/>
    </row>
    <row r="485" customFormat="1" s="230">
      <c r="E485" s="234" t="n"/>
      <c r="F485" s="492" t="n"/>
      <c r="G485" s="492" t="n"/>
      <c r="H485" s="493" t="n"/>
      <c r="I485" s="492" t="n"/>
      <c r="J485" s="492" t="n"/>
      <c r="K485" s="492" t="n"/>
      <c r="L485" s="492" t="n"/>
      <c r="M485" s="493" t="n"/>
      <c r="N485" s="492" t="n"/>
      <c r="O485" s="492" t="n"/>
      <c r="P485" s="492" t="n"/>
      <c r="Q485" s="492" t="n"/>
      <c r="R485" s="492" t="n"/>
      <c r="S485" s="492" t="n"/>
      <c r="T485" s="492" t="n"/>
      <c r="U485" s="492" t="n"/>
      <c r="V485" s="492" t="n"/>
      <c r="W485" s="492" t="n"/>
      <c r="X485" s="492" t="n"/>
      <c r="Y485" s="492" t="n"/>
      <c r="Z485" s="492" t="n"/>
      <c r="AA485" s="492" t="n"/>
      <c r="AB485" s="492" t="n"/>
      <c r="AC485" s="492" t="n"/>
      <c r="AD485" s="492" t="n"/>
      <c r="AE485" s="493" t="n"/>
      <c r="AF485" s="492" t="n"/>
      <c r="AG485" s="492" t="n"/>
      <c r="AH485" s="492" t="n"/>
      <c r="AI485" s="492" t="n"/>
      <c r="AJ485" s="493" t="n"/>
      <c r="AK485" s="492" t="n"/>
      <c r="AL485" s="492" t="n"/>
      <c r="AM485" s="492" t="n"/>
      <c r="AN485" s="492" t="n"/>
      <c r="AO485" s="492" t="n"/>
      <c r="AP485" s="492" t="n"/>
      <c r="AQ485" s="492" t="n"/>
      <c r="AR485" s="492" t="n"/>
      <c r="AS485" s="492" t="n"/>
      <c r="AT485" s="492" t="n"/>
      <c r="AU485" s="493" t="n"/>
      <c r="AV485" s="492" t="n"/>
      <c r="AW485" s="492" t="n"/>
      <c r="AX485" s="492" t="n"/>
      <c r="AY485" s="492" t="n"/>
      <c r="AZ485" s="492" t="n"/>
      <c r="BA485" s="493" t="n"/>
      <c r="BB485" s="492" t="n"/>
      <c r="BC485" s="492" t="n"/>
      <c r="BD485" s="492" t="n"/>
      <c r="BE485" s="492" t="n"/>
      <c r="BF485" s="493" t="n"/>
      <c r="BG485" s="493" t="n"/>
      <c r="BH485" s="495" t="n"/>
      <c r="BI485" s="496" t="n"/>
      <c r="BJ485" s="496" t="n"/>
      <c r="BK485" s="496" t="n"/>
      <c r="BM485" s="493" t="n"/>
      <c r="BN485" s="493" t="n"/>
      <c r="BO485" s="493" t="n"/>
      <c r="BP485" s="493" t="n"/>
      <c r="BQ485" s="493" t="n"/>
      <c r="BR485" s="493" t="n"/>
      <c r="BS485" s="493" t="n"/>
      <c r="BT485" s="493" t="n"/>
      <c r="BU485" s="493" t="n"/>
      <c r="BV485" s="493" t="n"/>
      <c r="BW485" s="493" t="n"/>
      <c r="BX485" s="493" t="n"/>
      <c r="BY485" s="493" t="n"/>
      <c r="BZ485" s="493" t="n"/>
      <c r="CA485" s="493" t="n"/>
      <c r="CB485" s="493" t="n"/>
      <c r="CC485" s="493" t="n"/>
      <c r="CD485" s="493" t="n"/>
      <c r="CE485" s="493" t="n"/>
      <c r="CF485" s="493" t="n"/>
      <c r="CG485" s="493" t="n"/>
      <c r="CH485" s="493" t="n"/>
      <c r="CI485" s="493" t="n"/>
      <c r="CJ485" s="493" t="n"/>
      <c r="CK485" s="493" t="n"/>
      <c r="CL485" s="493" t="n"/>
    </row>
    <row r="486" customFormat="1" s="230">
      <c r="E486" s="234" t="n"/>
      <c r="F486" s="492" t="n"/>
      <c r="G486" s="492" t="n"/>
      <c r="H486" s="493" t="n"/>
      <c r="I486" s="492" t="n"/>
      <c r="J486" s="492" t="n"/>
      <c r="K486" s="492" t="n"/>
      <c r="L486" s="492" t="n"/>
      <c r="M486" s="493" t="n"/>
      <c r="N486" s="492" t="n"/>
      <c r="O486" s="492" t="n"/>
      <c r="P486" s="492" t="n"/>
      <c r="Q486" s="492" t="n"/>
      <c r="R486" s="492" t="n"/>
      <c r="S486" s="492" t="n"/>
      <c r="T486" s="492" t="n"/>
      <c r="U486" s="492" t="n"/>
      <c r="V486" s="492" t="n"/>
      <c r="W486" s="492" t="n"/>
      <c r="X486" s="492" t="n"/>
      <c r="Y486" s="492" t="n"/>
      <c r="Z486" s="492" t="n"/>
      <c r="AA486" s="492" t="n"/>
      <c r="AB486" s="492" t="n"/>
      <c r="AC486" s="492" t="n"/>
      <c r="AD486" s="492" t="n"/>
      <c r="AE486" s="493" t="n"/>
      <c r="AF486" s="492" t="n"/>
      <c r="AG486" s="492" t="n"/>
      <c r="AH486" s="492" t="n"/>
      <c r="AI486" s="492" t="n"/>
      <c r="AJ486" s="493" t="n"/>
      <c r="AK486" s="492" t="n"/>
      <c r="AL486" s="492" t="n"/>
      <c r="AM486" s="492" t="n"/>
      <c r="AN486" s="492" t="n"/>
      <c r="AO486" s="492" t="n"/>
      <c r="AP486" s="492" t="n"/>
      <c r="AQ486" s="492" t="n"/>
      <c r="AR486" s="492" t="n"/>
      <c r="AS486" s="492" t="n"/>
      <c r="AT486" s="492" t="n"/>
      <c r="AU486" s="493" t="n"/>
      <c r="AV486" s="492" t="n"/>
      <c r="AW486" s="492" t="n"/>
      <c r="AX486" s="492" t="n"/>
      <c r="AY486" s="492" t="n"/>
      <c r="AZ486" s="492" t="n"/>
      <c r="BA486" s="493" t="n"/>
      <c r="BB486" s="492" t="n"/>
      <c r="BC486" s="492" t="n"/>
      <c r="BD486" s="492" t="n"/>
      <c r="BE486" s="492" t="n"/>
      <c r="BF486" s="493" t="n"/>
      <c r="BG486" s="493" t="n"/>
      <c r="BH486" s="495" t="n"/>
      <c r="BI486" s="496" t="n"/>
      <c r="BJ486" s="496" t="n"/>
      <c r="BK486" s="496" t="n"/>
      <c r="BM486" s="493" t="n"/>
      <c r="BN486" s="493" t="n"/>
      <c r="BO486" s="493" t="n"/>
      <c r="BP486" s="493" t="n"/>
      <c r="BQ486" s="493" t="n"/>
      <c r="BR486" s="493" t="n"/>
      <c r="BS486" s="493" t="n"/>
      <c r="BT486" s="493" t="n"/>
      <c r="BU486" s="493" t="n"/>
      <c r="BV486" s="493" t="n"/>
      <c r="BW486" s="493" t="n"/>
      <c r="BX486" s="493" t="n"/>
      <c r="BY486" s="493" t="n"/>
      <c r="BZ486" s="493" t="n"/>
      <c r="CA486" s="493" t="n"/>
      <c r="CB486" s="493" t="n"/>
      <c r="CC486" s="493" t="n"/>
      <c r="CD486" s="493" t="n"/>
      <c r="CE486" s="493" t="n"/>
      <c r="CF486" s="493" t="n"/>
      <c r="CG486" s="493" t="n"/>
      <c r="CH486" s="493" t="n"/>
      <c r="CI486" s="493" t="n"/>
      <c r="CJ486" s="493" t="n"/>
      <c r="CK486" s="493" t="n"/>
      <c r="CL486" s="493" t="n"/>
    </row>
    <row r="487" customFormat="1" s="230">
      <c r="E487" s="234" t="n"/>
      <c r="F487" s="492" t="n"/>
      <c r="G487" s="492" t="n"/>
      <c r="H487" s="493" t="n"/>
      <c r="I487" s="492" t="n"/>
      <c r="J487" s="492" t="n"/>
      <c r="K487" s="492" t="n"/>
      <c r="L487" s="492" t="n"/>
      <c r="M487" s="493" t="n"/>
      <c r="N487" s="492" t="n"/>
      <c r="O487" s="492" t="n"/>
      <c r="P487" s="492" t="n"/>
      <c r="Q487" s="492" t="n"/>
      <c r="R487" s="492" t="n"/>
      <c r="S487" s="492" t="n"/>
      <c r="T487" s="492" t="n"/>
      <c r="U487" s="492" t="n"/>
      <c r="V487" s="492" t="n"/>
      <c r="W487" s="492" t="n"/>
      <c r="X487" s="492" t="n"/>
      <c r="Y487" s="492" t="n"/>
      <c r="Z487" s="492" t="n"/>
      <c r="AA487" s="492" t="n"/>
      <c r="AB487" s="492" t="n"/>
      <c r="AC487" s="492" t="n"/>
      <c r="AD487" s="492" t="n"/>
      <c r="AE487" s="493" t="n"/>
      <c r="AF487" s="492" t="n"/>
      <c r="AG487" s="492" t="n"/>
      <c r="AH487" s="492" t="n"/>
      <c r="AI487" s="492" t="n"/>
      <c r="AJ487" s="493" t="n"/>
      <c r="AK487" s="492" t="n"/>
      <c r="AL487" s="492" t="n"/>
      <c r="AM487" s="492" t="n"/>
      <c r="AN487" s="492" t="n"/>
      <c r="AO487" s="492" t="n"/>
      <c r="AP487" s="492" t="n"/>
      <c r="AQ487" s="492" t="n"/>
      <c r="AR487" s="492" t="n"/>
      <c r="AS487" s="492" t="n"/>
      <c r="AT487" s="492" t="n"/>
      <c r="AU487" s="493" t="n"/>
      <c r="AV487" s="492" t="n"/>
      <c r="AW487" s="492" t="n"/>
      <c r="AX487" s="492" t="n"/>
      <c r="AY487" s="492" t="n"/>
      <c r="AZ487" s="492" t="n"/>
      <c r="BA487" s="493" t="n"/>
      <c r="BB487" s="492" t="n"/>
      <c r="BC487" s="492" t="n"/>
      <c r="BD487" s="492" t="n"/>
      <c r="BE487" s="492" t="n"/>
      <c r="BF487" s="493" t="n"/>
      <c r="BG487" s="493" t="n"/>
      <c r="BH487" s="495" t="n"/>
      <c r="BI487" s="496" t="n"/>
      <c r="BJ487" s="496" t="n"/>
      <c r="BK487" s="496" t="n"/>
      <c r="BM487" s="493" t="n"/>
      <c r="BN487" s="493" t="n"/>
      <c r="BO487" s="493" t="n"/>
      <c r="BP487" s="493" t="n"/>
      <c r="BQ487" s="493" t="n"/>
      <c r="BR487" s="493" t="n"/>
      <c r="BS487" s="493" t="n"/>
      <c r="BT487" s="493" t="n"/>
      <c r="BU487" s="493" t="n"/>
      <c r="BV487" s="493" t="n"/>
      <c r="BW487" s="493" t="n"/>
      <c r="BX487" s="493" t="n"/>
      <c r="BY487" s="493" t="n"/>
      <c r="BZ487" s="493" t="n"/>
      <c r="CA487" s="493" t="n"/>
      <c r="CB487" s="493" t="n"/>
      <c r="CC487" s="493" t="n"/>
      <c r="CD487" s="493" t="n"/>
      <c r="CE487" s="493" t="n"/>
      <c r="CF487" s="493" t="n"/>
      <c r="CG487" s="493" t="n"/>
      <c r="CH487" s="493" t="n"/>
      <c r="CI487" s="493" t="n"/>
      <c r="CJ487" s="493" t="n"/>
      <c r="CK487" s="493" t="n"/>
      <c r="CL487" s="493" t="n"/>
    </row>
    <row r="488" customFormat="1" s="230">
      <c r="E488" s="234" t="n"/>
      <c r="F488" s="492" t="n"/>
      <c r="G488" s="492" t="n"/>
      <c r="H488" s="493" t="n"/>
      <c r="I488" s="492" t="n"/>
      <c r="J488" s="492" t="n"/>
      <c r="K488" s="492" t="n"/>
      <c r="L488" s="492" t="n"/>
      <c r="M488" s="493" t="n"/>
      <c r="N488" s="492" t="n"/>
      <c r="O488" s="492" t="n"/>
      <c r="P488" s="492" t="n"/>
      <c r="Q488" s="492" t="n"/>
      <c r="R488" s="492" t="n"/>
      <c r="S488" s="492" t="n"/>
      <c r="T488" s="492" t="n"/>
      <c r="U488" s="492" t="n"/>
      <c r="V488" s="492" t="n"/>
      <c r="W488" s="492" t="n"/>
      <c r="X488" s="492" t="n"/>
      <c r="Y488" s="492" t="n"/>
      <c r="Z488" s="492" t="n"/>
      <c r="AA488" s="492" t="n"/>
      <c r="AB488" s="492" t="n"/>
      <c r="AC488" s="492" t="n"/>
      <c r="AD488" s="492" t="n"/>
      <c r="AE488" s="493" t="n"/>
      <c r="AF488" s="492" t="n"/>
      <c r="AG488" s="492" t="n"/>
      <c r="AH488" s="492" t="n"/>
      <c r="AI488" s="492" t="n"/>
      <c r="AJ488" s="493" t="n"/>
      <c r="AK488" s="492" t="n"/>
      <c r="AL488" s="492" t="n"/>
      <c r="AM488" s="492" t="n"/>
      <c r="AN488" s="492" t="n"/>
      <c r="AO488" s="492" t="n"/>
      <c r="AP488" s="492" t="n"/>
      <c r="AQ488" s="492" t="n"/>
      <c r="AR488" s="492" t="n"/>
      <c r="AS488" s="492" t="n"/>
      <c r="AT488" s="492" t="n"/>
      <c r="AU488" s="493" t="n"/>
      <c r="AV488" s="492" t="n"/>
      <c r="AW488" s="492" t="n"/>
      <c r="AX488" s="492" t="n"/>
      <c r="AY488" s="492" t="n"/>
      <c r="AZ488" s="492" t="n"/>
      <c r="BA488" s="493" t="n"/>
      <c r="BB488" s="492" t="n"/>
      <c r="BC488" s="492" t="n"/>
      <c r="BD488" s="492" t="n"/>
      <c r="BE488" s="492" t="n"/>
      <c r="BF488" s="493" t="n"/>
      <c r="BG488" s="493" t="n"/>
      <c r="BH488" s="495" t="n"/>
      <c r="BI488" s="496" t="n"/>
      <c r="BJ488" s="496" t="n"/>
      <c r="BK488" s="496" t="n"/>
      <c r="BM488" s="493" t="n"/>
      <c r="BN488" s="493" t="n"/>
      <c r="BO488" s="493" t="n"/>
      <c r="BP488" s="493" t="n"/>
      <c r="BQ488" s="493" t="n"/>
      <c r="BR488" s="493" t="n"/>
      <c r="BS488" s="493" t="n"/>
      <c r="BT488" s="493" t="n"/>
      <c r="BU488" s="493" t="n"/>
      <c r="BV488" s="493" t="n"/>
      <c r="BW488" s="493" t="n"/>
      <c r="BX488" s="493" t="n"/>
      <c r="BY488" s="493" t="n"/>
      <c r="BZ488" s="493" t="n"/>
      <c r="CA488" s="493" t="n"/>
      <c r="CB488" s="493" t="n"/>
      <c r="CC488" s="493" t="n"/>
      <c r="CD488" s="493" t="n"/>
      <c r="CE488" s="493" t="n"/>
      <c r="CF488" s="493" t="n"/>
      <c r="CG488" s="493" t="n"/>
      <c r="CH488" s="493" t="n"/>
      <c r="CI488" s="493" t="n"/>
      <c r="CJ488" s="493" t="n"/>
      <c r="CK488" s="493" t="n"/>
      <c r="CL488" s="493" t="n"/>
    </row>
    <row r="489" customFormat="1" s="230">
      <c r="E489" s="234" t="n"/>
      <c r="F489" s="492" t="n"/>
      <c r="G489" s="492" t="n"/>
      <c r="H489" s="493" t="n"/>
      <c r="I489" s="492" t="n"/>
      <c r="J489" s="492" t="n"/>
      <c r="K489" s="492" t="n"/>
      <c r="L489" s="492" t="n"/>
      <c r="M489" s="493" t="n"/>
      <c r="N489" s="492" t="n"/>
      <c r="O489" s="492" t="n"/>
      <c r="P489" s="492" t="n"/>
      <c r="Q489" s="492" t="n"/>
      <c r="R489" s="492" t="n"/>
      <c r="S489" s="492" t="n"/>
      <c r="T489" s="492" t="n"/>
      <c r="U489" s="492" t="n"/>
      <c r="V489" s="492" t="n"/>
      <c r="W489" s="492" t="n"/>
      <c r="X489" s="492" t="n"/>
      <c r="Y489" s="492" t="n"/>
      <c r="Z489" s="492" t="n"/>
      <c r="AA489" s="492" t="n"/>
      <c r="AB489" s="492" t="n"/>
      <c r="AC489" s="492" t="n"/>
      <c r="AD489" s="492" t="n"/>
      <c r="AE489" s="493" t="n"/>
      <c r="AF489" s="492" t="n"/>
      <c r="AG489" s="492" t="n"/>
      <c r="AH489" s="492" t="n"/>
      <c r="AI489" s="492" t="n"/>
      <c r="AJ489" s="493" t="n"/>
      <c r="AK489" s="492" t="n"/>
      <c r="AL489" s="492" t="n"/>
      <c r="AM489" s="492" t="n"/>
      <c r="AN489" s="492" t="n"/>
      <c r="AO489" s="492" t="n"/>
      <c r="AP489" s="492" t="n"/>
      <c r="AQ489" s="492" t="n"/>
      <c r="AR489" s="492" t="n"/>
      <c r="AS489" s="492" t="n"/>
      <c r="AT489" s="492" t="n"/>
      <c r="AU489" s="493" t="n"/>
      <c r="AV489" s="492" t="n"/>
      <c r="AW489" s="492" t="n"/>
      <c r="AX489" s="492" t="n"/>
      <c r="AY489" s="492" t="n"/>
      <c r="AZ489" s="492" t="n"/>
      <c r="BA489" s="493" t="n"/>
      <c r="BB489" s="492" t="n"/>
      <c r="BC489" s="492" t="n"/>
      <c r="BD489" s="492" t="n"/>
      <c r="BE489" s="492" t="n"/>
      <c r="BF489" s="493" t="n"/>
      <c r="BG489" s="493" t="n"/>
      <c r="BH489" s="495" t="n"/>
      <c r="BI489" s="496" t="n"/>
      <c r="BJ489" s="496" t="n"/>
      <c r="BK489" s="496" t="n"/>
      <c r="BM489" s="493" t="n"/>
      <c r="BN489" s="493" t="n"/>
      <c r="BO489" s="493" t="n"/>
      <c r="BP489" s="493" t="n"/>
      <c r="BQ489" s="493" t="n"/>
      <c r="BR489" s="493" t="n"/>
      <c r="BS489" s="493" t="n"/>
      <c r="BT489" s="493" t="n"/>
      <c r="BU489" s="493" t="n"/>
      <c r="BV489" s="493" t="n"/>
      <c r="BW489" s="493" t="n"/>
      <c r="BX489" s="493" t="n"/>
      <c r="BY489" s="493" t="n"/>
      <c r="BZ489" s="493" t="n"/>
      <c r="CA489" s="493" t="n"/>
      <c r="CB489" s="493" t="n"/>
      <c r="CC489" s="493" t="n"/>
      <c r="CD489" s="493" t="n"/>
      <c r="CE489" s="493" t="n"/>
      <c r="CF489" s="493" t="n"/>
      <c r="CG489" s="493" t="n"/>
      <c r="CH489" s="493" t="n"/>
      <c r="CI489" s="493" t="n"/>
      <c r="CJ489" s="493" t="n"/>
      <c r="CK489" s="493" t="n"/>
      <c r="CL489" s="493" t="n"/>
    </row>
    <row r="490" customFormat="1" s="230">
      <c r="E490" s="234" t="n"/>
      <c r="F490" s="492" t="n"/>
      <c r="G490" s="492" t="n"/>
      <c r="H490" s="493" t="n"/>
      <c r="I490" s="492" t="n"/>
      <c r="J490" s="492" t="n"/>
      <c r="K490" s="492" t="n"/>
      <c r="L490" s="492" t="n"/>
      <c r="M490" s="493" t="n"/>
      <c r="N490" s="492" t="n"/>
      <c r="O490" s="492" t="n"/>
      <c r="P490" s="492" t="n"/>
      <c r="Q490" s="492" t="n"/>
      <c r="R490" s="492" t="n"/>
      <c r="S490" s="492" t="n"/>
      <c r="T490" s="492" t="n"/>
      <c r="U490" s="492" t="n"/>
      <c r="V490" s="492" t="n"/>
      <c r="W490" s="492" t="n"/>
      <c r="X490" s="492" t="n"/>
      <c r="Y490" s="492" t="n"/>
      <c r="Z490" s="492" t="n"/>
      <c r="AA490" s="492" t="n"/>
      <c r="AB490" s="492" t="n"/>
      <c r="AC490" s="492" t="n"/>
      <c r="AD490" s="492" t="n"/>
      <c r="AE490" s="493" t="n"/>
      <c r="AF490" s="492" t="n"/>
      <c r="AG490" s="492" t="n"/>
      <c r="AH490" s="492" t="n"/>
      <c r="AI490" s="492" t="n"/>
      <c r="AJ490" s="493" t="n"/>
      <c r="AK490" s="492" t="n"/>
      <c r="AL490" s="492" t="n"/>
      <c r="AM490" s="492" t="n"/>
      <c r="AN490" s="492" t="n"/>
      <c r="AO490" s="492" t="n"/>
      <c r="AP490" s="492" t="n"/>
      <c r="AQ490" s="492" t="n"/>
      <c r="AR490" s="492" t="n"/>
      <c r="AS490" s="492" t="n"/>
      <c r="AT490" s="492" t="n"/>
      <c r="AU490" s="493" t="n"/>
      <c r="AV490" s="492" t="n"/>
      <c r="AW490" s="492" t="n"/>
      <c r="AX490" s="492" t="n"/>
      <c r="AY490" s="492" t="n"/>
      <c r="AZ490" s="492" t="n"/>
      <c r="BA490" s="493" t="n"/>
      <c r="BB490" s="492" t="n"/>
      <c r="BC490" s="492" t="n"/>
      <c r="BD490" s="492" t="n"/>
      <c r="BE490" s="492" t="n"/>
      <c r="BF490" s="493" t="n"/>
      <c r="BG490" s="493" t="n"/>
      <c r="BH490" s="495" t="n"/>
      <c r="BI490" s="496" t="n"/>
      <c r="BJ490" s="496" t="n"/>
      <c r="BK490" s="496" t="n"/>
      <c r="BM490" s="493" t="n"/>
      <c r="BN490" s="493" t="n"/>
      <c r="BO490" s="493" t="n"/>
      <c r="BP490" s="493" t="n"/>
      <c r="BQ490" s="493" t="n"/>
      <c r="BR490" s="493" t="n"/>
      <c r="BS490" s="493" t="n"/>
      <c r="BT490" s="493" t="n"/>
      <c r="BU490" s="493" t="n"/>
      <c r="BV490" s="493" t="n"/>
      <c r="BW490" s="493" t="n"/>
      <c r="BX490" s="493" t="n"/>
      <c r="BY490" s="493" t="n"/>
      <c r="BZ490" s="493" t="n"/>
      <c r="CA490" s="493" t="n"/>
      <c r="CB490" s="493" t="n"/>
      <c r="CC490" s="493" t="n"/>
      <c r="CD490" s="493" t="n"/>
      <c r="CE490" s="493" t="n"/>
      <c r="CF490" s="493" t="n"/>
      <c r="CG490" s="493" t="n"/>
      <c r="CH490" s="493" t="n"/>
      <c r="CI490" s="493" t="n"/>
      <c r="CJ490" s="493" t="n"/>
      <c r="CK490" s="493" t="n"/>
      <c r="CL490" s="493" t="n"/>
    </row>
    <row r="491" customFormat="1" s="230">
      <c r="E491" s="234" t="n"/>
      <c r="F491" s="492" t="n"/>
      <c r="G491" s="492" t="n"/>
      <c r="H491" s="493" t="n"/>
      <c r="I491" s="492" t="n"/>
      <c r="J491" s="492" t="n"/>
      <c r="K491" s="492" t="n"/>
      <c r="L491" s="492" t="n"/>
      <c r="M491" s="493" t="n"/>
      <c r="N491" s="492" t="n"/>
      <c r="O491" s="492" t="n"/>
      <c r="P491" s="492" t="n"/>
      <c r="Q491" s="492" t="n"/>
      <c r="R491" s="492" t="n"/>
      <c r="S491" s="492" t="n"/>
      <c r="T491" s="492" t="n"/>
      <c r="U491" s="492" t="n"/>
      <c r="V491" s="492" t="n"/>
      <c r="W491" s="492" t="n"/>
      <c r="X491" s="492" t="n"/>
      <c r="Y491" s="492" t="n"/>
      <c r="Z491" s="492" t="n"/>
      <c r="AA491" s="492" t="n"/>
      <c r="AB491" s="492" t="n"/>
      <c r="AC491" s="492" t="n"/>
      <c r="AD491" s="492" t="n"/>
      <c r="AE491" s="493" t="n"/>
      <c r="AF491" s="492" t="n"/>
      <c r="AG491" s="492" t="n"/>
      <c r="AH491" s="492" t="n"/>
      <c r="AI491" s="492" t="n"/>
      <c r="AJ491" s="493" t="n"/>
      <c r="AK491" s="492" t="n"/>
      <c r="AL491" s="492" t="n"/>
      <c r="AM491" s="492" t="n"/>
      <c r="AN491" s="492" t="n"/>
      <c r="AO491" s="492" t="n"/>
      <c r="AP491" s="492" t="n"/>
      <c r="AQ491" s="492" t="n"/>
      <c r="AR491" s="492" t="n"/>
      <c r="AS491" s="492" t="n"/>
      <c r="AT491" s="492" t="n"/>
      <c r="AU491" s="493" t="n"/>
      <c r="AV491" s="492" t="n"/>
      <c r="AW491" s="492" t="n"/>
      <c r="AX491" s="492" t="n"/>
      <c r="AY491" s="492" t="n"/>
      <c r="AZ491" s="492" t="n"/>
      <c r="BA491" s="493" t="n"/>
      <c r="BB491" s="492" t="n"/>
      <c r="BC491" s="492" t="n"/>
      <c r="BD491" s="492" t="n"/>
      <c r="BE491" s="492" t="n"/>
      <c r="BF491" s="493" t="n"/>
      <c r="BG491" s="493" t="n"/>
      <c r="BH491" s="495" t="n"/>
      <c r="BI491" s="496" t="n"/>
      <c r="BJ491" s="496" t="n"/>
      <c r="BK491" s="496" t="n"/>
      <c r="BM491" s="493" t="n"/>
      <c r="BN491" s="493" t="n"/>
      <c r="BO491" s="493" t="n"/>
      <c r="BP491" s="493" t="n"/>
      <c r="BQ491" s="493" t="n"/>
      <c r="BR491" s="493" t="n"/>
      <c r="BS491" s="493" t="n"/>
      <c r="BT491" s="493" t="n"/>
      <c r="BU491" s="493" t="n"/>
      <c r="BV491" s="493" t="n"/>
      <c r="BW491" s="493" t="n"/>
      <c r="BX491" s="493" t="n"/>
      <c r="BY491" s="493" t="n"/>
      <c r="BZ491" s="493" t="n"/>
      <c r="CA491" s="493" t="n"/>
      <c r="CB491" s="493" t="n"/>
      <c r="CC491" s="493" t="n"/>
      <c r="CD491" s="493" t="n"/>
      <c r="CE491" s="493" t="n"/>
      <c r="CF491" s="493" t="n"/>
      <c r="CG491" s="493" t="n"/>
      <c r="CH491" s="493" t="n"/>
      <c r="CI491" s="493" t="n"/>
      <c r="CJ491" s="493" t="n"/>
      <c r="CK491" s="493" t="n"/>
      <c r="CL491" s="493" t="n"/>
    </row>
    <row r="492" customFormat="1" s="230">
      <c r="E492" s="234" t="n"/>
      <c r="F492" s="492" t="n"/>
      <c r="G492" s="492" t="n"/>
      <c r="H492" s="493" t="n"/>
      <c r="I492" s="492" t="n"/>
      <c r="J492" s="492" t="n"/>
      <c r="K492" s="492" t="n"/>
      <c r="L492" s="492" t="n"/>
      <c r="M492" s="493" t="n"/>
      <c r="N492" s="492" t="n"/>
      <c r="O492" s="492" t="n"/>
      <c r="P492" s="492" t="n"/>
      <c r="Q492" s="492" t="n"/>
      <c r="R492" s="492" t="n"/>
      <c r="S492" s="492" t="n"/>
      <c r="T492" s="492" t="n"/>
      <c r="U492" s="492" t="n"/>
      <c r="V492" s="492" t="n"/>
      <c r="W492" s="492" t="n"/>
      <c r="X492" s="492" t="n"/>
      <c r="Y492" s="492" t="n"/>
      <c r="Z492" s="492" t="n"/>
      <c r="AA492" s="492" t="n"/>
      <c r="AB492" s="492" t="n"/>
      <c r="AC492" s="492" t="n"/>
      <c r="AD492" s="492" t="n"/>
      <c r="AE492" s="493" t="n"/>
      <c r="AF492" s="492" t="n"/>
      <c r="AG492" s="492" t="n"/>
      <c r="AH492" s="492" t="n"/>
      <c r="AI492" s="492" t="n"/>
      <c r="AJ492" s="493" t="n"/>
      <c r="AK492" s="492" t="n"/>
      <c r="AL492" s="492" t="n"/>
      <c r="AM492" s="492" t="n"/>
      <c r="AN492" s="492" t="n"/>
      <c r="AO492" s="492" t="n"/>
      <c r="AP492" s="492" t="n"/>
      <c r="AQ492" s="492" t="n"/>
      <c r="AR492" s="492" t="n"/>
      <c r="AS492" s="492" t="n"/>
      <c r="AT492" s="492" t="n"/>
      <c r="AU492" s="493" t="n"/>
      <c r="AV492" s="492" t="n"/>
      <c r="AW492" s="492" t="n"/>
      <c r="AX492" s="492" t="n"/>
      <c r="AY492" s="492" t="n"/>
      <c r="AZ492" s="492" t="n"/>
      <c r="BA492" s="493" t="n"/>
      <c r="BB492" s="492" t="n"/>
      <c r="BC492" s="492" t="n"/>
      <c r="BD492" s="492" t="n"/>
      <c r="BE492" s="492" t="n"/>
      <c r="BF492" s="493" t="n"/>
      <c r="BG492" s="493" t="n"/>
      <c r="BH492" s="495" t="n"/>
      <c r="BI492" s="496" t="n"/>
      <c r="BJ492" s="496" t="n"/>
      <c r="BK492" s="496" t="n"/>
      <c r="BM492" s="493" t="n"/>
      <c r="BN492" s="493" t="n"/>
      <c r="BO492" s="493" t="n"/>
      <c r="BP492" s="493" t="n"/>
      <c r="BQ492" s="493" t="n"/>
      <c r="BR492" s="493" t="n"/>
      <c r="BS492" s="493" t="n"/>
      <c r="BT492" s="493" t="n"/>
      <c r="BU492" s="493" t="n"/>
      <c r="BV492" s="493" t="n"/>
      <c r="BW492" s="493" t="n"/>
      <c r="BX492" s="493" t="n"/>
      <c r="BY492" s="493" t="n"/>
      <c r="BZ492" s="493" t="n"/>
      <c r="CA492" s="493" t="n"/>
      <c r="CB492" s="493" t="n"/>
      <c r="CC492" s="493" t="n"/>
      <c r="CD492" s="493" t="n"/>
      <c r="CE492" s="493" t="n"/>
      <c r="CF492" s="493" t="n"/>
      <c r="CG492" s="493" t="n"/>
      <c r="CH492" s="493" t="n"/>
      <c r="CI492" s="493" t="n"/>
      <c r="CJ492" s="493" t="n"/>
      <c r="CK492" s="493" t="n"/>
      <c r="CL492" s="493" t="n"/>
    </row>
    <row r="493" customFormat="1" s="230">
      <c r="E493" s="234" t="n"/>
      <c r="F493" s="492" t="n"/>
      <c r="G493" s="492" t="n"/>
      <c r="H493" s="493" t="n"/>
      <c r="I493" s="492" t="n"/>
      <c r="J493" s="492" t="n"/>
      <c r="K493" s="492" t="n"/>
      <c r="L493" s="492" t="n"/>
      <c r="M493" s="493" t="n"/>
      <c r="N493" s="492" t="n"/>
      <c r="O493" s="492" t="n"/>
      <c r="P493" s="492" t="n"/>
      <c r="Q493" s="492" t="n"/>
      <c r="R493" s="492" t="n"/>
      <c r="S493" s="492" t="n"/>
      <c r="T493" s="492" t="n"/>
      <c r="U493" s="492" t="n"/>
      <c r="V493" s="492" t="n"/>
      <c r="W493" s="492" t="n"/>
      <c r="X493" s="492" t="n"/>
      <c r="Y493" s="492" t="n"/>
      <c r="Z493" s="492" t="n"/>
      <c r="AA493" s="492" t="n"/>
      <c r="AB493" s="492" t="n"/>
      <c r="AC493" s="492" t="n"/>
      <c r="AD493" s="492" t="n"/>
      <c r="AE493" s="493" t="n"/>
      <c r="AF493" s="492" t="n"/>
      <c r="AG493" s="492" t="n"/>
      <c r="AH493" s="492" t="n"/>
      <c r="AI493" s="492" t="n"/>
      <c r="AJ493" s="493" t="n"/>
      <c r="AK493" s="492" t="n"/>
      <c r="AL493" s="492" t="n"/>
      <c r="AM493" s="492" t="n"/>
      <c r="AN493" s="492" t="n"/>
      <c r="AO493" s="492" t="n"/>
      <c r="AP493" s="492" t="n"/>
      <c r="AQ493" s="492" t="n"/>
      <c r="AR493" s="492" t="n"/>
      <c r="AS493" s="492" t="n"/>
      <c r="AT493" s="492" t="n"/>
      <c r="AU493" s="493" t="n"/>
      <c r="AV493" s="492" t="n"/>
      <c r="AW493" s="492" t="n"/>
      <c r="AX493" s="492" t="n"/>
      <c r="AY493" s="492" t="n"/>
      <c r="AZ493" s="492" t="n"/>
      <c r="BA493" s="493" t="n"/>
      <c r="BB493" s="492" t="n"/>
      <c r="BC493" s="492" t="n"/>
      <c r="BD493" s="492" t="n"/>
      <c r="BE493" s="492" t="n"/>
      <c r="BF493" s="493" t="n"/>
      <c r="BG493" s="493" t="n"/>
      <c r="BH493" s="495" t="n"/>
      <c r="BI493" s="496" t="n"/>
      <c r="BJ493" s="496" t="n"/>
      <c r="BK493" s="496" t="n"/>
      <c r="BM493" s="493" t="n"/>
      <c r="BN493" s="493" t="n"/>
      <c r="BO493" s="493" t="n"/>
      <c r="BP493" s="493" t="n"/>
      <c r="BQ493" s="493" t="n"/>
      <c r="BR493" s="493" t="n"/>
      <c r="BS493" s="493" t="n"/>
      <c r="BT493" s="493" t="n"/>
      <c r="BU493" s="493" t="n"/>
      <c r="BV493" s="493" t="n"/>
      <c r="BW493" s="493" t="n"/>
      <c r="BX493" s="493" t="n"/>
      <c r="BY493" s="493" t="n"/>
      <c r="BZ493" s="493" t="n"/>
      <c r="CA493" s="493" t="n"/>
      <c r="CB493" s="493" t="n"/>
      <c r="CC493" s="493" t="n"/>
      <c r="CD493" s="493" t="n"/>
      <c r="CE493" s="493" t="n"/>
      <c r="CF493" s="493" t="n"/>
      <c r="CG493" s="493" t="n"/>
      <c r="CH493" s="493" t="n"/>
      <c r="CI493" s="493" t="n"/>
      <c r="CJ493" s="493" t="n"/>
      <c r="CK493" s="493" t="n"/>
      <c r="CL493" s="493" t="n"/>
    </row>
    <row r="494" customFormat="1" s="230">
      <c r="E494" s="234" t="n"/>
      <c r="F494" s="492" t="n"/>
      <c r="G494" s="492" t="n"/>
      <c r="H494" s="493" t="n"/>
      <c r="I494" s="492" t="n"/>
      <c r="J494" s="492" t="n"/>
      <c r="K494" s="492" t="n"/>
      <c r="L494" s="492" t="n"/>
      <c r="M494" s="493" t="n"/>
      <c r="N494" s="492" t="n"/>
      <c r="O494" s="492" t="n"/>
      <c r="P494" s="492" t="n"/>
      <c r="Q494" s="492" t="n"/>
      <c r="R494" s="492" t="n"/>
      <c r="S494" s="492" t="n"/>
      <c r="T494" s="492" t="n"/>
      <c r="U494" s="492" t="n"/>
      <c r="V494" s="492" t="n"/>
      <c r="W494" s="492" t="n"/>
      <c r="X494" s="492" t="n"/>
      <c r="Y494" s="492" t="n"/>
      <c r="Z494" s="492" t="n"/>
      <c r="AA494" s="492" t="n"/>
      <c r="AB494" s="492" t="n"/>
      <c r="AC494" s="492" t="n"/>
      <c r="AD494" s="492" t="n"/>
      <c r="AE494" s="493" t="n"/>
      <c r="AF494" s="492" t="n"/>
      <c r="AG494" s="492" t="n"/>
      <c r="AH494" s="492" t="n"/>
      <c r="AI494" s="492" t="n"/>
      <c r="AJ494" s="493" t="n"/>
      <c r="AK494" s="492" t="n"/>
      <c r="AL494" s="492" t="n"/>
      <c r="AM494" s="492" t="n"/>
      <c r="AN494" s="492" t="n"/>
      <c r="AO494" s="492" t="n"/>
      <c r="AP494" s="492" t="n"/>
      <c r="AQ494" s="492" t="n"/>
      <c r="AR494" s="492" t="n"/>
      <c r="AS494" s="492" t="n"/>
      <c r="AT494" s="492" t="n"/>
      <c r="AU494" s="493" t="n"/>
      <c r="AV494" s="492" t="n"/>
      <c r="AW494" s="492" t="n"/>
      <c r="AX494" s="492" t="n"/>
      <c r="AY494" s="492" t="n"/>
      <c r="AZ494" s="492" t="n"/>
      <c r="BA494" s="493" t="n"/>
      <c r="BB494" s="492" t="n"/>
      <c r="BC494" s="492" t="n"/>
      <c r="BD494" s="492" t="n"/>
      <c r="BE494" s="492" t="n"/>
      <c r="BF494" s="493" t="n"/>
      <c r="BG494" s="493" t="n"/>
      <c r="BH494" s="495" t="n"/>
      <c r="BI494" s="496" t="n"/>
      <c r="BJ494" s="496" t="n"/>
      <c r="BK494" s="496" t="n"/>
      <c r="BM494" s="493" t="n"/>
      <c r="BN494" s="493" t="n"/>
      <c r="BO494" s="493" t="n"/>
      <c r="BP494" s="493" t="n"/>
      <c r="BQ494" s="493" t="n"/>
      <c r="BR494" s="493" t="n"/>
      <c r="BS494" s="493" t="n"/>
      <c r="BT494" s="493" t="n"/>
      <c r="BU494" s="493" t="n"/>
      <c r="BV494" s="493" t="n"/>
      <c r="BW494" s="493" t="n"/>
      <c r="BX494" s="493" t="n"/>
      <c r="BY494" s="493" t="n"/>
      <c r="BZ494" s="493" t="n"/>
      <c r="CA494" s="493" t="n"/>
      <c r="CB494" s="493" t="n"/>
      <c r="CC494" s="493" t="n"/>
      <c r="CD494" s="493" t="n"/>
      <c r="CE494" s="493" t="n"/>
      <c r="CF494" s="493" t="n"/>
      <c r="CG494" s="493" t="n"/>
      <c r="CH494" s="493" t="n"/>
      <c r="CI494" s="493" t="n"/>
      <c r="CJ494" s="493" t="n"/>
      <c r="CK494" s="493" t="n"/>
      <c r="CL494" s="493" t="n"/>
    </row>
    <row r="495" customFormat="1" s="230">
      <c r="E495" s="234" t="n"/>
      <c r="F495" s="492" t="n"/>
      <c r="G495" s="492" t="n"/>
      <c r="H495" s="493" t="n"/>
      <c r="I495" s="492" t="n"/>
      <c r="J495" s="492" t="n"/>
      <c r="K495" s="492" t="n"/>
      <c r="L495" s="492" t="n"/>
      <c r="M495" s="493" t="n"/>
      <c r="N495" s="492" t="n"/>
      <c r="O495" s="492" t="n"/>
      <c r="P495" s="492" t="n"/>
      <c r="Q495" s="492" t="n"/>
      <c r="R495" s="492" t="n"/>
      <c r="S495" s="492" t="n"/>
      <c r="T495" s="492" t="n"/>
      <c r="U495" s="492" t="n"/>
      <c r="V495" s="492" t="n"/>
      <c r="W495" s="492" t="n"/>
      <c r="X495" s="492" t="n"/>
      <c r="Y495" s="492" t="n"/>
      <c r="Z495" s="492" t="n"/>
      <c r="AA495" s="492" t="n"/>
      <c r="AB495" s="492" t="n"/>
      <c r="AC495" s="492" t="n"/>
      <c r="AD495" s="492" t="n"/>
      <c r="AE495" s="493" t="n"/>
      <c r="AF495" s="492" t="n"/>
      <c r="AG495" s="492" t="n"/>
      <c r="AH495" s="492" t="n"/>
      <c r="AI495" s="492" t="n"/>
      <c r="AJ495" s="493" t="n"/>
      <c r="AK495" s="492" t="n"/>
      <c r="AL495" s="492" t="n"/>
      <c r="AM495" s="492" t="n"/>
      <c r="AN495" s="492" t="n"/>
      <c r="AO495" s="492" t="n"/>
      <c r="AP495" s="492" t="n"/>
      <c r="AQ495" s="492" t="n"/>
      <c r="AR495" s="492" t="n"/>
      <c r="AS495" s="492" t="n"/>
      <c r="AT495" s="492" t="n"/>
      <c r="AU495" s="493" t="n"/>
      <c r="AV495" s="492" t="n"/>
      <c r="AW495" s="492" t="n"/>
      <c r="AX495" s="492" t="n"/>
      <c r="AY495" s="492" t="n"/>
      <c r="AZ495" s="492" t="n"/>
      <c r="BA495" s="493" t="n"/>
      <c r="BB495" s="492" t="n"/>
      <c r="BC495" s="492" t="n"/>
      <c r="BD495" s="492" t="n"/>
      <c r="BE495" s="492" t="n"/>
      <c r="BF495" s="493" t="n"/>
      <c r="BG495" s="493" t="n"/>
      <c r="BH495" s="495" t="n"/>
      <c r="BI495" s="496" t="n"/>
      <c r="BJ495" s="496" t="n"/>
      <c r="BK495" s="496" t="n"/>
      <c r="BM495" s="493" t="n"/>
      <c r="BN495" s="493" t="n"/>
      <c r="BO495" s="493" t="n"/>
      <c r="BP495" s="493" t="n"/>
      <c r="BQ495" s="493" t="n"/>
      <c r="BR495" s="493" t="n"/>
      <c r="BS495" s="493" t="n"/>
      <c r="BT495" s="493" t="n"/>
      <c r="BU495" s="493" t="n"/>
      <c r="BV495" s="493" t="n"/>
      <c r="BW495" s="493" t="n"/>
      <c r="BX495" s="493" t="n"/>
      <c r="BY495" s="493" t="n"/>
      <c r="BZ495" s="493" t="n"/>
      <c r="CA495" s="493" t="n"/>
      <c r="CB495" s="493" t="n"/>
      <c r="CC495" s="493" t="n"/>
      <c r="CD495" s="493" t="n"/>
      <c r="CE495" s="493" t="n"/>
      <c r="CF495" s="493" t="n"/>
      <c r="CG495" s="493" t="n"/>
      <c r="CH495" s="493" t="n"/>
      <c r="CI495" s="493" t="n"/>
      <c r="CJ495" s="493" t="n"/>
      <c r="CK495" s="493" t="n"/>
      <c r="CL495" s="493" t="n"/>
    </row>
    <row r="496" customFormat="1" s="230">
      <c r="E496" s="234" t="n"/>
      <c r="F496" s="492" t="n"/>
      <c r="G496" s="492" t="n"/>
      <c r="H496" s="493" t="n"/>
      <c r="I496" s="492" t="n"/>
      <c r="J496" s="492" t="n"/>
      <c r="K496" s="492" t="n"/>
      <c r="L496" s="492" t="n"/>
      <c r="M496" s="493" t="n"/>
      <c r="N496" s="492" t="n"/>
      <c r="O496" s="492" t="n"/>
      <c r="P496" s="492" t="n"/>
      <c r="Q496" s="492" t="n"/>
      <c r="R496" s="492" t="n"/>
      <c r="S496" s="492" t="n"/>
      <c r="T496" s="492" t="n"/>
      <c r="U496" s="492" t="n"/>
      <c r="V496" s="492" t="n"/>
      <c r="W496" s="492" t="n"/>
      <c r="X496" s="492" t="n"/>
      <c r="Y496" s="492" t="n"/>
      <c r="Z496" s="492" t="n"/>
      <c r="AA496" s="492" t="n"/>
      <c r="AB496" s="492" t="n"/>
      <c r="AC496" s="492" t="n"/>
      <c r="AD496" s="492" t="n"/>
      <c r="AE496" s="493" t="n"/>
      <c r="AF496" s="492" t="n"/>
      <c r="AG496" s="492" t="n"/>
      <c r="AH496" s="492" t="n"/>
      <c r="AI496" s="492" t="n"/>
      <c r="AJ496" s="493" t="n"/>
      <c r="AK496" s="492" t="n"/>
      <c r="AL496" s="492" t="n"/>
      <c r="AM496" s="492" t="n"/>
      <c r="AN496" s="492" t="n"/>
      <c r="AO496" s="492" t="n"/>
      <c r="AP496" s="492" t="n"/>
      <c r="AQ496" s="492" t="n"/>
      <c r="AR496" s="492" t="n"/>
      <c r="AS496" s="492" t="n"/>
      <c r="AT496" s="492" t="n"/>
      <c r="AU496" s="493" t="n"/>
      <c r="AV496" s="492" t="n"/>
      <c r="AW496" s="492" t="n"/>
      <c r="AX496" s="492" t="n"/>
      <c r="AY496" s="492" t="n"/>
      <c r="AZ496" s="492" t="n"/>
      <c r="BA496" s="493" t="n"/>
      <c r="BB496" s="492" t="n"/>
      <c r="BC496" s="492" t="n"/>
      <c r="BD496" s="492" t="n"/>
      <c r="BE496" s="492" t="n"/>
      <c r="BF496" s="493" t="n"/>
      <c r="BG496" s="493" t="n"/>
      <c r="BH496" s="495" t="n"/>
      <c r="BI496" s="496" t="n"/>
      <c r="BJ496" s="496" t="n"/>
      <c r="BK496" s="496" t="n"/>
      <c r="BM496" s="493" t="n"/>
      <c r="BN496" s="493" t="n"/>
      <c r="BO496" s="493" t="n"/>
      <c r="BP496" s="493" t="n"/>
      <c r="BQ496" s="493" t="n"/>
      <c r="BR496" s="493" t="n"/>
      <c r="BS496" s="493" t="n"/>
      <c r="BT496" s="493" t="n"/>
      <c r="BU496" s="493" t="n"/>
      <c r="BV496" s="493" t="n"/>
      <c r="BW496" s="493" t="n"/>
      <c r="BX496" s="493" t="n"/>
      <c r="BY496" s="493" t="n"/>
      <c r="BZ496" s="493" t="n"/>
      <c r="CA496" s="493" t="n"/>
      <c r="CB496" s="493" t="n"/>
      <c r="CC496" s="493" t="n"/>
      <c r="CD496" s="493" t="n"/>
      <c r="CE496" s="493" t="n"/>
      <c r="CF496" s="493" t="n"/>
      <c r="CG496" s="493" t="n"/>
      <c r="CH496" s="493" t="n"/>
      <c r="CI496" s="493" t="n"/>
      <c r="CJ496" s="493" t="n"/>
      <c r="CK496" s="493" t="n"/>
      <c r="CL496" s="493" t="n"/>
    </row>
    <row r="497" customFormat="1" s="230">
      <c r="E497" s="234" t="n"/>
      <c r="F497" s="492" t="n"/>
      <c r="G497" s="492" t="n"/>
      <c r="H497" s="493" t="n"/>
      <c r="I497" s="492" t="n"/>
      <c r="J497" s="492" t="n"/>
      <c r="K497" s="492" t="n"/>
      <c r="L497" s="492" t="n"/>
      <c r="M497" s="493" t="n"/>
      <c r="N497" s="492" t="n"/>
      <c r="O497" s="492" t="n"/>
      <c r="P497" s="492" t="n"/>
      <c r="Q497" s="492" t="n"/>
      <c r="R497" s="492" t="n"/>
      <c r="S497" s="492" t="n"/>
      <c r="T497" s="492" t="n"/>
      <c r="U497" s="492" t="n"/>
      <c r="V497" s="492" t="n"/>
      <c r="W497" s="492" t="n"/>
      <c r="X497" s="492" t="n"/>
      <c r="Y497" s="492" t="n"/>
      <c r="Z497" s="492" t="n"/>
      <c r="AA497" s="492" t="n"/>
      <c r="AB497" s="492" t="n"/>
      <c r="AC497" s="492" t="n"/>
      <c r="AD497" s="492" t="n"/>
      <c r="AE497" s="493" t="n"/>
      <c r="AF497" s="492" t="n"/>
      <c r="AG497" s="492" t="n"/>
      <c r="AH497" s="492" t="n"/>
      <c r="AI497" s="492" t="n"/>
      <c r="AJ497" s="493" t="n"/>
      <c r="AK497" s="492" t="n"/>
      <c r="AL497" s="492" t="n"/>
      <c r="AM497" s="492" t="n"/>
      <c r="AN497" s="492" t="n"/>
      <c r="AO497" s="492" t="n"/>
      <c r="AP497" s="492" t="n"/>
      <c r="AQ497" s="492" t="n"/>
      <c r="AR497" s="492" t="n"/>
      <c r="AS497" s="492" t="n"/>
      <c r="AT497" s="492" t="n"/>
      <c r="AU497" s="493" t="n"/>
      <c r="AV497" s="492" t="n"/>
      <c r="AW497" s="492" t="n"/>
      <c r="AX497" s="492" t="n"/>
      <c r="AY497" s="492" t="n"/>
      <c r="AZ497" s="492" t="n"/>
      <c r="BA497" s="493" t="n"/>
      <c r="BB497" s="492" t="n"/>
      <c r="BC497" s="492" t="n"/>
      <c r="BD497" s="492" t="n"/>
      <c r="BE497" s="492" t="n"/>
      <c r="BF497" s="493" t="n"/>
      <c r="BG497" s="493" t="n"/>
      <c r="BH497" s="495" t="n"/>
      <c r="BI497" s="496" t="n"/>
      <c r="BJ497" s="496" t="n"/>
      <c r="BK497" s="496" t="n"/>
      <c r="BM497" s="493" t="n"/>
      <c r="BN497" s="493" t="n"/>
      <c r="BO497" s="493" t="n"/>
      <c r="BP497" s="493" t="n"/>
      <c r="BQ497" s="493" t="n"/>
      <c r="BR497" s="493" t="n"/>
      <c r="BS497" s="493" t="n"/>
      <c r="BT497" s="493" t="n"/>
      <c r="BU497" s="493" t="n"/>
      <c r="BV497" s="493" t="n"/>
      <c r="BW497" s="493" t="n"/>
      <c r="BX497" s="493" t="n"/>
      <c r="BY497" s="493" t="n"/>
      <c r="BZ497" s="493" t="n"/>
      <c r="CA497" s="493" t="n"/>
      <c r="CB497" s="493" t="n"/>
      <c r="CC497" s="493" t="n"/>
      <c r="CD497" s="493" t="n"/>
      <c r="CE497" s="493" t="n"/>
      <c r="CF497" s="493" t="n"/>
      <c r="CG497" s="493" t="n"/>
      <c r="CH497" s="493" t="n"/>
      <c r="CI497" s="493" t="n"/>
      <c r="CJ497" s="493" t="n"/>
      <c r="CK497" s="493" t="n"/>
      <c r="CL497" s="493" t="n"/>
    </row>
    <row r="498" customFormat="1" s="230">
      <c r="E498" s="234" t="n"/>
      <c r="F498" s="492" t="n"/>
      <c r="G498" s="492" t="n"/>
      <c r="H498" s="493" t="n"/>
      <c r="I498" s="492" t="n"/>
      <c r="J498" s="492" t="n"/>
      <c r="K498" s="492" t="n"/>
      <c r="L498" s="492" t="n"/>
      <c r="M498" s="493" t="n"/>
      <c r="N498" s="492" t="n"/>
      <c r="O498" s="492" t="n"/>
      <c r="P498" s="492" t="n"/>
      <c r="Q498" s="492" t="n"/>
      <c r="R498" s="492" t="n"/>
      <c r="S498" s="492" t="n"/>
      <c r="T498" s="492" t="n"/>
      <c r="U498" s="492" t="n"/>
      <c r="V498" s="492" t="n"/>
      <c r="W498" s="492" t="n"/>
      <c r="X498" s="492" t="n"/>
      <c r="Y498" s="492" t="n"/>
      <c r="Z498" s="492" t="n"/>
      <c r="AA498" s="492" t="n"/>
      <c r="AB498" s="492" t="n"/>
      <c r="AC498" s="492" t="n"/>
      <c r="AD498" s="492" t="n"/>
      <c r="AE498" s="493" t="n"/>
      <c r="AF498" s="492" t="n"/>
      <c r="AG498" s="492" t="n"/>
      <c r="AH498" s="492" t="n"/>
      <c r="AI498" s="492" t="n"/>
      <c r="AJ498" s="493" t="n"/>
      <c r="AK498" s="492" t="n"/>
      <c r="AL498" s="492" t="n"/>
      <c r="AM498" s="492" t="n"/>
      <c r="AN498" s="492" t="n"/>
      <c r="AO498" s="492" t="n"/>
      <c r="AP498" s="492" t="n"/>
      <c r="AQ498" s="492" t="n"/>
      <c r="AR498" s="492" t="n"/>
      <c r="AS498" s="492" t="n"/>
      <c r="AT498" s="492" t="n"/>
      <c r="AU498" s="493" t="n"/>
      <c r="AV498" s="492" t="n"/>
      <c r="AW498" s="492" t="n"/>
      <c r="AX498" s="492" t="n"/>
      <c r="AY498" s="492" t="n"/>
      <c r="AZ498" s="492" t="n"/>
      <c r="BA498" s="493" t="n"/>
      <c r="BB498" s="492" t="n"/>
      <c r="BC498" s="492" t="n"/>
      <c r="BD498" s="492" t="n"/>
      <c r="BE498" s="492" t="n"/>
      <c r="BF498" s="493" t="n"/>
      <c r="BG498" s="493" t="n"/>
      <c r="BH498" s="495" t="n"/>
      <c r="BI498" s="496" t="n"/>
      <c r="BJ498" s="496" t="n"/>
      <c r="BK498" s="496" t="n"/>
      <c r="BM498" s="493" t="n"/>
      <c r="BN498" s="493" t="n"/>
      <c r="BO498" s="493" t="n"/>
      <c r="BP498" s="493" t="n"/>
      <c r="BQ498" s="493" t="n"/>
      <c r="BR498" s="493" t="n"/>
      <c r="BS498" s="493" t="n"/>
      <c r="BT498" s="493" t="n"/>
      <c r="BU498" s="493" t="n"/>
      <c r="BV498" s="493" t="n"/>
      <c r="BW498" s="493" t="n"/>
      <c r="BX498" s="493" t="n"/>
      <c r="BY498" s="493" t="n"/>
      <c r="BZ498" s="493" t="n"/>
      <c r="CA498" s="493" t="n"/>
      <c r="CB498" s="493" t="n"/>
      <c r="CC498" s="493" t="n"/>
      <c r="CD498" s="493" t="n"/>
      <c r="CE498" s="493" t="n"/>
      <c r="CF498" s="493" t="n"/>
      <c r="CG498" s="493" t="n"/>
      <c r="CH498" s="493" t="n"/>
      <c r="CI498" s="493" t="n"/>
      <c r="CJ498" s="493" t="n"/>
      <c r="CK498" s="493" t="n"/>
      <c r="CL498" s="493" t="n"/>
    </row>
    <row r="499" customFormat="1" s="230">
      <c r="E499" s="234" t="n"/>
      <c r="F499" s="492" t="n"/>
      <c r="G499" s="492" t="n"/>
      <c r="H499" s="493" t="n"/>
      <c r="I499" s="492" t="n"/>
      <c r="J499" s="492" t="n"/>
      <c r="K499" s="492" t="n"/>
      <c r="L499" s="492" t="n"/>
      <c r="M499" s="493" t="n"/>
      <c r="N499" s="492" t="n"/>
      <c r="O499" s="492" t="n"/>
      <c r="P499" s="492" t="n"/>
      <c r="Q499" s="492" t="n"/>
      <c r="R499" s="492" t="n"/>
      <c r="S499" s="492" t="n"/>
      <c r="T499" s="492" t="n"/>
      <c r="U499" s="492" t="n"/>
      <c r="V499" s="492" t="n"/>
      <c r="W499" s="492" t="n"/>
      <c r="X499" s="492" t="n"/>
      <c r="Y499" s="492" t="n"/>
      <c r="Z499" s="492" t="n"/>
      <c r="AA499" s="492" t="n"/>
      <c r="AB499" s="492" t="n"/>
      <c r="AC499" s="492" t="n"/>
      <c r="AD499" s="492" t="n"/>
      <c r="AE499" s="493" t="n"/>
      <c r="AF499" s="492" t="n"/>
      <c r="AG499" s="492" t="n"/>
      <c r="AH499" s="492" t="n"/>
      <c r="AI499" s="492" t="n"/>
      <c r="AJ499" s="493" t="n"/>
      <c r="AK499" s="492" t="n"/>
      <c r="AL499" s="492" t="n"/>
      <c r="AM499" s="492" t="n"/>
      <c r="AN499" s="492" t="n"/>
      <c r="AO499" s="492" t="n"/>
      <c r="AP499" s="492" t="n"/>
      <c r="AQ499" s="492" t="n"/>
      <c r="AR499" s="492" t="n"/>
      <c r="AS499" s="492" t="n"/>
      <c r="AT499" s="492" t="n"/>
      <c r="AU499" s="493" t="n"/>
      <c r="AV499" s="492" t="n"/>
      <c r="AW499" s="492" t="n"/>
      <c r="AX499" s="492" t="n"/>
      <c r="AY499" s="492" t="n"/>
      <c r="AZ499" s="492" t="n"/>
      <c r="BA499" s="493" t="n"/>
      <c r="BB499" s="492" t="n"/>
      <c r="BC499" s="492" t="n"/>
      <c r="BD499" s="492" t="n"/>
      <c r="BE499" s="492" t="n"/>
      <c r="BF499" s="493" t="n"/>
      <c r="BG499" s="493" t="n"/>
      <c r="BH499" s="495" t="n"/>
      <c r="BI499" s="496" t="n"/>
      <c r="BJ499" s="496" t="n"/>
      <c r="BK499" s="496" t="n"/>
      <c r="BM499" s="493" t="n"/>
      <c r="BN499" s="493" t="n"/>
      <c r="BO499" s="493" t="n"/>
      <c r="BP499" s="493" t="n"/>
      <c r="BQ499" s="493" t="n"/>
      <c r="BR499" s="493" t="n"/>
      <c r="BS499" s="493" t="n"/>
      <c r="BT499" s="493" t="n"/>
      <c r="BU499" s="493" t="n"/>
      <c r="BV499" s="493" t="n"/>
      <c r="BW499" s="493" t="n"/>
      <c r="BX499" s="493" t="n"/>
      <c r="BY499" s="493" t="n"/>
      <c r="BZ499" s="493" t="n"/>
      <c r="CA499" s="493" t="n"/>
      <c r="CB499" s="493" t="n"/>
      <c r="CC499" s="493" t="n"/>
      <c r="CD499" s="493" t="n"/>
      <c r="CE499" s="493" t="n"/>
      <c r="CF499" s="493" t="n"/>
      <c r="CG499" s="493" t="n"/>
      <c r="CH499" s="493" t="n"/>
      <c r="CI499" s="493" t="n"/>
      <c r="CJ499" s="493" t="n"/>
      <c r="CK499" s="493" t="n"/>
      <c r="CL499" s="493" t="n"/>
    </row>
    <row r="500" customFormat="1" s="230">
      <c r="E500" s="234" t="n"/>
      <c r="F500" s="492" t="n"/>
      <c r="G500" s="492" t="n"/>
      <c r="H500" s="493" t="n"/>
      <c r="I500" s="492" t="n"/>
      <c r="J500" s="492" t="n"/>
      <c r="K500" s="492" t="n"/>
      <c r="L500" s="492" t="n"/>
      <c r="M500" s="493" t="n"/>
      <c r="N500" s="492" t="n"/>
      <c r="O500" s="492" t="n"/>
      <c r="P500" s="492" t="n"/>
      <c r="Q500" s="492" t="n"/>
      <c r="R500" s="492" t="n"/>
      <c r="S500" s="492" t="n"/>
      <c r="T500" s="492" t="n"/>
      <c r="U500" s="492" t="n"/>
      <c r="V500" s="492" t="n"/>
      <c r="W500" s="492" t="n"/>
      <c r="X500" s="492" t="n"/>
      <c r="Y500" s="492" t="n"/>
      <c r="Z500" s="492" t="n"/>
      <c r="AA500" s="492" t="n"/>
      <c r="AB500" s="492" t="n"/>
      <c r="AC500" s="492" t="n"/>
      <c r="AD500" s="492" t="n"/>
      <c r="AE500" s="493" t="n"/>
      <c r="AF500" s="492" t="n"/>
      <c r="AG500" s="492" t="n"/>
      <c r="AH500" s="492" t="n"/>
      <c r="AI500" s="492" t="n"/>
      <c r="AJ500" s="493" t="n"/>
      <c r="AK500" s="492" t="n"/>
      <c r="AL500" s="492" t="n"/>
      <c r="AM500" s="492" t="n"/>
      <c r="AN500" s="492" t="n"/>
      <c r="AO500" s="492" t="n"/>
      <c r="AP500" s="492" t="n"/>
      <c r="AQ500" s="492" t="n"/>
      <c r="AR500" s="492" t="n"/>
      <c r="AS500" s="492" t="n"/>
      <c r="AT500" s="492" t="n"/>
      <c r="AU500" s="493" t="n"/>
      <c r="AV500" s="492" t="n"/>
      <c r="AW500" s="492" t="n"/>
      <c r="AX500" s="492" t="n"/>
      <c r="AY500" s="492" t="n"/>
      <c r="AZ500" s="492" t="n"/>
      <c r="BA500" s="493" t="n"/>
      <c r="BB500" s="492" t="n"/>
      <c r="BC500" s="492" t="n"/>
      <c r="BD500" s="492" t="n"/>
      <c r="BE500" s="492" t="n"/>
      <c r="BF500" s="493" t="n"/>
      <c r="BG500" s="493" t="n"/>
      <c r="BH500" s="495" t="n"/>
      <c r="BI500" s="496" t="n"/>
      <c r="BJ500" s="496" t="n"/>
      <c r="BK500" s="496" t="n"/>
      <c r="BM500" s="493" t="n"/>
      <c r="BN500" s="493" t="n"/>
      <c r="BO500" s="493" t="n"/>
      <c r="BP500" s="493" t="n"/>
      <c r="BQ500" s="493" t="n"/>
      <c r="BR500" s="493" t="n"/>
      <c r="BS500" s="493" t="n"/>
      <c r="BT500" s="493" t="n"/>
      <c r="BU500" s="493" t="n"/>
      <c r="BV500" s="493" t="n"/>
      <c r="BW500" s="493" t="n"/>
      <c r="BX500" s="493" t="n"/>
      <c r="BY500" s="493" t="n"/>
      <c r="BZ500" s="493" t="n"/>
      <c r="CA500" s="493" t="n"/>
      <c r="CB500" s="493" t="n"/>
      <c r="CC500" s="493" t="n"/>
      <c r="CD500" s="493" t="n"/>
      <c r="CE500" s="493" t="n"/>
      <c r="CF500" s="493" t="n"/>
      <c r="CG500" s="493" t="n"/>
      <c r="CH500" s="493" t="n"/>
      <c r="CI500" s="493" t="n"/>
      <c r="CJ500" s="493" t="n"/>
      <c r="CK500" s="493" t="n"/>
      <c r="CL500" s="493" t="n"/>
    </row>
    <row r="501" customFormat="1" s="230">
      <c r="E501" s="234" t="n"/>
      <c r="F501" s="492" t="n"/>
      <c r="G501" s="492" t="n"/>
      <c r="H501" s="493" t="n"/>
      <c r="I501" s="492" t="n"/>
      <c r="J501" s="492" t="n"/>
      <c r="K501" s="492" t="n"/>
      <c r="L501" s="492" t="n"/>
      <c r="M501" s="493" t="n"/>
      <c r="N501" s="492" t="n"/>
      <c r="O501" s="492" t="n"/>
      <c r="P501" s="492" t="n"/>
      <c r="Q501" s="492" t="n"/>
      <c r="R501" s="492" t="n"/>
      <c r="S501" s="492" t="n"/>
      <c r="T501" s="492" t="n"/>
      <c r="U501" s="492" t="n"/>
      <c r="V501" s="492" t="n"/>
      <c r="W501" s="492" t="n"/>
      <c r="X501" s="492" t="n"/>
      <c r="Y501" s="492" t="n"/>
      <c r="Z501" s="492" t="n"/>
      <c r="AA501" s="492" t="n"/>
      <c r="AB501" s="492" t="n"/>
      <c r="AC501" s="492" t="n"/>
      <c r="AD501" s="492" t="n"/>
      <c r="AE501" s="493" t="n"/>
      <c r="AF501" s="492" t="n"/>
      <c r="AG501" s="492" t="n"/>
      <c r="AH501" s="492" t="n"/>
      <c r="AI501" s="492" t="n"/>
      <c r="AJ501" s="493" t="n"/>
      <c r="AK501" s="492" t="n"/>
      <c r="AL501" s="492" t="n"/>
      <c r="AM501" s="492" t="n"/>
      <c r="AN501" s="492" t="n"/>
      <c r="AO501" s="492" t="n"/>
      <c r="AP501" s="492" t="n"/>
      <c r="AQ501" s="492" t="n"/>
      <c r="AR501" s="492" t="n"/>
      <c r="AS501" s="492" t="n"/>
      <c r="AT501" s="492" t="n"/>
      <c r="AU501" s="493" t="n"/>
      <c r="AV501" s="492" t="n"/>
      <c r="AW501" s="492" t="n"/>
      <c r="AX501" s="492" t="n"/>
      <c r="AY501" s="492" t="n"/>
      <c r="AZ501" s="492" t="n"/>
      <c r="BA501" s="493" t="n"/>
      <c r="BB501" s="492" t="n"/>
      <c r="BC501" s="492" t="n"/>
      <c r="BD501" s="492" t="n"/>
      <c r="BE501" s="492" t="n"/>
      <c r="BF501" s="493" t="n"/>
      <c r="BG501" s="493" t="n"/>
      <c r="BH501" s="495" t="n"/>
      <c r="BI501" s="496" t="n"/>
      <c r="BJ501" s="496" t="n"/>
      <c r="BK501" s="496" t="n"/>
      <c r="BM501" s="493" t="n"/>
      <c r="BN501" s="493" t="n"/>
      <c r="BO501" s="493" t="n"/>
      <c r="BP501" s="493" t="n"/>
      <c r="BQ501" s="493" t="n"/>
      <c r="BR501" s="493" t="n"/>
      <c r="BS501" s="493" t="n"/>
      <c r="BT501" s="493" t="n"/>
      <c r="BU501" s="493" t="n"/>
      <c r="BV501" s="493" t="n"/>
      <c r="BW501" s="493" t="n"/>
      <c r="BX501" s="493" t="n"/>
      <c r="BY501" s="493" t="n"/>
      <c r="BZ501" s="493" t="n"/>
      <c r="CA501" s="493" t="n"/>
      <c r="CB501" s="493" t="n"/>
      <c r="CC501" s="493" t="n"/>
      <c r="CD501" s="493" t="n"/>
      <c r="CE501" s="493" t="n"/>
      <c r="CF501" s="493" t="n"/>
      <c r="CG501" s="493" t="n"/>
      <c r="CH501" s="493" t="n"/>
      <c r="CI501" s="493" t="n"/>
      <c r="CJ501" s="493" t="n"/>
      <c r="CK501" s="493" t="n"/>
      <c r="CL501" s="493" t="n"/>
    </row>
    <row r="502" customFormat="1" s="230">
      <c r="E502" s="234" t="n"/>
      <c r="F502" s="492" t="n"/>
      <c r="G502" s="492" t="n"/>
      <c r="H502" s="493" t="n"/>
      <c r="I502" s="492" t="n"/>
      <c r="J502" s="492" t="n"/>
      <c r="K502" s="492" t="n"/>
      <c r="L502" s="492" t="n"/>
      <c r="M502" s="493" t="n"/>
      <c r="N502" s="492" t="n"/>
      <c r="O502" s="492" t="n"/>
      <c r="P502" s="492" t="n"/>
      <c r="Q502" s="492" t="n"/>
      <c r="R502" s="492" t="n"/>
      <c r="S502" s="492" t="n"/>
      <c r="T502" s="492" t="n"/>
      <c r="U502" s="492" t="n"/>
      <c r="V502" s="492" t="n"/>
      <c r="W502" s="492" t="n"/>
      <c r="X502" s="492" t="n"/>
      <c r="Y502" s="492" t="n"/>
      <c r="Z502" s="492" t="n"/>
      <c r="AA502" s="492" t="n"/>
      <c r="AB502" s="492" t="n"/>
      <c r="AC502" s="492" t="n"/>
      <c r="AD502" s="492" t="n"/>
      <c r="AE502" s="493" t="n"/>
      <c r="AF502" s="492" t="n"/>
      <c r="AG502" s="492" t="n"/>
      <c r="AH502" s="492" t="n"/>
      <c r="AI502" s="492" t="n"/>
      <c r="AJ502" s="493" t="n"/>
      <c r="AK502" s="492" t="n"/>
      <c r="AL502" s="492" t="n"/>
      <c r="AM502" s="492" t="n"/>
      <c r="AN502" s="492" t="n"/>
      <c r="AO502" s="492" t="n"/>
      <c r="AP502" s="492" t="n"/>
      <c r="AQ502" s="492" t="n"/>
      <c r="AR502" s="492" t="n"/>
      <c r="AS502" s="492" t="n"/>
      <c r="AT502" s="492" t="n"/>
      <c r="AU502" s="493" t="n"/>
      <c r="AV502" s="492" t="n"/>
      <c r="AW502" s="492" t="n"/>
      <c r="AX502" s="492" t="n"/>
      <c r="AY502" s="492" t="n"/>
      <c r="AZ502" s="492" t="n"/>
      <c r="BA502" s="493" t="n"/>
      <c r="BB502" s="492" t="n"/>
      <c r="BC502" s="492" t="n"/>
      <c r="BD502" s="492" t="n"/>
      <c r="BE502" s="492" t="n"/>
      <c r="BF502" s="493" t="n"/>
      <c r="BG502" s="493" t="n"/>
      <c r="BH502" s="495" t="n"/>
      <c r="BI502" s="496" t="n"/>
      <c r="BJ502" s="496" t="n"/>
      <c r="BK502" s="496" t="n"/>
      <c r="BM502" s="493" t="n"/>
      <c r="BN502" s="493" t="n"/>
      <c r="BO502" s="493" t="n"/>
      <c r="BP502" s="493" t="n"/>
      <c r="BQ502" s="493" t="n"/>
      <c r="BR502" s="493" t="n"/>
      <c r="BS502" s="493" t="n"/>
      <c r="BT502" s="493" t="n"/>
      <c r="BU502" s="493" t="n"/>
      <c r="BV502" s="493" t="n"/>
      <c r="BW502" s="493" t="n"/>
      <c r="BX502" s="493" t="n"/>
      <c r="BY502" s="493" t="n"/>
      <c r="BZ502" s="493" t="n"/>
      <c r="CA502" s="493" t="n"/>
      <c r="CB502" s="493" t="n"/>
      <c r="CC502" s="493" t="n"/>
      <c r="CD502" s="493" t="n"/>
      <c r="CE502" s="493" t="n"/>
      <c r="CF502" s="493" t="n"/>
      <c r="CG502" s="493" t="n"/>
      <c r="CH502" s="493" t="n"/>
      <c r="CI502" s="493" t="n"/>
      <c r="CJ502" s="493" t="n"/>
      <c r="CK502" s="493" t="n"/>
      <c r="CL502" s="493" t="n"/>
    </row>
    <row r="503" customFormat="1" s="230">
      <c r="E503" s="234" t="n"/>
      <c r="F503" s="492" t="n"/>
      <c r="G503" s="492" t="n"/>
      <c r="H503" s="493" t="n"/>
      <c r="I503" s="492" t="n"/>
      <c r="J503" s="492" t="n"/>
      <c r="K503" s="492" t="n"/>
      <c r="L503" s="492" t="n"/>
      <c r="M503" s="493" t="n"/>
      <c r="N503" s="492" t="n"/>
      <c r="O503" s="492" t="n"/>
      <c r="P503" s="492" t="n"/>
      <c r="Q503" s="492" t="n"/>
      <c r="R503" s="492" t="n"/>
      <c r="S503" s="492" t="n"/>
      <c r="T503" s="492" t="n"/>
      <c r="U503" s="492" t="n"/>
      <c r="V503" s="492" t="n"/>
      <c r="W503" s="492" t="n"/>
      <c r="X503" s="492" t="n"/>
      <c r="Y503" s="492" t="n"/>
      <c r="Z503" s="492" t="n"/>
      <c r="AA503" s="492" t="n"/>
      <c r="AB503" s="492" t="n"/>
      <c r="AC503" s="492" t="n"/>
      <c r="AD503" s="492" t="n"/>
      <c r="AE503" s="493" t="n"/>
      <c r="AF503" s="492" t="n"/>
      <c r="AG503" s="492" t="n"/>
      <c r="AH503" s="492" t="n"/>
      <c r="AI503" s="492" t="n"/>
      <c r="AJ503" s="493" t="n"/>
      <c r="AK503" s="492" t="n"/>
      <c r="AL503" s="492" t="n"/>
      <c r="AM503" s="492" t="n"/>
      <c r="AN503" s="492" t="n"/>
      <c r="AO503" s="492" t="n"/>
      <c r="AP503" s="492" t="n"/>
      <c r="AQ503" s="492" t="n"/>
      <c r="AR503" s="492" t="n"/>
      <c r="AS503" s="492" t="n"/>
      <c r="AT503" s="492" t="n"/>
      <c r="AU503" s="493" t="n"/>
      <c r="AV503" s="492" t="n"/>
      <c r="AW503" s="492" t="n"/>
      <c r="AX503" s="492" t="n"/>
      <c r="AY503" s="492" t="n"/>
      <c r="AZ503" s="492" t="n"/>
      <c r="BA503" s="493" t="n"/>
      <c r="BB503" s="492" t="n"/>
      <c r="BC503" s="492" t="n"/>
      <c r="BD503" s="492" t="n"/>
      <c r="BE503" s="492" t="n"/>
      <c r="BF503" s="493" t="n"/>
      <c r="BG503" s="493" t="n"/>
      <c r="BH503" s="495" t="n"/>
      <c r="BI503" s="496" t="n"/>
      <c r="BJ503" s="496" t="n"/>
      <c r="BK503" s="496" t="n"/>
      <c r="BM503" s="493" t="n"/>
      <c r="BN503" s="493" t="n"/>
      <c r="BO503" s="493" t="n"/>
      <c r="BP503" s="493" t="n"/>
      <c r="BQ503" s="493" t="n"/>
      <c r="BR503" s="493" t="n"/>
      <c r="BS503" s="493" t="n"/>
      <c r="BT503" s="493" t="n"/>
      <c r="BU503" s="493" t="n"/>
      <c r="BV503" s="493" t="n"/>
      <c r="BW503" s="493" t="n"/>
      <c r="BX503" s="493" t="n"/>
      <c r="BY503" s="493" t="n"/>
      <c r="BZ503" s="493" t="n"/>
      <c r="CA503" s="493" t="n"/>
      <c r="CB503" s="493" t="n"/>
      <c r="CC503" s="493" t="n"/>
      <c r="CD503" s="493" t="n"/>
      <c r="CE503" s="493" t="n"/>
      <c r="CF503" s="493" t="n"/>
      <c r="CG503" s="493" t="n"/>
      <c r="CH503" s="493" t="n"/>
      <c r="CI503" s="493" t="n"/>
      <c r="CJ503" s="493" t="n"/>
      <c r="CK503" s="493" t="n"/>
      <c r="CL503" s="493" t="n"/>
    </row>
    <row r="504" customFormat="1" s="230">
      <c r="E504" s="234" t="n"/>
      <c r="F504" s="492" t="n"/>
      <c r="G504" s="492" t="n"/>
      <c r="H504" s="493" t="n"/>
      <c r="I504" s="492" t="n"/>
      <c r="J504" s="492" t="n"/>
      <c r="K504" s="492" t="n"/>
      <c r="L504" s="492" t="n"/>
      <c r="M504" s="493" t="n"/>
      <c r="N504" s="492" t="n"/>
      <c r="O504" s="492" t="n"/>
      <c r="P504" s="492" t="n"/>
      <c r="Q504" s="492" t="n"/>
      <c r="R504" s="492" t="n"/>
      <c r="S504" s="492" t="n"/>
      <c r="T504" s="492" t="n"/>
      <c r="U504" s="492" t="n"/>
      <c r="V504" s="492" t="n"/>
      <c r="W504" s="492" t="n"/>
      <c r="X504" s="492" t="n"/>
      <c r="Y504" s="492" t="n"/>
      <c r="Z504" s="492" t="n"/>
      <c r="AA504" s="492" t="n"/>
      <c r="AB504" s="492" t="n"/>
      <c r="AC504" s="492" t="n"/>
      <c r="AD504" s="492" t="n"/>
      <c r="AE504" s="493" t="n"/>
      <c r="AF504" s="492" t="n"/>
      <c r="AG504" s="492" t="n"/>
      <c r="AH504" s="492" t="n"/>
      <c r="AI504" s="492" t="n"/>
      <c r="AJ504" s="493" t="n"/>
      <c r="AK504" s="492" t="n"/>
      <c r="AL504" s="492" t="n"/>
      <c r="AM504" s="492" t="n"/>
      <c r="AN504" s="492" t="n"/>
      <c r="AO504" s="492" t="n"/>
      <c r="AP504" s="492" t="n"/>
      <c r="AQ504" s="492" t="n"/>
      <c r="AR504" s="492" t="n"/>
      <c r="AS504" s="492" t="n"/>
      <c r="AT504" s="492" t="n"/>
      <c r="AU504" s="493" t="n"/>
      <c r="AV504" s="492" t="n"/>
      <c r="AW504" s="492" t="n"/>
      <c r="AX504" s="492" t="n"/>
      <c r="AY504" s="492" t="n"/>
      <c r="AZ504" s="492" t="n"/>
      <c r="BA504" s="493" t="n"/>
      <c r="BB504" s="492" t="n"/>
      <c r="BC504" s="492" t="n"/>
      <c r="BD504" s="492" t="n"/>
      <c r="BE504" s="492" t="n"/>
      <c r="BF504" s="493" t="n"/>
      <c r="BG504" s="493" t="n"/>
      <c r="BH504" s="495" t="n"/>
      <c r="BI504" s="496" t="n"/>
      <c r="BJ504" s="496" t="n"/>
      <c r="BK504" s="496" t="n"/>
      <c r="BM504" s="493" t="n"/>
      <c r="BN504" s="493" t="n"/>
      <c r="BO504" s="493" t="n"/>
      <c r="BP504" s="493" t="n"/>
      <c r="BQ504" s="493" t="n"/>
      <c r="BR504" s="493" t="n"/>
      <c r="BS504" s="493" t="n"/>
      <c r="BT504" s="493" t="n"/>
      <c r="BU504" s="493" t="n"/>
      <c r="BV504" s="493" t="n"/>
      <c r="BW504" s="493" t="n"/>
      <c r="BX504" s="493" t="n"/>
      <c r="BY504" s="493" t="n"/>
      <c r="BZ504" s="493" t="n"/>
      <c r="CA504" s="493" t="n"/>
      <c r="CB504" s="493" t="n"/>
      <c r="CC504" s="493" t="n"/>
      <c r="CD504" s="493" t="n"/>
      <c r="CE504" s="493" t="n"/>
      <c r="CF504" s="493" t="n"/>
      <c r="CG504" s="493" t="n"/>
      <c r="CH504" s="493" t="n"/>
      <c r="CI504" s="493" t="n"/>
      <c r="CJ504" s="493" t="n"/>
      <c r="CK504" s="493" t="n"/>
      <c r="CL504" s="493" t="n"/>
    </row>
    <row r="505" customFormat="1" s="230">
      <c r="E505" s="234" t="n"/>
      <c r="F505" s="492" t="n"/>
      <c r="G505" s="492" t="n"/>
      <c r="H505" s="493" t="n"/>
      <c r="I505" s="492" t="n"/>
      <c r="J505" s="492" t="n"/>
      <c r="K505" s="492" t="n"/>
      <c r="L505" s="492" t="n"/>
      <c r="M505" s="493" t="n"/>
      <c r="N505" s="492" t="n"/>
      <c r="O505" s="492" t="n"/>
      <c r="P505" s="492" t="n"/>
      <c r="Q505" s="492" t="n"/>
      <c r="R505" s="492" t="n"/>
      <c r="S505" s="492" t="n"/>
      <c r="T505" s="492" t="n"/>
      <c r="U505" s="492" t="n"/>
      <c r="V505" s="492" t="n"/>
      <c r="W505" s="492" t="n"/>
      <c r="X505" s="492" t="n"/>
      <c r="Y505" s="492" t="n"/>
      <c r="Z505" s="492" t="n"/>
      <c r="AA505" s="492" t="n"/>
      <c r="AB505" s="492" t="n"/>
      <c r="AC505" s="492" t="n"/>
      <c r="AD505" s="492" t="n"/>
      <c r="AE505" s="493" t="n"/>
      <c r="AF505" s="492" t="n"/>
      <c r="AG505" s="492" t="n"/>
      <c r="AH505" s="492" t="n"/>
      <c r="AI505" s="492" t="n"/>
      <c r="AJ505" s="493" t="n"/>
      <c r="AK505" s="492" t="n"/>
      <c r="AL505" s="492" t="n"/>
      <c r="AM505" s="492" t="n"/>
      <c r="AN505" s="492" t="n"/>
      <c r="AO505" s="492" t="n"/>
      <c r="AP505" s="492" t="n"/>
      <c r="AQ505" s="492" t="n"/>
      <c r="AR505" s="492" t="n"/>
      <c r="AS505" s="492" t="n"/>
      <c r="AT505" s="492" t="n"/>
      <c r="AU505" s="493" t="n"/>
      <c r="AV505" s="492" t="n"/>
      <c r="AW505" s="492" t="n"/>
      <c r="AX505" s="492" t="n"/>
      <c r="AY505" s="492" t="n"/>
      <c r="AZ505" s="492" t="n"/>
      <c r="BA505" s="493" t="n"/>
      <c r="BB505" s="492" t="n"/>
      <c r="BC505" s="492" t="n"/>
      <c r="BD505" s="492" t="n"/>
      <c r="BE505" s="492" t="n"/>
      <c r="BF505" s="493" t="n"/>
      <c r="BG505" s="493" t="n"/>
      <c r="BH505" s="495" t="n"/>
      <c r="BI505" s="496" t="n"/>
      <c r="BJ505" s="496" t="n"/>
      <c r="BK505" s="496" t="n"/>
      <c r="BM505" s="493" t="n"/>
      <c r="BN505" s="493" t="n"/>
      <c r="BO505" s="493" t="n"/>
      <c r="BP505" s="493" t="n"/>
      <c r="BQ505" s="493" t="n"/>
      <c r="BR505" s="493" t="n"/>
      <c r="BS505" s="493" t="n"/>
      <c r="BT505" s="493" t="n"/>
      <c r="BU505" s="493" t="n"/>
      <c r="BV505" s="493" t="n"/>
      <c r="BW505" s="493" t="n"/>
      <c r="BX505" s="493" t="n"/>
      <c r="BY505" s="493" t="n"/>
      <c r="BZ505" s="493" t="n"/>
      <c r="CA505" s="493" t="n"/>
      <c r="CB505" s="493" t="n"/>
      <c r="CC505" s="493" t="n"/>
      <c r="CD505" s="493" t="n"/>
      <c r="CE505" s="493" t="n"/>
      <c r="CF505" s="493" t="n"/>
      <c r="CG505" s="493" t="n"/>
      <c r="CH505" s="493" t="n"/>
      <c r="CI505" s="493" t="n"/>
      <c r="CJ505" s="493" t="n"/>
      <c r="CK505" s="493" t="n"/>
      <c r="CL505" s="493" t="n"/>
    </row>
    <row r="506" customFormat="1" s="230">
      <c r="E506" s="234" t="n"/>
      <c r="F506" s="492" t="n"/>
      <c r="G506" s="492" t="n"/>
      <c r="H506" s="493" t="n"/>
      <c r="I506" s="492" t="n"/>
      <c r="J506" s="492" t="n"/>
      <c r="K506" s="492" t="n"/>
      <c r="L506" s="492" t="n"/>
      <c r="M506" s="493" t="n"/>
      <c r="N506" s="492" t="n"/>
      <c r="O506" s="492" t="n"/>
      <c r="P506" s="492" t="n"/>
      <c r="Q506" s="492" t="n"/>
      <c r="R506" s="492" t="n"/>
      <c r="S506" s="492" t="n"/>
      <c r="T506" s="492" t="n"/>
      <c r="U506" s="492" t="n"/>
      <c r="V506" s="492" t="n"/>
      <c r="W506" s="492" t="n"/>
      <c r="X506" s="492" t="n"/>
      <c r="Y506" s="492" t="n"/>
      <c r="Z506" s="492" t="n"/>
      <c r="AA506" s="492" t="n"/>
      <c r="AB506" s="492" t="n"/>
      <c r="AC506" s="492" t="n"/>
      <c r="AD506" s="492" t="n"/>
      <c r="AE506" s="493" t="n"/>
      <c r="AF506" s="492" t="n"/>
      <c r="AG506" s="492" t="n"/>
      <c r="AH506" s="492" t="n"/>
      <c r="AI506" s="492" t="n"/>
      <c r="AJ506" s="493" t="n"/>
      <c r="AK506" s="492" t="n"/>
      <c r="AL506" s="492" t="n"/>
      <c r="AM506" s="492" t="n"/>
      <c r="AN506" s="492" t="n"/>
      <c r="AO506" s="492" t="n"/>
      <c r="AP506" s="492" t="n"/>
      <c r="AQ506" s="492" t="n"/>
      <c r="AR506" s="492" t="n"/>
      <c r="AS506" s="492" t="n"/>
      <c r="AT506" s="492" t="n"/>
      <c r="AU506" s="493" t="n"/>
      <c r="AV506" s="492" t="n"/>
      <c r="AW506" s="492" t="n"/>
      <c r="AX506" s="492" t="n"/>
      <c r="AY506" s="492" t="n"/>
      <c r="AZ506" s="492" t="n"/>
      <c r="BA506" s="493" t="n"/>
      <c r="BB506" s="492" t="n"/>
      <c r="BC506" s="492" t="n"/>
      <c r="BD506" s="492" t="n"/>
      <c r="BE506" s="492" t="n"/>
      <c r="BF506" s="493" t="n"/>
      <c r="BG506" s="493" t="n"/>
      <c r="BH506" s="495" t="n"/>
      <c r="BI506" s="496" t="n"/>
      <c r="BJ506" s="496" t="n"/>
      <c r="BK506" s="496" t="n"/>
      <c r="BM506" s="493" t="n"/>
      <c r="BN506" s="493" t="n"/>
      <c r="BO506" s="493" t="n"/>
      <c r="BP506" s="493" t="n"/>
      <c r="BQ506" s="493" t="n"/>
      <c r="BR506" s="493" t="n"/>
      <c r="BS506" s="493" t="n"/>
      <c r="BT506" s="493" t="n"/>
      <c r="BU506" s="493" t="n"/>
      <c r="BV506" s="493" t="n"/>
      <c r="BW506" s="493" t="n"/>
      <c r="BX506" s="493" t="n"/>
      <c r="BY506" s="493" t="n"/>
      <c r="BZ506" s="493" t="n"/>
      <c r="CA506" s="493" t="n"/>
      <c r="CB506" s="493" t="n"/>
      <c r="CC506" s="493" t="n"/>
      <c r="CD506" s="493" t="n"/>
      <c r="CE506" s="493" t="n"/>
      <c r="CF506" s="493" t="n"/>
      <c r="CG506" s="493" t="n"/>
      <c r="CH506" s="493" t="n"/>
      <c r="CI506" s="493" t="n"/>
      <c r="CJ506" s="493" t="n"/>
      <c r="CK506" s="493" t="n"/>
      <c r="CL506" s="493" t="n"/>
    </row>
    <row r="507" customFormat="1" s="230">
      <c r="E507" s="234" t="n"/>
      <c r="F507" s="492" t="n"/>
      <c r="G507" s="492" t="n"/>
      <c r="H507" s="493" t="n"/>
      <c r="I507" s="492" t="n"/>
      <c r="J507" s="492" t="n"/>
      <c r="K507" s="492" t="n"/>
      <c r="L507" s="492" t="n"/>
      <c r="M507" s="493" t="n"/>
      <c r="N507" s="492" t="n"/>
      <c r="O507" s="492" t="n"/>
      <c r="P507" s="492" t="n"/>
      <c r="Q507" s="492" t="n"/>
      <c r="R507" s="492" t="n"/>
      <c r="S507" s="492" t="n"/>
      <c r="T507" s="492" t="n"/>
      <c r="U507" s="492" t="n"/>
      <c r="V507" s="492" t="n"/>
      <c r="W507" s="492" t="n"/>
      <c r="X507" s="492" t="n"/>
      <c r="Y507" s="492" t="n"/>
      <c r="Z507" s="492" t="n"/>
      <c r="AA507" s="492" t="n"/>
      <c r="AB507" s="492" t="n"/>
      <c r="AC507" s="492" t="n"/>
      <c r="AD507" s="492" t="n"/>
      <c r="AE507" s="493" t="n"/>
      <c r="AF507" s="492" t="n"/>
      <c r="AG507" s="492" t="n"/>
      <c r="AH507" s="492" t="n"/>
      <c r="AI507" s="492" t="n"/>
      <c r="AJ507" s="493" t="n"/>
      <c r="AK507" s="492" t="n"/>
      <c r="AL507" s="492" t="n"/>
      <c r="AM507" s="492" t="n"/>
      <c r="AN507" s="492" t="n"/>
      <c r="AO507" s="492" t="n"/>
      <c r="AP507" s="492" t="n"/>
      <c r="AQ507" s="492" t="n"/>
      <c r="AR507" s="492" t="n"/>
      <c r="AS507" s="492" t="n"/>
      <c r="AT507" s="492" t="n"/>
      <c r="AU507" s="493" t="n"/>
      <c r="AV507" s="492" t="n"/>
      <c r="AW507" s="492" t="n"/>
      <c r="AX507" s="492" t="n"/>
      <c r="AY507" s="492" t="n"/>
      <c r="AZ507" s="492" t="n"/>
      <c r="BA507" s="493" t="n"/>
      <c r="BB507" s="492" t="n"/>
      <c r="BC507" s="492" t="n"/>
      <c r="BD507" s="492" t="n"/>
      <c r="BE507" s="492" t="n"/>
      <c r="BF507" s="493" t="n"/>
      <c r="BG507" s="493" t="n"/>
      <c r="BH507" s="495" t="n"/>
      <c r="BI507" s="496" t="n"/>
      <c r="BJ507" s="496" t="n"/>
      <c r="BK507" s="496" t="n"/>
      <c r="BM507" s="493" t="n"/>
      <c r="BN507" s="493" t="n"/>
      <c r="BO507" s="493" t="n"/>
      <c r="BP507" s="493" t="n"/>
      <c r="BQ507" s="493" t="n"/>
      <c r="BR507" s="493" t="n"/>
      <c r="BS507" s="493" t="n"/>
      <c r="BT507" s="493" t="n"/>
      <c r="BU507" s="493" t="n"/>
      <c r="BV507" s="493" t="n"/>
      <c r="BW507" s="493" t="n"/>
      <c r="BX507" s="493" t="n"/>
      <c r="BY507" s="493" t="n"/>
      <c r="BZ507" s="493" t="n"/>
      <c r="CA507" s="493" t="n"/>
      <c r="CB507" s="493" t="n"/>
      <c r="CC507" s="493" t="n"/>
      <c r="CD507" s="493" t="n"/>
      <c r="CE507" s="493" t="n"/>
      <c r="CF507" s="493" t="n"/>
      <c r="CG507" s="493" t="n"/>
      <c r="CH507" s="493" t="n"/>
      <c r="CI507" s="493" t="n"/>
      <c r="CJ507" s="493" t="n"/>
      <c r="CK507" s="493" t="n"/>
      <c r="CL507" s="493" t="n"/>
    </row>
    <row r="508" customFormat="1" s="230">
      <c r="E508" s="234" t="n"/>
      <c r="F508" s="492" t="n"/>
      <c r="G508" s="492" t="n"/>
      <c r="H508" s="493" t="n"/>
      <c r="I508" s="492" t="n"/>
      <c r="J508" s="492" t="n"/>
      <c r="K508" s="492" t="n"/>
      <c r="L508" s="492" t="n"/>
      <c r="M508" s="493" t="n"/>
      <c r="N508" s="492" t="n"/>
      <c r="O508" s="492" t="n"/>
      <c r="P508" s="492" t="n"/>
      <c r="Q508" s="492" t="n"/>
      <c r="R508" s="492" t="n"/>
      <c r="S508" s="492" t="n"/>
      <c r="T508" s="492" t="n"/>
      <c r="U508" s="492" t="n"/>
      <c r="V508" s="492" t="n"/>
      <c r="W508" s="492" t="n"/>
      <c r="X508" s="492" t="n"/>
      <c r="Y508" s="492" t="n"/>
      <c r="Z508" s="492" t="n"/>
      <c r="AA508" s="492" t="n"/>
      <c r="AB508" s="492" t="n"/>
      <c r="AC508" s="492" t="n"/>
      <c r="AD508" s="492" t="n"/>
      <c r="AE508" s="493" t="n"/>
      <c r="AF508" s="492" t="n"/>
      <c r="AG508" s="492" t="n"/>
      <c r="AH508" s="492" t="n"/>
      <c r="AI508" s="492" t="n"/>
      <c r="AJ508" s="493" t="n"/>
      <c r="AK508" s="492" t="n"/>
      <c r="AL508" s="492" t="n"/>
      <c r="AM508" s="492" t="n"/>
      <c r="AN508" s="492" t="n"/>
      <c r="AO508" s="492" t="n"/>
      <c r="AP508" s="492" t="n"/>
      <c r="AQ508" s="492" t="n"/>
      <c r="AR508" s="492" t="n"/>
      <c r="AS508" s="492" t="n"/>
      <c r="AT508" s="492" t="n"/>
      <c r="AU508" s="493" t="n"/>
      <c r="AV508" s="492" t="n"/>
      <c r="AW508" s="492" t="n"/>
      <c r="AX508" s="492" t="n"/>
      <c r="AY508" s="492" t="n"/>
      <c r="AZ508" s="492" t="n"/>
      <c r="BA508" s="493" t="n"/>
      <c r="BB508" s="492" t="n"/>
      <c r="BC508" s="492" t="n"/>
      <c r="BD508" s="492" t="n"/>
      <c r="BE508" s="492" t="n"/>
      <c r="BF508" s="493" t="n"/>
      <c r="BG508" s="493" t="n"/>
      <c r="BH508" s="495" t="n"/>
      <c r="BI508" s="496" t="n"/>
      <c r="BJ508" s="496" t="n"/>
      <c r="BK508" s="496" t="n"/>
      <c r="BM508" s="493" t="n"/>
      <c r="BN508" s="493" t="n"/>
      <c r="BO508" s="493" t="n"/>
      <c r="BP508" s="493" t="n"/>
      <c r="BQ508" s="493" t="n"/>
      <c r="BR508" s="493" t="n"/>
      <c r="BS508" s="493" t="n"/>
      <c r="BT508" s="493" t="n"/>
      <c r="BU508" s="493" t="n"/>
      <c r="BV508" s="493" t="n"/>
      <c r="BW508" s="493" t="n"/>
      <c r="BX508" s="493" t="n"/>
      <c r="BY508" s="493" t="n"/>
      <c r="BZ508" s="493" t="n"/>
      <c r="CA508" s="493" t="n"/>
      <c r="CB508" s="493" t="n"/>
      <c r="CC508" s="493" t="n"/>
      <c r="CD508" s="493" t="n"/>
      <c r="CE508" s="493" t="n"/>
      <c r="CF508" s="493" t="n"/>
      <c r="CG508" s="493" t="n"/>
      <c r="CH508" s="493" t="n"/>
      <c r="CI508" s="493" t="n"/>
      <c r="CJ508" s="493" t="n"/>
      <c r="CK508" s="493" t="n"/>
      <c r="CL508" s="493" t="n"/>
    </row>
    <row r="509" customFormat="1" s="230">
      <c r="E509" s="234" t="n"/>
      <c r="F509" s="492" t="n"/>
      <c r="G509" s="492" t="n"/>
      <c r="H509" s="493" t="n"/>
      <c r="I509" s="492" t="n"/>
      <c r="J509" s="492" t="n"/>
      <c r="K509" s="492" t="n"/>
      <c r="L509" s="492" t="n"/>
      <c r="M509" s="493" t="n"/>
      <c r="N509" s="492" t="n"/>
      <c r="O509" s="492" t="n"/>
      <c r="P509" s="492" t="n"/>
      <c r="Q509" s="492" t="n"/>
      <c r="R509" s="492" t="n"/>
      <c r="S509" s="492" t="n"/>
      <c r="T509" s="492" t="n"/>
      <c r="U509" s="492" t="n"/>
      <c r="V509" s="492" t="n"/>
      <c r="W509" s="492" t="n"/>
      <c r="X509" s="492" t="n"/>
      <c r="Y509" s="492" t="n"/>
      <c r="Z509" s="492" t="n"/>
      <c r="AA509" s="492" t="n"/>
      <c r="AB509" s="492" t="n"/>
      <c r="AC509" s="492" t="n"/>
      <c r="AD509" s="492" t="n"/>
      <c r="AE509" s="493" t="n"/>
      <c r="AF509" s="492" t="n"/>
      <c r="AG509" s="492" t="n"/>
      <c r="AH509" s="492" t="n"/>
      <c r="AI509" s="492" t="n"/>
      <c r="AJ509" s="493" t="n"/>
      <c r="AK509" s="492" t="n"/>
      <c r="AL509" s="492" t="n"/>
      <c r="AM509" s="492" t="n"/>
      <c r="AN509" s="492" t="n"/>
      <c r="AO509" s="492" t="n"/>
      <c r="AP509" s="492" t="n"/>
      <c r="AQ509" s="492" t="n"/>
      <c r="AR509" s="492" t="n"/>
      <c r="AS509" s="492" t="n"/>
      <c r="AT509" s="492" t="n"/>
      <c r="AU509" s="493" t="n"/>
      <c r="AV509" s="492" t="n"/>
      <c r="AW509" s="492" t="n"/>
      <c r="AX509" s="492" t="n"/>
      <c r="AY509" s="492" t="n"/>
      <c r="AZ509" s="492" t="n"/>
      <c r="BA509" s="493" t="n"/>
      <c r="BB509" s="492" t="n"/>
      <c r="BC509" s="492" t="n"/>
      <c r="BD509" s="492" t="n"/>
      <c r="BE509" s="492" t="n"/>
      <c r="BF509" s="493" t="n"/>
      <c r="BG509" s="493" t="n"/>
      <c r="BH509" s="495" t="n"/>
      <c r="BI509" s="496" t="n"/>
      <c r="BJ509" s="496" t="n"/>
      <c r="BK509" s="496" t="n"/>
      <c r="BM509" s="493" t="n"/>
      <c r="BN509" s="493" t="n"/>
      <c r="BO509" s="493" t="n"/>
      <c r="BP509" s="493" t="n"/>
      <c r="BQ509" s="493" t="n"/>
      <c r="BR509" s="493" t="n"/>
      <c r="BS509" s="493" t="n"/>
      <c r="BT509" s="493" t="n"/>
      <c r="BU509" s="493" t="n"/>
      <c r="BV509" s="493" t="n"/>
      <c r="BW509" s="493" t="n"/>
      <c r="BX509" s="493" t="n"/>
      <c r="BY509" s="493" t="n"/>
      <c r="BZ509" s="493" t="n"/>
      <c r="CA509" s="493" t="n"/>
      <c r="CB509" s="493" t="n"/>
      <c r="CC509" s="493" t="n"/>
      <c r="CD509" s="493" t="n"/>
      <c r="CE509" s="493" t="n"/>
      <c r="CF509" s="493" t="n"/>
      <c r="CG509" s="493" t="n"/>
      <c r="CH509" s="493" t="n"/>
      <c r="CI509" s="493" t="n"/>
      <c r="CJ509" s="493" t="n"/>
      <c r="CK509" s="493" t="n"/>
      <c r="CL509" s="493" t="n"/>
    </row>
    <row r="510" customFormat="1" s="230">
      <c r="E510" s="234" t="n"/>
      <c r="F510" s="492" t="n"/>
      <c r="G510" s="492" t="n"/>
      <c r="H510" s="493" t="n"/>
      <c r="I510" s="492" t="n"/>
      <c r="J510" s="492" t="n"/>
      <c r="K510" s="492" t="n"/>
      <c r="L510" s="492" t="n"/>
      <c r="M510" s="493" t="n"/>
      <c r="N510" s="492" t="n"/>
      <c r="O510" s="492" t="n"/>
      <c r="P510" s="492" t="n"/>
      <c r="Q510" s="492" t="n"/>
      <c r="R510" s="492" t="n"/>
      <c r="S510" s="492" t="n"/>
      <c r="T510" s="492" t="n"/>
      <c r="U510" s="492" t="n"/>
      <c r="V510" s="492" t="n"/>
      <c r="W510" s="492" t="n"/>
      <c r="X510" s="492" t="n"/>
      <c r="Y510" s="492" t="n"/>
      <c r="Z510" s="492" t="n"/>
      <c r="AA510" s="492" t="n"/>
      <c r="AB510" s="492" t="n"/>
      <c r="AC510" s="492" t="n"/>
      <c r="AD510" s="492" t="n"/>
      <c r="AE510" s="493" t="n"/>
      <c r="AF510" s="492" t="n"/>
      <c r="AG510" s="492" t="n"/>
      <c r="AH510" s="492" t="n"/>
      <c r="AI510" s="492" t="n"/>
      <c r="AJ510" s="493" t="n"/>
      <c r="AK510" s="492" t="n"/>
      <c r="AL510" s="492" t="n"/>
      <c r="AM510" s="492" t="n"/>
      <c r="AN510" s="492" t="n"/>
      <c r="AO510" s="492" t="n"/>
      <c r="AP510" s="492" t="n"/>
      <c r="AQ510" s="492" t="n"/>
      <c r="AR510" s="492" t="n"/>
      <c r="AS510" s="492" t="n"/>
      <c r="AT510" s="492" t="n"/>
      <c r="AU510" s="493" t="n"/>
      <c r="AV510" s="492" t="n"/>
      <c r="AW510" s="492" t="n"/>
      <c r="AX510" s="492" t="n"/>
      <c r="AY510" s="492" t="n"/>
      <c r="AZ510" s="492" t="n"/>
      <c r="BA510" s="493" t="n"/>
      <c r="BB510" s="492" t="n"/>
      <c r="BC510" s="492" t="n"/>
      <c r="BD510" s="492" t="n"/>
      <c r="BE510" s="492" t="n"/>
      <c r="BF510" s="493" t="n"/>
      <c r="BG510" s="493" t="n"/>
      <c r="BH510" s="495" t="n"/>
      <c r="BI510" s="496" t="n"/>
      <c r="BJ510" s="496" t="n"/>
      <c r="BK510" s="496" t="n"/>
      <c r="BM510" s="493" t="n"/>
      <c r="BN510" s="493" t="n"/>
      <c r="BO510" s="493" t="n"/>
      <c r="BP510" s="493" t="n"/>
      <c r="BQ510" s="493" t="n"/>
      <c r="BR510" s="493" t="n"/>
      <c r="BS510" s="493" t="n"/>
      <c r="BT510" s="493" t="n"/>
      <c r="BU510" s="493" t="n"/>
      <c r="BV510" s="493" t="n"/>
      <c r="BW510" s="493" t="n"/>
      <c r="BX510" s="493" t="n"/>
      <c r="BY510" s="493" t="n"/>
      <c r="BZ510" s="493" t="n"/>
      <c r="CA510" s="493" t="n"/>
      <c r="CB510" s="493" t="n"/>
      <c r="CC510" s="493" t="n"/>
      <c r="CD510" s="493" t="n"/>
      <c r="CE510" s="493" t="n"/>
      <c r="CF510" s="493" t="n"/>
      <c r="CG510" s="493" t="n"/>
      <c r="CH510" s="493" t="n"/>
      <c r="CI510" s="493" t="n"/>
      <c r="CJ510" s="493" t="n"/>
      <c r="CK510" s="493" t="n"/>
      <c r="CL510" s="493" t="n"/>
    </row>
    <row r="511" customFormat="1" s="230">
      <c r="E511" s="234" t="n"/>
      <c r="F511" s="492" t="n"/>
      <c r="G511" s="492" t="n"/>
      <c r="H511" s="493" t="n"/>
      <c r="I511" s="492" t="n"/>
      <c r="J511" s="492" t="n"/>
      <c r="K511" s="492" t="n"/>
      <c r="L511" s="492" t="n"/>
      <c r="M511" s="493" t="n"/>
      <c r="N511" s="492" t="n"/>
      <c r="O511" s="492" t="n"/>
      <c r="P511" s="492" t="n"/>
      <c r="Q511" s="492" t="n"/>
      <c r="R511" s="492" t="n"/>
      <c r="S511" s="492" t="n"/>
      <c r="T511" s="492" t="n"/>
      <c r="U511" s="492" t="n"/>
      <c r="V511" s="492" t="n"/>
      <c r="W511" s="492" t="n"/>
      <c r="X511" s="492" t="n"/>
      <c r="Y511" s="492" t="n"/>
      <c r="Z511" s="492" t="n"/>
      <c r="AA511" s="492" t="n"/>
      <c r="AB511" s="492" t="n"/>
      <c r="AC511" s="492" t="n"/>
      <c r="AD511" s="492" t="n"/>
      <c r="AE511" s="493" t="n"/>
      <c r="AF511" s="492" t="n"/>
      <c r="AG511" s="492" t="n"/>
      <c r="AH511" s="492" t="n"/>
      <c r="AI511" s="492" t="n"/>
      <c r="AJ511" s="493" t="n"/>
      <c r="AK511" s="492" t="n"/>
      <c r="AL511" s="492" t="n"/>
      <c r="AM511" s="492" t="n"/>
      <c r="AN511" s="492" t="n"/>
      <c r="AO511" s="492" t="n"/>
      <c r="AP511" s="492" t="n"/>
      <c r="AQ511" s="492" t="n"/>
      <c r="AR511" s="492" t="n"/>
      <c r="AS511" s="492" t="n"/>
      <c r="AT511" s="492" t="n"/>
      <c r="AU511" s="493" t="n"/>
      <c r="AV511" s="492" t="n"/>
      <c r="AW511" s="492" t="n"/>
      <c r="AX511" s="492" t="n"/>
      <c r="AY511" s="492" t="n"/>
      <c r="AZ511" s="492" t="n"/>
      <c r="BA511" s="493" t="n"/>
      <c r="BB511" s="492" t="n"/>
      <c r="BC511" s="492" t="n"/>
      <c r="BD511" s="492" t="n"/>
      <c r="BE511" s="492" t="n"/>
      <c r="BF511" s="493" t="n"/>
      <c r="BG511" s="493" t="n"/>
      <c r="BH511" s="495" t="n"/>
      <c r="BI511" s="496" t="n"/>
      <c r="BJ511" s="496" t="n"/>
      <c r="BK511" s="496" t="n"/>
      <c r="BM511" s="493" t="n"/>
      <c r="BN511" s="493" t="n"/>
      <c r="BO511" s="493" t="n"/>
      <c r="BP511" s="493" t="n"/>
      <c r="BQ511" s="493" t="n"/>
      <c r="BR511" s="493" t="n"/>
      <c r="BS511" s="493" t="n"/>
      <c r="BT511" s="493" t="n"/>
      <c r="BU511" s="493" t="n"/>
      <c r="BV511" s="493" t="n"/>
      <c r="BW511" s="493" t="n"/>
      <c r="BX511" s="493" t="n"/>
      <c r="BY511" s="493" t="n"/>
      <c r="BZ511" s="493" t="n"/>
      <c r="CA511" s="493" t="n"/>
      <c r="CB511" s="493" t="n"/>
      <c r="CC511" s="493" t="n"/>
      <c r="CD511" s="493" t="n"/>
      <c r="CE511" s="493" t="n"/>
      <c r="CF511" s="493" t="n"/>
      <c r="CG511" s="493" t="n"/>
      <c r="CH511" s="493" t="n"/>
      <c r="CI511" s="493" t="n"/>
      <c r="CJ511" s="493" t="n"/>
      <c r="CK511" s="493" t="n"/>
      <c r="CL511" s="493" t="n"/>
    </row>
    <row r="512" customFormat="1" s="230">
      <c r="E512" s="234" t="n"/>
      <c r="F512" s="492" t="n"/>
      <c r="G512" s="492" t="n"/>
      <c r="H512" s="493" t="n"/>
      <c r="I512" s="492" t="n"/>
      <c r="J512" s="492" t="n"/>
      <c r="K512" s="492" t="n"/>
      <c r="L512" s="492" t="n"/>
      <c r="M512" s="493" t="n"/>
      <c r="N512" s="492" t="n"/>
      <c r="O512" s="492" t="n"/>
      <c r="P512" s="492" t="n"/>
      <c r="Q512" s="492" t="n"/>
      <c r="R512" s="492" t="n"/>
      <c r="S512" s="492" t="n"/>
      <c r="T512" s="492" t="n"/>
      <c r="U512" s="492" t="n"/>
      <c r="V512" s="492" t="n"/>
      <c r="W512" s="492" t="n"/>
      <c r="X512" s="492" t="n"/>
      <c r="Y512" s="492" t="n"/>
      <c r="Z512" s="492" t="n"/>
      <c r="AA512" s="492" t="n"/>
      <c r="AB512" s="492" t="n"/>
      <c r="AC512" s="492" t="n"/>
      <c r="AD512" s="492" t="n"/>
      <c r="AE512" s="493" t="n"/>
      <c r="AF512" s="492" t="n"/>
      <c r="AG512" s="492" t="n"/>
      <c r="AH512" s="492" t="n"/>
      <c r="AI512" s="492" t="n"/>
      <c r="AJ512" s="493" t="n"/>
      <c r="AK512" s="492" t="n"/>
      <c r="AL512" s="492" t="n"/>
      <c r="AM512" s="492" t="n"/>
      <c r="AN512" s="492" t="n"/>
      <c r="AO512" s="492" t="n"/>
      <c r="AP512" s="492" t="n"/>
      <c r="AQ512" s="492" t="n"/>
      <c r="AR512" s="492" t="n"/>
      <c r="AS512" s="492" t="n"/>
      <c r="AT512" s="492" t="n"/>
      <c r="AU512" s="493" t="n"/>
      <c r="AV512" s="492" t="n"/>
      <c r="AW512" s="492" t="n"/>
      <c r="AX512" s="492" t="n"/>
      <c r="AY512" s="492" t="n"/>
      <c r="AZ512" s="492" t="n"/>
      <c r="BA512" s="493" t="n"/>
      <c r="BB512" s="492" t="n"/>
      <c r="BC512" s="492" t="n"/>
      <c r="BD512" s="492" t="n"/>
      <c r="BE512" s="492" t="n"/>
      <c r="BF512" s="493" t="n"/>
      <c r="BG512" s="493" t="n"/>
      <c r="BH512" s="495" t="n"/>
      <c r="BI512" s="496" t="n"/>
      <c r="BJ512" s="496" t="n"/>
      <c r="BK512" s="496" t="n"/>
      <c r="BM512" s="493" t="n"/>
      <c r="BN512" s="493" t="n"/>
      <c r="BO512" s="493" t="n"/>
      <c r="BP512" s="493" t="n"/>
      <c r="BQ512" s="493" t="n"/>
      <c r="BR512" s="493" t="n"/>
      <c r="BS512" s="493" t="n"/>
      <c r="BT512" s="493" t="n"/>
      <c r="BU512" s="493" t="n"/>
      <c r="BV512" s="493" t="n"/>
      <c r="BW512" s="493" t="n"/>
      <c r="BX512" s="493" t="n"/>
      <c r="BY512" s="493" t="n"/>
      <c r="BZ512" s="493" t="n"/>
      <c r="CA512" s="493" t="n"/>
      <c r="CB512" s="493" t="n"/>
      <c r="CC512" s="493" t="n"/>
      <c r="CD512" s="493" t="n"/>
      <c r="CE512" s="493" t="n"/>
      <c r="CF512" s="493" t="n"/>
      <c r="CG512" s="493" t="n"/>
      <c r="CH512" s="493" t="n"/>
      <c r="CI512" s="493" t="n"/>
      <c r="CJ512" s="493" t="n"/>
      <c r="CK512" s="493" t="n"/>
      <c r="CL512" s="493" t="n"/>
    </row>
    <row r="513" customFormat="1" s="230">
      <c r="E513" s="234" t="n"/>
      <c r="F513" s="492" t="n"/>
      <c r="G513" s="492" t="n"/>
      <c r="H513" s="493" t="n"/>
      <c r="I513" s="492" t="n"/>
      <c r="J513" s="492" t="n"/>
      <c r="K513" s="492" t="n"/>
      <c r="L513" s="492" t="n"/>
      <c r="M513" s="493" t="n"/>
      <c r="N513" s="492" t="n"/>
      <c r="O513" s="492" t="n"/>
      <c r="P513" s="492" t="n"/>
      <c r="Q513" s="492" t="n"/>
      <c r="R513" s="492" t="n"/>
      <c r="S513" s="492" t="n"/>
      <c r="T513" s="492" t="n"/>
      <c r="U513" s="492" t="n"/>
      <c r="V513" s="492" t="n"/>
      <c r="W513" s="492" t="n"/>
      <c r="X513" s="492" t="n"/>
      <c r="Y513" s="492" t="n"/>
      <c r="Z513" s="492" t="n"/>
      <c r="AA513" s="492" t="n"/>
      <c r="AB513" s="492" t="n"/>
      <c r="AC513" s="492" t="n"/>
      <c r="AD513" s="492" t="n"/>
      <c r="AE513" s="493" t="n"/>
      <c r="AF513" s="492" t="n"/>
      <c r="AG513" s="492" t="n"/>
      <c r="AH513" s="492" t="n"/>
      <c r="AI513" s="492" t="n"/>
      <c r="AJ513" s="493" t="n"/>
      <c r="AK513" s="492" t="n"/>
      <c r="AL513" s="492" t="n"/>
      <c r="AM513" s="492" t="n"/>
      <c r="AN513" s="492" t="n"/>
      <c r="AO513" s="492" t="n"/>
      <c r="AP513" s="492" t="n"/>
      <c r="AQ513" s="492" t="n"/>
      <c r="AR513" s="492" t="n"/>
      <c r="AS513" s="492" t="n"/>
      <c r="AT513" s="492" t="n"/>
      <c r="AU513" s="493" t="n"/>
      <c r="AV513" s="492" t="n"/>
      <c r="AW513" s="492" t="n"/>
      <c r="AX513" s="492" t="n"/>
      <c r="AY513" s="492" t="n"/>
      <c r="AZ513" s="492" t="n"/>
      <c r="BA513" s="493" t="n"/>
      <c r="BB513" s="492" t="n"/>
      <c r="BC513" s="492" t="n"/>
      <c r="BD513" s="492" t="n"/>
      <c r="BE513" s="492" t="n"/>
      <c r="BF513" s="493" t="n"/>
      <c r="BG513" s="493" t="n"/>
      <c r="BH513" s="495" t="n"/>
      <c r="BI513" s="496" t="n"/>
      <c r="BJ513" s="496" t="n"/>
      <c r="BK513" s="496" t="n"/>
      <c r="BM513" s="493" t="n"/>
      <c r="BN513" s="493" t="n"/>
      <c r="BO513" s="493" t="n"/>
      <c r="BP513" s="493" t="n"/>
      <c r="BQ513" s="493" t="n"/>
      <c r="BR513" s="493" t="n"/>
      <c r="BS513" s="493" t="n"/>
      <c r="BT513" s="493" t="n"/>
      <c r="BU513" s="493" t="n"/>
      <c r="BV513" s="493" t="n"/>
      <c r="BW513" s="493" t="n"/>
      <c r="BX513" s="493" t="n"/>
      <c r="BY513" s="493" t="n"/>
      <c r="BZ513" s="493" t="n"/>
      <c r="CA513" s="493" t="n"/>
      <c r="CB513" s="493" t="n"/>
      <c r="CC513" s="493" t="n"/>
      <c r="CD513" s="493" t="n"/>
      <c r="CE513" s="493" t="n"/>
      <c r="CF513" s="493" t="n"/>
      <c r="CG513" s="493" t="n"/>
      <c r="CH513" s="493" t="n"/>
      <c r="CI513" s="493" t="n"/>
      <c r="CJ513" s="493" t="n"/>
      <c r="CK513" s="493" t="n"/>
      <c r="CL513" s="493" t="n"/>
    </row>
    <row r="514" customFormat="1" s="230">
      <c r="E514" s="234" t="n"/>
      <c r="F514" s="492" t="n"/>
      <c r="G514" s="492" t="n"/>
      <c r="H514" s="493" t="n"/>
      <c r="I514" s="492" t="n"/>
      <c r="J514" s="492" t="n"/>
      <c r="K514" s="492" t="n"/>
      <c r="L514" s="492" t="n"/>
      <c r="M514" s="493" t="n"/>
      <c r="N514" s="492" t="n"/>
      <c r="O514" s="492" t="n"/>
      <c r="P514" s="492" t="n"/>
      <c r="Q514" s="492" t="n"/>
      <c r="R514" s="492" t="n"/>
      <c r="S514" s="492" t="n"/>
      <c r="T514" s="492" t="n"/>
      <c r="U514" s="492" t="n"/>
      <c r="V514" s="492" t="n"/>
      <c r="W514" s="492" t="n"/>
      <c r="X514" s="492" t="n"/>
      <c r="Y514" s="492" t="n"/>
      <c r="Z514" s="492" t="n"/>
      <c r="AA514" s="492" t="n"/>
      <c r="AB514" s="492" t="n"/>
      <c r="AC514" s="492" t="n"/>
      <c r="AD514" s="492" t="n"/>
      <c r="AE514" s="493" t="n"/>
      <c r="AF514" s="492" t="n"/>
      <c r="AG514" s="492" t="n"/>
      <c r="AH514" s="492" t="n"/>
      <c r="AI514" s="492" t="n"/>
      <c r="AJ514" s="493" t="n"/>
      <c r="AK514" s="492" t="n"/>
      <c r="AL514" s="492" t="n"/>
      <c r="AM514" s="492" t="n"/>
      <c r="AN514" s="492" t="n"/>
      <c r="AO514" s="492" t="n"/>
      <c r="AP514" s="492" t="n"/>
      <c r="AQ514" s="492" t="n"/>
      <c r="AR514" s="492" t="n"/>
      <c r="AS514" s="492" t="n"/>
      <c r="AT514" s="492" t="n"/>
      <c r="AU514" s="493" t="n"/>
      <c r="AV514" s="492" t="n"/>
      <c r="AW514" s="492" t="n"/>
      <c r="AX514" s="492" t="n"/>
      <c r="AY514" s="492" t="n"/>
      <c r="AZ514" s="492" t="n"/>
      <c r="BA514" s="493" t="n"/>
      <c r="BB514" s="492" t="n"/>
      <c r="BC514" s="492" t="n"/>
      <c r="BD514" s="492" t="n"/>
      <c r="BE514" s="492" t="n"/>
      <c r="BF514" s="493" t="n"/>
      <c r="BG514" s="493" t="n"/>
      <c r="BH514" s="495" t="n"/>
      <c r="BI514" s="496" t="n"/>
      <c r="BJ514" s="496" t="n"/>
      <c r="BK514" s="496" t="n"/>
      <c r="BM514" s="493" t="n"/>
      <c r="BN514" s="493" t="n"/>
      <c r="BO514" s="493" t="n"/>
      <c r="BP514" s="493" t="n"/>
      <c r="BQ514" s="493" t="n"/>
      <c r="BR514" s="493" t="n"/>
      <c r="BS514" s="493" t="n"/>
      <c r="BT514" s="493" t="n"/>
      <c r="BU514" s="493" t="n"/>
      <c r="BV514" s="493" t="n"/>
      <c r="BW514" s="493" t="n"/>
      <c r="BX514" s="493" t="n"/>
      <c r="BY514" s="493" t="n"/>
      <c r="BZ514" s="493" t="n"/>
      <c r="CA514" s="493" t="n"/>
      <c r="CB514" s="493" t="n"/>
      <c r="CC514" s="493" t="n"/>
      <c r="CD514" s="493" t="n"/>
      <c r="CE514" s="493" t="n"/>
      <c r="CF514" s="493" t="n"/>
      <c r="CG514" s="493" t="n"/>
      <c r="CH514" s="493" t="n"/>
      <c r="CI514" s="493" t="n"/>
      <c r="CJ514" s="493" t="n"/>
      <c r="CK514" s="493" t="n"/>
      <c r="CL514" s="493" t="n"/>
    </row>
    <row r="515" customFormat="1" s="230">
      <c r="E515" s="234" t="n"/>
      <c r="F515" s="492" t="n"/>
      <c r="G515" s="492" t="n"/>
      <c r="H515" s="493" t="n"/>
      <c r="I515" s="492" t="n"/>
      <c r="J515" s="492" t="n"/>
      <c r="K515" s="492" t="n"/>
      <c r="L515" s="492" t="n"/>
      <c r="M515" s="493" t="n"/>
      <c r="N515" s="492" t="n"/>
      <c r="O515" s="492" t="n"/>
      <c r="P515" s="492" t="n"/>
      <c r="Q515" s="492" t="n"/>
      <c r="R515" s="492" t="n"/>
      <c r="S515" s="492" t="n"/>
      <c r="T515" s="492" t="n"/>
      <c r="U515" s="492" t="n"/>
      <c r="V515" s="492" t="n"/>
      <c r="W515" s="492" t="n"/>
      <c r="X515" s="492" t="n"/>
      <c r="Y515" s="492" t="n"/>
      <c r="Z515" s="492" t="n"/>
      <c r="AA515" s="492" t="n"/>
      <c r="AB515" s="492" t="n"/>
      <c r="AC515" s="492" t="n"/>
      <c r="AD515" s="492" t="n"/>
      <c r="AE515" s="493" t="n"/>
      <c r="AF515" s="492" t="n"/>
      <c r="AG515" s="492" t="n"/>
      <c r="AH515" s="492" t="n"/>
      <c r="AI515" s="492" t="n"/>
      <c r="AJ515" s="493" t="n"/>
      <c r="AK515" s="492" t="n"/>
      <c r="AL515" s="492" t="n"/>
      <c r="AM515" s="492" t="n"/>
      <c r="AN515" s="492" t="n"/>
      <c r="AO515" s="492" t="n"/>
      <c r="AP515" s="492" t="n"/>
      <c r="AQ515" s="492" t="n"/>
      <c r="AR515" s="492" t="n"/>
      <c r="AS515" s="492" t="n"/>
      <c r="AT515" s="492" t="n"/>
      <c r="AU515" s="493" t="n"/>
      <c r="AV515" s="492" t="n"/>
      <c r="AW515" s="492" t="n"/>
      <c r="AX515" s="492" t="n"/>
      <c r="AY515" s="492" t="n"/>
      <c r="AZ515" s="492" t="n"/>
      <c r="BA515" s="493" t="n"/>
      <c r="BB515" s="492" t="n"/>
      <c r="BC515" s="492" t="n"/>
      <c r="BD515" s="492" t="n"/>
      <c r="BE515" s="492" t="n"/>
      <c r="BF515" s="493" t="n"/>
      <c r="BG515" s="493" t="n"/>
      <c r="BH515" s="495" t="n"/>
      <c r="BI515" s="496" t="n"/>
      <c r="BJ515" s="496" t="n"/>
      <c r="BK515" s="496" t="n"/>
      <c r="BM515" s="493" t="n"/>
      <c r="BN515" s="493" t="n"/>
      <c r="BO515" s="493" t="n"/>
      <c r="BP515" s="493" t="n"/>
      <c r="BQ515" s="493" t="n"/>
      <c r="BR515" s="493" t="n"/>
      <c r="BS515" s="493" t="n"/>
      <c r="BT515" s="493" t="n"/>
      <c r="BU515" s="493" t="n"/>
      <c r="BV515" s="493" t="n"/>
      <c r="BW515" s="493" t="n"/>
      <c r="BX515" s="493" t="n"/>
      <c r="BY515" s="493" t="n"/>
      <c r="BZ515" s="493" t="n"/>
      <c r="CA515" s="493" t="n"/>
      <c r="CB515" s="493" t="n"/>
      <c r="CC515" s="493" t="n"/>
      <c r="CD515" s="493" t="n"/>
      <c r="CE515" s="493" t="n"/>
      <c r="CF515" s="493" t="n"/>
      <c r="CG515" s="493" t="n"/>
      <c r="CH515" s="493" t="n"/>
      <c r="CI515" s="493" t="n"/>
      <c r="CJ515" s="493" t="n"/>
      <c r="CK515" s="493" t="n"/>
      <c r="CL515" s="493" t="n"/>
    </row>
    <row r="516" customFormat="1" s="230">
      <c r="E516" s="234" t="n"/>
      <c r="F516" s="492" t="n"/>
      <c r="G516" s="492" t="n"/>
      <c r="H516" s="493" t="n"/>
      <c r="I516" s="492" t="n"/>
      <c r="J516" s="492" t="n"/>
      <c r="K516" s="492" t="n"/>
      <c r="L516" s="492" t="n"/>
      <c r="M516" s="493" t="n"/>
      <c r="N516" s="492" t="n"/>
      <c r="O516" s="492" t="n"/>
      <c r="P516" s="492" t="n"/>
      <c r="Q516" s="492" t="n"/>
      <c r="R516" s="492" t="n"/>
      <c r="S516" s="492" t="n"/>
      <c r="T516" s="492" t="n"/>
      <c r="U516" s="492" t="n"/>
      <c r="V516" s="492" t="n"/>
      <c r="W516" s="492" t="n"/>
      <c r="X516" s="492" t="n"/>
      <c r="Y516" s="492" t="n"/>
      <c r="Z516" s="492" t="n"/>
      <c r="AA516" s="492" t="n"/>
      <c r="AB516" s="492" t="n"/>
      <c r="AC516" s="492" t="n"/>
      <c r="AD516" s="492" t="n"/>
      <c r="AE516" s="493" t="n"/>
      <c r="AF516" s="492" t="n"/>
      <c r="AG516" s="492" t="n"/>
      <c r="AH516" s="492" t="n"/>
      <c r="AI516" s="492" t="n"/>
      <c r="AJ516" s="493" t="n"/>
      <c r="AK516" s="492" t="n"/>
      <c r="AL516" s="492" t="n"/>
      <c r="AM516" s="492" t="n"/>
      <c r="AN516" s="492" t="n"/>
      <c r="AO516" s="492" t="n"/>
      <c r="AP516" s="492" t="n"/>
      <c r="AQ516" s="492" t="n"/>
      <c r="AR516" s="492" t="n"/>
      <c r="AS516" s="492" t="n"/>
      <c r="AT516" s="492" t="n"/>
      <c r="AU516" s="493" t="n"/>
      <c r="AV516" s="492" t="n"/>
      <c r="AW516" s="492" t="n"/>
      <c r="AX516" s="492" t="n"/>
      <c r="AY516" s="492" t="n"/>
      <c r="AZ516" s="492" t="n"/>
      <c r="BA516" s="493" t="n"/>
      <c r="BB516" s="492" t="n"/>
      <c r="BC516" s="492" t="n"/>
      <c r="BD516" s="492" t="n"/>
      <c r="BE516" s="492" t="n"/>
      <c r="BF516" s="493" t="n"/>
      <c r="BG516" s="493" t="n"/>
      <c r="BH516" s="495" t="n"/>
      <c r="BI516" s="496" t="n"/>
      <c r="BJ516" s="496" t="n"/>
      <c r="BK516" s="496" t="n"/>
      <c r="BM516" s="493" t="n"/>
      <c r="BN516" s="493" t="n"/>
      <c r="BO516" s="493" t="n"/>
      <c r="BP516" s="493" t="n"/>
      <c r="BQ516" s="493" t="n"/>
      <c r="BR516" s="493" t="n"/>
      <c r="BS516" s="493" t="n"/>
      <c r="BT516" s="493" t="n"/>
      <c r="BU516" s="493" t="n"/>
      <c r="BV516" s="493" t="n"/>
      <c r="BW516" s="493" t="n"/>
      <c r="BX516" s="493" t="n"/>
      <c r="BY516" s="493" t="n"/>
      <c r="BZ516" s="493" t="n"/>
      <c r="CA516" s="493" t="n"/>
      <c r="CB516" s="493" t="n"/>
      <c r="CC516" s="493" t="n"/>
      <c r="CD516" s="493" t="n"/>
      <c r="CE516" s="493" t="n"/>
      <c r="CF516" s="493" t="n"/>
      <c r="CG516" s="493" t="n"/>
      <c r="CH516" s="493" t="n"/>
      <c r="CI516" s="493" t="n"/>
      <c r="CJ516" s="493" t="n"/>
      <c r="CK516" s="493" t="n"/>
      <c r="CL516" s="493" t="n"/>
    </row>
    <row r="517" customFormat="1" s="230">
      <c r="E517" s="234" t="n"/>
      <c r="F517" s="492" t="n"/>
      <c r="G517" s="492" t="n"/>
      <c r="H517" s="493" t="n"/>
      <c r="I517" s="492" t="n"/>
      <c r="J517" s="492" t="n"/>
      <c r="K517" s="492" t="n"/>
      <c r="L517" s="492" t="n"/>
      <c r="M517" s="493" t="n"/>
      <c r="N517" s="492" t="n"/>
      <c r="O517" s="492" t="n"/>
      <c r="P517" s="492" t="n"/>
      <c r="Q517" s="492" t="n"/>
      <c r="R517" s="492" t="n"/>
      <c r="S517" s="492" t="n"/>
      <c r="T517" s="492" t="n"/>
      <c r="U517" s="492" t="n"/>
      <c r="V517" s="492" t="n"/>
      <c r="W517" s="492" t="n"/>
      <c r="X517" s="492" t="n"/>
      <c r="Y517" s="492" t="n"/>
      <c r="Z517" s="492" t="n"/>
      <c r="AA517" s="492" t="n"/>
      <c r="AB517" s="492" t="n"/>
      <c r="AC517" s="492" t="n"/>
      <c r="AD517" s="492" t="n"/>
      <c r="AE517" s="493" t="n"/>
      <c r="AF517" s="492" t="n"/>
      <c r="AG517" s="492" t="n"/>
      <c r="AH517" s="492" t="n"/>
      <c r="AI517" s="492" t="n"/>
      <c r="AJ517" s="493" t="n"/>
      <c r="AK517" s="492" t="n"/>
      <c r="AL517" s="492" t="n"/>
      <c r="AM517" s="492" t="n"/>
      <c r="AN517" s="492" t="n"/>
      <c r="AO517" s="492" t="n"/>
      <c r="AP517" s="492" t="n"/>
      <c r="AQ517" s="492" t="n"/>
      <c r="AR517" s="492" t="n"/>
      <c r="AS517" s="492" t="n"/>
      <c r="AT517" s="492" t="n"/>
      <c r="AU517" s="493" t="n"/>
      <c r="AV517" s="492" t="n"/>
      <c r="AW517" s="492" t="n"/>
      <c r="AX517" s="492" t="n"/>
      <c r="AY517" s="492" t="n"/>
      <c r="AZ517" s="492" t="n"/>
      <c r="BA517" s="493" t="n"/>
      <c r="BB517" s="492" t="n"/>
      <c r="BC517" s="492" t="n"/>
      <c r="BD517" s="492" t="n"/>
      <c r="BE517" s="492" t="n"/>
      <c r="BF517" s="493" t="n"/>
      <c r="BG517" s="493" t="n"/>
      <c r="BH517" s="495" t="n"/>
      <c r="BI517" s="496" t="n"/>
      <c r="BJ517" s="496" t="n"/>
      <c r="BK517" s="496" t="n"/>
      <c r="BM517" s="493" t="n"/>
      <c r="BN517" s="493" t="n"/>
      <c r="BO517" s="493" t="n"/>
      <c r="BP517" s="493" t="n"/>
      <c r="BQ517" s="493" t="n"/>
      <c r="BR517" s="493" t="n"/>
      <c r="BS517" s="493" t="n"/>
      <c r="BT517" s="493" t="n"/>
      <c r="BU517" s="493" t="n"/>
      <c r="BV517" s="493" t="n"/>
      <c r="BW517" s="493" t="n"/>
      <c r="BX517" s="493" t="n"/>
      <c r="BY517" s="493" t="n"/>
      <c r="BZ517" s="493" t="n"/>
      <c r="CA517" s="493" t="n"/>
      <c r="CB517" s="493" t="n"/>
      <c r="CC517" s="493" t="n"/>
      <c r="CD517" s="493" t="n"/>
      <c r="CE517" s="493" t="n"/>
      <c r="CF517" s="493" t="n"/>
      <c r="CG517" s="493" t="n"/>
      <c r="CH517" s="493" t="n"/>
      <c r="CI517" s="493" t="n"/>
      <c r="CJ517" s="493" t="n"/>
      <c r="CK517" s="493" t="n"/>
      <c r="CL517" s="493" t="n"/>
    </row>
    <row r="518" customFormat="1" s="230">
      <c r="E518" s="234" t="n"/>
      <c r="F518" s="492" t="n"/>
      <c r="G518" s="492" t="n"/>
      <c r="H518" s="493" t="n"/>
      <c r="I518" s="492" t="n"/>
      <c r="J518" s="492" t="n"/>
      <c r="K518" s="492" t="n"/>
      <c r="L518" s="492" t="n"/>
      <c r="M518" s="493" t="n"/>
      <c r="N518" s="492" t="n"/>
      <c r="O518" s="492" t="n"/>
      <c r="P518" s="492" t="n"/>
      <c r="Q518" s="492" t="n"/>
      <c r="R518" s="492" t="n"/>
      <c r="S518" s="492" t="n"/>
      <c r="T518" s="492" t="n"/>
      <c r="U518" s="492" t="n"/>
      <c r="V518" s="492" t="n"/>
      <c r="W518" s="492" t="n"/>
      <c r="X518" s="492" t="n"/>
      <c r="Y518" s="492" t="n"/>
      <c r="Z518" s="492" t="n"/>
      <c r="AA518" s="492" t="n"/>
      <c r="AB518" s="492" t="n"/>
      <c r="AC518" s="492" t="n"/>
      <c r="AD518" s="492" t="n"/>
      <c r="AE518" s="493" t="n"/>
      <c r="AF518" s="492" t="n"/>
      <c r="AG518" s="492" t="n"/>
      <c r="AH518" s="492" t="n"/>
      <c r="AI518" s="492" t="n"/>
      <c r="AJ518" s="493" t="n"/>
      <c r="AK518" s="492" t="n"/>
      <c r="AL518" s="492" t="n"/>
      <c r="AM518" s="492" t="n"/>
      <c r="AN518" s="492" t="n"/>
      <c r="AO518" s="492" t="n"/>
      <c r="AP518" s="492" t="n"/>
      <c r="AQ518" s="492" t="n"/>
      <c r="AR518" s="492" t="n"/>
      <c r="AS518" s="492" t="n"/>
      <c r="AT518" s="492" t="n"/>
      <c r="AU518" s="493" t="n"/>
      <c r="AV518" s="492" t="n"/>
      <c r="AW518" s="492" t="n"/>
      <c r="AX518" s="492" t="n"/>
      <c r="AY518" s="492" t="n"/>
      <c r="AZ518" s="492" t="n"/>
      <c r="BA518" s="493" t="n"/>
      <c r="BB518" s="492" t="n"/>
      <c r="BC518" s="492" t="n"/>
      <c r="BD518" s="492" t="n"/>
      <c r="BE518" s="492" t="n"/>
      <c r="BF518" s="493" t="n"/>
      <c r="BG518" s="493" t="n"/>
      <c r="BH518" s="495" t="n"/>
      <c r="BI518" s="496" t="n"/>
      <c r="BJ518" s="496" t="n"/>
      <c r="BK518" s="496" t="n"/>
      <c r="BM518" s="493" t="n"/>
      <c r="BN518" s="493" t="n"/>
      <c r="BO518" s="493" t="n"/>
      <c r="BP518" s="493" t="n"/>
      <c r="BQ518" s="493" t="n"/>
      <c r="BR518" s="493" t="n"/>
      <c r="BS518" s="493" t="n"/>
      <c r="BT518" s="493" t="n"/>
      <c r="BU518" s="493" t="n"/>
      <c r="BV518" s="493" t="n"/>
      <c r="BW518" s="493" t="n"/>
      <c r="BX518" s="493" t="n"/>
      <c r="BY518" s="493" t="n"/>
      <c r="BZ518" s="493" t="n"/>
      <c r="CA518" s="493" t="n"/>
      <c r="CB518" s="493" t="n"/>
      <c r="CC518" s="493" t="n"/>
      <c r="CD518" s="493" t="n"/>
      <c r="CE518" s="493" t="n"/>
      <c r="CF518" s="493" t="n"/>
      <c r="CG518" s="493" t="n"/>
      <c r="CH518" s="493" t="n"/>
      <c r="CI518" s="493" t="n"/>
      <c r="CJ518" s="493" t="n"/>
      <c r="CK518" s="493" t="n"/>
      <c r="CL518" s="493" t="n"/>
    </row>
    <row r="519" customFormat="1" s="230">
      <c r="E519" s="234" t="n"/>
      <c r="F519" s="492" t="n"/>
      <c r="G519" s="492" t="n"/>
      <c r="H519" s="493" t="n"/>
      <c r="I519" s="492" t="n"/>
      <c r="J519" s="492" t="n"/>
      <c r="K519" s="492" t="n"/>
      <c r="L519" s="492" t="n"/>
      <c r="M519" s="493" t="n"/>
      <c r="N519" s="492" t="n"/>
      <c r="O519" s="492" t="n"/>
      <c r="P519" s="492" t="n"/>
      <c r="Q519" s="492" t="n"/>
      <c r="R519" s="492" t="n"/>
      <c r="S519" s="492" t="n"/>
      <c r="T519" s="492" t="n"/>
      <c r="U519" s="492" t="n"/>
      <c r="V519" s="492" t="n"/>
      <c r="W519" s="492" t="n"/>
      <c r="X519" s="492" t="n"/>
      <c r="Y519" s="492" t="n"/>
      <c r="Z519" s="492" t="n"/>
      <c r="AA519" s="492" t="n"/>
      <c r="AB519" s="492" t="n"/>
      <c r="AC519" s="492" t="n"/>
      <c r="AD519" s="492" t="n"/>
      <c r="AE519" s="493" t="n"/>
      <c r="AF519" s="492" t="n"/>
      <c r="AG519" s="492" t="n"/>
      <c r="AH519" s="492" t="n"/>
      <c r="AI519" s="492" t="n"/>
      <c r="AJ519" s="493" t="n"/>
      <c r="AK519" s="492" t="n"/>
      <c r="AL519" s="492" t="n"/>
      <c r="AM519" s="492" t="n"/>
      <c r="AN519" s="492" t="n"/>
      <c r="AO519" s="492" t="n"/>
      <c r="AP519" s="492" t="n"/>
      <c r="AQ519" s="492" t="n"/>
      <c r="AR519" s="492" t="n"/>
      <c r="AS519" s="492" t="n"/>
      <c r="AT519" s="492" t="n"/>
      <c r="AU519" s="493" t="n"/>
      <c r="AV519" s="492" t="n"/>
      <c r="AW519" s="492" t="n"/>
      <c r="AX519" s="492" t="n"/>
      <c r="AY519" s="492" t="n"/>
      <c r="AZ519" s="492" t="n"/>
      <c r="BA519" s="493" t="n"/>
      <c r="BB519" s="492" t="n"/>
      <c r="BC519" s="492" t="n"/>
      <c r="BD519" s="492" t="n"/>
      <c r="BE519" s="492" t="n"/>
      <c r="BF519" s="493" t="n"/>
      <c r="BG519" s="493" t="n"/>
      <c r="BH519" s="495" t="n"/>
      <c r="BI519" s="496" t="n"/>
      <c r="BJ519" s="496" t="n"/>
      <c r="BK519" s="496" t="n"/>
      <c r="BM519" s="493" t="n"/>
      <c r="BN519" s="493" t="n"/>
      <c r="BO519" s="493" t="n"/>
      <c r="BP519" s="493" t="n"/>
      <c r="BQ519" s="493" t="n"/>
      <c r="BR519" s="493" t="n"/>
      <c r="BS519" s="493" t="n"/>
      <c r="BT519" s="493" t="n"/>
      <c r="BU519" s="493" t="n"/>
      <c r="BV519" s="493" t="n"/>
      <c r="BW519" s="493" t="n"/>
      <c r="BX519" s="493" t="n"/>
      <c r="BY519" s="493" t="n"/>
      <c r="BZ519" s="493" t="n"/>
      <c r="CA519" s="493" t="n"/>
      <c r="CB519" s="493" t="n"/>
      <c r="CC519" s="493" t="n"/>
      <c r="CD519" s="493" t="n"/>
      <c r="CE519" s="493" t="n"/>
      <c r="CF519" s="493" t="n"/>
      <c r="CG519" s="493" t="n"/>
      <c r="CH519" s="493" t="n"/>
      <c r="CI519" s="493" t="n"/>
      <c r="CJ519" s="493" t="n"/>
      <c r="CK519" s="493" t="n"/>
      <c r="CL519" s="493" t="n"/>
    </row>
    <row r="520" customFormat="1" s="230">
      <c r="E520" s="234" t="n"/>
      <c r="F520" s="492" t="n"/>
      <c r="G520" s="492" t="n"/>
      <c r="H520" s="493" t="n"/>
      <c r="I520" s="492" t="n"/>
      <c r="J520" s="492" t="n"/>
      <c r="K520" s="492" t="n"/>
      <c r="L520" s="492" t="n"/>
      <c r="M520" s="493" t="n"/>
      <c r="N520" s="492" t="n"/>
      <c r="O520" s="492" t="n"/>
      <c r="P520" s="492" t="n"/>
      <c r="Q520" s="492" t="n"/>
      <c r="R520" s="492" t="n"/>
      <c r="S520" s="492" t="n"/>
      <c r="T520" s="492" t="n"/>
      <c r="U520" s="492" t="n"/>
      <c r="V520" s="492" t="n"/>
      <c r="W520" s="492" t="n"/>
      <c r="X520" s="492" t="n"/>
      <c r="Y520" s="492" t="n"/>
      <c r="Z520" s="492" t="n"/>
      <c r="AA520" s="492" t="n"/>
      <c r="AB520" s="492" t="n"/>
      <c r="AC520" s="492" t="n"/>
      <c r="AD520" s="492" t="n"/>
      <c r="AE520" s="493" t="n"/>
      <c r="AF520" s="492" t="n"/>
      <c r="AG520" s="492" t="n"/>
      <c r="AH520" s="492" t="n"/>
      <c r="AI520" s="492" t="n"/>
      <c r="AJ520" s="493" t="n"/>
      <c r="AK520" s="492" t="n"/>
      <c r="AL520" s="492" t="n"/>
      <c r="AM520" s="492" t="n"/>
      <c r="AN520" s="492" t="n"/>
      <c r="AO520" s="492" t="n"/>
      <c r="AP520" s="492" t="n"/>
      <c r="AQ520" s="492" t="n"/>
      <c r="AR520" s="492" t="n"/>
      <c r="AS520" s="492" t="n"/>
      <c r="AT520" s="492" t="n"/>
      <c r="AU520" s="493" t="n"/>
      <c r="AV520" s="492" t="n"/>
      <c r="AW520" s="492" t="n"/>
      <c r="AX520" s="492" t="n"/>
      <c r="AY520" s="492" t="n"/>
      <c r="AZ520" s="492" t="n"/>
      <c r="BA520" s="493" t="n"/>
      <c r="BB520" s="492" t="n"/>
      <c r="BC520" s="492" t="n"/>
      <c r="BD520" s="492" t="n"/>
      <c r="BE520" s="492" t="n"/>
      <c r="BF520" s="493" t="n"/>
      <c r="BG520" s="493" t="n"/>
      <c r="BH520" s="495" t="n"/>
      <c r="BI520" s="496" t="n"/>
      <c r="BJ520" s="496" t="n"/>
      <c r="BK520" s="496" t="n"/>
      <c r="BM520" s="493" t="n"/>
      <c r="BN520" s="493" t="n"/>
      <c r="BO520" s="493" t="n"/>
      <c r="BP520" s="493" t="n"/>
      <c r="BQ520" s="493" t="n"/>
      <c r="BR520" s="493" t="n"/>
      <c r="BS520" s="493" t="n"/>
      <c r="BT520" s="493" t="n"/>
      <c r="BU520" s="493" t="n"/>
      <c r="BV520" s="493" t="n"/>
      <c r="BW520" s="493" t="n"/>
      <c r="BX520" s="493" t="n"/>
      <c r="BY520" s="493" t="n"/>
      <c r="BZ520" s="493" t="n"/>
      <c r="CA520" s="493" t="n"/>
      <c r="CB520" s="493" t="n"/>
      <c r="CC520" s="493" t="n"/>
      <c r="CD520" s="493" t="n"/>
      <c r="CE520" s="493" t="n"/>
      <c r="CF520" s="493" t="n"/>
      <c r="CG520" s="493" t="n"/>
      <c r="CH520" s="493" t="n"/>
      <c r="CI520" s="493" t="n"/>
      <c r="CJ520" s="493" t="n"/>
      <c r="CK520" s="493" t="n"/>
      <c r="CL520" s="493" t="n"/>
    </row>
    <row r="521" customFormat="1" s="230">
      <c r="E521" s="234" t="n"/>
      <c r="F521" s="492" t="n"/>
      <c r="G521" s="492" t="n"/>
      <c r="H521" s="493" t="n"/>
      <c r="I521" s="492" t="n"/>
      <c r="J521" s="492" t="n"/>
      <c r="K521" s="492" t="n"/>
      <c r="L521" s="492" t="n"/>
      <c r="M521" s="493" t="n"/>
      <c r="N521" s="492" t="n"/>
      <c r="O521" s="492" t="n"/>
      <c r="P521" s="492" t="n"/>
      <c r="Q521" s="492" t="n"/>
      <c r="R521" s="492" t="n"/>
      <c r="S521" s="492" t="n"/>
      <c r="T521" s="492" t="n"/>
      <c r="U521" s="492" t="n"/>
      <c r="V521" s="492" t="n"/>
      <c r="W521" s="492" t="n"/>
      <c r="X521" s="492" t="n"/>
      <c r="Y521" s="492" t="n"/>
      <c r="Z521" s="492" t="n"/>
      <c r="AA521" s="492" t="n"/>
      <c r="AB521" s="492" t="n"/>
      <c r="AC521" s="492" t="n"/>
      <c r="AD521" s="492" t="n"/>
      <c r="AE521" s="493" t="n"/>
      <c r="AF521" s="492" t="n"/>
      <c r="AG521" s="492" t="n"/>
      <c r="AH521" s="492" t="n"/>
      <c r="AI521" s="492" t="n"/>
      <c r="AJ521" s="493" t="n"/>
      <c r="AK521" s="492" t="n"/>
      <c r="AL521" s="492" t="n"/>
      <c r="AM521" s="492" t="n"/>
      <c r="AN521" s="492" t="n"/>
      <c r="AO521" s="492" t="n"/>
      <c r="AP521" s="492" t="n"/>
      <c r="AQ521" s="492" t="n"/>
      <c r="AR521" s="492" t="n"/>
      <c r="AS521" s="492" t="n"/>
      <c r="AT521" s="492" t="n"/>
      <c r="AU521" s="493" t="n"/>
      <c r="AV521" s="492" t="n"/>
      <c r="AW521" s="492" t="n"/>
      <c r="AX521" s="492" t="n"/>
      <c r="AY521" s="492" t="n"/>
      <c r="AZ521" s="492" t="n"/>
      <c r="BA521" s="493" t="n"/>
      <c r="BB521" s="492" t="n"/>
      <c r="BC521" s="492" t="n"/>
      <c r="BD521" s="492" t="n"/>
      <c r="BE521" s="492" t="n"/>
      <c r="BF521" s="493" t="n"/>
      <c r="BG521" s="493" t="n"/>
      <c r="BH521" s="495" t="n"/>
      <c r="BI521" s="496" t="n"/>
      <c r="BJ521" s="496" t="n"/>
      <c r="BK521" s="496" t="n"/>
      <c r="BM521" s="493" t="n"/>
      <c r="BN521" s="493" t="n"/>
      <c r="BO521" s="493" t="n"/>
      <c r="BP521" s="493" t="n"/>
      <c r="BQ521" s="493" t="n"/>
      <c r="BR521" s="493" t="n"/>
      <c r="BS521" s="493" t="n"/>
      <c r="BT521" s="493" t="n"/>
      <c r="BU521" s="493" t="n"/>
      <c r="BV521" s="493" t="n"/>
      <c r="BW521" s="493" t="n"/>
      <c r="BX521" s="493" t="n"/>
      <c r="BY521" s="493" t="n"/>
      <c r="BZ521" s="493" t="n"/>
      <c r="CA521" s="493" t="n"/>
      <c r="CB521" s="493" t="n"/>
      <c r="CC521" s="493" t="n"/>
      <c r="CD521" s="493" t="n"/>
      <c r="CE521" s="493" t="n"/>
      <c r="CF521" s="493" t="n"/>
      <c r="CG521" s="493" t="n"/>
      <c r="CH521" s="493" t="n"/>
      <c r="CI521" s="493" t="n"/>
      <c r="CJ521" s="493" t="n"/>
      <c r="CK521" s="493" t="n"/>
      <c r="CL521" s="493" t="n"/>
    </row>
    <row r="522" customFormat="1" s="230">
      <c r="E522" s="234" t="n"/>
      <c r="F522" s="492" t="n"/>
      <c r="G522" s="492" t="n"/>
      <c r="H522" s="493" t="n"/>
      <c r="I522" s="492" t="n"/>
      <c r="J522" s="492" t="n"/>
      <c r="K522" s="492" t="n"/>
      <c r="L522" s="492" t="n"/>
      <c r="M522" s="493" t="n"/>
      <c r="N522" s="492" t="n"/>
      <c r="O522" s="492" t="n"/>
      <c r="P522" s="492" t="n"/>
      <c r="Q522" s="492" t="n"/>
      <c r="R522" s="492" t="n"/>
      <c r="S522" s="492" t="n"/>
      <c r="T522" s="492" t="n"/>
      <c r="U522" s="492" t="n"/>
      <c r="V522" s="492" t="n"/>
      <c r="W522" s="492" t="n"/>
      <c r="X522" s="492" t="n"/>
      <c r="Y522" s="492" t="n"/>
      <c r="Z522" s="492" t="n"/>
      <c r="AA522" s="492" t="n"/>
      <c r="AB522" s="492" t="n"/>
      <c r="AC522" s="492" t="n"/>
      <c r="AD522" s="492" t="n"/>
      <c r="AE522" s="493" t="n"/>
      <c r="AF522" s="492" t="n"/>
      <c r="AG522" s="492" t="n"/>
      <c r="AH522" s="492" t="n"/>
      <c r="AI522" s="492" t="n"/>
      <c r="AJ522" s="493" t="n"/>
      <c r="AK522" s="492" t="n"/>
      <c r="AL522" s="492" t="n"/>
      <c r="AM522" s="492" t="n"/>
      <c r="AN522" s="492" t="n"/>
      <c r="AO522" s="492" t="n"/>
      <c r="AP522" s="492" t="n"/>
      <c r="AQ522" s="492" t="n"/>
      <c r="AR522" s="492" t="n"/>
      <c r="AS522" s="492" t="n"/>
      <c r="AT522" s="492" t="n"/>
      <c r="AU522" s="493" t="n"/>
      <c r="AV522" s="492" t="n"/>
      <c r="AW522" s="492" t="n"/>
      <c r="AX522" s="492" t="n"/>
      <c r="AY522" s="492" t="n"/>
      <c r="AZ522" s="492" t="n"/>
      <c r="BA522" s="493" t="n"/>
      <c r="BB522" s="492" t="n"/>
      <c r="BC522" s="492" t="n"/>
      <c r="BD522" s="492" t="n"/>
      <c r="BE522" s="492" t="n"/>
      <c r="BF522" s="493" t="n"/>
      <c r="BG522" s="493" t="n"/>
      <c r="BH522" s="495" t="n"/>
      <c r="BI522" s="496" t="n"/>
      <c r="BJ522" s="496" t="n"/>
      <c r="BK522" s="496" t="n"/>
      <c r="BM522" s="493" t="n"/>
      <c r="BN522" s="493" t="n"/>
      <c r="BO522" s="493" t="n"/>
      <c r="BP522" s="493" t="n"/>
      <c r="BQ522" s="493" t="n"/>
      <c r="BR522" s="493" t="n"/>
      <c r="BS522" s="493" t="n"/>
      <c r="BT522" s="493" t="n"/>
      <c r="BU522" s="493" t="n"/>
      <c r="BV522" s="493" t="n"/>
      <c r="BW522" s="493" t="n"/>
      <c r="BX522" s="493" t="n"/>
      <c r="BY522" s="493" t="n"/>
      <c r="BZ522" s="493" t="n"/>
      <c r="CA522" s="493" t="n"/>
      <c r="CB522" s="493" t="n"/>
      <c r="CC522" s="493" t="n"/>
      <c r="CD522" s="493" t="n"/>
      <c r="CE522" s="493" t="n"/>
      <c r="CF522" s="493" t="n"/>
      <c r="CG522" s="493" t="n"/>
      <c r="CH522" s="493" t="n"/>
      <c r="CI522" s="493" t="n"/>
      <c r="CJ522" s="493" t="n"/>
      <c r="CK522" s="493" t="n"/>
      <c r="CL522" s="493" t="n"/>
    </row>
    <row r="523" customFormat="1" s="230">
      <c r="E523" s="234" t="n"/>
      <c r="F523" s="492" t="n"/>
      <c r="G523" s="492" t="n"/>
      <c r="H523" s="493" t="n"/>
      <c r="I523" s="492" t="n"/>
      <c r="J523" s="492" t="n"/>
      <c r="K523" s="492" t="n"/>
      <c r="L523" s="492" t="n"/>
      <c r="M523" s="493" t="n"/>
      <c r="N523" s="492" t="n"/>
      <c r="O523" s="492" t="n"/>
      <c r="P523" s="492" t="n"/>
      <c r="Q523" s="492" t="n"/>
      <c r="R523" s="492" t="n"/>
      <c r="S523" s="492" t="n"/>
      <c r="T523" s="492" t="n"/>
      <c r="U523" s="492" t="n"/>
      <c r="V523" s="492" t="n"/>
      <c r="W523" s="492" t="n"/>
      <c r="X523" s="492" t="n"/>
      <c r="Y523" s="492" t="n"/>
      <c r="Z523" s="492" t="n"/>
      <c r="AA523" s="492" t="n"/>
      <c r="AB523" s="492" t="n"/>
      <c r="AC523" s="492" t="n"/>
      <c r="AD523" s="492" t="n"/>
      <c r="AE523" s="493" t="n"/>
      <c r="AF523" s="492" t="n"/>
      <c r="AG523" s="492" t="n"/>
      <c r="AH523" s="492" t="n"/>
      <c r="AI523" s="492" t="n"/>
      <c r="AJ523" s="493" t="n"/>
      <c r="AK523" s="492" t="n"/>
      <c r="AL523" s="492" t="n"/>
      <c r="AM523" s="492" t="n"/>
      <c r="AN523" s="492" t="n"/>
      <c r="AO523" s="492" t="n"/>
      <c r="AP523" s="492" t="n"/>
      <c r="AQ523" s="492" t="n"/>
      <c r="AR523" s="492" t="n"/>
      <c r="AS523" s="492" t="n"/>
      <c r="AT523" s="492" t="n"/>
      <c r="AU523" s="493" t="n"/>
      <c r="AV523" s="492" t="n"/>
      <c r="AW523" s="492" t="n"/>
      <c r="AX523" s="492" t="n"/>
      <c r="AY523" s="492" t="n"/>
      <c r="AZ523" s="492" t="n"/>
      <c r="BA523" s="493" t="n"/>
      <c r="BB523" s="492" t="n"/>
      <c r="BC523" s="492" t="n"/>
      <c r="BD523" s="492" t="n"/>
      <c r="BE523" s="492" t="n"/>
      <c r="BF523" s="493" t="n"/>
      <c r="BG523" s="493" t="n"/>
      <c r="BH523" s="495" t="n"/>
      <c r="BI523" s="496" t="n"/>
      <c r="BJ523" s="496" t="n"/>
      <c r="BK523" s="496" t="n"/>
      <c r="BM523" s="493" t="n"/>
      <c r="BN523" s="493" t="n"/>
      <c r="BO523" s="493" t="n"/>
      <c r="BP523" s="493" t="n"/>
      <c r="BQ523" s="493" t="n"/>
      <c r="BR523" s="493" t="n"/>
      <c r="BS523" s="493" t="n"/>
      <c r="BT523" s="493" t="n"/>
      <c r="BU523" s="493" t="n"/>
      <c r="BV523" s="493" t="n"/>
      <c r="BW523" s="493" t="n"/>
      <c r="BX523" s="493" t="n"/>
      <c r="BY523" s="493" t="n"/>
      <c r="BZ523" s="493" t="n"/>
      <c r="CA523" s="493" t="n"/>
      <c r="CB523" s="493" t="n"/>
      <c r="CC523" s="493" t="n"/>
      <c r="CD523" s="493" t="n"/>
      <c r="CE523" s="493" t="n"/>
      <c r="CF523" s="493" t="n"/>
      <c r="CG523" s="493" t="n"/>
      <c r="CH523" s="493" t="n"/>
      <c r="CI523" s="493" t="n"/>
      <c r="CJ523" s="493" t="n"/>
      <c r="CK523" s="493" t="n"/>
      <c r="CL523" s="493" t="n"/>
    </row>
    <row r="524" customFormat="1" s="230">
      <c r="E524" s="234" t="n"/>
      <c r="F524" s="492" t="n"/>
      <c r="G524" s="492" t="n"/>
      <c r="H524" s="493" t="n"/>
      <c r="I524" s="492" t="n"/>
      <c r="J524" s="492" t="n"/>
      <c r="K524" s="492" t="n"/>
      <c r="L524" s="492" t="n"/>
      <c r="M524" s="493" t="n"/>
      <c r="N524" s="492" t="n"/>
      <c r="O524" s="492" t="n"/>
      <c r="P524" s="492" t="n"/>
      <c r="Q524" s="492" t="n"/>
      <c r="R524" s="492" t="n"/>
      <c r="S524" s="492" t="n"/>
      <c r="T524" s="492" t="n"/>
      <c r="U524" s="492" t="n"/>
      <c r="V524" s="492" t="n"/>
      <c r="W524" s="492" t="n"/>
      <c r="X524" s="492" t="n"/>
      <c r="Y524" s="492" t="n"/>
      <c r="Z524" s="492" t="n"/>
      <c r="AA524" s="492" t="n"/>
      <c r="AB524" s="492" t="n"/>
      <c r="AC524" s="492" t="n"/>
      <c r="AD524" s="492" t="n"/>
      <c r="AE524" s="493" t="n"/>
      <c r="AF524" s="492" t="n"/>
      <c r="AG524" s="492" t="n"/>
      <c r="AH524" s="492" t="n"/>
      <c r="AI524" s="492" t="n"/>
      <c r="AJ524" s="493" t="n"/>
      <c r="AK524" s="492" t="n"/>
      <c r="AL524" s="492" t="n"/>
      <c r="AM524" s="492" t="n"/>
      <c r="AN524" s="492" t="n"/>
      <c r="AO524" s="492" t="n"/>
      <c r="AP524" s="492" t="n"/>
      <c r="AQ524" s="492" t="n"/>
      <c r="AR524" s="492" t="n"/>
      <c r="AS524" s="492" t="n"/>
      <c r="AT524" s="492" t="n"/>
      <c r="AU524" s="493" t="n"/>
      <c r="AV524" s="492" t="n"/>
      <c r="AW524" s="492" t="n"/>
      <c r="AX524" s="492" t="n"/>
      <c r="AY524" s="492" t="n"/>
      <c r="AZ524" s="492" t="n"/>
      <c r="BA524" s="493" t="n"/>
      <c r="BB524" s="492" t="n"/>
      <c r="BC524" s="492" t="n"/>
      <c r="BD524" s="492" t="n"/>
      <c r="BE524" s="492" t="n"/>
      <c r="BF524" s="493" t="n"/>
      <c r="BG524" s="493" t="n"/>
      <c r="BH524" s="495" t="n"/>
      <c r="BI524" s="496" t="n"/>
      <c r="BJ524" s="496" t="n"/>
      <c r="BK524" s="496" t="n"/>
      <c r="BM524" s="493" t="n"/>
      <c r="BN524" s="493" t="n"/>
      <c r="BO524" s="493" t="n"/>
      <c r="BP524" s="493" t="n"/>
      <c r="BQ524" s="493" t="n"/>
      <c r="BR524" s="493" t="n"/>
      <c r="BS524" s="493" t="n"/>
      <c r="BT524" s="493" t="n"/>
      <c r="BU524" s="493" t="n"/>
      <c r="BV524" s="493" t="n"/>
      <c r="BW524" s="493" t="n"/>
      <c r="BX524" s="493" t="n"/>
      <c r="BY524" s="493" t="n"/>
      <c r="BZ524" s="493" t="n"/>
      <c r="CA524" s="493" t="n"/>
      <c r="CB524" s="493" t="n"/>
      <c r="CC524" s="493" t="n"/>
      <c r="CD524" s="493" t="n"/>
      <c r="CE524" s="493" t="n"/>
      <c r="CF524" s="493" t="n"/>
      <c r="CG524" s="493" t="n"/>
      <c r="CH524" s="493" t="n"/>
      <c r="CI524" s="493" t="n"/>
      <c r="CJ524" s="493" t="n"/>
      <c r="CK524" s="493" t="n"/>
      <c r="CL524" s="493" t="n"/>
    </row>
    <row r="525" customFormat="1" s="230">
      <c r="E525" s="234" t="n"/>
      <c r="F525" s="492" t="n"/>
      <c r="G525" s="492" t="n"/>
      <c r="H525" s="493" t="n"/>
      <c r="I525" s="492" t="n"/>
      <c r="J525" s="492" t="n"/>
      <c r="K525" s="492" t="n"/>
      <c r="L525" s="492" t="n"/>
      <c r="M525" s="493" t="n"/>
      <c r="N525" s="492" t="n"/>
      <c r="O525" s="492" t="n"/>
      <c r="P525" s="492" t="n"/>
      <c r="Q525" s="492" t="n"/>
      <c r="R525" s="492" t="n"/>
      <c r="S525" s="492" t="n"/>
      <c r="T525" s="492" t="n"/>
      <c r="U525" s="492" t="n"/>
      <c r="V525" s="492" t="n"/>
      <c r="W525" s="492" t="n"/>
      <c r="X525" s="492" t="n"/>
      <c r="Y525" s="492" t="n"/>
      <c r="Z525" s="492" t="n"/>
      <c r="AA525" s="492" t="n"/>
      <c r="AB525" s="492" t="n"/>
      <c r="AC525" s="492" t="n"/>
      <c r="AD525" s="492" t="n"/>
      <c r="AE525" s="493" t="n"/>
      <c r="AF525" s="492" t="n"/>
      <c r="AG525" s="492" t="n"/>
      <c r="AH525" s="492" t="n"/>
      <c r="AI525" s="492" t="n"/>
      <c r="AJ525" s="493" t="n"/>
      <c r="AK525" s="492" t="n"/>
      <c r="AL525" s="492" t="n"/>
      <c r="AM525" s="492" t="n"/>
      <c r="AN525" s="492" t="n"/>
      <c r="AO525" s="492" t="n"/>
      <c r="AP525" s="492" t="n"/>
      <c r="AQ525" s="492" t="n"/>
      <c r="AR525" s="492" t="n"/>
      <c r="AS525" s="492" t="n"/>
      <c r="AT525" s="492" t="n"/>
      <c r="AU525" s="493" t="n"/>
      <c r="AV525" s="492" t="n"/>
      <c r="AW525" s="492" t="n"/>
      <c r="AX525" s="492" t="n"/>
      <c r="AY525" s="492" t="n"/>
      <c r="AZ525" s="492" t="n"/>
      <c r="BA525" s="493" t="n"/>
      <c r="BB525" s="492" t="n"/>
      <c r="BC525" s="492" t="n"/>
      <c r="BD525" s="492" t="n"/>
      <c r="BE525" s="492" t="n"/>
      <c r="BF525" s="493" t="n"/>
      <c r="BG525" s="493" t="n"/>
      <c r="BH525" s="495" t="n"/>
      <c r="BI525" s="496" t="n"/>
      <c r="BJ525" s="496" t="n"/>
      <c r="BK525" s="496" t="n"/>
      <c r="BM525" s="493" t="n"/>
      <c r="BN525" s="493" t="n"/>
      <c r="BO525" s="493" t="n"/>
      <c r="BP525" s="493" t="n"/>
      <c r="BQ525" s="493" t="n"/>
      <c r="BR525" s="493" t="n"/>
      <c r="BS525" s="493" t="n"/>
      <c r="BT525" s="493" t="n"/>
      <c r="BU525" s="493" t="n"/>
      <c r="BV525" s="493" t="n"/>
      <c r="BW525" s="493" t="n"/>
      <c r="BX525" s="493" t="n"/>
      <c r="BY525" s="493" t="n"/>
      <c r="BZ525" s="493" t="n"/>
      <c r="CA525" s="493" t="n"/>
      <c r="CB525" s="493" t="n"/>
      <c r="CC525" s="493" t="n"/>
      <c r="CD525" s="493" t="n"/>
      <c r="CE525" s="493" t="n"/>
      <c r="CF525" s="493" t="n"/>
      <c r="CG525" s="493" t="n"/>
      <c r="CH525" s="493" t="n"/>
      <c r="CI525" s="493" t="n"/>
      <c r="CJ525" s="493" t="n"/>
      <c r="CK525" s="493" t="n"/>
      <c r="CL525" s="493" t="n"/>
    </row>
    <row r="526" customFormat="1" s="230">
      <c r="E526" s="234" t="n"/>
      <c r="F526" s="492" t="n"/>
      <c r="G526" s="492" t="n"/>
      <c r="H526" s="493" t="n"/>
      <c r="I526" s="492" t="n"/>
      <c r="J526" s="492" t="n"/>
      <c r="K526" s="492" t="n"/>
      <c r="L526" s="492" t="n"/>
      <c r="M526" s="493" t="n"/>
      <c r="N526" s="492" t="n"/>
      <c r="O526" s="492" t="n"/>
      <c r="P526" s="492" t="n"/>
      <c r="Q526" s="492" t="n"/>
      <c r="R526" s="492" t="n"/>
      <c r="S526" s="492" t="n"/>
      <c r="T526" s="492" t="n"/>
      <c r="U526" s="492" t="n"/>
      <c r="V526" s="492" t="n"/>
      <c r="W526" s="492" t="n"/>
      <c r="X526" s="492" t="n"/>
      <c r="Y526" s="492" t="n"/>
      <c r="Z526" s="492" t="n"/>
      <c r="AA526" s="492" t="n"/>
      <c r="AB526" s="492" t="n"/>
      <c r="AC526" s="492" t="n"/>
      <c r="AD526" s="492" t="n"/>
      <c r="AE526" s="493" t="n"/>
      <c r="AF526" s="492" t="n"/>
      <c r="AG526" s="492" t="n"/>
      <c r="AH526" s="492" t="n"/>
      <c r="AI526" s="492" t="n"/>
      <c r="AJ526" s="493" t="n"/>
      <c r="AK526" s="492" t="n"/>
      <c r="AL526" s="492" t="n"/>
      <c r="AM526" s="492" t="n"/>
      <c r="AN526" s="492" t="n"/>
      <c r="AO526" s="492" t="n"/>
      <c r="AP526" s="492" t="n"/>
      <c r="AQ526" s="492" t="n"/>
      <c r="AR526" s="492" t="n"/>
      <c r="AS526" s="492" t="n"/>
      <c r="AT526" s="492" t="n"/>
      <c r="AU526" s="493" t="n"/>
      <c r="AV526" s="492" t="n"/>
      <c r="AW526" s="492" t="n"/>
      <c r="AX526" s="492" t="n"/>
      <c r="AY526" s="492" t="n"/>
      <c r="AZ526" s="492" t="n"/>
      <c r="BA526" s="493" t="n"/>
      <c r="BB526" s="492" t="n"/>
      <c r="BC526" s="492" t="n"/>
      <c r="BD526" s="492" t="n"/>
      <c r="BE526" s="492" t="n"/>
      <c r="BF526" s="493" t="n"/>
      <c r="BG526" s="493" t="n"/>
      <c r="BH526" s="495" t="n"/>
      <c r="BI526" s="496" t="n"/>
      <c r="BJ526" s="496" t="n"/>
      <c r="BK526" s="496" t="n"/>
      <c r="BM526" s="493" t="n"/>
      <c r="BN526" s="493" t="n"/>
      <c r="BO526" s="493" t="n"/>
      <c r="BP526" s="493" t="n"/>
      <c r="BQ526" s="493" t="n"/>
      <c r="BR526" s="493" t="n"/>
      <c r="BS526" s="493" t="n"/>
      <c r="BT526" s="493" t="n"/>
      <c r="BU526" s="493" t="n"/>
      <c r="BV526" s="493" t="n"/>
      <c r="BW526" s="493" t="n"/>
      <c r="BX526" s="493" t="n"/>
      <c r="BY526" s="493" t="n"/>
      <c r="BZ526" s="493" t="n"/>
      <c r="CA526" s="493" t="n"/>
      <c r="CB526" s="493" t="n"/>
      <c r="CC526" s="493" t="n"/>
      <c r="CD526" s="493" t="n"/>
      <c r="CE526" s="493" t="n"/>
      <c r="CF526" s="493" t="n"/>
      <c r="CG526" s="493" t="n"/>
      <c r="CH526" s="493" t="n"/>
      <c r="CI526" s="493" t="n"/>
      <c r="CJ526" s="493" t="n"/>
      <c r="CK526" s="493" t="n"/>
      <c r="CL526" s="493" t="n"/>
    </row>
    <row r="527" customFormat="1" s="230">
      <c r="E527" s="234" t="n"/>
      <c r="F527" s="492" t="n"/>
      <c r="G527" s="492" t="n"/>
      <c r="H527" s="493" t="n"/>
      <c r="I527" s="492" t="n"/>
      <c r="J527" s="492" t="n"/>
      <c r="K527" s="492" t="n"/>
      <c r="L527" s="492" t="n"/>
      <c r="M527" s="493" t="n"/>
      <c r="N527" s="492" t="n"/>
      <c r="O527" s="492" t="n"/>
      <c r="P527" s="492" t="n"/>
      <c r="Q527" s="492" t="n"/>
      <c r="R527" s="492" t="n"/>
      <c r="S527" s="492" t="n"/>
      <c r="T527" s="492" t="n"/>
      <c r="U527" s="492" t="n"/>
      <c r="V527" s="492" t="n"/>
      <c r="W527" s="492" t="n"/>
      <c r="X527" s="492" t="n"/>
      <c r="Y527" s="492" t="n"/>
      <c r="Z527" s="492" t="n"/>
      <c r="AA527" s="492" t="n"/>
      <c r="AB527" s="492" t="n"/>
      <c r="AC527" s="492" t="n"/>
      <c r="AD527" s="492" t="n"/>
      <c r="AE527" s="493" t="n"/>
      <c r="AF527" s="492" t="n"/>
      <c r="AG527" s="492" t="n"/>
      <c r="AH527" s="492" t="n"/>
      <c r="AI527" s="492" t="n"/>
      <c r="AJ527" s="493" t="n"/>
      <c r="AK527" s="492" t="n"/>
      <c r="AL527" s="492" t="n"/>
      <c r="AM527" s="492" t="n"/>
      <c r="AN527" s="492" t="n"/>
      <c r="AO527" s="492" t="n"/>
      <c r="AP527" s="492" t="n"/>
      <c r="AQ527" s="492" t="n"/>
      <c r="AR527" s="492" t="n"/>
      <c r="AS527" s="492" t="n"/>
      <c r="AT527" s="492" t="n"/>
      <c r="AU527" s="493" t="n"/>
      <c r="AV527" s="492" t="n"/>
      <c r="AW527" s="492" t="n"/>
      <c r="AX527" s="492" t="n"/>
      <c r="AY527" s="492" t="n"/>
      <c r="AZ527" s="492" t="n"/>
      <c r="BA527" s="493" t="n"/>
      <c r="BB527" s="492" t="n"/>
      <c r="BC527" s="492" t="n"/>
      <c r="BD527" s="492" t="n"/>
      <c r="BE527" s="492" t="n"/>
      <c r="BF527" s="493" t="n"/>
      <c r="BG527" s="493" t="n"/>
      <c r="BH527" s="495" t="n"/>
      <c r="BI527" s="496" t="n"/>
      <c r="BJ527" s="496" t="n"/>
      <c r="BK527" s="496" t="n"/>
      <c r="BM527" s="493" t="n"/>
      <c r="BN527" s="493" t="n"/>
      <c r="BO527" s="493" t="n"/>
      <c r="BP527" s="493" t="n"/>
      <c r="BQ527" s="493" t="n"/>
      <c r="BR527" s="493" t="n"/>
      <c r="BS527" s="493" t="n"/>
      <c r="BT527" s="493" t="n"/>
      <c r="BU527" s="493" t="n"/>
      <c r="BV527" s="493" t="n"/>
      <c r="BW527" s="493" t="n"/>
      <c r="BX527" s="493" t="n"/>
      <c r="BY527" s="493" t="n"/>
      <c r="BZ527" s="493" t="n"/>
      <c r="CA527" s="493" t="n"/>
      <c r="CB527" s="493" t="n"/>
      <c r="CC527" s="493" t="n"/>
      <c r="CD527" s="493" t="n"/>
      <c r="CE527" s="493" t="n"/>
      <c r="CF527" s="493" t="n"/>
      <c r="CG527" s="493" t="n"/>
      <c r="CH527" s="493" t="n"/>
      <c r="CI527" s="493" t="n"/>
      <c r="CJ527" s="493" t="n"/>
      <c r="CK527" s="493" t="n"/>
      <c r="CL527" s="493" t="n"/>
    </row>
    <row r="528" customFormat="1" s="230">
      <c r="E528" s="234" t="n"/>
      <c r="F528" s="492" t="n"/>
      <c r="G528" s="492" t="n"/>
      <c r="H528" s="493" t="n"/>
      <c r="I528" s="492" t="n"/>
      <c r="J528" s="492" t="n"/>
      <c r="K528" s="492" t="n"/>
      <c r="L528" s="492" t="n"/>
      <c r="M528" s="493" t="n"/>
      <c r="N528" s="492" t="n"/>
      <c r="O528" s="492" t="n"/>
      <c r="P528" s="492" t="n"/>
      <c r="Q528" s="492" t="n"/>
      <c r="R528" s="492" t="n"/>
      <c r="S528" s="492" t="n"/>
      <c r="T528" s="492" t="n"/>
      <c r="U528" s="492" t="n"/>
      <c r="V528" s="492" t="n"/>
      <c r="W528" s="492" t="n"/>
      <c r="X528" s="492" t="n"/>
      <c r="Y528" s="492" t="n"/>
      <c r="Z528" s="492" t="n"/>
      <c r="AA528" s="492" t="n"/>
      <c r="AB528" s="492" t="n"/>
      <c r="AC528" s="492" t="n"/>
      <c r="AD528" s="492" t="n"/>
      <c r="AE528" s="493" t="n"/>
      <c r="AF528" s="492" t="n"/>
      <c r="AG528" s="492" t="n"/>
      <c r="AH528" s="492" t="n"/>
      <c r="AI528" s="492" t="n"/>
      <c r="AJ528" s="493" t="n"/>
      <c r="AK528" s="492" t="n"/>
      <c r="AL528" s="492" t="n"/>
      <c r="AM528" s="492" t="n"/>
      <c r="AN528" s="492" t="n"/>
      <c r="AO528" s="492" t="n"/>
      <c r="AP528" s="492" t="n"/>
      <c r="AQ528" s="492" t="n"/>
      <c r="AR528" s="492" t="n"/>
      <c r="AS528" s="492" t="n"/>
      <c r="AT528" s="492" t="n"/>
      <c r="AU528" s="493" t="n"/>
      <c r="AV528" s="492" t="n"/>
      <c r="AW528" s="492" t="n"/>
      <c r="AX528" s="492" t="n"/>
      <c r="AY528" s="492" t="n"/>
      <c r="AZ528" s="492" t="n"/>
      <c r="BA528" s="493" t="n"/>
      <c r="BB528" s="492" t="n"/>
      <c r="BC528" s="492" t="n"/>
      <c r="BD528" s="492" t="n"/>
      <c r="BE528" s="492" t="n"/>
      <c r="BF528" s="493" t="n"/>
      <c r="BG528" s="493" t="n"/>
      <c r="BH528" s="495" t="n"/>
      <c r="BI528" s="496" t="n"/>
      <c r="BJ528" s="496" t="n"/>
      <c r="BK528" s="496" t="n"/>
      <c r="BM528" s="493" t="n"/>
      <c r="BN528" s="493" t="n"/>
      <c r="BO528" s="493" t="n"/>
      <c r="BP528" s="493" t="n"/>
      <c r="BQ528" s="493" t="n"/>
      <c r="BR528" s="493" t="n"/>
      <c r="BS528" s="493" t="n"/>
      <c r="BT528" s="493" t="n"/>
      <c r="BU528" s="493" t="n"/>
      <c r="BV528" s="493" t="n"/>
      <c r="BW528" s="493" t="n"/>
      <c r="BX528" s="493" t="n"/>
      <c r="BY528" s="493" t="n"/>
      <c r="BZ528" s="493" t="n"/>
      <c r="CA528" s="493" t="n"/>
      <c r="CB528" s="493" t="n"/>
      <c r="CC528" s="493" t="n"/>
      <c r="CD528" s="493" t="n"/>
      <c r="CE528" s="493" t="n"/>
      <c r="CF528" s="493" t="n"/>
      <c r="CG528" s="493" t="n"/>
      <c r="CH528" s="493" t="n"/>
      <c r="CI528" s="493" t="n"/>
      <c r="CJ528" s="493" t="n"/>
      <c r="CK528" s="493" t="n"/>
      <c r="CL528" s="493" t="n"/>
    </row>
    <row r="529" customFormat="1" s="230">
      <c r="E529" s="234" t="n"/>
      <c r="F529" s="492" t="n"/>
      <c r="G529" s="492" t="n"/>
      <c r="H529" s="493" t="n"/>
      <c r="I529" s="492" t="n"/>
      <c r="J529" s="492" t="n"/>
      <c r="K529" s="492" t="n"/>
      <c r="L529" s="492" t="n"/>
      <c r="M529" s="493" t="n"/>
      <c r="N529" s="492" t="n"/>
      <c r="O529" s="492" t="n"/>
      <c r="P529" s="492" t="n"/>
      <c r="Q529" s="492" t="n"/>
      <c r="R529" s="492" t="n"/>
      <c r="S529" s="492" t="n"/>
      <c r="T529" s="492" t="n"/>
      <c r="U529" s="492" t="n"/>
      <c r="V529" s="492" t="n"/>
      <c r="W529" s="492" t="n"/>
      <c r="X529" s="492" t="n"/>
      <c r="Y529" s="492" t="n"/>
      <c r="Z529" s="492" t="n"/>
      <c r="AA529" s="492" t="n"/>
      <c r="AB529" s="492" t="n"/>
      <c r="AC529" s="492" t="n"/>
      <c r="AD529" s="492" t="n"/>
      <c r="AE529" s="493" t="n"/>
      <c r="AF529" s="492" t="n"/>
      <c r="AG529" s="492" t="n"/>
      <c r="AH529" s="492" t="n"/>
      <c r="AI529" s="492" t="n"/>
      <c r="AJ529" s="493" t="n"/>
      <c r="AK529" s="492" t="n"/>
      <c r="AL529" s="492" t="n"/>
      <c r="AM529" s="492" t="n"/>
      <c r="AN529" s="492" t="n"/>
      <c r="AO529" s="492" t="n"/>
      <c r="AP529" s="492" t="n"/>
      <c r="AQ529" s="492" t="n"/>
      <c r="AR529" s="492" t="n"/>
      <c r="AS529" s="492" t="n"/>
      <c r="AT529" s="492" t="n"/>
      <c r="AU529" s="493" t="n"/>
      <c r="AV529" s="492" t="n"/>
      <c r="AW529" s="492" t="n"/>
      <c r="AX529" s="492" t="n"/>
      <c r="AY529" s="492" t="n"/>
      <c r="AZ529" s="492" t="n"/>
      <c r="BA529" s="493" t="n"/>
      <c r="BB529" s="492" t="n"/>
      <c r="BC529" s="492" t="n"/>
      <c r="BD529" s="492" t="n"/>
      <c r="BE529" s="492" t="n"/>
      <c r="BF529" s="493" t="n"/>
      <c r="BG529" s="493" t="n"/>
      <c r="BH529" s="495" t="n"/>
      <c r="BI529" s="496" t="n"/>
      <c r="BJ529" s="496" t="n"/>
      <c r="BK529" s="496" t="n"/>
      <c r="BM529" s="493" t="n"/>
      <c r="BN529" s="493" t="n"/>
      <c r="BO529" s="493" t="n"/>
      <c r="BP529" s="493" t="n"/>
      <c r="BQ529" s="493" t="n"/>
      <c r="BR529" s="493" t="n"/>
      <c r="BS529" s="493" t="n"/>
      <c r="BT529" s="493" t="n"/>
      <c r="BU529" s="493" t="n"/>
      <c r="BV529" s="493" t="n"/>
      <c r="BW529" s="493" t="n"/>
      <c r="BX529" s="493" t="n"/>
      <c r="BY529" s="493" t="n"/>
      <c r="BZ529" s="493" t="n"/>
      <c r="CA529" s="493" t="n"/>
      <c r="CB529" s="493" t="n"/>
      <c r="CC529" s="493" t="n"/>
      <c r="CD529" s="493" t="n"/>
      <c r="CE529" s="493" t="n"/>
      <c r="CF529" s="493" t="n"/>
      <c r="CG529" s="493" t="n"/>
      <c r="CH529" s="493" t="n"/>
      <c r="CI529" s="493" t="n"/>
      <c r="CJ529" s="493" t="n"/>
      <c r="CK529" s="493" t="n"/>
      <c r="CL529" s="493" t="n"/>
    </row>
    <row r="530" customFormat="1" s="230">
      <c r="E530" s="234" t="n"/>
      <c r="F530" s="492" t="n"/>
      <c r="G530" s="492" t="n"/>
      <c r="H530" s="493" t="n"/>
      <c r="I530" s="492" t="n"/>
      <c r="J530" s="492" t="n"/>
      <c r="K530" s="492" t="n"/>
      <c r="L530" s="492" t="n"/>
      <c r="M530" s="493" t="n"/>
      <c r="N530" s="492" t="n"/>
      <c r="O530" s="492" t="n"/>
      <c r="P530" s="492" t="n"/>
      <c r="Q530" s="492" t="n"/>
      <c r="R530" s="492" t="n"/>
      <c r="S530" s="492" t="n"/>
      <c r="T530" s="492" t="n"/>
      <c r="U530" s="492" t="n"/>
      <c r="V530" s="492" t="n"/>
      <c r="W530" s="492" t="n"/>
      <c r="X530" s="492" t="n"/>
      <c r="Y530" s="492" t="n"/>
      <c r="Z530" s="492" t="n"/>
      <c r="AA530" s="492" t="n"/>
      <c r="AB530" s="492" t="n"/>
      <c r="AC530" s="492" t="n"/>
      <c r="AD530" s="492" t="n"/>
      <c r="AE530" s="493" t="n"/>
      <c r="AF530" s="492" t="n"/>
      <c r="AG530" s="492" t="n"/>
      <c r="AH530" s="492" t="n"/>
      <c r="AI530" s="492" t="n"/>
      <c r="AJ530" s="493" t="n"/>
      <c r="AK530" s="492" t="n"/>
      <c r="AL530" s="492" t="n"/>
      <c r="AM530" s="492" t="n"/>
      <c r="AN530" s="492" t="n"/>
      <c r="AO530" s="492" t="n"/>
      <c r="AP530" s="492" t="n"/>
      <c r="AQ530" s="492" t="n"/>
      <c r="AR530" s="492" t="n"/>
      <c r="AS530" s="492" t="n"/>
      <c r="AT530" s="492" t="n"/>
      <c r="AU530" s="493" t="n"/>
      <c r="AV530" s="492" t="n"/>
      <c r="AW530" s="492" t="n"/>
      <c r="AX530" s="492" t="n"/>
      <c r="AY530" s="492" t="n"/>
      <c r="AZ530" s="492" t="n"/>
      <c r="BA530" s="493" t="n"/>
      <c r="BB530" s="492" t="n"/>
      <c r="BC530" s="492" t="n"/>
      <c r="BD530" s="492" t="n"/>
      <c r="BE530" s="492" t="n"/>
      <c r="BF530" s="493" t="n"/>
      <c r="BG530" s="493" t="n"/>
      <c r="BH530" s="495" t="n"/>
      <c r="BI530" s="496" t="n"/>
      <c r="BJ530" s="496" t="n"/>
      <c r="BK530" s="496" t="n"/>
      <c r="BM530" s="493" t="n"/>
      <c r="BN530" s="493" t="n"/>
      <c r="BO530" s="493" t="n"/>
      <c r="BP530" s="493" t="n"/>
      <c r="BQ530" s="493" t="n"/>
      <c r="BR530" s="493" t="n"/>
      <c r="BS530" s="493" t="n"/>
      <c r="BT530" s="493" t="n"/>
      <c r="BU530" s="493" t="n"/>
      <c r="BV530" s="493" t="n"/>
      <c r="BW530" s="493" t="n"/>
      <c r="BX530" s="493" t="n"/>
      <c r="BY530" s="493" t="n"/>
      <c r="BZ530" s="493" t="n"/>
      <c r="CA530" s="493" t="n"/>
      <c r="CB530" s="493" t="n"/>
      <c r="CC530" s="493" t="n"/>
      <c r="CD530" s="493" t="n"/>
      <c r="CE530" s="493" t="n"/>
      <c r="CF530" s="493" t="n"/>
      <c r="CG530" s="493" t="n"/>
      <c r="CH530" s="493" t="n"/>
      <c r="CI530" s="493" t="n"/>
      <c r="CJ530" s="493" t="n"/>
      <c r="CK530" s="493" t="n"/>
      <c r="CL530" s="493" t="n"/>
    </row>
    <row r="531" customFormat="1" s="230">
      <c r="E531" s="234" t="n"/>
      <c r="F531" s="492" t="n"/>
      <c r="G531" s="492" t="n"/>
      <c r="H531" s="493" t="n"/>
      <c r="I531" s="492" t="n"/>
      <c r="J531" s="492" t="n"/>
      <c r="K531" s="492" t="n"/>
      <c r="L531" s="492" t="n"/>
      <c r="M531" s="493" t="n"/>
      <c r="N531" s="492" t="n"/>
      <c r="O531" s="492" t="n"/>
      <c r="P531" s="492" t="n"/>
      <c r="Q531" s="492" t="n"/>
      <c r="R531" s="492" t="n"/>
      <c r="S531" s="492" t="n"/>
      <c r="T531" s="492" t="n"/>
      <c r="U531" s="492" t="n"/>
      <c r="V531" s="492" t="n"/>
      <c r="W531" s="492" t="n"/>
      <c r="X531" s="492" t="n"/>
      <c r="Y531" s="492" t="n"/>
      <c r="Z531" s="492" t="n"/>
      <c r="AA531" s="492" t="n"/>
      <c r="AB531" s="492" t="n"/>
      <c r="AC531" s="492" t="n"/>
      <c r="AD531" s="492" t="n"/>
      <c r="AE531" s="493" t="n"/>
      <c r="AF531" s="492" t="n"/>
      <c r="AG531" s="492" t="n"/>
      <c r="AH531" s="492" t="n"/>
      <c r="AI531" s="492" t="n"/>
      <c r="AJ531" s="493" t="n"/>
      <c r="AK531" s="492" t="n"/>
      <c r="AL531" s="492" t="n"/>
      <c r="AM531" s="492" t="n"/>
      <c r="AN531" s="492" t="n"/>
      <c r="AO531" s="492" t="n"/>
      <c r="AP531" s="492" t="n"/>
      <c r="AQ531" s="492" t="n"/>
      <c r="AR531" s="492" t="n"/>
      <c r="AS531" s="492" t="n"/>
      <c r="AT531" s="492" t="n"/>
      <c r="AU531" s="493" t="n"/>
      <c r="AV531" s="492" t="n"/>
      <c r="AW531" s="492" t="n"/>
      <c r="AX531" s="492" t="n"/>
      <c r="AY531" s="492" t="n"/>
      <c r="AZ531" s="492" t="n"/>
      <c r="BA531" s="493" t="n"/>
      <c r="BB531" s="492" t="n"/>
      <c r="BC531" s="492" t="n"/>
      <c r="BD531" s="492" t="n"/>
      <c r="BE531" s="492" t="n"/>
      <c r="BF531" s="493" t="n"/>
      <c r="BG531" s="493" t="n"/>
      <c r="BH531" s="495" t="n"/>
      <c r="BI531" s="496" t="n"/>
      <c r="BJ531" s="496" t="n"/>
      <c r="BK531" s="496" t="n"/>
      <c r="BM531" s="493" t="n"/>
      <c r="BN531" s="493" t="n"/>
      <c r="BO531" s="493" t="n"/>
      <c r="BP531" s="493" t="n"/>
      <c r="BQ531" s="493" t="n"/>
      <c r="BR531" s="493" t="n"/>
      <c r="BS531" s="493" t="n"/>
      <c r="BT531" s="493" t="n"/>
      <c r="BU531" s="493" t="n"/>
      <c r="BV531" s="493" t="n"/>
      <c r="BW531" s="493" t="n"/>
      <c r="BX531" s="493" t="n"/>
      <c r="BY531" s="493" t="n"/>
      <c r="BZ531" s="493" t="n"/>
      <c r="CA531" s="493" t="n"/>
      <c r="CB531" s="493" t="n"/>
      <c r="CC531" s="493" t="n"/>
      <c r="CD531" s="493" t="n"/>
      <c r="CE531" s="493" t="n"/>
      <c r="CF531" s="493" t="n"/>
      <c r="CG531" s="493" t="n"/>
      <c r="CH531" s="493" t="n"/>
      <c r="CI531" s="493" t="n"/>
      <c r="CJ531" s="493" t="n"/>
      <c r="CK531" s="493" t="n"/>
      <c r="CL531" s="493" t="n"/>
    </row>
    <row r="532" customFormat="1" s="230">
      <c r="E532" s="234" t="n"/>
      <c r="F532" s="492" t="n"/>
      <c r="G532" s="492" t="n"/>
      <c r="H532" s="493" t="n"/>
      <c r="I532" s="492" t="n"/>
      <c r="J532" s="492" t="n"/>
      <c r="K532" s="492" t="n"/>
      <c r="L532" s="492" t="n"/>
      <c r="M532" s="493" t="n"/>
      <c r="N532" s="492" t="n"/>
      <c r="O532" s="492" t="n"/>
      <c r="P532" s="492" t="n"/>
      <c r="Q532" s="492" t="n"/>
      <c r="R532" s="492" t="n"/>
      <c r="S532" s="492" t="n"/>
      <c r="T532" s="492" t="n"/>
      <c r="U532" s="492" t="n"/>
      <c r="V532" s="492" t="n"/>
      <c r="W532" s="492" t="n"/>
      <c r="X532" s="492" t="n"/>
      <c r="Y532" s="492" t="n"/>
      <c r="Z532" s="492" t="n"/>
      <c r="AA532" s="492" t="n"/>
      <c r="AB532" s="492" t="n"/>
      <c r="AC532" s="492" t="n"/>
      <c r="AD532" s="492" t="n"/>
      <c r="AE532" s="493" t="n"/>
      <c r="AF532" s="492" t="n"/>
      <c r="AG532" s="492" t="n"/>
      <c r="AH532" s="492" t="n"/>
      <c r="AI532" s="492" t="n"/>
      <c r="AJ532" s="493" t="n"/>
      <c r="AK532" s="492" t="n"/>
      <c r="AL532" s="492" t="n"/>
      <c r="AM532" s="492" t="n"/>
      <c r="AN532" s="492" t="n"/>
      <c r="AO532" s="492" t="n"/>
      <c r="AP532" s="492" t="n"/>
      <c r="AQ532" s="492" t="n"/>
      <c r="AR532" s="492" t="n"/>
      <c r="AS532" s="492" t="n"/>
      <c r="AT532" s="492" t="n"/>
      <c r="AU532" s="493" t="n"/>
      <c r="AV532" s="492" t="n"/>
      <c r="AW532" s="492" t="n"/>
      <c r="AX532" s="492" t="n"/>
      <c r="AY532" s="492" t="n"/>
      <c r="AZ532" s="492" t="n"/>
      <c r="BA532" s="493" t="n"/>
      <c r="BB532" s="492" t="n"/>
      <c r="BC532" s="492" t="n"/>
      <c r="BD532" s="492" t="n"/>
      <c r="BE532" s="492" t="n"/>
      <c r="BF532" s="493" t="n"/>
      <c r="BG532" s="493" t="n"/>
      <c r="BH532" s="495" t="n"/>
      <c r="BI532" s="496" t="n"/>
      <c r="BJ532" s="496" t="n"/>
      <c r="BK532" s="496" t="n"/>
      <c r="BM532" s="493" t="n"/>
      <c r="BN532" s="493" t="n"/>
      <c r="BO532" s="493" t="n"/>
      <c r="BP532" s="493" t="n"/>
      <c r="BQ532" s="493" t="n"/>
      <c r="BR532" s="493" t="n"/>
      <c r="BS532" s="493" t="n"/>
      <c r="BT532" s="493" t="n"/>
      <c r="BU532" s="493" t="n"/>
      <c r="BV532" s="493" t="n"/>
      <c r="BW532" s="493" t="n"/>
      <c r="BX532" s="493" t="n"/>
      <c r="BY532" s="493" t="n"/>
      <c r="BZ532" s="493" t="n"/>
      <c r="CA532" s="493" t="n"/>
      <c r="CB532" s="493" t="n"/>
      <c r="CC532" s="493" t="n"/>
      <c r="CD532" s="493" t="n"/>
      <c r="CE532" s="493" t="n"/>
      <c r="CF532" s="493" t="n"/>
      <c r="CG532" s="493" t="n"/>
      <c r="CH532" s="493" t="n"/>
      <c r="CI532" s="493" t="n"/>
      <c r="CJ532" s="493" t="n"/>
      <c r="CK532" s="493" t="n"/>
      <c r="CL532" s="493" t="n"/>
    </row>
    <row r="533" customFormat="1" s="230">
      <c r="E533" s="234" t="n"/>
      <c r="F533" s="492" t="n"/>
      <c r="G533" s="492" t="n"/>
      <c r="H533" s="493" t="n"/>
      <c r="I533" s="492" t="n"/>
      <c r="J533" s="492" t="n"/>
      <c r="K533" s="492" t="n"/>
      <c r="L533" s="492" t="n"/>
      <c r="M533" s="493" t="n"/>
      <c r="N533" s="492" t="n"/>
      <c r="O533" s="492" t="n"/>
      <c r="P533" s="492" t="n"/>
      <c r="Q533" s="492" t="n"/>
      <c r="R533" s="492" t="n"/>
      <c r="S533" s="492" t="n"/>
      <c r="T533" s="492" t="n"/>
      <c r="U533" s="492" t="n"/>
      <c r="V533" s="492" t="n"/>
      <c r="W533" s="492" t="n"/>
      <c r="X533" s="492" t="n"/>
      <c r="Y533" s="492" t="n"/>
      <c r="Z533" s="492" t="n"/>
      <c r="AA533" s="492" t="n"/>
      <c r="AB533" s="492" t="n"/>
      <c r="AC533" s="492" t="n"/>
      <c r="AD533" s="492" t="n"/>
      <c r="AE533" s="493" t="n"/>
      <c r="AF533" s="492" t="n"/>
      <c r="AG533" s="492" t="n"/>
      <c r="AH533" s="492" t="n"/>
      <c r="AI533" s="492" t="n"/>
      <c r="AJ533" s="493" t="n"/>
      <c r="AK533" s="492" t="n"/>
      <c r="AL533" s="492" t="n"/>
      <c r="AM533" s="492" t="n"/>
      <c r="AN533" s="492" t="n"/>
      <c r="AO533" s="492" t="n"/>
      <c r="AP533" s="492" t="n"/>
      <c r="AQ533" s="492" t="n"/>
      <c r="AR533" s="492" t="n"/>
      <c r="AS533" s="492" t="n"/>
      <c r="AT533" s="492" t="n"/>
      <c r="AU533" s="493" t="n"/>
      <c r="AV533" s="492" t="n"/>
      <c r="AW533" s="492" t="n"/>
      <c r="AX533" s="492" t="n"/>
      <c r="AY533" s="492" t="n"/>
      <c r="AZ533" s="492" t="n"/>
      <c r="BA533" s="493" t="n"/>
      <c r="BB533" s="492" t="n"/>
      <c r="BC533" s="492" t="n"/>
      <c r="BD533" s="492" t="n"/>
      <c r="BE533" s="492" t="n"/>
      <c r="BF533" s="493" t="n"/>
      <c r="BG533" s="493" t="n"/>
      <c r="BH533" s="495" t="n"/>
      <c r="BI533" s="496" t="n"/>
      <c r="BJ533" s="496" t="n"/>
      <c r="BK533" s="496" t="n"/>
      <c r="BM533" s="493" t="n"/>
      <c r="BN533" s="493" t="n"/>
      <c r="BO533" s="493" t="n"/>
      <c r="BP533" s="493" t="n"/>
      <c r="BQ533" s="493" t="n"/>
      <c r="BR533" s="493" t="n"/>
      <c r="BS533" s="493" t="n"/>
      <c r="BT533" s="493" t="n"/>
      <c r="BU533" s="493" t="n"/>
      <c r="BV533" s="493" t="n"/>
      <c r="BW533" s="493" t="n"/>
      <c r="BX533" s="493" t="n"/>
      <c r="BY533" s="493" t="n"/>
      <c r="BZ533" s="493" t="n"/>
      <c r="CA533" s="493" t="n"/>
      <c r="CB533" s="493" t="n"/>
      <c r="CC533" s="493" t="n"/>
      <c r="CD533" s="493" t="n"/>
      <c r="CE533" s="493" t="n"/>
      <c r="CF533" s="493" t="n"/>
      <c r="CG533" s="493" t="n"/>
      <c r="CH533" s="493" t="n"/>
      <c r="CI533" s="493" t="n"/>
      <c r="CJ533" s="493" t="n"/>
      <c r="CK533" s="493" t="n"/>
      <c r="CL533" s="493" t="n"/>
    </row>
    <row r="534" customFormat="1" s="230">
      <c r="E534" s="234" t="n"/>
      <c r="F534" s="492" t="n"/>
      <c r="G534" s="492" t="n"/>
      <c r="H534" s="493" t="n"/>
      <c r="I534" s="492" t="n"/>
      <c r="J534" s="492" t="n"/>
      <c r="K534" s="492" t="n"/>
      <c r="L534" s="492" t="n"/>
      <c r="M534" s="493" t="n"/>
      <c r="N534" s="492" t="n"/>
      <c r="O534" s="492" t="n"/>
      <c r="P534" s="492" t="n"/>
      <c r="Q534" s="492" t="n"/>
      <c r="R534" s="492" t="n"/>
      <c r="S534" s="492" t="n"/>
      <c r="T534" s="492" t="n"/>
      <c r="U534" s="492" t="n"/>
      <c r="V534" s="492" t="n"/>
      <c r="W534" s="492" t="n"/>
      <c r="X534" s="492" t="n"/>
      <c r="Y534" s="492" t="n"/>
      <c r="Z534" s="492" t="n"/>
      <c r="AA534" s="492" t="n"/>
      <c r="AB534" s="492" t="n"/>
      <c r="AC534" s="492" t="n"/>
      <c r="AD534" s="492" t="n"/>
      <c r="AE534" s="493" t="n"/>
      <c r="AF534" s="492" t="n"/>
      <c r="AG534" s="492" t="n"/>
      <c r="AH534" s="492" t="n"/>
      <c r="AI534" s="492" t="n"/>
      <c r="AJ534" s="493" t="n"/>
      <c r="AK534" s="492" t="n"/>
      <c r="AL534" s="492" t="n"/>
      <c r="AM534" s="492" t="n"/>
      <c r="AN534" s="492" t="n"/>
      <c r="AO534" s="492" t="n"/>
      <c r="AP534" s="492" t="n"/>
      <c r="AQ534" s="492" t="n"/>
      <c r="AR534" s="492" t="n"/>
      <c r="AS534" s="492" t="n"/>
      <c r="AT534" s="492" t="n"/>
      <c r="AU534" s="493" t="n"/>
      <c r="AV534" s="492" t="n"/>
      <c r="AW534" s="492" t="n"/>
      <c r="AX534" s="492" t="n"/>
      <c r="AY534" s="492" t="n"/>
      <c r="AZ534" s="492" t="n"/>
      <c r="BA534" s="493" t="n"/>
      <c r="BB534" s="492" t="n"/>
      <c r="BC534" s="492" t="n"/>
      <c r="BD534" s="492" t="n"/>
      <c r="BE534" s="492" t="n"/>
      <c r="BF534" s="493" t="n"/>
      <c r="BG534" s="493" t="n"/>
      <c r="BH534" s="495" t="n"/>
      <c r="BI534" s="496" t="n"/>
      <c r="BJ534" s="496" t="n"/>
      <c r="BK534" s="496" t="n"/>
      <c r="BM534" s="493" t="n"/>
      <c r="BN534" s="493" t="n"/>
      <c r="BO534" s="493" t="n"/>
      <c r="BP534" s="493" t="n"/>
      <c r="BQ534" s="493" t="n"/>
      <c r="BR534" s="493" t="n"/>
      <c r="BS534" s="493" t="n"/>
      <c r="BT534" s="493" t="n"/>
      <c r="BU534" s="493" t="n"/>
      <c r="BV534" s="493" t="n"/>
      <c r="BW534" s="493" t="n"/>
      <c r="BX534" s="493" t="n"/>
      <c r="BY534" s="493" t="n"/>
      <c r="BZ534" s="493" t="n"/>
      <c r="CA534" s="493" t="n"/>
      <c r="CB534" s="493" t="n"/>
      <c r="CC534" s="493" t="n"/>
      <c r="CD534" s="493" t="n"/>
      <c r="CE534" s="493" t="n"/>
      <c r="CF534" s="493" t="n"/>
      <c r="CG534" s="493" t="n"/>
      <c r="CH534" s="493" t="n"/>
      <c r="CI534" s="493" t="n"/>
      <c r="CJ534" s="493" t="n"/>
      <c r="CK534" s="493" t="n"/>
      <c r="CL534" s="493" t="n"/>
    </row>
    <row r="535" customFormat="1" s="230">
      <c r="E535" s="234" t="n"/>
      <c r="F535" s="492" t="n"/>
      <c r="G535" s="492" t="n"/>
      <c r="H535" s="493" t="n"/>
      <c r="I535" s="492" t="n"/>
      <c r="J535" s="492" t="n"/>
      <c r="K535" s="492" t="n"/>
      <c r="L535" s="492" t="n"/>
      <c r="M535" s="493" t="n"/>
      <c r="N535" s="492" t="n"/>
      <c r="O535" s="492" t="n"/>
      <c r="P535" s="492" t="n"/>
      <c r="Q535" s="492" t="n"/>
      <c r="R535" s="492" t="n"/>
      <c r="S535" s="492" t="n"/>
      <c r="T535" s="492" t="n"/>
      <c r="U535" s="492" t="n"/>
      <c r="V535" s="492" t="n"/>
      <c r="W535" s="492" t="n"/>
      <c r="X535" s="492" t="n"/>
      <c r="Y535" s="492" t="n"/>
      <c r="Z535" s="492" t="n"/>
      <c r="AA535" s="492" t="n"/>
      <c r="AB535" s="492" t="n"/>
      <c r="AC535" s="492" t="n"/>
      <c r="AD535" s="492" t="n"/>
      <c r="AE535" s="493" t="n"/>
      <c r="AF535" s="492" t="n"/>
      <c r="AG535" s="492" t="n"/>
      <c r="AH535" s="492" t="n"/>
      <c r="AI535" s="492" t="n"/>
      <c r="AJ535" s="493" t="n"/>
      <c r="AK535" s="492" t="n"/>
      <c r="AL535" s="492" t="n"/>
      <c r="AM535" s="492" t="n"/>
      <c r="AN535" s="492" t="n"/>
      <c r="AO535" s="492" t="n"/>
      <c r="AP535" s="492" t="n"/>
      <c r="AQ535" s="492" t="n"/>
      <c r="AR535" s="492" t="n"/>
      <c r="AS535" s="492" t="n"/>
      <c r="AT535" s="492" t="n"/>
      <c r="AU535" s="493" t="n"/>
      <c r="AV535" s="492" t="n"/>
      <c r="AW535" s="492" t="n"/>
      <c r="AX535" s="492" t="n"/>
      <c r="AY535" s="492" t="n"/>
      <c r="AZ535" s="492" t="n"/>
      <c r="BA535" s="493" t="n"/>
      <c r="BB535" s="492" t="n"/>
      <c r="BC535" s="492" t="n"/>
      <c r="BD535" s="492" t="n"/>
      <c r="BE535" s="492" t="n"/>
      <c r="BF535" s="493" t="n"/>
      <c r="BG535" s="493" t="n"/>
      <c r="BH535" s="495" t="n"/>
      <c r="BI535" s="496" t="n"/>
      <c r="BJ535" s="496" t="n"/>
      <c r="BK535" s="496" t="n"/>
      <c r="BM535" s="493" t="n"/>
      <c r="BN535" s="493" t="n"/>
      <c r="BO535" s="493" t="n"/>
      <c r="BP535" s="493" t="n"/>
      <c r="BQ535" s="493" t="n"/>
      <c r="BR535" s="493" t="n"/>
      <c r="BS535" s="493" t="n"/>
      <c r="BT535" s="493" t="n"/>
      <c r="BU535" s="493" t="n"/>
      <c r="BV535" s="493" t="n"/>
      <c r="BW535" s="493" t="n"/>
      <c r="BX535" s="493" t="n"/>
      <c r="BY535" s="493" t="n"/>
      <c r="BZ535" s="493" t="n"/>
      <c r="CA535" s="493" t="n"/>
      <c r="CB535" s="493" t="n"/>
      <c r="CC535" s="493" t="n"/>
      <c r="CD535" s="493" t="n"/>
      <c r="CE535" s="493" t="n"/>
      <c r="CF535" s="493" t="n"/>
      <c r="CG535" s="493" t="n"/>
      <c r="CH535" s="493" t="n"/>
      <c r="CI535" s="493" t="n"/>
      <c r="CJ535" s="493" t="n"/>
      <c r="CK535" s="493" t="n"/>
      <c r="CL535" s="493" t="n"/>
    </row>
    <row r="536" customFormat="1" s="230">
      <c r="E536" s="234" t="n"/>
      <c r="F536" s="492" t="n"/>
      <c r="G536" s="492" t="n"/>
      <c r="H536" s="493" t="n"/>
      <c r="I536" s="492" t="n"/>
      <c r="J536" s="492" t="n"/>
      <c r="K536" s="492" t="n"/>
      <c r="L536" s="492" t="n"/>
      <c r="M536" s="493" t="n"/>
      <c r="N536" s="492" t="n"/>
      <c r="O536" s="492" t="n"/>
      <c r="P536" s="492" t="n"/>
      <c r="Q536" s="492" t="n"/>
      <c r="R536" s="492" t="n"/>
      <c r="S536" s="492" t="n"/>
      <c r="T536" s="492" t="n"/>
      <c r="U536" s="492" t="n"/>
      <c r="V536" s="492" t="n"/>
      <c r="W536" s="492" t="n"/>
      <c r="X536" s="492" t="n"/>
      <c r="Y536" s="492" t="n"/>
      <c r="Z536" s="492" t="n"/>
      <c r="AA536" s="492" t="n"/>
      <c r="AB536" s="492" t="n"/>
      <c r="AC536" s="492" t="n"/>
      <c r="AD536" s="492" t="n"/>
      <c r="AE536" s="493" t="n"/>
      <c r="AF536" s="492" t="n"/>
      <c r="AG536" s="492" t="n"/>
      <c r="AH536" s="492" t="n"/>
      <c r="AI536" s="492" t="n"/>
      <c r="AJ536" s="493" t="n"/>
      <c r="AK536" s="492" t="n"/>
      <c r="AL536" s="492" t="n"/>
      <c r="AM536" s="492" t="n"/>
      <c r="AN536" s="492" t="n"/>
      <c r="AO536" s="492" t="n"/>
      <c r="AP536" s="492" t="n"/>
      <c r="AQ536" s="492" t="n"/>
      <c r="AR536" s="492" t="n"/>
      <c r="AS536" s="492" t="n"/>
      <c r="AT536" s="492" t="n"/>
      <c r="AU536" s="493" t="n"/>
      <c r="AV536" s="492" t="n"/>
      <c r="AW536" s="492" t="n"/>
      <c r="AX536" s="492" t="n"/>
      <c r="AY536" s="492" t="n"/>
      <c r="AZ536" s="492" t="n"/>
      <c r="BA536" s="493" t="n"/>
      <c r="BB536" s="492" t="n"/>
      <c r="BC536" s="492" t="n"/>
      <c r="BD536" s="492" t="n"/>
      <c r="BE536" s="492" t="n"/>
      <c r="BF536" s="493" t="n"/>
      <c r="BG536" s="493" t="n"/>
      <c r="BH536" s="495" t="n"/>
      <c r="BI536" s="496" t="n"/>
      <c r="BJ536" s="496" t="n"/>
      <c r="BK536" s="496" t="n"/>
      <c r="BM536" s="493" t="n"/>
      <c r="BN536" s="493" t="n"/>
      <c r="BO536" s="493" t="n"/>
      <c r="BP536" s="493" t="n"/>
      <c r="BQ536" s="493" t="n"/>
      <c r="BR536" s="493" t="n"/>
      <c r="BS536" s="493" t="n"/>
      <c r="BT536" s="493" t="n"/>
      <c r="BU536" s="493" t="n"/>
      <c r="BV536" s="493" t="n"/>
      <c r="BW536" s="493" t="n"/>
      <c r="BX536" s="493" t="n"/>
      <c r="BY536" s="493" t="n"/>
      <c r="BZ536" s="493" t="n"/>
      <c r="CA536" s="493" t="n"/>
      <c r="CB536" s="493" t="n"/>
      <c r="CC536" s="493" t="n"/>
      <c r="CD536" s="493" t="n"/>
      <c r="CE536" s="493" t="n"/>
      <c r="CF536" s="493" t="n"/>
      <c r="CG536" s="493" t="n"/>
      <c r="CH536" s="493" t="n"/>
      <c r="CI536" s="493" t="n"/>
      <c r="CJ536" s="493" t="n"/>
      <c r="CK536" s="493" t="n"/>
      <c r="CL536" s="493" t="n"/>
    </row>
    <row r="537" customFormat="1" s="230">
      <c r="E537" s="234" t="n"/>
      <c r="F537" s="492" t="n"/>
      <c r="G537" s="492" t="n"/>
      <c r="H537" s="493" t="n"/>
      <c r="I537" s="492" t="n"/>
      <c r="J537" s="492" t="n"/>
      <c r="K537" s="492" t="n"/>
      <c r="L537" s="492" t="n"/>
      <c r="M537" s="493" t="n"/>
      <c r="N537" s="492" t="n"/>
      <c r="O537" s="492" t="n"/>
      <c r="P537" s="492" t="n"/>
      <c r="Q537" s="492" t="n"/>
      <c r="R537" s="492" t="n"/>
      <c r="S537" s="492" t="n"/>
      <c r="T537" s="492" t="n"/>
      <c r="U537" s="492" t="n"/>
      <c r="V537" s="492" t="n"/>
      <c r="W537" s="492" t="n"/>
      <c r="X537" s="492" t="n"/>
      <c r="Y537" s="492" t="n"/>
      <c r="Z537" s="492" t="n"/>
      <c r="AA537" s="492" t="n"/>
      <c r="AB537" s="492" t="n"/>
      <c r="AC537" s="492" t="n"/>
      <c r="AD537" s="492" t="n"/>
      <c r="AE537" s="493" t="n"/>
      <c r="AF537" s="492" t="n"/>
      <c r="AG537" s="492" t="n"/>
      <c r="AH537" s="492" t="n"/>
      <c r="AI537" s="492" t="n"/>
      <c r="AJ537" s="493" t="n"/>
      <c r="AK537" s="492" t="n"/>
      <c r="AL537" s="492" t="n"/>
      <c r="AM537" s="492" t="n"/>
      <c r="AN537" s="492" t="n"/>
      <c r="AO537" s="492" t="n"/>
      <c r="AP537" s="492" t="n"/>
      <c r="AQ537" s="492" t="n"/>
      <c r="AR537" s="492" t="n"/>
      <c r="AS537" s="492" t="n"/>
      <c r="AT537" s="492" t="n"/>
      <c r="AU537" s="493" t="n"/>
      <c r="AV537" s="492" t="n"/>
      <c r="AW537" s="492" t="n"/>
      <c r="AX537" s="492" t="n"/>
      <c r="AY537" s="492" t="n"/>
      <c r="AZ537" s="492" t="n"/>
      <c r="BA537" s="493" t="n"/>
      <c r="BB537" s="492" t="n"/>
      <c r="BC537" s="492" t="n"/>
      <c r="BD537" s="492" t="n"/>
      <c r="BE537" s="492" t="n"/>
      <c r="BF537" s="493" t="n"/>
      <c r="BG537" s="493" t="n"/>
      <c r="BH537" s="495" t="n"/>
      <c r="BI537" s="496" t="n"/>
      <c r="BJ537" s="496" t="n"/>
      <c r="BK537" s="496" t="n"/>
      <c r="BM537" s="493" t="n"/>
      <c r="BN537" s="493" t="n"/>
      <c r="BO537" s="493" t="n"/>
      <c r="BP537" s="493" t="n"/>
      <c r="BQ537" s="493" t="n"/>
      <c r="BR537" s="493" t="n"/>
      <c r="BS537" s="493" t="n"/>
      <c r="BT537" s="493" t="n"/>
      <c r="BU537" s="493" t="n"/>
      <c r="BV537" s="493" t="n"/>
      <c r="BW537" s="493" t="n"/>
      <c r="BX537" s="493" t="n"/>
      <c r="BY537" s="493" t="n"/>
      <c r="BZ537" s="493" t="n"/>
      <c r="CA537" s="493" t="n"/>
      <c r="CB537" s="493" t="n"/>
      <c r="CC537" s="493" t="n"/>
      <c r="CD537" s="493" t="n"/>
      <c r="CE537" s="493" t="n"/>
      <c r="CF537" s="493" t="n"/>
      <c r="CG537" s="493" t="n"/>
      <c r="CH537" s="493" t="n"/>
      <c r="CI537" s="493" t="n"/>
      <c r="CJ537" s="493" t="n"/>
      <c r="CK537" s="493" t="n"/>
      <c r="CL537" s="493" t="n"/>
    </row>
    <row r="538" customFormat="1" s="230">
      <c r="E538" s="234" t="n"/>
      <c r="F538" s="492" t="n"/>
      <c r="G538" s="492" t="n"/>
      <c r="H538" s="493" t="n"/>
      <c r="I538" s="492" t="n"/>
      <c r="J538" s="492" t="n"/>
      <c r="K538" s="492" t="n"/>
      <c r="L538" s="492" t="n"/>
      <c r="M538" s="493" t="n"/>
      <c r="N538" s="492" t="n"/>
      <c r="O538" s="492" t="n"/>
      <c r="P538" s="492" t="n"/>
      <c r="Q538" s="492" t="n"/>
      <c r="R538" s="492" t="n"/>
      <c r="S538" s="492" t="n"/>
      <c r="T538" s="492" t="n"/>
      <c r="U538" s="492" t="n"/>
      <c r="V538" s="492" t="n"/>
      <c r="W538" s="492" t="n"/>
      <c r="X538" s="492" t="n"/>
      <c r="Y538" s="492" t="n"/>
      <c r="Z538" s="492" t="n"/>
      <c r="AA538" s="492" t="n"/>
      <c r="AB538" s="492" t="n"/>
      <c r="AC538" s="492" t="n"/>
      <c r="AD538" s="492" t="n"/>
      <c r="AE538" s="493" t="n"/>
      <c r="AF538" s="492" t="n"/>
      <c r="AG538" s="492" t="n"/>
      <c r="AH538" s="492" t="n"/>
      <c r="AI538" s="492" t="n"/>
      <c r="AJ538" s="493" t="n"/>
      <c r="AK538" s="492" t="n"/>
      <c r="AL538" s="492" t="n"/>
      <c r="AM538" s="492" t="n"/>
      <c r="AN538" s="492" t="n"/>
      <c r="AO538" s="492" t="n"/>
      <c r="AP538" s="492" t="n"/>
      <c r="AQ538" s="492" t="n"/>
      <c r="AR538" s="492" t="n"/>
      <c r="AS538" s="492" t="n"/>
      <c r="AT538" s="492" t="n"/>
      <c r="AU538" s="493" t="n"/>
      <c r="AV538" s="492" t="n"/>
      <c r="AW538" s="492" t="n"/>
      <c r="AX538" s="492" t="n"/>
      <c r="AY538" s="492" t="n"/>
      <c r="AZ538" s="492" t="n"/>
      <c r="BA538" s="493" t="n"/>
      <c r="BB538" s="492" t="n"/>
      <c r="BC538" s="492" t="n"/>
      <c r="BD538" s="492" t="n"/>
      <c r="BE538" s="492" t="n"/>
      <c r="BF538" s="493" t="n"/>
      <c r="BG538" s="493" t="n"/>
      <c r="BH538" s="495" t="n"/>
      <c r="BI538" s="496" t="n"/>
      <c r="BJ538" s="496" t="n"/>
      <c r="BK538" s="496" t="n"/>
      <c r="BM538" s="493" t="n"/>
      <c r="BN538" s="493" t="n"/>
      <c r="BO538" s="493" t="n"/>
      <c r="BP538" s="493" t="n"/>
      <c r="BQ538" s="493" t="n"/>
      <c r="BR538" s="493" t="n"/>
      <c r="BS538" s="493" t="n"/>
      <c r="BT538" s="493" t="n"/>
      <c r="BU538" s="493" t="n"/>
      <c r="BV538" s="493" t="n"/>
      <c r="BW538" s="493" t="n"/>
      <c r="BX538" s="493" t="n"/>
      <c r="BY538" s="493" t="n"/>
      <c r="BZ538" s="493" t="n"/>
      <c r="CA538" s="493" t="n"/>
      <c r="CB538" s="493" t="n"/>
      <c r="CC538" s="493" t="n"/>
      <c r="CD538" s="493" t="n"/>
      <c r="CE538" s="493" t="n"/>
      <c r="CF538" s="493" t="n"/>
      <c r="CG538" s="493" t="n"/>
      <c r="CH538" s="493" t="n"/>
      <c r="CI538" s="493" t="n"/>
      <c r="CJ538" s="493" t="n"/>
      <c r="CK538" s="493" t="n"/>
      <c r="CL538" s="493" t="n"/>
    </row>
    <row r="539" customFormat="1" s="230">
      <c r="E539" s="234" t="n"/>
      <c r="F539" s="492" t="n"/>
      <c r="G539" s="492" t="n"/>
      <c r="H539" s="493" t="n"/>
      <c r="I539" s="492" t="n"/>
      <c r="J539" s="492" t="n"/>
      <c r="K539" s="492" t="n"/>
      <c r="L539" s="492" t="n"/>
      <c r="M539" s="493" t="n"/>
      <c r="N539" s="492" t="n"/>
      <c r="O539" s="492" t="n"/>
      <c r="P539" s="492" t="n"/>
      <c r="Q539" s="492" t="n"/>
      <c r="R539" s="492" t="n"/>
      <c r="S539" s="492" t="n"/>
      <c r="T539" s="492" t="n"/>
      <c r="U539" s="492" t="n"/>
      <c r="V539" s="492" t="n"/>
      <c r="W539" s="492" t="n"/>
      <c r="X539" s="492" t="n"/>
      <c r="Y539" s="492" t="n"/>
      <c r="Z539" s="492" t="n"/>
      <c r="AA539" s="492" t="n"/>
      <c r="AB539" s="492" t="n"/>
      <c r="AC539" s="492" t="n"/>
      <c r="AD539" s="492" t="n"/>
      <c r="AE539" s="493" t="n"/>
      <c r="AF539" s="492" t="n"/>
      <c r="AG539" s="492" t="n"/>
      <c r="AH539" s="492" t="n"/>
      <c r="AI539" s="492" t="n"/>
      <c r="AJ539" s="493" t="n"/>
      <c r="AK539" s="492" t="n"/>
      <c r="AL539" s="492" t="n"/>
      <c r="AM539" s="492" t="n"/>
      <c r="AN539" s="492" t="n"/>
      <c r="AO539" s="492" t="n"/>
      <c r="AP539" s="492" t="n"/>
      <c r="AQ539" s="492" t="n"/>
      <c r="AR539" s="492" t="n"/>
      <c r="AS539" s="492" t="n"/>
      <c r="AT539" s="492" t="n"/>
      <c r="AU539" s="493" t="n"/>
      <c r="AV539" s="492" t="n"/>
      <c r="AW539" s="492" t="n"/>
      <c r="AX539" s="492" t="n"/>
      <c r="AY539" s="492" t="n"/>
      <c r="AZ539" s="492" t="n"/>
      <c r="BA539" s="493" t="n"/>
      <c r="BB539" s="492" t="n"/>
      <c r="BC539" s="492" t="n"/>
      <c r="BD539" s="492" t="n"/>
      <c r="BE539" s="492" t="n"/>
      <c r="BF539" s="493" t="n"/>
      <c r="BG539" s="493" t="n"/>
      <c r="BH539" s="495" t="n"/>
      <c r="BI539" s="496" t="n"/>
      <c r="BJ539" s="496" t="n"/>
      <c r="BK539" s="496" t="n"/>
      <c r="BM539" s="493" t="n"/>
      <c r="BN539" s="493" t="n"/>
      <c r="BO539" s="493" t="n"/>
      <c r="BP539" s="493" t="n"/>
      <c r="BQ539" s="493" t="n"/>
      <c r="BR539" s="493" t="n"/>
      <c r="BS539" s="493" t="n"/>
      <c r="BT539" s="493" t="n"/>
      <c r="BU539" s="493" t="n"/>
      <c r="BV539" s="493" t="n"/>
      <c r="BW539" s="493" t="n"/>
      <c r="BX539" s="493" t="n"/>
      <c r="BY539" s="493" t="n"/>
      <c r="BZ539" s="493" t="n"/>
      <c r="CA539" s="493" t="n"/>
      <c r="CB539" s="493" t="n"/>
      <c r="CC539" s="493" t="n"/>
      <c r="CD539" s="493" t="n"/>
      <c r="CE539" s="493" t="n"/>
      <c r="CF539" s="493" t="n"/>
      <c r="CG539" s="493" t="n"/>
      <c r="CH539" s="493" t="n"/>
      <c r="CI539" s="493" t="n"/>
      <c r="CJ539" s="493" t="n"/>
      <c r="CK539" s="493" t="n"/>
      <c r="CL539" s="493" t="n"/>
    </row>
    <row r="540" customFormat="1" s="230">
      <c r="E540" s="234" t="n"/>
      <c r="F540" s="492" t="n"/>
      <c r="G540" s="492" t="n"/>
      <c r="H540" s="493" t="n"/>
      <c r="I540" s="492" t="n"/>
      <c r="J540" s="492" t="n"/>
      <c r="K540" s="492" t="n"/>
      <c r="L540" s="492" t="n"/>
      <c r="M540" s="493" t="n"/>
      <c r="N540" s="492" t="n"/>
      <c r="O540" s="492" t="n"/>
      <c r="P540" s="492" t="n"/>
      <c r="Q540" s="492" t="n"/>
      <c r="R540" s="492" t="n"/>
      <c r="S540" s="492" t="n"/>
      <c r="T540" s="492" t="n"/>
      <c r="U540" s="492" t="n"/>
      <c r="V540" s="492" t="n"/>
      <c r="W540" s="492" t="n"/>
      <c r="X540" s="492" t="n"/>
      <c r="Y540" s="492" t="n"/>
      <c r="Z540" s="492" t="n"/>
      <c r="AA540" s="492" t="n"/>
      <c r="AB540" s="492" t="n"/>
      <c r="AC540" s="492" t="n"/>
      <c r="AD540" s="492" t="n"/>
      <c r="AE540" s="493" t="n"/>
      <c r="AF540" s="492" t="n"/>
      <c r="AG540" s="492" t="n"/>
      <c r="AH540" s="492" t="n"/>
      <c r="AI540" s="492" t="n"/>
      <c r="AJ540" s="493" t="n"/>
      <c r="AK540" s="492" t="n"/>
      <c r="AL540" s="492" t="n"/>
      <c r="AM540" s="492" t="n"/>
      <c r="AN540" s="492" t="n"/>
      <c r="AO540" s="492" t="n"/>
      <c r="AP540" s="492" t="n"/>
      <c r="AQ540" s="492" t="n"/>
      <c r="AR540" s="492" t="n"/>
      <c r="AS540" s="492" t="n"/>
      <c r="AT540" s="492" t="n"/>
      <c r="AU540" s="493" t="n"/>
      <c r="AV540" s="492" t="n"/>
      <c r="AW540" s="492" t="n"/>
      <c r="AX540" s="492" t="n"/>
      <c r="AY540" s="492" t="n"/>
      <c r="AZ540" s="492" t="n"/>
      <c r="BA540" s="493" t="n"/>
      <c r="BB540" s="492" t="n"/>
      <c r="BC540" s="492" t="n"/>
      <c r="BD540" s="492" t="n"/>
      <c r="BE540" s="492" t="n"/>
      <c r="BF540" s="493" t="n"/>
      <c r="BG540" s="493" t="n"/>
      <c r="BH540" s="495" t="n"/>
      <c r="BI540" s="496" t="n"/>
      <c r="BJ540" s="496" t="n"/>
      <c r="BK540" s="496" t="n"/>
      <c r="BM540" s="493" t="n"/>
      <c r="BN540" s="493" t="n"/>
      <c r="BO540" s="493" t="n"/>
      <c r="BP540" s="493" t="n"/>
      <c r="BQ540" s="493" t="n"/>
      <c r="BR540" s="493" t="n"/>
      <c r="BS540" s="493" t="n"/>
      <c r="BT540" s="493" t="n"/>
      <c r="BU540" s="493" t="n"/>
      <c r="BV540" s="493" t="n"/>
      <c r="BW540" s="493" t="n"/>
      <c r="BX540" s="493" t="n"/>
      <c r="BY540" s="493" t="n"/>
      <c r="BZ540" s="493" t="n"/>
      <c r="CA540" s="493" t="n"/>
      <c r="CB540" s="493" t="n"/>
      <c r="CC540" s="493" t="n"/>
      <c r="CD540" s="493" t="n"/>
      <c r="CE540" s="493" t="n"/>
      <c r="CF540" s="493" t="n"/>
      <c r="CG540" s="493" t="n"/>
      <c r="CH540" s="493" t="n"/>
      <c r="CI540" s="493" t="n"/>
      <c r="CJ540" s="493" t="n"/>
      <c r="CK540" s="493" t="n"/>
      <c r="CL540" s="493" t="n"/>
    </row>
    <row r="541" customFormat="1" s="230">
      <c r="E541" s="234" t="n"/>
      <c r="F541" s="492" t="n"/>
      <c r="G541" s="492" t="n"/>
      <c r="H541" s="493" t="n"/>
      <c r="I541" s="492" t="n"/>
      <c r="J541" s="492" t="n"/>
      <c r="K541" s="492" t="n"/>
      <c r="L541" s="492" t="n"/>
      <c r="M541" s="493" t="n"/>
      <c r="N541" s="492" t="n"/>
      <c r="O541" s="492" t="n"/>
      <c r="P541" s="492" t="n"/>
      <c r="Q541" s="492" t="n"/>
      <c r="R541" s="492" t="n"/>
      <c r="S541" s="492" t="n"/>
      <c r="T541" s="492" t="n"/>
      <c r="U541" s="492" t="n"/>
      <c r="V541" s="492" t="n"/>
      <c r="W541" s="492" t="n"/>
      <c r="X541" s="492" t="n"/>
      <c r="Y541" s="492" t="n"/>
      <c r="Z541" s="492" t="n"/>
      <c r="AA541" s="492" t="n"/>
      <c r="AB541" s="492" t="n"/>
      <c r="AC541" s="492" t="n"/>
      <c r="AD541" s="492" t="n"/>
      <c r="AE541" s="493" t="n"/>
      <c r="AF541" s="492" t="n"/>
      <c r="AG541" s="492" t="n"/>
      <c r="AH541" s="492" t="n"/>
      <c r="AI541" s="492" t="n"/>
      <c r="AJ541" s="493" t="n"/>
      <c r="AK541" s="492" t="n"/>
      <c r="AL541" s="492" t="n"/>
      <c r="AM541" s="492" t="n"/>
      <c r="AN541" s="492" t="n"/>
      <c r="AO541" s="492" t="n"/>
      <c r="AP541" s="492" t="n"/>
      <c r="AQ541" s="492" t="n"/>
      <c r="AR541" s="492" t="n"/>
      <c r="AS541" s="492" t="n"/>
      <c r="AT541" s="492" t="n"/>
      <c r="AU541" s="493" t="n"/>
      <c r="AV541" s="492" t="n"/>
      <c r="AW541" s="492" t="n"/>
      <c r="AX541" s="492" t="n"/>
      <c r="AY541" s="492" t="n"/>
      <c r="AZ541" s="492" t="n"/>
      <c r="BA541" s="493" t="n"/>
      <c r="BB541" s="492" t="n"/>
      <c r="BC541" s="492" t="n"/>
      <c r="BD541" s="492" t="n"/>
      <c r="BE541" s="492" t="n"/>
      <c r="BF541" s="493" t="n"/>
      <c r="BG541" s="493" t="n"/>
      <c r="BH541" s="495" t="n"/>
      <c r="BI541" s="496" t="n"/>
      <c r="BJ541" s="496" t="n"/>
      <c r="BK541" s="496" t="n"/>
      <c r="BM541" s="493" t="n"/>
      <c r="BN541" s="493" t="n"/>
      <c r="BO541" s="493" t="n"/>
      <c r="BP541" s="493" t="n"/>
      <c r="BQ541" s="493" t="n"/>
      <c r="BR541" s="493" t="n"/>
      <c r="BS541" s="493" t="n"/>
      <c r="BT541" s="493" t="n"/>
      <c r="BU541" s="493" t="n"/>
      <c r="BV541" s="493" t="n"/>
      <c r="BW541" s="493" t="n"/>
      <c r="BX541" s="493" t="n"/>
      <c r="BY541" s="493" t="n"/>
      <c r="BZ541" s="493" t="n"/>
      <c r="CA541" s="493" t="n"/>
      <c r="CB541" s="493" t="n"/>
      <c r="CC541" s="493" t="n"/>
      <c r="CD541" s="493" t="n"/>
      <c r="CE541" s="493" t="n"/>
      <c r="CF541" s="493" t="n"/>
      <c r="CG541" s="493" t="n"/>
      <c r="CH541" s="493" t="n"/>
      <c r="CI541" s="493" t="n"/>
      <c r="CJ541" s="493" t="n"/>
      <c r="CK541" s="493" t="n"/>
      <c r="CL541" s="493" t="n"/>
    </row>
    <row r="542" customFormat="1" s="230">
      <c r="E542" s="234" t="n"/>
      <c r="F542" s="492" t="n"/>
      <c r="G542" s="492" t="n"/>
      <c r="H542" s="493" t="n"/>
      <c r="I542" s="492" t="n"/>
      <c r="J542" s="492" t="n"/>
      <c r="K542" s="492" t="n"/>
      <c r="L542" s="492" t="n"/>
      <c r="M542" s="493" t="n"/>
      <c r="N542" s="492" t="n"/>
      <c r="O542" s="492" t="n"/>
      <c r="P542" s="492" t="n"/>
      <c r="Q542" s="492" t="n"/>
      <c r="R542" s="492" t="n"/>
      <c r="S542" s="492" t="n"/>
      <c r="T542" s="492" t="n"/>
      <c r="U542" s="492" t="n"/>
      <c r="V542" s="492" t="n"/>
      <c r="W542" s="492" t="n"/>
      <c r="X542" s="492" t="n"/>
      <c r="Y542" s="492" t="n"/>
      <c r="Z542" s="492" t="n"/>
      <c r="AA542" s="492" t="n"/>
      <c r="AB542" s="492" t="n"/>
      <c r="AC542" s="492" t="n"/>
      <c r="AD542" s="492" t="n"/>
      <c r="AE542" s="493" t="n"/>
      <c r="AF542" s="492" t="n"/>
      <c r="AG542" s="492" t="n"/>
      <c r="AH542" s="492" t="n"/>
      <c r="AI542" s="492" t="n"/>
      <c r="AJ542" s="493" t="n"/>
      <c r="AK542" s="492" t="n"/>
      <c r="AL542" s="492" t="n"/>
      <c r="AM542" s="492" t="n"/>
      <c r="AN542" s="492" t="n"/>
      <c r="AO542" s="492" t="n"/>
      <c r="AP542" s="492" t="n"/>
      <c r="AQ542" s="492" t="n"/>
      <c r="AR542" s="492" t="n"/>
      <c r="AS542" s="492" t="n"/>
      <c r="AT542" s="492" t="n"/>
      <c r="AU542" s="493" t="n"/>
      <c r="AV542" s="492" t="n"/>
      <c r="AW542" s="492" t="n"/>
      <c r="AX542" s="492" t="n"/>
      <c r="AY542" s="492" t="n"/>
      <c r="AZ542" s="492" t="n"/>
      <c r="BA542" s="493" t="n"/>
      <c r="BB542" s="492" t="n"/>
      <c r="BC542" s="492" t="n"/>
      <c r="BD542" s="492" t="n"/>
      <c r="BE542" s="492" t="n"/>
      <c r="BF542" s="493" t="n"/>
      <c r="BG542" s="493" t="n"/>
      <c r="BH542" s="495" t="n"/>
      <c r="BI542" s="496" t="n"/>
      <c r="BJ542" s="496" t="n"/>
      <c r="BK542" s="496" t="n"/>
      <c r="BM542" s="493" t="n"/>
      <c r="BN542" s="493" t="n"/>
      <c r="BO542" s="493" t="n"/>
      <c r="BP542" s="493" t="n"/>
      <c r="BQ542" s="493" t="n"/>
      <c r="BR542" s="493" t="n"/>
      <c r="BS542" s="493" t="n"/>
      <c r="BT542" s="493" t="n"/>
      <c r="BU542" s="493" t="n"/>
      <c r="BV542" s="493" t="n"/>
      <c r="BW542" s="493" t="n"/>
      <c r="BX542" s="493" t="n"/>
      <c r="BY542" s="493" t="n"/>
      <c r="BZ542" s="493" t="n"/>
      <c r="CA542" s="493" t="n"/>
      <c r="CB542" s="493" t="n"/>
      <c r="CC542" s="493" t="n"/>
      <c r="CD542" s="493" t="n"/>
      <c r="CE542" s="493" t="n"/>
      <c r="CF542" s="493" t="n"/>
      <c r="CG542" s="493" t="n"/>
      <c r="CH542" s="493" t="n"/>
      <c r="CI542" s="493" t="n"/>
      <c r="CJ542" s="493" t="n"/>
      <c r="CK542" s="493" t="n"/>
      <c r="CL542" s="493" t="n"/>
    </row>
    <row r="543" customFormat="1" s="230">
      <c r="E543" s="234" t="n"/>
      <c r="F543" s="492" t="n"/>
      <c r="G543" s="492" t="n"/>
      <c r="H543" s="493" t="n"/>
      <c r="I543" s="492" t="n"/>
      <c r="J543" s="492" t="n"/>
      <c r="K543" s="492" t="n"/>
      <c r="L543" s="492" t="n"/>
      <c r="M543" s="493" t="n"/>
      <c r="N543" s="492" t="n"/>
      <c r="O543" s="492" t="n"/>
      <c r="P543" s="492" t="n"/>
      <c r="Q543" s="492" t="n"/>
      <c r="R543" s="492" t="n"/>
      <c r="S543" s="492" t="n"/>
      <c r="T543" s="492" t="n"/>
      <c r="U543" s="492" t="n"/>
      <c r="V543" s="492" t="n"/>
      <c r="W543" s="492" t="n"/>
      <c r="X543" s="492" t="n"/>
      <c r="Y543" s="492" t="n"/>
      <c r="Z543" s="492" t="n"/>
      <c r="AA543" s="492" t="n"/>
      <c r="AB543" s="492" t="n"/>
      <c r="AC543" s="492" t="n"/>
      <c r="AD543" s="492" t="n"/>
      <c r="AE543" s="493" t="n"/>
      <c r="AF543" s="492" t="n"/>
      <c r="AG543" s="492" t="n"/>
      <c r="AH543" s="492" t="n"/>
      <c r="AI543" s="492" t="n"/>
      <c r="AJ543" s="493" t="n"/>
      <c r="AK543" s="492" t="n"/>
      <c r="AL543" s="492" t="n"/>
      <c r="AM543" s="492" t="n"/>
      <c r="AN543" s="492" t="n"/>
      <c r="AO543" s="492" t="n"/>
      <c r="AP543" s="492" t="n"/>
      <c r="AQ543" s="492" t="n"/>
      <c r="AR543" s="492" t="n"/>
      <c r="AS543" s="492" t="n"/>
      <c r="AT543" s="492" t="n"/>
      <c r="AU543" s="493" t="n"/>
      <c r="AV543" s="492" t="n"/>
      <c r="AW543" s="492" t="n"/>
      <c r="AX543" s="492" t="n"/>
      <c r="AY543" s="492" t="n"/>
      <c r="AZ543" s="492" t="n"/>
      <c r="BA543" s="493" t="n"/>
      <c r="BB543" s="492" t="n"/>
      <c r="BC543" s="492" t="n"/>
      <c r="BD543" s="492" t="n"/>
      <c r="BE543" s="492" t="n"/>
      <c r="BF543" s="493" t="n"/>
      <c r="BG543" s="493" t="n"/>
      <c r="BH543" s="495" t="n"/>
      <c r="BI543" s="496" t="n"/>
      <c r="BJ543" s="496" t="n"/>
      <c r="BK543" s="496" t="n"/>
      <c r="BM543" s="493" t="n"/>
      <c r="BN543" s="493" t="n"/>
      <c r="BO543" s="493" t="n"/>
      <c r="BP543" s="493" t="n"/>
      <c r="BQ543" s="493" t="n"/>
      <c r="BR543" s="493" t="n"/>
      <c r="BS543" s="493" t="n"/>
      <c r="BT543" s="493" t="n"/>
      <c r="BU543" s="493" t="n"/>
      <c r="BV543" s="493" t="n"/>
      <c r="BW543" s="493" t="n"/>
      <c r="BX543" s="493" t="n"/>
      <c r="BY543" s="493" t="n"/>
      <c r="BZ543" s="493" t="n"/>
      <c r="CA543" s="493" t="n"/>
      <c r="CB543" s="493" t="n"/>
      <c r="CC543" s="493" t="n"/>
      <c r="CD543" s="493" t="n"/>
      <c r="CE543" s="493" t="n"/>
      <c r="CF543" s="493" t="n"/>
      <c r="CG543" s="493" t="n"/>
      <c r="CH543" s="493" t="n"/>
      <c r="CI543" s="493" t="n"/>
      <c r="CJ543" s="493" t="n"/>
      <c r="CK543" s="493" t="n"/>
      <c r="CL543" s="493" t="n"/>
    </row>
    <row r="544" customFormat="1" s="230">
      <c r="E544" s="234" t="n"/>
      <c r="F544" s="492" t="n"/>
      <c r="G544" s="492" t="n"/>
      <c r="H544" s="493" t="n"/>
      <c r="I544" s="492" t="n"/>
      <c r="J544" s="492" t="n"/>
      <c r="K544" s="492" t="n"/>
      <c r="L544" s="492" t="n"/>
      <c r="M544" s="493" t="n"/>
      <c r="N544" s="492" t="n"/>
      <c r="O544" s="492" t="n"/>
      <c r="P544" s="492" t="n"/>
      <c r="Q544" s="492" t="n"/>
      <c r="R544" s="492" t="n"/>
      <c r="S544" s="492" t="n"/>
      <c r="T544" s="492" t="n"/>
      <c r="U544" s="492" t="n"/>
      <c r="V544" s="492" t="n"/>
      <c r="W544" s="492" t="n"/>
      <c r="X544" s="492" t="n"/>
      <c r="Y544" s="492" t="n"/>
      <c r="Z544" s="492" t="n"/>
      <c r="AA544" s="492" t="n"/>
      <c r="AB544" s="492" t="n"/>
      <c r="AC544" s="492" t="n"/>
      <c r="AD544" s="492" t="n"/>
      <c r="AE544" s="493" t="n"/>
      <c r="AF544" s="492" t="n"/>
      <c r="AG544" s="492" t="n"/>
      <c r="AH544" s="492" t="n"/>
      <c r="AI544" s="492" t="n"/>
      <c r="AJ544" s="493" t="n"/>
      <c r="AK544" s="492" t="n"/>
      <c r="AL544" s="492" t="n"/>
      <c r="AM544" s="492" t="n"/>
      <c r="AN544" s="492" t="n"/>
      <c r="AO544" s="492" t="n"/>
      <c r="AP544" s="492" t="n"/>
      <c r="AQ544" s="492" t="n"/>
      <c r="AR544" s="492" t="n"/>
      <c r="AS544" s="492" t="n"/>
      <c r="AT544" s="492" t="n"/>
      <c r="AU544" s="493" t="n"/>
      <c r="AV544" s="492" t="n"/>
      <c r="AW544" s="492" t="n"/>
      <c r="AX544" s="492" t="n"/>
      <c r="AY544" s="492" t="n"/>
      <c r="AZ544" s="492" t="n"/>
      <c r="BA544" s="493" t="n"/>
      <c r="BB544" s="492" t="n"/>
      <c r="BC544" s="492" t="n"/>
      <c r="BD544" s="492" t="n"/>
      <c r="BE544" s="492" t="n"/>
      <c r="BF544" s="493" t="n"/>
      <c r="BG544" s="493" t="n"/>
      <c r="BH544" s="495" t="n"/>
      <c r="BI544" s="496" t="n"/>
      <c r="BJ544" s="496" t="n"/>
      <c r="BK544" s="496" t="n"/>
      <c r="BM544" s="493" t="n"/>
      <c r="BN544" s="493" t="n"/>
      <c r="BO544" s="493" t="n"/>
      <c r="BP544" s="493" t="n"/>
      <c r="BQ544" s="493" t="n"/>
      <c r="BR544" s="493" t="n"/>
      <c r="BS544" s="493" t="n"/>
      <c r="BT544" s="493" t="n"/>
      <c r="BU544" s="493" t="n"/>
      <c r="BV544" s="493" t="n"/>
      <c r="BW544" s="493" t="n"/>
      <c r="BX544" s="493" t="n"/>
      <c r="BY544" s="493" t="n"/>
      <c r="BZ544" s="493" t="n"/>
      <c r="CA544" s="493" t="n"/>
      <c r="CB544" s="493" t="n"/>
      <c r="CC544" s="493" t="n"/>
      <c r="CD544" s="493" t="n"/>
      <c r="CE544" s="493" t="n"/>
      <c r="CF544" s="493" t="n"/>
      <c r="CG544" s="493" t="n"/>
      <c r="CH544" s="493" t="n"/>
      <c r="CI544" s="493" t="n"/>
      <c r="CJ544" s="493" t="n"/>
      <c r="CK544" s="493" t="n"/>
      <c r="CL544" s="493" t="n"/>
    </row>
    <row r="545" customFormat="1" s="230">
      <c r="E545" s="234" t="n"/>
      <c r="F545" s="492" t="n"/>
      <c r="G545" s="492" t="n"/>
      <c r="H545" s="493" t="n"/>
      <c r="I545" s="492" t="n"/>
      <c r="J545" s="492" t="n"/>
      <c r="K545" s="492" t="n"/>
      <c r="L545" s="492" t="n"/>
      <c r="M545" s="493" t="n"/>
      <c r="N545" s="492" t="n"/>
      <c r="O545" s="492" t="n"/>
      <c r="P545" s="492" t="n"/>
      <c r="Q545" s="492" t="n"/>
      <c r="R545" s="492" t="n"/>
      <c r="S545" s="492" t="n"/>
      <c r="T545" s="492" t="n"/>
      <c r="U545" s="492" t="n"/>
      <c r="V545" s="492" t="n"/>
      <c r="W545" s="492" t="n"/>
      <c r="X545" s="492" t="n"/>
      <c r="Y545" s="492" t="n"/>
      <c r="Z545" s="492" t="n"/>
      <c r="AA545" s="492" t="n"/>
      <c r="AB545" s="492" t="n"/>
      <c r="AC545" s="492" t="n"/>
      <c r="AD545" s="492" t="n"/>
      <c r="AE545" s="493" t="n"/>
      <c r="AF545" s="492" t="n"/>
      <c r="AG545" s="492" t="n"/>
      <c r="AH545" s="492" t="n"/>
      <c r="AI545" s="492" t="n"/>
      <c r="AJ545" s="493" t="n"/>
      <c r="AK545" s="492" t="n"/>
      <c r="AL545" s="492" t="n"/>
      <c r="AM545" s="492" t="n"/>
      <c r="AN545" s="492" t="n"/>
      <c r="AO545" s="492" t="n"/>
      <c r="AP545" s="492" t="n"/>
      <c r="AQ545" s="492" t="n"/>
      <c r="AR545" s="492" t="n"/>
      <c r="AS545" s="492" t="n"/>
      <c r="AT545" s="492" t="n"/>
      <c r="AU545" s="493" t="n"/>
      <c r="AV545" s="492" t="n"/>
      <c r="AW545" s="492" t="n"/>
      <c r="AX545" s="492" t="n"/>
      <c r="AY545" s="492" t="n"/>
      <c r="AZ545" s="492" t="n"/>
      <c r="BA545" s="493" t="n"/>
      <c r="BB545" s="492" t="n"/>
      <c r="BC545" s="492" t="n"/>
      <c r="BD545" s="492" t="n"/>
      <c r="BE545" s="492" t="n"/>
      <c r="BF545" s="493" t="n"/>
      <c r="BG545" s="493" t="n"/>
      <c r="BH545" s="495" t="n"/>
      <c r="BI545" s="496" t="n"/>
      <c r="BJ545" s="496" t="n"/>
      <c r="BK545" s="496" t="n"/>
      <c r="BM545" s="493" t="n"/>
      <c r="BN545" s="493" t="n"/>
      <c r="BO545" s="493" t="n"/>
      <c r="BP545" s="493" t="n"/>
      <c r="BQ545" s="493" t="n"/>
      <c r="BR545" s="493" t="n"/>
      <c r="BS545" s="493" t="n"/>
      <c r="BT545" s="493" t="n"/>
      <c r="BU545" s="493" t="n"/>
      <c r="BV545" s="493" t="n"/>
      <c r="BW545" s="493" t="n"/>
      <c r="BX545" s="493" t="n"/>
      <c r="BY545" s="493" t="n"/>
      <c r="BZ545" s="493" t="n"/>
      <c r="CA545" s="493" t="n"/>
      <c r="CB545" s="493" t="n"/>
      <c r="CC545" s="493" t="n"/>
      <c r="CD545" s="493" t="n"/>
      <c r="CE545" s="493" t="n"/>
      <c r="CF545" s="493" t="n"/>
      <c r="CG545" s="493" t="n"/>
      <c r="CH545" s="493" t="n"/>
      <c r="CI545" s="493" t="n"/>
      <c r="CJ545" s="493" t="n"/>
      <c r="CK545" s="493" t="n"/>
      <c r="CL545" s="493" t="n"/>
    </row>
    <row r="546" customFormat="1" s="230">
      <c r="E546" s="234" t="n"/>
      <c r="F546" s="492" t="n"/>
      <c r="G546" s="492" t="n"/>
      <c r="H546" s="493" t="n"/>
      <c r="I546" s="492" t="n"/>
      <c r="J546" s="492" t="n"/>
      <c r="K546" s="492" t="n"/>
      <c r="L546" s="492" t="n"/>
      <c r="M546" s="493" t="n"/>
      <c r="N546" s="492" t="n"/>
      <c r="O546" s="492" t="n"/>
      <c r="P546" s="492" t="n"/>
      <c r="Q546" s="492" t="n"/>
      <c r="R546" s="492" t="n"/>
      <c r="S546" s="492" t="n"/>
      <c r="T546" s="492" t="n"/>
      <c r="U546" s="492" t="n"/>
      <c r="V546" s="492" t="n"/>
      <c r="W546" s="492" t="n"/>
      <c r="X546" s="492" t="n"/>
      <c r="Y546" s="492" t="n"/>
      <c r="Z546" s="492" t="n"/>
      <c r="AA546" s="492" t="n"/>
      <c r="AB546" s="492" t="n"/>
      <c r="AC546" s="492" t="n"/>
      <c r="AD546" s="492" t="n"/>
      <c r="AE546" s="493" t="n"/>
      <c r="AF546" s="492" t="n"/>
      <c r="AG546" s="492" t="n"/>
      <c r="AH546" s="492" t="n"/>
      <c r="AI546" s="492" t="n"/>
      <c r="AJ546" s="493" t="n"/>
      <c r="AK546" s="492" t="n"/>
      <c r="AL546" s="492" t="n"/>
      <c r="AM546" s="492" t="n"/>
      <c r="AN546" s="492" t="n"/>
      <c r="AO546" s="492" t="n"/>
      <c r="AP546" s="492" t="n"/>
      <c r="AQ546" s="492" t="n"/>
      <c r="AR546" s="492" t="n"/>
      <c r="AS546" s="492" t="n"/>
      <c r="AT546" s="492" t="n"/>
      <c r="AU546" s="493" t="n"/>
      <c r="AV546" s="492" t="n"/>
      <c r="AW546" s="492" t="n"/>
      <c r="AX546" s="492" t="n"/>
      <c r="AY546" s="492" t="n"/>
      <c r="AZ546" s="492" t="n"/>
      <c r="BA546" s="493" t="n"/>
      <c r="BB546" s="492" t="n"/>
      <c r="BC546" s="492" t="n"/>
      <c r="BD546" s="492" t="n"/>
      <c r="BE546" s="492" t="n"/>
      <c r="BF546" s="493" t="n"/>
      <c r="BG546" s="493" t="n"/>
      <c r="BH546" s="495" t="n"/>
      <c r="BI546" s="496" t="n"/>
      <c r="BJ546" s="496" t="n"/>
      <c r="BK546" s="496" t="n"/>
      <c r="BM546" s="493" t="n"/>
      <c r="BN546" s="493" t="n"/>
      <c r="BO546" s="493" t="n"/>
      <c r="BP546" s="493" t="n"/>
      <c r="BQ546" s="493" t="n"/>
      <c r="BR546" s="493" t="n"/>
      <c r="BS546" s="493" t="n"/>
      <c r="BT546" s="493" t="n"/>
      <c r="BU546" s="493" t="n"/>
      <c r="BV546" s="493" t="n"/>
      <c r="BW546" s="493" t="n"/>
      <c r="BX546" s="493" t="n"/>
      <c r="BY546" s="493" t="n"/>
      <c r="BZ546" s="493" t="n"/>
      <c r="CA546" s="493" t="n"/>
      <c r="CB546" s="493" t="n"/>
      <c r="CC546" s="493" t="n"/>
      <c r="CD546" s="493" t="n"/>
      <c r="CE546" s="493" t="n"/>
      <c r="CF546" s="493" t="n"/>
      <c r="CG546" s="493" t="n"/>
      <c r="CH546" s="493" t="n"/>
      <c r="CI546" s="493" t="n"/>
      <c r="CJ546" s="493" t="n"/>
      <c r="CK546" s="493" t="n"/>
      <c r="CL546" s="493" t="n"/>
    </row>
    <row r="547" customFormat="1" s="230">
      <c r="E547" s="234" t="n"/>
      <c r="F547" s="492" t="n"/>
      <c r="G547" s="492" t="n"/>
      <c r="H547" s="493" t="n"/>
      <c r="I547" s="492" t="n"/>
      <c r="J547" s="492" t="n"/>
      <c r="K547" s="492" t="n"/>
      <c r="L547" s="492" t="n"/>
      <c r="M547" s="493" t="n"/>
      <c r="N547" s="492" t="n"/>
      <c r="O547" s="492" t="n"/>
      <c r="P547" s="492" t="n"/>
      <c r="Q547" s="492" t="n"/>
      <c r="R547" s="492" t="n"/>
      <c r="S547" s="492" t="n"/>
      <c r="T547" s="492" t="n"/>
      <c r="U547" s="492" t="n"/>
      <c r="V547" s="492" t="n"/>
      <c r="W547" s="492" t="n"/>
      <c r="X547" s="492" t="n"/>
      <c r="Y547" s="492" t="n"/>
      <c r="Z547" s="492" t="n"/>
      <c r="AA547" s="492" t="n"/>
      <c r="AB547" s="492" t="n"/>
      <c r="AC547" s="492" t="n"/>
      <c r="AD547" s="492" t="n"/>
      <c r="AE547" s="493" t="n"/>
      <c r="AF547" s="492" t="n"/>
      <c r="AG547" s="492" t="n"/>
      <c r="AH547" s="492" t="n"/>
      <c r="AI547" s="492" t="n"/>
      <c r="AJ547" s="493" t="n"/>
      <c r="AK547" s="492" t="n"/>
      <c r="AL547" s="492" t="n"/>
      <c r="AM547" s="492" t="n"/>
      <c r="AN547" s="492" t="n"/>
      <c r="AO547" s="492" t="n"/>
      <c r="AP547" s="492" t="n"/>
      <c r="AQ547" s="492" t="n"/>
      <c r="AR547" s="492" t="n"/>
      <c r="AS547" s="492" t="n"/>
      <c r="AT547" s="492" t="n"/>
      <c r="AU547" s="493" t="n"/>
      <c r="AV547" s="492" t="n"/>
      <c r="AW547" s="492" t="n"/>
      <c r="AX547" s="492" t="n"/>
      <c r="AY547" s="492" t="n"/>
      <c r="AZ547" s="492" t="n"/>
      <c r="BA547" s="493" t="n"/>
      <c r="BB547" s="492" t="n"/>
      <c r="BC547" s="492" t="n"/>
      <c r="BD547" s="492" t="n"/>
      <c r="BE547" s="492" t="n"/>
      <c r="BF547" s="493" t="n"/>
      <c r="BG547" s="493" t="n"/>
      <c r="BH547" s="495" t="n"/>
      <c r="BI547" s="496" t="n"/>
      <c r="BJ547" s="496" t="n"/>
      <c r="BK547" s="496" t="n"/>
      <c r="BM547" s="493" t="n"/>
      <c r="BN547" s="493" t="n"/>
      <c r="BO547" s="493" t="n"/>
      <c r="BP547" s="493" t="n"/>
      <c r="BQ547" s="493" t="n"/>
      <c r="BR547" s="493" t="n"/>
      <c r="BS547" s="493" t="n"/>
      <c r="BT547" s="493" t="n"/>
      <c r="BU547" s="493" t="n"/>
      <c r="BV547" s="493" t="n"/>
      <c r="BW547" s="493" t="n"/>
      <c r="BX547" s="493" t="n"/>
      <c r="BY547" s="493" t="n"/>
      <c r="BZ547" s="493" t="n"/>
      <c r="CA547" s="493" t="n"/>
      <c r="CB547" s="493" t="n"/>
      <c r="CC547" s="493" t="n"/>
      <c r="CD547" s="493" t="n"/>
      <c r="CE547" s="493" t="n"/>
      <c r="CF547" s="493" t="n"/>
      <c r="CG547" s="493" t="n"/>
      <c r="CH547" s="493" t="n"/>
      <c r="CI547" s="493" t="n"/>
      <c r="CJ547" s="493" t="n"/>
      <c r="CK547" s="493" t="n"/>
      <c r="CL547" s="493" t="n"/>
    </row>
    <row r="548" customFormat="1" s="230">
      <c r="E548" s="234" t="n"/>
      <c r="F548" s="492" t="n"/>
      <c r="G548" s="492" t="n"/>
      <c r="H548" s="493" t="n"/>
      <c r="I548" s="492" t="n"/>
      <c r="J548" s="492" t="n"/>
      <c r="K548" s="492" t="n"/>
      <c r="L548" s="492" t="n"/>
      <c r="M548" s="493" t="n"/>
      <c r="N548" s="492" t="n"/>
      <c r="O548" s="492" t="n"/>
      <c r="P548" s="492" t="n"/>
      <c r="Q548" s="492" t="n"/>
      <c r="R548" s="492" t="n"/>
      <c r="S548" s="492" t="n"/>
      <c r="T548" s="492" t="n"/>
      <c r="U548" s="492" t="n"/>
      <c r="V548" s="492" t="n"/>
      <c r="W548" s="492" t="n"/>
      <c r="X548" s="492" t="n"/>
      <c r="Y548" s="492" t="n"/>
      <c r="Z548" s="492" t="n"/>
      <c r="AA548" s="492" t="n"/>
      <c r="AB548" s="492" t="n"/>
      <c r="AC548" s="492" t="n"/>
      <c r="AD548" s="492" t="n"/>
      <c r="AE548" s="493" t="n"/>
      <c r="AF548" s="492" t="n"/>
      <c r="AG548" s="492" t="n"/>
      <c r="AH548" s="492" t="n"/>
      <c r="AI548" s="492" t="n"/>
      <c r="AJ548" s="493" t="n"/>
      <c r="AK548" s="492" t="n"/>
      <c r="AL548" s="492" t="n"/>
      <c r="AM548" s="492" t="n"/>
      <c r="AN548" s="492" t="n"/>
      <c r="AO548" s="492" t="n"/>
      <c r="AP548" s="492" t="n"/>
      <c r="AQ548" s="492" t="n"/>
      <c r="AR548" s="492" t="n"/>
      <c r="AS548" s="492" t="n"/>
      <c r="AT548" s="492" t="n"/>
      <c r="AU548" s="493" t="n"/>
      <c r="AV548" s="492" t="n"/>
      <c r="AW548" s="492" t="n"/>
      <c r="AX548" s="492" t="n"/>
      <c r="AY548" s="492" t="n"/>
      <c r="AZ548" s="492" t="n"/>
      <c r="BA548" s="493" t="n"/>
      <c r="BB548" s="492" t="n"/>
      <c r="BC548" s="492" t="n"/>
      <c r="BD548" s="492" t="n"/>
      <c r="BE548" s="492" t="n"/>
      <c r="BF548" s="493" t="n"/>
      <c r="BG548" s="493" t="n"/>
      <c r="BH548" s="495" t="n"/>
      <c r="BI548" s="496" t="n"/>
      <c r="BJ548" s="496" t="n"/>
      <c r="BK548" s="496" t="n"/>
      <c r="BM548" s="493" t="n"/>
      <c r="BN548" s="493" t="n"/>
      <c r="BO548" s="493" t="n"/>
      <c r="BP548" s="493" t="n"/>
      <c r="BQ548" s="493" t="n"/>
      <c r="BR548" s="493" t="n"/>
      <c r="BS548" s="493" t="n"/>
      <c r="BT548" s="493" t="n"/>
      <c r="BU548" s="493" t="n"/>
      <c r="BV548" s="493" t="n"/>
      <c r="BW548" s="493" t="n"/>
      <c r="BX548" s="493" t="n"/>
      <c r="BY548" s="493" t="n"/>
      <c r="BZ548" s="493" t="n"/>
      <c r="CA548" s="493" t="n"/>
      <c r="CB548" s="493" t="n"/>
      <c r="CC548" s="493" t="n"/>
      <c r="CD548" s="493" t="n"/>
      <c r="CE548" s="493" t="n"/>
      <c r="CF548" s="493" t="n"/>
      <c r="CG548" s="493" t="n"/>
      <c r="CH548" s="493" t="n"/>
      <c r="CI548" s="493" t="n"/>
      <c r="CJ548" s="493" t="n"/>
      <c r="CK548" s="493" t="n"/>
      <c r="CL548" s="493" t="n"/>
    </row>
    <row r="549" customFormat="1" s="230">
      <c r="E549" s="234" t="n"/>
      <c r="F549" s="492" t="n"/>
      <c r="G549" s="492" t="n"/>
      <c r="H549" s="493" t="n"/>
      <c r="I549" s="492" t="n"/>
      <c r="J549" s="492" t="n"/>
      <c r="K549" s="492" t="n"/>
      <c r="L549" s="492" t="n"/>
      <c r="M549" s="493" t="n"/>
      <c r="N549" s="492" t="n"/>
      <c r="O549" s="492" t="n"/>
      <c r="P549" s="492" t="n"/>
      <c r="Q549" s="492" t="n"/>
      <c r="R549" s="492" t="n"/>
      <c r="S549" s="492" t="n"/>
      <c r="T549" s="492" t="n"/>
      <c r="U549" s="492" t="n"/>
      <c r="V549" s="492" t="n"/>
      <c r="W549" s="492" t="n"/>
      <c r="X549" s="492" t="n"/>
      <c r="Y549" s="492" t="n"/>
      <c r="Z549" s="492" t="n"/>
      <c r="AA549" s="492" t="n"/>
      <c r="AB549" s="492" t="n"/>
      <c r="AC549" s="492" t="n"/>
      <c r="AD549" s="492" t="n"/>
      <c r="AE549" s="493" t="n"/>
      <c r="AF549" s="492" t="n"/>
      <c r="AG549" s="492" t="n"/>
      <c r="AH549" s="492" t="n"/>
      <c r="AI549" s="492" t="n"/>
      <c r="AJ549" s="493" t="n"/>
      <c r="AK549" s="492" t="n"/>
      <c r="AL549" s="492" t="n"/>
      <c r="AM549" s="492" t="n"/>
      <c r="AN549" s="492" t="n"/>
      <c r="AO549" s="492" t="n"/>
      <c r="AP549" s="492" t="n"/>
      <c r="AQ549" s="492" t="n"/>
      <c r="AR549" s="492" t="n"/>
      <c r="AS549" s="492" t="n"/>
      <c r="AT549" s="492" t="n"/>
      <c r="AU549" s="493" t="n"/>
      <c r="AV549" s="492" t="n"/>
      <c r="AW549" s="492" t="n"/>
      <c r="AX549" s="492" t="n"/>
      <c r="AY549" s="492" t="n"/>
      <c r="AZ549" s="492" t="n"/>
      <c r="BA549" s="493" t="n"/>
      <c r="BB549" s="492" t="n"/>
      <c r="BC549" s="492" t="n"/>
      <c r="BD549" s="492" t="n"/>
      <c r="BE549" s="492" t="n"/>
      <c r="BF549" s="493" t="n"/>
      <c r="BG549" s="493" t="n"/>
      <c r="BH549" s="495" t="n"/>
      <c r="BI549" s="496" t="n"/>
      <c r="BJ549" s="496" t="n"/>
      <c r="BK549" s="496" t="n"/>
      <c r="BM549" s="493" t="n"/>
      <c r="BN549" s="493" t="n"/>
      <c r="BO549" s="493" t="n"/>
      <c r="BP549" s="493" t="n"/>
      <c r="BQ549" s="493" t="n"/>
      <c r="BR549" s="493" t="n"/>
      <c r="BS549" s="493" t="n"/>
      <c r="BT549" s="493" t="n"/>
      <c r="BU549" s="493" t="n"/>
      <c r="BV549" s="493" t="n"/>
      <c r="BW549" s="493" t="n"/>
      <c r="BX549" s="493" t="n"/>
      <c r="BY549" s="493" t="n"/>
      <c r="BZ549" s="493" t="n"/>
      <c r="CA549" s="493" t="n"/>
      <c r="CB549" s="493" t="n"/>
      <c r="CC549" s="493" t="n"/>
      <c r="CD549" s="493" t="n"/>
      <c r="CE549" s="493" t="n"/>
      <c r="CF549" s="493" t="n"/>
      <c r="CG549" s="493" t="n"/>
      <c r="CH549" s="493" t="n"/>
      <c r="CI549" s="493" t="n"/>
      <c r="CJ549" s="493" t="n"/>
      <c r="CK549" s="493" t="n"/>
      <c r="CL549" s="493" t="n"/>
    </row>
    <row r="550" customFormat="1" s="230">
      <c r="E550" s="234" t="n"/>
      <c r="F550" s="492" t="n"/>
      <c r="G550" s="492" t="n"/>
      <c r="H550" s="493" t="n"/>
      <c r="I550" s="492" t="n"/>
      <c r="J550" s="492" t="n"/>
      <c r="K550" s="492" t="n"/>
      <c r="L550" s="492" t="n"/>
      <c r="M550" s="493" t="n"/>
      <c r="N550" s="492" t="n"/>
      <c r="O550" s="492" t="n"/>
      <c r="P550" s="492" t="n"/>
      <c r="Q550" s="492" t="n"/>
      <c r="R550" s="492" t="n"/>
      <c r="S550" s="492" t="n"/>
      <c r="T550" s="492" t="n"/>
      <c r="U550" s="492" t="n"/>
      <c r="V550" s="492" t="n"/>
      <c r="W550" s="492" t="n"/>
      <c r="X550" s="492" t="n"/>
      <c r="Y550" s="492" t="n"/>
      <c r="Z550" s="492" t="n"/>
      <c r="AA550" s="492" t="n"/>
      <c r="AB550" s="492" t="n"/>
      <c r="AC550" s="492" t="n"/>
      <c r="AD550" s="492" t="n"/>
      <c r="AE550" s="493" t="n"/>
      <c r="AF550" s="492" t="n"/>
      <c r="AG550" s="492" t="n"/>
      <c r="AH550" s="492" t="n"/>
      <c r="AI550" s="492" t="n"/>
      <c r="AJ550" s="493" t="n"/>
      <c r="AK550" s="492" t="n"/>
      <c r="AL550" s="492" t="n"/>
      <c r="AM550" s="492" t="n"/>
      <c r="AN550" s="492" t="n"/>
      <c r="AO550" s="492" t="n"/>
      <c r="AP550" s="492" t="n"/>
      <c r="AQ550" s="492" t="n"/>
      <c r="AR550" s="492" t="n"/>
      <c r="AS550" s="492" t="n"/>
      <c r="AT550" s="492" t="n"/>
      <c r="AU550" s="493" t="n"/>
      <c r="AV550" s="492" t="n"/>
      <c r="AW550" s="492" t="n"/>
      <c r="AX550" s="492" t="n"/>
      <c r="AY550" s="492" t="n"/>
      <c r="AZ550" s="492" t="n"/>
      <c r="BA550" s="493" t="n"/>
      <c r="BB550" s="492" t="n"/>
      <c r="BC550" s="492" t="n"/>
      <c r="BD550" s="492" t="n"/>
      <c r="BE550" s="492" t="n"/>
      <c r="BF550" s="493" t="n"/>
      <c r="BG550" s="493" t="n"/>
      <c r="BH550" s="495" t="n"/>
      <c r="BI550" s="496" t="n"/>
      <c r="BJ550" s="496" t="n"/>
      <c r="BK550" s="496" t="n"/>
      <c r="BM550" s="493" t="n"/>
      <c r="BN550" s="493" t="n"/>
      <c r="BO550" s="493" t="n"/>
      <c r="BP550" s="493" t="n"/>
      <c r="BQ550" s="493" t="n"/>
      <c r="BR550" s="493" t="n"/>
      <c r="BS550" s="493" t="n"/>
      <c r="BT550" s="493" t="n"/>
      <c r="BU550" s="493" t="n"/>
      <c r="BV550" s="493" t="n"/>
      <c r="BW550" s="493" t="n"/>
      <c r="BX550" s="493" t="n"/>
      <c r="BY550" s="493" t="n"/>
      <c r="BZ550" s="493" t="n"/>
      <c r="CA550" s="493" t="n"/>
      <c r="CB550" s="493" t="n"/>
      <c r="CC550" s="493" t="n"/>
      <c r="CD550" s="493" t="n"/>
      <c r="CE550" s="493" t="n"/>
      <c r="CF550" s="493" t="n"/>
      <c r="CG550" s="493" t="n"/>
      <c r="CH550" s="493" t="n"/>
      <c r="CI550" s="493" t="n"/>
      <c r="CJ550" s="493" t="n"/>
      <c r="CK550" s="493" t="n"/>
      <c r="CL550" s="493" t="n"/>
    </row>
    <row r="551" customFormat="1" s="230">
      <c r="E551" s="234" t="n"/>
      <c r="F551" s="492" t="n"/>
      <c r="G551" s="492" t="n"/>
      <c r="H551" s="493" t="n"/>
      <c r="I551" s="492" t="n"/>
      <c r="J551" s="492" t="n"/>
      <c r="K551" s="492" t="n"/>
      <c r="L551" s="492" t="n"/>
      <c r="M551" s="493" t="n"/>
      <c r="N551" s="492" t="n"/>
      <c r="O551" s="492" t="n"/>
      <c r="P551" s="492" t="n"/>
      <c r="Q551" s="492" t="n"/>
      <c r="R551" s="492" t="n"/>
      <c r="S551" s="492" t="n"/>
      <c r="T551" s="492" t="n"/>
      <c r="U551" s="492" t="n"/>
      <c r="V551" s="492" t="n"/>
      <c r="W551" s="492" t="n"/>
      <c r="X551" s="492" t="n"/>
      <c r="Y551" s="492" t="n"/>
      <c r="Z551" s="492" t="n"/>
      <c r="AA551" s="492" t="n"/>
      <c r="AB551" s="492" t="n"/>
      <c r="AC551" s="492" t="n"/>
      <c r="AD551" s="492" t="n"/>
      <c r="AE551" s="493" t="n"/>
      <c r="AF551" s="492" t="n"/>
      <c r="AG551" s="492" t="n"/>
      <c r="AH551" s="492" t="n"/>
      <c r="AI551" s="492" t="n"/>
      <c r="AJ551" s="493" t="n"/>
      <c r="AK551" s="492" t="n"/>
      <c r="AL551" s="492" t="n"/>
      <c r="AM551" s="492" t="n"/>
      <c r="AN551" s="492" t="n"/>
      <c r="AO551" s="492" t="n"/>
      <c r="AP551" s="492" t="n"/>
      <c r="AQ551" s="492" t="n"/>
      <c r="AR551" s="492" t="n"/>
      <c r="AS551" s="492" t="n"/>
      <c r="AT551" s="492" t="n"/>
      <c r="AU551" s="493" t="n"/>
      <c r="AV551" s="492" t="n"/>
      <c r="AW551" s="492" t="n"/>
      <c r="AX551" s="492" t="n"/>
      <c r="AY551" s="492" t="n"/>
      <c r="AZ551" s="492" t="n"/>
      <c r="BA551" s="493" t="n"/>
      <c r="BB551" s="492" t="n"/>
      <c r="BC551" s="492" t="n"/>
      <c r="BD551" s="492" t="n"/>
      <c r="BE551" s="492" t="n"/>
      <c r="BF551" s="493" t="n"/>
      <c r="BG551" s="493" t="n"/>
      <c r="BH551" s="495" t="n"/>
      <c r="BI551" s="496" t="n"/>
      <c r="BJ551" s="496" t="n"/>
      <c r="BK551" s="496" t="n"/>
      <c r="BM551" s="493" t="n"/>
      <c r="BN551" s="493" t="n"/>
      <c r="BO551" s="493" t="n"/>
      <c r="BP551" s="493" t="n"/>
      <c r="BQ551" s="493" t="n"/>
      <c r="BR551" s="493" t="n"/>
      <c r="BS551" s="493" t="n"/>
      <c r="BT551" s="493" t="n"/>
      <c r="BU551" s="493" t="n"/>
      <c r="BV551" s="493" t="n"/>
      <c r="BW551" s="493" t="n"/>
      <c r="BX551" s="493" t="n"/>
      <c r="BY551" s="493" t="n"/>
      <c r="BZ551" s="493" t="n"/>
      <c r="CA551" s="493" t="n"/>
      <c r="CB551" s="493" t="n"/>
      <c r="CC551" s="493" t="n"/>
      <c r="CD551" s="493" t="n"/>
      <c r="CE551" s="493" t="n"/>
      <c r="CF551" s="493" t="n"/>
      <c r="CG551" s="493" t="n"/>
      <c r="CH551" s="493" t="n"/>
      <c r="CI551" s="493" t="n"/>
      <c r="CJ551" s="493" t="n"/>
      <c r="CK551" s="493" t="n"/>
      <c r="CL551" s="493" t="n"/>
    </row>
    <row r="552" customFormat="1" s="230">
      <c r="E552" s="234" t="n"/>
      <c r="F552" s="492" t="n"/>
      <c r="G552" s="492" t="n"/>
      <c r="H552" s="493" t="n"/>
      <c r="I552" s="492" t="n"/>
      <c r="J552" s="492" t="n"/>
      <c r="K552" s="492" t="n"/>
      <c r="L552" s="492" t="n"/>
      <c r="M552" s="493" t="n"/>
      <c r="N552" s="492" t="n"/>
      <c r="O552" s="492" t="n"/>
      <c r="P552" s="492" t="n"/>
      <c r="Q552" s="492" t="n"/>
      <c r="R552" s="492" t="n"/>
      <c r="S552" s="492" t="n"/>
      <c r="T552" s="492" t="n"/>
      <c r="U552" s="492" t="n"/>
      <c r="V552" s="492" t="n"/>
      <c r="W552" s="492" t="n"/>
      <c r="X552" s="492" t="n"/>
      <c r="Y552" s="492" t="n"/>
      <c r="Z552" s="492" t="n"/>
      <c r="AA552" s="492" t="n"/>
      <c r="AB552" s="492" t="n"/>
      <c r="AC552" s="492" t="n"/>
      <c r="AD552" s="492" t="n"/>
      <c r="AE552" s="493" t="n"/>
      <c r="AF552" s="492" t="n"/>
      <c r="AG552" s="492" t="n"/>
      <c r="AH552" s="492" t="n"/>
      <c r="AI552" s="492" t="n"/>
      <c r="AJ552" s="493" t="n"/>
      <c r="AK552" s="492" t="n"/>
      <c r="AL552" s="492" t="n"/>
      <c r="AM552" s="492" t="n"/>
      <c r="AN552" s="492" t="n"/>
      <c r="AO552" s="492" t="n"/>
      <c r="AP552" s="492" t="n"/>
      <c r="AQ552" s="492" t="n"/>
      <c r="AR552" s="492" t="n"/>
      <c r="AS552" s="492" t="n"/>
      <c r="AT552" s="492" t="n"/>
      <c r="AU552" s="493" t="n"/>
      <c r="AV552" s="492" t="n"/>
      <c r="AW552" s="492" t="n"/>
      <c r="AX552" s="492" t="n"/>
      <c r="AY552" s="492" t="n"/>
      <c r="AZ552" s="492" t="n"/>
      <c r="BA552" s="493" t="n"/>
      <c r="BB552" s="492" t="n"/>
      <c r="BC552" s="492" t="n"/>
      <c r="BD552" s="492" t="n"/>
      <c r="BE552" s="492" t="n"/>
      <c r="BF552" s="493" t="n"/>
      <c r="BG552" s="493" t="n"/>
      <c r="BH552" s="495" t="n"/>
      <c r="BI552" s="496" t="n"/>
      <c r="BJ552" s="496" t="n"/>
      <c r="BK552" s="496" t="n"/>
      <c r="BM552" s="493" t="n"/>
      <c r="BN552" s="493" t="n"/>
      <c r="BO552" s="493" t="n"/>
      <c r="BP552" s="493" t="n"/>
      <c r="BQ552" s="493" t="n"/>
      <c r="BR552" s="493" t="n"/>
      <c r="BS552" s="493" t="n"/>
      <c r="BT552" s="493" t="n"/>
      <c r="BU552" s="493" t="n"/>
      <c r="BV552" s="493" t="n"/>
      <c r="BW552" s="493" t="n"/>
      <c r="BX552" s="493" t="n"/>
      <c r="BY552" s="493" t="n"/>
      <c r="BZ552" s="493" t="n"/>
      <c r="CA552" s="493" t="n"/>
      <c r="CB552" s="493" t="n"/>
      <c r="CC552" s="493" t="n"/>
      <c r="CD552" s="493" t="n"/>
      <c r="CE552" s="493" t="n"/>
      <c r="CF552" s="493" t="n"/>
      <c r="CG552" s="493" t="n"/>
      <c r="CH552" s="493" t="n"/>
      <c r="CI552" s="493" t="n"/>
      <c r="CJ552" s="493" t="n"/>
      <c r="CK552" s="493" t="n"/>
      <c r="CL552" s="493" t="n"/>
    </row>
    <row r="553" customFormat="1" s="230">
      <c r="E553" s="234" t="n"/>
      <c r="F553" s="492" t="n"/>
      <c r="G553" s="492" t="n"/>
      <c r="H553" s="493" t="n"/>
      <c r="I553" s="492" t="n"/>
      <c r="J553" s="492" t="n"/>
      <c r="K553" s="492" t="n"/>
      <c r="L553" s="492" t="n"/>
      <c r="M553" s="493" t="n"/>
      <c r="N553" s="492" t="n"/>
      <c r="O553" s="492" t="n"/>
      <c r="P553" s="492" t="n"/>
      <c r="Q553" s="492" t="n"/>
      <c r="R553" s="492" t="n"/>
      <c r="S553" s="492" t="n"/>
      <c r="T553" s="492" t="n"/>
      <c r="U553" s="492" t="n"/>
      <c r="V553" s="492" t="n"/>
      <c r="W553" s="492" t="n"/>
      <c r="X553" s="492" t="n"/>
      <c r="Y553" s="492" t="n"/>
      <c r="Z553" s="492" t="n"/>
      <c r="AA553" s="492" t="n"/>
      <c r="AB553" s="492" t="n"/>
      <c r="AC553" s="492" t="n"/>
      <c r="AD553" s="492" t="n"/>
      <c r="AE553" s="493" t="n"/>
      <c r="AF553" s="492" t="n"/>
      <c r="AG553" s="492" t="n"/>
      <c r="AH553" s="492" t="n"/>
      <c r="AI553" s="492" t="n"/>
      <c r="AJ553" s="493" t="n"/>
      <c r="AK553" s="492" t="n"/>
      <c r="AL553" s="492" t="n"/>
      <c r="AM553" s="492" t="n"/>
      <c r="AN553" s="492" t="n"/>
      <c r="AO553" s="492" t="n"/>
      <c r="AP553" s="492" t="n"/>
      <c r="AQ553" s="492" t="n"/>
      <c r="AR553" s="492" t="n"/>
      <c r="AS553" s="492" t="n"/>
      <c r="AT553" s="492" t="n"/>
      <c r="AU553" s="493" t="n"/>
      <c r="AV553" s="492" t="n"/>
      <c r="AW553" s="492" t="n"/>
      <c r="AX553" s="492" t="n"/>
      <c r="AY553" s="492" t="n"/>
      <c r="AZ553" s="492" t="n"/>
      <c r="BA553" s="493" t="n"/>
      <c r="BB553" s="492" t="n"/>
      <c r="BC553" s="492" t="n"/>
      <c r="BD553" s="492" t="n"/>
      <c r="BE553" s="492" t="n"/>
      <c r="BF553" s="493" t="n"/>
      <c r="BG553" s="493" t="n"/>
      <c r="BH553" s="495" t="n"/>
      <c r="BI553" s="496" t="n"/>
      <c r="BJ553" s="496" t="n"/>
      <c r="BK553" s="496" t="n"/>
      <c r="BM553" s="493" t="n"/>
      <c r="BN553" s="493" t="n"/>
      <c r="BO553" s="493" t="n"/>
      <c r="BP553" s="493" t="n"/>
      <c r="BQ553" s="493" t="n"/>
      <c r="BR553" s="493" t="n"/>
      <c r="BS553" s="493" t="n"/>
      <c r="BT553" s="493" t="n"/>
      <c r="BU553" s="493" t="n"/>
      <c r="BV553" s="493" t="n"/>
      <c r="BW553" s="493" t="n"/>
      <c r="BX553" s="493" t="n"/>
      <c r="BY553" s="493" t="n"/>
      <c r="BZ553" s="493" t="n"/>
      <c r="CA553" s="493" t="n"/>
      <c r="CB553" s="493" t="n"/>
      <c r="CC553" s="493" t="n"/>
      <c r="CD553" s="493" t="n"/>
      <c r="CE553" s="493" t="n"/>
      <c r="CF553" s="493" t="n"/>
      <c r="CG553" s="493" t="n"/>
      <c r="CH553" s="493" t="n"/>
      <c r="CI553" s="493" t="n"/>
      <c r="CJ553" s="493" t="n"/>
      <c r="CK553" s="493" t="n"/>
      <c r="CL553" s="493" t="n"/>
    </row>
    <row r="554" customFormat="1" s="230">
      <c r="E554" s="234" t="n"/>
      <c r="F554" s="492" t="n"/>
      <c r="G554" s="492" t="n"/>
      <c r="H554" s="493" t="n"/>
      <c r="I554" s="492" t="n"/>
      <c r="J554" s="492" t="n"/>
      <c r="K554" s="492" t="n"/>
      <c r="L554" s="492" t="n"/>
      <c r="M554" s="493" t="n"/>
      <c r="N554" s="492" t="n"/>
      <c r="O554" s="492" t="n"/>
      <c r="P554" s="492" t="n"/>
      <c r="Q554" s="492" t="n"/>
      <c r="R554" s="492" t="n"/>
      <c r="S554" s="492" t="n"/>
      <c r="T554" s="492" t="n"/>
      <c r="U554" s="492" t="n"/>
      <c r="V554" s="492" t="n"/>
      <c r="W554" s="492" t="n"/>
      <c r="X554" s="492" t="n"/>
      <c r="Y554" s="492" t="n"/>
      <c r="Z554" s="492" t="n"/>
      <c r="AA554" s="492" t="n"/>
      <c r="AB554" s="492" t="n"/>
      <c r="AC554" s="492" t="n"/>
      <c r="AD554" s="492" t="n"/>
      <c r="AE554" s="493" t="n"/>
      <c r="AF554" s="492" t="n"/>
      <c r="AG554" s="492" t="n"/>
      <c r="AH554" s="492" t="n"/>
      <c r="AI554" s="492" t="n"/>
      <c r="AJ554" s="493" t="n"/>
      <c r="AK554" s="492" t="n"/>
      <c r="AL554" s="492" t="n"/>
      <c r="AM554" s="492" t="n"/>
      <c r="AN554" s="492" t="n"/>
      <c r="AO554" s="492" t="n"/>
      <c r="AP554" s="492" t="n"/>
      <c r="AQ554" s="492" t="n"/>
      <c r="AR554" s="492" t="n"/>
      <c r="AS554" s="492" t="n"/>
      <c r="AT554" s="492" t="n"/>
      <c r="AU554" s="493" t="n"/>
      <c r="AV554" s="492" t="n"/>
      <c r="AW554" s="492" t="n"/>
      <c r="AX554" s="492" t="n"/>
      <c r="AY554" s="492" t="n"/>
      <c r="AZ554" s="492" t="n"/>
      <c r="BA554" s="493" t="n"/>
      <c r="BB554" s="492" t="n"/>
      <c r="BC554" s="492" t="n"/>
      <c r="BD554" s="492" t="n"/>
      <c r="BE554" s="492" t="n"/>
      <c r="BF554" s="493" t="n"/>
      <c r="BG554" s="493" t="n"/>
      <c r="BH554" s="495" t="n"/>
      <c r="BI554" s="496" t="n"/>
      <c r="BJ554" s="496" t="n"/>
      <c r="BK554" s="496" t="n"/>
      <c r="BM554" s="493" t="n"/>
      <c r="BN554" s="493" t="n"/>
      <c r="BO554" s="493" t="n"/>
      <c r="BP554" s="493" t="n"/>
      <c r="BQ554" s="493" t="n"/>
      <c r="BR554" s="493" t="n"/>
      <c r="BS554" s="493" t="n"/>
      <c r="BT554" s="493" t="n"/>
      <c r="BU554" s="493" t="n"/>
      <c r="BV554" s="493" t="n"/>
      <c r="BW554" s="493" t="n"/>
      <c r="BX554" s="493" t="n"/>
      <c r="BY554" s="493" t="n"/>
      <c r="BZ554" s="493" t="n"/>
      <c r="CA554" s="493" t="n"/>
      <c r="CB554" s="493" t="n"/>
      <c r="CC554" s="493" t="n"/>
      <c r="CD554" s="493" t="n"/>
      <c r="CE554" s="493" t="n"/>
      <c r="CF554" s="493" t="n"/>
      <c r="CG554" s="493" t="n"/>
      <c r="CH554" s="493" t="n"/>
      <c r="CI554" s="493" t="n"/>
      <c r="CJ554" s="493" t="n"/>
      <c r="CK554" s="493" t="n"/>
      <c r="CL554" s="493" t="n"/>
    </row>
    <row r="555" customFormat="1" s="230">
      <c r="E555" s="234" t="n"/>
      <c r="F555" s="492" t="n"/>
      <c r="G555" s="492" t="n"/>
      <c r="H555" s="493" t="n"/>
      <c r="I555" s="492" t="n"/>
      <c r="J555" s="492" t="n"/>
      <c r="K555" s="492" t="n"/>
      <c r="L555" s="492" t="n"/>
      <c r="M555" s="493" t="n"/>
      <c r="N555" s="492" t="n"/>
      <c r="O555" s="492" t="n"/>
      <c r="P555" s="492" t="n"/>
      <c r="Q555" s="492" t="n"/>
      <c r="R555" s="492" t="n"/>
      <c r="S555" s="492" t="n"/>
      <c r="T555" s="492" t="n"/>
      <c r="U555" s="492" t="n"/>
      <c r="V555" s="492" t="n"/>
      <c r="W555" s="492" t="n"/>
      <c r="X555" s="492" t="n"/>
      <c r="Y555" s="492" t="n"/>
      <c r="Z555" s="492" t="n"/>
      <c r="AA555" s="492" t="n"/>
      <c r="AB555" s="492" t="n"/>
      <c r="AC555" s="492" t="n"/>
      <c r="AD555" s="492" t="n"/>
      <c r="AE555" s="493" t="n"/>
      <c r="AF555" s="492" t="n"/>
      <c r="AG555" s="492" t="n"/>
      <c r="AH555" s="492" t="n"/>
      <c r="AI555" s="492" t="n"/>
      <c r="AJ555" s="493" t="n"/>
      <c r="AK555" s="492" t="n"/>
      <c r="AL555" s="492" t="n"/>
      <c r="AM555" s="492" t="n"/>
      <c r="AN555" s="492" t="n"/>
      <c r="AO555" s="492" t="n"/>
      <c r="AP555" s="492" t="n"/>
      <c r="AQ555" s="492" t="n"/>
      <c r="AR555" s="492" t="n"/>
      <c r="AS555" s="492" t="n"/>
      <c r="AT555" s="492" t="n"/>
      <c r="AU555" s="493" t="n"/>
      <c r="AV555" s="492" t="n"/>
      <c r="AW555" s="492" t="n"/>
      <c r="AX555" s="492" t="n"/>
      <c r="AY555" s="492" t="n"/>
      <c r="AZ555" s="492" t="n"/>
      <c r="BA555" s="493" t="n"/>
      <c r="BB555" s="492" t="n"/>
      <c r="BC555" s="492" t="n"/>
      <c r="BD555" s="492" t="n"/>
      <c r="BE555" s="492" t="n"/>
      <c r="BF555" s="493" t="n"/>
      <c r="BG555" s="493" t="n"/>
      <c r="BH555" s="495" t="n"/>
      <c r="BI555" s="496" t="n"/>
      <c r="BJ555" s="496" t="n"/>
      <c r="BK555" s="496" t="n"/>
      <c r="BM555" s="493" t="n"/>
      <c r="BN555" s="493" t="n"/>
      <c r="BO555" s="493" t="n"/>
      <c r="BP555" s="493" t="n"/>
      <c r="BQ555" s="493" t="n"/>
      <c r="BR555" s="493" t="n"/>
      <c r="BS555" s="493" t="n"/>
      <c r="BT555" s="493" t="n"/>
      <c r="BU555" s="493" t="n"/>
      <c r="BV555" s="493" t="n"/>
      <c r="BW555" s="493" t="n"/>
      <c r="BX555" s="493" t="n"/>
      <c r="BY555" s="493" t="n"/>
      <c r="BZ555" s="493" t="n"/>
      <c r="CA555" s="493" t="n"/>
      <c r="CB555" s="493" t="n"/>
      <c r="CC555" s="493" t="n"/>
      <c r="CD555" s="493" t="n"/>
      <c r="CE555" s="493" t="n"/>
      <c r="CF555" s="493" t="n"/>
      <c r="CG555" s="493" t="n"/>
      <c r="CH555" s="493" t="n"/>
      <c r="CI555" s="493" t="n"/>
      <c r="CJ555" s="493" t="n"/>
      <c r="CK555" s="493" t="n"/>
      <c r="CL555" s="493" t="n"/>
    </row>
    <row r="556" customFormat="1" s="230">
      <c r="E556" s="234" t="n"/>
      <c r="F556" s="492" t="n"/>
      <c r="G556" s="492" t="n"/>
      <c r="H556" s="493" t="n"/>
      <c r="I556" s="492" t="n"/>
      <c r="J556" s="492" t="n"/>
      <c r="K556" s="492" t="n"/>
      <c r="L556" s="492" t="n"/>
      <c r="M556" s="493" t="n"/>
      <c r="N556" s="492" t="n"/>
      <c r="O556" s="492" t="n"/>
      <c r="P556" s="492" t="n"/>
      <c r="Q556" s="492" t="n"/>
      <c r="R556" s="492" t="n"/>
      <c r="S556" s="492" t="n"/>
      <c r="T556" s="492" t="n"/>
      <c r="U556" s="492" t="n"/>
      <c r="V556" s="492" t="n"/>
      <c r="W556" s="492" t="n"/>
      <c r="X556" s="492" t="n"/>
      <c r="Y556" s="492" t="n"/>
      <c r="Z556" s="492" t="n"/>
      <c r="AA556" s="492" t="n"/>
      <c r="AB556" s="492" t="n"/>
      <c r="AC556" s="492" t="n"/>
      <c r="AD556" s="492" t="n"/>
      <c r="AE556" s="493" t="n"/>
      <c r="AF556" s="492" t="n"/>
      <c r="AG556" s="492" t="n"/>
      <c r="AH556" s="492" t="n"/>
      <c r="AI556" s="492" t="n"/>
      <c r="AJ556" s="493" t="n"/>
      <c r="AK556" s="492" t="n"/>
      <c r="AL556" s="492" t="n"/>
      <c r="AM556" s="492" t="n"/>
      <c r="AN556" s="492" t="n"/>
      <c r="AO556" s="492" t="n"/>
      <c r="AP556" s="492" t="n"/>
      <c r="AQ556" s="492" t="n"/>
      <c r="AR556" s="492" t="n"/>
      <c r="AS556" s="492" t="n"/>
      <c r="AT556" s="492" t="n"/>
      <c r="AU556" s="493" t="n"/>
      <c r="AV556" s="492" t="n"/>
      <c r="AW556" s="492" t="n"/>
      <c r="AX556" s="492" t="n"/>
      <c r="AY556" s="492" t="n"/>
      <c r="AZ556" s="492" t="n"/>
      <c r="BA556" s="493" t="n"/>
      <c r="BB556" s="492" t="n"/>
      <c r="BC556" s="492" t="n"/>
      <c r="BD556" s="492" t="n"/>
      <c r="BE556" s="492" t="n"/>
      <c r="BF556" s="493" t="n"/>
      <c r="BG556" s="493" t="n"/>
      <c r="BH556" s="495" t="n"/>
      <c r="BI556" s="496" t="n"/>
      <c r="BJ556" s="496" t="n"/>
      <c r="BK556" s="496" t="n"/>
      <c r="BM556" s="493" t="n"/>
      <c r="BN556" s="493" t="n"/>
      <c r="BO556" s="493" t="n"/>
      <c r="BP556" s="493" t="n"/>
      <c r="BQ556" s="493" t="n"/>
      <c r="BR556" s="493" t="n"/>
      <c r="BS556" s="493" t="n"/>
      <c r="BT556" s="493" t="n"/>
      <c r="BU556" s="493" t="n"/>
      <c r="BV556" s="493" t="n"/>
      <c r="BW556" s="493" t="n"/>
      <c r="BX556" s="493" t="n"/>
      <c r="BY556" s="493" t="n"/>
      <c r="BZ556" s="493" t="n"/>
      <c r="CA556" s="493" t="n"/>
      <c r="CB556" s="493" t="n"/>
      <c r="CC556" s="493" t="n"/>
      <c r="CD556" s="493" t="n"/>
      <c r="CE556" s="493" t="n"/>
      <c r="CF556" s="493" t="n"/>
      <c r="CG556" s="493" t="n"/>
      <c r="CH556" s="493" t="n"/>
      <c r="CI556" s="493" t="n"/>
      <c r="CJ556" s="493" t="n"/>
      <c r="CK556" s="493" t="n"/>
      <c r="CL556" s="493" t="n"/>
    </row>
    <row r="557" customFormat="1" s="230">
      <c r="E557" s="234" t="n"/>
      <c r="F557" s="492" t="n"/>
      <c r="G557" s="492" t="n"/>
      <c r="H557" s="493" t="n"/>
      <c r="I557" s="492" t="n"/>
      <c r="J557" s="492" t="n"/>
      <c r="K557" s="492" t="n"/>
      <c r="L557" s="492" t="n"/>
      <c r="M557" s="493" t="n"/>
      <c r="N557" s="492" t="n"/>
      <c r="O557" s="492" t="n"/>
      <c r="P557" s="492" t="n"/>
      <c r="Q557" s="492" t="n"/>
      <c r="R557" s="492" t="n"/>
      <c r="S557" s="492" t="n"/>
      <c r="T557" s="492" t="n"/>
      <c r="U557" s="492" t="n"/>
      <c r="V557" s="492" t="n"/>
      <c r="W557" s="492" t="n"/>
      <c r="X557" s="492" t="n"/>
      <c r="Y557" s="492" t="n"/>
      <c r="Z557" s="492" t="n"/>
      <c r="AA557" s="492" t="n"/>
      <c r="AB557" s="492" t="n"/>
      <c r="AC557" s="492" t="n"/>
      <c r="AD557" s="492" t="n"/>
      <c r="AE557" s="493" t="n"/>
      <c r="AF557" s="492" t="n"/>
      <c r="AG557" s="492" t="n"/>
      <c r="AH557" s="492" t="n"/>
      <c r="AI557" s="492" t="n"/>
      <c r="AJ557" s="493" t="n"/>
      <c r="AK557" s="492" t="n"/>
      <c r="AL557" s="492" t="n"/>
      <c r="AM557" s="492" t="n"/>
      <c r="AN557" s="492" t="n"/>
      <c r="AO557" s="492" t="n"/>
      <c r="AP557" s="492" t="n"/>
      <c r="AQ557" s="492" t="n"/>
      <c r="AR557" s="492" t="n"/>
      <c r="AS557" s="492" t="n"/>
      <c r="AT557" s="492" t="n"/>
      <c r="AU557" s="493" t="n"/>
      <c r="AV557" s="492" t="n"/>
      <c r="AW557" s="492" t="n"/>
      <c r="AX557" s="492" t="n"/>
      <c r="AY557" s="492" t="n"/>
      <c r="AZ557" s="492" t="n"/>
      <c r="BA557" s="493" t="n"/>
      <c r="BB557" s="492" t="n"/>
      <c r="BC557" s="492" t="n"/>
      <c r="BD557" s="492" t="n"/>
      <c r="BE557" s="492" t="n"/>
      <c r="BF557" s="493" t="n"/>
      <c r="BG557" s="493" t="n"/>
      <c r="BH557" s="495" t="n"/>
      <c r="BI557" s="496" t="n"/>
      <c r="BJ557" s="496" t="n"/>
      <c r="BK557" s="496" t="n"/>
      <c r="BM557" s="493" t="n"/>
      <c r="BN557" s="493" t="n"/>
      <c r="BO557" s="493" t="n"/>
      <c r="BP557" s="493" t="n"/>
      <c r="BQ557" s="493" t="n"/>
      <c r="BR557" s="493" t="n"/>
      <c r="BS557" s="493" t="n"/>
      <c r="BT557" s="493" t="n"/>
      <c r="BU557" s="493" t="n"/>
      <c r="BV557" s="493" t="n"/>
      <c r="BW557" s="493" t="n"/>
      <c r="BX557" s="493" t="n"/>
      <c r="BY557" s="493" t="n"/>
      <c r="BZ557" s="493" t="n"/>
      <c r="CA557" s="493" t="n"/>
      <c r="CB557" s="493" t="n"/>
      <c r="CC557" s="493" t="n"/>
      <c r="CD557" s="493" t="n"/>
      <c r="CE557" s="493" t="n"/>
      <c r="CF557" s="493" t="n"/>
      <c r="CG557" s="493" t="n"/>
      <c r="CH557" s="493" t="n"/>
      <c r="CI557" s="493" t="n"/>
      <c r="CJ557" s="493" t="n"/>
      <c r="CK557" s="493" t="n"/>
      <c r="CL557" s="493" t="n"/>
    </row>
    <row r="558" customFormat="1" s="230">
      <c r="E558" s="234" t="n"/>
      <c r="F558" s="492" t="n"/>
      <c r="G558" s="492" t="n"/>
      <c r="H558" s="493" t="n"/>
      <c r="I558" s="492" t="n"/>
      <c r="J558" s="492" t="n"/>
      <c r="K558" s="492" t="n"/>
      <c r="L558" s="492" t="n"/>
      <c r="M558" s="493" t="n"/>
      <c r="N558" s="492" t="n"/>
      <c r="O558" s="492" t="n"/>
      <c r="P558" s="492" t="n"/>
      <c r="Q558" s="492" t="n"/>
      <c r="R558" s="492" t="n"/>
      <c r="S558" s="492" t="n"/>
      <c r="T558" s="492" t="n"/>
      <c r="U558" s="492" t="n"/>
      <c r="V558" s="492" t="n"/>
      <c r="W558" s="492" t="n"/>
      <c r="X558" s="492" t="n"/>
      <c r="Y558" s="492" t="n"/>
      <c r="Z558" s="492" t="n"/>
      <c r="AA558" s="492" t="n"/>
      <c r="AB558" s="492" t="n"/>
      <c r="AC558" s="492" t="n"/>
      <c r="AD558" s="492" t="n"/>
      <c r="AE558" s="493" t="n"/>
      <c r="AF558" s="492" t="n"/>
      <c r="AG558" s="492" t="n"/>
      <c r="AH558" s="492" t="n"/>
      <c r="AI558" s="492" t="n"/>
      <c r="AJ558" s="493" t="n"/>
      <c r="AK558" s="492" t="n"/>
      <c r="AL558" s="492" t="n"/>
      <c r="AM558" s="492" t="n"/>
      <c r="AN558" s="492" t="n"/>
      <c r="AO558" s="492" t="n"/>
      <c r="AP558" s="492" t="n"/>
      <c r="AQ558" s="492" t="n"/>
      <c r="AR558" s="492" t="n"/>
      <c r="AS558" s="492" t="n"/>
      <c r="AT558" s="492" t="n"/>
      <c r="AU558" s="493" t="n"/>
      <c r="AV558" s="492" t="n"/>
      <c r="AW558" s="492" t="n"/>
      <c r="AX558" s="492" t="n"/>
      <c r="AY558" s="492" t="n"/>
      <c r="AZ558" s="492" t="n"/>
      <c r="BA558" s="493" t="n"/>
      <c r="BB558" s="492" t="n"/>
      <c r="BC558" s="492" t="n"/>
      <c r="BD558" s="492" t="n"/>
      <c r="BE558" s="492" t="n"/>
      <c r="BF558" s="493" t="n"/>
      <c r="BG558" s="493" t="n"/>
      <c r="BH558" s="495" t="n"/>
      <c r="BI558" s="496" t="n"/>
      <c r="BJ558" s="496" t="n"/>
      <c r="BK558" s="496" t="n"/>
      <c r="BM558" s="493" t="n"/>
      <c r="BN558" s="493" t="n"/>
      <c r="BO558" s="493" t="n"/>
      <c r="BP558" s="493" t="n"/>
      <c r="BQ558" s="493" t="n"/>
      <c r="BR558" s="493" t="n"/>
      <c r="BS558" s="493" t="n"/>
      <c r="BT558" s="493" t="n"/>
      <c r="BU558" s="493" t="n"/>
      <c r="BV558" s="493" t="n"/>
      <c r="BW558" s="493" t="n"/>
      <c r="BX558" s="493" t="n"/>
      <c r="BY558" s="493" t="n"/>
      <c r="BZ558" s="493" t="n"/>
      <c r="CA558" s="493" t="n"/>
      <c r="CB558" s="493" t="n"/>
      <c r="CC558" s="493" t="n"/>
      <c r="CD558" s="493" t="n"/>
      <c r="CE558" s="493" t="n"/>
      <c r="CF558" s="493" t="n"/>
      <c r="CG558" s="493" t="n"/>
      <c r="CH558" s="493" t="n"/>
      <c r="CI558" s="493" t="n"/>
      <c r="CJ558" s="493" t="n"/>
      <c r="CK558" s="493" t="n"/>
      <c r="CL558" s="493" t="n"/>
    </row>
    <row r="559" customFormat="1" s="230">
      <c r="E559" s="234" t="n"/>
      <c r="F559" s="492" t="n"/>
      <c r="G559" s="492" t="n"/>
      <c r="H559" s="493" t="n"/>
      <c r="I559" s="492" t="n"/>
      <c r="J559" s="492" t="n"/>
      <c r="K559" s="492" t="n"/>
      <c r="L559" s="492" t="n"/>
      <c r="M559" s="493" t="n"/>
      <c r="N559" s="492" t="n"/>
      <c r="O559" s="492" t="n"/>
      <c r="P559" s="492" t="n"/>
      <c r="Q559" s="492" t="n"/>
      <c r="R559" s="492" t="n"/>
      <c r="S559" s="492" t="n"/>
      <c r="T559" s="492" t="n"/>
      <c r="U559" s="492" t="n"/>
      <c r="V559" s="492" t="n"/>
      <c r="W559" s="492" t="n"/>
      <c r="X559" s="492" t="n"/>
      <c r="Y559" s="492" t="n"/>
      <c r="Z559" s="492" t="n"/>
      <c r="AA559" s="492" t="n"/>
      <c r="AB559" s="492" t="n"/>
      <c r="AC559" s="492" t="n"/>
      <c r="AD559" s="492" t="n"/>
      <c r="AE559" s="493" t="n"/>
      <c r="AF559" s="492" t="n"/>
      <c r="AG559" s="492" t="n"/>
      <c r="AH559" s="492" t="n"/>
      <c r="AI559" s="492" t="n"/>
      <c r="AJ559" s="493" t="n"/>
      <c r="AK559" s="492" t="n"/>
      <c r="AL559" s="492" t="n"/>
      <c r="AM559" s="492" t="n"/>
      <c r="AN559" s="492" t="n"/>
      <c r="AO559" s="492" t="n"/>
      <c r="AP559" s="492" t="n"/>
      <c r="AQ559" s="492" t="n"/>
      <c r="AR559" s="492" t="n"/>
      <c r="AS559" s="492" t="n"/>
      <c r="AT559" s="492" t="n"/>
      <c r="AU559" s="493" t="n"/>
      <c r="AV559" s="492" t="n"/>
      <c r="AW559" s="492" t="n"/>
      <c r="AX559" s="492" t="n"/>
      <c r="AY559" s="492" t="n"/>
      <c r="AZ559" s="492" t="n"/>
      <c r="BA559" s="493" t="n"/>
      <c r="BB559" s="492" t="n"/>
      <c r="BC559" s="492" t="n"/>
      <c r="BD559" s="492" t="n"/>
      <c r="BE559" s="492" t="n"/>
      <c r="BF559" s="493" t="n"/>
      <c r="BG559" s="493" t="n"/>
      <c r="BH559" s="495" t="n"/>
      <c r="BI559" s="496" t="n"/>
      <c r="BJ559" s="496" t="n"/>
      <c r="BK559" s="496" t="n"/>
      <c r="BM559" s="493" t="n"/>
      <c r="BN559" s="493" t="n"/>
      <c r="BO559" s="493" t="n"/>
      <c r="BP559" s="493" t="n"/>
      <c r="BQ559" s="493" t="n"/>
      <c r="BR559" s="493" t="n"/>
      <c r="BS559" s="493" t="n"/>
      <c r="BT559" s="493" t="n"/>
      <c r="BU559" s="493" t="n"/>
      <c r="BV559" s="493" t="n"/>
      <c r="BW559" s="493" t="n"/>
      <c r="BX559" s="493" t="n"/>
      <c r="BY559" s="493" t="n"/>
      <c r="BZ559" s="493" t="n"/>
      <c r="CA559" s="493" t="n"/>
      <c r="CB559" s="493" t="n"/>
      <c r="CC559" s="493" t="n"/>
      <c r="CD559" s="493" t="n"/>
      <c r="CE559" s="493" t="n"/>
      <c r="CF559" s="493" t="n"/>
      <c r="CG559" s="493" t="n"/>
      <c r="CH559" s="493" t="n"/>
      <c r="CI559" s="493" t="n"/>
      <c r="CJ559" s="493" t="n"/>
      <c r="CK559" s="493" t="n"/>
      <c r="CL559" s="493" t="n"/>
    </row>
    <row r="560" customFormat="1" s="230">
      <c r="E560" s="234" t="n"/>
      <c r="F560" s="492" t="n"/>
      <c r="G560" s="492" t="n"/>
      <c r="H560" s="493" t="n"/>
      <c r="I560" s="492" t="n"/>
      <c r="J560" s="492" t="n"/>
      <c r="K560" s="492" t="n"/>
      <c r="L560" s="492" t="n"/>
      <c r="M560" s="493" t="n"/>
      <c r="N560" s="492" t="n"/>
      <c r="O560" s="492" t="n"/>
      <c r="P560" s="492" t="n"/>
      <c r="Q560" s="492" t="n"/>
      <c r="R560" s="492" t="n"/>
      <c r="S560" s="492" t="n"/>
      <c r="T560" s="492" t="n"/>
      <c r="U560" s="492" t="n"/>
      <c r="V560" s="492" t="n"/>
      <c r="W560" s="492" t="n"/>
      <c r="X560" s="492" t="n"/>
      <c r="Y560" s="492" t="n"/>
      <c r="Z560" s="492" t="n"/>
      <c r="AA560" s="492" t="n"/>
      <c r="AB560" s="492" t="n"/>
      <c r="AC560" s="492" t="n"/>
      <c r="AD560" s="492" t="n"/>
      <c r="AE560" s="493" t="n"/>
      <c r="AF560" s="492" t="n"/>
      <c r="AG560" s="492" t="n"/>
      <c r="AH560" s="492" t="n"/>
      <c r="AI560" s="492" t="n"/>
      <c r="AJ560" s="493" t="n"/>
      <c r="AK560" s="492" t="n"/>
      <c r="AL560" s="492" t="n"/>
      <c r="AM560" s="492" t="n"/>
      <c r="AN560" s="492" t="n"/>
      <c r="AO560" s="492" t="n"/>
      <c r="AP560" s="492" t="n"/>
      <c r="AQ560" s="492" t="n"/>
      <c r="AR560" s="492" t="n"/>
      <c r="AS560" s="492" t="n"/>
      <c r="AT560" s="492" t="n"/>
      <c r="AU560" s="493" t="n"/>
      <c r="AV560" s="492" t="n"/>
      <c r="AW560" s="492" t="n"/>
      <c r="AX560" s="492" t="n"/>
      <c r="AY560" s="492" t="n"/>
      <c r="AZ560" s="492" t="n"/>
      <c r="BA560" s="493" t="n"/>
      <c r="BB560" s="492" t="n"/>
      <c r="BC560" s="492" t="n"/>
      <c r="BD560" s="492" t="n"/>
      <c r="BE560" s="492" t="n"/>
      <c r="BF560" s="493" t="n"/>
      <c r="BG560" s="493" t="n"/>
      <c r="BH560" s="495" t="n"/>
      <c r="BI560" s="496" t="n"/>
      <c r="BJ560" s="496" t="n"/>
      <c r="BK560" s="496" t="n"/>
      <c r="BM560" s="493" t="n"/>
      <c r="BN560" s="493" t="n"/>
      <c r="BO560" s="493" t="n"/>
      <c r="BP560" s="493" t="n"/>
      <c r="BQ560" s="493" t="n"/>
      <c r="BR560" s="493" t="n"/>
      <c r="BS560" s="493" t="n"/>
      <c r="BT560" s="493" t="n"/>
      <c r="BU560" s="493" t="n"/>
      <c r="BV560" s="493" t="n"/>
      <c r="BW560" s="493" t="n"/>
      <c r="BX560" s="493" t="n"/>
      <c r="BY560" s="493" t="n"/>
      <c r="BZ560" s="493" t="n"/>
      <c r="CA560" s="493" t="n"/>
      <c r="CB560" s="493" t="n"/>
      <c r="CC560" s="493" t="n"/>
      <c r="CD560" s="493" t="n"/>
      <c r="CE560" s="493" t="n"/>
      <c r="CF560" s="493" t="n"/>
      <c r="CG560" s="493" t="n"/>
      <c r="CH560" s="493" t="n"/>
      <c r="CI560" s="493" t="n"/>
      <c r="CJ560" s="493" t="n"/>
      <c r="CK560" s="493" t="n"/>
      <c r="CL560" s="493" t="n"/>
    </row>
    <row r="561" customFormat="1" s="230">
      <c r="E561" s="234" t="n"/>
      <c r="F561" s="492" t="n"/>
      <c r="G561" s="492" t="n"/>
      <c r="H561" s="493" t="n"/>
      <c r="I561" s="492" t="n"/>
      <c r="J561" s="492" t="n"/>
      <c r="K561" s="492" t="n"/>
      <c r="L561" s="492" t="n"/>
      <c r="M561" s="493" t="n"/>
      <c r="N561" s="492" t="n"/>
      <c r="O561" s="492" t="n"/>
      <c r="P561" s="492" t="n"/>
      <c r="Q561" s="492" t="n"/>
      <c r="R561" s="492" t="n"/>
      <c r="S561" s="492" t="n"/>
      <c r="T561" s="492" t="n"/>
      <c r="U561" s="492" t="n"/>
      <c r="V561" s="492" t="n"/>
      <c r="W561" s="492" t="n"/>
      <c r="X561" s="492" t="n"/>
      <c r="Y561" s="492" t="n"/>
      <c r="Z561" s="492" t="n"/>
      <c r="AA561" s="492" t="n"/>
      <c r="AB561" s="492" t="n"/>
      <c r="AC561" s="492" t="n"/>
      <c r="AD561" s="492" t="n"/>
      <c r="AE561" s="493" t="n"/>
      <c r="AF561" s="492" t="n"/>
      <c r="AG561" s="492" t="n"/>
      <c r="AH561" s="492" t="n"/>
      <c r="AI561" s="492" t="n"/>
      <c r="AJ561" s="493" t="n"/>
      <c r="AK561" s="492" t="n"/>
      <c r="AL561" s="492" t="n"/>
      <c r="AM561" s="492" t="n"/>
      <c r="AN561" s="492" t="n"/>
      <c r="AO561" s="492" t="n"/>
      <c r="AP561" s="492" t="n"/>
      <c r="AQ561" s="492" t="n"/>
      <c r="AR561" s="492" t="n"/>
      <c r="AS561" s="492" t="n"/>
      <c r="AT561" s="492" t="n"/>
      <c r="AU561" s="493" t="n"/>
      <c r="AV561" s="492" t="n"/>
      <c r="AW561" s="492" t="n"/>
      <c r="AX561" s="492" t="n"/>
      <c r="AY561" s="492" t="n"/>
      <c r="AZ561" s="492" t="n"/>
      <c r="BA561" s="493" t="n"/>
      <c r="BB561" s="492" t="n"/>
      <c r="BC561" s="492" t="n"/>
      <c r="BD561" s="492" t="n"/>
      <c r="BE561" s="492" t="n"/>
      <c r="BF561" s="493" t="n"/>
      <c r="BG561" s="493" t="n"/>
      <c r="BH561" s="495" t="n"/>
      <c r="BI561" s="496" t="n"/>
      <c r="BJ561" s="496" t="n"/>
      <c r="BK561" s="496" t="n"/>
      <c r="BM561" s="493" t="n"/>
      <c r="BN561" s="493" t="n"/>
      <c r="BO561" s="493" t="n"/>
      <c r="BP561" s="493" t="n"/>
      <c r="BQ561" s="493" t="n"/>
      <c r="BR561" s="493" t="n"/>
      <c r="BS561" s="493" t="n"/>
      <c r="BT561" s="493" t="n"/>
      <c r="BU561" s="493" t="n"/>
      <c r="BV561" s="493" t="n"/>
      <c r="BW561" s="493" t="n"/>
      <c r="BX561" s="493" t="n"/>
      <c r="BY561" s="493" t="n"/>
      <c r="BZ561" s="493" t="n"/>
      <c r="CA561" s="493" t="n"/>
      <c r="CB561" s="493" t="n"/>
      <c r="CC561" s="493" t="n"/>
      <c r="CD561" s="493" t="n"/>
      <c r="CE561" s="493" t="n"/>
      <c r="CF561" s="493" t="n"/>
      <c r="CG561" s="493" t="n"/>
      <c r="CH561" s="493" t="n"/>
      <c r="CI561" s="493" t="n"/>
      <c r="CJ561" s="493" t="n"/>
      <c r="CK561" s="493" t="n"/>
      <c r="CL561" s="493" t="n"/>
    </row>
    <row r="562" customFormat="1" s="230">
      <c r="E562" s="234" t="n"/>
      <c r="F562" s="492" t="n"/>
      <c r="G562" s="492" t="n"/>
      <c r="H562" s="493" t="n"/>
      <c r="I562" s="492" t="n"/>
      <c r="J562" s="492" t="n"/>
      <c r="K562" s="492" t="n"/>
      <c r="L562" s="492" t="n"/>
      <c r="M562" s="493" t="n"/>
      <c r="N562" s="492" t="n"/>
      <c r="O562" s="492" t="n"/>
      <c r="P562" s="492" t="n"/>
      <c r="Q562" s="492" t="n"/>
      <c r="R562" s="492" t="n"/>
      <c r="S562" s="492" t="n"/>
      <c r="T562" s="492" t="n"/>
      <c r="U562" s="492" t="n"/>
      <c r="V562" s="492" t="n"/>
      <c r="W562" s="492" t="n"/>
      <c r="X562" s="492" t="n"/>
      <c r="Y562" s="492" t="n"/>
      <c r="Z562" s="492" t="n"/>
      <c r="AA562" s="492" t="n"/>
      <c r="AB562" s="492" t="n"/>
      <c r="AC562" s="492" t="n"/>
      <c r="AD562" s="492" t="n"/>
      <c r="AE562" s="493" t="n"/>
      <c r="AF562" s="492" t="n"/>
      <c r="AG562" s="492" t="n"/>
      <c r="AH562" s="492" t="n"/>
      <c r="AI562" s="492" t="n"/>
      <c r="AJ562" s="493" t="n"/>
      <c r="AK562" s="492" t="n"/>
      <c r="AL562" s="492" t="n"/>
      <c r="AM562" s="492" t="n"/>
      <c r="AN562" s="492" t="n"/>
      <c r="AO562" s="492" t="n"/>
      <c r="AP562" s="492" t="n"/>
      <c r="AQ562" s="492" t="n"/>
      <c r="AR562" s="492" t="n"/>
      <c r="AS562" s="492" t="n"/>
      <c r="AT562" s="492" t="n"/>
      <c r="AU562" s="493" t="n"/>
      <c r="AV562" s="492" t="n"/>
      <c r="AW562" s="492" t="n"/>
      <c r="AX562" s="492" t="n"/>
      <c r="AY562" s="492" t="n"/>
      <c r="AZ562" s="492" t="n"/>
      <c r="BA562" s="493" t="n"/>
      <c r="BB562" s="492" t="n"/>
      <c r="BC562" s="492" t="n"/>
      <c r="BD562" s="492" t="n"/>
      <c r="BE562" s="492" t="n"/>
      <c r="BF562" s="493" t="n"/>
      <c r="BG562" s="493" t="n"/>
      <c r="BH562" s="495" t="n"/>
      <c r="BI562" s="496" t="n"/>
      <c r="BJ562" s="496" t="n"/>
      <c r="BK562" s="496" t="n"/>
      <c r="BM562" s="493" t="n"/>
      <c r="BN562" s="493" t="n"/>
      <c r="BO562" s="493" t="n"/>
      <c r="BP562" s="493" t="n"/>
      <c r="BQ562" s="493" t="n"/>
      <c r="BR562" s="493" t="n"/>
      <c r="BS562" s="493" t="n"/>
      <c r="BT562" s="493" t="n"/>
      <c r="BU562" s="493" t="n"/>
      <c r="BV562" s="493" t="n"/>
      <c r="BW562" s="493" t="n"/>
      <c r="BX562" s="493" t="n"/>
      <c r="BY562" s="493" t="n"/>
      <c r="BZ562" s="493" t="n"/>
      <c r="CA562" s="493" t="n"/>
      <c r="CB562" s="493" t="n"/>
      <c r="CC562" s="493" t="n"/>
      <c r="CD562" s="493" t="n"/>
      <c r="CE562" s="493" t="n"/>
      <c r="CF562" s="493" t="n"/>
      <c r="CG562" s="493" t="n"/>
      <c r="CH562" s="493" t="n"/>
      <c r="CI562" s="493" t="n"/>
      <c r="CJ562" s="493" t="n"/>
      <c r="CK562" s="493" t="n"/>
      <c r="CL562" s="493" t="n"/>
    </row>
    <row r="563" customFormat="1" s="230">
      <c r="E563" s="234" t="n"/>
      <c r="F563" s="492" t="n"/>
      <c r="G563" s="492" t="n"/>
      <c r="H563" s="493" t="n"/>
      <c r="I563" s="492" t="n"/>
      <c r="J563" s="492" t="n"/>
      <c r="K563" s="492" t="n"/>
      <c r="L563" s="492" t="n"/>
      <c r="M563" s="493" t="n"/>
      <c r="N563" s="492" t="n"/>
      <c r="O563" s="492" t="n"/>
      <c r="P563" s="492" t="n"/>
      <c r="Q563" s="492" t="n"/>
      <c r="R563" s="492" t="n"/>
      <c r="S563" s="492" t="n"/>
      <c r="T563" s="492" t="n"/>
      <c r="U563" s="492" t="n"/>
      <c r="V563" s="492" t="n"/>
      <c r="W563" s="492" t="n"/>
      <c r="X563" s="492" t="n"/>
      <c r="Y563" s="492" t="n"/>
      <c r="Z563" s="492" t="n"/>
      <c r="AA563" s="492" t="n"/>
      <c r="AB563" s="492" t="n"/>
      <c r="AC563" s="492" t="n"/>
      <c r="AD563" s="492" t="n"/>
      <c r="AE563" s="493" t="n"/>
      <c r="AF563" s="492" t="n"/>
      <c r="AG563" s="492" t="n"/>
      <c r="AH563" s="492" t="n"/>
      <c r="AI563" s="492" t="n"/>
      <c r="AJ563" s="493" t="n"/>
      <c r="AK563" s="492" t="n"/>
      <c r="AL563" s="492" t="n"/>
      <c r="AM563" s="492" t="n"/>
      <c r="AN563" s="492" t="n"/>
      <c r="AO563" s="492" t="n"/>
      <c r="AP563" s="492" t="n"/>
      <c r="AQ563" s="492" t="n"/>
      <c r="AR563" s="492" t="n"/>
      <c r="AS563" s="492" t="n"/>
      <c r="AT563" s="492" t="n"/>
      <c r="AU563" s="493" t="n"/>
      <c r="AV563" s="492" t="n"/>
      <c r="AW563" s="492" t="n"/>
      <c r="AX563" s="492" t="n"/>
      <c r="AY563" s="492" t="n"/>
      <c r="AZ563" s="492" t="n"/>
      <c r="BA563" s="493" t="n"/>
      <c r="BB563" s="492" t="n"/>
      <c r="BC563" s="492" t="n"/>
      <c r="BD563" s="492" t="n"/>
      <c r="BE563" s="492" t="n"/>
      <c r="BF563" s="493" t="n"/>
      <c r="BG563" s="493" t="n"/>
      <c r="BH563" s="495" t="n"/>
      <c r="BI563" s="496" t="n"/>
      <c r="BJ563" s="496" t="n"/>
      <c r="BK563" s="496" t="n"/>
      <c r="BM563" s="493" t="n"/>
      <c r="BN563" s="493" t="n"/>
      <c r="BO563" s="493" t="n"/>
      <c r="BP563" s="493" t="n"/>
      <c r="BQ563" s="493" t="n"/>
      <c r="BR563" s="493" t="n"/>
      <c r="BS563" s="493" t="n"/>
      <c r="BT563" s="493" t="n"/>
      <c r="BU563" s="493" t="n"/>
      <c r="BV563" s="493" t="n"/>
      <c r="BW563" s="493" t="n"/>
      <c r="BX563" s="493" t="n"/>
      <c r="BY563" s="493" t="n"/>
      <c r="BZ563" s="493" t="n"/>
      <c r="CA563" s="493" t="n"/>
      <c r="CB563" s="493" t="n"/>
      <c r="CC563" s="493" t="n"/>
      <c r="CD563" s="493" t="n"/>
      <c r="CE563" s="493" t="n"/>
      <c r="CF563" s="493" t="n"/>
      <c r="CG563" s="493" t="n"/>
      <c r="CH563" s="493" t="n"/>
      <c r="CI563" s="493" t="n"/>
      <c r="CJ563" s="493" t="n"/>
      <c r="CK563" s="493" t="n"/>
      <c r="CL563" s="493" t="n"/>
    </row>
    <row r="564" customFormat="1" s="230">
      <c r="E564" s="234" t="n"/>
      <c r="F564" s="492" t="n"/>
      <c r="G564" s="492" t="n"/>
      <c r="H564" s="493" t="n"/>
      <c r="I564" s="492" t="n"/>
      <c r="J564" s="492" t="n"/>
      <c r="K564" s="492" t="n"/>
      <c r="L564" s="492" t="n"/>
      <c r="M564" s="493" t="n"/>
      <c r="N564" s="492" t="n"/>
      <c r="O564" s="492" t="n"/>
      <c r="P564" s="492" t="n"/>
      <c r="Q564" s="492" t="n"/>
      <c r="R564" s="492" t="n"/>
      <c r="S564" s="492" t="n"/>
      <c r="T564" s="492" t="n"/>
      <c r="U564" s="492" t="n"/>
      <c r="V564" s="492" t="n"/>
      <c r="W564" s="492" t="n"/>
      <c r="X564" s="492" t="n"/>
      <c r="Y564" s="492" t="n"/>
      <c r="Z564" s="492" t="n"/>
      <c r="AA564" s="492" t="n"/>
      <c r="AB564" s="492" t="n"/>
      <c r="AC564" s="492" t="n"/>
      <c r="AD564" s="492" t="n"/>
      <c r="AE564" s="493" t="n"/>
      <c r="AF564" s="492" t="n"/>
      <c r="AG564" s="492" t="n"/>
      <c r="AH564" s="492" t="n"/>
      <c r="AI564" s="492" t="n"/>
      <c r="AJ564" s="493" t="n"/>
      <c r="AK564" s="492" t="n"/>
      <c r="AL564" s="492" t="n"/>
      <c r="AM564" s="492" t="n"/>
      <c r="AN564" s="492" t="n"/>
      <c r="AO564" s="492" t="n"/>
      <c r="AP564" s="492" t="n"/>
      <c r="AQ564" s="492" t="n"/>
      <c r="AR564" s="492" t="n"/>
      <c r="AS564" s="492" t="n"/>
      <c r="AT564" s="492" t="n"/>
      <c r="AU564" s="493" t="n"/>
      <c r="AV564" s="492" t="n"/>
      <c r="AW564" s="492" t="n"/>
      <c r="AX564" s="492" t="n"/>
      <c r="AY564" s="492" t="n"/>
      <c r="AZ564" s="492" t="n"/>
      <c r="BA564" s="493" t="n"/>
      <c r="BB564" s="492" t="n"/>
      <c r="BC564" s="492" t="n"/>
      <c r="BD564" s="492" t="n"/>
      <c r="BE564" s="492" t="n"/>
      <c r="BF564" s="493" t="n"/>
      <c r="BG564" s="493" t="n"/>
      <c r="BH564" s="495" t="n"/>
      <c r="BI564" s="496" t="n"/>
      <c r="BJ564" s="496" t="n"/>
      <c r="BK564" s="496" t="n"/>
      <c r="BM564" s="493" t="n"/>
      <c r="BN564" s="493" t="n"/>
      <c r="BO564" s="493" t="n"/>
      <c r="BP564" s="493" t="n"/>
      <c r="BQ564" s="493" t="n"/>
      <c r="BR564" s="493" t="n"/>
      <c r="BS564" s="493" t="n"/>
      <c r="BT564" s="493" t="n"/>
      <c r="BU564" s="493" t="n"/>
      <c r="BV564" s="493" t="n"/>
      <c r="BW564" s="493" t="n"/>
      <c r="BX564" s="493" t="n"/>
      <c r="BY564" s="493" t="n"/>
      <c r="BZ564" s="493" t="n"/>
      <c r="CA564" s="493" t="n"/>
      <c r="CB564" s="493" t="n"/>
      <c r="CC564" s="493" t="n"/>
      <c r="CD564" s="493" t="n"/>
      <c r="CE564" s="493" t="n"/>
      <c r="CF564" s="493" t="n"/>
      <c r="CG564" s="493" t="n"/>
      <c r="CH564" s="493" t="n"/>
      <c r="CI564" s="493" t="n"/>
      <c r="CJ564" s="493" t="n"/>
      <c r="CK564" s="493" t="n"/>
      <c r="CL564" s="493" t="n"/>
    </row>
    <row r="565" customFormat="1" s="230">
      <c r="E565" s="234" t="n"/>
      <c r="F565" s="492" t="n"/>
      <c r="G565" s="492" t="n"/>
      <c r="H565" s="493" t="n"/>
      <c r="I565" s="492" t="n"/>
      <c r="J565" s="492" t="n"/>
      <c r="K565" s="492" t="n"/>
      <c r="L565" s="492" t="n"/>
      <c r="M565" s="493" t="n"/>
      <c r="N565" s="492" t="n"/>
      <c r="O565" s="492" t="n"/>
      <c r="P565" s="492" t="n"/>
      <c r="Q565" s="492" t="n"/>
      <c r="R565" s="492" t="n"/>
      <c r="S565" s="492" t="n"/>
      <c r="T565" s="492" t="n"/>
      <c r="U565" s="492" t="n"/>
      <c r="V565" s="492" t="n"/>
      <c r="W565" s="492" t="n"/>
      <c r="X565" s="492" t="n"/>
      <c r="Y565" s="492" t="n"/>
      <c r="Z565" s="492" t="n"/>
      <c r="AA565" s="492" t="n"/>
      <c r="AB565" s="492" t="n"/>
      <c r="AC565" s="492" t="n"/>
      <c r="AD565" s="492" t="n"/>
      <c r="AE565" s="493" t="n"/>
      <c r="AF565" s="492" t="n"/>
      <c r="AG565" s="492" t="n"/>
      <c r="AH565" s="492" t="n"/>
      <c r="AI565" s="492" t="n"/>
      <c r="AJ565" s="493" t="n"/>
      <c r="AK565" s="492" t="n"/>
      <c r="AL565" s="492" t="n"/>
      <c r="AM565" s="492" t="n"/>
      <c r="AN565" s="492" t="n"/>
      <c r="AO565" s="492" t="n"/>
      <c r="AP565" s="492" t="n"/>
      <c r="AQ565" s="492" t="n"/>
      <c r="AR565" s="492" t="n"/>
      <c r="AS565" s="492" t="n"/>
      <c r="AT565" s="492" t="n"/>
      <c r="AU565" s="493" t="n"/>
      <c r="AV565" s="492" t="n"/>
      <c r="AW565" s="492" t="n"/>
      <c r="AX565" s="492" t="n"/>
      <c r="AY565" s="492" t="n"/>
      <c r="AZ565" s="492" t="n"/>
      <c r="BA565" s="493" t="n"/>
      <c r="BB565" s="492" t="n"/>
      <c r="BC565" s="492" t="n"/>
      <c r="BD565" s="492" t="n"/>
      <c r="BE565" s="492" t="n"/>
      <c r="BF565" s="493" t="n"/>
      <c r="BG565" s="493" t="n"/>
      <c r="BH565" s="495" t="n"/>
      <c r="BI565" s="496" t="n"/>
      <c r="BJ565" s="496" t="n"/>
      <c r="BK565" s="496" t="n"/>
      <c r="BM565" s="493" t="n"/>
      <c r="BN565" s="493" t="n"/>
      <c r="BO565" s="493" t="n"/>
      <c r="BP565" s="493" t="n"/>
      <c r="BQ565" s="493" t="n"/>
      <c r="BR565" s="493" t="n"/>
      <c r="BS565" s="493" t="n"/>
      <c r="BT565" s="493" t="n"/>
      <c r="BU565" s="493" t="n"/>
      <c r="BV565" s="493" t="n"/>
      <c r="BW565" s="493" t="n"/>
      <c r="BX565" s="493" t="n"/>
      <c r="BY565" s="493" t="n"/>
      <c r="BZ565" s="493" t="n"/>
      <c r="CA565" s="493" t="n"/>
      <c r="CB565" s="493" t="n"/>
      <c r="CC565" s="493" t="n"/>
      <c r="CD565" s="493" t="n"/>
      <c r="CE565" s="493" t="n"/>
      <c r="CF565" s="493" t="n"/>
      <c r="CG565" s="493" t="n"/>
      <c r="CH565" s="493" t="n"/>
      <c r="CI565" s="493" t="n"/>
      <c r="CJ565" s="493" t="n"/>
      <c r="CK565" s="493" t="n"/>
      <c r="CL565" s="493" t="n"/>
    </row>
    <row r="566" customFormat="1" s="230">
      <c r="E566" s="234" t="n"/>
      <c r="F566" s="492" t="n"/>
      <c r="G566" s="492" t="n"/>
      <c r="H566" s="493" t="n"/>
      <c r="I566" s="492" t="n"/>
      <c r="J566" s="492" t="n"/>
      <c r="K566" s="492" t="n"/>
      <c r="L566" s="492" t="n"/>
      <c r="M566" s="493" t="n"/>
      <c r="N566" s="492" t="n"/>
      <c r="O566" s="492" t="n"/>
      <c r="P566" s="492" t="n"/>
      <c r="Q566" s="492" t="n"/>
      <c r="R566" s="492" t="n"/>
      <c r="S566" s="492" t="n"/>
      <c r="T566" s="492" t="n"/>
      <c r="U566" s="492" t="n"/>
      <c r="V566" s="492" t="n"/>
      <c r="W566" s="492" t="n"/>
      <c r="X566" s="492" t="n"/>
      <c r="Y566" s="492" t="n"/>
      <c r="Z566" s="492" t="n"/>
      <c r="AA566" s="492" t="n"/>
      <c r="AB566" s="492" t="n"/>
      <c r="AC566" s="492" t="n"/>
      <c r="AD566" s="492" t="n"/>
      <c r="AE566" s="493" t="n"/>
      <c r="AF566" s="492" t="n"/>
      <c r="AG566" s="492" t="n"/>
      <c r="AH566" s="492" t="n"/>
      <c r="AI566" s="492" t="n"/>
      <c r="AJ566" s="493" t="n"/>
      <c r="AK566" s="492" t="n"/>
      <c r="AL566" s="492" t="n"/>
      <c r="AM566" s="492" t="n"/>
      <c r="AN566" s="492" t="n"/>
      <c r="AO566" s="492" t="n"/>
      <c r="AP566" s="492" t="n"/>
      <c r="AQ566" s="492" t="n"/>
      <c r="AR566" s="492" t="n"/>
      <c r="AS566" s="492" t="n"/>
      <c r="AT566" s="492" t="n"/>
      <c r="AU566" s="493" t="n"/>
      <c r="AV566" s="492" t="n"/>
      <c r="AW566" s="492" t="n"/>
      <c r="AX566" s="492" t="n"/>
      <c r="AY566" s="492" t="n"/>
      <c r="AZ566" s="492" t="n"/>
      <c r="BA566" s="493" t="n"/>
      <c r="BB566" s="492" t="n"/>
      <c r="BC566" s="492" t="n"/>
      <c r="BD566" s="492" t="n"/>
      <c r="BE566" s="492" t="n"/>
      <c r="BF566" s="493" t="n"/>
      <c r="BG566" s="493" t="n"/>
      <c r="BH566" s="495" t="n"/>
      <c r="BI566" s="496" t="n"/>
      <c r="BJ566" s="496" t="n"/>
      <c r="BK566" s="496" t="n"/>
      <c r="BM566" s="493" t="n"/>
      <c r="BN566" s="493" t="n"/>
      <c r="BO566" s="493" t="n"/>
      <c r="BP566" s="493" t="n"/>
      <c r="BQ566" s="493" t="n"/>
      <c r="BR566" s="493" t="n"/>
      <c r="BS566" s="493" t="n"/>
      <c r="BT566" s="493" t="n"/>
      <c r="BU566" s="493" t="n"/>
      <c r="BV566" s="493" t="n"/>
      <c r="BW566" s="493" t="n"/>
      <c r="BX566" s="493" t="n"/>
      <c r="BY566" s="493" t="n"/>
      <c r="BZ566" s="493" t="n"/>
      <c r="CA566" s="493" t="n"/>
      <c r="CB566" s="493" t="n"/>
      <c r="CC566" s="493" t="n"/>
      <c r="CD566" s="493" t="n"/>
      <c r="CE566" s="493" t="n"/>
      <c r="CF566" s="493" t="n"/>
      <c r="CG566" s="493" t="n"/>
      <c r="CH566" s="493" t="n"/>
      <c r="CI566" s="493" t="n"/>
      <c r="CJ566" s="493" t="n"/>
      <c r="CK566" s="493" t="n"/>
      <c r="CL566" s="493" t="n"/>
    </row>
    <row r="567" customFormat="1" s="230">
      <c r="E567" s="234" t="n"/>
      <c r="F567" s="492" t="n"/>
      <c r="G567" s="492" t="n"/>
      <c r="H567" s="493" t="n"/>
      <c r="I567" s="492" t="n"/>
      <c r="J567" s="492" t="n"/>
      <c r="K567" s="492" t="n"/>
      <c r="L567" s="492" t="n"/>
      <c r="M567" s="493" t="n"/>
      <c r="N567" s="492" t="n"/>
      <c r="O567" s="492" t="n"/>
      <c r="P567" s="492" t="n"/>
      <c r="Q567" s="492" t="n"/>
      <c r="R567" s="492" t="n"/>
      <c r="S567" s="492" t="n"/>
      <c r="T567" s="492" t="n"/>
      <c r="U567" s="492" t="n"/>
      <c r="V567" s="492" t="n"/>
      <c r="W567" s="492" t="n"/>
      <c r="X567" s="492" t="n"/>
      <c r="Y567" s="492" t="n"/>
      <c r="Z567" s="492" t="n"/>
      <c r="AA567" s="492" t="n"/>
      <c r="AB567" s="492" t="n"/>
      <c r="AC567" s="492" t="n"/>
      <c r="AD567" s="492" t="n"/>
      <c r="AE567" s="493" t="n"/>
      <c r="AF567" s="492" t="n"/>
      <c r="AG567" s="492" t="n"/>
      <c r="AH567" s="492" t="n"/>
      <c r="AI567" s="492" t="n"/>
      <c r="AJ567" s="493" t="n"/>
      <c r="AK567" s="492" t="n"/>
      <c r="AL567" s="492" t="n"/>
      <c r="AM567" s="492" t="n"/>
      <c r="AN567" s="492" t="n"/>
      <c r="AO567" s="492" t="n"/>
      <c r="AP567" s="492" t="n"/>
      <c r="AQ567" s="492" t="n"/>
      <c r="AR567" s="492" t="n"/>
      <c r="AS567" s="492" t="n"/>
      <c r="AT567" s="492" t="n"/>
      <c r="AU567" s="493" t="n"/>
      <c r="AV567" s="492" t="n"/>
      <c r="AW567" s="492" t="n"/>
      <c r="AX567" s="492" t="n"/>
      <c r="AY567" s="492" t="n"/>
      <c r="AZ567" s="492" t="n"/>
      <c r="BA567" s="493" t="n"/>
      <c r="BB567" s="492" t="n"/>
      <c r="BC567" s="492" t="n"/>
      <c r="BD567" s="492" t="n"/>
      <c r="BE567" s="492" t="n"/>
      <c r="BF567" s="493" t="n"/>
      <c r="BG567" s="493" t="n"/>
      <c r="BH567" s="495" t="n"/>
      <c r="BI567" s="496" t="n"/>
      <c r="BJ567" s="496" t="n"/>
      <c r="BK567" s="496" t="n"/>
      <c r="BM567" s="493" t="n"/>
      <c r="BN567" s="493" t="n"/>
      <c r="BO567" s="493" t="n"/>
      <c r="BP567" s="493" t="n"/>
      <c r="BQ567" s="493" t="n"/>
      <c r="BR567" s="493" t="n"/>
      <c r="BS567" s="493" t="n"/>
      <c r="BT567" s="493" t="n"/>
      <c r="BU567" s="493" t="n"/>
      <c r="BV567" s="493" t="n"/>
      <c r="BW567" s="493" t="n"/>
      <c r="BX567" s="493" t="n"/>
      <c r="BY567" s="493" t="n"/>
      <c r="BZ567" s="493" t="n"/>
      <c r="CA567" s="493" t="n"/>
      <c r="CB567" s="493" t="n"/>
      <c r="CC567" s="493" t="n"/>
      <c r="CD567" s="493" t="n"/>
      <c r="CE567" s="493" t="n"/>
      <c r="CF567" s="493" t="n"/>
      <c r="CG567" s="493" t="n"/>
      <c r="CH567" s="493" t="n"/>
      <c r="CI567" s="493" t="n"/>
      <c r="CJ567" s="493" t="n"/>
      <c r="CK567" s="493" t="n"/>
      <c r="CL567" s="493" t="n"/>
    </row>
    <row r="568" customFormat="1" s="230">
      <c r="E568" s="234" t="n"/>
      <c r="F568" s="492" t="n"/>
      <c r="G568" s="492" t="n"/>
      <c r="H568" s="493" t="n"/>
      <c r="I568" s="492" t="n"/>
      <c r="J568" s="492" t="n"/>
      <c r="K568" s="492" t="n"/>
      <c r="L568" s="492" t="n"/>
      <c r="M568" s="493" t="n"/>
      <c r="N568" s="492" t="n"/>
      <c r="O568" s="492" t="n"/>
      <c r="P568" s="492" t="n"/>
      <c r="Q568" s="492" t="n"/>
      <c r="R568" s="492" t="n"/>
      <c r="S568" s="492" t="n"/>
      <c r="T568" s="492" t="n"/>
      <c r="U568" s="492" t="n"/>
      <c r="V568" s="492" t="n"/>
      <c r="W568" s="492" t="n"/>
      <c r="X568" s="492" t="n"/>
      <c r="Y568" s="492" t="n"/>
      <c r="Z568" s="492" t="n"/>
      <c r="AA568" s="492" t="n"/>
      <c r="AB568" s="492" t="n"/>
      <c r="AC568" s="492" t="n"/>
      <c r="AD568" s="492" t="n"/>
      <c r="AE568" s="493" t="n"/>
      <c r="AF568" s="492" t="n"/>
      <c r="AG568" s="492" t="n"/>
      <c r="AH568" s="492" t="n"/>
      <c r="AI568" s="492" t="n"/>
      <c r="AJ568" s="493" t="n"/>
      <c r="AK568" s="492" t="n"/>
      <c r="AL568" s="492" t="n"/>
      <c r="AM568" s="492" t="n"/>
      <c r="AN568" s="492" t="n"/>
      <c r="AO568" s="492" t="n"/>
      <c r="AP568" s="492" t="n"/>
      <c r="AQ568" s="492" t="n"/>
      <c r="AR568" s="492" t="n"/>
      <c r="AS568" s="492" t="n"/>
      <c r="AT568" s="492" t="n"/>
      <c r="AU568" s="493" t="n"/>
      <c r="AV568" s="492" t="n"/>
      <c r="AW568" s="492" t="n"/>
      <c r="AX568" s="492" t="n"/>
      <c r="AY568" s="492" t="n"/>
      <c r="AZ568" s="492" t="n"/>
      <c r="BA568" s="493" t="n"/>
      <c r="BB568" s="492" t="n"/>
      <c r="BC568" s="492" t="n"/>
      <c r="BD568" s="492" t="n"/>
      <c r="BE568" s="492" t="n"/>
      <c r="BF568" s="493" t="n"/>
      <c r="BG568" s="493" t="n"/>
      <c r="BH568" s="495" t="n"/>
      <c r="BI568" s="496" t="n"/>
      <c r="BJ568" s="496" t="n"/>
      <c r="BK568" s="496" t="n"/>
      <c r="BM568" s="493" t="n"/>
      <c r="BN568" s="493" t="n"/>
      <c r="BO568" s="493" t="n"/>
      <c r="BP568" s="493" t="n"/>
      <c r="BQ568" s="493" t="n"/>
      <c r="BR568" s="493" t="n"/>
      <c r="BS568" s="493" t="n"/>
      <c r="BT568" s="493" t="n"/>
      <c r="BU568" s="493" t="n"/>
      <c r="BV568" s="493" t="n"/>
      <c r="BW568" s="493" t="n"/>
      <c r="BX568" s="493" t="n"/>
      <c r="BY568" s="493" t="n"/>
      <c r="BZ568" s="493" t="n"/>
      <c r="CA568" s="493" t="n"/>
      <c r="CB568" s="493" t="n"/>
      <c r="CC568" s="493" t="n"/>
      <c r="CD568" s="493" t="n"/>
      <c r="CE568" s="493" t="n"/>
      <c r="CF568" s="493" t="n"/>
      <c r="CG568" s="493" t="n"/>
      <c r="CH568" s="493" t="n"/>
      <c r="CI568" s="493" t="n"/>
      <c r="CJ568" s="493" t="n"/>
      <c r="CK568" s="493" t="n"/>
      <c r="CL568" s="493" t="n"/>
    </row>
    <row r="569" customFormat="1" s="230">
      <c r="E569" s="234" t="n"/>
      <c r="F569" s="492" t="n"/>
      <c r="G569" s="492" t="n"/>
      <c r="H569" s="493" t="n"/>
      <c r="I569" s="492" t="n"/>
      <c r="J569" s="492" t="n"/>
      <c r="K569" s="492" t="n"/>
      <c r="L569" s="492" t="n"/>
      <c r="M569" s="493" t="n"/>
      <c r="N569" s="492" t="n"/>
      <c r="O569" s="492" t="n"/>
      <c r="P569" s="492" t="n"/>
      <c r="Q569" s="492" t="n"/>
      <c r="R569" s="492" t="n"/>
      <c r="S569" s="492" t="n"/>
      <c r="T569" s="492" t="n"/>
      <c r="U569" s="492" t="n"/>
      <c r="V569" s="492" t="n"/>
      <c r="W569" s="492" t="n"/>
      <c r="X569" s="492" t="n"/>
      <c r="Y569" s="492" t="n"/>
      <c r="Z569" s="492" t="n"/>
      <c r="AA569" s="492" t="n"/>
      <c r="AB569" s="492" t="n"/>
      <c r="AC569" s="492" t="n"/>
      <c r="AD569" s="492" t="n"/>
      <c r="AE569" s="493" t="n"/>
      <c r="AF569" s="492" t="n"/>
      <c r="AG569" s="492" t="n"/>
      <c r="AH569" s="492" t="n"/>
      <c r="AI569" s="492" t="n"/>
      <c r="AJ569" s="493" t="n"/>
      <c r="AK569" s="492" t="n"/>
      <c r="AL569" s="492" t="n"/>
      <c r="AM569" s="492" t="n"/>
      <c r="AN569" s="492" t="n"/>
      <c r="AO569" s="492" t="n"/>
      <c r="AP569" s="492" t="n"/>
      <c r="AQ569" s="492" t="n"/>
      <c r="AR569" s="492" t="n"/>
      <c r="AS569" s="492" t="n"/>
      <c r="AT569" s="492" t="n"/>
      <c r="AU569" s="493" t="n"/>
      <c r="AV569" s="492" t="n"/>
      <c r="AW569" s="492" t="n"/>
      <c r="AX569" s="492" t="n"/>
      <c r="AY569" s="492" t="n"/>
      <c r="AZ569" s="492" t="n"/>
      <c r="BA569" s="493" t="n"/>
      <c r="BB569" s="492" t="n"/>
      <c r="BC569" s="492" t="n"/>
      <c r="BD569" s="492" t="n"/>
      <c r="BE569" s="492" t="n"/>
      <c r="BF569" s="493" t="n"/>
      <c r="BG569" s="493" t="n"/>
      <c r="BH569" s="495" t="n"/>
      <c r="BI569" s="496" t="n"/>
      <c r="BJ569" s="496" t="n"/>
      <c r="BK569" s="496" t="n"/>
      <c r="BM569" s="493" t="n"/>
      <c r="BN569" s="493" t="n"/>
      <c r="BO569" s="493" t="n"/>
      <c r="BP569" s="493" t="n"/>
      <c r="BQ569" s="493" t="n"/>
      <c r="BR569" s="493" t="n"/>
      <c r="BS569" s="493" t="n"/>
      <c r="BT569" s="493" t="n"/>
      <c r="BU569" s="493" t="n"/>
      <c r="BV569" s="493" t="n"/>
      <c r="BW569" s="493" t="n"/>
      <c r="BX569" s="493" t="n"/>
      <c r="BY569" s="493" t="n"/>
      <c r="BZ569" s="493" t="n"/>
      <c r="CA569" s="493" t="n"/>
      <c r="CB569" s="493" t="n"/>
      <c r="CC569" s="493" t="n"/>
      <c r="CD569" s="493" t="n"/>
      <c r="CE569" s="493" t="n"/>
      <c r="CF569" s="493" t="n"/>
      <c r="CG569" s="493" t="n"/>
      <c r="CH569" s="493" t="n"/>
      <c r="CI569" s="493" t="n"/>
      <c r="CJ569" s="493" t="n"/>
      <c r="CK569" s="493" t="n"/>
      <c r="CL569" s="493" t="n"/>
    </row>
    <row r="570" customFormat="1" s="230">
      <c r="E570" s="234" t="n"/>
      <c r="F570" s="492" t="n"/>
      <c r="G570" s="492" t="n"/>
      <c r="H570" s="493" t="n"/>
      <c r="I570" s="492" t="n"/>
      <c r="J570" s="492" t="n"/>
      <c r="K570" s="492" t="n"/>
      <c r="L570" s="492" t="n"/>
      <c r="M570" s="493" t="n"/>
      <c r="N570" s="492" t="n"/>
      <c r="O570" s="492" t="n"/>
      <c r="P570" s="492" t="n"/>
      <c r="Q570" s="492" t="n"/>
      <c r="R570" s="492" t="n"/>
      <c r="S570" s="492" t="n"/>
      <c r="T570" s="492" t="n"/>
      <c r="U570" s="492" t="n"/>
      <c r="V570" s="492" t="n"/>
      <c r="W570" s="492" t="n"/>
      <c r="X570" s="492" t="n"/>
      <c r="Y570" s="492" t="n"/>
      <c r="Z570" s="492" t="n"/>
      <c r="AA570" s="492" t="n"/>
      <c r="AB570" s="492" t="n"/>
      <c r="AC570" s="492" t="n"/>
      <c r="AD570" s="492" t="n"/>
      <c r="AE570" s="493" t="n"/>
      <c r="AF570" s="492" t="n"/>
      <c r="AG570" s="492" t="n"/>
      <c r="AH570" s="492" t="n"/>
      <c r="AI570" s="492" t="n"/>
      <c r="AJ570" s="493" t="n"/>
      <c r="AK570" s="492" t="n"/>
      <c r="AL570" s="492" t="n"/>
      <c r="AM570" s="492" t="n"/>
      <c r="AN570" s="492" t="n"/>
      <c r="AO570" s="492" t="n"/>
      <c r="AP570" s="492" t="n"/>
      <c r="AQ570" s="492" t="n"/>
      <c r="AR570" s="492" t="n"/>
      <c r="AS570" s="492" t="n"/>
      <c r="AT570" s="492" t="n"/>
      <c r="AU570" s="493" t="n"/>
      <c r="AV570" s="492" t="n"/>
      <c r="AW570" s="492" t="n"/>
      <c r="AX570" s="492" t="n"/>
      <c r="AY570" s="492" t="n"/>
      <c r="AZ570" s="492" t="n"/>
      <c r="BA570" s="493" t="n"/>
      <c r="BB570" s="492" t="n"/>
      <c r="BC570" s="492" t="n"/>
      <c r="BD570" s="492" t="n"/>
      <c r="BE570" s="492" t="n"/>
      <c r="BF570" s="493" t="n"/>
      <c r="BG570" s="493" t="n"/>
      <c r="BH570" s="495" t="n"/>
      <c r="BI570" s="496" t="n"/>
      <c r="BJ570" s="496" t="n"/>
      <c r="BK570" s="496" t="n"/>
      <c r="BM570" s="493" t="n"/>
      <c r="BN570" s="493" t="n"/>
      <c r="BO570" s="493" t="n"/>
      <c r="BP570" s="493" t="n"/>
      <c r="BQ570" s="493" t="n"/>
      <c r="BR570" s="493" t="n"/>
      <c r="BS570" s="493" t="n"/>
      <c r="BT570" s="493" t="n"/>
      <c r="BU570" s="493" t="n"/>
      <c r="BV570" s="493" t="n"/>
      <c r="BW570" s="493" t="n"/>
      <c r="BX570" s="493" t="n"/>
      <c r="BY570" s="493" t="n"/>
      <c r="BZ570" s="493" t="n"/>
      <c r="CA570" s="493" t="n"/>
      <c r="CB570" s="493" t="n"/>
      <c r="CC570" s="493" t="n"/>
      <c r="CD570" s="493" t="n"/>
      <c r="CE570" s="493" t="n"/>
      <c r="CF570" s="493" t="n"/>
      <c r="CG570" s="493" t="n"/>
      <c r="CH570" s="493" t="n"/>
      <c r="CI570" s="493" t="n"/>
      <c r="CJ570" s="493" t="n"/>
      <c r="CK570" s="493" t="n"/>
      <c r="CL570" s="493" t="n"/>
    </row>
    <row r="571" customFormat="1" s="230">
      <c r="E571" s="234" t="n"/>
      <c r="F571" s="492" t="n"/>
      <c r="G571" s="492" t="n"/>
      <c r="H571" s="493" t="n"/>
      <c r="I571" s="492" t="n"/>
      <c r="J571" s="492" t="n"/>
      <c r="K571" s="492" t="n"/>
      <c r="L571" s="492" t="n"/>
      <c r="M571" s="493" t="n"/>
      <c r="N571" s="492" t="n"/>
      <c r="O571" s="492" t="n"/>
      <c r="P571" s="492" t="n"/>
      <c r="Q571" s="492" t="n"/>
      <c r="R571" s="492" t="n"/>
      <c r="S571" s="492" t="n"/>
      <c r="T571" s="492" t="n"/>
      <c r="U571" s="492" t="n"/>
      <c r="V571" s="492" t="n"/>
      <c r="W571" s="492" t="n"/>
      <c r="X571" s="492" t="n"/>
      <c r="Y571" s="492" t="n"/>
      <c r="Z571" s="492" t="n"/>
      <c r="AA571" s="492" t="n"/>
      <c r="AB571" s="492" t="n"/>
      <c r="AC571" s="492" t="n"/>
      <c r="AD571" s="492" t="n"/>
      <c r="AE571" s="493" t="n"/>
      <c r="AF571" s="492" t="n"/>
      <c r="AG571" s="492" t="n"/>
      <c r="AH571" s="492" t="n"/>
      <c r="AI571" s="492" t="n"/>
      <c r="AJ571" s="493" t="n"/>
      <c r="AK571" s="492" t="n"/>
      <c r="AL571" s="492" t="n"/>
      <c r="AM571" s="492" t="n"/>
      <c r="AN571" s="492" t="n"/>
      <c r="AO571" s="492" t="n"/>
      <c r="AP571" s="492" t="n"/>
      <c r="AQ571" s="492" t="n"/>
      <c r="AR571" s="492" t="n"/>
      <c r="AS571" s="492" t="n"/>
      <c r="AT571" s="492" t="n"/>
      <c r="AU571" s="493" t="n"/>
      <c r="AV571" s="492" t="n"/>
      <c r="AW571" s="492" t="n"/>
      <c r="AX571" s="492" t="n"/>
      <c r="AY571" s="492" t="n"/>
      <c r="AZ571" s="492" t="n"/>
      <c r="BA571" s="493" t="n"/>
      <c r="BB571" s="492" t="n"/>
      <c r="BC571" s="492" t="n"/>
      <c r="BD571" s="492" t="n"/>
      <c r="BE571" s="492" t="n"/>
      <c r="BF571" s="493" t="n"/>
      <c r="BG571" s="493" t="n"/>
      <c r="BH571" s="495" t="n"/>
      <c r="BI571" s="496" t="n"/>
      <c r="BJ571" s="496" t="n"/>
      <c r="BK571" s="496" t="n"/>
      <c r="BM571" s="493" t="n"/>
      <c r="BN571" s="493" t="n"/>
      <c r="BO571" s="493" t="n"/>
      <c r="BP571" s="493" t="n"/>
      <c r="BQ571" s="493" t="n"/>
      <c r="BR571" s="493" t="n"/>
      <c r="BS571" s="493" t="n"/>
      <c r="BT571" s="493" t="n"/>
      <c r="BU571" s="493" t="n"/>
      <c r="BV571" s="493" t="n"/>
      <c r="BW571" s="493" t="n"/>
      <c r="BX571" s="493" t="n"/>
      <c r="BY571" s="493" t="n"/>
      <c r="BZ571" s="493" t="n"/>
      <c r="CA571" s="493" t="n"/>
      <c r="CB571" s="493" t="n"/>
      <c r="CC571" s="493" t="n"/>
      <c r="CD571" s="493" t="n"/>
      <c r="CE571" s="493" t="n"/>
      <c r="CF571" s="493" t="n"/>
      <c r="CG571" s="493" t="n"/>
      <c r="CH571" s="493" t="n"/>
      <c r="CI571" s="493" t="n"/>
      <c r="CJ571" s="493" t="n"/>
      <c r="CK571" s="493" t="n"/>
      <c r="CL571" s="493" t="n"/>
    </row>
    <row r="572" customFormat="1" s="230">
      <c r="E572" s="234" t="n"/>
      <c r="F572" s="492" t="n"/>
      <c r="G572" s="492" t="n"/>
      <c r="H572" s="493" t="n"/>
      <c r="I572" s="492" t="n"/>
      <c r="J572" s="492" t="n"/>
      <c r="K572" s="492" t="n"/>
      <c r="L572" s="492" t="n"/>
      <c r="M572" s="493" t="n"/>
      <c r="N572" s="492" t="n"/>
      <c r="O572" s="492" t="n"/>
      <c r="P572" s="492" t="n"/>
      <c r="Q572" s="492" t="n"/>
      <c r="R572" s="492" t="n"/>
      <c r="S572" s="492" t="n"/>
      <c r="T572" s="492" t="n"/>
      <c r="U572" s="492" t="n"/>
      <c r="V572" s="492" t="n"/>
      <c r="W572" s="492" t="n"/>
      <c r="X572" s="492" t="n"/>
      <c r="Y572" s="492" t="n"/>
      <c r="Z572" s="492" t="n"/>
      <c r="AA572" s="492" t="n"/>
      <c r="AB572" s="492" t="n"/>
      <c r="AC572" s="492" t="n"/>
      <c r="AD572" s="492" t="n"/>
      <c r="AE572" s="493" t="n"/>
      <c r="AF572" s="492" t="n"/>
      <c r="AG572" s="492" t="n"/>
      <c r="AH572" s="492" t="n"/>
      <c r="AI572" s="492" t="n"/>
      <c r="AJ572" s="493" t="n"/>
      <c r="AK572" s="492" t="n"/>
      <c r="AL572" s="492" t="n"/>
      <c r="AM572" s="492" t="n"/>
      <c r="AN572" s="492" t="n"/>
      <c r="AO572" s="492" t="n"/>
      <c r="AP572" s="492" t="n"/>
      <c r="AQ572" s="492" t="n"/>
      <c r="AR572" s="492" t="n"/>
      <c r="AS572" s="492" t="n"/>
      <c r="AT572" s="492" t="n"/>
      <c r="AU572" s="493" t="n"/>
      <c r="AV572" s="492" t="n"/>
      <c r="AW572" s="492" t="n"/>
      <c r="AX572" s="492" t="n"/>
      <c r="AY572" s="492" t="n"/>
      <c r="AZ572" s="492" t="n"/>
      <c r="BA572" s="493" t="n"/>
      <c r="BB572" s="492" t="n"/>
      <c r="BC572" s="492" t="n"/>
      <c r="BD572" s="492" t="n"/>
      <c r="BE572" s="492" t="n"/>
      <c r="BF572" s="493" t="n"/>
      <c r="BG572" s="493" t="n"/>
      <c r="BH572" s="495" t="n"/>
      <c r="BI572" s="496" t="n"/>
      <c r="BJ572" s="496" t="n"/>
      <c r="BK572" s="496" t="n"/>
      <c r="BM572" s="493" t="n"/>
      <c r="BN572" s="493" t="n"/>
      <c r="BO572" s="493" t="n"/>
      <c r="BP572" s="493" t="n"/>
      <c r="BQ572" s="493" t="n"/>
      <c r="BR572" s="493" t="n"/>
      <c r="BS572" s="493" t="n"/>
      <c r="BT572" s="493" t="n"/>
      <c r="BU572" s="493" t="n"/>
      <c r="BV572" s="493" t="n"/>
      <c r="BW572" s="493" t="n"/>
      <c r="BX572" s="493" t="n"/>
      <c r="BY572" s="493" t="n"/>
      <c r="BZ572" s="493" t="n"/>
      <c r="CA572" s="493" t="n"/>
      <c r="CB572" s="493" t="n"/>
      <c r="CC572" s="493" t="n"/>
      <c r="CD572" s="493" t="n"/>
      <c r="CE572" s="493" t="n"/>
      <c r="CF572" s="493" t="n"/>
      <c r="CG572" s="493" t="n"/>
      <c r="CH572" s="493" t="n"/>
      <c r="CI572" s="493" t="n"/>
      <c r="CJ572" s="493" t="n"/>
      <c r="CK572" s="493" t="n"/>
      <c r="CL572" s="493" t="n"/>
    </row>
    <row r="573" customFormat="1" s="230">
      <c r="E573" s="234" t="n"/>
      <c r="F573" s="492" t="n"/>
      <c r="G573" s="492" t="n"/>
      <c r="H573" s="493" t="n"/>
      <c r="I573" s="492" t="n"/>
      <c r="J573" s="492" t="n"/>
      <c r="K573" s="492" t="n"/>
      <c r="L573" s="492" t="n"/>
      <c r="M573" s="493" t="n"/>
      <c r="N573" s="492" t="n"/>
      <c r="O573" s="492" t="n"/>
      <c r="P573" s="492" t="n"/>
      <c r="Q573" s="492" t="n"/>
      <c r="R573" s="492" t="n"/>
      <c r="S573" s="492" t="n"/>
      <c r="T573" s="492" t="n"/>
      <c r="U573" s="492" t="n"/>
      <c r="V573" s="492" t="n"/>
      <c r="W573" s="492" t="n"/>
      <c r="X573" s="492" t="n"/>
      <c r="Y573" s="492" t="n"/>
      <c r="Z573" s="492" t="n"/>
      <c r="AA573" s="492" t="n"/>
      <c r="AB573" s="492" t="n"/>
      <c r="AC573" s="492" t="n"/>
      <c r="AD573" s="492" t="n"/>
      <c r="AE573" s="493" t="n"/>
      <c r="AF573" s="492" t="n"/>
      <c r="AG573" s="492" t="n"/>
      <c r="AH573" s="492" t="n"/>
      <c r="AI573" s="492" t="n"/>
      <c r="AJ573" s="493" t="n"/>
      <c r="AK573" s="492" t="n"/>
      <c r="AL573" s="492" t="n"/>
      <c r="AM573" s="492" t="n"/>
      <c r="AN573" s="492" t="n"/>
      <c r="AO573" s="492" t="n"/>
      <c r="AP573" s="492" t="n"/>
      <c r="AQ573" s="492" t="n"/>
      <c r="AR573" s="492" t="n"/>
      <c r="AS573" s="492" t="n"/>
      <c r="AT573" s="492" t="n"/>
      <c r="AU573" s="493" t="n"/>
      <c r="AV573" s="492" t="n"/>
      <c r="AW573" s="492" t="n"/>
      <c r="AX573" s="492" t="n"/>
      <c r="AY573" s="492" t="n"/>
      <c r="AZ573" s="492" t="n"/>
      <c r="BA573" s="493" t="n"/>
      <c r="BB573" s="492" t="n"/>
      <c r="BC573" s="492" t="n"/>
      <c r="BD573" s="492" t="n"/>
      <c r="BE573" s="492" t="n"/>
      <c r="BF573" s="493" t="n"/>
      <c r="BG573" s="493" t="n"/>
      <c r="BH573" s="495" t="n"/>
      <c r="BI573" s="496" t="n"/>
      <c r="BJ573" s="496" t="n"/>
      <c r="BK573" s="496" t="n"/>
      <c r="BM573" s="493" t="n"/>
      <c r="BN573" s="493" t="n"/>
      <c r="BO573" s="493" t="n"/>
      <c r="BP573" s="493" t="n"/>
      <c r="BQ573" s="493" t="n"/>
      <c r="BR573" s="493" t="n"/>
      <c r="BS573" s="493" t="n"/>
      <c r="BT573" s="493" t="n"/>
      <c r="BU573" s="493" t="n"/>
      <c r="BV573" s="493" t="n"/>
      <c r="BW573" s="493" t="n"/>
      <c r="BX573" s="493" t="n"/>
      <c r="BY573" s="493" t="n"/>
      <c r="BZ573" s="493" t="n"/>
      <c r="CA573" s="493" t="n"/>
      <c r="CB573" s="493" t="n"/>
      <c r="CC573" s="493" t="n"/>
      <c r="CD573" s="493" t="n"/>
      <c r="CE573" s="493" t="n"/>
      <c r="CF573" s="493" t="n"/>
      <c r="CG573" s="493" t="n"/>
      <c r="CH573" s="493" t="n"/>
      <c r="CI573" s="493" t="n"/>
      <c r="CJ573" s="493" t="n"/>
      <c r="CK573" s="493" t="n"/>
      <c r="CL573" s="493" t="n"/>
    </row>
    <row r="574" customFormat="1" s="230">
      <c r="E574" s="234" t="n"/>
      <c r="F574" s="492" t="n"/>
      <c r="G574" s="492" t="n"/>
      <c r="H574" s="493" t="n"/>
      <c r="I574" s="492" t="n"/>
      <c r="J574" s="492" t="n"/>
      <c r="K574" s="492" t="n"/>
      <c r="L574" s="492" t="n"/>
      <c r="M574" s="493" t="n"/>
      <c r="N574" s="492" t="n"/>
      <c r="O574" s="492" t="n"/>
      <c r="P574" s="492" t="n"/>
      <c r="Q574" s="492" t="n"/>
      <c r="R574" s="492" t="n"/>
      <c r="S574" s="492" t="n"/>
      <c r="T574" s="492" t="n"/>
      <c r="U574" s="492" t="n"/>
      <c r="V574" s="492" t="n"/>
      <c r="W574" s="492" t="n"/>
      <c r="X574" s="492" t="n"/>
      <c r="Y574" s="492" t="n"/>
      <c r="Z574" s="492" t="n"/>
      <c r="AA574" s="492" t="n"/>
      <c r="AB574" s="492" t="n"/>
      <c r="AC574" s="492" t="n"/>
      <c r="AD574" s="492" t="n"/>
      <c r="AE574" s="493" t="n"/>
      <c r="AF574" s="492" t="n"/>
      <c r="AG574" s="492" t="n"/>
      <c r="AH574" s="492" t="n"/>
      <c r="AI574" s="492" t="n"/>
      <c r="AJ574" s="493" t="n"/>
      <c r="AK574" s="492" t="n"/>
      <c r="AL574" s="492" t="n"/>
      <c r="AM574" s="492" t="n"/>
      <c r="AN574" s="492" t="n"/>
      <c r="AO574" s="492" t="n"/>
      <c r="AP574" s="492" t="n"/>
      <c r="AQ574" s="492" t="n"/>
      <c r="AR574" s="492" t="n"/>
      <c r="AS574" s="492" t="n"/>
      <c r="AT574" s="492" t="n"/>
      <c r="AU574" s="493" t="n"/>
      <c r="AV574" s="492" t="n"/>
      <c r="AW574" s="492" t="n"/>
      <c r="AX574" s="492" t="n"/>
      <c r="AY574" s="492" t="n"/>
      <c r="AZ574" s="492" t="n"/>
      <c r="BA574" s="493" t="n"/>
      <c r="BB574" s="492" t="n"/>
      <c r="BC574" s="492" t="n"/>
      <c r="BD574" s="492" t="n"/>
      <c r="BE574" s="492" t="n"/>
      <c r="BF574" s="493" t="n"/>
      <c r="BG574" s="493" t="n"/>
      <c r="BH574" s="495" t="n"/>
      <c r="BI574" s="496" t="n"/>
      <c r="BJ574" s="496" t="n"/>
      <c r="BK574" s="496" t="n"/>
      <c r="BM574" s="493" t="n"/>
      <c r="BN574" s="493" t="n"/>
      <c r="BO574" s="493" t="n"/>
      <c r="BP574" s="493" t="n"/>
      <c r="BQ574" s="493" t="n"/>
      <c r="BR574" s="493" t="n"/>
      <c r="BS574" s="493" t="n"/>
      <c r="BT574" s="493" t="n"/>
      <c r="BU574" s="493" t="n"/>
      <c r="BV574" s="493" t="n"/>
      <c r="BW574" s="493" t="n"/>
      <c r="BX574" s="493" t="n"/>
      <c r="BY574" s="493" t="n"/>
      <c r="BZ574" s="493" t="n"/>
      <c r="CA574" s="493" t="n"/>
      <c r="CB574" s="493" t="n"/>
      <c r="CC574" s="493" t="n"/>
      <c r="CD574" s="493" t="n"/>
      <c r="CE574" s="493" t="n"/>
      <c r="CF574" s="493" t="n"/>
      <c r="CG574" s="493" t="n"/>
      <c r="CH574" s="493" t="n"/>
      <c r="CI574" s="493" t="n"/>
      <c r="CJ574" s="493" t="n"/>
      <c r="CK574" s="493" t="n"/>
      <c r="CL574" s="493" t="n"/>
    </row>
    <row r="575" customFormat="1" s="230">
      <c r="E575" s="234" t="n"/>
      <c r="F575" s="492" t="n"/>
      <c r="G575" s="492" t="n"/>
      <c r="H575" s="493" t="n"/>
      <c r="I575" s="492" t="n"/>
      <c r="J575" s="492" t="n"/>
      <c r="K575" s="492" t="n"/>
      <c r="L575" s="492" t="n"/>
      <c r="M575" s="493" t="n"/>
      <c r="N575" s="492" t="n"/>
      <c r="O575" s="492" t="n"/>
      <c r="P575" s="492" t="n"/>
      <c r="Q575" s="492" t="n"/>
      <c r="R575" s="492" t="n"/>
      <c r="S575" s="492" t="n"/>
      <c r="T575" s="492" t="n"/>
      <c r="U575" s="492" t="n"/>
      <c r="V575" s="492" t="n"/>
      <c r="W575" s="492" t="n"/>
      <c r="X575" s="492" t="n"/>
      <c r="Y575" s="492" t="n"/>
      <c r="Z575" s="492" t="n"/>
      <c r="AA575" s="492" t="n"/>
      <c r="AB575" s="492" t="n"/>
      <c r="AC575" s="492" t="n"/>
      <c r="AD575" s="492" t="n"/>
      <c r="AE575" s="493" t="n"/>
      <c r="AF575" s="492" t="n"/>
      <c r="AG575" s="492" t="n"/>
      <c r="AH575" s="492" t="n"/>
      <c r="AI575" s="492" t="n"/>
      <c r="AJ575" s="493" t="n"/>
      <c r="AK575" s="492" t="n"/>
      <c r="AL575" s="492" t="n"/>
      <c r="AM575" s="492" t="n"/>
      <c r="AN575" s="492" t="n"/>
      <c r="AO575" s="492" t="n"/>
      <c r="AP575" s="492" t="n"/>
      <c r="AQ575" s="492" t="n"/>
      <c r="AR575" s="492" t="n"/>
      <c r="AS575" s="492" t="n"/>
      <c r="AT575" s="492" t="n"/>
      <c r="AU575" s="493" t="n"/>
      <c r="AV575" s="492" t="n"/>
      <c r="AW575" s="492" t="n"/>
      <c r="AX575" s="492" t="n"/>
      <c r="AY575" s="492" t="n"/>
      <c r="AZ575" s="492" t="n"/>
      <c r="BA575" s="493" t="n"/>
      <c r="BB575" s="492" t="n"/>
      <c r="BC575" s="492" t="n"/>
      <c r="BD575" s="492" t="n"/>
      <c r="BE575" s="492" t="n"/>
      <c r="BF575" s="493" t="n"/>
      <c r="BG575" s="493" t="n"/>
      <c r="BH575" s="495" t="n"/>
      <c r="BI575" s="496" t="n"/>
      <c r="BJ575" s="496" t="n"/>
      <c r="BK575" s="496" t="n"/>
      <c r="BM575" s="493" t="n"/>
      <c r="BN575" s="493" t="n"/>
      <c r="BO575" s="493" t="n"/>
      <c r="BP575" s="493" t="n"/>
      <c r="BQ575" s="493" t="n"/>
      <c r="BR575" s="493" t="n"/>
      <c r="BS575" s="493" t="n"/>
      <c r="BT575" s="493" t="n"/>
      <c r="BU575" s="493" t="n"/>
      <c r="BV575" s="493" t="n"/>
      <c r="BW575" s="493" t="n"/>
      <c r="BX575" s="493" t="n"/>
      <c r="BY575" s="493" t="n"/>
      <c r="BZ575" s="493" t="n"/>
      <c r="CA575" s="493" t="n"/>
      <c r="CB575" s="493" t="n"/>
      <c r="CC575" s="493" t="n"/>
      <c r="CD575" s="493" t="n"/>
      <c r="CE575" s="493" t="n"/>
      <c r="CF575" s="493" t="n"/>
      <c r="CG575" s="493" t="n"/>
      <c r="CH575" s="493" t="n"/>
      <c r="CI575" s="493" t="n"/>
      <c r="CJ575" s="493" t="n"/>
      <c r="CK575" s="493" t="n"/>
      <c r="CL575" s="493" t="n"/>
    </row>
    <row r="576" customFormat="1" s="230">
      <c r="E576" s="234" t="n"/>
      <c r="F576" s="492" t="n"/>
      <c r="G576" s="492" t="n"/>
      <c r="H576" s="493" t="n"/>
      <c r="I576" s="492" t="n"/>
      <c r="J576" s="492" t="n"/>
      <c r="K576" s="492" t="n"/>
      <c r="L576" s="492" t="n"/>
      <c r="M576" s="493" t="n"/>
      <c r="N576" s="492" t="n"/>
      <c r="O576" s="492" t="n"/>
      <c r="P576" s="492" t="n"/>
      <c r="Q576" s="492" t="n"/>
      <c r="R576" s="492" t="n"/>
      <c r="S576" s="492" t="n"/>
      <c r="T576" s="492" t="n"/>
      <c r="U576" s="492" t="n"/>
      <c r="V576" s="492" t="n"/>
      <c r="W576" s="492" t="n"/>
      <c r="X576" s="492" t="n"/>
      <c r="Y576" s="492" t="n"/>
      <c r="Z576" s="492" t="n"/>
      <c r="AA576" s="492" t="n"/>
      <c r="AB576" s="492" t="n"/>
      <c r="AC576" s="492" t="n"/>
      <c r="AD576" s="492" t="n"/>
      <c r="AE576" s="493" t="n"/>
      <c r="AF576" s="492" t="n"/>
      <c r="AG576" s="492" t="n"/>
      <c r="AH576" s="492" t="n"/>
      <c r="AI576" s="492" t="n"/>
      <c r="AJ576" s="493" t="n"/>
      <c r="AK576" s="492" t="n"/>
      <c r="AL576" s="492" t="n"/>
      <c r="AM576" s="492" t="n"/>
      <c r="AN576" s="492" t="n"/>
      <c r="AO576" s="492" t="n"/>
      <c r="AP576" s="492" t="n"/>
      <c r="AQ576" s="492" t="n"/>
      <c r="AR576" s="492" t="n"/>
      <c r="AS576" s="492" t="n"/>
      <c r="AT576" s="492" t="n"/>
      <c r="AU576" s="493" t="n"/>
      <c r="AV576" s="492" t="n"/>
      <c r="AW576" s="492" t="n"/>
      <c r="AX576" s="492" t="n"/>
      <c r="AY576" s="492" t="n"/>
      <c r="AZ576" s="492" t="n"/>
      <c r="BA576" s="493" t="n"/>
      <c r="BB576" s="492" t="n"/>
      <c r="BC576" s="492" t="n"/>
      <c r="BD576" s="492" t="n"/>
      <c r="BE576" s="492" t="n"/>
      <c r="BF576" s="493" t="n"/>
      <c r="BG576" s="493" t="n"/>
      <c r="BH576" s="495" t="n"/>
      <c r="BI576" s="496" t="n"/>
      <c r="BJ576" s="496" t="n"/>
      <c r="BK576" s="496" t="n"/>
      <c r="BM576" s="493" t="n"/>
      <c r="BN576" s="493" t="n"/>
      <c r="BO576" s="493" t="n"/>
      <c r="BP576" s="493" t="n"/>
      <c r="BQ576" s="493" t="n"/>
      <c r="BR576" s="493" t="n"/>
      <c r="BS576" s="493" t="n"/>
      <c r="BT576" s="493" t="n"/>
      <c r="BU576" s="493" t="n"/>
      <c r="BV576" s="493" t="n"/>
      <c r="BW576" s="493" t="n"/>
      <c r="BX576" s="493" t="n"/>
      <c r="BY576" s="493" t="n"/>
      <c r="BZ576" s="493" t="n"/>
      <c r="CA576" s="493" t="n"/>
      <c r="CB576" s="493" t="n"/>
      <c r="CC576" s="493" t="n"/>
      <c r="CD576" s="493" t="n"/>
      <c r="CE576" s="493" t="n"/>
      <c r="CF576" s="493" t="n"/>
      <c r="CG576" s="493" t="n"/>
      <c r="CH576" s="493" t="n"/>
      <c r="CI576" s="493" t="n"/>
      <c r="CJ576" s="493" t="n"/>
      <c r="CK576" s="493" t="n"/>
      <c r="CL576" s="493" t="n"/>
    </row>
    <row r="577" customFormat="1" s="230">
      <c r="E577" s="234" t="n"/>
      <c r="F577" s="492" t="n"/>
      <c r="G577" s="492" t="n"/>
      <c r="H577" s="493" t="n"/>
      <c r="I577" s="492" t="n"/>
      <c r="J577" s="492" t="n"/>
      <c r="K577" s="492" t="n"/>
      <c r="L577" s="492" t="n"/>
      <c r="M577" s="493" t="n"/>
      <c r="N577" s="492" t="n"/>
      <c r="O577" s="492" t="n"/>
      <c r="P577" s="492" t="n"/>
      <c r="Q577" s="492" t="n"/>
      <c r="R577" s="492" t="n"/>
      <c r="S577" s="492" t="n"/>
      <c r="T577" s="492" t="n"/>
      <c r="U577" s="492" t="n"/>
      <c r="V577" s="492" t="n"/>
      <c r="W577" s="492" t="n"/>
      <c r="X577" s="492" t="n"/>
      <c r="Y577" s="492" t="n"/>
      <c r="Z577" s="492" t="n"/>
      <c r="AA577" s="492" t="n"/>
      <c r="AB577" s="492" t="n"/>
      <c r="AC577" s="492" t="n"/>
      <c r="AD577" s="492" t="n"/>
      <c r="AE577" s="493" t="n"/>
      <c r="AF577" s="492" t="n"/>
      <c r="AG577" s="492" t="n"/>
      <c r="AH577" s="492" t="n"/>
      <c r="AI577" s="492" t="n"/>
      <c r="AJ577" s="493" t="n"/>
      <c r="AK577" s="492" t="n"/>
      <c r="AL577" s="492" t="n"/>
      <c r="AM577" s="492" t="n"/>
      <c r="AN577" s="492" t="n"/>
      <c r="AO577" s="492" t="n"/>
      <c r="AP577" s="492" t="n"/>
      <c r="AQ577" s="492" t="n"/>
      <c r="AR577" s="492" t="n"/>
      <c r="AS577" s="492" t="n"/>
      <c r="AT577" s="492" t="n"/>
      <c r="AU577" s="493" t="n"/>
      <c r="AV577" s="492" t="n"/>
      <c r="AW577" s="492" t="n"/>
      <c r="AX577" s="492" t="n"/>
      <c r="AY577" s="492" t="n"/>
      <c r="AZ577" s="492" t="n"/>
      <c r="BA577" s="493" t="n"/>
      <c r="BB577" s="492" t="n"/>
      <c r="BC577" s="492" t="n"/>
      <c r="BD577" s="492" t="n"/>
      <c r="BE577" s="492" t="n"/>
      <c r="BF577" s="493" t="n"/>
      <c r="BG577" s="493" t="n"/>
      <c r="BH577" s="495" t="n"/>
      <c r="BI577" s="496" t="n"/>
      <c r="BJ577" s="496" t="n"/>
      <c r="BK577" s="496" t="n"/>
      <c r="BM577" s="493" t="n"/>
      <c r="BN577" s="493" t="n"/>
      <c r="BO577" s="493" t="n"/>
      <c r="BP577" s="493" t="n"/>
      <c r="BQ577" s="493" t="n"/>
      <c r="BR577" s="493" t="n"/>
      <c r="BS577" s="493" t="n"/>
      <c r="BT577" s="493" t="n"/>
      <c r="BU577" s="493" t="n"/>
      <c r="BV577" s="493" t="n"/>
      <c r="BW577" s="493" t="n"/>
      <c r="BX577" s="493" t="n"/>
      <c r="BY577" s="493" t="n"/>
      <c r="BZ577" s="493" t="n"/>
      <c r="CA577" s="493" t="n"/>
      <c r="CB577" s="493" t="n"/>
      <c r="CC577" s="493" t="n"/>
      <c r="CD577" s="493" t="n"/>
      <c r="CE577" s="493" t="n"/>
      <c r="CF577" s="493" t="n"/>
      <c r="CG577" s="493" t="n"/>
      <c r="CH577" s="493" t="n"/>
      <c r="CI577" s="493" t="n"/>
      <c r="CJ577" s="493" t="n"/>
      <c r="CK577" s="493" t="n"/>
      <c r="CL577" s="493" t="n"/>
    </row>
    <row r="578" customFormat="1" s="230">
      <c r="E578" s="234" t="n"/>
      <c r="F578" s="492" t="n"/>
      <c r="G578" s="492" t="n"/>
      <c r="H578" s="493" t="n"/>
      <c r="I578" s="492" t="n"/>
      <c r="J578" s="492" t="n"/>
      <c r="K578" s="492" t="n"/>
      <c r="L578" s="492" t="n"/>
      <c r="M578" s="493" t="n"/>
      <c r="N578" s="492" t="n"/>
      <c r="O578" s="492" t="n"/>
      <c r="P578" s="492" t="n"/>
      <c r="Q578" s="492" t="n"/>
      <c r="R578" s="492" t="n"/>
      <c r="S578" s="492" t="n"/>
      <c r="T578" s="492" t="n"/>
      <c r="U578" s="492" t="n"/>
      <c r="V578" s="492" t="n"/>
      <c r="W578" s="492" t="n"/>
      <c r="X578" s="492" t="n"/>
      <c r="Y578" s="492" t="n"/>
      <c r="Z578" s="492" t="n"/>
      <c r="AA578" s="492" t="n"/>
      <c r="AB578" s="492" t="n"/>
      <c r="AC578" s="492" t="n"/>
      <c r="AD578" s="492" t="n"/>
      <c r="AE578" s="493" t="n"/>
      <c r="AF578" s="492" t="n"/>
      <c r="AG578" s="492" t="n"/>
      <c r="AH578" s="492" t="n"/>
      <c r="AI578" s="492" t="n"/>
      <c r="AJ578" s="493" t="n"/>
      <c r="AK578" s="492" t="n"/>
      <c r="AL578" s="492" t="n"/>
      <c r="AM578" s="492" t="n"/>
      <c r="AN578" s="492" t="n"/>
      <c r="AO578" s="492" t="n"/>
      <c r="AP578" s="492" t="n"/>
      <c r="AQ578" s="492" t="n"/>
      <c r="AR578" s="492" t="n"/>
      <c r="AS578" s="492" t="n"/>
      <c r="AT578" s="492" t="n"/>
      <c r="AU578" s="493" t="n"/>
      <c r="AV578" s="492" t="n"/>
      <c r="AW578" s="492" t="n"/>
      <c r="AX578" s="492" t="n"/>
      <c r="AY578" s="492" t="n"/>
      <c r="AZ578" s="492" t="n"/>
      <c r="BA578" s="493" t="n"/>
      <c r="BB578" s="492" t="n"/>
      <c r="BC578" s="492" t="n"/>
      <c r="BD578" s="492" t="n"/>
      <c r="BE578" s="492" t="n"/>
      <c r="BF578" s="493" t="n"/>
      <c r="BG578" s="493" t="n"/>
      <c r="BH578" s="495" t="n"/>
      <c r="BI578" s="496" t="n"/>
      <c r="BJ578" s="496" t="n"/>
      <c r="BK578" s="496" t="n"/>
      <c r="BM578" s="493" t="n"/>
      <c r="BN578" s="493" t="n"/>
      <c r="BO578" s="493" t="n"/>
      <c r="BP578" s="493" t="n"/>
      <c r="BQ578" s="493" t="n"/>
      <c r="BR578" s="493" t="n"/>
      <c r="BS578" s="493" t="n"/>
      <c r="BT578" s="493" t="n"/>
      <c r="BU578" s="493" t="n"/>
      <c r="BV578" s="493" t="n"/>
      <c r="BW578" s="493" t="n"/>
      <c r="BX578" s="493" t="n"/>
      <c r="BY578" s="493" t="n"/>
      <c r="BZ578" s="493" t="n"/>
      <c r="CA578" s="493" t="n"/>
      <c r="CB578" s="493" t="n"/>
      <c r="CC578" s="493" t="n"/>
      <c r="CD578" s="493" t="n"/>
      <c r="CE578" s="493" t="n"/>
      <c r="CF578" s="493" t="n"/>
      <c r="CG578" s="493" t="n"/>
      <c r="CH578" s="493" t="n"/>
      <c r="CI578" s="493" t="n"/>
      <c r="CJ578" s="493" t="n"/>
      <c r="CK578" s="493" t="n"/>
      <c r="CL578" s="493" t="n"/>
    </row>
    <row r="579" customFormat="1" s="230">
      <c r="E579" s="234" t="n"/>
      <c r="F579" s="492" t="n"/>
      <c r="G579" s="492" t="n"/>
      <c r="H579" s="493" t="n"/>
      <c r="I579" s="492" t="n"/>
      <c r="J579" s="492" t="n"/>
      <c r="K579" s="492" t="n"/>
      <c r="L579" s="492" t="n"/>
      <c r="M579" s="493" t="n"/>
      <c r="N579" s="492" t="n"/>
      <c r="O579" s="492" t="n"/>
      <c r="P579" s="492" t="n"/>
      <c r="Q579" s="492" t="n"/>
      <c r="R579" s="492" t="n"/>
      <c r="S579" s="492" t="n"/>
      <c r="T579" s="492" t="n"/>
      <c r="U579" s="492" t="n"/>
      <c r="V579" s="492" t="n"/>
      <c r="W579" s="492" t="n"/>
      <c r="X579" s="492" t="n"/>
      <c r="Y579" s="492" t="n"/>
      <c r="Z579" s="492" t="n"/>
      <c r="AA579" s="492" t="n"/>
      <c r="AB579" s="492" t="n"/>
      <c r="AC579" s="492" t="n"/>
      <c r="AD579" s="492" t="n"/>
      <c r="AE579" s="493" t="n"/>
      <c r="AF579" s="492" t="n"/>
      <c r="AG579" s="492" t="n"/>
      <c r="AH579" s="492" t="n"/>
      <c r="AI579" s="492" t="n"/>
      <c r="AJ579" s="493" t="n"/>
      <c r="AK579" s="492" t="n"/>
      <c r="AL579" s="492" t="n"/>
      <c r="AM579" s="492" t="n"/>
      <c r="AN579" s="492" t="n"/>
      <c r="AO579" s="492" t="n"/>
      <c r="AP579" s="492" t="n"/>
      <c r="AQ579" s="492" t="n"/>
      <c r="AR579" s="492" t="n"/>
      <c r="AS579" s="492" t="n"/>
      <c r="AT579" s="492" t="n"/>
      <c r="AU579" s="493" t="n"/>
      <c r="AV579" s="492" t="n"/>
      <c r="AW579" s="492" t="n"/>
      <c r="AX579" s="492" t="n"/>
      <c r="AY579" s="492" t="n"/>
      <c r="AZ579" s="492" t="n"/>
      <c r="BA579" s="493" t="n"/>
      <c r="BB579" s="492" t="n"/>
      <c r="BC579" s="492" t="n"/>
      <c r="BD579" s="492" t="n"/>
      <c r="BE579" s="492" t="n"/>
      <c r="BF579" s="493" t="n"/>
      <c r="BG579" s="493" t="n"/>
      <c r="BH579" s="495" t="n"/>
      <c r="BI579" s="496" t="n"/>
      <c r="BJ579" s="496" t="n"/>
      <c r="BK579" s="496" t="n"/>
      <c r="BM579" s="493" t="n"/>
      <c r="BN579" s="493" t="n"/>
      <c r="BO579" s="493" t="n"/>
      <c r="BP579" s="493" t="n"/>
      <c r="BQ579" s="493" t="n"/>
      <c r="BR579" s="493" t="n"/>
      <c r="BS579" s="493" t="n"/>
      <c r="BT579" s="493" t="n"/>
      <c r="BU579" s="493" t="n"/>
      <c r="BV579" s="493" t="n"/>
      <c r="BW579" s="493" t="n"/>
      <c r="BX579" s="493" t="n"/>
      <c r="BY579" s="493" t="n"/>
      <c r="BZ579" s="493" t="n"/>
      <c r="CA579" s="493" t="n"/>
      <c r="CB579" s="493" t="n"/>
      <c r="CC579" s="493" t="n"/>
      <c r="CD579" s="493" t="n"/>
      <c r="CE579" s="493" t="n"/>
      <c r="CF579" s="493" t="n"/>
      <c r="CG579" s="493" t="n"/>
      <c r="CH579" s="493" t="n"/>
      <c r="CI579" s="493" t="n"/>
      <c r="CJ579" s="493" t="n"/>
      <c r="CK579" s="493" t="n"/>
      <c r="CL579" s="493" t="n"/>
    </row>
    <row r="580" customFormat="1" s="230">
      <c r="E580" s="234" t="n"/>
      <c r="F580" s="492" t="n"/>
      <c r="G580" s="492" t="n"/>
      <c r="H580" s="493" t="n"/>
      <c r="I580" s="492" t="n"/>
      <c r="J580" s="492" t="n"/>
      <c r="K580" s="492" t="n"/>
      <c r="L580" s="492" t="n"/>
      <c r="M580" s="493" t="n"/>
      <c r="N580" s="492" t="n"/>
      <c r="O580" s="492" t="n"/>
      <c r="P580" s="492" t="n"/>
      <c r="Q580" s="492" t="n"/>
      <c r="R580" s="492" t="n"/>
      <c r="S580" s="492" t="n"/>
      <c r="T580" s="492" t="n"/>
      <c r="U580" s="492" t="n"/>
      <c r="V580" s="492" t="n"/>
      <c r="W580" s="492" t="n"/>
      <c r="X580" s="492" t="n"/>
      <c r="Y580" s="492" t="n"/>
      <c r="Z580" s="492" t="n"/>
      <c r="AA580" s="492" t="n"/>
      <c r="AB580" s="492" t="n"/>
      <c r="AC580" s="492" t="n"/>
      <c r="AD580" s="492" t="n"/>
      <c r="AE580" s="493" t="n"/>
      <c r="AF580" s="492" t="n"/>
      <c r="AG580" s="492" t="n"/>
      <c r="AH580" s="492" t="n"/>
      <c r="AI580" s="492" t="n"/>
      <c r="AJ580" s="493" t="n"/>
      <c r="AK580" s="492" t="n"/>
      <c r="AL580" s="492" t="n"/>
      <c r="AM580" s="492" t="n"/>
      <c r="AN580" s="492" t="n"/>
      <c r="AO580" s="492" t="n"/>
      <c r="AP580" s="492" t="n"/>
      <c r="AQ580" s="492" t="n"/>
      <c r="AR580" s="492" t="n"/>
      <c r="AS580" s="492" t="n"/>
      <c r="AT580" s="492" t="n"/>
      <c r="AU580" s="493" t="n"/>
      <c r="AV580" s="492" t="n"/>
      <c r="AW580" s="492" t="n"/>
      <c r="AX580" s="492" t="n"/>
      <c r="AY580" s="492" t="n"/>
      <c r="AZ580" s="492" t="n"/>
      <c r="BA580" s="493" t="n"/>
      <c r="BB580" s="492" t="n"/>
      <c r="BC580" s="492" t="n"/>
      <c r="BD580" s="492" t="n"/>
      <c r="BE580" s="492" t="n"/>
      <c r="BF580" s="493" t="n"/>
      <c r="BG580" s="493" t="n"/>
      <c r="BH580" s="495" t="n"/>
      <c r="BI580" s="496" t="n"/>
      <c r="BJ580" s="496" t="n"/>
      <c r="BK580" s="496" t="n"/>
      <c r="BM580" s="493" t="n"/>
      <c r="BN580" s="493" t="n"/>
      <c r="BO580" s="493" t="n"/>
      <c r="BP580" s="493" t="n"/>
      <c r="BQ580" s="493" t="n"/>
      <c r="BR580" s="493" t="n"/>
      <c r="BS580" s="493" t="n"/>
      <c r="BT580" s="493" t="n"/>
      <c r="BU580" s="493" t="n"/>
      <c r="BV580" s="493" t="n"/>
      <c r="BW580" s="493" t="n"/>
      <c r="BX580" s="493" t="n"/>
      <c r="BY580" s="493" t="n"/>
      <c r="BZ580" s="493" t="n"/>
      <c r="CA580" s="493" t="n"/>
      <c r="CB580" s="493" t="n"/>
      <c r="CC580" s="493" t="n"/>
      <c r="CD580" s="493" t="n"/>
      <c r="CE580" s="493" t="n"/>
      <c r="CF580" s="493" t="n"/>
      <c r="CG580" s="493" t="n"/>
      <c r="CH580" s="493" t="n"/>
      <c r="CI580" s="493" t="n"/>
      <c r="CJ580" s="493" t="n"/>
      <c r="CK580" s="493" t="n"/>
      <c r="CL580" s="493" t="n"/>
    </row>
    <row r="581" customFormat="1" s="230">
      <c r="E581" s="234" t="n"/>
      <c r="F581" s="492" t="n"/>
      <c r="G581" s="492" t="n"/>
      <c r="H581" s="493" t="n"/>
      <c r="I581" s="492" t="n"/>
      <c r="J581" s="492" t="n"/>
      <c r="K581" s="492" t="n"/>
      <c r="L581" s="492" t="n"/>
      <c r="M581" s="493" t="n"/>
      <c r="N581" s="492" t="n"/>
      <c r="O581" s="492" t="n"/>
      <c r="P581" s="492" t="n"/>
      <c r="Q581" s="492" t="n"/>
      <c r="R581" s="492" t="n"/>
      <c r="S581" s="492" t="n"/>
      <c r="T581" s="492" t="n"/>
      <c r="U581" s="492" t="n"/>
      <c r="V581" s="492" t="n"/>
      <c r="W581" s="492" t="n"/>
      <c r="X581" s="492" t="n"/>
      <c r="Y581" s="492" t="n"/>
      <c r="Z581" s="492" t="n"/>
      <c r="AA581" s="492" t="n"/>
      <c r="AB581" s="492" t="n"/>
      <c r="AC581" s="492" t="n"/>
      <c r="AD581" s="492" t="n"/>
      <c r="AE581" s="493" t="n"/>
      <c r="AF581" s="492" t="n"/>
      <c r="AG581" s="492" t="n"/>
      <c r="AH581" s="492" t="n"/>
      <c r="AI581" s="492" t="n"/>
      <c r="AJ581" s="493" t="n"/>
      <c r="AK581" s="492" t="n"/>
      <c r="AL581" s="492" t="n"/>
      <c r="AM581" s="492" t="n"/>
      <c r="AN581" s="492" t="n"/>
      <c r="AO581" s="492" t="n"/>
      <c r="AP581" s="492" t="n"/>
      <c r="AQ581" s="492" t="n"/>
      <c r="AR581" s="492" t="n"/>
      <c r="AS581" s="492" t="n"/>
      <c r="AT581" s="492" t="n"/>
      <c r="AU581" s="493" t="n"/>
      <c r="AV581" s="492" t="n"/>
      <c r="AW581" s="492" t="n"/>
      <c r="AX581" s="492" t="n"/>
      <c r="AY581" s="492" t="n"/>
      <c r="AZ581" s="492" t="n"/>
      <c r="BA581" s="493" t="n"/>
      <c r="BB581" s="492" t="n"/>
      <c r="BC581" s="492" t="n"/>
      <c r="BD581" s="492" t="n"/>
      <c r="BE581" s="492" t="n"/>
      <c r="BF581" s="493" t="n"/>
      <c r="BG581" s="493" t="n"/>
      <c r="BH581" s="495" t="n"/>
      <c r="BI581" s="496" t="n"/>
      <c r="BJ581" s="496" t="n"/>
      <c r="BK581" s="496" t="n"/>
      <c r="BM581" s="493" t="n"/>
      <c r="BN581" s="493" t="n"/>
      <c r="BO581" s="493" t="n"/>
      <c r="BP581" s="493" t="n"/>
      <c r="BQ581" s="493" t="n"/>
      <c r="BR581" s="493" t="n"/>
      <c r="BS581" s="493" t="n"/>
      <c r="BT581" s="493" t="n"/>
      <c r="BU581" s="493" t="n"/>
      <c r="BV581" s="493" t="n"/>
      <c r="BW581" s="493" t="n"/>
      <c r="BX581" s="493" t="n"/>
      <c r="BY581" s="493" t="n"/>
      <c r="BZ581" s="493" t="n"/>
      <c r="CA581" s="493" t="n"/>
      <c r="CB581" s="493" t="n"/>
      <c r="CC581" s="493" t="n"/>
      <c r="CD581" s="493" t="n"/>
      <c r="CE581" s="493" t="n"/>
      <c r="CF581" s="493" t="n"/>
      <c r="CG581" s="493" t="n"/>
      <c r="CH581" s="493" t="n"/>
      <c r="CI581" s="493" t="n"/>
      <c r="CJ581" s="493" t="n"/>
      <c r="CK581" s="493" t="n"/>
      <c r="CL581" s="493" t="n"/>
    </row>
    <row r="582" customFormat="1" s="230">
      <c r="E582" s="234" t="n"/>
      <c r="F582" s="492" t="n"/>
      <c r="G582" s="492" t="n"/>
      <c r="H582" s="493" t="n"/>
      <c r="I582" s="492" t="n"/>
      <c r="J582" s="492" t="n"/>
      <c r="K582" s="492" t="n"/>
      <c r="L582" s="492" t="n"/>
      <c r="M582" s="493" t="n"/>
      <c r="N582" s="492" t="n"/>
      <c r="O582" s="492" t="n"/>
      <c r="P582" s="492" t="n"/>
      <c r="Q582" s="492" t="n"/>
      <c r="R582" s="492" t="n"/>
      <c r="S582" s="492" t="n"/>
      <c r="T582" s="492" t="n"/>
      <c r="U582" s="492" t="n"/>
      <c r="V582" s="492" t="n"/>
      <c r="W582" s="492" t="n"/>
      <c r="X582" s="492" t="n"/>
      <c r="Y582" s="492" t="n"/>
      <c r="Z582" s="492" t="n"/>
      <c r="AA582" s="492" t="n"/>
      <c r="AB582" s="492" t="n"/>
      <c r="AC582" s="492" t="n"/>
      <c r="AD582" s="492" t="n"/>
      <c r="AE582" s="493" t="n"/>
      <c r="AF582" s="492" t="n"/>
      <c r="AG582" s="492" t="n"/>
      <c r="AH582" s="492" t="n"/>
      <c r="AI582" s="492" t="n"/>
      <c r="AJ582" s="493" t="n"/>
      <c r="AK582" s="492" t="n"/>
      <c r="AL582" s="492" t="n"/>
      <c r="AM582" s="492" t="n"/>
      <c r="AN582" s="492" t="n"/>
      <c r="AO582" s="492" t="n"/>
      <c r="AP582" s="492" t="n"/>
      <c r="AQ582" s="492" t="n"/>
      <c r="AR582" s="492" t="n"/>
      <c r="AS582" s="492" t="n"/>
      <c r="AT582" s="492" t="n"/>
      <c r="AU582" s="493" t="n"/>
      <c r="AV582" s="492" t="n"/>
      <c r="AW582" s="492" t="n"/>
      <c r="AX582" s="492" t="n"/>
      <c r="AY582" s="492" t="n"/>
      <c r="AZ582" s="492" t="n"/>
      <c r="BA582" s="493" t="n"/>
      <c r="BB582" s="492" t="n"/>
      <c r="BC582" s="492" t="n"/>
      <c r="BD582" s="492" t="n"/>
      <c r="BE582" s="492" t="n"/>
      <c r="BF582" s="493" t="n"/>
      <c r="BG582" s="493" t="n"/>
      <c r="BH582" s="495" t="n"/>
      <c r="BI582" s="496" t="n"/>
      <c r="BJ582" s="496" t="n"/>
      <c r="BK582" s="496" t="n"/>
      <c r="BM582" s="493" t="n"/>
      <c r="BN582" s="493" t="n"/>
      <c r="BO582" s="493" t="n"/>
      <c r="BP582" s="493" t="n"/>
      <c r="BQ582" s="493" t="n"/>
      <c r="BR582" s="493" t="n"/>
      <c r="BS582" s="493" t="n"/>
      <c r="BT582" s="493" t="n"/>
      <c r="BU582" s="493" t="n"/>
      <c r="BV582" s="493" t="n"/>
      <c r="BW582" s="493" t="n"/>
      <c r="BX582" s="493" t="n"/>
      <c r="BY582" s="493" t="n"/>
      <c r="BZ582" s="493" t="n"/>
      <c r="CA582" s="493" t="n"/>
      <c r="CB582" s="493" t="n"/>
      <c r="CC582" s="493" t="n"/>
      <c r="CD582" s="493" t="n"/>
      <c r="CE582" s="493" t="n"/>
      <c r="CF582" s="493" t="n"/>
      <c r="CG582" s="493" t="n"/>
      <c r="CH582" s="493" t="n"/>
      <c r="CI582" s="493" t="n"/>
      <c r="CJ582" s="493" t="n"/>
      <c r="CK582" s="493" t="n"/>
      <c r="CL582" s="493" t="n"/>
    </row>
    <row r="583" customFormat="1" s="230">
      <c r="E583" s="234" t="n"/>
      <c r="F583" s="492" t="n"/>
      <c r="G583" s="492" t="n"/>
      <c r="H583" s="493" t="n"/>
      <c r="I583" s="492" t="n"/>
      <c r="J583" s="492" t="n"/>
      <c r="K583" s="492" t="n"/>
      <c r="L583" s="492" t="n"/>
      <c r="M583" s="493" t="n"/>
      <c r="N583" s="492" t="n"/>
      <c r="O583" s="492" t="n"/>
      <c r="P583" s="492" t="n"/>
      <c r="Q583" s="492" t="n"/>
      <c r="R583" s="492" t="n"/>
      <c r="S583" s="492" t="n"/>
      <c r="T583" s="492" t="n"/>
      <c r="U583" s="492" t="n"/>
      <c r="V583" s="492" t="n"/>
      <c r="W583" s="492" t="n"/>
      <c r="X583" s="492" t="n"/>
      <c r="Y583" s="492" t="n"/>
      <c r="Z583" s="492" t="n"/>
      <c r="AA583" s="492" t="n"/>
      <c r="AB583" s="492" t="n"/>
      <c r="AC583" s="492" t="n"/>
      <c r="AD583" s="492" t="n"/>
      <c r="AE583" s="493" t="n"/>
      <c r="AF583" s="492" t="n"/>
      <c r="AG583" s="492" t="n"/>
      <c r="AH583" s="492" t="n"/>
      <c r="AI583" s="492" t="n"/>
      <c r="AJ583" s="493" t="n"/>
      <c r="AK583" s="492" t="n"/>
      <c r="AL583" s="492" t="n"/>
      <c r="AM583" s="492" t="n"/>
      <c r="AN583" s="492" t="n"/>
      <c r="AO583" s="492" t="n"/>
      <c r="AP583" s="492" t="n"/>
      <c r="AQ583" s="492" t="n"/>
      <c r="AR583" s="492" t="n"/>
      <c r="AS583" s="492" t="n"/>
      <c r="AT583" s="492" t="n"/>
      <c r="AU583" s="493" t="n"/>
      <c r="AV583" s="492" t="n"/>
      <c r="AW583" s="492" t="n"/>
      <c r="AX583" s="492" t="n"/>
      <c r="AY583" s="492" t="n"/>
      <c r="AZ583" s="492" t="n"/>
      <c r="BA583" s="493" t="n"/>
      <c r="BB583" s="492" t="n"/>
      <c r="BC583" s="492" t="n"/>
      <c r="BD583" s="492" t="n"/>
      <c r="BE583" s="492" t="n"/>
      <c r="BF583" s="493" t="n"/>
      <c r="BG583" s="493" t="n"/>
      <c r="BH583" s="495" t="n"/>
      <c r="BI583" s="496" t="n"/>
      <c r="BJ583" s="496" t="n"/>
      <c r="BK583" s="496" t="n"/>
      <c r="BM583" s="493" t="n"/>
      <c r="BN583" s="493" t="n"/>
      <c r="BO583" s="493" t="n"/>
      <c r="BP583" s="493" t="n"/>
      <c r="BQ583" s="493" t="n"/>
      <c r="BR583" s="493" t="n"/>
      <c r="BS583" s="493" t="n"/>
      <c r="BT583" s="493" t="n"/>
      <c r="BU583" s="493" t="n"/>
      <c r="BV583" s="493" t="n"/>
      <c r="BW583" s="493" t="n"/>
      <c r="BX583" s="493" t="n"/>
      <c r="BY583" s="493" t="n"/>
      <c r="BZ583" s="493" t="n"/>
      <c r="CA583" s="493" t="n"/>
      <c r="CB583" s="493" t="n"/>
      <c r="CC583" s="493" t="n"/>
      <c r="CD583" s="493" t="n"/>
      <c r="CE583" s="493" t="n"/>
      <c r="CF583" s="493" t="n"/>
      <c r="CG583" s="493" t="n"/>
      <c r="CH583" s="493" t="n"/>
      <c r="CI583" s="493" t="n"/>
      <c r="CJ583" s="493" t="n"/>
      <c r="CK583" s="493" t="n"/>
      <c r="CL583" s="493" t="n"/>
    </row>
    <row r="584" customFormat="1" s="230">
      <c r="E584" s="234" t="n"/>
      <c r="F584" s="492" t="n"/>
      <c r="G584" s="492" t="n"/>
      <c r="H584" s="493" t="n"/>
      <c r="I584" s="492" t="n"/>
      <c r="J584" s="492" t="n"/>
      <c r="K584" s="492" t="n"/>
      <c r="L584" s="492" t="n"/>
      <c r="M584" s="493" t="n"/>
      <c r="N584" s="492" t="n"/>
      <c r="O584" s="492" t="n"/>
      <c r="P584" s="492" t="n"/>
      <c r="Q584" s="492" t="n"/>
      <c r="R584" s="492" t="n"/>
      <c r="S584" s="492" t="n"/>
      <c r="T584" s="492" t="n"/>
      <c r="U584" s="492" t="n"/>
      <c r="V584" s="492" t="n"/>
      <c r="W584" s="492" t="n"/>
      <c r="X584" s="492" t="n"/>
      <c r="Y584" s="492" t="n"/>
      <c r="Z584" s="492" t="n"/>
      <c r="AA584" s="492" t="n"/>
      <c r="AB584" s="492" t="n"/>
      <c r="AC584" s="492" t="n"/>
      <c r="AD584" s="492" t="n"/>
      <c r="AE584" s="493" t="n"/>
      <c r="AF584" s="492" t="n"/>
      <c r="AG584" s="492" t="n"/>
      <c r="AH584" s="492" t="n"/>
      <c r="AI584" s="492" t="n"/>
      <c r="AJ584" s="493" t="n"/>
      <c r="AK584" s="492" t="n"/>
      <c r="AL584" s="492" t="n"/>
      <c r="AM584" s="492" t="n"/>
      <c r="AN584" s="492" t="n"/>
      <c r="AO584" s="492" t="n"/>
      <c r="AP584" s="492" t="n"/>
      <c r="AQ584" s="492" t="n"/>
      <c r="AR584" s="492" t="n"/>
      <c r="AS584" s="492" t="n"/>
      <c r="AT584" s="492" t="n"/>
      <c r="AU584" s="493" t="n"/>
      <c r="AV584" s="492" t="n"/>
      <c r="AW584" s="492" t="n"/>
      <c r="AX584" s="492" t="n"/>
      <c r="AY584" s="492" t="n"/>
      <c r="AZ584" s="492" t="n"/>
      <c r="BA584" s="493" t="n"/>
      <c r="BB584" s="492" t="n"/>
      <c r="BC584" s="492" t="n"/>
      <c r="BD584" s="492" t="n"/>
      <c r="BE584" s="492" t="n"/>
      <c r="BF584" s="493" t="n"/>
      <c r="BG584" s="493" t="n"/>
      <c r="BH584" s="495" t="n"/>
      <c r="BI584" s="496" t="n"/>
      <c r="BJ584" s="496" t="n"/>
      <c r="BK584" s="496" t="n"/>
      <c r="BM584" s="493" t="n"/>
      <c r="BN584" s="493" t="n"/>
      <c r="BO584" s="493" t="n"/>
      <c r="BP584" s="493" t="n"/>
      <c r="BQ584" s="493" t="n"/>
      <c r="BR584" s="493" t="n"/>
      <c r="BS584" s="493" t="n"/>
      <c r="BT584" s="493" t="n"/>
      <c r="BU584" s="493" t="n"/>
      <c r="BV584" s="493" t="n"/>
      <c r="BW584" s="493" t="n"/>
      <c r="BX584" s="493" t="n"/>
      <c r="BY584" s="493" t="n"/>
      <c r="BZ584" s="493" t="n"/>
      <c r="CA584" s="493" t="n"/>
      <c r="CB584" s="493" t="n"/>
      <c r="CC584" s="493" t="n"/>
      <c r="CD584" s="493" t="n"/>
      <c r="CE584" s="493" t="n"/>
      <c r="CF584" s="493" t="n"/>
      <c r="CG584" s="493" t="n"/>
      <c r="CH584" s="493" t="n"/>
      <c r="CI584" s="493" t="n"/>
      <c r="CJ584" s="493" t="n"/>
      <c r="CK584" s="493" t="n"/>
      <c r="CL584" s="493" t="n"/>
    </row>
    <row r="585" customFormat="1" s="230">
      <c r="E585" s="234" t="n"/>
      <c r="F585" s="492" t="n"/>
      <c r="G585" s="492" t="n"/>
      <c r="H585" s="493" t="n"/>
      <c r="I585" s="492" t="n"/>
      <c r="J585" s="492" t="n"/>
      <c r="K585" s="492" t="n"/>
      <c r="L585" s="492" t="n"/>
      <c r="M585" s="493" t="n"/>
      <c r="N585" s="492" t="n"/>
      <c r="O585" s="492" t="n"/>
      <c r="P585" s="492" t="n"/>
      <c r="Q585" s="492" t="n"/>
      <c r="R585" s="492" t="n"/>
      <c r="S585" s="492" t="n"/>
      <c r="T585" s="492" t="n"/>
      <c r="U585" s="492" t="n"/>
      <c r="V585" s="492" t="n"/>
      <c r="W585" s="492" t="n"/>
      <c r="X585" s="492" t="n"/>
      <c r="Y585" s="492" t="n"/>
      <c r="Z585" s="492" t="n"/>
      <c r="AA585" s="492" t="n"/>
      <c r="AB585" s="492" t="n"/>
      <c r="AC585" s="492" t="n"/>
      <c r="AD585" s="492" t="n"/>
      <c r="AE585" s="493" t="n"/>
      <c r="AF585" s="492" t="n"/>
      <c r="AG585" s="492" t="n"/>
      <c r="AH585" s="492" t="n"/>
      <c r="AI585" s="492" t="n"/>
      <c r="AJ585" s="493" t="n"/>
      <c r="AK585" s="492" t="n"/>
      <c r="AL585" s="492" t="n"/>
      <c r="AM585" s="492" t="n"/>
      <c r="AN585" s="492" t="n"/>
      <c r="AO585" s="492" t="n"/>
      <c r="AP585" s="492" t="n"/>
      <c r="AQ585" s="492" t="n"/>
      <c r="AR585" s="492" t="n"/>
      <c r="AS585" s="492" t="n"/>
      <c r="AT585" s="492" t="n"/>
      <c r="AU585" s="493" t="n"/>
      <c r="AV585" s="492" t="n"/>
      <c r="AW585" s="492" t="n"/>
      <c r="AX585" s="492" t="n"/>
      <c r="AY585" s="492" t="n"/>
      <c r="AZ585" s="492" t="n"/>
      <c r="BA585" s="493" t="n"/>
      <c r="BB585" s="492" t="n"/>
      <c r="BC585" s="492" t="n"/>
      <c r="BD585" s="492" t="n"/>
      <c r="BE585" s="492" t="n"/>
      <c r="BF585" s="493" t="n"/>
      <c r="BG585" s="493" t="n"/>
      <c r="BH585" s="495" t="n"/>
      <c r="BI585" s="496" t="n"/>
      <c r="BJ585" s="496" t="n"/>
      <c r="BK585" s="496" t="n"/>
      <c r="BM585" s="493" t="n"/>
      <c r="BN585" s="493" t="n"/>
      <c r="BO585" s="493" t="n"/>
      <c r="BP585" s="493" t="n"/>
      <c r="BQ585" s="493" t="n"/>
      <c r="BR585" s="493" t="n"/>
      <c r="BS585" s="493" t="n"/>
      <c r="BT585" s="493" t="n"/>
      <c r="BU585" s="493" t="n"/>
      <c r="BV585" s="493" t="n"/>
      <c r="BW585" s="493" t="n"/>
      <c r="BX585" s="493" t="n"/>
      <c r="BY585" s="493" t="n"/>
      <c r="BZ585" s="493" t="n"/>
      <c r="CA585" s="493" t="n"/>
      <c r="CB585" s="493" t="n"/>
      <c r="CC585" s="493" t="n"/>
      <c r="CD585" s="493" t="n"/>
      <c r="CE585" s="493" t="n"/>
      <c r="CF585" s="493" t="n"/>
      <c r="CG585" s="493" t="n"/>
      <c r="CH585" s="493" t="n"/>
      <c r="CI585" s="493" t="n"/>
      <c r="CJ585" s="493" t="n"/>
      <c r="CK585" s="493" t="n"/>
      <c r="CL585" s="493" t="n"/>
    </row>
    <row r="586" customFormat="1" s="230">
      <c r="E586" s="234" t="n"/>
      <c r="F586" s="492" t="n"/>
      <c r="G586" s="492" t="n"/>
      <c r="H586" s="493" t="n"/>
      <c r="I586" s="492" t="n"/>
      <c r="J586" s="492" t="n"/>
      <c r="K586" s="492" t="n"/>
      <c r="L586" s="492" t="n"/>
      <c r="M586" s="493" t="n"/>
      <c r="N586" s="492" t="n"/>
      <c r="O586" s="492" t="n"/>
      <c r="P586" s="492" t="n"/>
      <c r="Q586" s="492" t="n"/>
      <c r="R586" s="492" t="n"/>
      <c r="S586" s="492" t="n"/>
      <c r="T586" s="492" t="n"/>
      <c r="U586" s="492" t="n"/>
      <c r="V586" s="492" t="n"/>
      <c r="W586" s="492" t="n"/>
      <c r="X586" s="492" t="n"/>
      <c r="Y586" s="492" t="n"/>
      <c r="Z586" s="492" t="n"/>
      <c r="AA586" s="492" t="n"/>
      <c r="AB586" s="492" t="n"/>
      <c r="AC586" s="492" t="n"/>
      <c r="AD586" s="492" t="n"/>
      <c r="AE586" s="493" t="n"/>
      <c r="AF586" s="492" t="n"/>
      <c r="AG586" s="492" t="n"/>
      <c r="AH586" s="492" t="n"/>
      <c r="AI586" s="492" t="n"/>
      <c r="AJ586" s="493" t="n"/>
      <c r="AK586" s="492" t="n"/>
      <c r="AL586" s="492" t="n"/>
      <c r="AM586" s="492" t="n"/>
      <c r="AN586" s="492" t="n"/>
      <c r="AO586" s="492" t="n"/>
      <c r="AP586" s="492" t="n"/>
      <c r="AQ586" s="492" t="n"/>
      <c r="AR586" s="492" t="n"/>
      <c r="AS586" s="492" t="n"/>
      <c r="AT586" s="492" t="n"/>
      <c r="AU586" s="493" t="n"/>
      <c r="AV586" s="492" t="n"/>
      <c r="AW586" s="492" t="n"/>
      <c r="AX586" s="492" t="n"/>
      <c r="AY586" s="492" t="n"/>
      <c r="AZ586" s="492" t="n"/>
      <c r="BA586" s="493" t="n"/>
      <c r="BB586" s="492" t="n"/>
      <c r="BC586" s="492" t="n"/>
      <c r="BD586" s="492" t="n"/>
      <c r="BE586" s="492" t="n"/>
      <c r="BF586" s="493" t="n"/>
      <c r="BG586" s="493" t="n"/>
      <c r="BH586" s="495" t="n"/>
      <c r="BI586" s="496" t="n"/>
      <c r="BJ586" s="496" t="n"/>
      <c r="BK586" s="496" t="n"/>
      <c r="BM586" s="493" t="n"/>
      <c r="BN586" s="493" t="n"/>
      <c r="BO586" s="493" t="n"/>
      <c r="BP586" s="493" t="n"/>
      <c r="BQ586" s="493" t="n"/>
      <c r="BR586" s="493" t="n"/>
      <c r="BS586" s="493" t="n"/>
      <c r="BT586" s="493" t="n"/>
      <c r="BU586" s="493" t="n"/>
      <c r="BV586" s="493" t="n"/>
      <c r="BW586" s="493" t="n"/>
      <c r="BX586" s="493" t="n"/>
      <c r="BY586" s="493" t="n"/>
      <c r="BZ586" s="493" t="n"/>
      <c r="CA586" s="493" t="n"/>
      <c r="CB586" s="493" t="n"/>
      <c r="CC586" s="493" t="n"/>
      <c r="CD586" s="493" t="n"/>
      <c r="CE586" s="493" t="n"/>
      <c r="CF586" s="493" t="n"/>
      <c r="CG586" s="493" t="n"/>
      <c r="CH586" s="493" t="n"/>
      <c r="CI586" s="493" t="n"/>
      <c r="CJ586" s="493" t="n"/>
      <c r="CK586" s="493" t="n"/>
      <c r="CL586" s="493" t="n"/>
    </row>
    <row r="587" customFormat="1" s="230">
      <c r="E587" s="234" t="n"/>
      <c r="F587" s="492" t="n"/>
      <c r="G587" s="492" t="n"/>
      <c r="H587" s="493" t="n"/>
      <c r="I587" s="492" t="n"/>
      <c r="J587" s="492" t="n"/>
      <c r="K587" s="492" t="n"/>
      <c r="L587" s="492" t="n"/>
      <c r="M587" s="493" t="n"/>
      <c r="N587" s="492" t="n"/>
      <c r="O587" s="492" t="n"/>
      <c r="P587" s="492" t="n"/>
      <c r="Q587" s="492" t="n"/>
      <c r="R587" s="492" t="n"/>
      <c r="S587" s="492" t="n"/>
      <c r="T587" s="492" t="n"/>
      <c r="U587" s="492" t="n"/>
      <c r="V587" s="492" t="n"/>
      <c r="W587" s="492" t="n"/>
      <c r="X587" s="492" t="n"/>
      <c r="Y587" s="492" t="n"/>
      <c r="Z587" s="492" t="n"/>
      <c r="AA587" s="492" t="n"/>
      <c r="AB587" s="492" t="n"/>
      <c r="AC587" s="492" t="n"/>
      <c r="AD587" s="492" t="n"/>
      <c r="AE587" s="493" t="n"/>
      <c r="AF587" s="492" t="n"/>
      <c r="AG587" s="492" t="n"/>
      <c r="AH587" s="492" t="n"/>
      <c r="AI587" s="492" t="n"/>
      <c r="AJ587" s="493" t="n"/>
      <c r="AK587" s="492" t="n"/>
      <c r="AL587" s="492" t="n"/>
      <c r="AM587" s="492" t="n"/>
      <c r="AN587" s="492" t="n"/>
      <c r="AO587" s="492" t="n"/>
      <c r="AP587" s="492" t="n"/>
      <c r="AQ587" s="492" t="n"/>
      <c r="AR587" s="492" t="n"/>
      <c r="AS587" s="492" t="n"/>
      <c r="AT587" s="492" t="n"/>
      <c r="AU587" s="493" t="n"/>
      <c r="AV587" s="492" t="n"/>
      <c r="AW587" s="492" t="n"/>
      <c r="AX587" s="492" t="n"/>
      <c r="AY587" s="492" t="n"/>
      <c r="AZ587" s="492" t="n"/>
      <c r="BA587" s="493" t="n"/>
      <c r="BB587" s="492" t="n"/>
      <c r="BC587" s="492" t="n"/>
      <c r="BD587" s="492" t="n"/>
      <c r="BE587" s="492" t="n"/>
      <c r="BF587" s="493" t="n"/>
      <c r="BG587" s="493" t="n"/>
      <c r="BH587" s="495" t="n"/>
      <c r="BI587" s="496" t="n"/>
      <c r="BJ587" s="496" t="n"/>
      <c r="BK587" s="496" t="n"/>
      <c r="BM587" s="493" t="n"/>
      <c r="BN587" s="493" t="n"/>
      <c r="BO587" s="493" t="n"/>
      <c r="BP587" s="493" t="n"/>
      <c r="BQ587" s="493" t="n"/>
      <c r="BR587" s="493" t="n"/>
      <c r="BS587" s="493" t="n"/>
      <c r="BT587" s="493" t="n"/>
      <c r="BU587" s="493" t="n"/>
      <c r="BV587" s="493" t="n"/>
      <c r="BW587" s="493" t="n"/>
      <c r="BX587" s="493" t="n"/>
      <c r="BY587" s="493" t="n"/>
      <c r="BZ587" s="493" t="n"/>
      <c r="CA587" s="493" t="n"/>
      <c r="CB587" s="493" t="n"/>
      <c r="CC587" s="493" t="n"/>
      <c r="CD587" s="493" t="n"/>
      <c r="CE587" s="493" t="n"/>
      <c r="CF587" s="493" t="n"/>
      <c r="CG587" s="493" t="n"/>
      <c r="CH587" s="493" t="n"/>
      <c r="CI587" s="493" t="n"/>
      <c r="CJ587" s="493" t="n"/>
      <c r="CK587" s="493" t="n"/>
      <c r="CL587" s="493" t="n"/>
    </row>
    <row r="588" customFormat="1" s="230">
      <c r="E588" s="234" t="n"/>
      <c r="F588" s="492" t="n"/>
      <c r="G588" s="492" t="n"/>
      <c r="H588" s="493" t="n"/>
      <c r="I588" s="492" t="n"/>
      <c r="J588" s="492" t="n"/>
      <c r="K588" s="492" t="n"/>
      <c r="L588" s="492" t="n"/>
      <c r="M588" s="493" t="n"/>
      <c r="N588" s="492" t="n"/>
      <c r="O588" s="492" t="n"/>
      <c r="P588" s="492" t="n"/>
      <c r="Q588" s="492" t="n"/>
      <c r="R588" s="492" t="n"/>
      <c r="S588" s="492" t="n"/>
      <c r="T588" s="492" t="n"/>
      <c r="U588" s="492" t="n"/>
      <c r="V588" s="492" t="n"/>
      <c r="W588" s="492" t="n"/>
      <c r="X588" s="492" t="n"/>
      <c r="Y588" s="492" t="n"/>
      <c r="Z588" s="492" t="n"/>
      <c r="AA588" s="492" t="n"/>
      <c r="AB588" s="492" t="n"/>
      <c r="AC588" s="492" t="n"/>
      <c r="AD588" s="492" t="n"/>
      <c r="AE588" s="493" t="n"/>
      <c r="AF588" s="492" t="n"/>
      <c r="AG588" s="492" t="n"/>
      <c r="AH588" s="492" t="n"/>
      <c r="AI588" s="492" t="n"/>
      <c r="AJ588" s="493" t="n"/>
      <c r="AK588" s="492" t="n"/>
      <c r="AL588" s="492" t="n"/>
      <c r="AM588" s="492" t="n"/>
      <c r="AN588" s="492" t="n"/>
      <c r="AO588" s="492" t="n"/>
      <c r="AP588" s="492" t="n"/>
      <c r="AQ588" s="492" t="n"/>
      <c r="AR588" s="492" t="n"/>
      <c r="AS588" s="492" t="n"/>
      <c r="AT588" s="492" t="n"/>
      <c r="AU588" s="493" t="n"/>
      <c r="AV588" s="492" t="n"/>
      <c r="AW588" s="492" t="n"/>
      <c r="AX588" s="492" t="n"/>
      <c r="AY588" s="492" t="n"/>
      <c r="AZ588" s="492" t="n"/>
      <c r="BA588" s="493" t="n"/>
      <c r="BB588" s="492" t="n"/>
      <c r="BC588" s="492" t="n"/>
      <c r="BD588" s="492" t="n"/>
      <c r="BE588" s="492" t="n"/>
      <c r="BF588" s="493" t="n"/>
      <c r="BG588" s="493" t="n"/>
      <c r="BH588" s="495" t="n"/>
      <c r="BI588" s="496" t="n"/>
      <c r="BJ588" s="496" t="n"/>
      <c r="BK588" s="496" t="n"/>
      <c r="BM588" s="493" t="n"/>
      <c r="BN588" s="493" t="n"/>
      <c r="BO588" s="493" t="n"/>
      <c r="BP588" s="493" t="n"/>
      <c r="BQ588" s="493" t="n"/>
      <c r="BR588" s="493" t="n"/>
      <c r="BS588" s="493" t="n"/>
      <c r="BT588" s="493" t="n"/>
      <c r="BU588" s="493" t="n"/>
      <c r="BV588" s="493" t="n"/>
      <c r="BW588" s="493" t="n"/>
      <c r="BX588" s="493" t="n"/>
      <c r="BY588" s="493" t="n"/>
      <c r="BZ588" s="493" t="n"/>
      <c r="CA588" s="493" t="n"/>
      <c r="CB588" s="493" t="n"/>
      <c r="CC588" s="493" t="n"/>
      <c r="CD588" s="493" t="n"/>
      <c r="CE588" s="493" t="n"/>
      <c r="CF588" s="493" t="n"/>
      <c r="CG588" s="493" t="n"/>
      <c r="CH588" s="493" t="n"/>
      <c r="CI588" s="493" t="n"/>
      <c r="CJ588" s="493" t="n"/>
      <c r="CK588" s="493" t="n"/>
      <c r="CL588" s="493" t="n"/>
    </row>
    <row r="589" customFormat="1" s="230">
      <c r="E589" s="234" t="n"/>
      <c r="F589" s="492" t="n"/>
      <c r="G589" s="492" t="n"/>
      <c r="H589" s="493" t="n"/>
      <c r="I589" s="492" t="n"/>
      <c r="J589" s="492" t="n"/>
      <c r="K589" s="492" t="n"/>
      <c r="L589" s="492" t="n"/>
      <c r="M589" s="493" t="n"/>
      <c r="N589" s="492" t="n"/>
      <c r="O589" s="492" t="n"/>
      <c r="P589" s="492" t="n"/>
      <c r="Q589" s="492" t="n"/>
      <c r="R589" s="492" t="n"/>
      <c r="S589" s="492" t="n"/>
      <c r="T589" s="492" t="n"/>
      <c r="U589" s="492" t="n"/>
      <c r="V589" s="492" t="n"/>
      <c r="W589" s="492" t="n"/>
      <c r="X589" s="492" t="n"/>
      <c r="Y589" s="492" t="n"/>
      <c r="Z589" s="492" t="n"/>
      <c r="AA589" s="492" t="n"/>
      <c r="AB589" s="492" t="n"/>
      <c r="AC589" s="492" t="n"/>
      <c r="AD589" s="492" t="n"/>
      <c r="AE589" s="493" t="n"/>
      <c r="AF589" s="492" t="n"/>
      <c r="AG589" s="492" t="n"/>
      <c r="AH589" s="492" t="n"/>
      <c r="AI589" s="492" t="n"/>
      <c r="AJ589" s="493" t="n"/>
      <c r="AK589" s="492" t="n"/>
      <c r="AL589" s="492" t="n"/>
      <c r="AM589" s="492" t="n"/>
      <c r="AN589" s="492" t="n"/>
      <c r="AO589" s="492" t="n"/>
      <c r="AP589" s="492" t="n"/>
      <c r="AQ589" s="492" t="n"/>
      <c r="AR589" s="492" t="n"/>
      <c r="AS589" s="492" t="n"/>
      <c r="AT589" s="492" t="n"/>
      <c r="AU589" s="493" t="n"/>
      <c r="AV589" s="492" t="n"/>
      <c r="AW589" s="492" t="n"/>
      <c r="AX589" s="492" t="n"/>
      <c r="AY589" s="492" t="n"/>
      <c r="AZ589" s="492" t="n"/>
      <c r="BA589" s="493" t="n"/>
      <c r="BB589" s="492" t="n"/>
      <c r="BC589" s="492" t="n"/>
      <c r="BD589" s="492" t="n"/>
      <c r="BE589" s="492" t="n"/>
      <c r="BF589" s="493" t="n"/>
      <c r="BG589" s="493" t="n"/>
      <c r="BH589" s="495" t="n"/>
      <c r="BI589" s="496" t="n"/>
      <c r="BJ589" s="496" t="n"/>
      <c r="BK589" s="496" t="n"/>
      <c r="BM589" s="493" t="n"/>
      <c r="BN589" s="493" t="n"/>
      <c r="BO589" s="493" t="n"/>
      <c r="BP589" s="493" t="n"/>
      <c r="BQ589" s="493" t="n"/>
      <c r="BR589" s="493" t="n"/>
      <c r="BS589" s="493" t="n"/>
      <c r="BT589" s="493" t="n"/>
      <c r="BU589" s="493" t="n"/>
      <c r="BV589" s="493" t="n"/>
      <c r="BW589" s="493" t="n"/>
      <c r="BX589" s="493" t="n"/>
      <c r="BY589" s="493" t="n"/>
      <c r="BZ589" s="493" t="n"/>
      <c r="CA589" s="493" t="n"/>
      <c r="CB589" s="493" t="n"/>
      <c r="CC589" s="493" t="n"/>
      <c r="CD589" s="493" t="n"/>
      <c r="CE589" s="493" t="n"/>
      <c r="CF589" s="493" t="n"/>
      <c r="CG589" s="493" t="n"/>
      <c r="CH589" s="493" t="n"/>
      <c r="CI589" s="493" t="n"/>
      <c r="CJ589" s="493" t="n"/>
      <c r="CK589" s="493" t="n"/>
      <c r="CL589" s="493" t="n"/>
    </row>
    <row r="590" customFormat="1" s="230">
      <c r="E590" s="234" t="n"/>
      <c r="F590" s="492" t="n"/>
      <c r="G590" s="492" t="n"/>
      <c r="H590" s="493" t="n"/>
      <c r="I590" s="492" t="n"/>
      <c r="J590" s="492" t="n"/>
      <c r="K590" s="492" t="n"/>
      <c r="L590" s="492" t="n"/>
      <c r="M590" s="493" t="n"/>
      <c r="N590" s="492" t="n"/>
      <c r="O590" s="492" t="n"/>
      <c r="P590" s="492" t="n"/>
      <c r="Q590" s="492" t="n"/>
      <c r="R590" s="492" t="n"/>
      <c r="S590" s="492" t="n"/>
      <c r="T590" s="492" t="n"/>
      <c r="U590" s="492" t="n"/>
      <c r="V590" s="492" t="n"/>
      <c r="W590" s="492" t="n"/>
      <c r="X590" s="492" t="n"/>
      <c r="Y590" s="492" t="n"/>
      <c r="Z590" s="492" t="n"/>
      <c r="AA590" s="492" t="n"/>
      <c r="AB590" s="492" t="n"/>
      <c r="AC590" s="492" t="n"/>
      <c r="AD590" s="492" t="n"/>
      <c r="AE590" s="493" t="n"/>
      <c r="AF590" s="492" t="n"/>
      <c r="AG590" s="492" t="n"/>
      <c r="AH590" s="492" t="n"/>
      <c r="AI590" s="492" t="n"/>
      <c r="AJ590" s="493" t="n"/>
      <c r="AK590" s="492" t="n"/>
      <c r="AL590" s="492" t="n"/>
      <c r="AM590" s="492" t="n"/>
      <c r="AN590" s="492" t="n"/>
      <c r="AO590" s="492" t="n"/>
      <c r="AP590" s="492" t="n"/>
      <c r="AQ590" s="492" t="n"/>
      <c r="AR590" s="492" t="n"/>
      <c r="AS590" s="492" t="n"/>
      <c r="AT590" s="492" t="n"/>
      <c r="AU590" s="493" t="n"/>
      <c r="AV590" s="492" t="n"/>
      <c r="AW590" s="492" t="n"/>
      <c r="AX590" s="492" t="n"/>
      <c r="AY590" s="492" t="n"/>
      <c r="AZ590" s="492" t="n"/>
      <c r="BA590" s="493" t="n"/>
      <c r="BB590" s="492" t="n"/>
      <c r="BC590" s="492" t="n"/>
      <c r="BD590" s="492" t="n"/>
      <c r="BE590" s="492" t="n"/>
      <c r="BF590" s="493" t="n"/>
      <c r="BG590" s="493" t="n"/>
      <c r="BH590" s="495" t="n"/>
      <c r="BI590" s="496" t="n"/>
      <c r="BJ590" s="496" t="n"/>
      <c r="BK590" s="496" t="n"/>
      <c r="BM590" s="493" t="n"/>
      <c r="BN590" s="493" t="n"/>
      <c r="BO590" s="493" t="n"/>
      <c r="BP590" s="493" t="n"/>
      <c r="BQ590" s="493" t="n"/>
      <c r="BR590" s="493" t="n"/>
      <c r="BS590" s="493" t="n"/>
      <c r="BT590" s="493" t="n"/>
      <c r="BU590" s="493" t="n"/>
      <c r="BV590" s="493" t="n"/>
      <c r="BW590" s="493" t="n"/>
      <c r="BX590" s="493" t="n"/>
      <c r="BY590" s="493" t="n"/>
      <c r="BZ590" s="493" t="n"/>
      <c r="CA590" s="493" t="n"/>
      <c r="CB590" s="493" t="n"/>
      <c r="CC590" s="493" t="n"/>
      <c r="CD590" s="493" t="n"/>
      <c r="CE590" s="493" t="n"/>
      <c r="CF590" s="493" t="n"/>
      <c r="CG590" s="493" t="n"/>
      <c r="CH590" s="493" t="n"/>
      <c r="CI590" s="493" t="n"/>
      <c r="CJ590" s="493" t="n"/>
      <c r="CK590" s="493" t="n"/>
      <c r="CL590" s="493" t="n"/>
    </row>
    <row r="591" customFormat="1" s="230">
      <c r="E591" s="234" t="n"/>
      <c r="F591" s="492" t="n"/>
      <c r="G591" s="492" t="n"/>
      <c r="H591" s="493" t="n"/>
      <c r="I591" s="492" t="n"/>
      <c r="J591" s="492" t="n"/>
      <c r="K591" s="492" t="n"/>
      <c r="L591" s="492" t="n"/>
      <c r="M591" s="493" t="n"/>
      <c r="N591" s="492" t="n"/>
      <c r="O591" s="492" t="n"/>
      <c r="P591" s="492" t="n"/>
      <c r="Q591" s="492" t="n"/>
      <c r="R591" s="492" t="n"/>
      <c r="S591" s="492" t="n"/>
      <c r="T591" s="492" t="n"/>
      <c r="U591" s="492" t="n"/>
      <c r="V591" s="492" t="n"/>
      <c r="W591" s="492" t="n"/>
      <c r="X591" s="492" t="n"/>
      <c r="Y591" s="492" t="n"/>
      <c r="Z591" s="492" t="n"/>
      <c r="AA591" s="492" t="n"/>
      <c r="AB591" s="492" t="n"/>
      <c r="AC591" s="492" t="n"/>
      <c r="AD591" s="492" t="n"/>
      <c r="AE591" s="493" t="n"/>
      <c r="AF591" s="492" t="n"/>
      <c r="AG591" s="492" t="n"/>
      <c r="AH591" s="492" t="n"/>
      <c r="AI591" s="492" t="n"/>
      <c r="AJ591" s="493" t="n"/>
      <c r="AK591" s="492" t="n"/>
      <c r="AL591" s="492" t="n"/>
      <c r="AM591" s="492" t="n"/>
      <c r="AN591" s="492" t="n"/>
      <c r="AO591" s="492" t="n"/>
      <c r="AP591" s="492" t="n"/>
      <c r="AQ591" s="492" t="n"/>
      <c r="AR591" s="492" t="n"/>
      <c r="AS591" s="492" t="n"/>
      <c r="AT591" s="492" t="n"/>
      <c r="AU591" s="493" t="n"/>
      <c r="AV591" s="492" t="n"/>
      <c r="AW591" s="492" t="n"/>
      <c r="AX591" s="492" t="n"/>
      <c r="AY591" s="492" t="n"/>
      <c r="AZ591" s="492" t="n"/>
      <c r="BA591" s="493" t="n"/>
      <c r="BB591" s="492" t="n"/>
      <c r="BC591" s="492" t="n"/>
      <c r="BD591" s="492" t="n"/>
      <c r="BE591" s="492" t="n"/>
      <c r="BF591" s="493" t="n"/>
      <c r="BG591" s="493" t="n"/>
      <c r="BH591" s="495" t="n"/>
      <c r="BI591" s="496" t="n"/>
      <c r="BJ591" s="496" t="n"/>
      <c r="BK591" s="496" t="n"/>
      <c r="BM591" s="493" t="n"/>
      <c r="BN591" s="493" t="n"/>
      <c r="BO591" s="493" t="n"/>
      <c r="BP591" s="493" t="n"/>
      <c r="BQ591" s="493" t="n"/>
      <c r="BR591" s="493" t="n"/>
      <c r="BS591" s="493" t="n"/>
      <c r="BT591" s="493" t="n"/>
      <c r="BU591" s="493" t="n"/>
      <c r="BV591" s="493" t="n"/>
      <c r="BW591" s="493" t="n"/>
      <c r="BX591" s="493" t="n"/>
      <c r="BY591" s="493" t="n"/>
      <c r="BZ591" s="493" t="n"/>
      <c r="CA591" s="493" t="n"/>
      <c r="CB591" s="493" t="n"/>
      <c r="CC591" s="493" t="n"/>
      <c r="CD591" s="493" t="n"/>
      <c r="CE591" s="493" t="n"/>
      <c r="CF591" s="493" t="n"/>
      <c r="CG591" s="493" t="n"/>
      <c r="CH591" s="493" t="n"/>
      <c r="CI591" s="493" t="n"/>
      <c r="CJ591" s="493" t="n"/>
      <c r="CK591" s="493" t="n"/>
      <c r="CL591" s="493" t="n"/>
    </row>
    <row r="592" customFormat="1" s="230">
      <c r="E592" s="234" t="n"/>
      <c r="F592" s="492" t="n"/>
      <c r="G592" s="492" t="n"/>
      <c r="H592" s="493" t="n"/>
      <c r="I592" s="492" t="n"/>
      <c r="J592" s="492" t="n"/>
      <c r="K592" s="492" t="n"/>
      <c r="L592" s="492" t="n"/>
      <c r="M592" s="493" t="n"/>
      <c r="N592" s="492" t="n"/>
      <c r="O592" s="492" t="n"/>
      <c r="P592" s="492" t="n"/>
      <c r="Q592" s="492" t="n"/>
      <c r="R592" s="492" t="n"/>
      <c r="S592" s="492" t="n"/>
      <c r="T592" s="492" t="n"/>
      <c r="U592" s="492" t="n"/>
      <c r="V592" s="492" t="n"/>
      <c r="W592" s="492" t="n"/>
      <c r="X592" s="492" t="n"/>
      <c r="Y592" s="492" t="n"/>
      <c r="Z592" s="492" t="n"/>
      <c r="AA592" s="492" t="n"/>
      <c r="AB592" s="492" t="n"/>
      <c r="AC592" s="492" t="n"/>
      <c r="AD592" s="492" t="n"/>
      <c r="AE592" s="493" t="n"/>
      <c r="AF592" s="492" t="n"/>
      <c r="AG592" s="492" t="n"/>
      <c r="AH592" s="492" t="n"/>
      <c r="AI592" s="492" t="n"/>
      <c r="AJ592" s="493" t="n"/>
      <c r="AK592" s="492" t="n"/>
      <c r="AL592" s="492" t="n"/>
      <c r="AM592" s="492" t="n"/>
      <c r="AN592" s="492" t="n"/>
      <c r="AO592" s="492" t="n"/>
      <c r="AP592" s="492" t="n"/>
      <c r="AQ592" s="492" t="n"/>
      <c r="AR592" s="492" t="n"/>
      <c r="AS592" s="492" t="n"/>
      <c r="AT592" s="492" t="n"/>
      <c r="AU592" s="493" t="n"/>
      <c r="AV592" s="492" t="n"/>
      <c r="AW592" s="492" t="n"/>
      <c r="AX592" s="492" t="n"/>
      <c r="AY592" s="492" t="n"/>
      <c r="AZ592" s="492" t="n"/>
      <c r="BA592" s="493" t="n"/>
      <c r="BB592" s="492" t="n"/>
      <c r="BC592" s="492" t="n"/>
      <c r="BD592" s="492" t="n"/>
      <c r="BE592" s="492" t="n"/>
      <c r="BF592" s="493" t="n"/>
      <c r="BG592" s="493" t="n"/>
      <c r="BH592" s="495" t="n"/>
      <c r="BI592" s="496" t="n"/>
      <c r="BJ592" s="496" t="n"/>
      <c r="BK592" s="496" t="n"/>
      <c r="BM592" s="493" t="n"/>
      <c r="BN592" s="493" t="n"/>
      <c r="BO592" s="493" t="n"/>
      <c r="BP592" s="493" t="n"/>
      <c r="BQ592" s="493" t="n"/>
      <c r="BR592" s="493" t="n"/>
      <c r="BS592" s="493" t="n"/>
      <c r="BT592" s="493" t="n"/>
      <c r="BU592" s="493" t="n"/>
      <c r="BV592" s="493" t="n"/>
      <c r="BW592" s="493" t="n"/>
      <c r="BX592" s="493" t="n"/>
      <c r="BY592" s="493" t="n"/>
      <c r="BZ592" s="493" t="n"/>
      <c r="CA592" s="493" t="n"/>
      <c r="CB592" s="493" t="n"/>
      <c r="CC592" s="493" t="n"/>
      <c r="CD592" s="493" t="n"/>
      <c r="CE592" s="493" t="n"/>
      <c r="CF592" s="493" t="n"/>
      <c r="CG592" s="493" t="n"/>
      <c r="CH592" s="493" t="n"/>
      <c r="CI592" s="493" t="n"/>
      <c r="CJ592" s="493" t="n"/>
      <c r="CK592" s="493" t="n"/>
      <c r="CL592" s="493" t="n"/>
    </row>
    <row r="593" customFormat="1" s="230">
      <c r="E593" s="234" t="n"/>
      <c r="F593" s="492" t="n"/>
      <c r="G593" s="492" t="n"/>
      <c r="H593" s="493" t="n"/>
      <c r="I593" s="492" t="n"/>
      <c r="J593" s="492" t="n"/>
      <c r="K593" s="492" t="n"/>
      <c r="L593" s="492" t="n"/>
      <c r="M593" s="493" t="n"/>
      <c r="N593" s="492" t="n"/>
      <c r="O593" s="492" t="n"/>
      <c r="P593" s="492" t="n"/>
      <c r="Q593" s="492" t="n"/>
      <c r="R593" s="492" t="n"/>
      <c r="S593" s="492" t="n"/>
      <c r="T593" s="492" t="n"/>
      <c r="U593" s="492" t="n"/>
      <c r="V593" s="492" t="n"/>
      <c r="W593" s="492" t="n"/>
      <c r="X593" s="492" t="n"/>
      <c r="Y593" s="492" t="n"/>
      <c r="Z593" s="492" t="n"/>
      <c r="AA593" s="492" t="n"/>
      <c r="AB593" s="492" t="n"/>
      <c r="AC593" s="492" t="n"/>
      <c r="AD593" s="492" t="n"/>
      <c r="AE593" s="493" t="n"/>
      <c r="AF593" s="492" t="n"/>
      <c r="AG593" s="492" t="n"/>
      <c r="AH593" s="492" t="n"/>
      <c r="AI593" s="492" t="n"/>
      <c r="AJ593" s="493" t="n"/>
      <c r="AK593" s="492" t="n"/>
      <c r="AL593" s="492" t="n"/>
      <c r="AM593" s="492" t="n"/>
      <c r="AN593" s="492" t="n"/>
      <c r="AO593" s="492" t="n"/>
      <c r="AP593" s="492" t="n"/>
      <c r="AQ593" s="492" t="n"/>
      <c r="AR593" s="492" t="n"/>
      <c r="AS593" s="492" t="n"/>
      <c r="AT593" s="492" t="n"/>
      <c r="AU593" s="493" t="n"/>
      <c r="AV593" s="492" t="n"/>
      <c r="AW593" s="492" t="n"/>
      <c r="AX593" s="492" t="n"/>
      <c r="AY593" s="492" t="n"/>
      <c r="AZ593" s="492" t="n"/>
      <c r="BA593" s="493" t="n"/>
      <c r="BB593" s="492" t="n"/>
      <c r="BC593" s="492" t="n"/>
      <c r="BD593" s="492" t="n"/>
      <c r="BE593" s="492" t="n"/>
      <c r="BF593" s="493" t="n"/>
      <c r="BG593" s="493" t="n"/>
      <c r="BH593" s="495" t="n"/>
      <c r="BI593" s="496" t="n"/>
      <c r="BJ593" s="496" t="n"/>
      <c r="BK593" s="496" t="n"/>
      <c r="BM593" s="493" t="n"/>
      <c r="BN593" s="493" t="n"/>
      <c r="BO593" s="493" t="n"/>
      <c r="BP593" s="493" t="n"/>
      <c r="BQ593" s="493" t="n"/>
      <c r="BR593" s="493" t="n"/>
      <c r="BS593" s="493" t="n"/>
      <c r="BT593" s="493" t="n"/>
      <c r="BU593" s="493" t="n"/>
      <c r="BV593" s="493" t="n"/>
      <c r="BW593" s="493" t="n"/>
      <c r="BX593" s="493" t="n"/>
      <c r="BY593" s="493" t="n"/>
      <c r="BZ593" s="493" t="n"/>
      <c r="CA593" s="493" t="n"/>
      <c r="CB593" s="493" t="n"/>
      <c r="CC593" s="493" t="n"/>
      <c r="CD593" s="493" t="n"/>
      <c r="CE593" s="493" t="n"/>
      <c r="CF593" s="493" t="n"/>
      <c r="CG593" s="493" t="n"/>
      <c r="CH593" s="493" t="n"/>
      <c r="CI593" s="493" t="n"/>
      <c r="CJ593" s="493" t="n"/>
      <c r="CK593" s="493" t="n"/>
      <c r="CL593" s="493" t="n"/>
    </row>
    <row r="594" customFormat="1" s="230">
      <c r="E594" s="234" t="n"/>
      <c r="F594" s="492" t="n"/>
      <c r="G594" s="492" t="n"/>
      <c r="H594" s="493" t="n"/>
      <c r="I594" s="492" t="n"/>
      <c r="J594" s="492" t="n"/>
      <c r="K594" s="492" t="n"/>
      <c r="L594" s="492" t="n"/>
      <c r="M594" s="493" t="n"/>
      <c r="N594" s="492" t="n"/>
      <c r="O594" s="492" t="n"/>
      <c r="P594" s="492" t="n"/>
      <c r="Q594" s="492" t="n"/>
      <c r="R594" s="492" t="n"/>
      <c r="S594" s="492" t="n"/>
      <c r="T594" s="492" t="n"/>
      <c r="U594" s="492" t="n"/>
      <c r="V594" s="492" t="n"/>
      <c r="W594" s="492" t="n"/>
      <c r="X594" s="492" t="n"/>
      <c r="Y594" s="492" t="n"/>
      <c r="Z594" s="492" t="n"/>
      <c r="AA594" s="492" t="n"/>
      <c r="AB594" s="492" t="n"/>
      <c r="AC594" s="492" t="n"/>
      <c r="AD594" s="492" t="n"/>
      <c r="AE594" s="493" t="n"/>
      <c r="AF594" s="492" t="n"/>
      <c r="AG594" s="492" t="n"/>
      <c r="AH594" s="492" t="n"/>
      <c r="AI594" s="492" t="n"/>
      <c r="AJ594" s="493" t="n"/>
      <c r="AK594" s="492" t="n"/>
      <c r="AL594" s="492" t="n"/>
      <c r="AM594" s="492" t="n"/>
      <c r="AN594" s="492" t="n"/>
      <c r="AO594" s="492" t="n"/>
      <c r="AP594" s="492" t="n"/>
      <c r="AQ594" s="492" t="n"/>
      <c r="AR594" s="492" t="n"/>
      <c r="AS594" s="492" t="n"/>
      <c r="AT594" s="492" t="n"/>
      <c r="AU594" s="493" t="n"/>
      <c r="AV594" s="492" t="n"/>
      <c r="AW594" s="492" t="n"/>
      <c r="AX594" s="492" t="n"/>
      <c r="AY594" s="492" t="n"/>
      <c r="AZ594" s="492" t="n"/>
      <c r="BA594" s="493" t="n"/>
      <c r="BB594" s="492" t="n"/>
      <c r="BC594" s="492" t="n"/>
      <c r="BD594" s="492" t="n"/>
      <c r="BE594" s="492" t="n"/>
      <c r="BF594" s="493" t="n"/>
      <c r="BG594" s="493" t="n"/>
      <c r="BH594" s="495" t="n"/>
      <c r="BI594" s="496" t="n"/>
      <c r="BJ594" s="496" t="n"/>
      <c r="BK594" s="496" t="n"/>
      <c r="BM594" s="493" t="n"/>
      <c r="BN594" s="493" t="n"/>
      <c r="BO594" s="493" t="n"/>
      <c r="BP594" s="493" t="n"/>
      <c r="BQ594" s="493" t="n"/>
      <c r="BR594" s="493" t="n"/>
      <c r="BS594" s="493" t="n"/>
      <c r="BT594" s="493" t="n"/>
      <c r="BU594" s="493" t="n"/>
      <c r="BV594" s="493" t="n"/>
      <c r="BW594" s="493" t="n"/>
      <c r="BX594" s="493" t="n"/>
      <c r="BY594" s="493" t="n"/>
      <c r="BZ594" s="493" t="n"/>
      <c r="CA594" s="493" t="n"/>
      <c r="CB594" s="493" t="n"/>
      <c r="CC594" s="493" t="n"/>
      <c r="CD594" s="493" t="n"/>
      <c r="CE594" s="493" t="n"/>
      <c r="CF594" s="493" t="n"/>
      <c r="CG594" s="493" t="n"/>
      <c r="CH594" s="493" t="n"/>
      <c r="CI594" s="493" t="n"/>
      <c r="CJ594" s="493" t="n"/>
      <c r="CK594" s="493" t="n"/>
      <c r="CL594" s="493" t="n"/>
    </row>
    <row r="595" customFormat="1" s="230">
      <c r="E595" s="234" t="n"/>
      <c r="F595" s="492" t="n"/>
      <c r="G595" s="492" t="n"/>
      <c r="H595" s="493" t="n"/>
      <c r="I595" s="492" t="n"/>
      <c r="J595" s="492" t="n"/>
      <c r="K595" s="492" t="n"/>
      <c r="L595" s="492" t="n"/>
      <c r="M595" s="493" t="n"/>
      <c r="N595" s="492" t="n"/>
      <c r="O595" s="492" t="n"/>
      <c r="P595" s="492" t="n"/>
      <c r="Q595" s="492" t="n"/>
      <c r="R595" s="492" t="n"/>
      <c r="S595" s="492" t="n"/>
      <c r="T595" s="492" t="n"/>
      <c r="U595" s="492" t="n"/>
      <c r="V595" s="492" t="n"/>
      <c r="W595" s="492" t="n"/>
      <c r="X595" s="492" t="n"/>
      <c r="Y595" s="492" t="n"/>
      <c r="Z595" s="492" t="n"/>
      <c r="AA595" s="492" t="n"/>
      <c r="AB595" s="492" t="n"/>
      <c r="AC595" s="492" t="n"/>
      <c r="AD595" s="492" t="n"/>
      <c r="AE595" s="493" t="n"/>
      <c r="AF595" s="492" t="n"/>
      <c r="AG595" s="492" t="n"/>
      <c r="AH595" s="492" t="n"/>
      <c r="AI595" s="492" t="n"/>
      <c r="AJ595" s="493" t="n"/>
      <c r="AK595" s="492" t="n"/>
      <c r="AL595" s="492" t="n"/>
      <c r="AM595" s="492" t="n"/>
      <c r="AN595" s="492" t="n"/>
      <c r="AO595" s="492" t="n"/>
      <c r="AP595" s="492" t="n"/>
      <c r="AQ595" s="492" t="n"/>
      <c r="AR595" s="492" t="n"/>
      <c r="AS595" s="492" t="n"/>
      <c r="AT595" s="492" t="n"/>
      <c r="AU595" s="493" t="n"/>
      <c r="AV595" s="492" t="n"/>
      <c r="AW595" s="492" t="n"/>
      <c r="AX595" s="492" t="n"/>
      <c r="AY595" s="492" t="n"/>
      <c r="AZ595" s="492" t="n"/>
      <c r="BA595" s="493" t="n"/>
      <c r="BB595" s="492" t="n"/>
      <c r="BC595" s="492" t="n"/>
      <c r="BD595" s="492" t="n"/>
      <c r="BE595" s="492" t="n"/>
      <c r="BF595" s="493" t="n"/>
      <c r="BG595" s="493" t="n"/>
      <c r="BH595" s="495" t="n"/>
      <c r="BI595" s="496" t="n"/>
      <c r="BJ595" s="496" t="n"/>
      <c r="BK595" s="496" t="n"/>
      <c r="BM595" s="493" t="n"/>
      <c r="BN595" s="493" t="n"/>
      <c r="BO595" s="493" t="n"/>
      <c r="BP595" s="493" t="n"/>
      <c r="BQ595" s="493" t="n"/>
      <c r="BR595" s="493" t="n"/>
      <c r="BS595" s="493" t="n"/>
      <c r="BT595" s="493" t="n"/>
      <c r="BU595" s="493" t="n"/>
      <c r="BV595" s="493" t="n"/>
      <c r="BW595" s="493" t="n"/>
      <c r="BX595" s="493" t="n"/>
      <c r="BY595" s="493" t="n"/>
      <c r="BZ595" s="493" t="n"/>
      <c r="CA595" s="493" t="n"/>
      <c r="CB595" s="493" t="n"/>
      <c r="CC595" s="493" t="n"/>
      <c r="CD595" s="493" t="n"/>
      <c r="CE595" s="493" t="n"/>
      <c r="CF595" s="493" t="n"/>
      <c r="CG595" s="493" t="n"/>
      <c r="CH595" s="493" t="n"/>
      <c r="CI595" s="493" t="n"/>
      <c r="CJ595" s="493" t="n"/>
      <c r="CK595" s="493" t="n"/>
      <c r="CL595" s="493" t="n"/>
    </row>
    <row r="596" customFormat="1" s="230">
      <c r="E596" s="234" t="n"/>
      <c r="F596" s="492" t="n"/>
      <c r="G596" s="492" t="n"/>
      <c r="H596" s="493" t="n"/>
      <c r="I596" s="492" t="n"/>
      <c r="J596" s="492" t="n"/>
      <c r="K596" s="492" t="n"/>
      <c r="L596" s="492" t="n"/>
      <c r="M596" s="493" t="n"/>
      <c r="N596" s="492" t="n"/>
      <c r="O596" s="492" t="n"/>
      <c r="P596" s="492" t="n"/>
      <c r="Q596" s="492" t="n"/>
      <c r="R596" s="492" t="n"/>
      <c r="S596" s="492" t="n"/>
      <c r="T596" s="492" t="n"/>
      <c r="U596" s="492" t="n"/>
      <c r="V596" s="492" t="n"/>
      <c r="W596" s="492" t="n"/>
      <c r="X596" s="492" t="n"/>
      <c r="Y596" s="492" t="n"/>
      <c r="Z596" s="492" t="n"/>
      <c r="AA596" s="492" t="n"/>
      <c r="AB596" s="492" t="n"/>
      <c r="AC596" s="492" t="n"/>
      <c r="AD596" s="492" t="n"/>
      <c r="AE596" s="493" t="n"/>
      <c r="AF596" s="492" t="n"/>
      <c r="AG596" s="492" t="n"/>
      <c r="AH596" s="492" t="n"/>
      <c r="AI596" s="492" t="n"/>
      <c r="AJ596" s="493" t="n"/>
      <c r="AK596" s="492" t="n"/>
      <c r="AL596" s="492" t="n"/>
      <c r="AM596" s="492" t="n"/>
      <c r="AN596" s="492" t="n"/>
      <c r="AO596" s="492" t="n"/>
      <c r="AP596" s="492" t="n"/>
      <c r="AQ596" s="492" t="n"/>
      <c r="AR596" s="492" t="n"/>
      <c r="AS596" s="492" t="n"/>
      <c r="AT596" s="492" t="n"/>
      <c r="AU596" s="493" t="n"/>
      <c r="AV596" s="492" t="n"/>
      <c r="AW596" s="492" t="n"/>
      <c r="AX596" s="492" t="n"/>
      <c r="AY596" s="492" t="n"/>
      <c r="AZ596" s="492" t="n"/>
      <c r="BA596" s="493" t="n"/>
      <c r="BB596" s="492" t="n"/>
      <c r="BC596" s="492" t="n"/>
      <c r="BD596" s="492" t="n"/>
      <c r="BE596" s="492" t="n"/>
      <c r="BF596" s="493" t="n"/>
      <c r="BG596" s="493" t="n"/>
      <c r="BH596" s="495" t="n"/>
      <c r="BI596" s="496" t="n"/>
      <c r="BJ596" s="496" t="n"/>
      <c r="BK596" s="496" t="n"/>
      <c r="BM596" s="493" t="n"/>
      <c r="BN596" s="493" t="n"/>
      <c r="BO596" s="493" t="n"/>
      <c r="BP596" s="493" t="n"/>
      <c r="BQ596" s="493" t="n"/>
      <c r="BR596" s="493" t="n"/>
      <c r="BS596" s="493" t="n"/>
      <c r="BT596" s="493" t="n"/>
      <c r="BU596" s="493" t="n"/>
      <c r="BV596" s="493" t="n"/>
      <c r="BW596" s="493" t="n"/>
      <c r="BX596" s="493" t="n"/>
      <c r="BY596" s="493" t="n"/>
      <c r="BZ596" s="493" t="n"/>
      <c r="CA596" s="493" t="n"/>
      <c r="CB596" s="493" t="n"/>
      <c r="CC596" s="493" t="n"/>
      <c r="CD596" s="493" t="n"/>
      <c r="CE596" s="493" t="n"/>
      <c r="CF596" s="493" t="n"/>
      <c r="CG596" s="493" t="n"/>
      <c r="CH596" s="493" t="n"/>
      <c r="CI596" s="493" t="n"/>
      <c r="CJ596" s="493" t="n"/>
      <c r="CK596" s="493" t="n"/>
      <c r="CL596" s="493" t="n"/>
    </row>
    <row r="597" customFormat="1" s="230">
      <c r="E597" s="234" t="n"/>
      <c r="F597" s="492" t="n"/>
      <c r="G597" s="492" t="n"/>
      <c r="H597" s="493" t="n"/>
      <c r="I597" s="492" t="n"/>
      <c r="J597" s="492" t="n"/>
      <c r="K597" s="492" t="n"/>
      <c r="L597" s="492" t="n"/>
      <c r="M597" s="493" t="n"/>
      <c r="N597" s="492" t="n"/>
      <c r="O597" s="492" t="n"/>
      <c r="P597" s="492" t="n"/>
      <c r="Q597" s="492" t="n"/>
      <c r="R597" s="492" t="n"/>
      <c r="S597" s="492" t="n"/>
      <c r="T597" s="492" t="n"/>
      <c r="U597" s="492" t="n"/>
      <c r="V597" s="492" t="n"/>
      <c r="W597" s="492" t="n"/>
      <c r="X597" s="492" t="n"/>
      <c r="Y597" s="492" t="n"/>
      <c r="Z597" s="492" t="n"/>
      <c r="AA597" s="492" t="n"/>
      <c r="AB597" s="492" t="n"/>
      <c r="AC597" s="492" t="n"/>
      <c r="AD597" s="492" t="n"/>
      <c r="AE597" s="493" t="n"/>
      <c r="AF597" s="492" t="n"/>
      <c r="AG597" s="492" t="n"/>
      <c r="AH597" s="492" t="n"/>
      <c r="AI597" s="492" t="n"/>
      <c r="AJ597" s="493" t="n"/>
      <c r="AK597" s="492" t="n"/>
      <c r="AL597" s="492" t="n"/>
      <c r="AM597" s="492" t="n"/>
      <c r="AN597" s="492" t="n"/>
      <c r="AO597" s="492" t="n"/>
      <c r="AP597" s="492" t="n"/>
      <c r="AQ597" s="492" t="n"/>
      <c r="AR597" s="492" t="n"/>
      <c r="AS597" s="492" t="n"/>
      <c r="AT597" s="492" t="n"/>
      <c r="AU597" s="493" t="n"/>
      <c r="AV597" s="492" t="n"/>
      <c r="AW597" s="492" t="n"/>
      <c r="AX597" s="492" t="n"/>
      <c r="AY597" s="492" t="n"/>
      <c r="AZ597" s="492" t="n"/>
      <c r="BA597" s="493" t="n"/>
      <c r="BB597" s="492" t="n"/>
      <c r="BC597" s="492" t="n"/>
      <c r="BD597" s="492" t="n"/>
      <c r="BE597" s="492" t="n"/>
      <c r="BF597" s="493" t="n"/>
      <c r="BG597" s="493" t="n"/>
      <c r="BH597" s="495" t="n"/>
      <c r="BI597" s="496" t="n"/>
      <c r="BJ597" s="496" t="n"/>
      <c r="BK597" s="496" t="n"/>
      <c r="BM597" s="493" t="n"/>
      <c r="BN597" s="493" t="n"/>
      <c r="BO597" s="493" t="n"/>
      <c r="BP597" s="493" t="n"/>
      <c r="BQ597" s="493" t="n"/>
      <c r="BR597" s="493" t="n"/>
      <c r="BS597" s="493" t="n"/>
      <c r="BT597" s="493" t="n"/>
      <c r="BU597" s="493" t="n"/>
      <c r="BV597" s="493" t="n"/>
      <c r="BW597" s="493" t="n"/>
      <c r="BX597" s="493" t="n"/>
      <c r="BY597" s="493" t="n"/>
      <c r="BZ597" s="493" t="n"/>
      <c r="CA597" s="493" t="n"/>
      <c r="CB597" s="493" t="n"/>
      <c r="CC597" s="493" t="n"/>
      <c r="CD597" s="493" t="n"/>
      <c r="CE597" s="493" t="n"/>
      <c r="CF597" s="493" t="n"/>
      <c r="CG597" s="493" t="n"/>
      <c r="CH597" s="493" t="n"/>
      <c r="CI597" s="493" t="n"/>
      <c r="CJ597" s="493" t="n"/>
      <c r="CK597" s="493" t="n"/>
      <c r="CL597" s="493" t="n"/>
    </row>
    <row r="598" customFormat="1" s="230">
      <c r="E598" s="234" t="n"/>
      <c r="F598" s="492" t="n"/>
      <c r="G598" s="492" t="n"/>
      <c r="H598" s="493" t="n"/>
      <c r="I598" s="492" t="n"/>
      <c r="J598" s="492" t="n"/>
      <c r="K598" s="492" t="n"/>
      <c r="L598" s="492" t="n"/>
      <c r="M598" s="493" t="n"/>
      <c r="N598" s="492" t="n"/>
      <c r="O598" s="492" t="n"/>
      <c r="P598" s="492" t="n"/>
      <c r="Q598" s="492" t="n"/>
      <c r="R598" s="492" t="n"/>
      <c r="S598" s="492" t="n"/>
      <c r="T598" s="492" t="n"/>
      <c r="U598" s="492" t="n"/>
      <c r="V598" s="492" t="n"/>
      <c r="W598" s="492" t="n"/>
      <c r="X598" s="492" t="n"/>
      <c r="Y598" s="492" t="n"/>
      <c r="Z598" s="492" t="n"/>
      <c r="AA598" s="492" t="n"/>
      <c r="AB598" s="492" t="n"/>
      <c r="AC598" s="492" t="n"/>
      <c r="AD598" s="492" t="n"/>
      <c r="AE598" s="493" t="n"/>
      <c r="AF598" s="492" t="n"/>
      <c r="AG598" s="492" t="n"/>
      <c r="AH598" s="492" t="n"/>
      <c r="AI598" s="492" t="n"/>
      <c r="AJ598" s="493" t="n"/>
      <c r="AK598" s="492" t="n"/>
      <c r="AL598" s="492" t="n"/>
      <c r="AM598" s="492" t="n"/>
      <c r="AN598" s="492" t="n"/>
      <c r="AO598" s="492" t="n"/>
      <c r="AP598" s="492" t="n"/>
      <c r="AQ598" s="492" t="n"/>
      <c r="AR598" s="492" t="n"/>
      <c r="AS598" s="492" t="n"/>
      <c r="AT598" s="492" t="n"/>
      <c r="AU598" s="493" t="n"/>
      <c r="AV598" s="492" t="n"/>
      <c r="AW598" s="492" t="n"/>
      <c r="AX598" s="492" t="n"/>
      <c r="AY598" s="492" t="n"/>
      <c r="AZ598" s="492" t="n"/>
      <c r="BA598" s="493" t="n"/>
      <c r="BB598" s="492" t="n"/>
      <c r="BC598" s="492" t="n"/>
      <c r="BD598" s="492" t="n"/>
      <c r="BE598" s="492" t="n"/>
      <c r="BF598" s="493" t="n"/>
      <c r="BG598" s="493" t="n"/>
      <c r="BH598" s="495" t="n"/>
      <c r="BI598" s="496" t="n"/>
      <c r="BJ598" s="496" t="n"/>
      <c r="BK598" s="496" t="n"/>
      <c r="BM598" s="493" t="n"/>
      <c r="BN598" s="493" t="n"/>
      <c r="BO598" s="493" t="n"/>
      <c r="BP598" s="493" t="n"/>
      <c r="BQ598" s="493" t="n"/>
      <c r="BR598" s="493" t="n"/>
      <c r="BS598" s="493" t="n"/>
      <c r="BT598" s="493" t="n"/>
      <c r="BU598" s="493" t="n"/>
      <c r="BV598" s="493" t="n"/>
      <c r="BW598" s="493" t="n"/>
      <c r="BX598" s="493" t="n"/>
      <c r="BY598" s="493" t="n"/>
      <c r="BZ598" s="493" t="n"/>
      <c r="CA598" s="493" t="n"/>
      <c r="CB598" s="493" t="n"/>
      <c r="CC598" s="493" t="n"/>
      <c r="CD598" s="493" t="n"/>
      <c r="CE598" s="493" t="n"/>
      <c r="CF598" s="493" t="n"/>
      <c r="CG598" s="493" t="n"/>
      <c r="CH598" s="493" t="n"/>
      <c r="CI598" s="493" t="n"/>
      <c r="CJ598" s="493" t="n"/>
      <c r="CK598" s="493" t="n"/>
      <c r="CL598" s="493" t="n"/>
    </row>
    <row r="599" customFormat="1" s="230">
      <c r="E599" s="234" t="n"/>
      <c r="F599" s="492" t="n"/>
      <c r="G599" s="492" t="n"/>
      <c r="H599" s="493" t="n"/>
      <c r="I599" s="492" t="n"/>
      <c r="J599" s="492" t="n"/>
      <c r="K599" s="492" t="n"/>
      <c r="L599" s="492" t="n"/>
      <c r="M599" s="493" t="n"/>
      <c r="N599" s="492" t="n"/>
      <c r="O599" s="492" t="n"/>
      <c r="P599" s="492" t="n"/>
      <c r="Q599" s="492" t="n"/>
      <c r="R599" s="492" t="n"/>
      <c r="S599" s="492" t="n"/>
      <c r="T599" s="492" t="n"/>
      <c r="U599" s="492" t="n"/>
      <c r="V599" s="492" t="n"/>
      <c r="W599" s="492" t="n"/>
      <c r="X599" s="492" t="n"/>
      <c r="Y599" s="492" t="n"/>
      <c r="Z599" s="492" t="n"/>
      <c r="AA599" s="492" t="n"/>
      <c r="AB599" s="492" t="n"/>
      <c r="AC599" s="492" t="n"/>
      <c r="AD599" s="492" t="n"/>
      <c r="AE599" s="493" t="n"/>
      <c r="AF599" s="492" t="n"/>
      <c r="AG599" s="492" t="n"/>
      <c r="AH599" s="492" t="n"/>
      <c r="AI599" s="492" t="n"/>
      <c r="AJ599" s="493" t="n"/>
      <c r="AK599" s="492" t="n"/>
      <c r="AL599" s="492" t="n"/>
      <c r="AM599" s="492" t="n"/>
      <c r="AN599" s="492" t="n"/>
      <c r="AO599" s="492" t="n"/>
      <c r="AP599" s="492" t="n"/>
      <c r="AQ599" s="492" t="n"/>
      <c r="AR599" s="492" t="n"/>
      <c r="AS599" s="492" t="n"/>
      <c r="AT599" s="492" t="n"/>
      <c r="AU599" s="493" t="n"/>
      <c r="AV599" s="492" t="n"/>
      <c r="AW599" s="492" t="n"/>
      <c r="AX599" s="492" t="n"/>
      <c r="AY599" s="492" t="n"/>
      <c r="AZ599" s="492" t="n"/>
      <c r="BA599" s="493" t="n"/>
      <c r="BB599" s="492" t="n"/>
      <c r="BC599" s="492" t="n"/>
      <c r="BD599" s="492" t="n"/>
      <c r="BE599" s="492" t="n"/>
      <c r="BF599" s="493" t="n"/>
      <c r="BG599" s="493" t="n"/>
      <c r="BH599" s="495" t="n"/>
      <c r="BI599" s="496" t="n"/>
      <c r="BJ599" s="496" t="n"/>
      <c r="BK599" s="496" t="n"/>
      <c r="BM599" s="493" t="n"/>
      <c r="BN599" s="493" t="n"/>
      <c r="BO599" s="493" t="n"/>
      <c r="BP599" s="493" t="n"/>
      <c r="BQ599" s="493" t="n"/>
      <c r="BR599" s="493" t="n"/>
      <c r="BS599" s="493" t="n"/>
      <c r="BT599" s="493" t="n"/>
      <c r="BU599" s="493" t="n"/>
      <c r="BV599" s="493" t="n"/>
      <c r="BW599" s="493" t="n"/>
      <c r="BX599" s="493" t="n"/>
      <c r="BY599" s="493" t="n"/>
      <c r="BZ599" s="493" t="n"/>
      <c r="CA599" s="493" t="n"/>
      <c r="CB599" s="493" t="n"/>
      <c r="CC599" s="493" t="n"/>
      <c r="CD599" s="493" t="n"/>
      <c r="CE599" s="493" t="n"/>
      <c r="CF599" s="493" t="n"/>
      <c r="CG599" s="493" t="n"/>
      <c r="CH599" s="493" t="n"/>
      <c r="CI599" s="493" t="n"/>
      <c r="CJ599" s="493" t="n"/>
      <c r="CK599" s="493" t="n"/>
      <c r="CL599" s="493" t="n"/>
    </row>
    <row r="600" customFormat="1" s="230">
      <c r="E600" s="234" t="n"/>
      <c r="F600" s="492" t="n"/>
      <c r="G600" s="492" t="n"/>
      <c r="H600" s="493" t="n"/>
      <c r="I600" s="492" t="n"/>
      <c r="J600" s="492" t="n"/>
      <c r="K600" s="492" t="n"/>
      <c r="L600" s="492" t="n"/>
      <c r="M600" s="493" t="n"/>
      <c r="N600" s="492" t="n"/>
      <c r="O600" s="492" t="n"/>
      <c r="P600" s="492" t="n"/>
      <c r="Q600" s="492" t="n"/>
      <c r="R600" s="492" t="n"/>
      <c r="S600" s="492" t="n"/>
      <c r="T600" s="492" t="n"/>
      <c r="U600" s="492" t="n"/>
      <c r="V600" s="492" t="n"/>
      <c r="W600" s="492" t="n"/>
      <c r="X600" s="492" t="n"/>
      <c r="Y600" s="492" t="n"/>
      <c r="Z600" s="492" t="n"/>
      <c r="AA600" s="492" t="n"/>
      <c r="AB600" s="492" t="n"/>
      <c r="AC600" s="492" t="n"/>
      <c r="AD600" s="492" t="n"/>
      <c r="AE600" s="493" t="n"/>
      <c r="AF600" s="492" t="n"/>
      <c r="AG600" s="492" t="n"/>
      <c r="AH600" s="492" t="n"/>
      <c r="AI600" s="492" t="n"/>
      <c r="AJ600" s="493" t="n"/>
      <c r="AK600" s="492" t="n"/>
      <c r="AL600" s="492" t="n"/>
      <c r="AM600" s="492" t="n"/>
      <c r="AN600" s="492" t="n"/>
      <c r="AO600" s="492" t="n"/>
      <c r="AP600" s="492" t="n"/>
      <c r="AQ600" s="492" t="n"/>
      <c r="AR600" s="492" t="n"/>
      <c r="AS600" s="492" t="n"/>
      <c r="AT600" s="492" t="n"/>
      <c r="AU600" s="493" t="n"/>
      <c r="AV600" s="492" t="n"/>
      <c r="AW600" s="492" t="n"/>
      <c r="AX600" s="492" t="n"/>
      <c r="AY600" s="492" t="n"/>
      <c r="AZ600" s="492" t="n"/>
      <c r="BA600" s="493" t="n"/>
      <c r="BB600" s="492" t="n"/>
      <c r="BC600" s="492" t="n"/>
      <c r="BD600" s="492" t="n"/>
      <c r="BE600" s="492" t="n"/>
      <c r="BF600" s="493" t="n"/>
      <c r="BG600" s="493" t="n"/>
      <c r="BH600" s="495" t="n"/>
      <c r="BI600" s="496" t="n"/>
      <c r="BJ600" s="496" t="n"/>
      <c r="BK600" s="496" t="n"/>
      <c r="BM600" s="493" t="n"/>
      <c r="BN600" s="493" t="n"/>
      <c r="BO600" s="493" t="n"/>
      <c r="BP600" s="493" t="n"/>
      <c r="BQ600" s="493" t="n"/>
      <c r="BR600" s="493" t="n"/>
      <c r="BS600" s="493" t="n"/>
      <c r="BT600" s="493" t="n"/>
      <c r="BU600" s="493" t="n"/>
      <c r="BV600" s="493" t="n"/>
      <c r="BW600" s="493" t="n"/>
      <c r="BX600" s="493" t="n"/>
      <c r="BY600" s="493" t="n"/>
      <c r="BZ600" s="493" t="n"/>
      <c r="CA600" s="493" t="n"/>
      <c r="CB600" s="493" t="n"/>
      <c r="CC600" s="493" t="n"/>
      <c r="CD600" s="493" t="n"/>
      <c r="CE600" s="493" t="n"/>
      <c r="CF600" s="493" t="n"/>
      <c r="CG600" s="493" t="n"/>
      <c r="CH600" s="493" t="n"/>
      <c r="CI600" s="493" t="n"/>
      <c r="CJ600" s="493" t="n"/>
      <c r="CK600" s="493" t="n"/>
      <c r="CL600" s="493" t="n"/>
    </row>
    <row r="601" customFormat="1" s="230">
      <c r="E601" s="234" t="n"/>
      <c r="F601" s="492" t="n"/>
      <c r="G601" s="492" t="n"/>
      <c r="H601" s="493" t="n"/>
      <c r="I601" s="492" t="n"/>
      <c r="J601" s="492" t="n"/>
      <c r="K601" s="492" t="n"/>
      <c r="L601" s="492" t="n"/>
      <c r="M601" s="493" t="n"/>
      <c r="N601" s="492" t="n"/>
      <c r="O601" s="492" t="n"/>
      <c r="P601" s="492" t="n"/>
      <c r="Q601" s="492" t="n"/>
      <c r="R601" s="492" t="n"/>
      <c r="S601" s="492" t="n"/>
      <c r="T601" s="492" t="n"/>
      <c r="U601" s="492" t="n"/>
      <c r="V601" s="492" t="n"/>
      <c r="W601" s="492" t="n"/>
      <c r="X601" s="492" t="n"/>
      <c r="Y601" s="492" t="n"/>
      <c r="Z601" s="492" t="n"/>
      <c r="AA601" s="492" t="n"/>
      <c r="AB601" s="492" t="n"/>
      <c r="AC601" s="492" t="n"/>
      <c r="AD601" s="492" t="n"/>
      <c r="AE601" s="493" t="n"/>
      <c r="AF601" s="492" t="n"/>
      <c r="AG601" s="492" t="n"/>
      <c r="AH601" s="492" t="n"/>
      <c r="AI601" s="492" t="n"/>
      <c r="AJ601" s="493" t="n"/>
      <c r="AK601" s="492" t="n"/>
      <c r="AL601" s="492" t="n"/>
      <c r="AM601" s="492" t="n"/>
      <c r="AN601" s="492" t="n"/>
      <c r="AO601" s="492" t="n"/>
      <c r="AP601" s="492" t="n"/>
      <c r="AQ601" s="492" t="n"/>
      <c r="AR601" s="492" t="n"/>
      <c r="AS601" s="492" t="n"/>
      <c r="AT601" s="492" t="n"/>
      <c r="AU601" s="493" t="n"/>
      <c r="AV601" s="492" t="n"/>
      <c r="AW601" s="492" t="n"/>
      <c r="AX601" s="492" t="n"/>
      <c r="AY601" s="492" t="n"/>
      <c r="AZ601" s="492" t="n"/>
      <c r="BA601" s="493" t="n"/>
      <c r="BB601" s="492" t="n"/>
      <c r="BC601" s="492" t="n"/>
      <c r="BD601" s="492" t="n"/>
      <c r="BE601" s="492" t="n"/>
      <c r="BF601" s="493" t="n"/>
      <c r="BG601" s="493" t="n"/>
      <c r="BH601" s="495" t="n"/>
      <c r="BI601" s="496" t="n"/>
      <c r="BJ601" s="496" t="n"/>
      <c r="BK601" s="496" t="n"/>
      <c r="BM601" s="493" t="n"/>
      <c r="BN601" s="493" t="n"/>
      <c r="BO601" s="493" t="n"/>
      <c r="BP601" s="493" t="n"/>
      <c r="BQ601" s="493" t="n"/>
      <c r="BR601" s="493" t="n"/>
      <c r="BS601" s="493" t="n"/>
      <c r="BT601" s="493" t="n"/>
      <c r="BU601" s="493" t="n"/>
      <c r="BV601" s="493" t="n"/>
      <c r="BW601" s="493" t="n"/>
      <c r="BX601" s="493" t="n"/>
      <c r="BY601" s="493" t="n"/>
      <c r="BZ601" s="493" t="n"/>
      <c r="CA601" s="493" t="n"/>
      <c r="CB601" s="493" t="n"/>
      <c r="CC601" s="493" t="n"/>
      <c r="CD601" s="493" t="n"/>
      <c r="CE601" s="493" t="n"/>
      <c r="CF601" s="493" t="n"/>
      <c r="CG601" s="493" t="n"/>
      <c r="CH601" s="493" t="n"/>
      <c r="CI601" s="493" t="n"/>
      <c r="CJ601" s="493" t="n"/>
      <c r="CK601" s="493" t="n"/>
      <c r="CL601" s="493" t="n"/>
    </row>
    <row r="602" customFormat="1" s="230">
      <c r="E602" s="234" t="n"/>
      <c r="F602" s="492" t="n"/>
      <c r="G602" s="492" t="n"/>
      <c r="H602" s="493" t="n"/>
      <c r="I602" s="492" t="n"/>
      <c r="J602" s="492" t="n"/>
      <c r="K602" s="492" t="n"/>
      <c r="L602" s="492" t="n"/>
      <c r="M602" s="493" t="n"/>
      <c r="N602" s="492" t="n"/>
      <c r="O602" s="492" t="n"/>
      <c r="P602" s="492" t="n"/>
      <c r="Q602" s="492" t="n"/>
      <c r="R602" s="492" t="n"/>
      <c r="S602" s="492" t="n"/>
      <c r="T602" s="492" t="n"/>
      <c r="U602" s="492" t="n"/>
      <c r="V602" s="492" t="n"/>
      <c r="W602" s="492" t="n"/>
      <c r="X602" s="492" t="n"/>
      <c r="Y602" s="492" t="n"/>
      <c r="Z602" s="492" t="n"/>
      <c r="AA602" s="492" t="n"/>
      <c r="AB602" s="492" t="n"/>
      <c r="AC602" s="492" t="n"/>
      <c r="AD602" s="492" t="n"/>
      <c r="AE602" s="493" t="n"/>
      <c r="AF602" s="492" t="n"/>
      <c r="AG602" s="492" t="n"/>
      <c r="AH602" s="492" t="n"/>
      <c r="AI602" s="492" t="n"/>
      <c r="AJ602" s="493" t="n"/>
      <c r="AK602" s="492" t="n"/>
      <c r="AL602" s="492" t="n"/>
      <c r="AM602" s="492" t="n"/>
      <c r="AN602" s="492" t="n"/>
      <c r="AO602" s="492" t="n"/>
      <c r="AP602" s="492" t="n"/>
      <c r="AQ602" s="492" t="n"/>
      <c r="AR602" s="492" t="n"/>
      <c r="AS602" s="492" t="n"/>
      <c r="AT602" s="492" t="n"/>
      <c r="AU602" s="493" t="n"/>
      <c r="AV602" s="492" t="n"/>
      <c r="AW602" s="492" t="n"/>
      <c r="AX602" s="492" t="n"/>
      <c r="AY602" s="492" t="n"/>
      <c r="AZ602" s="492" t="n"/>
      <c r="BA602" s="493" t="n"/>
      <c r="BB602" s="492" t="n"/>
      <c r="BC602" s="492" t="n"/>
      <c r="BD602" s="492" t="n"/>
      <c r="BE602" s="492" t="n"/>
      <c r="BF602" s="493" t="n"/>
      <c r="BG602" s="493" t="n"/>
      <c r="BH602" s="495" t="n"/>
      <c r="BI602" s="496" t="n"/>
      <c r="BJ602" s="496" t="n"/>
      <c r="BK602" s="496" t="n"/>
      <c r="BM602" s="493" t="n"/>
      <c r="BN602" s="493" t="n"/>
      <c r="BO602" s="493" t="n"/>
      <c r="BP602" s="493" t="n"/>
      <c r="BQ602" s="493" t="n"/>
      <c r="BR602" s="493" t="n"/>
      <c r="BS602" s="493" t="n"/>
      <c r="BT602" s="493" t="n"/>
      <c r="BU602" s="493" t="n"/>
      <c r="BV602" s="493" t="n"/>
      <c r="BW602" s="493" t="n"/>
      <c r="BX602" s="493" t="n"/>
      <c r="BY602" s="493" t="n"/>
      <c r="BZ602" s="493" t="n"/>
      <c r="CA602" s="493" t="n"/>
      <c r="CB602" s="493" t="n"/>
      <c r="CC602" s="493" t="n"/>
      <c r="CD602" s="493" t="n"/>
      <c r="CE602" s="493" t="n"/>
      <c r="CF602" s="493" t="n"/>
      <c r="CG602" s="493" t="n"/>
      <c r="CH602" s="493" t="n"/>
      <c r="CI602" s="493" t="n"/>
      <c r="CJ602" s="493" t="n"/>
      <c r="CK602" s="493" t="n"/>
      <c r="CL602" s="493" t="n"/>
    </row>
    <row r="603" customFormat="1" s="230">
      <c r="E603" s="234" t="n"/>
      <c r="F603" s="492" t="n"/>
      <c r="G603" s="492" t="n"/>
      <c r="H603" s="493" t="n"/>
      <c r="I603" s="492" t="n"/>
      <c r="J603" s="492" t="n"/>
      <c r="K603" s="492" t="n"/>
      <c r="L603" s="492" t="n"/>
      <c r="M603" s="493" t="n"/>
      <c r="N603" s="492" t="n"/>
      <c r="O603" s="492" t="n"/>
      <c r="P603" s="492" t="n"/>
      <c r="Q603" s="492" t="n"/>
      <c r="R603" s="492" t="n"/>
      <c r="S603" s="492" t="n"/>
      <c r="T603" s="492" t="n"/>
      <c r="U603" s="492" t="n"/>
      <c r="V603" s="492" t="n"/>
      <c r="W603" s="492" t="n"/>
      <c r="X603" s="492" t="n"/>
      <c r="Y603" s="492" t="n"/>
      <c r="Z603" s="492" t="n"/>
      <c r="AA603" s="492" t="n"/>
      <c r="AB603" s="492" t="n"/>
      <c r="AC603" s="492" t="n"/>
      <c r="AD603" s="492" t="n"/>
      <c r="AE603" s="493" t="n"/>
      <c r="AF603" s="492" t="n"/>
      <c r="AG603" s="492" t="n"/>
      <c r="AH603" s="492" t="n"/>
      <c r="AI603" s="492" t="n"/>
      <c r="AJ603" s="493" t="n"/>
      <c r="AK603" s="492" t="n"/>
      <c r="AL603" s="492" t="n"/>
      <c r="AM603" s="492" t="n"/>
      <c r="AN603" s="492" t="n"/>
      <c r="AO603" s="492" t="n"/>
      <c r="AP603" s="492" t="n"/>
      <c r="AQ603" s="492" t="n"/>
      <c r="AR603" s="492" t="n"/>
      <c r="AS603" s="492" t="n"/>
      <c r="AT603" s="492" t="n"/>
      <c r="AU603" s="493" t="n"/>
      <c r="AV603" s="492" t="n"/>
      <c r="AW603" s="492" t="n"/>
      <c r="AX603" s="492" t="n"/>
      <c r="AY603" s="492" t="n"/>
      <c r="AZ603" s="492" t="n"/>
      <c r="BA603" s="493" t="n"/>
      <c r="BB603" s="492" t="n"/>
      <c r="BC603" s="492" t="n"/>
      <c r="BD603" s="492" t="n"/>
      <c r="BE603" s="492" t="n"/>
      <c r="BF603" s="493" t="n"/>
      <c r="BG603" s="493" t="n"/>
      <c r="BH603" s="495" t="n"/>
      <c r="BI603" s="496" t="n"/>
      <c r="BJ603" s="496" t="n"/>
      <c r="BK603" s="496" t="n"/>
      <c r="BM603" s="493" t="n"/>
      <c r="BN603" s="493" t="n"/>
      <c r="BO603" s="493" t="n"/>
      <c r="BP603" s="493" t="n"/>
      <c r="BQ603" s="493" t="n"/>
      <c r="BR603" s="493" t="n"/>
      <c r="BS603" s="493" t="n"/>
      <c r="BT603" s="493" t="n"/>
      <c r="BU603" s="493" t="n"/>
      <c r="BV603" s="493" t="n"/>
      <c r="BW603" s="493" t="n"/>
      <c r="BX603" s="493" t="n"/>
      <c r="BY603" s="493" t="n"/>
      <c r="BZ603" s="493" t="n"/>
      <c r="CA603" s="493" t="n"/>
      <c r="CB603" s="493" t="n"/>
      <c r="CC603" s="493" t="n"/>
      <c r="CD603" s="493" t="n"/>
      <c r="CE603" s="493" t="n"/>
      <c r="CF603" s="493" t="n"/>
      <c r="CG603" s="493" t="n"/>
      <c r="CH603" s="493" t="n"/>
      <c r="CI603" s="493" t="n"/>
      <c r="CJ603" s="493" t="n"/>
      <c r="CK603" s="493" t="n"/>
      <c r="CL603" s="493" t="n"/>
    </row>
    <row r="604" customFormat="1" s="230">
      <c r="E604" s="234" t="n"/>
      <c r="F604" s="492" t="n"/>
      <c r="G604" s="492" t="n"/>
      <c r="H604" s="493" t="n"/>
      <c r="I604" s="492" t="n"/>
      <c r="J604" s="492" t="n"/>
      <c r="K604" s="492" t="n"/>
      <c r="L604" s="492" t="n"/>
      <c r="M604" s="493" t="n"/>
      <c r="N604" s="492" t="n"/>
      <c r="O604" s="492" t="n"/>
      <c r="P604" s="492" t="n"/>
      <c r="Q604" s="492" t="n"/>
      <c r="R604" s="492" t="n"/>
      <c r="S604" s="492" t="n"/>
      <c r="T604" s="492" t="n"/>
      <c r="U604" s="492" t="n"/>
      <c r="V604" s="492" t="n"/>
      <c r="W604" s="492" t="n"/>
      <c r="X604" s="492" t="n"/>
      <c r="Y604" s="492" t="n"/>
      <c r="Z604" s="492" t="n"/>
      <c r="AA604" s="492" t="n"/>
      <c r="AB604" s="492" t="n"/>
      <c r="AC604" s="492" t="n"/>
      <c r="AD604" s="492" t="n"/>
      <c r="AE604" s="493" t="n"/>
      <c r="AF604" s="492" t="n"/>
      <c r="AG604" s="492" t="n"/>
      <c r="AH604" s="492" t="n"/>
      <c r="AI604" s="492" t="n"/>
      <c r="AJ604" s="493" t="n"/>
      <c r="AK604" s="492" t="n"/>
      <c r="AL604" s="492" t="n"/>
      <c r="AM604" s="492" t="n"/>
      <c r="AN604" s="492" t="n"/>
      <c r="AO604" s="492" t="n"/>
      <c r="AP604" s="492" t="n"/>
      <c r="AQ604" s="492" t="n"/>
      <c r="AR604" s="492" t="n"/>
      <c r="AS604" s="492" t="n"/>
      <c r="AT604" s="492" t="n"/>
      <c r="AU604" s="493" t="n"/>
      <c r="AV604" s="492" t="n"/>
      <c r="AW604" s="492" t="n"/>
      <c r="AX604" s="492" t="n"/>
      <c r="AY604" s="492" t="n"/>
      <c r="AZ604" s="492" t="n"/>
      <c r="BA604" s="493" t="n"/>
      <c r="BB604" s="492" t="n"/>
      <c r="BC604" s="492" t="n"/>
      <c r="BD604" s="492" t="n"/>
      <c r="BE604" s="492" t="n"/>
      <c r="BF604" s="493" t="n"/>
      <c r="BG604" s="493" t="n"/>
      <c r="BH604" s="495" t="n"/>
      <c r="BI604" s="496" t="n"/>
      <c r="BJ604" s="496" t="n"/>
      <c r="BK604" s="496" t="n"/>
      <c r="BM604" s="493" t="n"/>
      <c r="BN604" s="493" t="n"/>
      <c r="BO604" s="493" t="n"/>
      <c r="BP604" s="493" t="n"/>
      <c r="BQ604" s="493" t="n"/>
      <c r="BR604" s="493" t="n"/>
      <c r="BS604" s="493" t="n"/>
      <c r="BT604" s="493" t="n"/>
      <c r="BU604" s="493" t="n"/>
      <c r="BV604" s="493" t="n"/>
      <c r="BW604" s="493" t="n"/>
      <c r="BX604" s="493" t="n"/>
      <c r="BY604" s="493" t="n"/>
      <c r="BZ604" s="493" t="n"/>
      <c r="CA604" s="493" t="n"/>
      <c r="CB604" s="493" t="n"/>
      <c r="CC604" s="493" t="n"/>
      <c r="CD604" s="493" t="n"/>
      <c r="CE604" s="493" t="n"/>
      <c r="CF604" s="493" t="n"/>
      <c r="CG604" s="493" t="n"/>
      <c r="CH604" s="493" t="n"/>
      <c r="CI604" s="493" t="n"/>
      <c r="CJ604" s="493" t="n"/>
      <c r="CK604" s="493" t="n"/>
      <c r="CL604" s="493" t="n"/>
    </row>
    <row r="605" customFormat="1" s="230">
      <c r="E605" s="234" t="n"/>
      <c r="F605" s="492" t="n"/>
      <c r="G605" s="492" t="n"/>
      <c r="H605" s="493" t="n"/>
      <c r="I605" s="492" t="n"/>
      <c r="J605" s="492" t="n"/>
      <c r="K605" s="492" t="n"/>
      <c r="L605" s="492" t="n"/>
      <c r="M605" s="493" t="n"/>
      <c r="N605" s="492" t="n"/>
      <c r="O605" s="492" t="n"/>
      <c r="P605" s="492" t="n"/>
      <c r="Q605" s="492" t="n"/>
      <c r="R605" s="492" t="n"/>
      <c r="S605" s="492" t="n"/>
      <c r="T605" s="492" t="n"/>
      <c r="U605" s="492" t="n"/>
      <c r="V605" s="492" t="n"/>
      <c r="W605" s="492" t="n"/>
      <c r="X605" s="492" t="n"/>
      <c r="Y605" s="492" t="n"/>
      <c r="Z605" s="492" t="n"/>
      <c r="AA605" s="492" t="n"/>
      <c r="AB605" s="492" t="n"/>
      <c r="AC605" s="492" t="n"/>
      <c r="AD605" s="492" t="n"/>
      <c r="AE605" s="493" t="n"/>
      <c r="AF605" s="492" t="n"/>
      <c r="AG605" s="492" t="n"/>
      <c r="AH605" s="492" t="n"/>
      <c r="AI605" s="492" t="n"/>
      <c r="AJ605" s="493" t="n"/>
      <c r="AK605" s="492" t="n"/>
      <c r="AL605" s="492" t="n"/>
      <c r="AM605" s="492" t="n"/>
      <c r="AN605" s="492" t="n"/>
      <c r="AO605" s="492" t="n"/>
      <c r="AP605" s="492" t="n"/>
      <c r="AQ605" s="492" t="n"/>
      <c r="AR605" s="492" t="n"/>
      <c r="AS605" s="492" t="n"/>
      <c r="AT605" s="492" t="n"/>
      <c r="AU605" s="493" t="n"/>
      <c r="AV605" s="492" t="n"/>
      <c r="AW605" s="492" t="n"/>
      <c r="AX605" s="492" t="n"/>
      <c r="AY605" s="492" t="n"/>
      <c r="AZ605" s="492" t="n"/>
      <c r="BA605" s="493" t="n"/>
      <c r="BB605" s="492" t="n"/>
      <c r="BC605" s="492" t="n"/>
      <c r="BD605" s="492" t="n"/>
      <c r="BE605" s="492" t="n"/>
      <c r="BF605" s="493" t="n"/>
      <c r="BG605" s="493" t="n"/>
      <c r="BH605" s="495" t="n"/>
      <c r="BI605" s="496" t="n"/>
      <c r="BJ605" s="496" t="n"/>
      <c r="BK605" s="496" t="n"/>
      <c r="BM605" s="493" t="n"/>
      <c r="BN605" s="493" t="n"/>
      <c r="BO605" s="493" t="n"/>
      <c r="BP605" s="493" t="n"/>
      <c r="BQ605" s="493" t="n"/>
      <c r="BR605" s="493" t="n"/>
      <c r="BS605" s="493" t="n"/>
      <c r="BT605" s="493" t="n"/>
      <c r="BU605" s="493" t="n"/>
      <c r="BV605" s="493" t="n"/>
      <c r="BW605" s="493" t="n"/>
      <c r="BX605" s="493" t="n"/>
      <c r="BY605" s="493" t="n"/>
      <c r="BZ605" s="493" t="n"/>
      <c r="CA605" s="493" t="n"/>
      <c r="CB605" s="493" t="n"/>
      <c r="CC605" s="493" t="n"/>
      <c r="CD605" s="493" t="n"/>
      <c r="CE605" s="493" t="n"/>
      <c r="CF605" s="493" t="n"/>
      <c r="CG605" s="493" t="n"/>
      <c r="CH605" s="493" t="n"/>
      <c r="CI605" s="493" t="n"/>
      <c r="CJ605" s="493" t="n"/>
      <c r="CK605" s="493" t="n"/>
      <c r="CL605" s="493" t="n"/>
    </row>
    <row r="606" customFormat="1" s="230">
      <c r="E606" s="234" t="n"/>
      <c r="F606" s="492" t="n"/>
      <c r="G606" s="492" t="n"/>
      <c r="H606" s="493" t="n"/>
      <c r="I606" s="492" t="n"/>
      <c r="J606" s="492" t="n"/>
      <c r="K606" s="492" t="n"/>
      <c r="L606" s="492" t="n"/>
      <c r="M606" s="493" t="n"/>
      <c r="N606" s="492" t="n"/>
      <c r="O606" s="492" t="n"/>
      <c r="P606" s="492" t="n"/>
      <c r="Q606" s="492" t="n"/>
      <c r="R606" s="492" t="n"/>
      <c r="S606" s="492" t="n"/>
      <c r="T606" s="492" t="n"/>
      <c r="U606" s="492" t="n"/>
      <c r="V606" s="492" t="n"/>
      <c r="W606" s="492" t="n"/>
      <c r="X606" s="492" t="n"/>
      <c r="Y606" s="492" t="n"/>
      <c r="Z606" s="492" t="n"/>
      <c r="AA606" s="492" t="n"/>
      <c r="AB606" s="492" t="n"/>
      <c r="AC606" s="492" t="n"/>
      <c r="AD606" s="492" t="n"/>
      <c r="AE606" s="493" t="n"/>
      <c r="AF606" s="492" t="n"/>
      <c r="AG606" s="492" t="n"/>
      <c r="AH606" s="492" t="n"/>
      <c r="AI606" s="492" t="n"/>
      <c r="AJ606" s="493" t="n"/>
      <c r="AK606" s="492" t="n"/>
      <c r="AL606" s="492" t="n"/>
      <c r="AM606" s="492" t="n"/>
      <c r="AN606" s="492" t="n"/>
      <c r="AO606" s="492" t="n"/>
      <c r="AP606" s="492" t="n"/>
      <c r="AQ606" s="492" t="n"/>
      <c r="AR606" s="492" t="n"/>
      <c r="AS606" s="492" t="n"/>
      <c r="AT606" s="492" t="n"/>
      <c r="AU606" s="493" t="n"/>
      <c r="AV606" s="492" t="n"/>
      <c r="AW606" s="492" t="n"/>
      <c r="AX606" s="492" t="n"/>
      <c r="AY606" s="492" t="n"/>
      <c r="AZ606" s="492" t="n"/>
      <c r="BA606" s="493" t="n"/>
      <c r="BB606" s="492" t="n"/>
      <c r="BC606" s="492" t="n"/>
      <c r="BD606" s="492" t="n"/>
      <c r="BE606" s="492" t="n"/>
      <c r="BF606" s="493" t="n"/>
      <c r="BG606" s="493" t="n"/>
      <c r="BH606" s="495" t="n"/>
      <c r="BI606" s="496" t="n"/>
      <c r="BJ606" s="496" t="n"/>
      <c r="BK606" s="496" t="n"/>
      <c r="BM606" s="493" t="n"/>
      <c r="BN606" s="493" t="n"/>
      <c r="BO606" s="493" t="n"/>
      <c r="BP606" s="493" t="n"/>
      <c r="BQ606" s="493" t="n"/>
      <c r="BR606" s="493" t="n"/>
      <c r="BS606" s="493" t="n"/>
      <c r="BT606" s="493" t="n"/>
      <c r="BU606" s="493" t="n"/>
      <c r="BV606" s="493" t="n"/>
      <c r="BW606" s="493" t="n"/>
      <c r="BX606" s="493" t="n"/>
      <c r="BY606" s="493" t="n"/>
      <c r="BZ606" s="493" t="n"/>
      <c r="CA606" s="493" t="n"/>
      <c r="CB606" s="493" t="n"/>
      <c r="CC606" s="493" t="n"/>
      <c r="CD606" s="493" t="n"/>
      <c r="CE606" s="493" t="n"/>
      <c r="CF606" s="493" t="n"/>
      <c r="CG606" s="493" t="n"/>
      <c r="CH606" s="493" t="n"/>
      <c r="CI606" s="493" t="n"/>
      <c r="CJ606" s="493" t="n"/>
      <c r="CK606" s="493" t="n"/>
      <c r="CL606" s="493" t="n"/>
    </row>
    <row r="607" customFormat="1" s="230">
      <c r="E607" s="234" t="n"/>
      <c r="F607" s="492" t="n"/>
      <c r="G607" s="492" t="n"/>
      <c r="H607" s="493" t="n"/>
      <c r="I607" s="492" t="n"/>
      <c r="J607" s="492" t="n"/>
      <c r="K607" s="492" t="n"/>
      <c r="L607" s="492" t="n"/>
      <c r="M607" s="493" t="n"/>
      <c r="N607" s="492" t="n"/>
      <c r="O607" s="492" t="n"/>
      <c r="P607" s="492" t="n"/>
      <c r="Q607" s="492" t="n"/>
      <c r="R607" s="492" t="n"/>
      <c r="S607" s="492" t="n"/>
      <c r="T607" s="492" t="n"/>
      <c r="U607" s="492" t="n"/>
      <c r="V607" s="492" t="n"/>
      <c r="W607" s="492" t="n"/>
      <c r="X607" s="492" t="n"/>
      <c r="Y607" s="492" t="n"/>
      <c r="Z607" s="492" t="n"/>
      <c r="AA607" s="492" t="n"/>
      <c r="AB607" s="492" t="n"/>
      <c r="AC607" s="492" t="n"/>
      <c r="AD607" s="492" t="n"/>
      <c r="AE607" s="493" t="n"/>
      <c r="AF607" s="492" t="n"/>
      <c r="AG607" s="492" t="n"/>
      <c r="AH607" s="492" t="n"/>
      <c r="AI607" s="492" t="n"/>
      <c r="AJ607" s="493" t="n"/>
      <c r="AK607" s="492" t="n"/>
      <c r="AL607" s="492" t="n"/>
      <c r="AM607" s="492" t="n"/>
      <c r="AN607" s="492" t="n"/>
      <c r="AO607" s="492" t="n"/>
      <c r="AP607" s="492" t="n"/>
      <c r="AQ607" s="492" t="n"/>
      <c r="AR607" s="492" t="n"/>
      <c r="AS607" s="492" t="n"/>
      <c r="AT607" s="492" t="n"/>
      <c r="AU607" s="493" t="n"/>
      <c r="AV607" s="492" t="n"/>
      <c r="AW607" s="492" t="n"/>
      <c r="AX607" s="492" t="n"/>
      <c r="AY607" s="492" t="n"/>
      <c r="AZ607" s="492" t="n"/>
      <c r="BA607" s="493" t="n"/>
      <c r="BB607" s="492" t="n"/>
      <c r="BC607" s="492" t="n"/>
      <c r="BD607" s="492" t="n"/>
      <c r="BE607" s="492" t="n"/>
      <c r="BF607" s="493" t="n"/>
      <c r="BG607" s="493" t="n"/>
      <c r="BH607" s="495" t="n"/>
      <c r="BI607" s="496" t="n"/>
      <c r="BJ607" s="496" t="n"/>
      <c r="BK607" s="496" t="n"/>
      <c r="BM607" s="493" t="n"/>
      <c r="BN607" s="493" t="n"/>
      <c r="BO607" s="493" t="n"/>
      <c r="BP607" s="493" t="n"/>
      <c r="BQ607" s="493" t="n"/>
      <c r="BR607" s="493" t="n"/>
      <c r="BS607" s="493" t="n"/>
      <c r="BT607" s="493" t="n"/>
      <c r="BU607" s="493" t="n"/>
      <c r="BV607" s="493" t="n"/>
      <c r="BW607" s="493" t="n"/>
      <c r="BX607" s="493" t="n"/>
      <c r="BY607" s="493" t="n"/>
      <c r="BZ607" s="493" t="n"/>
      <c r="CA607" s="493" t="n"/>
      <c r="CB607" s="493" t="n"/>
      <c r="CC607" s="493" t="n"/>
      <c r="CD607" s="493" t="n"/>
      <c r="CE607" s="493" t="n"/>
      <c r="CF607" s="493" t="n"/>
      <c r="CG607" s="493" t="n"/>
      <c r="CH607" s="493" t="n"/>
      <c r="CI607" s="493" t="n"/>
      <c r="CJ607" s="493" t="n"/>
      <c r="CK607" s="493" t="n"/>
      <c r="CL607" s="493" t="n"/>
    </row>
    <row r="608" customFormat="1" s="230">
      <c r="E608" s="234" t="n"/>
      <c r="F608" s="492" t="n"/>
      <c r="G608" s="492" t="n"/>
      <c r="H608" s="493" t="n"/>
      <c r="I608" s="492" t="n"/>
      <c r="J608" s="492" t="n"/>
      <c r="K608" s="492" t="n"/>
      <c r="L608" s="492" t="n"/>
      <c r="M608" s="493" t="n"/>
      <c r="N608" s="492" t="n"/>
      <c r="O608" s="492" t="n"/>
      <c r="P608" s="492" t="n"/>
      <c r="Q608" s="492" t="n"/>
      <c r="R608" s="492" t="n"/>
      <c r="S608" s="492" t="n"/>
      <c r="T608" s="492" t="n"/>
      <c r="U608" s="492" t="n"/>
      <c r="V608" s="492" t="n"/>
      <c r="W608" s="492" t="n"/>
      <c r="X608" s="492" t="n"/>
      <c r="Y608" s="492" t="n"/>
      <c r="Z608" s="492" t="n"/>
      <c r="AA608" s="492" t="n"/>
      <c r="AB608" s="492" t="n"/>
      <c r="AC608" s="492" t="n"/>
      <c r="AD608" s="492" t="n"/>
      <c r="AE608" s="493" t="n"/>
      <c r="AF608" s="492" t="n"/>
      <c r="AG608" s="492" t="n"/>
      <c r="AH608" s="492" t="n"/>
      <c r="AI608" s="492" t="n"/>
      <c r="AJ608" s="493" t="n"/>
      <c r="AK608" s="492" t="n"/>
      <c r="AL608" s="492" t="n"/>
      <c r="AM608" s="492" t="n"/>
      <c r="AN608" s="492" t="n"/>
      <c r="AO608" s="492" t="n"/>
      <c r="AP608" s="492" t="n"/>
      <c r="AQ608" s="492" t="n"/>
      <c r="AR608" s="492" t="n"/>
      <c r="AS608" s="492" t="n"/>
      <c r="AT608" s="492" t="n"/>
      <c r="AU608" s="493" t="n"/>
      <c r="AV608" s="492" t="n"/>
      <c r="AW608" s="492" t="n"/>
      <c r="AX608" s="492" t="n"/>
      <c r="AY608" s="492" t="n"/>
      <c r="AZ608" s="492" t="n"/>
      <c r="BA608" s="493" t="n"/>
      <c r="BB608" s="492" t="n"/>
      <c r="BC608" s="492" t="n"/>
      <c r="BD608" s="492" t="n"/>
      <c r="BE608" s="492" t="n"/>
      <c r="BF608" s="493" t="n"/>
      <c r="BG608" s="493" t="n"/>
      <c r="BH608" s="495" t="n"/>
      <c r="BI608" s="496" t="n"/>
      <c r="BJ608" s="496" t="n"/>
      <c r="BK608" s="496" t="n"/>
      <c r="BM608" s="493" t="n"/>
      <c r="BN608" s="493" t="n"/>
      <c r="BO608" s="493" t="n"/>
      <c r="BP608" s="493" t="n"/>
      <c r="BQ608" s="493" t="n"/>
      <c r="BR608" s="493" t="n"/>
      <c r="BS608" s="493" t="n"/>
      <c r="BT608" s="493" t="n"/>
      <c r="BU608" s="493" t="n"/>
      <c r="BV608" s="493" t="n"/>
      <c r="BW608" s="493" t="n"/>
      <c r="BX608" s="493" t="n"/>
      <c r="BY608" s="493" t="n"/>
      <c r="BZ608" s="493" t="n"/>
      <c r="CA608" s="493" t="n"/>
      <c r="CB608" s="493" t="n"/>
      <c r="CC608" s="493" t="n"/>
      <c r="CD608" s="493" t="n"/>
      <c r="CE608" s="493" t="n"/>
      <c r="CF608" s="493" t="n"/>
      <c r="CG608" s="493" t="n"/>
      <c r="CH608" s="493" t="n"/>
      <c r="CI608" s="493" t="n"/>
      <c r="CJ608" s="493" t="n"/>
      <c r="CK608" s="493" t="n"/>
      <c r="CL608" s="493" t="n"/>
    </row>
    <row r="609" customFormat="1" s="230">
      <c r="E609" s="234" t="n"/>
      <c r="F609" s="492" t="n"/>
      <c r="G609" s="492" t="n"/>
      <c r="H609" s="493" t="n"/>
      <c r="I609" s="492" t="n"/>
      <c r="J609" s="492" t="n"/>
      <c r="K609" s="492" t="n"/>
      <c r="L609" s="492" t="n"/>
      <c r="M609" s="493" t="n"/>
      <c r="N609" s="492" t="n"/>
      <c r="O609" s="492" t="n"/>
      <c r="P609" s="492" t="n"/>
      <c r="Q609" s="492" t="n"/>
      <c r="R609" s="492" t="n"/>
      <c r="S609" s="492" t="n"/>
      <c r="T609" s="492" t="n"/>
      <c r="U609" s="492" t="n"/>
      <c r="V609" s="492" t="n"/>
      <c r="W609" s="492" t="n"/>
      <c r="X609" s="492" t="n"/>
      <c r="Y609" s="492" t="n"/>
      <c r="Z609" s="492" t="n"/>
      <c r="AA609" s="492" t="n"/>
      <c r="AB609" s="492" t="n"/>
      <c r="AC609" s="492" t="n"/>
      <c r="AD609" s="492" t="n"/>
      <c r="AE609" s="493" t="n"/>
      <c r="AF609" s="492" t="n"/>
      <c r="AG609" s="492" t="n"/>
      <c r="AH609" s="492" t="n"/>
      <c r="AI609" s="492" t="n"/>
      <c r="AJ609" s="493" t="n"/>
      <c r="AK609" s="492" t="n"/>
      <c r="AL609" s="492" t="n"/>
      <c r="AM609" s="492" t="n"/>
      <c r="AN609" s="492" t="n"/>
      <c r="AO609" s="492" t="n"/>
      <c r="AP609" s="492" t="n"/>
      <c r="AQ609" s="492" t="n"/>
      <c r="AR609" s="492" t="n"/>
      <c r="AS609" s="492" t="n"/>
      <c r="AT609" s="492" t="n"/>
      <c r="AU609" s="493" t="n"/>
      <c r="AV609" s="492" t="n"/>
      <c r="AW609" s="492" t="n"/>
      <c r="AX609" s="492" t="n"/>
      <c r="AY609" s="492" t="n"/>
      <c r="AZ609" s="492" t="n"/>
      <c r="BA609" s="493" t="n"/>
      <c r="BB609" s="492" t="n"/>
      <c r="BC609" s="492" t="n"/>
      <c r="BD609" s="492" t="n"/>
      <c r="BE609" s="492" t="n"/>
      <c r="BF609" s="493" t="n"/>
      <c r="BG609" s="493" t="n"/>
      <c r="BH609" s="495" t="n"/>
      <c r="BI609" s="496" t="n"/>
      <c r="BJ609" s="496" t="n"/>
      <c r="BK609" s="496" t="n"/>
      <c r="BM609" s="493" t="n"/>
      <c r="BN609" s="493" t="n"/>
      <c r="BO609" s="493" t="n"/>
      <c r="BP609" s="493" t="n"/>
      <c r="BQ609" s="493" t="n"/>
      <c r="BR609" s="493" t="n"/>
      <c r="BS609" s="493" t="n"/>
      <c r="BT609" s="493" t="n"/>
      <c r="BU609" s="493" t="n"/>
      <c r="BV609" s="493" t="n"/>
      <c r="BW609" s="493" t="n"/>
      <c r="BX609" s="493" t="n"/>
      <c r="BY609" s="493" t="n"/>
      <c r="BZ609" s="493" t="n"/>
      <c r="CA609" s="493" t="n"/>
      <c r="CB609" s="493" t="n"/>
      <c r="CC609" s="493" t="n"/>
      <c r="CD609" s="493" t="n"/>
      <c r="CE609" s="493" t="n"/>
      <c r="CF609" s="493" t="n"/>
      <c r="CG609" s="493" t="n"/>
      <c r="CH609" s="493" t="n"/>
      <c r="CI609" s="493" t="n"/>
      <c r="CJ609" s="493" t="n"/>
      <c r="CK609" s="493" t="n"/>
      <c r="CL609" s="493" t="n"/>
    </row>
    <row r="610" customFormat="1" s="230">
      <c r="E610" s="234" t="n"/>
      <c r="F610" s="492" t="n"/>
      <c r="G610" s="492" t="n"/>
      <c r="H610" s="493" t="n"/>
      <c r="I610" s="492" t="n"/>
      <c r="J610" s="492" t="n"/>
      <c r="K610" s="492" t="n"/>
      <c r="L610" s="492" t="n"/>
      <c r="M610" s="493" t="n"/>
      <c r="N610" s="492" t="n"/>
      <c r="O610" s="492" t="n"/>
      <c r="P610" s="492" t="n"/>
      <c r="Q610" s="492" t="n"/>
      <c r="R610" s="492" t="n"/>
      <c r="S610" s="492" t="n"/>
      <c r="T610" s="492" t="n"/>
      <c r="U610" s="492" t="n"/>
      <c r="V610" s="492" t="n"/>
      <c r="W610" s="492" t="n"/>
      <c r="X610" s="492" t="n"/>
      <c r="Y610" s="492" t="n"/>
      <c r="Z610" s="492" t="n"/>
      <c r="AA610" s="492" t="n"/>
      <c r="AB610" s="492" t="n"/>
      <c r="AC610" s="492" t="n"/>
      <c r="AD610" s="492" t="n"/>
      <c r="AE610" s="493" t="n"/>
      <c r="AF610" s="492" t="n"/>
      <c r="AG610" s="492" t="n"/>
      <c r="AH610" s="492" t="n"/>
      <c r="AI610" s="492" t="n"/>
      <c r="AJ610" s="493" t="n"/>
      <c r="AK610" s="492" t="n"/>
      <c r="AL610" s="492" t="n"/>
      <c r="AM610" s="492" t="n"/>
      <c r="AN610" s="492" t="n"/>
      <c r="AO610" s="492" t="n"/>
      <c r="AP610" s="492" t="n"/>
      <c r="AQ610" s="492" t="n"/>
      <c r="AR610" s="492" t="n"/>
      <c r="AS610" s="492" t="n"/>
      <c r="AT610" s="492" t="n"/>
      <c r="AU610" s="493" t="n"/>
      <c r="AV610" s="492" t="n"/>
      <c r="AW610" s="492" t="n"/>
      <c r="AX610" s="492" t="n"/>
      <c r="AY610" s="492" t="n"/>
      <c r="AZ610" s="492" t="n"/>
      <c r="BA610" s="493" t="n"/>
      <c r="BB610" s="492" t="n"/>
      <c r="BC610" s="492" t="n"/>
      <c r="BD610" s="492" t="n"/>
      <c r="BE610" s="492" t="n"/>
      <c r="BF610" s="493" t="n"/>
      <c r="BG610" s="493" t="n"/>
      <c r="BH610" s="495" t="n"/>
      <c r="BI610" s="496" t="n"/>
      <c r="BJ610" s="496" t="n"/>
      <c r="BK610" s="496" t="n"/>
      <c r="BM610" s="493" t="n"/>
      <c r="BN610" s="493" t="n"/>
      <c r="BO610" s="493" t="n"/>
      <c r="BP610" s="493" t="n"/>
      <c r="BQ610" s="493" t="n"/>
      <c r="BR610" s="493" t="n"/>
      <c r="BS610" s="493" t="n"/>
      <c r="BT610" s="493" t="n"/>
      <c r="BU610" s="493" t="n"/>
      <c r="BV610" s="493" t="n"/>
      <c r="BW610" s="493" t="n"/>
      <c r="BX610" s="493" t="n"/>
      <c r="BY610" s="493" t="n"/>
      <c r="BZ610" s="493" t="n"/>
      <c r="CA610" s="493" t="n"/>
      <c r="CB610" s="493" t="n"/>
      <c r="CC610" s="493" t="n"/>
      <c r="CD610" s="493" t="n"/>
      <c r="CE610" s="493" t="n"/>
      <c r="CF610" s="493" t="n"/>
      <c r="CG610" s="493" t="n"/>
      <c r="CH610" s="493" t="n"/>
      <c r="CI610" s="493" t="n"/>
      <c r="CJ610" s="493" t="n"/>
      <c r="CK610" s="493" t="n"/>
      <c r="CL610" s="493" t="n"/>
    </row>
    <row r="611" customFormat="1" s="230">
      <c r="E611" s="234" t="n"/>
      <c r="F611" s="492" t="n"/>
      <c r="G611" s="492" t="n"/>
      <c r="H611" s="493" t="n"/>
      <c r="I611" s="492" t="n"/>
      <c r="J611" s="492" t="n"/>
      <c r="K611" s="492" t="n"/>
      <c r="L611" s="492" t="n"/>
      <c r="M611" s="493" t="n"/>
      <c r="N611" s="492" t="n"/>
      <c r="O611" s="492" t="n"/>
      <c r="P611" s="492" t="n"/>
      <c r="Q611" s="492" t="n"/>
      <c r="R611" s="492" t="n"/>
      <c r="S611" s="492" t="n"/>
      <c r="T611" s="492" t="n"/>
      <c r="U611" s="492" t="n"/>
      <c r="V611" s="492" t="n"/>
      <c r="W611" s="492" t="n"/>
      <c r="X611" s="492" t="n"/>
      <c r="Y611" s="492" t="n"/>
      <c r="Z611" s="492" t="n"/>
      <c r="AA611" s="492" t="n"/>
      <c r="AB611" s="492" t="n"/>
      <c r="AC611" s="492" t="n"/>
      <c r="AD611" s="492" t="n"/>
      <c r="AE611" s="493" t="n"/>
      <c r="AF611" s="492" t="n"/>
      <c r="AG611" s="492" t="n"/>
      <c r="AH611" s="492" t="n"/>
      <c r="AI611" s="492" t="n"/>
      <c r="AJ611" s="493" t="n"/>
      <c r="AK611" s="492" t="n"/>
      <c r="AL611" s="492" t="n"/>
      <c r="AM611" s="492" t="n"/>
      <c r="AN611" s="492" t="n"/>
      <c r="AO611" s="492" t="n"/>
      <c r="AP611" s="492" t="n"/>
      <c r="AQ611" s="492" t="n"/>
      <c r="AR611" s="492" t="n"/>
      <c r="AS611" s="492" t="n"/>
      <c r="AT611" s="492" t="n"/>
      <c r="AU611" s="493" t="n"/>
      <c r="AV611" s="492" t="n"/>
      <c r="AW611" s="492" t="n"/>
      <c r="AX611" s="492" t="n"/>
      <c r="AY611" s="492" t="n"/>
      <c r="AZ611" s="492" t="n"/>
      <c r="BA611" s="493" t="n"/>
      <c r="BB611" s="492" t="n"/>
      <c r="BC611" s="492" t="n"/>
      <c r="BD611" s="492" t="n"/>
      <c r="BE611" s="492" t="n"/>
      <c r="BF611" s="493" t="n"/>
      <c r="BG611" s="493" t="n"/>
      <c r="BH611" s="495" t="n"/>
      <c r="BI611" s="496" t="n"/>
      <c r="BJ611" s="496" t="n"/>
      <c r="BK611" s="496" t="n"/>
      <c r="BM611" s="493" t="n"/>
      <c r="BN611" s="493" t="n"/>
      <c r="BO611" s="493" t="n"/>
      <c r="BP611" s="493" t="n"/>
      <c r="BQ611" s="493" t="n"/>
      <c r="BR611" s="493" t="n"/>
      <c r="BS611" s="493" t="n"/>
      <c r="BT611" s="493" t="n"/>
      <c r="BU611" s="493" t="n"/>
      <c r="BV611" s="493" t="n"/>
      <c r="BW611" s="493" t="n"/>
      <c r="BX611" s="493" t="n"/>
      <c r="BY611" s="493" t="n"/>
      <c r="BZ611" s="493" t="n"/>
      <c r="CA611" s="493" t="n"/>
      <c r="CB611" s="493" t="n"/>
      <c r="CC611" s="493" t="n"/>
      <c r="CD611" s="493" t="n"/>
      <c r="CE611" s="493" t="n"/>
      <c r="CF611" s="493" t="n"/>
      <c r="CG611" s="493" t="n"/>
      <c r="CH611" s="493" t="n"/>
      <c r="CI611" s="493" t="n"/>
      <c r="CJ611" s="493" t="n"/>
      <c r="CK611" s="493" t="n"/>
      <c r="CL611" s="493" t="n"/>
    </row>
    <row r="612" customFormat="1" s="230">
      <c r="E612" s="234" t="n"/>
      <c r="F612" s="492" t="n"/>
      <c r="G612" s="492" t="n"/>
      <c r="H612" s="493" t="n"/>
      <c r="I612" s="492" t="n"/>
      <c r="J612" s="492" t="n"/>
      <c r="K612" s="492" t="n"/>
      <c r="L612" s="492" t="n"/>
      <c r="M612" s="493" t="n"/>
      <c r="N612" s="492" t="n"/>
      <c r="O612" s="492" t="n"/>
      <c r="P612" s="492" t="n"/>
      <c r="Q612" s="492" t="n"/>
      <c r="R612" s="492" t="n"/>
      <c r="S612" s="492" t="n"/>
      <c r="T612" s="492" t="n"/>
      <c r="U612" s="492" t="n"/>
      <c r="V612" s="492" t="n"/>
      <c r="W612" s="492" t="n"/>
      <c r="X612" s="492" t="n"/>
      <c r="Y612" s="492" t="n"/>
      <c r="Z612" s="492" t="n"/>
      <c r="AA612" s="492" t="n"/>
      <c r="AB612" s="492" t="n"/>
      <c r="AC612" s="492" t="n"/>
      <c r="AD612" s="492" t="n"/>
      <c r="AE612" s="493" t="n"/>
      <c r="AF612" s="492" t="n"/>
      <c r="AG612" s="492" t="n"/>
      <c r="AH612" s="492" t="n"/>
      <c r="AI612" s="492" t="n"/>
      <c r="AJ612" s="493" t="n"/>
      <c r="AK612" s="492" t="n"/>
      <c r="AL612" s="492" t="n"/>
      <c r="AM612" s="492" t="n"/>
      <c r="AN612" s="492" t="n"/>
      <c r="AO612" s="492" t="n"/>
      <c r="AP612" s="492" t="n"/>
      <c r="AQ612" s="492" t="n"/>
      <c r="AR612" s="492" t="n"/>
      <c r="AS612" s="492" t="n"/>
      <c r="AT612" s="492" t="n"/>
      <c r="AU612" s="493" t="n"/>
      <c r="AV612" s="492" t="n"/>
      <c r="AW612" s="492" t="n"/>
      <c r="AX612" s="492" t="n"/>
      <c r="AY612" s="492" t="n"/>
      <c r="AZ612" s="492" t="n"/>
      <c r="BA612" s="493" t="n"/>
      <c r="BB612" s="492" t="n"/>
      <c r="BC612" s="492" t="n"/>
      <c r="BD612" s="492" t="n"/>
      <c r="BE612" s="492" t="n"/>
      <c r="BF612" s="493" t="n"/>
      <c r="BG612" s="493" t="n"/>
      <c r="BH612" s="495" t="n"/>
      <c r="BI612" s="496" t="n"/>
      <c r="BJ612" s="496" t="n"/>
      <c r="BK612" s="496" t="n"/>
      <c r="BM612" s="493" t="n"/>
      <c r="BN612" s="493" t="n"/>
      <c r="BO612" s="493" t="n"/>
      <c r="BP612" s="493" t="n"/>
      <c r="BQ612" s="493" t="n"/>
      <c r="BR612" s="493" t="n"/>
      <c r="BS612" s="493" t="n"/>
      <c r="BT612" s="493" t="n"/>
      <c r="BU612" s="493" t="n"/>
      <c r="BV612" s="493" t="n"/>
      <c r="BW612" s="493" t="n"/>
      <c r="BX612" s="493" t="n"/>
      <c r="BY612" s="493" t="n"/>
      <c r="BZ612" s="493" t="n"/>
      <c r="CA612" s="493" t="n"/>
      <c r="CB612" s="493" t="n"/>
      <c r="CC612" s="493" t="n"/>
      <c r="CD612" s="493" t="n"/>
      <c r="CE612" s="493" t="n"/>
      <c r="CF612" s="493" t="n"/>
      <c r="CG612" s="493" t="n"/>
      <c r="CH612" s="493" t="n"/>
      <c r="CI612" s="493" t="n"/>
      <c r="CJ612" s="493" t="n"/>
      <c r="CK612" s="493" t="n"/>
      <c r="CL612" s="493" t="n"/>
    </row>
    <row r="613" customFormat="1" s="230">
      <c r="E613" s="234" t="n"/>
      <c r="F613" s="492" t="n"/>
      <c r="G613" s="492" t="n"/>
      <c r="H613" s="493" t="n"/>
      <c r="I613" s="492" t="n"/>
      <c r="J613" s="492" t="n"/>
      <c r="K613" s="492" t="n"/>
      <c r="L613" s="492" t="n"/>
      <c r="M613" s="493" t="n"/>
      <c r="N613" s="492" t="n"/>
      <c r="O613" s="492" t="n"/>
      <c r="P613" s="492" t="n"/>
      <c r="Q613" s="492" t="n"/>
      <c r="R613" s="492" t="n"/>
      <c r="S613" s="492" t="n"/>
      <c r="T613" s="492" t="n"/>
      <c r="U613" s="492" t="n"/>
      <c r="V613" s="492" t="n"/>
      <c r="W613" s="492" t="n"/>
      <c r="X613" s="492" t="n"/>
      <c r="Y613" s="492" t="n"/>
      <c r="Z613" s="492" t="n"/>
      <c r="AA613" s="492" t="n"/>
      <c r="AB613" s="492" t="n"/>
      <c r="AC613" s="492" t="n"/>
      <c r="AD613" s="492" t="n"/>
      <c r="AE613" s="493" t="n"/>
      <c r="AF613" s="492" t="n"/>
      <c r="AG613" s="492" t="n"/>
      <c r="AH613" s="492" t="n"/>
      <c r="AI613" s="492" t="n"/>
      <c r="AJ613" s="493" t="n"/>
      <c r="AK613" s="492" t="n"/>
      <c r="AL613" s="492" t="n"/>
      <c r="AM613" s="492" t="n"/>
      <c r="AN613" s="492" t="n"/>
      <c r="AO613" s="492" t="n"/>
      <c r="AP613" s="492" t="n"/>
      <c r="AQ613" s="492" t="n"/>
      <c r="AR613" s="492" t="n"/>
      <c r="AS613" s="492" t="n"/>
      <c r="AT613" s="492" t="n"/>
      <c r="AU613" s="493" t="n"/>
      <c r="AV613" s="492" t="n"/>
      <c r="AW613" s="492" t="n"/>
      <c r="AX613" s="492" t="n"/>
      <c r="AY613" s="492" t="n"/>
      <c r="AZ613" s="492" t="n"/>
      <c r="BA613" s="493" t="n"/>
      <c r="BB613" s="492" t="n"/>
      <c r="BC613" s="492" t="n"/>
      <c r="BD613" s="492" t="n"/>
      <c r="BE613" s="492" t="n"/>
      <c r="BF613" s="493" t="n"/>
      <c r="BG613" s="493" t="n"/>
      <c r="BH613" s="495" t="n"/>
      <c r="BI613" s="496" t="n"/>
      <c r="BJ613" s="496" t="n"/>
      <c r="BK613" s="496" t="n"/>
      <c r="BM613" s="493" t="n"/>
      <c r="BN613" s="493" t="n"/>
      <c r="BO613" s="493" t="n"/>
      <c r="BP613" s="493" t="n"/>
      <c r="BQ613" s="493" t="n"/>
      <c r="BR613" s="493" t="n"/>
      <c r="BS613" s="493" t="n"/>
      <c r="BT613" s="493" t="n"/>
      <c r="BU613" s="493" t="n"/>
      <c r="BV613" s="493" t="n"/>
      <c r="BW613" s="493" t="n"/>
      <c r="BX613" s="493" t="n"/>
      <c r="BY613" s="493" t="n"/>
      <c r="BZ613" s="493" t="n"/>
      <c r="CA613" s="493" t="n"/>
      <c r="CB613" s="493" t="n"/>
      <c r="CC613" s="493" t="n"/>
      <c r="CD613" s="493" t="n"/>
      <c r="CE613" s="493" t="n"/>
      <c r="CF613" s="493" t="n"/>
      <c r="CG613" s="493" t="n"/>
      <c r="CH613" s="493" t="n"/>
      <c r="CI613" s="493" t="n"/>
      <c r="CJ613" s="493" t="n"/>
      <c r="CK613" s="493" t="n"/>
      <c r="CL613" s="493" t="n"/>
    </row>
    <row r="614" customFormat="1" s="230">
      <c r="E614" s="234" t="n"/>
      <c r="F614" s="492" t="n"/>
      <c r="G614" s="492" t="n"/>
      <c r="H614" s="493" t="n"/>
      <c r="I614" s="492" t="n"/>
      <c r="J614" s="492" t="n"/>
      <c r="K614" s="492" t="n"/>
      <c r="L614" s="492" t="n"/>
      <c r="M614" s="493" t="n"/>
      <c r="N614" s="492" t="n"/>
      <c r="O614" s="492" t="n"/>
      <c r="P614" s="492" t="n"/>
      <c r="Q614" s="492" t="n"/>
      <c r="R614" s="492" t="n"/>
      <c r="S614" s="492" t="n"/>
      <c r="T614" s="492" t="n"/>
      <c r="U614" s="492" t="n"/>
      <c r="V614" s="492" t="n"/>
      <c r="W614" s="492" t="n"/>
      <c r="X614" s="492" t="n"/>
      <c r="Y614" s="492" t="n"/>
      <c r="Z614" s="492" t="n"/>
      <c r="AA614" s="492" t="n"/>
      <c r="AB614" s="492" t="n"/>
      <c r="AC614" s="492" t="n"/>
      <c r="AD614" s="492" t="n"/>
      <c r="AE614" s="493" t="n"/>
      <c r="AF614" s="492" t="n"/>
      <c r="AG614" s="492" t="n"/>
      <c r="AH614" s="492" t="n"/>
      <c r="AI614" s="492" t="n"/>
      <c r="AJ614" s="493" t="n"/>
      <c r="AK614" s="492" t="n"/>
      <c r="AL614" s="492" t="n"/>
      <c r="AM614" s="492" t="n"/>
      <c r="AN614" s="492" t="n"/>
      <c r="AO614" s="492" t="n"/>
      <c r="AP614" s="492" t="n"/>
      <c r="AQ614" s="492" t="n"/>
      <c r="AR614" s="492" t="n"/>
      <c r="AS614" s="492" t="n"/>
      <c r="AT614" s="492" t="n"/>
      <c r="AU614" s="493" t="n"/>
      <c r="AV614" s="492" t="n"/>
      <c r="AW614" s="492" t="n"/>
      <c r="AX614" s="492" t="n"/>
      <c r="AY614" s="492" t="n"/>
      <c r="AZ614" s="492" t="n"/>
      <c r="BA614" s="493" t="n"/>
      <c r="BB614" s="492" t="n"/>
      <c r="BC614" s="492" t="n"/>
      <c r="BD614" s="492" t="n"/>
      <c r="BE614" s="492" t="n"/>
      <c r="BF614" s="493" t="n"/>
      <c r="BG614" s="493" t="n"/>
      <c r="BH614" s="495" t="n"/>
      <c r="BI614" s="496" t="n"/>
      <c r="BJ614" s="496" t="n"/>
      <c r="BK614" s="496" t="n"/>
      <c r="BM614" s="493" t="n"/>
      <c r="BN614" s="493" t="n"/>
      <c r="BO614" s="493" t="n"/>
      <c r="BP614" s="493" t="n"/>
      <c r="BQ614" s="493" t="n"/>
      <c r="BR614" s="493" t="n"/>
      <c r="BS614" s="493" t="n"/>
      <c r="BT614" s="493" t="n"/>
      <c r="BU614" s="493" t="n"/>
      <c r="BV614" s="493" t="n"/>
      <c r="BW614" s="493" t="n"/>
      <c r="BX614" s="493" t="n"/>
      <c r="BY614" s="493" t="n"/>
      <c r="BZ614" s="493" t="n"/>
      <c r="CA614" s="493" t="n"/>
      <c r="CB614" s="493" t="n"/>
      <c r="CC614" s="493" t="n"/>
      <c r="CD614" s="493" t="n"/>
      <c r="CE614" s="493" t="n"/>
      <c r="CF614" s="493" t="n"/>
      <c r="CG614" s="493" t="n"/>
      <c r="CH614" s="493" t="n"/>
      <c r="CI614" s="493" t="n"/>
      <c r="CJ614" s="493" t="n"/>
      <c r="CK614" s="493" t="n"/>
      <c r="CL614" s="493" t="n"/>
    </row>
    <row r="615" customFormat="1" s="230">
      <c r="E615" s="234" t="n"/>
      <c r="F615" s="492" t="n"/>
      <c r="G615" s="492" t="n"/>
      <c r="H615" s="493" t="n"/>
      <c r="I615" s="492" t="n"/>
      <c r="J615" s="492" t="n"/>
      <c r="K615" s="492" t="n"/>
      <c r="L615" s="492" t="n"/>
      <c r="M615" s="493" t="n"/>
      <c r="N615" s="492" t="n"/>
      <c r="O615" s="492" t="n"/>
      <c r="P615" s="492" t="n"/>
      <c r="Q615" s="492" t="n"/>
      <c r="R615" s="492" t="n"/>
      <c r="S615" s="492" t="n"/>
      <c r="T615" s="492" t="n"/>
      <c r="U615" s="492" t="n"/>
      <c r="V615" s="492" t="n"/>
      <c r="W615" s="492" t="n"/>
      <c r="X615" s="492" t="n"/>
      <c r="Y615" s="492" t="n"/>
      <c r="Z615" s="492" t="n"/>
      <c r="AA615" s="492" t="n"/>
      <c r="AB615" s="492" t="n"/>
      <c r="AC615" s="492" t="n"/>
      <c r="AD615" s="492" t="n"/>
      <c r="AE615" s="493" t="n"/>
      <c r="AF615" s="492" t="n"/>
      <c r="AG615" s="492" t="n"/>
      <c r="AH615" s="492" t="n"/>
      <c r="AI615" s="492" t="n"/>
      <c r="AJ615" s="493" t="n"/>
      <c r="AK615" s="492" t="n"/>
      <c r="AL615" s="492" t="n"/>
      <c r="AM615" s="492" t="n"/>
      <c r="AN615" s="492" t="n"/>
      <c r="AO615" s="492" t="n"/>
      <c r="AP615" s="492" t="n"/>
      <c r="AQ615" s="492" t="n"/>
      <c r="AR615" s="492" t="n"/>
      <c r="AS615" s="492" t="n"/>
      <c r="AT615" s="492" t="n"/>
      <c r="AU615" s="493" t="n"/>
      <c r="AV615" s="492" t="n"/>
      <c r="AW615" s="492" t="n"/>
      <c r="AX615" s="492" t="n"/>
      <c r="AY615" s="492" t="n"/>
      <c r="AZ615" s="492" t="n"/>
      <c r="BA615" s="493" t="n"/>
      <c r="BB615" s="492" t="n"/>
      <c r="BC615" s="492" t="n"/>
      <c r="BD615" s="492" t="n"/>
      <c r="BE615" s="492" t="n"/>
      <c r="BF615" s="493" t="n"/>
      <c r="BG615" s="493" t="n"/>
      <c r="BH615" s="495" t="n"/>
      <c r="BI615" s="496" t="n"/>
      <c r="BJ615" s="496" t="n"/>
      <c r="BK615" s="496" t="n"/>
      <c r="BM615" s="493" t="n"/>
      <c r="BN615" s="493" t="n"/>
      <c r="BO615" s="493" t="n"/>
      <c r="BP615" s="493" t="n"/>
      <c r="BQ615" s="493" t="n"/>
      <c r="BR615" s="493" t="n"/>
      <c r="BS615" s="493" t="n"/>
      <c r="BT615" s="493" t="n"/>
      <c r="BU615" s="493" t="n"/>
      <c r="BV615" s="493" t="n"/>
      <c r="BW615" s="493" t="n"/>
      <c r="BX615" s="493" t="n"/>
      <c r="BY615" s="493" t="n"/>
      <c r="BZ615" s="493" t="n"/>
      <c r="CA615" s="493" t="n"/>
      <c r="CB615" s="493" t="n"/>
      <c r="CC615" s="493" t="n"/>
      <c r="CD615" s="493" t="n"/>
      <c r="CE615" s="493" t="n"/>
      <c r="CF615" s="493" t="n"/>
      <c r="CG615" s="493" t="n"/>
      <c r="CH615" s="493" t="n"/>
      <c r="CI615" s="493" t="n"/>
      <c r="CJ615" s="493" t="n"/>
      <c r="CK615" s="493" t="n"/>
      <c r="CL615" s="493" t="n"/>
    </row>
    <row r="616" customFormat="1" s="230">
      <c r="E616" s="234" t="n"/>
      <c r="F616" s="492" t="n"/>
      <c r="G616" s="492" t="n"/>
      <c r="H616" s="493" t="n"/>
      <c r="I616" s="492" t="n"/>
      <c r="J616" s="492" t="n"/>
      <c r="K616" s="492" t="n"/>
      <c r="L616" s="492" t="n"/>
      <c r="M616" s="493" t="n"/>
      <c r="N616" s="492" t="n"/>
      <c r="O616" s="492" t="n"/>
      <c r="P616" s="492" t="n"/>
      <c r="Q616" s="492" t="n"/>
      <c r="R616" s="492" t="n"/>
      <c r="S616" s="492" t="n"/>
      <c r="T616" s="492" t="n"/>
      <c r="U616" s="492" t="n"/>
      <c r="V616" s="492" t="n"/>
      <c r="W616" s="492" t="n"/>
      <c r="X616" s="492" t="n"/>
      <c r="Y616" s="492" t="n"/>
      <c r="Z616" s="492" t="n"/>
      <c r="AA616" s="492" t="n"/>
      <c r="AB616" s="492" t="n"/>
      <c r="AC616" s="492" t="n"/>
      <c r="AD616" s="492" t="n"/>
      <c r="AE616" s="493" t="n"/>
      <c r="AF616" s="492" t="n"/>
      <c r="AG616" s="492" t="n"/>
      <c r="AH616" s="492" t="n"/>
      <c r="AI616" s="492" t="n"/>
      <c r="AJ616" s="493" t="n"/>
      <c r="AK616" s="492" t="n"/>
      <c r="AL616" s="492" t="n"/>
      <c r="AM616" s="492" t="n"/>
      <c r="AN616" s="492" t="n"/>
      <c r="AO616" s="492" t="n"/>
      <c r="AP616" s="492" t="n"/>
      <c r="AQ616" s="492" t="n"/>
      <c r="AR616" s="492" t="n"/>
      <c r="AS616" s="492" t="n"/>
      <c r="AT616" s="492" t="n"/>
      <c r="AU616" s="493" t="n"/>
      <c r="AV616" s="492" t="n"/>
      <c r="AW616" s="492" t="n"/>
      <c r="AX616" s="492" t="n"/>
      <c r="AY616" s="492" t="n"/>
      <c r="AZ616" s="492" t="n"/>
      <c r="BA616" s="493" t="n"/>
      <c r="BB616" s="492" t="n"/>
      <c r="BC616" s="492" t="n"/>
      <c r="BD616" s="492" t="n"/>
      <c r="BE616" s="492" t="n"/>
      <c r="BF616" s="493" t="n"/>
      <c r="BG616" s="493" t="n"/>
      <c r="BH616" s="495" t="n"/>
      <c r="BI616" s="496" t="n"/>
      <c r="BJ616" s="496" t="n"/>
      <c r="BK616" s="496" t="n"/>
      <c r="BM616" s="493" t="n"/>
      <c r="BN616" s="493" t="n"/>
      <c r="BO616" s="493" t="n"/>
      <c r="BP616" s="493" t="n"/>
      <c r="BQ616" s="493" t="n"/>
      <c r="BR616" s="493" t="n"/>
      <c r="BS616" s="493" t="n"/>
      <c r="BT616" s="493" t="n"/>
      <c r="BU616" s="493" t="n"/>
      <c r="BV616" s="493" t="n"/>
      <c r="BW616" s="493" t="n"/>
      <c r="BX616" s="493" t="n"/>
      <c r="BY616" s="493" t="n"/>
      <c r="BZ616" s="493" t="n"/>
      <c r="CA616" s="493" t="n"/>
      <c r="CB616" s="493" t="n"/>
      <c r="CC616" s="493" t="n"/>
      <c r="CD616" s="493" t="n"/>
      <c r="CE616" s="493" t="n"/>
      <c r="CF616" s="493" t="n"/>
      <c r="CG616" s="493" t="n"/>
      <c r="CH616" s="493" t="n"/>
      <c r="CI616" s="493" t="n"/>
      <c r="CJ616" s="493" t="n"/>
      <c r="CK616" s="493" t="n"/>
      <c r="CL616" s="493" t="n"/>
    </row>
    <row r="617" customFormat="1" s="230">
      <c r="E617" s="234" t="n"/>
      <c r="F617" s="492" t="n"/>
      <c r="G617" s="492" t="n"/>
      <c r="H617" s="493" t="n"/>
      <c r="I617" s="492" t="n"/>
      <c r="J617" s="492" t="n"/>
      <c r="K617" s="492" t="n"/>
      <c r="L617" s="492" t="n"/>
      <c r="M617" s="493" t="n"/>
      <c r="N617" s="492" t="n"/>
      <c r="O617" s="492" t="n"/>
      <c r="P617" s="492" t="n"/>
      <c r="Q617" s="492" t="n"/>
      <c r="R617" s="492" t="n"/>
      <c r="S617" s="492" t="n"/>
      <c r="T617" s="492" t="n"/>
      <c r="U617" s="492" t="n"/>
      <c r="V617" s="492" t="n"/>
      <c r="W617" s="492" t="n"/>
      <c r="X617" s="492" t="n"/>
      <c r="Y617" s="492" t="n"/>
      <c r="Z617" s="492" t="n"/>
      <c r="AA617" s="492" t="n"/>
      <c r="AB617" s="492" t="n"/>
      <c r="AC617" s="492" t="n"/>
      <c r="AD617" s="492" t="n"/>
      <c r="AE617" s="493" t="n"/>
      <c r="AF617" s="492" t="n"/>
      <c r="AG617" s="492" t="n"/>
      <c r="AH617" s="492" t="n"/>
      <c r="AI617" s="492" t="n"/>
      <c r="AJ617" s="493" t="n"/>
      <c r="AK617" s="492" t="n"/>
      <c r="AL617" s="492" t="n"/>
      <c r="AM617" s="492" t="n"/>
      <c r="AN617" s="492" t="n"/>
      <c r="AO617" s="492" t="n"/>
      <c r="AP617" s="492" t="n"/>
      <c r="AQ617" s="492" t="n"/>
      <c r="AR617" s="492" t="n"/>
      <c r="AS617" s="492" t="n"/>
      <c r="AT617" s="492" t="n"/>
      <c r="AU617" s="493" t="n"/>
      <c r="AV617" s="492" t="n"/>
      <c r="AW617" s="492" t="n"/>
      <c r="AX617" s="492" t="n"/>
      <c r="AY617" s="492" t="n"/>
      <c r="AZ617" s="492" t="n"/>
      <c r="BA617" s="493" t="n"/>
      <c r="BB617" s="492" t="n"/>
      <c r="BC617" s="492" t="n"/>
      <c r="BD617" s="492" t="n"/>
      <c r="BE617" s="492" t="n"/>
      <c r="BF617" s="493" t="n"/>
      <c r="BG617" s="493" t="n"/>
      <c r="BH617" s="495" t="n"/>
      <c r="BI617" s="496" t="n"/>
      <c r="BJ617" s="496" t="n"/>
      <c r="BK617" s="496" t="n"/>
      <c r="BM617" s="493" t="n"/>
      <c r="BN617" s="493" t="n"/>
      <c r="BO617" s="493" t="n"/>
      <c r="BP617" s="493" t="n"/>
      <c r="BQ617" s="493" t="n"/>
      <c r="BR617" s="493" t="n"/>
      <c r="BS617" s="493" t="n"/>
      <c r="BT617" s="493" t="n"/>
      <c r="BU617" s="493" t="n"/>
      <c r="BV617" s="493" t="n"/>
      <c r="BW617" s="493" t="n"/>
      <c r="BX617" s="493" t="n"/>
      <c r="BY617" s="493" t="n"/>
      <c r="BZ617" s="493" t="n"/>
      <c r="CA617" s="493" t="n"/>
      <c r="CB617" s="493" t="n"/>
      <c r="CC617" s="493" t="n"/>
      <c r="CD617" s="493" t="n"/>
      <c r="CE617" s="493" t="n"/>
      <c r="CF617" s="493" t="n"/>
      <c r="CG617" s="493" t="n"/>
      <c r="CH617" s="493" t="n"/>
      <c r="CI617" s="493" t="n"/>
      <c r="CJ617" s="493" t="n"/>
      <c r="CK617" s="493" t="n"/>
      <c r="CL617" s="493" t="n"/>
    </row>
    <row r="618" customFormat="1" s="230">
      <c r="E618" s="234" t="n"/>
      <c r="F618" s="492" t="n"/>
      <c r="G618" s="492" t="n"/>
      <c r="H618" s="493" t="n"/>
      <c r="I618" s="492" t="n"/>
      <c r="J618" s="492" t="n"/>
      <c r="K618" s="492" t="n"/>
      <c r="L618" s="492" t="n"/>
      <c r="M618" s="493" t="n"/>
      <c r="N618" s="492" t="n"/>
      <c r="O618" s="492" t="n"/>
      <c r="P618" s="492" t="n"/>
      <c r="Q618" s="492" t="n"/>
      <c r="R618" s="492" t="n"/>
      <c r="S618" s="492" t="n"/>
      <c r="T618" s="492" t="n"/>
      <c r="U618" s="492" t="n"/>
      <c r="V618" s="492" t="n"/>
      <c r="W618" s="492" t="n"/>
      <c r="X618" s="492" t="n"/>
      <c r="Y618" s="492" t="n"/>
      <c r="Z618" s="492" t="n"/>
      <c r="AA618" s="492" t="n"/>
      <c r="AB618" s="492" t="n"/>
      <c r="AC618" s="492" t="n"/>
      <c r="AD618" s="492" t="n"/>
      <c r="AE618" s="493" t="n"/>
      <c r="AF618" s="492" t="n"/>
      <c r="AG618" s="492" t="n"/>
      <c r="AH618" s="492" t="n"/>
      <c r="AI618" s="492" t="n"/>
      <c r="AJ618" s="493" t="n"/>
      <c r="AK618" s="492" t="n"/>
      <c r="AL618" s="492" t="n"/>
      <c r="AM618" s="492" t="n"/>
      <c r="AN618" s="492" t="n"/>
      <c r="AO618" s="492" t="n"/>
      <c r="AP618" s="492" t="n"/>
      <c r="AQ618" s="492" t="n"/>
      <c r="AR618" s="492" t="n"/>
      <c r="AS618" s="492" t="n"/>
      <c r="AT618" s="492" t="n"/>
      <c r="AU618" s="493" t="n"/>
      <c r="AV618" s="492" t="n"/>
      <c r="AW618" s="492" t="n"/>
      <c r="AX618" s="492" t="n"/>
      <c r="AY618" s="492" t="n"/>
      <c r="AZ618" s="492" t="n"/>
      <c r="BA618" s="493" t="n"/>
      <c r="BB618" s="492" t="n"/>
      <c r="BC618" s="492" t="n"/>
      <c r="BD618" s="492" t="n"/>
      <c r="BE618" s="492" t="n"/>
      <c r="BF618" s="493" t="n"/>
      <c r="BG618" s="493" t="n"/>
      <c r="BH618" s="495" t="n"/>
      <c r="BI618" s="496" t="n"/>
      <c r="BJ618" s="496" t="n"/>
      <c r="BK618" s="496" t="n"/>
      <c r="BM618" s="493" t="n"/>
      <c r="BN618" s="493" t="n"/>
      <c r="BO618" s="493" t="n"/>
      <c r="BP618" s="493" t="n"/>
      <c r="BQ618" s="493" t="n"/>
      <c r="BR618" s="493" t="n"/>
      <c r="BS618" s="493" t="n"/>
      <c r="BT618" s="493" t="n"/>
      <c r="BU618" s="493" t="n"/>
      <c r="BV618" s="493" t="n"/>
      <c r="BW618" s="493" t="n"/>
      <c r="BX618" s="493" t="n"/>
      <c r="BY618" s="493" t="n"/>
      <c r="BZ618" s="493" t="n"/>
      <c r="CA618" s="493" t="n"/>
      <c r="CB618" s="493" t="n"/>
      <c r="CC618" s="493" t="n"/>
      <c r="CD618" s="493" t="n"/>
      <c r="CE618" s="493" t="n"/>
      <c r="CF618" s="493" t="n"/>
      <c r="CG618" s="493" t="n"/>
      <c r="CH618" s="493" t="n"/>
      <c r="CI618" s="493" t="n"/>
      <c r="CJ618" s="493" t="n"/>
      <c r="CK618" s="493" t="n"/>
      <c r="CL618" s="493" t="n"/>
    </row>
  </sheetData>
  <autoFilter ref="A13:CY191"/>
  <mergeCells count="1">
    <mergeCell ref="CN12:CT12"/>
  </mergeCells>
  <conditionalFormatting sqref="BJ14 BJ17:BJ18 BJ20:BJ46 BJ48:BJ170">
    <cfRule type="expression" priority="95" dxfId="140" stopIfTrue="1">
      <formula>$BJ14</formula>
    </cfRule>
  </conditionalFormatting>
  <conditionalFormatting sqref="BI14 BI17:BI18 BI20:BI46 BI48:BI170">
    <cfRule type="expression" priority="94" dxfId="139" stopIfTrue="1">
      <formula>$BI14</formula>
    </cfRule>
  </conditionalFormatting>
  <conditionalFormatting sqref="E14:E191">
    <cfRule type="expression" priority="92" dxfId="168" stopIfTrue="1">
      <formula>$BJ14</formula>
    </cfRule>
    <cfRule type="expression" priority="93" dxfId="168" stopIfTrue="1">
      <formula>$BI14</formula>
    </cfRule>
  </conditionalFormatting>
  <conditionalFormatting sqref="BH14 BH17:BH18 BH20:BH46 BH48:BH170 BH172:BH191 CN14:CV14 CN17:CV18 CN20:CV46 CN48:CV170 CN172:CV191">
    <cfRule type="cellIs" priority="91" operator="greaterThan" dxfId="53" stopIfTrue="1">
      <formula>0</formula>
    </cfRule>
  </conditionalFormatting>
  <conditionalFormatting sqref="H14 H17:H18 H20:H46 H48:H170 H172:H191 M14 M17:M18 M20:M46 M48:M170 M172:M191 AE14 AE17:AE18 AE20:AE46 AE48:AE170 AE172:AE191 AJ14 AJ17:AJ18 AJ20:AJ46 AJ48:AJ170 AJ172:AJ191 AU14 AU17:AU18 AU20:AU46 AU48:AU170 AU172:AU191 BA14 BA17:BA18 BA20:BA46 BA48:BA170 BA172:BA191 BF14:BG14 BF17:BG18 BF20:BG46 BF48:BG170 BF172:BG191 BT14:BU14 BT17:BU18 BT20:BU46 BT48:BU170 BT172:BU191 CC14:CD14 CC17:CD18 CC20:CD46 CC48:CD170 CC172:CD191 CL14 CL17:CL18 CL20:CL46 CL48:CL170 CL172:CL191">
    <cfRule type="cellIs" priority="90" operator="greaterThan" dxfId="137">
      <formula>0</formula>
    </cfRule>
  </conditionalFormatting>
  <conditionalFormatting sqref="BJ172">
    <cfRule type="expression" priority="89" dxfId="140" stopIfTrue="1">
      <formula>$BJ172</formula>
    </cfRule>
  </conditionalFormatting>
  <conditionalFormatting sqref="BI172">
    <cfRule type="expression" priority="88" dxfId="139" stopIfTrue="1">
      <formula>$BI172</formula>
    </cfRule>
  </conditionalFormatting>
  <conditionalFormatting sqref="BJ173:BJ191">
    <cfRule type="expression" priority="85" dxfId="140" stopIfTrue="1">
      <formula>$BJ173</formula>
    </cfRule>
  </conditionalFormatting>
  <conditionalFormatting sqref="BI173:BI191">
    <cfRule type="expression" priority="84" dxfId="139" stopIfTrue="1">
      <formula>$BI173</formula>
    </cfRule>
  </conditionalFormatting>
  <conditionalFormatting sqref="CL14">
    <cfRule type="colorScale" priority="81">
      <colorScale>
        <cfvo type="min"/>
        <cfvo type="max"/>
        <color theme="0"/>
        <color theme="0"/>
      </colorScale>
    </cfRule>
  </conditionalFormatting>
  <conditionalFormatting sqref="CL172:CL191">
    <cfRule type="colorScale" priority="79">
      <colorScale>
        <cfvo type="min"/>
        <cfvo type="max"/>
        <color theme="0"/>
        <color theme="0"/>
      </colorScale>
    </cfRule>
  </conditionalFormatting>
  <conditionalFormatting sqref="BT14:BU14">
    <cfRule type="colorScale" priority="78">
      <colorScale>
        <cfvo type="min"/>
        <cfvo type="max"/>
        <color theme="0"/>
        <color theme="0"/>
      </colorScale>
    </cfRule>
  </conditionalFormatting>
  <conditionalFormatting sqref="BT172:BU191">
    <cfRule type="colorScale" priority="75">
      <colorScale>
        <cfvo type="min"/>
        <cfvo type="max"/>
        <color theme="0"/>
        <color theme="0"/>
      </colorScale>
    </cfRule>
  </conditionalFormatting>
  <conditionalFormatting sqref="CC89:CD89">
    <cfRule type="colorScale" priority="74">
      <colorScale>
        <cfvo type="min"/>
        <cfvo type="max"/>
        <color theme="0"/>
        <color theme="0"/>
      </colorScale>
    </cfRule>
  </conditionalFormatting>
  <conditionalFormatting sqref="CC172:CD191">
    <cfRule type="colorScale" priority="72">
      <colorScale>
        <cfvo type="min"/>
        <cfvo type="max"/>
        <color theme="0"/>
        <color theme="0"/>
      </colorScale>
    </cfRule>
  </conditionalFormatting>
  <conditionalFormatting sqref="A1:AZ13 A101:D191 A192:AZ65536 B14:AY14 B15:D100 E15:E191 F17:AY18 F20:AY46 F48:AX94 F95:AZ191 AY48:AY79 AY80:AZ94 AZ52:AZ79 BA1:CV14 BA17:CV65536">
    <cfRule type="expression" priority="69" dxfId="17" stopIfTrue="1">
      <formula>ROW()=CELL("fila")</formula>
    </cfRule>
  </conditionalFormatting>
  <conditionalFormatting sqref="BJ47">
    <cfRule type="expression" priority="68" dxfId="140" stopIfTrue="1">
      <formula>$BJ47</formula>
    </cfRule>
  </conditionalFormatting>
  <conditionalFormatting sqref="BI47">
    <cfRule type="expression" priority="67" dxfId="139" stopIfTrue="1">
      <formula>$BI47</formula>
    </cfRule>
  </conditionalFormatting>
  <conditionalFormatting sqref="BH47 CN47:CV47">
    <cfRule type="cellIs" priority="64" operator="greaterThan" dxfId="53" stopIfTrue="1">
      <formula>0</formula>
    </cfRule>
  </conditionalFormatting>
  <conditionalFormatting sqref="H47 M47 AE47 AJ47 AU47 BA47 BF47:BG47 BT47:BU47 CC47:CD47 CL47">
    <cfRule type="cellIs" priority="63" operator="greaterThan" dxfId="137">
      <formula>0</formula>
    </cfRule>
  </conditionalFormatting>
  <conditionalFormatting sqref="CL47">
    <cfRule type="colorScale" priority="62">
      <colorScale>
        <cfvo type="min"/>
        <cfvo type="max"/>
        <color theme="0"/>
        <color theme="0"/>
      </colorScale>
    </cfRule>
  </conditionalFormatting>
  <conditionalFormatting sqref="BT47:BU47">
    <cfRule type="colorScale" priority="61">
      <colorScale>
        <cfvo type="min"/>
        <cfvo type="max"/>
        <color theme="0"/>
        <color theme="0"/>
      </colorScale>
    </cfRule>
    <cfRule type="colorScale" priority="60">
      <colorScale>
        <cfvo type="min"/>
        <cfvo type="max"/>
        <color theme="0"/>
        <color theme="0"/>
      </colorScale>
    </cfRule>
  </conditionalFormatting>
  <conditionalFormatting sqref="CC47:CD47">
    <cfRule type="colorScale" priority="59">
      <colorScale>
        <cfvo type="min"/>
        <cfvo type="max"/>
        <color theme="0"/>
        <color theme="0"/>
      </colorScale>
    </cfRule>
    <cfRule type="colorScale" priority="58">
      <colorScale>
        <cfvo type="min"/>
        <cfvo type="max"/>
        <color theme="0"/>
        <color theme="0"/>
      </colorScale>
    </cfRule>
  </conditionalFormatting>
  <conditionalFormatting sqref="F47:AY47">
    <cfRule type="expression" priority="57" dxfId="17" stopIfTrue="1">
      <formula>ROW()=CELL("fila")</formula>
    </cfRule>
  </conditionalFormatting>
  <conditionalFormatting sqref="BJ19">
    <cfRule type="expression" priority="51" dxfId="140" stopIfTrue="1">
      <formula>$BJ19</formula>
    </cfRule>
  </conditionalFormatting>
  <conditionalFormatting sqref="BI19">
    <cfRule type="expression" priority="50" dxfId="139" stopIfTrue="1">
      <formula>$BI19</formula>
    </cfRule>
  </conditionalFormatting>
  <conditionalFormatting sqref="BH19 CN19:CV19">
    <cfRule type="cellIs" priority="47" operator="greaterThan" dxfId="53" stopIfTrue="1">
      <formula>0</formula>
    </cfRule>
  </conditionalFormatting>
  <conditionalFormatting sqref="H19 M19 AE19 AJ19 AU19 BA19 BF19:BG19 BT19:BU19 CC19:CD19 CL19">
    <cfRule type="cellIs" priority="46" operator="greaterThan" dxfId="137">
      <formula>0</formula>
    </cfRule>
  </conditionalFormatting>
  <conditionalFormatting sqref="F19:AY19">
    <cfRule type="expression" priority="45" dxfId="17" stopIfTrue="1">
      <formula>ROW()=CELL("fila")</formula>
    </cfRule>
  </conditionalFormatting>
  <conditionalFormatting sqref="CL19">
    <cfRule type="colorScale" priority="52">
      <colorScale>
        <cfvo type="min"/>
        <cfvo type="max"/>
        <color theme="0"/>
        <color theme="0"/>
      </colorScale>
    </cfRule>
  </conditionalFormatting>
  <conditionalFormatting sqref="BT19:BU19">
    <cfRule type="colorScale" priority="53">
      <colorScale>
        <cfvo type="min"/>
        <cfvo type="max"/>
        <color theme="0"/>
        <color theme="0"/>
      </colorScale>
    </cfRule>
    <cfRule type="colorScale" priority="54">
      <colorScale>
        <cfvo type="min"/>
        <cfvo type="max"/>
        <color theme="0"/>
        <color theme="0"/>
      </colorScale>
    </cfRule>
  </conditionalFormatting>
  <conditionalFormatting sqref="CC19:CD19">
    <cfRule type="colorScale" priority="55">
      <colorScale>
        <cfvo type="min"/>
        <cfvo type="max"/>
        <color theme="0"/>
        <color theme="0"/>
      </colorScale>
    </cfRule>
    <cfRule type="colorScale" priority="56">
      <colorScale>
        <cfvo type="min"/>
        <cfvo type="max"/>
        <color theme="0"/>
        <color theme="0"/>
      </colorScale>
    </cfRule>
  </conditionalFormatting>
  <conditionalFormatting sqref="AZ47">
    <cfRule type="expression" priority="33" dxfId="17" stopIfTrue="1">
      <formula>ROW()=CELL("fila")</formula>
    </cfRule>
  </conditionalFormatting>
  <conditionalFormatting sqref="AZ14 AZ17:AZ18 AZ20:AZ41">
    <cfRule type="expression" priority="36" dxfId="17" stopIfTrue="1">
      <formula>ROW()=CELL("fila")</formula>
    </cfRule>
  </conditionalFormatting>
  <conditionalFormatting sqref="AZ19">
    <cfRule type="expression" priority="35" dxfId="17" stopIfTrue="1">
      <formula>ROW()=CELL("fila")</formula>
    </cfRule>
  </conditionalFormatting>
  <conditionalFormatting sqref="AZ42:AZ46 AZ48:AZ51">
    <cfRule type="expression" priority="34" dxfId="17" stopIfTrue="1">
      <formula>ROW()=CELL("fila")</formula>
    </cfRule>
  </conditionalFormatting>
  <conditionalFormatting sqref="BJ15">
    <cfRule type="expression" priority="29" dxfId="140" stopIfTrue="1">
      <formula>$BJ15</formula>
    </cfRule>
  </conditionalFormatting>
  <conditionalFormatting sqref="BI15">
    <cfRule type="expression" priority="28" dxfId="139" stopIfTrue="1">
      <formula>$BI15</formula>
    </cfRule>
  </conditionalFormatting>
  <conditionalFormatting sqref="BH15 CN15:CV15">
    <cfRule type="cellIs" priority="25" operator="greaterThan" dxfId="53" stopIfTrue="1">
      <formula>0</formula>
    </cfRule>
  </conditionalFormatting>
  <conditionalFormatting sqref="H15 M15 AE15 AJ15 AU15 BA15 BF15:BG15 BT15:BU15 CC15:CD15 CL15">
    <cfRule type="cellIs" priority="24" operator="greaterThan" dxfId="137">
      <formula>0</formula>
    </cfRule>
  </conditionalFormatting>
  <conditionalFormatting sqref="CL15">
    <cfRule type="colorScale" priority="23">
      <colorScale>
        <cfvo type="min"/>
        <cfvo type="max"/>
        <color theme="0"/>
        <color theme="0"/>
      </colorScale>
    </cfRule>
  </conditionalFormatting>
  <conditionalFormatting sqref="BT15:BU15">
    <cfRule type="colorScale" priority="22">
      <colorScale>
        <cfvo type="min"/>
        <cfvo type="max"/>
        <color theme="0"/>
        <color theme="0"/>
      </colorScale>
    </cfRule>
    <cfRule type="colorScale" priority="30">
      <colorScale>
        <cfvo type="min"/>
        <cfvo type="max"/>
        <color theme="0"/>
        <color theme="0"/>
      </colorScale>
    </cfRule>
  </conditionalFormatting>
  <conditionalFormatting sqref="F15:AY15 BA15:CV15">
    <cfRule type="expression" priority="21" dxfId="17" stopIfTrue="1">
      <formula>ROW()=CELL("fila")</formula>
    </cfRule>
  </conditionalFormatting>
  <conditionalFormatting sqref="CC15:CD15">
    <cfRule type="colorScale" priority="31">
      <colorScale>
        <cfvo type="min"/>
        <cfvo type="max"/>
        <color theme="0"/>
        <color theme="0"/>
      </colorScale>
    </cfRule>
    <cfRule type="colorScale" priority="32">
      <colorScale>
        <cfvo type="min"/>
        <cfvo type="max"/>
        <color theme="0"/>
        <color theme="0"/>
      </colorScale>
    </cfRule>
  </conditionalFormatting>
  <conditionalFormatting sqref="AZ15">
    <cfRule type="expression" priority="18" dxfId="17" stopIfTrue="1">
      <formula>ROW()=CELL("fila")</formula>
    </cfRule>
  </conditionalFormatting>
  <conditionalFormatting sqref="BJ16">
    <cfRule type="expression" priority="14" dxfId="140" stopIfTrue="1">
      <formula>$BJ16</formula>
    </cfRule>
  </conditionalFormatting>
  <conditionalFormatting sqref="BI16">
    <cfRule type="expression" priority="13" dxfId="139" stopIfTrue="1">
      <formula>$BI16</formula>
    </cfRule>
  </conditionalFormatting>
  <conditionalFormatting sqref="BH16 CN16:CV16">
    <cfRule type="cellIs" priority="10" operator="greaterThan" dxfId="53" stopIfTrue="1">
      <formula>0</formula>
    </cfRule>
  </conditionalFormatting>
  <conditionalFormatting sqref="H16 M16 AE16 AJ16 AU16 BA16 BF16:BG16 BT16:BU16 CC16:CD16 CL16">
    <cfRule type="cellIs" priority="9" operator="greaterThan" dxfId="137">
      <formula>0</formula>
    </cfRule>
  </conditionalFormatting>
  <conditionalFormatting sqref="CL16">
    <cfRule type="colorScale" priority="8">
      <colorScale>
        <cfvo type="min"/>
        <cfvo type="max"/>
        <color theme="0"/>
        <color theme="0"/>
      </colorScale>
    </cfRule>
  </conditionalFormatting>
  <conditionalFormatting sqref="BT16:BU16">
    <cfRule type="colorScale" priority="7">
      <colorScale>
        <cfvo type="min"/>
        <cfvo type="max"/>
        <color theme="0"/>
        <color theme="0"/>
      </colorScale>
    </cfRule>
    <cfRule type="colorScale" priority="15">
      <colorScale>
        <cfvo type="min"/>
        <cfvo type="max"/>
        <color theme="0"/>
        <color theme="0"/>
      </colorScale>
    </cfRule>
  </conditionalFormatting>
  <conditionalFormatting sqref="F16:AY16 BA16:CV16">
    <cfRule type="expression" priority="6" dxfId="17" stopIfTrue="1">
      <formula>ROW()=CELL("fila")</formula>
    </cfRule>
  </conditionalFormatting>
  <conditionalFormatting sqref="CC16:CD16">
    <cfRule type="colorScale" priority="16">
      <colorScale>
        <cfvo type="min"/>
        <cfvo type="max"/>
        <color theme="0"/>
        <color theme="0"/>
      </colorScale>
    </cfRule>
    <cfRule type="colorScale" priority="17">
      <colorScale>
        <cfvo type="min"/>
        <cfvo type="max"/>
        <color theme="0"/>
        <color theme="0"/>
      </colorScale>
    </cfRule>
  </conditionalFormatting>
  <conditionalFormatting sqref="AZ16">
    <cfRule type="expression" priority="3" dxfId="17" stopIfTrue="1">
      <formula>ROW()=CELL("fila")</formula>
    </cfRule>
  </conditionalFormatting>
  <conditionalFormatting sqref="CC14:CD14 CC17:CD18 CC20:CD46 CC48:CD88">
    <cfRule type="colorScale" priority="1321">
      <colorScale>
        <cfvo type="min"/>
        <cfvo type="max"/>
        <color theme="0"/>
        <color theme="0"/>
      </colorScale>
    </cfRule>
  </conditionalFormatting>
  <conditionalFormatting sqref="CC90:CD170">
    <cfRule type="colorScale" priority="1704">
      <colorScale>
        <cfvo type="min"/>
        <cfvo type="max"/>
        <color theme="0"/>
        <color theme="0"/>
      </colorScale>
    </cfRule>
  </conditionalFormatting>
  <conditionalFormatting sqref="CL17:CL18 CL20:CL46 CL48:CL170">
    <cfRule type="colorScale" priority="1717">
      <colorScale>
        <cfvo type="min"/>
        <cfvo type="max"/>
        <color theme="0"/>
        <color theme="0"/>
      </colorScale>
    </cfRule>
  </conditionalFormatting>
  <conditionalFormatting sqref="BT14:BU14 BT17:BU18 BT20:BU46 BT48:BU170">
    <cfRule type="colorScale" priority="1721">
      <colorScale>
        <cfvo type="min"/>
        <cfvo type="max"/>
        <color theme="0"/>
        <color theme="0"/>
      </colorScale>
    </cfRule>
  </conditionalFormatting>
  <conditionalFormatting sqref="BT17:BU18 BT20:BU46 BT48:BU170">
    <cfRule type="colorScale" priority="1726">
      <colorScale>
        <cfvo type="min"/>
        <cfvo type="max"/>
        <color theme="0"/>
        <color theme="0"/>
      </colorScale>
    </cfRule>
  </conditionalFormatting>
  <conditionalFormatting sqref="CC14:CD14 CC17:CD18 CC20:CD46 CC48:CD170">
    <cfRule type="colorScale" priority="1730">
      <colorScale>
        <cfvo type="min"/>
        <cfvo type="max"/>
        <color theme="0"/>
        <color theme="0"/>
      </colorScale>
    </cfRule>
  </conditionalFormatting>
  <conditionalFormatting sqref="A14:A100">
    <cfRule type="expression" priority="1" dxfId="17" stopIfTrue="1">
      <formula>ROW()=CELL("fila")</formula>
    </cfRule>
    <cfRule type="duplicateValues" priority="2" dxfId="133" stopIfTrue="1"/>
  </conditionalFormatting>
  <printOptions horizontalCentered="1"/>
  <pageMargins left="0.03937007874015748" right="0.03937007874015748" top="0.5905511811023623" bottom="0.5905511811023623" header="0" footer="0"/>
  <pageSetup orientation="landscape" paperSize="9" scale="27"/>
  <headerFooter alignWithMargins="0">
    <oddHeader>&amp;L&amp;"Arial,Negrita"&amp;9 TECSUR  S.A.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Hoja8">
    <outlinePr summaryBelow="1" summaryRight="1"/>
    <pageSetUpPr/>
  </sheetPr>
  <dimension ref="A1:IT113"/>
  <sheetViews>
    <sheetView zoomScaleNormal="100" workbookViewId="0">
      <pane xSplit="5" ySplit="6" topLeftCell="F51" activePane="bottomRight" state="frozen"/>
      <selection pane="topRight" activeCell="F1" sqref="F1"/>
      <selection pane="bottomLeft" activeCell="A7" sqref="A7"/>
      <selection pane="bottomRight" activeCell="I55" sqref="I55"/>
    </sheetView>
  </sheetViews>
  <sheetFormatPr baseColWidth="10" defaultRowHeight="13.2"/>
  <cols>
    <col width="6.6640625" customWidth="1" style="450" min="2" max="2"/>
    <col width="75.88671875" customWidth="1" style="450" min="3" max="3"/>
    <col width="7.5546875" customWidth="1" style="450" min="4" max="4"/>
    <col width="9.33203125" customWidth="1" style="450" min="5" max="5"/>
    <col width="10.109375" bestFit="1" customWidth="1" style="450" min="6" max="6"/>
    <col width="11.5546875" customWidth="1" style="450" min="7" max="7"/>
    <col width="10.5546875" customWidth="1" style="450" min="8" max="8"/>
    <col width="5.33203125" customWidth="1" style="450" min="11" max="11"/>
    <col width="5.5546875" customWidth="1" style="450" min="15" max="15"/>
  </cols>
  <sheetData>
    <row r="1" ht="13.8" customHeight="1" s="450">
      <c r="A1" s="346" t="inlineStr">
        <is>
          <t>LIQUIDACION DE MANO DE OBRA</t>
        </is>
      </c>
      <c r="B1" s="346" t="n"/>
      <c r="C1" s="378" t="n"/>
      <c r="D1" s="378" t="n"/>
      <c r="E1" s="379" t="n"/>
      <c r="F1" s="492" t="n"/>
      <c r="G1" s="492" t="n"/>
      <c r="H1" s="492" t="n"/>
      <c r="I1" s="493" t="n"/>
      <c r="J1" s="380" t="n"/>
      <c r="K1" s="225" t="n"/>
      <c r="L1" s="383" t="n"/>
      <c r="M1" s="383" t="n"/>
      <c r="N1" s="384" t="n"/>
      <c r="O1" s="384" t="n"/>
      <c r="P1" s="384" t="n"/>
      <c r="Q1" s="384" t="n"/>
    </row>
    <row r="2">
      <c r="A2" s="232" t="n"/>
      <c r="B2" s="232" t="n"/>
      <c r="C2" s="385" t="n"/>
      <c r="D2" s="386" t="n"/>
      <c r="E2" s="551" t="n"/>
      <c r="F2" s="492" t="n"/>
      <c r="G2" s="492" t="n"/>
      <c r="H2" s="492" t="n"/>
      <c r="I2" s="493" t="n"/>
      <c r="J2" s="493" t="n"/>
      <c r="K2" s="492" t="n"/>
      <c r="L2" s="552" t="n"/>
      <c r="M2" s="552" t="n"/>
      <c r="N2" s="361" t="n"/>
      <c r="O2" s="361" t="n"/>
      <c r="P2" s="361" t="n"/>
      <c r="Q2" s="361" t="n"/>
    </row>
    <row r="3" ht="15.6" customHeight="1" s="450">
      <c r="A3" s="240" t="inlineStr">
        <is>
          <t xml:space="preserve">SST  :  </t>
        </is>
      </c>
      <c r="B3" s="240" t="n"/>
      <c r="C3" s="389">
        <f>+'Caratula '!C8</f>
        <v/>
      </c>
      <c r="D3" s="386" t="n"/>
      <c r="E3" s="551" t="n"/>
      <c r="F3" s="492" t="n"/>
      <c r="G3" s="492" t="n"/>
      <c r="H3" s="492" t="n"/>
      <c r="I3" s="493" t="n"/>
      <c r="J3" s="493" t="n"/>
      <c r="K3" s="492" t="n"/>
      <c r="L3" s="552" t="n"/>
      <c r="M3" s="552" t="n"/>
      <c r="N3" s="361" t="n"/>
      <c r="O3" s="361" t="n"/>
      <c r="P3" s="361" t="n"/>
      <c r="Q3" s="361" t="n"/>
    </row>
    <row r="4">
      <c r="A4" s="241" t="n"/>
      <c r="B4" s="241" t="n"/>
      <c r="C4" s="390" t="n"/>
      <c r="D4" s="386" t="n"/>
      <c r="E4" s="551" t="n"/>
      <c r="F4" s="492" t="n"/>
      <c r="G4" s="492" t="n"/>
      <c r="H4" s="492" t="n"/>
      <c r="I4" s="493" t="n"/>
      <c r="J4" s="493" t="n"/>
      <c r="K4" s="492" t="n"/>
      <c r="L4" s="552" t="n"/>
      <c r="M4" s="552" t="n"/>
      <c r="N4" s="361" t="n"/>
      <c r="O4" s="361" t="n"/>
      <c r="P4" s="361" t="n"/>
      <c r="Q4" s="361" t="n"/>
    </row>
    <row r="5" ht="13.8" customHeight="1" s="450" thickBot="1">
      <c r="A5" s="241" t="n"/>
      <c r="B5" s="241" t="n"/>
      <c r="C5" s="390" t="n"/>
      <c r="D5" s="386" t="n"/>
      <c r="E5" s="551" t="n"/>
      <c r="F5" s="260" t="n"/>
      <c r="G5" s="263" t="n"/>
      <c r="H5" s="260" t="n"/>
      <c r="I5" s="391" t="n"/>
      <c r="J5" s="391" t="n"/>
      <c r="K5" s="260" t="n"/>
      <c r="L5" s="552" t="n"/>
      <c r="M5" s="552" t="n"/>
      <c r="N5" s="361" t="n"/>
      <c r="O5" s="361" t="n"/>
      <c r="P5" s="392" t="n"/>
      <c r="Q5" s="361" t="n"/>
    </row>
    <row r="6" ht="36.6" customHeight="1" s="450" thickBot="1">
      <c r="A6" s="270" t="inlineStr">
        <is>
          <t>MATRICULA</t>
        </is>
      </c>
      <c r="B6" s="276" t="inlineStr">
        <is>
          <t xml:space="preserve">Factor </t>
        </is>
      </c>
      <c r="C6" s="393" t="inlineStr">
        <is>
          <t>DESCRIPCION</t>
        </is>
      </c>
      <c r="D6" s="393" t="inlineStr">
        <is>
          <t>U.M.</t>
        </is>
      </c>
      <c r="E6" s="393" t="inlineStr">
        <is>
          <t>S/,</t>
        </is>
      </c>
      <c r="F6" s="274" t="inlineStr">
        <is>
          <t>P1</t>
        </is>
      </c>
      <c r="G6" s="271" t="inlineStr">
        <is>
          <t>P2</t>
        </is>
      </c>
      <c r="H6" s="271" t="inlineStr">
        <is>
          <t>P3</t>
        </is>
      </c>
      <c r="I6" s="394" t="inlineStr">
        <is>
          <t>Cant.</t>
        </is>
      </c>
      <c r="J6" s="395" t="inlineStr">
        <is>
          <t>AP/SUBT.</t>
        </is>
      </c>
      <c r="K6" s="348" t="n"/>
      <c r="L6" s="396" t="inlineStr">
        <is>
          <t>Cant. Final</t>
        </is>
      </c>
      <c r="M6" s="397" t="inlineStr">
        <is>
          <t>Total Final</t>
        </is>
      </c>
      <c r="N6" s="349" t="inlineStr">
        <is>
          <t>OBS.</t>
        </is>
      </c>
      <c r="O6" s="350" t="n"/>
      <c r="P6" s="398" t="inlineStr">
        <is>
          <t>Cant. Facturado
TOTAL</t>
        </is>
      </c>
      <c r="Q6" s="398" t="inlineStr">
        <is>
          <t>Dif. x Liquidar
TOTAL</t>
        </is>
      </c>
    </row>
    <row r="7" ht="13.8" customHeight="1" s="450">
      <c r="A7" s="366" t="inlineStr">
        <is>
          <t>*098823</t>
        </is>
      </c>
      <c r="B7" s="419" t="inlineStr">
        <is>
          <t>I</t>
        </is>
      </c>
      <c r="C7" s="399" t="inlineStr">
        <is>
          <t>Inspección de poste (s/supervisión)</t>
        </is>
      </c>
      <c r="D7" s="400">
        <f>VLOOKUP(A7,[5]Hoja1!$B$6:$I$1424,3,FALSE)</f>
        <v/>
      </c>
      <c r="E7" s="401" t="n">
        <v>9.07</v>
      </c>
      <c r="F7" s="553" t="n"/>
      <c r="G7" s="554" t="n"/>
      <c r="H7" s="554" t="n"/>
      <c r="I7" s="555">
        <f>SUM(F7:H7)</f>
        <v/>
      </c>
      <c r="J7" s="556">
        <f>IF(I7=0,"",(I7*$E7))</f>
        <v/>
      </c>
      <c r="K7" s="354" t="n"/>
      <c r="L7" s="557">
        <f>I7</f>
        <v/>
      </c>
      <c r="M7" s="558">
        <f>IF(A7=0,"",(L7*$E7))</f>
        <v/>
      </c>
      <c r="N7" s="374" t="n"/>
      <c r="O7" s="361" t="n"/>
      <c r="P7" s="559">
        <f>L7</f>
        <v/>
      </c>
      <c r="Q7" s="559">
        <f>P7*E7</f>
        <v/>
      </c>
      <c r="R7" s="449">
        <f>+VLOOKUP(A7,'[6]Servicio Tercerizado'!$B$4:$Q$24,16,0)</f>
        <v/>
      </c>
    </row>
    <row r="8" ht="13.8" customHeight="1" s="450">
      <c r="A8" s="366" t="inlineStr">
        <is>
          <t>*094395</t>
        </is>
      </c>
      <c r="B8" s="419" t="inlineStr">
        <is>
          <t>I</t>
        </is>
      </c>
      <c r="C8" s="399" t="inlineStr">
        <is>
          <t>Inspección previa por reforma de redes por refuerzo o cambio de poste</t>
        </is>
      </c>
      <c r="D8" s="400">
        <f>VLOOKUP(A8,[5]Hoja1!$B$6:$I$1424,3,FALSE)</f>
        <v/>
      </c>
      <c r="E8" s="401" t="n">
        <v>53.3027264</v>
      </c>
      <c r="F8" s="553" t="n"/>
      <c r="G8" s="554" t="n"/>
      <c r="H8" s="554" t="n"/>
      <c r="I8" s="555">
        <f>SUM(F8:H8)</f>
        <v/>
      </c>
      <c r="J8" s="556">
        <f>IF(I8=0,"",(I8*$E8))</f>
        <v/>
      </c>
      <c r="K8" s="412" t="n"/>
      <c r="L8" s="560">
        <f>I8</f>
        <v/>
      </c>
      <c r="M8" s="561">
        <f>IF(A8=0,"",(L8*$E8))</f>
        <v/>
      </c>
      <c r="N8" s="374" t="n"/>
      <c r="O8" s="361" t="n"/>
      <c r="P8" s="559">
        <f>L8</f>
        <v/>
      </c>
      <c r="Q8" s="559">
        <f>P8*E8</f>
        <v/>
      </c>
    </row>
    <row r="9" ht="13.8" customHeight="1" s="450">
      <c r="A9" s="366" t="inlineStr">
        <is>
          <t>*090248</t>
        </is>
      </c>
      <c r="B9" s="419" t="inlineStr">
        <is>
          <t>I</t>
        </is>
      </c>
      <c r="C9" s="399" t="inlineStr">
        <is>
          <t>COLOCACIÓN DE TRÍPODES PARA TRABAJOS EN POSTES DE FE Y DE CAC DE 8,7 M</t>
        </is>
      </c>
      <c r="D9" s="400">
        <f>VLOOKUP(A9,[5]Hoja1!$B$6:$I$1424,3,FALSE)</f>
        <v/>
      </c>
      <c r="E9" s="401" t="n">
        <v>36.8237408</v>
      </c>
      <c r="F9" s="553" t="n"/>
      <c r="G9" s="554" t="n"/>
      <c r="H9" s="554" t="n"/>
      <c r="I9" s="555">
        <f>SUM(F9:H9)</f>
        <v/>
      </c>
      <c r="J9" s="556">
        <f>IF(I9=0,"",(I9*$E9))</f>
        <v/>
      </c>
      <c r="K9" s="354" t="n"/>
      <c r="L9" s="557">
        <f>I9</f>
        <v/>
      </c>
      <c r="M9" s="558">
        <f>IF(A9=0,"",(L9*$E9))</f>
        <v/>
      </c>
      <c r="N9" s="374" t="n"/>
      <c r="O9" s="361" t="n"/>
      <c r="P9" s="559">
        <f>L9</f>
        <v/>
      </c>
      <c r="Q9" s="559">
        <f>P9*E9</f>
        <v/>
      </c>
    </row>
    <row r="10" ht="13.8" customHeight="1" s="450">
      <c r="A10" s="366" t="inlineStr">
        <is>
          <t>*090482</t>
        </is>
      </c>
      <c r="B10" s="419" t="inlineStr">
        <is>
          <t>I</t>
        </is>
      </c>
      <c r="C10" s="399" t="inlineStr">
        <is>
          <t>INSTALACIÓN DE POSTES DE PRFV HASTA 8.7 M EN ZONA INACCESIBLE CON CIMENTACIÓN</t>
        </is>
      </c>
      <c r="D10" s="400">
        <f>VLOOKUP(A10,[5]Hoja1!$B$6:$I$1424,3,FALSE)</f>
        <v/>
      </c>
      <c r="E10" s="401" t="n">
        <v>249.7900944</v>
      </c>
      <c r="F10" s="553" t="n"/>
      <c r="G10" s="554" t="n"/>
      <c r="H10" s="562" t="n"/>
      <c r="I10" s="555">
        <f>SUM(F10:H10)</f>
        <v/>
      </c>
      <c r="J10" s="563">
        <f>IF(I10=0,"",(I10*$E10))</f>
        <v/>
      </c>
      <c r="K10" s="354" t="n"/>
      <c r="L10" s="557">
        <f>I10</f>
        <v/>
      </c>
      <c r="M10" s="558">
        <f>IF(A10=0,"",(L10*$E10))</f>
        <v/>
      </c>
      <c r="N10" s="371" t="n"/>
      <c r="O10" s="357" t="n"/>
      <c r="P10" s="559">
        <f>L10</f>
        <v/>
      </c>
      <c r="Q10" s="559">
        <f>P10*E10</f>
        <v/>
      </c>
    </row>
    <row r="11" ht="13.8" customHeight="1" s="450">
      <c r="A11" s="366" t="inlineStr">
        <is>
          <t>*090468</t>
        </is>
      </c>
      <c r="B11" s="419" t="inlineStr">
        <is>
          <t>I</t>
        </is>
      </c>
      <c r="C11" s="399" t="inlineStr">
        <is>
          <t>RETIRO DE POSTES DE PRFV HASTA 8.7 M EN ZONA INACCESIBLE CON CIMENTACIÓN</t>
        </is>
      </c>
      <c r="D11" s="400">
        <f>VLOOKUP(A11,[5]Hoja1!$B$6:$I$1424,3,FALSE)</f>
        <v/>
      </c>
      <c r="E11" s="401" t="n">
        <v>174.2287008</v>
      </c>
      <c r="F11" s="553" t="n"/>
      <c r="G11" s="554" t="n"/>
      <c r="H11" s="562" t="n"/>
      <c r="I11" s="555">
        <f>SUM(F11:H11)</f>
        <v/>
      </c>
      <c r="J11" s="563">
        <f>IF(I11=0,"",(I11*$E11))</f>
        <v/>
      </c>
      <c r="K11" s="354" t="n"/>
      <c r="L11" s="557">
        <f>I11</f>
        <v/>
      </c>
      <c r="M11" s="558">
        <f>IF(A11=0,"",(L11*$E11))</f>
        <v/>
      </c>
      <c r="N11" s="371" t="n"/>
      <c r="O11" s="357" t="n"/>
      <c r="P11" s="559">
        <f>L11</f>
        <v/>
      </c>
      <c r="Q11" s="559">
        <f>P11*E11</f>
        <v/>
      </c>
    </row>
    <row r="12" ht="13.8" customHeight="1" s="450">
      <c r="A12" s="366" t="inlineStr">
        <is>
          <t>*090238</t>
        </is>
      </c>
      <c r="B12" s="419" t="inlineStr">
        <is>
          <t>I</t>
        </is>
      </c>
      <c r="C12" s="399" t="inlineStr">
        <is>
          <t>ESCALAMIENTO DE POSTE CON ESCALERA</t>
        </is>
      </c>
      <c r="D12" s="400">
        <f>VLOOKUP(A12,[5]Hoja1!$B$6:$I$1424,3,FALSE)</f>
        <v/>
      </c>
      <c r="E12" s="401" t="n">
        <v>13.0467568</v>
      </c>
      <c r="F12" s="553" t="n"/>
      <c r="G12" s="554" t="n"/>
      <c r="H12" s="554" t="n"/>
      <c r="I12" s="555">
        <f>SUM(F12:H12)</f>
        <v/>
      </c>
      <c r="J12" s="563">
        <f>IF(I12=0,"",(I12*$E12))</f>
        <v/>
      </c>
      <c r="K12" s="354" t="n"/>
      <c r="L12" s="557">
        <f>I12</f>
        <v/>
      </c>
      <c r="M12" s="558">
        <f>IF(A12=0,"",(L12*$E12))</f>
        <v/>
      </c>
      <c r="N12" s="374" t="n"/>
      <c r="O12" s="361" t="n"/>
      <c r="P12" s="559">
        <f>L12</f>
        <v/>
      </c>
      <c r="Q12" s="559">
        <f>P12*E12</f>
        <v/>
      </c>
    </row>
    <row r="13" ht="13.8" customHeight="1" s="450">
      <c r="A13" s="366" t="inlineStr">
        <is>
          <t>*091320</t>
        </is>
      </c>
      <c r="B13" s="419" t="inlineStr">
        <is>
          <t>I</t>
        </is>
      </c>
      <c r="C13" s="399" t="inlineStr">
        <is>
          <t>LUMINARIA 125/250 HG  70/150/250/400 W NA. O FAROLA COMPLETA MASIVO</t>
        </is>
      </c>
      <c r="D13" s="400">
        <f>VLOOKUP(A13,[5]Hoja1!$B$6:$I$1424,3,FALSE)</f>
        <v/>
      </c>
      <c r="E13" s="401" t="n">
        <v>86.9698368</v>
      </c>
      <c r="F13" s="553" t="n"/>
      <c r="G13" s="554" t="n"/>
      <c r="H13" s="554" t="n"/>
      <c r="I13" s="555">
        <f>SUM(F13:H13)</f>
        <v/>
      </c>
      <c r="J13" s="563">
        <f>IF(I13=0,"",(I13*$E13))</f>
        <v/>
      </c>
      <c r="K13" s="354" t="n"/>
      <c r="L13" s="557">
        <f>I13</f>
        <v/>
      </c>
      <c r="M13" s="558">
        <f>IF(A13=0,"",(L13*$E13))</f>
        <v/>
      </c>
      <c r="N13" s="374" t="n"/>
      <c r="O13" s="361" t="n"/>
      <c r="P13" s="559">
        <f>L13</f>
        <v/>
      </c>
      <c r="Q13" s="559">
        <f>P13*E13</f>
        <v/>
      </c>
    </row>
    <row r="14" ht="13.8" customHeight="1" s="450">
      <c r="A14" s="366" t="inlineStr">
        <is>
          <t>*091316</t>
        </is>
      </c>
      <c r="B14" s="419" t="inlineStr">
        <is>
          <t>I</t>
        </is>
      </c>
      <c r="C14" s="399" t="inlineStr">
        <is>
          <t>RETIRO DE LUMINARIA 125/250 HG  70/150/250/400 W NA. O FAROLA COMPLETA MASIVO</t>
        </is>
      </c>
      <c r="D14" s="400">
        <f>VLOOKUP(A14,[5]Hoja1!$B$6:$I$1424,3,FALSE)</f>
        <v/>
      </c>
      <c r="E14" s="401" t="n">
        <v>60.8789104</v>
      </c>
      <c r="F14" s="553" t="n"/>
      <c r="G14" s="564" t="n"/>
      <c r="H14" s="564" t="n"/>
      <c r="I14" s="555">
        <f>SUM(F14:H14)</f>
        <v/>
      </c>
      <c r="J14" s="563">
        <f>IF(I14=0,"",(I14*$E14))</f>
        <v/>
      </c>
      <c r="K14" s="354" t="n"/>
      <c r="L14" s="557">
        <f>I14</f>
        <v/>
      </c>
      <c r="M14" s="558">
        <f>IF(A14=0,"",(L14*$E14))</f>
        <v/>
      </c>
      <c r="N14" s="374" t="n"/>
      <c r="O14" s="361" t="n"/>
      <c r="P14" s="559">
        <f>L14</f>
        <v/>
      </c>
      <c r="Q14" s="559">
        <f>P14*E14</f>
        <v/>
      </c>
    </row>
    <row r="15" ht="13.8" customHeight="1" s="450">
      <c r="A15" s="366" t="inlineStr">
        <is>
          <t>*091322</t>
        </is>
      </c>
      <c r="B15" s="419" t="inlineStr">
        <is>
          <t>I</t>
        </is>
      </c>
      <c r="C15" s="399" t="inlineStr">
        <is>
          <t>TRASLADO LUMINARIA 125/250 HG  70/150/250/400 W NA. O FAROLA COMPLETA MASIVO</t>
        </is>
      </c>
      <c r="D15" s="400">
        <f>VLOOKUP(A15,[5]Hoja1!$B$6:$I$1424,3,FALSE)</f>
        <v/>
      </c>
      <c r="E15" s="401" t="n">
        <v>113.0607632</v>
      </c>
      <c r="F15" s="553" t="n"/>
      <c r="G15" s="564" t="n"/>
      <c r="H15" s="564" t="n"/>
      <c r="I15" s="555">
        <f>SUM(F15:H15)</f>
        <v/>
      </c>
      <c r="J15" s="563">
        <f>IF(I15=0,"",(I15*$E15))</f>
        <v/>
      </c>
      <c r="K15" s="412" t="n"/>
      <c r="L15" s="560">
        <f>I15</f>
        <v/>
      </c>
      <c r="M15" s="561">
        <f>IF(A15=0,"",(L15*$E15))</f>
        <v/>
      </c>
      <c r="N15" s="374" t="n"/>
      <c r="O15" s="361" t="n"/>
      <c r="P15" s="559">
        <f>L15</f>
        <v/>
      </c>
      <c r="Q15" s="559">
        <f>P15*E15</f>
        <v/>
      </c>
    </row>
    <row r="16" ht="13.8" customHeight="1" s="450">
      <c r="A16" s="366" t="inlineStr">
        <is>
          <t>*091280</t>
        </is>
      </c>
      <c r="B16" s="419" t="inlineStr">
        <is>
          <t>I</t>
        </is>
      </c>
      <c r="C16" s="399" t="inlineStr">
        <is>
          <t>CONEXION A LUMINARIA</t>
        </is>
      </c>
      <c r="D16" s="400">
        <f>VLOOKUP(A16,[5]Hoja1!$B$6:$I$1424,3,FALSE)</f>
        <v/>
      </c>
      <c r="E16" s="401" t="n">
        <v>9.1793856</v>
      </c>
      <c r="F16" s="553" t="n"/>
      <c r="G16" s="564" t="n"/>
      <c r="H16" s="564" t="n"/>
      <c r="I16" s="555">
        <f>SUM(F16:H16)</f>
        <v/>
      </c>
      <c r="J16" s="563">
        <f>IF(I16=0,"",(I16*$E16))</f>
        <v/>
      </c>
      <c r="K16" s="354" t="n"/>
      <c r="L16" s="557">
        <f>I16</f>
        <v/>
      </c>
      <c r="M16" s="558">
        <f>IF(A16=0,"",(L16*$E16))</f>
        <v/>
      </c>
      <c r="N16" s="374" t="n"/>
      <c r="O16" s="361" t="n"/>
      <c r="P16" s="559">
        <f>L16</f>
        <v/>
      </c>
      <c r="Q16" s="559">
        <f>P16*E16</f>
        <v/>
      </c>
    </row>
    <row r="17" ht="13.8" customHeight="1" s="450">
      <c r="A17" s="366" t="inlineStr">
        <is>
          <t>*091346</t>
        </is>
      </c>
      <c r="B17" s="419" t="inlineStr">
        <is>
          <t>I</t>
        </is>
      </c>
      <c r="C17" s="399" t="inlineStr">
        <is>
          <t>PASTORAL SIMPLE CUALQUIER TIPO DISPERSO MENOR A 6 PASTORALES</t>
        </is>
      </c>
      <c r="D17" s="400">
        <f>VLOOKUP(A17,[5]Hoja1!$B$6:$I$1424,3,FALSE)</f>
        <v/>
      </c>
      <c r="E17" s="401" t="n">
        <v>113.3467104</v>
      </c>
      <c r="F17" s="553" t="n"/>
      <c r="G17" s="564" t="n"/>
      <c r="H17" s="564" t="n"/>
      <c r="I17" s="555">
        <f>SUM(F17:H17)</f>
        <v/>
      </c>
      <c r="J17" s="563">
        <f>IF(I17=0,"",(I17*$E17))</f>
        <v/>
      </c>
      <c r="K17" s="354" t="n"/>
      <c r="L17" s="557">
        <f>I17</f>
        <v/>
      </c>
      <c r="M17" s="558">
        <f>IF(A17=0,"",(L17*$E17))</f>
        <v/>
      </c>
      <c r="N17" s="374" t="n"/>
      <c r="O17" s="361" t="n"/>
      <c r="P17" s="559">
        <f>L17</f>
        <v/>
      </c>
      <c r="Q17" s="559">
        <f>P17*E17</f>
        <v/>
      </c>
    </row>
    <row r="18" ht="13.8" customHeight="1" s="450">
      <c r="A18" s="366" t="inlineStr">
        <is>
          <t>*091357</t>
        </is>
      </c>
      <c r="B18" s="419" t="inlineStr">
        <is>
          <t>I</t>
        </is>
      </c>
      <c r="C18" s="399" t="inlineStr">
        <is>
          <t>RETIRO PASTORAL SIMPLE CUALQUIER TIPO DISPERSO MENOR A 6 PASTORALES</t>
        </is>
      </c>
      <c r="D18" s="400">
        <f>VLOOKUP(A18,[5]Hoja1!$B$6:$I$1424,3,FALSE)</f>
        <v/>
      </c>
      <c r="E18" s="401" t="n">
        <v>79.342648</v>
      </c>
      <c r="F18" s="565" t="n"/>
      <c r="G18" s="564" t="n"/>
      <c r="H18" s="564" t="n"/>
      <c r="I18" s="555">
        <f>SUM(F18:H18)</f>
        <v/>
      </c>
      <c r="J18" s="563">
        <f>IF(I18=0,"",(I18*$E18))</f>
        <v/>
      </c>
      <c r="K18" s="354" t="n"/>
      <c r="L18" s="557">
        <f>I18</f>
        <v/>
      </c>
      <c r="M18" s="558">
        <f>IF(A18=0,"",(L18*$E18))</f>
        <v/>
      </c>
      <c r="N18" s="374" t="n"/>
      <c r="O18" s="361" t="n"/>
      <c r="P18" s="559">
        <f>L18</f>
        <v/>
      </c>
      <c r="Q18" s="559">
        <f>P18*E18</f>
        <v/>
      </c>
    </row>
    <row r="19" ht="13.8" customHeight="1" s="450">
      <c r="A19" s="366" t="inlineStr">
        <is>
          <t>*091356</t>
        </is>
      </c>
      <c r="B19" s="419" t="inlineStr">
        <is>
          <t>I</t>
        </is>
      </c>
      <c r="C19" s="399" t="inlineStr">
        <is>
          <t>TRASLADO PASTORAL SIMPLE CUALQUIER TIPO DISPERSO MENOR A 6 PASTORALES</t>
        </is>
      </c>
      <c r="D19" s="400">
        <f>VLOOKUP(A19,[5]Hoja1!$B$6:$I$1424,3,FALSE)</f>
        <v/>
      </c>
      <c r="E19" s="401" t="n">
        <v>147.351512</v>
      </c>
      <c r="F19" s="566" t="n"/>
      <c r="G19" s="564" t="n"/>
      <c r="H19" s="564" t="n"/>
      <c r="I19" s="555">
        <f>SUM(F19:H19)</f>
        <v/>
      </c>
      <c r="J19" s="563">
        <f>IF(I19=0,"",(I19*$E19))</f>
        <v/>
      </c>
      <c r="K19" s="354" t="n"/>
      <c r="L19" s="557">
        <f>I19</f>
        <v/>
      </c>
      <c r="M19" s="558">
        <f>IF(A19=0,"",(L19*$E19))</f>
        <v/>
      </c>
      <c r="N19" s="374" t="n"/>
      <c r="O19" s="361" t="n"/>
      <c r="P19" s="559">
        <f>L19</f>
        <v/>
      </c>
      <c r="Q19" s="559">
        <f>P19*E19</f>
        <v/>
      </c>
    </row>
    <row r="20" ht="13.8" customHeight="1" s="450">
      <c r="A20" s="366" t="inlineStr">
        <is>
          <t>*090144</t>
        </is>
      </c>
      <c r="B20" s="419" t="inlineStr">
        <is>
          <t>I</t>
        </is>
      </c>
      <c r="C20" s="399" t="inlineStr">
        <is>
          <t>CABLE AUTOSOPORTADO DE BT CU O AL MAYOR DE 50 HASTA 120 mm2</t>
        </is>
      </c>
      <c r="D20" s="400">
        <f>VLOOKUP(A20,[5]Hoja1!$B$6:$I$1424,3,FALSE)</f>
        <v/>
      </c>
      <c r="E20" s="401" t="n">
        <v>7.472449599999999</v>
      </c>
      <c r="F20" s="566" t="n"/>
      <c r="G20" s="564" t="n"/>
      <c r="H20" s="564" t="n"/>
      <c r="I20" s="555">
        <f>SUM(F20:H20)</f>
        <v/>
      </c>
      <c r="J20" s="563">
        <f>IF(I20=0,"",(I20*$E20))</f>
        <v/>
      </c>
      <c r="K20" s="354" t="n"/>
      <c r="L20" s="557">
        <f>I20</f>
        <v/>
      </c>
      <c r="M20" s="558">
        <f>IF(A20=0,"",(L20*$E20))</f>
        <v/>
      </c>
      <c r="N20" s="374" t="n"/>
      <c r="O20" s="361" t="n"/>
      <c r="P20" s="559">
        <f>L20</f>
        <v/>
      </c>
      <c r="Q20" s="559">
        <f>P20*E20</f>
        <v/>
      </c>
    </row>
    <row r="21" ht="13.8" customHeight="1" s="450">
      <c r="A21" s="366" t="inlineStr">
        <is>
          <t>*090163</t>
        </is>
      </c>
      <c r="B21" s="419" t="inlineStr">
        <is>
          <t>I</t>
        </is>
      </c>
      <c r="C21" s="399" t="inlineStr">
        <is>
          <t>TRASLADO CABLE AUTOSOPORTADO DE BT CU O AL MAYOR DE 50 HASTA 120 mm2</t>
        </is>
      </c>
      <c r="D21" s="400" t="inlineStr">
        <is>
          <t>M</t>
        </is>
      </c>
      <c r="E21" s="401" t="n">
        <v>9.714184479999998</v>
      </c>
      <c r="F21" s="566" t="n"/>
      <c r="G21" s="564" t="n"/>
      <c r="H21" s="564" t="n"/>
      <c r="I21" s="555">
        <f>SUM(F21:H21)</f>
        <v/>
      </c>
      <c r="J21" s="563">
        <f>IF(I21=0,"",(I21*$E21))</f>
        <v/>
      </c>
      <c r="K21" s="354" t="n"/>
      <c r="L21" s="557">
        <f>I21</f>
        <v/>
      </c>
      <c r="M21" s="558">
        <f>IF(A21=0,"",(L21*$E21))</f>
        <v/>
      </c>
      <c r="N21" s="374" t="n"/>
      <c r="O21" s="361" t="n"/>
      <c r="P21" s="559">
        <f>L21</f>
        <v/>
      </c>
      <c r="Q21" s="559">
        <f>P21*E21</f>
        <v/>
      </c>
    </row>
    <row r="22" ht="13.8" customHeight="1" s="450">
      <c r="A22" s="366" t="inlineStr">
        <is>
          <t>*090137</t>
        </is>
      </c>
      <c r="B22" s="419" t="inlineStr">
        <is>
          <t>I</t>
        </is>
      </c>
      <c r="C22" s="399" t="inlineStr">
        <is>
          <t>RETIRO DE CABLE AUTOSOPORTADO DE BT CU O AL MAYOR DE 50 HASTA 120 mm2</t>
        </is>
      </c>
      <c r="D22" s="400">
        <f>VLOOKUP(A22,[5]Hoja1!$B$6:$I$1424,3,FALSE)</f>
        <v/>
      </c>
      <c r="E22" s="401" t="n">
        <v>5.230714719999999</v>
      </c>
      <c r="F22" s="566" t="n"/>
      <c r="G22" s="564" t="n"/>
      <c r="H22" s="564" t="n"/>
      <c r="I22" s="555">
        <f>SUM(F22:H22)</f>
        <v/>
      </c>
      <c r="J22" s="563">
        <f>IF(I22=0,"",(I22*$E22))</f>
        <v/>
      </c>
      <c r="K22" s="354" t="n"/>
      <c r="L22" s="557">
        <f>I22</f>
        <v/>
      </c>
      <c r="M22" s="558">
        <f>IF(A22=0,"",(L22*$E22))</f>
        <v/>
      </c>
      <c r="N22" s="374" t="n"/>
      <c r="O22" s="361" t="n"/>
      <c r="P22" s="559">
        <f>L22</f>
        <v/>
      </c>
      <c r="Q22" s="559">
        <f>P22*E22</f>
        <v/>
      </c>
    </row>
    <row r="23" ht="13.8" customHeight="1" s="450">
      <c r="A23" s="366" t="inlineStr">
        <is>
          <t>*090143</t>
        </is>
      </c>
      <c r="B23" s="419" t="inlineStr">
        <is>
          <t>I</t>
        </is>
      </c>
      <c r="C23" s="399" t="inlineStr">
        <is>
          <t>CABLE AUTOSOPORTADO DE BT CU O AL MAYOR DE 25 HASTA 50 mm2</t>
        </is>
      </c>
      <c r="D23" s="400" t="inlineStr">
        <is>
          <t>M</t>
        </is>
      </c>
      <c r="E23" s="401" t="n">
        <v>4.234384</v>
      </c>
      <c r="F23" s="566" t="n"/>
      <c r="G23" s="564" t="n"/>
      <c r="H23" s="564" t="n"/>
      <c r="I23" s="555">
        <f>SUM(F23:H23)</f>
        <v/>
      </c>
      <c r="J23" s="563">
        <f>IF(I23=0,"",(I23*$E23))</f>
        <v/>
      </c>
      <c r="K23" s="354" t="n"/>
      <c r="L23" s="557">
        <f>I23</f>
        <v/>
      </c>
      <c r="M23" s="558">
        <f>IF(A23=0,"",(L23*$E23))</f>
        <v/>
      </c>
      <c r="N23" s="374" t="n"/>
      <c r="O23" s="361" t="n"/>
      <c r="P23" s="559">
        <f>L23</f>
        <v/>
      </c>
      <c r="Q23" s="559">
        <f>P23*E23</f>
        <v/>
      </c>
    </row>
    <row r="24" ht="13.8" customHeight="1" s="450">
      <c r="A24" s="366" t="inlineStr">
        <is>
          <t>*090138</t>
        </is>
      </c>
      <c r="B24" s="419" t="inlineStr">
        <is>
          <t>I</t>
        </is>
      </c>
      <c r="C24" s="399" t="inlineStr">
        <is>
          <t>RETIRO CABLE AUTOSOPORTADO DE BT CU O AL MAYOR DE 25 HASTA 50 mm2</t>
        </is>
      </c>
      <c r="D24" s="400">
        <f>VLOOKUP(A24,[5]Hoja1!$B$6:$I$1424,3,FALSE)</f>
        <v/>
      </c>
      <c r="E24" s="401" t="n">
        <v>2.9640688</v>
      </c>
      <c r="F24" s="566" t="n"/>
      <c r="G24" s="564" t="n"/>
      <c r="H24" s="564" t="n"/>
      <c r="I24" s="555">
        <f>SUM(F24:H24)</f>
        <v/>
      </c>
      <c r="J24" s="563">
        <f>IF(I24=0,"",(I24*$E24))</f>
        <v/>
      </c>
      <c r="K24" s="354" t="n"/>
      <c r="L24" s="557">
        <f>I24</f>
        <v/>
      </c>
      <c r="M24" s="558">
        <f>IF(A24=0,"",(L24*$E24))</f>
        <v/>
      </c>
      <c r="N24" s="374" t="n"/>
      <c r="O24" s="361" t="n"/>
      <c r="P24" s="559">
        <f>L24</f>
        <v/>
      </c>
      <c r="Q24" s="559">
        <f>P24*E24</f>
        <v/>
      </c>
    </row>
    <row r="25" ht="13.8" customHeight="1" s="450">
      <c r="A25" s="366" t="inlineStr">
        <is>
          <t>*090142</t>
        </is>
      </c>
      <c r="B25" s="419" t="inlineStr">
        <is>
          <t>I</t>
        </is>
      </c>
      <c r="C25" s="399" t="inlineStr">
        <is>
          <t>CABLE AUTOSOPORTADO DE BT CU O AL MAYOR DE 10 HASTA 25 mm2</t>
        </is>
      </c>
      <c r="D25" s="400" t="inlineStr">
        <is>
          <t>M</t>
        </is>
      </c>
      <c r="E25" s="401" t="n">
        <v>2.0154288</v>
      </c>
      <c r="F25" s="566" t="n"/>
      <c r="G25" s="564" t="n"/>
      <c r="H25" s="564" t="n"/>
      <c r="I25" s="555">
        <f>SUM(F25:H25)</f>
        <v/>
      </c>
      <c r="J25" s="563">
        <f>IF(I25=0,"",(I25*$E25))</f>
        <v/>
      </c>
      <c r="K25" s="354" t="n"/>
      <c r="L25" s="557">
        <f>I25</f>
        <v/>
      </c>
      <c r="M25" s="558">
        <f>IF(A25=0,"",(L25*$E25))</f>
        <v/>
      </c>
      <c r="N25" s="374" t="n"/>
      <c r="O25" s="361" t="n"/>
      <c r="P25" s="559">
        <f>L25</f>
        <v/>
      </c>
      <c r="Q25" s="559">
        <f>P25*E25</f>
        <v/>
      </c>
    </row>
    <row r="26" ht="13.8" customHeight="1" s="450">
      <c r="A26" s="366" t="inlineStr">
        <is>
          <t>*090139</t>
        </is>
      </c>
      <c r="B26" s="419" t="inlineStr">
        <is>
          <t>I</t>
        </is>
      </c>
      <c r="C26" s="406" t="inlineStr">
        <is>
          <t>RETIRO CABLE AUTOSOPORTADO DE BT CU O AL MAYOR DE 10 HASTA 25 mm2</t>
        </is>
      </c>
      <c r="D26" s="407">
        <f>VLOOKUP(A26,[5]Hoja1!$B$6:$I$1424,3,FALSE)</f>
        <v/>
      </c>
      <c r="E26" s="408" t="n">
        <v>1.41080016</v>
      </c>
      <c r="F26" s="565" t="n"/>
      <c r="G26" s="567" t="n"/>
      <c r="H26" s="564" t="n"/>
      <c r="I26" s="555">
        <f>SUM(F26:H26)</f>
        <v/>
      </c>
      <c r="J26" s="563">
        <f>IF(I26=0,"",(I26*$E26))</f>
        <v/>
      </c>
      <c r="K26" s="354" t="n"/>
      <c r="L26" s="557">
        <f>I26</f>
        <v/>
      </c>
      <c r="M26" s="558">
        <f>IF(A26=0,"",(L26*$E26))</f>
        <v/>
      </c>
      <c r="N26" s="374" t="n"/>
      <c r="O26" s="361" t="n"/>
      <c r="P26" s="559">
        <f>L26</f>
        <v/>
      </c>
      <c r="Q26" s="559">
        <f>P26*E26</f>
        <v/>
      </c>
    </row>
    <row r="27" ht="13.8" customHeight="1" s="450">
      <c r="A27" s="366" t="inlineStr">
        <is>
          <t>*010101</t>
        </is>
      </c>
      <c r="B27" s="419" t="inlineStr">
        <is>
          <t>I</t>
        </is>
      </c>
      <c r="C27" s="399" t="inlineStr">
        <is>
          <t>HORA DE OPERARIO (TRASLADO DE CABLES INACCESIBLE &lt;=35MM)</t>
        </is>
      </c>
      <c r="D27" s="407">
        <f>VLOOKUP(A27,[5]Hoja1!$B$6:$I$1424,3,FALSE)</f>
        <v/>
      </c>
      <c r="E27" s="401" t="n">
        <v>19.73</v>
      </c>
      <c r="F27" s="565" t="n"/>
      <c r="G27" s="567" t="n"/>
      <c r="H27" s="564" t="n"/>
      <c r="I27" s="555">
        <f>SUM(F27:H27)</f>
        <v/>
      </c>
      <c r="J27" s="563" t="n"/>
      <c r="K27" s="354" t="n"/>
      <c r="L27" s="557" t="n"/>
      <c r="M27" s="558" t="n"/>
      <c r="N27" s="374" t="n"/>
      <c r="O27" s="361" t="n"/>
      <c r="P27" s="559" t="n"/>
      <c r="Q27" s="559" t="n"/>
    </row>
    <row r="28" ht="13.8" customHeight="1" s="450">
      <c r="A28" s="366" t="inlineStr">
        <is>
          <t>*090497</t>
        </is>
      </c>
      <c r="B28" s="419" t="inlineStr">
        <is>
          <t>I</t>
        </is>
      </c>
      <c r="C28" s="399" t="inlineStr">
        <is>
          <t>RETIRO DE POSTE TUBULAR DE ACERO EN ZONA INACCESIBLE &gt;7</t>
        </is>
      </c>
      <c r="D28" s="407">
        <f>VLOOKUP(A28,[5]Hoja1!$B$6:$I$1424,3,FALSE)</f>
        <v/>
      </c>
      <c r="E28" s="401" t="n">
        <v>139.92</v>
      </c>
      <c r="F28" s="566" t="n"/>
      <c r="G28" s="564" t="n"/>
      <c r="H28" s="564" t="n"/>
      <c r="I28" s="555">
        <f>SUM(F28:H28)</f>
        <v/>
      </c>
      <c r="J28" s="563">
        <f>IF(I28=0,"",(I28*$E28))</f>
        <v/>
      </c>
      <c r="K28" s="354" t="n"/>
      <c r="L28" s="557">
        <f>I28</f>
        <v/>
      </c>
      <c r="M28" s="558">
        <f>IF(A28=0,"",(L28*$E28))</f>
        <v/>
      </c>
      <c r="N28" s="374" t="n"/>
      <c r="O28" s="361" t="n"/>
      <c r="P28" s="559">
        <f>L28</f>
        <v/>
      </c>
      <c r="Q28" s="559">
        <f>P28*E28</f>
        <v/>
      </c>
    </row>
    <row r="29" ht="13.8" customHeight="1" s="450">
      <c r="A29" s="366" t="inlineStr">
        <is>
          <t>*090491</t>
        </is>
      </c>
      <c r="B29" s="419" t="inlineStr">
        <is>
          <t>I</t>
        </is>
      </c>
      <c r="C29" s="399" t="inlineStr">
        <is>
          <t>RETIRO DE POSTE TUBULAR DE ACERO EN ZONA INACCESIBLE &lt;7</t>
        </is>
      </c>
      <c r="D29" s="400">
        <f>VLOOKUP(A29,[5]Hoja1!$B$6:$I$1424,3,FALSE)</f>
        <v/>
      </c>
      <c r="E29" s="401" t="n">
        <v>139.92</v>
      </c>
      <c r="F29" s="566" t="n"/>
      <c r="G29" s="564" t="n"/>
      <c r="H29" s="564" t="n"/>
      <c r="I29" s="555">
        <f>SUM(F29:H29)</f>
        <v/>
      </c>
      <c r="J29" s="563">
        <f>IF(I29=0,"",(I29*$E29))</f>
        <v/>
      </c>
      <c r="K29" s="354" t="n"/>
      <c r="L29" s="557">
        <f>I29</f>
        <v/>
      </c>
      <c r="M29" s="558">
        <f>IF(A29=0,"",(L29*$E29))</f>
        <v/>
      </c>
      <c r="N29" s="374" t="n"/>
      <c r="O29" s="361" t="n"/>
      <c r="P29" s="559">
        <f>L29</f>
        <v/>
      </c>
      <c r="Q29" s="559">
        <f>P29*E29</f>
        <v/>
      </c>
    </row>
    <row r="30" ht="13.8" customHeight="1" s="450">
      <c r="A30" s="366" t="inlineStr">
        <is>
          <t>*090636</t>
        </is>
      </c>
      <c r="B30" s="419" t="inlineStr">
        <is>
          <t>I</t>
        </is>
      </c>
      <c r="C30" s="399" t="inlineStr">
        <is>
          <t>TRASLADO DE POSTES DE CONCRETO A ZONA DE DISPOSICIÓN FINAL</t>
        </is>
      </c>
      <c r="D30" s="400">
        <f>VLOOKUP(A30,[5]Hoja1!$B$6:$I$1424,3,FALSE)</f>
        <v/>
      </c>
      <c r="E30" s="401" t="n">
        <v>42.8873984</v>
      </c>
      <c r="F30" s="566" t="n"/>
      <c r="G30" s="564" t="n"/>
      <c r="H30" s="564" t="n"/>
      <c r="I30" s="555">
        <f>SUM(F30:H30)</f>
        <v/>
      </c>
      <c r="J30" s="563">
        <f>IF(I30=0,"",(I30*$E30))</f>
        <v/>
      </c>
      <c r="K30" s="354" t="n"/>
      <c r="L30" s="557">
        <f>I30</f>
        <v/>
      </c>
      <c r="M30" s="558">
        <f>IF(A30=0,"",(L30*$E30))</f>
        <v/>
      </c>
      <c r="N30" s="374" t="n"/>
      <c r="O30" s="361" t="n"/>
      <c r="P30" s="559">
        <f>L30</f>
        <v/>
      </c>
      <c r="Q30" s="559">
        <f>P30*E30</f>
        <v/>
      </c>
    </row>
    <row r="31" ht="13.8" customHeight="1" s="450">
      <c r="A31" s="366" t="inlineStr">
        <is>
          <t>*990004</t>
        </is>
      </c>
      <c r="B31" s="419" t="inlineStr">
        <is>
          <t>I</t>
        </is>
      </c>
      <c r="C31" s="399" t="inlineStr">
        <is>
          <t>Eliminación de escombros temporal y final</t>
        </is>
      </c>
      <c r="D31" s="400">
        <f>VLOOKUP(A31,[5]Hoja1!$B$6:$I$1424,3,FALSE)</f>
        <v/>
      </c>
      <c r="E31" s="401" t="n">
        <v>82.42338719999998</v>
      </c>
      <c r="F31" s="566" t="n"/>
      <c r="G31" s="554" t="n"/>
      <c r="H31" s="564" t="n"/>
      <c r="I31" s="555">
        <f>SUM(F31:H31)</f>
        <v/>
      </c>
      <c r="J31" s="563">
        <f>IF(I31=0,"",(I31*$E31))</f>
        <v/>
      </c>
      <c r="K31" s="354" t="n"/>
      <c r="L31" s="557">
        <f>I31</f>
        <v/>
      </c>
      <c r="M31" s="558">
        <f>IF(A31=0,"",(L31*$E31))</f>
        <v/>
      </c>
      <c r="N31" s="374" t="n"/>
      <c r="O31" s="361" t="n"/>
      <c r="P31" s="559">
        <f>L31</f>
        <v/>
      </c>
      <c r="Q31" s="559">
        <f>P31*E31</f>
        <v/>
      </c>
    </row>
    <row r="32" ht="13.8" customHeight="1" s="450">
      <c r="A32" s="366" t="inlineStr">
        <is>
          <t>*091796</t>
        </is>
      </c>
      <c r="B32" s="419" t="inlineStr">
        <is>
          <t>I</t>
        </is>
      </c>
      <c r="C32" s="399" t="inlineStr">
        <is>
          <t>APERTURA DE HOYO PARA POSTE TERR ROCOSO (&gt;10)</t>
        </is>
      </c>
      <c r="D32" s="400">
        <f>VLOOKUP(A32,[5]Hoja1!$B$6:$I$1424,3,FALSE)</f>
        <v/>
      </c>
      <c r="E32" s="401" t="n">
        <v>136.76124</v>
      </c>
      <c r="F32" s="566" t="n"/>
      <c r="G32" s="554" t="n"/>
      <c r="H32" s="564" t="n"/>
      <c r="I32" s="555">
        <f>SUM(F32:H32)</f>
        <v/>
      </c>
      <c r="J32" s="563">
        <f>IF(I32=0,"",(I32*$E32))</f>
        <v/>
      </c>
      <c r="K32" s="354" t="n"/>
      <c r="L32" s="557">
        <f>I32</f>
        <v/>
      </c>
      <c r="M32" s="558">
        <f>IF(A32=0,"",(L32*$E32))</f>
        <v/>
      </c>
      <c r="N32" s="374" t="n"/>
      <c r="O32" s="361" t="n"/>
      <c r="P32" s="559">
        <f>L32</f>
        <v/>
      </c>
      <c r="Q32" s="559">
        <f>P32*E32</f>
        <v/>
      </c>
    </row>
    <row r="33" ht="13.8" customHeight="1" s="450">
      <c r="A33" s="366" t="inlineStr">
        <is>
          <t>*091797</t>
        </is>
      </c>
      <c r="B33" s="419" t="inlineStr">
        <is>
          <t>I</t>
        </is>
      </c>
      <c r="C33" s="406" t="inlineStr">
        <is>
          <t>APERTURA DE HOYO PARA POSTE TERR. NORMAL (&gt;10)</t>
        </is>
      </c>
      <c r="D33" s="407">
        <f>VLOOKUP(A33,[5]Hoja1!$B$6:$I$1424,3,FALSE)</f>
        <v/>
      </c>
      <c r="E33" s="408" t="n">
        <v>55.4275568</v>
      </c>
      <c r="F33" s="565" t="n"/>
      <c r="G33" s="562" t="n"/>
      <c r="H33" s="564" t="n"/>
      <c r="I33" s="555">
        <f>SUM(F33:H33)</f>
        <v/>
      </c>
      <c r="J33" s="563">
        <f>IF(I33=0,"",(I33*$E33))</f>
        <v/>
      </c>
      <c r="K33" s="354" t="n"/>
      <c r="L33" s="557">
        <f>I33</f>
        <v/>
      </c>
      <c r="M33" s="558">
        <f>IF(A33=0,"",(L33*$E33))</f>
        <v/>
      </c>
      <c r="N33" s="374" t="n"/>
      <c r="O33" s="361" t="n"/>
      <c r="P33" s="559">
        <f>L33</f>
        <v/>
      </c>
      <c r="Q33" s="559">
        <f>P33*E33</f>
        <v/>
      </c>
    </row>
    <row r="34" ht="13.8" customHeight="1" s="450">
      <c r="A34" s="366" t="inlineStr">
        <is>
          <t>*090634</t>
        </is>
      </c>
      <c r="B34" s="419" t="inlineStr">
        <is>
          <t>I</t>
        </is>
      </c>
      <c r="C34" s="399" t="inlineStr">
        <is>
          <t>TRASLADO MANUAL DE POSTE DE Fe DE 7 M EN ZONA INACCESIBLE/PENDIENTE</t>
        </is>
      </c>
      <c r="D34" s="400">
        <f>VLOOKUP(A34,[5]Hoja1!$B$6:$I$1424,3,FALSE)</f>
        <v/>
      </c>
      <c r="E34" s="401" t="n">
        <v>0.3539536</v>
      </c>
      <c r="F34" s="566" t="n"/>
      <c r="G34" s="554" t="n"/>
      <c r="H34" s="564" t="n"/>
      <c r="I34" s="555">
        <f>SUM(F34:H34)</f>
        <v/>
      </c>
      <c r="J34" s="563">
        <f>IF(I34=0,"",(I34*$E34))</f>
        <v/>
      </c>
      <c r="K34" s="354" t="n"/>
      <c r="L34" s="557">
        <f>I34</f>
        <v/>
      </c>
      <c r="M34" s="558">
        <f>IF(A34=0,"",(L34*$E34))</f>
        <v/>
      </c>
      <c r="N34" s="374" t="n"/>
      <c r="O34" s="361" t="n"/>
      <c r="P34" s="559">
        <f>L34</f>
        <v/>
      </c>
      <c r="Q34" s="559">
        <f>P34*E34</f>
        <v/>
      </c>
    </row>
    <row r="35" ht="13.8" customHeight="1" s="450">
      <c r="A35" s="366" t="inlineStr">
        <is>
          <t>*090320</t>
        </is>
      </c>
      <c r="B35" s="419" t="inlineStr">
        <is>
          <t>I</t>
        </is>
      </c>
      <c r="C35" s="399" t="inlineStr">
        <is>
          <t>RETENIDA-TEMPLADOR AEREO MT Y BT.</t>
        </is>
      </c>
      <c r="D35" s="400">
        <f>VLOOKUP(A35,[5]Hoja1!$B$6:$I$1424,3,FALSE)</f>
        <v/>
      </c>
      <c r="E35" s="401" t="n">
        <v>83.3810208</v>
      </c>
      <c r="F35" s="566" t="n"/>
      <c r="G35" s="554" t="n"/>
      <c r="H35" s="564" t="n"/>
      <c r="I35" s="555">
        <f>SUM(F35:H35)</f>
        <v/>
      </c>
      <c r="J35" s="563">
        <f>IF(I35=0,"",(I35*$E35))</f>
        <v/>
      </c>
      <c r="K35" s="354" t="n"/>
      <c r="L35" s="557">
        <f>I35</f>
        <v/>
      </c>
      <c r="M35" s="558">
        <f>IF(A35=0,"",(L35*$E35))</f>
        <v/>
      </c>
      <c r="N35" s="374" t="n"/>
      <c r="O35" s="361" t="n"/>
      <c r="P35" s="559">
        <f>L35</f>
        <v/>
      </c>
      <c r="Q35" s="559">
        <f>P35*E35</f>
        <v/>
      </c>
    </row>
    <row r="36" ht="13.8" customHeight="1" s="450">
      <c r="A36" s="366" t="inlineStr">
        <is>
          <t>*090319</t>
        </is>
      </c>
      <c r="B36" s="419" t="inlineStr">
        <is>
          <t>I</t>
        </is>
      </c>
      <c r="C36" s="399" t="inlineStr">
        <is>
          <t>RETIRO RETENIDA-TEMPLADOR AEREO MT Y BT</t>
        </is>
      </c>
      <c r="D36" s="400">
        <f>VLOOKUP(A36,[5]Hoja1!$B$6:$I$1424,3,FALSE)</f>
        <v/>
      </c>
      <c r="E36" s="401" t="n">
        <v>58.3668624</v>
      </c>
      <c r="F36" s="566" t="n"/>
      <c r="G36" s="554" t="n"/>
      <c r="H36" s="554" t="n"/>
      <c r="I36" s="555">
        <f>SUM(F36:H36)</f>
        <v/>
      </c>
      <c r="J36" s="556">
        <f>IF(I36=0,"",(I36*$E36))</f>
        <v/>
      </c>
      <c r="K36" s="354" t="n"/>
      <c r="L36" s="557">
        <f>I36</f>
        <v/>
      </c>
      <c r="M36" s="558">
        <f>IF(A36=0,"",(L36*$E36))</f>
        <v/>
      </c>
      <c r="N36" s="374" t="n"/>
      <c r="O36" s="361" t="n"/>
      <c r="P36" s="559">
        <f>L36</f>
        <v/>
      </c>
      <c r="Q36" s="559">
        <f>P36*E36</f>
        <v/>
      </c>
    </row>
    <row r="37" ht="13.8" customHeight="1" s="450">
      <c r="A37" s="366" t="inlineStr">
        <is>
          <t>*090392</t>
        </is>
      </c>
      <c r="B37" s="419" t="inlineStr">
        <is>
          <t>I</t>
        </is>
      </c>
      <c r="C37" s="399" t="inlineStr">
        <is>
          <t>PERNO PARA ANCLAJE CABLE AUTOSOPORTADO</t>
        </is>
      </c>
      <c r="D37" s="400">
        <f>VLOOKUP(A37,[5]Hoja1!$B$6:$I$1424,3,FALSE)</f>
        <v/>
      </c>
      <c r="E37" s="401" t="n">
        <v>9.752758399999999</v>
      </c>
      <c r="F37" s="566" t="n"/>
      <c r="G37" s="554" t="n"/>
      <c r="H37" s="554" t="n"/>
      <c r="I37" s="555">
        <f>SUM(F37:H37)</f>
        <v/>
      </c>
      <c r="J37" s="556">
        <f>IF(I37=0,"",(I37*$E37))</f>
        <v/>
      </c>
      <c r="K37" s="354" t="n"/>
      <c r="L37" s="557">
        <f>I37</f>
        <v/>
      </c>
      <c r="M37" s="558">
        <f>IF(A37=0,"",(L37*$E37))</f>
        <v/>
      </c>
      <c r="N37" s="374" t="n"/>
      <c r="O37" s="361" t="n"/>
      <c r="P37" s="559">
        <f>L37</f>
        <v/>
      </c>
      <c r="Q37" s="559">
        <f>P37*E37</f>
        <v/>
      </c>
    </row>
    <row r="38" ht="13.8" customHeight="1" s="450">
      <c r="A38" s="366" t="inlineStr">
        <is>
          <t>*090391</t>
        </is>
      </c>
      <c r="B38" s="419" t="inlineStr">
        <is>
          <t>I</t>
        </is>
      </c>
      <c r="C38" s="399" t="inlineStr">
        <is>
          <t>RETIRO PERNO PARA ANCLAJE CABLE AUTOSOPORTADO</t>
        </is>
      </c>
      <c r="D38" s="400">
        <f>VLOOKUP(A38,[5]Hoja1!$B$6:$I$1424,3,FALSE)</f>
        <v/>
      </c>
      <c r="E38" s="401" t="n">
        <v>6.827128</v>
      </c>
      <c r="F38" s="566" t="n"/>
      <c r="G38" s="554" t="n"/>
      <c r="H38" s="554" t="n"/>
      <c r="I38" s="555">
        <f>SUM(F38:H38)</f>
        <v/>
      </c>
      <c r="J38" s="556">
        <f>IF(I38=0,"",(I38*$E38))</f>
        <v/>
      </c>
      <c r="K38" s="354" t="n"/>
      <c r="L38" s="557">
        <f>I38</f>
        <v/>
      </c>
      <c r="M38" s="558">
        <f>IF(A38=0,"",(L38*$E38))</f>
        <v/>
      </c>
      <c r="N38" s="374" t="n"/>
      <c r="O38" s="361" t="n"/>
      <c r="P38" s="559">
        <f>L38</f>
        <v/>
      </c>
      <c r="Q38" s="559">
        <f>P38*E38</f>
        <v/>
      </c>
    </row>
    <row r="39" ht="13.8" customHeight="1" s="450">
      <c r="A39" s="366" t="inlineStr">
        <is>
          <t>*090394</t>
        </is>
      </c>
      <c r="B39" s="419" t="inlineStr">
        <is>
          <t>I</t>
        </is>
      </c>
      <c r="C39" s="399" t="inlineStr">
        <is>
          <t>PUNTO DE FIJACION  CABLE AUTOSOPORTADO</t>
        </is>
      </c>
      <c r="D39" s="400">
        <f>VLOOKUP(A39,[5]Hoja1!$B$6:$I$1424,3,FALSE)</f>
        <v/>
      </c>
      <c r="E39" s="401" t="n">
        <v>23.7488944</v>
      </c>
      <c r="F39" s="566" t="n"/>
      <c r="G39" s="554" t="n"/>
      <c r="H39" s="554" t="n"/>
      <c r="I39" s="555">
        <f>SUM(F39:H39)</f>
        <v/>
      </c>
      <c r="J39" s="556">
        <f>IF(I39=0,"",(I39*$E39))</f>
        <v/>
      </c>
      <c r="K39" s="354" t="n"/>
      <c r="L39" s="557">
        <f>I39</f>
        <v/>
      </c>
      <c r="M39" s="558">
        <f>IF(A39=0,"",(L39*$E39))</f>
        <v/>
      </c>
      <c r="N39" s="374" t="n"/>
      <c r="O39" s="361" t="n"/>
      <c r="P39" s="559">
        <f>L39</f>
        <v/>
      </c>
      <c r="Q39" s="559">
        <f>P39*E39</f>
        <v/>
      </c>
    </row>
    <row r="40" ht="13.8" customHeight="1" s="450">
      <c r="A40" s="366" t="inlineStr">
        <is>
          <t>*090395</t>
        </is>
      </c>
      <c r="B40" s="419" t="inlineStr">
        <is>
          <t>I</t>
        </is>
      </c>
      <c r="C40" s="399" t="inlineStr">
        <is>
          <t>RETIRO PUNTO DE FIJACION  CABLE AUTOSOPORTADO</t>
        </is>
      </c>
      <c r="D40" s="400">
        <f>VLOOKUP(A40,[5]Hoja1!$B$6:$I$1424,3,FALSE)</f>
        <v/>
      </c>
      <c r="E40" s="401" t="n">
        <v>16.6247312</v>
      </c>
      <c r="F40" s="566" t="n"/>
      <c r="G40" s="554" t="n"/>
      <c r="H40" s="554" t="n"/>
      <c r="I40" s="555">
        <f>SUM(F40:H40)</f>
        <v/>
      </c>
      <c r="J40" s="556">
        <f>IF(I40=0,"",(I40*$E40))</f>
        <v/>
      </c>
      <c r="K40" s="354" t="n"/>
      <c r="L40" s="557">
        <f>I40</f>
        <v/>
      </c>
      <c r="M40" s="558">
        <f>IF(A40=0,"",(L40*$E40))</f>
        <v/>
      </c>
      <c r="N40" s="374" t="n"/>
      <c r="O40" s="361" t="n"/>
      <c r="P40" s="559">
        <f>L40</f>
        <v/>
      </c>
      <c r="Q40" s="559">
        <f>P40*E40</f>
        <v/>
      </c>
    </row>
    <row r="41" ht="13.8" customHeight="1" s="450">
      <c r="A41" s="366" t="inlineStr">
        <is>
          <t>*090080</t>
        </is>
      </c>
      <c r="B41" s="419" t="inlineStr">
        <is>
          <t>I</t>
        </is>
      </c>
      <c r="C41" s="399" t="inlineStr">
        <is>
          <t>CONDUC. CU O AL DESN./FORRADO HASTA 25 mm2 (TW CORTOCIRCUITADO)</t>
        </is>
      </c>
      <c r="D41" s="400">
        <f>VLOOKUP(A41,[5]Hoja1!$B$6:$I$1424,3,FALSE)</f>
        <v/>
      </c>
      <c r="E41" s="401" t="n">
        <v>1.1721248</v>
      </c>
      <c r="F41" s="566" t="n"/>
      <c r="G41" s="554" t="n"/>
      <c r="H41" s="554" t="n"/>
      <c r="I41" s="555">
        <f>SUM(F41:H41)</f>
        <v/>
      </c>
      <c r="J41" s="556">
        <f>IF(I41=0,"",(I41*$E41))</f>
        <v/>
      </c>
      <c r="K41" s="354" t="n"/>
      <c r="L41" s="557">
        <f>I41</f>
        <v/>
      </c>
      <c r="M41" s="558">
        <f>IF(A41=0,"",(L41*$E41))</f>
        <v/>
      </c>
      <c r="N41" s="374" t="n"/>
      <c r="O41" s="361" t="n"/>
      <c r="P41" s="559">
        <f>L41</f>
        <v/>
      </c>
      <c r="Q41" s="559">
        <f>P41*E41</f>
        <v/>
      </c>
    </row>
    <row r="42" ht="13.8" customHeight="1" s="450">
      <c r="A42" s="366" t="inlineStr">
        <is>
          <t>*091608</t>
        </is>
      </c>
      <c r="B42" s="419" t="inlineStr">
        <is>
          <t>I</t>
        </is>
      </c>
      <c r="C42" s="399" t="inlineStr">
        <is>
          <t>Empalme aéreo BT con conector cuña, mecánico o a compresión tubular - Por fase</t>
        </is>
      </c>
      <c r="D42" s="400">
        <f>VLOOKUP(A42,[5]Hoja1!$B$6:$I$1424,3,FALSE)</f>
        <v/>
      </c>
      <c r="E42" s="401" t="n">
        <v>13.4379168</v>
      </c>
      <c r="F42" s="566" t="n"/>
      <c r="G42" s="554" t="n"/>
      <c r="H42" s="554" t="n"/>
      <c r="I42" s="555">
        <f>SUM(F42:H42)</f>
        <v/>
      </c>
      <c r="J42" s="556">
        <f>IF(I42=0,"",(I42*$E42))</f>
        <v/>
      </c>
      <c r="K42" s="354" t="n"/>
      <c r="L42" s="557">
        <f>I42</f>
        <v/>
      </c>
      <c r="M42" s="558">
        <f>IF(A42=0,"",(L42*$E42))</f>
        <v/>
      </c>
      <c r="N42" s="374" t="n"/>
      <c r="O42" s="361" t="n"/>
      <c r="P42" s="559">
        <f>L42</f>
        <v/>
      </c>
      <c r="Q42" s="559">
        <f>P42*E42</f>
        <v/>
      </c>
    </row>
    <row r="43" ht="13.8" customHeight="1" s="450">
      <c r="A43" s="366" t="inlineStr">
        <is>
          <t>*091631</t>
        </is>
      </c>
      <c r="B43" s="419" t="inlineStr">
        <is>
          <t>I</t>
        </is>
      </c>
      <c r="C43" s="399" t="inlineStr">
        <is>
          <t>EMPALME UNIPOLAR CABLE NYY RECT.O DERIV. HASTA 35 mm2</t>
        </is>
      </c>
      <c r="D43" s="400">
        <f>VLOOKUP(A43,[5]Hoja1!$B$6:$I$1424,3,FALSE)</f>
        <v/>
      </c>
      <c r="E43" s="401" t="n">
        <v>29.6139536</v>
      </c>
      <c r="F43" s="566" t="n"/>
      <c r="G43" s="554" t="n"/>
      <c r="H43" s="554" t="n"/>
      <c r="I43" s="555">
        <f>SUM(F43:H43)</f>
        <v/>
      </c>
      <c r="J43" s="556">
        <f>IF(I43=0,"",(I43*$E43))</f>
        <v/>
      </c>
      <c r="K43" s="354" t="n"/>
      <c r="L43" s="557">
        <f>I43</f>
        <v/>
      </c>
      <c r="M43" s="558">
        <f>IF(A43=0,"",(L43*$E43))</f>
        <v/>
      </c>
      <c r="N43" s="374" t="n"/>
      <c r="O43" s="361" t="n"/>
      <c r="P43" s="559">
        <f>L43</f>
        <v/>
      </c>
      <c r="Q43" s="559">
        <f>P43*E43</f>
        <v/>
      </c>
    </row>
    <row r="44" ht="13.8" customHeight="1" s="450">
      <c r="A44" s="366" t="inlineStr">
        <is>
          <t>*090191</t>
        </is>
      </c>
      <c r="B44" s="419" t="inlineStr">
        <is>
          <t>I</t>
        </is>
      </c>
      <c r="C44" s="399" t="inlineStr">
        <is>
          <t>COLOCACIÓN DE CRUCETA O MENSULA SIMPLE DE MADERA O FIERRO</t>
        </is>
      </c>
      <c r="D44" s="400">
        <f>VLOOKUP(A44,[5]Hoja1!$B$6:$I$1424,3,FALSE)</f>
        <v/>
      </c>
      <c r="E44" s="401" t="n">
        <v>0</v>
      </c>
      <c r="F44" s="566" t="n"/>
      <c r="G44" s="554" t="n"/>
      <c r="H44" s="554" t="n"/>
      <c r="I44" s="555">
        <f>SUM(F44:H44)</f>
        <v/>
      </c>
      <c r="J44" s="556">
        <f>IF(I44=0,"",(I44*$E44))</f>
        <v/>
      </c>
      <c r="K44" s="354" t="n"/>
      <c r="L44" s="557">
        <f>I44</f>
        <v/>
      </c>
      <c r="M44" s="558">
        <f>IF(A44=0,"",(L44*$E44))</f>
        <v/>
      </c>
      <c r="N44" s="374" t="n"/>
      <c r="O44" s="361" t="n"/>
      <c r="P44" s="559">
        <f>L44</f>
        <v/>
      </c>
      <c r="Q44" s="559">
        <f>P44*E44</f>
        <v/>
      </c>
    </row>
    <row r="45" ht="13.8" customHeight="1" s="450">
      <c r="A45" s="366" t="inlineStr">
        <is>
          <t>*090189</t>
        </is>
      </c>
      <c r="B45" s="419" t="inlineStr">
        <is>
          <t>I</t>
        </is>
      </c>
      <c r="C45" s="399" t="inlineStr">
        <is>
          <t>RETIRO DE CRUCETA O MENSULA SIMPLE DE MADERA O FIERRO</t>
        </is>
      </c>
      <c r="D45" s="400">
        <f>VLOOKUP(A45,[5]Hoja1!$B$6:$I$1424,3,FALSE)</f>
        <v/>
      </c>
      <c r="E45" s="401" t="n">
        <v>37.58807360000001</v>
      </c>
      <c r="F45" s="566" t="n"/>
      <c r="G45" s="554" t="n"/>
      <c r="H45" s="554" t="n"/>
      <c r="I45" s="555">
        <f>SUM(F45:H45)</f>
        <v/>
      </c>
      <c r="J45" s="556">
        <f>IF(I45=0,"",(I45*$E45))</f>
        <v/>
      </c>
      <c r="K45" s="354" t="n"/>
      <c r="L45" s="557">
        <f>I45</f>
        <v/>
      </c>
      <c r="M45" s="558">
        <f>IF(A45=0,"",(L45*$E45))</f>
        <v/>
      </c>
      <c r="N45" s="374" t="n"/>
      <c r="O45" s="361" t="n"/>
      <c r="P45" s="559">
        <f>L45</f>
        <v/>
      </c>
      <c r="Q45" s="559">
        <f>P45*E45</f>
        <v/>
      </c>
    </row>
    <row r="46" ht="13.8" customHeight="1" s="450">
      <c r="A46" s="366" t="inlineStr">
        <is>
          <t>*098670</t>
        </is>
      </c>
      <c r="B46" s="419" t="inlineStr">
        <is>
          <t>I</t>
        </is>
      </c>
      <c r="C46" s="399" t="inlineStr">
        <is>
          <t>COLOCACIÓN DE CRUCETA O MÉNSULA DOBLE DE MADERA</t>
        </is>
      </c>
      <c r="D46" s="400">
        <f>VLOOKUP(A46,[5]Hoja1!$B$6:$I$1424,3,FALSE)</f>
        <v/>
      </c>
      <c r="E46" s="401" t="n">
        <v>1</v>
      </c>
      <c r="F46" s="566" t="n"/>
      <c r="G46" s="554" t="n"/>
      <c r="H46" s="554" t="n"/>
      <c r="I46" s="555">
        <f>SUM(F46:H46)</f>
        <v/>
      </c>
      <c r="J46" s="556">
        <f>IF(I46=0,"",(I46*$E46))</f>
        <v/>
      </c>
      <c r="K46" s="354" t="n"/>
      <c r="L46" s="557">
        <f>I46</f>
        <v/>
      </c>
      <c r="M46" s="558">
        <f>IF(A46=0,"",(L46*$E46))</f>
        <v/>
      </c>
      <c r="N46" s="374" t="n"/>
      <c r="O46" s="361" t="n"/>
      <c r="P46" s="559">
        <f>L46</f>
        <v/>
      </c>
      <c r="Q46" s="559">
        <f>P46*E46</f>
        <v/>
      </c>
    </row>
    <row r="47" ht="13.8" customHeight="1" s="450">
      <c r="A47" s="366" t="inlineStr">
        <is>
          <t>*098669</t>
        </is>
      </c>
      <c r="B47" s="419" t="inlineStr">
        <is>
          <t>I</t>
        </is>
      </c>
      <c r="C47" s="406" t="inlineStr">
        <is>
          <t>RETIRO CRUCETA O MÉNSULA DOBLE DE MADERA</t>
        </is>
      </c>
      <c r="D47" s="407">
        <f>VLOOKUP(A47,[5]Hoja1!$B$6:$I$1424,3,FALSE)</f>
        <v/>
      </c>
      <c r="E47" s="401" t="n">
        <v>40.506312</v>
      </c>
      <c r="F47" s="565" t="n"/>
      <c r="G47" s="562" t="n"/>
      <c r="H47" s="562" t="n"/>
      <c r="I47" s="568">
        <f>SUM(F47:H47)</f>
        <v/>
      </c>
      <c r="J47" s="563">
        <f>IF(I47=0,"",(I47*$E47))</f>
        <v/>
      </c>
      <c r="K47" s="354" t="n"/>
      <c r="L47" s="557">
        <f>I47</f>
        <v/>
      </c>
      <c r="M47" s="558">
        <f>IF(A47=0,"",(L47*$E47))</f>
        <v/>
      </c>
      <c r="N47" s="371" t="n"/>
      <c r="O47" s="357" t="n"/>
      <c r="P47" s="569">
        <f>L47</f>
        <v/>
      </c>
      <c r="Q47" s="569">
        <f>P47*E47</f>
        <v/>
      </c>
      <c r="R47" s="449">
        <f>+VLOOKUP(A47,'[6]Servicio Tercerizado'!$B$4:$Q$24,16,0)</f>
        <v/>
      </c>
    </row>
    <row r="48" ht="13.8" customHeight="1" s="450">
      <c r="A48" s="366" t="inlineStr">
        <is>
          <t>*090633</t>
        </is>
      </c>
      <c r="B48" s="419" t="inlineStr">
        <is>
          <t>I</t>
        </is>
      </c>
      <c r="C48" s="399" t="inlineStr">
        <is>
          <t>ACARREO DE MATERIALES PARA CIMENTACION DE POSTE BT EN ZONA DE DIFÍCIL ACCESO</t>
        </is>
      </c>
      <c r="D48" s="400">
        <f>VLOOKUP(A48,[5]Hoja1!$B$6:$I$1424,3,FALSE)</f>
        <v/>
      </c>
      <c r="E48" s="401" t="n">
        <v>0.67</v>
      </c>
      <c r="F48" s="565" t="n"/>
      <c r="G48" s="554" t="n"/>
      <c r="H48" s="554" t="n"/>
      <c r="I48" s="555">
        <f>SUM(F48:H48)</f>
        <v/>
      </c>
      <c r="J48" s="556">
        <f>IF(I48=0,"",(I48*$E48))</f>
        <v/>
      </c>
      <c r="K48" s="354" t="n"/>
      <c r="L48" s="557">
        <f>I48</f>
        <v/>
      </c>
      <c r="M48" s="558">
        <f>IF(A48=0,"",(L48*$E48))</f>
        <v/>
      </c>
      <c r="N48" s="374" t="n"/>
      <c r="O48" s="361" t="n"/>
      <c r="P48" s="559">
        <f>L48</f>
        <v/>
      </c>
      <c r="Q48" s="559">
        <f>P48*E48</f>
        <v/>
      </c>
    </row>
    <row r="49" ht="13.8" customHeight="1" s="450">
      <c r="A49" s="366" t="inlineStr">
        <is>
          <t>*093242</t>
        </is>
      </c>
      <c r="B49" s="419" t="inlineStr">
        <is>
          <t>I</t>
        </is>
      </c>
      <c r="C49" s="399" t="inlineStr">
        <is>
          <t>CAJA DE DISTRIBUC. ACOM. DOMIC. EN POSTE O PARED  (INCLUYE ALIMENTACION A CAJA)</t>
        </is>
      </c>
      <c r="D49" s="400">
        <f>VLOOKUP(A49,[5]Hoja1!$B$6:$I$1424,3,FALSE)</f>
        <v/>
      </c>
      <c r="E49" s="401" t="n">
        <v>44.961224</v>
      </c>
      <c r="F49" s="565" t="n"/>
      <c r="G49" s="554" t="n"/>
      <c r="H49" s="554" t="n"/>
      <c r="I49" s="555">
        <f>SUM(F49:H49)</f>
        <v/>
      </c>
      <c r="J49" s="556">
        <f>IF(I49=0,"",(I49*$E49))</f>
        <v/>
      </c>
      <c r="K49" s="354" t="n"/>
      <c r="L49" s="557">
        <f>I49</f>
        <v/>
      </c>
      <c r="M49" s="558">
        <f>IF(A49=0,"",(L49*$E49))</f>
        <v/>
      </c>
      <c r="N49" s="374" t="n"/>
      <c r="O49" s="361" t="n"/>
      <c r="P49" s="559">
        <f>L49</f>
        <v/>
      </c>
      <c r="Q49" s="559">
        <f>P49*E49</f>
        <v/>
      </c>
    </row>
    <row r="50" ht="13.8" customHeight="1" s="450">
      <c r="A50" s="366" t="inlineStr">
        <is>
          <t>*093241</t>
        </is>
      </c>
      <c r="B50" s="419" t="inlineStr">
        <is>
          <t>I</t>
        </is>
      </c>
      <c r="C50" s="399" t="inlineStr">
        <is>
          <t>RETIRO CAJA DE DISTRIBUC. ACOM. DOMIC. EN POSTE O PARED  (INCLUYE ALIMENTACION A CAJA)</t>
        </is>
      </c>
      <c r="D50" s="400">
        <f>VLOOKUP(A50,[5]Hoja1!$B$6:$I$1424,3,FALSE)</f>
        <v/>
      </c>
      <c r="E50" s="401" t="n">
        <v>31.473904</v>
      </c>
      <c r="F50" s="565" t="n"/>
      <c r="G50" s="554" t="n"/>
      <c r="H50" s="554" t="n"/>
      <c r="I50" s="555">
        <f>SUM(F50:H50)</f>
        <v/>
      </c>
      <c r="J50" s="556">
        <f>IF(I50=0,"",(I50*$E50))</f>
        <v/>
      </c>
      <c r="K50" s="354" t="n"/>
      <c r="L50" s="557">
        <f>I50</f>
        <v/>
      </c>
      <c r="M50" s="558">
        <f>IF(A50=0,"",(L50*$E50))</f>
        <v/>
      </c>
      <c r="N50" s="374" t="n"/>
      <c r="O50" s="361" t="n"/>
      <c r="P50" s="559">
        <f>L50</f>
        <v/>
      </c>
      <c r="Q50" s="559">
        <f>P50*E50</f>
        <v/>
      </c>
    </row>
    <row r="51" ht="13.8" customHeight="1" s="450">
      <c r="A51" s="366" t="inlineStr">
        <is>
          <t>*093247</t>
        </is>
      </c>
      <c r="B51" s="419" t="inlineStr">
        <is>
          <t>I</t>
        </is>
      </c>
      <c r="C51" s="399" t="inlineStr">
        <is>
          <t>TRASLADO CAJA DE DISTRIBUC. ACOM. DOMIC. EN POSTE O PARED  (INCLUYE ALIMENTACION A CAJA)</t>
        </is>
      </c>
      <c r="D51" s="400">
        <f>VLOOKUP(A51,[5]Hoja1!$B$6:$I$1424,3,FALSE)</f>
        <v/>
      </c>
      <c r="E51" s="401" t="n">
        <v>58.449776</v>
      </c>
      <c r="F51" s="565" t="n"/>
      <c r="G51" s="554" t="n"/>
      <c r="H51" s="554" t="n"/>
      <c r="I51" s="555">
        <f>SUM(F51:H51)</f>
        <v/>
      </c>
      <c r="J51" s="556">
        <f>IF(I51=0,"",(I51*$E51))</f>
        <v/>
      </c>
      <c r="K51" s="354" t="n"/>
      <c r="L51" s="557">
        <f>I51</f>
        <v/>
      </c>
      <c r="M51" s="558">
        <f>IF(A51=0,"",(L51*$E51))</f>
        <v/>
      </c>
      <c r="N51" s="374" t="n"/>
      <c r="O51" s="361" t="n"/>
      <c r="P51" s="559">
        <f>L51</f>
        <v/>
      </c>
      <c r="Q51" s="559">
        <f>P51*E51</f>
        <v/>
      </c>
    </row>
    <row r="52" ht="13.8" customHeight="1" s="450">
      <c r="A52" s="366" t="inlineStr">
        <is>
          <t>*091240</t>
        </is>
      </c>
      <c r="B52" s="419" t="inlineStr">
        <is>
          <t>I</t>
        </is>
      </c>
      <c r="C52" s="399" t="inlineStr">
        <is>
          <t>SUBIDA A POSTE DE CONCRETO O FIERRO C/EMPALME P/AP</t>
        </is>
      </c>
      <c r="D52" s="400">
        <f>VLOOKUP(A52,[5]Hoja1!$B$6:$I$1424,3,FALSE)</f>
        <v/>
      </c>
      <c r="E52" s="401" t="n">
        <v>251.3950208</v>
      </c>
      <c r="F52" s="565" t="n"/>
      <c r="G52" s="554" t="n"/>
      <c r="H52" s="554" t="n"/>
      <c r="I52" s="555">
        <f>SUM(F52:H52)</f>
        <v/>
      </c>
      <c r="J52" s="556">
        <f>IF(I52=0,"",(I52*$E52))</f>
        <v/>
      </c>
      <c r="K52" s="354" t="n"/>
      <c r="L52" s="557">
        <f>I52</f>
        <v/>
      </c>
      <c r="M52" s="558">
        <f>IF(A52=0,"",(L52*$E52))</f>
        <v/>
      </c>
      <c r="N52" s="374" t="n"/>
      <c r="O52" s="361" t="n"/>
      <c r="P52" s="559">
        <f>L52</f>
        <v/>
      </c>
      <c r="Q52" s="559">
        <f>P52*E52</f>
        <v/>
      </c>
    </row>
    <row r="53" ht="13.8" customHeight="1" s="450">
      <c r="A53" s="366" t="inlineStr">
        <is>
          <t>*090060</t>
        </is>
      </c>
      <c r="B53" s="419" t="inlineStr">
        <is>
          <t>I</t>
        </is>
      </c>
      <c r="C53" s="399" t="inlineStr">
        <is>
          <t>DIAGONAL PARA CRUCETA DE MADERA O FIERRO</t>
        </is>
      </c>
      <c r="D53" s="400">
        <f>VLOOKUP(A53,[5]Hoja1!$B$6:$I$1424,3,FALSE)</f>
        <v/>
      </c>
      <c r="E53" s="401" t="n">
        <v>2</v>
      </c>
      <c r="F53" s="565" t="n"/>
      <c r="G53" s="554" t="n"/>
      <c r="H53" s="554" t="n"/>
      <c r="I53" s="555">
        <f>SUM(F53:H53)</f>
        <v/>
      </c>
      <c r="J53" s="556">
        <f>IF(I53=0,"",(I53*$E53))</f>
        <v/>
      </c>
      <c r="K53" s="354" t="n"/>
      <c r="L53" s="557">
        <f>I53</f>
        <v/>
      </c>
      <c r="M53" s="558">
        <f>IF(A53=0,"",(L53*$E53))</f>
        <v/>
      </c>
      <c r="N53" s="374" t="n"/>
      <c r="O53" s="361" t="n"/>
      <c r="P53" s="559">
        <f>L53</f>
        <v/>
      </c>
      <c r="Q53" s="559">
        <f>P53*E53</f>
        <v/>
      </c>
    </row>
    <row r="54" ht="13.8" customHeight="1" s="450">
      <c r="A54" s="366" t="inlineStr">
        <is>
          <t>*090061</t>
        </is>
      </c>
      <c r="B54" s="419" t="inlineStr">
        <is>
          <t>I</t>
        </is>
      </c>
      <c r="C54" s="399" t="inlineStr">
        <is>
          <t>RETIRO DIAGONAL PARA CRUCETA DE MADERA O FIERRO</t>
        </is>
      </c>
      <c r="D54" s="400">
        <f>VLOOKUP(A54,[5]Hoja1!$B$6:$I$1424,3,FALSE)</f>
        <v/>
      </c>
      <c r="E54" s="401" t="n">
        <v>14.2300928</v>
      </c>
      <c r="F54" s="565" t="n"/>
      <c r="G54" s="554" t="n"/>
      <c r="H54" s="554" t="n"/>
      <c r="I54" s="555">
        <f>SUM(F54:H54)</f>
        <v/>
      </c>
      <c r="J54" s="556">
        <f>IF(I54=0,"",(I54*$E54))</f>
        <v/>
      </c>
      <c r="K54" s="354" t="n"/>
      <c r="L54" s="557">
        <f>I54</f>
        <v/>
      </c>
      <c r="M54" s="558">
        <f>IF(A54=0,"",(L54*$E54))</f>
        <v/>
      </c>
      <c r="N54" s="374" t="n"/>
      <c r="O54" s="361" t="n"/>
      <c r="P54" s="559">
        <f>L54</f>
        <v/>
      </c>
      <c r="Q54" s="559">
        <f>P54*E54</f>
        <v/>
      </c>
    </row>
    <row r="55" ht="13.8" customHeight="1" s="450">
      <c r="A55" s="366" t="inlineStr">
        <is>
          <t>*090065</t>
        </is>
      </c>
      <c r="B55" s="419" t="inlineStr">
        <is>
          <t>I</t>
        </is>
      </c>
      <c r="C55" s="399" t="inlineStr">
        <is>
          <t>ABRAZADERA PARA PERFIL DE ESTRUCTURA MT</t>
        </is>
      </c>
      <c r="D55" s="400">
        <f>VLOOKUP(A55,[5]Hoja1!$B$6:$I$1424,3,FALSE)</f>
        <v/>
      </c>
      <c r="E55" s="401" t="n">
        <v>1</v>
      </c>
      <c r="F55" s="565" t="n"/>
      <c r="G55" s="554" t="n"/>
      <c r="H55" s="554" t="n"/>
      <c r="I55" s="555">
        <f>SUM(F55:H55)</f>
        <v/>
      </c>
      <c r="J55" s="556">
        <f>IF(I55=0,"",(I55*$E55))</f>
        <v/>
      </c>
      <c r="K55" s="354" t="n"/>
      <c r="L55" s="557">
        <f>I55</f>
        <v/>
      </c>
      <c r="M55" s="558">
        <f>IF(A55=0,"",(L55*$E55))</f>
        <v/>
      </c>
      <c r="N55" s="374" t="n"/>
      <c r="O55" s="361" t="n"/>
      <c r="P55" s="559">
        <f>L55</f>
        <v/>
      </c>
      <c r="Q55" s="559">
        <f>P55*E55</f>
        <v/>
      </c>
    </row>
    <row r="56" ht="13.8" customHeight="1" s="450">
      <c r="A56" s="366" t="inlineStr">
        <is>
          <t>*090064</t>
        </is>
      </c>
      <c r="B56" s="419" t="inlineStr">
        <is>
          <t>I</t>
        </is>
      </c>
      <c r="C56" s="399" t="inlineStr">
        <is>
          <t>RETIRO ABRAZADERA PARA PERFIL DE ESTRUCTURA MT</t>
        </is>
      </c>
      <c r="D56" s="400">
        <f>VLOOKUP(A56,[5]Hoja1!$B$6:$I$1424,3,FALSE)</f>
        <v/>
      </c>
      <c r="E56" s="401" t="n">
        <v>12.4556432</v>
      </c>
      <c r="F56" s="566" t="n"/>
      <c r="G56" s="554" t="n"/>
      <c r="H56" s="554" t="n"/>
      <c r="I56" s="555">
        <f>SUM(F56:H56)</f>
        <v/>
      </c>
      <c r="J56" s="556">
        <f>IF(I56=0,"",(I56*$E56))</f>
        <v/>
      </c>
      <c r="K56" s="354" t="n"/>
      <c r="L56" s="557">
        <f>I56</f>
        <v/>
      </c>
      <c r="M56" s="558">
        <f>IF(A56=0,"",(L56*$E56))</f>
        <v/>
      </c>
      <c r="N56" s="374" t="n"/>
      <c r="O56" s="361" t="n"/>
      <c r="P56" s="559">
        <f>L56</f>
        <v/>
      </c>
      <c r="Q56" s="559">
        <f>P56*E56</f>
        <v/>
      </c>
    </row>
    <row r="57" ht="13.8" customHeight="1" s="450">
      <c r="A57" s="366" t="inlineStr">
        <is>
          <t>*094913</t>
        </is>
      </c>
      <c r="B57" s="419" t="inlineStr">
        <is>
          <t>I</t>
        </is>
      </c>
      <c r="C57" s="399" t="inlineStr">
        <is>
          <t>Punta de diamante para cimentacion de postes BT</t>
        </is>
      </c>
      <c r="D57" s="400">
        <f>VLOOKUP(A57,[5]Hoja1!$B$6:$I$1424,3,FALSE)</f>
        <v/>
      </c>
      <c r="E57" s="401" t="n">
        <v>27.5437008</v>
      </c>
      <c r="F57" s="566" t="n"/>
      <c r="G57" s="554" t="n"/>
      <c r="H57" s="554" t="n"/>
      <c r="I57" s="555">
        <f>SUM(F57:H57)</f>
        <v/>
      </c>
      <c r="J57" s="556">
        <f>IF(I57=0,"",(I57*$E57))</f>
        <v/>
      </c>
      <c r="K57" s="412" t="n"/>
      <c r="L57" s="560">
        <f>I57</f>
        <v/>
      </c>
      <c r="M57" s="561">
        <f>IF(A57=0,"",(L57*$E57))</f>
        <v/>
      </c>
      <c r="N57" s="374" t="n"/>
      <c r="O57" s="361" t="n"/>
      <c r="P57" s="559">
        <f>L57</f>
        <v/>
      </c>
      <c r="Q57" s="559">
        <f>P57*E57</f>
        <v/>
      </c>
      <c r="R57" s="449">
        <f>+VLOOKUP(A57,'[6]Servicio Tercerizado'!$B$4:$Q$24,16,0)</f>
        <v/>
      </c>
    </row>
    <row r="58" ht="13.8" customHeight="1" s="450">
      <c r="A58" s="366" t="inlineStr">
        <is>
          <t>*094918</t>
        </is>
      </c>
      <c r="B58" s="419" t="inlineStr">
        <is>
          <t>I</t>
        </is>
      </c>
      <c r="C58" s="399" t="inlineStr">
        <is>
          <t>CIMENTACIÓN PARA POSTE HASTA 9m  POSTE NUEVO (SIN SOLERA)</t>
        </is>
      </c>
      <c r="D58" s="400">
        <f>VLOOKUP(A58,[5]Hoja1!$B$6:$I$1424,3,FALSE)</f>
        <v/>
      </c>
      <c r="E58" s="401" t="n">
        <v>187.92</v>
      </c>
      <c r="F58" s="566" t="n"/>
      <c r="G58" s="554" t="n"/>
      <c r="H58" s="554" t="n"/>
      <c r="I58" s="555">
        <f>SUM(F58:H58)</f>
        <v/>
      </c>
      <c r="J58" s="556">
        <f>IF(I58=0,"",(I58*$E58))</f>
        <v/>
      </c>
      <c r="K58" s="354" t="n"/>
      <c r="L58" s="557">
        <f>I58</f>
        <v/>
      </c>
      <c r="M58" s="558">
        <f>IF(A58=0,"",(L58*$E58))</f>
        <v/>
      </c>
      <c r="N58" s="374" t="n"/>
      <c r="O58" s="361" t="n"/>
      <c r="P58" s="559">
        <f>L58</f>
        <v/>
      </c>
      <c r="Q58" s="559">
        <f>P58*E58</f>
        <v/>
      </c>
    </row>
    <row r="59" ht="13.8" customHeight="1" s="450">
      <c r="A59" s="366" t="inlineStr">
        <is>
          <t>*091411</t>
        </is>
      </c>
      <c r="B59" s="419" t="inlineStr">
        <is>
          <t>I</t>
        </is>
      </c>
      <c r="C59" s="399" t="inlineStr">
        <is>
          <t>RETIRO CABLE NYY BT HASTA 3-1x16mm2</t>
        </is>
      </c>
      <c r="D59" s="400">
        <f>VLOOKUP(A59,[5]Hoja1!$B$6:$I$1424,3,FALSE)</f>
        <v/>
      </c>
      <c r="E59" s="401" t="n">
        <v>2.125816</v>
      </c>
      <c r="F59" s="566" t="n"/>
      <c r="G59" s="554" t="n"/>
      <c r="H59" s="554" t="n"/>
      <c r="I59" s="555">
        <f>SUM(F59:H59)</f>
        <v/>
      </c>
      <c r="J59" s="556">
        <f>IF(I59=0,"",(I59*$E59))</f>
        <v/>
      </c>
      <c r="K59" s="354" t="n"/>
      <c r="L59" s="557">
        <f>I59</f>
        <v/>
      </c>
      <c r="M59" s="558">
        <f>IF(A59=0,"",(L59*$E59))</f>
        <v/>
      </c>
      <c r="N59" s="374" t="n"/>
      <c r="O59" s="361" t="n"/>
      <c r="P59" s="559">
        <f>L59</f>
        <v/>
      </c>
      <c r="Q59" s="559">
        <f>P59*E59</f>
        <v/>
      </c>
    </row>
    <row r="60" ht="13.8" customHeight="1" s="450">
      <c r="A60" s="366" t="inlineStr">
        <is>
          <t>*090810</t>
        </is>
      </c>
      <c r="B60" s="419" t="inlineStr">
        <is>
          <t>I</t>
        </is>
      </c>
      <c r="C60" s="399" t="inlineStr">
        <is>
          <t>CONECTOR CUALQUIER TIPO HASTA 300 mm2 EN COBRE O ALUMINIO</t>
        </is>
      </c>
      <c r="D60" s="400">
        <f>VLOOKUP(A60,[5]Hoja1!$B$6:$I$1424,3,FALSE)</f>
        <v/>
      </c>
      <c r="E60" s="401" t="n">
        <v>5.3088112</v>
      </c>
      <c r="F60" s="566" t="n"/>
      <c r="G60" s="554" t="n"/>
      <c r="H60" s="554" t="n"/>
      <c r="I60" s="555">
        <f>SUM(F60:H60)</f>
        <v/>
      </c>
      <c r="J60" s="556">
        <f>IF(I60=0,"",(I60*$E60))</f>
        <v/>
      </c>
      <c r="K60" s="354" t="n"/>
      <c r="L60" s="557">
        <f>I60</f>
        <v/>
      </c>
      <c r="M60" s="558">
        <f>IF(A60=0,"",(L60*$E60))</f>
        <v/>
      </c>
      <c r="N60" s="374" t="n"/>
      <c r="O60" s="361" t="n"/>
      <c r="P60" s="559">
        <f>L60</f>
        <v/>
      </c>
      <c r="Q60" s="559">
        <f>P60*E60</f>
        <v/>
      </c>
    </row>
    <row r="61" ht="15" customHeight="1" s="450">
      <c r="A61" s="366" t="inlineStr">
        <is>
          <t>*093081</t>
        </is>
      </c>
      <c r="B61" s="419" t="inlineStr">
        <is>
          <t>I</t>
        </is>
      </c>
      <c r="C61" s="399" t="inlineStr">
        <is>
          <t>TRASLADO SOLO ACOMETIDA AÉREA</t>
        </is>
      </c>
      <c r="D61" s="400">
        <f>VLOOKUP(A61,[5]Hoja1!$B$6:$I$1424,3,FALSE)</f>
        <v/>
      </c>
      <c r="E61" s="401" t="n">
        <v>19.6179984</v>
      </c>
      <c r="F61" s="566" t="n"/>
      <c r="G61" s="554" t="n"/>
      <c r="H61" s="554" t="n"/>
      <c r="I61" s="555">
        <f>SUM(F61:H61)</f>
        <v/>
      </c>
      <c r="J61" s="556">
        <f>IF(I61=0,"",(I61*$E61))</f>
        <v/>
      </c>
      <c r="K61" s="354" t="n"/>
      <c r="L61" s="557">
        <f>I61</f>
        <v/>
      </c>
      <c r="M61" s="558">
        <f>IF(A61=0,"",(L61*$E61))</f>
        <v/>
      </c>
      <c r="N61" s="374" t="n"/>
      <c r="O61" s="358" t="n"/>
      <c r="P61" s="559">
        <f>L61</f>
        <v/>
      </c>
      <c r="Q61" s="559">
        <f>P61*E61</f>
        <v/>
      </c>
      <c r="R61" s="449">
        <f>+VLOOKUP(A61,'[6]Servicio Tercerizado'!$B$4:$Q$24,16,0)</f>
        <v/>
      </c>
    </row>
    <row r="62" ht="13.8" customHeight="1" s="450">
      <c r="A62" s="366" t="inlineStr">
        <is>
          <t>*098203</t>
        </is>
      </c>
      <c r="B62" s="419" t="inlineStr">
        <is>
          <t>I</t>
        </is>
      </c>
      <c r="C62" s="399" t="inlineStr">
        <is>
          <t>Instalación de tubo corrugado/aplicación de silicona en camioneta tipo combi</t>
        </is>
      </c>
      <c r="D62" s="400">
        <f>VLOOKUP(A62,[5]Hoja1!$B$6:$I$1424,3,FALSE)</f>
        <v/>
      </c>
      <c r="E62" s="401" t="n">
        <v>4.04</v>
      </c>
      <c r="F62" s="566" t="n"/>
      <c r="G62" s="554" t="n"/>
      <c r="H62" s="554" t="n"/>
      <c r="I62" s="555">
        <f>SUM(F62:H62)</f>
        <v/>
      </c>
      <c r="J62" s="556">
        <f>IF(I62=0,"",(I62*$E62))</f>
        <v/>
      </c>
      <c r="K62" s="354" t="n"/>
      <c r="L62" s="557">
        <f>I62</f>
        <v/>
      </c>
      <c r="M62" s="558">
        <f>IF(A62=0,"",(L62*$E62))</f>
        <v/>
      </c>
      <c r="N62" s="374" t="n"/>
      <c r="O62" s="361" t="n"/>
      <c r="P62" s="559">
        <f>L62</f>
        <v/>
      </c>
      <c r="Q62" s="559">
        <f>P62*E62</f>
        <v/>
      </c>
      <c r="R62" s="449">
        <f>+VLOOKUP(A62,'[6]Servicio Tercerizado'!$B$4:$Q$24,16,0)</f>
        <v/>
      </c>
    </row>
    <row r="63" ht="13.8" customHeight="1" s="450">
      <c r="A63" s="366" t="inlineStr">
        <is>
          <t>*094911</t>
        </is>
      </c>
      <c r="B63" s="419" t="inlineStr">
        <is>
          <t>I</t>
        </is>
      </c>
      <c r="C63" s="399" t="inlineStr">
        <is>
          <t>SOLERA DE CONCRETO PARA CUALQUIER TIPO DE POSTE</t>
        </is>
      </c>
      <c r="D63" s="400">
        <f>VLOOKUP(A63,[5]Hoja1!$B$6:$I$1424,3,FALSE)</f>
        <v/>
      </c>
      <c r="E63" s="401" t="n">
        <v>21.7</v>
      </c>
      <c r="F63" s="566" t="n"/>
      <c r="G63" s="554" t="n"/>
      <c r="H63" s="554" t="n"/>
      <c r="I63" s="555">
        <f>SUM(F63:H63)</f>
        <v/>
      </c>
      <c r="J63" s="556">
        <f>IF(I63=0,"",(I63*$E63))</f>
        <v/>
      </c>
      <c r="K63" s="354" t="n"/>
      <c r="L63" s="557">
        <f>I63</f>
        <v/>
      </c>
      <c r="M63" s="558">
        <f>IF(A63=0,"",(L63*$E63))</f>
        <v/>
      </c>
      <c r="N63" s="374" t="n"/>
      <c r="O63" s="361" t="n"/>
      <c r="P63" s="559">
        <f>L63</f>
        <v/>
      </c>
      <c r="Q63" s="559">
        <f>P63*E63</f>
        <v/>
      </c>
    </row>
    <row r="64" ht="13.8" customHeight="1" s="450">
      <c r="A64" s="366" t="inlineStr">
        <is>
          <t>*093044</t>
        </is>
      </c>
      <c r="B64" s="419" t="inlineStr">
        <is>
          <t>I</t>
        </is>
      </c>
      <c r="C64" s="399" t="inlineStr">
        <is>
          <t>RETIRO CORONA 4 GANCHOS PARA ACOMETIDA DOMICILIARIA</t>
        </is>
      </c>
      <c r="D64" s="400">
        <f>VLOOKUP(A64,[5]Hoja1!$B$6:$I$1424,3,FALSE)</f>
        <v/>
      </c>
      <c r="E64" s="401" t="n">
        <v>5.560385599999999</v>
      </c>
      <c r="F64" s="566" t="n"/>
      <c r="G64" s="554" t="n"/>
      <c r="H64" s="554" t="n"/>
      <c r="I64" s="555">
        <f>SUM(F64:H64)</f>
        <v/>
      </c>
      <c r="J64" s="556">
        <f>IF(I64=0,"",(I64*$E64))</f>
        <v/>
      </c>
      <c r="K64" s="354" t="n"/>
      <c r="L64" s="557">
        <f>I64</f>
        <v/>
      </c>
      <c r="M64" s="558">
        <f>IF(A64=0,"",(L64*$E64))</f>
        <v/>
      </c>
      <c r="N64" s="374" t="n"/>
      <c r="O64" s="361" t="n"/>
      <c r="P64" s="559">
        <f>L64</f>
        <v/>
      </c>
      <c r="Q64" s="559">
        <f>P64*E64</f>
        <v/>
      </c>
    </row>
    <row r="65" ht="13.8" customHeight="1" s="450">
      <c r="A65" s="366" t="inlineStr">
        <is>
          <t>*093045</t>
        </is>
      </c>
      <c r="B65" s="419" t="inlineStr">
        <is>
          <t>I</t>
        </is>
      </c>
      <c r="C65" s="399" t="inlineStr">
        <is>
          <t>CORONA 4 GANCHOS PARA ACOMETIDA DOMICILIARIA</t>
        </is>
      </c>
      <c r="D65" s="400">
        <f>VLOOKUP(A65,[5]Hoja1!$B$6:$I$1424,3,FALSE)</f>
        <v/>
      </c>
      <c r="E65" s="401" t="n">
        <v>7.943073600000002</v>
      </c>
      <c r="F65" s="566" t="n"/>
      <c r="G65" s="554" t="n"/>
      <c r="H65" s="554" t="n"/>
      <c r="I65" s="555">
        <f>SUM(F65:H65)</f>
        <v/>
      </c>
      <c r="J65" s="556">
        <f>IF(I65=0,"",(I65*$E65))</f>
        <v/>
      </c>
      <c r="K65" s="354" t="n"/>
      <c r="L65" s="557">
        <f>I65</f>
        <v/>
      </c>
      <c r="M65" s="558">
        <f>IF(A65=0,"",(L65*$E65))</f>
        <v/>
      </c>
      <c r="N65" s="374" t="n"/>
      <c r="O65" s="361" t="n"/>
      <c r="P65" s="559">
        <f>L65</f>
        <v/>
      </c>
      <c r="Q65" s="559">
        <f>P65*E65</f>
        <v/>
      </c>
    </row>
    <row r="66" ht="13.8" customHeight="1" s="450">
      <c r="A66" s="366" t="inlineStr">
        <is>
          <t>*090370</t>
        </is>
      </c>
      <c r="B66" s="419" t="inlineStr">
        <is>
          <t>I</t>
        </is>
      </c>
      <c r="C66" s="399" t="inlineStr">
        <is>
          <t>CABLEADO DE SISTEMA DE PUESTA A TIERRA PARA POSTE NUEVO</t>
        </is>
      </c>
      <c r="D66" s="400">
        <f>VLOOKUP(A66,[5]Hoja1!$B$6:$I$1424,3,FALSE)</f>
        <v/>
      </c>
      <c r="E66" s="401" t="n">
        <v>89.91382400000001</v>
      </c>
      <c r="F66" s="566" t="n"/>
      <c r="G66" s="554" t="n"/>
      <c r="H66" s="562" t="n"/>
      <c r="I66" s="555">
        <f>SUM(F66:H66)</f>
        <v/>
      </c>
      <c r="J66" s="556">
        <f>IF(I66=0,"",(I66*$E66))</f>
        <v/>
      </c>
      <c r="K66" s="412" t="n"/>
      <c r="L66" s="560">
        <f>I66</f>
        <v/>
      </c>
      <c r="M66" s="561">
        <f>IF(A66=0,"",(L66*$E66))</f>
        <v/>
      </c>
      <c r="N66" s="374" t="n"/>
      <c r="O66" s="361" t="n"/>
      <c r="P66" s="559">
        <f>L66</f>
        <v/>
      </c>
      <c r="Q66" s="559">
        <f>P66*E66</f>
        <v/>
      </c>
    </row>
    <row r="67" ht="13.8" customHeight="1" s="450">
      <c r="A67" s="366" t="inlineStr">
        <is>
          <t>*091840</t>
        </is>
      </c>
      <c r="B67" s="419" t="inlineStr">
        <is>
          <t>I</t>
        </is>
      </c>
      <c r="C67" s="399" t="inlineStr">
        <is>
          <t>ROTURA DE VEREDA CUALQUIER ESPESOR S/MAQ.CORTADORA</t>
        </is>
      </c>
      <c r="D67" s="400">
        <f>VLOOKUP(A67,[5]Hoja1!$B$6:$I$1424,3,FALSE)</f>
        <v/>
      </c>
      <c r="E67" s="401" t="n">
        <v>24.5510496</v>
      </c>
      <c r="F67" s="565" t="n"/>
      <c r="G67" s="554" t="n"/>
      <c r="H67" s="562" t="n"/>
      <c r="I67" s="568">
        <f>SUM(F67:H67)</f>
        <v/>
      </c>
      <c r="J67" s="563">
        <f>IF(I67=0,"",(I67*$E67))</f>
        <v/>
      </c>
      <c r="K67" s="354" t="n"/>
      <c r="L67" s="557">
        <f>I67</f>
        <v/>
      </c>
      <c r="M67" s="558">
        <f>IF(A67=0,"",(L67*$E67))</f>
        <v/>
      </c>
      <c r="N67" s="371" t="n"/>
      <c r="O67" s="357" t="n"/>
      <c r="P67" s="559">
        <f>L67</f>
        <v/>
      </c>
      <c r="Q67" s="559">
        <f>P67*E67</f>
        <v/>
      </c>
    </row>
    <row r="68" ht="13.8" customHeight="1" s="450">
      <c r="A68" s="366" t="inlineStr">
        <is>
          <t>*091842</t>
        </is>
      </c>
      <c r="B68" s="419" t="inlineStr">
        <is>
          <t>I</t>
        </is>
      </c>
      <c r="C68" s="399" t="inlineStr">
        <is>
          <t>CORTE DE VEREDA PARA CAMBIO DE POSTE (&lt;2M2)</t>
        </is>
      </c>
      <c r="D68" s="400">
        <f>VLOOKUP(A68,[5]Hoja1!$B$6:$I$1424,3,FALSE)</f>
        <v/>
      </c>
      <c r="E68" s="401" t="n">
        <v>68.370456</v>
      </c>
      <c r="F68" s="565" t="n"/>
      <c r="G68" s="554" t="n"/>
      <c r="H68" s="562" t="n"/>
      <c r="I68" s="568">
        <f>SUM(F68:H68)</f>
        <v/>
      </c>
      <c r="J68" s="563">
        <f>IF(I68=0,"",(I68*$E68))</f>
        <v/>
      </c>
      <c r="K68" s="354" t="n"/>
      <c r="L68" s="557">
        <f>I68</f>
        <v/>
      </c>
      <c r="M68" s="558">
        <f>IF(A68=0,"",(L68*$E68))</f>
        <v/>
      </c>
      <c r="N68" s="371" t="n"/>
      <c r="O68" s="357" t="n"/>
      <c r="P68" s="559">
        <f>L68</f>
        <v/>
      </c>
      <c r="Q68" s="559">
        <f>P68*E68</f>
        <v/>
      </c>
      <c r="R68" s="449">
        <f>+VLOOKUP(A68,'[6]Servicio Tercerizado'!$B$4:$Q$24,16,0)</f>
        <v/>
      </c>
    </row>
    <row r="69" ht="13.8" customHeight="1" s="450">
      <c r="A69" s="366" t="inlineStr">
        <is>
          <t>*095266</t>
        </is>
      </c>
      <c r="B69" s="419" t="inlineStr">
        <is>
          <t>I</t>
        </is>
      </c>
      <c r="C69" s="399" t="inlineStr">
        <is>
          <t>Reparación de vereda para trabajos en poste</t>
        </is>
      </c>
      <c r="D69" s="400">
        <f>VLOOKUP(A69,[5]Hoja1!$B$6:$I$1424,3,FALSE)</f>
        <v/>
      </c>
      <c r="E69" s="401" t="n">
        <v>119.56</v>
      </c>
      <c r="F69" s="565" t="n"/>
      <c r="G69" s="554" t="n"/>
      <c r="H69" s="562" t="n"/>
      <c r="I69" s="568">
        <f>SUM(F69:H69)</f>
        <v/>
      </c>
      <c r="J69" s="563">
        <f>IF(I69=0,"",(I69*$E69))</f>
        <v/>
      </c>
      <c r="K69" s="354" t="n"/>
      <c r="L69" s="557">
        <f>I69</f>
        <v/>
      </c>
      <c r="M69" s="558">
        <f>IF(A69=0,"",(L69*$E69))</f>
        <v/>
      </c>
      <c r="N69" s="374" t="inlineStr">
        <is>
          <t xml:space="preserve">traslado de cable de comunicación </t>
        </is>
      </c>
      <c r="O69" s="357" t="n"/>
      <c r="P69" s="559">
        <f>L69</f>
        <v/>
      </c>
      <c r="Q69" s="559">
        <f>P69*E69</f>
        <v/>
      </c>
      <c r="R69" s="449">
        <f>+VLOOKUP(A69,'[6]Servicio Tercerizado'!$B$4:$Q$24,16,0)</f>
        <v/>
      </c>
    </row>
    <row r="70" ht="13.8" customHeight="1" s="450">
      <c r="A70" s="366" t="inlineStr">
        <is>
          <t>*010213</t>
        </is>
      </c>
      <c r="B70" s="419" t="inlineStr">
        <is>
          <t>I</t>
        </is>
      </c>
      <c r="C70" s="399" t="inlineStr">
        <is>
          <t>HORA DE CUADRILLA DE MANTENIMIENTO CON GRUA DE 9 TN Y TRES PERSONAS</t>
        </is>
      </c>
      <c r="D70" s="400">
        <f>VLOOKUP(A70,[5]Hoja1!$B$6:$I$1424,3,FALSE)</f>
        <v/>
      </c>
      <c r="E70" s="401" t="n">
        <v>201.04</v>
      </c>
      <c r="F70" s="565" t="n"/>
      <c r="G70" s="554" t="n"/>
      <c r="H70" s="562" t="n"/>
      <c r="I70" s="555">
        <f>SUM(F70:H70)</f>
        <v/>
      </c>
      <c r="J70" s="556">
        <f>IF(I70=0,"",(I70*$E70))</f>
        <v/>
      </c>
      <c r="K70" s="354" t="n"/>
      <c r="L70" s="557">
        <f>I70</f>
        <v/>
      </c>
      <c r="M70" s="558">
        <f>IF(A70=0,"",(L70*$E70))</f>
        <v/>
      </c>
      <c r="N70" s="374" t="n"/>
      <c r="O70" s="357" t="n"/>
      <c r="P70" s="559">
        <f>L70</f>
        <v/>
      </c>
      <c r="Q70" s="559">
        <f>P70*E70</f>
        <v/>
      </c>
      <c r="R70" s="449">
        <f>+VLOOKUP(A70,'[6]Servicio Tercerizado'!$B$4:$Q$24,16,0)</f>
        <v/>
      </c>
    </row>
    <row r="71" ht="13.8" customHeight="1" s="450">
      <c r="A71" s="366" t="inlineStr">
        <is>
          <t>*010213</t>
        </is>
      </c>
      <c r="B71" s="419" t="inlineStr">
        <is>
          <t>I</t>
        </is>
      </c>
      <c r="C71" s="399" t="inlineStr">
        <is>
          <t>TRASLADO DE CABLES DE COMUNICACIÓN</t>
        </is>
      </c>
      <c r="D71" s="400">
        <f>VLOOKUP(A71,[5]Hoja1!$B$6:$I$1424,3,FALSE)</f>
        <v/>
      </c>
      <c r="E71" s="401" t="n">
        <v>201.04</v>
      </c>
      <c r="F71" s="565" t="n"/>
      <c r="G71" s="554" t="n"/>
      <c r="H71" s="562" t="n"/>
      <c r="I71" s="555">
        <f>SUM(F71:H71)</f>
        <v/>
      </c>
      <c r="J71" s="556">
        <f>IF(I71=0,"",(I71*$E71))</f>
        <v/>
      </c>
      <c r="K71" s="354" t="n"/>
      <c r="L71" s="557">
        <f>I71</f>
        <v/>
      </c>
      <c r="M71" s="558">
        <f>IF(A71=0,"",(L71*$E71))</f>
        <v/>
      </c>
      <c r="N71" s="374" t="n"/>
      <c r="O71" s="357" t="n"/>
      <c r="P71" s="559">
        <f>L71</f>
        <v/>
      </c>
      <c r="Q71" s="559">
        <f>P71*E71</f>
        <v/>
      </c>
    </row>
    <row r="72" ht="13.8" customHeight="1" s="450">
      <c r="A72" s="366" t="inlineStr">
        <is>
          <t>*010250</t>
        </is>
      </c>
      <c r="B72" s="419" t="inlineStr">
        <is>
          <t>I</t>
        </is>
      </c>
      <c r="C72" s="399" t="inlineStr">
        <is>
          <t>Uso por hora de martillo demoledor a costo propietario</t>
        </is>
      </c>
      <c r="D72" s="400">
        <f>VLOOKUP(A72,[5]Hoja1!$B$6:$I$1424,3,FALSE)</f>
        <v/>
      </c>
      <c r="E72" s="401" t="n">
        <v>3.09232</v>
      </c>
      <c r="F72" s="565" t="n"/>
      <c r="G72" s="554" t="n"/>
      <c r="H72" s="562" t="n"/>
      <c r="I72" s="555">
        <f>SUM(F72:H72)</f>
        <v/>
      </c>
      <c r="J72" s="556">
        <f>IF(I72=0,"",(I72*$E72))</f>
        <v/>
      </c>
      <c r="K72" s="354" t="n"/>
      <c r="L72" s="557">
        <f>I72</f>
        <v/>
      </c>
      <c r="M72" s="558">
        <f>IF(A72=0,"",(L72*$E72))</f>
        <v/>
      </c>
      <c r="N72" s="374" t="n"/>
      <c r="O72" s="357" t="n"/>
      <c r="P72" s="559">
        <f>L72</f>
        <v/>
      </c>
      <c r="Q72" s="559">
        <f>P72*E72</f>
        <v/>
      </c>
    </row>
    <row r="73" ht="13.8" customHeight="1" s="450">
      <c r="A73" s="366" t="inlineStr">
        <is>
          <t>*010251</t>
        </is>
      </c>
      <c r="B73" s="419" t="inlineStr">
        <is>
          <t>I</t>
        </is>
      </c>
      <c r="C73" s="399" t="inlineStr">
        <is>
          <t>Uso por hora de grupo electrógeno a costo propietario</t>
        </is>
      </c>
      <c r="D73" s="400">
        <f>VLOOKUP(A73,[5]Hoja1!$B$6:$I$1424,3,FALSE)</f>
        <v/>
      </c>
      <c r="E73" s="401" t="n">
        <v>13.84768</v>
      </c>
      <c r="F73" s="566" t="n"/>
      <c r="G73" s="554" t="n"/>
      <c r="H73" s="562" t="n"/>
      <c r="I73" s="555">
        <f>SUM(F73:H73)</f>
        <v/>
      </c>
      <c r="J73" s="556">
        <f>IF(I73=0,"",(I73*$E73))</f>
        <v/>
      </c>
      <c r="K73" s="354" t="n"/>
      <c r="L73" s="557">
        <f>I73</f>
        <v/>
      </c>
      <c r="M73" s="558">
        <f>IF(A73=0,"",(L73*$E73))</f>
        <v/>
      </c>
      <c r="N73" s="374" t="n"/>
      <c r="O73" s="361" t="n"/>
      <c r="P73" s="559">
        <f>L73</f>
        <v/>
      </c>
      <c r="Q73" s="559">
        <f>P73*E73</f>
        <v/>
      </c>
    </row>
    <row r="74" ht="13.8" customHeight="1" s="450">
      <c r="A74" s="366" t="inlineStr">
        <is>
          <t>*090228</t>
        </is>
      </c>
      <c r="B74" s="419" t="inlineStr">
        <is>
          <t>I</t>
        </is>
      </c>
      <c r="C74" s="406" t="inlineStr">
        <is>
          <t>RETIRO DE POSTES HASTA 10 M INSTALACIÓN CON CABRIA</t>
        </is>
      </c>
      <c r="D74" s="407">
        <f>VLOOKUP(A74,[5]Hoja1!$B$6:$I$1424,3,FALSE)</f>
        <v/>
      </c>
      <c r="E74" s="408" t="n">
        <v>766.5909328</v>
      </c>
      <c r="F74" s="565" t="n"/>
      <c r="G74" s="562" t="n"/>
      <c r="H74" s="562" t="n"/>
      <c r="I74" s="568">
        <f>SUM(F74:H74)</f>
        <v/>
      </c>
      <c r="J74" s="563">
        <f>IF(I74=0,"",(I74*$E74))</f>
        <v/>
      </c>
      <c r="K74" s="354" t="n"/>
      <c r="L74" s="557">
        <f>I74</f>
        <v/>
      </c>
      <c r="M74" s="558">
        <f>IF(A74=0,"",(L74*$E74))</f>
        <v/>
      </c>
      <c r="N74" s="371" t="n"/>
      <c r="O74" s="357" t="n"/>
      <c r="P74" s="569">
        <f>L74</f>
        <v/>
      </c>
      <c r="Q74" s="569">
        <f>P74*E74</f>
        <v/>
      </c>
      <c r="R74" s="410" t="n"/>
    </row>
    <row r="75" ht="13.8" customHeight="1" s="450">
      <c r="A75" s="366" t="inlineStr">
        <is>
          <t>*090632</t>
        </is>
      </c>
      <c r="B75" s="419" t="inlineStr">
        <is>
          <t>I</t>
        </is>
      </c>
      <c r="C75" s="406" t="inlineStr">
        <is>
          <t>ARRASTRE DE POSTE CAC HASTA 9M ZONA INACCES (PEND &gt;30° O GRADAS)</t>
        </is>
      </c>
      <c r="D75" s="407">
        <f>VLOOKUP(A75,[5]Hoja1!$B$6:$I$1424,3,FALSE)</f>
        <v/>
      </c>
      <c r="E75" s="401" t="n">
        <v>13.8190976</v>
      </c>
      <c r="F75" s="565" t="n"/>
      <c r="G75" s="562" t="n"/>
      <c r="H75" s="562" t="n"/>
      <c r="I75" s="568">
        <f>SUM(F75:H75)</f>
        <v/>
      </c>
      <c r="J75" s="563">
        <f>IF(I75=0,"",(I75*$E75))</f>
        <v/>
      </c>
      <c r="K75" s="354" t="n"/>
      <c r="L75" s="557">
        <f>I75</f>
        <v/>
      </c>
      <c r="M75" s="558">
        <f>IF(A75=0,"",(L75*$E75))</f>
        <v/>
      </c>
      <c r="N75" s="371" t="n"/>
      <c r="O75" s="357" t="n"/>
      <c r="P75" s="569">
        <f>L75</f>
        <v/>
      </c>
      <c r="Q75" s="569">
        <f>P75*E75</f>
        <v/>
      </c>
      <c r="R75" s="449">
        <f>+VLOOKUP(A75,'[6]Servicio Tercerizado'!$B$4:$Q$24,16,0)</f>
        <v/>
      </c>
    </row>
    <row r="76" ht="13.8" customHeight="1" s="450">
      <c r="A76" s="366" t="inlineStr">
        <is>
          <t>*090630</t>
        </is>
      </c>
      <c r="B76" s="419" t="inlineStr">
        <is>
          <t>I</t>
        </is>
      </c>
      <c r="C76" s="399" t="inlineStr">
        <is>
          <t>ARRASTRE DE POSTE DE CONCRETO  B.T.</t>
        </is>
      </c>
      <c r="D76" s="400">
        <f>VLOOKUP(A76,[5]Hoja1!$B$6:$I$1424,3,FALSE)</f>
        <v/>
      </c>
      <c r="E76" s="401" t="n">
        <v>9.039999999999999</v>
      </c>
      <c r="F76" s="566" t="n"/>
      <c r="G76" s="554" t="n"/>
      <c r="H76" s="562" t="n"/>
      <c r="I76" s="555">
        <f>SUM(F76:H76)</f>
        <v/>
      </c>
      <c r="J76" s="556">
        <f>IF(I76=0,"",(I76*$E76))</f>
        <v/>
      </c>
      <c r="K76" s="354" t="n"/>
      <c r="L76" s="557">
        <f>I76</f>
        <v/>
      </c>
      <c r="M76" s="558">
        <f>IF(A76=0,"",(L76*$E76))</f>
        <v/>
      </c>
      <c r="N76" s="374" t="n"/>
      <c r="O76" s="361" t="n"/>
      <c r="P76" s="559">
        <f>L76</f>
        <v/>
      </c>
      <c r="Q76" s="559">
        <f>P76*E76</f>
        <v/>
      </c>
    </row>
    <row r="77" ht="13.8" customHeight="1" s="450">
      <c r="A77" s="366" t="inlineStr">
        <is>
          <t>*010100</t>
        </is>
      </c>
      <c r="B77" s="419" t="inlineStr">
        <is>
          <t>I</t>
        </is>
      </c>
      <c r="C77" s="399" t="inlineStr">
        <is>
          <t>Hora de Capataz</t>
        </is>
      </c>
      <c r="D77" s="400">
        <f>VLOOKUP(A77,[5]Hoja1!$B$6:$I$1424,3,FALSE)</f>
        <v/>
      </c>
      <c r="E77" s="401" t="n">
        <v>25.5705296</v>
      </c>
      <c r="F77" s="566" t="n"/>
      <c r="G77" s="554" t="n"/>
      <c r="H77" s="562" t="n"/>
      <c r="I77" s="555">
        <f>SUM(F77:H77)</f>
        <v/>
      </c>
      <c r="J77" s="556">
        <f>IF(I77=0,"",(I77*$E77))</f>
        <v/>
      </c>
      <c r="K77" s="354" t="n"/>
      <c r="L77" s="557">
        <f>I77</f>
        <v/>
      </c>
      <c r="M77" s="558">
        <f>IF(A77=0,"",(L77*$E77))</f>
        <v/>
      </c>
      <c r="N77" s="374" t="n"/>
      <c r="O77" s="361" t="n"/>
      <c r="P77" s="559">
        <f>L77</f>
        <v/>
      </c>
      <c r="Q77" s="559">
        <f>P77*E77</f>
        <v/>
      </c>
    </row>
    <row r="78" ht="13.8" customHeight="1" s="450">
      <c r="A78" s="366" t="inlineStr">
        <is>
          <t>*010101</t>
        </is>
      </c>
      <c r="B78" s="419" t="inlineStr">
        <is>
          <t>I</t>
        </is>
      </c>
      <c r="C78" s="399" t="inlineStr">
        <is>
          <t>HORA DE OPERARIO</t>
        </is>
      </c>
      <c r="D78" s="400">
        <f>VLOOKUP(A78,[5]Hoja1!$B$6:$I$1424,3,FALSE)</f>
        <v/>
      </c>
      <c r="E78" s="401" t="n">
        <v>18.7921888</v>
      </c>
      <c r="F78" s="566" t="n"/>
      <c r="G78" s="554" t="n"/>
      <c r="H78" s="562" t="n"/>
      <c r="I78" s="555">
        <f>SUM(F78:H78)</f>
        <v/>
      </c>
      <c r="J78" s="556">
        <f>IF(I78=0,"",(I78*$E78))</f>
        <v/>
      </c>
      <c r="K78" s="354" t="n"/>
      <c r="L78" s="557">
        <f>I78</f>
        <v/>
      </c>
      <c r="M78" s="558">
        <f>IF(A78=0,"",(L78*$E78))</f>
        <v/>
      </c>
      <c r="N78" s="374" t="n"/>
      <c r="O78" s="361" t="n"/>
      <c r="P78" s="559">
        <f>L78</f>
        <v/>
      </c>
      <c r="Q78" s="559">
        <f>P78*E78</f>
        <v/>
      </c>
    </row>
    <row r="79" ht="13.8" customHeight="1" s="450">
      <c r="A79" s="366" t="inlineStr">
        <is>
          <t>*010210</t>
        </is>
      </c>
      <c r="B79" s="419" t="inlineStr">
        <is>
          <t>I</t>
        </is>
      </c>
      <c r="C79" s="399" t="inlineStr">
        <is>
          <t>HORA DE CUADRILLA DE MANTENIMIENTO CON CAMIÓN DE 4 TN Y CUATRO PERSONAS</t>
        </is>
      </c>
      <c r="D79" s="400">
        <f>VLOOKUP(A79,[5]Hoja1!$B$6:$I$1424,3,FALSE)</f>
        <v/>
      </c>
      <c r="E79" s="401" t="n">
        <v>130.9262416</v>
      </c>
      <c r="F79" s="566" t="n"/>
      <c r="G79" s="554" t="n"/>
      <c r="H79" s="562" t="n"/>
      <c r="I79" s="555">
        <f>SUM(F79:H79)</f>
        <v/>
      </c>
      <c r="J79" s="556">
        <f>IF(I79=0,"",(I79*$E79))</f>
        <v/>
      </c>
      <c r="K79" s="354" t="n"/>
      <c r="L79" s="557">
        <f>I79</f>
        <v/>
      </c>
      <c r="M79" s="558">
        <f>IF(A79=0,"",(L79*$E79))</f>
        <v/>
      </c>
      <c r="N79" s="374" t="n"/>
      <c r="O79" s="361" t="n"/>
      <c r="P79" s="559">
        <f>L79</f>
        <v/>
      </c>
      <c r="Q79" s="559">
        <f>P79*E79</f>
        <v/>
      </c>
    </row>
    <row r="80" ht="13.8" customHeight="1" s="450">
      <c r="A80" s="366" t="inlineStr">
        <is>
          <t>*010500</t>
        </is>
      </c>
      <c r="B80" s="419" t="inlineStr">
        <is>
          <t>I</t>
        </is>
      </c>
      <c r="C80" s="399" t="inlineStr">
        <is>
          <t>Hora de movilidad para cuadrilla (camión 4TN)</t>
        </is>
      </c>
      <c r="D80" s="400">
        <f>VLOOKUP(A80,[5]Hoja1!$B$6:$I$1424,3,FALSE)</f>
        <v/>
      </c>
      <c r="E80" s="401" t="n">
        <v>38.09344</v>
      </c>
      <c r="F80" s="566" t="n"/>
      <c r="G80" s="554" t="n"/>
      <c r="H80" s="562" t="n"/>
      <c r="I80" s="555">
        <f>SUM(F80:H80)</f>
        <v/>
      </c>
      <c r="J80" s="556">
        <f>IF(I80=0,"",(I80*$E80))</f>
        <v/>
      </c>
      <c r="K80" s="412" t="n"/>
      <c r="L80" s="560">
        <f>I80</f>
        <v/>
      </c>
      <c r="M80" s="561">
        <f>IF(A80=0,"",(L80*$E80))</f>
        <v/>
      </c>
      <c r="N80" s="377" t="n"/>
      <c r="O80" s="361" t="n"/>
      <c r="P80" s="559">
        <f>L80</f>
        <v/>
      </c>
      <c r="Q80" s="559">
        <f>P80*E80</f>
        <v/>
      </c>
    </row>
    <row r="81" ht="13.8" customHeight="1" s="450">
      <c r="A81" s="366" t="inlineStr">
        <is>
          <t>*090471</t>
        </is>
      </c>
      <c r="B81" s="419" t="inlineStr">
        <is>
          <t>I</t>
        </is>
      </c>
      <c r="C81" s="399" t="inlineStr">
        <is>
          <t>CAMBIO DE POSTE INACCESIBLE CON CABRIA DE CAC POR PRFV MENOR A 10M S/VEREDA</t>
        </is>
      </c>
      <c r="D81" s="400">
        <f>VLOOKUP(A81,[5]Hoja1!$B$6:$I$1424,3,FALSE)</f>
        <v/>
      </c>
      <c r="E81" s="401" t="n">
        <v>1312.56664</v>
      </c>
      <c r="F81" s="566" t="n"/>
      <c r="G81" s="554" t="n"/>
      <c r="H81" s="562" t="n"/>
      <c r="I81" s="555">
        <f>SUM(F81:H81)</f>
        <v/>
      </c>
      <c r="J81" s="556">
        <f>IF(I81=0,"",(I81*$E81))</f>
        <v/>
      </c>
      <c r="K81" s="354" t="n"/>
      <c r="L81" s="557">
        <f>I81</f>
        <v/>
      </c>
      <c r="M81" s="558">
        <f>IF(A81=0,"",(L81*$E81))</f>
        <v/>
      </c>
      <c r="N81" s="405" t="n"/>
      <c r="O81" s="361" t="n"/>
      <c r="P81" s="559">
        <f>L81</f>
        <v/>
      </c>
      <c r="Q81" s="559">
        <f>P81*E81</f>
        <v/>
      </c>
      <c r="R81" s="449">
        <f>+VLOOKUP(A81,'[6]Servicio Tercerizado'!$B$4:$Q$24,16,0)</f>
        <v/>
      </c>
    </row>
    <row r="82" ht="13.8" customHeight="1" s="450">
      <c r="A82" s="366" t="inlineStr">
        <is>
          <t>*090470</t>
        </is>
      </c>
      <c r="B82" s="418" t="n"/>
      <c r="C82" s="399" t="inlineStr">
        <is>
          <t>CAMBIO DE POSTE INACCESIBLE CON CABRIA  DE CAC POR PRFV  MENOR A 10M C/VEREDA</t>
        </is>
      </c>
      <c r="D82" s="400" t="n"/>
      <c r="E82" s="401" t="n">
        <v>1535.09</v>
      </c>
      <c r="F82" s="566" t="n"/>
      <c r="G82" s="554" t="n"/>
      <c r="H82" s="562" t="n"/>
      <c r="I82" s="555">
        <f>SUM(F82:H82)</f>
        <v/>
      </c>
      <c r="J82" s="556" t="n"/>
      <c r="K82" s="354" t="n"/>
      <c r="L82" s="557" t="n"/>
      <c r="M82" s="558" t="n"/>
      <c r="N82" s="405" t="n"/>
      <c r="O82" s="361" t="n"/>
      <c r="P82" s="559" t="n"/>
      <c r="Q82" s="559" t="n"/>
    </row>
    <row r="83" ht="13.8" customHeight="1" s="450">
      <c r="A83" s="366" t="inlineStr">
        <is>
          <t>*090430</t>
        </is>
      </c>
      <c r="B83" s="418" t="n"/>
      <c r="C83" s="399" t="inlineStr">
        <is>
          <t>PORTALINEA DE PASO O REMATE DE 1 A 5 VIAS</t>
        </is>
      </c>
      <c r="D83" s="400" t="n"/>
      <c r="E83" s="401" t="n">
        <v>26.9057712</v>
      </c>
      <c r="F83" s="566" t="n"/>
      <c r="G83" s="554" t="n"/>
      <c r="H83" s="562" t="n"/>
      <c r="I83" s="555">
        <f>SUM(F83:H83)</f>
        <v/>
      </c>
      <c r="J83" s="556" t="n"/>
      <c r="K83" s="354" t="n"/>
      <c r="L83" s="557" t="n"/>
      <c r="M83" s="558" t="n"/>
      <c r="N83" s="405" t="n"/>
      <c r="O83" s="361" t="n"/>
      <c r="P83" s="559" t="n"/>
      <c r="Q83" s="559" t="n"/>
    </row>
    <row r="84" ht="13.8" customHeight="1" s="450">
      <c r="A84" s="366" t="inlineStr">
        <is>
          <t>*090310</t>
        </is>
      </c>
      <c r="B84" s="418" t="n"/>
      <c r="C84" s="399" t="inlineStr">
        <is>
          <t>RETENIDA SIMPLE O VIOLIN MT O BT</t>
        </is>
      </c>
      <c r="D84" s="400" t="n"/>
      <c r="E84" s="401" t="n">
        <v>343.8276688</v>
      </c>
      <c r="F84" s="566" t="n"/>
      <c r="G84" s="554" t="n"/>
      <c r="H84" s="562" t="n"/>
      <c r="I84" s="555">
        <f>SUM(F84:H84)</f>
        <v/>
      </c>
      <c r="J84" s="556" t="n"/>
      <c r="K84" s="354" t="n"/>
      <c r="L84" s="557" t="n"/>
      <c r="M84" s="558" t="n"/>
      <c r="N84" s="405" t="n"/>
      <c r="O84" s="361" t="n"/>
      <c r="P84" s="559" t="n"/>
      <c r="Q84" s="559" t="n"/>
    </row>
    <row r="85" ht="13.8" customHeight="1" s="450">
      <c r="A85" s="366" t="n"/>
      <c r="B85" s="418" t="n"/>
      <c r="C85" s="399" t="n"/>
      <c r="D85" s="400" t="n"/>
      <c r="E85" s="401" t="n"/>
      <c r="F85" s="566" t="n"/>
      <c r="G85" s="554" t="n"/>
      <c r="H85" s="562" t="n"/>
      <c r="I85" s="555">
        <f>SUM(F85:H85)</f>
        <v/>
      </c>
      <c r="J85" s="556" t="n"/>
      <c r="K85" s="354" t="n"/>
      <c r="L85" s="557" t="n"/>
      <c r="M85" s="558" t="n"/>
      <c r="N85" s="405" t="n"/>
      <c r="O85" s="361" t="n"/>
      <c r="P85" s="559" t="n"/>
      <c r="Q85" s="559" t="n"/>
    </row>
    <row r="86" ht="13.8" customHeight="1" s="450">
      <c r="A86" s="366" t="n"/>
      <c r="B86" s="418" t="n"/>
      <c r="C86" s="399" t="n"/>
      <c r="D86" s="400" t="n"/>
      <c r="E86" s="401" t="n"/>
      <c r="F86" s="566" t="n"/>
      <c r="G86" s="554" t="n"/>
      <c r="H86" s="562" t="n"/>
      <c r="I86" s="555">
        <f>SUM(F86:H86)</f>
        <v/>
      </c>
      <c r="J86" s="556" t="n"/>
      <c r="K86" s="354" t="n"/>
      <c r="L86" s="557" t="n"/>
      <c r="M86" s="558" t="n"/>
      <c r="N86" s="405" t="n"/>
      <c r="O86" s="361" t="n"/>
      <c r="P86" s="559" t="n"/>
      <c r="Q86" s="559" t="n"/>
    </row>
    <row r="87" ht="13.8" customHeight="1" s="450">
      <c r="A87" s="366" t="n"/>
      <c r="B87" s="418" t="n"/>
      <c r="C87" s="399" t="n"/>
      <c r="D87" s="400" t="n"/>
      <c r="E87" s="401" t="n"/>
      <c r="F87" s="566" t="n"/>
      <c r="G87" s="554" t="n"/>
      <c r="H87" s="562" t="n"/>
      <c r="I87" s="555">
        <f>SUM(F87:H87)</f>
        <v/>
      </c>
      <c r="J87" s="556" t="n"/>
      <c r="K87" s="354" t="n"/>
      <c r="L87" s="557" t="n"/>
      <c r="M87" s="558" t="n"/>
      <c r="N87" s="405" t="n"/>
      <c r="O87" s="361" t="n"/>
      <c r="P87" s="559" t="n"/>
      <c r="Q87" s="559" t="n"/>
    </row>
    <row r="88" ht="13.8" customHeight="1" s="450">
      <c r="A88" s="366" t="n"/>
      <c r="B88" s="418" t="n"/>
      <c r="C88" s="399" t="n"/>
      <c r="D88" s="400" t="n"/>
      <c r="E88" s="401" t="n"/>
      <c r="F88" s="566" t="n"/>
      <c r="G88" s="554" t="n"/>
      <c r="H88" s="562" t="n"/>
      <c r="I88" s="555">
        <f>SUM(F88:H88)</f>
        <v/>
      </c>
      <c r="J88" s="556" t="n"/>
      <c r="K88" s="354" t="n"/>
      <c r="L88" s="557" t="n"/>
      <c r="M88" s="558" t="n"/>
      <c r="N88" s="405" t="n"/>
      <c r="O88" s="361" t="n"/>
      <c r="P88" s="559" t="n"/>
      <c r="Q88" s="559" t="n"/>
    </row>
    <row r="89" ht="13.8" customHeight="1" s="450">
      <c r="A89" s="366" t="n"/>
      <c r="B89" s="418" t="n"/>
      <c r="C89" s="399" t="n"/>
      <c r="D89" s="400" t="n"/>
      <c r="E89" s="401" t="n"/>
      <c r="F89" s="566" t="n"/>
      <c r="G89" s="554" t="n"/>
      <c r="H89" s="562" t="n"/>
      <c r="I89" s="555">
        <f>SUM(F89:H89)</f>
        <v/>
      </c>
      <c r="J89" s="556" t="n"/>
      <c r="K89" s="354" t="n"/>
      <c r="L89" s="557" t="n"/>
      <c r="M89" s="558" t="n"/>
      <c r="N89" s="405" t="n"/>
      <c r="O89" s="361" t="n"/>
      <c r="P89" s="559" t="n"/>
      <c r="Q89" s="559" t="n"/>
    </row>
    <row r="90" ht="13.8" customHeight="1" s="450">
      <c r="A90" s="366" t="n"/>
      <c r="B90" s="418" t="n"/>
      <c r="C90" s="399" t="n"/>
      <c r="D90" s="400" t="n"/>
      <c r="E90" s="401" t="n"/>
      <c r="F90" s="566" t="n"/>
      <c r="G90" s="554" t="n"/>
      <c r="H90" s="562" t="n"/>
      <c r="I90" s="555">
        <f>SUM(F90:H90)</f>
        <v/>
      </c>
      <c r="J90" s="556" t="n"/>
      <c r="K90" s="354" t="n"/>
      <c r="L90" s="557" t="n"/>
      <c r="M90" s="558" t="n"/>
      <c r="N90" s="405" t="n"/>
      <c r="O90" s="361" t="n"/>
      <c r="P90" s="559" t="n"/>
      <c r="Q90" s="559" t="n"/>
    </row>
    <row r="91" ht="13.8" customHeight="1" s="450">
      <c r="A91" s="366" t="n"/>
      <c r="B91" s="418" t="n"/>
      <c r="C91" s="399" t="n"/>
      <c r="D91" s="400" t="n"/>
      <c r="E91" s="401" t="n"/>
      <c r="F91" s="566" t="n"/>
      <c r="G91" s="554" t="n"/>
      <c r="H91" s="562" t="n"/>
      <c r="I91" s="555">
        <f>SUM(F91:H91)</f>
        <v/>
      </c>
      <c r="J91" s="556" t="n"/>
      <c r="K91" s="354" t="n"/>
      <c r="L91" s="557" t="n"/>
      <c r="M91" s="558" t="n"/>
      <c r="N91" s="405" t="n"/>
      <c r="O91" s="361" t="n"/>
      <c r="P91" s="559" t="n"/>
      <c r="Q91" s="559" t="n"/>
    </row>
    <row r="92" ht="13.8" customHeight="1" s="450">
      <c r="A92" s="366" t="n"/>
      <c r="B92" s="418" t="n"/>
      <c r="C92" s="399" t="n"/>
      <c r="D92" s="400" t="n"/>
      <c r="E92" s="401" t="n"/>
      <c r="F92" s="566" t="n"/>
      <c r="G92" s="554" t="n"/>
      <c r="H92" s="562" t="n"/>
      <c r="I92" s="555">
        <f>SUM(F92:H92)</f>
        <v/>
      </c>
      <c r="J92" s="556" t="n"/>
      <c r="K92" s="354" t="n"/>
      <c r="L92" s="557" t="n"/>
      <c r="M92" s="558" t="n"/>
      <c r="N92" s="405" t="n"/>
      <c r="O92" s="361" t="n"/>
      <c r="P92" s="559" t="n"/>
      <c r="Q92" s="559" t="n"/>
    </row>
    <row r="93" ht="13.8" customHeight="1" s="450">
      <c r="A93" s="366" t="n"/>
      <c r="B93" s="418" t="n"/>
      <c r="C93" s="399" t="n"/>
      <c r="D93" s="400" t="n"/>
      <c r="E93" s="401" t="n"/>
      <c r="F93" s="566" t="n"/>
      <c r="G93" s="554" t="n"/>
      <c r="H93" s="562" t="n"/>
      <c r="I93" s="555">
        <f>SUM(F93:H93)</f>
        <v/>
      </c>
      <c r="J93" s="556" t="n"/>
      <c r="K93" s="354" t="n"/>
      <c r="L93" s="557" t="n"/>
      <c r="M93" s="558" t="n"/>
      <c r="N93" s="405" t="n"/>
      <c r="O93" s="361" t="n"/>
      <c r="P93" s="559" t="n"/>
      <c r="Q93" s="559" t="n"/>
    </row>
    <row r="94" ht="13.8" customHeight="1" s="450">
      <c r="A94" s="366" t="n"/>
      <c r="B94" s="418" t="n"/>
      <c r="C94" s="399" t="n"/>
      <c r="D94" s="400" t="n"/>
      <c r="E94" s="401" t="n"/>
      <c r="F94" s="566" t="n"/>
      <c r="G94" s="554" t="n"/>
      <c r="H94" s="562" t="n"/>
      <c r="I94" s="555">
        <f>SUM(F94:H94)</f>
        <v/>
      </c>
      <c r="J94" s="556" t="n"/>
      <c r="K94" s="354" t="n"/>
      <c r="L94" s="557" t="n"/>
      <c r="M94" s="558" t="n"/>
      <c r="N94" s="405" t="n"/>
      <c r="O94" s="361" t="n"/>
      <c r="P94" s="559" t="n"/>
      <c r="Q94" s="559" t="n"/>
    </row>
    <row r="95" ht="13.8" customHeight="1" s="450">
      <c r="A95" s="366" t="n"/>
      <c r="B95" s="418" t="n"/>
      <c r="C95" s="399" t="n"/>
      <c r="D95" s="400" t="n"/>
      <c r="E95" s="401" t="n"/>
      <c r="F95" s="566" t="n"/>
      <c r="G95" s="554" t="n"/>
      <c r="H95" s="562" t="n"/>
      <c r="I95" s="555">
        <f>SUM(F95:H95)</f>
        <v/>
      </c>
      <c r="J95" s="556" t="n"/>
      <c r="K95" s="354" t="n"/>
      <c r="L95" s="557" t="n"/>
      <c r="M95" s="558" t="n"/>
      <c r="N95" s="405" t="n"/>
      <c r="O95" s="361" t="n"/>
      <c r="P95" s="559" t="n"/>
      <c r="Q95" s="559" t="n"/>
    </row>
    <row r="96" ht="13.8" customHeight="1" s="450">
      <c r="A96" s="366" t="n"/>
      <c r="B96" s="418" t="n"/>
      <c r="C96" s="399" t="n"/>
      <c r="D96" s="400" t="n"/>
      <c r="E96" s="401" t="n"/>
      <c r="F96" s="566" t="n"/>
      <c r="G96" s="554" t="n"/>
      <c r="H96" s="562" t="n"/>
      <c r="I96" s="555">
        <f>SUM(F96:H96)</f>
        <v/>
      </c>
      <c r="J96" s="556" t="n"/>
      <c r="K96" s="354" t="n"/>
      <c r="L96" s="557" t="n"/>
      <c r="M96" s="558" t="n"/>
      <c r="N96" s="405" t="n"/>
      <c r="O96" s="361" t="n"/>
      <c r="P96" s="559" t="n"/>
      <c r="Q96" s="559" t="n"/>
    </row>
    <row r="97" ht="13.8" customHeight="1" s="450">
      <c r="A97" s="366" t="n"/>
      <c r="B97" s="418" t="n"/>
      <c r="C97" s="399" t="n"/>
      <c r="D97" s="400" t="n"/>
      <c r="E97" s="401" t="n"/>
      <c r="F97" s="566" t="n"/>
      <c r="G97" s="554" t="n"/>
      <c r="H97" s="562" t="n"/>
      <c r="I97" s="555">
        <f>SUM(F97:H97)</f>
        <v/>
      </c>
      <c r="J97" s="556" t="n"/>
      <c r="K97" s="354" t="n"/>
      <c r="L97" s="557" t="n"/>
      <c r="M97" s="558" t="n"/>
      <c r="N97" s="405" t="n"/>
      <c r="O97" s="361" t="n"/>
      <c r="P97" s="559" t="n"/>
      <c r="Q97" s="559" t="n"/>
    </row>
    <row r="98" ht="13.8" customHeight="1" s="450">
      <c r="A98" s="366" t="n"/>
      <c r="B98" s="418" t="n"/>
      <c r="C98" s="399" t="n"/>
      <c r="D98" s="400" t="n"/>
      <c r="E98" s="401" t="n"/>
      <c r="F98" s="566" t="n"/>
      <c r="G98" s="554" t="n"/>
      <c r="H98" s="562" t="n"/>
      <c r="I98" s="555">
        <f>SUM(F98:H98)</f>
        <v/>
      </c>
      <c r="J98" s="556" t="n"/>
      <c r="K98" s="354" t="n"/>
      <c r="L98" s="557" t="n"/>
      <c r="M98" s="558" t="n"/>
      <c r="N98" s="405" t="n"/>
      <c r="O98" s="361" t="n"/>
      <c r="P98" s="559" t="n"/>
      <c r="Q98" s="559" t="n"/>
    </row>
    <row r="99" ht="13.8" customHeight="1" s="450">
      <c r="A99" s="366" t="n"/>
      <c r="B99" s="418" t="n"/>
      <c r="C99" s="399" t="n"/>
      <c r="D99" s="400" t="n"/>
      <c r="E99" s="401" t="n"/>
      <c r="F99" s="566" t="n"/>
      <c r="G99" s="554" t="n"/>
      <c r="H99" s="562" t="n"/>
      <c r="I99" s="555">
        <f>SUM(F99:H99)</f>
        <v/>
      </c>
      <c r="J99" s="556" t="n"/>
      <c r="K99" s="354" t="n"/>
      <c r="L99" s="557" t="n"/>
      <c r="M99" s="558" t="n"/>
      <c r="N99" s="405" t="n"/>
      <c r="O99" s="361" t="n"/>
      <c r="P99" s="559" t="n"/>
      <c r="Q99" s="559" t="n"/>
    </row>
    <row r="100" ht="13.8" customHeight="1" s="450">
      <c r="A100" s="366" t="n"/>
      <c r="B100" s="418" t="n"/>
      <c r="C100" s="399" t="n"/>
      <c r="D100" s="400" t="n"/>
      <c r="E100" s="401" t="n"/>
      <c r="F100" s="566" t="n"/>
      <c r="G100" s="554" t="n"/>
      <c r="H100" s="562" t="n"/>
      <c r="I100" s="555">
        <f>SUM(F100:H100)</f>
        <v/>
      </c>
      <c r="J100" s="556" t="n"/>
      <c r="K100" s="354" t="n"/>
      <c r="L100" s="557" t="n"/>
      <c r="M100" s="558" t="n"/>
      <c r="N100" s="405" t="n"/>
      <c r="O100" s="361" t="n"/>
      <c r="P100" s="559" t="n"/>
      <c r="Q100" s="559" t="n"/>
    </row>
    <row r="101" ht="13.8" customHeight="1" s="450">
      <c r="A101" s="366" t="n"/>
      <c r="B101" s="418" t="n"/>
      <c r="C101" s="399" t="n"/>
      <c r="D101" s="400" t="n"/>
      <c r="E101" s="401" t="n"/>
      <c r="F101" s="566" t="n"/>
      <c r="G101" s="554" t="n"/>
      <c r="H101" s="562" t="n"/>
      <c r="I101" s="555">
        <f>SUM(F101:H101)</f>
        <v/>
      </c>
      <c r="J101" s="556" t="n"/>
      <c r="K101" s="354" t="n"/>
      <c r="L101" s="557" t="n"/>
      <c r="M101" s="558" t="n"/>
      <c r="N101" s="405" t="n"/>
      <c r="O101" s="361" t="n"/>
      <c r="P101" s="559" t="n"/>
      <c r="Q101" s="559" t="n"/>
    </row>
    <row r="102" ht="13.8" customHeight="1" s="450">
      <c r="A102" s="366" t="n"/>
      <c r="B102" s="418" t="n"/>
      <c r="C102" s="399" t="n"/>
      <c r="D102" s="400" t="n"/>
      <c r="E102" s="401" t="n"/>
      <c r="F102" s="566" t="n"/>
      <c r="G102" s="554" t="n"/>
      <c r="H102" s="562" t="n"/>
      <c r="I102" s="555">
        <f>SUM(F102:H102)</f>
        <v/>
      </c>
      <c r="J102" s="556" t="n"/>
      <c r="K102" s="354" t="n"/>
      <c r="L102" s="557" t="n"/>
      <c r="M102" s="558" t="n"/>
      <c r="N102" s="405" t="n"/>
      <c r="O102" s="361" t="n"/>
      <c r="P102" s="559" t="n"/>
      <c r="Q102" s="559" t="n"/>
    </row>
    <row r="103" ht="13.8" customHeight="1" s="450">
      <c r="A103" s="366" t="n"/>
      <c r="B103" s="418" t="n"/>
      <c r="C103" s="399" t="n"/>
      <c r="D103" s="400" t="n"/>
      <c r="E103" s="401" t="n"/>
      <c r="F103" s="566" t="n"/>
      <c r="G103" s="554" t="n"/>
      <c r="H103" s="562" t="n"/>
      <c r="I103" s="555">
        <f>SUM(F103:H103)</f>
        <v/>
      </c>
      <c r="J103" s="556" t="n"/>
      <c r="K103" s="354" t="n"/>
      <c r="L103" s="557" t="n"/>
      <c r="M103" s="558" t="n"/>
      <c r="N103" s="405" t="n"/>
      <c r="O103" s="361" t="n"/>
      <c r="P103" s="559" t="n"/>
      <c r="Q103" s="559" t="n"/>
    </row>
    <row r="104" ht="13.8" customHeight="1" s="450">
      <c r="A104" s="366" t="n"/>
      <c r="B104" s="418" t="n"/>
      <c r="C104" s="399" t="n"/>
      <c r="D104" s="400" t="n"/>
      <c r="E104" s="401" t="n"/>
      <c r="F104" s="566" t="n"/>
      <c r="G104" s="554" t="n"/>
      <c r="H104" s="562" t="n"/>
      <c r="I104" s="555">
        <f>SUM(F104:H104)</f>
        <v/>
      </c>
      <c r="J104" s="556" t="n"/>
      <c r="K104" s="354" t="n"/>
      <c r="L104" s="557" t="n"/>
      <c r="M104" s="558" t="n"/>
      <c r="N104" s="405" t="n"/>
      <c r="O104" s="361" t="n"/>
      <c r="P104" s="559" t="n"/>
      <c r="Q104" s="559" t="n"/>
    </row>
    <row r="105" ht="13.8" customHeight="1" s="450">
      <c r="A105" s="366" t="n"/>
      <c r="B105" s="418" t="n"/>
      <c r="C105" s="399" t="n"/>
      <c r="D105" s="400" t="n"/>
      <c r="E105" s="401" t="n"/>
      <c r="F105" s="566" t="n"/>
      <c r="G105" s="554" t="n"/>
      <c r="H105" s="562" t="n"/>
      <c r="I105" s="555">
        <f>SUM(F105:H105)</f>
        <v/>
      </c>
      <c r="J105" s="556" t="n"/>
      <c r="K105" s="354" t="n"/>
      <c r="L105" s="557" t="n"/>
      <c r="M105" s="558" t="n"/>
      <c r="N105" s="405" t="n"/>
      <c r="O105" s="361" t="n"/>
      <c r="P105" s="559" t="n"/>
      <c r="Q105" s="559" t="n"/>
    </row>
    <row r="106" ht="13.8" customHeight="1" s="450">
      <c r="A106" s="366" t="n"/>
      <c r="B106" s="418" t="n"/>
      <c r="C106" s="399" t="n"/>
      <c r="D106" s="400" t="n"/>
      <c r="E106" s="401" t="n"/>
      <c r="F106" s="566" t="n"/>
      <c r="G106" s="554" t="n"/>
      <c r="H106" s="562" t="n"/>
      <c r="I106" s="555">
        <f>SUM(F106:H106)</f>
        <v/>
      </c>
      <c r="J106" s="556" t="n"/>
      <c r="K106" s="354" t="n"/>
      <c r="L106" s="557" t="n"/>
      <c r="M106" s="558" t="n"/>
      <c r="N106" s="405" t="n"/>
      <c r="O106" s="361" t="n"/>
      <c r="P106" s="559" t="n"/>
      <c r="Q106" s="559" t="n"/>
    </row>
    <row r="107" ht="13.8" customHeight="1" s="450">
      <c r="A107" s="366" t="n"/>
      <c r="B107" s="418" t="n"/>
      <c r="C107" s="399" t="n"/>
      <c r="D107" s="400" t="n"/>
      <c r="E107" s="401" t="n"/>
      <c r="F107" s="566" t="n"/>
      <c r="G107" s="554" t="n"/>
      <c r="H107" s="562" t="n"/>
      <c r="I107" s="555">
        <f>SUM(F107:H107)</f>
        <v/>
      </c>
      <c r="J107" s="556" t="n"/>
      <c r="K107" s="354" t="n"/>
      <c r="L107" s="557" t="n"/>
      <c r="M107" s="558" t="n"/>
      <c r="N107" s="405" t="n"/>
      <c r="O107" s="361" t="n"/>
      <c r="P107" s="559" t="n"/>
      <c r="Q107" s="559" t="n"/>
    </row>
    <row r="108" ht="13.8" customHeight="1" s="450">
      <c r="A108" s="366" t="n"/>
      <c r="B108" s="418" t="n"/>
      <c r="C108" s="399" t="n"/>
      <c r="D108" s="400" t="n"/>
      <c r="E108" s="401" t="n"/>
      <c r="F108" s="566" t="n"/>
      <c r="G108" s="554" t="n"/>
      <c r="H108" s="562" t="n"/>
      <c r="I108" s="555">
        <f>SUM(F108:H108)</f>
        <v/>
      </c>
      <c r="J108" s="556" t="n"/>
      <c r="K108" s="354" t="n"/>
      <c r="L108" s="557" t="n"/>
      <c r="M108" s="558" t="n"/>
      <c r="N108" s="405" t="n"/>
      <c r="O108" s="361" t="n"/>
      <c r="P108" s="559" t="n"/>
      <c r="Q108" s="559" t="n"/>
    </row>
    <row r="109" ht="13.8" customHeight="1" s="450">
      <c r="A109" s="366" t="n"/>
      <c r="B109" s="418" t="n"/>
      <c r="C109" s="399" t="n"/>
      <c r="D109" s="400" t="n"/>
      <c r="E109" s="401" t="n"/>
      <c r="F109" s="566" t="n"/>
      <c r="G109" s="554" t="n"/>
      <c r="H109" s="562" t="n"/>
      <c r="I109" s="555">
        <f>SUM(F109:H109)</f>
        <v/>
      </c>
      <c r="J109" s="556" t="n"/>
      <c r="K109" s="354" t="n"/>
      <c r="L109" s="557" t="n"/>
      <c r="M109" s="558" t="n"/>
      <c r="N109" s="405" t="n"/>
      <c r="O109" s="361" t="n"/>
      <c r="P109" s="559" t="n"/>
      <c r="Q109" s="559" t="n"/>
    </row>
    <row r="110" ht="13.8" customHeight="1" s="450">
      <c r="A110" s="366" t="n"/>
      <c r="B110" s="418" t="n"/>
      <c r="C110" s="399" t="n"/>
      <c r="D110" s="400" t="n"/>
      <c r="E110" s="401" t="n"/>
      <c r="F110" s="566" t="n"/>
      <c r="G110" s="554" t="n"/>
      <c r="H110" s="562" t="n"/>
      <c r="I110" s="555">
        <f>SUM(F110:H110)</f>
        <v/>
      </c>
      <c r="J110" s="556" t="n"/>
      <c r="K110" s="354" t="n"/>
      <c r="L110" s="557" t="n"/>
      <c r="M110" s="558" t="n"/>
      <c r="N110" s="405" t="n"/>
      <c r="O110" s="361" t="n"/>
      <c r="P110" s="559" t="n"/>
      <c r="Q110" s="559" t="n"/>
    </row>
    <row r="111" ht="13.8" customHeight="1" s="450">
      <c r="A111" s="366" t="n"/>
      <c r="B111" s="418" t="n"/>
      <c r="C111" s="399" t="n"/>
      <c r="D111" s="400" t="n"/>
      <c r="E111" s="401" t="n"/>
      <c r="F111" s="566" t="n"/>
      <c r="G111" s="554" t="n"/>
      <c r="H111" s="562" t="n"/>
      <c r="I111" s="555">
        <f>SUM(F111:H111)</f>
        <v/>
      </c>
      <c r="J111" s="556" t="n"/>
      <c r="K111" s="354" t="n"/>
      <c r="L111" s="557" t="n"/>
      <c r="M111" s="558" t="n"/>
      <c r="N111" s="405" t="n"/>
      <c r="O111" s="361" t="n"/>
      <c r="P111" s="559" t="n"/>
      <c r="Q111" s="559" t="n"/>
    </row>
    <row r="112" ht="13.8" customHeight="1" s="450">
      <c r="A112" s="366" t="n"/>
      <c r="B112" s="418" t="n"/>
      <c r="C112" s="399" t="n"/>
      <c r="D112" s="400" t="n"/>
      <c r="E112" s="401" t="n"/>
      <c r="F112" s="566" t="n"/>
      <c r="G112" s="554" t="n"/>
      <c r="H112" s="562" t="n"/>
      <c r="I112" s="555">
        <f>SUM(F112:H112)</f>
        <v/>
      </c>
      <c r="J112" s="570" t="n"/>
      <c r="K112" s="354" t="n"/>
      <c r="L112" s="557" t="n"/>
      <c r="M112" s="558" t="n"/>
      <c r="N112" s="405" t="n"/>
      <c r="O112" s="361" t="n"/>
      <c r="P112" s="559" t="n"/>
      <c r="Q112" s="559" t="n"/>
    </row>
    <row r="113">
      <c r="J113" s="571">
        <f>SUM(J7:J112)</f>
        <v/>
      </c>
      <c r="K113" s="415" t="n"/>
      <c r="L113" s="415" t="inlineStr">
        <is>
          <t>Total</t>
        </is>
      </c>
      <c r="M113" s="571">
        <f>SUM(M7:M112)</f>
        <v/>
      </c>
    </row>
  </sheetData>
  <autoFilter ref="A6:J113"/>
  <conditionalFormatting sqref="P7:Q10 P12:Q14 P16:Q43 P45:Q45 P47:Q112">
    <cfRule type="cellIs" priority="800" operator="greaterThan" dxfId="53">
      <formula>0</formula>
    </cfRule>
  </conditionalFormatting>
  <conditionalFormatting sqref="I7:I36 I38:I42 I45 I47:I49 I51 I61 I68:I72 I74 I76:I77 L7:L10 L12:L14 L16:L43 L45 L47:L112">
    <cfRule type="cellIs" priority="799" operator="greaterThan" dxfId="24" stopIfTrue="1">
      <formula>0</formula>
    </cfRule>
  </conditionalFormatting>
  <conditionalFormatting sqref="P7:P10 P12:P14 P16:P43 P45 P47:P112">
    <cfRule type="cellIs" priority="794" operator="lessThan" dxfId="51" stopIfTrue="1">
      <formula>0</formula>
    </cfRule>
    <cfRule type="colorScale" priority="1675">
      <colorScale>
        <cfvo type="min"/>
        <cfvo type="max"/>
        <color theme="0"/>
        <color theme="0"/>
      </colorScale>
    </cfRule>
  </conditionalFormatting>
  <conditionalFormatting sqref="A1:Q7 A9:A10 A12:A14 A16 A22 A24 A26 A29:A31 A33:A36 A38:A42 A45 A47:A49 A51 A59:A61 A68:A72 A74 A76:A78 A80 B7:B112 C8:H10 C12:E14 C16:E17 C20:G20 C22:G22 C24:G24 C26:D26 C29:G35 C36:L43 C45:Q45 C47:L63 C64:Q64 C65:D80 D27:D28 E28:G28 E65:E105 E106:F112 F12:F17 F26:G27 F65:K67 F73:F105 G12:H14 G16:H16 G17 H17:H35 H68:H112 I8:I35 I68:J77 J8:Q10 J11:J35 K12:Q14 K16:Q35 K68:K105 K106:L112 L65:L105 M36 M37:O37 M38:M42 M43:O43 M47:M49 M50:O50 M51 M52:O60 M61 M62:O63 M65:O67 M68:M72 N36:N42 N47:N51 N61:N63 N65:N73 N73:O105 N106:Q112 O36 O38:O42 O47:O49 O51 O61 O68:O72 P36:Q43 P47:Q63 P65:Q105">
    <cfRule type="expression" priority="789" dxfId="17" stopIfTrue="1">
      <formula>ROW()=CELL("fila")</formula>
    </cfRule>
  </conditionalFormatting>
  <conditionalFormatting sqref="M7 M9:M10 M12:M14 M16:M36 M38:M42 M45 M47:M49 M51 M61 M68:M72">
    <cfRule type="colorScale" priority="801">
      <colorScale>
        <cfvo type="min"/>
        <cfvo type="max"/>
        <color rgb="FFEBFFFF"/>
        <color rgb="FFEBFFFF"/>
      </colorScale>
    </cfRule>
  </conditionalFormatting>
  <conditionalFormatting sqref="J7 J9:J36 J38:J42 J45 J47:J49 J51 J61 J68:J72 J74 J76:J77">
    <cfRule type="colorScale" priority="803">
      <colorScale>
        <cfvo type="min"/>
        <cfvo type="max"/>
        <color rgb="FFEBFFFF"/>
        <color rgb="FFEBFFFF"/>
      </colorScale>
    </cfRule>
  </conditionalFormatting>
  <conditionalFormatting sqref="I63:I64">
    <cfRule type="cellIs" priority="769" operator="greaterThan" dxfId="24" stopIfTrue="1">
      <formula>0</formula>
    </cfRule>
  </conditionalFormatting>
  <conditionalFormatting sqref="A63:A64">
    <cfRule type="expression" priority="763" dxfId="17" stopIfTrue="1">
      <formula>ROW()=CELL("fila")</formula>
    </cfRule>
  </conditionalFormatting>
  <conditionalFormatting sqref="M63:M64">
    <cfRule type="colorScale" priority="778">
      <colorScale>
        <cfvo type="min"/>
        <cfvo type="max"/>
        <color rgb="FFEBFFFF"/>
        <color rgb="FFEBFFFF"/>
      </colorScale>
    </cfRule>
  </conditionalFormatting>
  <conditionalFormatting sqref="J63:J64">
    <cfRule type="colorScale" priority="788">
      <colorScale>
        <cfvo type="min"/>
        <cfvo type="max"/>
        <color rgb="FFEBFFFF"/>
        <color rgb="FFEBFFFF"/>
      </colorScale>
    </cfRule>
  </conditionalFormatting>
  <conditionalFormatting sqref="I73">
    <cfRule type="cellIs" priority="744" operator="greaterThan" dxfId="24" stopIfTrue="1">
      <formula>0</formula>
    </cfRule>
  </conditionalFormatting>
  <conditionalFormatting sqref="A73">
    <cfRule type="expression" priority="738" dxfId="17" stopIfTrue="1">
      <formula>ROW()=CELL("fila")</formula>
    </cfRule>
  </conditionalFormatting>
  <conditionalFormatting sqref="J73">
    <cfRule type="colorScale" priority="762">
      <colorScale>
        <cfvo type="min"/>
        <cfvo type="max"/>
        <color rgb="FFEBFFFF"/>
        <color rgb="FFEBFFFF"/>
      </colorScale>
    </cfRule>
  </conditionalFormatting>
  <conditionalFormatting sqref="M71:M74 M76:M78 M80">
    <cfRule type="expression" priority="736" dxfId="17" stopIfTrue="1">
      <formula>ROW()=CELL("fila")</formula>
    </cfRule>
    <cfRule type="colorScale" priority="1667">
      <colorScale>
        <cfvo type="min"/>
        <cfvo type="max"/>
        <color rgb="FFEBFFFF"/>
        <color rgb="FFEBFFFF"/>
      </colorScale>
    </cfRule>
  </conditionalFormatting>
  <conditionalFormatting sqref="I62">
    <cfRule type="cellIs" priority="716" operator="greaterThan" dxfId="24" stopIfTrue="1">
      <formula>0</formula>
    </cfRule>
  </conditionalFormatting>
  <conditionalFormatting sqref="A62">
    <cfRule type="expression" priority="710" dxfId="17" stopIfTrue="1">
      <formula>ROW()=CELL("fila")</formula>
    </cfRule>
  </conditionalFormatting>
  <conditionalFormatting sqref="M62">
    <cfRule type="colorScale" priority="725">
      <colorScale>
        <cfvo type="min"/>
        <cfvo type="max"/>
        <color rgb="FFEBFFFF"/>
        <color rgb="FFEBFFFF"/>
      </colorScale>
    </cfRule>
  </conditionalFormatting>
  <conditionalFormatting sqref="J62">
    <cfRule type="colorScale" priority="735">
      <colorScale>
        <cfvo type="min"/>
        <cfvo type="max"/>
        <color rgb="FFEBFFFF"/>
        <color rgb="FFEBFFFF"/>
      </colorScale>
    </cfRule>
  </conditionalFormatting>
  <conditionalFormatting sqref="A8:A20 A22 A24 A26 A29:A112">
    <cfRule type="expression" priority="682" dxfId="17" stopIfTrue="1">
      <formula>ROW()=CELL("fila")</formula>
    </cfRule>
  </conditionalFormatting>
  <conditionalFormatting sqref="M8">
    <cfRule type="colorScale" priority="699">
      <colorScale>
        <cfvo type="min"/>
        <cfvo type="max"/>
        <color rgb="FFEBFFFF"/>
        <color rgb="FFEBFFFF"/>
      </colorScale>
    </cfRule>
  </conditionalFormatting>
  <conditionalFormatting sqref="J8">
    <cfRule type="colorScale" priority="709">
      <colorScale>
        <cfvo type="min"/>
        <cfvo type="max"/>
        <color rgb="FFEBFFFF"/>
        <color rgb="FFEBFFFF"/>
      </colorScale>
    </cfRule>
  </conditionalFormatting>
  <conditionalFormatting sqref="I37">
    <cfRule type="cellIs" priority="662" operator="greaterThan" dxfId="24" stopIfTrue="1">
      <formula>0</formula>
    </cfRule>
  </conditionalFormatting>
  <conditionalFormatting sqref="A37">
    <cfRule type="expression" priority="656" dxfId="17" stopIfTrue="1">
      <formula>ROW()=CELL("fila")</formula>
    </cfRule>
  </conditionalFormatting>
  <conditionalFormatting sqref="M37">
    <cfRule type="colorScale" priority="671">
      <colorScale>
        <cfvo type="min"/>
        <cfvo type="max"/>
        <color rgb="FFEBFFFF"/>
        <color rgb="FFEBFFFF"/>
      </colorScale>
    </cfRule>
  </conditionalFormatting>
  <conditionalFormatting sqref="J37">
    <cfRule type="colorScale" priority="681">
      <colorScale>
        <cfvo type="min"/>
        <cfvo type="max"/>
        <color rgb="FFEBFFFF"/>
        <color rgb="FFEBFFFF"/>
      </colorScale>
    </cfRule>
  </conditionalFormatting>
  <conditionalFormatting sqref="I50">
    <cfRule type="cellIs" priority="636" operator="greaterThan" dxfId="24" stopIfTrue="1">
      <formula>0</formula>
    </cfRule>
  </conditionalFormatting>
  <conditionalFormatting sqref="A50">
    <cfRule type="expression" priority="630" dxfId="17" stopIfTrue="1">
      <formula>ROW()=CELL("fila")</formula>
    </cfRule>
  </conditionalFormatting>
  <conditionalFormatting sqref="M50">
    <cfRule type="colorScale" priority="645">
      <colorScale>
        <cfvo type="min"/>
        <cfvo type="max"/>
        <color rgb="FFEBFFFF"/>
        <color rgb="FFEBFFFF"/>
      </colorScale>
    </cfRule>
  </conditionalFormatting>
  <conditionalFormatting sqref="J50">
    <cfRule type="colorScale" priority="655">
      <colorScale>
        <cfvo type="min"/>
        <cfvo type="max"/>
        <color rgb="FFEBFFFF"/>
        <color rgb="FFEBFFFF"/>
      </colorScale>
    </cfRule>
  </conditionalFormatting>
  <conditionalFormatting sqref="I75">
    <cfRule type="cellIs" priority="610" operator="greaterThan" dxfId="24" stopIfTrue="1">
      <formula>0</formula>
    </cfRule>
  </conditionalFormatting>
  <conditionalFormatting sqref="A75">
    <cfRule type="expression" priority="604" dxfId="17" stopIfTrue="1">
      <formula>ROW()=CELL("fila")</formula>
    </cfRule>
  </conditionalFormatting>
  <conditionalFormatting sqref="J75">
    <cfRule type="colorScale" priority="629">
      <colorScale>
        <cfvo type="min"/>
        <cfvo type="max"/>
        <color rgb="FFEBFFFF"/>
        <color rgb="FFEBFFFF"/>
      </colorScale>
    </cfRule>
  </conditionalFormatting>
  <conditionalFormatting sqref="M75">
    <cfRule type="expression" priority="601" dxfId="17" stopIfTrue="1">
      <formula>ROW()=CELL("fila")</formula>
    </cfRule>
    <cfRule type="colorScale" priority="603">
      <colorScale>
        <cfvo type="min"/>
        <cfvo type="max"/>
        <color rgb="FFEBFFFF"/>
        <color rgb="FFEBFFFF"/>
      </colorScale>
    </cfRule>
  </conditionalFormatting>
  <conditionalFormatting sqref="I65">
    <cfRule type="cellIs" priority="581" operator="greaterThan" dxfId="24" stopIfTrue="1">
      <formula>0</formula>
    </cfRule>
  </conditionalFormatting>
  <conditionalFormatting sqref="A65">
    <cfRule type="expression" priority="575" dxfId="17" stopIfTrue="1">
      <formula>ROW()=CELL("fila")</formula>
    </cfRule>
  </conditionalFormatting>
  <conditionalFormatting sqref="M65">
    <cfRule type="colorScale" priority="590">
      <colorScale>
        <cfvo type="min"/>
        <cfvo type="max"/>
        <color rgb="FFEBFFFF"/>
        <color rgb="FFEBFFFF"/>
      </colorScale>
    </cfRule>
  </conditionalFormatting>
  <conditionalFormatting sqref="J65">
    <cfRule type="colorScale" priority="600">
      <colorScale>
        <cfvo type="min"/>
        <cfvo type="max"/>
        <color rgb="FFEBFFFF"/>
        <color rgb="FFEBFFFF"/>
      </colorScale>
    </cfRule>
  </conditionalFormatting>
  <conditionalFormatting sqref="A32">
    <cfRule type="expression" priority="549" dxfId="17" stopIfTrue="1">
      <formula>ROW()=CELL("fila")</formula>
    </cfRule>
  </conditionalFormatting>
  <conditionalFormatting sqref="A79">
    <cfRule type="expression" priority="524" dxfId="17" stopIfTrue="1">
      <formula>ROW()=CELL("fila")</formula>
    </cfRule>
  </conditionalFormatting>
  <conditionalFormatting sqref="M79">
    <cfRule type="expression" priority="521" dxfId="17" stopIfTrue="1">
      <formula>ROW()=CELL("fila")</formula>
    </cfRule>
    <cfRule type="colorScale" priority="523">
      <colorScale>
        <cfvo type="min"/>
        <cfvo type="max"/>
        <color rgb="FFEBFFFF"/>
        <color rgb="FFEBFFFF"/>
      </colorScale>
    </cfRule>
  </conditionalFormatting>
  <conditionalFormatting sqref="I66:I77">
    <cfRule type="cellIs" priority="518" operator="greaterThan" dxfId="24" stopIfTrue="1">
      <formula>0</formula>
    </cfRule>
  </conditionalFormatting>
  <conditionalFormatting sqref="I67:J77">
    <cfRule type="expression" priority="512" dxfId="17" stopIfTrue="1">
      <formula>ROW()=CELL("fila")</formula>
    </cfRule>
  </conditionalFormatting>
  <conditionalFormatting sqref="I67">
    <cfRule type="cellIs" priority="455" operator="greaterThan" dxfId="24" stopIfTrue="1">
      <formula>0</formula>
    </cfRule>
  </conditionalFormatting>
  <conditionalFormatting sqref="A67 F68:G70 F71:F72 G71:G80">
    <cfRule type="expression" priority="449" dxfId="17" stopIfTrue="1">
      <formula>ROW()=CELL("fila")</formula>
    </cfRule>
  </conditionalFormatting>
  <conditionalFormatting sqref="M67">
    <cfRule type="colorScale" priority="464">
      <colorScale>
        <cfvo type="min"/>
        <cfvo type="max"/>
        <color rgb="FFEBFFFF"/>
        <color rgb="FFEBFFFF"/>
      </colorScale>
    </cfRule>
  </conditionalFormatting>
  <conditionalFormatting sqref="J67">
    <cfRule type="colorScale" priority="474">
      <colorScale>
        <cfvo type="min"/>
        <cfvo type="max"/>
        <color rgb="FFEBFFFF"/>
        <color rgb="FFEBFFFF"/>
      </colorScale>
    </cfRule>
  </conditionalFormatting>
  <conditionalFormatting sqref="M66">
    <cfRule type="colorScale" priority="811">
      <colorScale>
        <cfvo type="min"/>
        <cfvo type="max"/>
        <color rgb="FFEBFFFF"/>
        <color rgb="FFEBFFFF"/>
      </colorScale>
    </cfRule>
  </conditionalFormatting>
  <conditionalFormatting sqref="J66:J77">
    <cfRule type="colorScale" priority="820">
      <colorScale>
        <cfvo type="min"/>
        <cfvo type="max"/>
        <color rgb="FFEBFFFF"/>
        <color rgb="FFEBFFFF"/>
      </colorScale>
    </cfRule>
  </conditionalFormatting>
  <conditionalFormatting sqref="I43">
    <cfRule type="cellIs" priority="403" operator="greaterThan" dxfId="24" stopIfTrue="1">
      <formula>0</formula>
    </cfRule>
  </conditionalFormatting>
  <conditionalFormatting sqref="A43">
    <cfRule type="expression" priority="397" dxfId="17" stopIfTrue="1">
      <formula>ROW()=CELL("fila")</formula>
    </cfRule>
  </conditionalFormatting>
  <conditionalFormatting sqref="M43">
    <cfRule type="colorScale" priority="412">
      <colorScale>
        <cfvo type="min"/>
        <cfvo type="max"/>
        <color rgb="FFEBFFFF"/>
        <color rgb="FFEBFFFF"/>
      </colorScale>
    </cfRule>
  </conditionalFormatting>
  <conditionalFormatting sqref="J43">
    <cfRule type="colorScale" priority="422">
      <colorScale>
        <cfvo type="min"/>
        <cfvo type="max"/>
        <color rgb="FFEBFFFF"/>
        <color rgb="FFEBFFFF"/>
      </colorScale>
    </cfRule>
  </conditionalFormatting>
  <conditionalFormatting sqref="A17">
    <cfRule type="expression" priority="370" dxfId="17" stopIfTrue="1">
      <formula>ROW()=CELL("fila")</formula>
    </cfRule>
  </conditionalFormatting>
  <conditionalFormatting sqref="A20">
    <cfRule type="expression" priority="344" dxfId="17" stopIfTrue="1">
      <formula>ROW()=CELL("fila")</formula>
    </cfRule>
  </conditionalFormatting>
  <conditionalFormatting sqref="I78:I80">
    <cfRule type="cellIs" priority="316" operator="greaterThan" dxfId="24" stopIfTrue="1">
      <formula>0</formula>
    </cfRule>
    <cfRule type="cellIs" priority="314" operator="greaterThan" dxfId="24" stopIfTrue="1">
      <formula>0</formula>
    </cfRule>
  </conditionalFormatting>
  <conditionalFormatting sqref="I78:J80">
    <cfRule type="expression" priority="315" dxfId="17" stopIfTrue="1">
      <formula>ROW()=CELL("fila")</formula>
    </cfRule>
    <cfRule type="expression" priority="313" dxfId="17" stopIfTrue="1">
      <formula>ROW()=CELL("fila")</formula>
    </cfRule>
  </conditionalFormatting>
  <conditionalFormatting sqref="I54 I57 I59:I60">
    <cfRule type="cellIs" priority="293" operator="greaterThan" dxfId="24" stopIfTrue="1">
      <formula>0</formula>
    </cfRule>
  </conditionalFormatting>
  <conditionalFormatting sqref="A54 A57 N55:N56">
    <cfRule type="expression" priority="287" dxfId="17" stopIfTrue="1">
      <formula>ROW()=CELL("fila")</formula>
    </cfRule>
  </conditionalFormatting>
  <conditionalFormatting sqref="I55">
    <cfRule type="cellIs" priority="267" operator="greaterThan" dxfId="24" stopIfTrue="1">
      <formula>0</formula>
    </cfRule>
  </conditionalFormatting>
  <conditionalFormatting sqref="A55">
    <cfRule type="expression" priority="261" dxfId="17" stopIfTrue="1">
      <formula>ROW()=CELL("fila")</formula>
    </cfRule>
  </conditionalFormatting>
  <conditionalFormatting sqref="M55">
    <cfRule type="colorScale" priority="276">
      <colorScale>
        <cfvo type="min"/>
        <cfvo type="max"/>
        <color rgb="FFEBFFFF"/>
        <color rgb="FFEBFFFF"/>
      </colorScale>
    </cfRule>
  </conditionalFormatting>
  <conditionalFormatting sqref="J55">
    <cfRule type="colorScale" priority="286">
      <colorScale>
        <cfvo type="min"/>
        <cfvo type="max"/>
        <color rgb="FFEBFFFF"/>
        <color rgb="FFEBFFFF"/>
      </colorScale>
    </cfRule>
  </conditionalFormatting>
  <conditionalFormatting sqref="I56">
    <cfRule type="cellIs" priority="241" operator="greaterThan" dxfId="24" stopIfTrue="1">
      <formula>0</formula>
    </cfRule>
  </conditionalFormatting>
  <conditionalFormatting sqref="A56">
    <cfRule type="expression" priority="235" dxfId="17" stopIfTrue="1">
      <formula>ROW()=CELL("fila")</formula>
    </cfRule>
  </conditionalFormatting>
  <conditionalFormatting sqref="M56">
    <cfRule type="colorScale" priority="250">
      <colorScale>
        <cfvo type="min"/>
        <cfvo type="max"/>
        <color rgb="FFEBFFFF"/>
        <color rgb="FFEBFFFF"/>
      </colorScale>
    </cfRule>
  </conditionalFormatting>
  <conditionalFormatting sqref="J56">
    <cfRule type="colorScale" priority="260">
      <colorScale>
        <cfvo type="min"/>
        <cfvo type="max"/>
        <color rgb="FFEBFFFF"/>
        <color rgb="FFEBFFFF"/>
      </colorScale>
    </cfRule>
  </conditionalFormatting>
  <conditionalFormatting sqref="I52">
    <cfRule type="cellIs" priority="215" operator="greaterThan" dxfId="24" stopIfTrue="1">
      <formula>0</formula>
    </cfRule>
  </conditionalFormatting>
  <conditionalFormatting sqref="A52">
    <cfRule type="expression" priority="209" dxfId="17" stopIfTrue="1">
      <formula>ROW()=CELL("fila")</formula>
    </cfRule>
  </conditionalFormatting>
  <conditionalFormatting sqref="M52">
    <cfRule type="colorScale" priority="224">
      <colorScale>
        <cfvo type="min"/>
        <cfvo type="max"/>
        <color rgb="FFEBFFFF"/>
        <color rgb="FFEBFFFF"/>
      </colorScale>
    </cfRule>
  </conditionalFormatting>
  <conditionalFormatting sqref="J52">
    <cfRule type="colorScale" priority="234">
      <colorScale>
        <cfvo type="min"/>
        <cfvo type="max"/>
        <color rgb="FFEBFFFF"/>
        <color rgb="FFEBFFFF"/>
      </colorScale>
    </cfRule>
  </conditionalFormatting>
  <conditionalFormatting sqref="I53">
    <cfRule type="cellIs" priority="189" operator="greaterThan" dxfId="24" stopIfTrue="1">
      <formula>0</formula>
    </cfRule>
  </conditionalFormatting>
  <conditionalFormatting sqref="A53">
    <cfRule type="expression" priority="183" dxfId="17" stopIfTrue="1">
      <formula>ROW()=CELL("fila")</formula>
    </cfRule>
  </conditionalFormatting>
  <conditionalFormatting sqref="M53">
    <cfRule type="colorScale" priority="198">
      <colorScale>
        <cfvo type="min"/>
        <cfvo type="max"/>
        <color rgb="FFEBFFFF"/>
        <color rgb="FFEBFFFF"/>
      </colorScale>
    </cfRule>
  </conditionalFormatting>
  <conditionalFormatting sqref="J53">
    <cfRule type="colorScale" priority="208">
      <colorScale>
        <cfvo type="min"/>
        <cfvo type="max"/>
        <color rgb="FFEBFFFF"/>
        <color rgb="FFEBFFFF"/>
      </colorScale>
    </cfRule>
  </conditionalFormatting>
  <conditionalFormatting sqref="I58">
    <cfRule type="cellIs" priority="163" operator="greaterThan" dxfId="24" stopIfTrue="1">
      <formula>0</formula>
    </cfRule>
  </conditionalFormatting>
  <conditionalFormatting sqref="A58">
    <cfRule type="expression" priority="157" dxfId="17" stopIfTrue="1">
      <formula>ROW()=CELL("fila")</formula>
    </cfRule>
  </conditionalFormatting>
  <conditionalFormatting sqref="M58">
    <cfRule type="colorScale" priority="172">
      <colorScale>
        <cfvo type="min"/>
        <cfvo type="max"/>
        <color rgb="FFEBFFFF"/>
        <color rgb="FFEBFFFF"/>
      </colorScale>
    </cfRule>
  </conditionalFormatting>
  <conditionalFormatting sqref="J58">
    <cfRule type="colorScale" priority="182">
      <colorScale>
        <cfvo type="min"/>
        <cfvo type="max"/>
        <color rgb="FFEBFFFF"/>
        <color rgb="FFEBFFFF"/>
      </colorScale>
    </cfRule>
  </conditionalFormatting>
  <conditionalFormatting sqref="A81:A112 C81:D112">
    <cfRule type="expression" priority="133" dxfId="17" stopIfTrue="1">
      <formula>ROW()=CELL("fila")</formula>
    </cfRule>
  </conditionalFormatting>
  <conditionalFormatting sqref="M81:M112">
    <cfRule type="expression" priority="130" dxfId="17" stopIfTrue="1">
      <formula>ROW()=CELL("fila")</formula>
    </cfRule>
    <cfRule type="colorScale" priority="1639">
      <colorScale>
        <cfvo type="min"/>
        <cfvo type="max"/>
        <color rgb="FFEBFFFF"/>
        <color rgb="FFEBFFFF"/>
      </colorScale>
    </cfRule>
  </conditionalFormatting>
  <conditionalFormatting sqref="G81:G112">
    <cfRule type="expression" priority="129" dxfId="17" stopIfTrue="1">
      <formula>ROW()=CELL("fila")</formula>
    </cfRule>
  </conditionalFormatting>
  <conditionalFormatting sqref="I81">
    <cfRule type="cellIs" priority="126" operator="greaterThan" dxfId="24" stopIfTrue="1">
      <formula>0</formula>
    </cfRule>
    <cfRule type="cellIs" priority="124" operator="greaterThan" dxfId="24" stopIfTrue="1">
      <formula>0</formula>
    </cfRule>
  </conditionalFormatting>
  <conditionalFormatting sqref="I81:J81 J82:J112">
    <cfRule type="expression" priority="125" dxfId="17" stopIfTrue="1">
      <formula>ROW()=CELL("fila")</formula>
    </cfRule>
    <cfRule type="expression" priority="123" dxfId="17" stopIfTrue="1">
      <formula>ROW()=CELL("fila")</formula>
    </cfRule>
  </conditionalFormatting>
  <conditionalFormatting sqref="A14">
    <cfRule type="expression" priority="121" dxfId="17" stopIfTrue="1">
      <formula>ROW()=CELL("fila")</formula>
    </cfRule>
  </conditionalFormatting>
  <conditionalFormatting sqref="C18:G18">
    <cfRule type="expression" priority="115" dxfId="17" stopIfTrue="1">
      <formula>ROW()=CELL("fila")</formula>
    </cfRule>
  </conditionalFormatting>
  <conditionalFormatting sqref="A18">
    <cfRule type="expression" priority="110" dxfId="17" stopIfTrue="1">
      <formula>ROW()=CELL("fila")</formula>
    </cfRule>
    <cfRule type="duplicateValues" priority="120" dxfId="18" stopIfTrue="1"/>
  </conditionalFormatting>
  <conditionalFormatting sqref="M54 M57 M59:M60">
    <cfRule type="colorScale" priority="1583">
      <colorScale>
        <cfvo type="min"/>
        <cfvo type="max"/>
        <color rgb="FFEBFFFF"/>
        <color rgb="FFEBFFFF"/>
      </colorScale>
    </cfRule>
  </conditionalFormatting>
  <conditionalFormatting sqref="J54 J57 J59:J60">
    <cfRule type="colorScale" priority="1586">
      <colorScale>
        <cfvo type="min"/>
        <cfvo type="max"/>
        <color rgb="FFEBFFFF"/>
        <color rgb="FFEBFFFF"/>
      </colorScale>
    </cfRule>
  </conditionalFormatting>
  <conditionalFormatting sqref="P44:Q44">
    <cfRule type="cellIs" priority="107" operator="greaterThan" dxfId="53">
      <formula>0</formula>
    </cfRule>
  </conditionalFormatting>
  <conditionalFormatting sqref="L44">
    <cfRule type="cellIs" priority="106" operator="greaterThan" dxfId="24" stopIfTrue="1">
      <formula>0</formula>
    </cfRule>
  </conditionalFormatting>
  <conditionalFormatting sqref="P44">
    <cfRule type="cellIs" priority="105" operator="lessThan" dxfId="51" stopIfTrue="1">
      <formula>0</formula>
    </cfRule>
    <cfRule type="colorScale" priority="108">
      <colorScale>
        <cfvo type="min"/>
        <cfvo type="max"/>
        <color theme="0"/>
        <color theme="0"/>
      </colorScale>
    </cfRule>
  </conditionalFormatting>
  <conditionalFormatting sqref="C44:Q44">
    <cfRule type="expression" priority="104" dxfId="17" stopIfTrue="1">
      <formula>ROW()=CELL("fila")</formula>
    </cfRule>
  </conditionalFormatting>
  <conditionalFormatting sqref="I44">
    <cfRule type="cellIs" priority="101" operator="greaterThan" dxfId="24" stopIfTrue="1">
      <formula>0</formula>
    </cfRule>
  </conditionalFormatting>
  <conditionalFormatting sqref="A44">
    <cfRule type="expression" priority="100" dxfId="17" stopIfTrue="1">
      <formula>ROW()=CELL("fila")</formula>
    </cfRule>
    <cfRule type="duplicateValues" priority="109" dxfId="18" stopIfTrue="1"/>
  </conditionalFormatting>
  <conditionalFormatting sqref="M44">
    <cfRule type="colorScale" priority="102">
      <colorScale>
        <cfvo type="min"/>
        <cfvo type="max"/>
        <color rgb="FFEBFFFF"/>
        <color rgb="FFEBFFFF"/>
      </colorScale>
    </cfRule>
  </conditionalFormatting>
  <conditionalFormatting sqref="J44">
    <cfRule type="colorScale" priority="103">
      <colorScale>
        <cfvo type="min"/>
        <cfvo type="max"/>
        <color rgb="FFEBFFFF"/>
        <color rgb="FFEBFFFF"/>
      </colorScale>
    </cfRule>
  </conditionalFormatting>
  <conditionalFormatting sqref="P46:Q46">
    <cfRule type="cellIs" priority="95" operator="greaterThan" dxfId="53">
      <formula>0</formula>
    </cfRule>
  </conditionalFormatting>
  <conditionalFormatting sqref="I46 L46">
    <cfRule type="cellIs" priority="94" operator="greaterThan" dxfId="24" stopIfTrue="1">
      <formula>0</formula>
    </cfRule>
  </conditionalFormatting>
  <conditionalFormatting sqref="P46">
    <cfRule type="cellIs" priority="93" operator="lessThan" dxfId="51" stopIfTrue="1">
      <formula>0</formula>
    </cfRule>
    <cfRule type="colorScale" priority="98">
      <colorScale>
        <cfvo type="min"/>
        <cfvo type="max"/>
        <color theme="0"/>
        <color theme="0"/>
      </colorScale>
    </cfRule>
  </conditionalFormatting>
  <conditionalFormatting sqref="A46 C46:Q46">
    <cfRule type="expression" priority="92" dxfId="17" stopIfTrue="1">
      <formula>ROW()=CELL("fila")</formula>
    </cfRule>
  </conditionalFormatting>
  <conditionalFormatting sqref="M46">
    <cfRule type="colorScale" priority="96">
      <colorScale>
        <cfvo type="min"/>
        <cfvo type="max"/>
        <color rgb="FFEBFFFF"/>
        <color rgb="FFEBFFFF"/>
      </colorScale>
    </cfRule>
  </conditionalFormatting>
  <conditionalFormatting sqref="J46">
    <cfRule type="colorScale" priority="97">
      <colorScale>
        <cfvo type="min"/>
        <cfvo type="max"/>
        <color rgb="FFEBFFFF"/>
        <color rgb="FFEBFFFF"/>
      </colorScale>
    </cfRule>
  </conditionalFormatting>
  <conditionalFormatting sqref="A46">
    <cfRule type="duplicateValues" priority="99" dxfId="18" stopIfTrue="1"/>
  </conditionalFormatting>
  <conditionalFormatting sqref="P15:Q15">
    <cfRule type="cellIs" priority="78" operator="greaterThan" dxfId="53">
      <formula>0</formula>
    </cfRule>
  </conditionalFormatting>
  <conditionalFormatting sqref="L15">
    <cfRule type="cellIs" priority="77" operator="greaterThan" dxfId="24" stopIfTrue="1">
      <formula>0</formula>
    </cfRule>
  </conditionalFormatting>
  <conditionalFormatting sqref="P15">
    <cfRule type="cellIs" priority="76" operator="lessThan" dxfId="51" stopIfTrue="1">
      <formula>0</formula>
    </cfRule>
    <cfRule type="colorScale" priority="81">
      <colorScale>
        <cfvo type="min"/>
        <cfvo type="max"/>
        <color theme="0"/>
        <color theme="0"/>
      </colorScale>
    </cfRule>
  </conditionalFormatting>
  <conditionalFormatting sqref="C15:E15 G15:H15 K15:Q15">
    <cfRule type="expression" priority="75" dxfId="17" stopIfTrue="1">
      <formula>ROW()=CELL("fila")</formula>
    </cfRule>
  </conditionalFormatting>
  <conditionalFormatting sqref="M15">
    <cfRule type="colorScale" priority="79">
      <colorScale>
        <cfvo type="min"/>
        <cfvo type="max"/>
        <color rgb="FFEBFFFF"/>
        <color rgb="FFEBFFFF"/>
      </colorScale>
    </cfRule>
  </conditionalFormatting>
  <conditionalFormatting sqref="C19:G19">
    <cfRule type="expression" priority="68" dxfId="17" stopIfTrue="1">
      <formula>ROW()=CELL("fila")</formula>
    </cfRule>
  </conditionalFormatting>
  <conditionalFormatting sqref="A19">
    <cfRule type="expression" priority="63" dxfId="17" stopIfTrue="1">
      <formula>ROW()=CELL("fila")</formula>
    </cfRule>
    <cfRule type="duplicateValues" priority="73" dxfId="18" stopIfTrue="1"/>
  </conditionalFormatting>
  <conditionalFormatting sqref="A66">
    <cfRule type="expression" priority="62" dxfId="17" stopIfTrue="1">
      <formula>ROW()=CELL("fila")</formula>
    </cfRule>
  </conditionalFormatting>
  <conditionalFormatting sqref="P11:Q11">
    <cfRule type="cellIs" priority="57" operator="greaterThan" dxfId="53">
      <formula>0</formula>
    </cfRule>
  </conditionalFormatting>
  <conditionalFormatting sqref="L11">
    <cfRule type="cellIs" priority="56" operator="greaterThan" dxfId="24" stopIfTrue="1">
      <formula>0</formula>
    </cfRule>
  </conditionalFormatting>
  <conditionalFormatting sqref="P11">
    <cfRule type="cellIs" priority="55" operator="lessThan" dxfId="51" stopIfTrue="1">
      <formula>0</formula>
    </cfRule>
    <cfRule type="colorScale" priority="60">
      <colorScale>
        <cfvo type="min"/>
        <cfvo type="max"/>
        <color theme="0"/>
        <color theme="0"/>
      </colorScale>
    </cfRule>
  </conditionalFormatting>
  <conditionalFormatting sqref="A11 C11:H11 K11:Q11">
    <cfRule type="expression" priority="54" dxfId="17" stopIfTrue="1">
      <formula>ROW()=CELL("fila")</formula>
    </cfRule>
  </conditionalFormatting>
  <conditionalFormatting sqref="M11">
    <cfRule type="colorScale" priority="58">
      <colorScale>
        <cfvo type="min"/>
        <cfvo type="max"/>
        <color rgb="FFEBFFFF"/>
        <color rgb="FFEBFFFF"/>
      </colorScale>
    </cfRule>
  </conditionalFormatting>
  <conditionalFormatting sqref="A11">
    <cfRule type="duplicateValues" priority="61" dxfId="18" stopIfTrue="1"/>
  </conditionalFormatting>
  <conditionalFormatting sqref="B8:B20 B22 B24 B26 B29:B34">
    <cfRule type="expression" priority="50" dxfId="17" stopIfTrue="1">
      <formula>ROW()=CELL("fila")</formula>
    </cfRule>
    <cfRule type="duplicateValues" priority="51" dxfId="18" stopIfTrue="1"/>
  </conditionalFormatting>
  <conditionalFormatting sqref="A26">
    <cfRule type="expression" priority="49" dxfId="17" stopIfTrue="1">
      <formula>ROW()=CELL("fila")</formula>
    </cfRule>
  </conditionalFormatting>
  <conditionalFormatting sqref="J81:J112">
    <cfRule type="colorScale" priority="1640">
      <colorScale>
        <cfvo type="min"/>
        <cfvo type="max"/>
        <color rgb="FFEBFFFF"/>
        <color rgb="FFEBFFFF"/>
      </colorScale>
    </cfRule>
  </conditionalFormatting>
  <conditionalFormatting sqref="A7:B7 A8:A20 A22 A24 A26 A29:A112 B7:B81">
    <cfRule type="duplicateValues" priority="1648" dxfId="18" stopIfTrue="1"/>
  </conditionalFormatting>
  <conditionalFormatting sqref="J78:J80">
    <cfRule type="colorScale" priority="1670">
      <colorScale>
        <cfvo type="min"/>
        <cfvo type="max"/>
        <color rgb="FFEBFFFF"/>
        <color rgb="FFEBFFFF"/>
      </colorScale>
    </cfRule>
  </conditionalFormatting>
  <conditionalFormatting sqref="B35:B112">
    <cfRule type="duplicateValues" priority="1673" dxfId="18" stopIfTrue="1"/>
  </conditionalFormatting>
  <conditionalFormatting sqref="E26">
    <cfRule type="expression" priority="47" dxfId="17" stopIfTrue="1">
      <formula>ROW()=CELL("fila")</formula>
    </cfRule>
  </conditionalFormatting>
  <conditionalFormatting sqref="A25 C25:G25">
    <cfRule type="expression" priority="45" dxfId="17" stopIfTrue="1">
      <formula>ROW()=CELL("fila")</formula>
    </cfRule>
  </conditionalFormatting>
  <conditionalFormatting sqref="A25">
    <cfRule type="expression" priority="44" dxfId="17" stopIfTrue="1">
      <formula>ROW()=CELL("fila")</formula>
    </cfRule>
    <cfRule type="duplicateValues" priority="46" dxfId="18" stopIfTrue="1"/>
  </conditionalFormatting>
  <conditionalFormatting sqref="B25">
    <cfRule type="expression" priority="42" dxfId="17" stopIfTrue="1">
      <formula>ROW()=CELL("fila")</formula>
    </cfRule>
    <cfRule type="duplicateValues" priority="43" dxfId="18" stopIfTrue="1"/>
  </conditionalFormatting>
  <conditionalFormatting sqref="A23 C23:G23">
    <cfRule type="expression" priority="33" dxfId="17" stopIfTrue="1">
      <formula>ROW()=CELL("fila")</formula>
    </cfRule>
  </conditionalFormatting>
  <conditionalFormatting sqref="A23">
    <cfRule type="expression" priority="32" dxfId="17" stopIfTrue="1">
      <formula>ROW()=CELL("fila")</formula>
    </cfRule>
    <cfRule type="duplicateValues" priority="34" dxfId="18" stopIfTrue="1"/>
  </conditionalFormatting>
  <conditionalFormatting sqref="B23">
    <cfRule type="expression" priority="30" dxfId="17" stopIfTrue="1">
      <formula>ROW()=CELL("fila")</formula>
    </cfRule>
    <cfRule type="duplicateValues" priority="31" dxfId="18" stopIfTrue="1"/>
  </conditionalFormatting>
  <conditionalFormatting sqref="C21:G21">
    <cfRule type="expression" priority="21" dxfId="17" stopIfTrue="1">
      <formula>ROW()=CELL("fila")</formula>
    </cfRule>
  </conditionalFormatting>
  <conditionalFormatting sqref="A21">
    <cfRule type="expression" priority="20" dxfId="17" stopIfTrue="1">
      <formula>ROW()=CELL("fila")</formula>
    </cfRule>
    <cfRule type="expression" priority="19" dxfId="17" stopIfTrue="1">
      <formula>ROW()=CELL("fila")</formula>
    </cfRule>
    <cfRule type="duplicateValues" priority="22" dxfId="18" stopIfTrue="1"/>
  </conditionalFormatting>
  <conditionalFormatting sqref="B21">
    <cfRule type="expression" priority="17" dxfId="17" stopIfTrue="1">
      <formula>ROW()=CELL("fila")</formula>
    </cfRule>
    <cfRule type="duplicateValues" priority="18" dxfId="18" stopIfTrue="1"/>
  </conditionalFormatting>
  <conditionalFormatting sqref="I82:I112">
    <cfRule type="cellIs" priority="10" operator="greaterThan" dxfId="24" stopIfTrue="1">
      <formula>0</formula>
    </cfRule>
    <cfRule type="expression" priority="9" dxfId="17" stopIfTrue="1">
      <formula>ROW()=CELL("fila")</formula>
    </cfRule>
    <cfRule type="cellIs" priority="8" operator="greaterThan" dxfId="24" stopIfTrue="1">
      <formula>0</formula>
    </cfRule>
    <cfRule type="expression" priority="7" dxfId="17" stopIfTrue="1">
      <formula>ROW()=CELL("fila")</formula>
    </cfRule>
  </conditionalFormatting>
  <conditionalFormatting sqref="A27:A28 C27:C28">
    <cfRule type="expression" priority="5" dxfId="17" stopIfTrue="1">
      <formula>ROW()=CELL("fila")</formula>
    </cfRule>
  </conditionalFormatting>
  <conditionalFormatting sqref="A27:A28">
    <cfRule type="expression" priority="4" dxfId="17" stopIfTrue="1">
      <formula>ROW()=CELL("fila")</formula>
    </cfRule>
    <cfRule type="duplicateValues" priority="6" dxfId="18" stopIfTrue="1"/>
  </conditionalFormatting>
  <conditionalFormatting sqref="B27:B28">
    <cfRule type="expression" priority="2" dxfId="17" stopIfTrue="1">
      <formula>ROW()=CELL("fila")</formula>
    </cfRule>
    <cfRule type="duplicateValues" priority="3" dxfId="18" stopIfTrue="1"/>
  </conditionalFormatting>
  <conditionalFormatting sqref="E27">
    <cfRule type="expression" priority="1" dxfId="17" stopIfTrue="1">
      <formula>ROW()=CELL("fila")</formula>
    </cfRule>
  </conditionalFormatting>
  <pageMargins left="0.7" right="0.7" top="0.75" bottom="0.75" header="0.3" footer="0.3"/>
  <pageSetup orientation="portrait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15">
    <outlinePr summaryBelow="1" summaryRight="1"/>
    <pageSetUpPr/>
  </sheetPr>
  <dimension ref="A2:N54"/>
  <sheetViews>
    <sheetView topLeftCell="A22" workbookViewId="0">
      <selection activeCell="B65" sqref="B65"/>
    </sheetView>
  </sheetViews>
  <sheetFormatPr baseColWidth="10" defaultColWidth="11.44140625" defaultRowHeight="13.2"/>
  <cols>
    <col width="35.109375" bestFit="1" customWidth="1" style="420" min="1" max="1"/>
    <col width="35.6640625" customWidth="1" style="420" min="2" max="2"/>
    <col width="9.109375" bestFit="1" customWidth="1" style="420" min="3" max="3"/>
    <col width="10.44140625" bestFit="1" customWidth="1" style="420" min="4" max="4"/>
    <col width="10.88671875" bestFit="1" customWidth="1" style="420" min="5" max="5"/>
    <col width="10.6640625" bestFit="1" customWidth="1" style="420" min="6" max="6"/>
    <col width="1.88671875" customWidth="1" style="420" min="7" max="7"/>
    <col width="16" customWidth="1" style="420" min="8" max="8"/>
    <col width="7.88671875" bestFit="1" customWidth="1" style="420" min="9" max="12"/>
    <col width="11.44140625" customWidth="1" style="420" min="13" max="16384"/>
  </cols>
  <sheetData>
    <row r="2">
      <c r="A2" s="572" t="inlineStr">
        <is>
          <t>FORMATO DE RECURSOS POR MATRÍCULAS - ANALISIS COSTOS UNITARIOS</t>
        </is>
      </c>
      <c r="B2" s="573" t="n"/>
      <c r="C2" s="573" t="n"/>
      <c r="D2" s="573" t="n"/>
      <c r="E2" s="573" t="n"/>
      <c r="F2" s="574" t="n"/>
    </row>
    <row r="3">
      <c r="A3" s="445" t="n"/>
      <c r="B3" s="427" t="n"/>
      <c r="C3" s="427" t="n"/>
      <c r="D3" s="427" t="n"/>
      <c r="E3" s="427" t="n"/>
      <c r="F3" s="443" t="n"/>
    </row>
    <row r="4">
      <c r="A4" s="446" t="inlineStr">
        <is>
          <t>Código de matrícula:</t>
        </is>
      </c>
      <c r="B4" s="427" t="inlineStr">
        <is>
          <t>*090142</t>
        </is>
      </c>
      <c r="C4" s="427" t="n"/>
      <c r="D4" s="427" t="n"/>
      <c r="E4" s="427" t="n"/>
      <c r="F4" s="443" t="n"/>
    </row>
    <row r="5">
      <c r="A5" s="446" t="inlineStr">
        <is>
          <t>Descripción matrícula:</t>
        </is>
      </c>
      <c r="B5" s="427" t="inlineStr">
        <is>
          <t>CABLE AUTOSOPORTADO DE BT CU O AL MAYOR DE 10 HASTA 25 mm2</t>
        </is>
      </c>
      <c r="C5" s="427" t="n"/>
      <c r="D5" s="427" t="n"/>
      <c r="E5" s="427" t="n"/>
      <c r="F5" s="443" t="n"/>
    </row>
    <row r="6">
      <c r="A6" s="446" t="inlineStr">
        <is>
          <t>Especificación:</t>
        </is>
      </c>
      <c r="B6" s="427" t="n"/>
      <c r="C6" s="427" t="n"/>
      <c r="D6" s="427" t="n"/>
      <c r="E6" s="427" t="n"/>
      <c r="F6" s="443" t="n"/>
    </row>
    <row r="7">
      <c r="A7" s="445" t="n"/>
      <c r="B7" s="427" t="inlineStr">
        <is>
          <t>1 - instalaci¢n de cable areo autosoportado de baja tensi¢n en cobre o aluminio</t>
        </is>
      </c>
      <c r="C7" s="427" t="n"/>
      <c r="D7" s="427" t="n"/>
      <c r="E7" s="427" t="n"/>
      <c r="F7" s="443" t="n"/>
    </row>
    <row r="8">
      <c r="A8" s="446" t="inlineStr">
        <is>
          <t>Tipo Actividad:</t>
        </is>
      </c>
      <c r="B8" s="427" t="inlineStr">
        <is>
          <t>Obras y Mantenimiento</t>
        </is>
      </c>
      <c r="C8" s="427" t="n"/>
      <c r="D8" s="427" t="n"/>
      <c r="E8" s="427" t="n"/>
      <c r="F8" s="443" t="n"/>
    </row>
    <row r="9">
      <c r="A9" s="446" t="inlineStr">
        <is>
          <t>Familia:</t>
        </is>
      </c>
      <c r="B9" s="427" t="inlineStr">
        <is>
          <t>Cables, conductores y acometidas</t>
        </is>
      </c>
      <c r="C9" s="427" t="n"/>
      <c r="D9" s="427" t="n"/>
      <c r="E9" s="427" t="n"/>
      <c r="F9" s="443" t="n"/>
    </row>
    <row r="10">
      <c r="A10" s="446" t="inlineStr">
        <is>
          <t>Subfamilia:</t>
        </is>
      </c>
      <c r="B10" s="427" t="inlineStr">
        <is>
          <t>Cable autosoportado</t>
        </is>
      </c>
      <c r="C10" s="427" t="n"/>
      <c r="D10" s="427" t="n"/>
      <c r="E10" s="427" t="n"/>
      <c r="F10" s="443" t="n"/>
    </row>
    <row r="11">
      <c r="A11" s="446" t="inlineStr">
        <is>
          <t>Nivel Tensión:</t>
        </is>
      </c>
      <c r="B11" s="427" t="inlineStr">
        <is>
          <t>BAJA TENSIÓN (BT)</t>
        </is>
      </c>
      <c r="C11" s="427" t="n"/>
      <c r="D11" s="427" t="n"/>
      <c r="E11" s="427" t="n"/>
      <c r="F11" s="443" t="n"/>
    </row>
    <row r="12">
      <c r="A12" s="446" t="inlineStr">
        <is>
          <t>Tipo Estructura:</t>
        </is>
      </c>
      <c r="B12" s="427" t="inlineStr">
        <is>
          <t>Aéreo</t>
        </is>
      </c>
      <c r="C12" s="427" t="n"/>
      <c r="D12" s="427" t="n"/>
      <c r="E12" s="427" t="n"/>
      <c r="F12" s="443" t="n"/>
    </row>
    <row r="13">
      <c r="A13" s="446" t="inlineStr">
        <is>
          <t>Tipo Obra:</t>
        </is>
      </c>
      <c r="B13" s="427" t="inlineStr">
        <is>
          <t>Electromecánica</t>
        </is>
      </c>
      <c r="C13" s="427" t="n"/>
      <c r="D13" s="427" t="n"/>
      <c r="E13" s="427" t="n"/>
      <c r="F13" s="443" t="n"/>
    </row>
    <row r="14">
      <c r="A14" s="445" t="n"/>
      <c r="B14" s="427" t="n"/>
      <c r="C14" s="427" t="n"/>
      <c r="D14" s="427" t="n"/>
      <c r="E14" s="427" t="n"/>
      <c r="F14" s="443" t="n"/>
    </row>
    <row r="15">
      <c r="A15" s="445" t="n"/>
      <c r="B15" s="427" t="n"/>
      <c r="C15" s="437" t="inlineStr">
        <is>
          <t>Unidad:</t>
        </is>
      </c>
      <c r="D15" s="437" t="inlineStr">
        <is>
          <t>Rend. Día:</t>
        </is>
      </c>
      <c r="E15" s="437" t="inlineStr">
        <is>
          <t>Jornada:</t>
        </is>
      </c>
      <c r="F15" s="443" t="n"/>
    </row>
    <row r="16">
      <c r="A16" s="445" t="n"/>
      <c r="B16" s="427" t="n"/>
      <c r="C16" s="427" t="inlineStr">
        <is>
          <t>M</t>
        </is>
      </c>
      <c r="D16" s="575" t="n">
        <v>50</v>
      </c>
      <c r="E16" s="575" t="n">
        <v>1</v>
      </c>
      <c r="F16" s="443" t="n"/>
    </row>
    <row r="17">
      <c r="A17" s="442" t="n"/>
      <c r="B17" s="441" t="n"/>
      <c r="C17" s="441" t="n"/>
      <c r="D17" s="441" t="n"/>
      <c r="E17" s="441" t="n"/>
      <c r="F17" s="440" t="n"/>
    </row>
    <row r="18">
      <c r="A18" s="427" t="n"/>
      <c r="B18" s="427" t="n"/>
      <c r="C18" s="427" t="n"/>
      <c r="D18" s="427" t="n"/>
      <c r="E18" s="427" t="n"/>
      <c r="F18" s="427" t="n"/>
    </row>
    <row r="19">
      <c r="A19" s="437" t="inlineStr">
        <is>
          <t>MANO DE OBRA</t>
        </is>
      </c>
      <c r="B19" s="427" t="n"/>
      <c r="C19" s="427" t="n"/>
      <c r="D19" s="427" t="n"/>
      <c r="E19" s="427" t="n"/>
      <c r="F19" s="427" t="n"/>
    </row>
    <row r="20">
      <c r="A20" s="436" t="inlineStr">
        <is>
          <t>Matrícula</t>
        </is>
      </c>
      <c r="B20" s="436" t="inlineStr">
        <is>
          <t>Descripción</t>
        </is>
      </c>
      <c r="C20" s="436" t="inlineStr">
        <is>
          <t>Cantidad</t>
        </is>
      </c>
      <c r="D20" s="436" t="inlineStr">
        <is>
          <t>H-H</t>
        </is>
      </c>
      <c r="E20" s="436" t="inlineStr">
        <is>
          <t>P.U. (S/.)</t>
        </is>
      </c>
      <c r="F20" s="436" t="inlineStr">
        <is>
          <t>Total (S/.</t>
        </is>
      </c>
    </row>
    <row r="21">
      <c r="A21" s="435" t="inlineStr">
        <is>
          <t>1000</t>
        </is>
      </c>
      <c r="B21" s="430" t="inlineStr">
        <is>
          <t>Capataz de Obra.</t>
        </is>
      </c>
      <c r="C21" s="576" t="n">
        <v>1</v>
      </c>
      <c r="D21" s="577">
        <f>(C21*E16)/D16</f>
        <v/>
      </c>
      <c r="E21" s="439" t="n">
        <v>25.047121</v>
      </c>
      <c r="F21" s="577">
        <f>D21*E21</f>
        <v/>
      </c>
    </row>
    <row r="22">
      <c r="A22" s="435" t="inlineStr">
        <is>
          <t>1001</t>
        </is>
      </c>
      <c r="B22" s="430" t="inlineStr">
        <is>
          <t>Operario</t>
        </is>
      </c>
      <c r="C22" s="576" t="n">
        <v>3</v>
      </c>
      <c r="D22" s="577">
        <f>(C22*E16)/D16</f>
        <v/>
      </c>
      <c r="E22" s="439" t="n">
        <v>14.991658</v>
      </c>
      <c r="F22" s="577">
        <f>D22*E22</f>
        <v/>
      </c>
    </row>
    <row r="23">
      <c r="A23" s="435" t="inlineStr">
        <is>
          <t>1002</t>
        </is>
      </c>
      <c r="B23" s="430" t="inlineStr">
        <is>
          <t>Ayudante</t>
        </is>
      </c>
      <c r="C23" s="576" t="n">
        <v>5</v>
      </c>
      <c r="D23" s="577">
        <f>(C23*E16)/D16</f>
        <v/>
      </c>
      <c r="E23" s="439" t="n">
        <v>12.184095</v>
      </c>
      <c r="F23" s="577">
        <f>D23*E23</f>
        <v/>
      </c>
    </row>
    <row r="24">
      <c r="A24" s="427" t="n"/>
      <c r="B24" s="427" t="n"/>
      <c r="C24" s="427" t="n"/>
      <c r="D24" s="427" t="n"/>
      <c r="E24" s="431" t="inlineStr">
        <is>
          <t>Sub - Total</t>
        </is>
      </c>
      <c r="F24" s="432">
        <f>ROUND(F21+F22+F23,2)</f>
        <v/>
      </c>
    </row>
    <row r="25">
      <c r="A25" s="427" t="n"/>
      <c r="B25" s="427" t="n"/>
      <c r="C25" s="427" t="n"/>
      <c r="D25" s="427" t="n"/>
      <c r="E25" s="427" t="n"/>
      <c r="F25" s="427" t="n"/>
    </row>
    <row r="26">
      <c r="A26" s="437" t="inlineStr">
        <is>
          <t>UNIFORME Y EQUIPOS PERSONALES</t>
        </is>
      </c>
      <c r="B26" s="427" t="n"/>
      <c r="C26" s="427" t="n"/>
      <c r="D26" s="427" t="n"/>
      <c r="E26" s="427" t="n"/>
      <c r="F26" s="427" t="n"/>
    </row>
    <row r="27">
      <c r="A27" s="436" t="inlineStr">
        <is>
          <t>Matrícula</t>
        </is>
      </c>
      <c r="B27" s="436" t="inlineStr">
        <is>
          <t>Descripción</t>
        </is>
      </c>
      <c r="C27" s="436" t="inlineStr">
        <is>
          <t>Cantidad</t>
        </is>
      </c>
      <c r="D27" s="436" t="inlineStr">
        <is>
          <t>Horas</t>
        </is>
      </c>
      <c r="E27" s="436" t="inlineStr">
        <is>
          <t>P.U. (S/.)</t>
        </is>
      </c>
      <c r="F27" s="436" t="inlineStr">
        <is>
          <t>Total (S/.</t>
        </is>
      </c>
    </row>
    <row r="28">
      <c r="A28" s="435" t="inlineStr">
        <is>
          <t>3000</t>
        </is>
      </c>
      <c r="B28" s="430" t="inlineStr">
        <is>
          <t>Uniforme, EPP y Kit básico de herramientas para Capataz</t>
        </is>
      </c>
      <c r="C28" s="576" t="n">
        <v>1</v>
      </c>
      <c r="D28" s="577">
        <f>(C28*E16)/D16</f>
        <v/>
      </c>
      <c r="E28" s="429" t="n">
        <v>1.4062</v>
      </c>
      <c r="F28" s="577">
        <f>D28*E28</f>
        <v/>
      </c>
    </row>
    <row r="29">
      <c r="A29" s="435" t="inlineStr">
        <is>
          <t>3001</t>
        </is>
      </c>
      <c r="B29" s="430" t="inlineStr">
        <is>
          <t>Uniforme, EPP y Kit básico de herramientas para Operario</t>
        </is>
      </c>
      <c r="C29" s="576" t="n">
        <v>3</v>
      </c>
      <c r="D29" s="577">
        <f>(C29*E16)/D16</f>
        <v/>
      </c>
      <c r="E29" s="429" t="n">
        <v>2.6689</v>
      </c>
      <c r="F29" s="577">
        <f>D29*E29</f>
        <v/>
      </c>
    </row>
    <row r="30">
      <c r="A30" s="435" t="inlineStr">
        <is>
          <t>3002</t>
        </is>
      </c>
      <c r="B30" s="430" t="inlineStr">
        <is>
          <t>Uniforme, EPP y Kit básico de herramientas para Ayudante</t>
        </is>
      </c>
      <c r="C30" s="576" t="n">
        <v>5</v>
      </c>
      <c r="D30" s="577">
        <f>(C30*E16)/D16</f>
        <v/>
      </c>
      <c r="E30" s="429" t="n">
        <v>1.2423</v>
      </c>
      <c r="F30" s="577">
        <f>D30*E30</f>
        <v/>
      </c>
    </row>
    <row r="31">
      <c r="A31" s="427" t="n"/>
      <c r="B31" s="427" t="n"/>
      <c r="C31" s="427" t="n"/>
      <c r="D31" s="427" t="n"/>
      <c r="E31" s="431" t="inlineStr">
        <is>
          <t>Sub - Total</t>
        </is>
      </c>
      <c r="F31" s="432">
        <f>ROUND(F28+F29+F30,2)</f>
        <v/>
      </c>
    </row>
    <row r="32">
      <c r="A32" s="427" t="n"/>
      <c r="B32" s="427" t="n"/>
      <c r="C32" s="427" t="n"/>
      <c r="D32" s="427" t="n"/>
      <c r="E32" s="427" t="n"/>
      <c r="F32" s="427" t="n"/>
    </row>
    <row r="33">
      <c r="A33" s="437" t="inlineStr">
        <is>
          <t>MAQUINARIA Y EQUIPOS</t>
        </is>
      </c>
      <c r="B33" s="427" t="n"/>
      <c r="C33" s="427" t="n"/>
      <c r="D33" s="427" t="n"/>
      <c r="E33" s="427" t="n"/>
      <c r="F33" s="427" t="n"/>
    </row>
    <row r="34">
      <c r="A34" s="436" t="inlineStr">
        <is>
          <t>Matrícula</t>
        </is>
      </c>
      <c r="B34" s="436" t="inlineStr">
        <is>
          <t>Descripción</t>
        </is>
      </c>
      <c r="C34" s="436" t="inlineStr">
        <is>
          <t>Cantidad</t>
        </is>
      </c>
      <c r="D34" s="436" t="inlineStr">
        <is>
          <t>Horas</t>
        </is>
      </c>
      <c r="E34" s="436" t="inlineStr">
        <is>
          <t>P.U. (S/.)</t>
        </is>
      </c>
      <c r="F34" s="436" t="inlineStr">
        <is>
          <t>Total (S/.</t>
        </is>
      </c>
    </row>
    <row r="35">
      <c r="A35" s="435" t="inlineStr">
        <is>
          <t>004039</t>
        </is>
      </c>
      <c r="B35" s="430" t="inlineStr">
        <is>
          <t>Kit de señalización en vías de tránsito vehicular</t>
        </is>
      </c>
      <c r="C35" s="578" t="n">
        <v>1</v>
      </c>
      <c r="D35" s="577">
        <f>(C35*E16)/D16</f>
        <v/>
      </c>
      <c r="E35" s="429" t="n">
        <v>5.9048</v>
      </c>
      <c r="F35" s="577">
        <f>D35*E35</f>
        <v/>
      </c>
    </row>
    <row r="36">
      <c r="A36" s="435" t="inlineStr">
        <is>
          <t>4001</t>
        </is>
      </c>
      <c r="B36" s="430" t="inlineStr">
        <is>
          <t>Equipo Smartphone con plan de datos y GPS</t>
        </is>
      </c>
      <c r="C36" s="578" t="n">
        <v>1</v>
      </c>
      <c r="D36" s="577">
        <f>(C36*E16)/D16</f>
        <v/>
      </c>
      <c r="E36" s="429" t="n">
        <v>0.9351</v>
      </c>
      <c r="F36" s="577">
        <f>D36*E36</f>
        <v/>
      </c>
    </row>
    <row r="37">
      <c r="A37" s="435" t="inlineStr">
        <is>
          <t>4008</t>
        </is>
      </c>
      <c r="B37" s="430" t="inlineStr">
        <is>
          <t>Kit de equipos para obras</t>
        </is>
      </c>
      <c r="C37" s="578" t="n">
        <v>1</v>
      </c>
      <c r="D37" s="577">
        <f>(C37*E16)/D16</f>
        <v/>
      </c>
      <c r="E37" s="429" t="n">
        <v>1.4526</v>
      </c>
      <c r="F37" s="577">
        <f>D37*E37</f>
        <v/>
      </c>
    </row>
    <row r="38">
      <c r="A38" s="427" t="n"/>
      <c r="B38" s="427" t="n"/>
      <c r="C38" s="427" t="n"/>
      <c r="D38" s="427" t="n"/>
      <c r="E38" s="431" t="inlineStr">
        <is>
          <t>Sub - Total</t>
        </is>
      </c>
      <c r="F38" s="432">
        <f>ROUND(F35+F36+F37,2)</f>
        <v/>
      </c>
    </row>
    <row r="39">
      <c r="A39" s="427" t="n"/>
      <c r="B39" s="427" t="n"/>
      <c r="C39" s="427" t="n"/>
      <c r="D39" s="427" t="n"/>
      <c r="E39" s="427" t="n"/>
      <c r="F39" s="427" t="n"/>
    </row>
    <row r="40">
      <c r="A40" s="437" t="inlineStr">
        <is>
          <t>TRANSPORTE</t>
        </is>
      </c>
      <c r="B40" s="427" t="n"/>
      <c r="C40" s="427" t="n"/>
      <c r="D40" s="427" t="n"/>
      <c r="E40" s="427" t="n"/>
      <c r="F40" s="427" t="n"/>
    </row>
    <row r="41">
      <c r="A41" s="436" t="inlineStr">
        <is>
          <t>Matrícula</t>
        </is>
      </c>
      <c r="B41" s="436" t="inlineStr">
        <is>
          <t>Descripción</t>
        </is>
      </c>
      <c r="C41" s="436" t="inlineStr">
        <is>
          <t>Cantidad</t>
        </is>
      </c>
      <c r="D41" s="436" t="inlineStr">
        <is>
          <t>H-M</t>
        </is>
      </c>
      <c r="E41" s="436" t="inlineStr">
        <is>
          <t>P.U. (S/.)</t>
        </is>
      </c>
      <c r="F41" s="436" t="inlineStr">
        <is>
          <t>TOTAL(S/.)</t>
        </is>
      </c>
    </row>
    <row r="42">
      <c r="A42" s="435" t="inlineStr">
        <is>
          <t>5002</t>
        </is>
      </c>
      <c r="B42" s="430" t="inlineStr">
        <is>
          <t>Camión 4 ton</t>
        </is>
      </c>
      <c r="C42" s="578" t="n">
        <v>0.2</v>
      </c>
      <c r="D42" s="577">
        <f>(C42*E16)/D16</f>
        <v/>
      </c>
      <c r="E42" s="429" t="n">
        <v>27.7895</v>
      </c>
      <c r="F42" s="577">
        <f>D42*E42</f>
        <v/>
      </c>
    </row>
    <row r="43">
      <c r="A43" s="435" t="inlineStr">
        <is>
          <t>5004</t>
        </is>
      </c>
      <c r="B43" s="430" t="inlineStr">
        <is>
          <t>Camioneta 4x4</t>
        </is>
      </c>
      <c r="C43" s="578" t="n">
        <v>0.5</v>
      </c>
      <c r="D43" s="577">
        <f>(C43*E16)/D16</f>
        <v/>
      </c>
      <c r="E43" s="429" t="n">
        <v>24.44</v>
      </c>
      <c r="F43" s="577">
        <f>D43*E43</f>
        <v/>
      </c>
    </row>
    <row r="44">
      <c r="A44" s="435" t="inlineStr">
        <is>
          <t>5005</t>
        </is>
      </c>
      <c r="B44" s="430" t="inlineStr">
        <is>
          <t>Grúa Hiab 175</t>
        </is>
      </c>
      <c r="C44" s="578" t="n">
        <v>0.2</v>
      </c>
      <c r="D44" s="577">
        <f>(C44*E16)/D16</f>
        <v/>
      </c>
      <c r="E44" s="429" t="n">
        <v>86.7569</v>
      </c>
      <c r="F44" s="577">
        <f>D44*E44</f>
        <v/>
      </c>
    </row>
    <row r="45">
      <c r="A45" s="427" t="n"/>
      <c r="B45" s="427" t="n"/>
      <c r="C45" s="427" t="n"/>
      <c r="D45" s="427" t="n"/>
      <c r="E45" s="431" t="inlineStr">
        <is>
          <t>Sub - Total</t>
        </is>
      </c>
      <c r="F45" s="432">
        <f>ROUND(F42+F43+F44,2)</f>
        <v/>
      </c>
    </row>
    <row r="46">
      <c r="A46" s="427" t="n"/>
      <c r="B46" s="427" t="n"/>
      <c r="C46" s="427" t="n"/>
      <c r="D46" s="427" t="n"/>
      <c r="E46" s="427" t="n"/>
      <c r="F46" s="427" t="n"/>
    </row>
    <row r="47">
      <c r="A47" s="427" t="n"/>
      <c r="B47" s="427" t="n"/>
      <c r="C47" s="427" t="n"/>
      <c r="D47" s="427" t="n"/>
      <c r="E47" s="427" t="n"/>
      <c r="F47" s="427" t="n"/>
    </row>
    <row r="48">
      <c r="A48" s="431" t="inlineStr">
        <is>
          <t>Subtotal General</t>
        </is>
      </c>
      <c r="B48" s="430" t="n"/>
      <c r="C48" s="430" t="n"/>
      <c r="D48" s="430" t="n"/>
      <c r="E48" s="430" t="n"/>
      <c r="F48" s="429">
        <f>F24+F31+F38+F45</f>
        <v/>
      </c>
    </row>
    <row r="49">
      <c r="A49" s="430" t="inlineStr">
        <is>
          <t>Porcentaje del Contratista</t>
        </is>
      </c>
      <c r="B49" s="430" t="n"/>
      <c r="C49" s="430" t="n"/>
      <c r="D49" s="430" t="n"/>
      <c r="E49" s="429" t="n">
        <v>21</v>
      </c>
      <c r="F49" s="429">
        <f>F48*(E49/100)</f>
        <v/>
      </c>
    </row>
    <row r="50">
      <c r="A50" s="431" t="inlineStr">
        <is>
          <t>Total S/.</t>
        </is>
      </c>
      <c r="B50" s="430" t="n"/>
      <c r="C50" s="430" t="n"/>
      <c r="D50" s="430" t="n"/>
      <c r="E50" s="430" t="n"/>
      <c r="F50" s="429">
        <f>F48+F49</f>
        <v/>
      </c>
    </row>
    <row r="51">
      <c r="A51" s="427" t="n"/>
      <c r="B51" s="427" t="n"/>
      <c r="C51" s="427" t="n"/>
      <c r="D51" s="427" t="n"/>
      <c r="E51" s="427" t="inlineStr">
        <is>
          <t>Factor T</t>
        </is>
      </c>
      <c r="F51" s="427" t="n">
        <v>1.3</v>
      </c>
      <c r="I51" s="428" t="inlineStr">
        <is>
          <t>Vano 01</t>
        </is>
      </c>
      <c r="J51" s="428" t="inlineStr">
        <is>
          <t>Vano 02</t>
        </is>
      </c>
      <c r="K51" s="428" t="inlineStr">
        <is>
          <t>Vano 03</t>
        </is>
      </c>
      <c r="L51" s="428" t="inlineStr">
        <is>
          <t>Vano 04</t>
        </is>
      </c>
      <c r="M51" s="428" t="inlineStr">
        <is>
          <t>Total metros</t>
        </is>
      </c>
      <c r="N51" s="428" t="inlineStr">
        <is>
          <t>Total S/</t>
        </is>
      </c>
    </row>
    <row r="52">
      <c r="A52" s="427" t="n"/>
      <c r="B52" s="427" t="n"/>
      <c r="C52" s="427" t="n"/>
      <c r="D52" s="427" t="n"/>
      <c r="E52" s="426" t="inlineStr">
        <is>
          <t>Total</t>
        </is>
      </c>
      <c r="F52" s="425">
        <f>+F51*F50</f>
        <v/>
      </c>
      <c r="H52" s="424" t="inlineStr">
        <is>
          <t>Instalacion</t>
        </is>
      </c>
      <c r="I52" s="579" t="n">
        <v>0</v>
      </c>
      <c r="J52" s="579" t="n">
        <v>0</v>
      </c>
      <c r="K52" s="579" t="n">
        <v>0</v>
      </c>
      <c r="L52" s="579" t="n">
        <v>0</v>
      </c>
      <c r="M52" s="579">
        <f>+SUM(I52:L52)</f>
        <v/>
      </c>
      <c r="N52" s="580">
        <f>+M52*F50</f>
        <v/>
      </c>
    </row>
    <row r="53">
      <c r="A53" s="464" t="inlineStr">
        <is>
          <t>Nota</t>
        </is>
      </c>
      <c r="B53" s="466" t="inlineStr">
        <is>
          <t xml:space="preserve">Las H-H y H-M representan las horas totales de los recursos requeridas para la ejecución de la actividad. Este cálculo no aplica para la asignación de materiales adicionales. </t>
        </is>
      </c>
      <c r="C53" s="581" t="n"/>
      <c r="D53" s="581" t="n"/>
      <c r="E53" s="581" t="n"/>
      <c r="F53" s="582" t="n"/>
      <c r="H53" s="424" t="inlineStr">
        <is>
          <t>Traslado</t>
        </is>
      </c>
      <c r="I53" s="579" t="n"/>
      <c r="J53" s="579" t="n"/>
      <c r="K53" s="579" t="n"/>
      <c r="L53" s="579" t="n"/>
      <c r="M53" s="579">
        <f>+SUM(I53:L53)</f>
        <v/>
      </c>
      <c r="N53" s="580">
        <f>+M53*F52</f>
        <v/>
      </c>
    </row>
    <row r="54">
      <c r="A54" s="583" t="n"/>
      <c r="B54" s="584" t="inlineStr">
        <is>
          <t>H-H = Cantidad Recurso * Jornada / Rendimiento</t>
        </is>
      </c>
      <c r="C54" s="581" t="n"/>
      <c r="D54" s="581" t="n"/>
      <c r="E54" s="581" t="n"/>
      <c r="F54" s="582" t="n"/>
      <c r="N54" s="585">
        <f>+SUM(N52:N53)</f>
        <v/>
      </c>
    </row>
  </sheetData>
  <mergeCells count="4">
    <mergeCell ref="B53:F53"/>
    <mergeCell ref="A2:F2"/>
    <mergeCell ref="B54:F54"/>
    <mergeCell ref="A53:A5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Hoja4">
    <outlinePr summaryBelow="1" summaryRight="1"/>
    <pageSetUpPr/>
  </sheetPr>
  <dimension ref="A1:DU1261"/>
  <sheetViews>
    <sheetView zoomScaleNormal="100" workbookViewId="0">
      <selection activeCell="J50" sqref="J50"/>
    </sheetView>
  </sheetViews>
  <sheetFormatPr baseColWidth="10" defaultColWidth="11.44140625" defaultRowHeight="11.4" outlineLevelRow="2"/>
  <cols>
    <col width="2.44140625" customWidth="1" style="586" min="1" max="1"/>
    <col width="21.44140625" customWidth="1" style="586" min="2" max="2"/>
    <col width="9.44140625" customWidth="1" style="586" min="3" max="3"/>
    <col width="8.5546875" customWidth="1" style="586" min="4" max="4"/>
    <col width="7.5546875" customWidth="1" style="586" min="5" max="5"/>
    <col width="8.88671875" bestFit="1" customWidth="1" style="586" min="6" max="6"/>
    <col width="10" customWidth="1" style="587" min="7" max="7"/>
    <col width="1" customWidth="1" style="586" min="8" max="8"/>
    <col width="8.88671875" customWidth="1" style="586" min="9" max="9"/>
    <col width="9.5546875" customWidth="1" style="586" min="10" max="10"/>
    <col width="8.33203125" customWidth="1" style="586" min="11" max="11"/>
    <col width="7.109375" customWidth="1" style="587" min="12" max="12"/>
    <col width="12.109375" customWidth="1" style="586" min="13" max="13"/>
    <col width="1.5546875" customWidth="1" style="586" min="14" max="14"/>
    <col width="7.6640625" customWidth="1" style="586" min="15" max="16"/>
    <col width="7.6640625" customWidth="1" style="587" min="17" max="17"/>
    <col width="1.6640625" customWidth="1" style="586" min="18" max="18"/>
    <col width="9.88671875" bestFit="1" customWidth="1" style="586" min="19" max="19"/>
    <col width="1.44140625" customWidth="1" style="586" min="20" max="20"/>
    <col width="7.109375" customWidth="1" style="586" min="21" max="21"/>
    <col width="6.88671875" customWidth="1" style="586" min="22" max="22"/>
    <col width="8.109375" customWidth="1" style="587" min="23" max="23"/>
    <col width="10.44140625" customWidth="1" style="586" min="24" max="24"/>
    <col width="11.44140625" customWidth="1" style="588" min="25" max="25"/>
    <col width="13.5546875" customWidth="1" style="589" min="26" max="26"/>
    <col width="11.44140625" customWidth="1" style="586" min="27" max="16384"/>
  </cols>
  <sheetData>
    <row r="1" ht="63" customHeight="1" s="450" thickBot="1">
      <c r="A1" s="590" t="n"/>
      <c r="B1" s="591" t="inlineStr">
        <is>
          <t>CUADRO DE REP BT</t>
        </is>
      </c>
      <c r="C1" s="592" t="n"/>
      <c r="D1" s="592" t="n"/>
      <c r="E1" s="592" t="n"/>
      <c r="F1" s="593" t="n"/>
      <c r="G1" s="119" t="n"/>
      <c r="H1" s="592" t="n"/>
      <c r="I1" s="592" t="n"/>
      <c r="J1" s="592" t="n"/>
      <c r="K1" s="592" t="n"/>
      <c r="L1" s="594" t="n"/>
      <c r="M1" s="592" t="n"/>
      <c r="N1" s="592" t="n"/>
      <c r="O1" s="592" t="n"/>
      <c r="P1" s="592" t="n"/>
      <c r="Q1" s="594" t="n"/>
      <c r="R1" s="592" t="n"/>
      <c r="S1" s="592" t="n"/>
      <c r="T1" s="592" t="n"/>
      <c r="U1" s="592" t="n"/>
      <c r="V1" s="592" t="n"/>
      <c r="W1" s="594" t="n"/>
      <c r="X1" s="592" t="n"/>
      <c r="Z1" s="588" t="n"/>
      <c r="AA1" s="588" t="n"/>
      <c r="AB1" s="588" t="n"/>
      <c r="AC1" s="588" t="n"/>
      <c r="AD1" s="588" t="n"/>
      <c r="AE1" s="588" t="n"/>
      <c r="AF1" s="588" t="n"/>
      <c r="AG1" s="588" t="n"/>
      <c r="AH1" s="588" t="n"/>
      <c r="AI1" s="588" t="n"/>
      <c r="AJ1" s="588" t="n"/>
      <c r="AK1" s="588" t="n"/>
      <c r="AL1" s="588" t="n"/>
      <c r="AM1" s="588" t="n"/>
      <c r="AN1" s="588" t="n"/>
      <c r="AO1" s="588" t="n"/>
      <c r="AP1" s="588" t="n"/>
      <c r="AQ1" s="588" t="n"/>
      <c r="AR1" s="588" t="n"/>
      <c r="AS1" s="588" t="n"/>
      <c r="AT1" s="588" t="n"/>
      <c r="AU1" s="588" t="n"/>
      <c r="AV1" s="588" t="n"/>
      <c r="AW1" s="588" t="n"/>
      <c r="AX1" s="588" t="n"/>
      <c r="AY1" s="588" t="n"/>
      <c r="AZ1" s="588" t="n"/>
      <c r="BA1" s="588" t="n"/>
      <c r="BB1" s="588" t="n"/>
      <c r="BC1" s="588" t="n"/>
      <c r="BD1" s="588" t="n"/>
      <c r="BE1" s="588" t="n"/>
      <c r="BF1" s="588" t="n"/>
      <c r="BG1" s="588" t="n"/>
      <c r="BH1" s="588" t="n"/>
      <c r="BI1" s="588" t="n"/>
      <c r="BJ1" s="588" t="n"/>
      <c r="BK1" s="588" t="n"/>
      <c r="BL1" s="588" t="n"/>
      <c r="BM1" s="588" t="n"/>
      <c r="BN1" s="588" t="n"/>
      <c r="BO1" s="588" t="n"/>
      <c r="BP1" s="588" t="n"/>
      <c r="BQ1" s="588" t="n"/>
      <c r="BR1" s="588" t="n"/>
      <c r="BS1" s="588" t="n"/>
      <c r="BT1" s="588" t="n"/>
      <c r="BU1" s="588" t="n"/>
      <c r="BV1" s="588" t="n"/>
      <c r="BW1" s="588" t="n"/>
      <c r="BX1" s="588" t="n"/>
      <c r="BY1" s="588" t="n"/>
      <c r="BZ1" s="588" t="n"/>
      <c r="CA1" s="588" t="n"/>
      <c r="CB1" s="588" t="n"/>
      <c r="CC1" s="588" t="n"/>
      <c r="CD1" s="588" t="n"/>
      <c r="CE1" s="588" t="n"/>
      <c r="CF1" s="588" t="n"/>
      <c r="CG1" s="588" t="n"/>
      <c r="CH1" s="588" t="n"/>
      <c r="CI1" s="588" t="n"/>
      <c r="CJ1" s="588" t="n"/>
      <c r="CK1" s="588" t="n"/>
      <c r="CL1" s="588" t="n"/>
      <c r="CM1" s="588" t="n"/>
      <c r="CN1" s="588" t="n"/>
      <c r="CO1" s="588" t="n"/>
      <c r="CP1" s="588" t="n"/>
      <c r="CQ1" s="588" t="n"/>
      <c r="CR1" s="588" t="n"/>
      <c r="CS1" s="588" t="n"/>
      <c r="CT1" s="588" t="n"/>
      <c r="CU1" s="588" t="n"/>
      <c r="CV1" s="588" t="n"/>
      <c r="CW1" s="588" t="n"/>
      <c r="CX1" s="588" t="n"/>
      <c r="CY1" s="588" t="n"/>
      <c r="CZ1" s="588" t="n"/>
      <c r="DA1" s="588" t="n"/>
      <c r="DB1" s="588" t="n"/>
      <c r="DC1" s="588" t="n"/>
      <c r="DD1" s="588" t="n"/>
      <c r="DE1" s="588" t="n"/>
      <c r="DF1" s="588" t="n"/>
      <c r="DG1" s="588" t="n"/>
      <c r="DH1" s="588" t="n"/>
      <c r="DI1" s="588" t="n"/>
      <c r="DJ1" s="588" t="n"/>
      <c r="DK1" s="588" t="n"/>
      <c r="DL1" s="588" t="n"/>
      <c r="DM1" s="588" t="n"/>
      <c r="DN1" s="588" t="n"/>
      <c r="DO1" s="588" t="n"/>
      <c r="DP1" s="588" t="n"/>
      <c r="DQ1" s="588" t="n"/>
      <c r="DR1" s="588" t="n"/>
      <c r="DS1" s="588" t="n"/>
      <c r="DT1" s="588" t="n"/>
      <c r="DU1" s="588" t="n"/>
    </row>
    <row r="2" ht="15.75" customHeight="1" s="450" thickTop="1">
      <c r="A2" s="590" t="n"/>
      <c r="B2" s="590" t="n"/>
      <c r="C2" s="595" t="n"/>
      <c r="D2" s="596" t="n"/>
      <c r="E2" s="596" t="n"/>
      <c r="F2" s="596" t="n"/>
      <c r="G2" s="595" t="n"/>
      <c r="H2" s="597" t="n"/>
      <c r="I2" s="596" t="n"/>
      <c r="J2" s="596" t="n"/>
      <c r="K2" s="596" t="n"/>
      <c r="L2" s="595" t="n"/>
      <c r="M2" s="596" t="n"/>
      <c r="N2" s="596" t="n"/>
      <c r="O2" s="596" t="n"/>
      <c r="P2" s="596" t="n"/>
      <c r="Q2" s="595" t="n"/>
      <c r="R2" s="596" t="n"/>
      <c r="S2" s="596" t="n"/>
      <c r="T2" s="596" t="n"/>
      <c r="U2" s="588" t="n"/>
      <c r="V2" s="588" t="n"/>
      <c r="W2" s="598" t="n"/>
      <c r="X2" s="588" t="n"/>
      <c r="Z2" s="588" t="n"/>
      <c r="AA2" s="588" t="n"/>
      <c r="AB2" s="588" t="n"/>
      <c r="AC2" s="588" t="n"/>
      <c r="AD2" s="588" t="n"/>
      <c r="AE2" s="588" t="n"/>
      <c r="AF2" s="588" t="n"/>
      <c r="AG2" s="588" t="n"/>
      <c r="AH2" s="588" t="n"/>
      <c r="AI2" s="588" t="n"/>
      <c r="AJ2" s="588" t="n"/>
      <c r="AK2" s="588" t="n"/>
      <c r="AL2" s="588" t="n"/>
      <c r="AM2" s="588" t="n"/>
      <c r="AN2" s="588" t="n"/>
      <c r="AO2" s="588" t="n"/>
      <c r="AP2" s="588" t="n"/>
      <c r="AQ2" s="588" t="n"/>
      <c r="AR2" s="588" t="n"/>
      <c r="AS2" s="588" t="n"/>
      <c r="AT2" s="588" t="n"/>
      <c r="AU2" s="588" t="n"/>
      <c r="AV2" s="588" t="n"/>
      <c r="AW2" s="588" t="n"/>
      <c r="AX2" s="588" t="n"/>
      <c r="AY2" s="588" t="n"/>
      <c r="AZ2" s="588" t="n"/>
      <c r="BA2" s="588" t="n"/>
      <c r="BB2" s="588" t="n"/>
      <c r="BC2" s="588" t="n"/>
      <c r="BD2" s="588" t="n"/>
      <c r="BE2" s="588" t="n"/>
      <c r="BF2" s="588" t="n"/>
      <c r="BG2" s="588" t="n"/>
      <c r="BH2" s="588" t="n"/>
      <c r="BI2" s="588" t="n"/>
      <c r="BJ2" s="588" t="n"/>
      <c r="BK2" s="588" t="n"/>
      <c r="BL2" s="588" t="n"/>
      <c r="BM2" s="588" t="n"/>
      <c r="BN2" s="588" t="n"/>
      <c r="BO2" s="588" t="n"/>
      <c r="BP2" s="588" t="n"/>
      <c r="BQ2" s="588" t="n"/>
      <c r="BR2" s="588" t="n"/>
      <c r="BS2" s="588" t="n"/>
      <c r="BT2" s="588" t="n"/>
      <c r="BU2" s="588" t="n"/>
      <c r="BV2" s="588" t="n"/>
      <c r="BW2" s="588" t="n"/>
      <c r="BX2" s="588" t="n"/>
      <c r="BY2" s="588" t="n"/>
      <c r="BZ2" s="588" t="n"/>
      <c r="CA2" s="588" t="n"/>
      <c r="CB2" s="588" t="n"/>
      <c r="CC2" s="588" t="n"/>
      <c r="CD2" s="588" t="n"/>
      <c r="CE2" s="588" t="n"/>
      <c r="CF2" s="588" t="n"/>
      <c r="CG2" s="588" t="n"/>
      <c r="CH2" s="588" t="n"/>
      <c r="CI2" s="588" t="n"/>
      <c r="CJ2" s="588" t="n"/>
      <c r="CK2" s="588" t="n"/>
      <c r="CL2" s="588" t="n"/>
      <c r="CM2" s="588" t="n"/>
      <c r="CN2" s="588" t="n"/>
      <c r="CO2" s="588" t="n"/>
      <c r="CP2" s="588" t="n"/>
      <c r="CQ2" s="588" t="n"/>
      <c r="CR2" s="588" t="n"/>
      <c r="CS2" s="588" t="n"/>
      <c r="CT2" s="588" t="n"/>
      <c r="CU2" s="588" t="n"/>
      <c r="CV2" s="588" t="n"/>
      <c r="CW2" s="588" t="n"/>
      <c r="CX2" s="588" t="n"/>
      <c r="CY2" s="588" t="n"/>
      <c r="CZ2" s="588" t="n"/>
      <c r="DA2" s="588" t="n"/>
      <c r="DB2" s="588" t="n"/>
      <c r="DC2" s="588" t="n"/>
      <c r="DD2" s="588" t="n"/>
      <c r="DE2" s="588" t="n"/>
      <c r="DF2" s="588" t="n"/>
      <c r="DG2" s="588" t="n"/>
      <c r="DH2" s="588" t="n"/>
      <c r="DI2" s="588" t="n"/>
      <c r="DJ2" s="588" t="n"/>
      <c r="DK2" s="588" t="n"/>
      <c r="DL2" s="588" t="n"/>
      <c r="DM2" s="588" t="n"/>
      <c r="DN2" s="588" t="n"/>
      <c r="DO2" s="588" t="n"/>
      <c r="DP2" s="588" t="n"/>
      <c r="DQ2" s="588" t="n"/>
      <c r="DR2" s="588" t="n"/>
      <c r="DS2" s="588" t="n"/>
      <c r="DT2" s="588" t="n"/>
      <c r="DU2" s="588" t="n"/>
    </row>
    <row r="3" ht="16.5" customFormat="1" customHeight="1" s="599">
      <c r="A3" s="590" t="n"/>
      <c r="B3" s="600" t="inlineStr">
        <is>
          <t>Vereda 10cm</t>
        </is>
      </c>
      <c r="C3" s="581" t="n"/>
      <c r="D3" s="582" t="n"/>
      <c r="E3" s="601" t="inlineStr">
        <is>
          <t>Rot.</t>
        </is>
      </c>
      <c r="F3" s="601" t="inlineStr">
        <is>
          <t>Rep.</t>
        </is>
      </c>
      <c r="G3" s="602" t="n"/>
      <c r="H3" s="597" t="n"/>
      <c r="I3" s="600" t="inlineStr">
        <is>
          <t>Sardinel 20cm</t>
        </is>
      </c>
      <c r="J3" s="581" t="n"/>
      <c r="K3" s="582" t="n"/>
      <c r="L3" s="601" t="inlineStr">
        <is>
          <t>Rot.</t>
        </is>
      </c>
      <c r="M3" s="601" t="inlineStr">
        <is>
          <t>Rep.</t>
        </is>
      </c>
      <c r="N3" s="603" t="n"/>
      <c r="O3" s="600" t="inlineStr">
        <is>
          <t>Juntas de Dilatacion</t>
        </is>
      </c>
      <c r="P3" s="581" t="n"/>
      <c r="Q3" s="582" t="n"/>
      <c r="R3" s="603" t="n"/>
      <c r="S3" s="600" t="inlineStr">
        <is>
          <t>Afirmad.</t>
        </is>
      </c>
      <c r="T3" s="603" t="n"/>
      <c r="U3" s="601" t="inlineStr">
        <is>
          <t>Descuento</t>
        </is>
      </c>
      <c r="V3" s="581" t="n"/>
      <c r="W3" s="581" t="n"/>
      <c r="X3" s="582" t="n"/>
      <c r="Y3" s="604" t="n"/>
      <c r="Z3" s="604" t="n"/>
      <c r="AA3" s="604" t="n"/>
      <c r="AB3" s="604" t="n"/>
      <c r="AC3" s="604" t="n"/>
      <c r="AD3" s="604" t="n"/>
      <c r="AE3" s="604" t="n"/>
      <c r="AF3" s="604" t="n"/>
      <c r="AG3" s="604" t="n"/>
      <c r="AH3" s="604" t="n"/>
      <c r="AI3" s="604" t="n"/>
      <c r="AJ3" s="604" t="n"/>
      <c r="AK3" s="588" t="n"/>
      <c r="AL3" s="588" t="n"/>
      <c r="AM3" s="588" t="n"/>
      <c r="AN3" s="588" t="n"/>
      <c r="AO3" s="588" t="n"/>
      <c r="AP3" s="588" t="n"/>
      <c r="AQ3" s="588" t="n"/>
      <c r="AR3" s="588" t="n"/>
      <c r="AS3" s="588" t="n"/>
      <c r="AT3" s="588" t="n"/>
      <c r="AU3" s="588" t="n"/>
      <c r="AV3" s="588" t="n"/>
      <c r="AW3" s="588" t="n"/>
      <c r="AX3" s="588" t="n"/>
      <c r="AY3" s="588" t="n"/>
      <c r="AZ3" s="588" t="n"/>
      <c r="BA3" s="588" t="n"/>
      <c r="BB3" s="588" t="n"/>
      <c r="BC3" s="588" t="n"/>
      <c r="BD3" s="588" t="n"/>
      <c r="BE3" s="588" t="n"/>
      <c r="BF3" s="588" t="n"/>
      <c r="BG3" s="588" t="n"/>
      <c r="BH3" s="588" t="n"/>
      <c r="BI3" s="588" t="n"/>
      <c r="BJ3" s="588" t="n"/>
      <c r="BK3" s="588" t="n"/>
      <c r="BL3" s="588" t="n"/>
      <c r="BM3" s="588" t="n"/>
      <c r="BN3" s="588" t="n"/>
      <c r="BO3" s="588" t="n"/>
      <c r="BP3" s="588" t="n"/>
      <c r="BQ3" s="588" t="n"/>
      <c r="BR3" s="588" t="n"/>
      <c r="BS3" s="588" t="n"/>
      <c r="BT3" s="588" t="n"/>
      <c r="BU3" s="588" t="n"/>
      <c r="BV3" s="588" t="n"/>
      <c r="BW3" s="588" t="n"/>
      <c r="BX3" s="588" t="n"/>
      <c r="BY3" s="588" t="n"/>
      <c r="BZ3" s="588" t="n"/>
      <c r="CA3" s="588" t="n"/>
      <c r="CB3" s="588" t="n"/>
      <c r="CC3" s="588" t="n"/>
      <c r="CD3" s="588" t="n"/>
      <c r="CE3" s="588" t="n"/>
      <c r="CF3" s="588" t="n"/>
      <c r="CG3" s="588" t="n"/>
      <c r="CH3" s="588" t="n"/>
      <c r="CI3" s="588" t="n"/>
      <c r="CJ3" s="588" t="n"/>
      <c r="CK3" s="588" t="n"/>
      <c r="CL3" s="588" t="n"/>
      <c r="CM3" s="588" t="n"/>
      <c r="CN3" s="588" t="n"/>
      <c r="CO3" s="588" t="n"/>
      <c r="CP3" s="588" t="n"/>
      <c r="CQ3" s="588" t="n"/>
      <c r="CR3" s="588" t="n"/>
      <c r="CS3" s="588" t="n"/>
      <c r="CT3" s="588" t="n"/>
      <c r="CU3" s="588" t="n"/>
      <c r="CV3" s="588" t="n"/>
      <c r="CW3" s="588" t="n"/>
      <c r="CX3" s="588" t="n"/>
      <c r="CY3" s="588" t="n"/>
      <c r="CZ3" s="588" t="n"/>
      <c r="DA3" s="588" t="n"/>
      <c r="DB3" s="588" t="n"/>
      <c r="DC3" s="588" t="n"/>
      <c r="DD3" s="588" t="n"/>
      <c r="DE3" s="588" t="n"/>
      <c r="DF3" s="588" t="n"/>
      <c r="DG3" s="588" t="n"/>
      <c r="DH3" s="588" t="n"/>
      <c r="DI3" s="588" t="n"/>
      <c r="DJ3" s="588" t="n"/>
      <c r="DK3" s="588" t="n"/>
      <c r="DL3" s="588" t="n"/>
      <c r="DM3" s="588" t="n"/>
      <c r="DN3" s="588" t="n"/>
      <c r="DO3" s="588" t="n"/>
      <c r="DP3" s="588" t="n"/>
      <c r="DQ3" s="588" t="n"/>
      <c r="DR3" s="588" t="n"/>
      <c r="DS3" s="588" t="n"/>
      <c r="DT3" s="588" t="n"/>
      <c r="DU3" s="588" t="n"/>
    </row>
    <row r="4" ht="21.75" customFormat="1" customHeight="1" s="599">
      <c r="A4" s="590" t="n"/>
      <c r="B4" s="605" t="inlineStr">
        <is>
          <t>N°</t>
        </is>
      </c>
      <c r="C4" s="605" t="inlineStr">
        <is>
          <t>Largo</t>
        </is>
      </c>
      <c r="D4" s="606" t="inlineStr">
        <is>
          <t xml:space="preserve">Ancho </t>
        </is>
      </c>
      <c r="E4" s="605" t="inlineStr">
        <is>
          <t>m2</t>
        </is>
      </c>
      <c r="F4" s="605" t="inlineStr">
        <is>
          <t>m2</t>
        </is>
      </c>
      <c r="G4" s="601" t="inlineStr">
        <is>
          <t>Observ.</t>
        </is>
      </c>
      <c r="H4" s="607" t="n"/>
      <c r="I4" s="601" t="inlineStr">
        <is>
          <t>N°</t>
        </is>
      </c>
      <c r="J4" s="601" t="inlineStr">
        <is>
          <t>Largo</t>
        </is>
      </c>
      <c r="K4" s="601" t="inlineStr">
        <is>
          <t>Ancho</t>
        </is>
      </c>
      <c r="L4" s="605" t="inlineStr">
        <is>
          <t>m2</t>
        </is>
      </c>
      <c r="M4" s="605" t="inlineStr">
        <is>
          <t>m2</t>
        </is>
      </c>
      <c r="N4" s="603" t="n"/>
      <c r="O4" s="601" t="inlineStr">
        <is>
          <t>Ancho</t>
        </is>
      </c>
      <c r="P4" s="601" t="inlineStr">
        <is>
          <t>Cant.</t>
        </is>
      </c>
      <c r="Q4" s="601" t="inlineStr">
        <is>
          <t>Total</t>
        </is>
      </c>
      <c r="R4" s="603" t="n"/>
      <c r="S4" s="605" t="inlineStr">
        <is>
          <t>m2</t>
        </is>
      </c>
      <c r="T4" s="603" t="n"/>
      <c r="U4" s="601" t="inlineStr">
        <is>
          <t>Largo</t>
        </is>
      </c>
      <c r="V4" s="605" t="inlineStr">
        <is>
          <t>Cant.</t>
        </is>
      </c>
      <c r="W4" s="605" t="inlineStr">
        <is>
          <t>Total</t>
        </is>
      </c>
      <c r="X4" s="605" t="inlineStr">
        <is>
          <t>OBS.</t>
        </is>
      </c>
      <c r="Y4" s="604" t="n"/>
      <c r="Z4" s="604" t="n"/>
      <c r="AA4" s="604" t="n"/>
      <c r="AB4" s="604" t="n"/>
      <c r="AC4" s="604" t="n"/>
      <c r="AD4" s="604" t="n"/>
      <c r="AE4" s="604" t="n"/>
      <c r="AF4" s="604" t="n"/>
      <c r="AG4" s="604" t="n"/>
      <c r="AH4" s="604" t="n"/>
      <c r="AI4" s="604" t="n"/>
      <c r="AJ4" s="604" t="n"/>
      <c r="AK4" s="588" t="n"/>
      <c r="AL4" s="588" t="n"/>
      <c r="AM4" s="588" t="n"/>
      <c r="AN4" s="588" t="n"/>
      <c r="AO4" s="588" t="n"/>
      <c r="AP4" s="588" t="n"/>
      <c r="AQ4" s="588" t="n"/>
      <c r="AR4" s="588" t="n"/>
      <c r="AS4" s="588" t="n"/>
      <c r="AT4" s="588" t="n"/>
      <c r="AU4" s="588" t="n"/>
      <c r="AV4" s="588" t="n"/>
      <c r="AW4" s="588" t="n"/>
      <c r="AX4" s="588" t="n"/>
      <c r="AY4" s="588" t="n"/>
      <c r="AZ4" s="588" t="n"/>
      <c r="BA4" s="588" t="n"/>
      <c r="BB4" s="588" t="n"/>
      <c r="BC4" s="588" t="n"/>
      <c r="BD4" s="588" t="n"/>
      <c r="BE4" s="588" t="n"/>
      <c r="BF4" s="588" t="n"/>
      <c r="BG4" s="588" t="n"/>
      <c r="BH4" s="588" t="n"/>
      <c r="BI4" s="588" t="n"/>
      <c r="BJ4" s="588" t="n"/>
      <c r="BK4" s="588" t="n"/>
      <c r="BL4" s="588" t="n"/>
      <c r="BM4" s="588" t="n"/>
      <c r="BN4" s="588" t="n"/>
      <c r="BO4" s="588" t="n"/>
      <c r="BP4" s="588" t="n"/>
      <c r="BQ4" s="588" t="n"/>
      <c r="BR4" s="588" t="n"/>
      <c r="BS4" s="588" t="n"/>
      <c r="BT4" s="588" t="n"/>
      <c r="BU4" s="588" t="n"/>
      <c r="BV4" s="588" t="n"/>
      <c r="BW4" s="588" t="n"/>
      <c r="BX4" s="588" t="n"/>
      <c r="BY4" s="588" t="n"/>
      <c r="BZ4" s="588" t="n"/>
      <c r="CA4" s="588" t="n"/>
      <c r="CB4" s="588" t="n"/>
      <c r="CC4" s="588" t="n"/>
      <c r="CD4" s="588" t="n"/>
      <c r="CE4" s="588" t="n"/>
      <c r="CF4" s="588" t="n"/>
      <c r="CG4" s="588" t="n"/>
      <c r="CH4" s="588" t="n"/>
      <c r="CI4" s="588" t="n"/>
      <c r="CJ4" s="588" t="n"/>
      <c r="CK4" s="588" t="n"/>
      <c r="CL4" s="588" t="n"/>
      <c r="CM4" s="588" t="n"/>
      <c r="CN4" s="588" t="n"/>
      <c r="CO4" s="588" t="n"/>
      <c r="CP4" s="588" t="n"/>
      <c r="CQ4" s="588" t="n"/>
      <c r="CR4" s="588" t="n"/>
      <c r="CS4" s="588" t="n"/>
      <c r="CT4" s="588" t="n"/>
      <c r="CU4" s="588" t="n"/>
      <c r="CV4" s="588" t="n"/>
      <c r="CW4" s="588" t="n"/>
      <c r="CX4" s="588" t="n"/>
      <c r="CY4" s="588" t="n"/>
      <c r="CZ4" s="588" t="n"/>
      <c r="DA4" s="588" t="n"/>
      <c r="DB4" s="588" t="n"/>
      <c r="DC4" s="588" t="n"/>
      <c r="DD4" s="588" t="n"/>
      <c r="DE4" s="588" t="n"/>
      <c r="DF4" s="588" t="n"/>
      <c r="DG4" s="588" t="n"/>
      <c r="DH4" s="588" t="n"/>
      <c r="DI4" s="588" t="n"/>
      <c r="DJ4" s="588" t="n"/>
      <c r="DK4" s="588" t="n"/>
      <c r="DL4" s="588" t="n"/>
      <c r="DM4" s="588" t="n"/>
      <c r="DN4" s="588" t="n"/>
      <c r="DO4" s="588" t="n"/>
      <c r="DP4" s="588" t="n"/>
      <c r="DQ4" s="588" t="n"/>
      <c r="DR4" s="588" t="n"/>
      <c r="DS4" s="588" t="n"/>
      <c r="DT4" s="588" t="n"/>
      <c r="DU4" s="588" t="n"/>
    </row>
    <row r="5" ht="13.5" customHeight="1" s="450">
      <c r="A5" s="590" t="n"/>
      <c r="B5" s="608" t="inlineStr">
        <is>
          <t>V1</t>
        </is>
      </c>
      <c r="C5" s="609" t="n"/>
      <c r="D5" s="610" t="n"/>
      <c r="E5" s="611">
        <f>+C5*D5</f>
        <v/>
      </c>
      <c r="F5" s="612">
        <f>+C5*D5</f>
        <v/>
      </c>
      <c r="G5" s="613" t="n"/>
      <c r="H5" s="588" t="n"/>
      <c r="I5" s="608" t="inlineStr">
        <is>
          <t>S1</t>
        </is>
      </c>
      <c r="J5" s="614" t="n"/>
      <c r="K5" s="614" t="n"/>
      <c r="L5" s="611">
        <f>+J5*K5</f>
        <v/>
      </c>
      <c r="M5" s="611">
        <f>+J5*K5</f>
        <v/>
      </c>
      <c r="N5" s="615" t="n"/>
      <c r="O5" s="614">
        <f>+D5</f>
        <v/>
      </c>
      <c r="P5" s="614" t="n"/>
      <c r="Q5" s="611">
        <f>+O5*P5</f>
        <v/>
      </c>
      <c r="R5" s="616" t="n"/>
      <c r="S5" s="611">
        <f>+F5+M5</f>
        <v/>
      </c>
      <c r="T5" s="616" t="n"/>
      <c r="U5" s="614" t="n">
        <v>1</v>
      </c>
      <c r="V5" s="614" t="n">
        <v>0.05</v>
      </c>
      <c r="W5" s="611">
        <f>+U5*V5</f>
        <v/>
      </c>
      <c r="X5" s="617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8" t="n"/>
      <c r="BK5" s="588" t="n"/>
      <c r="BL5" s="588" t="n"/>
      <c r="BM5" s="588" t="n"/>
      <c r="BN5" s="588" t="n"/>
      <c r="BO5" s="588" t="n"/>
      <c r="BP5" s="588" t="n"/>
      <c r="BQ5" s="588" t="n"/>
      <c r="BR5" s="588" t="n"/>
      <c r="BS5" s="588" t="n"/>
      <c r="BT5" s="588" t="n"/>
      <c r="BU5" s="588" t="n"/>
      <c r="BV5" s="588" t="n"/>
      <c r="BW5" s="588" t="n"/>
      <c r="BX5" s="588" t="n"/>
      <c r="BY5" s="588" t="n"/>
      <c r="BZ5" s="588" t="n"/>
      <c r="CA5" s="588" t="n"/>
      <c r="CB5" s="588" t="n"/>
      <c r="CC5" s="588" t="n"/>
      <c r="CD5" s="588" t="n"/>
      <c r="CE5" s="588" t="n"/>
      <c r="CF5" s="588" t="n"/>
      <c r="CG5" s="588" t="n"/>
      <c r="CH5" s="588" t="n"/>
      <c r="CI5" s="588" t="n"/>
      <c r="CJ5" s="588" t="n"/>
      <c r="CK5" s="588" t="n"/>
      <c r="CL5" s="588" t="n"/>
      <c r="CM5" s="588" t="n"/>
      <c r="CN5" s="588" t="n"/>
      <c r="CO5" s="588" t="n"/>
      <c r="CP5" s="588" t="n"/>
      <c r="CQ5" s="588" t="n"/>
      <c r="CR5" s="588" t="n"/>
      <c r="CS5" s="588" t="n"/>
      <c r="CT5" s="588" t="n"/>
      <c r="CU5" s="588" t="n"/>
      <c r="CV5" s="588" t="n"/>
      <c r="CW5" s="588" t="n"/>
      <c r="CX5" s="588" t="n"/>
      <c r="CY5" s="588" t="n"/>
      <c r="CZ5" s="588" t="n"/>
      <c r="DA5" s="588" t="n"/>
      <c r="DB5" s="588" t="n"/>
      <c r="DC5" s="588" t="n"/>
      <c r="DD5" s="588" t="n"/>
      <c r="DE5" s="588" t="n"/>
      <c r="DF5" s="588" t="n"/>
      <c r="DG5" s="588" t="n"/>
      <c r="DH5" s="588" t="n"/>
      <c r="DI5" s="588" t="n"/>
      <c r="DJ5" s="588" t="n"/>
      <c r="DK5" s="588" t="n"/>
      <c r="DL5" s="588" t="n"/>
      <c r="DM5" s="588" t="n"/>
      <c r="DN5" s="588" t="n"/>
      <c r="DO5" s="588" t="n"/>
      <c r="DP5" s="588" t="n"/>
      <c r="DQ5" s="588" t="n"/>
      <c r="DR5" s="588" t="n"/>
      <c r="DS5" s="588" t="n"/>
      <c r="DT5" s="588" t="n"/>
      <c r="DU5" s="588" t="n"/>
    </row>
    <row r="6" hidden="1" ht="27" customHeight="1" s="450">
      <c r="A6" s="590" t="n"/>
      <c r="B6" s="618" t="inlineStr">
        <is>
          <t>V2</t>
        </is>
      </c>
      <c r="C6" s="619" t="n"/>
      <c r="D6" s="620" t="n"/>
      <c r="E6" s="621">
        <f>+C6*D6</f>
        <v/>
      </c>
      <c r="F6" s="622">
        <f>+C6*D6</f>
        <v/>
      </c>
      <c r="G6" s="623" t="n"/>
      <c r="H6" s="588" t="n"/>
      <c r="I6" s="618" t="inlineStr">
        <is>
          <t>S2</t>
        </is>
      </c>
      <c r="J6" s="619" t="n"/>
      <c r="K6" s="619" t="n"/>
      <c r="L6" s="621">
        <f>+J6*K6</f>
        <v/>
      </c>
      <c r="M6" s="621">
        <f>+J6*K6</f>
        <v/>
      </c>
      <c r="N6" s="615" t="n"/>
      <c r="O6" s="619">
        <f>+D6</f>
        <v/>
      </c>
      <c r="P6" s="619" t="n"/>
      <c r="Q6" s="621">
        <f>+O6*P6</f>
        <v/>
      </c>
      <c r="R6" s="616" t="n"/>
      <c r="S6" s="621">
        <f>+F6+M6</f>
        <v/>
      </c>
      <c r="T6" s="616" t="n"/>
      <c r="U6" s="619" t="n"/>
      <c r="V6" s="619" t="n"/>
      <c r="W6" s="621">
        <f>+U6*V6</f>
        <v/>
      </c>
      <c r="X6" s="624" t="n"/>
      <c r="Z6" s="588" t="n"/>
      <c r="AA6" s="588" t="n"/>
      <c r="AB6" s="588" t="n"/>
      <c r="AC6" s="588" t="n"/>
      <c r="AD6" s="588" t="n"/>
      <c r="AE6" s="588" t="n"/>
      <c r="AF6" s="588" t="n"/>
      <c r="AG6" s="588" t="n"/>
      <c r="AH6" s="588" t="n"/>
      <c r="AI6" s="588" t="n"/>
      <c r="AJ6" s="588" t="n"/>
      <c r="AK6" s="588" t="n"/>
      <c r="AL6" s="588" t="n"/>
      <c r="AM6" s="588" t="n"/>
      <c r="AN6" s="588" t="n"/>
      <c r="AO6" s="588" t="n"/>
      <c r="AP6" s="588" t="n"/>
      <c r="AQ6" s="588" t="n"/>
      <c r="AR6" s="588" t="n"/>
      <c r="AS6" s="588" t="n"/>
      <c r="AT6" s="588" t="n"/>
      <c r="AU6" s="588" t="n"/>
      <c r="AV6" s="588" t="n"/>
      <c r="AW6" s="588" t="n"/>
      <c r="AX6" s="588" t="n"/>
      <c r="AY6" s="588" t="n"/>
      <c r="AZ6" s="588" t="n"/>
      <c r="BA6" s="588" t="n"/>
      <c r="BB6" s="588" t="n"/>
      <c r="BC6" s="588" t="n"/>
      <c r="BD6" s="588" t="n"/>
      <c r="BE6" s="588" t="n"/>
      <c r="BF6" s="588" t="n"/>
      <c r="BG6" s="588" t="n"/>
      <c r="BH6" s="588" t="n"/>
      <c r="BI6" s="588" t="n"/>
      <c r="BJ6" s="588" t="n"/>
      <c r="BK6" s="588" t="n"/>
      <c r="BL6" s="588" t="n"/>
      <c r="BM6" s="588" t="n"/>
      <c r="BN6" s="588" t="n"/>
      <c r="BO6" s="588" t="n"/>
      <c r="BP6" s="588" t="n"/>
      <c r="BQ6" s="588" t="n"/>
      <c r="BR6" s="588" t="n"/>
      <c r="BS6" s="588" t="n"/>
      <c r="BT6" s="588" t="n"/>
      <c r="BU6" s="588" t="n"/>
      <c r="BV6" s="588" t="n"/>
      <c r="BW6" s="588" t="n"/>
      <c r="BX6" s="588" t="n"/>
      <c r="BY6" s="588" t="n"/>
      <c r="BZ6" s="588" t="n"/>
      <c r="CA6" s="588" t="n"/>
      <c r="CB6" s="588" t="n"/>
      <c r="CC6" s="588" t="n"/>
      <c r="CD6" s="588" t="n"/>
      <c r="CE6" s="588" t="n"/>
      <c r="CF6" s="588" t="n"/>
      <c r="CG6" s="588" t="n"/>
      <c r="CH6" s="588" t="n"/>
      <c r="CI6" s="588" t="n"/>
      <c r="CJ6" s="588" t="n"/>
      <c r="CK6" s="588" t="n"/>
      <c r="CL6" s="588" t="n"/>
      <c r="CM6" s="588" t="n"/>
      <c r="CN6" s="588" t="n"/>
      <c r="CO6" s="588" t="n"/>
      <c r="CP6" s="588" t="n"/>
      <c r="CQ6" s="588" t="n"/>
      <c r="CR6" s="588" t="n"/>
      <c r="CS6" s="588" t="n"/>
      <c r="CT6" s="588" t="n"/>
      <c r="CU6" s="588" t="n"/>
      <c r="CV6" s="588" t="n"/>
      <c r="CW6" s="588" t="n"/>
      <c r="CX6" s="588" t="n"/>
      <c r="CY6" s="588" t="n"/>
      <c r="CZ6" s="588" t="n"/>
      <c r="DA6" s="588" t="n"/>
      <c r="DB6" s="588" t="n"/>
      <c r="DC6" s="588" t="n"/>
      <c r="DD6" s="588" t="n"/>
      <c r="DE6" s="588" t="n"/>
      <c r="DF6" s="588" t="n"/>
      <c r="DG6" s="588" t="n"/>
      <c r="DH6" s="588" t="n"/>
      <c r="DI6" s="588" t="n"/>
      <c r="DJ6" s="588" t="n"/>
      <c r="DK6" s="588" t="n"/>
      <c r="DL6" s="588" t="n"/>
      <c r="DM6" s="588" t="n"/>
      <c r="DN6" s="588" t="n"/>
      <c r="DO6" s="588" t="n"/>
      <c r="DP6" s="588" t="n"/>
      <c r="DQ6" s="588" t="n"/>
      <c r="DR6" s="588" t="n"/>
      <c r="DS6" s="588" t="n"/>
      <c r="DT6" s="588" t="n"/>
      <c r="DU6" s="588" t="n"/>
    </row>
    <row r="7" hidden="1" ht="17.25" customHeight="1" s="450">
      <c r="A7" s="590" t="n"/>
      <c r="B7" s="618" t="inlineStr">
        <is>
          <t>V3</t>
        </is>
      </c>
      <c r="C7" s="619" t="n"/>
      <c r="D7" s="620" t="n"/>
      <c r="E7" s="621">
        <f>+C7*D7</f>
        <v/>
      </c>
      <c r="F7" s="622">
        <f>+C7*D7</f>
        <v/>
      </c>
      <c r="G7" s="624" t="n"/>
      <c r="H7" s="588" t="n"/>
      <c r="I7" s="618" t="inlineStr">
        <is>
          <t>S3</t>
        </is>
      </c>
      <c r="J7" s="619" t="n"/>
      <c r="K7" s="619" t="n"/>
      <c r="L7" s="621">
        <f>+J7*K7</f>
        <v/>
      </c>
      <c r="M7" s="621">
        <f>+J7*K7</f>
        <v/>
      </c>
      <c r="N7" s="615" t="n"/>
      <c r="O7" s="619">
        <f>+D7</f>
        <v/>
      </c>
      <c r="P7" s="619" t="n"/>
      <c r="Q7" s="621">
        <f>+O7*P7</f>
        <v/>
      </c>
      <c r="R7" s="616" t="n"/>
      <c r="S7" s="621">
        <f>+F7+M7</f>
        <v/>
      </c>
      <c r="T7" s="616" t="n"/>
      <c r="U7" s="619" t="n"/>
      <c r="V7" s="619" t="n"/>
      <c r="W7" s="621">
        <f>+U7*V7</f>
        <v/>
      </c>
      <c r="X7" s="624" t="n"/>
      <c r="Z7" s="588" t="n"/>
      <c r="AA7" s="588" t="n"/>
      <c r="AB7" s="588" t="n"/>
      <c r="AC7" s="588" t="n"/>
      <c r="AD7" s="588" t="n"/>
      <c r="AE7" s="588" t="n"/>
      <c r="AF7" s="588" t="n"/>
      <c r="AG7" s="588" t="n"/>
      <c r="AH7" s="588" t="n"/>
      <c r="AI7" s="588" t="n"/>
      <c r="AJ7" s="588" t="n"/>
      <c r="AK7" s="588" t="n"/>
      <c r="AL7" s="588" t="n"/>
      <c r="AM7" s="588" t="n"/>
      <c r="AN7" s="588" t="n"/>
      <c r="AO7" s="588" t="n"/>
      <c r="AP7" s="588" t="n"/>
      <c r="AQ7" s="588" t="n"/>
      <c r="AR7" s="588" t="n"/>
      <c r="AS7" s="588" t="n"/>
      <c r="AT7" s="588" t="n"/>
      <c r="AU7" s="588" t="n"/>
      <c r="AV7" s="588" t="n"/>
      <c r="AW7" s="588" t="n"/>
      <c r="AX7" s="588" t="n"/>
      <c r="AY7" s="588" t="n"/>
      <c r="AZ7" s="588" t="n"/>
      <c r="BA7" s="588" t="n"/>
      <c r="BB7" s="588" t="n"/>
      <c r="BC7" s="588" t="n"/>
      <c r="BD7" s="588" t="n"/>
      <c r="BE7" s="588" t="n"/>
      <c r="BF7" s="588" t="n"/>
      <c r="BG7" s="588" t="n"/>
      <c r="BH7" s="588" t="n"/>
      <c r="BI7" s="588" t="n"/>
      <c r="BJ7" s="588" t="n"/>
      <c r="BK7" s="588" t="n"/>
      <c r="BL7" s="588" t="n"/>
      <c r="BM7" s="588" t="n"/>
      <c r="BN7" s="588" t="n"/>
      <c r="BO7" s="588" t="n"/>
      <c r="BP7" s="588" t="n"/>
      <c r="BQ7" s="588" t="n"/>
      <c r="BR7" s="588" t="n"/>
      <c r="BS7" s="588" t="n"/>
      <c r="BT7" s="588" t="n"/>
      <c r="BU7" s="588" t="n"/>
      <c r="BV7" s="588" t="n"/>
      <c r="BW7" s="588" t="n"/>
      <c r="BX7" s="588" t="n"/>
      <c r="BY7" s="588" t="n"/>
      <c r="BZ7" s="588" t="n"/>
      <c r="CA7" s="588" t="n"/>
      <c r="CB7" s="588" t="n"/>
      <c r="CC7" s="588" t="n"/>
      <c r="CD7" s="588" t="n"/>
      <c r="CE7" s="588" t="n"/>
      <c r="CF7" s="588" t="n"/>
      <c r="CG7" s="588" t="n"/>
      <c r="CH7" s="588" t="n"/>
      <c r="CI7" s="588" t="n"/>
      <c r="CJ7" s="588" t="n"/>
      <c r="CK7" s="588" t="n"/>
      <c r="CL7" s="588" t="n"/>
      <c r="CM7" s="588" t="n"/>
      <c r="CN7" s="588" t="n"/>
      <c r="CO7" s="588" t="n"/>
      <c r="CP7" s="588" t="n"/>
      <c r="CQ7" s="588" t="n"/>
      <c r="CR7" s="588" t="n"/>
      <c r="CS7" s="588" t="n"/>
      <c r="CT7" s="588" t="n"/>
      <c r="CU7" s="588" t="n"/>
      <c r="CV7" s="588" t="n"/>
      <c r="CW7" s="588" t="n"/>
      <c r="CX7" s="588" t="n"/>
      <c r="CY7" s="588" t="n"/>
      <c r="CZ7" s="588" t="n"/>
      <c r="DA7" s="588" t="n"/>
      <c r="DB7" s="588" t="n"/>
      <c r="DC7" s="588" t="n"/>
      <c r="DD7" s="588" t="n"/>
      <c r="DE7" s="588" t="n"/>
      <c r="DF7" s="588" t="n"/>
      <c r="DG7" s="588" t="n"/>
      <c r="DH7" s="588" t="n"/>
      <c r="DI7" s="588" t="n"/>
      <c r="DJ7" s="588" t="n"/>
      <c r="DK7" s="588" t="n"/>
      <c r="DL7" s="588" t="n"/>
      <c r="DM7" s="588" t="n"/>
      <c r="DN7" s="588" t="n"/>
      <c r="DO7" s="588" t="n"/>
      <c r="DP7" s="588" t="n"/>
      <c r="DQ7" s="588" t="n"/>
      <c r="DR7" s="588" t="n"/>
      <c r="DS7" s="588" t="n"/>
      <c r="DT7" s="588" t="n"/>
      <c r="DU7" s="588" t="n"/>
    </row>
    <row r="8" hidden="1" ht="24" customHeight="1" s="450">
      <c r="A8" s="590" t="n"/>
      <c r="B8" s="618" t="inlineStr">
        <is>
          <t>V4</t>
        </is>
      </c>
      <c r="C8" s="619" t="n"/>
      <c r="D8" s="620" t="n"/>
      <c r="E8" s="621">
        <f>+C8*D8</f>
        <v/>
      </c>
      <c r="F8" s="622">
        <f>+C8*D8</f>
        <v/>
      </c>
      <c r="G8" s="624" t="n"/>
      <c r="H8" s="588" t="n"/>
      <c r="I8" s="618" t="inlineStr">
        <is>
          <t>S4</t>
        </is>
      </c>
      <c r="J8" s="619" t="n"/>
      <c r="K8" s="619" t="n"/>
      <c r="L8" s="621">
        <f>+J8*K8</f>
        <v/>
      </c>
      <c r="M8" s="621">
        <f>+J8*K8</f>
        <v/>
      </c>
      <c r="N8" s="615" t="n"/>
      <c r="O8" s="619">
        <f>+D8</f>
        <v/>
      </c>
      <c r="P8" s="619" t="n"/>
      <c r="Q8" s="621">
        <f>+O8*P8</f>
        <v/>
      </c>
      <c r="R8" s="616" t="n"/>
      <c r="S8" s="621">
        <f>+F8+M8</f>
        <v/>
      </c>
      <c r="T8" s="616" t="n"/>
      <c r="U8" s="619" t="n"/>
      <c r="V8" s="619" t="n"/>
      <c r="W8" s="621">
        <f>+U8*V8</f>
        <v/>
      </c>
      <c r="X8" s="624" t="n"/>
      <c r="Z8" s="588" t="n"/>
      <c r="AA8" s="588" t="n"/>
      <c r="AB8" s="588" t="n"/>
      <c r="AC8" s="588" t="n"/>
      <c r="AD8" s="588" t="n"/>
      <c r="AE8" s="588" t="n"/>
      <c r="AF8" s="588" t="n"/>
      <c r="AG8" s="588" t="n"/>
      <c r="AH8" s="588" t="n"/>
      <c r="AI8" s="588" t="n"/>
      <c r="AJ8" s="588" t="n"/>
      <c r="AK8" s="588" t="n"/>
      <c r="AL8" s="588" t="n"/>
      <c r="AM8" s="588" t="n"/>
      <c r="AN8" s="588" t="n"/>
      <c r="AO8" s="588" t="n"/>
      <c r="AP8" s="588" t="n"/>
      <c r="AQ8" s="588" t="n"/>
      <c r="AR8" s="588" t="n"/>
      <c r="AS8" s="588" t="n"/>
      <c r="AT8" s="588" t="n"/>
      <c r="AU8" s="588" t="n"/>
      <c r="AV8" s="588" t="n"/>
      <c r="AW8" s="588" t="n"/>
      <c r="AX8" s="588" t="n"/>
      <c r="AY8" s="588" t="n"/>
      <c r="AZ8" s="588" t="n"/>
      <c r="BA8" s="588" t="n"/>
      <c r="BB8" s="588" t="n"/>
      <c r="BC8" s="588" t="n"/>
      <c r="BD8" s="588" t="n"/>
      <c r="BE8" s="588" t="n"/>
      <c r="BF8" s="588" t="n"/>
      <c r="BG8" s="588" t="n"/>
      <c r="BH8" s="588" t="n"/>
      <c r="BI8" s="588" t="n"/>
      <c r="BJ8" s="588" t="n"/>
      <c r="BK8" s="588" t="n"/>
      <c r="BL8" s="588" t="n"/>
      <c r="BM8" s="588" t="n"/>
      <c r="BN8" s="588" t="n"/>
      <c r="BO8" s="588" t="n"/>
      <c r="BP8" s="588" t="n"/>
      <c r="BQ8" s="588" t="n"/>
      <c r="BR8" s="588" t="n"/>
      <c r="BS8" s="588" t="n"/>
      <c r="BT8" s="588" t="n"/>
      <c r="BU8" s="588" t="n"/>
      <c r="BV8" s="588" t="n"/>
      <c r="BW8" s="588" t="n"/>
      <c r="BX8" s="588" t="n"/>
      <c r="BY8" s="588" t="n"/>
      <c r="BZ8" s="588" t="n"/>
      <c r="CA8" s="588" t="n"/>
      <c r="CB8" s="588" t="n"/>
      <c r="CC8" s="588" t="n"/>
      <c r="CD8" s="588" t="n"/>
      <c r="CE8" s="588" t="n"/>
      <c r="CF8" s="588" t="n"/>
      <c r="CG8" s="588" t="n"/>
      <c r="CH8" s="588" t="n"/>
      <c r="CI8" s="588" t="n"/>
      <c r="CJ8" s="588" t="n"/>
      <c r="CK8" s="588" t="n"/>
      <c r="CL8" s="588" t="n"/>
      <c r="CM8" s="588" t="n"/>
      <c r="CN8" s="588" t="n"/>
      <c r="CO8" s="588" t="n"/>
      <c r="CP8" s="588" t="n"/>
      <c r="CQ8" s="588" t="n"/>
      <c r="CR8" s="588" t="n"/>
      <c r="CS8" s="588" t="n"/>
      <c r="CT8" s="588" t="n"/>
      <c r="CU8" s="588" t="n"/>
      <c r="CV8" s="588" t="n"/>
      <c r="CW8" s="588" t="n"/>
      <c r="CX8" s="588" t="n"/>
      <c r="CY8" s="588" t="n"/>
      <c r="CZ8" s="588" t="n"/>
      <c r="DA8" s="588" t="n"/>
      <c r="DB8" s="588" t="n"/>
      <c r="DC8" s="588" t="n"/>
      <c r="DD8" s="588" t="n"/>
      <c r="DE8" s="588" t="n"/>
      <c r="DF8" s="588" t="n"/>
      <c r="DG8" s="588" t="n"/>
      <c r="DH8" s="588" t="n"/>
      <c r="DI8" s="588" t="n"/>
      <c r="DJ8" s="588" t="n"/>
      <c r="DK8" s="588" t="n"/>
      <c r="DL8" s="588" t="n"/>
      <c r="DM8" s="588" t="n"/>
      <c r="DN8" s="588" t="n"/>
      <c r="DO8" s="588" t="n"/>
      <c r="DP8" s="588" t="n"/>
      <c r="DQ8" s="588" t="n"/>
      <c r="DR8" s="588" t="n"/>
      <c r="DS8" s="588" t="n"/>
      <c r="DT8" s="588" t="n"/>
      <c r="DU8" s="588" t="n"/>
    </row>
    <row r="9" hidden="1" ht="18.75" customHeight="1" s="450">
      <c r="A9" s="590" t="n"/>
      <c r="B9" s="618" t="inlineStr">
        <is>
          <t>V5</t>
        </is>
      </c>
      <c r="C9" s="619" t="n"/>
      <c r="D9" s="620" t="n"/>
      <c r="E9" s="621">
        <f>+C9*D9</f>
        <v/>
      </c>
      <c r="F9" s="622">
        <f>+C9*D9</f>
        <v/>
      </c>
      <c r="G9" s="624" t="n"/>
      <c r="H9" s="588" t="n"/>
      <c r="I9" s="618" t="inlineStr">
        <is>
          <t>S5</t>
        </is>
      </c>
      <c r="J9" s="619" t="n"/>
      <c r="K9" s="619" t="n"/>
      <c r="L9" s="621">
        <f>+J9*K9</f>
        <v/>
      </c>
      <c r="M9" s="621">
        <f>+J9*K9</f>
        <v/>
      </c>
      <c r="N9" s="615" t="n"/>
      <c r="O9" s="619">
        <f>+D9</f>
        <v/>
      </c>
      <c r="P9" s="619" t="n"/>
      <c r="Q9" s="621">
        <f>+O9*P9</f>
        <v/>
      </c>
      <c r="R9" s="616" t="n"/>
      <c r="S9" s="621">
        <f>+F9+M9</f>
        <v/>
      </c>
      <c r="T9" s="616" t="n"/>
      <c r="U9" s="619" t="n"/>
      <c r="V9" s="619" t="n"/>
      <c r="W9" s="621">
        <f>+U9*V9</f>
        <v/>
      </c>
      <c r="X9" s="624" t="n"/>
      <c r="Z9" s="588" t="n"/>
      <c r="AA9" s="588" t="n"/>
      <c r="AB9" s="588" t="n"/>
      <c r="AC9" s="588" t="n"/>
      <c r="AD9" s="588" t="n"/>
      <c r="AE9" s="588" t="n"/>
      <c r="AF9" s="588" t="n"/>
      <c r="AG9" s="588" t="n"/>
      <c r="AH9" s="588" t="n"/>
      <c r="AI9" s="588" t="n"/>
      <c r="AJ9" s="588" t="n"/>
      <c r="AK9" s="588" t="n"/>
      <c r="AL9" s="588" t="n"/>
      <c r="AM9" s="588" t="n"/>
      <c r="AN9" s="588" t="n"/>
      <c r="AO9" s="588" t="n"/>
      <c r="AP9" s="588" t="n"/>
      <c r="AQ9" s="588" t="n"/>
      <c r="AR9" s="588" t="n"/>
      <c r="AS9" s="588" t="n"/>
      <c r="AT9" s="588" t="n"/>
      <c r="AU9" s="588" t="n"/>
      <c r="AV9" s="588" t="n"/>
      <c r="AW9" s="588" t="n"/>
      <c r="AX9" s="588" t="n"/>
      <c r="AY9" s="588" t="n"/>
      <c r="AZ9" s="588" t="n"/>
      <c r="BA9" s="588" t="n"/>
      <c r="BB9" s="588" t="n"/>
      <c r="BC9" s="588" t="n"/>
      <c r="BD9" s="588" t="n"/>
      <c r="BE9" s="588" t="n"/>
      <c r="BF9" s="588" t="n"/>
      <c r="BG9" s="588" t="n"/>
      <c r="BH9" s="588" t="n"/>
      <c r="BI9" s="588" t="n"/>
      <c r="BJ9" s="588" t="n"/>
      <c r="BK9" s="588" t="n"/>
      <c r="BL9" s="588" t="n"/>
      <c r="BM9" s="588" t="n"/>
      <c r="BN9" s="588" t="n"/>
      <c r="BO9" s="588" t="n"/>
      <c r="BP9" s="588" t="n"/>
      <c r="BQ9" s="588" t="n"/>
      <c r="BR9" s="588" t="n"/>
      <c r="BS9" s="588" t="n"/>
      <c r="BT9" s="588" t="n"/>
      <c r="BU9" s="588" t="n"/>
      <c r="BV9" s="588" t="n"/>
      <c r="BW9" s="588" t="n"/>
      <c r="BX9" s="588" t="n"/>
      <c r="BY9" s="588" t="n"/>
      <c r="BZ9" s="588" t="n"/>
      <c r="CA9" s="588" t="n"/>
      <c r="CB9" s="588" t="n"/>
      <c r="CC9" s="588" t="n"/>
      <c r="CD9" s="588" t="n"/>
      <c r="CE9" s="588" t="n"/>
      <c r="CF9" s="588" t="n"/>
      <c r="CG9" s="588" t="n"/>
      <c r="CH9" s="588" t="n"/>
      <c r="CI9" s="588" t="n"/>
      <c r="CJ9" s="588" t="n"/>
      <c r="CK9" s="588" t="n"/>
      <c r="CL9" s="588" t="n"/>
      <c r="CM9" s="588" t="n"/>
      <c r="CN9" s="588" t="n"/>
      <c r="CO9" s="588" t="n"/>
      <c r="CP9" s="588" t="n"/>
      <c r="CQ9" s="588" t="n"/>
      <c r="CR9" s="588" t="n"/>
      <c r="CS9" s="588" t="n"/>
      <c r="CT9" s="588" t="n"/>
      <c r="CU9" s="588" t="n"/>
      <c r="CV9" s="588" t="n"/>
      <c r="CW9" s="588" t="n"/>
      <c r="CX9" s="588" t="n"/>
      <c r="CY9" s="588" t="n"/>
      <c r="CZ9" s="588" t="n"/>
      <c r="DA9" s="588" t="n"/>
      <c r="DB9" s="588" t="n"/>
      <c r="DC9" s="588" t="n"/>
      <c r="DD9" s="588" t="n"/>
      <c r="DE9" s="588" t="n"/>
      <c r="DF9" s="588" t="n"/>
      <c r="DG9" s="588" t="n"/>
      <c r="DH9" s="588" t="n"/>
      <c r="DI9" s="588" t="n"/>
      <c r="DJ9" s="588" t="n"/>
      <c r="DK9" s="588" t="n"/>
      <c r="DL9" s="588" t="n"/>
      <c r="DM9" s="588" t="n"/>
      <c r="DN9" s="588" t="n"/>
      <c r="DO9" s="588" t="n"/>
      <c r="DP9" s="588" t="n"/>
      <c r="DQ9" s="588" t="n"/>
      <c r="DR9" s="588" t="n"/>
      <c r="DS9" s="588" t="n"/>
      <c r="DT9" s="588" t="n"/>
      <c r="DU9" s="588" t="n"/>
    </row>
    <row r="10" hidden="1" ht="22.5" customHeight="1" s="450">
      <c r="A10" s="590" t="n"/>
      <c r="B10" s="618" t="inlineStr">
        <is>
          <t>V6</t>
        </is>
      </c>
      <c r="C10" s="619" t="n"/>
      <c r="D10" s="620" t="n"/>
      <c r="E10" s="621">
        <f>+C10*D10</f>
        <v/>
      </c>
      <c r="F10" s="622">
        <f>+C10*D10</f>
        <v/>
      </c>
      <c r="G10" s="624" t="n"/>
      <c r="H10" s="588" t="n"/>
      <c r="I10" s="618" t="inlineStr">
        <is>
          <t>S6</t>
        </is>
      </c>
      <c r="J10" s="619" t="n"/>
      <c r="K10" s="619" t="n"/>
      <c r="L10" s="621">
        <f>+J10*K10</f>
        <v/>
      </c>
      <c r="M10" s="621">
        <f>+J10*K10</f>
        <v/>
      </c>
      <c r="N10" s="615" t="n"/>
      <c r="O10" s="619">
        <f>+D10</f>
        <v/>
      </c>
      <c r="P10" s="619" t="n"/>
      <c r="Q10" s="621">
        <f>+O10*P10</f>
        <v/>
      </c>
      <c r="R10" s="616" t="n"/>
      <c r="S10" s="621">
        <f>+F10+M10</f>
        <v/>
      </c>
      <c r="T10" s="616" t="n"/>
      <c r="U10" s="619" t="n"/>
      <c r="V10" s="619" t="n"/>
      <c r="W10" s="621">
        <f>+U10*V10</f>
        <v/>
      </c>
      <c r="X10" s="624" t="n"/>
      <c r="Z10" s="588" t="n"/>
      <c r="AA10" s="588" t="n"/>
      <c r="AB10" s="588" t="n"/>
      <c r="AC10" s="588" t="n"/>
      <c r="AD10" s="588" t="n"/>
      <c r="AE10" s="588" t="n"/>
      <c r="AF10" s="588" t="n"/>
      <c r="AG10" s="588" t="n"/>
      <c r="AH10" s="588" t="n"/>
      <c r="AI10" s="588" t="n"/>
      <c r="AJ10" s="588" t="n"/>
      <c r="AK10" s="588" t="n"/>
      <c r="AL10" s="588" t="n"/>
      <c r="AM10" s="588" t="n"/>
      <c r="AN10" s="588" t="n"/>
      <c r="AO10" s="588" t="n"/>
      <c r="AP10" s="588" t="n"/>
      <c r="AQ10" s="588" t="n"/>
      <c r="AR10" s="588" t="n"/>
      <c r="AS10" s="588" t="n"/>
      <c r="AT10" s="588" t="n"/>
      <c r="AU10" s="588" t="n"/>
      <c r="AV10" s="588" t="n"/>
      <c r="AW10" s="588" t="n"/>
      <c r="AX10" s="588" t="n"/>
      <c r="AY10" s="588" t="n"/>
      <c r="AZ10" s="588" t="n"/>
      <c r="BA10" s="588" t="n"/>
      <c r="BB10" s="588" t="n"/>
      <c r="BC10" s="588" t="n"/>
      <c r="BD10" s="588" t="n"/>
      <c r="BE10" s="588" t="n"/>
      <c r="BF10" s="588" t="n"/>
      <c r="BG10" s="588" t="n"/>
      <c r="BH10" s="588" t="n"/>
      <c r="BI10" s="588" t="n"/>
      <c r="BJ10" s="588" t="n"/>
      <c r="BK10" s="588" t="n"/>
      <c r="BL10" s="588" t="n"/>
      <c r="BM10" s="588" t="n"/>
      <c r="BN10" s="588" t="n"/>
      <c r="BO10" s="588" t="n"/>
      <c r="BP10" s="588" t="n"/>
      <c r="BQ10" s="588" t="n"/>
      <c r="BR10" s="588" t="n"/>
      <c r="BS10" s="588" t="n"/>
      <c r="BT10" s="588" t="n"/>
      <c r="BU10" s="588" t="n"/>
      <c r="BV10" s="588" t="n"/>
      <c r="BW10" s="588" t="n"/>
      <c r="BX10" s="588" t="n"/>
      <c r="BY10" s="588" t="n"/>
      <c r="BZ10" s="588" t="n"/>
      <c r="CA10" s="588" t="n"/>
      <c r="CB10" s="588" t="n"/>
      <c r="CC10" s="588" t="n"/>
      <c r="CD10" s="588" t="n"/>
      <c r="CE10" s="588" t="n"/>
      <c r="CF10" s="588" t="n"/>
      <c r="CG10" s="588" t="n"/>
      <c r="CH10" s="588" t="n"/>
      <c r="CI10" s="588" t="n"/>
      <c r="CJ10" s="588" t="n"/>
      <c r="CK10" s="588" t="n"/>
      <c r="CL10" s="588" t="n"/>
      <c r="CM10" s="588" t="n"/>
      <c r="CN10" s="588" t="n"/>
      <c r="CO10" s="588" t="n"/>
      <c r="CP10" s="588" t="n"/>
      <c r="CQ10" s="588" t="n"/>
      <c r="CR10" s="588" t="n"/>
      <c r="CS10" s="588" t="n"/>
      <c r="CT10" s="588" t="n"/>
      <c r="CU10" s="588" t="n"/>
      <c r="CV10" s="588" t="n"/>
      <c r="CW10" s="588" t="n"/>
      <c r="CX10" s="588" t="n"/>
      <c r="CY10" s="588" t="n"/>
      <c r="CZ10" s="588" t="n"/>
      <c r="DA10" s="588" t="n"/>
      <c r="DB10" s="588" t="n"/>
      <c r="DC10" s="588" t="n"/>
      <c r="DD10" s="588" t="n"/>
      <c r="DE10" s="588" t="n"/>
      <c r="DF10" s="588" t="n"/>
      <c r="DG10" s="588" t="n"/>
      <c r="DH10" s="588" t="n"/>
      <c r="DI10" s="588" t="n"/>
      <c r="DJ10" s="588" t="n"/>
      <c r="DK10" s="588" t="n"/>
      <c r="DL10" s="588" t="n"/>
      <c r="DM10" s="588" t="n"/>
      <c r="DN10" s="588" t="n"/>
      <c r="DO10" s="588" t="n"/>
      <c r="DP10" s="588" t="n"/>
      <c r="DQ10" s="588" t="n"/>
      <c r="DR10" s="588" t="n"/>
      <c r="DS10" s="588" t="n"/>
      <c r="DT10" s="588" t="n"/>
      <c r="DU10" s="588" t="n"/>
    </row>
    <row r="11" hidden="1" ht="19.5" customHeight="1" s="450">
      <c r="A11" s="590" t="n"/>
      <c r="B11" s="618" t="inlineStr">
        <is>
          <t>V7</t>
        </is>
      </c>
      <c r="C11" s="619" t="n"/>
      <c r="D11" s="620" t="n"/>
      <c r="E11" s="621">
        <f>+C11*D11</f>
        <v/>
      </c>
      <c r="F11" s="622">
        <f>+C11*D11</f>
        <v/>
      </c>
      <c r="G11" s="624" t="n"/>
      <c r="H11" s="588" t="n"/>
      <c r="I11" s="618" t="inlineStr">
        <is>
          <t>S7</t>
        </is>
      </c>
      <c r="J11" s="619" t="n"/>
      <c r="K11" s="619" t="n"/>
      <c r="L11" s="621">
        <f>+J11*K11</f>
        <v/>
      </c>
      <c r="M11" s="621">
        <f>+J11*K11</f>
        <v/>
      </c>
      <c r="N11" s="615" t="n"/>
      <c r="O11" s="619">
        <f>+D11</f>
        <v/>
      </c>
      <c r="P11" s="619" t="n"/>
      <c r="Q11" s="621">
        <f>+O11*P11</f>
        <v/>
      </c>
      <c r="R11" s="616" t="n"/>
      <c r="S11" s="621">
        <f>+F11+M11</f>
        <v/>
      </c>
      <c r="T11" s="616" t="n"/>
      <c r="U11" s="619" t="n"/>
      <c r="V11" s="619" t="n"/>
      <c r="W11" s="621">
        <f>+U11*V11</f>
        <v/>
      </c>
      <c r="X11" s="624" t="n"/>
      <c r="Z11" s="588" t="n"/>
      <c r="AA11" s="588" t="n"/>
      <c r="AB11" s="588" t="n"/>
      <c r="AC11" s="588" t="n"/>
      <c r="AD11" s="588" t="n"/>
      <c r="AE11" s="588" t="n"/>
      <c r="AF11" s="588" t="n"/>
      <c r="AG11" s="588" t="n"/>
      <c r="AH11" s="588" t="n"/>
      <c r="AI11" s="588" t="n"/>
      <c r="AJ11" s="588" t="n"/>
      <c r="AK11" s="588" t="n"/>
      <c r="AL11" s="588" t="n"/>
      <c r="AM11" s="588" t="n"/>
      <c r="AN11" s="588" t="n"/>
      <c r="AO11" s="588" t="n"/>
      <c r="AP11" s="588" t="n"/>
      <c r="AQ11" s="588" t="n"/>
      <c r="AR11" s="588" t="n"/>
      <c r="AS11" s="588" t="n"/>
      <c r="AT11" s="588" t="n"/>
      <c r="AU11" s="588" t="n"/>
      <c r="AV11" s="588" t="n"/>
      <c r="AW11" s="588" t="n"/>
      <c r="AX11" s="588" t="n"/>
      <c r="AY11" s="588" t="n"/>
      <c r="AZ11" s="588" t="n"/>
      <c r="BA11" s="588" t="n"/>
      <c r="BB11" s="588" t="n"/>
      <c r="BC11" s="588" t="n"/>
      <c r="BD11" s="588" t="n"/>
      <c r="BE11" s="588" t="n"/>
      <c r="BF11" s="588" t="n"/>
      <c r="BG11" s="588" t="n"/>
      <c r="BH11" s="588" t="n"/>
      <c r="BI11" s="588" t="n"/>
      <c r="BJ11" s="588" t="n"/>
      <c r="BK11" s="588" t="n"/>
      <c r="BL11" s="588" t="n"/>
      <c r="BM11" s="588" t="n"/>
      <c r="BN11" s="588" t="n"/>
      <c r="BO11" s="588" t="n"/>
      <c r="BP11" s="588" t="n"/>
      <c r="BQ11" s="588" t="n"/>
      <c r="BR11" s="588" t="n"/>
      <c r="BS11" s="588" t="n"/>
      <c r="BT11" s="588" t="n"/>
      <c r="BU11" s="588" t="n"/>
      <c r="BV11" s="588" t="n"/>
      <c r="BW11" s="588" t="n"/>
      <c r="BX11" s="588" t="n"/>
      <c r="BY11" s="588" t="n"/>
      <c r="BZ11" s="588" t="n"/>
      <c r="CA11" s="588" t="n"/>
      <c r="CB11" s="588" t="n"/>
      <c r="CC11" s="588" t="n"/>
      <c r="CD11" s="588" t="n"/>
      <c r="CE11" s="588" t="n"/>
      <c r="CF11" s="588" t="n"/>
      <c r="CG11" s="588" t="n"/>
      <c r="CH11" s="588" t="n"/>
      <c r="CI11" s="588" t="n"/>
      <c r="CJ11" s="588" t="n"/>
      <c r="CK11" s="588" t="n"/>
      <c r="CL11" s="588" t="n"/>
      <c r="CM11" s="588" t="n"/>
      <c r="CN11" s="588" t="n"/>
      <c r="CO11" s="588" t="n"/>
      <c r="CP11" s="588" t="n"/>
      <c r="CQ11" s="588" t="n"/>
      <c r="CR11" s="588" t="n"/>
      <c r="CS11" s="588" t="n"/>
      <c r="CT11" s="588" t="n"/>
      <c r="CU11" s="588" t="n"/>
      <c r="CV11" s="588" t="n"/>
      <c r="CW11" s="588" t="n"/>
      <c r="CX11" s="588" t="n"/>
      <c r="CY11" s="588" t="n"/>
      <c r="CZ11" s="588" t="n"/>
      <c r="DA11" s="588" t="n"/>
      <c r="DB11" s="588" t="n"/>
      <c r="DC11" s="588" t="n"/>
      <c r="DD11" s="588" t="n"/>
      <c r="DE11" s="588" t="n"/>
      <c r="DF11" s="588" t="n"/>
      <c r="DG11" s="588" t="n"/>
      <c r="DH11" s="588" t="n"/>
      <c r="DI11" s="588" t="n"/>
      <c r="DJ11" s="588" t="n"/>
      <c r="DK11" s="588" t="n"/>
      <c r="DL11" s="588" t="n"/>
      <c r="DM11" s="588" t="n"/>
      <c r="DN11" s="588" t="n"/>
      <c r="DO11" s="588" t="n"/>
      <c r="DP11" s="588" t="n"/>
      <c r="DQ11" s="588" t="n"/>
      <c r="DR11" s="588" t="n"/>
      <c r="DS11" s="588" t="n"/>
      <c r="DT11" s="588" t="n"/>
      <c r="DU11" s="588" t="n"/>
    </row>
    <row r="12" hidden="1" ht="21.75" customHeight="1" s="450">
      <c r="A12" s="590" t="n"/>
      <c r="B12" s="618" t="inlineStr">
        <is>
          <t>V8</t>
        </is>
      </c>
      <c r="C12" s="619" t="n"/>
      <c r="D12" s="620" t="n"/>
      <c r="E12" s="621">
        <f>+C12*D12</f>
        <v/>
      </c>
      <c r="F12" s="622">
        <f>+C12*D12</f>
        <v/>
      </c>
      <c r="G12" s="624" t="n"/>
      <c r="H12" s="588" t="n"/>
      <c r="I12" s="618" t="inlineStr">
        <is>
          <t>S8</t>
        </is>
      </c>
      <c r="J12" s="619" t="n"/>
      <c r="K12" s="619" t="n"/>
      <c r="L12" s="621">
        <f>+J12*K12</f>
        <v/>
      </c>
      <c r="M12" s="621">
        <f>+J12*K12</f>
        <v/>
      </c>
      <c r="N12" s="615" t="n"/>
      <c r="O12" s="619">
        <f>+D12</f>
        <v/>
      </c>
      <c r="P12" s="619" t="n"/>
      <c r="Q12" s="621">
        <f>+O12*P12</f>
        <v/>
      </c>
      <c r="R12" s="616" t="n"/>
      <c r="S12" s="621">
        <f>+F12+M12</f>
        <v/>
      </c>
      <c r="T12" s="616" t="n"/>
      <c r="U12" s="619" t="n"/>
      <c r="V12" s="619" t="n"/>
      <c r="W12" s="621">
        <f>+U12*V12</f>
        <v/>
      </c>
      <c r="X12" s="624" t="n"/>
      <c r="Z12" s="588" t="n"/>
      <c r="AA12" s="588" t="n"/>
      <c r="AB12" s="588" t="n"/>
      <c r="AC12" s="588" t="n"/>
      <c r="AD12" s="588" t="n"/>
      <c r="AE12" s="588" t="n"/>
      <c r="AF12" s="588" t="n"/>
      <c r="AG12" s="588" t="n"/>
      <c r="AH12" s="588" t="n"/>
      <c r="AI12" s="588" t="n"/>
      <c r="AJ12" s="588" t="n"/>
      <c r="AK12" s="588" t="n"/>
      <c r="AL12" s="588" t="n"/>
      <c r="AM12" s="588" t="n"/>
      <c r="AN12" s="588" t="n"/>
      <c r="AO12" s="588" t="n"/>
      <c r="AP12" s="588" t="n"/>
      <c r="AQ12" s="588" t="n"/>
      <c r="AR12" s="588" t="n"/>
      <c r="AS12" s="588" t="n"/>
      <c r="AT12" s="588" t="n"/>
      <c r="AU12" s="588" t="n"/>
      <c r="AV12" s="588" t="n"/>
      <c r="AW12" s="588" t="n"/>
      <c r="AX12" s="588" t="n"/>
      <c r="AY12" s="588" t="n"/>
      <c r="AZ12" s="588" t="n"/>
      <c r="BA12" s="588" t="n"/>
      <c r="BB12" s="588" t="n"/>
      <c r="BC12" s="588" t="n"/>
      <c r="BD12" s="588" t="n"/>
      <c r="BE12" s="588" t="n"/>
      <c r="BF12" s="588" t="n"/>
      <c r="BG12" s="588" t="n"/>
      <c r="BH12" s="588" t="n"/>
      <c r="BI12" s="588" t="n"/>
      <c r="BJ12" s="588" t="n"/>
      <c r="BK12" s="588" t="n"/>
      <c r="BL12" s="588" t="n"/>
      <c r="BM12" s="588" t="n"/>
      <c r="BN12" s="588" t="n"/>
      <c r="BO12" s="588" t="n"/>
      <c r="BP12" s="588" t="n"/>
      <c r="BQ12" s="588" t="n"/>
      <c r="BR12" s="588" t="n"/>
      <c r="BS12" s="588" t="n"/>
      <c r="BT12" s="588" t="n"/>
      <c r="BU12" s="588" t="n"/>
      <c r="BV12" s="588" t="n"/>
      <c r="BW12" s="588" t="n"/>
      <c r="BX12" s="588" t="n"/>
      <c r="BY12" s="588" t="n"/>
      <c r="BZ12" s="588" t="n"/>
      <c r="CA12" s="588" t="n"/>
      <c r="CB12" s="588" t="n"/>
      <c r="CC12" s="588" t="n"/>
      <c r="CD12" s="588" t="n"/>
      <c r="CE12" s="588" t="n"/>
      <c r="CF12" s="588" t="n"/>
      <c r="CG12" s="588" t="n"/>
      <c r="CH12" s="588" t="n"/>
      <c r="CI12" s="588" t="n"/>
      <c r="CJ12" s="588" t="n"/>
      <c r="CK12" s="588" t="n"/>
      <c r="CL12" s="588" t="n"/>
      <c r="CM12" s="588" t="n"/>
      <c r="CN12" s="588" t="n"/>
      <c r="CO12" s="588" t="n"/>
      <c r="CP12" s="588" t="n"/>
      <c r="CQ12" s="588" t="n"/>
      <c r="CR12" s="588" t="n"/>
      <c r="CS12" s="588" t="n"/>
      <c r="CT12" s="588" t="n"/>
      <c r="CU12" s="588" t="n"/>
      <c r="CV12" s="588" t="n"/>
      <c r="CW12" s="588" t="n"/>
      <c r="CX12" s="588" t="n"/>
      <c r="CY12" s="588" t="n"/>
      <c r="CZ12" s="588" t="n"/>
      <c r="DA12" s="588" t="n"/>
      <c r="DB12" s="588" t="n"/>
      <c r="DC12" s="588" t="n"/>
      <c r="DD12" s="588" t="n"/>
      <c r="DE12" s="588" t="n"/>
      <c r="DF12" s="588" t="n"/>
      <c r="DG12" s="588" t="n"/>
      <c r="DH12" s="588" t="n"/>
      <c r="DI12" s="588" t="n"/>
      <c r="DJ12" s="588" t="n"/>
      <c r="DK12" s="588" t="n"/>
      <c r="DL12" s="588" t="n"/>
      <c r="DM12" s="588" t="n"/>
      <c r="DN12" s="588" t="n"/>
      <c r="DO12" s="588" t="n"/>
      <c r="DP12" s="588" t="n"/>
      <c r="DQ12" s="588" t="n"/>
      <c r="DR12" s="588" t="n"/>
      <c r="DS12" s="588" t="n"/>
      <c r="DT12" s="588" t="n"/>
      <c r="DU12" s="588" t="n"/>
    </row>
    <row r="13" hidden="1" ht="16.5" customHeight="1" s="450">
      <c r="A13" s="590" t="n"/>
      <c r="B13" s="618" t="inlineStr">
        <is>
          <t>V9</t>
        </is>
      </c>
      <c r="C13" s="619" t="n"/>
      <c r="D13" s="620" t="n"/>
      <c r="E13" s="621">
        <f>+C13*D13</f>
        <v/>
      </c>
      <c r="F13" s="622">
        <f>+C13*D13</f>
        <v/>
      </c>
      <c r="G13" s="624" t="n"/>
      <c r="H13" s="588" t="n"/>
      <c r="I13" s="618" t="inlineStr">
        <is>
          <t>S9</t>
        </is>
      </c>
      <c r="J13" s="619" t="n"/>
      <c r="K13" s="619" t="n"/>
      <c r="L13" s="621">
        <f>+J13*K13</f>
        <v/>
      </c>
      <c r="M13" s="621">
        <f>+J13*K13</f>
        <v/>
      </c>
      <c r="N13" s="615" t="n"/>
      <c r="O13" s="619">
        <f>+D13</f>
        <v/>
      </c>
      <c r="P13" s="619" t="n"/>
      <c r="Q13" s="621">
        <f>+O13*P13</f>
        <v/>
      </c>
      <c r="R13" s="616" t="n"/>
      <c r="S13" s="621">
        <f>+F13+M13</f>
        <v/>
      </c>
      <c r="T13" s="616" t="n"/>
      <c r="U13" s="619" t="n"/>
      <c r="V13" s="619" t="n"/>
      <c r="W13" s="621">
        <f>+U13*V13</f>
        <v/>
      </c>
      <c r="X13" s="624" t="n"/>
      <c r="Z13" s="588" t="n"/>
      <c r="AA13" s="588" t="n"/>
      <c r="AB13" s="588" t="n"/>
      <c r="AC13" s="588" t="n"/>
      <c r="AD13" s="588" t="n"/>
      <c r="AE13" s="588" t="n"/>
      <c r="AF13" s="588" t="n"/>
      <c r="AG13" s="588" t="n"/>
      <c r="AH13" s="588" t="n"/>
      <c r="AI13" s="588" t="n"/>
      <c r="AJ13" s="588" t="n"/>
      <c r="AK13" s="588" t="n"/>
      <c r="AL13" s="588" t="n"/>
      <c r="AM13" s="588" t="n"/>
      <c r="AN13" s="588" t="n"/>
      <c r="AO13" s="588" t="n"/>
      <c r="AP13" s="588" t="n"/>
      <c r="AQ13" s="588" t="n"/>
      <c r="AR13" s="588" t="n"/>
      <c r="AS13" s="588" t="n"/>
      <c r="AT13" s="588" t="n"/>
      <c r="AU13" s="588" t="n"/>
      <c r="AV13" s="588" t="n"/>
      <c r="AW13" s="588" t="n"/>
      <c r="AX13" s="588" t="n"/>
      <c r="AY13" s="588" t="n"/>
      <c r="AZ13" s="588" t="n"/>
      <c r="BA13" s="588" t="n"/>
      <c r="BB13" s="588" t="n"/>
      <c r="BC13" s="588" t="n"/>
      <c r="BD13" s="588" t="n"/>
      <c r="BE13" s="588" t="n"/>
      <c r="BF13" s="588" t="n"/>
      <c r="BG13" s="588" t="n"/>
      <c r="BH13" s="588" t="n"/>
      <c r="BI13" s="588" t="n"/>
      <c r="BJ13" s="588" t="n"/>
      <c r="BK13" s="588" t="n"/>
      <c r="BL13" s="588" t="n"/>
      <c r="BM13" s="588" t="n"/>
      <c r="BN13" s="588" t="n"/>
      <c r="BO13" s="588" t="n"/>
      <c r="BP13" s="588" t="n"/>
      <c r="BQ13" s="588" t="n"/>
      <c r="BR13" s="588" t="n"/>
      <c r="BS13" s="588" t="n"/>
      <c r="BT13" s="588" t="n"/>
      <c r="BU13" s="588" t="n"/>
      <c r="BV13" s="588" t="n"/>
      <c r="BW13" s="588" t="n"/>
      <c r="BX13" s="588" t="n"/>
      <c r="BY13" s="588" t="n"/>
      <c r="BZ13" s="588" t="n"/>
      <c r="CA13" s="588" t="n"/>
      <c r="CB13" s="588" t="n"/>
      <c r="CC13" s="588" t="n"/>
      <c r="CD13" s="588" t="n"/>
      <c r="CE13" s="588" t="n"/>
      <c r="CF13" s="588" t="n"/>
      <c r="CG13" s="588" t="n"/>
      <c r="CH13" s="588" t="n"/>
      <c r="CI13" s="588" t="n"/>
      <c r="CJ13" s="588" t="n"/>
      <c r="CK13" s="588" t="n"/>
      <c r="CL13" s="588" t="n"/>
      <c r="CM13" s="588" t="n"/>
      <c r="CN13" s="588" t="n"/>
      <c r="CO13" s="588" t="n"/>
      <c r="CP13" s="588" t="n"/>
      <c r="CQ13" s="588" t="n"/>
      <c r="CR13" s="588" t="n"/>
      <c r="CS13" s="588" t="n"/>
      <c r="CT13" s="588" t="n"/>
      <c r="CU13" s="588" t="n"/>
      <c r="CV13" s="588" t="n"/>
      <c r="CW13" s="588" t="n"/>
      <c r="CX13" s="588" t="n"/>
      <c r="CY13" s="588" t="n"/>
      <c r="CZ13" s="588" t="n"/>
      <c r="DA13" s="588" t="n"/>
      <c r="DB13" s="588" t="n"/>
      <c r="DC13" s="588" t="n"/>
      <c r="DD13" s="588" t="n"/>
      <c r="DE13" s="588" t="n"/>
      <c r="DF13" s="588" t="n"/>
      <c r="DG13" s="588" t="n"/>
      <c r="DH13" s="588" t="n"/>
      <c r="DI13" s="588" t="n"/>
      <c r="DJ13" s="588" t="n"/>
      <c r="DK13" s="588" t="n"/>
      <c r="DL13" s="588" t="n"/>
      <c r="DM13" s="588" t="n"/>
      <c r="DN13" s="588" t="n"/>
      <c r="DO13" s="588" t="n"/>
      <c r="DP13" s="588" t="n"/>
      <c r="DQ13" s="588" t="n"/>
      <c r="DR13" s="588" t="n"/>
      <c r="DS13" s="588" t="n"/>
      <c r="DT13" s="588" t="n"/>
      <c r="DU13" s="588" t="n"/>
    </row>
    <row r="14" hidden="1" ht="24.75" customHeight="1" s="450">
      <c r="A14" s="590" t="n"/>
      <c r="B14" s="618" t="inlineStr">
        <is>
          <t>V10</t>
        </is>
      </c>
      <c r="C14" s="619" t="n"/>
      <c r="D14" s="620" t="n"/>
      <c r="E14" s="621">
        <f>+C14*D14</f>
        <v/>
      </c>
      <c r="F14" s="622">
        <f>+C14*D14</f>
        <v/>
      </c>
      <c r="G14" s="624" t="n"/>
      <c r="H14" s="588" t="n"/>
      <c r="I14" s="618" t="inlineStr">
        <is>
          <t>S10</t>
        </is>
      </c>
      <c r="J14" s="619" t="n"/>
      <c r="K14" s="619" t="n"/>
      <c r="L14" s="621">
        <f>+J14*K14</f>
        <v/>
      </c>
      <c r="M14" s="621">
        <f>+J14*K14</f>
        <v/>
      </c>
      <c r="N14" s="615" t="n"/>
      <c r="O14" s="619">
        <f>+D14</f>
        <v/>
      </c>
      <c r="P14" s="619" t="n"/>
      <c r="Q14" s="621">
        <f>+O14*P14</f>
        <v/>
      </c>
      <c r="R14" s="616" t="n"/>
      <c r="S14" s="621">
        <f>+F14+M14</f>
        <v/>
      </c>
      <c r="T14" s="616" t="n"/>
      <c r="U14" s="619" t="n"/>
      <c r="V14" s="619" t="n"/>
      <c r="W14" s="621">
        <f>+U14*V14</f>
        <v/>
      </c>
      <c r="X14" s="624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  <c r="AO14" s="588" t="n"/>
      <c r="AP14" s="588" t="n"/>
      <c r="AQ14" s="588" t="n"/>
      <c r="AR14" s="588" t="n"/>
      <c r="AS14" s="588" t="n"/>
      <c r="AT14" s="588" t="n"/>
      <c r="AU14" s="588" t="n"/>
      <c r="AV14" s="588" t="n"/>
      <c r="AW14" s="588" t="n"/>
      <c r="AX14" s="588" t="n"/>
      <c r="AY14" s="588" t="n"/>
      <c r="AZ14" s="588" t="n"/>
      <c r="BA14" s="588" t="n"/>
      <c r="BB14" s="588" t="n"/>
      <c r="BC14" s="588" t="n"/>
      <c r="BD14" s="588" t="n"/>
      <c r="BE14" s="588" t="n"/>
      <c r="BF14" s="588" t="n"/>
      <c r="BG14" s="588" t="n"/>
      <c r="BH14" s="588" t="n"/>
      <c r="BI14" s="588" t="n"/>
      <c r="BJ14" s="588" t="n"/>
      <c r="BK14" s="588" t="n"/>
      <c r="BL14" s="588" t="n"/>
      <c r="BM14" s="588" t="n"/>
      <c r="BN14" s="588" t="n"/>
      <c r="BO14" s="588" t="n"/>
      <c r="BP14" s="588" t="n"/>
      <c r="BQ14" s="588" t="n"/>
      <c r="BR14" s="588" t="n"/>
      <c r="BS14" s="588" t="n"/>
      <c r="BT14" s="588" t="n"/>
      <c r="BU14" s="588" t="n"/>
      <c r="BV14" s="588" t="n"/>
      <c r="BW14" s="588" t="n"/>
      <c r="BX14" s="588" t="n"/>
      <c r="BY14" s="588" t="n"/>
      <c r="BZ14" s="588" t="n"/>
      <c r="CA14" s="588" t="n"/>
      <c r="CB14" s="588" t="n"/>
      <c r="CC14" s="588" t="n"/>
      <c r="CD14" s="588" t="n"/>
      <c r="CE14" s="588" t="n"/>
      <c r="CF14" s="588" t="n"/>
      <c r="CG14" s="588" t="n"/>
      <c r="CH14" s="588" t="n"/>
      <c r="CI14" s="588" t="n"/>
      <c r="CJ14" s="588" t="n"/>
      <c r="CK14" s="588" t="n"/>
      <c r="CL14" s="588" t="n"/>
      <c r="CM14" s="588" t="n"/>
      <c r="CN14" s="588" t="n"/>
      <c r="CO14" s="588" t="n"/>
      <c r="CP14" s="588" t="n"/>
      <c r="CQ14" s="588" t="n"/>
      <c r="CR14" s="588" t="n"/>
      <c r="CS14" s="588" t="n"/>
      <c r="CT14" s="588" t="n"/>
      <c r="CU14" s="588" t="n"/>
      <c r="CV14" s="588" t="n"/>
      <c r="CW14" s="588" t="n"/>
      <c r="CX14" s="588" t="n"/>
      <c r="CY14" s="588" t="n"/>
      <c r="CZ14" s="588" t="n"/>
      <c r="DA14" s="588" t="n"/>
      <c r="DB14" s="588" t="n"/>
      <c r="DC14" s="588" t="n"/>
      <c r="DD14" s="588" t="n"/>
      <c r="DE14" s="588" t="n"/>
      <c r="DF14" s="588" t="n"/>
      <c r="DG14" s="588" t="n"/>
      <c r="DH14" s="588" t="n"/>
      <c r="DI14" s="588" t="n"/>
      <c r="DJ14" s="588" t="n"/>
      <c r="DK14" s="588" t="n"/>
      <c r="DL14" s="588" t="n"/>
      <c r="DM14" s="588" t="n"/>
      <c r="DN14" s="588" t="n"/>
      <c r="DO14" s="588" t="n"/>
      <c r="DP14" s="588" t="n"/>
      <c r="DQ14" s="588" t="n"/>
      <c r="DR14" s="588" t="n"/>
      <c r="DS14" s="588" t="n"/>
      <c r="DT14" s="588" t="n"/>
      <c r="DU14" s="588" t="n"/>
    </row>
    <row r="15" hidden="1" ht="24" customHeight="1" s="450">
      <c r="A15" s="590" t="n"/>
      <c r="B15" s="618" t="inlineStr">
        <is>
          <t>V11</t>
        </is>
      </c>
      <c r="C15" s="619" t="n"/>
      <c r="D15" s="620" t="n"/>
      <c r="E15" s="621">
        <f>+C15*D15</f>
        <v/>
      </c>
      <c r="F15" s="622">
        <f>+C15*D15</f>
        <v/>
      </c>
      <c r="G15" s="624" t="n"/>
      <c r="H15" s="588" t="n"/>
      <c r="I15" s="618" t="inlineStr">
        <is>
          <t>S11</t>
        </is>
      </c>
      <c r="J15" s="619" t="n"/>
      <c r="K15" s="619" t="n"/>
      <c r="L15" s="621">
        <f>+J15*K15</f>
        <v/>
      </c>
      <c r="M15" s="621">
        <f>+J15*K15</f>
        <v/>
      </c>
      <c r="N15" s="615" t="n"/>
      <c r="O15" s="619">
        <f>+D15</f>
        <v/>
      </c>
      <c r="P15" s="619" t="n"/>
      <c r="Q15" s="621">
        <f>+O15*P15</f>
        <v/>
      </c>
      <c r="R15" s="616" t="n"/>
      <c r="S15" s="621">
        <f>+F15+M15</f>
        <v/>
      </c>
      <c r="T15" s="616" t="n"/>
      <c r="U15" s="619" t="n"/>
      <c r="V15" s="619" t="n"/>
      <c r="W15" s="621">
        <f>+U15*V15</f>
        <v/>
      </c>
      <c r="X15" s="624" t="n"/>
      <c r="Z15" s="588" t="n"/>
      <c r="AA15" s="588" t="n"/>
      <c r="AB15" s="588" t="n"/>
      <c r="AC15" s="588" t="n"/>
      <c r="AD15" s="588" t="n"/>
      <c r="AE15" s="588" t="n"/>
      <c r="AF15" s="588" t="n"/>
      <c r="AG15" s="588" t="n"/>
      <c r="AH15" s="588" t="n"/>
      <c r="AI15" s="588" t="n"/>
      <c r="AJ15" s="588" t="n"/>
      <c r="AK15" s="588" t="n"/>
      <c r="AL15" s="588" t="n"/>
      <c r="AM15" s="588" t="n"/>
      <c r="AN15" s="588" t="n"/>
      <c r="AO15" s="588" t="n"/>
      <c r="AP15" s="588" t="n"/>
      <c r="AQ15" s="588" t="n"/>
      <c r="AR15" s="588" t="n"/>
      <c r="AS15" s="588" t="n"/>
      <c r="AT15" s="588" t="n"/>
      <c r="AU15" s="588" t="n"/>
      <c r="AV15" s="588" t="n"/>
      <c r="AW15" s="588" t="n"/>
      <c r="AX15" s="588" t="n"/>
      <c r="AY15" s="588" t="n"/>
      <c r="AZ15" s="588" t="n"/>
      <c r="BA15" s="588" t="n"/>
      <c r="BB15" s="588" t="n"/>
      <c r="BC15" s="588" t="n"/>
      <c r="BD15" s="588" t="n"/>
      <c r="BE15" s="588" t="n"/>
      <c r="BF15" s="588" t="n"/>
      <c r="BG15" s="588" t="n"/>
      <c r="BH15" s="588" t="n"/>
      <c r="BI15" s="588" t="n"/>
      <c r="BJ15" s="588" t="n"/>
      <c r="BK15" s="588" t="n"/>
      <c r="BL15" s="588" t="n"/>
      <c r="BM15" s="588" t="n"/>
      <c r="BN15" s="588" t="n"/>
      <c r="BO15" s="588" t="n"/>
      <c r="BP15" s="588" t="n"/>
      <c r="BQ15" s="588" t="n"/>
      <c r="BR15" s="588" t="n"/>
      <c r="BS15" s="588" t="n"/>
      <c r="BT15" s="588" t="n"/>
      <c r="BU15" s="588" t="n"/>
      <c r="BV15" s="588" t="n"/>
      <c r="BW15" s="588" t="n"/>
      <c r="BX15" s="588" t="n"/>
      <c r="BY15" s="588" t="n"/>
      <c r="BZ15" s="588" t="n"/>
      <c r="CA15" s="588" t="n"/>
      <c r="CB15" s="588" t="n"/>
      <c r="CC15" s="588" t="n"/>
      <c r="CD15" s="588" t="n"/>
      <c r="CE15" s="588" t="n"/>
      <c r="CF15" s="588" t="n"/>
      <c r="CG15" s="588" t="n"/>
      <c r="CH15" s="588" t="n"/>
      <c r="CI15" s="588" t="n"/>
      <c r="CJ15" s="588" t="n"/>
      <c r="CK15" s="588" t="n"/>
      <c r="CL15" s="588" t="n"/>
      <c r="CM15" s="588" t="n"/>
      <c r="CN15" s="588" t="n"/>
      <c r="CO15" s="588" t="n"/>
      <c r="CP15" s="588" t="n"/>
      <c r="CQ15" s="588" t="n"/>
      <c r="CR15" s="588" t="n"/>
      <c r="CS15" s="588" t="n"/>
      <c r="CT15" s="588" t="n"/>
      <c r="CU15" s="588" t="n"/>
      <c r="CV15" s="588" t="n"/>
      <c r="CW15" s="588" t="n"/>
      <c r="CX15" s="588" t="n"/>
      <c r="CY15" s="588" t="n"/>
      <c r="CZ15" s="588" t="n"/>
      <c r="DA15" s="588" t="n"/>
      <c r="DB15" s="588" t="n"/>
      <c r="DC15" s="588" t="n"/>
      <c r="DD15" s="588" t="n"/>
      <c r="DE15" s="588" t="n"/>
      <c r="DF15" s="588" t="n"/>
      <c r="DG15" s="588" t="n"/>
      <c r="DH15" s="588" t="n"/>
      <c r="DI15" s="588" t="n"/>
      <c r="DJ15" s="588" t="n"/>
      <c r="DK15" s="588" t="n"/>
      <c r="DL15" s="588" t="n"/>
      <c r="DM15" s="588" t="n"/>
      <c r="DN15" s="588" t="n"/>
      <c r="DO15" s="588" t="n"/>
      <c r="DP15" s="588" t="n"/>
      <c r="DQ15" s="588" t="n"/>
      <c r="DR15" s="588" t="n"/>
      <c r="DS15" s="588" t="n"/>
      <c r="DT15" s="588" t="n"/>
      <c r="DU15" s="588" t="n"/>
    </row>
    <row r="16" hidden="1" ht="19.5" customHeight="1" s="450">
      <c r="A16" s="590" t="n"/>
      <c r="B16" s="618" t="inlineStr">
        <is>
          <t>V12</t>
        </is>
      </c>
      <c r="C16" s="619" t="n"/>
      <c r="D16" s="620" t="n"/>
      <c r="E16" s="621">
        <f>+C16*D16</f>
        <v/>
      </c>
      <c r="F16" s="622">
        <f>+C16*D16</f>
        <v/>
      </c>
      <c r="G16" s="624" t="n"/>
      <c r="H16" s="588" t="n"/>
      <c r="I16" s="618" t="inlineStr">
        <is>
          <t>S12</t>
        </is>
      </c>
      <c r="J16" s="619" t="n"/>
      <c r="K16" s="619" t="n"/>
      <c r="L16" s="621">
        <f>+J16*K16</f>
        <v/>
      </c>
      <c r="M16" s="621">
        <f>+J16*K16</f>
        <v/>
      </c>
      <c r="N16" s="615" t="n"/>
      <c r="O16" s="619">
        <f>+D16</f>
        <v/>
      </c>
      <c r="P16" s="619" t="n"/>
      <c r="Q16" s="621">
        <f>+O16*P16</f>
        <v/>
      </c>
      <c r="R16" s="616" t="n"/>
      <c r="S16" s="621">
        <f>+F16+M16</f>
        <v/>
      </c>
      <c r="T16" s="616" t="n"/>
      <c r="U16" s="619" t="n"/>
      <c r="V16" s="619" t="n"/>
      <c r="W16" s="621">
        <f>+U16*V16</f>
        <v/>
      </c>
      <c r="X16" s="624" t="n"/>
      <c r="Z16" s="588" t="n"/>
      <c r="AA16" s="588" t="n"/>
      <c r="AB16" s="588" t="n"/>
      <c r="AC16" s="588" t="n"/>
      <c r="AD16" s="588" t="n"/>
      <c r="AE16" s="588" t="n"/>
      <c r="AF16" s="588" t="n"/>
      <c r="AG16" s="588" t="n"/>
      <c r="AH16" s="588" t="n"/>
      <c r="AI16" s="588" t="n"/>
      <c r="AJ16" s="588" t="n"/>
      <c r="AK16" s="588" t="n"/>
      <c r="AL16" s="588" t="n"/>
      <c r="AM16" s="588" t="n"/>
      <c r="AN16" s="588" t="n"/>
      <c r="AO16" s="588" t="n"/>
      <c r="AP16" s="588" t="n"/>
      <c r="AQ16" s="588" t="n"/>
      <c r="AR16" s="588" t="n"/>
      <c r="AS16" s="588" t="n"/>
      <c r="AT16" s="588" t="n"/>
      <c r="AU16" s="588" t="n"/>
      <c r="AV16" s="588" t="n"/>
      <c r="AW16" s="588" t="n"/>
      <c r="AX16" s="588" t="n"/>
      <c r="AY16" s="588" t="n"/>
      <c r="AZ16" s="588" t="n"/>
      <c r="BA16" s="588" t="n"/>
      <c r="BB16" s="588" t="n"/>
      <c r="BC16" s="588" t="n"/>
      <c r="BD16" s="588" t="n"/>
      <c r="BE16" s="588" t="n"/>
      <c r="BF16" s="588" t="n"/>
      <c r="BG16" s="588" t="n"/>
      <c r="BH16" s="588" t="n"/>
      <c r="BI16" s="588" t="n"/>
      <c r="BJ16" s="588" t="n"/>
      <c r="BK16" s="588" t="n"/>
      <c r="BL16" s="588" t="n"/>
      <c r="BM16" s="588" t="n"/>
      <c r="BN16" s="588" t="n"/>
      <c r="BO16" s="588" t="n"/>
      <c r="BP16" s="588" t="n"/>
      <c r="BQ16" s="588" t="n"/>
      <c r="BR16" s="588" t="n"/>
      <c r="BS16" s="588" t="n"/>
      <c r="BT16" s="588" t="n"/>
      <c r="BU16" s="588" t="n"/>
      <c r="BV16" s="588" t="n"/>
      <c r="BW16" s="588" t="n"/>
      <c r="BX16" s="588" t="n"/>
      <c r="BY16" s="588" t="n"/>
      <c r="BZ16" s="588" t="n"/>
      <c r="CA16" s="588" t="n"/>
      <c r="CB16" s="588" t="n"/>
      <c r="CC16" s="588" t="n"/>
      <c r="CD16" s="588" t="n"/>
      <c r="CE16" s="588" t="n"/>
      <c r="CF16" s="588" t="n"/>
      <c r="CG16" s="588" t="n"/>
      <c r="CH16" s="588" t="n"/>
      <c r="CI16" s="588" t="n"/>
      <c r="CJ16" s="588" t="n"/>
      <c r="CK16" s="588" t="n"/>
      <c r="CL16" s="588" t="n"/>
      <c r="CM16" s="588" t="n"/>
      <c r="CN16" s="588" t="n"/>
      <c r="CO16" s="588" t="n"/>
      <c r="CP16" s="588" t="n"/>
      <c r="CQ16" s="588" t="n"/>
      <c r="CR16" s="588" t="n"/>
      <c r="CS16" s="588" t="n"/>
      <c r="CT16" s="588" t="n"/>
      <c r="CU16" s="588" t="n"/>
      <c r="CV16" s="588" t="n"/>
      <c r="CW16" s="588" t="n"/>
      <c r="CX16" s="588" t="n"/>
      <c r="CY16" s="588" t="n"/>
      <c r="CZ16" s="588" t="n"/>
      <c r="DA16" s="588" t="n"/>
      <c r="DB16" s="588" t="n"/>
      <c r="DC16" s="588" t="n"/>
      <c r="DD16" s="588" t="n"/>
      <c r="DE16" s="588" t="n"/>
      <c r="DF16" s="588" t="n"/>
      <c r="DG16" s="588" t="n"/>
      <c r="DH16" s="588" t="n"/>
      <c r="DI16" s="588" t="n"/>
      <c r="DJ16" s="588" t="n"/>
      <c r="DK16" s="588" t="n"/>
      <c r="DL16" s="588" t="n"/>
      <c r="DM16" s="588" t="n"/>
      <c r="DN16" s="588" t="n"/>
      <c r="DO16" s="588" t="n"/>
      <c r="DP16" s="588" t="n"/>
      <c r="DQ16" s="588" t="n"/>
      <c r="DR16" s="588" t="n"/>
      <c r="DS16" s="588" t="n"/>
      <c r="DT16" s="588" t="n"/>
      <c r="DU16" s="588" t="n"/>
    </row>
    <row r="17" hidden="1" ht="20.25" customHeight="1" s="450">
      <c r="A17" s="590" t="n"/>
      <c r="B17" s="618" t="inlineStr">
        <is>
          <t>V13</t>
        </is>
      </c>
      <c r="C17" s="619" t="n"/>
      <c r="D17" s="620" t="n"/>
      <c r="E17" s="621">
        <f>+C17*D17</f>
        <v/>
      </c>
      <c r="F17" s="622">
        <f>+C17*D17</f>
        <v/>
      </c>
      <c r="G17" s="624" t="n"/>
      <c r="H17" s="588" t="n"/>
      <c r="I17" s="618" t="inlineStr">
        <is>
          <t>S13</t>
        </is>
      </c>
      <c r="J17" s="619" t="n"/>
      <c r="K17" s="619" t="n"/>
      <c r="L17" s="621">
        <f>+J17*K17</f>
        <v/>
      </c>
      <c r="M17" s="621">
        <f>+J17*K17</f>
        <v/>
      </c>
      <c r="N17" s="615" t="n"/>
      <c r="O17" s="619">
        <f>+D17</f>
        <v/>
      </c>
      <c r="P17" s="619" t="n"/>
      <c r="Q17" s="621">
        <f>+O17*P17</f>
        <v/>
      </c>
      <c r="R17" s="616" t="n"/>
      <c r="S17" s="621">
        <f>+F17+M17</f>
        <v/>
      </c>
      <c r="T17" s="616" t="n"/>
      <c r="U17" s="619" t="n"/>
      <c r="V17" s="619" t="n"/>
      <c r="W17" s="621">
        <f>+U17*V17</f>
        <v/>
      </c>
      <c r="X17" s="624" t="n"/>
      <c r="Z17" s="588" t="n"/>
      <c r="AA17" s="588" t="n"/>
      <c r="AB17" s="588" t="n"/>
      <c r="AC17" s="588" t="n"/>
      <c r="AD17" s="588" t="n"/>
      <c r="AE17" s="588" t="n"/>
      <c r="AF17" s="588" t="n"/>
      <c r="AG17" s="588" t="n"/>
      <c r="AH17" s="588" t="n"/>
      <c r="AI17" s="588" t="n"/>
      <c r="AJ17" s="588" t="n"/>
      <c r="AK17" s="588" t="n"/>
      <c r="AL17" s="588" t="n"/>
      <c r="AM17" s="588" t="n"/>
      <c r="AN17" s="588" t="n"/>
      <c r="AO17" s="588" t="n"/>
      <c r="AP17" s="588" t="n"/>
      <c r="AQ17" s="588" t="n"/>
      <c r="AR17" s="588" t="n"/>
      <c r="AS17" s="588" t="n"/>
      <c r="AT17" s="588" t="n"/>
      <c r="AU17" s="588" t="n"/>
      <c r="AV17" s="588" t="n"/>
      <c r="AW17" s="588" t="n"/>
      <c r="AX17" s="588" t="n"/>
      <c r="AY17" s="588" t="n"/>
      <c r="AZ17" s="588" t="n"/>
      <c r="BA17" s="588" t="n"/>
      <c r="BB17" s="588" t="n"/>
      <c r="BC17" s="588" t="n"/>
      <c r="BD17" s="588" t="n"/>
      <c r="BE17" s="588" t="n"/>
      <c r="BF17" s="588" t="n"/>
      <c r="BG17" s="588" t="n"/>
      <c r="BH17" s="588" t="n"/>
      <c r="BI17" s="588" t="n"/>
      <c r="BJ17" s="588" t="n"/>
      <c r="BK17" s="588" t="n"/>
      <c r="BL17" s="588" t="n"/>
      <c r="BM17" s="588" t="n"/>
      <c r="BN17" s="588" t="n"/>
      <c r="BO17" s="588" t="n"/>
      <c r="BP17" s="588" t="n"/>
      <c r="BQ17" s="588" t="n"/>
      <c r="BR17" s="588" t="n"/>
      <c r="BS17" s="588" t="n"/>
      <c r="BT17" s="588" t="n"/>
      <c r="BU17" s="588" t="n"/>
      <c r="BV17" s="588" t="n"/>
      <c r="BW17" s="588" t="n"/>
      <c r="BX17" s="588" t="n"/>
      <c r="BY17" s="588" t="n"/>
      <c r="BZ17" s="588" t="n"/>
      <c r="CA17" s="588" t="n"/>
      <c r="CB17" s="588" t="n"/>
      <c r="CC17" s="588" t="n"/>
      <c r="CD17" s="588" t="n"/>
      <c r="CE17" s="588" t="n"/>
      <c r="CF17" s="588" t="n"/>
      <c r="CG17" s="588" t="n"/>
      <c r="CH17" s="588" t="n"/>
      <c r="CI17" s="588" t="n"/>
      <c r="CJ17" s="588" t="n"/>
      <c r="CK17" s="588" t="n"/>
      <c r="CL17" s="588" t="n"/>
      <c r="CM17" s="588" t="n"/>
      <c r="CN17" s="588" t="n"/>
      <c r="CO17" s="588" t="n"/>
      <c r="CP17" s="588" t="n"/>
      <c r="CQ17" s="588" t="n"/>
      <c r="CR17" s="588" t="n"/>
      <c r="CS17" s="588" t="n"/>
      <c r="CT17" s="588" t="n"/>
      <c r="CU17" s="588" t="n"/>
      <c r="CV17" s="588" t="n"/>
      <c r="CW17" s="588" t="n"/>
      <c r="CX17" s="588" t="n"/>
      <c r="CY17" s="588" t="n"/>
      <c r="CZ17" s="588" t="n"/>
      <c r="DA17" s="588" t="n"/>
      <c r="DB17" s="588" t="n"/>
      <c r="DC17" s="588" t="n"/>
      <c r="DD17" s="588" t="n"/>
      <c r="DE17" s="588" t="n"/>
      <c r="DF17" s="588" t="n"/>
      <c r="DG17" s="588" t="n"/>
      <c r="DH17" s="588" t="n"/>
      <c r="DI17" s="588" t="n"/>
      <c r="DJ17" s="588" t="n"/>
      <c r="DK17" s="588" t="n"/>
      <c r="DL17" s="588" t="n"/>
      <c r="DM17" s="588" t="n"/>
      <c r="DN17" s="588" t="n"/>
      <c r="DO17" s="588" t="n"/>
      <c r="DP17" s="588" t="n"/>
      <c r="DQ17" s="588" t="n"/>
      <c r="DR17" s="588" t="n"/>
      <c r="DS17" s="588" t="n"/>
      <c r="DT17" s="588" t="n"/>
      <c r="DU17" s="588" t="n"/>
    </row>
    <row r="18" hidden="1" ht="21.75" customHeight="1" s="450">
      <c r="A18" s="590" t="n"/>
      <c r="B18" s="618" t="inlineStr">
        <is>
          <t>V14</t>
        </is>
      </c>
      <c r="C18" s="619" t="n"/>
      <c r="D18" s="620" t="n"/>
      <c r="E18" s="621">
        <f>+C18*D18</f>
        <v/>
      </c>
      <c r="F18" s="622">
        <f>+C18*D18</f>
        <v/>
      </c>
      <c r="G18" s="624" t="n"/>
      <c r="H18" s="588" t="n"/>
      <c r="I18" s="618" t="inlineStr">
        <is>
          <t>S14</t>
        </is>
      </c>
      <c r="J18" s="619" t="n"/>
      <c r="K18" s="619" t="n"/>
      <c r="L18" s="621">
        <f>+J18*K18</f>
        <v/>
      </c>
      <c r="M18" s="621">
        <f>+J18*K18</f>
        <v/>
      </c>
      <c r="N18" s="615" t="n"/>
      <c r="O18" s="619">
        <f>+D18</f>
        <v/>
      </c>
      <c r="P18" s="619" t="n"/>
      <c r="Q18" s="621">
        <f>+O18*P18</f>
        <v/>
      </c>
      <c r="R18" s="616" t="n"/>
      <c r="S18" s="621">
        <f>+F18+M18</f>
        <v/>
      </c>
      <c r="T18" s="616" t="n"/>
      <c r="U18" s="619" t="n"/>
      <c r="V18" s="619" t="n"/>
      <c r="W18" s="621">
        <f>+U18*V18</f>
        <v/>
      </c>
      <c r="X18" s="624" t="n"/>
      <c r="Z18" s="588" t="n"/>
      <c r="AA18" s="588" t="n"/>
      <c r="AB18" s="588" t="n"/>
      <c r="AC18" s="588" t="n"/>
      <c r="AD18" s="588" t="n"/>
      <c r="AE18" s="588" t="n"/>
      <c r="AF18" s="588" t="n"/>
      <c r="AG18" s="588" t="n"/>
      <c r="AH18" s="588" t="n"/>
      <c r="AI18" s="588" t="n"/>
      <c r="AJ18" s="588" t="n"/>
      <c r="AK18" s="588" t="n"/>
      <c r="AL18" s="588" t="n"/>
      <c r="AM18" s="588" t="n"/>
      <c r="AN18" s="588" t="n"/>
      <c r="AO18" s="588" t="n"/>
      <c r="AP18" s="588" t="n"/>
      <c r="AQ18" s="588" t="n"/>
      <c r="AR18" s="588" t="n"/>
      <c r="AS18" s="588" t="n"/>
      <c r="AT18" s="588" t="n"/>
      <c r="AU18" s="588" t="n"/>
      <c r="AV18" s="588" t="n"/>
      <c r="AW18" s="588" t="n"/>
      <c r="AX18" s="588" t="n"/>
      <c r="AY18" s="588" t="n"/>
      <c r="AZ18" s="588" t="n"/>
      <c r="BA18" s="588" t="n"/>
      <c r="BB18" s="588" t="n"/>
      <c r="BC18" s="588" t="n"/>
      <c r="BD18" s="588" t="n"/>
      <c r="BE18" s="588" t="n"/>
      <c r="BF18" s="588" t="n"/>
      <c r="BG18" s="588" t="n"/>
      <c r="BH18" s="588" t="n"/>
      <c r="BI18" s="588" t="n"/>
      <c r="BJ18" s="588" t="n"/>
      <c r="BK18" s="588" t="n"/>
      <c r="BL18" s="588" t="n"/>
      <c r="BM18" s="588" t="n"/>
      <c r="BN18" s="588" t="n"/>
      <c r="BO18" s="588" t="n"/>
      <c r="BP18" s="588" t="n"/>
      <c r="BQ18" s="588" t="n"/>
      <c r="BR18" s="588" t="n"/>
      <c r="BS18" s="588" t="n"/>
      <c r="BT18" s="588" t="n"/>
      <c r="BU18" s="588" t="n"/>
      <c r="BV18" s="588" t="n"/>
      <c r="BW18" s="588" t="n"/>
      <c r="BX18" s="588" t="n"/>
      <c r="BY18" s="588" t="n"/>
      <c r="BZ18" s="588" t="n"/>
      <c r="CA18" s="588" t="n"/>
      <c r="CB18" s="588" t="n"/>
      <c r="CC18" s="588" t="n"/>
      <c r="CD18" s="588" t="n"/>
      <c r="CE18" s="588" t="n"/>
      <c r="CF18" s="588" t="n"/>
      <c r="CG18" s="588" t="n"/>
      <c r="CH18" s="588" t="n"/>
      <c r="CI18" s="588" t="n"/>
      <c r="CJ18" s="588" t="n"/>
      <c r="CK18" s="588" t="n"/>
      <c r="CL18" s="588" t="n"/>
      <c r="CM18" s="588" t="n"/>
      <c r="CN18" s="588" t="n"/>
      <c r="CO18" s="588" t="n"/>
      <c r="CP18" s="588" t="n"/>
      <c r="CQ18" s="588" t="n"/>
      <c r="CR18" s="588" t="n"/>
      <c r="CS18" s="588" t="n"/>
      <c r="CT18" s="588" t="n"/>
      <c r="CU18" s="588" t="n"/>
      <c r="CV18" s="588" t="n"/>
      <c r="CW18" s="588" t="n"/>
      <c r="CX18" s="588" t="n"/>
      <c r="CY18" s="588" t="n"/>
      <c r="CZ18" s="588" t="n"/>
      <c r="DA18" s="588" t="n"/>
      <c r="DB18" s="588" t="n"/>
      <c r="DC18" s="588" t="n"/>
      <c r="DD18" s="588" t="n"/>
      <c r="DE18" s="588" t="n"/>
      <c r="DF18" s="588" t="n"/>
      <c r="DG18" s="588" t="n"/>
      <c r="DH18" s="588" t="n"/>
      <c r="DI18" s="588" t="n"/>
      <c r="DJ18" s="588" t="n"/>
      <c r="DK18" s="588" t="n"/>
      <c r="DL18" s="588" t="n"/>
      <c r="DM18" s="588" t="n"/>
      <c r="DN18" s="588" t="n"/>
      <c r="DO18" s="588" t="n"/>
      <c r="DP18" s="588" t="n"/>
      <c r="DQ18" s="588" t="n"/>
      <c r="DR18" s="588" t="n"/>
      <c r="DS18" s="588" t="n"/>
      <c r="DT18" s="588" t="n"/>
      <c r="DU18" s="588" t="n"/>
    </row>
    <row r="19" hidden="1" ht="30.75" customHeight="1" s="450">
      <c r="A19" s="590" t="n"/>
      <c r="B19" s="618" t="inlineStr">
        <is>
          <t>V15</t>
        </is>
      </c>
      <c r="C19" s="619" t="n"/>
      <c r="D19" s="620" t="n"/>
      <c r="E19" s="621">
        <f>+C19*D19</f>
        <v/>
      </c>
      <c r="F19" s="622">
        <f>+C19*D19</f>
        <v/>
      </c>
      <c r="G19" s="624" t="n"/>
      <c r="H19" s="588" t="n"/>
      <c r="I19" s="618" t="inlineStr">
        <is>
          <t>S15</t>
        </is>
      </c>
      <c r="J19" s="619" t="n"/>
      <c r="K19" s="619" t="n"/>
      <c r="L19" s="621">
        <f>+J19*K19</f>
        <v/>
      </c>
      <c r="M19" s="621">
        <f>+J19*K19</f>
        <v/>
      </c>
      <c r="N19" s="615" t="n"/>
      <c r="O19" s="619">
        <f>+D19</f>
        <v/>
      </c>
      <c r="P19" s="619" t="n"/>
      <c r="Q19" s="621">
        <f>+O19*P19</f>
        <v/>
      </c>
      <c r="R19" s="616" t="n"/>
      <c r="S19" s="621">
        <f>+F19+M19</f>
        <v/>
      </c>
      <c r="T19" s="616" t="n"/>
      <c r="U19" s="619" t="n"/>
      <c r="V19" s="619" t="n"/>
      <c r="W19" s="621">
        <f>+U19*V19</f>
        <v/>
      </c>
      <c r="X19" s="624" t="n"/>
      <c r="Z19" s="588" t="n"/>
      <c r="AA19" s="588" t="n"/>
      <c r="AB19" s="588" t="n"/>
      <c r="AC19" s="588" t="n"/>
      <c r="AD19" s="588" t="n"/>
      <c r="AE19" s="588" t="n"/>
      <c r="AF19" s="588" t="n"/>
      <c r="AG19" s="588" t="n"/>
      <c r="AH19" s="588" t="n"/>
      <c r="AI19" s="588" t="n"/>
      <c r="AJ19" s="588" t="n"/>
      <c r="AK19" s="588" t="n"/>
      <c r="AL19" s="588" t="n"/>
      <c r="AM19" s="588" t="n"/>
      <c r="AN19" s="588" t="n"/>
      <c r="AO19" s="588" t="n"/>
      <c r="AP19" s="588" t="n"/>
      <c r="AQ19" s="588" t="n"/>
      <c r="AR19" s="588" t="n"/>
      <c r="AS19" s="588" t="n"/>
      <c r="AT19" s="588" t="n"/>
      <c r="AU19" s="588" t="n"/>
      <c r="AV19" s="588" t="n"/>
      <c r="AW19" s="588" t="n"/>
      <c r="AX19" s="588" t="n"/>
      <c r="AY19" s="588" t="n"/>
      <c r="AZ19" s="588" t="n"/>
      <c r="BA19" s="588" t="n"/>
      <c r="BB19" s="588" t="n"/>
      <c r="BC19" s="588" t="n"/>
      <c r="BD19" s="588" t="n"/>
      <c r="BE19" s="588" t="n"/>
      <c r="BF19" s="588" t="n"/>
      <c r="BG19" s="588" t="n"/>
      <c r="BH19" s="588" t="n"/>
      <c r="BI19" s="588" t="n"/>
      <c r="BJ19" s="588" t="n"/>
      <c r="BK19" s="588" t="n"/>
      <c r="BL19" s="588" t="n"/>
      <c r="BM19" s="588" t="n"/>
      <c r="BN19" s="588" t="n"/>
      <c r="BO19" s="588" t="n"/>
      <c r="BP19" s="588" t="n"/>
      <c r="BQ19" s="588" t="n"/>
      <c r="BR19" s="588" t="n"/>
      <c r="BS19" s="588" t="n"/>
      <c r="BT19" s="588" t="n"/>
      <c r="BU19" s="588" t="n"/>
      <c r="BV19" s="588" t="n"/>
      <c r="BW19" s="588" t="n"/>
      <c r="BX19" s="588" t="n"/>
      <c r="BY19" s="588" t="n"/>
      <c r="BZ19" s="588" t="n"/>
      <c r="CA19" s="588" t="n"/>
      <c r="CB19" s="588" t="n"/>
      <c r="CC19" s="588" t="n"/>
      <c r="CD19" s="588" t="n"/>
      <c r="CE19" s="588" t="n"/>
      <c r="CF19" s="588" t="n"/>
      <c r="CG19" s="588" t="n"/>
      <c r="CH19" s="588" t="n"/>
      <c r="CI19" s="588" t="n"/>
      <c r="CJ19" s="588" t="n"/>
      <c r="CK19" s="588" t="n"/>
      <c r="CL19" s="588" t="n"/>
      <c r="CM19" s="588" t="n"/>
      <c r="CN19" s="588" t="n"/>
      <c r="CO19" s="588" t="n"/>
      <c r="CP19" s="588" t="n"/>
      <c r="CQ19" s="588" t="n"/>
      <c r="CR19" s="588" t="n"/>
      <c r="CS19" s="588" t="n"/>
      <c r="CT19" s="588" t="n"/>
      <c r="CU19" s="588" t="n"/>
      <c r="CV19" s="588" t="n"/>
      <c r="CW19" s="588" t="n"/>
      <c r="CX19" s="588" t="n"/>
      <c r="CY19" s="588" t="n"/>
      <c r="CZ19" s="588" t="n"/>
      <c r="DA19" s="588" t="n"/>
      <c r="DB19" s="588" t="n"/>
      <c r="DC19" s="588" t="n"/>
      <c r="DD19" s="588" t="n"/>
      <c r="DE19" s="588" t="n"/>
      <c r="DF19" s="588" t="n"/>
      <c r="DG19" s="588" t="n"/>
      <c r="DH19" s="588" t="n"/>
      <c r="DI19" s="588" t="n"/>
      <c r="DJ19" s="588" t="n"/>
      <c r="DK19" s="588" t="n"/>
      <c r="DL19" s="588" t="n"/>
      <c r="DM19" s="588" t="n"/>
      <c r="DN19" s="588" t="n"/>
      <c r="DO19" s="588" t="n"/>
      <c r="DP19" s="588" t="n"/>
      <c r="DQ19" s="588" t="n"/>
      <c r="DR19" s="588" t="n"/>
      <c r="DS19" s="588" t="n"/>
      <c r="DT19" s="588" t="n"/>
      <c r="DU19" s="588" t="n"/>
    </row>
    <row r="20" hidden="1" ht="36.75" customHeight="1" s="450">
      <c r="A20" s="590" t="n"/>
      <c r="B20" s="618" t="inlineStr">
        <is>
          <t>V16</t>
        </is>
      </c>
      <c r="C20" s="619" t="n"/>
      <c r="D20" s="620" t="n"/>
      <c r="E20" s="621">
        <f>+C20*D20</f>
        <v/>
      </c>
      <c r="F20" s="622">
        <f>+C20*D20</f>
        <v/>
      </c>
      <c r="G20" s="624" t="n"/>
      <c r="H20" s="588" t="n"/>
      <c r="I20" s="618" t="inlineStr">
        <is>
          <t>S16</t>
        </is>
      </c>
      <c r="J20" s="619" t="n"/>
      <c r="K20" s="619" t="n"/>
      <c r="L20" s="621">
        <f>+J20*K20</f>
        <v/>
      </c>
      <c r="M20" s="621">
        <f>+J20*K20</f>
        <v/>
      </c>
      <c r="N20" s="615" t="n"/>
      <c r="O20" s="619">
        <f>+D20</f>
        <v/>
      </c>
      <c r="P20" s="619" t="n"/>
      <c r="Q20" s="621">
        <f>+O20*P20</f>
        <v/>
      </c>
      <c r="R20" s="616" t="n"/>
      <c r="S20" s="621">
        <f>+F20+M20</f>
        <v/>
      </c>
      <c r="T20" s="616" t="n"/>
      <c r="U20" s="619" t="n"/>
      <c r="V20" s="619" t="n"/>
      <c r="W20" s="621">
        <f>+U20*V20</f>
        <v/>
      </c>
      <c r="X20" s="624" t="n"/>
      <c r="Z20" s="588" t="n"/>
      <c r="AA20" s="588" t="n"/>
      <c r="AB20" s="588" t="n"/>
      <c r="AC20" s="588" t="n"/>
      <c r="AD20" s="588" t="n"/>
      <c r="AE20" s="588" t="n"/>
      <c r="AF20" s="588" t="n"/>
      <c r="AG20" s="588" t="n"/>
      <c r="AH20" s="588" t="n"/>
      <c r="AI20" s="588" t="n"/>
      <c r="AJ20" s="588" t="n"/>
      <c r="AK20" s="588" t="n"/>
      <c r="AL20" s="588" t="n"/>
      <c r="AM20" s="588" t="n"/>
      <c r="AN20" s="588" t="n"/>
      <c r="AO20" s="588" t="n"/>
      <c r="AP20" s="588" t="n"/>
      <c r="AQ20" s="588" t="n"/>
      <c r="AR20" s="588" t="n"/>
      <c r="AS20" s="588" t="n"/>
      <c r="AT20" s="588" t="n"/>
      <c r="AU20" s="588" t="n"/>
      <c r="AV20" s="588" t="n"/>
      <c r="AW20" s="588" t="n"/>
      <c r="AX20" s="588" t="n"/>
      <c r="AY20" s="588" t="n"/>
      <c r="AZ20" s="588" t="n"/>
      <c r="BA20" s="588" t="n"/>
      <c r="BB20" s="588" t="n"/>
      <c r="BC20" s="588" t="n"/>
      <c r="BD20" s="588" t="n"/>
      <c r="BE20" s="588" t="n"/>
      <c r="BF20" s="588" t="n"/>
      <c r="BG20" s="588" t="n"/>
      <c r="BH20" s="588" t="n"/>
      <c r="BI20" s="588" t="n"/>
      <c r="BJ20" s="588" t="n"/>
      <c r="BK20" s="588" t="n"/>
      <c r="BL20" s="588" t="n"/>
      <c r="BM20" s="588" t="n"/>
      <c r="BN20" s="588" t="n"/>
      <c r="BO20" s="588" t="n"/>
      <c r="BP20" s="588" t="n"/>
      <c r="BQ20" s="588" t="n"/>
      <c r="BR20" s="588" t="n"/>
      <c r="BS20" s="588" t="n"/>
      <c r="BT20" s="588" t="n"/>
      <c r="BU20" s="588" t="n"/>
      <c r="BV20" s="588" t="n"/>
      <c r="BW20" s="588" t="n"/>
      <c r="BX20" s="588" t="n"/>
      <c r="BY20" s="588" t="n"/>
      <c r="BZ20" s="588" t="n"/>
      <c r="CA20" s="588" t="n"/>
      <c r="CB20" s="588" t="n"/>
      <c r="CC20" s="588" t="n"/>
      <c r="CD20" s="588" t="n"/>
      <c r="CE20" s="588" t="n"/>
      <c r="CF20" s="588" t="n"/>
      <c r="CG20" s="588" t="n"/>
      <c r="CH20" s="588" t="n"/>
      <c r="CI20" s="588" t="n"/>
      <c r="CJ20" s="588" t="n"/>
      <c r="CK20" s="588" t="n"/>
      <c r="CL20" s="588" t="n"/>
      <c r="CM20" s="588" t="n"/>
      <c r="CN20" s="588" t="n"/>
      <c r="CO20" s="588" t="n"/>
      <c r="CP20" s="588" t="n"/>
      <c r="CQ20" s="588" t="n"/>
      <c r="CR20" s="588" t="n"/>
      <c r="CS20" s="588" t="n"/>
      <c r="CT20" s="588" t="n"/>
      <c r="CU20" s="588" t="n"/>
      <c r="CV20" s="588" t="n"/>
      <c r="CW20" s="588" t="n"/>
      <c r="CX20" s="588" t="n"/>
      <c r="CY20" s="588" t="n"/>
      <c r="CZ20" s="588" t="n"/>
      <c r="DA20" s="588" t="n"/>
      <c r="DB20" s="588" t="n"/>
      <c r="DC20" s="588" t="n"/>
      <c r="DD20" s="588" t="n"/>
      <c r="DE20" s="588" t="n"/>
      <c r="DF20" s="588" t="n"/>
      <c r="DG20" s="588" t="n"/>
      <c r="DH20" s="588" t="n"/>
      <c r="DI20" s="588" t="n"/>
      <c r="DJ20" s="588" t="n"/>
      <c r="DK20" s="588" t="n"/>
      <c r="DL20" s="588" t="n"/>
      <c r="DM20" s="588" t="n"/>
      <c r="DN20" s="588" t="n"/>
      <c r="DO20" s="588" t="n"/>
      <c r="DP20" s="588" t="n"/>
      <c r="DQ20" s="588" t="n"/>
      <c r="DR20" s="588" t="n"/>
      <c r="DS20" s="588" t="n"/>
      <c r="DT20" s="588" t="n"/>
      <c r="DU20" s="588" t="n"/>
    </row>
    <row r="21" hidden="1" ht="16.5" customHeight="1" s="450">
      <c r="A21" s="590" t="n"/>
      <c r="B21" s="618" t="inlineStr">
        <is>
          <t>V17</t>
        </is>
      </c>
      <c r="C21" s="619" t="n"/>
      <c r="D21" s="620" t="n"/>
      <c r="E21" s="621">
        <f>+C21*D21</f>
        <v/>
      </c>
      <c r="F21" s="622">
        <f>+C21*D21</f>
        <v/>
      </c>
      <c r="G21" s="624" t="n"/>
      <c r="H21" s="588" t="n"/>
      <c r="I21" s="618" t="inlineStr">
        <is>
          <t>S17</t>
        </is>
      </c>
      <c r="J21" s="619" t="n"/>
      <c r="K21" s="619" t="n"/>
      <c r="L21" s="621">
        <f>+J21*K21</f>
        <v/>
      </c>
      <c r="M21" s="621">
        <f>+J21*K21</f>
        <v/>
      </c>
      <c r="N21" s="615" t="n"/>
      <c r="O21" s="619">
        <f>+D21</f>
        <v/>
      </c>
      <c r="P21" s="619" t="n"/>
      <c r="Q21" s="621">
        <f>+O21*P21</f>
        <v/>
      </c>
      <c r="R21" s="616" t="n"/>
      <c r="S21" s="621">
        <f>+F21+M21</f>
        <v/>
      </c>
      <c r="T21" s="616" t="n"/>
      <c r="U21" s="619" t="n"/>
      <c r="V21" s="619" t="n"/>
      <c r="W21" s="621">
        <f>+U21*V21</f>
        <v/>
      </c>
      <c r="X21" s="624" t="n"/>
      <c r="Z21" s="588" t="n"/>
      <c r="AA21" s="588" t="n"/>
      <c r="AB21" s="588" t="n"/>
      <c r="AC21" s="588" t="n"/>
      <c r="AD21" s="588" t="n"/>
      <c r="AE21" s="588" t="n"/>
      <c r="AF21" s="588" t="n"/>
      <c r="AG21" s="588" t="n"/>
      <c r="AH21" s="588" t="n"/>
      <c r="AI21" s="588" t="n"/>
      <c r="AJ21" s="588" t="n"/>
      <c r="AK21" s="588" t="n"/>
      <c r="AL21" s="588" t="n"/>
      <c r="AM21" s="588" t="n"/>
      <c r="AN21" s="588" t="n"/>
      <c r="AO21" s="588" t="n"/>
      <c r="AP21" s="588" t="n"/>
      <c r="AQ21" s="588" t="n"/>
      <c r="AR21" s="588" t="n"/>
      <c r="AS21" s="588" t="n"/>
      <c r="AT21" s="588" t="n"/>
      <c r="AU21" s="588" t="n"/>
      <c r="AV21" s="588" t="n"/>
      <c r="AW21" s="588" t="n"/>
      <c r="AX21" s="588" t="n"/>
      <c r="AY21" s="588" t="n"/>
      <c r="AZ21" s="588" t="n"/>
      <c r="BA21" s="588" t="n"/>
      <c r="BB21" s="588" t="n"/>
      <c r="BC21" s="588" t="n"/>
      <c r="BD21" s="588" t="n"/>
      <c r="BE21" s="588" t="n"/>
      <c r="BF21" s="588" t="n"/>
      <c r="BG21" s="588" t="n"/>
      <c r="BH21" s="588" t="n"/>
      <c r="BI21" s="588" t="n"/>
      <c r="BJ21" s="588" t="n"/>
      <c r="BK21" s="588" t="n"/>
      <c r="BL21" s="588" t="n"/>
      <c r="BM21" s="588" t="n"/>
      <c r="BN21" s="588" t="n"/>
      <c r="BO21" s="588" t="n"/>
      <c r="BP21" s="588" t="n"/>
      <c r="BQ21" s="588" t="n"/>
      <c r="BR21" s="588" t="n"/>
      <c r="BS21" s="588" t="n"/>
      <c r="BT21" s="588" t="n"/>
      <c r="BU21" s="588" t="n"/>
      <c r="BV21" s="588" t="n"/>
      <c r="BW21" s="588" t="n"/>
      <c r="BX21" s="588" t="n"/>
      <c r="BY21" s="588" t="n"/>
      <c r="BZ21" s="588" t="n"/>
      <c r="CA21" s="588" t="n"/>
      <c r="CB21" s="588" t="n"/>
      <c r="CC21" s="588" t="n"/>
      <c r="CD21" s="588" t="n"/>
      <c r="CE21" s="588" t="n"/>
      <c r="CF21" s="588" t="n"/>
      <c r="CG21" s="588" t="n"/>
      <c r="CH21" s="588" t="n"/>
      <c r="CI21" s="588" t="n"/>
      <c r="CJ21" s="588" t="n"/>
      <c r="CK21" s="588" t="n"/>
      <c r="CL21" s="588" t="n"/>
      <c r="CM21" s="588" t="n"/>
      <c r="CN21" s="588" t="n"/>
      <c r="CO21" s="588" t="n"/>
      <c r="CP21" s="588" t="n"/>
      <c r="CQ21" s="588" t="n"/>
      <c r="CR21" s="588" t="n"/>
      <c r="CS21" s="588" t="n"/>
      <c r="CT21" s="588" t="n"/>
      <c r="CU21" s="588" t="n"/>
      <c r="CV21" s="588" t="n"/>
      <c r="CW21" s="588" t="n"/>
      <c r="CX21" s="588" t="n"/>
      <c r="CY21" s="588" t="n"/>
      <c r="CZ21" s="588" t="n"/>
      <c r="DA21" s="588" t="n"/>
      <c r="DB21" s="588" t="n"/>
      <c r="DC21" s="588" t="n"/>
      <c r="DD21" s="588" t="n"/>
      <c r="DE21" s="588" t="n"/>
      <c r="DF21" s="588" t="n"/>
      <c r="DG21" s="588" t="n"/>
      <c r="DH21" s="588" t="n"/>
      <c r="DI21" s="588" t="n"/>
      <c r="DJ21" s="588" t="n"/>
      <c r="DK21" s="588" t="n"/>
      <c r="DL21" s="588" t="n"/>
      <c r="DM21" s="588" t="n"/>
      <c r="DN21" s="588" t="n"/>
      <c r="DO21" s="588" t="n"/>
      <c r="DP21" s="588" t="n"/>
      <c r="DQ21" s="588" t="n"/>
      <c r="DR21" s="588" t="n"/>
      <c r="DS21" s="588" t="n"/>
      <c r="DT21" s="588" t="n"/>
      <c r="DU21" s="588" t="n"/>
    </row>
    <row r="22" hidden="1" ht="14.25" customHeight="1" s="450">
      <c r="A22" s="590" t="n"/>
      <c r="B22" s="618" t="inlineStr">
        <is>
          <t>V18</t>
        </is>
      </c>
      <c r="C22" s="619" t="n"/>
      <c r="D22" s="620" t="n"/>
      <c r="E22" s="621">
        <f>+C22*D22</f>
        <v/>
      </c>
      <c r="F22" s="622">
        <f>+C22*D22</f>
        <v/>
      </c>
      <c r="G22" s="624" t="n"/>
      <c r="H22" s="588" t="n"/>
      <c r="I22" s="618" t="inlineStr">
        <is>
          <t>S18</t>
        </is>
      </c>
      <c r="J22" s="619" t="n"/>
      <c r="K22" s="619" t="n"/>
      <c r="L22" s="621">
        <f>+J22*K22</f>
        <v/>
      </c>
      <c r="M22" s="621">
        <f>+J22*K22</f>
        <v/>
      </c>
      <c r="N22" s="615" t="n"/>
      <c r="O22" s="619">
        <f>+D22</f>
        <v/>
      </c>
      <c r="P22" s="619" t="n"/>
      <c r="Q22" s="621">
        <f>+O22*P22</f>
        <v/>
      </c>
      <c r="R22" s="616" t="n"/>
      <c r="S22" s="621">
        <f>+F22+M22</f>
        <v/>
      </c>
      <c r="T22" s="616" t="n"/>
      <c r="U22" s="619" t="n"/>
      <c r="V22" s="619" t="n"/>
      <c r="W22" s="621">
        <f>+U22*V22</f>
        <v/>
      </c>
      <c r="X22" s="624" t="n"/>
      <c r="Z22" s="588" t="n"/>
      <c r="AA22" s="588" t="n"/>
      <c r="AB22" s="588" t="n"/>
      <c r="AC22" s="588" t="n"/>
      <c r="AD22" s="588" t="n"/>
      <c r="AE22" s="588" t="n"/>
      <c r="AF22" s="588" t="n"/>
      <c r="AG22" s="588" t="n"/>
      <c r="AH22" s="588" t="n"/>
      <c r="AI22" s="588" t="n"/>
      <c r="AJ22" s="588" t="n"/>
      <c r="AK22" s="588" t="n"/>
      <c r="AL22" s="588" t="n"/>
      <c r="AM22" s="588" t="n"/>
      <c r="AN22" s="588" t="n"/>
      <c r="AO22" s="588" t="n"/>
      <c r="AP22" s="588" t="n"/>
      <c r="AQ22" s="588" t="n"/>
      <c r="AR22" s="588" t="n"/>
      <c r="AS22" s="588" t="n"/>
      <c r="AT22" s="588" t="n"/>
      <c r="AU22" s="588" t="n"/>
      <c r="AV22" s="588" t="n"/>
      <c r="AW22" s="588" t="n"/>
      <c r="AX22" s="588" t="n"/>
      <c r="AY22" s="588" t="n"/>
      <c r="AZ22" s="588" t="n"/>
      <c r="BA22" s="588" t="n"/>
      <c r="BB22" s="588" t="n"/>
      <c r="BC22" s="588" t="n"/>
      <c r="BD22" s="588" t="n"/>
      <c r="BE22" s="588" t="n"/>
      <c r="BF22" s="588" t="n"/>
      <c r="BG22" s="588" t="n"/>
      <c r="BH22" s="588" t="n"/>
      <c r="BI22" s="588" t="n"/>
      <c r="BJ22" s="588" t="n"/>
      <c r="BK22" s="588" t="n"/>
      <c r="BL22" s="588" t="n"/>
      <c r="BM22" s="588" t="n"/>
      <c r="BN22" s="588" t="n"/>
      <c r="BO22" s="588" t="n"/>
      <c r="BP22" s="588" t="n"/>
      <c r="BQ22" s="588" t="n"/>
      <c r="BR22" s="588" t="n"/>
      <c r="BS22" s="588" t="n"/>
      <c r="BT22" s="588" t="n"/>
      <c r="BU22" s="588" t="n"/>
      <c r="BV22" s="588" t="n"/>
      <c r="BW22" s="588" t="n"/>
      <c r="BX22" s="588" t="n"/>
      <c r="BY22" s="588" t="n"/>
      <c r="BZ22" s="588" t="n"/>
      <c r="CA22" s="588" t="n"/>
      <c r="CB22" s="588" t="n"/>
      <c r="CC22" s="588" t="n"/>
      <c r="CD22" s="588" t="n"/>
      <c r="CE22" s="588" t="n"/>
      <c r="CF22" s="588" t="n"/>
      <c r="CG22" s="588" t="n"/>
      <c r="CH22" s="588" t="n"/>
      <c r="CI22" s="588" t="n"/>
      <c r="CJ22" s="588" t="n"/>
      <c r="CK22" s="588" t="n"/>
      <c r="CL22" s="588" t="n"/>
      <c r="CM22" s="588" t="n"/>
      <c r="CN22" s="588" t="n"/>
      <c r="CO22" s="588" t="n"/>
      <c r="CP22" s="588" t="n"/>
      <c r="CQ22" s="588" t="n"/>
      <c r="CR22" s="588" t="n"/>
      <c r="CS22" s="588" t="n"/>
      <c r="CT22" s="588" t="n"/>
      <c r="CU22" s="588" t="n"/>
      <c r="CV22" s="588" t="n"/>
      <c r="CW22" s="588" t="n"/>
      <c r="CX22" s="588" t="n"/>
      <c r="CY22" s="588" t="n"/>
      <c r="CZ22" s="588" t="n"/>
      <c r="DA22" s="588" t="n"/>
      <c r="DB22" s="588" t="n"/>
      <c r="DC22" s="588" t="n"/>
      <c r="DD22" s="588" t="n"/>
      <c r="DE22" s="588" t="n"/>
      <c r="DF22" s="588" t="n"/>
      <c r="DG22" s="588" t="n"/>
      <c r="DH22" s="588" t="n"/>
      <c r="DI22" s="588" t="n"/>
      <c r="DJ22" s="588" t="n"/>
      <c r="DK22" s="588" t="n"/>
      <c r="DL22" s="588" t="n"/>
      <c r="DM22" s="588" t="n"/>
      <c r="DN22" s="588" t="n"/>
      <c r="DO22" s="588" t="n"/>
      <c r="DP22" s="588" t="n"/>
      <c r="DQ22" s="588" t="n"/>
      <c r="DR22" s="588" t="n"/>
      <c r="DS22" s="588" t="n"/>
      <c r="DT22" s="588" t="n"/>
      <c r="DU22" s="588" t="n"/>
    </row>
    <row r="23" hidden="1" ht="17.25" customHeight="1" s="450">
      <c r="A23" s="590" t="n"/>
      <c r="B23" s="618" t="inlineStr">
        <is>
          <t>V12</t>
        </is>
      </c>
      <c r="C23" s="619" t="n"/>
      <c r="D23" s="620" t="n"/>
      <c r="E23" s="621">
        <f>+C23*D23</f>
        <v/>
      </c>
      <c r="F23" s="622">
        <f>+C23*D23</f>
        <v/>
      </c>
      <c r="G23" s="624" t="n"/>
      <c r="H23" s="588" t="n"/>
      <c r="I23" s="618" t="inlineStr">
        <is>
          <t>S12</t>
        </is>
      </c>
      <c r="J23" s="619" t="n"/>
      <c r="K23" s="619" t="n"/>
      <c r="L23" s="621">
        <f>+J23*K23</f>
        <v/>
      </c>
      <c r="M23" s="621">
        <f>+J23*K23</f>
        <v/>
      </c>
      <c r="N23" s="615" t="n"/>
      <c r="O23" s="619">
        <f>+D23</f>
        <v/>
      </c>
      <c r="P23" s="619" t="n"/>
      <c r="Q23" s="621">
        <f>+O23*P23</f>
        <v/>
      </c>
      <c r="R23" s="616" t="n"/>
      <c r="S23" s="621">
        <f>+F23+M23</f>
        <v/>
      </c>
      <c r="T23" s="616" t="n"/>
      <c r="U23" s="619" t="n"/>
      <c r="V23" s="619" t="n"/>
      <c r="W23" s="621">
        <f>+U23*V23</f>
        <v/>
      </c>
      <c r="X23" s="624" t="n"/>
      <c r="Z23" s="588" t="n"/>
      <c r="AA23" s="588" t="n"/>
      <c r="AB23" s="588" t="n"/>
      <c r="AC23" s="588" t="n"/>
      <c r="AD23" s="588" t="n"/>
      <c r="AE23" s="588" t="n"/>
      <c r="AF23" s="588" t="n"/>
      <c r="AG23" s="588" t="n"/>
      <c r="AH23" s="588" t="n"/>
      <c r="AI23" s="588" t="n"/>
      <c r="AJ23" s="588" t="n"/>
      <c r="AK23" s="588" t="n"/>
      <c r="AL23" s="588" t="n"/>
      <c r="AM23" s="588" t="n"/>
      <c r="AN23" s="588" t="n"/>
      <c r="AO23" s="588" t="n"/>
      <c r="AP23" s="588" t="n"/>
      <c r="AQ23" s="588" t="n"/>
      <c r="AR23" s="588" t="n"/>
      <c r="AS23" s="588" t="n"/>
      <c r="AT23" s="588" t="n"/>
      <c r="AU23" s="588" t="n"/>
      <c r="AV23" s="588" t="n"/>
      <c r="AW23" s="588" t="n"/>
      <c r="AX23" s="588" t="n"/>
      <c r="AY23" s="588" t="n"/>
      <c r="AZ23" s="588" t="n"/>
      <c r="BA23" s="588" t="n"/>
      <c r="BB23" s="588" t="n"/>
      <c r="BC23" s="588" t="n"/>
      <c r="BD23" s="588" t="n"/>
      <c r="BE23" s="588" t="n"/>
      <c r="BF23" s="588" t="n"/>
      <c r="BG23" s="588" t="n"/>
      <c r="BH23" s="588" t="n"/>
      <c r="BI23" s="588" t="n"/>
      <c r="BJ23" s="588" t="n"/>
      <c r="BK23" s="588" t="n"/>
      <c r="BL23" s="588" t="n"/>
      <c r="BM23" s="588" t="n"/>
      <c r="BN23" s="588" t="n"/>
      <c r="BO23" s="588" t="n"/>
      <c r="BP23" s="588" t="n"/>
      <c r="BQ23" s="588" t="n"/>
      <c r="BR23" s="588" t="n"/>
      <c r="BS23" s="588" t="n"/>
      <c r="BT23" s="588" t="n"/>
      <c r="BU23" s="588" t="n"/>
      <c r="BV23" s="588" t="n"/>
      <c r="BW23" s="588" t="n"/>
      <c r="BX23" s="588" t="n"/>
      <c r="BY23" s="588" t="n"/>
      <c r="BZ23" s="588" t="n"/>
      <c r="CA23" s="588" t="n"/>
      <c r="CB23" s="588" t="n"/>
      <c r="CC23" s="588" t="n"/>
      <c r="CD23" s="588" t="n"/>
      <c r="CE23" s="588" t="n"/>
      <c r="CF23" s="588" t="n"/>
      <c r="CG23" s="588" t="n"/>
      <c r="CH23" s="588" t="n"/>
      <c r="CI23" s="588" t="n"/>
      <c r="CJ23" s="588" t="n"/>
      <c r="CK23" s="588" t="n"/>
      <c r="CL23" s="588" t="n"/>
      <c r="CM23" s="588" t="n"/>
      <c r="CN23" s="588" t="n"/>
      <c r="CO23" s="588" t="n"/>
      <c r="CP23" s="588" t="n"/>
      <c r="CQ23" s="588" t="n"/>
      <c r="CR23" s="588" t="n"/>
      <c r="CS23" s="588" t="n"/>
      <c r="CT23" s="588" t="n"/>
      <c r="CU23" s="588" t="n"/>
      <c r="CV23" s="588" t="n"/>
      <c r="CW23" s="588" t="n"/>
      <c r="CX23" s="588" t="n"/>
      <c r="CY23" s="588" t="n"/>
      <c r="CZ23" s="588" t="n"/>
      <c r="DA23" s="588" t="n"/>
      <c r="DB23" s="588" t="n"/>
      <c r="DC23" s="588" t="n"/>
      <c r="DD23" s="588" t="n"/>
      <c r="DE23" s="588" t="n"/>
      <c r="DF23" s="588" t="n"/>
      <c r="DG23" s="588" t="n"/>
      <c r="DH23" s="588" t="n"/>
      <c r="DI23" s="588" t="n"/>
      <c r="DJ23" s="588" t="n"/>
      <c r="DK23" s="588" t="n"/>
      <c r="DL23" s="588" t="n"/>
      <c r="DM23" s="588" t="n"/>
      <c r="DN23" s="588" t="n"/>
      <c r="DO23" s="588" t="n"/>
      <c r="DP23" s="588" t="n"/>
      <c r="DQ23" s="588" t="n"/>
      <c r="DR23" s="588" t="n"/>
      <c r="DS23" s="588" t="n"/>
      <c r="DT23" s="588" t="n"/>
      <c r="DU23" s="588" t="n"/>
    </row>
    <row r="24" hidden="1" ht="12" customHeight="1" s="450">
      <c r="A24" s="590" t="n"/>
      <c r="B24" s="618" t="inlineStr">
        <is>
          <t>V13</t>
        </is>
      </c>
      <c r="C24" s="619" t="n"/>
      <c r="D24" s="620" t="n"/>
      <c r="E24" s="621">
        <f>+C24*D24</f>
        <v/>
      </c>
      <c r="F24" s="622">
        <f>+C24*D24</f>
        <v/>
      </c>
      <c r="G24" s="624" t="n"/>
      <c r="H24" s="588" t="n"/>
      <c r="I24" s="618" t="inlineStr">
        <is>
          <t>S13</t>
        </is>
      </c>
      <c r="J24" s="619" t="n"/>
      <c r="K24" s="619" t="n"/>
      <c r="L24" s="621">
        <f>+J24*K24</f>
        <v/>
      </c>
      <c r="M24" s="621">
        <f>+J24*K24</f>
        <v/>
      </c>
      <c r="N24" s="615" t="n"/>
      <c r="O24" s="619">
        <f>+D24</f>
        <v/>
      </c>
      <c r="P24" s="619" t="n"/>
      <c r="Q24" s="621">
        <f>+O24*P24</f>
        <v/>
      </c>
      <c r="R24" s="616" t="n"/>
      <c r="S24" s="621">
        <f>+F24+M24</f>
        <v/>
      </c>
      <c r="T24" s="616" t="n"/>
      <c r="U24" s="619" t="n"/>
      <c r="V24" s="619" t="n"/>
      <c r="W24" s="621">
        <f>+U24*V24</f>
        <v/>
      </c>
      <c r="X24" s="624" t="n"/>
      <c r="Z24" s="588" t="n"/>
      <c r="AA24" s="588" t="n"/>
      <c r="AB24" s="588" t="n"/>
      <c r="AC24" s="588" t="n"/>
      <c r="AD24" s="588" t="n"/>
      <c r="AE24" s="588" t="n"/>
      <c r="AF24" s="588" t="n"/>
      <c r="AG24" s="588" t="n"/>
      <c r="AH24" s="588" t="n"/>
      <c r="AI24" s="588" t="n"/>
      <c r="AJ24" s="588" t="n"/>
      <c r="AK24" s="588" t="n"/>
      <c r="AL24" s="588" t="n"/>
      <c r="AM24" s="588" t="n"/>
      <c r="AN24" s="588" t="n"/>
      <c r="AO24" s="588" t="n"/>
      <c r="AP24" s="588" t="n"/>
      <c r="AQ24" s="588" t="n"/>
      <c r="AR24" s="588" t="n"/>
      <c r="AS24" s="588" t="n"/>
      <c r="AT24" s="588" t="n"/>
      <c r="AU24" s="588" t="n"/>
      <c r="AV24" s="588" t="n"/>
      <c r="AW24" s="588" t="n"/>
      <c r="AX24" s="588" t="n"/>
      <c r="AY24" s="588" t="n"/>
      <c r="AZ24" s="588" t="n"/>
      <c r="BA24" s="588" t="n"/>
      <c r="BB24" s="588" t="n"/>
      <c r="BC24" s="588" t="n"/>
      <c r="BD24" s="588" t="n"/>
      <c r="BE24" s="588" t="n"/>
      <c r="BF24" s="588" t="n"/>
      <c r="BG24" s="588" t="n"/>
      <c r="BH24" s="588" t="n"/>
      <c r="BI24" s="588" t="n"/>
      <c r="BJ24" s="588" t="n"/>
      <c r="BK24" s="588" t="n"/>
      <c r="BL24" s="588" t="n"/>
      <c r="BM24" s="588" t="n"/>
      <c r="BN24" s="588" t="n"/>
      <c r="BO24" s="588" t="n"/>
      <c r="BP24" s="588" t="n"/>
      <c r="BQ24" s="588" t="n"/>
      <c r="BR24" s="588" t="n"/>
      <c r="BS24" s="588" t="n"/>
      <c r="BT24" s="588" t="n"/>
      <c r="BU24" s="588" t="n"/>
      <c r="BV24" s="588" t="n"/>
      <c r="BW24" s="588" t="n"/>
      <c r="BX24" s="588" t="n"/>
      <c r="BY24" s="588" t="n"/>
      <c r="BZ24" s="588" t="n"/>
      <c r="CA24" s="588" t="n"/>
      <c r="CB24" s="588" t="n"/>
      <c r="CC24" s="588" t="n"/>
      <c r="CD24" s="588" t="n"/>
      <c r="CE24" s="588" t="n"/>
      <c r="CF24" s="588" t="n"/>
      <c r="CG24" s="588" t="n"/>
      <c r="CH24" s="588" t="n"/>
      <c r="CI24" s="588" t="n"/>
      <c r="CJ24" s="588" t="n"/>
      <c r="CK24" s="588" t="n"/>
      <c r="CL24" s="588" t="n"/>
      <c r="CM24" s="588" t="n"/>
      <c r="CN24" s="588" t="n"/>
      <c r="CO24" s="588" t="n"/>
      <c r="CP24" s="588" t="n"/>
      <c r="CQ24" s="588" t="n"/>
      <c r="CR24" s="588" t="n"/>
      <c r="CS24" s="588" t="n"/>
      <c r="CT24" s="588" t="n"/>
      <c r="CU24" s="588" t="n"/>
      <c r="CV24" s="588" t="n"/>
      <c r="CW24" s="588" t="n"/>
      <c r="CX24" s="588" t="n"/>
      <c r="CY24" s="588" t="n"/>
      <c r="CZ24" s="588" t="n"/>
      <c r="DA24" s="588" t="n"/>
      <c r="DB24" s="588" t="n"/>
      <c r="DC24" s="588" t="n"/>
      <c r="DD24" s="588" t="n"/>
      <c r="DE24" s="588" t="n"/>
      <c r="DF24" s="588" t="n"/>
      <c r="DG24" s="588" t="n"/>
      <c r="DH24" s="588" t="n"/>
      <c r="DI24" s="588" t="n"/>
      <c r="DJ24" s="588" t="n"/>
      <c r="DK24" s="588" t="n"/>
      <c r="DL24" s="588" t="n"/>
      <c r="DM24" s="588" t="n"/>
      <c r="DN24" s="588" t="n"/>
      <c r="DO24" s="588" t="n"/>
      <c r="DP24" s="588" t="n"/>
      <c r="DQ24" s="588" t="n"/>
      <c r="DR24" s="588" t="n"/>
      <c r="DS24" s="588" t="n"/>
      <c r="DT24" s="588" t="n"/>
      <c r="DU24" s="588" t="n"/>
    </row>
    <row r="25" hidden="1" ht="9.75" customHeight="1" s="450">
      <c r="A25" s="590" t="n"/>
      <c r="B25" s="618" t="inlineStr">
        <is>
          <t>V14</t>
        </is>
      </c>
      <c r="C25" s="619" t="n"/>
      <c r="D25" s="619" t="n"/>
      <c r="E25" s="621">
        <f>+C25*D25</f>
        <v/>
      </c>
      <c r="F25" s="622">
        <f>+C25*D25</f>
        <v/>
      </c>
      <c r="G25" s="624" t="n"/>
      <c r="H25" s="588" t="n"/>
      <c r="I25" s="618" t="inlineStr">
        <is>
          <t>S14</t>
        </is>
      </c>
      <c r="J25" s="619" t="n"/>
      <c r="K25" s="619" t="n"/>
      <c r="L25" s="621">
        <f>+J25*K25</f>
        <v/>
      </c>
      <c r="M25" s="621">
        <f>+J25*K25</f>
        <v/>
      </c>
      <c r="N25" s="615" t="n"/>
      <c r="O25" s="619">
        <f>+D25</f>
        <v/>
      </c>
      <c r="P25" s="619" t="n"/>
      <c r="Q25" s="621">
        <f>+O25*P25</f>
        <v/>
      </c>
      <c r="R25" s="616" t="n"/>
      <c r="S25" s="621">
        <f>+F25+M25</f>
        <v/>
      </c>
      <c r="T25" s="616" t="n"/>
      <c r="U25" s="619" t="n"/>
      <c r="V25" s="619" t="n"/>
      <c r="W25" s="621">
        <f>+U25*V25</f>
        <v/>
      </c>
      <c r="X25" s="624" t="n"/>
      <c r="Z25" s="588" t="n"/>
      <c r="AA25" s="588" t="n"/>
      <c r="AB25" s="588" t="n"/>
      <c r="AC25" s="588" t="n"/>
      <c r="AD25" s="588" t="n"/>
      <c r="AE25" s="588" t="n"/>
      <c r="AF25" s="588" t="n"/>
      <c r="AG25" s="588" t="n"/>
      <c r="AH25" s="588" t="n"/>
      <c r="AI25" s="588" t="n"/>
      <c r="AJ25" s="588" t="n"/>
      <c r="AK25" s="588" t="n"/>
      <c r="AL25" s="588" t="n"/>
      <c r="AM25" s="588" t="n"/>
      <c r="AN25" s="588" t="n"/>
      <c r="AO25" s="588" t="n"/>
      <c r="AP25" s="588" t="n"/>
      <c r="AQ25" s="588" t="n"/>
      <c r="AR25" s="588" t="n"/>
      <c r="AS25" s="588" t="n"/>
      <c r="AT25" s="588" t="n"/>
      <c r="AU25" s="588" t="n"/>
      <c r="AV25" s="588" t="n"/>
      <c r="AW25" s="588" t="n"/>
      <c r="AX25" s="588" t="n"/>
      <c r="AY25" s="588" t="n"/>
      <c r="AZ25" s="588" t="n"/>
      <c r="BA25" s="588" t="n"/>
      <c r="BB25" s="588" t="n"/>
      <c r="BC25" s="588" t="n"/>
      <c r="BD25" s="588" t="n"/>
      <c r="BE25" s="588" t="n"/>
      <c r="BF25" s="588" t="n"/>
      <c r="BG25" s="588" t="n"/>
      <c r="BH25" s="588" t="n"/>
      <c r="BI25" s="588" t="n"/>
      <c r="BJ25" s="588" t="n"/>
      <c r="BK25" s="588" t="n"/>
      <c r="BL25" s="588" t="n"/>
      <c r="BM25" s="588" t="n"/>
      <c r="BN25" s="588" t="n"/>
      <c r="BO25" s="588" t="n"/>
      <c r="BP25" s="588" t="n"/>
      <c r="BQ25" s="588" t="n"/>
      <c r="BR25" s="588" t="n"/>
      <c r="BS25" s="588" t="n"/>
      <c r="BT25" s="588" t="n"/>
      <c r="BU25" s="588" t="n"/>
      <c r="BV25" s="588" t="n"/>
      <c r="BW25" s="588" t="n"/>
      <c r="BX25" s="588" t="n"/>
      <c r="BY25" s="588" t="n"/>
      <c r="BZ25" s="588" t="n"/>
      <c r="CA25" s="588" t="n"/>
      <c r="CB25" s="588" t="n"/>
      <c r="CC25" s="588" t="n"/>
      <c r="CD25" s="588" t="n"/>
      <c r="CE25" s="588" t="n"/>
      <c r="CF25" s="588" t="n"/>
      <c r="CG25" s="588" t="n"/>
      <c r="CH25" s="588" t="n"/>
      <c r="CI25" s="588" t="n"/>
      <c r="CJ25" s="588" t="n"/>
      <c r="CK25" s="588" t="n"/>
      <c r="CL25" s="588" t="n"/>
      <c r="CM25" s="588" t="n"/>
      <c r="CN25" s="588" t="n"/>
      <c r="CO25" s="588" t="n"/>
      <c r="CP25" s="588" t="n"/>
      <c r="CQ25" s="588" t="n"/>
      <c r="CR25" s="588" t="n"/>
      <c r="CS25" s="588" t="n"/>
      <c r="CT25" s="588" t="n"/>
      <c r="CU25" s="588" t="n"/>
      <c r="CV25" s="588" t="n"/>
      <c r="CW25" s="588" t="n"/>
      <c r="CX25" s="588" t="n"/>
      <c r="CY25" s="588" t="n"/>
      <c r="CZ25" s="588" t="n"/>
      <c r="DA25" s="588" t="n"/>
      <c r="DB25" s="588" t="n"/>
      <c r="DC25" s="588" t="n"/>
      <c r="DD25" s="588" t="n"/>
      <c r="DE25" s="588" t="n"/>
      <c r="DF25" s="588" t="n"/>
      <c r="DG25" s="588" t="n"/>
      <c r="DH25" s="588" t="n"/>
      <c r="DI25" s="588" t="n"/>
      <c r="DJ25" s="588" t="n"/>
      <c r="DK25" s="588" t="n"/>
      <c r="DL25" s="588" t="n"/>
      <c r="DM25" s="588" t="n"/>
      <c r="DN25" s="588" t="n"/>
      <c r="DO25" s="588" t="n"/>
      <c r="DP25" s="588" t="n"/>
      <c r="DQ25" s="588" t="n"/>
      <c r="DR25" s="588" t="n"/>
      <c r="DS25" s="588" t="n"/>
      <c r="DT25" s="588" t="n"/>
      <c r="DU25" s="588" t="n"/>
    </row>
    <row r="26" hidden="1" ht="12" customHeight="1" s="450">
      <c r="A26" s="590" t="n"/>
      <c r="B26" s="618" t="inlineStr">
        <is>
          <t>V15</t>
        </is>
      </c>
      <c r="C26" s="619" t="n"/>
      <c r="D26" s="619" t="n"/>
      <c r="E26" s="621">
        <f>+C26*D26</f>
        <v/>
      </c>
      <c r="F26" s="622">
        <f>+C26*D26</f>
        <v/>
      </c>
      <c r="G26" s="624" t="n"/>
      <c r="H26" s="588" t="n"/>
      <c r="I26" s="618" t="inlineStr">
        <is>
          <t>S15</t>
        </is>
      </c>
      <c r="J26" s="619" t="n"/>
      <c r="K26" s="619" t="n"/>
      <c r="L26" s="621">
        <f>+J26*K26</f>
        <v/>
      </c>
      <c r="M26" s="621">
        <f>+J26*K26</f>
        <v/>
      </c>
      <c r="N26" s="615" t="n"/>
      <c r="O26" s="619">
        <f>+D26</f>
        <v/>
      </c>
      <c r="P26" s="619" t="n"/>
      <c r="Q26" s="621">
        <f>+O26*P26</f>
        <v/>
      </c>
      <c r="R26" s="616" t="n"/>
      <c r="S26" s="621">
        <f>+F26+M26</f>
        <v/>
      </c>
      <c r="T26" s="616" t="n"/>
      <c r="U26" s="619" t="n"/>
      <c r="V26" s="619" t="n"/>
      <c r="W26" s="621">
        <f>+U26*V26</f>
        <v/>
      </c>
      <c r="X26" s="624" t="n"/>
      <c r="Z26" s="588" t="n"/>
      <c r="AA26" s="588" t="n"/>
      <c r="AB26" s="588" t="n"/>
      <c r="AC26" s="588" t="n"/>
      <c r="AD26" s="588" t="n"/>
      <c r="AE26" s="588" t="n"/>
      <c r="AF26" s="588" t="n"/>
      <c r="AG26" s="588" t="n"/>
      <c r="AH26" s="588" t="n"/>
      <c r="AI26" s="588" t="n"/>
      <c r="AJ26" s="588" t="n"/>
      <c r="AK26" s="588" t="n"/>
      <c r="AL26" s="588" t="n"/>
      <c r="AM26" s="588" t="n"/>
      <c r="AN26" s="588" t="n"/>
      <c r="AO26" s="588" t="n"/>
      <c r="AP26" s="588" t="n"/>
      <c r="AQ26" s="588" t="n"/>
      <c r="AR26" s="588" t="n"/>
      <c r="AS26" s="588" t="n"/>
      <c r="AT26" s="588" t="n"/>
      <c r="AU26" s="588" t="n"/>
      <c r="AV26" s="588" t="n"/>
      <c r="AW26" s="588" t="n"/>
      <c r="AX26" s="588" t="n"/>
      <c r="AY26" s="588" t="n"/>
      <c r="AZ26" s="588" t="n"/>
      <c r="BA26" s="588" t="n"/>
      <c r="BB26" s="588" t="n"/>
      <c r="BC26" s="588" t="n"/>
      <c r="BD26" s="588" t="n"/>
      <c r="BE26" s="588" t="n"/>
      <c r="BF26" s="588" t="n"/>
      <c r="BG26" s="588" t="n"/>
      <c r="BH26" s="588" t="n"/>
      <c r="BI26" s="588" t="n"/>
      <c r="BJ26" s="588" t="n"/>
      <c r="BK26" s="588" t="n"/>
      <c r="BL26" s="588" t="n"/>
      <c r="BM26" s="588" t="n"/>
      <c r="BN26" s="588" t="n"/>
      <c r="BO26" s="588" t="n"/>
      <c r="BP26" s="588" t="n"/>
      <c r="BQ26" s="588" t="n"/>
      <c r="BR26" s="588" t="n"/>
      <c r="BS26" s="588" t="n"/>
      <c r="BT26" s="588" t="n"/>
      <c r="BU26" s="588" t="n"/>
      <c r="BV26" s="588" t="n"/>
      <c r="BW26" s="588" t="n"/>
      <c r="BX26" s="588" t="n"/>
      <c r="BY26" s="588" t="n"/>
      <c r="BZ26" s="588" t="n"/>
      <c r="CA26" s="588" t="n"/>
      <c r="CB26" s="588" t="n"/>
      <c r="CC26" s="588" t="n"/>
      <c r="CD26" s="588" t="n"/>
      <c r="CE26" s="588" t="n"/>
      <c r="CF26" s="588" t="n"/>
      <c r="CG26" s="588" t="n"/>
      <c r="CH26" s="588" t="n"/>
      <c r="CI26" s="588" t="n"/>
      <c r="CJ26" s="588" t="n"/>
      <c r="CK26" s="588" t="n"/>
      <c r="CL26" s="588" t="n"/>
      <c r="CM26" s="588" t="n"/>
      <c r="CN26" s="588" t="n"/>
      <c r="CO26" s="588" t="n"/>
      <c r="CP26" s="588" t="n"/>
      <c r="CQ26" s="588" t="n"/>
      <c r="CR26" s="588" t="n"/>
      <c r="CS26" s="588" t="n"/>
      <c r="CT26" s="588" t="n"/>
      <c r="CU26" s="588" t="n"/>
      <c r="CV26" s="588" t="n"/>
      <c r="CW26" s="588" t="n"/>
      <c r="CX26" s="588" t="n"/>
      <c r="CY26" s="588" t="n"/>
      <c r="CZ26" s="588" t="n"/>
      <c r="DA26" s="588" t="n"/>
      <c r="DB26" s="588" t="n"/>
      <c r="DC26" s="588" t="n"/>
      <c r="DD26" s="588" t="n"/>
      <c r="DE26" s="588" t="n"/>
      <c r="DF26" s="588" t="n"/>
      <c r="DG26" s="588" t="n"/>
      <c r="DH26" s="588" t="n"/>
      <c r="DI26" s="588" t="n"/>
      <c r="DJ26" s="588" t="n"/>
      <c r="DK26" s="588" t="n"/>
      <c r="DL26" s="588" t="n"/>
      <c r="DM26" s="588" t="n"/>
      <c r="DN26" s="588" t="n"/>
      <c r="DO26" s="588" t="n"/>
      <c r="DP26" s="588" t="n"/>
      <c r="DQ26" s="588" t="n"/>
      <c r="DR26" s="588" t="n"/>
      <c r="DS26" s="588" t="n"/>
      <c r="DT26" s="588" t="n"/>
      <c r="DU26" s="588" t="n"/>
    </row>
    <row r="27" hidden="1" ht="20.25" customHeight="1" s="450">
      <c r="A27" s="590" t="n"/>
      <c r="B27" s="618" t="inlineStr">
        <is>
          <t>V16</t>
        </is>
      </c>
      <c r="C27" s="619" t="n"/>
      <c r="D27" s="619" t="n"/>
      <c r="E27" s="621">
        <f>+C27*D27</f>
        <v/>
      </c>
      <c r="F27" s="622">
        <f>+C27*D27</f>
        <v/>
      </c>
      <c r="G27" s="624" t="n"/>
      <c r="H27" s="588" t="n"/>
      <c r="I27" s="618" t="inlineStr">
        <is>
          <t>S16</t>
        </is>
      </c>
      <c r="J27" s="619" t="n"/>
      <c r="K27" s="619" t="n"/>
      <c r="L27" s="621">
        <f>+J27*K27</f>
        <v/>
      </c>
      <c r="M27" s="621">
        <f>+J27*K27</f>
        <v/>
      </c>
      <c r="N27" s="615" t="n"/>
      <c r="O27" s="619">
        <f>+D27</f>
        <v/>
      </c>
      <c r="P27" s="619" t="n"/>
      <c r="Q27" s="621">
        <f>+O27*P27</f>
        <v/>
      </c>
      <c r="R27" s="616" t="n"/>
      <c r="S27" s="621">
        <f>+F27+M27</f>
        <v/>
      </c>
      <c r="T27" s="616" t="n"/>
      <c r="U27" s="619" t="n"/>
      <c r="V27" s="619" t="n"/>
      <c r="W27" s="621">
        <f>+U27*V27</f>
        <v/>
      </c>
      <c r="X27" s="624" t="n"/>
      <c r="Z27" s="588" t="n"/>
      <c r="AA27" s="588" t="n"/>
      <c r="AB27" s="588" t="n"/>
      <c r="AC27" s="588" t="n"/>
      <c r="AD27" s="588" t="n"/>
      <c r="AE27" s="588" t="n"/>
      <c r="AF27" s="588" t="n"/>
      <c r="AG27" s="588" t="n"/>
      <c r="AH27" s="588" t="n"/>
      <c r="AI27" s="588" t="n"/>
      <c r="AJ27" s="588" t="n"/>
      <c r="AK27" s="588" t="n"/>
      <c r="AL27" s="588" t="n"/>
      <c r="AM27" s="588" t="n"/>
      <c r="AN27" s="588" t="n"/>
      <c r="AO27" s="588" t="n"/>
      <c r="AP27" s="588" t="n"/>
      <c r="AQ27" s="588" t="n"/>
      <c r="AR27" s="588" t="n"/>
      <c r="AS27" s="588" t="n"/>
      <c r="AT27" s="588" t="n"/>
      <c r="AU27" s="588" t="n"/>
      <c r="AV27" s="588" t="n"/>
      <c r="AW27" s="588" t="n"/>
      <c r="AX27" s="588" t="n"/>
      <c r="AY27" s="588" t="n"/>
      <c r="AZ27" s="588" t="n"/>
      <c r="BA27" s="588" t="n"/>
      <c r="BB27" s="588" t="n"/>
      <c r="BC27" s="588" t="n"/>
      <c r="BD27" s="588" t="n"/>
      <c r="BE27" s="588" t="n"/>
      <c r="BF27" s="588" t="n"/>
      <c r="BG27" s="588" t="n"/>
      <c r="BH27" s="588" t="n"/>
      <c r="BI27" s="588" t="n"/>
      <c r="BJ27" s="588" t="n"/>
      <c r="BK27" s="588" t="n"/>
      <c r="BL27" s="588" t="n"/>
      <c r="BM27" s="588" t="n"/>
      <c r="BN27" s="588" t="n"/>
      <c r="BO27" s="588" t="n"/>
      <c r="BP27" s="588" t="n"/>
      <c r="BQ27" s="588" t="n"/>
      <c r="BR27" s="588" t="n"/>
      <c r="BS27" s="588" t="n"/>
      <c r="BT27" s="588" t="n"/>
      <c r="BU27" s="588" t="n"/>
      <c r="BV27" s="588" t="n"/>
      <c r="BW27" s="588" t="n"/>
      <c r="BX27" s="588" t="n"/>
      <c r="BY27" s="588" t="n"/>
      <c r="BZ27" s="588" t="n"/>
      <c r="CA27" s="588" t="n"/>
      <c r="CB27" s="588" t="n"/>
      <c r="CC27" s="588" t="n"/>
      <c r="CD27" s="588" t="n"/>
      <c r="CE27" s="588" t="n"/>
      <c r="CF27" s="588" t="n"/>
      <c r="CG27" s="588" t="n"/>
      <c r="CH27" s="588" t="n"/>
      <c r="CI27" s="588" t="n"/>
      <c r="CJ27" s="588" t="n"/>
      <c r="CK27" s="588" t="n"/>
      <c r="CL27" s="588" t="n"/>
      <c r="CM27" s="588" t="n"/>
      <c r="CN27" s="588" t="n"/>
      <c r="CO27" s="588" t="n"/>
      <c r="CP27" s="588" t="n"/>
      <c r="CQ27" s="588" t="n"/>
      <c r="CR27" s="588" t="n"/>
      <c r="CS27" s="588" t="n"/>
      <c r="CT27" s="588" t="n"/>
      <c r="CU27" s="588" t="n"/>
      <c r="CV27" s="588" t="n"/>
      <c r="CW27" s="588" t="n"/>
      <c r="CX27" s="588" t="n"/>
      <c r="CY27" s="588" t="n"/>
      <c r="CZ27" s="588" t="n"/>
      <c r="DA27" s="588" t="n"/>
      <c r="DB27" s="588" t="n"/>
      <c r="DC27" s="588" t="n"/>
      <c r="DD27" s="588" t="n"/>
      <c r="DE27" s="588" t="n"/>
      <c r="DF27" s="588" t="n"/>
      <c r="DG27" s="588" t="n"/>
      <c r="DH27" s="588" t="n"/>
      <c r="DI27" s="588" t="n"/>
      <c r="DJ27" s="588" t="n"/>
      <c r="DK27" s="588" t="n"/>
      <c r="DL27" s="588" t="n"/>
      <c r="DM27" s="588" t="n"/>
      <c r="DN27" s="588" t="n"/>
      <c r="DO27" s="588" t="n"/>
      <c r="DP27" s="588" t="n"/>
      <c r="DQ27" s="588" t="n"/>
      <c r="DR27" s="588" t="n"/>
      <c r="DS27" s="588" t="n"/>
      <c r="DT27" s="588" t="n"/>
      <c r="DU27" s="588" t="n"/>
    </row>
    <row r="28" hidden="1" ht="15" customHeight="1" s="450">
      <c r="A28" s="590" t="n"/>
      <c r="B28" s="618" t="inlineStr">
        <is>
          <t>V17</t>
        </is>
      </c>
      <c r="C28" s="619" t="n"/>
      <c r="D28" s="619" t="n"/>
      <c r="E28" s="621">
        <f>+C28*D28</f>
        <v/>
      </c>
      <c r="F28" s="622">
        <f>+C28*D28</f>
        <v/>
      </c>
      <c r="G28" s="624" t="n"/>
      <c r="H28" s="588" t="n"/>
      <c r="I28" s="618" t="inlineStr">
        <is>
          <t>S17</t>
        </is>
      </c>
      <c r="J28" s="619" t="n"/>
      <c r="K28" s="619" t="n"/>
      <c r="L28" s="621">
        <f>+J28*K28</f>
        <v/>
      </c>
      <c r="M28" s="621">
        <f>+J28*K28</f>
        <v/>
      </c>
      <c r="N28" s="615" t="n"/>
      <c r="O28" s="619">
        <f>+D28</f>
        <v/>
      </c>
      <c r="P28" s="619" t="n"/>
      <c r="Q28" s="621">
        <f>+O28*P28</f>
        <v/>
      </c>
      <c r="R28" s="616" t="n"/>
      <c r="S28" s="621">
        <f>+F28+M28</f>
        <v/>
      </c>
      <c r="T28" s="616" t="n"/>
      <c r="U28" s="619" t="n"/>
      <c r="V28" s="619" t="n"/>
      <c r="W28" s="621">
        <f>+U28*V28</f>
        <v/>
      </c>
      <c r="X28" s="624" t="n"/>
      <c r="Z28" s="588" t="n"/>
      <c r="AA28" s="588" t="n"/>
      <c r="AB28" s="588" t="n"/>
      <c r="AC28" s="588" t="n"/>
      <c r="AD28" s="588" t="n"/>
      <c r="AE28" s="588" t="n"/>
      <c r="AF28" s="588" t="n"/>
      <c r="AG28" s="588" t="n"/>
      <c r="AH28" s="588" t="n"/>
      <c r="AI28" s="588" t="n"/>
      <c r="AJ28" s="588" t="n"/>
      <c r="AK28" s="588" t="n"/>
      <c r="AL28" s="588" t="n"/>
      <c r="AM28" s="588" t="n"/>
      <c r="AN28" s="588" t="n"/>
      <c r="AO28" s="588" t="n"/>
      <c r="AP28" s="588" t="n"/>
      <c r="AQ28" s="588" t="n"/>
      <c r="AR28" s="588" t="n"/>
      <c r="AS28" s="588" t="n"/>
      <c r="AT28" s="588" t="n"/>
      <c r="AU28" s="588" t="n"/>
      <c r="AV28" s="588" t="n"/>
      <c r="AW28" s="588" t="n"/>
      <c r="AX28" s="588" t="n"/>
      <c r="AY28" s="588" t="n"/>
      <c r="AZ28" s="588" t="n"/>
      <c r="BA28" s="588" t="n"/>
      <c r="BB28" s="588" t="n"/>
      <c r="BC28" s="588" t="n"/>
      <c r="BD28" s="588" t="n"/>
      <c r="BE28" s="588" t="n"/>
      <c r="BF28" s="588" t="n"/>
      <c r="BG28" s="588" t="n"/>
      <c r="BH28" s="588" t="n"/>
      <c r="BI28" s="588" t="n"/>
      <c r="BJ28" s="588" t="n"/>
      <c r="BK28" s="588" t="n"/>
      <c r="BL28" s="588" t="n"/>
      <c r="BM28" s="588" t="n"/>
      <c r="BN28" s="588" t="n"/>
      <c r="BO28" s="588" t="n"/>
      <c r="BP28" s="588" t="n"/>
      <c r="BQ28" s="588" t="n"/>
      <c r="BR28" s="588" t="n"/>
      <c r="BS28" s="588" t="n"/>
      <c r="BT28" s="588" t="n"/>
      <c r="BU28" s="588" t="n"/>
      <c r="BV28" s="588" t="n"/>
      <c r="BW28" s="588" t="n"/>
      <c r="BX28" s="588" t="n"/>
      <c r="BY28" s="588" t="n"/>
      <c r="BZ28" s="588" t="n"/>
      <c r="CA28" s="588" t="n"/>
      <c r="CB28" s="588" t="n"/>
      <c r="CC28" s="588" t="n"/>
      <c r="CD28" s="588" t="n"/>
      <c r="CE28" s="588" t="n"/>
      <c r="CF28" s="588" t="n"/>
      <c r="CG28" s="588" t="n"/>
      <c r="CH28" s="588" t="n"/>
      <c r="CI28" s="588" t="n"/>
      <c r="CJ28" s="588" t="n"/>
      <c r="CK28" s="588" t="n"/>
      <c r="CL28" s="588" t="n"/>
      <c r="CM28" s="588" t="n"/>
      <c r="CN28" s="588" t="n"/>
      <c r="CO28" s="588" t="n"/>
      <c r="CP28" s="588" t="n"/>
      <c r="CQ28" s="588" t="n"/>
      <c r="CR28" s="588" t="n"/>
      <c r="CS28" s="588" t="n"/>
      <c r="CT28" s="588" t="n"/>
      <c r="CU28" s="588" t="n"/>
      <c r="CV28" s="588" t="n"/>
      <c r="CW28" s="588" t="n"/>
      <c r="CX28" s="588" t="n"/>
      <c r="CY28" s="588" t="n"/>
      <c r="CZ28" s="588" t="n"/>
      <c r="DA28" s="588" t="n"/>
      <c r="DB28" s="588" t="n"/>
      <c r="DC28" s="588" t="n"/>
      <c r="DD28" s="588" t="n"/>
      <c r="DE28" s="588" t="n"/>
      <c r="DF28" s="588" t="n"/>
      <c r="DG28" s="588" t="n"/>
      <c r="DH28" s="588" t="n"/>
      <c r="DI28" s="588" t="n"/>
      <c r="DJ28" s="588" t="n"/>
      <c r="DK28" s="588" t="n"/>
      <c r="DL28" s="588" t="n"/>
      <c r="DM28" s="588" t="n"/>
      <c r="DN28" s="588" t="n"/>
      <c r="DO28" s="588" t="n"/>
      <c r="DP28" s="588" t="n"/>
      <c r="DQ28" s="588" t="n"/>
      <c r="DR28" s="588" t="n"/>
      <c r="DS28" s="588" t="n"/>
      <c r="DT28" s="588" t="n"/>
      <c r="DU28" s="588" t="n"/>
    </row>
    <row r="29" hidden="1" ht="12" customHeight="1" s="450">
      <c r="A29" s="590" t="n"/>
      <c r="B29" s="618" t="inlineStr">
        <is>
          <t>V18</t>
        </is>
      </c>
      <c r="C29" s="619" t="n"/>
      <c r="D29" s="619" t="n"/>
      <c r="E29" s="621">
        <f>+C29*D29</f>
        <v/>
      </c>
      <c r="F29" s="622">
        <f>+C29*D29</f>
        <v/>
      </c>
      <c r="G29" s="624" t="n"/>
      <c r="H29" s="588" t="n"/>
      <c r="I29" s="618" t="inlineStr">
        <is>
          <t>S18</t>
        </is>
      </c>
      <c r="J29" s="619" t="n"/>
      <c r="K29" s="619" t="n"/>
      <c r="L29" s="621">
        <f>+J29*K29</f>
        <v/>
      </c>
      <c r="M29" s="621">
        <f>+J29*K29</f>
        <v/>
      </c>
      <c r="N29" s="615" t="n"/>
      <c r="O29" s="619">
        <f>+D29</f>
        <v/>
      </c>
      <c r="P29" s="619" t="n"/>
      <c r="Q29" s="621">
        <f>+O29*P29</f>
        <v/>
      </c>
      <c r="R29" s="616" t="n"/>
      <c r="S29" s="621">
        <f>+F29+M29</f>
        <v/>
      </c>
      <c r="T29" s="616" t="n"/>
      <c r="U29" s="619" t="n"/>
      <c r="V29" s="619" t="n"/>
      <c r="W29" s="621">
        <f>+U29*V29</f>
        <v/>
      </c>
      <c r="X29" s="624" t="n"/>
      <c r="Z29" s="588" t="n"/>
      <c r="AA29" s="588" t="n"/>
      <c r="AB29" s="588" t="n"/>
      <c r="AC29" s="588" t="n"/>
      <c r="AD29" s="588" t="n"/>
      <c r="AE29" s="588" t="n"/>
      <c r="AF29" s="588" t="n"/>
      <c r="AG29" s="588" t="n"/>
      <c r="AH29" s="588" t="n"/>
      <c r="AI29" s="588" t="n"/>
      <c r="AJ29" s="588" t="n"/>
      <c r="AK29" s="588" t="n"/>
      <c r="AL29" s="588" t="n"/>
      <c r="AM29" s="588" t="n"/>
      <c r="AN29" s="588" t="n"/>
      <c r="AO29" s="588" t="n"/>
      <c r="AP29" s="588" t="n"/>
      <c r="AQ29" s="588" t="n"/>
      <c r="AR29" s="588" t="n"/>
      <c r="AS29" s="588" t="n"/>
      <c r="AT29" s="588" t="n"/>
      <c r="AU29" s="588" t="n"/>
      <c r="AV29" s="588" t="n"/>
      <c r="AW29" s="588" t="n"/>
      <c r="AX29" s="588" t="n"/>
      <c r="AY29" s="588" t="n"/>
      <c r="AZ29" s="588" t="n"/>
      <c r="BA29" s="588" t="n"/>
      <c r="BB29" s="588" t="n"/>
      <c r="BC29" s="588" t="n"/>
      <c r="BD29" s="588" t="n"/>
      <c r="BE29" s="588" t="n"/>
      <c r="BF29" s="588" t="n"/>
      <c r="BG29" s="588" t="n"/>
      <c r="BH29" s="588" t="n"/>
      <c r="BI29" s="588" t="n"/>
      <c r="BJ29" s="588" t="n"/>
      <c r="BK29" s="588" t="n"/>
      <c r="BL29" s="588" t="n"/>
      <c r="BM29" s="588" t="n"/>
      <c r="BN29" s="588" t="n"/>
      <c r="BO29" s="588" t="n"/>
      <c r="BP29" s="588" t="n"/>
      <c r="BQ29" s="588" t="n"/>
      <c r="BR29" s="588" t="n"/>
      <c r="BS29" s="588" t="n"/>
      <c r="BT29" s="588" t="n"/>
      <c r="BU29" s="588" t="n"/>
      <c r="BV29" s="588" t="n"/>
      <c r="BW29" s="588" t="n"/>
      <c r="BX29" s="588" t="n"/>
      <c r="BY29" s="588" t="n"/>
      <c r="BZ29" s="588" t="n"/>
      <c r="CA29" s="588" t="n"/>
      <c r="CB29" s="588" t="n"/>
      <c r="CC29" s="588" t="n"/>
      <c r="CD29" s="588" t="n"/>
      <c r="CE29" s="588" t="n"/>
      <c r="CF29" s="588" t="n"/>
      <c r="CG29" s="588" t="n"/>
      <c r="CH29" s="588" t="n"/>
      <c r="CI29" s="588" t="n"/>
      <c r="CJ29" s="588" t="n"/>
      <c r="CK29" s="588" t="n"/>
      <c r="CL29" s="588" t="n"/>
      <c r="CM29" s="588" t="n"/>
      <c r="CN29" s="588" t="n"/>
      <c r="CO29" s="588" t="n"/>
      <c r="CP29" s="588" t="n"/>
      <c r="CQ29" s="588" t="n"/>
      <c r="CR29" s="588" t="n"/>
      <c r="CS29" s="588" t="n"/>
      <c r="CT29" s="588" t="n"/>
      <c r="CU29" s="588" t="n"/>
      <c r="CV29" s="588" t="n"/>
      <c r="CW29" s="588" t="n"/>
      <c r="CX29" s="588" t="n"/>
      <c r="CY29" s="588" t="n"/>
      <c r="CZ29" s="588" t="n"/>
      <c r="DA29" s="588" t="n"/>
      <c r="DB29" s="588" t="n"/>
      <c r="DC29" s="588" t="n"/>
      <c r="DD29" s="588" t="n"/>
      <c r="DE29" s="588" t="n"/>
      <c r="DF29" s="588" t="n"/>
      <c r="DG29" s="588" t="n"/>
      <c r="DH29" s="588" t="n"/>
      <c r="DI29" s="588" t="n"/>
      <c r="DJ29" s="588" t="n"/>
      <c r="DK29" s="588" t="n"/>
      <c r="DL29" s="588" t="n"/>
      <c r="DM29" s="588" t="n"/>
      <c r="DN29" s="588" t="n"/>
      <c r="DO29" s="588" t="n"/>
      <c r="DP29" s="588" t="n"/>
      <c r="DQ29" s="588" t="n"/>
      <c r="DR29" s="588" t="n"/>
      <c r="DS29" s="588" t="n"/>
      <c r="DT29" s="588" t="n"/>
      <c r="DU29" s="588" t="n"/>
    </row>
    <row r="30" hidden="1" ht="13.5" customHeight="1" s="450">
      <c r="A30" s="590" t="n"/>
      <c r="B30" s="618" t="inlineStr">
        <is>
          <t>V19</t>
        </is>
      </c>
      <c r="C30" s="619" t="n"/>
      <c r="D30" s="619" t="n"/>
      <c r="E30" s="621">
        <f>+C30*D30</f>
        <v/>
      </c>
      <c r="F30" s="622">
        <f>+C30*D30</f>
        <v/>
      </c>
      <c r="G30" s="624" t="n"/>
      <c r="H30" s="588" t="n"/>
      <c r="I30" s="618" t="inlineStr">
        <is>
          <t>S19</t>
        </is>
      </c>
      <c r="J30" s="619" t="n"/>
      <c r="K30" s="619" t="n"/>
      <c r="L30" s="621">
        <f>+J30*K30</f>
        <v/>
      </c>
      <c r="M30" s="621">
        <f>+J30*K30</f>
        <v/>
      </c>
      <c r="N30" s="615" t="n"/>
      <c r="O30" s="619">
        <f>+D30</f>
        <v/>
      </c>
      <c r="P30" s="619" t="n"/>
      <c r="Q30" s="621">
        <f>+O30*P30</f>
        <v/>
      </c>
      <c r="R30" s="616" t="n"/>
      <c r="S30" s="621">
        <f>+F30+M30</f>
        <v/>
      </c>
      <c r="T30" s="616" t="n"/>
      <c r="U30" s="619" t="n"/>
      <c r="V30" s="619" t="n"/>
      <c r="W30" s="621">
        <f>+U30*V30</f>
        <v/>
      </c>
      <c r="X30" s="624" t="n"/>
      <c r="Z30" s="588" t="n"/>
      <c r="AA30" s="588" t="n"/>
      <c r="AB30" s="588" t="n"/>
      <c r="AC30" s="588" t="n"/>
      <c r="AD30" s="588" t="n"/>
      <c r="AE30" s="588" t="n"/>
      <c r="AF30" s="588" t="n"/>
      <c r="AG30" s="588" t="n"/>
      <c r="AH30" s="588" t="n"/>
      <c r="AI30" s="588" t="n"/>
      <c r="AJ30" s="588" t="n"/>
      <c r="AK30" s="588" t="n"/>
      <c r="AL30" s="588" t="n"/>
      <c r="AM30" s="588" t="n"/>
      <c r="AN30" s="588" t="n"/>
      <c r="AO30" s="588" t="n"/>
      <c r="AP30" s="588" t="n"/>
      <c r="AQ30" s="588" t="n"/>
      <c r="AR30" s="588" t="n"/>
      <c r="AS30" s="588" t="n"/>
      <c r="AT30" s="588" t="n"/>
      <c r="AU30" s="588" t="n"/>
      <c r="AV30" s="588" t="n"/>
      <c r="AW30" s="588" t="n"/>
      <c r="AX30" s="588" t="n"/>
      <c r="AY30" s="588" t="n"/>
      <c r="AZ30" s="588" t="n"/>
      <c r="BA30" s="588" t="n"/>
      <c r="BB30" s="588" t="n"/>
      <c r="BC30" s="588" t="n"/>
      <c r="BD30" s="588" t="n"/>
      <c r="BE30" s="588" t="n"/>
      <c r="BF30" s="588" t="n"/>
      <c r="BG30" s="588" t="n"/>
      <c r="BH30" s="588" t="n"/>
      <c r="BI30" s="588" t="n"/>
      <c r="BJ30" s="588" t="n"/>
      <c r="BK30" s="588" t="n"/>
      <c r="BL30" s="588" t="n"/>
      <c r="BM30" s="588" t="n"/>
      <c r="BN30" s="588" t="n"/>
      <c r="BO30" s="588" t="n"/>
      <c r="BP30" s="588" t="n"/>
      <c r="BQ30" s="588" t="n"/>
      <c r="BR30" s="588" t="n"/>
      <c r="BS30" s="588" t="n"/>
      <c r="BT30" s="588" t="n"/>
      <c r="BU30" s="588" t="n"/>
      <c r="BV30" s="588" t="n"/>
      <c r="BW30" s="588" t="n"/>
      <c r="BX30" s="588" t="n"/>
      <c r="BY30" s="588" t="n"/>
      <c r="BZ30" s="588" t="n"/>
      <c r="CA30" s="588" t="n"/>
      <c r="CB30" s="588" t="n"/>
      <c r="CC30" s="588" t="n"/>
      <c r="CD30" s="588" t="n"/>
      <c r="CE30" s="588" t="n"/>
      <c r="CF30" s="588" t="n"/>
      <c r="CG30" s="588" t="n"/>
      <c r="CH30" s="588" t="n"/>
      <c r="CI30" s="588" t="n"/>
      <c r="CJ30" s="588" t="n"/>
      <c r="CK30" s="588" t="n"/>
      <c r="CL30" s="588" t="n"/>
      <c r="CM30" s="588" t="n"/>
      <c r="CN30" s="588" t="n"/>
      <c r="CO30" s="588" t="n"/>
      <c r="CP30" s="588" t="n"/>
      <c r="CQ30" s="588" t="n"/>
      <c r="CR30" s="588" t="n"/>
      <c r="CS30" s="588" t="n"/>
      <c r="CT30" s="588" t="n"/>
      <c r="CU30" s="588" t="n"/>
      <c r="CV30" s="588" t="n"/>
      <c r="CW30" s="588" t="n"/>
      <c r="CX30" s="588" t="n"/>
      <c r="CY30" s="588" t="n"/>
      <c r="CZ30" s="588" t="n"/>
      <c r="DA30" s="588" t="n"/>
      <c r="DB30" s="588" t="n"/>
      <c r="DC30" s="588" t="n"/>
      <c r="DD30" s="588" t="n"/>
      <c r="DE30" s="588" t="n"/>
      <c r="DF30" s="588" t="n"/>
      <c r="DG30" s="588" t="n"/>
      <c r="DH30" s="588" t="n"/>
      <c r="DI30" s="588" t="n"/>
      <c r="DJ30" s="588" t="n"/>
      <c r="DK30" s="588" t="n"/>
      <c r="DL30" s="588" t="n"/>
      <c r="DM30" s="588" t="n"/>
      <c r="DN30" s="588" t="n"/>
      <c r="DO30" s="588" t="n"/>
      <c r="DP30" s="588" t="n"/>
      <c r="DQ30" s="588" t="n"/>
      <c r="DR30" s="588" t="n"/>
      <c r="DS30" s="588" t="n"/>
      <c r="DT30" s="588" t="n"/>
      <c r="DU30" s="588" t="n"/>
    </row>
    <row r="31" hidden="1" ht="9.75" customHeight="1" s="450">
      <c r="A31" s="590" t="n"/>
      <c r="B31" s="618" t="inlineStr">
        <is>
          <t>V20</t>
        </is>
      </c>
      <c r="C31" s="619" t="n"/>
      <c r="D31" s="619" t="n"/>
      <c r="E31" s="621">
        <f>+C31*D31</f>
        <v/>
      </c>
      <c r="F31" s="622">
        <f>+C31*D31</f>
        <v/>
      </c>
      <c r="G31" s="624" t="n"/>
      <c r="H31" s="588" t="n"/>
      <c r="I31" s="618" t="inlineStr">
        <is>
          <t>S20</t>
        </is>
      </c>
      <c r="J31" s="619" t="n"/>
      <c r="K31" s="619" t="n"/>
      <c r="L31" s="621">
        <f>+J31*K31</f>
        <v/>
      </c>
      <c r="M31" s="621">
        <f>+J31*K31</f>
        <v/>
      </c>
      <c r="N31" s="615" t="n"/>
      <c r="O31" s="619">
        <f>+D31</f>
        <v/>
      </c>
      <c r="P31" s="619" t="n"/>
      <c r="Q31" s="621">
        <f>+O31*P31</f>
        <v/>
      </c>
      <c r="R31" s="616" t="n"/>
      <c r="S31" s="621">
        <f>+F31+M31</f>
        <v/>
      </c>
      <c r="T31" s="616" t="n"/>
      <c r="U31" s="619" t="n"/>
      <c r="V31" s="619" t="n"/>
      <c r="W31" s="621">
        <f>+U31*V31</f>
        <v/>
      </c>
      <c r="X31" s="624" t="n"/>
      <c r="Z31" s="588" t="n"/>
      <c r="AA31" s="588" t="n"/>
      <c r="AB31" s="588" t="n"/>
      <c r="AC31" s="588" t="n"/>
      <c r="AD31" s="588" t="n"/>
      <c r="AE31" s="588" t="n"/>
      <c r="AF31" s="588" t="n"/>
      <c r="AG31" s="588" t="n"/>
      <c r="AH31" s="588" t="n"/>
      <c r="AI31" s="588" t="n"/>
      <c r="AJ31" s="588" t="n"/>
      <c r="AK31" s="588" t="n"/>
      <c r="AL31" s="588" t="n"/>
      <c r="AM31" s="588" t="n"/>
      <c r="AN31" s="588" t="n"/>
      <c r="AO31" s="588" t="n"/>
      <c r="AP31" s="588" t="n"/>
      <c r="AQ31" s="588" t="n"/>
      <c r="AR31" s="588" t="n"/>
      <c r="AS31" s="588" t="n"/>
      <c r="AT31" s="588" t="n"/>
      <c r="AU31" s="588" t="n"/>
      <c r="AV31" s="588" t="n"/>
      <c r="AW31" s="588" t="n"/>
      <c r="AX31" s="588" t="n"/>
      <c r="AY31" s="588" t="n"/>
      <c r="AZ31" s="588" t="n"/>
      <c r="BA31" s="588" t="n"/>
      <c r="BB31" s="588" t="n"/>
      <c r="BC31" s="588" t="n"/>
      <c r="BD31" s="588" t="n"/>
      <c r="BE31" s="588" t="n"/>
      <c r="BF31" s="588" t="n"/>
      <c r="BG31" s="588" t="n"/>
      <c r="BH31" s="588" t="n"/>
      <c r="BI31" s="588" t="n"/>
      <c r="BJ31" s="588" t="n"/>
      <c r="BK31" s="588" t="n"/>
      <c r="BL31" s="588" t="n"/>
      <c r="BM31" s="588" t="n"/>
      <c r="BN31" s="588" t="n"/>
      <c r="BO31" s="588" t="n"/>
      <c r="BP31" s="588" t="n"/>
      <c r="BQ31" s="588" t="n"/>
      <c r="BR31" s="588" t="n"/>
      <c r="BS31" s="588" t="n"/>
      <c r="BT31" s="588" t="n"/>
      <c r="BU31" s="588" t="n"/>
      <c r="BV31" s="588" t="n"/>
      <c r="BW31" s="588" t="n"/>
      <c r="BX31" s="588" t="n"/>
      <c r="BY31" s="588" t="n"/>
      <c r="BZ31" s="588" t="n"/>
      <c r="CA31" s="588" t="n"/>
      <c r="CB31" s="588" t="n"/>
      <c r="CC31" s="588" t="n"/>
      <c r="CD31" s="588" t="n"/>
      <c r="CE31" s="588" t="n"/>
      <c r="CF31" s="588" t="n"/>
      <c r="CG31" s="588" t="n"/>
      <c r="CH31" s="588" t="n"/>
      <c r="CI31" s="588" t="n"/>
      <c r="CJ31" s="588" t="n"/>
      <c r="CK31" s="588" t="n"/>
      <c r="CL31" s="588" t="n"/>
      <c r="CM31" s="588" t="n"/>
      <c r="CN31" s="588" t="n"/>
      <c r="CO31" s="588" t="n"/>
      <c r="CP31" s="588" t="n"/>
      <c r="CQ31" s="588" t="n"/>
      <c r="CR31" s="588" t="n"/>
      <c r="CS31" s="588" t="n"/>
      <c r="CT31" s="588" t="n"/>
      <c r="CU31" s="588" t="n"/>
      <c r="CV31" s="588" t="n"/>
      <c r="CW31" s="588" t="n"/>
      <c r="CX31" s="588" t="n"/>
      <c r="CY31" s="588" t="n"/>
      <c r="CZ31" s="588" t="n"/>
      <c r="DA31" s="588" t="n"/>
      <c r="DB31" s="588" t="n"/>
      <c r="DC31" s="588" t="n"/>
      <c r="DD31" s="588" t="n"/>
      <c r="DE31" s="588" t="n"/>
      <c r="DF31" s="588" t="n"/>
      <c r="DG31" s="588" t="n"/>
      <c r="DH31" s="588" t="n"/>
      <c r="DI31" s="588" t="n"/>
      <c r="DJ31" s="588" t="n"/>
      <c r="DK31" s="588" t="n"/>
      <c r="DL31" s="588" t="n"/>
      <c r="DM31" s="588" t="n"/>
      <c r="DN31" s="588" t="n"/>
      <c r="DO31" s="588" t="n"/>
      <c r="DP31" s="588" t="n"/>
      <c r="DQ31" s="588" t="n"/>
      <c r="DR31" s="588" t="n"/>
      <c r="DS31" s="588" t="n"/>
      <c r="DT31" s="588" t="n"/>
      <c r="DU31" s="588" t="n"/>
    </row>
    <row r="32" hidden="1" ht="15" customHeight="1" s="450">
      <c r="A32" s="590" t="n"/>
      <c r="B32" s="618" t="inlineStr">
        <is>
          <t>V21</t>
        </is>
      </c>
      <c r="C32" s="619" t="n"/>
      <c r="D32" s="619" t="n"/>
      <c r="E32" s="621">
        <f>+C32*D32</f>
        <v/>
      </c>
      <c r="F32" s="622">
        <f>+C32*D32</f>
        <v/>
      </c>
      <c r="G32" s="624" t="n"/>
      <c r="H32" s="588" t="n"/>
      <c r="I32" s="618" t="inlineStr">
        <is>
          <t>S21</t>
        </is>
      </c>
      <c r="J32" s="619" t="n"/>
      <c r="K32" s="619" t="n"/>
      <c r="L32" s="621">
        <f>+J32*K32</f>
        <v/>
      </c>
      <c r="M32" s="621">
        <f>+J32*K32</f>
        <v/>
      </c>
      <c r="N32" s="615" t="n"/>
      <c r="O32" s="619">
        <f>+D32</f>
        <v/>
      </c>
      <c r="P32" s="619" t="n"/>
      <c r="Q32" s="621">
        <f>+O32*P32</f>
        <v/>
      </c>
      <c r="R32" s="616" t="n"/>
      <c r="S32" s="621">
        <f>+F32+M32</f>
        <v/>
      </c>
      <c r="T32" s="616" t="n"/>
      <c r="U32" s="619" t="n"/>
      <c r="V32" s="619" t="n"/>
      <c r="W32" s="621">
        <f>+U32*V32</f>
        <v/>
      </c>
      <c r="X32" s="624" t="n"/>
      <c r="Z32" s="588" t="n"/>
      <c r="AA32" s="588" t="n"/>
      <c r="AB32" s="588" t="n"/>
      <c r="AC32" s="588" t="n"/>
      <c r="AD32" s="588" t="n"/>
      <c r="AE32" s="588" t="n"/>
      <c r="AF32" s="588" t="n"/>
      <c r="AG32" s="588" t="n"/>
      <c r="AH32" s="588" t="n"/>
      <c r="AI32" s="588" t="n"/>
      <c r="AJ32" s="588" t="n"/>
      <c r="AK32" s="588" t="n"/>
      <c r="AL32" s="588" t="n"/>
      <c r="AM32" s="588" t="n"/>
      <c r="AN32" s="588" t="n"/>
      <c r="AO32" s="588" t="n"/>
      <c r="AP32" s="588" t="n"/>
      <c r="AQ32" s="588" t="n"/>
      <c r="AR32" s="588" t="n"/>
      <c r="AS32" s="588" t="n"/>
      <c r="AT32" s="588" t="n"/>
      <c r="AU32" s="588" t="n"/>
      <c r="AV32" s="588" t="n"/>
      <c r="AW32" s="588" t="n"/>
      <c r="AX32" s="588" t="n"/>
      <c r="AY32" s="588" t="n"/>
      <c r="AZ32" s="588" t="n"/>
      <c r="BA32" s="588" t="n"/>
      <c r="BB32" s="588" t="n"/>
      <c r="BC32" s="588" t="n"/>
      <c r="BD32" s="588" t="n"/>
      <c r="BE32" s="588" t="n"/>
      <c r="BF32" s="588" t="n"/>
      <c r="BG32" s="588" t="n"/>
      <c r="BH32" s="588" t="n"/>
      <c r="BI32" s="588" t="n"/>
      <c r="BJ32" s="588" t="n"/>
      <c r="BK32" s="588" t="n"/>
      <c r="BL32" s="588" t="n"/>
      <c r="BM32" s="588" t="n"/>
      <c r="BN32" s="588" t="n"/>
      <c r="BO32" s="588" t="n"/>
      <c r="BP32" s="588" t="n"/>
      <c r="BQ32" s="588" t="n"/>
      <c r="BR32" s="588" t="n"/>
      <c r="BS32" s="588" t="n"/>
      <c r="BT32" s="588" t="n"/>
      <c r="BU32" s="588" t="n"/>
      <c r="BV32" s="588" t="n"/>
      <c r="BW32" s="588" t="n"/>
      <c r="BX32" s="588" t="n"/>
      <c r="BY32" s="588" t="n"/>
      <c r="BZ32" s="588" t="n"/>
      <c r="CA32" s="588" t="n"/>
      <c r="CB32" s="588" t="n"/>
      <c r="CC32" s="588" t="n"/>
      <c r="CD32" s="588" t="n"/>
      <c r="CE32" s="588" t="n"/>
      <c r="CF32" s="588" t="n"/>
      <c r="CG32" s="588" t="n"/>
      <c r="CH32" s="588" t="n"/>
      <c r="CI32" s="588" t="n"/>
      <c r="CJ32" s="588" t="n"/>
      <c r="CK32" s="588" t="n"/>
      <c r="CL32" s="588" t="n"/>
      <c r="CM32" s="588" t="n"/>
      <c r="CN32" s="588" t="n"/>
      <c r="CO32" s="588" t="n"/>
      <c r="CP32" s="588" t="n"/>
      <c r="CQ32" s="588" t="n"/>
      <c r="CR32" s="588" t="n"/>
      <c r="CS32" s="588" t="n"/>
      <c r="CT32" s="588" t="n"/>
      <c r="CU32" s="588" t="n"/>
      <c r="CV32" s="588" t="n"/>
      <c r="CW32" s="588" t="n"/>
      <c r="CX32" s="588" t="n"/>
      <c r="CY32" s="588" t="n"/>
      <c r="CZ32" s="588" t="n"/>
      <c r="DA32" s="588" t="n"/>
      <c r="DB32" s="588" t="n"/>
      <c r="DC32" s="588" t="n"/>
      <c r="DD32" s="588" t="n"/>
      <c r="DE32" s="588" t="n"/>
      <c r="DF32" s="588" t="n"/>
      <c r="DG32" s="588" t="n"/>
      <c r="DH32" s="588" t="n"/>
      <c r="DI32" s="588" t="n"/>
      <c r="DJ32" s="588" t="n"/>
      <c r="DK32" s="588" t="n"/>
      <c r="DL32" s="588" t="n"/>
      <c r="DM32" s="588" t="n"/>
      <c r="DN32" s="588" t="n"/>
      <c r="DO32" s="588" t="n"/>
      <c r="DP32" s="588" t="n"/>
      <c r="DQ32" s="588" t="n"/>
      <c r="DR32" s="588" t="n"/>
      <c r="DS32" s="588" t="n"/>
      <c r="DT32" s="588" t="n"/>
      <c r="DU32" s="588" t="n"/>
    </row>
    <row r="33" hidden="1" ht="12.75" customHeight="1" s="450">
      <c r="A33" s="590" t="n"/>
      <c r="B33" s="618" t="inlineStr">
        <is>
          <t>V22</t>
        </is>
      </c>
      <c r="C33" s="619" t="n"/>
      <c r="D33" s="619" t="n"/>
      <c r="E33" s="621">
        <f>+C33*D33</f>
        <v/>
      </c>
      <c r="F33" s="622">
        <f>+C33*D33</f>
        <v/>
      </c>
      <c r="G33" s="624" t="n"/>
      <c r="H33" s="588" t="n"/>
      <c r="I33" s="618" t="inlineStr">
        <is>
          <t>S22</t>
        </is>
      </c>
      <c r="J33" s="619" t="n"/>
      <c r="K33" s="619" t="n"/>
      <c r="L33" s="621">
        <f>+J33*K33</f>
        <v/>
      </c>
      <c r="M33" s="621">
        <f>+J33*K33</f>
        <v/>
      </c>
      <c r="N33" s="615" t="n"/>
      <c r="O33" s="619">
        <f>+D33</f>
        <v/>
      </c>
      <c r="P33" s="619" t="n"/>
      <c r="Q33" s="621">
        <f>+O33*P33</f>
        <v/>
      </c>
      <c r="R33" s="616" t="n"/>
      <c r="S33" s="621">
        <f>+F33+M33</f>
        <v/>
      </c>
      <c r="T33" s="616" t="n"/>
      <c r="U33" s="619" t="n"/>
      <c r="V33" s="619" t="n"/>
      <c r="W33" s="621">
        <f>+U33*V33</f>
        <v/>
      </c>
      <c r="X33" s="624" t="n"/>
      <c r="Z33" s="588" t="n"/>
      <c r="AA33" s="588" t="n"/>
      <c r="AB33" s="588" t="n"/>
      <c r="AC33" s="588" t="n"/>
      <c r="AD33" s="588" t="n"/>
      <c r="AE33" s="588" t="n"/>
      <c r="AF33" s="588" t="n"/>
      <c r="AG33" s="588" t="n"/>
      <c r="AH33" s="588" t="n"/>
      <c r="AI33" s="588" t="n"/>
      <c r="AJ33" s="588" t="n"/>
      <c r="AK33" s="588" t="n"/>
      <c r="AL33" s="588" t="n"/>
      <c r="AM33" s="588" t="n"/>
      <c r="AN33" s="588" t="n"/>
      <c r="AO33" s="588" t="n"/>
      <c r="AP33" s="588" t="n"/>
      <c r="AQ33" s="588" t="n"/>
      <c r="AR33" s="588" t="n"/>
      <c r="AS33" s="588" t="n"/>
      <c r="AT33" s="588" t="n"/>
      <c r="AU33" s="588" t="n"/>
      <c r="AV33" s="588" t="n"/>
      <c r="AW33" s="588" t="n"/>
      <c r="AX33" s="588" t="n"/>
      <c r="AY33" s="588" t="n"/>
      <c r="AZ33" s="588" t="n"/>
      <c r="BA33" s="588" t="n"/>
      <c r="BB33" s="588" t="n"/>
      <c r="BC33" s="588" t="n"/>
      <c r="BD33" s="588" t="n"/>
      <c r="BE33" s="588" t="n"/>
      <c r="BF33" s="588" t="n"/>
      <c r="BG33" s="588" t="n"/>
      <c r="BH33" s="588" t="n"/>
      <c r="BI33" s="588" t="n"/>
      <c r="BJ33" s="588" t="n"/>
      <c r="BK33" s="588" t="n"/>
      <c r="BL33" s="588" t="n"/>
      <c r="BM33" s="588" t="n"/>
      <c r="BN33" s="588" t="n"/>
      <c r="BO33" s="588" t="n"/>
      <c r="BP33" s="588" t="n"/>
      <c r="BQ33" s="588" t="n"/>
      <c r="BR33" s="588" t="n"/>
      <c r="BS33" s="588" t="n"/>
      <c r="BT33" s="588" t="n"/>
      <c r="BU33" s="588" t="n"/>
      <c r="BV33" s="588" t="n"/>
      <c r="BW33" s="588" t="n"/>
      <c r="BX33" s="588" t="n"/>
      <c r="BY33" s="588" t="n"/>
      <c r="BZ33" s="588" t="n"/>
      <c r="CA33" s="588" t="n"/>
      <c r="CB33" s="588" t="n"/>
      <c r="CC33" s="588" t="n"/>
      <c r="CD33" s="588" t="n"/>
      <c r="CE33" s="588" t="n"/>
      <c r="CF33" s="588" t="n"/>
      <c r="CG33" s="588" t="n"/>
      <c r="CH33" s="588" t="n"/>
      <c r="CI33" s="588" t="n"/>
      <c r="CJ33" s="588" t="n"/>
      <c r="CK33" s="588" t="n"/>
      <c r="CL33" s="588" t="n"/>
      <c r="CM33" s="588" t="n"/>
      <c r="CN33" s="588" t="n"/>
      <c r="CO33" s="588" t="n"/>
      <c r="CP33" s="588" t="n"/>
      <c r="CQ33" s="588" t="n"/>
      <c r="CR33" s="588" t="n"/>
      <c r="CS33" s="588" t="n"/>
      <c r="CT33" s="588" t="n"/>
      <c r="CU33" s="588" t="n"/>
      <c r="CV33" s="588" t="n"/>
      <c r="CW33" s="588" t="n"/>
      <c r="CX33" s="588" t="n"/>
      <c r="CY33" s="588" t="n"/>
      <c r="CZ33" s="588" t="n"/>
      <c r="DA33" s="588" t="n"/>
      <c r="DB33" s="588" t="n"/>
      <c r="DC33" s="588" t="n"/>
      <c r="DD33" s="588" t="n"/>
      <c r="DE33" s="588" t="n"/>
      <c r="DF33" s="588" t="n"/>
      <c r="DG33" s="588" t="n"/>
      <c r="DH33" s="588" t="n"/>
      <c r="DI33" s="588" t="n"/>
      <c r="DJ33" s="588" t="n"/>
      <c r="DK33" s="588" t="n"/>
      <c r="DL33" s="588" t="n"/>
      <c r="DM33" s="588" t="n"/>
      <c r="DN33" s="588" t="n"/>
      <c r="DO33" s="588" t="n"/>
      <c r="DP33" s="588" t="n"/>
      <c r="DQ33" s="588" t="n"/>
      <c r="DR33" s="588" t="n"/>
      <c r="DS33" s="588" t="n"/>
      <c r="DT33" s="588" t="n"/>
      <c r="DU33" s="588" t="n"/>
    </row>
    <row r="34" hidden="1" ht="14.25" customHeight="1" s="450">
      <c r="A34" s="590" t="n"/>
      <c r="B34" s="618" t="inlineStr">
        <is>
          <t>V23</t>
        </is>
      </c>
      <c r="C34" s="619" t="n"/>
      <c r="D34" s="619" t="n"/>
      <c r="E34" s="621">
        <f>+C34*D34</f>
        <v/>
      </c>
      <c r="F34" s="622">
        <f>+C34*D34</f>
        <v/>
      </c>
      <c r="G34" s="624" t="n"/>
      <c r="H34" s="588" t="n"/>
      <c r="I34" s="618" t="inlineStr">
        <is>
          <t>S23</t>
        </is>
      </c>
      <c r="J34" s="619" t="n"/>
      <c r="K34" s="619" t="n"/>
      <c r="L34" s="621">
        <f>+J34*K34</f>
        <v/>
      </c>
      <c r="M34" s="621">
        <f>+J34*K34</f>
        <v/>
      </c>
      <c r="N34" s="615" t="n"/>
      <c r="O34" s="619">
        <f>+D34</f>
        <v/>
      </c>
      <c r="P34" s="619" t="n"/>
      <c r="Q34" s="621">
        <f>+O34*P34</f>
        <v/>
      </c>
      <c r="R34" s="616" t="n"/>
      <c r="S34" s="621">
        <f>+F34+M34</f>
        <v/>
      </c>
      <c r="T34" s="616" t="n"/>
      <c r="U34" s="619" t="n"/>
      <c r="V34" s="619" t="n"/>
      <c r="W34" s="621">
        <f>+U34*V34</f>
        <v/>
      </c>
      <c r="X34" s="624" t="n"/>
      <c r="Z34" s="588" t="n"/>
      <c r="AA34" s="588" t="n"/>
      <c r="AB34" s="588" t="n"/>
      <c r="AC34" s="588" t="n"/>
      <c r="AD34" s="588" t="n"/>
      <c r="AE34" s="588" t="n"/>
      <c r="AF34" s="588" t="n"/>
      <c r="AG34" s="588" t="n"/>
      <c r="AH34" s="588" t="n"/>
      <c r="AI34" s="588" t="n"/>
      <c r="AJ34" s="588" t="n"/>
      <c r="AK34" s="588" t="n"/>
      <c r="AL34" s="588" t="n"/>
      <c r="AM34" s="588" t="n"/>
      <c r="AN34" s="588" t="n"/>
      <c r="AO34" s="588" t="n"/>
      <c r="AP34" s="588" t="n"/>
      <c r="AQ34" s="588" t="n"/>
      <c r="AR34" s="588" t="n"/>
      <c r="AS34" s="588" t="n"/>
      <c r="AT34" s="588" t="n"/>
      <c r="AU34" s="588" t="n"/>
      <c r="AV34" s="588" t="n"/>
      <c r="AW34" s="588" t="n"/>
      <c r="AX34" s="588" t="n"/>
      <c r="AY34" s="588" t="n"/>
      <c r="AZ34" s="588" t="n"/>
      <c r="BA34" s="588" t="n"/>
      <c r="BB34" s="588" t="n"/>
      <c r="BC34" s="588" t="n"/>
      <c r="BD34" s="588" t="n"/>
      <c r="BE34" s="588" t="n"/>
      <c r="BF34" s="588" t="n"/>
      <c r="BG34" s="588" t="n"/>
      <c r="BH34" s="588" t="n"/>
      <c r="BI34" s="588" t="n"/>
      <c r="BJ34" s="588" t="n"/>
      <c r="BK34" s="588" t="n"/>
      <c r="BL34" s="588" t="n"/>
      <c r="BM34" s="588" t="n"/>
      <c r="BN34" s="588" t="n"/>
      <c r="BO34" s="588" t="n"/>
      <c r="BP34" s="588" t="n"/>
      <c r="BQ34" s="588" t="n"/>
      <c r="BR34" s="588" t="n"/>
      <c r="BS34" s="588" t="n"/>
      <c r="BT34" s="588" t="n"/>
      <c r="BU34" s="588" t="n"/>
      <c r="BV34" s="588" t="n"/>
      <c r="BW34" s="588" t="n"/>
      <c r="BX34" s="588" t="n"/>
      <c r="BY34" s="588" t="n"/>
      <c r="BZ34" s="588" t="n"/>
      <c r="CA34" s="588" t="n"/>
      <c r="CB34" s="588" t="n"/>
      <c r="CC34" s="588" t="n"/>
      <c r="CD34" s="588" t="n"/>
      <c r="CE34" s="588" t="n"/>
      <c r="CF34" s="588" t="n"/>
      <c r="CG34" s="588" t="n"/>
      <c r="CH34" s="588" t="n"/>
      <c r="CI34" s="588" t="n"/>
      <c r="CJ34" s="588" t="n"/>
      <c r="CK34" s="588" t="n"/>
      <c r="CL34" s="588" t="n"/>
      <c r="CM34" s="588" t="n"/>
      <c r="CN34" s="588" t="n"/>
      <c r="CO34" s="588" t="n"/>
      <c r="CP34" s="588" t="n"/>
      <c r="CQ34" s="588" t="n"/>
      <c r="CR34" s="588" t="n"/>
      <c r="CS34" s="588" t="n"/>
      <c r="CT34" s="588" t="n"/>
      <c r="CU34" s="588" t="n"/>
      <c r="CV34" s="588" t="n"/>
      <c r="CW34" s="588" t="n"/>
      <c r="CX34" s="588" t="n"/>
      <c r="CY34" s="588" t="n"/>
      <c r="CZ34" s="588" t="n"/>
      <c r="DA34" s="588" t="n"/>
      <c r="DB34" s="588" t="n"/>
      <c r="DC34" s="588" t="n"/>
      <c r="DD34" s="588" t="n"/>
      <c r="DE34" s="588" t="n"/>
      <c r="DF34" s="588" t="n"/>
      <c r="DG34" s="588" t="n"/>
      <c r="DH34" s="588" t="n"/>
      <c r="DI34" s="588" t="n"/>
      <c r="DJ34" s="588" t="n"/>
      <c r="DK34" s="588" t="n"/>
      <c r="DL34" s="588" t="n"/>
      <c r="DM34" s="588" t="n"/>
      <c r="DN34" s="588" t="n"/>
      <c r="DO34" s="588" t="n"/>
      <c r="DP34" s="588" t="n"/>
      <c r="DQ34" s="588" t="n"/>
      <c r="DR34" s="588" t="n"/>
      <c r="DS34" s="588" t="n"/>
      <c r="DT34" s="588" t="n"/>
      <c r="DU34" s="588" t="n"/>
    </row>
    <row r="35" hidden="1" ht="18.75" customHeight="1" s="450">
      <c r="A35" s="590" t="n"/>
      <c r="B35" s="618" t="inlineStr">
        <is>
          <t>V24</t>
        </is>
      </c>
      <c r="C35" s="619" t="n"/>
      <c r="D35" s="619" t="n"/>
      <c r="E35" s="621">
        <f>+C35*D35</f>
        <v/>
      </c>
      <c r="F35" s="622">
        <f>+C35*D35</f>
        <v/>
      </c>
      <c r="G35" s="624" t="n"/>
      <c r="H35" s="588" t="n"/>
      <c r="I35" s="618" t="inlineStr">
        <is>
          <t>S24</t>
        </is>
      </c>
      <c r="J35" s="619" t="n"/>
      <c r="K35" s="619" t="n"/>
      <c r="L35" s="621">
        <f>+J35*K35</f>
        <v/>
      </c>
      <c r="M35" s="621">
        <f>+J35*K35</f>
        <v/>
      </c>
      <c r="N35" s="615" t="n"/>
      <c r="O35" s="619">
        <f>+D35</f>
        <v/>
      </c>
      <c r="P35" s="619" t="n"/>
      <c r="Q35" s="621">
        <f>+O35*P35</f>
        <v/>
      </c>
      <c r="R35" s="616" t="n"/>
      <c r="S35" s="621">
        <f>+F35+M35</f>
        <v/>
      </c>
      <c r="T35" s="616" t="n"/>
      <c r="U35" s="619" t="n"/>
      <c r="V35" s="619" t="n"/>
      <c r="W35" s="621">
        <f>+U35*V35</f>
        <v/>
      </c>
      <c r="X35" s="624" t="n"/>
      <c r="Z35" s="588" t="n"/>
      <c r="AA35" s="588" t="n"/>
      <c r="AB35" s="588" t="n"/>
      <c r="AC35" s="588" t="n"/>
      <c r="AD35" s="588" t="n"/>
      <c r="AE35" s="588" t="n"/>
      <c r="AF35" s="588" t="n"/>
      <c r="AG35" s="588" t="n"/>
      <c r="AH35" s="588" t="n"/>
      <c r="AI35" s="588" t="n"/>
      <c r="AJ35" s="588" t="n"/>
      <c r="AK35" s="588" t="n"/>
      <c r="AL35" s="588" t="n"/>
      <c r="AM35" s="588" t="n"/>
      <c r="AN35" s="588" t="n"/>
      <c r="AO35" s="588" t="n"/>
      <c r="AP35" s="588" t="n"/>
      <c r="AQ35" s="588" t="n"/>
      <c r="AR35" s="588" t="n"/>
      <c r="AS35" s="588" t="n"/>
      <c r="AT35" s="588" t="n"/>
      <c r="AU35" s="588" t="n"/>
      <c r="AV35" s="588" t="n"/>
      <c r="AW35" s="588" t="n"/>
      <c r="AX35" s="588" t="n"/>
      <c r="AY35" s="588" t="n"/>
      <c r="AZ35" s="588" t="n"/>
      <c r="BA35" s="588" t="n"/>
      <c r="BB35" s="588" t="n"/>
      <c r="BC35" s="588" t="n"/>
      <c r="BD35" s="588" t="n"/>
      <c r="BE35" s="588" t="n"/>
      <c r="BF35" s="588" t="n"/>
      <c r="BG35" s="588" t="n"/>
      <c r="BH35" s="588" t="n"/>
      <c r="BI35" s="588" t="n"/>
      <c r="BJ35" s="588" t="n"/>
      <c r="BK35" s="588" t="n"/>
      <c r="BL35" s="588" t="n"/>
      <c r="BM35" s="588" t="n"/>
      <c r="BN35" s="588" t="n"/>
      <c r="BO35" s="588" t="n"/>
      <c r="BP35" s="588" t="n"/>
      <c r="BQ35" s="588" t="n"/>
      <c r="BR35" s="588" t="n"/>
      <c r="BS35" s="588" t="n"/>
      <c r="BT35" s="588" t="n"/>
      <c r="BU35" s="588" t="n"/>
      <c r="BV35" s="588" t="n"/>
      <c r="BW35" s="588" t="n"/>
      <c r="BX35" s="588" t="n"/>
      <c r="BY35" s="588" t="n"/>
      <c r="BZ35" s="588" t="n"/>
      <c r="CA35" s="588" t="n"/>
      <c r="CB35" s="588" t="n"/>
      <c r="CC35" s="588" t="n"/>
      <c r="CD35" s="588" t="n"/>
      <c r="CE35" s="588" t="n"/>
      <c r="CF35" s="588" t="n"/>
      <c r="CG35" s="588" t="n"/>
      <c r="CH35" s="588" t="n"/>
      <c r="CI35" s="588" t="n"/>
      <c r="CJ35" s="588" t="n"/>
      <c r="CK35" s="588" t="n"/>
      <c r="CL35" s="588" t="n"/>
      <c r="CM35" s="588" t="n"/>
      <c r="CN35" s="588" t="n"/>
      <c r="CO35" s="588" t="n"/>
      <c r="CP35" s="588" t="n"/>
      <c r="CQ35" s="588" t="n"/>
      <c r="CR35" s="588" t="n"/>
      <c r="CS35" s="588" t="n"/>
      <c r="CT35" s="588" t="n"/>
      <c r="CU35" s="588" t="n"/>
      <c r="CV35" s="588" t="n"/>
      <c r="CW35" s="588" t="n"/>
      <c r="CX35" s="588" t="n"/>
      <c r="CY35" s="588" t="n"/>
      <c r="CZ35" s="588" t="n"/>
      <c r="DA35" s="588" t="n"/>
      <c r="DB35" s="588" t="n"/>
      <c r="DC35" s="588" t="n"/>
      <c r="DD35" s="588" t="n"/>
      <c r="DE35" s="588" t="n"/>
      <c r="DF35" s="588" t="n"/>
      <c r="DG35" s="588" t="n"/>
      <c r="DH35" s="588" t="n"/>
      <c r="DI35" s="588" t="n"/>
      <c r="DJ35" s="588" t="n"/>
      <c r="DK35" s="588" t="n"/>
      <c r="DL35" s="588" t="n"/>
      <c r="DM35" s="588" t="n"/>
      <c r="DN35" s="588" t="n"/>
      <c r="DO35" s="588" t="n"/>
      <c r="DP35" s="588" t="n"/>
      <c r="DQ35" s="588" t="n"/>
      <c r="DR35" s="588" t="n"/>
      <c r="DS35" s="588" t="n"/>
      <c r="DT35" s="588" t="n"/>
      <c r="DU35" s="588" t="n"/>
    </row>
    <row r="36" hidden="1" ht="9" customHeight="1" s="450">
      <c r="A36" s="590" t="n"/>
      <c r="B36" s="618" t="inlineStr">
        <is>
          <t>V25</t>
        </is>
      </c>
      <c r="C36" s="619" t="n"/>
      <c r="D36" s="619" t="n"/>
      <c r="E36" s="621">
        <f>+C36*D36</f>
        <v/>
      </c>
      <c r="F36" s="622">
        <f>+C36*D36</f>
        <v/>
      </c>
      <c r="G36" s="624" t="n"/>
      <c r="H36" s="588" t="n"/>
      <c r="I36" s="618" t="inlineStr">
        <is>
          <t>S25</t>
        </is>
      </c>
      <c r="J36" s="619" t="n"/>
      <c r="K36" s="619" t="n"/>
      <c r="L36" s="621">
        <f>+J36*K36</f>
        <v/>
      </c>
      <c r="M36" s="621">
        <f>+J36*K36</f>
        <v/>
      </c>
      <c r="N36" s="615" t="n"/>
      <c r="O36" s="619">
        <f>+D36</f>
        <v/>
      </c>
      <c r="P36" s="619" t="n"/>
      <c r="Q36" s="621">
        <f>+O36*P36</f>
        <v/>
      </c>
      <c r="R36" s="616" t="n"/>
      <c r="S36" s="621">
        <f>+F36+M36</f>
        <v/>
      </c>
      <c r="T36" s="616" t="n"/>
      <c r="U36" s="619" t="n"/>
      <c r="V36" s="619" t="n"/>
      <c r="W36" s="621">
        <f>+U36*V36</f>
        <v/>
      </c>
      <c r="X36" s="624" t="n"/>
      <c r="Z36" s="588" t="n"/>
      <c r="AA36" s="588" t="n"/>
      <c r="AB36" s="588" t="n"/>
      <c r="AC36" s="588" t="n"/>
      <c r="AD36" s="588" t="n"/>
      <c r="AE36" s="588" t="n"/>
      <c r="AF36" s="588" t="n"/>
      <c r="AG36" s="588" t="n"/>
      <c r="AH36" s="588" t="n"/>
      <c r="AI36" s="588" t="n"/>
      <c r="AJ36" s="588" t="n"/>
      <c r="AK36" s="588" t="n"/>
      <c r="AL36" s="588" t="n"/>
      <c r="AM36" s="588" t="n"/>
      <c r="AN36" s="588" t="n"/>
      <c r="AO36" s="588" t="n"/>
      <c r="AP36" s="588" t="n"/>
      <c r="AQ36" s="588" t="n"/>
      <c r="AR36" s="588" t="n"/>
      <c r="AS36" s="588" t="n"/>
      <c r="AT36" s="588" t="n"/>
      <c r="AU36" s="588" t="n"/>
      <c r="AV36" s="588" t="n"/>
      <c r="AW36" s="588" t="n"/>
      <c r="AX36" s="588" t="n"/>
      <c r="AY36" s="588" t="n"/>
      <c r="AZ36" s="588" t="n"/>
      <c r="BA36" s="588" t="n"/>
      <c r="BB36" s="588" t="n"/>
      <c r="BC36" s="588" t="n"/>
      <c r="BD36" s="588" t="n"/>
      <c r="BE36" s="588" t="n"/>
      <c r="BF36" s="588" t="n"/>
      <c r="BG36" s="588" t="n"/>
      <c r="BH36" s="588" t="n"/>
      <c r="BI36" s="588" t="n"/>
      <c r="BJ36" s="588" t="n"/>
      <c r="BK36" s="588" t="n"/>
      <c r="BL36" s="588" t="n"/>
      <c r="BM36" s="588" t="n"/>
      <c r="BN36" s="588" t="n"/>
      <c r="BO36" s="588" t="n"/>
      <c r="BP36" s="588" t="n"/>
      <c r="BQ36" s="588" t="n"/>
      <c r="BR36" s="588" t="n"/>
      <c r="BS36" s="588" t="n"/>
      <c r="BT36" s="588" t="n"/>
      <c r="BU36" s="588" t="n"/>
      <c r="BV36" s="588" t="n"/>
      <c r="BW36" s="588" t="n"/>
      <c r="BX36" s="588" t="n"/>
      <c r="BY36" s="588" t="n"/>
      <c r="BZ36" s="588" t="n"/>
      <c r="CA36" s="588" t="n"/>
      <c r="CB36" s="588" t="n"/>
      <c r="CC36" s="588" t="n"/>
      <c r="CD36" s="588" t="n"/>
      <c r="CE36" s="588" t="n"/>
      <c r="CF36" s="588" t="n"/>
      <c r="CG36" s="588" t="n"/>
      <c r="CH36" s="588" t="n"/>
      <c r="CI36" s="588" t="n"/>
      <c r="CJ36" s="588" t="n"/>
      <c r="CK36" s="588" t="n"/>
      <c r="CL36" s="588" t="n"/>
      <c r="CM36" s="588" t="n"/>
      <c r="CN36" s="588" t="n"/>
      <c r="CO36" s="588" t="n"/>
      <c r="CP36" s="588" t="n"/>
      <c r="CQ36" s="588" t="n"/>
      <c r="CR36" s="588" t="n"/>
      <c r="CS36" s="588" t="n"/>
      <c r="CT36" s="588" t="n"/>
      <c r="CU36" s="588" t="n"/>
      <c r="CV36" s="588" t="n"/>
      <c r="CW36" s="588" t="n"/>
      <c r="CX36" s="588" t="n"/>
      <c r="CY36" s="588" t="n"/>
      <c r="CZ36" s="588" t="n"/>
      <c r="DA36" s="588" t="n"/>
      <c r="DB36" s="588" t="n"/>
      <c r="DC36" s="588" t="n"/>
      <c r="DD36" s="588" t="n"/>
      <c r="DE36" s="588" t="n"/>
      <c r="DF36" s="588" t="n"/>
      <c r="DG36" s="588" t="n"/>
      <c r="DH36" s="588" t="n"/>
      <c r="DI36" s="588" t="n"/>
      <c r="DJ36" s="588" t="n"/>
      <c r="DK36" s="588" t="n"/>
      <c r="DL36" s="588" t="n"/>
      <c r="DM36" s="588" t="n"/>
      <c r="DN36" s="588" t="n"/>
      <c r="DO36" s="588" t="n"/>
      <c r="DP36" s="588" t="n"/>
      <c r="DQ36" s="588" t="n"/>
      <c r="DR36" s="588" t="n"/>
      <c r="DS36" s="588" t="n"/>
      <c r="DT36" s="588" t="n"/>
      <c r="DU36" s="588" t="n"/>
    </row>
    <row r="37" hidden="1" ht="15.75" customHeight="1" s="450">
      <c r="A37" s="590" t="n"/>
      <c r="B37" s="618" t="inlineStr">
        <is>
          <t>V26</t>
        </is>
      </c>
      <c r="C37" s="619" t="n"/>
      <c r="D37" s="619" t="n"/>
      <c r="E37" s="621">
        <f>+C37*D37</f>
        <v/>
      </c>
      <c r="F37" s="622">
        <f>+C37*D37</f>
        <v/>
      </c>
      <c r="G37" s="624" t="n"/>
      <c r="H37" s="588" t="n"/>
      <c r="I37" s="618" t="inlineStr">
        <is>
          <t>S26</t>
        </is>
      </c>
      <c r="J37" s="619" t="n"/>
      <c r="K37" s="619" t="n"/>
      <c r="L37" s="621">
        <f>+J37*K37</f>
        <v/>
      </c>
      <c r="M37" s="621">
        <f>+J37*K37</f>
        <v/>
      </c>
      <c r="N37" s="615" t="n"/>
      <c r="O37" s="619">
        <f>+D37</f>
        <v/>
      </c>
      <c r="P37" s="619" t="n"/>
      <c r="Q37" s="621">
        <f>+O37*P37</f>
        <v/>
      </c>
      <c r="R37" s="616" t="n"/>
      <c r="S37" s="621">
        <f>+F37+M37</f>
        <v/>
      </c>
      <c r="T37" s="616" t="n"/>
      <c r="U37" s="619" t="n"/>
      <c r="V37" s="619" t="n"/>
      <c r="W37" s="621">
        <f>+U37*V37</f>
        <v/>
      </c>
      <c r="X37" s="624" t="n"/>
      <c r="Z37" s="588" t="n"/>
      <c r="AA37" s="588" t="n"/>
      <c r="AB37" s="588" t="n"/>
      <c r="AC37" s="588" t="n"/>
      <c r="AD37" s="588" t="n"/>
      <c r="AE37" s="588" t="n"/>
      <c r="AF37" s="588" t="n"/>
      <c r="AG37" s="588" t="n"/>
      <c r="AH37" s="588" t="n"/>
      <c r="AI37" s="588" t="n"/>
      <c r="AJ37" s="588" t="n"/>
      <c r="AK37" s="588" t="n"/>
      <c r="AL37" s="588" t="n"/>
      <c r="AM37" s="588" t="n"/>
      <c r="AN37" s="588" t="n"/>
      <c r="AO37" s="588" t="n"/>
      <c r="AP37" s="588" t="n"/>
      <c r="AQ37" s="588" t="n"/>
      <c r="AR37" s="588" t="n"/>
      <c r="AS37" s="588" t="n"/>
      <c r="AT37" s="588" t="n"/>
      <c r="AU37" s="588" t="n"/>
      <c r="AV37" s="588" t="n"/>
      <c r="AW37" s="588" t="n"/>
      <c r="AX37" s="588" t="n"/>
      <c r="AY37" s="588" t="n"/>
      <c r="AZ37" s="588" t="n"/>
      <c r="BA37" s="588" t="n"/>
      <c r="BB37" s="588" t="n"/>
      <c r="BC37" s="588" t="n"/>
      <c r="BD37" s="588" t="n"/>
      <c r="BE37" s="588" t="n"/>
      <c r="BF37" s="588" t="n"/>
      <c r="BG37" s="588" t="n"/>
      <c r="BH37" s="588" t="n"/>
      <c r="BI37" s="588" t="n"/>
      <c r="BJ37" s="588" t="n"/>
      <c r="BK37" s="588" t="n"/>
      <c r="BL37" s="588" t="n"/>
      <c r="BM37" s="588" t="n"/>
      <c r="BN37" s="588" t="n"/>
      <c r="BO37" s="588" t="n"/>
      <c r="BP37" s="588" t="n"/>
      <c r="BQ37" s="588" t="n"/>
      <c r="BR37" s="588" t="n"/>
      <c r="BS37" s="588" t="n"/>
      <c r="BT37" s="588" t="n"/>
      <c r="BU37" s="588" t="n"/>
      <c r="BV37" s="588" t="n"/>
      <c r="BW37" s="588" t="n"/>
      <c r="BX37" s="588" t="n"/>
      <c r="BY37" s="588" t="n"/>
      <c r="BZ37" s="588" t="n"/>
      <c r="CA37" s="588" t="n"/>
      <c r="CB37" s="588" t="n"/>
      <c r="CC37" s="588" t="n"/>
      <c r="CD37" s="588" t="n"/>
      <c r="CE37" s="588" t="n"/>
      <c r="CF37" s="588" t="n"/>
      <c r="CG37" s="588" t="n"/>
      <c r="CH37" s="588" t="n"/>
      <c r="CI37" s="588" t="n"/>
      <c r="CJ37" s="588" t="n"/>
      <c r="CK37" s="588" t="n"/>
      <c r="CL37" s="588" t="n"/>
      <c r="CM37" s="588" t="n"/>
      <c r="CN37" s="588" t="n"/>
      <c r="CO37" s="588" t="n"/>
      <c r="CP37" s="588" t="n"/>
      <c r="CQ37" s="588" t="n"/>
      <c r="CR37" s="588" t="n"/>
      <c r="CS37" s="588" t="n"/>
      <c r="CT37" s="588" t="n"/>
      <c r="CU37" s="588" t="n"/>
      <c r="CV37" s="588" t="n"/>
      <c r="CW37" s="588" t="n"/>
      <c r="CX37" s="588" t="n"/>
      <c r="CY37" s="588" t="n"/>
      <c r="CZ37" s="588" t="n"/>
      <c r="DA37" s="588" t="n"/>
      <c r="DB37" s="588" t="n"/>
      <c r="DC37" s="588" t="n"/>
      <c r="DD37" s="588" t="n"/>
      <c r="DE37" s="588" t="n"/>
      <c r="DF37" s="588" t="n"/>
      <c r="DG37" s="588" t="n"/>
      <c r="DH37" s="588" t="n"/>
      <c r="DI37" s="588" t="n"/>
      <c r="DJ37" s="588" t="n"/>
      <c r="DK37" s="588" t="n"/>
      <c r="DL37" s="588" t="n"/>
      <c r="DM37" s="588" t="n"/>
      <c r="DN37" s="588" t="n"/>
      <c r="DO37" s="588" t="n"/>
      <c r="DP37" s="588" t="n"/>
      <c r="DQ37" s="588" t="n"/>
      <c r="DR37" s="588" t="n"/>
      <c r="DS37" s="588" t="n"/>
      <c r="DT37" s="588" t="n"/>
      <c r="DU37" s="588" t="n"/>
    </row>
    <row r="38" hidden="1" ht="15.75" customHeight="1" s="450">
      <c r="A38" s="590" t="n"/>
      <c r="B38" s="618" t="inlineStr">
        <is>
          <t>V27</t>
        </is>
      </c>
      <c r="C38" s="619" t="n"/>
      <c r="D38" s="619" t="n"/>
      <c r="E38" s="621">
        <f>+C38*D38</f>
        <v/>
      </c>
      <c r="F38" s="622">
        <f>+C38*D38</f>
        <v/>
      </c>
      <c r="G38" s="624" t="n"/>
      <c r="H38" s="588" t="n"/>
      <c r="I38" s="618" t="inlineStr">
        <is>
          <t>S27</t>
        </is>
      </c>
      <c r="J38" s="619" t="n"/>
      <c r="K38" s="619" t="n"/>
      <c r="L38" s="621">
        <f>+J38*K38</f>
        <v/>
      </c>
      <c r="M38" s="621">
        <f>+J38*K38</f>
        <v/>
      </c>
      <c r="N38" s="615" t="n"/>
      <c r="O38" s="619">
        <f>+D38</f>
        <v/>
      </c>
      <c r="P38" s="619" t="n"/>
      <c r="Q38" s="621">
        <f>+O38*P38</f>
        <v/>
      </c>
      <c r="R38" s="616" t="n"/>
      <c r="S38" s="621">
        <f>+F38+M38</f>
        <v/>
      </c>
      <c r="T38" s="616" t="n"/>
      <c r="U38" s="619" t="n"/>
      <c r="V38" s="619" t="n"/>
      <c r="W38" s="621">
        <f>+U38*V38</f>
        <v/>
      </c>
      <c r="X38" s="624" t="n"/>
      <c r="Z38" s="588" t="n"/>
      <c r="AA38" s="588" t="n"/>
      <c r="AB38" s="588" t="n"/>
      <c r="AC38" s="588" t="n"/>
      <c r="AD38" s="588" t="n"/>
      <c r="AE38" s="588" t="n"/>
      <c r="AF38" s="588" t="n"/>
      <c r="AG38" s="588" t="n"/>
      <c r="AH38" s="588" t="n"/>
      <c r="AI38" s="588" t="n"/>
      <c r="AJ38" s="588" t="n"/>
      <c r="AK38" s="588" t="n"/>
      <c r="AL38" s="588" t="n"/>
      <c r="AM38" s="588" t="n"/>
      <c r="AN38" s="588" t="n"/>
      <c r="AO38" s="588" t="n"/>
      <c r="AP38" s="588" t="n"/>
      <c r="AQ38" s="588" t="n"/>
      <c r="AR38" s="588" t="n"/>
      <c r="AS38" s="588" t="n"/>
      <c r="AT38" s="588" t="n"/>
      <c r="AU38" s="588" t="n"/>
      <c r="AV38" s="588" t="n"/>
      <c r="AW38" s="588" t="n"/>
      <c r="AX38" s="588" t="n"/>
      <c r="AY38" s="588" t="n"/>
      <c r="AZ38" s="588" t="n"/>
      <c r="BA38" s="588" t="n"/>
      <c r="BB38" s="588" t="n"/>
      <c r="BC38" s="588" t="n"/>
      <c r="BD38" s="588" t="n"/>
      <c r="BE38" s="588" t="n"/>
      <c r="BF38" s="588" t="n"/>
      <c r="BG38" s="588" t="n"/>
      <c r="BH38" s="588" t="n"/>
      <c r="BI38" s="588" t="n"/>
      <c r="BJ38" s="588" t="n"/>
      <c r="BK38" s="588" t="n"/>
      <c r="BL38" s="588" t="n"/>
      <c r="BM38" s="588" t="n"/>
      <c r="BN38" s="588" t="n"/>
      <c r="BO38" s="588" t="n"/>
      <c r="BP38" s="588" t="n"/>
      <c r="BQ38" s="588" t="n"/>
      <c r="BR38" s="588" t="n"/>
      <c r="BS38" s="588" t="n"/>
      <c r="BT38" s="588" t="n"/>
      <c r="BU38" s="588" t="n"/>
      <c r="BV38" s="588" t="n"/>
      <c r="BW38" s="588" t="n"/>
      <c r="BX38" s="588" t="n"/>
      <c r="BY38" s="588" t="n"/>
      <c r="BZ38" s="588" t="n"/>
      <c r="CA38" s="588" t="n"/>
      <c r="CB38" s="588" t="n"/>
      <c r="CC38" s="588" t="n"/>
      <c r="CD38" s="588" t="n"/>
      <c r="CE38" s="588" t="n"/>
      <c r="CF38" s="588" t="n"/>
      <c r="CG38" s="588" t="n"/>
      <c r="CH38" s="588" t="n"/>
      <c r="CI38" s="588" t="n"/>
      <c r="CJ38" s="588" t="n"/>
      <c r="CK38" s="588" t="n"/>
      <c r="CL38" s="588" t="n"/>
      <c r="CM38" s="588" t="n"/>
      <c r="CN38" s="588" t="n"/>
      <c r="CO38" s="588" t="n"/>
      <c r="CP38" s="588" t="n"/>
      <c r="CQ38" s="588" t="n"/>
      <c r="CR38" s="588" t="n"/>
      <c r="CS38" s="588" t="n"/>
      <c r="CT38" s="588" t="n"/>
      <c r="CU38" s="588" t="n"/>
      <c r="CV38" s="588" t="n"/>
      <c r="CW38" s="588" t="n"/>
      <c r="CX38" s="588" t="n"/>
      <c r="CY38" s="588" t="n"/>
      <c r="CZ38" s="588" t="n"/>
      <c r="DA38" s="588" t="n"/>
      <c r="DB38" s="588" t="n"/>
      <c r="DC38" s="588" t="n"/>
      <c r="DD38" s="588" t="n"/>
      <c r="DE38" s="588" t="n"/>
      <c r="DF38" s="588" t="n"/>
      <c r="DG38" s="588" t="n"/>
      <c r="DH38" s="588" t="n"/>
      <c r="DI38" s="588" t="n"/>
      <c r="DJ38" s="588" t="n"/>
      <c r="DK38" s="588" t="n"/>
      <c r="DL38" s="588" t="n"/>
      <c r="DM38" s="588" t="n"/>
      <c r="DN38" s="588" t="n"/>
      <c r="DO38" s="588" t="n"/>
      <c r="DP38" s="588" t="n"/>
      <c r="DQ38" s="588" t="n"/>
      <c r="DR38" s="588" t="n"/>
      <c r="DS38" s="588" t="n"/>
      <c r="DT38" s="588" t="n"/>
      <c r="DU38" s="588" t="n"/>
    </row>
    <row r="39" hidden="1" ht="12.75" customHeight="1" s="450">
      <c r="A39" s="590" t="n"/>
      <c r="B39" s="618" t="inlineStr">
        <is>
          <t>V28</t>
        </is>
      </c>
      <c r="C39" s="619" t="n"/>
      <c r="D39" s="619" t="n"/>
      <c r="E39" s="621">
        <f>+C39*D39</f>
        <v/>
      </c>
      <c r="F39" s="622">
        <f>+C39*D39</f>
        <v/>
      </c>
      <c r="G39" s="624" t="n"/>
      <c r="H39" s="588" t="n"/>
      <c r="I39" s="618" t="inlineStr">
        <is>
          <t>S28</t>
        </is>
      </c>
      <c r="J39" s="619" t="n"/>
      <c r="K39" s="619" t="n"/>
      <c r="L39" s="621">
        <f>+J39*K39</f>
        <v/>
      </c>
      <c r="M39" s="621">
        <f>+J39*K39</f>
        <v/>
      </c>
      <c r="N39" s="615" t="n"/>
      <c r="O39" s="619">
        <f>+D39</f>
        <v/>
      </c>
      <c r="P39" s="619" t="n"/>
      <c r="Q39" s="621">
        <f>+O39*P39</f>
        <v/>
      </c>
      <c r="R39" s="616" t="n"/>
      <c r="S39" s="621">
        <f>+F39+M39</f>
        <v/>
      </c>
      <c r="T39" s="616" t="n"/>
      <c r="U39" s="619" t="n"/>
      <c r="V39" s="619" t="n"/>
      <c r="W39" s="621">
        <f>+U39*V39</f>
        <v/>
      </c>
      <c r="X39" s="624" t="n"/>
      <c r="Z39" s="588" t="n"/>
      <c r="AA39" s="588" t="n"/>
      <c r="AB39" s="588" t="n"/>
      <c r="AC39" s="588" t="n"/>
      <c r="AD39" s="588" t="n"/>
      <c r="AE39" s="588" t="n"/>
      <c r="AF39" s="588" t="n"/>
      <c r="AG39" s="588" t="n"/>
      <c r="AH39" s="588" t="n"/>
      <c r="AI39" s="588" t="n"/>
      <c r="AJ39" s="588" t="n"/>
      <c r="AK39" s="588" t="n"/>
      <c r="AL39" s="588" t="n"/>
      <c r="AM39" s="588" t="n"/>
      <c r="AN39" s="588" t="n"/>
      <c r="AO39" s="588" t="n"/>
      <c r="AP39" s="588" t="n"/>
      <c r="AQ39" s="588" t="n"/>
      <c r="AR39" s="588" t="n"/>
      <c r="AS39" s="588" t="n"/>
      <c r="AT39" s="588" t="n"/>
      <c r="AU39" s="588" t="n"/>
      <c r="AV39" s="588" t="n"/>
      <c r="AW39" s="588" t="n"/>
      <c r="AX39" s="588" t="n"/>
      <c r="AY39" s="588" t="n"/>
      <c r="AZ39" s="588" t="n"/>
      <c r="BA39" s="588" t="n"/>
      <c r="BB39" s="588" t="n"/>
      <c r="BC39" s="588" t="n"/>
      <c r="BD39" s="588" t="n"/>
      <c r="BE39" s="588" t="n"/>
      <c r="BF39" s="588" t="n"/>
      <c r="BG39" s="588" t="n"/>
      <c r="BH39" s="588" t="n"/>
      <c r="BI39" s="588" t="n"/>
      <c r="BJ39" s="588" t="n"/>
      <c r="BK39" s="588" t="n"/>
      <c r="BL39" s="588" t="n"/>
      <c r="BM39" s="588" t="n"/>
      <c r="BN39" s="588" t="n"/>
      <c r="BO39" s="588" t="n"/>
      <c r="BP39" s="588" t="n"/>
      <c r="BQ39" s="588" t="n"/>
      <c r="BR39" s="588" t="n"/>
      <c r="BS39" s="588" t="n"/>
      <c r="BT39" s="588" t="n"/>
      <c r="BU39" s="588" t="n"/>
      <c r="BV39" s="588" t="n"/>
      <c r="BW39" s="588" t="n"/>
      <c r="BX39" s="588" t="n"/>
      <c r="BY39" s="588" t="n"/>
      <c r="BZ39" s="588" t="n"/>
      <c r="CA39" s="588" t="n"/>
      <c r="CB39" s="588" t="n"/>
      <c r="CC39" s="588" t="n"/>
      <c r="CD39" s="588" t="n"/>
      <c r="CE39" s="588" t="n"/>
      <c r="CF39" s="588" t="n"/>
      <c r="CG39" s="588" t="n"/>
      <c r="CH39" s="588" t="n"/>
      <c r="CI39" s="588" t="n"/>
      <c r="CJ39" s="588" t="n"/>
      <c r="CK39" s="588" t="n"/>
      <c r="CL39" s="588" t="n"/>
      <c r="CM39" s="588" t="n"/>
      <c r="CN39" s="588" t="n"/>
      <c r="CO39" s="588" t="n"/>
      <c r="CP39" s="588" t="n"/>
      <c r="CQ39" s="588" t="n"/>
      <c r="CR39" s="588" t="n"/>
      <c r="CS39" s="588" t="n"/>
      <c r="CT39" s="588" t="n"/>
      <c r="CU39" s="588" t="n"/>
      <c r="CV39" s="588" t="n"/>
      <c r="CW39" s="588" t="n"/>
      <c r="CX39" s="588" t="n"/>
      <c r="CY39" s="588" t="n"/>
      <c r="CZ39" s="588" t="n"/>
      <c r="DA39" s="588" t="n"/>
      <c r="DB39" s="588" t="n"/>
      <c r="DC39" s="588" t="n"/>
      <c r="DD39" s="588" t="n"/>
      <c r="DE39" s="588" t="n"/>
      <c r="DF39" s="588" t="n"/>
      <c r="DG39" s="588" t="n"/>
      <c r="DH39" s="588" t="n"/>
      <c r="DI39" s="588" t="n"/>
      <c r="DJ39" s="588" t="n"/>
      <c r="DK39" s="588" t="n"/>
      <c r="DL39" s="588" t="n"/>
      <c r="DM39" s="588" t="n"/>
      <c r="DN39" s="588" t="n"/>
      <c r="DO39" s="588" t="n"/>
      <c r="DP39" s="588" t="n"/>
      <c r="DQ39" s="588" t="n"/>
      <c r="DR39" s="588" t="n"/>
      <c r="DS39" s="588" t="n"/>
      <c r="DT39" s="588" t="n"/>
      <c r="DU39" s="588" t="n"/>
    </row>
    <row r="40" hidden="1" ht="16.5" customHeight="1" s="450">
      <c r="A40" s="590" t="n"/>
      <c r="B40" s="618" t="inlineStr">
        <is>
          <t>V29</t>
        </is>
      </c>
      <c r="C40" s="619" t="n"/>
      <c r="D40" s="619" t="n"/>
      <c r="E40" s="621">
        <f>+C40*D40</f>
        <v/>
      </c>
      <c r="F40" s="622">
        <f>+C40*D40</f>
        <v/>
      </c>
      <c r="G40" s="624" t="n"/>
      <c r="H40" s="588" t="n"/>
      <c r="I40" s="618" t="inlineStr">
        <is>
          <t>S29</t>
        </is>
      </c>
      <c r="J40" s="619" t="n"/>
      <c r="K40" s="619" t="n"/>
      <c r="L40" s="621">
        <f>+J40*K40</f>
        <v/>
      </c>
      <c r="M40" s="621">
        <f>+J40*K40</f>
        <v/>
      </c>
      <c r="N40" s="615" t="n"/>
      <c r="O40" s="619">
        <f>+D40</f>
        <v/>
      </c>
      <c r="P40" s="619" t="n"/>
      <c r="Q40" s="621">
        <f>+O40*P40</f>
        <v/>
      </c>
      <c r="R40" s="616" t="n"/>
      <c r="S40" s="621">
        <f>+F40+M40</f>
        <v/>
      </c>
      <c r="T40" s="616" t="n"/>
      <c r="U40" s="619" t="n"/>
      <c r="V40" s="619" t="n"/>
      <c r="W40" s="621">
        <f>+U40*V40</f>
        <v/>
      </c>
      <c r="X40" s="624" t="n"/>
      <c r="Z40" s="588" t="n"/>
      <c r="AA40" s="588" t="n"/>
      <c r="AB40" s="588" t="n"/>
      <c r="AC40" s="588" t="n"/>
      <c r="AD40" s="588" t="n"/>
      <c r="AE40" s="588" t="n"/>
      <c r="AF40" s="588" t="n"/>
      <c r="AG40" s="588" t="n"/>
      <c r="AH40" s="588" t="n"/>
      <c r="AI40" s="588" t="n"/>
      <c r="AJ40" s="588" t="n"/>
      <c r="AK40" s="588" t="n"/>
      <c r="AL40" s="588" t="n"/>
      <c r="AM40" s="588" t="n"/>
      <c r="AN40" s="588" t="n"/>
      <c r="AO40" s="588" t="n"/>
      <c r="AP40" s="588" t="n"/>
      <c r="AQ40" s="588" t="n"/>
      <c r="AR40" s="588" t="n"/>
      <c r="AS40" s="588" t="n"/>
      <c r="AT40" s="588" t="n"/>
      <c r="AU40" s="588" t="n"/>
      <c r="AV40" s="588" t="n"/>
      <c r="AW40" s="588" t="n"/>
      <c r="AX40" s="588" t="n"/>
      <c r="AY40" s="588" t="n"/>
      <c r="AZ40" s="588" t="n"/>
      <c r="BA40" s="588" t="n"/>
      <c r="BB40" s="588" t="n"/>
      <c r="BC40" s="588" t="n"/>
      <c r="BD40" s="588" t="n"/>
      <c r="BE40" s="588" t="n"/>
      <c r="BF40" s="588" t="n"/>
      <c r="BG40" s="588" t="n"/>
      <c r="BH40" s="588" t="n"/>
      <c r="BI40" s="588" t="n"/>
      <c r="BJ40" s="588" t="n"/>
      <c r="BK40" s="588" t="n"/>
      <c r="BL40" s="588" t="n"/>
      <c r="BM40" s="588" t="n"/>
      <c r="BN40" s="588" t="n"/>
      <c r="BO40" s="588" t="n"/>
      <c r="BP40" s="588" t="n"/>
      <c r="BQ40" s="588" t="n"/>
      <c r="BR40" s="588" t="n"/>
      <c r="BS40" s="588" t="n"/>
      <c r="BT40" s="588" t="n"/>
      <c r="BU40" s="588" t="n"/>
      <c r="BV40" s="588" t="n"/>
      <c r="BW40" s="588" t="n"/>
      <c r="BX40" s="588" t="n"/>
      <c r="BY40" s="588" t="n"/>
      <c r="BZ40" s="588" t="n"/>
      <c r="CA40" s="588" t="n"/>
      <c r="CB40" s="588" t="n"/>
      <c r="CC40" s="588" t="n"/>
      <c r="CD40" s="588" t="n"/>
      <c r="CE40" s="588" t="n"/>
      <c r="CF40" s="588" t="n"/>
      <c r="CG40" s="588" t="n"/>
      <c r="CH40" s="588" t="n"/>
      <c r="CI40" s="588" t="n"/>
      <c r="CJ40" s="588" t="n"/>
      <c r="CK40" s="588" t="n"/>
      <c r="CL40" s="588" t="n"/>
      <c r="CM40" s="588" t="n"/>
      <c r="CN40" s="588" t="n"/>
      <c r="CO40" s="588" t="n"/>
      <c r="CP40" s="588" t="n"/>
      <c r="CQ40" s="588" t="n"/>
      <c r="CR40" s="588" t="n"/>
      <c r="CS40" s="588" t="n"/>
      <c r="CT40" s="588" t="n"/>
      <c r="CU40" s="588" t="n"/>
      <c r="CV40" s="588" t="n"/>
      <c r="CW40" s="588" t="n"/>
      <c r="CX40" s="588" t="n"/>
      <c r="CY40" s="588" t="n"/>
      <c r="CZ40" s="588" t="n"/>
      <c r="DA40" s="588" t="n"/>
      <c r="DB40" s="588" t="n"/>
      <c r="DC40" s="588" t="n"/>
      <c r="DD40" s="588" t="n"/>
      <c r="DE40" s="588" t="n"/>
      <c r="DF40" s="588" t="n"/>
      <c r="DG40" s="588" t="n"/>
      <c r="DH40" s="588" t="n"/>
      <c r="DI40" s="588" t="n"/>
      <c r="DJ40" s="588" t="n"/>
      <c r="DK40" s="588" t="n"/>
      <c r="DL40" s="588" t="n"/>
      <c r="DM40" s="588" t="n"/>
      <c r="DN40" s="588" t="n"/>
      <c r="DO40" s="588" t="n"/>
      <c r="DP40" s="588" t="n"/>
      <c r="DQ40" s="588" t="n"/>
      <c r="DR40" s="588" t="n"/>
      <c r="DS40" s="588" t="n"/>
      <c r="DT40" s="588" t="n"/>
      <c r="DU40" s="588" t="n"/>
    </row>
    <row r="41" hidden="1" ht="10.5" customHeight="1" s="450">
      <c r="A41" s="590" t="n"/>
      <c r="B41" s="618" t="inlineStr">
        <is>
          <t>V30</t>
        </is>
      </c>
      <c r="C41" s="619" t="n"/>
      <c r="D41" s="619" t="n"/>
      <c r="E41" s="621">
        <f>+C41*D41</f>
        <v/>
      </c>
      <c r="F41" s="622">
        <f>+C41*D41</f>
        <v/>
      </c>
      <c r="G41" s="624" t="n"/>
      <c r="H41" s="588" t="n"/>
      <c r="I41" s="618" t="inlineStr">
        <is>
          <t>S30</t>
        </is>
      </c>
      <c r="J41" s="619" t="n"/>
      <c r="K41" s="619" t="n"/>
      <c r="L41" s="621">
        <f>+J41*K41</f>
        <v/>
      </c>
      <c r="M41" s="621">
        <f>+J41*K41</f>
        <v/>
      </c>
      <c r="N41" s="615" t="n"/>
      <c r="O41" s="619">
        <f>+D41</f>
        <v/>
      </c>
      <c r="P41" s="619" t="n"/>
      <c r="Q41" s="621">
        <f>+O41*P41</f>
        <v/>
      </c>
      <c r="R41" s="616" t="n"/>
      <c r="S41" s="621">
        <f>+F41+M41</f>
        <v/>
      </c>
      <c r="T41" s="616" t="n"/>
      <c r="U41" s="619" t="n"/>
      <c r="V41" s="619" t="n"/>
      <c r="W41" s="621">
        <f>+U41*V41</f>
        <v/>
      </c>
      <c r="X41" s="624" t="n"/>
      <c r="Z41" s="588" t="n"/>
      <c r="AA41" s="588" t="n"/>
      <c r="AB41" s="588" t="n"/>
      <c r="AC41" s="588" t="n"/>
      <c r="AD41" s="588" t="n"/>
      <c r="AE41" s="588" t="n"/>
      <c r="AF41" s="588" t="n"/>
      <c r="AG41" s="588" t="n"/>
      <c r="AH41" s="588" t="n"/>
      <c r="AI41" s="588" t="n"/>
      <c r="AJ41" s="588" t="n"/>
      <c r="AK41" s="588" t="n"/>
      <c r="AL41" s="588" t="n"/>
      <c r="AM41" s="588" t="n"/>
      <c r="AN41" s="588" t="n"/>
      <c r="AO41" s="588" t="n"/>
      <c r="AP41" s="588" t="n"/>
      <c r="AQ41" s="588" t="n"/>
      <c r="AR41" s="588" t="n"/>
      <c r="AS41" s="588" t="n"/>
      <c r="AT41" s="588" t="n"/>
      <c r="AU41" s="588" t="n"/>
      <c r="AV41" s="588" t="n"/>
      <c r="AW41" s="588" t="n"/>
      <c r="AX41" s="588" t="n"/>
      <c r="AY41" s="588" t="n"/>
      <c r="AZ41" s="588" t="n"/>
      <c r="BA41" s="588" t="n"/>
      <c r="BB41" s="588" t="n"/>
      <c r="BC41" s="588" t="n"/>
      <c r="BD41" s="588" t="n"/>
      <c r="BE41" s="588" t="n"/>
      <c r="BF41" s="588" t="n"/>
      <c r="BG41" s="588" t="n"/>
      <c r="BH41" s="588" t="n"/>
      <c r="BI41" s="588" t="n"/>
      <c r="BJ41" s="588" t="n"/>
      <c r="BK41" s="588" t="n"/>
      <c r="BL41" s="588" t="n"/>
      <c r="BM41" s="588" t="n"/>
      <c r="BN41" s="588" t="n"/>
      <c r="BO41" s="588" t="n"/>
      <c r="BP41" s="588" t="n"/>
      <c r="BQ41" s="588" t="n"/>
      <c r="BR41" s="588" t="n"/>
      <c r="BS41" s="588" t="n"/>
      <c r="BT41" s="588" t="n"/>
      <c r="BU41" s="588" t="n"/>
      <c r="BV41" s="588" t="n"/>
      <c r="BW41" s="588" t="n"/>
      <c r="BX41" s="588" t="n"/>
      <c r="BY41" s="588" t="n"/>
      <c r="BZ41" s="588" t="n"/>
      <c r="CA41" s="588" t="n"/>
      <c r="CB41" s="588" t="n"/>
      <c r="CC41" s="588" t="n"/>
      <c r="CD41" s="588" t="n"/>
      <c r="CE41" s="588" t="n"/>
      <c r="CF41" s="588" t="n"/>
      <c r="CG41" s="588" t="n"/>
      <c r="CH41" s="588" t="n"/>
      <c r="CI41" s="588" t="n"/>
      <c r="CJ41" s="588" t="n"/>
      <c r="CK41" s="588" t="n"/>
      <c r="CL41" s="588" t="n"/>
      <c r="CM41" s="588" t="n"/>
      <c r="CN41" s="588" t="n"/>
      <c r="CO41" s="588" t="n"/>
      <c r="CP41" s="588" t="n"/>
      <c r="CQ41" s="588" t="n"/>
      <c r="CR41" s="588" t="n"/>
      <c r="CS41" s="588" t="n"/>
      <c r="CT41" s="588" t="n"/>
      <c r="CU41" s="588" t="n"/>
      <c r="CV41" s="588" t="n"/>
      <c r="CW41" s="588" t="n"/>
      <c r="CX41" s="588" t="n"/>
      <c r="CY41" s="588" t="n"/>
      <c r="CZ41" s="588" t="n"/>
      <c r="DA41" s="588" t="n"/>
      <c r="DB41" s="588" t="n"/>
      <c r="DC41" s="588" t="n"/>
      <c r="DD41" s="588" t="n"/>
      <c r="DE41" s="588" t="n"/>
      <c r="DF41" s="588" t="n"/>
      <c r="DG41" s="588" t="n"/>
      <c r="DH41" s="588" t="n"/>
      <c r="DI41" s="588" t="n"/>
      <c r="DJ41" s="588" t="n"/>
      <c r="DK41" s="588" t="n"/>
      <c r="DL41" s="588" t="n"/>
      <c r="DM41" s="588" t="n"/>
      <c r="DN41" s="588" t="n"/>
      <c r="DO41" s="588" t="n"/>
      <c r="DP41" s="588" t="n"/>
      <c r="DQ41" s="588" t="n"/>
      <c r="DR41" s="588" t="n"/>
      <c r="DS41" s="588" t="n"/>
      <c r="DT41" s="588" t="n"/>
      <c r="DU41" s="588" t="n"/>
    </row>
    <row r="42" hidden="1" ht="15" customHeight="1" s="450">
      <c r="A42" s="590" t="n"/>
      <c r="B42" s="618" t="inlineStr">
        <is>
          <t>V31</t>
        </is>
      </c>
      <c r="C42" s="619" t="n"/>
      <c r="D42" s="619" t="n"/>
      <c r="E42" s="621">
        <f>+C42*D42</f>
        <v/>
      </c>
      <c r="F42" s="622">
        <f>+C42*D42</f>
        <v/>
      </c>
      <c r="G42" s="624" t="n"/>
      <c r="H42" s="588" t="n"/>
      <c r="I42" s="618" t="inlineStr">
        <is>
          <t>S31</t>
        </is>
      </c>
      <c r="J42" s="619" t="n"/>
      <c r="K42" s="619" t="n"/>
      <c r="L42" s="621">
        <f>+J42*K42</f>
        <v/>
      </c>
      <c r="M42" s="621">
        <f>+J42*K42</f>
        <v/>
      </c>
      <c r="N42" s="615" t="n"/>
      <c r="O42" s="619">
        <f>+D42</f>
        <v/>
      </c>
      <c r="P42" s="619" t="n"/>
      <c r="Q42" s="621">
        <f>+O42*P42</f>
        <v/>
      </c>
      <c r="R42" s="616" t="n"/>
      <c r="S42" s="621">
        <f>+F42+M42</f>
        <v/>
      </c>
      <c r="T42" s="616" t="n"/>
      <c r="U42" s="619" t="n"/>
      <c r="V42" s="619" t="n"/>
      <c r="W42" s="621">
        <f>+U42*V42</f>
        <v/>
      </c>
      <c r="X42" s="624" t="n"/>
      <c r="Z42" s="588" t="n"/>
      <c r="AA42" s="588" t="n"/>
      <c r="AB42" s="588" t="n"/>
      <c r="AC42" s="588" t="n"/>
      <c r="AD42" s="588" t="n"/>
      <c r="AE42" s="588" t="n"/>
      <c r="AF42" s="588" t="n"/>
      <c r="AG42" s="588" t="n"/>
      <c r="AH42" s="588" t="n"/>
      <c r="AI42" s="588" t="n"/>
      <c r="AJ42" s="588" t="n"/>
      <c r="AK42" s="588" t="n"/>
      <c r="AL42" s="588" t="n"/>
      <c r="AM42" s="588" t="n"/>
      <c r="AN42" s="588" t="n"/>
      <c r="AO42" s="588" t="n"/>
      <c r="AP42" s="588" t="n"/>
      <c r="AQ42" s="588" t="n"/>
      <c r="AR42" s="588" t="n"/>
      <c r="AS42" s="588" t="n"/>
      <c r="AT42" s="588" t="n"/>
      <c r="AU42" s="588" t="n"/>
      <c r="AV42" s="588" t="n"/>
      <c r="AW42" s="588" t="n"/>
      <c r="AX42" s="588" t="n"/>
      <c r="AY42" s="588" t="n"/>
      <c r="AZ42" s="588" t="n"/>
      <c r="BA42" s="588" t="n"/>
      <c r="BB42" s="588" t="n"/>
      <c r="BC42" s="588" t="n"/>
      <c r="BD42" s="588" t="n"/>
      <c r="BE42" s="588" t="n"/>
      <c r="BF42" s="588" t="n"/>
      <c r="BG42" s="588" t="n"/>
      <c r="BH42" s="588" t="n"/>
      <c r="BI42" s="588" t="n"/>
      <c r="BJ42" s="588" t="n"/>
      <c r="BK42" s="588" t="n"/>
      <c r="BL42" s="588" t="n"/>
      <c r="BM42" s="588" t="n"/>
      <c r="BN42" s="588" t="n"/>
      <c r="BO42" s="588" t="n"/>
      <c r="BP42" s="588" t="n"/>
      <c r="BQ42" s="588" t="n"/>
      <c r="BR42" s="588" t="n"/>
      <c r="BS42" s="588" t="n"/>
      <c r="BT42" s="588" t="n"/>
      <c r="BU42" s="588" t="n"/>
      <c r="BV42" s="588" t="n"/>
      <c r="BW42" s="588" t="n"/>
      <c r="BX42" s="588" t="n"/>
      <c r="BY42" s="588" t="n"/>
      <c r="BZ42" s="588" t="n"/>
      <c r="CA42" s="588" t="n"/>
      <c r="CB42" s="588" t="n"/>
      <c r="CC42" s="588" t="n"/>
      <c r="CD42" s="588" t="n"/>
      <c r="CE42" s="588" t="n"/>
      <c r="CF42" s="588" t="n"/>
      <c r="CG42" s="588" t="n"/>
      <c r="CH42" s="588" t="n"/>
      <c r="CI42" s="588" t="n"/>
      <c r="CJ42" s="588" t="n"/>
      <c r="CK42" s="588" t="n"/>
      <c r="CL42" s="588" t="n"/>
      <c r="CM42" s="588" t="n"/>
      <c r="CN42" s="588" t="n"/>
      <c r="CO42" s="588" t="n"/>
      <c r="CP42" s="588" t="n"/>
      <c r="CQ42" s="588" t="n"/>
      <c r="CR42" s="588" t="n"/>
      <c r="CS42" s="588" t="n"/>
      <c r="CT42" s="588" t="n"/>
      <c r="CU42" s="588" t="n"/>
      <c r="CV42" s="588" t="n"/>
      <c r="CW42" s="588" t="n"/>
      <c r="CX42" s="588" t="n"/>
      <c r="CY42" s="588" t="n"/>
      <c r="CZ42" s="588" t="n"/>
      <c r="DA42" s="588" t="n"/>
      <c r="DB42" s="588" t="n"/>
      <c r="DC42" s="588" t="n"/>
      <c r="DD42" s="588" t="n"/>
      <c r="DE42" s="588" t="n"/>
      <c r="DF42" s="588" t="n"/>
      <c r="DG42" s="588" t="n"/>
      <c r="DH42" s="588" t="n"/>
      <c r="DI42" s="588" t="n"/>
      <c r="DJ42" s="588" t="n"/>
      <c r="DK42" s="588" t="n"/>
      <c r="DL42" s="588" t="n"/>
      <c r="DM42" s="588" t="n"/>
      <c r="DN42" s="588" t="n"/>
      <c r="DO42" s="588" t="n"/>
      <c r="DP42" s="588" t="n"/>
      <c r="DQ42" s="588" t="n"/>
      <c r="DR42" s="588" t="n"/>
      <c r="DS42" s="588" t="n"/>
      <c r="DT42" s="588" t="n"/>
      <c r="DU42" s="588" t="n"/>
    </row>
    <row r="43" hidden="1" ht="10.5" customHeight="1" s="450">
      <c r="A43" s="590" t="n"/>
      <c r="B43" s="618" t="inlineStr">
        <is>
          <t>V32</t>
        </is>
      </c>
      <c r="C43" s="619" t="n"/>
      <c r="D43" s="619" t="n"/>
      <c r="E43" s="621">
        <f>+C43*D43</f>
        <v/>
      </c>
      <c r="F43" s="622">
        <f>+C43*D43</f>
        <v/>
      </c>
      <c r="G43" s="624" t="n"/>
      <c r="H43" s="588" t="n"/>
      <c r="I43" s="618" t="inlineStr">
        <is>
          <t>S32</t>
        </is>
      </c>
      <c r="J43" s="619" t="n"/>
      <c r="K43" s="619" t="n"/>
      <c r="L43" s="621">
        <f>+J43*K43</f>
        <v/>
      </c>
      <c r="M43" s="621">
        <f>+J43*K43</f>
        <v/>
      </c>
      <c r="N43" s="615" t="n"/>
      <c r="O43" s="619">
        <f>+D43</f>
        <v/>
      </c>
      <c r="P43" s="619" t="n"/>
      <c r="Q43" s="621">
        <f>+O43*P43</f>
        <v/>
      </c>
      <c r="R43" s="616" t="n"/>
      <c r="S43" s="621">
        <f>+F43+M43</f>
        <v/>
      </c>
      <c r="T43" s="616" t="n"/>
      <c r="U43" s="619" t="n"/>
      <c r="V43" s="619" t="n"/>
      <c r="W43" s="621">
        <f>+U43*V43</f>
        <v/>
      </c>
      <c r="X43" s="624" t="n"/>
      <c r="Z43" s="588" t="n"/>
      <c r="AA43" s="588" t="n"/>
      <c r="AB43" s="588" t="n"/>
      <c r="AC43" s="588" t="n"/>
      <c r="AD43" s="588" t="n"/>
      <c r="AE43" s="588" t="n"/>
      <c r="AF43" s="588" t="n"/>
      <c r="AG43" s="588" t="n"/>
      <c r="AH43" s="588" t="n"/>
      <c r="AI43" s="588" t="n"/>
      <c r="AJ43" s="588" t="n"/>
      <c r="AK43" s="588" t="n"/>
      <c r="AL43" s="588" t="n"/>
      <c r="AM43" s="588" t="n"/>
      <c r="AN43" s="588" t="n"/>
      <c r="AO43" s="588" t="n"/>
      <c r="AP43" s="588" t="n"/>
      <c r="AQ43" s="588" t="n"/>
      <c r="AR43" s="588" t="n"/>
      <c r="AS43" s="588" t="n"/>
      <c r="AT43" s="588" t="n"/>
      <c r="AU43" s="588" t="n"/>
      <c r="AV43" s="588" t="n"/>
      <c r="AW43" s="588" t="n"/>
      <c r="AX43" s="588" t="n"/>
      <c r="AY43" s="588" t="n"/>
      <c r="AZ43" s="588" t="n"/>
      <c r="BA43" s="588" t="n"/>
      <c r="BB43" s="588" t="n"/>
      <c r="BC43" s="588" t="n"/>
      <c r="BD43" s="588" t="n"/>
      <c r="BE43" s="588" t="n"/>
      <c r="BF43" s="588" t="n"/>
      <c r="BG43" s="588" t="n"/>
      <c r="BH43" s="588" t="n"/>
      <c r="BI43" s="588" t="n"/>
      <c r="BJ43" s="588" t="n"/>
      <c r="BK43" s="588" t="n"/>
      <c r="BL43" s="588" t="n"/>
      <c r="BM43" s="588" t="n"/>
      <c r="BN43" s="588" t="n"/>
      <c r="BO43" s="588" t="n"/>
      <c r="BP43" s="588" t="n"/>
      <c r="BQ43" s="588" t="n"/>
      <c r="BR43" s="588" t="n"/>
      <c r="BS43" s="588" t="n"/>
      <c r="BT43" s="588" t="n"/>
      <c r="BU43" s="588" t="n"/>
      <c r="BV43" s="588" t="n"/>
      <c r="BW43" s="588" t="n"/>
      <c r="BX43" s="588" t="n"/>
      <c r="BY43" s="588" t="n"/>
      <c r="BZ43" s="588" t="n"/>
      <c r="CA43" s="588" t="n"/>
      <c r="CB43" s="588" t="n"/>
      <c r="CC43" s="588" t="n"/>
      <c r="CD43" s="588" t="n"/>
      <c r="CE43" s="588" t="n"/>
      <c r="CF43" s="588" t="n"/>
      <c r="CG43" s="588" t="n"/>
      <c r="CH43" s="588" t="n"/>
      <c r="CI43" s="588" t="n"/>
      <c r="CJ43" s="588" t="n"/>
      <c r="CK43" s="588" t="n"/>
      <c r="CL43" s="588" t="n"/>
      <c r="CM43" s="588" t="n"/>
      <c r="CN43" s="588" t="n"/>
      <c r="CO43" s="588" t="n"/>
      <c r="CP43" s="588" t="n"/>
      <c r="CQ43" s="588" t="n"/>
      <c r="CR43" s="588" t="n"/>
      <c r="CS43" s="588" t="n"/>
      <c r="CT43" s="588" t="n"/>
      <c r="CU43" s="588" t="n"/>
      <c r="CV43" s="588" t="n"/>
      <c r="CW43" s="588" t="n"/>
      <c r="CX43" s="588" t="n"/>
      <c r="CY43" s="588" t="n"/>
      <c r="CZ43" s="588" t="n"/>
      <c r="DA43" s="588" t="n"/>
      <c r="DB43" s="588" t="n"/>
      <c r="DC43" s="588" t="n"/>
      <c r="DD43" s="588" t="n"/>
      <c r="DE43" s="588" t="n"/>
      <c r="DF43" s="588" t="n"/>
      <c r="DG43" s="588" t="n"/>
      <c r="DH43" s="588" t="n"/>
      <c r="DI43" s="588" t="n"/>
      <c r="DJ43" s="588" t="n"/>
      <c r="DK43" s="588" t="n"/>
      <c r="DL43" s="588" t="n"/>
      <c r="DM43" s="588" t="n"/>
      <c r="DN43" s="588" t="n"/>
      <c r="DO43" s="588" t="n"/>
      <c r="DP43" s="588" t="n"/>
      <c r="DQ43" s="588" t="n"/>
      <c r="DR43" s="588" t="n"/>
      <c r="DS43" s="588" t="n"/>
      <c r="DT43" s="588" t="n"/>
      <c r="DU43" s="588" t="n"/>
    </row>
    <row r="44" hidden="1" ht="8.25" customHeight="1" s="450">
      <c r="A44" s="590" t="n"/>
      <c r="B44" s="618" t="inlineStr">
        <is>
          <t>V33</t>
        </is>
      </c>
      <c r="C44" s="619" t="n"/>
      <c r="D44" s="619" t="n"/>
      <c r="E44" s="621">
        <f>+C44*D44</f>
        <v/>
      </c>
      <c r="F44" s="622">
        <f>+C44*D44</f>
        <v/>
      </c>
      <c r="G44" s="624" t="n"/>
      <c r="H44" s="588" t="n"/>
      <c r="I44" s="618" t="inlineStr">
        <is>
          <t>S33</t>
        </is>
      </c>
      <c r="J44" s="619" t="n"/>
      <c r="K44" s="619" t="n"/>
      <c r="L44" s="621">
        <f>+J44*K44</f>
        <v/>
      </c>
      <c r="M44" s="621">
        <f>+J44*K44</f>
        <v/>
      </c>
      <c r="N44" s="615" t="n"/>
      <c r="O44" s="619">
        <f>+D44</f>
        <v/>
      </c>
      <c r="P44" s="619" t="n"/>
      <c r="Q44" s="621">
        <f>+O44*P44</f>
        <v/>
      </c>
      <c r="R44" s="616" t="n"/>
      <c r="S44" s="621">
        <f>+F44+M44</f>
        <v/>
      </c>
      <c r="T44" s="616" t="n"/>
      <c r="U44" s="619" t="n"/>
      <c r="V44" s="619" t="n"/>
      <c r="W44" s="621">
        <f>+U44*V44</f>
        <v/>
      </c>
      <c r="X44" s="624" t="n"/>
      <c r="Z44" s="588" t="n"/>
      <c r="AA44" s="588" t="n"/>
      <c r="AB44" s="588" t="n"/>
      <c r="AC44" s="588" t="n"/>
      <c r="AD44" s="588" t="n"/>
      <c r="AE44" s="588" t="n"/>
      <c r="AF44" s="588" t="n"/>
      <c r="AG44" s="588" t="n"/>
      <c r="AH44" s="588" t="n"/>
      <c r="AI44" s="588" t="n"/>
      <c r="AJ44" s="588" t="n"/>
      <c r="AK44" s="588" t="n"/>
      <c r="AL44" s="588" t="n"/>
      <c r="AM44" s="588" t="n"/>
      <c r="AN44" s="588" t="n"/>
      <c r="AO44" s="588" t="n"/>
      <c r="AP44" s="588" t="n"/>
      <c r="AQ44" s="588" t="n"/>
      <c r="AR44" s="588" t="n"/>
      <c r="AS44" s="588" t="n"/>
      <c r="AT44" s="588" t="n"/>
      <c r="AU44" s="588" t="n"/>
      <c r="AV44" s="588" t="n"/>
      <c r="AW44" s="588" t="n"/>
      <c r="AX44" s="588" t="n"/>
      <c r="AY44" s="588" t="n"/>
      <c r="AZ44" s="588" t="n"/>
      <c r="BA44" s="588" t="n"/>
      <c r="BB44" s="588" t="n"/>
      <c r="BC44" s="588" t="n"/>
      <c r="BD44" s="588" t="n"/>
      <c r="BE44" s="588" t="n"/>
      <c r="BF44" s="588" t="n"/>
      <c r="BG44" s="588" t="n"/>
      <c r="BH44" s="588" t="n"/>
      <c r="BI44" s="588" t="n"/>
      <c r="BJ44" s="588" t="n"/>
      <c r="BK44" s="588" t="n"/>
      <c r="BL44" s="588" t="n"/>
      <c r="BM44" s="588" t="n"/>
      <c r="BN44" s="588" t="n"/>
      <c r="BO44" s="588" t="n"/>
      <c r="BP44" s="588" t="n"/>
      <c r="BQ44" s="588" t="n"/>
      <c r="BR44" s="588" t="n"/>
      <c r="BS44" s="588" t="n"/>
      <c r="BT44" s="588" t="n"/>
      <c r="BU44" s="588" t="n"/>
      <c r="BV44" s="588" t="n"/>
      <c r="BW44" s="588" t="n"/>
      <c r="BX44" s="588" t="n"/>
      <c r="BY44" s="588" t="n"/>
      <c r="BZ44" s="588" t="n"/>
      <c r="CA44" s="588" t="n"/>
      <c r="CB44" s="588" t="n"/>
      <c r="CC44" s="588" t="n"/>
      <c r="CD44" s="588" t="n"/>
      <c r="CE44" s="588" t="n"/>
      <c r="CF44" s="588" t="n"/>
      <c r="CG44" s="588" t="n"/>
      <c r="CH44" s="588" t="n"/>
      <c r="CI44" s="588" t="n"/>
      <c r="CJ44" s="588" t="n"/>
      <c r="CK44" s="588" t="n"/>
      <c r="CL44" s="588" t="n"/>
      <c r="CM44" s="588" t="n"/>
      <c r="CN44" s="588" t="n"/>
      <c r="CO44" s="588" t="n"/>
      <c r="CP44" s="588" t="n"/>
      <c r="CQ44" s="588" t="n"/>
      <c r="CR44" s="588" t="n"/>
      <c r="CS44" s="588" t="n"/>
      <c r="CT44" s="588" t="n"/>
      <c r="CU44" s="588" t="n"/>
      <c r="CV44" s="588" t="n"/>
      <c r="CW44" s="588" t="n"/>
      <c r="CX44" s="588" t="n"/>
      <c r="CY44" s="588" t="n"/>
      <c r="CZ44" s="588" t="n"/>
      <c r="DA44" s="588" t="n"/>
      <c r="DB44" s="588" t="n"/>
      <c r="DC44" s="588" t="n"/>
      <c r="DD44" s="588" t="n"/>
      <c r="DE44" s="588" t="n"/>
      <c r="DF44" s="588" t="n"/>
      <c r="DG44" s="588" t="n"/>
      <c r="DH44" s="588" t="n"/>
      <c r="DI44" s="588" t="n"/>
      <c r="DJ44" s="588" t="n"/>
      <c r="DK44" s="588" t="n"/>
      <c r="DL44" s="588" t="n"/>
      <c r="DM44" s="588" t="n"/>
      <c r="DN44" s="588" t="n"/>
      <c r="DO44" s="588" t="n"/>
      <c r="DP44" s="588" t="n"/>
      <c r="DQ44" s="588" t="n"/>
      <c r="DR44" s="588" t="n"/>
      <c r="DS44" s="588" t="n"/>
      <c r="DT44" s="588" t="n"/>
      <c r="DU44" s="588" t="n"/>
    </row>
    <row r="45" hidden="1" ht="12.75" customHeight="1" s="450">
      <c r="A45" s="590" t="n"/>
      <c r="B45" s="618" t="inlineStr">
        <is>
          <t>V34</t>
        </is>
      </c>
      <c r="C45" s="619" t="n"/>
      <c r="D45" s="619" t="n"/>
      <c r="E45" s="621">
        <f>+C45*D45</f>
        <v/>
      </c>
      <c r="F45" s="622">
        <f>+C45*D45</f>
        <v/>
      </c>
      <c r="G45" s="624" t="n"/>
      <c r="H45" s="588" t="n"/>
      <c r="I45" s="618" t="inlineStr">
        <is>
          <t>S34</t>
        </is>
      </c>
      <c r="J45" s="619" t="n"/>
      <c r="K45" s="619" t="n"/>
      <c r="L45" s="621">
        <f>+J45*K45</f>
        <v/>
      </c>
      <c r="M45" s="621">
        <f>+J45*K45</f>
        <v/>
      </c>
      <c r="N45" s="615" t="n"/>
      <c r="O45" s="619">
        <f>+D45</f>
        <v/>
      </c>
      <c r="P45" s="619" t="n"/>
      <c r="Q45" s="621">
        <f>+O45*P45</f>
        <v/>
      </c>
      <c r="R45" s="616" t="n"/>
      <c r="S45" s="621">
        <f>+F45+M45</f>
        <v/>
      </c>
      <c r="T45" s="616" t="n"/>
      <c r="U45" s="619" t="n"/>
      <c r="V45" s="619" t="n"/>
      <c r="W45" s="621">
        <f>+U45*V45</f>
        <v/>
      </c>
      <c r="X45" s="624" t="n"/>
      <c r="Z45" s="588" t="n"/>
      <c r="AA45" s="588" t="n"/>
      <c r="AB45" s="588" t="n"/>
      <c r="AC45" s="588" t="n"/>
      <c r="AD45" s="588" t="n"/>
      <c r="AE45" s="588" t="n"/>
      <c r="AF45" s="588" t="n"/>
      <c r="AG45" s="588" t="n"/>
      <c r="AH45" s="588" t="n"/>
      <c r="AI45" s="588" t="n"/>
      <c r="AJ45" s="588" t="n"/>
      <c r="AK45" s="588" t="n"/>
      <c r="AL45" s="588" t="n"/>
      <c r="AM45" s="588" t="n"/>
      <c r="AN45" s="588" t="n"/>
      <c r="AO45" s="588" t="n"/>
      <c r="AP45" s="588" t="n"/>
      <c r="AQ45" s="588" t="n"/>
      <c r="AR45" s="588" t="n"/>
      <c r="AS45" s="588" t="n"/>
      <c r="AT45" s="588" t="n"/>
      <c r="AU45" s="588" t="n"/>
      <c r="AV45" s="588" t="n"/>
      <c r="AW45" s="588" t="n"/>
      <c r="AX45" s="588" t="n"/>
      <c r="AY45" s="588" t="n"/>
      <c r="AZ45" s="588" t="n"/>
      <c r="BA45" s="588" t="n"/>
      <c r="BB45" s="588" t="n"/>
      <c r="BC45" s="588" t="n"/>
      <c r="BD45" s="588" t="n"/>
      <c r="BE45" s="588" t="n"/>
      <c r="BF45" s="588" t="n"/>
      <c r="BG45" s="588" t="n"/>
      <c r="BH45" s="588" t="n"/>
      <c r="BI45" s="588" t="n"/>
      <c r="BJ45" s="588" t="n"/>
      <c r="BK45" s="588" t="n"/>
      <c r="BL45" s="588" t="n"/>
      <c r="BM45" s="588" t="n"/>
      <c r="BN45" s="588" t="n"/>
      <c r="BO45" s="588" t="n"/>
      <c r="BP45" s="588" t="n"/>
      <c r="BQ45" s="588" t="n"/>
      <c r="BR45" s="588" t="n"/>
      <c r="BS45" s="588" t="n"/>
      <c r="BT45" s="588" t="n"/>
      <c r="BU45" s="588" t="n"/>
      <c r="BV45" s="588" t="n"/>
      <c r="BW45" s="588" t="n"/>
      <c r="BX45" s="588" t="n"/>
      <c r="BY45" s="588" t="n"/>
      <c r="BZ45" s="588" t="n"/>
      <c r="CA45" s="588" t="n"/>
      <c r="CB45" s="588" t="n"/>
      <c r="CC45" s="588" t="n"/>
      <c r="CD45" s="588" t="n"/>
      <c r="CE45" s="588" t="n"/>
      <c r="CF45" s="588" t="n"/>
      <c r="CG45" s="588" t="n"/>
      <c r="CH45" s="588" t="n"/>
      <c r="CI45" s="588" t="n"/>
      <c r="CJ45" s="588" t="n"/>
      <c r="CK45" s="588" t="n"/>
      <c r="CL45" s="588" t="n"/>
      <c r="CM45" s="588" t="n"/>
      <c r="CN45" s="588" t="n"/>
      <c r="CO45" s="588" t="n"/>
      <c r="CP45" s="588" t="n"/>
      <c r="CQ45" s="588" t="n"/>
      <c r="CR45" s="588" t="n"/>
      <c r="CS45" s="588" t="n"/>
      <c r="CT45" s="588" t="n"/>
      <c r="CU45" s="588" t="n"/>
      <c r="CV45" s="588" t="n"/>
      <c r="CW45" s="588" t="n"/>
      <c r="CX45" s="588" t="n"/>
      <c r="CY45" s="588" t="n"/>
      <c r="CZ45" s="588" t="n"/>
      <c r="DA45" s="588" t="n"/>
      <c r="DB45" s="588" t="n"/>
      <c r="DC45" s="588" t="n"/>
      <c r="DD45" s="588" t="n"/>
      <c r="DE45" s="588" t="n"/>
      <c r="DF45" s="588" t="n"/>
      <c r="DG45" s="588" t="n"/>
      <c r="DH45" s="588" t="n"/>
      <c r="DI45" s="588" t="n"/>
      <c r="DJ45" s="588" t="n"/>
      <c r="DK45" s="588" t="n"/>
      <c r="DL45" s="588" t="n"/>
      <c r="DM45" s="588" t="n"/>
      <c r="DN45" s="588" t="n"/>
      <c r="DO45" s="588" t="n"/>
      <c r="DP45" s="588" t="n"/>
      <c r="DQ45" s="588" t="n"/>
      <c r="DR45" s="588" t="n"/>
      <c r="DS45" s="588" t="n"/>
      <c r="DT45" s="588" t="n"/>
      <c r="DU45" s="588" t="n"/>
    </row>
    <row r="46" hidden="1" ht="15.75" customHeight="1" s="450">
      <c r="A46" s="590" t="n"/>
      <c r="B46" s="618" t="inlineStr">
        <is>
          <t>V35</t>
        </is>
      </c>
      <c r="C46" s="619" t="n"/>
      <c r="D46" s="619" t="n"/>
      <c r="E46" s="621">
        <f>+C46*D46</f>
        <v/>
      </c>
      <c r="F46" s="622">
        <f>+C46*D46</f>
        <v/>
      </c>
      <c r="G46" s="624" t="n"/>
      <c r="H46" s="588" t="n"/>
      <c r="I46" s="618" t="inlineStr">
        <is>
          <t>S35</t>
        </is>
      </c>
      <c r="J46" s="619" t="n"/>
      <c r="K46" s="619" t="n"/>
      <c r="L46" s="621">
        <f>+J46*K46</f>
        <v/>
      </c>
      <c r="M46" s="621">
        <f>+J46*K46</f>
        <v/>
      </c>
      <c r="N46" s="615" t="n"/>
      <c r="O46" s="619">
        <f>+D46</f>
        <v/>
      </c>
      <c r="P46" s="619" t="n"/>
      <c r="Q46" s="621">
        <f>+O46*P46</f>
        <v/>
      </c>
      <c r="R46" s="616" t="n"/>
      <c r="S46" s="621">
        <f>+F46+M46</f>
        <v/>
      </c>
      <c r="T46" s="616" t="n"/>
      <c r="U46" s="619" t="n"/>
      <c r="V46" s="619" t="n"/>
      <c r="W46" s="621">
        <f>+U46*V46</f>
        <v/>
      </c>
      <c r="X46" s="624" t="n"/>
      <c r="Z46" s="588" t="n"/>
      <c r="AA46" s="588" t="n"/>
      <c r="AB46" s="588" t="n"/>
      <c r="AC46" s="588" t="n"/>
      <c r="AD46" s="588" t="n"/>
      <c r="AE46" s="588" t="n"/>
      <c r="AF46" s="588" t="n"/>
      <c r="AG46" s="588" t="n"/>
      <c r="AH46" s="588" t="n"/>
      <c r="AI46" s="588" t="n"/>
      <c r="AJ46" s="588" t="n"/>
      <c r="AK46" s="588" t="n"/>
      <c r="AL46" s="588" t="n"/>
      <c r="AM46" s="588" t="n"/>
      <c r="AN46" s="588" t="n"/>
      <c r="AO46" s="588" t="n"/>
      <c r="AP46" s="588" t="n"/>
      <c r="AQ46" s="588" t="n"/>
      <c r="AR46" s="588" t="n"/>
      <c r="AS46" s="588" t="n"/>
      <c r="AT46" s="588" t="n"/>
      <c r="AU46" s="588" t="n"/>
      <c r="AV46" s="588" t="n"/>
      <c r="AW46" s="588" t="n"/>
      <c r="AX46" s="588" t="n"/>
      <c r="AY46" s="588" t="n"/>
      <c r="AZ46" s="588" t="n"/>
      <c r="BA46" s="588" t="n"/>
      <c r="BB46" s="588" t="n"/>
      <c r="BC46" s="588" t="n"/>
      <c r="BD46" s="588" t="n"/>
      <c r="BE46" s="588" t="n"/>
      <c r="BF46" s="588" t="n"/>
      <c r="BG46" s="588" t="n"/>
      <c r="BH46" s="588" t="n"/>
      <c r="BI46" s="588" t="n"/>
      <c r="BJ46" s="588" t="n"/>
      <c r="BK46" s="588" t="n"/>
      <c r="BL46" s="588" t="n"/>
      <c r="BM46" s="588" t="n"/>
      <c r="BN46" s="588" t="n"/>
      <c r="BO46" s="588" t="n"/>
      <c r="BP46" s="588" t="n"/>
      <c r="BQ46" s="588" t="n"/>
      <c r="BR46" s="588" t="n"/>
      <c r="BS46" s="588" t="n"/>
      <c r="BT46" s="588" t="n"/>
      <c r="BU46" s="588" t="n"/>
      <c r="BV46" s="588" t="n"/>
      <c r="BW46" s="588" t="n"/>
      <c r="BX46" s="588" t="n"/>
      <c r="BY46" s="588" t="n"/>
      <c r="BZ46" s="588" t="n"/>
      <c r="CA46" s="588" t="n"/>
      <c r="CB46" s="588" t="n"/>
      <c r="CC46" s="588" t="n"/>
      <c r="CD46" s="588" t="n"/>
      <c r="CE46" s="588" t="n"/>
      <c r="CF46" s="588" t="n"/>
      <c r="CG46" s="588" t="n"/>
      <c r="CH46" s="588" t="n"/>
      <c r="CI46" s="588" t="n"/>
      <c r="CJ46" s="588" t="n"/>
      <c r="CK46" s="588" t="n"/>
      <c r="CL46" s="588" t="n"/>
      <c r="CM46" s="588" t="n"/>
      <c r="CN46" s="588" t="n"/>
      <c r="CO46" s="588" t="n"/>
      <c r="CP46" s="588" t="n"/>
      <c r="CQ46" s="588" t="n"/>
      <c r="CR46" s="588" t="n"/>
      <c r="CS46" s="588" t="n"/>
      <c r="CT46" s="588" t="n"/>
      <c r="CU46" s="588" t="n"/>
      <c r="CV46" s="588" t="n"/>
      <c r="CW46" s="588" t="n"/>
      <c r="CX46" s="588" t="n"/>
      <c r="CY46" s="588" t="n"/>
      <c r="CZ46" s="588" t="n"/>
      <c r="DA46" s="588" t="n"/>
      <c r="DB46" s="588" t="n"/>
      <c r="DC46" s="588" t="n"/>
      <c r="DD46" s="588" t="n"/>
      <c r="DE46" s="588" t="n"/>
      <c r="DF46" s="588" t="n"/>
      <c r="DG46" s="588" t="n"/>
      <c r="DH46" s="588" t="n"/>
      <c r="DI46" s="588" t="n"/>
      <c r="DJ46" s="588" t="n"/>
      <c r="DK46" s="588" t="n"/>
      <c r="DL46" s="588" t="n"/>
      <c r="DM46" s="588" t="n"/>
      <c r="DN46" s="588" t="n"/>
      <c r="DO46" s="588" t="n"/>
      <c r="DP46" s="588" t="n"/>
      <c r="DQ46" s="588" t="n"/>
      <c r="DR46" s="588" t="n"/>
      <c r="DS46" s="588" t="n"/>
      <c r="DT46" s="588" t="n"/>
      <c r="DU46" s="588" t="n"/>
    </row>
    <row r="47" ht="14.25" customHeight="1" s="450">
      <c r="A47" s="590" t="n"/>
      <c r="B47" s="625" t="n"/>
      <c r="C47" s="626" t="n"/>
      <c r="D47" s="627" t="inlineStr">
        <is>
          <t>Descuentos</t>
        </is>
      </c>
      <c r="E47" s="628" t="n"/>
      <c r="F47" s="629" t="n"/>
      <c r="G47" s="630" t="n"/>
      <c r="H47" s="588" t="n"/>
      <c r="I47" s="631" t="n"/>
      <c r="J47" s="632" t="n"/>
      <c r="K47" s="633" t="inlineStr">
        <is>
          <t>Total</t>
        </is>
      </c>
      <c r="L47" s="634">
        <f>SUM(L5:L46)</f>
        <v/>
      </c>
      <c r="M47" s="635">
        <f>SUM(M5:M46)</f>
        <v/>
      </c>
      <c r="N47" s="615" t="n"/>
      <c r="O47" s="636" t="n"/>
      <c r="P47" s="637" t="inlineStr">
        <is>
          <t>TOTAL</t>
        </is>
      </c>
      <c r="Q47" s="635">
        <f>SUM(Q5:Q46)</f>
        <v/>
      </c>
      <c r="R47" s="602" t="n"/>
      <c r="S47" s="638">
        <f>-W47</f>
        <v/>
      </c>
      <c r="T47" s="602" t="n"/>
      <c r="U47" s="639" t="n"/>
      <c r="V47" s="640" t="inlineStr">
        <is>
          <t>TOTAL</t>
        </is>
      </c>
      <c r="W47" s="635">
        <f>SUM(W5:W46)</f>
        <v/>
      </c>
      <c r="X47" s="641" t="n"/>
      <c r="Z47" s="588" t="n"/>
      <c r="AA47" s="588" t="n"/>
      <c r="AB47" s="588" t="n"/>
      <c r="AC47" s="588" t="n"/>
      <c r="AD47" s="588" t="n"/>
      <c r="AE47" s="588" t="n"/>
      <c r="AF47" s="588" t="n"/>
      <c r="AG47" s="588" t="n"/>
      <c r="AH47" s="588" t="n"/>
      <c r="AI47" s="588" t="n"/>
      <c r="AJ47" s="588" t="n"/>
      <c r="AK47" s="588" t="n"/>
      <c r="AL47" s="588" t="n"/>
      <c r="AM47" s="588" t="n"/>
      <c r="AN47" s="588" t="n"/>
      <c r="AO47" s="588" t="n"/>
      <c r="AP47" s="588" t="n"/>
      <c r="AQ47" s="588" t="n"/>
      <c r="AR47" s="588" t="n"/>
      <c r="AS47" s="588" t="n"/>
      <c r="AT47" s="588" t="n"/>
      <c r="AU47" s="588" t="n"/>
      <c r="AV47" s="588" t="n"/>
      <c r="AW47" s="588" t="n"/>
      <c r="AX47" s="588" t="n"/>
      <c r="AY47" s="588" t="n"/>
      <c r="AZ47" s="588" t="n"/>
      <c r="BA47" s="588" t="n"/>
      <c r="BB47" s="588" t="n"/>
      <c r="BC47" s="588" t="n"/>
      <c r="BD47" s="588" t="n"/>
      <c r="BE47" s="588" t="n"/>
      <c r="BF47" s="588" t="n"/>
      <c r="BG47" s="588" t="n"/>
      <c r="BH47" s="588" t="n"/>
      <c r="BI47" s="588" t="n"/>
      <c r="BJ47" s="588" t="n"/>
      <c r="BK47" s="588" t="n"/>
      <c r="BL47" s="588" t="n"/>
      <c r="BM47" s="588" t="n"/>
      <c r="BN47" s="588" t="n"/>
      <c r="BO47" s="588" t="n"/>
      <c r="BP47" s="588" t="n"/>
      <c r="BQ47" s="588" t="n"/>
      <c r="BR47" s="588" t="n"/>
      <c r="BS47" s="588" t="n"/>
      <c r="BT47" s="588" t="n"/>
      <c r="BU47" s="588" t="n"/>
      <c r="BV47" s="588" t="n"/>
      <c r="BW47" s="588" t="n"/>
      <c r="BX47" s="588" t="n"/>
      <c r="BY47" s="588" t="n"/>
      <c r="BZ47" s="588" t="n"/>
      <c r="CA47" s="588" t="n"/>
      <c r="CB47" s="588" t="n"/>
      <c r="CC47" s="588" t="n"/>
      <c r="CD47" s="588" t="n"/>
      <c r="CE47" s="588" t="n"/>
      <c r="CF47" s="588" t="n"/>
      <c r="CG47" s="588" t="n"/>
      <c r="CH47" s="588" t="n"/>
      <c r="CI47" s="588" t="n"/>
      <c r="CJ47" s="588" t="n"/>
      <c r="CK47" s="588" t="n"/>
      <c r="CL47" s="588" t="n"/>
      <c r="CM47" s="588" t="n"/>
      <c r="CN47" s="588" t="n"/>
      <c r="CO47" s="588" t="n"/>
      <c r="CP47" s="588" t="n"/>
      <c r="CQ47" s="588" t="n"/>
      <c r="CR47" s="588" t="n"/>
      <c r="CS47" s="588" t="n"/>
      <c r="CT47" s="588" t="n"/>
      <c r="CU47" s="588" t="n"/>
      <c r="CV47" s="588" t="n"/>
      <c r="CW47" s="588" t="n"/>
      <c r="CX47" s="588" t="n"/>
      <c r="CY47" s="588" t="n"/>
      <c r="CZ47" s="588" t="n"/>
      <c r="DA47" s="588" t="n"/>
      <c r="DB47" s="588" t="n"/>
      <c r="DC47" s="588" t="n"/>
      <c r="DD47" s="588" t="n"/>
      <c r="DE47" s="588" t="n"/>
      <c r="DF47" s="588" t="n"/>
      <c r="DG47" s="588" t="n"/>
      <c r="DH47" s="588" t="n"/>
      <c r="DI47" s="588" t="n"/>
      <c r="DJ47" s="588" t="n"/>
      <c r="DK47" s="588" t="n"/>
      <c r="DL47" s="588" t="n"/>
      <c r="DM47" s="588" t="n"/>
      <c r="DN47" s="588" t="n"/>
      <c r="DO47" s="588" t="n"/>
      <c r="DP47" s="588" t="n"/>
      <c r="DQ47" s="588" t="n"/>
      <c r="DR47" s="588" t="n"/>
      <c r="DS47" s="588" t="n"/>
      <c r="DT47" s="588" t="n"/>
      <c r="DU47" s="588" t="n"/>
    </row>
    <row r="48" ht="14.25" customHeight="1" s="450">
      <c r="A48" s="590" t="n"/>
      <c r="B48" s="642" t="n"/>
      <c r="C48" s="588" t="n"/>
      <c r="D48" s="643" t="inlineStr">
        <is>
          <t>Sub Total</t>
        </is>
      </c>
      <c r="E48" s="602">
        <f>SUM(E5:E47)</f>
        <v/>
      </c>
      <c r="F48" s="644">
        <f>SUM(F5:F47)</f>
        <v/>
      </c>
      <c r="G48" s="602" t="n"/>
      <c r="H48" s="597" t="n"/>
      <c r="I48" s="588" t="n"/>
      <c r="J48" s="588" t="n"/>
      <c r="K48" s="643" t="n"/>
      <c r="L48" s="602" t="n"/>
      <c r="M48" s="602" t="n"/>
      <c r="N48" s="645" t="n"/>
      <c r="O48" s="588" t="n"/>
      <c r="P48" s="588" t="n"/>
      <c r="Q48" s="602" t="n"/>
      <c r="R48" s="588" t="n"/>
      <c r="S48" s="646">
        <f>SUM(S5:S47)</f>
        <v/>
      </c>
      <c r="T48" s="588" t="n"/>
      <c r="U48" s="588" t="n"/>
      <c r="V48" s="598" t="n"/>
      <c r="W48" s="598" t="n"/>
      <c r="X48" s="588" t="n"/>
      <c r="Z48" s="588" t="n"/>
      <c r="AA48" s="588" t="n"/>
      <c r="AB48" s="588" t="n"/>
      <c r="AC48" s="588" t="n"/>
      <c r="AD48" s="588" t="n"/>
      <c r="AE48" s="588" t="n"/>
      <c r="AF48" s="588" t="n"/>
      <c r="AG48" s="588" t="n"/>
      <c r="AH48" s="588" t="n"/>
      <c r="AI48" s="588" t="n"/>
      <c r="AJ48" s="588" t="n"/>
      <c r="AK48" s="588" t="n"/>
      <c r="AL48" s="588" t="n"/>
      <c r="AM48" s="588" t="n"/>
      <c r="AN48" s="588" t="n"/>
      <c r="AO48" s="588" t="n"/>
      <c r="AP48" s="588" t="n"/>
      <c r="AQ48" s="588" t="n"/>
      <c r="AR48" s="588" t="n"/>
      <c r="AS48" s="588" t="n"/>
      <c r="AT48" s="588" t="n"/>
      <c r="AU48" s="588" t="n"/>
      <c r="AV48" s="588" t="n"/>
      <c r="AW48" s="588" t="n"/>
      <c r="AX48" s="588" t="n"/>
      <c r="AY48" s="588" t="n"/>
      <c r="AZ48" s="588" t="n"/>
      <c r="BA48" s="588" t="n"/>
      <c r="BB48" s="588" t="n"/>
      <c r="BC48" s="588" t="n"/>
      <c r="BD48" s="588" t="n"/>
      <c r="BE48" s="588" t="n"/>
      <c r="BF48" s="588" t="n"/>
      <c r="BG48" s="588" t="n"/>
      <c r="BH48" s="588" t="n"/>
      <c r="BI48" s="588" t="n"/>
      <c r="BJ48" s="588" t="n"/>
      <c r="BK48" s="588" t="n"/>
      <c r="BL48" s="588" t="n"/>
      <c r="BM48" s="588" t="n"/>
      <c r="BN48" s="588" t="n"/>
      <c r="BO48" s="588" t="n"/>
      <c r="BP48" s="588" t="n"/>
      <c r="BQ48" s="588" t="n"/>
      <c r="BR48" s="588" t="n"/>
      <c r="BS48" s="588" t="n"/>
      <c r="BT48" s="588" t="n"/>
      <c r="BU48" s="588" t="n"/>
      <c r="BV48" s="588" t="n"/>
      <c r="BW48" s="588" t="n"/>
      <c r="BX48" s="588" t="n"/>
      <c r="BY48" s="588" t="n"/>
      <c r="BZ48" s="588" t="n"/>
      <c r="CA48" s="588" t="n"/>
      <c r="CB48" s="588" t="n"/>
      <c r="CC48" s="588" t="n"/>
      <c r="CD48" s="588" t="n"/>
      <c r="CE48" s="588" t="n"/>
      <c r="CF48" s="588" t="n"/>
      <c r="CG48" s="588" t="n"/>
      <c r="CH48" s="588" t="n"/>
      <c r="CI48" s="588" t="n"/>
      <c r="CJ48" s="588" t="n"/>
      <c r="CK48" s="588" t="n"/>
      <c r="CL48" s="588" t="n"/>
      <c r="CM48" s="588" t="n"/>
      <c r="CN48" s="588" t="n"/>
      <c r="CO48" s="588" t="n"/>
      <c r="CP48" s="588" t="n"/>
      <c r="CQ48" s="588" t="n"/>
      <c r="CR48" s="588" t="n"/>
      <c r="CS48" s="588" t="n"/>
      <c r="CT48" s="588" t="n"/>
      <c r="CU48" s="588" t="n"/>
      <c r="CV48" s="588" t="n"/>
      <c r="CW48" s="588" t="n"/>
      <c r="CX48" s="588" t="n"/>
      <c r="CY48" s="588" t="n"/>
      <c r="CZ48" s="588" t="n"/>
      <c r="DA48" s="588" t="n"/>
      <c r="DB48" s="588" t="n"/>
      <c r="DC48" s="588" t="n"/>
      <c r="DD48" s="588" t="n"/>
      <c r="DE48" s="588" t="n"/>
      <c r="DF48" s="588" t="n"/>
      <c r="DG48" s="588" t="n"/>
      <c r="DH48" s="588" t="n"/>
      <c r="DI48" s="588" t="n"/>
      <c r="DJ48" s="588" t="n"/>
      <c r="DK48" s="588" t="n"/>
      <c r="DL48" s="588" t="n"/>
      <c r="DM48" s="588" t="n"/>
      <c r="DN48" s="588" t="n"/>
      <c r="DO48" s="588" t="n"/>
      <c r="DP48" s="588" t="n"/>
      <c r="DQ48" s="588" t="n"/>
      <c r="DR48" s="588" t="n"/>
      <c r="DS48" s="588" t="n"/>
      <c r="DT48" s="588" t="n"/>
      <c r="DU48" s="588" t="n"/>
    </row>
    <row r="49" ht="23.25" customHeight="1" s="450">
      <c r="A49" s="590" t="n"/>
      <c r="B49" s="647" t="n"/>
      <c r="C49" s="648" t="n"/>
      <c r="D49" s="649" t="inlineStr">
        <is>
          <t>Descuentos Juntas</t>
        </is>
      </c>
      <c r="E49" s="650" t="n">
        <v>0.05</v>
      </c>
      <c r="F49" s="650" t="n">
        <v>0.05</v>
      </c>
      <c r="G49" s="602" t="n"/>
      <c r="H49" s="597" t="n"/>
      <c r="I49" s="588" t="n"/>
      <c r="J49" s="588" t="n"/>
      <c r="K49" s="651" t="n"/>
      <c r="L49" s="652" t="n"/>
      <c r="M49" s="652" t="n"/>
      <c r="N49" s="645" t="n"/>
      <c r="O49" s="588" t="n"/>
      <c r="P49" s="588" t="n"/>
      <c r="Q49" s="602" t="n"/>
      <c r="R49" s="588" t="n"/>
      <c r="S49" s="653" t="n">
        <v>0</v>
      </c>
      <c r="T49" s="588" t="n"/>
      <c r="U49" s="588" t="n"/>
      <c r="V49" s="598" t="n"/>
      <c r="W49" s="598" t="n"/>
      <c r="X49" s="588" t="n"/>
      <c r="Z49" s="588" t="n"/>
      <c r="AA49" s="588" t="n"/>
      <c r="AB49" s="588" t="n"/>
      <c r="AC49" s="588" t="n"/>
      <c r="AD49" s="588" t="n"/>
      <c r="AE49" s="588" t="n"/>
      <c r="AF49" s="588" t="n"/>
      <c r="AG49" s="588" t="n"/>
      <c r="AH49" s="588" t="n"/>
      <c r="AI49" s="588" t="n"/>
      <c r="AJ49" s="588" t="n"/>
      <c r="AK49" s="588" t="n"/>
      <c r="AL49" s="588" t="n"/>
      <c r="AM49" s="588" t="n"/>
      <c r="AN49" s="588" t="n"/>
      <c r="AO49" s="588" t="n"/>
      <c r="AP49" s="588" t="n"/>
      <c r="AQ49" s="588" t="n"/>
      <c r="AR49" s="588" t="n"/>
      <c r="AS49" s="588" t="n"/>
      <c r="AT49" s="588" t="n"/>
      <c r="AU49" s="588" t="n"/>
      <c r="AV49" s="588" t="n"/>
      <c r="AW49" s="588" t="n"/>
      <c r="AX49" s="588" t="n"/>
      <c r="AY49" s="588" t="n"/>
      <c r="AZ49" s="588" t="n"/>
      <c r="BA49" s="588" t="n"/>
      <c r="BB49" s="588" t="n"/>
      <c r="BC49" s="588" t="n"/>
      <c r="BD49" s="588" t="n"/>
      <c r="BE49" s="588" t="n"/>
      <c r="BF49" s="588" t="n"/>
      <c r="BG49" s="588" t="n"/>
      <c r="BH49" s="588" t="n"/>
      <c r="BI49" s="588" t="n"/>
      <c r="BJ49" s="588" t="n"/>
      <c r="BK49" s="588" t="n"/>
      <c r="BL49" s="588" t="n"/>
      <c r="BM49" s="588" t="n"/>
      <c r="BN49" s="588" t="n"/>
      <c r="BO49" s="588" t="n"/>
      <c r="BP49" s="588" t="n"/>
      <c r="BQ49" s="588" t="n"/>
      <c r="BR49" s="588" t="n"/>
      <c r="BS49" s="588" t="n"/>
      <c r="BT49" s="588" t="n"/>
      <c r="BU49" s="588" t="n"/>
      <c r="BV49" s="588" t="n"/>
      <c r="BW49" s="588" t="n"/>
      <c r="BX49" s="588" t="n"/>
      <c r="BY49" s="588" t="n"/>
      <c r="BZ49" s="588" t="n"/>
      <c r="CA49" s="588" t="n"/>
      <c r="CB49" s="588" t="n"/>
      <c r="CC49" s="588" t="n"/>
      <c r="CD49" s="588" t="n"/>
      <c r="CE49" s="588" t="n"/>
      <c r="CF49" s="588" t="n"/>
      <c r="CG49" s="588" t="n"/>
      <c r="CH49" s="588" t="n"/>
      <c r="CI49" s="588" t="n"/>
      <c r="CJ49" s="588" t="n"/>
      <c r="CK49" s="588" t="n"/>
      <c r="CL49" s="588" t="n"/>
      <c r="CM49" s="588" t="n"/>
      <c r="CN49" s="588" t="n"/>
      <c r="CO49" s="588" t="n"/>
      <c r="CP49" s="588" t="n"/>
      <c r="CQ49" s="588" t="n"/>
      <c r="CR49" s="588" t="n"/>
      <c r="CS49" s="588" t="n"/>
      <c r="CT49" s="588" t="n"/>
      <c r="CU49" s="588" t="n"/>
      <c r="CV49" s="588" t="n"/>
      <c r="CW49" s="588" t="n"/>
      <c r="CX49" s="588" t="n"/>
      <c r="CY49" s="588" t="n"/>
      <c r="CZ49" s="588" t="n"/>
      <c r="DA49" s="588" t="n"/>
      <c r="DB49" s="588" t="n"/>
      <c r="DC49" s="588" t="n"/>
      <c r="DD49" s="588" t="n"/>
      <c r="DE49" s="588" t="n"/>
      <c r="DF49" s="588" t="n"/>
      <c r="DG49" s="588" t="n"/>
      <c r="DH49" s="588" t="n"/>
      <c r="DI49" s="588" t="n"/>
      <c r="DJ49" s="588" t="n"/>
      <c r="DK49" s="588" t="n"/>
      <c r="DL49" s="588" t="n"/>
      <c r="DM49" s="588" t="n"/>
      <c r="DN49" s="588" t="n"/>
      <c r="DO49" s="588" t="n"/>
      <c r="DP49" s="588" t="n"/>
      <c r="DQ49" s="588" t="n"/>
      <c r="DR49" s="588" t="n"/>
      <c r="DS49" s="588" t="n"/>
      <c r="DT49" s="588" t="n"/>
      <c r="DU49" s="588" t="n"/>
    </row>
    <row r="50" ht="13.5" customHeight="1" s="450">
      <c r="A50" s="590" t="n"/>
      <c r="B50" s="654" t="n"/>
      <c r="C50" s="654" t="n"/>
      <c r="D50" s="633" t="inlineStr">
        <is>
          <t>Total</t>
        </is>
      </c>
      <c r="E50" s="634">
        <f>+E48-E49</f>
        <v/>
      </c>
      <c r="F50" s="635">
        <f>+E50</f>
        <v/>
      </c>
      <c r="G50" s="602" t="n"/>
      <c r="H50" s="655" t="n"/>
      <c r="I50" s="588" t="n"/>
      <c r="J50" s="588" t="n"/>
      <c r="K50" s="656" t="n"/>
      <c r="L50" s="656" t="n"/>
      <c r="M50" s="602" t="n"/>
      <c r="N50" s="602" t="n"/>
      <c r="O50" s="588" t="n"/>
      <c r="P50" s="588" t="n"/>
      <c r="Q50" s="602" t="n"/>
      <c r="R50" s="588" t="n"/>
      <c r="S50" s="657">
        <f>SUM(S48:S49)</f>
        <v/>
      </c>
      <c r="T50" s="588" t="n"/>
      <c r="U50" s="588" t="n"/>
      <c r="V50" s="598" t="n"/>
      <c r="W50" s="598" t="n"/>
      <c r="X50" s="588" t="n"/>
      <c r="Z50" s="588" t="n"/>
      <c r="AA50" s="588" t="n"/>
      <c r="AB50" s="588" t="n"/>
      <c r="AC50" s="588" t="n"/>
      <c r="AD50" s="588" t="n"/>
      <c r="AE50" s="588" t="n"/>
      <c r="AF50" s="588" t="n"/>
      <c r="AG50" s="588" t="n"/>
      <c r="AH50" s="588" t="n"/>
      <c r="AI50" s="588" t="n"/>
      <c r="AJ50" s="588" t="n"/>
      <c r="AK50" s="588" t="n"/>
      <c r="AL50" s="588" t="n"/>
      <c r="AM50" s="588" t="n"/>
      <c r="AN50" s="588" t="n"/>
      <c r="AO50" s="588" t="n"/>
      <c r="AP50" s="588" t="n"/>
      <c r="AQ50" s="588" t="n"/>
      <c r="AR50" s="588" t="n"/>
      <c r="AS50" s="588" t="n"/>
      <c r="AT50" s="588" t="n"/>
      <c r="AU50" s="588" t="n"/>
      <c r="AV50" s="588" t="n"/>
      <c r="AW50" s="588" t="n"/>
      <c r="AX50" s="588" t="n"/>
      <c r="AY50" s="588" t="n"/>
      <c r="AZ50" s="588" t="n"/>
      <c r="BA50" s="588" t="n"/>
      <c r="BB50" s="588" t="n"/>
      <c r="BC50" s="588" t="n"/>
      <c r="BD50" s="588" t="n"/>
      <c r="BE50" s="588" t="n"/>
      <c r="BF50" s="588" t="n"/>
      <c r="BG50" s="588" t="n"/>
      <c r="BH50" s="588" t="n"/>
      <c r="BI50" s="588" t="n"/>
      <c r="BJ50" s="588" t="n"/>
      <c r="BK50" s="588" t="n"/>
      <c r="BL50" s="588" t="n"/>
      <c r="BM50" s="588" t="n"/>
      <c r="BN50" s="588" t="n"/>
      <c r="BO50" s="588" t="n"/>
      <c r="BP50" s="588" t="n"/>
      <c r="BQ50" s="588" t="n"/>
      <c r="BR50" s="588" t="n"/>
      <c r="BS50" s="588" t="n"/>
      <c r="BT50" s="588" t="n"/>
      <c r="BU50" s="588" t="n"/>
      <c r="BV50" s="588" t="n"/>
      <c r="BW50" s="588" t="n"/>
      <c r="BX50" s="588" t="n"/>
      <c r="BY50" s="588" t="n"/>
      <c r="BZ50" s="588" t="n"/>
      <c r="CA50" s="588" t="n"/>
      <c r="CB50" s="588" t="n"/>
      <c r="CC50" s="588" t="n"/>
      <c r="CD50" s="588" t="n"/>
      <c r="CE50" s="588" t="n"/>
      <c r="CF50" s="588" t="n"/>
      <c r="CG50" s="588" t="n"/>
      <c r="CH50" s="588" t="n"/>
      <c r="CI50" s="588" t="n"/>
      <c r="CJ50" s="588" t="n"/>
      <c r="CK50" s="588" t="n"/>
      <c r="CL50" s="588" t="n"/>
      <c r="CM50" s="588" t="n"/>
      <c r="CN50" s="588" t="n"/>
      <c r="CO50" s="588" t="n"/>
      <c r="CP50" s="588" t="n"/>
      <c r="CQ50" s="588" t="n"/>
      <c r="CR50" s="588" t="n"/>
      <c r="CS50" s="588" t="n"/>
      <c r="CT50" s="588" t="n"/>
      <c r="CU50" s="588" t="n"/>
      <c r="CV50" s="588" t="n"/>
      <c r="CW50" s="588" t="n"/>
      <c r="CX50" s="588" t="n"/>
      <c r="CY50" s="588" t="n"/>
      <c r="CZ50" s="588" t="n"/>
      <c r="DA50" s="588" t="n"/>
      <c r="DB50" s="588" t="n"/>
      <c r="DC50" s="588" t="n"/>
      <c r="DD50" s="588" t="n"/>
      <c r="DE50" s="588" t="n"/>
      <c r="DF50" s="588" t="n"/>
      <c r="DG50" s="588" t="n"/>
      <c r="DH50" s="588" t="n"/>
      <c r="DI50" s="588" t="n"/>
      <c r="DJ50" s="588" t="n"/>
      <c r="DK50" s="588" t="n"/>
      <c r="DL50" s="588" t="n"/>
      <c r="DM50" s="588" t="n"/>
      <c r="DN50" s="588" t="n"/>
      <c r="DO50" s="588" t="n"/>
      <c r="DP50" s="588" t="n"/>
      <c r="DQ50" s="588" t="n"/>
      <c r="DR50" s="588" t="n"/>
      <c r="DS50" s="588" t="n"/>
      <c r="DT50" s="588" t="n"/>
      <c r="DU50" s="588" t="n"/>
    </row>
    <row r="51" ht="9.75" customHeight="1" s="450">
      <c r="A51" s="590" t="n"/>
      <c r="B51" s="588" t="n"/>
      <c r="C51" s="588" t="n"/>
      <c r="D51" s="656" t="n"/>
      <c r="E51" s="656" t="n"/>
      <c r="F51" s="602" t="n"/>
      <c r="G51" s="602" t="n"/>
      <c r="H51" s="655" t="n"/>
      <c r="I51" s="588" t="n"/>
      <c r="J51" s="588" t="n"/>
      <c r="K51" s="656" t="n"/>
      <c r="L51" s="656" t="n"/>
      <c r="M51" s="602" t="n"/>
      <c r="N51" s="602" t="n"/>
      <c r="O51" s="588" t="n"/>
      <c r="P51" s="588" t="n"/>
      <c r="Q51" s="602" t="n"/>
      <c r="R51" s="588" t="n"/>
      <c r="S51" s="602" t="n"/>
      <c r="T51" s="588" t="n"/>
      <c r="U51" s="588" t="n"/>
      <c r="V51" s="598" t="n"/>
      <c r="W51" s="598" t="n"/>
      <c r="X51" s="588" t="n"/>
      <c r="Z51" s="588" t="n"/>
      <c r="AA51" s="588" t="n"/>
      <c r="AB51" s="588" t="n"/>
      <c r="AC51" s="588" t="n"/>
      <c r="AD51" s="588" t="n"/>
      <c r="AE51" s="588" t="n"/>
      <c r="AF51" s="588" t="n"/>
      <c r="AG51" s="588" t="n"/>
      <c r="AH51" s="588" t="n"/>
      <c r="AI51" s="588" t="n"/>
      <c r="AJ51" s="588" t="n"/>
      <c r="AK51" s="588" t="n"/>
      <c r="AL51" s="588" t="n"/>
      <c r="AM51" s="588" t="n"/>
      <c r="AN51" s="588" t="n"/>
      <c r="AO51" s="588" t="n"/>
      <c r="AP51" s="588" t="n"/>
      <c r="AQ51" s="588" t="n"/>
      <c r="AR51" s="588" t="n"/>
      <c r="AS51" s="588" t="n"/>
      <c r="AT51" s="588" t="n"/>
      <c r="AU51" s="588" t="n"/>
      <c r="AV51" s="588" t="n"/>
      <c r="AW51" s="588" t="n"/>
      <c r="AX51" s="588" t="n"/>
      <c r="AY51" s="588" t="n"/>
      <c r="AZ51" s="588" t="n"/>
      <c r="BA51" s="588" t="n"/>
      <c r="BB51" s="588" t="n"/>
      <c r="BC51" s="588" t="n"/>
      <c r="BD51" s="588" t="n"/>
      <c r="BE51" s="588" t="n"/>
      <c r="BF51" s="588" t="n"/>
      <c r="BG51" s="588" t="n"/>
      <c r="BH51" s="588" t="n"/>
      <c r="BI51" s="588" t="n"/>
      <c r="BJ51" s="588" t="n"/>
      <c r="BK51" s="588" t="n"/>
      <c r="BL51" s="588" t="n"/>
      <c r="BM51" s="588" t="n"/>
      <c r="BN51" s="588" t="n"/>
      <c r="BO51" s="588" t="n"/>
      <c r="BP51" s="588" t="n"/>
      <c r="BQ51" s="588" t="n"/>
      <c r="BR51" s="588" t="n"/>
      <c r="BS51" s="588" t="n"/>
      <c r="BT51" s="588" t="n"/>
      <c r="BU51" s="588" t="n"/>
      <c r="BV51" s="588" t="n"/>
      <c r="BW51" s="588" t="n"/>
      <c r="BX51" s="588" t="n"/>
      <c r="BY51" s="588" t="n"/>
      <c r="BZ51" s="588" t="n"/>
      <c r="CA51" s="588" t="n"/>
      <c r="CB51" s="588" t="n"/>
      <c r="CC51" s="588" t="n"/>
      <c r="CD51" s="588" t="n"/>
      <c r="CE51" s="588" t="n"/>
      <c r="CF51" s="588" t="n"/>
      <c r="CG51" s="588" t="n"/>
      <c r="CH51" s="588" t="n"/>
      <c r="CI51" s="588" t="n"/>
      <c r="CJ51" s="588" t="n"/>
      <c r="CK51" s="588" t="n"/>
      <c r="CL51" s="588" t="n"/>
      <c r="CM51" s="588" t="n"/>
      <c r="CN51" s="588" t="n"/>
      <c r="CO51" s="588" t="n"/>
      <c r="CP51" s="588" t="n"/>
      <c r="CQ51" s="588" t="n"/>
      <c r="CR51" s="588" t="n"/>
      <c r="CS51" s="588" t="n"/>
      <c r="CT51" s="588" t="n"/>
      <c r="CU51" s="588" t="n"/>
      <c r="CV51" s="588" t="n"/>
      <c r="CW51" s="588" t="n"/>
      <c r="CX51" s="588" t="n"/>
      <c r="CY51" s="588" t="n"/>
      <c r="CZ51" s="588" t="n"/>
      <c r="DA51" s="588" t="n"/>
      <c r="DB51" s="588" t="n"/>
      <c r="DC51" s="588" t="n"/>
      <c r="DD51" s="588" t="n"/>
      <c r="DE51" s="588" t="n"/>
      <c r="DF51" s="588" t="n"/>
      <c r="DG51" s="588" t="n"/>
      <c r="DH51" s="588" t="n"/>
      <c r="DI51" s="588" t="n"/>
      <c r="DJ51" s="588" t="n"/>
      <c r="DK51" s="588" t="n"/>
      <c r="DL51" s="588" t="n"/>
      <c r="DM51" s="588" t="n"/>
      <c r="DN51" s="588" t="n"/>
      <c r="DO51" s="588" t="n"/>
      <c r="DP51" s="588" t="n"/>
      <c r="DQ51" s="588" t="n"/>
      <c r="DR51" s="588" t="n"/>
      <c r="DS51" s="588" t="n"/>
      <c r="DT51" s="588" t="n"/>
      <c r="DU51" s="588" t="n"/>
    </row>
    <row r="52" ht="7.5" customHeight="1" s="450">
      <c r="A52" s="590" t="n"/>
      <c r="B52" s="600" t="inlineStr">
        <is>
          <t>Vereda 5cm (Prov.)</t>
        </is>
      </c>
      <c r="C52" s="581" t="n"/>
      <c r="D52" s="582" t="n"/>
      <c r="E52" s="601" t="inlineStr">
        <is>
          <t>Rot.</t>
        </is>
      </c>
      <c r="F52" s="601" t="inlineStr">
        <is>
          <t>Rep.</t>
        </is>
      </c>
      <c r="G52" s="602" t="n"/>
      <c r="H52" s="655" t="n"/>
      <c r="I52" s="588" t="n"/>
      <c r="J52" s="588" t="n"/>
      <c r="K52" s="656" t="n"/>
      <c r="L52" s="656" t="n"/>
      <c r="M52" s="602" t="n"/>
      <c r="N52" s="602" t="n"/>
      <c r="O52" s="588" t="n"/>
      <c r="P52" s="588" t="n"/>
      <c r="Q52" s="602" t="n"/>
      <c r="R52" s="588" t="n"/>
      <c r="S52" s="602" t="n"/>
      <c r="T52" s="588" t="n"/>
      <c r="U52" s="588" t="n"/>
      <c r="V52" s="598" t="n"/>
      <c r="W52" s="598" t="n"/>
      <c r="X52" s="588" t="n"/>
      <c r="Z52" s="588" t="n"/>
      <c r="AA52" s="588" t="n"/>
      <c r="AB52" s="588" t="n"/>
      <c r="AC52" s="588" t="n"/>
      <c r="AD52" s="588" t="n"/>
      <c r="AE52" s="588" t="n"/>
      <c r="AF52" s="588" t="n"/>
      <c r="AG52" s="588" t="n"/>
      <c r="AH52" s="588" t="n"/>
      <c r="AI52" s="588" t="n"/>
      <c r="AJ52" s="588" t="n"/>
      <c r="AK52" s="588" t="n"/>
      <c r="AL52" s="588" t="n"/>
      <c r="AM52" s="588" t="n"/>
      <c r="AN52" s="588" t="n"/>
      <c r="AO52" s="588" t="n"/>
      <c r="AP52" s="588" t="n"/>
      <c r="AQ52" s="588" t="n"/>
      <c r="AR52" s="588" t="n"/>
      <c r="AS52" s="588" t="n"/>
      <c r="AT52" s="588" t="n"/>
      <c r="AU52" s="588" t="n"/>
      <c r="AV52" s="588" t="n"/>
      <c r="AW52" s="588" t="n"/>
      <c r="AX52" s="588" t="n"/>
      <c r="AY52" s="588" t="n"/>
      <c r="AZ52" s="588" t="n"/>
      <c r="BA52" s="588" t="n"/>
      <c r="BB52" s="588" t="n"/>
      <c r="BC52" s="588" t="n"/>
      <c r="BD52" s="588" t="n"/>
      <c r="BE52" s="588" t="n"/>
      <c r="BF52" s="588" t="n"/>
      <c r="BG52" s="588" t="n"/>
      <c r="BH52" s="588" t="n"/>
      <c r="BI52" s="588" t="n"/>
      <c r="BJ52" s="588" t="n"/>
      <c r="BK52" s="588" t="n"/>
      <c r="BL52" s="588" t="n"/>
      <c r="BM52" s="588" t="n"/>
      <c r="BN52" s="588" t="n"/>
      <c r="BO52" s="588" t="n"/>
      <c r="BP52" s="588" t="n"/>
      <c r="BQ52" s="588" t="n"/>
      <c r="BR52" s="588" t="n"/>
      <c r="BS52" s="588" t="n"/>
      <c r="BT52" s="588" t="n"/>
      <c r="BU52" s="588" t="n"/>
      <c r="BV52" s="588" t="n"/>
      <c r="BW52" s="588" t="n"/>
      <c r="BX52" s="588" t="n"/>
      <c r="BY52" s="588" t="n"/>
      <c r="BZ52" s="588" t="n"/>
      <c r="CA52" s="588" t="n"/>
      <c r="CB52" s="588" t="n"/>
      <c r="CC52" s="588" t="n"/>
      <c r="CD52" s="588" t="n"/>
      <c r="CE52" s="588" t="n"/>
      <c r="CF52" s="588" t="n"/>
      <c r="CG52" s="588" t="n"/>
      <c r="CH52" s="588" t="n"/>
      <c r="CI52" s="588" t="n"/>
      <c r="CJ52" s="588" t="n"/>
      <c r="CK52" s="588" t="n"/>
      <c r="CL52" s="588" t="n"/>
      <c r="CM52" s="588" t="n"/>
      <c r="CN52" s="588" t="n"/>
      <c r="CO52" s="588" t="n"/>
      <c r="CP52" s="588" t="n"/>
      <c r="CQ52" s="588" t="n"/>
      <c r="CR52" s="588" t="n"/>
      <c r="CS52" s="588" t="n"/>
      <c r="CT52" s="588" t="n"/>
      <c r="CU52" s="588" t="n"/>
      <c r="CV52" s="588" t="n"/>
      <c r="CW52" s="588" t="n"/>
      <c r="CX52" s="588" t="n"/>
      <c r="CY52" s="588" t="n"/>
      <c r="CZ52" s="588" t="n"/>
      <c r="DA52" s="588" t="n"/>
      <c r="DB52" s="588" t="n"/>
      <c r="DC52" s="588" t="n"/>
      <c r="DD52" s="588" t="n"/>
      <c r="DE52" s="588" t="n"/>
      <c r="DF52" s="588" t="n"/>
      <c r="DG52" s="588" t="n"/>
      <c r="DH52" s="588" t="n"/>
      <c r="DI52" s="588" t="n"/>
      <c r="DJ52" s="588" t="n"/>
      <c r="DK52" s="588" t="n"/>
      <c r="DL52" s="588" t="n"/>
      <c r="DM52" s="588" t="n"/>
      <c r="DN52" s="588" t="n"/>
      <c r="DO52" s="588" t="n"/>
      <c r="DP52" s="588" t="n"/>
      <c r="DQ52" s="588" t="n"/>
      <c r="DR52" s="588" t="n"/>
      <c r="DS52" s="588" t="n"/>
      <c r="DT52" s="588" t="n"/>
      <c r="DU52" s="588" t="n"/>
    </row>
    <row r="53" outlineLevel="1" ht="13.2" customHeight="1" s="450">
      <c r="A53" s="590" t="n"/>
      <c r="B53" s="605" t="inlineStr">
        <is>
          <t>N°</t>
        </is>
      </c>
      <c r="C53" s="605" t="inlineStr">
        <is>
          <t>Largo</t>
        </is>
      </c>
      <c r="D53" s="606" t="inlineStr">
        <is>
          <t>Ancho</t>
        </is>
      </c>
      <c r="E53" s="605" t="inlineStr">
        <is>
          <t>m2</t>
        </is>
      </c>
      <c r="F53" s="605" t="inlineStr">
        <is>
          <t>m2</t>
        </is>
      </c>
      <c r="G53" s="601" t="inlineStr">
        <is>
          <t>Observ.</t>
        </is>
      </c>
      <c r="H53" s="655" t="n"/>
      <c r="I53" s="588" t="n"/>
      <c r="J53" s="588" t="n"/>
      <c r="K53" s="656" t="n"/>
      <c r="L53" s="656" t="n"/>
      <c r="M53" s="602" t="n"/>
      <c r="N53" s="602" t="n"/>
      <c r="O53" s="588" t="n"/>
      <c r="P53" s="588" t="n"/>
      <c r="Q53" s="602" t="n"/>
      <c r="R53" s="588" t="n"/>
      <c r="S53" s="602" t="n"/>
      <c r="T53" s="588" t="n"/>
      <c r="U53" s="588" t="n"/>
      <c r="V53" s="598" t="n"/>
      <c r="W53" s="598" t="n"/>
      <c r="X53" s="588" t="n"/>
      <c r="Z53" s="588" t="n"/>
      <c r="AA53" s="588" t="n"/>
      <c r="AB53" s="588" t="n"/>
      <c r="AC53" s="588" t="n"/>
      <c r="AD53" s="588" t="n"/>
      <c r="AE53" s="588" t="n"/>
      <c r="AF53" s="588" t="n"/>
      <c r="AG53" s="588" t="n"/>
      <c r="AH53" s="588" t="n"/>
      <c r="AI53" s="588" t="n"/>
      <c r="AJ53" s="588" t="n"/>
      <c r="AK53" s="588" t="n"/>
      <c r="AL53" s="588" t="n"/>
      <c r="AM53" s="588" t="n"/>
      <c r="AN53" s="588" t="n"/>
      <c r="AO53" s="588" t="n"/>
      <c r="AP53" s="588" t="n"/>
      <c r="AQ53" s="588" t="n"/>
      <c r="AR53" s="588" t="n"/>
      <c r="AS53" s="588" t="n"/>
      <c r="AT53" s="588" t="n"/>
      <c r="AU53" s="588" t="n"/>
      <c r="AV53" s="588" t="n"/>
      <c r="AW53" s="588" t="n"/>
      <c r="AX53" s="588" t="n"/>
      <c r="AY53" s="588" t="n"/>
      <c r="AZ53" s="588" t="n"/>
      <c r="BA53" s="588" t="n"/>
      <c r="BB53" s="588" t="n"/>
      <c r="BC53" s="588" t="n"/>
      <c r="BD53" s="588" t="n"/>
      <c r="BE53" s="588" t="n"/>
      <c r="BF53" s="588" t="n"/>
      <c r="BG53" s="588" t="n"/>
      <c r="BH53" s="588" t="n"/>
      <c r="BI53" s="588" t="n"/>
      <c r="BJ53" s="588" t="n"/>
      <c r="BK53" s="588" t="n"/>
      <c r="BL53" s="588" t="n"/>
      <c r="BM53" s="588" t="n"/>
      <c r="BN53" s="588" t="n"/>
      <c r="BO53" s="588" t="n"/>
      <c r="BP53" s="588" t="n"/>
      <c r="BQ53" s="588" t="n"/>
      <c r="BR53" s="588" t="n"/>
      <c r="BS53" s="588" t="n"/>
      <c r="BT53" s="588" t="n"/>
      <c r="BU53" s="588" t="n"/>
      <c r="BV53" s="588" t="n"/>
      <c r="BW53" s="588" t="n"/>
      <c r="BX53" s="588" t="n"/>
      <c r="BY53" s="588" t="n"/>
      <c r="BZ53" s="588" t="n"/>
      <c r="CA53" s="588" t="n"/>
      <c r="CB53" s="588" t="n"/>
      <c r="CC53" s="588" t="n"/>
      <c r="CD53" s="588" t="n"/>
      <c r="CE53" s="588" t="n"/>
      <c r="CF53" s="588" t="n"/>
      <c r="CG53" s="588" t="n"/>
      <c r="CH53" s="588" t="n"/>
      <c r="CI53" s="588" t="n"/>
      <c r="CJ53" s="588" t="n"/>
      <c r="CK53" s="588" t="n"/>
      <c r="CL53" s="588" t="n"/>
      <c r="CM53" s="588" t="n"/>
      <c r="CN53" s="588" t="n"/>
      <c r="CO53" s="588" t="n"/>
      <c r="CP53" s="588" t="n"/>
      <c r="CQ53" s="588" t="n"/>
      <c r="CR53" s="588" t="n"/>
      <c r="CS53" s="588" t="n"/>
      <c r="CT53" s="588" t="n"/>
      <c r="CU53" s="588" t="n"/>
      <c r="CV53" s="588" t="n"/>
      <c r="CW53" s="588" t="n"/>
      <c r="CX53" s="588" t="n"/>
      <c r="CY53" s="588" t="n"/>
      <c r="CZ53" s="588" t="n"/>
      <c r="DA53" s="588" t="n"/>
      <c r="DB53" s="588" t="n"/>
      <c r="DC53" s="588" t="n"/>
      <c r="DD53" s="588" t="n"/>
      <c r="DE53" s="588" t="n"/>
      <c r="DF53" s="588" t="n"/>
      <c r="DG53" s="588" t="n"/>
      <c r="DH53" s="588" t="n"/>
      <c r="DI53" s="588" t="n"/>
      <c r="DJ53" s="588" t="n"/>
      <c r="DK53" s="588" t="n"/>
      <c r="DL53" s="588" t="n"/>
      <c r="DM53" s="588" t="n"/>
      <c r="DN53" s="588" t="n"/>
      <c r="DO53" s="588" t="n"/>
      <c r="DP53" s="588" t="n"/>
      <c r="DQ53" s="588" t="n"/>
      <c r="DR53" s="588" t="n"/>
      <c r="DS53" s="588" t="n"/>
      <c r="DT53" s="588" t="n"/>
      <c r="DU53" s="588" t="n"/>
    </row>
    <row r="54" outlineLevel="1" ht="13.2" customHeight="1" s="450">
      <c r="A54" s="590" t="n"/>
      <c r="B54" s="608" t="inlineStr">
        <is>
          <t>V1*</t>
        </is>
      </c>
      <c r="C54" s="614" t="n"/>
      <c r="D54" s="614" t="n"/>
      <c r="E54" s="611">
        <f>+C54*D54</f>
        <v/>
      </c>
      <c r="F54" s="612">
        <f>+E54</f>
        <v/>
      </c>
      <c r="G54" s="613" t="n"/>
      <c r="H54" s="655" t="n"/>
      <c r="I54" s="588" t="n"/>
      <c r="J54" s="588" t="n"/>
      <c r="K54" s="656" t="n"/>
      <c r="L54" s="656" t="n"/>
      <c r="M54" s="602" t="n"/>
      <c r="N54" s="602" t="n"/>
      <c r="O54" s="588" t="n"/>
      <c r="P54" s="588" t="n"/>
      <c r="Q54" s="602" t="n"/>
      <c r="R54" s="588" t="n"/>
      <c r="S54" s="602" t="n"/>
      <c r="T54" s="588" t="n"/>
      <c r="U54" s="588" t="n"/>
      <c r="V54" s="598" t="n"/>
      <c r="W54" s="598" t="n"/>
      <c r="X54" s="588" t="n"/>
      <c r="Z54" s="588" t="n"/>
      <c r="AA54" s="588" t="n"/>
      <c r="AB54" s="588" t="n"/>
      <c r="AC54" s="588" t="n"/>
      <c r="AD54" s="588" t="n"/>
      <c r="AE54" s="588" t="n"/>
      <c r="AF54" s="588" t="n"/>
      <c r="AG54" s="588" t="n"/>
      <c r="AH54" s="588" t="n"/>
      <c r="AI54" s="588" t="n"/>
      <c r="AJ54" s="588" t="n"/>
      <c r="AK54" s="588" t="n"/>
      <c r="AL54" s="588" t="n"/>
      <c r="AM54" s="588" t="n"/>
      <c r="AN54" s="588" t="n"/>
      <c r="AO54" s="588" t="n"/>
      <c r="AP54" s="588" t="n"/>
      <c r="AQ54" s="588" t="n"/>
      <c r="AR54" s="588" t="n"/>
      <c r="AS54" s="588" t="n"/>
      <c r="AT54" s="588" t="n"/>
      <c r="AU54" s="588" t="n"/>
      <c r="AV54" s="588" t="n"/>
      <c r="AW54" s="588" t="n"/>
      <c r="AX54" s="588" t="n"/>
      <c r="AY54" s="588" t="n"/>
      <c r="AZ54" s="588" t="n"/>
      <c r="BA54" s="588" t="n"/>
      <c r="BB54" s="588" t="n"/>
      <c r="BC54" s="588" t="n"/>
      <c r="BD54" s="588" t="n"/>
      <c r="BE54" s="588" t="n"/>
      <c r="BF54" s="588" t="n"/>
      <c r="BG54" s="588" t="n"/>
      <c r="BH54" s="588" t="n"/>
      <c r="BI54" s="588" t="n"/>
      <c r="BJ54" s="588" t="n"/>
      <c r="BK54" s="588" t="n"/>
      <c r="BL54" s="588" t="n"/>
      <c r="BM54" s="588" t="n"/>
      <c r="BN54" s="588" t="n"/>
      <c r="BO54" s="588" t="n"/>
      <c r="BP54" s="588" t="n"/>
      <c r="BQ54" s="588" t="n"/>
      <c r="BR54" s="588" t="n"/>
      <c r="BS54" s="588" t="n"/>
      <c r="BT54" s="588" t="n"/>
      <c r="BU54" s="588" t="n"/>
      <c r="BV54" s="588" t="n"/>
      <c r="BW54" s="588" t="n"/>
      <c r="BX54" s="588" t="n"/>
      <c r="BY54" s="588" t="n"/>
      <c r="BZ54" s="588" t="n"/>
      <c r="CA54" s="588" t="n"/>
      <c r="CB54" s="588" t="n"/>
      <c r="CC54" s="588" t="n"/>
      <c r="CD54" s="588" t="n"/>
      <c r="CE54" s="588" t="n"/>
      <c r="CF54" s="588" t="n"/>
      <c r="CG54" s="588" t="n"/>
      <c r="CH54" s="588" t="n"/>
      <c r="CI54" s="588" t="n"/>
      <c r="CJ54" s="588" t="n"/>
      <c r="CK54" s="588" t="n"/>
      <c r="CL54" s="588" t="n"/>
      <c r="CM54" s="588" t="n"/>
      <c r="CN54" s="588" t="n"/>
      <c r="CO54" s="588" t="n"/>
      <c r="CP54" s="588" t="n"/>
      <c r="CQ54" s="588" t="n"/>
      <c r="CR54" s="588" t="n"/>
      <c r="CS54" s="588" t="n"/>
      <c r="CT54" s="588" t="n"/>
      <c r="CU54" s="588" t="n"/>
      <c r="CV54" s="588" t="n"/>
      <c r="CW54" s="588" t="n"/>
      <c r="CX54" s="588" t="n"/>
      <c r="CY54" s="588" t="n"/>
      <c r="CZ54" s="588" t="n"/>
      <c r="DA54" s="588" t="n"/>
      <c r="DB54" s="588" t="n"/>
      <c r="DC54" s="588" t="n"/>
      <c r="DD54" s="588" t="n"/>
      <c r="DE54" s="588" t="n"/>
      <c r="DF54" s="588" t="n"/>
      <c r="DG54" s="588" t="n"/>
      <c r="DH54" s="588" t="n"/>
      <c r="DI54" s="588" t="n"/>
      <c r="DJ54" s="588" t="n"/>
      <c r="DK54" s="588" t="n"/>
      <c r="DL54" s="588" t="n"/>
      <c r="DM54" s="588" t="n"/>
      <c r="DN54" s="588" t="n"/>
      <c r="DO54" s="588" t="n"/>
      <c r="DP54" s="588" t="n"/>
      <c r="DQ54" s="588" t="n"/>
      <c r="DR54" s="588" t="n"/>
      <c r="DS54" s="588" t="n"/>
      <c r="DT54" s="588" t="n"/>
      <c r="DU54" s="588" t="n"/>
    </row>
    <row r="55" outlineLevel="1" ht="13.2" customHeight="1" s="450">
      <c r="A55" s="590" t="n"/>
      <c r="B55" s="618" t="inlineStr">
        <is>
          <t>V2*</t>
        </is>
      </c>
      <c r="C55" s="619" t="n"/>
      <c r="D55" s="619" t="n"/>
      <c r="E55" s="621">
        <f>+C55*D55</f>
        <v/>
      </c>
      <c r="F55" s="622">
        <f>+E55</f>
        <v/>
      </c>
      <c r="G55" s="623" t="n"/>
      <c r="H55" s="655" t="n"/>
      <c r="I55" s="588" t="n"/>
      <c r="J55" s="588" t="n"/>
      <c r="K55" s="656" t="n"/>
      <c r="L55" s="656" t="n"/>
      <c r="M55" s="602" t="n"/>
      <c r="N55" s="602" t="n"/>
      <c r="O55" s="588" t="n"/>
      <c r="P55" s="588" t="n"/>
      <c r="Q55" s="602" t="n"/>
      <c r="R55" s="588" t="n"/>
      <c r="S55" s="602" t="n"/>
      <c r="T55" s="588" t="n"/>
      <c r="U55" s="588" t="n"/>
      <c r="V55" s="598" t="n"/>
      <c r="W55" s="598" t="n"/>
      <c r="X55" s="588" t="n"/>
      <c r="Z55" s="588" t="n"/>
      <c r="AA55" s="588" t="n"/>
      <c r="AB55" s="588" t="n"/>
      <c r="AC55" s="588" t="n"/>
      <c r="AD55" s="588" t="n"/>
      <c r="AE55" s="588" t="n"/>
      <c r="AF55" s="588" t="n"/>
      <c r="AG55" s="588" t="n"/>
      <c r="AH55" s="588" t="n"/>
      <c r="AI55" s="588" t="n"/>
      <c r="AJ55" s="588" t="n"/>
      <c r="AK55" s="588" t="n"/>
      <c r="AL55" s="588" t="n"/>
      <c r="AM55" s="588" t="n"/>
      <c r="AN55" s="588" t="n"/>
      <c r="AO55" s="588" t="n"/>
      <c r="AP55" s="588" t="n"/>
      <c r="AQ55" s="588" t="n"/>
      <c r="AR55" s="588" t="n"/>
      <c r="AS55" s="588" t="n"/>
      <c r="AT55" s="588" t="n"/>
      <c r="AU55" s="588" t="n"/>
      <c r="AV55" s="588" t="n"/>
      <c r="AW55" s="588" t="n"/>
      <c r="AX55" s="588" t="n"/>
      <c r="AY55" s="588" t="n"/>
      <c r="AZ55" s="588" t="n"/>
      <c r="BA55" s="588" t="n"/>
      <c r="BB55" s="588" t="n"/>
      <c r="BC55" s="588" t="n"/>
      <c r="BD55" s="588" t="n"/>
      <c r="BE55" s="588" t="n"/>
      <c r="BF55" s="588" t="n"/>
      <c r="BG55" s="588" t="n"/>
      <c r="BH55" s="588" t="n"/>
      <c r="BI55" s="588" t="n"/>
      <c r="BJ55" s="588" t="n"/>
      <c r="BK55" s="588" t="n"/>
      <c r="BL55" s="588" t="n"/>
      <c r="BM55" s="588" t="n"/>
      <c r="BN55" s="588" t="n"/>
      <c r="BO55" s="588" t="n"/>
      <c r="BP55" s="588" t="n"/>
      <c r="BQ55" s="588" t="n"/>
      <c r="BR55" s="588" t="n"/>
      <c r="BS55" s="588" t="n"/>
      <c r="BT55" s="588" t="n"/>
      <c r="BU55" s="588" t="n"/>
      <c r="BV55" s="588" t="n"/>
      <c r="BW55" s="588" t="n"/>
      <c r="BX55" s="588" t="n"/>
      <c r="BY55" s="588" t="n"/>
      <c r="BZ55" s="588" t="n"/>
      <c r="CA55" s="588" t="n"/>
      <c r="CB55" s="588" t="n"/>
      <c r="CC55" s="588" t="n"/>
      <c r="CD55" s="588" t="n"/>
      <c r="CE55" s="588" t="n"/>
      <c r="CF55" s="588" t="n"/>
      <c r="CG55" s="588" t="n"/>
      <c r="CH55" s="588" t="n"/>
      <c r="CI55" s="588" t="n"/>
      <c r="CJ55" s="588" t="n"/>
      <c r="CK55" s="588" t="n"/>
      <c r="CL55" s="588" t="n"/>
      <c r="CM55" s="588" t="n"/>
      <c r="CN55" s="588" t="n"/>
      <c r="CO55" s="588" t="n"/>
      <c r="CP55" s="588" t="n"/>
      <c r="CQ55" s="588" t="n"/>
      <c r="CR55" s="588" t="n"/>
      <c r="CS55" s="588" t="n"/>
      <c r="CT55" s="588" t="n"/>
      <c r="CU55" s="588" t="n"/>
      <c r="CV55" s="588" t="n"/>
      <c r="CW55" s="588" t="n"/>
      <c r="CX55" s="588" t="n"/>
      <c r="CY55" s="588" t="n"/>
      <c r="CZ55" s="588" t="n"/>
      <c r="DA55" s="588" t="n"/>
      <c r="DB55" s="588" t="n"/>
      <c r="DC55" s="588" t="n"/>
      <c r="DD55" s="588" t="n"/>
      <c r="DE55" s="588" t="n"/>
      <c r="DF55" s="588" t="n"/>
      <c r="DG55" s="588" t="n"/>
      <c r="DH55" s="588" t="n"/>
      <c r="DI55" s="588" t="n"/>
      <c r="DJ55" s="588" t="n"/>
      <c r="DK55" s="588" t="n"/>
      <c r="DL55" s="588" t="n"/>
      <c r="DM55" s="588" t="n"/>
      <c r="DN55" s="588" t="n"/>
      <c r="DO55" s="588" t="n"/>
      <c r="DP55" s="588" t="n"/>
      <c r="DQ55" s="588" t="n"/>
      <c r="DR55" s="588" t="n"/>
      <c r="DS55" s="588" t="n"/>
      <c r="DT55" s="588" t="n"/>
      <c r="DU55" s="588" t="n"/>
    </row>
    <row r="56" outlineLevel="1" ht="13.2" customHeight="1" s="450">
      <c r="A56" s="590" t="n"/>
      <c r="B56" s="618" t="inlineStr">
        <is>
          <t>V3*</t>
        </is>
      </c>
      <c r="C56" s="619" t="n"/>
      <c r="D56" s="619" t="n"/>
      <c r="E56" s="621">
        <f>+C56*D56</f>
        <v/>
      </c>
      <c r="F56" s="622">
        <f>+E56</f>
        <v/>
      </c>
      <c r="G56" s="624" t="n"/>
      <c r="H56" s="655" t="n"/>
      <c r="I56" s="588" t="n"/>
      <c r="J56" s="588" t="n"/>
      <c r="K56" s="656" t="n"/>
      <c r="L56" s="656" t="n"/>
      <c r="M56" s="602" t="n"/>
      <c r="N56" s="602" t="n"/>
      <c r="O56" s="588" t="n"/>
      <c r="P56" s="588" t="n"/>
      <c r="Q56" s="602" t="n"/>
      <c r="R56" s="588" t="n"/>
      <c r="S56" s="602" t="n"/>
      <c r="T56" s="588" t="n"/>
      <c r="U56" s="588" t="n"/>
      <c r="V56" s="598" t="n"/>
      <c r="W56" s="598" t="n"/>
      <c r="X56" s="588" t="n"/>
      <c r="Z56" s="588" t="n"/>
      <c r="AA56" s="588" t="n"/>
      <c r="AB56" s="588" t="n"/>
      <c r="AC56" s="588" t="n"/>
      <c r="AD56" s="588" t="n"/>
      <c r="AE56" s="588" t="n"/>
      <c r="AF56" s="588" t="n"/>
      <c r="AG56" s="588" t="n"/>
      <c r="AH56" s="588" t="n"/>
      <c r="AI56" s="588" t="n"/>
      <c r="AJ56" s="588" t="n"/>
      <c r="AK56" s="588" t="n"/>
      <c r="AL56" s="588" t="n"/>
      <c r="AM56" s="588" t="n"/>
      <c r="AN56" s="588" t="n"/>
      <c r="AO56" s="588" t="n"/>
      <c r="AP56" s="588" t="n"/>
      <c r="AQ56" s="588" t="n"/>
      <c r="AR56" s="588" t="n"/>
      <c r="AS56" s="588" t="n"/>
      <c r="AT56" s="588" t="n"/>
      <c r="AU56" s="588" t="n"/>
      <c r="AV56" s="588" t="n"/>
      <c r="AW56" s="588" t="n"/>
      <c r="AX56" s="588" t="n"/>
      <c r="AY56" s="588" t="n"/>
      <c r="AZ56" s="588" t="n"/>
      <c r="BA56" s="588" t="n"/>
      <c r="BB56" s="588" t="n"/>
      <c r="BC56" s="588" t="n"/>
      <c r="BD56" s="588" t="n"/>
      <c r="BE56" s="588" t="n"/>
      <c r="BF56" s="588" t="n"/>
      <c r="BG56" s="588" t="n"/>
      <c r="BH56" s="588" t="n"/>
      <c r="BI56" s="588" t="n"/>
      <c r="BJ56" s="588" t="n"/>
      <c r="BK56" s="588" t="n"/>
      <c r="BL56" s="588" t="n"/>
      <c r="BM56" s="588" t="n"/>
      <c r="BN56" s="588" t="n"/>
      <c r="BO56" s="588" t="n"/>
      <c r="BP56" s="588" t="n"/>
      <c r="BQ56" s="588" t="n"/>
      <c r="BR56" s="588" t="n"/>
      <c r="BS56" s="588" t="n"/>
      <c r="BT56" s="588" t="n"/>
      <c r="BU56" s="588" t="n"/>
      <c r="BV56" s="588" t="n"/>
      <c r="BW56" s="588" t="n"/>
      <c r="BX56" s="588" t="n"/>
      <c r="BY56" s="588" t="n"/>
      <c r="BZ56" s="588" t="n"/>
      <c r="CA56" s="588" t="n"/>
      <c r="CB56" s="588" t="n"/>
      <c r="CC56" s="588" t="n"/>
      <c r="CD56" s="588" t="n"/>
      <c r="CE56" s="588" t="n"/>
      <c r="CF56" s="588" t="n"/>
      <c r="CG56" s="588" t="n"/>
      <c r="CH56" s="588" t="n"/>
      <c r="CI56" s="588" t="n"/>
      <c r="CJ56" s="588" t="n"/>
      <c r="CK56" s="588" t="n"/>
      <c r="CL56" s="588" t="n"/>
      <c r="CM56" s="588" t="n"/>
      <c r="CN56" s="588" t="n"/>
      <c r="CO56" s="588" t="n"/>
      <c r="CP56" s="588" t="n"/>
      <c r="CQ56" s="588" t="n"/>
      <c r="CR56" s="588" t="n"/>
      <c r="CS56" s="588" t="n"/>
      <c r="CT56" s="588" t="n"/>
      <c r="CU56" s="588" t="n"/>
      <c r="CV56" s="588" t="n"/>
      <c r="CW56" s="588" t="n"/>
      <c r="CX56" s="588" t="n"/>
      <c r="CY56" s="588" t="n"/>
      <c r="CZ56" s="588" t="n"/>
      <c r="DA56" s="588" t="n"/>
      <c r="DB56" s="588" t="n"/>
      <c r="DC56" s="588" t="n"/>
      <c r="DD56" s="588" t="n"/>
      <c r="DE56" s="588" t="n"/>
      <c r="DF56" s="588" t="n"/>
      <c r="DG56" s="588" t="n"/>
      <c r="DH56" s="588" t="n"/>
      <c r="DI56" s="588" t="n"/>
      <c r="DJ56" s="588" t="n"/>
      <c r="DK56" s="588" t="n"/>
      <c r="DL56" s="588" t="n"/>
      <c r="DM56" s="588" t="n"/>
      <c r="DN56" s="588" t="n"/>
      <c r="DO56" s="588" t="n"/>
      <c r="DP56" s="588" t="n"/>
      <c r="DQ56" s="588" t="n"/>
      <c r="DR56" s="588" t="n"/>
      <c r="DS56" s="588" t="n"/>
      <c r="DT56" s="588" t="n"/>
      <c r="DU56" s="588" t="n"/>
    </row>
    <row r="57" outlineLevel="1" ht="13.2" customHeight="1" s="450">
      <c r="A57" s="590" t="n"/>
      <c r="B57" s="618" t="inlineStr">
        <is>
          <t>V4*</t>
        </is>
      </c>
      <c r="C57" s="619" t="n"/>
      <c r="D57" s="619" t="n"/>
      <c r="E57" s="621">
        <f>+C57*D57</f>
        <v/>
      </c>
      <c r="F57" s="622">
        <f>+E57</f>
        <v/>
      </c>
      <c r="G57" s="624" t="n"/>
      <c r="H57" s="655" t="n"/>
      <c r="I57" s="588" t="n"/>
      <c r="J57" s="588" t="n"/>
      <c r="K57" s="656" t="n"/>
      <c r="L57" s="656" t="n"/>
      <c r="M57" s="602" t="n"/>
      <c r="N57" s="602" t="n"/>
      <c r="O57" s="588" t="n"/>
      <c r="P57" s="588" t="n"/>
      <c r="Q57" s="602" t="n"/>
      <c r="R57" s="588" t="n"/>
      <c r="S57" s="602" t="n"/>
      <c r="T57" s="588" t="n"/>
      <c r="U57" s="588" t="n"/>
      <c r="V57" s="598" t="n"/>
      <c r="W57" s="598" t="n"/>
      <c r="X57" s="588" t="n"/>
      <c r="Z57" s="588" t="n"/>
      <c r="AA57" s="588" t="n"/>
      <c r="AB57" s="588" t="n"/>
      <c r="AC57" s="588" t="n"/>
      <c r="AD57" s="588" t="n"/>
      <c r="AE57" s="588" t="n"/>
      <c r="AF57" s="588" t="n"/>
      <c r="AG57" s="588" t="n"/>
      <c r="AH57" s="588" t="n"/>
      <c r="AI57" s="588" t="n"/>
      <c r="AJ57" s="588" t="n"/>
      <c r="AK57" s="588" t="n"/>
      <c r="AL57" s="588" t="n"/>
      <c r="AM57" s="588" t="n"/>
      <c r="AN57" s="588" t="n"/>
      <c r="AO57" s="588" t="n"/>
      <c r="AP57" s="588" t="n"/>
      <c r="AQ57" s="588" t="n"/>
      <c r="AR57" s="588" t="n"/>
      <c r="AS57" s="588" t="n"/>
      <c r="AT57" s="588" t="n"/>
      <c r="AU57" s="588" t="n"/>
      <c r="AV57" s="588" t="n"/>
      <c r="AW57" s="588" t="n"/>
      <c r="AX57" s="588" t="n"/>
      <c r="AY57" s="588" t="n"/>
      <c r="AZ57" s="588" t="n"/>
      <c r="BA57" s="588" t="n"/>
      <c r="BB57" s="588" t="n"/>
      <c r="BC57" s="588" t="n"/>
      <c r="BD57" s="588" t="n"/>
      <c r="BE57" s="588" t="n"/>
      <c r="BF57" s="588" t="n"/>
      <c r="BG57" s="588" t="n"/>
      <c r="BH57" s="588" t="n"/>
      <c r="BI57" s="588" t="n"/>
      <c r="BJ57" s="588" t="n"/>
      <c r="BK57" s="588" t="n"/>
      <c r="BL57" s="588" t="n"/>
      <c r="BM57" s="588" t="n"/>
      <c r="BN57" s="588" t="n"/>
      <c r="BO57" s="588" t="n"/>
      <c r="BP57" s="588" t="n"/>
      <c r="BQ57" s="588" t="n"/>
      <c r="BR57" s="588" t="n"/>
      <c r="BS57" s="588" t="n"/>
      <c r="BT57" s="588" t="n"/>
      <c r="BU57" s="588" t="n"/>
      <c r="BV57" s="588" t="n"/>
      <c r="BW57" s="588" t="n"/>
      <c r="BX57" s="588" t="n"/>
      <c r="BY57" s="588" t="n"/>
      <c r="BZ57" s="588" t="n"/>
      <c r="CA57" s="588" t="n"/>
      <c r="CB57" s="588" t="n"/>
      <c r="CC57" s="588" t="n"/>
      <c r="CD57" s="588" t="n"/>
      <c r="CE57" s="588" t="n"/>
      <c r="CF57" s="588" t="n"/>
      <c r="CG57" s="588" t="n"/>
      <c r="CH57" s="588" t="n"/>
      <c r="CI57" s="588" t="n"/>
      <c r="CJ57" s="588" t="n"/>
      <c r="CK57" s="588" t="n"/>
      <c r="CL57" s="588" t="n"/>
      <c r="CM57" s="588" t="n"/>
      <c r="CN57" s="588" t="n"/>
      <c r="CO57" s="588" t="n"/>
      <c r="CP57" s="588" t="n"/>
      <c r="CQ57" s="588" t="n"/>
      <c r="CR57" s="588" t="n"/>
      <c r="CS57" s="588" t="n"/>
      <c r="CT57" s="588" t="n"/>
      <c r="CU57" s="588" t="n"/>
      <c r="CV57" s="588" t="n"/>
      <c r="CW57" s="588" t="n"/>
      <c r="CX57" s="588" t="n"/>
      <c r="CY57" s="588" t="n"/>
      <c r="CZ57" s="588" t="n"/>
      <c r="DA57" s="588" t="n"/>
      <c r="DB57" s="588" t="n"/>
      <c r="DC57" s="588" t="n"/>
      <c r="DD57" s="588" t="n"/>
      <c r="DE57" s="588" t="n"/>
      <c r="DF57" s="588" t="n"/>
      <c r="DG57" s="588" t="n"/>
      <c r="DH57" s="588" t="n"/>
      <c r="DI57" s="588" t="n"/>
      <c r="DJ57" s="588" t="n"/>
      <c r="DK57" s="588" t="n"/>
      <c r="DL57" s="588" t="n"/>
      <c r="DM57" s="588" t="n"/>
      <c r="DN57" s="588" t="n"/>
      <c r="DO57" s="588" t="n"/>
      <c r="DP57" s="588" t="n"/>
      <c r="DQ57" s="588" t="n"/>
      <c r="DR57" s="588" t="n"/>
      <c r="DS57" s="588" t="n"/>
      <c r="DT57" s="588" t="n"/>
      <c r="DU57" s="588" t="n"/>
    </row>
    <row r="58" outlineLevel="1" ht="13.2" customHeight="1" s="450">
      <c r="A58" s="590" t="n"/>
      <c r="B58" s="618" t="inlineStr">
        <is>
          <t>V5*</t>
        </is>
      </c>
      <c r="C58" s="619" t="n"/>
      <c r="D58" s="619" t="n"/>
      <c r="E58" s="621">
        <f>+C58*D58</f>
        <v/>
      </c>
      <c r="F58" s="622">
        <f>+E58</f>
        <v/>
      </c>
      <c r="G58" s="624" t="n"/>
      <c r="H58" s="655" t="n"/>
      <c r="I58" s="588" t="n"/>
      <c r="J58" s="588" t="n"/>
      <c r="K58" s="656" t="n"/>
      <c r="L58" s="656" t="n"/>
      <c r="M58" s="602" t="n"/>
      <c r="N58" s="602" t="n"/>
      <c r="O58" s="588" t="n"/>
      <c r="P58" s="588" t="n"/>
      <c r="Q58" s="602" t="n"/>
      <c r="R58" s="588" t="n"/>
      <c r="S58" s="602" t="n"/>
      <c r="T58" s="588" t="n"/>
      <c r="U58" s="588" t="n"/>
      <c r="V58" s="598" t="n"/>
      <c r="W58" s="598" t="n"/>
      <c r="X58" s="588" t="n"/>
      <c r="Z58" s="588" t="n"/>
      <c r="AA58" s="588" t="n"/>
      <c r="AB58" s="588" t="n"/>
      <c r="AC58" s="588" t="n"/>
      <c r="AD58" s="588" t="n"/>
      <c r="AE58" s="588" t="n"/>
      <c r="AF58" s="588" t="n"/>
      <c r="AG58" s="588" t="n"/>
      <c r="AH58" s="588" t="n"/>
      <c r="AI58" s="588" t="n"/>
      <c r="AJ58" s="588" t="n"/>
      <c r="AK58" s="588" t="n"/>
      <c r="AL58" s="588" t="n"/>
      <c r="AM58" s="588" t="n"/>
      <c r="AN58" s="588" t="n"/>
      <c r="AO58" s="588" t="n"/>
      <c r="AP58" s="588" t="n"/>
      <c r="AQ58" s="588" t="n"/>
      <c r="AR58" s="588" t="n"/>
      <c r="AS58" s="588" t="n"/>
      <c r="AT58" s="588" t="n"/>
      <c r="AU58" s="588" t="n"/>
      <c r="AV58" s="588" t="n"/>
      <c r="AW58" s="588" t="n"/>
      <c r="AX58" s="588" t="n"/>
      <c r="AY58" s="588" t="n"/>
      <c r="AZ58" s="588" t="n"/>
      <c r="BA58" s="588" t="n"/>
      <c r="BB58" s="588" t="n"/>
      <c r="BC58" s="588" t="n"/>
      <c r="BD58" s="588" t="n"/>
      <c r="BE58" s="588" t="n"/>
      <c r="BF58" s="588" t="n"/>
      <c r="BG58" s="588" t="n"/>
      <c r="BH58" s="588" t="n"/>
      <c r="BI58" s="588" t="n"/>
      <c r="BJ58" s="588" t="n"/>
      <c r="BK58" s="588" t="n"/>
      <c r="BL58" s="588" t="n"/>
      <c r="BM58" s="588" t="n"/>
      <c r="BN58" s="588" t="n"/>
      <c r="BO58" s="588" t="n"/>
      <c r="BP58" s="588" t="n"/>
      <c r="BQ58" s="588" t="n"/>
      <c r="BR58" s="588" t="n"/>
      <c r="BS58" s="588" t="n"/>
      <c r="BT58" s="588" t="n"/>
      <c r="BU58" s="588" t="n"/>
      <c r="BV58" s="588" t="n"/>
      <c r="BW58" s="588" t="n"/>
      <c r="BX58" s="588" t="n"/>
      <c r="BY58" s="588" t="n"/>
      <c r="BZ58" s="588" t="n"/>
      <c r="CA58" s="588" t="n"/>
      <c r="CB58" s="588" t="n"/>
      <c r="CC58" s="588" t="n"/>
      <c r="CD58" s="588" t="n"/>
      <c r="CE58" s="588" t="n"/>
      <c r="CF58" s="588" t="n"/>
      <c r="CG58" s="588" t="n"/>
      <c r="CH58" s="588" t="n"/>
      <c r="CI58" s="588" t="n"/>
      <c r="CJ58" s="588" t="n"/>
      <c r="CK58" s="588" t="n"/>
      <c r="CL58" s="588" t="n"/>
      <c r="CM58" s="588" t="n"/>
      <c r="CN58" s="588" t="n"/>
      <c r="CO58" s="588" t="n"/>
      <c r="CP58" s="588" t="n"/>
      <c r="CQ58" s="588" t="n"/>
      <c r="CR58" s="588" t="n"/>
      <c r="CS58" s="588" t="n"/>
      <c r="CT58" s="588" t="n"/>
      <c r="CU58" s="588" t="n"/>
      <c r="CV58" s="588" t="n"/>
      <c r="CW58" s="588" t="n"/>
      <c r="CX58" s="588" t="n"/>
      <c r="CY58" s="588" t="n"/>
      <c r="CZ58" s="588" t="n"/>
      <c r="DA58" s="588" t="n"/>
      <c r="DB58" s="588" t="n"/>
      <c r="DC58" s="588" t="n"/>
      <c r="DD58" s="588" t="n"/>
      <c r="DE58" s="588" t="n"/>
      <c r="DF58" s="588" t="n"/>
      <c r="DG58" s="588" t="n"/>
      <c r="DH58" s="588" t="n"/>
      <c r="DI58" s="588" t="n"/>
      <c r="DJ58" s="588" t="n"/>
      <c r="DK58" s="588" t="n"/>
      <c r="DL58" s="588" t="n"/>
      <c r="DM58" s="588" t="n"/>
      <c r="DN58" s="588" t="n"/>
      <c r="DO58" s="588" t="n"/>
      <c r="DP58" s="588" t="n"/>
      <c r="DQ58" s="588" t="n"/>
      <c r="DR58" s="588" t="n"/>
      <c r="DS58" s="588" t="n"/>
      <c r="DT58" s="588" t="n"/>
      <c r="DU58" s="588" t="n"/>
    </row>
    <row r="59" outlineLevel="1" ht="13.2" customHeight="1" s="450">
      <c r="A59" s="590" t="n"/>
      <c r="B59" s="625" t="n"/>
      <c r="C59" s="626" t="n"/>
      <c r="D59" s="627" t="inlineStr">
        <is>
          <t>Descuentos</t>
        </is>
      </c>
      <c r="E59" s="628">
        <f>-X59</f>
        <v/>
      </c>
      <c r="F59" s="629">
        <f>-X59</f>
        <v/>
      </c>
      <c r="G59" s="630" t="n"/>
      <c r="H59" s="655" t="n"/>
      <c r="I59" s="588" t="n"/>
      <c r="J59" s="588" t="n"/>
      <c r="K59" s="656" t="n"/>
      <c r="L59" s="656" t="n"/>
      <c r="M59" s="602" t="n"/>
      <c r="N59" s="602" t="n"/>
      <c r="O59" s="588" t="n"/>
      <c r="P59" s="588" t="n"/>
      <c r="Q59" s="602" t="n"/>
      <c r="R59" s="588" t="n"/>
      <c r="S59" s="602" t="n"/>
      <c r="T59" s="588" t="n"/>
      <c r="U59" s="588" t="n"/>
      <c r="V59" s="598" t="n"/>
      <c r="W59" s="598" t="n"/>
      <c r="X59" s="588" t="n"/>
      <c r="Z59" s="588" t="n"/>
      <c r="AA59" s="588" t="n"/>
      <c r="AB59" s="588" t="n"/>
      <c r="AC59" s="588" t="n"/>
      <c r="AD59" s="588" t="n"/>
      <c r="AE59" s="588" t="n"/>
      <c r="AF59" s="588" t="n"/>
      <c r="AG59" s="588" t="n"/>
      <c r="AH59" s="588" t="n"/>
      <c r="AI59" s="588" t="n"/>
      <c r="AJ59" s="588" t="n"/>
      <c r="AK59" s="588" t="n"/>
      <c r="AL59" s="588" t="n"/>
      <c r="AM59" s="588" t="n"/>
      <c r="AN59" s="588" t="n"/>
      <c r="AO59" s="588" t="n"/>
      <c r="AP59" s="588" t="n"/>
      <c r="AQ59" s="588" t="n"/>
      <c r="AR59" s="588" t="n"/>
      <c r="AS59" s="588" t="n"/>
      <c r="AT59" s="588" t="n"/>
      <c r="AU59" s="588" t="n"/>
      <c r="AV59" s="588" t="n"/>
      <c r="AW59" s="588" t="n"/>
      <c r="AX59" s="588" t="n"/>
      <c r="AY59" s="588" t="n"/>
      <c r="AZ59" s="588" t="n"/>
      <c r="BA59" s="588" t="n"/>
      <c r="BB59" s="588" t="n"/>
      <c r="BC59" s="588" t="n"/>
      <c r="BD59" s="588" t="n"/>
      <c r="BE59" s="588" t="n"/>
      <c r="BF59" s="588" t="n"/>
      <c r="BG59" s="588" t="n"/>
      <c r="BH59" s="588" t="n"/>
      <c r="BI59" s="588" t="n"/>
      <c r="BJ59" s="588" t="n"/>
      <c r="BK59" s="588" t="n"/>
      <c r="BL59" s="588" t="n"/>
      <c r="BM59" s="588" t="n"/>
      <c r="BN59" s="588" t="n"/>
      <c r="BO59" s="588" t="n"/>
      <c r="BP59" s="588" t="n"/>
      <c r="BQ59" s="588" t="n"/>
      <c r="BR59" s="588" t="n"/>
      <c r="BS59" s="588" t="n"/>
      <c r="BT59" s="588" t="n"/>
      <c r="BU59" s="588" t="n"/>
      <c r="BV59" s="588" t="n"/>
      <c r="BW59" s="588" t="n"/>
      <c r="BX59" s="588" t="n"/>
      <c r="BY59" s="588" t="n"/>
      <c r="BZ59" s="588" t="n"/>
      <c r="CA59" s="588" t="n"/>
      <c r="CB59" s="588" t="n"/>
      <c r="CC59" s="588" t="n"/>
      <c r="CD59" s="588" t="n"/>
      <c r="CE59" s="588" t="n"/>
      <c r="CF59" s="588" t="n"/>
      <c r="CG59" s="588" t="n"/>
      <c r="CH59" s="588" t="n"/>
      <c r="CI59" s="588" t="n"/>
      <c r="CJ59" s="588" t="n"/>
      <c r="CK59" s="588" t="n"/>
      <c r="CL59" s="588" t="n"/>
      <c r="CM59" s="588" t="n"/>
      <c r="CN59" s="588" t="n"/>
      <c r="CO59" s="588" t="n"/>
      <c r="CP59" s="588" t="n"/>
      <c r="CQ59" s="588" t="n"/>
      <c r="CR59" s="588" t="n"/>
      <c r="CS59" s="588" t="n"/>
      <c r="CT59" s="588" t="n"/>
      <c r="CU59" s="588" t="n"/>
      <c r="CV59" s="588" t="n"/>
      <c r="CW59" s="588" t="n"/>
      <c r="CX59" s="588" t="n"/>
      <c r="CY59" s="588" t="n"/>
      <c r="CZ59" s="588" t="n"/>
      <c r="DA59" s="588" t="n"/>
      <c r="DB59" s="588" t="n"/>
      <c r="DC59" s="588" t="n"/>
      <c r="DD59" s="588" t="n"/>
      <c r="DE59" s="588" t="n"/>
      <c r="DF59" s="588" t="n"/>
      <c r="DG59" s="588" t="n"/>
      <c r="DH59" s="588" t="n"/>
      <c r="DI59" s="588" t="n"/>
      <c r="DJ59" s="588" t="n"/>
      <c r="DK59" s="588" t="n"/>
      <c r="DL59" s="588" t="n"/>
      <c r="DM59" s="588" t="n"/>
      <c r="DN59" s="588" t="n"/>
      <c r="DO59" s="588" t="n"/>
      <c r="DP59" s="588" t="n"/>
      <c r="DQ59" s="588" t="n"/>
      <c r="DR59" s="588" t="n"/>
      <c r="DS59" s="588" t="n"/>
      <c r="DT59" s="588" t="n"/>
      <c r="DU59" s="588" t="n"/>
    </row>
    <row r="60" outlineLevel="1" ht="13.2" customHeight="1" s="450">
      <c r="A60" s="590" t="n"/>
      <c r="B60" s="642" t="n"/>
      <c r="C60" s="588" t="n"/>
      <c r="D60" s="643" t="inlineStr">
        <is>
          <t>Sub Total</t>
        </is>
      </c>
      <c r="E60" s="602">
        <f>SUM(E54:E59)</f>
        <v/>
      </c>
      <c r="F60" s="644">
        <f>SUM(F54:F59)</f>
        <v/>
      </c>
      <c r="G60" s="602" t="n"/>
      <c r="H60" s="655" t="n"/>
      <c r="I60" s="588" t="n"/>
      <c r="J60" s="588" t="n"/>
      <c r="K60" s="656" t="n"/>
      <c r="L60" s="656" t="n"/>
      <c r="M60" s="602" t="n"/>
      <c r="N60" s="602" t="n"/>
      <c r="O60" s="588" t="n"/>
      <c r="P60" s="588" t="n"/>
      <c r="Q60" s="602" t="n"/>
      <c r="R60" s="588" t="n"/>
      <c r="S60" s="602" t="n"/>
      <c r="T60" s="588" t="n"/>
      <c r="U60" s="588" t="n"/>
      <c r="V60" s="598" t="n"/>
      <c r="W60" s="598" t="n"/>
      <c r="X60" s="588" t="n"/>
      <c r="Z60" s="588" t="n"/>
      <c r="AA60" s="588" t="n"/>
      <c r="AB60" s="588" t="n"/>
      <c r="AC60" s="588" t="n"/>
      <c r="AD60" s="588" t="n"/>
      <c r="AE60" s="588" t="n"/>
      <c r="AF60" s="588" t="n"/>
      <c r="AG60" s="588" t="n"/>
      <c r="AH60" s="588" t="n"/>
      <c r="AI60" s="588" t="n"/>
      <c r="AJ60" s="588" t="n"/>
      <c r="AK60" s="588" t="n"/>
      <c r="AL60" s="588" t="n"/>
      <c r="AM60" s="588" t="n"/>
      <c r="AN60" s="588" t="n"/>
      <c r="AO60" s="588" t="n"/>
      <c r="AP60" s="588" t="n"/>
      <c r="AQ60" s="588" t="n"/>
      <c r="AR60" s="588" t="n"/>
      <c r="AS60" s="588" t="n"/>
      <c r="AT60" s="588" t="n"/>
      <c r="AU60" s="588" t="n"/>
      <c r="AV60" s="588" t="n"/>
      <c r="AW60" s="588" t="n"/>
      <c r="AX60" s="588" t="n"/>
      <c r="AY60" s="588" t="n"/>
      <c r="AZ60" s="588" t="n"/>
      <c r="BA60" s="588" t="n"/>
      <c r="BB60" s="588" t="n"/>
      <c r="BC60" s="588" t="n"/>
      <c r="BD60" s="588" t="n"/>
      <c r="BE60" s="588" t="n"/>
      <c r="BF60" s="588" t="n"/>
      <c r="BG60" s="588" t="n"/>
      <c r="BH60" s="588" t="n"/>
      <c r="BI60" s="588" t="n"/>
      <c r="BJ60" s="588" t="n"/>
      <c r="BK60" s="588" t="n"/>
      <c r="BL60" s="588" t="n"/>
      <c r="BM60" s="588" t="n"/>
      <c r="BN60" s="588" t="n"/>
      <c r="BO60" s="588" t="n"/>
      <c r="BP60" s="588" t="n"/>
      <c r="BQ60" s="588" t="n"/>
      <c r="BR60" s="588" t="n"/>
      <c r="BS60" s="588" t="n"/>
      <c r="BT60" s="588" t="n"/>
      <c r="BU60" s="588" t="n"/>
      <c r="BV60" s="588" t="n"/>
      <c r="BW60" s="588" t="n"/>
      <c r="BX60" s="588" t="n"/>
      <c r="BY60" s="588" t="n"/>
      <c r="BZ60" s="588" t="n"/>
      <c r="CA60" s="588" t="n"/>
      <c r="CB60" s="588" t="n"/>
      <c r="CC60" s="588" t="n"/>
      <c r="CD60" s="588" t="n"/>
      <c r="CE60" s="588" t="n"/>
      <c r="CF60" s="588" t="n"/>
      <c r="CG60" s="588" t="n"/>
      <c r="CH60" s="588" t="n"/>
      <c r="CI60" s="588" t="n"/>
      <c r="CJ60" s="588" t="n"/>
      <c r="CK60" s="588" t="n"/>
      <c r="CL60" s="588" t="n"/>
      <c r="CM60" s="588" t="n"/>
      <c r="CN60" s="588" t="n"/>
      <c r="CO60" s="588" t="n"/>
      <c r="CP60" s="588" t="n"/>
      <c r="CQ60" s="588" t="n"/>
      <c r="CR60" s="588" t="n"/>
      <c r="CS60" s="588" t="n"/>
      <c r="CT60" s="588" t="n"/>
      <c r="CU60" s="588" t="n"/>
      <c r="CV60" s="588" t="n"/>
      <c r="CW60" s="588" t="n"/>
      <c r="CX60" s="588" t="n"/>
      <c r="CY60" s="588" t="n"/>
      <c r="CZ60" s="588" t="n"/>
      <c r="DA60" s="588" t="n"/>
      <c r="DB60" s="588" t="n"/>
      <c r="DC60" s="588" t="n"/>
      <c r="DD60" s="588" t="n"/>
      <c r="DE60" s="588" t="n"/>
      <c r="DF60" s="588" t="n"/>
      <c r="DG60" s="588" t="n"/>
      <c r="DH60" s="588" t="n"/>
      <c r="DI60" s="588" t="n"/>
      <c r="DJ60" s="588" t="n"/>
      <c r="DK60" s="588" t="n"/>
      <c r="DL60" s="588" t="n"/>
      <c r="DM60" s="588" t="n"/>
      <c r="DN60" s="588" t="n"/>
      <c r="DO60" s="588" t="n"/>
      <c r="DP60" s="588" t="n"/>
      <c r="DQ60" s="588" t="n"/>
      <c r="DR60" s="588" t="n"/>
      <c r="DS60" s="588" t="n"/>
      <c r="DT60" s="588" t="n"/>
      <c r="DU60" s="588" t="n"/>
    </row>
    <row r="61" outlineLevel="1" ht="13.2" customHeight="1" s="450">
      <c r="A61" s="590" t="n"/>
      <c r="B61" s="647" t="n"/>
      <c r="C61" s="648" t="n"/>
      <c r="D61" s="649" t="inlineStr">
        <is>
          <t>Descuentos Juntas</t>
        </is>
      </c>
      <c r="E61" s="658" t="n"/>
      <c r="F61" s="650">
        <f>-Q59*0.025</f>
        <v/>
      </c>
      <c r="G61" s="602" t="n"/>
      <c r="H61" s="655" t="n"/>
      <c r="I61" s="588" t="n"/>
      <c r="J61" s="588" t="n"/>
      <c r="K61" s="656" t="n"/>
      <c r="L61" s="656" t="n"/>
      <c r="M61" s="602" t="n"/>
      <c r="N61" s="602" t="n"/>
      <c r="O61" s="588" t="n"/>
      <c r="P61" s="588" t="n"/>
      <c r="Q61" s="602" t="n"/>
      <c r="R61" s="588" t="n"/>
      <c r="S61" s="602" t="n"/>
      <c r="T61" s="588" t="n"/>
      <c r="U61" s="588" t="n"/>
      <c r="V61" s="598" t="n"/>
      <c r="W61" s="598" t="n"/>
      <c r="X61" s="588" t="n"/>
      <c r="Z61" s="588" t="n"/>
      <c r="AA61" s="588" t="n"/>
      <c r="AB61" s="588" t="n"/>
      <c r="AC61" s="588" t="n"/>
      <c r="AD61" s="588" t="n"/>
      <c r="AE61" s="588" t="n"/>
      <c r="AF61" s="588" t="n"/>
      <c r="AG61" s="588" t="n"/>
      <c r="AH61" s="588" t="n"/>
      <c r="AI61" s="588" t="n"/>
      <c r="AJ61" s="588" t="n"/>
      <c r="AK61" s="588" t="n"/>
      <c r="AL61" s="588" t="n"/>
      <c r="AM61" s="588" t="n"/>
      <c r="AN61" s="588" t="n"/>
      <c r="AO61" s="588" t="n"/>
      <c r="AP61" s="588" t="n"/>
      <c r="AQ61" s="588" t="n"/>
      <c r="AR61" s="588" t="n"/>
      <c r="AS61" s="588" t="n"/>
      <c r="AT61" s="588" t="n"/>
      <c r="AU61" s="588" t="n"/>
      <c r="AV61" s="588" t="n"/>
      <c r="AW61" s="588" t="n"/>
      <c r="AX61" s="588" t="n"/>
      <c r="AY61" s="588" t="n"/>
      <c r="AZ61" s="588" t="n"/>
      <c r="BA61" s="588" t="n"/>
      <c r="BB61" s="588" t="n"/>
      <c r="BC61" s="588" t="n"/>
      <c r="BD61" s="588" t="n"/>
      <c r="BE61" s="588" t="n"/>
      <c r="BF61" s="588" t="n"/>
      <c r="BG61" s="588" t="n"/>
      <c r="BH61" s="588" t="n"/>
      <c r="BI61" s="588" t="n"/>
      <c r="BJ61" s="588" t="n"/>
      <c r="BK61" s="588" t="n"/>
      <c r="BL61" s="588" t="n"/>
      <c r="BM61" s="588" t="n"/>
      <c r="BN61" s="588" t="n"/>
      <c r="BO61" s="588" t="n"/>
      <c r="BP61" s="588" t="n"/>
      <c r="BQ61" s="588" t="n"/>
      <c r="BR61" s="588" t="n"/>
      <c r="BS61" s="588" t="n"/>
      <c r="BT61" s="588" t="n"/>
      <c r="BU61" s="588" t="n"/>
      <c r="BV61" s="588" t="n"/>
      <c r="BW61" s="588" t="n"/>
      <c r="BX61" s="588" t="n"/>
      <c r="BY61" s="588" t="n"/>
      <c r="BZ61" s="588" t="n"/>
      <c r="CA61" s="588" t="n"/>
      <c r="CB61" s="588" t="n"/>
      <c r="CC61" s="588" t="n"/>
      <c r="CD61" s="588" t="n"/>
      <c r="CE61" s="588" t="n"/>
      <c r="CF61" s="588" t="n"/>
      <c r="CG61" s="588" t="n"/>
      <c r="CH61" s="588" t="n"/>
      <c r="CI61" s="588" t="n"/>
      <c r="CJ61" s="588" t="n"/>
      <c r="CK61" s="588" t="n"/>
      <c r="CL61" s="588" t="n"/>
      <c r="CM61" s="588" t="n"/>
      <c r="CN61" s="588" t="n"/>
      <c r="CO61" s="588" t="n"/>
      <c r="CP61" s="588" t="n"/>
      <c r="CQ61" s="588" t="n"/>
      <c r="CR61" s="588" t="n"/>
      <c r="CS61" s="588" t="n"/>
      <c r="CT61" s="588" t="n"/>
      <c r="CU61" s="588" t="n"/>
      <c r="CV61" s="588" t="n"/>
      <c r="CW61" s="588" t="n"/>
      <c r="CX61" s="588" t="n"/>
      <c r="CY61" s="588" t="n"/>
      <c r="CZ61" s="588" t="n"/>
      <c r="DA61" s="588" t="n"/>
      <c r="DB61" s="588" t="n"/>
      <c r="DC61" s="588" t="n"/>
      <c r="DD61" s="588" t="n"/>
      <c r="DE61" s="588" t="n"/>
      <c r="DF61" s="588" t="n"/>
      <c r="DG61" s="588" t="n"/>
      <c r="DH61" s="588" t="n"/>
      <c r="DI61" s="588" t="n"/>
      <c r="DJ61" s="588" t="n"/>
      <c r="DK61" s="588" t="n"/>
      <c r="DL61" s="588" t="n"/>
      <c r="DM61" s="588" t="n"/>
      <c r="DN61" s="588" t="n"/>
      <c r="DO61" s="588" t="n"/>
      <c r="DP61" s="588" t="n"/>
      <c r="DQ61" s="588" t="n"/>
      <c r="DR61" s="588" t="n"/>
      <c r="DS61" s="588" t="n"/>
      <c r="DT61" s="588" t="n"/>
      <c r="DU61" s="588" t="n"/>
    </row>
    <row r="62" outlineLevel="1" ht="13.2" customHeight="1" s="450">
      <c r="A62" s="590" t="n"/>
      <c r="B62" s="654" t="n"/>
      <c r="C62" s="654" t="n"/>
      <c r="D62" s="633" t="inlineStr">
        <is>
          <t>Total</t>
        </is>
      </c>
      <c r="E62" s="634">
        <f>SUM(E60:E61)</f>
        <v/>
      </c>
      <c r="F62" s="635">
        <f>SUM(F60:F61)</f>
        <v/>
      </c>
      <c r="G62" s="602" t="n"/>
      <c r="H62" s="655" t="n"/>
      <c r="I62" s="588" t="n"/>
      <c r="J62" s="588" t="n"/>
      <c r="K62" s="656" t="n"/>
      <c r="L62" s="656" t="n"/>
      <c r="M62" s="602" t="n"/>
      <c r="N62" s="602" t="n"/>
      <c r="O62" s="588" t="n"/>
      <c r="P62" s="588" t="n"/>
      <c r="Q62" s="602" t="n"/>
      <c r="R62" s="588" t="n"/>
      <c r="S62" s="602" t="n"/>
      <c r="T62" s="588" t="n"/>
      <c r="U62" s="588" t="n"/>
      <c r="V62" s="598" t="n"/>
      <c r="W62" s="598" t="n"/>
      <c r="X62" s="588" t="n"/>
      <c r="Z62" s="588" t="n"/>
      <c r="AA62" s="588" t="n"/>
      <c r="AB62" s="588" t="n"/>
      <c r="AC62" s="588" t="n"/>
      <c r="AD62" s="588" t="n"/>
      <c r="AE62" s="588" t="n"/>
      <c r="AF62" s="588" t="n"/>
      <c r="AG62" s="588" t="n"/>
      <c r="AH62" s="588" t="n"/>
      <c r="AI62" s="588" t="n"/>
      <c r="AJ62" s="588" t="n"/>
      <c r="AK62" s="588" t="n"/>
      <c r="AL62" s="588" t="n"/>
      <c r="AM62" s="588" t="n"/>
      <c r="AN62" s="588" t="n"/>
      <c r="AO62" s="588" t="n"/>
      <c r="AP62" s="588" t="n"/>
      <c r="AQ62" s="588" t="n"/>
      <c r="AR62" s="588" t="n"/>
      <c r="AS62" s="588" t="n"/>
      <c r="AT62" s="588" t="n"/>
      <c r="AU62" s="588" t="n"/>
      <c r="AV62" s="588" t="n"/>
      <c r="AW62" s="588" t="n"/>
      <c r="AX62" s="588" t="n"/>
      <c r="AY62" s="588" t="n"/>
      <c r="AZ62" s="588" t="n"/>
      <c r="BA62" s="588" t="n"/>
      <c r="BB62" s="588" t="n"/>
      <c r="BC62" s="588" t="n"/>
      <c r="BD62" s="588" t="n"/>
      <c r="BE62" s="588" t="n"/>
      <c r="BF62" s="588" t="n"/>
      <c r="BG62" s="588" t="n"/>
      <c r="BH62" s="588" t="n"/>
      <c r="BI62" s="588" t="n"/>
      <c r="BJ62" s="588" t="n"/>
      <c r="BK62" s="588" t="n"/>
      <c r="BL62" s="588" t="n"/>
      <c r="BM62" s="588" t="n"/>
      <c r="BN62" s="588" t="n"/>
      <c r="BO62" s="588" t="n"/>
      <c r="BP62" s="588" t="n"/>
      <c r="BQ62" s="588" t="n"/>
      <c r="BR62" s="588" t="n"/>
      <c r="BS62" s="588" t="n"/>
      <c r="BT62" s="588" t="n"/>
      <c r="BU62" s="588" t="n"/>
      <c r="BV62" s="588" t="n"/>
      <c r="BW62" s="588" t="n"/>
      <c r="BX62" s="588" t="n"/>
      <c r="BY62" s="588" t="n"/>
      <c r="BZ62" s="588" t="n"/>
      <c r="CA62" s="588" t="n"/>
      <c r="CB62" s="588" t="n"/>
      <c r="CC62" s="588" t="n"/>
      <c r="CD62" s="588" t="n"/>
      <c r="CE62" s="588" t="n"/>
      <c r="CF62" s="588" t="n"/>
      <c r="CG62" s="588" t="n"/>
      <c r="CH62" s="588" t="n"/>
      <c r="CI62" s="588" t="n"/>
      <c r="CJ62" s="588" t="n"/>
      <c r="CK62" s="588" t="n"/>
      <c r="CL62" s="588" t="n"/>
      <c r="CM62" s="588" t="n"/>
      <c r="CN62" s="588" t="n"/>
      <c r="CO62" s="588" t="n"/>
      <c r="CP62" s="588" t="n"/>
      <c r="CQ62" s="588" t="n"/>
      <c r="CR62" s="588" t="n"/>
      <c r="CS62" s="588" t="n"/>
      <c r="CT62" s="588" t="n"/>
      <c r="CU62" s="588" t="n"/>
      <c r="CV62" s="588" t="n"/>
      <c r="CW62" s="588" t="n"/>
      <c r="CX62" s="588" t="n"/>
      <c r="CY62" s="588" t="n"/>
      <c r="CZ62" s="588" t="n"/>
      <c r="DA62" s="588" t="n"/>
      <c r="DB62" s="588" t="n"/>
      <c r="DC62" s="588" t="n"/>
      <c r="DD62" s="588" t="n"/>
      <c r="DE62" s="588" t="n"/>
      <c r="DF62" s="588" t="n"/>
      <c r="DG62" s="588" t="n"/>
      <c r="DH62" s="588" t="n"/>
      <c r="DI62" s="588" t="n"/>
      <c r="DJ62" s="588" t="n"/>
      <c r="DK62" s="588" t="n"/>
      <c r="DL62" s="588" t="n"/>
      <c r="DM62" s="588" t="n"/>
      <c r="DN62" s="588" t="n"/>
      <c r="DO62" s="588" t="n"/>
      <c r="DP62" s="588" t="n"/>
      <c r="DQ62" s="588" t="n"/>
      <c r="DR62" s="588" t="n"/>
      <c r="DS62" s="588" t="n"/>
      <c r="DT62" s="588" t="n"/>
      <c r="DU62" s="588" t="n"/>
    </row>
    <row r="63" hidden="1" ht="12.75" customHeight="1" s="450">
      <c r="A63" s="590" t="n"/>
      <c r="B63" s="588" t="n"/>
      <c r="C63" s="588" t="n"/>
      <c r="D63" s="656" t="n"/>
      <c r="E63" s="656" t="n"/>
      <c r="F63" s="602" t="n"/>
      <c r="G63" s="602" t="n"/>
      <c r="H63" s="655" t="n"/>
      <c r="I63" s="588" t="n"/>
      <c r="J63" s="588" t="n"/>
      <c r="K63" s="656" t="n"/>
      <c r="L63" s="656" t="n"/>
      <c r="M63" s="602" t="n"/>
      <c r="N63" s="602" t="n"/>
      <c r="O63" s="588" t="n"/>
      <c r="P63" s="588" t="n"/>
      <c r="Q63" s="602" t="n"/>
      <c r="R63" s="588" t="n"/>
      <c r="S63" s="602" t="n"/>
      <c r="T63" s="588" t="n"/>
      <c r="U63" s="588" t="n"/>
      <c r="V63" s="598" t="n"/>
      <c r="W63" s="598" t="n"/>
      <c r="X63" s="588" t="n"/>
      <c r="Z63" s="588" t="n"/>
      <c r="AA63" s="588" t="n"/>
      <c r="AB63" s="588" t="n"/>
      <c r="AC63" s="588" t="n"/>
      <c r="AD63" s="588" t="n"/>
      <c r="AE63" s="588" t="n"/>
      <c r="AF63" s="588" t="n"/>
      <c r="AG63" s="588" t="n"/>
      <c r="AH63" s="588" t="n"/>
      <c r="AI63" s="588" t="n"/>
      <c r="AJ63" s="588" t="n"/>
      <c r="AK63" s="588" t="n"/>
      <c r="AL63" s="588" t="n"/>
      <c r="AM63" s="588" t="n"/>
      <c r="AN63" s="588" t="n"/>
      <c r="AO63" s="588" t="n"/>
      <c r="AP63" s="588" t="n"/>
      <c r="AQ63" s="588" t="n"/>
      <c r="AR63" s="588" t="n"/>
      <c r="AS63" s="588" t="n"/>
      <c r="AT63" s="588" t="n"/>
      <c r="AU63" s="588" t="n"/>
      <c r="AV63" s="588" t="n"/>
      <c r="AW63" s="588" t="n"/>
      <c r="AX63" s="588" t="n"/>
      <c r="AY63" s="588" t="n"/>
      <c r="AZ63" s="588" t="n"/>
      <c r="BA63" s="588" t="n"/>
      <c r="BB63" s="588" t="n"/>
      <c r="BC63" s="588" t="n"/>
      <c r="BD63" s="588" t="n"/>
      <c r="BE63" s="588" t="n"/>
      <c r="BF63" s="588" t="n"/>
      <c r="BG63" s="588" t="n"/>
      <c r="BH63" s="588" t="n"/>
      <c r="BI63" s="588" t="n"/>
      <c r="BJ63" s="588" t="n"/>
      <c r="BK63" s="588" t="n"/>
      <c r="BL63" s="588" t="n"/>
      <c r="BM63" s="588" t="n"/>
      <c r="BN63" s="588" t="n"/>
      <c r="BO63" s="588" t="n"/>
      <c r="BP63" s="588" t="n"/>
      <c r="BQ63" s="588" t="n"/>
      <c r="BR63" s="588" t="n"/>
      <c r="BS63" s="588" t="n"/>
      <c r="BT63" s="588" t="n"/>
      <c r="BU63" s="588" t="n"/>
      <c r="BV63" s="588" t="n"/>
      <c r="BW63" s="588" t="n"/>
      <c r="BX63" s="588" t="n"/>
      <c r="BY63" s="588" t="n"/>
      <c r="BZ63" s="588" t="n"/>
      <c r="CA63" s="588" t="n"/>
      <c r="CB63" s="588" t="n"/>
      <c r="CC63" s="588" t="n"/>
      <c r="CD63" s="588" t="n"/>
      <c r="CE63" s="588" t="n"/>
      <c r="CF63" s="588" t="n"/>
      <c r="CG63" s="588" t="n"/>
      <c r="CH63" s="588" t="n"/>
      <c r="CI63" s="588" t="n"/>
      <c r="CJ63" s="588" t="n"/>
      <c r="CK63" s="588" t="n"/>
      <c r="CL63" s="588" t="n"/>
      <c r="CM63" s="588" t="n"/>
      <c r="CN63" s="588" t="n"/>
      <c r="CO63" s="588" t="n"/>
      <c r="CP63" s="588" t="n"/>
      <c r="CQ63" s="588" t="n"/>
      <c r="CR63" s="588" t="n"/>
      <c r="CS63" s="588" t="n"/>
      <c r="CT63" s="588" t="n"/>
      <c r="CU63" s="588" t="n"/>
      <c r="CV63" s="588" t="n"/>
      <c r="CW63" s="588" t="n"/>
      <c r="CX63" s="588" t="n"/>
      <c r="CY63" s="588" t="n"/>
      <c r="CZ63" s="588" t="n"/>
      <c r="DA63" s="588" t="n"/>
      <c r="DB63" s="588" t="n"/>
      <c r="DC63" s="588" t="n"/>
      <c r="DD63" s="588" t="n"/>
      <c r="DE63" s="588" t="n"/>
      <c r="DF63" s="588" t="n"/>
      <c r="DG63" s="588" t="n"/>
      <c r="DH63" s="588" t="n"/>
      <c r="DI63" s="588" t="n"/>
      <c r="DJ63" s="588" t="n"/>
      <c r="DK63" s="588" t="n"/>
      <c r="DL63" s="588" t="n"/>
      <c r="DM63" s="588" t="n"/>
      <c r="DN63" s="588" t="n"/>
      <c r="DO63" s="588" t="n"/>
      <c r="DP63" s="588" t="n"/>
      <c r="DQ63" s="588" t="n"/>
      <c r="DR63" s="588" t="n"/>
      <c r="DS63" s="588" t="n"/>
      <c r="DT63" s="588" t="n"/>
      <c r="DU63" s="588" t="n"/>
    </row>
    <row r="64" hidden="1" ht="12.75" customHeight="1" s="450">
      <c r="A64" s="590" t="n"/>
      <c r="B64" s="600" t="inlineStr">
        <is>
          <t>Vereda 15cm</t>
        </is>
      </c>
      <c r="C64" s="581" t="n"/>
      <c r="D64" s="582" t="n"/>
      <c r="E64" s="601" t="inlineStr">
        <is>
          <t>Rot.</t>
        </is>
      </c>
      <c r="F64" s="601" t="inlineStr">
        <is>
          <t>Rep.</t>
        </is>
      </c>
      <c r="G64" s="602" t="n"/>
      <c r="H64" s="597" t="n"/>
      <c r="I64" s="600" t="inlineStr">
        <is>
          <t>Sardinel 20cm</t>
        </is>
      </c>
      <c r="J64" s="581" t="n"/>
      <c r="K64" s="582" t="n"/>
      <c r="L64" s="601" t="inlineStr">
        <is>
          <t>Rot.</t>
        </is>
      </c>
      <c r="M64" s="601" t="inlineStr">
        <is>
          <t>Rep.</t>
        </is>
      </c>
      <c r="N64" s="603" t="n"/>
      <c r="O64" s="600" t="inlineStr">
        <is>
          <t>Juntas de Dilatacion</t>
        </is>
      </c>
      <c r="P64" s="581" t="n"/>
      <c r="Q64" s="582" t="n"/>
      <c r="R64" s="603" t="n"/>
      <c r="S64" s="600" t="inlineStr">
        <is>
          <t>Afirmad.</t>
        </is>
      </c>
      <c r="T64" s="603" t="n"/>
      <c r="U64" s="601" t="inlineStr">
        <is>
          <t>Descuento</t>
        </is>
      </c>
      <c r="V64" s="581" t="n"/>
      <c r="W64" s="581" t="n"/>
      <c r="X64" s="582" t="n"/>
      <c r="Z64" s="588" t="n"/>
      <c r="AA64" s="588" t="n"/>
      <c r="AB64" s="588" t="n"/>
      <c r="AC64" s="588" t="n"/>
      <c r="AD64" s="588" t="n"/>
      <c r="AE64" s="588" t="n"/>
      <c r="AF64" s="588" t="n"/>
      <c r="AG64" s="588" t="n"/>
      <c r="AH64" s="588" t="n"/>
      <c r="AI64" s="588" t="n"/>
      <c r="AJ64" s="588" t="n"/>
      <c r="AK64" s="588" t="n"/>
      <c r="AL64" s="588" t="n"/>
      <c r="AM64" s="588" t="n"/>
      <c r="AN64" s="588" t="n"/>
      <c r="AO64" s="588" t="n"/>
      <c r="AP64" s="588" t="n"/>
      <c r="AQ64" s="588" t="n"/>
      <c r="AR64" s="588" t="n"/>
      <c r="AS64" s="588" t="n"/>
      <c r="AT64" s="588" t="n"/>
      <c r="AU64" s="588" t="n"/>
      <c r="AV64" s="588" t="n"/>
      <c r="AW64" s="588" t="n"/>
      <c r="AX64" s="588" t="n"/>
      <c r="AY64" s="588" t="n"/>
      <c r="AZ64" s="588" t="n"/>
      <c r="BA64" s="588" t="n"/>
      <c r="BB64" s="588" t="n"/>
      <c r="BC64" s="588" t="n"/>
      <c r="BD64" s="588" t="n"/>
      <c r="BE64" s="588" t="n"/>
      <c r="BF64" s="588" t="n"/>
      <c r="BG64" s="588" t="n"/>
      <c r="BH64" s="588" t="n"/>
      <c r="BI64" s="588" t="n"/>
      <c r="BJ64" s="588" t="n"/>
      <c r="BK64" s="588" t="n"/>
      <c r="BL64" s="588" t="n"/>
      <c r="BM64" s="588" t="n"/>
      <c r="BN64" s="588" t="n"/>
      <c r="BO64" s="588" t="n"/>
      <c r="BP64" s="588" t="n"/>
      <c r="BQ64" s="588" t="n"/>
      <c r="BR64" s="588" t="n"/>
      <c r="BS64" s="588" t="n"/>
      <c r="BT64" s="588" t="n"/>
      <c r="BU64" s="588" t="n"/>
      <c r="BV64" s="588" t="n"/>
      <c r="BW64" s="588" t="n"/>
      <c r="BX64" s="588" t="n"/>
      <c r="BY64" s="588" t="n"/>
      <c r="BZ64" s="588" t="n"/>
      <c r="CA64" s="588" t="n"/>
      <c r="CB64" s="588" t="n"/>
      <c r="CC64" s="588" t="n"/>
      <c r="CD64" s="588" t="n"/>
      <c r="CE64" s="588" t="n"/>
      <c r="CF64" s="588" t="n"/>
      <c r="CG64" s="588" t="n"/>
      <c r="CH64" s="588" t="n"/>
      <c r="CI64" s="588" t="n"/>
      <c r="CJ64" s="588" t="n"/>
      <c r="CK64" s="588" t="n"/>
      <c r="CL64" s="588" t="n"/>
      <c r="CM64" s="588" t="n"/>
      <c r="CN64" s="588" t="n"/>
      <c r="CO64" s="588" t="n"/>
      <c r="CP64" s="588" t="n"/>
      <c r="CQ64" s="588" t="n"/>
      <c r="CR64" s="588" t="n"/>
      <c r="CS64" s="588" t="n"/>
      <c r="CT64" s="588" t="n"/>
      <c r="CU64" s="588" t="n"/>
      <c r="CV64" s="588" t="n"/>
      <c r="CW64" s="588" t="n"/>
      <c r="CX64" s="588" t="n"/>
      <c r="CY64" s="588" t="n"/>
      <c r="CZ64" s="588" t="n"/>
      <c r="DA64" s="588" t="n"/>
      <c r="DB64" s="588" t="n"/>
      <c r="DC64" s="588" t="n"/>
      <c r="DD64" s="588" t="n"/>
      <c r="DE64" s="588" t="n"/>
      <c r="DF64" s="588" t="n"/>
      <c r="DG64" s="588" t="n"/>
      <c r="DH64" s="588" t="n"/>
      <c r="DI64" s="588" t="n"/>
      <c r="DJ64" s="588" t="n"/>
      <c r="DK64" s="588" t="n"/>
      <c r="DL64" s="588" t="n"/>
      <c r="DM64" s="588" t="n"/>
      <c r="DN64" s="588" t="n"/>
      <c r="DO64" s="588" t="n"/>
      <c r="DP64" s="588" t="n"/>
      <c r="DQ64" s="588" t="n"/>
      <c r="DR64" s="588" t="n"/>
      <c r="DS64" s="588" t="n"/>
      <c r="DT64" s="588" t="n"/>
      <c r="DU64" s="588" t="n"/>
    </row>
    <row r="65" outlineLevel="1" ht="13.2" customHeight="1" s="450">
      <c r="A65" s="590" t="n"/>
      <c r="B65" s="605" t="inlineStr">
        <is>
          <t>N°</t>
        </is>
      </c>
      <c r="C65" s="605" t="inlineStr">
        <is>
          <t>Largo</t>
        </is>
      </c>
      <c r="D65" s="606" t="inlineStr">
        <is>
          <t>Ancho</t>
        </is>
      </c>
      <c r="E65" s="605" t="inlineStr">
        <is>
          <t>m2</t>
        </is>
      </c>
      <c r="F65" s="605" t="inlineStr">
        <is>
          <t>m2</t>
        </is>
      </c>
      <c r="G65" s="601" t="inlineStr">
        <is>
          <t>Observ.</t>
        </is>
      </c>
      <c r="H65" s="607" t="n"/>
      <c r="I65" s="601" t="inlineStr">
        <is>
          <t>N°</t>
        </is>
      </c>
      <c r="J65" s="601" t="inlineStr">
        <is>
          <t>Largo</t>
        </is>
      </c>
      <c r="K65" s="601" t="inlineStr">
        <is>
          <t>Ancho</t>
        </is>
      </c>
      <c r="L65" s="605" t="inlineStr">
        <is>
          <t>m2</t>
        </is>
      </c>
      <c r="M65" s="605" t="inlineStr">
        <is>
          <t>m2</t>
        </is>
      </c>
      <c r="N65" s="603" t="n"/>
      <c r="O65" s="601" t="inlineStr">
        <is>
          <t>Ancho</t>
        </is>
      </c>
      <c r="P65" s="601" t="inlineStr">
        <is>
          <t>Cant.</t>
        </is>
      </c>
      <c r="Q65" s="601" t="inlineStr">
        <is>
          <t>Total</t>
        </is>
      </c>
      <c r="R65" s="603" t="n"/>
      <c r="S65" s="601" t="inlineStr">
        <is>
          <t>m2</t>
        </is>
      </c>
      <c r="T65" s="603" t="n"/>
      <c r="U65" s="601" t="inlineStr">
        <is>
          <t>Largo</t>
        </is>
      </c>
      <c r="V65" s="605" t="inlineStr">
        <is>
          <t>Cant.</t>
        </is>
      </c>
      <c r="W65" s="605" t="inlineStr">
        <is>
          <t>Total</t>
        </is>
      </c>
      <c r="X65" s="605" t="inlineStr">
        <is>
          <t>OBS.</t>
        </is>
      </c>
      <c r="Z65" s="588" t="n"/>
      <c r="AA65" s="588" t="n"/>
      <c r="AB65" s="588" t="n"/>
      <c r="AC65" s="588" t="n"/>
      <c r="AD65" s="588" t="n"/>
      <c r="AE65" s="588" t="n"/>
      <c r="AF65" s="588" t="n"/>
      <c r="AG65" s="588" t="n"/>
      <c r="AH65" s="588" t="n"/>
      <c r="AI65" s="588" t="n"/>
      <c r="AJ65" s="588" t="n"/>
      <c r="AK65" s="588" t="n"/>
      <c r="AL65" s="588" t="n"/>
      <c r="AM65" s="588" t="n"/>
      <c r="AN65" s="588" t="n"/>
      <c r="AO65" s="588" t="n"/>
      <c r="AP65" s="588" t="n"/>
      <c r="AQ65" s="588" t="n"/>
      <c r="AR65" s="588" t="n"/>
      <c r="AS65" s="588" t="n"/>
      <c r="AT65" s="588" t="n"/>
      <c r="AU65" s="588" t="n"/>
      <c r="AV65" s="588" t="n"/>
      <c r="AW65" s="588" t="n"/>
      <c r="AX65" s="588" t="n"/>
      <c r="AY65" s="588" t="n"/>
      <c r="AZ65" s="588" t="n"/>
      <c r="BA65" s="588" t="n"/>
      <c r="BB65" s="588" t="n"/>
      <c r="BC65" s="588" t="n"/>
      <c r="BD65" s="588" t="n"/>
      <c r="BE65" s="588" t="n"/>
      <c r="BF65" s="588" t="n"/>
      <c r="BG65" s="588" t="n"/>
      <c r="BH65" s="588" t="n"/>
      <c r="BI65" s="588" t="n"/>
      <c r="BJ65" s="588" t="n"/>
      <c r="BK65" s="588" t="n"/>
      <c r="BL65" s="588" t="n"/>
      <c r="BM65" s="588" t="n"/>
      <c r="BN65" s="588" t="n"/>
      <c r="BO65" s="588" t="n"/>
      <c r="BP65" s="588" t="n"/>
      <c r="BQ65" s="588" t="n"/>
      <c r="BR65" s="588" t="n"/>
      <c r="BS65" s="588" t="n"/>
      <c r="BT65" s="588" t="n"/>
      <c r="BU65" s="588" t="n"/>
      <c r="BV65" s="588" t="n"/>
      <c r="BW65" s="588" t="n"/>
      <c r="BX65" s="588" t="n"/>
      <c r="BY65" s="588" t="n"/>
      <c r="BZ65" s="588" t="n"/>
      <c r="CA65" s="588" t="n"/>
      <c r="CB65" s="588" t="n"/>
      <c r="CC65" s="588" t="n"/>
      <c r="CD65" s="588" t="n"/>
      <c r="CE65" s="588" t="n"/>
      <c r="CF65" s="588" t="n"/>
      <c r="CG65" s="588" t="n"/>
      <c r="CH65" s="588" t="n"/>
      <c r="CI65" s="588" t="n"/>
      <c r="CJ65" s="588" t="n"/>
      <c r="CK65" s="588" t="n"/>
      <c r="CL65" s="588" t="n"/>
      <c r="CM65" s="588" t="n"/>
      <c r="CN65" s="588" t="n"/>
      <c r="CO65" s="588" t="n"/>
      <c r="CP65" s="588" t="n"/>
      <c r="CQ65" s="588" t="n"/>
      <c r="CR65" s="588" t="n"/>
      <c r="CS65" s="588" t="n"/>
      <c r="CT65" s="588" t="n"/>
      <c r="CU65" s="588" t="n"/>
      <c r="CV65" s="588" t="n"/>
      <c r="CW65" s="588" t="n"/>
      <c r="CX65" s="588" t="n"/>
      <c r="CY65" s="588" t="n"/>
      <c r="CZ65" s="588" t="n"/>
      <c r="DA65" s="588" t="n"/>
      <c r="DB65" s="588" t="n"/>
      <c r="DC65" s="588" t="n"/>
      <c r="DD65" s="588" t="n"/>
      <c r="DE65" s="588" t="n"/>
      <c r="DF65" s="588" t="n"/>
      <c r="DG65" s="588" t="n"/>
      <c r="DH65" s="588" t="n"/>
      <c r="DI65" s="588" t="n"/>
      <c r="DJ65" s="588" t="n"/>
      <c r="DK65" s="588" t="n"/>
      <c r="DL65" s="588" t="n"/>
      <c r="DM65" s="588" t="n"/>
      <c r="DN65" s="588" t="n"/>
      <c r="DO65" s="588" t="n"/>
      <c r="DP65" s="588" t="n"/>
      <c r="DQ65" s="588" t="n"/>
      <c r="DR65" s="588" t="n"/>
      <c r="DS65" s="588" t="n"/>
      <c r="DT65" s="588" t="n"/>
      <c r="DU65" s="588" t="n"/>
    </row>
    <row r="66" outlineLevel="1" ht="12.75" customHeight="1" s="450">
      <c r="A66" s="590" t="n"/>
      <c r="B66" s="608" t="inlineStr">
        <is>
          <t>V1</t>
        </is>
      </c>
      <c r="C66" s="609" t="n"/>
      <c r="D66" s="610" t="n"/>
      <c r="E66" s="611">
        <f>+C66*D66</f>
        <v/>
      </c>
      <c r="F66" s="612">
        <f>+C66*D66</f>
        <v/>
      </c>
      <c r="G66" s="613" t="n"/>
      <c r="H66" s="588" t="n"/>
      <c r="I66" s="608" t="inlineStr">
        <is>
          <t>S1</t>
        </is>
      </c>
      <c r="J66" s="614" t="n"/>
      <c r="K66" s="614" t="n"/>
      <c r="L66" s="611">
        <f>+J66*K66</f>
        <v/>
      </c>
      <c r="M66" s="611">
        <f>+J66*K66</f>
        <v/>
      </c>
      <c r="N66" s="615" t="n"/>
      <c r="O66" s="614">
        <f>+D66</f>
        <v/>
      </c>
      <c r="P66" s="614" t="n"/>
      <c r="Q66" s="611">
        <f>+O66*P66</f>
        <v/>
      </c>
      <c r="R66" s="616" t="n"/>
      <c r="S66" s="611">
        <f>+F66+M66</f>
        <v/>
      </c>
      <c r="T66" s="616" t="n"/>
      <c r="U66" s="614" t="n"/>
      <c r="V66" s="614" t="n"/>
      <c r="W66" s="611">
        <f>+U66*V66</f>
        <v/>
      </c>
      <c r="X66" s="617" t="n"/>
      <c r="Z66" s="588" t="n"/>
      <c r="AA66" s="588" t="n"/>
      <c r="AB66" s="588" t="n"/>
      <c r="AC66" s="588" t="n"/>
      <c r="AD66" s="588" t="n"/>
      <c r="AE66" s="588" t="n"/>
      <c r="AF66" s="588" t="n"/>
      <c r="AG66" s="588" t="n"/>
      <c r="AH66" s="588" t="n"/>
      <c r="AI66" s="588" t="n"/>
      <c r="AJ66" s="588" t="n"/>
      <c r="AK66" s="588" t="n"/>
      <c r="AL66" s="588" t="n"/>
      <c r="AM66" s="588" t="n"/>
      <c r="AN66" s="588" t="n"/>
      <c r="AO66" s="588" t="n"/>
      <c r="AP66" s="588" t="n"/>
      <c r="AQ66" s="588" t="n"/>
      <c r="AR66" s="588" t="n"/>
      <c r="AS66" s="588" t="n"/>
      <c r="AT66" s="588" t="n"/>
      <c r="AU66" s="588" t="n"/>
      <c r="AV66" s="588" t="n"/>
      <c r="AW66" s="588" t="n"/>
      <c r="AX66" s="588" t="n"/>
      <c r="AY66" s="588" t="n"/>
      <c r="AZ66" s="588" t="n"/>
      <c r="BA66" s="588" t="n"/>
      <c r="BB66" s="588" t="n"/>
      <c r="BC66" s="588" t="n"/>
      <c r="BD66" s="588" t="n"/>
      <c r="BE66" s="588" t="n"/>
      <c r="BF66" s="588" t="n"/>
      <c r="BG66" s="588" t="n"/>
      <c r="BH66" s="588" t="n"/>
      <c r="BI66" s="588" t="n"/>
      <c r="BJ66" s="588" t="n"/>
      <c r="BK66" s="588" t="n"/>
      <c r="BL66" s="588" t="n"/>
      <c r="BM66" s="588" t="n"/>
      <c r="BN66" s="588" t="n"/>
      <c r="BO66" s="588" t="n"/>
      <c r="BP66" s="588" t="n"/>
      <c r="BQ66" s="588" t="n"/>
      <c r="BR66" s="588" t="n"/>
      <c r="BS66" s="588" t="n"/>
      <c r="BT66" s="588" t="n"/>
      <c r="BU66" s="588" t="n"/>
      <c r="BV66" s="588" t="n"/>
      <c r="BW66" s="588" t="n"/>
      <c r="BX66" s="588" t="n"/>
      <c r="BY66" s="588" t="n"/>
      <c r="BZ66" s="588" t="n"/>
      <c r="CA66" s="588" t="n"/>
      <c r="CB66" s="588" t="n"/>
      <c r="CC66" s="588" t="n"/>
      <c r="CD66" s="588" t="n"/>
      <c r="CE66" s="588" t="n"/>
      <c r="CF66" s="588" t="n"/>
      <c r="CG66" s="588" t="n"/>
      <c r="CH66" s="588" t="n"/>
      <c r="CI66" s="588" t="n"/>
      <c r="CJ66" s="588" t="n"/>
      <c r="CK66" s="588" t="n"/>
      <c r="CL66" s="588" t="n"/>
      <c r="CM66" s="588" t="n"/>
      <c r="CN66" s="588" t="n"/>
      <c r="CO66" s="588" t="n"/>
      <c r="CP66" s="588" t="n"/>
      <c r="CQ66" s="588" t="n"/>
      <c r="CR66" s="588" t="n"/>
      <c r="CS66" s="588" t="n"/>
      <c r="CT66" s="588" t="n"/>
      <c r="CU66" s="588" t="n"/>
      <c r="CV66" s="588" t="n"/>
      <c r="CW66" s="588" t="n"/>
      <c r="CX66" s="588" t="n"/>
      <c r="CY66" s="588" t="n"/>
      <c r="CZ66" s="588" t="n"/>
      <c r="DA66" s="588" t="n"/>
      <c r="DB66" s="588" t="n"/>
      <c r="DC66" s="588" t="n"/>
      <c r="DD66" s="588" t="n"/>
      <c r="DE66" s="588" t="n"/>
      <c r="DF66" s="588" t="n"/>
      <c r="DG66" s="588" t="n"/>
      <c r="DH66" s="588" t="n"/>
      <c r="DI66" s="588" t="n"/>
      <c r="DJ66" s="588" t="n"/>
      <c r="DK66" s="588" t="n"/>
      <c r="DL66" s="588" t="n"/>
      <c r="DM66" s="588" t="n"/>
      <c r="DN66" s="588" t="n"/>
      <c r="DO66" s="588" t="n"/>
      <c r="DP66" s="588" t="n"/>
      <c r="DQ66" s="588" t="n"/>
      <c r="DR66" s="588" t="n"/>
      <c r="DS66" s="588" t="n"/>
      <c r="DT66" s="588" t="n"/>
      <c r="DU66" s="588" t="n"/>
    </row>
    <row r="67" outlineLevel="1" ht="12.75" customHeight="1" s="450">
      <c r="A67" s="590" t="n"/>
      <c r="B67" s="618" t="inlineStr">
        <is>
          <t>V2</t>
        </is>
      </c>
      <c r="C67" s="619" t="n"/>
      <c r="D67" s="620" t="n"/>
      <c r="E67" s="621">
        <f>+C67*D67</f>
        <v/>
      </c>
      <c r="F67" s="622">
        <f>+C67*D67</f>
        <v/>
      </c>
      <c r="G67" s="623" t="n"/>
      <c r="H67" s="588" t="n"/>
      <c r="I67" s="618" t="inlineStr">
        <is>
          <t>S2</t>
        </is>
      </c>
      <c r="J67" s="619" t="n"/>
      <c r="K67" s="619" t="n"/>
      <c r="L67" s="621">
        <f>+J67*K67</f>
        <v/>
      </c>
      <c r="M67" s="621">
        <f>+J67*K67</f>
        <v/>
      </c>
      <c r="N67" s="615" t="n"/>
      <c r="O67" s="619">
        <f>+D67</f>
        <v/>
      </c>
      <c r="P67" s="619" t="n"/>
      <c r="Q67" s="621">
        <f>+O67*P67</f>
        <v/>
      </c>
      <c r="R67" s="616" t="n"/>
      <c r="S67" s="621">
        <f>+F67+M67</f>
        <v/>
      </c>
      <c r="T67" s="616" t="n"/>
      <c r="U67" s="619" t="n"/>
      <c r="V67" s="619" t="n"/>
      <c r="W67" s="621">
        <f>+U67*V67</f>
        <v/>
      </c>
      <c r="X67" s="624" t="n"/>
      <c r="Z67" s="588" t="n"/>
      <c r="AA67" s="588" t="n"/>
      <c r="AB67" s="588" t="n"/>
      <c r="AC67" s="588" t="n"/>
      <c r="AD67" s="588" t="n"/>
      <c r="AE67" s="588" t="n"/>
      <c r="AF67" s="588" t="n"/>
      <c r="AG67" s="588" t="n"/>
      <c r="AH67" s="588" t="n"/>
      <c r="AI67" s="588" t="n"/>
      <c r="AJ67" s="588" t="n"/>
      <c r="AK67" s="588" t="n"/>
      <c r="AL67" s="588" t="n"/>
      <c r="AM67" s="588" t="n"/>
      <c r="AN67" s="588" t="n"/>
      <c r="AO67" s="588" t="n"/>
      <c r="AP67" s="588" t="n"/>
      <c r="AQ67" s="588" t="n"/>
      <c r="AR67" s="588" t="n"/>
      <c r="AS67" s="588" t="n"/>
      <c r="AT67" s="588" t="n"/>
      <c r="AU67" s="588" t="n"/>
      <c r="AV67" s="588" t="n"/>
      <c r="AW67" s="588" t="n"/>
      <c r="AX67" s="588" t="n"/>
      <c r="AY67" s="588" t="n"/>
      <c r="AZ67" s="588" t="n"/>
      <c r="BA67" s="588" t="n"/>
      <c r="BB67" s="588" t="n"/>
      <c r="BC67" s="588" t="n"/>
      <c r="BD67" s="588" t="n"/>
      <c r="BE67" s="588" t="n"/>
      <c r="BF67" s="588" t="n"/>
      <c r="BG67" s="588" t="n"/>
      <c r="BH67" s="588" t="n"/>
      <c r="BI67" s="588" t="n"/>
      <c r="BJ67" s="588" t="n"/>
      <c r="BK67" s="588" t="n"/>
      <c r="BL67" s="588" t="n"/>
      <c r="BM67" s="588" t="n"/>
      <c r="BN67" s="588" t="n"/>
      <c r="BO67" s="588" t="n"/>
      <c r="BP67" s="588" t="n"/>
      <c r="BQ67" s="588" t="n"/>
      <c r="BR67" s="588" t="n"/>
      <c r="BS67" s="588" t="n"/>
      <c r="BT67" s="588" t="n"/>
      <c r="BU67" s="588" t="n"/>
      <c r="BV67" s="588" t="n"/>
      <c r="BW67" s="588" t="n"/>
      <c r="BX67" s="588" t="n"/>
      <c r="BY67" s="588" t="n"/>
      <c r="BZ67" s="588" t="n"/>
      <c r="CA67" s="588" t="n"/>
      <c r="CB67" s="588" t="n"/>
      <c r="CC67" s="588" t="n"/>
      <c r="CD67" s="588" t="n"/>
      <c r="CE67" s="588" t="n"/>
      <c r="CF67" s="588" t="n"/>
      <c r="CG67" s="588" t="n"/>
      <c r="CH67" s="588" t="n"/>
      <c r="CI67" s="588" t="n"/>
      <c r="CJ67" s="588" t="n"/>
      <c r="CK67" s="588" t="n"/>
      <c r="CL67" s="588" t="n"/>
      <c r="CM67" s="588" t="n"/>
      <c r="CN67" s="588" t="n"/>
      <c r="CO67" s="588" t="n"/>
      <c r="CP67" s="588" t="n"/>
      <c r="CQ67" s="588" t="n"/>
      <c r="CR67" s="588" t="n"/>
      <c r="CS67" s="588" t="n"/>
      <c r="CT67" s="588" t="n"/>
      <c r="CU67" s="588" t="n"/>
      <c r="CV67" s="588" t="n"/>
      <c r="CW67" s="588" t="n"/>
      <c r="CX67" s="588" t="n"/>
      <c r="CY67" s="588" t="n"/>
      <c r="CZ67" s="588" t="n"/>
      <c r="DA67" s="588" t="n"/>
      <c r="DB67" s="588" t="n"/>
      <c r="DC67" s="588" t="n"/>
      <c r="DD67" s="588" t="n"/>
      <c r="DE67" s="588" t="n"/>
      <c r="DF67" s="588" t="n"/>
      <c r="DG67" s="588" t="n"/>
      <c r="DH67" s="588" t="n"/>
      <c r="DI67" s="588" t="n"/>
      <c r="DJ67" s="588" t="n"/>
      <c r="DK67" s="588" t="n"/>
      <c r="DL67" s="588" t="n"/>
      <c r="DM67" s="588" t="n"/>
      <c r="DN67" s="588" t="n"/>
      <c r="DO67" s="588" t="n"/>
      <c r="DP67" s="588" t="n"/>
      <c r="DQ67" s="588" t="n"/>
      <c r="DR67" s="588" t="n"/>
      <c r="DS67" s="588" t="n"/>
      <c r="DT67" s="588" t="n"/>
      <c r="DU67" s="588" t="n"/>
    </row>
    <row r="68" outlineLevel="1" ht="12.75" customHeight="1" s="450">
      <c r="A68" s="590" t="n"/>
      <c r="B68" s="618" t="inlineStr">
        <is>
          <t>V3</t>
        </is>
      </c>
      <c r="C68" s="619" t="n"/>
      <c r="D68" s="620" t="n"/>
      <c r="E68" s="621">
        <f>+C68*D68</f>
        <v/>
      </c>
      <c r="F68" s="622">
        <f>+C68*D68</f>
        <v/>
      </c>
      <c r="G68" s="624" t="n"/>
      <c r="H68" s="588" t="n"/>
      <c r="I68" s="618" t="inlineStr">
        <is>
          <t>S3</t>
        </is>
      </c>
      <c r="J68" s="619" t="n"/>
      <c r="K68" s="619" t="n"/>
      <c r="L68" s="621">
        <f>+J68*K68</f>
        <v/>
      </c>
      <c r="M68" s="621">
        <f>+J68*K68</f>
        <v/>
      </c>
      <c r="N68" s="615" t="n"/>
      <c r="O68" s="619">
        <f>+D68</f>
        <v/>
      </c>
      <c r="P68" s="619" t="n"/>
      <c r="Q68" s="621">
        <f>+O68*P68</f>
        <v/>
      </c>
      <c r="R68" s="616" t="n"/>
      <c r="S68" s="621">
        <f>+F68+M68</f>
        <v/>
      </c>
      <c r="T68" s="616" t="n"/>
      <c r="U68" s="619" t="n"/>
      <c r="V68" s="619" t="n"/>
      <c r="W68" s="621">
        <f>+U68*V68</f>
        <v/>
      </c>
      <c r="X68" s="624" t="n"/>
      <c r="Z68" s="588" t="n"/>
      <c r="AA68" s="588" t="n"/>
      <c r="AB68" s="588" t="n"/>
      <c r="AC68" s="588" t="n"/>
      <c r="AD68" s="588" t="n"/>
      <c r="AE68" s="588" t="n"/>
      <c r="AF68" s="588" t="n"/>
      <c r="AG68" s="588" t="n"/>
      <c r="AH68" s="588" t="n"/>
      <c r="AI68" s="588" t="n"/>
      <c r="AJ68" s="588" t="n"/>
      <c r="AK68" s="588" t="n"/>
      <c r="AL68" s="588" t="n"/>
      <c r="AM68" s="588" t="n"/>
      <c r="AN68" s="588" t="n"/>
      <c r="AO68" s="588" t="n"/>
      <c r="AP68" s="588" t="n"/>
      <c r="AQ68" s="588" t="n"/>
      <c r="AR68" s="588" t="n"/>
      <c r="AS68" s="588" t="n"/>
      <c r="AT68" s="588" t="n"/>
      <c r="AU68" s="588" t="n"/>
      <c r="AV68" s="588" t="n"/>
      <c r="AW68" s="588" t="n"/>
      <c r="AX68" s="588" t="n"/>
      <c r="AY68" s="588" t="n"/>
      <c r="AZ68" s="588" t="n"/>
      <c r="BA68" s="588" t="n"/>
      <c r="BB68" s="588" t="n"/>
      <c r="BC68" s="588" t="n"/>
      <c r="BD68" s="588" t="n"/>
      <c r="BE68" s="588" t="n"/>
      <c r="BF68" s="588" t="n"/>
      <c r="BG68" s="588" t="n"/>
      <c r="BH68" s="588" t="n"/>
      <c r="BI68" s="588" t="n"/>
      <c r="BJ68" s="588" t="n"/>
      <c r="BK68" s="588" t="n"/>
      <c r="BL68" s="588" t="n"/>
      <c r="BM68" s="588" t="n"/>
      <c r="BN68" s="588" t="n"/>
      <c r="BO68" s="588" t="n"/>
      <c r="BP68" s="588" t="n"/>
      <c r="BQ68" s="588" t="n"/>
      <c r="BR68" s="588" t="n"/>
      <c r="BS68" s="588" t="n"/>
      <c r="BT68" s="588" t="n"/>
      <c r="BU68" s="588" t="n"/>
      <c r="BV68" s="588" t="n"/>
      <c r="BW68" s="588" t="n"/>
      <c r="BX68" s="588" t="n"/>
      <c r="BY68" s="588" t="n"/>
      <c r="BZ68" s="588" t="n"/>
      <c r="CA68" s="588" t="n"/>
      <c r="CB68" s="588" t="n"/>
      <c r="CC68" s="588" t="n"/>
      <c r="CD68" s="588" t="n"/>
      <c r="CE68" s="588" t="n"/>
      <c r="CF68" s="588" t="n"/>
      <c r="CG68" s="588" t="n"/>
      <c r="CH68" s="588" t="n"/>
      <c r="CI68" s="588" t="n"/>
      <c r="CJ68" s="588" t="n"/>
      <c r="CK68" s="588" t="n"/>
      <c r="CL68" s="588" t="n"/>
      <c r="CM68" s="588" t="n"/>
      <c r="CN68" s="588" t="n"/>
      <c r="CO68" s="588" t="n"/>
      <c r="CP68" s="588" t="n"/>
      <c r="CQ68" s="588" t="n"/>
      <c r="CR68" s="588" t="n"/>
      <c r="CS68" s="588" t="n"/>
      <c r="CT68" s="588" t="n"/>
      <c r="CU68" s="588" t="n"/>
      <c r="CV68" s="588" t="n"/>
      <c r="CW68" s="588" t="n"/>
      <c r="CX68" s="588" t="n"/>
      <c r="CY68" s="588" t="n"/>
      <c r="CZ68" s="588" t="n"/>
      <c r="DA68" s="588" t="n"/>
      <c r="DB68" s="588" t="n"/>
      <c r="DC68" s="588" t="n"/>
      <c r="DD68" s="588" t="n"/>
      <c r="DE68" s="588" t="n"/>
      <c r="DF68" s="588" t="n"/>
      <c r="DG68" s="588" t="n"/>
      <c r="DH68" s="588" t="n"/>
      <c r="DI68" s="588" t="n"/>
      <c r="DJ68" s="588" t="n"/>
      <c r="DK68" s="588" t="n"/>
      <c r="DL68" s="588" t="n"/>
      <c r="DM68" s="588" t="n"/>
      <c r="DN68" s="588" t="n"/>
      <c r="DO68" s="588" t="n"/>
      <c r="DP68" s="588" t="n"/>
      <c r="DQ68" s="588" t="n"/>
      <c r="DR68" s="588" t="n"/>
      <c r="DS68" s="588" t="n"/>
      <c r="DT68" s="588" t="n"/>
      <c r="DU68" s="588" t="n"/>
    </row>
    <row r="69" outlineLevel="1" ht="12.75" customHeight="1" s="450">
      <c r="A69" s="590" t="n"/>
      <c r="B69" s="618" t="inlineStr">
        <is>
          <t>V4</t>
        </is>
      </c>
      <c r="C69" s="619" t="n"/>
      <c r="D69" s="620" t="n"/>
      <c r="E69" s="621">
        <f>+C69*D69</f>
        <v/>
      </c>
      <c r="F69" s="622">
        <f>+C69*D69</f>
        <v/>
      </c>
      <c r="G69" s="624" t="n"/>
      <c r="H69" s="588" t="n"/>
      <c r="I69" s="618" t="inlineStr">
        <is>
          <t>S4</t>
        </is>
      </c>
      <c r="J69" s="619" t="n"/>
      <c r="K69" s="619" t="n"/>
      <c r="L69" s="621">
        <f>+J69*K69</f>
        <v/>
      </c>
      <c r="M69" s="621">
        <f>+J69*K69</f>
        <v/>
      </c>
      <c r="N69" s="615" t="n"/>
      <c r="O69" s="619">
        <f>+D69</f>
        <v/>
      </c>
      <c r="P69" s="619" t="n"/>
      <c r="Q69" s="621">
        <f>+O69*P69</f>
        <v/>
      </c>
      <c r="R69" s="616" t="n"/>
      <c r="S69" s="621">
        <f>+F69+M69</f>
        <v/>
      </c>
      <c r="T69" s="616" t="n"/>
      <c r="U69" s="619" t="n"/>
      <c r="V69" s="619" t="n"/>
      <c r="W69" s="621">
        <f>+U69*V69</f>
        <v/>
      </c>
      <c r="X69" s="624" t="n"/>
      <c r="Z69" s="588" t="n"/>
      <c r="AA69" s="588" t="n"/>
      <c r="AB69" s="588" t="n"/>
      <c r="AC69" s="588" t="n"/>
      <c r="AD69" s="588" t="n"/>
      <c r="AE69" s="588" t="n"/>
      <c r="AF69" s="588" t="n"/>
      <c r="AG69" s="588" t="n"/>
      <c r="AH69" s="588" t="n"/>
      <c r="AI69" s="588" t="n"/>
      <c r="AJ69" s="588" t="n"/>
      <c r="AK69" s="588" t="n"/>
      <c r="AL69" s="588" t="n"/>
      <c r="AM69" s="588" t="n"/>
      <c r="AN69" s="588" t="n"/>
      <c r="AO69" s="588" t="n"/>
      <c r="AP69" s="588" t="n"/>
      <c r="AQ69" s="588" t="n"/>
      <c r="AR69" s="588" t="n"/>
      <c r="AS69" s="588" t="n"/>
      <c r="AT69" s="588" t="n"/>
      <c r="AU69" s="588" t="n"/>
      <c r="AV69" s="588" t="n"/>
      <c r="AW69" s="588" t="n"/>
      <c r="AX69" s="588" t="n"/>
      <c r="AY69" s="588" t="n"/>
      <c r="AZ69" s="588" t="n"/>
      <c r="BA69" s="588" t="n"/>
      <c r="BB69" s="588" t="n"/>
      <c r="BC69" s="588" t="n"/>
      <c r="BD69" s="588" t="n"/>
      <c r="BE69" s="588" t="n"/>
      <c r="BF69" s="588" t="n"/>
      <c r="BG69" s="588" t="n"/>
      <c r="BH69" s="588" t="n"/>
      <c r="BI69" s="588" t="n"/>
      <c r="BJ69" s="588" t="n"/>
      <c r="BK69" s="588" t="n"/>
      <c r="BL69" s="588" t="n"/>
      <c r="BM69" s="588" t="n"/>
      <c r="BN69" s="588" t="n"/>
      <c r="BO69" s="588" t="n"/>
      <c r="BP69" s="588" t="n"/>
      <c r="BQ69" s="588" t="n"/>
      <c r="BR69" s="588" t="n"/>
      <c r="BS69" s="588" t="n"/>
      <c r="BT69" s="588" t="n"/>
      <c r="BU69" s="588" t="n"/>
      <c r="BV69" s="588" t="n"/>
      <c r="BW69" s="588" t="n"/>
      <c r="BX69" s="588" t="n"/>
      <c r="BY69" s="588" t="n"/>
      <c r="BZ69" s="588" t="n"/>
      <c r="CA69" s="588" t="n"/>
      <c r="CB69" s="588" t="n"/>
      <c r="CC69" s="588" t="n"/>
      <c r="CD69" s="588" t="n"/>
      <c r="CE69" s="588" t="n"/>
      <c r="CF69" s="588" t="n"/>
      <c r="CG69" s="588" t="n"/>
      <c r="CH69" s="588" t="n"/>
      <c r="CI69" s="588" t="n"/>
      <c r="CJ69" s="588" t="n"/>
      <c r="CK69" s="588" t="n"/>
      <c r="CL69" s="588" t="n"/>
      <c r="CM69" s="588" t="n"/>
      <c r="CN69" s="588" t="n"/>
      <c r="CO69" s="588" t="n"/>
      <c r="CP69" s="588" t="n"/>
      <c r="CQ69" s="588" t="n"/>
      <c r="CR69" s="588" t="n"/>
      <c r="CS69" s="588" t="n"/>
      <c r="CT69" s="588" t="n"/>
      <c r="CU69" s="588" t="n"/>
      <c r="CV69" s="588" t="n"/>
      <c r="CW69" s="588" t="n"/>
      <c r="CX69" s="588" t="n"/>
      <c r="CY69" s="588" t="n"/>
      <c r="CZ69" s="588" t="n"/>
      <c r="DA69" s="588" t="n"/>
      <c r="DB69" s="588" t="n"/>
      <c r="DC69" s="588" t="n"/>
      <c r="DD69" s="588" t="n"/>
      <c r="DE69" s="588" t="n"/>
      <c r="DF69" s="588" t="n"/>
      <c r="DG69" s="588" t="n"/>
      <c r="DH69" s="588" t="n"/>
      <c r="DI69" s="588" t="n"/>
      <c r="DJ69" s="588" t="n"/>
      <c r="DK69" s="588" t="n"/>
      <c r="DL69" s="588" t="n"/>
      <c r="DM69" s="588" t="n"/>
      <c r="DN69" s="588" t="n"/>
      <c r="DO69" s="588" t="n"/>
      <c r="DP69" s="588" t="n"/>
      <c r="DQ69" s="588" t="n"/>
      <c r="DR69" s="588" t="n"/>
      <c r="DS69" s="588" t="n"/>
      <c r="DT69" s="588" t="n"/>
      <c r="DU69" s="588" t="n"/>
    </row>
    <row r="70" outlineLevel="1" ht="12.75" customHeight="1" s="450">
      <c r="A70" s="590" t="n"/>
      <c r="B70" s="618" t="inlineStr">
        <is>
          <t>V5</t>
        </is>
      </c>
      <c r="C70" s="619" t="n"/>
      <c r="D70" s="620" t="n"/>
      <c r="E70" s="621">
        <f>+C70*D70</f>
        <v/>
      </c>
      <c r="F70" s="622">
        <f>+C70*D70</f>
        <v/>
      </c>
      <c r="G70" s="624" t="n"/>
      <c r="H70" s="588" t="n"/>
      <c r="I70" s="618" t="inlineStr">
        <is>
          <t>S5</t>
        </is>
      </c>
      <c r="J70" s="619" t="n"/>
      <c r="K70" s="619" t="n"/>
      <c r="L70" s="621">
        <f>+J70*K70</f>
        <v/>
      </c>
      <c r="M70" s="621">
        <f>+J70*K70</f>
        <v/>
      </c>
      <c r="N70" s="615" t="n"/>
      <c r="O70" s="619">
        <f>+D70</f>
        <v/>
      </c>
      <c r="P70" s="619" t="n"/>
      <c r="Q70" s="621">
        <f>+O70*P70</f>
        <v/>
      </c>
      <c r="R70" s="616" t="n"/>
      <c r="S70" s="621">
        <f>+F70+M70</f>
        <v/>
      </c>
      <c r="T70" s="616" t="n"/>
      <c r="U70" s="619" t="n"/>
      <c r="V70" s="619" t="n"/>
      <c r="W70" s="621">
        <f>+U70*V70</f>
        <v/>
      </c>
      <c r="X70" s="624" t="n"/>
      <c r="Z70" s="588" t="n"/>
      <c r="AA70" s="588" t="n"/>
      <c r="AB70" s="588" t="n"/>
      <c r="AC70" s="588" t="n"/>
      <c r="AD70" s="588" t="n"/>
      <c r="AE70" s="588" t="n"/>
      <c r="AF70" s="588" t="n"/>
      <c r="AG70" s="588" t="n"/>
      <c r="AH70" s="588" t="n"/>
      <c r="AI70" s="588" t="n"/>
      <c r="AJ70" s="588" t="n"/>
      <c r="AK70" s="588" t="n"/>
      <c r="AL70" s="588" t="n"/>
      <c r="AM70" s="588" t="n"/>
      <c r="AN70" s="588" t="n"/>
      <c r="AO70" s="588" t="n"/>
      <c r="AP70" s="588" t="n"/>
      <c r="AQ70" s="588" t="n"/>
      <c r="AR70" s="588" t="n"/>
      <c r="AS70" s="588" t="n"/>
      <c r="AT70" s="588" t="n"/>
      <c r="AU70" s="588" t="n"/>
      <c r="AV70" s="588" t="n"/>
      <c r="AW70" s="588" t="n"/>
      <c r="AX70" s="588" t="n"/>
      <c r="AY70" s="588" t="n"/>
      <c r="AZ70" s="588" t="n"/>
      <c r="BA70" s="588" t="n"/>
      <c r="BB70" s="588" t="n"/>
      <c r="BC70" s="588" t="n"/>
      <c r="BD70" s="588" t="n"/>
      <c r="BE70" s="588" t="n"/>
      <c r="BF70" s="588" t="n"/>
      <c r="BG70" s="588" t="n"/>
      <c r="BH70" s="588" t="n"/>
      <c r="BI70" s="588" t="n"/>
      <c r="BJ70" s="588" t="n"/>
      <c r="BK70" s="588" t="n"/>
      <c r="BL70" s="588" t="n"/>
      <c r="BM70" s="588" t="n"/>
      <c r="BN70" s="588" t="n"/>
      <c r="BO70" s="588" t="n"/>
      <c r="BP70" s="588" t="n"/>
      <c r="BQ70" s="588" t="n"/>
      <c r="BR70" s="588" t="n"/>
      <c r="BS70" s="588" t="n"/>
      <c r="BT70" s="588" t="n"/>
      <c r="BU70" s="588" t="n"/>
      <c r="BV70" s="588" t="n"/>
      <c r="BW70" s="588" t="n"/>
      <c r="BX70" s="588" t="n"/>
      <c r="BY70" s="588" t="n"/>
      <c r="BZ70" s="588" t="n"/>
      <c r="CA70" s="588" t="n"/>
      <c r="CB70" s="588" t="n"/>
      <c r="CC70" s="588" t="n"/>
      <c r="CD70" s="588" t="n"/>
      <c r="CE70" s="588" t="n"/>
      <c r="CF70" s="588" t="n"/>
      <c r="CG70" s="588" t="n"/>
      <c r="CH70" s="588" t="n"/>
      <c r="CI70" s="588" t="n"/>
      <c r="CJ70" s="588" t="n"/>
      <c r="CK70" s="588" t="n"/>
      <c r="CL70" s="588" t="n"/>
      <c r="CM70" s="588" t="n"/>
      <c r="CN70" s="588" t="n"/>
      <c r="CO70" s="588" t="n"/>
      <c r="CP70" s="588" t="n"/>
      <c r="CQ70" s="588" t="n"/>
      <c r="CR70" s="588" t="n"/>
      <c r="CS70" s="588" t="n"/>
      <c r="CT70" s="588" t="n"/>
      <c r="CU70" s="588" t="n"/>
      <c r="CV70" s="588" t="n"/>
      <c r="CW70" s="588" t="n"/>
      <c r="CX70" s="588" t="n"/>
      <c r="CY70" s="588" t="n"/>
      <c r="CZ70" s="588" t="n"/>
      <c r="DA70" s="588" t="n"/>
      <c r="DB70" s="588" t="n"/>
      <c r="DC70" s="588" t="n"/>
      <c r="DD70" s="588" t="n"/>
      <c r="DE70" s="588" t="n"/>
      <c r="DF70" s="588" t="n"/>
      <c r="DG70" s="588" t="n"/>
      <c r="DH70" s="588" t="n"/>
      <c r="DI70" s="588" t="n"/>
      <c r="DJ70" s="588" t="n"/>
      <c r="DK70" s="588" t="n"/>
      <c r="DL70" s="588" t="n"/>
      <c r="DM70" s="588" t="n"/>
      <c r="DN70" s="588" t="n"/>
      <c r="DO70" s="588" t="n"/>
      <c r="DP70" s="588" t="n"/>
      <c r="DQ70" s="588" t="n"/>
      <c r="DR70" s="588" t="n"/>
      <c r="DS70" s="588" t="n"/>
      <c r="DT70" s="588" t="n"/>
      <c r="DU70" s="588" t="n"/>
    </row>
    <row r="71" outlineLevel="1" ht="13.2" customHeight="1" s="450">
      <c r="A71" s="590" t="n"/>
      <c r="B71" s="625" t="n"/>
      <c r="C71" s="626" t="n"/>
      <c r="D71" s="627" t="inlineStr">
        <is>
          <t>Descuentos</t>
        </is>
      </c>
      <c r="E71" s="628">
        <f>-W71</f>
        <v/>
      </c>
      <c r="F71" s="629">
        <f>-W71</f>
        <v/>
      </c>
      <c r="G71" s="630" t="n"/>
      <c r="H71" s="588" t="n"/>
      <c r="I71" s="631" t="n"/>
      <c r="J71" s="632" t="n"/>
      <c r="K71" s="633" t="inlineStr">
        <is>
          <t>Total</t>
        </is>
      </c>
      <c r="L71" s="634">
        <f>SUM(L66:L70)</f>
        <v/>
      </c>
      <c r="M71" s="635">
        <f>SUM(M66:M70)</f>
        <v/>
      </c>
      <c r="N71" s="615" t="n"/>
      <c r="O71" s="636" t="n"/>
      <c r="P71" s="637" t="inlineStr">
        <is>
          <t>TOTAL</t>
        </is>
      </c>
      <c r="Q71" s="635">
        <f>SUM(Q66:Q70)</f>
        <v/>
      </c>
      <c r="R71" s="602" t="n"/>
      <c r="S71" s="638">
        <f>-W71</f>
        <v/>
      </c>
      <c r="T71" s="602" t="n"/>
      <c r="U71" s="639" t="n"/>
      <c r="V71" s="640" t="inlineStr">
        <is>
          <t>TOTAL</t>
        </is>
      </c>
      <c r="W71" s="635">
        <f>SUM(W66:W70)</f>
        <v/>
      </c>
      <c r="X71" s="641" t="n"/>
      <c r="Z71" s="588" t="n"/>
      <c r="AA71" s="588" t="n"/>
      <c r="AB71" s="588" t="n"/>
      <c r="AC71" s="588" t="n"/>
      <c r="AD71" s="588" t="n"/>
      <c r="AE71" s="588" t="n"/>
      <c r="AF71" s="588" t="n"/>
      <c r="AG71" s="588" t="n"/>
      <c r="AH71" s="588" t="n"/>
      <c r="AI71" s="588" t="n"/>
      <c r="AJ71" s="588" t="n"/>
      <c r="AK71" s="588" t="n"/>
      <c r="AL71" s="588" t="n"/>
      <c r="AM71" s="588" t="n"/>
      <c r="AN71" s="588" t="n"/>
      <c r="AO71" s="588" t="n"/>
      <c r="AP71" s="588" t="n"/>
      <c r="AQ71" s="588" t="n"/>
      <c r="AR71" s="588" t="n"/>
      <c r="AS71" s="588" t="n"/>
      <c r="AT71" s="588" t="n"/>
      <c r="AU71" s="588" t="n"/>
      <c r="AV71" s="588" t="n"/>
      <c r="AW71" s="588" t="n"/>
      <c r="AX71" s="588" t="n"/>
      <c r="AY71" s="588" t="n"/>
      <c r="AZ71" s="588" t="n"/>
      <c r="BA71" s="588" t="n"/>
      <c r="BB71" s="588" t="n"/>
      <c r="BC71" s="588" t="n"/>
      <c r="BD71" s="588" t="n"/>
      <c r="BE71" s="588" t="n"/>
      <c r="BF71" s="588" t="n"/>
      <c r="BG71" s="588" t="n"/>
      <c r="BH71" s="588" t="n"/>
      <c r="BI71" s="588" t="n"/>
      <c r="BJ71" s="588" t="n"/>
      <c r="BK71" s="588" t="n"/>
      <c r="BL71" s="588" t="n"/>
      <c r="BM71" s="588" t="n"/>
      <c r="BN71" s="588" t="n"/>
      <c r="BO71" s="588" t="n"/>
      <c r="BP71" s="588" t="n"/>
      <c r="BQ71" s="588" t="n"/>
      <c r="BR71" s="588" t="n"/>
      <c r="BS71" s="588" t="n"/>
      <c r="BT71" s="588" t="n"/>
      <c r="BU71" s="588" t="n"/>
      <c r="BV71" s="588" t="n"/>
      <c r="BW71" s="588" t="n"/>
      <c r="BX71" s="588" t="n"/>
      <c r="BY71" s="588" t="n"/>
      <c r="BZ71" s="588" t="n"/>
      <c r="CA71" s="588" t="n"/>
      <c r="CB71" s="588" t="n"/>
      <c r="CC71" s="588" t="n"/>
      <c r="CD71" s="588" t="n"/>
      <c r="CE71" s="588" t="n"/>
      <c r="CF71" s="588" t="n"/>
      <c r="CG71" s="588" t="n"/>
      <c r="CH71" s="588" t="n"/>
      <c r="CI71" s="588" t="n"/>
      <c r="CJ71" s="588" t="n"/>
      <c r="CK71" s="588" t="n"/>
      <c r="CL71" s="588" t="n"/>
      <c r="CM71" s="588" t="n"/>
      <c r="CN71" s="588" t="n"/>
      <c r="CO71" s="588" t="n"/>
      <c r="CP71" s="588" t="n"/>
      <c r="CQ71" s="588" t="n"/>
      <c r="CR71" s="588" t="n"/>
      <c r="CS71" s="588" t="n"/>
      <c r="CT71" s="588" t="n"/>
      <c r="CU71" s="588" t="n"/>
      <c r="CV71" s="588" t="n"/>
      <c r="CW71" s="588" t="n"/>
      <c r="CX71" s="588" t="n"/>
      <c r="CY71" s="588" t="n"/>
      <c r="CZ71" s="588" t="n"/>
      <c r="DA71" s="588" t="n"/>
      <c r="DB71" s="588" t="n"/>
      <c r="DC71" s="588" t="n"/>
      <c r="DD71" s="588" t="n"/>
      <c r="DE71" s="588" t="n"/>
      <c r="DF71" s="588" t="n"/>
      <c r="DG71" s="588" t="n"/>
      <c r="DH71" s="588" t="n"/>
      <c r="DI71" s="588" t="n"/>
      <c r="DJ71" s="588" t="n"/>
      <c r="DK71" s="588" t="n"/>
      <c r="DL71" s="588" t="n"/>
      <c r="DM71" s="588" t="n"/>
      <c r="DN71" s="588" t="n"/>
      <c r="DO71" s="588" t="n"/>
      <c r="DP71" s="588" t="n"/>
      <c r="DQ71" s="588" t="n"/>
      <c r="DR71" s="588" t="n"/>
      <c r="DS71" s="588" t="n"/>
      <c r="DT71" s="588" t="n"/>
      <c r="DU71" s="588" t="n"/>
    </row>
    <row r="72" outlineLevel="1" ht="13.2" customHeight="1" s="450">
      <c r="A72" s="590" t="n"/>
      <c r="B72" s="642" t="n"/>
      <c r="C72" s="588" t="n"/>
      <c r="D72" s="643" t="inlineStr">
        <is>
          <t>Sub Total</t>
        </is>
      </c>
      <c r="E72" s="602">
        <f>SUM(E66:E71)</f>
        <v/>
      </c>
      <c r="F72" s="644">
        <f>SUM(F66:F71)</f>
        <v/>
      </c>
      <c r="G72" s="602" t="n"/>
      <c r="H72" s="597" t="n"/>
      <c r="I72" s="588" t="n"/>
      <c r="J72" s="588" t="n"/>
      <c r="K72" s="643" t="n"/>
      <c r="L72" s="602" t="n"/>
      <c r="M72" s="602" t="n"/>
      <c r="N72" s="645" t="n"/>
      <c r="O72" s="588" t="n"/>
      <c r="P72" s="588" t="n"/>
      <c r="Q72" s="602" t="n"/>
      <c r="R72" s="588" t="n"/>
      <c r="S72" s="646">
        <f>SUM(S66:S71)</f>
        <v/>
      </c>
      <c r="T72" s="588" t="n"/>
      <c r="U72" s="588" t="n"/>
      <c r="V72" s="598" t="n"/>
      <c r="W72" s="598" t="n"/>
      <c r="X72" s="588" t="n"/>
      <c r="Z72" s="588" t="n"/>
      <c r="AA72" s="588" t="n"/>
      <c r="AB72" s="588" t="n"/>
      <c r="AC72" s="588" t="n"/>
      <c r="AD72" s="588" t="n"/>
      <c r="AE72" s="588" t="n"/>
      <c r="AF72" s="588" t="n"/>
      <c r="AG72" s="588" t="n"/>
      <c r="AH72" s="588" t="n"/>
      <c r="AI72" s="588" t="n"/>
      <c r="AJ72" s="588" t="n"/>
      <c r="AK72" s="588" t="n"/>
      <c r="AL72" s="588" t="n"/>
      <c r="AM72" s="588" t="n"/>
      <c r="AN72" s="588" t="n"/>
      <c r="AO72" s="588" t="n"/>
      <c r="AP72" s="588" t="n"/>
      <c r="AQ72" s="588" t="n"/>
      <c r="AR72" s="588" t="n"/>
      <c r="AS72" s="588" t="n"/>
      <c r="AT72" s="588" t="n"/>
      <c r="AU72" s="588" t="n"/>
      <c r="AV72" s="588" t="n"/>
      <c r="AW72" s="588" t="n"/>
      <c r="AX72" s="588" t="n"/>
      <c r="AY72" s="588" t="n"/>
      <c r="AZ72" s="588" t="n"/>
      <c r="BA72" s="588" t="n"/>
      <c r="BB72" s="588" t="n"/>
      <c r="BC72" s="588" t="n"/>
      <c r="BD72" s="588" t="n"/>
      <c r="BE72" s="588" t="n"/>
      <c r="BF72" s="588" t="n"/>
      <c r="BG72" s="588" t="n"/>
      <c r="BH72" s="588" t="n"/>
      <c r="BI72" s="588" t="n"/>
      <c r="BJ72" s="588" t="n"/>
      <c r="BK72" s="588" t="n"/>
      <c r="BL72" s="588" t="n"/>
      <c r="BM72" s="588" t="n"/>
      <c r="BN72" s="588" t="n"/>
      <c r="BO72" s="588" t="n"/>
      <c r="BP72" s="588" t="n"/>
      <c r="BQ72" s="588" t="n"/>
      <c r="BR72" s="588" t="n"/>
      <c r="BS72" s="588" t="n"/>
      <c r="BT72" s="588" t="n"/>
      <c r="BU72" s="588" t="n"/>
      <c r="BV72" s="588" t="n"/>
      <c r="BW72" s="588" t="n"/>
      <c r="BX72" s="588" t="n"/>
      <c r="BY72" s="588" t="n"/>
      <c r="BZ72" s="588" t="n"/>
      <c r="CA72" s="588" t="n"/>
      <c r="CB72" s="588" t="n"/>
      <c r="CC72" s="588" t="n"/>
      <c r="CD72" s="588" t="n"/>
      <c r="CE72" s="588" t="n"/>
      <c r="CF72" s="588" t="n"/>
      <c r="CG72" s="588" t="n"/>
      <c r="CH72" s="588" t="n"/>
      <c r="CI72" s="588" t="n"/>
      <c r="CJ72" s="588" t="n"/>
      <c r="CK72" s="588" t="n"/>
      <c r="CL72" s="588" t="n"/>
      <c r="CM72" s="588" t="n"/>
      <c r="CN72" s="588" t="n"/>
      <c r="CO72" s="588" t="n"/>
      <c r="CP72" s="588" t="n"/>
      <c r="CQ72" s="588" t="n"/>
      <c r="CR72" s="588" t="n"/>
      <c r="CS72" s="588" t="n"/>
      <c r="CT72" s="588" t="n"/>
      <c r="CU72" s="588" t="n"/>
      <c r="CV72" s="588" t="n"/>
      <c r="CW72" s="588" t="n"/>
      <c r="CX72" s="588" t="n"/>
      <c r="CY72" s="588" t="n"/>
      <c r="CZ72" s="588" t="n"/>
      <c r="DA72" s="588" t="n"/>
      <c r="DB72" s="588" t="n"/>
      <c r="DC72" s="588" t="n"/>
      <c r="DD72" s="588" t="n"/>
      <c r="DE72" s="588" t="n"/>
      <c r="DF72" s="588" t="n"/>
      <c r="DG72" s="588" t="n"/>
      <c r="DH72" s="588" t="n"/>
      <c r="DI72" s="588" t="n"/>
      <c r="DJ72" s="588" t="n"/>
      <c r="DK72" s="588" t="n"/>
      <c r="DL72" s="588" t="n"/>
      <c r="DM72" s="588" t="n"/>
      <c r="DN72" s="588" t="n"/>
      <c r="DO72" s="588" t="n"/>
      <c r="DP72" s="588" t="n"/>
      <c r="DQ72" s="588" t="n"/>
      <c r="DR72" s="588" t="n"/>
      <c r="DS72" s="588" t="n"/>
      <c r="DT72" s="588" t="n"/>
      <c r="DU72" s="588" t="n"/>
    </row>
    <row r="73" outlineLevel="1" ht="13.2" customHeight="1" s="450">
      <c r="A73" s="590" t="n"/>
      <c r="B73" s="647" t="n"/>
      <c r="C73" s="648" t="n"/>
      <c r="D73" s="649" t="inlineStr">
        <is>
          <t>Descuentos Juntas</t>
        </is>
      </c>
      <c r="E73" s="658" t="n"/>
      <c r="F73" s="650">
        <f>-Q71*0.025</f>
        <v/>
      </c>
      <c r="G73" s="602" t="n"/>
      <c r="H73" s="597" t="n"/>
      <c r="I73" s="588" t="n"/>
      <c r="J73" s="588" t="n"/>
      <c r="K73" s="651" t="n"/>
      <c r="L73" s="652" t="n"/>
      <c r="M73" s="652" t="n"/>
      <c r="N73" s="645" t="n"/>
      <c r="O73" s="588" t="n"/>
      <c r="P73" s="588" t="n"/>
      <c r="Q73" s="602" t="n"/>
      <c r="R73" s="588" t="n"/>
      <c r="S73" s="653" t="n">
        <v>0</v>
      </c>
      <c r="T73" s="588" t="n"/>
      <c r="U73" s="588" t="n"/>
      <c r="V73" s="598" t="n"/>
      <c r="W73" s="598" t="n"/>
      <c r="X73" s="588" t="n"/>
      <c r="Z73" s="588" t="n"/>
      <c r="AA73" s="588" t="n"/>
      <c r="AB73" s="588" t="n"/>
      <c r="AC73" s="588" t="n"/>
      <c r="AD73" s="588" t="n"/>
      <c r="AE73" s="588" t="n"/>
      <c r="AF73" s="588" t="n"/>
      <c r="AG73" s="588" t="n"/>
      <c r="AH73" s="588" t="n"/>
      <c r="AI73" s="588" t="n"/>
      <c r="AJ73" s="588" t="n"/>
      <c r="AK73" s="588" t="n"/>
      <c r="AL73" s="588" t="n"/>
      <c r="AM73" s="588" t="n"/>
      <c r="AN73" s="588" t="n"/>
      <c r="AO73" s="588" t="n"/>
      <c r="AP73" s="588" t="n"/>
      <c r="AQ73" s="588" t="n"/>
      <c r="AR73" s="588" t="n"/>
      <c r="AS73" s="588" t="n"/>
      <c r="AT73" s="588" t="n"/>
      <c r="AU73" s="588" t="n"/>
      <c r="AV73" s="588" t="n"/>
      <c r="AW73" s="588" t="n"/>
      <c r="AX73" s="588" t="n"/>
      <c r="AY73" s="588" t="n"/>
      <c r="AZ73" s="588" t="n"/>
      <c r="BA73" s="588" t="n"/>
      <c r="BB73" s="588" t="n"/>
      <c r="BC73" s="588" t="n"/>
      <c r="BD73" s="588" t="n"/>
      <c r="BE73" s="588" t="n"/>
      <c r="BF73" s="588" t="n"/>
      <c r="BG73" s="588" t="n"/>
      <c r="BH73" s="588" t="n"/>
      <c r="BI73" s="588" t="n"/>
      <c r="BJ73" s="588" t="n"/>
      <c r="BK73" s="588" t="n"/>
      <c r="BL73" s="588" t="n"/>
      <c r="BM73" s="588" t="n"/>
      <c r="BN73" s="588" t="n"/>
      <c r="BO73" s="588" t="n"/>
      <c r="BP73" s="588" t="n"/>
      <c r="BQ73" s="588" t="n"/>
      <c r="BR73" s="588" t="n"/>
      <c r="BS73" s="588" t="n"/>
      <c r="BT73" s="588" t="n"/>
      <c r="BU73" s="588" t="n"/>
      <c r="BV73" s="588" t="n"/>
      <c r="BW73" s="588" t="n"/>
      <c r="BX73" s="588" t="n"/>
      <c r="BY73" s="588" t="n"/>
      <c r="BZ73" s="588" t="n"/>
      <c r="CA73" s="588" t="n"/>
      <c r="CB73" s="588" t="n"/>
      <c r="CC73" s="588" t="n"/>
      <c r="CD73" s="588" t="n"/>
      <c r="CE73" s="588" t="n"/>
      <c r="CF73" s="588" t="n"/>
      <c r="CG73" s="588" t="n"/>
      <c r="CH73" s="588" t="n"/>
      <c r="CI73" s="588" t="n"/>
      <c r="CJ73" s="588" t="n"/>
      <c r="CK73" s="588" t="n"/>
      <c r="CL73" s="588" t="n"/>
      <c r="CM73" s="588" t="n"/>
      <c r="CN73" s="588" t="n"/>
      <c r="CO73" s="588" t="n"/>
      <c r="CP73" s="588" t="n"/>
      <c r="CQ73" s="588" t="n"/>
      <c r="CR73" s="588" t="n"/>
      <c r="CS73" s="588" t="n"/>
      <c r="CT73" s="588" t="n"/>
      <c r="CU73" s="588" t="n"/>
      <c r="CV73" s="588" t="n"/>
      <c r="CW73" s="588" t="n"/>
      <c r="CX73" s="588" t="n"/>
      <c r="CY73" s="588" t="n"/>
      <c r="CZ73" s="588" t="n"/>
      <c r="DA73" s="588" t="n"/>
      <c r="DB73" s="588" t="n"/>
      <c r="DC73" s="588" t="n"/>
      <c r="DD73" s="588" t="n"/>
      <c r="DE73" s="588" t="n"/>
      <c r="DF73" s="588" t="n"/>
      <c r="DG73" s="588" t="n"/>
      <c r="DH73" s="588" t="n"/>
      <c r="DI73" s="588" t="n"/>
      <c r="DJ73" s="588" t="n"/>
      <c r="DK73" s="588" t="n"/>
      <c r="DL73" s="588" t="n"/>
      <c r="DM73" s="588" t="n"/>
      <c r="DN73" s="588" t="n"/>
      <c r="DO73" s="588" t="n"/>
      <c r="DP73" s="588" t="n"/>
      <c r="DQ73" s="588" t="n"/>
      <c r="DR73" s="588" t="n"/>
      <c r="DS73" s="588" t="n"/>
      <c r="DT73" s="588" t="n"/>
      <c r="DU73" s="588" t="n"/>
    </row>
    <row r="74" outlineLevel="1" ht="13.2" customHeight="1" s="450">
      <c r="A74" s="590" t="n"/>
      <c r="B74" s="654" t="n"/>
      <c r="C74" s="654" t="n"/>
      <c r="D74" s="633" t="inlineStr">
        <is>
          <t>Total</t>
        </is>
      </c>
      <c r="E74" s="634">
        <f>SUM(E72:E73)</f>
        <v/>
      </c>
      <c r="F74" s="635">
        <f>SUM(F72:F73)</f>
        <v/>
      </c>
      <c r="G74" s="602" t="n"/>
      <c r="H74" s="655" t="n"/>
      <c r="I74" s="588" t="n"/>
      <c r="J74" s="588" t="n"/>
      <c r="K74" s="656" t="n"/>
      <c r="L74" s="656" t="n"/>
      <c r="M74" s="602" t="n"/>
      <c r="N74" s="602" t="n"/>
      <c r="O74" s="588" t="n"/>
      <c r="P74" s="588" t="n"/>
      <c r="Q74" s="602" t="n"/>
      <c r="R74" s="588" t="n"/>
      <c r="S74" s="657">
        <f>SUM(S72:S73)</f>
        <v/>
      </c>
      <c r="T74" s="588" t="n"/>
      <c r="U74" s="588" t="n"/>
      <c r="V74" s="598" t="n"/>
      <c r="W74" s="598" t="n"/>
      <c r="X74" s="588" t="n"/>
      <c r="Z74" s="588" t="n"/>
      <c r="AA74" s="588" t="n"/>
      <c r="AB74" s="588" t="n"/>
      <c r="AC74" s="588" t="n"/>
      <c r="AD74" s="588" t="n"/>
      <c r="AE74" s="588" t="n"/>
      <c r="AF74" s="588" t="n"/>
      <c r="AG74" s="588" t="n"/>
      <c r="AH74" s="588" t="n"/>
      <c r="AI74" s="588" t="n"/>
      <c r="AJ74" s="588" t="n"/>
      <c r="AK74" s="588" t="n"/>
      <c r="AL74" s="588" t="n"/>
      <c r="AM74" s="588" t="n"/>
      <c r="AN74" s="588" t="n"/>
      <c r="AO74" s="588" t="n"/>
      <c r="AP74" s="588" t="n"/>
      <c r="AQ74" s="588" t="n"/>
      <c r="AR74" s="588" t="n"/>
      <c r="AS74" s="588" t="n"/>
      <c r="AT74" s="588" t="n"/>
      <c r="AU74" s="588" t="n"/>
      <c r="AV74" s="588" t="n"/>
      <c r="AW74" s="588" t="n"/>
      <c r="AX74" s="588" t="n"/>
      <c r="AY74" s="588" t="n"/>
      <c r="AZ74" s="588" t="n"/>
      <c r="BA74" s="588" t="n"/>
      <c r="BB74" s="588" t="n"/>
      <c r="BC74" s="588" t="n"/>
      <c r="BD74" s="588" t="n"/>
      <c r="BE74" s="588" t="n"/>
      <c r="BF74" s="588" t="n"/>
      <c r="BG74" s="588" t="n"/>
      <c r="BH74" s="588" t="n"/>
      <c r="BI74" s="588" t="n"/>
      <c r="BJ74" s="588" t="n"/>
      <c r="BK74" s="588" t="n"/>
      <c r="BL74" s="588" t="n"/>
      <c r="BM74" s="588" t="n"/>
      <c r="BN74" s="588" t="n"/>
      <c r="BO74" s="588" t="n"/>
      <c r="BP74" s="588" t="n"/>
      <c r="BQ74" s="588" t="n"/>
      <c r="BR74" s="588" t="n"/>
      <c r="BS74" s="588" t="n"/>
      <c r="BT74" s="588" t="n"/>
      <c r="BU74" s="588" t="n"/>
      <c r="BV74" s="588" t="n"/>
      <c r="BW74" s="588" t="n"/>
      <c r="BX74" s="588" t="n"/>
      <c r="BY74" s="588" t="n"/>
      <c r="BZ74" s="588" t="n"/>
      <c r="CA74" s="588" t="n"/>
      <c r="CB74" s="588" t="n"/>
      <c r="CC74" s="588" t="n"/>
      <c r="CD74" s="588" t="n"/>
      <c r="CE74" s="588" t="n"/>
      <c r="CF74" s="588" t="n"/>
      <c r="CG74" s="588" t="n"/>
      <c r="CH74" s="588" t="n"/>
      <c r="CI74" s="588" t="n"/>
      <c r="CJ74" s="588" t="n"/>
      <c r="CK74" s="588" t="n"/>
      <c r="CL74" s="588" t="n"/>
      <c r="CM74" s="588" t="n"/>
      <c r="CN74" s="588" t="n"/>
      <c r="CO74" s="588" t="n"/>
      <c r="CP74" s="588" t="n"/>
      <c r="CQ74" s="588" t="n"/>
      <c r="CR74" s="588" t="n"/>
      <c r="CS74" s="588" t="n"/>
      <c r="CT74" s="588" t="n"/>
      <c r="CU74" s="588" t="n"/>
      <c r="CV74" s="588" t="n"/>
      <c r="CW74" s="588" t="n"/>
      <c r="CX74" s="588" t="n"/>
      <c r="CY74" s="588" t="n"/>
      <c r="CZ74" s="588" t="n"/>
      <c r="DA74" s="588" t="n"/>
      <c r="DB74" s="588" t="n"/>
      <c r="DC74" s="588" t="n"/>
      <c r="DD74" s="588" t="n"/>
      <c r="DE74" s="588" t="n"/>
      <c r="DF74" s="588" t="n"/>
      <c r="DG74" s="588" t="n"/>
      <c r="DH74" s="588" t="n"/>
      <c r="DI74" s="588" t="n"/>
      <c r="DJ74" s="588" t="n"/>
      <c r="DK74" s="588" t="n"/>
      <c r="DL74" s="588" t="n"/>
      <c r="DM74" s="588" t="n"/>
      <c r="DN74" s="588" t="n"/>
      <c r="DO74" s="588" t="n"/>
      <c r="DP74" s="588" t="n"/>
      <c r="DQ74" s="588" t="n"/>
      <c r="DR74" s="588" t="n"/>
      <c r="DS74" s="588" t="n"/>
      <c r="DT74" s="588" t="n"/>
      <c r="DU74" s="588" t="n"/>
    </row>
    <row r="75" hidden="1" ht="12.75" customHeight="1" s="450">
      <c r="A75" s="590" t="n"/>
      <c r="B75" s="588" t="n"/>
      <c r="C75" s="588" t="n"/>
      <c r="D75" s="656" t="n"/>
      <c r="E75" s="656" t="n"/>
      <c r="F75" s="602" t="n"/>
      <c r="G75" s="602" t="n"/>
      <c r="H75" s="655" t="n"/>
      <c r="I75" s="588" t="n"/>
      <c r="J75" s="588" t="n"/>
      <c r="K75" s="656" t="n"/>
      <c r="L75" s="656" t="n"/>
      <c r="M75" s="602" t="n"/>
      <c r="N75" s="602" t="n"/>
      <c r="O75" s="588" t="n"/>
      <c r="P75" s="588" t="n"/>
      <c r="Q75" s="602" t="n"/>
      <c r="R75" s="588" t="n"/>
      <c r="S75" s="602" t="n"/>
      <c r="T75" s="588" t="n"/>
      <c r="U75" s="588" t="n"/>
      <c r="V75" s="598" t="n"/>
      <c r="W75" s="598" t="n"/>
      <c r="X75" s="588" t="n"/>
      <c r="Z75" s="588" t="n"/>
      <c r="AA75" s="588" t="n"/>
      <c r="AB75" s="588" t="n"/>
      <c r="AC75" s="588" t="n"/>
      <c r="AD75" s="588" t="n"/>
      <c r="AE75" s="588" t="n"/>
      <c r="AF75" s="588" t="n"/>
      <c r="AG75" s="588" t="n"/>
      <c r="AH75" s="588" t="n"/>
      <c r="AI75" s="588" t="n"/>
      <c r="AJ75" s="588" t="n"/>
      <c r="AK75" s="588" t="n"/>
      <c r="AL75" s="588" t="n"/>
      <c r="AM75" s="588" t="n"/>
      <c r="AN75" s="588" t="n"/>
      <c r="AO75" s="588" t="n"/>
      <c r="AP75" s="588" t="n"/>
      <c r="AQ75" s="588" t="n"/>
      <c r="AR75" s="588" t="n"/>
      <c r="AS75" s="588" t="n"/>
      <c r="AT75" s="588" t="n"/>
      <c r="AU75" s="588" t="n"/>
      <c r="AV75" s="588" t="n"/>
      <c r="AW75" s="588" t="n"/>
      <c r="AX75" s="588" t="n"/>
      <c r="AY75" s="588" t="n"/>
      <c r="AZ75" s="588" t="n"/>
      <c r="BA75" s="588" t="n"/>
      <c r="BB75" s="588" t="n"/>
      <c r="BC75" s="588" t="n"/>
      <c r="BD75" s="588" t="n"/>
      <c r="BE75" s="588" t="n"/>
      <c r="BF75" s="588" t="n"/>
      <c r="BG75" s="588" t="n"/>
      <c r="BH75" s="588" t="n"/>
      <c r="BI75" s="588" t="n"/>
      <c r="BJ75" s="588" t="n"/>
      <c r="BK75" s="588" t="n"/>
      <c r="BL75" s="588" t="n"/>
      <c r="BM75" s="588" t="n"/>
      <c r="BN75" s="588" t="n"/>
      <c r="BO75" s="588" t="n"/>
      <c r="BP75" s="588" t="n"/>
      <c r="BQ75" s="588" t="n"/>
      <c r="BR75" s="588" t="n"/>
      <c r="BS75" s="588" t="n"/>
      <c r="BT75" s="588" t="n"/>
      <c r="BU75" s="588" t="n"/>
      <c r="BV75" s="588" t="n"/>
      <c r="BW75" s="588" t="n"/>
      <c r="BX75" s="588" t="n"/>
      <c r="BY75" s="588" t="n"/>
      <c r="BZ75" s="588" t="n"/>
      <c r="CA75" s="588" t="n"/>
      <c r="CB75" s="588" t="n"/>
      <c r="CC75" s="588" t="n"/>
      <c r="CD75" s="588" t="n"/>
      <c r="CE75" s="588" t="n"/>
      <c r="CF75" s="588" t="n"/>
      <c r="CG75" s="588" t="n"/>
      <c r="CH75" s="588" t="n"/>
      <c r="CI75" s="588" t="n"/>
      <c r="CJ75" s="588" t="n"/>
      <c r="CK75" s="588" t="n"/>
      <c r="CL75" s="588" t="n"/>
      <c r="CM75" s="588" t="n"/>
      <c r="CN75" s="588" t="n"/>
      <c r="CO75" s="588" t="n"/>
      <c r="CP75" s="588" t="n"/>
      <c r="CQ75" s="588" t="n"/>
      <c r="CR75" s="588" t="n"/>
      <c r="CS75" s="588" t="n"/>
      <c r="CT75" s="588" t="n"/>
      <c r="CU75" s="588" t="n"/>
      <c r="CV75" s="588" t="n"/>
      <c r="CW75" s="588" t="n"/>
      <c r="CX75" s="588" t="n"/>
      <c r="CY75" s="588" t="n"/>
      <c r="CZ75" s="588" t="n"/>
      <c r="DA75" s="588" t="n"/>
      <c r="DB75" s="588" t="n"/>
      <c r="DC75" s="588" t="n"/>
      <c r="DD75" s="588" t="n"/>
      <c r="DE75" s="588" t="n"/>
      <c r="DF75" s="588" t="n"/>
      <c r="DG75" s="588" t="n"/>
      <c r="DH75" s="588" t="n"/>
      <c r="DI75" s="588" t="n"/>
      <c r="DJ75" s="588" t="n"/>
      <c r="DK75" s="588" t="n"/>
      <c r="DL75" s="588" t="n"/>
      <c r="DM75" s="588" t="n"/>
      <c r="DN75" s="588" t="n"/>
      <c r="DO75" s="588" t="n"/>
      <c r="DP75" s="588" t="n"/>
      <c r="DQ75" s="588" t="n"/>
      <c r="DR75" s="588" t="n"/>
      <c r="DS75" s="588" t="n"/>
      <c r="DT75" s="588" t="n"/>
      <c r="DU75" s="588" t="n"/>
    </row>
    <row r="76" hidden="1" ht="12.75" customHeight="1" s="450">
      <c r="A76" s="590" t="n"/>
      <c r="B76" s="600" t="inlineStr">
        <is>
          <t>Pista 20cm</t>
        </is>
      </c>
      <c r="C76" s="581" t="n"/>
      <c r="D76" s="582" t="n"/>
      <c r="E76" s="601" t="inlineStr">
        <is>
          <t>Rot.</t>
        </is>
      </c>
      <c r="F76" s="601" t="inlineStr">
        <is>
          <t>Rep.</t>
        </is>
      </c>
      <c r="G76" s="602" t="n"/>
      <c r="H76" s="655" t="n"/>
      <c r="I76" s="600" t="inlineStr">
        <is>
          <t>Asfalto 5cm</t>
        </is>
      </c>
      <c r="J76" s="581" t="n"/>
      <c r="K76" s="582" t="n"/>
      <c r="L76" s="601" t="inlineStr">
        <is>
          <t>Rot.</t>
        </is>
      </c>
      <c r="M76" s="601" t="inlineStr">
        <is>
          <t>Rep.</t>
        </is>
      </c>
      <c r="N76" s="602" t="n"/>
      <c r="O76" s="600" t="inlineStr">
        <is>
          <t>Juntas de Dilatacion</t>
        </is>
      </c>
      <c r="P76" s="581" t="n"/>
      <c r="Q76" s="582" t="n"/>
      <c r="R76" s="655" t="n"/>
      <c r="S76" s="600" t="inlineStr">
        <is>
          <t>Afirmad.</t>
        </is>
      </c>
      <c r="T76" s="655" t="n"/>
      <c r="U76" s="601" t="inlineStr">
        <is>
          <t>Descuento</t>
        </is>
      </c>
      <c r="V76" s="581" t="n"/>
      <c r="W76" s="581" t="n"/>
      <c r="X76" s="582" t="n"/>
      <c r="Z76" s="588" t="n"/>
      <c r="AA76" s="588" t="n"/>
      <c r="AB76" s="588" t="n"/>
      <c r="AC76" s="588" t="n"/>
      <c r="AD76" s="588" t="n"/>
      <c r="AE76" s="588" t="n"/>
      <c r="AF76" s="588" t="n"/>
      <c r="AG76" s="588" t="n"/>
      <c r="AH76" s="588" t="n"/>
      <c r="AI76" s="588" t="n"/>
      <c r="AJ76" s="588" t="n"/>
      <c r="AK76" s="588" t="n"/>
      <c r="AL76" s="588" t="n"/>
      <c r="AM76" s="588" t="n"/>
      <c r="AN76" s="588" t="n"/>
      <c r="AO76" s="588" t="n"/>
      <c r="AP76" s="588" t="n"/>
      <c r="AQ76" s="588" t="n"/>
      <c r="AR76" s="588" t="n"/>
      <c r="AS76" s="588" t="n"/>
      <c r="AT76" s="588" t="n"/>
      <c r="AU76" s="588" t="n"/>
      <c r="AV76" s="588" t="n"/>
      <c r="AW76" s="588" t="n"/>
      <c r="AX76" s="588" t="n"/>
      <c r="AY76" s="588" t="n"/>
      <c r="AZ76" s="588" t="n"/>
      <c r="BA76" s="588" t="n"/>
      <c r="BB76" s="588" t="n"/>
      <c r="BC76" s="588" t="n"/>
      <c r="BD76" s="588" t="n"/>
      <c r="BE76" s="588" t="n"/>
      <c r="BF76" s="588" t="n"/>
      <c r="BG76" s="588" t="n"/>
      <c r="BH76" s="588" t="n"/>
      <c r="BI76" s="588" t="n"/>
      <c r="BJ76" s="588" t="n"/>
      <c r="BK76" s="588" t="n"/>
      <c r="BL76" s="588" t="n"/>
      <c r="BM76" s="588" t="n"/>
      <c r="BN76" s="588" t="n"/>
      <c r="BO76" s="588" t="n"/>
      <c r="BP76" s="588" t="n"/>
      <c r="BQ76" s="588" t="n"/>
      <c r="BR76" s="588" t="n"/>
      <c r="BS76" s="588" t="n"/>
      <c r="BT76" s="588" t="n"/>
      <c r="BU76" s="588" t="n"/>
      <c r="BV76" s="588" t="n"/>
      <c r="BW76" s="588" t="n"/>
      <c r="BX76" s="588" t="n"/>
      <c r="BY76" s="588" t="n"/>
      <c r="BZ76" s="588" t="n"/>
      <c r="CA76" s="588" t="n"/>
      <c r="CB76" s="588" t="n"/>
      <c r="CC76" s="588" t="n"/>
      <c r="CD76" s="588" t="n"/>
      <c r="CE76" s="588" t="n"/>
      <c r="CF76" s="588" t="n"/>
      <c r="CG76" s="588" t="n"/>
      <c r="CH76" s="588" t="n"/>
      <c r="CI76" s="588" t="n"/>
      <c r="CJ76" s="588" t="n"/>
      <c r="CK76" s="588" t="n"/>
      <c r="CL76" s="588" t="n"/>
      <c r="CM76" s="588" t="n"/>
      <c r="CN76" s="588" t="n"/>
      <c r="CO76" s="588" t="n"/>
      <c r="CP76" s="588" t="n"/>
      <c r="CQ76" s="588" t="n"/>
      <c r="CR76" s="588" t="n"/>
      <c r="CS76" s="588" t="n"/>
      <c r="CT76" s="588" t="n"/>
      <c r="CU76" s="588" t="n"/>
      <c r="CV76" s="588" t="n"/>
      <c r="CW76" s="588" t="n"/>
      <c r="CX76" s="588" t="n"/>
      <c r="CY76" s="588" t="n"/>
      <c r="CZ76" s="588" t="n"/>
      <c r="DA76" s="588" t="n"/>
      <c r="DB76" s="588" t="n"/>
      <c r="DC76" s="588" t="n"/>
      <c r="DD76" s="588" t="n"/>
      <c r="DE76" s="588" t="n"/>
      <c r="DF76" s="588" t="n"/>
      <c r="DG76" s="588" t="n"/>
      <c r="DH76" s="588" t="n"/>
      <c r="DI76" s="588" t="n"/>
      <c r="DJ76" s="588" t="n"/>
      <c r="DK76" s="588" t="n"/>
      <c r="DL76" s="588" t="n"/>
      <c r="DM76" s="588" t="n"/>
      <c r="DN76" s="588" t="n"/>
      <c r="DO76" s="588" t="n"/>
      <c r="DP76" s="588" t="n"/>
      <c r="DQ76" s="588" t="n"/>
      <c r="DR76" s="588" t="n"/>
      <c r="DS76" s="588" t="n"/>
      <c r="DT76" s="588" t="n"/>
      <c r="DU76" s="588" t="n"/>
    </row>
    <row r="77" outlineLevel="1" ht="13.2" customHeight="1" s="450">
      <c r="A77" s="590" t="n"/>
      <c r="B77" s="601" t="inlineStr">
        <is>
          <t>N°</t>
        </is>
      </c>
      <c r="C77" s="601" t="inlineStr">
        <is>
          <t>Largo</t>
        </is>
      </c>
      <c r="D77" s="659" t="inlineStr">
        <is>
          <t>Ancho</t>
        </is>
      </c>
      <c r="E77" s="601" t="inlineStr">
        <is>
          <t>m2</t>
        </is>
      </c>
      <c r="F77" s="601" t="inlineStr">
        <is>
          <t>m2</t>
        </is>
      </c>
      <c r="G77" s="601" t="inlineStr">
        <is>
          <t>Observ.</t>
        </is>
      </c>
      <c r="H77" s="655" t="n"/>
      <c r="I77" s="601" t="inlineStr">
        <is>
          <t>N°</t>
        </is>
      </c>
      <c r="J77" s="601" t="inlineStr">
        <is>
          <t>Largo</t>
        </is>
      </c>
      <c r="K77" s="659" t="inlineStr">
        <is>
          <t>Ancho</t>
        </is>
      </c>
      <c r="L77" s="605" t="inlineStr">
        <is>
          <t>m2</t>
        </is>
      </c>
      <c r="M77" s="605" t="inlineStr">
        <is>
          <t>ml</t>
        </is>
      </c>
      <c r="N77" s="602" t="n"/>
      <c r="O77" s="601" t="inlineStr">
        <is>
          <t>Ancho</t>
        </is>
      </c>
      <c r="P77" s="601" t="inlineStr">
        <is>
          <t>Cant.</t>
        </is>
      </c>
      <c r="Q77" s="601" t="inlineStr">
        <is>
          <t>Total</t>
        </is>
      </c>
      <c r="R77" s="655" t="n"/>
      <c r="S77" s="601" t="inlineStr">
        <is>
          <t>m2</t>
        </is>
      </c>
      <c r="T77" s="655" t="n"/>
      <c r="U77" s="601" t="inlineStr">
        <is>
          <t>Largo</t>
        </is>
      </c>
      <c r="V77" s="605" t="inlineStr">
        <is>
          <t>Cant.</t>
        </is>
      </c>
      <c r="W77" s="605" t="inlineStr">
        <is>
          <t>Total</t>
        </is>
      </c>
      <c r="X77" s="605" t="inlineStr">
        <is>
          <t>OBS.</t>
        </is>
      </c>
      <c r="Z77" s="588" t="n"/>
      <c r="AA77" s="588" t="n"/>
      <c r="AB77" s="588" t="n"/>
      <c r="AC77" s="588" t="n"/>
      <c r="AD77" s="588" t="n"/>
      <c r="AE77" s="588" t="n"/>
      <c r="AF77" s="588" t="n"/>
      <c r="AG77" s="588" t="n"/>
      <c r="AH77" s="588" t="n"/>
      <c r="AI77" s="588" t="n"/>
      <c r="AJ77" s="588" t="n"/>
      <c r="AK77" s="588" t="n"/>
      <c r="AL77" s="588" t="n"/>
      <c r="AM77" s="588" t="n"/>
      <c r="AN77" s="588" t="n"/>
      <c r="AO77" s="588" t="n"/>
      <c r="AP77" s="588" t="n"/>
      <c r="AQ77" s="588" t="n"/>
      <c r="AR77" s="588" t="n"/>
      <c r="AS77" s="588" t="n"/>
      <c r="AT77" s="588" t="n"/>
      <c r="AU77" s="588" t="n"/>
      <c r="AV77" s="588" t="n"/>
      <c r="AW77" s="588" t="n"/>
      <c r="AX77" s="588" t="n"/>
      <c r="AY77" s="588" t="n"/>
      <c r="AZ77" s="588" t="n"/>
      <c r="BA77" s="588" t="n"/>
      <c r="BB77" s="588" t="n"/>
      <c r="BC77" s="588" t="n"/>
      <c r="BD77" s="588" t="n"/>
      <c r="BE77" s="588" t="n"/>
      <c r="BF77" s="588" t="n"/>
      <c r="BG77" s="588" t="n"/>
      <c r="BH77" s="588" t="n"/>
      <c r="BI77" s="588" t="n"/>
      <c r="BJ77" s="588" t="n"/>
      <c r="BK77" s="588" t="n"/>
      <c r="BL77" s="588" t="n"/>
      <c r="BM77" s="588" t="n"/>
      <c r="BN77" s="588" t="n"/>
      <c r="BO77" s="588" t="n"/>
      <c r="BP77" s="588" t="n"/>
      <c r="BQ77" s="588" t="n"/>
      <c r="BR77" s="588" t="n"/>
      <c r="BS77" s="588" t="n"/>
      <c r="BT77" s="588" t="n"/>
      <c r="BU77" s="588" t="n"/>
      <c r="BV77" s="588" t="n"/>
      <c r="BW77" s="588" t="n"/>
      <c r="BX77" s="588" t="n"/>
      <c r="BY77" s="588" t="n"/>
      <c r="BZ77" s="588" t="n"/>
      <c r="CA77" s="588" t="n"/>
      <c r="CB77" s="588" t="n"/>
      <c r="CC77" s="588" t="n"/>
      <c r="CD77" s="588" t="n"/>
      <c r="CE77" s="588" t="n"/>
      <c r="CF77" s="588" t="n"/>
      <c r="CG77" s="588" t="n"/>
      <c r="CH77" s="588" t="n"/>
      <c r="CI77" s="588" t="n"/>
      <c r="CJ77" s="588" t="n"/>
      <c r="CK77" s="588" t="n"/>
      <c r="CL77" s="588" t="n"/>
      <c r="CM77" s="588" t="n"/>
      <c r="CN77" s="588" t="n"/>
      <c r="CO77" s="588" t="n"/>
      <c r="CP77" s="588" t="n"/>
      <c r="CQ77" s="588" t="n"/>
      <c r="CR77" s="588" t="n"/>
      <c r="CS77" s="588" t="n"/>
      <c r="CT77" s="588" t="n"/>
      <c r="CU77" s="588" t="n"/>
      <c r="CV77" s="588" t="n"/>
      <c r="CW77" s="588" t="n"/>
      <c r="CX77" s="588" t="n"/>
      <c r="CY77" s="588" t="n"/>
      <c r="CZ77" s="588" t="n"/>
      <c r="DA77" s="588" t="n"/>
      <c r="DB77" s="588" t="n"/>
      <c r="DC77" s="588" t="n"/>
      <c r="DD77" s="588" t="n"/>
      <c r="DE77" s="588" t="n"/>
      <c r="DF77" s="588" t="n"/>
      <c r="DG77" s="588" t="n"/>
      <c r="DH77" s="588" t="n"/>
      <c r="DI77" s="588" t="n"/>
      <c r="DJ77" s="588" t="n"/>
      <c r="DK77" s="588" t="n"/>
      <c r="DL77" s="588" t="n"/>
      <c r="DM77" s="588" t="n"/>
      <c r="DN77" s="588" t="n"/>
      <c r="DO77" s="588" t="n"/>
      <c r="DP77" s="588" t="n"/>
      <c r="DQ77" s="588" t="n"/>
      <c r="DR77" s="588" t="n"/>
      <c r="DS77" s="588" t="n"/>
      <c r="DT77" s="588" t="n"/>
      <c r="DU77" s="588" t="n"/>
    </row>
    <row r="78" outlineLevel="1" ht="12.75" customHeight="1" s="450">
      <c r="A78" s="590" t="n"/>
      <c r="B78" s="608" t="inlineStr">
        <is>
          <t>P1</t>
        </is>
      </c>
      <c r="C78" s="614" t="n"/>
      <c r="D78" s="614" t="n"/>
      <c r="E78" s="611">
        <f>+C78*D78</f>
        <v/>
      </c>
      <c r="F78" s="612">
        <f>+C78*D78</f>
        <v/>
      </c>
      <c r="G78" s="660" t="n"/>
      <c r="H78" s="655" t="n"/>
      <c r="I78" s="608" t="inlineStr">
        <is>
          <t>A1</t>
        </is>
      </c>
      <c r="J78" s="614" t="n"/>
      <c r="K78" s="614" t="n"/>
      <c r="L78" s="611">
        <f>+J78*K78</f>
        <v/>
      </c>
      <c r="M78" s="611">
        <f>+J78*K78/0.6</f>
        <v/>
      </c>
      <c r="N78" s="645" t="n"/>
      <c r="O78" s="614">
        <f>+D78</f>
        <v/>
      </c>
      <c r="P78" s="614" t="n"/>
      <c r="Q78" s="611">
        <f>+O78*P78</f>
        <v/>
      </c>
      <c r="R78" s="655" t="n"/>
      <c r="S78" s="611">
        <f>+F78</f>
        <v/>
      </c>
      <c r="T78" s="655" t="n"/>
      <c r="U78" s="614" t="n"/>
      <c r="V78" s="614" t="n"/>
      <c r="W78" s="611">
        <f>+U78*V78</f>
        <v/>
      </c>
      <c r="X78" s="617" t="n"/>
      <c r="Z78" s="588" t="n"/>
      <c r="AA78" s="588" t="n"/>
      <c r="AB78" s="588" t="n"/>
      <c r="AC78" s="588" t="n"/>
      <c r="AD78" s="588" t="n"/>
      <c r="AE78" s="588" t="n"/>
      <c r="AF78" s="588" t="n"/>
      <c r="AG78" s="588" t="n"/>
      <c r="AH78" s="588" t="n"/>
      <c r="AI78" s="588" t="n"/>
      <c r="AJ78" s="588" t="n"/>
      <c r="AK78" s="588" t="n"/>
      <c r="AL78" s="588" t="n"/>
      <c r="AM78" s="588" t="n"/>
      <c r="AN78" s="588" t="n"/>
      <c r="AO78" s="588" t="n"/>
      <c r="AP78" s="588" t="n"/>
      <c r="AQ78" s="588" t="n"/>
      <c r="AR78" s="588" t="n"/>
      <c r="AS78" s="588" t="n"/>
      <c r="AT78" s="588" t="n"/>
      <c r="AU78" s="588" t="n"/>
      <c r="AV78" s="588" t="n"/>
      <c r="AW78" s="588" t="n"/>
      <c r="AX78" s="588" t="n"/>
      <c r="AY78" s="588" t="n"/>
      <c r="AZ78" s="588" t="n"/>
      <c r="BA78" s="588" t="n"/>
      <c r="BB78" s="588" t="n"/>
      <c r="BC78" s="588" t="n"/>
      <c r="BD78" s="588" t="n"/>
      <c r="BE78" s="588" t="n"/>
      <c r="BF78" s="588" t="n"/>
      <c r="BG78" s="588" t="n"/>
      <c r="BH78" s="588" t="n"/>
      <c r="BI78" s="588" t="n"/>
      <c r="BJ78" s="588" t="n"/>
      <c r="BK78" s="588" t="n"/>
      <c r="BL78" s="588" t="n"/>
      <c r="BM78" s="588" t="n"/>
      <c r="BN78" s="588" t="n"/>
      <c r="BO78" s="588" t="n"/>
      <c r="BP78" s="588" t="n"/>
      <c r="BQ78" s="588" t="n"/>
      <c r="BR78" s="588" t="n"/>
      <c r="BS78" s="588" t="n"/>
      <c r="BT78" s="588" t="n"/>
      <c r="BU78" s="588" t="n"/>
      <c r="BV78" s="588" t="n"/>
      <c r="BW78" s="588" t="n"/>
      <c r="BX78" s="588" t="n"/>
      <c r="BY78" s="588" t="n"/>
      <c r="BZ78" s="588" t="n"/>
      <c r="CA78" s="588" t="n"/>
      <c r="CB78" s="588" t="n"/>
      <c r="CC78" s="588" t="n"/>
      <c r="CD78" s="588" t="n"/>
      <c r="CE78" s="588" t="n"/>
      <c r="CF78" s="588" t="n"/>
      <c r="CG78" s="588" t="n"/>
      <c r="CH78" s="588" t="n"/>
      <c r="CI78" s="588" t="n"/>
      <c r="CJ78" s="588" t="n"/>
      <c r="CK78" s="588" t="n"/>
      <c r="CL78" s="588" t="n"/>
      <c r="CM78" s="588" t="n"/>
      <c r="CN78" s="588" t="n"/>
      <c r="CO78" s="588" t="n"/>
      <c r="CP78" s="588" t="n"/>
      <c r="CQ78" s="588" t="n"/>
      <c r="CR78" s="588" t="n"/>
      <c r="CS78" s="588" t="n"/>
      <c r="CT78" s="588" t="n"/>
      <c r="CU78" s="588" t="n"/>
      <c r="CV78" s="588" t="n"/>
      <c r="CW78" s="588" t="n"/>
      <c r="CX78" s="588" t="n"/>
      <c r="CY78" s="588" t="n"/>
      <c r="CZ78" s="588" t="n"/>
      <c r="DA78" s="588" t="n"/>
      <c r="DB78" s="588" t="n"/>
      <c r="DC78" s="588" t="n"/>
      <c r="DD78" s="588" t="n"/>
      <c r="DE78" s="588" t="n"/>
      <c r="DF78" s="588" t="n"/>
      <c r="DG78" s="588" t="n"/>
      <c r="DH78" s="588" t="n"/>
      <c r="DI78" s="588" t="n"/>
      <c r="DJ78" s="588" t="n"/>
      <c r="DK78" s="588" t="n"/>
      <c r="DL78" s="588" t="n"/>
      <c r="DM78" s="588" t="n"/>
      <c r="DN78" s="588" t="n"/>
      <c r="DO78" s="588" t="n"/>
      <c r="DP78" s="588" t="n"/>
      <c r="DQ78" s="588" t="n"/>
      <c r="DR78" s="588" t="n"/>
      <c r="DS78" s="588" t="n"/>
      <c r="DT78" s="588" t="n"/>
      <c r="DU78" s="588" t="n"/>
    </row>
    <row r="79" outlineLevel="1" ht="12.75" customHeight="1" s="450">
      <c r="A79" s="590" t="n"/>
      <c r="B79" s="618" t="inlineStr">
        <is>
          <t>P2</t>
        </is>
      </c>
      <c r="C79" s="619" t="n"/>
      <c r="D79" s="619" t="n"/>
      <c r="E79" s="621">
        <f>+C79*D79</f>
        <v/>
      </c>
      <c r="F79" s="622">
        <f>+C79*D79</f>
        <v/>
      </c>
      <c r="G79" s="661" t="n"/>
      <c r="H79" s="655" t="n"/>
      <c r="I79" s="618" t="inlineStr">
        <is>
          <t>A2</t>
        </is>
      </c>
      <c r="J79" s="619" t="n"/>
      <c r="K79" s="619" t="n"/>
      <c r="L79" s="621">
        <f>+J79*K79</f>
        <v/>
      </c>
      <c r="M79" s="621">
        <f>+J79*K79/0.6</f>
        <v/>
      </c>
      <c r="N79" s="645" t="n"/>
      <c r="O79" s="619">
        <f>+D79</f>
        <v/>
      </c>
      <c r="P79" s="619" t="n"/>
      <c r="Q79" s="621">
        <f>+O79*P79</f>
        <v/>
      </c>
      <c r="R79" s="655" t="n"/>
      <c r="S79" s="621">
        <f>+F79</f>
        <v/>
      </c>
      <c r="T79" s="655" t="n"/>
      <c r="U79" s="619" t="n"/>
      <c r="V79" s="619" t="n"/>
      <c r="W79" s="621">
        <f>+U79*V79</f>
        <v/>
      </c>
      <c r="X79" s="624" t="n"/>
      <c r="Z79" s="588" t="n"/>
      <c r="AA79" s="588" t="n"/>
      <c r="AB79" s="588" t="n"/>
      <c r="AC79" s="588" t="n"/>
      <c r="AD79" s="588" t="n"/>
      <c r="AE79" s="588" t="n"/>
      <c r="AF79" s="588" t="n"/>
      <c r="AG79" s="588" t="n"/>
      <c r="AH79" s="588" t="n"/>
      <c r="AI79" s="588" t="n"/>
      <c r="AJ79" s="588" t="n"/>
      <c r="AK79" s="588" t="n"/>
      <c r="AL79" s="588" t="n"/>
      <c r="AM79" s="588" t="n"/>
      <c r="AN79" s="588" t="n"/>
      <c r="AO79" s="588" t="n"/>
      <c r="AP79" s="588" t="n"/>
      <c r="AQ79" s="588" t="n"/>
      <c r="AR79" s="588" t="n"/>
      <c r="AS79" s="588" t="n"/>
      <c r="AT79" s="588" t="n"/>
      <c r="AU79" s="588" t="n"/>
      <c r="AV79" s="588" t="n"/>
      <c r="AW79" s="588" t="n"/>
      <c r="AX79" s="588" t="n"/>
      <c r="AY79" s="588" t="n"/>
      <c r="AZ79" s="588" t="n"/>
      <c r="BA79" s="588" t="n"/>
      <c r="BB79" s="588" t="n"/>
      <c r="BC79" s="588" t="n"/>
      <c r="BD79" s="588" t="n"/>
      <c r="BE79" s="588" t="n"/>
      <c r="BF79" s="588" t="n"/>
      <c r="BG79" s="588" t="n"/>
      <c r="BH79" s="588" t="n"/>
      <c r="BI79" s="588" t="n"/>
      <c r="BJ79" s="588" t="n"/>
      <c r="BK79" s="588" t="n"/>
      <c r="BL79" s="588" t="n"/>
      <c r="BM79" s="588" t="n"/>
      <c r="BN79" s="588" t="n"/>
      <c r="BO79" s="588" t="n"/>
      <c r="BP79" s="588" t="n"/>
      <c r="BQ79" s="588" t="n"/>
      <c r="BR79" s="588" t="n"/>
      <c r="BS79" s="588" t="n"/>
      <c r="BT79" s="588" t="n"/>
      <c r="BU79" s="588" t="n"/>
      <c r="BV79" s="588" t="n"/>
      <c r="BW79" s="588" t="n"/>
      <c r="BX79" s="588" t="n"/>
      <c r="BY79" s="588" t="n"/>
      <c r="BZ79" s="588" t="n"/>
      <c r="CA79" s="588" t="n"/>
      <c r="CB79" s="588" t="n"/>
      <c r="CC79" s="588" t="n"/>
      <c r="CD79" s="588" t="n"/>
      <c r="CE79" s="588" t="n"/>
      <c r="CF79" s="588" t="n"/>
      <c r="CG79" s="588" t="n"/>
      <c r="CH79" s="588" t="n"/>
      <c r="CI79" s="588" t="n"/>
      <c r="CJ79" s="588" t="n"/>
      <c r="CK79" s="588" t="n"/>
      <c r="CL79" s="588" t="n"/>
      <c r="CM79" s="588" t="n"/>
      <c r="CN79" s="588" t="n"/>
      <c r="CO79" s="588" t="n"/>
      <c r="CP79" s="588" t="n"/>
      <c r="CQ79" s="588" t="n"/>
      <c r="CR79" s="588" t="n"/>
      <c r="CS79" s="588" t="n"/>
      <c r="CT79" s="588" t="n"/>
      <c r="CU79" s="588" t="n"/>
      <c r="CV79" s="588" t="n"/>
      <c r="CW79" s="588" t="n"/>
      <c r="CX79" s="588" t="n"/>
      <c r="CY79" s="588" t="n"/>
      <c r="CZ79" s="588" t="n"/>
      <c r="DA79" s="588" t="n"/>
      <c r="DB79" s="588" t="n"/>
      <c r="DC79" s="588" t="n"/>
      <c r="DD79" s="588" t="n"/>
      <c r="DE79" s="588" t="n"/>
      <c r="DF79" s="588" t="n"/>
      <c r="DG79" s="588" t="n"/>
      <c r="DH79" s="588" t="n"/>
      <c r="DI79" s="588" t="n"/>
      <c r="DJ79" s="588" t="n"/>
      <c r="DK79" s="588" t="n"/>
      <c r="DL79" s="588" t="n"/>
      <c r="DM79" s="588" t="n"/>
      <c r="DN79" s="588" t="n"/>
      <c r="DO79" s="588" t="n"/>
      <c r="DP79" s="588" t="n"/>
      <c r="DQ79" s="588" t="n"/>
      <c r="DR79" s="588" t="n"/>
      <c r="DS79" s="588" t="n"/>
      <c r="DT79" s="588" t="n"/>
      <c r="DU79" s="588" t="n"/>
    </row>
    <row r="80" outlineLevel="1" ht="12.75" customHeight="1" s="450">
      <c r="A80" s="590" t="n"/>
      <c r="B80" s="618" t="inlineStr">
        <is>
          <t>P3</t>
        </is>
      </c>
      <c r="C80" s="619" t="n"/>
      <c r="D80" s="619" t="n"/>
      <c r="E80" s="621">
        <f>+C80*D80</f>
        <v/>
      </c>
      <c r="F80" s="622">
        <f>+C80*D80</f>
        <v/>
      </c>
      <c r="G80" s="662" t="n"/>
      <c r="H80" s="655" t="n"/>
      <c r="I80" s="618" t="inlineStr">
        <is>
          <t>A3</t>
        </is>
      </c>
      <c r="J80" s="619" t="n"/>
      <c r="K80" s="619" t="n"/>
      <c r="L80" s="621">
        <f>+J80*K80</f>
        <v/>
      </c>
      <c r="M80" s="621">
        <f>+J80*K80/0.6</f>
        <v/>
      </c>
      <c r="N80" s="645" t="n"/>
      <c r="O80" s="619">
        <f>+D80</f>
        <v/>
      </c>
      <c r="P80" s="619" t="n"/>
      <c r="Q80" s="621">
        <f>+O80*P80</f>
        <v/>
      </c>
      <c r="R80" s="655" t="n"/>
      <c r="S80" s="621">
        <f>+F80</f>
        <v/>
      </c>
      <c r="T80" s="655" t="n"/>
      <c r="U80" s="663" t="n"/>
      <c r="V80" s="663" t="n"/>
      <c r="W80" s="621">
        <f>+U80*V80</f>
        <v/>
      </c>
      <c r="X80" s="664" t="n"/>
      <c r="Z80" s="588" t="n"/>
      <c r="AA80" s="588" t="n"/>
      <c r="AB80" s="588" t="n"/>
      <c r="AC80" s="588" t="n"/>
      <c r="AD80" s="588" t="n"/>
      <c r="AE80" s="588" t="n"/>
      <c r="AF80" s="588" t="n"/>
      <c r="AG80" s="588" t="n"/>
      <c r="AH80" s="588" t="n"/>
      <c r="AI80" s="588" t="n"/>
      <c r="AJ80" s="588" t="n"/>
      <c r="AK80" s="588" t="n"/>
      <c r="AL80" s="588" t="n"/>
      <c r="AM80" s="588" t="n"/>
      <c r="AN80" s="588" t="n"/>
      <c r="AO80" s="588" t="n"/>
      <c r="AP80" s="588" t="n"/>
      <c r="AQ80" s="588" t="n"/>
      <c r="AR80" s="588" t="n"/>
      <c r="AS80" s="588" t="n"/>
      <c r="AT80" s="588" t="n"/>
      <c r="AU80" s="588" t="n"/>
      <c r="AV80" s="588" t="n"/>
      <c r="AW80" s="588" t="n"/>
      <c r="AX80" s="588" t="n"/>
      <c r="AY80" s="588" t="n"/>
      <c r="AZ80" s="588" t="n"/>
      <c r="BA80" s="588" t="n"/>
      <c r="BB80" s="588" t="n"/>
      <c r="BC80" s="588" t="n"/>
      <c r="BD80" s="588" t="n"/>
      <c r="BE80" s="588" t="n"/>
      <c r="BF80" s="588" t="n"/>
      <c r="BG80" s="588" t="n"/>
      <c r="BH80" s="588" t="n"/>
      <c r="BI80" s="588" t="n"/>
      <c r="BJ80" s="588" t="n"/>
      <c r="BK80" s="588" t="n"/>
      <c r="BL80" s="588" t="n"/>
      <c r="BM80" s="588" t="n"/>
      <c r="BN80" s="588" t="n"/>
      <c r="BO80" s="588" t="n"/>
      <c r="BP80" s="588" t="n"/>
      <c r="BQ80" s="588" t="n"/>
      <c r="BR80" s="588" t="n"/>
      <c r="BS80" s="588" t="n"/>
      <c r="BT80" s="588" t="n"/>
      <c r="BU80" s="588" t="n"/>
      <c r="BV80" s="588" t="n"/>
      <c r="BW80" s="588" t="n"/>
      <c r="BX80" s="588" t="n"/>
      <c r="BY80" s="588" t="n"/>
      <c r="BZ80" s="588" t="n"/>
      <c r="CA80" s="588" t="n"/>
      <c r="CB80" s="588" t="n"/>
      <c r="CC80" s="588" t="n"/>
      <c r="CD80" s="588" t="n"/>
      <c r="CE80" s="588" t="n"/>
      <c r="CF80" s="588" t="n"/>
      <c r="CG80" s="588" t="n"/>
      <c r="CH80" s="588" t="n"/>
      <c r="CI80" s="588" t="n"/>
      <c r="CJ80" s="588" t="n"/>
      <c r="CK80" s="588" t="n"/>
      <c r="CL80" s="588" t="n"/>
      <c r="CM80" s="588" t="n"/>
      <c r="CN80" s="588" t="n"/>
      <c r="CO80" s="588" t="n"/>
      <c r="CP80" s="588" t="n"/>
      <c r="CQ80" s="588" t="n"/>
      <c r="CR80" s="588" t="n"/>
      <c r="CS80" s="588" t="n"/>
      <c r="CT80" s="588" t="n"/>
      <c r="CU80" s="588" t="n"/>
      <c r="CV80" s="588" t="n"/>
      <c r="CW80" s="588" t="n"/>
      <c r="CX80" s="588" t="n"/>
      <c r="CY80" s="588" t="n"/>
      <c r="CZ80" s="588" t="n"/>
      <c r="DA80" s="588" t="n"/>
      <c r="DB80" s="588" t="n"/>
      <c r="DC80" s="588" t="n"/>
      <c r="DD80" s="588" t="n"/>
      <c r="DE80" s="588" t="n"/>
      <c r="DF80" s="588" t="n"/>
      <c r="DG80" s="588" t="n"/>
      <c r="DH80" s="588" t="n"/>
      <c r="DI80" s="588" t="n"/>
      <c r="DJ80" s="588" t="n"/>
      <c r="DK80" s="588" t="n"/>
      <c r="DL80" s="588" t="n"/>
      <c r="DM80" s="588" t="n"/>
      <c r="DN80" s="588" t="n"/>
      <c r="DO80" s="588" t="n"/>
      <c r="DP80" s="588" t="n"/>
      <c r="DQ80" s="588" t="n"/>
      <c r="DR80" s="588" t="n"/>
      <c r="DS80" s="588" t="n"/>
      <c r="DT80" s="588" t="n"/>
      <c r="DU80" s="588" t="n"/>
    </row>
    <row r="81" outlineLevel="1" ht="12.75" customHeight="1" s="450">
      <c r="A81" s="590" t="n"/>
      <c r="B81" s="618" t="inlineStr">
        <is>
          <t>P4</t>
        </is>
      </c>
      <c r="C81" s="619" t="n"/>
      <c r="D81" s="619" t="n"/>
      <c r="E81" s="621">
        <f>+C81*D81</f>
        <v/>
      </c>
      <c r="F81" s="622">
        <f>+C81*D81</f>
        <v/>
      </c>
      <c r="G81" s="662" t="n"/>
      <c r="H81" s="655" t="n"/>
      <c r="I81" s="618" t="inlineStr">
        <is>
          <t>A4</t>
        </is>
      </c>
      <c r="J81" s="619" t="n"/>
      <c r="K81" s="619" t="n"/>
      <c r="L81" s="621">
        <f>+J81*K81</f>
        <v/>
      </c>
      <c r="M81" s="621">
        <f>+J81*K81/0.6</f>
        <v/>
      </c>
      <c r="N81" s="645" t="n"/>
      <c r="O81" s="619">
        <f>+D81</f>
        <v/>
      </c>
      <c r="P81" s="619" t="n"/>
      <c r="Q81" s="621">
        <f>+O81*P81</f>
        <v/>
      </c>
      <c r="R81" s="655" t="n"/>
      <c r="S81" s="621">
        <f>+F81</f>
        <v/>
      </c>
      <c r="T81" s="655" t="n"/>
      <c r="U81" s="663" t="n"/>
      <c r="V81" s="663" t="n"/>
      <c r="W81" s="621">
        <f>+U81*V81</f>
        <v/>
      </c>
      <c r="X81" s="664" t="n"/>
      <c r="Z81" s="588" t="n"/>
      <c r="AA81" s="588" t="n"/>
      <c r="AB81" s="588" t="n"/>
      <c r="AC81" s="588" t="n"/>
      <c r="AD81" s="588" t="n"/>
      <c r="AE81" s="588" t="n"/>
      <c r="AF81" s="588" t="n"/>
      <c r="AG81" s="588" t="n"/>
      <c r="AH81" s="588" t="n"/>
      <c r="AI81" s="588" t="n"/>
      <c r="AJ81" s="588" t="n"/>
      <c r="AK81" s="588" t="n"/>
      <c r="AL81" s="588" t="n"/>
      <c r="AM81" s="588" t="n"/>
      <c r="AN81" s="588" t="n"/>
      <c r="AO81" s="588" t="n"/>
      <c r="AP81" s="588" t="n"/>
      <c r="AQ81" s="588" t="n"/>
      <c r="AR81" s="588" t="n"/>
      <c r="AS81" s="588" t="n"/>
      <c r="AT81" s="588" t="n"/>
      <c r="AU81" s="588" t="n"/>
      <c r="AV81" s="588" t="n"/>
      <c r="AW81" s="588" t="n"/>
      <c r="AX81" s="588" t="n"/>
      <c r="AY81" s="588" t="n"/>
      <c r="AZ81" s="588" t="n"/>
      <c r="BA81" s="588" t="n"/>
      <c r="BB81" s="588" t="n"/>
      <c r="BC81" s="588" t="n"/>
      <c r="BD81" s="588" t="n"/>
      <c r="BE81" s="588" t="n"/>
      <c r="BF81" s="588" t="n"/>
      <c r="BG81" s="588" t="n"/>
      <c r="BH81" s="588" t="n"/>
      <c r="BI81" s="588" t="n"/>
      <c r="BJ81" s="588" t="n"/>
      <c r="BK81" s="588" t="n"/>
      <c r="BL81" s="588" t="n"/>
      <c r="BM81" s="588" t="n"/>
      <c r="BN81" s="588" t="n"/>
      <c r="BO81" s="588" t="n"/>
      <c r="BP81" s="588" t="n"/>
      <c r="BQ81" s="588" t="n"/>
      <c r="BR81" s="588" t="n"/>
      <c r="BS81" s="588" t="n"/>
      <c r="BT81" s="588" t="n"/>
      <c r="BU81" s="588" t="n"/>
      <c r="BV81" s="588" t="n"/>
      <c r="BW81" s="588" t="n"/>
      <c r="BX81" s="588" t="n"/>
      <c r="BY81" s="588" t="n"/>
      <c r="BZ81" s="588" t="n"/>
      <c r="CA81" s="588" t="n"/>
      <c r="CB81" s="588" t="n"/>
      <c r="CC81" s="588" t="n"/>
      <c r="CD81" s="588" t="n"/>
      <c r="CE81" s="588" t="n"/>
      <c r="CF81" s="588" t="n"/>
      <c r="CG81" s="588" t="n"/>
      <c r="CH81" s="588" t="n"/>
      <c r="CI81" s="588" t="n"/>
      <c r="CJ81" s="588" t="n"/>
      <c r="CK81" s="588" t="n"/>
      <c r="CL81" s="588" t="n"/>
      <c r="CM81" s="588" t="n"/>
      <c r="CN81" s="588" t="n"/>
      <c r="CO81" s="588" t="n"/>
      <c r="CP81" s="588" t="n"/>
      <c r="CQ81" s="588" t="n"/>
      <c r="CR81" s="588" t="n"/>
      <c r="CS81" s="588" t="n"/>
      <c r="CT81" s="588" t="n"/>
      <c r="CU81" s="588" t="n"/>
      <c r="CV81" s="588" t="n"/>
      <c r="CW81" s="588" t="n"/>
      <c r="CX81" s="588" t="n"/>
      <c r="CY81" s="588" t="n"/>
      <c r="CZ81" s="588" t="n"/>
      <c r="DA81" s="588" t="n"/>
      <c r="DB81" s="588" t="n"/>
      <c r="DC81" s="588" t="n"/>
      <c r="DD81" s="588" t="n"/>
      <c r="DE81" s="588" t="n"/>
      <c r="DF81" s="588" t="n"/>
      <c r="DG81" s="588" t="n"/>
      <c r="DH81" s="588" t="n"/>
      <c r="DI81" s="588" t="n"/>
      <c r="DJ81" s="588" t="n"/>
      <c r="DK81" s="588" t="n"/>
      <c r="DL81" s="588" t="n"/>
      <c r="DM81" s="588" t="n"/>
      <c r="DN81" s="588" t="n"/>
      <c r="DO81" s="588" t="n"/>
      <c r="DP81" s="588" t="n"/>
      <c r="DQ81" s="588" t="n"/>
      <c r="DR81" s="588" t="n"/>
      <c r="DS81" s="588" t="n"/>
      <c r="DT81" s="588" t="n"/>
      <c r="DU81" s="588" t="n"/>
    </row>
    <row r="82" outlineLevel="1" ht="12.75" customHeight="1" s="450">
      <c r="A82" s="590" t="n"/>
      <c r="B82" s="618" t="inlineStr">
        <is>
          <t>P5</t>
        </is>
      </c>
      <c r="C82" s="619" t="n"/>
      <c r="D82" s="619" t="n"/>
      <c r="E82" s="621">
        <f>+C82*D82</f>
        <v/>
      </c>
      <c r="F82" s="622">
        <f>+C82*D82</f>
        <v/>
      </c>
      <c r="G82" s="662" t="n"/>
      <c r="H82" s="655" t="n"/>
      <c r="I82" s="618" t="inlineStr">
        <is>
          <t>A5</t>
        </is>
      </c>
      <c r="J82" s="619" t="n"/>
      <c r="K82" s="619" t="n"/>
      <c r="L82" s="621">
        <f>+J82*K82</f>
        <v/>
      </c>
      <c r="M82" s="621">
        <f>+J82*K82/0.6</f>
        <v/>
      </c>
      <c r="N82" s="645" t="n"/>
      <c r="O82" s="619">
        <f>+D82</f>
        <v/>
      </c>
      <c r="P82" s="619" t="n"/>
      <c r="Q82" s="621">
        <f>+O82*P82</f>
        <v/>
      </c>
      <c r="R82" s="655" t="n"/>
      <c r="S82" s="621">
        <f>+F82</f>
        <v/>
      </c>
      <c r="T82" s="655" t="n"/>
      <c r="U82" s="663" t="n"/>
      <c r="V82" s="663" t="n"/>
      <c r="W82" s="621">
        <f>+U82*V82</f>
        <v/>
      </c>
      <c r="X82" s="664" t="n"/>
      <c r="Z82" s="588" t="n"/>
      <c r="AA82" s="588" t="n"/>
      <c r="AB82" s="588" t="n"/>
      <c r="AC82" s="588" t="n"/>
      <c r="AD82" s="588" t="n"/>
      <c r="AE82" s="588" t="n"/>
      <c r="AF82" s="588" t="n"/>
      <c r="AG82" s="588" t="n"/>
      <c r="AH82" s="588" t="n"/>
      <c r="AI82" s="588" t="n"/>
      <c r="AJ82" s="588" t="n"/>
      <c r="AK82" s="588" t="n"/>
      <c r="AL82" s="588" t="n"/>
      <c r="AM82" s="588" t="n"/>
      <c r="AN82" s="588" t="n"/>
      <c r="AO82" s="588" t="n"/>
      <c r="AP82" s="588" t="n"/>
      <c r="AQ82" s="588" t="n"/>
      <c r="AR82" s="588" t="n"/>
      <c r="AS82" s="588" t="n"/>
      <c r="AT82" s="588" t="n"/>
      <c r="AU82" s="588" t="n"/>
      <c r="AV82" s="588" t="n"/>
      <c r="AW82" s="588" t="n"/>
      <c r="AX82" s="588" t="n"/>
      <c r="AY82" s="588" t="n"/>
      <c r="AZ82" s="588" t="n"/>
      <c r="BA82" s="588" t="n"/>
      <c r="BB82" s="588" t="n"/>
      <c r="BC82" s="588" t="n"/>
      <c r="BD82" s="588" t="n"/>
      <c r="BE82" s="588" t="n"/>
      <c r="BF82" s="588" t="n"/>
      <c r="BG82" s="588" t="n"/>
      <c r="BH82" s="588" t="n"/>
      <c r="BI82" s="588" t="n"/>
      <c r="BJ82" s="588" t="n"/>
      <c r="BK82" s="588" t="n"/>
      <c r="BL82" s="588" t="n"/>
      <c r="BM82" s="588" t="n"/>
      <c r="BN82" s="588" t="n"/>
      <c r="BO82" s="588" t="n"/>
      <c r="BP82" s="588" t="n"/>
      <c r="BQ82" s="588" t="n"/>
      <c r="BR82" s="588" t="n"/>
      <c r="BS82" s="588" t="n"/>
      <c r="BT82" s="588" t="n"/>
      <c r="BU82" s="588" t="n"/>
      <c r="BV82" s="588" t="n"/>
      <c r="BW82" s="588" t="n"/>
      <c r="BX82" s="588" t="n"/>
      <c r="BY82" s="588" t="n"/>
      <c r="BZ82" s="588" t="n"/>
      <c r="CA82" s="588" t="n"/>
      <c r="CB82" s="588" t="n"/>
      <c r="CC82" s="588" t="n"/>
      <c r="CD82" s="588" t="n"/>
      <c r="CE82" s="588" t="n"/>
      <c r="CF82" s="588" t="n"/>
      <c r="CG82" s="588" t="n"/>
      <c r="CH82" s="588" t="n"/>
      <c r="CI82" s="588" t="n"/>
      <c r="CJ82" s="588" t="n"/>
      <c r="CK82" s="588" t="n"/>
      <c r="CL82" s="588" t="n"/>
      <c r="CM82" s="588" t="n"/>
      <c r="CN82" s="588" t="n"/>
      <c r="CO82" s="588" t="n"/>
      <c r="CP82" s="588" t="n"/>
      <c r="CQ82" s="588" t="n"/>
      <c r="CR82" s="588" t="n"/>
      <c r="CS82" s="588" t="n"/>
      <c r="CT82" s="588" t="n"/>
      <c r="CU82" s="588" t="n"/>
      <c r="CV82" s="588" t="n"/>
      <c r="CW82" s="588" t="n"/>
      <c r="CX82" s="588" t="n"/>
      <c r="CY82" s="588" t="n"/>
      <c r="CZ82" s="588" t="n"/>
      <c r="DA82" s="588" t="n"/>
      <c r="DB82" s="588" t="n"/>
      <c r="DC82" s="588" t="n"/>
      <c r="DD82" s="588" t="n"/>
      <c r="DE82" s="588" t="n"/>
      <c r="DF82" s="588" t="n"/>
      <c r="DG82" s="588" t="n"/>
      <c r="DH82" s="588" t="n"/>
      <c r="DI82" s="588" t="n"/>
      <c r="DJ82" s="588" t="n"/>
      <c r="DK82" s="588" t="n"/>
      <c r="DL82" s="588" t="n"/>
      <c r="DM82" s="588" t="n"/>
      <c r="DN82" s="588" t="n"/>
      <c r="DO82" s="588" t="n"/>
      <c r="DP82" s="588" t="n"/>
      <c r="DQ82" s="588" t="n"/>
      <c r="DR82" s="588" t="n"/>
      <c r="DS82" s="588" t="n"/>
      <c r="DT82" s="588" t="n"/>
      <c r="DU82" s="588" t="n"/>
    </row>
    <row r="83" outlineLevel="1" ht="12.75" customHeight="1" s="450">
      <c r="A83" s="590" t="n"/>
      <c r="B83" s="618" t="inlineStr">
        <is>
          <t>P6</t>
        </is>
      </c>
      <c r="C83" s="619" t="n"/>
      <c r="D83" s="619" t="n"/>
      <c r="E83" s="621">
        <f>+C83*D83</f>
        <v/>
      </c>
      <c r="F83" s="622">
        <f>+C83*D83</f>
        <v/>
      </c>
      <c r="G83" s="662" t="n"/>
      <c r="H83" s="655" t="n"/>
      <c r="I83" s="618" t="inlineStr">
        <is>
          <t>A6</t>
        </is>
      </c>
      <c r="J83" s="619" t="n"/>
      <c r="K83" s="619" t="n"/>
      <c r="L83" s="621">
        <f>+J83*K83</f>
        <v/>
      </c>
      <c r="M83" s="621">
        <f>+J83*K83/0.6</f>
        <v/>
      </c>
      <c r="N83" s="645" t="n"/>
      <c r="O83" s="619">
        <f>+D83</f>
        <v/>
      </c>
      <c r="P83" s="619" t="n"/>
      <c r="Q83" s="621">
        <f>+O83*P83</f>
        <v/>
      </c>
      <c r="R83" s="655" t="n"/>
      <c r="S83" s="621">
        <f>+F83</f>
        <v/>
      </c>
      <c r="T83" s="655" t="n"/>
      <c r="U83" s="663" t="n"/>
      <c r="V83" s="663" t="n"/>
      <c r="W83" s="621">
        <f>+U83*V83</f>
        <v/>
      </c>
      <c r="X83" s="664" t="n"/>
      <c r="Z83" s="588" t="n"/>
      <c r="AA83" s="588" t="n"/>
      <c r="AB83" s="588" t="n"/>
      <c r="AC83" s="588" t="n"/>
      <c r="AD83" s="588" t="n"/>
      <c r="AE83" s="588" t="n"/>
      <c r="AF83" s="588" t="n"/>
      <c r="AG83" s="588" t="n"/>
      <c r="AH83" s="588" t="n"/>
      <c r="AI83" s="588" t="n"/>
      <c r="AJ83" s="588" t="n"/>
      <c r="AK83" s="588" t="n"/>
      <c r="AL83" s="588" t="n"/>
      <c r="AM83" s="588" t="n"/>
      <c r="AN83" s="588" t="n"/>
      <c r="AO83" s="588" t="n"/>
      <c r="AP83" s="588" t="n"/>
      <c r="AQ83" s="588" t="n"/>
      <c r="AR83" s="588" t="n"/>
      <c r="AS83" s="588" t="n"/>
      <c r="AT83" s="588" t="n"/>
      <c r="AU83" s="588" t="n"/>
      <c r="AV83" s="588" t="n"/>
      <c r="AW83" s="588" t="n"/>
      <c r="AX83" s="588" t="n"/>
      <c r="AY83" s="588" t="n"/>
      <c r="AZ83" s="588" t="n"/>
      <c r="BA83" s="588" t="n"/>
      <c r="BB83" s="588" t="n"/>
      <c r="BC83" s="588" t="n"/>
      <c r="BD83" s="588" t="n"/>
      <c r="BE83" s="588" t="n"/>
      <c r="BF83" s="588" t="n"/>
      <c r="BG83" s="588" t="n"/>
      <c r="BH83" s="588" t="n"/>
      <c r="BI83" s="588" t="n"/>
      <c r="BJ83" s="588" t="n"/>
      <c r="BK83" s="588" t="n"/>
      <c r="BL83" s="588" t="n"/>
      <c r="BM83" s="588" t="n"/>
      <c r="BN83" s="588" t="n"/>
      <c r="BO83" s="588" t="n"/>
      <c r="BP83" s="588" t="n"/>
      <c r="BQ83" s="588" t="n"/>
      <c r="BR83" s="588" t="n"/>
      <c r="BS83" s="588" t="n"/>
      <c r="BT83" s="588" t="n"/>
      <c r="BU83" s="588" t="n"/>
      <c r="BV83" s="588" t="n"/>
      <c r="BW83" s="588" t="n"/>
      <c r="BX83" s="588" t="n"/>
      <c r="BY83" s="588" t="n"/>
      <c r="BZ83" s="588" t="n"/>
      <c r="CA83" s="588" t="n"/>
      <c r="CB83" s="588" t="n"/>
      <c r="CC83" s="588" t="n"/>
      <c r="CD83" s="588" t="n"/>
      <c r="CE83" s="588" t="n"/>
      <c r="CF83" s="588" t="n"/>
      <c r="CG83" s="588" t="n"/>
      <c r="CH83" s="588" t="n"/>
      <c r="CI83" s="588" t="n"/>
      <c r="CJ83" s="588" t="n"/>
      <c r="CK83" s="588" t="n"/>
      <c r="CL83" s="588" t="n"/>
      <c r="CM83" s="588" t="n"/>
      <c r="CN83" s="588" t="n"/>
      <c r="CO83" s="588" t="n"/>
      <c r="CP83" s="588" t="n"/>
      <c r="CQ83" s="588" t="n"/>
      <c r="CR83" s="588" t="n"/>
      <c r="CS83" s="588" t="n"/>
      <c r="CT83" s="588" t="n"/>
      <c r="CU83" s="588" t="n"/>
      <c r="CV83" s="588" t="n"/>
      <c r="CW83" s="588" t="n"/>
      <c r="CX83" s="588" t="n"/>
      <c r="CY83" s="588" t="n"/>
      <c r="CZ83" s="588" t="n"/>
      <c r="DA83" s="588" t="n"/>
      <c r="DB83" s="588" t="n"/>
      <c r="DC83" s="588" t="n"/>
      <c r="DD83" s="588" t="n"/>
      <c r="DE83" s="588" t="n"/>
      <c r="DF83" s="588" t="n"/>
      <c r="DG83" s="588" t="n"/>
      <c r="DH83" s="588" t="n"/>
      <c r="DI83" s="588" t="n"/>
      <c r="DJ83" s="588" t="n"/>
      <c r="DK83" s="588" t="n"/>
      <c r="DL83" s="588" t="n"/>
      <c r="DM83" s="588" t="n"/>
      <c r="DN83" s="588" t="n"/>
      <c r="DO83" s="588" t="n"/>
      <c r="DP83" s="588" t="n"/>
      <c r="DQ83" s="588" t="n"/>
      <c r="DR83" s="588" t="n"/>
      <c r="DS83" s="588" t="n"/>
      <c r="DT83" s="588" t="n"/>
      <c r="DU83" s="588" t="n"/>
    </row>
    <row r="84" outlineLevel="1" ht="12.75" customHeight="1" s="450">
      <c r="A84" s="590" t="n"/>
      <c r="B84" s="618" t="inlineStr">
        <is>
          <t>P7</t>
        </is>
      </c>
      <c r="C84" s="619" t="n"/>
      <c r="D84" s="619" t="n"/>
      <c r="E84" s="621">
        <f>+C84*D84</f>
        <v/>
      </c>
      <c r="F84" s="622">
        <f>+C84*D84</f>
        <v/>
      </c>
      <c r="G84" s="662" t="n"/>
      <c r="H84" s="655" t="n"/>
      <c r="I84" s="618" t="inlineStr">
        <is>
          <t>A7</t>
        </is>
      </c>
      <c r="J84" s="619" t="n"/>
      <c r="K84" s="619" t="n"/>
      <c r="L84" s="621">
        <f>+J84*K84</f>
        <v/>
      </c>
      <c r="M84" s="621">
        <f>+J84*K84/0.6</f>
        <v/>
      </c>
      <c r="N84" s="645" t="n"/>
      <c r="O84" s="619">
        <f>+D84</f>
        <v/>
      </c>
      <c r="P84" s="619" t="n"/>
      <c r="Q84" s="621">
        <f>+O84*P84</f>
        <v/>
      </c>
      <c r="R84" s="655" t="n"/>
      <c r="S84" s="621">
        <f>+F84</f>
        <v/>
      </c>
      <c r="T84" s="655" t="n"/>
      <c r="U84" s="663" t="n"/>
      <c r="V84" s="663" t="n"/>
      <c r="W84" s="621">
        <f>+U84*V84</f>
        <v/>
      </c>
      <c r="X84" s="664" t="n"/>
      <c r="Z84" s="588" t="n"/>
      <c r="AA84" s="588" t="n"/>
      <c r="AB84" s="588" t="n"/>
      <c r="AC84" s="588" t="n"/>
      <c r="AD84" s="588" t="n"/>
      <c r="AE84" s="588" t="n"/>
      <c r="AF84" s="588" t="n"/>
      <c r="AG84" s="588" t="n"/>
      <c r="AH84" s="588" t="n"/>
      <c r="AI84" s="588" t="n"/>
      <c r="AJ84" s="588" t="n"/>
      <c r="AK84" s="588" t="n"/>
      <c r="AL84" s="588" t="n"/>
      <c r="AM84" s="588" t="n"/>
      <c r="AN84" s="588" t="n"/>
      <c r="AO84" s="588" t="n"/>
      <c r="AP84" s="588" t="n"/>
      <c r="AQ84" s="588" t="n"/>
      <c r="AR84" s="588" t="n"/>
      <c r="AS84" s="588" t="n"/>
      <c r="AT84" s="588" t="n"/>
      <c r="AU84" s="588" t="n"/>
      <c r="AV84" s="588" t="n"/>
      <c r="AW84" s="588" t="n"/>
      <c r="AX84" s="588" t="n"/>
      <c r="AY84" s="588" t="n"/>
      <c r="AZ84" s="588" t="n"/>
      <c r="BA84" s="588" t="n"/>
      <c r="BB84" s="588" t="n"/>
      <c r="BC84" s="588" t="n"/>
      <c r="BD84" s="588" t="n"/>
      <c r="BE84" s="588" t="n"/>
      <c r="BF84" s="588" t="n"/>
      <c r="BG84" s="588" t="n"/>
      <c r="BH84" s="588" t="n"/>
      <c r="BI84" s="588" t="n"/>
      <c r="BJ84" s="588" t="n"/>
      <c r="BK84" s="588" t="n"/>
      <c r="BL84" s="588" t="n"/>
      <c r="BM84" s="588" t="n"/>
      <c r="BN84" s="588" t="n"/>
      <c r="BO84" s="588" t="n"/>
      <c r="BP84" s="588" t="n"/>
      <c r="BQ84" s="588" t="n"/>
      <c r="BR84" s="588" t="n"/>
      <c r="BS84" s="588" t="n"/>
      <c r="BT84" s="588" t="n"/>
      <c r="BU84" s="588" t="n"/>
      <c r="BV84" s="588" t="n"/>
      <c r="BW84" s="588" t="n"/>
      <c r="BX84" s="588" t="n"/>
      <c r="BY84" s="588" t="n"/>
      <c r="BZ84" s="588" t="n"/>
      <c r="CA84" s="588" t="n"/>
      <c r="CB84" s="588" t="n"/>
      <c r="CC84" s="588" t="n"/>
      <c r="CD84" s="588" t="n"/>
      <c r="CE84" s="588" t="n"/>
      <c r="CF84" s="588" t="n"/>
      <c r="CG84" s="588" t="n"/>
      <c r="CH84" s="588" t="n"/>
      <c r="CI84" s="588" t="n"/>
      <c r="CJ84" s="588" t="n"/>
      <c r="CK84" s="588" t="n"/>
      <c r="CL84" s="588" t="n"/>
      <c r="CM84" s="588" t="n"/>
      <c r="CN84" s="588" t="n"/>
      <c r="CO84" s="588" t="n"/>
      <c r="CP84" s="588" t="n"/>
      <c r="CQ84" s="588" t="n"/>
      <c r="CR84" s="588" t="n"/>
      <c r="CS84" s="588" t="n"/>
      <c r="CT84" s="588" t="n"/>
      <c r="CU84" s="588" t="n"/>
      <c r="CV84" s="588" t="n"/>
      <c r="CW84" s="588" t="n"/>
      <c r="CX84" s="588" t="n"/>
      <c r="CY84" s="588" t="n"/>
      <c r="CZ84" s="588" t="n"/>
      <c r="DA84" s="588" t="n"/>
      <c r="DB84" s="588" t="n"/>
      <c r="DC84" s="588" t="n"/>
      <c r="DD84" s="588" t="n"/>
      <c r="DE84" s="588" t="n"/>
      <c r="DF84" s="588" t="n"/>
      <c r="DG84" s="588" t="n"/>
      <c r="DH84" s="588" t="n"/>
      <c r="DI84" s="588" t="n"/>
      <c r="DJ84" s="588" t="n"/>
      <c r="DK84" s="588" t="n"/>
      <c r="DL84" s="588" t="n"/>
      <c r="DM84" s="588" t="n"/>
      <c r="DN84" s="588" t="n"/>
      <c r="DO84" s="588" t="n"/>
      <c r="DP84" s="588" t="n"/>
      <c r="DQ84" s="588" t="n"/>
      <c r="DR84" s="588" t="n"/>
      <c r="DS84" s="588" t="n"/>
      <c r="DT84" s="588" t="n"/>
      <c r="DU84" s="588" t="n"/>
    </row>
    <row r="85" outlineLevel="1" ht="12.75" customHeight="1" s="450">
      <c r="A85" s="590" t="n"/>
      <c r="B85" s="618" t="inlineStr">
        <is>
          <t>P8</t>
        </is>
      </c>
      <c r="C85" s="619" t="n"/>
      <c r="D85" s="619" t="n"/>
      <c r="E85" s="621">
        <f>+C85*D85</f>
        <v/>
      </c>
      <c r="F85" s="622">
        <f>+C85*D85</f>
        <v/>
      </c>
      <c r="G85" s="662" t="n"/>
      <c r="H85" s="655" t="n"/>
      <c r="I85" s="618" t="inlineStr">
        <is>
          <t>A8</t>
        </is>
      </c>
      <c r="J85" s="619" t="n"/>
      <c r="K85" s="619" t="n"/>
      <c r="L85" s="621">
        <f>+J85*K85</f>
        <v/>
      </c>
      <c r="M85" s="621">
        <f>+J85*K85/0.6</f>
        <v/>
      </c>
      <c r="N85" s="645" t="n"/>
      <c r="O85" s="619">
        <f>+D85</f>
        <v/>
      </c>
      <c r="P85" s="619" t="n"/>
      <c r="Q85" s="621">
        <f>+O85*P85</f>
        <v/>
      </c>
      <c r="R85" s="655" t="n"/>
      <c r="S85" s="621">
        <f>+F85</f>
        <v/>
      </c>
      <c r="T85" s="655" t="n"/>
      <c r="U85" s="663" t="n"/>
      <c r="V85" s="663" t="n"/>
      <c r="W85" s="621">
        <f>+U85*V85</f>
        <v/>
      </c>
      <c r="X85" s="664" t="n"/>
      <c r="Z85" s="588" t="n"/>
      <c r="AA85" s="588" t="n"/>
      <c r="AB85" s="588" t="n"/>
      <c r="AC85" s="588" t="n"/>
      <c r="AD85" s="588" t="n"/>
      <c r="AE85" s="588" t="n"/>
      <c r="AF85" s="588" t="n"/>
      <c r="AG85" s="588" t="n"/>
      <c r="AH85" s="588" t="n"/>
      <c r="AI85" s="588" t="n"/>
      <c r="AJ85" s="588" t="n"/>
      <c r="AK85" s="588" t="n"/>
      <c r="AL85" s="588" t="n"/>
      <c r="AM85" s="588" t="n"/>
      <c r="AN85" s="588" t="n"/>
      <c r="AO85" s="588" t="n"/>
      <c r="AP85" s="588" t="n"/>
      <c r="AQ85" s="588" t="n"/>
      <c r="AR85" s="588" t="n"/>
      <c r="AS85" s="588" t="n"/>
      <c r="AT85" s="588" t="n"/>
      <c r="AU85" s="588" t="n"/>
      <c r="AV85" s="588" t="n"/>
      <c r="AW85" s="588" t="n"/>
      <c r="AX85" s="588" t="n"/>
      <c r="AY85" s="588" t="n"/>
      <c r="AZ85" s="588" t="n"/>
      <c r="BA85" s="588" t="n"/>
      <c r="BB85" s="588" t="n"/>
      <c r="BC85" s="588" t="n"/>
      <c r="BD85" s="588" t="n"/>
      <c r="BE85" s="588" t="n"/>
      <c r="BF85" s="588" t="n"/>
      <c r="BG85" s="588" t="n"/>
      <c r="BH85" s="588" t="n"/>
      <c r="BI85" s="588" t="n"/>
      <c r="BJ85" s="588" t="n"/>
      <c r="BK85" s="588" t="n"/>
      <c r="BL85" s="588" t="n"/>
      <c r="BM85" s="588" t="n"/>
      <c r="BN85" s="588" t="n"/>
      <c r="BO85" s="588" t="n"/>
      <c r="BP85" s="588" t="n"/>
      <c r="BQ85" s="588" t="n"/>
      <c r="BR85" s="588" t="n"/>
      <c r="BS85" s="588" t="n"/>
      <c r="BT85" s="588" t="n"/>
      <c r="BU85" s="588" t="n"/>
      <c r="BV85" s="588" t="n"/>
      <c r="BW85" s="588" t="n"/>
      <c r="BX85" s="588" t="n"/>
      <c r="BY85" s="588" t="n"/>
      <c r="BZ85" s="588" t="n"/>
      <c r="CA85" s="588" t="n"/>
      <c r="CB85" s="588" t="n"/>
      <c r="CC85" s="588" t="n"/>
      <c r="CD85" s="588" t="n"/>
      <c r="CE85" s="588" t="n"/>
      <c r="CF85" s="588" t="n"/>
      <c r="CG85" s="588" t="n"/>
      <c r="CH85" s="588" t="n"/>
      <c r="CI85" s="588" t="n"/>
      <c r="CJ85" s="588" t="n"/>
      <c r="CK85" s="588" t="n"/>
      <c r="CL85" s="588" t="n"/>
      <c r="CM85" s="588" t="n"/>
      <c r="CN85" s="588" t="n"/>
      <c r="CO85" s="588" t="n"/>
      <c r="CP85" s="588" t="n"/>
      <c r="CQ85" s="588" t="n"/>
      <c r="CR85" s="588" t="n"/>
      <c r="CS85" s="588" t="n"/>
      <c r="CT85" s="588" t="n"/>
      <c r="CU85" s="588" t="n"/>
      <c r="CV85" s="588" t="n"/>
      <c r="CW85" s="588" t="n"/>
      <c r="CX85" s="588" t="n"/>
      <c r="CY85" s="588" t="n"/>
      <c r="CZ85" s="588" t="n"/>
      <c r="DA85" s="588" t="n"/>
      <c r="DB85" s="588" t="n"/>
      <c r="DC85" s="588" t="n"/>
      <c r="DD85" s="588" t="n"/>
      <c r="DE85" s="588" t="n"/>
      <c r="DF85" s="588" t="n"/>
      <c r="DG85" s="588" t="n"/>
      <c r="DH85" s="588" t="n"/>
      <c r="DI85" s="588" t="n"/>
      <c r="DJ85" s="588" t="n"/>
      <c r="DK85" s="588" t="n"/>
      <c r="DL85" s="588" t="n"/>
      <c r="DM85" s="588" t="n"/>
      <c r="DN85" s="588" t="n"/>
      <c r="DO85" s="588" t="n"/>
      <c r="DP85" s="588" t="n"/>
      <c r="DQ85" s="588" t="n"/>
      <c r="DR85" s="588" t="n"/>
      <c r="DS85" s="588" t="n"/>
      <c r="DT85" s="588" t="n"/>
      <c r="DU85" s="588" t="n"/>
    </row>
    <row r="86" outlineLevel="1" ht="12.75" customHeight="1" s="450">
      <c r="A86" s="590" t="n"/>
      <c r="B86" s="618" t="n"/>
      <c r="C86" s="619" t="n"/>
      <c r="D86" s="619" t="n"/>
      <c r="E86" s="621">
        <f>+C86*D86</f>
        <v/>
      </c>
      <c r="F86" s="622">
        <f>+C86*D86</f>
        <v/>
      </c>
      <c r="G86" s="662" t="n"/>
      <c r="H86" s="588" t="n"/>
      <c r="I86" s="618" t="n"/>
      <c r="J86" s="619" t="n"/>
      <c r="K86" s="619" t="n"/>
      <c r="L86" s="621">
        <f>+J86*K86</f>
        <v/>
      </c>
      <c r="M86" s="621">
        <f>+J86*K86/0.6</f>
        <v/>
      </c>
      <c r="N86" s="645" t="n"/>
      <c r="O86" s="619">
        <f>+D86</f>
        <v/>
      </c>
      <c r="P86" s="619" t="n"/>
      <c r="Q86" s="621">
        <f>+O86*P86</f>
        <v/>
      </c>
      <c r="R86" s="588" t="n"/>
      <c r="S86" s="621">
        <f>+F86</f>
        <v/>
      </c>
      <c r="T86" s="588" t="n"/>
      <c r="U86" s="663" t="n"/>
      <c r="V86" s="663" t="n"/>
      <c r="W86" s="665">
        <f>+U86*V86</f>
        <v/>
      </c>
      <c r="X86" s="664" t="n"/>
      <c r="Z86" s="588" t="n"/>
      <c r="AA86" s="588" t="n"/>
      <c r="AB86" s="588" t="n"/>
      <c r="AC86" s="588" t="n"/>
      <c r="AD86" s="588" t="n"/>
      <c r="AE86" s="588" t="n"/>
      <c r="AF86" s="588" t="n"/>
      <c r="AG86" s="588" t="n"/>
      <c r="AH86" s="588" t="n"/>
      <c r="AI86" s="588" t="n"/>
      <c r="AJ86" s="588" t="n"/>
      <c r="AK86" s="588" t="n"/>
      <c r="AL86" s="588" t="n"/>
      <c r="AM86" s="588" t="n"/>
      <c r="AN86" s="588" t="n"/>
      <c r="AO86" s="588" t="n"/>
      <c r="AP86" s="588" t="n"/>
      <c r="AQ86" s="588" t="n"/>
      <c r="AR86" s="588" t="n"/>
      <c r="AS86" s="588" t="n"/>
      <c r="AT86" s="588" t="n"/>
      <c r="AU86" s="588" t="n"/>
      <c r="AV86" s="588" t="n"/>
      <c r="AW86" s="588" t="n"/>
      <c r="AX86" s="588" t="n"/>
      <c r="AY86" s="588" t="n"/>
      <c r="AZ86" s="588" t="n"/>
      <c r="BA86" s="588" t="n"/>
      <c r="BB86" s="588" t="n"/>
      <c r="BC86" s="588" t="n"/>
      <c r="BD86" s="588" t="n"/>
      <c r="BE86" s="588" t="n"/>
      <c r="BF86" s="588" t="n"/>
      <c r="BG86" s="588" t="n"/>
      <c r="BH86" s="588" t="n"/>
      <c r="BI86" s="588" t="n"/>
      <c r="BJ86" s="588" t="n"/>
      <c r="BK86" s="588" t="n"/>
      <c r="BL86" s="588" t="n"/>
      <c r="BM86" s="588" t="n"/>
      <c r="BN86" s="588" t="n"/>
      <c r="BO86" s="588" t="n"/>
      <c r="BP86" s="588" t="n"/>
      <c r="BQ86" s="588" t="n"/>
      <c r="BR86" s="588" t="n"/>
      <c r="BS86" s="588" t="n"/>
      <c r="BT86" s="588" t="n"/>
      <c r="BU86" s="588" t="n"/>
      <c r="BV86" s="588" t="n"/>
      <c r="BW86" s="588" t="n"/>
      <c r="BX86" s="588" t="n"/>
      <c r="BY86" s="588" t="n"/>
      <c r="BZ86" s="588" t="n"/>
      <c r="CA86" s="588" t="n"/>
      <c r="CB86" s="588" t="n"/>
      <c r="CC86" s="588" t="n"/>
      <c r="CD86" s="588" t="n"/>
      <c r="CE86" s="588" t="n"/>
      <c r="CF86" s="588" t="n"/>
      <c r="CG86" s="588" t="n"/>
      <c r="CH86" s="588" t="n"/>
      <c r="CI86" s="588" t="n"/>
      <c r="CJ86" s="588" t="n"/>
      <c r="CK86" s="588" t="n"/>
      <c r="CL86" s="588" t="n"/>
      <c r="CM86" s="588" t="n"/>
      <c r="CN86" s="588" t="n"/>
      <c r="CO86" s="588" t="n"/>
      <c r="CP86" s="588" t="n"/>
      <c r="CQ86" s="588" t="n"/>
      <c r="CR86" s="588" t="n"/>
      <c r="CS86" s="588" t="n"/>
      <c r="CT86" s="588" t="n"/>
      <c r="CU86" s="588" t="n"/>
      <c r="CV86" s="588" t="n"/>
      <c r="CW86" s="588" t="n"/>
      <c r="CX86" s="588" t="n"/>
      <c r="CY86" s="588" t="n"/>
      <c r="CZ86" s="588" t="n"/>
      <c r="DA86" s="588" t="n"/>
      <c r="DB86" s="588" t="n"/>
      <c r="DC86" s="588" t="n"/>
      <c r="DD86" s="588" t="n"/>
      <c r="DE86" s="588" t="n"/>
      <c r="DF86" s="588" t="n"/>
      <c r="DG86" s="588" t="n"/>
      <c r="DH86" s="588" t="n"/>
      <c r="DI86" s="588" t="n"/>
      <c r="DJ86" s="588" t="n"/>
      <c r="DK86" s="588" t="n"/>
      <c r="DL86" s="588" t="n"/>
      <c r="DM86" s="588" t="n"/>
      <c r="DN86" s="588" t="n"/>
      <c r="DO86" s="588" t="n"/>
      <c r="DP86" s="588" t="n"/>
      <c r="DQ86" s="588" t="n"/>
      <c r="DR86" s="588" t="n"/>
      <c r="DS86" s="588" t="n"/>
      <c r="DT86" s="588" t="n"/>
      <c r="DU86" s="588" t="n"/>
    </row>
    <row r="87" outlineLevel="1" ht="13.2" customHeight="1" s="450">
      <c r="A87" s="590" t="n"/>
      <c r="B87" s="625" t="n"/>
      <c r="C87" s="626" t="n"/>
      <c r="D87" s="627" t="inlineStr">
        <is>
          <t>Descuentos</t>
        </is>
      </c>
      <c r="E87" s="628">
        <f>-W87</f>
        <v/>
      </c>
      <c r="F87" s="629">
        <f>-W87</f>
        <v/>
      </c>
      <c r="G87" s="666" t="n"/>
      <c r="H87" s="602" t="n"/>
      <c r="I87" s="667" t="n"/>
      <c r="J87" s="668" t="n"/>
      <c r="K87" s="634" t="inlineStr">
        <is>
          <t>Total</t>
        </is>
      </c>
      <c r="L87" s="634">
        <f>SUM(L78:L86)</f>
        <v/>
      </c>
      <c r="M87" s="635">
        <f>SUM(M78:M86)</f>
        <v/>
      </c>
      <c r="N87" s="645" t="n"/>
      <c r="O87" s="636" t="n"/>
      <c r="P87" s="637" t="inlineStr">
        <is>
          <t>TOTAL</t>
        </is>
      </c>
      <c r="Q87" s="635">
        <f>SUM(Q78:Q86)</f>
        <v/>
      </c>
      <c r="R87" s="655" t="n"/>
      <c r="S87" s="657">
        <f>SUM(S78:S86)</f>
        <v/>
      </c>
      <c r="T87" s="655" t="n"/>
      <c r="U87" s="586" t="n"/>
      <c r="V87" s="640" t="inlineStr">
        <is>
          <t>TOTAL</t>
        </is>
      </c>
      <c r="W87" s="635">
        <f>SUM(W78:W86)</f>
        <v/>
      </c>
      <c r="X87" s="669" t="n"/>
      <c r="Z87" s="588" t="n"/>
      <c r="AA87" s="588" t="n"/>
      <c r="AB87" s="588" t="n"/>
      <c r="AC87" s="588" t="n"/>
      <c r="AD87" s="588" t="n"/>
      <c r="AE87" s="588" t="n"/>
      <c r="AF87" s="588" t="n"/>
      <c r="AG87" s="588" t="n"/>
      <c r="AH87" s="588" t="n"/>
      <c r="AI87" s="588" t="n"/>
      <c r="AJ87" s="588" t="n"/>
      <c r="AK87" s="588" t="n"/>
      <c r="AL87" s="588" t="n"/>
      <c r="AM87" s="588" t="n"/>
      <c r="AN87" s="588" t="n"/>
      <c r="AO87" s="588" t="n"/>
      <c r="AP87" s="588" t="n"/>
      <c r="AQ87" s="588" t="n"/>
      <c r="AR87" s="588" t="n"/>
      <c r="AS87" s="588" t="n"/>
      <c r="AT87" s="588" t="n"/>
      <c r="AU87" s="588" t="n"/>
      <c r="AV87" s="588" t="n"/>
      <c r="AW87" s="588" t="n"/>
      <c r="AX87" s="588" t="n"/>
      <c r="AY87" s="588" t="n"/>
      <c r="AZ87" s="588" t="n"/>
      <c r="BA87" s="588" t="n"/>
      <c r="BB87" s="588" t="n"/>
      <c r="BC87" s="588" t="n"/>
      <c r="BD87" s="588" t="n"/>
      <c r="BE87" s="588" t="n"/>
      <c r="BF87" s="588" t="n"/>
      <c r="BG87" s="588" t="n"/>
      <c r="BH87" s="588" t="n"/>
      <c r="BI87" s="588" t="n"/>
      <c r="BJ87" s="588" t="n"/>
      <c r="BK87" s="588" t="n"/>
      <c r="BL87" s="588" t="n"/>
      <c r="BM87" s="588" t="n"/>
      <c r="BN87" s="588" t="n"/>
      <c r="BO87" s="588" t="n"/>
      <c r="BP87" s="588" t="n"/>
      <c r="BQ87" s="588" t="n"/>
      <c r="BR87" s="588" t="n"/>
      <c r="BS87" s="588" t="n"/>
      <c r="BT87" s="588" t="n"/>
      <c r="BU87" s="588" t="n"/>
      <c r="BV87" s="588" t="n"/>
      <c r="BW87" s="588" t="n"/>
      <c r="BX87" s="588" t="n"/>
      <c r="BY87" s="588" t="n"/>
      <c r="BZ87" s="588" t="n"/>
      <c r="CA87" s="588" t="n"/>
      <c r="CB87" s="588" t="n"/>
      <c r="CC87" s="588" t="n"/>
      <c r="CD87" s="588" t="n"/>
      <c r="CE87" s="588" t="n"/>
      <c r="CF87" s="588" t="n"/>
      <c r="CG87" s="588" t="n"/>
      <c r="CH87" s="588" t="n"/>
      <c r="CI87" s="588" t="n"/>
      <c r="CJ87" s="588" t="n"/>
      <c r="CK87" s="588" t="n"/>
      <c r="CL87" s="588" t="n"/>
      <c r="CM87" s="588" t="n"/>
      <c r="CN87" s="588" t="n"/>
      <c r="CO87" s="588" t="n"/>
      <c r="CP87" s="588" t="n"/>
      <c r="CQ87" s="588" t="n"/>
      <c r="CR87" s="588" t="n"/>
      <c r="CS87" s="588" t="n"/>
      <c r="CT87" s="588" t="n"/>
      <c r="CU87" s="588" t="n"/>
      <c r="CV87" s="588" t="n"/>
      <c r="CW87" s="588" t="n"/>
      <c r="CX87" s="588" t="n"/>
      <c r="CY87" s="588" t="n"/>
      <c r="CZ87" s="588" t="n"/>
      <c r="DA87" s="588" t="n"/>
      <c r="DB87" s="588" t="n"/>
      <c r="DC87" s="588" t="n"/>
      <c r="DD87" s="588" t="n"/>
      <c r="DE87" s="588" t="n"/>
      <c r="DF87" s="588" t="n"/>
      <c r="DG87" s="588" t="n"/>
      <c r="DH87" s="588" t="n"/>
      <c r="DI87" s="588" t="n"/>
      <c r="DJ87" s="588" t="n"/>
      <c r="DK87" s="588" t="n"/>
      <c r="DL87" s="588" t="n"/>
      <c r="DM87" s="588" t="n"/>
      <c r="DN87" s="588" t="n"/>
      <c r="DO87" s="588" t="n"/>
      <c r="DP87" s="588" t="n"/>
      <c r="DQ87" s="588" t="n"/>
      <c r="DR87" s="588" t="n"/>
      <c r="DS87" s="588" t="n"/>
      <c r="DT87" s="588" t="n"/>
      <c r="DU87" s="588" t="n"/>
    </row>
    <row r="88" outlineLevel="1" ht="13.2" customHeight="1" s="450">
      <c r="A88" s="590" t="n"/>
      <c r="B88" s="642" t="n"/>
      <c r="C88" s="588" t="n"/>
      <c r="D88" s="643" t="inlineStr">
        <is>
          <t>Sub Total</t>
        </is>
      </c>
      <c r="E88" s="602">
        <f>SUM(E78:E87)</f>
        <v/>
      </c>
      <c r="F88" s="644">
        <f>SUM(F78:F87)</f>
        <v/>
      </c>
      <c r="G88" s="602" t="n"/>
      <c r="H88" s="602" t="n"/>
      <c r="I88" s="598" t="n"/>
      <c r="J88" s="598" t="n"/>
      <c r="K88" s="643" t="n"/>
      <c r="L88" s="602" t="n"/>
      <c r="M88" s="602" t="n"/>
      <c r="N88" s="645" t="n"/>
      <c r="O88" s="670" t="n"/>
      <c r="P88" s="671" t="n"/>
      <c r="Q88" s="602" t="n"/>
      <c r="R88" s="655" t="n"/>
      <c r="S88" s="602" t="n"/>
      <c r="T88" s="655" t="n"/>
      <c r="U88" s="588" t="n"/>
      <c r="V88" s="671" t="n"/>
      <c r="W88" s="602" t="n"/>
      <c r="X88" s="588" t="n"/>
      <c r="Z88" s="588" t="n"/>
      <c r="AA88" s="588" t="n"/>
      <c r="AB88" s="588" t="n"/>
      <c r="AC88" s="588" t="n"/>
      <c r="AD88" s="588" t="n"/>
      <c r="AE88" s="588" t="n"/>
      <c r="AF88" s="588" t="n"/>
      <c r="AG88" s="588" t="n"/>
      <c r="AH88" s="588" t="n"/>
      <c r="AI88" s="588" t="n"/>
      <c r="AJ88" s="588" t="n"/>
      <c r="AK88" s="588" t="n"/>
      <c r="AL88" s="588" t="n"/>
      <c r="AM88" s="588" t="n"/>
      <c r="AN88" s="588" t="n"/>
      <c r="AO88" s="588" t="n"/>
      <c r="AP88" s="588" t="n"/>
      <c r="AQ88" s="588" t="n"/>
      <c r="AR88" s="588" t="n"/>
      <c r="AS88" s="588" t="n"/>
      <c r="AT88" s="588" t="n"/>
      <c r="AU88" s="588" t="n"/>
      <c r="AV88" s="588" t="n"/>
      <c r="AW88" s="588" t="n"/>
      <c r="AX88" s="588" t="n"/>
      <c r="AY88" s="588" t="n"/>
      <c r="AZ88" s="588" t="n"/>
      <c r="BA88" s="588" t="n"/>
      <c r="BB88" s="588" t="n"/>
      <c r="BC88" s="588" t="n"/>
      <c r="BD88" s="588" t="n"/>
      <c r="BE88" s="588" t="n"/>
      <c r="BF88" s="588" t="n"/>
      <c r="BG88" s="588" t="n"/>
      <c r="BH88" s="588" t="n"/>
      <c r="BI88" s="588" t="n"/>
      <c r="BJ88" s="588" t="n"/>
      <c r="BK88" s="588" t="n"/>
      <c r="BL88" s="588" t="n"/>
      <c r="BM88" s="588" t="n"/>
      <c r="BN88" s="588" t="n"/>
      <c r="BO88" s="588" t="n"/>
      <c r="BP88" s="588" t="n"/>
      <c r="BQ88" s="588" t="n"/>
      <c r="BR88" s="588" t="n"/>
      <c r="BS88" s="588" t="n"/>
      <c r="BT88" s="588" t="n"/>
      <c r="BU88" s="588" t="n"/>
      <c r="BV88" s="588" t="n"/>
      <c r="BW88" s="588" t="n"/>
      <c r="BX88" s="588" t="n"/>
      <c r="BY88" s="588" t="n"/>
      <c r="BZ88" s="588" t="n"/>
      <c r="CA88" s="588" t="n"/>
      <c r="CB88" s="588" t="n"/>
      <c r="CC88" s="588" t="n"/>
      <c r="CD88" s="588" t="n"/>
      <c r="CE88" s="588" t="n"/>
      <c r="CF88" s="588" t="n"/>
      <c r="CG88" s="588" t="n"/>
      <c r="CH88" s="588" t="n"/>
      <c r="CI88" s="588" t="n"/>
      <c r="CJ88" s="588" t="n"/>
      <c r="CK88" s="588" t="n"/>
      <c r="CL88" s="588" t="n"/>
      <c r="CM88" s="588" t="n"/>
      <c r="CN88" s="588" t="n"/>
      <c r="CO88" s="588" t="n"/>
      <c r="CP88" s="588" t="n"/>
      <c r="CQ88" s="588" t="n"/>
      <c r="CR88" s="588" t="n"/>
      <c r="CS88" s="588" t="n"/>
      <c r="CT88" s="588" t="n"/>
      <c r="CU88" s="588" t="n"/>
      <c r="CV88" s="588" t="n"/>
      <c r="CW88" s="588" t="n"/>
      <c r="CX88" s="588" t="n"/>
      <c r="CY88" s="588" t="n"/>
      <c r="CZ88" s="588" t="n"/>
      <c r="DA88" s="588" t="n"/>
      <c r="DB88" s="588" t="n"/>
      <c r="DC88" s="588" t="n"/>
      <c r="DD88" s="588" t="n"/>
      <c r="DE88" s="588" t="n"/>
      <c r="DF88" s="588" t="n"/>
      <c r="DG88" s="588" t="n"/>
      <c r="DH88" s="588" t="n"/>
      <c r="DI88" s="588" t="n"/>
      <c r="DJ88" s="588" t="n"/>
      <c r="DK88" s="588" t="n"/>
      <c r="DL88" s="588" t="n"/>
      <c r="DM88" s="588" t="n"/>
      <c r="DN88" s="588" t="n"/>
      <c r="DO88" s="588" t="n"/>
      <c r="DP88" s="588" t="n"/>
      <c r="DQ88" s="588" t="n"/>
      <c r="DR88" s="588" t="n"/>
      <c r="DS88" s="588" t="n"/>
      <c r="DT88" s="588" t="n"/>
      <c r="DU88" s="588" t="n"/>
    </row>
    <row r="89" outlineLevel="1" ht="13.2" customHeight="1" s="450">
      <c r="A89" s="590" t="n"/>
      <c r="B89" s="647" t="n"/>
      <c r="C89" s="648" t="n"/>
      <c r="D89" s="649" t="inlineStr">
        <is>
          <t>Descuentos Juntas</t>
        </is>
      </c>
      <c r="E89" s="658" t="n"/>
      <c r="F89" s="650">
        <f>-Q87*0.04</f>
        <v/>
      </c>
      <c r="G89" s="602" t="n"/>
      <c r="H89" s="602" t="n"/>
      <c r="I89" s="598" t="n"/>
      <c r="J89" s="598" t="n"/>
      <c r="K89" s="656" t="n"/>
      <c r="L89" s="656" t="n"/>
      <c r="M89" s="602" t="n"/>
      <c r="N89" s="645" t="n"/>
      <c r="O89" s="670" t="n"/>
      <c r="P89" s="671" t="n"/>
      <c r="Q89" s="602" t="n"/>
      <c r="R89" s="655" t="n"/>
      <c r="S89" s="602" t="n"/>
      <c r="T89" s="655" t="n"/>
      <c r="U89" s="588" t="n"/>
      <c r="V89" s="671" t="n"/>
      <c r="W89" s="602" t="n"/>
      <c r="X89" s="588" t="n"/>
      <c r="Z89" s="588" t="n"/>
      <c r="AA89" s="588" t="n"/>
      <c r="AB89" s="588" t="n"/>
      <c r="AC89" s="588" t="n"/>
      <c r="AD89" s="588" t="n"/>
      <c r="AE89" s="588" t="n"/>
      <c r="AF89" s="588" t="n"/>
      <c r="AG89" s="588" t="n"/>
      <c r="AH89" s="588" t="n"/>
      <c r="AI89" s="588" t="n"/>
      <c r="AJ89" s="588" t="n"/>
      <c r="AK89" s="588" t="n"/>
      <c r="AL89" s="588" t="n"/>
      <c r="AM89" s="588" t="n"/>
      <c r="AN89" s="588" t="n"/>
      <c r="AO89" s="588" t="n"/>
      <c r="AP89" s="588" t="n"/>
      <c r="AQ89" s="588" t="n"/>
      <c r="AR89" s="588" t="n"/>
      <c r="AS89" s="588" t="n"/>
      <c r="AT89" s="588" t="n"/>
      <c r="AU89" s="588" t="n"/>
      <c r="AV89" s="588" t="n"/>
      <c r="AW89" s="588" t="n"/>
      <c r="AX89" s="588" t="n"/>
      <c r="AY89" s="588" t="n"/>
      <c r="AZ89" s="588" t="n"/>
      <c r="BA89" s="588" t="n"/>
      <c r="BB89" s="588" t="n"/>
      <c r="BC89" s="588" t="n"/>
      <c r="BD89" s="588" t="n"/>
      <c r="BE89" s="588" t="n"/>
      <c r="BF89" s="588" t="n"/>
      <c r="BG89" s="588" t="n"/>
      <c r="BH89" s="588" t="n"/>
      <c r="BI89" s="588" t="n"/>
      <c r="BJ89" s="588" t="n"/>
      <c r="BK89" s="588" t="n"/>
      <c r="BL89" s="588" t="n"/>
      <c r="BM89" s="588" t="n"/>
      <c r="BN89" s="588" t="n"/>
      <c r="BO89" s="588" t="n"/>
      <c r="BP89" s="588" t="n"/>
      <c r="BQ89" s="588" t="n"/>
      <c r="BR89" s="588" t="n"/>
      <c r="BS89" s="588" t="n"/>
      <c r="BT89" s="588" t="n"/>
      <c r="BU89" s="588" t="n"/>
      <c r="BV89" s="588" t="n"/>
      <c r="BW89" s="588" t="n"/>
      <c r="BX89" s="588" t="n"/>
      <c r="BY89" s="588" t="n"/>
      <c r="BZ89" s="588" t="n"/>
      <c r="CA89" s="588" t="n"/>
      <c r="CB89" s="588" t="n"/>
      <c r="CC89" s="588" t="n"/>
      <c r="CD89" s="588" t="n"/>
      <c r="CE89" s="588" t="n"/>
      <c r="CF89" s="588" t="n"/>
      <c r="CG89" s="588" t="n"/>
      <c r="CH89" s="588" t="n"/>
      <c r="CI89" s="588" t="n"/>
      <c r="CJ89" s="588" t="n"/>
      <c r="CK89" s="588" t="n"/>
      <c r="CL89" s="588" t="n"/>
      <c r="CM89" s="588" t="n"/>
      <c r="CN89" s="588" t="n"/>
      <c r="CO89" s="588" t="n"/>
      <c r="CP89" s="588" t="n"/>
      <c r="CQ89" s="588" t="n"/>
      <c r="CR89" s="588" t="n"/>
      <c r="CS89" s="588" t="n"/>
      <c r="CT89" s="588" t="n"/>
      <c r="CU89" s="588" t="n"/>
      <c r="CV89" s="588" t="n"/>
      <c r="CW89" s="588" t="n"/>
      <c r="CX89" s="588" t="n"/>
      <c r="CY89" s="588" t="n"/>
      <c r="CZ89" s="588" t="n"/>
      <c r="DA89" s="588" t="n"/>
      <c r="DB89" s="588" t="n"/>
      <c r="DC89" s="588" t="n"/>
      <c r="DD89" s="588" t="n"/>
      <c r="DE89" s="588" t="n"/>
      <c r="DF89" s="588" t="n"/>
      <c r="DG89" s="588" t="n"/>
      <c r="DH89" s="588" t="n"/>
      <c r="DI89" s="588" t="n"/>
      <c r="DJ89" s="588" t="n"/>
      <c r="DK89" s="588" t="n"/>
      <c r="DL89" s="588" t="n"/>
      <c r="DM89" s="588" t="n"/>
      <c r="DN89" s="588" t="n"/>
      <c r="DO89" s="588" t="n"/>
      <c r="DP89" s="588" t="n"/>
      <c r="DQ89" s="588" t="n"/>
      <c r="DR89" s="588" t="n"/>
      <c r="DS89" s="588" t="n"/>
      <c r="DT89" s="588" t="n"/>
      <c r="DU89" s="588" t="n"/>
    </row>
    <row r="90" outlineLevel="1" ht="13.2" customHeight="1" s="450">
      <c r="A90" s="590" t="n"/>
      <c r="B90" s="588" t="n"/>
      <c r="C90" s="588" t="n"/>
      <c r="D90" s="672" t="inlineStr">
        <is>
          <t>Total</t>
        </is>
      </c>
      <c r="E90" s="673">
        <f>SUM(E88:E89)</f>
        <v/>
      </c>
      <c r="F90" s="674">
        <f>SUM(F88:F89)</f>
        <v/>
      </c>
      <c r="G90" s="602" t="n"/>
      <c r="H90" s="602" t="n"/>
      <c r="I90" s="598" t="n"/>
      <c r="J90" s="598" t="n"/>
      <c r="K90" s="656" t="n"/>
      <c r="L90" s="602" t="n"/>
      <c r="M90" s="602" t="n"/>
      <c r="N90" s="645" t="n"/>
      <c r="O90" s="670" t="n"/>
      <c r="P90" s="671" t="n"/>
      <c r="Q90" s="602" t="n"/>
      <c r="R90" s="655" t="n"/>
      <c r="S90" s="602" t="n"/>
      <c r="T90" s="655" t="n"/>
      <c r="U90" s="588" t="n"/>
      <c r="V90" s="671" t="n"/>
      <c r="W90" s="602" t="n"/>
      <c r="X90" s="588" t="n"/>
      <c r="Z90" s="588" t="n"/>
      <c r="AA90" s="588" t="n"/>
      <c r="AB90" s="588" t="n"/>
      <c r="AC90" s="588" t="n"/>
      <c r="AD90" s="588" t="n"/>
      <c r="AE90" s="588" t="n"/>
      <c r="AF90" s="588" t="n"/>
      <c r="AG90" s="588" t="n"/>
      <c r="AH90" s="588" t="n"/>
      <c r="AI90" s="588" t="n"/>
      <c r="AJ90" s="588" t="n"/>
      <c r="AK90" s="588" t="n"/>
      <c r="AL90" s="588" t="n"/>
      <c r="AM90" s="588" t="n"/>
      <c r="AN90" s="588" t="n"/>
      <c r="AO90" s="588" t="n"/>
      <c r="AP90" s="588" t="n"/>
      <c r="AQ90" s="588" t="n"/>
      <c r="AR90" s="588" t="n"/>
      <c r="AS90" s="588" t="n"/>
      <c r="AT90" s="588" t="n"/>
      <c r="AU90" s="588" t="n"/>
      <c r="AV90" s="588" t="n"/>
      <c r="AW90" s="588" t="n"/>
      <c r="AX90" s="588" t="n"/>
      <c r="AY90" s="588" t="n"/>
      <c r="AZ90" s="588" t="n"/>
      <c r="BA90" s="588" t="n"/>
      <c r="BB90" s="588" t="n"/>
      <c r="BC90" s="588" t="n"/>
      <c r="BD90" s="588" t="n"/>
      <c r="BE90" s="588" t="n"/>
      <c r="BF90" s="588" t="n"/>
      <c r="BG90" s="588" t="n"/>
      <c r="BH90" s="588" t="n"/>
      <c r="BI90" s="588" t="n"/>
      <c r="BJ90" s="588" t="n"/>
      <c r="BK90" s="588" t="n"/>
      <c r="BL90" s="588" t="n"/>
      <c r="BM90" s="588" t="n"/>
      <c r="BN90" s="588" t="n"/>
      <c r="BO90" s="588" t="n"/>
      <c r="BP90" s="588" t="n"/>
      <c r="BQ90" s="588" t="n"/>
      <c r="BR90" s="588" t="n"/>
      <c r="BS90" s="588" t="n"/>
      <c r="BT90" s="588" t="n"/>
      <c r="BU90" s="588" t="n"/>
      <c r="BV90" s="588" t="n"/>
      <c r="BW90" s="588" t="n"/>
      <c r="BX90" s="588" t="n"/>
      <c r="BY90" s="588" t="n"/>
      <c r="BZ90" s="588" t="n"/>
      <c r="CA90" s="588" t="n"/>
      <c r="CB90" s="588" t="n"/>
      <c r="CC90" s="588" t="n"/>
      <c r="CD90" s="588" t="n"/>
      <c r="CE90" s="588" t="n"/>
      <c r="CF90" s="588" t="n"/>
      <c r="CG90" s="588" t="n"/>
      <c r="CH90" s="588" t="n"/>
      <c r="CI90" s="588" t="n"/>
      <c r="CJ90" s="588" t="n"/>
      <c r="CK90" s="588" t="n"/>
      <c r="CL90" s="588" t="n"/>
      <c r="CM90" s="588" t="n"/>
      <c r="CN90" s="588" t="n"/>
      <c r="CO90" s="588" t="n"/>
      <c r="CP90" s="588" t="n"/>
      <c r="CQ90" s="588" t="n"/>
      <c r="CR90" s="588" t="n"/>
      <c r="CS90" s="588" t="n"/>
      <c r="CT90" s="588" t="n"/>
      <c r="CU90" s="588" t="n"/>
      <c r="CV90" s="588" t="n"/>
      <c r="CW90" s="588" t="n"/>
      <c r="CX90" s="588" t="n"/>
      <c r="CY90" s="588" t="n"/>
      <c r="CZ90" s="588" t="n"/>
      <c r="DA90" s="588" t="n"/>
      <c r="DB90" s="588" t="n"/>
      <c r="DC90" s="588" t="n"/>
      <c r="DD90" s="588" t="n"/>
      <c r="DE90" s="588" t="n"/>
      <c r="DF90" s="588" t="n"/>
      <c r="DG90" s="588" t="n"/>
      <c r="DH90" s="588" t="n"/>
      <c r="DI90" s="588" t="n"/>
      <c r="DJ90" s="588" t="n"/>
      <c r="DK90" s="588" t="n"/>
      <c r="DL90" s="588" t="n"/>
      <c r="DM90" s="588" t="n"/>
      <c r="DN90" s="588" t="n"/>
      <c r="DO90" s="588" t="n"/>
      <c r="DP90" s="588" t="n"/>
      <c r="DQ90" s="588" t="n"/>
      <c r="DR90" s="588" t="n"/>
      <c r="DS90" s="588" t="n"/>
      <c r="DT90" s="588" t="n"/>
      <c r="DU90" s="588" t="n"/>
    </row>
    <row r="91" hidden="1" ht="13.2" customHeight="1" s="450">
      <c r="A91" s="590" t="n"/>
      <c r="B91" s="588" t="n"/>
      <c r="C91" s="588" t="n"/>
      <c r="D91" s="656" t="n"/>
      <c r="E91" s="656" t="n"/>
      <c r="F91" s="602" t="n"/>
      <c r="G91" s="602" t="n"/>
      <c r="H91" s="602" t="n"/>
      <c r="I91" s="598" t="n"/>
      <c r="J91" s="598" t="n"/>
      <c r="K91" s="656" t="n"/>
      <c r="L91" s="602" t="n"/>
      <c r="M91" s="602" t="n"/>
      <c r="N91" s="645" t="n"/>
      <c r="O91" s="670" t="n"/>
      <c r="P91" s="671" t="n"/>
      <c r="Q91" s="602" t="n"/>
      <c r="R91" s="655" t="n"/>
      <c r="S91" s="602" t="n"/>
      <c r="T91" s="655" t="n"/>
      <c r="U91" s="588" t="n"/>
      <c r="V91" s="671" t="n"/>
      <c r="W91" s="602" t="n"/>
      <c r="X91" s="588" t="n"/>
      <c r="Z91" s="588" t="n"/>
      <c r="AA91" s="588" t="n"/>
      <c r="AB91" s="588" t="n"/>
      <c r="AC91" s="588" t="n"/>
      <c r="AD91" s="588" t="n"/>
      <c r="AE91" s="588" t="n"/>
      <c r="AF91" s="588" t="n"/>
      <c r="AG91" s="588" t="n"/>
      <c r="AH91" s="588" t="n"/>
      <c r="AI91" s="588" t="n"/>
      <c r="AJ91" s="588" t="n"/>
      <c r="AK91" s="588" t="n"/>
      <c r="AL91" s="588" t="n"/>
      <c r="AM91" s="588" t="n"/>
      <c r="AN91" s="588" t="n"/>
      <c r="AO91" s="588" t="n"/>
      <c r="AP91" s="588" t="n"/>
      <c r="AQ91" s="588" t="n"/>
      <c r="AR91" s="588" t="n"/>
      <c r="AS91" s="588" t="n"/>
      <c r="AT91" s="588" t="n"/>
      <c r="AU91" s="588" t="n"/>
      <c r="AV91" s="588" t="n"/>
      <c r="AW91" s="588" t="n"/>
      <c r="AX91" s="588" t="n"/>
      <c r="AY91" s="588" t="n"/>
      <c r="AZ91" s="588" t="n"/>
      <c r="BA91" s="588" t="n"/>
      <c r="BB91" s="588" t="n"/>
      <c r="BC91" s="588" t="n"/>
      <c r="BD91" s="588" t="n"/>
      <c r="BE91" s="588" t="n"/>
      <c r="BF91" s="588" t="n"/>
      <c r="BG91" s="588" t="n"/>
      <c r="BH91" s="588" t="n"/>
      <c r="BI91" s="588" t="n"/>
      <c r="BJ91" s="588" t="n"/>
      <c r="BK91" s="588" t="n"/>
      <c r="BL91" s="588" t="n"/>
      <c r="BM91" s="588" t="n"/>
      <c r="BN91" s="588" t="n"/>
      <c r="BO91" s="588" t="n"/>
      <c r="BP91" s="588" t="n"/>
      <c r="BQ91" s="588" t="n"/>
      <c r="BR91" s="588" t="n"/>
      <c r="BS91" s="588" t="n"/>
      <c r="BT91" s="588" t="n"/>
      <c r="BU91" s="588" t="n"/>
      <c r="BV91" s="588" t="n"/>
      <c r="BW91" s="588" t="n"/>
      <c r="BX91" s="588" t="n"/>
      <c r="BY91" s="588" t="n"/>
      <c r="BZ91" s="588" t="n"/>
      <c r="CA91" s="588" t="n"/>
      <c r="CB91" s="588" t="n"/>
      <c r="CC91" s="588" t="n"/>
      <c r="CD91" s="588" t="n"/>
      <c r="CE91" s="588" t="n"/>
      <c r="CF91" s="588" t="n"/>
      <c r="CG91" s="588" t="n"/>
      <c r="CH91" s="588" t="n"/>
      <c r="CI91" s="588" t="n"/>
      <c r="CJ91" s="588" t="n"/>
      <c r="CK91" s="588" t="n"/>
      <c r="CL91" s="588" t="n"/>
      <c r="CM91" s="588" t="n"/>
      <c r="CN91" s="588" t="n"/>
      <c r="CO91" s="588" t="n"/>
      <c r="CP91" s="588" t="n"/>
      <c r="CQ91" s="588" t="n"/>
      <c r="CR91" s="588" t="n"/>
      <c r="CS91" s="588" t="n"/>
      <c r="CT91" s="588" t="n"/>
      <c r="CU91" s="588" t="n"/>
      <c r="CV91" s="588" t="n"/>
      <c r="CW91" s="588" t="n"/>
      <c r="CX91" s="588" t="n"/>
      <c r="CY91" s="588" t="n"/>
      <c r="CZ91" s="588" t="n"/>
      <c r="DA91" s="588" t="n"/>
      <c r="DB91" s="588" t="n"/>
      <c r="DC91" s="588" t="n"/>
      <c r="DD91" s="588" t="n"/>
      <c r="DE91" s="588" t="n"/>
      <c r="DF91" s="588" t="n"/>
      <c r="DG91" s="588" t="n"/>
      <c r="DH91" s="588" t="n"/>
      <c r="DI91" s="588" t="n"/>
      <c r="DJ91" s="588" t="n"/>
      <c r="DK91" s="588" t="n"/>
      <c r="DL91" s="588" t="n"/>
      <c r="DM91" s="588" t="n"/>
      <c r="DN91" s="588" t="n"/>
      <c r="DO91" s="588" t="n"/>
      <c r="DP91" s="588" t="n"/>
      <c r="DQ91" s="588" t="n"/>
      <c r="DR91" s="588" t="n"/>
      <c r="DS91" s="588" t="n"/>
      <c r="DT91" s="588" t="n"/>
      <c r="DU91" s="588" t="n"/>
    </row>
    <row r="92" hidden="1" ht="13.2" customHeight="1" s="450">
      <c r="A92" s="590" t="n"/>
      <c r="B92" s="586" t="inlineStr">
        <is>
          <t>Factor espesor asfalto</t>
        </is>
      </c>
      <c r="C92" s="588" t="n"/>
      <c r="D92" s="656" t="n"/>
      <c r="E92" s="656" t="n"/>
      <c r="F92" s="602" t="n"/>
      <c r="G92" s="602" t="n"/>
      <c r="H92" s="602" t="n"/>
      <c r="I92" s="598" t="n"/>
      <c r="J92" s="598" t="n"/>
      <c r="K92" s="656" t="n"/>
      <c r="L92" s="602" t="n"/>
      <c r="M92" s="602" t="n"/>
      <c r="N92" s="645" t="n"/>
      <c r="O92" s="670" t="n"/>
      <c r="P92" s="671" t="n"/>
      <c r="Q92" s="602" t="n"/>
      <c r="R92" s="655" t="n"/>
      <c r="S92" s="602" t="n"/>
      <c r="T92" s="655" t="n"/>
      <c r="U92" s="588" t="n"/>
      <c r="V92" s="671" t="n"/>
      <c r="W92" s="602" t="n"/>
      <c r="X92" s="588" t="n"/>
      <c r="Z92" s="588" t="n"/>
      <c r="AA92" s="588" t="n"/>
      <c r="AB92" s="588" t="n"/>
      <c r="AC92" s="588" t="n"/>
      <c r="AD92" s="588" t="n"/>
      <c r="AE92" s="588" t="n"/>
      <c r="AF92" s="588" t="n"/>
      <c r="AG92" s="588" t="n"/>
      <c r="AH92" s="588" t="n"/>
      <c r="AI92" s="588" t="n"/>
      <c r="AJ92" s="588" t="n"/>
      <c r="AK92" s="588" t="n"/>
      <c r="AL92" s="588" t="n"/>
      <c r="AM92" s="588" t="n"/>
      <c r="AN92" s="588" t="n"/>
      <c r="AO92" s="588" t="n"/>
      <c r="AP92" s="588" t="n"/>
      <c r="AQ92" s="588" t="n"/>
      <c r="AR92" s="588" t="n"/>
      <c r="AS92" s="588" t="n"/>
      <c r="AT92" s="588" t="n"/>
      <c r="AU92" s="588" t="n"/>
      <c r="AV92" s="588" t="n"/>
      <c r="AW92" s="588" t="n"/>
      <c r="AX92" s="588" t="n"/>
      <c r="AY92" s="588" t="n"/>
      <c r="AZ92" s="588" t="n"/>
      <c r="BA92" s="588" t="n"/>
      <c r="BB92" s="588" t="n"/>
      <c r="BC92" s="588" t="n"/>
      <c r="BD92" s="588" t="n"/>
      <c r="BE92" s="588" t="n"/>
      <c r="BF92" s="588" t="n"/>
      <c r="BG92" s="588" t="n"/>
      <c r="BH92" s="588" t="n"/>
      <c r="BI92" s="588" t="n"/>
      <c r="BJ92" s="588" t="n"/>
      <c r="BK92" s="588" t="n"/>
      <c r="BL92" s="588" t="n"/>
      <c r="BM92" s="588" t="n"/>
      <c r="BN92" s="588" t="n"/>
      <c r="BO92" s="588" t="n"/>
      <c r="BP92" s="588" t="n"/>
      <c r="BQ92" s="588" t="n"/>
      <c r="BR92" s="588" t="n"/>
      <c r="BS92" s="588" t="n"/>
      <c r="BT92" s="588" t="n"/>
      <c r="BU92" s="588" t="n"/>
      <c r="BV92" s="588" t="n"/>
      <c r="BW92" s="588" t="n"/>
      <c r="BX92" s="588" t="n"/>
      <c r="BY92" s="588" t="n"/>
      <c r="BZ92" s="588" t="n"/>
      <c r="CA92" s="588" t="n"/>
      <c r="CB92" s="588" t="n"/>
      <c r="CC92" s="588" t="n"/>
      <c r="CD92" s="588" t="n"/>
      <c r="CE92" s="588" t="n"/>
      <c r="CF92" s="588" t="n"/>
      <c r="CG92" s="588" t="n"/>
      <c r="CH92" s="588" t="n"/>
      <c r="CI92" s="588" t="n"/>
      <c r="CJ92" s="588" t="n"/>
      <c r="CK92" s="588" t="n"/>
      <c r="CL92" s="588" t="n"/>
      <c r="CM92" s="588" t="n"/>
      <c r="CN92" s="588" t="n"/>
      <c r="CO92" s="588" t="n"/>
      <c r="CP92" s="588" t="n"/>
      <c r="CQ92" s="588" t="n"/>
      <c r="CR92" s="588" t="n"/>
      <c r="CS92" s="588" t="n"/>
      <c r="CT92" s="588" t="n"/>
      <c r="CU92" s="588" t="n"/>
      <c r="CV92" s="588" t="n"/>
      <c r="CW92" s="588" t="n"/>
      <c r="CX92" s="588" t="n"/>
      <c r="CY92" s="588" t="n"/>
      <c r="CZ92" s="588" t="n"/>
      <c r="DA92" s="588" t="n"/>
      <c r="DB92" s="588" t="n"/>
      <c r="DC92" s="588" t="n"/>
      <c r="DD92" s="588" t="n"/>
      <c r="DE92" s="588" t="n"/>
      <c r="DF92" s="588" t="n"/>
      <c r="DG92" s="588" t="n"/>
      <c r="DH92" s="588" t="n"/>
      <c r="DI92" s="588" t="n"/>
      <c r="DJ92" s="588" t="n"/>
      <c r="DK92" s="588" t="n"/>
      <c r="DL92" s="588" t="n"/>
      <c r="DM92" s="588" t="n"/>
      <c r="DN92" s="588" t="n"/>
      <c r="DO92" s="588" t="n"/>
      <c r="DP92" s="588" t="n"/>
      <c r="DQ92" s="588" t="n"/>
      <c r="DR92" s="588" t="n"/>
      <c r="DS92" s="588" t="n"/>
      <c r="DT92" s="588" t="n"/>
      <c r="DU92" s="588" t="n"/>
    </row>
    <row r="93" outlineLevel="1" ht="13.2" customHeight="1" s="450">
      <c r="A93" s="590" t="n"/>
      <c r="B93" s="588" t="n"/>
      <c r="C93" s="588" t="n"/>
      <c r="D93" s="656" t="n"/>
      <c r="E93" s="656" t="n"/>
      <c r="F93" s="602" t="n"/>
      <c r="G93" s="602" t="n"/>
      <c r="H93" s="602" t="n"/>
      <c r="I93" s="675" t="n">
        <v>5</v>
      </c>
      <c r="J93" s="675" t="n">
        <v>1</v>
      </c>
      <c r="K93" s="602" t="n"/>
      <c r="L93" s="602" t="n"/>
      <c r="M93" s="602" t="n"/>
      <c r="N93" s="645" t="n"/>
      <c r="O93" s="670" t="n"/>
      <c r="P93" s="671" t="n"/>
      <c r="Q93" s="602" t="n"/>
      <c r="R93" s="655" t="n"/>
      <c r="S93" s="602" t="n"/>
      <c r="T93" s="655" t="n"/>
      <c r="U93" s="588" t="n"/>
      <c r="V93" s="671" t="n"/>
      <c r="W93" s="602" t="n"/>
      <c r="X93" s="588" t="n"/>
      <c r="Z93" s="588" t="n"/>
      <c r="AA93" s="588" t="n"/>
      <c r="AB93" s="588" t="n"/>
      <c r="AC93" s="588" t="n"/>
      <c r="AD93" s="588" t="n"/>
      <c r="AE93" s="588" t="n"/>
      <c r="AF93" s="588" t="n"/>
      <c r="AG93" s="588" t="n"/>
      <c r="AH93" s="588" t="n"/>
      <c r="AI93" s="588" t="n"/>
      <c r="AJ93" s="588" t="n"/>
      <c r="AK93" s="588" t="n"/>
      <c r="AL93" s="588" t="n"/>
      <c r="AM93" s="588" t="n"/>
      <c r="AN93" s="588" t="n"/>
      <c r="AO93" s="588" t="n"/>
      <c r="AP93" s="588" t="n"/>
      <c r="AQ93" s="588" t="n"/>
      <c r="AR93" s="588" t="n"/>
      <c r="AS93" s="588" t="n"/>
      <c r="AT93" s="588" t="n"/>
      <c r="AU93" s="588" t="n"/>
      <c r="AV93" s="588" t="n"/>
      <c r="AW93" s="588" t="n"/>
      <c r="AX93" s="588" t="n"/>
      <c r="AY93" s="588" t="n"/>
      <c r="AZ93" s="588" t="n"/>
      <c r="BA93" s="588" t="n"/>
      <c r="BB93" s="588" t="n"/>
      <c r="BC93" s="588" t="n"/>
      <c r="BD93" s="588" t="n"/>
      <c r="BE93" s="588" t="n"/>
      <c r="BF93" s="588" t="n"/>
      <c r="BG93" s="588" t="n"/>
      <c r="BH93" s="588" t="n"/>
      <c r="BI93" s="588" t="n"/>
      <c r="BJ93" s="588" t="n"/>
      <c r="BK93" s="588" t="n"/>
      <c r="BL93" s="588" t="n"/>
      <c r="BM93" s="588" t="n"/>
      <c r="BN93" s="588" t="n"/>
      <c r="BO93" s="588" t="n"/>
      <c r="BP93" s="588" t="n"/>
      <c r="BQ93" s="588" t="n"/>
      <c r="BR93" s="588" t="n"/>
      <c r="BS93" s="588" t="n"/>
      <c r="BT93" s="588" t="n"/>
      <c r="BU93" s="588" t="n"/>
      <c r="BV93" s="588" t="n"/>
      <c r="BW93" s="588" t="n"/>
      <c r="BX93" s="588" t="n"/>
      <c r="BY93" s="588" t="n"/>
      <c r="BZ93" s="588" t="n"/>
      <c r="CA93" s="588" t="n"/>
      <c r="CB93" s="588" t="n"/>
      <c r="CC93" s="588" t="n"/>
      <c r="CD93" s="588" t="n"/>
      <c r="CE93" s="588" t="n"/>
      <c r="CF93" s="588" t="n"/>
      <c r="CG93" s="588" t="n"/>
      <c r="CH93" s="588" t="n"/>
      <c r="CI93" s="588" t="n"/>
      <c r="CJ93" s="588" t="n"/>
      <c r="CK93" s="588" t="n"/>
      <c r="CL93" s="588" t="n"/>
      <c r="CM93" s="588" t="n"/>
      <c r="CN93" s="588" t="n"/>
      <c r="CO93" s="588" t="n"/>
      <c r="CP93" s="588" t="n"/>
      <c r="CQ93" s="588" t="n"/>
      <c r="CR93" s="588" t="n"/>
      <c r="CS93" s="588" t="n"/>
      <c r="CT93" s="588" t="n"/>
      <c r="CU93" s="588" t="n"/>
      <c r="CV93" s="588" t="n"/>
      <c r="CW93" s="588" t="n"/>
      <c r="CX93" s="588" t="n"/>
      <c r="CY93" s="588" t="n"/>
      <c r="CZ93" s="588" t="n"/>
      <c r="DA93" s="588" t="n"/>
      <c r="DB93" s="588" t="n"/>
      <c r="DC93" s="588" t="n"/>
      <c r="DD93" s="588" t="n"/>
      <c r="DE93" s="588" t="n"/>
      <c r="DF93" s="588" t="n"/>
      <c r="DG93" s="588" t="n"/>
      <c r="DH93" s="588" t="n"/>
      <c r="DI93" s="588" t="n"/>
      <c r="DJ93" s="588" t="n"/>
      <c r="DK93" s="588" t="n"/>
      <c r="DL93" s="588" t="n"/>
      <c r="DM93" s="588" t="n"/>
      <c r="DN93" s="588" t="n"/>
      <c r="DO93" s="588" t="n"/>
      <c r="DP93" s="588" t="n"/>
      <c r="DQ93" s="588" t="n"/>
      <c r="DR93" s="588" t="n"/>
      <c r="DS93" s="588" t="n"/>
      <c r="DT93" s="588" t="n"/>
      <c r="DU93" s="588" t="n"/>
    </row>
    <row r="94" outlineLevel="1" ht="13.2" customHeight="1" s="450">
      <c r="A94" s="590" t="n"/>
      <c r="B94" s="588" t="n"/>
      <c r="C94" s="588" t="n"/>
      <c r="D94" s="656" t="n"/>
      <c r="E94" s="656" t="n"/>
      <c r="F94" s="602" t="n"/>
      <c r="G94" s="675" t="inlineStr">
        <is>
          <t>espesor</t>
        </is>
      </c>
      <c r="H94" s="602" t="n"/>
      <c r="I94" s="657" t="n">
        <v>10</v>
      </c>
      <c r="J94" s="675">
        <f>I94*J93/I93</f>
        <v/>
      </c>
      <c r="K94" s="675" t="inlineStr">
        <is>
          <t>factor</t>
        </is>
      </c>
      <c r="L94" s="602" t="n"/>
      <c r="M94" s="602" t="n"/>
      <c r="N94" s="645" t="n"/>
      <c r="O94" s="670" t="n"/>
      <c r="P94" s="671" t="n"/>
      <c r="Q94" s="602" t="n"/>
      <c r="R94" s="655" t="n"/>
      <c r="S94" s="602" t="n"/>
      <c r="T94" s="655" t="n"/>
      <c r="U94" s="588" t="n"/>
      <c r="V94" s="671" t="n"/>
      <c r="W94" s="602" t="n"/>
      <c r="X94" s="588" t="n"/>
      <c r="Z94" s="588" t="n"/>
      <c r="AA94" s="588" t="n"/>
      <c r="AB94" s="588" t="n"/>
      <c r="AC94" s="588" t="n"/>
      <c r="AD94" s="588" t="n"/>
      <c r="AE94" s="588" t="n"/>
      <c r="AF94" s="588" t="n"/>
      <c r="AG94" s="588" t="n"/>
      <c r="AH94" s="588" t="n"/>
      <c r="AI94" s="588" t="n"/>
      <c r="AJ94" s="588" t="n"/>
      <c r="AK94" s="588" t="n"/>
      <c r="AL94" s="588" t="n"/>
      <c r="AM94" s="588" t="n"/>
      <c r="AN94" s="588" t="n"/>
      <c r="AO94" s="588" t="n"/>
      <c r="AP94" s="588" t="n"/>
      <c r="AQ94" s="588" t="n"/>
      <c r="AR94" s="588" t="n"/>
      <c r="AS94" s="588" t="n"/>
      <c r="AT94" s="588" t="n"/>
      <c r="AU94" s="588" t="n"/>
      <c r="AV94" s="588" t="n"/>
      <c r="AW94" s="588" t="n"/>
      <c r="AX94" s="588" t="n"/>
      <c r="AY94" s="588" t="n"/>
      <c r="AZ94" s="588" t="n"/>
      <c r="BA94" s="588" t="n"/>
      <c r="BB94" s="588" t="n"/>
      <c r="BC94" s="588" t="n"/>
      <c r="BD94" s="588" t="n"/>
      <c r="BE94" s="588" t="n"/>
      <c r="BF94" s="588" t="n"/>
      <c r="BG94" s="588" t="n"/>
      <c r="BH94" s="588" t="n"/>
      <c r="BI94" s="588" t="n"/>
      <c r="BJ94" s="588" t="n"/>
      <c r="BK94" s="588" t="n"/>
      <c r="BL94" s="588" t="n"/>
      <c r="BM94" s="588" t="n"/>
      <c r="BN94" s="588" t="n"/>
      <c r="BO94" s="588" t="n"/>
      <c r="BP94" s="588" t="n"/>
      <c r="BQ94" s="588" t="n"/>
      <c r="BR94" s="588" t="n"/>
      <c r="BS94" s="588" t="n"/>
      <c r="BT94" s="588" t="n"/>
      <c r="BU94" s="588" t="n"/>
      <c r="BV94" s="588" t="n"/>
      <c r="BW94" s="588" t="n"/>
      <c r="BX94" s="588" t="n"/>
      <c r="BY94" s="588" t="n"/>
      <c r="BZ94" s="588" t="n"/>
      <c r="CA94" s="588" t="n"/>
      <c r="CB94" s="588" t="n"/>
      <c r="CC94" s="588" t="n"/>
      <c r="CD94" s="588" t="n"/>
      <c r="CE94" s="588" t="n"/>
      <c r="CF94" s="588" t="n"/>
      <c r="CG94" s="588" t="n"/>
      <c r="CH94" s="588" t="n"/>
      <c r="CI94" s="588" t="n"/>
      <c r="CJ94" s="588" t="n"/>
      <c r="CK94" s="588" t="n"/>
      <c r="CL94" s="588" t="n"/>
      <c r="CM94" s="588" t="n"/>
      <c r="CN94" s="588" t="n"/>
      <c r="CO94" s="588" t="n"/>
      <c r="CP94" s="588" t="n"/>
      <c r="CQ94" s="588" t="n"/>
      <c r="CR94" s="588" t="n"/>
      <c r="CS94" s="588" t="n"/>
      <c r="CT94" s="588" t="n"/>
      <c r="CU94" s="588" t="n"/>
      <c r="CV94" s="588" t="n"/>
      <c r="CW94" s="588" t="n"/>
      <c r="CX94" s="588" t="n"/>
      <c r="CY94" s="588" t="n"/>
      <c r="CZ94" s="588" t="n"/>
      <c r="DA94" s="588" t="n"/>
      <c r="DB94" s="588" t="n"/>
      <c r="DC94" s="588" t="n"/>
      <c r="DD94" s="588" t="n"/>
      <c r="DE94" s="588" t="n"/>
      <c r="DF94" s="588" t="n"/>
      <c r="DG94" s="588" t="n"/>
      <c r="DH94" s="588" t="n"/>
      <c r="DI94" s="588" t="n"/>
      <c r="DJ94" s="588" t="n"/>
      <c r="DK94" s="588" t="n"/>
      <c r="DL94" s="588" t="n"/>
      <c r="DM94" s="588" t="n"/>
      <c r="DN94" s="588" t="n"/>
      <c r="DO94" s="588" t="n"/>
      <c r="DP94" s="588" t="n"/>
      <c r="DQ94" s="588" t="n"/>
      <c r="DR94" s="588" t="n"/>
      <c r="DS94" s="588" t="n"/>
      <c r="DT94" s="588" t="n"/>
      <c r="DU94" s="588" t="n"/>
    </row>
    <row r="95" hidden="1" ht="13.2" customHeight="1" s="450">
      <c r="A95" s="590" t="n"/>
      <c r="B95" s="588" t="n"/>
      <c r="C95" s="588" t="n"/>
      <c r="D95" s="656" t="n"/>
      <c r="E95" s="656" t="n"/>
      <c r="F95" s="602" t="n"/>
      <c r="G95" s="602" t="n"/>
      <c r="H95" s="602" t="n"/>
      <c r="I95" s="598" t="n"/>
      <c r="J95" s="598" t="n"/>
      <c r="K95" s="656" t="n"/>
      <c r="L95" s="602" t="n"/>
      <c r="M95" s="602" t="n"/>
      <c r="N95" s="645" t="n"/>
      <c r="O95" s="670" t="n"/>
      <c r="P95" s="671" t="n"/>
      <c r="Q95" s="602" t="n"/>
      <c r="R95" s="655" t="n"/>
      <c r="S95" s="602" t="n"/>
      <c r="T95" s="655" t="n"/>
      <c r="U95" s="588" t="n"/>
      <c r="V95" s="671" t="n"/>
      <c r="W95" s="602" t="n"/>
      <c r="X95" s="588" t="n"/>
      <c r="Z95" s="588" t="n"/>
      <c r="AA95" s="588" t="n"/>
      <c r="AB95" s="588" t="n"/>
      <c r="AC95" s="588" t="n"/>
      <c r="AD95" s="588" t="n"/>
      <c r="AE95" s="588" t="n"/>
      <c r="AF95" s="588" t="n"/>
      <c r="AG95" s="588" t="n"/>
      <c r="AH95" s="588" t="n"/>
      <c r="AI95" s="588" t="n"/>
      <c r="AJ95" s="588" t="n"/>
      <c r="AK95" s="588" t="n"/>
      <c r="AL95" s="588" t="n"/>
      <c r="AM95" s="588" t="n"/>
      <c r="AN95" s="588" t="n"/>
      <c r="AO95" s="588" t="n"/>
      <c r="AP95" s="588" t="n"/>
      <c r="AQ95" s="588" t="n"/>
      <c r="AR95" s="588" t="n"/>
      <c r="AS95" s="588" t="n"/>
      <c r="AT95" s="588" t="n"/>
      <c r="AU95" s="588" t="n"/>
      <c r="AV95" s="588" t="n"/>
      <c r="AW95" s="588" t="n"/>
      <c r="AX95" s="588" t="n"/>
      <c r="AY95" s="588" t="n"/>
      <c r="AZ95" s="588" t="n"/>
      <c r="BA95" s="588" t="n"/>
      <c r="BB95" s="588" t="n"/>
      <c r="BC95" s="588" t="n"/>
      <c r="BD95" s="588" t="n"/>
      <c r="BE95" s="588" t="n"/>
      <c r="BF95" s="588" t="n"/>
      <c r="BG95" s="588" t="n"/>
      <c r="BH95" s="588" t="n"/>
      <c r="BI95" s="588" t="n"/>
      <c r="BJ95" s="588" t="n"/>
      <c r="BK95" s="588" t="n"/>
      <c r="BL95" s="588" t="n"/>
      <c r="BM95" s="588" t="n"/>
      <c r="BN95" s="588" t="n"/>
      <c r="BO95" s="588" t="n"/>
      <c r="BP95" s="588" t="n"/>
      <c r="BQ95" s="588" t="n"/>
      <c r="BR95" s="588" t="n"/>
      <c r="BS95" s="588" t="n"/>
      <c r="BT95" s="588" t="n"/>
      <c r="BU95" s="588" t="n"/>
      <c r="BV95" s="588" t="n"/>
      <c r="BW95" s="588" t="n"/>
      <c r="BX95" s="588" t="n"/>
      <c r="BY95" s="588" t="n"/>
      <c r="BZ95" s="588" t="n"/>
      <c r="CA95" s="588" t="n"/>
      <c r="CB95" s="588" t="n"/>
      <c r="CC95" s="588" t="n"/>
      <c r="CD95" s="588" t="n"/>
      <c r="CE95" s="588" t="n"/>
      <c r="CF95" s="588" t="n"/>
      <c r="CG95" s="588" t="n"/>
      <c r="CH95" s="588" t="n"/>
      <c r="CI95" s="588" t="n"/>
      <c r="CJ95" s="588" t="n"/>
      <c r="CK95" s="588" t="n"/>
      <c r="CL95" s="588" t="n"/>
      <c r="CM95" s="588" t="n"/>
      <c r="CN95" s="588" t="n"/>
      <c r="CO95" s="588" t="n"/>
      <c r="CP95" s="588" t="n"/>
      <c r="CQ95" s="588" t="n"/>
      <c r="CR95" s="588" t="n"/>
      <c r="CS95" s="588" t="n"/>
      <c r="CT95" s="588" t="n"/>
      <c r="CU95" s="588" t="n"/>
      <c r="CV95" s="588" t="n"/>
      <c r="CW95" s="588" t="n"/>
      <c r="CX95" s="588" t="n"/>
      <c r="CY95" s="588" t="n"/>
      <c r="CZ95" s="588" t="n"/>
      <c r="DA95" s="588" t="n"/>
      <c r="DB95" s="588" t="n"/>
      <c r="DC95" s="588" t="n"/>
      <c r="DD95" s="588" t="n"/>
      <c r="DE95" s="588" t="n"/>
      <c r="DF95" s="588" t="n"/>
      <c r="DG95" s="588" t="n"/>
      <c r="DH95" s="588" t="n"/>
      <c r="DI95" s="588" t="n"/>
      <c r="DJ95" s="588" t="n"/>
      <c r="DK95" s="588" t="n"/>
      <c r="DL95" s="588" t="n"/>
      <c r="DM95" s="588" t="n"/>
      <c r="DN95" s="588" t="n"/>
      <c r="DO95" s="588" t="n"/>
      <c r="DP95" s="588" t="n"/>
      <c r="DQ95" s="588" t="n"/>
      <c r="DR95" s="588" t="n"/>
      <c r="DS95" s="588" t="n"/>
      <c r="DT95" s="588" t="n"/>
      <c r="DU95" s="588" t="n"/>
    </row>
    <row r="96" ht="13.2" customHeight="1" s="450">
      <c r="A96" s="590" t="n"/>
      <c r="B96" s="600" t="inlineStr">
        <is>
          <t xml:space="preserve">Piso Especial </t>
        </is>
      </c>
      <c r="C96" s="581" t="n"/>
      <c r="D96" s="582" t="n"/>
      <c r="E96" s="601" t="inlineStr">
        <is>
          <t>Rot.</t>
        </is>
      </c>
      <c r="F96" s="601" t="inlineStr">
        <is>
          <t>Rep.</t>
        </is>
      </c>
      <c r="G96" s="602" t="n"/>
      <c r="H96" s="655" t="n"/>
      <c r="I96" s="601" t="inlineStr">
        <is>
          <t>Descuento</t>
        </is>
      </c>
      <c r="J96" s="581" t="n"/>
      <c r="K96" s="581" t="n"/>
      <c r="L96" s="582" t="n"/>
      <c r="M96" s="607" t="n"/>
      <c r="N96" s="602" t="n"/>
      <c r="O96" s="603" t="n"/>
      <c r="P96" s="607" t="n"/>
      <c r="Q96" s="607" t="n"/>
      <c r="R96" s="655" t="n"/>
      <c r="S96" s="600" t="inlineStr">
        <is>
          <t>Afirmad.</t>
        </is>
      </c>
      <c r="T96" s="655" t="n"/>
      <c r="U96" s="603" t="n"/>
      <c r="Z96" s="588" t="n"/>
      <c r="AA96" s="588" t="n"/>
      <c r="AB96" s="588" t="n"/>
      <c r="AC96" s="588" t="n"/>
      <c r="AD96" s="588" t="n"/>
      <c r="AE96" s="588" t="n"/>
      <c r="AF96" s="588" t="n"/>
      <c r="AG96" s="588" t="n"/>
      <c r="AH96" s="588" t="n"/>
      <c r="AI96" s="588" t="n"/>
      <c r="AJ96" s="588" t="n"/>
      <c r="AK96" s="588" t="n"/>
      <c r="AL96" s="588" t="n"/>
      <c r="AM96" s="588" t="n"/>
      <c r="AN96" s="588" t="n"/>
      <c r="AO96" s="588" t="n"/>
      <c r="AP96" s="588" t="n"/>
      <c r="AQ96" s="588" t="n"/>
      <c r="AR96" s="588" t="n"/>
      <c r="AS96" s="588" t="n"/>
      <c r="AT96" s="588" t="n"/>
      <c r="AU96" s="588" t="n"/>
      <c r="AV96" s="588" t="n"/>
      <c r="AW96" s="588" t="n"/>
      <c r="AX96" s="588" t="n"/>
      <c r="AY96" s="588" t="n"/>
      <c r="AZ96" s="588" t="n"/>
      <c r="BA96" s="588" t="n"/>
      <c r="BB96" s="588" t="n"/>
      <c r="BC96" s="588" t="n"/>
      <c r="BD96" s="588" t="n"/>
      <c r="BE96" s="588" t="n"/>
      <c r="BF96" s="588" t="n"/>
      <c r="BG96" s="588" t="n"/>
      <c r="BH96" s="588" t="n"/>
      <c r="BI96" s="588" t="n"/>
      <c r="BJ96" s="588" t="n"/>
      <c r="BK96" s="588" t="n"/>
      <c r="BL96" s="588" t="n"/>
      <c r="BM96" s="588" t="n"/>
      <c r="BN96" s="588" t="n"/>
      <c r="BO96" s="588" t="n"/>
      <c r="BP96" s="588" t="n"/>
      <c r="BQ96" s="588" t="n"/>
      <c r="BR96" s="588" t="n"/>
      <c r="BS96" s="588" t="n"/>
      <c r="BT96" s="588" t="n"/>
      <c r="BU96" s="588" t="n"/>
      <c r="BV96" s="588" t="n"/>
      <c r="BW96" s="588" t="n"/>
      <c r="BX96" s="588" t="n"/>
      <c r="BY96" s="588" t="n"/>
      <c r="BZ96" s="588" t="n"/>
      <c r="CA96" s="588" t="n"/>
      <c r="CB96" s="588" t="n"/>
      <c r="CC96" s="588" t="n"/>
      <c r="CD96" s="588" t="n"/>
      <c r="CE96" s="588" t="n"/>
      <c r="CF96" s="588" t="n"/>
      <c r="CG96" s="588" t="n"/>
      <c r="CH96" s="588" t="n"/>
      <c r="CI96" s="588" t="n"/>
      <c r="CJ96" s="588" t="n"/>
      <c r="CK96" s="588" t="n"/>
      <c r="CL96" s="588" t="n"/>
      <c r="CM96" s="588" t="n"/>
      <c r="CN96" s="588" t="n"/>
      <c r="CO96" s="588" t="n"/>
      <c r="CP96" s="588" t="n"/>
      <c r="CQ96" s="588" t="n"/>
      <c r="CR96" s="588" t="n"/>
      <c r="CS96" s="588" t="n"/>
      <c r="CT96" s="588" t="n"/>
      <c r="CU96" s="588" t="n"/>
      <c r="CV96" s="588" t="n"/>
      <c r="CW96" s="588" t="n"/>
      <c r="CX96" s="588" t="n"/>
      <c r="CY96" s="588" t="n"/>
      <c r="CZ96" s="588" t="n"/>
      <c r="DA96" s="588" t="n"/>
      <c r="DB96" s="588" t="n"/>
      <c r="DC96" s="588" t="n"/>
      <c r="DD96" s="588" t="n"/>
      <c r="DE96" s="588" t="n"/>
      <c r="DF96" s="588" t="n"/>
      <c r="DG96" s="588" t="n"/>
      <c r="DH96" s="588" t="n"/>
      <c r="DI96" s="588" t="n"/>
      <c r="DJ96" s="588" t="n"/>
      <c r="DK96" s="588" t="n"/>
      <c r="DL96" s="588" t="n"/>
      <c r="DM96" s="588" t="n"/>
      <c r="DN96" s="588" t="n"/>
      <c r="DO96" s="588" t="n"/>
      <c r="DP96" s="588" t="n"/>
      <c r="DQ96" s="588" t="n"/>
      <c r="DR96" s="588" t="n"/>
      <c r="DS96" s="588" t="n"/>
      <c r="DT96" s="588" t="n"/>
      <c r="DU96" s="588" t="n"/>
    </row>
    <row r="97" hidden="1" outlineLevel="1" ht="13.2" customHeight="1" s="450">
      <c r="A97" s="590" t="n"/>
      <c r="B97" s="601" t="inlineStr">
        <is>
          <t>N°</t>
        </is>
      </c>
      <c r="C97" s="601" t="inlineStr">
        <is>
          <t>Largo</t>
        </is>
      </c>
      <c r="D97" s="659" t="inlineStr">
        <is>
          <t>Ancho</t>
        </is>
      </c>
      <c r="E97" s="605" t="inlineStr">
        <is>
          <t>m2</t>
        </is>
      </c>
      <c r="F97" s="605" t="inlineStr">
        <is>
          <t>m2</t>
        </is>
      </c>
      <c r="G97" s="601" t="inlineStr">
        <is>
          <t>Observ.</t>
        </is>
      </c>
      <c r="H97" s="655" t="n"/>
      <c r="I97" s="601" t="inlineStr">
        <is>
          <t>Largo</t>
        </is>
      </c>
      <c r="J97" s="605" t="inlineStr">
        <is>
          <t>Cant.</t>
        </is>
      </c>
      <c r="K97" s="605" t="inlineStr">
        <is>
          <t>Total</t>
        </is>
      </c>
      <c r="L97" s="605" t="inlineStr">
        <is>
          <t>OBS.</t>
        </is>
      </c>
      <c r="M97" s="603" t="n"/>
      <c r="N97" s="602" t="n"/>
      <c r="O97" s="603" t="n"/>
      <c r="P97" s="603" t="n"/>
      <c r="Q97" s="603" t="n"/>
      <c r="R97" s="655" t="n"/>
      <c r="S97" s="601" t="inlineStr">
        <is>
          <t>m2</t>
        </is>
      </c>
      <c r="T97" s="655" t="n"/>
      <c r="U97" s="603" t="n"/>
      <c r="V97" s="603" t="n"/>
      <c r="W97" s="603" t="n"/>
      <c r="X97" s="603" t="n"/>
      <c r="Z97" s="588" t="n"/>
      <c r="AA97" s="588" t="n"/>
      <c r="AB97" s="588" t="n"/>
      <c r="AC97" s="588" t="n"/>
      <c r="AD97" s="588" t="n"/>
      <c r="AE97" s="588" t="n"/>
      <c r="AF97" s="588" t="n"/>
      <c r="AG97" s="588" t="n"/>
      <c r="AH97" s="588" t="n"/>
      <c r="AI97" s="588" t="n"/>
      <c r="AJ97" s="588" t="n"/>
      <c r="AK97" s="588" t="n"/>
      <c r="AL97" s="588" t="n"/>
      <c r="AM97" s="588" t="n"/>
      <c r="AN97" s="588" t="n"/>
      <c r="AO97" s="588" t="n"/>
      <c r="AP97" s="588" t="n"/>
      <c r="AQ97" s="588" t="n"/>
      <c r="AR97" s="588" t="n"/>
      <c r="AS97" s="588" t="n"/>
      <c r="AT97" s="588" t="n"/>
      <c r="AU97" s="588" t="n"/>
      <c r="AV97" s="588" t="n"/>
      <c r="AW97" s="588" t="n"/>
      <c r="AX97" s="588" t="n"/>
      <c r="AY97" s="588" t="n"/>
      <c r="AZ97" s="588" t="n"/>
      <c r="BA97" s="588" t="n"/>
      <c r="BB97" s="588" t="n"/>
      <c r="BC97" s="588" t="n"/>
      <c r="BD97" s="588" t="n"/>
      <c r="BE97" s="588" t="n"/>
      <c r="BF97" s="588" t="n"/>
      <c r="BG97" s="588" t="n"/>
      <c r="BH97" s="588" t="n"/>
      <c r="BI97" s="588" t="n"/>
      <c r="BJ97" s="588" t="n"/>
      <c r="BK97" s="588" t="n"/>
      <c r="BL97" s="588" t="n"/>
      <c r="BM97" s="588" t="n"/>
      <c r="BN97" s="588" t="n"/>
      <c r="BO97" s="588" t="n"/>
      <c r="BP97" s="588" t="n"/>
      <c r="BQ97" s="588" t="n"/>
      <c r="BR97" s="588" t="n"/>
      <c r="BS97" s="588" t="n"/>
      <c r="BT97" s="588" t="n"/>
      <c r="BU97" s="588" t="n"/>
      <c r="BV97" s="588" t="n"/>
      <c r="BW97" s="588" t="n"/>
      <c r="BX97" s="588" t="n"/>
      <c r="BY97" s="588" t="n"/>
      <c r="BZ97" s="588" t="n"/>
      <c r="CA97" s="588" t="n"/>
      <c r="CB97" s="588" t="n"/>
      <c r="CC97" s="588" t="n"/>
      <c r="CD97" s="588" t="n"/>
      <c r="CE97" s="588" t="n"/>
      <c r="CF97" s="588" t="n"/>
      <c r="CG97" s="588" t="n"/>
      <c r="CH97" s="588" t="n"/>
      <c r="CI97" s="588" t="n"/>
      <c r="CJ97" s="588" t="n"/>
      <c r="CK97" s="588" t="n"/>
      <c r="CL97" s="588" t="n"/>
      <c r="CM97" s="588" t="n"/>
      <c r="CN97" s="588" t="n"/>
      <c r="CO97" s="588" t="n"/>
      <c r="CP97" s="588" t="n"/>
      <c r="CQ97" s="588" t="n"/>
      <c r="CR97" s="588" t="n"/>
      <c r="CS97" s="588" t="n"/>
      <c r="CT97" s="588" t="n"/>
      <c r="CU97" s="588" t="n"/>
      <c r="CV97" s="588" t="n"/>
      <c r="CW97" s="588" t="n"/>
      <c r="CX97" s="588" t="n"/>
      <c r="CY97" s="588" t="n"/>
      <c r="CZ97" s="588" t="n"/>
      <c r="DA97" s="588" t="n"/>
      <c r="DB97" s="588" t="n"/>
      <c r="DC97" s="588" t="n"/>
      <c r="DD97" s="588" t="n"/>
      <c r="DE97" s="588" t="n"/>
      <c r="DF97" s="588" t="n"/>
      <c r="DG97" s="588" t="n"/>
      <c r="DH97" s="588" t="n"/>
      <c r="DI97" s="588" t="n"/>
      <c r="DJ97" s="588" t="n"/>
      <c r="DK97" s="588" t="n"/>
      <c r="DL97" s="588" t="n"/>
      <c r="DM97" s="588" t="n"/>
      <c r="DN97" s="588" t="n"/>
      <c r="DO97" s="588" t="n"/>
      <c r="DP97" s="588" t="n"/>
      <c r="DQ97" s="588" t="n"/>
      <c r="DR97" s="588" t="n"/>
      <c r="DS97" s="588" t="n"/>
      <c r="DT97" s="588" t="n"/>
      <c r="DU97" s="588" t="n"/>
    </row>
    <row r="98" hidden="1" outlineLevel="1" ht="13.2" customHeight="1" s="450">
      <c r="A98" s="590" t="n"/>
      <c r="B98" s="608" t="inlineStr">
        <is>
          <t>Pe1</t>
        </is>
      </c>
      <c r="C98" s="614" t="n"/>
      <c r="D98" s="614" t="n"/>
      <c r="E98" s="611" t="n"/>
      <c r="F98" s="612" t="n"/>
      <c r="G98" s="660" t="n"/>
      <c r="H98" s="655" t="n"/>
      <c r="I98" s="614" t="n"/>
      <c r="J98" s="614" t="n"/>
      <c r="K98" s="611">
        <f>+I98*J98</f>
        <v/>
      </c>
      <c r="L98" s="617" t="n"/>
      <c r="M98" s="676" t="n"/>
      <c r="N98" s="645" t="n"/>
      <c r="O98" s="616" t="n"/>
      <c r="P98" s="615" t="n"/>
      <c r="Q98" s="616" t="n"/>
      <c r="R98" s="655" t="n"/>
      <c r="S98" s="611">
        <f>+F98</f>
        <v/>
      </c>
      <c r="T98" s="655" t="n"/>
      <c r="U98" s="615" t="n"/>
      <c r="V98" s="615" t="n"/>
      <c r="W98" s="616" t="n"/>
      <c r="X98" s="676" t="n"/>
      <c r="Z98" s="588" t="n"/>
      <c r="AA98" s="588" t="n"/>
      <c r="AB98" s="588" t="n"/>
      <c r="AC98" s="588" t="n"/>
      <c r="AD98" s="588" t="n"/>
      <c r="AE98" s="588" t="n"/>
      <c r="AF98" s="588" t="n"/>
      <c r="AG98" s="588" t="n"/>
      <c r="AH98" s="588" t="n"/>
      <c r="AI98" s="588" t="n"/>
      <c r="AJ98" s="588" t="n"/>
      <c r="AK98" s="588" t="n"/>
      <c r="AL98" s="588" t="n"/>
      <c r="AM98" s="588" t="n"/>
      <c r="AN98" s="588" t="n"/>
      <c r="AO98" s="588" t="n"/>
      <c r="AP98" s="588" t="n"/>
      <c r="AQ98" s="588" t="n"/>
      <c r="AR98" s="588" t="n"/>
      <c r="AS98" s="588" t="n"/>
      <c r="AT98" s="588" t="n"/>
      <c r="AU98" s="588" t="n"/>
      <c r="AV98" s="588" t="n"/>
      <c r="AW98" s="588" t="n"/>
      <c r="AX98" s="588" t="n"/>
      <c r="AY98" s="588" t="n"/>
      <c r="AZ98" s="588" t="n"/>
      <c r="BA98" s="588" t="n"/>
      <c r="BB98" s="588" t="n"/>
      <c r="BC98" s="588" t="n"/>
      <c r="BD98" s="588" t="n"/>
      <c r="BE98" s="588" t="n"/>
      <c r="BF98" s="588" t="n"/>
      <c r="BG98" s="588" t="n"/>
      <c r="BH98" s="588" t="n"/>
      <c r="BI98" s="588" t="n"/>
      <c r="BJ98" s="588" t="n"/>
      <c r="BK98" s="588" t="n"/>
      <c r="BL98" s="588" t="n"/>
      <c r="BM98" s="588" t="n"/>
      <c r="BN98" s="588" t="n"/>
      <c r="BO98" s="588" t="n"/>
      <c r="BP98" s="588" t="n"/>
      <c r="BQ98" s="588" t="n"/>
      <c r="BR98" s="588" t="n"/>
      <c r="BS98" s="588" t="n"/>
      <c r="BT98" s="588" t="n"/>
      <c r="BU98" s="588" t="n"/>
      <c r="BV98" s="588" t="n"/>
      <c r="BW98" s="588" t="n"/>
      <c r="BX98" s="588" t="n"/>
      <c r="BY98" s="588" t="n"/>
      <c r="BZ98" s="588" t="n"/>
      <c r="CA98" s="588" t="n"/>
      <c r="CB98" s="588" t="n"/>
      <c r="CC98" s="588" t="n"/>
      <c r="CD98" s="588" t="n"/>
      <c r="CE98" s="588" t="n"/>
      <c r="CF98" s="588" t="n"/>
      <c r="CG98" s="588" t="n"/>
      <c r="CH98" s="588" t="n"/>
      <c r="CI98" s="588" t="n"/>
      <c r="CJ98" s="588" t="n"/>
      <c r="CK98" s="588" t="n"/>
      <c r="CL98" s="588" t="n"/>
      <c r="CM98" s="588" t="n"/>
      <c r="CN98" s="588" t="n"/>
      <c r="CO98" s="588" t="n"/>
      <c r="CP98" s="588" t="n"/>
      <c r="CQ98" s="588" t="n"/>
      <c r="CR98" s="588" t="n"/>
      <c r="CS98" s="588" t="n"/>
      <c r="CT98" s="588" t="n"/>
      <c r="CU98" s="588" t="n"/>
      <c r="CV98" s="588" t="n"/>
      <c r="CW98" s="588" t="n"/>
      <c r="CX98" s="588" t="n"/>
      <c r="CY98" s="588" t="n"/>
      <c r="CZ98" s="588" t="n"/>
      <c r="DA98" s="588" t="n"/>
      <c r="DB98" s="588" t="n"/>
      <c r="DC98" s="588" t="n"/>
      <c r="DD98" s="588" t="n"/>
      <c r="DE98" s="588" t="n"/>
      <c r="DF98" s="588" t="n"/>
      <c r="DG98" s="588" t="n"/>
      <c r="DH98" s="588" t="n"/>
      <c r="DI98" s="588" t="n"/>
      <c r="DJ98" s="588" t="n"/>
      <c r="DK98" s="588" t="n"/>
      <c r="DL98" s="588" t="n"/>
      <c r="DM98" s="588" t="n"/>
      <c r="DN98" s="588" t="n"/>
      <c r="DO98" s="588" t="n"/>
      <c r="DP98" s="588" t="n"/>
      <c r="DQ98" s="588" t="n"/>
      <c r="DR98" s="588" t="n"/>
      <c r="DS98" s="588" t="n"/>
      <c r="DT98" s="588" t="n"/>
      <c r="DU98" s="588" t="n"/>
    </row>
    <row r="99" hidden="1" outlineLevel="1" ht="13.2" customHeight="1" s="450">
      <c r="A99" s="590" t="n"/>
      <c r="B99" s="618" t="inlineStr">
        <is>
          <t>Pe2</t>
        </is>
      </c>
      <c r="C99" s="619" t="n"/>
      <c r="D99" s="619" t="n"/>
      <c r="E99" s="621" t="n"/>
      <c r="F99" s="622">
        <f>+C99*D99</f>
        <v/>
      </c>
      <c r="G99" s="661" t="n"/>
      <c r="H99" s="655" t="n"/>
      <c r="I99" s="619" t="n"/>
      <c r="J99" s="619" t="n"/>
      <c r="K99" s="621">
        <f>+I99*J99</f>
        <v/>
      </c>
      <c r="L99" s="624" t="n"/>
      <c r="M99" s="676" t="n"/>
      <c r="N99" s="645" t="n"/>
      <c r="O99" s="616" t="n"/>
      <c r="P99" s="615" t="n"/>
      <c r="Q99" s="616" t="n"/>
      <c r="R99" s="655" t="n"/>
      <c r="S99" s="621">
        <f>+F99</f>
        <v/>
      </c>
      <c r="T99" s="655" t="n"/>
      <c r="U99" s="615" t="n"/>
      <c r="V99" s="615" t="n"/>
      <c r="W99" s="616" t="n"/>
      <c r="X99" s="676" t="n"/>
      <c r="Z99" s="588" t="n"/>
      <c r="AA99" s="588" t="n"/>
      <c r="AB99" s="588" t="n"/>
      <c r="AC99" s="588" t="n"/>
      <c r="AD99" s="588" t="n"/>
      <c r="AE99" s="588" t="n"/>
      <c r="AF99" s="588" t="n"/>
      <c r="AG99" s="588" t="n"/>
      <c r="AH99" s="588" t="n"/>
      <c r="AI99" s="588" t="n"/>
      <c r="AJ99" s="588" t="n"/>
      <c r="AK99" s="588" t="n"/>
      <c r="AL99" s="588" t="n"/>
      <c r="AM99" s="588" t="n"/>
      <c r="AN99" s="588" t="n"/>
      <c r="AO99" s="588" t="n"/>
      <c r="AP99" s="588" t="n"/>
      <c r="AQ99" s="588" t="n"/>
      <c r="AR99" s="588" t="n"/>
      <c r="AS99" s="588" t="n"/>
      <c r="AT99" s="588" t="n"/>
      <c r="AU99" s="588" t="n"/>
      <c r="AV99" s="588" t="n"/>
      <c r="AW99" s="588" t="n"/>
      <c r="AX99" s="588" t="n"/>
      <c r="AY99" s="588" t="n"/>
      <c r="AZ99" s="588" t="n"/>
      <c r="BA99" s="588" t="n"/>
      <c r="BB99" s="588" t="n"/>
      <c r="BC99" s="588" t="n"/>
      <c r="BD99" s="588" t="n"/>
      <c r="BE99" s="588" t="n"/>
      <c r="BF99" s="588" t="n"/>
      <c r="BG99" s="588" t="n"/>
      <c r="BH99" s="588" t="n"/>
      <c r="BI99" s="588" t="n"/>
      <c r="BJ99" s="588" t="n"/>
      <c r="BK99" s="588" t="n"/>
      <c r="BL99" s="588" t="n"/>
      <c r="BM99" s="588" t="n"/>
      <c r="BN99" s="588" t="n"/>
      <c r="BO99" s="588" t="n"/>
      <c r="BP99" s="588" t="n"/>
      <c r="BQ99" s="588" t="n"/>
      <c r="BR99" s="588" t="n"/>
      <c r="BS99" s="588" t="n"/>
      <c r="BT99" s="588" t="n"/>
      <c r="BU99" s="588" t="n"/>
      <c r="BV99" s="588" t="n"/>
      <c r="BW99" s="588" t="n"/>
      <c r="BX99" s="588" t="n"/>
      <c r="BY99" s="588" t="n"/>
      <c r="BZ99" s="588" t="n"/>
      <c r="CA99" s="588" t="n"/>
      <c r="CB99" s="588" t="n"/>
      <c r="CC99" s="588" t="n"/>
      <c r="CD99" s="588" t="n"/>
      <c r="CE99" s="588" t="n"/>
      <c r="CF99" s="588" t="n"/>
      <c r="CG99" s="588" t="n"/>
      <c r="CH99" s="588" t="n"/>
      <c r="CI99" s="588" t="n"/>
      <c r="CJ99" s="588" t="n"/>
      <c r="CK99" s="588" t="n"/>
      <c r="CL99" s="588" t="n"/>
      <c r="CM99" s="588" t="n"/>
      <c r="CN99" s="588" t="n"/>
      <c r="CO99" s="588" t="n"/>
      <c r="CP99" s="588" t="n"/>
      <c r="CQ99" s="588" t="n"/>
      <c r="CR99" s="588" t="n"/>
      <c r="CS99" s="588" t="n"/>
      <c r="CT99" s="588" t="n"/>
      <c r="CU99" s="588" t="n"/>
      <c r="CV99" s="588" t="n"/>
      <c r="CW99" s="588" t="n"/>
      <c r="CX99" s="588" t="n"/>
      <c r="CY99" s="588" t="n"/>
      <c r="CZ99" s="588" t="n"/>
      <c r="DA99" s="588" t="n"/>
      <c r="DB99" s="588" t="n"/>
      <c r="DC99" s="588" t="n"/>
      <c r="DD99" s="588" t="n"/>
      <c r="DE99" s="588" t="n"/>
      <c r="DF99" s="588" t="n"/>
      <c r="DG99" s="588" t="n"/>
      <c r="DH99" s="588" t="n"/>
      <c r="DI99" s="588" t="n"/>
      <c r="DJ99" s="588" t="n"/>
      <c r="DK99" s="588" t="n"/>
      <c r="DL99" s="588" t="n"/>
      <c r="DM99" s="588" t="n"/>
      <c r="DN99" s="588" t="n"/>
      <c r="DO99" s="588" t="n"/>
      <c r="DP99" s="588" t="n"/>
      <c r="DQ99" s="588" t="n"/>
      <c r="DR99" s="588" t="n"/>
      <c r="DS99" s="588" t="n"/>
      <c r="DT99" s="588" t="n"/>
      <c r="DU99" s="588" t="n"/>
    </row>
    <row r="100" hidden="1" outlineLevel="1" ht="13.2" customHeight="1" s="450">
      <c r="A100" s="590" t="n"/>
      <c r="B100" s="618" t="inlineStr">
        <is>
          <t>Pe3</t>
        </is>
      </c>
      <c r="C100" s="619" t="n"/>
      <c r="D100" s="619" t="n"/>
      <c r="E100" s="621" t="n"/>
      <c r="F100" s="622">
        <f>+C100*D100</f>
        <v/>
      </c>
      <c r="G100" s="661" t="n"/>
      <c r="H100" s="655" t="n"/>
      <c r="I100" s="619" t="n"/>
      <c r="J100" s="619" t="n"/>
      <c r="K100" s="621">
        <f>+I100*J100</f>
        <v/>
      </c>
      <c r="L100" s="624" t="n"/>
      <c r="M100" s="676" t="n"/>
      <c r="N100" s="645" t="n"/>
      <c r="O100" s="616" t="n"/>
      <c r="P100" s="615" t="n"/>
      <c r="Q100" s="616" t="n"/>
      <c r="R100" s="655" t="n"/>
      <c r="S100" s="621">
        <f>+F100</f>
        <v/>
      </c>
      <c r="T100" s="655" t="n"/>
      <c r="U100" s="615" t="n"/>
      <c r="V100" s="615" t="n"/>
      <c r="W100" s="616" t="n"/>
      <c r="X100" s="676" t="n"/>
      <c r="Z100" s="588" t="n"/>
      <c r="AA100" s="588" t="n"/>
      <c r="AB100" s="588" t="n"/>
      <c r="AC100" s="588" t="n"/>
      <c r="AD100" s="588" t="n"/>
      <c r="AE100" s="588" t="n"/>
      <c r="AF100" s="588" t="n"/>
      <c r="AG100" s="588" t="n"/>
      <c r="AH100" s="588" t="n"/>
      <c r="AI100" s="588" t="n"/>
      <c r="AJ100" s="588" t="n"/>
      <c r="AK100" s="588" t="n"/>
      <c r="AL100" s="588" t="n"/>
      <c r="AM100" s="588" t="n"/>
      <c r="AN100" s="588" t="n"/>
      <c r="AO100" s="588" t="n"/>
      <c r="AP100" s="588" t="n"/>
      <c r="AQ100" s="588" t="n"/>
      <c r="AR100" s="588" t="n"/>
      <c r="AS100" s="588" t="n"/>
      <c r="AT100" s="588" t="n"/>
      <c r="AU100" s="588" t="n"/>
      <c r="AV100" s="588" t="n"/>
      <c r="AW100" s="588" t="n"/>
      <c r="AX100" s="588" t="n"/>
      <c r="AY100" s="588" t="n"/>
      <c r="AZ100" s="588" t="n"/>
      <c r="BA100" s="588" t="n"/>
      <c r="BB100" s="588" t="n"/>
      <c r="BC100" s="588" t="n"/>
      <c r="BD100" s="588" t="n"/>
      <c r="BE100" s="588" t="n"/>
      <c r="BF100" s="588" t="n"/>
      <c r="BG100" s="588" t="n"/>
      <c r="BH100" s="588" t="n"/>
      <c r="BI100" s="588" t="n"/>
      <c r="BJ100" s="588" t="n"/>
      <c r="BK100" s="588" t="n"/>
      <c r="BL100" s="588" t="n"/>
      <c r="BM100" s="588" t="n"/>
      <c r="BN100" s="588" t="n"/>
      <c r="BO100" s="588" t="n"/>
      <c r="BP100" s="588" t="n"/>
      <c r="BQ100" s="588" t="n"/>
      <c r="BR100" s="588" t="n"/>
      <c r="BS100" s="588" t="n"/>
      <c r="BT100" s="588" t="n"/>
      <c r="BU100" s="588" t="n"/>
      <c r="BV100" s="588" t="n"/>
      <c r="BW100" s="588" t="n"/>
      <c r="BX100" s="588" t="n"/>
      <c r="BY100" s="588" t="n"/>
      <c r="BZ100" s="588" t="n"/>
      <c r="CA100" s="588" t="n"/>
      <c r="CB100" s="588" t="n"/>
      <c r="CC100" s="588" t="n"/>
      <c r="CD100" s="588" t="n"/>
      <c r="CE100" s="588" t="n"/>
      <c r="CF100" s="588" t="n"/>
      <c r="CG100" s="588" t="n"/>
      <c r="CH100" s="588" t="n"/>
      <c r="CI100" s="588" t="n"/>
      <c r="CJ100" s="588" t="n"/>
      <c r="CK100" s="588" t="n"/>
      <c r="CL100" s="588" t="n"/>
      <c r="CM100" s="588" t="n"/>
      <c r="CN100" s="588" t="n"/>
      <c r="CO100" s="588" t="n"/>
      <c r="CP100" s="588" t="n"/>
      <c r="CQ100" s="588" t="n"/>
      <c r="CR100" s="588" t="n"/>
      <c r="CS100" s="588" t="n"/>
      <c r="CT100" s="588" t="n"/>
      <c r="CU100" s="588" t="n"/>
      <c r="CV100" s="588" t="n"/>
      <c r="CW100" s="588" t="n"/>
      <c r="CX100" s="588" t="n"/>
      <c r="CY100" s="588" t="n"/>
      <c r="CZ100" s="588" t="n"/>
      <c r="DA100" s="588" t="n"/>
      <c r="DB100" s="588" t="n"/>
      <c r="DC100" s="588" t="n"/>
      <c r="DD100" s="588" t="n"/>
      <c r="DE100" s="588" t="n"/>
      <c r="DF100" s="588" t="n"/>
      <c r="DG100" s="588" t="n"/>
      <c r="DH100" s="588" t="n"/>
      <c r="DI100" s="588" t="n"/>
      <c r="DJ100" s="588" t="n"/>
      <c r="DK100" s="588" t="n"/>
      <c r="DL100" s="588" t="n"/>
      <c r="DM100" s="588" t="n"/>
      <c r="DN100" s="588" t="n"/>
      <c r="DO100" s="588" t="n"/>
      <c r="DP100" s="588" t="n"/>
      <c r="DQ100" s="588" t="n"/>
      <c r="DR100" s="588" t="n"/>
      <c r="DS100" s="588" t="n"/>
      <c r="DT100" s="588" t="n"/>
      <c r="DU100" s="588" t="n"/>
    </row>
    <row r="101" hidden="1" outlineLevel="1" ht="13.2" customHeight="1" s="450">
      <c r="A101" s="590" t="n"/>
      <c r="B101" s="618" t="inlineStr">
        <is>
          <t>Pe4</t>
        </is>
      </c>
      <c r="C101" s="619" t="n"/>
      <c r="D101" s="619" t="n"/>
      <c r="E101" s="621" t="n"/>
      <c r="F101" s="622">
        <f>+C101*D101</f>
        <v/>
      </c>
      <c r="G101" s="661" t="n"/>
      <c r="H101" s="655" t="n"/>
      <c r="I101" s="619" t="n"/>
      <c r="J101" s="619" t="n"/>
      <c r="K101" s="621">
        <f>+I101*J101</f>
        <v/>
      </c>
      <c r="L101" s="624" t="n"/>
      <c r="M101" s="676" t="n"/>
      <c r="N101" s="645" t="n"/>
      <c r="O101" s="616" t="n"/>
      <c r="P101" s="615" t="n"/>
      <c r="Q101" s="616" t="n"/>
      <c r="R101" s="655" t="n"/>
      <c r="S101" s="621">
        <f>+F101</f>
        <v/>
      </c>
      <c r="T101" s="655" t="n"/>
      <c r="U101" s="615" t="n"/>
      <c r="V101" s="615" t="n"/>
      <c r="W101" s="616" t="n"/>
      <c r="X101" s="676" t="n"/>
      <c r="Z101" s="588" t="n"/>
      <c r="AA101" s="588" t="n"/>
      <c r="AB101" s="588" t="n"/>
      <c r="AC101" s="588" t="n"/>
      <c r="AD101" s="588" t="n"/>
      <c r="AE101" s="588" t="n"/>
      <c r="AF101" s="588" t="n"/>
      <c r="AG101" s="588" t="n"/>
      <c r="AH101" s="588" t="n"/>
      <c r="AI101" s="588" t="n"/>
      <c r="AJ101" s="588" t="n"/>
      <c r="AK101" s="588" t="n"/>
      <c r="AL101" s="588" t="n"/>
      <c r="AM101" s="588" t="n"/>
      <c r="AN101" s="588" t="n"/>
      <c r="AO101" s="588" t="n"/>
      <c r="AP101" s="588" t="n"/>
      <c r="AQ101" s="588" t="n"/>
      <c r="AR101" s="588" t="n"/>
      <c r="AS101" s="588" t="n"/>
      <c r="AT101" s="588" t="n"/>
      <c r="AU101" s="588" t="n"/>
      <c r="AV101" s="588" t="n"/>
      <c r="AW101" s="588" t="n"/>
      <c r="AX101" s="588" t="n"/>
      <c r="AY101" s="588" t="n"/>
      <c r="AZ101" s="588" t="n"/>
      <c r="BA101" s="588" t="n"/>
      <c r="BB101" s="588" t="n"/>
      <c r="BC101" s="588" t="n"/>
      <c r="BD101" s="588" t="n"/>
      <c r="BE101" s="588" t="n"/>
      <c r="BF101" s="588" t="n"/>
      <c r="BG101" s="588" t="n"/>
      <c r="BH101" s="588" t="n"/>
      <c r="BI101" s="588" t="n"/>
      <c r="BJ101" s="588" t="n"/>
      <c r="BK101" s="588" t="n"/>
      <c r="BL101" s="588" t="n"/>
      <c r="BM101" s="588" t="n"/>
      <c r="BN101" s="588" t="n"/>
      <c r="BO101" s="588" t="n"/>
      <c r="BP101" s="588" t="n"/>
      <c r="BQ101" s="588" t="n"/>
      <c r="BR101" s="588" t="n"/>
      <c r="BS101" s="588" t="n"/>
      <c r="BT101" s="588" t="n"/>
      <c r="BU101" s="588" t="n"/>
      <c r="BV101" s="588" t="n"/>
      <c r="BW101" s="588" t="n"/>
      <c r="BX101" s="588" t="n"/>
      <c r="BY101" s="588" t="n"/>
      <c r="BZ101" s="588" t="n"/>
      <c r="CA101" s="588" t="n"/>
      <c r="CB101" s="588" t="n"/>
      <c r="CC101" s="588" t="n"/>
      <c r="CD101" s="588" t="n"/>
      <c r="CE101" s="588" t="n"/>
      <c r="CF101" s="588" t="n"/>
      <c r="CG101" s="588" t="n"/>
      <c r="CH101" s="588" t="n"/>
      <c r="CI101" s="588" t="n"/>
      <c r="CJ101" s="588" t="n"/>
      <c r="CK101" s="588" t="n"/>
      <c r="CL101" s="588" t="n"/>
      <c r="CM101" s="588" t="n"/>
      <c r="CN101" s="588" t="n"/>
      <c r="CO101" s="588" t="n"/>
      <c r="CP101" s="588" t="n"/>
      <c r="CQ101" s="588" t="n"/>
      <c r="CR101" s="588" t="n"/>
      <c r="CS101" s="588" t="n"/>
      <c r="CT101" s="588" t="n"/>
      <c r="CU101" s="588" t="n"/>
      <c r="CV101" s="588" t="n"/>
      <c r="CW101" s="588" t="n"/>
      <c r="CX101" s="588" t="n"/>
      <c r="CY101" s="588" t="n"/>
      <c r="CZ101" s="588" t="n"/>
      <c r="DA101" s="588" t="n"/>
      <c r="DB101" s="588" t="n"/>
      <c r="DC101" s="588" t="n"/>
      <c r="DD101" s="588" t="n"/>
      <c r="DE101" s="588" t="n"/>
      <c r="DF101" s="588" t="n"/>
      <c r="DG101" s="588" t="n"/>
      <c r="DH101" s="588" t="n"/>
      <c r="DI101" s="588" t="n"/>
      <c r="DJ101" s="588" t="n"/>
      <c r="DK101" s="588" t="n"/>
      <c r="DL101" s="588" t="n"/>
      <c r="DM101" s="588" t="n"/>
      <c r="DN101" s="588" t="n"/>
      <c r="DO101" s="588" t="n"/>
      <c r="DP101" s="588" t="n"/>
      <c r="DQ101" s="588" t="n"/>
      <c r="DR101" s="588" t="n"/>
      <c r="DS101" s="588" t="n"/>
      <c r="DT101" s="588" t="n"/>
      <c r="DU101" s="588" t="n"/>
    </row>
    <row r="102" hidden="1" outlineLevel="1" ht="13.2" customHeight="1" s="450">
      <c r="A102" s="590" t="n"/>
      <c r="B102" s="618" t="inlineStr">
        <is>
          <t>Pe5</t>
        </is>
      </c>
      <c r="C102" s="619" t="n"/>
      <c r="D102" s="619" t="n"/>
      <c r="E102" s="621" t="n"/>
      <c r="F102" s="622">
        <f>+C102*D102</f>
        <v/>
      </c>
      <c r="G102" s="661" t="n"/>
      <c r="H102" s="655" t="n"/>
      <c r="I102" s="619" t="n"/>
      <c r="J102" s="619" t="n"/>
      <c r="K102" s="621">
        <f>+I102*J102</f>
        <v/>
      </c>
      <c r="L102" s="624" t="n"/>
      <c r="M102" s="676" t="n"/>
      <c r="N102" s="645" t="n"/>
      <c r="O102" s="616" t="n"/>
      <c r="P102" s="615" t="n"/>
      <c r="Q102" s="616" t="n"/>
      <c r="R102" s="655" t="n"/>
      <c r="S102" s="621">
        <f>+F102</f>
        <v/>
      </c>
      <c r="T102" s="655" t="n"/>
      <c r="U102" s="615" t="n"/>
      <c r="V102" s="615" t="n"/>
      <c r="W102" s="616" t="n"/>
      <c r="X102" s="676" t="n"/>
      <c r="Z102" s="588" t="n"/>
      <c r="AA102" s="588" t="n"/>
      <c r="AB102" s="588" t="n"/>
      <c r="AC102" s="588" t="n"/>
      <c r="AD102" s="588" t="n"/>
      <c r="AE102" s="588" t="n"/>
      <c r="AF102" s="588" t="n"/>
      <c r="AG102" s="588" t="n"/>
      <c r="AH102" s="588" t="n"/>
      <c r="AI102" s="588" t="n"/>
      <c r="AJ102" s="588" t="n"/>
      <c r="AK102" s="588" t="n"/>
      <c r="AL102" s="588" t="n"/>
      <c r="AM102" s="588" t="n"/>
      <c r="AN102" s="588" t="n"/>
      <c r="AO102" s="588" t="n"/>
      <c r="AP102" s="588" t="n"/>
      <c r="AQ102" s="588" t="n"/>
      <c r="AR102" s="588" t="n"/>
      <c r="AS102" s="588" t="n"/>
      <c r="AT102" s="588" t="n"/>
      <c r="AU102" s="588" t="n"/>
      <c r="AV102" s="588" t="n"/>
      <c r="AW102" s="588" t="n"/>
      <c r="AX102" s="588" t="n"/>
      <c r="AY102" s="588" t="n"/>
      <c r="AZ102" s="588" t="n"/>
      <c r="BA102" s="588" t="n"/>
      <c r="BB102" s="588" t="n"/>
      <c r="BC102" s="588" t="n"/>
      <c r="BD102" s="588" t="n"/>
      <c r="BE102" s="588" t="n"/>
      <c r="BF102" s="588" t="n"/>
      <c r="BG102" s="588" t="n"/>
      <c r="BH102" s="588" t="n"/>
      <c r="BI102" s="588" t="n"/>
      <c r="BJ102" s="588" t="n"/>
      <c r="BK102" s="588" t="n"/>
      <c r="BL102" s="588" t="n"/>
      <c r="BM102" s="588" t="n"/>
      <c r="BN102" s="588" t="n"/>
      <c r="BO102" s="588" t="n"/>
      <c r="BP102" s="588" t="n"/>
      <c r="BQ102" s="588" t="n"/>
      <c r="BR102" s="588" t="n"/>
      <c r="BS102" s="588" t="n"/>
      <c r="BT102" s="588" t="n"/>
      <c r="BU102" s="588" t="n"/>
      <c r="BV102" s="588" t="n"/>
      <c r="BW102" s="588" t="n"/>
      <c r="BX102" s="588" t="n"/>
      <c r="BY102" s="588" t="n"/>
      <c r="BZ102" s="588" t="n"/>
      <c r="CA102" s="588" t="n"/>
      <c r="CB102" s="588" t="n"/>
      <c r="CC102" s="588" t="n"/>
      <c r="CD102" s="588" t="n"/>
      <c r="CE102" s="588" t="n"/>
      <c r="CF102" s="588" t="n"/>
      <c r="CG102" s="588" t="n"/>
      <c r="CH102" s="588" t="n"/>
      <c r="CI102" s="588" t="n"/>
      <c r="CJ102" s="588" t="n"/>
      <c r="CK102" s="588" t="n"/>
      <c r="CL102" s="588" t="n"/>
      <c r="CM102" s="588" t="n"/>
      <c r="CN102" s="588" t="n"/>
      <c r="CO102" s="588" t="n"/>
      <c r="CP102" s="588" t="n"/>
      <c r="CQ102" s="588" t="n"/>
      <c r="CR102" s="588" t="n"/>
      <c r="CS102" s="588" t="n"/>
      <c r="CT102" s="588" t="n"/>
      <c r="CU102" s="588" t="n"/>
      <c r="CV102" s="588" t="n"/>
      <c r="CW102" s="588" t="n"/>
      <c r="CX102" s="588" t="n"/>
      <c r="CY102" s="588" t="n"/>
      <c r="CZ102" s="588" t="n"/>
      <c r="DA102" s="588" t="n"/>
      <c r="DB102" s="588" t="n"/>
      <c r="DC102" s="588" t="n"/>
      <c r="DD102" s="588" t="n"/>
      <c r="DE102" s="588" t="n"/>
      <c r="DF102" s="588" t="n"/>
      <c r="DG102" s="588" t="n"/>
      <c r="DH102" s="588" t="n"/>
      <c r="DI102" s="588" t="n"/>
      <c r="DJ102" s="588" t="n"/>
      <c r="DK102" s="588" t="n"/>
      <c r="DL102" s="588" t="n"/>
      <c r="DM102" s="588" t="n"/>
      <c r="DN102" s="588" t="n"/>
      <c r="DO102" s="588" t="n"/>
      <c r="DP102" s="588" t="n"/>
      <c r="DQ102" s="588" t="n"/>
      <c r="DR102" s="588" t="n"/>
      <c r="DS102" s="588" t="n"/>
      <c r="DT102" s="588" t="n"/>
      <c r="DU102" s="588" t="n"/>
    </row>
    <row r="103" hidden="1" outlineLevel="1" ht="13.2" customHeight="1" s="450">
      <c r="A103" s="590" t="n"/>
      <c r="B103" s="618" t="inlineStr">
        <is>
          <t>Pe6</t>
        </is>
      </c>
      <c r="C103" s="619" t="n"/>
      <c r="D103" s="619" t="n"/>
      <c r="E103" s="621" t="n"/>
      <c r="F103" s="622">
        <f>+C103*D103</f>
        <v/>
      </c>
      <c r="G103" s="661" t="n"/>
      <c r="H103" s="655" t="n"/>
      <c r="I103" s="619" t="n"/>
      <c r="J103" s="619" t="n"/>
      <c r="K103" s="621">
        <f>+I103*J103</f>
        <v/>
      </c>
      <c r="L103" s="624" t="n"/>
      <c r="M103" s="676" t="n"/>
      <c r="N103" s="645" t="n"/>
      <c r="O103" s="616" t="n"/>
      <c r="P103" s="615" t="n"/>
      <c r="Q103" s="616" t="n"/>
      <c r="R103" s="655" t="n"/>
      <c r="S103" s="621">
        <f>+F103</f>
        <v/>
      </c>
      <c r="T103" s="655" t="n"/>
      <c r="U103" s="615" t="n"/>
      <c r="V103" s="615" t="n"/>
      <c r="W103" s="616" t="n"/>
      <c r="X103" s="676" t="n"/>
      <c r="Z103" s="588" t="n"/>
      <c r="AA103" s="588" t="n"/>
      <c r="AB103" s="588" t="n"/>
      <c r="AC103" s="588" t="n"/>
      <c r="AD103" s="588" t="n"/>
      <c r="AE103" s="588" t="n"/>
      <c r="AF103" s="588" t="n"/>
      <c r="AG103" s="588" t="n"/>
      <c r="AH103" s="588" t="n"/>
      <c r="AI103" s="588" t="n"/>
      <c r="AJ103" s="588" t="n"/>
      <c r="AK103" s="588" t="n"/>
      <c r="AL103" s="588" t="n"/>
      <c r="AM103" s="588" t="n"/>
      <c r="AN103" s="588" t="n"/>
      <c r="AO103" s="588" t="n"/>
      <c r="AP103" s="588" t="n"/>
      <c r="AQ103" s="588" t="n"/>
      <c r="AR103" s="588" t="n"/>
      <c r="AS103" s="588" t="n"/>
      <c r="AT103" s="588" t="n"/>
      <c r="AU103" s="588" t="n"/>
      <c r="AV103" s="588" t="n"/>
      <c r="AW103" s="588" t="n"/>
      <c r="AX103" s="588" t="n"/>
      <c r="AY103" s="588" t="n"/>
      <c r="AZ103" s="588" t="n"/>
      <c r="BA103" s="588" t="n"/>
      <c r="BB103" s="588" t="n"/>
      <c r="BC103" s="588" t="n"/>
      <c r="BD103" s="588" t="n"/>
      <c r="BE103" s="588" t="n"/>
      <c r="BF103" s="588" t="n"/>
      <c r="BG103" s="588" t="n"/>
      <c r="BH103" s="588" t="n"/>
      <c r="BI103" s="588" t="n"/>
      <c r="BJ103" s="588" t="n"/>
      <c r="BK103" s="588" t="n"/>
      <c r="BL103" s="588" t="n"/>
      <c r="BM103" s="588" t="n"/>
      <c r="BN103" s="588" t="n"/>
      <c r="BO103" s="588" t="n"/>
      <c r="BP103" s="588" t="n"/>
      <c r="BQ103" s="588" t="n"/>
      <c r="BR103" s="588" t="n"/>
      <c r="BS103" s="588" t="n"/>
      <c r="BT103" s="588" t="n"/>
      <c r="BU103" s="588" t="n"/>
      <c r="BV103" s="588" t="n"/>
      <c r="BW103" s="588" t="n"/>
      <c r="BX103" s="588" t="n"/>
      <c r="BY103" s="588" t="n"/>
      <c r="BZ103" s="588" t="n"/>
      <c r="CA103" s="588" t="n"/>
      <c r="CB103" s="588" t="n"/>
      <c r="CC103" s="588" t="n"/>
      <c r="CD103" s="588" t="n"/>
      <c r="CE103" s="588" t="n"/>
      <c r="CF103" s="588" t="n"/>
      <c r="CG103" s="588" t="n"/>
      <c r="CH103" s="588" t="n"/>
      <c r="CI103" s="588" t="n"/>
      <c r="CJ103" s="588" t="n"/>
      <c r="CK103" s="588" t="n"/>
      <c r="CL103" s="588" t="n"/>
      <c r="CM103" s="588" t="n"/>
      <c r="CN103" s="588" t="n"/>
      <c r="CO103" s="588" t="n"/>
      <c r="CP103" s="588" t="n"/>
      <c r="CQ103" s="588" t="n"/>
      <c r="CR103" s="588" t="n"/>
      <c r="CS103" s="588" t="n"/>
      <c r="CT103" s="588" t="n"/>
      <c r="CU103" s="588" t="n"/>
      <c r="CV103" s="588" t="n"/>
      <c r="CW103" s="588" t="n"/>
      <c r="CX103" s="588" t="n"/>
      <c r="CY103" s="588" t="n"/>
      <c r="CZ103" s="588" t="n"/>
      <c r="DA103" s="588" t="n"/>
      <c r="DB103" s="588" t="n"/>
      <c r="DC103" s="588" t="n"/>
      <c r="DD103" s="588" t="n"/>
      <c r="DE103" s="588" t="n"/>
      <c r="DF103" s="588" t="n"/>
      <c r="DG103" s="588" t="n"/>
      <c r="DH103" s="588" t="n"/>
      <c r="DI103" s="588" t="n"/>
      <c r="DJ103" s="588" t="n"/>
      <c r="DK103" s="588" t="n"/>
      <c r="DL103" s="588" t="n"/>
      <c r="DM103" s="588" t="n"/>
      <c r="DN103" s="588" t="n"/>
      <c r="DO103" s="588" t="n"/>
      <c r="DP103" s="588" t="n"/>
      <c r="DQ103" s="588" t="n"/>
      <c r="DR103" s="588" t="n"/>
      <c r="DS103" s="588" t="n"/>
      <c r="DT103" s="588" t="n"/>
      <c r="DU103" s="588" t="n"/>
    </row>
    <row r="104" hidden="1" outlineLevel="1" ht="13.2" customHeight="1" s="450">
      <c r="A104" s="590" t="n"/>
      <c r="B104" s="618" t="inlineStr">
        <is>
          <t>Pe7</t>
        </is>
      </c>
      <c r="C104" s="619" t="n"/>
      <c r="D104" s="619" t="n"/>
      <c r="E104" s="621" t="n"/>
      <c r="F104" s="622">
        <f>+C104*D104</f>
        <v/>
      </c>
      <c r="G104" s="661" t="n"/>
      <c r="H104" s="655" t="n"/>
      <c r="I104" s="619" t="n"/>
      <c r="J104" s="619" t="n"/>
      <c r="K104" s="621">
        <f>+I104*J104</f>
        <v/>
      </c>
      <c r="L104" s="624" t="n"/>
      <c r="M104" s="676" t="n"/>
      <c r="N104" s="645" t="n"/>
      <c r="O104" s="616" t="n"/>
      <c r="P104" s="615" t="n"/>
      <c r="Q104" s="616" t="n"/>
      <c r="R104" s="655" t="n"/>
      <c r="S104" s="621">
        <f>+F104</f>
        <v/>
      </c>
      <c r="T104" s="655" t="n"/>
      <c r="U104" s="615" t="n"/>
      <c r="V104" s="615" t="n"/>
      <c r="W104" s="616" t="n"/>
      <c r="X104" s="676" t="n"/>
      <c r="Z104" s="588" t="n"/>
      <c r="AA104" s="588" t="n"/>
      <c r="AB104" s="588" t="n"/>
      <c r="AC104" s="588" t="n"/>
      <c r="AD104" s="588" t="n"/>
      <c r="AE104" s="588" t="n"/>
      <c r="AF104" s="588" t="n"/>
      <c r="AG104" s="588" t="n"/>
      <c r="AH104" s="588" t="n"/>
      <c r="AI104" s="588" t="n"/>
      <c r="AJ104" s="588" t="n"/>
      <c r="AK104" s="588" t="n"/>
      <c r="AL104" s="588" t="n"/>
      <c r="AM104" s="588" t="n"/>
      <c r="AN104" s="588" t="n"/>
      <c r="AO104" s="588" t="n"/>
      <c r="AP104" s="588" t="n"/>
      <c r="AQ104" s="588" t="n"/>
      <c r="AR104" s="588" t="n"/>
      <c r="AS104" s="588" t="n"/>
      <c r="AT104" s="588" t="n"/>
      <c r="AU104" s="588" t="n"/>
      <c r="AV104" s="588" t="n"/>
      <c r="AW104" s="588" t="n"/>
      <c r="AX104" s="588" t="n"/>
      <c r="AY104" s="588" t="n"/>
      <c r="AZ104" s="588" t="n"/>
      <c r="BA104" s="588" t="n"/>
      <c r="BB104" s="588" t="n"/>
      <c r="BC104" s="588" t="n"/>
      <c r="BD104" s="588" t="n"/>
      <c r="BE104" s="588" t="n"/>
      <c r="BF104" s="588" t="n"/>
      <c r="BG104" s="588" t="n"/>
      <c r="BH104" s="588" t="n"/>
      <c r="BI104" s="588" t="n"/>
      <c r="BJ104" s="588" t="n"/>
      <c r="BK104" s="588" t="n"/>
      <c r="BL104" s="588" t="n"/>
      <c r="BM104" s="588" t="n"/>
      <c r="BN104" s="588" t="n"/>
      <c r="BO104" s="588" t="n"/>
      <c r="BP104" s="588" t="n"/>
      <c r="BQ104" s="588" t="n"/>
      <c r="BR104" s="588" t="n"/>
      <c r="BS104" s="588" t="n"/>
      <c r="BT104" s="588" t="n"/>
      <c r="BU104" s="588" t="n"/>
      <c r="BV104" s="588" t="n"/>
      <c r="BW104" s="588" t="n"/>
      <c r="BX104" s="588" t="n"/>
      <c r="BY104" s="588" t="n"/>
      <c r="BZ104" s="588" t="n"/>
      <c r="CA104" s="588" t="n"/>
      <c r="CB104" s="588" t="n"/>
      <c r="CC104" s="588" t="n"/>
      <c r="CD104" s="588" t="n"/>
      <c r="CE104" s="588" t="n"/>
      <c r="CF104" s="588" t="n"/>
      <c r="CG104" s="588" t="n"/>
      <c r="CH104" s="588" t="n"/>
      <c r="CI104" s="588" t="n"/>
      <c r="CJ104" s="588" t="n"/>
      <c r="CK104" s="588" t="n"/>
      <c r="CL104" s="588" t="n"/>
      <c r="CM104" s="588" t="n"/>
      <c r="CN104" s="588" t="n"/>
      <c r="CO104" s="588" t="n"/>
      <c r="CP104" s="588" t="n"/>
      <c r="CQ104" s="588" t="n"/>
      <c r="CR104" s="588" t="n"/>
      <c r="CS104" s="588" t="n"/>
      <c r="CT104" s="588" t="n"/>
      <c r="CU104" s="588" t="n"/>
      <c r="CV104" s="588" t="n"/>
      <c r="CW104" s="588" t="n"/>
      <c r="CX104" s="588" t="n"/>
      <c r="CY104" s="588" t="n"/>
      <c r="CZ104" s="588" t="n"/>
      <c r="DA104" s="588" t="n"/>
      <c r="DB104" s="588" t="n"/>
      <c r="DC104" s="588" t="n"/>
      <c r="DD104" s="588" t="n"/>
      <c r="DE104" s="588" t="n"/>
      <c r="DF104" s="588" t="n"/>
      <c r="DG104" s="588" t="n"/>
      <c r="DH104" s="588" t="n"/>
      <c r="DI104" s="588" t="n"/>
      <c r="DJ104" s="588" t="n"/>
      <c r="DK104" s="588" t="n"/>
      <c r="DL104" s="588" t="n"/>
      <c r="DM104" s="588" t="n"/>
      <c r="DN104" s="588" t="n"/>
      <c r="DO104" s="588" t="n"/>
      <c r="DP104" s="588" t="n"/>
      <c r="DQ104" s="588" t="n"/>
      <c r="DR104" s="588" t="n"/>
      <c r="DS104" s="588" t="n"/>
      <c r="DT104" s="588" t="n"/>
      <c r="DU104" s="588" t="n"/>
    </row>
    <row r="105" hidden="1" outlineLevel="1" ht="13.2" customHeight="1" s="450">
      <c r="A105" s="590" t="n"/>
      <c r="B105" s="677" t="n"/>
      <c r="C105" s="678" t="n"/>
      <c r="D105" s="679" t="inlineStr">
        <is>
          <t>Descuentos</t>
        </is>
      </c>
      <c r="E105" s="680">
        <f>-W105</f>
        <v/>
      </c>
      <c r="F105" s="681" t="n">
        <v>-0.05</v>
      </c>
      <c r="G105" s="682" t="n"/>
      <c r="H105" s="602" t="n"/>
      <c r="I105" s="586" t="n"/>
      <c r="J105" s="640" t="inlineStr">
        <is>
          <t>TOTAL</t>
        </is>
      </c>
      <c r="K105" s="635">
        <f>SUM(K98:K104)</f>
        <v/>
      </c>
      <c r="L105" s="669" t="n"/>
      <c r="M105" s="588" t="n"/>
      <c r="N105" s="645" t="n"/>
      <c r="O105" s="602" t="n"/>
      <c r="P105" s="671" t="n"/>
      <c r="Q105" s="602" t="n"/>
      <c r="R105" s="655" t="n"/>
      <c r="S105" s="657">
        <f>SUM(S98:S104)</f>
        <v/>
      </c>
      <c r="T105" s="655" t="n"/>
      <c r="U105" s="588" t="n"/>
      <c r="V105" s="671" t="n"/>
      <c r="W105" s="602" t="n"/>
      <c r="X105" s="588" t="n"/>
      <c r="Z105" s="588" t="n"/>
      <c r="AA105" s="588" t="n"/>
      <c r="AB105" s="588" t="n"/>
      <c r="AC105" s="588" t="n"/>
      <c r="AD105" s="588" t="n"/>
      <c r="AE105" s="588" t="n"/>
      <c r="AF105" s="588" t="n"/>
      <c r="AG105" s="588" t="n"/>
      <c r="AH105" s="588" t="n"/>
      <c r="AI105" s="588" t="n"/>
      <c r="AJ105" s="588" t="n"/>
      <c r="AK105" s="588" t="n"/>
      <c r="AL105" s="588" t="n"/>
      <c r="AM105" s="588" t="n"/>
      <c r="AN105" s="588" t="n"/>
      <c r="AO105" s="588" t="n"/>
      <c r="AP105" s="588" t="n"/>
      <c r="AQ105" s="588" t="n"/>
      <c r="AR105" s="588" t="n"/>
      <c r="AS105" s="588" t="n"/>
      <c r="AT105" s="588" t="n"/>
      <c r="AU105" s="588" t="n"/>
      <c r="AV105" s="588" t="n"/>
      <c r="AW105" s="588" t="n"/>
      <c r="AX105" s="588" t="n"/>
      <c r="AY105" s="588" t="n"/>
      <c r="AZ105" s="588" t="n"/>
      <c r="BA105" s="588" t="n"/>
      <c r="BB105" s="588" t="n"/>
      <c r="BC105" s="588" t="n"/>
      <c r="BD105" s="588" t="n"/>
      <c r="BE105" s="588" t="n"/>
      <c r="BF105" s="588" t="n"/>
      <c r="BG105" s="588" t="n"/>
      <c r="BH105" s="588" t="n"/>
      <c r="BI105" s="588" t="n"/>
      <c r="BJ105" s="588" t="n"/>
      <c r="BK105" s="588" t="n"/>
      <c r="BL105" s="588" t="n"/>
      <c r="BM105" s="588" t="n"/>
      <c r="BN105" s="588" t="n"/>
      <c r="BO105" s="588" t="n"/>
      <c r="BP105" s="588" t="n"/>
      <c r="BQ105" s="588" t="n"/>
      <c r="BR105" s="588" t="n"/>
      <c r="BS105" s="588" t="n"/>
      <c r="BT105" s="588" t="n"/>
      <c r="BU105" s="588" t="n"/>
      <c r="BV105" s="588" t="n"/>
      <c r="BW105" s="588" t="n"/>
      <c r="BX105" s="588" t="n"/>
      <c r="BY105" s="588" t="n"/>
      <c r="BZ105" s="588" t="n"/>
      <c r="CA105" s="588" t="n"/>
      <c r="CB105" s="588" t="n"/>
      <c r="CC105" s="588" t="n"/>
      <c r="CD105" s="588" t="n"/>
      <c r="CE105" s="588" t="n"/>
      <c r="CF105" s="588" t="n"/>
      <c r="CG105" s="588" t="n"/>
      <c r="CH105" s="588" t="n"/>
      <c r="CI105" s="588" t="n"/>
      <c r="CJ105" s="588" t="n"/>
      <c r="CK105" s="588" t="n"/>
      <c r="CL105" s="588" t="n"/>
      <c r="CM105" s="588" t="n"/>
      <c r="CN105" s="588" t="n"/>
      <c r="CO105" s="588" t="n"/>
      <c r="CP105" s="588" t="n"/>
      <c r="CQ105" s="588" t="n"/>
      <c r="CR105" s="588" t="n"/>
      <c r="CS105" s="588" t="n"/>
      <c r="CT105" s="588" t="n"/>
      <c r="CU105" s="588" t="n"/>
      <c r="CV105" s="588" t="n"/>
      <c r="CW105" s="588" t="n"/>
      <c r="CX105" s="588" t="n"/>
      <c r="CY105" s="588" t="n"/>
      <c r="CZ105" s="588" t="n"/>
      <c r="DA105" s="588" t="n"/>
      <c r="DB105" s="588" t="n"/>
      <c r="DC105" s="588" t="n"/>
      <c r="DD105" s="588" t="n"/>
      <c r="DE105" s="588" t="n"/>
      <c r="DF105" s="588" t="n"/>
      <c r="DG105" s="588" t="n"/>
      <c r="DH105" s="588" t="n"/>
      <c r="DI105" s="588" t="n"/>
      <c r="DJ105" s="588" t="n"/>
      <c r="DK105" s="588" t="n"/>
      <c r="DL105" s="588" t="n"/>
      <c r="DM105" s="588" t="n"/>
      <c r="DN105" s="588" t="n"/>
      <c r="DO105" s="588" t="n"/>
      <c r="DP105" s="588" t="n"/>
      <c r="DQ105" s="588" t="n"/>
      <c r="DR105" s="588" t="n"/>
      <c r="DS105" s="588" t="n"/>
      <c r="DT105" s="588" t="n"/>
      <c r="DU105" s="588" t="n"/>
    </row>
    <row r="106" hidden="1" outlineLevel="1" ht="13.2" customHeight="1" s="450">
      <c r="A106" s="590" t="n"/>
      <c r="B106" s="642" t="n"/>
      <c r="C106" s="588" t="n"/>
      <c r="D106" s="643" t="inlineStr">
        <is>
          <t>Sub Total</t>
        </is>
      </c>
      <c r="E106" s="602">
        <f>SUM(E98:E105)</f>
        <v/>
      </c>
      <c r="F106" s="602">
        <f>SUM(F98:F105)</f>
        <v/>
      </c>
      <c r="G106" s="602" t="n"/>
      <c r="H106" s="602" t="n"/>
      <c r="I106" s="598" t="n"/>
      <c r="J106" s="598" t="n"/>
      <c r="K106" s="643" t="n"/>
      <c r="L106" s="602" t="n"/>
      <c r="M106" s="602" t="n"/>
      <c r="N106" s="645" t="n"/>
      <c r="O106" s="670" t="n"/>
      <c r="P106" s="671" t="n"/>
      <c r="Q106" s="602" t="n"/>
      <c r="R106" s="655" t="n"/>
      <c r="S106" s="602" t="n"/>
      <c r="T106" s="655" t="n"/>
      <c r="U106" s="588" t="n"/>
      <c r="V106" s="671" t="n"/>
      <c r="W106" s="602" t="n"/>
      <c r="X106" s="588" t="n"/>
      <c r="Z106" s="588" t="n"/>
      <c r="AA106" s="588" t="n"/>
      <c r="AB106" s="588" t="n"/>
      <c r="AC106" s="588" t="n"/>
      <c r="AD106" s="588" t="n"/>
      <c r="AE106" s="588" t="n"/>
      <c r="AF106" s="588" t="n"/>
      <c r="AG106" s="588" t="n"/>
      <c r="AH106" s="588" t="n"/>
      <c r="AI106" s="588" t="n"/>
      <c r="AJ106" s="588" t="n"/>
      <c r="AK106" s="588" t="n"/>
      <c r="AL106" s="588" t="n"/>
      <c r="AM106" s="588" t="n"/>
      <c r="AN106" s="588" t="n"/>
      <c r="AO106" s="588" t="n"/>
      <c r="AP106" s="588" t="n"/>
      <c r="AQ106" s="588" t="n"/>
      <c r="AR106" s="588" t="n"/>
      <c r="AS106" s="588" t="n"/>
      <c r="AT106" s="588" t="n"/>
      <c r="AU106" s="588" t="n"/>
      <c r="AV106" s="588" t="n"/>
      <c r="AW106" s="588" t="n"/>
      <c r="AX106" s="588" t="n"/>
      <c r="AY106" s="588" t="n"/>
      <c r="AZ106" s="588" t="n"/>
      <c r="BA106" s="588" t="n"/>
      <c r="BB106" s="588" t="n"/>
      <c r="BC106" s="588" t="n"/>
      <c r="BD106" s="588" t="n"/>
      <c r="BE106" s="588" t="n"/>
      <c r="BF106" s="588" t="n"/>
      <c r="BG106" s="588" t="n"/>
      <c r="BH106" s="588" t="n"/>
      <c r="BI106" s="588" t="n"/>
      <c r="BJ106" s="588" t="n"/>
      <c r="BK106" s="588" t="n"/>
      <c r="BL106" s="588" t="n"/>
      <c r="BM106" s="588" t="n"/>
      <c r="BN106" s="588" t="n"/>
      <c r="BO106" s="588" t="n"/>
      <c r="BP106" s="588" t="n"/>
      <c r="BQ106" s="588" t="n"/>
      <c r="BR106" s="588" t="n"/>
      <c r="BS106" s="588" t="n"/>
      <c r="BT106" s="588" t="n"/>
      <c r="BU106" s="588" t="n"/>
      <c r="BV106" s="588" t="n"/>
      <c r="BW106" s="588" t="n"/>
      <c r="BX106" s="588" t="n"/>
      <c r="BY106" s="588" t="n"/>
      <c r="BZ106" s="588" t="n"/>
      <c r="CA106" s="588" t="n"/>
      <c r="CB106" s="588" t="n"/>
      <c r="CC106" s="588" t="n"/>
      <c r="CD106" s="588" t="n"/>
      <c r="CE106" s="588" t="n"/>
      <c r="CF106" s="588" t="n"/>
      <c r="CG106" s="588" t="n"/>
      <c r="CH106" s="588" t="n"/>
      <c r="CI106" s="588" t="n"/>
      <c r="CJ106" s="588" t="n"/>
      <c r="CK106" s="588" t="n"/>
      <c r="CL106" s="588" t="n"/>
      <c r="CM106" s="588" t="n"/>
      <c r="CN106" s="588" t="n"/>
      <c r="CO106" s="588" t="n"/>
      <c r="CP106" s="588" t="n"/>
      <c r="CQ106" s="588" t="n"/>
      <c r="CR106" s="588" t="n"/>
      <c r="CS106" s="588" t="n"/>
      <c r="CT106" s="588" t="n"/>
      <c r="CU106" s="588" t="n"/>
      <c r="CV106" s="588" t="n"/>
      <c r="CW106" s="588" t="n"/>
      <c r="CX106" s="588" t="n"/>
      <c r="CY106" s="588" t="n"/>
      <c r="CZ106" s="588" t="n"/>
      <c r="DA106" s="588" t="n"/>
      <c r="DB106" s="588" t="n"/>
      <c r="DC106" s="588" t="n"/>
      <c r="DD106" s="588" t="n"/>
      <c r="DE106" s="588" t="n"/>
      <c r="DF106" s="588" t="n"/>
      <c r="DG106" s="588" t="n"/>
      <c r="DH106" s="588" t="n"/>
      <c r="DI106" s="588" t="n"/>
      <c r="DJ106" s="588" t="n"/>
      <c r="DK106" s="588" t="n"/>
      <c r="DL106" s="588" t="n"/>
      <c r="DM106" s="588" t="n"/>
      <c r="DN106" s="588" t="n"/>
      <c r="DO106" s="588" t="n"/>
      <c r="DP106" s="588" t="n"/>
      <c r="DQ106" s="588" t="n"/>
      <c r="DR106" s="588" t="n"/>
      <c r="DS106" s="588" t="n"/>
      <c r="DT106" s="588" t="n"/>
      <c r="DU106" s="588" t="n"/>
    </row>
    <row r="107" hidden="1" outlineLevel="1" ht="13.2" customHeight="1" s="450">
      <c r="A107" s="590" t="n"/>
      <c r="B107" s="654" t="n"/>
      <c r="C107" s="654" t="n"/>
      <c r="D107" s="633" t="inlineStr">
        <is>
          <t>Total</t>
        </is>
      </c>
      <c r="E107" s="634">
        <f>SUM(E106:E106)</f>
        <v/>
      </c>
      <c r="F107" s="635">
        <f>SUM(F106:F106)</f>
        <v/>
      </c>
      <c r="G107" s="602" t="n"/>
      <c r="H107" s="602" t="n"/>
      <c r="I107" s="598" t="n"/>
      <c r="J107" s="598" t="n"/>
      <c r="K107" s="656" t="n"/>
      <c r="L107" s="602" t="n"/>
      <c r="M107" s="602" t="n"/>
      <c r="N107" s="645" t="n"/>
      <c r="O107" s="670" t="n"/>
      <c r="P107" s="671" t="n"/>
      <c r="Q107" s="602" t="n"/>
      <c r="R107" s="655" t="n"/>
      <c r="S107" s="602" t="n"/>
      <c r="T107" s="655" t="n"/>
      <c r="U107" s="588" t="n"/>
      <c r="V107" s="671" t="n"/>
      <c r="W107" s="602" t="n"/>
      <c r="X107" s="588" t="n"/>
      <c r="Z107" s="588" t="n"/>
      <c r="AA107" s="588" t="n"/>
      <c r="AB107" s="588" t="n"/>
      <c r="AC107" s="588" t="n"/>
      <c r="AD107" s="588" t="n"/>
      <c r="AE107" s="588" t="n"/>
      <c r="AF107" s="588" t="n"/>
      <c r="AG107" s="588" t="n"/>
      <c r="AH107" s="588" t="n"/>
      <c r="AI107" s="588" t="n"/>
      <c r="AJ107" s="588" t="n"/>
      <c r="AK107" s="588" t="n"/>
      <c r="AL107" s="588" t="n"/>
      <c r="AM107" s="588" t="n"/>
      <c r="AN107" s="588" t="n"/>
      <c r="AO107" s="588" t="n"/>
      <c r="AP107" s="588" t="n"/>
      <c r="AQ107" s="588" t="n"/>
      <c r="AR107" s="588" t="n"/>
      <c r="AS107" s="588" t="n"/>
      <c r="AT107" s="588" t="n"/>
      <c r="AU107" s="588" t="n"/>
      <c r="AV107" s="588" t="n"/>
      <c r="AW107" s="588" t="n"/>
      <c r="AX107" s="588" t="n"/>
      <c r="AY107" s="588" t="n"/>
      <c r="AZ107" s="588" t="n"/>
      <c r="BA107" s="588" t="n"/>
      <c r="BB107" s="588" t="n"/>
      <c r="BC107" s="588" t="n"/>
      <c r="BD107" s="588" t="n"/>
      <c r="BE107" s="588" t="n"/>
      <c r="BF107" s="588" t="n"/>
      <c r="BG107" s="588" t="n"/>
      <c r="BH107" s="588" t="n"/>
      <c r="BI107" s="588" t="n"/>
      <c r="BJ107" s="588" t="n"/>
      <c r="BK107" s="588" t="n"/>
      <c r="BL107" s="588" t="n"/>
      <c r="BM107" s="588" t="n"/>
      <c r="BN107" s="588" t="n"/>
      <c r="BO107" s="588" t="n"/>
      <c r="BP107" s="588" t="n"/>
      <c r="BQ107" s="588" t="n"/>
      <c r="BR107" s="588" t="n"/>
      <c r="BS107" s="588" t="n"/>
      <c r="BT107" s="588" t="n"/>
      <c r="BU107" s="588" t="n"/>
      <c r="BV107" s="588" t="n"/>
      <c r="BW107" s="588" t="n"/>
      <c r="BX107" s="588" t="n"/>
      <c r="BY107" s="588" t="n"/>
      <c r="BZ107" s="588" t="n"/>
      <c r="CA107" s="588" t="n"/>
      <c r="CB107" s="588" t="n"/>
      <c r="CC107" s="588" t="n"/>
      <c r="CD107" s="588" t="n"/>
      <c r="CE107" s="588" t="n"/>
      <c r="CF107" s="588" t="n"/>
      <c r="CG107" s="588" t="n"/>
      <c r="CH107" s="588" t="n"/>
      <c r="CI107" s="588" t="n"/>
      <c r="CJ107" s="588" t="n"/>
      <c r="CK107" s="588" t="n"/>
      <c r="CL107" s="588" t="n"/>
      <c r="CM107" s="588" t="n"/>
      <c r="CN107" s="588" t="n"/>
      <c r="CO107" s="588" t="n"/>
      <c r="CP107" s="588" t="n"/>
      <c r="CQ107" s="588" t="n"/>
      <c r="CR107" s="588" t="n"/>
      <c r="CS107" s="588" t="n"/>
      <c r="CT107" s="588" t="n"/>
      <c r="CU107" s="588" t="n"/>
      <c r="CV107" s="588" t="n"/>
      <c r="CW107" s="588" t="n"/>
      <c r="CX107" s="588" t="n"/>
      <c r="CY107" s="588" t="n"/>
      <c r="CZ107" s="588" t="n"/>
      <c r="DA107" s="588" t="n"/>
      <c r="DB107" s="588" t="n"/>
      <c r="DC107" s="588" t="n"/>
      <c r="DD107" s="588" t="n"/>
      <c r="DE107" s="588" t="n"/>
      <c r="DF107" s="588" t="n"/>
      <c r="DG107" s="588" t="n"/>
      <c r="DH107" s="588" t="n"/>
      <c r="DI107" s="588" t="n"/>
      <c r="DJ107" s="588" t="n"/>
      <c r="DK107" s="588" t="n"/>
      <c r="DL107" s="588" t="n"/>
      <c r="DM107" s="588" t="n"/>
      <c r="DN107" s="588" t="n"/>
      <c r="DO107" s="588" t="n"/>
      <c r="DP107" s="588" t="n"/>
      <c r="DQ107" s="588" t="n"/>
      <c r="DR107" s="588" t="n"/>
      <c r="DS107" s="588" t="n"/>
      <c r="DT107" s="588" t="n"/>
      <c r="DU107" s="588" t="n"/>
    </row>
    <row r="108" collapsed="1" ht="13.2" customHeight="1" s="450">
      <c r="A108" s="590" t="n"/>
      <c r="B108" s="645" t="n"/>
      <c r="C108" s="615" t="n"/>
      <c r="D108" s="656" t="n"/>
      <c r="E108" s="602" t="n"/>
      <c r="F108" s="602" t="n"/>
      <c r="G108" s="602" t="n"/>
      <c r="H108" s="602" t="n"/>
      <c r="I108" s="598" t="n"/>
      <c r="J108" s="598" t="n"/>
      <c r="K108" s="656" t="n"/>
      <c r="L108" s="602" t="n"/>
      <c r="M108" s="602" t="n"/>
      <c r="N108" s="645" t="n"/>
      <c r="O108" s="670" t="n"/>
      <c r="P108" s="671" t="n"/>
      <c r="Q108" s="602" t="n"/>
      <c r="R108" s="655" t="n"/>
      <c r="S108" s="602" t="n"/>
      <c r="T108" s="655" t="n"/>
      <c r="U108" s="588" t="n"/>
      <c r="V108" s="671" t="n"/>
      <c r="W108" s="602" t="n"/>
      <c r="X108" s="588" t="n"/>
      <c r="Z108" s="588" t="n"/>
      <c r="AA108" s="588" t="n"/>
      <c r="AB108" s="588" t="n"/>
      <c r="AC108" s="588" t="n"/>
      <c r="AD108" s="588" t="n"/>
      <c r="AE108" s="588" t="n"/>
      <c r="AF108" s="588" t="n"/>
      <c r="AG108" s="588" t="n"/>
      <c r="AH108" s="588" t="n"/>
      <c r="AI108" s="588" t="n"/>
      <c r="AJ108" s="588" t="n"/>
      <c r="AK108" s="588" t="n"/>
      <c r="AL108" s="588" t="n"/>
      <c r="AM108" s="588" t="n"/>
      <c r="AN108" s="588" t="n"/>
      <c r="AO108" s="588" t="n"/>
      <c r="AP108" s="588" t="n"/>
      <c r="AQ108" s="588" t="n"/>
      <c r="AR108" s="588" t="n"/>
      <c r="AS108" s="588" t="n"/>
      <c r="AT108" s="588" t="n"/>
      <c r="AU108" s="588" t="n"/>
      <c r="AV108" s="588" t="n"/>
      <c r="AW108" s="588" t="n"/>
      <c r="AX108" s="588" t="n"/>
      <c r="AY108" s="588" t="n"/>
      <c r="AZ108" s="588" t="n"/>
      <c r="BA108" s="588" t="n"/>
      <c r="BB108" s="588" t="n"/>
      <c r="BC108" s="588" t="n"/>
      <c r="BD108" s="588" t="n"/>
      <c r="BE108" s="588" t="n"/>
      <c r="BF108" s="588" t="n"/>
      <c r="BG108" s="588" t="n"/>
      <c r="BH108" s="588" t="n"/>
      <c r="BI108" s="588" t="n"/>
      <c r="BJ108" s="588" t="n"/>
      <c r="BK108" s="588" t="n"/>
      <c r="BL108" s="588" t="n"/>
      <c r="BM108" s="588" t="n"/>
      <c r="BN108" s="588" t="n"/>
      <c r="BO108" s="588" t="n"/>
      <c r="BP108" s="588" t="n"/>
      <c r="BQ108" s="588" t="n"/>
      <c r="BR108" s="588" t="n"/>
      <c r="BS108" s="588" t="n"/>
      <c r="BT108" s="588" t="n"/>
      <c r="BU108" s="588" t="n"/>
      <c r="BV108" s="588" t="n"/>
      <c r="BW108" s="588" t="n"/>
      <c r="BX108" s="588" t="n"/>
      <c r="BY108" s="588" t="n"/>
      <c r="BZ108" s="588" t="n"/>
      <c r="CA108" s="588" t="n"/>
      <c r="CB108" s="588" t="n"/>
      <c r="CC108" s="588" t="n"/>
      <c r="CD108" s="588" t="n"/>
      <c r="CE108" s="588" t="n"/>
      <c r="CF108" s="588" t="n"/>
      <c r="CG108" s="588" t="n"/>
      <c r="CH108" s="588" t="n"/>
      <c r="CI108" s="588" t="n"/>
      <c r="CJ108" s="588" t="n"/>
      <c r="CK108" s="588" t="n"/>
      <c r="CL108" s="588" t="n"/>
      <c r="CM108" s="588" t="n"/>
      <c r="CN108" s="588" t="n"/>
      <c r="CO108" s="588" t="n"/>
      <c r="CP108" s="588" t="n"/>
      <c r="CQ108" s="588" t="n"/>
      <c r="CR108" s="588" t="n"/>
      <c r="CS108" s="588" t="n"/>
      <c r="CT108" s="588" t="n"/>
      <c r="CU108" s="588" t="n"/>
      <c r="CV108" s="588" t="n"/>
      <c r="CW108" s="588" t="n"/>
      <c r="CX108" s="588" t="n"/>
      <c r="CY108" s="588" t="n"/>
      <c r="CZ108" s="588" t="n"/>
      <c r="DA108" s="588" t="n"/>
      <c r="DB108" s="588" t="n"/>
      <c r="DC108" s="588" t="n"/>
      <c r="DD108" s="588" t="n"/>
      <c r="DE108" s="588" t="n"/>
      <c r="DF108" s="588" t="n"/>
      <c r="DG108" s="588" t="n"/>
      <c r="DH108" s="588" t="n"/>
      <c r="DI108" s="588" t="n"/>
      <c r="DJ108" s="588" t="n"/>
      <c r="DK108" s="588" t="n"/>
      <c r="DL108" s="588" t="n"/>
      <c r="DM108" s="588" t="n"/>
      <c r="DN108" s="588" t="n"/>
      <c r="DO108" s="588" t="n"/>
      <c r="DP108" s="588" t="n"/>
      <c r="DQ108" s="588" t="n"/>
      <c r="DR108" s="588" t="n"/>
      <c r="DS108" s="588" t="n"/>
      <c r="DT108" s="588" t="n"/>
      <c r="DU108" s="588" t="n"/>
    </row>
    <row r="109" ht="13.2" customHeight="1" s="450">
      <c r="A109" s="590" t="n"/>
      <c r="B109" s="600" t="inlineStr">
        <is>
          <t>Grass</t>
        </is>
      </c>
      <c r="C109" s="581" t="n"/>
      <c r="D109" s="582" t="n"/>
      <c r="E109" s="601" t="inlineStr">
        <is>
          <t>Rep.</t>
        </is>
      </c>
      <c r="F109" s="603" t="n"/>
      <c r="G109" s="602" t="n"/>
      <c r="H109" s="655" t="n"/>
      <c r="I109" s="607" t="n"/>
      <c r="J109" s="607" t="n"/>
      <c r="K109" s="607" t="n"/>
      <c r="L109" s="607" t="n"/>
      <c r="M109" s="607" t="n"/>
      <c r="N109" s="645" t="n"/>
      <c r="O109" s="670" t="n"/>
      <c r="P109" s="671" t="n"/>
      <c r="Q109" s="602" t="n"/>
      <c r="R109" s="655" t="n"/>
      <c r="S109" s="602" t="n"/>
      <c r="T109" s="655" t="n"/>
      <c r="U109" s="588" t="n"/>
      <c r="V109" s="671" t="n"/>
      <c r="W109" s="602" t="n"/>
      <c r="X109" s="588" t="n"/>
      <c r="Z109" s="588" t="n"/>
      <c r="AA109" s="588" t="n"/>
      <c r="AB109" s="588" t="n"/>
      <c r="AC109" s="588" t="n"/>
      <c r="AD109" s="588" t="n"/>
      <c r="AE109" s="588" t="n"/>
      <c r="AF109" s="588" t="n"/>
      <c r="AG109" s="588" t="n"/>
      <c r="AH109" s="588" t="n"/>
      <c r="AI109" s="588" t="n"/>
      <c r="AJ109" s="588" t="n"/>
      <c r="AK109" s="588" t="n"/>
      <c r="AL109" s="588" t="n"/>
      <c r="AM109" s="588" t="n"/>
      <c r="AN109" s="588" t="n"/>
      <c r="AO109" s="588" t="n"/>
      <c r="AP109" s="588" t="n"/>
      <c r="AQ109" s="588" t="n"/>
      <c r="AR109" s="588" t="n"/>
      <c r="AS109" s="588" t="n"/>
      <c r="AT109" s="588" t="n"/>
      <c r="AU109" s="588" t="n"/>
      <c r="AV109" s="588" t="n"/>
      <c r="AW109" s="588" t="n"/>
      <c r="AX109" s="588" t="n"/>
      <c r="AY109" s="588" t="n"/>
      <c r="AZ109" s="588" t="n"/>
      <c r="BA109" s="588" t="n"/>
      <c r="BB109" s="588" t="n"/>
      <c r="BC109" s="588" t="n"/>
      <c r="BD109" s="588" t="n"/>
      <c r="BE109" s="588" t="n"/>
      <c r="BF109" s="588" t="n"/>
      <c r="BG109" s="588" t="n"/>
      <c r="BH109" s="588" t="n"/>
      <c r="BI109" s="588" t="n"/>
      <c r="BJ109" s="588" t="n"/>
      <c r="BK109" s="588" t="n"/>
      <c r="BL109" s="588" t="n"/>
      <c r="BM109" s="588" t="n"/>
      <c r="BN109" s="588" t="n"/>
      <c r="BO109" s="588" t="n"/>
      <c r="BP109" s="588" t="n"/>
      <c r="BQ109" s="588" t="n"/>
      <c r="BR109" s="588" t="n"/>
      <c r="BS109" s="588" t="n"/>
      <c r="BT109" s="588" t="n"/>
      <c r="BU109" s="588" t="n"/>
      <c r="BV109" s="588" t="n"/>
      <c r="BW109" s="588" t="n"/>
      <c r="BX109" s="588" t="n"/>
      <c r="BY109" s="588" t="n"/>
      <c r="BZ109" s="588" t="n"/>
      <c r="CA109" s="588" t="n"/>
      <c r="CB109" s="588" t="n"/>
      <c r="CC109" s="588" t="n"/>
      <c r="CD109" s="588" t="n"/>
      <c r="CE109" s="588" t="n"/>
      <c r="CF109" s="588" t="n"/>
      <c r="CG109" s="588" t="n"/>
      <c r="CH109" s="588" t="n"/>
      <c r="CI109" s="588" t="n"/>
      <c r="CJ109" s="588" t="n"/>
      <c r="CK109" s="588" t="n"/>
      <c r="CL109" s="588" t="n"/>
      <c r="CM109" s="588" t="n"/>
      <c r="CN109" s="588" t="n"/>
      <c r="CO109" s="588" t="n"/>
      <c r="CP109" s="588" t="n"/>
      <c r="CQ109" s="588" t="n"/>
      <c r="CR109" s="588" t="n"/>
      <c r="CS109" s="588" t="n"/>
      <c r="CT109" s="588" t="n"/>
      <c r="CU109" s="588" t="n"/>
      <c r="CV109" s="588" t="n"/>
      <c r="CW109" s="588" t="n"/>
      <c r="CX109" s="588" t="n"/>
      <c r="CY109" s="588" t="n"/>
      <c r="CZ109" s="588" t="n"/>
      <c r="DA109" s="588" t="n"/>
      <c r="DB109" s="588" t="n"/>
      <c r="DC109" s="588" t="n"/>
      <c r="DD109" s="588" t="n"/>
      <c r="DE109" s="588" t="n"/>
      <c r="DF109" s="588" t="n"/>
      <c r="DG109" s="588" t="n"/>
      <c r="DH109" s="588" t="n"/>
      <c r="DI109" s="588" t="n"/>
      <c r="DJ109" s="588" t="n"/>
      <c r="DK109" s="588" t="n"/>
      <c r="DL109" s="588" t="n"/>
      <c r="DM109" s="588" t="n"/>
      <c r="DN109" s="588" t="n"/>
      <c r="DO109" s="588" t="n"/>
      <c r="DP109" s="588" t="n"/>
      <c r="DQ109" s="588" t="n"/>
      <c r="DR109" s="588" t="n"/>
      <c r="DS109" s="588" t="n"/>
      <c r="DT109" s="588" t="n"/>
      <c r="DU109" s="588" t="n"/>
    </row>
    <row r="110" outlineLevel="1" ht="13.2" customHeight="1" s="450">
      <c r="A110" s="590" t="n"/>
      <c r="B110" s="601" t="inlineStr">
        <is>
          <t>N°</t>
        </is>
      </c>
      <c r="C110" s="601" t="inlineStr">
        <is>
          <t>Largo</t>
        </is>
      </c>
      <c r="D110" s="659" t="inlineStr">
        <is>
          <t>Ancho</t>
        </is>
      </c>
      <c r="E110" s="601" t="inlineStr">
        <is>
          <t>m2</t>
        </is>
      </c>
      <c r="F110" s="603" t="n"/>
      <c r="G110" s="603" t="n"/>
      <c r="H110" s="655" t="n"/>
      <c r="I110" s="603" t="n"/>
      <c r="J110" s="603" t="n"/>
      <c r="K110" s="603" t="n"/>
      <c r="L110" s="603" t="n"/>
      <c r="M110" s="603" t="n"/>
      <c r="N110" s="645" t="n"/>
      <c r="O110" s="670" t="n"/>
      <c r="P110" s="671" t="n"/>
      <c r="Q110" s="602" t="n"/>
      <c r="R110" s="655" t="n"/>
      <c r="S110" s="602" t="n"/>
      <c r="T110" s="655" t="n"/>
      <c r="U110" s="588" t="n"/>
      <c r="V110" s="671" t="n"/>
      <c r="W110" s="602" t="n"/>
      <c r="X110" s="588" t="n"/>
      <c r="Z110" s="588" t="n"/>
      <c r="AA110" s="588" t="n"/>
      <c r="AB110" s="588" t="n"/>
      <c r="AC110" s="588" t="n"/>
      <c r="AD110" s="588" t="n"/>
      <c r="AE110" s="588" t="n"/>
      <c r="AF110" s="588" t="n"/>
      <c r="AG110" s="588" t="n"/>
      <c r="AH110" s="588" t="n"/>
      <c r="AI110" s="588" t="n"/>
      <c r="AJ110" s="588" t="n"/>
      <c r="AK110" s="588" t="n"/>
      <c r="AL110" s="588" t="n"/>
      <c r="AM110" s="588" t="n"/>
      <c r="AN110" s="588" t="n"/>
      <c r="AO110" s="588" t="n"/>
      <c r="AP110" s="588" t="n"/>
      <c r="AQ110" s="588" t="n"/>
      <c r="AR110" s="588" t="n"/>
      <c r="AS110" s="588" t="n"/>
      <c r="AT110" s="588" t="n"/>
      <c r="AU110" s="588" t="n"/>
      <c r="AV110" s="588" t="n"/>
      <c r="AW110" s="588" t="n"/>
      <c r="AX110" s="588" t="n"/>
      <c r="AY110" s="588" t="n"/>
      <c r="AZ110" s="588" t="n"/>
      <c r="BA110" s="588" t="n"/>
      <c r="BB110" s="588" t="n"/>
      <c r="BC110" s="588" t="n"/>
      <c r="BD110" s="588" t="n"/>
      <c r="BE110" s="588" t="n"/>
      <c r="BF110" s="588" t="n"/>
      <c r="BG110" s="588" t="n"/>
      <c r="BH110" s="588" t="n"/>
      <c r="BI110" s="588" t="n"/>
      <c r="BJ110" s="588" t="n"/>
      <c r="BK110" s="588" t="n"/>
      <c r="BL110" s="588" t="n"/>
      <c r="BM110" s="588" t="n"/>
      <c r="BN110" s="588" t="n"/>
      <c r="BO110" s="588" t="n"/>
      <c r="BP110" s="588" t="n"/>
      <c r="BQ110" s="588" t="n"/>
      <c r="BR110" s="588" t="n"/>
      <c r="BS110" s="588" t="n"/>
      <c r="BT110" s="588" t="n"/>
      <c r="BU110" s="588" t="n"/>
      <c r="BV110" s="588" t="n"/>
      <c r="BW110" s="588" t="n"/>
      <c r="BX110" s="588" t="n"/>
      <c r="BY110" s="588" t="n"/>
      <c r="BZ110" s="588" t="n"/>
      <c r="CA110" s="588" t="n"/>
      <c r="CB110" s="588" t="n"/>
      <c r="CC110" s="588" t="n"/>
      <c r="CD110" s="588" t="n"/>
      <c r="CE110" s="588" t="n"/>
      <c r="CF110" s="588" t="n"/>
      <c r="CG110" s="588" t="n"/>
      <c r="CH110" s="588" t="n"/>
      <c r="CI110" s="588" t="n"/>
      <c r="CJ110" s="588" t="n"/>
      <c r="CK110" s="588" t="n"/>
      <c r="CL110" s="588" t="n"/>
      <c r="CM110" s="588" t="n"/>
      <c r="CN110" s="588" t="n"/>
      <c r="CO110" s="588" t="n"/>
      <c r="CP110" s="588" t="n"/>
      <c r="CQ110" s="588" t="n"/>
      <c r="CR110" s="588" t="n"/>
      <c r="CS110" s="588" t="n"/>
      <c r="CT110" s="588" t="n"/>
      <c r="CU110" s="588" t="n"/>
      <c r="CV110" s="588" t="n"/>
      <c r="CW110" s="588" t="n"/>
      <c r="CX110" s="588" t="n"/>
      <c r="CY110" s="588" t="n"/>
      <c r="CZ110" s="588" t="n"/>
      <c r="DA110" s="588" t="n"/>
      <c r="DB110" s="588" t="n"/>
      <c r="DC110" s="588" t="n"/>
      <c r="DD110" s="588" t="n"/>
      <c r="DE110" s="588" t="n"/>
      <c r="DF110" s="588" t="n"/>
      <c r="DG110" s="588" t="n"/>
      <c r="DH110" s="588" t="n"/>
      <c r="DI110" s="588" t="n"/>
      <c r="DJ110" s="588" t="n"/>
      <c r="DK110" s="588" t="n"/>
      <c r="DL110" s="588" t="n"/>
      <c r="DM110" s="588" t="n"/>
      <c r="DN110" s="588" t="n"/>
      <c r="DO110" s="588" t="n"/>
      <c r="DP110" s="588" t="n"/>
      <c r="DQ110" s="588" t="n"/>
      <c r="DR110" s="588" t="n"/>
      <c r="DS110" s="588" t="n"/>
      <c r="DT110" s="588" t="n"/>
      <c r="DU110" s="588" t="n"/>
    </row>
    <row r="111" outlineLevel="1" ht="13.2" customHeight="1" s="450">
      <c r="A111" s="590" t="n"/>
      <c r="B111" s="608" t="inlineStr">
        <is>
          <t>G1</t>
        </is>
      </c>
      <c r="C111" s="614" t="n"/>
      <c r="D111" s="614" t="n"/>
      <c r="E111" s="611">
        <f>+C111*D111</f>
        <v/>
      </c>
      <c r="F111" s="616" t="n"/>
      <c r="G111" s="683" t="n"/>
      <c r="H111" s="655" t="n"/>
      <c r="I111" s="645" t="n"/>
      <c r="J111" s="615" t="n"/>
      <c r="K111" s="615" t="n"/>
      <c r="L111" s="616" t="n"/>
      <c r="M111" s="676" t="n"/>
      <c r="N111" s="645" t="n"/>
      <c r="O111" s="670" t="n"/>
      <c r="P111" s="671" t="n"/>
      <c r="Q111" s="602" t="n"/>
      <c r="R111" s="655" t="n"/>
      <c r="S111" s="655" t="n"/>
      <c r="T111" s="655" t="n"/>
      <c r="U111" s="588" t="n"/>
      <c r="V111" s="588" t="n"/>
      <c r="W111" s="602" t="n"/>
      <c r="X111" s="588" t="n"/>
      <c r="Z111" s="588" t="n"/>
      <c r="AA111" s="588" t="n"/>
      <c r="AB111" s="588" t="n"/>
      <c r="AC111" s="588" t="n"/>
      <c r="AD111" s="588" t="n"/>
      <c r="AE111" s="588" t="n"/>
      <c r="AF111" s="588" t="n"/>
      <c r="AG111" s="588" t="n"/>
      <c r="AH111" s="588" t="n"/>
      <c r="AI111" s="588" t="n"/>
      <c r="AJ111" s="588" t="n"/>
      <c r="AK111" s="588" t="n"/>
      <c r="AL111" s="588" t="n"/>
      <c r="AM111" s="588" t="n"/>
      <c r="AN111" s="588" t="n"/>
      <c r="AO111" s="588" t="n"/>
      <c r="AP111" s="588" t="n"/>
      <c r="AQ111" s="588" t="n"/>
      <c r="AR111" s="588" t="n"/>
      <c r="AS111" s="588" t="n"/>
      <c r="AT111" s="588" t="n"/>
      <c r="AU111" s="588" t="n"/>
      <c r="AV111" s="588" t="n"/>
      <c r="AW111" s="588" t="n"/>
      <c r="AX111" s="588" t="n"/>
      <c r="AY111" s="588" t="n"/>
      <c r="AZ111" s="588" t="n"/>
      <c r="BA111" s="588" t="n"/>
      <c r="BB111" s="588" t="n"/>
      <c r="BC111" s="588" t="n"/>
      <c r="BD111" s="588" t="n"/>
      <c r="BE111" s="588" t="n"/>
      <c r="BF111" s="588" t="n"/>
      <c r="BG111" s="588" t="n"/>
      <c r="BH111" s="588" t="n"/>
      <c r="BI111" s="588" t="n"/>
      <c r="BJ111" s="588" t="n"/>
      <c r="BK111" s="588" t="n"/>
      <c r="BL111" s="588" t="n"/>
      <c r="BM111" s="588" t="n"/>
      <c r="BN111" s="588" t="n"/>
      <c r="BO111" s="588" t="n"/>
      <c r="BP111" s="588" t="n"/>
      <c r="BQ111" s="588" t="n"/>
      <c r="BR111" s="588" t="n"/>
      <c r="BS111" s="588" t="n"/>
      <c r="BT111" s="588" t="n"/>
      <c r="BU111" s="588" t="n"/>
      <c r="BV111" s="588" t="n"/>
      <c r="BW111" s="588" t="n"/>
      <c r="BX111" s="588" t="n"/>
      <c r="BY111" s="588" t="n"/>
      <c r="BZ111" s="588" t="n"/>
      <c r="CA111" s="588" t="n"/>
      <c r="CB111" s="588" t="n"/>
      <c r="CC111" s="588" t="n"/>
      <c r="CD111" s="588" t="n"/>
      <c r="CE111" s="588" t="n"/>
      <c r="CF111" s="588" t="n"/>
      <c r="CG111" s="588" t="n"/>
      <c r="CH111" s="588" t="n"/>
      <c r="CI111" s="588" t="n"/>
      <c r="CJ111" s="588" t="n"/>
      <c r="CK111" s="588" t="n"/>
      <c r="CL111" s="588" t="n"/>
      <c r="CM111" s="588" t="n"/>
      <c r="CN111" s="588" t="n"/>
      <c r="CO111" s="588" t="n"/>
      <c r="CP111" s="588" t="n"/>
      <c r="CQ111" s="588" t="n"/>
      <c r="CR111" s="588" t="n"/>
      <c r="CS111" s="588" t="n"/>
      <c r="CT111" s="588" t="n"/>
      <c r="CU111" s="588" t="n"/>
      <c r="CV111" s="588" t="n"/>
      <c r="CW111" s="588" t="n"/>
      <c r="CX111" s="588" t="n"/>
      <c r="CY111" s="588" t="n"/>
      <c r="CZ111" s="588" t="n"/>
      <c r="DA111" s="588" t="n"/>
      <c r="DB111" s="588" t="n"/>
      <c r="DC111" s="588" t="n"/>
      <c r="DD111" s="588" t="n"/>
      <c r="DE111" s="588" t="n"/>
      <c r="DF111" s="588" t="n"/>
      <c r="DG111" s="588" t="n"/>
      <c r="DH111" s="588" t="n"/>
      <c r="DI111" s="588" t="n"/>
      <c r="DJ111" s="588" t="n"/>
      <c r="DK111" s="588" t="n"/>
      <c r="DL111" s="588" t="n"/>
      <c r="DM111" s="588" t="n"/>
      <c r="DN111" s="588" t="n"/>
      <c r="DO111" s="588" t="n"/>
      <c r="DP111" s="588" t="n"/>
      <c r="DQ111" s="588" t="n"/>
      <c r="DR111" s="588" t="n"/>
      <c r="DS111" s="588" t="n"/>
      <c r="DT111" s="588" t="n"/>
      <c r="DU111" s="588" t="n"/>
    </row>
    <row r="112" outlineLevel="1" ht="13.2" customHeight="1" s="450">
      <c r="A112" s="590" t="n"/>
      <c r="B112" s="618" t="inlineStr">
        <is>
          <t>G2</t>
        </is>
      </c>
      <c r="C112" s="619" t="n"/>
      <c r="D112" s="619" t="n"/>
      <c r="E112" s="621">
        <f>+C112*D112</f>
        <v/>
      </c>
      <c r="F112" s="616" t="n"/>
      <c r="G112" s="683" t="n"/>
      <c r="H112" s="655" t="n"/>
      <c r="I112" s="645" t="n"/>
      <c r="J112" s="615" t="n"/>
      <c r="K112" s="615" t="n"/>
      <c r="L112" s="616" t="n"/>
      <c r="M112" s="676" t="n"/>
      <c r="N112" s="645" t="n"/>
      <c r="O112" s="670" t="n"/>
      <c r="P112" s="671" t="n"/>
      <c r="Q112" s="602" t="n"/>
      <c r="R112" s="655" t="n"/>
      <c r="S112" s="655" t="n"/>
      <c r="T112" s="655" t="n"/>
      <c r="U112" s="588" t="n"/>
      <c r="V112" s="588" t="n"/>
      <c r="W112" s="602" t="n"/>
      <c r="X112" s="588" t="n"/>
      <c r="Z112" s="588" t="n"/>
      <c r="AA112" s="588" t="n"/>
      <c r="AB112" s="588" t="n"/>
      <c r="AC112" s="588" t="n"/>
      <c r="AD112" s="588" t="n"/>
      <c r="AE112" s="588" t="n"/>
      <c r="AF112" s="588" t="n"/>
      <c r="AG112" s="588" t="n"/>
      <c r="AH112" s="588" t="n"/>
      <c r="AI112" s="588" t="n"/>
      <c r="AJ112" s="588" t="n"/>
      <c r="AK112" s="588" t="n"/>
      <c r="AL112" s="588" t="n"/>
      <c r="AM112" s="588" t="n"/>
      <c r="AN112" s="588" t="n"/>
      <c r="AO112" s="588" t="n"/>
      <c r="AP112" s="588" t="n"/>
      <c r="AQ112" s="588" t="n"/>
      <c r="AR112" s="588" t="n"/>
      <c r="AS112" s="588" t="n"/>
      <c r="AT112" s="588" t="n"/>
      <c r="AU112" s="588" t="n"/>
      <c r="AV112" s="588" t="n"/>
      <c r="AW112" s="588" t="n"/>
      <c r="AX112" s="588" t="n"/>
      <c r="AY112" s="588" t="n"/>
      <c r="AZ112" s="588" t="n"/>
      <c r="BA112" s="588" t="n"/>
      <c r="BB112" s="588" t="n"/>
      <c r="BC112" s="588" t="n"/>
      <c r="BD112" s="588" t="n"/>
      <c r="BE112" s="588" t="n"/>
      <c r="BF112" s="588" t="n"/>
      <c r="BG112" s="588" t="n"/>
      <c r="BH112" s="588" t="n"/>
      <c r="BI112" s="588" t="n"/>
      <c r="BJ112" s="588" t="n"/>
      <c r="BK112" s="588" t="n"/>
      <c r="BL112" s="588" t="n"/>
      <c r="BM112" s="588" t="n"/>
      <c r="BN112" s="588" t="n"/>
      <c r="BO112" s="588" t="n"/>
      <c r="BP112" s="588" t="n"/>
      <c r="BQ112" s="588" t="n"/>
      <c r="BR112" s="588" t="n"/>
      <c r="BS112" s="588" t="n"/>
      <c r="BT112" s="588" t="n"/>
      <c r="BU112" s="588" t="n"/>
      <c r="BV112" s="588" t="n"/>
      <c r="BW112" s="588" t="n"/>
      <c r="BX112" s="588" t="n"/>
      <c r="BY112" s="588" t="n"/>
      <c r="BZ112" s="588" t="n"/>
      <c r="CA112" s="588" t="n"/>
      <c r="CB112" s="588" t="n"/>
      <c r="CC112" s="588" t="n"/>
      <c r="CD112" s="588" t="n"/>
      <c r="CE112" s="588" t="n"/>
      <c r="CF112" s="588" t="n"/>
      <c r="CG112" s="588" t="n"/>
      <c r="CH112" s="588" t="n"/>
      <c r="CI112" s="588" t="n"/>
      <c r="CJ112" s="588" t="n"/>
      <c r="CK112" s="588" t="n"/>
      <c r="CL112" s="588" t="n"/>
      <c r="CM112" s="588" t="n"/>
      <c r="CN112" s="588" t="n"/>
      <c r="CO112" s="588" t="n"/>
      <c r="CP112" s="588" t="n"/>
      <c r="CQ112" s="588" t="n"/>
      <c r="CR112" s="588" t="n"/>
      <c r="CS112" s="588" t="n"/>
      <c r="CT112" s="588" t="n"/>
      <c r="CU112" s="588" t="n"/>
      <c r="CV112" s="588" t="n"/>
      <c r="CW112" s="588" t="n"/>
      <c r="CX112" s="588" t="n"/>
      <c r="CY112" s="588" t="n"/>
      <c r="CZ112" s="588" t="n"/>
      <c r="DA112" s="588" t="n"/>
      <c r="DB112" s="588" t="n"/>
      <c r="DC112" s="588" t="n"/>
      <c r="DD112" s="588" t="n"/>
      <c r="DE112" s="588" t="n"/>
      <c r="DF112" s="588" t="n"/>
      <c r="DG112" s="588" t="n"/>
      <c r="DH112" s="588" t="n"/>
      <c r="DI112" s="588" t="n"/>
      <c r="DJ112" s="588" t="n"/>
      <c r="DK112" s="588" t="n"/>
      <c r="DL112" s="588" t="n"/>
      <c r="DM112" s="588" t="n"/>
      <c r="DN112" s="588" t="n"/>
      <c r="DO112" s="588" t="n"/>
      <c r="DP112" s="588" t="n"/>
      <c r="DQ112" s="588" t="n"/>
      <c r="DR112" s="588" t="n"/>
      <c r="DS112" s="588" t="n"/>
      <c r="DT112" s="588" t="n"/>
      <c r="DU112" s="588" t="n"/>
    </row>
    <row r="113" outlineLevel="1" ht="13.2" customHeight="1" s="450">
      <c r="A113" s="590" t="n"/>
      <c r="B113" s="618" t="inlineStr">
        <is>
          <t>G3</t>
        </is>
      </c>
      <c r="C113" s="619" t="n"/>
      <c r="D113" s="619" t="n"/>
      <c r="E113" s="621">
        <f>+C113*D113</f>
        <v/>
      </c>
      <c r="F113" s="616" t="n"/>
      <c r="G113" s="683" t="n"/>
      <c r="H113" s="655" t="n"/>
      <c r="I113" s="645" t="n"/>
      <c r="J113" s="615" t="n"/>
      <c r="K113" s="615" t="n"/>
      <c r="L113" s="616" t="n"/>
      <c r="M113" s="676" t="n"/>
      <c r="N113" s="645" t="n"/>
      <c r="O113" s="670" t="n"/>
      <c r="P113" s="671" t="n"/>
      <c r="Q113" s="602" t="n"/>
      <c r="R113" s="655" t="n"/>
      <c r="S113" s="655" t="n"/>
      <c r="T113" s="655" t="n"/>
      <c r="U113" s="588" t="n"/>
      <c r="V113" s="588" t="n"/>
      <c r="W113" s="602" t="n"/>
      <c r="X113" s="588" t="n"/>
      <c r="Z113" s="588" t="n"/>
      <c r="AA113" s="588" t="n"/>
      <c r="AB113" s="588" t="n"/>
      <c r="AC113" s="588" t="n"/>
      <c r="AD113" s="588" t="n"/>
      <c r="AE113" s="588" t="n"/>
      <c r="AF113" s="588" t="n"/>
      <c r="AG113" s="588" t="n"/>
      <c r="AH113" s="588" t="n"/>
      <c r="AI113" s="588" t="n"/>
      <c r="AJ113" s="588" t="n"/>
      <c r="AK113" s="588" t="n"/>
      <c r="AL113" s="588" t="n"/>
      <c r="AM113" s="588" t="n"/>
      <c r="AN113" s="588" t="n"/>
      <c r="AO113" s="588" t="n"/>
      <c r="AP113" s="588" t="n"/>
      <c r="AQ113" s="588" t="n"/>
      <c r="AR113" s="588" t="n"/>
      <c r="AS113" s="588" t="n"/>
      <c r="AT113" s="588" t="n"/>
      <c r="AU113" s="588" t="n"/>
      <c r="AV113" s="588" t="n"/>
      <c r="AW113" s="588" t="n"/>
      <c r="AX113" s="588" t="n"/>
      <c r="AY113" s="588" t="n"/>
      <c r="AZ113" s="588" t="n"/>
      <c r="BA113" s="588" t="n"/>
      <c r="BB113" s="588" t="n"/>
      <c r="BC113" s="588" t="n"/>
      <c r="BD113" s="588" t="n"/>
      <c r="BE113" s="588" t="n"/>
      <c r="BF113" s="588" t="n"/>
      <c r="BG113" s="588" t="n"/>
      <c r="BH113" s="588" t="n"/>
      <c r="BI113" s="588" t="n"/>
      <c r="BJ113" s="588" t="n"/>
      <c r="BK113" s="588" t="n"/>
      <c r="BL113" s="588" t="n"/>
      <c r="BM113" s="588" t="n"/>
      <c r="BN113" s="588" t="n"/>
      <c r="BO113" s="588" t="n"/>
      <c r="BP113" s="588" t="n"/>
      <c r="BQ113" s="588" t="n"/>
      <c r="BR113" s="588" t="n"/>
      <c r="BS113" s="588" t="n"/>
      <c r="BT113" s="588" t="n"/>
      <c r="BU113" s="588" t="n"/>
      <c r="BV113" s="588" t="n"/>
      <c r="BW113" s="588" t="n"/>
      <c r="BX113" s="588" t="n"/>
      <c r="BY113" s="588" t="n"/>
      <c r="BZ113" s="588" t="n"/>
      <c r="CA113" s="588" t="n"/>
      <c r="CB113" s="588" t="n"/>
      <c r="CC113" s="588" t="n"/>
      <c r="CD113" s="588" t="n"/>
      <c r="CE113" s="588" t="n"/>
      <c r="CF113" s="588" t="n"/>
      <c r="CG113" s="588" t="n"/>
      <c r="CH113" s="588" t="n"/>
      <c r="CI113" s="588" t="n"/>
      <c r="CJ113" s="588" t="n"/>
      <c r="CK113" s="588" t="n"/>
      <c r="CL113" s="588" t="n"/>
      <c r="CM113" s="588" t="n"/>
      <c r="CN113" s="588" t="n"/>
      <c r="CO113" s="588" t="n"/>
      <c r="CP113" s="588" t="n"/>
      <c r="CQ113" s="588" t="n"/>
      <c r="CR113" s="588" t="n"/>
      <c r="CS113" s="588" t="n"/>
      <c r="CT113" s="588" t="n"/>
      <c r="CU113" s="588" t="n"/>
      <c r="CV113" s="588" t="n"/>
      <c r="CW113" s="588" t="n"/>
      <c r="CX113" s="588" t="n"/>
      <c r="CY113" s="588" t="n"/>
      <c r="CZ113" s="588" t="n"/>
      <c r="DA113" s="588" t="n"/>
      <c r="DB113" s="588" t="n"/>
      <c r="DC113" s="588" t="n"/>
      <c r="DD113" s="588" t="n"/>
      <c r="DE113" s="588" t="n"/>
      <c r="DF113" s="588" t="n"/>
      <c r="DG113" s="588" t="n"/>
      <c r="DH113" s="588" t="n"/>
      <c r="DI113" s="588" t="n"/>
      <c r="DJ113" s="588" t="n"/>
      <c r="DK113" s="588" t="n"/>
      <c r="DL113" s="588" t="n"/>
      <c r="DM113" s="588" t="n"/>
      <c r="DN113" s="588" t="n"/>
      <c r="DO113" s="588" t="n"/>
      <c r="DP113" s="588" t="n"/>
      <c r="DQ113" s="588" t="n"/>
      <c r="DR113" s="588" t="n"/>
      <c r="DS113" s="588" t="n"/>
      <c r="DT113" s="588" t="n"/>
      <c r="DU113" s="588" t="n"/>
    </row>
    <row r="114" outlineLevel="1" ht="13.2" customHeight="1" s="450">
      <c r="A114" s="590" t="n"/>
      <c r="B114" s="618" t="inlineStr">
        <is>
          <t>G4</t>
        </is>
      </c>
      <c r="C114" s="619" t="n"/>
      <c r="D114" s="619" t="n"/>
      <c r="E114" s="621">
        <f>+C114*D114</f>
        <v/>
      </c>
      <c r="F114" s="616" t="n"/>
      <c r="G114" s="683" t="n"/>
      <c r="H114" s="655" t="n"/>
      <c r="I114" s="645" t="n"/>
      <c r="J114" s="615" t="n"/>
      <c r="K114" s="615" t="n"/>
      <c r="L114" s="616" t="n"/>
      <c r="M114" s="676" t="n"/>
      <c r="N114" s="645" t="n"/>
      <c r="O114" s="670" t="n"/>
      <c r="P114" s="671" t="n"/>
      <c r="Q114" s="602" t="n"/>
      <c r="R114" s="655" t="n"/>
      <c r="S114" s="655" t="n"/>
      <c r="T114" s="655" t="n"/>
      <c r="U114" s="588" t="n"/>
      <c r="V114" s="588" t="n"/>
      <c r="W114" s="602" t="n"/>
      <c r="X114" s="588" t="n"/>
      <c r="Z114" s="588" t="n"/>
      <c r="AA114" s="588" t="n"/>
      <c r="AB114" s="588" t="n"/>
      <c r="AC114" s="588" t="n"/>
      <c r="AD114" s="588" t="n"/>
      <c r="AE114" s="588" t="n"/>
      <c r="AF114" s="588" t="n"/>
      <c r="AG114" s="588" t="n"/>
      <c r="AH114" s="588" t="n"/>
      <c r="AI114" s="588" t="n"/>
      <c r="AJ114" s="588" t="n"/>
      <c r="AK114" s="588" t="n"/>
      <c r="AL114" s="588" t="n"/>
      <c r="AM114" s="588" t="n"/>
      <c r="AN114" s="588" t="n"/>
      <c r="AO114" s="588" t="n"/>
      <c r="AP114" s="588" t="n"/>
      <c r="AQ114" s="588" t="n"/>
      <c r="AR114" s="588" t="n"/>
      <c r="AS114" s="588" t="n"/>
      <c r="AT114" s="588" t="n"/>
      <c r="AU114" s="588" t="n"/>
      <c r="AV114" s="588" t="n"/>
      <c r="AW114" s="588" t="n"/>
      <c r="AX114" s="588" t="n"/>
      <c r="AY114" s="588" t="n"/>
      <c r="AZ114" s="588" t="n"/>
      <c r="BA114" s="588" t="n"/>
      <c r="BB114" s="588" t="n"/>
      <c r="BC114" s="588" t="n"/>
      <c r="BD114" s="588" t="n"/>
      <c r="BE114" s="588" t="n"/>
      <c r="BF114" s="588" t="n"/>
      <c r="BG114" s="588" t="n"/>
      <c r="BH114" s="588" t="n"/>
      <c r="BI114" s="588" t="n"/>
      <c r="BJ114" s="588" t="n"/>
      <c r="BK114" s="588" t="n"/>
      <c r="BL114" s="588" t="n"/>
      <c r="BM114" s="588" t="n"/>
      <c r="BN114" s="588" t="n"/>
      <c r="BO114" s="588" t="n"/>
      <c r="BP114" s="588" t="n"/>
      <c r="BQ114" s="588" t="n"/>
      <c r="BR114" s="588" t="n"/>
      <c r="BS114" s="588" t="n"/>
      <c r="BT114" s="588" t="n"/>
      <c r="BU114" s="588" t="n"/>
      <c r="BV114" s="588" t="n"/>
      <c r="BW114" s="588" t="n"/>
      <c r="BX114" s="588" t="n"/>
      <c r="BY114" s="588" t="n"/>
      <c r="BZ114" s="588" t="n"/>
      <c r="CA114" s="588" t="n"/>
      <c r="CB114" s="588" t="n"/>
      <c r="CC114" s="588" t="n"/>
      <c r="CD114" s="588" t="n"/>
      <c r="CE114" s="588" t="n"/>
      <c r="CF114" s="588" t="n"/>
      <c r="CG114" s="588" t="n"/>
      <c r="CH114" s="588" t="n"/>
      <c r="CI114" s="588" t="n"/>
      <c r="CJ114" s="588" t="n"/>
      <c r="CK114" s="588" t="n"/>
      <c r="CL114" s="588" t="n"/>
      <c r="CM114" s="588" t="n"/>
      <c r="CN114" s="588" t="n"/>
      <c r="CO114" s="588" t="n"/>
      <c r="CP114" s="588" t="n"/>
      <c r="CQ114" s="588" t="n"/>
      <c r="CR114" s="588" t="n"/>
      <c r="CS114" s="588" t="n"/>
      <c r="CT114" s="588" t="n"/>
      <c r="CU114" s="588" t="n"/>
      <c r="CV114" s="588" t="n"/>
      <c r="CW114" s="588" t="n"/>
      <c r="CX114" s="588" t="n"/>
      <c r="CY114" s="588" t="n"/>
      <c r="CZ114" s="588" t="n"/>
      <c r="DA114" s="588" t="n"/>
      <c r="DB114" s="588" t="n"/>
      <c r="DC114" s="588" t="n"/>
      <c r="DD114" s="588" t="n"/>
      <c r="DE114" s="588" t="n"/>
      <c r="DF114" s="588" t="n"/>
      <c r="DG114" s="588" t="n"/>
      <c r="DH114" s="588" t="n"/>
      <c r="DI114" s="588" t="n"/>
      <c r="DJ114" s="588" t="n"/>
      <c r="DK114" s="588" t="n"/>
      <c r="DL114" s="588" t="n"/>
      <c r="DM114" s="588" t="n"/>
      <c r="DN114" s="588" t="n"/>
      <c r="DO114" s="588" t="n"/>
      <c r="DP114" s="588" t="n"/>
      <c r="DQ114" s="588" t="n"/>
      <c r="DR114" s="588" t="n"/>
      <c r="DS114" s="588" t="n"/>
      <c r="DT114" s="588" t="n"/>
      <c r="DU114" s="588" t="n"/>
    </row>
    <row r="115" outlineLevel="1" ht="13.2" customHeight="1" s="450">
      <c r="A115" s="590" t="n"/>
      <c r="B115" s="618" t="inlineStr">
        <is>
          <t>G5</t>
        </is>
      </c>
      <c r="C115" s="619" t="n"/>
      <c r="D115" s="619" t="n"/>
      <c r="E115" s="621">
        <f>+C115*D115</f>
        <v/>
      </c>
      <c r="F115" s="616" t="n"/>
      <c r="G115" s="683" t="n"/>
      <c r="H115" s="655" t="n"/>
      <c r="I115" s="645" t="n"/>
      <c r="J115" s="615" t="n"/>
      <c r="K115" s="615" t="n"/>
      <c r="L115" s="616" t="n"/>
      <c r="M115" s="676" t="n"/>
      <c r="N115" s="645" t="n"/>
      <c r="O115" s="670" t="n"/>
      <c r="P115" s="671" t="n"/>
      <c r="Q115" s="602" t="n"/>
      <c r="R115" s="655" t="n"/>
      <c r="S115" s="655" t="n"/>
      <c r="T115" s="655" t="n"/>
      <c r="U115" s="588" t="n"/>
      <c r="V115" s="588" t="n"/>
      <c r="W115" s="602" t="n"/>
      <c r="X115" s="588" t="n"/>
      <c r="Z115" s="588" t="n"/>
      <c r="AA115" s="588" t="n"/>
      <c r="AB115" s="588" t="n"/>
      <c r="AC115" s="588" t="n"/>
      <c r="AD115" s="588" t="n"/>
      <c r="AE115" s="588" t="n"/>
      <c r="AF115" s="588" t="n"/>
      <c r="AG115" s="588" t="n"/>
      <c r="AH115" s="588" t="n"/>
      <c r="AI115" s="588" t="n"/>
      <c r="AJ115" s="588" t="n"/>
      <c r="AK115" s="588" t="n"/>
      <c r="AL115" s="588" t="n"/>
      <c r="AM115" s="588" t="n"/>
      <c r="AN115" s="588" t="n"/>
      <c r="AO115" s="588" t="n"/>
      <c r="AP115" s="588" t="n"/>
      <c r="AQ115" s="588" t="n"/>
      <c r="AR115" s="588" t="n"/>
      <c r="AS115" s="588" t="n"/>
      <c r="AT115" s="588" t="n"/>
      <c r="AU115" s="588" t="n"/>
      <c r="AV115" s="588" t="n"/>
      <c r="AW115" s="588" t="n"/>
      <c r="AX115" s="588" t="n"/>
      <c r="AY115" s="588" t="n"/>
      <c r="AZ115" s="588" t="n"/>
      <c r="BA115" s="588" t="n"/>
      <c r="BB115" s="588" t="n"/>
      <c r="BC115" s="588" t="n"/>
      <c r="BD115" s="588" t="n"/>
      <c r="BE115" s="588" t="n"/>
      <c r="BF115" s="588" t="n"/>
      <c r="BG115" s="588" t="n"/>
      <c r="BH115" s="588" t="n"/>
      <c r="BI115" s="588" t="n"/>
      <c r="BJ115" s="588" t="n"/>
      <c r="BK115" s="588" t="n"/>
      <c r="BL115" s="588" t="n"/>
      <c r="BM115" s="588" t="n"/>
      <c r="BN115" s="588" t="n"/>
      <c r="BO115" s="588" t="n"/>
      <c r="BP115" s="588" t="n"/>
      <c r="BQ115" s="588" t="n"/>
      <c r="BR115" s="588" t="n"/>
      <c r="BS115" s="588" t="n"/>
      <c r="BT115" s="588" t="n"/>
      <c r="BU115" s="588" t="n"/>
      <c r="BV115" s="588" t="n"/>
      <c r="BW115" s="588" t="n"/>
      <c r="BX115" s="588" t="n"/>
      <c r="BY115" s="588" t="n"/>
      <c r="BZ115" s="588" t="n"/>
      <c r="CA115" s="588" t="n"/>
      <c r="CB115" s="588" t="n"/>
      <c r="CC115" s="588" t="n"/>
      <c r="CD115" s="588" t="n"/>
      <c r="CE115" s="588" t="n"/>
      <c r="CF115" s="588" t="n"/>
      <c r="CG115" s="588" t="n"/>
      <c r="CH115" s="588" t="n"/>
      <c r="CI115" s="588" t="n"/>
      <c r="CJ115" s="588" t="n"/>
      <c r="CK115" s="588" t="n"/>
      <c r="CL115" s="588" t="n"/>
      <c r="CM115" s="588" t="n"/>
      <c r="CN115" s="588" t="n"/>
      <c r="CO115" s="588" t="n"/>
      <c r="CP115" s="588" t="n"/>
      <c r="CQ115" s="588" t="n"/>
      <c r="CR115" s="588" t="n"/>
      <c r="CS115" s="588" t="n"/>
      <c r="CT115" s="588" t="n"/>
      <c r="CU115" s="588" t="n"/>
      <c r="CV115" s="588" t="n"/>
      <c r="CW115" s="588" t="n"/>
      <c r="CX115" s="588" t="n"/>
      <c r="CY115" s="588" t="n"/>
      <c r="CZ115" s="588" t="n"/>
      <c r="DA115" s="588" t="n"/>
      <c r="DB115" s="588" t="n"/>
      <c r="DC115" s="588" t="n"/>
      <c r="DD115" s="588" t="n"/>
      <c r="DE115" s="588" t="n"/>
      <c r="DF115" s="588" t="n"/>
      <c r="DG115" s="588" t="n"/>
      <c r="DH115" s="588" t="n"/>
      <c r="DI115" s="588" t="n"/>
      <c r="DJ115" s="588" t="n"/>
      <c r="DK115" s="588" t="n"/>
      <c r="DL115" s="588" t="n"/>
      <c r="DM115" s="588" t="n"/>
      <c r="DN115" s="588" t="n"/>
      <c r="DO115" s="588" t="n"/>
      <c r="DP115" s="588" t="n"/>
      <c r="DQ115" s="588" t="n"/>
      <c r="DR115" s="588" t="n"/>
      <c r="DS115" s="588" t="n"/>
      <c r="DT115" s="588" t="n"/>
      <c r="DU115" s="588" t="n"/>
    </row>
    <row r="116" outlineLevel="1" ht="13.2" customHeight="1" s="450">
      <c r="A116" s="590" t="n"/>
      <c r="B116" s="618" t="inlineStr">
        <is>
          <t>G6</t>
        </is>
      </c>
      <c r="C116" s="619" t="n"/>
      <c r="D116" s="619" t="n"/>
      <c r="E116" s="621">
        <f>+C116*D116</f>
        <v/>
      </c>
      <c r="F116" s="616" t="n"/>
      <c r="G116" s="683" t="n"/>
      <c r="H116" s="655" t="n"/>
      <c r="I116" s="645" t="n"/>
      <c r="J116" s="615" t="n"/>
      <c r="K116" s="615" t="n"/>
      <c r="L116" s="616" t="n"/>
      <c r="M116" s="676" t="n"/>
      <c r="N116" s="602" t="n"/>
      <c r="O116" s="615" t="n"/>
      <c r="P116" s="615" t="n"/>
      <c r="Q116" s="615" t="n"/>
      <c r="R116" s="598" t="n"/>
      <c r="S116" s="603" t="n"/>
      <c r="T116" s="598" t="n"/>
      <c r="U116" s="588" t="n"/>
      <c r="V116" s="588" t="n"/>
      <c r="W116" s="602" t="n"/>
      <c r="X116" s="588" t="n"/>
      <c r="Z116" s="588" t="n"/>
      <c r="AA116" s="588" t="n"/>
      <c r="AB116" s="588" t="n"/>
      <c r="AC116" s="588" t="n"/>
      <c r="AD116" s="588" t="n"/>
      <c r="AE116" s="588" t="n"/>
      <c r="AF116" s="588" t="n"/>
      <c r="AG116" s="588" t="n"/>
      <c r="AH116" s="588" t="n"/>
      <c r="AI116" s="588" t="n"/>
      <c r="AJ116" s="588" t="n"/>
      <c r="AK116" s="588" t="n"/>
      <c r="AL116" s="588" t="n"/>
      <c r="AM116" s="588" t="n"/>
      <c r="AN116" s="588" t="n"/>
      <c r="AO116" s="588" t="n"/>
      <c r="AP116" s="588" t="n"/>
      <c r="AQ116" s="588" t="n"/>
      <c r="AR116" s="588" t="n"/>
      <c r="AS116" s="588" t="n"/>
      <c r="AT116" s="588" t="n"/>
      <c r="AU116" s="588" t="n"/>
      <c r="AV116" s="588" t="n"/>
      <c r="AW116" s="588" t="n"/>
      <c r="AX116" s="588" t="n"/>
      <c r="AY116" s="588" t="n"/>
      <c r="AZ116" s="588" t="n"/>
      <c r="BA116" s="588" t="n"/>
      <c r="BB116" s="588" t="n"/>
      <c r="BC116" s="588" t="n"/>
      <c r="BD116" s="588" t="n"/>
      <c r="BE116" s="588" t="n"/>
      <c r="BF116" s="588" t="n"/>
      <c r="BG116" s="588" t="n"/>
      <c r="BH116" s="588" t="n"/>
      <c r="BI116" s="588" t="n"/>
      <c r="BJ116" s="588" t="n"/>
      <c r="BK116" s="588" t="n"/>
      <c r="BL116" s="588" t="n"/>
      <c r="BM116" s="588" t="n"/>
      <c r="BN116" s="588" t="n"/>
      <c r="BO116" s="588" t="n"/>
      <c r="BP116" s="588" t="n"/>
      <c r="BQ116" s="588" t="n"/>
      <c r="BR116" s="588" t="n"/>
      <c r="BS116" s="588" t="n"/>
      <c r="BT116" s="588" t="n"/>
      <c r="BU116" s="588" t="n"/>
      <c r="BV116" s="588" t="n"/>
      <c r="BW116" s="588" t="n"/>
      <c r="BX116" s="588" t="n"/>
      <c r="BY116" s="588" t="n"/>
      <c r="BZ116" s="588" t="n"/>
      <c r="CA116" s="588" t="n"/>
      <c r="CB116" s="588" t="n"/>
      <c r="CC116" s="588" t="n"/>
      <c r="CD116" s="588" t="n"/>
      <c r="CE116" s="588" t="n"/>
      <c r="CF116" s="588" t="n"/>
      <c r="CG116" s="588" t="n"/>
      <c r="CH116" s="588" t="n"/>
      <c r="CI116" s="588" t="n"/>
      <c r="CJ116" s="588" t="n"/>
      <c r="CK116" s="588" t="n"/>
      <c r="CL116" s="588" t="n"/>
      <c r="CM116" s="588" t="n"/>
      <c r="CN116" s="588" t="n"/>
      <c r="CO116" s="588" t="n"/>
      <c r="CP116" s="588" t="n"/>
      <c r="CQ116" s="588" t="n"/>
      <c r="CR116" s="588" t="n"/>
      <c r="CS116" s="588" t="n"/>
      <c r="CT116" s="588" t="n"/>
      <c r="CU116" s="588" t="n"/>
      <c r="CV116" s="588" t="n"/>
      <c r="CW116" s="588" t="n"/>
      <c r="CX116" s="588" t="n"/>
      <c r="CY116" s="588" t="n"/>
      <c r="CZ116" s="588" t="n"/>
      <c r="DA116" s="588" t="n"/>
      <c r="DB116" s="588" t="n"/>
      <c r="DC116" s="588" t="n"/>
      <c r="DD116" s="588" t="n"/>
      <c r="DE116" s="588" t="n"/>
      <c r="DF116" s="588" t="n"/>
      <c r="DG116" s="588" t="n"/>
      <c r="DH116" s="588" t="n"/>
      <c r="DI116" s="588" t="n"/>
      <c r="DJ116" s="588" t="n"/>
      <c r="DK116" s="588" t="n"/>
      <c r="DL116" s="588" t="n"/>
      <c r="DM116" s="588" t="n"/>
      <c r="DN116" s="588" t="n"/>
      <c r="DO116" s="588" t="n"/>
      <c r="DP116" s="588" t="n"/>
      <c r="DQ116" s="588" t="n"/>
      <c r="DR116" s="588" t="n"/>
      <c r="DS116" s="588" t="n"/>
      <c r="DT116" s="588" t="n"/>
      <c r="DU116" s="588" t="n"/>
    </row>
    <row r="117" outlineLevel="1" ht="13.2" customHeight="1" s="450">
      <c r="A117" s="590" t="n"/>
      <c r="B117" s="618" t="inlineStr">
        <is>
          <t>G7</t>
        </is>
      </c>
      <c r="C117" s="619" t="n"/>
      <c r="D117" s="619" t="n"/>
      <c r="E117" s="621">
        <f>+C117*D117</f>
        <v/>
      </c>
      <c r="F117" s="616" t="n"/>
      <c r="G117" s="683" t="n"/>
      <c r="H117" s="655" t="n"/>
      <c r="I117" s="645" t="n"/>
      <c r="J117" s="615" t="n"/>
      <c r="K117" s="615" t="n"/>
      <c r="L117" s="616" t="n"/>
      <c r="M117" s="676" t="n"/>
      <c r="N117" s="602" t="n"/>
      <c r="O117" s="602" t="n"/>
      <c r="P117" s="602" t="n"/>
      <c r="Q117" s="602" t="n"/>
      <c r="R117" s="598" t="n"/>
      <c r="S117" s="603" t="n"/>
      <c r="T117" s="598" t="n"/>
      <c r="U117" s="588" t="n"/>
      <c r="V117" s="588" t="n"/>
      <c r="W117" s="602" t="n"/>
      <c r="X117" s="588" t="n"/>
      <c r="Z117" s="588" t="n"/>
      <c r="AA117" s="588" t="n"/>
      <c r="AB117" s="588" t="n"/>
      <c r="AC117" s="588" t="n"/>
      <c r="AD117" s="588" t="n"/>
      <c r="AE117" s="588" t="n"/>
      <c r="AF117" s="588" t="n"/>
      <c r="AG117" s="588" t="n"/>
      <c r="AH117" s="588" t="n"/>
      <c r="AI117" s="588" t="n"/>
      <c r="AJ117" s="588" t="n"/>
      <c r="AK117" s="588" t="n"/>
      <c r="AL117" s="588" t="n"/>
      <c r="AM117" s="588" t="n"/>
      <c r="AN117" s="588" t="n"/>
      <c r="AO117" s="588" t="n"/>
      <c r="AP117" s="588" t="n"/>
      <c r="AQ117" s="588" t="n"/>
      <c r="AR117" s="588" t="n"/>
      <c r="AS117" s="588" t="n"/>
      <c r="AT117" s="588" t="n"/>
      <c r="AU117" s="588" t="n"/>
      <c r="AV117" s="588" t="n"/>
      <c r="AW117" s="588" t="n"/>
      <c r="AX117" s="588" t="n"/>
      <c r="AY117" s="588" t="n"/>
      <c r="AZ117" s="588" t="n"/>
      <c r="BA117" s="588" t="n"/>
      <c r="BB117" s="588" t="n"/>
      <c r="BC117" s="588" t="n"/>
      <c r="BD117" s="588" t="n"/>
      <c r="BE117" s="588" t="n"/>
      <c r="BF117" s="588" t="n"/>
      <c r="BG117" s="588" t="n"/>
      <c r="BH117" s="588" t="n"/>
      <c r="BI117" s="588" t="n"/>
      <c r="BJ117" s="588" t="n"/>
      <c r="BK117" s="588" t="n"/>
      <c r="BL117" s="588" t="n"/>
      <c r="BM117" s="588" t="n"/>
      <c r="BN117" s="588" t="n"/>
      <c r="BO117" s="588" t="n"/>
      <c r="BP117" s="588" t="n"/>
      <c r="BQ117" s="588" t="n"/>
      <c r="BR117" s="588" t="n"/>
      <c r="BS117" s="588" t="n"/>
      <c r="BT117" s="588" t="n"/>
      <c r="BU117" s="588" t="n"/>
      <c r="BV117" s="588" t="n"/>
      <c r="BW117" s="588" t="n"/>
      <c r="BX117" s="588" t="n"/>
      <c r="BY117" s="588" t="n"/>
      <c r="BZ117" s="588" t="n"/>
      <c r="CA117" s="588" t="n"/>
      <c r="CB117" s="588" t="n"/>
      <c r="CC117" s="588" t="n"/>
      <c r="CD117" s="588" t="n"/>
      <c r="CE117" s="588" t="n"/>
      <c r="CF117" s="588" t="n"/>
      <c r="CG117" s="588" t="n"/>
      <c r="CH117" s="588" t="n"/>
      <c r="CI117" s="588" t="n"/>
      <c r="CJ117" s="588" t="n"/>
      <c r="CK117" s="588" t="n"/>
      <c r="CL117" s="588" t="n"/>
      <c r="CM117" s="588" t="n"/>
      <c r="CN117" s="588" t="n"/>
      <c r="CO117" s="588" t="n"/>
      <c r="CP117" s="588" t="n"/>
      <c r="CQ117" s="588" t="n"/>
      <c r="CR117" s="588" t="n"/>
      <c r="CS117" s="588" t="n"/>
      <c r="CT117" s="588" t="n"/>
      <c r="CU117" s="588" t="n"/>
      <c r="CV117" s="588" t="n"/>
      <c r="CW117" s="588" t="n"/>
      <c r="CX117" s="588" t="n"/>
      <c r="CY117" s="588" t="n"/>
      <c r="CZ117" s="588" t="n"/>
      <c r="DA117" s="588" t="n"/>
      <c r="DB117" s="588" t="n"/>
      <c r="DC117" s="588" t="n"/>
      <c r="DD117" s="588" t="n"/>
      <c r="DE117" s="588" t="n"/>
      <c r="DF117" s="588" t="n"/>
      <c r="DG117" s="588" t="n"/>
      <c r="DH117" s="588" t="n"/>
      <c r="DI117" s="588" t="n"/>
      <c r="DJ117" s="588" t="n"/>
      <c r="DK117" s="588" t="n"/>
      <c r="DL117" s="588" t="n"/>
      <c r="DM117" s="588" t="n"/>
      <c r="DN117" s="588" t="n"/>
      <c r="DO117" s="588" t="n"/>
      <c r="DP117" s="588" t="n"/>
      <c r="DQ117" s="588" t="n"/>
      <c r="DR117" s="588" t="n"/>
      <c r="DS117" s="588" t="n"/>
      <c r="DT117" s="588" t="n"/>
      <c r="DU117" s="588" t="n"/>
    </row>
    <row r="118" outlineLevel="1" ht="13.2" customHeight="1" s="450">
      <c r="A118" s="590" t="n"/>
      <c r="B118" s="618" t="inlineStr">
        <is>
          <t>G8</t>
        </is>
      </c>
      <c r="C118" s="619" t="n"/>
      <c r="D118" s="619" t="n"/>
      <c r="E118" s="621">
        <f>+C118*D118</f>
        <v/>
      </c>
      <c r="F118" s="616" t="n"/>
      <c r="G118" s="683" t="n"/>
      <c r="H118" s="588" t="n"/>
      <c r="I118" s="645" t="n"/>
      <c r="J118" s="615" t="n"/>
      <c r="K118" s="615" t="n"/>
      <c r="L118" s="616" t="n"/>
      <c r="M118" s="676" t="n"/>
      <c r="N118" s="615" t="n"/>
      <c r="O118" s="615" t="n"/>
      <c r="P118" s="615" t="n"/>
      <c r="Q118" s="616" t="n"/>
      <c r="R118" s="588" t="n"/>
      <c r="S118" s="616" t="n"/>
      <c r="T118" s="588" t="n"/>
      <c r="U118" s="588" t="n"/>
      <c r="V118" s="588" t="n"/>
      <c r="W118" s="602" t="n"/>
      <c r="X118" s="588" t="n"/>
      <c r="Z118" s="588" t="n"/>
      <c r="AA118" s="588" t="n"/>
      <c r="AB118" s="588" t="n"/>
      <c r="AC118" s="588" t="n"/>
      <c r="AD118" s="588" t="n"/>
      <c r="AE118" s="588" t="n"/>
      <c r="AF118" s="588" t="n"/>
      <c r="AG118" s="588" t="n"/>
      <c r="AH118" s="588" t="n"/>
      <c r="AI118" s="588" t="n"/>
      <c r="AJ118" s="588" t="n"/>
      <c r="AK118" s="588" t="n"/>
      <c r="AL118" s="588" t="n"/>
      <c r="AM118" s="588" t="n"/>
      <c r="AN118" s="588" t="n"/>
      <c r="AO118" s="588" t="n"/>
      <c r="AP118" s="588" t="n"/>
      <c r="AQ118" s="588" t="n"/>
      <c r="AR118" s="588" t="n"/>
      <c r="AS118" s="588" t="n"/>
      <c r="AT118" s="588" t="n"/>
      <c r="AU118" s="588" t="n"/>
      <c r="AV118" s="588" t="n"/>
      <c r="AW118" s="588" t="n"/>
      <c r="AX118" s="588" t="n"/>
      <c r="AY118" s="588" t="n"/>
      <c r="AZ118" s="588" t="n"/>
      <c r="BA118" s="588" t="n"/>
      <c r="BB118" s="588" t="n"/>
      <c r="BC118" s="588" t="n"/>
      <c r="BD118" s="588" t="n"/>
      <c r="BE118" s="588" t="n"/>
      <c r="BF118" s="588" t="n"/>
      <c r="BG118" s="588" t="n"/>
      <c r="BH118" s="588" t="n"/>
      <c r="BI118" s="588" t="n"/>
      <c r="BJ118" s="588" t="n"/>
      <c r="BK118" s="588" t="n"/>
      <c r="BL118" s="588" t="n"/>
      <c r="BM118" s="588" t="n"/>
      <c r="BN118" s="588" t="n"/>
      <c r="BO118" s="588" t="n"/>
      <c r="BP118" s="588" t="n"/>
      <c r="BQ118" s="588" t="n"/>
      <c r="BR118" s="588" t="n"/>
      <c r="BS118" s="588" t="n"/>
      <c r="BT118" s="588" t="n"/>
      <c r="BU118" s="588" t="n"/>
      <c r="BV118" s="588" t="n"/>
      <c r="BW118" s="588" t="n"/>
      <c r="BX118" s="588" t="n"/>
      <c r="BY118" s="588" t="n"/>
      <c r="BZ118" s="588" t="n"/>
      <c r="CA118" s="588" t="n"/>
      <c r="CB118" s="588" t="n"/>
      <c r="CC118" s="588" t="n"/>
      <c r="CD118" s="588" t="n"/>
      <c r="CE118" s="588" t="n"/>
      <c r="CF118" s="588" t="n"/>
      <c r="CG118" s="588" t="n"/>
      <c r="CH118" s="588" t="n"/>
      <c r="CI118" s="588" t="n"/>
      <c r="CJ118" s="588" t="n"/>
      <c r="CK118" s="588" t="n"/>
      <c r="CL118" s="588" t="n"/>
      <c r="CM118" s="588" t="n"/>
      <c r="CN118" s="588" t="n"/>
      <c r="CO118" s="588" t="n"/>
      <c r="CP118" s="588" t="n"/>
      <c r="CQ118" s="588" t="n"/>
      <c r="CR118" s="588" t="n"/>
      <c r="CS118" s="588" t="n"/>
      <c r="CT118" s="588" t="n"/>
      <c r="CU118" s="588" t="n"/>
      <c r="CV118" s="588" t="n"/>
      <c r="CW118" s="588" t="n"/>
      <c r="CX118" s="588" t="n"/>
      <c r="CY118" s="588" t="n"/>
      <c r="CZ118" s="588" t="n"/>
      <c r="DA118" s="588" t="n"/>
      <c r="DB118" s="588" t="n"/>
      <c r="DC118" s="588" t="n"/>
      <c r="DD118" s="588" t="n"/>
      <c r="DE118" s="588" t="n"/>
      <c r="DF118" s="588" t="n"/>
      <c r="DG118" s="588" t="n"/>
      <c r="DH118" s="588" t="n"/>
      <c r="DI118" s="588" t="n"/>
      <c r="DJ118" s="588" t="n"/>
      <c r="DK118" s="588" t="n"/>
      <c r="DL118" s="588" t="n"/>
      <c r="DM118" s="588" t="n"/>
      <c r="DN118" s="588" t="n"/>
      <c r="DO118" s="588" t="n"/>
      <c r="DP118" s="588" t="n"/>
      <c r="DQ118" s="588" t="n"/>
      <c r="DR118" s="588" t="n"/>
      <c r="DS118" s="588" t="n"/>
      <c r="DT118" s="588" t="n"/>
      <c r="DU118" s="588" t="n"/>
    </row>
    <row r="119" outlineLevel="1" ht="13.2" customHeight="1" s="450">
      <c r="A119" s="590" t="n"/>
      <c r="B119" s="625" t="n"/>
      <c r="C119" s="626" t="n"/>
      <c r="D119" s="627" t="inlineStr">
        <is>
          <t>Descuentos</t>
        </is>
      </c>
      <c r="E119" s="629">
        <f>-W119</f>
        <v/>
      </c>
      <c r="F119" s="684" t="n"/>
      <c r="G119" s="602" t="n"/>
      <c r="H119" s="602" t="n"/>
      <c r="I119" s="588" t="n"/>
      <c r="J119" s="588" t="n"/>
      <c r="K119" s="671" t="n"/>
      <c r="L119" s="602" t="n"/>
      <c r="M119" s="588" t="n"/>
      <c r="N119" s="602" t="n"/>
      <c r="O119" s="670" t="n"/>
      <c r="P119" s="656" t="n"/>
      <c r="Q119" s="602" t="n"/>
      <c r="R119" s="588" t="n"/>
      <c r="S119" s="603" t="n"/>
      <c r="T119" s="588" t="n"/>
      <c r="U119" s="588" t="n"/>
      <c r="V119" s="588" t="n"/>
      <c r="W119" s="602" t="n"/>
      <c r="X119" s="588" t="n"/>
      <c r="Z119" s="588" t="n"/>
      <c r="AA119" s="588" t="n"/>
      <c r="AB119" s="588" t="n"/>
      <c r="AC119" s="588" t="n"/>
      <c r="AD119" s="588" t="n"/>
      <c r="AE119" s="588" t="n"/>
      <c r="AF119" s="588" t="n"/>
      <c r="AG119" s="588" t="n"/>
      <c r="AH119" s="588" t="n"/>
      <c r="AI119" s="588" t="n"/>
      <c r="AJ119" s="588" t="n"/>
      <c r="AK119" s="588" t="n"/>
      <c r="AL119" s="588" t="n"/>
      <c r="AM119" s="588" t="n"/>
      <c r="AN119" s="588" t="n"/>
      <c r="AO119" s="588" t="n"/>
      <c r="AP119" s="588" t="n"/>
      <c r="AQ119" s="588" t="n"/>
      <c r="AR119" s="588" t="n"/>
      <c r="AS119" s="588" t="n"/>
      <c r="AT119" s="588" t="n"/>
      <c r="AU119" s="588" t="n"/>
      <c r="AV119" s="588" t="n"/>
      <c r="AW119" s="588" t="n"/>
      <c r="AX119" s="588" t="n"/>
      <c r="AY119" s="588" t="n"/>
      <c r="AZ119" s="588" t="n"/>
      <c r="BA119" s="588" t="n"/>
      <c r="BB119" s="588" t="n"/>
      <c r="BC119" s="588" t="n"/>
      <c r="BD119" s="588" t="n"/>
      <c r="BE119" s="588" t="n"/>
      <c r="BF119" s="588" t="n"/>
      <c r="BG119" s="588" t="n"/>
      <c r="BH119" s="588" t="n"/>
      <c r="BI119" s="588" t="n"/>
      <c r="BJ119" s="588" t="n"/>
      <c r="BK119" s="588" t="n"/>
      <c r="BL119" s="588" t="n"/>
      <c r="BM119" s="588" t="n"/>
      <c r="BN119" s="588" t="n"/>
      <c r="BO119" s="588" t="n"/>
      <c r="BP119" s="588" t="n"/>
      <c r="BQ119" s="588" t="n"/>
      <c r="BR119" s="588" t="n"/>
      <c r="BS119" s="588" t="n"/>
      <c r="BT119" s="588" t="n"/>
      <c r="BU119" s="588" t="n"/>
      <c r="BV119" s="588" t="n"/>
      <c r="BW119" s="588" t="n"/>
      <c r="BX119" s="588" t="n"/>
      <c r="BY119" s="588" t="n"/>
      <c r="BZ119" s="588" t="n"/>
      <c r="CA119" s="588" t="n"/>
      <c r="CB119" s="588" t="n"/>
      <c r="CC119" s="588" t="n"/>
      <c r="CD119" s="588" t="n"/>
      <c r="CE119" s="588" t="n"/>
      <c r="CF119" s="588" t="n"/>
      <c r="CG119" s="588" t="n"/>
      <c r="CH119" s="588" t="n"/>
      <c r="CI119" s="588" t="n"/>
      <c r="CJ119" s="588" t="n"/>
      <c r="CK119" s="588" t="n"/>
      <c r="CL119" s="588" t="n"/>
      <c r="CM119" s="588" t="n"/>
      <c r="CN119" s="588" t="n"/>
      <c r="CO119" s="588" t="n"/>
      <c r="CP119" s="588" t="n"/>
      <c r="CQ119" s="588" t="n"/>
      <c r="CR119" s="588" t="n"/>
      <c r="CS119" s="588" t="n"/>
      <c r="CT119" s="588" t="n"/>
      <c r="CU119" s="588" t="n"/>
      <c r="CV119" s="588" t="n"/>
      <c r="CW119" s="588" t="n"/>
      <c r="CX119" s="588" t="n"/>
      <c r="CY119" s="588" t="n"/>
      <c r="CZ119" s="588" t="n"/>
      <c r="DA119" s="588" t="n"/>
      <c r="DB119" s="588" t="n"/>
      <c r="DC119" s="588" t="n"/>
      <c r="DD119" s="588" t="n"/>
      <c r="DE119" s="588" t="n"/>
      <c r="DF119" s="588" t="n"/>
      <c r="DG119" s="588" t="n"/>
      <c r="DH119" s="588" t="n"/>
      <c r="DI119" s="588" t="n"/>
      <c r="DJ119" s="588" t="n"/>
      <c r="DK119" s="588" t="n"/>
      <c r="DL119" s="588" t="n"/>
      <c r="DM119" s="588" t="n"/>
      <c r="DN119" s="588" t="n"/>
      <c r="DO119" s="588" t="n"/>
      <c r="DP119" s="588" t="n"/>
      <c r="DQ119" s="588" t="n"/>
      <c r="DR119" s="588" t="n"/>
      <c r="DS119" s="588" t="n"/>
      <c r="DT119" s="588" t="n"/>
      <c r="DU119" s="588" t="n"/>
    </row>
    <row r="120" outlineLevel="1" ht="13.2" customHeight="1" s="450">
      <c r="A120" s="590" t="n"/>
      <c r="B120" s="642" t="n"/>
      <c r="C120" s="588" t="n"/>
      <c r="D120" s="643" t="inlineStr">
        <is>
          <t>Sub Total</t>
        </is>
      </c>
      <c r="E120" s="644">
        <f>SUM(E111:E119)</f>
        <v/>
      </c>
      <c r="F120" s="602" t="n"/>
      <c r="G120" s="602" t="n"/>
      <c r="H120" s="602" t="n"/>
      <c r="I120" s="598" t="n"/>
      <c r="J120" s="598" t="n"/>
      <c r="K120" s="643" t="n"/>
      <c r="L120" s="602" t="n"/>
      <c r="M120" s="602" t="n"/>
      <c r="N120" s="602" t="n"/>
      <c r="O120" s="615" t="n"/>
      <c r="P120" s="615" t="n"/>
      <c r="Q120" s="616" t="n"/>
      <c r="R120" s="588" t="n"/>
      <c r="S120" s="588" t="n"/>
      <c r="T120" s="588" t="n"/>
      <c r="U120" s="588" t="n"/>
      <c r="V120" s="588" t="n"/>
      <c r="W120" s="602" t="n"/>
      <c r="X120" s="588" t="n"/>
      <c r="Z120" s="588" t="n"/>
      <c r="AA120" s="588" t="n"/>
      <c r="AB120" s="588" t="n"/>
      <c r="AC120" s="588" t="n"/>
      <c r="AD120" s="588" t="n"/>
      <c r="AE120" s="588" t="n"/>
      <c r="AF120" s="588" t="n"/>
      <c r="AG120" s="588" t="n"/>
      <c r="AH120" s="588" t="n"/>
      <c r="AI120" s="588" t="n"/>
      <c r="AJ120" s="588" t="n"/>
      <c r="AK120" s="588" t="n"/>
      <c r="AL120" s="588" t="n"/>
      <c r="AM120" s="588" t="n"/>
      <c r="AN120" s="588" t="n"/>
      <c r="AO120" s="588" t="n"/>
      <c r="AP120" s="588" t="n"/>
      <c r="AQ120" s="588" t="n"/>
      <c r="AR120" s="588" t="n"/>
      <c r="AS120" s="588" t="n"/>
      <c r="AT120" s="588" t="n"/>
      <c r="AU120" s="588" t="n"/>
      <c r="AV120" s="588" t="n"/>
      <c r="AW120" s="588" t="n"/>
      <c r="AX120" s="588" t="n"/>
      <c r="AY120" s="588" t="n"/>
      <c r="AZ120" s="588" t="n"/>
      <c r="BA120" s="588" t="n"/>
      <c r="BB120" s="588" t="n"/>
      <c r="BC120" s="588" t="n"/>
      <c r="BD120" s="588" t="n"/>
      <c r="BE120" s="588" t="n"/>
      <c r="BF120" s="588" t="n"/>
      <c r="BG120" s="588" t="n"/>
      <c r="BH120" s="588" t="n"/>
      <c r="BI120" s="588" t="n"/>
      <c r="BJ120" s="588" t="n"/>
      <c r="BK120" s="588" t="n"/>
      <c r="BL120" s="588" t="n"/>
      <c r="BM120" s="588" t="n"/>
      <c r="BN120" s="588" t="n"/>
      <c r="BO120" s="588" t="n"/>
      <c r="BP120" s="588" t="n"/>
      <c r="BQ120" s="588" t="n"/>
      <c r="BR120" s="588" t="n"/>
      <c r="BS120" s="588" t="n"/>
      <c r="BT120" s="588" t="n"/>
      <c r="BU120" s="588" t="n"/>
      <c r="BV120" s="588" t="n"/>
      <c r="BW120" s="588" t="n"/>
      <c r="BX120" s="588" t="n"/>
      <c r="BY120" s="588" t="n"/>
      <c r="BZ120" s="588" t="n"/>
      <c r="CA120" s="588" t="n"/>
      <c r="CB120" s="588" t="n"/>
      <c r="CC120" s="588" t="n"/>
      <c r="CD120" s="588" t="n"/>
      <c r="CE120" s="588" t="n"/>
      <c r="CF120" s="588" t="n"/>
      <c r="CG120" s="588" t="n"/>
      <c r="CH120" s="588" t="n"/>
      <c r="CI120" s="588" t="n"/>
      <c r="CJ120" s="588" t="n"/>
      <c r="CK120" s="588" t="n"/>
      <c r="CL120" s="588" t="n"/>
      <c r="CM120" s="588" t="n"/>
      <c r="CN120" s="588" t="n"/>
      <c r="CO120" s="588" t="n"/>
      <c r="CP120" s="588" t="n"/>
      <c r="CQ120" s="588" t="n"/>
      <c r="CR120" s="588" t="n"/>
      <c r="CS120" s="588" t="n"/>
      <c r="CT120" s="588" t="n"/>
      <c r="CU120" s="588" t="n"/>
      <c r="CV120" s="588" t="n"/>
      <c r="CW120" s="588" t="n"/>
      <c r="CX120" s="588" t="n"/>
      <c r="CY120" s="588" t="n"/>
      <c r="CZ120" s="588" t="n"/>
      <c r="DA120" s="588" t="n"/>
      <c r="DB120" s="588" t="n"/>
      <c r="DC120" s="588" t="n"/>
      <c r="DD120" s="588" t="n"/>
      <c r="DE120" s="588" t="n"/>
      <c r="DF120" s="588" t="n"/>
      <c r="DG120" s="588" t="n"/>
      <c r="DH120" s="588" t="n"/>
      <c r="DI120" s="588" t="n"/>
      <c r="DJ120" s="588" t="n"/>
      <c r="DK120" s="588" t="n"/>
      <c r="DL120" s="588" t="n"/>
      <c r="DM120" s="588" t="n"/>
      <c r="DN120" s="588" t="n"/>
      <c r="DO120" s="588" t="n"/>
      <c r="DP120" s="588" t="n"/>
      <c r="DQ120" s="588" t="n"/>
      <c r="DR120" s="588" t="n"/>
      <c r="DS120" s="588" t="n"/>
      <c r="DT120" s="588" t="n"/>
      <c r="DU120" s="588" t="n"/>
    </row>
    <row r="121" outlineLevel="1" ht="13.2" customHeight="1" s="450">
      <c r="A121" s="590" t="n"/>
      <c r="B121" s="647" t="n"/>
      <c r="C121" s="648" t="n"/>
      <c r="D121" s="649" t="n"/>
      <c r="E121" s="650" t="n"/>
      <c r="F121" s="652" t="n"/>
      <c r="G121" s="602" t="n"/>
      <c r="H121" s="602" t="n"/>
      <c r="I121" s="598" t="n"/>
      <c r="J121" s="598" t="n"/>
      <c r="K121" s="656" t="n"/>
      <c r="L121" s="656" t="n"/>
      <c r="M121" s="602" t="n"/>
      <c r="N121" s="602" t="n"/>
      <c r="O121" s="615" t="n"/>
      <c r="P121" s="615" t="n"/>
      <c r="Q121" s="616" t="n"/>
      <c r="R121" s="588" t="n"/>
      <c r="S121" s="588" t="n"/>
      <c r="T121" s="588" t="n"/>
      <c r="U121" s="588" t="n"/>
      <c r="V121" s="588" t="n"/>
      <c r="W121" s="602" t="n"/>
      <c r="X121" s="588" t="n"/>
      <c r="Z121" s="588" t="n"/>
      <c r="AA121" s="588" t="n"/>
      <c r="AB121" s="588" t="n"/>
      <c r="AC121" s="588" t="n"/>
      <c r="AD121" s="588" t="n"/>
      <c r="AE121" s="588" t="n"/>
      <c r="AF121" s="588" t="n"/>
      <c r="AG121" s="588" t="n"/>
      <c r="AH121" s="588" t="n"/>
      <c r="AI121" s="588" t="n"/>
      <c r="AJ121" s="588" t="n"/>
      <c r="AK121" s="588" t="n"/>
      <c r="AL121" s="588" t="n"/>
      <c r="AM121" s="588" t="n"/>
      <c r="AN121" s="588" t="n"/>
      <c r="AO121" s="588" t="n"/>
      <c r="AP121" s="588" t="n"/>
      <c r="AQ121" s="588" t="n"/>
      <c r="AR121" s="588" t="n"/>
      <c r="AS121" s="588" t="n"/>
      <c r="AT121" s="588" t="n"/>
      <c r="AU121" s="588" t="n"/>
      <c r="AV121" s="588" t="n"/>
      <c r="AW121" s="588" t="n"/>
      <c r="AX121" s="588" t="n"/>
      <c r="AY121" s="588" t="n"/>
      <c r="AZ121" s="588" t="n"/>
      <c r="BA121" s="588" t="n"/>
      <c r="BB121" s="588" t="n"/>
      <c r="BC121" s="588" t="n"/>
      <c r="BD121" s="588" t="n"/>
      <c r="BE121" s="588" t="n"/>
      <c r="BF121" s="588" t="n"/>
      <c r="BG121" s="588" t="n"/>
      <c r="BH121" s="588" t="n"/>
      <c r="BI121" s="588" t="n"/>
      <c r="BJ121" s="588" t="n"/>
      <c r="BK121" s="588" t="n"/>
      <c r="BL121" s="588" t="n"/>
      <c r="BM121" s="588" t="n"/>
      <c r="BN121" s="588" t="n"/>
      <c r="BO121" s="588" t="n"/>
      <c r="BP121" s="588" t="n"/>
      <c r="BQ121" s="588" t="n"/>
      <c r="BR121" s="588" t="n"/>
      <c r="BS121" s="588" t="n"/>
      <c r="BT121" s="588" t="n"/>
      <c r="BU121" s="588" t="n"/>
      <c r="BV121" s="588" t="n"/>
      <c r="BW121" s="588" t="n"/>
      <c r="BX121" s="588" t="n"/>
      <c r="BY121" s="588" t="n"/>
      <c r="BZ121" s="588" t="n"/>
      <c r="CA121" s="588" t="n"/>
      <c r="CB121" s="588" t="n"/>
      <c r="CC121" s="588" t="n"/>
      <c r="CD121" s="588" t="n"/>
      <c r="CE121" s="588" t="n"/>
      <c r="CF121" s="588" t="n"/>
      <c r="CG121" s="588" t="n"/>
      <c r="CH121" s="588" t="n"/>
      <c r="CI121" s="588" t="n"/>
      <c r="CJ121" s="588" t="n"/>
      <c r="CK121" s="588" t="n"/>
      <c r="CL121" s="588" t="n"/>
      <c r="CM121" s="588" t="n"/>
      <c r="CN121" s="588" t="n"/>
      <c r="CO121" s="588" t="n"/>
      <c r="CP121" s="588" t="n"/>
      <c r="CQ121" s="588" t="n"/>
      <c r="CR121" s="588" t="n"/>
      <c r="CS121" s="588" t="n"/>
      <c r="CT121" s="588" t="n"/>
      <c r="CU121" s="588" t="n"/>
      <c r="CV121" s="588" t="n"/>
      <c r="CW121" s="588" t="n"/>
      <c r="CX121" s="588" t="n"/>
      <c r="CY121" s="588" t="n"/>
      <c r="CZ121" s="588" t="n"/>
      <c r="DA121" s="588" t="n"/>
      <c r="DB121" s="588" t="n"/>
      <c r="DC121" s="588" t="n"/>
      <c r="DD121" s="588" t="n"/>
      <c r="DE121" s="588" t="n"/>
      <c r="DF121" s="588" t="n"/>
      <c r="DG121" s="588" t="n"/>
      <c r="DH121" s="588" t="n"/>
      <c r="DI121" s="588" t="n"/>
      <c r="DJ121" s="588" t="n"/>
      <c r="DK121" s="588" t="n"/>
      <c r="DL121" s="588" t="n"/>
      <c r="DM121" s="588" t="n"/>
      <c r="DN121" s="588" t="n"/>
      <c r="DO121" s="588" t="n"/>
      <c r="DP121" s="588" t="n"/>
      <c r="DQ121" s="588" t="n"/>
      <c r="DR121" s="588" t="n"/>
      <c r="DS121" s="588" t="n"/>
      <c r="DT121" s="588" t="n"/>
      <c r="DU121" s="588" t="n"/>
    </row>
    <row r="122" outlineLevel="1" ht="13.2" customHeight="1" s="450">
      <c r="A122" s="590" t="n"/>
      <c r="B122" s="654" t="n"/>
      <c r="C122" s="654" t="n"/>
      <c r="D122" s="633" t="inlineStr">
        <is>
          <t>Total</t>
        </is>
      </c>
      <c r="E122" s="685">
        <f>SUM(E120:E121)</f>
        <v/>
      </c>
      <c r="F122" s="602" t="n"/>
      <c r="G122" s="602" t="n"/>
      <c r="H122" s="602" t="n"/>
      <c r="I122" s="598" t="n"/>
      <c r="J122" s="598" t="n"/>
      <c r="K122" s="656" t="n"/>
      <c r="L122" s="602" t="n"/>
      <c r="M122" s="602" t="n"/>
      <c r="N122" s="602" t="n"/>
      <c r="O122" s="615" t="n"/>
      <c r="P122" s="615" t="n"/>
      <c r="Q122" s="616" t="n"/>
      <c r="R122" s="588" t="n"/>
      <c r="S122" s="588" t="n"/>
      <c r="T122" s="588" t="n"/>
      <c r="U122" s="588" t="n"/>
      <c r="V122" s="588" t="n"/>
      <c r="W122" s="602" t="n"/>
      <c r="X122" s="588" t="n"/>
      <c r="Z122" s="588" t="n"/>
      <c r="AA122" s="588" t="n"/>
      <c r="AB122" s="588" t="n"/>
      <c r="AC122" s="588" t="n"/>
      <c r="AD122" s="588" t="n"/>
      <c r="AE122" s="588" t="n"/>
      <c r="AF122" s="588" t="n"/>
      <c r="AG122" s="588" t="n"/>
      <c r="AH122" s="588" t="n"/>
      <c r="AI122" s="588" t="n"/>
      <c r="AJ122" s="588" t="n"/>
      <c r="AK122" s="588" t="n"/>
      <c r="AL122" s="588" t="n"/>
      <c r="AM122" s="588" t="n"/>
      <c r="AN122" s="588" t="n"/>
      <c r="AO122" s="588" t="n"/>
      <c r="AP122" s="588" t="n"/>
      <c r="AQ122" s="588" t="n"/>
      <c r="AR122" s="588" t="n"/>
      <c r="AS122" s="588" t="n"/>
      <c r="AT122" s="588" t="n"/>
      <c r="AU122" s="588" t="n"/>
      <c r="AV122" s="588" t="n"/>
      <c r="AW122" s="588" t="n"/>
      <c r="AX122" s="588" t="n"/>
      <c r="AY122" s="588" t="n"/>
      <c r="AZ122" s="588" t="n"/>
      <c r="BA122" s="588" t="n"/>
      <c r="BB122" s="588" t="n"/>
      <c r="BC122" s="588" t="n"/>
      <c r="BD122" s="588" t="n"/>
      <c r="BE122" s="588" t="n"/>
      <c r="BF122" s="588" t="n"/>
      <c r="BG122" s="588" t="n"/>
      <c r="BH122" s="588" t="n"/>
      <c r="BI122" s="588" t="n"/>
      <c r="BJ122" s="588" t="n"/>
      <c r="BK122" s="588" t="n"/>
      <c r="BL122" s="588" t="n"/>
      <c r="BM122" s="588" t="n"/>
      <c r="BN122" s="588" t="n"/>
      <c r="BO122" s="588" t="n"/>
      <c r="BP122" s="588" t="n"/>
      <c r="BQ122" s="588" t="n"/>
      <c r="BR122" s="588" t="n"/>
      <c r="BS122" s="588" t="n"/>
      <c r="BT122" s="588" t="n"/>
      <c r="BU122" s="588" t="n"/>
      <c r="BV122" s="588" t="n"/>
      <c r="BW122" s="588" t="n"/>
      <c r="BX122" s="588" t="n"/>
      <c r="BY122" s="588" t="n"/>
      <c r="BZ122" s="588" t="n"/>
      <c r="CA122" s="588" t="n"/>
      <c r="CB122" s="588" t="n"/>
      <c r="CC122" s="588" t="n"/>
      <c r="CD122" s="588" t="n"/>
      <c r="CE122" s="588" t="n"/>
      <c r="CF122" s="588" t="n"/>
      <c r="CG122" s="588" t="n"/>
      <c r="CH122" s="588" t="n"/>
      <c r="CI122" s="588" t="n"/>
      <c r="CJ122" s="588" t="n"/>
      <c r="CK122" s="588" t="n"/>
      <c r="CL122" s="588" t="n"/>
      <c r="CM122" s="588" t="n"/>
      <c r="CN122" s="588" t="n"/>
      <c r="CO122" s="588" t="n"/>
      <c r="CP122" s="588" t="n"/>
      <c r="CQ122" s="588" t="n"/>
      <c r="CR122" s="588" t="n"/>
      <c r="CS122" s="588" t="n"/>
      <c r="CT122" s="588" t="n"/>
      <c r="CU122" s="588" t="n"/>
      <c r="CV122" s="588" t="n"/>
      <c r="CW122" s="588" t="n"/>
      <c r="CX122" s="588" t="n"/>
      <c r="CY122" s="588" t="n"/>
      <c r="CZ122" s="588" t="n"/>
      <c r="DA122" s="588" t="n"/>
      <c r="DB122" s="588" t="n"/>
      <c r="DC122" s="588" t="n"/>
      <c r="DD122" s="588" t="n"/>
      <c r="DE122" s="588" t="n"/>
      <c r="DF122" s="588" t="n"/>
      <c r="DG122" s="588" t="n"/>
      <c r="DH122" s="588" t="n"/>
      <c r="DI122" s="588" t="n"/>
      <c r="DJ122" s="588" t="n"/>
      <c r="DK122" s="588" t="n"/>
      <c r="DL122" s="588" t="n"/>
      <c r="DM122" s="588" t="n"/>
      <c r="DN122" s="588" t="n"/>
      <c r="DO122" s="588" t="n"/>
      <c r="DP122" s="588" t="n"/>
      <c r="DQ122" s="588" t="n"/>
      <c r="DR122" s="588" t="n"/>
      <c r="DS122" s="588" t="n"/>
      <c r="DT122" s="588" t="n"/>
      <c r="DU122" s="588" t="n"/>
    </row>
    <row r="123" ht="13.2" customHeight="1" s="450">
      <c r="A123" s="590" t="n"/>
      <c r="B123" s="645" t="n"/>
      <c r="C123" s="615" t="n"/>
      <c r="D123" s="656" t="n"/>
      <c r="E123" s="602" t="n"/>
      <c r="F123" s="602" t="n"/>
      <c r="G123" s="602" t="n"/>
      <c r="H123" s="602" t="n"/>
      <c r="I123" s="598" t="n"/>
      <c r="J123" s="598" t="n"/>
      <c r="K123" s="656" t="n"/>
      <c r="L123" s="602" t="n"/>
      <c r="M123" s="602" t="n"/>
      <c r="N123" s="645" t="n"/>
      <c r="O123" s="670" t="n"/>
      <c r="P123" s="671" t="n"/>
      <c r="Q123" s="602" t="n"/>
      <c r="R123" s="655" t="n"/>
      <c r="S123" s="655" t="n"/>
      <c r="T123" s="655" t="n"/>
      <c r="U123" s="588" t="n"/>
      <c r="V123" s="588" t="n"/>
      <c r="W123" s="602" t="n"/>
      <c r="X123" s="588" t="n"/>
      <c r="Z123" s="588" t="n"/>
      <c r="AA123" s="588" t="n"/>
      <c r="AB123" s="588" t="n"/>
      <c r="AC123" s="588" t="n"/>
      <c r="AD123" s="588" t="n"/>
      <c r="AE123" s="588" t="n"/>
      <c r="AF123" s="588" t="n"/>
      <c r="AG123" s="588" t="n"/>
      <c r="AH123" s="588" t="n"/>
      <c r="AI123" s="588" t="n"/>
      <c r="AJ123" s="588" t="n"/>
      <c r="AK123" s="588" t="n"/>
      <c r="AL123" s="588" t="n"/>
      <c r="AM123" s="588" t="n"/>
      <c r="AN123" s="588" t="n"/>
      <c r="AO123" s="588" t="n"/>
      <c r="AP123" s="588" t="n"/>
      <c r="AQ123" s="588" t="n"/>
      <c r="AR123" s="588" t="n"/>
      <c r="AS123" s="588" t="n"/>
      <c r="AT123" s="588" t="n"/>
      <c r="AU123" s="588" t="n"/>
      <c r="AV123" s="588" t="n"/>
      <c r="AW123" s="588" t="n"/>
      <c r="AX123" s="588" t="n"/>
      <c r="AY123" s="588" t="n"/>
      <c r="AZ123" s="588" t="n"/>
      <c r="BA123" s="588" t="n"/>
      <c r="BB123" s="588" t="n"/>
      <c r="BC123" s="588" t="n"/>
      <c r="BD123" s="588" t="n"/>
      <c r="BE123" s="588" t="n"/>
      <c r="BF123" s="588" t="n"/>
      <c r="BG123" s="588" t="n"/>
      <c r="BH123" s="588" t="n"/>
      <c r="BI123" s="588" t="n"/>
      <c r="BJ123" s="588" t="n"/>
      <c r="BK123" s="588" t="n"/>
      <c r="BL123" s="588" t="n"/>
      <c r="BM123" s="588" t="n"/>
      <c r="BN123" s="588" t="n"/>
      <c r="BO123" s="588" t="n"/>
      <c r="BP123" s="588" t="n"/>
      <c r="BQ123" s="588" t="n"/>
      <c r="BR123" s="588" t="n"/>
      <c r="BS123" s="588" t="n"/>
      <c r="BT123" s="588" t="n"/>
      <c r="BU123" s="588" t="n"/>
      <c r="BV123" s="588" t="n"/>
      <c r="BW123" s="588" t="n"/>
      <c r="BX123" s="588" t="n"/>
      <c r="BY123" s="588" t="n"/>
      <c r="BZ123" s="588" t="n"/>
      <c r="CA123" s="588" t="n"/>
      <c r="CB123" s="588" t="n"/>
      <c r="CC123" s="588" t="n"/>
      <c r="CD123" s="588" t="n"/>
      <c r="CE123" s="588" t="n"/>
      <c r="CF123" s="588" t="n"/>
      <c r="CG123" s="588" t="n"/>
      <c r="CH123" s="588" t="n"/>
      <c r="CI123" s="588" t="n"/>
      <c r="CJ123" s="588" t="n"/>
      <c r="CK123" s="588" t="n"/>
      <c r="CL123" s="588" t="n"/>
      <c r="CM123" s="588" t="n"/>
      <c r="CN123" s="588" t="n"/>
      <c r="CO123" s="588" t="n"/>
      <c r="CP123" s="588" t="n"/>
      <c r="CQ123" s="588" t="n"/>
      <c r="CR123" s="588" t="n"/>
      <c r="CS123" s="588" t="n"/>
      <c r="CT123" s="588" t="n"/>
      <c r="CU123" s="588" t="n"/>
      <c r="CV123" s="588" t="n"/>
      <c r="CW123" s="588" t="n"/>
      <c r="CX123" s="588" t="n"/>
      <c r="CY123" s="588" t="n"/>
      <c r="CZ123" s="588" t="n"/>
      <c r="DA123" s="588" t="n"/>
      <c r="DB123" s="588" t="n"/>
      <c r="DC123" s="588" t="n"/>
      <c r="DD123" s="588" t="n"/>
      <c r="DE123" s="588" t="n"/>
      <c r="DF123" s="588" t="n"/>
      <c r="DG123" s="588" t="n"/>
      <c r="DH123" s="588" t="n"/>
      <c r="DI123" s="588" t="n"/>
      <c r="DJ123" s="588" t="n"/>
      <c r="DK123" s="588" t="n"/>
      <c r="DL123" s="588" t="n"/>
      <c r="DM123" s="588" t="n"/>
      <c r="DN123" s="588" t="n"/>
      <c r="DO123" s="588" t="n"/>
      <c r="DP123" s="588" t="n"/>
      <c r="DQ123" s="588" t="n"/>
      <c r="DR123" s="588" t="n"/>
      <c r="DS123" s="588" t="n"/>
      <c r="DT123" s="588" t="n"/>
      <c r="DU123" s="588" t="n"/>
    </row>
    <row r="124" ht="13.2" customHeight="1" s="450">
      <c r="A124" s="590" t="n"/>
      <c r="B124" s="601" t="inlineStr">
        <is>
          <t>Sondeos</t>
        </is>
      </c>
      <c r="C124" s="581" t="n"/>
      <c r="D124" s="581" t="n"/>
      <c r="E124" s="581" t="n"/>
      <c r="F124" s="582" t="n"/>
      <c r="G124" s="602" t="n"/>
      <c r="H124" s="602" t="n"/>
      <c r="I124" s="598" t="n"/>
      <c r="J124" s="598" t="n"/>
      <c r="K124" s="656" t="n"/>
      <c r="L124" s="602" t="n"/>
      <c r="M124" s="602" t="n"/>
      <c r="N124" s="645" t="n"/>
      <c r="O124" s="670" t="n"/>
      <c r="P124" s="671" t="n"/>
      <c r="Q124" s="602" t="n"/>
      <c r="R124" s="655" t="n"/>
      <c r="S124" s="655" t="n"/>
      <c r="T124" s="655" t="n"/>
      <c r="U124" s="588" t="n"/>
      <c r="V124" s="588" t="n"/>
      <c r="W124" s="602" t="n"/>
      <c r="X124" s="588" t="n"/>
      <c r="Z124" s="588" t="n"/>
      <c r="AA124" s="588" t="n"/>
      <c r="AB124" s="588" t="n"/>
      <c r="AC124" s="588" t="n"/>
      <c r="AD124" s="588" t="n"/>
      <c r="AE124" s="588" t="n"/>
      <c r="AF124" s="588" t="n"/>
      <c r="AG124" s="588" t="n"/>
      <c r="AH124" s="588" t="n"/>
      <c r="AI124" s="588" t="n"/>
      <c r="AJ124" s="588" t="n"/>
      <c r="AK124" s="588" t="n"/>
      <c r="AL124" s="588" t="n"/>
      <c r="AM124" s="588" t="n"/>
      <c r="AN124" s="588" t="n"/>
      <c r="AO124" s="588" t="n"/>
      <c r="AP124" s="588" t="n"/>
      <c r="AQ124" s="588" t="n"/>
      <c r="AR124" s="588" t="n"/>
      <c r="AS124" s="588" t="n"/>
      <c r="AT124" s="588" t="n"/>
      <c r="AU124" s="588" t="n"/>
      <c r="AV124" s="588" t="n"/>
      <c r="AW124" s="588" t="n"/>
      <c r="AX124" s="588" t="n"/>
      <c r="AY124" s="588" t="n"/>
      <c r="AZ124" s="588" t="n"/>
      <c r="BA124" s="588" t="n"/>
      <c r="BB124" s="588" t="n"/>
      <c r="BC124" s="588" t="n"/>
      <c r="BD124" s="588" t="n"/>
      <c r="BE124" s="588" t="n"/>
      <c r="BF124" s="588" t="n"/>
      <c r="BG124" s="588" t="n"/>
      <c r="BH124" s="588" t="n"/>
      <c r="BI124" s="588" t="n"/>
      <c r="BJ124" s="588" t="n"/>
      <c r="BK124" s="588" t="n"/>
      <c r="BL124" s="588" t="n"/>
      <c r="BM124" s="588" t="n"/>
      <c r="BN124" s="588" t="n"/>
      <c r="BO124" s="588" t="n"/>
      <c r="BP124" s="588" t="n"/>
      <c r="BQ124" s="588" t="n"/>
      <c r="BR124" s="588" t="n"/>
      <c r="BS124" s="588" t="n"/>
      <c r="BT124" s="588" t="n"/>
      <c r="BU124" s="588" t="n"/>
      <c r="BV124" s="588" t="n"/>
      <c r="BW124" s="588" t="n"/>
      <c r="BX124" s="588" t="n"/>
      <c r="BY124" s="588" t="n"/>
      <c r="BZ124" s="588" t="n"/>
      <c r="CA124" s="588" t="n"/>
      <c r="CB124" s="588" t="n"/>
      <c r="CC124" s="588" t="n"/>
      <c r="CD124" s="588" t="n"/>
      <c r="CE124" s="588" t="n"/>
      <c r="CF124" s="588" t="n"/>
      <c r="CG124" s="588" t="n"/>
      <c r="CH124" s="588" t="n"/>
      <c r="CI124" s="588" t="n"/>
      <c r="CJ124" s="588" t="n"/>
      <c r="CK124" s="588" t="n"/>
      <c r="CL124" s="588" t="n"/>
      <c r="CM124" s="588" t="n"/>
      <c r="CN124" s="588" t="n"/>
      <c r="CO124" s="588" t="n"/>
      <c r="CP124" s="588" t="n"/>
      <c r="CQ124" s="588" t="n"/>
      <c r="CR124" s="588" t="n"/>
      <c r="CS124" s="588" t="n"/>
      <c r="CT124" s="588" t="n"/>
      <c r="CU124" s="588" t="n"/>
      <c r="CV124" s="588" t="n"/>
      <c r="CW124" s="588" t="n"/>
      <c r="CX124" s="588" t="n"/>
      <c r="CY124" s="588" t="n"/>
      <c r="CZ124" s="588" t="n"/>
      <c r="DA124" s="588" t="n"/>
      <c r="DB124" s="588" t="n"/>
      <c r="DC124" s="588" t="n"/>
      <c r="DD124" s="588" t="n"/>
      <c r="DE124" s="588" t="n"/>
      <c r="DF124" s="588" t="n"/>
      <c r="DG124" s="588" t="n"/>
      <c r="DH124" s="588" t="n"/>
      <c r="DI124" s="588" t="n"/>
      <c r="DJ124" s="588" t="n"/>
      <c r="DK124" s="588" t="n"/>
      <c r="DL124" s="588" t="n"/>
      <c r="DM124" s="588" t="n"/>
      <c r="DN124" s="588" t="n"/>
      <c r="DO124" s="588" t="n"/>
      <c r="DP124" s="588" t="n"/>
      <c r="DQ124" s="588" t="n"/>
      <c r="DR124" s="588" t="n"/>
      <c r="DS124" s="588" t="n"/>
      <c r="DT124" s="588" t="n"/>
      <c r="DU124" s="588" t="n"/>
    </row>
    <row r="125" outlineLevel="1" ht="13.2" customHeight="1" s="450">
      <c r="A125" s="590" t="n"/>
      <c r="B125" s="605" t="inlineStr">
        <is>
          <t>N°</t>
        </is>
      </c>
      <c r="C125" s="605" t="inlineStr">
        <is>
          <t>Largo</t>
        </is>
      </c>
      <c r="D125" s="606" t="inlineStr">
        <is>
          <t>Ancho</t>
        </is>
      </c>
      <c r="E125" s="605" t="inlineStr">
        <is>
          <t>Prof.</t>
        </is>
      </c>
      <c r="F125" s="605" t="inlineStr">
        <is>
          <t>m3</t>
        </is>
      </c>
      <c r="G125" s="603" t="n"/>
      <c r="H125" s="602" t="n"/>
      <c r="I125" s="598" t="n"/>
      <c r="J125" s="598" t="n"/>
      <c r="K125" s="656" t="n"/>
      <c r="L125" s="602" t="n"/>
      <c r="M125" s="602" t="n"/>
      <c r="N125" s="645" t="n"/>
      <c r="O125" s="670" t="n"/>
      <c r="P125" s="671" t="n"/>
      <c r="Q125" s="602" t="n"/>
      <c r="R125" s="655" t="n"/>
      <c r="S125" s="655" t="n"/>
      <c r="T125" s="655" t="n"/>
      <c r="U125" s="588" t="n"/>
      <c r="V125" s="588" t="n"/>
      <c r="W125" s="602" t="n"/>
      <c r="X125" s="588" t="n"/>
      <c r="Z125" s="588" t="n"/>
      <c r="AA125" s="588" t="n"/>
      <c r="AB125" s="588" t="n"/>
      <c r="AC125" s="588" t="n"/>
      <c r="AD125" s="588" t="n"/>
      <c r="AE125" s="588" t="n"/>
      <c r="AF125" s="588" t="n"/>
      <c r="AG125" s="588" t="n"/>
      <c r="AH125" s="588" t="n"/>
      <c r="AI125" s="588" t="n"/>
      <c r="AJ125" s="588" t="n"/>
      <c r="AK125" s="588" t="n"/>
      <c r="AL125" s="588" t="n"/>
      <c r="AM125" s="588" t="n"/>
      <c r="AN125" s="588" t="n"/>
      <c r="AO125" s="588" t="n"/>
      <c r="AP125" s="588" t="n"/>
      <c r="AQ125" s="588" t="n"/>
      <c r="AR125" s="588" t="n"/>
      <c r="AS125" s="588" t="n"/>
      <c r="AT125" s="588" t="n"/>
      <c r="AU125" s="588" t="n"/>
      <c r="AV125" s="588" t="n"/>
      <c r="AW125" s="588" t="n"/>
      <c r="AX125" s="588" t="n"/>
      <c r="AY125" s="588" t="n"/>
      <c r="AZ125" s="588" t="n"/>
      <c r="BA125" s="588" t="n"/>
      <c r="BB125" s="588" t="n"/>
      <c r="BC125" s="588" t="n"/>
      <c r="BD125" s="588" t="n"/>
      <c r="BE125" s="588" t="n"/>
      <c r="BF125" s="588" t="n"/>
      <c r="BG125" s="588" t="n"/>
      <c r="BH125" s="588" t="n"/>
      <c r="BI125" s="588" t="n"/>
      <c r="BJ125" s="588" t="n"/>
      <c r="BK125" s="588" t="n"/>
      <c r="BL125" s="588" t="n"/>
      <c r="BM125" s="588" t="n"/>
      <c r="BN125" s="588" t="n"/>
      <c r="BO125" s="588" t="n"/>
      <c r="BP125" s="588" t="n"/>
      <c r="BQ125" s="588" t="n"/>
      <c r="BR125" s="588" t="n"/>
      <c r="BS125" s="588" t="n"/>
      <c r="BT125" s="588" t="n"/>
      <c r="BU125" s="588" t="n"/>
      <c r="BV125" s="588" t="n"/>
      <c r="BW125" s="588" t="n"/>
      <c r="BX125" s="588" t="n"/>
      <c r="BY125" s="588" t="n"/>
      <c r="BZ125" s="588" t="n"/>
      <c r="CA125" s="588" t="n"/>
      <c r="CB125" s="588" t="n"/>
      <c r="CC125" s="588" t="n"/>
      <c r="CD125" s="588" t="n"/>
      <c r="CE125" s="588" t="n"/>
      <c r="CF125" s="588" t="n"/>
      <c r="CG125" s="588" t="n"/>
      <c r="CH125" s="588" t="n"/>
      <c r="CI125" s="588" t="n"/>
      <c r="CJ125" s="588" t="n"/>
      <c r="CK125" s="588" t="n"/>
      <c r="CL125" s="588" t="n"/>
      <c r="CM125" s="588" t="n"/>
      <c r="CN125" s="588" t="n"/>
      <c r="CO125" s="588" t="n"/>
      <c r="CP125" s="588" t="n"/>
      <c r="CQ125" s="588" t="n"/>
      <c r="CR125" s="588" t="n"/>
      <c r="CS125" s="588" t="n"/>
      <c r="CT125" s="588" t="n"/>
      <c r="CU125" s="588" t="n"/>
      <c r="CV125" s="588" t="n"/>
      <c r="CW125" s="588" t="n"/>
      <c r="CX125" s="588" t="n"/>
      <c r="CY125" s="588" t="n"/>
      <c r="CZ125" s="588" t="n"/>
      <c r="DA125" s="588" t="n"/>
      <c r="DB125" s="588" t="n"/>
      <c r="DC125" s="588" t="n"/>
      <c r="DD125" s="588" t="n"/>
      <c r="DE125" s="588" t="n"/>
      <c r="DF125" s="588" t="n"/>
      <c r="DG125" s="588" t="n"/>
      <c r="DH125" s="588" t="n"/>
      <c r="DI125" s="588" t="n"/>
      <c r="DJ125" s="588" t="n"/>
      <c r="DK125" s="588" t="n"/>
      <c r="DL125" s="588" t="n"/>
      <c r="DM125" s="588" t="n"/>
      <c r="DN125" s="588" t="n"/>
      <c r="DO125" s="588" t="n"/>
      <c r="DP125" s="588" t="n"/>
      <c r="DQ125" s="588" t="n"/>
      <c r="DR125" s="588" t="n"/>
      <c r="DS125" s="588" t="n"/>
      <c r="DT125" s="588" t="n"/>
      <c r="DU125" s="588" t="n"/>
    </row>
    <row r="126" outlineLevel="1" ht="13.2" customHeight="1" s="450">
      <c r="A126" s="590" t="n"/>
      <c r="B126" s="608" t="inlineStr">
        <is>
          <t>So1</t>
        </is>
      </c>
      <c r="C126" s="614" t="n"/>
      <c r="D126" s="614" t="n"/>
      <c r="E126" s="614" t="n"/>
      <c r="F126" s="611">
        <f>+C126*D126*E126</f>
        <v/>
      </c>
      <c r="G126" s="683" t="n"/>
      <c r="H126" s="602" t="n"/>
      <c r="I126" s="598" t="n"/>
      <c r="J126" s="598" t="n"/>
      <c r="K126" s="656" t="n"/>
      <c r="L126" s="602" t="n"/>
      <c r="M126" s="602" t="n"/>
      <c r="N126" s="645" t="n"/>
      <c r="O126" s="670" t="n"/>
      <c r="P126" s="671" t="n"/>
      <c r="Q126" s="602" t="n"/>
      <c r="R126" s="655" t="n"/>
      <c r="S126" s="655" t="n"/>
      <c r="T126" s="655" t="n"/>
      <c r="U126" s="588" t="n"/>
      <c r="V126" s="588" t="n"/>
      <c r="W126" s="602" t="n"/>
      <c r="X126" s="588" t="n"/>
      <c r="Z126" s="588" t="n"/>
      <c r="AA126" s="588" t="n"/>
      <c r="AB126" s="588" t="n"/>
      <c r="AC126" s="588" t="n"/>
      <c r="AD126" s="588" t="n"/>
      <c r="AE126" s="588" t="n"/>
      <c r="AF126" s="588" t="n"/>
      <c r="AG126" s="588" t="n"/>
      <c r="AH126" s="588" t="n"/>
      <c r="AI126" s="588" t="n"/>
      <c r="AJ126" s="588" t="n"/>
      <c r="AK126" s="588" t="n"/>
      <c r="AL126" s="588" t="n"/>
      <c r="AM126" s="588" t="n"/>
      <c r="AN126" s="588" t="n"/>
      <c r="AO126" s="588" t="n"/>
      <c r="AP126" s="588" t="n"/>
      <c r="AQ126" s="588" t="n"/>
      <c r="AR126" s="588" t="n"/>
      <c r="AS126" s="588" t="n"/>
      <c r="AT126" s="588" t="n"/>
      <c r="AU126" s="588" t="n"/>
      <c r="AV126" s="588" t="n"/>
      <c r="AW126" s="588" t="n"/>
      <c r="AX126" s="588" t="n"/>
      <c r="AY126" s="588" t="n"/>
      <c r="AZ126" s="588" t="n"/>
      <c r="BA126" s="588" t="n"/>
      <c r="BB126" s="588" t="n"/>
      <c r="BC126" s="588" t="n"/>
      <c r="BD126" s="588" t="n"/>
      <c r="BE126" s="588" t="n"/>
      <c r="BF126" s="588" t="n"/>
      <c r="BG126" s="588" t="n"/>
      <c r="BH126" s="588" t="n"/>
      <c r="BI126" s="588" t="n"/>
      <c r="BJ126" s="588" t="n"/>
      <c r="BK126" s="588" t="n"/>
      <c r="BL126" s="588" t="n"/>
      <c r="BM126" s="588" t="n"/>
      <c r="BN126" s="588" t="n"/>
      <c r="BO126" s="588" t="n"/>
      <c r="BP126" s="588" t="n"/>
      <c r="BQ126" s="588" t="n"/>
      <c r="BR126" s="588" t="n"/>
      <c r="BS126" s="588" t="n"/>
      <c r="BT126" s="588" t="n"/>
      <c r="BU126" s="588" t="n"/>
      <c r="BV126" s="588" t="n"/>
      <c r="BW126" s="588" t="n"/>
      <c r="BX126" s="588" t="n"/>
      <c r="BY126" s="588" t="n"/>
      <c r="BZ126" s="588" t="n"/>
      <c r="CA126" s="588" t="n"/>
      <c r="CB126" s="588" t="n"/>
      <c r="CC126" s="588" t="n"/>
      <c r="CD126" s="588" t="n"/>
      <c r="CE126" s="588" t="n"/>
      <c r="CF126" s="588" t="n"/>
      <c r="CG126" s="588" t="n"/>
      <c r="CH126" s="588" t="n"/>
      <c r="CI126" s="588" t="n"/>
      <c r="CJ126" s="588" t="n"/>
      <c r="CK126" s="588" t="n"/>
      <c r="CL126" s="588" t="n"/>
      <c r="CM126" s="588" t="n"/>
      <c r="CN126" s="588" t="n"/>
      <c r="CO126" s="588" t="n"/>
      <c r="CP126" s="588" t="n"/>
      <c r="CQ126" s="588" t="n"/>
      <c r="CR126" s="588" t="n"/>
      <c r="CS126" s="588" t="n"/>
      <c r="CT126" s="588" t="n"/>
      <c r="CU126" s="588" t="n"/>
      <c r="CV126" s="588" t="n"/>
      <c r="CW126" s="588" t="n"/>
      <c r="CX126" s="588" t="n"/>
      <c r="CY126" s="588" t="n"/>
      <c r="CZ126" s="588" t="n"/>
      <c r="DA126" s="588" t="n"/>
      <c r="DB126" s="588" t="n"/>
      <c r="DC126" s="588" t="n"/>
      <c r="DD126" s="588" t="n"/>
      <c r="DE126" s="588" t="n"/>
      <c r="DF126" s="588" t="n"/>
      <c r="DG126" s="588" t="n"/>
      <c r="DH126" s="588" t="n"/>
      <c r="DI126" s="588" t="n"/>
      <c r="DJ126" s="588" t="n"/>
      <c r="DK126" s="588" t="n"/>
      <c r="DL126" s="588" t="n"/>
      <c r="DM126" s="588" t="n"/>
      <c r="DN126" s="588" t="n"/>
      <c r="DO126" s="588" t="n"/>
      <c r="DP126" s="588" t="n"/>
      <c r="DQ126" s="588" t="n"/>
      <c r="DR126" s="588" t="n"/>
      <c r="DS126" s="588" t="n"/>
      <c r="DT126" s="588" t="n"/>
      <c r="DU126" s="588" t="n"/>
    </row>
    <row r="127" outlineLevel="1" ht="13.2" customHeight="1" s="450">
      <c r="A127" s="590" t="n"/>
      <c r="B127" s="618" t="inlineStr">
        <is>
          <t>So2</t>
        </is>
      </c>
      <c r="C127" s="619" t="n"/>
      <c r="D127" s="619" t="n"/>
      <c r="E127" s="619" t="n"/>
      <c r="F127" s="621">
        <f>+C127*D127*E127</f>
        <v/>
      </c>
      <c r="G127" s="683" t="n"/>
      <c r="H127" s="602" t="n"/>
      <c r="I127" s="598" t="n"/>
      <c r="J127" s="598" t="n"/>
      <c r="K127" s="656" t="n"/>
      <c r="L127" s="602" t="n"/>
      <c r="M127" s="602" t="n"/>
      <c r="N127" s="645" t="n"/>
      <c r="O127" s="670" t="n"/>
      <c r="P127" s="671" t="n"/>
      <c r="Q127" s="602" t="n"/>
      <c r="R127" s="655" t="n"/>
      <c r="S127" s="655" t="n"/>
      <c r="T127" s="655" t="n"/>
      <c r="U127" s="588" t="n"/>
      <c r="V127" s="588" t="n"/>
      <c r="W127" s="602" t="n"/>
      <c r="X127" s="588" t="n"/>
      <c r="Z127" s="588" t="n"/>
      <c r="AA127" s="588" t="n"/>
      <c r="AB127" s="588" t="n"/>
      <c r="AC127" s="588" t="n"/>
      <c r="AD127" s="588" t="n"/>
      <c r="AE127" s="588" t="n"/>
      <c r="AF127" s="588" t="n"/>
      <c r="AG127" s="588" t="n"/>
      <c r="AH127" s="588" t="n"/>
      <c r="AI127" s="588" t="n"/>
      <c r="AJ127" s="588" t="n"/>
      <c r="AK127" s="588" t="n"/>
      <c r="AL127" s="588" t="n"/>
      <c r="AM127" s="588" t="n"/>
      <c r="AN127" s="588" t="n"/>
      <c r="AO127" s="588" t="n"/>
      <c r="AP127" s="588" t="n"/>
      <c r="AQ127" s="588" t="n"/>
      <c r="AR127" s="588" t="n"/>
      <c r="AS127" s="588" t="n"/>
      <c r="AT127" s="588" t="n"/>
      <c r="AU127" s="588" t="n"/>
      <c r="AV127" s="588" t="n"/>
      <c r="AW127" s="588" t="n"/>
      <c r="AX127" s="588" t="n"/>
      <c r="AY127" s="588" t="n"/>
      <c r="AZ127" s="588" t="n"/>
      <c r="BA127" s="588" t="n"/>
      <c r="BB127" s="588" t="n"/>
      <c r="BC127" s="588" t="n"/>
      <c r="BD127" s="588" t="n"/>
      <c r="BE127" s="588" t="n"/>
      <c r="BF127" s="588" t="n"/>
      <c r="BG127" s="588" t="n"/>
      <c r="BH127" s="588" t="n"/>
      <c r="BI127" s="588" t="n"/>
      <c r="BJ127" s="588" t="n"/>
      <c r="BK127" s="588" t="n"/>
      <c r="BL127" s="588" t="n"/>
      <c r="BM127" s="588" t="n"/>
      <c r="BN127" s="588" t="n"/>
      <c r="BO127" s="588" t="n"/>
      <c r="BP127" s="588" t="n"/>
      <c r="BQ127" s="588" t="n"/>
      <c r="BR127" s="588" t="n"/>
      <c r="BS127" s="588" t="n"/>
      <c r="BT127" s="588" t="n"/>
      <c r="BU127" s="588" t="n"/>
      <c r="BV127" s="588" t="n"/>
      <c r="BW127" s="588" t="n"/>
      <c r="BX127" s="588" t="n"/>
      <c r="BY127" s="588" t="n"/>
      <c r="BZ127" s="588" t="n"/>
      <c r="CA127" s="588" t="n"/>
      <c r="CB127" s="588" t="n"/>
      <c r="CC127" s="588" t="n"/>
      <c r="CD127" s="588" t="n"/>
      <c r="CE127" s="588" t="n"/>
      <c r="CF127" s="588" t="n"/>
      <c r="CG127" s="588" t="n"/>
      <c r="CH127" s="588" t="n"/>
      <c r="CI127" s="588" t="n"/>
      <c r="CJ127" s="588" t="n"/>
      <c r="CK127" s="588" t="n"/>
      <c r="CL127" s="588" t="n"/>
      <c r="CM127" s="588" t="n"/>
      <c r="CN127" s="588" t="n"/>
      <c r="CO127" s="588" t="n"/>
      <c r="CP127" s="588" t="n"/>
      <c r="CQ127" s="588" t="n"/>
      <c r="CR127" s="588" t="n"/>
      <c r="CS127" s="588" t="n"/>
      <c r="CT127" s="588" t="n"/>
      <c r="CU127" s="588" t="n"/>
      <c r="CV127" s="588" t="n"/>
      <c r="CW127" s="588" t="n"/>
      <c r="CX127" s="588" t="n"/>
      <c r="CY127" s="588" t="n"/>
      <c r="CZ127" s="588" t="n"/>
      <c r="DA127" s="588" t="n"/>
      <c r="DB127" s="588" t="n"/>
      <c r="DC127" s="588" t="n"/>
      <c r="DD127" s="588" t="n"/>
      <c r="DE127" s="588" t="n"/>
      <c r="DF127" s="588" t="n"/>
      <c r="DG127" s="588" t="n"/>
      <c r="DH127" s="588" t="n"/>
      <c r="DI127" s="588" t="n"/>
      <c r="DJ127" s="588" t="n"/>
      <c r="DK127" s="588" t="n"/>
      <c r="DL127" s="588" t="n"/>
      <c r="DM127" s="588" t="n"/>
      <c r="DN127" s="588" t="n"/>
      <c r="DO127" s="588" t="n"/>
      <c r="DP127" s="588" t="n"/>
      <c r="DQ127" s="588" t="n"/>
      <c r="DR127" s="588" t="n"/>
      <c r="DS127" s="588" t="n"/>
      <c r="DT127" s="588" t="n"/>
      <c r="DU127" s="588" t="n"/>
    </row>
    <row r="128" outlineLevel="1" ht="13.2" customHeight="1" s="450">
      <c r="A128" s="590" t="n"/>
      <c r="B128" s="618" t="inlineStr">
        <is>
          <t>So3</t>
        </is>
      </c>
      <c r="C128" s="619" t="n"/>
      <c r="D128" s="619" t="n"/>
      <c r="E128" s="619" t="n"/>
      <c r="F128" s="621">
        <f>+C128*D128*E128</f>
        <v/>
      </c>
      <c r="G128" s="683" t="n"/>
      <c r="H128" s="602" t="n"/>
      <c r="I128" s="598" t="n"/>
      <c r="J128" s="598" t="n"/>
      <c r="K128" s="656" t="n"/>
      <c r="L128" s="602" t="n"/>
      <c r="M128" s="602" t="n"/>
      <c r="N128" s="645" t="n"/>
      <c r="O128" s="670" t="n"/>
      <c r="P128" s="671" t="n"/>
      <c r="Q128" s="602" t="n"/>
      <c r="R128" s="655" t="n"/>
      <c r="S128" s="655" t="n"/>
      <c r="T128" s="655" t="n"/>
      <c r="U128" s="588" t="n"/>
      <c r="V128" s="588" t="n"/>
      <c r="W128" s="602" t="n"/>
      <c r="X128" s="588" t="n"/>
      <c r="Z128" s="588" t="n"/>
      <c r="AA128" s="588" t="n"/>
      <c r="AB128" s="588" t="n"/>
      <c r="AC128" s="588" t="n"/>
      <c r="AD128" s="588" t="n"/>
      <c r="AE128" s="588" t="n"/>
      <c r="AF128" s="588" t="n"/>
      <c r="AG128" s="588" t="n"/>
      <c r="AH128" s="588" t="n"/>
      <c r="AI128" s="588" t="n"/>
      <c r="AJ128" s="588" t="n"/>
      <c r="AK128" s="588" t="n"/>
      <c r="AL128" s="588" t="n"/>
      <c r="AM128" s="588" t="n"/>
      <c r="AN128" s="588" t="n"/>
      <c r="AO128" s="588" t="n"/>
      <c r="AP128" s="588" t="n"/>
      <c r="AQ128" s="588" t="n"/>
      <c r="AR128" s="588" t="n"/>
      <c r="AS128" s="588" t="n"/>
      <c r="AT128" s="588" t="n"/>
      <c r="AU128" s="588" t="n"/>
      <c r="AV128" s="588" t="n"/>
      <c r="AW128" s="588" t="n"/>
      <c r="AX128" s="588" t="n"/>
      <c r="AY128" s="588" t="n"/>
      <c r="AZ128" s="588" t="n"/>
      <c r="BA128" s="588" t="n"/>
      <c r="BB128" s="588" t="n"/>
      <c r="BC128" s="588" t="n"/>
      <c r="BD128" s="588" t="n"/>
      <c r="BE128" s="588" t="n"/>
      <c r="BF128" s="588" t="n"/>
      <c r="BG128" s="588" t="n"/>
      <c r="BH128" s="588" t="n"/>
      <c r="BI128" s="588" t="n"/>
      <c r="BJ128" s="588" t="n"/>
      <c r="BK128" s="588" t="n"/>
      <c r="BL128" s="588" t="n"/>
      <c r="BM128" s="588" t="n"/>
      <c r="BN128" s="588" t="n"/>
      <c r="BO128" s="588" t="n"/>
      <c r="BP128" s="588" t="n"/>
      <c r="BQ128" s="588" t="n"/>
      <c r="BR128" s="588" t="n"/>
      <c r="BS128" s="588" t="n"/>
      <c r="BT128" s="588" t="n"/>
      <c r="BU128" s="588" t="n"/>
      <c r="BV128" s="588" t="n"/>
      <c r="BW128" s="588" t="n"/>
      <c r="BX128" s="588" t="n"/>
      <c r="BY128" s="588" t="n"/>
      <c r="BZ128" s="588" t="n"/>
      <c r="CA128" s="588" t="n"/>
      <c r="CB128" s="588" t="n"/>
      <c r="CC128" s="588" t="n"/>
      <c r="CD128" s="588" t="n"/>
      <c r="CE128" s="588" t="n"/>
      <c r="CF128" s="588" t="n"/>
      <c r="CG128" s="588" t="n"/>
      <c r="CH128" s="588" t="n"/>
      <c r="CI128" s="588" t="n"/>
      <c r="CJ128" s="588" t="n"/>
      <c r="CK128" s="588" t="n"/>
      <c r="CL128" s="588" t="n"/>
      <c r="CM128" s="588" t="n"/>
      <c r="CN128" s="588" t="n"/>
      <c r="CO128" s="588" t="n"/>
      <c r="CP128" s="588" t="n"/>
      <c r="CQ128" s="588" t="n"/>
      <c r="CR128" s="588" t="n"/>
      <c r="CS128" s="588" t="n"/>
      <c r="CT128" s="588" t="n"/>
      <c r="CU128" s="588" t="n"/>
      <c r="CV128" s="588" t="n"/>
      <c r="CW128" s="588" t="n"/>
      <c r="CX128" s="588" t="n"/>
      <c r="CY128" s="588" t="n"/>
      <c r="CZ128" s="588" t="n"/>
      <c r="DA128" s="588" t="n"/>
      <c r="DB128" s="588" t="n"/>
      <c r="DC128" s="588" t="n"/>
      <c r="DD128" s="588" t="n"/>
      <c r="DE128" s="588" t="n"/>
      <c r="DF128" s="588" t="n"/>
      <c r="DG128" s="588" t="n"/>
      <c r="DH128" s="588" t="n"/>
      <c r="DI128" s="588" t="n"/>
      <c r="DJ128" s="588" t="n"/>
      <c r="DK128" s="588" t="n"/>
      <c r="DL128" s="588" t="n"/>
      <c r="DM128" s="588" t="n"/>
      <c r="DN128" s="588" t="n"/>
      <c r="DO128" s="588" t="n"/>
      <c r="DP128" s="588" t="n"/>
      <c r="DQ128" s="588" t="n"/>
      <c r="DR128" s="588" t="n"/>
      <c r="DS128" s="588" t="n"/>
      <c r="DT128" s="588" t="n"/>
      <c r="DU128" s="588" t="n"/>
    </row>
    <row r="129" outlineLevel="1" ht="13.2" customHeight="1" s="450">
      <c r="A129" s="590" t="n"/>
      <c r="B129" s="618" t="inlineStr">
        <is>
          <t>So4</t>
        </is>
      </c>
      <c r="C129" s="619" t="n"/>
      <c r="D129" s="619" t="n"/>
      <c r="E129" s="619" t="n"/>
      <c r="F129" s="621">
        <f>+C129*D129*E129</f>
        <v/>
      </c>
      <c r="G129" s="683" t="n"/>
      <c r="H129" s="602" t="n"/>
      <c r="I129" s="598" t="n"/>
      <c r="J129" s="598" t="n"/>
      <c r="K129" s="656" t="n"/>
      <c r="L129" s="602" t="n"/>
      <c r="M129" s="602" t="n"/>
      <c r="N129" s="645" t="n"/>
      <c r="O129" s="670" t="n"/>
      <c r="P129" s="671" t="n"/>
      <c r="Q129" s="602" t="n"/>
      <c r="R129" s="655" t="n"/>
      <c r="S129" s="655" t="n"/>
      <c r="T129" s="655" t="n"/>
      <c r="U129" s="588" t="n"/>
      <c r="V129" s="588" t="n"/>
      <c r="W129" s="602" t="n"/>
      <c r="X129" s="588" t="n"/>
      <c r="Z129" s="588" t="n"/>
      <c r="AA129" s="588" t="n"/>
      <c r="AB129" s="588" t="n"/>
      <c r="AC129" s="588" t="n"/>
      <c r="AD129" s="588" t="n"/>
      <c r="AE129" s="588" t="n"/>
      <c r="AF129" s="588" t="n"/>
      <c r="AG129" s="588" t="n"/>
      <c r="AH129" s="588" t="n"/>
      <c r="AI129" s="588" t="n"/>
      <c r="AJ129" s="588" t="n"/>
      <c r="AK129" s="588" t="n"/>
      <c r="AL129" s="588" t="n"/>
      <c r="AM129" s="588" t="n"/>
      <c r="AN129" s="588" t="n"/>
      <c r="AO129" s="588" t="n"/>
      <c r="AP129" s="588" t="n"/>
      <c r="AQ129" s="588" t="n"/>
      <c r="AR129" s="588" t="n"/>
      <c r="AS129" s="588" t="n"/>
      <c r="AT129" s="588" t="n"/>
      <c r="AU129" s="588" t="n"/>
      <c r="AV129" s="588" t="n"/>
      <c r="AW129" s="588" t="n"/>
      <c r="AX129" s="588" t="n"/>
      <c r="AY129" s="588" t="n"/>
      <c r="AZ129" s="588" t="n"/>
      <c r="BA129" s="588" t="n"/>
      <c r="BB129" s="588" t="n"/>
      <c r="BC129" s="588" t="n"/>
      <c r="BD129" s="588" t="n"/>
      <c r="BE129" s="588" t="n"/>
      <c r="BF129" s="588" t="n"/>
      <c r="BG129" s="588" t="n"/>
      <c r="BH129" s="588" t="n"/>
      <c r="BI129" s="588" t="n"/>
      <c r="BJ129" s="588" t="n"/>
      <c r="BK129" s="588" t="n"/>
      <c r="BL129" s="588" t="n"/>
      <c r="BM129" s="588" t="n"/>
      <c r="BN129" s="588" t="n"/>
      <c r="BO129" s="588" t="n"/>
      <c r="BP129" s="588" t="n"/>
      <c r="BQ129" s="588" t="n"/>
      <c r="BR129" s="588" t="n"/>
      <c r="BS129" s="588" t="n"/>
      <c r="BT129" s="588" t="n"/>
      <c r="BU129" s="588" t="n"/>
      <c r="BV129" s="588" t="n"/>
      <c r="BW129" s="588" t="n"/>
      <c r="BX129" s="588" t="n"/>
      <c r="BY129" s="588" t="n"/>
      <c r="BZ129" s="588" t="n"/>
      <c r="CA129" s="588" t="n"/>
      <c r="CB129" s="588" t="n"/>
      <c r="CC129" s="588" t="n"/>
      <c r="CD129" s="588" t="n"/>
      <c r="CE129" s="588" t="n"/>
      <c r="CF129" s="588" t="n"/>
      <c r="CG129" s="588" t="n"/>
      <c r="CH129" s="588" t="n"/>
      <c r="CI129" s="588" t="n"/>
      <c r="CJ129" s="588" t="n"/>
      <c r="CK129" s="588" t="n"/>
      <c r="CL129" s="588" t="n"/>
      <c r="CM129" s="588" t="n"/>
      <c r="CN129" s="588" t="n"/>
      <c r="CO129" s="588" t="n"/>
      <c r="CP129" s="588" t="n"/>
      <c r="CQ129" s="588" t="n"/>
      <c r="CR129" s="588" t="n"/>
      <c r="CS129" s="588" t="n"/>
      <c r="CT129" s="588" t="n"/>
      <c r="CU129" s="588" t="n"/>
      <c r="CV129" s="588" t="n"/>
      <c r="CW129" s="588" t="n"/>
      <c r="CX129" s="588" t="n"/>
      <c r="CY129" s="588" t="n"/>
      <c r="CZ129" s="588" t="n"/>
      <c r="DA129" s="588" t="n"/>
      <c r="DB129" s="588" t="n"/>
      <c r="DC129" s="588" t="n"/>
      <c r="DD129" s="588" t="n"/>
      <c r="DE129" s="588" t="n"/>
      <c r="DF129" s="588" t="n"/>
      <c r="DG129" s="588" t="n"/>
      <c r="DH129" s="588" t="n"/>
      <c r="DI129" s="588" t="n"/>
      <c r="DJ129" s="588" t="n"/>
      <c r="DK129" s="588" t="n"/>
      <c r="DL129" s="588" t="n"/>
      <c r="DM129" s="588" t="n"/>
      <c r="DN129" s="588" t="n"/>
      <c r="DO129" s="588" t="n"/>
      <c r="DP129" s="588" t="n"/>
      <c r="DQ129" s="588" t="n"/>
      <c r="DR129" s="588" t="n"/>
      <c r="DS129" s="588" t="n"/>
      <c r="DT129" s="588" t="n"/>
      <c r="DU129" s="588" t="n"/>
    </row>
    <row r="130" outlineLevel="1" ht="13.2" customHeight="1" s="450">
      <c r="A130" s="590" t="n"/>
      <c r="B130" s="618" t="inlineStr">
        <is>
          <t>So5</t>
        </is>
      </c>
      <c r="C130" s="619" t="n"/>
      <c r="D130" s="619" t="n"/>
      <c r="E130" s="619" t="n"/>
      <c r="F130" s="621">
        <f>+C130*D130*E130</f>
        <v/>
      </c>
      <c r="G130" s="683" t="n"/>
      <c r="H130" s="602" t="n"/>
      <c r="I130" s="598" t="n"/>
      <c r="J130" s="598" t="n"/>
      <c r="K130" s="656" t="n"/>
      <c r="L130" s="602" t="n"/>
      <c r="M130" s="602" t="n"/>
      <c r="N130" s="645" t="n"/>
      <c r="O130" s="670" t="n"/>
      <c r="P130" s="671" t="n"/>
      <c r="Q130" s="602" t="n"/>
      <c r="R130" s="655" t="n"/>
      <c r="S130" s="655" t="n"/>
      <c r="T130" s="655" t="n"/>
      <c r="U130" s="588" t="n"/>
      <c r="V130" s="588" t="n"/>
      <c r="W130" s="602" t="n"/>
      <c r="X130" s="588" t="n"/>
      <c r="Z130" s="588" t="n"/>
      <c r="AA130" s="588" t="n"/>
      <c r="AB130" s="588" t="n"/>
      <c r="AC130" s="588" t="n"/>
      <c r="AD130" s="588" t="n"/>
      <c r="AE130" s="588" t="n"/>
      <c r="AF130" s="588" t="n"/>
      <c r="AG130" s="588" t="n"/>
      <c r="AH130" s="588" t="n"/>
      <c r="AI130" s="588" t="n"/>
      <c r="AJ130" s="588" t="n"/>
      <c r="AK130" s="588" t="n"/>
      <c r="AL130" s="588" t="n"/>
      <c r="AM130" s="588" t="n"/>
      <c r="AN130" s="588" t="n"/>
      <c r="AO130" s="588" t="n"/>
      <c r="AP130" s="588" t="n"/>
      <c r="AQ130" s="588" t="n"/>
      <c r="AR130" s="588" t="n"/>
      <c r="AS130" s="588" t="n"/>
      <c r="AT130" s="588" t="n"/>
      <c r="AU130" s="588" t="n"/>
      <c r="AV130" s="588" t="n"/>
      <c r="AW130" s="588" t="n"/>
      <c r="AX130" s="588" t="n"/>
      <c r="AY130" s="588" t="n"/>
      <c r="AZ130" s="588" t="n"/>
      <c r="BA130" s="588" t="n"/>
      <c r="BB130" s="588" t="n"/>
      <c r="BC130" s="588" t="n"/>
      <c r="BD130" s="588" t="n"/>
      <c r="BE130" s="588" t="n"/>
      <c r="BF130" s="588" t="n"/>
      <c r="BG130" s="588" t="n"/>
      <c r="BH130" s="588" t="n"/>
      <c r="BI130" s="588" t="n"/>
      <c r="BJ130" s="588" t="n"/>
      <c r="BK130" s="588" t="n"/>
      <c r="BL130" s="588" t="n"/>
      <c r="BM130" s="588" t="n"/>
      <c r="BN130" s="588" t="n"/>
      <c r="BO130" s="588" t="n"/>
      <c r="BP130" s="588" t="n"/>
      <c r="BQ130" s="588" t="n"/>
      <c r="BR130" s="588" t="n"/>
      <c r="BS130" s="588" t="n"/>
      <c r="BT130" s="588" t="n"/>
      <c r="BU130" s="588" t="n"/>
      <c r="BV130" s="588" t="n"/>
      <c r="BW130" s="588" t="n"/>
      <c r="BX130" s="588" t="n"/>
      <c r="BY130" s="588" t="n"/>
      <c r="BZ130" s="588" t="n"/>
      <c r="CA130" s="588" t="n"/>
      <c r="CB130" s="588" t="n"/>
      <c r="CC130" s="588" t="n"/>
      <c r="CD130" s="588" t="n"/>
      <c r="CE130" s="588" t="n"/>
      <c r="CF130" s="588" t="n"/>
      <c r="CG130" s="588" t="n"/>
      <c r="CH130" s="588" t="n"/>
      <c r="CI130" s="588" t="n"/>
      <c r="CJ130" s="588" t="n"/>
      <c r="CK130" s="588" t="n"/>
      <c r="CL130" s="588" t="n"/>
      <c r="CM130" s="588" t="n"/>
      <c r="CN130" s="588" t="n"/>
      <c r="CO130" s="588" t="n"/>
      <c r="CP130" s="588" t="n"/>
      <c r="CQ130" s="588" t="n"/>
      <c r="CR130" s="588" t="n"/>
      <c r="CS130" s="588" t="n"/>
      <c r="CT130" s="588" t="n"/>
      <c r="CU130" s="588" t="n"/>
      <c r="CV130" s="588" t="n"/>
      <c r="CW130" s="588" t="n"/>
      <c r="CX130" s="588" t="n"/>
      <c r="CY130" s="588" t="n"/>
      <c r="CZ130" s="588" t="n"/>
      <c r="DA130" s="588" t="n"/>
      <c r="DB130" s="588" t="n"/>
      <c r="DC130" s="588" t="n"/>
      <c r="DD130" s="588" t="n"/>
      <c r="DE130" s="588" t="n"/>
      <c r="DF130" s="588" t="n"/>
      <c r="DG130" s="588" t="n"/>
      <c r="DH130" s="588" t="n"/>
      <c r="DI130" s="588" t="n"/>
      <c r="DJ130" s="588" t="n"/>
      <c r="DK130" s="588" t="n"/>
      <c r="DL130" s="588" t="n"/>
      <c r="DM130" s="588" t="n"/>
      <c r="DN130" s="588" t="n"/>
      <c r="DO130" s="588" t="n"/>
      <c r="DP130" s="588" t="n"/>
      <c r="DQ130" s="588" t="n"/>
      <c r="DR130" s="588" t="n"/>
      <c r="DS130" s="588" t="n"/>
      <c r="DT130" s="588" t="n"/>
      <c r="DU130" s="588" t="n"/>
    </row>
    <row r="131" outlineLevel="1" ht="13.2" customHeight="1" s="450">
      <c r="A131" s="590" t="n"/>
      <c r="B131" s="618" t="inlineStr">
        <is>
          <t>So6</t>
        </is>
      </c>
      <c r="C131" s="619" t="n"/>
      <c r="D131" s="619" t="n"/>
      <c r="E131" s="619" t="n"/>
      <c r="F131" s="621">
        <f>+C131*D131*E131</f>
        <v/>
      </c>
      <c r="G131" s="683" t="n"/>
      <c r="H131" s="602" t="n"/>
      <c r="I131" s="598" t="n"/>
      <c r="J131" s="598" t="n"/>
      <c r="K131" s="656" t="n"/>
      <c r="L131" s="602" t="n"/>
      <c r="M131" s="602" t="n"/>
      <c r="N131" s="645" t="n"/>
      <c r="O131" s="670" t="n"/>
      <c r="P131" s="671" t="n"/>
      <c r="Q131" s="602" t="n"/>
      <c r="R131" s="655" t="n"/>
      <c r="S131" s="655" t="n"/>
      <c r="T131" s="655" t="n"/>
      <c r="U131" s="588" t="n"/>
      <c r="V131" s="588" t="n"/>
      <c r="W131" s="602" t="n"/>
      <c r="X131" s="588" t="n"/>
      <c r="Z131" s="588" t="n"/>
      <c r="AA131" s="588" t="n"/>
      <c r="AB131" s="588" t="n"/>
      <c r="AC131" s="588" t="n"/>
      <c r="AD131" s="588" t="n"/>
      <c r="AE131" s="588" t="n"/>
      <c r="AF131" s="588" t="n"/>
      <c r="AG131" s="588" t="n"/>
      <c r="AH131" s="588" t="n"/>
      <c r="AI131" s="588" t="n"/>
      <c r="AJ131" s="588" t="n"/>
      <c r="AK131" s="588" t="n"/>
      <c r="AL131" s="588" t="n"/>
      <c r="AM131" s="588" t="n"/>
      <c r="AN131" s="588" t="n"/>
      <c r="AO131" s="588" t="n"/>
      <c r="AP131" s="588" t="n"/>
      <c r="AQ131" s="588" t="n"/>
      <c r="AR131" s="588" t="n"/>
      <c r="AS131" s="588" t="n"/>
      <c r="AT131" s="588" t="n"/>
      <c r="AU131" s="588" t="n"/>
      <c r="AV131" s="588" t="n"/>
      <c r="AW131" s="588" t="n"/>
      <c r="AX131" s="588" t="n"/>
      <c r="AY131" s="588" t="n"/>
      <c r="AZ131" s="588" t="n"/>
      <c r="BA131" s="588" t="n"/>
      <c r="BB131" s="588" t="n"/>
      <c r="BC131" s="588" t="n"/>
      <c r="BD131" s="588" t="n"/>
      <c r="BE131" s="588" t="n"/>
      <c r="BF131" s="588" t="n"/>
      <c r="BG131" s="588" t="n"/>
      <c r="BH131" s="588" t="n"/>
      <c r="BI131" s="588" t="n"/>
      <c r="BJ131" s="588" t="n"/>
      <c r="BK131" s="588" t="n"/>
      <c r="BL131" s="588" t="n"/>
      <c r="BM131" s="588" t="n"/>
      <c r="BN131" s="588" t="n"/>
      <c r="BO131" s="588" t="n"/>
      <c r="BP131" s="588" t="n"/>
      <c r="BQ131" s="588" t="n"/>
      <c r="BR131" s="588" t="n"/>
      <c r="BS131" s="588" t="n"/>
      <c r="BT131" s="588" t="n"/>
      <c r="BU131" s="588" t="n"/>
      <c r="BV131" s="588" t="n"/>
      <c r="BW131" s="588" t="n"/>
      <c r="BX131" s="588" t="n"/>
      <c r="BY131" s="588" t="n"/>
      <c r="BZ131" s="588" t="n"/>
      <c r="CA131" s="588" t="n"/>
      <c r="CB131" s="588" t="n"/>
      <c r="CC131" s="588" t="n"/>
      <c r="CD131" s="588" t="n"/>
      <c r="CE131" s="588" t="n"/>
      <c r="CF131" s="588" t="n"/>
      <c r="CG131" s="588" t="n"/>
      <c r="CH131" s="588" t="n"/>
      <c r="CI131" s="588" t="n"/>
      <c r="CJ131" s="588" t="n"/>
      <c r="CK131" s="588" t="n"/>
      <c r="CL131" s="588" t="n"/>
      <c r="CM131" s="588" t="n"/>
      <c r="CN131" s="588" t="n"/>
      <c r="CO131" s="588" t="n"/>
      <c r="CP131" s="588" t="n"/>
      <c r="CQ131" s="588" t="n"/>
      <c r="CR131" s="588" t="n"/>
      <c r="CS131" s="588" t="n"/>
      <c r="CT131" s="588" t="n"/>
      <c r="CU131" s="588" t="n"/>
      <c r="CV131" s="588" t="n"/>
      <c r="CW131" s="588" t="n"/>
      <c r="CX131" s="588" t="n"/>
      <c r="CY131" s="588" t="n"/>
      <c r="CZ131" s="588" t="n"/>
      <c r="DA131" s="588" t="n"/>
      <c r="DB131" s="588" t="n"/>
      <c r="DC131" s="588" t="n"/>
      <c r="DD131" s="588" t="n"/>
      <c r="DE131" s="588" t="n"/>
      <c r="DF131" s="588" t="n"/>
      <c r="DG131" s="588" t="n"/>
      <c r="DH131" s="588" t="n"/>
      <c r="DI131" s="588" t="n"/>
      <c r="DJ131" s="588" t="n"/>
      <c r="DK131" s="588" t="n"/>
      <c r="DL131" s="588" t="n"/>
      <c r="DM131" s="588" t="n"/>
      <c r="DN131" s="588" t="n"/>
      <c r="DO131" s="588" t="n"/>
      <c r="DP131" s="588" t="n"/>
      <c r="DQ131" s="588" t="n"/>
      <c r="DR131" s="588" t="n"/>
      <c r="DS131" s="588" t="n"/>
      <c r="DT131" s="588" t="n"/>
      <c r="DU131" s="588" t="n"/>
    </row>
    <row r="132" outlineLevel="1" ht="13.2" customHeight="1" s="450">
      <c r="A132" s="590" t="n"/>
      <c r="B132" s="618" t="inlineStr">
        <is>
          <t>So7</t>
        </is>
      </c>
      <c r="C132" s="619" t="n"/>
      <c r="D132" s="619" t="n"/>
      <c r="E132" s="619" t="n"/>
      <c r="F132" s="621">
        <f>+C132*D132*E132</f>
        <v/>
      </c>
      <c r="G132" s="683" t="n"/>
      <c r="H132" s="602" t="n"/>
      <c r="I132" s="598" t="n"/>
      <c r="J132" s="598" t="n"/>
      <c r="K132" s="656" t="n"/>
      <c r="L132" s="602" t="n"/>
      <c r="M132" s="602" t="n"/>
      <c r="N132" s="645" t="n"/>
      <c r="O132" s="670" t="n"/>
      <c r="P132" s="671" t="n"/>
      <c r="Q132" s="602" t="n"/>
      <c r="R132" s="655" t="n"/>
      <c r="S132" s="655" t="n"/>
      <c r="T132" s="655" t="n"/>
      <c r="U132" s="588" t="n"/>
      <c r="V132" s="588" t="n"/>
      <c r="W132" s="602" t="n"/>
      <c r="X132" s="588" t="n"/>
      <c r="Z132" s="588" t="n"/>
      <c r="AA132" s="588" t="n"/>
      <c r="AB132" s="588" t="n"/>
      <c r="AC132" s="588" t="n"/>
      <c r="AD132" s="588" t="n"/>
      <c r="AE132" s="588" t="n"/>
      <c r="AF132" s="588" t="n"/>
      <c r="AG132" s="588" t="n"/>
      <c r="AH132" s="588" t="n"/>
      <c r="AI132" s="588" t="n"/>
      <c r="AJ132" s="588" t="n"/>
      <c r="AK132" s="588" t="n"/>
      <c r="AL132" s="588" t="n"/>
      <c r="AM132" s="588" t="n"/>
      <c r="AN132" s="588" t="n"/>
      <c r="AO132" s="588" t="n"/>
      <c r="AP132" s="588" t="n"/>
      <c r="AQ132" s="588" t="n"/>
      <c r="AR132" s="588" t="n"/>
      <c r="AS132" s="588" t="n"/>
      <c r="AT132" s="588" t="n"/>
      <c r="AU132" s="588" t="n"/>
      <c r="AV132" s="588" t="n"/>
      <c r="AW132" s="588" t="n"/>
      <c r="AX132" s="588" t="n"/>
      <c r="AY132" s="588" t="n"/>
      <c r="AZ132" s="588" t="n"/>
      <c r="BA132" s="588" t="n"/>
      <c r="BB132" s="588" t="n"/>
      <c r="BC132" s="588" t="n"/>
      <c r="BD132" s="588" t="n"/>
      <c r="BE132" s="588" t="n"/>
      <c r="BF132" s="588" t="n"/>
      <c r="BG132" s="588" t="n"/>
      <c r="BH132" s="588" t="n"/>
      <c r="BI132" s="588" t="n"/>
      <c r="BJ132" s="588" t="n"/>
      <c r="BK132" s="588" t="n"/>
      <c r="BL132" s="588" t="n"/>
      <c r="BM132" s="588" t="n"/>
      <c r="BN132" s="588" t="n"/>
      <c r="BO132" s="588" t="n"/>
      <c r="BP132" s="588" t="n"/>
      <c r="BQ132" s="588" t="n"/>
      <c r="BR132" s="588" t="n"/>
      <c r="BS132" s="588" t="n"/>
      <c r="BT132" s="588" t="n"/>
      <c r="BU132" s="588" t="n"/>
      <c r="BV132" s="588" t="n"/>
      <c r="BW132" s="588" t="n"/>
      <c r="BX132" s="588" t="n"/>
      <c r="BY132" s="588" t="n"/>
      <c r="BZ132" s="588" t="n"/>
      <c r="CA132" s="588" t="n"/>
      <c r="CB132" s="588" t="n"/>
      <c r="CC132" s="588" t="n"/>
      <c r="CD132" s="588" t="n"/>
      <c r="CE132" s="588" t="n"/>
      <c r="CF132" s="588" t="n"/>
      <c r="CG132" s="588" t="n"/>
      <c r="CH132" s="588" t="n"/>
      <c r="CI132" s="588" t="n"/>
      <c r="CJ132" s="588" t="n"/>
      <c r="CK132" s="588" t="n"/>
      <c r="CL132" s="588" t="n"/>
      <c r="CM132" s="588" t="n"/>
      <c r="CN132" s="588" t="n"/>
      <c r="CO132" s="588" t="n"/>
      <c r="CP132" s="588" t="n"/>
      <c r="CQ132" s="588" t="n"/>
      <c r="CR132" s="588" t="n"/>
      <c r="CS132" s="588" t="n"/>
      <c r="CT132" s="588" t="n"/>
      <c r="CU132" s="588" t="n"/>
      <c r="CV132" s="588" t="n"/>
      <c r="CW132" s="588" t="n"/>
      <c r="CX132" s="588" t="n"/>
      <c r="CY132" s="588" t="n"/>
      <c r="CZ132" s="588" t="n"/>
      <c r="DA132" s="588" t="n"/>
      <c r="DB132" s="588" t="n"/>
      <c r="DC132" s="588" t="n"/>
      <c r="DD132" s="588" t="n"/>
      <c r="DE132" s="588" t="n"/>
      <c r="DF132" s="588" t="n"/>
      <c r="DG132" s="588" t="n"/>
      <c r="DH132" s="588" t="n"/>
      <c r="DI132" s="588" t="n"/>
      <c r="DJ132" s="588" t="n"/>
      <c r="DK132" s="588" t="n"/>
      <c r="DL132" s="588" t="n"/>
      <c r="DM132" s="588" t="n"/>
      <c r="DN132" s="588" t="n"/>
      <c r="DO132" s="588" t="n"/>
      <c r="DP132" s="588" t="n"/>
      <c r="DQ132" s="588" t="n"/>
      <c r="DR132" s="588" t="n"/>
      <c r="DS132" s="588" t="n"/>
      <c r="DT132" s="588" t="n"/>
      <c r="DU132" s="588" t="n"/>
    </row>
    <row r="133" outlineLevel="1" ht="13.2" customHeight="1" s="450">
      <c r="A133" s="590" t="n"/>
      <c r="B133" s="618" t="inlineStr">
        <is>
          <t>So8</t>
        </is>
      </c>
      <c r="C133" s="619" t="n"/>
      <c r="D133" s="619" t="n"/>
      <c r="E133" s="619" t="n"/>
      <c r="F133" s="621">
        <f>+C133*D133*E133</f>
        <v/>
      </c>
      <c r="G133" s="683" t="n"/>
      <c r="H133" s="602" t="n"/>
      <c r="I133" s="598" t="n"/>
      <c r="J133" s="598" t="n"/>
      <c r="K133" s="656" t="n"/>
      <c r="L133" s="602" t="n"/>
      <c r="M133" s="602" t="n"/>
      <c r="N133" s="645" t="n"/>
      <c r="O133" s="670" t="n"/>
      <c r="P133" s="671" t="n"/>
      <c r="Q133" s="602" t="n"/>
      <c r="R133" s="655" t="n"/>
      <c r="S133" s="655" t="n"/>
      <c r="T133" s="655" t="n"/>
      <c r="U133" s="588" t="n"/>
      <c r="V133" s="588" t="n"/>
      <c r="W133" s="602" t="n"/>
      <c r="X133" s="588" t="n"/>
      <c r="Z133" s="588" t="n"/>
      <c r="AA133" s="588" t="n"/>
      <c r="AB133" s="588" t="n"/>
      <c r="AC133" s="588" t="n"/>
      <c r="AD133" s="588" t="n"/>
      <c r="AE133" s="588" t="n"/>
      <c r="AF133" s="588" t="n"/>
      <c r="AG133" s="588" t="n"/>
      <c r="AH133" s="588" t="n"/>
      <c r="AI133" s="588" t="n"/>
      <c r="AJ133" s="588" t="n"/>
      <c r="AK133" s="588" t="n"/>
      <c r="AL133" s="588" t="n"/>
      <c r="AM133" s="588" t="n"/>
      <c r="AN133" s="588" t="n"/>
      <c r="AO133" s="588" t="n"/>
      <c r="AP133" s="588" t="n"/>
      <c r="AQ133" s="588" t="n"/>
      <c r="AR133" s="588" t="n"/>
      <c r="AS133" s="588" t="n"/>
      <c r="AT133" s="588" t="n"/>
      <c r="AU133" s="588" t="n"/>
      <c r="AV133" s="588" t="n"/>
      <c r="AW133" s="588" t="n"/>
      <c r="AX133" s="588" t="n"/>
      <c r="AY133" s="588" t="n"/>
      <c r="AZ133" s="588" t="n"/>
      <c r="BA133" s="588" t="n"/>
      <c r="BB133" s="588" t="n"/>
      <c r="BC133" s="588" t="n"/>
      <c r="BD133" s="588" t="n"/>
      <c r="BE133" s="588" t="n"/>
      <c r="BF133" s="588" t="n"/>
      <c r="BG133" s="588" t="n"/>
      <c r="BH133" s="588" t="n"/>
      <c r="BI133" s="588" t="n"/>
      <c r="BJ133" s="588" t="n"/>
      <c r="BK133" s="588" t="n"/>
      <c r="BL133" s="588" t="n"/>
      <c r="BM133" s="588" t="n"/>
      <c r="BN133" s="588" t="n"/>
      <c r="BO133" s="588" t="n"/>
      <c r="BP133" s="588" t="n"/>
      <c r="BQ133" s="588" t="n"/>
      <c r="BR133" s="588" t="n"/>
      <c r="BS133" s="588" t="n"/>
      <c r="BT133" s="588" t="n"/>
      <c r="BU133" s="588" t="n"/>
      <c r="BV133" s="588" t="n"/>
      <c r="BW133" s="588" t="n"/>
      <c r="BX133" s="588" t="n"/>
      <c r="BY133" s="588" t="n"/>
      <c r="BZ133" s="588" t="n"/>
      <c r="CA133" s="588" t="n"/>
      <c r="CB133" s="588" t="n"/>
      <c r="CC133" s="588" t="n"/>
      <c r="CD133" s="588" t="n"/>
      <c r="CE133" s="588" t="n"/>
      <c r="CF133" s="588" t="n"/>
      <c r="CG133" s="588" t="n"/>
      <c r="CH133" s="588" t="n"/>
      <c r="CI133" s="588" t="n"/>
      <c r="CJ133" s="588" t="n"/>
      <c r="CK133" s="588" t="n"/>
      <c r="CL133" s="588" t="n"/>
      <c r="CM133" s="588" t="n"/>
      <c r="CN133" s="588" t="n"/>
      <c r="CO133" s="588" t="n"/>
      <c r="CP133" s="588" t="n"/>
      <c r="CQ133" s="588" t="n"/>
      <c r="CR133" s="588" t="n"/>
      <c r="CS133" s="588" t="n"/>
      <c r="CT133" s="588" t="n"/>
      <c r="CU133" s="588" t="n"/>
      <c r="CV133" s="588" t="n"/>
      <c r="CW133" s="588" t="n"/>
      <c r="CX133" s="588" t="n"/>
      <c r="CY133" s="588" t="n"/>
      <c r="CZ133" s="588" t="n"/>
      <c r="DA133" s="588" t="n"/>
      <c r="DB133" s="588" t="n"/>
      <c r="DC133" s="588" t="n"/>
      <c r="DD133" s="588" t="n"/>
      <c r="DE133" s="588" t="n"/>
      <c r="DF133" s="588" t="n"/>
      <c r="DG133" s="588" t="n"/>
      <c r="DH133" s="588" t="n"/>
      <c r="DI133" s="588" t="n"/>
      <c r="DJ133" s="588" t="n"/>
      <c r="DK133" s="588" t="n"/>
      <c r="DL133" s="588" t="n"/>
      <c r="DM133" s="588" t="n"/>
      <c r="DN133" s="588" t="n"/>
      <c r="DO133" s="588" t="n"/>
      <c r="DP133" s="588" t="n"/>
      <c r="DQ133" s="588" t="n"/>
      <c r="DR133" s="588" t="n"/>
      <c r="DS133" s="588" t="n"/>
      <c r="DT133" s="588" t="n"/>
      <c r="DU133" s="588" t="n"/>
    </row>
    <row r="134" outlineLevel="1" ht="13.2" customHeight="1" s="450">
      <c r="A134" s="590" t="n"/>
      <c r="B134" s="618" t="inlineStr">
        <is>
          <t>So9</t>
        </is>
      </c>
      <c r="C134" s="619" t="n"/>
      <c r="D134" s="619" t="n"/>
      <c r="E134" s="619" t="n"/>
      <c r="F134" s="621">
        <f>+C134*D134*E134</f>
        <v/>
      </c>
      <c r="G134" s="683" t="n"/>
      <c r="H134" s="602" t="n"/>
      <c r="I134" s="598" t="n"/>
      <c r="J134" s="598" t="n"/>
      <c r="K134" s="656" t="n"/>
      <c r="L134" s="602" t="n"/>
      <c r="M134" s="602" t="n"/>
      <c r="N134" s="645" t="n"/>
      <c r="O134" s="670" t="n"/>
      <c r="P134" s="671" t="n"/>
      <c r="Q134" s="602" t="n"/>
      <c r="R134" s="655" t="n"/>
      <c r="S134" s="655" t="n"/>
      <c r="T134" s="655" t="n"/>
      <c r="U134" s="588" t="n"/>
      <c r="V134" s="588" t="n"/>
      <c r="W134" s="588" t="n"/>
      <c r="X134" s="588" t="n"/>
      <c r="Z134" s="588" t="n"/>
      <c r="AA134" s="588" t="n"/>
      <c r="AB134" s="588" t="n"/>
      <c r="AC134" s="588" t="n"/>
      <c r="AD134" s="588" t="n"/>
      <c r="AE134" s="588" t="n"/>
      <c r="AF134" s="588" t="n"/>
      <c r="AG134" s="588" t="n"/>
      <c r="AH134" s="588" t="n"/>
      <c r="AI134" s="588" t="n"/>
      <c r="AJ134" s="588" t="n"/>
      <c r="AK134" s="588" t="n"/>
      <c r="AL134" s="588" t="n"/>
      <c r="AM134" s="588" t="n"/>
      <c r="AN134" s="588" t="n"/>
      <c r="AO134" s="588" t="n"/>
      <c r="AP134" s="588" t="n"/>
      <c r="AQ134" s="588" t="n"/>
      <c r="AR134" s="588" t="n"/>
      <c r="AS134" s="588" t="n"/>
      <c r="AT134" s="588" t="n"/>
      <c r="AU134" s="588" t="n"/>
      <c r="AV134" s="588" t="n"/>
      <c r="AW134" s="588" t="n"/>
      <c r="AX134" s="588" t="n"/>
      <c r="AY134" s="588" t="n"/>
      <c r="AZ134" s="588" t="n"/>
      <c r="BA134" s="588" t="n"/>
      <c r="BB134" s="588" t="n"/>
      <c r="BC134" s="588" t="n"/>
      <c r="BD134" s="588" t="n"/>
      <c r="BE134" s="588" t="n"/>
      <c r="BF134" s="588" t="n"/>
      <c r="BG134" s="588" t="n"/>
      <c r="BH134" s="588" t="n"/>
      <c r="BI134" s="588" t="n"/>
      <c r="BJ134" s="588" t="n"/>
      <c r="BK134" s="588" t="n"/>
      <c r="BL134" s="588" t="n"/>
      <c r="BM134" s="588" t="n"/>
      <c r="BN134" s="588" t="n"/>
      <c r="BO134" s="588" t="n"/>
      <c r="BP134" s="588" t="n"/>
      <c r="BQ134" s="588" t="n"/>
      <c r="BR134" s="588" t="n"/>
      <c r="BS134" s="588" t="n"/>
      <c r="BT134" s="588" t="n"/>
      <c r="BU134" s="588" t="n"/>
      <c r="BV134" s="588" t="n"/>
      <c r="BW134" s="588" t="n"/>
      <c r="BX134" s="588" t="n"/>
      <c r="BY134" s="588" t="n"/>
      <c r="BZ134" s="588" t="n"/>
      <c r="CA134" s="588" t="n"/>
      <c r="CB134" s="588" t="n"/>
      <c r="CC134" s="588" t="n"/>
      <c r="CD134" s="588" t="n"/>
      <c r="CE134" s="588" t="n"/>
      <c r="CF134" s="588" t="n"/>
      <c r="CG134" s="588" t="n"/>
      <c r="CH134" s="588" t="n"/>
      <c r="CI134" s="588" t="n"/>
      <c r="CJ134" s="588" t="n"/>
      <c r="CK134" s="588" t="n"/>
      <c r="CL134" s="588" t="n"/>
      <c r="CM134" s="588" t="n"/>
      <c r="CN134" s="588" t="n"/>
      <c r="CO134" s="588" t="n"/>
      <c r="CP134" s="588" t="n"/>
      <c r="CQ134" s="588" t="n"/>
      <c r="CR134" s="588" t="n"/>
      <c r="CS134" s="588" t="n"/>
      <c r="CT134" s="588" t="n"/>
      <c r="CU134" s="588" t="n"/>
      <c r="CV134" s="588" t="n"/>
      <c r="CW134" s="588" t="n"/>
      <c r="CX134" s="588" t="n"/>
      <c r="CY134" s="588" t="n"/>
      <c r="CZ134" s="588" t="n"/>
      <c r="DA134" s="588" t="n"/>
      <c r="DB134" s="588" t="n"/>
      <c r="DC134" s="588" t="n"/>
      <c r="DD134" s="588" t="n"/>
      <c r="DE134" s="588" t="n"/>
      <c r="DF134" s="588" t="n"/>
      <c r="DG134" s="588" t="n"/>
      <c r="DH134" s="588" t="n"/>
      <c r="DI134" s="588" t="n"/>
      <c r="DJ134" s="588" t="n"/>
      <c r="DK134" s="588" t="n"/>
      <c r="DL134" s="588" t="n"/>
      <c r="DM134" s="588" t="n"/>
      <c r="DN134" s="588" t="n"/>
      <c r="DO134" s="588" t="n"/>
      <c r="DP134" s="588" t="n"/>
      <c r="DQ134" s="588" t="n"/>
      <c r="DR134" s="588" t="n"/>
      <c r="DS134" s="588" t="n"/>
      <c r="DT134" s="588" t="n"/>
      <c r="DU134" s="588" t="n"/>
    </row>
    <row r="135" outlineLevel="1" ht="13.2" customHeight="1" s="450">
      <c r="A135" s="590" t="n"/>
      <c r="B135" s="618" t="inlineStr">
        <is>
          <t>So10</t>
        </is>
      </c>
      <c r="C135" s="619" t="n"/>
      <c r="D135" s="619" t="n"/>
      <c r="E135" s="619" t="n"/>
      <c r="F135" s="621">
        <f>+C135*D135*E135</f>
        <v/>
      </c>
      <c r="G135" s="683" t="n"/>
      <c r="H135" s="602" t="n"/>
      <c r="I135" s="598" t="n"/>
      <c r="J135" s="598" t="n"/>
      <c r="K135" s="656" t="n"/>
      <c r="L135" s="602" t="n"/>
      <c r="M135" s="602" t="n"/>
      <c r="N135" s="645" t="n"/>
      <c r="O135" s="670" t="n"/>
      <c r="P135" s="671" t="n"/>
      <c r="Q135" s="602" t="n"/>
      <c r="R135" s="655" t="n"/>
      <c r="S135" s="655" t="n"/>
      <c r="T135" s="655" t="n"/>
      <c r="U135" s="588" t="n"/>
      <c r="V135" s="588" t="n"/>
      <c r="W135" s="588" t="n"/>
      <c r="X135" s="588" t="n"/>
      <c r="Z135" s="588" t="n"/>
      <c r="AA135" s="588" t="n"/>
      <c r="AB135" s="588" t="n"/>
      <c r="AC135" s="588" t="n"/>
      <c r="AD135" s="588" t="n"/>
      <c r="AE135" s="588" t="n"/>
      <c r="AF135" s="588" t="n"/>
      <c r="AG135" s="588" t="n"/>
      <c r="AH135" s="588" t="n"/>
      <c r="AI135" s="588" t="n"/>
      <c r="AJ135" s="588" t="n"/>
      <c r="AK135" s="588" t="n"/>
      <c r="AL135" s="588" t="n"/>
      <c r="AM135" s="588" t="n"/>
      <c r="AN135" s="588" t="n"/>
      <c r="AO135" s="588" t="n"/>
      <c r="AP135" s="588" t="n"/>
      <c r="AQ135" s="588" t="n"/>
      <c r="AR135" s="588" t="n"/>
      <c r="AS135" s="588" t="n"/>
      <c r="AT135" s="588" t="n"/>
      <c r="AU135" s="588" t="n"/>
      <c r="AV135" s="588" t="n"/>
      <c r="AW135" s="588" t="n"/>
      <c r="AX135" s="588" t="n"/>
      <c r="AY135" s="588" t="n"/>
      <c r="AZ135" s="588" t="n"/>
      <c r="BA135" s="588" t="n"/>
      <c r="BB135" s="588" t="n"/>
      <c r="BC135" s="588" t="n"/>
      <c r="BD135" s="588" t="n"/>
      <c r="BE135" s="588" t="n"/>
      <c r="BF135" s="588" t="n"/>
      <c r="BG135" s="588" t="n"/>
      <c r="BH135" s="588" t="n"/>
      <c r="BI135" s="588" t="n"/>
      <c r="BJ135" s="588" t="n"/>
      <c r="BK135" s="588" t="n"/>
      <c r="BL135" s="588" t="n"/>
      <c r="BM135" s="588" t="n"/>
      <c r="BN135" s="588" t="n"/>
      <c r="BO135" s="588" t="n"/>
      <c r="BP135" s="588" t="n"/>
      <c r="BQ135" s="588" t="n"/>
      <c r="BR135" s="588" t="n"/>
      <c r="BS135" s="588" t="n"/>
      <c r="BT135" s="588" t="n"/>
      <c r="BU135" s="588" t="n"/>
      <c r="BV135" s="588" t="n"/>
      <c r="BW135" s="588" t="n"/>
      <c r="BX135" s="588" t="n"/>
      <c r="BY135" s="588" t="n"/>
      <c r="BZ135" s="588" t="n"/>
      <c r="CA135" s="588" t="n"/>
      <c r="CB135" s="588" t="n"/>
      <c r="CC135" s="588" t="n"/>
      <c r="CD135" s="588" t="n"/>
      <c r="CE135" s="588" t="n"/>
      <c r="CF135" s="588" t="n"/>
      <c r="CG135" s="588" t="n"/>
      <c r="CH135" s="588" t="n"/>
      <c r="CI135" s="588" t="n"/>
      <c r="CJ135" s="588" t="n"/>
      <c r="CK135" s="588" t="n"/>
      <c r="CL135" s="588" t="n"/>
      <c r="CM135" s="588" t="n"/>
      <c r="CN135" s="588" t="n"/>
      <c r="CO135" s="588" t="n"/>
      <c r="CP135" s="588" t="n"/>
      <c r="CQ135" s="588" t="n"/>
      <c r="CR135" s="588" t="n"/>
      <c r="CS135" s="588" t="n"/>
      <c r="CT135" s="588" t="n"/>
      <c r="CU135" s="588" t="n"/>
      <c r="CV135" s="588" t="n"/>
      <c r="CW135" s="588" t="n"/>
      <c r="CX135" s="588" t="n"/>
      <c r="CY135" s="588" t="n"/>
      <c r="CZ135" s="588" t="n"/>
      <c r="DA135" s="588" t="n"/>
      <c r="DB135" s="588" t="n"/>
      <c r="DC135" s="588" t="n"/>
      <c r="DD135" s="588" t="n"/>
      <c r="DE135" s="588" t="n"/>
      <c r="DF135" s="588" t="n"/>
      <c r="DG135" s="588" t="n"/>
      <c r="DH135" s="588" t="n"/>
      <c r="DI135" s="588" t="n"/>
      <c r="DJ135" s="588" t="n"/>
      <c r="DK135" s="588" t="n"/>
      <c r="DL135" s="588" t="n"/>
      <c r="DM135" s="588" t="n"/>
      <c r="DN135" s="588" t="n"/>
      <c r="DO135" s="588" t="n"/>
      <c r="DP135" s="588" t="n"/>
      <c r="DQ135" s="588" t="n"/>
      <c r="DR135" s="588" t="n"/>
      <c r="DS135" s="588" t="n"/>
      <c r="DT135" s="588" t="n"/>
      <c r="DU135" s="588" t="n"/>
    </row>
    <row r="136" outlineLevel="1" ht="13.2" customHeight="1" s="450">
      <c r="A136" s="590" t="n"/>
      <c r="B136" s="686" t="n"/>
      <c r="C136" s="687" t="n"/>
      <c r="D136" s="634" t="n"/>
      <c r="E136" s="634" t="inlineStr">
        <is>
          <t>Total</t>
        </is>
      </c>
      <c r="F136" s="635">
        <f>SUM(F126:F135)</f>
        <v/>
      </c>
      <c r="G136" s="602" t="n"/>
      <c r="H136" s="602" t="n"/>
      <c r="I136" s="598" t="n"/>
      <c r="J136" s="598" t="n"/>
      <c r="K136" s="656" t="n"/>
      <c r="L136" s="602" t="n"/>
      <c r="M136" s="602" t="n"/>
      <c r="N136" s="645" t="n"/>
      <c r="O136" s="670" t="n"/>
      <c r="P136" s="671" t="n"/>
      <c r="Q136" s="602" t="n"/>
      <c r="R136" s="655" t="n"/>
      <c r="S136" s="655" t="n"/>
      <c r="T136" s="655" t="n"/>
      <c r="U136" s="588" t="n"/>
      <c r="V136" s="588" t="n"/>
      <c r="W136" s="588" t="n"/>
      <c r="X136" s="588" t="n"/>
      <c r="Z136" s="588" t="n"/>
      <c r="AA136" s="588" t="n"/>
      <c r="AB136" s="588" t="n"/>
      <c r="AC136" s="588" t="n"/>
      <c r="AD136" s="588" t="n"/>
      <c r="AE136" s="588" t="n"/>
      <c r="AF136" s="588" t="n"/>
      <c r="AG136" s="588" t="n"/>
      <c r="AH136" s="588" t="n"/>
      <c r="AI136" s="588" t="n"/>
      <c r="AJ136" s="588" t="n"/>
      <c r="AK136" s="588" t="n"/>
      <c r="AL136" s="588" t="n"/>
      <c r="AM136" s="588" t="n"/>
      <c r="AN136" s="588" t="n"/>
      <c r="AO136" s="588" t="n"/>
      <c r="AP136" s="588" t="n"/>
      <c r="AQ136" s="588" t="n"/>
      <c r="AR136" s="588" t="n"/>
      <c r="AS136" s="588" t="n"/>
      <c r="AT136" s="588" t="n"/>
      <c r="AU136" s="588" t="n"/>
      <c r="AV136" s="588" t="n"/>
      <c r="AW136" s="588" t="n"/>
      <c r="AX136" s="588" t="n"/>
      <c r="AY136" s="588" t="n"/>
      <c r="AZ136" s="588" t="n"/>
      <c r="BA136" s="588" t="n"/>
      <c r="BB136" s="588" t="n"/>
      <c r="BC136" s="588" t="n"/>
      <c r="BD136" s="588" t="n"/>
      <c r="BE136" s="588" t="n"/>
      <c r="BF136" s="588" t="n"/>
      <c r="BG136" s="588" t="n"/>
      <c r="BH136" s="588" t="n"/>
      <c r="BI136" s="588" t="n"/>
      <c r="BJ136" s="588" t="n"/>
      <c r="BK136" s="588" t="n"/>
      <c r="BL136" s="588" t="n"/>
      <c r="BM136" s="588" t="n"/>
      <c r="BN136" s="588" t="n"/>
      <c r="BO136" s="588" t="n"/>
      <c r="BP136" s="588" t="n"/>
      <c r="BQ136" s="588" t="n"/>
      <c r="BR136" s="588" t="n"/>
      <c r="BS136" s="588" t="n"/>
      <c r="BT136" s="588" t="n"/>
      <c r="BU136" s="588" t="n"/>
      <c r="BV136" s="588" t="n"/>
      <c r="BW136" s="588" t="n"/>
      <c r="BX136" s="588" t="n"/>
      <c r="BY136" s="588" t="n"/>
      <c r="BZ136" s="588" t="n"/>
      <c r="CA136" s="588" t="n"/>
      <c r="CB136" s="588" t="n"/>
      <c r="CC136" s="588" t="n"/>
      <c r="CD136" s="588" t="n"/>
      <c r="CE136" s="588" t="n"/>
      <c r="CF136" s="588" t="n"/>
      <c r="CG136" s="588" t="n"/>
      <c r="CH136" s="588" t="n"/>
      <c r="CI136" s="588" t="n"/>
      <c r="CJ136" s="588" t="n"/>
      <c r="CK136" s="588" t="n"/>
      <c r="CL136" s="588" t="n"/>
      <c r="CM136" s="588" t="n"/>
      <c r="CN136" s="588" t="n"/>
      <c r="CO136" s="588" t="n"/>
      <c r="CP136" s="588" t="n"/>
      <c r="CQ136" s="588" t="n"/>
      <c r="CR136" s="588" t="n"/>
      <c r="CS136" s="588" t="n"/>
      <c r="CT136" s="588" t="n"/>
      <c r="CU136" s="588" t="n"/>
      <c r="CV136" s="588" t="n"/>
      <c r="CW136" s="588" t="n"/>
      <c r="CX136" s="588" t="n"/>
      <c r="CY136" s="588" t="n"/>
      <c r="CZ136" s="588" t="n"/>
      <c r="DA136" s="588" t="n"/>
      <c r="DB136" s="588" t="n"/>
      <c r="DC136" s="588" t="n"/>
      <c r="DD136" s="588" t="n"/>
      <c r="DE136" s="588" t="n"/>
      <c r="DF136" s="588" t="n"/>
      <c r="DG136" s="588" t="n"/>
      <c r="DH136" s="588" t="n"/>
      <c r="DI136" s="588" t="n"/>
      <c r="DJ136" s="588" t="n"/>
      <c r="DK136" s="588" t="n"/>
      <c r="DL136" s="588" t="n"/>
      <c r="DM136" s="588" t="n"/>
      <c r="DN136" s="588" t="n"/>
      <c r="DO136" s="588" t="n"/>
      <c r="DP136" s="588" t="n"/>
      <c r="DQ136" s="588" t="n"/>
      <c r="DR136" s="588" t="n"/>
      <c r="DS136" s="588" t="n"/>
      <c r="DT136" s="588" t="n"/>
      <c r="DU136" s="588" t="n"/>
    </row>
    <row r="137" ht="13.8" customHeight="1" s="450" thickBot="1">
      <c r="A137" s="590" t="n"/>
      <c r="B137" s="588" t="n"/>
      <c r="C137" s="588" t="n"/>
      <c r="D137" s="671" t="n"/>
      <c r="E137" s="602" t="n"/>
      <c r="F137" s="602" t="n"/>
      <c r="G137" s="602" t="n"/>
      <c r="H137" s="655" t="n"/>
      <c r="I137" s="602" t="n"/>
      <c r="J137" s="602" t="n"/>
      <c r="K137" s="602" t="n"/>
      <c r="L137" s="602" t="n"/>
      <c r="M137" s="602" t="n"/>
      <c r="N137" s="602" t="n"/>
      <c r="O137" s="602" t="n"/>
      <c r="P137" s="602" t="n"/>
      <c r="Q137" s="602" t="n"/>
      <c r="R137" s="602" t="n"/>
      <c r="S137" s="602" t="n"/>
      <c r="T137" s="602" t="n"/>
      <c r="U137" s="588" t="n"/>
      <c r="V137" s="588" t="n"/>
      <c r="W137" s="588" t="n"/>
      <c r="X137" s="588" t="n"/>
      <c r="Z137" s="588" t="n"/>
      <c r="AA137" s="588" t="n"/>
      <c r="AB137" s="588" t="n"/>
      <c r="AC137" s="588" t="n"/>
      <c r="AD137" s="588" t="n"/>
      <c r="AE137" s="588" t="n"/>
      <c r="AF137" s="588" t="n"/>
      <c r="AG137" s="588" t="n"/>
      <c r="AH137" s="588" t="n"/>
      <c r="AI137" s="588" t="n"/>
      <c r="AJ137" s="588" t="n"/>
      <c r="AK137" s="588" t="n"/>
      <c r="AL137" s="588" t="n"/>
      <c r="AM137" s="588" t="n"/>
      <c r="AN137" s="588" t="n"/>
      <c r="AO137" s="588" t="n"/>
      <c r="AP137" s="588" t="n"/>
      <c r="AQ137" s="588" t="n"/>
      <c r="AR137" s="588" t="n"/>
      <c r="AS137" s="588" t="n"/>
      <c r="AT137" s="588" t="n"/>
      <c r="AU137" s="588" t="n"/>
      <c r="AV137" s="588" t="n"/>
      <c r="AW137" s="588" t="n"/>
      <c r="AX137" s="588" t="n"/>
      <c r="AY137" s="588" t="n"/>
      <c r="AZ137" s="588" t="n"/>
      <c r="BA137" s="588" t="n"/>
      <c r="BB137" s="588" t="n"/>
      <c r="BC137" s="588" t="n"/>
      <c r="BD137" s="588" t="n"/>
      <c r="BE137" s="588" t="n"/>
      <c r="BF137" s="588" t="n"/>
      <c r="BG137" s="588" t="n"/>
      <c r="BH137" s="588" t="n"/>
      <c r="BI137" s="588" t="n"/>
      <c r="BJ137" s="588" t="n"/>
      <c r="BK137" s="588" t="n"/>
      <c r="BL137" s="588" t="n"/>
      <c r="BM137" s="588" t="n"/>
      <c r="BN137" s="588" t="n"/>
      <c r="BO137" s="588" t="n"/>
      <c r="BP137" s="588" t="n"/>
      <c r="BQ137" s="588" t="n"/>
      <c r="BR137" s="588" t="n"/>
      <c r="BS137" s="588" t="n"/>
      <c r="BT137" s="588" t="n"/>
      <c r="BU137" s="588" t="n"/>
      <c r="BV137" s="588" t="n"/>
      <c r="BW137" s="588" t="n"/>
      <c r="BX137" s="588" t="n"/>
      <c r="BY137" s="588" t="n"/>
      <c r="BZ137" s="588" t="n"/>
      <c r="CA137" s="588" t="n"/>
      <c r="CB137" s="588" t="n"/>
      <c r="CC137" s="588" t="n"/>
      <c r="CD137" s="588" t="n"/>
      <c r="CE137" s="588" t="n"/>
      <c r="CF137" s="588" t="n"/>
      <c r="CG137" s="588" t="n"/>
      <c r="CH137" s="588" t="n"/>
      <c r="CI137" s="588" t="n"/>
      <c r="CJ137" s="588" t="n"/>
      <c r="CK137" s="588" t="n"/>
      <c r="CL137" s="588" t="n"/>
      <c r="CM137" s="588" t="n"/>
      <c r="CN137" s="588" t="n"/>
      <c r="CO137" s="588" t="n"/>
      <c r="CP137" s="588" t="n"/>
      <c r="CQ137" s="588" t="n"/>
      <c r="CR137" s="588" t="n"/>
      <c r="CS137" s="588" t="n"/>
      <c r="CT137" s="588" t="n"/>
      <c r="CU137" s="588" t="n"/>
      <c r="CV137" s="588" t="n"/>
      <c r="CW137" s="588" t="n"/>
      <c r="CX137" s="588" t="n"/>
      <c r="CY137" s="588" t="n"/>
      <c r="CZ137" s="588" t="n"/>
      <c r="DA137" s="588" t="n"/>
      <c r="DB137" s="588" t="n"/>
      <c r="DC137" s="588" t="n"/>
      <c r="DD137" s="588" t="n"/>
      <c r="DE137" s="588" t="n"/>
      <c r="DF137" s="588" t="n"/>
      <c r="DG137" s="588" t="n"/>
      <c r="DH137" s="588" t="n"/>
      <c r="DI137" s="588" t="n"/>
      <c r="DJ137" s="588" t="n"/>
      <c r="DK137" s="588" t="n"/>
      <c r="DL137" s="588" t="n"/>
      <c r="DM137" s="588" t="n"/>
      <c r="DN137" s="588" t="n"/>
      <c r="DO137" s="588" t="n"/>
      <c r="DP137" s="588" t="n"/>
      <c r="DQ137" s="588" t="n"/>
      <c r="DR137" s="588" t="n"/>
      <c r="DS137" s="588" t="n"/>
      <c r="DT137" s="588" t="n"/>
      <c r="DU137" s="588" t="n"/>
    </row>
    <row r="138" ht="13.2" customHeight="1" s="450">
      <c r="A138" s="590" t="n"/>
      <c r="B138" s="688" t="inlineStr">
        <is>
          <t>Eliminacion de Desmonte</t>
        </is>
      </c>
      <c r="C138" s="689" t="n"/>
      <c r="D138" s="689" t="n"/>
      <c r="E138" s="689" t="n"/>
      <c r="F138" s="689" t="n"/>
      <c r="G138" s="689" t="n"/>
      <c r="H138" s="689" t="n"/>
      <c r="I138" s="690" t="n"/>
      <c r="J138" s="602" t="n"/>
      <c r="K138" s="602" t="n"/>
      <c r="L138" s="602" t="n"/>
      <c r="M138" s="602" t="n"/>
      <c r="N138" s="602" t="n"/>
      <c r="O138" s="602" t="n"/>
      <c r="P138" s="602" t="n"/>
      <c r="Q138" s="602" t="n"/>
      <c r="R138" s="602" t="n"/>
      <c r="S138" s="602" t="n"/>
      <c r="T138" s="602" t="n"/>
      <c r="U138" s="588" t="n"/>
      <c r="V138" s="588" t="n"/>
      <c r="W138" s="588" t="n"/>
      <c r="X138" s="588" t="n"/>
      <c r="Z138" s="588" t="n"/>
      <c r="AA138" s="588" t="n"/>
      <c r="AB138" s="588" t="n"/>
      <c r="AC138" s="588" t="n"/>
      <c r="AD138" s="588" t="n"/>
      <c r="AE138" s="588" t="n"/>
      <c r="AF138" s="588" t="n"/>
      <c r="AG138" s="588" t="n"/>
      <c r="AH138" s="588" t="n"/>
      <c r="AI138" s="588" t="n"/>
      <c r="AJ138" s="588" t="n"/>
      <c r="AK138" s="588" t="n"/>
      <c r="AL138" s="588" t="n"/>
      <c r="AM138" s="588" t="n"/>
      <c r="AN138" s="588" t="n"/>
      <c r="AO138" s="588" t="n"/>
      <c r="AP138" s="588" t="n"/>
      <c r="AQ138" s="588" t="n"/>
      <c r="AR138" s="588" t="n"/>
      <c r="AS138" s="588" t="n"/>
      <c r="AT138" s="588" t="n"/>
      <c r="AU138" s="588" t="n"/>
      <c r="AV138" s="588" t="n"/>
      <c r="AW138" s="588" t="n"/>
      <c r="AX138" s="588" t="n"/>
      <c r="AY138" s="588" t="n"/>
      <c r="AZ138" s="588" t="n"/>
      <c r="BA138" s="588" t="n"/>
      <c r="BB138" s="588" t="n"/>
      <c r="BC138" s="588" t="n"/>
      <c r="BD138" s="588" t="n"/>
      <c r="BE138" s="588" t="n"/>
      <c r="BF138" s="588" t="n"/>
      <c r="BG138" s="588" t="n"/>
      <c r="BH138" s="588" t="n"/>
      <c r="BI138" s="588" t="n"/>
      <c r="BJ138" s="588" t="n"/>
      <c r="BK138" s="588" t="n"/>
      <c r="BL138" s="588" t="n"/>
      <c r="BM138" s="588" t="n"/>
      <c r="BN138" s="588" t="n"/>
      <c r="BO138" s="588" t="n"/>
      <c r="BP138" s="588" t="n"/>
      <c r="BQ138" s="588" t="n"/>
      <c r="BR138" s="588" t="n"/>
      <c r="BS138" s="588" t="n"/>
      <c r="BT138" s="588" t="n"/>
      <c r="BU138" s="588" t="n"/>
      <c r="BV138" s="588" t="n"/>
      <c r="BW138" s="588" t="n"/>
      <c r="BX138" s="588" t="n"/>
      <c r="BY138" s="588" t="n"/>
      <c r="BZ138" s="588" t="n"/>
      <c r="CA138" s="588" t="n"/>
      <c r="CB138" s="588" t="n"/>
      <c r="CC138" s="588" t="n"/>
      <c r="CD138" s="588" t="n"/>
      <c r="CE138" s="588" t="n"/>
      <c r="CF138" s="588" t="n"/>
      <c r="CG138" s="588" t="n"/>
      <c r="CH138" s="588" t="n"/>
      <c r="CI138" s="588" t="n"/>
      <c r="CJ138" s="588" t="n"/>
      <c r="CK138" s="588" t="n"/>
      <c r="CL138" s="588" t="n"/>
      <c r="CM138" s="588" t="n"/>
      <c r="CN138" s="588" t="n"/>
      <c r="CO138" s="588" t="n"/>
      <c r="CP138" s="588" t="n"/>
      <c r="CQ138" s="588" t="n"/>
      <c r="CR138" s="588" t="n"/>
      <c r="CS138" s="588" t="n"/>
      <c r="CT138" s="588" t="n"/>
      <c r="CU138" s="588" t="n"/>
      <c r="CV138" s="588" t="n"/>
      <c r="CW138" s="588" t="n"/>
      <c r="CX138" s="588" t="n"/>
      <c r="CY138" s="588" t="n"/>
      <c r="CZ138" s="588" t="n"/>
      <c r="DA138" s="588" t="n"/>
      <c r="DB138" s="588" t="n"/>
      <c r="DC138" s="588" t="n"/>
      <c r="DD138" s="588" t="n"/>
      <c r="DE138" s="588" t="n"/>
      <c r="DF138" s="588" t="n"/>
      <c r="DG138" s="588" t="n"/>
      <c r="DH138" s="588" t="n"/>
      <c r="DI138" s="588" t="n"/>
      <c r="DJ138" s="588" t="n"/>
      <c r="DK138" s="588" t="n"/>
      <c r="DL138" s="588" t="n"/>
      <c r="DM138" s="588" t="n"/>
      <c r="DN138" s="588" t="n"/>
      <c r="DO138" s="588" t="n"/>
      <c r="DP138" s="588" t="n"/>
      <c r="DQ138" s="588" t="n"/>
      <c r="DR138" s="588" t="n"/>
      <c r="DS138" s="588" t="n"/>
      <c r="DT138" s="588" t="n"/>
      <c r="DU138" s="588" t="n"/>
    </row>
    <row r="139" ht="13.8" customHeight="1" s="450" thickBot="1">
      <c r="A139" s="590" t="n"/>
      <c r="B139" s="691" t="inlineStr">
        <is>
          <t>TIPO</t>
        </is>
      </c>
      <c r="C139" s="692" t="inlineStr">
        <is>
          <t>Area    (m2)</t>
        </is>
      </c>
      <c r="D139" s="693" t="inlineStr">
        <is>
          <t>Prof    (m)</t>
        </is>
      </c>
      <c r="E139" s="694" t="inlineStr">
        <is>
          <t>Esponj.</t>
        </is>
      </c>
      <c r="F139" s="692" t="inlineStr">
        <is>
          <t>M3</t>
        </is>
      </c>
      <c r="G139" s="692" t="inlineStr">
        <is>
          <t>CANT</t>
        </is>
      </c>
      <c r="H139" s="692" t="n"/>
      <c r="I139" s="695" t="inlineStr">
        <is>
          <t>TOTAL</t>
        </is>
      </c>
      <c r="J139" s="602" t="n"/>
      <c r="K139" s="602" t="n"/>
      <c r="L139" s="602" t="n"/>
      <c r="M139" s="602" t="n"/>
      <c r="N139" s="602" t="n"/>
      <c r="O139" s="602" t="n"/>
      <c r="P139" s="602" t="n"/>
      <c r="Q139" s="602" t="n"/>
      <c r="R139" s="602" t="n"/>
      <c r="S139" s="602" t="n"/>
      <c r="T139" s="602" t="n"/>
      <c r="U139" s="588" t="n"/>
      <c r="V139" s="588" t="n"/>
      <c r="W139" s="588" t="n"/>
      <c r="X139" s="588" t="n"/>
      <c r="Z139" s="588" t="n"/>
      <c r="AA139" s="588" t="n"/>
      <c r="AB139" s="588" t="n"/>
      <c r="AC139" s="588" t="n"/>
      <c r="AD139" s="588" t="n"/>
      <c r="AE139" s="588" t="n"/>
      <c r="AF139" s="588" t="n"/>
      <c r="AG139" s="588" t="n"/>
      <c r="AH139" s="588" t="n"/>
      <c r="AI139" s="588" t="n"/>
      <c r="AJ139" s="588" t="n"/>
      <c r="AK139" s="588" t="n"/>
      <c r="AL139" s="588" t="n"/>
      <c r="AM139" s="588" t="n"/>
      <c r="AN139" s="588" t="n"/>
      <c r="AO139" s="588" t="n"/>
      <c r="AP139" s="588" t="n"/>
      <c r="AQ139" s="588" t="n"/>
      <c r="AR139" s="588" t="n"/>
      <c r="AS139" s="588" t="n"/>
      <c r="AT139" s="588" t="n"/>
      <c r="AU139" s="588" t="n"/>
      <c r="AV139" s="588" t="n"/>
      <c r="AW139" s="588" t="n"/>
      <c r="AX139" s="588" t="n"/>
      <c r="AY139" s="588" t="n"/>
      <c r="AZ139" s="588" t="n"/>
      <c r="BA139" s="588" t="n"/>
      <c r="BB139" s="588" t="n"/>
      <c r="BC139" s="588" t="n"/>
      <c r="BD139" s="588" t="n"/>
      <c r="BE139" s="588" t="n"/>
      <c r="BF139" s="588" t="n"/>
      <c r="BG139" s="588" t="n"/>
      <c r="BH139" s="588" t="n"/>
      <c r="BI139" s="588" t="n"/>
      <c r="BJ139" s="588" t="n"/>
      <c r="BK139" s="588" t="n"/>
      <c r="BL139" s="588" t="n"/>
      <c r="BM139" s="588" t="n"/>
      <c r="BN139" s="588" t="n"/>
      <c r="BO139" s="588" t="n"/>
      <c r="BP139" s="588" t="n"/>
      <c r="BQ139" s="588" t="n"/>
      <c r="BR139" s="588" t="n"/>
      <c r="BS139" s="588" t="n"/>
      <c r="BT139" s="588" t="n"/>
      <c r="BU139" s="588" t="n"/>
      <c r="BV139" s="588" t="n"/>
      <c r="BW139" s="588" t="n"/>
      <c r="BX139" s="588" t="n"/>
      <c r="BY139" s="588" t="n"/>
      <c r="BZ139" s="588" t="n"/>
      <c r="CA139" s="588" t="n"/>
      <c r="CB139" s="588" t="n"/>
      <c r="CC139" s="588" t="n"/>
      <c r="CD139" s="588" t="n"/>
      <c r="CE139" s="588" t="n"/>
      <c r="CF139" s="588" t="n"/>
      <c r="CG139" s="588" t="n"/>
      <c r="CH139" s="588" t="n"/>
      <c r="CI139" s="588" t="n"/>
      <c r="CJ139" s="588" t="n"/>
      <c r="CK139" s="588" t="n"/>
      <c r="CL139" s="588" t="n"/>
      <c r="CM139" s="588" t="n"/>
      <c r="CN139" s="588" t="n"/>
      <c r="CO139" s="588" t="n"/>
      <c r="CP139" s="588" t="n"/>
      <c r="CQ139" s="588" t="n"/>
      <c r="CR139" s="588" t="n"/>
      <c r="CS139" s="588" t="n"/>
      <c r="CT139" s="588" t="n"/>
      <c r="CU139" s="588" t="n"/>
      <c r="CV139" s="588" t="n"/>
      <c r="CW139" s="588" t="n"/>
      <c r="CX139" s="588" t="n"/>
      <c r="CY139" s="588" t="n"/>
      <c r="CZ139" s="588" t="n"/>
      <c r="DA139" s="588" t="n"/>
      <c r="DB139" s="588" t="n"/>
      <c r="DC139" s="588" t="n"/>
      <c r="DD139" s="588" t="n"/>
      <c r="DE139" s="588" t="n"/>
      <c r="DF139" s="588" t="n"/>
      <c r="DG139" s="588" t="n"/>
      <c r="DH139" s="588" t="n"/>
      <c r="DI139" s="588" t="n"/>
      <c r="DJ139" s="588" t="n"/>
      <c r="DK139" s="588" t="n"/>
      <c r="DL139" s="588" t="n"/>
      <c r="DM139" s="588" t="n"/>
      <c r="DN139" s="588" t="n"/>
      <c r="DO139" s="588" t="n"/>
      <c r="DP139" s="588" t="n"/>
      <c r="DQ139" s="588" t="n"/>
      <c r="DR139" s="588" t="n"/>
      <c r="DS139" s="588" t="n"/>
      <c r="DT139" s="588" t="n"/>
      <c r="DU139" s="588" t="n"/>
    </row>
    <row r="140" outlineLevel="1" ht="13.2" customHeight="1" s="450">
      <c r="A140" s="590" t="n"/>
      <c r="B140" s="696" t="inlineStr">
        <is>
          <t>Rot. Vereda 5</t>
        </is>
      </c>
      <c r="C140" s="697" t="n">
        <v>1</v>
      </c>
      <c r="D140" s="698" t="n">
        <v>0.05</v>
      </c>
      <c r="E140" s="165" t="n">
        <v>0.6</v>
      </c>
      <c r="F140" s="699">
        <f>(C140*D140)*1.6</f>
        <v/>
      </c>
      <c r="G140" s="700">
        <f>E62</f>
        <v/>
      </c>
      <c r="H140" s="144" t="n"/>
      <c r="I140" s="144">
        <f>F140*G140</f>
        <v/>
      </c>
      <c r="J140" s="602" t="n"/>
      <c r="K140" s="602" t="n"/>
      <c r="L140" s="602" t="n"/>
      <c r="M140" s="602" t="n"/>
      <c r="N140" s="602" t="n"/>
      <c r="O140" s="602" t="n"/>
      <c r="P140" s="602" t="n"/>
      <c r="Q140" s="602" t="n"/>
      <c r="R140" s="602" t="n"/>
      <c r="S140" s="602" t="n"/>
      <c r="T140" s="602" t="n"/>
      <c r="U140" s="588" t="n"/>
      <c r="V140" s="588" t="n"/>
      <c r="W140" s="588" t="n"/>
      <c r="X140" s="588" t="n"/>
      <c r="Z140" s="588" t="n"/>
      <c r="AA140" s="588" t="n"/>
      <c r="AB140" s="588" t="n"/>
      <c r="AC140" s="588" t="n"/>
      <c r="AD140" s="588" t="n"/>
      <c r="AE140" s="588" t="n"/>
      <c r="AF140" s="588" t="n"/>
      <c r="AG140" s="588" t="n"/>
      <c r="AH140" s="588" t="n"/>
      <c r="AI140" s="588" t="n"/>
      <c r="AJ140" s="588" t="n"/>
      <c r="AK140" s="588" t="n"/>
      <c r="AL140" s="588" t="n"/>
      <c r="AM140" s="588" t="n"/>
      <c r="AN140" s="588" t="n"/>
      <c r="AO140" s="588" t="n"/>
      <c r="AP140" s="588" t="n"/>
      <c r="AQ140" s="588" t="n"/>
      <c r="AR140" s="588" t="n"/>
      <c r="AS140" s="588" t="n"/>
      <c r="AT140" s="588" t="n"/>
      <c r="AU140" s="588" t="n"/>
      <c r="AV140" s="588" t="n"/>
      <c r="AW140" s="588" t="n"/>
      <c r="AX140" s="588" t="n"/>
      <c r="AY140" s="588" t="n"/>
      <c r="AZ140" s="588" t="n"/>
      <c r="BA140" s="588" t="n"/>
      <c r="BB140" s="588" t="n"/>
      <c r="BC140" s="588" t="n"/>
      <c r="BD140" s="588" t="n"/>
      <c r="BE140" s="588" t="n"/>
      <c r="BF140" s="588" t="n"/>
      <c r="BG140" s="588" t="n"/>
      <c r="BH140" s="588" t="n"/>
      <c r="BI140" s="588" t="n"/>
      <c r="BJ140" s="588" t="n"/>
      <c r="BK140" s="588" t="n"/>
      <c r="BL140" s="588" t="n"/>
      <c r="BM140" s="588" t="n"/>
      <c r="BN140" s="588" t="n"/>
      <c r="BO140" s="588" t="n"/>
      <c r="BP140" s="588" t="n"/>
      <c r="BQ140" s="588" t="n"/>
      <c r="BR140" s="588" t="n"/>
      <c r="BS140" s="588" t="n"/>
      <c r="BT140" s="588" t="n"/>
      <c r="BU140" s="588" t="n"/>
      <c r="BV140" s="588" t="n"/>
      <c r="BW140" s="588" t="n"/>
      <c r="BX140" s="588" t="n"/>
      <c r="BY140" s="588" t="n"/>
      <c r="BZ140" s="588" t="n"/>
      <c r="CA140" s="588" t="n"/>
      <c r="CB140" s="588" t="n"/>
      <c r="CC140" s="588" t="n"/>
      <c r="CD140" s="588" t="n"/>
      <c r="CE140" s="588" t="n"/>
      <c r="CF140" s="588" t="n"/>
      <c r="CG140" s="588" t="n"/>
      <c r="CH140" s="588" t="n"/>
      <c r="CI140" s="588" t="n"/>
      <c r="CJ140" s="588" t="n"/>
      <c r="CK140" s="588" t="n"/>
      <c r="CL140" s="588" t="n"/>
      <c r="CM140" s="588" t="n"/>
      <c r="CN140" s="588" t="n"/>
      <c r="CO140" s="588" t="n"/>
      <c r="CP140" s="588" t="n"/>
      <c r="CQ140" s="588" t="n"/>
      <c r="CR140" s="588" t="n"/>
      <c r="CS140" s="588" t="n"/>
      <c r="CT140" s="588" t="n"/>
      <c r="CU140" s="588" t="n"/>
      <c r="CV140" s="588" t="n"/>
      <c r="CW140" s="588" t="n"/>
      <c r="CX140" s="588" t="n"/>
      <c r="CY140" s="588" t="n"/>
      <c r="CZ140" s="588" t="n"/>
      <c r="DA140" s="588" t="n"/>
      <c r="DB140" s="588" t="n"/>
      <c r="DC140" s="588" t="n"/>
      <c r="DD140" s="588" t="n"/>
      <c r="DE140" s="588" t="n"/>
      <c r="DF140" s="588" t="n"/>
      <c r="DG140" s="588" t="n"/>
      <c r="DH140" s="588" t="n"/>
      <c r="DI140" s="588" t="n"/>
      <c r="DJ140" s="588" t="n"/>
      <c r="DK140" s="588" t="n"/>
      <c r="DL140" s="588" t="n"/>
      <c r="DM140" s="588" t="n"/>
      <c r="DN140" s="588" t="n"/>
      <c r="DO140" s="588" t="n"/>
      <c r="DP140" s="588" t="n"/>
      <c r="DQ140" s="588" t="n"/>
      <c r="DR140" s="588" t="n"/>
      <c r="DS140" s="588" t="n"/>
      <c r="DT140" s="588" t="n"/>
      <c r="DU140" s="588" t="n"/>
    </row>
    <row r="141" outlineLevel="1" ht="13.2" customHeight="1" s="450">
      <c r="A141" s="590" t="n"/>
      <c r="B141" s="701" t="inlineStr">
        <is>
          <t>Rot. Vereda 10</t>
        </is>
      </c>
      <c r="C141" s="702" t="n">
        <v>1</v>
      </c>
      <c r="D141" s="703" t="n">
        <v>0.1</v>
      </c>
      <c r="E141" s="151" t="n">
        <v>0.6</v>
      </c>
      <c r="F141" s="704">
        <f>(C141*D141)*1.6</f>
        <v/>
      </c>
      <c r="G141" s="705">
        <f>E50</f>
        <v/>
      </c>
      <c r="H141" s="149" t="n"/>
      <c r="I141" s="149">
        <f>F141*G141</f>
        <v/>
      </c>
      <c r="J141" s="602" t="n"/>
      <c r="K141" s="602" t="n"/>
      <c r="L141" s="602" t="n"/>
      <c r="M141" s="602" t="n"/>
      <c r="N141" s="602" t="n"/>
      <c r="O141" s="602" t="n"/>
      <c r="P141" s="602" t="n"/>
      <c r="Q141" s="602" t="n"/>
      <c r="R141" s="602" t="n"/>
      <c r="S141" s="602" t="n"/>
      <c r="T141" s="602" t="n"/>
      <c r="U141" s="588" t="n"/>
      <c r="V141" s="588" t="n"/>
      <c r="W141" s="588" t="n"/>
      <c r="X141" s="588" t="n"/>
      <c r="Z141" s="588" t="n"/>
      <c r="AA141" s="588" t="n"/>
      <c r="AB141" s="588" t="n"/>
      <c r="AC141" s="588" t="n"/>
      <c r="AD141" s="588" t="n"/>
      <c r="AE141" s="588" t="n"/>
      <c r="AF141" s="588" t="n"/>
      <c r="AG141" s="588" t="n"/>
      <c r="AH141" s="588" t="n"/>
      <c r="AI141" s="588" t="n"/>
      <c r="AJ141" s="588" t="n"/>
      <c r="AK141" s="588" t="n"/>
      <c r="AL141" s="588" t="n"/>
      <c r="AM141" s="588" t="n"/>
      <c r="AN141" s="588" t="n"/>
      <c r="AO141" s="588" t="n"/>
      <c r="AP141" s="588" t="n"/>
      <c r="AQ141" s="588" t="n"/>
      <c r="AR141" s="588" t="n"/>
      <c r="AS141" s="588" t="n"/>
      <c r="AT141" s="588" t="n"/>
      <c r="AU141" s="588" t="n"/>
      <c r="AV141" s="588" t="n"/>
      <c r="AW141" s="588" t="n"/>
      <c r="AX141" s="588" t="n"/>
      <c r="AY141" s="588" t="n"/>
      <c r="AZ141" s="588" t="n"/>
      <c r="BA141" s="588" t="n"/>
      <c r="BB141" s="588" t="n"/>
      <c r="BC141" s="588" t="n"/>
      <c r="BD141" s="588" t="n"/>
      <c r="BE141" s="588" t="n"/>
      <c r="BF141" s="588" t="n"/>
      <c r="BG141" s="588" t="n"/>
      <c r="BH141" s="588" t="n"/>
      <c r="BI141" s="588" t="n"/>
      <c r="BJ141" s="588" t="n"/>
      <c r="BK141" s="588" t="n"/>
      <c r="BL141" s="588" t="n"/>
      <c r="BM141" s="588" t="n"/>
      <c r="BN141" s="588" t="n"/>
      <c r="BO141" s="588" t="n"/>
      <c r="BP141" s="588" t="n"/>
      <c r="BQ141" s="588" t="n"/>
      <c r="BR141" s="588" t="n"/>
      <c r="BS141" s="588" t="n"/>
      <c r="BT141" s="588" t="n"/>
      <c r="BU141" s="588" t="n"/>
      <c r="BV141" s="588" t="n"/>
      <c r="BW141" s="588" t="n"/>
      <c r="BX141" s="588" t="n"/>
      <c r="BY141" s="588" t="n"/>
      <c r="BZ141" s="588" t="n"/>
      <c r="CA141" s="588" t="n"/>
      <c r="CB141" s="588" t="n"/>
      <c r="CC141" s="588" t="n"/>
      <c r="CD141" s="588" t="n"/>
      <c r="CE141" s="588" t="n"/>
      <c r="CF141" s="588" t="n"/>
      <c r="CG141" s="588" t="n"/>
      <c r="CH141" s="588" t="n"/>
      <c r="CI141" s="588" t="n"/>
      <c r="CJ141" s="588" t="n"/>
      <c r="CK141" s="588" t="n"/>
      <c r="CL141" s="588" t="n"/>
      <c r="CM141" s="588" t="n"/>
      <c r="CN141" s="588" t="n"/>
      <c r="CO141" s="588" t="n"/>
      <c r="CP141" s="588" t="n"/>
      <c r="CQ141" s="588" t="n"/>
      <c r="CR141" s="588" t="n"/>
      <c r="CS141" s="588" t="n"/>
      <c r="CT141" s="588" t="n"/>
      <c r="CU141" s="588" t="n"/>
      <c r="CV141" s="588" t="n"/>
      <c r="CW141" s="588" t="n"/>
      <c r="CX141" s="588" t="n"/>
      <c r="CY141" s="588" t="n"/>
      <c r="CZ141" s="588" t="n"/>
      <c r="DA141" s="588" t="n"/>
      <c r="DB141" s="588" t="n"/>
      <c r="DC141" s="588" t="n"/>
      <c r="DD141" s="588" t="n"/>
      <c r="DE141" s="588" t="n"/>
      <c r="DF141" s="588" t="n"/>
      <c r="DG141" s="588" t="n"/>
      <c r="DH141" s="588" t="n"/>
      <c r="DI141" s="588" t="n"/>
      <c r="DJ141" s="588" t="n"/>
      <c r="DK141" s="588" t="n"/>
      <c r="DL141" s="588" t="n"/>
      <c r="DM141" s="588" t="n"/>
      <c r="DN141" s="588" t="n"/>
      <c r="DO141" s="588" t="n"/>
      <c r="DP141" s="588" t="n"/>
      <c r="DQ141" s="588" t="n"/>
      <c r="DR141" s="588" t="n"/>
      <c r="DS141" s="588" t="n"/>
      <c r="DT141" s="588" t="n"/>
      <c r="DU141" s="588" t="n"/>
    </row>
    <row r="142" outlineLevel="1" ht="13.2" customHeight="1" s="450">
      <c r="A142" s="590" t="n"/>
      <c r="B142" s="701" t="inlineStr">
        <is>
          <t>Rot. Vereda 15</t>
        </is>
      </c>
      <c r="C142" s="702" t="n">
        <v>1</v>
      </c>
      <c r="D142" s="703" t="n">
        <v>0.15</v>
      </c>
      <c r="E142" s="151" t="n">
        <v>0.6</v>
      </c>
      <c r="F142" s="704">
        <f>(C142*D142)*1.6</f>
        <v/>
      </c>
      <c r="G142" s="705">
        <f>E74</f>
        <v/>
      </c>
      <c r="H142" s="149" t="n"/>
      <c r="I142" s="149">
        <f>F142*G142</f>
        <v/>
      </c>
      <c r="J142" s="602" t="n"/>
      <c r="K142" s="602" t="n"/>
      <c r="L142" s="602" t="n"/>
      <c r="M142" s="602" t="n"/>
      <c r="N142" s="602" t="n"/>
      <c r="O142" s="602" t="n"/>
      <c r="P142" s="602" t="n"/>
      <c r="Q142" s="602" t="n"/>
      <c r="R142" s="602" t="n"/>
      <c r="S142" s="602" t="n"/>
      <c r="T142" s="602" t="n"/>
      <c r="U142" s="588" t="n"/>
      <c r="V142" s="588" t="n"/>
      <c r="W142" s="588" t="n"/>
      <c r="X142" s="588" t="n"/>
      <c r="Z142" s="588" t="n"/>
      <c r="AA142" s="588" t="n"/>
      <c r="AB142" s="588" t="n"/>
      <c r="AC142" s="588" t="n"/>
      <c r="AD142" s="588" t="n"/>
      <c r="AE142" s="588" t="n"/>
      <c r="AF142" s="588" t="n"/>
      <c r="AG142" s="588" t="n"/>
      <c r="AH142" s="588" t="n"/>
      <c r="AI142" s="588" t="n"/>
      <c r="AJ142" s="588" t="n"/>
      <c r="AK142" s="588" t="n"/>
      <c r="AL142" s="588" t="n"/>
      <c r="AM142" s="588" t="n"/>
      <c r="AN142" s="588" t="n"/>
      <c r="AO142" s="588" t="n"/>
      <c r="AP142" s="588" t="n"/>
      <c r="AQ142" s="588" t="n"/>
      <c r="AR142" s="588" t="n"/>
      <c r="AS142" s="588" t="n"/>
      <c r="AT142" s="588" t="n"/>
      <c r="AU142" s="588" t="n"/>
      <c r="AV142" s="588" t="n"/>
      <c r="AW142" s="588" t="n"/>
      <c r="AX142" s="588" t="n"/>
      <c r="AY142" s="588" t="n"/>
      <c r="AZ142" s="588" t="n"/>
      <c r="BA142" s="588" t="n"/>
      <c r="BB142" s="588" t="n"/>
      <c r="BC142" s="588" t="n"/>
      <c r="BD142" s="588" t="n"/>
      <c r="BE142" s="588" t="n"/>
      <c r="BF142" s="588" t="n"/>
      <c r="BG142" s="588" t="n"/>
      <c r="BH142" s="588" t="n"/>
      <c r="BI142" s="588" t="n"/>
      <c r="BJ142" s="588" t="n"/>
      <c r="BK142" s="588" t="n"/>
      <c r="BL142" s="588" t="n"/>
      <c r="BM142" s="588" t="n"/>
      <c r="BN142" s="588" t="n"/>
      <c r="BO142" s="588" t="n"/>
      <c r="BP142" s="588" t="n"/>
      <c r="BQ142" s="588" t="n"/>
      <c r="BR142" s="588" t="n"/>
      <c r="BS142" s="588" t="n"/>
      <c r="BT142" s="588" t="n"/>
      <c r="BU142" s="588" t="n"/>
      <c r="BV142" s="588" t="n"/>
      <c r="BW142" s="588" t="n"/>
      <c r="BX142" s="588" t="n"/>
      <c r="BY142" s="588" t="n"/>
      <c r="BZ142" s="588" t="n"/>
      <c r="CA142" s="588" t="n"/>
      <c r="CB142" s="588" t="n"/>
      <c r="CC142" s="588" t="n"/>
      <c r="CD142" s="588" t="n"/>
      <c r="CE142" s="588" t="n"/>
      <c r="CF142" s="588" t="n"/>
      <c r="CG142" s="588" t="n"/>
      <c r="CH142" s="588" t="n"/>
      <c r="CI142" s="588" t="n"/>
      <c r="CJ142" s="588" t="n"/>
      <c r="CK142" s="588" t="n"/>
      <c r="CL142" s="588" t="n"/>
      <c r="CM142" s="588" t="n"/>
      <c r="CN142" s="588" t="n"/>
      <c r="CO142" s="588" t="n"/>
      <c r="CP142" s="588" t="n"/>
      <c r="CQ142" s="588" t="n"/>
      <c r="CR142" s="588" t="n"/>
      <c r="CS142" s="588" t="n"/>
      <c r="CT142" s="588" t="n"/>
      <c r="CU142" s="588" t="n"/>
      <c r="CV142" s="588" t="n"/>
      <c r="CW142" s="588" t="n"/>
      <c r="CX142" s="588" t="n"/>
      <c r="CY142" s="588" t="n"/>
      <c r="CZ142" s="588" t="n"/>
      <c r="DA142" s="588" t="n"/>
      <c r="DB142" s="588" t="n"/>
      <c r="DC142" s="588" t="n"/>
      <c r="DD142" s="588" t="n"/>
      <c r="DE142" s="588" t="n"/>
      <c r="DF142" s="588" t="n"/>
      <c r="DG142" s="588" t="n"/>
      <c r="DH142" s="588" t="n"/>
      <c r="DI142" s="588" t="n"/>
      <c r="DJ142" s="588" t="n"/>
      <c r="DK142" s="588" t="n"/>
      <c r="DL142" s="588" t="n"/>
      <c r="DM142" s="588" t="n"/>
      <c r="DN142" s="588" t="n"/>
      <c r="DO142" s="588" t="n"/>
      <c r="DP142" s="588" t="n"/>
      <c r="DQ142" s="588" t="n"/>
      <c r="DR142" s="588" t="n"/>
      <c r="DS142" s="588" t="n"/>
      <c r="DT142" s="588" t="n"/>
      <c r="DU142" s="588" t="n"/>
    </row>
    <row r="143" outlineLevel="1" ht="13.2" customHeight="1" s="450">
      <c r="A143" s="590" t="n"/>
      <c r="B143" s="701" t="inlineStr">
        <is>
          <t>Rot. Vereda 20</t>
        </is>
      </c>
      <c r="C143" s="702" t="n">
        <v>1</v>
      </c>
      <c r="D143" s="703" t="n">
        <v>0.2</v>
      </c>
      <c r="E143" s="151" t="n">
        <v>0.6</v>
      </c>
      <c r="F143" s="704">
        <f>(C143*D143)*1.6</f>
        <v/>
      </c>
      <c r="G143" s="705">
        <f>E90+L47</f>
        <v/>
      </c>
      <c r="H143" s="149" t="n"/>
      <c r="I143" s="149">
        <f>F143*G143</f>
        <v/>
      </c>
      <c r="J143" s="602" t="n"/>
      <c r="K143" s="602" t="n"/>
      <c r="L143" s="602" t="n"/>
      <c r="M143" s="602" t="n"/>
      <c r="N143" s="602" t="n"/>
      <c r="O143" s="602" t="n"/>
      <c r="P143" s="602" t="n"/>
      <c r="Q143" s="602" t="n"/>
      <c r="R143" s="602" t="n"/>
      <c r="S143" s="602" t="n"/>
      <c r="T143" s="602" t="n"/>
      <c r="U143" s="588" t="n"/>
      <c r="V143" s="588" t="n"/>
      <c r="W143" s="588" t="n"/>
      <c r="X143" s="588" t="n"/>
      <c r="Z143" s="588" t="n"/>
      <c r="AA143" s="588" t="n"/>
      <c r="AB143" s="588" t="n"/>
      <c r="AC143" s="588" t="n"/>
      <c r="AD143" s="588" t="n"/>
      <c r="AE143" s="588" t="n"/>
      <c r="AF143" s="588" t="n"/>
      <c r="AG143" s="588" t="n"/>
      <c r="AH143" s="588" t="n"/>
      <c r="AI143" s="588" t="n"/>
      <c r="AJ143" s="588" t="n"/>
      <c r="AK143" s="588" t="n"/>
      <c r="AL143" s="588" t="n"/>
      <c r="AM143" s="588" t="n"/>
      <c r="AN143" s="588" t="n"/>
      <c r="AO143" s="588" t="n"/>
      <c r="AP143" s="588" t="n"/>
      <c r="AQ143" s="588" t="n"/>
      <c r="AR143" s="588" t="n"/>
      <c r="AS143" s="588" t="n"/>
      <c r="AT143" s="588" t="n"/>
      <c r="AU143" s="588" t="n"/>
      <c r="AV143" s="588" t="n"/>
      <c r="AW143" s="588" t="n"/>
      <c r="AX143" s="588" t="n"/>
      <c r="AY143" s="588" t="n"/>
      <c r="AZ143" s="588" t="n"/>
      <c r="BA143" s="588" t="n"/>
      <c r="BB143" s="588" t="n"/>
      <c r="BC143" s="588" t="n"/>
      <c r="BD143" s="588" t="n"/>
      <c r="BE143" s="588" t="n"/>
      <c r="BF143" s="588" t="n"/>
      <c r="BG143" s="588" t="n"/>
      <c r="BH143" s="588" t="n"/>
      <c r="BI143" s="588" t="n"/>
      <c r="BJ143" s="588" t="n"/>
      <c r="BK143" s="588" t="n"/>
      <c r="BL143" s="588" t="n"/>
      <c r="BM143" s="588" t="n"/>
      <c r="BN143" s="588" t="n"/>
      <c r="BO143" s="588" t="n"/>
      <c r="BP143" s="588" t="n"/>
      <c r="BQ143" s="588" t="n"/>
      <c r="BR143" s="588" t="n"/>
      <c r="BS143" s="588" t="n"/>
      <c r="BT143" s="588" t="n"/>
      <c r="BU143" s="588" t="n"/>
      <c r="BV143" s="588" t="n"/>
      <c r="BW143" s="588" t="n"/>
      <c r="BX143" s="588" t="n"/>
      <c r="BY143" s="588" t="n"/>
      <c r="BZ143" s="588" t="n"/>
      <c r="CA143" s="588" t="n"/>
      <c r="CB143" s="588" t="n"/>
      <c r="CC143" s="588" t="n"/>
      <c r="CD143" s="588" t="n"/>
      <c r="CE143" s="588" t="n"/>
      <c r="CF143" s="588" t="n"/>
      <c r="CG143" s="588" t="n"/>
      <c r="CH143" s="588" t="n"/>
      <c r="CI143" s="588" t="n"/>
      <c r="CJ143" s="588" t="n"/>
      <c r="CK143" s="588" t="n"/>
      <c r="CL143" s="588" t="n"/>
      <c r="CM143" s="588" t="n"/>
      <c r="CN143" s="588" t="n"/>
      <c r="CO143" s="588" t="n"/>
      <c r="CP143" s="588" t="n"/>
      <c r="CQ143" s="588" t="n"/>
      <c r="CR143" s="588" t="n"/>
      <c r="CS143" s="588" t="n"/>
      <c r="CT143" s="588" t="n"/>
      <c r="CU143" s="588" t="n"/>
      <c r="CV143" s="588" t="n"/>
      <c r="CW143" s="588" t="n"/>
      <c r="CX143" s="588" t="n"/>
      <c r="CY143" s="588" t="n"/>
      <c r="CZ143" s="588" t="n"/>
      <c r="DA143" s="588" t="n"/>
      <c r="DB143" s="588" t="n"/>
      <c r="DC143" s="588" t="n"/>
      <c r="DD143" s="588" t="n"/>
      <c r="DE143" s="588" t="n"/>
      <c r="DF143" s="588" t="n"/>
      <c r="DG143" s="588" t="n"/>
      <c r="DH143" s="588" t="n"/>
      <c r="DI143" s="588" t="n"/>
      <c r="DJ143" s="588" t="n"/>
      <c r="DK143" s="588" t="n"/>
      <c r="DL143" s="588" t="n"/>
      <c r="DM143" s="588" t="n"/>
      <c r="DN143" s="588" t="n"/>
      <c r="DO143" s="588" t="n"/>
      <c r="DP143" s="588" t="n"/>
      <c r="DQ143" s="588" t="n"/>
      <c r="DR143" s="588" t="n"/>
      <c r="DS143" s="588" t="n"/>
      <c r="DT143" s="588" t="n"/>
      <c r="DU143" s="588" t="n"/>
    </row>
    <row r="144" outlineLevel="1" ht="13.2" customHeight="1" s="450">
      <c r="A144" s="590" t="n"/>
      <c r="B144" s="701" t="inlineStr">
        <is>
          <t>Rot. Asfalto 5cm</t>
        </is>
      </c>
      <c r="C144" s="702" t="n">
        <v>1</v>
      </c>
      <c r="D144" s="703" t="n">
        <v>0.05</v>
      </c>
      <c r="E144" s="151" t="n">
        <v>0.6</v>
      </c>
      <c r="F144" s="704">
        <f>(C144*D144)*1.6</f>
        <v/>
      </c>
      <c r="G144" s="705">
        <f>L87</f>
        <v/>
      </c>
      <c r="H144" s="149" t="n"/>
      <c r="I144" s="149">
        <f>F144*G144</f>
        <v/>
      </c>
      <c r="J144" s="602" t="n"/>
      <c r="K144" s="602" t="n"/>
      <c r="L144" s="602" t="n"/>
      <c r="M144" s="602" t="n"/>
      <c r="N144" s="602" t="n"/>
      <c r="O144" s="602" t="n"/>
      <c r="P144" s="602" t="n"/>
      <c r="Q144" s="602" t="n"/>
      <c r="R144" s="602" t="n"/>
      <c r="S144" s="602" t="n"/>
      <c r="T144" s="602" t="n"/>
      <c r="U144" s="588" t="n"/>
      <c r="V144" s="588" t="n"/>
      <c r="W144" s="588" t="n"/>
      <c r="X144" s="588" t="n"/>
      <c r="Z144" s="588" t="n"/>
      <c r="AA144" s="588" t="n"/>
      <c r="AB144" s="588" t="n"/>
      <c r="AC144" s="588" t="n"/>
      <c r="AD144" s="588" t="n"/>
      <c r="AE144" s="588" t="n"/>
      <c r="AF144" s="588" t="n"/>
      <c r="AG144" s="588" t="n"/>
      <c r="AH144" s="588" t="n"/>
      <c r="AI144" s="588" t="n"/>
      <c r="AJ144" s="588" t="n"/>
      <c r="AK144" s="588" t="n"/>
      <c r="AL144" s="588" t="n"/>
      <c r="AM144" s="588" t="n"/>
      <c r="AN144" s="588" t="n"/>
      <c r="AO144" s="588" t="n"/>
      <c r="AP144" s="588" t="n"/>
      <c r="AQ144" s="588" t="n"/>
      <c r="AR144" s="588" t="n"/>
      <c r="AS144" s="588" t="n"/>
      <c r="AT144" s="588" t="n"/>
      <c r="AU144" s="588" t="n"/>
      <c r="AV144" s="588" t="n"/>
      <c r="AW144" s="588" t="n"/>
      <c r="AX144" s="588" t="n"/>
      <c r="AY144" s="588" t="n"/>
      <c r="AZ144" s="588" t="n"/>
      <c r="BA144" s="588" t="n"/>
      <c r="BB144" s="588" t="n"/>
      <c r="BC144" s="588" t="n"/>
      <c r="BD144" s="588" t="n"/>
      <c r="BE144" s="588" t="n"/>
      <c r="BF144" s="588" t="n"/>
      <c r="BG144" s="588" t="n"/>
      <c r="BH144" s="588" t="n"/>
      <c r="BI144" s="588" t="n"/>
      <c r="BJ144" s="588" t="n"/>
      <c r="BK144" s="588" t="n"/>
      <c r="BL144" s="588" t="n"/>
      <c r="BM144" s="588" t="n"/>
      <c r="BN144" s="588" t="n"/>
      <c r="BO144" s="588" t="n"/>
      <c r="BP144" s="588" t="n"/>
      <c r="BQ144" s="588" t="n"/>
      <c r="BR144" s="588" t="n"/>
      <c r="BS144" s="588" t="n"/>
      <c r="BT144" s="588" t="n"/>
      <c r="BU144" s="588" t="n"/>
      <c r="BV144" s="588" t="n"/>
      <c r="BW144" s="588" t="n"/>
      <c r="BX144" s="588" t="n"/>
      <c r="BY144" s="588" t="n"/>
      <c r="BZ144" s="588" t="n"/>
      <c r="CA144" s="588" t="n"/>
      <c r="CB144" s="588" t="n"/>
      <c r="CC144" s="588" t="n"/>
      <c r="CD144" s="588" t="n"/>
      <c r="CE144" s="588" t="n"/>
      <c r="CF144" s="588" t="n"/>
      <c r="CG144" s="588" t="n"/>
      <c r="CH144" s="588" t="n"/>
      <c r="CI144" s="588" t="n"/>
      <c r="CJ144" s="588" t="n"/>
      <c r="CK144" s="588" t="n"/>
      <c r="CL144" s="588" t="n"/>
      <c r="CM144" s="588" t="n"/>
      <c r="CN144" s="588" t="n"/>
      <c r="CO144" s="588" t="n"/>
      <c r="CP144" s="588" t="n"/>
      <c r="CQ144" s="588" t="n"/>
      <c r="CR144" s="588" t="n"/>
      <c r="CS144" s="588" t="n"/>
      <c r="CT144" s="588" t="n"/>
      <c r="CU144" s="588" t="n"/>
      <c r="CV144" s="588" t="n"/>
      <c r="CW144" s="588" t="n"/>
      <c r="CX144" s="588" t="n"/>
      <c r="CY144" s="588" t="n"/>
      <c r="CZ144" s="588" t="n"/>
      <c r="DA144" s="588" t="n"/>
      <c r="DB144" s="588" t="n"/>
      <c r="DC144" s="588" t="n"/>
      <c r="DD144" s="588" t="n"/>
      <c r="DE144" s="588" t="n"/>
      <c r="DF144" s="588" t="n"/>
      <c r="DG144" s="588" t="n"/>
      <c r="DH144" s="588" t="n"/>
      <c r="DI144" s="588" t="n"/>
      <c r="DJ144" s="588" t="n"/>
      <c r="DK144" s="588" t="n"/>
      <c r="DL144" s="588" t="n"/>
      <c r="DM144" s="588" t="n"/>
      <c r="DN144" s="588" t="n"/>
      <c r="DO144" s="588" t="n"/>
      <c r="DP144" s="588" t="n"/>
      <c r="DQ144" s="588" t="n"/>
      <c r="DR144" s="588" t="n"/>
      <c r="DS144" s="588" t="n"/>
      <c r="DT144" s="588" t="n"/>
      <c r="DU144" s="588" t="n"/>
    </row>
    <row r="145" outlineLevel="1" ht="13.2" customHeight="1" s="450">
      <c r="A145" s="590" t="n"/>
      <c r="B145" s="701" t="inlineStr">
        <is>
          <t>Tubo 2"</t>
        </is>
      </c>
      <c r="C145" s="706">
        <f>((2*0.025)/2)*((2*0.025)/2)*3.1416</f>
        <v/>
      </c>
      <c r="D145" s="703" t="n">
        <v>1</v>
      </c>
      <c r="E145" s="151" t="n">
        <v>0.25</v>
      </c>
      <c r="F145" s="707">
        <f>(C145*D145)*1.25</f>
        <v/>
      </c>
      <c r="G145" s="705" t="n"/>
      <c r="H145" s="149" t="n"/>
      <c r="I145" s="149">
        <f>F145*G145</f>
        <v/>
      </c>
      <c r="J145" s="602" t="n"/>
      <c r="K145" s="602" t="n"/>
      <c r="L145" s="602" t="n"/>
      <c r="M145" s="602" t="n"/>
      <c r="N145" s="602" t="n"/>
      <c r="O145" s="602" t="n"/>
      <c r="P145" s="602" t="n"/>
      <c r="Q145" s="602" t="n"/>
      <c r="R145" s="602" t="n"/>
      <c r="S145" s="602" t="n"/>
      <c r="T145" s="602" t="n"/>
      <c r="U145" s="588" t="n"/>
      <c r="V145" s="588" t="n"/>
      <c r="W145" s="588" t="n"/>
      <c r="X145" s="588" t="n"/>
      <c r="Z145" s="588" t="n"/>
      <c r="AA145" s="588" t="n"/>
      <c r="AB145" s="588" t="n"/>
      <c r="AC145" s="588" t="n"/>
      <c r="AD145" s="588" t="n"/>
      <c r="AE145" s="588" t="n"/>
      <c r="AF145" s="588" t="n"/>
      <c r="AG145" s="588" t="n"/>
      <c r="AH145" s="588" t="n"/>
      <c r="AI145" s="588" t="n"/>
      <c r="AJ145" s="588" t="n"/>
      <c r="AK145" s="588" t="n"/>
      <c r="AL145" s="588" t="n"/>
      <c r="AM145" s="588" t="n"/>
      <c r="AN145" s="588" t="n"/>
      <c r="AO145" s="588" t="n"/>
      <c r="AP145" s="588" t="n"/>
      <c r="AQ145" s="588" t="n"/>
      <c r="AR145" s="588" t="n"/>
      <c r="AS145" s="588" t="n"/>
      <c r="AT145" s="588" t="n"/>
      <c r="AU145" s="588" t="n"/>
      <c r="AV145" s="588" t="n"/>
      <c r="AW145" s="588" t="n"/>
      <c r="AX145" s="588" t="n"/>
      <c r="AY145" s="588" t="n"/>
      <c r="AZ145" s="588" t="n"/>
      <c r="BA145" s="588" t="n"/>
      <c r="BB145" s="588" t="n"/>
      <c r="BC145" s="588" t="n"/>
      <c r="BD145" s="588" t="n"/>
      <c r="BE145" s="588" t="n"/>
      <c r="BF145" s="588" t="n"/>
      <c r="BG145" s="588" t="n"/>
      <c r="BH145" s="588" t="n"/>
      <c r="BI145" s="588" t="n"/>
      <c r="BJ145" s="588" t="n"/>
      <c r="BK145" s="588" t="n"/>
      <c r="BL145" s="588" t="n"/>
      <c r="BM145" s="588" t="n"/>
      <c r="BN145" s="588" t="n"/>
      <c r="BO145" s="588" t="n"/>
      <c r="BP145" s="588" t="n"/>
      <c r="BQ145" s="588" t="n"/>
      <c r="BR145" s="588" t="n"/>
      <c r="BS145" s="588" t="n"/>
      <c r="BT145" s="588" t="n"/>
      <c r="BU145" s="588" t="n"/>
      <c r="BV145" s="588" t="n"/>
      <c r="BW145" s="588" t="n"/>
      <c r="BX145" s="588" t="n"/>
      <c r="BY145" s="588" t="n"/>
      <c r="BZ145" s="588" t="n"/>
      <c r="CA145" s="588" t="n"/>
      <c r="CB145" s="588" t="n"/>
      <c r="CC145" s="588" t="n"/>
      <c r="CD145" s="588" t="n"/>
      <c r="CE145" s="588" t="n"/>
      <c r="CF145" s="588" t="n"/>
      <c r="CG145" s="588" t="n"/>
      <c r="CH145" s="588" t="n"/>
      <c r="CI145" s="588" t="n"/>
      <c r="CJ145" s="588" t="n"/>
      <c r="CK145" s="588" t="n"/>
      <c r="CL145" s="588" t="n"/>
      <c r="CM145" s="588" t="n"/>
      <c r="CN145" s="588" t="n"/>
      <c r="CO145" s="588" t="n"/>
      <c r="CP145" s="588" t="n"/>
      <c r="CQ145" s="588" t="n"/>
      <c r="CR145" s="588" t="n"/>
      <c r="CS145" s="588" t="n"/>
      <c r="CT145" s="588" t="n"/>
      <c r="CU145" s="588" t="n"/>
      <c r="CV145" s="588" t="n"/>
      <c r="CW145" s="588" t="n"/>
      <c r="CX145" s="588" t="n"/>
      <c r="CY145" s="588" t="n"/>
      <c r="CZ145" s="588" t="n"/>
      <c r="DA145" s="588" t="n"/>
      <c r="DB145" s="588" t="n"/>
      <c r="DC145" s="588" t="n"/>
      <c r="DD145" s="588" t="n"/>
      <c r="DE145" s="588" t="n"/>
      <c r="DF145" s="588" t="n"/>
      <c r="DG145" s="588" t="n"/>
      <c r="DH145" s="588" t="n"/>
      <c r="DI145" s="588" t="n"/>
      <c r="DJ145" s="588" t="n"/>
      <c r="DK145" s="588" t="n"/>
      <c r="DL145" s="588" t="n"/>
      <c r="DM145" s="588" t="n"/>
      <c r="DN145" s="588" t="n"/>
      <c r="DO145" s="588" t="n"/>
      <c r="DP145" s="588" t="n"/>
      <c r="DQ145" s="588" t="n"/>
      <c r="DR145" s="588" t="n"/>
      <c r="DS145" s="588" t="n"/>
      <c r="DT145" s="588" t="n"/>
      <c r="DU145" s="588" t="n"/>
    </row>
    <row r="146" outlineLevel="1" ht="13.2" customHeight="1" s="450">
      <c r="A146" s="590" t="n"/>
      <c r="B146" s="701" t="inlineStr">
        <is>
          <t>Tubo 4"</t>
        </is>
      </c>
      <c r="C146" s="706">
        <f>((4*0.025)/2)*((4*0.025)/2)*3.1416</f>
        <v/>
      </c>
      <c r="D146" s="703" t="n">
        <v>1</v>
      </c>
      <c r="E146" s="151" t="n">
        <v>0.25</v>
      </c>
      <c r="F146" s="708">
        <f>(C146*D146)*1.25</f>
        <v/>
      </c>
      <c r="G146" s="705" t="n"/>
      <c r="H146" s="149" t="n"/>
      <c r="I146" s="149">
        <f>F146*G146</f>
        <v/>
      </c>
      <c r="J146" s="602" t="n"/>
      <c r="K146" s="602" t="n"/>
      <c r="L146" s="602" t="n"/>
      <c r="M146" s="602" t="n"/>
      <c r="N146" s="602" t="n"/>
      <c r="O146" s="602" t="n"/>
      <c r="P146" s="602" t="n"/>
      <c r="Q146" s="602" t="n"/>
      <c r="R146" s="602" t="n"/>
      <c r="S146" s="602" t="n"/>
      <c r="T146" s="602" t="n"/>
      <c r="U146" s="588" t="n"/>
      <c r="V146" s="588" t="n"/>
      <c r="W146" s="588" t="n"/>
      <c r="X146" s="588" t="n"/>
      <c r="Z146" s="588" t="n"/>
      <c r="AA146" s="588" t="n"/>
      <c r="AB146" s="588" t="n"/>
      <c r="AC146" s="588" t="n"/>
      <c r="AD146" s="588" t="n"/>
      <c r="AE146" s="588" t="n"/>
      <c r="AF146" s="588" t="n"/>
      <c r="AG146" s="588" t="n"/>
      <c r="AH146" s="588" t="n"/>
      <c r="AI146" s="588" t="n"/>
      <c r="AJ146" s="588" t="n"/>
      <c r="AK146" s="588" t="n"/>
      <c r="AL146" s="588" t="n"/>
      <c r="AM146" s="588" t="n"/>
      <c r="AN146" s="588" t="n"/>
      <c r="AO146" s="588" t="n"/>
      <c r="AP146" s="588" t="n"/>
      <c r="AQ146" s="588" t="n"/>
      <c r="AR146" s="588" t="n"/>
      <c r="AS146" s="588" t="n"/>
      <c r="AT146" s="588" t="n"/>
      <c r="AU146" s="588" t="n"/>
      <c r="AV146" s="588" t="n"/>
      <c r="AW146" s="588" t="n"/>
      <c r="AX146" s="588" t="n"/>
      <c r="AY146" s="588" t="n"/>
      <c r="AZ146" s="588" t="n"/>
      <c r="BA146" s="588" t="n"/>
      <c r="BB146" s="588" t="n"/>
      <c r="BC146" s="588" t="n"/>
      <c r="BD146" s="588" t="n"/>
      <c r="BE146" s="588" t="n"/>
      <c r="BF146" s="588" t="n"/>
      <c r="BG146" s="588" t="n"/>
      <c r="BH146" s="588" t="n"/>
      <c r="BI146" s="588" t="n"/>
      <c r="BJ146" s="588" t="n"/>
      <c r="BK146" s="588" t="n"/>
      <c r="BL146" s="588" t="n"/>
      <c r="BM146" s="588" t="n"/>
      <c r="BN146" s="588" t="n"/>
      <c r="BO146" s="588" t="n"/>
      <c r="BP146" s="588" t="n"/>
      <c r="BQ146" s="588" t="n"/>
      <c r="BR146" s="588" t="n"/>
      <c r="BS146" s="588" t="n"/>
      <c r="BT146" s="588" t="n"/>
      <c r="BU146" s="588" t="n"/>
      <c r="BV146" s="588" t="n"/>
      <c r="BW146" s="588" t="n"/>
      <c r="BX146" s="588" t="n"/>
      <c r="BY146" s="588" t="n"/>
      <c r="BZ146" s="588" t="n"/>
      <c r="CA146" s="588" t="n"/>
      <c r="CB146" s="588" t="n"/>
      <c r="CC146" s="588" t="n"/>
      <c r="CD146" s="588" t="n"/>
      <c r="CE146" s="588" t="n"/>
      <c r="CF146" s="588" t="n"/>
      <c r="CG146" s="588" t="n"/>
      <c r="CH146" s="588" t="n"/>
      <c r="CI146" s="588" t="n"/>
      <c r="CJ146" s="588" t="n"/>
      <c r="CK146" s="588" t="n"/>
      <c r="CL146" s="588" t="n"/>
      <c r="CM146" s="588" t="n"/>
      <c r="CN146" s="588" t="n"/>
      <c r="CO146" s="588" t="n"/>
      <c r="CP146" s="588" t="n"/>
      <c r="CQ146" s="588" t="n"/>
      <c r="CR146" s="588" t="n"/>
      <c r="CS146" s="588" t="n"/>
      <c r="CT146" s="588" t="n"/>
      <c r="CU146" s="588" t="n"/>
      <c r="CV146" s="588" t="n"/>
      <c r="CW146" s="588" t="n"/>
      <c r="CX146" s="588" t="n"/>
      <c r="CY146" s="588" t="n"/>
      <c r="CZ146" s="588" t="n"/>
      <c r="DA146" s="588" t="n"/>
      <c r="DB146" s="588" t="n"/>
      <c r="DC146" s="588" t="n"/>
      <c r="DD146" s="588" t="n"/>
      <c r="DE146" s="588" t="n"/>
      <c r="DF146" s="588" t="n"/>
      <c r="DG146" s="588" t="n"/>
      <c r="DH146" s="588" t="n"/>
      <c r="DI146" s="588" t="n"/>
      <c r="DJ146" s="588" t="n"/>
      <c r="DK146" s="588" t="n"/>
      <c r="DL146" s="588" t="n"/>
      <c r="DM146" s="588" t="n"/>
      <c r="DN146" s="588" t="n"/>
      <c r="DO146" s="588" t="n"/>
      <c r="DP146" s="588" t="n"/>
      <c r="DQ146" s="588" t="n"/>
      <c r="DR146" s="588" t="n"/>
      <c r="DS146" s="588" t="n"/>
      <c r="DT146" s="588" t="n"/>
      <c r="DU146" s="588" t="n"/>
    </row>
    <row r="147" outlineLevel="1" ht="13.2" customHeight="1" s="450">
      <c r="A147" s="590" t="n"/>
      <c r="B147" s="701" t="inlineStr">
        <is>
          <t>Tubo 6"</t>
        </is>
      </c>
      <c r="C147" s="706">
        <f>((6*0.025)/2)*((6*0.025)/2)*3.1416</f>
        <v/>
      </c>
      <c r="D147" s="703" t="n">
        <v>1</v>
      </c>
      <c r="E147" s="151" t="n">
        <v>0.25</v>
      </c>
      <c r="F147" s="708">
        <f>(C147*D147)*1.25</f>
        <v/>
      </c>
      <c r="G147" s="705" t="n"/>
      <c r="H147" s="149" t="n"/>
      <c r="I147" s="149">
        <f>F147*G147</f>
        <v/>
      </c>
      <c r="J147" s="602" t="n"/>
      <c r="K147" s="602" t="n"/>
      <c r="L147" s="602" t="n"/>
      <c r="M147" s="602" t="n"/>
      <c r="N147" s="602" t="n"/>
      <c r="O147" s="602" t="n"/>
      <c r="P147" s="602" t="n"/>
      <c r="Q147" s="602" t="n"/>
      <c r="R147" s="602" t="n"/>
      <c r="S147" s="602" t="n"/>
      <c r="T147" s="602" t="n"/>
      <c r="U147" s="588" t="n"/>
      <c r="V147" s="588" t="n"/>
      <c r="W147" s="588" t="n"/>
      <c r="X147" s="588" t="n"/>
      <c r="Z147" s="588" t="n"/>
      <c r="AA147" s="588" t="n"/>
      <c r="AB147" s="588" t="n"/>
      <c r="AC147" s="588" t="n"/>
      <c r="AD147" s="588" t="n"/>
      <c r="AE147" s="588" t="n"/>
      <c r="AF147" s="588" t="n"/>
      <c r="AG147" s="588" t="n"/>
      <c r="AH147" s="588" t="n"/>
      <c r="AI147" s="588" t="n"/>
      <c r="AJ147" s="588" t="n"/>
      <c r="AK147" s="588" t="n"/>
      <c r="AL147" s="588" t="n"/>
      <c r="AM147" s="588" t="n"/>
      <c r="AN147" s="588" t="n"/>
      <c r="AO147" s="588" t="n"/>
      <c r="AP147" s="588" t="n"/>
      <c r="AQ147" s="588" t="n"/>
      <c r="AR147" s="588" t="n"/>
      <c r="AS147" s="588" t="n"/>
      <c r="AT147" s="588" t="n"/>
      <c r="AU147" s="588" t="n"/>
      <c r="AV147" s="588" t="n"/>
      <c r="AW147" s="588" t="n"/>
      <c r="AX147" s="588" t="n"/>
      <c r="AY147" s="588" t="n"/>
      <c r="AZ147" s="588" t="n"/>
      <c r="BA147" s="588" t="n"/>
      <c r="BB147" s="588" t="n"/>
      <c r="BC147" s="588" t="n"/>
      <c r="BD147" s="588" t="n"/>
      <c r="BE147" s="588" t="n"/>
      <c r="BF147" s="588" t="n"/>
      <c r="BG147" s="588" t="n"/>
      <c r="BH147" s="588" t="n"/>
      <c r="BI147" s="588" t="n"/>
      <c r="BJ147" s="588" t="n"/>
      <c r="BK147" s="588" t="n"/>
      <c r="BL147" s="588" t="n"/>
      <c r="BM147" s="588" t="n"/>
      <c r="BN147" s="588" t="n"/>
      <c r="BO147" s="588" t="n"/>
      <c r="BP147" s="588" t="n"/>
      <c r="BQ147" s="588" t="n"/>
      <c r="BR147" s="588" t="n"/>
      <c r="BS147" s="588" t="n"/>
      <c r="BT147" s="588" t="n"/>
      <c r="BU147" s="588" t="n"/>
      <c r="BV147" s="588" t="n"/>
      <c r="BW147" s="588" t="n"/>
      <c r="BX147" s="588" t="n"/>
      <c r="BY147" s="588" t="n"/>
      <c r="BZ147" s="588" t="n"/>
      <c r="CA147" s="588" t="n"/>
      <c r="CB147" s="588" t="n"/>
      <c r="CC147" s="588" t="n"/>
      <c r="CD147" s="588" t="n"/>
      <c r="CE147" s="588" t="n"/>
      <c r="CF147" s="588" t="n"/>
      <c r="CG147" s="588" t="n"/>
      <c r="CH147" s="588" t="n"/>
      <c r="CI147" s="588" t="n"/>
      <c r="CJ147" s="588" t="n"/>
      <c r="CK147" s="588" t="n"/>
      <c r="CL147" s="588" t="n"/>
      <c r="CM147" s="588" t="n"/>
      <c r="CN147" s="588" t="n"/>
      <c r="CO147" s="588" t="n"/>
      <c r="CP147" s="588" t="n"/>
      <c r="CQ147" s="588" t="n"/>
      <c r="CR147" s="588" t="n"/>
      <c r="CS147" s="588" t="n"/>
      <c r="CT147" s="588" t="n"/>
      <c r="CU147" s="588" t="n"/>
      <c r="CV147" s="588" t="n"/>
      <c r="CW147" s="588" t="n"/>
      <c r="CX147" s="588" t="n"/>
      <c r="CY147" s="588" t="n"/>
      <c r="CZ147" s="588" t="n"/>
      <c r="DA147" s="588" t="n"/>
      <c r="DB147" s="588" t="n"/>
      <c r="DC147" s="588" t="n"/>
      <c r="DD147" s="588" t="n"/>
      <c r="DE147" s="588" t="n"/>
      <c r="DF147" s="588" t="n"/>
      <c r="DG147" s="588" t="n"/>
      <c r="DH147" s="588" t="n"/>
      <c r="DI147" s="588" t="n"/>
      <c r="DJ147" s="588" t="n"/>
      <c r="DK147" s="588" t="n"/>
      <c r="DL147" s="588" t="n"/>
      <c r="DM147" s="588" t="n"/>
      <c r="DN147" s="588" t="n"/>
      <c r="DO147" s="588" t="n"/>
      <c r="DP147" s="588" t="n"/>
      <c r="DQ147" s="588" t="n"/>
      <c r="DR147" s="588" t="n"/>
      <c r="DS147" s="588" t="n"/>
      <c r="DT147" s="588" t="n"/>
      <c r="DU147" s="588" t="n"/>
    </row>
    <row r="148" outlineLevel="1" ht="13.2" customHeight="1" s="450">
      <c r="A148" s="590" t="n"/>
      <c r="B148" s="701" t="inlineStr">
        <is>
          <t>Ladrillo (unidad)</t>
        </is>
      </c>
      <c r="C148" s="709" t="n">
        <v>0.025</v>
      </c>
      <c r="D148" s="703" t="n">
        <v>0.09</v>
      </c>
      <c r="E148" s="151" t="n">
        <v>0.25</v>
      </c>
      <c r="F148" s="707">
        <f>(C148*D148)*1.25</f>
        <v/>
      </c>
      <c r="G148" s="705" t="n"/>
      <c r="H148" s="149" t="n"/>
      <c r="I148" s="149">
        <f>F148*G148</f>
        <v/>
      </c>
      <c r="J148" s="602" t="n"/>
      <c r="K148" s="602" t="n"/>
      <c r="L148" s="602" t="n"/>
      <c r="M148" s="602" t="n"/>
      <c r="N148" s="602" t="n"/>
      <c r="O148" s="602" t="n"/>
      <c r="P148" s="602" t="n"/>
      <c r="Q148" s="602" t="n"/>
      <c r="R148" s="602" t="n"/>
      <c r="S148" s="602" t="n"/>
      <c r="T148" s="602" t="n"/>
      <c r="U148" s="588" t="n"/>
      <c r="V148" s="588" t="n"/>
      <c r="W148" s="588" t="n"/>
      <c r="X148" s="588" t="n"/>
      <c r="Z148" s="588" t="n"/>
      <c r="AA148" s="588" t="n"/>
      <c r="AB148" s="588" t="n"/>
      <c r="AC148" s="588" t="n"/>
      <c r="AD148" s="588" t="n"/>
      <c r="AE148" s="588" t="n"/>
      <c r="AF148" s="588" t="n"/>
      <c r="AG148" s="588" t="n"/>
      <c r="AH148" s="588" t="n"/>
      <c r="AI148" s="588" t="n"/>
      <c r="AJ148" s="588" t="n"/>
      <c r="AK148" s="588" t="n"/>
      <c r="AL148" s="588" t="n"/>
      <c r="AM148" s="588" t="n"/>
      <c r="AN148" s="588" t="n"/>
      <c r="AO148" s="588" t="n"/>
      <c r="AP148" s="588" t="n"/>
      <c r="AQ148" s="588" t="n"/>
      <c r="AR148" s="588" t="n"/>
      <c r="AS148" s="588" t="n"/>
      <c r="AT148" s="588" t="n"/>
      <c r="AU148" s="588" t="n"/>
      <c r="AV148" s="588" t="n"/>
      <c r="AW148" s="588" t="n"/>
      <c r="AX148" s="588" t="n"/>
      <c r="AY148" s="588" t="n"/>
      <c r="AZ148" s="588" t="n"/>
      <c r="BA148" s="588" t="n"/>
      <c r="BB148" s="588" t="n"/>
      <c r="BC148" s="588" t="n"/>
      <c r="BD148" s="588" t="n"/>
      <c r="BE148" s="588" t="n"/>
      <c r="BF148" s="588" t="n"/>
      <c r="BG148" s="588" t="n"/>
      <c r="BH148" s="588" t="n"/>
      <c r="BI148" s="588" t="n"/>
      <c r="BJ148" s="588" t="n"/>
      <c r="BK148" s="588" t="n"/>
      <c r="BL148" s="588" t="n"/>
      <c r="BM148" s="588" t="n"/>
      <c r="BN148" s="588" t="n"/>
      <c r="BO148" s="588" t="n"/>
      <c r="BP148" s="588" t="n"/>
      <c r="BQ148" s="588" t="n"/>
      <c r="BR148" s="588" t="n"/>
      <c r="BS148" s="588" t="n"/>
      <c r="BT148" s="588" t="n"/>
      <c r="BU148" s="588" t="n"/>
      <c r="BV148" s="588" t="n"/>
      <c r="BW148" s="588" t="n"/>
      <c r="BX148" s="588" t="n"/>
      <c r="BY148" s="588" t="n"/>
      <c r="BZ148" s="588" t="n"/>
      <c r="CA148" s="588" t="n"/>
      <c r="CB148" s="588" t="n"/>
      <c r="CC148" s="588" t="n"/>
      <c r="CD148" s="588" t="n"/>
      <c r="CE148" s="588" t="n"/>
      <c r="CF148" s="588" t="n"/>
      <c r="CG148" s="588" t="n"/>
      <c r="CH148" s="588" t="n"/>
      <c r="CI148" s="588" t="n"/>
      <c r="CJ148" s="588" t="n"/>
      <c r="CK148" s="588" t="n"/>
      <c r="CL148" s="588" t="n"/>
      <c r="CM148" s="588" t="n"/>
      <c r="CN148" s="588" t="n"/>
      <c r="CO148" s="588" t="n"/>
      <c r="CP148" s="588" t="n"/>
      <c r="CQ148" s="588" t="n"/>
      <c r="CR148" s="588" t="n"/>
      <c r="CS148" s="588" t="n"/>
      <c r="CT148" s="588" t="n"/>
      <c r="CU148" s="588" t="n"/>
      <c r="CV148" s="588" t="n"/>
      <c r="CW148" s="588" t="n"/>
      <c r="CX148" s="588" t="n"/>
      <c r="CY148" s="588" t="n"/>
      <c r="CZ148" s="588" t="n"/>
      <c r="DA148" s="588" t="n"/>
      <c r="DB148" s="588" t="n"/>
      <c r="DC148" s="588" t="n"/>
      <c r="DD148" s="588" t="n"/>
      <c r="DE148" s="588" t="n"/>
      <c r="DF148" s="588" t="n"/>
      <c r="DG148" s="588" t="n"/>
      <c r="DH148" s="588" t="n"/>
      <c r="DI148" s="588" t="n"/>
      <c r="DJ148" s="588" t="n"/>
      <c r="DK148" s="588" t="n"/>
      <c r="DL148" s="588" t="n"/>
      <c r="DM148" s="588" t="n"/>
      <c r="DN148" s="588" t="n"/>
      <c r="DO148" s="588" t="n"/>
      <c r="DP148" s="588" t="n"/>
      <c r="DQ148" s="588" t="n"/>
      <c r="DR148" s="588" t="n"/>
      <c r="DS148" s="588" t="n"/>
      <c r="DT148" s="588" t="n"/>
      <c r="DU148" s="588" t="n"/>
    </row>
    <row r="149" outlineLevel="1" ht="13.2" customHeight="1" s="450">
      <c r="A149" s="590" t="n"/>
      <c r="B149" s="701" t="inlineStr">
        <is>
          <t>Cruzada Tp.3</t>
        </is>
      </c>
      <c r="C149" s="710">
        <f>((0.253*0.253))</f>
        <v/>
      </c>
      <c r="D149" s="703" t="n">
        <v>1</v>
      </c>
      <c r="E149" s="151" t="n">
        <v>0.25</v>
      </c>
      <c r="F149" s="704">
        <f>(C149*D149)*1.25</f>
        <v/>
      </c>
      <c r="G149" s="705" t="n"/>
      <c r="H149" s="149" t="n"/>
      <c r="I149" s="149">
        <f>F149*G149</f>
        <v/>
      </c>
      <c r="J149" s="602" t="n"/>
      <c r="K149" s="602" t="n"/>
      <c r="L149" s="602" t="n"/>
      <c r="M149" s="602" t="n"/>
      <c r="N149" s="602" t="n"/>
      <c r="O149" s="602" t="n"/>
      <c r="P149" s="602" t="n"/>
      <c r="Q149" s="602" t="n"/>
      <c r="R149" s="602" t="n"/>
      <c r="S149" s="602" t="n"/>
      <c r="T149" s="602" t="n"/>
      <c r="U149" s="588" t="n"/>
      <c r="V149" s="588" t="n"/>
      <c r="W149" s="588" t="n"/>
      <c r="X149" s="588" t="n"/>
      <c r="Z149" s="588" t="n"/>
      <c r="AA149" s="588" t="n"/>
      <c r="AB149" s="588" t="n"/>
      <c r="AC149" s="588" t="n"/>
      <c r="AD149" s="588" t="n"/>
      <c r="AE149" s="588" t="n"/>
      <c r="AF149" s="588" t="n"/>
      <c r="AG149" s="588" t="n"/>
      <c r="AH149" s="588" t="n"/>
      <c r="AI149" s="588" t="n"/>
      <c r="AJ149" s="588" t="n"/>
      <c r="AK149" s="588" t="n"/>
      <c r="AL149" s="588" t="n"/>
      <c r="AM149" s="588" t="n"/>
      <c r="AN149" s="588" t="n"/>
      <c r="AO149" s="588" t="n"/>
      <c r="AP149" s="588" t="n"/>
      <c r="AQ149" s="588" t="n"/>
      <c r="AR149" s="588" t="n"/>
      <c r="AS149" s="588" t="n"/>
      <c r="AT149" s="588" t="n"/>
      <c r="AU149" s="588" t="n"/>
      <c r="AV149" s="588" t="n"/>
      <c r="AW149" s="588" t="n"/>
      <c r="AX149" s="588" t="n"/>
      <c r="AY149" s="588" t="n"/>
      <c r="AZ149" s="588" t="n"/>
      <c r="BA149" s="588" t="n"/>
      <c r="BB149" s="588" t="n"/>
      <c r="BC149" s="588" t="n"/>
      <c r="BD149" s="588" t="n"/>
      <c r="BE149" s="588" t="n"/>
      <c r="BF149" s="588" t="n"/>
      <c r="BG149" s="588" t="n"/>
      <c r="BH149" s="588" t="n"/>
      <c r="BI149" s="588" t="n"/>
      <c r="BJ149" s="588" t="n"/>
      <c r="BK149" s="588" t="n"/>
      <c r="BL149" s="588" t="n"/>
      <c r="BM149" s="588" t="n"/>
      <c r="BN149" s="588" t="n"/>
      <c r="BO149" s="588" t="n"/>
      <c r="BP149" s="588" t="n"/>
      <c r="BQ149" s="588" t="n"/>
      <c r="BR149" s="588" t="n"/>
      <c r="BS149" s="588" t="n"/>
      <c r="BT149" s="588" t="n"/>
      <c r="BU149" s="588" t="n"/>
      <c r="BV149" s="588" t="n"/>
      <c r="BW149" s="588" t="n"/>
      <c r="BX149" s="588" t="n"/>
      <c r="BY149" s="588" t="n"/>
      <c r="BZ149" s="588" t="n"/>
      <c r="CA149" s="588" t="n"/>
      <c r="CB149" s="588" t="n"/>
      <c r="CC149" s="588" t="n"/>
      <c r="CD149" s="588" t="n"/>
      <c r="CE149" s="588" t="n"/>
      <c r="CF149" s="588" t="n"/>
      <c r="CG149" s="588" t="n"/>
      <c r="CH149" s="588" t="n"/>
      <c r="CI149" s="588" t="n"/>
      <c r="CJ149" s="588" t="n"/>
      <c r="CK149" s="588" t="n"/>
      <c r="CL149" s="588" t="n"/>
      <c r="CM149" s="588" t="n"/>
      <c r="CN149" s="588" t="n"/>
      <c r="CO149" s="588" t="n"/>
      <c r="CP149" s="588" t="n"/>
      <c r="CQ149" s="588" t="n"/>
      <c r="CR149" s="588" t="n"/>
      <c r="CS149" s="588" t="n"/>
      <c r="CT149" s="588" t="n"/>
      <c r="CU149" s="588" t="n"/>
      <c r="CV149" s="588" t="n"/>
      <c r="CW149" s="588" t="n"/>
      <c r="CX149" s="588" t="n"/>
      <c r="CY149" s="588" t="n"/>
      <c r="CZ149" s="588" t="n"/>
      <c r="DA149" s="588" t="n"/>
      <c r="DB149" s="588" t="n"/>
      <c r="DC149" s="588" t="n"/>
      <c r="DD149" s="588" t="n"/>
      <c r="DE149" s="588" t="n"/>
      <c r="DF149" s="588" t="n"/>
      <c r="DG149" s="588" t="n"/>
      <c r="DH149" s="588" t="n"/>
      <c r="DI149" s="588" t="n"/>
      <c r="DJ149" s="588" t="n"/>
      <c r="DK149" s="588" t="n"/>
      <c r="DL149" s="588" t="n"/>
      <c r="DM149" s="588" t="n"/>
      <c r="DN149" s="588" t="n"/>
      <c r="DO149" s="588" t="n"/>
      <c r="DP149" s="588" t="n"/>
      <c r="DQ149" s="588" t="n"/>
      <c r="DR149" s="588" t="n"/>
      <c r="DS149" s="588" t="n"/>
      <c r="DT149" s="588" t="n"/>
      <c r="DU149" s="588" t="n"/>
    </row>
    <row r="150" outlineLevel="1" ht="13.2" customHeight="1" s="450">
      <c r="A150" s="590" t="n"/>
      <c r="B150" s="701" t="inlineStr">
        <is>
          <t>Cruzada Tp.5 y 7</t>
        </is>
      </c>
      <c r="C150" s="702" t="n">
        <v>0.13</v>
      </c>
      <c r="D150" s="703" t="n">
        <v>1</v>
      </c>
      <c r="E150" s="151" t="n">
        <v>0.25</v>
      </c>
      <c r="F150" s="704">
        <f>(C150*D150)*1.25</f>
        <v/>
      </c>
      <c r="G150" s="705">
        <f>+#REF!</f>
        <v/>
      </c>
      <c r="H150" s="149" t="n"/>
      <c r="I150" s="149">
        <f>F150*G150</f>
        <v/>
      </c>
      <c r="J150" s="602" t="n"/>
      <c r="K150" s="602" t="n"/>
      <c r="L150" s="602" t="n"/>
      <c r="M150" s="602" t="n"/>
      <c r="N150" s="602" t="n"/>
      <c r="O150" s="602" t="n"/>
      <c r="P150" s="602" t="n"/>
      <c r="Q150" s="602" t="n"/>
      <c r="R150" s="602" t="n"/>
      <c r="S150" s="602" t="n"/>
      <c r="T150" s="602" t="n"/>
      <c r="U150" s="588" t="n"/>
      <c r="V150" s="588" t="n"/>
      <c r="W150" s="588" t="n"/>
      <c r="X150" s="588" t="n"/>
      <c r="Z150" s="588" t="n"/>
      <c r="AA150" s="588" t="n"/>
      <c r="AB150" s="588" t="n"/>
      <c r="AC150" s="588" t="n"/>
      <c r="AD150" s="588" t="n"/>
      <c r="AE150" s="588" t="n"/>
      <c r="AF150" s="588" t="n"/>
      <c r="AG150" s="588" t="n"/>
      <c r="AH150" s="588" t="n"/>
      <c r="AI150" s="588" t="n"/>
      <c r="AJ150" s="588" t="n"/>
      <c r="AK150" s="588" t="n"/>
      <c r="AL150" s="588" t="n"/>
      <c r="AM150" s="588" t="n"/>
      <c r="AN150" s="588" t="n"/>
      <c r="AO150" s="588" t="n"/>
      <c r="AP150" s="588" t="n"/>
      <c r="AQ150" s="588" t="n"/>
      <c r="AR150" s="588" t="n"/>
      <c r="AS150" s="588" t="n"/>
      <c r="AT150" s="588" t="n"/>
      <c r="AU150" s="588" t="n"/>
      <c r="AV150" s="588" t="n"/>
      <c r="AW150" s="588" t="n"/>
      <c r="AX150" s="588" t="n"/>
      <c r="AY150" s="588" t="n"/>
      <c r="AZ150" s="588" t="n"/>
      <c r="BA150" s="588" t="n"/>
      <c r="BB150" s="588" t="n"/>
      <c r="BC150" s="588" t="n"/>
      <c r="BD150" s="588" t="n"/>
      <c r="BE150" s="588" t="n"/>
      <c r="BF150" s="588" t="n"/>
      <c r="BG150" s="588" t="n"/>
      <c r="BH150" s="588" t="n"/>
      <c r="BI150" s="588" t="n"/>
      <c r="BJ150" s="588" t="n"/>
      <c r="BK150" s="588" t="n"/>
      <c r="BL150" s="588" t="n"/>
      <c r="BM150" s="588" t="n"/>
      <c r="BN150" s="588" t="n"/>
      <c r="BO150" s="588" t="n"/>
      <c r="BP150" s="588" t="n"/>
      <c r="BQ150" s="588" t="n"/>
      <c r="BR150" s="588" t="n"/>
      <c r="BS150" s="588" t="n"/>
      <c r="BT150" s="588" t="n"/>
      <c r="BU150" s="588" t="n"/>
      <c r="BV150" s="588" t="n"/>
      <c r="BW150" s="588" t="n"/>
      <c r="BX150" s="588" t="n"/>
      <c r="BY150" s="588" t="n"/>
      <c r="BZ150" s="588" t="n"/>
      <c r="CA150" s="588" t="n"/>
      <c r="CB150" s="588" t="n"/>
      <c r="CC150" s="588" t="n"/>
      <c r="CD150" s="588" t="n"/>
      <c r="CE150" s="588" t="n"/>
      <c r="CF150" s="588" t="n"/>
      <c r="CG150" s="588" t="n"/>
      <c r="CH150" s="588" t="n"/>
      <c r="CI150" s="588" t="n"/>
      <c r="CJ150" s="588" t="n"/>
      <c r="CK150" s="588" t="n"/>
      <c r="CL150" s="588" t="n"/>
      <c r="CM150" s="588" t="n"/>
      <c r="CN150" s="588" t="n"/>
      <c r="CO150" s="588" t="n"/>
      <c r="CP150" s="588" t="n"/>
      <c r="CQ150" s="588" t="n"/>
      <c r="CR150" s="588" t="n"/>
      <c r="CS150" s="588" t="n"/>
      <c r="CT150" s="588" t="n"/>
      <c r="CU150" s="588" t="n"/>
      <c r="CV150" s="588" t="n"/>
      <c r="CW150" s="588" t="n"/>
      <c r="CX150" s="588" t="n"/>
      <c r="CY150" s="588" t="n"/>
      <c r="CZ150" s="588" t="n"/>
      <c r="DA150" s="588" t="n"/>
      <c r="DB150" s="588" t="n"/>
      <c r="DC150" s="588" t="n"/>
      <c r="DD150" s="588" t="n"/>
      <c r="DE150" s="588" t="n"/>
      <c r="DF150" s="588" t="n"/>
      <c r="DG150" s="588" t="n"/>
      <c r="DH150" s="588" t="n"/>
      <c r="DI150" s="588" t="n"/>
      <c r="DJ150" s="588" t="n"/>
      <c r="DK150" s="588" t="n"/>
      <c r="DL150" s="588" t="n"/>
      <c r="DM150" s="588" t="n"/>
      <c r="DN150" s="588" t="n"/>
      <c r="DO150" s="588" t="n"/>
      <c r="DP150" s="588" t="n"/>
      <c r="DQ150" s="588" t="n"/>
      <c r="DR150" s="588" t="n"/>
      <c r="DS150" s="588" t="n"/>
      <c r="DT150" s="588" t="n"/>
      <c r="DU150" s="588" t="n"/>
    </row>
    <row r="151" outlineLevel="1" ht="13.2" customHeight="1" s="450">
      <c r="A151" s="590" t="n"/>
      <c r="B151" s="701" t="inlineStr">
        <is>
          <t>Cruzada Tp.9</t>
        </is>
      </c>
      <c r="C151" s="702" t="n">
        <v>0.255</v>
      </c>
      <c r="D151" s="703" t="n">
        <v>1</v>
      </c>
      <c r="E151" s="151" t="n">
        <v>0.25</v>
      </c>
      <c r="F151" s="704">
        <f>(C151*D151)*1.25</f>
        <v/>
      </c>
      <c r="G151" s="705" t="n"/>
      <c r="H151" s="149" t="n"/>
      <c r="I151" s="149">
        <f>F151*G151</f>
        <v/>
      </c>
      <c r="J151" s="602" t="n"/>
      <c r="K151" s="602" t="n"/>
      <c r="L151" s="602" t="n"/>
      <c r="M151" s="602" t="n"/>
      <c r="N151" s="602" t="n"/>
      <c r="O151" s="602" t="n"/>
      <c r="P151" s="602" t="n"/>
      <c r="Q151" s="602" t="n"/>
      <c r="R151" s="602" t="n"/>
      <c r="S151" s="602" t="n"/>
      <c r="T151" s="602" t="n"/>
      <c r="U151" s="588" t="n"/>
      <c r="V151" s="588" t="n"/>
      <c r="W151" s="588" t="n"/>
      <c r="X151" s="588" t="n"/>
      <c r="Z151" s="588" t="n"/>
      <c r="AA151" s="588" t="n"/>
      <c r="AB151" s="588" t="n"/>
      <c r="AC151" s="588" t="n"/>
      <c r="AD151" s="588" t="n"/>
      <c r="AE151" s="588" t="n"/>
      <c r="AF151" s="588" t="n"/>
      <c r="AG151" s="588" t="n"/>
      <c r="AH151" s="588" t="n"/>
      <c r="AI151" s="588" t="n"/>
      <c r="AJ151" s="588" t="n"/>
      <c r="AK151" s="588" t="n"/>
      <c r="AL151" s="588" t="n"/>
      <c r="AM151" s="588" t="n"/>
      <c r="AN151" s="588" t="n"/>
      <c r="AO151" s="588" t="n"/>
      <c r="AP151" s="588" t="n"/>
      <c r="AQ151" s="588" t="n"/>
      <c r="AR151" s="588" t="n"/>
      <c r="AS151" s="588" t="n"/>
      <c r="AT151" s="588" t="n"/>
      <c r="AU151" s="588" t="n"/>
      <c r="AV151" s="588" t="n"/>
      <c r="AW151" s="588" t="n"/>
      <c r="AX151" s="588" t="n"/>
      <c r="AY151" s="588" t="n"/>
      <c r="AZ151" s="588" t="n"/>
      <c r="BA151" s="588" t="n"/>
      <c r="BB151" s="588" t="n"/>
      <c r="BC151" s="588" t="n"/>
      <c r="BD151" s="588" t="n"/>
      <c r="BE151" s="588" t="n"/>
      <c r="BF151" s="588" t="n"/>
      <c r="BG151" s="588" t="n"/>
      <c r="BH151" s="588" t="n"/>
      <c r="BI151" s="588" t="n"/>
      <c r="BJ151" s="588" t="n"/>
      <c r="BK151" s="588" t="n"/>
      <c r="BL151" s="588" t="n"/>
      <c r="BM151" s="588" t="n"/>
      <c r="BN151" s="588" t="n"/>
      <c r="BO151" s="588" t="n"/>
      <c r="BP151" s="588" t="n"/>
      <c r="BQ151" s="588" t="n"/>
      <c r="BR151" s="588" t="n"/>
      <c r="BS151" s="588" t="n"/>
      <c r="BT151" s="588" t="n"/>
      <c r="BU151" s="588" t="n"/>
      <c r="BV151" s="588" t="n"/>
      <c r="BW151" s="588" t="n"/>
      <c r="BX151" s="588" t="n"/>
      <c r="BY151" s="588" t="n"/>
      <c r="BZ151" s="588" t="n"/>
      <c r="CA151" s="588" t="n"/>
      <c r="CB151" s="588" t="n"/>
      <c r="CC151" s="588" t="n"/>
      <c r="CD151" s="588" t="n"/>
      <c r="CE151" s="588" t="n"/>
      <c r="CF151" s="588" t="n"/>
      <c r="CG151" s="588" t="n"/>
      <c r="CH151" s="588" t="n"/>
      <c r="CI151" s="588" t="n"/>
      <c r="CJ151" s="588" t="n"/>
      <c r="CK151" s="588" t="n"/>
      <c r="CL151" s="588" t="n"/>
      <c r="CM151" s="588" t="n"/>
      <c r="CN151" s="588" t="n"/>
      <c r="CO151" s="588" t="n"/>
      <c r="CP151" s="588" t="n"/>
      <c r="CQ151" s="588" t="n"/>
      <c r="CR151" s="588" t="n"/>
      <c r="CS151" s="588" t="n"/>
      <c r="CT151" s="588" t="n"/>
      <c r="CU151" s="588" t="n"/>
      <c r="CV151" s="588" t="n"/>
      <c r="CW151" s="588" t="n"/>
      <c r="CX151" s="588" t="n"/>
      <c r="CY151" s="588" t="n"/>
      <c r="CZ151" s="588" t="n"/>
      <c r="DA151" s="588" t="n"/>
      <c r="DB151" s="588" t="n"/>
      <c r="DC151" s="588" t="n"/>
      <c r="DD151" s="588" t="n"/>
      <c r="DE151" s="588" t="n"/>
      <c r="DF151" s="588" t="n"/>
      <c r="DG151" s="588" t="n"/>
      <c r="DH151" s="588" t="n"/>
      <c r="DI151" s="588" t="n"/>
      <c r="DJ151" s="588" t="n"/>
      <c r="DK151" s="588" t="n"/>
      <c r="DL151" s="588" t="n"/>
      <c r="DM151" s="588" t="n"/>
      <c r="DN151" s="588" t="n"/>
      <c r="DO151" s="588" t="n"/>
      <c r="DP151" s="588" t="n"/>
      <c r="DQ151" s="588" t="n"/>
      <c r="DR151" s="588" t="n"/>
      <c r="DS151" s="588" t="n"/>
      <c r="DT151" s="588" t="n"/>
      <c r="DU151" s="588" t="n"/>
    </row>
    <row r="152" outlineLevel="1" ht="14.4" customHeight="1" s="450">
      <c r="A152" s="590" t="n"/>
      <c r="B152" s="701" t="inlineStr">
        <is>
          <t>Pozo a Tierra</t>
        </is>
      </c>
      <c r="C152" s="702" t="n">
        <v>0.788</v>
      </c>
      <c r="D152" s="703" t="n">
        <v>2.5</v>
      </c>
      <c r="E152" s="151" t="n">
        <v>0.25</v>
      </c>
      <c r="F152" s="704">
        <f>(C152*D152)*1.25</f>
        <v/>
      </c>
      <c r="G152" s="705" t="n"/>
      <c r="H152" s="149" t="n"/>
      <c r="I152" s="149">
        <f>F152*G152</f>
        <v/>
      </c>
      <c r="J152" s="602" t="n"/>
      <c r="K152" s="602" t="n"/>
      <c r="L152" s="602" t="n"/>
      <c r="M152" s="602" t="n"/>
      <c r="N152" s="602" t="n"/>
      <c r="O152" s="602" t="n"/>
      <c r="P152" s="602" t="n"/>
      <c r="Q152" s="602" t="n"/>
      <c r="R152" s="602" t="n"/>
      <c r="S152" s="602" t="n"/>
      <c r="T152" s="602" t="n"/>
      <c r="U152" s="588" t="n"/>
      <c r="V152" s="588" t="n"/>
      <c r="W152" s="588" t="n"/>
      <c r="X152" s="588" t="n"/>
      <c r="Y152" s="122" t="inlineStr">
        <is>
          <t>CINTA AZUL</t>
        </is>
      </c>
      <c r="Z152" s="122" t="inlineStr">
        <is>
          <t>Rollo 01  &lt;&gt; 5 a 6 tubos 6"</t>
        </is>
      </c>
      <c r="AA152" s="125" t="n"/>
      <c r="AB152" s="588" t="n"/>
      <c r="AC152" s="588" t="n"/>
      <c r="AD152" s="588" t="n"/>
      <c r="AE152" s="588" t="n"/>
      <c r="AF152" s="588" t="n"/>
      <c r="AG152" s="588" t="n"/>
      <c r="AH152" s="588" t="n"/>
      <c r="AI152" s="588" t="n"/>
      <c r="AJ152" s="588" t="n"/>
      <c r="AK152" s="588" t="n"/>
      <c r="AL152" s="588" t="n"/>
      <c r="AM152" s="588" t="n"/>
      <c r="AN152" s="588" t="n"/>
      <c r="AO152" s="588" t="n"/>
      <c r="AP152" s="588" t="n"/>
      <c r="AQ152" s="588" t="n"/>
      <c r="AR152" s="588" t="n"/>
      <c r="AS152" s="588" t="n"/>
      <c r="AT152" s="588" t="n"/>
      <c r="AU152" s="588" t="n"/>
      <c r="AV152" s="588" t="n"/>
      <c r="AW152" s="588" t="n"/>
      <c r="AX152" s="588" t="n"/>
      <c r="AY152" s="588" t="n"/>
      <c r="AZ152" s="588" t="n"/>
      <c r="BA152" s="588" t="n"/>
      <c r="BB152" s="588" t="n"/>
      <c r="BC152" s="588" t="n"/>
      <c r="BD152" s="588" t="n"/>
      <c r="BE152" s="588" t="n"/>
      <c r="BF152" s="588" t="n"/>
      <c r="BG152" s="588" t="n"/>
      <c r="BH152" s="588" t="n"/>
      <c r="BI152" s="588" t="n"/>
      <c r="BJ152" s="588" t="n"/>
      <c r="BK152" s="588" t="n"/>
      <c r="BL152" s="588" t="n"/>
      <c r="BM152" s="588" t="n"/>
      <c r="BN152" s="588" t="n"/>
      <c r="BO152" s="588" t="n"/>
      <c r="BP152" s="588" t="n"/>
      <c r="BQ152" s="588" t="n"/>
      <c r="BR152" s="588" t="n"/>
      <c r="BS152" s="588" t="n"/>
      <c r="BT152" s="588" t="n"/>
      <c r="BU152" s="588" t="n"/>
      <c r="BV152" s="588" t="n"/>
      <c r="BW152" s="588" t="n"/>
      <c r="BX152" s="588" t="n"/>
      <c r="BY152" s="588" t="n"/>
      <c r="BZ152" s="588" t="n"/>
      <c r="CA152" s="588" t="n"/>
      <c r="CB152" s="588" t="n"/>
      <c r="CC152" s="588" t="n"/>
      <c r="CD152" s="588" t="n"/>
      <c r="CE152" s="588" t="n"/>
      <c r="CF152" s="588" t="n"/>
      <c r="CG152" s="588" t="n"/>
      <c r="CH152" s="588" t="n"/>
      <c r="CI152" s="588" t="n"/>
      <c r="CJ152" s="588" t="n"/>
      <c r="CK152" s="588" t="n"/>
      <c r="CL152" s="588" t="n"/>
      <c r="CM152" s="588" t="n"/>
      <c r="CN152" s="588" t="n"/>
      <c r="CO152" s="588" t="n"/>
      <c r="CP152" s="588" t="n"/>
      <c r="CQ152" s="588" t="n"/>
      <c r="CR152" s="588" t="n"/>
      <c r="CS152" s="588" t="n"/>
      <c r="CT152" s="588" t="n"/>
      <c r="CU152" s="588" t="n"/>
      <c r="CV152" s="588" t="n"/>
      <c r="CW152" s="588" t="n"/>
      <c r="CX152" s="588" t="n"/>
      <c r="CY152" s="588" t="n"/>
      <c r="CZ152" s="588" t="n"/>
      <c r="DA152" s="588" t="n"/>
      <c r="DB152" s="588" t="n"/>
      <c r="DC152" s="588" t="n"/>
      <c r="DD152" s="588" t="n"/>
      <c r="DE152" s="588" t="n"/>
      <c r="DF152" s="588" t="n"/>
      <c r="DG152" s="588" t="n"/>
      <c r="DH152" s="588" t="n"/>
      <c r="DI152" s="588" t="n"/>
      <c r="DJ152" s="588" t="n"/>
      <c r="DK152" s="588" t="n"/>
      <c r="DL152" s="588" t="n"/>
      <c r="DM152" s="588" t="n"/>
      <c r="DN152" s="588" t="n"/>
      <c r="DO152" s="588" t="n"/>
      <c r="DP152" s="588" t="n"/>
      <c r="DQ152" s="588" t="n"/>
      <c r="DR152" s="588" t="n"/>
      <c r="DS152" s="588" t="n"/>
      <c r="DT152" s="588" t="n"/>
      <c r="DU152" s="588" t="n"/>
    </row>
    <row r="153" outlineLevel="1" ht="14.4" customHeight="1" s="450">
      <c r="A153" s="590" t="n"/>
      <c r="B153" s="701" t="inlineStr">
        <is>
          <t>Base Tab. TAM3</t>
        </is>
      </c>
      <c r="C153" s="702" t="n">
        <v>0.62</v>
      </c>
      <c r="D153" s="703" t="n">
        <v>0.85</v>
      </c>
      <c r="E153" s="151" t="n">
        <v>0.25</v>
      </c>
      <c r="F153" s="704">
        <f>(C153*D153)*1.25</f>
        <v/>
      </c>
      <c r="G153" s="705" t="n"/>
      <c r="H153" s="149" t="n"/>
      <c r="I153" s="149">
        <f>F153*G153</f>
        <v/>
      </c>
      <c r="J153" s="602" t="n"/>
      <c r="K153" s="602" t="n"/>
      <c r="L153" s="602" t="n"/>
      <c r="M153" s="602" t="n"/>
      <c r="N153" s="602" t="n"/>
      <c r="O153" s="602" t="n"/>
      <c r="P153" s="602" t="n"/>
      <c r="Q153" s="602" t="n"/>
      <c r="R153" s="602" t="n"/>
      <c r="S153" s="602" t="n"/>
      <c r="T153" s="602" t="n"/>
      <c r="U153" s="588" t="n"/>
      <c r="V153" s="588" t="n"/>
      <c r="W153" s="588" t="n"/>
      <c r="X153" s="588" t="n"/>
      <c r="Y153" s="122" t="n"/>
      <c r="Z153" s="122" t="inlineStr">
        <is>
          <t>Rollo 01  &lt;&gt; 7 a 8 tubos 4"</t>
        </is>
      </c>
      <c r="AA153" s="125" t="n"/>
      <c r="AB153" s="588" t="n"/>
      <c r="AC153" s="588" t="n"/>
      <c r="AD153" s="588" t="n"/>
      <c r="AE153" s="588" t="n"/>
      <c r="AF153" s="588" t="n"/>
      <c r="AG153" s="588" t="n"/>
      <c r="AH153" s="588" t="n"/>
      <c r="AI153" s="588" t="n"/>
      <c r="AJ153" s="588" t="n"/>
      <c r="AK153" s="588" t="n"/>
      <c r="AL153" s="588" t="n"/>
      <c r="AM153" s="588" t="n"/>
      <c r="AN153" s="588" t="n"/>
      <c r="AO153" s="588" t="n"/>
      <c r="AP153" s="588" t="n"/>
      <c r="AQ153" s="588" t="n"/>
      <c r="AR153" s="588" t="n"/>
      <c r="AS153" s="588" t="n"/>
      <c r="AT153" s="588" t="n"/>
      <c r="AU153" s="588" t="n"/>
      <c r="AV153" s="588" t="n"/>
      <c r="AW153" s="588" t="n"/>
      <c r="AX153" s="588" t="n"/>
      <c r="AY153" s="588" t="n"/>
      <c r="AZ153" s="588" t="n"/>
      <c r="BA153" s="588" t="n"/>
      <c r="BB153" s="588" t="n"/>
      <c r="BC153" s="588" t="n"/>
      <c r="BD153" s="588" t="n"/>
      <c r="BE153" s="588" t="n"/>
      <c r="BF153" s="588" t="n"/>
      <c r="BG153" s="588" t="n"/>
      <c r="BH153" s="588" t="n"/>
      <c r="BI153" s="588" t="n"/>
      <c r="BJ153" s="588" t="n"/>
      <c r="BK153" s="588" t="n"/>
      <c r="BL153" s="588" t="n"/>
      <c r="BM153" s="588" t="n"/>
      <c r="BN153" s="588" t="n"/>
      <c r="BO153" s="588" t="n"/>
      <c r="BP153" s="588" t="n"/>
      <c r="BQ153" s="588" t="n"/>
      <c r="BR153" s="588" t="n"/>
      <c r="BS153" s="588" t="n"/>
      <c r="BT153" s="588" t="n"/>
      <c r="BU153" s="588" t="n"/>
      <c r="BV153" s="588" t="n"/>
      <c r="BW153" s="588" t="n"/>
      <c r="BX153" s="588" t="n"/>
      <c r="BY153" s="588" t="n"/>
      <c r="BZ153" s="588" t="n"/>
      <c r="CA153" s="588" t="n"/>
      <c r="CB153" s="588" t="n"/>
      <c r="CC153" s="588" t="n"/>
      <c r="CD153" s="588" t="n"/>
      <c r="CE153" s="588" t="n"/>
      <c r="CF153" s="588" t="n"/>
      <c r="CG153" s="588" t="n"/>
      <c r="CH153" s="588" t="n"/>
      <c r="CI153" s="588" t="n"/>
      <c r="CJ153" s="588" t="n"/>
      <c r="CK153" s="588" t="n"/>
      <c r="CL153" s="588" t="n"/>
      <c r="CM153" s="588" t="n"/>
      <c r="CN153" s="588" t="n"/>
      <c r="CO153" s="588" t="n"/>
      <c r="CP153" s="588" t="n"/>
      <c r="CQ153" s="588" t="n"/>
      <c r="CR153" s="588" t="n"/>
      <c r="CS153" s="588" t="n"/>
      <c r="CT153" s="588" t="n"/>
      <c r="CU153" s="588" t="n"/>
      <c r="CV153" s="588" t="n"/>
      <c r="CW153" s="588" t="n"/>
      <c r="CX153" s="588" t="n"/>
      <c r="CY153" s="588" t="n"/>
      <c r="CZ153" s="588" t="n"/>
      <c r="DA153" s="588" t="n"/>
      <c r="DB153" s="588" t="n"/>
      <c r="DC153" s="588" t="n"/>
      <c r="DD153" s="588" t="n"/>
      <c r="DE153" s="588" t="n"/>
      <c r="DF153" s="588" t="n"/>
      <c r="DG153" s="588" t="n"/>
      <c r="DH153" s="588" t="n"/>
      <c r="DI153" s="588" t="n"/>
      <c r="DJ153" s="588" t="n"/>
      <c r="DK153" s="588" t="n"/>
      <c r="DL153" s="588" t="n"/>
      <c r="DM153" s="588" t="n"/>
      <c r="DN153" s="588" t="n"/>
      <c r="DO153" s="588" t="n"/>
      <c r="DP153" s="588" t="n"/>
      <c r="DQ153" s="588" t="n"/>
      <c r="DR153" s="588" t="n"/>
      <c r="DS153" s="588" t="n"/>
      <c r="DT153" s="588" t="n"/>
      <c r="DU153" s="588" t="n"/>
    </row>
    <row r="154" outlineLevel="1" ht="13.2" customHeight="1" s="450">
      <c r="A154" s="590" t="n"/>
      <c r="B154" s="701" t="inlineStr">
        <is>
          <t>Base Tab. TAM4</t>
        </is>
      </c>
      <c r="C154" s="702" t="n">
        <v>0.77</v>
      </c>
      <c r="D154" s="703" t="n">
        <v>0.85</v>
      </c>
      <c r="E154" s="151" t="n">
        <v>0.25</v>
      </c>
      <c r="F154" s="704">
        <f>(C154*D154)*1.25</f>
        <v/>
      </c>
      <c r="G154" s="705" t="n"/>
      <c r="H154" s="149" t="n"/>
      <c r="I154" s="149">
        <f>F154*G154</f>
        <v/>
      </c>
      <c r="J154" s="602" t="n"/>
      <c r="K154" s="602" t="n"/>
      <c r="L154" s="602" t="n"/>
      <c r="M154" s="602" t="n"/>
      <c r="N154" s="602" t="n"/>
      <c r="O154" s="602" t="n"/>
      <c r="P154" s="602" t="n"/>
      <c r="Q154" s="602" t="n"/>
      <c r="R154" s="602" t="n"/>
      <c r="S154" s="602" t="n"/>
      <c r="T154" s="602" t="n"/>
      <c r="U154" s="588" t="n"/>
      <c r="V154" s="588" t="n"/>
      <c r="W154" s="588" t="n"/>
      <c r="X154" s="588" t="n"/>
      <c r="Z154" s="588" t="n"/>
      <c r="AA154" s="588" t="n"/>
      <c r="AB154" s="588" t="n"/>
      <c r="AC154" s="588" t="n"/>
      <c r="AD154" s="588" t="n"/>
      <c r="AE154" s="588" t="n"/>
      <c r="AF154" s="588" t="n"/>
      <c r="AG154" s="588" t="n"/>
      <c r="AH154" s="588" t="n"/>
      <c r="AI154" s="588" t="n"/>
      <c r="AJ154" s="588" t="n"/>
      <c r="AK154" s="588" t="n"/>
      <c r="AL154" s="588" t="n"/>
      <c r="AM154" s="588" t="n"/>
      <c r="AN154" s="588" t="n"/>
      <c r="AO154" s="588" t="n"/>
      <c r="AP154" s="588" t="n"/>
      <c r="AQ154" s="588" t="n"/>
      <c r="AR154" s="588" t="n"/>
      <c r="AS154" s="588" t="n"/>
      <c r="AT154" s="588" t="n"/>
      <c r="AU154" s="588" t="n"/>
      <c r="AV154" s="588" t="n"/>
      <c r="AW154" s="588" t="n"/>
      <c r="AX154" s="588" t="n"/>
      <c r="AY154" s="588" t="n"/>
      <c r="AZ154" s="588" t="n"/>
      <c r="BA154" s="588" t="n"/>
      <c r="BB154" s="588" t="n"/>
      <c r="BC154" s="588" t="n"/>
      <c r="BD154" s="588" t="n"/>
      <c r="BE154" s="588" t="n"/>
      <c r="BF154" s="588" t="n"/>
      <c r="BG154" s="588" t="n"/>
      <c r="BH154" s="588" t="n"/>
      <c r="BI154" s="588" t="n"/>
      <c r="BJ154" s="588" t="n"/>
      <c r="BK154" s="588" t="n"/>
      <c r="BL154" s="588" t="n"/>
      <c r="BM154" s="588" t="n"/>
      <c r="BN154" s="588" t="n"/>
      <c r="BO154" s="588" t="n"/>
      <c r="BP154" s="588" t="n"/>
      <c r="BQ154" s="588" t="n"/>
      <c r="BR154" s="588" t="n"/>
      <c r="BS154" s="588" t="n"/>
      <c r="BT154" s="588" t="n"/>
      <c r="BU154" s="588" t="n"/>
      <c r="BV154" s="588" t="n"/>
      <c r="BW154" s="588" t="n"/>
      <c r="BX154" s="588" t="n"/>
      <c r="BY154" s="588" t="n"/>
      <c r="BZ154" s="588" t="n"/>
      <c r="CA154" s="588" t="n"/>
      <c r="CB154" s="588" t="n"/>
      <c r="CC154" s="588" t="n"/>
      <c r="CD154" s="588" t="n"/>
      <c r="CE154" s="588" t="n"/>
      <c r="CF154" s="588" t="n"/>
      <c r="CG154" s="588" t="n"/>
      <c r="CH154" s="588" t="n"/>
      <c r="CI154" s="588" t="n"/>
      <c r="CJ154" s="588" t="n"/>
      <c r="CK154" s="588" t="n"/>
      <c r="CL154" s="588" t="n"/>
      <c r="CM154" s="588" t="n"/>
      <c r="CN154" s="588" t="n"/>
      <c r="CO154" s="588" t="n"/>
      <c r="CP154" s="588" t="n"/>
      <c r="CQ154" s="588" t="n"/>
      <c r="CR154" s="588" t="n"/>
      <c r="CS154" s="588" t="n"/>
      <c r="CT154" s="588" t="n"/>
      <c r="CU154" s="588" t="n"/>
      <c r="CV154" s="588" t="n"/>
      <c r="CW154" s="588" t="n"/>
      <c r="CX154" s="588" t="n"/>
      <c r="CY154" s="588" t="n"/>
      <c r="CZ154" s="588" t="n"/>
      <c r="DA154" s="588" t="n"/>
      <c r="DB154" s="588" t="n"/>
      <c r="DC154" s="588" t="n"/>
      <c r="DD154" s="588" t="n"/>
      <c r="DE154" s="588" t="n"/>
      <c r="DF154" s="588" t="n"/>
      <c r="DG154" s="588" t="n"/>
      <c r="DH154" s="588" t="n"/>
      <c r="DI154" s="588" t="n"/>
      <c r="DJ154" s="588" t="n"/>
      <c r="DK154" s="588" t="n"/>
      <c r="DL154" s="588" t="n"/>
      <c r="DM154" s="588" t="n"/>
      <c r="DN154" s="588" t="n"/>
      <c r="DO154" s="588" t="n"/>
      <c r="DP154" s="588" t="n"/>
      <c r="DQ154" s="588" t="n"/>
      <c r="DR154" s="588" t="n"/>
      <c r="DS154" s="588" t="n"/>
      <c r="DT154" s="588" t="n"/>
      <c r="DU154" s="588" t="n"/>
    </row>
    <row r="155" outlineLevel="1" ht="13.2" customHeight="1" s="450">
      <c r="A155" s="590" t="n"/>
      <c r="B155" s="701" t="inlineStr">
        <is>
          <t>Poste 8m (BT) (enterrado)</t>
        </is>
      </c>
      <c r="C155" s="706" t="n">
        <v>0.062</v>
      </c>
      <c r="D155" s="703" t="n">
        <v>1.47</v>
      </c>
      <c r="E155" s="151" t="n">
        <v>0.25</v>
      </c>
      <c r="F155" s="704">
        <f>(C155*D155)*1.25</f>
        <v/>
      </c>
      <c r="G155" s="705" t="n"/>
      <c r="H155" s="149" t="n"/>
      <c r="I155" s="149">
        <f>F155*G155</f>
        <v/>
      </c>
      <c r="J155" s="602" t="n"/>
      <c r="K155" s="602" t="n"/>
      <c r="L155" s="602" t="n"/>
      <c r="M155" s="602" t="n"/>
      <c r="N155" s="602" t="n"/>
      <c r="O155" s="602" t="n"/>
      <c r="P155" s="602" t="n"/>
      <c r="Q155" s="602" t="n"/>
      <c r="R155" s="602" t="n"/>
      <c r="S155" s="602" t="n"/>
      <c r="T155" s="602" t="n"/>
      <c r="U155" s="588" t="n"/>
      <c r="V155" s="588" t="n"/>
      <c r="W155" s="588" t="n"/>
      <c r="X155" s="588" t="n"/>
      <c r="Z155" s="588" t="n"/>
      <c r="AA155" s="588" t="n"/>
      <c r="AB155" s="588" t="n"/>
      <c r="AC155" s="588" t="n"/>
      <c r="AD155" s="588" t="n"/>
      <c r="AE155" s="588" t="n"/>
      <c r="AF155" s="588" t="n"/>
      <c r="AG155" s="588" t="n"/>
      <c r="AH155" s="588" t="n"/>
      <c r="AI155" s="588" t="n"/>
      <c r="AJ155" s="588" t="n"/>
      <c r="AK155" s="588" t="n"/>
      <c r="AL155" s="588" t="n"/>
      <c r="AM155" s="588" t="n"/>
      <c r="AN155" s="588" t="n"/>
      <c r="AO155" s="588" t="n"/>
      <c r="AP155" s="588" t="n"/>
      <c r="AQ155" s="588" t="n"/>
      <c r="AR155" s="588" t="n"/>
      <c r="AS155" s="588" t="n"/>
      <c r="AT155" s="588" t="n"/>
      <c r="AU155" s="588" t="n"/>
      <c r="AV155" s="588" t="n"/>
      <c r="AW155" s="588" t="n"/>
      <c r="AX155" s="588" t="n"/>
      <c r="AY155" s="588" t="n"/>
      <c r="AZ155" s="588" t="n"/>
      <c r="BA155" s="588" t="n"/>
      <c r="BB155" s="588" t="n"/>
      <c r="BC155" s="588" t="n"/>
      <c r="BD155" s="588" t="n"/>
      <c r="BE155" s="588" t="n"/>
      <c r="BF155" s="588" t="n"/>
      <c r="BG155" s="588" t="n"/>
      <c r="BH155" s="588" t="n"/>
      <c r="BI155" s="588" t="n"/>
      <c r="BJ155" s="588" t="n"/>
      <c r="BK155" s="588" t="n"/>
      <c r="BL155" s="588" t="n"/>
      <c r="BM155" s="588" t="n"/>
      <c r="BN155" s="588" t="n"/>
      <c r="BO155" s="588" t="n"/>
      <c r="BP155" s="588" t="n"/>
      <c r="BQ155" s="588" t="n"/>
      <c r="BR155" s="588" t="n"/>
      <c r="BS155" s="588" t="n"/>
      <c r="BT155" s="588" t="n"/>
      <c r="BU155" s="588" t="n"/>
      <c r="BV155" s="588" t="n"/>
      <c r="BW155" s="588" t="n"/>
      <c r="BX155" s="588" t="n"/>
      <c r="BY155" s="588" t="n"/>
      <c r="BZ155" s="588" t="n"/>
      <c r="CA155" s="588" t="n"/>
      <c r="CB155" s="588" t="n"/>
      <c r="CC155" s="588" t="n"/>
      <c r="CD155" s="588" t="n"/>
      <c r="CE155" s="588" t="n"/>
      <c r="CF155" s="588" t="n"/>
      <c r="CG155" s="588" t="n"/>
      <c r="CH155" s="588" t="n"/>
      <c r="CI155" s="588" t="n"/>
      <c r="CJ155" s="588" t="n"/>
      <c r="CK155" s="588" t="n"/>
      <c r="CL155" s="588" t="n"/>
      <c r="CM155" s="588" t="n"/>
      <c r="CN155" s="588" t="n"/>
      <c r="CO155" s="588" t="n"/>
      <c r="CP155" s="588" t="n"/>
      <c r="CQ155" s="588" t="n"/>
      <c r="CR155" s="588" t="n"/>
      <c r="CS155" s="588" t="n"/>
      <c r="CT155" s="588" t="n"/>
      <c r="CU155" s="588" t="n"/>
      <c r="CV155" s="588" t="n"/>
      <c r="CW155" s="588" t="n"/>
      <c r="CX155" s="588" t="n"/>
      <c r="CY155" s="588" t="n"/>
      <c r="CZ155" s="588" t="n"/>
      <c r="DA155" s="588" t="n"/>
      <c r="DB155" s="588" t="n"/>
      <c r="DC155" s="588" t="n"/>
      <c r="DD155" s="588" t="n"/>
      <c r="DE155" s="588" t="n"/>
      <c r="DF155" s="588" t="n"/>
      <c r="DG155" s="588" t="n"/>
      <c r="DH155" s="588" t="n"/>
      <c r="DI155" s="588" t="n"/>
      <c r="DJ155" s="588" t="n"/>
      <c r="DK155" s="588" t="n"/>
      <c r="DL155" s="588" t="n"/>
      <c r="DM155" s="588" t="n"/>
      <c r="DN155" s="588" t="n"/>
      <c r="DO155" s="588" t="n"/>
      <c r="DP155" s="588" t="n"/>
      <c r="DQ155" s="588" t="n"/>
      <c r="DR155" s="588" t="n"/>
      <c r="DS155" s="588" t="n"/>
      <c r="DT155" s="588" t="n"/>
      <c r="DU155" s="588" t="n"/>
    </row>
    <row r="156" outlineLevel="1" ht="13.2" customHeight="1" s="450">
      <c r="A156" s="590" t="n"/>
      <c r="B156" s="701" t="inlineStr">
        <is>
          <t>Poste 10m (BT) (enterrado)</t>
        </is>
      </c>
      <c r="C156" s="706" t="n">
        <v>0.07099999999999999</v>
      </c>
      <c r="D156" s="703" t="n">
        <v>1.6</v>
      </c>
      <c r="E156" s="151" t="n">
        <v>0.25</v>
      </c>
      <c r="F156" s="704">
        <f>(C156*D156)*1.25</f>
        <v/>
      </c>
      <c r="G156" s="705" t="n"/>
      <c r="H156" s="149" t="n"/>
      <c r="I156" s="149">
        <f>F156*G156</f>
        <v/>
      </c>
      <c r="J156" s="602" t="n"/>
      <c r="K156" s="602" t="n"/>
      <c r="L156" s="602" t="n"/>
      <c r="M156" s="602" t="n"/>
      <c r="N156" s="602" t="n"/>
      <c r="O156" s="602" t="n"/>
      <c r="P156" s="602" t="n"/>
      <c r="Q156" s="602" t="n"/>
      <c r="R156" s="602" t="n"/>
      <c r="S156" s="602" t="n"/>
      <c r="T156" s="602" t="n"/>
      <c r="U156" s="588" t="n"/>
      <c r="V156" s="588" t="n"/>
      <c r="W156" s="588" t="n"/>
      <c r="X156" s="588" t="n"/>
      <c r="Z156" s="588" t="n"/>
      <c r="AA156" s="588" t="n"/>
      <c r="AB156" s="588" t="n"/>
      <c r="AC156" s="588" t="n"/>
      <c r="AD156" s="588" t="n"/>
      <c r="AE156" s="588" t="n"/>
      <c r="AF156" s="588" t="n"/>
      <c r="AG156" s="588" t="n"/>
      <c r="AH156" s="588" t="n"/>
      <c r="AI156" s="588" t="n"/>
      <c r="AJ156" s="588" t="n"/>
      <c r="AK156" s="588" t="n"/>
      <c r="AL156" s="588" t="n"/>
      <c r="AM156" s="588" t="n"/>
      <c r="AN156" s="588" t="n"/>
      <c r="AO156" s="588" t="n"/>
      <c r="AP156" s="588" t="n"/>
      <c r="AQ156" s="588" t="n"/>
      <c r="AR156" s="588" t="n"/>
      <c r="AS156" s="588" t="n"/>
      <c r="AT156" s="588" t="n"/>
      <c r="AU156" s="588" t="n"/>
      <c r="AV156" s="588" t="n"/>
      <c r="AW156" s="588" t="n"/>
      <c r="AX156" s="588" t="n"/>
      <c r="AY156" s="588" t="n"/>
      <c r="AZ156" s="588" t="n"/>
      <c r="BA156" s="588" t="n"/>
      <c r="BB156" s="588" t="n"/>
      <c r="BC156" s="588" t="n"/>
      <c r="BD156" s="588" t="n"/>
      <c r="BE156" s="588" t="n"/>
      <c r="BF156" s="588" t="n"/>
      <c r="BG156" s="588" t="n"/>
      <c r="BH156" s="588" t="n"/>
      <c r="BI156" s="588" t="n"/>
      <c r="BJ156" s="588" t="n"/>
      <c r="BK156" s="588" t="n"/>
      <c r="BL156" s="588" t="n"/>
      <c r="BM156" s="588" t="n"/>
      <c r="BN156" s="588" t="n"/>
      <c r="BO156" s="588" t="n"/>
      <c r="BP156" s="588" t="n"/>
      <c r="BQ156" s="588" t="n"/>
      <c r="BR156" s="588" t="n"/>
      <c r="BS156" s="588" t="n"/>
      <c r="BT156" s="588" t="n"/>
      <c r="BU156" s="588" t="n"/>
      <c r="BV156" s="588" t="n"/>
      <c r="BW156" s="588" t="n"/>
      <c r="BX156" s="588" t="n"/>
      <c r="BY156" s="588" t="n"/>
      <c r="BZ156" s="588" t="n"/>
      <c r="CA156" s="588" t="n"/>
      <c r="CB156" s="588" t="n"/>
      <c r="CC156" s="588" t="n"/>
      <c r="CD156" s="588" t="n"/>
      <c r="CE156" s="588" t="n"/>
      <c r="CF156" s="588" t="n"/>
      <c r="CG156" s="588" t="n"/>
      <c r="CH156" s="588" t="n"/>
      <c r="CI156" s="588" t="n"/>
      <c r="CJ156" s="588" t="n"/>
      <c r="CK156" s="588" t="n"/>
      <c r="CL156" s="588" t="n"/>
      <c r="CM156" s="588" t="n"/>
      <c r="CN156" s="588" t="n"/>
      <c r="CO156" s="588" t="n"/>
      <c r="CP156" s="588" t="n"/>
      <c r="CQ156" s="588" t="n"/>
      <c r="CR156" s="588" t="n"/>
      <c r="CS156" s="588" t="n"/>
      <c r="CT156" s="588" t="n"/>
      <c r="CU156" s="588" t="n"/>
      <c r="CV156" s="588" t="n"/>
      <c r="CW156" s="588" t="n"/>
      <c r="CX156" s="588" t="n"/>
      <c r="CY156" s="588" t="n"/>
      <c r="CZ156" s="588" t="n"/>
      <c r="DA156" s="588" t="n"/>
      <c r="DB156" s="588" t="n"/>
      <c r="DC156" s="588" t="n"/>
      <c r="DD156" s="588" t="n"/>
      <c r="DE156" s="588" t="n"/>
      <c r="DF156" s="588" t="n"/>
      <c r="DG156" s="588" t="n"/>
      <c r="DH156" s="588" t="n"/>
      <c r="DI156" s="588" t="n"/>
      <c r="DJ156" s="588" t="n"/>
      <c r="DK156" s="588" t="n"/>
      <c r="DL156" s="588" t="n"/>
      <c r="DM156" s="588" t="n"/>
      <c r="DN156" s="588" t="n"/>
      <c r="DO156" s="588" t="n"/>
      <c r="DP156" s="588" t="n"/>
      <c r="DQ156" s="588" t="n"/>
      <c r="DR156" s="588" t="n"/>
      <c r="DS156" s="588" t="n"/>
      <c r="DT156" s="588" t="n"/>
      <c r="DU156" s="588" t="n"/>
    </row>
    <row r="157" outlineLevel="1" ht="13.2" customHeight="1" s="450">
      <c r="A157" s="590" t="n"/>
      <c r="B157" s="701" t="inlineStr">
        <is>
          <t>Poste 11m (BT) (enterrado)</t>
        </is>
      </c>
      <c r="C157" s="706" t="n">
        <v>0.08</v>
      </c>
      <c r="D157" s="703" t="n">
        <v>1.75</v>
      </c>
      <c r="E157" s="151" t="n">
        <v>0.25</v>
      </c>
      <c r="F157" s="704">
        <f>(C157*D157)*1.25</f>
        <v/>
      </c>
      <c r="G157" s="705" t="n"/>
      <c r="H157" s="149" t="n"/>
      <c r="I157" s="149">
        <f>F157*G157</f>
        <v/>
      </c>
      <c r="J157" s="602" t="n"/>
      <c r="K157" s="602" t="n"/>
      <c r="L157" s="602" t="n"/>
      <c r="M157" s="602" t="n"/>
      <c r="N157" s="602" t="n"/>
      <c r="O157" s="602" t="n"/>
      <c r="P157" s="602" t="n"/>
      <c r="Q157" s="602" t="n"/>
      <c r="R157" s="602" t="n"/>
      <c r="S157" s="602" t="n"/>
      <c r="T157" s="602" t="n"/>
      <c r="U157" s="588" t="n"/>
      <c r="V157" s="588" t="n"/>
      <c r="W157" s="588" t="n"/>
      <c r="X157" s="588" t="n"/>
      <c r="Z157" s="588" t="n"/>
      <c r="AA157" s="588" t="n"/>
      <c r="AB157" s="588" t="n"/>
      <c r="AC157" s="588" t="n"/>
      <c r="AD157" s="588" t="n"/>
      <c r="AE157" s="588" t="n"/>
      <c r="AF157" s="588" t="n"/>
      <c r="AG157" s="588" t="n"/>
      <c r="AH157" s="588" t="n"/>
      <c r="AI157" s="588" t="n"/>
      <c r="AJ157" s="588" t="n"/>
      <c r="AK157" s="588" t="n"/>
      <c r="AL157" s="588" t="n"/>
      <c r="AM157" s="588" t="n"/>
      <c r="AN157" s="588" t="n"/>
      <c r="AO157" s="588" t="n"/>
      <c r="AP157" s="588" t="n"/>
      <c r="AQ157" s="588" t="n"/>
      <c r="AR157" s="588" t="n"/>
      <c r="AS157" s="588" t="n"/>
      <c r="AT157" s="588" t="n"/>
      <c r="AU157" s="588" t="n"/>
      <c r="AV157" s="588" t="n"/>
      <c r="AW157" s="588" t="n"/>
      <c r="AX157" s="588" t="n"/>
      <c r="AY157" s="588" t="n"/>
      <c r="AZ157" s="588" t="n"/>
      <c r="BA157" s="588" t="n"/>
      <c r="BB157" s="588" t="n"/>
      <c r="BC157" s="588" t="n"/>
      <c r="BD157" s="588" t="n"/>
      <c r="BE157" s="588" t="n"/>
      <c r="BF157" s="588" t="n"/>
      <c r="BG157" s="588" t="n"/>
      <c r="BH157" s="588" t="n"/>
      <c r="BI157" s="588" t="n"/>
      <c r="BJ157" s="588" t="n"/>
      <c r="BK157" s="588" t="n"/>
      <c r="BL157" s="588" t="n"/>
      <c r="BM157" s="588" t="n"/>
      <c r="BN157" s="588" t="n"/>
      <c r="BO157" s="588" t="n"/>
      <c r="BP157" s="588" t="n"/>
      <c r="BQ157" s="588" t="n"/>
      <c r="BR157" s="588" t="n"/>
      <c r="BS157" s="588" t="n"/>
      <c r="BT157" s="588" t="n"/>
      <c r="BU157" s="588" t="n"/>
      <c r="BV157" s="588" t="n"/>
      <c r="BW157" s="588" t="n"/>
      <c r="BX157" s="588" t="n"/>
      <c r="BY157" s="588" t="n"/>
      <c r="BZ157" s="588" t="n"/>
      <c r="CA157" s="588" t="n"/>
      <c r="CB157" s="588" t="n"/>
      <c r="CC157" s="588" t="n"/>
      <c r="CD157" s="588" t="n"/>
      <c r="CE157" s="588" t="n"/>
      <c r="CF157" s="588" t="n"/>
      <c r="CG157" s="588" t="n"/>
      <c r="CH157" s="588" t="n"/>
      <c r="CI157" s="588" t="n"/>
      <c r="CJ157" s="588" t="n"/>
      <c r="CK157" s="588" t="n"/>
      <c r="CL157" s="588" t="n"/>
      <c r="CM157" s="588" t="n"/>
      <c r="CN157" s="588" t="n"/>
      <c r="CO157" s="588" t="n"/>
      <c r="CP157" s="588" t="n"/>
      <c r="CQ157" s="588" t="n"/>
      <c r="CR157" s="588" t="n"/>
      <c r="CS157" s="588" t="n"/>
      <c r="CT157" s="588" t="n"/>
      <c r="CU157" s="588" t="n"/>
      <c r="CV157" s="588" t="n"/>
      <c r="CW157" s="588" t="n"/>
      <c r="CX157" s="588" t="n"/>
      <c r="CY157" s="588" t="n"/>
      <c r="CZ157" s="588" t="n"/>
      <c r="DA157" s="588" t="n"/>
      <c r="DB157" s="588" t="n"/>
      <c r="DC157" s="588" t="n"/>
      <c r="DD157" s="588" t="n"/>
      <c r="DE157" s="588" t="n"/>
      <c r="DF157" s="588" t="n"/>
      <c r="DG157" s="588" t="n"/>
      <c r="DH157" s="588" t="n"/>
      <c r="DI157" s="588" t="n"/>
      <c r="DJ157" s="588" t="n"/>
      <c r="DK157" s="588" t="n"/>
      <c r="DL157" s="588" t="n"/>
      <c r="DM157" s="588" t="n"/>
      <c r="DN157" s="588" t="n"/>
      <c r="DO157" s="588" t="n"/>
      <c r="DP157" s="588" t="n"/>
      <c r="DQ157" s="588" t="n"/>
      <c r="DR157" s="588" t="n"/>
      <c r="DS157" s="588" t="n"/>
      <c r="DT157" s="588" t="n"/>
      <c r="DU157" s="588" t="n"/>
    </row>
    <row r="158" outlineLevel="1" ht="13.2" customHeight="1" s="450">
      <c r="A158" s="590" t="n"/>
      <c r="B158" s="701" t="inlineStr">
        <is>
          <t>Poste 8m (BT) (cim.)</t>
        </is>
      </c>
      <c r="C158" s="710">
        <f>(0.4*0.4*3.14)</f>
        <v/>
      </c>
      <c r="D158" s="703" t="n">
        <v>0.87</v>
      </c>
      <c r="E158" s="151" t="n">
        <v>0.25</v>
      </c>
      <c r="F158" s="704">
        <f>(C158*D158)*1.25</f>
        <v/>
      </c>
      <c r="G158" s="705" t="n"/>
      <c r="H158" s="149" t="n"/>
      <c r="I158" s="149">
        <f>F158*G158</f>
        <v/>
      </c>
      <c r="J158" s="602" t="n"/>
      <c r="K158" s="602" t="n"/>
      <c r="L158" s="602" t="n"/>
      <c r="M158" s="602" t="n"/>
      <c r="N158" s="602" t="n"/>
      <c r="O158" s="602" t="n"/>
      <c r="P158" s="602" t="n"/>
      <c r="Q158" s="602" t="n"/>
      <c r="R158" s="602" t="n"/>
      <c r="S158" s="602" t="n"/>
      <c r="T158" s="602" t="n"/>
      <c r="U158" s="588" t="n"/>
      <c r="V158" s="588" t="n"/>
      <c r="W158" s="588" t="n"/>
      <c r="X158" s="588" t="n"/>
      <c r="Z158" s="588" t="n"/>
      <c r="AA158" s="588" t="n"/>
      <c r="AB158" s="588" t="n"/>
      <c r="AC158" s="588" t="n"/>
      <c r="AD158" s="588" t="n"/>
      <c r="AE158" s="588" t="n"/>
      <c r="AF158" s="588" t="n"/>
      <c r="AG158" s="588" t="n"/>
      <c r="AH158" s="588" t="n"/>
      <c r="AI158" s="588" t="n"/>
      <c r="AJ158" s="588" t="n"/>
      <c r="AK158" s="588" t="n"/>
      <c r="AL158" s="588" t="n"/>
      <c r="AM158" s="588" t="n"/>
      <c r="AN158" s="588" t="n"/>
      <c r="AO158" s="588" t="n"/>
      <c r="AP158" s="588" t="n"/>
      <c r="AQ158" s="588" t="n"/>
      <c r="AR158" s="588" t="n"/>
      <c r="AS158" s="588" t="n"/>
      <c r="AT158" s="588" t="n"/>
      <c r="AU158" s="588" t="n"/>
      <c r="AV158" s="588" t="n"/>
      <c r="AW158" s="588" t="n"/>
      <c r="AX158" s="588" t="n"/>
      <c r="AY158" s="588" t="n"/>
      <c r="AZ158" s="588" t="n"/>
      <c r="BA158" s="588" t="n"/>
      <c r="BB158" s="588" t="n"/>
      <c r="BC158" s="588" t="n"/>
      <c r="BD158" s="588" t="n"/>
      <c r="BE158" s="588" t="n"/>
      <c r="BF158" s="588" t="n"/>
      <c r="BG158" s="588" t="n"/>
      <c r="BH158" s="588" t="n"/>
      <c r="BI158" s="588" t="n"/>
      <c r="BJ158" s="588" t="n"/>
      <c r="BK158" s="588" t="n"/>
      <c r="BL158" s="588" t="n"/>
      <c r="BM158" s="588" t="n"/>
      <c r="BN158" s="588" t="n"/>
      <c r="BO158" s="588" t="n"/>
      <c r="BP158" s="588" t="n"/>
      <c r="BQ158" s="588" t="n"/>
      <c r="BR158" s="588" t="n"/>
      <c r="BS158" s="588" t="n"/>
      <c r="BT158" s="588" t="n"/>
      <c r="BU158" s="588" t="n"/>
      <c r="BV158" s="588" t="n"/>
      <c r="BW158" s="588" t="n"/>
      <c r="BX158" s="588" t="n"/>
      <c r="BY158" s="588" t="n"/>
      <c r="BZ158" s="588" t="n"/>
      <c r="CA158" s="588" t="n"/>
      <c r="CB158" s="588" t="n"/>
      <c r="CC158" s="588" t="n"/>
      <c r="CD158" s="588" t="n"/>
      <c r="CE158" s="588" t="n"/>
      <c r="CF158" s="588" t="n"/>
      <c r="CG158" s="588" t="n"/>
      <c r="CH158" s="588" t="n"/>
      <c r="CI158" s="588" t="n"/>
      <c r="CJ158" s="588" t="n"/>
      <c r="CK158" s="588" t="n"/>
      <c r="CL158" s="588" t="n"/>
      <c r="CM158" s="588" t="n"/>
      <c r="CN158" s="588" t="n"/>
      <c r="CO158" s="588" t="n"/>
      <c r="CP158" s="588" t="n"/>
      <c r="CQ158" s="588" t="n"/>
      <c r="CR158" s="588" t="n"/>
      <c r="CS158" s="588" t="n"/>
      <c r="CT158" s="588" t="n"/>
      <c r="CU158" s="588" t="n"/>
      <c r="CV158" s="588" t="n"/>
      <c r="CW158" s="588" t="n"/>
      <c r="CX158" s="588" t="n"/>
      <c r="CY158" s="588" t="n"/>
      <c r="CZ158" s="588" t="n"/>
      <c r="DA158" s="588" t="n"/>
      <c r="DB158" s="588" t="n"/>
      <c r="DC158" s="588" t="n"/>
      <c r="DD158" s="588" t="n"/>
      <c r="DE158" s="588" t="n"/>
      <c r="DF158" s="588" t="n"/>
      <c r="DG158" s="588" t="n"/>
      <c r="DH158" s="588" t="n"/>
      <c r="DI158" s="588" t="n"/>
      <c r="DJ158" s="588" t="n"/>
      <c r="DK158" s="588" t="n"/>
      <c r="DL158" s="588" t="n"/>
      <c r="DM158" s="588" t="n"/>
      <c r="DN158" s="588" t="n"/>
      <c r="DO158" s="588" t="n"/>
      <c r="DP158" s="588" t="n"/>
      <c r="DQ158" s="588" t="n"/>
      <c r="DR158" s="588" t="n"/>
      <c r="DS158" s="588" t="n"/>
      <c r="DT158" s="588" t="n"/>
      <c r="DU158" s="588" t="n"/>
    </row>
    <row r="159" outlineLevel="1" ht="13.2" customHeight="1" s="450">
      <c r="A159" s="590" t="n"/>
      <c r="B159" s="701" t="inlineStr">
        <is>
          <t>Poste 10m (Cim.)</t>
        </is>
      </c>
      <c r="C159" s="710">
        <f>((0.5*0.5*3.1416))</f>
        <v/>
      </c>
      <c r="D159" s="703">
        <f>10*0.1</f>
        <v/>
      </c>
      <c r="E159" s="151" t="n">
        <v>0.25</v>
      </c>
      <c r="F159" s="704">
        <f>(C159*D159)*1.25</f>
        <v/>
      </c>
      <c r="G159" s="705" t="n"/>
      <c r="H159" s="149" t="n"/>
      <c r="I159" s="149">
        <f>F159*G159</f>
        <v/>
      </c>
      <c r="J159" s="602" t="n"/>
      <c r="K159" s="602" t="n"/>
      <c r="L159" s="602" t="n"/>
      <c r="M159" s="602" t="n"/>
      <c r="N159" s="602" t="n"/>
      <c r="O159" s="602" t="n"/>
      <c r="P159" s="602" t="n"/>
      <c r="Q159" s="602" t="n"/>
      <c r="R159" s="602" t="n"/>
      <c r="S159" s="602" t="n"/>
      <c r="T159" s="602" t="n"/>
      <c r="U159" s="588" t="n"/>
      <c r="V159" s="588" t="n"/>
      <c r="W159" s="588" t="n"/>
      <c r="X159" s="588" t="n"/>
      <c r="Z159" s="588" t="n"/>
      <c r="AA159" s="588" t="n"/>
      <c r="AB159" s="588" t="n"/>
      <c r="AC159" s="588" t="n"/>
      <c r="AD159" s="588" t="n"/>
      <c r="AE159" s="588" t="n"/>
      <c r="AF159" s="588" t="n"/>
      <c r="AG159" s="588" t="n"/>
      <c r="AH159" s="588" t="n"/>
      <c r="AI159" s="588" t="n"/>
      <c r="AJ159" s="588" t="n"/>
      <c r="AK159" s="588" t="n"/>
      <c r="AL159" s="588" t="n"/>
      <c r="AM159" s="588" t="n"/>
      <c r="AN159" s="588" t="n"/>
      <c r="AO159" s="588" t="n"/>
      <c r="AP159" s="588" t="n"/>
      <c r="AQ159" s="588" t="n"/>
      <c r="AR159" s="588" t="n"/>
      <c r="AS159" s="588" t="n"/>
      <c r="AT159" s="588" t="n"/>
      <c r="AU159" s="588" t="n"/>
      <c r="AV159" s="588" t="n"/>
      <c r="AW159" s="588" t="n"/>
      <c r="AX159" s="588" t="n"/>
      <c r="AY159" s="588" t="n"/>
      <c r="AZ159" s="588" t="n"/>
      <c r="BA159" s="588" t="n"/>
      <c r="BB159" s="588" t="n"/>
      <c r="BC159" s="588" t="n"/>
      <c r="BD159" s="588" t="n"/>
      <c r="BE159" s="588" t="n"/>
      <c r="BF159" s="588" t="n"/>
      <c r="BG159" s="588" t="n"/>
      <c r="BH159" s="588" t="n"/>
      <c r="BI159" s="588" t="n"/>
      <c r="BJ159" s="588" t="n"/>
      <c r="BK159" s="588" t="n"/>
      <c r="BL159" s="588" t="n"/>
      <c r="BM159" s="588" t="n"/>
      <c r="BN159" s="588" t="n"/>
      <c r="BO159" s="588" t="n"/>
      <c r="BP159" s="588" t="n"/>
      <c r="BQ159" s="588" t="n"/>
      <c r="BR159" s="588" t="n"/>
      <c r="BS159" s="588" t="n"/>
      <c r="BT159" s="588" t="n"/>
      <c r="BU159" s="588" t="n"/>
      <c r="BV159" s="588" t="n"/>
      <c r="BW159" s="588" t="n"/>
      <c r="BX159" s="588" t="n"/>
      <c r="BY159" s="588" t="n"/>
      <c r="BZ159" s="588" t="n"/>
      <c r="CA159" s="588" t="n"/>
      <c r="CB159" s="588" t="n"/>
      <c r="CC159" s="588" t="n"/>
      <c r="CD159" s="588" t="n"/>
      <c r="CE159" s="588" t="n"/>
      <c r="CF159" s="588" t="n"/>
      <c r="CG159" s="588" t="n"/>
      <c r="CH159" s="588" t="n"/>
      <c r="CI159" s="588" t="n"/>
      <c r="CJ159" s="588" t="n"/>
      <c r="CK159" s="588" t="n"/>
      <c r="CL159" s="588" t="n"/>
      <c r="CM159" s="588" t="n"/>
      <c r="CN159" s="588" t="n"/>
      <c r="CO159" s="588" t="n"/>
      <c r="CP159" s="588" t="n"/>
      <c r="CQ159" s="588" t="n"/>
      <c r="CR159" s="588" t="n"/>
      <c r="CS159" s="588" t="n"/>
      <c r="CT159" s="588" t="n"/>
      <c r="CU159" s="588" t="n"/>
      <c r="CV159" s="588" t="n"/>
      <c r="CW159" s="588" t="n"/>
      <c r="CX159" s="588" t="n"/>
      <c r="CY159" s="588" t="n"/>
      <c r="CZ159" s="588" t="n"/>
      <c r="DA159" s="588" t="n"/>
      <c r="DB159" s="588" t="n"/>
      <c r="DC159" s="588" t="n"/>
      <c r="DD159" s="588" t="n"/>
      <c r="DE159" s="588" t="n"/>
      <c r="DF159" s="588" t="n"/>
      <c r="DG159" s="588" t="n"/>
      <c r="DH159" s="588" t="n"/>
      <c r="DI159" s="588" t="n"/>
      <c r="DJ159" s="588" t="n"/>
      <c r="DK159" s="588" t="n"/>
      <c r="DL159" s="588" t="n"/>
      <c r="DM159" s="588" t="n"/>
      <c r="DN159" s="588" t="n"/>
      <c r="DO159" s="588" t="n"/>
      <c r="DP159" s="588" t="n"/>
      <c r="DQ159" s="588" t="n"/>
      <c r="DR159" s="588" t="n"/>
      <c r="DS159" s="588" t="n"/>
      <c r="DT159" s="588" t="n"/>
      <c r="DU159" s="588" t="n"/>
    </row>
    <row r="160" outlineLevel="1" ht="13.2" customHeight="1" s="450">
      <c r="A160" s="590" t="n"/>
      <c r="B160" s="701" t="inlineStr">
        <is>
          <t>Poste 11m (Cim.)</t>
        </is>
      </c>
      <c r="C160" s="710">
        <f>((0.5*0.5*3.1416))</f>
        <v/>
      </c>
      <c r="D160" s="703">
        <f>11*0.1</f>
        <v/>
      </c>
      <c r="E160" s="151" t="n">
        <v>0.25</v>
      </c>
      <c r="F160" s="704">
        <f>(C160*D160)*1.25</f>
        <v/>
      </c>
      <c r="G160" s="705" t="n"/>
      <c r="H160" s="149" t="n"/>
      <c r="I160" s="149">
        <f>F160*G160</f>
        <v/>
      </c>
      <c r="J160" s="602" t="n"/>
      <c r="K160" s="602" t="n"/>
      <c r="L160" s="602" t="n"/>
      <c r="M160" s="602" t="n"/>
      <c r="N160" s="602" t="n"/>
      <c r="O160" s="602" t="n"/>
      <c r="P160" s="602" t="n"/>
      <c r="Q160" s="602" t="n"/>
      <c r="R160" s="602" t="n"/>
      <c r="S160" s="602" t="n"/>
      <c r="T160" s="602" t="n"/>
      <c r="U160" s="588" t="n"/>
      <c r="V160" s="588" t="n"/>
      <c r="W160" s="588" t="n"/>
      <c r="X160" s="588" t="n"/>
      <c r="Z160" s="588" t="n"/>
      <c r="AA160" s="588" t="n"/>
      <c r="AB160" s="588" t="n"/>
      <c r="AC160" s="588" t="n"/>
      <c r="AD160" s="588" t="n"/>
      <c r="AE160" s="588" t="n"/>
      <c r="AF160" s="588" t="n"/>
      <c r="AG160" s="588" t="n"/>
      <c r="AH160" s="588" t="n"/>
      <c r="AI160" s="588" t="n"/>
      <c r="AJ160" s="588" t="n"/>
      <c r="AK160" s="588" t="n"/>
      <c r="AL160" s="588" t="n"/>
      <c r="AM160" s="588" t="n"/>
      <c r="AN160" s="588" t="n"/>
      <c r="AO160" s="588" t="n"/>
      <c r="AP160" s="588" t="n"/>
      <c r="AQ160" s="588" t="n"/>
      <c r="AR160" s="588" t="n"/>
      <c r="AS160" s="588" t="n"/>
      <c r="AT160" s="588" t="n"/>
      <c r="AU160" s="588" t="n"/>
      <c r="AV160" s="588" t="n"/>
      <c r="AW160" s="588" t="n"/>
      <c r="AX160" s="588" t="n"/>
      <c r="AY160" s="588" t="n"/>
      <c r="AZ160" s="588" t="n"/>
      <c r="BA160" s="588" t="n"/>
      <c r="BB160" s="588" t="n"/>
      <c r="BC160" s="588" t="n"/>
      <c r="BD160" s="588" t="n"/>
      <c r="BE160" s="588" t="n"/>
      <c r="BF160" s="588" t="n"/>
      <c r="BG160" s="588" t="n"/>
      <c r="BH160" s="588" t="n"/>
      <c r="BI160" s="588" t="n"/>
      <c r="BJ160" s="588" t="n"/>
      <c r="BK160" s="588" t="n"/>
      <c r="BL160" s="588" t="n"/>
      <c r="BM160" s="588" t="n"/>
      <c r="BN160" s="588" t="n"/>
      <c r="BO160" s="588" t="n"/>
      <c r="BP160" s="588" t="n"/>
      <c r="BQ160" s="588" t="n"/>
      <c r="BR160" s="588" t="n"/>
      <c r="BS160" s="588" t="n"/>
      <c r="BT160" s="588" t="n"/>
      <c r="BU160" s="588" t="n"/>
      <c r="BV160" s="588" t="n"/>
      <c r="BW160" s="588" t="n"/>
      <c r="BX160" s="588" t="n"/>
      <c r="BY160" s="588" t="n"/>
      <c r="BZ160" s="588" t="n"/>
      <c r="CA160" s="588" t="n"/>
      <c r="CB160" s="588" t="n"/>
      <c r="CC160" s="588" t="n"/>
      <c r="CD160" s="588" t="n"/>
      <c r="CE160" s="588" t="n"/>
      <c r="CF160" s="588" t="n"/>
      <c r="CG160" s="588" t="n"/>
      <c r="CH160" s="588" t="n"/>
      <c r="CI160" s="588" t="n"/>
      <c r="CJ160" s="588" t="n"/>
      <c r="CK160" s="588" t="n"/>
      <c r="CL160" s="588" t="n"/>
      <c r="CM160" s="588" t="n"/>
      <c r="CN160" s="588" t="n"/>
      <c r="CO160" s="588" t="n"/>
      <c r="CP160" s="588" t="n"/>
      <c r="CQ160" s="588" t="n"/>
      <c r="CR160" s="588" t="n"/>
      <c r="CS160" s="588" t="n"/>
      <c r="CT160" s="588" t="n"/>
      <c r="CU160" s="588" t="n"/>
      <c r="CV160" s="588" t="n"/>
      <c r="CW160" s="588" t="n"/>
      <c r="CX160" s="588" t="n"/>
      <c r="CY160" s="588" t="n"/>
      <c r="CZ160" s="588" t="n"/>
      <c r="DA160" s="588" t="n"/>
      <c r="DB160" s="588" t="n"/>
      <c r="DC160" s="588" t="n"/>
      <c r="DD160" s="588" t="n"/>
      <c r="DE160" s="588" t="n"/>
      <c r="DF160" s="588" t="n"/>
      <c r="DG160" s="588" t="n"/>
      <c r="DH160" s="588" t="n"/>
      <c r="DI160" s="588" t="n"/>
      <c r="DJ160" s="588" t="n"/>
      <c r="DK160" s="588" t="n"/>
      <c r="DL160" s="588" t="n"/>
      <c r="DM160" s="588" t="n"/>
      <c r="DN160" s="588" t="n"/>
      <c r="DO160" s="588" t="n"/>
      <c r="DP160" s="588" t="n"/>
      <c r="DQ160" s="588" t="n"/>
      <c r="DR160" s="588" t="n"/>
      <c r="DS160" s="588" t="n"/>
      <c r="DT160" s="588" t="n"/>
      <c r="DU160" s="588" t="n"/>
    </row>
    <row r="161" outlineLevel="1" ht="13.2" customHeight="1" s="450">
      <c r="A161" s="590" t="n"/>
      <c r="B161" s="701" t="inlineStr">
        <is>
          <t>Poste 13m (Cim.)</t>
        </is>
      </c>
      <c r="C161" s="710">
        <f>((0.5*0.5*3.1416))</f>
        <v/>
      </c>
      <c r="D161" s="703">
        <f>13*0.1</f>
        <v/>
      </c>
      <c r="E161" s="151" t="n">
        <v>0.25</v>
      </c>
      <c r="F161" s="704">
        <f>(C161*D161)*1.25</f>
        <v/>
      </c>
      <c r="G161" s="705" t="n"/>
      <c r="H161" s="149" t="n"/>
      <c r="I161" s="149">
        <f>F161*G161</f>
        <v/>
      </c>
      <c r="J161" s="602" t="n"/>
      <c r="K161" s="602" t="n"/>
      <c r="L161" s="602" t="n"/>
      <c r="M161" s="602" t="n"/>
      <c r="N161" s="602" t="n"/>
      <c r="O161" s="602" t="n"/>
      <c r="P161" s="602" t="n"/>
      <c r="Q161" s="602" t="n"/>
      <c r="R161" s="602" t="n"/>
      <c r="S161" s="602" t="n"/>
      <c r="T161" s="602" t="n"/>
      <c r="U161" s="588" t="n"/>
      <c r="V161" s="588" t="n"/>
      <c r="W161" s="588" t="n"/>
      <c r="X161" s="588" t="n"/>
      <c r="Z161" s="588" t="n"/>
      <c r="AA161" s="588" t="n"/>
      <c r="AB161" s="588" t="n"/>
      <c r="AC161" s="588" t="n"/>
      <c r="AD161" s="588" t="n"/>
      <c r="AE161" s="588" t="n"/>
      <c r="AF161" s="588" t="n"/>
      <c r="AG161" s="588" t="n"/>
      <c r="AH161" s="588" t="n"/>
      <c r="AI161" s="588" t="n"/>
      <c r="AJ161" s="588" t="n"/>
      <c r="AK161" s="588" t="n"/>
      <c r="AL161" s="588" t="n"/>
      <c r="AM161" s="588" t="n"/>
      <c r="AN161" s="588" t="n"/>
      <c r="AO161" s="588" t="n"/>
      <c r="AP161" s="588" t="n"/>
      <c r="AQ161" s="588" t="n"/>
      <c r="AR161" s="588" t="n"/>
      <c r="AS161" s="588" t="n"/>
      <c r="AT161" s="588" t="n"/>
      <c r="AU161" s="588" t="n"/>
      <c r="AV161" s="588" t="n"/>
      <c r="AW161" s="588" t="n"/>
      <c r="AX161" s="588" t="n"/>
      <c r="AY161" s="588" t="n"/>
      <c r="AZ161" s="588" t="n"/>
      <c r="BA161" s="588" t="n"/>
      <c r="BB161" s="588" t="n"/>
      <c r="BC161" s="588" t="n"/>
      <c r="BD161" s="588" t="n"/>
      <c r="BE161" s="588" t="n"/>
      <c r="BF161" s="588" t="n"/>
      <c r="BG161" s="588" t="n"/>
      <c r="BH161" s="588" t="n"/>
      <c r="BI161" s="588" t="n"/>
      <c r="BJ161" s="588" t="n"/>
      <c r="BK161" s="588" t="n"/>
      <c r="BL161" s="588" t="n"/>
      <c r="BM161" s="588" t="n"/>
      <c r="BN161" s="588" t="n"/>
      <c r="BO161" s="588" t="n"/>
      <c r="BP161" s="588" t="n"/>
      <c r="BQ161" s="588" t="n"/>
      <c r="BR161" s="588" t="n"/>
      <c r="BS161" s="588" t="n"/>
      <c r="BT161" s="588" t="n"/>
      <c r="BU161" s="588" t="n"/>
      <c r="BV161" s="588" t="n"/>
      <c r="BW161" s="588" t="n"/>
      <c r="BX161" s="588" t="n"/>
      <c r="BY161" s="588" t="n"/>
      <c r="BZ161" s="588" t="n"/>
      <c r="CA161" s="588" t="n"/>
      <c r="CB161" s="588" t="n"/>
      <c r="CC161" s="588" t="n"/>
      <c r="CD161" s="588" t="n"/>
      <c r="CE161" s="588" t="n"/>
      <c r="CF161" s="588" t="n"/>
      <c r="CG161" s="588" t="n"/>
      <c r="CH161" s="588" t="n"/>
      <c r="CI161" s="588" t="n"/>
      <c r="CJ161" s="588" t="n"/>
      <c r="CK161" s="588" t="n"/>
      <c r="CL161" s="588" t="n"/>
      <c r="CM161" s="588" t="n"/>
      <c r="CN161" s="588" t="n"/>
      <c r="CO161" s="588" t="n"/>
      <c r="CP161" s="588" t="n"/>
      <c r="CQ161" s="588" t="n"/>
      <c r="CR161" s="588" t="n"/>
      <c r="CS161" s="588" t="n"/>
      <c r="CT161" s="588" t="n"/>
      <c r="CU161" s="588" t="n"/>
      <c r="CV161" s="588" t="n"/>
      <c r="CW161" s="588" t="n"/>
      <c r="CX161" s="588" t="n"/>
      <c r="CY161" s="588" t="n"/>
      <c r="CZ161" s="588" t="n"/>
      <c r="DA161" s="588" t="n"/>
      <c r="DB161" s="588" t="n"/>
      <c r="DC161" s="588" t="n"/>
      <c r="DD161" s="588" t="n"/>
      <c r="DE161" s="588" t="n"/>
      <c r="DF161" s="588" t="n"/>
      <c r="DG161" s="588" t="n"/>
      <c r="DH161" s="588" t="n"/>
      <c r="DI161" s="588" t="n"/>
      <c r="DJ161" s="588" t="n"/>
      <c r="DK161" s="588" t="n"/>
      <c r="DL161" s="588" t="n"/>
      <c r="DM161" s="588" t="n"/>
      <c r="DN161" s="588" t="n"/>
      <c r="DO161" s="588" t="n"/>
      <c r="DP161" s="588" t="n"/>
      <c r="DQ161" s="588" t="n"/>
      <c r="DR161" s="588" t="n"/>
      <c r="DS161" s="588" t="n"/>
      <c r="DT161" s="588" t="n"/>
      <c r="DU161" s="588" t="n"/>
    </row>
    <row r="162" outlineLevel="1" ht="13.2" customHeight="1" s="450">
      <c r="A162" s="590" t="n"/>
      <c r="B162" s="701" t="inlineStr">
        <is>
          <t>Poste 15m (Cim.)</t>
        </is>
      </c>
      <c r="C162" s="710">
        <f>((0.5*0.5*3.1416))</f>
        <v/>
      </c>
      <c r="D162" s="703">
        <f>15*0.1</f>
        <v/>
      </c>
      <c r="E162" s="151" t="n">
        <v>0.25</v>
      </c>
      <c r="F162" s="704">
        <f>(C162*D162)*1.25</f>
        <v/>
      </c>
      <c r="G162" s="705" t="n"/>
      <c r="H162" s="149" t="n"/>
      <c r="I162" s="149">
        <f>F162*G162</f>
        <v/>
      </c>
      <c r="J162" s="602" t="n"/>
      <c r="K162" s="602" t="n"/>
      <c r="L162" s="602" t="n"/>
      <c r="M162" s="602" t="n"/>
      <c r="N162" s="602" t="n"/>
      <c r="O162" s="602" t="n"/>
      <c r="P162" s="602" t="n"/>
      <c r="Q162" s="602" t="n"/>
      <c r="R162" s="602" t="n"/>
      <c r="S162" s="602" t="n"/>
      <c r="T162" s="602" t="n"/>
      <c r="U162" s="588" t="n"/>
      <c r="V162" s="588" t="n"/>
      <c r="W162" s="588" t="n"/>
      <c r="X162" s="588" t="n"/>
      <c r="Z162" s="588" t="n"/>
      <c r="AA162" s="588" t="n"/>
      <c r="AB162" s="588" t="n"/>
      <c r="AC162" s="588" t="n"/>
      <c r="AD162" s="588" t="n"/>
      <c r="AE162" s="588" t="n"/>
      <c r="AF162" s="588" t="n"/>
      <c r="AG162" s="588" t="n"/>
      <c r="AH162" s="588" t="n"/>
      <c r="AI162" s="588" t="n"/>
      <c r="AJ162" s="588" t="n"/>
      <c r="AK162" s="588" t="n"/>
      <c r="AL162" s="588" t="n"/>
      <c r="AM162" s="588" t="n"/>
      <c r="AN162" s="588" t="n"/>
      <c r="AO162" s="588" t="n"/>
      <c r="AP162" s="588" t="n"/>
      <c r="AQ162" s="588" t="n"/>
      <c r="AR162" s="588" t="n"/>
      <c r="AS162" s="588" t="n"/>
      <c r="AT162" s="588" t="n"/>
      <c r="AU162" s="588" t="n"/>
      <c r="AV162" s="588" t="n"/>
      <c r="AW162" s="588" t="n"/>
      <c r="AX162" s="588" t="n"/>
      <c r="AY162" s="588" t="n"/>
      <c r="AZ162" s="588" t="n"/>
      <c r="BA162" s="588" t="n"/>
      <c r="BB162" s="588" t="n"/>
      <c r="BC162" s="588" t="n"/>
      <c r="BD162" s="588" t="n"/>
      <c r="BE162" s="588" t="n"/>
      <c r="BF162" s="588" t="n"/>
      <c r="BG162" s="588" t="n"/>
      <c r="BH162" s="588" t="n"/>
      <c r="BI162" s="588" t="n"/>
      <c r="BJ162" s="588" t="n"/>
      <c r="BK162" s="588" t="n"/>
      <c r="BL162" s="588" t="n"/>
      <c r="BM162" s="588" t="n"/>
      <c r="BN162" s="588" t="n"/>
      <c r="BO162" s="588" t="n"/>
      <c r="BP162" s="588" t="n"/>
      <c r="BQ162" s="588" t="n"/>
      <c r="BR162" s="588" t="n"/>
      <c r="BS162" s="588" t="n"/>
      <c r="BT162" s="588" t="n"/>
      <c r="BU162" s="588" t="n"/>
      <c r="BV162" s="588" t="n"/>
      <c r="BW162" s="588" t="n"/>
      <c r="BX162" s="588" t="n"/>
      <c r="BY162" s="588" t="n"/>
      <c r="BZ162" s="588" t="n"/>
      <c r="CA162" s="588" t="n"/>
      <c r="CB162" s="588" t="n"/>
      <c r="CC162" s="588" t="n"/>
      <c r="CD162" s="588" t="n"/>
      <c r="CE162" s="588" t="n"/>
      <c r="CF162" s="588" t="n"/>
      <c r="CG162" s="588" t="n"/>
      <c r="CH162" s="588" t="n"/>
      <c r="CI162" s="588" t="n"/>
      <c r="CJ162" s="588" t="n"/>
      <c r="CK162" s="588" t="n"/>
      <c r="CL162" s="588" t="n"/>
      <c r="CM162" s="588" t="n"/>
      <c r="CN162" s="588" t="n"/>
      <c r="CO162" s="588" t="n"/>
      <c r="CP162" s="588" t="n"/>
      <c r="CQ162" s="588" t="n"/>
      <c r="CR162" s="588" t="n"/>
      <c r="CS162" s="588" t="n"/>
      <c r="CT162" s="588" t="n"/>
      <c r="CU162" s="588" t="n"/>
      <c r="CV162" s="588" t="n"/>
      <c r="CW162" s="588" t="n"/>
      <c r="CX162" s="588" t="n"/>
      <c r="CY162" s="588" t="n"/>
      <c r="CZ162" s="588" t="n"/>
      <c r="DA162" s="588" t="n"/>
      <c r="DB162" s="588" t="n"/>
      <c r="DC162" s="588" t="n"/>
      <c r="DD162" s="588" t="n"/>
      <c r="DE162" s="588" t="n"/>
      <c r="DF162" s="588" t="n"/>
      <c r="DG162" s="588" t="n"/>
      <c r="DH162" s="588" t="n"/>
      <c r="DI162" s="588" t="n"/>
      <c r="DJ162" s="588" t="n"/>
      <c r="DK162" s="588" t="n"/>
      <c r="DL162" s="588" t="n"/>
      <c r="DM162" s="588" t="n"/>
      <c r="DN162" s="588" t="n"/>
      <c r="DO162" s="588" t="n"/>
      <c r="DP162" s="588" t="n"/>
      <c r="DQ162" s="588" t="n"/>
      <c r="DR162" s="588" t="n"/>
      <c r="DS162" s="588" t="n"/>
      <c r="DT162" s="588" t="n"/>
      <c r="DU162" s="588" t="n"/>
    </row>
    <row r="163" outlineLevel="1" ht="13.2" customHeight="1" s="450">
      <c r="A163" s="590" t="n"/>
      <c r="B163" s="711" t="inlineStr">
        <is>
          <t>Poste de Fierro 6.40m.(Cim.)</t>
        </is>
      </c>
      <c r="C163" s="712" t="n">
        <v>0.5</v>
      </c>
      <c r="D163" s="713" t="n">
        <v>0.64</v>
      </c>
      <c r="E163" s="151" t="n">
        <v>1.25</v>
      </c>
      <c r="F163" s="704">
        <f>(C163*D163)*1.25</f>
        <v/>
      </c>
      <c r="G163" s="705" t="n"/>
      <c r="H163" s="149" t="n"/>
      <c r="I163" s="149">
        <f>F163*G163</f>
        <v/>
      </c>
      <c r="J163" s="602" t="n"/>
      <c r="K163" s="602" t="n"/>
      <c r="L163" s="602" t="n"/>
      <c r="M163" s="602" t="n"/>
      <c r="N163" s="602" t="n"/>
      <c r="O163" s="602" t="n"/>
      <c r="P163" s="602" t="n"/>
      <c r="Q163" s="602" t="n"/>
      <c r="R163" s="602" t="n"/>
      <c r="S163" s="602" t="n"/>
      <c r="T163" s="602" t="n"/>
      <c r="U163" s="588" t="n"/>
      <c r="V163" s="588" t="n"/>
      <c r="W163" s="588" t="n"/>
      <c r="X163" s="588" t="n"/>
      <c r="Z163" s="588" t="n"/>
      <c r="AA163" s="588" t="n"/>
      <c r="AB163" s="588" t="n"/>
      <c r="AC163" s="588" t="n"/>
      <c r="AD163" s="588" t="n"/>
      <c r="AE163" s="588" t="n"/>
      <c r="AF163" s="588" t="n"/>
      <c r="AG163" s="588" t="n"/>
      <c r="AH163" s="588" t="n"/>
      <c r="AI163" s="588" t="n"/>
      <c r="AJ163" s="588" t="n"/>
      <c r="AK163" s="588" t="n"/>
      <c r="AL163" s="588" t="n"/>
      <c r="AM163" s="588" t="n"/>
      <c r="AN163" s="588" t="n"/>
      <c r="AO163" s="588" t="n"/>
      <c r="AP163" s="588" t="n"/>
      <c r="AQ163" s="588" t="n"/>
      <c r="AR163" s="588" t="n"/>
      <c r="AS163" s="588" t="n"/>
      <c r="AT163" s="588" t="n"/>
      <c r="AU163" s="588" t="n"/>
      <c r="AV163" s="588" t="n"/>
      <c r="AW163" s="588" t="n"/>
      <c r="AX163" s="588" t="n"/>
      <c r="AY163" s="588" t="n"/>
      <c r="AZ163" s="588" t="n"/>
      <c r="BA163" s="588" t="n"/>
      <c r="BB163" s="588" t="n"/>
      <c r="BC163" s="588" t="n"/>
      <c r="BD163" s="588" t="n"/>
      <c r="BE163" s="588" t="n"/>
      <c r="BF163" s="588" t="n"/>
      <c r="BG163" s="588" t="n"/>
      <c r="BH163" s="588" t="n"/>
      <c r="BI163" s="588" t="n"/>
      <c r="BJ163" s="588" t="n"/>
      <c r="BK163" s="588" t="n"/>
      <c r="BL163" s="588" t="n"/>
      <c r="BM163" s="588" t="n"/>
      <c r="BN163" s="588" t="n"/>
      <c r="BO163" s="588" t="n"/>
      <c r="BP163" s="588" t="n"/>
      <c r="BQ163" s="588" t="n"/>
      <c r="BR163" s="588" t="n"/>
      <c r="BS163" s="588" t="n"/>
      <c r="BT163" s="588" t="n"/>
      <c r="BU163" s="588" t="n"/>
      <c r="BV163" s="588" t="n"/>
      <c r="BW163" s="588" t="n"/>
      <c r="BX163" s="588" t="n"/>
      <c r="BY163" s="588" t="n"/>
      <c r="BZ163" s="588" t="n"/>
      <c r="CA163" s="588" t="n"/>
      <c r="CB163" s="588" t="n"/>
      <c r="CC163" s="588" t="n"/>
      <c r="CD163" s="588" t="n"/>
      <c r="CE163" s="588" t="n"/>
      <c r="CF163" s="588" t="n"/>
      <c r="CG163" s="588" t="n"/>
      <c r="CH163" s="588" t="n"/>
      <c r="CI163" s="588" t="n"/>
      <c r="CJ163" s="588" t="n"/>
      <c r="CK163" s="588" t="n"/>
      <c r="CL163" s="588" t="n"/>
      <c r="CM163" s="588" t="n"/>
      <c r="CN163" s="588" t="n"/>
      <c r="CO163" s="588" t="n"/>
      <c r="CP163" s="588" t="n"/>
      <c r="CQ163" s="588" t="n"/>
      <c r="CR163" s="588" t="n"/>
      <c r="CS163" s="588" t="n"/>
      <c r="CT163" s="588" t="n"/>
      <c r="CU163" s="588" t="n"/>
      <c r="CV163" s="588" t="n"/>
      <c r="CW163" s="588" t="n"/>
      <c r="CX163" s="588" t="n"/>
      <c r="CY163" s="588" t="n"/>
      <c r="CZ163" s="588" t="n"/>
      <c r="DA163" s="588" t="n"/>
      <c r="DB163" s="588" t="n"/>
      <c r="DC163" s="588" t="n"/>
      <c r="DD163" s="588" t="n"/>
      <c r="DE163" s="588" t="n"/>
      <c r="DF163" s="588" t="n"/>
      <c r="DG163" s="588" t="n"/>
      <c r="DH163" s="588" t="n"/>
      <c r="DI163" s="588" t="n"/>
      <c r="DJ163" s="588" t="n"/>
      <c r="DK163" s="588" t="n"/>
      <c r="DL163" s="588" t="n"/>
      <c r="DM163" s="588" t="n"/>
      <c r="DN163" s="588" t="n"/>
      <c r="DO163" s="588" t="n"/>
      <c r="DP163" s="588" t="n"/>
      <c r="DQ163" s="588" t="n"/>
      <c r="DR163" s="588" t="n"/>
      <c r="DS163" s="588" t="n"/>
      <c r="DT163" s="588" t="n"/>
      <c r="DU163" s="588" t="n"/>
    </row>
    <row r="164" outlineLevel="1" ht="13.2" customHeight="1" s="450">
      <c r="A164" s="590" t="n"/>
      <c r="B164" s="711" t="inlineStr">
        <is>
          <t>Poste de Fierro 7m.(Cim.)</t>
        </is>
      </c>
      <c r="C164" s="714" t="n">
        <v>0.5</v>
      </c>
      <c r="D164" s="713" t="n">
        <v>0.7</v>
      </c>
      <c r="E164" s="161" t="n">
        <v>1.25</v>
      </c>
      <c r="F164" s="704">
        <f>(C164*D164)*1.25</f>
        <v/>
      </c>
      <c r="G164" s="705" t="n"/>
      <c r="H164" s="149" t="n"/>
      <c r="I164" s="149">
        <f>F164*G164</f>
        <v/>
      </c>
      <c r="J164" s="602" t="n"/>
      <c r="K164" s="602" t="n"/>
      <c r="L164" s="602" t="n"/>
      <c r="M164" s="602" t="n"/>
      <c r="N164" s="602" t="n"/>
      <c r="O164" s="602" t="n"/>
      <c r="P164" s="602" t="n"/>
      <c r="Q164" s="602" t="n"/>
      <c r="R164" s="602" t="n"/>
      <c r="S164" s="602" t="n"/>
      <c r="T164" s="602" t="n"/>
      <c r="U164" s="588" t="n"/>
      <c r="V164" s="588" t="n"/>
      <c r="W164" s="588" t="n"/>
      <c r="X164" s="588" t="n"/>
      <c r="Z164" s="588" t="n"/>
      <c r="AA164" s="588" t="n"/>
      <c r="AB164" s="588" t="n"/>
      <c r="AC164" s="588" t="n"/>
      <c r="AD164" s="588" t="n"/>
      <c r="AE164" s="588" t="n"/>
      <c r="AF164" s="588" t="n"/>
      <c r="AG164" s="588" t="n"/>
      <c r="AH164" s="588" t="n"/>
      <c r="AI164" s="588" t="n"/>
      <c r="AJ164" s="588" t="n"/>
      <c r="AK164" s="588" t="n"/>
      <c r="AL164" s="588" t="n"/>
      <c r="AM164" s="588" t="n"/>
      <c r="AN164" s="588" t="n"/>
      <c r="AO164" s="588" t="n"/>
      <c r="AP164" s="588" t="n"/>
      <c r="AQ164" s="588" t="n"/>
      <c r="AR164" s="588" t="n"/>
      <c r="AS164" s="588" t="n"/>
      <c r="AT164" s="588" t="n"/>
      <c r="AU164" s="588" t="n"/>
      <c r="AV164" s="588" t="n"/>
      <c r="AW164" s="588" t="n"/>
      <c r="AX164" s="588" t="n"/>
      <c r="AY164" s="588" t="n"/>
      <c r="AZ164" s="588" t="n"/>
      <c r="BA164" s="588" t="n"/>
      <c r="BB164" s="588" t="n"/>
      <c r="BC164" s="588" t="n"/>
      <c r="BD164" s="588" t="n"/>
      <c r="BE164" s="588" t="n"/>
      <c r="BF164" s="588" t="n"/>
      <c r="BG164" s="588" t="n"/>
      <c r="BH164" s="588" t="n"/>
      <c r="BI164" s="588" t="n"/>
      <c r="BJ164" s="588" t="n"/>
      <c r="BK164" s="588" t="n"/>
      <c r="BL164" s="588" t="n"/>
      <c r="BM164" s="588" t="n"/>
      <c r="BN164" s="588" t="n"/>
      <c r="BO164" s="588" t="n"/>
      <c r="BP164" s="588" t="n"/>
      <c r="BQ164" s="588" t="n"/>
      <c r="BR164" s="588" t="n"/>
      <c r="BS164" s="588" t="n"/>
      <c r="BT164" s="588" t="n"/>
      <c r="BU164" s="588" t="n"/>
      <c r="BV164" s="588" t="n"/>
      <c r="BW164" s="588" t="n"/>
      <c r="BX164" s="588" t="n"/>
      <c r="BY164" s="588" t="n"/>
      <c r="BZ164" s="588" t="n"/>
      <c r="CA164" s="588" t="n"/>
      <c r="CB164" s="588" t="n"/>
      <c r="CC164" s="588" t="n"/>
      <c r="CD164" s="588" t="n"/>
      <c r="CE164" s="588" t="n"/>
      <c r="CF164" s="588" t="n"/>
      <c r="CG164" s="588" t="n"/>
      <c r="CH164" s="588" t="n"/>
      <c r="CI164" s="588" t="n"/>
      <c r="CJ164" s="588" t="n"/>
      <c r="CK164" s="588" t="n"/>
      <c r="CL164" s="588" t="n"/>
      <c r="CM164" s="588" t="n"/>
      <c r="CN164" s="588" t="n"/>
      <c r="CO164" s="588" t="n"/>
      <c r="CP164" s="588" t="n"/>
      <c r="CQ164" s="588" t="n"/>
      <c r="CR164" s="588" t="n"/>
      <c r="CS164" s="588" t="n"/>
      <c r="CT164" s="588" t="n"/>
      <c r="CU164" s="588" t="n"/>
      <c r="CV164" s="588" t="n"/>
      <c r="CW164" s="588" t="n"/>
      <c r="CX164" s="588" t="n"/>
      <c r="CY164" s="588" t="n"/>
      <c r="CZ164" s="588" t="n"/>
      <c r="DA164" s="588" t="n"/>
      <c r="DB164" s="588" t="n"/>
      <c r="DC164" s="588" t="n"/>
      <c r="DD164" s="588" t="n"/>
      <c r="DE164" s="588" t="n"/>
      <c r="DF164" s="588" t="n"/>
      <c r="DG164" s="588" t="n"/>
      <c r="DH164" s="588" t="n"/>
      <c r="DI164" s="588" t="n"/>
      <c r="DJ164" s="588" t="n"/>
      <c r="DK164" s="588" t="n"/>
      <c r="DL164" s="588" t="n"/>
      <c r="DM164" s="588" t="n"/>
      <c r="DN164" s="588" t="n"/>
      <c r="DO164" s="588" t="n"/>
      <c r="DP164" s="588" t="n"/>
      <c r="DQ164" s="588" t="n"/>
      <c r="DR164" s="588" t="n"/>
      <c r="DS164" s="588" t="n"/>
      <c r="DT164" s="588" t="n"/>
      <c r="DU164" s="588" t="n"/>
    </row>
    <row r="165" outlineLevel="1" ht="13.2" customHeight="1" s="450">
      <c r="A165" s="590" t="n"/>
      <c r="B165" s="701" t="inlineStr">
        <is>
          <t>Afirmado vereda</t>
        </is>
      </c>
      <c r="C165" s="702" t="n">
        <v>1</v>
      </c>
      <c r="D165" s="703" t="n">
        <v>0.2</v>
      </c>
      <c r="E165" s="151" t="n">
        <v>0.25</v>
      </c>
      <c r="F165" s="704">
        <f>(C165*D165)*1.25</f>
        <v/>
      </c>
      <c r="G165" s="705">
        <f>E182</f>
        <v/>
      </c>
      <c r="H165" s="149" t="n"/>
      <c r="I165" s="149">
        <f>F165*G165</f>
        <v/>
      </c>
      <c r="J165" s="602" t="n"/>
      <c r="K165" s="602" t="n"/>
      <c r="L165" s="602" t="n"/>
      <c r="M165" s="602" t="n"/>
      <c r="N165" s="602" t="n"/>
      <c r="O165" s="602" t="n"/>
      <c r="P165" s="602" t="n"/>
      <c r="Q165" s="602" t="n"/>
      <c r="R165" s="602" t="n"/>
      <c r="S165" s="602" t="n"/>
      <c r="T165" s="602" t="n"/>
      <c r="U165" s="588" t="n"/>
      <c r="V165" s="588" t="n"/>
      <c r="W165" s="588" t="n"/>
      <c r="X165" s="588" t="n"/>
      <c r="Z165" s="588" t="n"/>
      <c r="AA165" s="588" t="n"/>
      <c r="AB165" s="588" t="n"/>
      <c r="AC165" s="588" t="n"/>
      <c r="AD165" s="588" t="n"/>
      <c r="AE165" s="588" t="n"/>
      <c r="AF165" s="588" t="n"/>
      <c r="AG165" s="588" t="n"/>
      <c r="AH165" s="588" t="n"/>
      <c r="AI165" s="588" t="n"/>
      <c r="AJ165" s="588" t="n"/>
      <c r="AK165" s="588" t="n"/>
      <c r="AL165" s="588" t="n"/>
      <c r="AM165" s="588" t="n"/>
      <c r="AN165" s="588" t="n"/>
      <c r="AO165" s="588" t="n"/>
      <c r="AP165" s="588" t="n"/>
      <c r="AQ165" s="588" t="n"/>
      <c r="AR165" s="588" t="n"/>
      <c r="AS165" s="588" t="n"/>
      <c r="AT165" s="588" t="n"/>
      <c r="AU165" s="588" t="n"/>
      <c r="AV165" s="588" t="n"/>
      <c r="AW165" s="588" t="n"/>
      <c r="AX165" s="588" t="n"/>
      <c r="AY165" s="588" t="n"/>
      <c r="AZ165" s="588" t="n"/>
      <c r="BA165" s="588" t="n"/>
      <c r="BB165" s="588" t="n"/>
      <c r="BC165" s="588" t="n"/>
      <c r="BD165" s="588" t="n"/>
      <c r="BE165" s="588" t="n"/>
      <c r="BF165" s="588" t="n"/>
      <c r="BG165" s="588" t="n"/>
      <c r="BH165" s="588" t="n"/>
      <c r="BI165" s="588" t="n"/>
      <c r="BJ165" s="588" t="n"/>
      <c r="BK165" s="588" t="n"/>
      <c r="BL165" s="588" t="n"/>
      <c r="BM165" s="588" t="n"/>
      <c r="BN165" s="588" t="n"/>
      <c r="BO165" s="588" t="n"/>
      <c r="BP165" s="588" t="n"/>
      <c r="BQ165" s="588" t="n"/>
      <c r="BR165" s="588" t="n"/>
      <c r="BS165" s="588" t="n"/>
      <c r="BT165" s="588" t="n"/>
      <c r="BU165" s="588" t="n"/>
      <c r="BV165" s="588" t="n"/>
      <c r="BW165" s="588" t="n"/>
      <c r="BX165" s="588" t="n"/>
      <c r="BY165" s="588" t="n"/>
      <c r="BZ165" s="588" t="n"/>
      <c r="CA165" s="588" t="n"/>
      <c r="CB165" s="588" t="n"/>
      <c r="CC165" s="588" t="n"/>
      <c r="CD165" s="588" t="n"/>
      <c r="CE165" s="588" t="n"/>
      <c r="CF165" s="588" t="n"/>
      <c r="CG165" s="588" t="n"/>
      <c r="CH165" s="588" t="n"/>
      <c r="CI165" s="588" t="n"/>
      <c r="CJ165" s="588" t="n"/>
      <c r="CK165" s="588" t="n"/>
      <c r="CL165" s="588" t="n"/>
      <c r="CM165" s="588" t="n"/>
      <c r="CN165" s="588" t="n"/>
      <c r="CO165" s="588" t="n"/>
      <c r="CP165" s="588" t="n"/>
      <c r="CQ165" s="588" t="n"/>
      <c r="CR165" s="588" t="n"/>
      <c r="CS165" s="588" t="n"/>
      <c r="CT165" s="588" t="n"/>
      <c r="CU165" s="588" t="n"/>
      <c r="CV165" s="588" t="n"/>
      <c r="CW165" s="588" t="n"/>
      <c r="CX165" s="588" t="n"/>
      <c r="CY165" s="588" t="n"/>
      <c r="CZ165" s="588" t="n"/>
      <c r="DA165" s="588" t="n"/>
      <c r="DB165" s="588" t="n"/>
      <c r="DC165" s="588" t="n"/>
      <c r="DD165" s="588" t="n"/>
      <c r="DE165" s="588" t="n"/>
      <c r="DF165" s="588" t="n"/>
      <c r="DG165" s="588" t="n"/>
      <c r="DH165" s="588" t="n"/>
      <c r="DI165" s="588" t="n"/>
      <c r="DJ165" s="588" t="n"/>
      <c r="DK165" s="588" t="n"/>
      <c r="DL165" s="588" t="n"/>
      <c r="DM165" s="588" t="n"/>
      <c r="DN165" s="588" t="n"/>
      <c r="DO165" s="588" t="n"/>
      <c r="DP165" s="588" t="n"/>
      <c r="DQ165" s="588" t="n"/>
      <c r="DR165" s="588" t="n"/>
      <c r="DS165" s="588" t="n"/>
      <c r="DT165" s="588" t="n"/>
      <c r="DU165" s="588" t="n"/>
    </row>
    <row r="166" outlineLevel="1" ht="13.2" customHeight="1" s="450">
      <c r="A166" s="590" t="n"/>
      <c r="B166" s="701" t="inlineStr">
        <is>
          <t xml:space="preserve">Riel de proteccion </t>
        </is>
      </c>
      <c r="C166" s="702" t="n">
        <v>0.64</v>
      </c>
      <c r="D166" s="703" t="n">
        <v>1.2</v>
      </c>
      <c r="E166" s="151" t="n">
        <v>0.25</v>
      </c>
      <c r="F166" s="704">
        <f>(C166*D166)*1.25</f>
        <v/>
      </c>
      <c r="G166" s="705" t="n"/>
      <c r="H166" s="149" t="n"/>
      <c r="I166" s="149">
        <f>F166*G166</f>
        <v/>
      </c>
      <c r="J166" s="602" t="n"/>
      <c r="K166" s="602" t="n"/>
      <c r="L166" s="602" t="n"/>
      <c r="M166" s="602" t="n"/>
      <c r="N166" s="602" t="n"/>
      <c r="O166" s="602" t="n"/>
      <c r="P166" s="602" t="n"/>
      <c r="Q166" s="602" t="n"/>
      <c r="R166" s="602" t="n"/>
      <c r="S166" s="602" t="n"/>
      <c r="T166" s="602" t="n"/>
      <c r="U166" s="588" t="n"/>
      <c r="V166" s="588" t="n"/>
      <c r="W166" s="588" t="n"/>
      <c r="X166" s="588" t="n"/>
      <c r="Z166" s="588" t="n"/>
      <c r="AA166" s="588" t="n"/>
      <c r="AB166" s="588" t="n"/>
      <c r="AC166" s="588" t="n"/>
      <c r="AD166" s="588" t="n"/>
      <c r="AE166" s="588" t="n"/>
      <c r="AF166" s="588" t="n"/>
      <c r="AG166" s="588" t="n"/>
      <c r="AH166" s="588" t="n"/>
      <c r="AI166" s="588" t="n"/>
      <c r="AJ166" s="588" t="n"/>
      <c r="AK166" s="588" t="n"/>
      <c r="AL166" s="588" t="n"/>
      <c r="AM166" s="588" t="n"/>
      <c r="AN166" s="588" t="n"/>
      <c r="AO166" s="588" t="n"/>
      <c r="AP166" s="588" t="n"/>
      <c r="AQ166" s="588" t="n"/>
      <c r="AR166" s="588" t="n"/>
      <c r="AS166" s="588" t="n"/>
      <c r="AT166" s="588" t="n"/>
      <c r="AU166" s="588" t="n"/>
      <c r="AV166" s="588" t="n"/>
      <c r="AW166" s="588" t="n"/>
      <c r="AX166" s="588" t="n"/>
      <c r="AY166" s="588" t="n"/>
      <c r="AZ166" s="588" t="n"/>
      <c r="BA166" s="588" t="n"/>
      <c r="BB166" s="588" t="n"/>
      <c r="BC166" s="588" t="n"/>
      <c r="BD166" s="588" t="n"/>
      <c r="BE166" s="588" t="n"/>
      <c r="BF166" s="588" t="n"/>
      <c r="BG166" s="588" t="n"/>
      <c r="BH166" s="588" t="n"/>
      <c r="BI166" s="588" t="n"/>
      <c r="BJ166" s="588" t="n"/>
      <c r="BK166" s="588" t="n"/>
      <c r="BL166" s="588" t="n"/>
      <c r="BM166" s="588" t="n"/>
      <c r="BN166" s="588" t="n"/>
      <c r="BO166" s="588" t="n"/>
      <c r="BP166" s="588" t="n"/>
      <c r="BQ166" s="588" t="n"/>
      <c r="BR166" s="588" t="n"/>
      <c r="BS166" s="588" t="n"/>
      <c r="BT166" s="588" t="n"/>
      <c r="BU166" s="588" t="n"/>
      <c r="BV166" s="588" t="n"/>
      <c r="BW166" s="588" t="n"/>
      <c r="BX166" s="588" t="n"/>
      <c r="BY166" s="588" t="n"/>
      <c r="BZ166" s="588" t="n"/>
      <c r="CA166" s="588" t="n"/>
      <c r="CB166" s="588" t="n"/>
      <c r="CC166" s="588" t="n"/>
      <c r="CD166" s="588" t="n"/>
      <c r="CE166" s="588" t="n"/>
      <c r="CF166" s="588" t="n"/>
      <c r="CG166" s="588" t="n"/>
      <c r="CH166" s="588" t="n"/>
      <c r="CI166" s="588" t="n"/>
      <c r="CJ166" s="588" t="n"/>
      <c r="CK166" s="588" t="n"/>
      <c r="CL166" s="588" t="n"/>
      <c r="CM166" s="588" t="n"/>
      <c r="CN166" s="588" t="n"/>
      <c r="CO166" s="588" t="n"/>
      <c r="CP166" s="588" t="n"/>
      <c r="CQ166" s="588" t="n"/>
      <c r="CR166" s="588" t="n"/>
      <c r="CS166" s="588" t="n"/>
      <c r="CT166" s="588" t="n"/>
      <c r="CU166" s="588" t="n"/>
      <c r="CV166" s="588" t="n"/>
      <c r="CW166" s="588" t="n"/>
      <c r="CX166" s="588" t="n"/>
      <c r="CY166" s="588" t="n"/>
      <c r="CZ166" s="588" t="n"/>
      <c r="DA166" s="588" t="n"/>
      <c r="DB166" s="588" t="n"/>
      <c r="DC166" s="588" t="n"/>
      <c r="DD166" s="588" t="n"/>
      <c r="DE166" s="588" t="n"/>
      <c r="DF166" s="588" t="n"/>
      <c r="DG166" s="588" t="n"/>
      <c r="DH166" s="588" t="n"/>
      <c r="DI166" s="588" t="n"/>
      <c r="DJ166" s="588" t="n"/>
      <c r="DK166" s="588" t="n"/>
      <c r="DL166" s="588" t="n"/>
      <c r="DM166" s="588" t="n"/>
      <c r="DN166" s="588" t="n"/>
      <c r="DO166" s="588" t="n"/>
      <c r="DP166" s="588" t="n"/>
      <c r="DQ166" s="588" t="n"/>
      <c r="DR166" s="588" t="n"/>
      <c r="DS166" s="588" t="n"/>
      <c r="DT166" s="588" t="n"/>
      <c r="DU166" s="588" t="n"/>
    </row>
    <row r="167" outlineLevel="1" ht="13.2" customHeight="1" s="450">
      <c r="A167" s="590" t="n"/>
      <c r="B167" s="711" t="inlineStr">
        <is>
          <t>Boveda de Concreto</t>
        </is>
      </c>
      <c r="C167" s="714" t="n">
        <v>0.12</v>
      </c>
      <c r="D167" s="713" t="n">
        <v>0.25</v>
      </c>
      <c r="E167" s="161" t="n">
        <v>0.25</v>
      </c>
      <c r="F167" s="704">
        <f>(C167*D167)*1.25</f>
        <v/>
      </c>
      <c r="G167" s="715" t="n"/>
      <c r="H167" s="149" t="n"/>
      <c r="I167" s="149">
        <f>F167*G167</f>
        <v/>
      </c>
      <c r="J167" s="602" t="n"/>
      <c r="K167" s="122" t="n"/>
      <c r="L167" s="602" t="n"/>
      <c r="M167" s="602" t="n"/>
      <c r="N167" s="602" t="n"/>
      <c r="O167" s="602" t="n"/>
      <c r="P167" s="602" t="n"/>
      <c r="Q167" s="602" t="n"/>
      <c r="R167" s="602" t="n"/>
      <c r="S167" s="602" t="n"/>
      <c r="T167" s="602" t="n"/>
      <c r="U167" s="588" t="n"/>
      <c r="V167" s="588" t="n"/>
      <c r="W167" s="588" t="n"/>
      <c r="X167" s="588" t="n"/>
      <c r="Z167" s="588" t="n"/>
      <c r="AA167" s="588" t="n"/>
      <c r="AB167" s="588" t="n"/>
      <c r="AC167" s="588" t="n"/>
      <c r="AD167" s="588" t="n"/>
      <c r="AE167" s="588" t="n"/>
      <c r="AF167" s="588" t="n"/>
      <c r="AG167" s="588" t="n"/>
      <c r="AH167" s="588" t="n"/>
      <c r="AI167" s="588" t="n"/>
      <c r="AJ167" s="588" t="n"/>
      <c r="AK167" s="588" t="n"/>
      <c r="AL167" s="588" t="n"/>
      <c r="AM167" s="588" t="n"/>
      <c r="AN167" s="588" t="n"/>
      <c r="AO167" s="588" t="n"/>
      <c r="AP167" s="588" t="n"/>
      <c r="AQ167" s="588" t="n"/>
      <c r="AR167" s="588" t="n"/>
      <c r="AS167" s="588" t="n"/>
      <c r="AT167" s="588" t="n"/>
      <c r="AU167" s="588" t="n"/>
      <c r="AV167" s="588" t="n"/>
      <c r="AW167" s="588" t="n"/>
      <c r="AX167" s="588" t="n"/>
      <c r="AY167" s="588" t="n"/>
      <c r="AZ167" s="588" t="n"/>
      <c r="BA167" s="588" t="n"/>
      <c r="BB167" s="588" t="n"/>
      <c r="BC167" s="588" t="n"/>
      <c r="BD167" s="588" t="n"/>
      <c r="BE167" s="588" t="n"/>
      <c r="BF167" s="588" t="n"/>
      <c r="BG167" s="588" t="n"/>
      <c r="BH167" s="588" t="n"/>
      <c r="BI167" s="588" t="n"/>
      <c r="BJ167" s="588" t="n"/>
      <c r="BK167" s="588" t="n"/>
      <c r="BL167" s="588" t="n"/>
      <c r="BM167" s="588" t="n"/>
      <c r="BN167" s="588" t="n"/>
      <c r="BO167" s="588" t="n"/>
      <c r="BP167" s="588" t="n"/>
      <c r="BQ167" s="588" t="n"/>
      <c r="BR167" s="588" t="n"/>
      <c r="BS167" s="588" t="n"/>
      <c r="BT167" s="588" t="n"/>
      <c r="BU167" s="588" t="n"/>
      <c r="BV167" s="588" t="n"/>
      <c r="BW167" s="588" t="n"/>
      <c r="BX167" s="588" t="n"/>
      <c r="BY167" s="588" t="n"/>
      <c r="BZ167" s="588" t="n"/>
      <c r="CA167" s="588" t="n"/>
      <c r="CB167" s="588" t="n"/>
      <c r="CC167" s="588" t="n"/>
      <c r="CD167" s="588" t="n"/>
      <c r="CE167" s="588" t="n"/>
      <c r="CF167" s="588" t="n"/>
      <c r="CG167" s="588" t="n"/>
      <c r="CH167" s="588" t="n"/>
      <c r="CI167" s="588" t="n"/>
      <c r="CJ167" s="588" t="n"/>
      <c r="CK167" s="588" t="n"/>
      <c r="CL167" s="588" t="n"/>
      <c r="CM167" s="588" t="n"/>
      <c r="CN167" s="588" t="n"/>
      <c r="CO167" s="588" t="n"/>
      <c r="CP167" s="588" t="n"/>
      <c r="CQ167" s="588" t="n"/>
      <c r="CR167" s="588" t="n"/>
      <c r="CS167" s="588" t="n"/>
      <c r="CT167" s="588" t="n"/>
      <c r="CU167" s="588" t="n"/>
      <c r="CV167" s="588" t="n"/>
      <c r="CW167" s="588" t="n"/>
      <c r="CX167" s="588" t="n"/>
      <c r="CY167" s="588" t="n"/>
      <c r="CZ167" s="588" t="n"/>
      <c r="DA167" s="588" t="n"/>
      <c r="DB167" s="588" t="n"/>
      <c r="DC167" s="588" t="n"/>
      <c r="DD167" s="588" t="n"/>
      <c r="DE167" s="588" t="n"/>
      <c r="DF167" s="588" t="n"/>
      <c r="DG167" s="588" t="n"/>
      <c r="DH167" s="588" t="n"/>
      <c r="DI167" s="588" t="n"/>
      <c r="DJ167" s="588" t="n"/>
      <c r="DK167" s="588" t="n"/>
      <c r="DL167" s="588" t="n"/>
      <c r="DM167" s="588" t="n"/>
      <c r="DN167" s="588" t="n"/>
      <c r="DO167" s="588" t="n"/>
      <c r="DP167" s="588" t="n"/>
      <c r="DQ167" s="588" t="n"/>
      <c r="DR167" s="588" t="n"/>
      <c r="DS167" s="588" t="n"/>
      <c r="DT167" s="588" t="n"/>
      <c r="DU167" s="588" t="n"/>
    </row>
    <row r="168" outlineLevel="1" ht="13.8" customHeight="1" s="450" thickBot="1">
      <c r="A168" s="590" t="n"/>
      <c r="B168" s="711" t="inlineStr">
        <is>
          <t>Pozo atierra horizontal</t>
        </is>
      </c>
      <c r="C168" s="714">
        <f>0.5*3</f>
        <v/>
      </c>
      <c r="D168" s="713" t="n">
        <v>0.5</v>
      </c>
      <c r="E168" s="161" t="n">
        <v>0.25</v>
      </c>
      <c r="F168" s="716">
        <f>(C168*D168)*1.25</f>
        <v/>
      </c>
      <c r="G168" s="715" t="n"/>
      <c r="H168" s="164" t="n"/>
      <c r="I168" s="164">
        <f>F168*G168</f>
        <v/>
      </c>
      <c r="J168" s="602" t="n"/>
      <c r="K168" s="602" t="n"/>
      <c r="L168" s="602" t="n"/>
      <c r="M168" s="602" t="n"/>
      <c r="N168" s="602" t="n"/>
      <c r="O168" s="602" t="n"/>
      <c r="P168" s="602" t="n"/>
      <c r="Q168" s="602" t="n"/>
      <c r="R168" s="602" t="n"/>
      <c r="S168" s="602" t="n"/>
      <c r="T168" s="602" t="n"/>
      <c r="U168" s="588" t="n"/>
      <c r="V168" s="588" t="n"/>
      <c r="W168" s="588" t="n"/>
      <c r="X168" s="588" t="n"/>
      <c r="Z168" s="588" t="n"/>
      <c r="AA168" s="588" t="n"/>
      <c r="AB168" s="588" t="n"/>
      <c r="AC168" s="588" t="n"/>
      <c r="AD168" s="588" t="n"/>
      <c r="AE168" s="588" t="n"/>
      <c r="AF168" s="588" t="n"/>
      <c r="AG168" s="588" t="n"/>
      <c r="AH168" s="588" t="n"/>
      <c r="AI168" s="588" t="n"/>
      <c r="AJ168" s="588" t="n"/>
      <c r="AK168" s="588" t="n"/>
      <c r="AL168" s="588" t="n"/>
      <c r="AM168" s="588" t="n"/>
      <c r="AN168" s="588" t="n"/>
      <c r="AO168" s="588" t="n"/>
      <c r="AP168" s="588" t="n"/>
      <c r="AQ168" s="588" t="n"/>
      <c r="AR168" s="588" t="n"/>
      <c r="AS168" s="588" t="n"/>
      <c r="AT168" s="588" t="n"/>
      <c r="AU168" s="588" t="n"/>
      <c r="AV168" s="588" t="n"/>
      <c r="AW168" s="588" t="n"/>
      <c r="AX168" s="588" t="n"/>
      <c r="AY168" s="588" t="n"/>
      <c r="AZ168" s="588" t="n"/>
      <c r="BA168" s="588" t="n"/>
      <c r="BB168" s="588" t="n"/>
      <c r="BC168" s="588" t="n"/>
      <c r="BD168" s="588" t="n"/>
      <c r="BE168" s="588" t="n"/>
      <c r="BF168" s="588" t="n"/>
      <c r="BG168" s="588" t="n"/>
      <c r="BH168" s="588" t="n"/>
      <c r="BI168" s="588" t="n"/>
      <c r="BJ168" s="588" t="n"/>
      <c r="BK168" s="588" t="n"/>
      <c r="BL168" s="588" t="n"/>
      <c r="BM168" s="588" t="n"/>
      <c r="BN168" s="588" t="n"/>
      <c r="BO168" s="588" t="n"/>
      <c r="BP168" s="588" t="n"/>
      <c r="BQ168" s="588" t="n"/>
      <c r="BR168" s="588" t="n"/>
      <c r="BS168" s="588" t="n"/>
      <c r="BT168" s="588" t="n"/>
      <c r="BU168" s="588" t="n"/>
      <c r="BV168" s="588" t="n"/>
      <c r="BW168" s="588" t="n"/>
      <c r="BX168" s="588" t="n"/>
      <c r="BY168" s="588" t="n"/>
      <c r="BZ168" s="588" t="n"/>
      <c r="CA168" s="588" t="n"/>
      <c r="CB168" s="588" t="n"/>
      <c r="CC168" s="588" t="n"/>
      <c r="CD168" s="588" t="n"/>
      <c r="CE168" s="588" t="n"/>
      <c r="CF168" s="588" t="n"/>
      <c r="CG168" s="588" t="n"/>
      <c r="CH168" s="588" t="n"/>
      <c r="CI168" s="588" t="n"/>
      <c r="CJ168" s="588" t="n"/>
      <c r="CK168" s="588" t="n"/>
      <c r="CL168" s="588" t="n"/>
      <c r="CM168" s="588" t="n"/>
      <c r="CN168" s="588" t="n"/>
      <c r="CO168" s="588" t="n"/>
      <c r="CP168" s="588" t="n"/>
      <c r="CQ168" s="588" t="n"/>
      <c r="CR168" s="588" t="n"/>
      <c r="CS168" s="588" t="n"/>
      <c r="CT168" s="588" t="n"/>
      <c r="CU168" s="588" t="n"/>
      <c r="CV168" s="588" t="n"/>
      <c r="CW168" s="588" t="n"/>
      <c r="CX168" s="588" t="n"/>
      <c r="CY168" s="588" t="n"/>
      <c r="CZ168" s="588" t="n"/>
      <c r="DA168" s="588" t="n"/>
      <c r="DB168" s="588" t="n"/>
      <c r="DC168" s="588" t="n"/>
      <c r="DD168" s="588" t="n"/>
      <c r="DE168" s="588" t="n"/>
      <c r="DF168" s="588" t="n"/>
      <c r="DG168" s="588" t="n"/>
      <c r="DH168" s="588" t="n"/>
      <c r="DI168" s="588" t="n"/>
      <c r="DJ168" s="588" t="n"/>
      <c r="DK168" s="588" t="n"/>
      <c r="DL168" s="588" t="n"/>
      <c r="DM168" s="588" t="n"/>
      <c r="DN168" s="588" t="n"/>
      <c r="DO168" s="588" t="n"/>
      <c r="DP168" s="588" t="n"/>
      <c r="DQ168" s="588" t="n"/>
      <c r="DR168" s="588" t="n"/>
      <c r="DS168" s="588" t="n"/>
      <c r="DT168" s="588" t="n"/>
      <c r="DU168" s="588" t="n"/>
    </row>
    <row r="169" ht="13.8" customHeight="1" s="450" thickBot="1">
      <c r="A169" s="590" t="n"/>
      <c r="B169" s="717" t="n"/>
      <c r="C169" s="718" t="n"/>
      <c r="D169" s="718" t="n"/>
      <c r="E169" s="718" t="n"/>
      <c r="F169" s="718" t="n"/>
      <c r="G169" s="719" t="inlineStr">
        <is>
          <t>TOTAL</t>
        </is>
      </c>
      <c r="H169" s="720">
        <f>SUM(H141:H168)</f>
        <v/>
      </c>
      <c r="I169" s="139">
        <f>SUM(I140:I168)</f>
        <v/>
      </c>
      <c r="J169" s="602" t="n"/>
      <c r="K169" s="602" t="n"/>
      <c r="L169" s="602" t="n"/>
      <c r="M169" s="602" t="n"/>
      <c r="N169" s="602" t="n"/>
      <c r="O169" s="602" t="n"/>
      <c r="P169" s="602" t="n"/>
      <c r="Q169" s="602" t="n"/>
      <c r="R169" s="602" t="n"/>
      <c r="S169" s="602" t="n"/>
      <c r="T169" s="602" t="n"/>
      <c r="U169" s="588" t="n"/>
      <c r="V169" s="588" t="n"/>
      <c r="W169" s="588" t="n"/>
      <c r="X169" s="588" t="n"/>
      <c r="Z169" s="588" t="n"/>
      <c r="AA169" s="588" t="n"/>
      <c r="AB169" s="588" t="n"/>
      <c r="AC169" s="588" t="n"/>
      <c r="AD169" s="588" t="n"/>
      <c r="AE169" s="588" t="n"/>
      <c r="AF169" s="588" t="n"/>
      <c r="AG169" s="588" t="n"/>
      <c r="AH169" s="588" t="n"/>
      <c r="AI169" s="588" t="n"/>
      <c r="AJ169" s="588" t="n"/>
      <c r="AK169" s="588" t="n"/>
      <c r="AL169" s="588" t="n"/>
      <c r="AM169" s="588" t="n"/>
      <c r="AN169" s="588" t="n"/>
      <c r="AO169" s="588" t="n"/>
      <c r="AP169" s="588" t="n"/>
      <c r="AQ169" s="588" t="n"/>
      <c r="AR169" s="588" t="n"/>
      <c r="AS169" s="588" t="n"/>
      <c r="AT169" s="588" t="n"/>
      <c r="AU169" s="588" t="n"/>
      <c r="AV169" s="588" t="n"/>
      <c r="AW169" s="588" t="n"/>
      <c r="AX169" s="588" t="n"/>
      <c r="AY169" s="588" t="n"/>
      <c r="AZ169" s="588" t="n"/>
      <c r="BA169" s="588" t="n"/>
      <c r="BB169" s="588" t="n"/>
      <c r="BC169" s="588" t="n"/>
      <c r="BD169" s="588" t="n"/>
      <c r="BE169" s="588" t="n"/>
      <c r="BF169" s="588" t="n"/>
      <c r="BG169" s="588" t="n"/>
      <c r="BH169" s="588" t="n"/>
      <c r="BI169" s="588" t="n"/>
      <c r="BJ169" s="588" t="n"/>
      <c r="BK169" s="588" t="n"/>
      <c r="BL169" s="588" t="n"/>
      <c r="BM169" s="588" t="n"/>
      <c r="BN169" s="588" t="n"/>
      <c r="BO169" s="588" t="n"/>
      <c r="BP169" s="588" t="n"/>
      <c r="BQ169" s="588" t="n"/>
      <c r="BR169" s="588" t="n"/>
      <c r="BS169" s="588" t="n"/>
      <c r="BT169" s="588" t="n"/>
      <c r="BU169" s="588" t="n"/>
      <c r="BV169" s="588" t="n"/>
      <c r="BW169" s="588" t="n"/>
      <c r="BX169" s="588" t="n"/>
      <c r="BY169" s="588" t="n"/>
      <c r="BZ169" s="588" t="n"/>
      <c r="CA169" s="588" t="n"/>
      <c r="CB169" s="588" t="n"/>
      <c r="CC169" s="588" t="n"/>
      <c r="CD169" s="588" t="n"/>
      <c r="CE169" s="588" t="n"/>
      <c r="CF169" s="588" t="n"/>
      <c r="CG169" s="588" t="n"/>
      <c r="CH169" s="588" t="n"/>
      <c r="CI169" s="588" t="n"/>
      <c r="CJ169" s="588" t="n"/>
      <c r="CK169" s="588" t="n"/>
      <c r="CL169" s="588" t="n"/>
      <c r="CM169" s="588" t="n"/>
      <c r="CN169" s="588" t="n"/>
      <c r="CO169" s="588" t="n"/>
      <c r="CP169" s="588" t="n"/>
      <c r="CQ169" s="588" t="n"/>
      <c r="CR169" s="588" t="n"/>
      <c r="CS169" s="588" t="n"/>
      <c r="CT169" s="588" t="n"/>
      <c r="CU169" s="588" t="n"/>
      <c r="CV169" s="588" t="n"/>
      <c r="CW169" s="588" t="n"/>
      <c r="CX169" s="588" t="n"/>
      <c r="CY169" s="588" t="n"/>
      <c r="CZ169" s="588" t="n"/>
      <c r="DA169" s="588" t="n"/>
      <c r="DB169" s="588" t="n"/>
      <c r="DC169" s="588" t="n"/>
      <c r="DD169" s="588" t="n"/>
      <c r="DE169" s="588" t="n"/>
      <c r="DF169" s="588" t="n"/>
      <c r="DG169" s="588" t="n"/>
      <c r="DH169" s="588" t="n"/>
      <c r="DI169" s="588" t="n"/>
      <c r="DJ169" s="588" t="n"/>
      <c r="DK169" s="588" t="n"/>
      <c r="DL169" s="588" t="n"/>
      <c r="DM169" s="588" t="n"/>
      <c r="DN169" s="588" t="n"/>
      <c r="DO169" s="588" t="n"/>
      <c r="DP169" s="588" t="n"/>
      <c r="DQ169" s="588" t="n"/>
      <c r="DR169" s="588" t="n"/>
      <c r="DS169" s="588" t="n"/>
      <c r="DT169" s="588" t="n"/>
      <c r="DU169" s="588" t="n"/>
    </row>
    <row r="170" ht="13.2" customHeight="1" s="450">
      <c r="A170" s="590" t="n"/>
      <c r="B170" s="588" t="n"/>
      <c r="C170" s="588" t="n"/>
      <c r="D170" s="671" t="n"/>
      <c r="E170" s="602" t="n"/>
      <c r="F170" s="602" t="n"/>
      <c r="G170" s="602" t="n"/>
      <c r="H170" s="655" t="n"/>
      <c r="I170" s="602" t="n"/>
      <c r="J170" s="602" t="n"/>
      <c r="K170" s="602" t="n"/>
      <c r="L170" s="602" t="n"/>
      <c r="M170" s="602" t="n"/>
      <c r="N170" s="602" t="n"/>
      <c r="O170" s="602" t="n"/>
      <c r="P170" s="602" t="n"/>
      <c r="Q170" s="602" t="n"/>
      <c r="R170" s="602" t="n"/>
      <c r="S170" s="602" t="n"/>
      <c r="T170" s="602" t="n"/>
      <c r="U170" s="588" t="n"/>
      <c r="V170" s="588" t="n"/>
      <c r="W170" s="588" t="n"/>
      <c r="X170" s="588" t="n"/>
      <c r="Z170" s="588" t="n"/>
      <c r="AA170" s="588" t="n"/>
      <c r="AB170" s="588" t="n"/>
      <c r="AC170" s="588" t="n"/>
      <c r="AD170" s="588" t="n"/>
      <c r="AE170" s="588" t="n"/>
      <c r="AF170" s="588" t="n"/>
      <c r="AG170" s="588" t="n"/>
      <c r="AH170" s="588" t="n"/>
      <c r="AI170" s="588" t="n"/>
      <c r="AJ170" s="588" t="n"/>
      <c r="AK170" s="588" t="n"/>
      <c r="AL170" s="588" t="n"/>
      <c r="AM170" s="588" t="n"/>
      <c r="AN170" s="588" t="n"/>
      <c r="AO170" s="588" t="n"/>
      <c r="AP170" s="588" t="n"/>
      <c r="AQ170" s="588" t="n"/>
      <c r="AR170" s="588" t="n"/>
      <c r="AS170" s="588" t="n"/>
      <c r="AT170" s="588" t="n"/>
      <c r="AU170" s="588" t="n"/>
      <c r="AV170" s="588" t="n"/>
      <c r="AW170" s="588" t="n"/>
      <c r="AX170" s="588" t="n"/>
      <c r="AY170" s="588" t="n"/>
      <c r="AZ170" s="588" t="n"/>
      <c r="BA170" s="588" t="n"/>
      <c r="BB170" s="588" t="n"/>
      <c r="BC170" s="588" t="n"/>
      <c r="BD170" s="588" t="n"/>
      <c r="BE170" s="588" t="n"/>
      <c r="BF170" s="588" t="n"/>
      <c r="BG170" s="588" t="n"/>
      <c r="BH170" s="588" t="n"/>
      <c r="BI170" s="588" t="n"/>
      <c r="BJ170" s="588" t="n"/>
      <c r="BK170" s="588" t="n"/>
      <c r="BL170" s="588" t="n"/>
      <c r="BM170" s="588" t="n"/>
      <c r="BN170" s="588" t="n"/>
      <c r="BO170" s="588" t="n"/>
      <c r="BP170" s="588" t="n"/>
      <c r="BQ170" s="588" t="n"/>
      <c r="BR170" s="588" t="n"/>
      <c r="BS170" s="588" t="n"/>
      <c r="BT170" s="588" t="n"/>
      <c r="BU170" s="588" t="n"/>
      <c r="BV170" s="588" t="n"/>
      <c r="BW170" s="588" t="n"/>
      <c r="BX170" s="588" t="n"/>
      <c r="BY170" s="588" t="n"/>
      <c r="BZ170" s="588" t="n"/>
      <c r="CA170" s="588" t="n"/>
      <c r="CB170" s="588" t="n"/>
      <c r="CC170" s="588" t="n"/>
      <c r="CD170" s="588" t="n"/>
      <c r="CE170" s="588" t="n"/>
      <c r="CF170" s="588" t="n"/>
      <c r="CG170" s="588" t="n"/>
      <c r="CH170" s="588" t="n"/>
      <c r="CI170" s="588" t="n"/>
      <c r="CJ170" s="588" t="n"/>
      <c r="CK170" s="588" t="n"/>
      <c r="CL170" s="588" t="n"/>
      <c r="CM170" s="588" t="n"/>
      <c r="CN170" s="588" t="n"/>
      <c r="CO170" s="588" t="n"/>
      <c r="CP170" s="588" t="n"/>
      <c r="CQ170" s="588" t="n"/>
      <c r="CR170" s="588" t="n"/>
      <c r="CS170" s="588" t="n"/>
      <c r="CT170" s="588" t="n"/>
      <c r="CU170" s="588" t="n"/>
      <c r="CV170" s="588" t="n"/>
      <c r="CW170" s="588" t="n"/>
      <c r="CX170" s="588" t="n"/>
      <c r="CY170" s="588" t="n"/>
      <c r="CZ170" s="588" t="n"/>
      <c r="DA170" s="588" t="n"/>
      <c r="DB170" s="588" t="n"/>
      <c r="DC170" s="588" t="n"/>
      <c r="DD170" s="588" t="n"/>
      <c r="DE170" s="588" t="n"/>
      <c r="DF170" s="588" t="n"/>
      <c r="DG170" s="588" t="n"/>
      <c r="DH170" s="588" t="n"/>
      <c r="DI170" s="588" t="n"/>
      <c r="DJ170" s="588" t="n"/>
      <c r="DK170" s="588" t="n"/>
      <c r="DL170" s="588" t="n"/>
      <c r="DM170" s="588" t="n"/>
      <c r="DN170" s="588" t="n"/>
      <c r="DO170" s="588" t="n"/>
      <c r="DP170" s="588" t="n"/>
      <c r="DQ170" s="588" t="n"/>
      <c r="DR170" s="588" t="n"/>
      <c r="DS170" s="588" t="n"/>
      <c r="DT170" s="588" t="n"/>
      <c r="DU170" s="588" t="n"/>
    </row>
    <row r="171" ht="13.2" customHeight="1" s="450">
      <c r="A171" s="590" t="n"/>
      <c r="B171" s="657" t="inlineStr">
        <is>
          <t xml:space="preserve">RESUMEN DE REPARACIONES </t>
        </is>
      </c>
      <c r="C171" s="581" t="n"/>
      <c r="D171" s="581" t="n"/>
      <c r="E171" s="582" t="n"/>
      <c r="F171" s="645" t="n"/>
      <c r="G171" s="721" t="n"/>
      <c r="H171" s="722" t="n"/>
      <c r="I171" s="723" t="n"/>
      <c r="J171" s="607" t="n"/>
      <c r="K171" s="723" t="n"/>
      <c r="L171" s="602" t="n"/>
      <c r="M171" s="645" t="n"/>
      <c r="N171" s="645" t="n"/>
      <c r="O171" s="645" t="n"/>
      <c r="P171" s="645" t="n"/>
      <c r="Q171" s="602" t="n"/>
      <c r="R171" s="645" t="n"/>
      <c r="S171" s="645" t="n"/>
      <c r="T171" s="645" t="n"/>
      <c r="U171" s="588" t="n"/>
      <c r="V171" s="588" t="n"/>
      <c r="W171" s="588" t="n"/>
      <c r="X171" s="588" t="n"/>
      <c r="Z171" s="588" t="n"/>
      <c r="AA171" s="588" t="n"/>
      <c r="AB171" s="588" t="n"/>
      <c r="AC171" s="588" t="n"/>
      <c r="AD171" s="588" t="n"/>
      <c r="AE171" s="588" t="n"/>
      <c r="AF171" s="588" t="n"/>
      <c r="AG171" s="588" t="n"/>
      <c r="AH171" s="588" t="n"/>
      <c r="AI171" s="588" t="n"/>
      <c r="AJ171" s="588" t="n"/>
      <c r="AK171" s="588" t="n"/>
      <c r="AL171" s="588" t="n"/>
      <c r="AM171" s="588" t="n"/>
      <c r="AN171" s="588" t="n"/>
      <c r="AO171" s="588" t="n"/>
      <c r="AP171" s="588" t="n"/>
      <c r="AQ171" s="588" t="n"/>
      <c r="AR171" s="588" t="n"/>
      <c r="AS171" s="588" t="n"/>
      <c r="AT171" s="588" t="n"/>
      <c r="AU171" s="588" t="n"/>
      <c r="AV171" s="588" t="n"/>
      <c r="AW171" s="588" t="n"/>
      <c r="AX171" s="588" t="n"/>
      <c r="AY171" s="588" t="n"/>
      <c r="AZ171" s="588" t="n"/>
      <c r="BA171" s="588" t="n"/>
      <c r="BB171" s="588" t="n"/>
      <c r="BC171" s="588" t="n"/>
      <c r="BD171" s="588" t="n"/>
      <c r="BE171" s="588" t="n"/>
      <c r="BF171" s="588" t="n"/>
      <c r="BG171" s="588" t="n"/>
      <c r="BH171" s="588" t="n"/>
      <c r="BI171" s="588" t="n"/>
      <c r="BJ171" s="588" t="n"/>
      <c r="BK171" s="588" t="n"/>
      <c r="BL171" s="588" t="n"/>
      <c r="BM171" s="588" t="n"/>
      <c r="BN171" s="588" t="n"/>
      <c r="BO171" s="588" t="n"/>
      <c r="BP171" s="588" t="n"/>
      <c r="BQ171" s="588" t="n"/>
      <c r="BR171" s="588" t="n"/>
      <c r="BS171" s="588" t="n"/>
      <c r="BT171" s="588" t="n"/>
      <c r="BU171" s="588" t="n"/>
      <c r="BV171" s="588" t="n"/>
      <c r="BW171" s="588" t="n"/>
      <c r="BX171" s="588" t="n"/>
      <c r="BY171" s="588" t="n"/>
      <c r="BZ171" s="588" t="n"/>
      <c r="CA171" s="588" t="n"/>
      <c r="CB171" s="588" t="n"/>
      <c r="CC171" s="588" t="n"/>
      <c r="CD171" s="588" t="n"/>
      <c r="CE171" s="588" t="n"/>
      <c r="CF171" s="588" t="n"/>
      <c r="CG171" s="588" t="n"/>
      <c r="CH171" s="588" t="n"/>
      <c r="CI171" s="588" t="n"/>
      <c r="CJ171" s="588" t="n"/>
      <c r="CK171" s="588" t="n"/>
      <c r="CL171" s="588" t="n"/>
      <c r="CM171" s="588" t="n"/>
      <c r="CN171" s="588" t="n"/>
      <c r="CO171" s="588" t="n"/>
      <c r="CP171" s="588" t="n"/>
      <c r="CQ171" s="588" t="n"/>
      <c r="CR171" s="588" t="n"/>
      <c r="CS171" s="588" t="n"/>
      <c r="CT171" s="588" t="n"/>
      <c r="CU171" s="588" t="n"/>
      <c r="CV171" s="588" t="n"/>
      <c r="CW171" s="588" t="n"/>
      <c r="CX171" s="588" t="n"/>
      <c r="CY171" s="588" t="n"/>
      <c r="CZ171" s="588" t="n"/>
      <c r="DA171" s="588" t="n"/>
      <c r="DB171" s="588" t="n"/>
      <c r="DC171" s="588" t="n"/>
      <c r="DD171" s="588" t="n"/>
      <c r="DE171" s="588" t="n"/>
      <c r="DF171" s="588" t="n"/>
      <c r="DG171" s="588" t="n"/>
      <c r="DH171" s="588" t="n"/>
      <c r="DI171" s="588" t="n"/>
      <c r="DJ171" s="588" t="n"/>
      <c r="DK171" s="588" t="n"/>
      <c r="DL171" s="588" t="n"/>
      <c r="DM171" s="588" t="n"/>
      <c r="DN171" s="588" t="n"/>
      <c r="DO171" s="588" t="n"/>
      <c r="DP171" s="588" t="n"/>
      <c r="DQ171" s="588" t="n"/>
      <c r="DR171" s="588" t="n"/>
      <c r="DS171" s="588" t="n"/>
      <c r="DT171" s="588" t="n"/>
      <c r="DU171" s="588" t="n"/>
    </row>
    <row r="172" ht="13.2" customHeight="1" s="450">
      <c r="A172" s="590" t="n"/>
      <c r="B172" s="682" t="n"/>
      <c r="C172" s="666" t="n"/>
      <c r="D172" s="666" t="n"/>
      <c r="E172" s="724" t="n"/>
      <c r="F172" s="645" t="n"/>
      <c r="G172" s="721" t="n"/>
      <c r="H172" s="722" t="n"/>
      <c r="I172" s="723" t="n"/>
      <c r="J172" s="607" t="n"/>
      <c r="K172" s="723" t="n"/>
      <c r="L172" s="602" t="n"/>
      <c r="M172" s="645" t="n"/>
      <c r="N172" s="645" t="n"/>
      <c r="O172" s="645" t="n"/>
      <c r="P172" s="645" t="n"/>
      <c r="Q172" s="602" t="n"/>
      <c r="R172" s="645" t="n"/>
      <c r="S172" s="645" t="n"/>
      <c r="T172" s="645" t="n"/>
      <c r="U172" s="588" t="n"/>
      <c r="V172" s="588" t="n"/>
      <c r="W172" s="588" t="n"/>
      <c r="X172" s="588" t="n"/>
      <c r="Z172" s="588" t="n"/>
      <c r="AA172" s="588" t="n"/>
      <c r="AB172" s="588" t="n"/>
      <c r="AC172" s="588" t="n"/>
      <c r="AD172" s="588" t="n"/>
      <c r="AE172" s="588" t="n"/>
      <c r="AF172" s="588" t="n"/>
      <c r="AG172" s="588" t="n"/>
      <c r="AH172" s="588" t="n"/>
      <c r="AI172" s="588" t="n"/>
      <c r="AJ172" s="588" t="n"/>
      <c r="AK172" s="588" t="n"/>
      <c r="AL172" s="588" t="n"/>
      <c r="AM172" s="588" t="n"/>
      <c r="AN172" s="588" t="n"/>
      <c r="AO172" s="588" t="n"/>
      <c r="AP172" s="588" t="n"/>
      <c r="AQ172" s="588" t="n"/>
      <c r="AR172" s="588" t="n"/>
      <c r="AS172" s="588" t="n"/>
      <c r="AT172" s="588" t="n"/>
      <c r="AU172" s="588" t="n"/>
      <c r="AV172" s="588" t="n"/>
      <c r="AW172" s="588" t="n"/>
      <c r="AX172" s="588" t="n"/>
      <c r="AY172" s="588" t="n"/>
      <c r="AZ172" s="588" t="n"/>
      <c r="BA172" s="588" t="n"/>
      <c r="BB172" s="588" t="n"/>
      <c r="BC172" s="588" t="n"/>
      <c r="BD172" s="588" t="n"/>
      <c r="BE172" s="588" t="n"/>
      <c r="BF172" s="588" t="n"/>
      <c r="BG172" s="588" t="n"/>
      <c r="BH172" s="588" t="n"/>
      <c r="BI172" s="588" t="n"/>
      <c r="BJ172" s="588" t="n"/>
      <c r="BK172" s="588" t="n"/>
      <c r="BL172" s="588" t="n"/>
      <c r="BM172" s="588" t="n"/>
      <c r="BN172" s="588" t="n"/>
      <c r="BO172" s="588" t="n"/>
      <c r="BP172" s="588" t="n"/>
      <c r="BQ172" s="588" t="n"/>
      <c r="BR172" s="588" t="n"/>
      <c r="BS172" s="588" t="n"/>
      <c r="BT172" s="588" t="n"/>
      <c r="BU172" s="588" t="n"/>
      <c r="BV172" s="588" t="n"/>
      <c r="BW172" s="588" t="n"/>
      <c r="BX172" s="588" t="n"/>
      <c r="BY172" s="588" t="n"/>
      <c r="BZ172" s="588" t="n"/>
      <c r="CA172" s="588" t="n"/>
      <c r="CB172" s="588" t="n"/>
      <c r="CC172" s="588" t="n"/>
      <c r="CD172" s="588" t="n"/>
      <c r="CE172" s="588" t="n"/>
      <c r="CF172" s="588" t="n"/>
      <c r="CG172" s="588" t="n"/>
      <c r="CH172" s="588" t="n"/>
      <c r="CI172" s="588" t="n"/>
      <c r="CJ172" s="588" t="n"/>
      <c r="CK172" s="588" t="n"/>
      <c r="CL172" s="588" t="n"/>
      <c r="CM172" s="588" t="n"/>
      <c r="CN172" s="588" t="n"/>
      <c r="CO172" s="588" t="n"/>
      <c r="CP172" s="588" t="n"/>
      <c r="CQ172" s="588" t="n"/>
      <c r="CR172" s="588" t="n"/>
      <c r="CS172" s="588" t="n"/>
      <c r="CT172" s="588" t="n"/>
      <c r="CU172" s="588" t="n"/>
      <c r="CV172" s="588" t="n"/>
      <c r="CW172" s="588" t="n"/>
      <c r="CX172" s="588" t="n"/>
      <c r="CY172" s="588" t="n"/>
      <c r="CZ172" s="588" t="n"/>
      <c r="DA172" s="588" t="n"/>
      <c r="DB172" s="588" t="n"/>
      <c r="DC172" s="588" t="n"/>
      <c r="DD172" s="588" t="n"/>
      <c r="DE172" s="588" t="n"/>
      <c r="DF172" s="588" t="n"/>
      <c r="DG172" s="588" t="n"/>
      <c r="DH172" s="588" t="n"/>
      <c r="DI172" s="588" t="n"/>
      <c r="DJ172" s="588" t="n"/>
      <c r="DK172" s="588" t="n"/>
      <c r="DL172" s="588" t="n"/>
      <c r="DM172" s="588" t="n"/>
      <c r="DN172" s="588" t="n"/>
      <c r="DO172" s="588" t="n"/>
      <c r="DP172" s="588" t="n"/>
      <c r="DQ172" s="588" t="n"/>
      <c r="DR172" s="588" t="n"/>
      <c r="DS172" s="588" t="n"/>
      <c r="DT172" s="588" t="n"/>
      <c r="DU172" s="588" t="n"/>
    </row>
    <row r="173" ht="13.2" customHeight="1" s="450">
      <c r="A173" s="590" t="n"/>
      <c r="B173" s="725" t="inlineStr">
        <is>
          <t>ROTURA VEREDA (c/maquina)</t>
        </is>
      </c>
      <c r="C173" s="626" t="n"/>
      <c r="D173" s="654" t="n"/>
      <c r="E173" s="726" t="n"/>
      <c r="F173" s="723" t="inlineStr">
        <is>
          <t>*091845</t>
        </is>
      </c>
      <c r="G173" s="721" t="n"/>
      <c r="H173" s="722" t="n"/>
      <c r="I173" s="723" t="n"/>
      <c r="J173" s="607" t="n"/>
      <c r="K173" s="723" t="n"/>
      <c r="L173" s="655" t="n"/>
      <c r="M173" s="655" t="n"/>
      <c r="N173" s="655" t="n"/>
      <c r="O173" s="655" t="n"/>
      <c r="P173" s="655" t="n"/>
      <c r="Q173" s="655" t="n"/>
      <c r="R173" s="655" t="n"/>
      <c r="S173" s="655" t="n"/>
      <c r="T173" s="655" t="n"/>
      <c r="U173" s="588" t="n"/>
      <c r="V173" s="588" t="n"/>
      <c r="W173" s="588" t="n"/>
      <c r="X173" s="588" t="n"/>
      <c r="Z173" s="588" t="n"/>
      <c r="AA173" s="588" t="n"/>
      <c r="AB173" s="588" t="n"/>
      <c r="AC173" s="588" t="n"/>
      <c r="AD173" s="588" t="n"/>
      <c r="AE173" s="588" t="n"/>
      <c r="AF173" s="588" t="n"/>
      <c r="AG173" s="588" t="n"/>
      <c r="AH173" s="588" t="n"/>
      <c r="AI173" s="588" t="n"/>
      <c r="AJ173" s="588" t="n"/>
      <c r="AK173" s="588" t="n"/>
      <c r="AL173" s="588" t="n"/>
      <c r="AM173" s="588" t="n"/>
      <c r="AN173" s="588" t="n"/>
      <c r="AO173" s="588" t="n"/>
      <c r="AP173" s="588" t="n"/>
      <c r="AQ173" s="588" t="n"/>
      <c r="AR173" s="588" t="n"/>
      <c r="AS173" s="588" t="n"/>
      <c r="AT173" s="588" t="n"/>
      <c r="AU173" s="588" t="n"/>
      <c r="AV173" s="588" t="n"/>
      <c r="AW173" s="588" t="n"/>
      <c r="AX173" s="588" t="n"/>
      <c r="AY173" s="588" t="n"/>
      <c r="AZ173" s="588" t="n"/>
      <c r="BA173" s="588" t="n"/>
      <c r="BB173" s="588" t="n"/>
      <c r="BC173" s="588" t="n"/>
      <c r="BD173" s="588" t="n"/>
      <c r="BE173" s="588" t="n"/>
      <c r="BF173" s="588" t="n"/>
      <c r="BG173" s="588" t="n"/>
      <c r="BH173" s="588" t="n"/>
      <c r="BI173" s="588" t="n"/>
      <c r="BJ173" s="588" t="n"/>
      <c r="BK173" s="588" t="n"/>
      <c r="BL173" s="588" t="n"/>
      <c r="BM173" s="588" t="n"/>
      <c r="BN173" s="588" t="n"/>
      <c r="BO173" s="588" t="n"/>
      <c r="BP173" s="588" t="n"/>
      <c r="BQ173" s="588" t="n"/>
      <c r="BR173" s="588" t="n"/>
      <c r="BS173" s="588" t="n"/>
      <c r="BT173" s="588" t="n"/>
      <c r="BU173" s="588" t="n"/>
      <c r="BV173" s="588" t="n"/>
      <c r="BW173" s="588" t="n"/>
      <c r="BX173" s="588" t="n"/>
      <c r="BY173" s="588" t="n"/>
      <c r="BZ173" s="588" t="n"/>
      <c r="CA173" s="588" t="n"/>
      <c r="CB173" s="588" t="n"/>
      <c r="CC173" s="588" t="n"/>
      <c r="CD173" s="588" t="n"/>
      <c r="CE173" s="588" t="n"/>
      <c r="CF173" s="588" t="n"/>
      <c r="CG173" s="588" t="n"/>
      <c r="CH173" s="588" t="n"/>
      <c r="CI173" s="588" t="n"/>
      <c r="CJ173" s="588" t="n"/>
      <c r="CK173" s="588" t="n"/>
      <c r="CL173" s="588" t="n"/>
      <c r="CM173" s="588" t="n"/>
      <c r="CN173" s="588" t="n"/>
      <c r="CO173" s="588" t="n"/>
      <c r="CP173" s="588" t="n"/>
      <c r="CQ173" s="588" t="n"/>
      <c r="CR173" s="588" t="n"/>
      <c r="CS173" s="588" t="n"/>
      <c r="CT173" s="588" t="n"/>
      <c r="CU173" s="588" t="n"/>
      <c r="CV173" s="588" t="n"/>
      <c r="CW173" s="588" t="n"/>
      <c r="CX173" s="588" t="n"/>
      <c r="CY173" s="588" t="n"/>
      <c r="CZ173" s="588" t="n"/>
      <c r="DA173" s="588" t="n"/>
      <c r="DB173" s="588" t="n"/>
      <c r="DC173" s="588" t="n"/>
      <c r="DD173" s="588" t="n"/>
      <c r="DE173" s="588" t="n"/>
      <c r="DF173" s="588" t="n"/>
      <c r="DG173" s="588" t="n"/>
      <c r="DH173" s="588" t="n"/>
      <c r="DI173" s="588" t="n"/>
      <c r="DJ173" s="588" t="n"/>
      <c r="DK173" s="588" t="n"/>
      <c r="DL173" s="588" t="n"/>
      <c r="DM173" s="588" t="n"/>
      <c r="DN173" s="588" t="n"/>
      <c r="DO173" s="588" t="n"/>
      <c r="DP173" s="588" t="n"/>
      <c r="DQ173" s="588" t="n"/>
      <c r="DR173" s="588" t="n"/>
      <c r="DS173" s="588" t="n"/>
      <c r="DT173" s="588" t="n"/>
      <c r="DU173" s="588" t="n"/>
    </row>
    <row r="174" ht="13.2" customHeight="1" s="450">
      <c r="A174" s="590" t="n"/>
      <c r="B174" s="727" t="inlineStr">
        <is>
          <t>ROTURA VEREDA (s/maquina)</t>
        </is>
      </c>
      <c r="C174" s="615" t="n"/>
      <c r="D174" s="588" t="n"/>
      <c r="E174" s="726">
        <f>E50+L47+E74+L71</f>
        <v/>
      </c>
      <c r="F174" s="723" t="inlineStr">
        <is>
          <t>*091840</t>
        </is>
      </c>
      <c r="G174" s="721" t="n"/>
      <c r="H174" s="722" t="n"/>
      <c r="I174" s="723" t="n"/>
      <c r="J174" s="607" t="n"/>
      <c r="K174" s="723" t="n"/>
      <c r="L174" s="655" t="n"/>
      <c r="M174" s="655" t="n"/>
      <c r="N174" s="655" t="n"/>
      <c r="O174" s="655" t="n"/>
      <c r="P174" s="655" t="n"/>
      <c r="Q174" s="655" t="n"/>
      <c r="R174" s="655" t="n"/>
      <c r="S174" s="655" t="n"/>
      <c r="T174" s="655" t="n"/>
      <c r="U174" s="588" t="n"/>
      <c r="V174" s="588" t="n"/>
      <c r="W174" s="588" t="n"/>
      <c r="X174" s="588" t="n"/>
      <c r="Z174" s="588" t="n"/>
      <c r="AA174" s="588" t="n"/>
      <c r="AB174" s="588" t="n"/>
      <c r="AC174" s="588" t="n"/>
      <c r="AD174" s="588" t="n"/>
      <c r="AE174" s="588" t="n"/>
      <c r="AF174" s="588" t="n"/>
      <c r="AG174" s="588" t="n"/>
      <c r="AH174" s="588" t="n"/>
      <c r="AI174" s="588" t="n"/>
      <c r="AJ174" s="588" t="n"/>
      <c r="AK174" s="588" t="n"/>
      <c r="AL174" s="588" t="n"/>
      <c r="AM174" s="588" t="n"/>
      <c r="AN174" s="588" t="n"/>
      <c r="AO174" s="588" t="n"/>
      <c r="AP174" s="588" t="n"/>
      <c r="AQ174" s="588" t="n"/>
      <c r="AR174" s="588" t="n"/>
      <c r="AS174" s="588" t="n"/>
      <c r="AT174" s="588" t="n"/>
      <c r="AU174" s="588" t="n"/>
      <c r="AV174" s="588" t="n"/>
      <c r="AW174" s="588" t="n"/>
      <c r="AX174" s="588" t="n"/>
      <c r="AY174" s="588" t="n"/>
      <c r="AZ174" s="588" t="n"/>
      <c r="BA174" s="588" t="n"/>
      <c r="BB174" s="588" t="n"/>
      <c r="BC174" s="588" t="n"/>
      <c r="BD174" s="588" t="n"/>
      <c r="BE174" s="588" t="n"/>
      <c r="BF174" s="588" t="n"/>
      <c r="BG174" s="588" t="n"/>
      <c r="BH174" s="588" t="n"/>
      <c r="BI174" s="588" t="n"/>
      <c r="BJ174" s="588" t="n"/>
      <c r="BK174" s="588" t="n"/>
      <c r="BL174" s="588" t="n"/>
      <c r="BM174" s="588" t="n"/>
      <c r="BN174" s="588" t="n"/>
      <c r="BO174" s="588" t="n"/>
      <c r="BP174" s="588" t="n"/>
      <c r="BQ174" s="588" t="n"/>
      <c r="BR174" s="588" t="n"/>
      <c r="BS174" s="588" t="n"/>
      <c r="BT174" s="588" t="n"/>
      <c r="BU174" s="588" t="n"/>
      <c r="BV174" s="588" t="n"/>
      <c r="BW174" s="588" t="n"/>
      <c r="BX174" s="588" t="n"/>
      <c r="BY174" s="588" t="n"/>
      <c r="BZ174" s="588" t="n"/>
      <c r="CA174" s="588" t="n"/>
      <c r="CB174" s="588" t="n"/>
      <c r="CC174" s="588" t="n"/>
      <c r="CD174" s="588" t="n"/>
      <c r="CE174" s="588" t="n"/>
      <c r="CF174" s="588" t="n"/>
      <c r="CG174" s="588" t="n"/>
      <c r="CH174" s="588" t="n"/>
      <c r="CI174" s="588" t="n"/>
      <c r="CJ174" s="588" t="n"/>
      <c r="CK174" s="588" t="n"/>
      <c r="CL174" s="588" t="n"/>
      <c r="CM174" s="588" t="n"/>
      <c r="CN174" s="588" t="n"/>
      <c r="CO174" s="588" t="n"/>
      <c r="CP174" s="588" t="n"/>
      <c r="CQ174" s="588" t="n"/>
      <c r="CR174" s="588" t="n"/>
      <c r="CS174" s="588" t="n"/>
      <c r="CT174" s="588" t="n"/>
      <c r="CU174" s="588" t="n"/>
      <c r="CV174" s="588" t="n"/>
      <c r="CW174" s="588" t="n"/>
      <c r="CX174" s="588" t="n"/>
      <c r="CY174" s="588" t="n"/>
      <c r="CZ174" s="588" t="n"/>
      <c r="DA174" s="588" t="n"/>
      <c r="DB174" s="588" t="n"/>
      <c r="DC174" s="588" t="n"/>
      <c r="DD174" s="588" t="n"/>
      <c r="DE174" s="588" t="n"/>
      <c r="DF174" s="588" t="n"/>
      <c r="DG174" s="588" t="n"/>
      <c r="DH174" s="588" t="n"/>
      <c r="DI174" s="588" t="n"/>
      <c r="DJ174" s="588" t="n"/>
      <c r="DK174" s="588" t="n"/>
      <c r="DL174" s="588" t="n"/>
      <c r="DM174" s="588" t="n"/>
      <c r="DN174" s="588" t="n"/>
      <c r="DO174" s="588" t="n"/>
      <c r="DP174" s="588" t="n"/>
      <c r="DQ174" s="588" t="n"/>
      <c r="DR174" s="588" t="n"/>
      <c r="DS174" s="588" t="n"/>
      <c r="DT174" s="588" t="n"/>
      <c r="DU174" s="588" t="n"/>
    </row>
    <row r="175" ht="13.2" customHeight="1" s="450">
      <c r="A175" s="590" t="n"/>
      <c r="B175" s="727" t="inlineStr">
        <is>
          <t xml:space="preserve">ROTURA PISTA </t>
        </is>
      </c>
      <c r="C175" s="615" t="n"/>
      <c r="D175" s="588" t="n"/>
      <c r="E175" s="728">
        <f>E90</f>
        <v/>
      </c>
      <c r="F175" s="723" t="inlineStr">
        <is>
          <t>*091830</t>
        </is>
      </c>
      <c r="G175" s="729" t="n"/>
      <c r="H175" s="729" t="n"/>
      <c r="I175" s="723" t="n"/>
      <c r="J175" s="607" t="n"/>
      <c r="K175" s="723" t="n"/>
      <c r="L175" s="655" t="n"/>
      <c r="M175" s="655" t="n"/>
      <c r="N175" s="655" t="n"/>
      <c r="O175" s="655" t="n"/>
      <c r="P175" s="655" t="n"/>
      <c r="Q175" s="655" t="n"/>
      <c r="R175" s="655" t="n"/>
      <c r="S175" s="655" t="n"/>
      <c r="T175" s="655" t="n"/>
      <c r="U175" s="588" t="n"/>
      <c r="V175" s="588" t="n"/>
      <c r="W175" s="588" t="n"/>
      <c r="X175" s="588" t="n"/>
      <c r="Z175" s="588" t="n"/>
      <c r="AA175" s="588" t="n"/>
      <c r="AB175" s="588" t="n"/>
      <c r="AC175" s="588" t="n"/>
      <c r="AD175" s="588" t="n"/>
      <c r="AE175" s="588" t="n"/>
      <c r="AF175" s="588" t="n"/>
      <c r="AG175" s="588" t="n"/>
      <c r="AH175" s="588" t="n"/>
      <c r="AI175" s="588" t="n"/>
      <c r="AJ175" s="588" t="n"/>
      <c r="AK175" s="588" t="n"/>
      <c r="AL175" s="588" t="n"/>
      <c r="AM175" s="588" t="n"/>
      <c r="AN175" s="588" t="n"/>
      <c r="AO175" s="588" t="n"/>
      <c r="AP175" s="588" t="n"/>
      <c r="AQ175" s="588" t="n"/>
      <c r="AR175" s="588" t="n"/>
      <c r="AS175" s="588" t="n"/>
      <c r="AT175" s="588" t="n"/>
      <c r="AU175" s="588" t="n"/>
      <c r="AV175" s="588" t="n"/>
      <c r="AW175" s="588" t="n"/>
      <c r="AX175" s="588" t="n"/>
      <c r="AY175" s="588" t="n"/>
      <c r="AZ175" s="588" t="n"/>
      <c r="BA175" s="588" t="n"/>
      <c r="BB175" s="588" t="n"/>
      <c r="BC175" s="588" t="n"/>
      <c r="BD175" s="588" t="n"/>
      <c r="BE175" s="588" t="n"/>
      <c r="BF175" s="588" t="n"/>
      <c r="BG175" s="588" t="n"/>
      <c r="BH175" s="588" t="n"/>
      <c r="BI175" s="588" t="n"/>
      <c r="BJ175" s="588" t="n"/>
      <c r="BK175" s="588" t="n"/>
      <c r="BL175" s="588" t="n"/>
      <c r="BM175" s="588" t="n"/>
      <c r="BN175" s="588" t="n"/>
      <c r="BO175" s="588" t="n"/>
      <c r="BP175" s="588" t="n"/>
      <c r="BQ175" s="588" t="n"/>
      <c r="BR175" s="588" t="n"/>
      <c r="BS175" s="588" t="n"/>
      <c r="BT175" s="588" t="n"/>
      <c r="BU175" s="588" t="n"/>
      <c r="BV175" s="588" t="n"/>
      <c r="BW175" s="588" t="n"/>
      <c r="BX175" s="588" t="n"/>
      <c r="BY175" s="588" t="n"/>
      <c r="BZ175" s="588" t="n"/>
      <c r="CA175" s="588" t="n"/>
      <c r="CB175" s="588" t="n"/>
      <c r="CC175" s="588" t="n"/>
      <c r="CD175" s="588" t="n"/>
      <c r="CE175" s="588" t="n"/>
      <c r="CF175" s="588" t="n"/>
      <c r="CG175" s="588" t="n"/>
      <c r="CH175" s="588" t="n"/>
      <c r="CI175" s="588" t="n"/>
      <c r="CJ175" s="588" t="n"/>
      <c r="CK175" s="588" t="n"/>
      <c r="CL175" s="588" t="n"/>
      <c r="CM175" s="588" t="n"/>
      <c r="CN175" s="588" t="n"/>
      <c r="CO175" s="588" t="n"/>
      <c r="CP175" s="588" t="n"/>
      <c r="CQ175" s="588" t="n"/>
      <c r="CR175" s="588" t="n"/>
      <c r="CS175" s="588" t="n"/>
      <c r="CT175" s="588" t="n"/>
      <c r="CU175" s="588" t="n"/>
      <c r="CV175" s="588" t="n"/>
      <c r="CW175" s="588" t="n"/>
      <c r="CX175" s="588" t="n"/>
      <c r="CY175" s="588" t="n"/>
      <c r="CZ175" s="588" t="n"/>
      <c r="DA175" s="588" t="n"/>
      <c r="DB175" s="588" t="n"/>
      <c r="DC175" s="588" t="n"/>
      <c r="DD175" s="588" t="n"/>
      <c r="DE175" s="588" t="n"/>
      <c r="DF175" s="588" t="n"/>
      <c r="DG175" s="588" t="n"/>
      <c r="DH175" s="588" t="n"/>
      <c r="DI175" s="588" t="n"/>
      <c r="DJ175" s="588" t="n"/>
      <c r="DK175" s="588" t="n"/>
      <c r="DL175" s="588" t="n"/>
      <c r="DM175" s="588" t="n"/>
      <c r="DN175" s="588" t="n"/>
      <c r="DO175" s="588" t="n"/>
      <c r="DP175" s="588" t="n"/>
      <c r="DQ175" s="588" t="n"/>
      <c r="DR175" s="588" t="n"/>
      <c r="DS175" s="588" t="n"/>
      <c r="DT175" s="588" t="n"/>
      <c r="DU175" s="588" t="n"/>
    </row>
    <row r="176" ht="13.2" customHeight="1" s="450">
      <c r="A176" s="590" t="n"/>
      <c r="B176" s="727" t="inlineStr">
        <is>
          <t>Rotura Asfalto</t>
        </is>
      </c>
      <c r="C176" s="615" t="n"/>
      <c r="D176" s="588" t="n"/>
      <c r="E176" s="728">
        <f>L87</f>
        <v/>
      </c>
      <c r="F176" s="723" t="inlineStr">
        <is>
          <t>*091820</t>
        </is>
      </c>
      <c r="G176" s="729" t="n"/>
      <c r="H176" s="729" t="n"/>
      <c r="I176" s="723" t="n"/>
      <c r="J176" s="607" t="n"/>
      <c r="K176" s="723" t="n"/>
      <c r="L176" s="655" t="n"/>
      <c r="M176" s="655" t="n"/>
      <c r="N176" s="655" t="n"/>
      <c r="O176" s="655" t="n"/>
      <c r="P176" s="655" t="n"/>
      <c r="Q176" s="655" t="n"/>
      <c r="R176" s="655" t="n"/>
      <c r="S176" s="655" t="n"/>
      <c r="T176" s="655" t="n"/>
      <c r="U176" s="588" t="n"/>
      <c r="V176" s="588" t="n"/>
      <c r="W176" s="588" t="n"/>
      <c r="X176" s="588" t="n"/>
      <c r="Z176" s="588" t="n"/>
      <c r="AA176" s="588" t="n"/>
      <c r="AB176" s="588" t="n"/>
      <c r="AC176" s="588" t="n"/>
      <c r="AD176" s="588" t="n"/>
      <c r="AE176" s="588" t="n"/>
      <c r="AF176" s="588" t="n"/>
      <c r="AG176" s="588" t="n"/>
      <c r="AH176" s="588" t="n"/>
      <c r="AI176" s="588" t="n"/>
      <c r="AJ176" s="588" t="n"/>
      <c r="AK176" s="588" t="n"/>
      <c r="AL176" s="588" t="n"/>
      <c r="AM176" s="588" t="n"/>
      <c r="AN176" s="588" t="n"/>
      <c r="AO176" s="588" t="n"/>
      <c r="AP176" s="588" t="n"/>
      <c r="AQ176" s="588" t="n"/>
      <c r="AR176" s="588" t="n"/>
      <c r="AS176" s="588" t="n"/>
      <c r="AT176" s="588" t="n"/>
      <c r="AU176" s="588" t="n"/>
      <c r="AV176" s="588" t="n"/>
      <c r="AW176" s="588" t="n"/>
      <c r="AX176" s="588" t="n"/>
      <c r="AY176" s="588" t="n"/>
      <c r="AZ176" s="588" t="n"/>
      <c r="BA176" s="588" t="n"/>
      <c r="BB176" s="588" t="n"/>
      <c r="BC176" s="588" t="n"/>
      <c r="BD176" s="588" t="n"/>
      <c r="BE176" s="588" t="n"/>
      <c r="BF176" s="588" t="n"/>
      <c r="BG176" s="588" t="n"/>
      <c r="BH176" s="588" t="n"/>
      <c r="BI176" s="588" t="n"/>
      <c r="BJ176" s="588" t="n"/>
      <c r="BK176" s="588" t="n"/>
      <c r="BL176" s="588" t="n"/>
      <c r="BM176" s="588" t="n"/>
      <c r="BN176" s="588" t="n"/>
      <c r="BO176" s="588" t="n"/>
      <c r="BP176" s="588" t="n"/>
      <c r="BQ176" s="588" t="n"/>
      <c r="BR176" s="588" t="n"/>
      <c r="BS176" s="588" t="n"/>
      <c r="BT176" s="588" t="n"/>
      <c r="BU176" s="588" t="n"/>
      <c r="BV176" s="588" t="n"/>
      <c r="BW176" s="588" t="n"/>
      <c r="BX176" s="588" t="n"/>
      <c r="BY176" s="588" t="n"/>
      <c r="BZ176" s="588" t="n"/>
      <c r="CA176" s="588" t="n"/>
      <c r="CB176" s="588" t="n"/>
      <c r="CC176" s="588" t="n"/>
      <c r="CD176" s="588" t="n"/>
      <c r="CE176" s="588" t="n"/>
      <c r="CF176" s="588" t="n"/>
      <c r="CG176" s="588" t="n"/>
      <c r="CH176" s="588" t="n"/>
      <c r="CI176" s="588" t="n"/>
      <c r="CJ176" s="588" t="n"/>
      <c r="CK176" s="588" t="n"/>
      <c r="CL176" s="588" t="n"/>
      <c r="CM176" s="588" t="n"/>
      <c r="CN176" s="588" t="n"/>
      <c r="CO176" s="588" t="n"/>
      <c r="CP176" s="588" t="n"/>
      <c r="CQ176" s="588" t="n"/>
      <c r="CR176" s="588" t="n"/>
      <c r="CS176" s="588" t="n"/>
      <c r="CT176" s="588" t="n"/>
      <c r="CU176" s="588" t="n"/>
      <c r="CV176" s="588" t="n"/>
      <c r="CW176" s="588" t="n"/>
      <c r="CX176" s="588" t="n"/>
      <c r="CY176" s="588" t="n"/>
      <c r="CZ176" s="588" t="n"/>
      <c r="DA176" s="588" t="n"/>
      <c r="DB176" s="588" t="n"/>
      <c r="DC176" s="588" t="n"/>
      <c r="DD176" s="588" t="n"/>
      <c r="DE176" s="588" t="n"/>
      <c r="DF176" s="588" t="n"/>
      <c r="DG176" s="588" t="n"/>
      <c r="DH176" s="588" t="n"/>
      <c r="DI176" s="588" t="n"/>
      <c r="DJ176" s="588" t="n"/>
      <c r="DK176" s="588" t="n"/>
      <c r="DL176" s="588" t="n"/>
      <c r="DM176" s="588" t="n"/>
      <c r="DN176" s="588" t="n"/>
      <c r="DO176" s="588" t="n"/>
      <c r="DP176" s="588" t="n"/>
      <c r="DQ176" s="588" t="n"/>
      <c r="DR176" s="588" t="n"/>
      <c r="DS176" s="588" t="n"/>
      <c r="DT176" s="588" t="n"/>
      <c r="DU176" s="588" t="n"/>
    </row>
    <row r="177" ht="13.2" customHeight="1" s="450">
      <c r="A177" s="590" t="n"/>
      <c r="B177" s="727" t="inlineStr">
        <is>
          <t>REPARACION 5cm</t>
        </is>
      </c>
      <c r="C177" s="615" t="n"/>
      <c r="D177" s="588" t="n"/>
      <c r="E177" s="728">
        <f>+F62</f>
        <v/>
      </c>
      <c r="F177" s="723" t="inlineStr">
        <is>
          <t>*095240</t>
        </is>
      </c>
      <c r="G177" s="729" t="n"/>
      <c r="H177" s="729" t="n"/>
      <c r="I177" s="723" t="n"/>
      <c r="J177" s="607" t="n"/>
      <c r="K177" s="723" t="n"/>
      <c r="L177" s="655" t="n"/>
      <c r="M177" s="655" t="n"/>
      <c r="N177" s="655" t="n"/>
      <c r="O177" s="655" t="n"/>
      <c r="P177" s="655" t="n"/>
      <c r="Q177" s="655" t="n"/>
      <c r="R177" s="655" t="n"/>
      <c r="S177" s="655" t="n"/>
      <c r="T177" s="655" t="n"/>
      <c r="U177" s="588" t="n"/>
      <c r="V177" s="588" t="n"/>
      <c r="W177" s="598" t="n"/>
      <c r="X177" s="588" t="n"/>
      <c r="Z177" s="588" t="n"/>
      <c r="AA177" s="588" t="n"/>
      <c r="AB177" s="588" t="n"/>
      <c r="AC177" s="588" t="n"/>
      <c r="AD177" s="588" t="n"/>
      <c r="AE177" s="588" t="n"/>
      <c r="AF177" s="588" t="n"/>
      <c r="AG177" s="588" t="n"/>
      <c r="AH177" s="588" t="n"/>
      <c r="AI177" s="588" t="n"/>
      <c r="AJ177" s="588" t="n"/>
      <c r="AK177" s="588" t="n"/>
      <c r="AL177" s="588" t="n"/>
      <c r="AM177" s="588" t="n"/>
      <c r="AN177" s="588" t="n"/>
      <c r="AO177" s="588" t="n"/>
      <c r="AP177" s="588" t="n"/>
      <c r="AQ177" s="588" t="n"/>
      <c r="AR177" s="588" t="n"/>
      <c r="AS177" s="588" t="n"/>
      <c r="AT177" s="588" t="n"/>
      <c r="AU177" s="588" t="n"/>
      <c r="AV177" s="588" t="n"/>
      <c r="AW177" s="588" t="n"/>
      <c r="AX177" s="588" t="n"/>
      <c r="AY177" s="588" t="n"/>
      <c r="AZ177" s="588" t="n"/>
      <c r="BA177" s="588" t="n"/>
      <c r="BB177" s="588" t="n"/>
      <c r="BC177" s="588" t="n"/>
      <c r="BD177" s="588" t="n"/>
      <c r="BE177" s="588" t="n"/>
      <c r="BF177" s="588" t="n"/>
      <c r="BG177" s="588" t="n"/>
      <c r="BH177" s="588" t="n"/>
      <c r="BI177" s="588" t="n"/>
      <c r="BJ177" s="588" t="n"/>
      <c r="BK177" s="588" t="n"/>
      <c r="BL177" s="588" t="n"/>
      <c r="BM177" s="588" t="n"/>
      <c r="BN177" s="588" t="n"/>
      <c r="BO177" s="588" t="n"/>
      <c r="BP177" s="588" t="n"/>
      <c r="BQ177" s="588" t="n"/>
      <c r="BR177" s="588" t="n"/>
      <c r="BS177" s="588" t="n"/>
      <c r="BT177" s="588" t="n"/>
      <c r="BU177" s="588" t="n"/>
      <c r="BV177" s="588" t="n"/>
      <c r="BW177" s="588" t="n"/>
      <c r="BX177" s="588" t="n"/>
      <c r="BY177" s="588" t="n"/>
      <c r="BZ177" s="588" t="n"/>
      <c r="CA177" s="588" t="n"/>
      <c r="CB177" s="588" t="n"/>
      <c r="CC177" s="588" t="n"/>
      <c r="CD177" s="588" t="n"/>
      <c r="CE177" s="588" t="n"/>
      <c r="CF177" s="588" t="n"/>
      <c r="CG177" s="588" t="n"/>
      <c r="CH177" s="588" t="n"/>
      <c r="CI177" s="588" t="n"/>
      <c r="CJ177" s="588" t="n"/>
      <c r="CK177" s="588" t="n"/>
      <c r="CL177" s="588" t="n"/>
      <c r="CM177" s="588" t="n"/>
      <c r="CN177" s="588" t="n"/>
      <c r="CO177" s="588" t="n"/>
      <c r="CP177" s="588" t="n"/>
      <c r="CQ177" s="588" t="n"/>
      <c r="CR177" s="588" t="n"/>
      <c r="CS177" s="588" t="n"/>
      <c r="CT177" s="588" t="n"/>
      <c r="CU177" s="588" t="n"/>
      <c r="CV177" s="588" t="n"/>
      <c r="CW177" s="588" t="n"/>
      <c r="CX177" s="588" t="n"/>
      <c r="CY177" s="588" t="n"/>
      <c r="CZ177" s="588" t="n"/>
      <c r="DA177" s="588" t="n"/>
      <c r="DB177" s="588" t="n"/>
      <c r="DC177" s="588" t="n"/>
      <c r="DD177" s="588" t="n"/>
      <c r="DE177" s="588" t="n"/>
      <c r="DF177" s="588" t="n"/>
      <c r="DG177" s="588" t="n"/>
      <c r="DH177" s="588" t="n"/>
      <c r="DI177" s="588" t="n"/>
      <c r="DJ177" s="588" t="n"/>
      <c r="DK177" s="588" t="n"/>
      <c r="DL177" s="588" t="n"/>
      <c r="DM177" s="588" t="n"/>
      <c r="DN177" s="588" t="n"/>
      <c r="DO177" s="588" t="n"/>
      <c r="DP177" s="588" t="n"/>
      <c r="DQ177" s="588" t="n"/>
      <c r="DR177" s="588" t="n"/>
      <c r="DS177" s="588" t="n"/>
      <c r="DT177" s="588" t="n"/>
      <c r="DU177" s="588" t="n"/>
    </row>
    <row r="178" ht="13.2" customHeight="1" s="450">
      <c r="A178" s="590" t="n"/>
      <c r="B178" s="730" t="inlineStr">
        <is>
          <t>REPARACION 10cm</t>
        </is>
      </c>
      <c r="C178" s="731" t="n"/>
      <c r="D178" s="588" t="n"/>
      <c r="E178" s="728">
        <f>F50</f>
        <v/>
      </c>
      <c r="F178" s="723" t="inlineStr">
        <is>
          <t>*095265</t>
        </is>
      </c>
      <c r="G178" s="729" t="n"/>
      <c r="H178" s="729" t="n"/>
      <c r="I178" s="723" t="n"/>
      <c r="J178" s="607" t="n"/>
      <c r="K178" s="723" t="n"/>
      <c r="L178" s="655" t="n"/>
      <c r="M178" s="655" t="n"/>
      <c r="N178" s="655" t="n"/>
      <c r="O178" s="655" t="n"/>
      <c r="P178" s="655" t="n"/>
      <c r="Q178" s="655" t="n"/>
      <c r="R178" s="655" t="n"/>
      <c r="S178" s="655" t="n"/>
      <c r="T178" s="655" t="n"/>
      <c r="U178" s="588" t="n"/>
      <c r="V178" s="588" t="n"/>
      <c r="W178" s="598" t="n"/>
      <c r="X178" s="588" t="n"/>
      <c r="Z178" s="588" t="n"/>
      <c r="AA178" s="588" t="n"/>
      <c r="AB178" s="588" t="n"/>
      <c r="AC178" s="588" t="n"/>
      <c r="AD178" s="588" t="n"/>
      <c r="AE178" s="588" t="n"/>
      <c r="AF178" s="588" t="n"/>
      <c r="AG178" s="588" t="n"/>
      <c r="AH178" s="588" t="n"/>
      <c r="AI178" s="588" t="n"/>
      <c r="AJ178" s="588" t="n"/>
      <c r="AK178" s="588" t="n"/>
      <c r="AL178" s="588" t="n"/>
      <c r="AM178" s="588" t="n"/>
      <c r="AN178" s="588" t="n"/>
      <c r="AO178" s="588" t="n"/>
      <c r="AP178" s="588" t="n"/>
      <c r="AQ178" s="588" t="n"/>
      <c r="AR178" s="588" t="n"/>
      <c r="AS178" s="588" t="n"/>
      <c r="AT178" s="588" t="n"/>
      <c r="AU178" s="588" t="n"/>
      <c r="AV178" s="588" t="n"/>
      <c r="AW178" s="588" t="n"/>
      <c r="AX178" s="588" t="n"/>
      <c r="AY178" s="588" t="n"/>
      <c r="AZ178" s="588" t="n"/>
      <c r="BA178" s="588" t="n"/>
      <c r="BB178" s="588" t="n"/>
      <c r="BC178" s="588" t="n"/>
      <c r="BD178" s="588" t="n"/>
      <c r="BE178" s="588" t="n"/>
      <c r="BF178" s="588" t="n"/>
      <c r="BG178" s="588" t="n"/>
      <c r="BH178" s="588" t="n"/>
      <c r="BI178" s="588" t="n"/>
      <c r="BJ178" s="588" t="n"/>
      <c r="BK178" s="588" t="n"/>
      <c r="BL178" s="588" t="n"/>
      <c r="BM178" s="588" t="n"/>
      <c r="BN178" s="588" t="n"/>
      <c r="BO178" s="588" t="n"/>
      <c r="BP178" s="588" t="n"/>
      <c r="BQ178" s="588" t="n"/>
      <c r="BR178" s="588" t="n"/>
      <c r="BS178" s="588" t="n"/>
      <c r="BT178" s="588" t="n"/>
      <c r="BU178" s="588" t="n"/>
      <c r="BV178" s="588" t="n"/>
      <c r="BW178" s="588" t="n"/>
      <c r="BX178" s="588" t="n"/>
      <c r="BY178" s="588" t="n"/>
      <c r="BZ178" s="588" t="n"/>
      <c r="CA178" s="588" t="n"/>
      <c r="CB178" s="588" t="n"/>
      <c r="CC178" s="588" t="n"/>
      <c r="CD178" s="588" t="n"/>
      <c r="CE178" s="588" t="n"/>
      <c r="CF178" s="588" t="n"/>
      <c r="CG178" s="588" t="n"/>
      <c r="CH178" s="588" t="n"/>
      <c r="CI178" s="588" t="n"/>
      <c r="CJ178" s="588" t="n"/>
      <c r="CK178" s="588" t="n"/>
      <c r="CL178" s="588" t="n"/>
      <c r="CM178" s="588" t="n"/>
      <c r="CN178" s="588" t="n"/>
      <c r="CO178" s="588" t="n"/>
      <c r="CP178" s="588" t="n"/>
      <c r="CQ178" s="588" t="n"/>
      <c r="CR178" s="588" t="n"/>
      <c r="CS178" s="588" t="n"/>
      <c r="CT178" s="588" t="n"/>
      <c r="CU178" s="588" t="n"/>
      <c r="CV178" s="588" t="n"/>
      <c r="CW178" s="588" t="n"/>
      <c r="CX178" s="588" t="n"/>
      <c r="CY178" s="588" t="n"/>
      <c r="CZ178" s="588" t="n"/>
      <c r="DA178" s="588" t="n"/>
      <c r="DB178" s="588" t="n"/>
      <c r="DC178" s="588" t="n"/>
      <c r="DD178" s="588" t="n"/>
      <c r="DE178" s="588" t="n"/>
      <c r="DF178" s="588" t="n"/>
      <c r="DG178" s="588" t="n"/>
      <c r="DH178" s="588" t="n"/>
      <c r="DI178" s="588" t="n"/>
      <c r="DJ178" s="588" t="n"/>
      <c r="DK178" s="588" t="n"/>
      <c r="DL178" s="588" t="n"/>
      <c r="DM178" s="588" t="n"/>
      <c r="DN178" s="588" t="n"/>
      <c r="DO178" s="588" t="n"/>
      <c r="DP178" s="588" t="n"/>
      <c r="DQ178" s="588" t="n"/>
      <c r="DR178" s="588" t="n"/>
      <c r="DS178" s="588" t="n"/>
      <c r="DT178" s="588" t="n"/>
      <c r="DU178" s="588" t="n"/>
    </row>
    <row r="179" ht="13.2" customHeight="1" s="450">
      <c r="A179" s="590" t="n"/>
      <c r="B179" s="730" t="inlineStr">
        <is>
          <t>REPARACION 15cm</t>
        </is>
      </c>
      <c r="C179" s="731" t="n"/>
      <c r="D179" s="588" t="n"/>
      <c r="E179" s="728">
        <f>+F74</f>
        <v/>
      </c>
      <c r="F179" s="723" t="inlineStr">
        <is>
          <t>*095275</t>
        </is>
      </c>
      <c r="G179" s="729" t="n"/>
      <c r="H179" s="729" t="n"/>
      <c r="I179" s="723" t="n"/>
      <c r="J179" s="607" t="n"/>
      <c r="K179" s="723" t="n"/>
      <c r="L179" s="655" t="n"/>
      <c r="M179" s="655" t="n"/>
      <c r="N179" s="655" t="n"/>
      <c r="O179" s="655" t="n"/>
      <c r="P179" s="655" t="n"/>
      <c r="Q179" s="655" t="n"/>
      <c r="R179" s="655" t="n"/>
      <c r="S179" s="655" t="n"/>
      <c r="T179" s="655" t="n"/>
      <c r="U179" s="588" t="n"/>
      <c r="V179" s="588" t="n"/>
      <c r="W179" s="598" t="n"/>
      <c r="X179" s="588" t="n"/>
      <c r="Z179" s="588" t="n"/>
      <c r="AA179" s="588" t="n"/>
      <c r="AB179" s="588" t="n"/>
      <c r="AC179" s="588" t="n"/>
      <c r="AD179" s="588" t="n"/>
      <c r="AE179" s="588" t="n"/>
      <c r="AF179" s="588" t="n"/>
      <c r="AG179" s="588" t="n"/>
      <c r="AH179" s="588" t="n"/>
      <c r="AI179" s="588" t="n"/>
      <c r="AJ179" s="588" t="n"/>
      <c r="AK179" s="588" t="n"/>
      <c r="AL179" s="588" t="n"/>
      <c r="AM179" s="588" t="n"/>
      <c r="AN179" s="588" t="n"/>
      <c r="AO179" s="588" t="n"/>
      <c r="AP179" s="588" t="n"/>
      <c r="AQ179" s="588" t="n"/>
      <c r="AR179" s="588" t="n"/>
      <c r="AS179" s="588" t="n"/>
      <c r="AT179" s="588" t="n"/>
      <c r="AU179" s="588" t="n"/>
      <c r="AV179" s="588" t="n"/>
      <c r="AW179" s="588" t="n"/>
      <c r="AX179" s="588" t="n"/>
      <c r="AY179" s="588" t="n"/>
      <c r="AZ179" s="588" t="n"/>
      <c r="BA179" s="588" t="n"/>
      <c r="BB179" s="588" t="n"/>
      <c r="BC179" s="588" t="n"/>
      <c r="BD179" s="588" t="n"/>
      <c r="BE179" s="588" t="n"/>
      <c r="BF179" s="588" t="n"/>
      <c r="BG179" s="588" t="n"/>
      <c r="BH179" s="588" t="n"/>
      <c r="BI179" s="588" t="n"/>
      <c r="BJ179" s="588" t="n"/>
      <c r="BK179" s="588" t="n"/>
      <c r="BL179" s="588" t="n"/>
      <c r="BM179" s="588" t="n"/>
      <c r="BN179" s="588" t="n"/>
      <c r="BO179" s="588" t="n"/>
      <c r="BP179" s="588" t="n"/>
      <c r="BQ179" s="588" t="n"/>
      <c r="BR179" s="588" t="n"/>
      <c r="BS179" s="588" t="n"/>
      <c r="BT179" s="588" t="n"/>
      <c r="BU179" s="588" t="n"/>
      <c r="BV179" s="588" t="n"/>
      <c r="BW179" s="588" t="n"/>
      <c r="BX179" s="588" t="n"/>
      <c r="BY179" s="588" t="n"/>
      <c r="BZ179" s="588" t="n"/>
      <c r="CA179" s="588" t="n"/>
      <c r="CB179" s="588" t="n"/>
      <c r="CC179" s="588" t="n"/>
      <c r="CD179" s="588" t="n"/>
      <c r="CE179" s="588" t="n"/>
      <c r="CF179" s="588" t="n"/>
      <c r="CG179" s="588" t="n"/>
      <c r="CH179" s="588" t="n"/>
      <c r="CI179" s="588" t="n"/>
      <c r="CJ179" s="588" t="n"/>
      <c r="CK179" s="588" t="n"/>
      <c r="CL179" s="588" t="n"/>
      <c r="CM179" s="588" t="n"/>
      <c r="CN179" s="588" t="n"/>
      <c r="CO179" s="588" t="n"/>
      <c r="CP179" s="588" t="n"/>
      <c r="CQ179" s="588" t="n"/>
      <c r="CR179" s="588" t="n"/>
      <c r="CS179" s="588" t="n"/>
      <c r="CT179" s="588" t="n"/>
      <c r="CU179" s="588" t="n"/>
      <c r="CV179" s="588" t="n"/>
      <c r="CW179" s="588" t="n"/>
      <c r="CX179" s="588" t="n"/>
      <c r="CY179" s="588" t="n"/>
      <c r="CZ179" s="588" t="n"/>
      <c r="DA179" s="588" t="n"/>
      <c r="DB179" s="588" t="n"/>
      <c r="DC179" s="588" t="n"/>
      <c r="DD179" s="588" t="n"/>
      <c r="DE179" s="588" t="n"/>
      <c r="DF179" s="588" t="n"/>
      <c r="DG179" s="588" t="n"/>
      <c r="DH179" s="588" t="n"/>
      <c r="DI179" s="588" t="n"/>
      <c r="DJ179" s="588" t="n"/>
      <c r="DK179" s="588" t="n"/>
      <c r="DL179" s="588" t="n"/>
      <c r="DM179" s="588" t="n"/>
      <c r="DN179" s="588" t="n"/>
      <c r="DO179" s="588" t="n"/>
      <c r="DP179" s="588" t="n"/>
      <c r="DQ179" s="588" t="n"/>
      <c r="DR179" s="588" t="n"/>
      <c r="DS179" s="588" t="n"/>
      <c r="DT179" s="588" t="n"/>
      <c r="DU179" s="588" t="n"/>
    </row>
    <row r="180" ht="13.2" customHeight="1" s="450">
      <c r="A180" s="590" t="n"/>
      <c r="B180" s="730" t="inlineStr">
        <is>
          <t>REPARACION 20cm</t>
        </is>
      </c>
      <c r="C180" s="731" t="n"/>
      <c r="D180" s="588" t="n"/>
      <c r="E180" s="728">
        <f>M47+F90+M71</f>
        <v/>
      </c>
      <c r="F180" s="723" t="inlineStr">
        <is>
          <t>*095280</t>
        </is>
      </c>
      <c r="G180" s="729" t="n"/>
      <c r="H180" s="729" t="n"/>
      <c r="I180" s="723" t="n"/>
      <c r="J180" s="607" t="n"/>
      <c r="K180" s="723" t="n"/>
      <c r="L180" s="655" t="n"/>
      <c r="M180" s="655" t="n"/>
      <c r="N180" s="655" t="n"/>
      <c r="O180" s="655" t="n"/>
      <c r="P180" s="655" t="n"/>
      <c r="Q180" s="655" t="n"/>
      <c r="R180" s="655" t="n"/>
      <c r="S180" s="655" t="n"/>
      <c r="T180" s="655" t="n"/>
      <c r="U180" s="588" t="n"/>
      <c r="V180" s="588" t="n"/>
      <c r="W180" s="598" t="n"/>
      <c r="X180" s="588" t="n"/>
      <c r="Z180" s="588" t="n"/>
      <c r="AA180" s="588" t="n"/>
      <c r="AB180" s="588" t="n"/>
      <c r="AC180" s="588" t="n"/>
      <c r="AD180" s="588" t="n"/>
      <c r="AE180" s="588" t="n"/>
      <c r="AF180" s="588" t="n"/>
      <c r="AG180" s="588" t="n"/>
      <c r="AH180" s="588" t="n"/>
      <c r="AI180" s="588" t="n"/>
      <c r="AJ180" s="588" t="n"/>
      <c r="AK180" s="588" t="n"/>
      <c r="AL180" s="588" t="n"/>
      <c r="AM180" s="588" t="n"/>
      <c r="AN180" s="588" t="n"/>
      <c r="AO180" s="588" t="n"/>
      <c r="AP180" s="588" t="n"/>
      <c r="AQ180" s="588" t="n"/>
      <c r="AR180" s="588" t="n"/>
      <c r="AS180" s="588" t="n"/>
      <c r="AT180" s="588" t="n"/>
      <c r="AU180" s="588" t="n"/>
      <c r="AV180" s="588" t="n"/>
      <c r="AW180" s="588" t="n"/>
      <c r="AX180" s="588" t="n"/>
      <c r="AY180" s="588" t="n"/>
      <c r="AZ180" s="588" t="n"/>
      <c r="BA180" s="588" t="n"/>
      <c r="BB180" s="588" t="n"/>
      <c r="BC180" s="588" t="n"/>
      <c r="BD180" s="588" t="n"/>
      <c r="BE180" s="588" t="n"/>
      <c r="BF180" s="588" t="n"/>
      <c r="BG180" s="588" t="n"/>
      <c r="BH180" s="588" t="n"/>
      <c r="BI180" s="588" t="n"/>
      <c r="BJ180" s="588" t="n"/>
      <c r="BK180" s="588" t="n"/>
      <c r="BL180" s="588" t="n"/>
      <c r="BM180" s="588" t="n"/>
      <c r="BN180" s="588" t="n"/>
      <c r="BO180" s="588" t="n"/>
      <c r="BP180" s="588" t="n"/>
      <c r="BQ180" s="588" t="n"/>
      <c r="BR180" s="588" t="n"/>
      <c r="BS180" s="588" t="n"/>
      <c r="BT180" s="588" t="n"/>
      <c r="BU180" s="588" t="n"/>
      <c r="BV180" s="588" t="n"/>
      <c r="BW180" s="588" t="n"/>
      <c r="BX180" s="588" t="n"/>
      <c r="BY180" s="588" t="n"/>
      <c r="BZ180" s="588" t="n"/>
      <c r="CA180" s="588" t="n"/>
      <c r="CB180" s="588" t="n"/>
      <c r="CC180" s="588" t="n"/>
      <c r="CD180" s="588" t="n"/>
      <c r="CE180" s="588" t="n"/>
      <c r="CF180" s="588" t="n"/>
      <c r="CG180" s="588" t="n"/>
      <c r="CH180" s="588" t="n"/>
      <c r="CI180" s="588" t="n"/>
      <c r="CJ180" s="588" t="n"/>
      <c r="CK180" s="588" t="n"/>
      <c r="CL180" s="588" t="n"/>
      <c r="CM180" s="588" t="n"/>
      <c r="CN180" s="588" t="n"/>
      <c r="CO180" s="588" t="n"/>
      <c r="CP180" s="588" t="n"/>
      <c r="CQ180" s="588" t="n"/>
      <c r="CR180" s="588" t="n"/>
      <c r="CS180" s="588" t="n"/>
      <c r="CT180" s="588" t="n"/>
      <c r="CU180" s="588" t="n"/>
      <c r="CV180" s="588" t="n"/>
      <c r="CW180" s="588" t="n"/>
      <c r="CX180" s="588" t="n"/>
      <c r="CY180" s="588" t="n"/>
      <c r="CZ180" s="588" t="n"/>
      <c r="DA180" s="588" t="n"/>
      <c r="DB180" s="588" t="n"/>
      <c r="DC180" s="588" t="n"/>
      <c r="DD180" s="588" t="n"/>
      <c r="DE180" s="588" t="n"/>
      <c r="DF180" s="588" t="n"/>
      <c r="DG180" s="588" t="n"/>
      <c r="DH180" s="588" t="n"/>
      <c r="DI180" s="588" t="n"/>
      <c r="DJ180" s="588" t="n"/>
      <c r="DK180" s="588" t="n"/>
      <c r="DL180" s="588" t="n"/>
      <c r="DM180" s="588" t="n"/>
      <c r="DN180" s="588" t="n"/>
      <c r="DO180" s="588" t="n"/>
      <c r="DP180" s="588" t="n"/>
      <c r="DQ180" s="588" t="n"/>
      <c r="DR180" s="588" t="n"/>
      <c r="DS180" s="588" t="n"/>
      <c r="DT180" s="588" t="n"/>
      <c r="DU180" s="588" t="n"/>
    </row>
    <row r="181" ht="13.2" customHeight="1" s="450">
      <c r="A181" s="590" t="n"/>
      <c r="B181" s="730" t="inlineStr">
        <is>
          <t>ASFALTO 5cm</t>
        </is>
      </c>
      <c r="C181" s="731" t="n"/>
      <c r="D181" s="588" t="n"/>
      <c r="E181" s="728">
        <f>M87</f>
        <v/>
      </c>
      <c r="F181" s="723" t="inlineStr">
        <is>
          <t>*095230</t>
        </is>
      </c>
      <c r="G181" s="729" t="n"/>
      <c r="H181" s="729" t="n"/>
      <c r="I181" s="723" t="n"/>
      <c r="J181" s="607" t="n"/>
      <c r="K181" s="723" t="n"/>
      <c r="L181" s="655" t="n"/>
      <c r="M181" s="655" t="n"/>
      <c r="N181" s="655" t="n"/>
      <c r="O181" s="655" t="n"/>
      <c r="P181" s="655" t="n"/>
      <c r="Q181" s="655" t="n"/>
      <c r="R181" s="655" t="n"/>
      <c r="S181" s="655" t="n"/>
      <c r="T181" s="655" t="n"/>
      <c r="U181" s="588" t="n"/>
      <c r="V181" s="588" t="n"/>
      <c r="W181" s="598" t="n"/>
      <c r="X181" s="588" t="n"/>
      <c r="Z181" s="588" t="n"/>
      <c r="AA181" s="588" t="n"/>
      <c r="AB181" s="588" t="n"/>
      <c r="AC181" s="588" t="n"/>
      <c r="AD181" s="588" t="n"/>
      <c r="AE181" s="588" t="n"/>
      <c r="AF181" s="588" t="n"/>
      <c r="AG181" s="588" t="n"/>
      <c r="AH181" s="588" t="n"/>
      <c r="AI181" s="588" t="n"/>
      <c r="AJ181" s="588" t="n"/>
      <c r="AK181" s="588" t="n"/>
      <c r="AL181" s="588" t="n"/>
      <c r="AM181" s="588" t="n"/>
      <c r="AN181" s="588" t="n"/>
      <c r="AO181" s="588" t="n"/>
      <c r="AP181" s="588" t="n"/>
      <c r="AQ181" s="588" t="n"/>
      <c r="AR181" s="588" t="n"/>
      <c r="AS181" s="588" t="n"/>
      <c r="AT181" s="588" t="n"/>
      <c r="AU181" s="588" t="n"/>
      <c r="AV181" s="588" t="n"/>
      <c r="AW181" s="588" t="n"/>
      <c r="AX181" s="588" t="n"/>
      <c r="AY181" s="588" t="n"/>
      <c r="AZ181" s="588" t="n"/>
      <c r="BA181" s="588" t="n"/>
      <c r="BB181" s="588" t="n"/>
      <c r="BC181" s="588" t="n"/>
      <c r="BD181" s="588" t="n"/>
      <c r="BE181" s="588" t="n"/>
      <c r="BF181" s="588" t="n"/>
      <c r="BG181" s="588" t="n"/>
      <c r="BH181" s="588" t="n"/>
      <c r="BI181" s="588" t="n"/>
      <c r="BJ181" s="588" t="n"/>
      <c r="BK181" s="588" t="n"/>
      <c r="BL181" s="588" t="n"/>
      <c r="BM181" s="588" t="n"/>
      <c r="BN181" s="588" t="n"/>
      <c r="BO181" s="588" t="n"/>
      <c r="BP181" s="588" t="n"/>
      <c r="BQ181" s="588" t="n"/>
      <c r="BR181" s="588" t="n"/>
      <c r="BS181" s="588" t="n"/>
      <c r="BT181" s="588" t="n"/>
      <c r="BU181" s="588" t="n"/>
      <c r="BV181" s="588" t="n"/>
      <c r="BW181" s="588" t="n"/>
      <c r="BX181" s="588" t="n"/>
      <c r="BY181" s="588" t="n"/>
      <c r="BZ181" s="588" t="n"/>
      <c r="CA181" s="588" t="n"/>
      <c r="CB181" s="588" t="n"/>
      <c r="CC181" s="588" t="n"/>
      <c r="CD181" s="588" t="n"/>
      <c r="CE181" s="588" t="n"/>
      <c r="CF181" s="588" t="n"/>
      <c r="CG181" s="588" t="n"/>
      <c r="CH181" s="588" t="n"/>
      <c r="CI181" s="588" t="n"/>
      <c r="CJ181" s="588" t="n"/>
      <c r="CK181" s="588" t="n"/>
      <c r="CL181" s="588" t="n"/>
      <c r="CM181" s="588" t="n"/>
      <c r="CN181" s="588" t="n"/>
      <c r="CO181" s="588" t="n"/>
      <c r="CP181" s="588" t="n"/>
      <c r="CQ181" s="588" t="n"/>
      <c r="CR181" s="588" t="n"/>
      <c r="CS181" s="588" t="n"/>
      <c r="CT181" s="588" t="n"/>
      <c r="CU181" s="588" t="n"/>
      <c r="CV181" s="588" t="n"/>
      <c r="CW181" s="588" t="n"/>
      <c r="CX181" s="588" t="n"/>
      <c r="CY181" s="588" t="n"/>
      <c r="CZ181" s="588" t="n"/>
      <c r="DA181" s="588" t="n"/>
      <c r="DB181" s="588" t="n"/>
      <c r="DC181" s="588" t="n"/>
      <c r="DD181" s="588" t="n"/>
      <c r="DE181" s="588" t="n"/>
      <c r="DF181" s="588" t="n"/>
      <c r="DG181" s="588" t="n"/>
      <c r="DH181" s="588" t="n"/>
      <c r="DI181" s="588" t="n"/>
      <c r="DJ181" s="588" t="n"/>
      <c r="DK181" s="588" t="n"/>
      <c r="DL181" s="588" t="n"/>
      <c r="DM181" s="588" t="n"/>
      <c r="DN181" s="588" t="n"/>
      <c r="DO181" s="588" t="n"/>
      <c r="DP181" s="588" t="n"/>
      <c r="DQ181" s="588" t="n"/>
      <c r="DR181" s="588" t="n"/>
      <c r="DS181" s="588" t="n"/>
      <c r="DT181" s="588" t="n"/>
      <c r="DU181" s="588" t="n"/>
    </row>
    <row r="182" ht="13.2" customHeight="1" s="450">
      <c r="A182" s="590" t="n"/>
      <c r="B182" s="730" t="inlineStr">
        <is>
          <t>AFIRMADO</t>
        </is>
      </c>
      <c r="C182" s="731" t="n"/>
      <c r="D182" s="588" t="n"/>
      <c r="E182" s="728">
        <f>S50+S105+S87+S74</f>
        <v/>
      </c>
      <c r="F182" s="723" t="inlineStr">
        <is>
          <t>*095227</t>
        </is>
      </c>
      <c r="G182" s="729" t="n"/>
      <c r="H182" s="729" t="n"/>
      <c r="I182" s="723" t="n"/>
      <c r="J182" s="607" t="n"/>
      <c r="K182" s="723" t="n"/>
      <c r="L182" s="655" t="n"/>
      <c r="M182" s="655" t="n"/>
      <c r="N182" s="655" t="n"/>
      <c r="O182" s="655" t="n"/>
      <c r="P182" s="655" t="n"/>
      <c r="Q182" s="655" t="n"/>
      <c r="R182" s="655" t="n"/>
      <c r="S182" s="655" t="n"/>
      <c r="T182" s="655" t="n"/>
      <c r="U182" s="588" t="n"/>
      <c r="V182" s="588" t="n"/>
      <c r="W182" s="598" t="n"/>
      <c r="X182" s="588" t="n"/>
      <c r="Z182" s="588" t="n"/>
      <c r="AA182" s="588" t="n"/>
      <c r="AB182" s="588" t="n"/>
      <c r="AC182" s="588" t="n"/>
      <c r="AD182" s="588" t="n"/>
      <c r="AE182" s="588" t="n"/>
      <c r="AF182" s="588" t="n"/>
      <c r="AG182" s="588" t="n"/>
      <c r="AH182" s="588" t="n"/>
      <c r="AI182" s="588" t="n"/>
      <c r="AJ182" s="588" t="n"/>
      <c r="AK182" s="588" t="n"/>
      <c r="AL182" s="588" t="n"/>
      <c r="AM182" s="588" t="n"/>
      <c r="AN182" s="588" t="n"/>
      <c r="AO182" s="588" t="n"/>
      <c r="AP182" s="588" t="n"/>
      <c r="AQ182" s="588" t="n"/>
      <c r="AR182" s="588" t="n"/>
      <c r="AS182" s="588" t="n"/>
      <c r="AT182" s="588" t="n"/>
      <c r="AU182" s="588" t="n"/>
      <c r="AV182" s="588" t="n"/>
      <c r="AW182" s="588" t="n"/>
      <c r="AX182" s="588" t="n"/>
      <c r="AY182" s="588" t="n"/>
      <c r="AZ182" s="588" t="n"/>
      <c r="BA182" s="588" t="n"/>
      <c r="BB182" s="588" t="n"/>
      <c r="BC182" s="588" t="n"/>
      <c r="BD182" s="588" t="n"/>
      <c r="BE182" s="588" t="n"/>
      <c r="BF182" s="588" t="n"/>
      <c r="BG182" s="588" t="n"/>
      <c r="BH182" s="588" t="n"/>
      <c r="BI182" s="588" t="n"/>
      <c r="BJ182" s="588" t="n"/>
      <c r="BK182" s="588" t="n"/>
      <c r="BL182" s="588" t="n"/>
      <c r="BM182" s="588" t="n"/>
      <c r="BN182" s="588" t="n"/>
      <c r="BO182" s="588" t="n"/>
      <c r="BP182" s="588" t="n"/>
      <c r="BQ182" s="588" t="n"/>
      <c r="BR182" s="588" t="n"/>
      <c r="BS182" s="588" t="n"/>
      <c r="BT182" s="588" t="n"/>
      <c r="BU182" s="588" t="n"/>
      <c r="BV182" s="588" t="n"/>
      <c r="BW182" s="588" t="n"/>
      <c r="BX182" s="588" t="n"/>
      <c r="BY182" s="588" t="n"/>
      <c r="BZ182" s="588" t="n"/>
      <c r="CA182" s="588" t="n"/>
      <c r="CB182" s="588" t="n"/>
      <c r="CC182" s="588" t="n"/>
      <c r="CD182" s="588" t="n"/>
      <c r="CE182" s="588" t="n"/>
      <c r="CF182" s="588" t="n"/>
      <c r="CG182" s="588" t="n"/>
      <c r="CH182" s="588" t="n"/>
      <c r="CI182" s="588" t="n"/>
      <c r="CJ182" s="588" t="n"/>
      <c r="CK182" s="588" t="n"/>
      <c r="CL182" s="588" t="n"/>
      <c r="CM182" s="588" t="n"/>
      <c r="CN182" s="588" t="n"/>
      <c r="CO182" s="588" t="n"/>
      <c r="CP182" s="588" t="n"/>
      <c r="CQ182" s="588" t="n"/>
      <c r="CR182" s="588" t="n"/>
      <c r="CS182" s="588" t="n"/>
      <c r="CT182" s="588" t="n"/>
      <c r="CU182" s="588" t="n"/>
      <c r="CV182" s="588" t="n"/>
      <c r="CW182" s="588" t="n"/>
      <c r="CX182" s="588" t="n"/>
      <c r="CY182" s="588" t="n"/>
      <c r="CZ182" s="588" t="n"/>
      <c r="DA182" s="588" t="n"/>
      <c r="DB182" s="588" t="n"/>
      <c r="DC182" s="588" t="n"/>
      <c r="DD182" s="588" t="n"/>
      <c r="DE182" s="588" t="n"/>
      <c r="DF182" s="588" t="n"/>
      <c r="DG182" s="588" t="n"/>
      <c r="DH182" s="588" t="n"/>
      <c r="DI182" s="588" t="n"/>
      <c r="DJ182" s="588" t="n"/>
      <c r="DK182" s="588" t="n"/>
      <c r="DL182" s="588" t="n"/>
      <c r="DM182" s="588" t="n"/>
      <c r="DN182" s="588" t="n"/>
      <c r="DO182" s="588" t="n"/>
      <c r="DP182" s="588" t="n"/>
      <c r="DQ182" s="588" t="n"/>
      <c r="DR182" s="588" t="n"/>
      <c r="DS182" s="588" t="n"/>
      <c r="DT182" s="588" t="n"/>
      <c r="DU182" s="588" t="n"/>
    </row>
    <row r="183" ht="13.2" customHeight="1" s="450">
      <c r="A183" s="590" t="n"/>
      <c r="B183" s="730" t="inlineStr">
        <is>
          <t>ELIMINACION DESMONTE</t>
        </is>
      </c>
      <c r="C183" s="731" t="n"/>
      <c r="D183" s="588" t="n"/>
      <c r="E183" s="728">
        <f>+I169</f>
        <v/>
      </c>
      <c r="F183" s="723" t="inlineStr">
        <is>
          <t>*091794</t>
        </is>
      </c>
      <c r="G183" s="655" t="n"/>
      <c r="H183" s="655" t="n"/>
      <c r="I183" s="655" t="n"/>
      <c r="J183" s="655" t="n"/>
      <c r="K183" s="655" t="n"/>
      <c r="L183" s="655" t="n"/>
      <c r="M183" s="655" t="n"/>
      <c r="N183" s="655" t="n"/>
      <c r="O183" s="655" t="n"/>
      <c r="P183" s="655" t="n"/>
      <c r="Q183" s="655" t="n"/>
      <c r="R183" s="655" t="n"/>
      <c r="S183" s="655" t="n"/>
      <c r="T183" s="655" t="n"/>
      <c r="U183" s="588" t="n"/>
      <c r="V183" s="588" t="n"/>
      <c r="W183" s="598" t="n"/>
      <c r="X183" s="588" t="n"/>
      <c r="Z183" s="588" t="n"/>
      <c r="AA183" s="588" t="n"/>
      <c r="AB183" s="588" t="n"/>
      <c r="AC183" s="588" t="n"/>
      <c r="AD183" s="588" t="n"/>
      <c r="AE183" s="588" t="n"/>
      <c r="AF183" s="588" t="n"/>
      <c r="AG183" s="588" t="n"/>
      <c r="AH183" s="588" t="n"/>
      <c r="AI183" s="588" t="n"/>
      <c r="AJ183" s="588" t="n"/>
      <c r="AK183" s="588" t="n"/>
      <c r="AL183" s="588" t="n"/>
      <c r="AM183" s="588" t="n"/>
      <c r="AN183" s="588" t="n"/>
      <c r="AO183" s="588" t="n"/>
      <c r="AP183" s="588" t="n"/>
      <c r="AQ183" s="588" t="n"/>
      <c r="AR183" s="588" t="n"/>
      <c r="AS183" s="588" t="n"/>
      <c r="AT183" s="588" t="n"/>
      <c r="AU183" s="588" t="n"/>
      <c r="AV183" s="588" t="n"/>
      <c r="AW183" s="588" t="n"/>
      <c r="AX183" s="588" t="n"/>
      <c r="AY183" s="588" t="n"/>
      <c r="AZ183" s="588" t="n"/>
      <c r="BA183" s="588" t="n"/>
      <c r="BB183" s="588" t="n"/>
      <c r="BC183" s="588" t="n"/>
      <c r="BD183" s="588" t="n"/>
      <c r="BE183" s="588" t="n"/>
      <c r="BF183" s="588" t="n"/>
      <c r="BG183" s="588" t="n"/>
      <c r="BH183" s="588" t="n"/>
      <c r="BI183" s="588" t="n"/>
      <c r="BJ183" s="588" t="n"/>
      <c r="BK183" s="588" t="n"/>
      <c r="BL183" s="588" t="n"/>
      <c r="BM183" s="588" t="n"/>
      <c r="BN183" s="588" t="n"/>
      <c r="BO183" s="588" t="n"/>
      <c r="BP183" s="588" t="n"/>
      <c r="BQ183" s="588" t="n"/>
      <c r="BR183" s="588" t="n"/>
      <c r="BS183" s="588" t="n"/>
      <c r="BT183" s="588" t="n"/>
      <c r="BU183" s="588" t="n"/>
      <c r="BV183" s="588" t="n"/>
      <c r="BW183" s="588" t="n"/>
      <c r="BX183" s="588" t="n"/>
      <c r="BY183" s="588" t="n"/>
      <c r="BZ183" s="588" t="n"/>
      <c r="CA183" s="588" t="n"/>
      <c r="CB183" s="588" t="n"/>
      <c r="CC183" s="588" t="n"/>
      <c r="CD183" s="588" t="n"/>
      <c r="CE183" s="588" t="n"/>
      <c r="CF183" s="588" t="n"/>
      <c r="CG183" s="588" t="n"/>
      <c r="CH183" s="588" t="n"/>
      <c r="CI183" s="588" t="n"/>
      <c r="CJ183" s="588" t="n"/>
      <c r="CK183" s="588" t="n"/>
      <c r="CL183" s="588" t="n"/>
      <c r="CM183" s="588" t="n"/>
      <c r="CN183" s="588" t="n"/>
      <c r="CO183" s="588" t="n"/>
      <c r="CP183" s="588" t="n"/>
      <c r="CQ183" s="588" t="n"/>
      <c r="CR183" s="588" t="n"/>
      <c r="CS183" s="588" t="n"/>
      <c r="CT183" s="588" t="n"/>
      <c r="CU183" s="588" t="n"/>
      <c r="CV183" s="588" t="n"/>
      <c r="CW183" s="588" t="n"/>
      <c r="CX183" s="588" t="n"/>
      <c r="CY183" s="588" t="n"/>
      <c r="CZ183" s="588" t="n"/>
      <c r="DA183" s="588" t="n"/>
      <c r="DB183" s="588" t="n"/>
      <c r="DC183" s="588" t="n"/>
      <c r="DD183" s="588" t="n"/>
      <c r="DE183" s="588" t="n"/>
      <c r="DF183" s="588" t="n"/>
      <c r="DG183" s="588" t="n"/>
      <c r="DH183" s="588" t="n"/>
      <c r="DI183" s="588" t="n"/>
      <c r="DJ183" s="588" t="n"/>
      <c r="DK183" s="588" t="n"/>
      <c r="DL183" s="588" t="n"/>
      <c r="DM183" s="588" t="n"/>
      <c r="DN183" s="588" t="n"/>
      <c r="DO183" s="588" t="n"/>
      <c r="DP183" s="588" t="n"/>
      <c r="DQ183" s="588" t="n"/>
      <c r="DR183" s="588" t="n"/>
      <c r="DS183" s="588" t="n"/>
      <c r="DT183" s="588" t="n"/>
      <c r="DU183" s="588" t="n"/>
    </row>
    <row r="184" ht="13.2" customHeight="1" s="450">
      <c r="A184" s="590" t="n"/>
      <c r="B184" s="730" t="inlineStr">
        <is>
          <t>PISO ESPECIAL</t>
        </is>
      </c>
      <c r="C184" s="731" t="n"/>
      <c r="D184" s="588" t="n"/>
      <c r="E184" s="728">
        <f>+F107</f>
        <v/>
      </c>
      <c r="F184" s="723" t="inlineStr">
        <is>
          <t>*091800</t>
        </is>
      </c>
      <c r="G184" s="655" t="n"/>
      <c r="H184" s="655" t="n"/>
      <c r="I184" s="655" t="n"/>
      <c r="J184" s="655" t="n"/>
      <c r="K184" s="655" t="n"/>
      <c r="L184" s="655" t="n"/>
      <c r="M184" s="655" t="n"/>
      <c r="N184" s="655" t="n"/>
      <c r="O184" s="655" t="n"/>
      <c r="P184" s="655" t="n"/>
      <c r="Q184" s="655" t="n"/>
      <c r="R184" s="655" t="n"/>
      <c r="S184" s="655" t="n"/>
      <c r="T184" s="655" t="n"/>
      <c r="U184" s="588" t="n"/>
      <c r="V184" s="588" t="n"/>
      <c r="W184" s="598" t="n"/>
      <c r="X184" s="588" t="n"/>
      <c r="Z184" s="588" t="n"/>
      <c r="AA184" s="588" t="n"/>
      <c r="AB184" s="588" t="n"/>
      <c r="AC184" s="588" t="n"/>
      <c r="AD184" s="588" t="n"/>
      <c r="AE184" s="588" t="n"/>
      <c r="AF184" s="588" t="n"/>
      <c r="AG184" s="588" t="n"/>
      <c r="AH184" s="588" t="n"/>
      <c r="AI184" s="588" t="n"/>
      <c r="AJ184" s="588" t="n"/>
      <c r="AK184" s="588" t="n"/>
      <c r="AL184" s="588" t="n"/>
      <c r="AM184" s="588" t="n"/>
      <c r="AN184" s="588" t="n"/>
      <c r="AO184" s="588" t="n"/>
      <c r="AP184" s="588" t="n"/>
      <c r="AQ184" s="588" t="n"/>
      <c r="AR184" s="588" t="n"/>
      <c r="AS184" s="588" t="n"/>
      <c r="AT184" s="588" t="n"/>
      <c r="AU184" s="588" t="n"/>
      <c r="AV184" s="588" t="n"/>
      <c r="AW184" s="588" t="n"/>
      <c r="AX184" s="588" t="n"/>
      <c r="AY184" s="588" t="n"/>
      <c r="AZ184" s="588" t="n"/>
      <c r="BA184" s="588" t="n"/>
      <c r="BB184" s="588" t="n"/>
      <c r="BC184" s="588" t="n"/>
      <c r="BD184" s="588" t="n"/>
      <c r="BE184" s="588" t="n"/>
      <c r="BF184" s="588" t="n"/>
      <c r="BG184" s="588" t="n"/>
      <c r="BH184" s="588" t="n"/>
      <c r="BI184" s="588" t="n"/>
      <c r="BJ184" s="588" t="n"/>
      <c r="BK184" s="588" t="n"/>
      <c r="BL184" s="588" t="n"/>
      <c r="BM184" s="588" t="n"/>
      <c r="BN184" s="588" t="n"/>
      <c r="BO184" s="588" t="n"/>
      <c r="BP184" s="588" t="n"/>
      <c r="BQ184" s="588" t="n"/>
      <c r="BR184" s="588" t="n"/>
      <c r="BS184" s="588" t="n"/>
      <c r="BT184" s="588" t="n"/>
      <c r="BU184" s="588" t="n"/>
      <c r="BV184" s="588" t="n"/>
      <c r="BW184" s="588" t="n"/>
      <c r="BX184" s="588" t="n"/>
      <c r="BY184" s="588" t="n"/>
      <c r="BZ184" s="588" t="n"/>
      <c r="CA184" s="588" t="n"/>
      <c r="CB184" s="588" t="n"/>
      <c r="CC184" s="588" t="n"/>
      <c r="CD184" s="588" t="n"/>
      <c r="CE184" s="588" t="n"/>
      <c r="CF184" s="588" t="n"/>
      <c r="CG184" s="588" t="n"/>
      <c r="CH184" s="588" t="n"/>
      <c r="CI184" s="588" t="n"/>
      <c r="CJ184" s="588" t="n"/>
      <c r="CK184" s="588" t="n"/>
      <c r="CL184" s="588" t="n"/>
      <c r="CM184" s="588" t="n"/>
      <c r="CN184" s="588" t="n"/>
      <c r="CO184" s="588" t="n"/>
      <c r="CP184" s="588" t="n"/>
      <c r="CQ184" s="588" t="n"/>
      <c r="CR184" s="588" t="n"/>
      <c r="CS184" s="588" t="n"/>
      <c r="CT184" s="588" t="n"/>
      <c r="CU184" s="588" t="n"/>
      <c r="CV184" s="588" t="n"/>
      <c r="CW184" s="588" t="n"/>
      <c r="CX184" s="588" t="n"/>
      <c r="CY184" s="588" t="n"/>
      <c r="CZ184" s="588" t="n"/>
      <c r="DA184" s="588" t="n"/>
      <c r="DB184" s="588" t="n"/>
      <c r="DC184" s="588" t="n"/>
      <c r="DD184" s="588" t="n"/>
      <c r="DE184" s="588" t="n"/>
      <c r="DF184" s="588" t="n"/>
      <c r="DG184" s="588" t="n"/>
      <c r="DH184" s="588" t="n"/>
      <c r="DI184" s="588" t="n"/>
      <c r="DJ184" s="588" t="n"/>
      <c r="DK184" s="588" t="n"/>
      <c r="DL184" s="588" t="n"/>
      <c r="DM184" s="588" t="n"/>
      <c r="DN184" s="588" t="n"/>
      <c r="DO184" s="588" t="n"/>
      <c r="DP184" s="588" t="n"/>
      <c r="DQ184" s="588" t="n"/>
      <c r="DR184" s="588" t="n"/>
      <c r="DS184" s="588" t="n"/>
      <c r="DT184" s="588" t="n"/>
      <c r="DU184" s="588" t="n"/>
    </row>
    <row r="185" ht="13.2" customHeight="1" s="450">
      <c r="A185" s="590" t="n"/>
      <c r="B185" s="730" t="inlineStr">
        <is>
          <t>GRASS</t>
        </is>
      </c>
      <c r="C185" s="731" t="n"/>
      <c r="D185" s="588" t="n"/>
      <c r="E185" s="728">
        <f>+E122</f>
        <v/>
      </c>
      <c r="F185" s="723" t="inlineStr">
        <is>
          <t>*091810</t>
        </is>
      </c>
      <c r="G185" s="655" t="n"/>
      <c r="H185" s="655" t="n"/>
      <c r="I185" s="655" t="n"/>
      <c r="J185" s="655" t="n"/>
      <c r="K185" s="655" t="n"/>
      <c r="L185" s="655" t="n"/>
      <c r="M185" s="655" t="n"/>
      <c r="N185" s="655" t="n"/>
      <c r="O185" s="655" t="n"/>
      <c r="P185" s="655" t="n"/>
      <c r="Q185" s="655" t="n"/>
      <c r="R185" s="655" t="n"/>
      <c r="S185" s="655" t="n"/>
      <c r="T185" s="655" t="n"/>
      <c r="U185" s="588" t="n"/>
      <c r="V185" s="588" t="n"/>
      <c r="W185" s="598" t="n"/>
      <c r="X185" s="588" t="n"/>
      <c r="Z185" s="588" t="n"/>
      <c r="AA185" s="588" t="n"/>
      <c r="AB185" s="588" t="n"/>
      <c r="AC185" s="588" t="n"/>
      <c r="AD185" s="588" t="n"/>
      <c r="AE185" s="588" t="n"/>
      <c r="AF185" s="588" t="n"/>
      <c r="AG185" s="588" t="n"/>
      <c r="AH185" s="588" t="n"/>
      <c r="AI185" s="588" t="n"/>
      <c r="AJ185" s="588" t="n"/>
      <c r="AK185" s="588" t="n"/>
      <c r="AL185" s="588" t="n"/>
      <c r="AM185" s="588" t="n"/>
      <c r="AN185" s="588" t="n"/>
      <c r="AO185" s="588" t="n"/>
      <c r="AP185" s="588" t="n"/>
      <c r="AQ185" s="588" t="n"/>
      <c r="AR185" s="588" t="n"/>
      <c r="AS185" s="588" t="n"/>
      <c r="AT185" s="588" t="n"/>
      <c r="AU185" s="588" t="n"/>
      <c r="AV185" s="588" t="n"/>
      <c r="AW185" s="588" t="n"/>
      <c r="AX185" s="588" t="n"/>
      <c r="AY185" s="588" t="n"/>
      <c r="AZ185" s="588" t="n"/>
      <c r="BA185" s="588" t="n"/>
      <c r="BB185" s="588" t="n"/>
      <c r="BC185" s="588" t="n"/>
      <c r="BD185" s="588" t="n"/>
      <c r="BE185" s="588" t="n"/>
      <c r="BF185" s="588" t="n"/>
      <c r="BG185" s="588" t="n"/>
      <c r="BH185" s="588" t="n"/>
      <c r="BI185" s="588" t="n"/>
      <c r="BJ185" s="588" t="n"/>
      <c r="BK185" s="588" t="n"/>
      <c r="BL185" s="588" t="n"/>
      <c r="BM185" s="588" t="n"/>
      <c r="BN185" s="588" t="n"/>
      <c r="BO185" s="588" t="n"/>
      <c r="BP185" s="588" t="n"/>
      <c r="BQ185" s="588" t="n"/>
      <c r="BR185" s="588" t="n"/>
      <c r="BS185" s="588" t="n"/>
      <c r="BT185" s="588" t="n"/>
      <c r="BU185" s="588" t="n"/>
      <c r="BV185" s="588" t="n"/>
      <c r="BW185" s="588" t="n"/>
      <c r="BX185" s="588" t="n"/>
      <c r="BY185" s="588" t="n"/>
      <c r="BZ185" s="588" t="n"/>
      <c r="CA185" s="588" t="n"/>
      <c r="CB185" s="588" t="n"/>
      <c r="CC185" s="588" t="n"/>
      <c r="CD185" s="588" t="n"/>
      <c r="CE185" s="588" t="n"/>
      <c r="CF185" s="588" t="n"/>
      <c r="CG185" s="588" t="n"/>
      <c r="CH185" s="588" t="n"/>
      <c r="CI185" s="588" t="n"/>
      <c r="CJ185" s="588" t="n"/>
      <c r="CK185" s="588" t="n"/>
      <c r="CL185" s="588" t="n"/>
      <c r="CM185" s="588" t="n"/>
      <c r="CN185" s="588" t="n"/>
      <c r="CO185" s="588" t="n"/>
      <c r="CP185" s="588" t="n"/>
      <c r="CQ185" s="588" t="n"/>
      <c r="CR185" s="588" t="n"/>
      <c r="CS185" s="588" t="n"/>
      <c r="CT185" s="588" t="n"/>
      <c r="CU185" s="588" t="n"/>
      <c r="CV185" s="588" t="n"/>
      <c r="CW185" s="588" t="n"/>
      <c r="CX185" s="588" t="n"/>
      <c r="CY185" s="588" t="n"/>
      <c r="CZ185" s="588" t="n"/>
      <c r="DA185" s="588" t="n"/>
      <c r="DB185" s="588" t="n"/>
      <c r="DC185" s="588" t="n"/>
      <c r="DD185" s="588" t="n"/>
      <c r="DE185" s="588" t="n"/>
      <c r="DF185" s="588" t="n"/>
      <c r="DG185" s="588" t="n"/>
      <c r="DH185" s="588" t="n"/>
      <c r="DI185" s="588" t="n"/>
      <c r="DJ185" s="588" t="n"/>
      <c r="DK185" s="588" t="n"/>
      <c r="DL185" s="588" t="n"/>
      <c r="DM185" s="588" t="n"/>
      <c r="DN185" s="588" t="n"/>
      <c r="DO185" s="588" t="n"/>
      <c r="DP185" s="588" t="n"/>
      <c r="DQ185" s="588" t="n"/>
      <c r="DR185" s="588" t="n"/>
      <c r="DS185" s="588" t="n"/>
      <c r="DT185" s="588" t="n"/>
      <c r="DU185" s="588" t="n"/>
    </row>
    <row r="186" ht="13.2" customHeight="1" s="450">
      <c r="A186" s="590" t="n"/>
      <c r="B186" s="730" t="inlineStr">
        <is>
          <t>SONDEOS</t>
        </is>
      </c>
      <c r="C186" s="731" t="n"/>
      <c r="D186" s="588" t="n"/>
      <c r="E186" s="728">
        <f>+F136</f>
        <v/>
      </c>
      <c r="F186" s="723" t="inlineStr">
        <is>
          <t>*095210</t>
        </is>
      </c>
      <c r="G186" s="655" t="n"/>
      <c r="H186" s="655" t="n"/>
      <c r="I186" s="655" t="n"/>
      <c r="J186" s="655" t="n"/>
      <c r="K186" s="655" t="n"/>
      <c r="L186" s="655" t="n"/>
      <c r="M186" s="655" t="n"/>
      <c r="N186" s="655" t="n"/>
      <c r="O186" s="655" t="n"/>
      <c r="P186" s="655" t="n"/>
      <c r="Q186" s="655" t="n"/>
      <c r="R186" s="655" t="n"/>
      <c r="S186" s="655" t="n"/>
      <c r="T186" s="655" t="n"/>
      <c r="U186" s="588" t="n"/>
      <c r="V186" s="588" t="n"/>
      <c r="W186" s="598" t="n"/>
      <c r="X186" s="588" t="n"/>
      <c r="Z186" s="588" t="n"/>
      <c r="AA186" s="588" t="n"/>
      <c r="AB186" s="588" t="n"/>
      <c r="AC186" s="588" t="n"/>
      <c r="AD186" s="588" t="n"/>
      <c r="AE186" s="588" t="n"/>
      <c r="AF186" s="588" t="n"/>
      <c r="AG186" s="588" t="n"/>
      <c r="AH186" s="588" t="n"/>
      <c r="AI186" s="588" t="n"/>
      <c r="AJ186" s="588" t="n"/>
      <c r="AK186" s="588" t="n"/>
      <c r="AL186" s="588" t="n"/>
      <c r="AM186" s="588" t="n"/>
      <c r="AN186" s="588" t="n"/>
      <c r="AO186" s="588" t="n"/>
      <c r="AP186" s="588" t="n"/>
      <c r="AQ186" s="588" t="n"/>
      <c r="AR186" s="588" t="n"/>
      <c r="AS186" s="588" t="n"/>
      <c r="AT186" s="588" t="n"/>
      <c r="AU186" s="588" t="n"/>
      <c r="AV186" s="588" t="n"/>
      <c r="AW186" s="588" t="n"/>
      <c r="AX186" s="588" t="n"/>
      <c r="AY186" s="588" t="n"/>
      <c r="AZ186" s="588" t="n"/>
      <c r="BA186" s="588" t="n"/>
      <c r="BB186" s="588" t="n"/>
      <c r="BC186" s="588" t="n"/>
      <c r="BD186" s="588" t="n"/>
      <c r="BE186" s="588" t="n"/>
      <c r="BF186" s="588" t="n"/>
      <c r="BG186" s="588" t="n"/>
      <c r="BH186" s="588" t="n"/>
      <c r="BI186" s="588" t="n"/>
      <c r="BJ186" s="588" t="n"/>
      <c r="BK186" s="588" t="n"/>
      <c r="BL186" s="588" t="n"/>
      <c r="BM186" s="588" t="n"/>
      <c r="BN186" s="588" t="n"/>
      <c r="BO186" s="588" t="n"/>
      <c r="BP186" s="588" t="n"/>
      <c r="BQ186" s="588" t="n"/>
      <c r="BR186" s="588" t="n"/>
      <c r="BS186" s="588" t="n"/>
      <c r="BT186" s="588" t="n"/>
      <c r="BU186" s="588" t="n"/>
      <c r="BV186" s="588" t="n"/>
      <c r="BW186" s="588" t="n"/>
      <c r="BX186" s="588" t="n"/>
      <c r="BY186" s="588" t="n"/>
      <c r="BZ186" s="588" t="n"/>
      <c r="CA186" s="588" t="n"/>
      <c r="CB186" s="588" t="n"/>
      <c r="CC186" s="588" t="n"/>
      <c r="CD186" s="588" t="n"/>
      <c r="CE186" s="588" t="n"/>
      <c r="CF186" s="588" t="n"/>
      <c r="CG186" s="588" t="n"/>
      <c r="CH186" s="588" t="n"/>
      <c r="CI186" s="588" t="n"/>
      <c r="CJ186" s="588" t="n"/>
      <c r="CK186" s="588" t="n"/>
      <c r="CL186" s="588" t="n"/>
      <c r="CM186" s="588" t="n"/>
      <c r="CN186" s="588" t="n"/>
      <c r="CO186" s="588" t="n"/>
      <c r="CP186" s="588" t="n"/>
      <c r="CQ186" s="588" t="n"/>
      <c r="CR186" s="588" t="n"/>
      <c r="CS186" s="588" t="n"/>
      <c r="CT186" s="588" t="n"/>
      <c r="CU186" s="588" t="n"/>
      <c r="CV186" s="588" t="n"/>
      <c r="CW186" s="588" t="n"/>
      <c r="CX186" s="588" t="n"/>
      <c r="CY186" s="588" t="n"/>
      <c r="CZ186" s="588" t="n"/>
      <c r="DA186" s="588" t="n"/>
      <c r="DB186" s="588" t="n"/>
      <c r="DC186" s="588" t="n"/>
      <c r="DD186" s="588" t="n"/>
      <c r="DE186" s="588" t="n"/>
      <c r="DF186" s="588" t="n"/>
      <c r="DG186" s="588" t="n"/>
      <c r="DH186" s="588" t="n"/>
      <c r="DI186" s="588" t="n"/>
      <c r="DJ186" s="588" t="n"/>
      <c r="DK186" s="588" t="n"/>
      <c r="DL186" s="588" t="n"/>
      <c r="DM186" s="588" t="n"/>
      <c r="DN186" s="588" t="n"/>
      <c r="DO186" s="588" t="n"/>
      <c r="DP186" s="588" t="n"/>
      <c r="DQ186" s="588" t="n"/>
      <c r="DR186" s="588" t="n"/>
      <c r="DS186" s="588" t="n"/>
      <c r="DT186" s="588" t="n"/>
      <c r="DU186" s="588" t="n"/>
    </row>
    <row r="187" ht="13.2" customHeight="1" s="450">
      <c r="A187" s="590" t="n"/>
      <c r="B187" s="732" t="inlineStr">
        <is>
          <t>JUNTAS DE DILATACION</t>
        </is>
      </c>
      <c r="C187" s="733" t="n"/>
      <c r="D187" s="648" t="n"/>
      <c r="E187" s="734">
        <f>+Q47+Q87+Q71</f>
        <v/>
      </c>
      <c r="F187" s="723" t="inlineStr">
        <is>
          <t>*095282</t>
        </is>
      </c>
      <c r="G187" s="655" t="n"/>
      <c r="H187" s="655" t="n"/>
      <c r="I187" s="655" t="n"/>
      <c r="J187" s="655" t="n"/>
      <c r="K187" s="655" t="n"/>
      <c r="L187" s="655" t="n"/>
      <c r="M187" s="655" t="n"/>
      <c r="N187" s="655" t="n"/>
      <c r="O187" s="655" t="n"/>
      <c r="P187" s="655" t="n"/>
      <c r="Q187" s="655" t="n"/>
      <c r="R187" s="655" t="n"/>
      <c r="S187" s="655" t="n"/>
      <c r="T187" s="655" t="n"/>
      <c r="U187" s="588" t="n"/>
      <c r="V187" s="588" t="n"/>
      <c r="W187" s="598" t="n"/>
      <c r="X187" s="588" t="n"/>
      <c r="Z187" s="588" t="n"/>
      <c r="AA187" s="588" t="n"/>
      <c r="AB187" s="588" t="n"/>
      <c r="AC187" s="588" t="n"/>
      <c r="AD187" s="588" t="n"/>
      <c r="AE187" s="588" t="n"/>
      <c r="AF187" s="588" t="n"/>
      <c r="AG187" s="588" t="n"/>
      <c r="AH187" s="588" t="n"/>
      <c r="AI187" s="588" t="n"/>
      <c r="AJ187" s="588" t="n"/>
      <c r="AK187" s="588" t="n"/>
      <c r="AL187" s="588" t="n"/>
      <c r="AM187" s="588" t="n"/>
      <c r="AN187" s="588" t="n"/>
      <c r="AO187" s="588" t="n"/>
      <c r="AP187" s="588" t="n"/>
      <c r="AQ187" s="588" t="n"/>
      <c r="AR187" s="588" t="n"/>
      <c r="AS187" s="588" t="n"/>
      <c r="AT187" s="588" t="n"/>
      <c r="AU187" s="588" t="n"/>
      <c r="AV187" s="588" t="n"/>
      <c r="AW187" s="588" t="n"/>
      <c r="AX187" s="588" t="n"/>
      <c r="AY187" s="588" t="n"/>
      <c r="AZ187" s="588" t="n"/>
      <c r="BA187" s="588" t="n"/>
      <c r="BB187" s="588" t="n"/>
      <c r="BC187" s="588" t="n"/>
      <c r="BD187" s="588" t="n"/>
      <c r="BE187" s="588" t="n"/>
      <c r="BF187" s="588" t="n"/>
      <c r="BG187" s="588" t="n"/>
      <c r="BH187" s="588" t="n"/>
      <c r="BI187" s="588" t="n"/>
      <c r="BJ187" s="588" t="n"/>
      <c r="BK187" s="588" t="n"/>
      <c r="BL187" s="588" t="n"/>
      <c r="BM187" s="588" t="n"/>
      <c r="BN187" s="588" t="n"/>
      <c r="BO187" s="588" t="n"/>
      <c r="BP187" s="588" t="n"/>
      <c r="BQ187" s="588" t="n"/>
      <c r="BR187" s="588" t="n"/>
      <c r="BS187" s="588" t="n"/>
      <c r="BT187" s="588" t="n"/>
      <c r="BU187" s="588" t="n"/>
      <c r="BV187" s="588" t="n"/>
      <c r="BW187" s="588" t="n"/>
      <c r="BX187" s="588" t="n"/>
      <c r="BY187" s="588" t="n"/>
      <c r="BZ187" s="588" t="n"/>
      <c r="CA187" s="588" t="n"/>
      <c r="CB187" s="588" t="n"/>
      <c r="CC187" s="588" t="n"/>
      <c r="CD187" s="588" t="n"/>
      <c r="CE187" s="588" t="n"/>
      <c r="CF187" s="588" t="n"/>
      <c r="CG187" s="588" t="n"/>
      <c r="CH187" s="588" t="n"/>
      <c r="CI187" s="588" t="n"/>
      <c r="CJ187" s="588" t="n"/>
      <c r="CK187" s="588" t="n"/>
      <c r="CL187" s="588" t="n"/>
      <c r="CM187" s="588" t="n"/>
      <c r="CN187" s="588" t="n"/>
      <c r="CO187" s="588" t="n"/>
      <c r="CP187" s="588" t="n"/>
      <c r="CQ187" s="588" t="n"/>
      <c r="CR187" s="588" t="n"/>
      <c r="CS187" s="588" t="n"/>
      <c r="CT187" s="588" t="n"/>
      <c r="CU187" s="588" t="n"/>
      <c r="CV187" s="588" t="n"/>
      <c r="CW187" s="588" t="n"/>
      <c r="CX187" s="588" t="n"/>
      <c r="CY187" s="588" t="n"/>
      <c r="CZ187" s="588" t="n"/>
      <c r="DA187" s="588" t="n"/>
      <c r="DB187" s="588" t="n"/>
      <c r="DC187" s="588" t="n"/>
      <c r="DD187" s="588" t="n"/>
      <c r="DE187" s="588" t="n"/>
      <c r="DF187" s="588" t="n"/>
      <c r="DG187" s="588" t="n"/>
      <c r="DH187" s="588" t="n"/>
      <c r="DI187" s="588" t="n"/>
      <c r="DJ187" s="588" t="n"/>
      <c r="DK187" s="588" t="n"/>
      <c r="DL187" s="588" t="n"/>
      <c r="DM187" s="588" t="n"/>
      <c r="DN187" s="588" t="n"/>
      <c r="DO187" s="588" t="n"/>
      <c r="DP187" s="588" t="n"/>
      <c r="DQ187" s="588" t="n"/>
      <c r="DR187" s="588" t="n"/>
      <c r="DS187" s="588" t="n"/>
      <c r="DT187" s="588" t="n"/>
      <c r="DU187" s="588" t="n"/>
    </row>
    <row r="188" ht="13.2" customHeight="1" s="450">
      <c r="A188" s="590" t="n"/>
      <c r="B188" s="735" t="n"/>
      <c r="C188" s="731" t="n"/>
      <c r="D188" s="588" t="n"/>
      <c r="E188" s="655" t="n"/>
      <c r="F188" s="723" t="n"/>
      <c r="G188" s="655" t="n"/>
      <c r="H188" s="655" t="n"/>
      <c r="I188" s="655" t="n"/>
      <c r="J188" s="655" t="n"/>
      <c r="K188" s="655" t="n"/>
      <c r="L188" s="655" t="n"/>
      <c r="M188" s="655" t="n"/>
      <c r="N188" s="655" t="n"/>
      <c r="O188" s="655" t="n"/>
      <c r="P188" s="655" t="n"/>
      <c r="Q188" s="655" t="n"/>
      <c r="R188" s="655" t="n"/>
      <c r="S188" s="655" t="n"/>
      <c r="T188" s="655" t="n"/>
      <c r="U188" s="588" t="n"/>
      <c r="V188" s="588" t="n"/>
      <c r="W188" s="598" t="n"/>
      <c r="X188" s="588" t="n"/>
      <c r="Z188" s="588" t="n"/>
      <c r="AA188" s="588" t="n"/>
      <c r="AB188" s="588" t="n"/>
      <c r="AC188" s="588" t="n"/>
      <c r="AD188" s="588" t="n"/>
      <c r="AE188" s="588" t="n"/>
      <c r="AF188" s="588" t="n"/>
      <c r="AG188" s="588" t="n"/>
      <c r="AH188" s="588" t="n"/>
      <c r="AI188" s="588" t="n"/>
      <c r="AJ188" s="588" t="n"/>
      <c r="AK188" s="588" t="n"/>
      <c r="AL188" s="588" t="n"/>
      <c r="AM188" s="588" t="n"/>
      <c r="AN188" s="588" t="n"/>
      <c r="AO188" s="588" t="n"/>
      <c r="AP188" s="588" t="n"/>
      <c r="AQ188" s="588" t="n"/>
      <c r="AR188" s="588" t="n"/>
      <c r="AS188" s="588" t="n"/>
      <c r="AT188" s="588" t="n"/>
      <c r="AU188" s="588" t="n"/>
      <c r="AV188" s="588" t="n"/>
      <c r="AW188" s="588" t="n"/>
      <c r="AX188" s="588" t="n"/>
      <c r="AY188" s="588" t="n"/>
      <c r="AZ188" s="588" t="n"/>
      <c r="BA188" s="588" t="n"/>
      <c r="BB188" s="588" t="n"/>
      <c r="BC188" s="588" t="n"/>
      <c r="BD188" s="588" t="n"/>
      <c r="BE188" s="588" t="n"/>
      <c r="BF188" s="588" t="n"/>
      <c r="BG188" s="588" t="n"/>
      <c r="BH188" s="588" t="n"/>
      <c r="BI188" s="588" t="n"/>
      <c r="BJ188" s="588" t="n"/>
      <c r="BK188" s="588" t="n"/>
      <c r="BL188" s="588" t="n"/>
      <c r="BM188" s="588" t="n"/>
      <c r="BN188" s="588" t="n"/>
      <c r="BO188" s="588" t="n"/>
      <c r="BP188" s="588" t="n"/>
      <c r="BQ188" s="588" t="n"/>
      <c r="BR188" s="588" t="n"/>
      <c r="BS188" s="588" t="n"/>
      <c r="BT188" s="588" t="n"/>
      <c r="BU188" s="588" t="n"/>
      <c r="BV188" s="588" t="n"/>
      <c r="BW188" s="588" t="n"/>
      <c r="BX188" s="588" t="n"/>
      <c r="BY188" s="588" t="n"/>
      <c r="BZ188" s="588" t="n"/>
      <c r="CA188" s="588" t="n"/>
      <c r="CB188" s="588" t="n"/>
      <c r="CC188" s="588" t="n"/>
      <c r="CD188" s="588" t="n"/>
      <c r="CE188" s="588" t="n"/>
      <c r="CF188" s="588" t="n"/>
      <c r="CG188" s="588" t="n"/>
      <c r="CH188" s="588" t="n"/>
      <c r="CI188" s="588" t="n"/>
      <c r="CJ188" s="588" t="n"/>
      <c r="CK188" s="588" t="n"/>
      <c r="CL188" s="588" t="n"/>
      <c r="CM188" s="588" t="n"/>
      <c r="CN188" s="588" t="n"/>
      <c r="CO188" s="588" t="n"/>
      <c r="CP188" s="588" t="n"/>
      <c r="CQ188" s="588" t="n"/>
      <c r="CR188" s="588" t="n"/>
      <c r="CS188" s="588" t="n"/>
      <c r="CT188" s="588" t="n"/>
      <c r="CU188" s="588" t="n"/>
      <c r="CV188" s="588" t="n"/>
      <c r="CW188" s="588" t="n"/>
      <c r="CX188" s="588" t="n"/>
      <c r="CY188" s="588" t="n"/>
      <c r="CZ188" s="588" t="n"/>
      <c r="DA188" s="588" t="n"/>
      <c r="DB188" s="588" t="n"/>
      <c r="DC188" s="588" t="n"/>
      <c r="DD188" s="588" t="n"/>
      <c r="DE188" s="588" t="n"/>
      <c r="DF188" s="588" t="n"/>
      <c r="DG188" s="588" t="n"/>
      <c r="DH188" s="588" t="n"/>
      <c r="DI188" s="588" t="n"/>
      <c r="DJ188" s="588" t="n"/>
      <c r="DK188" s="588" t="n"/>
      <c r="DL188" s="588" t="n"/>
      <c r="DM188" s="588" t="n"/>
      <c r="DN188" s="588" t="n"/>
      <c r="DO188" s="588" t="n"/>
      <c r="DP188" s="588" t="n"/>
      <c r="DQ188" s="588" t="n"/>
      <c r="DR188" s="588" t="n"/>
      <c r="DS188" s="588" t="n"/>
      <c r="DT188" s="588" t="n"/>
      <c r="DU188" s="588" t="n"/>
    </row>
    <row r="189" ht="20.4" customHeight="1" s="450" thickBot="1">
      <c r="A189" s="590" t="n"/>
      <c r="B189" s="591" t="inlineStr">
        <is>
          <t>CUADRO DE REP CX</t>
        </is>
      </c>
      <c r="C189" s="592" t="n"/>
      <c r="D189" s="592" t="n"/>
      <c r="E189" s="592" t="n"/>
      <c r="F189" s="593" t="n"/>
      <c r="G189" s="119" t="n"/>
      <c r="H189" s="592" t="n"/>
      <c r="I189" s="592" t="n"/>
      <c r="J189" s="592" t="n"/>
      <c r="K189" s="592" t="n"/>
      <c r="L189" s="594" t="n"/>
      <c r="M189" s="592" t="n"/>
      <c r="N189" s="592" t="n"/>
      <c r="O189" s="592" t="n"/>
      <c r="P189" s="592" t="n"/>
      <c r="Q189" s="594" t="n"/>
      <c r="R189" s="592" t="n"/>
      <c r="S189" s="592" t="n"/>
      <c r="T189" s="592" t="n"/>
      <c r="U189" s="592" t="n"/>
      <c r="V189" s="592" t="n"/>
      <c r="W189" s="594" t="n"/>
      <c r="X189" s="592" t="n"/>
      <c r="Z189" s="588" t="n"/>
      <c r="AA189" s="588" t="n"/>
      <c r="AB189" s="588" t="n"/>
      <c r="AC189" s="588" t="n"/>
      <c r="AD189" s="588" t="n"/>
      <c r="AE189" s="588" t="n"/>
      <c r="AF189" s="588" t="n"/>
      <c r="AG189" s="588" t="n"/>
      <c r="AH189" s="588" t="n"/>
      <c r="AI189" s="588" t="n"/>
      <c r="AJ189" s="588" t="n"/>
      <c r="AK189" s="588" t="n"/>
      <c r="AL189" s="588" t="n"/>
      <c r="AM189" s="588" t="n"/>
      <c r="AN189" s="588" t="n"/>
      <c r="AO189" s="588" t="n"/>
      <c r="AP189" s="588" t="n"/>
      <c r="AQ189" s="588" t="n"/>
      <c r="AR189" s="588" t="n"/>
      <c r="AS189" s="588" t="n"/>
      <c r="AT189" s="588" t="n"/>
      <c r="AU189" s="588" t="n"/>
      <c r="AV189" s="588" t="n"/>
      <c r="AW189" s="588" t="n"/>
      <c r="AX189" s="588" t="n"/>
      <c r="AY189" s="588" t="n"/>
      <c r="AZ189" s="588" t="n"/>
      <c r="BA189" s="588" t="n"/>
      <c r="BB189" s="588" t="n"/>
      <c r="BC189" s="588" t="n"/>
      <c r="BD189" s="588" t="n"/>
      <c r="BE189" s="588" t="n"/>
      <c r="BF189" s="588" t="n"/>
      <c r="BG189" s="588" t="n"/>
      <c r="BH189" s="588" t="n"/>
      <c r="BI189" s="588" t="n"/>
      <c r="BJ189" s="588" t="n"/>
      <c r="BK189" s="588" t="n"/>
      <c r="BL189" s="588" t="n"/>
      <c r="BM189" s="588" t="n"/>
      <c r="BN189" s="588" t="n"/>
      <c r="BO189" s="588" t="n"/>
      <c r="BP189" s="588" t="n"/>
      <c r="BQ189" s="588" t="n"/>
      <c r="BR189" s="588" t="n"/>
      <c r="BS189" s="588" t="n"/>
      <c r="BT189" s="588" t="n"/>
      <c r="BU189" s="588" t="n"/>
      <c r="BV189" s="588" t="n"/>
      <c r="BW189" s="588" t="n"/>
      <c r="BX189" s="588" t="n"/>
      <c r="BY189" s="588" t="n"/>
      <c r="BZ189" s="588" t="n"/>
      <c r="CA189" s="588" t="n"/>
      <c r="CB189" s="588" t="n"/>
      <c r="CC189" s="588" t="n"/>
      <c r="CD189" s="588" t="n"/>
      <c r="CE189" s="588" t="n"/>
      <c r="CF189" s="588" t="n"/>
      <c r="CG189" s="588" t="n"/>
      <c r="CH189" s="588" t="n"/>
      <c r="CI189" s="588" t="n"/>
      <c r="CJ189" s="588" t="n"/>
      <c r="CK189" s="588" t="n"/>
      <c r="CL189" s="588" t="n"/>
      <c r="CM189" s="588" t="n"/>
      <c r="CN189" s="588" t="n"/>
      <c r="CO189" s="588" t="n"/>
      <c r="CP189" s="588" t="n"/>
      <c r="CQ189" s="588" t="n"/>
      <c r="CR189" s="588" t="n"/>
      <c r="CS189" s="588" t="n"/>
      <c r="CT189" s="588" t="n"/>
      <c r="CU189" s="588" t="n"/>
      <c r="CV189" s="588" t="n"/>
      <c r="CW189" s="588" t="n"/>
      <c r="CX189" s="588" t="n"/>
      <c r="CY189" s="588" t="n"/>
      <c r="CZ189" s="588" t="n"/>
      <c r="DA189" s="588" t="n"/>
      <c r="DB189" s="588" t="n"/>
      <c r="DC189" s="588" t="n"/>
      <c r="DD189" s="588" t="n"/>
      <c r="DE189" s="588" t="n"/>
      <c r="DF189" s="588" t="n"/>
      <c r="DG189" s="588" t="n"/>
      <c r="DH189" s="588" t="n"/>
      <c r="DI189" s="588" t="n"/>
      <c r="DJ189" s="588" t="n"/>
      <c r="DK189" s="588" t="n"/>
      <c r="DL189" s="588" t="n"/>
      <c r="DM189" s="588" t="n"/>
      <c r="DN189" s="588" t="n"/>
      <c r="DO189" s="588" t="n"/>
      <c r="DP189" s="588" t="n"/>
      <c r="DQ189" s="588" t="n"/>
      <c r="DR189" s="588" t="n"/>
      <c r="DS189" s="588" t="n"/>
      <c r="DT189" s="588" t="n"/>
      <c r="DU189" s="588" t="n"/>
    </row>
    <row r="190" ht="13.8" customHeight="1" s="450" thickTop="1">
      <c r="A190" s="590" t="n"/>
      <c r="B190" s="590" t="n"/>
      <c r="C190" s="595" t="n"/>
      <c r="D190" s="596" t="n"/>
      <c r="E190" s="596" t="n"/>
      <c r="F190" s="596" t="n"/>
      <c r="G190" s="595" t="n"/>
      <c r="H190" s="597" t="n"/>
      <c r="I190" s="596" t="n"/>
      <c r="J190" s="596" t="n"/>
      <c r="K190" s="596" t="n"/>
      <c r="L190" s="595" t="n"/>
      <c r="M190" s="596" t="n"/>
      <c r="N190" s="596" t="n"/>
      <c r="O190" s="596" t="n"/>
      <c r="P190" s="596" t="n"/>
      <c r="Q190" s="595" t="n"/>
      <c r="R190" s="596" t="n"/>
      <c r="S190" s="596" t="n"/>
      <c r="T190" s="596" t="n"/>
      <c r="U190" s="588" t="n"/>
      <c r="V190" s="588" t="n"/>
      <c r="W190" s="598" t="n"/>
      <c r="X190" s="588" t="n"/>
      <c r="Z190" s="588" t="n"/>
      <c r="AA190" s="588" t="n"/>
      <c r="AB190" s="588" t="n"/>
      <c r="AC190" s="588" t="n"/>
      <c r="AD190" s="588" t="n"/>
      <c r="AE190" s="588" t="n"/>
      <c r="AF190" s="588" t="n"/>
      <c r="AG190" s="588" t="n"/>
      <c r="AH190" s="588" t="n"/>
      <c r="AI190" s="588" t="n"/>
      <c r="AJ190" s="588" t="n"/>
      <c r="AK190" s="588" t="n"/>
      <c r="AL190" s="588" t="n"/>
      <c r="AM190" s="588" t="n"/>
      <c r="AN190" s="588" t="n"/>
      <c r="AO190" s="588" t="n"/>
      <c r="AP190" s="588" t="n"/>
      <c r="AQ190" s="588" t="n"/>
      <c r="AR190" s="588" t="n"/>
      <c r="AS190" s="588" t="n"/>
      <c r="AT190" s="588" t="n"/>
      <c r="AU190" s="588" t="n"/>
      <c r="AV190" s="588" t="n"/>
      <c r="AW190" s="588" t="n"/>
      <c r="AX190" s="588" t="n"/>
      <c r="AY190" s="588" t="n"/>
      <c r="AZ190" s="588" t="n"/>
      <c r="BA190" s="588" t="n"/>
      <c r="BB190" s="588" t="n"/>
      <c r="BC190" s="588" t="n"/>
      <c r="BD190" s="588" t="n"/>
      <c r="BE190" s="588" t="n"/>
      <c r="BF190" s="588" t="n"/>
      <c r="BG190" s="588" t="n"/>
      <c r="BH190" s="588" t="n"/>
      <c r="BI190" s="588" t="n"/>
      <c r="BJ190" s="588" t="n"/>
      <c r="BK190" s="588" t="n"/>
      <c r="BL190" s="588" t="n"/>
      <c r="BM190" s="588" t="n"/>
      <c r="BN190" s="588" t="n"/>
      <c r="BO190" s="588" t="n"/>
      <c r="BP190" s="588" t="n"/>
      <c r="BQ190" s="588" t="n"/>
      <c r="BR190" s="588" t="n"/>
      <c r="BS190" s="588" t="n"/>
      <c r="BT190" s="588" t="n"/>
      <c r="BU190" s="588" t="n"/>
      <c r="BV190" s="588" t="n"/>
      <c r="BW190" s="588" t="n"/>
      <c r="BX190" s="588" t="n"/>
      <c r="BY190" s="588" t="n"/>
      <c r="BZ190" s="588" t="n"/>
      <c r="CA190" s="588" t="n"/>
      <c r="CB190" s="588" t="n"/>
      <c r="CC190" s="588" t="n"/>
      <c r="CD190" s="588" t="n"/>
      <c r="CE190" s="588" t="n"/>
      <c r="CF190" s="588" t="n"/>
      <c r="CG190" s="588" t="n"/>
      <c r="CH190" s="588" t="n"/>
      <c r="CI190" s="588" t="n"/>
      <c r="CJ190" s="588" t="n"/>
      <c r="CK190" s="588" t="n"/>
      <c r="CL190" s="588" t="n"/>
      <c r="CM190" s="588" t="n"/>
      <c r="CN190" s="588" t="n"/>
      <c r="CO190" s="588" t="n"/>
      <c r="CP190" s="588" t="n"/>
      <c r="CQ190" s="588" t="n"/>
      <c r="CR190" s="588" t="n"/>
      <c r="CS190" s="588" t="n"/>
      <c r="CT190" s="588" t="n"/>
      <c r="CU190" s="588" t="n"/>
      <c r="CV190" s="588" t="n"/>
      <c r="CW190" s="588" t="n"/>
      <c r="CX190" s="588" t="n"/>
      <c r="CY190" s="588" t="n"/>
      <c r="CZ190" s="588" t="n"/>
      <c r="DA190" s="588" t="n"/>
      <c r="DB190" s="588" t="n"/>
      <c r="DC190" s="588" t="n"/>
      <c r="DD190" s="588" t="n"/>
      <c r="DE190" s="588" t="n"/>
      <c r="DF190" s="588" t="n"/>
      <c r="DG190" s="588" t="n"/>
      <c r="DH190" s="588" t="n"/>
      <c r="DI190" s="588" t="n"/>
      <c r="DJ190" s="588" t="n"/>
      <c r="DK190" s="588" t="n"/>
      <c r="DL190" s="588" t="n"/>
      <c r="DM190" s="588" t="n"/>
      <c r="DN190" s="588" t="n"/>
      <c r="DO190" s="588" t="n"/>
      <c r="DP190" s="588" t="n"/>
      <c r="DQ190" s="588" t="n"/>
      <c r="DR190" s="588" t="n"/>
      <c r="DS190" s="588" t="n"/>
      <c r="DT190" s="588" t="n"/>
      <c r="DU190" s="588" t="n"/>
    </row>
    <row r="191" ht="13.2" customHeight="1" s="450">
      <c r="A191" s="590" t="n"/>
      <c r="B191" s="601" t="inlineStr">
        <is>
          <t>Vereda 10cm</t>
        </is>
      </c>
      <c r="C191" s="581" t="n"/>
      <c r="D191" s="582" t="n"/>
      <c r="E191" s="601" t="inlineStr">
        <is>
          <t>Rot.</t>
        </is>
      </c>
      <c r="F191" s="601" t="inlineStr">
        <is>
          <t>Rep.</t>
        </is>
      </c>
      <c r="G191" s="602" t="n"/>
      <c r="H191" s="597" t="n"/>
      <c r="I191" s="601" t="inlineStr">
        <is>
          <t>Sardinel 20cm</t>
        </is>
      </c>
      <c r="J191" s="581" t="n"/>
      <c r="K191" s="582" t="n"/>
      <c r="L191" s="601" t="inlineStr">
        <is>
          <t>Rot.</t>
        </is>
      </c>
      <c r="M191" s="601" t="inlineStr">
        <is>
          <t>Rep.</t>
        </is>
      </c>
      <c r="N191" s="603" t="n"/>
      <c r="O191" s="601" t="inlineStr">
        <is>
          <t>Juntas de Dilatacion</t>
        </is>
      </c>
      <c r="P191" s="581" t="n"/>
      <c r="Q191" s="582" t="n"/>
      <c r="R191" s="603" t="n"/>
      <c r="S191" s="601" t="inlineStr">
        <is>
          <t>Afirmad.</t>
        </is>
      </c>
      <c r="T191" s="603" t="n"/>
      <c r="U191" s="601" t="inlineStr">
        <is>
          <t>Descuento</t>
        </is>
      </c>
      <c r="V191" s="581" t="n"/>
      <c r="W191" s="581" t="n"/>
      <c r="X191" s="582" t="n"/>
      <c r="Z191" s="588" t="n"/>
      <c r="AA191" s="588" t="n"/>
      <c r="AB191" s="588" t="n"/>
      <c r="AC191" s="588" t="n"/>
      <c r="AD191" s="588" t="n"/>
      <c r="AE191" s="588" t="n"/>
      <c r="AF191" s="588" t="n"/>
      <c r="AG191" s="588" t="n"/>
      <c r="AH191" s="588" t="n"/>
      <c r="AI191" s="588" t="n"/>
      <c r="AJ191" s="588" t="n"/>
      <c r="AK191" s="588" t="n"/>
      <c r="AL191" s="588" t="n"/>
      <c r="AM191" s="588" t="n"/>
      <c r="AN191" s="588" t="n"/>
      <c r="AO191" s="588" t="n"/>
      <c r="AP191" s="588" t="n"/>
      <c r="AQ191" s="588" t="n"/>
      <c r="AR191" s="588" t="n"/>
      <c r="AS191" s="588" t="n"/>
      <c r="AT191" s="588" t="n"/>
      <c r="AU191" s="588" t="n"/>
      <c r="AV191" s="588" t="n"/>
      <c r="AW191" s="588" t="n"/>
      <c r="AX191" s="588" t="n"/>
      <c r="AY191" s="588" t="n"/>
      <c r="AZ191" s="588" t="n"/>
      <c r="BA191" s="588" t="n"/>
      <c r="BB191" s="588" t="n"/>
      <c r="BC191" s="588" t="n"/>
      <c r="BD191" s="588" t="n"/>
      <c r="BE191" s="588" t="n"/>
      <c r="BF191" s="588" t="n"/>
      <c r="BG191" s="588" t="n"/>
      <c r="BH191" s="588" t="n"/>
      <c r="BI191" s="588" t="n"/>
      <c r="BJ191" s="588" t="n"/>
      <c r="BK191" s="588" t="n"/>
      <c r="BL191" s="588" t="n"/>
      <c r="BM191" s="588" t="n"/>
      <c r="BN191" s="588" t="n"/>
      <c r="BO191" s="588" t="n"/>
      <c r="BP191" s="588" t="n"/>
      <c r="BQ191" s="588" t="n"/>
      <c r="BR191" s="588" t="n"/>
      <c r="BS191" s="588" t="n"/>
      <c r="BT191" s="588" t="n"/>
      <c r="BU191" s="588" t="n"/>
      <c r="BV191" s="588" t="n"/>
      <c r="BW191" s="588" t="n"/>
      <c r="BX191" s="588" t="n"/>
      <c r="BY191" s="588" t="n"/>
      <c r="BZ191" s="588" t="n"/>
      <c r="CA191" s="588" t="n"/>
      <c r="CB191" s="588" t="n"/>
      <c r="CC191" s="588" t="n"/>
      <c r="CD191" s="588" t="n"/>
      <c r="CE191" s="588" t="n"/>
      <c r="CF191" s="588" t="n"/>
      <c r="CG191" s="588" t="n"/>
      <c r="CH191" s="588" t="n"/>
      <c r="CI191" s="588" t="n"/>
      <c r="CJ191" s="588" t="n"/>
      <c r="CK191" s="588" t="n"/>
      <c r="CL191" s="588" t="n"/>
      <c r="CM191" s="588" t="n"/>
      <c r="CN191" s="588" t="n"/>
      <c r="CO191" s="588" t="n"/>
      <c r="CP191" s="588" t="n"/>
      <c r="CQ191" s="588" t="n"/>
      <c r="CR191" s="588" t="n"/>
      <c r="CS191" s="588" t="n"/>
      <c r="CT191" s="588" t="n"/>
      <c r="CU191" s="588" t="n"/>
      <c r="CV191" s="588" t="n"/>
      <c r="CW191" s="588" t="n"/>
      <c r="CX191" s="588" t="n"/>
      <c r="CY191" s="588" t="n"/>
      <c r="CZ191" s="588" t="n"/>
      <c r="DA191" s="588" t="n"/>
      <c r="DB191" s="588" t="n"/>
      <c r="DC191" s="588" t="n"/>
      <c r="DD191" s="588" t="n"/>
      <c r="DE191" s="588" t="n"/>
      <c r="DF191" s="588" t="n"/>
      <c r="DG191" s="588" t="n"/>
      <c r="DH191" s="588" t="n"/>
      <c r="DI191" s="588" t="n"/>
      <c r="DJ191" s="588" t="n"/>
      <c r="DK191" s="588" t="n"/>
      <c r="DL191" s="588" t="n"/>
      <c r="DM191" s="588" t="n"/>
      <c r="DN191" s="588" t="n"/>
      <c r="DO191" s="588" t="n"/>
      <c r="DP191" s="588" t="n"/>
      <c r="DQ191" s="588" t="n"/>
      <c r="DR191" s="588" t="n"/>
      <c r="DS191" s="588" t="n"/>
      <c r="DT191" s="588" t="n"/>
      <c r="DU191" s="588" t="n"/>
    </row>
    <row r="192" outlineLevel="1" ht="13.2" customHeight="1" s="450">
      <c r="A192" s="590" t="n"/>
      <c r="B192" s="605" t="inlineStr">
        <is>
          <t>N°</t>
        </is>
      </c>
      <c r="C192" s="605" t="inlineStr">
        <is>
          <t>Largo</t>
        </is>
      </c>
      <c r="D192" s="606" t="inlineStr">
        <is>
          <t>Ancho</t>
        </is>
      </c>
      <c r="E192" s="605" t="inlineStr">
        <is>
          <t>m2</t>
        </is>
      </c>
      <c r="F192" s="605" t="inlineStr">
        <is>
          <t>m2</t>
        </is>
      </c>
      <c r="G192" s="601" t="inlineStr">
        <is>
          <t>Observ.</t>
        </is>
      </c>
      <c r="H192" s="607" t="n"/>
      <c r="I192" s="601" t="inlineStr">
        <is>
          <t>N°</t>
        </is>
      </c>
      <c r="J192" s="601" t="inlineStr">
        <is>
          <t>Largo</t>
        </is>
      </c>
      <c r="K192" s="601" t="inlineStr">
        <is>
          <t>Ancho</t>
        </is>
      </c>
      <c r="L192" s="605" t="inlineStr">
        <is>
          <t>m2</t>
        </is>
      </c>
      <c r="M192" s="605" t="inlineStr">
        <is>
          <t>m2</t>
        </is>
      </c>
      <c r="N192" s="603" t="n"/>
      <c r="O192" s="601" t="inlineStr">
        <is>
          <t>Ancho</t>
        </is>
      </c>
      <c r="P192" s="601" t="inlineStr">
        <is>
          <t>Cant.</t>
        </is>
      </c>
      <c r="Q192" s="601" t="inlineStr">
        <is>
          <t>Total</t>
        </is>
      </c>
      <c r="R192" s="603" t="n"/>
      <c r="S192" s="601" t="inlineStr">
        <is>
          <t>m2</t>
        </is>
      </c>
      <c r="T192" s="603" t="n"/>
      <c r="U192" s="601" t="inlineStr">
        <is>
          <t>Largo</t>
        </is>
      </c>
      <c r="V192" s="605" t="inlineStr">
        <is>
          <t>Cant.</t>
        </is>
      </c>
      <c r="W192" s="605" t="inlineStr">
        <is>
          <t>Total</t>
        </is>
      </c>
      <c r="X192" s="605" t="inlineStr">
        <is>
          <t>OBS.</t>
        </is>
      </c>
      <c r="Z192" s="588" t="n"/>
      <c r="AA192" s="588" t="n"/>
      <c r="AB192" s="588" t="n"/>
      <c r="AC192" s="588" t="n"/>
      <c r="AD192" s="588" t="n"/>
      <c r="AE192" s="588" t="n"/>
      <c r="AF192" s="588" t="n"/>
      <c r="AG192" s="588" t="n"/>
      <c r="AH192" s="588" t="n"/>
      <c r="AI192" s="588" t="n"/>
      <c r="AJ192" s="588" t="n"/>
      <c r="AK192" s="588" t="n"/>
      <c r="AL192" s="588" t="n"/>
      <c r="AM192" s="588" t="n"/>
      <c r="AN192" s="588" t="n"/>
      <c r="AO192" s="588" t="n"/>
      <c r="AP192" s="588" t="n"/>
      <c r="AQ192" s="588" t="n"/>
      <c r="AR192" s="588" t="n"/>
      <c r="AS192" s="588" t="n"/>
      <c r="AT192" s="588" t="n"/>
      <c r="AU192" s="588" t="n"/>
      <c r="AV192" s="588" t="n"/>
      <c r="AW192" s="588" t="n"/>
      <c r="AX192" s="588" t="n"/>
      <c r="AY192" s="588" t="n"/>
      <c r="AZ192" s="588" t="n"/>
      <c r="BA192" s="588" t="n"/>
      <c r="BB192" s="588" t="n"/>
      <c r="BC192" s="588" t="n"/>
      <c r="BD192" s="588" t="n"/>
      <c r="BE192" s="588" t="n"/>
      <c r="BF192" s="588" t="n"/>
      <c r="BG192" s="588" t="n"/>
      <c r="BH192" s="588" t="n"/>
      <c r="BI192" s="588" t="n"/>
      <c r="BJ192" s="588" t="n"/>
      <c r="BK192" s="588" t="n"/>
      <c r="BL192" s="588" t="n"/>
      <c r="BM192" s="588" t="n"/>
      <c r="BN192" s="588" t="n"/>
      <c r="BO192" s="588" t="n"/>
      <c r="BP192" s="588" t="n"/>
      <c r="BQ192" s="588" t="n"/>
      <c r="BR192" s="588" t="n"/>
      <c r="BS192" s="588" t="n"/>
      <c r="BT192" s="588" t="n"/>
      <c r="BU192" s="588" t="n"/>
      <c r="BV192" s="588" t="n"/>
      <c r="BW192" s="588" t="n"/>
      <c r="BX192" s="588" t="n"/>
      <c r="BY192" s="588" t="n"/>
      <c r="BZ192" s="588" t="n"/>
      <c r="CA192" s="588" t="n"/>
      <c r="CB192" s="588" t="n"/>
      <c r="CC192" s="588" t="n"/>
      <c r="CD192" s="588" t="n"/>
      <c r="CE192" s="588" t="n"/>
      <c r="CF192" s="588" t="n"/>
      <c r="CG192" s="588" t="n"/>
      <c r="CH192" s="588" t="n"/>
      <c r="CI192" s="588" t="n"/>
      <c r="CJ192" s="588" t="n"/>
      <c r="CK192" s="588" t="n"/>
      <c r="CL192" s="588" t="n"/>
      <c r="CM192" s="588" t="n"/>
      <c r="CN192" s="588" t="n"/>
      <c r="CO192" s="588" t="n"/>
      <c r="CP192" s="588" t="n"/>
      <c r="CQ192" s="588" t="n"/>
      <c r="CR192" s="588" t="n"/>
      <c r="CS192" s="588" t="n"/>
      <c r="CT192" s="588" t="n"/>
      <c r="CU192" s="588" t="n"/>
      <c r="CV192" s="588" t="n"/>
      <c r="CW192" s="588" t="n"/>
      <c r="CX192" s="588" t="n"/>
      <c r="CY192" s="588" t="n"/>
      <c r="CZ192" s="588" t="n"/>
      <c r="DA192" s="588" t="n"/>
      <c r="DB192" s="588" t="n"/>
      <c r="DC192" s="588" t="n"/>
      <c r="DD192" s="588" t="n"/>
      <c r="DE192" s="588" t="n"/>
      <c r="DF192" s="588" t="n"/>
      <c r="DG192" s="588" t="n"/>
      <c r="DH192" s="588" t="n"/>
      <c r="DI192" s="588" t="n"/>
      <c r="DJ192" s="588" t="n"/>
      <c r="DK192" s="588" t="n"/>
      <c r="DL192" s="588" t="n"/>
      <c r="DM192" s="588" t="n"/>
      <c r="DN192" s="588" t="n"/>
      <c r="DO192" s="588" t="n"/>
      <c r="DP192" s="588" t="n"/>
      <c r="DQ192" s="588" t="n"/>
      <c r="DR192" s="588" t="n"/>
      <c r="DS192" s="588" t="n"/>
      <c r="DT192" s="588" t="n"/>
      <c r="DU192" s="588" t="n"/>
    </row>
    <row r="193" outlineLevel="1" ht="13.2" customHeight="1" s="450">
      <c r="A193" s="590" t="n"/>
      <c r="B193" s="608" t="inlineStr">
        <is>
          <t>V1</t>
        </is>
      </c>
      <c r="C193" s="609" t="n"/>
      <c r="D193" s="610" t="n"/>
      <c r="E193" s="611">
        <f>+C193*D193</f>
        <v/>
      </c>
      <c r="F193" s="612">
        <f>+C193*D193</f>
        <v/>
      </c>
      <c r="G193" s="613" t="n"/>
      <c r="H193" s="588" t="n"/>
      <c r="I193" s="608" t="inlineStr">
        <is>
          <t>S1</t>
        </is>
      </c>
      <c r="J193" s="614" t="n"/>
      <c r="K193" s="614" t="n"/>
      <c r="L193" s="611">
        <f>+J193*K193</f>
        <v/>
      </c>
      <c r="M193" s="611">
        <f>+J193*K193</f>
        <v/>
      </c>
      <c r="N193" s="615" t="n"/>
      <c r="O193" s="614">
        <f>+D193</f>
        <v/>
      </c>
      <c r="P193" s="614" t="n"/>
      <c r="Q193" s="611">
        <f>+O193*P193</f>
        <v/>
      </c>
      <c r="R193" s="616" t="n"/>
      <c r="S193" s="611">
        <f>+F193+M193</f>
        <v/>
      </c>
      <c r="T193" s="616" t="n"/>
      <c r="U193" s="614" t="n"/>
      <c r="V193" s="614" t="n"/>
      <c r="W193" s="611">
        <f>+U193*V193</f>
        <v/>
      </c>
      <c r="X193" s="617" t="n"/>
      <c r="Z193" s="588" t="n"/>
      <c r="AA193" s="588" t="n"/>
      <c r="AB193" s="588" t="n"/>
      <c r="AC193" s="588" t="n"/>
      <c r="AD193" s="588" t="n"/>
      <c r="AE193" s="588" t="n"/>
      <c r="AF193" s="588" t="n"/>
      <c r="AG193" s="588" t="n"/>
      <c r="AH193" s="588" t="n"/>
      <c r="AI193" s="588" t="n"/>
      <c r="AJ193" s="588" t="n"/>
      <c r="AK193" s="588" t="n"/>
      <c r="AL193" s="588" t="n"/>
      <c r="AM193" s="588" t="n"/>
      <c r="AN193" s="588" t="n"/>
      <c r="AO193" s="588" t="n"/>
      <c r="AP193" s="588" t="n"/>
      <c r="AQ193" s="588" t="n"/>
      <c r="AR193" s="588" t="n"/>
      <c r="AS193" s="588" t="n"/>
      <c r="AT193" s="588" t="n"/>
      <c r="AU193" s="588" t="n"/>
      <c r="AV193" s="588" t="n"/>
      <c r="AW193" s="588" t="n"/>
      <c r="AX193" s="588" t="n"/>
      <c r="AY193" s="588" t="n"/>
      <c r="AZ193" s="588" t="n"/>
      <c r="BA193" s="588" t="n"/>
      <c r="BB193" s="588" t="n"/>
      <c r="BC193" s="588" t="n"/>
      <c r="BD193" s="588" t="n"/>
      <c r="BE193" s="588" t="n"/>
      <c r="BF193" s="588" t="n"/>
      <c r="BG193" s="588" t="n"/>
      <c r="BH193" s="588" t="n"/>
      <c r="BI193" s="588" t="n"/>
      <c r="BJ193" s="588" t="n"/>
      <c r="BK193" s="588" t="n"/>
      <c r="BL193" s="588" t="n"/>
      <c r="BM193" s="588" t="n"/>
      <c r="BN193" s="588" t="n"/>
      <c r="BO193" s="588" t="n"/>
      <c r="BP193" s="588" t="n"/>
      <c r="BQ193" s="588" t="n"/>
      <c r="BR193" s="588" t="n"/>
      <c r="BS193" s="588" t="n"/>
      <c r="BT193" s="588" t="n"/>
      <c r="BU193" s="588" t="n"/>
      <c r="BV193" s="588" t="n"/>
      <c r="BW193" s="588" t="n"/>
      <c r="BX193" s="588" t="n"/>
      <c r="BY193" s="588" t="n"/>
      <c r="BZ193" s="588" t="n"/>
      <c r="CA193" s="588" t="n"/>
      <c r="CB193" s="588" t="n"/>
      <c r="CC193" s="588" t="n"/>
      <c r="CD193" s="588" t="n"/>
      <c r="CE193" s="588" t="n"/>
      <c r="CF193" s="588" t="n"/>
      <c r="CG193" s="588" t="n"/>
      <c r="CH193" s="588" t="n"/>
      <c r="CI193" s="588" t="n"/>
      <c r="CJ193" s="588" t="n"/>
      <c r="CK193" s="588" t="n"/>
      <c r="CL193" s="588" t="n"/>
      <c r="CM193" s="588" t="n"/>
      <c r="CN193" s="588" t="n"/>
      <c r="CO193" s="588" t="n"/>
      <c r="CP193" s="588" t="n"/>
      <c r="CQ193" s="588" t="n"/>
      <c r="CR193" s="588" t="n"/>
      <c r="CS193" s="588" t="n"/>
      <c r="CT193" s="588" t="n"/>
      <c r="CU193" s="588" t="n"/>
      <c r="CV193" s="588" t="n"/>
      <c r="CW193" s="588" t="n"/>
      <c r="CX193" s="588" t="n"/>
      <c r="CY193" s="588" t="n"/>
      <c r="CZ193" s="588" t="n"/>
      <c r="DA193" s="588" t="n"/>
      <c r="DB193" s="588" t="n"/>
      <c r="DC193" s="588" t="n"/>
      <c r="DD193" s="588" t="n"/>
      <c r="DE193" s="588" t="n"/>
      <c r="DF193" s="588" t="n"/>
      <c r="DG193" s="588" t="n"/>
      <c r="DH193" s="588" t="n"/>
      <c r="DI193" s="588" t="n"/>
      <c r="DJ193" s="588" t="n"/>
      <c r="DK193" s="588" t="n"/>
      <c r="DL193" s="588" t="n"/>
      <c r="DM193" s="588" t="n"/>
      <c r="DN193" s="588" t="n"/>
      <c r="DO193" s="588" t="n"/>
      <c r="DP193" s="588" t="n"/>
      <c r="DQ193" s="588" t="n"/>
      <c r="DR193" s="588" t="n"/>
      <c r="DS193" s="588" t="n"/>
      <c r="DT193" s="588" t="n"/>
      <c r="DU193" s="588" t="n"/>
    </row>
    <row r="194" outlineLevel="1" ht="13.2" customHeight="1" s="450">
      <c r="A194" s="590" t="n"/>
      <c r="B194" s="618" t="inlineStr">
        <is>
          <t>V2</t>
        </is>
      </c>
      <c r="C194" s="619" t="n"/>
      <c r="D194" s="620" t="n"/>
      <c r="E194" s="621">
        <f>+C194*D194</f>
        <v/>
      </c>
      <c r="F194" s="622">
        <f>+C194*D194</f>
        <v/>
      </c>
      <c r="G194" s="623" t="n"/>
      <c r="H194" s="588" t="n"/>
      <c r="I194" s="618" t="inlineStr">
        <is>
          <t>S2</t>
        </is>
      </c>
      <c r="J194" s="619" t="n"/>
      <c r="K194" s="619" t="n"/>
      <c r="L194" s="621">
        <f>+J194*K194</f>
        <v/>
      </c>
      <c r="M194" s="621">
        <f>+J194*K194</f>
        <v/>
      </c>
      <c r="N194" s="615" t="n"/>
      <c r="O194" s="619">
        <f>+D194</f>
        <v/>
      </c>
      <c r="P194" s="619" t="n"/>
      <c r="Q194" s="621">
        <f>+O194*P194</f>
        <v/>
      </c>
      <c r="R194" s="616" t="n"/>
      <c r="S194" s="621">
        <f>+F194+M194</f>
        <v/>
      </c>
      <c r="T194" s="616" t="n"/>
      <c r="U194" s="619" t="n"/>
      <c r="V194" s="619" t="n"/>
      <c r="W194" s="621">
        <f>+U194*V194</f>
        <v/>
      </c>
      <c r="X194" s="624" t="n"/>
      <c r="Z194" s="588" t="n"/>
      <c r="AA194" s="588" t="n"/>
      <c r="AB194" s="588" t="n"/>
      <c r="AC194" s="588" t="n"/>
      <c r="AD194" s="588" t="n"/>
      <c r="AE194" s="588" t="n"/>
      <c r="AF194" s="588" t="n"/>
      <c r="AG194" s="588" t="n"/>
      <c r="AH194" s="588" t="n"/>
      <c r="AI194" s="588" t="n"/>
      <c r="AJ194" s="588" t="n"/>
      <c r="AK194" s="588" t="n"/>
      <c r="AL194" s="588" t="n"/>
      <c r="AM194" s="588" t="n"/>
      <c r="AN194" s="588" t="n"/>
      <c r="AO194" s="588" t="n"/>
      <c r="AP194" s="588" t="n"/>
      <c r="AQ194" s="588" t="n"/>
      <c r="AR194" s="588" t="n"/>
      <c r="AS194" s="588" t="n"/>
      <c r="AT194" s="588" t="n"/>
      <c r="AU194" s="588" t="n"/>
      <c r="AV194" s="588" t="n"/>
      <c r="AW194" s="588" t="n"/>
      <c r="AX194" s="588" t="n"/>
      <c r="AY194" s="588" t="n"/>
      <c r="AZ194" s="588" t="n"/>
      <c r="BA194" s="588" t="n"/>
      <c r="BB194" s="588" t="n"/>
      <c r="BC194" s="588" t="n"/>
      <c r="BD194" s="588" t="n"/>
      <c r="BE194" s="588" t="n"/>
      <c r="BF194" s="588" t="n"/>
      <c r="BG194" s="588" t="n"/>
      <c r="BH194" s="588" t="n"/>
      <c r="BI194" s="588" t="n"/>
      <c r="BJ194" s="588" t="n"/>
      <c r="BK194" s="588" t="n"/>
      <c r="BL194" s="588" t="n"/>
      <c r="BM194" s="588" t="n"/>
      <c r="BN194" s="588" t="n"/>
      <c r="BO194" s="588" t="n"/>
      <c r="BP194" s="588" t="n"/>
      <c r="BQ194" s="588" t="n"/>
      <c r="BR194" s="588" t="n"/>
      <c r="BS194" s="588" t="n"/>
      <c r="BT194" s="588" t="n"/>
      <c r="BU194" s="588" t="n"/>
      <c r="BV194" s="588" t="n"/>
      <c r="BW194" s="588" t="n"/>
      <c r="BX194" s="588" t="n"/>
      <c r="BY194" s="588" t="n"/>
      <c r="BZ194" s="588" t="n"/>
      <c r="CA194" s="588" t="n"/>
      <c r="CB194" s="588" t="n"/>
      <c r="CC194" s="588" t="n"/>
      <c r="CD194" s="588" t="n"/>
      <c r="CE194" s="588" t="n"/>
      <c r="CF194" s="588" t="n"/>
      <c r="CG194" s="588" t="n"/>
      <c r="CH194" s="588" t="n"/>
      <c r="CI194" s="588" t="n"/>
      <c r="CJ194" s="588" t="n"/>
      <c r="CK194" s="588" t="n"/>
      <c r="CL194" s="588" t="n"/>
      <c r="CM194" s="588" t="n"/>
      <c r="CN194" s="588" t="n"/>
      <c r="CO194" s="588" t="n"/>
      <c r="CP194" s="588" t="n"/>
      <c r="CQ194" s="588" t="n"/>
      <c r="CR194" s="588" t="n"/>
      <c r="CS194" s="588" t="n"/>
      <c r="CT194" s="588" t="n"/>
      <c r="CU194" s="588" t="n"/>
      <c r="CV194" s="588" t="n"/>
      <c r="CW194" s="588" t="n"/>
      <c r="CX194" s="588" t="n"/>
      <c r="CY194" s="588" t="n"/>
      <c r="CZ194" s="588" t="n"/>
      <c r="DA194" s="588" t="n"/>
      <c r="DB194" s="588" t="n"/>
      <c r="DC194" s="588" t="n"/>
      <c r="DD194" s="588" t="n"/>
      <c r="DE194" s="588" t="n"/>
      <c r="DF194" s="588" t="n"/>
      <c r="DG194" s="588" t="n"/>
      <c r="DH194" s="588" t="n"/>
      <c r="DI194" s="588" t="n"/>
      <c r="DJ194" s="588" t="n"/>
      <c r="DK194" s="588" t="n"/>
      <c r="DL194" s="588" t="n"/>
      <c r="DM194" s="588" t="n"/>
      <c r="DN194" s="588" t="n"/>
      <c r="DO194" s="588" t="n"/>
      <c r="DP194" s="588" t="n"/>
      <c r="DQ194" s="588" t="n"/>
      <c r="DR194" s="588" t="n"/>
      <c r="DS194" s="588" t="n"/>
      <c r="DT194" s="588" t="n"/>
      <c r="DU194" s="588" t="n"/>
    </row>
    <row r="195" outlineLevel="1" ht="13.2" customHeight="1" s="450">
      <c r="A195" s="590" t="n"/>
      <c r="B195" s="618" t="inlineStr">
        <is>
          <t>V3</t>
        </is>
      </c>
      <c r="C195" s="619" t="n"/>
      <c r="D195" s="620" t="n"/>
      <c r="E195" s="621">
        <f>+C195*D195</f>
        <v/>
      </c>
      <c r="F195" s="622">
        <f>+C195*D195</f>
        <v/>
      </c>
      <c r="G195" s="624" t="n"/>
      <c r="H195" s="588" t="n"/>
      <c r="I195" s="618" t="inlineStr">
        <is>
          <t>S3</t>
        </is>
      </c>
      <c r="J195" s="619" t="n"/>
      <c r="K195" s="619" t="n"/>
      <c r="L195" s="621">
        <f>+J195*K195</f>
        <v/>
      </c>
      <c r="M195" s="621">
        <f>+J195*K195</f>
        <v/>
      </c>
      <c r="N195" s="615" t="n"/>
      <c r="O195" s="619">
        <f>+D195</f>
        <v/>
      </c>
      <c r="P195" s="619" t="n"/>
      <c r="Q195" s="621">
        <f>+O195*P195</f>
        <v/>
      </c>
      <c r="R195" s="616" t="n"/>
      <c r="S195" s="621">
        <f>+F195+M195</f>
        <v/>
      </c>
      <c r="T195" s="616" t="n"/>
      <c r="U195" s="619" t="n"/>
      <c r="V195" s="619" t="n"/>
      <c r="W195" s="621">
        <f>+U195*V195</f>
        <v/>
      </c>
      <c r="X195" s="624" t="n"/>
      <c r="Z195" s="588" t="n"/>
      <c r="AA195" s="588" t="n"/>
      <c r="AB195" s="588" t="n"/>
      <c r="AC195" s="588" t="n"/>
      <c r="AD195" s="588" t="n"/>
      <c r="AE195" s="588" t="n"/>
      <c r="AF195" s="588" t="n"/>
      <c r="AG195" s="588" t="n"/>
      <c r="AH195" s="588" t="n"/>
      <c r="AI195" s="588" t="n"/>
      <c r="AJ195" s="588" t="n"/>
      <c r="AK195" s="588" t="n"/>
      <c r="AL195" s="588" t="n"/>
      <c r="AM195" s="588" t="n"/>
      <c r="AN195" s="588" t="n"/>
      <c r="AO195" s="588" t="n"/>
      <c r="AP195" s="588" t="n"/>
      <c r="AQ195" s="588" t="n"/>
      <c r="AR195" s="588" t="n"/>
      <c r="AS195" s="588" t="n"/>
      <c r="AT195" s="588" t="n"/>
      <c r="AU195" s="588" t="n"/>
      <c r="AV195" s="588" t="n"/>
      <c r="AW195" s="588" t="n"/>
      <c r="AX195" s="588" t="n"/>
      <c r="AY195" s="588" t="n"/>
      <c r="AZ195" s="588" t="n"/>
      <c r="BA195" s="588" t="n"/>
      <c r="BB195" s="588" t="n"/>
      <c r="BC195" s="588" t="n"/>
      <c r="BD195" s="588" t="n"/>
      <c r="BE195" s="588" t="n"/>
      <c r="BF195" s="588" t="n"/>
      <c r="BG195" s="588" t="n"/>
      <c r="BH195" s="588" t="n"/>
      <c r="BI195" s="588" t="n"/>
      <c r="BJ195" s="588" t="n"/>
      <c r="BK195" s="588" t="n"/>
      <c r="BL195" s="588" t="n"/>
      <c r="BM195" s="588" t="n"/>
      <c r="BN195" s="588" t="n"/>
      <c r="BO195" s="588" t="n"/>
      <c r="BP195" s="588" t="n"/>
      <c r="BQ195" s="588" t="n"/>
      <c r="BR195" s="588" t="n"/>
      <c r="BS195" s="588" t="n"/>
      <c r="BT195" s="588" t="n"/>
      <c r="BU195" s="588" t="n"/>
      <c r="BV195" s="588" t="n"/>
      <c r="BW195" s="588" t="n"/>
      <c r="BX195" s="588" t="n"/>
      <c r="BY195" s="588" t="n"/>
      <c r="BZ195" s="588" t="n"/>
      <c r="CA195" s="588" t="n"/>
      <c r="CB195" s="588" t="n"/>
      <c r="CC195" s="588" t="n"/>
      <c r="CD195" s="588" t="n"/>
      <c r="CE195" s="588" t="n"/>
      <c r="CF195" s="588" t="n"/>
      <c r="CG195" s="588" t="n"/>
      <c r="CH195" s="588" t="n"/>
      <c r="CI195" s="588" t="n"/>
      <c r="CJ195" s="588" t="n"/>
      <c r="CK195" s="588" t="n"/>
      <c r="CL195" s="588" t="n"/>
      <c r="CM195" s="588" t="n"/>
      <c r="CN195" s="588" t="n"/>
      <c r="CO195" s="588" t="n"/>
      <c r="CP195" s="588" t="n"/>
      <c r="CQ195" s="588" t="n"/>
      <c r="CR195" s="588" t="n"/>
      <c r="CS195" s="588" t="n"/>
      <c r="CT195" s="588" t="n"/>
      <c r="CU195" s="588" t="n"/>
      <c r="CV195" s="588" t="n"/>
      <c r="CW195" s="588" t="n"/>
      <c r="CX195" s="588" t="n"/>
      <c r="CY195" s="588" t="n"/>
      <c r="CZ195" s="588" t="n"/>
      <c r="DA195" s="588" t="n"/>
      <c r="DB195" s="588" t="n"/>
      <c r="DC195" s="588" t="n"/>
      <c r="DD195" s="588" t="n"/>
      <c r="DE195" s="588" t="n"/>
      <c r="DF195" s="588" t="n"/>
      <c r="DG195" s="588" t="n"/>
      <c r="DH195" s="588" t="n"/>
      <c r="DI195" s="588" t="n"/>
      <c r="DJ195" s="588" t="n"/>
      <c r="DK195" s="588" t="n"/>
      <c r="DL195" s="588" t="n"/>
      <c r="DM195" s="588" t="n"/>
      <c r="DN195" s="588" t="n"/>
      <c r="DO195" s="588" t="n"/>
      <c r="DP195" s="588" t="n"/>
      <c r="DQ195" s="588" t="n"/>
      <c r="DR195" s="588" t="n"/>
      <c r="DS195" s="588" t="n"/>
      <c r="DT195" s="588" t="n"/>
      <c r="DU195" s="588" t="n"/>
    </row>
    <row r="196" outlineLevel="1" ht="13.2" customHeight="1" s="450">
      <c r="A196" s="590" t="n"/>
      <c r="B196" s="625" t="n"/>
      <c r="C196" s="626" t="n"/>
      <c r="D196" s="627" t="inlineStr">
        <is>
          <t>Descuentos</t>
        </is>
      </c>
      <c r="E196" s="628">
        <f>-W196</f>
        <v/>
      </c>
      <c r="F196" s="629">
        <f>-W196</f>
        <v/>
      </c>
      <c r="G196" s="630" t="n"/>
      <c r="H196" s="588" t="n"/>
      <c r="I196" s="631" t="n"/>
      <c r="J196" s="632" t="n"/>
      <c r="K196" s="633" t="inlineStr">
        <is>
          <t>Total</t>
        </is>
      </c>
      <c r="L196" s="634">
        <f>SUM(L193:L195)</f>
        <v/>
      </c>
      <c r="M196" s="635">
        <f>SUM(M193:M195)</f>
        <v/>
      </c>
      <c r="N196" s="615" t="n"/>
      <c r="O196" s="636" t="n"/>
      <c r="P196" s="637" t="inlineStr">
        <is>
          <t>TOTAL</t>
        </is>
      </c>
      <c r="Q196" s="635">
        <f>SUM(Q193:Q195)</f>
        <v/>
      </c>
      <c r="R196" s="602" t="n"/>
      <c r="S196" s="638">
        <f>-W196</f>
        <v/>
      </c>
      <c r="T196" s="602" t="n"/>
      <c r="U196" s="639" t="n"/>
      <c r="V196" s="640" t="inlineStr">
        <is>
          <t>TOTAL</t>
        </is>
      </c>
      <c r="W196" s="635">
        <f>SUM(W193:W195)</f>
        <v/>
      </c>
      <c r="X196" s="641" t="n"/>
      <c r="Z196" s="588" t="n"/>
      <c r="AA196" s="588" t="n"/>
      <c r="AB196" s="588" t="n"/>
      <c r="AC196" s="588" t="n"/>
      <c r="AD196" s="588" t="n"/>
      <c r="AE196" s="588" t="n"/>
      <c r="AF196" s="588" t="n"/>
      <c r="AG196" s="588" t="n"/>
      <c r="AH196" s="588" t="n"/>
      <c r="AI196" s="588" t="n"/>
      <c r="AJ196" s="588" t="n"/>
      <c r="AK196" s="588" t="n"/>
      <c r="AL196" s="588" t="n"/>
      <c r="AM196" s="588" t="n"/>
      <c r="AN196" s="588" t="n"/>
      <c r="AO196" s="588" t="n"/>
      <c r="AP196" s="588" t="n"/>
      <c r="AQ196" s="588" t="n"/>
      <c r="AR196" s="588" t="n"/>
      <c r="AS196" s="588" t="n"/>
      <c r="AT196" s="588" t="n"/>
      <c r="AU196" s="588" t="n"/>
      <c r="AV196" s="588" t="n"/>
      <c r="AW196" s="588" t="n"/>
      <c r="AX196" s="588" t="n"/>
      <c r="AY196" s="588" t="n"/>
      <c r="AZ196" s="588" t="n"/>
      <c r="BA196" s="588" t="n"/>
      <c r="BB196" s="588" t="n"/>
      <c r="BC196" s="588" t="n"/>
      <c r="BD196" s="588" t="n"/>
      <c r="BE196" s="588" t="n"/>
      <c r="BF196" s="588" t="n"/>
      <c r="BG196" s="588" t="n"/>
      <c r="BH196" s="588" t="n"/>
      <c r="BI196" s="588" t="n"/>
      <c r="BJ196" s="588" t="n"/>
      <c r="BK196" s="588" t="n"/>
      <c r="BL196" s="588" t="n"/>
      <c r="BM196" s="588" t="n"/>
      <c r="BN196" s="588" t="n"/>
      <c r="BO196" s="588" t="n"/>
      <c r="BP196" s="588" t="n"/>
      <c r="BQ196" s="588" t="n"/>
      <c r="BR196" s="588" t="n"/>
      <c r="BS196" s="588" t="n"/>
      <c r="BT196" s="588" t="n"/>
      <c r="BU196" s="588" t="n"/>
      <c r="BV196" s="588" t="n"/>
      <c r="BW196" s="588" t="n"/>
      <c r="BX196" s="588" t="n"/>
      <c r="BY196" s="588" t="n"/>
      <c r="BZ196" s="588" t="n"/>
      <c r="CA196" s="588" t="n"/>
      <c r="CB196" s="588" t="n"/>
      <c r="CC196" s="588" t="n"/>
      <c r="CD196" s="588" t="n"/>
      <c r="CE196" s="588" t="n"/>
      <c r="CF196" s="588" t="n"/>
      <c r="CG196" s="588" t="n"/>
      <c r="CH196" s="588" t="n"/>
      <c r="CI196" s="588" t="n"/>
      <c r="CJ196" s="588" t="n"/>
      <c r="CK196" s="588" t="n"/>
      <c r="CL196" s="588" t="n"/>
      <c r="CM196" s="588" t="n"/>
      <c r="CN196" s="588" t="n"/>
      <c r="CO196" s="588" t="n"/>
      <c r="CP196" s="588" t="n"/>
      <c r="CQ196" s="588" t="n"/>
      <c r="CR196" s="588" t="n"/>
      <c r="CS196" s="588" t="n"/>
      <c r="CT196" s="588" t="n"/>
      <c r="CU196" s="588" t="n"/>
      <c r="CV196" s="588" t="n"/>
      <c r="CW196" s="588" t="n"/>
      <c r="CX196" s="588" t="n"/>
      <c r="CY196" s="588" t="n"/>
      <c r="CZ196" s="588" t="n"/>
      <c r="DA196" s="588" t="n"/>
      <c r="DB196" s="588" t="n"/>
      <c r="DC196" s="588" t="n"/>
      <c r="DD196" s="588" t="n"/>
      <c r="DE196" s="588" t="n"/>
      <c r="DF196" s="588" t="n"/>
      <c r="DG196" s="588" t="n"/>
      <c r="DH196" s="588" t="n"/>
      <c r="DI196" s="588" t="n"/>
      <c r="DJ196" s="588" t="n"/>
      <c r="DK196" s="588" t="n"/>
      <c r="DL196" s="588" t="n"/>
      <c r="DM196" s="588" t="n"/>
      <c r="DN196" s="588" t="n"/>
      <c r="DO196" s="588" t="n"/>
      <c r="DP196" s="588" t="n"/>
      <c r="DQ196" s="588" t="n"/>
      <c r="DR196" s="588" t="n"/>
      <c r="DS196" s="588" t="n"/>
      <c r="DT196" s="588" t="n"/>
      <c r="DU196" s="588" t="n"/>
    </row>
    <row r="197" outlineLevel="1" ht="13.2" customHeight="1" s="450">
      <c r="A197" s="590" t="n"/>
      <c r="B197" s="642" t="n"/>
      <c r="C197" s="588" t="n"/>
      <c r="D197" s="643" t="inlineStr">
        <is>
          <t>Sub Total</t>
        </is>
      </c>
      <c r="E197" s="602">
        <f>SUM(E193:E196)</f>
        <v/>
      </c>
      <c r="F197" s="644">
        <f>SUM(F193:F196)</f>
        <v/>
      </c>
      <c r="G197" s="602" t="n"/>
      <c r="H197" s="597" t="n"/>
      <c r="I197" s="588" t="n"/>
      <c r="J197" s="588" t="n"/>
      <c r="K197" s="643" t="n"/>
      <c r="L197" s="602" t="n"/>
      <c r="M197" s="602" t="n"/>
      <c r="N197" s="645" t="n"/>
      <c r="O197" s="588" t="n"/>
      <c r="P197" s="588" t="n"/>
      <c r="Q197" s="602" t="n"/>
      <c r="R197" s="588" t="n"/>
      <c r="S197" s="646">
        <f>SUM(S193:S196)</f>
        <v/>
      </c>
      <c r="T197" s="588" t="n"/>
      <c r="U197" s="588" t="n"/>
      <c r="V197" s="598" t="n"/>
      <c r="W197" s="598" t="n"/>
      <c r="X197" s="588" t="n"/>
      <c r="Z197" s="588" t="n"/>
      <c r="AA197" s="588" t="n"/>
      <c r="AB197" s="588" t="n"/>
      <c r="AC197" s="588" t="n"/>
      <c r="AD197" s="588" t="n"/>
      <c r="AE197" s="588" t="n"/>
      <c r="AF197" s="588" t="n"/>
      <c r="AG197" s="588" t="n"/>
      <c r="AH197" s="588" t="n"/>
      <c r="AI197" s="588" t="n"/>
      <c r="AJ197" s="588" t="n"/>
      <c r="AK197" s="588" t="n"/>
      <c r="AL197" s="588" t="n"/>
      <c r="AM197" s="588" t="n"/>
      <c r="AN197" s="588" t="n"/>
      <c r="AO197" s="588" t="n"/>
      <c r="AP197" s="588" t="n"/>
      <c r="AQ197" s="588" t="n"/>
      <c r="AR197" s="588" t="n"/>
      <c r="AS197" s="588" t="n"/>
      <c r="AT197" s="588" t="n"/>
      <c r="AU197" s="588" t="n"/>
      <c r="AV197" s="588" t="n"/>
      <c r="AW197" s="588" t="n"/>
      <c r="AX197" s="588" t="n"/>
      <c r="AY197" s="588" t="n"/>
      <c r="AZ197" s="588" t="n"/>
      <c r="BA197" s="588" t="n"/>
      <c r="BB197" s="588" t="n"/>
      <c r="BC197" s="588" t="n"/>
      <c r="BD197" s="588" t="n"/>
      <c r="BE197" s="588" t="n"/>
      <c r="BF197" s="588" t="n"/>
      <c r="BG197" s="588" t="n"/>
      <c r="BH197" s="588" t="n"/>
      <c r="BI197" s="588" t="n"/>
      <c r="BJ197" s="588" t="n"/>
      <c r="BK197" s="588" t="n"/>
      <c r="BL197" s="588" t="n"/>
      <c r="BM197" s="588" t="n"/>
      <c r="BN197" s="588" t="n"/>
      <c r="BO197" s="588" t="n"/>
      <c r="BP197" s="588" t="n"/>
      <c r="BQ197" s="588" t="n"/>
      <c r="BR197" s="588" t="n"/>
      <c r="BS197" s="588" t="n"/>
      <c r="BT197" s="588" t="n"/>
      <c r="BU197" s="588" t="n"/>
      <c r="BV197" s="588" t="n"/>
      <c r="BW197" s="588" t="n"/>
      <c r="BX197" s="588" t="n"/>
      <c r="BY197" s="588" t="n"/>
      <c r="BZ197" s="588" t="n"/>
      <c r="CA197" s="588" t="n"/>
      <c r="CB197" s="588" t="n"/>
      <c r="CC197" s="588" t="n"/>
      <c r="CD197" s="588" t="n"/>
      <c r="CE197" s="588" t="n"/>
      <c r="CF197" s="588" t="n"/>
      <c r="CG197" s="588" t="n"/>
      <c r="CH197" s="588" t="n"/>
      <c r="CI197" s="588" t="n"/>
      <c r="CJ197" s="588" t="n"/>
      <c r="CK197" s="588" t="n"/>
      <c r="CL197" s="588" t="n"/>
      <c r="CM197" s="588" t="n"/>
      <c r="CN197" s="588" t="n"/>
      <c r="CO197" s="588" t="n"/>
      <c r="CP197" s="588" t="n"/>
      <c r="CQ197" s="588" t="n"/>
      <c r="CR197" s="588" t="n"/>
      <c r="CS197" s="588" t="n"/>
      <c r="CT197" s="588" t="n"/>
      <c r="CU197" s="588" t="n"/>
      <c r="CV197" s="588" t="n"/>
      <c r="CW197" s="588" t="n"/>
      <c r="CX197" s="588" t="n"/>
      <c r="CY197" s="588" t="n"/>
      <c r="CZ197" s="588" t="n"/>
      <c r="DA197" s="588" t="n"/>
      <c r="DB197" s="588" t="n"/>
      <c r="DC197" s="588" t="n"/>
      <c r="DD197" s="588" t="n"/>
      <c r="DE197" s="588" t="n"/>
      <c r="DF197" s="588" t="n"/>
      <c r="DG197" s="588" t="n"/>
      <c r="DH197" s="588" t="n"/>
      <c r="DI197" s="588" t="n"/>
      <c r="DJ197" s="588" t="n"/>
      <c r="DK197" s="588" t="n"/>
      <c r="DL197" s="588" t="n"/>
      <c r="DM197" s="588" t="n"/>
      <c r="DN197" s="588" t="n"/>
      <c r="DO197" s="588" t="n"/>
      <c r="DP197" s="588" t="n"/>
      <c r="DQ197" s="588" t="n"/>
      <c r="DR197" s="588" t="n"/>
      <c r="DS197" s="588" t="n"/>
      <c r="DT197" s="588" t="n"/>
      <c r="DU197" s="588" t="n"/>
    </row>
    <row r="198" outlineLevel="1" ht="13.2" customHeight="1" s="450">
      <c r="A198" s="590" t="n"/>
      <c r="B198" s="647" t="n"/>
      <c r="C198" s="648" t="n"/>
      <c r="D198" s="649" t="inlineStr">
        <is>
          <t>Descuentos Juntas</t>
        </is>
      </c>
      <c r="E198" s="658" t="n"/>
      <c r="F198" s="650">
        <f>-Q196*0.025</f>
        <v/>
      </c>
      <c r="G198" s="602" t="n"/>
      <c r="H198" s="597" t="n"/>
      <c r="I198" s="588" t="n"/>
      <c r="J198" s="588" t="n"/>
      <c r="K198" s="651" t="n"/>
      <c r="L198" s="652" t="n"/>
      <c r="M198" s="652" t="n"/>
      <c r="N198" s="645" t="n"/>
      <c r="O198" s="588" t="n"/>
      <c r="P198" s="588" t="n"/>
      <c r="Q198" s="602" t="n"/>
      <c r="R198" s="588" t="n"/>
      <c r="S198" s="653" t="n">
        <v>0</v>
      </c>
      <c r="T198" s="588" t="n"/>
      <c r="U198" s="588" t="n"/>
      <c r="V198" s="598" t="n"/>
      <c r="W198" s="598" t="n"/>
      <c r="X198" s="588" t="n"/>
      <c r="Z198" s="588" t="n"/>
      <c r="AA198" s="588" t="n"/>
      <c r="AB198" s="588" t="n"/>
      <c r="AC198" s="588" t="n"/>
      <c r="AD198" s="588" t="n"/>
      <c r="AE198" s="588" t="n"/>
      <c r="AF198" s="588" t="n"/>
      <c r="AG198" s="588" t="n"/>
      <c r="AH198" s="588" t="n"/>
      <c r="AI198" s="588" t="n"/>
      <c r="AJ198" s="588" t="n"/>
      <c r="AK198" s="588" t="n"/>
      <c r="AL198" s="588" t="n"/>
      <c r="AM198" s="588" t="n"/>
      <c r="AN198" s="588" t="n"/>
      <c r="AO198" s="588" t="n"/>
      <c r="AP198" s="588" t="n"/>
      <c r="AQ198" s="588" t="n"/>
      <c r="AR198" s="588" t="n"/>
      <c r="AS198" s="588" t="n"/>
      <c r="AT198" s="588" t="n"/>
      <c r="AU198" s="588" t="n"/>
      <c r="AV198" s="588" t="n"/>
      <c r="AW198" s="588" t="n"/>
      <c r="AX198" s="588" t="n"/>
      <c r="AY198" s="588" t="n"/>
      <c r="AZ198" s="588" t="n"/>
      <c r="BA198" s="588" t="n"/>
      <c r="BB198" s="588" t="n"/>
      <c r="BC198" s="588" t="n"/>
      <c r="BD198" s="588" t="n"/>
      <c r="BE198" s="588" t="n"/>
      <c r="BF198" s="588" t="n"/>
      <c r="BG198" s="588" t="n"/>
      <c r="BH198" s="588" t="n"/>
      <c r="BI198" s="588" t="n"/>
      <c r="BJ198" s="588" t="n"/>
      <c r="BK198" s="588" t="n"/>
      <c r="BL198" s="588" t="n"/>
      <c r="BM198" s="588" t="n"/>
      <c r="BN198" s="588" t="n"/>
      <c r="BO198" s="588" t="n"/>
      <c r="BP198" s="588" t="n"/>
      <c r="BQ198" s="588" t="n"/>
      <c r="BR198" s="588" t="n"/>
      <c r="BS198" s="588" t="n"/>
      <c r="BT198" s="588" t="n"/>
      <c r="BU198" s="588" t="n"/>
      <c r="BV198" s="588" t="n"/>
      <c r="BW198" s="588" t="n"/>
      <c r="BX198" s="588" t="n"/>
      <c r="BY198" s="588" t="n"/>
      <c r="BZ198" s="588" t="n"/>
      <c r="CA198" s="588" t="n"/>
      <c r="CB198" s="588" t="n"/>
      <c r="CC198" s="588" t="n"/>
      <c r="CD198" s="588" t="n"/>
      <c r="CE198" s="588" t="n"/>
      <c r="CF198" s="588" t="n"/>
      <c r="CG198" s="588" t="n"/>
      <c r="CH198" s="588" t="n"/>
      <c r="CI198" s="588" t="n"/>
      <c r="CJ198" s="588" t="n"/>
      <c r="CK198" s="588" t="n"/>
      <c r="CL198" s="588" t="n"/>
      <c r="CM198" s="588" t="n"/>
      <c r="CN198" s="588" t="n"/>
      <c r="CO198" s="588" t="n"/>
      <c r="CP198" s="588" t="n"/>
      <c r="CQ198" s="588" t="n"/>
      <c r="CR198" s="588" t="n"/>
      <c r="CS198" s="588" t="n"/>
      <c r="CT198" s="588" t="n"/>
      <c r="CU198" s="588" t="n"/>
      <c r="CV198" s="588" t="n"/>
      <c r="CW198" s="588" t="n"/>
      <c r="CX198" s="588" t="n"/>
      <c r="CY198" s="588" t="n"/>
      <c r="CZ198" s="588" t="n"/>
      <c r="DA198" s="588" t="n"/>
      <c r="DB198" s="588" t="n"/>
      <c r="DC198" s="588" t="n"/>
      <c r="DD198" s="588" t="n"/>
      <c r="DE198" s="588" t="n"/>
      <c r="DF198" s="588" t="n"/>
      <c r="DG198" s="588" t="n"/>
      <c r="DH198" s="588" t="n"/>
      <c r="DI198" s="588" t="n"/>
      <c r="DJ198" s="588" t="n"/>
      <c r="DK198" s="588" t="n"/>
      <c r="DL198" s="588" t="n"/>
      <c r="DM198" s="588" t="n"/>
      <c r="DN198" s="588" t="n"/>
      <c r="DO198" s="588" t="n"/>
      <c r="DP198" s="588" t="n"/>
      <c r="DQ198" s="588" t="n"/>
      <c r="DR198" s="588" t="n"/>
      <c r="DS198" s="588" t="n"/>
      <c r="DT198" s="588" t="n"/>
      <c r="DU198" s="588" t="n"/>
    </row>
    <row r="199" outlineLevel="1" ht="13.2" customHeight="1" s="450">
      <c r="A199" s="590" t="n"/>
      <c r="B199" s="654" t="n"/>
      <c r="C199" s="654" t="n"/>
      <c r="D199" s="633" t="inlineStr">
        <is>
          <t>Total</t>
        </is>
      </c>
      <c r="E199" s="634">
        <f>SUM(E197:E198)</f>
        <v/>
      </c>
      <c r="F199" s="635">
        <f>SUM(F197:F198)</f>
        <v/>
      </c>
      <c r="G199" s="602" t="n"/>
      <c r="H199" s="655" t="n"/>
      <c r="I199" s="588" t="n"/>
      <c r="J199" s="588" t="n"/>
      <c r="K199" s="656" t="n"/>
      <c r="L199" s="656" t="n"/>
      <c r="M199" s="602" t="n"/>
      <c r="N199" s="602" t="n"/>
      <c r="O199" s="588" t="n"/>
      <c r="P199" s="588" t="n"/>
      <c r="Q199" s="602" t="n"/>
      <c r="R199" s="588" t="n"/>
      <c r="S199" s="657">
        <f>SUM(S197:S198)</f>
        <v/>
      </c>
      <c r="T199" s="588" t="n"/>
      <c r="U199" s="588" t="n"/>
      <c r="V199" s="598" t="n"/>
      <c r="W199" s="598" t="n"/>
      <c r="X199" s="588" t="n"/>
      <c r="Z199" s="588" t="n"/>
      <c r="AA199" s="588" t="n"/>
      <c r="AB199" s="588" t="n"/>
      <c r="AC199" s="588" t="n"/>
      <c r="AD199" s="588" t="n"/>
      <c r="AE199" s="588" t="n"/>
      <c r="AF199" s="588" t="n"/>
      <c r="AG199" s="588" t="n"/>
      <c r="AH199" s="588" t="n"/>
      <c r="AI199" s="588" t="n"/>
      <c r="AJ199" s="588" t="n"/>
      <c r="AK199" s="588" t="n"/>
      <c r="AL199" s="588" t="n"/>
      <c r="AM199" s="588" t="n"/>
      <c r="AN199" s="588" t="n"/>
      <c r="AO199" s="588" t="n"/>
      <c r="AP199" s="588" t="n"/>
      <c r="AQ199" s="588" t="n"/>
      <c r="AR199" s="588" t="n"/>
      <c r="AS199" s="588" t="n"/>
      <c r="AT199" s="588" t="n"/>
      <c r="AU199" s="588" t="n"/>
      <c r="AV199" s="588" t="n"/>
      <c r="AW199" s="588" t="n"/>
      <c r="AX199" s="588" t="n"/>
      <c r="AY199" s="588" t="n"/>
      <c r="AZ199" s="588" t="n"/>
      <c r="BA199" s="588" t="n"/>
      <c r="BB199" s="588" t="n"/>
      <c r="BC199" s="588" t="n"/>
      <c r="BD199" s="588" t="n"/>
      <c r="BE199" s="588" t="n"/>
      <c r="BF199" s="588" t="n"/>
      <c r="BG199" s="588" t="n"/>
      <c r="BH199" s="588" t="n"/>
      <c r="BI199" s="588" t="n"/>
      <c r="BJ199" s="588" t="n"/>
      <c r="BK199" s="588" t="n"/>
      <c r="BL199" s="588" t="n"/>
      <c r="BM199" s="588" t="n"/>
      <c r="BN199" s="588" t="n"/>
      <c r="BO199" s="588" t="n"/>
      <c r="BP199" s="588" t="n"/>
      <c r="BQ199" s="588" t="n"/>
      <c r="BR199" s="588" t="n"/>
      <c r="BS199" s="588" t="n"/>
      <c r="BT199" s="588" t="n"/>
      <c r="BU199" s="588" t="n"/>
      <c r="BV199" s="588" t="n"/>
      <c r="BW199" s="588" t="n"/>
      <c r="BX199" s="588" t="n"/>
      <c r="BY199" s="588" t="n"/>
      <c r="BZ199" s="588" t="n"/>
      <c r="CA199" s="588" t="n"/>
      <c r="CB199" s="588" t="n"/>
      <c r="CC199" s="588" t="n"/>
      <c r="CD199" s="588" t="n"/>
      <c r="CE199" s="588" t="n"/>
      <c r="CF199" s="588" t="n"/>
      <c r="CG199" s="588" t="n"/>
      <c r="CH199" s="588" t="n"/>
      <c r="CI199" s="588" t="n"/>
      <c r="CJ199" s="588" t="n"/>
      <c r="CK199" s="588" t="n"/>
      <c r="CL199" s="588" t="n"/>
      <c r="CM199" s="588" t="n"/>
      <c r="CN199" s="588" t="n"/>
      <c r="CO199" s="588" t="n"/>
      <c r="CP199" s="588" t="n"/>
      <c r="CQ199" s="588" t="n"/>
      <c r="CR199" s="588" t="n"/>
      <c r="CS199" s="588" t="n"/>
      <c r="CT199" s="588" t="n"/>
      <c r="CU199" s="588" t="n"/>
      <c r="CV199" s="588" t="n"/>
      <c r="CW199" s="588" t="n"/>
      <c r="CX199" s="588" t="n"/>
      <c r="CY199" s="588" t="n"/>
      <c r="CZ199" s="588" t="n"/>
      <c r="DA199" s="588" t="n"/>
      <c r="DB199" s="588" t="n"/>
      <c r="DC199" s="588" t="n"/>
      <c r="DD199" s="588" t="n"/>
      <c r="DE199" s="588" t="n"/>
      <c r="DF199" s="588" t="n"/>
      <c r="DG199" s="588" t="n"/>
      <c r="DH199" s="588" t="n"/>
      <c r="DI199" s="588" t="n"/>
      <c r="DJ199" s="588" t="n"/>
      <c r="DK199" s="588" t="n"/>
      <c r="DL199" s="588" t="n"/>
      <c r="DM199" s="588" t="n"/>
      <c r="DN199" s="588" t="n"/>
      <c r="DO199" s="588" t="n"/>
      <c r="DP199" s="588" t="n"/>
      <c r="DQ199" s="588" t="n"/>
      <c r="DR199" s="588" t="n"/>
      <c r="DS199" s="588" t="n"/>
      <c r="DT199" s="588" t="n"/>
      <c r="DU199" s="588" t="n"/>
    </row>
    <row r="200" outlineLevel="1" ht="13.2" customHeight="1" s="450">
      <c r="A200" s="590" t="n"/>
      <c r="B200" s="588" t="n"/>
      <c r="C200" s="588" t="n"/>
      <c r="D200" s="656" t="n"/>
      <c r="E200" s="656" t="n"/>
      <c r="F200" s="602" t="n"/>
      <c r="G200" s="602" t="n"/>
      <c r="H200" s="655" t="n"/>
      <c r="I200" s="588" t="n"/>
      <c r="J200" s="588" t="n"/>
      <c r="K200" s="656" t="n"/>
      <c r="L200" s="656" t="n"/>
      <c r="M200" s="602" t="n"/>
      <c r="N200" s="602" t="n"/>
      <c r="O200" s="588" t="n"/>
      <c r="P200" s="588" t="n"/>
      <c r="Q200" s="602" t="n"/>
      <c r="R200" s="588" t="n"/>
      <c r="S200" s="602" t="n"/>
      <c r="T200" s="588" t="n"/>
      <c r="U200" s="588" t="n"/>
      <c r="V200" s="598" t="n"/>
      <c r="W200" s="598" t="n"/>
      <c r="X200" s="588" t="n"/>
      <c r="Z200" s="588" t="n"/>
      <c r="AA200" s="588" t="n"/>
      <c r="AB200" s="588" t="n"/>
      <c r="AC200" s="588" t="n"/>
      <c r="AD200" s="588" t="n"/>
      <c r="AE200" s="588" t="n"/>
      <c r="AF200" s="588" t="n"/>
      <c r="AG200" s="588" t="n"/>
      <c r="AH200" s="588" t="n"/>
      <c r="AI200" s="588" t="n"/>
      <c r="AJ200" s="588" t="n"/>
      <c r="AK200" s="588" t="n"/>
      <c r="AL200" s="588" t="n"/>
      <c r="AM200" s="588" t="n"/>
      <c r="AN200" s="588" t="n"/>
      <c r="AO200" s="588" t="n"/>
      <c r="AP200" s="588" t="n"/>
      <c r="AQ200" s="588" t="n"/>
      <c r="AR200" s="588" t="n"/>
      <c r="AS200" s="588" t="n"/>
      <c r="AT200" s="588" t="n"/>
      <c r="AU200" s="588" t="n"/>
      <c r="AV200" s="588" t="n"/>
      <c r="AW200" s="588" t="n"/>
      <c r="AX200" s="588" t="n"/>
      <c r="AY200" s="588" t="n"/>
      <c r="AZ200" s="588" t="n"/>
      <c r="BA200" s="588" t="n"/>
      <c r="BB200" s="588" t="n"/>
      <c r="BC200" s="588" t="n"/>
      <c r="BD200" s="588" t="n"/>
      <c r="BE200" s="588" t="n"/>
      <c r="BF200" s="588" t="n"/>
      <c r="BG200" s="588" t="n"/>
      <c r="BH200" s="588" t="n"/>
      <c r="BI200" s="588" t="n"/>
      <c r="BJ200" s="588" t="n"/>
      <c r="BK200" s="588" t="n"/>
      <c r="BL200" s="588" t="n"/>
      <c r="BM200" s="588" t="n"/>
      <c r="BN200" s="588" t="n"/>
      <c r="BO200" s="588" t="n"/>
      <c r="BP200" s="588" t="n"/>
      <c r="BQ200" s="588" t="n"/>
      <c r="BR200" s="588" t="n"/>
      <c r="BS200" s="588" t="n"/>
      <c r="BT200" s="588" t="n"/>
      <c r="BU200" s="588" t="n"/>
      <c r="BV200" s="588" t="n"/>
      <c r="BW200" s="588" t="n"/>
      <c r="BX200" s="588" t="n"/>
      <c r="BY200" s="588" t="n"/>
      <c r="BZ200" s="588" t="n"/>
      <c r="CA200" s="588" t="n"/>
      <c r="CB200" s="588" t="n"/>
      <c r="CC200" s="588" t="n"/>
      <c r="CD200" s="588" t="n"/>
      <c r="CE200" s="588" t="n"/>
      <c r="CF200" s="588" t="n"/>
      <c r="CG200" s="588" t="n"/>
      <c r="CH200" s="588" t="n"/>
      <c r="CI200" s="588" t="n"/>
      <c r="CJ200" s="588" t="n"/>
      <c r="CK200" s="588" t="n"/>
      <c r="CL200" s="588" t="n"/>
      <c r="CM200" s="588" t="n"/>
      <c r="CN200" s="588" t="n"/>
      <c r="CO200" s="588" t="n"/>
      <c r="CP200" s="588" t="n"/>
      <c r="CQ200" s="588" t="n"/>
      <c r="CR200" s="588" t="n"/>
      <c r="CS200" s="588" t="n"/>
      <c r="CT200" s="588" t="n"/>
      <c r="CU200" s="588" t="n"/>
      <c r="CV200" s="588" t="n"/>
      <c r="CW200" s="588" t="n"/>
      <c r="CX200" s="588" t="n"/>
      <c r="CY200" s="588" t="n"/>
      <c r="CZ200" s="588" t="n"/>
      <c r="DA200" s="588" t="n"/>
      <c r="DB200" s="588" t="n"/>
      <c r="DC200" s="588" t="n"/>
      <c r="DD200" s="588" t="n"/>
      <c r="DE200" s="588" t="n"/>
      <c r="DF200" s="588" t="n"/>
      <c r="DG200" s="588" t="n"/>
      <c r="DH200" s="588" t="n"/>
      <c r="DI200" s="588" t="n"/>
      <c r="DJ200" s="588" t="n"/>
      <c r="DK200" s="588" t="n"/>
      <c r="DL200" s="588" t="n"/>
      <c r="DM200" s="588" t="n"/>
      <c r="DN200" s="588" t="n"/>
      <c r="DO200" s="588" t="n"/>
      <c r="DP200" s="588" t="n"/>
      <c r="DQ200" s="588" t="n"/>
      <c r="DR200" s="588" t="n"/>
      <c r="DS200" s="588" t="n"/>
      <c r="DT200" s="588" t="n"/>
      <c r="DU200" s="588" t="n"/>
    </row>
    <row r="201" outlineLevel="1" ht="13.2" customHeight="1" s="450">
      <c r="A201" s="736" t="n"/>
      <c r="B201" s="645" t="n"/>
      <c r="C201" s="615" t="n"/>
      <c r="D201" s="656" t="n"/>
      <c r="E201" s="602" t="n"/>
      <c r="F201" s="602" t="n"/>
      <c r="G201" s="602" t="n"/>
      <c r="H201" s="602" t="n"/>
      <c r="I201" s="598" t="n"/>
      <c r="J201" s="598" t="n"/>
      <c r="K201" s="656" t="n"/>
      <c r="L201" s="602" t="n"/>
      <c r="M201" s="602" t="n"/>
      <c r="N201" s="645" t="n"/>
      <c r="O201" s="670" t="n"/>
      <c r="P201" s="671" t="n"/>
      <c r="Q201" s="602" t="n"/>
      <c r="R201" s="655" t="n"/>
      <c r="S201" s="655" t="n"/>
      <c r="T201" s="655" t="n"/>
      <c r="U201" s="588" t="n"/>
      <c r="V201" s="588" t="n"/>
      <c r="W201" s="602" t="n"/>
      <c r="X201" s="588" t="n"/>
      <c r="Z201" s="588" t="n"/>
      <c r="AA201" s="588" t="n"/>
      <c r="AB201" s="588" t="n"/>
      <c r="AC201" s="588" t="n"/>
      <c r="AD201" s="588" t="n"/>
      <c r="AE201" s="588" t="n"/>
      <c r="AF201" s="588" t="n"/>
      <c r="AG201" s="588" t="n"/>
      <c r="AH201" s="588" t="n"/>
      <c r="AI201" s="588" t="n"/>
      <c r="AJ201" s="588" t="n"/>
      <c r="AK201" s="588" t="n"/>
      <c r="AL201" s="588" t="n"/>
      <c r="AM201" s="588" t="n"/>
      <c r="AN201" s="588" t="n"/>
      <c r="AO201" s="588" t="n"/>
      <c r="AP201" s="588" t="n"/>
      <c r="AQ201" s="588" t="n"/>
      <c r="AR201" s="588" t="n"/>
      <c r="AS201" s="588" t="n"/>
      <c r="AT201" s="588" t="n"/>
      <c r="AU201" s="588" t="n"/>
      <c r="AV201" s="588" t="n"/>
      <c r="AW201" s="588" t="n"/>
      <c r="AX201" s="588" t="n"/>
      <c r="AY201" s="588" t="n"/>
      <c r="AZ201" s="588" t="n"/>
      <c r="BA201" s="588" t="n"/>
      <c r="BB201" s="588" t="n"/>
      <c r="BC201" s="588" t="n"/>
      <c r="BD201" s="588" t="n"/>
      <c r="BE201" s="588" t="n"/>
      <c r="BF201" s="588" t="n"/>
      <c r="BG201" s="588" t="n"/>
      <c r="BH201" s="588" t="n"/>
      <c r="BI201" s="588" t="n"/>
      <c r="BJ201" s="588" t="n"/>
      <c r="BK201" s="588" t="n"/>
      <c r="BL201" s="588" t="n"/>
      <c r="BM201" s="588" t="n"/>
      <c r="BN201" s="588" t="n"/>
      <c r="BO201" s="588" t="n"/>
      <c r="BP201" s="588" t="n"/>
      <c r="BQ201" s="588" t="n"/>
      <c r="BR201" s="588" t="n"/>
      <c r="BS201" s="588" t="n"/>
      <c r="BT201" s="588" t="n"/>
      <c r="BU201" s="588" t="n"/>
      <c r="BV201" s="588" t="n"/>
      <c r="BW201" s="588" t="n"/>
      <c r="BX201" s="588" t="n"/>
      <c r="BY201" s="588" t="n"/>
      <c r="BZ201" s="588" t="n"/>
      <c r="CA201" s="588" t="n"/>
      <c r="CB201" s="588" t="n"/>
      <c r="CC201" s="588" t="n"/>
      <c r="CD201" s="588" t="n"/>
      <c r="CE201" s="588" t="n"/>
      <c r="CF201" s="588" t="n"/>
      <c r="CG201" s="588" t="n"/>
      <c r="CH201" s="588" t="n"/>
      <c r="CI201" s="588" t="n"/>
      <c r="CJ201" s="588" t="n"/>
      <c r="CK201" s="588" t="n"/>
      <c r="CL201" s="588" t="n"/>
      <c r="CM201" s="588" t="n"/>
      <c r="CN201" s="588" t="n"/>
      <c r="CO201" s="588" t="n"/>
      <c r="CP201" s="588" t="n"/>
      <c r="CQ201" s="588" t="n"/>
      <c r="CR201" s="588" t="n"/>
      <c r="CS201" s="588" t="n"/>
      <c r="CT201" s="588" t="n"/>
      <c r="CU201" s="588" t="n"/>
      <c r="CV201" s="588" t="n"/>
      <c r="CW201" s="588" t="n"/>
      <c r="CX201" s="588" t="n"/>
      <c r="CY201" s="588" t="n"/>
      <c r="CZ201" s="588" t="n"/>
      <c r="DA201" s="588" t="n"/>
      <c r="DB201" s="588" t="n"/>
      <c r="DC201" s="588" t="n"/>
      <c r="DD201" s="588" t="n"/>
      <c r="DE201" s="588" t="n"/>
      <c r="DF201" s="588" t="n"/>
      <c r="DG201" s="588" t="n"/>
      <c r="DH201" s="588" t="n"/>
      <c r="DI201" s="588" t="n"/>
      <c r="DJ201" s="588" t="n"/>
      <c r="DK201" s="588" t="n"/>
      <c r="DL201" s="588" t="n"/>
      <c r="DM201" s="588" t="n"/>
      <c r="DN201" s="588" t="n"/>
      <c r="DO201" s="588" t="n"/>
      <c r="DP201" s="588" t="n"/>
      <c r="DQ201" s="588" t="n"/>
      <c r="DR201" s="588" t="n"/>
      <c r="DS201" s="588" t="n"/>
      <c r="DT201" s="588" t="n"/>
      <c r="DU201" s="588" t="n"/>
    </row>
    <row r="202" outlineLevel="1" ht="12" customHeight="1" s="450">
      <c r="A202" s="737" t="n"/>
      <c r="B202" s="588" t="n"/>
      <c r="C202" s="588" t="n"/>
      <c r="D202" s="656" t="n"/>
      <c r="E202" s="656" t="n"/>
      <c r="F202" s="602" t="n"/>
      <c r="G202" s="602" t="n"/>
      <c r="H202" s="602" t="n"/>
      <c r="I202" s="598" t="n"/>
      <c r="J202" s="598" t="n"/>
      <c r="K202" s="656" t="n"/>
      <c r="L202" s="602" t="n"/>
      <c r="M202" s="602" t="n"/>
      <c r="N202" s="645" t="n"/>
      <c r="O202" s="670" t="n"/>
      <c r="P202" s="671" t="n"/>
      <c r="Q202" s="602" t="n"/>
      <c r="R202" s="655" t="n"/>
      <c r="S202" s="655" t="n"/>
      <c r="T202" s="655" t="n"/>
      <c r="U202" s="588" t="n"/>
      <c r="V202" s="588" t="n"/>
      <c r="W202" s="588" t="n"/>
      <c r="X202" s="588" t="n"/>
      <c r="Z202" s="588" t="n"/>
      <c r="AA202" s="588" t="n"/>
      <c r="AB202" s="588" t="n"/>
      <c r="AC202" s="588" t="n"/>
      <c r="AD202" s="588" t="n"/>
      <c r="AE202" s="588" t="n"/>
      <c r="AF202" s="588" t="n"/>
      <c r="AG202" s="588" t="n"/>
      <c r="AH202" s="588" t="n"/>
      <c r="AI202" s="588" t="n"/>
      <c r="AJ202" s="588" t="n"/>
      <c r="AK202" s="588" t="n"/>
      <c r="AL202" s="588" t="n"/>
      <c r="AM202" s="588" t="n"/>
      <c r="AN202" s="588" t="n"/>
      <c r="AO202" s="588" t="n"/>
      <c r="AP202" s="588" t="n"/>
      <c r="AQ202" s="588" t="n"/>
      <c r="AR202" s="588" t="n"/>
      <c r="AS202" s="588" t="n"/>
      <c r="AT202" s="588" t="n"/>
      <c r="AU202" s="588" t="n"/>
      <c r="AV202" s="588" t="n"/>
      <c r="AW202" s="588" t="n"/>
      <c r="AX202" s="588" t="n"/>
      <c r="AY202" s="588" t="n"/>
      <c r="AZ202" s="588" t="n"/>
      <c r="BA202" s="588" t="n"/>
      <c r="BB202" s="588" t="n"/>
      <c r="BC202" s="588" t="n"/>
      <c r="BD202" s="588" t="n"/>
      <c r="BE202" s="588" t="n"/>
      <c r="BF202" s="588" t="n"/>
      <c r="BG202" s="588" t="n"/>
      <c r="BH202" s="588" t="n"/>
      <c r="BI202" s="588" t="n"/>
      <c r="BJ202" s="588" t="n"/>
      <c r="BK202" s="588" t="n"/>
      <c r="BL202" s="588" t="n"/>
      <c r="BM202" s="588" t="n"/>
      <c r="BN202" s="588" t="n"/>
      <c r="BO202" s="588" t="n"/>
      <c r="BP202" s="588" t="n"/>
      <c r="BQ202" s="588" t="n"/>
      <c r="BR202" s="588" t="n"/>
      <c r="BS202" s="588" t="n"/>
      <c r="BT202" s="588" t="n"/>
      <c r="BU202" s="588" t="n"/>
      <c r="BV202" s="588" t="n"/>
      <c r="BW202" s="588" t="n"/>
      <c r="BX202" s="588" t="n"/>
      <c r="BY202" s="588" t="n"/>
      <c r="BZ202" s="588" t="n"/>
      <c r="CA202" s="588" t="n"/>
      <c r="CB202" s="588" t="n"/>
      <c r="CC202" s="588" t="n"/>
      <c r="CD202" s="588" t="n"/>
      <c r="CE202" s="588" t="n"/>
      <c r="CF202" s="588" t="n"/>
      <c r="CG202" s="588" t="n"/>
      <c r="CH202" s="588" t="n"/>
      <c r="CI202" s="588" t="n"/>
      <c r="CJ202" s="588" t="n"/>
      <c r="CK202" s="588" t="n"/>
      <c r="CL202" s="588" t="n"/>
      <c r="CM202" s="588" t="n"/>
      <c r="CN202" s="588" t="n"/>
      <c r="CO202" s="588" t="n"/>
      <c r="CP202" s="588" t="n"/>
      <c r="CQ202" s="588" t="n"/>
      <c r="CR202" s="588" t="n"/>
      <c r="CS202" s="588" t="n"/>
      <c r="CT202" s="588" t="n"/>
      <c r="CU202" s="588" t="n"/>
      <c r="CV202" s="588" t="n"/>
      <c r="CW202" s="588" t="n"/>
      <c r="CX202" s="588" t="n"/>
      <c r="CY202" s="588" t="n"/>
      <c r="CZ202" s="588" t="n"/>
      <c r="DA202" s="588" t="n"/>
      <c r="DB202" s="588" t="n"/>
      <c r="DC202" s="588" t="n"/>
      <c r="DD202" s="588" t="n"/>
      <c r="DE202" s="588" t="n"/>
      <c r="DF202" s="588" t="n"/>
      <c r="DG202" s="588" t="n"/>
      <c r="DH202" s="588" t="n"/>
      <c r="DI202" s="588" t="n"/>
      <c r="DJ202" s="588" t="n"/>
      <c r="DK202" s="588" t="n"/>
      <c r="DL202" s="588" t="n"/>
      <c r="DM202" s="588" t="n"/>
      <c r="DN202" s="588" t="n"/>
      <c r="DO202" s="588" t="n"/>
      <c r="DP202" s="588" t="n"/>
      <c r="DQ202" s="588" t="n"/>
      <c r="DR202" s="588" t="n"/>
      <c r="DS202" s="588" t="n"/>
      <c r="DT202" s="588" t="n"/>
      <c r="DU202" s="588" t="n"/>
    </row>
    <row r="203" outlineLevel="1" ht="12" customHeight="1" s="450">
      <c r="A203" s="737" t="n"/>
      <c r="B203" s="657" t="inlineStr">
        <is>
          <t>Eliminacion de Desmonte</t>
        </is>
      </c>
      <c r="C203" s="581" t="n"/>
      <c r="D203" s="581" t="n"/>
      <c r="E203" s="582" t="n"/>
      <c r="F203" s="645" t="n"/>
      <c r="G203" s="676" t="n"/>
      <c r="H203" s="676" t="n"/>
      <c r="I203" s="676" t="n"/>
      <c r="J203" s="676" t="n"/>
      <c r="K203" s="676" t="n"/>
      <c r="L203" s="676" t="n"/>
      <c r="M203" s="676" t="n"/>
      <c r="N203" s="645" t="n"/>
      <c r="O203" s="645" t="n"/>
      <c r="P203" s="645" t="n"/>
      <c r="Q203" s="602" t="n"/>
      <c r="R203" s="645" t="n"/>
      <c r="S203" s="645" t="n"/>
      <c r="T203" s="645" t="n"/>
      <c r="U203" s="588" t="n"/>
      <c r="V203" s="588" t="n"/>
      <c r="W203" s="588" t="n"/>
      <c r="X203" s="588" t="n"/>
      <c r="Z203" s="588" t="n"/>
      <c r="AA203" s="588" t="n"/>
      <c r="AB203" s="588" t="n"/>
      <c r="AC203" s="588" t="n"/>
      <c r="AD203" s="588" t="n"/>
      <c r="AE203" s="588" t="n"/>
      <c r="AF203" s="588" t="n"/>
      <c r="AG203" s="588" t="n"/>
      <c r="AH203" s="588" t="n"/>
      <c r="AI203" s="588" t="n"/>
      <c r="AJ203" s="588" t="n"/>
      <c r="AK203" s="588" t="n"/>
      <c r="AL203" s="588" t="n"/>
      <c r="AM203" s="588" t="n"/>
      <c r="AN203" s="588" t="n"/>
      <c r="AO203" s="588" t="n"/>
      <c r="AP203" s="588" t="n"/>
      <c r="AQ203" s="588" t="n"/>
      <c r="AR203" s="588" t="n"/>
      <c r="AS203" s="588" t="n"/>
      <c r="AT203" s="588" t="n"/>
      <c r="AU203" s="588" t="n"/>
      <c r="AV203" s="588" t="n"/>
      <c r="AW203" s="588" t="n"/>
      <c r="AX203" s="588" t="n"/>
      <c r="AY203" s="588" t="n"/>
      <c r="AZ203" s="588" t="n"/>
      <c r="BA203" s="588" t="n"/>
      <c r="BB203" s="588" t="n"/>
      <c r="BC203" s="588" t="n"/>
      <c r="BD203" s="588" t="n"/>
      <c r="BE203" s="588" t="n"/>
      <c r="BF203" s="588" t="n"/>
      <c r="BG203" s="588" t="n"/>
      <c r="BH203" s="588" t="n"/>
      <c r="BI203" s="588" t="n"/>
      <c r="BJ203" s="588" t="n"/>
      <c r="BK203" s="588" t="n"/>
      <c r="BL203" s="588" t="n"/>
      <c r="BM203" s="588" t="n"/>
      <c r="BN203" s="588" t="n"/>
      <c r="BO203" s="588" t="n"/>
      <c r="BP203" s="588" t="n"/>
      <c r="BQ203" s="588" t="n"/>
      <c r="BR203" s="588" t="n"/>
      <c r="BS203" s="588" t="n"/>
      <c r="BT203" s="588" t="n"/>
      <c r="BU203" s="588" t="n"/>
      <c r="BV203" s="588" t="n"/>
      <c r="BW203" s="588" t="n"/>
      <c r="BX203" s="588" t="n"/>
      <c r="BY203" s="588" t="n"/>
      <c r="BZ203" s="588" t="n"/>
      <c r="CA203" s="588" t="n"/>
      <c r="CB203" s="588" t="n"/>
      <c r="CC203" s="588" t="n"/>
      <c r="CD203" s="588" t="n"/>
      <c r="CE203" s="588" t="n"/>
      <c r="CF203" s="588" t="n"/>
      <c r="CG203" s="588" t="n"/>
      <c r="CH203" s="588" t="n"/>
      <c r="CI203" s="588" t="n"/>
      <c r="CJ203" s="588" t="n"/>
      <c r="CK203" s="588" t="n"/>
      <c r="CL203" s="588" t="n"/>
      <c r="CM203" s="588" t="n"/>
      <c r="CN203" s="588" t="n"/>
      <c r="CO203" s="588" t="n"/>
      <c r="CP203" s="588" t="n"/>
      <c r="CQ203" s="588" t="n"/>
      <c r="CR203" s="588" t="n"/>
      <c r="CS203" s="588" t="n"/>
      <c r="CT203" s="588" t="n"/>
      <c r="CU203" s="588" t="n"/>
      <c r="CV203" s="588" t="n"/>
      <c r="CW203" s="588" t="n"/>
      <c r="CX203" s="588" t="n"/>
      <c r="CY203" s="588" t="n"/>
      <c r="CZ203" s="588" t="n"/>
      <c r="DA203" s="588" t="n"/>
      <c r="DB203" s="588" t="n"/>
      <c r="DC203" s="588" t="n"/>
      <c r="DD203" s="588" t="n"/>
      <c r="DE203" s="588" t="n"/>
      <c r="DF203" s="588" t="n"/>
      <c r="DG203" s="588" t="n"/>
      <c r="DH203" s="588" t="n"/>
      <c r="DI203" s="588" t="n"/>
      <c r="DJ203" s="588" t="n"/>
      <c r="DK203" s="588" t="n"/>
      <c r="DL203" s="588" t="n"/>
      <c r="DM203" s="588" t="n"/>
      <c r="DN203" s="588" t="n"/>
      <c r="DO203" s="588" t="n"/>
      <c r="DP203" s="588" t="n"/>
      <c r="DQ203" s="588" t="n"/>
      <c r="DR203" s="588" t="n"/>
      <c r="DS203" s="588" t="n"/>
      <c r="DT203" s="588" t="n"/>
      <c r="DU203" s="588" t="n"/>
    </row>
    <row r="204" outlineLevel="1" ht="12" customHeight="1" s="450">
      <c r="A204" s="737" t="n"/>
      <c r="B204" s="657" t="inlineStr">
        <is>
          <t>TIPO</t>
        </is>
      </c>
      <c r="C204" s="657" t="inlineStr">
        <is>
          <t>M3</t>
        </is>
      </c>
      <c r="D204" s="657" t="inlineStr">
        <is>
          <t>% ESP.</t>
        </is>
      </c>
      <c r="E204" s="657" t="inlineStr">
        <is>
          <t>TOTAL</t>
        </is>
      </c>
      <c r="F204" s="645" t="n"/>
      <c r="G204" s="676" t="n"/>
      <c r="H204" s="676" t="n"/>
      <c r="I204" s="676" t="n"/>
      <c r="J204" s="676" t="n"/>
      <c r="K204" s="676" t="n"/>
      <c r="L204" s="676" t="n"/>
      <c r="M204" s="676" t="n"/>
      <c r="N204" s="603" t="n"/>
      <c r="O204" s="603" t="n"/>
      <c r="P204" s="645" t="n"/>
      <c r="Q204" s="602" t="n"/>
      <c r="R204" s="645" t="n"/>
      <c r="S204" s="645" t="n"/>
      <c r="T204" s="645" t="n"/>
      <c r="U204" s="588" t="n"/>
      <c r="V204" s="588" t="n"/>
      <c r="W204" s="588" t="n"/>
      <c r="X204" s="588" t="n"/>
      <c r="Z204" s="588" t="n"/>
      <c r="AA204" s="588" t="n"/>
      <c r="AB204" s="588" t="n"/>
      <c r="AC204" s="588" t="n"/>
      <c r="AD204" s="588" t="n"/>
      <c r="AE204" s="588" t="n"/>
      <c r="AF204" s="588" t="n"/>
      <c r="AG204" s="588" t="n"/>
      <c r="AH204" s="588" t="n"/>
      <c r="AI204" s="588" t="n"/>
      <c r="AJ204" s="588" t="n"/>
      <c r="AK204" s="588" t="n"/>
      <c r="AL204" s="588" t="n"/>
      <c r="AM204" s="588" t="n"/>
      <c r="AN204" s="588" t="n"/>
      <c r="AO204" s="588" t="n"/>
      <c r="AP204" s="588" t="n"/>
      <c r="AQ204" s="588" t="n"/>
      <c r="AR204" s="588" t="n"/>
      <c r="AS204" s="588" t="n"/>
      <c r="AT204" s="588" t="n"/>
      <c r="AU204" s="588" t="n"/>
      <c r="AV204" s="588" t="n"/>
      <c r="AW204" s="588" t="n"/>
      <c r="AX204" s="588" t="n"/>
      <c r="AY204" s="588" t="n"/>
      <c r="AZ204" s="588" t="n"/>
      <c r="BA204" s="588" t="n"/>
      <c r="BB204" s="588" t="n"/>
      <c r="BC204" s="588" t="n"/>
      <c r="BD204" s="588" t="n"/>
      <c r="BE204" s="588" t="n"/>
      <c r="BF204" s="588" t="n"/>
      <c r="BG204" s="588" t="n"/>
      <c r="BH204" s="588" t="n"/>
      <c r="BI204" s="588" t="n"/>
      <c r="BJ204" s="588" t="n"/>
      <c r="BK204" s="588" t="n"/>
      <c r="BL204" s="588" t="n"/>
      <c r="BM204" s="588" t="n"/>
      <c r="BN204" s="588" t="n"/>
      <c r="BO204" s="588" t="n"/>
      <c r="BP204" s="588" t="n"/>
      <c r="BQ204" s="588" t="n"/>
      <c r="BR204" s="588" t="n"/>
      <c r="BS204" s="588" t="n"/>
      <c r="BT204" s="588" t="n"/>
      <c r="BU204" s="588" t="n"/>
      <c r="BV204" s="588" t="n"/>
      <c r="BW204" s="588" t="n"/>
      <c r="BX204" s="588" t="n"/>
      <c r="BY204" s="588" t="n"/>
      <c r="BZ204" s="588" t="n"/>
      <c r="CA204" s="588" t="n"/>
      <c r="CB204" s="588" t="n"/>
      <c r="CC204" s="588" t="n"/>
      <c r="CD204" s="588" t="n"/>
      <c r="CE204" s="588" t="n"/>
      <c r="CF204" s="588" t="n"/>
      <c r="CG204" s="588" t="n"/>
      <c r="CH204" s="588" t="n"/>
      <c r="CI204" s="588" t="n"/>
      <c r="CJ204" s="588" t="n"/>
      <c r="CK204" s="588" t="n"/>
      <c r="CL204" s="588" t="n"/>
      <c r="CM204" s="588" t="n"/>
      <c r="CN204" s="588" t="n"/>
      <c r="CO204" s="588" t="n"/>
      <c r="CP204" s="588" t="n"/>
      <c r="CQ204" s="588" t="n"/>
      <c r="CR204" s="588" t="n"/>
      <c r="CS204" s="588" t="n"/>
      <c r="CT204" s="588" t="n"/>
      <c r="CU204" s="588" t="n"/>
      <c r="CV204" s="588" t="n"/>
      <c r="CW204" s="588" t="n"/>
      <c r="CX204" s="588" t="n"/>
      <c r="CY204" s="588" t="n"/>
      <c r="CZ204" s="588" t="n"/>
      <c r="DA204" s="588" t="n"/>
      <c r="DB204" s="588" t="n"/>
      <c r="DC204" s="588" t="n"/>
      <c r="DD204" s="588" t="n"/>
      <c r="DE204" s="588" t="n"/>
      <c r="DF204" s="588" t="n"/>
      <c r="DG204" s="588" t="n"/>
      <c r="DH204" s="588" t="n"/>
      <c r="DI204" s="588" t="n"/>
      <c r="DJ204" s="588" t="n"/>
      <c r="DK204" s="588" t="n"/>
      <c r="DL204" s="588" t="n"/>
      <c r="DM204" s="588" t="n"/>
      <c r="DN204" s="588" t="n"/>
      <c r="DO204" s="588" t="n"/>
      <c r="DP204" s="588" t="n"/>
      <c r="DQ204" s="588" t="n"/>
      <c r="DR204" s="588" t="n"/>
      <c r="DS204" s="588" t="n"/>
      <c r="DT204" s="588" t="n"/>
      <c r="DU204" s="588" t="n"/>
    </row>
    <row r="205" outlineLevel="1" ht="12" customHeight="1" s="450">
      <c r="A205" s="737" t="n"/>
      <c r="B205" s="738" t="inlineStr">
        <is>
          <t>Casc.10</t>
        </is>
      </c>
      <c r="C205" s="739">
        <f>(E197)*0.1</f>
        <v/>
      </c>
      <c r="D205" s="739">
        <f>+C205*0.6</f>
        <v/>
      </c>
      <c r="E205" s="739">
        <f>+C205+D205</f>
        <v/>
      </c>
      <c r="F205" s="615" t="n"/>
      <c r="G205" s="616" t="n"/>
      <c r="H205" s="588" t="n"/>
      <c r="I205" s="615" t="n"/>
      <c r="J205" s="615" t="n"/>
      <c r="K205" s="603" t="n"/>
      <c r="L205" s="603" t="n"/>
      <c r="M205" s="603" t="n"/>
      <c r="N205" s="603" t="n"/>
      <c r="O205" s="603" t="n"/>
      <c r="P205" s="615" t="n"/>
      <c r="Q205" s="616" t="n"/>
      <c r="R205" s="615" t="n"/>
      <c r="S205" s="615" t="n"/>
      <c r="T205" s="615" t="n"/>
      <c r="U205" s="588" t="n"/>
      <c r="V205" s="588" t="n"/>
      <c r="W205" s="588" t="n"/>
      <c r="X205" s="588" t="n"/>
      <c r="Z205" s="588" t="n"/>
      <c r="AA205" s="588" t="n"/>
      <c r="AB205" s="588" t="n"/>
      <c r="AC205" s="588" t="n"/>
      <c r="AD205" s="588" t="n"/>
      <c r="AE205" s="588" t="n"/>
      <c r="AF205" s="588" t="n"/>
      <c r="AG205" s="588" t="n"/>
      <c r="AH205" s="588" t="n"/>
      <c r="AI205" s="588" t="n"/>
      <c r="AJ205" s="588" t="n"/>
      <c r="AK205" s="588" t="n"/>
      <c r="AL205" s="588" t="n"/>
      <c r="AM205" s="588" t="n"/>
      <c r="AN205" s="588" t="n"/>
      <c r="AO205" s="588" t="n"/>
      <c r="AP205" s="588" t="n"/>
      <c r="AQ205" s="588" t="n"/>
      <c r="AR205" s="588" t="n"/>
      <c r="AS205" s="588" t="n"/>
      <c r="AT205" s="588" t="n"/>
      <c r="AU205" s="588" t="n"/>
      <c r="AV205" s="588" t="n"/>
      <c r="AW205" s="588" t="n"/>
      <c r="AX205" s="588" t="n"/>
      <c r="AY205" s="588" t="n"/>
      <c r="AZ205" s="588" t="n"/>
      <c r="BA205" s="588" t="n"/>
      <c r="BB205" s="588" t="n"/>
      <c r="BC205" s="588" t="n"/>
      <c r="BD205" s="588" t="n"/>
      <c r="BE205" s="588" t="n"/>
      <c r="BF205" s="588" t="n"/>
      <c r="BG205" s="588" t="n"/>
      <c r="BH205" s="588" t="n"/>
      <c r="BI205" s="588" t="n"/>
      <c r="BJ205" s="588" t="n"/>
      <c r="BK205" s="588" t="n"/>
      <c r="BL205" s="588" t="n"/>
      <c r="BM205" s="588" t="n"/>
      <c r="BN205" s="588" t="n"/>
      <c r="BO205" s="588" t="n"/>
      <c r="BP205" s="588" t="n"/>
      <c r="BQ205" s="588" t="n"/>
      <c r="BR205" s="588" t="n"/>
      <c r="BS205" s="588" t="n"/>
      <c r="BT205" s="588" t="n"/>
      <c r="BU205" s="588" t="n"/>
      <c r="BV205" s="588" t="n"/>
      <c r="BW205" s="588" t="n"/>
      <c r="BX205" s="588" t="n"/>
      <c r="BY205" s="588" t="n"/>
      <c r="BZ205" s="588" t="n"/>
      <c r="CA205" s="588" t="n"/>
      <c r="CB205" s="588" t="n"/>
      <c r="CC205" s="588" t="n"/>
      <c r="CD205" s="588" t="n"/>
      <c r="CE205" s="588" t="n"/>
      <c r="CF205" s="588" t="n"/>
      <c r="CG205" s="588" t="n"/>
      <c r="CH205" s="588" t="n"/>
      <c r="CI205" s="588" t="n"/>
      <c r="CJ205" s="588" t="n"/>
      <c r="CK205" s="588" t="n"/>
      <c r="CL205" s="588" t="n"/>
      <c r="CM205" s="588" t="n"/>
      <c r="CN205" s="588" t="n"/>
      <c r="CO205" s="588" t="n"/>
      <c r="CP205" s="588" t="n"/>
      <c r="CQ205" s="588" t="n"/>
      <c r="CR205" s="588" t="n"/>
      <c r="CS205" s="588" t="n"/>
      <c r="CT205" s="588" t="n"/>
      <c r="CU205" s="588" t="n"/>
      <c r="CV205" s="588" t="n"/>
      <c r="CW205" s="588" t="n"/>
      <c r="CX205" s="588" t="n"/>
      <c r="CY205" s="588" t="n"/>
      <c r="CZ205" s="588" t="n"/>
      <c r="DA205" s="588" t="n"/>
      <c r="DB205" s="588" t="n"/>
      <c r="DC205" s="588" t="n"/>
      <c r="DD205" s="588" t="n"/>
      <c r="DE205" s="588" t="n"/>
      <c r="DF205" s="588" t="n"/>
      <c r="DG205" s="588" t="n"/>
      <c r="DH205" s="588" t="n"/>
      <c r="DI205" s="588" t="n"/>
      <c r="DJ205" s="588" t="n"/>
      <c r="DK205" s="588" t="n"/>
      <c r="DL205" s="588" t="n"/>
      <c r="DM205" s="588" t="n"/>
      <c r="DN205" s="588" t="n"/>
      <c r="DO205" s="588" t="n"/>
      <c r="DP205" s="588" t="n"/>
      <c r="DQ205" s="588" t="n"/>
      <c r="DR205" s="588" t="n"/>
      <c r="DS205" s="588" t="n"/>
      <c r="DT205" s="588" t="n"/>
      <c r="DU205" s="588" t="n"/>
    </row>
    <row r="206" outlineLevel="1" ht="12" customHeight="1" s="450">
      <c r="A206" s="737" t="n"/>
      <c r="B206" s="618" t="inlineStr">
        <is>
          <t>Casc.20</t>
        </is>
      </c>
      <c r="C206" s="619">
        <f>(+L196)*0.2</f>
        <v/>
      </c>
      <c r="D206" s="619">
        <f>+C206*0.6</f>
        <v/>
      </c>
      <c r="E206" s="619">
        <f>+C206+D206</f>
        <v/>
      </c>
      <c r="F206" s="615" t="n"/>
      <c r="G206" s="616" t="n"/>
      <c r="H206" s="588" t="n"/>
      <c r="I206" s="598" t="n"/>
      <c r="J206" s="615" t="n"/>
      <c r="K206" s="602" t="n"/>
      <c r="L206" s="602" t="n"/>
      <c r="M206" s="602" t="n"/>
      <c r="N206" s="602" t="n"/>
      <c r="O206" s="602" t="n"/>
      <c r="P206" s="602" t="n"/>
      <c r="Q206" s="616" t="n"/>
      <c r="R206" s="615" t="n"/>
      <c r="S206" s="615" t="n"/>
      <c r="T206" s="615" t="n"/>
      <c r="U206" s="588" t="n"/>
      <c r="V206" s="588" t="n"/>
      <c r="W206" s="588" t="n"/>
      <c r="X206" s="588" t="n"/>
      <c r="Z206" s="588" t="n"/>
      <c r="AA206" s="588" t="n"/>
      <c r="AB206" s="588" t="n"/>
      <c r="AC206" s="588" t="n"/>
      <c r="AD206" s="588" t="n"/>
      <c r="AE206" s="588" t="n"/>
      <c r="AF206" s="588" t="n"/>
      <c r="AG206" s="588" t="n"/>
      <c r="AH206" s="588" t="n"/>
      <c r="AI206" s="588" t="n"/>
      <c r="AJ206" s="588" t="n"/>
      <c r="AK206" s="588" t="n"/>
      <c r="AL206" s="588" t="n"/>
      <c r="AM206" s="588" t="n"/>
      <c r="AN206" s="588" t="n"/>
      <c r="AO206" s="588" t="n"/>
      <c r="AP206" s="588" t="n"/>
      <c r="AQ206" s="588" t="n"/>
      <c r="AR206" s="588" t="n"/>
      <c r="AS206" s="588" t="n"/>
      <c r="AT206" s="588" t="n"/>
      <c r="AU206" s="588" t="n"/>
      <c r="AV206" s="588" t="n"/>
      <c r="AW206" s="588" t="n"/>
      <c r="AX206" s="588" t="n"/>
      <c r="AY206" s="588" t="n"/>
      <c r="AZ206" s="588" t="n"/>
      <c r="BA206" s="588" t="n"/>
      <c r="BB206" s="588" t="n"/>
      <c r="BC206" s="588" t="n"/>
      <c r="BD206" s="588" t="n"/>
      <c r="BE206" s="588" t="n"/>
      <c r="BF206" s="588" t="n"/>
      <c r="BG206" s="588" t="n"/>
      <c r="BH206" s="588" t="n"/>
      <c r="BI206" s="588" t="n"/>
      <c r="BJ206" s="588" t="n"/>
      <c r="BK206" s="588" t="n"/>
      <c r="BL206" s="588" t="n"/>
      <c r="BM206" s="588" t="n"/>
      <c r="BN206" s="588" t="n"/>
      <c r="BO206" s="588" t="n"/>
      <c r="BP206" s="588" t="n"/>
      <c r="BQ206" s="588" t="n"/>
      <c r="BR206" s="588" t="n"/>
      <c r="BS206" s="588" t="n"/>
      <c r="BT206" s="588" t="n"/>
      <c r="BU206" s="588" t="n"/>
      <c r="BV206" s="588" t="n"/>
      <c r="BW206" s="588" t="n"/>
      <c r="BX206" s="588" t="n"/>
      <c r="BY206" s="588" t="n"/>
      <c r="BZ206" s="588" t="n"/>
      <c r="CA206" s="588" t="n"/>
      <c r="CB206" s="588" t="n"/>
      <c r="CC206" s="588" t="n"/>
      <c r="CD206" s="588" t="n"/>
      <c r="CE206" s="588" t="n"/>
      <c r="CF206" s="588" t="n"/>
      <c r="CG206" s="588" t="n"/>
      <c r="CH206" s="588" t="n"/>
      <c r="CI206" s="588" t="n"/>
      <c r="CJ206" s="588" t="n"/>
      <c r="CK206" s="588" t="n"/>
      <c r="CL206" s="588" t="n"/>
      <c r="CM206" s="588" t="n"/>
      <c r="CN206" s="588" t="n"/>
      <c r="CO206" s="588" t="n"/>
      <c r="CP206" s="588" t="n"/>
      <c r="CQ206" s="588" t="n"/>
      <c r="CR206" s="588" t="n"/>
      <c r="CS206" s="588" t="n"/>
      <c r="CT206" s="588" t="n"/>
      <c r="CU206" s="588" t="n"/>
      <c r="CV206" s="588" t="n"/>
      <c r="CW206" s="588" t="n"/>
      <c r="CX206" s="588" t="n"/>
      <c r="CY206" s="588" t="n"/>
      <c r="CZ206" s="588" t="n"/>
      <c r="DA206" s="588" t="n"/>
      <c r="DB206" s="588" t="n"/>
      <c r="DC206" s="588" t="n"/>
      <c r="DD206" s="588" t="n"/>
      <c r="DE206" s="588" t="n"/>
      <c r="DF206" s="588" t="n"/>
      <c r="DG206" s="588" t="n"/>
      <c r="DH206" s="588" t="n"/>
      <c r="DI206" s="588" t="n"/>
      <c r="DJ206" s="588" t="n"/>
      <c r="DK206" s="588" t="n"/>
      <c r="DL206" s="588" t="n"/>
      <c r="DM206" s="588" t="n"/>
      <c r="DN206" s="588" t="n"/>
      <c r="DO206" s="588" t="n"/>
      <c r="DP206" s="588" t="n"/>
      <c r="DQ206" s="588" t="n"/>
      <c r="DR206" s="588" t="n"/>
      <c r="DS206" s="588" t="n"/>
      <c r="DT206" s="588" t="n"/>
      <c r="DU206" s="588" t="n"/>
    </row>
    <row r="207" outlineLevel="1" ht="12" customHeight="1" s="450">
      <c r="A207" s="737" t="n"/>
      <c r="B207" s="618" t="inlineStr">
        <is>
          <t>Afirmado</t>
        </is>
      </c>
      <c r="C207" s="619">
        <f>+E216*0.2</f>
        <v/>
      </c>
      <c r="D207" s="619">
        <f>+C207*0.25</f>
        <v/>
      </c>
      <c r="E207" s="619">
        <f>+C207+D207</f>
        <v/>
      </c>
      <c r="F207" s="615" t="n"/>
      <c r="G207" s="616" t="n"/>
      <c r="H207" s="588" t="n"/>
      <c r="I207" s="615" t="n"/>
      <c r="J207" s="615" t="n"/>
      <c r="K207" s="602" t="n"/>
      <c r="L207" s="602" t="n"/>
      <c r="M207" s="602" t="n"/>
      <c r="N207" s="602" t="n"/>
      <c r="O207" s="602" t="n"/>
      <c r="P207" s="602" t="n"/>
      <c r="Q207" s="616" t="n"/>
      <c r="R207" s="615" t="n"/>
      <c r="S207" s="615" t="n"/>
      <c r="T207" s="615" t="n"/>
      <c r="U207" s="588" t="n"/>
      <c r="V207" s="588" t="n"/>
      <c r="W207" s="588" t="n"/>
      <c r="X207" s="588" t="n"/>
      <c r="Z207" s="588" t="n"/>
      <c r="AA207" s="588" t="n"/>
      <c r="AB207" s="588" t="n"/>
      <c r="AC207" s="588" t="n"/>
      <c r="AD207" s="588" t="n"/>
      <c r="AE207" s="588" t="n"/>
      <c r="AF207" s="588" t="n"/>
      <c r="AG207" s="588" t="n"/>
      <c r="AH207" s="588" t="n"/>
      <c r="AI207" s="588" t="n"/>
      <c r="AJ207" s="588" t="n"/>
      <c r="AK207" s="588" t="n"/>
      <c r="AL207" s="588" t="n"/>
      <c r="AM207" s="588" t="n"/>
      <c r="AN207" s="588" t="n"/>
      <c r="AO207" s="588" t="n"/>
      <c r="AP207" s="588" t="n"/>
      <c r="AQ207" s="588" t="n"/>
      <c r="AR207" s="588" t="n"/>
      <c r="AS207" s="588" t="n"/>
      <c r="AT207" s="588" t="n"/>
      <c r="AU207" s="588" t="n"/>
      <c r="AV207" s="588" t="n"/>
      <c r="AW207" s="588" t="n"/>
      <c r="AX207" s="588" t="n"/>
      <c r="AY207" s="588" t="n"/>
      <c r="AZ207" s="588" t="n"/>
      <c r="BA207" s="588" t="n"/>
      <c r="BB207" s="588" t="n"/>
      <c r="BC207" s="588" t="n"/>
      <c r="BD207" s="588" t="n"/>
      <c r="BE207" s="588" t="n"/>
      <c r="BF207" s="588" t="n"/>
      <c r="BG207" s="588" t="n"/>
      <c r="BH207" s="588" t="n"/>
      <c r="BI207" s="588" t="n"/>
      <c r="BJ207" s="588" t="n"/>
      <c r="BK207" s="588" t="n"/>
      <c r="BL207" s="588" t="n"/>
      <c r="BM207" s="588" t="n"/>
      <c r="BN207" s="588" t="n"/>
      <c r="BO207" s="588" t="n"/>
      <c r="BP207" s="588" t="n"/>
      <c r="BQ207" s="588" t="n"/>
      <c r="BR207" s="588" t="n"/>
      <c r="BS207" s="588" t="n"/>
      <c r="BT207" s="588" t="n"/>
      <c r="BU207" s="588" t="n"/>
      <c r="BV207" s="588" t="n"/>
      <c r="BW207" s="588" t="n"/>
      <c r="BX207" s="588" t="n"/>
      <c r="BY207" s="588" t="n"/>
      <c r="BZ207" s="588" t="n"/>
      <c r="CA207" s="588" t="n"/>
      <c r="CB207" s="588" t="n"/>
      <c r="CC207" s="588" t="n"/>
      <c r="CD207" s="588" t="n"/>
      <c r="CE207" s="588" t="n"/>
      <c r="CF207" s="588" t="n"/>
      <c r="CG207" s="588" t="n"/>
      <c r="CH207" s="588" t="n"/>
      <c r="CI207" s="588" t="n"/>
      <c r="CJ207" s="588" t="n"/>
      <c r="CK207" s="588" t="n"/>
      <c r="CL207" s="588" t="n"/>
      <c r="CM207" s="588" t="n"/>
      <c r="CN207" s="588" t="n"/>
      <c r="CO207" s="588" t="n"/>
      <c r="CP207" s="588" t="n"/>
      <c r="CQ207" s="588" t="n"/>
      <c r="CR207" s="588" t="n"/>
      <c r="CS207" s="588" t="n"/>
      <c r="CT207" s="588" t="n"/>
      <c r="CU207" s="588" t="n"/>
      <c r="CV207" s="588" t="n"/>
      <c r="CW207" s="588" t="n"/>
      <c r="CX207" s="588" t="n"/>
      <c r="CY207" s="588" t="n"/>
      <c r="CZ207" s="588" t="n"/>
      <c r="DA207" s="588" t="n"/>
      <c r="DB207" s="588" t="n"/>
      <c r="DC207" s="588" t="n"/>
      <c r="DD207" s="588" t="n"/>
      <c r="DE207" s="588" t="n"/>
      <c r="DF207" s="588" t="n"/>
      <c r="DG207" s="588" t="n"/>
      <c r="DH207" s="588" t="n"/>
      <c r="DI207" s="588" t="n"/>
      <c r="DJ207" s="588" t="n"/>
      <c r="DK207" s="588" t="n"/>
      <c r="DL207" s="588" t="n"/>
      <c r="DM207" s="588" t="n"/>
      <c r="DN207" s="588" t="n"/>
      <c r="DO207" s="588" t="n"/>
      <c r="DP207" s="588" t="n"/>
      <c r="DQ207" s="588" t="n"/>
      <c r="DR207" s="588" t="n"/>
      <c r="DS207" s="588" t="n"/>
      <c r="DT207" s="588" t="n"/>
      <c r="DU207" s="588" t="n"/>
    </row>
    <row r="208" outlineLevel="1" ht="12" customHeight="1" s="450">
      <c r="A208" s="737" t="n"/>
      <c r="B208" s="618" t="n"/>
      <c r="C208" s="619" t="n"/>
      <c r="D208" s="619">
        <f>+C208*0.25</f>
        <v/>
      </c>
      <c r="E208" s="619">
        <f>+C208+D208</f>
        <v/>
      </c>
      <c r="F208" s="740" t="n"/>
      <c r="G208" s="616" t="n"/>
      <c r="H208" s="588" t="n"/>
      <c r="I208" s="615" t="n"/>
      <c r="J208" s="615" t="n"/>
      <c r="K208" s="602" t="n"/>
      <c r="L208" s="602" t="n"/>
      <c r="M208" s="602" t="n"/>
      <c r="N208" s="602" t="n"/>
      <c r="O208" s="602" t="n"/>
      <c r="P208" s="602" t="n"/>
      <c r="Q208" s="616" t="n"/>
      <c r="R208" s="615" t="n"/>
      <c r="S208" s="615" t="n"/>
      <c r="T208" s="615" t="n"/>
      <c r="U208" s="588" t="n"/>
      <c r="V208" s="588" t="n"/>
      <c r="W208" s="588" t="n"/>
      <c r="X208" s="588" t="n"/>
      <c r="Z208" s="588" t="n"/>
      <c r="AA208" s="588" t="n"/>
      <c r="AB208" s="588" t="n"/>
      <c r="AC208" s="588" t="n"/>
      <c r="AD208" s="588" t="n"/>
      <c r="AE208" s="588" t="n"/>
      <c r="AF208" s="588" t="n"/>
      <c r="AG208" s="588" t="n"/>
      <c r="AH208" s="588" t="n"/>
      <c r="AI208" s="588" t="n"/>
      <c r="AJ208" s="588" t="n"/>
      <c r="AK208" s="588" t="n"/>
      <c r="AL208" s="588" t="n"/>
      <c r="AM208" s="588" t="n"/>
      <c r="AN208" s="588" t="n"/>
      <c r="AO208" s="588" t="n"/>
      <c r="AP208" s="588" t="n"/>
      <c r="AQ208" s="588" t="n"/>
      <c r="AR208" s="588" t="n"/>
      <c r="AS208" s="588" t="n"/>
      <c r="AT208" s="588" t="n"/>
      <c r="AU208" s="588" t="n"/>
      <c r="AV208" s="588" t="n"/>
      <c r="AW208" s="588" t="n"/>
      <c r="AX208" s="588" t="n"/>
      <c r="AY208" s="588" t="n"/>
      <c r="AZ208" s="588" t="n"/>
      <c r="BA208" s="588" t="n"/>
      <c r="BB208" s="588" t="n"/>
      <c r="BC208" s="588" t="n"/>
      <c r="BD208" s="588" t="n"/>
      <c r="BE208" s="588" t="n"/>
      <c r="BF208" s="588" t="n"/>
      <c r="BG208" s="588" t="n"/>
      <c r="BH208" s="588" t="n"/>
      <c r="BI208" s="588" t="n"/>
      <c r="BJ208" s="588" t="n"/>
      <c r="BK208" s="588" t="n"/>
      <c r="BL208" s="588" t="n"/>
      <c r="BM208" s="588" t="n"/>
      <c r="BN208" s="588" t="n"/>
      <c r="BO208" s="588" t="n"/>
      <c r="BP208" s="588" t="n"/>
      <c r="BQ208" s="588" t="n"/>
      <c r="BR208" s="588" t="n"/>
      <c r="BS208" s="588" t="n"/>
      <c r="BT208" s="588" t="n"/>
      <c r="BU208" s="588" t="n"/>
      <c r="BV208" s="588" t="n"/>
      <c r="BW208" s="588" t="n"/>
      <c r="BX208" s="588" t="n"/>
      <c r="BY208" s="588" t="n"/>
      <c r="BZ208" s="588" t="n"/>
      <c r="CA208" s="588" t="n"/>
      <c r="CB208" s="588" t="n"/>
      <c r="CC208" s="588" t="n"/>
      <c r="CD208" s="588" t="n"/>
      <c r="CE208" s="588" t="n"/>
      <c r="CF208" s="588" t="n"/>
      <c r="CG208" s="588" t="n"/>
      <c r="CH208" s="588" t="n"/>
      <c r="CI208" s="588" t="n"/>
      <c r="CJ208" s="588" t="n"/>
      <c r="CK208" s="588" t="n"/>
      <c r="CL208" s="588" t="n"/>
      <c r="CM208" s="588" t="n"/>
      <c r="CN208" s="588" t="n"/>
      <c r="CO208" s="588" t="n"/>
      <c r="CP208" s="588" t="n"/>
      <c r="CQ208" s="588" t="n"/>
      <c r="CR208" s="588" t="n"/>
      <c r="CS208" s="588" t="n"/>
      <c r="CT208" s="588" t="n"/>
      <c r="CU208" s="588" t="n"/>
      <c r="CV208" s="588" t="n"/>
      <c r="CW208" s="588" t="n"/>
      <c r="CX208" s="588" t="n"/>
      <c r="CY208" s="588" t="n"/>
      <c r="CZ208" s="588" t="n"/>
      <c r="DA208" s="588" t="n"/>
      <c r="DB208" s="588" t="n"/>
      <c r="DC208" s="588" t="n"/>
      <c r="DD208" s="588" t="n"/>
      <c r="DE208" s="588" t="n"/>
      <c r="DF208" s="588" t="n"/>
      <c r="DG208" s="588" t="n"/>
      <c r="DH208" s="588" t="n"/>
      <c r="DI208" s="588" t="n"/>
      <c r="DJ208" s="588" t="n"/>
      <c r="DK208" s="588" t="n"/>
      <c r="DL208" s="588" t="n"/>
      <c r="DM208" s="588" t="n"/>
      <c r="DN208" s="588" t="n"/>
      <c r="DO208" s="588" t="n"/>
      <c r="DP208" s="588" t="n"/>
      <c r="DQ208" s="588" t="n"/>
      <c r="DR208" s="588" t="n"/>
      <c r="DS208" s="588" t="n"/>
      <c r="DT208" s="588" t="n"/>
      <c r="DU208" s="588" t="n"/>
    </row>
    <row r="209" outlineLevel="1" ht="12" customHeight="1" s="450">
      <c r="A209" s="737" t="n"/>
      <c r="B209" s="741" t="n"/>
      <c r="C209" s="742" t="n"/>
      <c r="D209" s="742">
        <f>+C209*0.25</f>
        <v/>
      </c>
      <c r="E209" s="742">
        <f>+C209+D209</f>
        <v/>
      </c>
      <c r="F209" s="740" t="n"/>
      <c r="G209" s="676" t="n"/>
      <c r="H209" s="588" t="n"/>
      <c r="I209" s="615" t="n"/>
      <c r="J209" s="615" t="n"/>
      <c r="K209" s="602" t="n"/>
      <c r="L209" s="602" t="n"/>
      <c r="M209" s="602" t="n"/>
      <c r="N209" s="602" t="n"/>
      <c r="O209" s="602" t="n"/>
      <c r="P209" s="602" t="n"/>
      <c r="Q209" s="616" t="n"/>
      <c r="R209" s="615" t="n"/>
      <c r="S209" s="615" t="n"/>
      <c r="T209" s="615" t="n"/>
      <c r="U209" s="588" t="n"/>
      <c r="V209" s="588" t="n"/>
      <c r="W209" s="588" t="n"/>
      <c r="X209" s="588" t="n"/>
      <c r="Z209" s="588" t="n"/>
      <c r="AA209" s="588" t="n"/>
      <c r="AB209" s="588" t="n"/>
      <c r="AC209" s="588" t="n"/>
      <c r="AD209" s="588" t="n"/>
      <c r="AE209" s="588" t="n"/>
      <c r="AF209" s="588" t="n"/>
      <c r="AG209" s="588" t="n"/>
      <c r="AH209" s="588" t="n"/>
      <c r="AI209" s="588" t="n"/>
      <c r="AJ209" s="588" t="n"/>
      <c r="AK209" s="588" t="n"/>
      <c r="AL209" s="588" t="n"/>
      <c r="AM209" s="588" t="n"/>
      <c r="AN209" s="588" t="n"/>
      <c r="AO209" s="588" t="n"/>
      <c r="AP209" s="588" t="n"/>
      <c r="AQ209" s="588" t="n"/>
      <c r="AR209" s="588" t="n"/>
      <c r="AS209" s="588" t="n"/>
      <c r="AT209" s="588" t="n"/>
      <c r="AU209" s="588" t="n"/>
      <c r="AV209" s="588" t="n"/>
      <c r="AW209" s="588" t="n"/>
      <c r="AX209" s="588" t="n"/>
      <c r="AY209" s="588" t="n"/>
      <c r="AZ209" s="588" t="n"/>
      <c r="BA209" s="588" t="n"/>
      <c r="BB209" s="588" t="n"/>
      <c r="BC209" s="588" t="n"/>
      <c r="BD209" s="588" t="n"/>
      <c r="BE209" s="588" t="n"/>
      <c r="BF209" s="588" t="n"/>
      <c r="BG209" s="588" t="n"/>
      <c r="BH209" s="588" t="n"/>
      <c r="BI209" s="588" t="n"/>
      <c r="BJ209" s="588" t="n"/>
      <c r="BK209" s="588" t="n"/>
      <c r="BL209" s="588" t="n"/>
      <c r="BM209" s="588" t="n"/>
      <c r="BN209" s="588" t="n"/>
      <c r="BO209" s="588" t="n"/>
      <c r="BP209" s="588" t="n"/>
      <c r="BQ209" s="588" t="n"/>
      <c r="BR209" s="588" t="n"/>
      <c r="BS209" s="588" t="n"/>
      <c r="BT209" s="588" t="n"/>
      <c r="BU209" s="588" t="n"/>
      <c r="BV209" s="588" t="n"/>
      <c r="BW209" s="588" t="n"/>
      <c r="BX209" s="588" t="n"/>
      <c r="BY209" s="588" t="n"/>
      <c r="BZ209" s="588" t="n"/>
      <c r="CA209" s="588" t="n"/>
      <c r="CB209" s="588" t="n"/>
      <c r="CC209" s="588" t="n"/>
      <c r="CD209" s="588" t="n"/>
      <c r="CE209" s="588" t="n"/>
      <c r="CF209" s="588" t="n"/>
      <c r="CG209" s="588" t="n"/>
      <c r="CH209" s="588" t="n"/>
      <c r="CI209" s="588" t="n"/>
      <c r="CJ209" s="588" t="n"/>
      <c r="CK209" s="588" t="n"/>
      <c r="CL209" s="588" t="n"/>
      <c r="CM209" s="588" t="n"/>
      <c r="CN209" s="588" t="n"/>
      <c r="CO209" s="588" t="n"/>
      <c r="CP209" s="588" t="n"/>
      <c r="CQ209" s="588" t="n"/>
      <c r="CR209" s="588" t="n"/>
      <c r="CS209" s="588" t="n"/>
      <c r="CT209" s="588" t="n"/>
      <c r="CU209" s="588" t="n"/>
      <c r="CV209" s="588" t="n"/>
      <c r="CW209" s="588" t="n"/>
      <c r="CX209" s="588" t="n"/>
      <c r="CY209" s="588" t="n"/>
      <c r="CZ209" s="588" t="n"/>
      <c r="DA209" s="588" t="n"/>
      <c r="DB209" s="588" t="n"/>
      <c r="DC209" s="588" t="n"/>
      <c r="DD209" s="588" t="n"/>
      <c r="DE209" s="588" t="n"/>
      <c r="DF209" s="588" t="n"/>
      <c r="DG209" s="588" t="n"/>
      <c r="DH209" s="588" t="n"/>
      <c r="DI209" s="588" t="n"/>
      <c r="DJ209" s="588" t="n"/>
      <c r="DK209" s="588" t="n"/>
      <c r="DL209" s="588" t="n"/>
      <c r="DM209" s="588" t="n"/>
      <c r="DN209" s="588" t="n"/>
      <c r="DO209" s="588" t="n"/>
      <c r="DP209" s="588" t="n"/>
      <c r="DQ209" s="588" t="n"/>
      <c r="DR209" s="588" t="n"/>
      <c r="DS209" s="588" t="n"/>
      <c r="DT209" s="588" t="n"/>
      <c r="DU209" s="588" t="n"/>
    </row>
    <row r="210" outlineLevel="1" ht="12" customHeight="1" s="450">
      <c r="A210" s="737" t="n"/>
      <c r="B210" s="686" t="n"/>
      <c r="C210" s="687" t="n"/>
      <c r="D210" s="637" t="inlineStr">
        <is>
          <t>TOTAL</t>
        </is>
      </c>
      <c r="E210" s="635">
        <f>SUM(E205:E209)</f>
        <v/>
      </c>
      <c r="F210" s="602" t="n"/>
      <c r="G210" s="602" t="n"/>
      <c r="H210" s="655" t="n"/>
      <c r="I210" s="602" t="n"/>
      <c r="J210" s="602" t="n"/>
      <c r="K210" s="602" t="n"/>
      <c r="L210" s="602" t="n"/>
      <c r="M210" s="602" t="n"/>
      <c r="N210" s="602" t="n"/>
      <c r="O210" s="602" t="n"/>
      <c r="P210" s="602" t="n"/>
      <c r="Q210" s="602" t="n"/>
      <c r="R210" s="602" t="n"/>
      <c r="S210" s="602" t="n"/>
      <c r="T210" s="602" t="n"/>
      <c r="U210" s="588" t="n"/>
      <c r="V210" s="588" t="n"/>
      <c r="W210" s="588" t="n"/>
      <c r="X210" s="588" t="n"/>
      <c r="Z210" s="588" t="n"/>
      <c r="AA210" s="588" t="n"/>
      <c r="AB210" s="588" t="n"/>
      <c r="AC210" s="588" t="n"/>
      <c r="AD210" s="588" t="n"/>
      <c r="AE210" s="588" t="n"/>
      <c r="AF210" s="588" t="n"/>
      <c r="AG210" s="588" t="n"/>
      <c r="AH210" s="588" t="n"/>
      <c r="AI210" s="588" t="n"/>
      <c r="AJ210" s="588" t="n"/>
      <c r="AK210" s="588" t="n"/>
      <c r="AL210" s="588" t="n"/>
      <c r="AM210" s="588" t="n"/>
      <c r="AN210" s="588" t="n"/>
      <c r="AO210" s="588" t="n"/>
      <c r="AP210" s="588" t="n"/>
      <c r="AQ210" s="588" t="n"/>
      <c r="AR210" s="588" t="n"/>
      <c r="AS210" s="588" t="n"/>
      <c r="AT210" s="588" t="n"/>
      <c r="AU210" s="588" t="n"/>
      <c r="AV210" s="588" t="n"/>
      <c r="AW210" s="588" t="n"/>
      <c r="AX210" s="588" t="n"/>
      <c r="AY210" s="588" t="n"/>
      <c r="AZ210" s="588" t="n"/>
      <c r="BA210" s="588" t="n"/>
      <c r="BB210" s="588" t="n"/>
      <c r="BC210" s="588" t="n"/>
      <c r="BD210" s="588" t="n"/>
      <c r="BE210" s="588" t="n"/>
      <c r="BF210" s="588" t="n"/>
      <c r="BG210" s="588" t="n"/>
      <c r="BH210" s="588" t="n"/>
      <c r="BI210" s="588" t="n"/>
      <c r="BJ210" s="588" t="n"/>
      <c r="BK210" s="588" t="n"/>
      <c r="BL210" s="588" t="n"/>
      <c r="BM210" s="588" t="n"/>
      <c r="BN210" s="588" t="n"/>
      <c r="BO210" s="588" t="n"/>
      <c r="BP210" s="588" t="n"/>
      <c r="BQ210" s="588" t="n"/>
      <c r="BR210" s="588" t="n"/>
      <c r="BS210" s="588" t="n"/>
      <c r="BT210" s="588" t="n"/>
      <c r="BU210" s="588" t="n"/>
      <c r="BV210" s="588" t="n"/>
      <c r="BW210" s="588" t="n"/>
      <c r="BX210" s="588" t="n"/>
      <c r="BY210" s="588" t="n"/>
      <c r="BZ210" s="588" t="n"/>
      <c r="CA210" s="588" t="n"/>
      <c r="CB210" s="588" t="n"/>
      <c r="CC210" s="588" t="n"/>
      <c r="CD210" s="588" t="n"/>
      <c r="CE210" s="588" t="n"/>
      <c r="CF210" s="588" t="n"/>
      <c r="CG210" s="588" t="n"/>
      <c r="CH210" s="588" t="n"/>
      <c r="CI210" s="588" t="n"/>
      <c r="CJ210" s="588" t="n"/>
      <c r="CK210" s="588" t="n"/>
      <c r="CL210" s="588" t="n"/>
      <c r="CM210" s="588" t="n"/>
      <c r="CN210" s="588" t="n"/>
      <c r="CO210" s="588" t="n"/>
      <c r="CP210" s="588" t="n"/>
      <c r="CQ210" s="588" t="n"/>
      <c r="CR210" s="588" t="n"/>
      <c r="CS210" s="588" t="n"/>
      <c r="CT210" s="588" t="n"/>
      <c r="CU210" s="588" t="n"/>
      <c r="CV210" s="588" t="n"/>
      <c r="CW210" s="588" t="n"/>
      <c r="CX210" s="588" t="n"/>
      <c r="CY210" s="588" t="n"/>
      <c r="CZ210" s="588" t="n"/>
      <c r="DA210" s="588" t="n"/>
      <c r="DB210" s="588" t="n"/>
      <c r="DC210" s="588" t="n"/>
      <c r="DD210" s="588" t="n"/>
      <c r="DE210" s="588" t="n"/>
      <c r="DF210" s="588" t="n"/>
      <c r="DG210" s="588" t="n"/>
      <c r="DH210" s="588" t="n"/>
      <c r="DI210" s="588" t="n"/>
      <c r="DJ210" s="588" t="n"/>
      <c r="DK210" s="588" t="n"/>
      <c r="DL210" s="588" t="n"/>
      <c r="DM210" s="588" t="n"/>
      <c r="DN210" s="588" t="n"/>
      <c r="DO210" s="588" t="n"/>
      <c r="DP210" s="588" t="n"/>
      <c r="DQ210" s="588" t="n"/>
      <c r="DR210" s="588" t="n"/>
      <c r="DS210" s="588" t="n"/>
      <c r="DT210" s="588" t="n"/>
      <c r="DU210" s="588" t="n"/>
    </row>
    <row r="211" outlineLevel="1" ht="12" customHeight="1" s="450">
      <c r="A211" s="737" t="n"/>
      <c r="B211" s="588" t="n"/>
      <c r="C211" s="588" t="n"/>
      <c r="D211" s="671" t="n"/>
      <c r="E211" s="602" t="n"/>
      <c r="F211" s="602" t="n"/>
      <c r="G211" s="602" t="n"/>
      <c r="H211" s="655" t="n"/>
      <c r="I211" s="602" t="n"/>
      <c r="J211" s="602" t="n"/>
      <c r="K211" s="602" t="n"/>
      <c r="L211" s="602" t="n"/>
      <c r="M211" s="602" t="n"/>
      <c r="N211" s="602" t="n"/>
      <c r="O211" s="602" t="n"/>
      <c r="P211" s="602" t="n"/>
      <c r="Q211" s="602" t="n"/>
      <c r="R211" s="602" t="n"/>
      <c r="S211" s="602" t="n"/>
      <c r="T211" s="602" t="n"/>
      <c r="U211" s="588" t="n"/>
      <c r="V211" s="588" t="n"/>
      <c r="W211" s="588" t="n"/>
      <c r="X211" s="588" t="n"/>
      <c r="Z211" s="588" t="n"/>
      <c r="AA211" s="588" t="n"/>
      <c r="AB211" s="588" t="n"/>
      <c r="AC211" s="588" t="n"/>
      <c r="AD211" s="588" t="n"/>
      <c r="AE211" s="588" t="n"/>
      <c r="AF211" s="588" t="n"/>
      <c r="AG211" s="588" t="n"/>
      <c r="AH211" s="588" t="n"/>
      <c r="AI211" s="588" t="n"/>
      <c r="AJ211" s="588" t="n"/>
      <c r="AK211" s="588" t="n"/>
      <c r="AL211" s="588" t="n"/>
      <c r="AM211" s="588" t="n"/>
      <c r="AN211" s="588" t="n"/>
      <c r="AO211" s="588" t="n"/>
      <c r="AP211" s="588" t="n"/>
      <c r="AQ211" s="588" t="n"/>
      <c r="AR211" s="588" t="n"/>
      <c r="AS211" s="588" t="n"/>
      <c r="AT211" s="588" t="n"/>
      <c r="AU211" s="588" t="n"/>
      <c r="AV211" s="588" t="n"/>
      <c r="AW211" s="588" t="n"/>
      <c r="AX211" s="588" t="n"/>
      <c r="AY211" s="588" t="n"/>
      <c r="AZ211" s="588" t="n"/>
      <c r="BA211" s="588" t="n"/>
      <c r="BB211" s="588" t="n"/>
      <c r="BC211" s="588" t="n"/>
      <c r="BD211" s="588" t="n"/>
      <c r="BE211" s="588" t="n"/>
      <c r="BF211" s="588" t="n"/>
      <c r="BG211" s="588" t="n"/>
      <c r="BH211" s="588" t="n"/>
      <c r="BI211" s="588" t="n"/>
      <c r="BJ211" s="588" t="n"/>
      <c r="BK211" s="588" t="n"/>
      <c r="BL211" s="588" t="n"/>
      <c r="BM211" s="588" t="n"/>
      <c r="BN211" s="588" t="n"/>
      <c r="BO211" s="588" t="n"/>
      <c r="BP211" s="588" t="n"/>
      <c r="BQ211" s="588" t="n"/>
      <c r="BR211" s="588" t="n"/>
      <c r="BS211" s="588" t="n"/>
      <c r="BT211" s="588" t="n"/>
      <c r="BU211" s="588" t="n"/>
      <c r="BV211" s="588" t="n"/>
      <c r="BW211" s="588" t="n"/>
      <c r="BX211" s="588" t="n"/>
      <c r="BY211" s="588" t="n"/>
      <c r="BZ211" s="588" t="n"/>
      <c r="CA211" s="588" t="n"/>
      <c r="CB211" s="588" t="n"/>
      <c r="CC211" s="588" t="n"/>
      <c r="CD211" s="588" t="n"/>
      <c r="CE211" s="588" t="n"/>
      <c r="CF211" s="588" t="n"/>
      <c r="CG211" s="588" t="n"/>
      <c r="CH211" s="588" t="n"/>
      <c r="CI211" s="588" t="n"/>
      <c r="CJ211" s="588" t="n"/>
      <c r="CK211" s="588" t="n"/>
      <c r="CL211" s="588" t="n"/>
      <c r="CM211" s="588" t="n"/>
      <c r="CN211" s="588" t="n"/>
      <c r="CO211" s="588" t="n"/>
      <c r="CP211" s="588" t="n"/>
      <c r="CQ211" s="588" t="n"/>
      <c r="CR211" s="588" t="n"/>
      <c r="CS211" s="588" t="n"/>
      <c r="CT211" s="588" t="n"/>
      <c r="CU211" s="588" t="n"/>
      <c r="CV211" s="588" t="n"/>
      <c r="CW211" s="588" t="n"/>
      <c r="CX211" s="588" t="n"/>
      <c r="CY211" s="588" t="n"/>
      <c r="CZ211" s="588" t="n"/>
      <c r="DA211" s="588" t="n"/>
      <c r="DB211" s="588" t="n"/>
      <c r="DC211" s="588" t="n"/>
      <c r="DD211" s="588" t="n"/>
      <c r="DE211" s="588" t="n"/>
      <c r="DF211" s="588" t="n"/>
      <c r="DG211" s="588" t="n"/>
      <c r="DH211" s="588" t="n"/>
      <c r="DI211" s="588" t="n"/>
      <c r="DJ211" s="588" t="n"/>
      <c r="DK211" s="588" t="n"/>
      <c r="DL211" s="588" t="n"/>
      <c r="DM211" s="588" t="n"/>
      <c r="DN211" s="588" t="n"/>
      <c r="DO211" s="588" t="n"/>
      <c r="DP211" s="588" t="n"/>
      <c r="DQ211" s="588" t="n"/>
      <c r="DR211" s="588" t="n"/>
      <c r="DS211" s="588" t="n"/>
      <c r="DT211" s="588" t="n"/>
      <c r="DU211" s="588" t="n"/>
    </row>
    <row r="212" outlineLevel="1" ht="12" customHeight="1" s="450">
      <c r="A212" s="737" t="n"/>
      <c r="B212" s="657" t="inlineStr">
        <is>
          <t xml:space="preserve">RESUMEN DE REPARACIONES </t>
        </is>
      </c>
      <c r="C212" s="581" t="n"/>
      <c r="D212" s="581" t="n"/>
      <c r="E212" s="582" t="n"/>
      <c r="F212" s="645" t="n"/>
      <c r="G212" s="721" t="n"/>
      <c r="H212" s="722" t="n"/>
      <c r="I212" s="723" t="n"/>
      <c r="J212" s="607" t="n"/>
      <c r="K212" s="723" t="n"/>
      <c r="L212" s="602" t="n"/>
      <c r="M212" s="645" t="n"/>
      <c r="N212" s="645" t="n"/>
      <c r="O212" s="645" t="n"/>
      <c r="P212" s="645" t="n"/>
      <c r="Q212" s="602" t="n"/>
      <c r="R212" s="645" t="n"/>
      <c r="S212" s="645" t="n"/>
      <c r="T212" s="645" t="n"/>
      <c r="U212" s="588" t="n"/>
      <c r="V212" s="588" t="n"/>
      <c r="W212" s="588" t="n"/>
      <c r="X212" s="588" t="n"/>
      <c r="Z212" s="588" t="n"/>
      <c r="AA212" s="588" t="n"/>
      <c r="AB212" s="588" t="n"/>
      <c r="AC212" s="588" t="n"/>
      <c r="AD212" s="588" t="n"/>
      <c r="AE212" s="588" t="n"/>
      <c r="AF212" s="588" t="n"/>
      <c r="AG212" s="588" t="n"/>
      <c r="AH212" s="588" t="n"/>
      <c r="AI212" s="588" t="n"/>
      <c r="AJ212" s="588" t="n"/>
      <c r="AK212" s="588" t="n"/>
      <c r="AL212" s="588" t="n"/>
      <c r="AM212" s="588" t="n"/>
      <c r="AN212" s="588" t="n"/>
      <c r="AO212" s="588" t="n"/>
      <c r="AP212" s="588" t="n"/>
      <c r="AQ212" s="588" t="n"/>
      <c r="AR212" s="588" t="n"/>
      <c r="AS212" s="588" t="n"/>
      <c r="AT212" s="588" t="n"/>
      <c r="AU212" s="588" t="n"/>
      <c r="AV212" s="588" t="n"/>
      <c r="AW212" s="588" t="n"/>
      <c r="AX212" s="588" t="n"/>
      <c r="AY212" s="588" t="n"/>
      <c r="AZ212" s="588" t="n"/>
      <c r="BA212" s="588" t="n"/>
      <c r="BB212" s="588" t="n"/>
      <c r="BC212" s="588" t="n"/>
      <c r="BD212" s="588" t="n"/>
      <c r="BE212" s="588" t="n"/>
      <c r="BF212" s="588" t="n"/>
      <c r="BG212" s="588" t="n"/>
      <c r="BH212" s="588" t="n"/>
      <c r="BI212" s="588" t="n"/>
      <c r="BJ212" s="588" t="n"/>
      <c r="BK212" s="588" t="n"/>
      <c r="BL212" s="588" t="n"/>
      <c r="BM212" s="588" t="n"/>
      <c r="BN212" s="588" t="n"/>
      <c r="BO212" s="588" t="n"/>
      <c r="BP212" s="588" t="n"/>
      <c r="BQ212" s="588" t="n"/>
      <c r="BR212" s="588" t="n"/>
      <c r="BS212" s="588" t="n"/>
      <c r="BT212" s="588" t="n"/>
      <c r="BU212" s="588" t="n"/>
      <c r="BV212" s="588" t="n"/>
      <c r="BW212" s="588" t="n"/>
      <c r="BX212" s="588" t="n"/>
      <c r="BY212" s="588" t="n"/>
      <c r="BZ212" s="588" t="n"/>
      <c r="CA212" s="588" t="n"/>
      <c r="CB212" s="588" t="n"/>
      <c r="CC212" s="588" t="n"/>
      <c r="CD212" s="588" t="n"/>
      <c r="CE212" s="588" t="n"/>
      <c r="CF212" s="588" t="n"/>
      <c r="CG212" s="588" t="n"/>
      <c r="CH212" s="588" t="n"/>
      <c r="CI212" s="588" t="n"/>
      <c r="CJ212" s="588" t="n"/>
      <c r="CK212" s="588" t="n"/>
      <c r="CL212" s="588" t="n"/>
      <c r="CM212" s="588" t="n"/>
      <c r="CN212" s="588" t="n"/>
      <c r="CO212" s="588" t="n"/>
      <c r="CP212" s="588" t="n"/>
      <c r="CQ212" s="588" t="n"/>
      <c r="CR212" s="588" t="n"/>
      <c r="CS212" s="588" t="n"/>
      <c r="CT212" s="588" t="n"/>
      <c r="CU212" s="588" t="n"/>
      <c r="CV212" s="588" t="n"/>
      <c r="CW212" s="588" t="n"/>
      <c r="CX212" s="588" t="n"/>
      <c r="CY212" s="588" t="n"/>
      <c r="CZ212" s="588" t="n"/>
      <c r="DA212" s="588" t="n"/>
      <c r="DB212" s="588" t="n"/>
      <c r="DC212" s="588" t="n"/>
      <c r="DD212" s="588" t="n"/>
      <c r="DE212" s="588" t="n"/>
      <c r="DF212" s="588" t="n"/>
      <c r="DG212" s="588" t="n"/>
      <c r="DH212" s="588" t="n"/>
      <c r="DI212" s="588" t="n"/>
      <c r="DJ212" s="588" t="n"/>
      <c r="DK212" s="588" t="n"/>
      <c r="DL212" s="588" t="n"/>
      <c r="DM212" s="588" t="n"/>
      <c r="DN212" s="588" t="n"/>
      <c r="DO212" s="588" t="n"/>
      <c r="DP212" s="588" t="n"/>
      <c r="DQ212" s="588" t="n"/>
      <c r="DR212" s="588" t="n"/>
      <c r="DS212" s="588" t="n"/>
      <c r="DT212" s="588" t="n"/>
      <c r="DU212" s="588" t="n"/>
    </row>
    <row r="213" outlineLevel="1" ht="12.6" customHeight="1" s="450" thickBot="1">
      <c r="A213" s="737" t="n"/>
      <c r="B213" s="725" t="inlineStr">
        <is>
          <t>ROTURA VEREDA (c/maquina)</t>
        </is>
      </c>
      <c r="C213" s="626" t="n"/>
      <c r="D213" s="654" t="n"/>
      <c r="E213" s="726">
        <f>+E199+L196</f>
        <v/>
      </c>
      <c r="F213" s="723" t="inlineStr">
        <is>
          <t>*091845</t>
        </is>
      </c>
      <c r="G213" s="721" t="n"/>
      <c r="H213" s="722" t="n"/>
      <c r="I213" s="723" t="n"/>
      <c r="J213" s="607" t="n"/>
      <c r="K213" s="723" t="n"/>
      <c r="L213" s="602" t="n"/>
      <c r="M213" s="645" t="n"/>
      <c r="N213" s="645" t="n"/>
      <c r="O213" s="645" t="n"/>
      <c r="P213" s="645" t="n"/>
      <c r="Q213" s="602" t="n"/>
      <c r="R213" s="645" t="n"/>
      <c r="S213" s="645" t="n"/>
      <c r="T213" s="645" t="n"/>
      <c r="U213" s="588" t="n"/>
      <c r="V213" s="588" t="n"/>
      <c r="W213" s="588" t="n"/>
      <c r="X213" s="588" t="n"/>
      <c r="Z213" s="588" t="n"/>
      <c r="AA213" s="588" t="n"/>
      <c r="AB213" s="588" t="n"/>
      <c r="AC213" s="588" t="n"/>
      <c r="AD213" s="588" t="n"/>
      <c r="AE213" s="588" t="n"/>
      <c r="AF213" s="588" t="n"/>
      <c r="AG213" s="588" t="n"/>
      <c r="AH213" s="588" t="n"/>
      <c r="AI213" s="588" t="n"/>
      <c r="AJ213" s="588" t="n"/>
      <c r="AK213" s="588" t="n"/>
      <c r="AL213" s="588" t="n"/>
      <c r="AM213" s="588" t="n"/>
      <c r="AN213" s="588" t="n"/>
      <c r="AO213" s="588" t="n"/>
      <c r="AP213" s="588" t="n"/>
      <c r="AQ213" s="588" t="n"/>
      <c r="AR213" s="588" t="n"/>
      <c r="AS213" s="588" t="n"/>
      <c r="AT213" s="588" t="n"/>
      <c r="AU213" s="588" t="n"/>
      <c r="AV213" s="588" t="n"/>
      <c r="AW213" s="588" t="n"/>
      <c r="AX213" s="588" t="n"/>
      <c r="AY213" s="588" t="n"/>
      <c r="AZ213" s="588" t="n"/>
      <c r="BA213" s="588" t="n"/>
      <c r="BB213" s="588" t="n"/>
      <c r="BC213" s="588" t="n"/>
      <c r="BD213" s="588" t="n"/>
      <c r="BE213" s="588" t="n"/>
      <c r="BF213" s="588" t="n"/>
      <c r="BG213" s="588" t="n"/>
      <c r="BH213" s="588" t="n"/>
      <c r="BI213" s="588" t="n"/>
      <c r="BJ213" s="588" t="n"/>
      <c r="BK213" s="588" t="n"/>
      <c r="BL213" s="588" t="n"/>
      <c r="BM213" s="588" t="n"/>
      <c r="BN213" s="588" t="n"/>
      <c r="BO213" s="588" t="n"/>
      <c r="BP213" s="588" t="n"/>
      <c r="BQ213" s="588" t="n"/>
      <c r="BR213" s="588" t="n"/>
      <c r="BS213" s="588" t="n"/>
      <c r="BT213" s="588" t="n"/>
      <c r="BU213" s="588" t="n"/>
      <c r="BV213" s="588" t="n"/>
      <c r="BW213" s="588" t="n"/>
      <c r="BX213" s="588" t="n"/>
      <c r="BY213" s="588" t="n"/>
      <c r="BZ213" s="588" t="n"/>
      <c r="CA213" s="588" t="n"/>
      <c r="CB213" s="588" t="n"/>
      <c r="CC213" s="588" t="n"/>
      <c r="CD213" s="588" t="n"/>
      <c r="CE213" s="588" t="n"/>
      <c r="CF213" s="588" t="n"/>
      <c r="CG213" s="588" t="n"/>
      <c r="CH213" s="588" t="n"/>
      <c r="CI213" s="588" t="n"/>
      <c r="CJ213" s="588" t="n"/>
      <c r="CK213" s="588" t="n"/>
      <c r="CL213" s="588" t="n"/>
      <c r="CM213" s="588" t="n"/>
      <c r="CN213" s="588" t="n"/>
      <c r="CO213" s="588" t="n"/>
      <c r="CP213" s="588" t="n"/>
      <c r="CQ213" s="588" t="n"/>
      <c r="CR213" s="588" t="n"/>
      <c r="CS213" s="588" t="n"/>
      <c r="CT213" s="588" t="n"/>
      <c r="CU213" s="588" t="n"/>
      <c r="CV213" s="588" t="n"/>
      <c r="CW213" s="588" t="n"/>
      <c r="CX213" s="588" t="n"/>
      <c r="CY213" s="588" t="n"/>
      <c r="CZ213" s="588" t="n"/>
      <c r="DA213" s="588" t="n"/>
      <c r="DB213" s="588" t="n"/>
      <c r="DC213" s="588" t="n"/>
      <c r="DD213" s="588" t="n"/>
      <c r="DE213" s="588" t="n"/>
      <c r="DF213" s="588" t="n"/>
      <c r="DG213" s="588" t="n"/>
      <c r="DH213" s="588" t="n"/>
      <c r="DI213" s="588" t="n"/>
      <c r="DJ213" s="588" t="n"/>
      <c r="DK213" s="588" t="n"/>
      <c r="DL213" s="588" t="n"/>
      <c r="DM213" s="588" t="n"/>
      <c r="DN213" s="588" t="n"/>
      <c r="DO213" s="588" t="n"/>
      <c r="DP213" s="588" t="n"/>
      <c r="DQ213" s="588" t="n"/>
      <c r="DR213" s="588" t="n"/>
      <c r="DS213" s="588" t="n"/>
      <c r="DT213" s="588" t="n"/>
      <c r="DU213" s="588" t="n"/>
    </row>
    <row r="214" outlineLevel="1" ht="12.6" customHeight="1" s="450" thickBot="1">
      <c r="A214" s="737" t="n"/>
      <c r="B214" s="730" t="inlineStr">
        <is>
          <t>REPARACION 10cm</t>
        </is>
      </c>
      <c r="C214" s="731" t="n"/>
      <c r="D214" s="588" t="n"/>
      <c r="E214" s="743">
        <f>F199</f>
        <v/>
      </c>
      <c r="F214" s="744" t="inlineStr">
        <is>
          <t>*095233</t>
        </is>
      </c>
      <c r="G214" s="729" t="n"/>
      <c r="H214" s="729" t="n"/>
      <c r="I214" s="723" t="inlineStr">
        <is>
          <t>INCLUYE DESMONTE</t>
        </is>
      </c>
      <c r="J214" s="607" t="n"/>
      <c r="K214" s="723" t="n"/>
      <c r="L214" s="655" t="n"/>
      <c r="M214" s="655" t="n"/>
      <c r="N214" s="655" t="n"/>
      <c r="O214" s="655" t="n"/>
      <c r="P214" s="655" t="n"/>
      <c r="Q214" s="655" t="n"/>
      <c r="R214" s="655" t="n"/>
      <c r="S214" s="655" t="n"/>
      <c r="T214" s="655" t="n"/>
      <c r="U214" s="588" t="n"/>
      <c r="V214" s="588" t="n"/>
      <c r="W214" s="598" t="n"/>
      <c r="X214" s="588" t="n"/>
      <c r="Z214" s="588" t="n"/>
      <c r="AA214" s="588" t="n"/>
      <c r="AB214" s="588" t="n"/>
      <c r="AC214" s="588" t="n"/>
      <c r="AD214" s="588" t="n"/>
      <c r="AE214" s="588" t="n"/>
      <c r="AF214" s="588" t="n"/>
      <c r="AG214" s="588" t="n"/>
      <c r="AH214" s="588" t="n"/>
      <c r="AI214" s="588" t="n"/>
      <c r="AJ214" s="588" t="n"/>
      <c r="AK214" s="588" t="n"/>
      <c r="AL214" s="588" t="n"/>
      <c r="AM214" s="588" t="n"/>
      <c r="AN214" s="588" t="n"/>
      <c r="AO214" s="588" t="n"/>
      <c r="AP214" s="588" t="n"/>
      <c r="AQ214" s="588" t="n"/>
      <c r="AR214" s="588" t="n"/>
      <c r="AS214" s="588" t="n"/>
      <c r="AT214" s="588" t="n"/>
      <c r="AU214" s="588" t="n"/>
      <c r="AV214" s="588" t="n"/>
      <c r="AW214" s="588" t="n"/>
      <c r="AX214" s="588" t="n"/>
      <c r="AY214" s="588" t="n"/>
      <c r="AZ214" s="588" t="n"/>
      <c r="BA214" s="588" t="n"/>
      <c r="BB214" s="588" t="n"/>
      <c r="BC214" s="588" t="n"/>
      <c r="BD214" s="588" t="n"/>
      <c r="BE214" s="588" t="n"/>
      <c r="BF214" s="588" t="n"/>
      <c r="BG214" s="588" t="n"/>
      <c r="BH214" s="588" t="n"/>
      <c r="BI214" s="588" t="n"/>
      <c r="BJ214" s="588" t="n"/>
      <c r="BK214" s="588" t="n"/>
      <c r="BL214" s="588" t="n"/>
      <c r="BM214" s="588" t="n"/>
      <c r="BN214" s="588" t="n"/>
      <c r="BO214" s="588" t="n"/>
      <c r="BP214" s="588" t="n"/>
      <c r="BQ214" s="588" t="n"/>
      <c r="BR214" s="588" t="n"/>
      <c r="BS214" s="588" t="n"/>
      <c r="BT214" s="588" t="n"/>
      <c r="BU214" s="588" t="n"/>
      <c r="BV214" s="588" t="n"/>
      <c r="BW214" s="588" t="n"/>
      <c r="BX214" s="588" t="n"/>
      <c r="BY214" s="588" t="n"/>
      <c r="BZ214" s="588" t="n"/>
      <c r="CA214" s="588" t="n"/>
      <c r="CB214" s="588" t="n"/>
      <c r="CC214" s="588" t="n"/>
      <c r="CD214" s="588" t="n"/>
      <c r="CE214" s="588" t="n"/>
      <c r="CF214" s="588" t="n"/>
      <c r="CG214" s="588" t="n"/>
      <c r="CH214" s="588" t="n"/>
      <c r="CI214" s="588" t="n"/>
      <c r="CJ214" s="588" t="n"/>
      <c r="CK214" s="588" t="n"/>
      <c r="CL214" s="588" t="n"/>
      <c r="CM214" s="588" t="n"/>
      <c r="CN214" s="588" t="n"/>
      <c r="CO214" s="588" t="n"/>
      <c r="CP214" s="588" t="n"/>
      <c r="CQ214" s="588" t="n"/>
      <c r="CR214" s="588" t="n"/>
      <c r="CS214" s="588" t="n"/>
      <c r="CT214" s="588" t="n"/>
      <c r="CU214" s="588" t="n"/>
      <c r="CV214" s="588" t="n"/>
      <c r="CW214" s="588" t="n"/>
      <c r="CX214" s="588" t="n"/>
      <c r="CY214" s="588" t="n"/>
      <c r="CZ214" s="588" t="n"/>
      <c r="DA214" s="588" t="n"/>
      <c r="DB214" s="588" t="n"/>
      <c r="DC214" s="588" t="n"/>
      <c r="DD214" s="588" t="n"/>
      <c r="DE214" s="588" t="n"/>
      <c r="DF214" s="588" t="n"/>
      <c r="DG214" s="588" t="n"/>
      <c r="DH214" s="588" t="n"/>
      <c r="DI214" s="588" t="n"/>
      <c r="DJ214" s="588" t="n"/>
      <c r="DK214" s="588" t="n"/>
      <c r="DL214" s="588" t="n"/>
      <c r="DM214" s="588" t="n"/>
      <c r="DN214" s="588" t="n"/>
      <c r="DO214" s="588" t="n"/>
      <c r="DP214" s="588" t="n"/>
      <c r="DQ214" s="588" t="n"/>
      <c r="DR214" s="588" t="n"/>
      <c r="DS214" s="588" t="n"/>
      <c r="DT214" s="588" t="n"/>
      <c r="DU214" s="588" t="n"/>
    </row>
    <row r="215" outlineLevel="1" ht="12" customHeight="1" s="450">
      <c r="A215" s="737" t="n"/>
      <c r="B215" s="730" t="inlineStr">
        <is>
          <t>REPARACION 20cm</t>
        </is>
      </c>
      <c r="C215" s="731" t="n"/>
      <c r="D215" s="588" t="n"/>
      <c r="E215" s="728">
        <f>M196</f>
        <v/>
      </c>
      <c r="F215" s="723" t="inlineStr">
        <is>
          <t>*095280</t>
        </is>
      </c>
      <c r="G215" s="729" t="n"/>
      <c r="H215" s="729" t="n"/>
      <c r="I215" s="723" t="n"/>
      <c r="J215" s="607" t="n"/>
      <c r="K215" s="723" t="n"/>
      <c r="L215" s="655" t="n"/>
      <c r="M215" s="655" t="n"/>
      <c r="N215" s="655" t="n"/>
      <c r="O215" s="655" t="n"/>
      <c r="P215" s="655" t="n"/>
      <c r="Q215" s="655" t="n"/>
      <c r="R215" s="655" t="n"/>
      <c r="S215" s="655" t="n"/>
      <c r="T215" s="655" t="n"/>
      <c r="U215" s="588" t="n"/>
      <c r="V215" s="588" t="n"/>
      <c r="W215" s="598" t="n"/>
      <c r="X215" s="588" t="n"/>
      <c r="Z215" s="588" t="n"/>
      <c r="AA215" s="588" t="n"/>
      <c r="AB215" s="588" t="n"/>
      <c r="AC215" s="588" t="n"/>
      <c r="AD215" s="588" t="n"/>
      <c r="AE215" s="588" t="n"/>
      <c r="AF215" s="588" t="n"/>
      <c r="AG215" s="588" t="n"/>
      <c r="AH215" s="588" t="n"/>
      <c r="AI215" s="588" t="n"/>
      <c r="AJ215" s="588" t="n"/>
      <c r="AK215" s="588" t="n"/>
      <c r="AL215" s="588" t="n"/>
      <c r="AM215" s="588" t="n"/>
      <c r="AN215" s="588" t="n"/>
      <c r="AO215" s="588" t="n"/>
      <c r="AP215" s="588" t="n"/>
      <c r="AQ215" s="588" t="n"/>
      <c r="AR215" s="588" t="n"/>
      <c r="AS215" s="588" t="n"/>
      <c r="AT215" s="588" t="n"/>
      <c r="AU215" s="588" t="n"/>
      <c r="AV215" s="588" t="n"/>
      <c r="AW215" s="588" t="n"/>
      <c r="AX215" s="588" t="n"/>
      <c r="AY215" s="588" t="n"/>
      <c r="AZ215" s="588" t="n"/>
      <c r="BA215" s="588" t="n"/>
      <c r="BB215" s="588" t="n"/>
      <c r="BC215" s="588" t="n"/>
      <c r="BD215" s="588" t="n"/>
      <c r="BE215" s="588" t="n"/>
      <c r="BF215" s="588" t="n"/>
      <c r="BG215" s="588" t="n"/>
      <c r="BH215" s="588" t="n"/>
      <c r="BI215" s="588" t="n"/>
      <c r="BJ215" s="588" t="n"/>
      <c r="BK215" s="588" t="n"/>
      <c r="BL215" s="588" t="n"/>
      <c r="BM215" s="588" t="n"/>
      <c r="BN215" s="588" t="n"/>
      <c r="BO215" s="588" t="n"/>
      <c r="BP215" s="588" t="n"/>
      <c r="BQ215" s="588" t="n"/>
      <c r="BR215" s="588" t="n"/>
      <c r="BS215" s="588" t="n"/>
      <c r="BT215" s="588" t="n"/>
      <c r="BU215" s="588" t="n"/>
      <c r="BV215" s="588" t="n"/>
      <c r="BW215" s="588" t="n"/>
      <c r="BX215" s="588" t="n"/>
      <c r="BY215" s="588" t="n"/>
      <c r="BZ215" s="588" t="n"/>
      <c r="CA215" s="588" t="n"/>
      <c r="CB215" s="588" t="n"/>
      <c r="CC215" s="588" t="n"/>
      <c r="CD215" s="588" t="n"/>
      <c r="CE215" s="588" t="n"/>
      <c r="CF215" s="588" t="n"/>
      <c r="CG215" s="588" t="n"/>
      <c r="CH215" s="588" t="n"/>
      <c r="CI215" s="588" t="n"/>
      <c r="CJ215" s="588" t="n"/>
      <c r="CK215" s="588" t="n"/>
      <c r="CL215" s="588" t="n"/>
      <c r="CM215" s="588" t="n"/>
      <c r="CN215" s="588" t="n"/>
      <c r="CO215" s="588" t="n"/>
      <c r="CP215" s="588" t="n"/>
      <c r="CQ215" s="588" t="n"/>
      <c r="CR215" s="588" t="n"/>
      <c r="CS215" s="588" t="n"/>
      <c r="CT215" s="588" t="n"/>
      <c r="CU215" s="588" t="n"/>
      <c r="CV215" s="588" t="n"/>
      <c r="CW215" s="588" t="n"/>
      <c r="CX215" s="588" t="n"/>
      <c r="CY215" s="588" t="n"/>
      <c r="CZ215" s="588" t="n"/>
      <c r="DA215" s="588" t="n"/>
      <c r="DB215" s="588" t="n"/>
      <c r="DC215" s="588" t="n"/>
      <c r="DD215" s="588" t="n"/>
      <c r="DE215" s="588" t="n"/>
      <c r="DF215" s="588" t="n"/>
      <c r="DG215" s="588" t="n"/>
      <c r="DH215" s="588" t="n"/>
      <c r="DI215" s="588" t="n"/>
      <c r="DJ215" s="588" t="n"/>
      <c r="DK215" s="588" t="n"/>
      <c r="DL215" s="588" t="n"/>
      <c r="DM215" s="588" t="n"/>
      <c r="DN215" s="588" t="n"/>
      <c r="DO215" s="588" t="n"/>
      <c r="DP215" s="588" t="n"/>
      <c r="DQ215" s="588" t="n"/>
      <c r="DR215" s="588" t="n"/>
      <c r="DS215" s="588" t="n"/>
      <c r="DT215" s="588" t="n"/>
      <c r="DU215" s="588" t="n"/>
    </row>
    <row r="216" outlineLevel="1" ht="12" customHeight="1" s="450">
      <c r="A216" s="737" t="n"/>
      <c r="B216" s="730" t="inlineStr">
        <is>
          <t>AFIRMADO</t>
        </is>
      </c>
      <c r="C216" s="731" t="n"/>
      <c r="D216" s="588" t="n"/>
      <c r="E216" s="728">
        <f>S199</f>
        <v/>
      </c>
      <c r="F216" s="723" t="inlineStr">
        <is>
          <t>*095227</t>
        </is>
      </c>
      <c r="G216" s="729" t="n"/>
      <c r="H216" s="729" t="n"/>
      <c r="I216" s="723" t="n"/>
      <c r="J216" s="607" t="n"/>
      <c r="K216" s="723" t="n"/>
      <c r="L216" s="655" t="n"/>
      <c r="M216" s="655" t="n"/>
      <c r="N216" s="655" t="n"/>
      <c r="O216" s="655" t="n"/>
      <c r="P216" s="655" t="n"/>
      <c r="Q216" s="655" t="n"/>
      <c r="R216" s="655" t="n"/>
      <c r="S216" s="655" t="n"/>
      <c r="T216" s="655" t="n"/>
      <c r="U216" s="588" t="n"/>
      <c r="V216" s="588" t="n"/>
      <c r="W216" s="598" t="n"/>
      <c r="X216" s="588" t="n"/>
      <c r="Z216" s="588" t="n"/>
      <c r="AA216" s="588" t="n"/>
      <c r="AB216" s="588" t="n"/>
      <c r="AC216" s="588" t="n"/>
      <c r="AD216" s="588" t="n"/>
      <c r="AE216" s="588" t="n"/>
      <c r="AF216" s="588" t="n"/>
      <c r="AG216" s="588" t="n"/>
      <c r="AH216" s="588" t="n"/>
      <c r="AI216" s="588" t="n"/>
      <c r="AJ216" s="588" t="n"/>
      <c r="AK216" s="588" t="n"/>
      <c r="AL216" s="588" t="n"/>
      <c r="AM216" s="588" t="n"/>
      <c r="AN216" s="588" t="n"/>
      <c r="AO216" s="588" t="n"/>
      <c r="AP216" s="588" t="n"/>
      <c r="AQ216" s="588" t="n"/>
      <c r="AR216" s="588" t="n"/>
      <c r="AS216" s="588" t="n"/>
      <c r="AT216" s="588" t="n"/>
      <c r="AU216" s="588" t="n"/>
      <c r="AV216" s="588" t="n"/>
      <c r="AW216" s="588" t="n"/>
      <c r="AX216" s="588" t="n"/>
      <c r="AY216" s="588" t="n"/>
      <c r="AZ216" s="588" t="n"/>
      <c r="BA216" s="588" t="n"/>
      <c r="BB216" s="588" t="n"/>
      <c r="BC216" s="588" t="n"/>
      <c r="BD216" s="588" t="n"/>
      <c r="BE216" s="588" t="n"/>
      <c r="BF216" s="588" t="n"/>
      <c r="BG216" s="588" t="n"/>
      <c r="BH216" s="588" t="n"/>
      <c r="BI216" s="588" t="n"/>
      <c r="BJ216" s="588" t="n"/>
      <c r="BK216" s="588" t="n"/>
      <c r="BL216" s="588" t="n"/>
      <c r="BM216" s="588" t="n"/>
      <c r="BN216" s="588" t="n"/>
      <c r="BO216" s="588" t="n"/>
      <c r="BP216" s="588" t="n"/>
      <c r="BQ216" s="588" t="n"/>
      <c r="BR216" s="588" t="n"/>
      <c r="BS216" s="588" t="n"/>
      <c r="BT216" s="588" t="n"/>
      <c r="BU216" s="588" t="n"/>
      <c r="BV216" s="588" t="n"/>
      <c r="BW216" s="588" t="n"/>
      <c r="BX216" s="588" t="n"/>
      <c r="BY216" s="588" t="n"/>
      <c r="BZ216" s="588" t="n"/>
      <c r="CA216" s="588" t="n"/>
      <c r="CB216" s="588" t="n"/>
      <c r="CC216" s="588" t="n"/>
      <c r="CD216" s="588" t="n"/>
      <c r="CE216" s="588" t="n"/>
      <c r="CF216" s="588" t="n"/>
      <c r="CG216" s="588" t="n"/>
      <c r="CH216" s="588" t="n"/>
      <c r="CI216" s="588" t="n"/>
      <c r="CJ216" s="588" t="n"/>
      <c r="CK216" s="588" t="n"/>
      <c r="CL216" s="588" t="n"/>
      <c r="CM216" s="588" t="n"/>
      <c r="CN216" s="588" t="n"/>
      <c r="CO216" s="588" t="n"/>
      <c r="CP216" s="588" t="n"/>
      <c r="CQ216" s="588" t="n"/>
      <c r="CR216" s="588" t="n"/>
      <c r="CS216" s="588" t="n"/>
      <c r="CT216" s="588" t="n"/>
      <c r="CU216" s="588" t="n"/>
      <c r="CV216" s="588" t="n"/>
      <c r="CW216" s="588" t="n"/>
      <c r="CX216" s="588" t="n"/>
      <c r="CY216" s="588" t="n"/>
      <c r="CZ216" s="588" t="n"/>
      <c r="DA216" s="588" t="n"/>
      <c r="DB216" s="588" t="n"/>
      <c r="DC216" s="588" t="n"/>
      <c r="DD216" s="588" t="n"/>
      <c r="DE216" s="588" t="n"/>
      <c r="DF216" s="588" t="n"/>
      <c r="DG216" s="588" t="n"/>
      <c r="DH216" s="588" t="n"/>
      <c r="DI216" s="588" t="n"/>
      <c r="DJ216" s="588" t="n"/>
      <c r="DK216" s="588" t="n"/>
      <c r="DL216" s="588" t="n"/>
      <c r="DM216" s="588" t="n"/>
      <c r="DN216" s="588" t="n"/>
      <c r="DO216" s="588" t="n"/>
      <c r="DP216" s="588" t="n"/>
      <c r="DQ216" s="588" t="n"/>
      <c r="DR216" s="588" t="n"/>
      <c r="DS216" s="588" t="n"/>
      <c r="DT216" s="588" t="n"/>
      <c r="DU216" s="588" t="n"/>
    </row>
    <row r="217" outlineLevel="1" ht="12" customHeight="1" s="450">
      <c r="A217" s="737" t="n"/>
      <c r="B217" s="730" t="inlineStr">
        <is>
          <t>ELIMINACION DESMONTE</t>
        </is>
      </c>
      <c r="C217" s="731" t="n"/>
      <c r="D217" s="588" t="n"/>
      <c r="E217" s="728">
        <f>+E210</f>
        <v/>
      </c>
      <c r="F217" s="723" t="inlineStr">
        <is>
          <t>*091794</t>
        </is>
      </c>
      <c r="G217" s="655" t="n"/>
      <c r="H217" s="655" t="n"/>
      <c r="I217" s="655" t="n"/>
      <c r="J217" s="655" t="n"/>
      <c r="K217" s="655" t="n"/>
      <c r="L217" s="655" t="n"/>
      <c r="M217" s="655" t="n"/>
      <c r="N217" s="655" t="n"/>
      <c r="O217" s="655" t="n"/>
      <c r="P217" s="655" t="n"/>
      <c r="Q217" s="655" t="n"/>
      <c r="R217" s="655" t="n"/>
      <c r="S217" s="655" t="n"/>
      <c r="T217" s="655" t="n"/>
      <c r="U217" s="588" t="n"/>
      <c r="V217" s="588" t="n"/>
      <c r="W217" s="598" t="n"/>
      <c r="X217" s="588" t="n"/>
      <c r="Z217" s="588" t="n"/>
      <c r="AA217" s="588" t="n"/>
      <c r="AB217" s="588" t="n"/>
      <c r="AC217" s="588" t="n"/>
      <c r="AD217" s="588" t="n"/>
      <c r="AE217" s="588" t="n"/>
      <c r="AF217" s="588" t="n"/>
      <c r="AG217" s="588" t="n"/>
      <c r="AH217" s="588" t="n"/>
      <c r="AI217" s="588" t="n"/>
      <c r="AJ217" s="588" t="n"/>
      <c r="AK217" s="588" t="n"/>
      <c r="AL217" s="588" t="n"/>
      <c r="AM217" s="588" t="n"/>
      <c r="AN217" s="588" t="n"/>
      <c r="AO217" s="588" t="n"/>
      <c r="AP217" s="588" t="n"/>
      <c r="AQ217" s="588" t="n"/>
      <c r="AR217" s="588" t="n"/>
      <c r="AS217" s="588" t="n"/>
      <c r="AT217" s="588" t="n"/>
      <c r="AU217" s="588" t="n"/>
      <c r="AV217" s="588" t="n"/>
      <c r="AW217" s="588" t="n"/>
      <c r="AX217" s="588" t="n"/>
      <c r="AY217" s="588" t="n"/>
      <c r="AZ217" s="588" t="n"/>
      <c r="BA217" s="588" t="n"/>
      <c r="BB217" s="588" t="n"/>
      <c r="BC217" s="588" t="n"/>
      <c r="BD217" s="588" t="n"/>
      <c r="BE217" s="588" t="n"/>
      <c r="BF217" s="588" t="n"/>
      <c r="BG217" s="588" t="n"/>
      <c r="BH217" s="588" t="n"/>
      <c r="BI217" s="588" t="n"/>
      <c r="BJ217" s="588" t="n"/>
      <c r="BK217" s="588" t="n"/>
      <c r="BL217" s="588" t="n"/>
      <c r="BM217" s="588" t="n"/>
      <c r="BN217" s="588" t="n"/>
      <c r="BO217" s="588" t="n"/>
      <c r="BP217" s="588" t="n"/>
      <c r="BQ217" s="588" t="n"/>
      <c r="BR217" s="588" t="n"/>
      <c r="BS217" s="588" t="n"/>
      <c r="BT217" s="588" t="n"/>
      <c r="BU217" s="588" t="n"/>
      <c r="BV217" s="588" t="n"/>
      <c r="BW217" s="588" t="n"/>
      <c r="BX217" s="588" t="n"/>
      <c r="BY217" s="588" t="n"/>
      <c r="BZ217" s="588" t="n"/>
      <c r="CA217" s="588" t="n"/>
      <c r="CB217" s="588" t="n"/>
      <c r="CC217" s="588" t="n"/>
      <c r="CD217" s="588" t="n"/>
      <c r="CE217" s="588" t="n"/>
      <c r="CF217" s="588" t="n"/>
      <c r="CG217" s="588" t="n"/>
      <c r="CH217" s="588" t="n"/>
      <c r="CI217" s="588" t="n"/>
      <c r="CJ217" s="588" t="n"/>
      <c r="CK217" s="588" t="n"/>
      <c r="CL217" s="588" t="n"/>
      <c r="CM217" s="588" t="n"/>
      <c r="CN217" s="588" t="n"/>
      <c r="CO217" s="588" t="n"/>
      <c r="CP217" s="588" t="n"/>
      <c r="CQ217" s="588" t="n"/>
      <c r="CR217" s="588" t="n"/>
      <c r="CS217" s="588" t="n"/>
      <c r="CT217" s="588" t="n"/>
      <c r="CU217" s="588" t="n"/>
      <c r="CV217" s="588" t="n"/>
      <c r="CW217" s="588" t="n"/>
      <c r="CX217" s="588" t="n"/>
      <c r="CY217" s="588" t="n"/>
      <c r="CZ217" s="588" t="n"/>
      <c r="DA217" s="588" t="n"/>
      <c r="DB217" s="588" t="n"/>
      <c r="DC217" s="588" t="n"/>
      <c r="DD217" s="588" t="n"/>
      <c r="DE217" s="588" t="n"/>
      <c r="DF217" s="588" t="n"/>
      <c r="DG217" s="588" t="n"/>
      <c r="DH217" s="588" t="n"/>
      <c r="DI217" s="588" t="n"/>
      <c r="DJ217" s="588" t="n"/>
      <c r="DK217" s="588" t="n"/>
      <c r="DL217" s="588" t="n"/>
      <c r="DM217" s="588" t="n"/>
      <c r="DN217" s="588" t="n"/>
      <c r="DO217" s="588" t="n"/>
      <c r="DP217" s="588" t="n"/>
      <c r="DQ217" s="588" t="n"/>
      <c r="DR217" s="588" t="n"/>
      <c r="DS217" s="588" t="n"/>
      <c r="DT217" s="588" t="n"/>
      <c r="DU217" s="588" t="n"/>
    </row>
    <row r="218" outlineLevel="1" ht="12" customHeight="1" s="450">
      <c r="A218" s="737" t="n"/>
      <c r="B218" s="732" t="inlineStr">
        <is>
          <t>JUNTAS DE DILATACION</t>
        </is>
      </c>
      <c r="C218" s="733" t="n"/>
      <c r="D218" s="648" t="n"/>
      <c r="E218" s="734">
        <f>+Q196</f>
        <v/>
      </c>
      <c r="F218" s="723" t="inlineStr">
        <is>
          <t>*095282</t>
        </is>
      </c>
      <c r="G218" s="655" t="n"/>
      <c r="H218" s="655" t="n"/>
      <c r="I218" s="655" t="n"/>
      <c r="J218" s="655" t="n"/>
      <c r="K218" s="655" t="n"/>
      <c r="L218" s="655" t="n"/>
      <c r="M218" s="655" t="n"/>
      <c r="N218" s="655" t="n"/>
      <c r="O218" s="655" t="n"/>
      <c r="P218" s="655" t="n"/>
      <c r="Q218" s="655" t="n"/>
      <c r="R218" s="655" t="n"/>
      <c r="S218" s="655" t="n"/>
      <c r="T218" s="655" t="n"/>
      <c r="U218" s="588" t="n"/>
      <c r="V218" s="588" t="n"/>
      <c r="W218" s="598" t="n"/>
      <c r="X218" s="588" t="n"/>
      <c r="Z218" s="588" t="n"/>
      <c r="AA218" s="588" t="n"/>
      <c r="AB218" s="588" t="n"/>
      <c r="AC218" s="588" t="n"/>
      <c r="AD218" s="588" t="n"/>
      <c r="AE218" s="588" t="n"/>
      <c r="AF218" s="588" t="n"/>
      <c r="AG218" s="588" t="n"/>
      <c r="AH218" s="588" t="n"/>
      <c r="AI218" s="588" t="n"/>
      <c r="AJ218" s="588" t="n"/>
      <c r="AK218" s="588" t="n"/>
      <c r="AL218" s="588" t="n"/>
      <c r="AM218" s="588" t="n"/>
      <c r="AN218" s="588" t="n"/>
      <c r="AO218" s="588" t="n"/>
      <c r="AP218" s="588" t="n"/>
      <c r="AQ218" s="588" t="n"/>
      <c r="AR218" s="588" t="n"/>
      <c r="AS218" s="588" t="n"/>
      <c r="AT218" s="588" t="n"/>
      <c r="AU218" s="588" t="n"/>
      <c r="AV218" s="588" t="n"/>
      <c r="AW218" s="588" t="n"/>
      <c r="AX218" s="588" t="n"/>
      <c r="AY218" s="588" t="n"/>
      <c r="AZ218" s="588" t="n"/>
      <c r="BA218" s="588" t="n"/>
      <c r="BB218" s="588" t="n"/>
      <c r="BC218" s="588" t="n"/>
      <c r="BD218" s="588" t="n"/>
      <c r="BE218" s="588" t="n"/>
      <c r="BF218" s="588" t="n"/>
      <c r="BG218" s="588" t="n"/>
      <c r="BH218" s="588" t="n"/>
      <c r="BI218" s="588" t="n"/>
      <c r="BJ218" s="588" t="n"/>
      <c r="BK218" s="588" t="n"/>
      <c r="BL218" s="588" t="n"/>
      <c r="BM218" s="588" t="n"/>
      <c r="BN218" s="588" t="n"/>
      <c r="BO218" s="588" t="n"/>
      <c r="BP218" s="588" t="n"/>
      <c r="BQ218" s="588" t="n"/>
      <c r="BR218" s="588" t="n"/>
      <c r="BS218" s="588" t="n"/>
      <c r="BT218" s="588" t="n"/>
      <c r="BU218" s="588" t="n"/>
      <c r="BV218" s="588" t="n"/>
      <c r="BW218" s="588" t="n"/>
      <c r="BX218" s="588" t="n"/>
      <c r="BY218" s="588" t="n"/>
      <c r="BZ218" s="588" t="n"/>
      <c r="CA218" s="588" t="n"/>
      <c r="CB218" s="588" t="n"/>
      <c r="CC218" s="588" t="n"/>
      <c r="CD218" s="588" t="n"/>
      <c r="CE218" s="588" t="n"/>
      <c r="CF218" s="588" t="n"/>
      <c r="CG218" s="588" t="n"/>
      <c r="CH218" s="588" t="n"/>
      <c r="CI218" s="588" t="n"/>
      <c r="CJ218" s="588" t="n"/>
      <c r="CK218" s="588" t="n"/>
      <c r="CL218" s="588" t="n"/>
      <c r="CM218" s="588" t="n"/>
      <c r="CN218" s="588" t="n"/>
      <c r="CO218" s="588" t="n"/>
      <c r="CP218" s="588" t="n"/>
      <c r="CQ218" s="588" t="n"/>
      <c r="CR218" s="588" t="n"/>
      <c r="CS218" s="588" t="n"/>
      <c r="CT218" s="588" t="n"/>
      <c r="CU218" s="588" t="n"/>
      <c r="CV218" s="588" t="n"/>
      <c r="CW218" s="588" t="n"/>
      <c r="CX218" s="588" t="n"/>
      <c r="CY218" s="588" t="n"/>
      <c r="CZ218" s="588" t="n"/>
      <c r="DA218" s="588" t="n"/>
      <c r="DB218" s="588" t="n"/>
      <c r="DC218" s="588" t="n"/>
      <c r="DD218" s="588" t="n"/>
      <c r="DE218" s="588" t="n"/>
      <c r="DF218" s="588" t="n"/>
      <c r="DG218" s="588" t="n"/>
      <c r="DH218" s="588" t="n"/>
      <c r="DI218" s="588" t="n"/>
      <c r="DJ218" s="588" t="n"/>
      <c r="DK218" s="588" t="n"/>
      <c r="DL218" s="588" t="n"/>
      <c r="DM218" s="588" t="n"/>
      <c r="DN218" s="588" t="n"/>
      <c r="DO218" s="588" t="n"/>
      <c r="DP218" s="588" t="n"/>
      <c r="DQ218" s="588" t="n"/>
      <c r="DR218" s="588" t="n"/>
      <c r="DS218" s="588" t="n"/>
      <c r="DT218" s="588" t="n"/>
      <c r="DU218" s="588" t="n"/>
    </row>
    <row r="219">
      <c r="A219" s="737" t="n"/>
      <c r="B219" s="737" t="n"/>
      <c r="C219" s="737" t="n"/>
      <c r="D219" s="737" t="n"/>
      <c r="E219" s="737" t="n"/>
      <c r="F219" s="737" t="n"/>
      <c r="G219" s="737" t="n"/>
      <c r="H219" s="737" t="n"/>
      <c r="I219" s="737" t="n"/>
      <c r="J219" s="737" t="n"/>
      <c r="K219" s="737" t="n"/>
      <c r="L219" s="737" t="n"/>
      <c r="M219" s="737" t="n"/>
      <c r="N219" s="737" t="n"/>
      <c r="O219" s="737" t="n"/>
      <c r="P219" s="737" t="n"/>
      <c r="Q219" s="737" t="n"/>
      <c r="R219" s="737" t="n"/>
      <c r="S219" s="737" t="n"/>
      <c r="T219" s="737" t="n"/>
      <c r="U219" s="588" t="n"/>
      <c r="V219" s="588" t="n"/>
      <c r="W219" s="588" t="n"/>
      <c r="X219" s="588" t="n"/>
      <c r="Z219" s="588" t="n"/>
      <c r="AA219" s="588" t="n"/>
      <c r="AB219" s="588" t="n"/>
      <c r="AC219" s="588" t="n"/>
      <c r="AD219" s="588" t="n"/>
      <c r="AE219" s="588" t="n"/>
      <c r="AF219" s="588" t="n"/>
      <c r="AG219" s="588" t="n"/>
      <c r="AH219" s="588" t="n"/>
      <c r="AI219" s="588" t="n"/>
      <c r="AJ219" s="588" t="n"/>
      <c r="AK219" s="588" t="n"/>
      <c r="AL219" s="588" t="n"/>
      <c r="AM219" s="588" t="n"/>
      <c r="AN219" s="588" t="n"/>
      <c r="AO219" s="588" t="n"/>
      <c r="AP219" s="588" t="n"/>
      <c r="AQ219" s="588" t="n"/>
      <c r="AR219" s="588" t="n"/>
      <c r="AS219" s="588" t="n"/>
      <c r="AT219" s="588" t="n"/>
      <c r="AU219" s="588" t="n"/>
      <c r="AV219" s="588" t="n"/>
      <c r="AW219" s="588" t="n"/>
      <c r="AX219" s="588" t="n"/>
      <c r="AY219" s="588" t="n"/>
      <c r="AZ219" s="588" t="n"/>
      <c r="BA219" s="588" t="n"/>
      <c r="BB219" s="588" t="n"/>
      <c r="BC219" s="588" t="n"/>
      <c r="BD219" s="588" t="n"/>
      <c r="BE219" s="588" t="n"/>
      <c r="BF219" s="588" t="n"/>
      <c r="BG219" s="588" t="n"/>
      <c r="BH219" s="588" t="n"/>
      <c r="BI219" s="588" t="n"/>
      <c r="BJ219" s="588" t="n"/>
      <c r="BK219" s="588" t="n"/>
      <c r="BL219" s="588" t="n"/>
      <c r="BM219" s="588" t="n"/>
      <c r="BN219" s="588" t="n"/>
      <c r="BO219" s="588" t="n"/>
      <c r="BP219" s="588" t="n"/>
      <c r="BQ219" s="588" t="n"/>
      <c r="BR219" s="588" t="n"/>
      <c r="BS219" s="588" t="n"/>
      <c r="BT219" s="588" t="n"/>
      <c r="BU219" s="588" t="n"/>
      <c r="BV219" s="588" t="n"/>
      <c r="BW219" s="588" t="n"/>
      <c r="BX219" s="588" t="n"/>
      <c r="BY219" s="588" t="n"/>
      <c r="BZ219" s="588" t="n"/>
      <c r="CA219" s="588" t="n"/>
      <c r="CB219" s="588" t="n"/>
      <c r="CC219" s="588" t="n"/>
      <c r="CD219" s="588" t="n"/>
      <c r="CE219" s="588" t="n"/>
      <c r="CF219" s="588" t="n"/>
      <c r="CG219" s="588" t="n"/>
      <c r="CH219" s="588" t="n"/>
      <c r="CI219" s="588" t="n"/>
      <c r="CJ219" s="588" t="n"/>
      <c r="CK219" s="588" t="n"/>
      <c r="CL219" s="588" t="n"/>
      <c r="CM219" s="588" t="n"/>
      <c r="CN219" s="588" t="n"/>
      <c r="CO219" s="588" t="n"/>
      <c r="CP219" s="588" t="n"/>
      <c r="CQ219" s="588" t="n"/>
      <c r="CR219" s="588" t="n"/>
      <c r="CS219" s="588" t="n"/>
      <c r="CT219" s="588" t="n"/>
      <c r="CU219" s="588" t="n"/>
      <c r="CV219" s="588" t="n"/>
      <c r="CW219" s="588" t="n"/>
      <c r="CX219" s="588" t="n"/>
      <c r="CY219" s="588" t="n"/>
      <c r="CZ219" s="588" t="n"/>
      <c r="DA219" s="588" t="n"/>
      <c r="DB219" s="588" t="n"/>
      <c r="DC219" s="588" t="n"/>
      <c r="DD219" s="588" t="n"/>
      <c r="DE219" s="588" t="n"/>
      <c r="DF219" s="588" t="n"/>
      <c r="DG219" s="588" t="n"/>
      <c r="DH219" s="588" t="n"/>
      <c r="DI219" s="588" t="n"/>
      <c r="DJ219" s="588" t="n"/>
      <c r="DK219" s="588" t="n"/>
      <c r="DL219" s="588" t="n"/>
      <c r="DM219" s="588" t="n"/>
      <c r="DN219" s="588" t="n"/>
      <c r="DO219" s="588" t="n"/>
      <c r="DP219" s="588" t="n"/>
      <c r="DQ219" s="588" t="n"/>
      <c r="DR219" s="588" t="n"/>
      <c r="DS219" s="588" t="n"/>
      <c r="DT219" s="588" t="n"/>
      <c r="DU219" s="588" t="n"/>
    </row>
    <row r="220" ht="12" customHeight="1" s="450" thickBot="1">
      <c r="A220" s="737" t="n"/>
      <c r="B220" s="737" t="n"/>
      <c r="C220" s="737" t="n"/>
      <c r="D220" s="737" t="n"/>
      <c r="E220" s="737" t="n"/>
      <c r="F220" s="737" t="n"/>
      <c r="G220" s="737" t="n"/>
      <c r="H220" s="737" t="n"/>
      <c r="I220" s="737" t="n"/>
      <c r="J220" s="737" t="n"/>
      <c r="K220" s="737" t="n"/>
      <c r="L220" s="737" t="n"/>
      <c r="M220" s="737" t="n"/>
      <c r="N220" s="737" t="n"/>
      <c r="O220" s="737" t="n"/>
      <c r="P220" s="737" t="n"/>
      <c r="Q220" s="737" t="n"/>
      <c r="R220" s="737" t="n"/>
      <c r="S220" s="737" t="n"/>
      <c r="T220" s="737" t="n"/>
      <c r="U220" s="588" t="n"/>
      <c r="V220" s="588" t="n"/>
      <c r="W220" s="588" t="n"/>
      <c r="X220" s="588" t="n"/>
      <c r="Z220" s="588" t="n"/>
      <c r="AA220" s="588" t="n"/>
      <c r="AB220" s="588" t="n"/>
      <c r="AC220" s="588" t="n"/>
      <c r="AD220" s="588" t="n"/>
      <c r="AE220" s="588" t="n"/>
      <c r="AF220" s="588" t="n"/>
      <c r="AG220" s="588" t="n"/>
      <c r="AH220" s="588" t="n"/>
      <c r="AI220" s="588" t="n"/>
      <c r="AJ220" s="588" t="n"/>
      <c r="AK220" s="588" t="n"/>
      <c r="AL220" s="588" t="n"/>
      <c r="AM220" s="588" t="n"/>
      <c r="AN220" s="588" t="n"/>
      <c r="AO220" s="588" t="n"/>
      <c r="AP220" s="588" t="n"/>
      <c r="AQ220" s="588" t="n"/>
      <c r="AR220" s="588" t="n"/>
      <c r="AS220" s="588" t="n"/>
      <c r="AT220" s="588" t="n"/>
      <c r="AU220" s="588" t="n"/>
      <c r="AV220" s="588" t="n"/>
      <c r="AW220" s="588" t="n"/>
      <c r="AX220" s="588" t="n"/>
      <c r="AY220" s="588" t="n"/>
      <c r="AZ220" s="588" t="n"/>
      <c r="BA220" s="588" t="n"/>
      <c r="BB220" s="588" t="n"/>
      <c r="BC220" s="588" t="n"/>
      <c r="BD220" s="588" t="n"/>
      <c r="BE220" s="588" t="n"/>
      <c r="BF220" s="588" t="n"/>
      <c r="BG220" s="588" t="n"/>
      <c r="BH220" s="588" t="n"/>
      <c r="BI220" s="588" t="n"/>
      <c r="BJ220" s="588" t="n"/>
      <c r="BK220" s="588" t="n"/>
      <c r="BL220" s="588" t="n"/>
      <c r="BM220" s="588" t="n"/>
      <c r="BN220" s="588" t="n"/>
      <c r="BO220" s="588" t="n"/>
      <c r="BP220" s="588" t="n"/>
      <c r="BQ220" s="588" t="n"/>
      <c r="BR220" s="588" t="n"/>
      <c r="BS220" s="588" t="n"/>
      <c r="BT220" s="588" t="n"/>
      <c r="BU220" s="588" t="n"/>
      <c r="BV220" s="588" t="n"/>
      <c r="BW220" s="588" t="n"/>
      <c r="BX220" s="588" t="n"/>
      <c r="BY220" s="588" t="n"/>
      <c r="BZ220" s="588" t="n"/>
      <c r="CA220" s="588" t="n"/>
      <c r="CB220" s="588" t="n"/>
      <c r="CC220" s="588" t="n"/>
      <c r="CD220" s="588" t="n"/>
      <c r="CE220" s="588" t="n"/>
      <c r="CF220" s="588" t="n"/>
      <c r="CG220" s="588" t="n"/>
      <c r="CH220" s="588" t="n"/>
      <c r="CI220" s="588" t="n"/>
      <c r="CJ220" s="588" t="n"/>
      <c r="CK220" s="588" t="n"/>
      <c r="CL220" s="588" t="n"/>
      <c r="CM220" s="588" t="n"/>
      <c r="CN220" s="588" t="n"/>
      <c r="CO220" s="588" t="n"/>
      <c r="CP220" s="588" t="n"/>
      <c r="CQ220" s="588" t="n"/>
      <c r="CR220" s="588" t="n"/>
      <c r="CS220" s="588" t="n"/>
      <c r="CT220" s="588" t="n"/>
      <c r="CU220" s="588" t="n"/>
      <c r="CV220" s="588" t="n"/>
      <c r="CW220" s="588" t="n"/>
      <c r="CX220" s="588" t="n"/>
      <c r="CY220" s="588" t="n"/>
      <c r="CZ220" s="588" t="n"/>
      <c r="DA220" s="588" t="n"/>
      <c r="DB220" s="588" t="n"/>
      <c r="DC220" s="588" t="n"/>
      <c r="DD220" s="588" t="n"/>
      <c r="DE220" s="588" t="n"/>
      <c r="DF220" s="588" t="n"/>
      <c r="DG220" s="588" t="n"/>
      <c r="DH220" s="588" t="n"/>
      <c r="DI220" s="588" t="n"/>
      <c r="DJ220" s="588" t="n"/>
      <c r="DK220" s="588" t="n"/>
      <c r="DL220" s="588" t="n"/>
      <c r="DM220" s="588" t="n"/>
      <c r="DN220" s="588" t="n"/>
      <c r="DO220" s="588" t="n"/>
      <c r="DP220" s="588" t="n"/>
      <c r="DQ220" s="588" t="n"/>
      <c r="DR220" s="588" t="n"/>
      <c r="DS220" s="588" t="n"/>
      <c r="DT220" s="588" t="n"/>
      <c r="DU220" s="588" t="n"/>
    </row>
    <row r="221" ht="13.2" customHeight="1" s="450">
      <c r="A221" s="590" t="n"/>
      <c r="B221" s="688" t="inlineStr">
        <is>
          <t>Eliminacion de Desmonte MT/AEREO</t>
        </is>
      </c>
      <c r="C221" s="689" t="n"/>
      <c r="D221" s="689" t="n"/>
      <c r="E221" s="689" t="n"/>
      <c r="F221" s="689" t="n"/>
      <c r="G221" s="689" t="n"/>
      <c r="H221" s="689" t="n"/>
      <c r="I221" s="690" t="n"/>
      <c r="J221" s="737" t="n"/>
      <c r="K221" s="737" t="n"/>
      <c r="L221" s="737" t="n"/>
      <c r="M221" s="737" t="n"/>
      <c r="N221" s="737" t="n"/>
      <c r="O221" s="737" t="n"/>
      <c r="P221" s="737" t="n"/>
      <c r="Q221" s="737" t="n"/>
      <c r="R221" s="737" t="n"/>
      <c r="S221" s="737" t="n"/>
      <c r="T221" s="737" t="n"/>
      <c r="U221" s="588" t="n"/>
      <c r="V221" s="588" t="n"/>
      <c r="W221" s="588" t="n"/>
      <c r="X221" s="588" t="n"/>
      <c r="Z221" s="588" t="n"/>
      <c r="AA221" s="588" t="n"/>
      <c r="AB221" s="588" t="n"/>
      <c r="AC221" s="588" t="n"/>
      <c r="AD221" s="588" t="n"/>
      <c r="AE221" s="588" t="n"/>
      <c r="AF221" s="588" t="n"/>
      <c r="AG221" s="588" t="n"/>
      <c r="AH221" s="588" t="n"/>
      <c r="AI221" s="588" t="n"/>
      <c r="AJ221" s="588" t="n"/>
      <c r="AK221" s="588" t="n"/>
      <c r="AL221" s="588" t="n"/>
      <c r="AM221" s="588" t="n"/>
      <c r="AN221" s="588" t="n"/>
      <c r="AO221" s="588" t="n"/>
      <c r="AP221" s="588" t="n"/>
      <c r="AQ221" s="588" t="n"/>
      <c r="AR221" s="588" t="n"/>
      <c r="AS221" s="588" t="n"/>
      <c r="AT221" s="588" t="n"/>
      <c r="AU221" s="588" t="n"/>
      <c r="AV221" s="588" t="n"/>
      <c r="AW221" s="588" t="n"/>
      <c r="AX221" s="588" t="n"/>
      <c r="AY221" s="588" t="n"/>
      <c r="AZ221" s="588" t="n"/>
      <c r="BA221" s="588" t="n"/>
      <c r="BB221" s="588" t="n"/>
      <c r="BC221" s="588" t="n"/>
      <c r="BD221" s="588" t="n"/>
      <c r="BE221" s="588" t="n"/>
      <c r="BF221" s="588" t="n"/>
      <c r="BG221" s="588" t="n"/>
      <c r="BH221" s="588" t="n"/>
      <c r="BI221" s="588" t="n"/>
      <c r="BJ221" s="588" t="n"/>
      <c r="BK221" s="588" t="n"/>
      <c r="BL221" s="588" t="n"/>
      <c r="BM221" s="588" t="n"/>
      <c r="BN221" s="588" t="n"/>
      <c r="BO221" s="588" t="n"/>
      <c r="BP221" s="588" t="n"/>
      <c r="BQ221" s="588" t="n"/>
      <c r="BR221" s="588" t="n"/>
      <c r="BS221" s="588" t="n"/>
      <c r="BT221" s="588" t="n"/>
      <c r="BU221" s="588" t="n"/>
      <c r="BV221" s="588" t="n"/>
      <c r="BW221" s="588" t="n"/>
      <c r="BX221" s="588" t="n"/>
      <c r="BY221" s="588" t="n"/>
      <c r="BZ221" s="588" t="n"/>
      <c r="CA221" s="588" t="n"/>
      <c r="CB221" s="588" t="n"/>
      <c r="CC221" s="588" t="n"/>
      <c r="CD221" s="588" t="n"/>
      <c r="CE221" s="588" t="n"/>
      <c r="CF221" s="588" t="n"/>
      <c r="CG221" s="588" t="n"/>
      <c r="CH221" s="588" t="n"/>
      <c r="CI221" s="588" t="n"/>
      <c r="CJ221" s="588" t="n"/>
      <c r="CK221" s="588" t="n"/>
      <c r="CL221" s="588" t="n"/>
      <c r="CM221" s="588" t="n"/>
      <c r="CN221" s="588" t="n"/>
      <c r="CO221" s="588" t="n"/>
      <c r="CP221" s="588" t="n"/>
      <c r="CQ221" s="588" t="n"/>
      <c r="CR221" s="588" t="n"/>
      <c r="CS221" s="588" t="n"/>
      <c r="CT221" s="588" t="n"/>
      <c r="CU221" s="588" t="n"/>
      <c r="CV221" s="588" t="n"/>
      <c r="CW221" s="588" t="n"/>
      <c r="CX221" s="588" t="n"/>
      <c r="CY221" s="588" t="n"/>
      <c r="CZ221" s="588" t="n"/>
      <c r="DA221" s="588" t="n"/>
      <c r="DB221" s="588" t="n"/>
      <c r="DC221" s="588" t="n"/>
      <c r="DD221" s="588" t="n"/>
      <c r="DE221" s="588" t="n"/>
      <c r="DF221" s="588" t="n"/>
      <c r="DG221" s="588" t="n"/>
      <c r="DH221" s="588" t="n"/>
      <c r="DI221" s="588" t="n"/>
      <c r="DJ221" s="588" t="n"/>
      <c r="DK221" s="588" t="n"/>
      <c r="DL221" s="588" t="n"/>
      <c r="DM221" s="588" t="n"/>
      <c r="DN221" s="588" t="n"/>
      <c r="DO221" s="588" t="n"/>
      <c r="DP221" s="588" t="n"/>
      <c r="DQ221" s="588" t="n"/>
      <c r="DR221" s="588" t="n"/>
      <c r="DS221" s="588" t="n"/>
      <c r="DT221" s="588" t="n"/>
      <c r="DU221" s="588" t="n"/>
    </row>
    <row r="222" ht="13.8" customHeight="1" s="450" thickBot="1">
      <c r="A222" s="590" t="n"/>
      <c r="B222" s="691" t="inlineStr">
        <is>
          <t>TIPO</t>
        </is>
      </c>
      <c r="C222" s="692" t="inlineStr">
        <is>
          <t>Area    (m2)</t>
        </is>
      </c>
      <c r="D222" s="693" t="inlineStr">
        <is>
          <t>Prof    (m)</t>
        </is>
      </c>
      <c r="E222" s="694" t="inlineStr">
        <is>
          <t>Esponj.</t>
        </is>
      </c>
      <c r="F222" s="692" t="inlineStr">
        <is>
          <t>M3</t>
        </is>
      </c>
      <c r="G222" s="692" t="inlineStr">
        <is>
          <t>CANT</t>
        </is>
      </c>
      <c r="H222" s="692" t="n"/>
      <c r="I222" s="695" t="inlineStr">
        <is>
          <t>TOTAL</t>
        </is>
      </c>
      <c r="J222" s="737" t="n"/>
      <c r="K222" s="737" t="n"/>
      <c r="L222" s="737" t="n"/>
      <c r="M222" s="737" t="n"/>
      <c r="N222" s="737" t="n"/>
      <c r="O222" s="737" t="n"/>
      <c r="P222" s="737" t="n"/>
      <c r="Q222" s="737" t="n"/>
      <c r="R222" s="737" t="n"/>
      <c r="S222" s="737" t="n"/>
      <c r="T222" s="737" t="n"/>
      <c r="U222" s="588" t="n"/>
      <c r="V222" s="588" t="n"/>
      <c r="W222" s="588" t="n"/>
      <c r="X222" s="588" t="n"/>
      <c r="Z222" s="588" t="n"/>
      <c r="AA222" s="588" t="n"/>
      <c r="AB222" s="588" t="n"/>
      <c r="AC222" s="588" t="n"/>
      <c r="AD222" s="588" t="n"/>
      <c r="AE222" s="588" t="n"/>
      <c r="AF222" s="588" t="n"/>
      <c r="AG222" s="588" t="n"/>
      <c r="AH222" s="588" t="n"/>
      <c r="AI222" s="588" t="n"/>
      <c r="AJ222" s="588" t="n"/>
      <c r="AK222" s="588" t="n"/>
      <c r="AL222" s="588" t="n"/>
      <c r="AM222" s="588" t="n"/>
      <c r="AN222" s="588" t="n"/>
      <c r="AO222" s="588" t="n"/>
      <c r="AP222" s="588" t="n"/>
      <c r="AQ222" s="588" t="n"/>
      <c r="AR222" s="588" t="n"/>
      <c r="AS222" s="588" t="n"/>
      <c r="AT222" s="588" t="n"/>
      <c r="AU222" s="588" t="n"/>
      <c r="AV222" s="588" t="n"/>
      <c r="AW222" s="588" t="n"/>
      <c r="AX222" s="588" t="n"/>
      <c r="AY222" s="588" t="n"/>
      <c r="AZ222" s="588" t="n"/>
      <c r="BA222" s="588" t="n"/>
      <c r="BB222" s="588" t="n"/>
      <c r="BC222" s="588" t="n"/>
      <c r="BD222" s="588" t="n"/>
      <c r="BE222" s="588" t="n"/>
      <c r="BF222" s="588" t="n"/>
      <c r="BG222" s="588" t="n"/>
      <c r="BH222" s="588" t="n"/>
      <c r="BI222" s="588" t="n"/>
      <c r="BJ222" s="588" t="n"/>
      <c r="BK222" s="588" t="n"/>
      <c r="BL222" s="588" t="n"/>
      <c r="BM222" s="588" t="n"/>
      <c r="BN222" s="588" t="n"/>
      <c r="BO222" s="588" t="n"/>
      <c r="BP222" s="588" t="n"/>
      <c r="BQ222" s="588" t="n"/>
      <c r="BR222" s="588" t="n"/>
      <c r="BS222" s="588" t="n"/>
      <c r="BT222" s="588" t="n"/>
      <c r="BU222" s="588" t="n"/>
      <c r="BV222" s="588" t="n"/>
      <c r="BW222" s="588" t="n"/>
      <c r="BX222" s="588" t="n"/>
      <c r="BY222" s="588" t="n"/>
      <c r="BZ222" s="588" t="n"/>
      <c r="CA222" s="588" t="n"/>
      <c r="CB222" s="588" t="n"/>
      <c r="CC222" s="588" t="n"/>
      <c r="CD222" s="588" t="n"/>
      <c r="CE222" s="588" t="n"/>
      <c r="CF222" s="588" t="n"/>
      <c r="CG222" s="588" t="n"/>
      <c r="CH222" s="588" t="n"/>
      <c r="CI222" s="588" t="n"/>
      <c r="CJ222" s="588" t="n"/>
      <c r="CK222" s="588" t="n"/>
      <c r="CL222" s="588" t="n"/>
      <c r="CM222" s="588" t="n"/>
      <c r="CN222" s="588" t="n"/>
      <c r="CO222" s="588" t="n"/>
      <c r="CP222" s="588" t="n"/>
      <c r="CQ222" s="588" t="n"/>
      <c r="CR222" s="588" t="n"/>
      <c r="CS222" s="588" t="n"/>
      <c r="CT222" s="588" t="n"/>
      <c r="CU222" s="588" t="n"/>
      <c r="CV222" s="588" t="n"/>
      <c r="CW222" s="588" t="n"/>
      <c r="CX222" s="588" t="n"/>
      <c r="CY222" s="588" t="n"/>
      <c r="CZ222" s="588" t="n"/>
      <c r="DA222" s="588" t="n"/>
      <c r="DB222" s="588" t="n"/>
      <c r="DC222" s="588" t="n"/>
      <c r="DD222" s="588" t="n"/>
      <c r="DE222" s="588" t="n"/>
      <c r="DF222" s="588" t="n"/>
      <c r="DG222" s="588" t="n"/>
      <c r="DH222" s="588" t="n"/>
      <c r="DI222" s="588" t="n"/>
      <c r="DJ222" s="588" t="n"/>
      <c r="DK222" s="588" t="n"/>
      <c r="DL222" s="588" t="n"/>
      <c r="DM222" s="588" t="n"/>
      <c r="DN222" s="588" t="n"/>
      <c r="DO222" s="588" t="n"/>
      <c r="DP222" s="588" t="n"/>
      <c r="DQ222" s="588" t="n"/>
      <c r="DR222" s="588" t="n"/>
      <c r="DS222" s="588" t="n"/>
      <c r="DT222" s="588" t="n"/>
      <c r="DU222" s="588" t="n"/>
    </row>
    <row r="223" hidden="1" outlineLevel="2" ht="13.2" customHeight="1" s="450">
      <c r="A223" s="590" t="n"/>
      <c r="B223" s="696" t="inlineStr">
        <is>
          <t>Rot. Vereda 5</t>
        </is>
      </c>
      <c r="C223" s="697" t="n">
        <v>1</v>
      </c>
      <c r="D223" s="698" t="n">
        <v>0.05</v>
      </c>
      <c r="E223" s="165" t="n">
        <v>0.6</v>
      </c>
      <c r="F223" s="699">
        <f>(C223*D223)*1.6</f>
        <v/>
      </c>
      <c r="G223" s="700" t="n"/>
      <c r="H223" s="144" t="n"/>
      <c r="I223" s="144">
        <f>F223*G223</f>
        <v/>
      </c>
      <c r="J223" s="737" t="n"/>
      <c r="K223" s="737" t="n"/>
      <c r="L223" s="737" t="n"/>
      <c r="M223" s="737" t="n"/>
      <c r="N223" s="737" t="n"/>
      <c r="O223" s="737" t="n"/>
      <c r="P223" s="737" t="n"/>
      <c r="Q223" s="737" t="n"/>
      <c r="R223" s="737" t="n"/>
      <c r="S223" s="737" t="n"/>
      <c r="T223" s="737" t="n"/>
      <c r="U223" s="588" t="n"/>
      <c r="V223" s="588" t="n"/>
      <c r="W223" s="588" t="n"/>
      <c r="X223" s="588" t="n"/>
      <c r="Z223" s="588" t="n"/>
      <c r="AA223" s="588" t="n"/>
      <c r="AB223" s="588" t="n"/>
      <c r="AC223" s="588" t="n"/>
      <c r="AD223" s="588" t="n"/>
      <c r="AE223" s="588" t="n"/>
      <c r="AF223" s="588" t="n"/>
      <c r="AG223" s="588" t="n"/>
      <c r="AH223" s="588" t="n"/>
      <c r="AI223" s="588" t="n"/>
      <c r="AJ223" s="588" t="n"/>
      <c r="AK223" s="588" t="n"/>
      <c r="AL223" s="588" t="n"/>
      <c r="AM223" s="588" t="n"/>
      <c r="AN223" s="588" t="n"/>
      <c r="AO223" s="588" t="n"/>
      <c r="AP223" s="588" t="n"/>
      <c r="AQ223" s="588" t="n"/>
      <c r="AR223" s="588" t="n"/>
      <c r="AS223" s="588" t="n"/>
      <c r="AT223" s="588" t="n"/>
      <c r="AU223" s="588" t="n"/>
      <c r="AV223" s="588" t="n"/>
      <c r="AW223" s="588" t="n"/>
      <c r="AX223" s="588" t="n"/>
      <c r="AY223" s="588" t="n"/>
      <c r="AZ223" s="588" t="n"/>
      <c r="BA223" s="588" t="n"/>
      <c r="BB223" s="588" t="n"/>
      <c r="BC223" s="588" t="n"/>
      <c r="BD223" s="588" t="n"/>
      <c r="BE223" s="588" t="n"/>
      <c r="BF223" s="588" t="n"/>
      <c r="BG223" s="588" t="n"/>
      <c r="BH223" s="588" t="n"/>
      <c r="BI223" s="588" t="n"/>
      <c r="BJ223" s="588" t="n"/>
      <c r="BK223" s="588" t="n"/>
      <c r="BL223" s="588" t="n"/>
      <c r="BM223" s="588" t="n"/>
      <c r="BN223" s="588" t="n"/>
      <c r="BO223" s="588" t="n"/>
      <c r="BP223" s="588" t="n"/>
      <c r="BQ223" s="588" t="n"/>
      <c r="BR223" s="588" t="n"/>
      <c r="BS223" s="588" t="n"/>
      <c r="BT223" s="588" t="n"/>
      <c r="BU223" s="588" t="n"/>
      <c r="BV223" s="588" t="n"/>
      <c r="BW223" s="588" t="n"/>
      <c r="BX223" s="588" t="n"/>
      <c r="BY223" s="588" t="n"/>
      <c r="BZ223" s="588" t="n"/>
      <c r="CA223" s="588" t="n"/>
      <c r="CB223" s="588" t="n"/>
      <c r="CC223" s="588" t="n"/>
      <c r="CD223" s="588" t="n"/>
      <c r="CE223" s="588" t="n"/>
      <c r="CF223" s="588" t="n"/>
      <c r="CG223" s="588" t="n"/>
      <c r="CH223" s="588" t="n"/>
      <c r="CI223" s="588" t="n"/>
      <c r="CJ223" s="588" t="n"/>
      <c r="CK223" s="588" t="n"/>
      <c r="CL223" s="588" t="n"/>
      <c r="CM223" s="588" t="n"/>
      <c r="CN223" s="588" t="n"/>
      <c r="CO223" s="588" t="n"/>
      <c r="CP223" s="588" t="n"/>
      <c r="CQ223" s="588" t="n"/>
      <c r="CR223" s="588" t="n"/>
      <c r="CS223" s="588" t="n"/>
      <c r="CT223" s="588" t="n"/>
      <c r="CU223" s="588" t="n"/>
      <c r="CV223" s="588" t="n"/>
      <c r="CW223" s="588" t="n"/>
      <c r="CX223" s="588" t="n"/>
      <c r="CY223" s="588" t="n"/>
      <c r="CZ223" s="588" t="n"/>
      <c r="DA223" s="588" t="n"/>
      <c r="DB223" s="588" t="n"/>
      <c r="DC223" s="588" t="n"/>
      <c r="DD223" s="588" t="n"/>
      <c r="DE223" s="588" t="n"/>
      <c r="DF223" s="588" t="n"/>
      <c r="DG223" s="588" t="n"/>
      <c r="DH223" s="588" t="n"/>
      <c r="DI223" s="588" t="n"/>
      <c r="DJ223" s="588" t="n"/>
      <c r="DK223" s="588" t="n"/>
      <c r="DL223" s="588" t="n"/>
      <c r="DM223" s="588" t="n"/>
      <c r="DN223" s="588" t="n"/>
      <c r="DO223" s="588" t="n"/>
      <c r="DP223" s="588" t="n"/>
      <c r="DQ223" s="588" t="n"/>
      <c r="DR223" s="588" t="n"/>
      <c r="DS223" s="588" t="n"/>
      <c r="DT223" s="588" t="n"/>
      <c r="DU223" s="588" t="n"/>
    </row>
    <row r="224" hidden="1" outlineLevel="2" ht="13.2" customHeight="1" s="450">
      <c r="A224" s="590" t="n"/>
      <c r="B224" s="701" t="inlineStr">
        <is>
          <t>Rot. Vereda 10</t>
        </is>
      </c>
      <c r="C224" s="702" t="n">
        <v>1</v>
      </c>
      <c r="D224" s="703" t="n">
        <v>0.1</v>
      </c>
      <c r="E224" s="151" t="n">
        <v>0.6</v>
      </c>
      <c r="F224" s="704">
        <f>(C224*D224)*1.6</f>
        <v/>
      </c>
      <c r="G224" s="705" t="n"/>
      <c r="H224" s="149" t="n"/>
      <c r="I224" s="149">
        <f>F224*G224</f>
        <v/>
      </c>
      <c r="J224" s="737" t="n"/>
      <c r="K224" s="737" t="n"/>
      <c r="L224" s="737" t="n"/>
      <c r="M224" s="737" t="n"/>
      <c r="N224" s="737" t="n"/>
      <c r="O224" s="737" t="n"/>
      <c r="P224" s="737" t="n"/>
      <c r="Q224" s="737" t="n"/>
      <c r="R224" s="737" t="n"/>
      <c r="S224" s="737" t="n"/>
      <c r="T224" s="737" t="n"/>
      <c r="U224" s="588" t="n"/>
      <c r="V224" s="588" t="n"/>
      <c r="W224" s="588" t="n"/>
      <c r="X224" s="588" t="n"/>
      <c r="Z224" s="588" t="n"/>
      <c r="AA224" s="588" t="n"/>
      <c r="AB224" s="588" t="n"/>
      <c r="AC224" s="588" t="n"/>
      <c r="AD224" s="588" t="n"/>
      <c r="AE224" s="588" t="n"/>
      <c r="AF224" s="588" t="n"/>
      <c r="AG224" s="588" t="n"/>
      <c r="AH224" s="588" t="n"/>
      <c r="AI224" s="588" t="n"/>
      <c r="AJ224" s="588" t="n"/>
      <c r="AK224" s="588" t="n"/>
      <c r="AL224" s="588" t="n"/>
      <c r="AM224" s="588" t="n"/>
      <c r="AN224" s="588" t="n"/>
      <c r="AO224" s="588" t="n"/>
      <c r="AP224" s="588" t="n"/>
      <c r="AQ224" s="588" t="n"/>
      <c r="AR224" s="588" t="n"/>
      <c r="AS224" s="588" t="n"/>
      <c r="AT224" s="588" t="n"/>
      <c r="AU224" s="588" t="n"/>
      <c r="AV224" s="588" t="n"/>
      <c r="AW224" s="588" t="n"/>
      <c r="AX224" s="588" t="n"/>
      <c r="AY224" s="588" t="n"/>
      <c r="AZ224" s="588" t="n"/>
      <c r="BA224" s="588" t="n"/>
      <c r="BB224" s="588" t="n"/>
      <c r="BC224" s="588" t="n"/>
      <c r="BD224" s="588" t="n"/>
      <c r="BE224" s="588" t="n"/>
      <c r="BF224" s="588" t="n"/>
      <c r="BG224" s="588" t="n"/>
      <c r="BH224" s="588" t="n"/>
      <c r="BI224" s="588" t="n"/>
      <c r="BJ224" s="588" t="n"/>
      <c r="BK224" s="588" t="n"/>
      <c r="BL224" s="588" t="n"/>
      <c r="BM224" s="588" t="n"/>
      <c r="BN224" s="588" t="n"/>
      <c r="BO224" s="588" t="n"/>
      <c r="BP224" s="588" t="n"/>
      <c r="BQ224" s="588" t="n"/>
      <c r="BR224" s="588" t="n"/>
      <c r="BS224" s="588" t="n"/>
      <c r="BT224" s="588" t="n"/>
      <c r="BU224" s="588" t="n"/>
      <c r="BV224" s="588" t="n"/>
      <c r="BW224" s="588" t="n"/>
      <c r="BX224" s="588" t="n"/>
      <c r="BY224" s="588" t="n"/>
      <c r="BZ224" s="588" t="n"/>
      <c r="CA224" s="588" t="n"/>
      <c r="CB224" s="588" t="n"/>
      <c r="CC224" s="588" t="n"/>
      <c r="CD224" s="588" t="n"/>
      <c r="CE224" s="588" t="n"/>
      <c r="CF224" s="588" t="n"/>
      <c r="CG224" s="588" t="n"/>
      <c r="CH224" s="588" t="n"/>
      <c r="CI224" s="588" t="n"/>
      <c r="CJ224" s="588" t="n"/>
      <c r="CK224" s="588" t="n"/>
      <c r="CL224" s="588" t="n"/>
      <c r="CM224" s="588" t="n"/>
      <c r="CN224" s="588" t="n"/>
      <c r="CO224" s="588" t="n"/>
      <c r="CP224" s="588" t="n"/>
      <c r="CQ224" s="588" t="n"/>
      <c r="CR224" s="588" t="n"/>
      <c r="CS224" s="588" t="n"/>
      <c r="CT224" s="588" t="n"/>
      <c r="CU224" s="588" t="n"/>
      <c r="CV224" s="588" t="n"/>
      <c r="CW224" s="588" t="n"/>
      <c r="CX224" s="588" t="n"/>
      <c r="CY224" s="588" t="n"/>
      <c r="CZ224" s="588" t="n"/>
      <c r="DA224" s="588" t="n"/>
      <c r="DB224" s="588" t="n"/>
      <c r="DC224" s="588" t="n"/>
      <c r="DD224" s="588" t="n"/>
      <c r="DE224" s="588" t="n"/>
      <c r="DF224" s="588" t="n"/>
      <c r="DG224" s="588" t="n"/>
      <c r="DH224" s="588" t="n"/>
      <c r="DI224" s="588" t="n"/>
      <c r="DJ224" s="588" t="n"/>
      <c r="DK224" s="588" t="n"/>
      <c r="DL224" s="588" t="n"/>
      <c r="DM224" s="588" t="n"/>
      <c r="DN224" s="588" t="n"/>
      <c r="DO224" s="588" t="n"/>
      <c r="DP224" s="588" t="n"/>
      <c r="DQ224" s="588" t="n"/>
      <c r="DR224" s="588" t="n"/>
      <c r="DS224" s="588" t="n"/>
      <c r="DT224" s="588" t="n"/>
      <c r="DU224" s="588" t="n"/>
    </row>
    <row r="225" hidden="1" outlineLevel="2" ht="13.2" customHeight="1" s="450">
      <c r="A225" s="590" t="n"/>
      <c r="B225" s="701" t="inlineStr">
        <is>
          <t>Rot. Vereda 15</t>
        </is>
      </c>
      <c r="C225" s="702" t="n">
        <v>1</v>
      </c>
      <c r="D225" s="703" t="n">
        <v>0.15</v>
      </c>
      <c r="E225" s="151" t="n">
        <v>0.6</v>
      </c>
      <c r="F225" s="704">
        <f>(C225*D225)*1.6</f>
        <v/>
      </c>
      <c r="G225" s="705" t="n"/>
      <c r="H225" s="149" t="n"/>
      <c r="I225" s="149">
        <f>F225*G225</f>
        <v/>
      </c>
      <c r="J225" s="737" t="n"/>
      <c r="K225" s="737" t="n"/>
      <c r="L225" s="737" t="n"/>
      <c r="M225" s="737" t="n"/>
      <c r="N225" s="737" t="n"/>
      <c r="O225" s="737" t="n"/>
      <c r="P225" s="737" t="n"/>
      <c r="Q225" s="737" t="n"/>
      <c r="R225" s="737" t="n"/>
      <c r="S225" s="737" t="n"/>
      <c r="T225" s="737" t="n"/>
      <c r="U225" s="588" t="n"/>
      <c r="V225" s="588" t="n"/>
      <c r="W225" s="588" t="n"/>
      <c r="X225" s="588" t="n"/>
      <c r="Z225" s="588" t="n"/>
      <c r="AA225" s="588" t="n"/>
      <c r="AB225" s="588" t="n"/>
      <c r="AC225" s="588" t="n"/>
      <c r="AD225" s="588" t="n"/>
      <c r="AE225" s="588" t="n"/>
      <c r="AF225" s="588" t="n"/>
      <c r="AG225" s="588" t="n"/>
      <c r="AH225" s="588" t="n"/>
      <c r="AI225" s="588" t="n"/>
      <c r="AJ225" s="588" t="n"/>
      <c r="AK225" s="588" t="n"/>
      <c r="AL225" s="588" t="n"/>
      <c r="AM225" s="588" t="n"/>
      <c r="AN225" s="588" t="n"/>
      <c r="AO225" s="588" t="n"/>
      <c r="AP225" s="588" t="n"/>
      <c r="AQ225" s="588" t="n"/>
      <c r="AR225" s="588" t="n"/>
      <c r="AS225" s="588" t="n"/>
      <c r="AT225" s="588" t="n"/>
      <c r="AU225" s="588" t="n"/>
      <c r="AV225" s="588" t="n"/>
      <c r="AW225" s="588" t="n"/>
      <c r="AX225" s="588" t="n"/>
      <c r="AY225" s="588" t="n"/>
      <c r="AZ225" s="588" t="n"/>
      <c r="BA225" s="588" t="n"/>
      <c r="BB225" s="588" t="n"/>
      <c r="BC225" s="588" t="n"/>
      <c r="BD225" s="588" t="n"/>
      <c r="BE225" s="588" t="n"/>
      <c r="BF225" s="588" t="n"/>
      <c r="BG225" s="588" t="n"/>
      <c r="BH225" s="588" t="n"/>
      <c r="BI225" s="588" t="n"/>
      <c r="BJ225" s="588" t="n"/>
      <c r="BK225" s="588" t="n"/>
      <c r="BL225" s="588" t="n"/>
      <c r="BM225" s="588" t="n"/>
      <c r="BN225" s="588" t="n"/>
      <c r="BO225" s="588" t="n"/>
      <c r="BP225" s="588" t="n"/>
      <c r="BQ225" s="588" t="n"/>
      <c r="BR225" s="588" t="n"/>
      <c r="BS225" s="588" t="n"/>
      <c r="BT225" s="588" t="n"/>
      <c r="BU225" s="588" t="n"/>
      <c r="BV225" s="588" t="n"/>
      <c r="BW225" s="588" t="n"/>
      <c r="BX225" s="588" t="n"/>
      <c r="BY225" s="588" t="n"/>
      <c r="BZ225" s="588" t="n"/>
      <c r="CA225" s="588" t="n"/>
      <c r="CB225" s="588" t="n"/>
      <c r="CC225" s="588" t="n"/>
      <c r="CD225" s="588" t="n"/>
      <c r="CE225" s="588" t="n"/>
      <c r="CF225" s="588" t="n"/>
      <c r="CG225" s="588" t="n"/>
      <c r="CH225" s="588" t="n"/>
      <c r="CI225" s="588" t="n"/>
      <c r="CJ225" s="588" t="n"/>
      <c r="CK225" s="588" t="n"/>
      <c r="CL225" s="588" t="n"/>
      <c r="CM225" s="588" t="n"/>
      <c r="CN225" s="588" t="n"/>
      <c r="CO225" s="588" t="n"/>
      <c r="CP225" s="588" t="n"/>
      <c r="CQ225" s="588" t="n"/>
      <c r="CR225" s="588" t="n"/>
      <c r="CS225" s="588" t="n"/>
      <c r="CT225" s="588" t="n"/>
      <c r="CU225" s="588" t="n"/>
      <c r="CV225" s="588" t="n"/>
      <c r="CW225" s="588" t="n"/>
      <c r="CX225" s="588" t="n"/>
      <c r="CY225" s="588" t="n"/>
      <c r="CZ225" s="588" t="n"/>
      <c r="DA225" s="588" t="n"/>
      <c r="DB225" s="588" t="n"/>
      <c r="DC225" s="588" t="n"/>
      <c r="DD225" s="588" t="n"/>
      <c r="DE225" s="588" t="n"/>
      <c r="DF225" s="588" t="n"/>
      <c r="DG225" s="588" t="n"/>
      <c r="DH225" s="588" t="n"/>
      <c r="DI225" s="588" t="n"/>
      <c r="DJ225" s="588" t="n"/>
      <c r="DK225" s="588" t="n"/>
      <c r="DL225" s="588" t="n"/>
      <c r="DM225" s="588" t="n"/>
      <c r="DN225" s="588" t="n"/>
      <c r="DO225" s="588" t="n"/>
      <c r="DP225" s="588" t="n"/>
      <c r="DQ225" s="588" t="n"/>
      <c r="DR225" s="588" t="n"/>
      <c r="DS225" s="588" t="n"/>
      <c r="DT225" s="588" t="n"/>
      <c r="DU225" s="588" t="n"/>
    </row>
    <row r="226" hidden="1" outlineLevel="2" ht="13.2" customHeight="1" s="450">
      <c r="A226" s="590" t="n"/>
      <c r="B226" s="701" t="inlineStr">
        <is>
          <t>Rot. Vereda 20</t>
        </is>
      </c>
      <c r="C226" s="702" t="n">
        <v>1</v>
      </c>
      <c r="D226" s="703" t="n">
        <v>0.2</v>
      </c>
      <c r="E226" s="151" t="n">
        <v>0.6</v>
      </c>
      <c r="F226" s="704">
        <f>(C226*D226)*1.6</f>
        <v/>
      </c>
      <c r="G226" s="705" t="n"/>
      <c r="H226" s="149" t="n"/>
      <c r="I226" s="149">
        <f>F226*G226</f>
        <v/>
      </c>
      <c r="J226" s="737" t="n"/>
      <c r="K226" s="737" t="n"/>
      <c r="L226" s="737" t="n"/>
      <c r="M226" s="737" t="n"/>
      <c r="N226" s="737" t="n"/>
      <c r="O226" s="737" t="n"/>
      <c r="P226" s="737" t="n"/>
      <c r="Q226" s="737" t="n"/>
      <c r="R226" s="737" t="n"/>
      <c r="S226" s="737" t="n"/>
      <c r="T226" s="737" t="n"/>
      <c r="U226" s="588" t="n"/>
      <c r="V226" s="588" t="n"/>
      <c r="W226" s="588" t="n"/>
      <c r="X226" s="588" t="n"/>
      <c r="Z226" s="588" t="n"/>
      <c r="AA226" s="588" t="n"/>
      <c r="AB226" s="588" t="n"/>
      <c r="AC226" s="588" t="n"/>
      <c r="AD226" s="588" t="n"/>
      <c r="AE226" s="588" t="n"/>
      <c r="AF226" s="588" t="n"/>
      <c r="AG226" s="588" t="n"/>
      <c r="AH226" s="588" t="n"/>
      <c r="AI226" s="588" t="n"/>
      <c r="AJ226" s="588" t="n"/>
      <c r="AK226" s="588" t="n"/>
      <c r="AL226" s="588" t="n"/>
      <c r="AM226" s="588" t="n"/>
      <c r="AN226" s="588" t="n"/>
      <c r="AO226" s="588" t="n"/>
      <c r="AP226" s="588" t="n"/>
      <c r="AQ226" s="588" t="n"/>
      <c r="AR226" s="588" t="n"/>
      <c r="AS226" s="588" t="n"/>
      <c r="AT226" s="588" t="n"/>
      <c r="AU226" s="588" t="n"/>
      <c r="AV226" s="588" t="n"/>
      <c r="AW226" s="588" t="n"/>
      <c r="AX226" s="588" t="n"/>
      <c r="AY226" s="588" t="n"/>
      <c r="AZ226" s="588" t="n"/>
      <c r="BA226" s="588" t="n"/>
      <c r="BB226" s="588" t="n"/>
      <c r="BC226" s="588" t="n"/>
      <c r="BD226" s="588" t="n"/>
      <c r="BE226" s="588" t="n"/>
      <c r="BF226" s="588" t="n"/>
      <c r="BG226" s="588" t="n"/>
      <c r="BH226" s="588" t="n"/>
      <c r="BI226" s="588" t="n"/>
      <c r="BJ226" s="588" t="n"/>
      <c r="BK226" s="588" t="n"/>
      <c r="BL226" s="588" t="n"/>
      <c r="BM226" s="588" t="n"/>
      <c r="BN226" s="588" t="n"/>
      <c r="BO226" s="588" t="n"/>
      <c r="BP226" s="588" t="n"/>
      <c r="BQ226" s="588" t="n"/>
      <c r="BR226" s="588" t="n"/>
      <c r="BS226" s="588" t="n"/>
      <c r="BT226" s="588" t="n"/>
      <c r="BU226" s="588" t="n"/>
      <c r="BV226" s="588" t="n"/>
      <c r="BW226" s="588" t="n"/>
      <c r="BX226" s="588" t="n"/>
      <c r="BY226" s="588" t="n"/>
      <c r="BZ226" s="588" t="n"/>
      <c r="CA226" s="588" t="n"/>
      <c r="CB226" s="588" t="n"/>
      <c r="CC226" s="588" t="n"/>
      <c r="CD226" s="588" t="n"/>
      <c r="CE226" s="588" t="n"/>
      <c r="CF226" s="588" t="n"/>
      <c r="CG226" s="588" t="n"/>
      <c r="CH226" s="588" t="n"/>
      <c r="CI226" s="588" t="n"/>
      <c r="CJ226" s="588" t="n"/>
      <c r="CK226" s="588" t="n"/>
      <c r="CL226" s="588" t="n"/>
      <c r="CM226" s="588" t="n"/>
      <c r="CN226" s="588" t="n"/>
      <c r="CO226" s="588" t="n"/>
      <c r="CP226" s="588" t="n"/>
      <c r="CQ226" s="588" t="n"/>
      <c r="CR226" s="588" t="n"/>
      <c r="CS226" s="588" t="n"/>
      <c r="CT226" s="588" t="n"/>
      <c r="CU226" s="588" t="n"/>
      <c r="CV226" s="588" t="n"/>
      <c r="CW226" s="588" t="n"/>
      <c r="CX226" s="588" t="n"/>
      <c r="CY226" s="588" t="n"/>
      <c r="CZ226" s="588" t="n"/>
      <c r="DA226" s="588" t="n"/>
      <c r="DB226" s="588" t="n"/>
      <c r="DC226" s="588" t="n"/>
      <c r="DD226" s="588" t="n"/>
      <c r="DE226" s="588" t="n"/>
      <c r="DF226" s="588" t="n"/>
      <c r="DG226" s="588" t="n"/>
      <c r="DH226" s="588" t="n"/>
      <c r="DI226" s="588" t="n"/>
      <c r="DJ226" s="588" t="n"/>
      <c r="DK226" s="588" t="n"/>
      <c r="DL226" s="588" t="n"/>
      <c r="DM226" s="588" t="n"/>
      <c r="DN226" s="588" t="n"/>
      <c r="DO226" s="588" t="n"/>
      <c r="DP226" s="588" t="n"/>
      <c r="DQ226" s="588" t="n"/>
      <c r="DR226" s="588" t="n"/>
      <c r="DS226" s="588" t="n"/>
      <c r="DT226" s="588" t="n"/>
      <c r="DU226" s="588" t="n"/>
    </row>
    <row r="227" hidden="1" outlineLevel="2" ht="13.2" customHeight="1" s="450">
      <c r="A227" s="590" t="n"/>
      <c r="B227" s="701" t="inlineStr">
        <is>
          <t>Rot. Asfalto 5cm</t>
        </is>
      </c>
      <c r="C227" s="702" t="n">
        <v>1</v>
      </c>
      <c r="D227" s="703" t="n">
        <v>0.05</v>
      </c>
      <c r="E227" s="151" t="n">
        <v>0.6</v>
      </c>
      <c r="F227" s="704">
        <f>(C227*D227)*1.6</f>
        <v/>
      </c>
      <c r="G227" s="705" t="n"/>
      <c r="H227" s="149" t="n"/>
      <c r="I227" s="149">
        <f>F227*G227</f>
        <v/>
      </c>
      <c r="J227" s="737" t="n"/>
      <c r="K227" s="737" t="n"/>
      <c r="L227" s="737" t="n"/>
      <c r="M227" s="737" t="n"/>
      <c r="N227" s="737" t="n"/>
      <c r="O227" s="737" t="n"/>
      <c r="P227" s="737" t="n"/>
      <c r="Q227" s="737" t="n"/>
      <c r="R227" s="737" t="n"/>
      <c r="S227" s="737" t="n"/>
      <c r="T227" s="737" t="n"/>
      <c r="U227" s="588" t="n"/>
      <c r="V227" s="588" t="n"/>
      <c r="W227" s="588" t="n"/>
      <c r="X227" s="588" t="n"/>
      <c r="Z227" s="588" t="n"/>
      <c r="AA227" s="588" t="n"/>
      <c r="AB227" s="588" t="n"/>
      <c r="AC227" s="588" t="n"/>
      <c r="AD227" s="588" t="n"/>
      <c r="AE227" s="588" t="n"/>
      <c r="AF227" s="588" t="n"/>
      <c r="AG227" s="588" t="n"/>
      <c r="AH227" s="588" t="n"/>
      <c r="AI227" s="588" t="n"/>
      <c r="AJ227" s="588" t="n"/>
      <c r="AK227" s="588" t="n"/>
      <c r="AL227" s="588" t="n"/>
      <c r="AM227" s="588" t="n"/>
      <c r="AN227" s="588" t="n"/>
      <c r="AO227" s="588" t="n"/>
      <c r="AP227" s="588" t="n"/>
      <c r="AQ227" s="588" t="n"/>
      <c r="AR227" s="588" t="n"/>
      <c r="AS227" s="588" t="n"/>
      <c r="AT227" s="588" t="n"/>
      <c r="AU227" s="588" t="n"/>
      <c r="AV227" s="588" t="n"/>
      <c r="AW227" s="588" t="n"/>
      <c r="AX227" s="588" t="n"/>
      <c r="AY227" s="588" t="n"/>
      <c r="AZ227" s="588" t="n"/>
      <c r="BA227" s="588" t="n"/>
      <c r="BB227" s="588" t="n"/>
      <c r="BC227" s="588" t="n"/>
      <c r="BD227" s="588" t="n"/>
      <c r="BE227" s="588" t="n"/>
      <c r="BF227" s="588" t="n"/>
      <c r="BG227" s="588" t="n"/>
      <c r="BH227" s="588" t="n"/>
      <c r="BI227" s="588" t="n"/>
      <c r="BJ227" s="588" t="n"/>
      <c r="BK227" s="588" t="n"/>
      <c r="BL227" s="588" t="n"/>
      <c r="BM227" s="588" t="n"/>
      <c r="BN227" s="588" t="n"/>
      <c r="BO227" s="588" t="n"/>
      <c r="BP227" s="588" t="n"/>
      <c r="BQ227" s="588" t="n"/>
      <c r="BR227" s="588" t="n"/>
      <c r="BS227" s="588" t="n"/>
      <c r="BT227" s="588" t="n"/>
      <c r="BU227" s="588" t="n"/>
      <c r="BV227" s="588" t="n"/>
      <c r="BW227" s="588" t="n"/>
      <c r="BX227" s="588" t="n"/>
      <c r="BY227" s="588" t="n"/>
      <c r="BZ227" s="588" t="n"/>
      <c r="CA227" s="588" t="n"/>
      <c r="CB227" s="588" t="n"/>
      <c r="CC227" s="588" t="n"/>
      <c r="CD227" s="588" t="n"/>
      <c r="CE227" s="588" t="n"/>
      <c r="CF227" s="588" t="n"/>
      <c r="CG227" s="588" t="n"/>
      <c r="CH227" s="588" t="n"/>
      <c r="CI227" s="588" t="n"/>
      <c r="CJ227" s="588" t="n"/>
      <c r="CK227" s="588" t="n"/>
      <c r="CL227" s="588" t="n"/>
      <c r="CM227" s="588" t="n"/>
      <c r="CN227" s="588" t="n"/>
      <c r="CO227" s="588" t="n"/>
      <c r="CP227" s="588" t="n"/>
      <c r="CQ227" s="588" t="n"/>
      <c r="CR227" s="588" t="n"/>
      <c r="CS227" s="588" t="n"/>
      <c r="CT227" s="588" t="n"/>
      <c r="CU227" s="588" t="n"/>
      <c r="CV227" s="588" t="n"/>
      <c r="CW227" s="588" t="n"/>
      <c r="CX227" s="588" t="n"/>
      <c r="CY227" s="588" t="n"/>
      <c r="CZ227" s="588" t="n"/>
      <c r="DA227" s="588" t="n"/>
      <c r="DB227" s="588" t="n"/>
      <c r="DC227" s="588" t="n"/>
      <c r="DD227" s="588" t="n"/>
      <c r="DE227" s="588" t="n"/>
      <c r="DF227" s="588" t="n"/>
      <c r="DG227" s="588" t="n"/>
      <c r="DH227" s="588" t="n"/>
      <c r="DI227" s="588" t="n"/>
      <c r="DJ227" s="588" t="n"/>
      <c r="DK227" s="588" t="n"/>
      <c r="DL227" s="588" t="n"/>
      <c r="DM227" s="588" t="n"/>
      <c r="DN227" s="588" t="n"/>
      <c r="DO227" s="588" t="n"/>
      <c r="DP227" s="588" t="n"/>
      <c r="DQ227" s="588" t="n"/>
      <c r="DR227" s="588" t="n"/>
      <c r="DS227" s="588" t="n"/>
      <c r="DT227" s="588" t="n"/>
      <c r="DU227" s="588" t="n"/>
    </row>
    <row r="228" hidden="1" outlineLevel="2" ht="13.2" customHeight="1" s="450">
      <c r="A228" s="590" t="n"/>
      <c r="B228" s="701" t="inlineStr">
        <is>
          <t>Tubo 2"</t>
        </is>
      </c>
      <c r="C228" s="706">
        <f>((2*0.025)/2)*((2*0.025)/2)*3.1416</f>
        <v/>
      </c>
      <c r="D228" s="703" t="n">
        <v>1</v>
      </c>
      <c r="E228" s="151" t="n">
        <v>0.25</v>
      </c>
      <c r="F228" s="707">
        <f>(C228*D228)*1.25</f>
        <v/>
      </c>
      <c r="G228" s="705" t="n"/>
      <c r="H228" s="149" t="n"/>
      <c r="I228" s="149">
        <f>F228*G228</f>
        <v/>
      </c>
      <c r="J228" s="737" t="n"/>
      <c r="K228" s="737" t="n"/>
      <c r="L228" s="737" t="n"/>
      <c r="M228" s="737" t="n"/>
      <c r="N228" s="737" t="n"/>
      <c r="O228" s="737" t="n"/>
      <c r="P228" s="737" t="n"/>
      <c r="Q228" s="737" t="n"/>
      <c r="R228" s="737" t="n"/>
      <c r="S228" s="737" t="n"/>
      <c r="T228" s="737" t="n"/>
      <c r="U228" s="588" t="n"/>
      <c r="V228" s="588" t="n"/>
      <c r="W228" s="588" t="n"/>
      <c r="X228" s="588" t="n"/>
      <c r="Z228" s="588" t="n"/>
      <c r="AA228" s="588" t="n"/>
      <c r="AB228" s="588" t="n"/>
      <c r="AC228" s="588" t="n"/>
      <c r="AD228" s="588" t="n"/>
      <c r="AE228" s="588" t="n"/>
      <c r="AF228" s="588" t="n"/>
      <c r="AG228" s="588" t="n"/>
      <c r="AH228" s="588" t="n"/>
      <c r="AI228" s="588" t="n"/>
      <c r="AJ228" s="588" t="n"/>
      <c r="AK228" s="588" t="n"/>
      <c r="AL228" s="588" t="n"/>
      <c r="AM228" s="588" t="n"/>
      <c r="AN228" s="588" t="n"/>
      <c r="AO228" s="588" t="n"/>
      <c r="AP228" s="588" t="n"/>
      <c r="AQ228" s="588" t="n"/>
      <c r="AR228" s="588" t="n"/>
      <c r="AS228" s="588" t="n"/>
      <c r="AT228" s="588" t="n"/>
      <c r="AU228" s="588" t="n"/>
      <c r="AV228" s="588" t="n"/>
      <c r="AW228" s="588" t="n"/>
      <c r="AX228" s="588" t="n"/>
      <c r="AY228" s="588" t="n"/>
      <c r="AZ228" s="588" t="n"/>
      <c r="BA228" s="588" t="n"/>
      <c r="BB228" s="588" t="n"/>
      <c r="BC228" s="588" t="n"/>
      <c r="BD228" s="588" t="n"/>
      <c r="BE228" s="588" t="n"/>
      <c r="BF228" s="588" t="n"/>
      <c r="BG228" s="588" t="n"/>
      <c r="BH228" s="588" t="n"/>
      <c r="BI228" s="588" t="n"/>
      <c r="BJ228" s="588" t="n"/>
      <c r="BK228" s="588" t="n"/>
      <c r="BL228" s="588" t="n"/>
      <c r="BM228" s="588" t="n"/>
      <c r="BN228" s="588" t="n"/>
      <c r="BO228" s="588" t="n"/>
      <c r="BP228" s="588" t="n"/>
      <c r="BQ228" s="588" t="n"/>
      <c r="BR228" s="588" t="n"/>
      <c r="BS228" s="588" t="n"/>
      <c r="BT228" s="588" t="n"/>
      <c r="BU228" s="588" t="n"/>
      <c r="BV228" s="588" t="n"/>
      <c r="BW228" s="588" t="n"/>
      <c r="BX228" s="588" t="n"/>
      <c r="BY228" s="588" t="n"/>
      <c r="BZ228" s="588" t="n"/>
      <c r="CA228" s="588" t="n"/>
      <c r="CB228" s="588" t="n"/>
      <c r="CC228" s="588" t="n"/>
      <c r="CD228" s="588" t="n"/>
      <c r="CE228" s="588" t="n"/>
      <c r="CF228" s="588" t="n"/>
      <c r="CG228" s="588" t="n"/>
      <c r="CH228" s="588" t="n"/>
      <c r="CI228" s="588" t="n"/>
      <c r="CJ228" s="588" t="n"/>
      <c r="CK228" s="588" t="n"/>
      <c r="CL228" s="588" t="n"/>
      <c r="CM228" s="588" t="n"/>
      <c r="CN228" s="588" t="n"/>
      <c r="CO228" s="588" t="n"/>
      <c r="CP228" s="588" t="n"/>
      <c r="CQ228" s="588" t="n"/>
      <c r="CR228" s="588" t="n"/>
      <c r="CS228" s="588" t="n"/>
      <c r="CT228" s="588" t="n"/>
      <c r="CU228" s="588" t="n"/>
      <c r="CV228" s="588" t="n"/>
      <c r="CW228" s="588" t="n"/>
      <c r="CX228" s="588" t="n"/>
      <c r="CY228" s="588" t="n"/>
      <c r="CZ228" s="588" t="n"/>
      <c r="DA228" s="588" t="n"/>
      <c r="DB228" s="588" t="n"/>
      <c r="DC228" s="588" t="n"/>
      <c r="DD228" s="588" t="n"/>
      <c r="DE228" s="588" t="n"/>
      <c r="DF228" s="588" t="n"/>
      <c r="DG228" s="588" t="n"/>
      <c r="DH228" s="588" t="n"/>
      <c r="DI228" s="588" t="n"/>
      <c r="DJ228" s="588" t="n"/>
      <c r="DK228" s="588" t="n"/>
      <c r="DL228" s="588" t="n"/>
      <c r="DM228" s="588" t="n"/>
      <c r="DN228" s="588" t="n"/>
      <c r="DO228" s="588" t="n"/>
      <c r="DP228" s="588" t="n"/>
      <c r="DQ228" s="588" t="n"/>
      <c r="DR228" s="588" t="n"/>
      <c r="DS228" s="588" t="n"/>
      <c r="DT228" s="588" t="n"/>
      <c r="DU228" s="588" t="n"/>
    </row>
    <row r="229" hidden="1" outlineLevel="2" ht="13.2" customHeight="1" s="450">
      <c r="A229" s="590" t="n"/>
      <c r="B229" s="701" t="inlineStr">
        <is>
          <t>Tubo 4"</t>
        </is>
      </c>
      <c r="C229" s="706">
        <f>((4*0.025)/2)*((4*0.025)/2)*3.1416</f>
        <v/>
      </c>
      <c r="D229" s="703" t="n">
        <v>1</v>
      </c>
      <c r="E229" s="151" t="n">
        <v>0.25</v>
      </c>
      <c r="F229" s="708">
        <f>(C229*D229)*1.25</f>
        <v/>
      </c>
      <c r="G229" s="705" t="n"/>
      <c r="H229" s="149" t="n"/>
      <c r="I229" s="149">
        <f>F229*G229</f>
        <v/>
      </c>
      <c r="J229" s="737" t="n"/>
      <c r="K229" s="737" t="n"/>
      <c r="L229" s="737" t="n"/>
      <c r="M229" s="737" t="n"/>
      <c r="N229" s="737" t="n"/>
      <c r="O229" s="737" t="n"/>
      <c r="P229" s="737" t="n"/>
      <c r="Q229" s="737" t="n"/>
      <c r="R229" s="737" t="n"/>
      <c r="S229" s="737" t="n"/>
      <c r="T229" s="737" t="n"/>
      <c r="U229" s="588" t="n"/>
      <c r="V229" s="588" t="n"/>
      <c r="W229" s="588" t="n"/>
      <c r="X229" s="588" t="n"/>
      <c r="Z229" s="588" t="n"/>
      <c r="AA229" s="588" t="n"/>
      <c r="AB229" s="588" t="n"/>
      <c r="AC229" s="588" t="n"/>
      <c r="AD229" s="588" t="n"/>
      <c r="AE229" s="588" t="n"/>
      <c r="AF229" s="588" t="n"/>
      <c r="AG229" s="588" t="n"/>
      <c r="AH229" s="588" t="n"/>
      <c r="AI229" s="588" t="n"/>
      <c r="AJ229" s="588" t="n"/>
      <c r="AK229" s="588" t="n"/>
      <c r="AL229" s="588" t="n"/>
      <c r="AM229" s="588" t="n"/>
      <c r="AN229" s="588" t="n"/>
      <c r="AO229" s="588" t="n"/>
      <c r="AP229" s="588" t="n"/>
      <c r="AQ229" s="588" t="n"/>
      <c r="AR229" s="588" t="n"/>
      <c r="AS229" s="588" t="n"/>
      <c r="AT229" s="588" t="n"/>
      <c r="AU229" s="588" t="n"/>
      <c r="AV229" s="588" t="n"/>
      <c r="AW229" s="588" t="n"/>
      <c r="AX229" s="588" t="n"/>
      <c r="AY229" s="588" t="n"/>
      <c r="AZ229" s="588" t="n"/>
      <c r="BA229" s="588" t="n"/>
      <c r="BB229" s="588" t="n"/>
      <c r="BC229" s="588" t="n"/>
      <c r="BD229" s="588" t="n"/>
      <c r="BE229" s="588" t="n"/>
      <c r="BF229" s="588" t="n"/>
      <c r="BG229" s="588" t="n"/>
      <c r="BH229" s="588" t="n"/>
      <c r="BI229" s="588" t="n"/>
      <c r="BJ229" s="588" t="n"/>
      <c r="BK229" s="588" t="n"/>
      <c r="BL229" s="588" t="n"/>
      <c r="BM229" s="588" t="n"/>
      <c r="BN229" s="588" t="n"/>
      <c r="BO229" s="588" t="n"/>
      <c r="BP229" s="588" t="n"/>
      <c r="BQ229" s="588" t="n"/>
      <c r="BR229" s="588" t="n"/>
      <c r="BS229" s="588" t="n"/>
      <c r="BT229" s="588" t="n"/>
      <c r="BU229" s="588" t="n"/>
      <c r="BV229" s="588" t="n"/>
      <c r="BW229" s="588" t="n"/>
      <c r="BX229" s="588" t="n"/>
      <c r="BY229" s="588" t="n"/>
      <c r="BZ229" s="588" t="n"/>
      <c r="CA229" s="588" t="n"/>
      <c r="CB229" s="588" t="n"/>
      <c r="CC229" s="588" t="n"/>
      <c r="CD229" s="588" t="n"/>
      <c r="CE229" s="588" t="n"/>
      <c r="CF229" s="588" t="n"/>
      <c r="CG229" s="588" t="n"/>
      <c r="CH229" s="588" t="n"/>
      <c r="CI229" s="588" t="n"/>
      <c r="CJ229" s="588" t="n"/>
      <c r="CK229" s="588" t="n"/>
      <c r="CL229" s="588" t="n"/>
      <c r="CM229" s="588" t="n"/>
      <c r="CN229" s="588" t="n"/>
      <c r="CO229" s="588" t="n"/>
      <c r="CP229" s="588" t="n"/>
      <c r="CQ229" s="588" t="n"/>
      <c r="CR229" s="588" t="n"/>
      <c r="CS229" s="588" t="n"/>
      <c r="CT229" s="588" t="n"/>
      <c r="CU229" s="588" t="n"/>
      <c r="CV229" s="588" t="n"/>
      <c r="CW229" s="588" t="n"/>
      <c r="CX229" s="588" t="n"/>
      <c r="CY229" s="588" t="n"/>
      <c r="CZ229" s="588" t="n"/>
      <c r="DA229" s="588" t="n"/>
      <c r="DB229" s="588" t="n"/>
      <c r="DC229" s="588" t="n"/>
      <c r="DD229" s="588" t="n"/>
      <c r="DE229" s="588" t="n"/>
      <c r="DF229" s="588" t="n"/>
      <c r="DG229" s="588" t="n"/>
      <c r="DH229" s="588" t="n"/>
      <c r="DI229" s="588" t="n"/>
      <c r="DJ229" s="588" t="n"/>
      <c r="DK229" s="588" t="n"/>
      <c r="DL229" s="588" t="n"/>
      <c r="DM229" s="588" t="n"/>
      <c r="DN229" s="588" t="n"/>
      <c r="DO229" s="588" t="n"/>
      <c r="DP229" s="588" t="n"/>
      <c r="DQ229" s="588" t="n"/>
      <c r="DR229" s="588" t="n"/>
      <c r="DS229" s="588" t="n"/>
      <c r="DT229" s="588" t="n"/>
      <c r="DU229" s="588" t="n"/>
    </row>
    <row r="230" hidden="1" outlineLevel="2" ht="13.2" customHeight="1" s="450">
      <c r="A230" s="590" t="n"/>
      <c r="B230" s="701" t="inlineStr">
        <is>
          <t>Tubo 6"</t>
        </is>
      </c>
      <c r="C230" s="706">
        <f>((6*0.025)/2)*((6*0.025)/2)*3.1416</f>
        <v/>
      </c>
      <c r="D230" s="703" t="n">
        <v>1</v>
      </c>
      <c r="E230" s="151" t="n">
        <v>0.25</v>
      </c>
      <c r="F230" s="708">
        <f>(C230*D230)*1.25</f>
        <v/>
      </c>
      <c r="G230" s="705" t="n"/>
      <c r="H230" s="149" t="n"/>
      <c r="I230" s="149">
        <f>F230*G230</f>
        <v/>
      </c>
      <c r="J230" s="737" t="n"/>
      <c r="K230" s="737" t="n"/>
      <c r="L230" s="737" t="n"/>
      <c r="M230" s="737" t="n"/>
      <c r="N230" s="737" t="n"/>
      <c r="O230" s="737" t="n"/>
      <c r="P230" s="737" t="n"/>
      <c r="Q230" s="737" t="n"/>
      <c r="R230" s="737" t="n"/>
      <c r="S230" s="737" t="n"/>
      <c r="T230" s="737" t="n"/>
      <c r="U230" s="588" t="n"/>
      <c r="V230" s="588" t="n"/>
      <c r="W230" s="588" t="n"/>
      <c r="X230" s="588" t="n"/>
      <c r="Z230" s="588" t="n"/>
      <c r="AA230" s="588" t="n"/>
      <c r="AB230" s="588" t="n"/>
      <c r="AC230" s="588" t="n"/>
      <c r="AD230" s="588" t="n"/>
      <c r="AE230" s="588" t="n"/>
      <c r="AF230" s="588" t="n"/>
      <c r="AG230" s="588" t="n"/>
      <c r="AH230" s="588" t="n"/>
      <c r="AI230" s="588" t="n"/>
      <c r="AJ230" s="588" t="n"/>
      <c r="AK230" s="588" t="n"/>
      <c r="AL230" s="588" t="n"/>
      <c r="AM230" s="588" t="n"/>
      <c r="AN230" s="588" t="n"/>
      <c r="AO230" s="588" t="n"/>
      <c r="AP230" s="588" t="n"/>
      <c r="AQ230" s="588" t="n"/>
      <c r="AR230" s="588" t="n"/>
      <c r="AS230" s="588" t="n"/>
      <c r="AT230" s="588" t="n"/>
      <c r="AU230" s="588" t="n"/>
      <c r="AV230" s="588" t="n"/>
      <c r="AW230" s="588" t="n"/>
      <c r="AX230" s="588" t="n"/>
      <c r="AY230" s="588" t="n"/>
      <c r="AZ230" s="588" t="n"/>
      <c r="BA230" s="588" t="n"/>
      <c r="BB230" s="588" t="n"/>
      <c r="BC230" s="588" t="n"/>
      <c r="BD230" s="588" t="n"/>
      <c r="BE230" s="588" t="n"/>
      <c r="BF230" s="588" t="n"/>
      <c r="BG230" s="588" t="n"/>
      <c r="BH230" s="588" t="n"/>
      <c r="BI230" s="588" t="n"/>
      <c r="BJ230" s="588" t="n"/>
      <c r="BK230" s="588" t="n"/>
      <c r="BL230" s="588" t="n"/>
      <c r="BM230" s="588" t="n"/>
      <c r="BN230" s="588" t="n"/>
      <c r="BO230" s="588" t="n"/>
      <c r="BP230" s="588" t="n"/>
      <c r="BQ230" s="588" t="n"/>
      <c r="BR230" s="588" t="n"/>
      <c r="BS230" s="588" t="n"/>
      <c r="BT230" s="588" t="n"/>
      <c r="BU230" s="588" t="n"/>
      <c r="BV230" s="588" t="n"/>
      <c r="BW230" s="588" t="n"/>
      <c r="BX230" s="588" t="n"/>
      <c r="BY230" s="588" t="n"/>
      <c r="BZ230" s="588" t="n"/>
      <c r="CA230" s="588" t="n"/>
      <c r="CB230" s="588" t="n"/>
      <c r="CC230" s="588" t="n"/>
      <c r="CD230" s="588" t="n"/>
      <c r="CE230" s="588" t="n"/>
      <c r="CF230" s="588" t="n"/>
      <c r="CG230" s="588" t="n"/>
      <c r="CH230" s="588" t="n"/>
      <c r="CI230" s="588" t="n"/>
      <c r="CJ230" s="588" t="n"/>
      <c r="CK230" s="588" t="n"/>
      <c r="CL230" s="588" t="n"/>
      <c r="CM230" s="588" t="n"/>
      <c r="CN230" s="588" t="n"/>
      <c r="CO230" s="588" t="n"/>
      <c r="CP230" s="588" t="n"/>
      <c r="CQ230" s="588" t="n"/>
      <c r="CR230" s="588" t="n"/>
      <c r="CS230" s="588" t="n"/>
      <c r="CT230" s="588" t="n"/>
      <c r="CU230" s="588" t="n"/>
      <c r="CV230" s="588" t="n"/>
      <c r="CW230" s="588" t="n"/>
      <c r="CX230" s="588" t="n"/>
      <c r="CY230" s="588" t="n"/>
      <c r="CZ230" s="588" t="n"/>
      <c r="DA230" s="588" t="n"/>
      <c r="DB230" s="588" t="n"/>
      <c r="DC230" s="588" t="n"/>
      <c r="DD230" s="588" t="n"/>
      <c r="DE230" s="588" t="n"/>
      <c r="DF230" s="588" t="n"/>
      <c r="DG230" s="588" t="n"/>
      <c r="DH230" s="588" t="n"/>
      <c r="DI230" s="588" t="n"/>
      <c r="DJ230" s="588" t="n"/>
      <c r="DK230" s="588" t="n"/>
      <c r="DL230" s="588" t="n"/>
      <c r="DM230" s="588" t="n"/>
      <c r="DN230" s="588" t="n"/>
      <c r="DO230" s="588" t="n"/>
      <c r="DP230" s="588" t="n"/>
      <c r="DQ230" s="588" t="n"/>
      <c r="DR230" s="588" t="n"/>
      <c r="DS230" s="588" t="n"/>
      <c r="DT230" s="588" t="n"/>
      <c r="DU230" s="588" t="n"/>
    </row>
    <row r="231" hidden="1" outlineLevel="2" ht="13.2" customHeight="1" s="450">
      <c r="A231" s="590" t="n"/>
      <c r="B231" s="701" t="inlineStr">
        <is>
          <t>Ladrillo (unidad)</t>
        </is>
      </c>
      <c r="C231" s="709" t="n">
        <v>0.025</v>
      </c>
      <c r="D231" s="703" t="n">
        <v>0.09</v>
      </c>
      <c r="E231" s="151" t="n">
        <v>0.25</v>
      </c>
      <c r="F231" s="707">
        <f>(C231*D231)*1.25</f>
        <v/>
      </c>
      <c r="G231" s="705" t="n"/>
      <c r="H231" s="149" t="n"/>
      <c r="I231" s="149">
        <f>F231*G231</f>
        <v/>
      </c>
      <c r="J231" s="737" t="n"/>
      <c r="K231" s="737" t="n"/>
      <c r="L231" s="737" t="n"/>
      <c r="M231" s="737" t="n"/>
      <c r="N231" s="737" t="n"/>
      <c r="O231" s="737" t="n"/>
      <c r="P231" s="737" t="n"/>
      <c r="Q231" s="737" t="n"/>
      <c r="R231" s="737" t="n"/>
      <c r="S231" s="737" t="n"/>
      <c r="T231" s="737" t="n"/>
      <c r="U231" s="588" t="n"/>
      <c r="V231" s="588" t="n"/>
      <c r="W231" s="588" t="n"/>
      <c r="X231" s="588" t="n"/>
      <c r="Z231" s="588" t="n"/>
      <c r="AA231" s="588" t="n"/>
      <c r="AB231" s="588" t="n"/>
      <c r="AC231" s="588" t="n"/>
      <c r="AD231" s="588" t="n"/>
      <c r="AE231" s="588" t="n"/>
      <c r="AF231" s="588" t="n"/>
      <c r="AG231" s="588" t="n"/>
      <c r="AH231" s="588" t="n"/>
      <c r="AI231" s="588" t="n"/>
      <c r="AJ231" s="588" t="n"/>
      <c r="AK231" s="588" t="n"/>
      <c r="AL231" s="588" t="n"/>
      <c r="AM231" s="588" t="n"/>
      <c r="AN231" s="588" t="n"/>
      <c r="AO231" s="588" t="n"/>
      <c r="AP231" s="588" t="n"/>
      <c r="AQ231" s="588" t="n"/>
      <c r="AR231" s="588" t="n"/>
      <c r="AS231" s="588" t="n"/>
      <c r="AT231" s="588" t="n"/>
      <c r="AU231" s="588" t="n"/>
      <c r="AV231" s="588" t="n"/>
      <c r="AW231" s="588" t="n"/>
      <c r="AX231" s="588" t="n"/>
      <c r="AY231" s="588" t="n"/>
      <c r="AZ231" s="588" t="n"/>
      <c r="BA231" s="588" t="n"/>
      <c r="BB231" s="588" t="n"/>
      <c r="BC231" s="588" t="n"/>
      <c r="BD231" s="588" t="n"/>
      <c r="BE231" s="588" t="n"/>
      <c r="BF231" s="588" t="n"/>
      <c r="BG231" s="588" t="n"/>
      <c r="BH231" s="588" t="n"/>
      <c r="BI231" s="588" t="n"/>
      <c r="BJ231" s="588" t="n"/>
      <c r="BK231" s="588" t="n"/>
      <c r="BL231" s="588" t="n"/>
      <c r="BM231" s="588" t="n"/>
      <c r="BN231" s="588" t="n"/>
      <c r="BO231" s="588" t="n"/>
      <c r="BP231" s="588" t="n"/>
      <c r="BQ231" s="588" t="n"/>
      <c r="BR231" s="588" t="n"/>
      <c r="BS231" s="588" t="n"/>
      <c r="BT231" s="588" t="n"/>
      <c r="BU231" s="588" t="n"/>
      <c r="BV231" s="588" t="n"/>
      <c r="BW231" s="588" t="n"/>
      <c r="BX231" s="588" t="n"/>
      <c r="BY231" s="588" t="n"/>
      <c r="BZ231" s="588" t="n"/>
      <c r="CA231" s="588" t="n"/>
      <c r="CB231" s="588" t="n"/>
      <c r="CC231" s="588" t="n"/>
      <c r="CD231" s="588" t="n"/>
      <c r="CE231" s="588" t="n"/>
      <c r="CF231" s="588" t="n"/>
      <c r="CG231" s="588" t="n"/>
      <c r="CH231" s="588" t="n"/>
      <c r="CI231" s="588" t="n"/>
      <c r="CJ231" s="588" t="n"/>
      <c r="CK231" s="588" t="n"/>
      <c r="CL231" s="588" t="n"/>
      <c r="CM231" s="588" t="n"/>
      <c r="CN231" s="588" t="n"/>
      <c r="CO231" s="588" t="n"/>
      <c r="CP231" s="588" t="n"/>
      <c r="CQ231" s="588" t="n"/>
      <c r="CR231" s="588" t="n"/>
      <c r="CS231" s="588" t="n"/>
      <c r="CT231" s="588" t="n"/>
      <c r="CU231" s="588" t="n"/>
      <c r="CV231" s="588" t="n"/>
      <c r="CW231" s="588" t="n"/>
      <c r="CX231" s="588" t="n"/>
      <c r="CY231" s="588" t="n"/>
      <c r="CZ231" s="588" t="n"/>
      <c r="DA231" s="588" t="n"/>
      <c r="DB231" s="588" t="n"/>
      <c r="DC231" s="588" t="n"/>
      <c r="DD231" s="588" t="n"/>
      <c r="DE231" s="588" t="n"/>
      <c r="DF231" s="588" t="n"/>
      <c r="DG231" s="588" t="n"/>
      <c r="DH231" s="588" t="n"/>
      <c r="DI231" s="588" t="n"/>
      <c r="DJ231" s="588" t="n"/>
      <c r="DK231" s="588" t="n"/>
      <c r="DL231" s="588" t="n"/>
      <c r="DM231" s="588" t="n"/>
      <c r="DN231" s="588" t="n"/>
      <c r="DO231" s="588" t="n"/>
      <c r="DP231" s="588" t="n"/>
      <c r="DQ231" s="588" t="n"/>
      <c r="DR231" s="588" t="n"/>
      <c r="DS231" s="588" t="n"/>
      <c r="DT231" s="588" t="n"/>
      <c r="DU231" s="588" t="n"/>
    </row>
    <row r="232" hidden="1" outlineLevel="2" ht="13.2" customHeight="1" s="450">
      <c r="A232" s="590" t="n"/>
      <c r="B232" s="701" t="inlineStr">
        <is>
          <t>Cruzada Tp.3</t>
        </is>
      </c>
      <c r="C232" s="710">
        <f>((0.253*0.253))</f>
        <v/>
      </c>
      <c r="D232" s="703" t="n">
        <v>1</v>
      </c>
      <c r="E232" s="151" t="n">
        <v>0.25</v>
      </c>
      <c r="F232" s="704">
        <f>(C232*D232)*1.25</f>
        <v/>
      </c>
      <c r="G232" s="705" t="n"/>
      <c r="H232" s="149" t="n"/>
      <c r="I232" s="149">
        <f>F232*G232</f>
        <v/>
      </c>
      <c r="J232" s="737" t="n"/>
      <c r="K232" s="737" t="n"/>
      <c r="L232" s="737" t="n"/>
      <c r="M232" s="737" t="n"/>
      <c r="N232" s="737" t="n"/>
      <c r="O232" s="737" t="n"/>
      <c r="P232" s="737" t="n"/>
      <c r="Q232" s="737" t="n"/>
      <c r="R232" s="737" t="n"/>
      <c r="S232" s="737" t="n"/>
      <c r="T232" s="737" t="n"/>
      <c r="U232" s="588" t="n"/>
      <c r="V232" s="588" t="n"/>
      <c r="W232" s="588" t="n"/>
      <c r="X232" s="588" t="n"/>
      <c r="Z232" s="588" t="n"/>
      <c r="AA232" s="588" t="n"/>
      <c r="AB232" s="588" t="n"/>
      <c r="AC232" s="588" t="n"/>
      <c r="AD232" s="588" t="n"/>
      <c r="AE232" s="588" t="n"/>
      <c r="AF232" s="588" t="n"/>
      <c r="AG232" s="588" t="n"/>
      <c r="AH232" s="588" t="n"/>
      <c r="AI232" s="588" t="n"/>
      <c r="AJ232" s="588" t="n"/>
      <c r="AK232" s="588" t="n"/>
      <c r="AL232" s="588" t="n"/>
      <c r="AM232" s="588" t="n"/>
      <c r="AN232" s="588" t="n"/>
      <c r="AO232" s="588" t="n"/>
      <c r="AP232" s="588" t="n"/>
      <c r="AQ232" s="588" t="n"/>
      <c r="AR232" s="588" t="n"/>
      <c r="AS232" s="588" t="n"/>
      <c r="AT232" s="588" t="n"/>
      <c r="AU232" s="588" t="n"/>
      <c r="AV232" s="588" t="n"/>
      <c r="AW232" s="588" t="n"/>
      <c r="AX232" s="588" t="n"/>
      <c r="AY232" s="588" t="n"/>
      <c r="AZ232" s="588" t="n"/>
      <c r="BA232" s="588" t="n"/>
      <c r="BB232" s="588" t="n"/>
      <c r="BC232" s="588" t="n"/>
      <c r="BD232" s="588" t="n"/>
      <c r="BE232" s="588" t="n"/>
      <c r="BF232" s="588" t="n"/>
      <c r="BG232" s="588" t="n"/>
      <c r="BH232" s="588" t="n"/>
      <c r="BI232" s="588" t="n"/>
      <c r="BJ232" s="588" t="n"/>
      <c r="BK232" s="588" t="n"/>
      <c r="BL232" s="588" t="n"/>
      <c r="BM232" s="588" t="n"/>
      <c r="BN232" s="588" t="n"/>
      <c r="BO232" s="588" t="n"/>
      <c r="BP232" s="588" t="n"/>
      <c r="BQ232" s="588" t="n"/>
      <c r="BR232" s="588" t="n"/>
      <c r="BS232" s="588" t="n"/>
      <c r="BT232" s="588" t="n"/>
      <c r="BU232" s="588" t="n"/>
      <c r="BV232" s="588" t="n"/>
      <c r="BW232" s="588" t="n"/>
      <c r="BX232" s="588" t="n"/>
      <c r="BY232" s="588" t="n"/>
      <c r="BZ232" s="588" t="n"/>
      <c r="CA232" s="588" t="n"/>
      <c r="CB232" s="588" t="n"/>
      <c r="CC232" s="588" t="n"/>
      <c r="CD232" s="588" t="n"/>
      <c r="CE232" s="588" t="n"/>
      <c r="CF232" s="588" t="n"/>
      <c r="CG232" s="588" t="n"/>
      <c r="CH232" s="588" t="n"/>
      <c r="CI232" s="588" t="n"/>
      <c r="CJ232" s="588" t="n"/>
      <c r="CK232" s="588" t="n"/>
      <c r="CL232" s="588" t="n"/>
      <c r="CM232" s="588" t="n"/>
      <c r="CN232" s="588" t="n"/>
      <c r="CO232" s="588" t="n"/>
      <c r="CP232" s="588" t="n"/>
      <c r="CQ232" s="588" t="n"/>
      <c r="CR232" s="588" t="n"/>
      <c r="CS232" s="588" t="n"/>
      <c r="CT232" s="588" t="n"/>
      <c r="CU232" s="588" t="n"/>
      <c r="CV232" s="588" t="n"/>
      <c r="CW232" s="588" t="n"/>
      <c r="CX232" s="588" t="n"/>
      <c r="CY232" s="588" t="n"/>
      <c r="CZ232" s="588" t="n"/>
      <c r="DA232" s="588" t="n"/>
      <c r="DB232" s="588" t="n"/>
      <c r="DC232" s="588" t="n"/>
      <c r="DD232" s="588" t="n"/>
      <c r="DE232" s="588" t="n"/>
      <c r="DF232" s="588" t="n"/>
      <c r="DG232" s="588" t="n"/>
      <c r="DH232" s="588" t="n"/>
      <c r="DI232" s="588" t="n"/>
      <c r="DJ232" s="588" t="n"/>
      <c r="DK232" s="588" t="n"/>
      <c r="DL232" s="588" t="n"/>
      <c r="DM232" s="588" t="n"/>
      <c r="DN232" s="588" t="n"/>
      <c r="DO232" s="588" t="n"/>
      <c r="DP232" s="588" t="n"/>
      <c r="DQ232" s="588" t="n"/>
      <c r="DR232" s="588" t="n"/>
      <c r="DS232" s="588" t="n"/>
      <c r="DT232" s="588" t="n"/>
      <c r="DU232" s="588" t="n"/>
    </row>
    <row r="233" hidden="1" outlineLevel="2" ht="13.2" customHeight="1" s="450">
      <c r="A233" s="590" t="n"/>
      <c r="B233" s="701" t="inlineStr">
        <is>
          <t>Cruzada Tp.5 y 7</t>
        </is>
      </c>
      <c r="C233" s="702" t="n">
        <v>0.13</v>
      </c>
      <c r="D233" s="703" t="n">
        <v>1</v>
      </c>
      <c r="E233" s="151" t="n">
        <v>0.25</v>
      </c>
      <c r="F233" s="704">
        <f>(C233*D233)*1.25</f>
        <v/>
      </c>
      <c r="G233" s="705" t="n"/>
      <c r="H233" s="149" t="n"/>
      <c r="I233" s="149">
        <f>F233*G233</f>
        <v/>
      </c>
      <c r="J233" s="737" t="n"/>
      <c r="K233" s="737" t="n"/>
      <c r="L233" s="737" t="n"/>
      <c r="M233" s="737" t="n"/>
      <c r="N233" s="737" t="n"/>
      <c r="O233" s="737" t="n"/>
      <c r="P233" s="737" t="n"/>
      <c r="Q233" s="737" t="n"/>
      <c r="R233" s="737" t="n"/>
      <c r="S233" s="737" t="n"/>
      <c r="T233" s="737" t="n"/>
      <c r="U233" s="588" t="n"/>
      <c r="V233" s="588" t="n"/>
      <c r="W233" s="588" t="n"/>
      <c r="X233" s="588" t="n"/>
      <c r="Z233" s="588" t="n"/>
      <c r="AA233" s="588" t="n"/>
      <c r="AB233" s="588" t="n"/>
      <c r="AC233" s="588" t="n"/>
      <c r="AD233" s="588" t="n"/>
      <c r="AE233" s="588" t="n"/>
      <c r="AF233" s="588" t="n"/>
      <c r="AG233" s="588" t="n"/>
      <c r="AH233" s="588" t="n"/>
      <c r="AI233" s="588" t="n"/>
      <c r="AJ233" s="588" t="n"/>
      <c r="AK233" s="588" t="n"/>
      <c r="AL233" s="588" t="n"/>
      <c r="AM233" s="588" t="n"/>
      <c r="AN233" s="588" t="n"/>
      <c r="AO233" s="588" t="n"/>
      <c r="AP233" s="588" t="n"/>
      <c r="AQ233" s="588" t="n"/>
      <c r="AR233" s="588" t="n"/>
      <c r="AS233" s="588" t="n"/>
      <c r="AT233" s="588" t="n"/>
      <c r="AU233" s="588" t="n"/>
      <c r="AV233" s="588" t="n"/>
      <c r="AW233" s="588" t="n"/>
      <c r="AX233" s="588" t="n"/>
      <c r="AY233" s="588" t="n"/>
      <c r="AZ233" s="588" t="n"/>
      <c r="BA233" s="588" t="n"/>
      <c r="BB233" s="588" t="n"/>
      <c r="BC233" s="588" t="n"/>
      <c r="BD233" s="588" t="n"/>
      <c r="BE233" s="588" t="n"/>
      <c r="BF233" s="588" t="n"/>
      <c r="BG233" s="588" t="n"/>
      <c r="BH233" s="588" t="n"/>
      <c r="BI233" s="588" t="n"/>
      <c r="BJ233" s="588" t="n"/>
      <c r="BK233" s="588" t="n"/>
      <c r="BL233" s="588" t="n"/>
      <c r="BM233" s="588" t="n"/>
      <c r="BN233" s="588" t="n"/>
      <c r="BO233" s="588" t="n"/>
      <c r="BP233" s="588" t="n"/>
      <c r="BQ233" s="588" t="n"/>
      <c r="BR233" s="588" t="n"/>
      <c r="BS233" s="588" t="n"/>
      <c r="BT233" s="588" t="n"/>
      <c r="BU233" s="588" t="n"/>
      <c r="BV233" s="588" t="n"/>
      <c r="BW233" s="588" t="n"/>
      <c r="BX233" s="588" t="n"/>
      <c r="BY233" s="588" t="n"/>
      <c r="BZ233" s="588" t="n"/>
      <c r="CA233" s="588" t="n"/>
      <c r="CB233" s="588" t="n"/>
      <c r="CC233" s="588" t="n"/>
      <c r="CD233" s="588" t="n"/>
      <c r="CE233" s="588" t="n"/>
      <c r="CF233" s="588" t="n"/>
      <c r="CG233" s="588" t="n"/>
      <c r="CH233" s="588" t="n"/>
      <c r="CI233" s="588" t="n"/>
      <c r="CJ233" s="588" t="n"/>
      <c r="CK233" s="588" t="n"/>
      <c r="CL233" s="588" t="n"/>
      <c r="CM233" s="588" t="n"/>
      <c r="CN233" s="588" t="n"/>
      <c r="CO233" s="588" t="n"/>
      <c r="CP233" s="588" t="n"/>
      <c r="CQ233" s="588" t="n"/>
      <c r="CR233" s="588" t="n"/>
      <c r="CS233" s="588" t="n"/>
      <c r="CT233" s="588" t="n"/>
      <c r="CU233" s="588" t="n"/>
      <c r="CV233" s="588" t="n"/>
      <c r="CW233" s="588" t="n"/>
      <c r="CX233" s="588" t="n"/>
      <c r="CY233" s="588" t="n"/>
      <c r="CZ233" s="588" t="n"/>
      <c r="DA233" s="588" t="n"/>
      <c r="DB233" s="588" t="n"/>
      <c r="DC233" s="588" t="n"/>
      <c r="DD233" s="588" t="n"/>
      <c r="DE233" s="588" t="n"/>
      <c r="DF233" s="588" t="n"/>
      <c r="DG233" s="588" t="n"/>
      <c r="DH233" s="588" t="n"/>
      <c r="DI233" s="588" t="n"/>
      <c r="DJ233" s="588" t="n"/>
      <c r="DK233" s="588" t="n"/>
      <c r="DL233" s="588" t="n"/>
      <c r="DM233" s="588" t="n"/>
      <c r="DN233" s="588" t="n"/>
      <c r="DO233" s="588" t="n"/>
      <c r="DP233" s="588" t="n"/>
      <c r="DQ233" s="588" t="n"/>
      <c r="DR233" s="588" t="n"/>
      <c r="DS233" s="588" t="n"/>
      <c r="DT233" s="588" t="n"/>
      <c r="DU233" s="588" t="n"/>
    </row>
    <row r="234" hidden="1" outlineLevel="2" ht="13.2" customHeight="1" s="450">
      <c r="A234" s="590" t="n"/>
      <c r="B234" s="701" t="inlineStr">
        <is>
          <t>Cruzada Tp.9</t>
        </is>
      </c>
      <c r="C234" s="702" t="n">
        <v>0.255</v>
      </c>
      <c r="D234" s="703" t="n">
        <v>1</v>
      </c>
      <c r="E234" s="151" t="n">
        <v>0.25</v>
      </c>
      <c r="F234" s="704">
        <f>(C234*D234)*1.25</f>
        <v/>
      </c>
      <c r="G234" s="705" t="n"/>
      <c r="H234" s="149" t="n"/>
      <c r="I234" s="149">
        <f>F234*G234</f>
        <v/>
      </c>
      <c r="J234" s="737" t="n"/>
      <c r="K234" s="737" t="n"/>
      <c r="L234" s="737" t="n"/>
      <c r="M234" s="737" t="n"/>
      <c r="N234" s="737" t="n"/>
      <c r="O234" s="737" t="n"/>
      <c r="P234" s="737" t="n"/>
      <c r="Q234" s="737" t="n"/>
      <c r="R234" s="737" t="n"/>
      <c r="S234" s="737" t="n"/>
      <c r="T234" s="737" t="n"/>
      <c r="U234" s="588" t="n"/>
      <c r="V234" s="588" t="n"/>
      <c r="W234" s="588" t="n"/>
      <c r="X234" s="588" t="n"/>
      <c r="Z234" s="588" t="n"/>
      <c r="AA234" s="588" t="n"/>
      <c r="AB234" s="588" t="n"/>
      <c r="AC234" s="588" t="n"/>
      <c r="AD234" s="588" t="n"/>
      <c r="AE234" s="588" t="n"/>
      <c r="AF234" s="588" t="n"/>
      <c r="AG234" s="588" t="n"/>
      <c r="AH234" s="588" t="n"/>
      <c r="AI234" s="588" t="n"/>
      <c r="AJ234" s="588" t="n"/>
      <c r="AK234" s="588" t="n"/>
      <c r="AL234" s="588" t="n"/>
      <c r="AM234" s="588" t="n"/>
      <c r="AN234" s="588" t="n"/>
      <c r="AO234" s="588" t="n"/>
      <c r="AP234" s="588" t="n"/>
      <c r="AQ234" s="588" t="n"/>
      <c r="AR234" s="588" t="n"/>
      <c r="AS234" s="588" t="n"/>
      <c r="AT234" s="588" t="n"/>
      <c r="AU234" s="588" t="n"/>
      <c r="AV234" s="588" t="n"/>
      <c r="AW234" s="588" t="n"/>
      <c r="AX234" s="588" t="n"/>
      <c r="AY234" s="588" t="n"/>
      <c r="AZ234" s="588" t="n"/>
      <c r="BA234" s="588" t="n"/>
      <c r="BB234" s="588" t="n"/>
      <c r="BC234" s="588" t="n"/>
      <c r="BD234" s="588" t="n"/>
      <c r="BE234" s="588" t="n"/>
      <c r="BF234" s="588" t="n"/>
      <c r="BG234" s="588" t="n"/>
      <c r="BH234" s="588" t="n"/>
      <c r="BI234" s="588" t="n"/>
      <c r="BJ234" s="588" t="n"/>
      <c r="BK234" s="588" t="n"/>
      <c r="BL234" s="588" t="n"/>
      <c r="BM234" s="588" t="n"/>
      <c r="BN234" s="588" t="n"/>
      <c r="BO234" s="588" t="n"/>
      <c r="BP234" s="588" t="n"/>
      <c r="BQ234" s="588" t="n"/>
      <c r="BR234" s="588" t="n"/>
      <c r="BS234" s="588" t="n"/>
      <c r="BT234" s="588" t="n"/>
      <c r="BU234" s="588" t="n"/>
      <c r="BV234" s="588" t="n"/>
      <c r="BW234" s="588" t="n"/>
      <c r="BX234" s="588" t="n"/>
      <c r="BY234" s="588" t="n"/>
      <c r="BZ234" s="588" t="n"/>
      <c r="CA234" s="588" t="n"/>
      <c r="CB234" s="588" t="n"/>
      <c r="CC234" s="588" t="n"/>
      <c r="CD234" s="588" t="n"/>
      <c r="CE234" s="588" t="n"/>
      <c r="CF234" s="588" t="n"/>
      <c r="CG234" s="588" t="n"/>
      <c r="CH234" s="588" t="n"/>
      <c r="CI234" s="588" t="n"/>
      <c r="CJ234" s="588" t="n"/>
      <c r="CK234" s="588" t="n"/>
      <c r="CL234" s="588" t="n"/>
      <c r="CM234" s="588" t="n"/>
      <c r="CN234" s="588" t="n"/>
      <c r="CO234" s="588" t="n"/>
      <c r="CP234" s="588" t="n"/>
      <c r="CQ234" s="588" t="n"/>
      <c r="CR234" s="588" t="n"/>
      <c r="CS234" s="588" t="n"/>
      <c r="CT234" s="588" t="n"/>
      <c r="CU234" s="588" t="n"/>
      <c r="CV234" s="588" t="n"/>
      <c r="CW234" s="588" t="n"/>
      <c r="CX234" s="588" t="n"/>
      <c r="CY234" s="588" t="n"/>
      <c r="CZ234" s="588" t="n"/>
      <c r="DA234" s="588" t="n"/>
      <c r="DB234" s="588" t="n"/>
      <c r="DC234" s="588" t="n"/>
      <c r="DD234" s="588" t="n"/>
      <c r="DE234" s="588" t="n"/>
      <c r="DF234" s="588" t="n"/>
      <c r="DG234" s="588" t="n"/>
      <c r="DH234" s="588" t="n"/>
      <c r="DI234" s="588" t="n"/>
      <c r="DJ234" s="588" t="n"/>
      <c r="DK234" s="588" t="n"/>
      <c r="DL234" s="588" t="n"/>
      <c r="DM234" s="588" t="n"/>
      <c r="DN234" s="588" t="n"/>
      <c r="DO234" s="588" t="n"/>
      <c r="DP234" s="588" t="n"/>
      <c r="DQ234" s="588" t="n"/>
      <c r="DR234" s="588" t="n"/>
      <c r="DS234" s="588" t="n"/>
      <c r="DT234" s="588" t="n"/>
      <c r="DU234" s="588" t="n"/>
    </row>
    <row r="235" hidden="1" outlineLevel="2" ht="13.2" customHeight="1" s="450">
      <c r="A235" s="590" t="n"/>
      <c r="B235" s="701" t="inlineStr">
        <is>
          <t>Pozo a Tierra</t>
        </is>
      </c>
      <c r="C235" s="702" t="n">
        <v>0.788</v>
      </c>
      <c r="D235" s="703" t="n">
        <v>2.5</v>
      </c>
      <c r="E235" s="151" t="n">
        <v>0.25</v>
      </c>
      <c r="F235" s="704">
        <f>(C235*D235)*1.25</f>
        <v/>
      </c>
      <c r="G235" s="705" t="n"/>
      <c r="H235" s="149" t="n"/>
      <c r="I235" s="149">
        <f>F235*G235</f>
        <v/>
      </c>
      <c r="J235" s="737" t="n"/>
      <c r="K235" s="737" t="n"/>
      <c r="L235" s="737" t="n"/>
      <c r="M235" s="737" t="n"/>
      <c r="N235" s="737" t="n"/>
      <c r="O235" s="737" t="n"/>
      <c r="P235" s="737" t="n"/>
      <c r="Q235" s="737" t="n"/>
      <c r="R235" s="737" t="n"/>
      <c r="S235" s="737" t="n"/>
      <c r="T235" s="737" t="n"/>
      <c r="U235" s="588" t="n"/>
      <c r="V235" s="588" t="n"/>
      <c r="W235" s="588" t="n"/>
      <c r="X235" s="588" t="n"/>
      <c r="Z235" s="588" t="n"/>
      <c r="AA235" s="588" t="n"/>
      <c r="AB235" s="588" t="n"/>
      <c r="AC235" s="588" t="n"/>
      <c r="AD235" s="588" t="n"/>
      <c r="AE235" s="588" t="n"/>
      <c r="AF235" s="588" t="n"/>
      <c r="AG235" s="588" t="n"/>
      <c r="AH235" s="588" t="n"/>
      <c r="AI235" s="588" t="n"/>
      <c r="AJ235" s="588" t="n"/>
      <c r="AK235" s="588" t="n"/>
      <c r="AL235" s="588" t="n"/>
      <c r="AM235" s="588" t="n"/>
      <c r="AN235" s="588" t="n"/>
      <c r="AO235" s="588" t="n"/>
      <c r="AP235" s="588" t="n"/>
      <c r="AQ235" s="588" t="n"/>
      <c r="AR235" s="588" t="n"/>
      <c r="AS235" s="588" t="n"/>
      <c r="AT235" s="588" t="n"/>
      <c r="AU235" s="588" t="n"/>
      <c r="AV235" s="588" t="n"/>
      <c r="AW235" s="588" t="n"/>
      <c r="AX235" s="588" t="n"/>
      <c r="AY235" s="588" t="n"/>
      <c r="AZ235" s="588" t="n"/>
      <c r="BA235" s="588" t="n"/>
      <c r="BB235" s="588" t="n"/>
      <c r="BC235" s="588" t="n"/>
      <c r="BD235" s="588" t="n"/>
      <c r="BE235" s="588" t="n"/>
      <c r="BF235" s="588" t="n"/>
      <c r="BG235" s="588" t="n"/>
      <c r="BH235" s="588" t="n"/>
      <c r="BI235" s="588" t="n"/>
      <c r="BJ235" s="588" t="n"/>
      <c r="BK235" s="588" t="n"/>
      <c r="BL235" s="588" t="n"/>
      <c r="BM235" s="588" t="n"/>
      <c r="BN235" s="588" t="n"/>
      <c r="BO235" s="588" t="n"/>
      <c r="BP235" s="588" t="n"/>
      <c r="BQ235" s="588" t="n"/>
      <c r="BR235" s="588" t="n"/>
      <c r="BS235" s="588" t="n"/>
      <c r="BT235" s="588" t="n"/>
      <c r="BU235" s="588" t="n"/>
      <c r="BV235" s="588" t="n"/>
      <c r="BW235" s="588" t="n"/>
      <c r="BX235" s="588" t="n"/>
      <c r="BY235" s="588" t="n"/>
      <c r="BZ235" s="588" t="n"/>
      <c r="CA235" s="588" t="n"/>
      <c r="CB235" s="588" t="n"/>
      <c r="CC235" s="588" t="n"/>
      <c r="CD235" s="588" t="n"/>
      <c r="CE235" s="588" t="n"/>
      <c r="CF235" s="588" t="n"/>
      <c r="CG235" s="588" t="n"/>
      <c r="CH235" s="588" t="n"/>
      <c r="CI235" s="588" t="n"/>
      <c r="CJ235" s="588" t="n"/>
      <c r="CK235" s="588" t="n"/>
      <c r="CL235" s="588" t="n"/>
      <c r="CM235" s="588" t="n"/>
      <c r="CN235" s="588" t="n"/>
      <c r="CO235" s="588" t="n"/>
      <c r="CP235" s="588" t="n"/>
      <c r="CQ235" s="588" t="n"/>
      <c r="CR235" s="588" t="n"/>
      <c r="CS235" s="588" t="n"/>
      <c r="CT235" s="588" t="n"/>
      <c r="CU235" s="588" t="n"/>
      <c r="CV235" s="588" t="n"/>
      <c r="CW235" s="588" t="n"/>
      <c r="CX235" s="588" t="n"/>
      <c r="CY235" s="588" t="n"/>
      <c r="CZ235" s="588" t="n"/>
      <c r="DA235" s="588" t="n"/>
      <c r="DB235" s="588" t="n"/>
      <c r="DC235" s="588" t="n"/>
      <c r="DD235" s="588" t="n"/>
      <c r="DE235" s="588" t="n"/>
      <c r="DF235" s="588" t="n"/>
      <c r="DG235" s="588" t="n"/>
      <c r="DH235" s="588" t="n"/>
      <c r="DI235" s="588" t="n"/>
      <c r="DJ235" s="588" t="n"/>
      <c r="DK235" s="588" t="n"/>
      <c r="DL235" s="588" t="n"/>
      <c r="DM235" s="588" t="n"/>
      <c r="DN235" s="588" t="n"/>
      <c r="DO235" s="588" t="n"/>
      <c r="DP235" s="588" t="n"/>
      <c r="DQ235" s="588" t="n"/>
      <c r="DR235" s="588" t="n"/>
      <c r="DS235" s="588" t="n"/>
      <c r="DT235" s="588" t="n"/>
      <c r="DU235" s="588" t="n"/>
    </row>
    <row r="236" hidden="1" outlineLevel="2" ht="13.2" customHeight="1" s="450">
      <c r="A236" s="590" t="n"/>
      <c r="B236" s="701" t="inlineStr">
        <is>
          <t>Base Tab. TAM3</t>
        </is>
      </c>
      <c r="C236" s="702" t="n">
        <v>0.62</v>
      </c>
      <c r="D236" s="703" t="n">
        <v>0.85</v>
      </c>
      <c r="E236" s="151" t="n">
        <v>0.25</v>
      </c>
      <c r="F236" s="704">
        <f>(C236*D236)*1.25</f>
        <v/>
      </c>
      <c r="G236" s="705" t="n"/>
      <c r="H236" s="149" t="n"/>
      <c r="I236" s="149">
        <f>F236*G236</f>
        <v/>
      </c>
      <c r="J236" s="737" t="n"/>
      <c r="K236" s="737" t="n"/>
      <c r="L236" s="737" t="n"/>
      <c r="M236" s="737" t="n"/>
      <c r="N236" s="737" t="n"/>
      <c r="O236" s="737" t="n"/>
      <c r="P236" s="737" t="n"/>
      <c r="Q236" s="737" t="n"/>
      <c r="R236" s="737" t="n"/>
      <c r="S236" s="737" t="n"/>
      <c r="T236" s="737" t="n"/>
      <c r="U236" s="588" t="n"/>
      <c r="V236" s="588" t="n"/>
      <c r="W236" s="588" t="n"/>
      <c r="X236" s="588" t="n"/>
      <c r="Z236" s="588" t="n"/>
      <c r="AA236" s="588" t="n"/>
      <c r="AB236" s="588" t="n"/>
      <c r="AC236" s="588" t="n"/>
      <c r="AD236" s="588" t="n"/>
      <c r="AE236" s="588" t="n"/>
      <c r="AF236" s="588" t="n"/>
      <c r="AG236" s="588" t="n"/>
      <c r="AH236" s="588" t="n"/>
      <c r="AI236" s="588" t="n"/>
      <c r="AJ236" s="588" t="n"/>
      <c r="AK236" s="588" t="n"/>
      <c r="AL236" s="588" t="n"/>
      <c r="AM236" s="588" t="n"/>
      <c r="AN236" s="588" t="n"/>
      <c r="AO236" s="588" t="n"/>
      <c r="AP236" s="588" t="n"/>
      <c r="AQ236" s="588" t="n"/>
      <c r="AR236" s="588" t="n"/>
      <c r="AS236" s="588" t="n"/>
      <c r="AT236" s="588" t="n"/>
      <c r="AU236" s="588" t="n"/>
      <c r="AV236" s="588" t="n"/>
      <c r="AW236" s="588" t="n"/>
      <c r="AX236" s="588" t="n"/>
      <c r="AY236" s="588" t="n"/>
      <c r="AZ236" s="588" t="n"/>
      <c r="BA236" s="588" t="n"/>
      <c r="BB236" s="588" t="n"/>
      <c r="BC236" s="588" t="n"/>
      <c r="BD236" s="588" t="n"/>
      <c r="BE236" s="588" t="n"/>
      <c r="BF236" s="588" t="n"/>
      <c r="BG236" s="588" t="n"/>
      <c r="BH236" s="588" t="n"/>
      <c r="BI236" s="588" t="n"/>
      <c r="BJ236" s="588" t="n"/>
      <c r="BK236" s="588" t="n"/>
      <c r="BL236" s="588" t="n"/>
      <c r="BM236" s="588" t="n"/>
      <c r="BN236" s="588" t="n"/>
      <c r="BO236" s="588" t="n"/>
      <c r="BP236" s="588" t="n"/>
      <c r="BQ236" s="588" t="n"/>
      <c r="BR236" s="588" t="n"/>
      <c r="BS236" s="588" t="n"/>
      <c r="BT236" s="588" t="n"/>
      <c r="BU236" s="588" t="n"/>
      <c r="BV236" s="588" t="n"/>
      <c r="BW236" s="588" t="n"/>
      <c r="BX236" s="588" t="n"/>
      <c r="BY236" s="588" t="n"/>
      <c r="BZ236" s="588" t="n"/>
      <c r="CA236" s="588" t="n"/>
      <c r="CB236" s="588" t="n"/>
      <c r="CC236" s="588" t="n"/>
      <c r="CD236" s="588" t="n"/>
      <c r="CE236" s="588" t="n"/>
      <c r="CF236" s="588" t="n"/>
      <c r="CG236" s="588" t="n"/>
      <c r="CH236" s="588" t="n"/>
      <c r="CI236" s="588" t="n"/>
      <c r="CJ236" s="588" t="n"/>
      <c r="CK236" s="588" t="n"/>
      <c r="CL236" s="588" t="n"/>
      <c r="CM236" s="588" t="n"/>
      <c r="CN236" s="588" t="n"/>
      <c r="CO236" s="588" t="n"/>
      <c r="CP236" s="588" t="n"/>
      <c r="CQ236" s="588" t="n"/>
      <c r="CR236" s="588" t="n"/>
      <c r="CS236" s="588" t="n"/>
      <c r="CT236" s="588" t="n"/>
      <c r="CU236" s="588" t="n"/>
      <c r="CV236" s="588" t="n"/>
      <c r="CW236" s="588" t="n"/>
      <c r="CX236" s="588" t="n"/>
      <c r="CY236" s="588" t="n"/>
      <c r="CZ236" s="588" t="n"/>
      <c r="DA236" s="588" t="n"/>
      <c r="DB236" s="588" t="n"/>
      <c r="DC236" s="588" t="n"/>
      <c r="DD236" s="588" t="n"/>
      <c r="DE236" s="588" t="n"/>
      <c r="DF236" s="588" t="n"/>
      <c r="DG236" s="588" t="n"/>
      <c r="DH236" s="588" t="n"/>
      <c r="DI236" s="588" t="n"/>
      <c r="DJ236" s="588" t="n"/>
      <c r="DK236" s="588" t="n"/>
      <c r="DL236" s="588" t="n"/>
      <c r="DM236" s="588" t="n"/>
      <c r="DN236" s="588" t="n"/>
      <c r="DO236" s="588" t="n"/>
      <c r="DP236" s="588" t="n"/>
      <c r="DQ236" s="588" t="n"/>
      <c r="DR236" s="588" t="n"/>
      <c r="DS236" s="588" t="n"/>
      <c r="DT236" s="588" t="n"/>
      <c r="DU236" s="588" t="n"/>
    </row>
    <row r="237" hidden="1" outlineLevel="2" ht="13.2" customHeight="1" s="450">
      <c r="A237" s="590" t="n"/>
      <c r="B237" s="701" t="inlineStr">
        <is>
          <t>Base Tab. TAM4</t>
        </is>
      </c>
      <c r="C237" s="702" t="n">
        <v>0.77</v>
      </c>
      <c r="D237" s="703" t="n">
        <v>0.85</v>
      </c>
      <c r="E237" s="151" t="n">
        <v>0.25</v>
      </c>
      <c r="F237" s="704">
        <f>(C237*D237)*1.25</f>
        <v/>
      </c>
      <c r="G237" s="705" t="n"/>
      <c r="H237" s="149" t="n"/>
      <c r="I237" s="149">
        <f>F237*G237</f>
        <v/>
      </c>
      <c r="J237" s="737" t="n"/>
      <c r="K237" s="737" t="n"/>
      <c r="L237" s="737" t="n"/>
      <c r="M237" s="737" t="n"/>
      <c r="N237" s="737" t="n"/>
      <c r="O237" s="737" t="n"/>
      <c r="P237" s="737" t="n"/>
      <c r="Q237" s="737" t="n"/>
      <c r="R237" s="737" t="n"/>
      <c r="S237" s="737" t="n"/>
      <c r="T237" s="737" t="n"/>
      <c r="U237" s="588" t="n"/>
      <c r="V237" s="588" t="n"/>
      <c r="W237" s="588" t="n"/>
      <c r="X237" s="588" t="n"/>
      <c r="Z237" s="588" t="n"/>
      <c r="AA237" s="588" t="n"/>
      <c r="AB237" s="588" t="n"/>
      <c r="AC237" s="588" t="n"/>
      <c r="AD237" s="588" t="n"/>
      <c r="AE237" s="588" t="n"/>
      <c r="AF237" s="588" t="n"/>
      <c r="AG237" s="588" t="n"/>
      <c r="AH237" s="588" t="n"/>
      <c r="AI237" s="588" t="n"/>
      <c r="AJ237" s="588" t="n"/>
      <c r="AK237" s="588" t="n"/>
      <c r="AL237" s="588" t="n"/>
      <c r="AM237" s="588" t="n"/>
      <c r="AN237" s="588" t="n"/>
      <c r="AO237" s="588" t="n"/>
      <c r="AP237" s="588" t="n"/>
      <c r="AQ237" s="588" t="n"/>
      <c r="AR237" s="588" t="n"/>
      <c r="AS237" s="588" t="n"/>
      <c r="AT237" s="588" t="n"/>
      <c r="AU237" s="588" t="n"/>
      <c r="AV237" s="588" t="n"/>
      <c r="AW237" s="588" t="n"/>
      <c r="AX237" s="588" t="n"/>
      <c r="AY237" s="588" t="n"/>
      <c r="AZ237" s="588" t="n"/>
      <c r="BA237" s="588" t="n"/>
      <c r="BB237" s="588" t="n"/>
      <c r="BC237" s="588" t="n"/>
      <c r="BD237" s="588" t="n"/>
      <c r="BE237" s="588" t="n"/>
      <c r="BF237" s="588" t="n"/>
      <c r="BG237" s="588" t="n"/>
      <c r="BH237" s="588" t="n"/>
      <c r="BI237" s="588" t="n"/>
      <c r="BJ237" s="588" t="n"/>
      <c r="BK237" s="588" t="n"/>
      <c r="BL237" s="588" t="n"/>
      <c r="BM237" s="588" t="n"/>
      <c r="BN237" s="588" t="n"/>
      <c r="BO237" s="588" t="n"/>
      <c r="BP237" s="588" t="n"/>
      <c r="BQ237" s="588" t="n"/>
      <c r="BR237" s="588" t="n"/>
      <c r="BS237" s="588" t="n"/>
      <c r="BT237" s="588" t="n"/>
      <c r="BU237" s="588" t="n"/>
      <c r="BV237" s="588" t="n"/>
      <c r="BW237" s="588" t="n"/>
      <c r="BX237" s="588" t="n"/>
      <c r="BY237" s="588" t="n"/>
      <c r="BZ237" s="588" t="n"/>
      <c r="CA237" s="588" t="n"/>
      <c r="CB237" s="588" t="n"/>
      <c r="CC237" s="588" t="n"/>
      <c r="CD237" s="588" t="n"/>
      <c r="CE237" s="588" t="n"/>
      <c r="CF237" s="588" t="n"/>
      <c r="CG237" s="588" t="n"/>
      <c r="CH237" s="588" t="n"/>
      <c r="CI237" s="588" t="n"/>
      <c r="CJ237" s="588" t="n"/>
      <c r="CK237" s="588" t="n"/>
      <c r="CL237" s="588" t="n"/>
      <c r="CM237" s="588" t="n"/>
      <c r="CN237" s="588" t="n"/>
      <c r="CO237" s="588" t="n"/>
      <c r="CP237" s="588" t="n"/>
      <c r="CQ237" s="588" t="n"/>
      <c r="CR237" s="588" t="n"/>
      <c r="CS237" s="588" t="n"/>
      <c r="CT237" s="588" t="n"/>
      <c r="CU237" s="588" t="n"/>
      <c r="CV237" s="588" t="n"/>
      <c r="CW237" s="588" t="n"/>
      <c r="CX237" s="588" t="n"/>
      <c r="CY237" s="588" t="n"/>
      <c r="CZ237" s="588" t="n"/>
      <c r="DA237" s="588" t="n"/>
      <c r="DB237" s="588" t="n"/>
      <c r="DC237" s="588" t="n"/>
      <c r="DD237" s="588" t="n"/>
      <c r="DE237" s="588" t="n"/>
      <c r="DF237" s="588" t="n"/>
      <c r="DG237" s="588" t="n"/>
      <c r="DH237" s="588" t="n"/>
      <c r="DI237" s="588" t="n"/>
      <c r="DJ237" s="588" t="n"/>
      <c r="DK237" s="588" t="n"/>
      <c r="DL237" s="588" t="n"/>
      <c r="DM237" s="588" t="n"/>
      <c r="DN237" s="588" t="n"/>
      <c r="DO237" s="588" t="n"/>
      <c r="DP237" s="588" t="n"/>
      <c r="DQ237" s="588" t="n"/>
      <c r="DR237" s="588" t="n"/>
      <c r="DS237" s="588" t="n"/>
      <c r="DT237" s="588" t="n"/>
      <c r="DU237" s="588" t="n"/>
    </row>
    <row r="238" hidden="1" outlineLevel="2" ht="13.2" customHeight="1" s="450">
      <c r="A238" s="590" t="n"/>
      <c r="B238" s="701" t="inlineStr">
        <is>
          <t>Poste 8m (BT) (enterrado)</t>
        </is>
      </c>
      <c r="C238" s="706" t="n">
        <v>0.062</v>
      </c>
      <c r="D238" s="703" t="n">
        <v>1.47</v>
      </c>
      <c r="E238" s="151" t="n">
        <v>0.25</v>
      </c>
      <c r="F238" s="704">
        <f>(C238*D238)*1.25</f>
        <v/>
      </c>
      <c r="G238" s="705" t="n"/>
      <c r="H238" s="149" t="n"/>
      <c r="I238" s="149">
        <f>F238*G238</f>
        <v/>
      </c>
      <c r="J238" s="737" t="n"/>
      <c r="K238" s="737" t="n"/>
      <c r="L238" s="737" t="n"/>
      <c r="M238" s="737" t="n"/>
      <c r="N238" s="737" t="n"/>
      <c r="O238" s="737" t="n"/>
      <c r="P238" s="737" t="n"/>
      <c r="Q238" s="737" t="n"/>
      <c r="R238" s="737" t="n"/>
      <c r="S238" s="737" t="n"/>
      <c r="T238" s="737" t="n"/>
      <c r="U238" s="588" t="n"/>
      <c r="V238" s="588" t="n"/>
      <c r="W238" s="588" t="n"/>
      <c r="X238" s="588" t="n"/>
      <c r="Z238" s="588" t="n"/>
      <c r="AA238" s="588" t="n"/>
      <c r="AB238" s="588" t="n"/>
      <c r="AC238" s="588" t="n"/>
      <c r="AD238" s="588" t="n"/>
      <c r="AE238" s="588" t="n"/>
      <c r="AF238" s="588" t="n"/>
      <c r="AG238" s="588" t="n"/>
      <c r="AH238" s="588" t="n"/>
      <c r="AI238" s="588" t="n"/>
      <c r="AJ238" s="588" t="n"/>
      <c r="AK238" s="588" t="n"/>
      <c r="AL238" s="588" t="n"/>
      <c r="AM238" s="588" t="n"/>
      <c r="AN238" s="588" t="n"/>
      <c r="AO238" s="588" t="n"/>
      <c r="AP238" s="588" t="n"/>
      <c r="AQ238" s="588" t="n"/>
      <c r="AR238" s="588" t="n"/>
      <c r="AS238" s="588" t="n"/>
      <c r="AT238" s="588" t="n"/>
      <c r="AU238" s="588" t="n"/>
      <c r="AV238" s="588" t="n"/>
      <c r="AW238" s="588" t="n"/>
      <c r="AX238" s="588" t="n"/>
      <c r="AY238" s="588" t="n"/>
      <c r="AZ238" s="588" t="n"/>
      <c r="BA238" s="588" t="n"/>
      <c r="BB238" s="588" t="n"/>
      <c r="BC238" s="588" t="n"/>
      <c r="BD238" s="588" t="n"/>
      <c r="BE238" s="588" t="n"/>
      <c r="BF238" s="588" t="n"/>
      <c r="BG238" s="588" t="n"/>
      <c r="BH238" s="588" t="n"/>
      <c r="BI238" s="588" t="n"/>
      <c r="BJ238" s="588" t="n"/>
      <c r="BK238" s="588" t="n"/>
      <c r="BL238" s="588" t="n"/>
      <c r="BM238" s="588" t="n"/>
      <c r="BN238" s="588" t="n"/>
      <c r="BO238" s="588" t="n"/>
      <c r="BP238" s="588" t="n"/>
      <c r="BQ238" s="588" t="n"/>
      <c r="BR238" s="588" t="n"/>
      <c r="BS238" s="588" t="n"/>
      <c r="BT238" s="588" t="n"/>
      <c r="BU238" s="588" t="n"/>
      <c r="BV238" s="588" t="n"/>
      <c r="BW238" s="588" t="n"/>
      <c r="BX238" s="588" t="n"/>
      <c r="BY238" s="588" t="n"/>
      <c r="BZ238" s="588" t="n"/>
      <c r="CA238" s="588" t="n"/>
      <c r="CB238" s="588" t="n"/>
      <c r="CC238" s="588" t="n"/>
      <c r="CD238" s="588" t="n"/>
      <c r="CE238" s="588" t="n"/>
      <c r="CF238" s="588" t="n"/>
      <c r="CG238" s="588" t="n"/>
      <c r="CH238" s="588" t="n"/>
      <c r="CI238" s="588" t="n"/>
      <c r="CJ238" s="588" t="n"/>
      <c r="CK238" s="588" t="n"/>
      <c r="CL238" s="588" t="n"/>
      <c r="CM238" s="588" t="n"/>
      <c r="CN238" s="588" t="n"/>
      <c r="CO238" s="588" t="n"/>
      <c r="CP238" s="588" t="n"/>
      <c r="CQ238" s="588" t="n"/>
      <c r="CR238" s="588" t="n"/>
      <c r="CS238" s="588" t="n"/>
      <c r="CT238" s="588" t="n"/>
      <c r="CU238" s="588" t="n"/>
      <c r="CV238" s="588" t="n"/>
      <c r="CW238" s="588" t="n"/>
      <c r="CX238" s="588" t="n"/>
      <c r="CY238" s="588" t="n"/>
      <c r="CZ238" s="588" t="n"/>
      <c r="DA238" s="588" t="n"/>
      <c r="DB238" s="588" t="n"/>
      <c r="DC238" s="588" t="n"/>
      <c r="DD238" s="588" t="n"/>
      <c r="DE238" s="588" t="n"/>
      <c r="DF238" s="588" t="n"/>
      <c r="DG238" s="588" t="n"/>
      <c r="DH238" s="588" t="n"/>
      <c r="DI238" s="588" t="n"/>
      <c r="DJ238" s="588" t="n"/>
      <c r="DK238" s="588" t="n"/>
      <c r="DL238" s="588" t="n"/>
      <c r="DM238" s="588" t="n"/>
      <c r="DN238" s="588" t="n"/>
      <c r="DO238" s="588" t="n"/>
      <c r="DP238" s="588" t="n"/>
      <c r="DQ238" s="588" t="n"/>
      <c r="DR238" s="588" t="n"/>
      <c r="DS238" s="588" t="n"/>
      <c r="DT238" s="588" t="n"/>
      <c r="DU238" s="588" t="n"/>
    </row>
    <row r="239" hidden="1" outlineLevel="2" ht="13.2" customHeight="1" s="450">
      <c r="A239" s="590" t="n"/>
      <c r="B239" s="701" t="inlineStr">
        <is>
          <t>Poste 10m (BT) (enterrado)</t>
        </is>
      </c>
      <c r="C239" s="706" t="n">
        <v>0.07099999999999999</v>
      </c>
      <c r="D239" s="703" t="n">
        <v>1.6</v>
      </c>
      <c r="E239" s="151" t="n">
        <v>0.25</v>
      </c>
      <c r="F239" s="704">
        <f>(C239*D239)*1.25</f>
        <v/>
      </c>
      <c r="G239" s="705" t="n"/>
      <c r="H239" s="149" t="n"/>
      <c r="I239" s="149">
        <f>F239*G239</f>
        <v/>
      </c>
      <c r="J239" s="737" t="n"/>
      <c r="K239" s="737" t="n"/>
      <c r="L239" s="737" t="n"/>
      <c r="M239" s="737" t="n"/>
      <c r="N239" s="737" t="n"/>
      <c r="O239" s="737" t="n"/>
      <c r="P239" s="737" t="n"/>
      <c r="Q239" s="737" t="n"/>
      <c r="R239" s="737" t="n"/>
      <c r="S239" s="737" t="n"/>
      <c r="T239" s="737" t="n"/>
      <c r="U239" s="588" t="n"/>
      <c r="V239" s="588" t="n"/>
      <c r="W239" s="588" t="n"/>
      <c r="X239" s="588" t="n"/>
      <c r="Z239" s="588" t="n"/>
      <c r="AA239" s="588" t="n"/>
      <c r="AB239" s="588" t="n"/>
      <c r="AC239" s="588" t="n"/>
      <c r="AD239" s="588" t="n"/>
      <c r="AE239" s="588" t="n"/>
      <c r="AF239" s="588" t="n"/>
      <c r="AG239" s="588" t="n"/>
      <c r="AH239" s="588" t="n"/>
      <c r="AI239" s="588" t="n"/>
      <c r="AJ239" s="588" t="n"/>
      <c r="AK239" s="588" t="n"/>
      <c r="AL239" s="588" t="n"/>
      <c r="AM239" s="588" t="n"/>
      <c r="AN239" s="588" t="n"/>
      <c r="AO239" s="588" t="n"/>
      <c r="AP239" s="588" t="n"/>
      <c r="AQ239" s="588" t="n"/>
      <c r="AR239" s="588" t="n"/>
      <c r="AS239" s="588" t="n"/>
      <c r="AT239" s="588" t="n"/>
      <c r="AU239" s="588" t="n"/>
      <c r="AV239" s="588" t="n"/>
      <c r="AW239" s="588" t="n"/>
      <c r="AX239" s="588" t="n"/>
      <c r="AY239" s="588" t="n"/>
      <c r="AZ239" s="588" t="n"/>
      <c r="BA239" s="588" t="n"/>
      <c r="BB239" s="588" t="n"/>
      <c r="BC239" s="588" t="n"/>
      <c r="BD239" s="588" t="n"/>
      <c r="BE239" s="588" t="n"/>
      <c r="BF239" s="588" t="n"/>
      <c r="BG239" s="588" t="n"/>
      <c r="BH239" s="588" t="n"/>
      <c r="BI239" s="588" t="n"/>
      <c r="BJ239" s="588" t="n"/>
      <c r="BK239" s="588" t="n"/>
      <c r="BL239" s="588" t="n"/>
      <c r="BM239" s="588" t="n"/>
      <c r="BN239" s="588" t="n"/>
      <c r="BO239" s="588" t="n"/>
      <c r="BP239" s="588" t="n"/>
      <c r="BQ239" s="588" t="n"/>
      <c r="BR239" s="588" t="n"/>
      <c r="BS239" s="588" t="n"/>
      <c r="BT239" s="588" t="n"/>
      <c r="BU239" s="588" t="n"/>
      <c r="BV239" s="588" t="n"/>
      <c r="BW239" s="588" t="n"/>
      <c r="BX239" s="588" t="n"/>
      <c r="BY239" s="588" t="n"/>
      <c r="BZ239" s="588" t="n"/>
      <c r="CA239" s="588" t="n"/>
      <c r="CB239" s="588" t="n"/>
      <c r="CC239" s="588" t="n"/>
      <c r="CD239" s="588" t="n"/>
      <c r="CE239" s="588" t="n"/>
      <c r="CF239" s="588" t="n"/>
      <c r="CG239" s="588" t="n"/>
      <c r="CH239" s="588" t="n"/>
      <c r="CI239" s="588" t="n"/>
      <c r="CJ239" s="588" t="n"/>
      <c r="CK239" s="588" t="n"/>
      <c r="CL239" s="588" t="n"/>
      <c r="CM239" s="588" t="n"/>
      <c r="CN239" s="588" t="n"/>
      <c r="CO239" s="588" t="n"/>
      <c r="CP239" s="588" t="n"/>
      <c r="CQ239" s="588" t="n"/>
      <c r="CR239" s="588" t="n"/>
      <c r="CS239" s="588" t="n"/>
      <c r="CT239" s="588" t="n"/>
      <c r="CU239" s="588" t="n"/>
      <c r="CV239" s="588" t="n"/>
      <c r="CW239" s="588" t="n"/>
      <c r="CX239" s="588" t="n"/>
      <c r="CY239" s="588" t="n"/>
      <c r="CZ239" s="588" t="n"/>
      <c r="DA239" s="588" t="n"/>
      <c r="DB239" s="588" t="n"/>
      <c r="DC239" s="588" t="n"/>
      <c r="DD239" s="588" t="n"/>
      <c r="DE239" s="588" t="n"/>
      <c r="DF239" s="588" t="n"/>
      <c r="DG239" s="588" t="n"/>
      <c r="DH239" s="588" t="n"/>
      <c r="DI239" s="588" t="n"/>
      <c r="DJ239" s="588" t="n"/>
      <c r="DK239" s="588" t="n"/>
      <c r="DL239" s="588" t="n"/>
      <c r="DM239" s="588" t="n"/>
      <c r="DN239" s="588" t="n"/>
      <c r="DO239" s="588" t="n"/>
      <c r="DP239" s="588" t="n"/>
      <c r="DQ239" s="588" t="n"/>
      <c r="DR239" s="588" t="n"/>
      <c r="DS239" s="588" t="n"/>
      <c r="DT239" s="588" t="n"/>
      <c r="DU239" s="588" t="n"/>
    </row>
    <row r="240" hidden="1" outlineLevel="2" ht="13.2" customHeight="1" s="450">
      <c r="A240" s="590" t="n"/>
      <c r="B240" s="701" t="inlineStr">
        <is>
          <t>Poste 11m (BT) (enterrado)</t>
        </is>
      </c>
      <c r="C240" s="706" t="n">
        <v>0.08</v>
      </c>
      <c r="D240" s="703" t="n">
        <v>1.75</v>
      </c>
      <c r="E240" s="151" t="n">
        <v>0.25</v>
      </c>
      <c r="F240" s="704">
        <f>(C240*D240)*1.25</f>
        <v/>
      </c>
      <c r="G240" s="705" t="n"/>
      <c r="H240" s="149" t="n"/>
      <c r="I240" s="149">
        <f>F240*G240</f>
        <v/>
      </c>
      <c r="J240" s="737" t="n"/>
      <c r="K240" s="737" t="n"/>
      <c r="L240" s="737" t="n"/>
      <c r="M240" s="737" t="n"/>
      <c r="N240" s="737" t="n"/>
      <c r="O240" s="737" t="n"/>
      <c r="P240" s="737" t="n"/>
      <c r="Q240" s="737" t="n"/>
      <c r="R240" s="737" t="n"/>
      <c r="S240" s="737" t="n"/>
      <c r="T240" s="737" t="n"/>
      <c r="U240" s="588" t="n"/>
      <c r="V240" s="588" t="n"/>
      <c r="W240" s="588" t="n"/>
      <c r="X240" s="588" t="n"/>
      <c r="Z240" s="588" t="n"/>
      <c r="AA240" s="588" t="n"/>
      <c r="AB240" s="588" t="n"/>
      <c r="AC240" s="588" t="n"/>
      <c r="AD240" s="588" t="n"/>
      <c r="AE240" s="588" t="n"/>
      <c r="AF240" s="588" t="n"/>
      <c r="AG240" s="588" t="n"/>
      <c r="AH240" s="588" t="n"/>
      <c r="AI240" s="588" t="n"/>
      <c r="AJ240" s="588" t="n"/>
      <c r="AK240" s="588" t="n"/>
      <c r="AL240" s="588" t="n"/>
      <c r="AM240" s="588" t="n"/>
      <c r="AN240" s="588" t="n"/>
      <c r="AO240" s="588" t="n"/>
      <c r="AP240" s="588" t="n"/>
      <c r="AQ240" s="588" t="n"/>
      <c r="AR240" s="588" t="n"/>
      <c r="AS240" s="588" t="n"/>
      <c r="AT240" s="588" t="n"/>
      <c r="AU240" s="588" t="n"/>
      <c r="AV240" s="588" t="n"/>
      <c r="AW240" s="588" t="n"/>
      <c r="AX240" s="588" t="n"/>
      <c r="AY240" s="588" t="n"/>
      <c r="AZ240" s="588" t="n"/>
      <c r="BA240" s="588" t="n"/>
      <c r="BB240" s="588" t="n"/>
      <c r="BC240" s="588" t="n"/>
      <c r="BD240" s="588" t="n"/>
      <c r="BE240" s="588" t="n"/>
      <c r="BF240" s="588" t="n"/>
      <c r="BG240" s="588" t="n"/>
      <c r="BH240" s="588" t="n"/>
      <c r="BI240" s="588" t="n"/>
      <c r="BJ240" s="588" t="n"/>
      <c r="BK240" s="588" t="n"/>
      <c r="BL240" s="588" t="n"/>
      <c r="BM240" s="588" t="n"/>
      <c r="BN240" s="588" t="n"/>
      <c r="BO240" s="588" t="n"/>
      <c r="BP240" s="588" t="n"/>
      <c r="BQ240" s="588" t="n"/>
      <c r="BR240" s="588" t="n"/>
      <c r="BS240" s="588" t="n"/>
      <c r="BT240" s="588" t="n"/>
      <c r="BU240" s="588" t="n"/>
      <c r="BV240" s="588" t="n"/>
      <c r="BW240" s="588" t="n"/>
      <c r="BX240" s="588" t="n"/>
      <c r="BY240" s="588" t="n"/>
      <c r="BZ240" s="588" t="n"/>
      <c r="CA240" s="588" t="n"/>
      <c r="CB240" s="588" t="n"/>
      <c r="CC240" s="588" t="n"/>
      <c r="CD240" s="588" t="n"/>
      <c r="CE240" s="588" t="n"/>
      <c r="CF240" s="588" t="n"/>
      <c r="CG240" s="588" t="n"/>
      <c r="CH240" s="588" t="n"/>
      <c r="CI240" s="588" t="n"/>
      <c r="CJ240" s="588" t="n"/>
      <c r="CK240" s="588" t="n"/>
      <c r="CL240" s="588" t="n"/>
      <c r="CM240" s="588" t="n"/>
      <c r="CN240" s="588" t="n"/>
      <c r="CO240" s="588" t="n"/>
      <c r="CP240" s="588" t="n"/>
      <c r="CQ240" s="588" t="n"/>
      <c r="CR240" s="588" t="n"/>
      <c r="CS240" s="588" t="n"/>
      <c r="CT240" s="588" t="n"/>
      <c r="CU240" s="588" t="n"/>
      <c r="CV240" s="588" t="n"/>
      <c r="CW240" s="588" t="n"/>
      <c r="CX240" s="588" t="n"/>
      <c r="CY240" s="588" t="n"/>
      <c r="CZ240" s="588" t="n"/>
      <c r="DA240" s="588" t="n"/>
      <c r="DB240" s="588" t="n"/>
      <c r="DC240" s="588" t="n"/>
      <c r="DD240" s="588" t="n"/>
      <c r="DE240" s="588" t="n"/>
      <c r="DF240" s="588" t="n"/>
      <c r="DG240" s="588" t="n"/>
      <c r="DH240" s="588" t="n"/>
      <c r="DI240" s="588" t="n"/>
      <c r="DJ240" s="588" t="n"/>
      <c r="DK240" s="588" t="n"/>
      <c r="DL240" s="588" t="n"/>
      <c r="DM240" s="588" t="n"/>
      <c r="DN240" s="588" t="n"/>
      <c r="DO240" s="588" t="n"/>
      <c r="DP240" s="588" t="n"/>
      <c r="DQ240" s="588" t="n"/>
      <c r="DR240" s="588" t="n"/>
      <c r="DS240" s="588" t="n"/>
      <c r="DT240" s="588" t="n"/>
      <c r="DU240" s="588" t="n"/>
    </row>
    <row r="241" hidden="1" outlineLevel="2" ht="13.2" customHeight="1" s="450">
      <c r="A241" s="590" t="n"/>
      <c r="B241" s="701" t="inlineStr">
        <is>
          <t>Poste 8m (BT) (cim.)</t>
        </is>
      </c>
      <c r="C241" s="710">
        <f>(0.4*0.4*3.14)</f>
        <v/>
      </c>
      <c r="D241" s="703" t="n">
        <v>0.87</v>
      </c>
      <c r="E241" s="151" t="n">
        <v>0.25</v>
      </c>
      <c r="F241" s="704">
        <f>(C241*D241)*1.25</f>
        <v/>
      </c>
      <c r="G241" s="705" t="n"/>
      <c r="H241" s="149" t="n"/>
      <c r="I241" s="149">
        <f>F241*G241</f>
        <v/>
      </c>
      <c r="J241" s="737" t="n"/>
      <c r="K241" s="737" t="n"/>
      <c r="L241" s="737" t="n"/>
      <c r="M241" s="737" t="n"/>
      <c r="N241" s="737" t="n"/>
      <c r="O241" s="737" t="n"/>
      <c r="P241" s="737" t="n"/>
      <c r="Q241" s="737" t="n"/>
      <c r="R241" s="737" t="n"/>
      <c r="S241" s="737" t="n"/>
      <c r="T241" s="737" t="n"/>
      <c r="U241" s="588" t="n"/>
      <c r="V241" s="588" t="n"/>
      <c r="W241" s="588" t="n"/>
      <c r="X241" s="588" t="n"/>
      <c r="Z241" s="588" t="n"/>
      <c r="AA241" s="588" t="n"/>
      <c r="AB241" s="588" t="n"/>
      <c r="AC241" s="588" t="n"/>
      <c r="AD241" s="588" t="n"/>
      <c r="AE241" s="588" t="n"/>
      <c r="AF241" s="588" t="n"/>
      <c r="AG241" s="588" t="n"/>
      <c r="AH241" s="588" t="n"/>
      <c r="AI241" s="588" t="n"/>
      <c r="AJ241" s="588" t="n"/>
      <c r="AK241" s="588" t="n"/>
      <c r="AL241" s="588" t="n"/>
      <c r="AM241" s="588" t="n"/>
      <c r="AN241" s="588" t="n"/>
      <c r="AO241" s="588" t="n"/>
      <c r="AP241" s="588" t="n"/>
      <c r="AQ241" s="588" t="n"/>
      <c r="AR241" s="588" t="n"/>
      <c r="AS241" s="588" t="n"/>
      <c r="AT241" s="588" t="n"/>
      <c r="AU241" s="588" t="n"/>
      <c r="AV241" s="588" t="n"/>
      <c r="AW241" s="588" t="n"/>
      <c r="AX241" s="588" t="n"/>
      <c r="AY241" s="588" t="n"/>
      <c r="AZ241" s="588" t="n"/>
      <c r="BA241" s="588" t="n"/>
      <c r="BB241" s="588" t="n"/>
      <c r="BC241" s="588" t="n"/>
      <c r="BD241" s="588" t="n"/>
      <c r="BE241" s="588" t="n"/>
      <c r="BF241" s="588" t="n"/>
      <c r="BG241" s="588" t="n"/>
      <c r="BH241" s="588" t="n"/>
      <c r="BI241" s="588" t="n"/>
      <c r="BJ241" s="588" t="n"/>
      <c r="BK241" s="588" t="n"/>
      <c r="BL241" s="588" t="n"/>
      <c r="BM241" s="588" t="n"/>
      <c r="BN241" s="588" t="n"/>
      <c r="BO241" s="588" t="n"/>
      <c r="BP241" s="588" t="n"/>
      <c r="BQ241" s="588" t="n"/>
      <c r="BR241" s="588" t="n"/>
      <c r="BS241" s="588" t="n"/>
      <c r="BT241" s="588" t="n"/>
      <c r="BU241" s="588" t="n"/>
      <c r="BV241" s="588" t="n"/>
      <c r="BW241" s="588" t="n"/>
      <c r="BX241" s="588" t="n"/>
      <c r="BY241" s="588" t="n"/>
      <c r="BZ241" s="588" t="n"/>
      <c r="CA241" s="588" t="n"/>
      <c r="CB241" s="588" t="n"/>
      <c r="CC241" s="588" t="n"/>
      <c r="CD241" s="588" t="n"/>
      <c r="CE241" s="588" t="n"/>
      <c r="CF241" s="588" t="n"/>
      <c r="CG241" s="588" t="n"/>
      <c r="CH241" s="588" t="n"/>
      <c r="CI241" s="588" t="n"/>
      <c r="CJ241" s="588" t="n"/>
      <c r="CK241" s="588" t="n"/>
      <c r="CL241" s="588" t="n"/>
      <c r="CM241" s="588" t="n"/>
      <c r="CN241" s="588" t="n"/>
      <c r="CO241" s="588" t="n"/>
      <c r="CP241" s="588" t="n"/>
      <c r="CQ241" s="588" t="n"/>
      <c r="CR241" s="588" t="n"/>
      <c r="CS241" s="588" t="n"/>
      <c r="CT241" s="588" t="n"/>
      <c r="CU241" s="588" t="n"/>
      <c r="CV241" s="588" t="n"/>
      <c r="CW241" s="588" t="n"/>
      <c r="CX241" s="588" t="n"/>
      <c r="CY241" s="588" t="n"/>
      <c r="CZ241" s="588" t="n"/>
      <c r="DA241" s="588" t="n"/>
      <c r="DB241" s="588" t="n"/>
      <c r="DC241" s="588" t="n"/>
      <c r="DD241" s="588" t="n"/>
      <c r="DE241" s="588" t="n"/>
      <c r="DF241" s="588" t="n"/>
      <c r="DG241" s="588" t="n"/>
      <c r="DH241" s="588" t="n"/>
      <c r="DI241" s="588" t="n"/>
      <c r="DJ241" s="588" t="n"/>
      <c r="DK241" s="588" t="n"/>
      <c r="DL241" s="588" t="n"/>
      <c r="DM241" s="588" t="n"/>
      <c r="DN241" s="588" t="n"/>
      <c r="DO241" s="588" t="n"/>
      <c r="DP241" s="588" t="n"/>
      <c r="DQ241" s="588" t="n"/>
      <c r="DR241" s="588" t="n"/>
      <c r="DS241" s="588" t="n"/>
      <c r="DT241" s="588" t="n"/>
      <c r="DU241" s="588" t="n"/>
    </row>
    <row r="242" hidden="1" outlineLevel="2" ht="13.2" customHeight="1" s="450">
      <c r="A242" s="590" t="n"/>
      <c r="B242" s="701" t="inlineStr">
        <is>
          <t>Poste 10m (Cim.)</t>
        </is>
      </c>
      <c r="C242" s="710">
        <f>((0.5*0.5*3.1416))</f>
        <v/>
      </c>
      <c r="D242" s="703">
        <f>10*0.1</f>
        <v/>
      </c>
      <c r="E242" s="151" t="n">
        <v>0.25</v>
      </c>
      <c r="F242" s="704">
        <f>(C242*D242)*1.25</f>
        <v/>
      </c>
      <c r="G242" s="705" t="n"/>
      <c r="H242" s="149" t="n"/>
      <c r="I242" s="149">
        <f>F242*G242</f>
        <v/>
      </c>
      <c r="J242" s="737" t="n"/>
      <c r="K242" s="737" t="n"/>
      <c r="L242" s="737" t="n"/>
      <c r="M242" s="737" t="n"/>
      <c r="N242" s="737" t="n"/>
      <c r="O242" s="737" t="n"/>
      <c r="P242" s="737" t="n"/>
      <c r="Q242" s="737" t="n"/>
      <c r="R242" s="737" t="n"/>
      <c r="S242" s="737" t="n"/>
      <c r="T242" s="737" t="n"/>
      <c r="U242" s="588" t="n"/>
      <c r="V242" s="588" t="n"/>
      <c r="W242" s="588" t="n"/>
      <c r="X242" s="588" t="n"/>
      <c r="Z242" s="588" t="n"/>
      <c r="AA242" s="588" t="n"/>
      <c r="AB242" s="588" t="n"/>
      <c r="AC242" s="588" t="n"/>
      <c r="AD242" s="588" t="n"/>
      <c r="AE242" s="588" t="n"/>
      <c r="AF242" s="588" t="n"/>
      <c r="AG242" s="588" t="n"/>
      <c r="AH242" s="588" t="n"/>
      <c r="AI242" s="588" t="n"/>
      <c r="AJ242" s="588" t="n"/>
      <c r="AK242" s="588" t="n"/>
      <c r="AL242" s="588" t="n"/>
      <c r="AM242" s="588" t="n"/>
      <c r="AN242" s="588" t="n"/>
      <c r="AO242" s="588" t="n"/>
      <c r="AP242" s="588" t="n"/>
      <c r="AQ242" s="588" t="n"/>
      <c r="AR242" s="588" t="n"/>
      <c r="AS242" s="588" t="n"/>
      <c r="AT242" s="588" t="n"/>
      <c r="AU242" s="588" t="n"/>
      <c r="AV242" s="588" t="n"/>
      <c r="AW242" s="588" t="n"/>
      <c r="AX242" s="588" t="n"/>
      <c r="AY242" s="588" t="n"/>
      <c r="AZ242" s="588" t="n"/>
      <c r="BA242" s="588" t="n"/>
      <c r="BB242" s="588" t="n"/>
      <c r="BC242" s="588" t="n"/>
      <c r="BD242" s="588" t="n"/>
      <c r="BE242" s="588" t="n"/>
      <c r="BF242" s="588" t="n"/>
      <c r="BG242" s="588" t="n"/>
      <c r="BH242" s="588" t="n"/>
      <c r="BI242" s="588" t="n"/>
      <c r="BJ242" s="588" t="n"/>
      <c r="BK242" s="588" t="n"/>
      <c r="BL242" s="588" t="n"/>
      <c r="BM242" s="588" t="n"/>
      <c r="BN242" s="588" t="n"/>
      <c r="BO242" s="588" t="n"/>
      <c r="BP242" s="588" t="n"/>
      <c r="BQ242" s="588" t="n"/>
      <c r="BR242" s="588" t="n"/>
      <c r="BS242" s="588" t="n"/>
      <c r="BT242" s="588" t="n"/>
      <c r="BU242" s="588" t="n"/>
      <c r="BV242" s="588" t="n"/>
      <c r="BW242" s="588" t="n"/>
      <c r="BX242" s="588" t="n"/>
      <c r="BY242" s="588" t="n"/>
      <c r="BZ242" s="588" t="n"/>
      <c r="CA242" s="588" t="n"/>
      <c r="CB242" s="588" t="n"/>
      <c r="CC242" s="588" t="n"/>
      <c r="CD242" s="588" t="n"/>
      <c r="CE242" s="588" t="n"/>
      <c r="CF242" s="588" t="n"/>
      <c r="CG242" s="588" t="n"/>
      <c r="CH242" s="588" t="n"/>
      <c r="CI242" s="588" t="n"/>
      <c r="CJ242" s="588" t="n"/>
      <c r="CK242" s="588" t="n"/>
      <c r="CL242" s="588" t="n"/>
      <c r="CM242" s="588" t="n"/>
      <c r="CN242" s="588" t="n"/>
      <c r="CO242" s="588" t="n"/>
      <c r="CP242" s="588" t="n"/>
      <c r="CQ242" s="588" t="n"/>
      <c r="CR242" s="588" t="n"/>
      <c r="CS242" s="588" t="n"/>
      <c r="CT242" s="588" t="n"/>
      <c r="CU242" s="588" t="n"/>
      <c r="CV242" s="588" t="n"/>
      <c r="CW242" s="588" t="n"/>
      <c r="CX242" s="588" t="n"/>
      <c r="CY242" s="588" t="n"/>
      <c r="CZ242" s="588" t="n"/>
      <c r="DA242" s="588" t="n"/>
      <c r="DB242" s="588" t="n"/>
      <c r="DC242" s="588" t="n"/>
      <c r="DD242" s="588" t="n"/>
      <c r="DE242" s="588" t="n"/>
      <c r="DF242" s="588" t="n"/>
      <c r="DG242" s="588" t="n"/>
      <c r="DH242" s="588" t="n"/>
      <c r="DI242" s="588" t="n"/>
      <c r="DJ242" s="588" t="n"/>
      <c r="DK242" s="588" t="n"/>
      <c r="DL242" s="588" t="n"/>
      <c r="DM242" s="588" t="n"/>
      <c r="DN242" s="588" t="n"/>
      <c r="DO242" s="588" t="n"/>
      <c r="DP242" s="588" t="n"/>
      <c r="DQ242" s="588" t="n"/>
      <c r="DR242" s="588" t="n"/>
      <c r="DS242" s="588" t="n"/>
      <c r="DT242" s="588" t="n"/>
      <c r="DU242" s="588" t="n"/>
    </row>
    <row r="243" hidden="1" outlineLevel="2" ht="13.2" customHeight="1" s="450">
      <c r="A243" s="590" t="n"/>
      <c r="B243" s="701" t="inlineStr">
        <is>
          <t>Poste 11m (Cim.)</t>
        </is>
      </c>
      <c r="C243" s="710">
        <f>((0.5*0.5*3.1416))</f>
        <v/>
      </c>
      <c r="D243" s="703">
        <f>11*0.1</f>
        <v/>
      </c>
      <c r="E243" s="151" t="n">
        <v>0.25</v>
      </c>
      <c r="F243" s="704">
        <f>(C243*D243)*1.25</f>
        <v/>
      </c>
      <c r="G243" s="705" t="n"/>
      <c r="H243" s="149" t="n"/>
      <c r="I243" s="149">
        <f>F243*G243</f>
        <v/>
      </c>
      <c r="J243" s="737" t="n"/>
      <c r="K243" s="737" t="n"/>
      <c r="L243" s="737" t="n"/>
      <c r="M243" s="737" t="n"/>
      <c r="N243" s="737" t="n"/>
      <c r="O243" s="737" t="n"/>
      <c r="P243" s="737" t="n"/>
      <c r="Q243" s="737" t="n"/>
      <c r="R243" s="737" t="n"/>
      <c r="S243" s="737" t="n"/>
      <c r="T243" s="737" t="n"/>
      <c r="U243" s="588" t="n"/>
      <c r="V243" s="588" t="n"/>
      <c r="W243" s="588" t="n"/>
      <c r="X243" s="588" t="n"/>
      <c r="Z243" s="588" t="n"/>
      <c r="AA243" s="588" t="n"/>
      <c r="AB243" s="588" t="n"/>
      <c r="AC243" s="588" t="n"/>
      <c r="AD243" s="588" t="n"/>
      <c r="AE243" s="588" t="n"/>
      <c r="AF243" s="588" t="n"/>
      <c r="AG243" s="588" t="n"/>
      <c r="AH243" s="588" t="n"/>
      <c r="AI243" s="588" t="n"/>
      <c r="AJ243" s="588" t="n"/>
      <c r="AK243" s="588" t="n"/>
      <c r="AL243" s="588" t="n"/>
      <c r="AM243" s="588" t="n"/>
      <c r="AN243" s="588" t="n"/>
      <c r="AO243" s="588" t="n"/>
      <c r="AP243" s="588" t="n"/>
      <c r="AQ243" s="588" t="n"/>
      <c r="AR243" s="588" t="n"/>
      <c r="AS243" s="588" t="n"/>
      <c r="AT243" s="588" t="n"/>
      <c r="AU243" s="588" t="n"/>
      <c r="AV243" s="588" t="n"/>
      <c r="AW243" s="588" t="n"/>
      <c r="AX243" s="588" t="n"/>
      <c r="AY243" s="588" t="n"/>
      <c r="AZ243" s="588" t="n"/>
      <c r="BA243" s="588" t="n"/>
      <c r="BB243" s="588" t="n"/>
      <c r="BC243" s="588" t="n"/>
      <c r="BD243" s="588" t="n"/>
      <c r="BE243" s="588" t="n"/>
      <c r="BF243" s="588" t="n"/>
      <c r="BG243" s="588" t="n"/>
      <c r="BH243" s="588" t="n"/>
      <c r="BI243" s="588" t="n"/>
      <c r="BJ243" s="588" t="n"/>
      <c r="BK243" s="588" t="n"/>
      <c r="BL243" s="588" t="n"/>
      <c r="BM243" s="588" t="n"/>
      <c r="BN243" s="588" t="n"/>
      <c r="BO243" s="588" t="n"/>
      <c r="BP243" s="588" t="n"/>
      <c r="BQ243" s="588" t="n"/>
      <c r="BR243" s="588" t="n"/>
      <c r="BS243" s="588" t="n"/>
      <c r="BT243" s="588" t="n"/>
      <c r="BU243" s="588" t="n"/>
      <c r="BV243" s="588" t="n"/>
      <c r="BW243" s="588" t="n"/>
      <c r="BX243" s="588" t="n"/>
      <c r="BY243" s="588" t="n"/>
      <c r="BZ243" s="588" t="n"/>
      <c r="CA243" s="588" t="n"/>
      <c r="CB243" s="588" t="n"/>
      <c r="CC243" s="588" t="n"/>
      <c r="CD243" s="588" t="n"/>
      <c r="CE243" s="588" t="n"/>
      <c r="CF243" s="588" t="n"/>
      <c r="CG243" s="588" t="n"/>
      <c r="CH243" s="588" t="n"/>
      <c r="CI243" s="588" t="n"/>
      <c r="CJ243" s="588" t="n"/>
      <c r="CK243" s="588" t="n"/>
      <c r="CL243" s="588" t="n"/>
      <c r="CM243" s="588" t="n"/>
      <c r="CN243" s="588" t="n"/>
      <c r="CO243" s="588" t="n"/>
      <c r="CP243" s="588" t="n"/>
      <c r="CQ243" s="588" t="n"/>
      <c r="CR243" s="588" t="n"/>
      <c r="CS243" s="588" t="n"/>
      <c r="CT243" s="588" t="n"/>
      <c r="CU243" s="588" t="n"/>
      <c r="CV243" s="588" t="n"/>
      <c r="CW243" s="588" t="n"/>
      <c r="CX243" s="588" t="n"/>
      <c r="CY243" s="588" t="n"/>
      <c r="CZ243" s="588" t="n"/>
      <c r="DA243" s="588" t="n"/>
      <c r="DB243" s="588" t="n"/>
      <c r="DC243" s="588" t="n"/>
      <c r="DD243" s="588" t="n"/>
      <c r="DE243" s="588" t="n"/>
      <c r="DF243" s="588" t="n"/>
      <c r="DG243" s="588" t="n"/>
      <c r="DH243" s="588" t="n"/>
      <c r="DI243" s="588" t="n"/>
      <c r="DJ243" s="588" t="n"/>
      <c r="DK243" s="588" t="n"/>
      <c r="DL243" s="588" t="n"/>
      <c r="DM243" s="588" t="n"/>
      <c r="DN243" s="588" t="n"/>
      <c r="DO243" s="588" t="n"/>
      <c r="DP243" s="588" t="n"/>
      <c r="DQ243" s="588" t="n"/>
      <c r="DR243" s="588" t="n"/>
      <c r="DS243" s="588" t="n"/>
      <c r="DT243" s="588" t="n"/>
      <c r="DU243" s="588" t="n"/>
    </row>
    <row r="244" hidden="1" outlineLevel="2" ht="13.2" customHeight="1" s="450">
      <c r="A244" s="590" t="n"/>
      <c r="B244" s="701" t="inlineStr">
        <is>
          <t>Poste 13m (Cim.)</t>
        </is>
      </c>
      <c r="C244" s="710">
        <f>((0.5*0.5*3.1416))</f>
        <v/>
      </c>
      <c r="D244" s="703">
        <f>13*0.1</f>
        <v/>
      </c>
      <c r="E244" s="151" t="n">
        <v>0.25</v>
      </c>
      <c r="F244" s="704">
        <f>(C244*D244)*1.25</f>
        <v/>
      </c>
      <c r="G244" s="705" t="n"/>
      <c r="H244" s="149" t="n"/>
      <c r="I244" s="149">
        <f>F244*G244</f>
        <v/>
      </c>
      <c r="J244" s="737" t="n"/>
      <c r="K244" s="737" t="n"/>
      <c r="L244" s="737" t="n"/>
      <c r="M244" s="737" t="n"/>
      <c r="N244" s="737" t="n"/>
      <c r="O244" s="737" t="n"/>
      <c r="P244" s="737" t="n"/>
      <c r="Q244" s="737" t="n"/>
      <c r="R244" s="737" t="n"/>
      <c r="S244" s="737" t="n"/>
      <c r="T244" s="737" t="n"/>
      <c r="U244" s="588" t="n"/>
      <c r="V244" s="588" t="n"/>
      <c r="W244" s="588" t="n"/>
      <c r="X244" s="588" t="n"/>
      <c r="Z244" s="588" t="n"/>
      <c r="AA244" s="588" t="n"/>
      <c r="AB244" s="588" t="n"/>
      <c r="AC244" s="588" t="n"/>
      <c r="AD244" s="588" t="n"/>
      <c r="AE244" s="588" t="n"/>
      <c r="AF244" s="588" t="n"/>
      <c r="AG244" s="588" t="n"/>
      <c r="AH244" s="588" t="n"/>
      <c r="AI244" s="588" t="n"/>
      <c r="AJ244" s="588" t="n"/>
      <c r="AK244" s="588" t="n"/>
      <c r="AL244" s="588" t="n"/>
      <c r="AM244" s="588" t="n"/>
      <c r="AN244" s="588" t="n"/>
      <c r="AO244" s="588" t="n"/>
      <c r="AP244" s="588" t="n"/>
      <c r="AQ244" s="588" t="n"/>
      <c r="AR244" s="588" t="n"/>
      <c r="AS244" s="588" t="n"/>
      <c r="AT244" s="588" t="n"/>
      <c r="AU244" s="588" t="n"/>
      <c r="AV244" s="588" t="n"/>
      <c r="AW244" s="588" t="n"/>
      <c r="AX244" s="588" t="n"/>
      <c r="AY244" s="588" t="n"/>
      <c r="AZ244" s="588" t="n"/>
      <c r="BA244" s="588" t="n"/>
      <c r="BB244" s="588" t="n"/>
      <c r="BC244" s="588" t="n"/>
      <c r="BD244" s="588" t="n"/>
      <c r="BE244" s="588" t="n"/>
      <c r="BF244" s="588" t="n"/>
      <c r="BG244" s="588" t="n"/>
      <c r="BH244" s="588" t="n"/>
      <c r="BI244" s="588" t="n"/>
      <c r="BJ244" s="588" t="n"/>
      <c r="BK244" s="588" t="n"/>
      <c r="BL244" s="588" t="n"/>
      <c r="BM244" s="588" t="n"/>
      <c r="BN244" s="588" t="n"/>
      <c r="BO244" s="588" t="n"/>
      <c r="BP244" s="588" t="n"/>
      <c r="BQ244" s="588" t="n"/>
      <c r="BR244" s="588" t="n"/>
      <c r="BS244" s="588" t="n"/>
      <c r="BT244" s="588" t="n"/>
      <c r="BU244" s="588" t="n"/>
      <c r="BV244" s="588" t="n"/>
      <c r="BW244" s="588" t="n"/>
      <c r="BX244" s="588" t="n"/>
      <c r="BY244" s="588" t="n"/>
      <c r="BZ244" s="588" t="n"/>
      <c r="CA244" s="588" t="n"/>
      <c r="CB244" s="588" t="n"/>
      <c r="CC244" s="588" t="n"/>
      <c r="CD244" s="588" t="n"/>
      <c r="CE244" s="588" t="n"/>
      <c r="CF244" s="588" t="n"/>
      <c r="CG244" s="588" t="n"/>
      <c r="CH244" s="588" t="n"/>
      <c r="CI244" s="588" t="n"/>
      <c r="CJ244" s="588" t="n"/>
      <c r="CK244" s="588" t="n"/>
      <c r="CL244" s="588" t="n"/>
      <c r="CM244" s="588" t="n"/>
      <c r="CN244" s="588" t="n"/>
      <c r="CO244" s="588" t="n"/>
      <c r="CP244" s="588" t="n"/>
      <c r="CQ244" s="588" t="n"/>
      <c r="CR244" s="588" t="n"/>
      <c r="CS244" s="588" t="n"/>
      <c r="CT244" s="588" t="n"/>
      <c r="CU244" s="588" t="n"/>
      <c r="CV244" s="588" t="n"/>
      <c r="CW244" s="588" t="n"/>
      <c r="CX244" s="588" t="n"/>
      <c r="CY244" s="588" t="n"/>
      <c r="CZ244" s="588" t="n"/>
      <c r="DA244" s="588" t="n"/>
      <c r="DB244" s="588" t="n"/>
      <c r="DC244" s="588" t="n"/>
      <c r="DD244" s="588" t="n"/>
      <c r="DE244" s="588" t="n"/>
      <c r="DF244" s="588" t="n"/>
      <c r="DG244" s="588" t="n"/>
      <c r="DH244" s="588" t="n"/>
      <c r="DI244" s="588" t="n"/>
      <c r="DJ244" s="588" t="n"/>
      <c r="DK244" s="588" t="n"/>
      <c r="DL244" s="588" t="n"/>
      <c r="DM244" s="588" t="n"/>
      <c r="DN244" s="588" t="n"/>
      <c r="DO244" s="588" t="n"/>
      <c r="DP244" s="588" t="n"/>
      <c r="DQ244" s="588" t="n"/>
      <c r="DR244" s="588" t="n"/>
      <c r="DS244" s="588" t="n"/>
      <c r="DT244" s="588" t="n"/>
      <c r="DU244" s="588" t="n"/>
    </row>
    <row r="245" hidden="1" outlineLevel="2" ht="13.2" customHeight="1" s="450">
      <c r="A245" s="590" t="n"/>
      <c r="B245" s="701" t="inlineStr">
        <is>
          <t>Poste 15m (Cim.)</t>
        </is>
      </c>
      <c r="C245" s="710">
        <f>((0.5*0.5*3.1416))</f>
        <v/>
      </c>
      <c r="D245" s="703">
        <f>15*0.1</f>
        <v/>
      </c>
      <c r="E245" s="151" t="n">
        <v>0.25</v>
      </c>
      <c r="F245" s="704">
        <f>(C245*D245)*1.25</f>
        <v/>
      </c>
      <c r="G245" s="705" t="n"/>
      <c r="H245" s="149" t="n"/>
      <c r="I245" s="149">
        <f>F245*G245</f>
        <v/>
      </c>
      <c r="J245" s="737" t="n"/>
      <c r="K245" s="737" t="n"/>
      <c r="L245" s="737" t="n"/>
      <c r="M245" s="737" t="n"/>
      <c r="N245" s="737" t="n"/>
      <c r="O245" s="737" t="n"/>
      <c r="P245" s="737" t="n"/>
      <c r="Q245" s="737" t="n"/>
      <c r="R245" s="737" t="n"/>
      <c r="S245" s="737" t="n"/>
      <c r="T245" s="737" t="n"/>
      <c r="U245" s="588" t="n"/>
      <c r="V245" s="588" t="n"/>
      <c r="W245" s="588" t="n"/>
      <c r="X245" s="588" t="n"/>
      <c r="Z245" s="588" t="n"/>
      <c r="AA245" s="588" t="n"/>
      <c r="AB245" s="588" t="n"/>
      <c r="AC245" s="588" t="n"/>
      <c r="AD245" s="588" t="n"/>
      <c r="AE245" s="588" t="n"/>
      <c r="AF245" s="588" t="n"/>
      <c r="AG245" s="588" t="n"/>
      <c r="AH245" s="588" t="n"/>
      <c r="AI245" s="588" t="n"/>
      <c r="AJ245" s="588" t="n"/>
      <c r="AK245" s="588" t="n"/>
      <c r="AL245" s="588" t="n"/>
      <c r="AM245" s="588" t="n"/>
      <c r="AN245" s="588" t="n"/>
      <c r="AO245" s="588" t="n"/>
      <c r="AP245" s="588" t="n"/>
      <c r="AQ245" s="588" t="n"/>
      <c r="AR245" s="588" t="n"/>
      <c r="AS245" s="588" t="n"/>
      <c r="AT245" s="588" t="n"/>
      <c r="AU245" s="588" t="n"/>
      <c r="AV245" s="588" t="n"/>
      <c r="AW245" s="588" t="n"/>
      <c r="AX245" s="588" t="n"/>
      <c r="AY245" s="588" t="n"/>
      <c r="AZ245" s="588" t="n"/>
      <c r="BA245" s="588" t="n"/>
      <c r="BB245" s="588" t="n"/>
      <c r="BC245" s="588" t="n"/>
      <c r="BD245" s="588" t="n"/>
      <c r="BE245" s="588" t="n"/>
      <c r="BF245" s="588" t="n"/>
      <c r="BG245" s="588" t="n"/>
      <c r="BH245" s="588" t="n"/>
      <c r="BI245" s="588" t="n"/>
      <c r="BJ245" s="588" t="n"/>
      <c r="BK245" s="588" t="n"/>
      <c r="BL245" s="588" t="n"/>
      <c r="BM245" s="588" t="n"/>
      <c r="BN245" s="588" t="n"/>
      <c r="BO245" s="588" t="n"/>
      <c r="BP245" s="588" t="n"/>
      <c r="BQ245" s="588" t="n"/>
      <c r="BR245" s="588" t="n"/>
      <c r="BS245" s="588" t="n"/>
      <c r="BT245" s="588" t="n"/>
      <c r="BU245" s="588" t="n"/>
      <c r="BV245" s="588" t="n"/>
      <c r="BW245" s="588" t="n"/>
      <c r="BX245" s="588" t="n"/>
      <c r="BY245" s="588" t="n"/>
      <c r="BZ245" s="588" t="n"/>
      <c r="CA245" s="588" t="n"/>
      <c r="CB245" s="588" t="n"/>
      <c r="CC245" s="588" t="n"/>
      <c r="CD245" s="588" t="n"/>
      <c r="CE245" s="588" t="n"/>
      <c r="CF245" s="588" t="n"/>
      <c r="CG245" s="588" t="n"/>
      <c r="CH245" s="588" t="n"/>
      <c r="CI245" s="588" t="n"/>
      <c r="CJ245" s="588" t="n"/>
      <c r="CK245" s="588" t="n"/>
      <c r="CL245" s="588" t="n"/>
      <c r="CM245" s="588" t="n"/>
      <c r="CN245" s="588" t="n"/>
      <c r="CO245" s="588" t="n"/>
      <c r="CP245" s="588" t="n"/>
      <c r="CQ245" s="588" t="n"/>
      <c r="CR245" s="588" t="n"/>
      <c r="CS245" s="588" t="n"/>
      <c r="CT245" s="588" t="n"/>
      <c r="CU245" s="588" t="n"/>
      <c r="CV245" s="588" t="n"/>
      <c r="CW245" s="588" t="n"/>
      <c r="CX245" s="588" t="n"/>
      <c r="CY245" s="588" t="n"/>
      <c r="CZ245" s="588" t="n"/>
      <c r="DA245" s="588" t="n"/>
      <c r="DB245" s="588" t="n"/>
      <c r="DC245" s="588" t="n"/>
      <c r="DD245" s="588" t="n"/>
      <c r="DE245" s="588" t="n"/>
      <c r="DF245" s="588" t="n"/>
      <c r="DG245" s="588" t="n"/>
      <c r="DH245" s="588" t="n"/>
      <c r="DI245" s="588" t="n"/>
      <c r="DJ245" s="588" t="n"/>
      <c r="DK245" s="588" t="n"/>
      <c r="DL245" s="588" t="n"/>
      <c r="DM245" s="588" t="n"/>
      <c r="DN245" s="588" t="n"/>
      <c r="DO245" s="588" t="n"/>
      <c r="DP245" s="588" t="n"/>
      <c r="DQ245" s="588" t="n"/>
      <c r="DR245" s="588" t="n"/>
      <c r="DS245" s="588" t="n"/>
      <c r="DT245" s="588" t="n"/>
      <c r="DU245" s="588" t="n"/>
    </row>
    <row r="246" hidden="1" outlineLevel="2" ht="13.2" customHeight="1" s="450">
      <c r="A246" s="590" t="n"/>
      <c r="B246" s="711" t="inlineStr">
        <is>
          <t>Poste de Fierro 6.40m.(Cim.)</t>
        </is>
      </c>
      <c r="C246" s="712" t="n">
        <v>0.5</v>
      </c>
      <c r="D246" s="713" t="n">
        <v>0.64</v>
      </c>
      <c r="E246" s="151" t="n">
        <v>1.25</v>
      </c>
      <c r="F246" s="704">
        <f>(C246*D246)*1.25</f>
        <v/>
      </c>
      <c r="G246" s="705" t="n"/>
      <c r="H246" s="149" t="n"/>
      <c r="I246" s="149">
        <f>F246*G246</f>
        <v/>
      </c>
      <c r="J246" s="737" t="n"/>
      <c r="K246" s="737" t="n"/>
      <c r="L246" s="737" t="n"/>
      <c r="M246" s="737" t="n"/>
      <c r="N246" s="737" t="n"/>
      <c r="O246" s="737" t="n"/>
      <c r="P246" s="737" t="n"/>
      <c r="Q246" s="737" t="n"/>
      <c r="R246" s="737" t="n"/>
      <c r="S246" s="737" t="n"/>
      <c r="T246" s="737" t="n"/>
      <c r="U246" s="588" t="n"/>
      <c r="V246" s="588" t="n"/>
      <c r="W246" s="588" t="n"/>
      <c r="X246" s="588" t="n"/>
      <c r="Z246" s="588" t="n"/>
      <c r="AA246" s="588" t="n"/>
      <c r="AB246" s="588" t="n"/>
      <c r="AC246" s="588" t="n"/>
      <c r="AD246" s="588" t="n"/>
      <c r="AE246" s="588" t="n"/>
      <c r="AF246" s="588" t="n"/>
      <c r="AG246" s="588" t="n"/>
      <c r="AH246" s="588" t="n"/>
      <c r="AI246" s="588" t="n"/>
      <c r="AJ246" s="588" t="n"/>
      <c r="AK246" s="588" t="n"/>
      <c r="AL246" s="588" t="n"/>
      <c r="AM246" s="588" t="n"/>
      <c r="AN246" s="588" t="n"/>
      <c r="AO246" s="588" t="n"/>
      <c r="AP246" s="588" t="n"/>
      <c r="AQ246" s="588" t="n"/>
      <c r="AR246" s="588" t="n"/>
      <c r="AS246" s="588" t="n"/>
      <c r="AT246" s="588" t="n"/>
      <c r="AU246" s="588" t="n"/>
      <c r="AV246" s="588" t="n"/>
      <c r="AW246" s="588" t="n"/>
      <c r="AX246" s="588" t="n"/>
      <c r="AY246" s="588" t="n"/>
      <c r="AZ246" s="588" t="n"/>
      <c r="BA246" s="588" t="n"/>
      <c r="BB246" s="588" t="n"/>
      <c r="BC246" s="588" t="n"/>
      <c r="BD246" s="588" t="n"/>
      <c r="BE246" s="588" t="n"/>
      <c r="BF246" s="588" t="n"/>
      <c r="BG246" s="588" t="n"/>
      <c r="BH246" s="588" t="n"/>
      <c r="BI246" s="588" t="n"/>
      <c r="BJ246" s="588" t="n"/>
      <c r="BK246" s="588" t="n"/>
      <c r="BL246" s="588" t="n"/>
      <c r="BM246" s="588" t="n"/>
      <c r="BN246" s="588" t="n"/>
      <c r="BO246" s="588" t="n"/>
      <c r="BP246" s="588" t="n"/>
      <c r="BQ246" s="588" t="n"/>
      <c r="BR246" s="588" t="n"/>
      <c r="BS246" s="588" t="n"/>
      <c r="BT246" s="588" t="n"/>
      <c r="BU246" s="588" t="n"/>
      <c r="BV246" s="588" t="n"/>
      <c r="BW246" s="588" t="n"/>
      <c r="BX246" s="588" t="n"/>
      <c r="BY246" s="588" t="n"/>
      <c r="BZ246" s="588" t="n"/>
      <c r="CA246" s="588" t="n"/>
      <c r="CB246" s="588" t="n"/>
      <c r="CC246" s="588" t="n"/>
      <c r="CD246" s="588" t="n"/>
      <c r="CE246" s="588" t="n"/>
      <c r="CF246" s="588" t="n"/>
      <c r="CG246" s="588" t="n"/>
      <c r="CH246" s="588" t="n"/>
      <c r="CI246" s="588" t="n"/>
      <c r="CJ246" s="588" t="n"/>
      <c r="CK246" s="588" t="n"/>
      <c r="CL246" s="588" t="n"/>
      <c r="CM246" s="588" t="n"/>
      <c r="CN246" s="588" t="n"/>
      <c r="CO246" s="588" t="n"/>
      <c r="CP246" s="588" t="n"/>
      <c r="CQ246" s="588" t="n"/>
      <c r="CR246" s="588" t="n"/>
      <c r="CS246" s="588" t="n"/>
      <c r="CT246" s="588" t="n"/>
      <c r="CU246" s="588" t="n"/>
      <c r="CV246" s="588" t="n"/>
      <c r="CW246" s="588" t="n"/>
      <c r="CX246" s="588" t="n"/>
      <c r="CY246" s="588" t="n"/>
      <c r="CZ246" s="588" t="n"/>
      <c r="DA246" s="588" t="n"/>
      <c r="DB246" s="588" t="n"/>
      <c r="DC246" s="588" t="n"/>
      <c r="DD246" s="588" t="n"/>
      <c r="DE246" s="588" t="n"/>
      <c r="DF246" s="588" t="n"/>
      <c r="DG246" s="588" t="n"/>
      <c r="DH246" s="588" t="n"/>
      <c r="DI246" s="588" t="n"/>
      <c r="DJ246" s="588" t="n"/>
      <c r="DK246" s="588" t="n"/>
      <c r="DL246" s="588" t="n"/>
      <c r="DM246" s="588" t="n"/>
      <c r="DN246" s="588" t="n"/>
      <c r="DO246" s="588" t="n"/>
      <c r="DP246" s="588" t="n"/>
      <c r="DQ246" s="588" t="n"/>
      <c r="DR246" s="588" t="n"/>
      <c r="DS246" s="588" t="n"/>
      <c r="DT246" s="588" t="n"/>
      <c r="DU246" s="588" t="n"/>
    </row>
    <row r="247" hidden="1" outlineLevel="2" ht="13.2" customHeight="1" s="450">
      <c r="A247" s="590" t="n"/>
      <c r="B247" s="711" t="inlineStr">
        <is>
          <t>Poste de Fierro 7m.(Cim.)</t>
        </is>
      </c>
      <c r="C247" s="714" t="n">
        <v>0.5</v>
      </c>
      <c r="D247" s="713" t="n">
        <v>0.7</v>
      </c>
      <c r="E247" s="161" t="n">
        <v>1.25</v>
      </c>
      <c r="F247" s="704">
        <f>(C247*D247)*1.25</f>
        <v/>
      </c>
      <c r="G247" s="705" t="n"/>
      <c r="H247" s="149" t="n"/>
      <c r="I247" s="149">
        <f>F247*G247</f>
        <v/>
      </c>
      <c r="J247" s="737" t="n"/>
      <c r="K247" s="737" t="n"/>
      <c r="L247" s="737" t="n"/>
      <c r="M247" s="737" t="n"/>
      <c r="N247" s="737" t="n"/>
      <c r="O247" s="737" t="n"/>
      <c r="P247" s="737" t="n"/>
      <c r="Q247" s="737" t="n"/>
      <c r="R247" s="737" t="n"/>
      <c r="S247" s="737" t="n"/>
      <c r="T247" s="737" t="n"/>
      <c r="U247" s="588" t="n"/>
      <c r="V247" s="588" t="n"/>
      <c r="W247" s="588" t="n"/>
      <c r="X247" s="588" t="n"/>
      <c r="Z247" s="588" t="n"/>
      <c r="AA247" s="588" t="n"/>
      <c r="AB247" s="588" t="n"/>
      <c r="AC247" s="588" t="n"/>
      <c r="AD247" s="588" t="n"/>
      <c r="AE247" s="588" t="n"/>
      <c r="AF247" s="588" t="n"/>
      <c r="AG247" s="588" t="n"/>
      <c r="AH247" s="588" t="n"/>
      <c r="AI247" s="588" t="n"/>
      <c r="AJ247" s="588" t="n"/>
      <c r="AK247" s="588" t="n"/>
      <c r="AL247" s="588" t="n"/>
      <c r="AM247" s="588" t="n"/>
      <c r="AN247" s="588" t="n"/>
      <c r="AO247" s="588" t="n"/>
      <c r="AP247" s="588" t="n"/>
      <c r="AQ247" s="588" t="n"/>
      <c r="AR247" s="588" t="n"/>
      <c r="AS247" s="588" t="n"/>
      <c r="AT247" s="588" t="n"/>
      <c r="AU247" s="588" t="n"/>
      <c r="AV247" s="588" t="n"/>
      <c r="AW247" s="588" t="n"/>
      <c r="AX247" s="588" t="n"/>
      <c r="AY247" s="588" t="n"/>
      <c r="AZ247" s="588" t="n"/>
      <c r="BA247" s="588" t="n"/>
      <c r="BB247" s="588" t="n"/>
      <c r="BC247" s="588" t="n"/>
      <c r="BD247" s="588" t="n"/>
      <c r="BE247" s="588" t="n"/>
      <c r="BF247" s="588" t="n"/>
      <c r="BG247" s="588" t="n"/>
      <c r="BH247" s="588" t="n"/>
      <c r="BI247" s="588" t="n"/>
      <c r="BJ247" s="588" t="n"/>
      <c r="BK247" s="588" t="n"/>
      <c r="BL247" s="588" t="n"/>
      <c r="BM247" s="588" t="n"/>
      <c r="BN247" s="588" t="n"/>
      <c r="BO247" s="588" t="n"/>
      <c r="BP247" s="588" t="n"/>
      <c r="BQ247" s="588" t="n"/>
      <c r="BR247" s="588" t="n"/>
      <c r="BS247" s="588" t="n"/>
      <c r="BT247" s="588" t="n"/>
      <c r="BU247" s="588" t="n"/>
      <c r="BV247" s="588" t="n"/>
      <c r="BW247" s="588" t="n"/>
      <c r="BX247" s="588" t="n"/>
      <c r="BY247" s="588" t="n"/>
      <c r="BZ247" s="588" t="n"/>
      <c r="CA247" s="588" t="n"/>
      <c r="CB247" s="588" t="n"/>
      <c r="CC247" s="588" t="n"/>
      <c r="CD247" s="588" t="n"/>
      <c r="CE247" s="588" t="n"/>
      <c r="CF247" s="588" t="n"/>
      <c r="CG247" s="588" t="n"/>
      <c r="CH247" s="588" t="n"/>
      <c r="CI247" s="588" t="n"/>
      <c r="CJ247" s="588" t="n"/>
      <c r="CK247" s="588" t="n"/>
      <c r="CL247" s="588" t="n"/>
      <c r="CM247" s="588" t="n"/>
      <c r="CN247" s="588" t="n"/>
      <c r="CO247" s="588" t="n"/>
      <c r="CP247" s="588" t="n"/>
      <c r="CQ247" s="588" t="n"/>
      <c r="CR247" s="588" t="n"/>
      <c r="CS247" s="588" t="n"/>
      <c r="CT247" s="588" t="n"/>
      <c r="CU247" s="588" t="n"/>
      <c r="CV247" s="588" t="n"/>
      <c r="CW247" s="588" t="n"/>
      <c r="CX247" s="588" t="n"/>
      <c r="CY247" s="588" t="n"/>
      <c r="CZ247" s="588" t="n"/>
      <c r="DA247" s="588" t="n"/>
      <c r="DB247" s="588" t="n"/>
      <c r="DC247" s="588" t="n"/>
      <c r="DD247" s="588" t="n"/>
      <c r="DE247" s="588" t="n"/>
      <c r="DF247" s="588" t="n"/>
      <c r="DG247" s="588" t="n"/>
      <c r="DH247" s="588" t="n"/>
      <c r="DI247" s="588" t="n"/>
      <c r="DJ247" s="588" t="n"/>
      <c r="DK247" s="588" t="n"/>
      <c r="DL247" s="588" t="n"/>
      <c r="DM247" s="588" t="n"/>
      <c r="DN247" s="588" t="n"/>
      <c r="DO247" s="588" t="n"/>
      <c r="DP247" s="588" t="n"/>
      <c r="DQ247" s="588" t="n"/>
      <c r="DR247" s="588" t="n"/>
      <c r="DS247" s="588" t="n"/>
      <c r="DT247" s="588" t="n"/>
      <c r="DU247" s="588" t="n"/>
    </row>
    <row r="248" hidden="1" outlineLevel="2" ht="13.2" customHeight="1" s="450">
      <c r="A248" s="590" t="n"/>
      <c r="B248" s="701" t="inlineStr">
        <is>
          <t>Afirmado vereda</t>
        </is>
      </c>
      <c r="C248" s="702" t="n">
        <v>1</v>
      </c>
      <c r="D248" s="703" t="n">
        <v>0.2</v>
      </c>
      <c r="E248" s="151" t="n">
        <v>0.25</v>
      </c>
      <c r="F248" s="704">
        <f>(C248*D248)*1.25</f>
        <v/>
      </c>
      <c r="G248" s="705" t="n"/>
      <c r="H248" s="149" t="n"/>
      <c r="I248" s="149">
        <f>F248*G248</f>
        <v/>
      </c>
      <c r="J248" s="737" t="n"/>
      <c r="K248" s="737" t="n"/>
      <c r="L248" s="737" t="n"/>
      <c r="M248" s="737" t="n"/>
      <c r="N248" s="737" t="n"/>
      <c r="O248" s="737" t="n"/>
      <c r="P248" s="737" t="n"/>
      <c r="Q248" s="737" t="n"/>
      <c r="R248" s="737" t="n"/>
      <c r="S248" s="737" t="n"/>
      <c r="T248" s="737" t="n"/>
      <c r="U248" s="588" t="n"/>
      <c r="V248" s="588" t="n"/>
      <c r="W248" s="588" t="n"/>
      <c r="X248" s="588" t="n"/>
      <c r="Z248" s="588" t="n"/>
      <c r="AA248" s="588" t="n"/>
      <c r="AB248" s="588" t="n"/>
      <c r="AC248" s="588" t="n"/>
      <c r="AD248" s="588" t="n"/>
      <c r="AE248" s="588" t="n"/>
      <c r="AF248" s="588" t="n"/>
      <c r="AG248" s="588" t="n"/>
      <c r="AH248" s="588" t="n"/>
      <c r="AI248" s="588" t="n"/>
      <c r="AJ248" s="588" t="n"/>
      <c r="AK248" s="588" t="n"/>
      <c r="AL248" s="588" t="n"/>
      <c r="AM248" s="588" t="n"/>
      <c r="AN248" s="588" t="n"/>
      <c r="AO248" s="588" t="n"/>
      <c r="AP248" s="588" t="n"/>
      <c r="AQ248" s="588" t="n"/>
      <c r="AR248" s="588" t="n"/>
      <c r="AS248" s="588" t="n"/>
      <c r="AT248" s="588" t="n"/>
      <c r="AU248" s="588" t="n"/>
      <c r="AV248" s="588" t="n"/>
      <c r="AW248" s="588" t="n"/>
      <c r="AX248" s="588" t="n"/>
      <c r="AY248" s="588" t="n"/>
      <c r="AZ248" s="588" t="n"/>
      <c r="BA248" s="588" t="n"/>
      <c r="BB248" s="588" t="n"/>
      <c r="BC248" s="588" t="n"/>
      <c r="BD248" s="588" t="n"/>
      <c r="BE248" s="588" t="n"/>
      <c r="BF248" s="588" t="n"/>
      <c r="BG248" s="588" t="n"/>
      <c r="BH248" s="588" t="n"/>
      <c r="BI248" s="588" t="n"/>
      <c r="BJ248" s="588" t="n"/>
      <c r="BK248" s="588" t="n"/>
      <c r="BL248" s="588" t="n"/>
      <c r="BM248" s="588" t="n"/>
      <c r="BN248" s="588" t="n"/>
      <c r="BO248" s="588" t="n"/>
      <c r="BP248" s="588" t="n"/>
      <c r="BQ248" s="588" t="n"/>
      <c r="BR248" s="588" t="n"/>
      <c r="BS248" s="588" t="n"/>
      <c r="BT248" s="588" t="n"/>
      <c r="BU248" s="588" t="n"/>
      <c r="BV248" s="588" t="n"/>
      <c r="BW248" s="588" t="n"/>
      <c r="BX248" s="588" t="n"/>
      <c r="BY248" s="588" t="n"/>
      <c r="BZ248" s="588" t="n"/>
      <c r="CA248" s="588" t="n"/>
      <c r="CB248" s="588" t="n"/>
      <c r="CC248" s="588" t="n"/>
      <c r="CD248" s="588" t="n"/>
      <c r="CE248" s="588" t="n"/>
      <c r="CF248" s="588" t="n"/>
      <c r="CG248" s="588" t="n"/>
      <c r="CH248" s="588" t="n"/>
      <c r="CI248" s="588" t="n"/>
      <c r="CJ248" s="588" t="n"/>
      <c r="CK248" s="588" t="n"/>
      <c r="CL248" s="588" t="n"/>
      <c r="CM248" s="588" t="n"/>
      <c r="CN248" s="588" t="n"/>
      <c r="CO248" s="588" t="n"/>
      <c r="CP248" s="588" t="n"/>
      <c r="CQ248" s="588" t="n"/>
      <c r="CR248" s="588" t="n"/>
      <c r="CS248" s="588" t="n"/>
      <c r="CT248" s="588" t="n"/>
      <c r="CU248" s="588" t="n"/>
      <c r="CV248" s="588" t="n"/>
      <c r="CW248" s="588" t="n"/>
      <c r="CX248" s="588" t="n"/>
      <c r="CY248" s="588" t="n"/>
      <c r="CZ248" s="588" t="n"/>
      <c r="DA248" s="588" t="n"/>
      <c r="DB248" s="588" t="n"/>
      <c r="DC248" s="588" t="n"/>
      <c r="DD248" s="588" t="n"/>
      <c r="DE248" s="588" t="n"/>
      <c r="DF248" s="588" t="n"/>
      <c r="DG248" s="588" t="n"/>
      <c r="DH248" s="588" t="n"/>
      <c r="DI248" s="588" t="n"/>
      <c r="DJ248" s="588" t="n"/>
      <c r="DK248" s="588" t="n"/>
      <c r="DL248" s="588" t="n"/>
      <c r="DM248" s="588" t="n"/>
      <c r="DN248" s="588" t="n"/>
      <c r="DO248" s="588" t="n"/>
      <c r="DP248" s="588" t="n"/>
      <c r="DQ248" s="588" t="n"/>
      <c r="DR248" s="588" t="n"/>
      <c r="DS248" s="588" t="n"/>
      <c r="DT248" s="588" t="n"/>
      <c r="DU248" s="588" t="n"/>
    </row>
    <row r="249" hidden="1" outlineLevel="2" ht="13.2" customHeight="1" s="450">
      <c r="A249" s="590" t="n"/>
      <c r="B249" s="701" t="inlineStr">
        <is>
          <t xml:space="preserve">Riel de proteccion </t>
        </is>
      </c>
      <c r="C249" s="702" t="n">
        <v>0.64</v>
      </c>
      <c r="D249" s="703" t="n">
        <v>1.2</v>
      </c>
      <c r="E249" s="151" t="n">
        <v>0.25</v>
      </c>
      <c r="F249" s="704">
        <f>(C249*D249)*1.25</f>
        <v/>
      </c>
      <c r="G249" s="705" t="n"/>
      <c r="H249" s="149" t="n"/>
      <c r="I249" s="149">
        <f>F249*G249</f>
        <v/>
      </c>
      <c r="J249" s="737" t="n"/>
      <c r="K249" s="737" t="n"/>
      <c r="L249" s="737" t="n"/>
      <c r="M249" s="737" t="n"/>
      <c r="N249" s="737" t="n"/>
      <c r="O249" s="737" t="n"/>
      <c r="P249" s="737" t="n"/>
      <c r="Q249" s="737" t="n"/>
      <c r="R249" s="737" t="n"/>
      <c r="S249" s="737" t="n"/>
      <c r="T249" s="737" t="n"/>
      <c r="U249" s="588" t="n"/>
      <c r="V249" s="588" t="n"/>
      <c r="W249" s="588" t="n"/>
      <c r="X249" s="588" t="n"/>
      <c r="Z249" s="588" t="n"/>
      <c r="AA249" s="588" t="n"/>
      <c r="AB249" s="588" t="n"/>
      <c r="AC249" s="588" t="n"/>
      <c r="AD249" s="588" t="n"/>
      <c r="AE249" s="588" t="n"/>
      <c r="AF249" s="588" t="n"/>
      <c r="AG249" s="588" t="n"/>
      <c r="AH249" s="588" t="n"/>
      <c r="AI249" s="588" t="n"/>
      <c r="AJ249" s="588" t="n"/>
      <c r="AK249" s="588" t="n"/>
      <c r="AL249" s="588" t="n"/>
      <c r="AM249" s="588" t="n"/>
      <c r="AN249" s="588" t="n"/>
      <c r="AO249" s="588" t="n"/>
      <c r="AP249" s="588" t="n"/>
      <c r="AQ249" s="588" t="n"/>
      <c r="AR249" s="588" t="n"/>
      <c r="AS249" s="588" t="n"/>
      <c r="AT249" s="588" t="n"/>
      <c r="AU249" s="588" t="n"/>
      <c r="AV249" s="588" t="n"/>
      <c r="AW249" s="588" t="n"/>
      <c r="AX249" s="588" t="n"/>
      <c r="AY249" s="588" t="n"/>
      <c r="AZ249" s="588" t="n"/>
      <c r="BA249" s="588" t="n"/>
      <c r="BB249" s="588" t="n"/>
      <c r="BC249" s="588" t="n"/>
      <c r="BD249" s="588" t="n"/>
      <c r="BE249" s="588" t="n"/>
      <c r="BF249" s="588" t="n"/>
      <c r="BG249" s="588" t="n"/>
      <c r="BH249" s="588" t="n"/>
      <c r="BI249" s="588" t="n"/>
      <c r="BJ249" s="588" t="n"/>
      <c r="BK249" s="588" t="n"/>
      <c r="BL249" s="588" t="n"/>
      <c r="BM249" s="588" t="n"/>
      <c r="BN249" s="588" t="n"/>
      <c r="BO249" s="588" t="n"/>
      <c r="BP249" s="588" t="n"/>
      <c r="BQ249" s="588" t="n"/>
      <c r="BR249" s="588" t="n"/>
      <c r="BS249" s="588" t="n"/>
      <c r="BT249" s="588" t="n"/>
      <c r="BU249" s="588" t="n"/>
      <c r="BV249" s="588" t="n"/>
      <c r="BW249" s="588" t="n"/>
      <c r="BX249" s="588" t="n"/>
      <c r="BY249" s="588" t="n"/>
      <c r="BZ249" s="588" t="n"/>
      <c r="CA249" s="588" t="n"/>
      <c r="CB249" s="588" t="n"/>
      <c r="CC249" s="588" t="n"/>
      <c r="CD249" s="588" t="n"/>
      <c r="CE249" s="588" t="n"/>
      <c r="CF249" s="588" t="n"/>
      <c r="CG249" s="588" t="n"/>
      <c r="CH249" s="588" t="n"/>
      <c r="CI249" s="588" t="n"/>
      <c r="CJ249" s="588" t="n"/>
      <c r="CK249" s="588" t="n"/>
      <c r="CL249" s="588" t="n"/>
      <c r="CM249" s="588" t="n"/>
      <c r="CN249" s="588" t="n"/>
      <c r="CO249" s="588" t="n"/>
      <c r="CP249" s="588" t="n"/>
      <c r="CQ249" s="588" t="n"/>
      <c r="CR249" s="588" t="n"/>
      <c r="CS249" s="588" t="n"/>
      <c r="CT249" s="588" t="n"/>
      <c r="CU249" s="588" t="n"/>
      <c r="CV249" s="588" t="n"/>
      <c r="CW249" s="588" t="n"/>
      <c r="CX249" s="588" t="n"/>
      <c r="CY249" s="588" t="n"/>
      <c r="CZ249" s="588" t="n"/>
      <c r="DA249" s="588" t="n"/>
      <c r="DB249" s="588" t="n"/>
      <c r="DC249" s="588" t="n"/>
      <c r="DD249" s="588" t="n"/>
      <c r="DE249" s="588" t="n"/>
      <c r="DF249" s="588" t="n"/>
      <c r="DG249" s="588" t="n"/>
      <c r="DH249" s="588" t="n"/>
      <c r="DI249" s="588" t="n"/>
      <c r="DJ249" s="588" t="n"/>
      <c r="DK249" s="588" t="n"/>
      <c r="DL249" s="588" t="n"/>
      <c r="DM249" s="588" t="n"/>
      <c r="DN249" s="588" t="n"/>
      <c r="DO249" s="588" t="n"/>
      <c r="DP249" s="588" t="n"/>
      <c r="DQ249" s="588" t="n"/>
      <c r="DR249" s="588" t="n"/>
      <c r="DS249" s="588" t="n"/>
      <c r="DT249" s="588" t="n"/>
      <c r="DU249" s="588" t="n"/>
    </row>
    <row r="250" hidden="1" outlineLevel="2" ht="13.2" customHeight="1" s="450">
      <c r="A250" s="590" t="n"/>
      <c r="B250" s="711" t="inlineStr">
        <is>
          <t>Boveda de Concreto</t>
        </is>
      </c>
      <c r="C250" s="714" t="n">
        <v>0.12</v>
      </c>
      <c r="D250" s="713" t="n">
        <v>0.25</v>
      </c>
      <c r="E250" s="161" t="n">
        <v>0.25</v>
      </c>
      <c r="F250" s="704">
        <f>(C250*D250)*1.25</f>
        <v/>
      </c>
      <c r="G250" s="715" t="n"/>
      <c r="H250" s="149" t="n"/>
      <c r="I250" s="149">
        <f>F250*G250</f>
        <v/>
      </c>
      <c r="J250" s="737" t="n"/>
      <c r="K250" s="737" t="n"/>
      <c r="L250" s="737" t="n"/>
      <c r="M250" s="737" t="n"/>
      <c r="N250" s="737" t="n"/>
      <c r="O250" s="737" t="n"/>
      <c r="P250" s="737" t="n"/>
      <c r="Q250" s="737" t="n"/>
      <c r="R250" s="737" t="n"/>
      <c r="S250" s="737" t="n"/>
      <c r="T250" s="737" t="n"/>
      <c r="U250" s="588" t="n"/>
      <c r="V250" s="588" t="n"/>
      <c r="W250" s="588" t="n"/>
      <c r="X250" s="588" t="n"/>
      <c r="Z250" s="588" t="n"/>
      <c r="AA250" s="588" t="n"/>
      <c r="AB250" s="588" t="n"/>
      <c r="AC250" s="588" t="n"/>
      <c r="AD250" s="588" t="n"/>
      <c r="AE250" s="588" t="n"/>
      <c r="AF250" s="588" t="n"/>
      <c r="AG250" s="588" t="n"/>
      <c r="AH250" s="588" t="n"/>
      <c r="AI250" s="588" t="n"/>
      <c r="AJ250" s="588" t="n"/>
      <c r="AK250" s="588" t="n"/>
      <c r="AL250" s="588" t="n"/>
      <c r="AM250" s="588" t="n"/>
      <c r="AN250" s="588" t="n"/>
      <c r="AO250" s="588" t="n"/>
      <c r="AP250" s="588" t="n"/>
      <c r="AQ250" s="588" t="n"/>
      <c r="AR250" s="588" t="n"/>
      <c r="AS250" s="588" t="n"/>
      <c r="AT250" s="588" t="n"/>
      <c r="AU250" s="588" t="n"/>
      <c r="AV250" s="588" t="n"/>
      <c r="AW250" s="588" t="n"/>
      <c r="AX250" s="588" t="n"/>
      <c r="AY250" s="588" t="n"/>
      <c r="AZ250" s="588" t="n"/>
      <c r="BA250" s="588" t="n"/>
      <c r="BB250" s="588" t="n"/>
      <c r="BC250" s="588" t="n"/>
      <c r="BD250" s="588" t="n"/>
      <c r="BE250" s="588" t="n"/>
      <c r="BF250" s="588" t="n"/>
      <c r="BG250" s="588" t="n"/>
      <c r="BH250" s="588" t="n"/>
      <c r="BI250" s="588" t="n"/>
      <c r="BJ250" s="588" t="n"/>
      <c r="BK250" s="588" t="n"/>
      <c r="BL250" s="588" t="n"/>
      <c r="BM250" s="588" t="n"/>
      <c r="BN250" s="588" t="n"/>
      <c r="BO250" s="588" t="n"/>
      <c r="BP250" s="588" t="n"/>
      <c r="BQ250" s="588" t="n"/>
      <c r="BR250" s="588" t="n"/>
      <c r="BS250" s="588" t="n"/>
      <c r="BT250" s="588" t="n"/>
      <c r="BU250" s="588" t="n"/>
      <c r="BV250" s="588" t="n"/>
      <c r="BW250" s="588" t="n"/>
      <c r="BX250" s="588" t="n"/>
      <c r="BY250" s="588" t="n"/>
      <c r="BZ250" s="588" t="n"/>
      <c r="CA250" s="588" t="n"/>
      <c r="CB250" s="588" t="n"/>
      <c r="CC250" s="588" t="n"/>
      <c r="CD250" s="588" t="n"/>
      <c r="CE250" s="588" t="n"/>
      <c r="CF250" s="588" t="n"/>
      <c r="CG250" s="588" t="n"/>
      <c r="CH250" s="588" t="n"/>
      <c r="CI250" s="588" t="n"/>
      <c r="CJ250" s="588" t="n"/>
      <c r="CK250" s="588" t="n"/>
      <c r="CL250" s="588" t="n"/>
      <c r="CM250" s="588" t="n"/>
      <c r="CN250" s="588" t="n"/>
      <c r="CO250" s="588" t="n"/>
      <c r="CP250" s="588" t="n"/>
      <c r="CQ250" s="588" t="n"/>
      <c r="CR250" s="588" t="n"/>
      <c r="CS250" s="588" t="n"/>
      <c r="CT250" s="588" t="n"/>
      <c r="CU250" s="588" t="n"/>
      <c r="CV250" s="588" t="n"/>
      <c r="CW250" s="588" t="n"/>
      <c r="CX250" s="588" t="n"/>
      <c r="CY250" s="588" t="n"/>
      <c r="CZ250" s="588" t="n"/>
      <c r="DA250" s="588" t="n"/>
      <c r="DB250" s="588" t="n"/>
      <c r="DC250" s="588" t="n"/>
      <c r="DD250" s="588" t="n"/>
      <c r="DE250" s="588" t="n"/>
      <c r="DF250" s="588" t="n"/>
      <c r="DG250" s="588" t="n"/>
      <c r="DH250" s="588" t="n"/>
      <c r="DI250" s="588" t="n"/>
      <c r="DJ250" s="588" t="n"/>
      <c r="DK250" s="588" t="n"/>
      <c r="DL250" s="588" t="n"/>
      <c r="DM250" s="588" t="n"/>
      <c r="DN250" s="588" t="n"/>
      <c r="DO250" s="588" t="n"/>
      <c r="DP250" s="588" t="n"/>
      <c r="DQ250" s="588" t="n"/>
      <c r="DR250" s="588" t="n"/>
      <c r="DS250" s="588" t="n"/>
      <c r="DT250" s="588" t="n"/>
      <c r="DU250" s="588" t="n"/>
    </row>
    <row r="251" hidden="1" outlineLevel="2" ht="13.8" customHeight="1" s="450" thickBot="1">
      <c r="A251" s="590" t="n"/>
      <c r="B251" s="711" t="inlineStr">
        <is>
          <t>Pozo atierra horizontal</t>
        </is>
      </c>
      <c r="C251" s="714">
        <f>0.5*3</f>
        <v/>
      </c>
      <c r="D251" s="713" t="n">
        <v>0.5</v>
      </c>
      <c r="E251" s="161" t="n">
        <v>0.25</v>
      </c>
      <c r="F251" s="716">
        <f>(C251*D251)*1.25</f>
        <v/>
      </c>
      <c r="G251" s="715" t="n"/>
      <c r="H251" s="164" t="n"/>
      <c r="I251" s="164">
        <f>F251*G251</f>
        <v/>
      </c>
      <c r="J251" s="737" t="n"/>
      <c r="K251" s="737" t="n"/>
      <c r="L251" s="737" t="n"/>
      <c r="M251" s="737" t="n"/>
      <c r="N251" s="737" t="n"/>
      <c r="O251" s="737" t="n"/>
      <c r="P251" s="737" t="n"/>
      <c r="Q251" s="737" t="n"/>
      <c r="R251" s="737" t="n"/>
      <c r="S251" s="737" t="n"/>
      <c r="T251" s="737" t="n"/>
      <c r="U251" s="588" t="n"/>
      <c r="V251" s="588" t="n"/>
      <c r="W251" s="588" t="n"/>
      <c r="X251" s="588" t="n"/>
      <c r="Z251" s="588" t="n"/>
      <c r="AA251" s="588" t="n"/>
      <c r="AB251" s="588" t="n"/>
      <c r="AC251" s="588" t="n"/>
      <c r="AD251" s="588" t="n"/>
      <c r="AE251" s="588" t="n"/>
      <c r="AF251" s="588" t="n"/>
      <c r="AG251" s="588" t="n"/>
      <c r="AH251" s="588" t="n"/>
      <c r="AI251" s="588" t="n"/>
      <c r="AJ251" s="588" t="n"/>
      <c r="AK251" s="588" t="n"/>
      <c r="AL251" s="588" t="n"/>
      <c r="AM251" s="588" t="n"/>
      <c r="AN251" s="588" t="n"/>
      <c r="AO251" s="588" t="n"/>
      <c r="AP251" s="588" t="n"/>
      <c r="AQ251" s="588" t="n"/>
      <c r="AR251" s="588" t="n"/>
      <c r="AS251" s="588" t="n"/>
      <c r="AT251" s="588" t="n"/>
      <c r="AU251" s="588" t="n"/>
      <c r="AV251" s="588" t="n"/>
      <c r="AW251" s="588" t="n"/>
      <c r="AX251" s="588" t="n"/>
      <c r="AY251" s="588" t="n"/>
      <c r="AZ251" s="588" t="n"/>
      <c r="BA251" s="588" t="n"/>
      <c r="BB251" s="588" t="n"/>
      <c r="BC251" s="588" t="n"/>
      <c r="BD251" s="588" t="n"/>
      <c r="BE251" s="588" t="n"/>
      <c r="BF251" s="588" t="n"/>
      <c r="BG251" s="588" t="n"/>
      <c r="BH251" s="588" t="n"/>
      <c r="BI251" s="588" t="n"/>
      <c r="BJ251" s="588" t="n"/>
      <c r="BK251" s="588" t="n"/>
      <c r="BL251" s="588" t="n"/>
      <c r="BM251" s="588" t="n"/>
      <c r="BN251" s="588" t="n"/>
      <c r="BO251" s="588" t="n"/>
      <c r="BP251" s="588" t="n"/>
      <c r="BQ251" s="588" t="n"/>
      <c r="BR251" s="588" t="n"/>
      <c r="BS251" s="588" t="n"/>
      <c r="BT251" s="588" t="n"/>
      <c r="BU251" s="588" t="n"/>
      <c r="BV251" s="588" t="n"/>
      <c r="BW251" s="588" t="n"/>
      <c r="BX251" s="588" t="n"/>
      <c r="BY251" s="588" t="n"/>
      <c r="BZ251" s="588" t="n"/>
      <c r="CA251" s="588" t="n"/>
      <c r="CB251" s="588" t="n"/>
      <c r="CC251" s="588" t="n"/>
      <c r="CD251" s="588" t="n"/>
      <c r="CE251" s="588" t="n"/>
      <c r="CF251" s="588" t="n"/>
      <c r="CG251" s="588" t="n"/>
      <c r="CH251" s="588" t="n"/>
      <c r="CI251" s="588" t="n"/>
      <c r="CJ251" s="588" t="n"/>
      <c r="CK251" s="588" t="n"/>
      <c r="CL251" s="588" t="n"/>
      <c r="CM251" s="588" t="n"/>
      <c r="CN251" s="588" t="n"/>
      <c r="CO251" s="588" t="n"/>
      <c r="CP251" s="588" t="n"/>
      <c r="CQ251" s="588" t="n"/>
      <c r="CR251" s="588" t="n"/>
      <c r="CS251" s="588" t="n"/>
      <c r="CT251" s="588" t="n"/>
      <c r="CU251" s="588" t="n"/>
      <c r="CV251" s="588" t="n"/>
      <c r="CW251" s="588" t="n"/>
      <c r="CX251" s="588" t="n"/>
      <c r="CY251" s="588" t="n"/>
      <c r="CZ251" s="588" t="n"/>
      <c r="DA251" s="588" t="n"/>
      <c r="DB251" s="588" t="n"/>
      <c r="DC251" s="588" t="n"/>
      <c r="DD251" s="588" t="n"/>
      <c r="DE251" s="588" t="n"/>
      <c r="DF251" s="588" t="n"/>
      <c r="DG251" s="588" t="n"/>
      <c r="DH251" s="588" t="n"/>
      <c r="DI251" s="588" t="n"/>
      <c r="DJ251" s="588" t="n"/>
      <c r="DK251" s="588" t="n"/>
      <c r="DL251" s="588" t="n"/>
      <c r="DM251" s="588" t="n"/>
      <c r="DN251" s="588" t="n"/>
      <c r="DO251" s="588" t="n"/>
      <c r="DP251" s="588" t="n"/>
      <c r="DQ251" s="588" t="n"/>
      <c r="DR251" s="588" t="n"/>
      <c r="DS251" s="588" t="n"/>
      <c r="DT251" s="588" t="n"/>
      <c r="DU251" s="588" t="n"/>
    </row>
    <row r="252" collapsed="1" ht="13.8" customHeight="1" s="450" thickBot="1">
      <c r="A252" s="590" t="n"/>
      <c r="B252" s="717" t="n"/>
      <c r="C252" s="718" t="n"/>
      <c r="D252" s="718" t="n"/>
      <c r="E252" s="718" t="n"/>
      <c r="F252" s="718" t="n"/>
      <c r="G252" s="719" t="inlineStr">
        <is>
          <t>TOTAL</t>
        </is>
      </c>
      <c r="H252" s="720">
        <f>SUM(H224:H251)</f>
        <v/>
      </c>
      <c r="I252" s="139">
        <f>SUM(I223:I251)</f>
        <v/>
      </c>
      <c r="J252" s="737" t="n"/>
      <c r="K252" s="737" t="n"/>
      <c r="L252" s="737" t="n"/>
      <c r="M252" s="737" t="n"/>
      <c r="N252" s="737" t="n"/>
      <c r="O252" s="737" t="n"/>
      <c r="P252" s="737" t="n"/>
      <c r="Q252" s="737" t="n"/>
      <c r="R252" s="737" t="n"/>
      <c r="S252" s="737" t="n"/>
      <c r="T252" s="737" t="n"/>
      <c r="U252" s="588" t="n"/>
      <c r="V252" s="588" t="n"/>
      <c r="W252" s="588" t="n"/>
      <c r="X252" s="588" t="n"/>
      <c r="Z252" s="588" t="n"/>
      <c r="AA252" s="588" t="n"/>
      <c r="AB252" s="588" t="n"/>
      <c r="AC252" s="588" t="n"/>
      <c r="AD252" s="588" t="n"/>
      <c r="AE252" s="588" t="n"/>
      <c r="AF252" s="588" t="n"/>
      <c r="AG252" s="588" t="n"/>
      <c r="AH252" s="588" t="n"/>
      <c r="AI252" s="588" t="n"/>
      <c r="AJ252" s="588" t="n"/>
      <c r="AK252" s="588" t="n"/>
      <c r="AL252" s="588" t="n"/>
      <c r="AM252" s="588" t="n"/>
      <c r="AN252" s="588" t="n"/>
      <c r="AO252" s="588" t="n"/>
      <c r="AP252" s="588" t="n"/>
      <c r="AQ252" s="588" t="n"/>
      <c r="AR252" s="588" t="n"/>
      <c r="AS252" s="588" t="n"/>
      <c r="AT252" s="588" t="n"/>
      <c r="AU252" s="588" t="n"/>
      <c r="AV252" s="588" t="n"/>
      <c r="AW252" s="588" t="n"/>
      <c r="AX252" s="588" t="n"/>
      <c r="AY252" s="588" t="n"/>
      <c r="AZ252" s="588" t="n"/>
      <c r="BA252" s="588" t="n"/>
      <c r="BB252" s="588" t="n"/>
      <c r="BC252" s="588" t="n"/>
      <c r="BD252" s="588" t="n"/>
      <c r="BE252" s="588" t="n"/>
      <c r="BF252" s="588" t="n"/>
      <c r="BG252" s="588" t="n"/>
      <c r="BH252" s="588" t="n"/>
      <c r="BI252" s="588" t="n"/>
      <c r="BJ252" s="588" t="n"/>
      <c r="BK252" s="588" t="n"/>
      <c r="BL252" s="588" t="n"/>
      <c r="BM252" s="588" t="n"/>
      <c r="BN252" s="588" t="n"/>
      <c r="BO252" s="588" t="n"/>
      <c r="BP252" s="588" t="n"/>
      <c r="BQ252" s="588" t="n"/>
      <c r="BR252" s="588" t="n"/>
      <c r="BS252" s="588" t="n"/>
      <c r="BT252" s="588" t="n"/>
      <c r="BU252" s="588" t="n"/>
      <c r="BV252" s="588" t="n"/>
      <c r="BW252" s="588" t="n"/>
      <c r="BX252" s="588" t="n"/>
      <c r="BY252" s="588" t="n"/>
      <c r="BZ252" s="588" t="n"/>
      <c r="CA252" s="588" t="n"/>
      <c r="CB252" s="588" t="n"/>
      <c r="CC252" s="588" t="n"/>
      <c r="CD252" s="588" t="n"/>
      <c r="CE252" s="588" t="n"/>
      <c r="CF252" s="588" t="n"/>
      <c r="CG252" s="588" t="n"/>
      <c r="CH252" s="588" t="n"/>
      <c r="CI252" s="588" t="n"/>
      <c r="CJ252" s="588" t="n"/>
      <c r="CK252" s="588" t="n"/>
      <c r="CL252" s="588" t="n"/>
      <c r="CM252" s="588" t="n"/>
      <c r="CN252" s="588" t="n"/>
      <c r="CO252" s="588" t="n"/>
      <c r="CP252" s="588" t="n"/>
      <c r="CQ252" s="588" t="n"/>
      <c r="CR252" s="588" t="n"/>
      <c r="CS252" s="588" t="n"/>
      <c r="CT252" s="588" t="n"/>
      <c r="CU252" s="588" t="n"/>
      <c r="CV252" s="588" t="n"/>
      <c r="CW252" s="588" t="n"/>
      <c r="CX252" s="588" t="n"/>
      <c r="CY252" s="588" t="n"/>
      <c r="CZ252" s="588" t="n"/>
      <c r="DA252" s="588" t="n"/>
      <c r="DB252" s="588" t="n"/>
      <c r="DC252" s="588" t="n"/>
      <c r="DD252" s="588" t="n"/>
      <c r="DE252" s="588" t="n"/>
      <c r="DF252" s="588" t="n"/>
      <c r="DG252" s="588" t="n"/>
      <c r="DH252" s="588" t="n"/>
      <c r="DI252" s="588" t="n"/>
      <c r="DJ252" s="588" t="n"/>
      <c r="DK252" s="588" t="n"/>
      <c r="DL252" s="588" t="n"/>
      <c r="DM252" s="588" t="n"/>
      <c r="DN252" s="588" t="n"/>
      <c r="DO252" s="588" t="n"/>
      <c r="DP252" s="588" t="n"/>
      <c r="DQ252" s="588" t="n"/>
      <c r="DR252" s="588" t="n"/>
      <c r="DS252" s="588" t="n"/>
      <c r="DT252" s="588" t="n"/>
      <c r="DU252" s="588" t="n"/>
    </row>
    <row r="253">
      <c r="A253" s="737" t="n"/>
      <c r="B253" s="737" t="n"/>
      <c r="C253" s="737" t="n"/>
      <c r="D253" s="737" t="n"/>
      <c r="E253" s="737" t="n"/>
      <c r="F253" s="737" t="n"/>
      <c r="G253" s="737" t="n"/>
      <c r="H253" s="737" t="n"/>
      <c r="I253" s="737" t="n"/>
      <c r="J253" s="737" t="n"/>
      <c r="K253" s="737" t="n"/>
      <c r="L253" s="737" t="n"/>
      <c r="M253" s="737" t="n"/>
      <c r="N253" s="737" t="n"/>
      <c r="O253" s="737" t="n"/>
      <c r="P253" s="737" t="n"/>
      <c r="Q253" s="737" t="n"/>
      <c r="R253" s="737" t="n"/>
      <c r="S253" s="737" t="n"/>
      <c r="T253" s="737" t="n"/>
      <c r="U253" s="588" t="n"/>
      <c r="V253" s="588" t="n"/>
      <c r="W253" s="588" t="n"/>
      <c r="X253" s="588" t="n"/>
      <c r="Z253" s="588" t="n"/>
      <c r="AA253" s="588" t="n"/>
      <c r="AB253" s="588" t="n"/>
      <c r="AC253" s="588" t="n"/>
      <c r="AD253" s="588" t="n"/>
      <c r="AE253" s="588" t="n"/>
      <c r="AF253" s="588" t="n"/>
      <c r="AG253" s="588" t="n"/>
      <c r="AH253" s="588" t="n"/>
      <c r="AI253" s="588" t="n"/>
      <c r="AJ253" s="588" t="n"/>
      <c r="AK253" s="588" t="n"/>
      <c r="AL253" s="588" t="n"/>
      <c r="AM253" s="588" t="n"/>
      <c r="AN253" s="588" t="n"/>
      <c r="AO253" s="588" t="n"/>
      <c r="AP253" s="588" t="n"/>
      <c r="AQ253" s="588" t="n"/>
      <c r="AR253" s="588" t="n"/>
      <c r="AS253" s="588" t="n"/>
      <c r="AT253" s="588" t="n"/>
      <c r="AU253" s="588" t="n"/>
      <c r="AV253" s="588" t="n"/>
      <c r="AW253" s="588" t="n"/>
      <c r="AX253" s="588" t="n"/>
      <c r="AY253" s="588" t="n"/>
      <c r="AZ253" s="588" t="n"/>
      <c r="BA253" s="588" t="n"/>
      <c r="BB253" s="588" t="n"/>
      <c r="BC253" s="588" t="n"/>
      <c r="BD253" s="588" t="n"/>
      <c r="BE253" s="588" t="n"/>
      <c r="BF253" s="588" t="n"/>
      <c r="BG253" s="588" t="n"/>
      <c r="BH253" s="588" t="n"/>
      <c r="BI253" s="588" t="n"/>
      <c r="BJ253" s="588" t="n"/>
      <c r="BK253" s="588" t="n"/>
      <c r="BL253" s="588" t="n"/>
      <c r="BM253" s="588" t="n"/>
      <c r="BN253" s="588" t="n"/>
      <c r="BO253" s="588" t="n"/>
      <c r="BP253" s="588" t="n"/>
      <c r="BQ253" s="588" t="n"/>
      <c r="BR253" s="588" t="n"/>
      <c r="BS253" s="588" t="n"/>
      <c r="BT253" s="588" t="n"/>
      <c r="BU253" s="588" t="n"/>
      <c r="BV253" s="588" t="n"/>
      <c r="BW253" s="588" t="n"/>
      <c r="BX253" s="588" t="n"/>
      <c r="BY253" s="588" t="n"/>
      <c r="BZ253" s="588" t="n"/>
      <c r="CA253" s="588" t="n"/>
      <c r="CB253" s="588" t="n"/>
      <c r="CC253" s="588" t="n"/>
      <c r="CD253" s="588" t="n"/>
      <c r="CE253" s="588" t="n"/>
      <c r="CF253" s="588" t="n"/>
      <c r="CG253" s="588" t="n"/>
      <c r="CH253" s="588" t="n"/>
      <c r="CI253" s="588" t="n"/>
      <c r="CJ253" s="588" t="n"/>
      <c r="CK253" s="588" t="n"/>
      <c r="CL253" s="588" t="n"/>
      <c r="CM253" s="588" t="n"/>
      <c r="CN253" s="588" t="n"/>
      <c r="CO253" s="588" t="n"/>
      <c r="CP253" s="588" t="n"/>
      <c r="CQ253" s="588" t="n"/>
      <c r="CR253" s="588" t="n"/>
      <c r="CS253" s="588" t="n"/>
      <c r="CT253" s="588" t="n"/>
      <c r="CU253" s="588" t="n"/>
      <c r="CV253" s="588" t="n"/>
      <c r="CW253" s="588" t="n"/>
      <c r="CX253" s="588" t="n"/>
      <c r="CY253" s="588" t="n"/>
      <c r="CZ253" s="588" t="n"/>
      <c r="DA253" s="588" t="n"/>
      <c r="DB253" s="588" t="n"/>
      <c r="DC253" s="588" t="n"/>
      <c r="DD253" s="588" t="n"/>
      <c r="DE253" s="588" t="n"/>
      <c r="DF253" s="588" t="n"/>
      <c r="DG253" s="588" t="n"/>
      <c r="DH253" s="588" t="n"/>
      <c r="DI253" s="588" t="n"/>
      <c r="DJ253" s="588" t="n"/>
      <c r="DK253" s="588" t="n"/>
      <c r="DL253" s="588" t="n"/>
      <c r="DM253" s="588" t="n"/>
      <c r="DN253" s="588" t="n"/>
      <c r="DO253" s="588" t="n"/>
      <c r="DP253" s="588" t="n"/>
      <c r="DQ253" s="588" t="n"/>
      <c r="DR253" s="588" t="n"/>
      <c r="DS253" s="588" t="n"/>
      <c r="DT253" s="588" t="n"/>
      <c r="DU253" s="588" t="n"/>
    </row>
    <row r="254">
      <c r="A254" s="737" t="n"/>
      <c r="B254" s="737" t="n"/>
      <c r="C254" s="737" t="n"/>
      <c r="D254" s="737" t="n"/>
      <c r="E254" s="737" t="n"/>
      <c r="F254" s="737" t="n"/>
      <c r="G254" s="737" t="n"/>
      <c r="H254" s="737" t="n"/>
      <c r="I254" s="737" t="n"/>
      <c r="J254" s="737" t="n"/>
      <c r="K254" s="737" t="n"/>
      <c r="L254" s="737" t="n"/>
      <c r="M254" s="737" t="n"/>
      <c r="N254" s="737" t="n"/>
      <c r="O254" s="737" t="n"/>
      <c r="P254" s="737" t="n"/>
      <c r="Q254" s="737" t="n"/>
      <c r="R254" s="737" t="n"/>
      <c r="S254" s="737" t="n"/>
      <c r="T254" s="737" t="n"/>
      <c r="U254" s="588" t="n"/>
      <c r="V254" s="588" t="n"/>
      <c r="W254" s="588" t="n"/>
      <c r="X254" s="588" t="n"/>
      <c r="Z254" s="588" t="n"/>
      <c r="AA254" s="588" t="n"/>
      <c r="AB254" s="588" t="n"/>
      <c r="AC254" s="588" t="n"/>
      <c r="AD254" s="588" t="n"/>
      <c r="AE254" s="588" t="n"/>
      <c r="AF254" s="588" t="n"/>
      <c r="AG254" s="588" t="n"/>
      <c r="AH254" s="588" t="n"/>
      <c r="AI254" s="588" t="n"/>
      <c r="AJ254" s="588" t="n"/>
      <c r="AK254" s="588" t="n"/>
      <c r="AL254" s="588" t="n"/>
      <c r="AM254" s="588" t="n"/>
      <c r="AN254" s="588" t="n"/>
      <c r="AO254" s="588" t="n"/>
      <c r="AP254" s="588" t="n"/>
      <c r="AQ254" s="588" t="n"/>
      <c r="AR254" s="588" t="n"/>
      <c r="AS254" s="588" t="n"/>
      <c r="AT254" s="588" t="n"/>
      <c r="AU254" s="588" t="n"/>
      <c r="AV254" s="588" t="n"/>
      <c r="AW254" s="588" t="n"/>
      <c r="AX254" s="588" t="n"/>
      <c r="AY254" s="588" t="n"/>
      <c r="AZ254" s="588" t="n"/>
      <c r="BA254" s="588" t="n"/>
      <c r="BB254" s="588" t="n"/>
      <c r="BC254" s="588" t="n"/>
      <c r="BD254" s="588" t="n"/>
      <c r="BE254" s="588" t="n"/>
      <c r="BF254" s="588" t="n"/>
      <c r="BG254" s="588" t="n"/>
      <c r="BH254" s="588" t="n"/>
      <c r="BI254" s="588" t="n"/>
      <c r="BJ254" s="588" t="n"/>
      <c r="BK254" s="588" t="n"/>
      <c r="BL254" s="588" t="n"/>
      <c r="BM254" s="588" t="n"/>
      <c r="BN254" s="588" t="n"/>
      <c r="BO254" s="588" t="n"/>
      <c r="BP254" s="588" t="n"/>
      <c r="BQ254" s="588" t="n"/>
      <c r="BR254" s="588" t="n"/>
      <c r="BS254" s="588" t="n"/>
      <c r="BT254" s="588" t="n"/>
      <c r="BU254" s="588" t="n"/>
      <c r="BV254" s="588" t="n"/>
      <c r="BW254" s="588" t="n"/>
      <c r="BX254" s="588" t="n"/>
      <c r="BY254" s="588" t="n"/>
      <c r="BZ254" s="588" t="n"/>
      <c r="CA254" s="588" t="n"/>
      <c r="CB254" s="588" t="n"/>
      <c r="CC254" s="588" t="n"/>
      <c r="CD254" s="588" t="n"/>
      <c r="CE254" s="588" t="n"/>
      <c r="CF254" s="588" t="n"/>
      <c r="CG254" s="588" t="n"/>
      <c r="CH254" s="588" t="n"/>
      <c r="CI254" s="588" t="n"/>
      <c r="CJ254" s="588" t="n"/>
      <c r="CK254" s="588" t="n"/>
      <c r="CL254" s="588" t="n"/>
      <c r="CM254" s="588" t="n"/>
      <c r="CN254" s="588" t="n"/>
      <c r="CO254" s="588" t="n"/>
      <c r="CP254" s="588" t="n"/>
      <c r="CQ254" s="588" t="n"/>
      <c r="CR254" s="588" t="n"/>
      <c r="CS254" s="588" t="n"/>
      <c r="CT254" s="588" t="n"/>
      <c r="CU254" s="588" t="n"/>
      <c r="CV254" s="588" t="n"/>
      <c r="CW254" s="588" t="n"/>
      <c r="CX254" s="588" t="n"/>
      <c r="CY254" s="588" t="n"/>
      <c r="CZ254" s="588" t="n"/>
      <c r="DA254" s="588" t="n"/>
      <c r="DB254" s="588" t="n"/>
      <c r="DC254" s="588" t="n"/>
      <c r="DD254" s="588" t="n"/>
      <c r="DE254" s="588" t="n"/>
      <c r="DF254" s="588" t="n"/>
      <c r="DG254" s="588" t="n"/>
      <c r="DH254" s="588" t="n"/>
      <c r="DI254" s="588" t="n"/>
      <c r="DJ254" s="588" t="n"/>
      <c r="DK254" s="588" t="n"/>
      <c r="DL254" s="588" t="n"/>
      <c r="DM254" s="588" t="n"/>
      <c r="DN254" s="588" t="n"/>
      <c r="DO254" s="588" t="n"/>
      <c r="DP254" s="588" t="n"/>
      <c r="DQ254" s="588" t="n"/>
      <c r="DR254" s="588" t="n"/>
      <c r="DS254" s="588" t="n"/>
      <c r="DT254" s="588" t="n"/>
      <c r="DU254" s="588" t="n"/>
    </row>
    <row r="255">
      <c r="A255" s="737" t="n"/>
      <c r="B255" s="737" t="n"/>
      <c r="C255" s="737" t="n"/>
      <c r="D255" s="737" t="n"/>
      <c r="E255" s="737" t="n"/>
      <c r="F255" s="737" t="n"/>
      <c r="G255" s="737" t="n"/>
      <c r="H255" s="737" t="n"/>
      <c r="I255" s="737" t="n"/>
      <c r="J255" s="737" t="n"/>
      <c r="K255" s="737" t="n"/>
      <c r="L255" s="737" t="n"/>
      <c r="M255" s="737" t="n"/>
      <c r="N255" s="737" t="n"/>
      <c r="O255" s="737" t="n"/>
      <c r="P255" s="737" t="n"/>
      <c r="Q255" s="737" t="n"/>
      <c r="R255" s="737" t="n"/>
      <c r="S255" s="737" t="n"/>
      <c r="T255" s="737" t="n"/>
      <c r="U255" s="588" t="n"/>
      <c r="V255" s="588" t="n"/>
      <c r="W255" s="588" t="n"/>
      <c r="X255" s="588" t="n"/>
      <c r="Z255" s="588" t="n"/>
      <c r="AA255" s="588" t="n"/>
      <c r="AB255" s="588" t="n"/>
      <c r="AC255" s="588" t="n"/>
      <c r="AD255" s="588" t="n"/>
      <c r="AE255" s="588" t="n"/>
      <c r="AF255" s="588" t="n"/>
      <c r="AG255" s="588" t="n"/>
      <c r="AH255" s="588" t="n"/>
      <c r="AI255" s="588" t="n"/>
      <c r="AJ255" s="588" t="n"/>
      <c r="AK255" s="588" t="n"/>
      <c r="AL255" s="588" t="n"/>
      <c r="AM255" s="588" t="n"/>
      <c r="AN255" s="588" t="n"/>
      <c r="AO255" s="588" t="n"/>
      <c r="AP255" s="588" t="n"/>
      <c r="AQ255" s="588" t="n"/>
      <c r="AR255" s="588" t="n"/>
      <c r="AS255" s="588" t="n"/>
      <c r="AT255" s="588" t="n"/>
      <c r="AU255" s="588" t="n"/>
      <c r="AV255" s="588" t="n"/>
      <c r="AW255" s="588" t="n"/>
      <c r="AX255" s="588" t="n"/>
      <c r="AY255" s="588" t="n"/>
      <c r="AZ255" s="588" t="n"/>
      <c r="BA255" s="588" t="n"/>
      <c r="BB255" s="588" t="n"/>
      <c r="BC255" s="588" t="n"/>
      <c r="BD255" s="588" t="n"/>
      <c r="BE255" s="588" t="n"/>
      <c r="BF255" s="588" t="n"/>
      <c r="BG255" s="588" t="n"/>
      <c r="BH255" s="588" t="n"/>
      <c r="BI255" s="588" t="n"/>
      <c r="BJ255" s="588" t="n"/>
      <c r="BK255" s="588" t="n"/>
      <c r="BL255" s="588" t="n"/>
      <c r="BM255" s="588" t="n"/>
      <c r="BN255" s="588" t="n"/>
      <c r="BO255" s="588" t="n"/>
      <c r="BP255" s="588" t="n"/>
      <c r="BQ255" s="588" t="n"/>
      <c r="BR255" s="588" t="n"/>
      <c r="BS255" s="588" t="n"/>
      <c r="BT255" s="588" t="n"/>
      <c r="BU255" s="588" t="n"/>
      <c r="BV255" s="588" t="n"/>
      <c r="BW255" s="588" t="n"/>
      <c r="BX255" s="588" t="n"/>
      <c r="BY255" s="588" t="n"/>
      <c r="BZ255" s="588" t="n"/>
      <c r="CA255" s="588" t="n"/>
      <c r="CB255" s="588" t="n"/>
      <c r="CC255" s="588" t="n"/>
      <c r="CD255" s="588" t="n"/>
      <c r="CE255" s="588" t="n"/>
      <c r="CF255" s="588" t="n"/>
      <c r="CG255" s="588" t="n"/>
      <c r="CH255" s="588" t="n"/>
      <c r="CI255" s="588" t="n"/>
      <c r="CJ255" s="588" t="n"/>
      <c r="CK255" s="588" t="n"/>
      <c r="CL255" s="588" t="n"/>
      <c r="CM255" s="588" t="n"/>
      <c r="CN255" s="588" t="n"/>
      <c r="CO255" s="588" t="n"/>
      <c r="CP255" s="588" t="n"/>
      <c r="CQ255" s="588" t="n"/>
      <c r="CR255" s="588" t="n"/>
      <c r="CS255" s="588" t="n"/>
      <c r="CT255" s="588" t="n"/>
      <c r="CU255" s="588" t="n"/>
      <c r="CV255" s="588" t="n"/>
      <c r="CW255" s="588" t="n"/>
      <c r="CX255" s="588" t="n"/>
      <c r="CY255" s="588" t="n"/>
      <c r="CZ255" s="588" t="n"/>
      <c r="DA255" s="588" t="n"/>
      <c r="DB255" s="588" t="n"/>
      <c r="DC255" s="588" t="n"/>
      <c r="DD255" s="588" t="n"/>
      <c r="DE255" s="588" t="n"/>
      <c r="DF255" s="588" t="n"/>
      <c r="DG255" s="588" t="n"/>
      <c r="DH255" s="588" t="n"/>
      <c r="DI255" s="588" t="n"/>
      <c r="DJ255" s="588" t="n"/>
      <c r="DK255" s="588" t="n"/>
      <c r="DL255" s="588" t="n"/>
      <c r="DM255" s="588" t="n"/>
      <c r="DN255" s="588" t="n"/>
      <c r="DO255" s="588" t="n"/>
      <c r="DP255" s="588" t="n"/>
      <c r="DQ255" s="588" t="n"/>
      <c r="DR255" s="588" t="n"/>
      <c r="DS255" s="588" t="n"/>
      <c r="DT255" s="588" t="n"/>
      <c r="DU255" s="588" t="n"/>
    </row>
    <row r="256">
      <c r="A256" s="737" t="n"/>
      <c r="B256" s="737" t="n"/>
      <c r="C256" s="737" t="n"/>
      <c r="D256" s="737" t="n"/>
      <c r="E256" s="737" t="n"/>
      <c r="F256" s="737" t="n"/>
      <c r="G256" s="737" t="n"/>
      <c r="H256" s="737" t="n"/>
      <c r="I256" s="737" t="n"/>
      <c r="J256" s="737" t="n"/>
      <c r="K256" s="737" t="n"/>
      <c r="L256" s="737" t="n"/>
      <c r="M256" s="737" t="n"/>
      <c r="N256" s="737" t="n"/>
      <c r="O256" s="737" t="n"/>
      <c r="P256" s="737" t="n"/>
      <c r="Q256" s="737" t="n"/>
      <c r="R256" s="737" t="n"/>
      <c r="S256" s="737" t="n"/>
      <c r="T256" s="737" t="n"/>
      <c r="U256" s="588" t="n"/>
      <c r="V256" s="588" t="n"/>
      <c r="W256" s="588" t="n"/>
      <c r="X256" s="588" t="n"/>
      <c r="Z256" s="588" t="n"/>
      <c r="AA256" s="588" t="n"/>
      <c r="AB256" s="588" t="n"/>
      <c r="AC256" s="588" t="n"/>
      <c r="AD256" s="588" t="n"/>
      <c r="AE256" s="588" t="n"/>
      <c r="AF256" s="588" t="n"/>
      <c r="AG256" s="588" t="n"/>
      <c r="AH256" s="588" t="n"/>
      <c r="AI256" s="588" t="n"/>
      <c r="AJ256" s="588" t="n"/>
      <c r="AK256" s="588" t="n"/>
      <c r="AL256" s="588" t="n"/>
      <c r="AM256" s="588" t="n"/>
      <c r="AN256" s="588" t="n"/>
      <c r="AO256" s="588" t="n"/>
      <c r="AP256" s="588" t="n"/>
      <c r="AQ256" s="588" t="n"/>
      <c r="AR256" s="588" t="n"/>
      <c r="AS256" s="588" t="n"/>
      <c r="AT256" s="588" t="n"/>
      <c r="AU256" s="588" t="n"/>
      <c r="AV256" s="588" t="n"/>
      <c r="AW256" s="588" t="n"/>
      <c r="AX256" s="588" t="n"/>
      <c r="AY256" s="588" t="n"/>
      <c r="AZ256" s="588" t="n"/>
      <c r="BA256" s="588" t="n"/>
      <c r="BB256" s="588" t="n"/>
      <c r="BC256" s="588" t="n"/>
      <c r="BD256" s="588" t="n"/>
      <c r="BE256" s="588" t="n"/>
      <c r="BF256" s="588" t="n"/>
      <c r="BG256" s="588" t="n"/>
      <c r="BH256" s="588" t="n"/>
      <c r="BI256" s="588" t="n"/>
      <c r="BJ256" s="588" t="n"/>
      <c r="BK256" s="588" t="n"/>
      <c r="BL256" s="588" t="n"/>
      <c r="BM256" s="588" t="n"/>
      <c r="BN256" s="588" t="n"/>
      <c r="BO256" s="588" t="n"/>
      <c r="BP256" s="588" t="n"/>
      <c r="BQ256" s="588" t="n"/>
      <c r="BR256" s="588" t="n"/>
      <c r="BS256" s="588" t="n"/>
      <c r="BT256" s="588" t="n"/>
      <c r="BU256" s="588" t="n"/>
      <c r="BV256" s="588" t="n"/>
      <c r="BW256" s="588" t="n"/>
      <c r="BX256" s="588" t="n"/>
      <c r="BY256" s="588" t="n"/>
      <c r="BZ256" s="588" t="n"/>
      <c r="CA256" s="588" t="n"/>
      <c r="CB256" s="588" t="n"/>
      <c r="CC256" s="588" t="n"/>
      <c r="CD256" s="588" t="n"/>
      <c r="CE256" s="588" t="n"/>
      <c r="CF256" s="588" t="n"/>
      <c r="CG256" s="588" t="n"/>
      <c r="CH256" s="588" t="n"/>
      <c r="CI256" s="588" t="n"/>
      <c r="CJ256" s="588" t="n"/>
      <c r="CK256" s="588" t="n"/>
      <c r="CL256" s="588" t="n"/>
      <c r="CM256" s="588" t="n"/>
      <c r="CN256" s="588" t="n"/>
      <c r="CO256" s="588" t="n"/>
      <c r="CP256" s="588" t="n"/>
      <c r="CQ256" s="588" t="n"/>
      <c r="CR256" s="588" t="n"/>
      <c r="CS256" s="588" t="n"/>
      <c r="CT256" s="588" t="n"/>
      <c r="CU256" s="588" t="n"/>
      <c r="CV256" s="588" t="n"/>
      <c r="CW256" s="588" t="n"/>
      <c r="CX256" s="588" t="n"/>
      <c r="CY256" s="588" t="n"/>
      <c r="CZ256" s="588" t="n"/>
      <c r="DA256" s="588" t="n"/>
      <c r="DB256" s="588" t="n"/>
      <c r="DC256" s="588" t="n"/>
      <c r="DD256" s="588" t="n"/>
      <c r="DE256" s="588" t="n"/>
      <c r="DF256" s="588" t="n"/>
      <c r="DG256" s="588" t="n"/>
      <c r="DH256" s="588" t="n"/>
      <c r="DI256" s="588" t="n"/>
      <c r="DJ256" s="588" t="n"/>
      <c r="DK256" s="588" t="n"/>
      <c r="DL256" s="588" t="n"/>
      <c r="DM256" s="588" t="n"/>
      <c r="DN256" s="588" t="n"/>
      <c r="DO256" s="588" t="n"/>
      <c r="DP256" s="588" t="n"/>
      <c r="DQ256" s="588" t="n"/>
      <c r="DR256" s="588" t="n"/>
      <c r="DS256" s="588" t="n"/>
      <c r="DT256" s="588" t="n"/>
      <c r="DU256" s="588" t="n"/>
    </row>
    <row r="257">
      <c r="A257" s="737" t="n"/>
      <c r="B257" s="737" t="n"/>
      <c r="C257" s="737" t="n"/>
      <c r="D257" s="737" t="n"/>
      <c r="E257" s="737" t="n"/>
      <c r="F257" s="737" t="n"/>
      <c r="G257" s="737" t="n"/>
      <c r="H257" s="737" t="n"/>
      <c r="I257" s="737" t="n"/>
      <c r="J257" s="737" t="n"/>
      <c r="K257" s="737" t="n"/>
      <c r="L257" s="737" t="n"/>
      <c r="M257" s="737" t="n"/>
      <c r="N257" s="737" t="n"/>
      <c r="O257" s="737" t="n"/>
      <c r="P257" s="737" t="n"/>
      <c r="Q257" s="737" t="n"/>
      <c r="R257" s="737" t="n"/>
      <c r="S257" s="737" t="n"/>
      <c r="T257" s="737" t="n"/>
      <c r="U257" s="588" t="n"/>
      <c r="V257" s="588" t="n"/>
      <c r="W257" s="588" t="n"/>
      <c r="X257" s="588" t="n"/>
      <c r="Z257" s="588" t="n"/>
      <c r="AA257" s="588" t="n"/>
      <c r="AB257" s="588" t="n"/>
      <c r="AC257" s="588" t="n"/>
      <c r="AD257" s="588" t="n"/>
      <c r="AE257" s="588" t="n"/>
      <c r="AF257" s="588" t="n"/>
      <c r="AG257" s="588" t="n"/>
      <c r="AH257" s="588" t="n"/>
      <c r="AI257" s="588" t="n"/>
      <c r="AJ257" s="588" t="n"/>
      <c r="AK257" s="588" t="n"/>
      <c r="AL257" s="588" t="n"/>
      <c r="AM257" s="588" t="n"/>
      <c r="AN257" s="588" t="n"/>
      <c r="AO257" s="588" t="n"/>
      <c r="AP257" s="588" t="n"/>
      <c r="AQ257" s="588" t="n"/>
      <c r="AR257" s="588" t="n"/>
      <c r="AS257" s="588" t="n"/>
      <c r="AT257" s="588" t="n"/>
      <c r="AU257" s="588" t="n"/>
      <c r="AV257" s="588" t="n"/>
      <c r="AW257" s="588" t="n"/>
      <c r="AX257" s="588" t="n"/>
      <c r="AY257" s="588" t="n"/>
      <c r="AZ257" s="588" t="n"/>
      <c r="BA257" s="588" t="n"/>
      <c r="BB257" s="588" t="n"/>
      <c r="BC257" s="588" t="n"/>
      <c r="BD257" s="588" t="n"/>
      <c r="BE257" s="588" t="n"/>
      <c r="BF257" s="588" t="n"/>
      <c r="BG257" s="588" t="n"/>
      <c r="BH257" s="588" t="n"/>
      <c r="BI257" s="588" t="n"/>
      <c r="BJ257" s="588" t="n"/>
      <c r="BK257" s="588" t="n"/>
      <c r="BL257" s="588" t="n"/>
      <c r="BM257" s="588" t="n"/>
      <c r="BN257" s="588" t="n"/>
      <c r="BO257" s="588" t="n"/>
      <c r="BP257" s="588" t="n"/>
      <c r="BQ257" s="588" t="n"/>
      <c r="BR257" s="588" t="n"/>
      <c r="BS257" s="588" t="n"/>
      <c r="BT257" s="588" t="n"/>
      <c r="BU257" s="588" t="n"/>
      <c r="BV257" s="588" t="n"/>
      <c r="BW257" s="588" t="n"/>
      <c r="BX257" s="588" t="n"/>
      <c r="BY257" s="588" t="n"/>
      <c r="BZ257" s="588" t="n"/>
      <c r="CA257" s="588" t="n"/>
      <c r="CB257" s="588" t="n"/>
      <c r="CC257" s="588" t="n"/>
      <c r="CD257" s="588" t="n"/>
      <c r="CE257" s="588" t="n"/>
      <c r="CF257" s="588" t="n"/>
      <c r="CG257" s="588" t="n"/>
      <c r="CH257" s="588" t="n"/>
      <c r="CI257" s="588" t="n"/>
      <c r="CJ257" s="588" t="n"/>
      <c r="CK257" s="588" t="n"/>
      <c r="CL257" s="588" t="n"/>
      <c r="CM257" s="588" t="n"/>
      <c r="CN257" s="588" t="n"/>
      <c r="CO257" s="588" t="n"/>
      <c r="CP257" s="588" t="n"/>
      <c r="CQ257" s="588" t="n"/>
      <c r="CR257" s="588" t="n"/>
      <c r="CS257" s="588" t="n"/>
      <c r="CT257" s="588" t="n"/>
      <c r="CU257" s="588" t="n"/>
      <c r="CV257" s="588" t="n"/>
      <c r="CW257" s="588" t="n"/>
      <c r="CX257" s="588" t="n"/>
      <c r="CY257" s="588" t="n"/>
      <c r="CZ257" s="588" t="n"/>
      <c r="DA257" s="588" t="n"/>
      <c r="DB257" s="588" t="n"/>
      <c r="DC257" s="588" t="n"/>
      <c r="DD257" s="588" t="n"/>
      <c r="DE257" s="588" t="n"/>
      <c r="DF257" s="588" t="n"/>
      <c r="DG257" s="588" t="n"/>
      <c r="DH257" s="588" t="n"/>
      <c r="DI257" s="588" t="n"/>
      <c r="DJ257" s="588" t="n"/>
      <c r="DK257" s="588" t="n"/>
      <c r="DL257" s="588" t="n"/>
      <c r="DM257" s="588" t="n"/>
      <c r="DN257" s="588" t="n"/>
      <c r="DO257" s="588" t="n"/>
      <c r="DP257" s="588" t="n"/>
      <c r="DQ257" s="588" t="n"/>
      <c r="DR257" s="588" t="n"/>
      <c r="DS257" s="588" t="n"/>
      <c r="DT257" s="588" t="n"/>
      <c r="DU257" s="588" t="n"/>
    </row>
    <row r="258">
      <c r="A258" s="737" t="n"/>
      <c r="B258" s="737" t="n"/>
      <c r="C258" s="737" t="n"/>
      <c r="D258" s="737" t="n"/>
      <c r="E258" s="737" t="n"/>
      <c r="F258" s="737" t="n"/>
      <c r="G258" s="737" t="n"/>
      <c r="H258" s="737" t="n"/>
      <c r="I258" s="737" t="n"/>
      <c r="J258" s="737" t="n"/>
      <c r="K258" s="737" t="n"/>
      <c r="L258" s="737" t="n"/>
      <c r="M258" s="737" t="n"/>
      <c r="N258" s="737" t="n"/>
      <c r="O258" s="737" t="n"/>
      <c r="P258" s="737" t="n"/>
      <c r="Q258" s="737" t="n"/>
      <c r="R258" s="737" t="n"/>
      <c r="S258" s="737" t="n"/>
      <c r="T258" s="737" t="n"/>
      <c r="U258" s="588" t="n"/>
      <c r="V258" s="588" t="n"/>
      <c r="W258" s="588" t="n"/>
      <c r="X258" s="588" t="n"/>
      <c r="Z258" s="588" t="n"/>
      <c r="AA258" s="588" t="n"/>
      <c r="AB258" s="588" t="n"/>
      <c r="AC258" s="588" t="n"/>
      <c r="AD258" s="588" t="n"/>
      <c r="AE258" s="588" t="n"/>
      <c r="AF258" s="588" t="n"/>
      <c r="AG258" s="588" t="n"/>
      <c r="AH258" s="588" t="n"/>
      <c r="AI258" s="588" t="n"/>
      <c r="AJ258" s="588" t="n"/>
      <c r="AK258" s="588" t="n"/>
      <c r="AL258" s="588" t="n"/>
      <c r="AM258" s="588" t="n"/>
      <c r="AN258" s="588" t="n"/>
      <c r="AO258" s="588" t="n"/>
      <c r="AP258" s="588" t="n"/>
      <c r="AQ258" s="588" t="n"/>
      <c r="AR258" s="588" t="n"/>
      <c r="AS258" s="588" t="n"/>
      <c r="AT258" s="588" t="n"/>
      <c r="AU258" s="588" t="n"/>
      <c r="AV258" s="588" t="n"/>
      <c r="AW258" s="588" t="n"/>
      <c r="AX258" s="588" t="n"/>
      <c r="AY258" s="588" t="n"/>
      <c r="AZ258" s="588" t="n"/>
      <c r="BA258" s="588" t="n"/>
      <c r="BB258" s="588" t="n"/>
      <c r="BC258" s="588" t="n"/>
      <c r="BD258" s="588" t="n"/>
      <c r="BE258" s="588" t="n"/>
      <c r="BF258" s="588" t="n"/>
      <c r="BG258" s="588" t="n"/>
      <c r="BH258" s="588" t="n"/>
      <c r="BI258" s="588" t="n"/>
      <c r="BJ258" s="588" t="n"/>
      <c r="BK258" s="588" t="n"/>
      <c r="BL258" s="588" t="n"/>
      <c r="BM258" s="588" t="n"/>
      <c r="BN258" s="588" t="n"/>
      <c r="BO258" s="588" t="n"/>
      <c r="BP258" s="588" t="n"/>
      <c r="BQ258" s="588" t="n"/>
      <c r="BR258" s="588" t="n"/>
      <c r="BS258" s="588" t="n"/>
      <c r="BT258" s="588" t="n"/>
      <c r="BU258" s="588" t="n"/>
      <c r="BV258" s="588" t="n"/>
      <c r="BW258" s="588" t="n"/>
      <c r="BX258" s="588" t="n"/>
      <c r="BY258" s="588" t="n"/>
      <c r="BZ258" s="588" t="n"/>
      <c r="CA258" s="588" t="n"/>
      <c r="CB258" s="588" t="n"/>
      <c r="CC258" s="588" t="n"/>
      <c r="CD258" s="588" t="n"/>
      <c r="CE258" s="588" t="n"/>
      <c r="CF258" s="588" t="n"/>
      <c r="CG258" s="588" t="n"/>
      <c r="CH258" s="588" t="n"/>
      <c r="CI258" s="588" t="n"/>
      <c r="CJ258" s="588" t="n"/>
      <c r="CK258" s="588" t="n"/>
      <c r="CL258" s="588" t="n"/>
      <c r="CM258" s="588" t="n"/>
      <c r="CN258" s="588" t="n"/>
      <c r="CO258" s="588" t="n"/>
      <c r="CP258" s="588" t="n"/>
      <c r="CQ258" s="588" t="n"/>
      <c r="CR258" s="588" t="n"/>
      <c r="CS258" s="588" t="n"/>
      <c r="CT258" s="588" t="n"/>
      <c r="CU258" s="588" t="n"/>
      <c r="CV258" s="588" t="n"/>
      <c r="CW258" s="588" t="n"/>
      <c r="CX258" s="588" t="n"/>
      <c r="CY258" s="588" t="n"/>
      <c r="CZ258" s="588" t="n"/>
      <c r="DA258" s="588" t="n"/>
      <c r="DB258" s="588" t="n"/>
      <c r="DC258" s="588" t="n"/>
      <c r="DD258" s="588" t="n"/>
      <c r="DE258" s="588" t="n"/>
      <c r="DF258" s="588" t="n"/>
      <c r="DG258" s="588" t="n"/>
      <c r="DH258" s="588" t="n"/>
      <c r="DI258" s="588" t="n"/>
      <c r="DJ258" s="588" t="n"/>
      <c r="DK258" s="588" t="n"/>
      <c r="DL258" s="588" t="n"/>
      <c r="DM258" s="588" t="n"/>
      <c r="DN258" s="588" t="n"/>
      <c r="DO258" s="588" t="n"/>
      <c r="DP258" s="588" t="n"/>
      <c r="DQ258" s="588" t="n"/>
      <c r="DR258" s="588" t="n"/>
      <c r="DS258" s="588" t="n"/>
      <c r="DT258" s="588" t="n"/>
      <c r="DU258" s="588" t="n"/>
    </row>
    <row r="259">
      <c r="A259" s="737" t="n"/>
      <c r="B259" s="737" t="n"/>
      <c r="C259" s="737" t="n"/>
      <c r="D259" s="737" t="n"/>
      <c r="E259" s="737" t="n"/>
      <c r="F259" s="737" t="n"/>
      <c r="G259" s="737" t="n"/>
      <c r="H259" s="737" t="n"/>
      <c r="I259" s="737" t="n"/>
      <c r="J259" s="737" t="n"/>
      <c r="K259" s="737" t="n"/>
      <c r="L259" s="737" t="n"/>
      <c r="M259" s="737" t="n"/>
      <c r="N259" s="737" t="n"/>
      <c r="O259" s="737" t="n"/>
      <c r="P259" s="737" t="n"/>
      <c r="Q259" s="737" t="n"/>
      <c r="R259" s="737" t="n"/>
      <c r="S259" s="737" t="n"/>
      <c r="T259" s="737" t="n"/>
      <c r="U259" s="588" t="n"/>
      <c r="V259" s="588" t="n"/>
      <c r="W259" s="588" t="n"/>
      <c r="X259" s="588" t="n"/>
      <c r="Z259" s="588" t="n"/>
      <c r="AA259" s="588" t="n"/>
      <c r="AB259" s="588" t="n"/>
      <c r="AC259" s="588" t="n"/>
      <c r="AD259" s="588" t="n"/>
      <c r="AE259" s="588" t="n"/>
      <c r="AF259" s="588" t="n"/>
      <c r="AG259" s="588" t="n"/>
      <c r="AH259" s="588" t="n"/>
      <c r="AI259" s="588" t="n"/>
      <c r="AJ259" s="588" t="n"/>
      <c r="AK259" s="588" t="n"/>
      <c r="AL259" s="588" t="n"/>
      <c r="AM259" s="588" t="n"/>
      <c r="AN259" s="588" t="n"/>
      <c r="AO259" s="588" t="n"/>
      <c r="AP259" s="588" t="n"/>
      <c r="AQ259" s="588" t="n"/>
      <c r="AR259" s="588" t="n"/>
      <c r="AS259" s="588" t="n"/>
      <c r="AT259" s="588" t="n"/>
      <c r="AU259" s="588" t="n"/>
      <c r="AV259" s="588" t="n"/>
      <c r="AW259" s="588" t="n"/>
      <c r="AX259" s="588" t="n"/>
      <c r="AY259" s="588" t="n"/>
      <c r="AZ259" s="588" t="n"/>
      <c r="BA259" s="588" t="n"/>
      <c r="BB259" s="588" t="n"/>
      <c r="BC259" s="588" t="n"/>
      <c r="BD259" s="588" t="n"/>
      <c r="BE259" s="588" t="n"/>
      <c r="BF259" s="588" t="n"/>
      <c r="BG259" s="588" t="n"/>
      <c r="BH259" s="588" t="n"/>
      <c r="BI259" s="588" t="n"/>
      <c r="BJ259" s="588" t="n"/>
      <c r="BK259" s="588" t="n"/>
      <c r="BL259" s="588" t="n"/>
      <c r="BM259" s="588" t="n"/>
      <c r="BN259" s="588" t="n"/>
      <c r="BO259" s="588" t="n"/>
      <c r="BP259" s="588" t="n"/>
      <c r="BQ259" s="588" t="n"/>
      <c r="BR259" s="588" t="n"/>
      <c r="BS259" s="588" t="n"/>
      <c r="BT259" s="588" t="n"/>
      <c r="BU259" s="588" t="n"/>
      <c r="BV259" s="588" t="n"/>
      <c r="BW259" s="588" t="n"/>
      <c r="BX259" s="588" t="n"/>
      <c r="BY259" s="588" t="n"/>
      <c r="BZ259" s="588" t="n"/>
      <c r="CA259" s="588" t="n"/>
      <c r="CB259" s="588" t="n"/>
      <c r="CC259" s="588" t="n"/>
      <c r="CD259" s="588" t="n"/>
      <c r="CE259" s="588" t="n"/>
      <c r="CF259" s="588" t="n"/>
      <c r="CG259" s="588" t="n"/>
      <c r="CH259" s="588" t="n"/>
      <c r="CI259" s="588" t="n"/>
      <c r="CJ259" s="588" t="n"/>
      <c r="CK259" s="588" t="n"/>
      <c r="CL259" s="588" t="n"/>
      <c r="CM259" s="588" t="n"/>
      <c r="CN259" s="588" t="n"/>
      <c r="CO259" s="588" t="n"/>
      <c r="CP259" s="588" t="n"/>
      <c r="CQ259" s="588" t="n"/>
      <c r="CR259" s="588" t="n"/>
      <c r="CS259" s="588" t="n"/>
      <c r="CT259" s="588" t="n"/>
      <c r="CU259" s="588" t="n"/>
      <c r="CV259" s="588" t="n"/>
      <c r="CW259" s="588" t="n"/>
      <c r="CX259" s="588" t="n"/>
      <c r="CY259" s="588" t="n"/>
      <c r="CZ259" s="588" t="n"/>
      <c r="DA259" s="588" t="n"/>
      <c r="DB259" s="588" t="n"/>
      <c r="DC259" s="588" t="n"/>
      <c r="DD259" s="588" t="n"/>
      <c r="DE259" s="588" t="n"/>
      <c r="DF259" s="588" t="n"/>
      <c r="DG259" s="588" t="n"/>
      <c r="DH259" s="588" t="n"/>
      <c r="DI259" s="588" t="n"/>
      <c r="DJ259" s="588" t="n"/>
      <c r="DK259" s="588" t="n"/>
      <c r="DL259" s="588" t="n"/>
      <c r="DM259" s="588" t="n"/>
      <c r="DN259" s="588" t="n"/>
      <c r="DO259" s="588" t="n"/>
      <c r="DP259" s="588" t="n"/>
      <c r="DQ259" s="588" t="n"/>
      <c r="DR259" s="588" t="n"/>
      <c r="DS259" s="588" t="n"/>
      <c r="DT259" s="588" t="n"/>
      <c r="DU259" s="588" t="n"/>
    </row>
    <row r="260">
      <c r="A260" s="737" t="n"/>
      <c r="B260" s="737" t="n"/>
      <c r="C260" s="737" t="n"/>
      <c r="D260" s="737" t="n"/>
      <c r="E260" s="737" t="n"/>
      <c r="F260" s="737" t="n"/>
      <c r="G260" s="737" t="n"/>
      <c r="H260" s="737" t="n"/>
      <c r="I260" s="737" t="n"/>
      <c r="J260" s="737" t="n"/>
      <c r="K260" s="737" t="n"/>
      <c r="L260" s="737" t="n"/>
      <c r="M260" s="737" t="n"/>
      <c r="N260" s="737" t="n"/>
      <c r="O260" s="737" t="n"/>
      <c r="P260" s="737" t="n"/>
      <c r="Q260" s="737" t="n"/>
      <c r="R260" s="737" t="n"/>
      <c r="S260" s="737" t="n"/>
      <c r="T260" s="737" t="n"/>
      <c r="U260" s="588" t="n"/>
      <c r="V260" s="588" t="n"/>
      <c r="W260" s="588" t="n"/>
      <c r="X260" s="588" t="n"/>
      <c r="Z260" s="588" t="n"/>
      <c r="AA260" s="588" t="n"/>
      <c r="AB260" s="588" t="n"/>
      <c r="AC260" s="588" t="n"/>
      <c r="AD260" s="588" t="n"/>
      <c r="AE260" s="588" t="n"/>
      <c r="AF260" s="588" t="n"/>
      <c r="AG260" s="588" t="n"/>
      <c r="AH260" s="588" t="n"/>
      <c r="AI260" s="588" t="n"/>
      <c r="AJ260" s="588" t="n"/>
      <c r="AK260" s="588" t="n"/>
      <c r="AL260" s="588" t="n"/>
      <c r="AM260" s="588" t="n"/>
      <c r="AN260" s="588" t="n"/>
      <c r="AO260" s="588" t="n"/>
      <c r="AP260" s="588" t="n"/>
      <c r="AQ260" s="588" t="n"/>
      <c r="AR260" s="588" t="n"/>
      <c r="AS260" s="588" t="n"/>
      <c r="AT260" s="588" t="n"/>
      <c r="AU260" s="588" t="n"/>
      <c r="AV260" s="588" t="n"/>
      <c r="AW260" s="588" t="n"/>
      <c r="AX260" s="588" t="n"/>
      <c r="AY260" s="588" t="n"/>
      <c r="AZ260" s="588" t="n"/>
      <c r="BA260" s="588" t="n"/>
      <c r="BB260" s="588" t="n"/>
      <c r="BC260" s="588" t="n"/>
      <c r="BD260" s="588" t="n"/>
      <c r="BE260" s="588" t="n"/>
      <c r="BF260" s="588" t="n"/>
      <c r="BG260" s="588" t="n"/>
      <c r="BH260" s="588" t="n"/>
      <c r="BI260" s="588" t="n"/>
      <c r="BJ260" s="588" t="n"/>
      <c r="BK260" s="588" t="n"/>
      <c r="BL260" s="588" t="n"/>
      <c r="BM260" s="588" t="n"/>
      <c r="BN260" s="588" t="n"/>
      <c r="BO260" s="588" t="n"/>
      <c r="BP260" s="588" t="n"/>
      <c r="BQ260" s="588" t="n"/>
      <c r="BR260" s="588" t="n"/>
      <c r="BS260" s="588" t="n"/>
      <c r="BT260" s="588" t="n"/>
      <c r="BU260" s="588" t="n"/>
      <c r="BV260" s="588" t="n"/>
      <c r="BW260" s="588" t="n"/>
      <c r="BX260" s="588" t="n"/>
      <c r="BY260" s="588" t="n"/>
      <c r="BZ260" s="588" t="n"/>
      <c r="CA260" s="588" t="n"/>
      <c r="CB260" s="588" t="n"/>
      <c r="CC260" s="588" t="n"/>
      <c r="CD260" s="588" t="n"/>
      <c r="CE260" s="588" t="n"/>
      <c r="CF260" s="588" t="n"/>
      <c r="CG260" s="588" t="n"/>
      <c r="CH260" s="588" t="n"/>
      <c r="CI260" s="588" t="n"/>
      <c r="CJ260" s="588" t="n"/>
      <c r="CK260" s="588" t="n"/>
      <c r="CL260" s="588" t="n"/>
      <c r="CM260" s="588" t="n"/>
      <c r="CN260" s="588" t="n"/>
      <c r="CO260" s="588" t="n"/>
      <c r="CP260" s="588" t="n"/>
      <c r="CQ260" s="588" t="n"/>
      <c r="CR260" s="588" t="n"/>
      <c r="CS260" s="588" t="n"/>
      <c r="CT260" s="588" t="n"/>
      <c r="CU260" s="588" t="n"/>
      <c r="CV260" s="588" t="n"/>
      <c r="CW260" s="588" t="n"/>
      <c r="CX260" s="588" t="n"/>
      <c r="CY260" s="588" t="n"/>
      <c r="CZ260" s="588" t="n"/>
      <c r="DA260" s="588" t="n"/>
      <c r="DB260" s="588" t="n"/>
      <c r="DC260" s="588" t="n"/>
      <c r="DD260" s="588" t="n"/>
      <c r="DE260" s="588" t="n"/>
      <c r="DF260" s="588" t="n"/>
      <c r="DG260" s="588" t="n"/>
      <c r="DH260" s="588" t="n"/>
      <c r="DI260" s="588" t="n"/>
      <c r="DJ260" s="588" t="n"/>
      <c r="DK260" s="588" t="n"/>
      <c r="DL260" s="588" t="n"/>
      <c r="DM260" s="588" t="n"/>
      <c r="DN260" s="588" t="n"/>
      <c r="DO260" s="588" t="n"/>
      <c r="DP260" s="588" t="n"/>
      <c r="DQ260" s="588" t="n"/>
      <c r="DR260" s="588" t="n"/>
      <c r="DS260" s="588" t="n"/>
      <c r="DT260" s="588" t="n"/>
      <c r="DU260" s="588" t="n"/>
    </row>
    <row r="261">
      <c r="A261" s="737" t="n"/>
      <c r="B261" s="737" t="n"/>
      <c r="C261" s="737" t="n"/>
      <c r="D261" s="737" t="n"/>
      <c r="E261" s="737" t="n"/>
      <c r="F261" s="737" t="n"/>
      <c r="G261" s="737" t="n"/>
      <c r="H261" s="737" t="n"/>
      <c r="I261" s="737" t="n"/>
      <c r="J261" s="737" t="n"/>
      <c r="K261" s="737" t="n"/>
      <c r="L261" s="737" t="n"/>
      <c r="M261" s="737" t="n"/>
      <c r="N261" s="737" t="n"/>
      <c r="O261" s="737" t="n"/>
      <c r="P261" s="737" t="n"/>
      <c r="Q261" s="737" t="n"/>
      <c r="R261" s="737" t="n"/>
      <c r="S261" s="737" t="n"/>
      <c r="T261" s="737" t="n"/>
      <c r="U261" s="737" t="n"/>
      <c r="V261" s="737" t="n"/>
      <c r="W261" s="737" t="n"/>
      <c r="X261" s="737" t="n"/>
      <c r="Y261" s="737" t="n"/>
      <c r="Z261" s="737" t="n"/>
      <c r="AA261" s="737" t="n"/>
      <c r="AB261" s="737" t="n"/>
      <c r="AC261" s="737" t="n"/>
      <c r="AD261" s="737" t="n"/>
      <c r="AE261" s="737" t="n"/>
      <c r="AF261" s="737" t="n"/>
      <c r="AG261" s="737" t="n"/>
      <c r="AH261" s="737" t="n"/>
      <c r="AI261" s="737" t="n"/>
      <c r="AJ261" s="737" t="n"/>
      <c r="AK261" s="588" t="n"/>
      <c r="AL261" s="588" t="n"/>
      <c r="AM261" s="588" t="n"/>
      <c r="AN261" s="588" t="n"/>
      <c r="AO261" s="588" t="n"/>
      <c r="AP261" s="588" t="n"/>
      <c r="AQ261" s="588" t="n"/>
      <c r="AR261" s="588" t="n"/>
      <c r="AS261" s="588" t="n"/>
      <c r="AT261" s="588" t="n"/>
      <c r="AU261" s="588" t="n"/>
      <c r="AV261" s="588" t="n"/>
      <c r="AW261" s="588" t="n"/>
      <c r="AX261" s="588" t="n"/>
      <c r="AY261" s="588" t="n"/>
      <c r="AZ261" s="588" t="n"/>
      <c r="BA261" s="588" t="n"/>
      <c r="BB261" s="588" t="n"/>
      <c r="BC261" s="588" t="n"/>
      <c r="BD261" s="588" t="n"/>
      <c r="BE261" s="588" t="n"/>
      <c r="BF261" s="588" t="n"/>
      <c r="BG261" s="588" t="n"/>
      <c r="BH261" s="588" t="n"/>
      <c r="BI261" s="588" t="n"/>
      <c r="BJ261" s="588" t="n"/>
      <c r="BK261" s="588" t="n"/>
      <c r="BL261" s="588" t="n"/>
      <c r="BM261" s="588" t="n"/>
      <c r="BN261" s="588" t="n"/>
      <c r="BO261" s="588" t="n"/>
      <c r="BP261" s="588" t="n"/>
      <c r="BQ261" s="588" t="n"/>
      <c r="BR261" s="588" t="n"/>
      <c r="BS261" s="588" t="n"/>
      <c r="BT261" s="588" t="n"/>
      <c r="BU261" s="588" t="n"/>
      <c r="BV261" s="588" t="n"/>
      <c r="BW261" s="588" t="n"/>
      <c r="BX261" s="588" t="n"/>
      <c r="BY261" s="588" t="n"/>
      <c r="BZ261" s="588" t="n"/>
      <c r="CA261" s="588" t="n"/>
      <c r="CB261" s="588" t="n"/>
      <c r="CC261" s="588" t="n"/>
      <c r="CD261" s="588" t="n"/>
      <c r="CE261" s="588" t="n"/>
      <c r="CF261" s="588" t="n"/>
      <c r="CG261" s="588" t="n"/>
      <c r="CH261" s="588" t="n"/>
      <c r="CI261" s="588" t="n"/>
      <c r="CJ261" s="588" t="n"/>
      <c r="CK261" s="588" t="n"/>
      <c r="CL261" s="588" t="n"/>
      <c r="CM261" s="588" t="n"/>
      <c r="CN261" s="588" t="n"/>
      <c r="CO261" s="588" t="n"/>
      <c r="CP261" s="588" t="n"/>
      <c r="CQ261" s="588" t="n"/>
      <c r="CR261" s="588" t="n"/>
      <c r="CS261" s="588" t="n"/>
      <c r="CT261" s="588" t="n"/>
      <c r="CU261" s="588" t="n"/>
      <c r="CV261" s="588" t="n"/>
      <c r="CW261" s="588" t="n"/>
      <c r="CX261" s="588" t="n"/>
      <c r="CY261" s="588" t="n"/>
      <c r="CZ261" s="588" t="n"/>
      <c r="DA261" s="588" t="n"/>
      <c r="DB261" s="588" t="n"/>
      <c r="DC261" s="588" t="n"/>
      <c r="DD261" s="588" t="n"/>
      <c r="DE261" s="588" t="n"/>
      <c r="DF261" s="588" t="n"/>
      <c r="DG261" s="588" t="n"/>
      <c r="DH261" s="588" t="n"/>
      <c r="DI261" s="588" t="n"/>
      <c r="DJ261" s="588" t="n"/>
      <c r="DK261" s="588" t="n"/>
      <c r="DL261" s="588" t="n"/>
      <c r="DM261" s="588" t="n"/>
      <c r="DN261" s="588" t="n"/>
      <c r="DO261" s="588" t="n"/>
      <c r="DP261" s="588" t="n"/>
      <c r="DQ261" s="588" t="n"/>
      <c r="DR261" s="588" t="n"/>
      <c r="DS261" s="588" t="n"/>
      <c r="DT261" s="588" t="n"/>
      <c r="DU261" s="588" t="n"/>
    </row>
    <row r="262">
      <c r="A262" s="737" t="n"/>
      <c r="B262" s="737" t="n"/>
      <c r="C262" s="737" t="n"/>
      <c r="D262" s="737" t="n"/>
      <c r="E262" s="737" t="n"/>
      <c r="F262" s="737" t="n"/>
      <c r="G262" s="737" t="n"/>
      <c r="H262" s="737" t="n"/>
      <c r="I262" s="737" t="n"/>
      <c r="J262" s="737" t="n"/>
      <c r="K262" s="737" t="n"/>
      <c r="L262" s="737" t="n"/>
      <c r="M262" s="737" t="n"/>
      <c r="N262" s="737" t="n"/>
      <c r="O262" s="737" t="n"/>
      <c r="P262" s="737" t="n"/>
      <c r="Q262" s="737" t="n"/>
      <c r="R262" s="737" t="n"/>
      <c r="S262" s="737" t="n"/>
      <c r="T262" s="737" t="n"/>
      <c r="U262" s="737" t="n"/>
      <c r="V262" s="737" t="n"/>
      <c r="W262" s="737" t="n"/>
      <c r="X262" s="737" t="n"/>
      <c r="Y262" s="737" t="n"/>
      <c r="Z262" s="737" t="n"/>
      <c r="AA262" s="737" t="n"/>
      <c r="AB262" s="737" t="n"/>
      <c r="AC262" s="737" t="n"/>
      <c r="AD262" s="737" t="n"/>
      <c r="AE262" s="737" t="n"/>
      <c r="AF262" s="737" t="n"/>
      <c r="AG262" s="737" t="n"/>
      <c r="AH262" s="737" t="n"/>
      <c r="AI262" s="737" t="n"/>
      <c r="AJ262" s="737" t="n"/>
      <c r="AK262" s="588" t="n"/>
      <c r="AL262" s="588" t="n"/>
      <c r="AM262" s="588" t="n"/>
      <c r="AN262" s="588" t="n"/>
      <c r="AO262" s="588" t="n"/>
      <c r="AP262" s="588" t="n"/>
      <c r="AQ262" s="588" t="n"/>
      <c r="AR262" s="588" t="n"/>
      <c r="AS262" s="588" t="n"/>
      <c r="AT262" s="588" t="n"/>
      <c r="AU262" s="588" t="n"/>
      <c r="AV262" s="588" t="n"/>
      <c r="AW262" s="588" t="n"/>
      <c r="AX262" s="588" t="n"/>
      <c r="AY262" s="588" t="n"/>
      <c r="AZ262" s="588" t="n"/>
      <c r="BA262" s="588" t="n"/>
      <c r="BB262" s="588" t="n"/>
      <c r="BC262" s="588" t="n"/>
      <c r="BD262" s="588" t="n"/>
      <c r="BE262" s="588" t="n"/>
      <c r="BF262" s="588" t="n"/>
      <c r="BG262" s="588" t="n"/>
      <c r="BH262" s="588" t="n"/>
      <c r="BI262" s="588" t="n"/>
      <c r="BJ262" s="588" t="n"/>
      <c r="BK262" s="588" t="n"/>
      <c r="BL262" s="588" t="n"/>
      <c r="BM262" s="588" t="n"/>
      <c r="BN262" s="588" t="n"/>
      <c r="BO262" s="588" t="n"/>
      <c r="BP262" s="588" t="n"/>
      <c r="BQ262" s="588" t="n"/>
      <c r="BR262" s="588" t="n"/>
      <c r="BS262" s="588" t="n"/>
      <c r="BT262" s="588" t="n"/>
      <c r="BU262" s="588" t="n"/>
      <c r="BV262" s="588" t="n"/>
      <c r="BW262" s="588" t="n"/>
      <c r="BX262" s="588" t="n"/>
      <c r="BY262" s="588" t="n"/>
      <c r="BZ262" s="588" t="n"/>
      <c r="CA262" s="588" t="n"/>
      <c r="CB262" s="588" t="n"/>
      <c r="CC262" s="588" t="n"/>
      <c r="CD262" s="588" t="n"/>
      <c r="CE262" s="588" t="n"/>
      <c r="CF262" s="588" t="n"/>
      <c r="CG262" s="588" t="n"/>
      <c r="CH262" s="588" t="n"/>
      <c r="CI262" s="588" t="n"/>
      <c r="CJ262" s="588" t="n"/>
      <c r="CK262" s="588" t="n"/>
      <c r="CL262" s="588" t="n"/>
      <c r="CM262" s="588" t="n"/>
      <c r="CN262" s="588" t="n"/>
      <c r="CO262" s="588" t="n"/>
      <c r="CP262" s="588" t="n"/>
      <c r="CQ262" s="588" t="n"/>
      <c r="CR262" s="588" t="n"/>
      <c r="CS262" s="588" t="n"/>
      <c r="CT262" s="588" t="n"/>
      <c r="CU262" s="588" t="n"/>
      <c r="CV262" s="588" t="n"/>
      <c r="CW262" s="588" t="n"/>
      <c r="CX262" s="588" t="n"/>
      <c r="CY262" s="588" t="n"/>
      <c r="CZ262" s="588" t="n"/>
      <c r="DA262" s="588" t="n"/>
      <c r="DB262" s="588" t="n"/>
      <c r="DC262" s="588" t="n"/>
      <c r="DD262" s="588" t="n"/>
      <c r="DE262" s="588" t="n"/>
      <c r="DF262" s="588" t="n"/>
      <c r="DG262" s="588" t="n"/>
      <c r="DH262" s="588" t="n"/>
      <c r="DI262" s="588" t="n"/>
      <c r="DJ262" s="588" t="n"/>
      <c r="DK262" s="588" t="n"/>
      <c r="DL262" s="588" t="n"/>
      <c r="DM262" s="588" t="n"/>
      <c r="DN262" s="588" t="n"/>
      <c r="DO262" s="588" t="n"/>
      <c r="DP262" s="588" t="n"/>
      <c r="DQ262" s="588" t="n"/>
      <c r="DR262" s="588" t="n"/>
      <c r="DS262" s="588" t="n"/>
      <c r="DT262" s="588" t="n"/>
      <c r="DU262" s="588" t="n"/>
    </row>
    <row r="263">
      <c r="A263" s="737" t="n"/>
      <c r="B263" s="737" t="n"/>
      <c r="C263" s="737" t="n"/>
      <c r="D263" s="737" t="n"/>
      <c r="E263" s="737" t="n"/>
      <c r="F263" s="737" t="n"/>
      <c r="G263" s="737" t="n"/>
      <c r="H263" s="737" t="n"/>
      <c r="I263" s="737" t="n"/>
      <c r="J263" s="737" t="n"/>
      <c r="K263" s="737" t="n"/>
      <c r="L263" s="737" t="n"/>
      <c r="M263" s="737" t="n"/>
      <c r="N263" s="737" t="n"/>
      <c r="O263" s="737" t="n"/>
      <c r="P263" s="737" t="n"/>
      <c r="Q263" s="737" t="n"/>
      <c r="R263" s="737" t="n"/>
      <c r="S263" s="737" t="n"/>
      <c r="T263" s="737" t="n"/>
      <c r="U263" s="737" t="n"/>
      <c r="V263" s="737" t="n"/>
      <c r="W263" s="737" t="n"/>
      <c r="X263" s="737" t="n"/>
      <c r="Y263" s="737" t="n"/>
      <c r="Z263" s="737" t="n"/>
      <c r="AA263" s="737" t="n"/>
      <c r="AB263" s="737" t="n"/>
      <c r="AC263" s="737" t="n"/>
      <c r="AD263" s="737" t="n"/>
      <c r="AE263" s="737" t="n"/>
      <c r="AF263" s="737" t="n"/>
      <c r="AG263" s="737" t="n"/>
      <c r="AH263" s="737" t="n"/>
      <c r="AI263" s="737" t="n"/>
      <c r="AJ263" s="737" t="n"/>
      <c r="AK263" s="588" t="n"/>
      <c r="AL263" s="588" t="n"/>
      <c r="AM263" s="588" t="n"/>
      <c r="AN263" s="588" t="n"/>
      <c r="AO263" s="588" t="n"/>
      <c r="AP263" s="588" t="n"/>
      <c r="AQ263" s="588" t="n"/>
      <c r="AR263" s="588" t="n"/>
      <c r="AS263" s="588" t="n"/>
      <c r="AT263" s="588" t="n"/>
      <c r="AU263" s="588" t="n"/>
      <c r="AV263" s="588" t="n"/>
      <c r="AW263" s="588" t="n"/>
      <c r="AX263" s="588" t="n"/>
      <c r="AY263" s="588" t="n"/>
      <c r="AZ263" s="588" t="n"/>
      <c r="BA263" s="588" t="n"/>
      <c r="BB263" s="588" t="n"/>
      <c r="BC263" s="588" t="n"/>
      <c r="BD263" s="588" t="n"/>
      <c r="BE263" s="588" t="n"/>
      <c r="BF263" s="588" t="n"/>
      <c r="BG263" s="588" t="n"/>
      <c r="BH263" s="588" t="n"/>
      <c r="BI263" s="588" t="n"/>
      <c r="BJ263" s="588" t="n"/>
      <c r="BK263" s="588" t="n"/>
      <c r="BL263" s="588" t="n"/>
      <c r="BM263" s="588" t="n"/>
      <c r="BN263" s="588" t="n"/>
      <c r="BO263" s="588" t="n"/>
      <c r="BP263" s="588" t="n"/>
      <c r="BQ263" s="588" t="n"/>
      <c r="BR263" s="588" t="n"/>
      <c r="BS263" s="588" t="n"/>
      <c r="BT263" s="588" t="n"/>
      <c r="BU263" s="588" t="n"/>
      <c r="BV263" s="588" t="n"/>
      <c r="BW263" s="588" t="n"/>
      <c r="BX263" s="588" t="n"/>
      <c r="BY263" s="588" t="n"/>
      <c r="BZ263" s="588" t="n"/>
      <c r="CA263" s="588" t="n"/>
      <c r="CB263" s="588" t="n"/>
      <c r="CC263" s="588" t="n"/>
      <c r="CD263" s="588" t="n"/>
      <c r="CE263" s="588" t="n"/>
      <c r="CF263" s="588" t="n"/>
      <c r="CG263" s="588" t="n"/>
      <c r="CH263" s="588" t="n"/>
      <c r="CI263" s="588" t="n"/>
      <c r="CJ263" s="588" t="n"/>
      <c r="CK263" s="588" t="n"/>
      <c r="CL263" s="588" t="n"/>
      <c r="CM263" s="588" t="n"/>
      <c r="CN263" s="588" t="n"/>
      <c r="CO263" s="588" t="n"/>
      <c r="CP263" s="588" t="n"/>
      <c r="CQ263" s="588" t="n"/>
      <c r="CR263" s="588" t="n"/>
      <c r="CS263" s="588" t="n"/>
      <c r="CT263" s="588" t="n"/>
      <c r="CU263" s="588" t="n"/>
      <c r="CV263" s="588" t="n"/>
      <c r="CW263" s="588" t="n"/>
      <c r="CX263" s="588" t="n"/>
      <c r="CY263" s="588" t="n"/>
      <c r="CZ263" s="588" t="n"/>
      <c r="DA263" s="588" t="n"/>
      <c r="DB263" s="588" t="n"/>
      <c r="DC263" s="588" t="n"/>
      <c r="DD263" s="588" t="n"/>
      <c r="DE263" s="588" t="n"/>
      <c r="DF263" s="588" t="n"/>
      <c r="DG263" s="588" t="n"/>
      <c r="DH263" s="588" t="n"/>
      <c r="DI263" s="588" t="n"/>
      <c r="DJ263" s="588" t="n"/>
      <c r="DK263" s="588" t="n"/>
      <c r="DL263" s="588" t="n"/>
      <c r="DM263" s="588" t="n"/>
      <c r="DN263" s="588" t="n"/>
      <c r="DO263" s="588" t="n"/>
      <c r="DP263" s="588" t="n"/>
      <c r="DQ263" s="588" t="n"/>
      <c r="DR263" s="588" t="n"/>
      <c r="DS263" s="588" t="n"/>
      <c r="DT263" s="588" t="n"/>
      <c r="DU263" s="588" t="n"/>
    </row>
    <row r="264">
      <c r="A264" s="737" t="n"/>
      <c r="B264" s="737" t="n"/>
      <c r="C264" s="737" t="n"/>
      <c r="D264" s="737" t="n"/>
      <c r="E264" s="737" t="n"/>
      <c r="F264" s="737" t="n"/>
      <c r="G264" s="737" t="n"/>
      <c r="H264" s="737" t="n"/>
      <c r="I264" s="737" t="n"/>
      <c r="J264" s="737" t="n"/>
      <c r="K264" s="737" t="n"/>
      <c r="L264" s="737" t="n"/>
      <c r="M264" s="737" t="n"/>
      <c r="N264" s="737" t="n"/>
      <c r="O264" s="737" t="n"/>
      <c r="P264" s="737" t="n"/>
      <c r="Q264" s="737" t="n"/>
      <c r="R264" s="737" t="n"/>
      <c r="S264" s="737" t="n"/>
      <c r="T264" s="737" t="n"/>
      <c r="U264" s="737" t="n"/>
      <c r="V264" s="737" t="n"/>
      <c r="W264" s="737" t="n"/>
      <c r="X264" s="737" t="n"/>
      <c r="Y264" s="737" t="n"/>
      <c r="Z264" s="737" t="n"/>
      <c r="AA264" s="737" t="n"/>
      <c r="AB264" s="737" t="n"/>
      <c r="AC264" s="737" t="n"/>
      <c r="AD264" s="737" t="n"/>
      <c r="AE264" s="737" t="n"/>
      <c r="AF264" s="737" t="n"/>
      <c r="AG264" s="737" t="n"/>
      <c r="AH264" s="737" t="n"/>
      <c r="AI264" s="737" t="n"/>
      <c r="AJ264" s="737" t="n"/>
      <c r="AK264" s="588" t="n"/>
      <c r="AL264" s="588" t="n"/>
      <c r="AM264" s="588" t="n"/>
      <c r="AN264" s="588" t="n"/>
      <c r="AO264" s="588" t="n"/>
      <c r="AP264" s="588" t="n"/>
      <c r="AQ264" s="588" t="n"/>
      <c r="AR264" s="588" t="n"/>
      <c r="AS264" s="588" t="n"/>
      <c r="AT264" s="588" t="n"/>
      <c r="AU264" s="588" t="n"/>
      <c r="AV264" s="588" t="n"/>
      <c r="AW264" s="588" t="n"/>
      <c r="AX264" s="588" t="n"/>
      <c r="AY264" s="588" t="n"/>
      <c r="AZ264" s="588" t="n"/>
      <c r="BA264" s="588" t="n"/>
      <c r="BB264" s="588" t="n"/>
      <c r="BC264" s="588" t="n"/>
      <c r="BD264" s="588" t="n"/>
      <c r="BE264" s="588" t="n"/>
      <c r="BF264" s="588" t="n"/>
      <c r="BG264" s="588" t="n"/>
      <c r="BH264" s="588" t="n"/>
      <c r="BI264" s="588" t="n"/>
      <c r="BJ264" s="588" t="n"/>
      <c r="BK264" s="588" t="n"/>
      <c r="BL264" s="588" t="n"/>
      <c r="BM264" s="588" t="n"/>
      <c r="BN264" s="588" t="n"/>
      <c r="BO264" s="588" t="n"/>
      <c r="BP264" s="588" t="n"/>
      <c r="BQ264" s="588" t="n"/>
      <c r="BR264" s="588" t="n"/>
      <c r="BS264" s="588" t="n"/>
      <c r="BT264" s="588" t="n"/>
      <c r="BU264" s="588" t="n"/>
      <c r="BV264" s="588" t="n"/>
      <c r="BW264" s="588" t="n"/>
      <c r="BX264" s="588" t="n"/>
      <c r="BY264" s="588" t="n"/>
      <c r="BZ264" s="588" t="n"/>
      <c r="CA264" s="588" t="n"/>
      <c r="CB264" s="588" t="n"/>
      <c r="CC264" s="588" t="n"/>
      <c r="CD264" s="588" t="n"/>
      <c r="CE264" s="588" t="n"/>
      <c r="CF264" s="588" t="n"/>
      <c r="CG264" s="588" t="n"/>
      <c r="CH264" s="588" t="n"/>
      <c r="CI264" s="588" t="n"/>
      <c r="CJ264" s="588" t="n"/>
      <c r="CK264" s="588" t="n"/>
      <c r="CL264" s="588" t="n"/>
      <c r="CM264" s="588" t="n"/>
      <c r="CN264" s="588" t="n"/>
      <c r="CO264" s="588" t="n"/>
      <c r="CP264" s="588" t="n"/>
      <c r="CQ264" s="588" t="n"/>
      <c r="CR264" s="588" t="n"/>
      <c r="CS264" s="588" t="n"/>
      <c r="CT264" s="588" t="n"/>
      <c r="CU264" s="588" t="n"/>
      <c r="CV264" s="588" t="n"/>
      <c r="CW264" s="588" t="n"/>
      <c r="CX264" s="588" t="n"/>
      <c r="CY264" s="588" t="n"/>
      <c r="CZ264" s="588" t="n"/>
      <c r="DA264" s="588" t="n"/>
      <c r="DB264" s="588" t="n"/>
      <c r="DC264" s="588" t="n"/>
      <c r="DD264" s="588" t="n"/>
      <c r="DE264" s="588" t="n"/>
      <c r="DF264" s="588" t="n"/>
      <c r="DG264" s="588" t="n"/>
      <c r="DH264" s="588" t="n"/>
      <c r="DI264" s="588" t="n"/>
      <c r="DJ264" s="588" t="n"/>
      <c r="DK264" s="588" t="n"/>
      <c r="DL264" s="588" t="n"/>
      <c r="DM264" s="588" t="n"/>
      <c r="DN264" s="588" t="n"/>
      <c r="DO264" s="588" t="n"/>
      <c r="DP264" s="588" t="n"/>
      <c r="DQ264" s="588" t="n"/>
      <c r="DR264" s="588" t="n"/>
      <c r="DS264" s="588" t="n"/>
      <c r="DT264" s="588" t="n"/>
      <c r="DU264" s="588" t="n"/>
    </row>
    <row r="265">
      <c r="A265" s="737" t="n"/>
      <c r="B265" s="737" t="n"/>
      <c r="C265" s="737" t="n"/>
      <c r="D265" s="737" t="n"/>
      <c r="E265" s="737" t="n"/>
      <c r="F265" s="737" t="n"/>
      <c r="G265" s="737" t="n"/>
      <c r="H265" s="737" t="n"/>
      <c r="I265" s="737" t="n"/>
      <c r="J265" s="737" t="n"/>
      <c r="K265" s="737" t="n"/>
      <c r="L265" s="737" t="n"/>
      <c r="M265" s="737" t="n"/>
      <c r="N265" s="737" t="n"/>
      <c r="O265" s="737" t="n"/>
      <c r="P265" s="737" t="n"/>
      <c r="Q265" s="737" t="n"/>
      <c r="R265" s="737" t="n"/>
      <c r="S265" s="737" t="n"/>
      <c r="T265" s="737" t="n"/>
      <c r="U265" s="737" t="n"/>
      <c r="V265" s="737" t="n"/>
      <c r="W265" s="737" t="n"/>
      <c r="X265" s="737" t="n"/>
      <c r="Y265" s="737" t="n"/>
      <c r="Z265" s="737" t="n"/>
      <c r="AA265" s="737" t="n"/>
      <c r="AB265" s="737" t="n"/>
      <c r="AC265" s="737" t="n"/>
      <c r="AD265" s="737" t="n"/>
      <c r="AE265" s="737" t="n"/>
      <c r="AF265" s="737" t="n"/>
      <c r="AG265" s="737" t="n"/>
      <c r="AH265" s="737" t="n"/>
      <c r="AI265" s="737" t="n"/>
      <c r="AJ265" s="737" t="n"/>
      <c r="AK265" s="588" t="n"/>
      <c r="AL265" s="588" t="n"/>
      <c r="AM265" s="588" t="n"/>
      <c r="AN265" s="588" t="n"/>
      <c r="AO265" s="588" t="n"/>
      <c r="AP265" s="588" t="n"/>
      <c r="AQ265" s="588" t="n"/>
      <c r="AR265" s="588" t="n"/>
      <c r="AS265" s="588" t="n"/>
      <c r="AT265" s="588" t="n"/>
      <c r="AU265" s="588" t="n"/>
      <c r="AV265" s="588" t="n"/>
      <c r="AW265" s="588" t="n"/>
      <c r="AX265" s="588" t="n"/>
      <c r="AY265" s="588" t="n"/>
      <c r="AZ265" s="588" t="n"/>
      <c r="BA265" s="588" t="n"/>
      <c r="BB265" s="588" t="n"/>
      <c r="BC265" s="588" t="n"/>
      <c r="BD265" s="588" t="n"/>
      <c r="BE265" s="588" t="n"/>
      <c r="BF265" s="588" t="n"/>
      <c r="BG265" s="588" t="n"/>
      <c r="BH265" s="588" t="n"/>
      <c r="BI265" s="588" t="n"/>
      <c r="BJ265" s="588" t="n"/>
      <c r="BK265" s="588" t="n"/>
      <c r="BL265" s="588" t="n"/>
      <c r="BM265" s="588" t="n"/>
      <c r="BN265" s="588" t="n"/>
      <c r="BO265" s="588" t="n"/>
      <c r="BP265" s="588" t="n"/>
      <c r="BQ265" s="588" t="n"/>
      <c r="BR265" s="588" t="n"/>
      <c r="BS265" s="588" t="n"/>
      <c r="BT265" s="588" t="n"/>
      <c r="BU265" s="588" t="n"/>
      <c r="BV265" s="588" t="n"/>
      <c r="BW265" s="588" t="n"/>
      <c r="BX265" s="588" t="n"/>
      <c r="BY265" s="588" t="n"/>
      <c r="BZ265" s="588" t="n"/>
      <c r="CA265" s="588" t="n"/>
      <c r="CB265" s="588" t="n"/>
      <c r="CC265" s="588" t="n"/>
      <c r="CD265" s="588" t="n"/>
      <c r="CE265" s="588" t="n"/>
      <c r="CF265" s="588" t="n"/>
      <c r="CG265" s="588" t="n"/>
      <c r="CH265" s="588" t="n"/>
      <c r="CI265" s="588" t="n"/>
      <c r="CJ265" s="588" t="n"/>
      <c r="CK265" s="588" t="n"/>
      <c r="CL265" s="588" t="n"/>
      <c r="CM265" s="588" t="n"/>
      <c r="CN265" s="588" t="n"/>
      <c r="CO265" s="588" t="n"/>
      <c r="CP265" s="588" t="n"/>
      <c r="CQ265" s="588" t="n"/>
      <c r="CR265" s="588" t="n"/>
      <c r="CS265" s="588" t="n"/>
      <c r="CT265" s="588" t="n"/>
      <c r="CU265" s="588" t="n"/>
      <c r="CV265" s="588" t="n"/>
      <c r="CW265" s="588" t="n"/>
      <c r="CX265" s="588" t="n"/>
      <c r="CY265" s="588" t="n"/>
      <c r="CZ265" s="588" t="n"/>
      <c r="DA265" s="588" t="n"/>
      <c r="DB265" s="588" t="n"/>
      <c r="DC265" s="588" t="n"/>
      <c r="DD265" s="588" t="n"/>
      <c r="DE265" s="588" t="n"/>
      <c r="DF265" s="588" t="n"/>
      <c r="DG265" s="588" t="n"/>
      <c r="DH265" s="588" t="n"/>
      <c r="DI265" s="588" t="n"/>
      <c r="DJ265" s="588" t="n"/>
      <c r="DK265" s="588" t="n"/>
      <c r="DL265" s="588" t="n"/>
      <c r="DM265" s="588" t="n"/>
      <c r="DN265" s="588" t="n"/>
      <c r="DO265" s="588" t="n"/>
      <c r="DP265" s="588" t="n"/>
      <c r="DQ265" s="588" t="n"/>
      <c r="DR265" s="588" t="n"/>
      <c r="DS265" s="588" t="n"/>
      <c r="DT265" s="588" t="n"/>
      <c r="DU265" s="588" t="n"/>
    </row>
    <row r="266">
      <c r="A266" s="737" t="n"/>
      <c r="B266" s="737" t="n"/>
      <c r="C266" s="737" t="n"/>
      <c r="D266" s="737" t="n"/>
      <c r="E266" s="737" t="n"/>
      <c r="F266" s="737" t="n"/>
      <c r="G266" s="737" t="n"/>
      <c r="H266" s="737" t="n"/>
      <c r="I266" s="737" t="n"/>
      <c r="J266" s="737" t="n"/>
      <c r="K266" s="737" t="n"/>
      <c r="L266" s="737" t="n"/>
      <c r="M266" s="737" t="n"/>
      <c r="N266" s="737" t="n"/>
      <c r="O266" s="737" t="n"/>
      <c r="P266" s="737" t="n"/>
      <c r="Q266" s="737" t="n"/>
      <c r="R266" s="737" t="n"/>
      <c r="S266" s="737" t="n"/>
      <c r="T266" s="737" t="n"/>
      <c r="U266" s="737" t="n"/>
      <c r="V266" s="737" t="n"/>
      <c r="W266" s="737" t="n"/>
      <c r="X266" s="737" t="n"/>
      <c r="Y266" s="737" t="n"/>
      <c r="Z266" s="737" t="n"/>
      <c r="AA266" s="737" t="n"/>
      <c r="AB266" s="737" t="n"/>
      <c r="AC266" s="737" t="n"/>
      <c r="AD266" s="737" t="n"/>
      <c r="AE266" s="737" t="n"/>
      <c r="AF266" s="737" t="n"/>
      <c r="AG266" s="737" t="n"/>
      <c r="AH266" s="737" t="n"/>
      <c r="AI266" s="737" t="n"/>
      <c r="AJ266" s="737" t="n"/>
      <c r="AK266" s="588" t="n"/>
      <c r="AL266" s="588" t="n"/>
      <c r="AM266" s="588" t="n"/>
      <c r="AN266" s="588" t="n"/>
      <c r="AO266" s="588" t="n"/>
      <c r="AP266" s="588" t="n"/>
      <c r="AQ266" s="588" t="n"/>
      <c r="AR266" s="588" t="n"/>
      <c r="AS266" s="588" t="n"/>
      <c r="AT266" s="588" t="n"/>
      <c r="AU266" s="588" t="n"/>
      <c r="AV266" s="588" t="n"/>
      <c r="AW266" s="588" t="n"/>
      <c r="AX266" s="588" t="n"/>
      <c r="AY266" s="588" t="n"/>
      <c r="AZ266" s="588" t="n"/>
      <c r="BA266" s="588" t="n"/>
      <c r="BB266" s="588" t="n"/>
      <c r="BC266" s="588" t="n"/>
      <c r="BD266" s="588" t="n"/>
      <c r="BE266" s="588" t="n"/>
      <c r="BF266" s="588" t="n"/>
      <c r="BG266" s="588" t="n"/>
      <c r="BH266" s="588" t="n"/>
      <c r="BI266" s="588" t="n"/>
      <c r="BJ266" s="588" t="n"/>
      <c r="BK266" s="588" t="n"/>
      <c r="BL266" s="588" t="n"/>
      <c r="BM266" s="588" t="n"/>
      <c r="BN266" s="588" t="n"/>
      <c r="BO266" s="588" t="n"/>
      <c r="BP266" s="588" t="n"/>
      <c r="BQ266" s="588" t="n"/>
      <c r="BR266" s="588" t="n"/>
      <c r="BS266" s="588" t="n"/>
      <c r="BT266" s="588" t="n"/>
      <c r="BU266" s="588" t="n"/>
      <c r="BV266" s="588" t="n"/>
      <c r="BW266" s="588" t="n"/>
      <c r="BX266" s="588" t="n"/>
      <c r="BY266" s="588" t="n"/>
      <c r="BZ266" s="588" t="n"/>
      <c r="CA266" s="588" t="n"/>
      <c r="CB266" s="588" t="n"/>
      <c r="CC266" s="588" t="n"/>
      <c r="CD266" s="588" t="n"/>
      <c r="CE266" s="588" t="n"/>
      <c r="CF266" s="588" t="n"/>
      <c r="CG266" s="588" t="n"/>
      <c r="CH266" s="588" t="n"/>
      <c r="CI266" s="588" t="n"/>
      <c r="CJ266" s="588" t="n"/>
      <c r="CK266" s="588" t="n"/>
      <c r="CL266" s="588" t="n"/>
      <c r="CM266" s="588" t="n"/>
      <c r="CN266" s="588" t="n"/>
      <c r="CO266" s="588" t="n"/>
      <c r="CP266" s="588" t="n"/>
      <c r="CQ266" s="588" t="n"/>
      <c r="CR266" s="588" t="n"/>
      <c r="CS266" s="588" t="n"/>
      <c r="CT266" s="588" t="n"/>
      <c r="CU266" s="588" t="n"/>
      <c r="CV266" s="588" t="n"/>
      <c r="CW266" s="588" t="n"/>
      <c r="CX266" s="588" t="n"/>
      <c r="CY266" s="588" t="n"/>
      <c r="CZ266" s="588" t="n"/>
      <c r="DA266" s="588" t="n"/>
      <c r="DB266" s="588" t="n"/>
      <c r="DC266" s="588" t="n"/>
      <c r="DD266" s="588" t="n"/>
      <c r="DE266" s="588" t="n"/>
      <c r="DF266" s="588" t="n"/>
      <c r="DG266" s="588" t="n"/>
      <c r="DH266" s="588" t="n"/>
      <c r="DI266" s="588" t="n"/>
      <c r="DJ266" s="588" t="n"/>
      <c r="DK266" s="588" t="n"/>
      <c r="DL266" s="588" t="n"/>
      <c r="DM266" s="588" t="n"/>
      <c r="DN266" s="588" t="n"/>
      <c r="DO266" s="588" t="n"/>
      <c r="DP266" s="588" t="n"/>
      <c r="DQ266" s="588" t="n"/>
      <c r="DR266" s="588" t="n"/>
      <c r="DS266" s="588" t="n"/>
      <c r="DT266" s="588" t="n"/>
      <c r="DU266" s="588" t="n"/>
    </row>
    <row r="267">
      <c r="A267" s="737" t="n"/>
      <c r="B267" s="737" t="n"/>
      <c r="C267" s="737" t="n"/>
      <c r="D267" s="737" t="n"/>
      <c r="E267" s="737" t="n"/>
      <c r="F267" s="737" t="n"/>
      <c r="G267" s="737" t="n"/>
      <c r="H267" s="737" t="n"/>
      <c r="I267" s="737" t="n"/>
      <c r="J267" s="737" t="n"/>
      <c r="K267" s="737" t="n"/>
      <c r="L267" s="737" t="n"/>
      <c r="M267" s="737" t="n"/>
      <c r="N267" s="737" t="n"/>
      <c r="O267" s="737" t="n"/>
      <c r="P267" s="737" t="n"/>
      <c r="Q267" s="737" t="n"/>
      <c r="R267" s="737" t="n"/>
      <c r="S267" s="737" t="n"/>
      <c r="T267" s="737" t="n"/>
      <c r="U267" s="737" t="n"/>
      <c r="V267" s="737" t="n"/>
      <c r="W267" s="737" t="n"/>
      <c r="X267" s="737" t="n"/>
      <c r="Y267" s="737" t="n"/>
      <c r="Z267" s="737" t="n"/>
      <c r="AA267" s="737" t="n"/>
      <c r="AB267" s="737" t="n"/>
      <c r="AC267" s="737" t="n"/>
      <c r="AD267" s="737" t="n"/>
      <c r="AE267" s="737" t="n"/>
      <c r="AF267" s="737" t="n"/>
      <c r="AG267" s="737" t="n"/>
      <c r="AH267" s="737" t="n"/>
      <c r="AI267" s="737" t="n"/>
      <c r="AJ267" s="737" t="n"/>
      <c r="AK267" s="588" t="n"/>
      <c r="AL267" s="588" t="n"/>
      <c r="AM267" s="588" t="n"/>
      <c r="AN267" s="588" t="n"/>
      <c r="AO267" s="588" t="n"/>
      <c r="AP267" s="588" t="n"/>
      <c r="AQ267" s="588" t="n"/>
      <c r="AR267" s="588" t="n"/>
      <c r="AS267" s="588" t="n"/>
      <c r="AT267" s="588" t="n"/>
      <c r="AU267" s="588" t="n"/>
      <c r="AV267" s="588" t="n"/>
      <c r="AW267" s="588" t="n"/>
      <c r="AX267" s="588" t="n"/>
      <c r="AY267" s="588" t="n"/>
      <c r="AZ267" s="588" t="n"/>
      <c r="BA267" s="588" t="n"/>
      <c r="BB267" s="588" t="n"/>
      <c r="BC267" s="588" t="n"/>
      <c r="BD267" s="588" t="n"/>
      <c r="BE267" s="588" t="n"/>
      <c r="BF267" s="588" t="n"/>
      <c r="BG267" s="588" t="n"/>
      <c r="BH267" s="588" t="n"/>
      <c r="BI267" s="588" t="n"/>
      <c r="BJ267" s="588" t="n"/>
      <c r="BK267" s="588" t="n"/>
      <c r="BL267" s="588" t="n"/>
      <c r="BM267" s="588" t="n"/>
      <c r="BN267" s="588" t="n"/>
      <c r="BO267" s="588" t="n"/>
      <c r="BP267" s="588" t="n"/>
      <c r="BQ267" s="588" t="n"/>
      <c r="BR267" s="588" t="n"/>
      <c r="BS267" s="588" t="n"/>
      <c r="BT267" s="588" t="n"/>
      <c r="BU267" s="588" t="n"/>
      <c r="BV267" s="588" t="n"/>
      <c r="BW267" s="588" t="n"/>
      <c r="BX267" s="588" t="n"/>
      <c r="BY267" s="588" t="n"/>
      <c r="BZ267" s="588" t="n"/>
      <c r="CA267" s="588" t="n"/>
      <c r="CB267" s="588" t="n"/>
      <c r="CC267" s="588" t="n"/>
      <c r="CD267" s="588" t="n"/>
      <c r="CE267" s="588" t="n"/>
      <c r="CF267" s="588" t="n"/>
      <c r="CG267" s="588" t="n"/>
      <c r="CH267" s="588" t="n"/>
      <c r="CI267" s="588" t="n"/>
      <c r="CJ267" s="588" t="n"/>
      <c r="CK267" s="588" t="n"/>
      <c r="CL267" s="588" t="n"/>
      <c r="CM267" s="588" t="n"/>
      <c r="CN267" s="588" t="n"/>
      <c r="CO267" s="588" t="n"/>
      <c r="CP267" s="588" t="n"/>
      <c r="CQ267" s="588" t="n"/>
      <c r="CR267" s="588" t="n"/>
      <c r="CS267" s="588" t="n"/>
      <c r="CT267" s="588" t="n"/>
      <c r="CU267" s="588" t="n"/>
      <c r="CV267" s="588" t="n"/>
      <c r="CW267" s="588" t="n"/>
      <c r="CX267" s="588" t="n"/>
      <c r="CY267" s="588" t="n"/>
      <c r="CZ267" s="588" t="n"/>
      <c r="DA267" s="588" t="n"/>
      <c r="DB267" s="588" t="n"/>
      <c r="DC267" s="588" t="n"/>
      <c r="DD267" s="588" t="n"/>
      <c r="DE267" s="588" t="n"/>
      <c r="DF267" s="588" t="n"/>
      <c r="DG267" s="588" t="n"/>
      <c r="DH267" s="588" t="n"/>
      <c r="DI267" s="588" t="n"/>
      <c r="DJ267" s="588" t="n"/>
      <c r="DK267" s="588" t="n"/>
      <c r="DL267" s="588" t="n"/>
      <c r="DM267" s="588" t="n"/>
      <c r="DN267" s="588" t="n"/>
      <c r="DO267" s="588" t="n"/>
      <c r="DP267" s="588" t="n"/>
      <c r="DQ267" s="588" t="n"/>
      <c r="DR267" s="588" t="n"/>
      <c r="DS267" s="588" t="n"/>
      <c r="DT267" s="588" t="n"/>
      <c r="DU267" s="588" t="n"/>
    </row>
    <row r="268">
      <c r="A268" s="737" t="n"/>
      <c r="B268" s="737" t="n"/>
      <c r="C268" s="737" t="n"/>
      <c r="D268" s="737" t="n"/>
      <c r="E268" s="737" t="n"/>
      <c r="F268" s="737" t="n"/>
      <c r="G268" s="737" t="n"/>
      <c r="H268" s="737" t="n"/>
      <c r="I268" s="737" t="n"/>
      <c r="J268" s="737" t="n"/>
      <c r="K268" s="737" t="n"/>
      <c r="L268" s="737" t="n"/>
      <c r="M268" s="737" t="n"/>
      <c r="N268" s="737" t="n"/>
      <c r="O268" s="737" t="n"/>
      <c r="P268" s="737" t="n"/>
      <c r="Q268" s="737" t="n"/>
      <c r="R268" s="737" t="n"/>
      <c r="S268" s="737" t="n"/>
      <c r="T268" s="737" t="n"/>
      <c r="U268" s="737" t="n"/>
      <c r="V268" s="737" t="n"/>
      <c r="W268" s="737" t="n"/>
      <c r="X268" s="737" t="n"/>
      <c r="Y268" s="737" t="n"/>
      <c r="Z268" s="737" t="n"/>
      <c r="AA268" s="737" t="n"/>
      <c r="AB268" s="737" t="n"/>
      <c r="AC268" s="737" t="n"/>
      <c r="AD268" s="737" t="n"/>
      <c r="AE268" s="737" t="n"/>
      <c r="AF268" s="737" t="n"/>
      <c r="AG268" s="737" t="n"/>
      <c r="AH268" s="737" t="n"/>
      <c r="AI268" s="737" t="n"/>
      <c r="AJ268" s="737" t="n"/>
      <c r="AK268" s="588" t="n"/>
      <c r="AL268" s="588" t="n"/>
      <c r="AM268" s="588" t="n"/>
      <c r="AN268" s="588" t="n"/>
      <c r="AO268" s="588" t="n"/>
      <c r="AP268" s="588" t="n"/>
      <c r="AQ268" s="588" t="n"/>
      <c r="AR268" s="588" t="n"/>
      <c r="AS268" s="588" t="n"/>
      <c r="AT268" s="588" t="n"/>
      <c r="AU268" s="588" t="n"/>
      <c r="AV268" s="588" t="n"/>
      <c r="AW268" s="588" t="n"/>
      <c r="AX268" s="588" t="n"/>
      <c r="AY268" s="588" t="n"/>
      <c r="AZ268" s="588" t="n"/>
      <c r="BA268" s="588" t="n"/>
      <c r="BB268" s="588" t="n"/>
      <c r="BC268" s="588" t="n"/>
      <c r="BD268" s="588" t="n"/>
      <c r="BE268" s="588" t="n"/>
      <c r="BF268" s="588" t="n"/>
      <c r="BG268" s="588" t="n"/>
      <c r="BH268" s="588" t="n"/>
      <c r="BI268" s="588" t="n"/>
      <c r="BJ268" s="588" t="n"/>
      <c r="BK268" s="588" t="n"/>
      <c r="BL268" s="588" t="n"/>
      <c r="BM268" s="588" t="n"/>
      <c r="BN268" s="588" t="n"/>
      <c r="BO268" s="588" t="n"/>
      <c r="BP268" s="588" t="n"/>
      <c r="BQ268" s="588" t="n"/>
      <c r="BR268" s="588" t="n"/>
      <c r="BS268" s="588" t="n"/>
      <c r="BT268" s="588" t="n"/>
      <c r="BU268" s="588" t="n"/>
      <c r="BV268" s="588" t="n"/>
      <c r="BW268" s="588" t="n"/>
      <c r="BX268" s="588" t="n"/>
      <c r="BY268" s="588" t="n"/>
      <c r="BZ268" s="588" t="n"/>
      <c r="CA268" s="588" t="n"/>
      <c r="CB268" s="588" t="n"/>
      <c r="CC268" s="588" t="n"/>
      <c r="CD268" s="588" t="n"/>
      <c r="CE268" s="588" t="n"/>
      <c r="CF268" s="588" t="n"/>
      <c r="CG268" s="588" t="n"/>
      <c r="CH268" s="588" t="n"/>
      <c r="CI268" s="588" t="n"/>
      <c r="CJ268" s="588" t="n"/>
      <c r="CK268" s="588" t="n"/>
      <c r="CL268" s="588" t="n"/>
      <c r="CM268" s="588" t="n"/>
      <c r="CN268" s="588" t="n"/>
      <c r="CO268" s="588" t="n"/>
      <c r="CP268" s="588" t="n"/>
      <c r="CQ268" s="588" t="n"/>
      <c r="CR268" s="588" t="n"/>
      <c r="CS268" s="588" t="n"/>
      <c r="CT268" s="588" t="n"/>
      <c r="CU268" s="588" t="n"/>
      <c r="CV268" s="588" t="n"/>
      <c r="CW268" s="588" t="n"/>
      <c r="CX268" s="588" t="n"/>
      <c r="CY268" s="588" t="n"/>
      <c r="CZ268" s="588" t="n"/>
      <c r="DA268" s="588" t="n"/>
      <c r="DB268" s="588" t="n"/>
      <c r="DC268" s="588" t="n"/>
      <c r="DD268" s="588" t="n"/>
      <c r="DE268" s="588" t="n"/>
      <c r="DF268" s="588" t="n"/>
      <c r="DG268" s="588" t="n"/>
      <c r="DH268" s="588" t="n"/>
      <c r="DI268" s="588" t="n"/>
      <c r="DJ268" s="588" t="n"/>
      <c r="DK268" s="588" t="n"/>
      <c r="DL268" s="588" t="n"/>
      <c r="DM268" s="588" t="n"/>
      <c r="DN268" s="588" t="n"/>
      <c r="DO268" s="588" t="n"/>
      <c r="DP268" s="588" t="n"/>
      <c r="DQ268" s="588" t="n"/>
      <c r="DR268" s="588" t="n"/>
      <c r="DS268" s="588" t="n"/>
      <c r="DT268" s="588" t="n"/>
      <c r="DU268" s="588" t="n"/>
    </row>
    <row r="269">
      <c r="A269" s="737" t="n"/>
      <c r="B269" s="737" t="n"/>
      <c r="C269" s="737" t="n"/>
      <c r="D269" s="737" t="n"/>
      <c r="E269" s="737" t="n"/>
      <c r="F269" s="737" t="n"/>
      <c r="G269" s="737" t="n"/>
      <c r="H269" s="737" t="n"/>
      <c r="I269" s="737" t="n"/>
      <c r="J269" s="737" t="n"/>
      <c r="K269" s="737" t="n"/>
      <c r="L269" s="737" t="n"/>
      <c r="M269" s="737" t="n"/>
      <c r="N269" s="737" t="n"/>
      <c r="O269" s="737" t="n"/>
      <c r="P269" s="737" t="n"/>
      <c r="Q269" s="737" t="n"/>
      <c r="R269" s="737" t="n"/>
      <c r="S269" s="737" t="n"/>
      <c r="T269" s="737" t="n"/>
      <c r="U269" s="737" t="n"/>
      <c r="V269" s="737" t="n"/>
      <c r="W269" s="737" t="n"/>
      <c r="X269" s="737" t="n"/>
      <c r="Y269" s="737" t="n"/>
      <c r="Z269" s="737" t="n"/>
      <c r="AA269" s="737" t="n"/>
      <c r="AB269" s="737" t="n"/>
      <c r="AC269" s="737" t="n"/>
      <c r="AD269" s="737" t="n"/>
      <c r="AE269" s="737" t="n"/>
      <c r="AF269" s="737" t="n"/>
      <c r="AG269" s="737" t="n"/>
      <c r="AH269" s="737" t="n"/>
      <c r="AI269" s="737" t="n"/>
      <c r="AJ269" s="737" t="n"/>
      <c r="AK269" s="588" t="n"/>
      <c r="AL269" s="588" t="n"/>
      <c r="AM269" s="588" t="n"/>
      <c r="AN269" s="588" t="n"/>
      <c r="AO269" s="588" t="n"/>
      <c r="AP269" s="588" t="n"/>
      <c r="AQ269" s="588" t="n"/>
      <c r="AR269" s="588" t="n"/>
      <c r="AS269" s="588" t="n"/>
      <c r="AT269" s="588" t="n"/>
      <c r="AU269" s="588" t="n"/>
      <c r="AV269" s="588" t="n"/>
      <c r="AW269" s="588" t="n"/>
      <c r="AX269" s="588" t="n"/>
      <c r="AY269" s="588" t="n"/>
      <c r="AZ269" s="588" t="n"/>
      <c r="BA269" s="588" t="n"/>
      <c r="BB269" s="588" t="n"/>
      <c r="BC269" s="588" t="n"/>
      <c r="BD269" s="588" t="n"/>
      <c r="BE269" s="588" t="n"/>
      <c r="BF269" s="588" t="n"/>
      <c r="BG269" s="588" t="n"/>
      <c r="BH269" s="588" t="n"/>
      <c r="BI269" s="588" t="n"/>
      <c r="BJ269" s="588" t="n"/>
      <c r="BK269" s="588" t="n"/>
      <c r="BL269" s="588" t="n"/>
      <c r="BM269" s="588" t="n"/>
      <c r="BN269" s="588" t="n"/>
      <c r="BO269" s="588" t="n"/>
      <c r="BP269" s="588" t="n"/>
      <c r="BQ269" s="588" t="n"/>
      <c r="BR269" s="588" t="n"/>
      <c r="BS269" s="588" t="n"/>
      <c r="BT269" s="588" t="n"/>
      <c r="BU269" s="588" t="n"/>
      <c r="BV269" s="588" t="n"/>
      <c r="BW269" s="588" t="n"/>
      <c r="BX269" s="588" t="n"/>
      <c r="BY269" s="588" t="n"/>
      <c r="BZ269" s="588" t="n"/>
      <c r="CA269" s="588" t="n"/>
      <c r="CB269" s="588" t="n"/>
      <c r="CC269" s="588" t="n"/>
      <c r="CD269" s="588" t="n"/>
      <c r="CE269" s="588" t="n"/>
      <c r="CF269" s="588" t="n"/>
      <c r="CG269" s="588" t="n"/>
      <c r="CH269" s="588" t="n"/>
      <c r="CI269" s="588" t="n"/>
      <c r="CJ269" s="588" t="n"/>
      <c r="CK269" s="588" t="n"/>
      <c r="CL269" s="588" t="n"/>
      <c r="CM269" s="588" t="n"/>
      <c r="CN269" s="588" t="n"/>
      <c r="CO269" s="588" t="n"/>
      <c r="CP269" s="588" t="n"/>
      <c r="CQ269" s="588" t="n"/>
      <c r="CR269" s="588" t="n"/>
      <c r="CS269" s="588" t="n"/>
      <c r="CT269" s="588" t="n"/>
      <c r="CU269" s="588" t="n"/>
      <c r="CV269" s="588" t="n"/>
      <c r="CW269" s="588" t="n"/>
      <c r="CX269" s="588" t="n"/>
      <c r="CY269" s="588" t="n"/>
      <c r="CZ269" s="588" t="n"/>
      <c r="DA269" s="588" t="n"/>
      <c r="DB269" s="588" t="n"/>
      <c r="DC269" s="588" t="n"/>
      <c r="DD269" s="588" t="n"/>
      <c r="DE269" s="588" t="n"/>
      <c r="DF269" s="588" t="n"/>
      <c r="DG269" s="588" t="n"/>
      <c r="DH269" s="588" t="n"/>
      <c r="DI269" s="588" t="n"/>
      <c r="DJ269" s="588" t="n"/>
      <c r="DK269" s="588" t="n"/>
      <c r="DL269" s="588" t="n"/>
      <c r="DM269" s="588" t="n"/>
      <c r="DN269" s="588" t="n"/>
      <c r="DO269" s="588" t="n"/>
      <c r="DP269" s="588" t="n"/>
      <c r="DQ269" s="588" t="n"/>
      <c r="DR269" s="588" t="n"/>
      <c r="DS269" s="588" t="n"/>
      <c r="DT269" s="588" t="n"/>
      <c r="DU269" s="588" t="n"/>
    </row>
    <row r="270">
      <c r="A270" s="737" t="n"/>
      <c r="B270" s="737" t="n"/>
      <c r="C270" s="737" t="n"/>
      <c r="D270" s="737" t="n"/>
      <c r="E270" s="737" t="n"/>
      <c r="F270" s="737" t="n"/>
      <c r="G270" s="737" t="n"/>
      <c r="H270" s="737" t="n"/>
      <c r="I270" s="737" t="n"/>
      <c r="J270" s="737" t="n"/>
      <c r="K270" s="737" t="n"/>
      <c r="L270" s="737" t="n"/>
      <c r="M270" s="737" t="n"/>
      <c r="N270" s="737" t="n"/>
      <c r="O270" s="737" t="n"/>
      <c r="P270" s="737" t="n"/>
      <c r="Q270" s="737" t="n"/>
      <c r="R270" s="737" t="n"/>
      <c r="S270" s="737" t="n"/>
      <c r="T270" s="737" t="n"/>
      <c r="U270" s="737" t="n"/>
      <c r="V270" s="737" t="n"/>
      <c r="W270" s="737" t="n"/>
      <c r="X270" s="737" t="n"/>
      <c r="Y270" s="737" t="n"/>
      <c r="Z270" s="737" t="n"/>
      <c r="AA270" s="737" t="n"/>
      <c r="AB270" s="737" t="n"/>
      <c r="AC270" s="737" t="n"/>
      <c r="AD270" s="737" t="n"/>
      <c r="AE270" s="737" t="n"/>
      <c r="AF270" s="737" t="n"/>
      <c r="AG270" s="737" t="n"/>
      <c r="AH270" s="737" t="n"/>
      <c r="AI270" s="737" t="n"/>
      <c r="AJ270" s="737" t="n"/>
      <c r="AK270" s="588" t="n"/>
      <c r="AL270" s="588" t="n"/>
      <c r="AM270" s="588" t="n"/>
      <c r="AN270" s="588" t="n"/>
      <c r="AO270" s="588" t="n"/>
      <c r="AP270" s="588" t="n"/>
      <c r="AQ270" s="588" t="n"/>
      <c r="AR270" s="588" t="n"/>
      <c r="AS270" s="588" t="n"/>
      <c r="AT270" s="588" t="n"/>
      <c r="AU270" s="588" t="n"/>
      <c r="AV270" s="588" t="n"/>
      <c r="AW270" s="588" t="n"/>
      <c r="AX270" s="588" t="n"/>
      <c r="AY270" s="588" t="n"/>
      <c r="AZ270" s="588" t="n"/>
      <c r="BA270" s="588" t="n"/>
      <c r="BB270" s="588" t="n"/>
      <c r="BC270" s="588" t="n"/>
      <c r="BD270" s="588" t="n"/>
      <c r="BE270" s="588" t="n"/>
      <c r="BF270" s="588" t="n"/>
      <c r="BG270" s="588" t="n"/>
      <c r="BH270" s="588" t="n"/>
      <c r="BI270" s="588" t="n"/>
      <c r="BJ270" s="588" t="n"/>
      <c r="BK270" s="588" t="n"/>
      <c r="BL270" s="588" t="n"/>
      <c r="BM270" s="588" t="n"/>
      <c r="BN270" s="588" t="n"/>
      <c r="BO270" s="588" t="n"/>
      <c r="BP270" s="588" t="n"/>
      <c r="BQ270" s="588" t="n"/>
      <c r="BR270" s="588" t="n"/>
      <c r="BS270" s="588" t="n"/>
      <c r="BT270" s="588" t="n"/>
      <c r="BU270" s="588" t="n"/>
      <c r="BV270" s="588" t="n"/>
      <c r="BW270" s="588" t="n"/>
      <c r="BX270" s="588" t="n"/>
      <c r="BY270" s="588" t="n"/>
      <c r="BZ270" s="588" t="n"/>
      <c r="CA270" s="588" t="n"/>
      <c r="CB270" s="588" t="n"/>
      <c r="CC270" s="588" t="n"/>
      <c r="CD270" s="588" t="n"/>
      <c r="CE270" s="588" t="n"/>
      <c r="CF270" s="588" t="n"/>
      <c r="CG270" s="588" t="n"/>
      <c r="CH270" s="588" t="n"/>
      <c r="CI270" s="588" t="n"/>
      <c r="CJ270" s="588" t="n"/>
      <c r="CK270" s="588" t="n"/>
      <c r="CL270" s="588" t="n"/>
      <c r="CM270" s="588" t="n"/>
      <c r="CN270" s="588" t="n"/>
      <c r="CO270" s="588" t="n"/>
      <c r="CP270" s="588" t="n"/>
      <c r="CQ270" s="588" t="n"/>
      <c r="CR270" s="588" t="n"/>
      <c r="CS270" s="588" t="n"/>
      <c r="CT270" s="588" t="n"/>
      <c r="CU270" s="588" t="n"/>
      <c r="CV270" s="588" t="n"/>
      <c r="CW270" s="588" t="n"/>
      <c r="CX270" s="588" t="n"/>
      <c r="CY270" s="588" t="n"/>
      <c r="CZ270" s="588" t="n"/>
      <c r="DA270" s="588" t="n"/>
      <c r="DB270" s="588" t="n"/>
      <c r="DC270" s="588" t="n"/>
      <c r="DD270" s="588" t="n"/>
      <c r="DE270" s="588" t="n"/>
      <c r="DF270" s="588" t="n"/>
      <c r="DG270" s="588" t="n"/>
      <c r="DH270" s="588" t="n"/>
      <c r="DI270" s="588" t="n"/>
      <c r="DJ270" s="588" t="n"/>
      <c r="DK270" s="588" t="n"/>
      <c r="DL270" s="588" t="n"/>
      <c r="DM270" s="588" t="n"/>
      <c r="DN270" s="588" t="n"/>
      <c r="DO270" s="588" t="n"/>
      <c r="DP270" s="588" t="n"/>
      <c r="DQ270" s="588" t="n"/>
      <c r="DR270" s="588" t="n"/>
      <c r="DS270" s="588" t="n"/>
      <c r="DT270" s="588" t="n"/>
      <c r="DU270" s="588" t="n"/>
    </row>
    <row r="271">
      <c r="A271" s="737" t="n"/>
      <c r="B271" s="737" t="n"/>
      <c r="C271" s="737" t="n"/>
      <c r="D271" s="737" t="n"/>
      <c r="E271" s="737" t="n"/>
      <c r="F271" s="737" t="n"/>
      <c r="G271" s="737" t="n"/>
      <c r="H271" s="737" t="n"/>
      <c r="I271" s="737" t="n"/>
      <c r="J271" s="737" t="n"/>
      <c r="K271" s="737" t="n"/>
      <c r="L271" s="737" t="n"/>
      <c r="M271" s="737" t="n"/>
      <c r="N271" s="737" t="n"/>
      <c r="O271" s="737" t="n"/>
      <c r="P271" s="737" t="n"/>
      <c r="Q271" s="737" t="n"/>
      <c r="R271" s="737" t="n"/>
      <c r="S271" s="737" t="n"/>
      <c r="T271" s="737" t="n"/>
      <c r="U271" s="737" t="n"/>
      <c r="V271" s="737" t="n"/>
      <c r="W271" s="737" t="n"/>
      <c r="X271" s="737" t="n"/>
      <c r="Y271" s="737" t="n"/>
      <c r="Z271" s="737" t="n"/>
      <c r="AA271" s="737" t="n"/>
      <c r="AB271" s="737" t="n"/>
      <c r="AC271" s="737" t="n"/>
      <c r="AD271" s="737" t="n"/>
      <c r="AE271" s="737" t="n"/>
      <c r="AF271" s="737" t="n"/>
      <c r="AG271" s="737" t="n"/>
      <c r="AH271" s="737" t="n"/>
      <c r="AI271" s="737" t="n"/>
      <c r="AJ271" s="737" t="n"/>
      <c r="AK271" s="588" t="n"/>
      <c r="AL271" s="588" t="n"/>
      <c r="AM271" s="588" t="n"/>
      <c r="AN271" s="588" t="n"/>
      <c r="AO271" s="588" t="n"/>
      <c r="AP271" s="588" t="n"/>
      <c r="AQ271" s="588" t="n"/>
      <c r="AR271" s="588" t="n"/>
      <c r="AS271" s="588" t="n"/>
      <c r="AT271" s="588" t="n"/>
      <c r="AU271" s="588" t="n"/>
      <c r="AV271" s="588" t="n"/>
      <c r="AW271" s="588" t="n"/>
      <c r="AX271" s="588" t="n"/>
      <c r="AY271" s="588" t="n"/>
      <c r="AZ271" s="588" t="n"/>
      <c r="BA271" s="588" t="n"/>
      <c r="BB271" s="588" t="n"/>
      <c r="BC271" s="588" t="n"/>
      <c r="BD271" s="588" t="n"/>
      <c r="BE271" s="588" t="n"/>
      <c r="BF271" s="588" t="n"/>
      <c r="BG271" s="588" t="n"/>
      <c r="BH271" s="588" t="n"/>
      <c r="BI271" s="588" t="n"/>
      <c r="BJ271" s="588" t="n"/>
      <c r="BK271" s="588" t="n"/>
      <c r="BL271" s="588" t="n"/>
      <c r="BM271" s="588" t="n"/>
      <c r="BN271" s="588" t="n"/>
      <c r="BO271" s="588" t="n"/>
      <c r="BP271" s="588" t="n"/>
      <c r="BQ271" s="588" t="n"/>
      <c r="BR271" s="588" t="n"/>
      <c r="BS271" s="588" t="n"/>
      <c r="BT271" s="588" t="n"/>
      <c r="BU271" s="588" t="n"/>
      <c r="BV271" s="588" t="n"/>
      <c r="BW271" s="588" t="n"/>
      <c r="BX271" s="588" t="n"/>
      <c r="BY271" s="588" t="n"/>
      <c r="BZ271" s="588" t="n"/>
      <c r="CA271" s="588" t="n"/>
      <c r="CB271" s="588" t="n"/>
      <c r="CC271" s="588" t="n"/>
      <c r="CD271" s="588" t="n"/>
      <c r="CE271" s="588" t="n"/>
      <c r="CF271" s="588" t="n"/>
      <c r="CG271" s="588" t="n"/>
      <c r="CH271" s="588" t="n"/>
      <c r="CI271" s="588" t="n"/>
      <c r="CJ271" s="588" t="n"/>
      <c r="CK271" s="588" t="n"/>
      <c r="CL271" s="588" t="n"/>
      <c r="CM271" s="588" t="n"/>
      <c r="CN271" s="588" t="n"/>
      <c r="CO271" s="588" t="n"/>
      <c r="CP271" s="588" t="n"/>
      <c r="CQ271" s="588" t="n"/>
      <c r="CR271" s="588" t="n"/>
      <c r="CS271" s="588" t="n"/>
      <c r="CT271" s="588" t="n"/>
      <c r="CU271" s="588" t="n"/>
      <c r="CV271" s="588" t="n"/>
      <c r="CW271" s="588" t="n"/>
      <c r="CX271" s="588" t="n"/>
      <c r="CY271" s="588" t="n"/>
      <c r="CZ271" s="588" t="n"/>
      <c r="DA271" s="588" t="n"/>
      <c r="DB271" s="588" t="n"/>
      <c r="DC271" s="588" t="n"/>
      <c r="DD271" s="588" t="n"/>
      <c r="DE271" s="588" t="n"/>
      <c r="DF271" s="588" t="n"/>
      <c r="DG271" s="588" t="n"/>
      <c r="DH271" s="588" t="n"/>
      <c r="DI271" s="588" t="n"/>
      <c r="DJ271" s="588" t="n"/>
      <c r="DK271" s="588" t="n"/>
      <c r="DL271" s="588" t="n"/>
      <c r="DM271" s="588" t="n"/>
      <c r="DN271" s="588" t="n"/>
      <c r="DO271" s="588" t="n"/>
      <c r="DP271" s="588" t="n"/>
      <c r="DQ271" s="588" t="n"/>
      <c r="DR271" s="588" t="n"/>
      <c r="DS271" s="588" t="n"/>
      <c r="DT271" s="588" t="n"/>
      <c r="DU271" s="588" t="n"/>
    </row>
    <row r="272">
      <c r="A272" s="737" t="n"/>
      <c r="B272" s="737" t="n"/>
      <c r="C272" s="737" t="n"/>
      <c r="D272" s="737" t="n"/>
      <c r="E272" s="737" t="n"/>
      <c r="F272" s="737" t="n"/>
      <c r="G272" s="737" t="n"/>
      <c r="H272" s="737" t="n"/>
      <c r="I272" s="737" t="n"/>
      <c r="J272" s="737" t="n"/>
      <c r="K272" s="737" t="n"/>
      <c r="L272" s="737" t="n"/>
      <c r="M272" s="737" t="n"/>
      <c r="N272" s="737" t="n"/>
      <c r="O272" s="737" t="n"/>
      <c r="P272" s="737" t="n"/>
      <c r="Q272" s="737" t="n"/>
      <c r="R272" s="737" t="n"/>
      <c r="S272" s="737" t="n"/>
      <c r="T272" s="737" t="n"/>
      <c r="U272" s="737" t="n"/>
      <c r="V272" s="737" t="n"/>
      <c r="W272" s="737" t="n"/>
      <c r="X272" s="737" t="n"/>
      <c r="Y272" s="737" t="n"/>
      <c r="Z272" s="737" t="n"/>
      <c r="AA272" s="737" t="n"/>
      <c r="AB272" s="737" t="n"/>
      <c r="AC272" s="737" t="n"/>
      <c r="AD272" s="737" t="n"/>
      <c r="AE272" s="737" t="n"/>
      <c r="AF272" s="737" t="n"/>
      <c r="AG272" s="737" t="n"/>
      <c r="AH272" s="737" t="n"/>
      <c r="AI272" s="737" t="n"/>
      <c r="AJ272" s="737" t="n"/>
      <c r="AK272" s="588" t="n"/>
      <c r="AL272" s="588" t="n"/>
      <c r="AM272" s="588" t="n"/>
      <c r="AN272" s="588" t="n"/>
      <c r="AO272" s="588" t="n"/>
      <c r="AP272" s="588" t="n"/>
      <c r="AQ272" s="588" t="n"/>
      <c r="AR272" s="588" t="n"/>
      <c r="AS272" s="588" t="n"/>
      <c r="AT272" s="588" t="n"/>
      <c r="AU272" s="588" t="n"/>
      <c r="AV272" s="588" t="n"/>
      <c r="AW272" s="588" t="n"/>
      <c r="AX272" s="588" t="n"/>
      <c r="AY272" s="588" t="n"/>
      <c r="AZ272" s="588" t="n"/>
      <c r="BA272" s="588" t="n"/>
      <c r="BB272" s="588" t="n"/>
      <c r="BC272" s="588" t="n"/>
      <c r="BD272" s="588" t="n"/>
      <c r="BE272" s="588" t="n"/>
      <c r="BF272" s="588" t="n"/>
      <c r="BG272" s="588" t="n"/>
      <c r="BH272" s="588" t="n"/>
      <c r="BI272" s="588" t="n"/>
      <c r="BJ272" s="588" t="n"/>
      <c r="BK272" s="588" t="n"/>
      <c r="BL272" s="588" t="n"/>
      <c r="BM272" s="588" t="n"/>
      <c r="BN272" s="588" t="n"/>
      <c r="BO272" s="588" t="n"/>
      <c r="BP272" s="588" t="n"/>
      <c r="BQ272" s="588" t="n"/>
      <c r="BR272" s="588" t="n"/>
      <c r="BS272" s="588" t="n"/>
      <c r="BT272" s="588" t="n"/>
      <c r="BU272" s="588" t="n"/>
      <c r="BV272" s="588" t="n"/>
      <c r="BW272" s="588" t="n"/>
      <c r="BX272" s="588" t="n"/>
      <c r="BY272" s="588" t="n"/>
      <c r="BZ272" s="588" t="n"/>
      <c r="CA272" s="588" t="n"/>
      <c r="CB272" s="588" t="n"/>
      <c r="CC272" s="588" t="n"/>
      <c r="CD272" s="588" t="n"/>
      <c r="CE272" s="588" t="n"/>
      <c r="CF272" s="588" t="n"/>
      <c r="CG272" s="588" t="n"/>
      <c r="CH272" s="588" t="n"/>
      <c r="CI272" s="588" t="n"/>
      <c r="CJ272" s="588" t="n"/>
      <c r="CK272" s="588" t="n"/>
      <c r="CL272" s="588" t="n"/>
      <c r="CM272" s="588" t="n"/>
      <c r="CN272" s="588" t="n"/>
      <c r="CO272" s="588" t="n"/>
      <c r="CP272" s="588" t="n"/>
      <c r="CQ272" s="588" t="n"/>
      <c r="CR272" s="588" t="n"/>
      <c r="CS272" s="588" t="n"/>
      <c r="CT272" s="588" t="n"/>
      <c r="CU272" s="588" t="n"/>
      <c r="CV272" s="588" t="n"/>
      <c r="CW272" s="588" t="n"/>
      <c r="CX272" s="588" t="n"/>
      <c r="CY272" s="588" t="n"/>
      <c r="CZ272" s="588" t="n"/>
      <c r="DA272" s="588" t="n"/>
      <c r="DB272" s="588" t="n"/>
      <c r="DC272" s="588" t="n"/>
      <c r="DD272" s="588" t="n"/>
      <c r="DE272" s="588" t="n"/>
      <c r="DF272" s="588" t="n"/>
      <c r="DG272" s="588" t="n"/>
      <c r="DH272" s="588" t="n"/>
      <c r="DI272" s="588" t="n"/>
      <c r="DJ272" s="588" t="n"/>
      <c r="DK272" s="588" t="n"/>
      <c r="DL272" s="588" t="n"/>
      <c r="DM272" s="588" t="n"/>
      <c r="DN272" s="588" t="n"/>
      <c r="DO272" s="588" t="n"/>
      <c r="DP272" s="588" t="n"/>
      <c r="DQ272" s="588" t="n"/>
      <c r="DR272" s="588" t="n"/>
      <c r="DS272" s="588" t="n"/>
      <c r="DT272" s="588" t="n"/>
      <c r="DU272" s="588" t="n"/>
    </row>
    <row r="273">
      <c r="A273" s="737" t="n"/>
      <c r="B273" s="737" t="n"/>
      <c r="C273" s="737" t="n"/>
      <c r="D273" s="737" t="n"/>
      <c r="E273" s="737" t="n"/>
      <c r="F273" s="737" t="n"/>
      <c r="G273" s="737" t="n"/>
      <c r="H273" s="737" t="n"/>
      <c r="I273" s="737" t="n"/>
      <c r="J273" s="737" t="n"/>
      <c r="K273" s="737" t="n"/>
      <c r="L273" s="737" t="n"/>
      <c r="M273" s="737" t="n"/>
      <c r="N273" s="737" t="n"/>
      <c r="O273" s="737" t="n"/>
      <c r="P273" s="737" t="n"/>
      <c r="Q273" s="737" t="n"/>
      <c r="R273" s="737" t="n"/>
      <c r="S273" s="737" t="n"/>
      <c r="T273" s="737" t="n"/>
      <c r="U273" s="737" t="n"/>
      <c r="V273" s="737" t="n"/>
      <c r="W273" s="737" t="n"/>
      <c r="X273" s="737" t="n"/>
      <c r="Y273" s="737" t="n"/>
      <c r="Z273" s="737" t="n"/>
      <c r="AA273" s="737" t="n"/>
      <c r="AB273" s="737" t="n"/>
      <c r="AC273" s="737" t="n"/>
      <c r="AD273" s="737" t="n"/>
      <c r="AE273" s="737" t="n"/>
      <c r="AF273" s="737" t="n"/>
      <c r="AG273" s="737" t="n"/>
      <c r="AH273" s="737" t="n"/>
      <c r="AI273" s="737" t="n"/>
      <c r="AJ273" s="737" t="n"/>
      <c r="AK273" s="588" t="n"/>
      <c r="AL273" s="588" t="n"/>
      <c r="AM273" s="588" t="n"/>
      <c r="AN273" s="588" t="n"/>
      <c r="AO273" s="588" t="n"/>
      <c r="AP273" s="588" t="n"/>
      <c r="AQ273" s="588" t="n"/>
      <c r="AR273" s="588" t="n"/>
      <c r="AS273" s="588" t="n"/>
      <c r="AT273" s="588" t="n"/>
      <c r="AU273" s="588" t="n"/>
      <c r="AV273" s="588" t="n"/>
      <c r="AW273" s="588" t="n"/>
      <c r="AX273" s="588" t="n"/>
      <c r="AY273" s="588" t="n"/>
      <c r="AZ273" s="588" t="n"/>
      <c r="BA273" s="588" t="n"/>
      <c r="BB273" s="588" t="n"/>
      <c r="BC273" s="588" t="n"/>
      <c r="BD273" s="588" t="n"/>
      <c r="BE273" s="588" t="n"/>
      <c r="BF273" s="588" t="n"/>
      <c r="BG273" s="588" t="n"/>
      <c r="BH273" s="588" t="n"/>
      <c r="BI273" s="588" t="n"/>
      <c r="BJ273" s="588" t="n"/>
      <c r="BK273" s="588" t="n"/>
      <c r="BL273" s="588" t="n"/>
      <c r="BM273" s="588" t="n"/>
      <c r="BN273" s="588" t="n"/>
      <c r="BO273" s="588" t="n"/>
      <c r="BP273" s="588" t="n"/>
      <c r="BQ273" s="588" t="n"/>
      <c r="BR273" s="588" t="n"/>
      <c r="BS273" s="588" t="n"/>
      <c r="BT273" s="588" t="n"/>
      <c r="BU273" s="588" t="n"/>
      <c r="BV273" s="588" t="n"/>
      <c r="BW273" s="588" t="n"/>
      <c r="BX273" s="588" t="n"/>
      <c r="BY273" s="588" t="n"/>
      <c r="BZ273" s="588" t="n"/>
      <c r="CA273" s="588" t="n"/>
      <c r="CB273" s="588" t="n"/>
      <c r="CC273" s="588" t="n"/>
      <c r="CD273" s="588" t="n"/>
      <c r="CE273" s="588" t="n"/>
      <c r="CF273" s="588" t="n"/>
      <c r="CG273" s="588" t="n"/>
      <c r="CH273" s="588" t="n"/>
      <c r="CI273" s="588" t="n"/>
      <c r="CJ273" s="588" t="n"/>
      <c r="CK273" s="588" t="n"/>
      <c r="CL273" s="588" t="n"/>
      <c r="CM273" s="588" t="n"/>
      <c r="CN273" s="588" t="n"/>
      <c r="CO273" s="588" t="n"/>
      <c r="CP273" s="588" t="n"/>
      <c r="CQ273" s="588" t="n"/>
      <c r="CR273" s="588" t="n"/>
      <c r="CS273" s="588" t="n"/>
      <c r="CT273" s="588" t="n"/>
      <c r="CU273" s="588" t="n"/>
      <c r="CV273" s="588" t="n"/>
      <c r="CW273" s="588" t="n"/>
      <c r="CX273" s="588" t="n"/>
      <c r="CY273" s="588" t="n"/>
      <c r="CZ273" s="588" t="n"/>
      <c r="DA273" s="588" t="n"/>
      <c r="DB273" s="588" t="n"/>
      <c r="DC273" s="588" t="n"/>
      <c r="DD273" s="588" t="n"/>
      <c r="DE273" s="588" t="n"/>
      <c r="DF273" s="588" t="n"/>
      <c r="DG273" s="588" t="n"/>
      <c r="DH273" s="588" t="n"/>
      <c r="DI273" s="588" t="n"/>
      <c r="DJ273" s="588" t="n"/>
      <c r="DK273" s="588" t="n"/>
      <c r="DL273" s="588" t="n"/>
      <c r="DM273" s="588" t="n"/>
      <c r="DN273" s="588" t="n"/>
      <c r="DO273" s="588" t="n"/>
      <c r="DP273" s="588" t="n"/>
      <c r="DQ273" s="588" t="n"/>
      <c r="DR273" s="588" t="n"/>
      <c r="DS273" s="588" t="n"/>
      <c r="DT273" s="588" t="n"/>
      <c r="DU273" s="588" t="n"/>
    </row>
    <row r="274">
      <c r="A274" s="737" t="n"/>
      <c r="B274" s="737" t="n"/>
      <c r="C274" s="737" t="n"/>
      <c r="D274" s="737" t="n"/>
      <c r="E274" s="737" t="n"/>
      <c r="F274" s="737" t="n"/>
      <c r="G274" s="737" t="n"/>
      <c r="H274" s="737" t="n"/>
      <c r="I274" s="737" t="n"/>
      <c r="J274" s="737" t="n"/>
      <c r="K274" s="737" t="n"/>
      <c r="L274" s="737" t="n"/>
      <c r="M274" s="737" t="n"/>
      <c r="N274" s="737" t="n"/>
      <c r="O274" s="737" t="n"/>
      <c r="P274" s="737" t="n"/>
      <c r="Q274" s="737" t="n"/>
      <c r="R274" s="737" t="n"/>
      <c r="S274" s="737" t="n"/>
      <c r="T274" s="737" t="n"/>
      <c r="U274" s="737" t="n"/>
      <c r="V274" s="737" t="n"/>
      <c r="W274" s="737" t="n"/>
      <c r="X274" s="737" t="n"/>
      <c r="Y274" s="737" t="n"/>
      <c r="Z274" s="737" t="n"/>
      <c r="AA274" s="737" t="n"/>
      <c r="AB274" s="737" t="n"/>
      <c r="AC274" s="737" t="n"/>
      <c r="AD274" s="737" t="n"/>
      <c r="AE274" s="737" t="n"/>
      <c r="AF274" s="737" t="n"/>
      <c r="AG274" s="737" t="n"/>
      <c r="AH274" s="737" t="n"/>
      <c r="AI274" s="737" t="n"/>
      <c r="AJ274" s="737" t="n"/>
      <c r="AK274" s="588" t="n"/>
      <c r="AL274" s="588" t="n"/>
      <c r="AM274" s="588" t="n"/>
      <c r="AN274" s="588" t="n"/>
      <c r="AO274" s="588" t="n"/>
      <c r="AP274" s="588" t="n"/>
      <c r="AQ274" s="588" t="n"/>
      <c r="AR274" s="588" t="n"/>
      <c r="AS274" s="588" t="n"/>
      <c r="AT274" s="588" t="n"/>
      <c r="AU274" s="588" t="n"/>
      <c r="AV274" s="588" t="n"/>
      <c r="AW274" s="588" t="n"/>
      <c r="AX274" s="588" t="n"/>
      <c r="AY274" s="588" t="n"/>
      <c r="AZ274" s="588" t="n"/>
      <c r="BA274" s="588" t="n"/>
      <c r="BB274" s="588" t="n"/>
      <c r="BC274" s="588" t="n"/>
      <c r="BD274" s="588" t="n"/>
      <c r="BE274" s="588" t="n"/>
      <c r="BF274" s="588" t="n"/>
      <c r="BG274" s="588" t="n"/>
      <c r="BH274" s="588" t="n"/>
      <c r="BI274" s="588" t="n"/>
      <c r="BJ274" s="588" t="n"/>
      <c r="BK274" s="588" t="n"/>
      <c r="BL274" s="588" t="n"/>
      <c r="BM274" s="588" t="n"/>
      <c r="BN274" s="588" t="n"/>
      <c r="BO274" s="588" t="n"/>
      <c r="BP274" s="588" t="n"/>
      <c r="BQ274" s="588" t="n"/>
      <c r="BR274" s="588" t="n"/>
      <c r="BS274" s="588" t="n"/>
      <c r="BT274" s="588" t="n"/>
      <c r="BU274" s="588" t="n"/>
      <c r="BV274" s="588" t="n"/>
      <c r="BW274" s="588" t="n"/>
      <c r="BX274" s="588" t="n"/>
      <c r="BY274" s="588" t="n"/>
      <c r="BZ274" s="588" t="n"/>
      <c r="CA274" s="588" t="n"/>
      <c r="CB274" s="588" t="n"/>
      <c r="CC274" s="588" t="n"/>
      <c r="CD274" s="588" t="n"/>
      <c r="CE274" s="588" t="n"/>
      <c r="CF274" s="588" t="n"/>
      <c r="CG274" s="588" t="n"/>
      <c r="CH274" s="588" t="n"/>
      <c r="CI274" s="588" t="n"/>
      <c r="CJ274" s="588" t="n"/>
      <c r="CK274" s="588" t="n"/>
      <c r="CL274" s="588" t="n"/>
      <c r="CM274" s="588" t="n"/>
      <c r="CN274" s="588" t="n"/>
      <c r="CO274" s="588" t="n"/>
      <c r="CP274" s="588" t="n"/>
      <c r="CQ274" s="588" t="n"/>
      <c r="CR274" s="588" t="n"/>
      <c r="CS274" s="588" t="n"/>
      <c r="CT274" s="588" t="n"/>
      <c r="CU274" s="588" t="n"/>
      <c r="CV274" s="588" t="n"/>
      <c r="CW274" s="588" t="n"/>
      <c r="CX274" s="588" t="n"/>
      <c r="CY274" s="588" t="n"/>
      <c r="CZ274" s="588" t="n"/>
      <c r="DA274" s="588" t="n"/>
      <c r="DB274" s="588" t="n"/>
      <c r="DC274" s="588" t="n"/>
      <c r="DD274" s="588" t="n"/>
      <c r="DE274" s="588" t="n"/>
      <c r="DF274" s="588" t="n"/>
      <c r="DG274" s="588" t="n"/>
      <c r="DH274" s="588" t="n"/>
      <c r="DI274" s="588" t="n"/>
      <c r="DJ274" s="588" t="n"/>
      <c r="DK274" s="588" t="n"/>
      <c r="DL274" s="588" t="n"/>
      <c r="DM274" s="588" t="n"/>
      <c r="DN274" s="588" t="n"/>
      <c r="DO274" s="588" t="n"/>
      <c r="DP274" s="588" t="n"/>
      <c r="DQ274" s="588" t="n"/>
      <c r="DR274" s="588" t="n"/>
      <c r="DS274" s="588" t="n"/>
      <c r="DT274" s="588" t="n"/>
      <c r="DU274" s="588" t="n"/>
    </row>
    <row r="275">
      <c r="A275" s="737" t="n"/>
      <c r="B275" s="737" t="n"/>
      <c r="C275" s="737" t="n"/>
      <c r="D275" s="737" t="n"/>
      <c r="E275" s="737" t="n"/>
      <c r="F275" s="737" t="n"/>
      <c r="G275" s="737" t="n"/>
      <c r="H275" s="737" t="n"/>
      <c r="I275" s="737" t="n"/>
      <c r="J275" s="737" t="n"/>
      <c r="K275" s="737" t="n"/>
      <c r="L275" s="737" t="n"/>
      <c r="M275" s="737" t="n"/>
      <c r="N275" s="737" t="n"/>
      <c r="O275" s="737" t="n"/>
      <c r="P275" s="737" t="n"/>
      <c r="Q275" s="737" t="n"/>
      <c r="R275" s="737" t="n"/>
      <c r="S275" s="737" t="n"/>
      <c r="T275" s="737" t="n"/>
      <c r="U275" s="737" t="n"/>
      <c r="V275" s="737" t="n"/>
      <c r="W275" s="737" t="n"/>
      <c r="X275" s="737" t="n"/>
      <c r="Y275" s="737" t="n"/>
      <c r="Z275" s="737" t="n"/>
      <c r="AA275" s="737" t="n"/>
      <c r="AB275" s="737" t="n"/>
      <c r="AC275" s="737" t="n"/>
      <c r="AD275" s="737" t="n"/>
      <c r="AE275" s="737" t="n"/>
      <c r="AF275" s="737" t="n"/>
      <c r="AG275" s="737" t="n"/>
      <c r="AH275" s="737" t="n"/>
      <c r="AI275" s="737" t="n"/>
      <c r="AJ275" s="737" t="n"/>
      <c r="AK275" s="588" t="n"/>
      <c r="AL275" s="588" t="n"/>
      <c r="AM275" s="588" t="n"/>
      <c r="AN275" s="588" t="n"/>
      <c r="AO275" s="588" t="n"/>
      <c r="AP275" s="588" t="n"/>
      <c r="AQ275" s="588" t="n"/>
      <c r="AR275" s="588" t="n"/>
      <c r="AS275" s="588" t="n"/>
      <c r="AT275" s="588" t="n"/>
      <c r="AU275" s="588" t="n"/>
      <c r="AV275" s="588" t="n"/>
      <c r="AW275" s="588" t="n"/>
      <c r="AX275" s="588" t="n"/>
      <c r="AY275" s="588" t="n"/>
      <c r="AZ275" s="588" t="n"/>
      <c r="BA275" s="588" t="n"/>
      <c r="BB275" s="588" t="n"/>
      <c r="BC275" s="588" t="n"/>
      <c r="BD275" s="588" t="n"/>
      <c r="BE275" s="588" t="n"/>
      <c r="BF275" s="588" t="n"/>
      <c r="BG275" s="588" t="n"/>
      <c r="BH275" s="588" t="n"/>
      <c r="BI275" s="588" t="n"/>
      <c r="BJ275" s="588" t="n"/>
      <c r="BK275" s="588" t="n"/>
      <c r="BL275" s="588" t="n"/>
      <c r="BM275" s="588" t="n"/>
      <c r="BN275" s="588" t="n"/>
      <c r="BO275" s="588" t="n"/>
      <c r="BP275" s="588" t="n"/>
      <c r="BQ275" s="588" t="n"/>
      <c r="BR275" s="588" t="n"/>
      <c r="BS275" s="588" t="n"/>
      <c r="BT275" s="588" t="n"/>
      <c r="BU275" s="588" t="n"/>
      <c r="BV275" s="588" t="n"/>
      <c r="BW275" s="588" t="n"/>
      <c r="BX275" s="588" t="n"/>
      <c r="BY275" s="588" t="n"/>
      <c r="BZ275" s="588" t="n"/>
      <c r="CA275" s="588" t="n"/>
      <c r="CB275" s="588" t="n"/>
      <c r="CC275" s="588" t="n"/>
      <c r="CD275" s="588" t="n"/>
      <c r="CE275" s="588" t="n"/>
      <c r="CF275" s="588" t="n"/>
      <c r="CG275" s="588" t="n"/>
      <c r="CH275" s="588" t="n"/>
      <c r="CI275" s="588" t="n"/>
      <c r="CJ275" s="588" t="n"/>
      <c r="CK275" s="588" t="n"/>
      <c r="CL275" s="588" t="n"/>
      <c r="CM275" s="588" t="n"/>
      <c r="CN275" s="588" t="n"/>
      <c r="CO275" s="588" t="n"/>
      <c r="CP275" s="588" t="n"/>
      <c r="CQ275" s="588" t="n"/>
      <c r="CR275" s="588" t="n"/>
      <c r="CS275" s="588" t="n"/>
      <c r="CT275" s="588" t="n"/>
      <c r="CU275" s="588" t="n"/>
      <c r="CV275" s="588" t="n"/>
      <c r="CW275" s="588" t="n"/>
      <c r="CX275" s="588" t="n"/>
      <c r="CY275" s="588" t="n"/>
      <c r="CZ275" s="588" t="n"/>
      <c r="DA275" s="588" t="n"/>
      <c r="DB275" s="588" t="n"/>
      <c r="DC275" s="588" t="n"/>
      <c r="DD275" s="588" t="n"/>
      <c r="DE275" s="588" t="n"/>
      <c r="DF275" s="588" t="n"/>
      <c r="DG275" s="588" t="n"/>
      <c r="DH275" s="588" t="n"/>
      <c r="DI275" s="588" t="n"/>
      <c r="DJ275" s="588" t="n"/>
      <c r="DK275" s="588" t="n"/>
      <c r="DL275" s="588" t="n"/>
      <c r="DM275" s="588" t="n"/>
      <c r="DN275" s="588" t="n"/>
      <c r="DO275" s="588" t="n"/>
      <c r="DP275" s="588" t="n"/>
      <c r="DQ275" s="588" t="n"/>
      <c r="DR275" s="588" t="n"/>
      <c r="DS275" s="588" t="n"/>
      <c r="DT275" s="588" t="n"/>
      <c r="DU275" s="588" t="n"/>
    </row>
    <row r="276">
      <c r="A276" s="737" t="n"/>
      <c r="B276" s="737" t="n"/>
      <c r="C276" s="737" t="n"/>
      <c r="D276" s="737" t="n"/>
      <c r="E276" s="737" t="n"/>
      <c r="F276" s="737" t="n"/>
      <c r="G276" s="737" t="n"/>
      <c r="H276" s="737" t="n"/>
      <c r="I276" s="737" t="n"/>
      <c r="J276" s="737" t="n"/>
      <c r="K276" s="737" t="n"/>
      <c r="L276" s="737" t="n"/>
      <c r="M276" s="737" t="n"/>
      <c r="N276" s="737" t="n"/>
      <c r="O276" s="737" t="n"/>
      <c r="P276" s="737" t="n"/>
      <c r="Q276" s="737" t="n"/>
      <c r="R276" s="737" t="n"/>
      <c r="S276" s="737" t="n"/>
      <c r="T276" s="737" t="n"/>
      <c r="U276" s="737" t="n"/>
      <c r="V276" s="737" t="n"/>
      <c r="W276" s="737" t="n"/>
      <c r="X276" s="737" t="n"/>
      <c r="Y276" s="737" t="n"/>
      <c r="Z276" s="737" t="n"/>
      <c r="AA276" s="737" t="n"/>
      <c r="AB276" s="737" t="n"/>
      <c r="AC276" s="737" t="n"/>
      <c r="AD276" s="737" t="n"/>
      <c r="AE276" s="737" t="n"/>
      <c r="AF276" s="737" t="n"/>
      <c r="AG276" s="737" t="n"/>
      <c r="AH276" s="737" t="n"/>
      <c r="AI276" s="737" t="n"/>
      <c r="AJ276" s="737" t="n"/>
      <c r="AK276" s="588" t="n"/>
      <c r="AL276" s="588" t="n"/>
      <c r="AM276" s="588" t="n"/>
      <c r="AN276" s="588" t="n"/>
      <c r="AO276" s="588" t="n"/>
      <c r="AP276" s="588" t="n"/>
      <c r="AQ276" s="588" t="n"/>
      <c r="AR276" s="588" t="n"/>
      <c r="AS276" s="588" t="n"/>
      <c r="AT276" s="588" t="n"/>
      <c r="AU276" s="588" t="n"/>
      <c r="AV276" s="588" t="n"/>
      <c r="AW276" s="588" t="n"/>
      <c r="AX276" s="588" t="n"/>
      <c r="AY276" s="588" t="n"/>
      <c r="AZ276" s="588" t="n"/>
      <c r="BA276" s="588" t="n"/>
      <c r="BB276" s="588" t="n"/>
      <c r="BC276" s="588" t="n"/>
      <c r="BD276" s="588" t="n"/>
      <c r="BE276" s="588" t="n"/>
      <c r="BF276" s="588" t="n"/>
      <c r="BG276" s="588" t="n"/>
      <c r="BH276" s="588" t="n"/>
      <c r="BI276" s="588" t="n"/>
      <c r="BJ276" s="588" t="n"/>
      <c r="BK276" s="588" t="n"/>
      <c r="BL276" s="588" t="n"/>
      <c r="BM276" s="588" t="n"/>
      <c r="BN276" s="588" t="n"/>
      <c r="BO276" s="588" t="n"/>
      <c r="BP276" s="588" t="n"/>
      <c r="BQ276" s="588" t="n"/>
      <c r="BR276" s="588" t="n"/>
      <c r="BS276" s="588" t="n"/>
      <c r="BT276" s="588" t="n"/>
      <c r="BU276" s="588" t="n"/>
      <c r="BV276" s="588" t="n"/>
      <c r="BW276" s="588" t="n"/>
      <c r="BX276" s="588" t="n"/>
      <c r="BY276" s="588" t="n"/>
      <c r="BZ276" s="588" t="n"/>
      <c r="CA276" s="588" t="n"/>
      <c r="CB276" s="588" t="n"/>
      <c r="CC276" s="588" t="n"/>
      <c r="CD276" s="588" t="n"/>
      <c r="CE276" s="588" t="n"/>
      <c r="CF276" s="588" t="n"/>
      <c r="CG276" s="588" t="n"/>
      <c r="CH276" s="588" t="n"/>
      <c r="CI276" s="588" t="n"/>
      <c r="CJ276" s="588" t="n"/>
      <c r="CK276" s="588" t="n"/>
      <c r="CL276" s="588" t="n"/>
      <c r="CM276" s="588" t="n"/>
      <c r="CN276" s="588" t="n"/>
      <c r="CO276" s="588" t="n"/>
      <c r="CP276" s="588" t="n"/>
      <c r="CQ276" s="588" t="n"/>
      <c r="CR276" s="588" t="n"/>
      <c r="CS276" s="588" t="n"/>
      <c r="CT276" s="588" t="n"/>
      <c r="CU276" s="588" t="n"/>
      <c r="CV276" s="588" t="n"/>
      <c r="CW276" s="588" t="n"/>
      <c r="CX276" s="588" t="n"/>
      <c r="CY276" s="588" t="n"/>
      <c r="CZ276" s="588" t="n"/>
      <c r="DA276" s="588" t="n"/>
      <c r="DB276" s="588" t="n"/>
      <c r="DC276" s="588" t="n"/>
      <c r="DD276" s="588" t="n"/>
      <c r="DE276" s="588" t="n"/>
      <c r="DF276" s="588" t="n"/>
      <c r="DG276" s="588" t="n"/>
      <c r="DH276" s="588" t="n"/>
      <c r="DI276" s="588" t="n"/>
      <c r="DJ276" s="588" t="n"/>
      <c r="DK276" s="588" t="n"/>
      <c r="DL276" s="588" t="n"/>
      <c r="DM276" s="588" t="n"/>
      <c r="DN276" s="588" t="n"/>
      <c r="DO276" s="588" t="n"/>
      <c r="DP276" s="588" t="n"/>
      <c r="DQ276" s="588" t="n"/>
      <c r="DR276" s="588" t="n"/>
      <c r="DS276" s="588" t="n"/>
      <c r="DT276" s="588" t="n"/>
      <c r="DU276" s="588" t="n"/>
    </row>
    <row r="277">
      <c r="A277" s="737" t="n"/>
      <c r="B277" s="737" t="n"/>
      <c r="C277" s="737" t="n"/>
      <c r="D277" s="737" t="n"/>
      <c r="E277" s="737" t="n"/>
      <c r="F277" s="737" t="n"/>
      <c r="G277" s="737" t="n"/>
      <c r="H277" s="737" t="n"/>
      <c r="I277" s="737" t="n"/>
      <c r="J277" s="737" t="n"/>
      <c r="K277" s="737" t="n"/>
      <c r="L277" s="737" t="n"/>
      <c r="M277" s="737" t="n"/>
      <c r="N277" s="737" t="n"/>
      <c r="O277" s="737" t="n"/>
      <c r="P277" s="737" t="n"/>
      <c r="Q277" s="737" t="n"/>
      <c r="R277" s="737" t="n"/>
      <c r="S277" s="737" t="n"/>
      <c r="T277" s="737" t="n"/>
      <c r="U277" s="737" t="n"/>
      <c r="V277" s="737" t="n"/>
      <c r="W277" s="737" t="n"/>
      <c r="X277" s="737" t="n"/>
      <c r="Y277" s="737" t="n"/>
      <c r="Z277" s="737" t="n"/>
      <c r="AA277" s="737" t="n"/>
      <c r="AB277" s="737" t="n"/>
      <c r="AC277" s="737" t="n"/>
      <c r="AD277" s="737" t="n"/>
      <c r="AE277" s="737" t="n"/>
      <c r="AF277" s="737" t="n"/>
      <c r="AG277" s="737" t="n"/>
      <c r="AH277" s="737" t="n"/>
      <c r="AI277" s="737" t="n"/>
      <c r="AJ277" s="737" t="n"/>
      <c r="AK277" s="588" t="n"/>
      <c r="AL277" s="588" t="n"/>
      <c r="AM277" s="588" t="n"/>
      <c r="AN277" s="588" t="n"/>
      <c r="AO277" s="588" t="n"/>
      <c r="AP277" s="588" t="n"/>
      <c r="AQ277" s="588" t="n"/>
      <c r="AR277" s="588" t="n"/>
      <c r="AS277" s="588" t="n"/>
      <c r="AT277" s="588" t="n"/>
      <c r="AU277" s="588" t="n"/>
      <c r="AV277" s="588" t="n"/>
      <c r="AW277" s="588" t="n"/>
      <c r="AX277" s="588" t="n"/>
      <c r="AY277" s="588" t="n"/>
      <c r="AZ277" s="588" t="n"/>
      <c r="BA277" s="588" t="n"/>
      <c r="BB277" s="588" t="n"/>
      <c r="BC277" s="588" t="n"/>
      <c r="BD277" s="588" t="n"/>
      <c r="BE277" s="588" t="n"/>
      <c r="BF277" s="588" t="n"/>
      <c r="BG277" s="588" t="n"/>
      <c r="BH277" s="588" t="n"/>
      <c r="BI277" s="588" t="n"/>
      <c r="BJ277" s="588" t="n"/>
      <c r="BK277" s="588" t="n"/>
      <c r="BL277" s="588" t="n"/>
      <c r="BM277" s="588" t="n"/>
      <c r="BN277" s="588" t="n"/>
      <c r="BO277" s="588" t="n"/>
      <c r="BP277" s="588" t="n"/>
      <c r="BQ277" s="588" t="n"/>
      <c r="BR277" s="588" t="n"/>
      <c r="BS277" s="588" t="n"/>
      <c r="BT277" s="588" t="n"/>
      <c r="BU277" s="588" t="n"/>
      <c r="BV277" s="588" t="n"/>
      <c r="BW277" s="588" t="n"/>
      <c r="BX277" s="588" t="n"/>
      <c r="BY277" s="588" t="n"/>
      <c r="BZ277" s="588" t="n"/>
      <c r="CA277" s="588" t="n"/>
      <c r="CB277" s="588" t="n"/>
      <c r="CC277" s="588" t="n"/>
      <c r="CD277" s="588" t="n"/>
      <c r="CE277" s="588" t="n"/>
      <c r="CF277" s="588" t="n"/>
      <c r="CG277" s="588" t="n"/>
      <c r="CH277" s="588" t="n"/>
      <c r="CI277" s="588" t="n"/>
      <c r="CJ277" s="588" t="n"/>
      <c r="CK277" s="588" t="n"/>
      <c r="CL277" s="588" t="n"/>
      <c r="CM277" s="588" t="n"/>
      <c r="CN277" s="588" t="n"/>
      <c r="CO277" s="588" t="n"/>
      <c r="CP277" s="588" t="n"/>
      <c r="CQ277" s="588" t="n"/>
      <c r="CR277" s="588" t="n"/>
      <c r="CS277" s="588" t="n"/>
      <c r="CT277" s="588" t="n"/>
      <c r="CU277" s="588" t="n"/>
      <c r="CV277" s="588" t="n"/>
      <c r="CW277" s="588" t="n"/>
      <c r="CX277" s="588" t="n"/>
      <c r="CY277" s="588" t="n"/>
      <c r="CZ277" s="588" t="n"/>
      <c r="DA277" s="588" t="n"/>
      <c r="DB277" s="588" t="n"/>
      <c r="DC277" s="588" t="n"/>
      <c r="DD277" s="588" t="n"/>
      <c r="DE277" s="588" t="n"/>
      <c r="DF277" s="588" t="n"/>
      <c r="DG277" s="588" t="n"/>
      <c r="DH277" s="588" t="n"/>
      <c r="DI277" s="588" t="n"/>
      <c r="DJ277" s="588" t="n"/>
      <c r="DK277" s="588" t="n"/>
      <c r="DL277" s="588" t="n"/>
      <c r="DM277" s="588" t="n"/>
      <c r="DN277" s="588" t="n"/>
      <c r="DO277" s="588" t="n"/>
      <c r="DP277" s="588" t="n"/>
      <c r="DQ277" s="588" t="n"/>
      <c r="DR277" s="588" t="n"/>
      <c r="DS277" s="588" t="n"/>
      <c r="DT277" s="588" t="n"/>
      <c r="DU277" s="588" t="n"/>
    </row>
    <row r="278">
      <c r="A278" s="737" t="n"/>
      <c r="B278" s="737" t="n"/>
      <c r="C278" s="737" t="n"/>
      <c r="D278" s="737" t="n"/>
      <c r="E278" s="737" t="n"/>
      <c r="F278" s="737" t="n"/>
      <c r="G278" s="737" t="n"/>
      <c r="H278" s="737" t="n"/>
      <c r="I278" s="737" t="n"/>
      <c r="J278" s="737" t="n"/>
      <c r="K278" s="737" t="n"/>
      <c r="L278" s="737" t="n"/>
      <c r="M278" s="737" t="n"/>
      <c r="N278" s="737" t="n"/>
      <c r="O278" s="737" t="n"/>
      <c r="P278" s="737" t="n"/>
      <c r="Q278" s="737" t="n"/>
      <c r="R278" s="737" t="n"/>
      <c r="S278" s="737" t="n"/>
      <c r="T278" s="737" t="n"/>
      <c r="U278" s="737" t="n"/>
      <c r="V278" s="737" t="n"/>
      <c r="W278" s="737" t="n"/>
      <c r="X278" s="737" t="n"/>
      <c r="Y278" s="737" t="n"/>
      <c r="Z278" s="737" t="n"/>
      <c r="AA278" s="737" t="n"/>
      <c r="AB278" s="737" t="n"/>
      <c r="AC278" s="737" t="n"/>
      <c r="AD278" s="737" t="n"/>
      <c r="AE278" s="737" t="n"/>
      <c r="AF278" s="737" t="n"/>
      <c r="AG278" s="737" t="n"/>
      <c r="AH278" s="737" t="n"/>
      <c r="AI278" s="737" t="n"/>
      <c r="AJ278" s="737" t="n"/>
      <c r="AK278" s="588" t="n"/>
      <c r="AL278" s="588" t="n"/>
      <c r="AM278" s="588" t="n"/>
      <c r="AN278" s="588" t="n"/>
      <c r="AO278" s="588" t="n"/>
      <c r="AP278" s="588" t="n"/>
      <c r="AQ278" s="588" t="n"/>
      <c r="AR278" s="588" t="n"/>
      <c r="AS278" s="588" t="n"/>
      <c r="AT278" s="588" t="n"/>
      <c r="AU278" s="588" t="n"/>
      <c r="AV278" s="588" t="n"/>
      <c r="AW278" s="588" t="n"/>
      <c r="AX278" s="588" t="n"/>
      <c r="AY278" s="588" t="n"/>
      <c r="AZ278" s="588" t="n"/>
      <c r="BA278" s="588" t="n"/>
      <c r="BB278" s="588" t="n"/>
      <c r="BC278" s="588" t="n"/>
      <c r="BD278" s="588" t="n"/>
      <c r="BE278" s="588" t="n"/>
      <c r="BF278" s="588" t="n"/>
      <c r="BG278" s="588" t="n"/>
      <c r="BH278" s="588" t="n"/>
      <c r="BI278" s="588" t="n"/>
      <c r="BJ278" s="588" t="n"/>
      <c r="BK278" s="588" t="n"/>
      <c r="BL278" s="588" t="n"/>
      <c r="BM278" s="588" t="n"/>
      <c r="BN278" s="588" t="n"/>
      <c r="BO278" s="588" t="n"/>
      <c r="BP278" s="588" t="n"/>
      <c r="BQ278" s="588" t="n"/>
      <c r="BR278" s="588" t="n"/>
      <c r="BS278" s="588" t="n"/>
      <c r="BT278" s="588" t="n"/>
      <c r="BU278" s="588" t="n"/>
      <c r="BV278" s="588" t="n"/>
      <c r="BW278" s="588" t="n"/>
      <c r="BX278" s="588" t="n"/>
      <c r="BY278" s="588" t="n"/>
      <c r="BZ278" s="588" t="n"/>
      <c r="CA278" s="588" t="n"/>
      <c r="CB278" s="588" t="n"/>
      <c r="CC278" s="588" t="n"/>
      <c r="CD278" s="588" t="n"/>
      <c r="CE278" s="588" t="n"/>
      <c r="CF278" s="588" t="n"/>
      <c r="CG278" s="588" t="n"/>
      <c r="CH278" s="588" t="n"/>
      <c r="CI278" s="588" t="n"/>
      <c r="CJ278" s="588" t="n"/>
      <c r="CK278" s="588" t="n"/>
      <c r="CL278" s="588" t="n"/>
      <c r="CM278" s="588" t="n"/>
      <c r="CN278" s="588" t="n"/>
      <c r="CO278" s="588" t="n"/>
      <c r="CP278" s="588" t="n"/>
      <c r="CQ278" s="588" t="n"/>
      <c r="CR278" s="588" t="n"/>
      <c r="CS278" s="588" t="n"/>
      <c r="CT278" s="588" t="n"/>
      <c r="CU278" s="588" t="n"/>
      <c r="CV278" s="588" t="n"/>
      <c r="CW278" s="588" t="n"/>
      <c r="CX278" s="588" t="n"/>
      <c r="CY278" s="588" t="n"/>
      <c r="CZ278" s="588" t="n"/>
      <c r="DA278" s="588" t="n"/>
      <c r="DB278" s="588" t="n"/>
      <c r="DC278" s="588" t="n"/>
      <c r="DD278" s="588" t="n"/>
      <c r="DE278" s="588" t="n"/>
      <c r="DF278" s="588" t="n"/>
      <c r="DG278" s="588" t="n"/>
      <c r="DH278" s="588" t="n"/>
      <c r="DI278" s="588" t="n"/>
      <c r="DJ278" s="588" t="n"/>
      <c r="DK278" s="588" t="n"/>
      <c r="DL278" s="588" t="n"/>
      <c r="DM278" s="588" t="n"/>
      <c r="DN278" s="588" t="n"/>
      <c r="DO278" s="588" t="n"/>
      <c r="DP278" s="588" t="n"/>
      <c r="DQ278" s="588" t="n"/>
      <c r="DR278" s="588" t="n"/>
      <c r="DS278" s="588" t="n"/>
      <c r="DT278" s="588" t="n"/>
      <c r="DU278" s="588" t="n"/>
    </row>
    <row r="279">
      <c r="A279" s="737" t="n"/>
      <c r="B279" s="737" t="n"/>
      <c r="C279" s="737" t="n"/>
      <c r="D279" s="737" t="n"/>
      <c r="E279" s="737" t="n"/>
      <c r="F279" s="737" t="n"/>
      <c r="G279" s="737" t="n"/>
      <c r="H279" s="737" t="n"/>
      <c r="I279" s="737" t="n"/>
      <c r="J279" s="737" t="n"/>
      <c r="K279" s="737" t="n"/>
      <c r="L279" s="737" t="n"/>
      <c r="M279" s="737" t="n"/>
      <c r="N279" s="737" t="n"/>
      <c r="O279" s="737" t="n"/>
      <c r="P279" s="737" t="n"/>
      <c r="Q279" s="737" t="n"/>
      <c r="R279" s="737" t="n"/>
      <c r="S279" s="737" t="n"/>
      <c r="T279" s="737" t="n"/>
      <c r="U279" s="737" t="n"/>
      <c r="V279" s="737" t="n"/>
      <c r="W279" s="737" t="n"/>
      <c r="X279" s="737" t="n"/>
      <c r="Y279" s="737" t="n"/>
      <c r="Z279" s="737" t="n"/>
      <c r="AA279" s="737" t="n"/>
      <c r="AB279" s="737" t="n"/>
      <c r="AC279" s="737" t="n"/>
      <c r="AD279" s="737" t="n"/>
      <c r="AE279" s="737" t="n"/>
      <c r="AF279" s="737" t="n"/>
      <c r="AG279" s="737" t="n"/>
      <c r="AH279" s="737" t="n"/>
      <c r="AI279" s="737" t="n"/>
      <c r="AJ279" s="737" t="n"/>
      <c r="AK279" s="588" t="n"/>
      <c r="AL279" s="588" t="n"/>
      <c r="AM279" s="588" t="n"/>
      <c r="AN279" s="588" t="n"/>
      <c r="AO279" s="588" t="n"/>
      <c r="AP279" s="588" t="n"/>
      <c r="AQ279" s="588" t="n"/>
      <c r="AR279" s="588" t="n"/>
      <c r="AS279" s="588" t="n"/>
      <c r="AT279" s="588" t="n"/>
      <c r="AU279" s="588" t="n"/>
      <c r="AV279" s="588" t="n"/>
      <c r="AW279" s="588" t="n"/>
      <c r="AX279" s="588" t="n"/>
      <c r="AY279" s="588" t="n"/>
      <c r="AZ279" s="588" t="n"/>
      <c r="BA279" s="588" t="n"/>
      <c r="BB279" s="588" t="n"/>
      <c r="BC279" s="588" t="n"/>
      <c r="BD279" s="588" t="n"/>
      <c r="BE279" s="588" t="n"/>
      <c r="BF279" s="588" t="n"/>
      <c r="BG279" s="588" t="n"/>
      <c r="BH279" s="588" t="n"/>
      <c r="BI279" s="588" t="n"/>
      <c r="BJ279" s="588" t="n"/>
      <c r="BK279" s="588" t="n"/>
      <c r="BL279" s="588" t="n"/>
      <c r="BM279" s="588" t="n"/>
      <c r="BN279" s="588" t="n"/>
      <c r="BO279" s="588" t="n"/>
      <c r="BP279" s="588" t="n"/>
      <c r="BQ279" s="588" t="n"/>
      <c r="BR279" s="588" t="n"/>
      <c r="BS279" s="588" t="n"/>
      <c r="BT279" s="588" t="n"/>
      <c r="BU279" s="588" t="n"/>
      <c r="BV279" s="588" t="n"/>
      <c r="BW279" s="588" t="n"/>
      <c r="BX279" s="588" t="n"/>
      <c r="BY279" s="588" t="n"/>
      <c r="BZ279" s="588" t="n"/>
      <c r="CA279" s="588" t="n"/>
      <c r="CB279" s="588" t="n"/>
      <c r="CC279" s="588" t="n"/>
      <c r="CD279" s="588" t="n"/>
      <c r="CE279" s="588" t="n"/>
      <c r="CF279" s="588" t="n"/>
      <c r="CG279" s="588" t="n"/>
      <c r="CH279" s="588" t="n"/>
      <c r="CI279" s="588" t="n"/>
      <c r="CJ279" s="588" t="n"/>
      <c r="CK279" s="588" t="n"/>
      <c r="CL279" s="588" t="n"/>
      <c r="CM279" s="588" t="n"/>
      <c r="CN279" s="588" t="n"/>
      <c r="CO279" s="588" t="n"/>
      <c r="CP279" s="588" t="n"/>
      <c r="CQ279" s="588" t="n"/>
      <c r="CR279" s="588" t="n"/>
      <c r="CS279" s="588" t="n"/>
      <c r="CT279" s="588" t="n"/>
      <c r="CU279" s="588" t="n"/>
      <c r="CV279" s="588" t="n"/>
      <c r="CW279" s="588" t="n"/>
      <c r="CX279" s="588" t="n"/>
      <c r="CY279" s="588" t="n"/>
      <c r="CZ279" s="588" t="n"/>
      <c r="DA279" s="588" t="n"/>
      <c r="DB279" s="588" t="n"/>
      <c r="DC279" s="588" t="n"/>
      <c r="DD279" s="588" t="n"/>
      <c r="DE279" s="588" t="n"/>
      <c r="DF279" s="588" t="n"/>
      <c r="DG279" s="588" t="n"/>
      <c r="DH279" s="588" t="n"/>
      <c r="DI279" s="588" t="n"/>
      <c r="DJ279" s="588" t="n"/>
      <c r="DK279" s="588" t="n"/>
      <c r="DL279" s="588" t="n"/>
      <c r="DM279" s="588" t="n"/>
      <c r="DN279" s="588" t="n"/>
      <c r="DO279" s="588" t="n"/>
      <c r="DP279" s="588" t="n"/>
      <c r="DQ279" s="588" t="n"/>
      <c r="DR279" s="588" t="n"/>
      <c r="DS279" s="588" t="n"/>
      <c r="DT279" s="588" t="n"/>
      <c r="DU279" s="588" t="n"/>
    </row>
    <row r="280">
      <c r="A280" s="737" t="n"/>
      <c r="B280" s="737" t="n"/>
      <c r="C280" s="737" t="n"/>
      <c r="D280" s="737" t="n"/>
      <c r="E280" s="737" t="n"/>
      <c r="F280" s="737" t="n"/>
      <c r="G280" s="737" t="n"/>
      <c r="H280" s="737" t="n"/>
      <c r="I280" s="737" t="n"/>
      <c r="J280" s="737" t="n"/>
      <c r="K280" s="737" t="n"/>
      <c r="L280" s="737" t="n"/>
      <c r="M280" s="737" t="n"/>
      <c r="N280" s="737" t="n"/>
      <c r="O280" s="737" t="n"/>
      <c r="P280" s="737" t="n"/>
      <c r="Q280" s="737" t="n"/>
      <c r="R280" s="737" t="n"/>
      <c r="S280" s="737" t="n"/>
      <c r="T280" s="737" t="n"/>
      <c r="U280" s="737" t="n"/>
      <c r="V280" s="737" t="n"/>
      <c r="W280" s="737" t="n"/>
      <c r="X280" s="737" t="n"/>
      <c r="Y280" s="737" t="n"/>
      <c r="Z280" s="737" t="n"/>
      <c r="AA280" s="737" t="n"/>
      <c r="AB280" s="737" t="n"/>
      <c r="AC280" s="737" t="n"/>
      <c r="AD280" s="737" t="n"/>
      <c r="AE280" s="737" t="n"/>
      <c r="AF280" s="737" t="n"/>
      <c r="AG280" s="737" t="n"/>
      <c r="AH280" s="737" t="n"/>
      <c r="AI280" s="737" t="n"/>
      <c r="AJ280" s="737" t="n"/>
      <c r="AK280" s="588" t="n"/>
      <c r="AL280" s="588" t="n"/>
      <c r="AM280" s="588" t="n"/>
      <c r="AN280" s="588" t="n"/>
      <c r="AO280" s="588" t="n"/>
      <c r="AP280" s="588" t="n"/>
      <c r="AQ280" s="588" t="n"/>
      <c r="AR280" s="588" t="n"/>
      <c r="AS280" s="588" t="n"/>
      <c r="AT280" s="588" t="n"/>
      <c r="AU280" s="588" t="n"/>
      <c r="AV280" s="588" t="n"/>
      <c r="AW280" s="588" t="n"/>
      <c r="AX280" s="588" t="n"/>
      <c r="AY280" s="588" t="n"/>
      <c r="AZ280" s="588" t="n"/>
      <c r="BA280" s="588" t="n"/>
      <c r="BB280" s="588" t="n"/>
      <c r="BC280" s="588" t="n"/>
      <c r="BD280" s="588" t="n"/>
      <c r="BE280" s="588" t="n"/>
      <c r="BF280" s="588" t="n"/>
      <c r="BG280" s="588" t="n"/>
      <c r="BH280" s="588" t="n"/>
      <c r="BI280" s="588" t="n"/>
      <c r="BJ280" s="588" t="n"/>
      <c r="BK280" s="588" t="n"/>
      <c r="BL280" s="588" t="n"/>
      <c r="BM280" s="588" t="n"/>
      <c r="BN280" s="588" t="n"/>
      <c r="BO280" s="588" t="n"/>
      <c r="BP280" s="588" t="n"/>
      <c r="BQ280" s="588" t="n"/>
      <c r="BR280" s="588" t="n"/>
      <c r="BS280" s="588" t="n"/>
      <c r="BT280" s="588" t="n"/>
      <c r="BU280" s="588" t="n"/>
      <c r="BV280" s="588" t="n"/>
      <c r="BW280" s="588" t="n"/>
      <c r="BX280" s="588" t="n"/>
      <c r="BY280" s="588" t="n"/>
      <c r="BZ280" s="588" t="n"/>
      <c r="CA280" s="588" t="n"/>
      <c r="CB280" s="588" t="n"/>
      <c r="CC280" s="588" t="n"/>
      <c r="CD280" s="588" t="n"/>
      <c r="CE280" s="588" t="n"/>
      <c r="CF280" s="588" t="n"/>
      <c r="CG280" s="588" t="n"/>
      <c r="CH280" s="588" t="n"/>
      <c r="CI280" s="588" t="n"/>
      <c r="CJ280" s="588" t="n"/>
      <c r="CK280" s="588" t="n"/>
      <c r="CL280" s="588" t="n"/>
      <c r="CM280" s="588" t="n"/>
      <c r="CN280" s="588" t="n"/>
      <c r="CO280" s="588" t="n"/>
      <c r="CP280" s="588" t="n"/>
      <c r="CQ280" s="588" t="n"/>
      <c r="CR280" s="588" t="n"/>
      <c r="CS280" s="588" t="n"/>
      <c r="CT280" s="588" t="n"/>
      <c r="CU280" s="588" t="n"/>
      <c r="CV280" s="588" t="n"/>
      <c r="CW280" s="588" t="n"/>
      <c r="CX280" s="588" t="n"/>
      <c r="CY280" s="588" t="n"/>
      <c r="CZ280" s="588" t="n"/>
      <c r="DA280" s="588" t="n"/>
      <c r="DB280" s="588" t="n"/>
      <c r="DC280" s="588" t="n"/>
      <c r="DD280" s="588" t="n"/>
      <c r="DE280" s="588" t="n"/>
      <c r="DF280" s="588" t="n"/>
      <c r="DG280" s="588" t="n"/>
      <c r="DH280" s="588" t="n"/>
      <c r="DI280" s="588" t="n"/>
      <c r="DJ280" s="588" t="n"/>
      <c r="DK280" s="588" t="n"/>
      <c r="DL280" s="588" t="n"/>
      <c r="DM280" s="588" t="n"/>
      <c r="DN280" s="588" t="n"/>
      <c r="DO280" s="588" t="n"/>
      <c r="DP280" s="588" t="n"/>
      <c r="DQ280" s="588" t="n"/>
      <c r="DR280" s="588" t="n"/>
      <c r="DS280" s="588" t="n"/>
      <c r="DT280" s="588" t="n"/>
      <c r="DU280" s="588" t="n"/>
    </row>
    <row r="281">
      <c r="A281" s="737" t="n"/>
      <c r="B281" s="737" t="n"/>
      <c r="C281" s="737" t="n"/>
      <c r="D281" s="737" t="n"/>
      <c r="E281" s="737" t="n"/>
      <c r="F281" s="737" t="n"/>
      <c r="G281" s="737" t="n"/>
      <c r="H281" s="737" t="n"/>
      <c r="I281" s="737" t="n"/>
      <c r="J281" s="737" t="n"/>
      <c r="K281" s="737" t="n"/>
      <c r="L281" s="737" t="n"/>
      <c r="M281" s="737" t="n"/>
      <c r="N281" s="737" t="n"/>
      <c r="O281" s="737" t="n"/>
      <c r="P281" s="737" t="n"/>
      <c r="Q281" s="737" t="n"/>
      <c r="R281" s="737" t="n"/>
      <c r="S281" s="737" t="n"/>
      <c r="T281" s="737" t="n"/>
      <c r="U281" s="737" t="n"/>
      <c r="V281" s="737" t="n"/>
      <c r="W281" s="737" t="n"/>
      <c r="X281" s="737" t="n"/>
      <c r="Y281" s="737" t="n"/>
      <c r="Z281" s="737" t="n"/>
      <c r="AA281" s="737" t="n"/>
      <c r="AB281" s="737" t="n"/>
      <c r="AC281" s="737" t="n"/>
      <c r="AD281" s="737" t="n"/>
      <c r="AE281" s="737" t="n"/>
      <c r="AF281" s="737" t="n"/>
      <c r="AG281" s="737" t="n"/>
      <c r="AH281" s="737" t="n"/>
      <c r="AI281" s="737" t="n"/>
      <c r="AJ281" s="737" t="n"/>
      <c r="AK281" s="588" t="n"/>
      <c r="AL281" s="588" t="n"/>
      <c r="AM281" s="588" t="n"/>
      <c r="AN281" s="588" t="n"/>
      <c r="AO281" s="588" t="n"/>
      <c r="AP281" s="588" t="n"/>
      <c r="AQ281" s="588" t="n"/>
      <c r="AR281" s="588" t="n"/>
      <c r="AS281" s="588" t="n"/>
      <c r="AT281" s="588" t="n"/>
      <c r="AU281" s="588" t="n"/>
      <c r="AV281" s="588" t="n"/>
      <c r="AW281" s="588" t="n"/>
      <c r="AX281" s="588" t="n"/>
      <c r="AY281" s="588" t="n"/>
      <c r="AZ281" s="588" t="n"/>
      <c r="BA281" s="588" t="n"/>
      <c r="BB281" s="588" t="n"/>
      <c r="BC281" s="588" t="n"/>
      <c r="BD281" s="588" t="n"/>
      <c r="BE281" s="588" t="n"/>
      <c r="BF281" s="588" t="n"/>
      <c r="BG281" s="588" t="n"/>
      <c r="BH281" s="588" t="n"/>
      <c r="BI281" s="588" t="n"/>
      <c r="BJ281" s="588" t="n"/>
      <c r="BK281" s="588" t="n"/>
      <c r="BL281" s="588" t="n"/>
      <c r="BM281" s="588" t="n"/>
      <c r="BN281" s="588" t="n"/>
      <c r="BO281" s="588" t="n"/>
      <c r="BP281" s="588" t="n"/>
      <c r="BQ281" s="588" t="n"/>
      <c r="BR281" s="588" t="n"/>
      <c r="BS281" s="588" t="n"/>
      <c r="BT281" s="588" t="n"/>
      <c r="BU281" s="588" t="n"/>
      <c r="BV281" s="588" t="n"/>
      <c r="BW281" s="588" t="n"/>
      <c r="BX281" s="588" t="n"/>
      <c r="BY281" s="588" t="n"/>
      <c r="BZ281" s="588" t="n"/>
      <c r="CA281" s="588" t="n"/>
      <c r="CB281" s="588" t="n"/>
      <c r="CC281" s="588" t="n"/>
      <c r="CD281" s="588" t="n"/>
      <c r="CE281" s="588" t="n"/>
      <c r="CF281" s="588" t="n"/>
      <c r="CG281" s="588" t="n"/>
      <c r="CH281" s="588" t="n"/>
      <c r="CI281" s="588" t="n"/>
      <c r="CJ281" s="588" t="n"/>
      <c r="CK281" s="588" t="n"/>
      <c r="CL281" s="588" t="n"/>
      <c r="CM281" s="588" t="n"/>
      <c r="CN281" s="588" t="n"/>
      <c r="CO281" s="588" t="n"/>
      <c r="CP281" s="588" t="n"/>
      <c r="CQ281" s="588" t="n"/>
      <c r="CR281" s="588" t="n"/>
      <c r="CS281" s="588" t="n"/>
      <c r="CT281" s="588" t="n"/>
      <c r="CU281" s="588" t="n"/>
      <c r="CV281" s="588" t="n"/>
      <c r="CW281" s="588" t="n"/>
      <c r="CX281" s="588" t="n"/>
      <c r="CY281" s="588" t="n"/>
      <c r="CZ281" s="588" t="n"/>
      <c r="DA281" s="588" t="n"/>
      <c r="DB281" s="588" t="n"/>
      <c r="DC281" s="588" t="n"/>
      <c r="DD281" s="588" t="n"/>
      <c r="DE281" s="588" t="n"/>
      <c r="DF281" s="588" t="n"/>
      <c r="DG281" s="588" t="n"/>
      <c r="DH281" s="588" t="n"/>
      <c r="DI281" s="588" t="n"/>
      <c r="DJ281" s="588" t="n"/>
      <c r="DK281" s="588" t="n"/>
      <c r="DL281" s="588" t="n"/>
      <c r="DM281" s="588" t="n"/>
      <c r="DN281" s="588" t="n"/>
      <c r="DO281" s="588" t="n"/>
      <c r="DP281" s="588" t="n"/>
      <c r="DQ281" s="588" t="n"/>
      <c r="DR281" s="588" t="n"/>
      <c r="DS281" s="588" t="n"/>
      <c r="DT281" s="588" t="n"/>
      <c r="DU281" s="588" t="n"/>
    </row>
    <row r="282">
      <c r="A282" s="737" t="n"/>
      <c r="B282" s="737" t="n"/>
      <c r="C282" s="737" t="n"/>
      <c r="D282" s="737" t="n"/>
      <c r="E282" s="737" t="n"/>
      <c r="F282" s="737" t="n"/>
      <c r="G282" s="737" t="n"/>
      <c r="H282" s="737" t="n"/>
      <c r="I282" s="737" t="n"/>
      <c r="J282" s="737" t="n"/>
      <c r="K282" s="737" t="n"/>
      <c r="L282" s="737" t="n"/>
      <c r="M282" s="737" t="n"/>
      <c r="N282" s="737" t="n"/>
      <c r="O282" s="737" t="n"/>
      <c r="P282" s="737" t="n"/>
      <c r="Q282" s="737" t="n"/>
      <c r="R282" s="737" t="n"/>
      <c r="S282" s="737" t="n"/>
      <c r="T282" s="737" t="n"/>
      <c r="U282" s="737" t="n"/>
      <c r="V282" s="737" t="n"/>
      <c r="W282" s="737" t="n"/>
      <c r="X282" s="737" t="n"/>
      <c r="Y282" s="737" t="n"/>
      <c r="Z282" s="737" t="n"/>
      <c r="AA282" s="737" t="n"/>
      <c r="AB282" s="737" t="n"/>
      <c r="AC282" s="737" t="n"/>
      <c r="AD282" s="737" t="n"/>
      <c r="AE282" s="737" t="n"/>
      <c r="AF282" s="737" t="n"/>
      <c r="AG282" s="737" t="n"/>
      <c r="AH282" s="737" t="n"/>
      <c r="AI282" s="737" t="n"/>
      <c r="AJ282" s="737" t="n"/>
      <c r="AK282" s="588" t="n"/>
      <c r="AL282" s="588" t="n"/>
      <c r="AM282" s="588" t="n"/>
      <c r="AN282" s="588" t="n"/>
      <c r="AO282" s="588" t="n"/>
      <c r="AP282" s="588" t="n"/>
      <c r="AQ282" s="588" t="n"/>
      <c r="AR282" s="588" t="n"/>
      <c r="AS282" s="588" t="n"/>
      <c r="AT282" s="588" t="n"/>
      <c r="AU282" s="588" t="n"/>
      <c r="AV282" s="588" t="n"/>
      <c r="AW282" s="588" t="n"/>
      <c r="AX282" s="588" t="n"/>
      <c r="AY282" s="588" t="n"/>
      <c r="AZ282" s="588" t="n"/>
      <c r="BA282" s="588" t="n"/>
      <c r="BB282" s="588" t="n"/>
      <c r="BC282" s="588" t="n"/>
      <c r="BD282" s="588" t="n"/>
      <c r="BE282" s="588" t="n"/>
      <c r="BF282" s="588" t="n"/>
      <c r="BG282" s="588" t="n"/>
      <c r="BH282" s="588" t="n"/>
      <c r="BI282" s="588" t="n"/>
      <c r="BJ282" s="588" t="n"/>
      <c r="BK282" s="588" t="n"/>
      <c r="BL282" s="588" t="n"/>
      <c r="BM282" s="588" t="n"/>
      <c r="BN282" s="588" t="n"/>
      <c r="BO282" s="588" t="n"/>
      <c r="BP282" s="588" t="n"/>
      <c r="BQ282" s="588" t="n"/>
      <c r="BR282" s="588" t="n"/>
      <c r="BS282" s="588" t="n"/>
      <c r="BT282" s="588" t="n"/>
      <c r="BU282" s="588" t="n"/>
      <c r="BV282" s="588" t="n"/>
      <c r="BW282" s="588" t="n"/>
      <c r="BX282" s="588" t="n"/>
      <c r="BY282" s="588" t="n"/>
      <c r="BZ282" s="588" t="n"/>
      <c r="CA282" s="588" t="n"/>
      <c r="CB282" s="588" t="n"/>
      <c r="CC282" s="588" t="n"/>
      <c r="CD282" s="588" t="n"/>
      <c r="CE282" s="588" t="n"/>
      <c r="CF282" s="588" t="n"/>
      <c r="CG282" s="588" t="n"/>
      <c r="CH282" s="588" t="n"/>
      <c r="CI282" s="588" t="n"/>
      <c r="CJ282" s="588" t="n"/>
      <c r="CK282" s="588" t="n"/>
      <c r="CL282" s="588" t="n"/>
      <c r="CM282" s="588" t="n"/>
      <c r="CN282" s="588" t="n"/>
      <c r="CO282" s="588" t="n"/>
      <c r="CP282" s="588" t="n"/>
      <c r="CQ282" s="588" t="n"/>
      <c r="CR282" s="588" t="n"/>
      <c r="CS282" s="588" t="n"/>
      <c r="CT282" s="588" t="n"/>
      <c r="CU282" s="588" t="n"/>
      <c r="CV282" s="588" t="n"/>
      <c r="CW282" s="588" t="n"/>
      <c r="CX282" s="588" t="n"/>
      <c r="CY282" s="588" t="n"/>
      <c r="CZ282" s="588" t="n"/>
      <c r="DA282" s="588" t="n"/>
      <c r="DB282" s="588" t="n"/>
      <c r="DC282" s="588" t="n"/>
      <c r="DD282" s="588" t="n"/>
      <c r="DE282" s="588" t="n"/>
      <c r="DF282" s="588" t="n"/>
      <c r="DG282" s="588" t="n"/>
      <c r="DH282" s="588" t="n"/>
      <c r="DI282" s="588" t="n"/>
      <c r="DJ282" s="588" t="n"/>
      <c r="DK282" s="588" t="n"/>
      <c r="DL282" s="588" t="n"/>
      <c r="DM282" s="588" t="n"/>
      <c r="DN282" s="588" t="n"/>
      <c r="DO282" s="588" t="n"/>
      <c r="DP282" s="588" t="n"/>
      <c r="DQ282" s="588" t="n"/>
      <c r="DR282" s="588" t="n"/>
      <c r="DS282" s="588" t="n"/>
      <c r="DT282" s="588" t="n"/>
      <c r="DU282" s="588" t="n"/>
    </row>
    <row r="283">
      <c r="A283" s="737" t="n"/>
      <c r="B283" s="737" t="n"/>
      <c r="C283" s="737" t="n"/>
      <c r="D283" s="737" t="n"/>
      <c r="E283" s="737" t="n"/>
      <c r="F283" s="737" t="n"/>
      <c r="G283" s="737" t="n"/>
      <c r="H283" s="737" t="n"/>
      <c r="I283" s="737" t="n"/>
      <c r="J283" s="737" t="n"/>
      <c r="K283" s="737" t="n"/>
      <c r="L283" s="737" t="n"/>
      <c r="M283" s="737" t="n"/>
      <c r="N283" s="737" t="n"/>
      <c r="O283" s="737" t="n"/>
      <c r="P283" s="737" t="n"/>
      <c r="Q283" s="737" t="n"/>
      <c r="R283" s="737" t="n"/>
      <c r="S283" s="737" t="n"/>
      <c r="T283" s="737" t="n"/>
      <c r="U283" s="737" t="n"/>
      <c r="V283" s="737" t="n"/>
      <c r="W283" s="737" t="n"/>
      <c r="X283" s="737" t="n"/>
      <c r="Y283" s="737" t="n"/>
      <c r="Z283" s="737" t="n"/>
      <c r="AA283" s="737" t="n"/>
      <c r="AB283" s="737" t="n"/>
      <c r="AC283" s="737" t="n"/>
      <c r="AD283" s="737" t="n"/>
      <c r="AE283" s="737" t="n"/>
      <c r="AF283" s="737" t="n"/>
      <c r="AG283" s="737" t="n"/>
      <c r="AH283" s="737" t="n"/>
      <c r="AI283" s="737" t="n"/>
      <c r="AJ283" s="737" t="n"/>
      <c r="AK283" s="588" t="n"/>
      <c r="AL283" s="588" t="n"/>
      <c r="AM283" s="588" t="n"/>
      <c r="AN283" s="588" t="n"/>
      <c r="AO283" s="588" t="n"/>
      <c r="AP283" s="588" t="n"/>
      <c r="AQ283" s="588" t="n"/>
      <c r="AR283" s="588" t="n"/>
      <c r="AS283" s="588" t="n"/>
      <c r="AT283" s="588" t="n"/>
      <c r="AU283" s="588" t="n"/>
      <c r="AV283" s="588" t="n"/>
      <c r="AW283" s="588" t="n"/>
      <c r="AX283" s="588" t="n"/>
      <c r="AY283" s="588" t="n"/>
      <c r="AZ283" s="588" t="n"/>
      <c r="BA283" s="588" t="n"/>
      <c r="BB283" s="588" t="n"/>
      <c r="BC283" s="588" t="n"/>
      <c r="BD283" s="588" t="n"/>
      <c r="BE283" s="588" t="n"/>
      <c r="BF283" s="588" t="n"/>
      <c r="BG283" s="588" t="n"/>
      <c r="BH283" s="588" t="n"/>
      <c r="BI283" s="588" t="n"/>
      <c r="BJ283" s="588" t="n"/>
      <c r="BK283" s="588" t="n"/>
      <c r="BL283" s="588" t="n"/>
      <c r="BM283" s="588" t="n"/>
      <c r="BN283" s="588" t="n"/>
      <c r="BO283" s="588" t="n"/>
      <c r="BP283" s="588" t="n"/>
      <c r="BQ283" s="588" t="n"/>
      <c r="BR283" s="588" t="n"/>
      <c r="BS283" s="588" t="n"/>
      <c r="BT283" s="588" t="n"/>
      <c r="BU283" s="588" t="n"/>
      <c r="BV283" s="588" t="n"/>
      <c r="BW283" s="588" t="n"/>
      <c r="BX283" s="588" t="n"/>
      <c r="BY283" s="588" t="n"/>
      <c r="BZ283" s="588" t="n"/>
      <c r="CA283" s="588" t="n"/>
      <c r="CB283" s="588" t="n"/>
      <c r="CC283" s="588" t="n"/>
      <c r="CD283" s="588" t="n"/>
      <c r="CE283" s="588" t="n"/>
      <c r="CF283" s="588" t="n"/>
      <c r="CG283" s="588" t="n"/>
      <c r="CH283" s="588" t="n"/>
      <c r="CI283" s="588" t="n"/>
      <c r="CJ283" s="588" t="n"/>
      <c r="CK283" s="588" t="n"/>
      <c r="CL283" s="588" t="n"/>
      <c r="CM283" s="588" t="n"/>
      <c r="CN283" s="588" t="n"/>
      <c r="CO283" s="588" t="n"/>
      <c r="CP283" s="588" t="n"/>
      <c r="CQ283" s="588" t="n"/>
      <c r="CR283" s="588" t="n"/>
      <c r="CS283" s="588" t="n"/>
      <c r="CT283" s="588" t="n"/>
      <c r="CU283" s="588" t="n"/>
      <c r="CV283" s="588" t="n"/>
      <c r="CW283" s="588" t="n"/>
      <c r="CX283" s="588" t="n"/>
      <c r="CY283" s="588" t="n"/>
      <c r="CZ283" s="588" t="n"/>
      <c r="DA283" s="588" t="n"/>
      <c r="DB283" s="588" t="n"/>
      <c r="DC283" s="588" t="n"/>
      <c r="DD283" s="588" t="n"/>
      <c r="DE283" s="588" t="n"/>
      <c r="DF283" s="588" t="n"/>
      <c r="DG283" s="588" t="n"/>
      <c r="DH283" s="588" t="n"/>
      <c r="DI283" s="588" t="n"/>
      <c r="DJ283" s="588" t="n"/>
      <c r="DK283" s="588" t="n"/>
      <c r="DL283" s="588" t="n"/>
      <c r="DM283" s="588" t="n"/>
      <c r="DN283" s="588" t="n"/>
      <c r="DO283" s="588" t="n"/>
      <c r="DP283" s="588" t="n"/>
      <c r="DQ283" s="588" t="n"/>
      <c r="DR283" s="588" t="n"/>
      <c r="DS283" s="588" t="n"/>
      <c r="DT283" s="588" t="n"/>
      <c r="DU283" s="588" t="n"/>
    </row>
    <row r="284">
      <c r="A284" s="737" t="n"/>
      <c r="B284" s="737" t="n"/>
      <c r="C284" s="737" t="n"/>
      <c r="D284" s="737" t="n"/>
      <c r="E284" s="737" t="n"/>
      <c r="F284" s="737" t="n"/>
      <c r="G284" s="737" t="n"/>
      <c r="H284" s="737" t="n"/>
      <c r="I284" s="737" t="n"/>
      <c r="J284" s="737" t="n"/>
      <c r="K284" s="737" t="n"/>
      <c r="L284" s="737" t="n"/>
      <c r="M284" s="737" t="n"/>
      <c r="N284" s="737" t="n"/>
      <c r="O284" s="737" t="n"/>
      <c r="P284" s="737" t="n"/>
      <c r="Q284" s="737" t="n"/>
      <c r="R284" s="737" t="n"/>
      <c r="S284" s="737" t="n"/>
      <c r="T284" s="737" t="n"/>
      <c r="U284" s="737" t="n"/>
      <c r="V284" s="737" t="n"/>
      <c r="W284" s="737" t="n"/>
      <c r="X284" s="737" t="n"/>
      <c r="Y284" s="737" t="n"/>
      <c r="Z284" s="737" t="n"/>
      <c r="AA284" s="737" t="n"/>
      <c r="AB284" s="737" t="n"/>
      <c r="AC284" s="737" t="n"/>
      <c r="AD284" s="737" t="n"/>
      <c r="AE284" s="737" t="n"/>
      <c r="AF284" s="737" t="n"/>
      <c r="AG284" s="737" t="n"/>
      <c r="AH284" s="737" t="n"/>
      <c r="AI284" s="737" t="n"/>
      <c r="AJ284" s="737" t="n"/>
      <c r="AK284" s="588" t="n"/>
      <c r="AL284" s="588" t="n"/>
      <c r="AM284" s="588" t="n"/>
      <c r="AN284" s="588" t="n"/>
      <c r="AO284" s="588" t="n"/>
      <c r="AP284" s="588" t="n"/>
      <c r="AQ284" s="588" t="n"/>
      <c r="AR284" s="588" t="n"/>
      <c r="AS284" s="588" t="n"/>
      <c r="AT284" s="588" t="n"/>
      <c r="AU284" s="588" t="n"/>
      <c r="AV284" s="588" t="n"/>
      <c r="AW284" s="588" t="n"/>
      <c r="AX284" s="588" t="n"/>
      <c r="AY284" s="588" t="n"/>
      <c r="AZ284" s="588" t="n"/>
      <c r="BA284" s="588" t="n"/>
      <c r="BB284" s="588" t="n"/>
      <c r="BC284" s="588" t="n"/>
      <c r="BD284" s="588" t="n"/>
      <c r="BE284" s="588" t="n"/>
      <c r="BF284" s="588" t="n"/>
      <c r="BG284" s="588" t="n"/>
      <c r="BH284" s="588" t="n"/>
      <c r="BI284" s="588" t="n"/>
      <c r="BJ284" s="588" t="n"/>
      <c r="BK284" s="588" t="n"/>
      <c r="BL284" s="588" t="n"/>
      <c r="BM284" s="588" t="n"/>
      <c r="BN284" s="588" t="n"/>
      <c r="BO284" s="588" t="n"/>
      <c r="BP284" s="588" t="n"/>
      <c r="BQ284" s="588" t="n"/>
      <c r="BR284" s="588" t="n"/>
      <c r="BS284" s="588" t="n"/>
      <c r="BT284" s="588" t="n"/>
      <c r="BU284" s="588" t="n"/>
      <c r="BV284" s="588" t="n"/>
      <c r="BW284" s="588" t="n"/>
      <c r="BX284" s="588" t="n"/>
      <c r="BY284" s="588" t="n"/>
      <c r="BZ284" s="588" t="n"/>
      <c r="CA284" s="588" t="n"/>
      <c r="CB284" s="588" t="n"/>
      <c r="CC284" s="588" t="n"/>
      <c r="CD284" s="588" t="n"/>
      <c r="CE284" s="588" t="n"/>
      <c r="CF284" s="588" t="n"/>
      <c r="CG284" s="588" t="n"/>
      <c r="CH284" s="588" t="n"/>
      <c r="CI284" s="588" t="n"/>
      <c r="CJ284" s="588" t="n"/>
      <c r="CK284" s="588" t="n"/>
      <c r="CL284" s="588" t="n"/>
      <c r="CM284" s="588" t="n"/>
      <c r="CN284" s="588" t="n"/>
      <c r="CO284" s="588" t="n"/>
      <c r="CP284" s="588" t="n"/>
      <c r="CQ284" s="588" t="n"/>
      <c r="CR284" s="588" t="n"/>
      <c r="CS284" s="588" t="n"/>
      <c r="CT284" s="588" t="n"/>
      <c r="CU284" s="588" t="n"/>
      <c r="CV284" s="588" t="n"/>
      <c r="CW284" s="588" t="n"/>
      <c r="CX284" s="588" t="n"/>
      <c r="CY284" s="588" t="n"/>
      <c r="CZ284" s="588" t="n"/>
      <c r="DA284" s="588" t="n"/>
      <c r="DB284" s="588" t="n"/>
      <c r="DC284" s="588" t="n"/>
      <c r="DD284" s="588" t="n"/>
      <c r="DE284" s="588" t="n"/>
      <c r="DF284" s="588" t="n"/>
      <c r="DG284" s="588" t="n"/>
      <c r="DH284" s="588" t="n"/>
      <c r="DI284" s="588" t="n"/>
      <c r="DJ284" s="588" t="n"/>
      <c r="DK284" s="588" t="n"/>
      <c r="DL284" s="588" t="n"/>
      <c r="DM284" s="588" t="n"/>
      <c r="DN284" s="588" t="n"/>
      <c r="DO284" s="588" t="n"/>
      <c r="DP284" s="588" t="n"/>
      <c r="DQ284" s="588" t="n"/>
      <c r="DR284" s="588" t="n"/>
      <c r="DS284" s="588" t="n"/>
      <c r="DT284" s="588" t="n"/>
      <c r="DU284" s="588" t="n"/>
    </row>
    <row r="285">
      <c r="A285" s="737" t="n"/>
      <c r="B285" s="737" t="n"/>
      <c r="C285" s="737" t="n"/>
      <c r="D285" s="737" t="n"/>
      <c r="E285" s="737" t="n"/>
      <c r="F285" s="737" t="n"/>
      <c r="G285" s="737" t="n"/>
      <c r="H285" s="737" t="n"/>
      <c r="I285" s="737" t="n"/>
      <c r="J285" s="737" t="n"/>
      <c r="K285" s="737" t="n"/>
      <c r="L285" s="737" t="n"/>
      <c r="M285" s="737" t="n"/>
      <c r="N285" s="737" t="n"/>
      <c r="O285" s="737" t="n"/>
      <c r="P285" s="737" t="n"/>
      <c r="Q285" s="737" t="n"/>
      <c r="R285" s="737" t="n"/>
      <c r="S285" s="737" t="n"/>
      <c r="T285" s="737" t="n"/>
      <c r="U285" s="737" t="n"/>
      <c r="V285" s="737" t="n"/>
      <c r="W285" s="737" t="n"/>
      <c r="X285" s="737" t="n"/>
      <c r="Y285" s="737" t="n"/>
      <c r="Z285" s="737" t="n"/>
      <c r="AA285" s="737" t="n"/>
      <c r="AB285" s="737" t="n"/>
      <c r="AC285" s="737" t="n"/>
      <c r="AD285" s="737" t="n"/>
      <c r="AE285" s="737" t="n"/>
      <c r="AF285" s="737" t="n"/>
      <c r="AG285" s="737" t="n"/>
      <c r="AH285" s="737" t="n"/>
      <c r="AI285" s="737" t="n"/>
      <c r="AJ285" s="737" t="n"/>
      <c r="AK285" s="588" t="n"/>
      <c r="AL285" s="588" t="n"/>
      <c r="AM285" s="588" t="n"/>
      <c r="AN285" s="588" t="n"/>
      <c r="AO285" s="588" t="n"/>
      <c r="AP285" s="588" t="n"/>
      <c r="AQ285" s="588" t="n"/>
      <c r="AR285" s="588" t="n"/>
      <c r="AS285" s="588" t="n"/>
      <c r="AT285" s="588" t="n"/>
      <c r="AU285" s="588" t="n"/>
      <c r="AV285" s="588" t="n"/>
      <c r="AW285" s="588" t="n"/>
      <c r="AX285" s="588" t="n"/>
      <c r="AY285" s="588" t="n"/>
      <c r="AZ285" s="588" t="n"/>
      <c r="BA285" s="588" t="n"/>
      <c r="BB285" s="588" t="n"/>
      <c r="BC285" s="588" t="n"/>
      <c r="BD285" s="588" t="n"/>
      <c r="BE285" s="588" t="n"/>
      <c r="BF285" s="588" t="n"/>
      <c r="BG285" s="588" t="n"/>
      <c r="BH285" s="588" t="n"/>
      <c r="BI285" s="588" t="n"/>
      <c r="BJ285" s="588" t="n"/>
      <c r="BK285" s="588" t="n"/>
      <c r="BL285" s="588" t="n"/>
      <c r="BM285" s="588" t="n"/>
      <c r="BN285" s="588" t="n"/>
      <c r="BO285" s="588" t="n"/>
      <c r="BP285" s="588" t="n"/>
      <c r="BQ285" s="588" t="n"/>
      <c r="BR285" s="588" t="n"/>
      <c r="BS285" s="588" t="n"/>
      <c r="BT285" s="588" t="n"/>
      <c r="BU285" s="588" t="n"/>
      <c r="BV285" s="588" t="n"/>
      <c r="BW285" s="588" t="n"/>
      <c r="BX285" s="588" t="n"/>
      <c r="BY285" s="588" t="n"/>
      <c r="BZ285" s="588" t="n"/>
      <c r="CA285" s="588" t="n"/>
      <c r="CB285" s="588" t="n"/>
      <c r="CC285" s="588" t="n"/>
      <c r="CD285" s="588" t="n"/>
      <c r="CE285" s="588" t="n"/>
      <c r="CF285" s="588" t="n"/>
      <c r="CG285" s="588" t="n"/>
      <c r="CH285" s="588" t="n"/>
      <c r="CI285" s="588" t="n"/>
      <c r="CJ285" s="588" t="n"/>
      <c r="CK285" s="588" t="n"/>
      <c r="CL285" s="588" t="n"/>
      <c r="CM285" s="588" t="n"/>
      <c r="CN285" s="588" t="n"/>
      <c r="CO285" s="588" t="n"/>
      <c r="CP285" s="588" t="n"/>
      <c r="CQ285" s="588" t="n"/>
      <c r="CR285" s="588" t="n"/>
      <c r="CS285" s="588" t="n"/>
      <c r="CT285" s="588" t="n"/>
      <c r="CU285" s="588" t="n"/>
      <c r="CV285" s="588" t="n"/>
      <c r="CW285" s="588" t="n"/>
      <c r="CX285" s="588" t="n"/>
      <c r="CY285" s="588" t="n"/>
      <c r="CZ285" s="588" t="n"/>
      <c r="DA285" s="588" t="n"/>
      <c r="DB285" s="588" t="n"/>
      <c r="DC285" s="588" t="n"/>
      <c r="DD285" s="588" t="n"/>
      <c r="DE285" s="588" t="n"/>
      <c r="DF285" s="588" t="n"/>
      <c r="DG285" s="588" t="n"/>
      <c r="DH285" s="588" t="n"/>
      <c r="DI285" s="588" t="n"/>
      <c r="DJ285" s="588" t="n"/>
      <c r="DK285" s="588" t="n"/>
      <c r="DL285" s="588" t="n"/>
      <c r="DM285" s="588" t="n"/>
      <c r="DN285" s="588" t="n"/>
      <c r="DO285" s="588" t="n"/>
      <c r="DP285" s="588" t="n"/>
      <c r="DQ285" s="588" t="n"/>
      <c r="DR285" s="588" t="n"/>
      <c r="DS285" s="588" t="n"/>
      <c r="DT285" s="588" t="n"/>
      <c r="DU285" s="588" t="n"/>
    </row>
    <row r="286">
      <c r="A286" s="737" t="n"/>
      <c r="B286" s="737" t="n"/>
      <c r="C286" s="737" t="n"/>
      <c r="D286" s="737" t="n"/>
      <c r="E286" s="737" t="n"/>
      <c r="F286" s="737" t="n"/>
      <c r="G286" s="737" t="n"/>
      <c r="H286" s="737" t="n"/>
      <c r="I286" s="737" t="n"/>
      <c r="J286" s="737" t="n"/>
      <c r="K286" s="737" t="n"/>
      <c r="L286" s="737" t="n"/>
      <c r="M286" s="737" t="n"/>
      <c r="N286" s="737" t="n"/>
      <c r="O286" s="737" t="n"/>
      <c r="P286" s="737" t="n"/>
      <c r="Q286" s="737" t="n"/>
      <c r="R286" s="737" t="n"/>
      <c r="S286" s="737" t="n"/>
      <c r="T286" s="737" t="n"/>
      <c r="U286" s="737" t="n"/>
      <c r="V286" s="737" t="n"/>
      <c r="W286" s="737" t="n"/>
      <c r="X286" s="737" t="n"/>
      <c r="Y286" s="737" t="n"/>
      <c r="Z286" s="737" t="n"/>
      <c r="AA286" s="737" t="n"/>
      <c r="AB286" s="737" t="n"/>
      <c r="AC286" s="737" t="n"/>
      <c r="AD286" s="737" t="n"/>
      <c r="AE286" s="737" t="n"/>
      <c r="AF286" s="737" t="n"/>
      <c r="AG286" s="737" t="n"/>
      <c r="AH286" s="737" t="n"/>
      <c r="AI286" s="737" t="n"/>
      <c r="AJ286" s="737" t="n"/>
      <c r="AK286" s="588" t="n"/>
      <c r="AL286" s="588" t="n"/>
      <c r="AM286" s="588" t="n"/>
      <c r="AN286" s="588" t="n"/>
      <c r="AO286" s="588" t="n"/>
      <c r="AP286" s="588" t="n"/>
      <c r="AQ286" s="588" t="n"/>
      <c r="AR286" s="588" t="n"/>
      <c r="AS286" s="588" t="n"/>
      <c r="AT286" s="588" t="n"/>
      <c r="AU286" s="588" t="n"/>
      <c r="AV286" s="588" t="n"/>
      <c r="AW286" s="588" t="n"/>
      <c r="AX286" s="588" t="n"/>
      <c r="AY286" s="588" t="n"/>
      <c r="AZ286" s="588" t="n"/>
      <c r="BA286" s="588" t="n"/>
      <c r="BB286" s="588" t="n"/>
      <c r="BC286" s="588" t="n"/>
      <c r="BD286" s="588" t="n"/>
      <c r="BE286" s="588" t="n"/>
      <c r="BF286" s="588" t="n"/>
      <c r="BG286" s="588" t="n"/>
      <c r="BH286" s="588" t="n"/>
      <c r="BI286" s="588" t="n"/>
      <c r="BJ286" s="588" t="n"/>
      <c r="BK286" s="588" t="n"/>
      <c r="BL286" s="588" t="n"/>
      <c r="BM286" s="588" t="n"/>
      <c r="BN286" s="588" t="n"/>
      <c r="BO286" s="588" t="n"/>
      <c r="BP286" s="588" t="n"/>
      <c r="BQ286" s="588" t="n"/>
      <c r="BR286" s="588" t="n"/>
      <c r="BS286" s="588" t="n"/>
      <c r="BT286" s="588" t="n"/>
      <c r="BU286" s="588" t="n"/>
      <c r="BV286" s="588" t="n"/>
      <c r="BW286" s="588" t="n"/>
      <c r="BX286" s="588" t="n"/>
      <c r="BY286" s="588" t="n"/>
      <c r="BZ286" s="588" t="n"/>
      <c r="CA286" s="588" t="n"/>
      <c r="CB286" s="588" t="n"/>
      <c r="CC286" s="588" t="n"/>
      <c r="CD286" s="588" t="n"/>
      <c r="CE286" s="588" t="n"/>
      <c r="CF286" s="588" t="n"/>
      <c r="CG286" s="588" t="n"/>
      <c r="CH286" s="588" t="n"/>
      <c r="CI286" s="588" t="n"/>
      <c r="CJ286" s="588" t="n"/>
      <c r="CK286" s="588" t="n"/>
      <c r="CL286" s="588" t="n"/>
      <c r="CM286" s="588" t="n"/>
      <c r="CN286" s="588" t="n"/>
      <c r="CO286" s="588" t="n"/>
      <c r="CP286" s="588" t="n"/>
      <c r="CQ286" s="588" t="n"/>
      <c r="CR286" s="588" t="n"/>
      <c r="CS286" s="588" t="n"/>
      <c r="CT286" s="588" t="n"/>
      <c r="CU286" s="588" t="n"/>
      <c r="CV286" s="588" t="n"/>
      <c r="CW286" s="588" t="n"/>
      <c r="CX286" s="588" t="n"/>
      <c r="CY286" s="588" t="n"/>
      <c r="CZ286" s="588" t="n"/>
      <c r="DA286" s="588" t="n"/>
      <c r="DB286" s="588" t="n"/>
      <c r="DC286" s="588" t="n"/>
      <c r="DD286" s="588" t="n"/>
      <c r="DE286" s="588" t="n"/>
      <c r="DF286" s="588" t="n"/>
      <c r="DG286" s="588" t="n"/>
      <c r="DH286" s="588" t="n"/>
      <c r="DI286" s="588" t="n"/>
      <c r="DJ286" s="588" t="n"/>
      <c r="DK286" s="588" t="n"/>
      <c r="DL286" s="588" t="n"/>
      <c r="DM286" s="588" t="n"/>
      <c r="DN286" s="588" t="n"/>
      <c r="DO286" s="588" t="n"/>
      <c r="DP286" s="588" t="n"/>
      <c r="DQ286" s="588" t="n"/>
      <c r="DR286" s="588" t="n"/>
      <c r="DS286" s="588" t="n"/>
      <c r="DT286" s="588" t="n"/>
      <c r="DU286" s="588" t="n"/>
    </row>
    <row r="287">
      <c r="A287" s="737" t="n"/>
      <c r="B287" s="737" t="n"/>
      <c r="C287" s="737" t="n"/>
      <c r="D287" s="737" t="n"/>
      <c r="E287" s="737" t="n"/>
      <c r="F287" s="737" t="n"/>
      <c r="G287" s="737" t="n"/>
      <c r="H287" s="737" t="n"/>
      <c r="I287" s="737" t="n"/>
      <c r="J287" s="737" t="n"/>
      <c r="K287" s="737" t="n"/>
      <c r="L287" s="737" t="n"/>
      <c r="M287" s="737" t="n"/>
      <c r="N287" s="737" t="n"/>
      <c r="O287" s="737" t="n"/>
      <c r="P287" s="737" t="n"/>
      <c r="Q287" s="737" t="n"/>
      <c r="R287" s="737" t="n"/>
      <c r="S287" s="737" t="n"/>
      <c r="T287" s="737" t="n"/>
      <c r="U287" s="737" t="n"/>
      <c r="V287" s="737" t="n"/>
      <c r="W287" s="737" t="n"/>
      <c r="X287" s="737" t="n"/>
      <c r="Y287" s="737" t="n"/>
      <c r="Z287" s="737" t="n"/>
      <c r="AA287" s="737" t="n"/>
      <c r="AB287" s="737" t="n"/>
      <c r="AC287" s="737" t="n"/>
      <c r="AD287" s="737" t="n"/>
      <c r="AE287" s="737" t="n"/>
      <c r="AF287" s="737" t="n"/>
      <c r="AG287" s="737" t="n"/>
      <c r="AH287" s="737" t="n"/>
      <c r="AI287" s="737" t="n"/>
      <c r="AJ287" s="737" t="n"/>
      <c r="AK287" s="588" t="n"/>
      <c r="AL287" s="588" t="n"/>
      <c r="AM287" s="588" t="n"/>
      <c r="AN287" s="588" t="n"/>
      <c r="AO287" s="588" t="n"/>
      <c r="AP287" s="588" t="n"/>
      <c r="AQ287" s="588" t="n"/>
      <c r="AR287" s="588" t="n"/>
      <c r="AS287" s="588" t="n"/>
      <c r="AT287" s="588" t="n"/>
      <c r="AU287" s="588" t="n"/>
      <c r="AV287" s="588" t="n"/>
      <c r="AW287" s="588" t="n"/>
      <c r="AX287" s="588" t="n"/>
      <c r="AY287" s="588" t="n"/>
      <c r="AZ287" s="588" t="n"/>
      <c r="BA287" s="588" t="n"/>
      <c r="BB287" s="588" t="n"/>
      <c r="BC287" s="588" t="n"/>
      <c r="BD287" s="588" t="n"/>
      <c r="BE287" s="588" t="n"/>
      <c r="BF287" s="588" t="n"/>
      <c r="BG287" s="588" t="n"/>
      <c r="BH287" s="588" t="n"/>
      <c r="BI287" s="588" t="n"/>
      <c r="BJ287" s="588" t="n"/>
      <c r="BK287" s="588" t="n"/>
      <c r="BL287" s="588" t="n"/>
      <c r="BM287" s="588" t="n"/>
      <c r="BN287" s="588" t="n"/>
      <c r="BO287" s="588" t="n"/>
      <c r="BP287" s="588" t="n"/>
      <c r="BQ287" s="588" t="n"/>
      <c r="BR287" s="588" t="n"/>
      <c r="BS287" s="588" t="n"/>
      <c r="BT287" s="588" t="n"/>
      <c r="BU287" s="588" t="n"/>
      <c r="BV287" s="588" t="n"/>
      <c r="BW287" s="588" t="n"/>
      <c r="BX287" s="588" t="n"/>
      <c r="BY287" s="588" t="n"/>
      <c r="BZ287" s="588" t="n"/>
      <c r="CA287" s="588" t="n"/>
      <c r="CB287" s="588" t="n"/>
      <c r="CC287" s="588" t="n"/>
      <c r="CD287" s="588" t="n"/>
      <c r="CE287" s="588" t="n"/>
      <c r="CF287" s="588" t="n"/>
      <c r="CG287" s="588" t="n"/>
      <c r="CH287" s="588" t="n"/>
      <c r="CI287" s="588" t="n"/>
      <c r="CJ287" s="588" t="n"/>
      <c r="CK287" s="588" t="n"/>
      <c r="CL287" s="588" t="n"/>
      <c r="CM287" s="588" t="n"/>
      <c r="CN287" s="588" t="n"/>
      <c r="CO287" s="588" t="n"/>
      <c r="CP287" s="588" t="n"/>
      <c r="CQ287" s="588" t="n"/>
      <c r="CR287" s="588" t="n"/>
      <c r="CS287" s="588" t="n"/>
      <c r="CT287" s="588" t="n"/>
      <c r="CU287" s="588" t="n"/>
      <c r="CV287" s="588" t="n"/>
      <c r="CW287" s="588" t="n"/>
      <c r="CX287" s="588" t="n"/>
      <c r="CY287" s="588" t="n"/>
      <c r="CZ287" s="588" t="n"/>
      <c r="DA287" s="588" t="n"/>
      <c r="DB287" s="588" t="n"/>
      <c r="DC287" s="588" t="n"/>
      <c r="DD287" s="588" t="n"/>
      <c r="DE287" s="588" t="n"/>
      <c r="DF287" s="588" t="n"/>
      <c r="DG287" s="588" t="n"/>
      <c r="DH287" s="588" t="n"/>
      <c r="DI287" s="588" t="n"/>
      <c r="DJ287" s="588" t="n"/>
      <c r="DK287" s="588" t="n"/>
      <c r="DL287" s="588" t="n"/>
      <c r="DM287" s="588" t="n"/>
      <c r="DN287" s="588" t="n"/>
      <c r="DO287" s="588" t="n"/>
      <c r="DP287" s="588" t="n"/>
      <c r="DQ287" s="588" t="n"/>
      <c r="DR287" s="588" t="n"/>
      <c r="DS287" s="588" t="n"/>
      <c r="DT287" s="588" t="n"/>
      <c r="DU287" s="588" t="n"/>
    </row>
    <row r="288">
      <c r="A288" s="737" t="n"/>
      <c r="B288" s="737" t="n"/>
      <c r="C288" s="737" t="n"/>
      <c r="D288" s="737" t="n"/>
      <c r="E288" s="737" t="n"/>
      <c r="F288" s="737" t="n"/>
      <c r="G288" s="737" t="n"/>
      <c r="H288" s="737" t="n"/>
      <c r="I288" s="737" t="n"/>
      <c r="J288" s="737" t="n"/>
      <c r="K288" s="737" t="n"/>
      <c r="L288" s="737" t="n"/>
      <c r="M288" s="737" t="n"/>
      <c r="N288" s="737" t="n"/>
      <c r="O288" s="737" t="n"/>
      <c r="P288" s="737" t="n"/>
      <c r="Q288" s="737" t="n"/>
      <c r="R288" s="737" t="n"/>
      <c r="S288" s="737" t="n"/>
      <c r="T288" s="737" t="n"/>
      <c r="U288" s="737" t="n"/>
      <c r="V288" s="737" t="n"/>
      <c r="W288" s="737" t="n"/>
      <c r="X288" s="737" t="n"/>
      <c r="Y288" s="737" t="n"/>
      <c r="Z288" s="737" t="n"/>
      <c r="AA288" s="737" t="n"/>
      <c r="AB288" s="737" t="n"/>
      <c r="AC288" s="737" t="n"/>
      <c r="AD288" s="737" t="n"/>
      <c r="AE288" s="737" t="n"/>
      <c r="AF288" s="737" t="n"/>
      <c r="AG288" s="737" t="n"/>
      <c r="AH288" s="737" t="n"/>
      <c r="AI288" s="737" t="n"/>
      <c r="AJ288" s="737" t="n"/>
      <c r="AK288" s="588" t="n"/>
      <c r="AL288" s="588" t="n"/>
      <c r="AM288" s="588" t="n"/>
      <c r="AN288" s="588" t="n"/>
      <c r="AO288" s="588" t="n"/>
      <c r="AP288" s="588" t="n"/>
      <c r="AQ288" s="588" t="n"/>
      <c r="AR288" s="588" t="n"/>
      <c r="AS288" s="588" t="n"/>
      <c r="AT288" s="588" t="n"/>
      <c r="AU288" s="588" t="n"/>
      <c r="AV288" s="588" t="n"/>
      <c r="AW288" s="588" t="n"/>
      <c r="AX288" s="588" t="n"/>
      <c r="AY288" s="588" t="n"/>
      <c r="AZ288" s="588" t="n"/>
      <c r="BA288" s="588" t="n"/>
      <c r="BB288" s="588" t="n"/>
      <c r="BC288" s="588" t="n"/>
      <c r="BD288" s="588" t="n"/>
      <c r="BE288" s="588" t="n"/>
      <c r="BF288" s="588" t="n"/>
      <c r="BG288" s="588" t="n"/>
      <c r="BH288" s="588" t="n"/>
      <c r="BI288" s="588" t="n"/>
      <c r="BJ288" s="588" t="n"/>
      <c r="BK288" s="588" t="n"/>
      <c r="BL288" s="588" t="n"/>
      <c r="BM288" s="588" t="n"/>
      <c r="BN288" s="588" t="n"/>
      <c r="BO288" s="588" t="n"/>
      <c r="BP288" s="588" t="n"/>
      <c r="BQ288" s="588" t="n"/>
      <c r="BR288" s="588" t="n"/>
      <c r="BS288" s="588" t="n"/>
      <c r="BT288" s="588" t="n"/>
      <c r="BU288" s="588" t="n"/>
      <c r="BV288" s="588" t="n"/>
      <c r="BW288" s="588" t="n"/>
      <c r="BX288" s="588" t="n"/>
      <c r="BY288" s="588" t="n"/>
      <c r="BZ288" s="588" t="n"/>
      <c r="CA288" s="588" t="n"/>
      <c r="CB288" s="588" t="n"/>
      <c r="CC288" s="588" t="n"/>
      <c r="CD288" s="588" t="n"/>
      <c r="CE288" s="588" t="n"/>
      <c r="CF288" s="588" t="n"/>
      <c r="CG288" s="588" t="n"/>
      <c r="CH288" s="588" t="n"/>
      <c r="CI288" s="588" t="n"/>
      <c r="CJ288" s="588" t="n"/>
      <c r="CK288" s="588" t="n"/>
      <c r="CL288" s="588" t="n"/>
      <c r="CM288" s="588" t="n"/>
      <c r="CN288" s="588" t="n"/>
      <c r="CO288" s="588" t="n"/>
      <c r="CP288" s="588" t="n"/>
      <c r="CQ288" s="588" t="n"/>
      <c r="CR288" s="588" t="n"/>
      <c r="CS288" s="588" t="n"/>
      <c r="CT288" s="588" t="n"/>
      <c r="CU288" s="588" t="n"/>
      <c r="CV288" s="588" t="n"/>
      <c r="CW288" s="588" t="n"/>
      <c r="CX288" s="588" t="n"/>
      <c r="CY288" s="588" t="n"/>
      <c r="CZ288" s="588" t="n"/>
      <c r="DA288" s="588" t="n"/>
      <c r="DB288" s="588" t="n"/>
      <c r="DC288" s="588" t="n"/>
      <c r="DD288" s="588" t="n"/>
      <c r="DE288" s="588" t="n"/>
      <c r="DF288" s="588" t="n"/>
      <c r="DG288" s="588" t="n"/>
      <c r="DH288" s="588" t="n"/>
      <c r="DI288" s="588" t="n"/>
      <c r="DJ288" s="588" t="n"/>
      <c r="DK288" s="588" t="n"/>
      <c r="DL288" s="588" t="n"/>
      <c r="DM288" s="588" t="n"/>
      <c r="DN288" s="588" t="n"/>
      <c r="DO288" s="588" t="n"/>
      <c r="DP288" s="588" t="n"/>
      <c r="DQ288" s="588" t="n"/>
      <c r="DR288" s="588" t="n"/>
      <c r="DS288" s="588" t="n"/>
      <c r="DT288" s="588" t="n"/>
      <c r="DU288" s="588" t="n"/>
    </row>
    <row r="289">
      <c r="A289" s="737" t="n"/>
      <c r="B289" s="737" t="n"/>
      <c r="C289" s="737" t="n"/>
      <c r="D289" s="737" t="n"/>
      <c r="E289" s="737" t="n"/>
      <c r="F289" s="737" t="n"/>
      <c r="G289" s="737" t="n"/>
      <c r="H289" s="737" t="n"/>
      <c r="I289" s="737" t="n"/>
      <c r="J289" s="737" t="n"/>
      <c r="K289" s="737" t="n"/>
      <c r="L289" s="737" t="n"/>
      <c r="M289" s="737" t="n"/>
      <c r="N289" s="737" t="n"/>
      <c r="O289" s="737" t="n"/>
      <c r="P289" s="737" t="n"/>
      <c r="Q289" s="737" t="n"/>
      <c r="R289" s="737" t="n"/>
      <c r="S289" s="737" t="n"/>
      <c r="T289" s="737" t="n"/>
      <c r="U289" s="737" t="n"/>
      <c r="V289" s="737" t="n"/>
      <c r="W289" s="737" t="n"/>
      <c r="X289" s="737" t="n"/>
      <c r="Y289" s="737" t="n"/>
      <c r="Z289" s="737" t="n"/>
      <c r="AA289" s="737" t="n"/>
      <c r="AB289" s="737" t="n"/>
      <c r="AC289" s="737" t="n"/>
      <c r="AD289" s="737" t="n"/>
      <c r="AE289" s="737" t="n"/>
      <c r="AF289" s="737" t="n"/>
      <c r="AG289" s="737" t="n"/>
      <c r="AH289" s="737" t="n"/>
      <c r="AI289" s="737" t="n"/>
      <c r="AJ289" s="737" t="n"/>
      <c r="AK289" s="588" t="n"/>
      <c r="AL289" s="588" t="n"/>
      <c r="AM289" s="588" t="n"/>
      <c r="AN289" s="588" t="n"/>
      <c r="AO289" s="588" t="n"/>
      <c r="AP289" s="588" t="n"/>
      <c r="AQ289" s="588" t="n"/>
      <c r="AR289" s="588" t="n"/>
      <c r="AS289" s="588" t="n"/>
      <c r="AT289" s="588" t="n"/>
      <c r="AU289" s="588" t="n"/>
      <c r="AV289" s="588" t="n"/>
      <c r="AW289" s="588" t="n"/>
      <c r="AX289" s="588" t="n"/>
      <c r="AY289" s="588" t="n"/>
      <c r="AZ289" s="588" t="n"/>
      <c r="BA289" s="588" t="n"/>
      <c r="BB289" s="588" t="n"/>
      <c r="BC289" s="588" t="n"/>
      <c r="BD289" s="588" t="n"/>
      <c r="BE289" s="588" t="n"/>
      <c r="BF289" s="588" t="n"/>
      <c r="BG289" s="588" t="n"/>
      <c r="BH289" s="588" t="n"/>
      <c r="BI289" s="588" t="n"/>
      <c r="BJ289" s="588" t="n"/>
      <c r="BK289" s="588" t="n"/>
      <c r="BL289" s="588" t="n"/>
      <c r="BM289" s="588" t="n"/>
      <c r="BN289" s="588" t="n"/>
      <c r="BO289" s="588" t="n"/>
      <c r="BP289" s="588" t="n"/>
      <c r="BQ289" s="588" t="n"/>
      <c r="BR289" s="588" t="n"/>
      <c r="BS289" s="588" t="n"/>
      <c r="BT289" s="588" t="n"/>
      <c r="BU289" s="588" t="n"/>
      <c r="BV289" s="588" t="n"/>
      <c r="BW289" s="588" t="n"/>
      <c r="BX289" s="588" t="n"/>
      <c r="BY289" s="588" t="n"/>
      <c r="BZ289" s="588" t="n"/>
      <c r="CA289" s="588" t="n"/>
      <c r="CB289" s="588" t="n"/>
      <c r="CC289" s="588" t="n"/>
      <c r="CD289" s="588" t="n"/>
      <c r="CE289" s="588" t="n"/>
      <c r="CF289" s="588" t="n"/>
      <c r="CG289" s="588" t="n"/>
      <c r="CH289" s="588" t="n"/>
      <c r="CI289" s="588" t="n"/>
      <c r="CJ289" s="588" t="n"/>
      <c r="CK289" s="588" t="n"/>
      <c r="CL289" s="588" t="n"/>
      <c r="CM289" s="588" t="n"/>
      <c r="CN289" s="588" t="n"/>
      <c r="CO289" s="588" t="n"/>
      <c r="CP289" s="588" t="n"/>
      <c r="CQ289" s="588" t="n"/>
      <c r="CR289" s="588" t="n"/>
      <c r="CS289" s="588" t="n"/>
      <c r="CT289" s="588" t="n"/>
      <c r="CU289" s="588" t="n"/>
      <c r="CV289" s="588" t="n"/>
      <c r="CW289" s="588" t="n"/>
      <c r="CX289" s="588" t="n"/>
      <c r="CY289" s="588" t="n"/>
      <c r="CZ289" s="588" t="n"/>
      <c r="DA289" s="588" t="n"/>
      <c r="DB289" s="588" t="n"/>
      <c r="DC289" s="588" t="n"/>
      <c r="DD289" s="588" t="n"/>
      <c r="DE289" s="588" t="n"/>
      <c r="DF289" s="588" t="n"/>
      <c r="DG289" s="588" t="n"/>
      <c r="DH289" s="588" t="n"/>
      <c r="DI289" s="588" t="n"/>
      <c r="DJ289" s="588" t="n"/>
      <c r="DK289" s="588" t="n"/>
      <c r="DL289" s="588" t="n"/>
      <c r="DM289" s="588" t="n"/>
      <c r="DN289" s="588" t="n"/>
      <c r="DO289" s="588" t="n"/>
      <c r="DP289" s="588" t="n"/>
      <c r="DQ289" s="588" t="n"/>
      <c r="DR289" s="588" t="n"/>
      <c r="DS289" s="588" t="n"/>
      <c r="DT289" s="588" t="n"/>
      <c r="DU289" s="588" t="n"/>
    </row>
    <row r="290">
      <c r="A290" s="737" t="n"/>
      <c r="B290" s="737" t="n"/>
      <c r="C290" s="737" t="n"/>
      <c r="D290" s="737" t="n"/>
      <c r="E290" s="737" t="n"/>
      <c r="F290" s="737" t="n"/>
      <c r="G290" s="737" t="n"/>
      <c r="H290" s="737" t="n"/>
      <c r="I290" s="737" t="n"/>
      <c r="J290" s="737" t="n"/>
      <c r="K290" s="737" t="n"/>
      <c r="L290" s="737" t="n"/>
      <c r="M290" s="737" t="n"/>
      <c r="N290" s="737" t="n"/>
      <c r="O290" s="737" t="n"/>
      <c r="P290" s="737" t="n"/>
      <c r="Q290" s="737" t="n"/>
      <c r="R290" s="737" t="n"/>
      <c r="S290" s="737" t="n"/>
      <c r="T290" s="737" t="n"/>
      <c r="U290" s="737" t="n"/>
      <c r="V290" s="737" t="n"/>
      <c r="W290" s="737" t="n"/>
      <c r="X290" s="737" t="n"/>
      <c r="Y290" s="737" t="n"/>
      <c r="Z290" s="737" t="n"/>
      <c r="AA290" s="737" t="n"/>
      <c r="AB290" s="737" t="n"/>
      <c r="AC290" s="737" t="n"/>
      <c r="AD290" s="737" t="n"/>
      <c r="AE290" s="737" t="n"/>
      <c r="AF290" s="737" t="n"/>
      <c r="AG290" s="737" t="n"/>
      <c r="AH290" s="737" t="n"/>
      <c r="AI290" s="737" t="n"/>
      <c r="AJ290" s="737" t="n"/>
      <c r="AK290" s="588" t="n"/>
      <c r="AL290" s="588" t="n"/>
      <c r="AM290" s="588" t="n"/>
      <c r="AN290" s="588" t="n"/>
      <c r="AO290" s="588" t="n"/>
      <c r="AP290" s="588" t="n"/>
      <c r="AQ290" s="588" t="n"/>
      <c r="AR290" s="588" t="n"/>
      <c r="AS290" s="588" t="n"/>
      <c r="AT290" s="588" t="n"/>
      <c r="AU290" s="588" t="n"/>
      <c r="AV290" s="588" t="n"/>
      <c r="AW290" s="588" t="n"/>
      <c r="AX290" s="588" t="n"/>
      <c r="AY290" s="588" t="n"/>
      <c r="AZ290" s="588" t="n"/>
      <c r="BA290" s="588" t="n"/>
      <c r="BB290" s="588" t="n"/>
      <c r="BC290" s="588" t="n"/>
      <c r="BD290" s="588" t="n"/>
      <c r="BE290" s="588" t="n"/>
      <c r="BF290" s="588" t="n"/>
      <c r="BG290" s="588" t="n"/>
      <c r="BH290" s="588" t="n"/>
      <c r="BI290" s="588" t="n"/>
      <c r="BJ290" s="588" t="n"/>
      <c r="BK290" s="588" t="n"/>
      <c r="BL290" s="588" t="n"/>
      <c r="BM290" s="588" t="n"/>
      <c r="BN290" s="588" t="n"/>
      <c r="BO290" s="588" t="n"/>
      <c r="BP290" s="588" t="n"/>
      <c r="BQ290" s="588" t="n"/>
      <c r="BR290" s="588" t="n"/>
      <c r="BS290" s="588" t="n"/>
      <c r="BT290" s="588" t="n"/>
      <c r="BU290" s="588" t="n"/>
      <c r="BV290" s="588" t="n"/>
      <c r="BW290" s="588" t="n"/>
      <c r="BX290" s="588" t="n"/>
      <c r="BY290" s="588" t="n"/>
      <c r="BZ290" s="588" t="n"/>
      <c r="CA290" s="588" t="n"/>
      <c r="CB290" s="588" t="n"/>
      <c r="CC290" s="588" t="n"/>
      <c r="CD290" s="588" t="n"/>
      <c r="CE290" s="588" t="n"/>
      <c r="CF290" s="588" t="n"/>
      <c r="CG290" s="588" t="n"/>
      <c r="CH290" s="588" t="n"/>
      <c r="CI290" s="588" t="n"/>
      <c r="CJ290" s="588" t="n"/>
      <c r="CK290" s="588" t="n"/>
      <c r="CL290" s="588" t="n"/>
      <c r="CM290" s="588" t="n"/>
      <c r="CN290" s="588" t="n"/>
      <c r="CO290" s="588" t="n"/>
      <c r="CP290" s="588" t="n"/>
      <c r="CQ290" s="588" t="n"/>
      <c r="CR290" s="588" t="n"/>
      <c r="CS290" s="588" t="n"/>
      <c r="CT290" s="588" t="n"/>
      <c r="CU290" s="588" t="n"/>
      <c r="CV290" s="588" t="n"/>
      <c r="CW290" s="588" t="n"/>
      <c r="CX290" s="588" t="n"/>
      <c r="CY290" s="588" t="n"/>
      <c r="CZ290" s="588" t="n"/>
      <c r="DA290" s="588" t="n"/>
      <c r="DB290" s="588" t="n"/>
      <c r="DC290" s="588" t="n"/>
      <c r="DD290" s="588" t="n"/>
      <c r="DE290" s="588" t="n"/>
      <c r="DF290" s="588" t="n"/>
      <c r="DG290" s="588" t="n"/>
      <c r="DH290" s="588" t="n"/>
      <c r="DI290" s="588" t="n"/>
      <c r="DJ290" s="588" t="n"/>
      <c r="DK290" s="588" t="n"/>
      <c r="DL290" s="588" t="n"/>
      <c r="DM290" s="588" t="n"/>
      <c r="DN290" s="588" t="n"/>
      <c r="DO290" s="588" t="n"/>
      <c r="DP290" s="588" t="n"/>
      <c r="DQ290" s="588" t="n"/>
      <c r="DR290" s="588" t="n"/>
      <c r="DS290" s="588" t="n"/>
      <c r="DT290" s="588" t="n"/>
      <c r="DU290" s="588" t="n"/>
    </row>
    <row r="291">
      <c r="A291" s="737" t="n"/>
      <c r="B291" s="737" t="n"/>
      <c r="C291" s="737" t="n"/>
      <c r="D291" s="737" t="n"/>
      <c r="E291" s="737" t="n"/>
      <c r="F291" s="737" t="n"/>
      <c r="G291" s="737" t="n"/>
      <c r="H291" s="737" t="n"/>
      <c r="I291" s="737" t="n"/>
      <c r="J291" s="737" t="n"/>
      <c r="K291" s="737" t="n"/>
      <c r="L291" s="737" t="n"/>
      <c r="M291" s="737" t="n"/>
      <c r="N291" s="737" t="n"/>
      <c r="O291" s="737" t="n"/>
      <c r="P291" s="737" t="n"/>
      <c r="Q291" s="737" t="n"/>
      <c r="R291" s="737" t="n"/>
      <c r="S291" s="737" t="n"/>
      <c r="T291" s="737" t="n"/>
      <c r="U291" s="737" t="n"/>
      <c r="V291" s="737" t="n"/>
      <c r="W291" s="737" t="n"/>
      <c r="X291" s="737" t="n"/>
      <c r="Y291" s="737" t="n"/>
      <c r="Z291" s="737" t="n"/>
      <c r="AA291" s="737" t="n"/>
      <c r="AB291" s="737" t="n"/>
      <c r="AC291" s="737" t="n"/>
      <c r="AD291" s="737" t="n"/>
      <c r="AE291" s="737" t="n"/>
      <c r="AF291" s="737" t="n"/>
      <c r="AG291" s="737" t="n"/>
      <c r="AH291" s="737" t="n"/>
      <c r="AI291" s="737" t="n"/>
      <c r="AJ291" s="737" t="n"/>
      <c r="AK291" s="588" t="n"/>
      <c r="AL291" s="588" t="n"/>
      <c r="AM291" s="588" t="n"/>
      <c r="AN291" s="588" t="n"/>
      <c r="AO291" s="588" t="n"/>
      <c r="AP291" s="588" t="n"/>
      <c r="AQ291" s="588" t="n"/>
      <c r="AR291" s="588" t="n"/>
      <c r="AS291" s="588" t="n"/>
      <c r="AT291" s="588" t="n"/>
      <c r="AU291" s="588" t="n"/>
      <c r="AV291" s="588" t="n"/>
      <c r="AW291" s="588" t="n"/>
      <c r="AX291" s="588" t="n"/>
      <c r="AY291" s="588" t="n"/>
      <c r="AZ291" s="588" t="n"/>
      <c r="BA291" s="588" t="n"/>
      <c r="BB291" s="588" t="n"/>
      <c r="BC291" s="588" t="n"/>
      <c r="BD291" s="588" t="n"/>
      <c r="BE291" s="588" t="n"/>
      <c r="BF291" s="588" t="n"/>
      <c r="BG291" s="588" t="n"/>
      <c r="BH291" s="588" t="n"/>
      <c r="BI291" s="588" t="n"/>
      <c r="BJ291" s="588" t="n"/>
      <c r="BK291" s="588" t="n"/>
      <c r="BL291" s="588" t="n"/>
      <c r="BM291" s="588" t="n"/>
      <c r="BN291" s="588" t="n"/>
      <c r="BO291" s="588" t="n"/>
      <c r="BP291" s="588" t="n"/>
      <c r="BQ291" s="588" t="n"/>
      <c r="BR291" s="588" t="n"/>
      <c r="BS291" s="588" t="n"/>
      <c r="BT291" s="588" t="n"/>
      <c r="BU291" s="588" t="n"/>
      <c r="BV291" s="588" t="n"/>
      <c r="BW291" s="588" t="n"/>
      <c r="BX291" s="588" t="n"/>
      <c r="BY291" s="588" t="n"/>
      <c r="BZ291" s="588" t="n"/>
      <c r="CA291" s="588" t="n"/>
      <c r="CB291" s="588" t="n"/>
      <c r="CC291" s="588" t="n"/>
      <c r="CD291" s="588" t="n"/>
      <c r="CE291" s="588" t="n"/>
      <c r="CF291" s="588" t="n"/>
      <c r="CG291" s="588" t="n"/>
      <c r="CH291" s="588" t="n"/>
      <c r="CI291" s="588" t="n"/>
      <c r="CJ291" s="588" t="n"/>
      <c r="CK291" s="588" t="n"/>
      <c r="CL291" s="588" t="n"/>
      <c r="CM291" s="588" t="n"/>
      <c r="CN291" s="588" t="n"/>
      <c r="CO291" s="588" t="n"/>
      <c r="CP291" s="588" t="n"/>
      <c r="CQ291" s="588" t="n"/>
      <c r="CR291" s="588" t="n"/>
      <c r="CS291" s="588" t="n"/>
      <c r="CT291" s="588" t="n"/>
      <c r="CU291" s="588" t="n"/>
      <c r="CV291" s="588" t="n"/>
      <c r="CW291" s="588" t="n"/>
      <c r="CX291" s="588" t="n"/>
      <c r="CY291" s="588" t="n"/>
      <c r="CZ291" s="588" t="n"/>
      <c r="DA291" s="588" t="n"/>
      <c r="DB291" s="588" t="n"/>
      <c r="DC291" s="588" t="n"/>
      <c r="DD291" s="588" t="n"/>
      <c r="DE291" s="588" t="n"/>
      <c r="DF291" s="588" t="n"/>
      <c r="DG291" s="588" t="n"/>
      <c r="DH291" s="588" t="n"/>
      <c r="DI291" s="588" t="n"/>
      <c r="DJ291" s="588" t="n"/>
      <c r="DK291" s="588" t="n"/>
      <c r="DL291" s="588" t="n"/>
      <c r="DM291" s="588" t="n"/>
      <c r="DN291" s="588" t="n"/>
      <c r="DO291" s="588" t="n"/>
      <c r="DP291" s="588" t="n"/>
      <c r="DQ291" s="588" t="n"/>
      <c r="DR291" s="588" t="n"/>
      <c r="DS291" s="588" t="n"/>
      <c r="DT291" s="588" t="n"/>
      <c r="DU291" s="588" t="n"/>
    </row>
    <row r="292">
      <c r="A292" s="737" t="n"/>
      <c r="B292" s="737" t="n"/>
      <c r="C292" s="737" t="n"/>
      <c r="D292" s="737" t="n"/>
      <c r="E292" s="737" t="n"/>
      <c r="F292" s="737" t="n"/>
      <c r="G292" s="737" t="n"/>
      <c r="H292" s="737" t="n"/>
      <c r="I292" s="737" t="n"/>
      <c r="J292" s="737" t="n"/>
      <c r="K292" s="737" t="n"/>
      <c r="L292" s="737" t="n"/>
      <c r="M292" s="737" t="n"/>
      <c r="N292" s="737" t="n"/>
      <c r="O292" s="737" t="n"/>
      <c r="P292" s="737" t="n"/>
      <c r="Q292" s="737" t="n"/>
      <c r="R292" s="737" t="n"/>
      <c r="S292" s="737" t="n"/>
      <c r="T292" s="737" t="n"/>
      <c r="U292" s="737" t="n"/>
      <c r="V292" s="737" t="n"/>
      <c r="W292" s="737" t="n"/>
      <c r="X292" s="737" t="n"/>
      <c r="Y292" s="737" t="n"/>
      <c r="Z292" s="737" t="n"/>
      <c r="AA292" s="737" t="n"/>
      <c r="AB292" s="737" t="n"/>
      <c r="AC292" s="737" t="n"/>
      <c r="AD292" s="737" t="n"/>
      <c r="AE292" s="737" t="n"/>
      <c r="AF292" s="737" t="n"/>
      <c r="AG292" s="737" t="n"/>
      <c r="AH292" s="737" t="n"/>
      <c r="AI292" s="737" t="n"/>
      <c r="AJ292" s="737" t="n"/>
      <c r="AK292" s="588" t="n"/>
      <c r="AL292" s="588" t="n"/>
      <c r="AM292" s="588" t="n"/>
      <c r="AN292" s="588" t="n"/>
      <c r="AO292" s="588" t="n"/>
      <c r="AP292" s="588" t="n"/>
      <c r="AQ292" s="588" t="n"/>
      <c r="AR292" s="588" t="n"/>
      <c r="AS292" s="588" t="n"/>
      <c r="AT292" s="588" t="n"/>
      <c r="AU292" s="588" t="n"/>
      <c r="AV292" s="588" t="n"/>
      <c r="AW292" s="588" t="n"/>
      <c r="AX292" s="588" t="n"/>
      <c r="AY292" s="588" t="n"/>
      <c r="AZ292" s="588" t="n"/>
      <c r="BA292" s="588" t="n"/>
      <c r="BB292" s="588" t="n"/>
      <c r="BC292" s="588" t="n"/>
      <c r="BD292" s="588" t="n"/>
      <c r="BE292" s="588" t="n"/>
      <c r="BF292" s="588" t="n"/>
      <c r="BG292" s="588" t="n"/>
      <c r="BH292" s="588" t="n"/>
      <c r="BI292" s="588" t="n"/>
      <c r="BJ292" s="588" t="n"/>
      <c r="BK292" s="588" t="n"/>
      <c r="BL292" s="588" t="n"/>
      <c r="BM292" s="588" t="n"/>
      <c r="BN292" s="588" t="n"/>
      <c r="BO292" s="588" t="n"/>
      <c r="BP292" s="588" t="n"/>
      <c r="BQ292" s="588" t="n"/>
      <c r="BR292" s="588" t="n"/>
      <c r="BS292" s="588" t="n"/>
      <c r="BT292" s="588" t="n"/>
      <c r="BU292" s="588" t="n"/>
      <c r="BV292" s="588" t="n"/>
      <c r="BW292" s="588" t="n"/>
      <c r="BX292" s="588" t="n"/>
      <c r="BY292" s="588" t="n"/>
      <c r="BZ292" s="588" t="n"/>
      <c r="CA292" s="588" t="n"/>
      <c r="CB292" s="588" t="n"/>
      <c r="CC292" s="588" t="n"/>
      <c r="CD292" s="588" t="n"/>
      <c r="CE292" s="588" t="n"/>
      <c r="CF292" s="588" t="n"/>
      <c r="CG292" s="588" t="n"/>
      <c r="CH292" s="588" t="n"/>
      <c r="CI292" s="588" t="n"/>
      <c r="CJ292" s="588" t="n"/>
      <c r="CK292" s="588" t="n"/>
      <c r="CL292" s="588" t="n"/>
      <c r="CM292" s="588" t="n"/>
      <c r="CN292" s="588" t="n"/>
      <c r="CO292" s="588" t="n"/>
      <c r="CP292" s="588" t="n"/>
      <c r="CQ292" s="588" t="n"/>
      <c r="CR292" s="588" t="n"/>
      <c r="CS292" s="588" t="n"/>
      <c r="CT292" s="588" t="n"/>
      <c r="CU292" s="588" t="n"/>
      <c r="CV292" s="588" t="n"/>
      <c r="CW292" s="588" t="n"/>
      <c r="CX292" s="588" t="n"/>
      <c r="CY292" s="588" t="n"/>
      <c r="CZ292" s="588" t="n"/>
      <c r="DA292" s="588" t="n"/>
      <c r="DB292" s="588" t="n"/>
      <c r="DC292" s="588" t="n"/>
      <c r="DD292" s="588" t="n"/>
      <c r="DE292" s="588" t="n"/>
      <c r="DF292" s="588" t="n"/>
      <c r="DG292" s="588" t="n"/>
      <c r="DH292" s="588" t="n"/>
      <c r="DI292" s="588" t="n"/>
      <c r="DJ292" s="588" t="n"/>
      <c r="DK292" s="588" t="n"/>
      <c r="DL292" s="588" t="n"/>
      <c r="DM292" s="588" t="n"/>
      <c r="DN292" s="588" t="n"/>
      <c r="DO292" s="588" t="n"/>
      <c r="DP292" s="588" t="n"/>
      <c r="DQ292" s="588" t="n"/>
      <c r="DR292" s="588" t="n"/>
      <c r="DS292" s="588" t="n"/>
      <c r="DT292" s="588" t="n"/>
      <c r="DU292" s="588" t="n"/>
    </row>
    <row r="293">
      <c r="A293" s="737" t="n"/>
      <c r="B293" s="737" t="n"/>
      <c r="C293" s="737" t="n"/>
      <c r="D293" s="737" t="n"/>
      <c r="E293" s="737" t="n"/>
      <c r="F293" s="737" t="n"/>
      <c r="G293" s="737" t="n"/>
      <c r="H293" s="737" t="n"/>
      <c r="I293" s="737" t="n"/>
      <c r="J293" s="737" t="n"/>
      <c r="K293" s="737" t="n"/>
      <c r="L293" s="737" t="n"/>
      <c r="M293" s="737" t="n"/>
      <c r="N293" s="737" t="n"/>
      <c r="O293" s="737" t="n"/>
      <c r="P293" s="737" t="n"/>
      <c r="Q293" s="737" t="n"/>
      <c r="R293" s="737" t="n"/>
      <c r="S293" s="737" t="n"/>
      <c r="T293" s="737" t="n"/>
      <c r="U293" s="737" t="n"/>
      <c r="V293" s="737" t="n"/>
      <c r="W293" s="737" t="n"/>
      <c r="X293" s="737" t="n"/>
      <c r="Y293" s="737" t="n"/>
      <c r="Z293" s="737" t="n"/>
      <c r="AA293" s="737" t="n"/>
      <c r="AB293" s="737" t="n"/>
      <c r="AC293" s="737" t="n"/>
      <c r="AD293" s="737" t="n"/>
      <c r="AE293" s="737" t="n"/>
      <c r="AF293" s="737" t="n"/>
      <c r="AG293" s="737" t="n"/>
      <c r="AH293" s="737" t="n"/>
      <c r="AI293" s="737" t="n"/>
      <c r="AJ293" s="737" t="n"/>
      <c r="AK293" s="588" t="n"/>
      <c r="AL293" s="588" t="n"/>
      <c r="AM293" s="588" t="n"/>
      <c r="AN293" s="588" t="n"/>
      <c r="AO293" s="588" t="n"/>
      <c r="AP293" s="588" t="n"/>
      <c r="AQ293" s="588" t="n"/>
      <c r="AR293" s="588" t="n"/>
      <c r="AS293" s="588" t="n"/>
      <c r="AT293" s="588" t="n"/>
      <c r="AU293" s="588" t="n"/>
      <c r="AV293" s="588" t="n"/>
      <c r="AW293" s="588" t="n"/>
      <c r="AX293" s="588" t="n"/>
      <c r="AY293" s="588" t="n"/>
      <c r="AZ293" s="588" t="n"/>
      <c r="BA293" s="588" t="n"/>
      <c r="BB293" s="588" t="n"/>
      <c r="BC293" s="588" t="n"/>
      <c r="BD293" s="588" t="n"/>
      <c r="BE293" s="588" t="n"/>
      <c r="BF293" s="588" t="n"/>
      <c r="BG293" s="588" t="n"/>
      <c r="BH293" s="588" t="n"/>
      <c r="BI293" s="588" t="n"/>
      <c r="BJ293" s="588" t="n"/>
      <c r="BK293" s="588" t="n"/>
      <c r="BL293" s="588" t="n"/>
      <c r="BM293" s="588" t="n"/>
      <c r="BN293" s="588" t="n"/>
      <c r="BO293" s="588" t="n"/>
      <c r="BP293" s="588" t="n"/>
      <c r="BQ293" s="588" t="n"/>
      <c r="BR293" s="588" t="n"/>
      <c r="BS293" s="588" t="n"/>
      <c r="BT293" s="588" t="n"/>
      <c r="BU293" s="588" t="n"/>
      <c r="BV293" s="588" t="n"/>
      <c r="BW293" s="588" t="n"/>
      <c r="BX293" s="588" t="n"/>
      <c r="BY293" s="588" t="n"/>
      <c r="BZ293" s="588" t="n"/>
      <c r="CA293" s="588" t="n"/>
      <c r="CB293" s="588" t="n"/>
      <c r="CC293" s="588" t="n"/>
      <c r="CD293" s="588" t="n"/>
      <c r="CE293" s="588" t="n"/>
      <c r="CF293" s="588" t="n"/>
      <c r="CG293" s="588" t="n"/>
      <c r="CH293" s="588" t="n"/>
      <c r="CI293" s="588" t="n"/>
      <c r="CJ293" s="588" t="n"/>
      <c r="CK293" s="588" t="n"/>
      <c r="CL293" s="588" t="n"/>
      <c r="CM293" s="588" t="n"/>
      <c r="CN293" s="588" t="n"/>
      <c r="CO293" s="588" t="n"/>
      <c r="CP293" s="588" t="n"/>
      <c r="CQ293" s="588" t="n"/>
      <c r="CR293" s="588" t="n"/>
      <c r="CS293" s="588" t="n"/>
      <c r="CT293" s="588" t="n"/>
      <c r="CU293" s="588" t="n"/>
      <c r="CV293" s="588" t="n"/>
      <c r="CW293" s="588" t="n"/>
      <c r="CX293" s="588" t="n"/>
      <c r="CY293" s="588" t="n"/>
      <c r="CZ293" s="588" t="n"/>
      <c r="DA293" s="588" t="n"/>
      <c r="DB293" s="588" t="n"/>
      <c r="DC293" s="588" t="n"/>
      <c r="DD293" s="588" t="n"/>
      <c r="DE293" s="588" t="n"/>
      <c r="DF293" s="588" t="n"/>
      <c r="DG293" s="588" t="n"/>
      <c r="DH293" s="588" t="n"/>
      <c r="DI293" s="588" t="n"/>
      <c r="DJ293" s="588" t="n"/>
      <c r="DK293" s="588" t="n"/>
      <c r="DL293" s="588" t="n"/>
      <c r="DM293" s="588" t="n"/>
      <c r="DN293" s="588" t="n"/>
      <c r="DO293" s="588" t="n"/>
      <c r="DP293" s="588" t="n"/>
      <c r="DQ293" s="588" t="n"/>
      <c r="DR293" s="588" t="n"/>
      <c r="DS293" s="588" t="n"/>
      <c r="DT293" s="588" t="n"/>
      <c r="DU293" s="588" t="n"/>
    </row>
    <row r="294">
      <c r="A294" s="737" t="n"/>
      <c r="B294" s="737" t="n"/>
      <c r="C294" s="737" t="n"/>
      <c r="D294" s="737" t="n"/>
      <c r="E294" s="737" t="n"/>
      <c r="F294" s="737" t="n"/>
      <c r="G294" s="737" t="n"/>
      <c r="H294" s="737" t="n"/>
      <c r="I294" s="737" t="n"/>
      <c r="J294" s="737" t="n"/>
      <c r="K294" s="737" t="n"/>
      <c r="L294" s="737" t="n"/>
      <c r="M294" s="737" t="n"/>
      <c r="N294" s="737" t="n"/>
      <c r="O294" s="737" t="n"/>
      <c r="P294" s="737" t="n"/>
      <c r="Q294" s="737" t="n"/>
      <c r="R294" s="737" t="n"/>
      <c r="S294" s="737" t="n"/>
      <c r="T294" s="737" t="n"/>
      <c r="U294" s="737" t="n"/>
      <c r="V294" s="737" t="n"/>
      <c r="W294" s="737" t="n"/>
      <c r="X294" s="737" t="n"/>
      <c r="Y294" s="737" t="n"/>
      <c r="Z294" s="737" t="n"/>
      <c r="AA294" s="737" t="n"/>
      <c r="AB294" s="737" t="n"/>
      <c r="AC294" s="737" t="n"/>
      <c r="AD294" s="737" t="n"/>
      <c r="AE294" s="737" t="n"/>
      <c r="AF294" s="737" t="n"/>
      <c r="AG294" s="737" t="n"/>
      <c r="AH294" s="737" t="n"/>
      <c r="AI294" s="737" t="n"/>
      <c r="AJ294" s="737" t="n"/>
      <c r="AK294" s="588" t="n"/>
      <c r="AL294" s="588" t="n"/>
      <c r="AM294" s="588" t="n"/>
      <c r="AN294" s="588" t="n"/>
      <c r="AO294" s="588" t="n"/>
      <c r="AP294" s="588" t="n"/>
      <c r="AQ294" s="588" t="n"/>
      <c r="AR294" s="588" t="n"/>
      <c r="AS294" s="588" t="n"/>
      <c r="AT294" s="588" t="n"/>
      <c r="AU294" s="588" t="n"/>
      <c r="AV294" s="588" t="n"/>
      <c r="AW294" s="588" t="n"/>
      <c r="AX294" s="588" t="n"/>
      <c r="AY294" s="588" t="n"/>
      <c r="AZ294" s="588" t="n"/>
      <c r="BA294" s="588" t="n"/>
      <c r="BB294" s="588" t="n"/>
      <c r="BC294" s="588" t="n"/>
      <c r="BD294" s="588" t="n"/>
      <c r="BE294" s="588" t="n"/>
      <c r="BF294" s="588" t="n"/>
      <c r="BG294" s="588" t="n"/>
      <c r="BH294" s="588" t="n"/>
      <c r="BI294" s="588" t="n"/>
      <c r="BJ294" s="588" t="n"/>
      <c r="BK294" s="588" t="n"/>
      <c r="BL294" s="588" t="n"/>
      <c r="BM294" s="588" t="n"/>
      <c r="BN294" s="588" t="n"/>
      <c r="BO294" s="588" t="n"/>
      <c r="BP294" s="588" t="n"/>
      <c r="BQ294" s="588" t="n"/>
      <c r="BR294" s="588" t="n"/>
      <c r="BS294" s="588" t="n"/>
      <c r="BT294" s="588" t="n"/>
      <c r="BU294" s="588" t="n"/>
      <c r="BV294" s="588" t="n"/>
      <c r="BW294" s="588" t="n"/>
      <c r="BX294" s="588" t="n"/>
      <c r="BY294" s="588" t="n"/>
      <c r="BZ294" s="588" t="n"/>
      <c r="CA294" s="588" t="n"/>
      <c r="CB294" s="588" t="n"/>
      <c r="CC294" s="588" t="n"/>
      <c r="CD294" s="588" t="n"/>
      <c r="CE294" s="588" t="n"/>
      <c r="CF294" s="588" t="n"/>
      <c r="CG294" s="588" t="n"/>
      <c r="CH294" s="588" t="n"/>
      <c r="CI294" s="588" t="n"/>
      <c r="CJ294" s="588" t="n"/>
      <c r="CK294" s="588" t="n"/>
      <c r="CL294" s="588" t="n"/>
      <c r="CM294" s="588" t="n"/>
      <c r="CN294" s="588" t="n"/>
      <c r="CO294" s="588" t="n"/>
      <c r="CP294" s="588" t="n"/>
      <c r="CQ294" s="588" t="n"/>
      <c r="CR294" s="588" t="n"/>
      <c r="CS294" s="588" t="n"/>
      <c r="CT294" s="588" t="n"/>
      <c r="CU294" s="588" t="n"/>
      <c r="CV294" s="588" t="n"/>
      <c r="CW294" s="588" t="n"/>
      <c r="CX294" s="588" t="n"/>
      <c r="CY294" s="588" t="n"/>
      <c r="CZ294" s="588" t="n"/>
      <c r="DA294" s="588" t="n"/>
      <c r="DB294" s="588" t="n"/>
      <c r="DC294" s="588" t="n"/>
      <c r="DD294" s="588" t="n"/>
      <c r="DE294" s="588" t="n"/>
      <c r="DF294" s="588" t="n"/>
      <c r="DG294" s="588" t="n"/>
      <c r="DH294" s="588" t="n"/>
      <c r="DI294" s="588" t="n"/>
      <c r="DJ294" s="588" t="n"/>
      <c r="DK294" s="588" t="n"/>
      <c r="DL294" s="588" t="n"/>
      <c r="DM294" s="588" t="n"/>
      <c r="DN294" s="588" t="n"/>
      <c r="DO294" s="588" t="n"/>
      <c r="DP294" s="588" t="n"/>
      <c r="DQ294" s="588" t="n"/>
      <c r="DR294" s="588" t="n"/>
      <c r="DS294" s="588" t="n"/>
      <c r="DT294" s="588" t="n"/>
      <c r="DU294" s="588" t="n"/>
    </row>
    <row r="295">
      <c r="A295" s="737" t="n"/>
      <c r="B295" s="737" t="n"/>
      <c r="C295" s="737" t="n"/>
      <c r="D295" s="737" t="n"/>
      <c r="E295" s="737" t="n"/>
      <c r="F295" s="737" t="n"/>
      <c r="G295" s="737" t="n"/>
      <c r="H295" s="737" t="n"/>
      <c r="I295" s="737" t="n"/>
      <c r="J295" s="737" t="n"/>
      <c r="K295" s="737" t="n"/>
      <c r="L295" s="737" t="n"/>
      <c r="M295" s="737" t="n"/>
      <c r="N295" s="737" t="n"/>
      <c r="O295" s="737" t="n"/>
      <c r="P295" s="737" t="n"/>
      <c r="Q295" s="737" t="n"/>
      <c r="R295" s="737" t="n"/>
      <c r="S295" s="737" t="n"/>
      <c r="T295" s="737" t="n"/>
      <c r="U295" s="737" t="n"/>
      <c r="V295" s="737" t="n"/>
      <c r="W295" s="737" t="n"/>
      <c r="X295" s="737" t="n"/>
      <c r="Y295" s="737" t="n"/>
      <c r="Z295" s="737" t="n"/>
      <c r="AA295" s="737" t="n"/>
      <c r="AB295" s="737" t="n"/>
      <c r="AC295" s="737" t="n"/>
      <c r="AD295" s="737" t="n"/>
      <c r="AE295" s="737" t="n"/>
      <c r="AF295" s="737" t="n"/>
      <c r="AG295" s="737" t="n"/>
      <c r="AH295" s="737" t="n"/>
      <c r="AI295" s="737" t="n"/>
      <c r="AJ295" s="737" t="n"/>
      <c r="AK295" s="588" t="n"/>
      <c r="AL295" s="588" t="n"/>
      <c r="AM295" s="588" t="n"/>
      <c r="AN295" s="588" t="n"/>
      <c r="AO295" s="588" t="n"/>
      <c r="AP295" s="588" t="n"/>
      <c r="AQ295" s="588" t="n"/>
      <c r="AR295" s="588" t="n"/>
      <c r="AS295" s="588" t="n"/>
      <c r="AT295" s="588" t="n"/>
      <c r="AU295" s="588" t="n"/>
      <c r="AV295" s="588" t="n"/>
      <c r="AW295" s="588" t="n"/>
      <c r="AX295" s="588" t="n"/>
      <c r="AY295" s="588" t="n"/>
      <c r="AZ295" s="588" t="n"/>
      <c r="BA295" s="588" t="n"/>
      <c r="BB295" s="588" t="n"/>
      <c r="BC295" s="588" t="n"/>
      <c r="BD295" s="588" t="n"/>
      <c r="BE295" s="588" t="n"/>
      <c r="BF295" s="588" t="n"/>
      <c r="BG295" s="588" t="n"/>
      <c r="BH295" s="588" t="n"/>
      <c r="BI295" s="588" t="n"/>
      <c r="BJ295" s="588" t="n"/>
      <c r="BK295" s="588" t="n"/>
      <c r="BL295" s="588" t="n"/>
      <c r="BM295" s="588" t="n"/>
      <c r="BN295" s="588" t="n"/>
      <c r="BO295" s="588" t="n"/>
      <c r="BP295" s="588" t="n"/>
      <c r="BQ295" s="588" t="n"/>
      <c r="BR295" s="588" t="n"/>
      <c r="BS295" s="588" t="n"/>
      <c r="BT295" s="588" t="n"/>
      <c r="BU295" s="588" t="n"/>
      <c r="BV295" s="588" t="n"/>
      <c r="BW295" s="588" t="n"/>
      <c r="BX295" s="588" t="n"/>
      <c r="BY295" s="588" t="n"/>
      <c r="BZ295" s="588" t="n"/>
      <c r="CA295" s="588" t="n"/>
      <c r="CB295" s="588" t="n"/>
      <c r="CC295" s="588" t="n"/>
      <c r="CD295" s="588" t="n"/>
      <c r="CE295" s="588" t="n"/>
      <c r="CF295" s="588" t="n"/>
      <c r="CG295" s="588" t="n"/>
      <c r="CH295" s="588" t="n"/>
      <c r="CI295" s="588" t="n"/>
      <c r="CJ295" s="588" t="n"/>
      <c r="CK295" s="588" t="n"/>
      <c r="CL295" s="588" t="n"/>
      <c r="CM295" s="588" t="n"/>
      <c r="CN295" s="588" t="n"/>
      <c r="CO295" s="588" t="n"/>
      <c r="CP295" s="588" t="n"/>
      <c r="CQ295" s="588" t="n"/>
      <c r="CR295" s="588" t="n"/>
      <c r="CS295" s="588" t="n"/>
      <c r="CT295" s="588" t="n"/>
      <c r="CU295" s="588" t="n"/>
      <c r="CV295" s="588" t="n"/>
      <c r="CW295" s="588" t="n"/>
      <c r="CX295" s="588" t="n"/>
      <c r="CY295" s="588" t="n"/>
      <c r="CZ295" s="588" t="n"/>
      <c r="DA295" s="588" t="n"/>
      <c r="DB295" s="588" t="n"/>
      <c r="DC295" s="588" t="n"/>
      <c r="DD295" s="588" t="n"/>
      <c r="DE295" s="588" t="n"/>
      <c r="DF295" s="588" t="n"/>
      <c r="DG295" s="588" t="n"/>
      <c r="DH295" s="588" t="n"/>
      <c r="DI295" s="588" t="n"/>
      <c r="DJ295" s="588" t="n"/>
      <c r="DK295" s="588" t="n"/>
      <c r="DL295" s="588" t="n"/>
      <c r="DM295" s="588" t="n"/>
      <c r="DN295" s="588" t="n"/>
      <c r="DO295" s="588" t="n"/>
      <c r="DP295" s="588" t="n"/>
      <c r="DQ295" s="588" t="n"/>
      <c r="DR295" s="588" t="n"/>
      <c r="DS295" s="588" t="n"/>
      <c r="DT295" s="588" t="n"/>
      <c r="DU295" s="588" t="n"/>
    </row>
    <row r="296">
      <c r="A296" s="737" t="n"/>
      <c r="B296" s="737" t="n"/>
      <c r="C296" s="737" t="n"/>
      <c r="D296" s="737" t="n"/>
      <c r="E296" s="737" t="n"/>
      <c r="F296" s="737" t="n"/>
      <c r="G296" s="737" t="n"/>
      <c r="H296" s="737" t="n"/>
      <c r="I296" s="737" t="n"/>
      <c r="J296" s="737" t="n"/>
      <c r="K296" s="737" t="n"/>
      <c r="L296" s="737" t="n"/>
      <c r="M296" s="737" t="n"/>
      <c r="N296" s="737" t="n"/>
      <c r="O296" s="737" t="n"/>
      <c r="P296" s="737" t="n"/>
      <c r="Q296" s="737" t="n"/>
      <c r="R296" s="737" t="n"/>
      <c r="S296" s="737" t="n"/>
      <c r="T296" s="737" t="n"/>
      <c r="U296" s="737" t="n"/>
      <c r="V296" s="737" t="n"/>
      <c r="W296" s="737" t="n"/>
      <c r="X296" s="737" t="n"/>
      <c r="Y296" s="737" t="n"/>
      <c r="Z296" s="737" t="n"/>
      <c r="AA296" s="737" t="n"/>
      <c r="AB296" s="737" t="n"/>
      <c r="AC296" s="737" t="n"/>
      <c r="AD296" s="737" t="n"/>
      <c r="AE296" s="737" t="n"/>
      <c r="AF296" s="737" t="n"/>
      <c r="AG296" s="737" t="n"/>
      <c r="AH296" s="737" t="n"/>
      <c r="AI296" s="737" t="n"/>
      <c r="AJ296" s="737" t="n"/>
      <c r="AK296" s="588" t="n"/>
      <c r="AL296" s="588" t="n"/>
      <c r="AM296" s="588" t="n"/>
      <c r="AN296" s="588" t="n"/>
      <c r="AO296" s="588" t="n"/>
      <c r="AP296" s="588" t="n"/>
      <c r="AQ296" s="588" t="n"/>
      <c r="AR296" s="588" t="n"/>
      <c r="AS296" s="588" t="n"/>
      <c r="AT296" s="588" t="n"/>
      <c r="AU296" s="588" t="n"/>
      <c r="AV296" s="588" t="n"/>
      <c r="AW296" s="588" t="n"/>
      <c r="AX296" s="588" t="n"/>
      <c r="AY296" s="588" t="n"/>
      <c r="AZ296" s="588" t="n"/>
      <c r="BA296" s="588" t="n"/>
      <c r="BB296" s="588" t="n"/>
      <c r="BC296" s="588" t="n"/>
      <c r="BD296" s="588" t="n"/>
      <c r="BE296" s="588" t="n"/>
      <c r="BF296" s="588" t="n"/>
      <c r="BG296" s="588" t="n"/>
      <c r="BH296" s="588" t="n"/>
      <c r="BI296" s="588" t="n"/>
      <c r="BJ296" s="588" t="n"/>
      <c r="BK296" s="588" t="n"/>
      <c r="BL296" s="588" t="n"/>
      <c r="BM296" s="588" t="n"/>
      <c r="BN296" s="588" t="n"/>
      <c r="BO296" s="588" t="n"/>
      <c r="BP296" s="588" t="n"/>
      <c r="BQ296" s="588" t="n"/>
      <c r="BR296" s="588" t="n"/>
      <c r="BS296" s="588" t="n"/>
      <c r="BT296" s="588" t="n"/>
      <c r="BU296" s="588" t="n"/>
      <c r="BV296" s="588" t="n"/>
      <c r="BW296" s="588" t="n"/>
      <c r="BX296" s="588" t="n"/>
      <c r="BY296" s="588" t="n"/>
      <c r="BZ296" s="588" t="n"/>
      <c r="CA296" s="588" t="n"/>
      <c r="CB296" s="588" t="n"/>
      <c r="CC296" s="588" t="n"/>
      <c r="CD296" s="588" t="n"/>
      <c r="CE296" s="588" t="n"/>
      <c r="CF296" s="588" t="n"/>
      <c r="CG296" s="588" t="n"/>
      <c r="CH296" s="588" t="n"/>
      <c r="CI296" s="588" t="n"/>
      <c r="CJ296" s="588" t="n"/>
      <c r="CK296" s="588" t="n"/>
      <c r="CL296" s="588" t="n"/>
      <c r="CM296" s="588" t="n"/>
      <c r="CN296" s="588" t="n"/>
      <c r="CO296" s="588" t="n"/>
      <c r="CP296" s="588" t="n"/>
      <c r="CQ296" s="588" t="n"/>
      <c r="CR296" s="588" t="n"/>
      <c r="CS296" s="588" t="n"/>
      <c r="CT296" s="588" t="n"/>
      <c r="CU296" s="588" t="n"/>
      <c r="CV296" s="588" t="n"/>
      <c r="CW296" s="588" t="n"/>
      <c r="CX296" s="588" t="n"/>
      <c r="CY296" s="588" t="n"/>
      <c r="CZ296" s="588" t="n"/>
      <c r="DA296" s="588" t="n"/>
      <c r="DB296" s="588" t="n"/>
      <c r="DC296" s="588" t="n"/>
      <c r="DD296" s="588" t="n"/>
      <c r="DE296" s="588" t="n"/>
      <c r="DF296" s="588" t="n"/>
      <c r="DG296" s="588" t="n"/>
      <c r="DH296" s="588" t="n"/>
      <c r="DI296" s="588" t="n"/>
      <c r="DJ296" s="588" t="n"/>
      <c r="DK296" s="588" t="n"/>
      <c r="DL296" s="588" t="n"/>
      <c r="DM296" s="588" t="n"/>
      <c r="DN296" s="588" t="n"/>
      <c r="DO296" s="588" t="n"/>
      <c r="DP296" s="588" t="n"/>
      <c r="DQ296" s="588" t="n"/>
      <c r="DR296" s="588" t="n"/>
      <c r="DS296" s="588" t="n"/>
      <c r="DT296" s="588" t="n"/>
      <c r="DU296" s="588" t="n"/>
    </row>
    <row r="297">
      <c r="A297" s="737" t="n"/>
      <c r="B297" s="737" t="n"/>
      <c r="C297" s="737" t="n"/>
      <c r="D297" s="737" t="n"/>
      <c r="E297" s="737" t="n"/>
      <c r="F297" s="737" t="n"/>
      <c r="G297" s="737" t="n"/>
      <c r="H297" s="737" t="n"/>
      <c r="I297" s="737" t="n"/>
      <c r="J297" s="737" t="n"/>
      <c r="K297" s="737" t="n"/>
      <c r="L297" s="737" t="n"/>
      <c r="M297" s="737" t="n"/>
      <c r="N297" s="737" t="n"/>
      <c r="O297" s="737" t="n"/>
      <c r="P297" s="737" t="n"/>
      <c r="Q297" s="737" t="n"/>
      <c r="R297" s="737" t="n"/>
      <c r="S297" s="737" t="n"/>
      <c r="T297" s="737" t="n"/>
      <c r="U297" s="737" t="n"/>
      <c r="V297" s="737" t="n"/>
      <c r="W297" s="737" t="n"/>
      <c r="X297" s="737" t="n"/>
      <c r="Y297" s="737" t="n"/>
      <c r="Z297" s="737" t="n"/>
      <c r="AA297" s="737" t="n"/>
      <c r="AB297" s="737" t="n"/>
      <c r="AC297" s="737" t="n"/>
      <c r="AD297" s="737" t="n"/>
      <c r="AE297" s="737" t="n"/>
      <c r="AF297" s="737" t="n"/>
      <c r="AG297" s="737" t="n"/>
      <c r="AH297" s="737" t="n"/>
      <c r="AI297" s="737" t="n"/>
      <c r="AJ297" s="737" t="n"/>
      <c r="AK297" s="588" t="n"/>
      <c r="AL297" s="588" t="n"/>
      <c r="AM297" s="588" t="n"/>
      <c r="AN297" s="588" t="n"/>
      <c r="AO297" s="588" t="n"/>
      <c r="AP297" s="588" t="n"/>
      <c r="AQ297" s="588" t="n"/>
      <c r="AR297" s="588" t="n"/>
      <c r="AS297" s="588" t="n"/>
      <c r="AT297" s="588" t="n"/>
      <c r="AU297" s="588" t="n"/>
      <c r="AV297" s="588" t="n"/>
      <c r="AW297" s="588" t="n"/>
      <c r="AX297" s="588" t="n"/>
      <c r="AY297" s="588" t="n"/>
      <c r="AZ297" s="588" t="n"/>
      <c r="BA297" s="588" t="n"/>
      <c r="BB297" s="588" t="n"/>
      <c r="BC297" s="588" t="n"/>
      <c r="BD297" s="588" t="n"/>
      <c r="BE297" s="588" t="n"/>
      <c r="BF297" s="588" t="n"/>
      <c r="BG297" s="588" t="n"/>
      <c r="BH297" s="588" t="n"/>
      <c r="BI297" s="588" t="n"/>
      <c r="BJ297" s="588" t="n"/>
      <c r="BK297" s="588" t="n"/>
      <c r="BL297" s="588" t="n"/>
      <c r="BM297" s="588" t="n"/>
      <c r="BN297" s="588" t="n"/>
      <c r="BO297" s="588" t="n"/>
      <c r="BP297" s="588" t="n"/>
      <c r="BQ297" s="588" t="n"/>
      <c r="BR297" s="588" t="n"/>
      <c r="BS297" s="588" t="n"/>
      <c r="BT297" s="588" t="n"/>
      <c r="BU297" s="588" t="n"/>
      <c r="BV297" s="588" t="n"/>
      <c r="BW297" s="588" t="n"/>
      <c r="BX297" s="588" t="n"/>
      <c r="BY297" s="588" t="n"/>
      <c r="BZ297" s="588" t="n"/>
      <c r="CA297" s="588" t="n"/>
      <c r="CB297" s="588" t="n"/>
      <c r="CC297" s="588" t="n"/>
      <c r="CD297" s="588" t="n"/>
      <c r="CE297" s="588" t="n"/>
      <c r="CF297" s="588" t="n"/>
      <c r="CG297" s="588" t="n"/>
      <c r="CH297" s="588" t="n"/>
      <c r="CI297" s="588" t="n"/>
      <c r="CJ297" s="588" t="n"/>
      <c r="CK297" s="588" t="n"/>
      <c r="CL297" s="588" t="n"/>
      <c r="CM297" s="588" t="n"/>
      <c r="CN297" s="588" t="n"/>
      <c r="CO297" s="588" t="n"/>
      <c r="CP297" s="588" t="n"/>
      <c r="CQ297" s="588" t="n"/>
      <c r="CR297" s="588" t="n"/>
      <c r="CS297" s="588" t="n"/>
      <c r="CT297" s="588" t="n"/>
      <c r="CU297" s="588" t="n"/>
      <c r="CV297" s="588" t="n"/>
      <c r="CW297" s="588" t="n"/>
      <c r="CX297" s="588" t="n"/>
      <c r="CY297" s="588" t="n"/>
      <c r="CZ297" s="588" t="n"/>
      <c r="DA297" s="588" t="n"/>
      <c r="DB297" s="588" t="n"/>
      <c r="DC297" s="588" t="n"/>
      <c r="DD297" s="588" t="n"/>
      <c r="DE297" s="588" t="n"/>
      <c r="DF297" s="588" t="n"/>
      <c r="DG297" s="588" t="n"/>
      <c r="DH297" s="588" t="n"/>
      <c r="DI297" s="588" t="n"/>
      <c r="DJ297" s="588" t="n"/>
      <c r="DK297" s="588" t="n"/>
      <c r="DL297" s="588" t="n"/>
      <c r="DM297" s="588" t="n"/>
      <c r="DN297" s="588" t="n"/>
      <c r="DO297" s="588" t="n"/>
      <c r="DP297" s="588" t="n"/>
      <c r="DQ297" s="588" t="n"/>
      <c r="DR297" s="588" t="n"/>
      <c r="DS297" s="588" t="n"/>
      <c r="DT297" s="588" t="n"/>
      <c r="DU297" s="588" t="n"/>
    </row>
    <row r="298">
      <c r="A298" s="737" t="n"/>
      <c r="B298" s="737" t="n"/>
      <c r="C298" s="737" t="n"/>
      <c r="D298" s="737" t="n"/>
      <c r="E298" s="737" t="n"/>
      <c r="F298" s="737" t="n"/>
      <c r="G298" s="737" t="n"/>
      <c r="H298" s="737" t="n"/>
      <c r="I298" s="737" t="n"/>
      <c r="J298" s="737" t="n"/>
      <c r="K298" s="737" t="n"/>
      <c r="L298" s="737" t="n"/>
      <c r="M298" s="737" t="n"/>
      <c r="N298" s="737" t="n"/>
      <c r="O298" s="737" t="n"/>
      <c r="P298" s="737" t="n"/>
      <c r="Q298" s="737" t="n"/>
      <c r="R298" s="737" t="n"/>
      <c r="S298" s="737" t="n"/>
      <c r="T298" s="737" t="n"/>
      <c r="U298" s="737" t="n"/>
      <c r="V298" s="737" t="n"/>
      <c r="W298" s="737" t="n"/>
      <c r="X298" s="737" t="n"/>
      <c r="Y298" s="737" t="n"/>
      <c r="Z298" s="737" t="n"/>
      <c r="AA298" s="737" t="n"/>
      <c r="AB298" s="737" t="n"/>
      <c r="AC298" s="737" t="n"/>
      <c r="AD298" s="737" t="n"/>
      <c r="AE298" s="737" t="n"/>
      <c r="AF298" s="737" t="n"/>
      <c r="AG298" s="737" t="n"/>
      <c r="AH298" s="737" t="n"/>
      <c r="AI298" s="737" t="n"/>
      <c r="AJ298" s="737" t="n"/>
      <c r="AK298" s="588" t="n"/>
      <c r="AL298" s="588" t="n"/>
      <c r="AM298" s="588" t="n"/>
      <c r="AN298" s="588" t="n"/>
      <c r="AO298" s="588" t="n"/>
      <c r="AP298" s="588" t="n"/>
      <c r="AQ298" s="588" t="n"/>
      <c r="AR298" s="588" t="n"/>
      <c r="AS298" s="588" t="n"/>
      <c r="AT298" s="588" t="n"/>
      <c r="AU298" s="588" t="n"/>
      <c r="AV298" s="588" t="n"/>
      <c r="AW298" s="588" t="n"/>
      <c r="AX298" s="588" t="n"/>
      <c r="AY298" s="588" t="n"/>
      <c r="AZ298" s="588" t="n"/>
      <c r="BA298" s="588" t="n"/>
      <c r="BB298" s="588" t="n"/>
      <c r="BC298" s="588" t="n"/>
      <c r="BD298" s="588" t="n"/>
      <c r="BE298" s="588" t="n"/>
      <c r="BF298" s="588" t="n"/>
      <c r="BG298" s="588" t="n"/>
      <c r="BH298" s="588" t="n"/>
      <c r="BI298" s="588" t="n"/>
      <c r="BJ298" s="588" t="n"/>
      <c r="BK298" s="588" t="n"/>
      <c r="BL298" s="588" t="n"/>
      <c r="BM298" s="588" t="n"/>
      <c r="BN298" s="588" t="n"/>
      <c r="BO298" s="588" t="n"/>
      <c r="BP298" s="588" t="n"/>
      <c r="BQ298" s="588" t="n"/>
      <c r="BR298" s="588" t="n"/>
      <c r="BS298" s="588" t="n"/>
      <c r="BT298" s="588" t="n"/>
      <c r="BU298" s="588" t="n"/>
      <c r="BV298" s="588" t="n"/>
      <c r="BW298" s="588" t="n"/>
      <c r="BX298" s="588" t="n"/>
      <c r="BY298" s="588" t="n"/>
      <c r="BZ298" s="588" t="n"/>
      <c r="CA298" s="588" t="n"/>
      <c r="CB298" s="588" t="n"/>
      <c r="CC298" s="588" t="n"/>
      <c r="CD298" s="588" t="n"/>
      <c r="CE298" s="588" t="n"/>
      <c r="CF298" s="588" t="n"/>
      <c r="CG298" s="588" t="n"/>
      <c r="CH298" s="588" t="n"/>
      <c r="CI298" s="588" t="n"/>
      <c r="CJ298" s="588" t="n"/>
      <c r="CK298" s="588" t="n"/>
      <c r="CL298" s="588" t="n"/>
      <c r="CM298" s="588" t="n"/>
      <c r="CN298" s="588" t="n"/>
      <c r="CO298" s="588" t="n"/>
      <c r="CP298" s="588" t="n"/>
      <c r="CQ298" s="588" t="n"/>
      <c r="CR298" s="588" t="n"/>
      <c r="CS298" s="588" t="n"/>
      <c r="CT298" s="588" t="n"/>
      <c r="CU298" s="588" t="n"/>
      <c r="CV298" s="588" t="n"/>
      <c r="CW298" s="588" t="n"/>
      <c r="CX298" s="588" t="n"/>
      <c r="CY298" s="588" t="n"/>
      <c r="CZ298" s="588" t="n"/>
      <c r="DA298" s="588" t="n"/>
      <c r="DB298" s="588" t="n"/>
      <c r="DC298" s="588" t="n"/>
      <c r="DD298" s="588" t="n"/>
      <c r="DE298" s="588" t="n"/>
      <c r="DF298" s="588" t="n"/>
      <c r="DG298" s="588" t="n"/>
      <c r="DH298" s="588" t="n"/>
      <c r="DI298" s="588" t="n"/>
      <c r="DJ298" s="588" t="n"/>
      <c r="DK298" s="588" t="n"/>
      <c r="DL298" s="588" t="n"/>
      <c r="DM298" s="588" t="n"/>
      <c r="DN298" s="588" t="n"/>
      <c r="DO298" s="588" t="n"/>
      <c r="DP298" s="588" t="n"/>
      <c r="DQ298" s="588" t="n"/>
      <c r="DR298" s="588" t="n"/>
      <c r="DS298" s="588" t="n"/>
      <c r="DT298" s="588" t="n"/>
      <c r="DU298" s="588" t="n"/>
    </row>
    <row r="299">
      <c r="A299" s="737" t="n"/>
      <c r="B299" s="737" t="n"/>
      <c r="C299" s="737" t="n"/>
      <c r="D299" s="737" t="n"/>
      <c r="E299" s="737" t="n"/>
      <c r="F299" s="737" t="n"/>
      <c r="G299" s="737" t="n"/>
      <c r="H299" s="737" t="n"/>
      <c r="I299" s="737" t="n"/>
      <c r="J299" s="737" t="n"/>
      <c r="K299" s="737" t="n"/>
      <c r="L299" s="737" t="n"/>
      <c r="M299" s="737" t="n"/>
      <c r="N299" s="737" t="n"/>
      <c r="O299" s="737" t="n"/>
      <c r="P299" s="737" t="n"/>
      <c r="Q299" s="737" t="n"/>
      <c r="R299" s="737" t="n"/>
      <c r="S299" s="737" t="n"/>
      <c r="T299" s="737" t="n"/>
      <c r="U299" s="737" t="n"/>
      <c r="V299" s="737" t="n"/>
      <c r="W299" s="737" t="n"/>
      <c r="X299" s="737" t="n"/>
      <c r="Y299" s="737" t="n"/>
      <c r="Z299" s="737" t="n"/>
      <c r="AA299" s="737" t="n"/>
      <c r="AB299" s="737" t="n"/>
      <c r="AC299" s="737" t="n"/>
      <c r="AD299" s="737" t="n"/>
      <c r="AE299" s="737" t="n"/>
      <c r="AF299" s="737" t="n"/>
      <c r="AG299" s="737" t="n"/>
      <c r="AH299" s="737" t="n"/>
      <c r="AI299" s="737" t="n"/>
      <c r="AJ299" s="737" t="n"/>
      <c r="AK299" s="588" t="n"/>
      <c r="AL299" s="588" t="n"/>
      <c r="AM299" s="588" t="n"/>
      <c r="AN299" s="588" t="n"/>
      <c r="AO299" s="588" t="n"/>
      <c r="AP299" s="588" t="n"/>
      <c r="AQ299" s="588" t="n"/>
      <c r="AR299" s="588" t="n"/>
      <c r="AS299" s="588" t="n"/>
      <c r="AT299" s="588" t="n"/>
      <c r="AU299" s="588" t="n"/>
      <c r="AV299" s="588" t="n"/>
      <c r="AW299" s="588" t="n"/>
      <c r="AX299" s="588" t="n"/>
      <c r="AY299" s="588" t="n"/>
      <c r="AZ299" s="588" t="n"/>
      <c r="BA299" s="588" t="n"/>
      <c r="BB299" s="588" t="n"/>
      <c r="BC299" s="588" t="n"/>
      <c r="BD299" s="588" t="n"/>
      <c r="BE299" s="588" t="n"/>
      <c r="BF299" s="588" t="n"/>
      <c r="BG299" s="588" t="n"/>
      <c r="BH299" s="588" t="n"/>
      <c r="BI299" s="588" t="n"/>
      <c r="BJ299" s="588" t="n"/>
      <c r="BK299" s="588" t="n"/>
      <c r="BL299" s="588" t="n"/>
      <c r="BM299" s="588" t="n"/>
      <c r="BN299" s="588" t="n"/>
      <c r="BO299" s="588" t="n"/>
      <c r="BP299" s="588" t="n"/>
      <c r="BQ299" s="588" t="n"/>
      <c r="BR299" s="588" t="n"/>
      <c r="BS299" s="588" t="n"/>
      <c r="BT299" s="588" t="n"/>
      <c r="BU299" s="588" t="n"/>
      <c r="BV299" s="588" t="n"/>
      <c r="BW299" s="588" t="n"/>
      <c r="BX299" s="588" t="n"/>
      <c r="BY299" s="588" t="n"/>
      <c r="BZ299" s="588" t="n"/>
      <c r="CA299" s="588" t="n"/>
      <c r="CB299" s="588" t="n"/>
      <c r="CC299" s="588" t="n"/>
      <c r="CD299" s="588" t="n"/>
      <c r="CE299" s="588" t="n"/>
      <c r="CF299" s="588" t="n"/>
      <c r="CG299" s="588" t="n"/>
      <c r="CH299" s="588" t="n"/>
      <c r="CI299" s="588" t="n"/>
      <c r="CJ299" s="588" t="n"/>
      <c r="CK299" s="588" t="n"/>
      <c r="CL299" s="588" t="n"/>
      <c r="CM299" s="588" t="n"/>
      <c r="CN299" s="588" t="n"/>
      <c r="CO299" s="588" t="n"/>
      <c r="CP299" s="588" t="n"/>
      <c r="CQ299" s="588" t="n"/>
      <c r="CR299" s="588" t="n"/>
      <c r="CS299" s="588" t="n"/>
      <c r="CT299" s="588" t="n"/>
      <c r="CU299" s="588" t="n"/>
      <c r="CV299" s="588" t="n"/>
      <c r="CW299" s="588" t="n"/>
      <c r="CX299" s="588" t="n"/>
      <c r="CY299" s="588" t="n"/>
      <c r="CZ299" s="588" t="n"/>
      <c r="DA299" s="588" t="n"/>
      <c r="DB299" s="588" t="n"/>
      <c r="DC299" s="588" t="n"/>
      <c r="DD299" s="588" t="n"/>
      <c r="DE299" s="588" t="n"/>
      <c r="DF299" s="588" t="n"/>
      <c r="DG299" s="588" t="n"/>
      <c r="DH299" s="588" t="n"/>
      <c r="DI299" s="588" t="n"/>
      <c r="DJ299" s="588" t="n"/>
      <c r="DK299" s="588" t="n"/>
      <c r="DL299" s="588" t="n"/>
      <c r="DM299" s="588" t="n"/>
      <c r="DN299" s="588" t="n"/>
      <c r="DO299" s="588" t="n"/>
      <c r="DP299" s="588" t="n"/>
      <c r="DQ299" s="588" t="n"/>
      <c r="DR299" s="588" t="n"/>
      <c r="DS299" s="588" t="n"/>
      <c r="DT299" s="588" t="n"/>
      <c r="DU299" s="588" t="n"/>
    </row>
    <row r="300">
      <c r="A300" s="737" t="n"/>
      <c r="B300" s="737" t="n"/>
      <c r="C300" s="737" t="n"/>
      <c r="D300" s="737" t="n"/>
      <c r="E300" s="737" t="n"/>
      <c r="F300" s="737" t="n"/>
      <c r="G300" s="737" t="n"/>
      <c r="H300" s="737" t="n"/>
      <c r="I300" s="737" t="n"/>
      <c r="J300" s="737" t="n"/>
      <c r="K300" s="737" t="n"/>
      <c r="L300" s="737" t="n"/>
      <c r="M300" s="737" t="n"/>
      <c r="N300" s="737" t="n"/>
      <c r="O300" s="737" t="n"/>
      <c r="P300" s="737" t="n"/>
      <c r="Q300" s="737" t="n"/>
      <c r="R300" s="737" t="n"/>
      <c r="S300" s="737" t="n"/>
      <c r="T300" s="737" t="n"/>
      <c r="U300" s="737" t="n"/>
      <c r="V300" s="737" t="n"/>
      <c r="W300" s="737" t="n"/>
      <c r="X300" s="737" t="n"/>
      <c r="Y300" s="737" t="n"/>
      <c r="Z300" s="737" t="n"/>
      <c r="AA300" s="737" t="n"/>
      <c r="AB300" s="737" t="n"/>
      <c r="AC300" s="737" t="n"/>
      <c r="AD300" s="737" t="n"/>
      <c r="AE300" s="737" t="n"/>
      <c r="AF300" s="737" t="n"/>
      <c r="AG300" s="737" t="n"/>
      <c r="AH300" s="737" t="n"/>
      <c r="AI300" s="737" t="n"/>
      <c r="AJ300" s="737" t="n"/>
      <c r="AK300" s="588" t="n"/>
      <c r="AL300" s="588" t="n"/>
      <c r="AM300" s="588" t="n"/>
      <c r="AN300" s="588" t="n"/>
      <c r="AO300" s="588" t="n"/>
      <c r="AP300" s="588" t="n"/>
      <c r="AQ300" s="588" t="n"/>
      <c r="AR300" s="588" t="n"/>
      <c r="AS300" s="588" t="n"/>
      <c r="AT300" s="588" t="n"/>
      <c r="AU300" s="588" t="n"/>
      <c r="AV300" s="588" t="n"/>
      <c r="AW300" s="588" t="n"/>
      <c r="AX300" s="588" t="n"/>
      <c r="AY300" s="588" t="n"/>
      <c r="AZ300" s="588" t="n"/>
      <c r="BA300" s="588" t="n"/>
      <c r="BB300" s="588" t="n"/>
      <c r="BC300" s="588" t="n"/>
      <c r="BD300" s="588" t="n"/>
      <c r="BE300" s="588" t="n"/>
      <c r="BF300" s="588" t="n"/>
      <c r="BG300" s="588" t="n"/>
      <c r="BH300" s="588" t="n"/>
      <c r="BI300" s="588" t="n"/>
      <c r="BJ300" s="588" t="n"/>
      <c r="BK300" s="588" t="n"/>
      <c r="BL300" s="588" t="n"/>
      <c r="BM300" s="588" t="n"/>
      <c r="BN300" s="588" t="n"/>
      <c r="BO300" s="588" t="n"/>
      <c r="BP300" s="588" t="n"/>
      <c r="BQ300" s="588" t="n"/>
      <c r="BR300" s="588" t="n"/>
      <c r="BS300" s="588" t="n"/>
      <c r="BT300" s="588" t="n"/>
      <c r="BU300" s="588" t="n"/>
      <c r="BV300" s="588" t="n"/>
      <c r="BW300" s="588" t="n"/>
      <c r="BX300" s="588" t="n"/>
      <c r="BY300" s="588" t="n"/>
      <c r="BZ300" s="588" t="n"/>
      <c r="CA300" s="588" t="n"/>
      <c r="CB300" s="588" t="n"/>
      <c r="CC300" s="588" t="n"/>
      <c r="CD300" s="588" t="n"/>
      <c r="CE300" s="588" t="n"/>
      <c r="CF300" s="588" t="n"/>
      <c r="CG300" s="588" t="n"/>
      <c r="CH300" s="588" t="n"/>
      <c r="CI300" s="588" t="n"/>
      <c r="CJ300" s="588" t="n"/>
      <c r="CK300" s="588" t="n"/>
      <c r="CL300" s="588" t="n"/>
      <c r="CM300" s="588" t="n"/>
      <c r="CN300" s="588" t="n"/>
      <c r="CO300" s="588" t="n"/>
      <c r="CP300" s="588" t="n"/>
      <c r="CQ300" s="588" t="n"/>
      <c r="CR300" s="588" t="n"/>
      <c r="CS300" s="588" t="n"/>
      <c r="CT300" s="588" t="n"/>
      <c r="CU300" s="588" t="n"/>
      <c r="CV300" s="588" t="n"/>
      <c r="CW300" s="588" t="n"/>
      <c r="CX300" s="588" t="n"/>
      <c r="CY300" s="588" t="n"/>
      <c r="CZ300" s="588" t="n"/>
      <c r="DA300" s="588" t="n"/>
      <c r="DB300" s="588" t="n"/>
      <c r="DC300" s="588" t="n"/>
      <c r="DD300" s="588" t="n"/>
      <c r="DE300" s="588" t="n"/>
      <c r="DF300" s="588" t="n"/>
      <c r="DG300" s="588" t="n"/>
      <c r="DH300" s="588" t="n"/>
      <c r="DI300" s="588" t="n"/>
      <c r="DJ300" s="588" t="n"/>
      <c r="DK300" s="588" t="n"/>
      <c r="DL300" s="588" t="n"/>
      <c r="DM300" s="588" t="n"/>
      <c r="DN300" s="588" t="n"/>
      <c r="DO300" s="588" t="n"/>
      <c r="DP300" s="588" t="n"/>
      <c r="DQ300" s="588" t="n"/>
      <c r="DR300" s="588" t="n"/>
      <c r="DS300" s="588" t="n"/>
      <c r="DT300" s="588" t="n"/>
      <c r="DU300" s="588" t="n"/>
    </row>
    <row r="301">
      <c r="A301" s="737" t="n"/>
      <c r="B301" s="737" t="n"/>
      <c r="C301" s="737" t="n"/>
      <c r="D301" s="737" t="n"/>
      <c r="E301" s="737" t="n"/>
      <c r="F301" s="737" t="n"/>
      <c r="G301" s="737" t="n"/>
      <c r="H301" s="737" t="n"/>
      <c r="I301" s="737" t="n"/>
      <c r="J301" s="737" t="n"/>
      <c r="K301" s="737" t="n"/>
      <c r="L301" s="737" t="n"/>
      <c r="M301" s="737" t="n"/>
      <c r="N301" s="737" t="n"/>
      <c r="O301" s="737" t="n"/>
      <c r="P301" s="737" t="n"/>
      <c r="Q301" s="737" t="n"/>
      <c r="R301" s="737" t="n"/>
      <c r="S301" s="737" t="n"/>
      <c r="T301" s="737" t="n"/>
      <c r="U301" s="737" t="n"/>
      <c r="V301" s="737" t="n"/>
      <c r="W301" s="737" t="n"/>
      <c r="X301" s="737" t="n"/>
      <c r="Y301" s="737" t="n"/>
      <c r="Z301" s="737" t="n"/>
      <c r="AA301" s="737" t="n"/>
      <c r="AB301" s="737" t="n"/>
      <c r="AC301" s="737" t="n"/>
      <c r="AD301" s="737" t="n"/>
      <c r="AE301" s="737" t="n"/>
      <c r="AF301" s="737" t="n"/>
      <c r="AG301" s="737" t="n"/>
      <c r="AH301" s="737" t="n"/>
      <c r="AI301" s="737" t="n"/>
      <c r="AJ301" s="737" t="n"/>
      <c r="AK301" s="588" t="n"/>
      <c r="AL301" s="588" t="n"/>
      <c r="AM301" s="588" t="n"/>
      <c r="AN301" s="588" t="n"/>
      <c r="AO301" s="588" t="n"/>
      <c r="AP301" s="588" t="n"/>
      <c r="AQ301" s="588" t="n"/>
      <c r="AR301" s="588" t="n"/>
      <c r="AS301" s="588" t="n"/>
      <c r="AT301" s="588" t="n"/>
      <c r="AU301" s="588" t="n"/>
      <c r="AV301" s="588" t="n"/>
      <c r="AW301" s="588" t="n"/>
      <c r="AX301" s="588" t="n"/>
      <c r="AY301" s="588" t="n"/>
      <c r="AZ301" s="588" t="n"/>
      <c r="BA301" s="588" t="n"/>
      <c r="BB301" s="588" t="n"/>
      <c r="BC301" s="588" t="n"/>
      <c r="BD301" s="588" t="n"/>
      <c r="BE301" s="588" t="n"/>
      <c r="BF301" s="588" t="n"/>
      <c r="BG301" s="588" t="n"/>
      <c r="BH301" s="588" t="n"/>
      <c r="BI301" s="588" t="n"/>
      <c r="BJ301" s="588" t="n"/>
      <c r="BK301" s="588" t="n"/>
      <c r="BL301" s="588" t="n"/>
      <c r="BM301" s="588" t="n"/>
      <c r="BN301" s="588" t="n"/>
      <c r="BO301" s="588" t="n"/>
      <c r="BP301" s="588" t="n"/>
      <c r="BQ301" s="588" t="n"/>
      <c r="BR301" s="588" t="n"/>
      <c r="BS301" s="588" t="n"/>
      <c r="BT301" s="588" t="n"/>
      <c r="BU301" s="588" t="n"/>
      <c r="BV301" s="588" t="n"/>
      <c r="BW301" s="588" t="n"/>
      <c r="BX301" s="588" t="n"/>
      <c r="BY301" s="588" t="n"/>
      <c r="BZ301" s="588" t="n"/>
      <c r="CA301" s="588" t="n"/>
      <c r="CB301" s="588" t="n"/>
      <c r="CC301" s="588" t="n"/>
      <c r="CD301" s="588" t="n"/>
      <c r="CE301" s="588" t="n"/>
      <c r="CF301" s="588" t="n"/>
      <c r="CG301" s="588" t="n"/>
      <c r="CH301" s="588" t="n"/>
      <c r="CI301" s="588" t="n"/>
      <c r="CJ301" s="588" t="n"/>
      <c r="CK301" s="588" t="n"/>
      <c r="CL301" s="588" t="n"/>
      <c r="CM301" s="588" t="n"/>
      <c r="CN301" s="588" t="n"/>
      <c r="CO301" s="588" t="n"/>
      <c r="CP301" s="588" t="n"/>
      <c r="CQ301" s="588" t="n"/>
      <c r="CR301" s="588" t="n"/>
      <c r="CS301" s="588" t="n"/>
      <c r="CT301" s="588" t="n"/>
      <c r="CU301" s="588" t="n"/>
      <c r="CV301" s="588" t="n"/>
      <c r="CW301" s="588" t="n"/>
      <c r="CX301" s="588" t="n"/>
      <c r="CY301" s="588" t="n"/>
      <c r="CZ301" s="588" t="n"/>
      <c r="DA301" s="588" t="n"/>
      <c r="DB301" s="588" t="n"/>
      <c r="DC301" s="588" t="n"/>
      <c r="DD301" s="588" t="n"/>
      <c r="DE301" s="588" t="n"/>
      <c r="DF301" s="588" t="n"/>
      <c r="DG301" s="588" t="n"/>
      <c r="DH301" s="588" t="n"/>
      <c r="DI301" s="588" t="n"/>
      <c r="DJ301" s="588" t="n"/>
      <c r="DK301" s="588" t="n"/>
      <c r="DL301" s="588" t="n"/>
      <c r="DM301" s="588" t="n"/>
      <c r="DN301" s="588" t="n"/>
      <c r="DO301" s="588" t="n"/>
      <c r="DP301" s="588" t="n"/>
      <c r="DQ301" s="588" t="n"/>
      <c r="DR301" s="588" t="n"/>
      <c r="DS301" s="588" t="n"/>
      <c r="DT301" s="588" t="n"/>
      <c r="DU301" s="588" t="n"/>
    </row>
    <row r="302">
      <c r="A302" s="737" t="n"/>
      <c r="B302" s="737" t="n"/>
      <c r="C302" s="737" t="n"/>
      <c r="D302" s="737" t="n"/>
      <c r="E302" s="737" t="n"/>
      <c r="F302" s="737" t="n"/>
      <c r="G302" s="737" t="n"/>
      <c r="H302" s="737" t="n"/>
      <c r="I302" s="737" t="n"/>
      <c r="J302" s="737" t="n"/>
      <c r="K302" s="737" t="n"/>
      <c r="L302" s="737" t="n"/>
      <c r="M302" s="737" t="n"/>
      <c r="N302" s="737" t="n"/>
      <c r="O302" s="737" t="n"/>
      <c r="P302" s="737" t="n"/>
      <c r="Q302" s="737" t="n"/>
      <c r="R302" s="737" t="n"/>
      <c r="S302" s="737" t="n"/>
      <c r="T302" s="737" t="n"/>
      <c r="U302" s="737" t="n"/>
      <c r="V302" s="737" t="n"/>
      <c r="W302" s="737" t="n"/>
      <c r="X302" s="737" t="n"/>
      <c r="Y302" s="737" t="n"/>
      <c r="Z302" s="737" t="n"/>
      <c r="AA302" s="737" t="n"/>
      <c r="AB302" s="737" t="n"/>
      <c r="AC302" s="737" t="n"/>
      <c r="AD302" s="737" t="n"/>
      <c r="AE302" s="737" t="n"/>
      <c r="AF302" s="737" t="n"/>
      <c r="AG302" s="737" t="n"/>
      <c r="AH302" s="737" t="n"/>
      <c r="AI302" s="737" t="n"/>
      <c r="AJ302" s="737" t="n"/>
      <c r="AK302" s="588" t="n"/>
      <c r="AL302" s="588" t="n"/>
      <c r="AM302" s="588" t="n"/>
      <c r="AN302" s="588" t="n"/>
      <c r="AO302" s="588" t="n"/>
      <c r="AP302" s="588" t="n"/>
      <c r="AQ302" s="588" t="n"/>
      <c r="AR302" s="588" t="n"/>
      <c r="AS302" s="588" t="n"/>
      <c r="AT302" s="588" t="n"/>
      <c r="AU302" s="588" t="n"/>
      <c r="AV302" s="588" t="n"/>
      <c r="AW302" s="588" t="n"/>
      <c r="AX302" s="588" t="n"/>
      <c r="AY302" s="588" t="n"/>
      <c r="AZ302" s="588" t="n"/>
      <c r="BA302" s="588" t="n"/>
      <c r="BB302" s="588" t="n"/>
      <c r="BC302" s="588" t="n"/>
      <c r="BD302" s="588" t="n"/>
      <c r="BE302" s="588" t="n"/>
      <c r="BF302" s="588" t="n"/>
      <c r="BG302" s="588" t="n"/>
      <c r="BH302" s="588" t="n"/>
      <c r="BI302" s="588" t="n"/>
      <c r="BJ302" s="588" t="n"/>
      <c r="BK302" s="588" t="n"/>
      <c r="BL302" s="588" t="n"/>
      <c r="BM302" s="588" t="n"/>
      <c r="BN302" s="588" t="n"/>
      <c r="BO302" s="588" t="n"/>
      <c r="BP302" s="588" t="n"/>
      <c r="BQ302" s="588" t="n"/>
      <c r="BR302" s="588" t="n"/>
      <c r="BS302" s="588" t="n"/>
      <c r="BT302" s="588" t="n"/>
      <c r="BU302" s="588" t="n"/>
      <c r="BV302" s="588" t="n"/>
      <c r="BW302" s="588" t="n"/>
      <c r="BX302" s="588" t="n"/>
      <c r="BY302" s="588" t="n"/>
      <c r="BZ302" s="588" t="n"/>
      <c r="CA302" s="588" t="n"/>
      <c r="CB302" s="588" t="n"/>
      <c r="CC302" s="588" t="n"/>
      <c r="CD302" s="588" t="n"/>
      <c r="CE302" s="588" t="n"/>
      <c r="CF302" s="588" t="n"/>
      <c r="CG302" s="588" t="n"/>
      <c r="CH302" s="588" t="n"/>
      <c r="CI302" s="588" t="n"/>
      <c r="CJ302" s="588" t="n"/>
      <c r="CK302" s="588" t="n"/>
      <c r="CL302" s="588" t="n"/>
      <c r="CM302" s="588" t="n"/>
      <c r="CN302" s="588" t="n"/>
      <c r="CO302" s="588" t="n"/>
      <c r="CP302" s="588" t="n"/>
      <c r="CQ302" s="588" t="n"/>
      <c r="CR302" s="588" t="n"/>
      <c r="CS302" s="588" t="n"/>
      <c r="CT302" s="588" t="n"/>
      <c r="CU302" s="588" t="n"/>
      <c r="CV302" s="588" t="n"/>
      <c r="CW302" s="588" t="n"/>
      <c r="CX302" s="588" t="n"/>
      <c r="CY302" s="588" t="n"/>
      <c r="CZ302" s="588" t="n"/>
      <c r="DA302" s="588" t="n"/>
      <c r="DB302" s="588" t="n"/>
      <c r="DC302" s="588" t="n"/>
      <c r="DD302" s="588" t="n"/>
      <c r="DE302" s="588" t="n"/>
      <c r="DF302" s="588" t="n"/>
      <c r="DG302" s="588" t="n"/>
      <c r="DH302" s="588" t="n"/>
      <c r="DI302" s="588" t="n"/>
      <c r="DJ302" s="588" t="n"/>
      <c r="DK302" s="588" t="n"/>
      <c r="DL302" s="588" t="n"/>
      <c r="DM302" s="588" t="n"/>
      <c r="DN302" s="588" t="n"/>
      <c r="DO302" s="588" t="n"/>
      <c r="DP302" s="588" t="n"/>
      <c r="DQ302" s="588" t="n"/>
      <c r="DR302" s="588" t="n"/>
      <c r="DS302" s="588" t="n"/>
      <c r="DT302" s="588" t="n"/>
      <c r="DU302" s="588" t="n"/>
    </row>
    <row r="303">
      <c r="A303" s="737" t="n"/>
      <c r="B303" s="737" t="n"/>
      <c r="C303" s="737" t="n"/>
      <c r="D303" s="737" t="n"/>
      <c r="E303" s="737" t="n"/>
      <c r="F303" s="737" t="n"/>
      <c r="G303" s="737" t="n"/>
      <c r="H303" s="737" t="n"/>
      <c r="I303" s="737" t="n"/>
      <c r="J303" s="737" t="n"/>
      <c r="K303" s="737" t="n"/>
      <c r="L303" s="737" t="n"/>
      <c r="M303" s="737" t="n"/>
      <c r="N303" s="737" t="n"/>
      <c r="O303" s="737" t="n"/>
      <c r="P303" s="737" t="n"/>
      <c r="Q303" s="737" t="n"/>
      <c r="R303" s="737" t="n"/>
      <c r="S303" s="737" t="n"/>
      <c r="T303" s="737" t="n"/>
      <c r="U303" s="737" t="n"/>
      <c r="V303" s="737" t="n"/>
      <c r="W303" s="737" t="n"/>
      <c r="X303" s="737" t="n"/>
      <c r="Y303" s="737" t="n"/>
      <c r="Z303" s="737" t="n"/>
      <c r="AA303" s="737" t="n"/>
      <c r="AB303" s="737" t="n"/>
      <c r="AC303" s="737" t="n"/>
      <c r="AD303" s="737" t="n"/>
      <c r="AE303" s="737" t="n"/>
      <c r="AF303" s="737" t="n"/>
      <c r="AG303" s="737" t="n"/>
      <c r="AH303" s="737" t="n"/>
      <c r="AI303" s="737" t="n"/>
      <c r="AJ303" s="737" t="n"/>
      <c r="AK303" s="588" t="n"/>
      <c r="AL303" s="588" t="n"/>
      <c r="AM303" s="588" t="n"/>
      <c r="AN303" s="588" t="n"/>
      <c r="AO303" s="588" t="n"/>
      <c r="AP303" s="588" t="n"/>
      <c r="AQ303" s="588" t="n"/>
      <c r="AR303" s="588" t="n"/>
      <c r="AS303" s="588" t="n"/>
      <c r="AT303" s="588" t="n"/>
      <c r="AU303" s="588" t="n"/>
      <c r="AV303" s="588" t="n"/>
      <c r="AW303" s="588" t="n"/>
      <c r="AX303" s="588" t="n"/>
      <c r="AY303" s="588" t="n"/>
      <c r="AZ303" s="588" t="n"/>
      <c r="BA303" s="588" t="n"/>
      <c r="BB303" s="588" t="n"/>
      <c r="BC303" s="588" t="n"/>
      <c r="BD303" s="588" t="n"/>
      <c r="BE303" s="588" t="n"/>
      <c r="BF303" s="588" t="n"/>
      <c r="BG303" s="588" t="n"/>
      <c r="BH303" s="588" t="n"/>
      <c r="BI303" s="588" t="n"/>
      <c r="BJ303" s="588" t="n"/>
      <c r="BK303" s="588" t="n"/>
      <c r="BL303" s="588" t="n"/>
      <c r="BM303" s="588" t="n"/>
      <c r="BN303" s="588" t="n"/>
      <c r="BO303" s="588" t="n"/>
      <c r="BP303" s="588" t="n"/>
      <c r="BQ303" s="588" t="n"/>
      <c r="BR303" s="588" t="n"/>
      <c r="BS303" s="588" t="n"/>
      <c r="BT303" s="588" t="n"/>
      <c r="BU303" s="588" t="n"/>
      <c r="BV303" s="588" t="n"/>
      <c r="BW303" s="588" t="n"/>
      <c r="BX303" s="588" t="n"/>
      <c r="BY303" s="588" t="n"/>
      <c r="BZ303" s="588" t="n"/>
      <c r="CA303" s="588" t="n"/>
      <c r="CB303" s="588" t="n"/>
      <c r="CC303" s="588" t="n"/>
      <c r="CD303" s="588" t="n"/>
      <c r="CE303" s="588" t="n"/>
      <c r="CF303" s="588" t="n"/>
      <c r="CG303" s="588" t="n"/>
      <c r="CH303" s="588" t="n"/>
      <c r="CI303" s="588" t="n"/>
      <c r="CJ303" s="588" t="n"/>
      <c r="CK303" s="588" t="n"/>
      <c r="CL303" s="588" t="n"/>
      <c r="CM303" s="588" t="n"/>
      <c r="CN303" s="588" t="n"/>
      <c r="CO303" s="588" t="n"/>
      <c r="CP303" s="588" t="n"/>
      <c r="CQ303" s="588" t="n"/>
      <c r="CR303" s="588" t="n"/>
      <c r="CS303" s="588" t="n"/>
      <c r="CT303" s="588" t="n"/>
      <c r="CU303" s="588" t="n"/>
      <c r="CV303" s="588" t="n"/>
      <c r="CW303" s="588" t="n"/>
      <c r="CX303" s="588" t="n"/>
      <c r="CY303" s="588" t="n"/>
      <c r="CZ303" s="588" t="n"/>
      <c r="DA303" s="588" t="n"/>
      <c r="DB303" s="588" t="n"/>
      <c r="DC303" s="588" t="n"/>
      <c r="DD303" s="588" t="n"/>
      <c r="DE303" s="588" t="n"/>
      <c r="DF303" s="588" t="n"/>
      <c r="DG303" s="588" t="n"/>
      <c r="DH303" s="588" t="n"/>
      <c r="DI303" s="588" t="n"/>
      <c r="DJ303" s="588" t="n"/>
      <c r="DK303" s="588" t="n"/>
      <c r="DL303" s="588" t="n"/>
      <c r="DM303" s="588" t="n"/>
      <c r="DN303" s="588" t="n"/>
      <c r="DO303" s="588" t="n"/>
      <c r="DP303" s="588" t="n"/>
      <c r="DQ303" s="588" t="n"/>
      <c r="DR303" s="588" t="n"/>
      <c r="DS303" s="588" t="n"/>
      <c r="DT303" s="588" t="n"/>
      <c r="DU303" s="588" t="n"/>
    </row>
    <row r="304">
      <c r="A304" s="737" t="n"/>
      <c r="B304" s="737" t="n"/>
      <c r="C304" s="737" t="n"/>
      <c r="D304" s="737" t="n"/>
      <c r="E304" s="737" t="n"/>
      <c r="F304" s="737" t="n"/>
      <c r="G304" s="737" t="n"/>
      <c r="H304" s="737" t="n"/>
      <c r="I304" s="737" t="n"/>
      <c r="J304" s="737" t="n"/>
      <c r="K304" s="737" t="n"/>
      <c r="L304" s="737" t="n"/>
      <c r="M304" s="737" t="n"/>
      <c r="N304" s="737" t="n"/>
      <c r="O304" s="737" t="n"/>
      <c r="P304" s="737" t="n"/>
      <c r="Q304" s="737" t="n"/>
      <c r="R304" s="737" t="n"/>
      <c r="S304" s="737" t="n"/>
      <c r="T304" s="737" t="n"/>
      <c r="U304" s="737" t="n"/>
      <c r="V304" s="737" t="n"/>
      <c r="W304" s="737" t="n"/>
      <c r="X304" s="737" t="n"/>
      <c r="Y304" s="737" t="n"/>
      <c r="Z304" s="737" t="n"/>
      <c r="AA304" s="737" t="n"/>
      <c r="AB304" s="737" t="n"/>
      <c r="AC304" s="737" t="n"/>
      <c r="AD304" s="737" t="n"/>
      <c r="AE304" s="737" t="n"/>
      <c r="AF304" s="737" t="n"/>
      <c r="AG304" s="737" t="n"/>
      <c r="AH304" s="737" t="n"/>
      <c r="AI304" s="737" t="n"/>
      <c r="AJ304" s="737" t="n"/>
      <c r="AK304" s="588" t="n"/>
      <c r="AL304" s="588" t="n"/>
      <c r="AM304" s="588" t="n"/>
      <c r="AN304" s="588" t="n"/>
      <c r="AO304" s="588" t="n"/>
      <c r="AP304" s="588" t="n"/>
      <c r="AQ304" s="588" t="n"/>
      <c r="AR304" s="588" t="n"/>
      <c r="AS304" s="588" t="n"/>
      <c r="AT304" s="588" t="n"/>
      <c r="AU304" s="588" t="n"/>
      <c r="AV304" s="588" t="n"/>
      <c r="AW304" s="588" t="n"/>
      <c r="AX304" s="588" t="n"/>
      <c r="AY304" s="588" t="n"/>
      <c r="AZ304" s="588" t="n"/>
      <c r="BA304" s="588" t="n"/>
      <c r="BB304" s="588" t="n"/>
      <c r="BC304" s="588" t="n"/>
      <c r="BD304" s="588" t="n"/>
      <c r="BE304" s="588" t="n"/>
      <c r="BF304" s="588" t="n"/>
      <c r="BG304" s="588" t="n"/>
      <c r="BH304" s="588" t="n"/>
      <c r="BI304" s="588" t="n"/>
      <c r="BJ304" s="588" t="n"/>
      <c r="BK304" s="588" t="n"/>
      <c r="BL304" s="588" t="n"/>
      <c r="BM304" s="588" t="n"/>
      <c r="BN304" s="588" t="n"/>
      <c r="BO304" s="588" t="n"/>
      <c r="BP304" s="588" t="n"/>
      <c r="BQ304" s="588" t="n"/>
      <c r="BR304" s="588" t="n"/>
      <c r="BS304" s="588" t="n"/>
      <c r="BT304" s="588" t="n"/>
      <c r="BU304" s="588" t="n"/>
      <c r="BV304" s="588" t="n"/>
      <c r="BW304" s="588" t="n"/>
      <c r="BX304" s="588" t="n"/>
      <c r="BY304" s="588" t="n"/>
      <c r="BZ304" s="588" t="n"/>
      <c r="CA304" s="588" t="n"/>
      <c r="CB304" s="588" t="n"/>
      <c r="CC304" s="588" t="n"/>
      <c r="CD304" s="588" t="n"/>
      <c r="CE304" s="588" t="n"/>
      <c r="CF304" s="588" t="n"/>
      <c r="CG304" s="588" t="n"/>
      <c r="CH304" s="588" t="n"/>
      <c r="CI304" s="588" t="n"/>
      <c r="CJ304" s="588" t="n"/>
      <c r="CK304" s="588" t="n"/>
      <c r="CL304" s="588" t="n"/>
      <c r="CM304" s="588" t="n"/>
      <c r="CN304" s="588" t="n"/>
      <c r="CO304" s="588" t="n"/>
      <c r="CP304" s="588" t="n"/>
      <c r="CQ304" s="588" t="n"/>
      <c r="CR304" s="588" t="n"/>
      <c r="CS304" s="588" t="n"/>
      <c r="CT304" s="588" t="n"/>
      <c r="CU304" s="588" t="n"/>
      <c r="CV304" s="588" t="n"/>
      <c r="CW304" s="588" t="n"/>
      <c r="CX304" s="588" t="n"/>
      <c r="CY304" s="588" t="n"/>
      <c r="CZ304" s="588" t="n"/>
      <c r="DA304" s="588" t="n"/>
      <c r="DB304" s="588" t="n"/>
      <c r="DC304" s="588" t="n"/>
      <c r="DD304" s="588" t="n"/>
      <c r="DE304" s="588" t="n"/>
      <c r="DF304" s="588" t="n"/>
      <c r="DG304" s="588" t="n"/>
      <c r="DH304" s="588" t="n"/>
      <c r="DI304" s="588" t="n"/>
      <c r="DJ304" s="588" t="n"/>
      <c r="DK304" s="588" t="n"/>
      <c r="DL304" s="588" t="n"/>
      <c r="DM304" s="588" t="n"/>
      <c r="DN304" s="588" t="n"/>
      <c r="DO304" s="588" t="n"/>
      <c r="DP304" s="588" t="n"/>
      <c r="DQ304" s="588" t="n"/>
      <c r="DR304" s="588" t="n"/>
      <c r="DS304" s="588" t="n"/>
      <c r="DT304" s="588" t="n"/>
      <c r="DU304" s="588" t="n"/>
    </row>
    <row r="305">
      <c r="A305" s="737" t="n"/>
      <c r="B305" s="737" t="n"/>
      <c r="C305" s="737" t="n"/>
      <c r="D305" s="737" t="n"/>
      <c r="E305" s="737" t="n"/>
      <c r="F305" s="737" t="n"/>
      <c r="G305" s="737" t="n"/>
      <c r="H305" s="737" t="n"/>
      <c r="I305" s="737" t="n"/>
      <c r="J305" s="737" t="n"/>
      <c r="K305" s="737" t="n"/>
      <c r="L305" s="737" t="n"/>
      <c r="M305" s="737" t="n"/>
      <c r="N305" s="737" t="n"/>
      <c r="O305" s="737" t="n"/>
      <c r="P305" s="737" t="n"/>
      <c r="Q305" s="737" t="n"/>
      <c r="R305" s="737" t="n"/>
      <c r="S305" s="737" t="n"/>
      <c r="T305" s="737" t="n"/>
      <c r="U305" s="737" t="n"/>
      <c r="V305" s="737" t="n"/>
      <c r="W305" s="737" t="n"/>
      <c r="X305" s="737" t="n"/>
      <c r="Y305" s="737" t="n"/>
      <c r="Z305" s="737" t="n"/>
      <c r="AA305" s="737" t="n"/>
      <c r="AB305" s="737" t="n"/>
      <c r="AC305" s="737" t="n"/>
      <c r="AD305" s="737" t="n"/>
      <c r="AE305" s="737" t="n"/>
      <c r="AF305" s="737" t="n"/>
      <c r="AG305" s="737" t="n"/>
      <c r="AH305" s="737" t="n"/>
      <c r="AI305" s="737" t="n"/>
      <c r="AJ305" s="737" t="n"/>
      <c r="AK305" s="588" t="n"/>
      <c r="AL305" s="588" t="n"/>
      <c r="AM305" s="588" t="n"/>
      <c r="AN305" s="588" t="n"/>
      <c r="AO305" s="588" t="n"/>
      <c r="AP305" s="588" t="n"/>
      <c r="AQ305" s="588" t="n"/>
      <c r="AR305" s="588" t="n"/>
      <c r="AS305" s="588" t="n"/>
      <c r="AT305" s="588" t="n"/>
      <c r="AU305" s="588" t="n"/>
      <c r="AV305" s="588" t="n"/>
      <c r="AW305" s="588" t="n"/>
      <c r="AX305" s="588" t="n"/>
      <c r="AY305" s="588" t="n"/>
      <c r="AZ305" s="588" t="n"/>
      <c r="BA305" s="588" t="n"/>
      <c r="BB305" s="588" t="n"/>
      <c r="BC305" s="588" t="n"/>
      <c r="BD305" s="588" t="n"/>
      <c r="BE305" s="588" t="n"/>
      <c r="BF305" s="588" t="n"/>
      <c r="BG305" s="588" t="n"/>
      <c r="BH305" s="588" t="n"/>
      <c r="BI305" s="588" t="n"/>
      <c r="BJ305" s="588" t="n"/>
      <c r="BK305" s="588" t="n"/>
      <c r="BL305" s="588" t="n"/>
      <c r="BM305" s="588" t="n"/>
      <c r="BN305" s="588" t="n"/>
      <c r="BO305" s="588" t="n"/>
      <c r="BP305" s="588" t="n"/>
      <c r="BQ305" s="588" t="n"/>
      <c r="BR305" s="588" t="n"/>
      <c r="BS305" s="588" t="n"/>
      <c r="BT305" s="588" t="n"/>
      <c r="BU305" s="588" t="n"/>
      <c r="BV305" s="588" t="n"/>
      <c r="BW305" s="588" t="n"/>
      <c r="BX305" s="588" t="n"/>
      <c r="BY305" s="588" t="n"/>
      <c r="BZ305" s="588" t="n"/>
      <c r="CA305" s="588" t="n"/>
      <c r="CB305" s="588" t="n"/>
      <c r="CC305" s="588" t="n"/>
      <c r="CD305" s="588" t="n"/>
      <c r="CE305" s="588" t="n"/>
      <c r="CF305" s="588" t="n"/>
      <c r="CG305" s="588" t="n"/>
      <c r="CH305" s="588" t="n"/>
      <c r="CI305" s="588" t="n"/>
      <c r="CJ305" s="588" t="n"/>
      <c r="CK305" s="588" t="n"/>
      <c r="CL305" s="588" t="n"/>
      <c r="CM305" s="588" t="n"/>
      <c r="CN305" s="588" t="n"/>
      <c r="CO305" s="588" t="n"/>
      <c r="CP305" s="588" t="n"/>
      <c r="CQ305" s="588" t="n"/>
      <c r="CR305" s="588" t="n"/>
      <c r="CS305" s="588" t="n"/>
      <c r="CT305" s="588" t="n"/>
      <c r="CU305" s="588" t="n"/>
      <c r="CV305" s="588" t="n"/>
      <c r="CW305" s="588" t="n"/>
      <c r="CX305" s="588" t="n"/>
      <c r="CY305" s="588" t="n"/>
      <c r="CZ305" s="588" t="n"/>
      <c r="DA305" s="588" t="n"/>
      <c r="DB305" s="588" t="n"/>
      <c r="DC305" s="588" t="n"/>
      <c r="DD305" s="588" t="n"/>
      <c r="DE305" s="588" t="n"/>
      <c r="DF305" s="588" t="n"/>
      <c r="DG305" s="588" t="n"/>
      <c r="DH305" s="588" t="n"/>
      <c r="DI305" s="588" t="n"/>
      <c r="DJ305" s="588" t="n"/>
      <c r="DK305" s="588" t="n"/>
      <c r="DL305" s="588" t="n"/>
      <c r="DM305" s="588" t="n"/>
      <c r="DN305" s="588" t="n"/>
      <c r="DO305" s="588" t="n"/>
      <c r="DP305" s="588" t="n"/>
      <c r="DQ305" s="588" t="n"/>
      <c r="DR305" s="588" t="n"/>
      <c r="DS305" s="588" t="n"/>
      <c r="DT305" s="588" t="n"/>
      <c r="DU305" s="588" t="n"/>
    </row>
    <row r="306">
      <c r="A306" s="737" t="n"/>
      <c r="B306" s="737" t="n"/>
      <c r="C306" s="737" t="n"/>
      <c r="D306" s="737" t="n"/>
      <c r="E306" s="737" t="n"/>
      <c r="F306" s="737" t="n"/>
      <c r="G306" s="737" t="n"/>
      <c r="H306" s="737" t="n"/>
      <c r="I306" s="737" t="n"/>
      <c r="J306" s="737" t="n"/>
      <c r="K306" s="737" t="n"/>
      <c r="L306" s="737" t="n"/>
      <c r="M306" s="737" t="n"/>
      <c r="N306" s="737" t="n"/>
      <c r="O306" s="737" t="n"/>
      <c r="P306" s="737" t="n"/>
      <c r="Q306" s="737" t="n"/>
      <c r="R306" s="737" t="n"/>
      <c r="S306" s="737" t="n"/>
      <c r="T306" s="737" t="n"/>
      <c r="U306" s="737" t="n"/>
      <c r="V306" s="737" t="n"/>
      <c r="W306" s="737" t="n"/>
      <c r="X306" s="737" t="n"/>
      <c r="Y306" s="737" t="n"/>
      <c r="Z306" s="737" t="n"/>
      <c r="AA306" s="737" t="n"/>
      <c r="AB306" s="737" t="n"/>
      <c r="AC306" s="737" t="n"/>
      <c r="AD306" s="737" t="n"/>
      <c r="AE306" s="737" t="n"/>
      <c r="AF306" s="737" t="n"/>
      <c r="AG306" s="737" t="n"/>
      <c r="AH306" s="737" t="n"/>
      <c r="AI306" s="737" t="n"/>
      <c r="AJ306" s="737" t="n"/>
      <c r="AK306" s="588" t="n"/>
      <c r="AL306" s="588" t="n"/>
      <c r="AM306" s="588" t="n"/>
      <c r="AN306" s="588" t="n"/>
      <c r="AO306" s="588" t="n"/>
      <c r="AP306" s="588" t="n"/>
      <c r="AQ306" s="588" t="n"/>
      <c r="AR306" s="588" t="n"/>
      <c r="AS306" s="588" t="n"/>
      <c r="AT306" s="588" t="n"/>
      <c r="AU306" s="588" t="n"/>
      <c r="AV306" s="588" t="n"/>
      <c r="AW306" s="588" t="n"/>
      <c r="AX306" s="588" t="n"/>
      <c r="AY306" s="588" t="n"/>
      <c r="AZ306" s="588" t="n"/>
      <c r="BA306" s="588" t="n"/>
      <c r="BB306" s="588" t="n"/>
      <c r="BC306" s="588" t="n"/>
      <c r="BD306" s="588" t="n"/>
      <c r="BE306" s="588" t="n"/>
      <c r="BF306" s="588" t="n"/>
      <c r="BG306" s="588" t="n"/>
      <c r="BH306" s="588" t="n"/>
      <c r="BI306" s="588" t="n"/>
      <c r="BJ306" s="588" t="n"/>
      <c r="BK306" s="588" t="n"/>
      <c r="BL306" s="588" t="n"/>
      <c r="BM306" s="588" t="n"/>
      <c r="BN306" s="588" t="n"/>
      <c r="BO306" s="588" t="n"/>
      <c r="BP306" s="588" t="n"/>
      <c r="BQ306" s="588" t="n"/>
      <c r="BR306" s="588" t="n"/>
      <c r="BS306" s="588" t="n"/>
      <c r="BT306" s="588" t="n"/>
      <c r="BU306" s="588" t="n"/>
      <c r="BV306" s="588" t="n"/>
      <c r="BW306" s="588" t="n"/>
      <c r="BX306" s="588" t="n"/>
      <c r="BY306" s="588" t="n"/>
      <c r="BZ306" s="588" t="n"/>
      <c r="CA306" s="588" t="n"/>
      <c r="CB306" s="588" t="n"/>
      <c r="CC306" s="588" t="n"/>
      <c r="CD306" s="588" t="n"/>
      <c r="CE306" s="588" t="n"/>
      <c r="CF306" s="588" t="n"/>
      <c r="CG306" s="588" t="n"/>
      <c r="CH306" s="588" t="n"/>
      <c r="CI306" s="588" t="n"/>
      <c r="CJ306" s="588" t="n"/>
      <c r="CK306" s="588" t="n"/>
      <c r="CL306" s="588" t="n"/>
      <c r="CM306" s="588" t="n"/>
      <c r="CN306" s="588" t="n"/>
      <c r="CO306" s="588" t="n"/>
      <c r="CP306" s="588" t="n"/>
      <c r="CQ306" s="588" t="n"/>
      <c r="CR306" s="588" t="n"/>
      <c r="CS306" s="588" t="n"/>
      <c r="CT306" s="588" t="n"/>
      <c r="CU306" s="588" t="n"/>
      <c r="CV306" s="588" t="n"/>
      <c r="CW306" s="588" t="n"/>
      <c r="CX306" s="588" t="n"/>
      <c r="CY306" s="588" t="n"/>
      <c r="CZ306" s="588" t="n"/>
      <c r="DA306" s="588" t="n"/>
      <c r="DB306" s="588" t="n"/>
      <c r="DC306" s="588" t="n"/>
      <c r="DD306" s="588" t="n"/>
      <c r="DE306" s="588" t="n"/>
      <c r="DF306" s="588" t="n"/>
      <c r="DG306" s="588" t="n"/>
      <c r="DH306" s="588" t="n"/>
      <c r="DI306" s="588" t="n"/>
      <c r="DJ306" s="588" t="n"/>
      <c r="DK306" s="588" t="n"/>
      <c r="DL306" s="588" t="n"/>
      <c r="DM306" s="588" t="n"/>
      <c r="DN306" s="588" t="n"/>
      <c r="DO306" s="588" t="n"/>
      <c r="DP306" s="588" t="n"/>
      <c r="DQ306" s="588" t="n"/>
      <c r="DR306" s="588" t="n"/>
      <c r="DS306" s="588" t="n"/>
      <c r="DT306" s="588" t="n"/>
      <c r="DU306" s="588" t="n"/>
    </row>
    <row r="307">
      <c r="A307" s="737" t="n"/>
      <c r="B307" s="737" t="n"/>
      <c r="C307" s="737" t="n"/>
      <c r="D307" s="737" t="n"/>
      <c r="E307" s="737" t="n"/>
      <c r="F307" s="737" t="n"/>
      <c r="G307" s="737" t="n"/>
      <c r="H307" s="737" t="n"/>
      <c r="I307" s="737" t="n"/>
      <c r="J307" s="737" t="n"/>
      <c r="K307" s="737" t="n"/>
      <c r="L307" s="737" t="n"/>
      <c r="M307" s="737" t="n"/>
      <c r="N307" s="737" t="n"/>
      <c r="O307" s="737" t="n"/>
      <c r="P307" s="737" t="n"/>
      <c r="Q307" s="737" t="n"/>
      <c r="R307" s="737" t="n"/>
      <c r="S307" s="737" t="n"/>
      <c r="T307" s="737" t="n"/>
      <c r="U307" s="737" t="n"/>
      <c r="V307" s="737" t="n"/>
      <c r="W307" s="737" t="n"/>
      <c r="X307" s="737" t="n"/>
      <c r="Y307" s="737" t="n"/>
      <c r="Z307" s="737" t="n"/>
      <c r="AA307" s="737" t="n"/>
      <c r="AB307" s="737" t="n"/>
      <c r="AC307" s="737" t="n"/>
      <c r="AD307" s="737" t="n"/>
      <c r="AE307" s="737" t="n"/>
      <c r="AF307" s="737" t="n"/>
      <c r="AG307" s="737" t="n"/>
      <c r="AH307" s="737" t="n"/>
      <c r="AI307" s="737" t="n"/>
      <c r="AJ307" s="737" t="n"/>
      <c r="AK307" s="588" t="n"/>
      <c r="AL307" s="588" t="n"/>
      <c r="AM307" s="588" t="n"/>
      <c r="AN307" s="588" t="n"/>
      <c r="AO307" s="588" t="n"/>
      <c r="AP307" s="588" t="n"/>
      <c r="AQ307" s="588" t="n"/>
      <c r="AR307" s="588" t="n"/>
      <c r="AS307" s="588" t="n"/>
      <c r="AT307" s="588" t="n"/>
      <c r="AU307" s="588" t="n"/>
      <c r="AV307" s="588" t="n"/>
      <c r="AW307" s="588" t="n"/>
      <c r="AX307" s="588" t="n"/>
      <c r="AY307" s="588" t="n"/>
      <c r="AZ307" s="588" t="n"/>
      <c r="BA307" s="588" t="n"/>
      <c r="BB307" s="588" t="n"/>
      <c r="BC307" s="588" t="n"/>
      <c r="BD307" s="588" t="n"/>
      <c r="BE307" s="588" t="n"/>
      <c r="BF307" s="588" t="n"/>
      <c r="BG307" s="588" t="n"/>
      <c r="BH307" s="588" t="n"/>
      <c r="BI307" s="588" t="n"/>
      <c r="BJ307" s="588" t="n"/>
      <c r="BK307" s="588" t="n"/>
      <c r="BL307" s="588" t="n"/>
      <c r="BM307" s="588" t="n"/>
      <c r="BN307" s="588" t="n"/>
      <c r="BO307" s="588" t="n"/>
      <c r="BP307" s="588" t="n"/>
      <c r="BQ307" s="588" t="n"/>
      <c r="BR307" s="588" t="n"/>
      <c r="BS307" s="588" t="n"/>
      <c r="BT307" s="588" t="n"/>
      <c r="BU307" s="588" t="n"/>
      <c r="BV307" s="588" t="n"/>
      <c r="BW307" s="588" t="n"/>
      <c r="BX307" s="588" t="n"/>
      <c r="BY307" s="588" t="n"/>
      <c r="BZ307" s="588" t="n"/>
      <c r="CA307" s="588" t="n"/>
      <c r="CB307" s="588" t="n"/>
      <c r="CC307" s="588" t="n"/>
      <c r="CD307" s="588" t="n"/>
      <c r="CE307" s="588" t="n"/>
      <c r="CF307" s="588" t="n"/>
      <c r="CG307" s="588" t="n"/>
      <c r="CH307" s="588" t="n"/>
      <c r="CI307" s="588" t="n"/>
      <c r="CJ307" s="588" t="n"/>
      <c r="CK307" s="588" t="n"/>
      <c r="CL307" s="588" t="n"/>
      <c r="CM307" s="588" t="n"/>
      <c r="CN307" s="588" t="n"/>
      <c r="CO307" s="588" t="n"/>
      <c r="CP307" s="588" t="n"/>
      <c r="CQ307" s="588" t="n"/>
      <c r="CR307" s="588" t="n"/>
      <c r="CS307" s="588" t="n"/>
      <c r="CT307" s="588" t="n"/>
      <c r="CU307" s="588" t="n"/>
      <c r="CV307" s="588" t="n"/>
      <c r="CW307" s="588" t="n"/>
      <c r="CX307" s="588" t="n"/>
      <c r="CY307" s="588" t="n"/>
      <c r="CZ307" s="588" t="n"/>
      <c r="DA307" s="588" t="n"/>
      <c r="DB307" s="588" t="n"/>
      <c r="DC307" s="588" t="n"/>
      <c r="DD307" s="588" t="n"/>
      <c r="DE307" s="588" t="n"/>
      <c r="DF307" s="588" t="n"/>
      <c r="DG307" s="588" t="n"/>
      <c r="DH307" s="588" t="n"/>
      <c r="DI307" s="588" t="n"/>
      <c r="DJ307" s="588" t="n"/>
      <c r="DK307" s="588" t="n"/>
      <c r="DL307" s="588" t="n"/>
      <c r="DM307" s="588" t="n"/>
      <c r="DN307" s="588" t="n"/>
      <c r="DO307" s="588" t="n"/>
      <c r="DP307" s="588" t="n"/>
      <c r="DQ307" s="588" t="n"/>
      <c r="DR307" s="588" t="n"/>
      <c r="DS307" s="588" t="n"/>
      <c r="DT307" s="588" t="n"/>
      <c r="DU307" s="588" t="n"/>
    </row>
    <row r="308">
      <c r="A308" s="737" t="n"/>
      <c r="B308" s="737" t="n"/>
      <c r="C308" s="737" t="n"/>
      <c r="D308" s="737" t="n"/>
      <c r="E308" s="737" t="n"/>
      <c r="F308" s="737" t="n"/>
      <c r="G308" s="737" t="n"/>
      <c r="H308" s="737" t="n"/>
      <c r="I308" s="737" t="n"/>
      <c r="J308" s="737" t="n"/>
      <c r="K308" s="737" t="n"/>
      <c r="L308" s="737" t="n"/>
      <c r="M308" s="737" t="n"/>
      <c r="N308" s="737" t="n"/>
      <c r="O308" s="737" t="n"/>
      <c r="P308" s="737" t="n"/>
      <c r="Q308" s="737" t="n"/>
      <c r="R308" s="737" t="n"/>
      <c r="S308" s="737" t="n"/>
      <c r="T308" s="737" t="n"/>
      <c r="U308" s="737" t="n"/>
      <c r="V308" s="737" t="n"/>
      <c r="W308" s="737" t="n"/>
      <c r="X308" s="737" t="n"/>
      <c r="Y308" s="737" t="n"/>
      <c r="Z308" s="737" t="n"/>
      <c r="AA308" s="737" t="n"/>
      <c r="AB308" s="737" t="n"/>
      <c r="AC308" s="737" t="n"/>
      <c r="AD308" s="737" t="n"/>
      <c r="AE308" s="737" t="n"/>
      <c r="AF308" s="737" t="n"/>
      <c r="AG308" s="737" t="n"/>
      <c r="AH308" s="737" t="n"/>
      <c r="AI308" s="737" t="n"/>
      <c r="AJ308" s="737" t="n"/>
      <c r="AK308" s="588" t="n"/>
      <c r="AL308" s="588" t="n"/>
      <c r="AM308" s="588" t="n"/>
      <c r="AN308" s="588" t="n"/>
      <c r="AO308" s="588" t="n"/>
      <c r="AP308" s="588" t="n"/>
      <c r="AQ308" s="588" t="n"/>
      <c r="AR308" s="588" t="n"/>
      <c r="AS308" s="588" t="n"/>
      <c r="AT308" s="588" t="n"/>
      <c r="AU308" s="588" t="n"/>
      <c r="AV308" s="588" t="n"/>
      <c r="AW308" s="588" t="n"/>
      <c r="AX308" s="588" t="n"/>
      <c r="AY308" s="588" t="n"/>
      <c r="AZ308" s="588" t="n"/>
      <c r="BA308" s="588" t="n"/>
      <c r="BB308" s="588" t="n"/>
      <c r="BC308" s="588" t="n"/>
      <c r="BD308" s="588" t="n"/>
      <c r="BE308" s="588" t="n"/>
      <c r="BF308" s="588" t="n"/>
      <c r="BG308" s="588" t="n"/>
      <c r="BH308" s="588" t="n"/>
      <c r="BI308" s="588" t="n"/>
      <c r="BJ308" s="588" t="n"/>
      <c r="BK308" s="588" t="n"/>
      <c r="BL308" s="588" t="n"/>
      <c r="BM308" s="588" t="n"/>
      <c r="BN308" s="588" t="n"/>
      <c r="BO308" s="588" t="n"/>
      <c r="BP308" s="588" t="n"/>
      <c r="BQ308" s="588" t="n"/>
      <c r="BR308" s="588" t="n"/>
      <c r="BS308" s="588" t="n"/>
      <c r="BT308" s="588" t="n"/>
      <c r="BU308" s="588" t="n"/>
      <c r="BV308" s="588" t="n"/>
      <c r="BW308" s="588" t="n"/>
      <c r="BX308" s="588" t="n"/>
      <c r="BY308" s="588" t="n"/>
      <c r="BZ308" s="588" t="n"/>
      <c r="CA308" s="588" t="n"/>
      <c r="CB308" s="588" t="n"/>
      <c r="CC308" s="588" t="n"/>
      <c r="CD308" s="588" t="n"/>
      <c r="CE308" s="588" t="n"/>
      <c r="CF308" s="588" t="n"/>
      <c r="CG308" s="588" t="n"/>
      <c r="CH308" s="588" t="n"/>
      <c r="CI308" s="588" t="n"/>
      <c r="CJ308" s="588" t="n"/>
      <c r="CK308" s="588" t="n"/>
      <c r="CL308" s="588" t="n"/>
      <c r="CM308" s="588" t="n"/>
      <c r="CN308" s="588" t="n"/>
      <c r="CO308" s="588" t="n"/>
      <c r="CP308" s="588" t="n"/>
      <c r="CQ308" s="588" t="n"/>
      <c r="CR308" s="588" t="n"/>
      <c r="CS308" s="588" t="n"/>
      <c r="CT308" s="588" t="n"/>
      <c r="CU308" s="588" t="n"/>
      <c r="CV308" s="588" t="n"/>
      <c r="CW308" s="588" t="n"/>
      <c r="CX308" s="588" t="n"/>
      <c r="CY308" s="588" t="n"/>
      <c r="CZ308" s="588" t="n"/>
      <c r="DA308" s="588" t="n"/>
      <c r="DB308" s="588" t="n"/>
      <c r="DC308" s="588" t="n"/>
      <c r="DD308" s="588" t="n"/>
      <c r="DE308" s="588" t="n"/>
      <c r="DF308" s="588" t="n"/>
      <c r="DG308" s="588" t="n"/>
      <c r="DH308" s="588" t="n"/>
      <c r="DI308" s="588" t="n"/>
      <c r="DJ308" s="588" t="n"/>
      <c r="DK308" s="588" t="n"/>
      <c r="DL308" s="588" t="n"/>
      <c r="DM308" s="588" t="n"/>
      <c r="DN308" s="588" t="n"/>
      <c r="DO308" s="588" t="n"/>
      <c r="DP308" s="588" t="n"/>
      <c r="DQ308" s="588" t="n"/>
      <c r="DR308" s="588" t="n"/>
      <c r="DS308" s="588" t="n"/>
      <c r="DT308" s="588" t="n"/>
      <c r="DU308" s="588" t="n"/>
    </row>
    <row r="309">
      <c r="A309" s="737" t="n"/>
      <c r="B309" s="737" t="n"/>
      <c r="C309" s="737" t="n"/>
      <c r="D309" s="737" t="n"/>
      <c r="E309" s="737" t="n"/>
      <c r="F309" s="737" t="n"/>
      <c r="G309" s="737" t="n"/>
      <c r="H309" s="737" t="n"/>
      <c r="I309" s="737" t="n"/>
      <c r="J309" s="737" t="n"/>
      <c r="K309" s="737" t="n"/>
      <c r="L309" s="737" t="n"/>
      <c r="M309" s="737" t="n"/>
      <c r="N309" s="737" t="n"/>
      <c r="O309" s="737" t="n"/>
      <c r="P309" s="737" t="n"/>
      <c r="Q309" s="737" t="n"/>
      <c r="R309" s="737" t="n"/>
      <c r="S309" s="737" t="n"/>
      <c r="T309" s="737" t="n"/>
      <c r="U309" s="737" t="n"/>
      <c r="V309" s="737" t="n"/>
      <c r="W309" s="737" t="n"/>
      <c r="X309" s="737" t="n"/>
      <c r="Y309" s="737" t="n"/>
      <c r="Z309" s="737" t="n"/>
      <c r="AA309" s="737" t="n"/>
      <c r="AB309" s="737" t="n"/>
      <c r="AC309" s="737" t="n"/>
      <c r="AD309" s="737" t="n"/>
      <c r="AE309" s="737" t="n"/>
      <c r="AF309" s="737" t="n"/>
      <c r="AG309" s="737" t="n"/>
      <c r="AH309" s="737" t="n"/>
      <c r="AI309" s="737" t="n"/>
      <c r="AJ309" s="737" t="n"/>
      <c r="AK309" s="588" t="n"/>
      <c r="AL309" s="588" t="n"/>
      <c r="AM309" s="588" t="n"/>
      <c r="AN309" s="588" t="n"/>
      <c r="AO309" s="588" t="n"/>
      <c r="AP309" s="588" t="n"/>
      <c r="AQ309" s="588" t="n"/>
      <c r="AR309" s="588" t="n"/>
      <c r="AS309" s="588" t="n"/>
      <c r="AT309" s="588" t="n"/>
      <c r="AU309" s="588" t="n"/>
      <c r="AV309" s="588" t="n"/>
      <c r="AW309" s="588" t="n"/>
      <c r="AX309" s="588" t="n"/>
      <c r="AY309" s="588" t="n"/>
      <c r="AZ309" s="588" t="n"/>
      <c r="BA309" s="588" t="n"/>
      <c r="BB309" s="588" t="n"/>
      <c r="BC309" s="588" t="n"/>
      <c r="BD309" s="588" t="n"/>
      <c r="BE309" s="588" t="n"/>
      <c r="BF309" s="588" t="n"/>
      <c r="BG309" s="588" t="n"/>
      <c r="BH309" s="588" t="n"/>
      <c r="BI309" s="588" t="n"/>
      <c r="BJ309" s="588" t="n"/>
      <c r="BK309" s="588" t="n"/>
      <c r="BL309" s="588" t="n"/>
      <c r="BM309" s="588" t="n"/>
      <c r="BN309" s="588" t="n"/>
      <c r="BO309" s="588" t="n"/>
      <c r="BP309" s="588" t="n"/>
      <c r="BQ309" s="588" t="n"/>
      <c r="BR309" s="588" t="n"/>
      <c r="BS309" s="588" t="n"/>
      <c r="BT309" s="588" t="n"/>
      <c r="BU309" s="588" t="n"/>
      <c r="BV309" s="588" t="n"/>
      <c r="BW309" s="588" t="n"/>
      <c r="BX309" s="588" t="n"/>
      <c r="BY309" s="588" t="n"/>
      <c r="BZ309" s="588" t="n"/>
      <c r="CA309" s="588" t="n"/>
      <c r="CB309" s="588" t="n"/>
      <c r="CC309" s="588" t="n"/>
      <c r="CD309" s="588" t="n"/>
      <c r="CE309" s="588" t="n"/>
      <c r="CF309" s="588" t="n"/>
      <c r="CG309" s="588" t="n"/>
      <c r="CH309" s="588" t="n"/>
      <c r="CI309" s="588" t="n"/>
      <c r="CJ309" s="588" t="n"/>
      <c r="CK309" s="588" t="n"/>
      <c r="CL309" s="588" t="n"/>
      <c r="CM309" s="588" t="n"/>
      <c r="CN309" s="588" t="n"/>
      <c r="CO309" s="588" t="n"/>
      <c r="CP309" s="588" t="n"/>
      <c r="CQ309" s="588" t="n"/>
      <c r="CR309" s="588" t="n"/>
      <c r="CS309" s="588" t="n"/>
      <c r="CT309" s="588" t="n"/>
      <c r="CU309" s="588" t="n"/>
      <c r="CV309" s="588" t="n"/>
      <c r="CW309" s="588" t="n"/>
      <c r="CX309" s="588" t="n"/>
      <c r="CY309" s="588" t="n"/>
      <c r="CZ309" s="588" t="n"/>
      <c r="DA309" s="588" t="n"/>
      <c r="DB309" s="588" t="n"/>
      <c r="DC309" s="588" t="n"/>
      <c r="DD309" s="588" t="n"/>
      <c r="DE309" s="588" t="n"/>
      <c r="DF309" s="588" t="n"/>
      <c r="DG309" s="588" t="n"/>
      <c r="DH309" s="588" t="n"/>
      <c r="DI309" s="588" t="n"/>
      <c r="DJ309" s="588" t="n"/>
      <c r="DK309" s="588" t="n"/>
      <c r="DL309" s="588" t="n"/>
      <c r="DM309" s="588" t="n"/>
      <c r="DN309" s="588" t="n"/>
      <c r="DO309" s="588" t="n"/>
      <c r="DP309" s="588" t="n"/>
      <c r="DQ309" s="588" t="n"/>
      <c r="DR309" s="588" t="n"/>
      <c r="DS309" s="588" t="n"/>
      <c r="DT309" s="588" t="n"/>
      <c r="DU309" s="588" t="n"/>
    </row>
    <row r="310">
      <c r="A310" s="737" t="n"/>
      <c r="B310" s="737" t="n"/>
      <c r="C310" s="737" t="n"/>
      <c r="D310" s="737" t="n"/>
      <c r="E310" s="737" t="n"/>
      <c r="F310" s="737" t="n"/>
      <c r="G310" s="737" t="n"/>
      <c r="H310" s="737" t="n"/>
      <c r="I310" s="737" t="n"/>
      <c r="J310" s="737" t="n"/>
      <c r="K310" s="737" t="n"/>
      <c r="L310" s="737" t="n"/>
      <c r="M310" s="737" t="n"/>
      <c r="N310" s="737" t="n"/>
      <c r="O310" s="737" t="n"/>
      <c r="P310" s="737" t="n"/>
      <c r="Q310" s="737" t="n"/>
      <c r="R310" s="737" t="n"/>
      <c r="S310" s="737" t="n"/>
      <c r="T310" s="737" t="n"/>
      <c r="U310" s="737" t="n"/>
      <c r="V310" s="737" t="n"/>
      <c r="W310" s="737" t="n"/>
      <c r="X310" s="737" t="n"/>
      <c r="Y310" s="737" t="n"/>
      <c r="Z310" s="737" t="n"/>
      <c r="AA310" s="737" t="n"/>
      <c r="AB310" s="737" t="n"/>
      <c r="AC310" s="737" t="n"/>
      <c r="AD310" s="737" t="n"/>
      <c r="AE310" s="737" t="n"/>
      <c r="AF310" s="737" t="n"/>
      <c r="AG310" s="737" t="n"/>
      <c r="AH310" s="737" t="n"/>
      <c r="AI310" s="737" t="n"/>
      <c r="AJ310" s="737" t="n"/>
      <c r="AK310" s="588" t="n"/>
      <c r="AL310" s="588" t="n"/>
      <c r="AM310" s="588" t="n"/>
      <c r="AN310" s="588" t="n"/>
      <c r="AO310" s="588" t="n"/>
      <c r="AP310" s="588" t="n"/>
      <c r="AQ310" s="588" t="n"/>
      <c r="AR310" s="588" t="n"/>
      <c r="AS310" s="588" t="n"/>
      <c r="AT310" s="588" t="n"/>
      <c r="AU310" s="588" t="n"/>
      <c r="AV310" s="588" t="n"/>
      <c r="AW310" s="588" t="n"/>
      <c r="AX310" s="588" t="n"/>
      <c r="AY310" s="588" t="n"/>
      <c r="AZ310" s="588" t="n"/>
      <c r="BA310" s="588" t="n"/>
      <c r="BB310" s="588" t="n"/>
      <c r="BC310" s="588" t="n"/>
      <c r="BD310" s="588" t="n"/>
      <c r="BE310" s="588" t="n"/>
      <c r="BF310" s="588" t="n"/>
      <c r="BG310" s="588" t="n"/>
      <c r="BH310" s="588" t="n"/>
      <c r="BI310" s="588" t="n"/>
      <c r="BJ310" s="588" t="n"/>
      <c r="BK310" s="588" t="n"/>
      <c r="BL310" s="588" t="n"/>
      <c r="BM310" s="588" t="n"/>
      <c r="BN310" s="588" t="n"/>
      <c r="BO310" s="588" t="n"/>
      <c r="BP310" s="588" t="n"/>
      <c r="BQ310" s="588" t="n"/>
      <c r="BR310" s="588" t="n"/>
      <c r="BS310" s="588" t="n"/>
      <c r="BT310" s="588" t="n"/>
      <c r="BU310" s="588" t="n"/>
      <c r="BV310" s="588" t="n"/>
      <c r="BW310" s="588" t="n"/>
      <c r="BX310" s="588" t="n"/>
      <c r="BY310" s="588" t="n"/>
      <c r="BZ310" s="588" t="n"/>
      <c r="CA310" s="588" t="n"/>
      <c r="CB310" s="588" t="n"/>
      <c r="CC310" s="588" t="n"/>
      <c r="CD310" s="588" t="n"/>
      <c r="CE310" s="588" t="n"/>
      <c r="CF310" s="588" t="n"/>
      <c r="CG310" s="588" t="n"/>
      <c r="CH310" s="588" t="n"/>
      <c r="CI310" s="588" t="n"/>
      <c r="CJ310" s="588" t="n"/>
      <c r="CK310" s="588" t="n"/>
      <c r="CL310" s="588" t="n"/>
      <c r="CM310" s="588" t="n"/>
      <c r="CN310" s="588" t="n"/>
      <c r="CO310" s="588" t="n"/>
      <c r="CP310" s="588" t="n"/>
      <c r="CQ310" s="588" t="n"/>
      <c r="CR310" s="588" t="n"/>
      <c r="CS310" s="588" t="n"/>
      <c r="CT310" s="588" t="n"/>
      <c r="CU310" s="588" t="n"/>
      <c r="CV310" s="588" t="n"/>
      <c r="CW310" s="588" t="n"/>
      <c r="CX310" s="588" t="n"/>
      <c r="CY310" s="588" t="n"/>
      <c r="CZ310" s="588" t="n"/>
      <c r="DA310" s="588" t="n"/>
      <c r="DB310" s="588" t="n"/>
      <c r="DC310" s="588" t="n"/>
      <c r="DD310" s="588" t="n"/>
      <c r="DE310" s="588" t="n"/>
      <c r="DF310" s="588" t="n"/>
      <c r="DG310" s="588" t="n"/>
      <c r="DH310" s="588" t="n"/>
      <c r="DI310" s="588" t="n"/>
      <c r="DJ310" s="588" t="n"/>
      <c r="DK310" s="588" t="n"/>
      <c r="DL310" s="588" t="n"/>
      <c r="DM310" s="588" t="n"/>
      <c r="DN310" s="588" t="n"/>
      <c r="DO310" s="588" t="n"/>
      <c r="DP310" s="588" t="n"/>
      <c r="DQ310" s="588" t="n"/>
      <c r="DR310" s="588" t="n"/>
      <c r="DS310" s="588" t="n"/>
      <c r="DT310" s="588" t="n"/>
      <c r="DU310" s="588" t="n"/>
    </row>
    <row r="311">
      <c r="A311" s="737" t="n"/>
      <c r="B311" s="737" t="n"/>
      <c r="C311" s="737" t="n"/>
      <c r="D311" s="737" t="n"/>
      <c r="E311" s="737" t="n"/>
      <c r="F311" s="737" t="n"/>
      <c r="G311" s="737" t="n"/>
      <c r="H311" s="737" t="n"/>
      <c r="I311" s="737" t="n"/>
      <c r="J311" s="737" t="n"/>
      <c r="K311" s="737" t="n"/>
      <c r="L311" s="737" t="n"/>
      <c r="M311" s="737" t="n"/>
      <c r="N311" s="737" t="n"/>
      <c r="O311" s="737" t="n"/>
      <c r="P311" s="737" t="n"/>
      <c r="Q311" s="737" t="n"/>
      <c r="R311" s="737" t="n"/>
      <c r="S311" s="737" t="n"/>
      <c r="T311" s="737" t="n"/>
      <c r="U311" s="737" t="n"/>
      <c r="V311" s="737" t="n"/>
      <c r="W311" s="737" t="n"/>
      <c r="X311" s="737" t="n"/>
      <c r="Y311" s="737" t="n"/>
      <c r="Z311" s="737" t="n"/>
      <c r="AA311" s="737" t="n"/>
      <c r="AB311" s="737" t="n"/>
      <c r="AC311" s="737" t="n"/>
      <c r="AD311" s="737" t="n"/>
      <c r="AE311" s="737" t="n"/>
      <c r="AF311" s="737" t="n"/>
      <c r="AG311" s="737" t="n"/>
      <c r="AH311" s="737" t="n"/>
      <c r="AI311" s="737" t="n"/>
      <c r="AJ311" s="737" t="n"/>
      <c r="AK311" s="588" t="n"/>
      <c r="AL311" s="588" t="n"/>
      <c r="AM311" s="588" t="n"/>
      <c r="AN311" s="588" t="n"/>
      <c r="AO311" s="588" t="n"/>
      <c r="AP311" s="588" t="n"/>
      <c r="AQ311" s="588" t="n"/>
      <c r="AR311" s="588" t="n"/>
      <c r="AS311" s="588" t="n"/>
      <c r="AT311" s="588" t="n"/>
      <c r="AU311" s="588" t="n"/>
      <c r="AV311" s="588" t="n"/>
      <c r="AW311" s="588" t="n"/>
      <c r="AX311" s="588" t="n"/>
      <c r="AY311" s="588" t="n"/>
      <c r="AZ311" s="588" t="n"/>
      <c r="BA311" s="588" t="n"/>
      <c r="BB311" s="588" t="n"/>
      <c r="BC311" s="588" t="n"/>
      <c r="BD311" s="588" t="n"/>
      <c r="BE311" s="588" t="n"/>
      <c r="BF311" s="588" t="n"/>
      <c r="BG311" s="588" t="n"/>
      <c r="BH311" s="588" t="n"/>
      <c r="BI311" s="588" t="n"/>
      <c r="BJ311" s="588" t="n"/>
      <c r="BK311" s="588" t="n"/>
      <c r="BL311" s="588" t="n"/>
      <c r="BM311" s="588" t="n"/>
      <c r="BN311" s="588" t="n"/>
      <c r="BO311" s="588" t="n"/>
      <c r="BP311" s="588" t="n"/>
      <c r="BQ311" s="588" t="n"/>
      <c r="BR311" s="588" t="n"/>
      <c r="BS311" s="588" t="n"/>
      <c r="BT311" s="588" t="n"/>
      <c r="BU311" s="588" t="n"/>
      <c r="BV311" s="588" t="n"/>
      <c r="BW311" s="588" t="n"/>
      <c r="BX311" s="588" t="n"/>
      <c r="BY311" s="588" t="n"/>
      <c r="BZ311" s="588" t="n"/>
      <c r="CA311" s="588" t="n"/>
      <c r="CB311" s="588" t="n"/>
      <c r="CC311" s="588" t="n"/>
      <c r="CD311" s="588" t="n"/>
      <c r="CE311" s="588" t="n"/>
      <c r="CF311" s="588" t="n"/>
      <c r="CG311" s="588" t="n"/>
      <c r="CH311" s="588" t="n"/>
      <c r="CI311" s="588" t="n"/>
      <c r="CJ311" s="588" t="n"/>
      <c r="CK311" s="588" t="n"/>
      <c r="CL311" s="588" t="n"/>
      <c r="CM311" s="588" t="n"/>
      <c r="CN311" s="588" t="n"/>
      <c r="CO311" s="588" t="n"/>
      <c r="CP311" s="588" t="n"/>
      <c r="CQ311" s="588" t="n"/>
      <c r="CR311" s="588" t="n"/>
      <c r="CS311" s="588" t="n"/>
      <c r="CT311" s="588" t="n"/>
      <c r="CU311" s="588" t="n"/>
      <c r="CV311" s="588" t="n"/>
      <c r="CW311" s="588" t="n"/>
      <c r="CX311" s="588" t="n"/>
      <c r="CY311" s="588" t="n"/>
      <c r="CZ311" s="588" t="n"/>
      <c r="DA311" s="588" t="n"/>
      <c r="DB311" s="588" t="n"/>
      <c r="DC311" s="588" t="n"/>
      <c r="DD311" s="588" t="n"/>
      <c r="DE311" s="588" t="n"/>
      <c r="DF311" s="588" t="n"/>
      <c r="DG311" s="588" t="n"/>
      <c r="DH311" s="588" t="n"/>
      <c r="DI311" s="588" t="n"/>
      <c r="DJ311" s="588" t="n"/>
      <c r="DK311" s="588" t="n"/>
      <c r="DL311" s="588" t="n"/>
      <c r="DM311" s="588" t="n"/>
      <c r="DN311" s="588" t="n"/>
      <c r="DO311" s="588" t="n"/>
      <c r="DP311" s="588" t="n"/>
      <c r="DQ311" s="588" t="n"/>
      <c r="DR311" s="588" t="n"/>
      <c r="DS311" s="588" t="n"/>
      <c r="DT311" s="588" t="n"/>
      <c r="DU311" s="588" t="n"/>
    </row>
    <row r="312">
      <c r="A312" s="737" t="n"/>
      <c r="B312" s="737" t="n"/>
      <c r="C312" s="737" t="n"/>
      <c r="D312" s="737" t="n"/>
      <c r="E312" s="737" t="n"/>
      <c r="F312" s="737" t="n"/>
      <c r="G312" s="737" t="n"/>
      <c r="H312" s="737" t="n"/>
      <c r="I312" s="737" t="n"/>
      <c r="J312" s="737" t="n"/>
      <c r="K312" s="737" t="n"/>
      <c r="L312" s="737" t="n"/>
      <c r="M312" s="737" t="n"/>
      <c r="N312" s="737" t="n"/>
      <c r="O312" s="737" t="n"/>
      <c r="P312" s="737" t="n"/>
      <c r="Q312" s="737" t="n"/>
      <c r="R312" s="737" t="n"/>
      <c r="S312" s="737" t="n"/>
      <c r="T312" s="737" t="n"/>
      <c r="U312" s="737" t="n"/>
      <c r="V312" s="737" t="n"/>
      <c r="W312" s="737" t="n"/>
      <c r="X312" s="737" t="n"/>
      <c r="Y312" s="737" t="n"/>
      <c r="Z312" s="737" t="n"/>
      <c r="AA312" s="737" t="n"/>
      <c r="AB312" s="737" t="n"/>
      <c r="AC312" s="737" t="n"/>
      <c r="AD312" s="737" t="n"/>
      <c r="AE312" s="737" t="n"/>
      <c r="AF312" s="737" t="n"/>
      <c r="AG312" s="737" t="n"/>
      <c r="AH312" s="737" t="n"/>
      <c r="AI312" s="737" t="n"/>
      <c r="AJ312" s="737" t="n"/>
      <c r="AK312" s="588" t="n"/>
      <c r="AL312" s="588" t="n"/>
      <c r="AM312" s="588" t="n"/>
      <c r="AN312" s="588" t="n"/>
      <c r="AO312" s="588" t="n"/>
      <c r="AP312" s="588" t="n"/>
      <c r="AQ312" s="588" t="n"/>
      <c r="AR312" s="588" t="n"/>
      <c r="AS312" s="588" t="n"/>
      <c r="AT312" s="588" t="n"/>
      <c r="AU312" s="588" t="n"/>
      <c r="AV312" s="588" t="n"/>
      <c r="AW312" s="588" t="n"/>
      <c r="AX312" s="588" t="n"/>
      <c r="AY312" s="588" t="n"/>
      <c r="AZ312" s="588" t="n"/>
      <c r="BA312" s="588" t="n"/>
      <c r="BB312" s="588" t="n"/>
      <c r="BC312" s="588" t="n"/>
      <c r="BD312" s="588" t="n"/>
      <c r="BE312" s="588" t="n"/>
      <c r="BF312" s="588" t="n"/>
      <c r="BG312" s="588" t="n"/>
      <c r="BH312" s="588" t="n"/>
      <c r="BI312" s="588" t="n"/>
      <c r="BJ312" s="588" t="n"/>
      <c r="BK312" s="588" t="n"/>
      <c r="BL312" s="588" t="n"/>
      <c r="BM312" s="588" t="n"/>
      <c r="BN312" s="588" t="n"/>
      <c r="BO312" s="588" t="n"/>
      <c r="BP312" s="588" t="n"/>
      <c r="BQ312" s="588" t="n"/>
      <c r="BR312" s="588" t="n"/>
      <c r="BS312" s="588" t="n"/>
      <c r="BT312" s="588" t="n"/>
      <c r="BU312" s="588" t="n"/>
      <c r="BV312" s="588" t="n"/>
      <c r="BW312" s="588" t="n"/>
      <c r="BX312" s="588" t="n"/>
      <c r="BY312" s="588" t="n"/>
      <c r="BZ312" s="588" t="n"/>
      <c r="CA312" s="588" t="n"/>
      <c r="CB312" s="588" t="n"/>
      <c r="CC312" s="588" t="n"/>
      <c r="CD312" s="588" t="n"/>
      <c r="CE312" s="588" t="n"/>
      <c r="CF312" s="588" t="n"/>
      <c r="CG312" s="588" t="n"/>
      <c r="CH312" s="588" t="n"/>
      <c r="CI312" s="588" t="n"/>
      <c r="CJ312" s="588" t="n"/>
      <c r="CK312" s="588" t="n"/>
      <c r="CL312" s="588" t="n"/>
      <c r="CM312" s="588" t="n"/>
      <c r="CN312" s="588" t="n"/>
      <c r="CO312" s="588" t="n"/>
      <c r="CP312" s="588" t="n"/>
      <c r="CQ312" s="588" t="n"/>
      <c r="CR312" s="588" t="n"/>
      <c r="CS312" s="588" t="n"/>
      <c r="CT312" s="588" t="n"/>
      <c r="CU312" s="588" t="n"/>
      <c r="CV312" s="588" t="n"/>
      <c r="CW312" s="588" t="n"/>
      <c r="CX312" s="588" t="n"/>
      <c r="CY312" s="588" t="n"/>
      <c r="CZ312" s="588" t="n"/>
      <c r="DA312" s="588" t="n"/>
      <c r="DB312" s="588" t="n"/>
      <c r="DC312" s="588" t="n"/>
      <c r="DD312" s="588" t="n"/>
      <c r="DE312" s="588" t="n"/>
      <c r="DF312" s="588" t="n"/>
      <c r="DG312" s="588" t="n"/>
      <c r="DH312" s="588" t="n"/>
      <c r="DI312" s="588" t="n"/>
      <c r="DJ312" s="588" t="n"/>
      <c r="DK312" s="588" t="n"/>
      <c r="DL312" s="588" t="n"/>
      <c r="DM312" s="588" t="n"/>
      <c r="DN312" s="588" t="n"/>
      <c r="DO312" s="588" t="n"/>
      <c r="DP312" s="588" t="n"/>
      <c r="DQ312" s="588" t="n"/>
      <c r="DR312" s="588" t="n"/>
      <c r="DS312" s="588" t="n"/>
      <c r="DT312" s="588" t="n"/>
      <c r="DU312" s="588" t="n"/>
    </row>
    <row r="313">
      <c r="A313" s="737" t="n"/>
      <c r="B313" s="737" t="n"/>
      <c r="C313" s="737" t="n"/>
      <c r="D313" s="737" t="n"/>
      <c r="E313" s="737" t="n"/>
      <c r="F313" s="737" t="n"/>
      <c r="G313" s="737" t="n"/>
      <c r="H313" s="737" t="n"/>
      <c r="I313" s="737" t="n"/>
      <c r="J313" s="737" t="n"/>
      <c r="K313" s="737" t="n"/>
      <c r="L313" s="737" t="n"/>
      <c r="M313" s="737" t="n"/>
      <c r="N313" s="737" t="n"/>
      <c r="O313" s="737" t="n"/>
      <c r="P313" s="737" t="n"/>
      <c r="Q313" s="737" t="n"/>
      <c r="R313" s="737" t="n"/>
      <c r="S313" s="737" t="n"/>
      <c r="T313" s="737" t="n"/>
      <c r="U313" s="737" t="n"/>
      <c r="V313" s="737" t="n"/>
      <c r="W313" s="737" t="n"/>
      <c r="X313" s="737" t="n"/>
      <c r="Y313" s="737" t="n"/>
      <c r="Z313" s="737" t="n"/>
      <c r="AA313" s="737" t="n"/>
      <c r="AB313" s="737" t="n"/>
      <c r="AC313" s="737" t="n"/>
      <c r="AD313" s="737" t="n"/>
      <c r="AE313" s="737" t="n"/>
      <c r="AF313" s="737" t="n"/>
      <c r="AG313" s="737" t="n"/>
      <c r="AH313" s="737" t="n"/>
      <c r="AI313" s="737" t="n"/>
      <c r="AJ313" s="737" t="n"/>
      <c r="AK313" s="588" t="n"/>
      <c r="AL313" s="588" t="n"/>
      <c r="AM313" s="588" t="n"/>
      <c r="AN313" s="588" t="n"/>
      <c r="AO313" s="588" t="n"/>
      <c r="AP313" s="588" t="n"/>
      <c r="AQ313" s="588" t="n"/>
      <c r="AR313" s="588" t="n"/>
      <c r="AS313" s="588" t="n"/>
      <c r="AT313" s="588" t="n"/>
      <c r="AU313" s="588" t="n"/>
      <c r="AV313" s="588" t="n"/>
      <c r="AW313" s="588" t="n"/>
      <c r="AX313" s="588" t="n"/>
      <c r="AY313" s="588" t="n"/>
      <c r="AZ313" s="588" t="n"/>
      <c r="BA313" s="588" t="n"/>
      <c r="BB313" s="588" t="n"/>
      <c r="BC313" s="588" t="n"/>
      <c r="BD313" s="588" t="n"/>
      <c r="BE313" s="588" t="n"/>
      <c r="BF313" s="588" t="n"/>
      <c r="BG313" s="588" t="n"/>
      <c r="BH313" s="588" t="n"/>
      <c r="BI313" s="588" t="n"/>
      <c r="BJ313" s="588" t="n"/>
      <c r="BK313" s="588" t="n"/>
      <c r="BL313" s="588" t="n"/>
      <c r="BM313" s="588" t="n"/>
      <c r="BN313" s="588" t="n"/>
      <c r="BO313" s="588" t="n"/>
      <c r="BP313" s="588" t="n"/>
      <c r="BQ313" s="588" t="n"/>
      <c r="BR313" s="588" t="n"/>
      <c r="BS313" s="588" t="n"/>
      <c r="BT313" s="588" t="n"/>
      <c r="BU313" s="588" t="n"/>
      <c r="BV313" s="588" t="n"/>
      <c r="BW313" s="588" t="n"/>
      <c r="BX313" s="588" t="n"/>
      <c r="BY313" s="588" t="n"/>
      <c r="BZ313" s="588" t="n"/>
      <c r="CA313" s="588" t="n"/>
      <c r="CB313" s="588" t="n"/>
      <c r="CC313" s="588" t="n"/>
      <c r="CD313" s="588" t="n"/>
      <c r="CE313" s="588" t="n"/>
      <c r="CF313" s="588" t="n"/>
      <c r="CG313" s="588" t="n"/>
      <c r="CH313" s="588" t="n"/>
      <c r="CI313" s="588" t="n"/>
      <c r="CJ313" s="588" t="n"/>
      <c r="CK313" s="588" t="n"/>
      <c r="CL313" s="588" t="n"/>
      <c r="CM313" s="588" t="n"/>
      <c r="CN313" s="588" t="n"/>
      <c r="CO313" s="588" t="n"/>
      <c r="CP313" s="588" t="n"/>
      <c r="CQ313" s="588" t="n"/>
      <c r="CR313" s="588" t="n"/>
      <c r="CS313" s="588" t="n"/>
      <c r="CT313" s="588" t="n"/>
      <c r="CU313" s="588" t="n"/>
      <c r="CV313" s="588" t="n"/>
      <c r="CW313" s="588" t="n"/>
      <c r="CX313" s="588" t="n"/>
      <c r="CY313" s="588" t="n"/>
      <c r="CZ313" s="588" t="n"/>
      <c r="DA313" s="588" t="n"/>
      <c r="DB313" s="588" t="n"/>
      <c r="DC313" s="588" t="n"/>
      <c r="DD313" s="588" t="n"/>
      <c r="DE313" s="588" t="n"/>
      <c r="DF313" s="588" t="n"/>
      <c r="DG313" s="588" t="n"/>
      <c r="DH313" s="588" t="n"/>
      <c r="DI313" s="588" t="n"/>
      <c r="DJ313" s="588" t="n"/>
      <c r="DK313" s="588" t="n"/>
      <c r="DL313" s="588" t="n"/>
      <c r="DM313" s="588" t="n"/>
      <c r="DN313" s="588" t="n"/>
      <c r="DO313" s="588" t="n"/>
      <c r="DP313" s="588" t="n"/>
      <c r="DQ313" s="588" t="n"/>
      <c r="DR313" s="588" t="n"/>
      <c r="DS313" s="588" t="n"/>
      <c r="DT313" s="588" t="n"/>
      <c r="DU313" s="588" t="n"/>
    </row>
    <row r="314">
      <c r="A314" s="737" t="n"/>
      <c r="B314" s="737" t="n"/>
      <c r="C314" s="737" t="n"/>
      <c r="D314" s="737" t="n"/>
      <c r="E314" s="737" t="n"/>
      <c r="F314" s="737" t="n"/>
      <c r="G314" s="737" t="n"/>
      <c r="H314" s="737" t="n"/>
      <c r="I314" s="737" t="n"/>
      <c r="J314" s="737" t="n"/>
      <c r="K314" s="737" t="n"/>
      <c r="L314" s="737" t="n"/>
      <c r="M314" s="737" t="n"/>
      <c r="N314" s="737" t="n"/>
      <c r="O314" s="737" t="n"/>
      <c r="P314" s="737" t="n"/>
      <c r="Q314" s="737" t="n"/>
      <c r="R314" s="737" t="n"/>
      <c r="S314" s="737" t="n"/>
      <c r="T314" s="737" t="n"/>
      <c r="U314" s="737" t="n"/>
      <c r="V314" s="737" t="n"/>
      <c r="W314" s="737" t="n"/>
      <c r="X314" s="737" t="n"/>
      <c r="Y314" s="737" t="n"/>
      <c r="Z314" s="737" t="n"/>
      <c r="AA314" s="737" t="n"/>
      <c r="AB314" s="737" t="n"/>
      <c r="AC314" s="737" t="n"/>
      <c r="AD314" s="737" t="n"/>
      <c r="AE314" s="737" t="n"/>
      <c r="AF314" s="737" t="n"/>
      <c r="AG314" s="737" t="n"/>
      <c r="AH314" s="737" t="n"/>
      <c r="AI314" s="737" t="n"/>
      <c r="AJ314" s="737" t="n"/>
      <c r="AK314" s="588" t="n"/>
      <c r="AL314" s="588" t="n"/>
      <c r="AM314" s="588" t="n"/>
      <c r="AN314" s="588" t="n"/>
      <c r="AO314" s="588" t="n"/>
      <c r="AP314" s="588" t="n"/>
      <c r="AQ314" s="588" t="n"/>
      <c r="AR314" s="588" t="n"/>
      <c r="AS314" s="588" t="n"/>
      <c r="AT314" s="588" t="n"/>
      <c r="AU314" s="588" t="n"/>
      <c r="AV314" s="588" t="n"/>
      <c r="AW314" s="588" t="n"/>
      <c r="AX314" s="588" t="n"/>
      <c r="AY314" s="588" t="n"/>
      <c r="AZ314" s="588" t="n"/>
      <c r="BA314" s="588" t="n"/>
      <c r="BB314" s="588" t="n"/>
      <c r="BC314" s="588" t="n"/>
      <c r="BD314" s="588" t="n"/>
      <c r="BE314" s="588" t="n"/>
      <c r="BF314" s="588" t="n"/>
      <c r="BG314" s="588" t="n"/>
      <c r="BH314" s="588" t="n"/>
      <c r="BI314" s="588" t="n"/>
      <c r="BJ314" s="588" t="n"/>
      <c r="BK314" s="588" t="n"/>
      <c r="BL314" s="588" t="n"/>
      <c r="BM314" s="588" t="n"/>
      <c r="BN314" s="588" t="n"/>
      <c r="BO314" s="588" t="n"/>
      <c r="BP314" s="588" t="n"/>
      <c r="BQ314" s="588" t="n"/>
      <c r="BR314" s="588" t="n"/>
      <c r="BS314" s="588" t="n"/>
      <c r="BT314" s="588" t="n"/>
      <c r="BU314" s="588" t="n"/>
      <c r="BV314" s="588" t="n"/>
      <c r="BW314" s="588" t="n"/>
      <c r="BX314" s="588" t="n"/>
      <c r="BY314" s="588" t="n"/>
      <c r="BZ314" s="588" t="n"/>
      <c r="CA314" s="588" t="n"/>
      <c r="CB314" s="588" t="n"/>
      <c r="CC314" s="588" t="n"/>
      <c r="CD314" s="588" t="n"/>
      <c r="CE314" s="588" t="n"/>
      <c r="CF314" s="588" t="n"/>
      <c r="CG314" s="588" t="n"/>
      <c r="CH314" s="588" t="n"/>
      <c r="CI314" s="588" t="n"/>
      <c r="CJ314" s="588" t="n"/>
      <c r="CK314" s="588" t="n"/>
      <c r="CL314" s="588" t="n"/>
      <c r="CM314" s="588" t="n"/>
      <c r="CN314" s="588" t="n"/>
      <c r="CO314" s="588" t="n"/>
      <c r="CP314" s="588" t="n"/>
      <c r="CQ314" s="588" t="n"/>
      <c r="CR314" s="588" t="n"/>
      <c r="CS314" s="588" t="n"/>
      <c r="CT314" s="588" t="n"/>
      <c r="CU314" s="588" t="n"/>
      <c r="CV314" s="588" t="n"/>
      <c r="CW314" s="588" t="n"/>
      <c r="CX314" s="588" t="n"/>
      <c r="CY314" s="588" t="n"/>
      <c r="CZ314" s="588" t="n"/>
      <c r="DA314" s="588" t="n"/>
      <c r="DB314" s="588" t="n"/>
      <c r="DC314" s="588" t="n"/>
      <c r="DD314" s="588" t="n"/>
      <c r="DE314" s="588" t="n"/>
      <c r="DF314" s="588" t="n"/>
      <c r="DG314" s="588" t="n"/>
      <c r="DH314" s="588" t="n"/>
      <c r="DI314" s="588" t="n"/>
      <c r="DJ314" s="588" t="n"/>
      <c r="DK314" s="588" t="n"/>
      <c r="DL314" s="588" t="n"/>
      <c r="DM314" s="588" t="n"/>
      <c r="DN314" s="588" t="n"/>
      <c r="DO314" s="588" t="n"/>
      <c r="DP314" s="588" t="n"/>
      <c r="DQ314" s="588" t="n"/>
      <c r="DR314" s="588" t="n"/>
      <c r="DS314" s="588" t="n"/>
      <c r="DT314" s="588" t="n"/>
      <c r="DU314" s="588" t="n"/>
    </row>
    <row r="315">
      <c r="A315" s="737" t="n"/>
      <c r="B315" s="737" t="n"/>
      <c r="C315" s="737" t="n"/>
      <c r="D315" s="737" t="n"/>
      <c r="E315" s="737" t="n"/>
      <c r="F315" s="737" t="n"/>
      <c r="G315" s="737" t="n"/>
      <c r="H315" s="737" t="n"/>
      <c r="I315" s="737" t="n"/>
      <c r="J315" s="737" t="n"/>
      <c r="K315" s="737" t="n"/>
      <c r="L315" s="737" t="n"/>
      <c r="M315" s="737" t="n"/>
      <c r="N315" s="737" t="n"/>
      <c r="O315" s="737" t="n"/>
      <c r="P315" s="737" t="n"/>
      <c r="Q315" s="737" t="n"/>
      <c r="R315" s="737" t="n"/>
      <c r="S315" s="737" t="n"/>
      <c r="T315" s="737" t="n"/>
      <c r="U315" s="737" t="n"/>
      <c r="V315" s="737" t="n"/>
      <c r="W315" s="737" t="n"/>
      <c r="X315" s="737" t="n"/>
      <c r="Y315" s="737" t="n"/>
      <c r="Z315" s="737" t="n"/>
      <c r="AA315" s="737" t="n"/>
      <c r="AB315" s="737" t="n"/>
      <c r="AC315" s="737" t="n"/>
      <c r="AD315" s="737" t="n"/>
      <c r="AE315" s="737" t="n"/>
      <c r="AF315" s="737" t="n"/>
      <c r="AG315" s="737" t="n"/>
      <c r="AH315" s="737" t="n"/>
      <c r="AI315" s="737" t="n"/>
      <c r="AJ315" s="737" t="n"/>
      <c r="AK315" s="588" t="n"/>
      <c r="AL315" s="588" t="n"/>
      <c r="AM315" s="588" t="n"/>
      <c r="AN315" s="588" t="n"/>
      <c r="AO315" s="588" t="n"/>
      <c r="AP315" s="588" t="n"/>
      <c r="AQ315" s="588" t="n"/>
      <c r="AR315" s="588" t="n"/>
      <c r="AS315" s="588" t="n"/>
      <c r="AT315" s="588" t="n"/>
      <c r="AU315" s="588" t="n"/>
      <c r="AV315" s="588" t="n"/>
      <c r="AW315" s="588" t="n"/>
      <c r="AX315" s="588" t="n"/>
      <c r="AY315" s="588" t="n"/>
      <c r="AZ315" s="588" t="n"/>
      <c r="BA315" s="588" t="n"/>
      <c r="BB315" s="588" t="n"/>
      <c r="BC315" s="588" t="n"/>
      <c r="BD315" s="588" t="n"/>
      <c r="BE315" s="588" t="n"/>
      <c r="BF315" s="588" t="n"/>
      <c r="BG315" s="588" t="n"/>
      <c r="BH315" s="588" t="n"/>
      <c r="BI315" s="588" t="n"/>
      <c r="BJ315" s="588" t="n"/>
      <c r="BK315" s="588" t="n"/>
      <c r="BL315" s="588" t="n"/>
      <c r="BM315" s="588" t="n"/>
      <c r="BN315" s="588" t="n"/>
      <c r="BO315" s="588" t="n"/>
      <c r="BP315" s="588" t="n"/>
      <c r="BQ315" s="588" t="n"/>
      <c r="BR315" s="588" t="n"/>
      <c r="BS315" s="588" t="n"/>
      <c r="BT315" s="588" t="n"/>
      <c r="BU315" s="588" t="n"/>
      <c r="BV315" s="588" t="n"/>
      <c r="BW315" s="588" t="n"/>
      <c r="BX315" s="588" t="n"/>
      <c r="BY315" s="588" t="n"/>
      <c r="BZ315" s="588" t="n"/>
      <c r="CA315" s="588" t="n"/>
      <c r="CB315" s="588" t="n"/>
      <c r="CC315" s="588" t="n"/>
      <c r="CD315" s="588" t="n"/>
      <c r="CE315" s="588" t="n"/>
      <c r="CF315" s="588" t="n"/>
      <c r="CG315" s="588" t="n"/>
      <c r="CH315" s="588" t="n"/>
      <c r="CI315" s="588" t="n"/>
      <c r="CJ315" s="588" t="n"/>
      <c r="CK315" s="588" t="n"/>
      <c r="CL315" s="588" t="n"/>
      <c r="CM315" s="588" t="n"/>
      <c r="CN315" s="588" t="n"/>
      <c r="CO315" s="588" t="n"/>
      <c r="CP315" s="588" t="n"/>
      <c r="CQ315" s="588" t="n"/>
      <c r="CR315" s="588" t="n"/>
      <c r="CS315" s="588" t="n"/>
      <c r="CT315" s="588" t="n"/>
      <c r="CU315" s="588" t="n"/>
      <c r="CV315" s="588" t="n"/>
      <c r="CW315" s="588" t="n"/>
      <c r="CX315" s="588" t="n"/>
      <c r="CY315" s="588" t="n"/>
      <c r="CZ315" s="588" t="n"/>
      <c r="DA315" s="588" t="n"/>
      <c r="DB315" s="588" t="n"/>
      <c r="DC315" s="588" t="n"/>
      <c r="DD315" s="588" t="n"/>
      <c r="DE315" s="588" t="n"/>
      <c r="DF315" s="588" t="n"/>
      <c r="DG315" s="588" t="n"/>
      <c r="DH315" s="588" t="n"/>
      <c r="DI315" s="588" t="n"/>
      <c r="DJ315" s="588" t="n"/>
      <c r="DK315" s="588" t="n"/>
      <c r="DL315" s="588" t="n"/>
      <c r="DM315" s="588" t="n"/>
      <c r="DN315" s="588" t="n"/>
      <c r="DO315" s="588" t="n"/>
      <c r="DP315" s="588" t="n"/>
      <c r="DQ315" s="588" t="n"/>
      <c r="DR315" s="588" t="n"/>
      <c r="DS315" s="588" t="n"/>
      <c r="DT315" s="588" t="n"/>
      <c r="DU315" s="588" t="n"/>
    </row>
    <row r="316">
      <c r="A316" s="737" t="n"/>
      <c r="B316" s="737" t="n"/>
      <c r="C316" s="737" t="n"/>
      <c r="D316" s="737" t="n"/>
      <c r="E316" s="737" t="n"/>
      <c r="F316" s="737" t="n"/>
      <c r="G316" s="737" t="n"/>
      <c r="H316" s="737" t="n"/>
      <c r="I316" s="737" t="n"/>
      <c r="J316" s="737" t="n"/>
      <c r="K316" s="737" t="n"/>
      <c r="L316" s="737" t="n"/>
      <c r="M316" s="737" t="n"/>
      <c r="N316" s="737" t="n"/>
      <c r="O316" s="737" t="n"/>
      <c r="P316" s="737" t="n"/>
      <c r="Q316" s="737" t="n"/>
      <c r="R316" s="737" t="n"/>
      <c r="S316" s="737" t="n"/>
      <c r="T316" s="737" t="n"/>
      <c r="U316" s="737" t="n"/>
      <c r="V316" s="737" t="n"/>
      <c r="W316" s="737" t="n"/>
      <c r="X316" s="737" t="n"/>
      <c r="Y316" s="737" t="n"/>
      <c r="Z316" s="737" t="n"/>
      <c r="AA316" s="737" t="n"/>
      <c r="AB316" s="737" t="n"/>
      <c r="AC316" s="737" t="n"/>
      <c r="AD316" s="737" t="n"/>
      <c r="AE316" s="737" t="n"/>
      <c r="AF316" s="737" t="n"/>
      <c r="AG316" s="737" t="n"/>
      <c r="AH316" s="737" t="n"/>
      <c r="AI316" s="737" t="n"/>
      <c r="AJ316" s="737" t="n"/>
      <c r="AK316" s="588" t="n"/>
      <c r="AL316" s="588" t="n"/>
      <c r="AM316" s="588" t="n"/>
      <c r="AN316" s="588" t="n"/>
      <c r="AO316" s="588" t="n"/>
      <c r="AP316" s="588" t="n"/>
      <c r="AQ316" s="588" t="n"/>
      <c r="AR316" s="588" t="n"/>
      <c r="AS316" s="588" t="n"/>
      <c r="AT316" s="588" t="n"/>
      <c r="AU316" s="588" t="n"/>
      <c r="AV316" s="588" t="n"/>
      <c r="AW316" s="588" t="n"/>
      <c r="AX316" s="588" t="n"/>
      <c r="AY316" s="588" t="n"/>
      <c r="AZ316" s="588" t="n"/>
      <c r="BA316" s="588" t="n"/>
      <c r="BB316" s="588" t="n"/>
      <c r="BC316" s="588" t="n"/>
      <c r="BD316" s="588" t="n"/>
      <c r="BE316" s="588" t="n"/>
      <c r="BF316" s="588" t="n"/>
      <c r="BG316" s="588" t="n"/>
      <c r="BH316" s="588" t="n"/>
      <c r="BI316" s="588" t="n"/>
      <c r="BJ316" s="588" t="n"/>
      <c r="BK316" s="588" t="n"/>
      <c r="BL316" s="588" t="n"/>
      <c r="BM316" s="588" t="n"/>
      <c r="BN316" s="588" t="n"/>
      <c r="BO316" s="588" t="n"/>
      <c r="BP316" s="588" t="n"/>
      <c r="BQ316" s="588" t="n"/>
      <c r="BR316" s="588" t="n"/>
      <c r="BS316" s="588" t="n"/>
      <c r="BT316" s="588" t="n"/>
      <c r="BU316" s="588" t="n"/>
      <c r="BV316" s="588" t="n"/>
      <c r="BW316" s="588" t="n"/>
      <c r="BX316" s="588" t="n"/>
      <c r="BY316" s="588" t="n"/>
      <c r="BZ316" s="588" t="n"/>
      <c r="CA316" s="588" t="n"/>
      <c r="CB316" s="588" t="n"/>
      <c r="CC316" s="588" t="n"/>
      <c r="CD316" s="588" t="n"/>
      <c r="CE316" s="588" t="n"/>
      <c r="CF316" s="588" t="n"/>
      <c r="CG316" s="588" t="n"/>
      <c r="CH316" s="588" t="n"/>
      <c r="CI316" s="588" t="n"/>
      <c r="CJ316" s="588" t="n"/>
      <c r="CK316" s="588" t="n"/>
      <c r="CL316" s="588" t="n"/>
      <c r="CM316" s="588" t="n"/>
      <c r="CN316" s="588" t="n"/>
      <c r="CO316" s="588" t="n"/>
      <c r="CP316" s="588" t="n"/>
      <c r="CQ316" s="588" t="n"/>
      <c r="CR316" s="588" t="n"/>
      <c r="CS316" s="588" t="n"/>
      <c r="CT316" s="588" t="n"/>
      <c r="CU316" s="588" t="n"/>
      <c r="CV316" s="588" t="n"/>
      <c r="CW316" s="588" t="n"/>
      <c r="CX316" s="588" t="n"/>
      <c r="CY316" s="588" t="n"/>
      <c r="CZ316" s="588" t="n"/>
      <c r="DA316" s="588" t="n"/>
      <c r="DB316" s="588" t="n"/>
      <c r="DC316" s="588" t="n"/>
      <c r="DD316" s="588" t="n"/>
      <c r="DE316" s="588" t="n"/>
      <c r="DF316" s="588" t="n"/>
      <c r="DG316" s="588" t="n"/>
      <c r="DH316" s="588" t="n"/>
      <c r="DI316" s="588" t="n"/>
      <c r="DJ316" s="588" t="n"/>
      <c r="DK316" s="588" t="n"/>
      <c r="DL316" s="588" t="n"/>
      <c r="DM316" s="588" t="n"/>
      <c r="DN316" s="588" t="n"/>
      <c r="DO316" s="588" t="n"/>
      <c r="DP316" s="588" t="n"/>
      <c r="DQ316" s="588" t="n"/>
      <c r="DR316" s="588" t="n"/>
      <c r="DS316" s="588" t="n"/>
      <c r="DT316" s="588" t="n"/>
      <c r="DU316" s="588" t="n"/>
    </row>
    <row r="317">
      <c r="A317" s="737" t="n"/>
      <c r="B317" s="737" t="n"/>
      <c r="C317" s="737" t="n"/>
      <c r="D317" s="737" t="n"/>
      <c r="E317" s="737" t="n"/>
      <c r="F317" s="737" t="n"/>
      <c r="G317" s="737" t="n"/>
      <c r="H317" s="737" t="n"/>
      <c r="I317" s="737" t="n"/>
      <c r="J317" s="737" t="n"/>
      <c r="K317" s="737" t="n"/>
      <c r="L317" s="737" t="n"/>
      <c r="M317" s="737" t="n"/>
      <c r="N317" s="737" t="n"/>
      <c r="O317" s="737" t="n"/>
      <c r="P317" s="737" t="n"/>
      <c r="Q317" s="737" t="n"/>
      <c r="R317" s="737" t="n"/>
      <c r="S317" s="737" t="n"/>
      <c r="T317" s="737" t="n"/>
      <c r="U317" s="737" t="n"/>
      <c r="V317" s="737" t="n"/>
      <c r="W317" s="737" t="n"/>
      <c r="X317" s="737" t="n"/>
      <c r="Y317" s="737" t="n"/>
      <c r="Z317" s="737" t="n"/>
      <c r="AA317" s="737" t="n"/>
      <c r="AB317" s="737" t="n"/>
      <c r="AC317" s="737" t="n"/>
      <c r="AD317" s="737" t="n"/>
      <c r="AE317" s="737" t="n"/>
      <c r="AF317" s="737" t="n"/>
      <c r="AG317" s="737" t="n"/>
      <c r="AH317" s="737" t="n"/>
      <c r="AI317" s="737" t="n"/>
      <c r="AJ317" s="737" t="n"/>
      <c r="AK317" s="588" t="n"/>
      <c r="AL317" s="588" t="n"/>
      <c r="AM317" s="588" t="n"/>
      <c r="AN317" s="588" t="n"/>
      <c r="AO317" s="588" t="n"/>
      <c r="AP317" s="588" t="n"/>
      <c r="AQ317" s="588" t="n"/>
      <c r="AR317" s="588" t="n"/>
      <c r="AS317" s="588" t="n"/>
      <c r="AT317" s="588" t="n"/>
      <c r="AU317" s="588" t="n"/>
      <c r="AV317" s="588" t="n"/>
      <c r="AW317" s="588" t="n"/>
      <c r="AX317" s="588" t="n"/>
      <c r="AY317" s="588" t="n"/>
      <c r="AZ317" s="588" t="n"/>
      <c r="BA317" s="588" t="n"/>
      <c r="BB317" s="588" t="n"/>
      <c r="BC317" s="588" t="n"/>
      <c r="BD317" s="588" t="n"/>
      <c r="BE317" s="588" t="n"/>
      <c r="BF317" s="588" t="n"/>
      <c r="BG317" s="588" t="n"/>
      <c r="BH317" s="588" t="n"/>
      <c r="BI317" s="588" t="n"/>
      <c r="BJ317" s="588" t="n"/>
      <c r="BK317" s="588" t="n"/>
      <c r="BL317" s="588" t="n"/>
      <c r="BM317" s="588" t="n"/>
      <c r="BN317" s="588" t="n"/>
      <c r="BO317" s="588" t="n"/>
      <c r="BP317" s="588" t="n"/>
      <c r="BQ317" s="588" t="n"/>
      <c r="BR317" s="588" t="n"/>
      <c r="BS317" s="588" t="n"/>
      <c r="BT317" s="588" t="n"/>
      <c r="BU317" s="588" t="n"/>
      <c r="BV317" s="588" t="n"/>
      <c r="BW317" s="588" t="n"/>
      <c r="BX317" s="588" t="n"/>
      <c r="BY317" s="588" t="n"/>
      <c r="BZ317" s="588" t="n"/>
      <c r="CA317" s="588" t="n"/>
      <c r="CB317" s="588" t="n"/>
      <c r="CC317" s="588" t="n"/>
      <c r="CD317" s="588" t="n"/>
      <c r="CE317" s="588" t="n"/>
      <c r="CF317" s="588" t="n"/>
      <c r="CG317" s="588" t="n"/>
      <c r="CH317" s="588" t="n"/>
      <c r="CI317" s="588" t="n"/>
      <c r="CJ317" s="588" t="n"/>
      <c r="CK317" s="588" t="n"/>
      <c r="CL317" s="588" t="n"/>
      <c r="CM317" s="588" t="n"/>
      <c r="CN317" s="588" t="n"/>
      <c r="CO317" s="588" t="n"/>
      <c r="CP317" s="588" t="n"/>
      <c r="CQ317" s="588" t="n"/>
      <c r="CR317" s="588" t="n"/>
      <c r="CS317" s="588" t="n"/>
      <c r="CT317" s="588" t="n"/>
      <c r="CU317" s="588" t="n"/>
      <c r="CV317" s="588" t="n"/>
      <c r="CW317" s="588" t="n"/>
      <c r="CX317" s="588" t="n"/>
      <c r="CY317" s="588" t="n"/>
      <c r="CZ317" s="588" t="n"/>
      <c r="DA317" s="588" t="n"/>
      <c r="DB317" s="588" t="n"/>
      <c r="DC317" s="588" t="n"/>
      <c r="DD317" s="588" t="n"/>
      <c r="DE317" s="588" t="n"/>
      <c r="DF317" s="588" t="n"/>
      <c r="DG317" s="588" t="n"/>
      <c r="DH317" s="588" t="n"/>
      <c r="DI317" s="588" t="n"/>
      <c r="DJ317" s="588" t="n"/>
      <c r="DK317" s="588" t="n"/>
      <c r="DL317" s="588" t="n"/>
      <c r="DM317" s="588" t="n"/>
      <c r="DN317" s="588" t="n"/>
      <c r="DO317" s="588" t="n"/>
      <c r="DP317" s="588" t="n"/>
      <c r="DQ317" s="588" t="n"/>
      <c r="DR317" s="588" t="n"/>
      <c r="DS317" s="588" t="n"/>
      <c r="DT317" s="588" t="n"/>
      <c r="DU317" s="588" t="n"/>
    </row>
    <row r="318">
      <c r="A318" s="737" t="n"/>
      <c r="B318" s="737" t="n"/>
      <c r="C318" s="737" t="n"/>
      <c r="D318" s="737" t="n"/>
      <c r="E318" s="737" t="n"/>
      <c r="F318" s="737" t="n"/>
      <c r="G318" s="737" t="n"/>
      <c r="H318" s="737" t="n"/>
      <c r="I318" s="737" t="n"/>
      <c r="J318" s="737" t="n"/>
      <c r="K318" s="737" t="n"/>
      <c r="L318" s="737" t="n"/>
      <c r="M318" s="737" t="n"/>
      <c r="N318" s="737" t="n"/>
      <c r="O318" s="737" t="n"/>
      <c r="P318" s="737" t="n"/>
      <c r="Q318" s="737" t="n"/>
      <c r="R318" s="737" t="n"/>
      <c r="S318" s="737" t="n"/>
      <c r="T318" s="737" t="n"/>
      <c r="U318" s="737" t="n"/>
      <c r="V318" s="737" t="n"/>
      <c r="W318" s="737" t="n"/>
      <c r="X318" s="737" t="n"/>
      <c r="Y318" s="737" t="n"/>
      <c r="Z318" s="737" t="n"/>
      <c r="AA318" s="737" t="n"/>
      <c r="AB318" s="737" t="n"/>
      <c r="AC318" s="737" t="n"/>
      <c r="AD318" s="737" t="n"/>
      <c r="AE318" s="737" t="n"/>
      <c r="AF318" s="737" t="n"/>
      <c r="AG318" s="737" t="n"/>
      <c r="AH318" s="737" t="n"/>
      <c r="AI318" s="737" t="n"/>
      <c r="AJ318" s="737" t="n"/>
      <c r="AK318" s="588" t="n"/>
      <c r="AL318" s="588" t="n"/>
      <c r="AM318" s="588" t="n"/>
      <c r="AN318" s="588" t="n"/>
      <c r="AO318" s="588" t="n"/>
      <c r="AP318" s="588" t="n"/>
      <c r="AQ318" s="588" t="n"/>
      <c r="AR318" s="588" t="n"/>
      <c r="AS318" s="588" t="n"/>
      <c r="AT318" s="588" t="n"/>
      <c r="AU318" s="588" t="n"/>
      <c r="AV318" s="588" t="n"/>
      <c r="AW318" s="588" t="n"/>
      <c r="AX318" s="588" t="n"/>
      <c r="AY318" s="588" t="n"/>
      <c r="AZ318" s="588" t="n"/>
      <c r="BA318" s="588" t="n"/>
      <c r="BB318" s="588" t="n"/>
      <c r="BC318" s="588" t="n"/>
      <c r="BD318" s="588" t="n"/>
      <c r="BE318" s="588" t="n"/>
      <c r="BF318" s="588" t="n"/>
      <c r="BG318" s="588" t="n"/>
      <c r="BH318" s="588" t="n"/>
      <c r="BI318" s="588" t="n"/>
      <c r="BJ318" s="588" t="n"/>
      <c r="BK318" s="588" t="n"/>
      <c r="BL318" s="588" t="n"/>
      <c r="BM318" s="588" t="n"/>
      <c r="BN318" s="588" t="n"/>
      <c r="BO318" s="588" t="n"/>
      <c r="BP318" s="588" t="n"/>
      <c r="BQ318" s="588" t="n"/>
      <c r="BR318" s="588" t="n"/>
      <c r="BS318" s="588" t="n"/>
      <c r="BT318" s="588" t="n"/>
      <c r="BU318" s="588" t="n"/>
      <c r="BV318" s="588" t="n"/>
      <c r="BW318" s="588" t="n"/>
      <c r="BX318" s="588" t="n"/>
      <c r="BY318" s="588" t="n"/>
      <c r="BZ318" s="588" t="n"/>
      <c r="CA318" s="588" t="n"/>
      <c r="CB318" s="588" t="n"/>
      <c r="CC318" s="588" t="n"/>
      <c r="CD318" s="588" t="n"/>
      <c r="CE318" s="588" t="n"/>
      <c r="CF318" s="588" t="n"/>
      <c r="CG318" s="588" t="n"/>
      <c r="CH318" s="588" t="n"/>
      <c r="CI318" s="588" t="n"/>
      <c r="CJ318" s="588" t="n"/>
      <c r="CK318" s="588" t="n"/>
      <c r="CL318" s="588" t="n"/>
      <c r="CM318" s="588" t="n"/>
      <c r="CN318" s="588" t="n"/>
      <c r="CO318" s="588" t="n"/>
      <c r="CP318" s="588" t="n"/>
      <c r="CQ318" s="588" t="n"/>
      <c r="CR318" s="588" t="n"/>
      <c r="CS318" s="588" t="n"/>
      <c r="CT318" s="588" t="n"/>
      <c r="CU318" s="588" t="n"/>
      <c r="CV318" s="588" t="n"/>
      <c r="CW318" s="588" t="n"/>
      <c r="CX318" s="588" t="n"/>
      <c r="CY318" s="588" t="n"/>
      <c r="CZ318" s="588" t="n"/>
      <c r="DA318" s="588" t="n"/>
      <c r="DB318" s="588" t="n"/>
      <c r="DC318" s="588" t="n"/>
      <c r="DD318" s="588" t="n"/>
      <c r="DE318" s="588" t="n"/>
      <c r="DF318" s="588" t="n"/>
      <c r="DG318" s="588" t="n"/>
      <c r="DH318" s="588" t="n"/>
      <c r="DI318" s="588" t="n"/>
      <c r="DJ318" s="588" t="n"/>
      <c r="DK318" s="588" t="n"/>
      <c r="DL318" s="588" t="n"/>
      <c r="DM318" s="588" t="n"/>
      <c r="DN318" s="588" t="n"/>
      <c r="DO318" s="588" t="n"/>
      <c r="DP318" s="588" t="n"/>
      <c r="DQ318" s="588" t="n"/>
      <c r="DR318" s="588" t="n"/>
      <c r="DS318" s="588" t="n"/>
      <c r="DT318" s="588" t="n"/>
      <c r="DU318" s="588" t="n"/>
    </row>
    <row r="319">
      <c r="A319" s="737" t="n"/>
      <c r="B319" s="737" t="n"/>
      <c r="C319" s="737" t="n"/>
      <c r="D319" s="737" t="n"/>
      <c r="E319" s="737" t="n"/>
      <c r="F319" s="737" t="n"/>
      <c r="G319" s="737" t="n"/>
      <c r="H319" s="737" t="n"/>
      <c r="I319" s="737" t="n"/>
      <c r="J319" s="737" t="n"/>
      <c r="K319" s="737" t="n"/>
      <c r="L319" s="737" t="n"/>
      <c r="M319" s="737" t="n"/>
      <c r="N319" s="737" t="n"/>
      <c r="O319" s="737" t="n"/>
      <c r="P319" s="737" t="n"/>
      <c r="Q319" s="737" t="n"/>
      <c r="R319" s="737" t="n"/>
      <c r="S319" s="737" t="n"/>
      <c r="T319" s="737" t="n"/>
      <c r="U319" s="737" t="n"/>
      <c r="V319" s="737" t="n"/>
      <c r="W319" s="737" t="n"/>
      <c r="X319" s="737" t="n"/>
      <c r="Y319" s="737" t="n"/>
      <c r="Z319" s="737" t="n"/>
      <c r="AA319" s="737" t="n"/>
      <c r="AB319" s="737" t="n"/>
      <c r="AC319" s="737" t="n"/>
      <c r="AD319" s="737" t="n"/>
      <c r="AE319" s="737" t="n"/>
      <c r="AF319" s="737" t="n"/>
      <c r="AG319" s="737" t="n"/>
      <c r="AH319" s="737" t="n"/>
      <c r="AI319" s="737" t="n"/>
      <c r="AJ319" s="737" t="n"/>
      <c r="AK319" s="588" t="n"/>
      <c r="AL319" s="588" t="n"/>
      <c r="AM319" s="588" t="n"/>
      <c r="AN319" s="588" t="n"/>
      <c r="AO319" s="588" t="n"/>
      <c r="AP319" s="588" t="n"/>
      <c r="AQ319" s="588" t="n"/>
      <c r="AR319" s="588" t="n"/>
      <c r="AS319" s="588" t="n"/>
      <c r="AT319" s="588" t="n"/>
      <c r="AU319" s="588" t="n"/>
      <c r="AV319" s="588" t="n"/>
      <c r="AW319" s="588" t="n"/>
      <c r="AX319" s="588" t="n"/>
      <c r="AY319" s="588" t="n"/>
      <c r="AZ319" s="588" t="n"/>
      <c r="BA319" s="588" t="n"/>
      <c r="BB319" s="588" t="n"/>
      <c r="BC319" s="588" t="n"/>
      <c r="BD319" s="588" t="n"/>
      <c r="BE319" s="588" t="n"/>
      <c r="BF319" s="588" t="n"/>
      <c r="BG319" s="588" t="n"/>
      <c r="BH319" s="588" t="n"/>
      <c r="BI319" s="588" t="n"/>
      <c r="BJ319" s="588" t="n"/>
      <c r="BK319" s="588" t="n"/>
      <c r="BL319" s="588" t="n"/>
      <c r="BM319" s="588" t="n"/>
      <c r="BN319" s="588" t="n"/>
      <c r="BO319" s="588" t="n"/>
      <c r="BP319" s="588" t="n"/>
      <c r="BQ319" s="588" t="n"/>
      <c r="BR319" s="588" t="n"/>
      <c r="BS319" s="588" t="n"/>
      <c r="BT319" s="588" t="n"/>
      <c r="BU319" s="588" t="n"/>
      <c r="BV319" s="588" t="n"/>
      <c r="BW319" s="588" t="n"/>
      <c r="BX319" s="588" t="n"/>
      <c r="BY319" s="588" t="n"/>
      <c r="BZ319" s="588" t="n"/>
      <c r="CA319" s="588" t="n"/>
      <c r="CB319" s="588" t="n"/>
      <c r="CC319" s="588" t="n"/>
      <c r="CD319" s="588" t="n"/>
      <c r="CE319" s="588" t="n"/>
      <c r="CF319" s="588" t="n"/>
      <c r="CG319" s="588" t="n"/>
      <c r="CH319" s="588" t="n"/>
      <c r="CI319" s="588" t="n"/>
      <c r="CJ319" s="588" t="n"/>
      <c r="CK319" s="588" t="n"/>
      <c r="CL319" s="588" t="n"/>
      <c r="CM319" s="588" t="n"/>
      <c r="CN319" s="588" t="n"/>
      <c r="CO319" s="588" t="n"/>
      <c r="CP319" s="588" t="n"/>
      <c r="CQ319" s="588" t="n"/>
      <c r="CR319" s="588" t="n"/>
      <c r="CS319" s="588" t="n"/>
      <c r="CT319" s="588" t="n"/>
      <c r="CU319" s="588" t="n"/>
      <c r="CV319" s="588" t="n"/>
      <c r="CW319" s="588" t="n"/>
      <c r="CX319" s="588" t="n"/>
      <c r="CY319" s="588" t="n"/>
      <c r="CZ319" s="588" t="n"/>
      <c r="DA319" s="588" t="n"/>
      <c r="DB319" s="588" t="n"/>
      <c r="DC319" s="588" t="n"/>
      <c r="DD319" s="588" t="n"/>
      <c r="DE319" s="588" t="n"/>
      <c r="DF319" s="588" t="n"/>
      <c r="DG319" s="588" t="n"/>
      <c r="DH319" s="588" t="n"/>
      <c r="DI319" s="588" t="n"/>
      <c r="DJ319" s="588" t="n"/>
      <c r="DK319" s="588" t="n"/>
      <c r="DL319" s="588" t="n"/>
      <c r="DM319" s="588" t="n"/>
      <c r="DN319" s="588" t="n"/>
      <c r="DO319" s="588" t="n"/>
      <c r="DP319" s="588" t="n"/>
      <c r="DQ319" s="588" t="n"/>
      <c r="DR319" s="588" t="n"/>
      <c r="DS319" s="588" t="n"/>
      <c r="DT319" s="588" t="n"/>
      <c r="DU319" s="588" t="n"/>
    </row>
    <row r="320">
      <c r="A320" s="737" t="n"/>
      <c r="B320" s="737" t="n"/>
      <c r="C320" s="737" t="n"/>
      <c r="D320" s="737" t="n"/>
      <c r="E320" s="737" t="n"/>
      <c r="F320" s="737" t="n"/>
      <c r="G320" s="737" t="n"/>
      <c r="H320" s="737" t="n"/>
      <c r="I320" s="737" t="n"/>
      <c r="J320" s="737" t="n"/>
      <c r="K320" s="737" t="n"/>
      <c r="L320" s="737" t="n"/>
      <c r="M320" s="737" t="n"/>
      <c r="N320" s="737" t="n"/>
      <c r="O320" s="737" t="n"/>
      <c r="P320" s="737" t="n"/>
      <c r="Q320" s="737" t="n"/>
      <c r="R320" s="737" t="n"/>
      <c r="S320" s="737" t="n"/>
      <c r="T320" s="737" t="n"/>
      <c r="U320" s="737" t="n"/>
      <c r="V320" s="737" t="n"/>
      <c r="W320" s="737" t="n"/>
      <c r="X320" s="737" t="n"/>
      <c r="Y320" s="737" t="n"/>
      <c r="Z320" s="737" t="n"/>
      <c r="AA320" s="737" t="n"/>
      <c r="AB320" s="737" t="n"/>
      <c r="AC320" s="737" t="n"/>
      <c r="AD320" s="737" t="n"/>
      <c r="AE320" s="737" t="n"/>
      <c r="AF320" s="737" t="n"/>
      <c r="AG320" s="737" t="n"/>
      <c r="AH320" s="737" t="n"/>
      <c r="AI320" s="737" t="n"/>
      <c r="AJ320" s="737" t="n"/>
      <c r="AK320" s="588" t="n"/>
      <c r="AL320" s="588" t="n"/>
      <c r="AM320" s="588" t="n"/>
      <c r="AN320" s="588" t="n"/>
      <c r="AO320" s="588" t="n"/>
      <c r="AP320" s="588" t="n"/>
      <c r="AQ320" s="588" t="n"/>
      <c r="AR320" s="588" t="n"/>
      <c r="AS320" s="588" t="n"/>
      <c r="AT320" s="588" t="n"/>
      <c r="AU320" s="588" t="n"/>
      <c r="AV320" s="588" t="n"/>
      <c r="AW320" s="588" t="n"/>
      <c r="AX320" s="588" t="n"/>
      <c r="AY320" s="588" t="n"/>
      <c r="AZ320" s="588" t="n"/>
      <c r="BA320" s="588" t="n"/>
      <c r="BB320" s="588" t="n"/>
      <c r="BC320" s="588" t="n"/>
      <c r="BD320" s="588" t="n"/>
      <c r="BE320" s="588" t="n"/>
      <c r="BF320" s="588" t="n"/>
      <c r="BG320" s="588" t="n"/>
      <c r="BH320" s="588" t="n"/>
      <c r="BI320" s="588" t="n"/>
      <c r="BJ320" s="588" t="n"/>
      <c r="BK320" s="588" t="n"/>
      <c r="BL320" s="588" t="n"/>
      <c r="BM320" s="588" t="n"/>
      <c r="BN320" s="588" t="n"/>
      <c r="BO320" s="588" t="n"/>
      <c r="BP320" s="588" t="n"/>
      <c r="BQ320" s="588" t="n"/>
      <c r="BR320" s="588" t="n"/>
      <c r="BS320" s="588" t="n"/>
      <c r="BT320" s="588" t="n"/>
      <c r="BU320" s="588" t="n"/>
      <c r="BV320" s="588" t="n"/>
      <c r="BW320" s="588" t="n"/>
      <c r="BX320" s="588" t="n"/>
      <c r="BY320" s="588" t="n"/>
      <c r="BZ320" s="588" t="n"/>
      <c r="CA320" s="588" t="n"/>
      <c r="CB320" s="588" t="n"/>
      <c r="CC320" s="588" t="n"/>
      <c r="CD320" s="588" t="n"/>
      <c r="CE320" s="588" t="n"/>
      <c r="CF320" s="588" t="n"/>
      <c r="CG320" s="588" t="n"/>
      <c r="CH320" s="588" t="n"/>
      <c r="CI320" s="588" t="n"/>
      <c r="CJ320" s="588" t="n"/>
      <c r="CK320" s="588" t="n"/>
      <c r="CL320" s="588" t="n"/>
      <c r="CM320" s="588" t="n"/>
      <c r="CN320" s="588" t="n"/>
      <c r="CO320" s="588" t="n"/>
      <c r="CP320" s="588" t="n"/>
      <c r="CQ320" s="588" t="n"/>
      <c r="CR320" s="588" t="n"/>
      <c r="CS320" s="588" t="n"/>
      <c r="CT320" s="588" t="n"/>
      <c r="CU320" s="588" t="n"/>
      <c r="CV320" s="588" t="n"/>
      <c r="CW320" s="588" t="n"/>
      <c r="CX320" s="588" t="n"/>
      <c r="CY320" s="588" t="n"/>
      <c r="CZ320" s="588" t="n"/>
      <c r="DA320" s="588" t="n"/>
      <c r="DB320" s="588" t="n"/>
      <c r="DC320" s="588" t="n"/>
      <c r="DD320" s="588" t="n"/>
      <c r="DE320" s="588" t="n"/>
      <c r="DF320" s="588" t="n"/>
      <c r="DG320" s="588" t="n"/>
      <c r="DH320" s="588" t="n"/>
      <c r="DI320" s="588" t="n"/>
      <c r="DJ320" s="588" t="n"/>
      <c r="DK320" s="588" t="n"/>
      <c r="DL320" s="588" t="n"/>
      <c r="DM320" s="588" t="n"/>
      <c r="DN320" s="588" t="n"/>
      <c r="DO320" s="588" t="n"/>
      <c r="DP320" s="588" t="n"/>
      <c r="DQ320" s="588" t="n"/>
      <c r="DR320" s="588" t="n"/>
      <c r="DS320" s="588" t="n"/>
      <c r="DT320" s="588" t="n"/>
      <c r="DU320" s="588" t="n"/>
    </row>
    <row r="321">
      <c r="A321" s="737" t="n"/>
      <c r="B321" s="737" t="n"/>
      <c r="C321" s="737" t="n"/>
      <c r="D321" s="737" t="n"/>
      <c r="E321" s="737" t="n"/>
      <c r="F321" s="737" t="n"/>
      <c r="G321" s="737" t="n"/>
      <c r="H321" s="737" t="n"/>
      <c r="I321" s="737" t="n"/>
      <c r="J321" s="737" t="n"/>
      <c r="K321" s="737" t="n"/>
      <c r="L321" s="737" t="n"/>
      <c r="M321" s="737" t="n"/>
      <c r="N321" s="737" t="n"/>
      <c r="O321" s="737" t="n"/>
      <c r="P321" s="737" t="n"/>
      <c r="Q321" s="737" t="n"/>
      <c r="R321" s="737" t="n"/>
      <c r="S321" s="737" t="n"/>
      <c r="T321" s="737" t="n"/>
      <c r="U321" s="737" t="n"/>
      <c r="V321" s="737" t="n"/>
      <c r="W321" s="737" t="n"/>
      <c r="X321" s="737" t="n"/>
      <c r="Y321" s="737" t="n"/>
      <c r="Z321" s="737" t="n"/>
      <c r="AA321" s="737" t="n"/>
      <c r="AB321" s="737" t="n"/>
      <c r="AC321" s="737" t="n"/>
      <c r="AD321" s="737" t="n"/>
      <c r="AE321" s="737" t="n"/>
      <c r="AF321" s="737" t="n"/>
      <c r="AG321" s="737" t="n"/>
      <c r="AH321" s="737" t="n"/>
      <c r="AI321" s="737" t="n"/>
      <c r="AJ321" s="737" t="n"/>
      <c r="AK321" s="588" t="n"/>
      <c r="AL321" s="588" t="n"/>
      <c r="AM321" s="588" t="n"/>
      <c r="AN321" s="588" t="n"/>
      <c r="AO321" s="588" t="n"/>
      <c r="AP321" s="588" t="n"/>
      <c r="AQ321" s="588" t="n"/>
      <c r="AR321" s="588" t="n"/>
      <c r="AS321" s="588" t="n"/>
      <c r="AT321" s="588" t="n"/>
      <c r="AU321" s="588" t="n"/>
      <c r="AV321" s="588" t="n"/>
      <c r="AW321" s="588" t="n"/>
      <c r="AX321" s="588" t="n"/>
      <c r="AY321" s="588" t="n"/>
      <c r="AZ321" s="588" t="n"/>
      <c r="BA321" s="588" t="n"/>
      <c r="BB321" s="588" t="n"/>
      <c r="BC321" s="588" t="n"/>
      <c r="BD321" s="588" t="n"/>
      <c r="BE321" s="588" t="n"/>
      <c r="BF321" s="588" t="n"/>
      <c r="BG321" s="588" t="n"/>
      <c r="BH321" s="588" t="n"/>
      <c r="BI321" s="588" t="n"/>
      <c r="BJ321" s="588" t="n"/>
      <c r="BK321" s="588" t="n"/>
      <c r="BL321" s="588" t="n"/>
      <c r="BM321" s="588" t="n"/>
      <c r="BN321" s="588" t="n"/>
      <c r="BO321" s="588" t="n"/>
      <c r="BP321" s="588" t="n"/>
      <c r="BQ321" s="588" t="n"/>
      <c r="BR321" s="588" t="n"/>
      <c r="BS321" s="588" t="n"/>
      <c r="BT321" s="588" t="n"/>
      <c r="BU321" s="588" t="n"/>
      <c r="BV321" s="588" t="n"/>
      <c r="BW321" s="588" t="n"/>
      <c r="BX321" s="588" t="n"/>
      <c r="BY321" s="588" t="n"/>
      <c r="BZ321" s="588" t="n"/>
      <c r="CA321" s="588" t="n"/>
      <c r="CB321" s="588" t="n"/>
      <c r="CC321" s="588" t="n"/>
      <c r="CD321" s="588" t="n"/>
      <c r="CE321" s="588" t="n"/>
      <c r="CF321" s="588" t="n"/>
      <c r="CG321" s="588" t="n"/>
      <c r="CH321" s="588" t="n"/>
      <c r="CI321" s="588" t="n"/>
      <c r="CJ321" s="588" t="n"/>
      <c r="CK321" s="588" t="n"/>
      <c r="CL321" s="588" t="n"/>
      <c r="CM321" s="588" t="n"/>
      <c r="CN321" s="588" t="n"/>
      <c r="CO321" s="588" t="n"/>
      <c r="CP321" s="588" t="n"/>
      <c r="CQ321" s="588" t="n"/>
      <c r="CR321" s="588" t="n"/>
      <c r="CS321" s="588" t="n"/>
      <c r="CT321" s="588" t="n"/>
      <c r="CU321" s="588" t="n"/>
      <c r="CV321" s="588" t="n"/>
      <c r="CW321" s="588" t="n"/>
      <c r="CX321" s="588" t="n"/>
      <c r="CY321" s="588" t="n"/>
      <c r="CZ321" s="588" t="n"/>
      <c r="DA321" s="588" t="n"/>
      <c r="DB321" s="588" t="n"/>
      <c r="DC321" s="588" t="n"/>
      <c r="DD321" s="588" t="n"/>
      <c r="DE321" s="588" t="n"/>
      <c r="DF321" s="588" t="n"/>
      <c r="DG321" s="588" t="n"/>
      <c r="DH321" s="588" t="n"/>
      <c r="DI321" s="588" t="n"/>
      <c r="DJ321" s="588" t="n"/>
      <c r="DK321" s="588" t="n"/>
      <c r="DL321" s="588" t="n"/>
      <c r="DM321" s="588" t="n"/>
      <c r="DN321" s="588" t="n"/>
      <c r="DO321" s="588" t="n"/>
      <c r="DP321" s="588" t="n"/>
      <c r="DQ321" s="588" t="n"/>
      <c r="DR321" s="588" t="n"/>
      <c r="DS321" s="588" t="n"/>
      <c r="DT321" s="588" t="n"/>
      <c r="DU321" s="588" t="n"/>
    </row>
    <row r="322">
      <c r="A322" s="737" t="n"/>
      <c r="B322" s="737" t="n"/>
      <c r="C322" s="737" t="n"/>
      <c r="D322" s="737" t="n"/>
      <c r="E322" s="737" t="n"/>
      <c r="F322" s="737" t="n"/>
      <c r="G322" s="737" t="n"/>
      <c r="H322" s="737" t="n"/>
      <c r="I322" s="737" t="n"/>
      <c r="J322" s="737" t="n"/>
      <c r="K322" s="737" t="n"/>
      <c r="L322" s="737" t="n"/>
      <c r="M322" s="737" t="n"/>
      <c r="N322" s="737" t="n"/>
      <c r="O322" s="737" t="n"/>
      <c r="P322" s="737" t="n"/>
      <c r="Q322" s="737" t="n"/>
      <c r="R322" s="737" t="n"/>
      <c r="S322" s="737" t="n"/>
      <c r="T322" s="737" t="n"/>
      <c r="U322" s="737" t="n"/>
      <c r="V322" s="737" t="n"/>
      <c r="W322" s="737" t="n"/>
      <c r="X322" s="737" t="n"/>
      <c r="Y322" s="737" t="n"/>
      <c r="Z322" s="737" t="n"/>
      <c r="AA322" s="737" t="n"/>
      <c r="AB322" s="737" t="n"/>
      <c r="AC322" s="737" t="n"/>
      <c r="AD322" s="737" t="n"/>
      <c r="AE322" s="737" t="n"/>
      <c r="AF322" s="737" t="n"/>
      <c r="AG322" s="737" t="n"/>
      <c r="AH322" s="737" t="n"/>
      <c r="AI322" s="737" t="n"/>
      <c r="AJ322" s="737" t="n"/>
      <c r="AK322" s="588" t="n"/>
      <c r="AL322" s="588" t="n"/>
      <c r="AM322" s="588" t="n"/>
      <c r="AN322" s="588" t="n"/>
      <c r="AO322" s="588" t="n"/>
      <c r="AP322" s="588" t="n"/>
      <c r="AQ322" s="588" t="n"/>
      <c r="AR322" s="588" t="n"/>
      <c r="AS322" s="588" t="n"/>
      <c r="AT322" s="588" t="n"/>
      <c r="AU322" s="588" t="n"/>
      <c r="AV322" s="588" t="n"/>
      <c r="AW322" s="588" t="n"/>
      <c r="AX322" s="588" t="n"/>
      <c r="AY322" s="588" t="n"/>
      <c r="AZ322" s="588" t="n"/>
      <c r="BA322" s="588" t="n"/>
      <c r="BB322" s="588" t="n"/>
      <c r="BC322" s="588" t="n"/>
      <c r="BD322" s="588" t="n"/>
      <c r="BE322" s="588" t="n"/>
      <c r="BF322" s="588" t="n"/>
      <c r="BG322" s="588" t="n"/>
      <c r="BH322" s="588" t="n"/>
      <c r="BI322" s="588" t="n"/>
      <c r="BJ322" s="588" t="n"/>
      <c r="BK322" s="588" t="n"/>
      <c r="BL322" s="588" t="n"/>
      <c r="BM322" s="588" t="n"/>
      <c r="BN322" s="588" t="n"/>
      <c r="BO322" s="588" t="n"/>
      <c r="BP322" s="588" t="n"/>
      <c r="BQ322" s="588" t="n"/>
      <c r="BR322" s="588" t="n"/>
      <c r="BS322" s="588" t="n"/>
      <c r="BT322" s="588" t="n"/>
      <c r="BU322" s="588" t="n"/>
      <c r="BV322" s="588" t="n"/>
      <c r="BW322" s="588" t="n"/>
      <c r="BX322" s="588" t="n"/>
      <c r="BY322" s="588" t="n"/>
      <c r="BZ322" s="588" t="n"/>
      <c r="CA322" s="588" t="n"/>
      <c r="CB322" s="588" t="n"/>
      <c r="CC322" s="588" t="n"/>
      <c r="CD322" s="588" t="n"/>
      <c r="CE322" s="588" t="n"/>
      <c r="CF322" s="588" t="n"/>
      <c r="CG322" s="588" t="n"/>
      <c r="CH322" s="588" t="n"/>
      <c r="CI322" s="588" t="n"/>
      <c r="CJ322" s="588" t="n"/>
      <c r="CK322" s="588" t="n"/>
      <c r="CL322" s="588" t="n"/>
      <c r="CM322" s="588" t="n"/>
      <c r="CN322" s="588" t="n"/>
      <c r="CO322" s="588" t="n"/>
      <c r="CP322" s="588" t="n"/>
      <c r="CQ322" s="588" t="n"/>
      <c r="CR322" s="588" t="n"/>
      <c r="CS322" s="588" t="n"/>
      <c r="CT322" s="588" t="n"/>
      <c r="CU322" s="588" t="n"/>
      <c r="CV322" s="588" t="n"/>
      <c r="CW322" s="588" t="n"/>
      <c r="CX322" s="588" t="n"/>
      <c r="CY322" s="588" t="n"/>
      <c r="CZ322" s="588" t="n"/>
      <c r="DA322" s="588" t="n"/>
      <c r="DB322" s="588" t="n"/>
      <c r="DC322" s="588" t="n"/>
      <c r="DD322" s="588" t="n"/>
      <c r="DE322" s="588" t="n"/>
      <c r="DF322" s="588" t="n"/>
      <c r="DG322" s="588" t="n"/>
      <c r="DH322" s="588" t="n"/>
      <c r="DI322" s="588" t="n"/>
      <c r="DJ322" s="588" t="n"/>
      <c r="DK322" s="588" t="n"/>
      <c r="DL322" s="588" t="n"/>
      <c r="DM322" s="588" t="n"/>
      <c r="DN322" s="588" t="n"/>
      <c r="DO322" s="588" t="n"/>
      <c r="DP322" s="588" t="n"/>
      <c r="DQ322" s="588" t="n"/>
      <c r="DR322" s="588" t="n"/>
      <c r="DS322" s="588" t="n"/>
      <c r="DT322" s="588" t="n"/>
      <c r="DU322" s="588" t="n"/>
    </row>
    <row r="323">
      <c r="A323" s="737" t="n"/>
      <c r="B323" s="737" t="n"/>
      <c r="C323" s="737" t="n"/>
      <c r="D323" s="737" t="n"/>
      <c r="E323" s="737" t="n"/>
      <c r="F323" s="737" t="n"/>
      <c r="G323" s="737" t="n"/>
      <c r="H323" s="737" t="n"/>
      <c r="I323" s="737" t="n"/>
      <c r="J323" s="737" t="n"/>
      <c r="K323" s="737" t="n"/>
      <c r="L323" s="737" t="n"/>
      <c r="M323" s="737" t="n"/>
      <c r="N323" s="737" t="n"/>
      <c r="O323" s="737" t="n"/>
      <c r="P323" s="737" t="n"/>
      <c r="Q323" s="737" t="n"/>
      <c r="R323" s="737" t="n"/>
      <c r="S323" s="737" t="n"/>
      <c r="T323" s="737" t="n"/>
      <c r="U323" s="737" t="n"/>
      <c r="V323" s="737" t="n"/>
      <c r="W323" s="737" t="n"/>
      <c r="X323" s="737" t="n"/>
      <c r="Y323" s="737" t="n"/>
      <c r="Z323" s="737" t="n"/>
      <c r="AA323" s="737" t="n"/>
      <c r="AB323" s="737" t="n"/>
      <c r="AC323" s="737" t="n"/>
      <c r="AD323" s="737" t="n"/>
      <c r="AE323" s="737" t="n"/>
      <c r="AF323" s="737" t="n"/>
      <c r="AG323" s="737" t="n"/>
      <c r="AH323" s="737" t="n"/>
      <c r="AI323" s="737" t="n"/>
      <c r="AJ323" s="737" t="n"/>
      <c r="AK323" s="588" t="n"/>
      <c r="AL323" s="588" t="n"/>
      <c r="AM323" s="588" t="n"/>
      <c r="AN323" s="588" t="n"/>
      <c r="AO323" s="588" t="n"/>
      <c r="AP323" s="588" t="n"/>
      <c r="AQ323" s="588" t="n"/>
      <c r="AR323" s="588" t="n"/>
      <c r="AS323" s="588" t="n"/>
      <c r="AT323" s="588" t="n"/>
      <c r="AU323" s="588" t="n"/>
      <c r="AV323" s="588" t="n"/>
      <c r="AW323" s="588" t="n"/>
      <c r="AX323" s="588" t="n"/>
      <c r="AY323" s="588" t="n"/>
      <c r="AZ323" s="588" t="n"/>
      <c r="BA323" s="588" t="n"/>
      <c r="BB323" s="588" t="n"/>
      <c r="BC323" s="588" t="n"/>
      <c r="BD323" s="588" t="n"/>
      <c r="BE323" s="588" t="n"/>
      <c r="BF323" s="588" t="n"/>
      <c r="BG323" s="588" t="n"/>
      <c r="BH323" s="588" t="n"/>
      <c r="BI323" s="588" t="n"/>
      <c r="BJ323" s="588" t="n"/>
      <c r="BK323" s="588" t="n"/>
      <c r="BL323" s="588" t="n"/>
      <c r="BM323" s="588" t="n"/>
      <c r="BN323" s="588" t="n"/>
      <c r="BO323" s="588" t="n"/>
      <c r="BP323" s="588" t="n"/>
      <c r="BQ323" s="588" t="n"/>
      <c r="BR323" s="588" t="n"/>
      <c r="BS323" s="588" t="n"/>
      <c r="BT323" s="588" t="n"/>
      <c r="BU323" s="588" t="n"/>
      <c r="BV323" s="588" t="n"/>
      <c r="BW323" s="588" t="n"/>
      <c r="BX323" s="588" t="n"/>
      <c r="BY323" s="588" t="n"/>
      <c r="BZ323" s="588" t="n"/>
      <c r="CA323" s="588" t="n"/>
      <c r="CB323" s="588" t="n"/>
      <c r="CC323" s="588" t="n"/>
      <c r="CD323" s="588" t="n"/>
      <c r="CE323" s="588" t="n"/>
      <c r="CF323" s="588" t="n"/>
      <c r="CG323" s="588" t="n"/>
      <c r="CH323" s="588" t="n"/>
      <c r="CI323" s="588" t="n"/>
      <c r="CJ323" s="588" t="n"/>
      <c r="CK323" s="588" t="n"/>
      <c r="CL323" s="588" t="n"/>
      <c r="CM323" s="588" t="n"/>
      <c r="CN323" s="588" t="n"/>
      <c r="CO323" s="588" t="n"/>
      <c r="CP323" s="588" t="n"/>
      <c r="CQ323" s="588" t="n"/>
      <c r="CR323" s="588" t="n"/>
      <c r="CS323" s="588" t="n"/>
      <c r="CT323" s="588" t="n"/>
      <c r="CU323" s="588" t="n"/>
      <c r="CV323" s="588" t="n"/>
      <c r="CW323" s="588" t="n"/>
      <c r="CX323" s="588" t="n"/>
      <c r="CY323" s="588" t="n"/>
      <c r="CZ323" s="588" t="n"/>
      <c r="DA323" s="588" t="n"/>
      <c r="DB323" s="588" t="n"/>
      <c r="DC323" s="588" t="n"/>
      <c r="DD323" s="588" t="n"/>
      <c r="DE323" s="588" t="n"/>
      <c r="DF323" s="588" t="n"/>
      <c r="DG323" s="588" t="n"/>
      <c r="DH323" s="588" t="n"/>
      <c r="DI323" s="588" t="n"/>
      <c r="DJ323" s="588" t="n"/>
      <c r="DK323" s="588" t="n"/>
      <c r="DL323" s="588" t="n"/>
      <c r="DM323" s="588" t="n"/>
      <c r="DN323" s="588" t="n"/>
      <c r="DO323" s="588" t="n"/>
      <c r="DP323" s="588" t="n"/>
      <c r="DQ323" s="588" t="n"/>
      <c r="DR323" s="588" t="n"/>
      <c r="DS323" s="588" t="n"/>
      <c r="DT323" s="588" t="n"/>
      <c r="DU323" s="588" t="n"/>
    </row>
    <row r="324">
      <c r="A324" s="737" t="n"/>
      <c r="B324" s="737" t="n"/>
      <c r="C324" s="737" t="n"/>
      <c r="D324" s="737" t="n"/>
      <c r="E324" s="737" t="n"/>
      <c r="F324" s="737" t="n"/>
      <c r="G324" s="737" t="n"/>
      <c r="H324" s="737" t="n"/>
      <c r="I324" s="737" t="n"/>
      <c r="J324" s="737" t="n"/>
      <c r="K324" s="737" t="n"/>
      <c r="L324" s="737" t="n"/>
      <c r="M324" s="737" t="n"/>
      <c r="N324" s="737" t="n"/>
      <c r="O324" s="737" t="n"/>
      <c r="P324" s="737" t="n"/>
      <c r="Q324" s="737" t="n"/>
      <c r="R324" s="737" t="n"/>
      <c r="S324" s="737" t="n"/>
      <c r="T324" s="737" t="n"/>
      <c r="U324" s="737" t="n"/>
      <c r="V324" s="737" t="n"/>
      <c r="W324" s="737" t="n"/>
      <c r="X324" s="737" t="n"/>
      <c r="Y324" s="737" t="n"/>
      <c r="Z324" s="737" t="n"/>
      <c r="AA324" s="737" t="n"/>
      <c r="AB324" s="737" t="n"/>
      <c r="AC324" s="737" t="n"/>
      <c r="AD324" s="737" t="n"/>
      <c r="AE324" s="737" t="n"/>
      <c r="AF324" s="737" t="n"/>
      <c r="AG324" s="737" t="n"/>
      <c r="AH324" s="737" t="n"/>
      <c r="AI324" s="737" t="n"/>
      <c r="AJ324" s="737" t="n"/>
      <c r="AK324" s="588" t="n"/>
      <c r="AL324" s="588" t="n"/>
      <c r="AM324" s="588" t="n"/>
      <c r="AN324" s="588" t="n"/>
      <c r="AO324" s="588" t="n"/>
      <c r="AP324" s="588" t="n"/>
      <c r="AQ324" s="588" t="n"/>
      <c r="AR324" s="588" t="n"/>
      <c r="AS324" s="588" t="n"/>
      <c r="AT324" s="588" t="n"/>
      <c r="AU324" s="588" t="n"/>
      <c r="AV324" s="588" t="n"/>
      <c r="AW324" s="588" t="n"/>
      <c r="AX324" s="588" t="n"/>
      <c r="AY324" s="588" t="n"/>
      <c r="AZ324" s="588" t="n"/>
      <c r="BA324" s="588" t="n"/>
      <c r="BB324" s="588" t="n"/>
      <c r="BC324" s="588" t="n"/>
      <c r="BD324" s="588" t="n"/>
      <c r="BE324" s="588" t="n"/>
      <c r="BF324" s="588" t="n"/>
      <c r="BG324" s="588" t="n"/>
      <c r="BH324" s="588" t="n"/>
      <c r="BI324" s="588" t="n"/>
      <c r="BJ324" s="588" t="n"/>
      <c r="BK324" s="588" t="n"/>
      <c r="BL324" s="588" t="n"/>
      <c r="BM324" s="588" t="n"/>
      <c r="BN324" s="588" t="n"/>
      <c r="BO324" s="588" t="n"/>
      <c r="BP324" s="588" t="n"/>
      <c r="BQ324" s="588" t="n"/>
      <c r="BR324" s="588" t="n"/>
      <c r="BS324" s="588" t="n"/>
      <c r="BT324" s="588" t="n"/>
      <c r="BU324" s="588" t="n"/>
      <c r="BV324" s="588" t="n"/>
      <c r="BW324" s="588" t="n"/>
      <c r="BX324" s="588" t="n"/>
      <c r="BY324" s="588" t="n"/>
      <c r="BZ324" s="588" t="n"/>
      <c r="CA324" s="588" t="n"/>
      <c r="CB324" s="588" t="n"/>
      <c r="CC324" s="588" t="n"/>
      <c r="CD324" s="588" t="n"/>
      <c r="CE324" s="588" t="n"/>
      <c r="CF324" s="588" t="n"/>
      <c r="CG324" s="588" t="n"/>
      <c r="CH324" s="588" t="n"/>
      <c r="CI324" s="588" t="n"/>
      <c r="CJ324" s="588" t="n"/>
      <c r="CK324" s="588" t="n"/>
      <c r="CL324" s="588" t="n"/>
      <c r="CM324" s="588" t="n"/>
      <c r="CN324" s="588" t="n"/>
      <c r="CO324" s="588" t="n"/>
      <c r="CP324" s="588" t="n"/>
      <c r="CQ324" s="588" t="n"/>
      <c r="CR324" s="588" t="n"/>
      <c r="CS324" s="588" t="n"/>
      <c r="CT324" s="588" t="n"/>
      <c r="CU324" s="588" t="n"/>
      <c r="CV324" s="588" t="n"/>
      <c r="CW324" s="588" t="n"/>
      <c r="CX324" s="588" t="n"/>
      <c r="CY324" s="588" t="n"/>
      <c r="CZ324" s="588" t="n"/>
      <c r="DA324" s="588" t="n"/>
      <c r="DB324" s="588" t="n"/>
      <c r="DC324" s="588" t="n"/>
      <c r="DD324" s="588" t="n"/>
      <c r="DE324" s="588" t="n"/>
      <c r="DF324" s="588" t="n"/>
      <c r="DG324" s="588" t="n"/>
      <c r="DH324" s="588" t="n"/>
      <c r="DI324" s="588" t="n"/>
      <c r="DJ324" s="588" t="n"/>
      <c r="DK324" s="588" t="n"/>
      <c r="DL324" s="588" t="n"/>
      <c r="DM324" s="588" t="n"/>
      <c r="DN324" s="588" t="n"/>
      <c r="DO324" s="588" t="n"/>
      <c r="DP324" s="588" t="n"/>
      <c r="DQ324" s="588" t="n"/>
      <c r="DR324" s="588" t="n"/>
      <c r="DS324" s="588" t="n"/>
      <c r="DT324" s="588" t="n"/>
      <c r="DU324" s="588" t="n"/>
    </row>
    <row r="325">
      <c r="A325" s="737" t="n"/>
      <c r="B325" s="737" t="n"/>
      <c r="C325" s="737" t="n"/>
      <c r="D325" s="737" t="n"/>
      <c r="E325" s="737" t="n"/>
      <c r="F325" s="737" t="n"/>
      <c r="G325" s="737" t="n"/>
      <c r="H325" s="737" t="n"/>
      <c r="I325" s="737" t="n"/>
      <c r="J325" s="737" t="n"/>
      <c r="K325" s="737" t="n"/>
      <c r="L325" s="737" t="n"/>
      <c r="M325" s="737" t="n"/>
      <c r="N325" s="737" t="n"/>
      <c r="O325" s="737" t="n"/>
      <c r="P325" s="737" t="n"/>
      <c r="Q325" s="737" t="n"/>
      <c r="R325" s="737" t="n"/>
      <c r="S325" s="737" t="n"/>
      <c r="T325" s="737" t="n"/>
      <c r="U325" s="737" t="n"/>
      <c r="V325" s="737" t="n"/>
      <c r="W325" s="737" t="n"/>
      <c r="X325" s="737" t="n"/>
      <c r="Y325" s="737" t="n"/>
      <c r="Z325" s="737" t="n"/>
      <c r="AA325" s="737" t="n"/>
      <c r="AB325" s="737" t="n"/>
      <c r="AC325" s="737" t="n"/>
      <c r="AD325" s="737" t="n"/>
      <c r="AE325" s="737" t="n"/>
      <c r="AF325" s="737" t="n"/>
      <c r="AG325" s="737" t="n"/>
      <c r="AH325" s="737" t="n"/>
      <c r="AI325" s="737" t="n"/>
      <c r="AJ325" s="737" t="n"/>
      <c r="AK325" s="588" t="n"/>
      <c r="AL325" s="588" t="n"/>
      <c r="AM325" s="588" t="n"/>
      <c r="AN325" s="588" t="n"/>
      <c r="AO325" s="588" t="n"/>
      <c r="AP325" s="588" t="n"/>
      <c r="AQ325" s="588" t="n"/>
      <c r="AR325" s="588" t="n"/>
      <c r="AS325" s="588" t="n"/>
      <c r="AT325" s="588" t="n"/>
      <c r="AU325" s="588" t="n"/>
      <c r="AV325" s="588" t="n"/>
      <c r="AW325" s="588" t="n"/>
      <c r="AX325" s="588" t="n"/>
      <c r="AY325" s="588" t="n"/>
      <c r="AZ325" s="588" t="n"/>
      <c r="BA325" s="588" t="n"/>
      <c r="BB325" s="588" t="n"/>
      <c r="BC325" s="588" t="n"/>
      <c r="BD325" s="588" t="n"/>
      <c r="BE325" s="588" t="n"/>
      <c r="BF325" s="588" t="n"/>
      <c r="BG325" s="588" t="n"/>
      <c r="BH325" s="588" t="n"/>
      <c r="BI325" s="588" t="n"/>
      <c r="BJ325" s="588" t="n"/>
      <c r="BK325" s="588" t="n"/>
      <c r="BL325" s="588" t="n"/>
      <c r="BM325" s="588" t="n"/>
      <c r="BN325" s="588" t="n"/>
      <c r="BO325" s="588" t="n"/>
      <c r="BP325" s="588" t="n"/>
      <c r="BQ325" s="588" t="n"/>
      <c r="BR325" s="588" t="n"/>
      <c r="BS325" s="588" t="n"/>
      <c r="BT325" s="588" t="n"/>
      <c r="BU325" s="588" t="n"/>
      <c r="BV325" s="588" t="n"/>
      <c r="BW325" s="588" t="n"/>
      <c r="BX325" s="588" t="n"/>
      <c r="BY325" s="588" t="n"/>
      <c r="BZ325" s="588" t="n"/>
      <c r="CA325" s="588" t="n"/>
      <c r="CB325" s="588" t="n"/>
      <c r="CC325" s="588" t="n"/>
      <c r="CD325" s="588" t="n"/>
      <c r="CE325" s="588" t="n"/>
      <c r="CF325" s="588" t="n"/>
      <c r="CG325" s="588" t="n"/>
      <c r="CH325" s="588" t="n"/>
      <c r="CI325" s="588" t="n"/>
      <c r="CJ325" s="588" t="n"/>
      <c r="CK325" s="588" t="n"/>
      <c r="CL325" s="588" t="n"/>
      <c r="CM325" s="588" t="n"/>
      <c r="CN325" s="588" t="n"/>
      <c r="CO325" s="588" t="n"/>
      <c r="CP325" s="588" t="n"/>
      <c r="CQ325" s="588" t="n"/>
      <c r="CR325" s="588" t="n"/>
      <c r="CS325" s="588" t="n"/>
      <c r="CT325" s="588" t="n"/>
      <c r="CU325" s="588" t="n"/>
      <c r="CV325" s="588" t="n"/>
      <c r="CW325" s="588" t="n"/>
      <c r="CX325" s="588" t="n"/>
      <c r="CY325" s="588" t="n"/>
      <c r="CZ325" s="588" t="n"/>
      <c r="DA325" s="588" t="n"/>
      <c r="DB325" s="588" t="n"/>
      <c r="DC325" s="588" t="n"/>
      <c r="DD325" s="588" t="n"/>
      <c r="DE325" s="588" t="n"/>
      <c r="DF325" s="588" t="n"/>
      <c r="DG325" s="588" t="n"/>
      <c r="DH325" s="588" t="n"/>
      <c r="DI325" s="588" t="n"/>
      <c r="DJ325" s="588" t="n"/>
      <c r="DK325" s="588" t="n"/>
      <c r="DL325" s="588" t="n"/>
      <c r="DM325" s="588" t="n"/>
      <c r="DN325" s="588" t="n"/>
      <c r="DO325" s="588" t="n"/>
      <c r="DP325" s="588" t="n"/>
      <c r="DQ325" s="588" t="n"/>
      <c r="DR325" s="588" t="n"/>
      <c r="DS325" s="588" t="n"/>
      <c r="DT325" s="588" t="n"/>
      <c r="DU325" s="588" t="n"/>
    </row>
    <row r="326">
      <c r="A326" s="737" t="n"/>
      <c r="B326" s="737" t="n"/>
      <c r="C326" s="737" t="n"/>
      <c r="D326" s="737" t="n"/>
      <c r="E326" s="737" t="n"/>
      <c r="F326" s="737" t="n"/>
      <c r="G326" s="737" t="n"/>
      <c r="H326" s="737" t="n"/>
      <c r="I326" s="737" t="n"/>
      <c r="J326" s="737" t="n"/>
      <c r="K326" s="737" t="n"/>
      <c r="L326" s="737" t="n"/>
      <c r="M326" s="737" t="n"/>
      <c r="N326" s="737" t="n"/>
      <c r="O326" s="737" t="n"/>
      <c r="P326" s="737" t="n"/>
      <c r="Q326" s="737" t="n"/>
      <c r="R326" s="737" t="n"/>
      <c r="S326" s="737" t="n"/>
      <c r="T326" s="737" t="n"/>
      <c r="U326" s="737" t="n"/>
      <c r="V326" s="737" t="n"/>
      <c r="W326" s="737" t="n"/>
      <c r="X326" s="737" t="n"/>
      <c r="Y326" s="737" t="n"/>
      <c r="Z326" s="737" t="n"/>
      <c r="AA326" s="737" t="n"/>
      <c r="AB326" s="737" t="n"/>
      <c r="AC326" s="737" t="n"/>
      <c r="AD326" s="737" t="n"/>
      <c r="AE326" s="737" t="n"/>
      <c r="AF326" s="737" t="n"/>
      <c r="AG326" s="737" t="n"/>
      <c r="AH326" s="737" t="n"/>
      <c r="AI326" s="737" t="n"/>
      <c r="AJ326" s="737" t="n"/>
      <c r="AK326" s="588" t="n"/>
      <c r="AL326" s="588" t="n"/>
      <c r="AM326" s="588" t="n"/>
      <c r="AN326" s="588" t="n"/>
      <c r="AO326" s="588" t="n"/>
      <c r="AP326" s="588" t="n"/>
      <c r="AQ326" s="588" t="n"/>
      <c r="AR326" s="588" t="n"/>
      <c r="AS326" s="588" t="n"/>
      <c r="AT326" s="588" t="n"/>
      <c r="AU326" s="588" t="n"/>
      <c r="AV326" s="588" t="n"/>
      <c r="AW326" s="588" t="n"/>
      <c r="AX326" s="588" t="n"/>
      <c r="AY326" s="588" t="n"/>
      <c r="AZ326" s="588" t="n"/>
      <c r="BA326" s="588" t="n"/>
      <c r="BB326" s="588" t="n"/>
      <c r="BC326" s="588" t="n"/>
      <c r="BD326" s="588" t="n"/>
      <c r="BE326" s="588" t="n"/>
      <c r="BF326" s="588" t="n"/>
      <c r="BG326" s="588" t="n"/>
      <c r="BH326" s="588" t="n"/>
      <c r="BI326" s="588" t="n"/>
      <c r="BJ326" s="588" t="n"/>
      <c r="BK326" s="588" t="n"/>
      <c r="BL326" s="588" t="n"/>
      <c r="BM326" s="588" t="n"/>
      <c r="BN326" s="588" t="n"/>
      <c r="BO326" s="588" t="n"/>
      <c r="BP326" s="588" t="n"/>
      <c r="BQ326" s="588" t="n"/>
      <c r="BR326" s="588" t="n"/>
      <c r="BS326" s="588" t="n"/>
      <c r="BT326" s="588" t="n"/>
      <c r="BU326" s="588" t="n"/>
      <c r="BV326" s="588" t="n"/>
      <c r="BW326" s="588" t="n"/>
      <c r="BX326" s="588" t="n"/>
      <c r="BY326" s="588" t="n"/>
      <c r="BZ326" s="588" t="n"/>
      <c r="CA326" s="588" t="n"/>
      <c r="CB326" s="588" t="n"/>
      <c r="CC326" s="588" t="n"/>
      <c r="CD326" s="588" t="n"/>
      <c r="CE326" s="588" t="n"/>
      <c r="CF326" s="588" t="n"/>
      <c r="CG326" s="588" t="n"/>
      <c r="CH326" s="588" t="n"/>
      <c r="CI326" s="588" t="n"/>
      <c r="CJ326" s="588" t="n"/>
      <c r="CK326" s="588" t="n"/>
      <c r="CL326" s="588" t="n"/>
      <c r="CM326" s="588" t="n"/>
      <c r="CN326" s="588" t="n"/>
      <c r="CO326" s="588" t="n"/>
      <c r="CP326" s="588" t="n"/>
      <c r="CQ326" s="588" t="n"/>
      <c r="CR326" s="588" t="n"/>
      <c r="CS326" s="588" t="n"/>
      <c r="CT326" s="588" t="n"/>
      <c r="CU326" s="588" t="n"/>
      <c r="CV326" s="588" t="n"/>
      <c r="CW326" s="588" t="n"/>
      <c r="CX326" s="588" t="n"/>
      <c r="CY326" s="588" t="n"/>
      <c r="CZ326" s="588" t="n"/>
      <c r="DA326" s="588" t="n"/>
      <c r="DB326" s="588" t="n"/>
      <c r="DC326" s="588" t="n"/>
      <c r="DD326" s="588" t="n"/>
      <c r="DE326" s="588" t="n"/>
      <c r="DF326" s="588" t="n"/>
      <c r="DG326" s="588" t="n"/>
      <c r="DH326" s="588" t="n"/>
      <c r="DI326" s="588" t="n"/>
      <c r="DJ326" s="588" t="n"/>
      <c r="DK326" s="588" t="n"/>
      <c r="DL326" s="588" t="n"/>
      <c r="DM326" s="588" t="n"/>
      <c r="DN326" s="588" t="n"/>
      <c r="DO326" s="588" t="n"/>
      <c r="DP326" s="588" t="n"/>
      <c r="DQ326" s="588" t="n"/>
      <c r="DR326" s="588" t="n"/>
      <c r="DS326" s="588" t="n"/>
      <c r="DT326" s="588" t="n"/>
      <c r="DU326" s="588" t="n"/>
    </row>
    <row r="327">
      <c r="A327" s="737" t="n"/>
      <c r="B327" s="737" t="n"/>
      <c r="C327" s="737" t="n"/>
      <c r="D327" s="737" t="n"/>
      <c r="E327" s="737" t="n"/>
      <c r="F327" s="737" t="n"/>
      <c r="G327" s="737" t="n"/>
      <c r="H327" s="737" t="n"/>
      <c r="I327" s="737" t="n"/>
      <c r="J327" s="737" t="n"/>
      <c r="K327" s="737" t="n"/>
      <c r="L327" s="737" t="n"/>
      <c r="M327" s="737" t="n"/>
      <c r="N327" s="737" t="n"/>
      <c r="O327" s="737" t="n"/>
      <c r="P327" s="737" t="n"/>
      <c r="Q327" s="737" t="n"/>
      <c r="R327" s="737" t="n"/>
      <c r="S327" s="737" t="n"/>
      <c r="T327" s="737" t="n"/>
      <c r="U327" s="737" t="n"/>
      <c r="V327" s="737" t="n"/>
      <c r="W327" s="737" t="n"/>
      <c r="X327" s="737" t="n"/>
      <c r="Y327" s="737" t="n"/>
      <c r="Z327" s="737" t="n"/>
      <c r="AA327" s="737" t="n"/>
      <c r="AB327" s="737" t="n"/>
      <c r="AC327" s="737" t="n"/>
      <c r="AD327" s="737" t="n"/>
      <c r="AE327" s="737" t="n"/>
      <c r="AF327" s="737" t="n"/>
      <c r="AG327" s="737" t="n"/>
      <c r="AH327" s="737" t="n"/>
      <c r="AI327" s="737" t="n"/>
      <c r="AJ327" s="737" t="n"/>
      <c r="AK327" s="588" t="n"/>
      <c r="AL327" s="588" t="n"/>
      <c r="AM327" s="588" t="n"/>
      <c r="AN327" s="588" t="n"/>
      <c r="AO327" s="588" t="n"/>
      <c r="AP327" s="588" t="n"/>
      <c r="AQ327" s="588" t="n"/>
      <c r="AR327" s="588" t="n"/>
      <c r="AS327" s="588" t="n"/>
      <c r="AT327" s="588" t="n"/>
      <c r="AU327" s="588" t="n"/>
      <c r="AV327" s="588" t="n"/>
      <c r="AW327" s="588" t="n"/>
      <c r="AX327" s="588" t="n"/>
      <c r="AY327" s="588" t="n"/>
      <c r="AZ327" s="588" t="n"/>
      <c r="BA327" s="588" t="n"/>
      <c r="BB327" s="588" t="n"/>
      <c r="BC327" s="588" t="n"/>
      <c r="BD327" s="588" t="n"/>
      <c r="BE327" s="588" t="n"/>
      <c r="BF327" s="588" t="n"/>
      <c r="BG327" s="588" t="n"/>
      <c r="BH327" s="588" t="n"/>
      <c r="BI327" s="588" t="n"/>
      <c r="BJ327" s="588" t="n"/>
      <c r="BK327" s="588" t="n"/>
      <c r="BL327" s="588" t="n"/>
      <c r="BM327" s="588" t="n"/>
      <c r="BN327" s="588" t="n"/>
      <c r="BO327" s="588" t="n"/>
      <c r="BP327" s="588" t="n"/>
      <c r="BQ327" s="588" t="n"/>
      <c r="BR327" s="588" t="n"/>
      <c r="BS327" s="588" t="n"/>
      <c r="BT327" s="588" t="n"/>
      <c r="BU327" s="588" t="n"/>
      <c r="BV327" s="588" t="n"/>
      <c r="BW327" s="588" t="n"/>
      <c r="BX327" s="588" t="n"/>
      <c r="BY327" s="588" t="n"/>
      <c r="BZ327" s="588" t="n"/>
      <c r="CA327" s="588" t="n"/>
      <c r="CB327" s="588" t="n"/>
      <c r="CC327" s="588" t="n"/>
      <c r="CD327" s="588" t="n"/>
      <c r="CE327" s="588" t="n"/>
      <c r="CF327" s="588" t="n"/>
      <c r="CG327" s="588" t="n"/>
      <c r="CH327" s="588" t="n"/>
      <c r="CI327" s="588" t="n"/>
      <c r="CJ327" s="588" t="n"/>
      <c r="CK327" s="588" t="n"/>
      <c r="CL327" s="588" t="n"/>
      <c r="CM327" s="588" t="n"/>
      <c r="CN327" s="588" t="n"/>
      <c r="CO327" s="588" t="n"/>
      <c r="CP327" s="588" t="n"/>
      <c r="CQ327" s="588" t="n"/>
      <c r="CR327" s="588" t="n"/>
      <c r="CS327" s="588" t="n"/>
      <c r="CT327" s="588" t="n"/>
      <c r="CU327" s="588" t="n"/>
      <c r="CV327" s="588" t="n"/>
      <c r="CW327" s="588" t="n"/>
      <c r="CX327" s="588" t="n"/>
      <c r="CY327" s="588" t="n"/>
      <c r="CZ327" s="588" t="n"/>
      <c r="DA327" s="588" t="n"/>
      <c r="DB327" s="588" t="n"/>
      <c r="DC327" s="588" t="n"/>
      <c r="DD327" s="588" t="n"/>
      <c r="DE327" s="588" t="n"/>
      <c r="DF327" s="588" t="n"/>
      <c r="DG327" s="588" t="n"/>
      <c r="DH327" s="588" t="n"/>
      <c r="DI327" s="588" t="n"/>
      <c r="DJ327" s="588" t="n"/>
      <c r="DK327" s="588" t="n"/>
      <c r="DL327" s="588" t="n"/>
      <c r="DM327" s="588" t="n"/>
      <c r="DN327" s="588" t="n"/>
      <c r="DO327" s="588" t="n"/>
      <c r="DP327" s="588" t="n"/>
      <c r="DQ327" s="588" t="n"/>
      <c r="DR327" s="588" t="n"/>
      <c r="DS327" s="588" t="n"/>
      <c r="DT327" s="588" t="n"/>
      <c r="DU327" s="588" t="n"/>
    </row>
    <row r="328">
      <c r="A328" s="737" t="n"/>
      <c r="B328" s="737" t="n"/>
      <c r="C328" s="737" t="n"/>
      <c r="D328" s="737" t="n"/>
      <c r="E328" s="737" t="n"/>
      <c r="F328" s="737" t="n"/>
      <c r="G328" s="737" t="n"/>
      <c r="H328" s="737" t="n"/>
      <c r="I328" s="737" t="n"/>
      <c r="J328" s="737" t="n"/>
      <c r="K328" s="737" t="n"/>
      <c r="L328" s="737" t="n"/>
      <c r="M328" s="737" t="n"/>
      <c r="N328" s="737" t="n"/>
      <c r="O328" s="737" t="n"/>
      <c r="P328" s="737" t="n"/>
      <c r="Q328" s="737" t="n"/>
      <c r="R328" s="737" t="n"/>
      <c r="S328" s="737" t="n"/>
      <c r="T328" s="737" t="n"/>
      <c r="U328" s="737" t="n"/>
      <c r="V328" s="737" t="n"/>
      <c r="W328" s="737" t="n"/>
      <c r="X328" s="737" t="n"/>
      <c r="Y328" s="737" t="n"/>
      <c r="Z328" s="737" t="n"/>
      <c r="AA328" s="737" t="n"/>
      <c r="AB328" s="737" t="n"/>
      <c r="AC328" s="737" t="n"/>
      <c r="AD328" s="737" t="n"/>
      <c r="AE328" s="737" t="n"/>
      <c r="AF328" s="737" t="n"/>
      <c r="AG328" s="737" t="n"/>
      <c r="AH328" s="737" t="n"/>
      <c r="AI328" s="737" t="n"/>
      <c r="AJ328" s="737" t="n"/>
      <c r="AK328" s="588" t="n"/>
      <c r="AL328" s="588" t="n"/>
      <c r="AM328" s="588" t="n"/>
      <c r="AN328" s="588" t="n"/>
      <c r="AO328" s="588" t="n"/>
      <c r="AP328" s="588" t="n"/>
      <c r="AQ328" s="588" t="n"/>
      <c r="AR328" s="588" t="n"/>
      <c r="AS328" s="588" t="n"/>
      <c r="AT328" s="588" t="n"/>
      <c r="AU328" s="588" t="n"/>
      <c r="AV328" s="588" t="n"/>
      <c r="AW328" s="588" t="n"/>
      <c r="AX328" s="588" t="n"/>
      <c r="AY328" s="588" t="n"/>
      <c r="AZ328" s="588" t="n"/>
      <c r="BA328" s="588" t="n"/>
      <c r="BB328" s="588" t="n"/>
      <c r="BC328" s="588" t="n"/>
      <c r="BD328" s="588" t="n"/>
      <c r="BE328" s="588" t="n"/>
      <c r="BF328" s="588" t="n"/>
      <c r="BG328" s="588" t="n"/>
      <c r="BH328" s="588" t="n"/>
      <c r="BI328" s="588" t="n"/>
      <c r="BJ328" s="588" t="n"/>
      <c r="BK328" s="588" t="n"/>
      <c r="BL328" s="588" t="n"/>
      <c r="BM328" s="588" t="n"/>
      <c r="BN328" s="588" t="n"/>
      <c r="BO328" s="588" t="n"/>
      <c r="BP328" s="588" t="n"/>
      <c r="BQ328" s="588" t="n"/>
      <c r="BR328" s="588" t="n"/>
      <c r="BS328" s="588" t="n"/>
      <c r="BT328" s="588" t="n"/>
      <c r="BU328" s="588" t="n"/>
      <c r="BV328" s="588" t="n"/>
      <c r="BW328" s="588" t="n"/>
      <c r="BX328" s="588" t="n"/>
      <c r="BY328" s="588" t="n"/>
      <c r="BZ328" s="588" t="n"/>
      <c r="CA328" s="588" t="n"/>
      <c r="CB328" s="588" t="n"/>
      <c r="CC328" s="588" t="n"/>
      <c r="CD328" s="588" t="n"/>
      <c r="CE328" s="588" t="n"/>
      <c r="CF328" s="588" t="n"/>
      <c r="CG328" s="588" t="n"/>
      <c r="CH328" s="588" t="n"/>
      <c r="CI328" s="588" t="n"/>
      <c r="CJ328" s="588" t="n"/>
      <c r="CK328" s="588" t="n"/>
      <c r="CL328" s="588" t="n"/>
      <c r="CM328" s="588" t="n"/>
      <c r="CN328" s="588" t="n"/>
      <c r="CO328" s="588" t="n"/>
      <c r="CP328" s="588" t="n"/>
      <c r="CQ328" s="588" t="n"/>
      <c r="CR328" s="588" t="n"/>
      <c r="CS328" s="588" t="n"/>
      <c r="CT328" s="588" t="n"/>
      <c r="CU328" s="588" t="n"/>
      <c r="CV328" s="588" t="n"/>
      <c r="CW328" s="588" t="n"/>
      <c r="CX328" s="588" t="n"/>
      <c r="CY328" s="588" t="n"/>
      <c r="CZ328" s="588" t="n"/>
      <c r="DA328" s="588" t="n"/>
      <c r="DB328" s="588" t="n"/>
      <c r="DC328" s="588" t="n"/>
      <c r="DD328" s="588" t="n"/>
      <c r="DE328" s="588" t="n"/>
      <c r="DF328" s="588" t="n"/>
      <c r="DG328" s="588" t="n"/>
      <c r="DH328" s="588" t="n"/>
      <c r="DI328" s="588" t="n"/>
      <c r="DJ328" s="588" t="n"/>
      <c r="DK328" s="588" t="n"/>
      <c r="DL328" s="588" t="n"/>
      <c r="DM328" s="588" t="n"/>
      <c r="DN328" s="588" t="n"/>
      <c r="DO328" s="588" t="n"/>
      <c r="DP328" s="588" t="n"/>
      <c r="DQ328" s="588" t="n"/>
      <c r="DR328" s="588" t="n"/>
      <c r="DS328" s="588" t="n"/>
      <c r="DT328" s="588" t="n"/>
      <c r="DU328" s="588" t="n"/>
    </row>
    <row r="329">
      <c r="A329" s="737" t="n"/>
      <c r="B329" s="737" t="n"/>
      <c r="C329" s="737" t="n"/>
      <c r="D329" s="737" t="n"/>
      <c r="E329" s="737" t="n"/>
      <c r="F329" s="737" t="n"/>
      <c r="G329" s="737" t="n"/>
      <c r="H329" s="737" t="n"/>
      <c r="I329" s="737" t="n"/>
      <c r="J329" s="737" t="n"/>
      <c r="K329" s="737" t="n"/>
      <c r="L329" s="737" t="n"/>
      <c r="M329" s="737" t="n"/>
      <c r="N329" s="737" t="n"/>
      <c r="O329" s="737" t="n"/>
      <c r="P329" s="737" t="n"/>
      <c r="Q329" s="737" t="n"/>
      <c r="R329" s="737" t="n"/>
      <c r="S329" s="737" t="n"/>
      <c r="T329" s="737" t="n"/>
      <c r="U329" s="737" t="n"/>
      <c r="V329" s="737" t="n"/>
      <c r="W329" s="737" t="n"/>
      <c r="X329" s="737" t="n"/>
      <c r="Y329" s="737" t="n"/>
      <c r="Z329" s="737" t="n"/>
      <c r="AA329" s="737" t="n"/>
      <c r="AB329" s="737" t="n"/>
      <c r="AC329" s="737" t="n"/>
      <c r="AD329" s="737" t="n"/>
      <c r="AE329" s="737" t="n"/>
      <c r="AF329" s="737" t="n"/>
      <c r="AG329" s="737" t="n"/>
      <c r="AH329" s="737" t="n"/>
      <c r="AI329" s="737" t="n"/>
      <c r="AJ329" s="737" t="n"/>
      <c r="AK329" s="588" t="n"/>
      <c r="AL329" s="588" t="n"/>
      <c r="AM329" s="588" t="n"/>
      <c r="AN329" s="588" t="n"/>
      <c r="AO329" s="588" t="n"/>
      <c r="AP329" s="588" t="n"/>
      <c r="AQ329" s="588" t="n"/>
      <c r="AR329" s="588" t="n"/>
      <c r="AS329" s="588" t="n"/>
      <c r="AT329" s="588" t="n"/>
      <c r="AU329" s="588" t="n"/>
      <c r="AV329" s="588" t="n"/>
      <c r="AW329" s="588" t="n"/>
      <c r="AX329" s="588" t="n"/>
      <c r="AY329" s="588" t="n"/>
      <c r="AZ329" s="588" t="n"/>
      <c r="BA329" s="588" t="n"/>
      <c r="BB329" s="588" t="n"/>
      <c r="BC329" s="588" t="n"/>
      <c r="BD329" s="588" t="n"/>
      <c r="BE329" s="588" t="n"/>
      <c r="BF329" s="588" t="n"/>
      <c r="BG329" s="588" t="n"/>
      <c r="BH329" s="588" t="n"/>
      <c r="BI329" s="588" t="n"/>
      <c r="BJ329" s="588" t="n"/>
      <c r="BK329" s="588" t="n"/>
      <c r="BL329" s="588" t="n"/>
      <c r="BM329" s="588" t="n"/>
      <c r="BN329" s="588" t="n"/>
      <c r="BO329" s="588" t="n"/>
      <c r="BP329" s="588" t="n"/>
      <c r="BQ329" s="588" t="n"/>
      <c r="BR329" s="588" t="n"/>
      <c r="BS329" s="588" t="n"/>
      <c r="BT329" s="588" t="n"/>
      <c r="BU329" s="588" t="n"/>
      <c r="BV329" s="588" t="n"/>
      <c r="BW329" s="588" t="n"/>
      <c r="BX329" s="588" t="n"/>
      <c r="BY329" s="588" t="n"/>
      <c r="BZ329" s="588" t="n"/>
      <c r="CA329" s="588" t="n"/>
      <c r="CB329" s="588" t="n"/>
      <c r="CC329" s="588" t="n"/>
      <c r="CD329" s="588" t="n"/>
      <c r="CE329" s="588" t="n"/>
      <c r="CF329" s="588" t="n"/>
      <c r="CG329" s="588" t="n"/>
      <c r="CH329" s="588" t="n"/>
      <c r="CI329" s="588" t="n"/>
      <c r="CJ329" s="588" t="n"/>
      <c r="CK329" s="588" t="n"/>
      <c r="CL329" s="588" t="n"/>
      <c r="CM329" s="588" t="n"/>
      <c r="CN329" s="588" t="n"/>
      <c r="CO329" s="588" t="n"/>
      <c r="CP329" s="588" t="n"/>
      <c r="CQ329" s="588" t="n"/>
      <c r="CR329" s="588" t="n"/>
      <c r="CS329" s="588" t="n"/>
      <c r="CT329" s="588" t="n"/>
      <c r="CU329" s="588" t="n"/>
      <c r="CV329" s="588" t="n"/>
      <c r="CW329" s="588" t="n"/>
      <c r="CX329" s="588" t="n"/>
      <c r="CY329" s="588" t="n"/>
      <c r="CZ329" s="588" t="n"/>
      <c r="DA329" s="588" t="n"/>
      <c r="DB329" s="588" t="n"/>
      <c r="DC329" s="588" t="n"/>
      <c r="DD329" s="588" t="n"/>
      <c r="DE329" s="588" t="n"/>
      <c r="DF329" s="588" t="n"/>
      <c r="DG329" s="588" t="n"/>
      <c r="DH329" s="588" t="n"/>
      <c r="DI329" s="588" t="n"/>
      <c r="DJ329" s="588" t="n"/>
      <c r="DK329" s="588" t="n"/>
      <c r="DL329" s="588" t="n"/>
      <c r="DM329" s="588" t="n"/>
      <c r="DN329" s="588" t="n"/>
      <c r="DO329" s="588" t="n"/>
      <c r="DP329" s="588" t="n"/>
      <c r="DQ329" s="588" t="n"/>
      <c r="DR329" s="588" t="n"/>
      <c r="DS329" s="588" t="n"/>
      <c r="DT329" s="588" t="n"/>
      <c r="DU329" s="588" t="n"/>
    </row>
    <row r="330">
      <c r="A330" s="737" t="n"/>
      <c r="B330" s="737" t="n"/>
      <c r="C330" s="737" t="n"/>
      <c r="D330" s="737" t="n"/>
      <c r="E330" s="737" t="n"/>
      <c r="F330" s="737" t="n"/>
      <c r="G330" s="737" t="n"/>
      <c r="H330" s="737" t="n"/>
      <c r="I330" s="737" t="n"/>
      <c r="J330" s="737" t="n"/>
      <c r="K330" s="737" t="n"/>
      <c r="L330" s="737" t="n"/>
      <c r="M330" s="737" t="n"/>
      <c r="N330" s="737" t="n"/>
      <c r="O330" s="737" t="n"/>
      <c r="P330" s="737" t="n"/>
      <c r="Q330" s="737" t="n"/>
      <c r="R330" s="737" t="n"/>
      <c r="S330" s="737" t="n"/>
      <c r="T330" s="737" t="n"/>
      <c r="U330" s="737" t="n"/>
      <c r="V330" s="737" t="n"/>
      <c r="W330" s="737" t="n"/>
      <c r="X330" s="737" t="n"/>
      <c r="Y330" s="737" t="n"/>
      <c r="Z330" s="737" t="n"/>
      <c r="AA330" s="737" t="n"/>
      <c r="AB330" s="737" t="n"/>
      <c r="AC330" s="737" t="n"/>
      <c r="AD330" s="737" t="n"/>
      <c r="AE330" s="737" t="n"/>
      <c r="AF330" s="737" t="n"/>
      <c r="AG330" s="737" t="n"/>
      <c r="AH330" s="737" t="n"/>
      <c r="AI330" s="737" t="n"/>
      <c r="AJ330" s="737" t="n"/>
      <c r="AK330" s="588" t="n"/>
      <c r="AL330" s="588" t="n"/>
      <c r="AM330" s="588" t="n"/>
      <c r="AN330" s="588" t="n"/>
      <c r="AO330" s="588" t="n"/>
      <c r="AP330" s="588" t="n"/>
      <c r="AQ330" s="588" t="n"/>
      <c r="AR330" s="588" t="n"/>
      <c r="AS330" s="588" t="n"/>
      <c r="AT330" s="588" t="n"/>
      <c r="AU330" s="588" t="n"/>
      <c r="AV330" s="588" t="n"/>
      <c r="AW330" s="588" t="n"/>
      <c r="AX330" s="588" t="n"/>
      <c r="AY330" s="588" t="n"/>
      <c r="AZ330" s="588" t="n"/>
      <c r="BA330" s="588" t="n"/>
      <c r="BB330" s="588" t="n"/>
      <c r="BC330" s="588" t="n"/>
      <c r="BD330" s="588" t="n"/>
      <c r="BE330" s="588" t="n"/>
      <c r="BF330" s="588" t="n"/>
      <c r="BG330" s="588" t="n"/>
      <c r="BH330" s="588" t="n"/>
      <c r="BI330" s="588" t="n"/>
      <c r="BJ330" s="588" t="n"/>
      <c r="BK330" s="588" t="n"/>
      <c r="BL330" s="588" t="n"/>
      <c r="BM330" s="588" t="n"/>
      <c r="BN330" s="588" t="n"/>
      <c r="BO330" s="588" t="n"/>
      <c r="BP330" s="588" t="n"/>
      <c r="BQ330" s="588" t="n"/>
      <c r="BR330" s="588" t="n"/>
      <c r="BS330" s="588" t="n"/>
      <c r="BT330" s="588" t="n"/>
      <c r="BU330" s="588" t="n"/>
      <c r="BV330" s="588" t="n"/>
      <c r="BW330" s="588" t="n"/>
      <c r="BX330" s="588" t="n"/>
      <c r="BY330" s="588" t="n"/>
      <c r="BZ330" s="588" t="n"/>
      <c r="CA330" s="588" t="n"/>
      <c r="CB330" s="588" t="n"/>
      <c r="CC330" s="588" t="n"/>
      <c r="CD330" s="588" t="n"/>
      <c r="CE330" s="588" t="n"/>
      <c r="CF330" s="588" t="n"/>
      <c r="CG330" s="588" t="n"/>
      <c r="CH330" s="588" t="n"/>
      <c r="CI330" s="588" t="n"/>
      <c r="CJ330" s="588" t="n"/>
      <c r="CK330" s="588" t="n"/>
      <c r="CL330" s="588" t="n"/>
      <c r="CM330" s="588" t="n"/>
      <c r="CN330" s="588" t="n"/>
      <c r="CO330" s="588" t="n"/>
      <c r="CP330" s="588" t="n"/>
      <c r="CQ330" s="588" t="n"/>
      <c r="CR330" s="588" t="n"/>
      <c r="CS330" s="588" t="n"/>
      <c r="CT330" s="588" t="n"/>
      <c r="CU330" s="588" t="n"/>
      <c r="CV330" s="588" t="n"/>
      <c r="CW330" s="588" t="n"/>
      <c r="CX330" s="588" t="n"/>
      <c r="CY330" s="588" t="n"/>
      <c r="CZ330" s="588" t="n"/>
      <c r="DA330" s="588" t="n"/>
      <c r="DB330" s="588" t="n"/>
      <c r="DC330" s="588" t="n"/>
      <c r="DD330" s="588" t="n"/>
      <c r="DE330" s="588" t="n"/>
      <c r="DF330" s="588" t="n"/>
      <c r="DG330" s="588" t="n"/>
      <c r="DH330" s="588" t="n"/>
      <c r="DI330" s="588" t="n"/>
      <c r="DJ330" s="588" t="n"/>
      <c r="DK330" s="588" t="n"/>
      <c r="DL330" s="588" t="n"/>
      <c r="DM330" s="588" t="n"/>
      <c r="DN330" s="588" t="n"/>
      <c r="DO330" s="588" t="n"/>
      <c r="DP330" s="588" t="n"/>
      <c r="DQ330" s="588" t="n"/>
      <c r="DR330" s="588" t="n"/>
      <c r="DS330" s="588" t="n"/>
      <c r="DT330" s="588" t="n"/>
      <c r="DU330" s="588" t="n"/>
    </row>
    <row r="331">
      <c r="A331" s="737" t="n"/>
      <c r="B331" s="737" t="n"/>
      <c r="C331" s="737" t="n"/>
      <c r="D331" s="737" t="n"/>
      <c r="E331" s="737" t="n"/>
      <c r="F331" s="737" t="n"/>
      <c r="G331" s="737" t="n"/>
      <c r="H331" s="737" t="n"/>
      <c r="I331" s="737" t="n"/>
      <c r="J331" s="737" t="n"/>
      <c r="K331" s="737" t="n"/>
      <c r="L331" s="737" t="n"/>
      <c r="M331" s="737" t="n"/>
      <c r="N331" s="737" t="n"/>
      <c r="O331" s="737" t="n"/>
      <c r="P331" s="737" t="n"/>
      <c r="Q331" s="737" t="n"/>
      <c r="R331" s="737" t="n"/>
      <c r="S331" s="737" t="n"/>
      <c r="T331" s="737" t="n"/>
      <c r="U331" s="737" t="n"/>
      <c r="V331" s="737" t="n"/>
      <c r="W331" s="737" t="n"/>
      <c r="X331" s="737" t="n"/>
      <c r="Y331" s="737" t="n"/>
      <c r="Z331" s="737" t="n"/>
      <c r="AA331" s="737" t="n"/>
      <c r="AB331" s="737" t="n"/>
      <c r="AC331" s="737" t="n"/>
      <c r="AD331" s="737" t="n"/>
      <c r="AE331" s="737" t="n"/>
      <c r="AF331" s="737" t="n"/>
      <c r="AG331" s="737" t="n"/>
      <c r="AH331" s="737" t="n"/>
      <c r="AI331" s="737" t="n"/>
      <c r="AJ331" s="737" t="n"/>
      <c r="AK331" s="588" t="n"/>
      <c r="AL331" s="588" t="n"/>
      <c r="AM331" s="588" t="n"/>
      <c r="AN331" s="588" t="n"/>
      <c r="AO331" s="588" t="n"/>
      <c r="AP331" s="588" t="n"/>
      <c r="AQ331" s="588" t="n"/>
      <c r="AR331" s="588" t="n"/>
      <c r="AS331" s="588" t="n"/>
      <c r="AT331" s="588" t="n"/>
      <c r="AU331" s="588" t="n"/>
      <c r="AV331" s="588" t="n"/>
      <c r="AW331" s="588" t="n"/>
      <c r="AX331" s="588" t="n"/>
      <c r="AY331" s="588" t="n"/>
      <c r="AZ331" s="588" t="n"/>
      <c r="BA331" s="588" t="n"/>
      <c r="BB331" s="588" t="n"/>
      <c r="BC331" s="588" t="n"/>
      <c r="BD331" s="588" t="n"/>
      <c r="BE331" s="588" t="n"/>
      <c r="BF331" s="588" t="n"/>
      <c r="BG331" s="588" t="n"/>
      <c r="BH331" s="588" t="n"/>
      <c r="BI331" s="588" t="n"/>
      <c r="BJ331" s="588" t="n"/>
      <c r="BK331" s="588" t="n"/>
      <c r="BL331" s="588" t="n"/>
      <c r="BM331" s="588" t="n"/>
      <c r="BN331" s="588" t="n"/>
      <c r="BO331" s="588" t="n"/>
      <c r="BP331" s="588" t="n"/>
      <c r="BQ331" s="588" t="n"/>
      <c r="BR331" s="588" t="n"/>
      <c r="BS331" s="588" t="n"/>
      <c r="BT331" s="588" t="n"/>
      <c r="BU331" s="588" t="n"/>
      <c r="BV331" s="588" t="n"/>
      <c r="BW331" s="588" t="n"/>
      <c r="BX331" s="588" t="n"/>
      <c r="BY331" s="588" t="n"/>
      <c r="BZ331" s="588" t="n"/>
      <c r="CA331" s="588" t="n"/>
      <c r="CB331" s="588" t="n"/>
      <c r="CC331" s="588" t="n"/>
      <c r="CD331" s="588" t="n"/>
      <c r="CE331" s="588" t="n"/>
      <c r="CF331" s="588" t="n"/>
      <c r="CG331" s="588" t="n"/>
      <c r="CH331" s="588" t="n"/>
      <c r="CI331" s="588" t="n"/>
      <c r="CJ331" s="588" t="n"/>
      <c r="CK331" s="588" t="n"/>
      <c r="CL331" s="588" t="n"/>
      <c r="CM331" s="588" t="n"/>
      <c r="CN331" s="588" t="n"/>
      <c r="CO331" s="588" t="n"/>
      <c r="CP331" s="588" t="n"/>
      <c r="CQ331" s="588" t="n"/>
      <c r="CR331" s="588" t="n"/>
      <c r="CS331" s="588" t="n"/>
      <c r="CT331" s="588" t="n"/>
      <c r="CU331" s="588" t="n"/>
      <c r="CV331" s="588" t="n"/>
      <c r="CW331" s="588" t="n"/>
      <c r="CX331" s="588" t="n"/>
      <c r="CY331" s="588" t="n"/>
      <c r="CZ331" s="588" t="n"/>
      <c r="DA331" s="588" t="n"/>
      <c r="DB331" s="588" t="n"/>
      <c r="DC331" s="588" t="n"/>
      <c r="DD331" s="588" t="n"/>
      <c r="DE331" s="588" t="n"/>
      <c r="DF331" s="588" t="n"/>
      <c r="DG331" s="588" t="n"/>
      <c r="DH331" s="588" t="n"/>
      <c r="DI331" s="588" t="n"/>
      <c r="DJ331" s="588" t="n"/>
      <c r="DK331" s="588" t="n"/>
      <c r="DL331" s="588" t="n"/>
      <c r="DM331" s="588" t="n"/>
      <c r="DN331" s="588" t="n"/>
      <c r="DO331" s="588" t="n"/>
      <c r="DP331" s="588" t="n"/>
      <c r="DQ331" s="588" t="n"/>
      <c r="DR331" s="588" t="n"/>
      <c r="DS331" s="588" t="n"/>
      <c r="DT331" s="588" t="n"/>
      <c r="DU331" s="588" t="n"/>
    </row>
    <row r="332">
      <c r="A332" s="737" t="n"/>
      <c r="B332" s="737" t="n"/>
      <c r="C332" s="737" t="n"/>
      <c r="D332" s="737" t="n"/>
      <c r="E332" s="737" t="n"/>
      <c r="F332" s="737" t="n"/>
      <c r="G332" s="737" t="n"/>
      <c r="H332" s="737" t="n"/>
      <c r="I332" s="737" t="n"/>
      <c r="J332" s="737" t="n"/>
      <c r="K332" s="737" t="n"/>
      <c r="L332" s="737" t="n"/>
      <c r="M332" s="737" t="n"/>
      <c r="N332" s="737" t="n"/>
      <c r="O332" s="737" t="n"/>
      <c r="P332" s="737" t="n"/>
      <c r="Q332" s="737" t="n"/>
      <c r="R332" s="737" t="n"/>
      <c r="S332" s="737" t="n"/>
      <c r="T332" s="737" t="n"/>
      <c r="U332" s="737" t="n"/>
      <c r="V332" s="737" t="n"/>
      <c r="W332" s="737" t="n"/>
      <c r="X332" s="737" t="n"/>
      <c r="Y332" s="737" t="n"/>
      <c r="Z332" s="737" t="n"/>
      <c r="AA332" s="737" t="n"/>
      <c r="AB332" s="737" t="n"/>
      <c r="AC332" s="737" t="n"/>
      <c r="AD332" s="737" t="n"/>
      <c r="AE332" s="737" t="n"/>
      <c r="AF332" s="737" t="n"/>
      <c r="AG332" s="737" t="n"/>
      <c r="AH332" s="737" t="n"/>
      <c r="AI332" s="737" t="n"/>
      <c r="AJ332" s="737" t="n"/>
      <c r="AK332" s="588" t="n"/>
      <c r="AL332" s="588" t="n"/>
      <c r="AM332" s="588" t="n"/>
      <c r="AN332" s="588" t="n"/>
      <c r="AO332" s="588" t="n"/>
      <c r="AP332" s="588" t="n"/>
      <c r="AQ332" s="588" t="n"/>
      <c r="AR332" s="588" t="n"/>
      <c r="AS332" s="588" t="n"/>
      <c r="AT332" s="588" t="n"/>
      <c r="AU332" s="588" t="n"/>
      <c r="AV332" s="588" t="n"/>
      <c r="AW332" s="588" t="n"/>
      <c r="AX332" s="588" t="n"/>
      <c r="AY332" s="588" t="n"/>
      <c r="AZ332" s="588" t="n"/>
      <c r="BA332" s="588" t="n"/>
      <c r="BB332" s="588" t="n"/>
      <c r="BC332" s="588" t="n"/>
      <c r="BD332" s="588" t="n"/>
      <c r="BE332" s="588" t="n"/>
      <c r="BF332" s="588" t="n"/>
      <c r="BG332" s="588" t="n"/>
      <c r="BH332" s="588" t="n"/>
      <c r="BI332" s="588" t="n"/>
      <c r="BJ332" s="588" t="n"/>
      <c r="BK332" s="588" t="n"/>
      <c r="BL332" s="588" t="n"/>
      <c r="BM332" s="588" t="n"/>
      <c r="BN332" s="588" t="n"/>
      <c r="BO332" s="588" t="n"/>
      <c r="BP332" s="588" t="n"/>
      <c r="BQ332" s="588" t="n"/>
      <c r="BR332" s="588" t="n"/>
      <c r="BS332" s="588" t="n"/>
      <c r="BT332" s="588" t="n"/>
      <c r="BU332" s="588" t="n"/>
      <c r="BV332" s="588" t="n"/>
      <c r="BW332" s="588" t="n"/>
      <c r="BX332" s="588" t="n"/>
      <c r="BY332" s="588" t="n"/>
      <c r="BZ332" s="588" t="n"/>
      <c r="CA332" s="588" t="n"/>
      <c r="CB332" s="588" t="n"/>
      <c r="CC332" s="588" t="n"/>
      <c r="CD332" s="588" t="n"/>
      <c r="CE332" s="588" t="n"/>
      <c r="CF332" s="588" t="n"/>
      <c r="CG332" s="588" t="n"/>
      <c r="CH332" s="588" t="n"/>
      <c r="CI332" s="588" t="n"/>
      <c r="CJ332" s="588" t="n"/>
      <c r="CK332" s="588" t="n"/>
      <c r="CL332" s="588" t="n"/>
      <c r="CM332" s="588" t="n"/>
      <c r="CN332" s="588" t="n"/>
      <c r="CO332" s="588" t="n"/>
      <c r="CP332" s="588" t="n"/>
      <c r="CQ332" s="588" t="n"/>
      <c r="CR332" s="588" t="n"/>
      <c r="CS332" s="588" t="n"/>
      <c r="CT332" s="588" t="n"/>
      <c r="CU332" s="588" t="n"/>
      <c r="CV332" s="588" t="n"/>
      <c r="CW332" s="588" t="n"/>
      <c r="CX332" s="588" t="n"/>
      <c r="CY332" s="588" t="n"/>
      <c r="CZ332" s="588" t="n"/>
      <c r="DA332" s="588" t="n"/>
      <c r="DB332" s="588" t="n"/>
      <c r="DC332" s="588" t="n"/>
      <c r="DD332" s="588" t="n"/>
      <c r="DE332" s="588" t="n"/>
      <c r="DF332" s="588" t="n"/>
      <c r="DG332" s="588" t="n"/>
      <c r="DH332" s="588" t="n"/>
      <c r="DI332" s="588" t="n"/>
      <c r="DJ332" s="588" t="n"/>
      <c r="DK332" s="588" t="n"/>
      <c r="DL332" s="588" t="n"/>
      <c r="DM332" s="588" t="n"/>
      <c r="DN332" s="588" t="n"/>
      <c r="DO332" s="588" t="n"/>
      <c r="DP332" s="588" t="n"/>
      <c r="DQ332" s="588" t="n"/>
      <c r="DR332" s="588" t="n"/>
      <c r="DS332" s="588" t="n"/>
      <c r="DT332" s="588" t="n"/>
      <c r="DU332" s="588" t="n"/>
    </row>
    <row r="333">
      <c r="A333" s="737" t="n"/>
      <c r="B333" s="737" t="n"/>
      <c r="C333" s="737" t="n"/>
      <c r="D333" s="737" t="n"/>
      <c r="E333" s="737" t="n"/>
      <c r="F333" s="737" t="n"/>
      <c r="G333" s="737" t="n"/>
      <c r="H333" s="737" t="n"/>
      <c r="I333" s="737" t="n"/>
      <c r="J333" s="737" t="n"/>
      <c r="K333" s="737" t="n"/>
      <c r="L333" s="737" t="n"/>
      <c r="M333" s="737" t="n"/>
      <c r="N333" s="737" t="n"/>
      <c r="O333" s="737" t="n"/>
      <c r="P333" s="737" t="n"/>
      <c r="Q333" s="737" t="n"/>
      <c r="R333" s="737" t="n"/>
      <c r="S333" s="737" t="n"/>
      <c r="T333" s="737" t="n"/>
      <c r="U333" s="737" t="n"/>
      <c r="V333" s="737" t="n"/>
      <c r="W333" s="737" t="n"/>
      <c r="X333" s="737" t="n"/>
      <c r="Y333" s="737" t="n"/>
      <c r="Z333" s="737" t="n"/>
      <c r="AA333" s="737" t="n"/>
      <c r="AB333" s="737" t="n"/>
      <c r="AC333" s="737" t="n"/>
      <c r="AD333" s="737" t="n"/>
      <c r="AE333" s="737" t="n"/>
      <c r="AF333" s="737" t="n"/>
      <c r="AG333" s="737" t="n"/>
      <c r="AH333" s="737" t="n"/>
      <c r="AI333" s="737" t="n"/>
      <c r="AJ333" s="737" t="n"/>
      <c r="AK333" s="588" t="n"/>
      <c r="AL333" s="588" t="n"/>
      <c r="AM333" s="588" t="n"/>
      <c r="AN333" s="588" t="n"/>
      <c r="AO333" s="588" t="n"/>
      <c r="AP333" s="588" t="n"/>
      <c r="AQ333" s="588" t="n"/>
      <c r="AR333" s="588" t="n"/>
      <c r="AS333" s="588" t="n"/>
      <c r="AT333" s="588" t="n"/>
      <c r="AU333" s="588" t="n"/>
      <c r="AV333" s="588" t="n"/>
      <c r="AW333" s="588" t="n"/>
      <c r="AX333" s="588" t="n"/>
      <c r="AY333" s="588" t="n"/>
      <c r="AZ333" s="588" t="n"/>
      <c r="BA333" s="588" t="n"/>
      <c r="BB333" s="588" t="n"/>
      <c r="BC333" s="588" t="n"/>
      <c r="BD333" s="588" t="n"/>
      <c r="BE333" s="588" t="n"/>
      <c r="BF333" s="588" t="n"/>
      <c r="BG333" s="588" t="n"/>
      <c r="BH333" s="588" t="n"/>
      <c r="BI333" s="588" t="n"/>
      <c r="BJ333" s="588" t="n"/>
      <c r="BK333" s="588" t="n"/>
      <c r="BL333" s="588" t="n"/>
      <c r="BM333" s="588" t="n"/>
      <c r="BN333" s="588" t="n"/>
      <c r="BO333" s="588" t="n"/>
      <c r="BP333" s="588" t="n"/>
      <c r="BQ333" s="588" t="n"/>
      <c r="BR333" s="588" t="n"/>
      <c r="BS333" s="588" t="n"/>
      <c r="BT333" s="588" t="n"/>
      <c r="BU333" s="588" t="n"/>
      <c r="BV333" s="588" t="n"/>
      <c r="BW333" s="588" t="n"/>
      <c r="BX333" s="588" t="n"/>
      <c r="BY333" s="588" t="n"/>
      <c r="BZ333" s="588" t="n"/>
      <c r="CA333" s="588" t="n"/>
      <c r="CB333" s="588" t="n"/>
      <c r="CC333" s="588" t="n"/>
      <c r="CD333" s="588" t="n"/>
      <c r="CE333" s="588" t="n"/>
      <c r="CF333" s="588" t="n"/>
      <c r="CG333" s="588" t="n"/>
      <c r="CH333" s="588" t="n"/>
      <c r="CI333" s="588" t="n"/>
      <c r="CJ333" s="588" t="n"/>
      <c r="CK333" s="588" t="n"/>
      <c r="CL333" s="588" t="n"/>
      <c r="CM333" s="588" t="n"/>
      <c r="CN333" s="588" t="n"/>
      <c r="CO333" s="588" t="n"/>
      <c r="CP333" s="588" t="n"/>
      <c r="CQ333" s="588" t="n"/>
      <c r="CR333" s="588" t="n"/>
      <c r="CS333" s="588" t="n"/>
      <c r="CT333" s="588" t="n"/>
      <c r="CU333" s="588" t="n"/>
      <c r="CV333" s="588" t="n"/>
      <c r="CW333" s="588" t="n"/>
      <c r="CX333" s="588" t="n"/>
      <c r="CY333" s="588" t="n"/>
      <c r="CZ333" s="588" t="n"/>
      <c r="DA333" s="588" t="n"/>
      <c r="DB333" s="588" t="n"/>
      <c r="DC333" s="588" t="n"/>
      <c r="DD333" s="588" t="n"/>
      <c r="DE333" s="588" t="n"/>
      <c r="DF333" s="588" t="n"/>
      <c r="DG333" s="588" t="n"/>
      <c r="DH333" s="588" t="n"/>
      <c r="DI333" s="588" t="n"/>
      <c r="DJ333" s="588" t="n"/>
      <c r="DK333" s="588" t="n"/>
      <c r="DL333" s="588" t="n"/>
      <c r="DM333" s="588" t="n"/>
      <c r="DN333" s="588" t="n"/>
      <c r="DO333" s="588" t="n"/>
      <c r="DP333" s="588" t="n"/>
      <c r="DQ333" s="588" t="n"/>
      <c r="DR333" s="588" t="n"/>
      <c r="DS333" s="588" t="n"/>
      <c r="DT333" s="588" t="n"/>
      <c r="DU333" s="588" t="n"/>
    </row>
    <row r="334">
      <c r="A334" s="737" t="n"/>
      <c r="B334" s="737" t="n"/>
      <c r="C334" s="737" t="n"/>
      <c r="D334" s="737" t="n"/>
      <c r="E334" s="737" t="n"/>
      <c r="F334" s="737" t="n"/>
      <c r="G334" s="737" t="n"/>
      <c r="H334" s="737" t="n"/>
      <c r="I334" s="737" t="n"/>
      <c r="J334" s="737" t="n"/>
      <c r="K334" s="737" t="n"/>
      <c r="L334" s="737" t="n"/>
      <c r="M334" s="737" t="n"/>
      <c r="N334" s="737" t="n"/>
      <c r="O334" s="737" t="n"/>
      <c r="P334" s="737" t="n"/>
      <c r="Q334" s="737" t="n"/>
      <c r="R334" s="737" t="n"/>
      <c r="S334" s="737" t="n"/>
      <c r="T334" s="737" t="n"/>
      <c r="U334" s="737" t="n"/>
      <c r="V334" s="737" t="n"/>
      <c r="W334" s="737" t="n"/>
      <c r="X334" s="737" t="n"/>
      <c r="Y334" s="737" t="n"/>
      <c r="Z334" s="737" t="n"/>
      <c r="AA334" s="737" t="n"/>
      <c r="AB334" s="737" t="n"/>
      <c r="AC334" s="737" t="n"/>
      <c r="AD334" s="737" t="n"/>
      <c r="AE334" s="737" t="n"/>
      <c r="AF334" s="737" t="n"/>
      <c r="AG334" s="737" t="n"/>
      <c r="AH334" s="737" t="n"/>
      <c r="AI334" s="737" t="n"/>
      <c r="AJ334" s="737" t="n"/>
      <c r="AK334" s="588" t="n"/>
      <c r="AL334" s="588" t="n"/>
      <c r="AM334" s="588" t="n"/>
      <c r="AN334" s="588" t="n"/>
      <c r="AO334" s="588" t="n"/>
      <c r="AP334" s="588" t="n"/>
      <c r="AQ334" s="588" t="n"/>
      <c r="AR334" s="588" t="n"/>
      <c r="AS334" s="588" t="n"/>
      <c r="AT334" s="588" t="n"/>
      <c r="AU334" s="588" t="n"/>
      <c r="AV334" s="588" t="n"/>
      <c r="AW334" s="588" t="n"/>
      <c r="AX334" s="588" t="n"/>
      <c r="AY334" s="588" t="n"/>
      <c r="AZ334" s="588" t="n"/>
      <c r="BA334" s="588" t="n"/>
      <c r="BB334" s="588" t="n"/>
      <c r="BC334" s="588" t="n"/>
      <c r="BD334" s="588" t="n"/>
      <c r="BE334" s="588" t="n"/>
      <c r="BF334" s="588" t="n"/>
      <c r="BG334" s="588" t="n"/>
      <c r="BH334" s="588" t="n"/>
      <c r="BI334" s="588" t="n"/>
      <c r="BJ334" s="588" t="n"/>
      <c r="BK334" s="588" t="n"/>
      <c r="BL334" s="588" t="n"/>
      <c r="BM334" s="588" t="n"/>
      <c r="BN334" s="588" t="n"/>
      <c r="BO334" s="588" t="n"/>
      <c r="BP334" s="588" t="n"/>
      <c r="BQ334" s="588" t="n"/>
      <c r="BR334" s="588" t="n"/>
      <c r="BS334" s="588" t="n"/>
      <c r="BT334" s="588" t="n"/>
      <c r="BU334" s="588" t="n"/>
      <c r="BV334" s="588" t="n"/>
      <c r="BW334" s="588" t="n"/>
      <c r="BX334" s="588" t="n"/>
      <c r="BY334" s="588" t="n"/>
      <c r="BZ334" s="588" t="n"/>
      <c r="CA334" s="588" t="n"/>
      <c r="CB334" s="588" t="n"/>
      <c r="CC334" s="588" t="n"/>
      <c r="CD334" s="588" t="n"/>
      <c r="CE334" s="588" t="n"/>
      <c r="CF334" s="588" t="n"/>
      <c r="CG334" s="588" t="n"/>
      <c r="CH334" s="588" t="n"/>
      <c r="CI334" s="588" t="n"/>
      <c r="CJ334" s="588" t="n"/>
      <c r="CK334" s="588" t="n"/>
      <c r="CL334" s="588" t="n"/>
      <c r="CM334" s="588" t="n"/>
      <c r="CN334" s="588" t="n"/>
      <c r="CO334" s="588" t="n"/>
      <c r="CP334" s="588" t="n"/>
      <c r="CQ334" s="588" t="n"/>
      <c r="CR334" s="588" t="n"/>
      <c r="CS334" s="588" t="n"/>
      <c r="CT334" s="588" t="n"/>
      <c r="CU334" s="588" t="n"/>
      <c r="CV334" s="588" t="n"/>
      <c r="CW334" s="588" t="n"/>
      <c r="CX334" s="588" t="n"/>
      <c r="CY334" s="588" t="n"/>
      <c r="CZ334" s="588" t="n"/>
      <c r="DA334" s="588" t="n"/>
      <c r="DB334" s="588" t="n"/>
      <c r="DC334" s="588" t="n"/>
      <c r="DD334" s="588" t="n"/>
      <c r="DE334" s="588" t="n"/>
      <c r="DF334" s="588" t="n"/>
      <c r="DG334" s="588" t="n"/>
      <c r="DH334" s="588" t="n"/>
      <c r="DI334" s="588" t="n"/>
      <c r="DJ334" s="588" t="n"/>
      <c r="DK334" s="588" t="n"/>
      <c r="DL334" s="588" t="n"/>
      <c r="DM334" s="588" t="n"/>
      <c r="DN334" s="588" t="n"/>
      <c r="DO334" s="588" t="n"/>
      <c r="DP334" s="588" t="n"/>
      <c r="DQ334" s="588" t="n"/>
      <c r="DR334" s="588" t="n"/>
      <c r="DS334" s="588" t="n"/>
      <c r="DT334" s="588" t="n"/>
      <c r="DU334" s="588" t="n"/>
    </row>
    <row r="335">
      <c r="A335" s="737" t="n"/>
      <c r="B335" s="737" t="n"/>
      <c r="C335" s="737" t="n"/>
      <c r="D335" s="737" t="n"/>
      <c r="E335" s="737" t="n"/>
      <c r="F335" s="737" t="n"/>
      <c r="G335" s="737" t="n"/>
      <c r="H335" s="737" t="n"/>
      <c r="I335" s="737" t="n"/>
      <c r="J335" s="737" t="n"/>
      <c r="K335" s="737" t="n"/>
      <c r="L335" s="737" t="n"/>
      <c r="M335" s="737" t="n"/>
      <c r="N335" s="737" t="n"/>
      <c r="O335" s="737" t="n"/>
      <c r="P335" s="737" t="n"/>
      <c r="Q335" s="737" t="n"/>
      <c r="R335" s="737" t="n"/>
      <c r="S335" s="737" t="n"/>
      <c r="T335" s="737" t="n"/>
      <c r="U335" s="737" t="n"/>
      <c r="V335" s="737" t="n"/>
      <c r="W335" s="737" t="n"/>
      <c r="X335" s="737" t="n"/>
      <c r="Y335" s="737" t="n"/>
      <c r="Z335" s="737" t="n"/>
      <c r="AA335" s="737" t="n"/>
      <c r="AB335" s="737" t="n"/>
      <c r="AC335" s="737" t="n"/>
      <c r="AD335" s="737" t="n"/>
      <c r="AE335" s="737" t="n"/>
      <c r="AF335" s="737" t="n"/>
      <c r="AG335" s="737" t="n"/>
      <c r="AH335" s="737" t="n"/>
      <c r="AI335" s="737" t="n"/>
      <c r="AJ335" s="737" t="n"/>
      <c r="AK335" s="588" t="n"/>
      <c r="AL335" s="588" t="n"/>
      <c r="AM335" s="588" t="n"/>
      <c r="AN335" s="588" t="n"/>
      <c r="AO335" s="588" t="n"/>
      <c r="AP335" s="588" t="n"/>
      <c r="AQ335" s="588" t="n"/>
      <c r="AR335" s="588" t="n"/>
      <c r="AS335" s="588" t="n"/>
      <c r="AT335" s="588" t="n"/>
      <c r="AU335" s="588" t="n"/>
      <c r="AV335" s="588" t="n"/>
      <c r="AW335" s="588" t="n"/>
      <c r="AX335" s="588" t="n"/>
      <c r="AY335" s="588" t="n"/>
      <c r="AZ335" s="588" t="n"/>
      <c r="BA335" s="588" t="n"/>
      <c r="BB335" s="588" t="n"/>
      <c r="BC335" s="588" t="n"/>
      <c r="BD335" s="588" t="n"/>
      <c r="BE335" s="588" t="n"/>
      <c r="BF335" s="588" t="n"/>
      <c r="BG335" s="588" t="n"/>
      <c r="BH335" s="588" t="n"/>
      <c r="BI335" s="588" t="n"/>
      <c r="BJ335" s="588" t="n"/>
      <c r="BK335" s="588" t="n"/>
      <c r="BL335" s="588" t="n"/>
      <c r="BM335" s="588" t="n"/>
      <c r="BN335" s="588" t="n"/>
      <c r="BO335" s="588" t="n"/>
      <c r="BP335" s="588" t="n"/>
      <c r="BQ335" s="588" t="n"/>
      <c r="BR335" s="588" t="n"/>
      <c r="BS335" s="588" t="n"/>
      <c r="BT335" s="588" t="n"/>
      <c r="BU335" s="588" t="n"/>
      <c r="BV335" s="588" t="n"/>
      <c r="BW335" s="588" t="n"/>
      <c r="BX335" s="588" t="n"/>
      <c r="BY335" s="588" t="n"/>
      <c r="BZ335" s="588" t="n"/>
      <c r="CA335" s="588" t="n"/>
      <c r="CB335" s="588" t="n"/>
      <c r="CC335" s="588" t="n"/>
      <c r="CD335" s="588" t="n"/>
      <c r="CE335" s="588" t="n"/>
      <c r="CF335" s="588" t="n"/>
      <c r="CG335" s="588" t="n"/>
      <c r="CH335" s="588" t="n"/>
      <c r="CI335" s="588" t="n"/>
      <c r="CJ335" s="588" t="n"/>
      <c r="CK335" s="588" t="n"/>
      <c r="CL335" s="588" t="n"/>
      <c r="CM335" s="588" t="n"/>
      <c r="CN335" s="588" t="n"/>
      <c r="CO335" s="588" t="n"/>
      <c r="CP335" s="588" t="n"/>
      <c r="CQ335" s="588" t="n"/>
      <c r="CR335" s="588" t="n"/>
      <c r="CS335" s="588" t="n"/>
      <c r="CT335" s="588" t="n"/>
      <c r="CU335" s="588" t="n"/>
      <c r="CV335" s="588" t="n"/>
      <c r="CW335" s="588" t="n"/>
      <c r="CX335" s="588" t="n"/>
      <c r="CY335" s="588" t="n"/>
      <c r="CZ335" s="588" t="n"/>
      <c r="DA335" s="588" t="n"/>
      <c r="DB335" s="588" t="n"/>
      <c r="DC335" s="588" t="n"/>
      <c r="DD335" s="588" t="n"/>
      <c r="DE335" s="588" t="n"/>
      <c r="DF335" s="588" t="n"/>
      <c r="DG335" s="588" t="n"/>
      <c r="DH335" s="588" t="n"/>
      <c r="DI335" s="588" t="n"/>
      <c r="DJ335" s="588" t="n"/>
      <c r="DK335" s="588" t="n"/>
      <c r="DL335" s="588" t="n"/>
      <c r="DM335" s="588" t="n"/>
      <c r="DN335" s="588" t="n"/>
      <c r="DO335" s="588" t="n"/>
      <c r="DP335" s="588" t="n"/>
      <c r="DQ335" s="588" t="n"/>
      <c r="DR335" s="588" t="n"/>
      <c r="DS335" s="588" t="n"/>
      <c r="DT335" s="588" t="n"/>
      <c r="DU335" s="588" t="n"/>
    </row>
    <row r="336">
      <c r="A336" s="737" t="n"/>
      <c r="B336" s="737" t="n"/>
      <c r="C336" s="737" t="n"/>
      <c r="D336" s="737" t="n"/>
      <c r="E336" s="737" t="n"/>
      <c r="F336" s="737" t="n"/>
      <c r="G336" s="737" t="n"/>
      <c r="H336" s="737" t="n"/>
      <c r="I336" s="737" t="n"/>
      <c r="J336" s="737" t="n"/>
      <c r="K336" s="737" t="n"/>
      <c r="L336" s="737" t="n"/>
      <c r="M336" s="737" t="n"/>
      <c r="N336" s="737" t="n"/>
      <c r="O336" s="737" t="n"/>
      <c r="P336" s="737" t="n"/>
      <c r="Q336" s="737" t="n"/>
      <c r="R336" s="737" t="n"/>
      <c r="S336" s="737" t="n"/>
      <c r="T336" s="737" t="n"/>
      <c r="U336" s="737" t="n"/>
      <c r="V336" s="737" t="n"/>
      <c r="W336" s="737" t="n"/>
      <c r="X336" s="737" t="n"/>
      <c r="Y336" s="737" t="n"/>
      <c r="Z336" s="737" t="n"/>
      <c r="AA336" s="737" t="n"/>
      <c r="AB336" s="737" t="n"/>
      <c r="AC336" s="737" t="n"/>
      <c r="AD336" s="737" t="n"/>
      <c r="AE336" s="737" t="n"/>
      <c r="AF336" s="737" t="n"/>
      <c r="AG336" s="737" t="n"/>
      <c r="AH336" s="737" t="n"/>
      <c r="AI336" s="737" t="n"/>
      <c r="AJ336" s="737" t="n"/>
      <c r="AK336" s="588" t="n"/>
      <c r="AL336" s="588" t="n"/>
      <c r="AM336" s="588" t="n"/>
      <c r="AN336" s="588" t="n"/>
      <c r="AO336" s="588" t="n"/>
      <c r="AP336" s="588" t="n"/>
      <c r="AQ336" s="588" t="n"/>
      <c r="AR336" s="588" t="n"/>
      <c r="AS336" s="588" t="n"/>
      <c r="AT336" s="588" t="n"/>
      <c r="AU336" s="588" t="n"/>
      <c r="AV336" s="588" t="n"/>
      <c r="AW336" s="588" t="n"/>
      <c r="AX336" s="588" t="n"/>
      <c r="AY336" s="588" t="n"/>
      <c r="AZ336" s="588" t="n"/>
      <c r="BA336" s="588" t="n"/>
      <c r="BB336" s="588" t="n"/>
      <c r="BC336" s="588" t="n"/>
      <c r="BD336" s="588" t="n"/>
      <c r="BE336" s="588" t="n"/>
      <c r="BF336" s="588" t="n"/>
      <c r="BG336" s="588" t="n"/>
      <c r="BH336" s="588" t="n"/>
      <c r="BI336" s="588" t="n"/>
      <c r="BJ336" s="588" t="n"/>
      <c r="BK336" s="588" t="n"/>
      <c r="BL336" s="588" t="n"/>
      <c r="BM336" s="588" t="n"/>
      <c r="BN336" s="588" t="n"/>
      <c r="BO336" s="588" t="n"/>
      <c r="BP336" s="588" t="n"/>
      <c r="BQ336" s="588" t="n"/>
      <c r="BR336" s="588" t="n"/>
      <c r="BS336" s="588" t="n"/>
      <c r="BT336" s="588" t="n"/>
      <c r="BU336" s="588" t="n"/>
      <c r="BV336" s="588" t="n"/>
      <c r="BW336" s="588" t="n"/>
      <c r="BX336" s="588" t="n"/>
      <c r="BY336" s="588" t="n"/>
      <c r="BZ336" s="588" t="n"/>
      <c r="CA336" s="588" t="n"/>
      <c r="CB336" s="588" t="n"/>
      <c r="CC336" s="588" t="n"/>
      <c r="CD336" s="588" t="n"/>
      <c r="CE336" s="588" t="n"/>
      <c r="CF336" s="588" t="n"/>
      <c r="CG336" s="588" t="n"/>
      <c r="CH336" s="588" t="n"/>
      <c r="CI336" s="588" t="n"/>
      <c r="CJ336" s="588" t="n"/>
      <c r="CK336" s="588" t="n"/>
      <c r="CL336" s="588" t="n"/>
      <c r="CM336" s="588" t="n"/>
      <c r="CN336" s="588" t="n"/>
      <c r="CO336" s="588" t="n"/>
      <c r="CP336" s="588" t="n"/>
      <c r="CQ336" s="588" t="n"/>
      <c r="CR336" s="588" t="n"/>
      <c r="CS336" s="588" t="n"/>
      <c r="CT336" s="588" t="n"/>
      <c r="CU336" s="588" t="n"/>
      <c r="CV336" s="588" t="n"/>
      <c r="CW336" s="588" t="n"/>
      <c r="CX336" s="588" t="n"/>
      <c r="CY336" s="588" t="n"/>
      <c r="CZ336" s="588" t="n"/>
      <c r="DA336" s="588" t="n"/>
      <c r="DB336" s="588" t="n"/>
      <c r="DC336" s="588" t="n"/>
      <c r="DD336" s="588" t="n"/>
      <c r="DE336" s="588" t="n"/>
      <c r="DF336" s="588" t="n"/>
      <c r="DG336" s="588" t="n"/>
      <c r="DH336" s="588" t="n"/>
      <c r="DI336" s="588" t="n"/>
      <c r="DJ336" s="588" t="n"/>
      <c r="DK336" s="588" t="n"/>
      <c r="DL336" s="588" t="n"/>
      <c r="DM336" s="588" t="n"/>
      <c r="DN336" s="588" t="n"/>
      <c r="DO336" s="588" t="n"/>
      <c r="DP336" s="588" t="n"/>
      <c r="DQ336" s="588" t="n"/>
      <c r="DR336" s="588" t="n"/>
      <c r="DS336" s="588" t="n"/>
      <c r="DT336" s="588" t="n"/>
      <c r="DU336" s="588" t="n"/>
    </row>
    <row r="337">
      <c r="A337" s="737" t="n"/>
      <c r="B337" s="737" t="n"/>
      <c r="C337" s="737" t="n"/>
      <c r="D337" s="737" t="n"/>
      <c r="E337" s="737" t="n"/>
      <c r="F337" s="737" t="n"/>
      <c r="G337" s="737" t="n"/>
      <c r="H337" s="737" t="n"/>
      <c r="I337" s="737" t="n"/>
      <c r="J337" s="737" t="n"/>
      <c r="K337" s="737" t="n"/>
      <c r="L337" s="737" t="n"/>
      <c r="M337" s="737" t="n"/>
      <c r="N337" s="737" t="n"/>
      <c r="O337" s="737" t="n"/>
      <c r="P337" s="737" t="n"/>
      <c r="Q337" s="737" t="n"/>
      <c r="R337" s="737" t="n"/>
      <c r="S337" s="737" t="n"/>
      <c r="T337" s="737" t="n"/>
      <c r="U337" s="737" t="n"/>
      <c r="V337" s="737" t="n"/>
      <c r="W337" s="737" t="n"/>
      <c r="X337" s="737" t="n"/>
      <c r="Y337" s="737" t="n"/>
      <c r="Z337" s="737" t="n"/>
      <c r="AA337" s="737" t="n"/>
      <c r="AB337" s="737" t="n"/>
      <c r="AC337" s="737" t="n"/>
      <c r="AD337" s="737" t="n"/>
      <c r="AE337" s="737" t="n"/>
      <c r="AF337" s="737" t="n"/>
      <c r="AG337" s="737" t="n"/>
      <c r="AH337" s="737" t="n"/>
      <c r="AI337" s="737" t="n"/>
      <c r="AJ337" s="737" t="n"/>
      <c r="AK337" s="588" t="n"/>
      <c r="AL337" s="588" t="n"/>
      <c r="AM337" s="588" t="n"/>
      <c r="AN337" s="588" t="n"/>
      <c r="AO337" s="588" t="n"/>
      <c r="AP337" s="588" t="n"/>
      <c r="AQ337" s="588" t="n"/>
      <c r="AR337" s="588" t="n"/>
      <c r="AS337" s="588" t="n"/>
      <c r="AT337" s="588" t="n"/>
      <c r="AU337" s="588" t="n"/>
      <c r="AV337" s="588" t="n"/>
      <c r="AW337" s="588" t="n"/>
      <c r="AX337" s="588" t="n"/>
      <c r="AY337" s="588" t="n"/>
      <c r="AZ337" s="588" t="n"/>
      <c r="BA337" s="588" t="n"/>
      <c r="BB337" s="588" t="n"/>
      <c r="BC337" s="588" t="n"/>
      <c r="BD337" s="588" t="n"/>
      <c r="BE337" s="588" t="n"/>
      <c r="BF337" s="588" t="n"/>
      <c r="BG337" s="588" t="n"/>
      <c r="BH337" s="588" t="n"/>
      <c r="BI337" s="588" t="n"/>
      <c r="BJ337" s="588" t="n"/>
      <c r="BK337" s="588" t="n"/>
      <c r="BL337" s="588" t="n"/>
      <c r="BM337" s="588" t="n"/>
      <c r="BN337" s="588" t="n"/>
      <c r="BO337" s="588" t="n"/>
      <c r="BP337" s="588" t="n"/>
      <c r="BQ337" s="588" t="n"/>
      <c r="BR337" s="588" t="n"/>
      <c r="BS337" s="588" t="n"/>
      <c r="BT337" s="588" t="n"/>
      <c r="BU337" s="588" t="n"/>
      <c r="BV337" s="588" t="n"/>
      <c r="BW337" s="588" t="n"/>
      <c r="BX337" s="588" t="n"/>
      <c r="BY337" s="588" t="n"/>
      <c r="BZ337" s="588" t="n"/>
      <c r="CA337" s="588" t="n"/>
      <c r="CB337" s="588" t="n"/>
      <c r="CC337" s="588" t="n"/>
      <c r="CD337" s="588" t="n"/>
      <c r="CE337" s="588" t="n"/>
      <c r="CF337" s="588" t="n"/>
      <c r="CG337" s="588" t="n"/>
      <c r="CH337" s="588" t="n"/>
      <c r="CI337" s="588" t="n"/>
      <c r="CJ337" s="588" t="n"/>
      <c r="CK337" s="588" t="n"/>
      <c r="CL337" s="588" t="n"/>
      <c r="CM337" s="588" t="n"/>
      <c r="CN337" s="588" t="n"/>
      <c r="CO337" s="588" t="n"/>
      <c r="CP337" s="588" t="n"/>
      <c r="CQ337" s="588" t="n"/>
      <c r="CR337" s="588" t="n"/>
      <c r="CS337" s="588" t="n"/>
      <c r="CT337" s="588" t="n"/>
      <c r="CU337" s="588" t="n"/>
      <c r="CV337" s="588" t="n"/>
      <c r="CW337" s="588" t="n"/>
      <c r="CX337" s="588" t="n"/>
      <c r="CY337" s="588" t="n"/>
      <c r="CZ337" s="588" t="n"/>
      <c r="DA337" s="588" t="n"/>
      <c r="DB337" s="588" t="n"/>
      <c r="DC337" s="588" t="n"/>
      <c r="DD337" s="588" t="n"/>
      <c r="DE337" s="588" t="n"/>
      <c r="DF337" s="588" t="n"/>
      <c r="DG337" s="588" t="n"/>
      <c r="DH337" s="588" t="n"/>
      <c r="DI337" s="588" t="n"/>
      <c r="DJ337" s="588" t="n"/>
      <c r="DK337" s="588" t="n"/>
      <c r="DL337" s="588" t="n"/>
      <c r="DM337" s="588" t="n"/>
      <c r="DN337" s="588" t="n"/>
      <c r="DO337" s="588" t="n"/>
      <c r="DP337" s="588" t="n"/>
      <c r="DQ337" s="588" t="n"/>
      <c r="DR337" s="588" t="n"/>
      <c r="DS337" s="588" t="n"/>
      <c r="DT337" s="588" t="n"/>
      <c r="DU337" s="588" t="n"/>
    </row>
    <row r="338">
      <c r="A338" s="737" t="n"/>
      <c r="B338" s="737" t="n"/>
      <c r="C338" s="737" t="n"/>
      <c r="D338" s="737" t="n"/>
      <c r="E338" s="737" t="n"/>
      <c r="F338" s="737" t="n"/>
      <c r="G338" s="737" t="n"/>
      <c r="H338" s="737" t="n"/>
      <c r="I338" s="737" t="n"/>
      <c r="J338" s="737" t="n"/>
      <c r="K338" s="737" t="n"/>
      <c r="L338" s="737" t="n"/>
      <c r="M338" s="737" t="n"/>
      <c r="N338" s="737" t="n"/>
      <c r="O338" s="737" t="n"/>
      <c r="P338" s="737" t="n"/>
      <c r="Q338" s="737" t="n"/>
      <c r="R338" s="737" t="n"/>
      <c r="S338" s="737" t="n"/>
      <c r="T338" s="737" t="n"/>
      <c r="U338" s="737" t="n"/>
      <c r="V338" s="737" t="n"/>
      <c r="W338" s="737" t="n"/>
      <c r="X338" s="737" t="n"/>
      <c r="Y338" s="737" t="n"/>
      <c r="Z338" s="737" t="n"/>
      <c r="AA338" s="737" t="n"/>
      <c r="AB338" s="737" t="n"/>
      <c r="AC338" s="737" t="n"/>
      <c r="AD338" s="737" t="n"/>
      <c r="AE338" s="737" t="n"/>
      <c r="AF338" s="737" t="n"/>
      <c r="AG338" s="737" t="n"/>
      <c r="AH338" s="737" t="n"/>
      <c r="AI338" s="737" t="n"/>
      <c r="AJ338" s="737" t="n"/>
      <c r="AK338" s="588" t="n"/>
      <c r="AL338" s="588" t="n"/>
      <c r="AM338" s="588" t="n"/>
      <c r="AN338" s="588" t="n"/>
      <c r="AO338" s="588" t="n"/>
      <c r="AP338" s="588" t="n"/>
      <c r="AQ338" s="588" t="n"/>
      <c r="AR338" s="588" t="n"/>
      <c r="AS338" s="588" t="n"/>
      <c r="AT338" s="588" t="n"/>
      <c r="AU338" s="588" t="n"/>
      <c r="AV338" s="588" t="n"/>
      <c r="AW338" s="588" t="n"/>
      <c r="AX338" s="588" t="n"/>
      <c r="AY338" s="588" t="n"/>
      <c r="AZ338" s="588" t="n"/>
      <c r="BA338" s="588" t="n"/>
      <c r="BB338" s="588" t="n"/>
      <c r="BC338" s="588" t="n"/>
      <c r="BD338" s="588" t="n"/>
      <c r="BE338" s="588" t="n"/>
      <c r="BF338" s="588" t="n"/>
      <c r="BG338" s="588" t="n"/>
      <c r="BH338" s="588" t="n"/>
      <c r="BI338" s="588" t="n"/>
      <c r="BJ338" s="588" t="n"/>
      <c r="BK338" s="588" t="n"/>
      <c r="BL338" s="588" t="n"/>
      <c r="BM338" s="588" t="n"/>
      <c r="BN338" s="588" t="n"/>
      <c r="BO338" s="588" t="n"/>
      <c r="BP338" s="588" t="n"/>
      <c r="BQ338" s="588" t="n"/>
      <c r="BR338" s="588" t="n"/>
      <c r="BS338" s="588" t="n"/>
      <c r="BT338" s="588" t="n"/>
      <c r="BU338" s="588" t="n"/>
      <c r="BV338" s="588" t="n"/>
      <c r="BW338" s="588" t="n"/>
      <c r="BX338" s="588" t="n"/>
      <c r="BY338" s="588" t="n"/>
      <c r="BZ338" s="588" t="n"/>
      <c r="CA338" s="588" t="n"/>
      <c r="CB338" s="588" t="n"/>
      <c r="CC338" s="588" t="n"/>
      <c r="CD338" s="588" t="n"/>
      <c r="CE338" s="588" t="n"/>
      <c r="CF338" s="588" t="n"/>
      <c r="CG338" s="588" t="n"/>
      <c r="CH338" s="588" t="n"/>
      <c r="CI338" s="588" t="n"/>
      <c r="CJ338" s="588" t="n"/>
      <c r="CK338" s="588" t="n"/>
      <c r="CL338" s="588" t="n"/>
      <c r="CM338" s="588" t="n"/>
      <c r="CN338" s="588" t="n"/>
      <c r="CO338" s="588" t="n"/>
      <c r="CP338" s="588" t="n"/>
      <c r="CQ338" s="588" t="n"/>
      <c r="CR338" s="588" t="n"/>
      <c r="CS338" s="588" t="n"/>
      <c r="CT338" s="588" t="n"/>
      <c r="CU338" s="588" t="n"/>
      <c r="CV338" s="588" t="n"/>
      <c r="CW338" s="588" t="n"/>
      <c r="CX338" s="588" t="n"/>
      <c r="CY338" s="588" t="n"/>
      <c r="CZ338" s="588" t="n"/>
      <c r="DA338" s="588" t="n"/>
      <c r="DB338" s="588" t="n"/>
      <c r="DC338" s="588" t="n"/>
      <c r="DD338" s="588" t="n"/>
      <c r="DE338" s="588" t="n"/>
      <c r="DF338" s="588" t="n"/>
      <c r="DG338" s="588" t="n"/>
      <c r="DH338" s="588" t="n"/>
      <c r="DI338" s="588" t="n"/>
      <c r="DJ338" s="588" t="n"/>
      <c r="DK338" s="588" t="n"/>
      <c r="DL338" s="588" t="n"/>
      <c r="DM338" s="588" t="n"/>
      <c r="DN338" s="588" t="n"/>
      <c r="DO338" s="588" t="n"/>
      <c r="DP338" s="588" t="n"/>
      <c r="DQ338" s="588" t="n"/>
      <c r="DR338" s="588" t="n"/>
      <c r="DS338" s="588" t="n"/>
      <c r="DT338" s="588" t="n"/>
      <c r="DU338" s="588" t="n"/>
    </row>
    <row r="339">
      <c r="A339" s="737" t="n"/>
      <c r="B339" s="737" t="n"/>
      <c r="C339" s="737" t="n"/>
      <c r="D339" s="737" t="n"/>
      <c r="E339" s="737" t="n"/>
      <c r="F339" s="737" t="n"/>
      <c r="G339" s="737" t="n"/>
      <c r="H339" s="737" t="n"/>
      <c r="I339" s="737" t="n"/>
      <c r="J339" s="737" t="n"/>
      <c r="K339" s="737" t="n"/>
      <c r="L339" s="737" t="n"/>
      <c r="M339" s="737" t="n"/>
      <c r="N339" s="737" t="n"/>
      <c r="O339" s="737" t="n"/>
      <c r="P339" s="737" t="n"/>
      <c r="Q339" s="737" t="n"/>
      <c r="R339" s="737" t="n"/>
      <c r="S339" s="737" t="n"/>
      <c r="T339" s="737" t="n"/>
      <c r="U339" s="737" t="n"/>
      <c r="V339" s="737" t="n"/>
      <c r="W339" s="737" t="n"/>
      <c r="X339" s="737" t="n"/>
      <c r="Y339" s="737" t="n"/>
      <c r="Z339" s="737" t="n"/>
      <c r="AA339" s="737" t="n"/>
      <c r="AB339" s="737" t="n"/>
      <c r="AC339" s="737" t="n"/>
      <c r="AD339" s="737" t="n"/>
      <c r="AE339" s="737" t="n"/>
      <c r="AF339" s="737" t="n"/>
      <c r="AG339" s="737" t="n"/>
      <c r="AH339" s="737" t="n"/>
      <c r="AI339" s="737" t="n"/>
      <c r="AJ339" s="737" t="n"/>
      <c r="AK339" s="588" t="n"/>
      <c r="AL339" s="588" t="n"/>
      <c r="AM339" s="588" t="n"/>
      <c r="AN339" s="588" t="n"/>
      <c r="AO339" s="588" t="n"/>
      <c r="AP339" s="588" t="n"/>
      <c r="AQ339" s="588" t="n"/>
      <c r="AR339" s="588" t="n"/>
      <c r="AS339" s="588" t="n"/>
      <c r="AT339" s="588" t="n"/>
      <c r="AU339" s="588" t="n"/>
      <c r="AV339" s="588" t="n"/>
      <c r="AW339" s="588" t="n"/>
      <c r="AX339" s="588" t="n"/>
      <c r="AY339" s="588" t="n"/>
      <c r="AZ339" s="588" t="n"/>
      <c r="BA339" s="588" t="n"/>
      <c r="BB339" s="588" t="n"/>
      <c r="BC339" s="588" t="n"/>
      <c r="BD339" s="588" t="n"/>
      <c r="BE339" s="588" t="n"/>
      <c r="BF339" s="588" t="n"/>
      <c r="BG339" s="588" t="n"/>
      <c r="BH339" s="588" t="n"/>
      <c r="BI339" s="588" t="n"/>
      <c r="BJ339" s="588" t="n"/>
      <c r="BK339" s="588" t="n"/>
      <c r="BL339" s="588" t="n"/>
      <c r="BM339" s="588" t="n"/>
      <c r="BN339" s="588" t="n"/>
      <c r="BO339" s="588" t="n"/>
      <c r="BP339" s="588" t="n"/>
      <c r="BQ339" s="588" t="n"/>
      <c r="BR339" s="588" t="n"/>
      <c r="BS339" s="588" t="n"/>
      <c r="BT339" s="588" t="n"/>
      <c r="BU339" s="588" t="n"/>
      <c r="BV339" s="588" t="n"/>
      <c r="BW339" s="588" t="n"/>
      <c r="BX339" s="588" t="n"/>
      <c r="BY339" s="588" t="n"/>
      <c r="BZ339" s="588" t="n"/>
      <c r="CA339" s="588" t="n"/>
      <c r="CB339" s="588" t="n"/>
      <c r="CC339" s="588" t="n"/>
      <c r="CD339" s="588" t="n"/>
      <c r="CE339" s="588" t="n"/>
      <c r="CF339" s="588" t="n"/>
      <c r="CG339" s="588" t="n"/>
      <c r="CH339" s="588" t="n"/>
      <c r="CI339" s="588" t="n"/>
      <c r="CJ339" s="588" t="n"/>
      <c r="CK339" s="588" t="n"/>
      <c r="CL339" s="588" t="n"/>
      <c r="CM339" s="588" t="n"/>
      <c r="CN339" s="588" t="n"/>
      <c r="CO339" s="588" t="n"/>
      <c r="CP339" s="588" t="n"/>
      <c r="CQ339" s="588" t="n"/>
      <c r="CR339" s="588" t="n"/>
      <c r="CS339" s="588" t="n"/>
      <c r="CT339" s="588" t="n"/>
      <c r="CU339" s="588" t="n"/>
      <c r="CV339" s="588" t="n"/>
      <c r="CW339" s="588" t="n"/>
      <c r="CX339" s="588" t="n"/>
      <c r="CY339" s="588" t="n"/>
      <c r="CZ339" s="588" t="n"/>
      <c r="DA339" s="588" t="n"/>
      <c r="DB339" s="588" t="n"/>
      <c r="DC339" s="588" t="n"/>
      <c r="DD339" s="588" t="n"/>
      <c r="DE339" s="588" t="n"/>
      <c r="DF339" s="588" t="n"/>
      <c r="DG339" s="588" t="n"/>
      <c r="DH339" s="588" t="n"/>
      <c r="DI339" s="588" t="n"/>
      <c r="DJ339" s="588" t="n"/>
      <c r="DK339" s="588" t="n"/>
      <c r="DL339" s="588" t="n"/>
      <c r="DM339" s="588" t="n"/>
      <c r="DN339" s="588" t="n"/>
      <c r="DO339" s="588" t="n"/>
      <c r="DP339" s="588" t="n"/>
      <c r="DQ339" s="588" t="n"/>
      <c r="DR339" s="588" t="n"/>
      <c r="DS339" s="588" t="n"/>
      <c r="DT339" s="588" t="n"/>
      <c r="DU339" s="588" t="n"/>
    </row>
    <row r="340">
      <c r="A340" s="737" t="n"/>
      <c r="B340" s="737" t="n"/>
      <c r="C340" s="737" t="n"/>
      <c r="D340" s="737" t="n"/>
      <c r="E340" s="737" t="n"/>
      <c r="F340" s="737" t="n"/>
      <c r="G340" s="737" t="n"/>
      <c r="H340" s="737" t="n"/>
      <c r="I340" s="737" t="n"/>
      <c r="J340" s="737" t="n"/>
      <c r="K340" s="737" t="n"/>
      <c r="L340" s="737" t="n"/>
      <c r="M340" s="737" t="n"/>
      <c r="N340" s="737" t="n"/>
      <c r="O340" s="737" t="n"/>
      <c r="P340" s="737" t="n"/>
      <c r="Q340" s="737" t="n"/>
      <c r="R340" s="737" t="n"/>
      <c r="S340" s="737" t="n"/>
      <c r="T340" s="737" t="n"/>
      <c r="U340" s="737" t="n"/>
      <c r="V340" s="737" t="n"/>
      <c r="W340" s="737" t="n"/>
      <c r="X340" s="737" t="n"/>
      <c r="Y340" s="737" t="n"/>
      <c r="Z340" s="737" t="n"/>
      <c r="AA340" s="737" t="n"/>
      <c r="AB340" s="737" t="n"/>
      <c r="AC340" s="737" t="n"/>
      <c r="AD340" s="737" t="n"/>
      <c r="AE340" s="737" t="n"/>
      <c r="AF340" s="737" t="n"/>
      <c r="AG340" s="737" t="n"/>
      <c r="AH340" s="737" t="n"/>
      <c r="AI340" s="737" t="n"/>
      <c r="AJ340" s="737" t="n"/>
      <c r="AK340" s="588" t="n"/>
      <c r="AL340" s="588" t="n"/>
      <c r="AM340" s="588" t="n"/>
      <c r="AN340" s="588" t="n"/>
      <c r="AO340" s="588" t="n"/>
      <c r="AP340" s="588" t="n"/>
      <c r="AQ340" s="588" t="n"/>
      <c r="AR340" s="588" t="n"/>
      <c r="AS340" s="588" t="n"/>
      <c r="AT340" s="588" t="n"/>
      <c r="AU340" s="588" t="n"/>
      <c r="AV340" s="588" t="n"/>
      <c r="AW340" s="588" t="n"/>
      <c r="AX340" s="588" t="n"/>
      <c r="AY340" s="588" t="n"/>
      <c r="AZ340" s="588" t="n"/>
      <c r="BA340" s="588" t="n"/>
      <c r="BB340" s="588" t="n"/>
      <c r="BC340" s="588" t="n"/>
      <c r="BD340" s="588" t="n"/>
      <c r="BE340" s="588" t="n"/>
      <c r="BF340" s="588" t="n"/>
      <c r="BG340" s="588" t="n"/>
      <c r="BH340" s="588" t="n"/>
      <c r="BI340" s="588" t="n"/>
      <c r="BJ340" s="588" t="n"/>
      <c r="BK340" s="588" t="n"/>
      <c r="BL340" s="588" t="n"/>
      <c r="BM340" s="588" t="n"/>
      <c r="BN340" s="588" t="n"/>
      <c r="BO340" s="588" t="n"/>
      <c r="BP340" s="588" t="n"/>
      <c r="BQ340" s="588" t="n"/>
      <c r="BR340" s="588" t="n"/>
      <c r="BS340" s="588" t="n"/>
      <c r="BT340" s="588" t="n"/>
      <c r="BU340" s="588" t="n"/>
      <c r="BV340" s="588" t="n"/>
      <c r="BW340" s="588" t="n"/>
      <c r="BX340" s="588" t="n"/>
      <c r="BY340" s="588" t="n"/>
      <c r="BZ340" s="588" t="n"/>
      <c r="CA340" s="588" t="n"/>
      <c r="CB340" s="588" t="n"/>
      <c r="CC340" s="588" t="n"/>
      <c r="CD340" s="588" t="n"/>
      <c r="CE340" s="588" t="n"/>
      <c r="CF340" s="588" t="n"/>
      <c r="CG340" s="588" t="n"/>
      <c r="CH340" s="588" t="n"/>
      <c r="CI340" s="588" t="n"/>
      <c r="CJ340" s="588" t="n"/>
      <c r="CK340" s="588" t="n"/>
      <c r="CL340" s="588" t="n"/>
      <c r="CM340" s="588" t="n"/>
      <c r="CN340" s="588" t="n"/>
      <c r="CO340" s="588" t="n"/>
      <c r="CP340" s="588" t="n"/>
      <c r="CQ340" s="588" t="n"/>
      <c r="CR340" s="588" t="n"/>
      <c r="CS340" s="588" t="n"/>
      <c r="CT340" s="588" t="n"/>
      <c r="CU340" s="588" t="n"/>
      <c r="CV340" s="588" t="n"/>
      <c r="CW340" s="588" t="n"/>
      <c r="CX340" s="588" t="n"/>
      <c r="CY340" s="588" t="n"/>
      <c r="CZ340" s="588" t="n"/>
      <c r="DA340" s="588" t="n"/>
      <c r="DB340" s="588" t="n"/>
      <c r="DC340" s="588" t="n"/>
      <c r="DD340" s="588" t="n"/>
      <c r="DE340" s="588" t="n"/>
      <c r="DF340" s="588" t="n"/>
      <c r="DG340" s="588" t="n"/>
      <c r="DH340" s="588" t="n"/>
      <c r="DI340" s="588" t="n"/>
      <c r="DJ340" s="588" t="n"/>
      <c r="DK340" s="588" t="n"/>
      <c r="DL340" s="588" t="n"/>
      <c r="DM340" s="588" t="n"/>
      <c r="DN340" s="588" t="n"/>
      <c r="DO340" s="588" t="n"/>
      <c r="DP340" s="588" t="n"/>
      <c r="DQ340" s="588" t="n"/>
      <c r="DR340" s="588" t="n"/>
      <c r="DS340" s="588" t="n"/>
      <c r="DT340" s="588" t="n"/>
      <c r="DU340" s="588" t="n"/>
    </row>
    <row r="341">
      <c r="A341" s="737" t="n"/>
      <c r="B341" s="737" t="n"/>
      <c r="C341" s="737" t="n"/>
      <c r="D341" s="737" t="n"/>
      <c r="E341" s="737" t="n"/>
      <c r="F341" s="737" t="n"/>
      <c r="G341" s="737" t="n"/>
      <c r="H341" s="737" t="n"/>
      <c r="I341" s="737" t="n"/>
      <c r="J341" s="737" t="n"/>
      <c r="K341" s="737" t="n"/>
      <c r="L341" s="737" t="n"/>
      <c r="M341" s="737" t="n"/>
      <c r="N341" s="737" t="n"/>
      <c r="O341" s="737" t="n"/>
      <c r="P341" s="737" t="n"/>
      <c r="Q341" s="737" t="n"/>
      <c r="R341" s="737" t="n"/>
      <c r="S341" s="737" t="n"/>
      <c r="T341" s="737" t="n"/>
      <c r="U341" s="737" t="n"/>
      <c r="V341" s="737" t="n"/>
      <c r="W341" s="737" t="n"/>
      <c r="X341" s="737" t="n"/>
      <c r="Y341" s="737" t="n"/>
      <c r="Z341" s="737" t="n"/>
      <c r="AA341" s="737" t="n"/>
      <c r="AB341" s="737" t="n"/>
      <c r="AC341" s="737" t="n"/>
      <c r="AD341" s="737" t="n"/>
      <c r="AE341" s="737" t="n"/>
      <c r="AF341" s="737" t="n"/>
      <c r="AG341" s="737" t="n"/>
      <c r="AH341" s="737" t="n"/>
      <c r="AI341" s="737" t="n"/>
      <c r="AJ341" s="737" t="n"/>
      <c r="AK341" s="588" t="n"/>
      <c r="AL341" s="588" t="n"/>
      <c r="AM341" s="588" t="n"/>
      <c r="AN341" s="588" t="n"/>
      <c r="AO341" s="588" t="n"/>
      <c r="AP341" s="588" t="n"/>
      <c r="AQ341" s="588" t="n"/>
      <c r="AR341" s="588" t="n"/>
      <c r="AS341" s="588" t="n"/>
      <c r="AT341" s="588" t="n"/>
      <c r="AU341" s="588" t="n"/>
      <c r="AV341" s="588" t="n"/>
      <c r="AW341" s="588" t="n"/>
      <c r="AX341" s="588" t="n"/>
      <c r="AY341" s="588" t="n"/>
      <c r="AZ341" s="588" t="n"/>
      <c r="BA341" s="588" t="n"/>
      <c r="BB341" s="588" t="n"/>
      <c r="BC341" s="588" t="n"/>
      <c r="BD341" s="588" t="n"/>
      <c r="BE341" s="588" t="n"/>
      <c r="BF341" s="588" t="n"/>
      <c r="BG341" s="588" t="n"/>
      <c r="BH341" s="588" t="n"/>
      <c r="BI341" s="588" t="n"/>
      <c r="BJ341" s="588" t="n"/>
      <c r="BK341" s="588" t="n"/>
      <c r="BL341" s="588" t="n"/>
      <c r="BM341" s="588" t="n"/>
      <c r="BN341" s="588" t="n"/>
      <c r="BO341" s="588" t="n"/>
      <c r="BP341" s="588" t="n"/>
      <c r="BQ341" s="588" t="n"/>
      <c r="BR341" s="588" t="n"/>
      <c r="BS341" s="588" t="n"/>
      <c r="BT341" s="588" t="n"/>
      <c r="BU341" s="588" t="n"/>
      <c r="BV341" s="588" t="n"/>
      <c r="BW341" s="588" t="n"/>
      <c r="BX341" s="588" t="n"/>
      <c r="BY341" s="588" t="n"/>
      <c r="BZ341" s="588" t="n"/>
      <c r="CA341" s="588" t="n"/>
      <c r="CB341" s="588" t="n"/>
      <c r="CC341" s="588" t="n"/>
      <c r="CD341" s="588" t="n"/>
      <c r="CE341" s="588" t="n"/>
      <c r="CF341" s="588" t="n"/>
      <c r="CG341" s="588" t="n"/>
      <c r="CH341" s="588" t="n"/>
      <c r="CI341" s="588" t="n"/>
      <c r="CJ341" s="588" t="n"/>
      <c r="CK341" s="588" t="n"/>
      <c r="CL341" s="588" t="n"/>
      <c r="CM341" s="588" t="n"/>
      <c r="CN341" s="588" t="n"/>
      <c r="CO341" s="588" t="n"/>
      <c r="CP341" s="588" t="n"/>
      <c r="CQ341" s="588" t="n"/>
      <c r="CR341" s="588" t="n"/>
      <c r="CS341" s="588" t="n"/>
      <c r="CT341" s="588" t="n"/>
      <c r="CU341" s="588" t="n"/>
      <c r="CV341" s="588" t="n"/>
      <c r="CW341" s="588" t="n"/>
      <c r="CX341" s="588" t="n"/>
      <c r="CY341" s="588" t="n"/>
      <c r="CZ341" s="588" t="n"/>
      <c r="DA341" s="588" t="n"/>
      <c r="DB341" s="588" t="n"/>
      <c r="DC341" s="588" t="n"/>
      <c r="DD341" s="588" t="n"/>
      <c r="DE341" s="588" t="n"/>
      <c r="DF341" s="588" t="n"/>
      <c r="DG341" s="588" t="n"/>
      <c r="DH341" s="588" t="n"/>
      <c r="DI341" s="588" t="n"/>
      <c r="DJ341" s="588" t="n"/>
      <c r="DK341" s="588" t="n"/>
      <c r="DL341" s="588" t="n"/>
      <c r="DM341" s="588" t="n"/>
      <c r="DN341" s="588" t="n"/>
      <c r="DO341" s="588" t="n"/>
      <c r="DP341" s="588" t="n"/>
      <c r="DQ341" s="588" t="n"/>
      <c r="DR341" s="588" t="n"/>
      <c r="DS341" s="588" t="n"/>
      <c r="DT341" s="588" t="n"/>
      <c r="DU341" s="588" t="n"/>
    </row>
    <row r="342">
      <c r="A342" s="737" t="n"/>
      <c r="B342" s="737" t="n"/>
      <c r="C342" s="737" t="n"/>
      <c r="D342" s="737" t="n"/>
      <c r="E342" s="737" t="n"/>
      <c r="F342" s="737" t="n"/>
      <c r="G342" s="737" t="n"/>
      <c r="H342" s="737" t="n"/>
      <c r="I342" s="737" t="n"/>
      <c r="J342" s="737" t="n"/>
      <c r="K342" s="737" t="n"/>
      <c r="L342" s="737" t="n"/>
      <c r="M342" s="737" t="n"/>
      <c r="N342" s="737" t="n"/>
      <c r="O342" s="737" t="n"/>
      <c r="P342" s="737" t="n"/>
      <c r="Q342" s="737" t="n"/>
      <c r="R342" s="737" t="n"/>
      <c r="S342" s="737" t="n"/>
      <c r="T342" s="737" t="n"/>
      <c r="U342" s="737" t="n"/>
      <c r="V342" s="737" t="n"/>
      <c r="W342" s="737" t="n"/>
      <c r="X342" s="737" t="n"/>
      <c r="Y342" s="737" t="n"/>
      <c r="Z342" s="737" t="n"/>
      <c r="AA342" s="737" t="n"/>
      <c r="AB342" s="737" t="n"/>
      <c r="AC342" s="737" t="n"/>
      <c r="AD342" s="737" t="n"/>
      <c r="AE342" s="737" t="n"/>
      <c r="AF342" s="737" t="n"/>
      <c r="AG342" s="737" t="n"/>
      <c r="AH342" s="737" t="n"/>
      <c r="AI342" s="737" t="n"/>
      <c r="AJ342" s="737" t="n"/>
      <c r="AK342" s="588" t="n"/>
      <c r="AL342" s="588" t="n"/>
      <c r="AM342" s="588" t="n"/>
      <c r="AN342" s="588" t="n"/>
      <c r="AO342" s="588" t="n"/>
      <c r="AP342" s="588" t="n"/>
      <c r="AQ342" s="588" t="n"/>
      <c r="AR342" s="588" t="n"/>
      <c r="AS342" s="588" t="n"/>
      <c r="AT342" s="588" t="n"/>
      <c r="AU342" s="588" t="n"/>
      <c r="AV342" s="588" t="n"/>
      <c r="AW342" s="588" t="n"/>
      <c r="AX342" s="588" t="n"/>
      <c r="AY342" s="588" t="n"/>
      <c r="AZ342" s="588" t="n"/>
      <c r="BA342" s="588" t="n"/>
      <c r="BB342" s="588" t="n"/>
      <c r="BC342" s="588" t="n"/>
      <c r="BD342" s="588" t="n"/>
      <c r="BE342" s="588" t="n"/>
      <c r="BF342" s="588" t="n"/>
      <c r="BG342" s="588" t="n"/>
      <c r="BH342" s="588" t="n"/>
      <c r="BI342" s="588" t="n"/>
      <c r="BJ342" s="588" t="n"/>
      <c r="BK342" s="588" t="n"/>
      <c r="BL342" s="588" t="n"/>
      <c r="BM342" s="588" t="n"/>
      <c r="BN342" s="588" t="n"/>
      <c r="BO342" s="588" t="n"/>
      <c r="BP342" s="588" t="n"/>
      <c r="BQ342" s="588" t="n"/>
      <c r="BR342" s="588" t="n"/>
      <c r="BS342" s="588" t="n"/>
      <c r="BT342" s="588" t="n"/>
      <c r="BU342" s="588" t="n"/>
      <c r="BV342" s="588" t="n"/>
      <c r="BW342" s="588" t="n"/>
      <c r="BX342" s="588" t="n"/>
      <c r="BY342" s="588" t="n"/>
      <c r="BZ342" s="588" t="n"/>
      <c r="CA342" s="588" t="n"/>
      <c r="CB342" s="588" t="n"/>
      <c r="CC342" s="588" t="n"/>
      <c r="CD342" s="588" t="n"/>
      <c r="CE342" s="588" t="n"/>
      <c r="CF342" s="588" t="n"/>
      <c r="CG342" s="588" t="n"/>
      <c r="CH342" s="588" t="n"/>
      <c r="CI342" s="588" t="n"/>
      <c r="CJ342" s="588" t="n"/>
      <c r="CK342" s="588" t="n"/>
      <c r="CL342" s="588" t="n"/>
      <c r="CM342" s="588" t="n"/>
      <c r="CN342" s="588" t="n"/>
      <c r="CO342" s="588" t="n"/>
      <c r="CP342" s="588" t="n"/>
      <c r="CQ342" s="588" t="n"/>
      <c r="CR342" s="588" t="n"/>
      <c r="CS342" s="588" t="n"/>
      <c r="CT342" s="588" t="n"/>
      <c r="CU342" s="588" t="n"/>
      <c r="CV342" s="588" t="n"/>
      <c r="CW342" s="588" t="n"/>
      <c r="CX342" s="588" t="n"/>
      <c r="CY342" s="588" t="n"/>
      <c r="CZ342" s="588" t="n"/>
      <c r="DA342" s="588" t="n"/>
      <c r="DB342" s="588" t="n"/>
      <c r="DC342" s="588" t="n"/>
      <c r="DD342" s="588" t="n"/>
      <c r="DE342" s="588" t="n"/>
      <c r="DF342" s="588" t="n"/>
      <c r="DG342" s="588" t="n"/>
      <c r="DH342" s="588" t="n"/>
      <c r="DI342" s="588" t="n"/>
      <c r="DJ342" s="588" t="n"/>
      <c r="DK342" s="588" t="n"/>
      <c r="DL342" s="588" t="n"/>
      <c r="DM342" s="588" t="n"/>
      <c r="DN342" s="588" t="n"/>
      <c r="DO342" s="588" t="n"/>
      <c r="DP342" s="588" t="n"/>
      <c r="DQ342" s="588" t="n"/>
      <c r="DR342" s="588" t="n"/>
      <c r="DS342" s="588" t="n"/>
      <c r="DT342" s="588" t="n"/>
      <c r="DU342" s="588" t="n"/>
    </row>
    <row r="343">
      <c r="A343" s="737" t="n"/>
      <c r="B343" s="737" t="n"/>
      <c r="C343" s="737" t="n"/>
      <c r="D343" s="737" t="n"/>
      <c r="E343" s="737" t="n"/>
      <c r="F343" s="737" t="n"/>
      <c r="G343" s="737" t="n"/>
      <c r="H343" s="737" t="n"/>
      <c r="I343" s="737" t="n"/>
      <c r="J343" s="737" t="n"/>
      <c r="K343" s="737" t="n"/>
      <c r="L343" s="737" t="n"/>
      <c r="M343" s="737" t="n"/>
      <c r="N343" s="737" t="n"/>
      <c r="O343" s="737" t="n"/>
      <c r="P343" s="737" t="n"/>
      <c r="Q343" s="737" t="n"/>
      <c r="R343" s="737" t="n"/>
      <c r="S343" s="737" t="n"/>
      <c r="T343" s="737" t="n"/>
      <c r="U343" s="737" t="n"/>
      <c r="V343" s="737" t="n"/>
      <c r="W343" s="737" t="n"/>
      <c r="X343" s="737" t="n"/>
      <c r="Y343" s="737" t="n"/>
      <c r="Z343" s="737" t="n"/>
      <c r="AA343" s="737" t="n"/>
      <c r="AB343" s="737" t="n"/>
      <c r="AC343" s="737" t="n"/>
      <c r="AD343" s="737" t="n"/>
      <c r="AE343" s="737" t="n"/>
      <c r="AF343" s="737" t="n"/>
      <c r="AG343" s="737" t="n"/>
      <c r="AH343" s="737" t="n"/>
      <c r="AI343" s="737" t="n"/>
      <c r="AJ343" s="737" t="n"/>
      <c r="AK343" s="588" t="n"/>
      <c r="AL343" s="588" t="n"/>
      <c r="AM343" s="588" t="n"/>
      <c r="AN343" s="588" t="n"/>
      <c r="AO343" s="588" t="n"/>
      <c r="AP343" s="588" t="n"/>
      <c r="AQ343" s="588" t="n"/>
      <c r="AR343" s="588" t="n"/>
      <c r="AS343" s="588" t="n"/>
      <c r="AT343" s="588" t="n"/>
      <c r="AU343" s="588" t="n"/>
      <c r="AV343" s="588" t="n"/>
      <c r="AW343" s="588" t="n"/>
      <c r="AX343" s="588" t="n"/>
      <c r="AY343" s="588" t="n"/>
      <c r="AZ343" s="588" t="n"/>
      <c r="BA343" s="588" t="n"/>
      <c r="BB343" s="588" t="n"/>
      <c r="BC343" s="588" t="n"/>
      <c r="BD343" s="588" t="n"/>
      <c r="BE343" s="588" t="n"/>
      <c r="BF343" s="588" t="n"/>
      <c r="BG343" s="588" t="n"/>
      <c r="BH343" s="588" t="n"/>
      <c r="BI343" s="588" t="n"/>
      <c r="BJ343" s="588" t="n"/>
      <c r="BK343" s="588" t="n"/>
      <c r="BL343" s="588" t="n"/>
      <c r="BM343" s="588" t="n"/>
      <c r="BN343" s="588" t="n"/>
      <c r="BO343" s="588" t="n"/>
      <c r="BP343" s="588" t="n"/>
      <c r="BQ343" s="588" t="n"/>
      <c r="BR343" s="588" t="n"/>
      <c r="BS343" s="588" t="n"/>
      <c r="BT343" s="588" t="n"/>
      <c r="BU343" s="588" t="n"/>
      <c r="BV343" s="588" t="n"/>
      <c r="BW343" s="588" t="n"/>
      <c r="BX343" s="588" t="n"/>
      <c r="BY343" s="588" t="n"/>
      <c r="BZ343" s="588" t="n"/>
      <c r="CA343" s="588" t="n"/>
      <c r="CB343" s="588" t="n"/>
      <c r="CC343" s="588" t="n"/>
      <c r="CD343" s="588" t="n"/>
      <c r="CE343" s="588" t="n"/>
      <c r="CF343" s="588" t="n"/>
      <c r="CG343" s="588" t="n"/>
      <c r="CH343" s="588" t="n"/>
      <c r="CI343" s="588" t="n"/>
      <c r="CJ343" s="588" t="n"/>
      <c r="CK343" s="588" t="n"/>
      <c r="CL343" s="588" t="n"/>
      <c r="CM343" s="588" t="n"/>
      <c r="CN343" s="588" t="n"/>
      <c r="CO343" s="588" t="n"/>
      <c r="CP343" s="588" t="n"/>
      <c r="CQ343" s="588" t="n"/>
      <c r="CR343" s="588" t="n"/>
      <c r="CS343" s="588" t="n"/>
      <c r="CT343" s="588" t="n"/>
      <c r="CU343" s="588" t="n"/>
      <c r="CV343" s="588" t="n"/>
      <c r="CW343" s="588" t="n"/>
      <c r="CX343" s="588" t="n"/>
      <c r="CY343" s="588" t="n"/>
      <c r="CZ343" s="588" t="n"/>
      <c r="DA343" s="588" t="n"/>
      <c r="DB343" s="588" t="n"/>
      <c r="DC343" s="588" t="n"/>
      <c r="DD343" s="588" t="n"/>
      <c r="DE343" s="588" t="n"/>
      <c r="DF343" s="588" t="n"/>
      <c r="DG343" s="588" t="n"/>
      <c r="DH343" s="588" t="n"/>
      <c r="DI343" s="588" t="n"/>
      <c r="DJ343" s="588" t="n"/>
      <c r="DK343" s="588" t="n"/>
      <c r="DL343" s="588" t="n"/>
      <c r="DM343" s="588" t="n"/>
      <c r="DN343" s="588" t="n"/>
      <c r="DO343" s="588" t="n"/>
      <c r="DP343" s="588" t="n"/>
      <c r="DQ343" s="588" t="n"/>
      <c r="DR343" s="588" t="n"/>
      <c r="DS343" s="588" t="n"/>
      <c r="DT343" s="588" t="n"/>
      <c r="DU343" s="588" t="n"/>
    </row>
    <row r="344">
      <c r="A344" s="737" t="n"/>
      <c r="B344" s="737" t="n"/>
      <c r="C344" s="737" t="n"/>
      <c r="D344" s="737" t="n"/>
      <c r="E344" s="737" t="n"/>
      <c r="F344" s="737" t="n"/>
      <c r="G344" s="737" t="n"/>
      <c r="H344" s="737" t="n"/>
      <c r="I344" s="737" t="n"/>
      <c r="J344" s="737" t="n"/>
      <c r="K344" s="737" t="n"/>
      <c r="L344" s="737" t="n"/>
      <c r="M344" s="737" t="n"/>
      <c r="N344" s="737" t="n"/>
      <c r="O344" s="737" t="n"/>
      <c r="P344" s="737" t="n"/>
      <c r="Q344" s="737" t="n"/>
      <c r="R344" s="737" t="n"/>
      <c r="S344" s="737" t="n"/>
      <c r="T344" s="737" t="n"/>
      <c r="U344" s="737" t="n"/>
      <c r="V344" s="737" t="n"/>
      <c r="W344" s="737" t="n"/>
      <c r="X344" s="737" t="n"/>
      <c r="Y344" s="737" t="n"/>
      <c r="Z344" s="737" t="n"/>
      <c r="AA344" s="737" t="n"/>
      <c r="AB344" s="737" t="n"/>
      <c r="AC344" s="737" t="n"/>
      <c r="AD344" s="737" t="n"/>
      <c r="AE344" s="737" t="n"/>
      <c r="AF344" s="737" t="n"/>
      <c r="AG344" s="737" t="n"/>
      <c r="AH344" s="737" t="n"/>
      <c r="AI344" s="737" t="n"/>
      <c r="AJ344" s="737" t="n"/>
      <c r="AK344" s="588" t="n"/>
      <c r="AL344" s="588" t="n"/>
      <c r="AM344" s="588" t="n"/>
      <c r="AN344" s="588" t="n"/>
      <c r="AO344" s="588" t="n"/>
      <c r="AP344" s="588" t="n"/>
      <c r="AQ344" s="588" t="n"/>
      <c r="AR344" s="588" t="n"/>
      <c r="AS344" s="588" t="n"/>
      <c r="AT344" s="588" t="n"/>
      <c r="AU344" s="588" t="n"/>
      <c r="AV344" s="588" t="n"/>
      <c r="AW344" s="588" t="n"/>
      <c r="AX344" s="588" t="n"/>
      <c r="AY344" s="588" t="n"/>
      <c r="AZ344" s="588" t="n"/>
      <c r="BA344" s="588" t="n"/>
      <c r="BB344" s="588" t="n"/>
      <c r="BC344" s="588" t="n"/>
      <c r="BD344" s="588" t="n"/>
      <c r="BE344" s="588" t="n"/>
      <c r="BF344" s="588" t="n"/>
      <c r="BG344" s="588" t="n"/>
      <c r="BH344" s="588" t="n"/>
      <c r="BI344" s="588" t="n"/>
      <c r="BJ344" s="588" t="n"/>
      <c r="BK344" s="588" t="n"/>
      <c r="BL344" s="588" t="n"/>
      <c r="BM344" s="588" t="n"/>
      <c r="BN344" s="588" t="n"/>
      <c r="BO344" s="588" t="n"/>
      <c r="BP344" s="588" t="n"/>
      <c r="BQ344" s="588" t="n"/>
      <c r="BR344" s="588" t="n"/>
      <c r="BS344" s="588" t="n"/>
      <c r="BT344" s="588" t="n"/>
      <c r="BU344" s="588" t="n"/>
      <c r="BV344" s="588" t="n"/>
      <c r="BW344" s="588" t="n"/>
      <c r="BX344" s="588" t="n"/>
      <c r="BY344" s="588" t="n"/>
      <c r="BZ344" s="588" t="n"/>
      <c r="CA344" s="588" t="n"/>
      <c r="CB344" s="588" t="n"/>
      <c r="CC344" s="588" t="n"/>
      <c r="CD344" s="588" t="n"/>
      <c r="CE344" s="588" t="n"/>
      <c r="CF344" s="588" t="n"/>
      <c r="CG344" s="588" t="n"/>
      <c r="CH344" s="588" t="n"/>
      <c r="CI344" s="588" t="n"/>
      <c r="CJ344" s="588" t="n"/>
      <c r="CK344" s="588" t="n"/>
      <c r="CL344" s="588" t="n"/>
      <c r="CM344" s="588" t="n"/>
      <c r="CN344" s="588" t="n"/>
      <c r="CO344" s="588" t="n"/>
      <c r="CP344" s="588" t="n"/>
      <c r="CQ344" s="588" t="n"/>
      <c r="CR344" s="588" t="n"/>
      <c r="CS344" s="588" t="n"/>
      <c r="CT344" s="588" t="n"/>
      <c r="CU344" s="588" t="n"/>
      <c r="CV344" s="588" t="n"/>
      <c r="CW344" s="588" t="n"/>
      <c r="CX344" s="588" t="n"/>
      <c r="CY344" s="588" t="n"/>
      <c r="CZ344" s="588" t="n"/>
      <c r="DA344" s="588" t="n"/>
      <c r="DB344" s="588" t="n"/>
      <c r="DC344" s="588" t="n"/>
      <c r="DD344" s="588" t="n"/>
      <c r="DE344" s="588" t="n"/>
      <c r="DF344" s="588" t="n"/>
      <c r="DG344" s="588" t="n"/>
      <c r="DH344" s="588" t="n"/>
      <c r="DI344" s="588" t="n"/>
      <c r="DJ344" s="588" t="n"/>
      <c r="DK344" s="588" t="n"/>
      <c r="DL344" s="588" t="n"/>
      <c r="DM344" s="588" t="n"/>
      <c r="DN344" s="588" t="n"/>
      <c r="DO344" s="588" t="n"/>
      <c r="DP344" s="588" t="n"/>
      <c r="DQ344" s="588" t="n"/>
      <c r="DR344" s="588" t="n"/>
      <c r="DS344" s="588" t="n"/>
      <c r="DT344" s="588" t="n"/>
      <c r="DU344" s="588" t="n"/>
    </row>
    <row r="345">
      <c r="A345" s="737" t="n"/>
      <c r="B345" s="737" t="n"/>
      <c r="C345" s="737" t="n"/>
      <c r="D345" s="737" t="n"/>
      <c r="E345" s="737" t="n"/>
      <c r="F345" s="737" t="n"/>
      <c r="G345" s="737" t="n"/>
      <c r="H345" s="737" t="n"/>
      <c r="I345" s="737" t="n"/>
      <c r="J345" s="737" t="n"/>
      <c r="K345" s="737" t="n"/>
      <c r="L345" s="737" t="n"/>
      <c r="M345" s="737" t="n"/>
      <c r="N345" s="737" t="n"/>
      <c r="O345" s="737" t="n"/>
      <c r="P345" s="737" t="n"/>
      <c r="Q345" s="737" t="n"/>
      <c r="R345" s="737" t="n"/>
      <c r="S345" s="737" t="n"/>
      <c r="T345" s="737" t="n"/>
      <c r="U345" s="737" t="n"/>
      <c r="V345" s="737" t="n"/>
      <c r="W345" s="737" t="n"/>
      <c r="X345" s="737" t="n"/>
      <c r="Y345" s="737" t="n"/>
      <c r="Z345" s="737" t="n"/>
      <c r="AA345" s="737" t="n"/>
      <c r="AB345" s="737" t="n"/>
      <c r="AC345" s="737" t="n"/>
      <c r="AD345" s="737" t="n"/>
      <c r="AE345" s="737" t="n"/>
      <c r="AF345" s="737" t="n"/>
      <c r="AG345" s="737" t="n"/>
      <c r="AH345" s="737" t="n"/>
      <c r="AI345" s="737" t="n"/>
      <c r="AJ345" s="737" t="n"/>
      <c r="AK345" s="588" t="n"/>
      <c r="AL345" s="588" t="n"/>
      <c r="AM345" s="588" t="n"/>
      <c r="AN345" s="588" t="n"/>
      <c r="AO345" s="588" t="n"/>
      <c r="AP345" s="588" t="n"/>
      <c r="AQ345" s="588" t="n"/>
      <c r="AR345" s="588" t="n"/>
      <c r="AS345" s="588" t="n"/>
      <c r="AT345" s="588" t="n"/>
      <c r="AU345" s="588" t="n"/>
      <c r="AV345" s="588" t="n"/>
      <c r="AW345" s="588" t="n"/>
      <c r="AX345" s="588" t="n"/>
      <c r="AY345" s="588" t="n"/>
      <c r="AZ345" s="588" t="n"/>
      <c r="BA345" s="588" t="n"/>
      <c r="BB345" s="588" t="n"/>
      <c r="BC345" s="588" t="n"/>
      <c r="BD345" s="588" t="n"/>
      <c r="BE345" s="588" t="n"/>
      <c r="BF345" s="588" t="n"/>
      <c r="BG345" s="588" t="n"/>
      <c r="BH345" s="588" t="n"/>
      <c r="BI345" s="588" t="n"/>
      <c r="BJ345" s="588" t="n"/>
      <c r="BK345" s="588" t="n"/>
      <c r="BL345" s="588" t="n"/>
      <c r="BM345" s="588" t="n"/>
      <c r="BN345" s="588" t="n"/>
      <c r="BO345" s="588" t="n"/>
      <c r="BP345" s="588" t="n"/>
      <c r="BQ345" s="588" t="n"/>
      <c r="BR345" s="588" t="n"/>
      <c r="BS345" s="588" t="n"/>
      <c r="BT345" s="588" t="n"/>
      <c r="BU345" s="588" t="n"/>
      <c r="BV345" s="588" t="n"/>
      <c r="BW345" s="588" t="n"/>
      <c r="BX345" s="588" t="n"/>
      <c r="BY345" s="588" t="n"/>
      <c r="BZ345" s="588" t="n"/>
      <c r="CA345" s="588" t="n"/>
      <c r="CB345" s="588" t="n"/>
      <c r="CC345" s="588" t="n"/>
      <c r="CD345" s="588" t="n"/>
      <c r="CE345" s="588" t="n"/>
      <c r="CF345" s="588" t="n"/>
      <c r="CG345" s="588" t="n"/>
      <c r="CH345" s="588" t="n"/>
      <c r="CI345" s="588" t="n"/>
      <c r="CJ345" s="588" t="n"/>
      <c r="CK345" s="588" t="n"/>
      <c r="CL345" s="588" t="n"/>
      <c r="CM345" s="588" t="n"/>
      <c r="CN345" s="588" t="n"/>
      <c r="CO345" s="588" t="n"/>
      <c r="CP345" s="588" t="n"/>
      <c r="CQ345" s="588" t="n"/>
      <c r="CR345" s="588" t="n"/>
      <c r="CS345" s="588" t="n"/>
      <c r="CT345" s="588" t="n"/>
      <c r="CU345" s="588" t="n"/>
      <c r="CV345" s="588" t="n"/>
      <c r="CW345" s="588" t="n"/>
      <c r="CX345" s="588" t="n"/>
      <c r="CY345" s="588" t="n"/>
      <c r="CZ345" s="588" t="n"/>
      <c r="DA345" s="588" t="n"/>
      <c r="DB345" s="588" t="n"/>
      <c r="DC345" s="588" t="n"/>
      <c r="DD345" s="588" t="n"/>
      <c r="DE345" s="588" t="n"/>
      <c r="DF345" s="588" t="n"/>
      <c r="DG345" s="588" t="n"/>
      <c r="DH345" s="588" t="n"/>
      <c r="DI345" s="588" t="n"/>
      <c r="DJ345" s="588" t="n"/>
      <c r="DK345" s="588" t="n"/>
      <c r="DL345" s="588" t="n"/>
      <c r="DM345" s="588" t="n"/>
      <c r="DN345" s="588" t="n"/>
      <c r="DO345" s="588" t="n"/>
      <c r="DP345" s="588" t="n"/>
      <c r="DQ345" s="588" t="n"/>
      <c r="DR345" s="588" t="n"/>
      <c r="DS345" s="588" t="n"/>
      <c r="DT345" s="588" t="n"/>
      <c r="DU345" s="588" t="n"/>
    </row>
    <row r="346">
      <c r="A346" s="737" t="n"/>
      <c r="B346" s="737" t="n"/>
      <c r="C346" s="737" t="n"/>
      <c r="D346" s="737" t="n"/>
      <c r="E346" s="737" t="n"/>
      <c r="F346" s="737" t="n"/>
      <c r="G346" s="737" t="n"/>
      <c r="H346" s="737" t="n"/>
      <c r="I346" s="737" t="n"/>
      <c r="J346" s="737" t="n"/>
      <c r="K346" s="737" t="n"/>
      <c r="L346" s="737" t="n"/>
      <c r="M346" s="737" t="n"/>
      <c r="N346" s="737" t="n"/>
      <c r="O346" s="737" t="n"/>
      <c r="P346" s="737" t="n"/>
      <c r="Q346" s="737" t="n"/>
      <c r="R346" s="737" t="n"/>
      <c r="S346" s="737" t="n"/>
      <c r="T346" s="737" t="n"/>
      <c r="U346" s="737" t="n"/>
      <c r="V346" s="737" t="n"/>
      <c r="W346" s="737" t="n"/>
      <c r="X346" s="737" t="n"/>
      <c r="Y346" s="737" t="n"/>
      <c r="Z346" s="737" t="n"/>
      <c r="AA346" s="737" t="n"/>
      <c r="AB346" s="737" t="n"/>
      <c r="AC346" s="737" t="n"/>
      <c r="AD346" s="737" t="n"/>
      <c r="AE346" s="737" t="n"/>
      <c r="AF346" s="737" t="n"/>
      <c r="AG346" s="737" t="n"/>
      <c r="AH346" s="737" t="n"/>
      <c r="AI346" s="737" t="n"/>
      <c r="AJ346" s="737" t="n"/>
      <c r="AK346" s="588" t="n"/>
      <c r="AL346" s="588" t="n"/>
      <c r="AM346" s="588" t="n"/>
      <c r="AN346" s="588" t="n"/>
      <c r="AO346" s="588" t="n"/>
      <c r="AP346" s="588" t="n"/>
      <c r="AQ346" s="588" t="n"/>
      <c r="AR346" s="588" t="n"/>
      <c r="AS346" s="588" t="n"/>
      <c r="AT346" s="588" t="n"/>
      <c r="AU346" s="588" t="n"/>
      <c r="AV346" s="588" t="n"/>
      <c r="AW346" s="588" t="n"/>
      <c r="AX346" s="588" t="n"/>
      <c r="AY346" s="588" t="n"/>
      <c r="AZ346" s="588" t="n"/>
      <c r="BA346" s="588" t="n"/>
      <c r="BB346" s="588" t="n"/>
      <c r="BC346" s="588" t="n"/>
      <c r="BD346" s="588" t="n"/>
      <c r="BE346" s="588" t="n"/>
      <c r="BF346" s="588" t="n"/>
      <c r="BG346" s="588" t="n"/>
      <c r="BH346" s="588" t="n"/>
      <c r="BI346" s="588" t="n"/>
      <c r="BJ346" s="588" t="n"/>
      <c r="BK346" s="588" t="n"/>
      <c r="BL346" s="588" t="n"/>
      <c r="BM346" s="588" t="n"/>
      <c r="BN346" s="588" t="n"/>
      <c r="BO346" s="588" t="n"/>
      <c r="BP346" s="588" t="n"/>
      <c r="BQ346" s="588" t="n"/>
      <c r="BR346" s="588" t="n"/>
      <c r="BS346" s="588" t="n"/>
      <c r="BT346" s="588" t="n"/>
      <c r="BU346" s="588" t="n"/>
      <c r="BV346" s="588" t="n"/>
      <c r="BW346" s="588" t="n"/>
      <c r="BX346" s="588" t="n"/>
      <c r="BY346" s="588" t="n"/>
      <c r="BZ346" s="588" t="n"/>
      <c r="CA346" s="588" t="n"/>
      <c r="CB346" s="588" t="n"/>
      <c r="CC346" s="588" t="n"/>
      <c r="CD346" s="588" t="n"/>
      <c r="CE346" s="588" t="n"/>
      <c r="CF346" s="588" t="n"/>
      <c r="CG346" s="588" t="n"/>
      <c r="CH346" s="588" t="n"/>
      <c r="CI346" s="588" t="n"/>
      <c r="CJ346" s="588" t="n"/>
      <c r="CK346" s="588" t="n"/>
      <c r="CL346" s="588" t="n"/>
      <c r="CM346" s="588" t="n"/>
      <c r="CN346" s="588" t="n"/>
      <c r="CO346" s="588" t="n"/>
      <c r="CP346" s="588" t="n"/>
      <c r="CQ346" s="588" t="n"/>
      <c r="CR346" s="588" t="n"/>
      <c r="CS346" s="588" t="n"/>
      <c r="CT346" s="588" t="n"/>
      <c r="CU346" s="588" t="n"/>
      <c r="CV346" s="588" t="n"/>
      <c r="CW346" s="588" t="n"/>
      <c r="CX346" s="588" t="n"/>
      <c r="CY346" s="588" t="n"/>
      <c r="CZ346" s="588" t="n"/>
      <c r="DA346" s="588" t="n"/>
      <c r="DB346" s="588" t="n"/>
      <c r="DC346" s="588" t="n"/>
      <c r="DD346" s="588" t="n"/>
      <c r="DE346" s="588" t="n"/>
      <c r="DF346" s="588" t="n"/>
      <c r="DG346" s="588" t="n"/>
      <c r="DH346" s="588" t="n"/>
      <c r="DI346" s="588" t="n"/>
      <c r="DJ346" s="588" t="n"/>
      <c r="DK346" s="588" t="n"/>
      <c r="DL346" s="588" t="n"/>
      <c r="DM346" s="588" t="n"/>
      <c r="DN346" s="588" t="n"/>
      <c r="DO346" s="588" t="n"/>
      <c r="DP346" s="588" t="n"/>
      <c r="DQ346" s="588" t="n"/>
      <c r="DR346" s="588" t="n"/>
      <c r="DS346" s="588" t="n"/>
      <c r="DT346" s="588" t="n"/>
      <c r="DU346" s="588" t="n"/>
    </row>
    <row r="347">
      <c r="A347" s="737" t="n"/>
      <c r="B347" s="737" t="n"/>
      <c r="C347" s="737" t="n"/>
      <c r="D347" s="737" t="n"/>
      <c r="E347" s="737" t="n"/>
      <c r="F347" s="737" t="n"/>
      <c r="G347" s="737" t="n"/>
      <c r="H347" s="737" t="n"/>
      <c r="I347" s="737" t="n"/>
      <c r="J347" s="737" t="n"/>
      <c r="K347" s="737" t="n"/>
      <c r="L347" s="737" t="n"/>
      <c r="M347" s="737" t="n"/>
      <c r="N347" s="737" t="n"/>
      <c r="O347" s="737" t="n"/>
      <c r="P347" s="737" t="n"/>
      <c r="Q347" s="737" t="n"/>
      <c r="R347" s="737" t="n"/>
      <c r="S347" s="737" t="n"/>
      <c r="T347" s="737" t="n"/>
      <c r="U347" s="737" t="n"/>
      <c r="V347" s="737" t="n"/>
      <c r="W347" s="737" t="n"/>
      <c r="X347" s="737" t="n"/>
      <c r="Y347" s="737" t="n"/>
      <c r="Z347" s="737" t="n"/>
      <c r="AA347" s="737" t="n"/>
      <c r="AB347" s="737" t="n"/>
      <c r="AC347" s="737" t="n"/>
      <c r="AD347" s="737" t="n"/>
      <c r="AE347" s="737" t="n"/>
      <c r="AF347" s="737" t="n"/>
      <c r="AG347" s="737" t="n"/>
      <c r="AH347" s="737" t="n"/>
      <c r="AI347" s="737" t="n"/>
      <c r="AJ347" s="737" t="n"/>
      <c r="AK347" s="588" t="n"/>
      <c r="AL347" s="588" t="n"/>
      <c r="AM347" s="588" t="n"/>
      <c r="AN347" s="588" t="n"/>
      <c r="AO347" s="588" t="n"/>
      <c r="AP347" s="588" t="n"/>
      <c r="AQ347" s="588" t="n"/>
      <c r="AR347" s="588" t="n"/>
      <c r="AS347" s="588" t="n"/>
      <c r="AT347" s="588" t="n"/>
      <c r="AU347" s="588" t="n"/>
      <c r="AV347" s="588" t="n"/>
      <c r="AW347" s="588" t="n"/>
      <c r="AX347" s="588" t="n"/>
      <c r="AY347" s="588" t="n"/>
      <c r="AZ347" s="588" t="n"/>
      <c r="BA347" s="588" t="n"/>
      <c r="BB347" s="588" t="n"/>
      <c r="BC347" s="588" t="n"/>
      <c r="BD347" s="588" t="n"/>
      <c r="BE347" s="588" t="n"/>
      <c r="BF347" s="588" t="n"/>
      <c r="BG347" s="588" t="n"/>
      <c r="BH347" s="588" t="n"/>
      <c r="BI347" s="588" t="n"/>
      <c r="BJ347" s="588" t="n"/>
      <c r="BK347" s="588" t="n"/>
      <c r="BL347" s="588" t="n"/>
      <c r="BM347" s="588" t="n"/>
      <c r="BN347" s="588" t="n"/>
      <c r="BO347" s="588" t="n"/>
      <c r="BP347" s="588" t="n"/>
      <c r="BQ347" s="588" t="n"/>
      <c r="BR347" s="588" t="n"/>
      <c r="BS347" s="588" t="n"/>
      <c r="BT347" s="588" t="n"/>
      <c r="BU347" s="588" t="n"/>
      <c r="BV347" s="588" t="n"/>
      <c r="BW347" s="588" t="n"/>
      <c r="BX347" s="588" t="n"/>
      <c r="BY347" s="588" t="n"/>
      <c r="BZ347" s="588" t="n"/>
      <c r="CA347" s="588" t="n"/>
      <c r="CB347" s="588" t="n"/>
      <c r="CC347" s="588" t="n"/>
      <c r="CD347" s="588" t="n"/>
      <c r="CE347" s="588" t="n"/>
      <c r="CF347" s="588" t="n"/>
      <c r="CG347" s="588" t="n"/>
      <c r="CH347" s="588" t="n"/>
      <c r="CI347" s="588" t="n"/>
      <c r="CJ347" s="588" t="n"/>
      <c r="CK347" s="588" t="n"/>
      <c r="CL347" s="588" t="n"/>
      <c r="CM347" s="588" t="n"/>
      <c r="CN347" s="588" t="n"/>
      <c r="CO347" s="588" t="n"/>
      <c r="CP347" s="588" t="n"/>
      <c r="CQ347" s="588" t="n"/>
      <c r="CR347" s="588" t="n"/>
      <c r="CS347" s="588" t="n"/>
      <c r="CT347" s="588" t="n"/>
      <c r="CU347" s="588" t="n"/>
      <c r="CV347" s="588" t="n"/>
      <c r="CW347" s="588" t="n"/>
      <c r="CX347" s="588" t="n"/>
      <c r="CY347" s="588" t="n"/>
      <c r="CZ347" s="588" t="n"/>
      <c r="DA347" s="588" t="n"/>
      <c r="DB347" s="588" t="n"/>
      <c r="DC347" s="588" t="n"/>
      <c r="DD347" s="588" t="n"/>
      <c r="DE347" s="588" t="n"/>
      <c r="DF347" s="588" t="n"/>
      <c r="DG347" s="588" t="n"/>
      <c r="DH347" s="588" t="n"/>
      <c r="DI347" s="588" t="n"/>
      <c r="DJ347" s="588" t="n"/>
      <c r="DK347" s="588" t="n"/>
      <c r="DL347" s="588" t="n"/>
      <c r="DM347" s="588" t="n"/>
      <c r="DN347" s="588" t="n"/>
      <c r="DO347" s="588" t="n"/>
      <c r="DP347" s="588" t="n"/>
      <c r="DQ347" s="588" t="n"/>
      <c r="DR347" s="588" t="n"/>
      <c r="DS347" s="588" t="n"/>
      <c r="DT347" s="588" t="n"/>
      <c r="DU347" s="588" t="n"/>
    </row>
    <row r="348">
      <c r="A348" s="737" t="n"/>
      <c r="B348" s="737" t="n"/>
      <c r="C348" s="737" t="n"/>
      <c r="D348" s="737" t="n"/>
      <c r="E348" s="737" t="n"/>
      <c r="F348" s="737" t="n"/>
      <c r="G348" s="737" t="n"/>
      <c r="H348" s="737" t="n"/>
      <c r="I348" s="737" t="n"/>
      <c r="J348" s="737" t="n"/>
      <c r="K348" s="737" t="n"/>
      <c r="L348" s="737" t="n"/>
      <c r="M348" s="737" t="n"/>
      <c r="N348" s="737" t="n"/>
      <c r="O348" s="737" t="n"/>
      <c r="P348" s="737" t="n"/>
      <c r="Q348" s="737" t="n"/>
      <c r="R348" s="737" t="n"/>
      <c r="S348" s="737" t="n"/>
      <c r="T348" s="737" t="n"/>
      <c r="U348" s="737" t="n"/>
      <c r="V348" s="737" t="n"/>
      <c r="W348" s="737" t="n"/>
      <c r="X348" s="737" t="n"/>
      <c r="Y348" s="737" t="n"/>
      <c r="Z348" s="737" t="n"/>
      <c r="AA348" s="737" t="n"/>
      <c r="AB348" s="737" t="n"/>
      <c r="AC348" s="737" t="n"/>
      <c r="AD348" s="737" t="n"/>
      <c r="AE348" s="737" t="n"/>
      <c r="AF348" s="737" t="n"/>
      <c r="AG348" s="737" t="n"/>
      <c r="AH348" s="737" t="n"/>
      <c r="AI348" s="737" t="n"/>
      <c r="AJ348" s="737" t="n"/>
      <c r="AK348" s="588" t="n"/>
      <c r="AL348" s="588" t="n"/>
      <c r="AM348" s="588" t="n"/>
      <c r="AN348" s="588" t="n"/>
      <c r="AO348" s="588" t="n"/>
      <c r="AP348" s="588" t="n"/>
      <c r="AQ348" s="588" t="n"/>
      <c r="AR348" s="588" t="n"/>
      <c r="AS348" s="588" t="n"/>
      <c r="AT348" s="588" t="n"/>
      <c r="AU348" s="588" t="n"/>
      <c r="AV348" s="588" t="n"/>
      <c r="AW348" s="588" t="n"/>
      <c r="AX348" s="588" t="n"/>
      <c r="AY348" s="588" t="n"/>
      <c r="AZ348" s="588" t="n"/>
      <c r="BA348" s="588" t="n"/>
      <c r="BB348" s="588" t="n"/>
      <c r="BC348" s="588" t="n"/>
      <c r="BD348" s="588" t="n"/>
      <c r="BE348" s="588" t="n"/>
      <c r="BF348" s="588" t="n"/>
      <c r="BG348" s="588" t="n"/>
      <c r="BH348" s="588" t="n"/>
      <c r="BI348" s="588" t="n"/>
      <c r="BJ348" s="588" t="n"/>
      <c r="BK348" s="588" t="n"/>
      <c r="BL348" s="588" t="n"/>
      <c r="BM348" s="588" t="n"/>
      <c r="BN348" s="588" t="n"/>
      <c r="BO348" s="588" t="n"/>
      <c r="BP348" s="588" t="n"/>
      <c r="BQ348" s="588" t="n"/>
      <c r="BR348" s="588" t="n"/>
      <c r="BS348" s="588" t="n"/>
      <c r="BT348" s="588" t="n"/>
      <c r="BU348" s="588" t="n"/>
      <c r="BV348" s="588" t="n"/>
      <c r="BW348" s="588" t="n"/>
      <c r="BX348" s="588" t="n"/>
      <c r="BY348" s="588" t="n"/>
      <c r="BZ348" s="588" t="n"/>
      <c r="CA348" s="588" t="n"/>
      <c r="CB348" s="588" t="n"/>
      <c r="CC348" s="588" t="n"/>
      <c r="CD348" s="588" t="n"/>
      <c r="CE348" s="588" t="n"/>
      <c r="CF348" s="588" t="n"/>
      <c r="CG348" s="588" t="n"/>
      <c r="CH348" s="588" t="n"/>
      <c r="CI348" s="588" t="n"/>
      <c r="CJ348" s="588" t="n"/>
      <c r="CK348" s="588" t="n"/>
      <c r="CL348" s="588" t="n"/>
      <c r="CM348" s="588" t="n"/>
      <c r="CN348" s="588" t="n"/>
      <c r="CO348" s="588" t="n"/>
      <c r="CP348" s="588" t="n"/>
      <c r="CQ348" s="588" t="n"/>
      <c r="CR348" s="588" t="n"/>
      <c r="CS348" s="588" t="n"/>
      <c r="CT348" s="588" t="n"/>
      <c r="CU348" s="588" t="n"/>
      <c r="CV348" s="588" t="n"/>
      <c r="CW348" s="588" t="n"/>
      <c r="CX348" s="588" t="n"/>
      <c r="CY348" s="588" t="n"/>
      <c r="CZ348" s="588" t="n"/>
      <c r="DA348" s="588" t="n"/>
      <c r="DB348" s="588" t="n"/>
      <c r="DC348" s="588" t="n"/>
      <c r="DD348" s="588" t="n"/>
      <c r="DE348" s="588" t="n"/>
      <c r="DF348" s="588" t="n"/>
      <c r="DG348" s="588" t="n"/>
      <c r="DH348" s="588" t="n"/>
      <c r="DI348" s="588" t="n"/>
      <c r="DJ348" s="588" t="n"/>
      <c r="DK348" s="588" t="n"/>
      <c r="DL348" s="588" t="n"/>
      <c r="DM348" s="588" t="n"/>
      <c r="DN348" s="588" t="n"/>
      <c r="DO348" s="588" t="n"/>
      <c r="DP348" s="588" t="n"/>
      <c r="DQ348" s="588" t="n"/>
      <c r="DR348" s="588" t="n"/>
      <c r="DS348" s="588" t="n"/>
      <c r="DT348" s="588" t="n"/>
      <c r="DU348" s="588" t="n"/>
    </row>
    <row r="349">
      <c r="A349" s="737" t="n"/>
      <c r="B349" s="737" t="n"/>
      <c r="C349" s="737" t="n"/>
      <c r="D349" s="737" t="n"/>
      <c r="E349" s="737" t="n"/>
      <c r="F349" s="737" t="n"/>
      <c r="G349" s="737" t="n"/>
      <c r="H349" s="737" t="n"/>
      <c r="I349" s="737" t="n"/>
      <c r="J349" s="737" t="n"/>
      <c r="K349" s="737" t="n"/>
      <c r="L349" s="737" t="n"/>
      <c r="M349" s="737" t="n"/>
      <c r="N349" s="737" t="n"/>
      <c r="O349" s="737" t="n"/>
      <c r="P349" s="737" t="n"/>
      <c r="Q349" s="737" t="n"/>
      <c r="R349" s="737" t="n"/>
      <c r="S349" s="737" t="n"/>
      <c r="T349" s="737" t="n"/>
      <c r="U349" s="737" t="n"/>
      <c r="V349" s="737" t="n"/>
      <c r="W349" s="737" t="n"/>
      <c r="X349" s="737" t="n"/>
      <c r="Y349" s="737" t="n"/>
      <c r="Z349" s="737" t="n"/>
      <c r="AA349" s="737" t="n"/>
      <c r="AB349" s="737" t="n"/>
      <c r="AC349" s="737" t="n"/>
      <c r="AD349" s="737" t="n"/>
      <c r="AE349" s="737" t="n"/>
      <c r="AF349" s="737" t="n"/>
      <c r="AG349" s="737" t="n"/>
      <c r="AH349" s="737" t="n"/>
      <c r="AI349" s="737" t="n"/>
      <c r="AJ349" s="737" t="n"/>
      <c r="AK349" s="588" t="n"/>
      <c r="AL349" s="588" t="n"/>
      <c r="AM349" s="588" t="n"/>
      <c r="AN349" s="588" t="n"/>
      <c r="AO349" s="588" t="n"/>
      <c r="AP349" s="588" t="n"/>
      <c r="AQ349" s="588" t="n"/>
      <c r="AR349" s="588" t="n"/>
      <c r="AS349" s="588" t="n"/>
      <c r="AT349" s="588" t="n"/>
      <c r="AU349" s="588" t="n"/>
      <c r="AV349" s="588" t="n"/>
      <c r="AW349" s="588" t="n"/>
      <c r="AX349" s="588" t="n"/>
      <c r="AY349" s="588" t="n"/>
      <c r="AZ349" s="588" t="n"/>
      <c r="BA349" s="588" t="n"/>
      <c r="BB349" s="588" t="n"/>
      <c r="BC349" s="588" t="n"/>
      <c r="BD349" s="588" t="n"/>
      <c r="BE349" s="588" t="n"/>
      <c r="BF349" s="588" t="n"/>
      <c r="BG349" s="588" t="n"/>
      <c r="BH349" s="588" t="n"/>
      <c r="BI349" s="588" t="n"/>
      <c r="BJ349" s="588" t="n"/>
      <c r="BK349" s="588" t="n"/>
      <c r="BL349" s="588" t="n"/>
      <c r="BM349" s="588" t="n"/>
      <c r="BN349" s="588" t="n"/>
      <c r="BO349" s="588" t="n"/>
      <c r="BP349" s="588" t="n"/>
      <c r="BQ349" s="588" t="n"/>
      <c r="BR349" s="588" t="n"/>
      <c r="BS349" s="588" t="n"/>
      <c r="BT349" s="588" t="n"/>
      <c r="BU349" s="588" t="n"/>
      <c r="BV349" s="588" t="n"/>
      <c r="BW349" s="588" t="n"/>
      <c r="BX349" s="588" t="n"/>
      <c r="BY349" s="588" t="n"/>
      <c r="BZ349" s="588" t="n"/>
      <c r="CA349" s="588" t="n"/>
      <c r="CB349" s="588" t="n"/>
      <c r="CC349" s="588" t="n"/>
      <c r="CD349" s="588" t="n"/>
      <c r="CE349" s="588" t="n"/>
      <c r="CF349" s="588" t="n"/>
      <c r="CG349" s="588" t="n"/>
      <c r="CH349" s="588" t="n"/>
      <c r="CI349" s="588" t="n"/>
      <c r="CJ349" s="588" t="n"/>
      <c r="CK349" s="588" t="n"/>
      <c r="CL349" s="588" t="n"/>
      <c r="CM349" s="588" t="n"/>
      <c r="CN349" s="588" t="n"/>
      <c r="CO349" s="588" t="n"/>
      <c r="CP349" s="588" t="n"/>
      <c r="CQ349" s="588" t="n"/>
      <c r="CR349" s="588" t="n"/>
      <c r="CS349" s="588" t="n"/>
      <c r="CT349" s="588" t="n"/>
      <c r="CU349" s="588" t="n"/>
      <c r="CV349" s="588" t="n"/>
      <c r="CW349" s="588" t="n"/>
      <c r="CX349" s="588" t="n"/>
      <c r="CY349" s="588" t="n"/>
      <c r="CZ349" s="588" t="n"/>
      <c r="DA349" s="588" t="n"/>
      <c r="DB349" s="588" t="n"/>
      <c r="DC349" s="588" t="n"/>
      <c r="DD349" s="588" t="n"/>
      <c r="DE349" s="588" t="n"/>
      <c r="DF349" s="588" t="n"/>
      <c r="DG349" s="588" t="n"/>
      <c r="DH349" s="588" t="n"/>
      <c r="DI349" s="588" t="n"/>
      <c r="DJ349" s="588" t="n"/>
      <c r="DK349" s="588" t="n"/>
      <c r="DL349" s="588" t="n"/>
      <c r="DM349" s="588" t="n"/>
      <c r="DN349" s="588" t="n"/>
      <c r="DO349" s="588" t="n"/>
      <c r="DP349" s="588" t="n"/>
      <c r="DQ349" s="588" t="n"/>
      <c r="DR349" s="588" t="n"/>
      <c r="DS349" s="588" t="n"/>
      <c r="DT349" s="588" t="n"/>
      <c r="DU349" s="588" t="n"/>
    </row>
    <row r="350">
      <c r="A350" s="737" t="n"/>
      <c r="B350" s="737" t="n"/>
      <c r="C350" s="737" t="n"/>
      <c r="D350" s="737" t="n"/>
      <c r="E350" s="737" t="n"/>
      <c r="F350" s="737" t="n"/>
      <c r="G350" s="737" t="n"/>
      <c r="H350" s="737" t="n"/>
      <c r="I350" s="737" t="n"/>
      <c r="J350" s="737" t="n"/>
      <c r="K350" s="737" t="n"/>
      <c r="L350" s="737" t="n"/>
      <c r="M350" s="737" t="n"/>
      <c r="N350" s="737" t="n"/>
      <c r="O350" s="737" t="n"/>
      <c r="P350" s="737" t="n"/>
      <c r="Q350" s="737" t="n"/>
      <c r="R350" s="737" t="n"/>
      <c r="S350" s="737" t="n"/>
      <c r="T350" s="737" t="n"/>
      <c r="U350" s="737" t="n"/>
      <c r="V350" s="737" t="n"/>
      <c r="W350" s="737" t="n"/>
      <c r="X350" s="737" t="n"/>
      <c r="Y350" s="737" t="n"/>
      <c r="Z350" s="737" t="n"/>
      <c r="AA350" s="737" t="n"/>
      <c r="AB350" s="737" t="n"/>
      <c r="AC350" s="737" t="n"/>
      <c r="AD350" s="737" t="n"/>
      <c r="AE350" s="737" t="n"/>
      <c r="AF350" s="737" t="n"/>
      <c r="AG350" s="737" t="n"/>
      <c r="AH350" s="737" t="n"/>
      <c r="AI350" s="737" t="n"/>
      <c r="AJ350" s="737" t="n"/>
      <c r="AK350" s="588" t="n"/>
      <c r="AL350" s="588" t="n"/>
      <c r="AM350" s="588" t="n"/>
      <c r="AN350" s="588" t="n"/>
      <c r="AO350" s="588" t="n"/>
      <c r="AP350" s="588" t="n"/>
      <c r="AQ350" s="588" t="n"/>
      <c r="AR350" s="588" t="n"/>
      <c r="AS350" s="588" t="n"/>
      <c r="AT350" s="588" t="n"/>
      <c r="AU350" s="588" t="n"/>
      <c r="AV350" s="588" t="n"/>
      <c r="AW350" s="588" t="n"/>
      <c r="AX350" s="588" t="n"/>
      <c r="AY350" s="588" t="n"/>
      <c r="AZ350" s="588" t="n"/>
      <c r="BA350" s="588" t="n"/>
      <c r="BB350" s="588" t="n"/>
      <c r="BC350" s="588" t="n"/>
      <c r="BD350" s="588" t="n"/>
      <c r="BE350" s="588" t="n"/>
      <c r="BF350" s="588" t="n"/>
      <c r="BG350" s="588" t="n"/>
      <c r="BH350" s="588" t="n"/>
      <c r="BI350" s="588" t="n"/>
      <c r="BJ350" s="588" t="n"/>
      <c r="BK350" s="588" t="n"/>
      <c r="BL350" s="588" t="n"/>
      <c r="BM350" s="588" t="n"/>
      <c r="BN350" s="588" t="n"/>
      <c r="BO350" s="588" t="n"/>
      <c r="BP350" s="588" t="n"/>
      <c r="BQ350" s="588" t="n"/>
      <c r="BR350" s="588" t="n"/>
      <c r="BS350" s="588" t="n"/>
      <c r="BT350" s="588" t="n"/>
      <c r="BU350" s="588" t="n"/>
      <c r="BV350" s="588" t="n"/>
      <c r="BW350" s="588" t="n"/>
      <c r="BX350" s="588" t="n"/>
      <c r="BY350" s="588" t="n"/>
      <c r="BZ350" s="588" t="n"/>
      <c r="CA350" s="588" t="n"/>
      <c r="CB350" s="588" t="n"/>
      <c r="CC350" s="588" t="n"/>
      <c r="CD350" s="588" t="n"/>
      <c r="CE350" s="588" t="n"/>
      <c r="CF350" s="588" t="n"/>
      <c r="CG350" s="588" t="n"/>
      <c r="CH350" s="588" t="n"/>
      <c r="CI350" s="588" t="n"/>
      <c r="CJ350" s="588" t="n"/>
      <c r="CK350" s="588" t="n"/>
      <c r="CL350" s="588" t="n"/>
      <c r="CM350" s="588" t="n"/>
      <c r="CN350" s="588" t="n"/>
      <c r="CO350" s="588" t="n"/>
      <c r="CP350" s="588" t="n"/>
      <c r="CQ350" s="588" t="n"/>
      <c r="CR350" s="588" t="n"/>
      <c r="CS350" s="588" t="n"/>
      <c r="CT350" s="588" t="n"/>
      <c r="CU350" s="588" t="n"/>
      <c r="CV350" s="588" t="n"/>
      <c r="CW350" s="588" t="n"/>
      <c r="CX350" s="588" t="n"/>
      <c r="CY350" s="588" t="n"/>
      <c r="CZ350" s="588" t="n"/>
      <c r="DA350" s="588" t="n"/>
      <c r="DB350" s="588" t="n"/>
      <c r="DC350" s="588" t="n"/>
      <c r="DD350" s="588" t="n"/>
      <c r="DE350" s="588" t="n"/>
      <c r="DF350" s="588" t="n"/>
      <c r="DG350" s="588" t="n"/>
      <c r="DH350" s="588" t="n"/>
      <c r="DI350" s="588" t="n"/>
      <c r="DJ350" s="588" t="n"/>
      <c r="DK350" s="588" t="n"/>
      <c r="DL350" s="588" t="n"/>
      <c r="DM350" s="588" t="n"/>
      <c r="DN350" s="588" t="n"/>
      <c r="DO350" s="588" t="n"/>
      <c r="DP350" s="588" t="n"/>
      <c r="DQ350" s="588" t="n"/>
      <c r="DR350" s="588" t="n"/>
      <c r="DS350" s="588" t="n"/>
      <c r="DT350" s="588" t="n"/>
      <c r="DU350" s="588" t="n"/>
    </row>
    <row r="351">
      <c r="A351" s="737" t="n"/>
      <c r="B351" s="737" t="n"/>
      <c r="C351" s="737" t="n"/>
      <c r="D351" s="737" t="n"/>
      <c r="E351" s="737" t="n"/>
      <c r="F351" s="737" t="n"/>
      <c r="G351" s="737" t="n"/>
      <c r="H351" s="737" t="n"/>
      <c r="I351" s="737" t="n"/>
      <c r="J351" s="737" t="n"/>
      <c r="K351" s="737" t="n"/>
      <c r="L351" s="737" t="n"/>
      <c r="M351" s="737" t="n"/>
      <c r="N351" s="737" t="n"/>
      <c r="O351" s="737" t="n"/>
      <c r="P351" s="737" t="n"/>
      <c r="Q351" s="737" t="n"/>
      <c r="R351" s="737" t="n"/>
      <c r="S351" s="737" t="n"/>
      <c r="T351" s="737" t="n"/>
      <c r="U351" s="737" t="n"/>
      <c r="V351" s="737" t="n"/>
      <c r="W351" s="737" t="n"/>
      <c r="X351" s="737" t="n"/>
      <c r="Y351" s="737" t="n"/>
      <c r="Z351" s="737" t="n"/>
      <c r="AA351" s="737" t="n"/>
      <c r="AB351" s="737" t="n"/>
      <c r="AC351" s="737" t="n"/>
      <c r="AD351" s="737" t="n"/>
      <c r="AE351" s="737" t="n"/>
      <c r="AF351" s="737" t="n"/>
      <c r="AG351" s="737" t="n"/>
      <c r="AH351" s="737" t="n"/>
      <c r="AI351" s="737" t="n"/>
      <c r="AJ351" s="737" t="n"/>
      <c r="AK351" s="588" t="n"/>
      <c r="AL351" s="588" t="n"/>
      <c r="AM351" s="588" t="n"/>
      <c r="AN351" s="588" t="n"/>
      <c r="AO351" s="588" t="n"/>
      <c r="AP351" s="588" t="n"/>
      <c r="AQ351" s="588" t="n"/>
      <c r="AR351" s="588" t="n"/>
      <c r="AS351" s="588" t="n"/>
      <c r="AT351" s="588" t="n"/>
      <c r="AU351" s="588" t="n"/>
      <c r="AV351" s="588" t="n"/>
      <c r="AW351" s="588" t="n"/>
      <c r="AX351" s="588" t="n"/>
      <c r="AY351" s="588" t="n"/>
      <c r="AZ351" s="588" t="n"/>
      <c r="BA351" s="588" t="n"/>
      <c r="BB351" s="588" t="n"/>
      <c r="BC351" s="588" t="n"/>
      <c r="BD351" s="588" t="n"/>
      <c r="BE351" s="588" t="n"/>
      <c r="BF351" s="588" t="n"/>
      <c r="BG351" s="588" t="n"/>
      <c r="BH351" s="588" t="n"/>
      <c r="BI351" s="588" t="n"/>
      <c r="BJ351" s="588" t="n"/>
      <c r="BK351" s="588" t="n"/>
      <c r="BL351" s="588" t="n"/>
      <c r="BM351" s="588" t="n"/>
      <c r="BN351" s="588" t="n"/>
      <c r="BO351" s="588" t="n"/>
      <c r="BP351" s="588" t="n"/>
      <c r="BQ351" s="588" t="n"/>
      <c r="BR351" s="588" t="n"/>
      <c r="BS351" s="588" t="n"/>
      <c r="BT351" s="588" t="n"/>
      <c r="BU351" s="588" t="n"/>
      <c r="BV351" s="588" t="n"/>
      <c r="BW351" s="588" t="n"/>
      <c r="BX351" s="588" t="n"/>
      <c r="BY351" s="588" t="n"/>
      <c r="BZ351" s="588" t="n"/>
      <c r="CA351" s="588" t="n"/>
      <c r="CB351" s="588" t="n"/>
      <c r="CC351" s="588" t="n"/>
      <c r="CD351" s="588" t="n"/>
      <c r="CE351" s="588" t="n"/>
      <c r="CF351" s="588" t="n"/>
      <c r="CG351" s="588" t="n"/>
      <c r="CH351" s="588" t="n"/>
      <c r="CI351" s="588" t="n"/>
      <c r="CJ351" s="588" t="n"/>
      <c r="CK351" s="588" t="n"/>
      <c r="CL351" s="588" t="n"/>
      <c r="CM351" s="588" t="n"/>
      <c r="CN351" s="588" t="n"/>
      <c r="CO351" s="588" t="n"/>
      <c r="CP351" s="588" t="n"/>
      <c r="CQ351" s="588" t="n"/>
      <c r="CR351" s="588" t="n"/>
      <c r="CS351" s="588" t="n"/>
      <c r="CT351" s="588" t="n"/>
      <c r="CU351" s="588" t="n"/>
      <c r="CV351" s="588" t="n"/>
      <c r="CW351" s="588" t="n"/>
      <c r="CX351" s="588" t="n"/>
      <c r="CY351" s="588" t="n"/>
      <c r="CZ351" s="588" t="n"/>
      <c r="DA351" s="588" t="n"/>
      <c r="DB351" s="588" t="n"/>
      <c r="DC351" s="588" t="n"/>
      <c r="DD351" s="588" t="n"/>
      <c r="DE351" s="588" t="n"/>
      <c r="DF351" s="588" t="n"/>
      <c r="DG351" s="588" t="n"/>
      <c r="DH351" s="588" t="n"/>
      <c r="DI351" s="588" t="n"/>
      <c r="DJ351" s="588" t="n"/>
      <c r="DK351" s="588" t="n"/>
      <c r="DL351" s="588" t="n"/>
      <c r="DM351" s="588" t="n"/>
      <c r="DN351" s="588" t="n"/>
      <c r="DO351" s="588" t="n"/>
      <c r="DP351" s="588" t="n"/>
      <c r="DQ351" s="588" t="n"/>
      <c r="DR351" s="588" t="n"/>
      <c r="DS351" s="588" t="n"/>
      <c r="DT351" s="588" t="n"/>
      <c r="DU351" s="588" t="n"/>
    </row>
    <row r="352">
      <c r="A352" s="737" t="n"/>
      <c r="B352" s="737" t="n"/>
      <c r="C352" s="737" t="n"/>
      <c r="D352" s="737" t="n"/>
      <c r="E352" s="737" t="n"/>
      <c r="F352" s="737" t="n"/>
      <c r="G352" s="737" t="n"/>
      <c r="H352" s="737" t="n"/>
      <c r="I352" s="737" t="n"/>
      <c r="J352" s="737" t="n"/>
      <c r="K352" s="737" t="n"/>
      <c r="L352" s="737" t="n"/>
      <c r="M352" s="737" t="n"/>
      <c r="N352" s="737" t="n"/>
      <c r="O352" s="737" t="n"/>
      <c r="P352" s="737" t="n"/>
      <c r="Q352" s="737" t="n"/>
      <c r="R352" s="737" t="n"/>
      <c r="S352" s="737" t="n"/>
      <c r="T352" s="737" t="n"/>
      <c r="U352" s="737" t="n"/>
      <c r="V352" s="737" t="n"/>
      <c r="W352" s="737" t="n"/>
      <c r="X352" s="737" t="n"/>
      <c r="Y352" s="737" t="n"/>
      <c r="Z352" s="737" t="n"/>
      <c r="AA352" s="737" t="n"/>
      <c r="AB352" s="737" t="n"/>
      <c r="AC352" s="737" t="n"/>
      <c r="AD352" s="737" t="n"/>
      <c r="AE352" s="737" t="n"/>
      <c r="AF352" s="737" t="n"/>
      <c r="AG352" s="737" t="n"/>
      <c r="AH352" s="737" t="n"/>
      <c r="AI352" s="737" t="n"/>
      <c r="AJ352" s="737" t="n"/>
      <c r="AK352" s="588" t="n"/>
      <c r="AL352" s="588" t="n"/>
      <c r="AM352" s="588" t="n"/>
      <c r="AN352" s="588" t="n"/>
      <c r="AO352" s="588" t="n"/>
      <c r="AP352" s="588" t="n"/>
      <c r="AQ352" s="588" t="n"/>
      <c r="AR352" s="588" t="n"/>
      <c r="AS352" s="588" t="n"/>
      <c r="AT352" s="588" t="n"/>
      <c r="AU352" s="588" t="n"/>
      <c r="AV352" s="588" t="n"/>
      <c r="AW352" s="588" t="n"/>
      <c r="AX352" s="588" t="n"/>
      <c r="AY352" s="588" t="n"/>
      <c r="AZ352" s="588" t="n"/>
      <c r="BA352" s="588" t="n"/>
      <c r="BB352" s="588" t="n"/>
      <c r="BC352" s="588" t="n"/>
      <c r="BD352" s="588" t="n"/>
      <c r="BE352" s="588" t="n"/>
      <c r="BF352" s="588" t="n"/>
      <c r="BG352" s="588" t="n"/>
      <c r="BH352" s="588" t="n"/>
      <c r="BI352" s="588" t="n"/>
      <c r="BJ352" s="588" t="n"/>
      <c r="BK352" s="588" t="n"/>
      <c r="BL352" s="588" t="n"/>
      <c r="BM352" s="588" t="n"/>
      <c r="BN352" s="588" t="n"/>
      <c r="BO352" s="588" t="n"/>
      <c r="BP352" s="588" t="n"/>
      <c r="BQ352" s="588" t="n"/>
      <c r="BR352" s="588" t="n"/>
      <c r="BS352" s="588" t="n"/>
      <c r="BT352" s="588" t="n"/>
      <c r="BU352" s="588" t="n"/>
      <c r="BV352" s="588" t="n"/>
      <c r="BW352" s="588" t="n"/>
      <c r="BX352" s="588" t="n"/>
      <c r="BY352" s="588" t="n"/>
      <c r="BZ352" s="588" t="n"/>
      <c r="CA352" s="588" t="n"/>
      <c r="CB352" s="588" t="n"/>
      <c r="CC352" s="588" t="n"/>
      <c r="CD352" s="588" t="n"/>
      <c r="CE352" s="588" t="n"/>
      <c r="CF352" s="588" t="n"/>
      <c r="CG352" s="588" t="n"/>
      <c r="CH352" s="588" t="n"/>
      <c r="CI352" s="588" t="n"/>
      <c r="CJ352" s="588" t="n"/>
      <c r="CK352" s="588" t="n"/>
      <c r="CL352" s="588" t="n"/>
      <c r="CM352" s="588" t="n"/>
      <c r="CN352" s="588" t="n"/>
      <c r="CO352" s="588" t="n"/>
      <c r="CP352" s="588" t="n"/>
      <c r="CQ352" s="588" t="n"/>
      <c r="CR352" s="588" t="n"/>
      <c r="CS352" s="588" t="n"/>
      <c r="CT352" s="588" t="n"/>
      <c r="CU352" s="588" t="n"/>
      <c r="CV352" s="588" t="n"/>
      <c r="CW352" s="588" t="n"/>
      <c r="CX352" s="588" t="n"/>
      <c r="CY352" s="588" t="n"/>
      <c r="CZ352" s="588" t="n"/>
      <c r="DA352" s="588" t="n"/>
      <c r="DB352" s="588" t="n"/>
      <c r="DC352" s="588" t="n"/>
      <c r="DD352" s="588" t="n"/>
      <c r="DE352" s="588" t="n"/>
      <c r="DF352" s="588" t="n"/>
      <c r="DG352" s="588" t="n"/>
      <c r="DH352" s="588" t="n"/>
      <c r="DI352" s="588" t="n"/>
      <c r="DJ352" s="588" t="n"/>
      <c r="DK352" s="588" t="n"/>
      <c r="DL352" s="588" t="n"/>
      <c r="DM352" s="588" t="n"/>
      <c r="DN352" s="588" t="n"/>
      <c r="DO352" s="588" t="n"/>
      <c r="DP352" s="588" t="n"/>
      <c r="DQ352" s="588" t="n"/>
      <c r="DR352" s="588" t="n"/>
      <c r="DS352" s="588" t="n"/>
      <c r="DT352" s="588" t="n"/>
      <c r="DU352" s="588" t="n"/>
    </row>
    <row r="353">
      <c r="A353" s="737" t="n"/>
      <c r="B353" s="737" t="n"/>
      <c r="C353" s="737" t="n"/>
      <c r="D353" s="737" t="n"/>
      <c r="E353" s="737" t="n"/>
      <c r="F353" s="737" t="n"/>
      <c r="G353" s="737" t="n"/>
      <c r="H353" s="737" t="n"/>
      <c r="I353" s="737" t="n"/>
      <c r="J353" s="737" t="n"/>
      <c r="K353" s="737" t="n"/>
      <c r="L353" s="737" t="n"/>
      <c r="M353" s="737" t="n"/>
      <c r="N353" s="737" t="n"/>
      <c r="O353" s="737" t="n"/>
      <c r="P353" s="737" t="n"/>
      <c r="Q353" s="737" t="n"/>
      <c r="R353" s="737" t="n"/>
      <c r="S353" s="737" t="n"/>
      <c r="T353" s="737" t="n"/>
      <c r="U353" s="737" t="n"/>
      <c r="V353" s="737" t="n"/>
      <c r="W353" s="737" t="n"/>
      <c r="X353" s="737" t="n"/>
      <c r="Y353" s="737" t="n"/>
      <c r="Z353" s="737" t="n"/>
      <c r="AA353" s="737" t="n"/>
      <c r="AB353" s="737" t="n"/>
      <c r="AC353" s="737" t="n"/>
      <c r="AD353" s="737" t="n"/>
      <c r="AE353" s="737" t="n"/>
      <c r="AF353" s="737" t="n"/>
      <c r="AG353" s="737" t="n"/>
      <c r="AH353" s="737" t="n"/>
      <c r="AI353" s="737" t="n"/>
      <c r="AJ353" s="737" t="n"/>
      <c r="AK353" s="588" t="n"/>
      <c r="AL353" s="588" t="n"/>
      <c r="AM353" s="588" t="n"/>
      <c r="AN353" s="588" t="n"/>
      <c r="AO353" s="588" t="n"/>
      <c r="AP353" s="588" t="n"/>
      <c r="AQ353" s="588" t="n"/>
      <c r="AR353" s="588" t="n"/>
      <c r="AS353" s="588" t="n"/>
      <c r="AT353" s="588" t="n"/>
      <c r="AU353" s="588" t="n"/>
      <c r="AV353" s="588" t="n"/>
      <c r="AW353" s="588" t="n"/>
      <c r="AX353" s="588" t="n"/>
      <c r="AY353" s="588" t="n"/>
      <c r="AZ353" s="588" t="n"/>
      <c r="BA353" s="588" t="n"/>
      <c r="BB353" s="588" t="n"/>
      <c r="BC353" s="588" t="n"/>
      <c r="BD353" s="588" t="n"/>
      <c r="BE353" s="588" t="n"/>
      <c r="BF353" s="588" t="n"/>
      <c r="BG353" s="588" t="n"/>
      <c r="BH353" s="588" t="n"/>
      <c r="BI353" s="588" t="n"/>
      <c r="BJ353" s="588" t="n"/>
      <c r="BK353" s="588" t="n"/>
      <c r="BL353" s="588" t="n"/>
      <c r="BM353" s="588" t="n"/>
      <c r="BN353" s="588" t="n"/>
      <c r="BO353" s="588" t="n"/>
      <c r="BP353" s="588" t="n"/>
      <c r="BQ353" s="588" t="n"/>
      <c r="BR353" s="588" t="n"/>
      <c r="BS353" s="588" t="n"/>
      <c r="BT353" s="588" t="n"/>
      <c r="BU353" s="588" t="n"/>
      <c r="BV353" s="588" t="n"/>
      <c r="BW353" s="588" t="n"/>
      <c r="BX353" s="588" t="n"/>
      <c r="BY353" s="588" t="n"/>
      <c r="BZ353" s="588" t="n"/>
      <c r="CA353" s="588" t="n"/>
      <c r="CB353" s="588" t="n"/>
      <c r="CC353" s="588" t="n"/>
      <c r="CD353" s="588" t="n"/>
      <c r="CE353" s="588" t="n"/>
      <c r="CF353" s="588" t="n"/>
      <c r="CG353" s="588" t="n"/>
      <c r="CH353" s="588" t="n"/>
      <c r="CI353" s="588" t="n"/>
      <c r="CJ353" s="588" t="n"/>
      <c r="CK353" s="588" t="n"/>
      <c r="CL353" s="588" t="n"/>
      <c r="CM353" s="588" t="n"/>
      <c r="CN353" s="588" t="n"/>
      <c r="CO353" s="588" t="n"/>
      <c r="CP353" s="588" t="n"/>
      <c r="CQ353" s="588" t="n"/>
      <c r="CR353" s="588" t="n"/>
      <c r="CS353" s="588" t="n"/>
      <c r="CT353" s="588" t="n"/>
      <c r="CU353" s="588" t="n"/>
      <c r="CV353" s="588" t="n"/>
      <c r="CW353" s="588" t="n"/>
      <c r="CX353" s="588" t="n"/>
      <c r="CY353" s="588" t="n"/>
      <c r="CZ353" s="588" t="n"/>
      <c r="DA353" s="588" t="n"/>
      <c r="DB353" s="588" t="n"/>
      <c r="DC353" s="588" t="n"/>
      <c r="DD353" s="588" t="n"/>
      <c r="DE353" s="588" t="n"/>
      <c r="DF353" s="588" t="n"/>
      <c r="DG353" s="588" t="n"/>
      <c r="DH353" s="588" t="n"/>
      <c r="DI353" s="588" t="n"/>
      <c r="DJ353" s="588" t="n"/>
      <c r="DK353" s="588" t="n"/>
      <c r="DL353" s="588" t="n"/>
      <c r="DM353" s="588" t="n"/>
      <c r="DN353" s="588" t="n"/>
      <c r="DO353" s="588" t="n"/>
      <c r="DP353" s="588" t="n"/>
      <c r="DQ353" s="588" t="n"/>
      <c r="DR353" s="588" t="n"/>
      <c r="DS353" s="588" t="n"/>
      <c r="DT353" s="588" t="n"/>
      <c r="DU353" s="588" t="n"/>
    </row>
    <row r="354">
      <c r="A354" s="737" t="n"/>
      <c r="B354" s="737" t="n"/>
      <c r="C354" s="737" t="n"/>
      <c r="D354" s="737" t="n"/>
      <c r="E354" s="737" t="n"/>
      <c r="F354" s="737" t="n"/>
      <c r="G354" s="737" t="n"/>
      <c r="H354" s="737" t="n"/>
      <c r="I354" s="737" t="n"/>
      <c r="J354" s="737" t="n"/>
      <c r="K354" s="737" t="n"/>
      <c r="L354" s="737" t="n"/>
      <c r="M354" s="737" t="n"/>
      <c r="N354" s="737" t="n"/>
      <c r="O354" s="737" t="n"/>
      <c r="P354" s="737" t="n"/>
      <c r="Q354" s="737" t="n"/>
      <c r="R354" s="737" t="n"/>
      <c r="S354" s="737" t="n"/>
      <c r="T354" s="737" t="n"/>
      <c r="U354" s="737" t="n"/>
      <c r="V354" s="737" t="n"/>
      <c r="W354" s="737" t="n"/>
      <c r="X354" s="737" t="n"/>
      <c r="Y354" s="737" t="n"/>
      <c r="Z354" s="737" t="n"/>
      <c r="AA354" s="737" t="n"/>
      <c r="AB354" s="737" t="n"/>
      <c r="AC354" s="737" t="n"/>
      <c r="AD354" s="737" t="n"/>
      <c r="AE354" s="737" t="n"/>
      <c r="AF354" s="737" t="n"/>
      <c r="AG354" s="737" t="n"/>
      <c r="AH354" s="737" t="n"/>
      <c r="AI354" s="737" t="n"/>
      <c r="AJ354" s="737" t="n"/>
      <c r="AK354" s="588" t="n"/>
      <c r="AL354" s="588" t="n"/>
      <c r="AM354" s="588" t="n"/>
      <c r="AN354" s="588" t="n"/>
      <c r="AO354" s="588" t="n"/>
      <c r="AP354" s="588" t="n"/>
      <c r="AQ354" s="588" t="n"/>
      <c r="AR354" s="588" t="n"/>
      <c r="AS354" s="588" t="n"/>
      <c r="AT354" s="588" t="n"/>
      <c r="AU354" s="588" t="n"/>
      <c r="AV354" s="588" t="n"/>
      <c r="AW354" s="588" t="n"/>
      <c r="AX354" s="588" t="n"/>
      <c r="AY354" s="588" t="n"/>
      <c r="AZ354" s="588" t="n"/>
      <c r="BA354" s="588" t="n"/>
      <c r="BB354" s="588" t="n"/>
      <c r="BC354" s="588" t="n"/>
      <c r="BD354" s="588" t="n"/>
      <c r="BE354" s="588" t="n"/>
      <c r="BF354" s="588" t="n"/>
      <c r="BG354" s="588" t="n"/>
      <c r="BH354" s="588" t="n"/>
      <c r="BI354" s="588" t="n"/>
      <c r="BJ354" s="588" t="n"/>
      <c r="BK354" s="588" t="n"/>
      <c r="BL354" s="588" t="n"/>
      <c r="BM354" s="588" t="n"/>
      <c r="BN354" s="588" t="n"/>
      <c r="BO354" s="588" t="n"/>
      <c r="BP354" s="588" t="n"/>
      <c r="BQ354" s="588" t="n"/>
      <c r="BR354" s="588" t="n"/>
      <c r="BS354" s="588" t="n"/>
      <c r="BT354" s="588" t="n"/>
      <c r="BU354" s="588" t="n"/>
      <c r="BV354" s="588" t="n"/>
      <c r="BW354" s="588" t="n"/>
      <c r="BX354" s="588" t="n"/>
      <c r="BY354" s="588" t="n"/>
      <c r="BZ354" s="588" t="n"/>
      <c r="CA354" s="588" t="n"/>
      <c r="CB354" s="588" t="n"/>
      <c r="CC354" s="588" t="n"/>
      <c r="CD354" s="588" t="n"/>
      <c r="CE354" s="588" t="n"/>
      <c r="CF354" s="588" t="n"/>
      <c r="CG354" s="588" t="n"/>
      <c r="CH354" s="588" t="n"/>
      <c r="CI354" s="588" t="n"/>
      <c r="CJ354" s="588" t="n"/>
      <c r="CK354" s="588" t="n"/>
      <c r="CL354" s="588" t="n"/>
      <c r="CM354" s="588" t="n"/>
      <c r="CN354" s="588" t="n"/>
      <c r="CO354" s="588" t="n"/>
      <c r="CP354" s="588" t="n"/>
      <c r="CQ354" s="588" t="n"/>
      <c r="CR354" s="588" t="n"/>
      <c r="CS354" s="588" t="n"/>
      <c r="CT354" s="588" t="n"/>
      <c r="CU354" s="588" t="n"/>
      <c r="CV354" s="588" t="n"/>
      <c r="CW354" s="588" t="n"/>
      <c r="CX354" s="588" t="n"/>
      <c r="CY354" s="588" t="n"/>
      <c r="CZ354" s="588" t="n"/>
      <c r="DA354" s="588" t="n"/>
      <c r="DB354" s="588" t="n"/>
      <c r="DC354" s="588" t="n"/>
      <c r="DD354" s="588" t="n"/>
      <c r="DE354" s="588" t="n"/>
      <c r="DF354" s="588" t="n"/>
      <c r="DG354" s="588" t="n"/>
      <c r="DH354" s="588" t="n"/>
      <c r="DI354" s="588" t="n"/>
      <c r="DJ354" s="588" t="n"/>
      <c r="DK354" s="588" t="n"/>
      <c r="DL354" s="588" t="n"/>
      <c r="DM354" s="588" t="n"/>
      <c r="DN354" s="588" t="n"/>
      <c r="DO354" s="588" t="n"/>
      <c r="DP354" s="588" t="n"/>
      <c r="DQ354" s="588" t="n"/>
      <c r="DR354" s="588" t="n"/>
      <c r="DS354" s="588" t="n"/>
      <c r="DT354" s="588" t="n"/>
      <c r="DU354" s="588" t="n"/>
    </row>
    <row r="355">
      <c r="A355" s="737" t="n"/>
      <c r="B355" s="737" t="n"/>
      <c r="C355" s="737" t="n"/>
      <c r="D355" s="737" t="n"/>
      <c r="E355" s="737" t="n"/>
      <c r="F355" s="737" t="n"/>
      <c r="G355" s="737" t="n"/>
      <c r="H355" s="737" t="n"/>
      <c r="I355" s="737" t="n"/>
      <c r="J355" s="737" t="n"/>
      <c r="K355" s="737" t="n"/>
      <c r="L355" s="737" t="n"/>
      <c r="M355" s="737" t="n"/>
      <c r="N355" s="737" t="n"/>
      <c r="O355" s="737" t="n"/>
      <c r="P355" s="737" t="n"/>
      <c r="Q355" s="737" t="n"/>
      <c r="R355" s="737" t="n"/>
      <c r="S355" s="737" t="n"/>
      <c r="T355" s="737" t="n"/>
      <c r="U355" s="737" t="n"/>
      <c r="V355" s="737" t="n"/>
      <c r="W355" s="737" t="n"/>
      <c r="X355" s="737" t="n"/>
      <c r="Y355" s="737" t="n"/>
      <c r="Z355" s="737" t="n"/>
      <c r="AA355" s="737" t="n"/>
      <c r="AB355" s="737" t="n"/>
      <c r="AC355" s="737" t="n"/>
      <c r="AD355" s="737" t="n"/>
      <c r="AE355" s="737" t="n"/>
      <c r="AF355" s="737" t="n"/>
      <c r="AG355" s="737" t="n"/>
      <c r="AH355" s="737" t="n"/>
      <c r="AI355" s="737" t="n"/>
      <c r="AJ355" s="737" t="n"/>
      <c r="AK355" s="588" t="n"/>
      <c r="AL355" s="588" t="n"/>
      <c r="AM355" s="588" t="n"/>
      <c r="AN355" s="588" t="n"/>
      <c r="AO355" s="588" t="n"/>
      <c r="AP355" s="588" t="n"/>
      <c r="AQ355" s="588" t="n"/>
      <c r="AR355" s="588" t="n"/>
      <c r="AS355" s="588" t="n"/>
      <c r="AT355" s="588" t="n"/>
      <c r="AU355" s="588" t="n"/>
      <c r="AV355" s="588" t="n"/>
      <c r="AW355" s="588" t="n"/>
      <c r="AX355" s="588" t="n"/>
      <c r="AY355" s="588" t="n"/>
      <c r="AZ355" s="588" t="n"/>
      <c r="BA355" s="588" t="n"/>
      <c r="BB355" s="588" t="n"/>
      <c r="BC355" s="588" t="n"/>
      <c r="BD355" s="588" t="n"/>
      <c r="BE355" s="588" t="n"/>
      <c r="BF355" s="588" t="n"/>
      <c r="BG355" s="588" t="n"/>
      <c r="BH355" s="588" t="n"/>
      <c r="BI355" s="588" t="n"/>
      <c r="BJ355" s="588" t="n"/>
      <c r="BK355" s="588" t="n"/>
      <c r="BL355" s="588" t="n"/>
      <c r="BM355" s="588" t="n"/>
      <c r="BN355" s="588" t="n"/>
      <c r="BO355" s="588" t="n"/>
      <c r="BP355" s="588" t="n"/>
      <c r="BQ355" s="588" t="n"/>
      <c r="BR355" s="588" t="n"/>
      <c r="BS355" s="588" t="n"/>
      <c r="BT355" s="588" t="n"/>
      <c r="BU355" s="588" t="n"/>
      <c r="BV355" s="588" t="n"/>
      <c r="BW355" s="588" t="n"/>
      <c r="BX355" s="588" t="n"/>
      <c r="BY355" s="588" t="n"/>
      <c r="BZ355" s="588" t="n"/>
      <c r="CA355" s="588" t="n"/>
      <c r="CB355" s="588" t="n"/>
      <c r="CC355" s="588" t="n"/>
      <c r="CD355" s="588" t="n"/>
      <c r="CE355" s="588" t="n"/>
      <c r="CF355" s="588" t="n"/>
      <c r="CG355" s="588" t="n"/>
      <c r="CH355" s="588" t="n"/>
      <c r="CI355" s="588" t="n"/>
      <c r="CJ355" s="588" t="n"/>
      <c r="CK355" s="588" t="n"/>
      <c r="CL355" s="588" t="n"/>
      <c r="CM355" s="588" t="n"/>
      <c r="CN355" s="588" t="n"/>
      <c r="CO355" s="588" t="n"/>
      <c r="CP355" s="588" t="n"/>
      <c r="CQ355" s="588" t="n"/>
      <c r="CR355" s="588" t="n"/>
      <c r="CS355" s="588" t="n"/>
      <c r="CT355" s="588" t="n"/>
      <c r="CU355" s="588" t="n"/>
      <c r="CV355" s="588" t="n"/>
      <c r="CW355" s="588" t="n"/>
      <c r="CX355" s="588" t="n"/>
      <c r="CY355" s="588" t="n"/>
      <c r="CZ355" s="588" t="n"/>
      <c r="DA355" s="588" t="n"/>
      <c r="DB355" s="588" t="n"/>
      <c r="DC355" s="588" t="n"/>
      <c r="DD355" s="588" t="n"/>
      <c r="DE355" s="588" t="n"/>
      <c r="DF355" s="588" t="n"/>
      <c r="DG355" s="588" t="n"/>
      <c r="DH355" s="588" t="n"/>
      <c r="DI355" s="588" t="n"/>
      <c r="DJ355" s="588" t="n"/>
      <c r="DK355" s="588" t="n"/>
      <c r="DL355" s="588" t="n"/>
      <c r="DM355" s="588" t="n"/>
      <c r="DN355" s="588" t="n"/>
      <c r="DO355" s="588" t="n"/>
      <c r="DP355" s="588" t="n"/>
      <c r="DQ355" s="588" t="n"/>
      <c r="DR355" s="588" t="n"/>
      <c r="DS355" s="588" t="n"/>
      <c r="DT355" s="588" t="n"/>
      <c r="DU355" s="588" t="n"/>
    </row>
    <row r="356">
      <c r="A356" s="737" t="n"/>
      <c r="B356" s="737" t="n"/>
      <c r="C356" s="737" t="n"/>
      <c r="D356" s="737" t="n"/>
      <c r="E356" s="737" t="n"/>
      <c r="F356" s="737" t="n"/>
      <c r="G356" s="737" t="n"/>
      <c r="H356" s="737" t="n"/>
      <c r="I356" s="737" t="n"/>
      <c r="J356" s="737" t="n"/>
      <c r="K356" s="737" t="n"/>
      <c r="L356" s="737" t="n"/>
      <c r="M356" s="737" t="n"/>
      <c r="N356" s="737" t="n"/>
      <c r="O356" s="737" t="n"/>
      <c r="P356" s="737" t="n"/>
      <c r="Q356" s="737" t="n"/>
      <c r="R356" s="737" t="n"/>
      <c r="S356" s="737" t="n"/>
      <c r="T356" s="737" t="n"/>
      <c r="U356" s="737" t="n"/>
      <c r="V356" s="737" t="n"/>
      <c r="W356" s="737" t="n"/>
      <c r="X356" s="737" t="n"/>
      <c r="Y356" s="737" t="n"/>
      <c r="Z356" s="737" t="n"/>
      <c r="AA356" s="737" t="n"/>
      <c r="AB356" s="737" t="n"/>
      <c r="AC356" s="737" t="n"/>
      <c r="AD356" s="737" t="n"/>
      <c r="AE356" s="737" t="n"/>
      <c r="AF356" s="737" t="n"/>
      <c r="AG356" s="737" t="n"/>
      <c r="AH356" s="737" t="n"/>
      <c r="AI356" s="737" t="n"/>
      <c r="AJ356" s="737" t="n"/>
      <c r="AK356" s="588" t="n"/>
      <c r="AL356" s="588" t="n"/>
      <c r="AM356" s="588" t="n"/>
      <c r="AN356" s="588" t="n"/>
      <c r="AO356" s="588" t="n"/>
      <c r="AP356" s="588" t="n"/>
      <c r="AQ356" s="588" t="n"/>
      <c r="AR356" s="588" t="n"/>
      <c r="AS356" s="588" t="n"/>
      <c r="AT356" s="588" t="n"/>
      <c r="AU356" s="588" t="n"/>
      <c r="AV356" s="588" t="n"/>
      <c r="AW356" s="588" t="n"/>
      <c r="AX356" s="588" t="n"/>
      <c r="AY356" s="588" t="n"/>
      <c r="AZ356" s="588" t="n"/>
      <c r="BA356" s="588" t="n"/>
      <c r="BB356" s="588" t="n"/>
      <c r="BC356" s="588" t="n"/>
      <c r="BD356" s="588" t="n"/>
      <c r="BE356" s="588" t="n"/>
      <c r="BF356" s="588" t="n"/>
      <c r="BG356" s="588" t="n"/>
      <c r="BH356" s="588" t="n"/>
      <c r="BI356" s="588" t="n"/>
      <c r="BJ356" s="588" t="n"/>
      <c r="BK356" s="588" t="n"/>
      <c r="BL356" s="588" t="n"/>
      <c r="BM356" s="588" t="n"/>
      <c r="BN356" s="588" t="n"/>
      <c r="BO356" s="588" t="n"/>
      <c r="BP356" s="588" t="n"/>
      <c r="BQ356" s="588" t="n"/>
      <c r="BR356" s="588" t="n"/>
      <c r="BS356" s="588" t="n"/>
      <c r="BT356" s="588" t="n"/>
      <c r="BU356" s="588" t="n"/>
      <c r="BV356" s="588" t="n"/>
      <c r="BW356" s="588" t="n"/>
      <c r="BX356" s="588" t="n"/>
      <c r="BY356" s="588" t="n"/>
      <c r="BZ356" s="588" t="n"/>
      <c r="CA356" s="588" t="n"/>
      <c r="CB356" s="588" t="n"/>
      <c r="CC356" s="588" t="n"/>
      <c r="CD356" s="588" t="n"/>
      <c r="CE356" s="588" t="n"/>
      <c r="CF356" s="588" t="n"/>
      <c r="CG356" s="588" t="n"/>
      <c r="CH356" s="588" t="n"/>
      <c r="CI356" s="588" t="n"/>
      <c r="CJ356" s="588" t="n"/>
      <c r="CK356" s="588" t="n"/>
      <c r="CL356" s="588" t="n"/>
      <c r="CM356" s="588" t="n"/>
      <c r="CN356" s="588" t="n"/>
      <c r="CO356" s="588" t="n"/>
      <c r="CP356" s="588" t="n"/>
      <c r="CQ356" s="588" t="n"/>
      <c r="CR356" s="588" t="n"/>
      <c r="CS356" s="588" t="n"/>
      <c r="CT356" s="588" t="n"/>
      <c r="CU356" s="588" t="n"/>
      <c r="CV356" s="588" t="n"/>
      <c r="CW356" s="588" t="n"/>
      <c r="CX356" s="588" t="n"/>
      <c r="CY356" s="588" t="n"/>
      <c r="CZ356" s="588" t="n"/>
      <c r="DA356" s="588" t="n"/>
      <c r="DB356" s="588" t="n"/>
      <c r="DC356" s="588" t="n"/>
      <c r="DD356" s="588" t="n"/>
      <c r="DE356" s="588" t="n"/>
      <c r="DF356" s="588" t="n"/>
      <c r="DG356" s="588" t="n"/>
      <c r="DH356" s="588" t="n"/>
      <c r="DI356" s="588" t="n"/>
      <c r="DJ356" s="588" t="n"/>
      <c r="DK356" s="588" t="n"/>
      <c r="DL356" s="588" t="n"/>
      <c r="DM356" s="588" t="n"/>
      <c r="DN356" s="588" t="n"/>
      <c r="DO356" s="588" t="n"/>
      <c r="DP356" s="588" t="n"/>
      <c r="DQ356" s="588" t="n"/>
      <c r="DR356" s="588" t="n"/>
      <c r="DS356" s="588" t="n"/>
      <c r="DT356" s="588" t="n"/>
      <c r="DU356" s="588" t="n"/>
    </row>
    <row r="357">
      <c r="A357" s="737" t="n"/>
      <c r="B357" s="737" t="n"/>
      <c r="C357" s="737" t="n"/>
      <c r="D357" s="737" t="n"/>
      <c r="E357" s="737" t="n"/>
      <c r="F357" s="737" t="n"/>
      <c r="G357" s="737" t="n"/>
      <c r="H357" s="737" t="n"/>
      <c r="I357" s="737" t="n"/>
      <c r="J357" s="737" t="n"/>
      <c r="K357" s="737" t="n"/>
      <c r="L357" s="737" t="n"/>
      <c r="M357" s="737" t="n"/>
      <c r="N357" s="737" t="n"/>
      <c r="O357" s="737" t="n"/>
      <c r="P357" s="737" t="n"/>
      <c r="Q357" s="737" t="n"/>
      <c r="R357" s="737" t="n"/>
      <c r="S357" s="737" t="n"/>
      <c r="T357" s="737" t="n"/>
      <c r="U357" s="737" t="n"/>
      <c r="V357" s="737" t="n"/>
      <c r="W357" s="737" t="n"/>
      <c r="X357" s="737" t="n"/>
      <c r="Y357" s="737" t="n"/>
      <c r="Z357" s="737" t="n"/>
      <c r="AA357" s="737" t="n"/>
      <c r="AB357" s="737" t="n"/>
      <c r="AC357" s="737" t="n"/>
      <c r="AD357" s="737" t="n"/>
      <c r="AE357" s="737" t="n"/>
      <c r="AF357" s="737" t="n"/>
      <c r="AG357" s="737" t="n"/>
      <c r="AH357" s="737" t="n"/>
      <c r="AI357" s="737" t="n"/>
      <c r="AJ357" s="737" t="n"/>
      <c r="AK357" s="588" t="n"/>
      <c r="AL357" s="588" t="n"/>
      <c r="AM357" s="588" t="n"/>
      <c r="AN357" s="588" t="n"/>
      <c r="AO357" s="588" t="n"/>
      <c r="AP357" s="588" t="n"/>
      <c r="AQ357" s="588" t="n"/>
      <c r="AR357" s="588" t="n"/>
      <c r="AS357" s="588" t="n"/>
      <c r="AT357" s="588" t="n"/>
      <c r="AU357" s="588" t="n"/>
      <c r="AV357" s="588" t="n"/>
      <c r="AW357" s="588" t="n"/>
      <c r="AX357" s="588" t="n"/>
      <c r="AY357" s="588" t="n"/>
      <c r="AZ357" s="588" t="n"/>
      <c r="BA357" s="588" t="n"/>
      <c r="BB357" s="588" t="n"/>
      <c r="BC357" s="588" t="n"/>
      <c r="BD357" s="588" t="n"/>
      <c r="BE357" s="588" t="n"/>
      <c r="BF357" s="588" t="n"/>
      <c r="BG357" s="588" t="n"/>
      <c r="BH357" s="588" t="n"/>
      <c r="BI357" s="588" t="n"/>
      <c r="BJ357" s="588" t="n"/>
      <c r="BK357" s="588" t="n"/>
      <c r="BL357" s="588" t="n"/>
      <c r="BM357" s="588" t="n"/>
      <c r="BN357" s="588" t="n"/>
      <c r="BO357" s="588" t="n"/>
      <c r="BP357" s="588" t="n"/>
      <c r="BQ357" s="588" t="n"/>
      <c r="BR357" s="588" t="n"/>
      <c r="BS357" s="588" t="n"/>
      <c r="BT357" s="588" t="n"/>
      <c r="BU357" s="588" t="n"/>
      <c r="BV357" s="588" t="n"/>
      <c r="BW357" s="588" t="n"/>
      <c r="BX357" s="588" t="n"/>
      <c r="BY357" s="588" t="n"/>
      <c r="BZ357" s="588" t="n"/>
      <c r="CA357" s="588" t="n"/>
      <c r="CB357" s="588" t="n"/>
      <c r="CC357" s="588" t="n"/>
      <c r="CD357" s="588" t="n"/>
      <c r="CE357" s="588" t="n"/>
      <c r="CF357" s="588" t="n"/>
      <c r="CG357" s="588" t="n"/>
      <c r="CH357" s="588" t="n"/>
      <c r="CI357" s="588" t="n"/>
      <c r="CJ357" s="588" t="n"/>
      <c r="CK357" s="588" t="n"/>
      <c r="CL357" s="588" t="n"/>
      <c r="CM357" s="588" t="n"/>
      <c r="CN357" s="588" t="n"/>
      <c r="CO357" s="588" t="n"/>
      <c r="CP357" s="588" t="n"/>
      <c r="CQ357" s="588" t="n"/>
      <c r="CR357" s="588" t="n"/>
      <c r="CS357" s="588" t="n"/>
      <c r="CT357" s="588" t="n"/>
      <c r="CU357" s="588" t="n"/>
      <c r="CV357" s="588" t="n"/>
      <c r="CW357" s="588" t="n"/>
      <c r="CX357" s="588" t="n"/>
      <c r="CY357" s="588" t="n"/>
      <c r="CZ357" s="588" t="n"/>
      <c r="DA357" s="588" t="n"/>
      <c r="DB357" s="588" t="n"/>
      <c r="DC357" s="588" t="n"/>
      <c r="DD357" s="588" t="n"/>
      <c r="DE357" s="588" t="n"/>
      <c r="DF357" s="588" t="n"/>
      <c r="DG357" s="588" t="n"/>
      <c r="DH357" s="588" t="n"/>
      <c r="DI357" s="588" t="n"/>
      <c r="DJ357" s="588" t="n"/>
      <c r="DK357" s="588" t="n"/>
      <c r="DL357" s="588" t="n"/>
      <c r="DM357" s="588" t="n"/>
      <c r="DN357" s="588" t="n"/>
      <c r="DO357" s="588" t="n"/>
      <c r="DP357" s="588" t="n"/>
      <c r="DQ357" s="588" t="n"/>
      <c r="DR357" s="588" t="n"/>
      <c r="DS357" s="588" t="n"/>
      <c r="DT357" s="588" t="n"/>
      <c r="DU357" s="588" t="n"/>
    </row>
    <row r="358">
      <c r="A358" s="737" t="n"/>
      <c r="B358" s="737" t="n"/>
      <c r="C358" s="737" t="n"/>
      <c r="D358" s="737" t="n"/>
      <c r="E358" s="737" t="n"/>
      <c r="F358" s="737" t="n"/>
      <c r="G358" s="737" t="n"/>
      <c r="H358" s="737" t="n"/>
      <c r="I358" s="737" t="n"/>
      <c r="J358" s="737" t="n"/>
      <c r="K358" s="737" t="n"/>
      <c r="L358" s="737" t="n"/>
      <c r="M358" s="737" t="n"/>
      <c r="N358" s="737" t="n"/>
      <c r="O358" s="737" t="n"/>
      <c r="P358" s="737" t="n"/>
      <c r="Q358" s="737" t="n"/>
      <c r="R358" s="737" t="n"/>
      <c r="S358" s="737" t="n"/>
      <c r="T358" s="737" t="n"/>
      <c r="U358" s="737" t="n"/>
      <c r="V358" s="737" t="n"/>
      <c r="W358" s="737" t="n"/>
      <c r="X358" s="737" t="n"/>
      <c r="Y358" s="737" t="n"/>
      <c r="Z358" s="737" t="n"/>
      <c r="AA358" s="737" t="n"/>
      <c r="AB358" s="737" t="n"/>
      <c r="AC358" s="737" t="n"/>
      <c r="AD358" s="737" t="n"/>
      <c r="AE358" s="737" t="n"/>
      <c r="AF358" s="737" t="n"/>
      <c r="AG358" s="737" t="n"/>
      <c r="AH358" s="737" t="n"/>
      <c r="AI358" s="737" t="n"/>
      <c r="AJ358" s="737" t="n"/>
      <c r="AK358" s="588" t="n"/>
      <c r="AL358" s="588" t="n"/>
      <c r="AM358" s="588" t="n"/>
      <c r="AN358" s="588" t="n"/>
      <c r="AO358" s="588" t="n"/>
      <c r="AP358" s="588" t="n"/>
      <c r="AQ358" s="588" t="n"/>
      <c r="AR358" s="588" t="n"/>
      <c r="AS358" s="588" t="n"/>
      <c r="AT358" s="588" t="n"/>
      <c r="AU358" s="588" t="n"/>
      <c r="AV358" s="588" t="n"/>
      <c r="AW358" s="588" t="n"/>
      <c r="AX358" s="588" t="n"/>
      <c r="AY358" s="588" t="n"/>
      <c r="AZ358" s="588" t="n"/>
      <c r="BA358" s="588" t="n"/>
      <c r="BB358" s="588" t="n"/>
      <c r="BC358" s="588" t="n"/>
      <c r="BD358" s="588" t="n"/>
      <c r="BE358" s="588" t="n"/>
      <c r="BF358" s="588" t="n"/>
      <c r="BG358" s="588" t="n"/>
      <c r="BH358" s="588" t="n"/>
      <c r="BI358" s="588" t="n"/>
      <c r="BJ358" s="588" t="n"/>
      <c r="BK358" s="588" t="n"/>
      <c r="BL358" s="588" t="n"/>
      <c r="BM358" s="588" t="n"/>
      <c r="BN358" s="588" t="n"/>
      <c r="BO358" s="588" t="n"/>
      <c r="BP358" s="588" t="n"/>
      <c r="BQ358" s="588" t="n"/>
      <c r="BR358" s="588" t="n"/>
      <c r="BS358" s="588" t="n"/>
      <c r="BT358" s="588" t="n"/>
      <c r="BU358" s="588" t="n"/>
      <c r="BV358" s="588" t="n"/>
      <c r="BW358" s="588" t="n"/>
      <c r="BX358" s="588" t="n"/>
      <c r="BY358" s="588" t="n"/>
      <c r="BZ358" s="588" t="n"/>
      <c r="CA358" s="588" t="n"/>
      <c r="CB358" s="588" t="n"/>
      <c r="CC358" s="588" t="n"/>
      <c r="CD358" s="588" t="n"/>
      <c r="CE358" s="588" t="n"/>
      <c r="CF358" s="588" t="n"/>
      <c r="CG358" s="588" t="n"/>
      <c r="CH358" s="588" t="n"/>
      <c r="CI358" s="588" t="n"/>
      <c r="CJ358" s="588" t="n"/>
      <c r="CK358" s="588" t="n"/>
      <c r="CL358" s="588" t="n"/>
      <c r="CM358" s="588" t="n"/>
      <c r="CN358" s="588" t="n"/>
      <c r="CO358" s="588" t="n"/>
      <c r="CP358" s="588" t="n"/>
      <c r="CQ358" s="588" t="n"/>
      <c r="CR358" s="588" t="n"/>
      <c r="CS358" s="588" t="n"/>
      <c r="CT358" s="588" t="n"/>
      <c r="CU358" s="588" t="n"/>
      <c r="CV358" s="588" t="n"/>
      <c r="CW358" s="588" t="n"/>
      <c r="CX358" s="588" t="n"/>
      <c r="CY358" s="588" t="n"/>
      <c r="CZ358" s="588" t="n"/>
      <c r="DA358" s="588" t="n"/>
      <c r="DB358" s="588" t="n"/>
      <c r="DC358" s="588" t="n"/>
      <c r="DD358" s="588" t="n"/>
      <c r="DE358" s="588" t="n"/>
      <c r="DF358" s="588" t="n"/>
      <c r="DG358" s="588" t="n"/>
      <c r="DH358" s="588" t="n"/>
      <c r="DI358" s="588" t="n"/>
      <c r="DJ358" s="588" t="n"/>
      <c r="DK358" s="588" t="n"/>
      <c r="DL358" s="588" t="n"/>
      <c r="DM358" s="588" t="n"/>
      <c r="DN358" s="588" t="n"/>
      <c r="DO358" s="588" t="n"/>
      <c r="DP358" s="588" t="n"/>
      <c r="DQ358" s="588" t="n"/>
      <c r="DR358" s="588" t="n"/>
      <c r="DS358" s="588" t="n"/>
      <c r="DT358" s="588" t="n"/>
      <c r="DU358" s="588" t="n"/>
    </row>
    <row r="359">
      <c r="A359" s="737" t="n"/>
      <c r="B359" s="737" t="n"/>
      <c r="C359" s="737" t="n"/>
      <c r="D359" s="737" t="n"/>
      <c r="E359" s="737" t="n"/>
      <c r="F359" s="737" t="n"/>
      <c r="G359" s="737" t="n"/>
      <c r="H359" s="737" t="n"/>
      <c r="I359" s="737" t="n"/>
      <c r="J359" s="737" t="n"/>
      <c r="K359" s="737" t="n"/>
      <c r="L359" s="737" t="n"/>
      <c r="M359" s="737" t="n"/>
      <c r="N359" s="737" t="n"/>
      <c r="O359" s="737" t="n"/>
      <c r="P359" s="737" t="n"/>
      <c r="Q359" s="737" t="n"/>
      <c r="R359" s="737" t="n"/>
      <c r="S359" s="737" t="n"/>
      <c r="T359" s="737" t="n"/>
      <c r="U359" s="737" t="n"/>
      <c r="V359" s="737" t="n"/>
      <c r="W359" s="737" t="n"/>
      <c r="X359" s="737" t="n"/>
      <c r="Y359" s="737" t="n"/>
      <c r="Z359" s="737" t="n"/>
      <c r="AA359" s="737" t="n"/>
      <c r="AB359" s="737" t="n"/>
      <c r="AC359" s="737" t="n"/>
      <c r="AD359" s="737" t="n"/>
      <c r="AE359" s="737" t="n"/>
      <c r="AF359" s="737" t="n"/>
      <c r="AG359" s="737" t="n"/>
      <c r="AH359" s="737" t="n"/>
      <c r="AI359" s="737" t="n"/>
      <c r="AJ359" s="737" t="n"/>
      <c r="AK359" s="588" t="n"/>
      <c r="AL359" s="588" t="n"/>
      <c r="AM359" s="588" t="n"/>
      <c r="AN359" s="588" t="n"/>
      <c r="AO359" s="588" t="n"/>
      <c r="AP359" s="588" t="n"/>
      <c r="AQ359" s="588" t="n"/>
      <c r="AR359" s="588" t="n"/>
      <c r="AS359" s="588" t="n"/>
      <c r="AT359" s="588" t="n"/>
      <c r="AU359" s="588" t="n"/>
      <c r="AV359" s="588" t="n"/>
      <c r="AW359" s="588" t="n"/>
      <c r="AX359" s="588" t="n"/>
      <c r="AY359" s="588" t="n"/>
      <c r="AZ359" s="588" t="n"/>
      <c r="BA359" s="588" t="n"/>
      <c r="BB359" s="588" t="n"/>
      <c r="BC359" s="588" t="n"/>
      <c r="BD359" s="588" t="n"/>
      <c r="BE359" s="588" t="n"/>
      <c r="BF359" s="588" t="n"/>
      <c r="BG359" s="588" t="n"/>
      <c r="BH359" s="588" t="n"/>
      <c r="BI359" s="588" t="n"/>
      <c r="BJ359" s="588" t="n"/>
      <c r="BK359" s="588" t="n"/>
      <c r="BL359" s="588" t="n"/>
      <c r="BM359" s="588" t="n"/>
      <c r="BN359" s="588" t="n"/>
      <c r="BO359" s="588" t="n"/>
      <c r="BP359" s="588" t="n"/>
      <c r="BQ359" s="588" t="n"/>
      <c r="BR359" s="588" t="n"/>
      <c r="BS359" s="588" t="n"/>
      <c r="BT359" s="588" t="n"/>
      <c r="BU359" s="588" t="n"/>
      <c r="BV359" s="588" t="n"/>
      <c r="BW359" s="588" t="n"/>
      <c r="BX359" s="588" t="n"/>
      <c r="BY359" s="588" t="n"/>
      <c r="BZ359" s="588" t="n"/>
      <c r="CA359" s="588" t="n"/>
      <c r="CB359" s="588" t="n"/>
      <c r="CC359" s="588" t="n"/>
      <c r="CD359" s="588" t="n"/>
      <c r="CE359" s="588" t="n"/>
      <c r="CF359" s="588" t="n"/>
      <c r="CG359" s="588" t="n"/>
      <c r="CH359" s="588" t="n"/>
      <c r="CI359" s="588" t="n"/>
      <c r="CJ359" s="588" t="n"/>
      <c r="CK359" s="588" t="n"/>
      <c r="CL359" s="588" t="n"/>
      <c r="CM359" s="588" t="n"/>
      <c r="CN359" s="588" t="n"/>
      <c r="CO359" s="588" t="n"/>
      <c r="CP359" s="588" t="n"/>
      <c r="CQ359" s="588" t="n"/>
      <c r="CR359" s="588" t="n"/>
      <c r="CS359" s="588" t="n"/>
      <c r="CT359" s="588" t="n"/>
      <c r="CU359" s="588" t="n"/>
      <c r="CV359" s="588" t="n"/>
      <c r="CW359" s="588" t="n"/>
      <c r="CX359" s="588" t="n"/>
      <c r="CY359" s="588" t="n"/>
      <c r="CZ359" s="588" t="n"/>
      <c r="DA359" s="588" t="n"/>
      <c r="DB359" s="588" t="n"/>
      <c r="DC359" s="588" t="n"/>
      <c r="DD359" s="588" t="n"/>
      <c r="DE359" s="588" t="n"/>
      <c r="DF359" s="588" t="n"/>
      <c r="DG359" s="588" t="n"/>
      <c r="DH359" s="588" t="n"/>
      <c r="DI359" s="588" t="n"/>
      <c r="DJ359" s="588" t="n"/>
      <c r="DK359" s="588" t="n"/>
      <c r="DL359" s="588" t="n"/>
      <c r="DM359" s="588" t="n"/>
      <c r="DN359" s="588" t="n"/>
      <c r="DO359" s="588" t="n"/>
      <c r="DP359" s="588" t="n"/>
      <c r="DQ359" s="588" t="n"/>
      <c r="DR359" s="588" t="n"/>
      <c r="DS359" s="588" t="n"/>
      <c r="DT359" s="588" t="n"/>
      <c r="DU359" s="588" t="n"/>
    </row>
    <row r="360">
      <c r="A360" s="737" t="n"/>
      <c r="B360" s="737" t="n"/>
      <c r="C360" s="737" t="n"/>
      <c r="D360" s="737" t="n"/>
      <c r="E360" s="737" t="n"/>
      <c r="F360" s="737" t="n"/>
      <c r="G360" s="737" t="n"/>
      <c r="H360" s="737" t="n"/>
      <c r="I360" s="737" t="n"/>
      <c r="J360" s="737" t="n"/>
      <c r="K360" s="737" t="n"/>
      <c r="L360" s="737" t="n"/>
      <c r="M360" s="737" t="n"/>
      <c r="N360" s="737" t="n"/>
      <c r="O360" s="737" t="n"/>
      <c r="P360" s="737" t="n"/>
      <c r="Q360" s="737" t="n"/>
      <c r="R360" s="737" t="n"/>
      <c r="S360" s="737" t="n"/>
      <c r="T360" s="737" t="n"/>
      <c r="U360" s="737" t="n"/>
      <c r="V360" s="737" t="n"/>
      <c r="W360" s="737" t="n"/>
      <c r="X360" s="737" t="n"/>
      <c r="Y360" s="737" t="n"/>
      <c r="Z360" s="737" t="n"/>
      <c r="AA360" s="737" t="n"/>
      <c r="AB360" s="737" t="n"/>
      <c r="AC360" s="737" t="n"/>
      <c r="AD360" s="737" t="n"/>
      <c r="AE360" s="737" t="n"/>
      <c r="AF360" s="737" t="n"/>
      <c r="AG360" s="737" t="n"/>
      <c r="AH360" s="737" t="n"/>
      <c r="AI360" s="737" t="n"/>
      <c r="AJ360" s="737" t="n"/>
      <c r="AK360" s="588" t="n"/>
      <c r="AL360" s="588" t="n"/>
      <c r="AM360" s="588" t="n"/>
      <c r="AN360" s="588" t="n"/>
      <c r="AO360" s="588" t="n"/>
      <c r="AP360" s="588" t="n"/>
      <c r="AQ360" s="588" t="n"/>
      <c r="AR360" s="588" t="n"/>
      <c r="AS360" s="588" t="n"/>
      <c r="AT360" s="588" t="n"/>
      <c r="AU360" s="588" t="n"/>
      <c r="AV360" s="588" t="n"/>
      <c r="AW360" s="588" t="n"/>
      <c r="AX360" s="588" t="n"/>
      <c r="AY360" s="588" t="n"/>
      <c r="AZ360" s="588" t="n"/>
      <c r="BA360" s="588" t="n"/>
      <c r="BB360" s="588" t="n"/>
      <c r="BC360" s="588" t="n"/>
      <c r="BD360" s="588" t="n"/>
      <c r="BE360" s="588" t="n"/>
      <c r="BF360" s="588" t="n"/>
      <c r="BG360" s="588" t="n"/>
      <c r="BH360" s="588" t="n"/>
      <c r="BI360" s="588" t="n"/>
      <c r="BJ360" s="588" t="n"/>
      <c r="BK360" s="588" t="n"/>
      <c r="BL360" s="588" t="n"/>
      <c r="BM360" s="588" t="n"/>
      <c r="BN360" s="588" t="n"/>
      <c r="BO360" s="588" t="n"/>
      <c r="BP360" s="588" t="n"/>
      <c r="BQ360" s="588" t="n"/>
      <c r="BR360" s="588" t="n"/>
      <c r="BS360" s="588" t="n"/>
      <c r="BT360" s="588" t="n"/>
      <c r="BU360" s="588" t="n"/>
      <c r="BV360" s="588" t="n"/>
      <c r="BW360" s="588" t="n"/>
      <c r="BX360" s="588" t="n"/>
      <c r="BY360" s="588" t="n"/>
      <c r="BZ360" s="588" t="n"/>
      <c r="CA360" s="588" t="n"/>
      <c r="CB360" s="588" t="n"/>
      <c r="CC360" s="588" t="n"/>
      <c r="CD360" s="588" t="n"/>
      <c r="CE360" s="588" t="n"/>
      <c r="CF360" s="588" t="n"/>
      <c r="CG360" s="588" t="n"/>
      <c r="CH360" s="588" t="n"/>
      <c r="CI360" s="588" t="n"/>
      <c r="CJ360" s="588" t="n"/>
      <c r="CK360" s="588" t="n"/>
      <c r="CL360" s="588" t="n"/>
      <c r="CM360" s="588" t="n"/>
      <c r="CN360" s="588" t="n"/>
      <c r="CO360" s="588" t="n"/>
      <c r="CP360" s="588" t="n"/>
      <c r="CQ360" s="588" t="n"/>
      <c r="CR360" s="588" t="n"/>
      <c r="CS360" s="588" t="n"/>
      <c r="CT360" s="588" t="n"/>
      <c r="CU360" s="588" t="n"/>
      <c r="CV360" s="588" t="n"/>
      <c r="CW360" s="588" t="n"/>
      <c r="CX360" s="588" t="n"/>
      <c r="CY360" s="588" t="n"/>
      <c r="CZ360" s="588" t="n"/>
      <c r="DA360" s="588" t="n"/>
      <c r="DB360" s="588" t="n"/>
      <c r="DC360" s="588" t="n"/>
      <c r="DD360" s="588" t="n"/>
      <c r="DE360" s="588" t="n"/>
      <c r="DF360" s="588" t="n"/>
      <c r="DG360" s="588" t="n"/>
      <c r="DH360" s="588" t="n"/>
      <c r="DI360" s="588" t="n"/>
      <c r="DJ360" s="588" t="n"/>
      <c r="DK360" s="588" t="n"/>
      <c r="DL360" s="588" t="n"/>
      <c r="DM360" s="588" t="n"/>
      <c r="DN360" s="588" t="n"/>
      <c r="DO360" s="588" t="n"/>
      <c r="DP360" s="588" t="n"/>
      <c r="DQ360" s="588" t="n"/>
      <c r="DR360" s="588" t="n"/>
      <c r="DS360" s="588" t="n"/>
      <c r="DT360" s="588" t="n"/>
      <c r="DU360" s="588" t="n"/>
    </row>
    <row r="361">
      <c r="A361" s="737" t="n"/>
      <c r="B361" s="737" t="n"/>
      <c r="C361" s="737" t="n"/>
      <c r="D361" s="737" t="n"/>
      <c r="E361" s="737" t="n"/>
      <c r="F361" s="737" t="n"/>
      <c r="G361" s="737" t="n"/>
      <c r="H361" s="737" t="n"/>
      <c r="I361" s="737" t="n"/>
      <c r="J361" s="737" t="n"/>
      <c r="K361" s="737" t="n"/>
      <c r="L361" s="737" t="n"/>
      <c r="M361" s="737" t="n"/>
      <c r="N361" s="737" t="n"/>
      <c r="O361" s="737" t="n"/>
      <c r="P361" s="737" t="n"/>
      <c r="Q361" s="737" t="n"/>
      <c r="R361" s="737" t="n"/>
      <c r="S361" s="737" t="n"/>
      <c r="T361" s="737" t="n"/>
      <c r="U361" s="737" t="n"/>
      <c r="V361" s="737" t="n"/>
      <c r="W361" s="737" t="n"/>
      <c r="X361" s="737" t="n"/>
      <c r="Y361" s="737" t="n"/>
      <c r="Z361" s="737" t="n"/>
      <c r="AA361" s="737" t="n"/>
      <c r="AB361" s="737" t="n"/>
      <c r="AC361" s="737" t="n"/>
      <c r="AD361" s="737" t="n"/>
      <c r="AE361" s="737" t="n"/>
      <c r="AF361" s="737" t="n"/>
      <c r="AG361" s="737" t="n"/>
      <c r="AH361" s="737" t="n"/>
      <c r="AI361" s="737" t="n"/>
      <c r="AJ361" s="737" t="n"/>
      <c r="AK361" s="588" t="n"/>
      <c r="AL361" s="588" t="n"/>
      <c r="AM361" s="588" t="n"/>
      <c r="AN361" s="588" t="n"/>
      <c r="AO361" s="588" t="n"/>
      <c r="AP361" s="588" t="n"/>
      <c r="AQ361" s="588" t="n"/>
      <c r="AR361" s="588" t="n"/>
      <c r="AS361" s="588" t="n"/>
      <c r="AT361" s="588" t="n"/>
      <c r="AU361" s="588" t="n"/>
      <c r="AV361" s="588" t="n"/>
      <c r="AW361" s="588" t="n"/>
      <c r="AX361" s="588" t="n"/>
      <c r="AY361" s="588" t="n"/>
      <c r="AZ361" s="588" t="n"/>
      <c r="BA361" s="588" t="n"/>
      <c r="BB361" s="588" t="n"/>
      <c r="BC361" s="588" t="n"/>
      <c r="BD361" s="588" t="n"/>
      <c r="BE361" s="588" t="n"/>
      <c r="BF361" s="588" t="n"/>
      <c r="BG361" s="588" t="n"/>
      <c r="BH361" s="588" t="n"/>
      <c r="BI361" s="588" t="n"/>
      <c r="BJ361" s="588" t="n"/>
      <c r="BK361" s="588" t="n"/>
      <c r="BL361" s="588" t="n"/>
      <c r="BM361" s="588" t="n"/>
      <c r="BN361" s="588" t="n"/>
      <c r="BO361" s="588" t="n"/>
      <c r="BP361" s="588" t="n"/>
      <c r="BQ361" s="588" t="n"/>
      <c r="BR361" s="588" t="n"/>
      <c r="BS361" s="588" t="n"/>
      <c r="BT361" s="588" t="n"/>
      <c r="BU361" s="588" t="n"/>
      <c r="BV361" s="588" t="n"/>
      <c r="BW361" s="588" t="n"/>
      <c r="BX361" s="588" t="n"/>
      <c r="BY361" s="588" t="n"/>
      <c r="BZ361" s="588" t="n"/>
      <c r="CA361" s="588" t="n"/>
      <c r="CB361" s="588" t="n"/>
      <c r="CC361" s="588" t="n"/>
      <c r="CD361" s="588" t="n"/>
      <c r="CE361" s="588" t="n"/>
      <c r="CF361" s="588" t="n"/>
      <c r="CG361" s="588" t="n"/>
      <c r="CH361" s="588" t="n"/>
      <c r="CI361" s="588" t="n"/>
      <c r="CJ361" s="588" t="n"/>
      <c r="CK361" s="588" t="n"/>
      <c r="CL361" s="588" t="n"/>
      <c r="CM361" s="588" t="n"/>
      <c r="CN361" s="588" t="n"/>
      <c r="CO361" s="588" t="n"/>
      <c r="CP361" s="588" t="n"/>
      <c r="CQ361" s="588" t="n"/>
      <c r="CR361" s="588" t="n"/>
      <c r="CS361" s="588" t="n"/>
      <c r="CT361" s="588" t="n"/>
      <c r="CU361" s="588" t="n"/>
      <c r="CV361" s="588" t="n"/>
      <c r="CW361" s="588" t="n"/>
      <c r="CX361" s="588" t="n"/>
      <c r="CY361" s="588" t="n"/>
      <c r="CZ361" s="588" t="n"/>
      <c r="DA361" s="588" t="n"/>
      <c r="DB361" s="588" t="n"/>
      <c r="DC361" s="588" t="n"/>
      <c r="DD361" s="588" t="n"/>
      <c r="DE361" s="588" t="n"/>
      <c r="DF361" s="588" t="n"/>
      <c r="DG361" s="588" t="n"/>
      <c r="DH361" s="588" t="n"/>
      <c r="DI361" s="588" t="n"/>
      <c r="DJ361" s="588" t="n"/>
      <c r="DK361" s="588" t="n"/>
      <c r="DL361" s="588" t="n"/>
      <c r="DM361" s="588" t="n"/>
      <c r="DN361" s="588" t="n"/>
      <c r="DO361" s="588" t="n"/>
      <c r="DP361" s="588" t="n"/>
      <c r="DQ361" s="588" t="n"/>
      <c r="DR361" s="588" t="n"/>
      <c r="DS361" s="588" t="n"/>
      <c r="DT361" s="588" t="n"/>
      <c r="DU361" s="588" t="n"/>
    </row>
    <row r="362">
      <c r="A362" s="737" t="n"/>
      <c r="B362" s="737" t="n"/>
      <c r="C362" s="737" t="n"/>
      <c r="D362" s="737" t="n"/>
      <c r="E362" s="737" t="n"/>
      <c r="F362" s="737" t="n"/>
      <c r="G362" s="737" t="n"/>
      <c r="H362" s="737" t="n"/>
      <c r="I362" s="737" t="n"/>
      <c r="J362" s="737" t="n"/>
      <c r="K362" s="737" t="n"/>
      <c r="L362" s="737" t="n"/>
      <c r="M362" s="737" t="n"/>
      <c r="N362" s="737" t="n"/>
      <c r="O362" s="737" t="n"/>
      <c r="P362" s="737" t="n"/>
      <c r="Q362" s="737" t="n"/>
      <c r="R362" s="737" t="n"/>
      <c r="S362" s="737" t="n"/>
      <c r="T362" s="737" t="n"/>
      <c r="U362" s="737" t="n"/>
      <c r="V362" s="737" t="n"/>
      <c r="W362" s="737" t="n"/>
      <c r="X362" s="737" t="n"/>
      <c r="Y362" s="737" t="n"/>
      <c r="Z362" s="737" t="n"/>
      <c r="AA362" s="737" t="n"/>
      <c r="AB362" s="737" t="n"/>
      <c r="AC362" s="737" t="n"/>
      <c r="AD362" s="737" t="n"/>
      <c r="AE362" s="737" t="n"/>
      <c r="AF362" s="737" t="n"/>
      <c r="AG362" s="737" t="n"/>
      <c r="AH362" s="737" t="n"/>
      <c r="AI362" s="737" t="n"/>
      <c r="AJ362" s="737" t="n"/>
      <c r="AK362" s="588" t="n"/>
      <c r="AL362" s="588" t="n"/>
      <c r="AM362" s="588" t="n"/>
      <c r="AN362" s="588" t="n"/>
      <c r="AO362" s="588" t="n"/>
      <c r="AP362" s="588" t="n"/>
      <c r="AQ362" s="588" t="n"/>
      <c r="AR362" s="588" t="n"/>
      <c r="AS362" s="588" t="n"/>
      <c r="AT362" s="588" t="n"/>
      <c r="AU362" s="588" t="n"/>
      <c r="AV362" s="588" t="n"/>
      <c r="AW362" s="588" t="n"/>
      <c r="AX362" s="588" t="n"/>
      <c r="AY362" s="588" t="n"/>
      <c r="AZ362" s="588" t="n"/>
      <c r="BA362" s="588" t="n"/>
      <c r="BB362" s="588" t="n"/>
      <c r="BC362" s="588" t="n"/>
      <c r="BD362" s="588" t="n"/>
      <c r="BE362" s="588" t="n"/>
      <c r="BF362" s="588" t="n"/>
      <c r="BG362" s="588" t="n"/>
      <c r="BH362" s="588" t="n"/>
      <c r="BI362" s="588" t="n"/>
      <c r="BJ362" s="588" t="n"/>
      <c r="BK362" s="588" t="n"/>
      <c r="BL362" s="588" t="n"/>
      <c r="BM362" s="588" t="n"/>
      <c r="BN362" s="588" t="n"/>
      <c r="BO362" s="588" t="n"/>
      <c r="BP362" s="588" t="n"/>
      <c r="BQ362" s="588" t="n"/>
      <c r="BR362" s="588" t="n"/>
      <c r="BS362" s="588" t="n"/>
      <c r="BT362" s="588" t="n"/>
      <c r="BU362" s="588" t="n"/>
      <c r="BV362" s="588" t="n"/>
      <c r="BW362" s="588" t="n"/>
      <c r="BX362" s="588" t="n"/>
      <c r="BY362" s="588" t="n"/>
      <c r="BZ362" s="588" t="n"/>
      <c r="CA362" s="588" t="n"/>
      <c r="CB362" s="588" t="n"/>
      <c r="CC362" s="588" t="n"/>
      <c r="CD362" s="588" t="n"/>
      <c r="CE362" s="588" t="n"/>
      <c r="CF362" s="588" t="n"/>
      <c r="CG362" s="588" t="n"/>
      <c r="CH362" s="588" t="n"/>
      <c r="CI362" s="588" t="n"/>
      <c r="CJ362" s="588" t="n"/>
      <c r="CK362" s="588" t="n"/>
      <c r="CL362" s="588" t="n"/>
      <c r="CM362" s="588" t="n"/>
      <c r="CN362" s="588" t="n"/>
      <c r="CO362" s="588" t="n"/>
      <c r="CP362" s="588" t="n"/>
      <c r="CQ362" s="588" t="n"/>
      <c r="CR362" s="588" t="n"/>
      <c r="CS362" s="588" t="n"/>
      <c r="CT362" s="588" t="n"/>
      <c r="CU362" s="588" t="n"/>
      <c r="CV362" s="588" t="n"/>
      <c r="CW362" s="588" t="n"/>
      <c r="CX362" s="588" t="n"/>
      <c r="CY362" s="588" t="n"/>
      <c r="CZ362" s="588" t="n"/>
      <c r="DA362" s="588" t="n"/>
      <c r="DB362" s="588" t="n"/>
      <c r="DC362" s="588" t="n"/>
      <c r="DD362" s="588" t="n"/>
      <c r="DE362" s="588" t="n"/>
      <c r="DF362" s="588" t="n"/>
      <c r="DG362" s="588" t="n"/>
      <c r="DH362" s="588" t="n"/>
      <c r="DI362" s="588" t="n"/>
      <c r="DJ362" s="588" t="n"/>
      <c r="DK362" s="588" t="n"/>
      <c r="DL362" s="588" t="n"/>
      <c r="DM362" s="588" t="n"/>
      <c r="DN362" s="588" t="n"/>
      <c r="DO362" s="588" t="n"/>
      <c r="DP362" s="588" t="n"/>
      <c r="DQ362" s="588" t="n"/>
      <c r="DR362" s="588" t="n"/>
      <c r="DS362" s="588" t="n"/>
      <c r="DT362" s="588" t="n"/>
      <c r="DU362" s="588" t="n"/>
    </row>
    <row r="363">
      <c r="A363" s="737" t="n"/>
      <c r="B363" s="737" t="n"/>
      <c r="C363" s="737" t="n"/>
      <c r="D363" s="737" t="n"/>
      <c r="E363" s="737" t="n"/>
      <c r="F363" s="737" t="n"/>
      <c r="G363" s="737" t="n"/>
      <c r="H363" s="737" t="n"/>
      <c r="I363" s="737" t="n"/>
      <c r="J363" s="737" t="n"/>
      <c r="K363" s="737" t="n"/>
      <c r="L363" s="737" t="n"/>
      <c r="M363" s="737" t="n"/>
      <c r="N363" s="737" t="n"/>
      <c r="O363" s="737" t="n"/>
      <c r="P363" s="737" t="n"/>
      <c r="Q363" s="737" t="n"/>
      <c r="R363" s="737" t="n"/>
      <c r="S363" s="737" t="n"/>
      <c r="T363" s="737" t="n"/>
      <c r="U363" s="737" t="n"/>
      <c r="V363" s="737" t="n"/>
      <c r="W363" s="737" t="n"/>
      <c r="X363" s="737" t="n"/>
      <c r="Y363" s="737" t="n"/>
      <c r="Z363" s="737" t="n"/>
      <c r="AA363" s="737" t="n"/>
      <c r="AB363" s="737" t="n"/>
      <c r="AC363" s="737" t="n"/>
      <c r="AD363" s="737" t="n"/>
      <c r="AE363" s="737" t="n"/>
      <c r="AF363" s="737" t="n"/>
      <c r="AG363" s="737" t="n"/>
      <c r="AH363" s="737" t="n"/>
      <c r="AI363" s="737" t="n"/>
      <c r="AJ363" s="737" t="n"/>
      <c r="AK363" s="588" t="n"/>
      <c r="AL363" s="588" t="n"/>
      <c r="AM363" s="588" t="n"/>
      <c r="AN363" s="588" t="n"/>
      <c r="AO363" s="588" t="n"/>
      <c r="AP363" s="588" t="n"/>
      <c r="AQ363" s="588" t="n"/>
      <c r="AR363" s="588" t="n"/>
      <c r="AS363" s="588" t="n"/>
      <c r="AT363" s="588" t="n"/>
      <c r="AU363" s="588" t="n"/>
      <c r="AV363" s="588" t="n"/>
      <c r="AW363" s="588" t="n"/>
      <c r="AX363" s="588" t="n"/>
      <c r="AY363" s="588" t="n"/>
      <c r="AZ363" s="588" t="n"/>
      <c r="BA363" s="588" t="n"/>
      <c r="BB363" s="588" t="n"/>
      <c r="BC363" s="588" t="n"/>
      <c r="BD363" s="588" t="n"/>
      <c r="BE363" s="588" t="n"/>
      <c r="BF363" s="588" t="n"/>
      <c r="BG363" s="588" t="n"/>
      <c r="BH363" s="588" t="n"/>
      <c r="BI363" s="588" t="n"/>
      <c r="BJ363" s="588" t="n"/>
      <c r="BK363" s="588" t="n"/>
      <c r="BL363" s="588" t="n"/>
      <c r="BM363" s="588" t="n"/>
      <c r="BN363" s="588" t="n"/>
      <c r="BO363" s="588" t="n"/>
      <c r="BP363" s="588" t="n"/>
      <c r="BQ363" s="588" t="n"/>
      <c r="BR363" s="588" t="n"/>
      <c r="BS363" s="588" t="n"/>
      <c r="BT363" s="588" t="n"/>
      <c r="BU363" s="588" t="n"/>
      <c r="BV363" s="588" t="n"/>
      <c r="BW363" s="588" t="n"/>
      <c r="BX363" s="588" t="n"/>
      <c r="BY363" s="588" t="n"/>
      <c r="BZ363" s="588" t="n"/>
      <c r="CA363" s="588" t="n"/>
      <c r="CB363" s="588" t="n"/>
      <c r="CC363" s="588" t="n"/>
      <c r="CD363" s="588" t="n"/>
      <c r="CE363" s="588" t="n"/>
      <c r="CF363" s="588" t="n"/>
      <c r="CG363" s="588" t="n"/>
      <c r="CH363" s="588" t="n"/>
      <c r="CI363" s="588" t="n"/>
      <c r="CJ363" s="588" t="n"/>
      <c r="CK363" s="588" t="n"/>
      <c r="CL363" s="588" t="n"/>
      <c r="CM363" s="588" t="n"/>
      <c r="CN363" s="588" t="n"/>
      <c r="CO363" s="588" t="n"/>
      <c r="CP363" s="588" t="n"/>
      <c r="CQ363" s="588" t="n"/>
      <c r="CR363" s="588" t="n"/>
      <c r="CS363" s="588" t="n"/>
      <c r="CT363" s="588" t="n"/>
      <c r="CU363" s="588" t="n"/>
      <c r="CV363" s="588" t="n"/>
      <c r="CW363" s="588" t="n"/>
      <c r="CX363" s="588" t="n"/>
      <c r="CY363" s="588" t="n"/>
      <c r="CZ363" s="588" t="n"/>
      <c r="DA363" s="588" t="n"/>
      <c r="DB363" s="588" t="n"/>
      <c r="DC363" s="588" t="n"/>
      <c r="DD363" s="588" t="n"/>
      <c r="DE363" s="588" t="n"/>
      <c r="DF363" s="588" t="n"/>
      <c r="DG363" s="588" t="n"/>
      <c r="DH363" s="588" t="n"/>
      <c r="DI363" s="588" t="n"/>
      <c r="DJ363" s="588" t="n"/>
      <c r="DK363" s="588" t="n"/>
      <c r="DL363" s="588" t="n"/>
      <c r="DM363" s="588" t="n"/>
      <c r="DN363" s="588" t="n"/>
      <c r="DO363" s="588" t="n"/>
      <c r="DP363" s="588" t="n"/>
      <c r="DQ363" s="588" t="n"/>
      <c r="DR363" s="588" t="n"/>
      <c r="DS363" s="588" t="n"/>
      <c r="DT363" s="588" t="n"/>
      <c r="DU363" s="588" t="n"/>
    </row>
    <row r="364">
      <c r="A364" s="737" t="n"/>
      <c r="B364" s="737" t="n"/>
      <c r="C364" s="737" t="n"/>
      <c r="D364" s="737" t="n"/>
      <c r="E364" s="737" t="n"/>
      <c r="F364" s="737" t="n"/>
      <c r="G364" s="737" t="n"/>
      <c r="H364" s="737" t="n"/>
      <c r="I364" s="737" t="n"/>
      <c r="J364" s="737" t="n"/>
      <c r="K364" s="737" t="n"/>
      <c r="L364" s="737" t="n"/>
      <c r="M364" s="737" t="n"/>
      <c r="N364" s="737" t="n"/>
      <c r="O364" s="737" t="n"/>
      <c r="P364" s="737" t="n"/>
      <c r="Q364" s="737" t="n"/>
      <c r="R364" s="737" t="n"/>
      <c r="S364" s="737" t="n"/>
      <c r="T364" s="737" t="n"/>
      <c r="U364" s="737" t="n"/>
      <c r="V364" s="737" t="n"/>
      <c r="W364" s="737" t="n"/>
      <c r="X364" s="737" t="n"/>
      <c r="Y364" s="737" t="n"/>
      <c r="Z364" s="737" t="n"/>
      <c r="AA364" s="737" t="n"/>
      <c r="AB364" s="737" t="n"/>
      <c r="AC364" s="737" t="n"/>
      <c r="AD364" s="737" t="n"/>
      <c r="AE364" s="737" t="n"/>
      <c r="AF364" s="737" t="n"/>
      <c r="AG364" s="737" t="n"/>
      <c r="AH364" s="737" t="n"/>
      <c r="AI364" s="737" t="n"/>
      <c r="AJ364" s="737" t="n"/>
      <c r="AK364" s="588" t="n"/>
      <c r="AL364" s="588" t="n"/>
      <c r="AM364" s="588" t="n"/>
      <c r="AN364" s="588" t="n"/>
      <c r="AO364" s="588" t="n"/>
      <c r="AP364" s="588" t="n"/>
      <c r="AQ364" s="588" t="n"/>
      <c r="AR364" s="588" t="n"/>
      <c r="AS364" s="588" t="n"/>
      <c r="AT364" s="588" t="n"/>
      <c r="AU364" s="588" t="n"/>
      <c r="AV364" s="588" t="n"/>
      <c r="AW364" s="588" t="n"/>
      <c r="AX364" s="588" t="n"/>
      <c r="AY364" s="588" t="n"/>
      <c r="AZ364" s="588" t="n"/>
      <c r="BA364" s="588" t="n"/>
      <c r="BB364" s="588" t="n"/>
      <c r="BC364" s="588" t="n"/>
      <c r="BD364" s="588" t="n"/>
      <c r="BE364" s="588" t="n"/>
      <c r="BF364" s="588" t="n"/>
      <c r="BG364" s="588" t="n"/>
      <c r="BH364" s="588" t="n"/>
      <c r="BI364" s="588" t="n"/>
      <c r="BJ364" s="588" t="n"/>
      <c r="BK364" s="588" t="n"/>
      <c r="BL364" s="588" t="n"/>
      <c r="BM364" s="588" t="n"/>
      <c r="BN364" s="588" t="n"/>
      <c r="BO364" s="588" t="n"/>
      <c r="BP364" s="588" t="n"/>
      <c r="BQ364" s="588" t="n"/>
      <c r="BR364" s="588" t="n"/>
      <c r="BS364" s="588" t="n"/>
      <c r="BT364" s="588" t="n"/>
      <c r="BU364" s="588" t="n"/>
      <c r="BV364" s="588" t="n"/>
      <c r="BW364" s="588" t="n"/>
      <c r="BX364" s="588" t="n"/>
      <c r="BY364" s="588" t="n"/>
      <c r="BZ364" s="588" t="n"/>
      <c r="CA364" s="588" t="n"/>
      <c r="CB364" s="588" t="n"/>
      <c r="CC364" s="588" t="n"/>
      <c r="CD364" s="588" t="n"/>
      <c r="CE364" s="588" t="n"/>
      <c r="CF364" s="588" t="n"/>
      <c r="CG364" s="588" t="n"/>
      <c r="CH364" s="588" t="n"/>
      <c r="CI364" s="588" t="n"/>
      <c r="CJ364" s="588" t="n"/>
      <c r="CK364" s="588" t="n"/>
      <c r="CL364" s="588" t="n"/>
      <c r="CM364" s="588" t="n"/>
      <c r="CN364" s="588" t="n"/>
      <c r="CO364" s="588" t="n"/>
      <c r="CP364" s="588" t="n"/>
      <c r="CQ364" s="588" t="n"/>
      <c r="CR364" s="588" t="n"/>
      <c r="CS364" s="588" t="n"/>
      <c r="CT364" s="588" t="n"/>
      <c r="CU364" s="588" t="n"/>
      <c r="CV364" s="588" t="n"/>
      <c r="CW364" s="588" t="n"/>
      <c r="CX364" s="588" t="n"/>
      <c r="CY364" s="588" t="n"/>
      <c r="CZ364" s="588" t="n"/>
      <c r="DA364" s="588" t="n"/>
      <c r="DB364" s="588" t="n"/>
      <c r="DC364" s="588" t="n"/>
      <c r="DD364" s="588" t="n"/>
      <c r="DE364" s="588" t="n"/>
      <c r="DF364" s="588" t="n"/>
      <c r="DG364" s="588" t="n"/>
      <c r="DH364" s="588" t="n"/>
      <c r="DI364" s="588" t="n"/>
      <c r="DJ364" s="588" t="n"/>
      <c r="DK364" s="588" t="n"/>
      <c r="DL364" s="588" t="n"/>
      <c r="DM364" s="588" t="n"/>
      <c r="DN364" s="588" t="n"/>
      <c r="DO364" s="588" t="n"/>
      <c r="DP364" s="588" t="n"/>
      <c r="DQ364" s="588" t="n"/>
      <c r="DR364" s="588" t="n"/>
      <c r="DS364" s="588" t="n"/>
      <c r="DT364" s="588" t="n"/>
      <c r="DU364" s="588" t="n"/>
    </row>
    <row r="365">
      <c r="A365" s="737" t="n"/>
      <c r="B365" s="737" t="n"/>
      <c r="C365" s="737" t="n"/>
      <c r="D365" s="737" t="n"/>
      <c r="E365" s="737" t="n"/>
      <c r="F365" s="737" t="n"/>
      <c r="G365" s="737" t="n"/>
      <c r="H365" s="737" t="n"/>
      <c r="I365" s="737" t="n"/>
      <c r="J365" s="737" t="n"/>
      <c r="K365" s="737" t="n"/>
      <c r="L365" s="737" t="n"/>
      <c r="M365" s="737" t="n"/>
      <c r="N365" s="737" t="n"/>
      <c r="O365" s="737" t="n"/>
      <c r="P365" s="737" t="n"/>
      <c r="Q365" s="737" t="n"/>
      <c r="R365" s="737" t="n"/>
      <c r="S365" s="737" t="n"/>
      <c r="T365" s="737" t="n"/>
      <c r="U365" s="737" t="n"/>
      <c r="V365" s="737" t="n"/>
      <c r="W365" s="737" t="n"/>
      <c r="X365" s="737" t="n"/>
      <c r="Y365" s="737" t="n"/>
      <c r="Z365" s="737" t="n"/>
      <c r="AA365" s="737" t="n"/>
      <c r="AB365" s="737" t="n"/>
      <c r="AC365" s="737" t="n"/>
      <c r="AD365" s="737" t="n"/>
      <c r="AE365" s="737" t="n"/>
      <c r="AF365" s="737" t="n"/>
      <c r="AG365" s="737" t="n"/>
      <c r="AH365" s="737" t="n"/>
      <c r="AI365" s="737" t="n"/>
      <c r="AJ365" s="737" t="n"/>
      <c r="AK365" s="588" t="n"/>
      <c r="AL365" s="588" t="n"/>
      <c r="AM365" s="588" t="n"/>
      <c r="AN365" s="588" t="n"/>
      <c r="AO365" s="588" t="n"/>
      <c r="AP365" s="588" t="n"/>
      <c r="AQ365" s="588" t="n"/>
      <c r="AR365" s="588" t="n"/>
      <c r="AS365" s="588" t="n"/>
      <c r="AT365" s="588" t="n"/>
      <c r="AU365" s="588" t="n"/>
      <c r="AV365" s="588" t="n"/>
      <c r="AW365" s="588" t="n"/>
      <c r="AX365" s="588" t="n"/>
      <c r="AY365" s="588" t="n"/>
      <c r="AZ365" s="588" t="n"/>
      <c r="BA365" s="588" t="n"/>
      <c r="BB365" s="588" t="n"/>
      <c r="BC365" s="588" t="n"/>
      <c r="BD365" s="588" t="n"/>
      <c r="BE365" s="588" t="n"/>
      <c r="BF365" s="588" t="n"/>
      <c r="BG365" s="588" t="n"/>
      <c r="BH365" s="588" t="n"/>
      <c r="BI365" s="588" t="n"/>
      <c r="BJ365" s="588" t="n"/>
      <c r="BK365" s="588" t="n"/>
      <c r="BL365" s="588" t="n"/>
      <c r="BM365" s="588" t="n"/>
      <c r="BN365" s="588" t="n"/>
      <c r="BO365" s="588" t="n"/>
      <c r="BP365" s="588" t="n"/>
      <c r="BQ365" s="588" t="n"/>
      <c r="BR365" s="588" t="n"/>
      <c r="BS365" s="588" t="n"/>
      <c r="BT365" s="588" t="n"/>
      <c r="BU365" s="588" t="n"/>
      <c r="BV365" s="588" t="n"/>
      <c r="BW365" s="588" t="n"/>
      <c r="BX365" s="588" t="n"/>
      <c r="BY365" s="588" t="n"/>
      <c r="BZ365" s="588" t="n"/>
      <c r="CA365" s="588" t="n"/>
      <c r="CB365" s="588" t="n"/>
      <c r="CC365" s="588" t="n"/>
      <c r="CD365" s="588" t="n"/>
      <c r="CE365" s="588" t="n"/>
      <c r="CF365" s="588" t="n"/>
      <c r="CG365" s="588" t="n"/>
      <c r="CH365" s="588" t="n"/>
      <c r="CI365" s="588" t="n"/>
      <c r="CJ365" s="588" t="n"/>
      <c r="CK365" s="588" t="n"/>
      <c r="CL365" s="588" t="n"/>
      <c r="CM365" s="588" t="n"/>
      <c r="CN365" s="588" t="n"/>
      <c r="CO365" s="588" t="n"/>
      <c r="CP365" s="588" t="n"/>
      <c r="CQ365" s="588" t="n"/>
      <c r="CR365" s="588" t="n"/>
      <c r="CS365" s="588" t="n"/>
      <c r="CT365" s="588" t="n"/>
      <c r="CU365" s="588" t="n"/>
      <c r="CV365" s="588" t="n"/>
      <c r="CW365" s="588" t="n"/>
      <c r="CX365" s="588" t="n"/>
      <c r="CY365" s="588" t="n"/>
      <c r="CZ365" s="588" t="n"/>
      <c r="DA365" s="588" t="n"/>
      <c r="DB365" s="588" t="n"/>
      <c r="DC365" s="588" t="n"/>
      <c r="DD365" s="588" t="n"/>
      <c r="DE365" s="588" t="n"/>
      <c r="DF365" s="588" t="n"/>
      <c r="DG365" s="588" t="n"/>
      <c r="DH365" s="588" t="n"/>
      <c r="DI365" s="588" t="n"/>
      <c r="DJ365" s="588" t="n"/>
      <c r="DK365" s="588" t="n"/>
      <c r="DL365" s="588" t="n"/>
      <c r="DM365" s="588" t="n"/>
      <c r="DN365" s="588" t="n"/>
      <c r="DO365" s="588" t="n"/>
      <c r="DP365" s="588" t="n"/>
      <c r="DQ365" s="588" t="n"/>
      <c r="DR365" s="588" t="n"/>
      <c r="DS365" s="588" t="n"/>
      <c r="DT365" s="588" t="n"/>
      <c r="DU365" s="588" t="n"/>
    </row>
    <row r="366">
      <c r="A366" s="737" t="n"/>
      <c r="B366" s="737" t="n"/>
      <c r="C366" s="737" t="n"/>
      <c r="D366" s="737" t="n"/>
      <c r="E366" s="737" t="n"/>
      <c r="F366" s="737" t="n"/>
      <c r="G366" s="737" t="n"/>
      <c r="H366" s="737" t="n"/>
      <c r="I366" s="737" t="n"/>
      <c r="J366" s="737" t="n"/>
      <c r="K366" s="737" t="n"/>
      <c r="L366" s="737" t="n"/>
      <c r="M366" s="737" t="n"/>
      <c r="N366" s="737" t="n"/>
      <c r="O366" s="737" t="n"/>
      <c r="P366" s="737" t="n"/>
      <c r="Q366" s="737" t="n"/>
      <c r="R366" s="737" t="n"/>
      <c r="S366" s="737" t="n"/>
      <c r="T366" s="737" t="n"/>
      <c r="U366" s="737" t="n"/>
      <c r="V366" s="737" t="n"/>
      <c r="W366" s="737" t="n"/>
      <c r="X366" s="737" t="n"/>
      <c r="Y366" s="737" t="n"/>
      <c r="Z366" s="737" t="n"/>
      <c r="AA366" s="737" t="n"/>
      <c r="AB366" s="737" t="n"/>
      <c r="AC366" s="737" t="n"/>
      <c r="AD366" s="737" t="n"/>
      <c r="AE366" s="737" t="n"/>
      <c r="AF366" s="737" t="n"/>
      <c r="AG366" s="737" t="n"/>
      <c r="AH366" s="737" t="n"/>
      <c r="AI366" s="737" t="n"/>
      <c r="AJ366" s="737" t="n"/>
      <c r="AK366" s="588" t="n"/>
      <c r="AL366" s="588" t="n"/>
      <c r="AM366" s="588" t="n"/>
      <c r="AN366" s="588" t="n"/>
      <c r="AO366" s="588" t="n"/>
      <c r="AP366" s="588" t="n"/>
      <c r="AQ366" s="588" t="n"/>
      <c r="AR366" s="588" t="n"/>
      <c r="AS366" s="588" t="n"/>
      <c r="AT366" s="588" t="n"/>
      <c r="AU366" s="588" t="n"/>
      <c r="AV366" s="588" t="n"/>
      <c r="AW366" s="588" t="n"/>
      <c r="AX366" s="588" t="n"/>
      <c r="AY366" s="588" t="n"/>
      <c r="AZ366" s="588" t="n"/>
      <c r="BA366" s="588" t="n"/>
      <c r="BB366" s="588" t="n"/>
      <c r="BC366" s="588" t="n"/>
      <c r="BD366" s="588" t="n"/>
      <c r="BE366" s="588" t="n"/>
      <c r="BF366" s="588" t="n"/>
      <c r="BG366" s="588" t="n"/>
      <c r="BH366" s="588" t="n"/>
      <c r="BI366" s="588" t="n"/>
      <c r="BJ366" s="588" t="n"/>
      <c r="BK366" s="588" t="n"/>
      <c r="BL366" s="588" t="n"/>
      <c r="BM366" s="588" t="n"/>
      <c r="BN366" s="588" t="n"/>
      <c r="BO366" s="588" t="n"/>
      <c r="BP366" s="588" t="n"/>
      <c r="BQ366" s="588" t="n"/>
      <c r="BR366" s="588" t="n"/>
      <c r="BS366" s="588" t="n"/>
      <c r="BT366" s="588" t="n"/>
      <c r="BU366" s="588" t="n"/>
      <c r="BV366" s="588" t="n"/>
      <c r="BW366" s="588" t="n"/>
      <c r="BX366" s="588" t="n"/>
      <c r="BY366" s="588" t="n"/>
      <c r="BZ366" s="588" t="n"/>
      <c r="CA366" s="588" t="n"/>
      <c r="CB366" s="588" t="n"/>
      <c r="CC366" s="588" t="n"/>
      <c r="CD366" s="588" t="n"/>
      <c r="CE366" s="588" t="n"/>
      <c r="CF366" s="588" t="n"/>
      <c r="CG366" s="588" t="n"/>
      <c r="CH366" s="588" t="n"/>
      <c r="CI366" s="588" t="n"/>
      <c r="CJ366" s="588" t="n"/>
      <c r="CK366" s="588" t="n"/>
      <c r="CL366" s="588" t="n"/>
      <c r="CM366" s="588" t="n"/>
      <c r="CN366" s="588" t="n"/>
      <c r="CO366" s="588" t="n"/>
      <c r="CP366" s="588" t="n"/>
      <c r="CQ366" s="588" t="n"/>
      <c r="CR366" s="588" t="n"/>
      <c r="CS366" s="588" t="n"/>
      <c r="CT366" s="588" t="n"/>
      <c r="CU366" s="588" t="n"/>
      <c r="CV366" s="588" t="n"/>
      <c r="CW366" s="588" t="n"/>
      <c r="CX366" s="588" t="n"/>
      <c r="CY366" s="588" t="n"/>
      <c r="CZ366" s="588" t="n"/>
      <c r="DA366" s="588" t="n"/>
      <c r="DB366" s="588" t="n"/>
      <c r="DC366" s="588" t="n"/>
      <c r="DD366" s="588" t="n"/>
      <c r="DE366" s="588" t="n"/>
      <c r="DF366" s="588" t="n"/>
      <c r="DG366" s="588" t="n"/>
      <c r="DH366" s="588" t="n"/>
      <c r="DI366" s="588" t="n"/>
      <c r="DJ366" s="588" t="n"/>
      <c r="DK366" s="588" t="n"/>
      <c r="DL366" s="588" t="n"/>
      <c r="DM366" s="588" t="n"/>
      <c r="DN366" s="588" t="n"/>
      <c r="DO366" s="588" t="n"/>
      <c r="DP366" s="588" t="n"/>
      <c r="DQ366" s="588" t="n"/>
      <c r="DR366" s="588" t="n"/>
      <c r="DS366" s="588" t="n"/>
      <c r="DT366" s="588" t="n"/>
      <c r="DU366" s="588" t="n"/>
    </row>
    <row r="367">
      <c r="A367" s="737" t="n"/>
      <c r="B367" s="737" t="n"/>
      <c r="C367" s="737" t="n"/>
      <c r="D367" s="737" t="n"/>
      <c r="E367" s="737" t="n"/>
      <c r="F367" s="737" t="n"/>
      <c r="G367" s="737" t="n"/>
      <c r="H367" s="737" t="n"/>
      <c r="I367" s="737" t="n"/>
      <c r="J367" s="737" t="n"/>
      <c r="K367" s="737" t="n"/>
      <c r="L367" s="737" t="n"/>
      <c r="M367" s="737" t="n"/>
      <c r="N367" s="737" t="n"/>
      <c r="O367" s="737" t="n"/>
      <c r="P367" s="737" t="n"/>
      <c r="Q367" s="737" t="n"/>
      <c r="R367" s="737" t="n"/>
      <c r="S367" s="737" t="n"/>
      <c r="T367" s="737" t="n"/>
      <c r="U367" s="737" t="n"/>
      <c r="V367" s="737" t="n"/>
      <c r="W367" s="737" t="n"/>
      <c r="X367" s="737" t="n"/>
      <c r="Y367" s="737" t="n"/>
      <c r="Z367" s="737" t="n"/>
      <c r="AA367" s="737" t="n"/>
      <c r="AB367" s="737" t="n"/>
      <c r="AC367" s="737" t="n"/>
      <c r="AD367" s="737" t="n"/>
      <c r="AE367" s="737" t="n"/>
      <c r="AF367" s="737" t="n"/>
      <c r="AG367" s="737" t="n"/>
      <c r="AH367" s="737" t="n"/>
      <c r="AI367" s="737" t="n"/>
      <c r="AJ367" s="737" t="n"/>
      <c r="AK367" s="588" t="n"/>
      <c r="AL367" s="588" t="n"/>
      <c r="AM367" s="588" t="n"/>
      <c r="AN367" s="588" t="n"/>
      <c r="AO367" s="588" t="n"/>
      <c r="AP367" s="588" t="n"/>
      <c r="AQ367" s="588" t="n"/>
      <c r="AR367" s="588" t="n"/>
      <c r="AS367" s="588" t="n"/>
      <c r="AT367" s="588" t="n"/>
      <c r="AU367" s="588" t="n"/>
      <c r="AV367" s="588" t="n"/>
      <c r="AW367" s="588" t="n"/>
      <c r="AX367" s="588" t="n"/>
      <c r="AY367" s="588" t="n"/>
      <c r="AZ367" s="588" t="n"/>
      <c r="BA367" s="588" t="n"/>
      <c r="BB367" s="588" t="n"/>
      <c r="BC367" s="588" t="n"/>
      <c r="BD367" s="588" t="n"/>
      <c r="BE367" s="588" t="n"/>
      <c r="BF367" s="588" t="n"/>
      <c r="BG367" s="588" t="n"/>
      <c r="BH367" s="588" t="n"/>
      <c r="BI367" s="588" t="n"/>
      <c r="BJ367" s="588" t="n"/>
      <c r="BK367" s="588" t="n"/>
      <c r="BL367" s="588" t="n"/>
      <c r="BM367" s="588" t="n"/>
      <c r="BN367" s="588" t="n"/>
      <c r="BO367" s="588" t="n"/>
      <c r="BP367" s="588" t="n"/>
      <c r="BQ367" s="588" t="n"/>
      <c r="BR367" s="588" t="n"/>
      <c r="BS367" s="588" t="n"/>
      <c r="BT367" s="588" t="n"/>
      <c r="BU367" s="588" t="n"/>
      <c r="BV367" s="588" t="n"/>
      <c r="BW367" s="588" t="n"/>
      <c r="BX367" s="588" t="n"/>
      <c r="BY367" s="588" t="n"/>
      <c r="BZ367" s="588" t="n"/>
      <c r="CA367" s="588" t="n"/>
      <c r="CB367" s="588" t="n"/>
      <c r="CC367" s="588" t="n"/>
      <c r="CD367" s="588" t="n"/>
      <c r="CE367" s="588" t="n"/>
      <c r="CF367" s="588" t="n"/>
      <c r="CG367" s="588" t="n"/>
      <c r="CH367" s="588" t="n"/>
      <c r="CI367" s="588" t="n"/>
      <c r="CJ367" s="588" t="n"/>
      <c r="CK367" s="588" t="n"/>
      <c r="CL367" s="588" t="n"/>
      <c r="CM367" s="588" t="n"/>
      <c r="CN367" s="588" t="n"/>
      <c r="CO367" s="588" t="n"/>
      <c r="CP367" s="588" t="n"/>
      <c r="CQ367" s="588" t="n"/>
      <c r="CR367" s="588" t="n"/>
      <c r="CS367" s="588" t="n"/>
      <c r="CT367" s="588" t="n"/>
      <c r="CU367" s="588" t="n"/>
      <c r="CV367" s="588" t="n"/>
      <c r="CW367" s="588" t="n"/>
      <c r="CX367" s="588" t="n"/>
      <c r="CY367" s="588" t="n"/>
      <c r="CZ367" s="588" t="n"/>
      <c r="DA367" s="588" t="n"/>
      <c r="DB367" s="588" t="n"/>
      <c r="DC367" s="588" t="n"/>
      <c r="DD367" s="588" t="n"/>
      <c r="DE367" s="588" t="n"/>
      <c r="DF367" s="588" t="n"/>
      <c r="DG367" s="588" t="n"/>
      <c r="DH367" s="588" t="n"/>
      <c r="DI367" s="588" t="n"/>
      <c r="DJ367" s="588" t="n"/>
      <c r="DK367" s="588" t="n"/>
      <c r="DL367" s="588" t="n"/>
      <c r="DM367" s="588" t="n"/>
      <c r="DN367" s="588" t="n"/>
      <c r="DO367" s="588" t="n"/>
      <c r="DP367" s="588" t="n"/>
      <c r="DQ367" s="588" t="n"/>
      <c r="DR367" s="588" t="n"/>
      <c r="DS367" s="588" t="n"/>
      <c r="DT367" s="588" t="n"/>
      <c r="DU367" s="588" t="n"/>
    </row>
    <row r="368">
      <c r="A368" s="737" t="n"/>
      <c r="B368" s="737" t="n"/>
      <c r="C368" s="737" t="n"/>
      <c r="D368" s="737" t="n"/>
      <c r="E368" s="737" t="n"/>
      <c r="F368" s="737" t="n"/>
      <c r="G368" s="737" t="n"/>
      <c r="H368" s="737" t="n"/>
      <c r="I368" s="737" t="n"/>
      <c r="J368" s="737" t="n"/>
      <c r="K368" s="737" t="n"/>
      <c r="L368" s="737" t="n"/>
      <c r="M368" s="737" t="n"/>
      <c r="N368" s="737" t="n"/>
      <c r="O368" s="737" t="n"/>
      <c r="P368" s="737" t="n"/>
      <c r="Q368" s="737" t="n"/>
      <c r="R368" s="737" t="n"/>
      <c r="S368" s="737" t="n"/>
      <c r="T368" s="737" t="n"/>
      <c r="U368" s="737" t="n"/>
      <c r="V368" s="737" t="n"/>
      <c r="W368" s="737" t="n"/>
      <c r="X368" s="737" t="n"/>
      <c r="Y368" s="737" t="n"/>
      <c r="Z368" s="737" t="n"/>
      <c r="AA368" s="737" t="n"/>
      <c r="AB368" s="737" t="n"/>
      <c r="AC368" s="737" t="n"/>
      <c r="AD368" s="737" t="n"/>
      <c r="AE368" s="737" t="n"/>
      <c r="AF368" s="737" t="n"/>
      <c r="AG368" s="737" t="n"/>
      <c r="AH368" s="737" t="n"/>
      <c r="AI368" s="737" t="n"/>
      <c r="AJ368" s="737" t="n"/>
      <c r="AK368" s="588" t="n"/>
      <c r="AL368" s="588" t="n"/>
      <c r="AM368" s="588" t="n"/>
      <c r="AN368" s="588" t="n"/>
      <c r="AO368" s="588" t="n"/>
      <c r="AP368" s="588" t="n"/>
      <c r="AQ368" s="588" t="n"/>
      <c r="AR368" s="588" t="n"/>
      <c r="AS368" s="588" t="n"/>
      <c r="AT368" s="588" t="n"/>
      <c r="AU368" s="588" t="n"/>
      <c r="AV368" s="588" t="n"/>
      <c r="AW368" s="588" t="n"/>
      <c r="AX368" s="588" t="n"/>
      <c r="AY368" s="588" t="n"/>
      <c r="AZ368" s="588" t="n"/>
      <c r="BA368" s="588" t="n"/>
      <c r="BB368" s="588" t="n"/>
      <c r="BC368" s="588" t="n"/>
      <c r="BD368" s="588" t="n"/>
      <c r="BE368" s="588" t="n"/>
      <c r="BF368" s="588" t="n"/>
      <c r="BG368" s="588" t="n"/>
      <c r="BH368" s="588" t="n"/>
      <c r="BI368" s="588" t="n"/>
      <c r="BJ368" s="588" t="n"/>
      <c r="BK368" s="588" t="n"/>
      <c r="BL368" s="588" t="n"/>
      <c r="BM368" s="588" t="n"/>
      <c r="BN368" s="588" t="n"/>
      <c r="BO368" s="588" t="n"/>
      <c r="BP368" s="588" t="n"/>
      <c r="BQ368" s="588" t="n"/>
      <c r="BR368" s="588" t="n"/>
      <c r="BS368" s="588" t="n"/>
      <c r="BT368" s="588" t="n"/>
      <c r="BU368" s="588" t="n"/>
      <c r="BV368" s="588" t="n"/>
      <c r="BW368" s="588" t="n"/>
      <c r="BX368" s="588" t="n"/>
      <c r="BY368" s="588" t="n"/>
      <c r="BZ368" s="588" t="n"/>
      <c r="CA368" s="588" t="n"/>
      <c r="CB368" s="588" t="n"/>
      <c r="CC368" s="588" t="n"/>
      <c r="CD368" s="588" t="n"/>
      <c r="CE368" s="588" t="n"/>
      <c r="CF368" s="588" t="n"/>
      <c r="CG368" s="588" t="n"/>
      <c r="CH368" s="588" t="n"/>
      <c r="CI368" s="588" t="n"/>
      <c r="CJ368" s="588" t="n"/>
      <c r="CK368" s="588" t="n"/>
      <c r="CL368" s="588" t="n"/>
      <c r="CM368" s="588" t="n"/>
      <c r="CN368" s="588" t="n"/>
      <c r="CO368" s="588" t="n"/>
      <c r="CP368" s="588" t="n"/>
      <c r="CQ368" s="588" t="n"/>
      <c r="CR368" s="588" t="n"/>
      <c r="CS368" s="588" t="n"/>
      <c r="CT368" s="588" t="n"/>
      <c r="CU368" s="588" t="n"/>
      <c r="CV368" s="588" t="n"/>
      <c r="CW368" s="588" t="n"/>
      <c r="CX368" s="588" t="n"/>
      <c r="CY368" s="588" t="n"/>
      <c r="CZ368" s="588" t="n"/>
      <c r="DA368" s="588" t="n"/>
      <c r="DB368" s="588" t="n"/>
      <c r="DC368" s="588" t="n"/>
      <c r="DD368" s="588" t="n"/>
      <c r="DE368" s="588" t="n"/>
      <c r="DF368" s="588" t="n"/>
      <c r="DG368" s="588" t="n"/>
      <c r="DH368" s="588" t="n"/>
      <c r="DI368" s="588" t="n"/>
      <c r="DJ368" s="588" t="n"/>
      <c r="DK368" s="588" t="n"/>
      <c r="DL368" s="588" t="n"/>
      <c r="DM368" s="588" t="n"/>
      <c r="DN368" s="588" t="n"/>
      <c r="DO368" s="588" t="n"/>
      <c r="DP368" s="588" t="n"/>
      <c r="DQ368" s="588" t="n"/>
      <c r="DR368" s="588" t="n"/>
      <c r="DS368" s="588" t="n"/>
      <c r="DT368" s="588" t="n"/>
      <c r="DU368" s="588" t="n"/>
    </row>
    <row r="369">
      <c r="A369" s="737" t="n"/>
      <c r="B369" s="737" t="n"/>
      <c r="C369" s="737" t="n"/>
      <c r="D369" s="737" t="n"/>
      <c r="E369" s="737" t="n"/>
      <c r="F369" s="737" t="n"/>
      <c r="G369" s="737" t="n"/>
      <c r="H369" s="737" t="n"/>
      <c r="I369" s="737" t="n"/>
      <c r="J369" s="737" t="n"/>
      <c r="K369" s="737" t="n"/>
      <c r="L369" s="737" t="n"/>
      <c r="M369" s="737" t="n"/>
      <c r="N369" s="737" t="n"/>
      <c r="O369" s="737" t="n"/>
      <c r="P369" s="737" t="n"/>
      <c r="Q369" s="737" t="n"/>
      <c r="R369" s="737" t="n"/>
      <c r="S369" s="737" t="n"/>
      <c r="T369" s="737" t="n"/>
      <c r="U369" s="737" t="n"/>
      <c r="V369" s="737" t="n"/>
      <c r="W369" s="737" t="n"/>
      <c r="X369" s="737" t="n"/>
      <c r="Y369" s="737" t="n"/>
      <c r="Z369" s="737" t="n"/>
      <c r="AA369" s="737" t="n"/>
      <c r="AB369" s="737" t="n"/>
      <c r="AC369" s="737" t="n"/>
      <c r="AD369" s="737" t="n"/>
      <c r="AE369" s="737" t="n"/>
      <c r="AF369" s="737" t="n"/>
      <c r="AG369" s="737" t="n"/>
      <c r="AH369" s="737" t="n"/>
      <c r="AI369" s="737" t="n"/>
      <c r="AJ369" s="737" t="n"/>
      <c r="AK369" s="588" t="n"/>
      <c r="AL369" s="588" t="n"/>
      <c r="AM369" s="588" t="n"/>
      <c r="AN369" s="588" t="n"/>
      <c r="AO369" s="588" t="n"/>
      <c r="AP369" s="588" t="n"/>
      <c r="AQ369" s="588" t="n"/>
      <c r="AR369" s="588" t="n"/>
      <c r="AS369" s="588" t="n"/>
      <c r="AT369" s="588" t="n"/>
      <c r="AU369" s="588" t="n"/>
      <c r="AV369" s="588" t="n"/>
      <c r="AW369" s="588" t="n"/>
      <c r="AX369" s="588" t="n"/>
      <c r="AY369" s="588" t="n"/>
      <c r="AZ369" s="588" t="n"/>
      <c r="BA369" s="588" t="n"/>
      <c r="BB369" s="588" t="n"/>
      <c r="BC369" s="588" t="n"/>
      <c r="BD369" s="588" t="n"/>
      <c r="BE369" s="588" t="n"/>
      <c r="BF369" s="588" t="n"/>
      <c r="BG369" s="588" t="n"/>
      <c r="BH369" s="588" t="n"/>
      <c r="BI369" s="588" t="n"/>
      <c r="BJ369" s="588" t="n"/>
      <c r="BK369" s="588" t="n"/>
      <c r="BL369" s="588" t="n"/>
      <c r="BM369" s="588" t="n"/>
      <c r="BN369" s="588" t="n"/>
      <c r="BO369" s="588" t="n"/>
      <c r="BP369" s="588" t="n"/>
      <c r="BQ369" s="588" t="n"/>
      <c r="BR369" s="588" t="n"/>
      <c r="BS369" s="588" t="n"/>
      <c r="BT369" s="588" t="n"/>
      <c r="BU369" s="588" t="n"/>
      <c r="BV369" s="588" t="n"/>
      <c r="BW369" s="588" t="n"/>
      <c r="BX369" s="588" t="n"/>
      <c r="BY369" s="588" t="n"/>
      <c r="BZ369" s="588" t="n"/>
      <c r="CA369" s="588" t="n"/>
      <c r="CB369" s="588" t="n"/>
      <c r="CC369" s="588" t="n"/>
      <c r="CD369" s="588" t="n"/>
      <c r="CE369" s="588" t="n"/>
      <c r="CF369" s="588" t="n"/>
      <c r="CG369" s="588" t="n"/>
      <c r="CH369" s="588" t="n"/>
      <c r="CI369" s="588" t="n"/>
      <c r="CJ369" s="588" t="n"/>
      <c r="CK369" s="588" t="n"/>
      <c r="CL369" s="588" t="n"/>
      <c r="CM369" s="588" t="n"/>
      <c r="CN369" s="588" t="n"/>
      <c r="CO369" s="588" t="n"/>
      <c r="CP369" s="588" t="n"/>
      <c r="CQ369" s="588" t="n"/>
      <c r="CR369" s="588" t="n"/>
      <c r="CS369" s="588" t="n"/>
      <c r="CT369" s="588" t="n"/>
      <c r="CU369" s="588" t="n"/>
      <c r="CV369" s="588" t="n"/>
      <c r="CW369" s="588" t="n"/>
      <c r="CX369" s="588" t="n"/>
      <c r="CY369" s="588" t="n"/>
      <c r="CZ369" s="588" t="n"/>
      <c r="DA369" s="588" t="n"/>
      <c r="DB369" s="588" t="n"/>
      <c r="DC369" s="588" t="n"/>
      <c r="DD369" s="588" t="n"/>
      <c r="DE369" s="588" t="n"/>
      <c r="DF369" s="588" t="n"/>
      <c r="DG369" s="588" t="n"/>
      <c r="DH369" s="588" t="n"/>
      <c r="DI369" s="588" t="n"/>
      <c r="DJ369" s="588" t="n"/>
      <c r="DK369" s="588" t="n"/>
      <c r="DL369" s="588" t="n"/>
      <c r="DM369" s="588" t="n"/>
      <c r="DN369" s="588" t="n"/>
      <c r="DO369" s="588" t="n"/>
      <c r="DP369" s="588" t="n"/>
      <c r="DQ369" s="588" t="n"/>
      <c r="DR369" s="588" t="n"/>
      <c r="DS369" s="588" t="n"/>
      <c r="DT369" s="588" t="n"/>
      <c r="DU369" s="588" t="n"/>
    </row>
    <row r="370">
      <c r="A370" s="737" t="n"/>
      <c r="B370" s="737" t="n"/>
      <c r="C370" s="737" t="n"/>
      <c r="D370" s="737" t="n"/>
      <c r="E370" s="737" t="n"/>
      <c r="F370" s="737" t="n"/>
      <c r="G370" s="737" t="n"/>
      <c r="H370" s="737" t="n"/>
      <c r="I370" s="737" t="n"/>
      <c r="J370" s="737" t="n"/>
      <c r="K370" s="737" t="n"/>
      <c r="L370" s="737" t="n"/>
      <c r="M370" s="737" t="n"/>
      <c r="N370" s="737" t="n"/>
      <c r="O370" s="737" t="n"/>
      <c r="P370" s="737" t="n"/>
      <c r="Q370" s="737" t="n"/>
      <c r="R370" s="737" t="n"/>
      <c r="S370" s="737" t="n"/>
      <c r="T370" s="737" t="n"/>
      <c r="U370" s="737" t="n"/>
      <c r="V370" s="737" t="n"/>
      <c r="W370" s="737" t="n"/>
      <c r="X370" s="737" t="n"/>
      <c r="Y370" s="737" t="n"/>
      <c r="Z370" s="737" t="n"/>
      <c r="AA370" s="737" t="n"/>
      <c r="AB370" s="737" t="n"/>
      <c r="AC370" s="737" t="n"/>
      <c r="AD370" s="737" t="n"/>
      <c r="AE370" s="737" t="n"/>
      <c r="AF370" s="737" t="n"/>
      <c r="AG370" s="737" t="n"/>
      <c r="AH370" s="737" t="n"/>
      <c r="AI370" s="737" t="n"/>
      <c r="AJ370" s="737" t="n"/>
      <c r="AK370" s="588" t="n"/>
      <c r="AL370" s="588" t="n"/>
      <c r="AM370" s="588" t="n"/>
      <c r="AN370" s="588" t="n"/>
      <c r="AO370" s="588" t="n"/>
      <c r="AP370" s="588" t="n"/>
      <c r="AQ370" s="588" t="n"/>
      <c r="AR370" s="588" t="n"/>
      <c r="AS370" s="588" t="n"/>
      <c r="AT370" s="588" t="n"/>
      <c r="AU370" s="588" t="n"/>
      <c r="AV370" s="588" t="n"/>
      <c r="AW370" s="588" t="n"/>
      <c r="AX370" s="588" t="n"/>
      <c r="AY370" s="588" t="n"/>
      <c r="AZ370" s="588" t="n"/>
      <c r="BA370" s="588" t="n"/>
      <c r="BB370" s="588" t="n"/>
      <c r="BC370" s="588" t="n"/>
      <c r="BD370" s="588" t="n"/>
      <c r="BE370" s="588" t="n"/>
      <c r="BF370" s="588" t="n"/>
      <c r="BG370" s="588" t="n"/>
      <c r="BH370" s="588" t="n"/>
      <c r="BI370" s="588" t="n"/>
      <c r="BJ370" s="588" t="n"/>
      <c r="BK370" s="588" t="n"/>
      <c r="BL370" s="588" t="n"/>
      <c r="BM370" s="588" t="n"/>
      <c r="BN370" s="588" t="n"/>
      <c r="BO370" s="588" t="n"/>
      <c r="BP370" s="588" t="n"/>
      <c r="BQ370" s="588" t="n"/>
      <c r="BR370" s="588" t="n"/>
      <c r="BS370" s="588" t="n"/>
      <c r="BT370" s="588" t="n"/>
      <c r="BU370" s="588" t="n"/>
      <c r="BV370" s="588" t="n"/>
      <c r="BW370" s="588" t="n"/>
      <c r="BX370" s="588" t="n"/>
      <c r="BY370" s="588" t="n"/>
      <c r="BZ370" s="588" t="n"/>
      <c r="CA370" s="588" t="n"/>
      <c r="CB370" s="588" t="n"/>
      <c r="CC370" s="588" t="n"/>
      <c r="CD370" s="588" t="n"/>
      <c r="CE370" s="588" t="n"/>
      <c r="CF370" s="588" t="n"/>
      <c r="CG370" s="588" t="n"/>
      <c r="CH370" s="588" t="n"/>
      <c r="CI370" s="588" t="n"/>
      <c r="CJ370" s="588" t="n"/>
      <c r="CK370" s="588" t="n"/>
      <c r="CL370" s="588" t="n"/>
      <c r="CM370" s="588" t="n"/>
      <c r="CN370" s="588" t="n"/>
      <c r="CO370" s="588" t="n"/>
      <c r="CP370" s="588" t="n"/>
      <c r="CQ370" s="588" t="n"/>
      <c r="CR370" s="588" t="n"/>
      <c r="CS370" s="588" t="n"/>
      <c r="CT370" s="588" t="n"/>
      <c r="CU370" s="588" t="n"/>
      <c r="CV370" s="588" t="n"/>
      <c r="CW370" s="588" t="n"/>
      <c r="CX370" s="588" t="n"/>
      <c r="CY370" s="588" t="n"/>
      <c r="CZ370" s="588" t="n"/>
      <c r="DA370" s="588" t="n"/>
      <c r="DB370" s="588" t="n"/>
      <c r="DC370" s="588" t="n"/>
      <c r="DD370" s="588" t="n"/>
      <c r="DE370" s="588" t="n"/>
      <c r="DF370" s="588" t="n"/>
      <c r="DG370" s="588" t="n"/>
      <c r="DH370" s="588" t="n"/>
      <c r="DI370" s="588" t="n"/>
      <c r="DJ370" s="588" t="n"/>
      <c r="DK370" s="588" t="n"/>
      <c r="DL370" s="588" t="n"/>
      <c r="DM370" s="588" t="n"/>
      <c r="DN370" s="588" t="n"/>
      <c r="DO370" s="588" t="n"/>
      <c r="DP370" s="588" t="n"/>
      <c r="DQ370" s="588" t="n"/>
      <c r="DR370" s="588" t="n"/>
      <c r="DS370" s="588" t="n"/>
      <c r="DT370" s="588" t="n"/>
      <c r="DU370" s="588" t="n"/>
    </row>
    <row r="371">
      <c r="A371" s="737" t="n"/>
      <c r="B371" s="737" t="n"/>
      <c r="C371" s="737" t="n"/>
      <c r="D371" s="737" t="n"/>
      <c r="E371" s="737" t="n"/>
      <c r="F371" s="737" t="n"/>
      <c r="G371" s="737" t="n"/>
      <c r="H371" s="737" t="n"/>
      <c r="I371" s="737" t="n"/>
      <c r="J371" s="737" t="n"/>
      <c r="K371" s="737" t="n"/>
      <c r="L371" s="737" t="n"/>
      <c r="M371" s="737" t="n"/>
      <c r="N371" s="737" t="n"/>
      <c r="O371" s="737" t="n"/>
      <c r="P371" s="737" t="n"/>
      <c r="Q371" s="737" t="n"/>
      <c r="R371" s="737" t="n"/>
      <c r="S371" s="737" t="n"/>
      <c r="T371" s="737" t="n"/>
      <c r="U371" s="737" t="n"/>
      <c r="V371" s="737" t="n"/>
      <c r="W371" s="737" t="n"/>
      <c r="X371" s="737" t="n"/>
      <c r="Y371" s="737" t="n"/>
      <c r="Z371" s="737" t="n"/>
      <c r="AA371" s="737" t="n"/>
      <c r="AB371" s="737" t="n"/>
      <c r="AC371" s="737" t="n"/>
      <c r="AD371" s="737" t="n"/>
      <c r="AE371" s="737" t="n"/>
      <c r="AF371" s="737" t="n"/>
      <c r="AG371" s="737" t="n"/>
      <c r="AH371" s="737" t="n"/>
      <c r="AI371" s="737" t="n"/>
      <c r="AJ371" s="737" t="n"/>
      <c r="AK371" s="588" t="n"/>
      <c r="AL371" s="588" t="n"/>
      <c r="AM371" s="588" t="n"/>
      <c r="AN371" s="588" t="n"/>
      <c r="AO371" s="588" t="n"/>
      <c r="AP371" s="588" t="n"/>
      <c r="AQ371" s="588" t="n"/>
      <c r="AR371" s="588" t="n"/>
      <c r="AS371" s="588" t="n"/>
      <c r="AT371" s="588" t="n"/>
      <c r="AU371" s="588" t="n"/>
      <c r="AV371" s="588" t="n"/>
      <c r="AW371" s="588" t="n"/>
      <c r="AX371" s="588" t="n"/>
      <c r="AY371" s="588" t="n"/>
      <c r="AZ371" s="588" t="n"/>
      <c r="BA371" s="588" t="n"/>
      <c r="BB371" s="588" t="n"/>
      <c r="BC371" s="588" t="n"/>
      <c r="BD371" s="588" t="n"/>
      <c r="BE371" s="588" t="n"/>
      <c r="BF371" s="588" t="n"/>
      <c r="BG371" s="588" t="n"/>
      <c r="BH371" s="588" t="n"/>
      <c r="BI371" s="588" t="n"/>
      <c r="BJ371" s="588" t="n"/>
      <c r="BK371" s="588" t="n"/>
      <c r="BL371" s="588" t="n"/>
      <c r="BM371" s="588" t="n"/>
      <c r="BN371" s="588" t="n"/>
      <c r="BO371" s="588" t="n"/>
      <c r="BP371" s="588" t="n"/>
      <c r="BQ371" s="588" t="n"/>
      <c r="BR371" s="588" t="n"/>
      <c r="BS371" s="588" t="n"/>
      <c r="BT371" s="588" t="n"/>
      <c r="BU371" s="588" t="n"/>
      <c r="BV371" s="588" t="n"/>
      <c r="BW371" s="588" t="n"/>
      <c r="BX371" s="588" t="n"/>
      <c r="BY371" s="588" t="n"/>
      <c r="BZ371" s="588" t="n"/>
      <c r="CA371" s="588" t="n"/>
      <c r="CB371" s="588" t="n"/>
      <c r="CC371" s="588" t="n"/>
      <c r="CD371" s="588" t="n"/>
      <c r="CE371" s="588" t="n"/>
      <c r="CF371" s="588" t="n"/>
      <c r="CG371" s="588" t="n"/>
      <c r="CH371" s="588" t="n"/>
      <c r="CI371" s="588" t="n"/>
      <c r="CJ371" s="588" t="n"/>
      <c r="CK371" s="588" t="n"/>
      <c r="CL371" s="588" t="n"/>
      <c r="CM371" s="588" t="n"/>
      <c r="CN371" s="588" t="n"/>
      <c r="CO371" s="588" t="n"/>
      <c r="CP371" s="588" t="n"/>
      <c r="CQ371" s="588" t="n"/>
      <c r="CR371" s="588" t="n"/>
      <c r="CS371" s="588" t="n"/>
      <c r="CT371" s="588" t="n"/>
      <c r="CU371" s="588" t="n"/>
      <c r="CV371" s="588" t="n"/>
      <c r="CW371" s="588" t="n"/>
      <c r="CX371" s="588" t="n"/>
      <c r="CY371" s="588" t="n"/>
      <c r="CZ371" s="588" t="n"/>
      <c r="DA371" s="588" t="n"/>
      <c r="DB371" s="588" t="n"/>
      <c r="DC371" s="588" t="n"/>
      <c r="DD371" s="588" t="n"/>
      <c r="DE371" s="588" t="n"/>
      <c r="DF371" s="588" t="n"/>
      <c r="DG371" s="588" t="n"/>
      <c r="DH371" s="588" t="n"/>
      <c r="DI371" s="588" t="n"/>
      <c r="DJ371" s="588" t="n"/>
      <c r="DK371" s="588" t="n"/>
      <c r="DL371" s="588" t="n"/>
      <c r="DM371" s="588" t="n"/>
      <c r="DN371" s="588" t="n"/>
      <c r="DO371" s="588" t="n"/>
      <c r="DP371" s="588" t="n"/>
      <c r="DQ371" s="588" t="n"/>
      <c r="DR371" s="588" t="n"/>
      <c r="DS371" s="588" t="n"/>
      <c r="DT371" s="588" t="n"/>
      <c r="DU371" s="588" t="n"/>
    </row>
    <row r="372">
      <c r="A372" s="737" t="n"/>
      <c r="B372" s="737" t="n"/>
      <c r="C372" s="737" t="n"/>
      <c r="D372" s="737" t="n"/>
      <c r="E372" s="737" t="n"/>
      <c r="F372" s="737" t="n"/>
      <c r="G372" s="737" t="n"/>
      <c r="H372" s="737" t="n"/>
      <c r="I372" s="737" t="n"/>
      <c r="J372" s="737" t="n"/>
      <c r="K372" s="737" t="n"/>
      <c r="L372" s="737" t="n"/>
      <c r="M372" s="737" t="n"/>
      <c r="N372" s="737" t="n"/>
      <c r="O372" s="737" t="n"/>
      <c r="P372" s="737" t="n"/>
      <c r="Q372" s="737" t="n"/>
      <c r="R372" s="737" t="n"/>
      <c r="S372" s="737" t="n"/>
      <c r="T372" s="737" t="n"/>
      <c r="U372" s="737" t="n"/>
      <c r="V372" s="737" t="n"/>
      <c r="W372" s="737" t="n"/>
      <c r="X372" s="737" t="n"/>
      <c r="Y372" s="737" t="n"/>
      <c r="Z372" s="737" t="n"/>
      <c r="AA372" s="737" t="n"/>
      <c r="AB372" s="737" t="n"/>
      <c r="AC372" s="737" t="n"/>
      <c r="AD372" s="737" t="n"/>
      <c r="AE372" s="737" t="n"/>
      <c r="AF372" s="737" t="n"/>
      <c r="AG372" s="737" t="n"/>
      <c r="AH372" s="737" t="n"/>
      <c r="AI372" s="737" t="n"/>
      <c r="AJ372" s="737" t="n"/>
      <c r="AK372" s="588" t="n"/>
      <c r="AL372" s="588" t="n"/>
      <c r="AM372" s="588" t="n"/>
      <c r="AN372" s="588" t="n"/>
      <c r="AO372" s="588" t="n"/>
      <c r="AP372" s="588" t="n"/>
      <c r="AQ372" s="588" t="n"/>
      <c r="AR372" s="588" t="n"/>
      <c r="AS372" s="588" t="n"/>
      <c r="AT372" s="588" t="n"/>
      <c r="AU372" s="588" t="n"/>
      <c r="AV372" s="588" t="n"/>
      <c r="AW372" s="588" t="n"/>
      <c r="AX372" s="588" t="n"/>
      <c r="AY372" s="588" t="n"/>
      <c r="AZ372" s="588" t="n"/>
      <c r="BA372" s="588" t="n"/>
      <c r="BB372" s="588" t="n"/>
      <c r="BC372" s="588" t="n"/>
      <c r="BD372" s="588" t="n"/>
      <c r="BE372" s="588" t="n"/>
      <c r="BF372" s="588" t="n"/>
      <c r="BG372" s="588" t="n"/>
      <c r="BH372" s="588" t="n"/>
      <c r="BI372" s="588" t="n"/>
      <c r="BJ372" s="588" t="n"/>
      <c r="BK372" s="588" t="n"/>
      <c r="BL372" s="588" t="n"/>
      <c r="BM372" s="588" t="n"/>
      <c r="BN372" s="588" t="n"/>
      <c r="BO372" s="588" t="n"/>
      <c r="BP372" s="588" t="n"/>
      <c r="BQ372" s="588" t="n"/>
      <c r="BR372" s="588" t="n"/>
      <c r="BS372" s="588" t="n"/>
      <c r="BT372" s="588" t="n"/>
      <c r="BU372" s="588" t="n"/>
      <c r="BV372" s="588" t="n"/>
      <c r="BW372" s="588" t="n"/>
      <c r="BX372" s="588" t="n"/>
      <c r="BY372" s="588" t="n"/>
      <c r="BZ372" s="588" t="n"/>
      <c r="CA372" s="588" t="n"/>
      <c r="CB372" s="588" t="n"/>
      <c r="CC372" s="588" t="n"/>
      <c r="CD372" s="588" t="n"/>
      <c r="CE372" s="588" t="n"/>
      <c r="CF372" s="588" t="n"/>
      <c r="CG372" s="588" t="n"/>
      <c r="CH372" s="588" t="n"/>
      <c r="CI372" s="588" t="n"/>
      <c r="CJ372" s="588" t="n"/>
      <c r="CK372" s="588" t="n"/>
      <c r="CL372" s="588" t="n"/>
      <c r="CM372" s="588" t="n"/>
      <c r="CN372" s="588" t="n"/>
      <c r="CO372" s="588" t="n"/>
      <c r="CP372" s="588" t="n"/>
      <c r="CQ372" s="588" t="n"/>
      <c r="CR372" s="588" t="n"/>
      <c r="CS372" s="588" t="n"/>
      <c r="CT372" s="588" t="n"/>
      <c r="CU372" s="588" t="n"/>
      <c r="CV372" s="588" t="n"/>
      <c r="CW372" s="588" t="n"/>
      <c r="CX372" s="588" t="n"/>
      <c r="CY372" s="588" t="n"/>
      <c r="CZ372" s="588" t="n"/>
      <c r="DA372" s="588" t="n"/>
      <c r="DB372" s="588" t="n"/>
      <c r="DC372" s="588" t="n"/>
      <c r="DD372" s="588" t="n"/>
      <c r="DE372" s="588" t="n"/>
      <c r="DF372" s="588" t="n"/>
      <c r="DG372" s="588" t="n"/>
      <c r="DH372" s="588" t="n"/>
      <c r="DI372" s="588" t="n"/>
      <c r="DJ372" s="588" t="n"/>
      <c r="DK372" s="588" t="n"/>
      <c r="DL372" s="588" t="n"/>
      <c r="DM372" s="588" t="n"/>
      <c r="DN372" s="588" t="n"/>
      <c r="DO372" s="588" t="n"/>
      <c r="DP372" s="588" t="n"/>
      <c r="DQ372" s="588" t="n"/>
      <c r="DR372" s="588" t="n"/>
      <c r="DS372" s="588" t="n"/>
      <c r="DT372" s="588" t="n"/>
      <c r="DU372" s="588" t="n"/>
    </row>
    <row r="373">
      <c r="A373" s="737" t="n"/>
      <c r="B373" s="737" t="n"/>
      <c r="C373" s="737" t="n"/>
      <c r="D373" s="737" t="n"/>
      <c r="E373" s="737" t="n"/>
      <c r="F373" s="737" t="n"/>
      <c r="G373" s="737" t="n"/>
      <c r="H373" s="737" t="n"/>
      <c r="I373" s="737" t="n"/>
      <c r="J373" s="737" t="n"/>
      <c r="K373" s="737" t="n"/>
      <c r="L373" s="737" t="n"/>
      <c r="M373" s="737" t="n"/>
      <c r="N373" s="737" t="n"/>
      <c r="O373" s="737" t="n"/>
      <c r="P373" s="737" t="n"/>
      <c r="Q373" s="737" t="n"/>
      <c r="R373" s="737" t="n"/>
      <c r="S373" s="737" t="n"/>
      <c r="T373" s="737" t="n"/>
      <c r="U373" s="737" t="n"/>
      <c r="V373" s="737" t="n"/>
      <c r="W373" s="737" t="n"/>
      <c r="X373" s="737" t="n"/>
      <c r="Y373" s="737" t="n"/>
      <c r="Z373" s="737" t="n"/>
      <c r="AA373" s="737" t="n"/>
      <c r="AB373" s="737" t="n"/>
      <c r="AC373" s="737" t="n"/>
      <c r="AD373" s="737" t="n"/>
      <c r="AE373" s="737" t="n"/>
      <c r="AF373" s="737" t="n"/>
      <c r="AG373" s="737" t="n"/>
      <c r="AH373" s="737" t="n"/>
      <c r="AI373" s="737" t="n"/>
      <c r="AJ373" s="737" t="n"/>
      <c r="AK373" s="588" t="n"/>
      <c r="AL373" s="588" t="n"/>
      <c r="AM373" s="588" t="n"/>
      <c r="AN373" s="588" t="n"/>
      <c r="AO373" s="588" t="n"/>
      <c r="AP373" s="588" t="n"/>
      <c r="AQ373" s="588" t="n"/>
      <c r="AR373" s="588" t="n"/>
      <c r="AS373" s="588" t="n"/>
      <c r="AT373" s="588" t="n"/>
      <c r="AU373" s="588" t="n"/>
      <c r="AV373" s="588" t="n"/>
      <c r="AW373" s="588" t="n"/>
      <c r="AX373" s="588" t="n"/>
      <c r="AY373" s="588" t="n"/>
      <c r="AZ373" s="588" t="n"/>
      <c r="BA373" s="588" t="n"/>
      <c r="BB373" s="588" t="n"/>
      <c r="BC373" s="588" t="n"/>
      <c r="BD373" s="588" t="n"/>
      <c r="BE373" s="588" t="n"/>
      <c r="BF373" s="588" t="n"/>
      <c r="BG373" s="588" t="n"/>
      <c r="BH373" s="588" t="n"/>
      <c r="BI373" s="588" t="n"/>
      <c r="BJ373" s="588" t="n"/>
      <c r="BK373" s="588" t="n"/>
      <c r="BL373" s="588" t="n"/>
      <c r="BM373" s="588" t="n"/>
      <c r="BN373" s="588" t="n"/>
      <c r="BO373" s="588" t="n"/>
      <c r="BP373" s="588" t="n"/>
      <c r="BQ373" s="588" t="n"/>
      <c r="BR373" s="588" t="n"/>
      <c r="BS373" s="588" t="n"/>
      <c r="BT373" s="588" t="n"/>
      <c r="BU373" s="588" t="n"/>
      <c r="BV373" s="588" t="n"/>
      <c r="BW373" s="588" t="n"/>
      <c r="BX373" s="588" t="n"/>
      <c r="BY373" s="588" t="n"/>
      <c r="BZ373" s="588" t="n"/>
      <c r="CA373" s="588" t="n"/>
      <c r="CB373" s="588" t="n"/>
      <c r="CC373" s="588" t="n"/>
      <c r="CD373" s="588" t="n"/>
      <c r="CE373" s="588" t="n"/>
      <c r="CF373" s="588" t="n"/>
      <c r="CG373" s="588" t="n"/>
      <c r="CH373" s="588" t="n"/>
      <c r="CI373" s="588" t="n"/>
      <c r="CJ373" s="588" t="n"/>
      <c r="CK373" s="588" t="n"/>
      <c r="CL373" s="588" t="n"/>
      <c r="CM373" s="588" t="n"/>
      <c r="CN373" s="588" t="n"/>
      <c r="CO373" s="588" t="n"/>
      <c r="CP373" s="588" t="n"/>
      <c r="CQ373" s="588" t="n"/>
      <c r="CR373" s="588" t="n"/>
      <c r="CS373" s="588" t="n"/>
      <c r="CT373" s="588" t="n"/>
      <c r="CU373" s="588" t="n"/>
      <c r="CV373" s="588" t="n"/>
      <c r="CW373" s="588" t="n"/>
      <c r="CX373" s="588" t="n"/>
      <c r="CY373" s="588" t="n"/>
      <c r="CZ373" s="588" t="n"/>
      <c r="DA373" s="588" t="n"/>
      <c r="DB373" s="588" t="n"/>
      <c r="DC373" s="588" t="n"/>
      <c r="DD373" s="588" t="n"/>
      <c r="DE373" s="588" t="n"/>
      <c r="DF373" s="588" t="n"/>
      <c r="DG373" s="588" t="n"/>
      <c r="DH373" s="588" t="n"/>
      <c r="DI373" s="588" t="n"/>
      <c r="DJ373" s="588" t="n"/>
      <c r="DK373" s="588" t="n"/>
      <c r="DL373" s="588" t="n"/>
      <c r="DM373" s="588" t="n"/>
      <c r="DN373" s="588" t="n"/>
      <c r="DO373" s="588" t="n"/>
      <c r="DP373" s="588" t="n"/>
      <c r="DQ373" s="588" t="n"/>
      <c r="DR373" s="588" t="n"/>
      <c r="DS373" s="588" t="n"/>
      <c r="DT373" s="588" t="n"/>
      <c r="DU373" s="588" t="n"/>
    </row>
    <row r="374">
      <c r="A374" s="737" t="n"/>
      <c r="B374" s="737" t="n"/>
      <c r="C374" s="737" t="n"/>
      <c r="D374" s="737" t="n"/>
      <c r="E374" s="737" t="n"/>
      <c r="F374" s="737" t="n"/>
      <c r="G374" s="737" t="n"/>
      <c r="H374" s="737" t="n"/>
      <c r="I374" s="737" t="n"/>
      <c r="J374" s="737" t="n"/>
      <c r="K374" s="737" t="n"/>
      <c r="L374" s="737" t="n"/>
      <c r="M374" s="737" t="n"/>
      <c r="N374" s="737" t="n"/>
      <c r="O374" s="737" t="n"/>
      <c r="P374" s="737" t="n"/>
      <c r="Q374" s="737" t="n"/>
      <c r="R374" s="737" t="n"/>
      <c r="S374" s="737" t="n"/>
      <c r="T374" s="737" t="n"/>
      <c r="U374" s="737" t="n"/>
      <c r="V374" s="737" t="n"/>
      <c r="W374" s="737" t="n"/>
      <c r="X374" s="737" t="n"/>
      <c r="Y374" s="737" t="n"/>
      <c r="Z374" s="737" t="n"/>
      <c r="AA374" s="737" t="n"/>
      <c r="AB374" s="737" t="n"/>
      <c r="AC374" s="737" t="n"/>
      <c r="AD374" s="737" t="n"/>
      <c r="AE374" s="737" t="n"/>
      <c r="AF374" s="737" t="n"/>
      <c r="AG374" s="737" t="n"/>
      <c r="AH374" s="737" t="n"/>
      <c r="AI374" s="737" t="n"/>
      <c r="AJ374" s="737" t="n"/>
      <c r="AK374" s="588" t="n"/>
      <c r="AL374" s="588" t="n"/>
      <c r="AM374" s="588" t="n"/>
      <c r="AN374" s="588" t="n"/>
      <c r="AO374" s="588" t="n"/>
      <c r="AP374" s="588" t="n"/>
      <c r="AQ374" s="588" t="n"/>
      <c r="AR374" s="588" t="n"/>
      <c r="AS374" s="588" t="n"/>
      <c r="AT374" s="588" t="n"/>
      <c r="AU374" s="588" t="n"/>
      <c r="AV374" s="588" t="n"/>
      <c r="AW374" s="588" t="n"/>
      <c r="AX374" s="588" t="n"/>
      <c r="AY374" s="588" t="n"/>
      <c r="AZ374" s="588" t="n"/>
      <c r="BA374" s="588" t="n"/>
      <c r="BB374" s="588" t="n"/>
      <c r="BC374" s="588" t="n"/>
      <c r="BD374" s="588" t="n"/>
      <c r="BE374" s="588" t="n"/>
      <c r="BF374" s="588" t="n"/>
      <c r="BG374" s="588" t="n"/>
      <c r="BH374" s="588" t="n"/>
      <c r="BI374" s="588" t="n"/>
      <c r="BJ374" s="588" t="n"/>
      <c r="BK374" s="588" t="n"/>
      <c r="BL374" s="588" t="n"/>
      <c r="BM374" s="588" t="n"/>
      <c r="BN374" s="588" t="n"/>
      <c r="BO374" s="588" t="n"/>
      <c r="BP374" s="588" t="n"/>
      <c r="BQ374" s="588" t="n"/>
      <c r="BR374" s="588" t="n"/>
      <c r="BS374" s="588" t="n"/>
      <c r="BT374" s="588" t="n"/>
      <c r="BU374" s="588" t="n"/>
      <c r="BV374" s="588" t="n"/>
      <c r="BW374" s="588" t="n"/>
      <c r="BX374" s="588" t="n"/>
      <c r="BY374" s="588" t="n"/>
      <c r="BZ374" s="588" t="n"/>
      <c r="CA374" s="588" t="n"/>
      <c r="CB374" s="588" t="n"/>
      <c r="CC374" s="588" t="n"/>
      <c r="CD374" s="588" t="n"/>
      <c r="CE374" s="588" t="n"/>
      <c r="CF374" s="588" t="n"/>
      <c r="CG374" s="588" t="n"/>
      <c r="CH374" s="588" t="n"/>
      <c r="CI374" s="588" t="n"/>
      <c r="CJ374" s="588" t="n"/>
      <c r="CK374" s="588" t="n"/>
      <c r="CL374" s="588" t="n"/>
      <c r="CM374" s="588" t="n"/>
      <c r="CN374" s="588" t="n"/>
      <c r="CO374" s="588" t="n"/>
      <c r="CP374" s="588" t="n"/>
      <c r="CQ374" s="588" t="n"/>
      <c r="CR374" s="588" t="n"/>
      <c r="CS374" s="588" t="n"/>
      <c r="CT374" s="588" t="n"/>
      <c r="CU374" s="588" t="n"/>
      <c r="CV374" s="588" t="n"/>
      <c r="CW374" s="588" t="n"/>
      <c r="CX374" s="588" t="n"/>
      <c r="CY374" s="588" t="n"/>
      <c r="CZ374" s="588" t="n"/>
      <c r="DA374" s="588" t="n"/>
      <c r="DB374" s="588" t="n"/>
      <c r="DC374" s="588" t="n"/>
      <c r="DD374" s="588" t="n"/>
      <c r="DE374" s="588" t="n"/>
      <c r="DF374" s="588" t="n"/>
      <c r="DG374" s="588" t="n"/>
      <c r="DH374" s="588" t="n"/>
      <c r="DI374" s="588" t="n"/>
      <c r="DJ374" s="588" t="n"/>
      <c r="DK374" s="588" t="n"/>
      <c r="DL374" s="588" t="n"/>
      <c r="DM374" s="588" t="n"/>
      <c r="DN374" s="588" t="n"/>
      <c r="DO374" s="588" t="n"/>
      <c r="DP374" s="588" t="n"/>
      <c r="DQ374" s="588" t="n"/>
      <c r="DR374" s="588" t="n"/>
      <c r="DS374" s="588" t="n"/>
      <c r="DT374" s="588" t="n"/>
      <c r="DU374" s="588" t="n"/>
    </row>
    <row r="375">
      <c r="A375" s="737" t="n"/>
      <c r="B375" s="737" t="n"/>
      <c r="C375" s="737" t="n"/>
      <c r="D375" s="737" t="n"/>
      <c r="E375" s="737" t="n"/>
      <c r="F375" s="737" t="n"/>
      <c r="G375" s="737" t="n"/>
      <c r="H375" s="737" t="n"/>
      <c r="I375" s="737" t="n"/>
      <c r="J375" s="737" t="n"/>
      <c r="K375" s="737" t="n"/>
      <c r="L375" s="737" t="n"/>
      <c r="M375" s="737" t="n"/>
      <c r="N375" s="737" t="n"/>
      <c r="O375" s="737" t="n"/>
      <c r="P375" s="737" t="n"/>
      <c r="Q375" s="737" t="n"/>
      <c r="R375" s="737" t="n"/>
      <c r="S375" s="737" t="n"/>
      <c r="T375" s="737" t="n"/>
      <c r="U375" s="737" t="n"/>
      <c r="V375" s="737" t="n"/>
      <c r="W375" s="737" t="n"/>
      <c r="X375" s="737" t="n"/>
      <c r="Y375" s="737" t="n"/>
      <c r="Z375" s="737" t="n"/>
      <c r="AA375" s="737" t="n"/>
      <c r="AB375" s="737" t="n"/>
      <c r="AC375" s="737" t="n"/>
      <c r="AD375" s="737" t="n"/>
      <c r="AE375" s="737" t="n"/>
      <c r="AF375" s="737" t="n"/>
      <c r="AG375" s="737" t="n"/>
      <c r="AH375" s="737" t="n"/>
      <c r="AI375" s="737" t="n"/>
      <c r="AJ375" s="737" t="n"/>
      <c r="AK375" s="588" t="n"/>
      <c r="AL375" s="588" t="n"/>
      <c r="AM375" s="588" t="n"/>
      <c r="AN375" s="588" t="n"/>
      <c r="AO375" s="588" t="n"/>
      <c r="AP375" s="588" t="n"/>
      <c r="AQ375" s="588" t="n"/>
      <c r="AR375" s="588" t="n"/>
      <c r="AS375" s="588" t="n"/>
      <c r="AT375" s="588" t="n"/>
      <c r="AU375" s="588" t="n"/>
      <c r="AV375" s="588" t="n"/>
      <c r="AW375" s="588" t="n"/>
      <c r="AX375" s="588" t="n"/>
      <c r="AY375" s="588" t="n"/>
      <c r="AZ375" s="588" t="n"/>
      <c r="BA375" s="588" t="n"/>
      <c r="BB375" s="588" t="n"/>
      <c r="BC375" s="588" t="n"/>
      <c r="BD375" s="588" t="n"/>
      <c r="BE375" s="588" t="n"/>
      <c r="BF375" s="588" t="n"/>
      <c r="BG375" s="588" t="n"/>
      <c r="BH375" s="588" t="n"/>
      <c r="BI375" s="588" t="n"/>
      <c r="BJ375" s="588" t="n"/>
      <c r="BK375" s="588" t="n"/>
      <c r="BL375" s="588" t="n"/>
      <c r="BM375" s="588" t="n"/>
      <c r="BN375" s="588" t="n"/>
      <c r="BO375" s="588" t="n"/>
      <c r="BP375" s="588" t="n"/>
      <c r="BQ375" s="588" t="n"/>
      <c r="BR375" s="588" t="n"/>
      <c r="BS375" s="588" t="n"/>
      <c r="BT375" s="588" t="n"/>
      <c r="BU375" s="588" t="n"/>
      <c r="BV375" s="588" t="n"/>
      <c r="BW375" s="588" t="n"/>
      <c r="BX375" s="588" t="n"/>
      <c r="BY375" s="588" t="n"/>
      <c r="BZ375" s="588" t="n"/>
      <c r="CA375" s="588" t="n"/>
      <c r="CB375" s="588" t="n"/>
      <c r="CC375" s="588" t="n"/>
      <c r="CD375" s="588" t="n"/>
      <c r="CE375" s="588" t="n"/>
      <c r="CF375" s="588" t="n"/>
      <c r="CG375" s="588" t="n"/>
      <c r="CH375" s="588" t="n"/>
      <c r="CI375" s="588" t="n"/>
      <c r="CJ375" s="588" t="n"/>
      <c r="CK375" s="588" t="n"/>
      <c r="CL375" s="588" t="n"/>
      <c r="CM375" s="588" t="n"/>
      <c r="CN375" s="588" t="n"/>
      <c r="CO375" s="588" t="n"/>
      <c r="CP375" s="588" t="n"/>
      <c r="CQ375" s="588" t="n"/>
      <c r="CR375" s="588" t="n"/>
      <c r="CS375" s="588" t="n"/>
      <c r="CT375" s="588" t="n"/>
      <c r="CU375" s="588" t="n"/>
      <c r="CV375" s="588" t="n"/>
      <c r="CW375" s="588" t="n"/>
      <c r="CX375" s="588" t="n"/>
      <c r="CY375" s="588" t="n"/>
      <c r="CZ375" s="588" t="n"/>
      <c r="DA375" s="588" t="n"/>
      <c r="DB375" s="588" t="n"/>
      <c r="DC375" s="588" t="n"/>
      <c r="DD375" s="588" t="n"/>
      <c r="DE375" s="588" t="n"/>
      <c r="DF375" s="588" t="n"/>
      <c r="DG375" s="588" t="n"/>
      <c r="DH375" s="588" t="n"/>
      <c r="DI375" s="588" t="n"/>
      <c r="DJ375" s="588" t="n"/>
      <c r="DK375" s="588" t="n"/>
      <c r="DL375" s="588" t="n"/>
      <c r="DM375" s="588" t="n"/>
      <c r="DN375" s="588" t="n"/>
      <c r="DO375" s="588" t="n"/>
      <c r="DP375" s="588" t="n"/>
      <c r="DQ375" s="588" t="n"/>
      <c r="DR375" s="588" t="n"/>
      <c r="DS375" s="588" t="n"/>
      <c r="DT375" s="588" t="n"/>
      <c r="DU375" s="588" t="n"/>
    </row>
    <row r="376">
      <c r="A376" s="737" t="n"/>
      <c r="B376" s="737" t="n"/>
      <c r="C376" s="737" t="n"/>
      <c r="D376" s="737" t="n"/>
      <c r="E376" s="737" t="n"/>
      <c r="F376" s="737" t="n"/>
      <c r="G376" s="737" t="n"/>
      <c r="H376" s="737" t="n"/>
      <c r="I376" s="737" t="n"/>
      <c r="J376" s="737" t="n"/>
      <c r="K376" s="737" t="n"/>
      <c r="L376" s="737" t="n"/>
      <c r="M376" s="737" t="n"/>
      <c r="N376" s="737" t="n"/>
      <c r="O376" s="737" t="n"/>
      <c r="P376" s="737" t="n"/>
      <c r="Q376" s="737" t="n"/>
      <c r="R376" s="737" t="n"/>
      <c r="S376" s="737" t="n"/>
      <c r="T376" s="737" t="n"/>
      <c r="U376" s="737" t="n"/>
      <c r="V376" s="737" t="n"/>
      <c r="W376" s="737" t="n"/>
      <c r="X376" s="737" t="n"/>
      <c r="Y376" s="737" t="n"/>
      <c r="Z376" s="737" t="n"/>
      <c r="AA376" s="737" t="n"/>
      <c r="AB376" s="737" t="n"/>
      <c r="AC376" s="737" t="n"/>
      <c r="AD376" s="737" t="n"/>
      <c r="AE376" s="737" t="n"/>
      <c r="AF376" s="737" t="n"/>
      <c r="AG376" s="737" t="n"/>
      <c r="AH376" s="737" t="n"/>
      <c r="AI376" s="737" t="n"/>
      <c r="AJ376" s="737" t="n"/>
      <c r="AK376" s="588" t="n"/>
      <c r="AL376" s="588" t="n"/>
      <c r="AM376" s="588" t="n"/>
      <c r="AN376" s="588" t="n"/>
      <c r="AO376" s="588" t="n"/>
      <c r="AP376" s="588" t="n"/>
      <c r="AQ376" s="588" t="n"/>
      <c r="AR376" s="588" t="n"/>
      <c r="AS376" s="588" t="n"/>
      <c r="AT376" s="588" t="n"/>
      <c r="AU376" s="588" t="n"/>
      <c r="AV376" s="588" t="n"/>
      <c r="AW376" s="588" t="n"/>
      <c r="AX376" s="588" t="n"/>
      <c r="AY376" s="588" t="n"/>
      <c r="AZ376" s="588" t="n"/>
      <c r="BA376" s="588" t="n"/>
      <c r="BB376" s="588" t="n"/>
      <c r="BC376" s="588" t="n"/>
      <c r="BD376" s="588" t="n"/>
      <c r="BE376" s="588" t="n"/>
      <c r="BF376" s="588" t="n"/>
      <c r="BG376" s="588" t="n"/>
      <c r="BH376" s="588" t="n"/>
      <c r="BI376" s="588" t="n"/>
      <c r="BJ376" s="588" t="n"/>
      <c r="BK376" s="588" t="n"/>
      <c r="BL376" s="588" t="n"/>
      <c r="BM376" s="588" t="n"/>
      <c r="BN376" s="588" t="n"/>
      <c r="BO376" s="588" t="n"/>
      <c r="BP376" s="588" t="n"/>
      <c r="BQ376" s="588" t="n"/>
      <c r="BR376" s="588" t="n"/>
      <c r="BS376" s="588" t="n"/>
      <c r="BT376" s="588" t="n"/>
      <c r="BU376" s="588" t="n"/>
      <c r="BV376" s="588" t="n"/>
      <c r="BW376" s="588" t="n"/>
      <c r="BX376" s="588" t="n"/>
      <c r="BY376" s="588" t="n"/>
      <c r="BZ376" s="588" t="n"/>
      <c r="CA376" s="588" t="n"/>
      <c r="CB376" s="588" t="n"/>
      <c r="CC376" s="588" t="n"/>
      <c r="CD376" s="588" t="n"/>
      <c r="CE376" s="588" t="n"/>
      <c r="CF376" s="588" t="n"/>
      <c r="CG376" s="588" t="n"/>
      <c r="CH376" s="588" t="n"/>
      <c r="CI376" s="588" t="n"/>
      <c r="CJ376" s="588" t="n"/>
      <c r="CK376" s="588" t="n"/>
      <c r="CL376" s="588" t="n"/>
      <c r="CM376" s="588" t="n"/>
      <c r="CN376" s="588" t="n"/>
      <c r="CO376" s="588" t="n"/>
      <c r="CP376" s="588" t="n"/>
      <c r="CQ376" s="588" t="n"/>
      <c r="CR376" s="588" t="n"/>
      <c r="CS376" s="588" t="n"/>
      <c r="CT376" s="588" t="n"/>
      <c r="CU376" s="588" t="n"/>
      <c r="CV376" s="588" t="n"/>
      <c r="CW376" s="588" t="n"/>
      <c r="CX376" s="588" t="n"/>
      <c r="CY376" s="588" t="n"/>
      <c r="CZ376" s="588" t="n"/>
      <c r="DA376" s="588" t="n"/>
      <c r="DB376" s="588" t="n"/>
      <c r="DC376" s="588" t="n"/>
      <c r="DD376" s="588" t="n"/>
      <c r="DE376" s="588" t="n"/>
      <c r="DF376" s="588" t="n"/>
      <c r="DG376" s="588" t="n"/>
      <c r="DH376" s="588" t="n"/>
      <c r="DI376" s="588" t="n"/>
      <c r="DJ376" s="588" t="n"/>
      <c r="DK376" s="588" t="n"/>
      <c r="DL376" s="588" t="n"/>
      <c r="DM376" s="588" t="n"/>
      <c r="DN376" s="588" t="n"/>
      <c r="DO376" s="588" t="n"/>
      <c r="DP376" s="588" t="n"/>
      <c r="DQ376" s="588" t="n"/>
      <c r="DR376" s="588" t="n"/>
      <c r="DS376" s="588" t="n"/>
      <c r="DT376" s="588" t="n"/>
      <c r="DU376" s="588" t="n"/>
    </row>
    <row r="377">
      <c r="A377" s="737" t="n"/>
      <c r="B377" s="737" t="n"/>
      <c r="C377" s="737" t="n"/>
      <c r="D377" s="737" t="n"/>
      <c r="E377" s="737" t="n"/>
      <c r="F377" s="737" t="n"/>
      <c r="G377" s="737" t="n"/>
      <c r="H377" s="737" t="n"/>
      <c r="I377" s="737" t="n"/>
      <c r="J377" s="737" t="n"/>
      <c r="K377" s="737" t="n"/>
      <c r="L377" s="737" t="n"/>
      <c r="M377" s="737" t="n"/>
      <c r="N377" s="737" t="n"/>
      <c r="O377" s="737" t="n"/>
      <c r="P377" s="737" t="n"/>
      <c r="Q377" s="737" t="n"/>
      <c r="R377" s="737" t="n"/>
      <c r="S377" s="737" t="n"/>
      <c r="T377" s="737" t="n"/>
      <c r="U377" s="737" t="n"/>
      <c r="V377" s="737" t="n"/>
      <c r="W377" s="737" t="n"/>
      <c r="X377" s="737" t="n"/>
      <c r="Y377" s="737" t="n"/>
      <c r="Z377" s="737" t="n"/>
      <c r="AA377" s="737" t="n"/>
      <c r="AB377" s="737" t="n"/>
      <c r="AC377" s="737" t="n"/>
      <c r="AD377" s="737" t="n"/>
      <c r="AE377" s="737" t="n"/>
      <c r="AF377" s="737" t="n"/>
      <c r="AG377" s="737" t="n"/>
      <c r="AH377" s="737" t="n"/>
      <c r="AI377" s="737" t="n"/>
      <c r="AJ377" s="737" t="n"/>
      <c r="AK377" s="588" t="n"/>
      <c r="AL377" s="588" t="n"/>
      <c r="AM377" s="588" t="n"/>
      <c r="AN377" s="588" t="n"/>
      <c r="AO377" s="588" t="n"/>
      <c r="AP377" s="588" t="n"/>
      <c r="AQ377" s="588" t="n"/>
      <c r="AR377" s="588" t="n"/>
      <c r="AS377" s="588" t="n"/>
      <c r="AT377" s="588" t="n"/>
      <c r="AU377" s="588" t="n"/>
      <c r="AV377" s="588" t="n"/>
      <c r="AW377" s="588" t="n"/>
      <c r="AX377" s="588" t="n"/>
      <c r="AY377" s="588" t="n"/>
      <c r="AZ377" s="588" t="n"/>
      <c r="BA377" s="588" t="n"/>
      <c r="BB377" s="588" t="n"/>
      <c r="BC377" s="588" t="n"/>
      <c r="BD377" s="588" t="n"/>
      <c r="BE377" s="588" t="n"/>
      <c r="BF377" s="588" t="n"/>
      <c r="BG377" s="588" t="n"/>
      <c r="BH377" s="588" t="n"/>
      <c r="BI377" s="588" t="n"/>
      <c r="BJ377" s="588" t="n"/>
      <c r="BK377" s="588" t="n"/>
      <c r="BL377" s="588" t="n"/>
      <c r="BM377" s="588" t="n"/>
      <c r="BN377" s="588" t="n"/>
      <c r="BO377" s="588" t="n"/>
      <c r="BP377" s="588" t="n"/>
      <c r="BQ377" s="588" t="n"/>
      <c r="BR377" s="588" t="n"/>
      <c r="BS377" s="588" t="n"/>
      <c r="BT377" s="588" t="n"/>
      <c r="BU377" s="588" t="n"/>
      <c r="BV377" s="588" t="n"/>
      <c r="BW377" s="588" t="n"/>
      <c r="BX377" s="588" t="n"/>
      <c r="BY377" s="588" t="n"/>
      <c r="BZ377" s="588" t="n"/>
      <c r="CA377" s="588" t="n"/>
      <c r="CB377" s="588" t="n"/>
      <c r="CC377" s="588" t="n"/>
      <c r="CD377" s="588" t="n"/>
      <c r="CE377" s="588" t="n"/>
      <c r="CF377" s="588" t="n"/>
      <c r="CG377" s="588" t="n"/>
      <c r="CH377" s="588" t="n"/>
      <c r="CI377" s="588" t="n"/>
      <c r="CJ377" s="588" t="n"/>
      <c r="CK377" s="588" t="n"/>
      <c r="CL377" s="588" t="n"/>
      <c r="CM377" s="588" t="n"/>
      <c r="CN377" s="588" t="n"/>
      <c r="CO377" s="588" t="n"/>
      <c r="CP377" s="588" t="n"/>
      <c r="CQ377" s="588" t="n"/>
      <c r="CR377" s="588" t="n"/>
      <c r="CS377" s="588" t="n"/>
      <c r="CT377" s="588" t="n"/>
      <c r="CU377" s="588" t="n"/>
      <c r="CV377" s="588" t="n"/>
      <c r="CW377" s="588" t="n"/>
      <c r="CX377" s="588" t="n"/>
      <c r="CY377" s="588" t="n"/>
      <c r="CZ377" s="588" t="n"/>
      <c r="DA377" s="588" t="n"/>
      <c r="DB377" s="588" t="n"/>
      <c r="DC377" s="588" t="n"/>
      <c r="DD377" s="588" t="n"/>
      <c r="DE377" s="588" t="n"/>
      <c r="DF377" s="588" t="n"/>
      <c r="DG377" s="588" t="n"/>
      <c r="DH377" s="588" t="n"/>
      <c r="DI377" s="588" t="n"/>
      <c r="DJ377" s="588" t="n"/>
      <c r="DK377" s="588" t="n"/>
      <c r="DL377" s="588" t="n"/>
      <c r="DM377" s="588" t="n"/>
      <c r="DN377" s="588" t="n"/>
      <c r="DO377" s="588" t="n"/>
      <c r="DP377" s="588" t="n"/>
      <c r="DQ377" s="588" t="n"/>
      <c r="DR377" s="588" t="n"/>
      <c r="DS377" s="588" t="n"/>
      <c r="DT377" s="588" t="n"/>
      <c r="DU377" s="588" t="n"/>
    </row>
    <row r="378">
      <c r="A378" s="737" t="n"/>
      <c r="B378" s="737" t="n"/>
      <c r="C378" s="737" t="n"/>
      <c r="D378" s="737" t="n"/>
      <c r="E378" s="737" t="n"/>
      <c r="F378" s="737" t="n"/>
      <c r="G378" s="737" t="n"/>
      <c r="H378" s="737" t="n"/>
      <c r="I378" s="737" t="n"/>
      <c r="J378" s="737" t="n"/>
      <c r="K378" s="737" t="n"/>
      <c r="L378" s="737" t="n"/>
      <c r="M378" s="737" t="n"/>
      <c r="N378" s="737" t="n"/>
      <c r="O378" s="737" t="n"/>
      <c r="P378" s="737" t="n"/>
      <c r="Q378" s="737" t="n"/>
      <c r="R378" s="737" t="n"/>
      <c r="S378" s="737" t="n"/>
      <c r="T378" s="737" t="n"/>
      <c r="U378" s="737" t="n"/>
      <c r="V378" s="737" t="n"/>
      <c r="W378" s="737" t="n"/>
      <c r="X378" s="737" t="n"/>
      <c r="Y378" s="737" t="n"/>
      <c r="Z378" s="737" t="n"/>
      <c r="AA378" s="737" t="n"/>
      <c r="AB378" s="737" t="n"/>
      <c r="AC378" s="737" t="n"/>
      <c r="AD378" s="737" t="n"/>
      <c r="AE378" s="737" t="n"/>
      <c r="AF378" s="737" t="n"/>
      <c r="AG378" s="737" t="n"/>
      <c r="AH378" s="737" t="n"/>
      <c r="AI378" s="737" t="n"/>
      <c r="AJ378" s="737" t="n"/>
      <c r="AK378" s="588" t="n"/>
      <c r="AL378" s="588" t="n"/>
      <c r="AM378" s="588" t="n"/>
      <c r="AN378" s="588" t="n"/>
      <c r="AO378" s="588" t="n"/>
      <c r="AP378" s="588" t="n"/>
      <c r="AQ378" s="588" t="n"/>
      <c r="AR378" s="588" t="n"/>
      <c r="AS378" s="588" t="n"/>
      <c r="AT378" s="588" t="n"/>
      <c r="AU378" s="588" t="n"/>
      <c r="AV378" s="588" t="n"/>
      <c r="AW378" s="588" t="n"/>
      <c r="AX378" s="588" t="n"/>
      <c r="AY378" s="588" t="n"/>
      <c r="AZ378" s="588" t="n"/>
      <c r="BA378" s="588" t="n"/>
      <c r="BB378" s="588" t="n"/>
      <c r="BC378" s="588" t="n"/>
      <c r="BD378" s="588" t="n"/>
      <c r="BE378" s="588" t="n"/>
      <c r="BF378" s="588" t="n"/>
      <c r="BG378" s="588" t="n"/>
      <c r="BH378" s="588" t="n"/>
      <c r="BI378" s="588" t="n"/>
      <c r="BJ378" s="588" t="n"/>
      <c r="BK378" s="588" t="n"/>
      <c r="BL378" s="588" t="n"/>
      <c r="BM378" s="588" t="n"/>
      <c r="BN378" s="588" t="n"/>
      <c r="BO378" s="588" t="n"/>
      <c r="BP378" s="588" t="n"/>
      <c r="BQ378" s="588" t="n"/>
      <c r="BR378" s="588" t="n"/>
      <c r="BS378" s="588" t="n"/>
      <c r="BT378" s="588" t="n"/>
      <c r="BU378" s="588" t="n"/>
      <c r="BV378" s="588" t="n"/>
      <c r="BW378" s="588" t="n"/>
      <c r="BX378" s="588" t="n"/>
      <c r="BY378" s="588" t="n"/>
      <c r="BZ378" s="588" t="n"/>
      <c r="CA378" s="588" t="n"/>
      <c r="CB378" s="588" t="n"/>
      <c r="CC378" s="588" t="n"/>
      <c r="CD378" s="588" t="n"/>
      <c r="CE378" s="588" t="n"/>
      <c r="CF378" s="588" t="n"/>
      <c r="CG378" s="588" t="n"/>
      <c r="CH378" s="588" t="n"/>
      <c r="CI378" s="588" t="n"/>
      <c r="CJ378" s="588" t="n"/>
      <c r="CK378" s="588" t="n"/>
      <c r="CL378" s="588" t="n"/>
      <c r="CM378" s="588" t="n"/>
      <c r="CN378" s="588" t="n"/>
      <c r="CO378" s="588" t="n"/>
      <c r="CP378" s="588" t="n"/>
      <c r="CQ378" s="588" t="n"/>
      <c r="CR378" s="588" t="n"/>
      <c r="CS378" s="588" t="n"/>
      <c r="CT378" s="588" t="n"/>
      <c r="CU378" s="588" t="n"/>
      <c r="CV378" s="588" t="n"/>
      <c r="CW378" s="588" t="n"/>
      <c r="CX378" s="588" t="n"/>
      <c r="CY378" s="588" t="n"/>
      <c r="CZ378" s="588" t="n"/>
      <c r="DA378" s="588" t="n"/>
      <c r="DB378" s="588" t="n"/>
      <c r="DC378" s="588" t="n"/>
      <c r="DD378" s="588" t="n"/>
      <c r="DE378" s="588" t="n"/>
      <c r="DF378" s="588" t="n"/>
      <c r="DG378" s="588" t="n"/>
      <c r="DH378" s="588" t="n"/>
      <c r="DI378" s="588" t="n"/>
      <c r="DJ378" s="588" t="n"/>
      <c r="DK378" s="588" t="n"/>
      <c r="DL378" s="588" t="n"/>
      <c r="DM378" s="588" t="n"/>
      <c r="DN378" s="588" t="n"/>
      <c r="DO378" s="588" t="n"/>
      <c r="DP378" s="588" t="n"/>
      <c r="DQ378" s="588" t="n"/>
      <c r="DR378" s="588" t="n"/>
      <c r="DS378" s="588" t="n"/>
      <c r="DT378" s="588" t="n"/>
      <c r="DU378" s="588" t="n"/>
    </row>
    <row r="379">
      <c r="A379" s="737" t="n"/>
      <c r="B379" s="737" t="n"/>
      <c r="C379" s="737" t="n"/>
      <c r="D379" s="737" t="n"/>
      <c r="E379" s="737" t="n"/>
      <c r="F379" s="737" t="n"/>
      <c r="G379" s="737" t="n"/>
      <c r="H379" s="737" t="n"/>
      <c r="I379" s="737" t="n"/>
      <c r="J379" s="737" t="n"/>
      <c r="K379" s="737" t="n"/>
      <c r="L379" s="737" t="n"/>
      <c r="M379" s="737" t="n"/>
      <c r="N379" s="737" t="n"/>
      <c r="O379" s="737" t="n"/>
      <c r="P379" s="737" t="n"/>
      <c r="Q379" s="737" t="n"/>
      <c r="R379" s="737" t="n"/>
      <c r="S379" s="737" t="n"/>
      <c r="T379" s="737" t="n"/>
      <c r="U379" s="737" t="n"/>
      <c r="V379" s="737" t="n"/>
      <c r="W379" s="737" t="n"/>
      <c r="X379" s="737" t="n"/>
      <c r="Y379" s="737" t="n"/>
      <c r="Z379" s="737" t="n"/>
      <c r="AA379" s="737" t="n"/>
      <c r="AB379" s="737" t="n"/>
      <c r="AC379" s="737" t="n"/>
      <c r="AD379" s="737" t="n"/>
      <c r="AE379" s="737" t="n"/>
      <c r="AF379" s="737" t="n"/>
      <c r="AG379" s="737" t="n"/>
      <c r="AH379" s="737" t="n"/>
      <c r="AI379" s="737" t="n"/>
      <c r="AJ379" s="737" t="n"/>
      <c r="AK379" s="588" t="n"/>
      <c r="AL379" s="588" t="n"/>
      <c r="AM379" s="588" t="n"/>
      <c r="AN379" s="588" t="n"/>
      <c r="AO379" s="588" t="n"/>
      <c r="AP379" s="588" t="n"/>
      <c r="AQ379" s="588" t="n"/>
      <c r="AR379" s="588" t="n"/>
      <c r="AS379" s="588" t="n"/>
      <c r="AT379" s="588" t="n"/>
      <c r="AU379" s="588" t="n"/>
      <c r="AV379" s="588" t="n"/>
      <c r="AW379" s="588" t="n"/>
      <c r="AX379" s="588" t="n"/>
      <c r="AY379" s="588" t="n"/>
      <c r="AZ379" s="588" t="n"/>
      <c r="BA379" s="588" t="n"/>
      <c r="BB379" s="588" t="n"/>
      <c r="BC379" s="588" t="n"/>
      <c r="BD379" s="588" t="n"/>
      <c r="BE379" s="588" t="n"/>
      <c r="BF379" s="588" t="n"/>
      <c r="BG379" s="588" t="n"/>
      <c r="BH379" s="588" t="n"/>
      <c r="BI379" s="588" t="n"/>
      <c r="BJ379" s="588" t="n"/>
      <c r="BK379" s="588" t="n"/>
      <c r="BL379" s="588" t="n"/>
      <c r="BM379" s="588" t="n"/>
      <c r="BN379" s="588" t="n"/>
      <c r="BO379" s="588" t="n"/>
      <c r="BP379" s="588" t="n"/>
      <c r="BQ379" s="588" t="n"/>
      <c r="BR379" s="588" t="n"/>
      <c r="BS379" s="588" t="n"/>
      <c r="BT379" s="588" t="n"/>
      <c r="BU379" s="588" t="n"/>
      <c r="BV379" s="588" t="n"/>
      <c r="BW379" s="588" t="n"/>
      <c r="BX379" s="588" t="n"/>
      <c r="BY379" s="588" t="n"/>
      <c r="BZ379" s="588" t="n"/>
      <c r="CA379" s="588" t="n"/>
      <c r="CB379" s="588" t="n"/>
      <c r="CC379" s="588" t="n"/>
      <c r="CD379" s="588" t="n"/>
      <c r="CE379" s="588" t="n"/>
      <c r="CF379" s="588" t="n"/>
      <c r="CG379" s="588" t="n"/>
      <c r="CH379" s="588" t="n"/>
      <c r="CI379" s="588" t="n"/>
      <c r="CJ379" s="588" t="n"/>
      <c r="CK379" s="588" t="n"/>
      <c r="CL379" s="588" t="n"/>
      <c r="CM379" s="588" t="n"/>
      <c r="CN379" s="588" t="n"/>
      <c r="CO379" s="588" t="n"/>
      <c r="CP379" s="588" t="n"/>
      <c r="CQ379" s="588" t="n"/>
      <c r="CR379" s="588" t="n"/>
      <c r="CS379" s="588" t="n"/>
      <c r="CT379" s="588" t="n"/>
      <c r="CU379" s="588" t="n"/>
      <c r="CV379" s="588" t="n"/>
      <c r="CW379" s="588" t="n"/>
      <c r="CX379" s="588" t="n"/>
      <c r="CY379" s="588" t="n"/>
      <c r="CZ379" s="588" t="n"/>
      <c r="DA379" s="588" t="n"/>
      <c r="DB379" s="588" t="n"/>
      <c r="DC379" s="588" t="n"/>
      <c r="DD379" s="588" t="n"/>
      <c r="DE379" s="588" t="n"/>
      <c r="DF379" s="588" t="n"/>
      <c r="DG379" s="588" t="n"/>
      <c r="DH379" s="588" t="n"/>
      <c r="DI379" s="588" t="n"/>
      <c r="DJ379" s="588" t="n"/>
      <c r="DK379" s="588" t="n"/>
      <c r="DL379" s="588" t="n"/>
      <c r="DM379" s="588" t="n"/>
      <c r="DN379" s="588" t="n"/>
      <c r="DO379" s="588" t="n"/>
      <c r="DP379" s="588" t="n"/>
      <c r="DQ379" s="588" t="n"/>
      <c r="DR379" s="588" t="n"/>
      <c r="DS379" s="588" t="n"/>
      <c r="DT379" s="588" t="n"/>
      <c r="DU379" s="588" t="n"/>
    </row>
    <row r="380">
      <c r="A380" s="737" t="n"/>
      <c r="B380" s="737" t="n"/>
      <c r="C380" s="737" t="n"/>
      <c r="D380" s="737" t="n"/>
      <c r="E380" s="737" t="n"/>
      <c r="F380" s="737" t="n"/>
      <c r="G380" s="737" t="n"/>
      <c r="H380" s="737" t="n"/>
      <c r="I380" s="737" t="n"/>
      <c r="J380" s="737" t="n"/>
      <c r="K380" s="737" t="n"/>
      <c r="L380" s="737" t="n"/>
      <c r="M380" s="737" t="n"/>
      <c r="N380" s="737" t="n"/>
      <c r="O380" s="737" t="n"/>
      <c r="P380" s="737" t="n"/>
      <c r="Q380" s="737" t="n"/>
      <c r="R380" s="737" t="n"/>
      <c r="S380" s="737" t="n"/>
      <c r="T380" s="737" t="n"/>
      <c r="U380" s="737" t="n"/>
      <c r="V380" s="737" t="n"/>
      <c r="W380" s="737" t="n"/>
      <c r="X380" s="737" t="n"/>
      <c r="Y380" s="737" t="n"/>
      <c r="Z380" s="737" t="n"/>
      <c r="AA380" s="737" t="n"/>
      <c r="AB380" s="737" t="n"/>
      <c r="AC380" s="737" t="n"/>
      <c r="AD380" s="737" t="n"/>
      <c r="AE380" s="737" t="n"/>
      <c r="AF380" s="737" t="n"/>
      <c r="AG380" s="737" t="n"/>
      <c r="AH380" s="737" t="n"/>
      <c r="AI380" s="737" t="n"/>
      <c r="AJ380" s="737" t="n"/>
      <c r="AK380" s="588" t="n"/>
      <c r="AL380" s="588" t="n"/>
      <c r="AM380" s="588" t="n"/>
      <c r="AN380" s="588" t="n"/>
      <c r="AO380" s="588" t="n"/>
      <c r="AP380" s="588" t="n"/>
      <c r="AQ380" s="588" t="n"/>
      <c r="AR380" s="588" t="n"/>
      <c r="AS380" s="588" t="n"/>
      <c r="AT380" s="588" t="n"/>
      <c r="AU380" s="588" t="n"/>
      <c r="AV380" s="588" t="n"/>
      <c r="AW380" s="588" t="n"/>
      <c r="AX380" s="588" t="n"/>
      <c r="AY380" s="588" t="n"/>
      <c r="AZ380" s="588" t="n"/>
      <c r="BA380" s="588" t="n"/>
      <c r="BB380" s="588" t="n"/>
      <c r="BC380" s="588" t="n"/>
      <c r="BD380" s="588" t="n"/>
      <c r="BE380" s="588" t="n"/>
      <c r="BF380" s="588" t="n"/>
      <c r="BG380" s="588" t="n"/>
      <c r="BH380" s="588" t="n"/>
      <c r="BI380" s="588" t="n"/>
      <c r="BJ380" s="588" t="n"/>
      <c r="BK380" s="588" t="n"/>
      <c r="BL380" s="588" t="n"/>
      <c r="BM380" s="588" t="n"/>
      <c r="BN380" s="588" t="n"/>
      <c r="BO380" s="588" t="n"/>
      <c r="BP380" s="588" t="n"/>
      <c r="BQ380" s="588" t="n"/>
      <c r="BR380" s="588" t="n"/>
      <c r="BS380" s="588" t="n"/>
      <c r="BT380" s="588" t="n"/>
      <c r="BU380" s="588" t="n"/>
      <c r="BV380" s="588" t="n"/>
      <c r="BW380" s="588" t="n"/>
      <c r="BX380" s="588" t="n"/>
      <c r="BY380" s="588" t="n"/>
      <c r="BZ380" s="588" t="n"/>
      <c r="CA380" s="588" t="n"/>
      <c r="CB380" s="588" t="n"/>
      <c r="CC380" s="588" t="n"/>
      <c r="CD380" s="588" t="n"/>
      <c r="CE380" s="588" t="n"/>
      <c r="CF380" s="588" t="n"/>
      <c r="CG380" s="588" t="n"/>
      <c r="CH380" s="588" t="n"/>
      <c r="CI380" s="588" t="n"/>
      <c r="CJ380" s="588" t="n"/>
      <c r="CK380" s="588" t="n"/>
      <c r="CL380" s="588" t="n"/>
      <c r="CM380" s="588" t="n"/>
      <c r="CN380" s="588" t="n"/>
      <c r="CO380" s="588" t="n"/>
      <c r="CP380" s="588" t="n"/>
      <c r="CQ380" s="588" t="n"/>
      <c r="CR380" s="588" t="n"/>
      <c r="CS380" s="588" t="n"/>
      <c r="CT380" s="588" t="n"/>
      <c r="CU380" s="588" t="n"/>
      <c r="CV380" s="588" t="n"/>
      <c r="CW380" s="588" t="n"/>
      <c r="CX380" s="588" t="n"/>
      <c r="CY380" s="588" t="n"/>
      <c r="CZ380" s="588" t="n"/>
      <c r="DA380" s="588" t="n"/>
      <c r="DB380" s="588" t="n"/>
      <c r="DC380" s="588" t="n"/>
      <c r="DD380" s="588" t="n"/>
      <c r="DE380" s="588" t="n"/>
      <c r="DF380" s="588" t="n"/>
      <c r="DG380" s="588" t="n"/>
      <c r="DH380" s="588" t="n"/>
      <c r="DI380" s="588" t="n"/>
      <c r="DJ380" s="588" t="n"/>
      <c r="DK380" s="588" t="n"/>
      <c r="DL380" s="588" t="n"/>
      <c r="DM380" s="588" t="n"/>
      <c r="DN380" s="588" t="n"/>
      <c r="DO380" s="588" t="n"/>
      <c r="DP380" s="588" t="n"/>
      <c r="DQ380" s="588" t="n"/>
      <c r="DR380" s="588" t="n"/>
      <c r="DS380" s="588" t="n"/>
      <c r="DT380" s="588" t="n"/>
      <c r="DU380" s="588" t="n"/>
    </row>
    <row r="381">
      <c r="A381" s="737" t="n"/>
      <c r="B381" s="737" t="n"/>
      <c r="C381" s="737" t="n"/>
      <c r="D381" s="737" t="n"/>
      <c r="E381" s="737" t="n"/>
      <c r="F381" s="737" t="n"/>
      <c r="G381" s="737" t="n"/>
      <c r="H381" s="737" t="n"/>
      <c r="I381" s="737" t="n"/>
      <c r="J381" s="737" t="n"/>
      <c r="K381" s="737" t="n"/>
      <c r="L381" s="737" t="n"/>
      <c r="M381" s="737" t="n"/>
      <c r="N381" s="737" t="n"/>
      <c r="O381" s="737" t="n"/>
      <c r="P381" s="737" t="n"/>
      <c r="Q381" s="737" t="n"/>
      <c r="R381" s="737" t="n"/>
      <c r="S381" s="737" t="n"/>
      <c r="T381" s="737" t="n"/>
      <c r="U381" s="737" t="n"/>
      <c r="V381" s="737" t="n"/>
      <c r="W381" s="737" t="n"/>
      <c r="X381" s="737" t="n"/>
      <c r="Y381" s="737" t="n"/>
      <c r="Z381" s="737" t="n"/>
      <c r="AA381" s="737" t="n"/>
      <c r="AB381" s="737" t="n"/>
      <c r="AC381" s="737" t="n"/>
      <c r="AD381" s="737" t="n"/>
      <c r="AE381" s="737" t="n"/>
      <c r="AF381" s="737" t="n"/>
      <c r="AG381" s="737" t="n"/>
      <c r="AH381" s="737" t="n"/>
      <c r="AI381" s="737" t="n"/>
      <c r="AJ381" s="737" t="n"/>
      <c r="AK381" s="588" t="n"/>
      <c r="AL381" s="588" t="n"/>
      <c r="AM381" s="588" t="n"/>
      <c r="AN381" s="588" t="n"/>
      <c r="AO381" s="588" t="n"/>
      <c r="AP381" s="588" t="n"/>
      <c r="AQ381" s="588" t="n"/>
      <c r="AR381" s="588" t="n"/>
      <c r="AS381" s="588" t="n"/>
      <c r="AT381" s="588" t="n"/>
      <c r="AU381" s="588" t="n"/>
      <c r="AV381" s="588" t="n"/>
      <c r="AW381" s="588" t="n"/>
      <c r="AX381" s="588" t="n"/>
      <c r="AY381" s="588" t="n"/>
      <c r="AZ381" s="588" t="n"/>
      <c r="BA381" s="588" t="n"/>
      <c r="BB381" s="588" t="n"/>
      <c r="BC381" s="588" t="n"/>
      <c r="BD381" s="588" t="n"/>
      <c r="BE381" s="588" t="n"/>
      <c r="BF381" s="588" t="n"/>
      <c r="BG381" s="588" t="n"/>
      <c r="BH381" s="588" t="n"/>
      <c r="BI381" s="588" t="n"/>
      <c r="BJ381" s="588" t="n"/>
      <c r="BK381" s="588" t="n"/>
      <c r="BL381" s="588" t="n"/>
      <c r="BM381" s="588" t="n"/>
      <c r="BN381" s="588" t="n"/>
      <c r="BO381" s="588" t="n"/>
      <c r="BP381" s="588" t="n"/>
      <c r="BQ381" s="588" t="n"/>
      <c r="BR381" s="588" t="n"/>
      <c r="BS381" s="588" t="n"/>
      <c r="BT381" s="588" t="n"/>
      <c r="BU381" s="588" t="n"/>
      <c r="BV381" s="588" t="n"/>
      <c r="BW381" s="588" t="n"/>
      <c r="BX381" s="588" t="n"/>
      <c r="BY381" s="588" t="n"/>
      <c r="BZ381" s="588" t="n"/>
      <c r="CA381" s="588" t="n"/>
      <c r="CB381" s="588" t="n"/>
      <c r="CC381" s="588" t="n"/>
      <c r="CD381" s="588" t="n"/>
      <c r="CE381" s="588" t="n"/>
      <c r="CF381" s="588" t="n"/>
      <c r="CG381" s="588" t="n"/>
      <c r="CH381" s="588" t="n"/>
      <c r="CI381" s="588" t="n"/>
      <c r="CJ381" s="588" t="n"/>
      <c r="CK381" s="588" t="n"/>
      <c r="CL381" s="588" t="n"/>
      <c r="CM381" s="588" t="n"/>
      <c r="CN381" s="588" t="n"/>
      <c r="CO381" s="588" t="n"/>
      <c r="CP381" s="588" t="n"/>
      <c r="CQ381" s="588" t="n"/>
      <c r="CR381" s="588" t="n"/>
      <c r="CS381" s="588" t="n"/>
      <c r="CT381" s="588" t="n"/>
      <c r="CU381" s="588" t="n"/>
      <c r="CV381" s="588" t="n"/>
      <c r="CW381" s="588" t="n"/>
      <c r="CX381" s="588" t="n"/>
      <c r="CY381" s="588" t="n"/>
      <c r="CZ381" s="588" t="n"/>
      <c r="DA381" s="588" t="n"/>
      <c r="DB381" s="588" t="n"/>
      <c r="DC381" s="588" t="n"/>
      <c r="DD381" s="588" t="n"/>
      <c r="DE381" s="588" t="n"/>
      <c r="DF381" s="588" t="n"/>
      <c r="DG381" s="588" t="n"/>
      <c r="DH381" s="588" t="n"/>
      <c r="DI381" s="588" t="n"/>
      <c r="DJ381" s="588" t="n"/>
      <c r="DK381" s="588" t="n"/>
      <c r="DL381" s="588" t="n"/>
      <c r="DM381" s="588" t="n"/>
      <c r="DN381" s="588" t="n"/>
      <c r="DO381" s="588" t="n"/>
      <c r="DP381" s="588" t="n"/>
      <c r="DQ381" s="588" t="n"/>
      <c r="DR381" s="588" t="n"/>
      <c r="DS381" s="588" t="n"/>
      <c r="DT381" s="588" t="n"/>
      <c r="DU381" s="588" t="n"/>
    </row>
    <row r="382">
      <c r="A382" s="737" t="n"/>
      <c r="B382" s="737" t="n"/>
      <c r="C382" s="737" t="n"/>
      <c r="D382" s="737" t="n"/>
      <c r="E382" s="737" t="n"/>
      <c r="F382" s="737" t="n"/>
      <c r="G382" s="737" t="n"/>
      <c r="H382" s="737" t="n"/>
      <c r="I382" s="737" t="n"/>
      <c r="J382" s="737" t="n"/>
      <c r="K382" s="737" t="n"/>
      <c r="L382" s="737" t="n"/>
      <c r="M382" s="737" t="n"/>
      <c r="N382" s="737" t="n"/>
      <c r="O382" s="737" t="n"/>
      <c r="P382" s="737" t="n"/>
      <c r="Q382" s="737" t="n"/>
      <c r="R382" s="737" t="n"/>
      <c r="S382" s="737" t="n"/>
      <c r="T382" s="737" t="n"/>
      <c r="U382" s="737" t="n"/>
      <c r="V382" s="737" t="n"/>
      <c r="W382" s="737" t="n"/>
      <c r="X382" s="737" t="n"/>
      <c r="Y382" s="737" t="n"/>
      <c r="Z382" s="737" t="n"/>
      <c r="AA382" s="737" t="n"/>
      <c r="AB382" s="737" t="n"/>
      <c r="AC382" s="737" t="n"/>
      <c r="AD382" s="737" t="n"/>
      <c r="AE382" s="737" t="n"/>
      <c r="AF382" s="737" t="n"/>
      <c r="AG382" s="737" t="n"/>
      <c r="AH382" s="737" t="n"/>
      <c r="AI382" s="737" t="n"/>
      <c r="AJ382" s="737" t="n"/>
      <c r="AK382" s="588" t="n"/>
      <c r="AL382" s="588" t="n"/>
      <c r="AM382" s="588" t="n"/>
      <c r="AN382" s="588" t="n"/>
      <c r="AO382" s="588" t="n"/>
      <c r="AP382" s="588" t="n"/>
      <c r="AQ382" s="588" t="n"/>
      <c r="AR382" s="588" t="n"/>
      <c r="AS382" s="588" t="n"/>
      <c r="AT382" s="588" t="n"/>
      <c r="AU382" s="588" t="n"/>
      <c r="AV382" s="588" t="n"/>
      <c r="AW382" s="588" t="n"/>
      <c r="AX382" s="588" t="n"/>
      <c r="AY382" s="588" t="n"/>
      <c r="AZ382" s="588" t="n"/>
      <c r="BA382" s="588" t="n"/>
      <c r="BB382" s="588" t="n"/>
      <c r="BC382" s="588" t="n"/>
      <c r="BD382" s="588" t="n"/>
      <c r="BE382" s="588" t="n"/>
      <c r="BF382" s="588" t="n"/>
      <c r="BG382" s="588" t="n"/>
      <c r="BH382" s="588" t="n"/>
      <c r="BI382" s="588" t="n"/>
      <c r="BJ382" s="588" t="n"/>
      <c r="BK382" s="588" t="n"/>
      <c r="BL382" s="588" t="n"/>
      <c r="BM382" s="588" t="n"/>
      <c r="BN382" s="588" t="n"/>
      <c r="BO382" s="588" t="n"/>
      <c r="BP382" s="588" t="n"/>
      <c r="BQ382" s="588" t="n"/>
      <c r="BR382" s="588" t="n"/>
      <c r="BS382" s="588" t="n"/>
      <c r="BT382" s="588" t="n"/>
      <c r="BU382" s="588" t="n"/>
      <c r="BV382" s="588" t="n"/>
      <c r="BW382" s="588" t="n"/>
      <c r="BX382" s="588" t="n"/>
      <c r="BY382" s="588" t="n"/>
      <c r="BZ382" s="588" t="n"/>
      <c r="CA382" s="588" t="n"/>
      <c r="CB382" s="588" t="n"/>
      <c r="CC382" s="588" t="n"/>
      <c r="CD382" s="588" t="n"/>
      <c r="CE382" s="588" t="n"/>
      <c r="CF382" s="588" t="n"/>
      <c r="CG382" s="588" t="n"/>
      <c r="CH382" s="588" t="n"/>
      <c r="CI382" s="588" t="n"/>
      <c r="CJ382" s="588" t="n"/>
      <c r="CK382" s="588" t="n"/>
      <c r="CL382" s="588" t="n"/>
      <c r="CM382" s="588" t="n"/>
      <c r="CN382" s="588" t="n"/>
      <c r="CO382" s="588" t="n"/>
      <c r="CP382" s="588" t="n"/>
      <c r="CQ382" s="588" t="n"/>
      <c r="CR382" s="588" t="n"/>
      <c r="CS382" s="588" t="n"/>
      <c r="CT382" s="588" t="n"/>
      <c r="CU382" s="588" t="n"/>
      <c r="CV382" s="588" t="n"/>
      <c r="CW382" s="588" t="n"/>
      <c r="CX382" s="588" t="n"/>
      <c r="CY382" s="588" t="n"/>
      <c r="CZ382" s="588" t="n"/>
      <c r="DA382" s="588" t="n"/>
      <c r="DB382" s="588" t="n"/>
      <c r="DC382" s="588" t="n"/>
      <c r="DD382" s="588" t="n"/>
      <c r="DE382" s="588" t="n"/>
      <c r="DF382" s="588" t="n"/>
      <c r="DG382" s="588" t="n"/>
      <c r="DH382" s="588" t="n"/>
      <c r="DI382" s="588" t="n"/>
      <c r="DJ382" s="588" t="n"/>
      <c r="DK382" s="588" t="n"/>
      <c r="DL382" s="588" t="n"/>
      <c r="DM382" s="588" t="n"/>
      <c r="DN382" s="588" t="n"/>
      <c r="DO382" s="588" t="n"/>
      <c r="DP382" s="588" t="n"/>
      <c r="DQ382" s="588" t="n"/>
      <c r="DR382" s="588" t="n"/>
      <c r="DS382" s="588" t="n"/>
      <c r="DT382" s="588" t="n"/>
      <c r="DU382" s="588" t="n"/>
    </row>
    <row r="383">
      <c r="A383" s="737" t="n"/>
      <c r="B383" s="737" t="n"/>
      <c r="C383" s="737" t="n"/>
      <c r="D383" s="737" t="n"/>
      <c r="E383" s="737" t="n"/>
      <c r="F383" s="737" t="n"/>
      <c r="G383" s="737" t="n"/>
      <c r="H383" s="737" t="n"/>
      <c r="I383" s="737" t="n"/>
      <c r="J383" s="737" t="n"/>
      <c r="K383" s="737" t="n"/>
      <c r="L383" s="737" t="n"/>
      <c r="M383" s="737" t="n"/>
      <c r="N383" s="737" t="n"/>
      <c r="O383" s="737" t="n"/>
      <c r="P383" s="737" t="n"/>
      <c r="Q383" s="737" t="n"/>
      <c r="R383" s="737" t="n"/>
      <c r="S383" s="737" t="n"/>
      <c r="T383" s="737" t="n"/>
      <c r="U383" s="737" t="n"/>
      <c r="V383" s="737" t="n"/>
      <c r="W383" s="737" t="n"/>
      <c r="X383" s="737" t="n"/>
      <c r="Y383" s="737" t="n"/>
      <c r="Z383" s="737" t="n"/>
      <c r="AA383" s="737" t="n"/>
      <c r="AB383" s="737" t="n"/>
      <c r="AC383" s="737" t="n"/>
      <c r="AD383" s="737" t="n"/>
      <c r="AE383" s="737" t="n"/>
      <c r="AF383" s="737" t="n"/>
      <c r="AG383" s="737" t="n"/>
      <c r="AH383" s="737" t="n"/>
      <c r="AI383" s="737" t="n"/>
      <c r="AJ383" s="737" t="n"/>
      <c r="AK383" s="588" t="n"/>
      <c r="AL383" s="588" t="n"/>
      <c r="AM383" s="588" t="n"/>
      <c r="AN383" s="588" t="n"/>
      <c r="AO383" s="588" t="n"/>
      <c r="AP383" s="588" t="n"/>
      <c r="AQ383" s="588" t="n"/>
      <c r="AR383" s="588" t="n"/>
      <c r="AS383" s="588" t="n"/>
      <c r="AT383" s="588" t="n"/>
      <c r="AU383" s="588" t="n"/>
      <c r="AV383" s="588" t="n"/>
      <c r="AW383" s="588" t="n"/>
      <c r="AX383" s="588" t="n"/>
      <c r="AY383" s="588" t="n"/>
      <c r="AZ383" s="588" t="n"/>
      <c r="BA383" s="588" t="n"/>
      <c r="BB383" s="588" t="n"/>
      <c r="BC383" s="588" t="n"/>
      <c r="BD383" s="588" t="n"/>
      <c r="BE383" s="588" t="n"/>
      <c r="BF383" s="588" t="n"/>
      <c r="BG383" s="588" t="n"/>
      <c r="BH383" s="588" t="n"/>
      <c r="BI383" s="588" t="n"/>
      <c r="BJ383" s="588" t="n"/>
      <c r="BK383" s="588" t="n"/>
      <c r="BL383" s="588" t="n"/>
      <c r="BM383" s="588" t="n"/>
      <c r="BN383" s="588" t="n"/>
      <c r="BO383" s="588" t="n"/>
      <c r="BP383" s="588" t="n"/>
      <c r="BQ383" s="588" t="n"/>
      <c r="BR383" s="588" t="n"/>
      <c r="BS383" s="588" t="n"/>
      <c r="BT383" s="588" t="n"/>
      <c r="BU383" s="588" t="n"/>
      <c r="BV383" s="588" t="n"/>
      <c r="BW383" s="588" t="n"/>
      <c r="BX383" s="588" t="n"/>
      <c r="BY383" s="588" t="n"/>
      <c r="BZ383" s="588" t="n"/>
      <c r="CA383" s="588" t="n"/>
      <c r="CB383" s="588" t="n"/>
      <c r="CC383" s="588" t="n"/>
      <c r="CD383" s="588" t="n"/>
      <c r="CE383" s="588" t="n"/>
      <c r="CF383" s="588" t="n"/>
      <c r="CG383" s="588" t="n"/>
      <c r="CH383" s="588" t="n"/>
      <c r="CI383" s="588" t="n"/>
      <c r="CJ383" s="588" t="n"/>
      <c r="CK383" s="588" t="n"/>
      <c r="CL383" s="588" t="n"/>
      <c r="CM383" s="588" t="n"/>
      <c r="CN383" s="588" t="n"/>
      <c r="CO383" s="588" t="n"/>
      <c r="CP383" s="588" t="n"/>
      <c r="CQ383" s="588" t="n"/>
      <c r="CR383" s="588" t="n"/>
      <c r="CS383" s="588" t="n"/>
      <c r="CT383" s="588" t="n"/>
      <c r="CU383" s="588" t="n"/>
      <c r="CV383" s="588" t="n"/>
      <c r="CW383" s="588" t="n"/>
      <c r="CX383" s="588" t="n"/>
      <c r="CY383" s="588" t="n"/>
      <c r="CZ383" s="588" t="n"/>
      <c r="DA383" s="588" t="n"/>
      <c r="DB383" s="588" t="n"/>
      <c r="DC383" s="588" t="n"/>
      <c r="DD383" s="588" t="n"/>
      <c r="DE383" s="588" t="n"/>
      <c r="DF383" s="588" t="n"/>
      <c r="DG383" s="588" t="n"/>
      <c r="DH383" s="588" t="n"/>
      <c r="DI383" s="588" t="n"/>
      <c r="DJ383" s="588" t="n"/>
      <c r="DK383" s="588" t="n"/>
      <c r="DL383" s="588" t="n"/>
      <c r="DM383" s="588" t="n"/>
      <c r="DN383" s="588" t="n"/>
      <c r="DO383" s="588" t="n"/>
      <c r="DP383" s="588" t="n"/>
      <c r="DQ383" s="588" t="n"/>
      <c r="DR383" s="588" t="n"/>
      <c r="DS383" s="588" t="n"/>
      <c r="DT383" s="588" t="n"/>
      <c r="DU383" s="588" t="n"/>
    </row>
    <row r="384">
      <c r="A384" s="737" t="n"/>
      <c r="B384" s="737" t="n"/>
      <c r="C384" s="737" t="n"/>
      <c r="D384" s="737" t="n"/>
      <c r="E384" s="737" t="n"/>
      <c r="F384" s="737" t="n"/>
      <c r="G384" s="737" t="n"/>
      <c r="H384" s="737" t="n"/>
      <c r="I384" s="737" t="n"/>
      <c r="J384" s="737" t="n"/>
      <c r="K384" s="737" t="n"/>
      <c r="L384" s="737" t="n"/>
      <c r="M384" s="737" t="n"/>
      <c r="N384" s="737" t="n"/>
      <c r="O384" s="737" t="n"/>
      <c r="P384" s="737" t="n"/>
      <c r="Q384" s="737" t="n"/>
      <c r="R384" s="737" t="n"/>
      <c r="S384" s="737" t="n"/>
      <c r="T384" s="737" t="n"/>
      <c r="U384" s="737" t="n"/>
      <c r="V384" s="737" t="n"/>
      <c r="W384" s="737" t="n"/>
      <c r="X384" s="737" t="n"/>
      <c r="Y384" s="737" t="n"/>
      <c r="Z384" s="737" t="n"/>
      <c r="AA384" s="737" t="n"/>
      <c r="AB384" s="737" t="n"/>
      <c r="AC384" s="737" t="n"/>
      <c r="AD384" s="737" t="n"/>
      <c r="AE384" s="737" t="n"/>
      <c r="AF384" s="737" t="n"/>
      <c r="AG384" s="737" t="n"/>
      <c r="AH384" s="737" t="n"/>
      <c r="AI384" s="737" t="n"/>
      <c r="AJ384" s="737" t="n"/>
      <c r="AK384" s="588" t="n"/>
      <c r="AL384" s="588" t="n"/>
      <c r="AM384" s="588" t="n"/>
      <c r="AN384" s="588" t="n"/>
      <c r="AO384" s="588" t="n"/>
      <c r="AP384" s="588" t="n"/>
      <c r="AQ384" s="588" t="n"/>
      <c r="AR384" s="588" t="n"/>
      <c r="AS384" s="588" t="n"/>
      <c r="AT384" s="588" t="n"/>
      <c r="AU384" s="588" t="n"/>
      <c r="AV384" s="588" t="n"/>
      <c r="AW384" s="588" t="n"/>
      <c r="AX384" s="588" t="n"/>
      <c r="AY384" s="588" t="n"/>
      <c r="AZ384" s="588" t="n"/>
      <c r="BA384" s="588" t="n"/>
      <c r="BB384" s="588" t="n"/>
      <c r="BC384" s="588" t="n"/>
      <c r="BD384" s="588" t="n"/>
      <c r="BE384" s="588" t="n"/>
      <c r="BF384" s="588" t="n"/>
      <c r="BG384" s="588" t="n"/>
      <c r="BH384" s="588" t="n"/>
      <c r="BI384" s="588" t="n"/>
      <c r="BJ384" s="588" t="n"/>
      <c r="BK384" s="588" t="n"/>
      <c r="BL384" s="588" t="n"/>
      <c r="BM384" s="588" t="n"/>
      <c r="BN384" s="588" t="n"/>
      <c r="BO384" s="588" t="n"/>
      <c r="BP384" s="588" t="n"/>
      <c r="BQ384" s="588" t="n"/>
      <c r="BR384" s="588" t="n"/>
      <c r="BS384" s="588" t="n"/>
      <c r="BT384" s="588" t="n"/>
      <c r="BU384" s="588" t="n"/>
      <c r="BV384" s="588" t="n"/>
      <c r="BW384" s="588" t="n"/>
      <c r="BX384" s="588" t="n"/>
      <c r="BY384" s="588" t="n"/>
      <c r="BZ384" s="588" t="n"/>
      <c r="CA384" s="588" t="n"/>
      <c r="CB384" s="588" t="n"/>
      <c r="CC384" s="588" t="n"/>
      <c r="CD384" s="588" t="n"/>
      <c r="CE384" s="588" t="n"/>
      <c r="CF384" s="588" t="n"/>
      <c r="CG384" s="588" t="n"/>
      <c r="CH384" s="588" t="n"/>
      <c r="CI384" s="588" t="n"/>
      <c r="CJ384" s="588" t="n"/>
      <c r="CK384" s="588" t="n"/>
      <c r="CL384" s="588" t="n"/>
      <c r="CM384" s="588" t="n"/>
      <c r="CN384" s="588" t="n"/>
      <c r="CO384" s="588" t="n"/>
      <c r="CP384" s="588" t="n"/>
      <c r="CQ384" s="588" t="n"/>
      <c r="CR384" s="588" t="n"/>
      <c r="CS384" s="588" t="n"/>
      <c r="CT384" s="588" t="n"/>
      <c r="CU384" s="588" t="n"/>
      <c r="CV384" s="588" t="n"/>
      <c r="CW384" s="588" t="n"/>
      <c r="CX384" s="588" t="n"/>
      <c r="CY384" s="588" t="n"/>
      <c r="CZ384" s="588" t="n"/>
      <c r="DA384" s="588" t="n"/>
      <c r="DB384" s="588" t="n"/>
      <c r="DC384" s="588" t="n"/>
      <c r="DD384" s="588" t="n"/>
      <c r="DE384" s="588" t="n"/>
      <c r="DF384" s="588" t="n"/>
      <c r="DG384" s="588" t="n"/>
      <c r="DH384" s="588" t="n"/>
      <c r="DI384" s="588" t="n"/>
      <c r="DJ384" s="588" t="n"/>
      <c r="DK384" s="588" t="n"/>
      <c r="DL384" s="588" t="n"/>
      <c r="DM384" s="588" t="n"/>
      <c r="DN384" s="588" t="n"/>
      <c r="DO384" s="588" t="n"/>
      <c r="DP384" s="588" t="n"/>
      <c r="DQ384" s="588" t="n"/>
      <c r="DR384" s="588" t="n"/>
      <c r="DS384" s="588" t="n"/>
      <c r="DT384" s="588" t="n"/>
      <c r="DU384" s="588" t="n"/>
    </row>
    <row r="385">
      <c r="A385" s="737" t="n"/>
      <c r="B385" s="737" t="n"/>
      <c r="C385" s="737" t="n"/>
      <c r="D385" s="737" t="n"/>
      <c r="E385" s="737" t="n"/>
      <c r="F385" s="737" t="n"/>
      <c r="G385" s="737" t="n"/>
      <c r="H385" s="737" t="n"/>
      <c r="I385" s="737" t="n"/>
      <c r="J385" s="737" t="n"/>
      <c r="K385" s="737" t="n"/>
      <c r="L385" s="737" t="n"/>
      <c r="M385" s="737" t="n"/>
      <c r="N385" s="737" t="n"/>
      <c r="O385" s="737" t="n"/>
      <c r="P385" s="737" t="n"/>
      <c r="Q385" s="737" t="n"/>
      <c r="R385" s="737" t="n"/>
      <c r="S385" s="737" t="n"/>
      <c r="T385" s="737" t="n"/>
      <c r="U385" s="737" t="n"/>
      <c r="V385" s="737" t="n"/>
      <c r="W385" s="737" t="n"/>
      <c r="X385" s="737" t="n"/>
      <c r="Y385" s="737" t="n"/>
      <c r="Z385" s="737" t="n"/>
      <c r="AA385" s="737" t="n"/>
      <c r="AB385" s="737" t="n"/>
      <c r="AC385" s="737" t="n"/>
      <c r="AD385" s="737" t="n"/>
      <c r="AE385" s="737" t="n"/>
      <c r="AF385" s="737" t="n"/>
      <c r="AG385" s="737" t="n"/>
      <c r="AH385" s="737" t="n"/>
      <c r="AI385" s="737" t="n"/>
      <c r="AJ385" s="737" t="n"/>
      <c r="AK385" s="588" t="n"/>
      <c r="AL385" s="588" t="n"/>
      <c r="AM385" s="588" t="n"/>
      <c r="AN385" s="588" t="n"/>
      <c r="AO385" s="588" t="n"/>
      <c r="AP385" s="588" t="n"/>
      <c r="AQ385" s="588" t="n"/>
      <c r="AR385" s="588" t="n"/>
      <c r="AS385" s="588" t="n"/>
      <c r="AT385" s="588" t="n"/>
      <c r="AU385" s="588" t="n"/>
      <c r="AV385" s="588" t="n"/>
      <c r="AW385" s="588" t="n"/>
      <c r="AX385" s="588" t="n"/>
      <c r="AY385" s="588" t="n"/>
      <c r="AZ385" s="588" t="n"/>
      <c r="BA385" s="588" t="n"/>
      <c r="BB385" s="588" t="n"/>
      <c r="BC385" s="588" t="n"/>
      <c r="BD385" s="588" t="n"/>
      <c r="BE385" s="588" t="n"/>
      <c r="BF385" s="588" t="n"/>
      <c r="BG385" s="588" t="n"/>
      <c r="BH385" s="588" t="n"/>
      <c r="BI385" s="588" t="n"/>
      <c r="BJ385" s="588" t="n"/>
      <c r="BK385" s="588" t="n"/>
      <c r="BL385" s="588" t="n"/>
      <c r="BM385" s="588" t="n"/>
      <c r="BN385" s="588" t="n"/>
      <c r="BO385" s="588" t="n"/>
      <c r="BP385" s="588" t="n"/>
      <c r="BQ385" s="588" t="n"/>
      <c r="BR385" s="588" t="n"/>
      <c r="BS385" s="588" t="n"/>
      <c r="BT385" s="588" t="n"/>
      <c r="BU385" s="588" t="n"/>
      <c r="BV385" s="588" t="n"/>
      <c r="BW385" s="588" t="n"/>
      <c r="BX385" s="588" t="n"/>
      <c r="BY385" s="588" t="n"/>
      <c r="BZ385" s="588" t="n"/>
      <c r="CA385" s="588" t="n"/>
      <c r="CB385" s="588" t="n"/>
      <c r="CC385" s="588" t="n"/>
      <c r="CD385" s="588" t="n"/>
      <c r="CE385" s="588" t="n"/>
      <c r="CF385" s="588" t="n"/>
      <c r="CG385" s="588" t="n"/>
      <c r="CH385" s="588" t="n"/>
      <c r="CI385" s="588" t="n"/>
      <c r="CJ385" s="588" t="n"/>
      <c r="CK385" s="588" t="n"/>
      <c r="CL385" s="588" t="n"/>
      <c r="CM385" s="588" t="n"/>
      <c r="CN385" s="588" t="n"/>
      <c r="CO385" s="588" t="n"/>
      <c r="CP385" s="588" t="n"/>
      <c r="CQ385" s="588" t="n"/>
      <c r="CR385" s="588" t="n"/>
      <c r="CS385" s="588" t="n"/>
      <c r="CT385" s="588" t="n"/>
      <c r="CU385" s="588" t="n"/>
      <c r="CV385" s="588" t="n"/>
      <c r="CW385" s="588" t="n"/>
      <c r="CX385" s="588" t="n"/>
      <c r="CY385" s="588" t="n"/>
      <c r="CZ385" s="588" t="n"/>
      <c r="DA385" s="588" t="n"/>
      <c r="DB385" s="588" t="n"/>
      <c r="DC385" s="588" t="n"/>
      <c r="DD385" s="588" t="n"/>
      <c r="DE385" s="588" t="n"/>
      <c r="DF385" s="588" t="n"/>
      <c r="DG385" s="588" t="n"/>
      <c r="DH385" s="588" t="n"/>
      <c r="DI385" s="588" t="n"/>
      <c r="DJ385" s="588" t="n"/>
      <c r="DK385" s="588" t="n"/>
      <c r="DL385" s="588" t="n"/>
      <c r="DM385" s="588" t="n"/>
      <c r="DN385" s="588" t="n"/>
      <c r="DO385" s="588" t="n"/>
      <c r="DP385" s="588" t="n"/>
      <c r="DQ385" s="588" t="n"/>
      <c r="DR385" s="588" t="n"/>
      <c r="DS385" s="588" t="n"/>
      <c r="DT385" s="588" t="n"/>
      <c r="DU385" s="588" t="n"/>
    </row>
    <row r="386">
      <c r="A386" s="737" t="n"/>
      <c r="B386" s="737" t="n"/>
      <c r="C386" s="737" t="n"/>
      <c r="D386" s="737" t="n"/>
      <c r="E386" s="737" t="n"/>
      <c r="F386" s="737" t="n"/>
      <c r="G386" s="737" t="n"/>
      <c r="H386" s="737" t="n"/>
      <c r="I386" s="737" t="n"/>
      <c r="J386" s="737" t="n"/>
      <c r="K386" s="737" t="n"/>
      <c r="L386" s="737" t="n"/>
      <c r="M386" s="737" t="n"/>
      <c r="N386" s="737" t="n"/>
      <c r="O386" s="737" t="n"/>
      <c r="P386" s="737" t="n"/>
      <c r="Q386" s="737" t="n"/>
      <c r="R386" s="737" t="n"/>
      <c r="S386" s="737" t="n"/>
      <c r="T386" s="737" t="n"/>
      <c r="U386" s="737" t="n"/>
      <c r="V386" s="737" t="n"/>
      <c r="W386" s="737" t="n"/>
      <c r="X386" s="737" t="n"/>
      <c r="Y386" s="737" t="n"/>
      <c r="Z386" s="737" t="n"/>
      <c r="AA386" s="737" t="n"/>
      <c r="AB386" s="737" t="n"/>
      <c r="AC386" s="737" t="n"/>
      <c r="AD386" s="737" t="n"/>
      <c r="AE386" s="737" t="n"/>
      <c r="AF386" s="737" t="n"/>
      <c r="AG386" s="737" t="n"/>
      <c r="AH386" s="737" t="n"/>
      <c r="AI386" s="737" t="n"/>
      <c r="AJ386" s="737" t="n"/>
      <c r="AK386" s="588" t="n"/>
      <c r="AL386" s="588" t="n"/>
      <c r="AM386" s="588" t="n"/>
      <c r="AN386" s="588" t="n"/>
      <c r="AO386" s="588" t="n"/>
      <c r="AP386" s="588" t="n"/>
      <c r="AQ386" s="588" t="n"/>
      <c r="AR386" s="588" t="n"/>
      <c r="AS386" s="588" t="n"/>
      <c r="AT386" s="588" t="n"/>
      <c r="AU386" s="588" t="n"/>
      <c r="AV386" s="588" t="n"/>
      <c r="AW386" s="588" t="n"/>
      <c r="AX386" s="588" t="n"/>
      <c r="AY386" s="588" t="n"/>
      <c r="AZ386" s="588" t="n"/>
      <c r="BA386" s="588" t="n"/>
      <c r="BB386" s="588" t="n"/>
      <c r="BC386" s="588" t="n"/>
      <c r="BD386" s="588" t="n"/>
      <c r="BE386" s="588" t="n"/>
      <c r="BF386" s="588" t="n"/>
      <c r="BG386" s="588" t="n"/>
      <c r="BH386" s="588" t="n"/>
      <c r="BI386" s="588" t="n"/>
      <c r="BJ386" s="588" t="n"/>
      <c r="BK386" s="588" t="n"/>
      <c r="BL386" s="588" t="n"/>
      <c r="BM386" s="588" t="n"/>
      <c r="BN386" s="588" t="n"/>
      <c r="BO386" s="588" t="n"/>
      <c r="BP386" s="588" t="n"/>
      <c r="BQ386" s="588" t="n"/>
      <c r="BR386" s="588" t="n"/>
      <c r="BS386" s="588" t="n"/>
      <c r="BT386" s="588" t="n"/>
      <c r="BU386" s="588" t="n"/>
      <c r="BV386" s="588" t="n"/>
      <c r="BW386" s="588" t="n"/>
      <c r="BX386" s="588" t="n"/>
      <c r="BY386" s="588" t="n"/>
      <c r="BZ386" s="588" t="n"/>
      <c r="CA386" s="588" t="n"/>
      <c r="CB386" s="588" t="n"/>
      <c r="CC386" s="588" t="n"/>
      <c r="CD386" s="588" t="n"/>
      <c r="CE386" s="588" t="n"/>
      <c r="CF386" s="588" t="n"/>
      <c r="CG386" s="588" t="n"/>
      <c r="CH386" s="588" t="n"/>
      <c r="CI386" s="588" t="n"/>
      <c r="CJ386" s="588" t="n"/>
      <c r="CK386" s="588" t="n"/>
      <c r="CL386" s="588" t="n"/>
      <c r="CM386" s="588" t="n"/>
      <c r="CN386" s="588" t="n"/>
      <c r="CO386" s="588" t="n"/>
      <c r="CP386" s="588" t="n"/>
      <c r="CQ386" s="588" t="n"/>
      <c r="CR386" s="588" t="n"/>
      <c r="CS386" s="588" t="n"/>
      <c r="CT386" s="588" t="n"/>
      <c r="CU386" s="588" t="n"/>
      <c r="CV386" s="588" t="n"/>
      <c r="CW386" s="588" t="n"/>
      <c r="CX386" s="588" t="n"/>
      <c r="CY386" s="588" t="n"/>
      <c r="CZ386" s="588" t="n"/>
      <c r="DA386" s="588" t="n"/>
      <c r="DB386" s="588" t="n"/>
      <c r="DC386" s="588" t="n"/>
      <c r="DD386" s="588" t="n"/>
      <c r="DE386" s="588" t="n"/>
      <c r="DF386" s="588" t="n"/>
      <c r="DG386" s="588" t="n"/>
      <c r="DH386" s="588" t="n"/>
      <c r="DI386" s="588" t="n"/>
      <c r="DJ386" s="588" t="n"/>
      <c r="DK386" s="588" t="n"/>
      <c r="DL386" s="588" t="n"/>
      <c r="DM386" s="588" t="n"/>
      <c r="DN386" s="588" t="n"/>
      <c r="DO386" s="588" t="n"/>
      <c r="DP386" s="588" t="n"/>
      <c r="DQ386" s="588" t="n"/>
      <c r="DR386" s="588" t="n"/>
      <c r="DS386" s="588" t="n"/>
      <c r="DT386" s="588" t="n"/>
      <c r="DU386" s="588" t="n"/>
    </row>
    <row r="387">
      <c r="A387" s="737" t="n"/>
      <c r="B387" s="737" t="n"/>
      <c r="C387" s="737" t="n"/>
      <c r="D387" s="737" t="n"/>
      <c r="E387" s="737" t="n"/>
      <c r="F387" s="737" t="n"/>
      <c r="G387" s="737" t="n"/>
      <c r="H387" s="737" t="n"/>
      <c r="I387" s="737" t="n"/>
      <c r="J387" s="737" t="n"/>
      <c r="K387" s="737" t="n"/>
      <c r="L387" s="737" t="n"/>
      <c r="M387" s="737" t="n"/>
      <c r="N387" s="737" t="n"/>
      <c r="O387" s="737" t="n"/>
      <c r="P387" s="737" t="n"/>
      <c r="Q387" s="737" t="n"/>
      <c r="R387" s="737" t="n"/>
      <c r="S387" s="737" t="n"/>
      <c r="T387" s="737" t="n"/>
      <c r="U387" s="737" t="n"/>
      <c r="V387" s="737" t="n"/>
      <c r="W387" s="737" t="n"/>
      <c r="X387" s="737" t="n"/>
      <c r="Y387" s="737" t="n"/>
      <c r="Z387" s="737" t="n"/>
      <c r="AA387" s="737" t="n"/>
      <c r="AB387" s="737" t="n"/>
      <c r="AC387" s="737" t="n"/>
      <c r="AD387" s="737" t="n"/>
      <c r="AE387" s="737" t="n"/>
      <c r="AF387" s="737" t="n"/>
      <c r="AG387" s="737" t="n"/>
      <c r="AH387" s="737" t="n"/>
      <c r="AI387" s="737" t="n"/>
      <c r="AJ387" s="737" t="n"/>
      <c r="AK387" s="588" t="n"/>
      <c r="AL387" s="588" t="n"/>
      <c r="AM387" s="588" t="n"/>
      <c r="AN387" s="588" t="n"/>
      <c r="AO387" s="588" t="n"/>
      <c r="AP387" s="588" t="n"/>
      <c r="AQ387" s="588" t="n"/>
      <c r="AR387" s="588" t="n"/>
      <c r="AS387" s="588" t="n"/>
      <c r="AT387" s="588" t="n"/>
      <c r="AU387" s="588" t="n"/>
      <c r="AV387" s="588" t="n"/>
      <c r="AW387" s="588" t="n"/>
      <c r="AX387" s="588" t="n"/>
      <c r="AY387" s="588" t="n"/>
      <c r="AZ387" s="588" t="n"/>
      <c r="BA387" s="588" t="n"/>
      <c r="BB387" s="588" t="n"/>
      <c r="BC387" s="588" t="n"/>
      <c r="BD387" s="588" t="n"/>
      <c r="BE387" s="588" t="n"/>
      <c r="BF387" s="588" t="n"/>
      <c r="BG387" s="588" t="n"/>
      <c r="BH387" s="588" t="n"/>
      <c r="BI387" s="588" t="n"/>
      <c r="BJ387" s="588" t="n"/>
      <c r="BK387" s="588" t="n"/>
      <c r="BL387" s="588" t="n"/>
      <c r="BM387" s="588" t="n"/>
      <c r="BN387" s="588" t="n"/>
      <c r="BO387" s="588" t="n"/>
      <c r="BP387" s="588" t="n"/>
      <c r="BQ387" s="588" t="n"/>
      <c r="BR387" s="588" t="n"/>
      <c r="BS387" s="588" t="n"/>
      <c r="BT387" s="588" t="n"/>
      <c r="BU387" s="588" t="n"/>
      <c r="BV387" s="588" t="n"/>
      <c r="BW387" s="588" t="n"/>
      <c r="BX387" s="588" t="n"/>
      <c r="BY387" s="588" t="n"/>
      <c r="BZ387" s="588" t="n"/>
      <c r="CA387" s="588" t="n"/>
      <c r="CB387" s="588" t="n"/>
      <c r="CC387" s="588" t="n"/>
      <c r="CD387" s="588" t="n"/>
      <c r="CE387" s="588" t="n"/>
      <c r="CF387" s="588" t="n"/>
      <c r="CG387" s="588" t="n"/>
      <c r="CH387" s="588" t="n"/>
      <c r="CI387" s="588" t="n"/>
      <c r="CJ387" s="588" t="n"/>
      <c r="CK387" s="588" t="n"/>
      <c r="CL387" s="588" t="n"/>
      <c r="CM387" s="588" t="n"/>
      <c r="CN387" s="588" t="n"/>
      <c r="CO387" s="588" t="n"/>
      <c r="CP387" s="588" t="n"/>
      <c r="CQ387" s="588" t="n"/>
      <c r="CR387" s="588" t="n"/>
      <c r="CS387" s="588" t="n"/>
      <c r="CT387" s="588" t="n"/>
      <c r="CU387" s="588" t="n"/>
      <c r="CV387" s="588" t="n"/>
      <c r="CW387" s="588" t="n"/>
      <c r="CX387" s="588" t="n"/>
      <c r="CY387" s="588" t="n"/>
      <c r="CZ387" s="588" t="n"/>
      <c r="DA387" s="588" t="n"/>
      <c r="DB387" s="588" t="n"/>
      <c r="DC387" s="588" t="n"/>
      <c r="DD387" s="588" t="n"/>
      <c r="DE387" s="588" t="n"/>
      <c r="DF387" s="588" t="n"/>
      <c r="DG387" s="588" t="n"/>
      <c r="DH387" s="588" t="n"/>
      <c r="DI387" s="588" t="n"/>
      <c r="DJ387" s="588" t="n"/>
      <c r="DK387" s="588" t="n"/>
      <c r="DL387" s="588" t="n"/>
      <c r="DM387" s="588" t="n"/>
      <c r="DN387" s="588" t="n"/>
      <c r="DO387" s="588" t="n"/>
      <c r="DP387" s="588" t="n"/>
      <c r="DQ387" s="588" t="n"/>
      <c r="DR387" s="588" t="n"/>
      <c r="DS387" s="588" t="n"/>
      <c r="DT387" s="588" t="n"/>
      <c r="DU387" s="588" t="n"/>
    </row>
    <row r="388">
      <c r="A388" s="737" t="n"/>
      <c r="B388" s="737" t="n"/>
      <c r="C388" s="737" t="n"/>
      <c r="D388" s="737" t="n"/>
      <c r="E388" s="737" t="n"/>
      <c r="F388" s="737" t="n"/>
      <c r="G388" s="737" t="n"/>
      <c r="H388" s="737" t="n"/>
      <c r="I388" s="737" t="n"/>
      <c r="J388" s="737" t="n"/>
      <c r="K388" s="737" t="n"/>
      <c r="L388" s="737" t="n"/>
      <c r="M388" s="737" t="n"/>
      <c r="N388" s="737" t="n"/>
      <c r="O388" s="737" t="n"/>
      <c r="P388" s="737" t="n"/>
      <c r="Q388" s="737" t="n"/>
      <c r="R388" s="737" t="n"/>
      <c r="S388" s="737" t="n"/>
      <c r="T388" s="737" t="n"/>
      <c r="U388" s="737" t="n"/>
      <c r="V388" s="737" t="n"/>
      <c r="W388" s="737" t="n"/>
      <c r="X388" s="737" t="n"/>
      <c r="Y388" s="737" t="n"/>
      <c r="Z388" s="737" t="n"/>
      <c r="AA388" s="737" t="n"/>
      <c r="AB388" s="737" t="n"/>
      <c r="AC388" s="737" t="n"/>
      <c r="AD388" s="737" t="n"/>
      <c r="AE388" s="737" t="n"/>
      <c r="AF388" s="737" t="n"/>
      <c r="AG388" s="737" t="n"/>
      <c r="AH388" s="737" t="n"/>
      <c r="AI388" s="737" t="n"/>
      <c r="AJ388" s="737" t="n"/>
      <c r="AK388" s="588" t="n"/>
      <c r="AL388" s="588" t="n"/>
      <c r="AM388" s="588" t="n"/>
      <c r="AN388" s="588" t="n"/>
      <c r="AO388" s="588" t="n"/>
      <c r="AP388" s="588" t="n"/>
      <c r="AQ388" s="588" t="n"/>
      <c r="AR388" s="588" t="n"/>
      <c r="AS388" s="588" t="n"/>
      <c r="AT388" s="588" t="n"/>
      <c r="AU388" s="588" t="n"/>
      <c r="AV388" s="588" t="n"/>
      <c r="AW388" s="588" t="n"/>
      <c r="AX388" s="588" t="n"/>
      <c r="AY388" s="588" t="n"/>
      <c r="AZ388" s="588" t="n"/>
      <c r="BA388" s="588" t="n"/>
      <c r="BB388" s="588" t="n"/>
      <c r="BC388" s="588" t="n"/>
      <c r="BD388" s="588" t="n"/>
      <c r="BE388" s="588" t="n"/>
      <c r="BF388" s="588" t="n"/>
      <c r="BG388" s="588" t="n"/>
      <c r="BH388" s="588" t="n"/>
      <c r="BI388" s="588" t="n"/>
      <c r="BJ388" s="588" t="n"/>
      <c r="BK388" s="588" t="n"/>
      <c r="BL388" s="588" t="n"/>
      <c r="BM388" s="588" t="n"/>
      <c r="BN388" s="588" t="n"/>
      <c r="BO388" s="588" t="n"/>
      <c r="BP388" s="588" t="n"/>
      <c r="BQ388" s="588" t="n"/>
      <c r="BR388" s="588" t="n"/>
      <c r="BS388" s="588" t="n"/>
      <c r="BT388" s="588" t="n"/>
      <c r="BU388" s="588" t="n"/>
      <c r="BV388" s="588" t="n"/>
      <c r="BW388" s="588" t="n"/>
      <c r="BX388" s="588" t="n"/>
      <c r="BY388" s="588" t="n"/>
      <c r="BZ388" s="588" t="n"/>
      <c r="CA388" s="588" t="n"/>
      <c r="CB388" s="588" t="n"/>
      <c r="CC388" s="588" t="n"/>
      <c r="CD388" s="588" t="n"/>
      <c r="CE388" s="588" t="n"/>
      <c r="CF388" s="588" t="n"/>
      <c r="CG388" s="588" t="n"/>
      <c r="CH388" s="588" t="n"/>
      <c r="CI388" s="588" t="n"/>
      <c r="CJ388" s="588" t="n"/>
      <c r="CK388" s="588" t="n"/>
      <c r="CL388" s="588" t="n"/>
      <c r="CM388" s="588" t="n"/>
      <c r="CN388" s="588" t="n"/>
      <c r="CO388" s="588" t="n"/>
      <c r="CP388" s="588" t="n"/>
      <c r="CQ388" s="588" t="n"/>
      <c r="CR388" s="588" t="n"/>
      <c r="CS388" s="588" t="n"/>
      <c r="CT388" s="588" t="n"/>
      <c r="CU388" s="588" t="n"/>
      <c r="CV388" s="588" t="n"/>
      <c r="CW388" s="588" t="n"/>
      <c r="CX388" s="588" t="n"/>
      <c r="CY388" s="588" t="n"/>
      <c r="CZ388" s="588" t="n"/>
      <c r="DA388" s="588" t="n"/>
      <c r="DB388" s="588" t="n"/>
      <c r="DC388" s="588" t="n"/>
      <c r="DD388" s="588" t="n"/>
      <c r="DE388" s="588" t="n"/>
      <c r="DF388" s="588" t="n"/>
      <c r="DG388" s="588" t="n"/>
      <c r="DH388" s="588" t="n"/>
      <c r="DI388" s="588" t="n"/>
      <c r="DJ388" s="588" t="n"/>
      <c r="DK388" s="588" t="n"/>
      <c r="DL388" s="588" t="n"/>
      <c r="DM388" s="588" t="n"/>
      <c r="DN388" s="588" t="n"/>
      <c r="DO388" s="588" t="n"/>
      <c r="DP388" s="588" t="n"/>
      <c r="DQ388" s="588" t="n"/>
      <c r="DR388" s="588" t="n"/>
      <c r="DS388" s="588" t="n"/>
      <c r="DT388" s="588" t="n"/>
      <c r="DU388" s="588" t="n"/>
    </row>
    <row r="389">
      <c r="A389" s="737" t="n"/>
      <c r="B389" s="737" t="n"/>
      <c r="C389" s="737" t="n"/>
      <c r="D389" s="737" t="n"/>
      <c r="E389" s="737" t="n"/>
      <c r="F389" s="737" t="n"/>
      <c r="G389" s="737" t="n"/>
      <c r="H389" s="737" t="n"/>
      <c r="I389" s="737" t="n"/>
      <c r="J389" s="737" t="n"/>
      <c r="K389" s="737" t="n"/>
      <c r="L389" s="737" t="n"/>
      <c r="M389" s="737" t="n"/>
      <c r="N389" s="737" t="n"/>
      <c r="O389" s="737" t="n"/>
      <c r="P389" s="737" t="n"/>
      <c r="Q389" s="737" t="n"/>
      <c r="R389" s="737" t="n"/>
      <c r="S389" s="737" t="n"/>
      <c r="T389" s="737" t="n"/>
      <c r="U389" s="737" t="n"/>
      <c r="V389" s="737" t="n"/>
      <c r="W389" s="737" t="n"/>
      <c r="X389" s="737" t="n"/>
      <c r="Y389" s="737" t="n"/>
      <c r="Z389" s="737" t="n"/>
      <c r="AA389" s="737" t="n"/>
      <c r="AB389" s="737" t="n"/>
      <c r="AC389" s="737" t="n"/>
      <c r="AD389" s="737" t="n"/>
      <c r="AE389" s="737" t="n"/>
      <c r="AF389" s="737" t="n"/>
      <c r="AG389" s="737" t="n"/>
      <c r="AH389" s="737" t="n"/>
      <c r="AI389" s="737" t="n"/>
      <c r="AJ389" s="737" t="n"/>
      <c r="AK389" s="588" t="n"/>
      <c r="AL389" s="588" t="n"/>
      <c r="AM389" s="588" t="n"/>
      <c r="AN389" s="588" t="n"/>
      <c r="AO389" s="588" t="n"/>
      <c r="AP389" s="588" t="n"/>
      <c r="AQ389" s="588" t="n"/>
      <c r="AR389" s="588" t="n"/>
      <c r="AS389" s="588" t="n"/>
      <c r="AT389" s="588" t="n"/>
      <c r="AU389" s="588" t="n"/>
      <c r="AV389" s="588" t="n"/>
      <c r="AW389" s="588" t="n"/>
      <c r="AX389" s="588" t="n"/>
      <c r="AY389" s="588" t="n"/>
      <c r="AZ389" s="588" t="n"/>
      <c r="BA389" s="588" t="n"/>
      <c r="BB389" s="588" t="n"/>
      <c r="BC389" s="588" t="n"/>
      <c r="BD389" s="588" t="n"/>
      <c r="BE389" s="588" t="n"/>
      <c r="BF389" s="588" t="n"/>
      <c r="BG389" s="588" t="n"/>
      <c r="BH389" s="588" t="n"/>
      <c r="BI389" s="588" t="n"/>
      <c r="BJ389" s="588" t="n"/>
      <c r="BK389" s="588" t="n"/>
      <c r="BL389" s="588" t="n"/>
      <c r="BM389" s="588" t="n"/>
      <c r="BN389" s="588" t="n"/>
      <c r="BO389" s="588" t="n"/>
      <c r="BP389" s="588" t="n"/>
      <c r="BQ389" s="588" t="n"/>
      <c r="BR389" s="588" t="n"/>
      <c r="BS389" s="588" t="n"/>
      <c r="BT389" s="588" t="n"/>
      <c r="BU389" s="588" t="n"/>
      <c r="BV389" s="588" t="n"/>
      <c r="BW389" s="588" t="n"/>
      <c r="BX389" s="588" t="n"/>
      <c r="BY389" s="588" t="n"/>
      <c r="BZ389" s="588" t="n"/>
      <c r="CA389" s="588" t="n"/>
      <c r="CB389" s="588" t="n"/>
      <c r="CC389" s="588" t="n"/>
      <c r="CD389" s="588" t="n"/>
      <c r="CE389" s="588" t="n"/>
      <c r="CF389" s="588" t="n"/>
      <c r="CG389" s="588" t="n"/>
      <c r="CH389" s="588" t="n"/>
      <c r="CI389" s="588" t="n"/>
      <c r="CJ389" s="588" t="n"/>
      <c r="CK389" s="588" t="n"/>
      <c r="CL389" s="588" t="n"/>
      <c r="CM389" s="588" t="n"/>
      <c r="CN389" s="588" t="n"/>
      <c r="CO389" s="588" t="n"/>
      <c r="CP389" s="588" t="n"/>
      <c r="CQ389" s="588" t="n"/>
      <c r="CR389" s="588" t="n"/>
      <c r="CS389" s="588" t="n"/>
      <c r="CT389" s="588" t="n"/>
      <c r="CU389" s="588" t="n"/>
      <c r="CV389" s="588" t="n"/>
      <c r="CW389" s="588" t="n"/>
      <c r="CX389" s="588" t="n"/>
      <c r="CY389" s="588" t="n"/>
      <c r="CZ389" s="588" t="n"/>
      <c r="DA389" s="588" t="n"/>
      <c r="DB389" s="588" t="n"/>
      <c r="DC389" s="588" t="n"/>
      <c r="DD389" s="588" t="n"/>
      <c r="DE389" s="588" t="n"/>
      <c r="DF389" s="588" t="n"/>
      <c r="DG389" s="588" t="n"/>
      <c r="DH389" s="588" t="n"/>
      <c r="DI389" s="588" t="n"/>
      <c r="DJ389" s="588" t="n"/>
      <c r="DK389" s="588" t="n"/>
      <c r="DL389" s="588" t="n"/>
      <c r="DM389" s="588" t="n"/>
      <c r="DN389" s="588" t="n"/>
      <c r="DO389" s="588" t="n"/>
      <c r="DP389" s="588" t="n"/>
      <c r="DQ389" s="588" t="n"/>
      <c r="DR389" s="588" t="n"/>
      <c r="DS389" s="588" t="n"/>
      <c r="DT389" s="588" t="n"/>
      <c r="DU389" s="588" t="n"/>
    </row>
    <row r="390">
      <c r="A390" s="737" t="n"/>
      <c r="B390" s="737" t="n"/>
      <c r="C390" s="737" t="n"/>
      <c r="D390" s="737" t="n"/>
      <c r="E390" s="737" t="n"/>
      <c r="F390" s="737" t="n"/>
      <c r="G390" s="737" t="n"/>
      <c r="H390" s="737" t="n"/>
      <c r="I390" s="737" t="n"/>
      <c r="J390" s="737" t="n"/>
      <c r="K390" s="737" t="n"/>
      <c r="L390" s="737" t="n"/>
      <c r="M390" s="737" t="n"/>
      <c r="N390" s="737" t="n"/>
      <c r="O390" s="737" t="n"/>
      <c r="P390" s="737" t="n"/>
      <c r="Q390" s="737" t="n"/>
      <c r="R390" s="737" t="n"/>
      <c r="S390" s="737" t="n"/>
      <c r="T390" s="737" t="n"/>
      <c r="U390" s="737" t="n"/>
      <c r="V390" s="737" t="n"/>
      <c r="W390" s="737" t="n"/>
      <c r="X390" s="737" t="n"/>
      <c r="Y390" s="737" t="n"/>
      <c r="Z390" s="737" t="n"/>
      <c r="AA390" s="737" t="n"/>
      <c r="AB390" s="737" t="n"/>
      <c r="AC390" s="737" t="n"/>
      <c r="AD390" s="737" t="n"/>
      <c r="AE390" s="737" t="n"/>
      <c r="AF390" s="737" t="n"/>
      <c r="AG390" s="737" t="n"/>
      <c r="AH390" s="737" t="n"/>
      <c r="AI390" s="737" t="n"/>
      <c r="AJ390" s="737" t="n"/>
      <c r="AK390" s="588" t="n"/>
      <c r="AL390" s="588" t="n"/>
      <c r="AM390" s="588" t="n"/>
      <c r="AN390" s="588" t="n"/>
      <c r="AO390" s="588" t="n"/>
      <c r="AP390" s="588" t="n"/>
      <c r="AQ390" s="588" t="n"/>
      <c r="AR390" s="588" t="n"/>
      <c r="AS390" s="588" t="n"/>
      <c r="AT390" s="588" t="n"/>
      <c r="AU390" s="588" t="n"/>
      <c r="AV390" s="588" t="n"/>
      <c r="AW390" s="588" t="n"/>
      <c r="AX390" s="588" t="n"/>
      <c r="AY390" s="588" t="n"/>
      <c r="AZ390" s="588" t="n"/>
      <c r="BA390" s="588" t="n"/>
      <c r="BB390" s="588" t="n"/>
      <c r="BC390" s="588" t="n"/>
      <c r="BD390" s="588" t="n"/>
      <c r="BE390" s="588" t="n"/>
      <c r="BF390" s="588" t="n"/>
      <c r="BG390" s="588" t="n"/>
      <c r="BH390" s="588" t="n"/>
      <c r="BI390" s="588" t="n"/>
      <c r="BJ390" s="588" t="n"/>
      <c r="BK390" s="588" t="n"/>
      <c r="BL390" s="588" t="n"/>
      <c r="BM390" s="588" t="n"/>
      <c r="BN390" s="588" t="n"/>
      <c r="BO390" s="588" t="n"/>
      <c r="BP390" s="588" t="n"/>
      <c r="BQ390" s="588" t="n"/>
      <c r="BR390" s="588" t="n"/>
      <c r="BS390" s="588" t="n"/>
      <c r="BT390" s="588" t="n"/>
      <c r="BU390" s="588" t="n"/>
      <c r="BV390" s="588" t="n"/>
      <c r="BW390" s="588" t="n"/>
      <c r="BX390" s="588" t="n"/>
      <c r="BY390" s="588" t="n"/>
      <c r="BZ390" s="588" t="n"/>
      <c r="CA390" s="588" t="n"/>
      <c r="CB390" s="588" t="n"/>
      <c r="CC390" s="588" t="n"/>
      <c r="CD390" s="588" t="n"/>
      <c r="CE390" s="588" t="n"/>
      <c r="CF390" s="588" t="n"/>
      <c r="CG390" s="588" t="n"/>
      <c r="CH390" s="588" t="n"/>
      <c r="CI390" s="588" t="n"/>
      <c r="CJ390" s="588" t="n"/>
      <c r="CK390" s="588" t="n"/>
      <c r="CL390" s="588" t="n"/>
      <c r="CM390" s="588" t="n"/>
      <c r="CN390" s="588" t="n"/>
      <c r="CO390" s="588" t="n"/>
      <c r="CP390" s="588" t="n"/>
      <c r="CQ390" s="588" t="n"/>
      <c r="CR390" s="588" t="n"/>
      <c r="CS390" s="588" t="n"/>
      <c r="CT390" s="588" t="n"/>
      <c r="CU390" s="588" t="n"/>
      <c r="CV390" s="588" t="n"/>
      <c r="CW390" s="588" t="n"/>
      <c r="CX390" s="588" t="n"/>
      <c r="CY390" s="588" t="n"/>
      <c r="CZ390" s="588" t="n"/>
      <c r="DA390" s="588" t="n"/>
      <c r="DB390" s="588" t="n"/>
      <c r="DC390" s="588" t="n"/>
      <c r="DD390" s="588" t="n"/>
      <c r="DE390" s="588" t="n"/>
      <c r="DF390" s="588" t="n"/>
      <c r="DG390" s="588" t="n"/>
      <c r="DH390" s="588" t="n"/>
      <c r="DI390" s="588" t="n"/>
      <c r="DJ390" s="588" t="n"/>
      <c r="DK390" s="588" t="n"/>
      <c r="DL390" s="588" t="n"/>
      <c r="DM390" s="588" t="n"/>
      <c r="DN390" s="588" t="n"/>
      <c r="DO390" s="588" t="n"/>
      <c r="DP390" s="588" t="n"/>
      <c r="DQ390" s="588" t="n"/>
      <c r="DR390" s="588" t="n"/>
      <c r="DS390" s="588" t="n"/>
      <c r="DT390" s="588" t="n"/>
      <c r="DU390" s="588" t="n"/>
    </row>
    <row r="391">
      <c r="A391" s="737" t="n"/>
      <c r="B391" s="737" t="n"/>
      <c r="C391" s="737" t="n"/>
      <c r="D391" s="737" t="n"/>
      <c r="E391" s="737" t="n"/>
      <c r="F391" s="737" t="n"/>
      <c r="G391" s="737" t="n"/>
      <c r="H391" s="737" t="n"/>
      <c r="I391" s="737" t="n"/>
      <c r="J391" s="737" t="n"/>
      <c r="K391" s="737" t="n"/>
      <c r="L391" s="737" t="n"/>
      <c r="M391" s="737" t="n"/>
      <c r="N391" s="737" t="n"/>
      <c r="O391" s="737" t="n"/>
      <c r="P391" s="737" t="n"/>
      <c r="Q391" s="737" t="n"/>
      <c r="R391" s="737" t="n"/>
      <c r="S391" s="737" t="n"/>
      <c r="T391" s="737" t="n"/>
      <c r="U391" s="737" t="n"/>
      <c r="V391" s="737" t="n"/>
      <c r="W391" s="737" t="n"/>
      <c r="X391" s="737" t="n"/>
      <c r="Y391" s="737" t="n"/>
      <c r="Z391" s="737" t="n"/>
      <c r="AA391" s="737" t="n"/>
      <c r="AB391" s="737" t="n"/>
      <c r="AC391" s="737" t="n"/>
      <c r="AD391" s="737" t="n"/>
      <c r="AE391" s="737" t="n"/>
      <c r="AF391" s="737" t="n"/>
      <c r="AG391" s="737" t="n"/>
      <c r="AH391" s="737" t="n"/>
      <c r="AI391" s="737" t="n"/>
      <c r="AJ391" s="737" t="n"/>
      <c r="AK391" s="588" t="n"/>
      <c r="AL391" s="588" t="n"/>
      <c r="AM391" s="588" t="n"/>
      <c r="AN391" s="588" t="n"/>
      <c r="AO391" s="588" t="n"/>
      <c r="AP391" s="588" t="n"/>
      <c r="AQ391" s="588" t="n"/>
      <c r="AR391" s="588" t="n"/>
      <c r="AS391" s="588" t="n"/>
      <c r="AT391" s="588" t="n"/>
      <c r="AU391" s="588" t="n"/>
      <c r="AV391" s="588" t="n"/>
      <c r="AW391" s="588" t="n"/>
      <c r="AX391" s="588" t="n"/>
      <c r="AY391" s="588" t="n"/>
      <c r="AZ391" s="588" t="n"/>
      <c r="BA391" s="588" t="n"/>
      <c r="BB391" s="588" t="n"/>
      <c r="BC391" s="588" t="n"/>
      <c r="BD391" s="588" t="n"/>
      <c r="BE391" s="588" t="n"/>
      <c r="BF391" s="588" t="n"/>
      <c r="BG391" s="588" t="n"/>
      <c r="BH391" s="588" t="n"/>
      <c r="BI391" s="588" t="n"/>
      <c r="BJ391" s="588" t="n"/>
      <c r="BK391" s="588" t="n"/>
      <c r="BL391" s="588" t="n"/>
      <c r="BM391" s="588" t="n"/>
      <c r="BN391" s="588" t="n"/>
      <c r="BO391" s="588" t="n"/>
      <c r="BP391" s="588" t="n"/>
      <c r="BQ391" s="588" t="n"/>
      <c r="BR391" s="588" t="n"/>
      <c r="BS391" s="588" t="n"/>
      <c r="BT391" s="588" t="n"/>
      <c r="BU391" s="588" t="n"/>
      <c r="BV391" s="588" t="n"/>
      <c r="BW391" s="588" t="n"/>
      <c r="BX391" s="588" t="n"/>
      <c r="BY391" s="588" t="n"/>
      <c r="BZ391" s="588" t="n"/>
      <c r="CA391" s="588" t="n"/>
      <c r="CB391" s="588" t="n"/>
      <c r="CC391" s="588" t="n"/>
      <c r="CD391" s="588" t="n"/>
      <c r="CE391" s="588" t="n"/>
      <c r="CF391" s="588" t="n"/>
      <c r="CG391" s="588" t="n"/>
      <c r="CH391" s="588" t="n"/>
      <c r="CI391" s="588" t="n"/>
      <c r="CJ391" s="588" t="n"/>
      <c r="CK391" s="588" t="n"/>
      <c r="CL391" s="588" t="n"/>
      <c r="CM391" s="588" t="n"/>
      <c r="CN391" s="588" t="n"/>
      <c r="CO391" s="588" t="n"/>
      <c r="CP391" s="588" t="n"/>
      <c r="CQ391" s="588" t="n"/>
      <c r="CR391" s="588" t="n"/>
      <c r="CS391" s="588" t="n"/>
      <c r="CT391" s="588" t="n"/>
      <c r="CU391" s="588" t="n"/>
      <c r="CV391" s="588" t="n"/>
      <c r="CW391" s="588" t="n"/>
      <c r="CX391" s="588" t="n"/>
      <c r="CY391" s="588" t="n"/>
      <c r="CZ391" s="588" t="n"/>
      <c r="DA391" s="588" t="n"/>
      <c r="DB391" s="588" t="n"/>
      <c r="DC391" s="588" t="n"/>
      <c r="DD391" s="588" t="n"/>
      <c r="DE391" s="588" t="n"/>
      <c r="DF391" s="588" t="n"/>
      <c r="DG391" s="588" t="n"/>
      <c r="DH391" s="588" t="n"/>
      <c r="DI391" s="588" t="n"/>
      <c r="DJ391" s="588" t="n"/>
      <c r="DK391" s="588" t="n"/>
      <c r="DL391" s="588" t="n"/>
      <c r="DM391" s="588" t="n"/>
      <c r="DN391" s="588" t="n"/>
      <c r="DO391" s="588" t="n"/>
      <c r="DP391" s="588" t="n"/>
      <c r="DQ391" s="588" t="n"/>
      <c r="DR391" s="588" t="n"/>
      <c r="DS391" s="588" t="n"/>
      <c r="DT391" s="588" t="n"/>
      <c r="DU391" s="588" t="n"/>
    </row>
    <row r="392">
      <c r="A392" s="737" t="n"/>
      <c r="B392" s="737" t="n"/>
      <c r="C392" s="737" t="n"/>
      <c r="D392" s="737" t="n"/>
      <c r="E392" s="737" t="n"/>
      <c r="F392" s="737" t="n"/>
      <c r="G392" s="737" t="n"/>
      <c r="H392" s="737" t="n"/>
      <c r="I392" s="737" t="n"/>
      <c r="J392" s="737" t="n"/>
      <c r="K392" s="737" t="n"/>
      <c r="L392" s="737" t="n"/>
      <c r="M392" s="737" t="n"/>
      <c r="N392" s="737" t="n"/>
      <c r="O392" s="737" t="n"/>
      <c r="P392" s="737" t="n"/>
      <c r="Q392" s="737" t="n"/>
      <c r="R392" s="737" t="n"/>
      <c r="S392" s="737" t="n"/>
      <c r="T392" s="737" t="n"/>
      <c r="U392" s="737" t="n"/>
      <c r="V392" s="737" t="n"/>
      <c r="W392" s="737" t="n"/>
      <c r="X392" s="737" t="n"/>
      <c r="Y392" s="737" t="n"/>
      <c r="Z392" s="737" t="n"/>
      <c r="AA392" s="737" t="n"/>
      <c r="AB392" s="737" t="n"/>
      <c r="AC392" s="737" t="n"/>
      <c r="AD392" s="737" t="n"/>
      <c r="AE392" s="737" t="n"/>
      <c r="AF392" s="737" t="n"/>
      <c r="AG392" s="737" t="n"/>
      <c r="AH392" s="737" t="n"/>
      <c r="AI392" s="737" t="n"/>
      <c r="AJ392" s="737" t="n"/>
      <c r="AK392" s="588" t="n"/>
      <c r="AL392" s="588" t="n"/>
      <c r="AM392" s="588" t="n"/>
      <c r="AN392" s="588" t="n"/>
      <c r="AO392" s="588" t="n"/>
      <c r="AP392" s="588" t="n"/>
      <c r="AQ392" s="588" t="n"/>
      <c r="AR392" s="588" t="n"/>
      <c r="AS392" s="588" t="n"/>
      <c r="AT392" s="588" t="n"/>
      <c r="AU392" s="588" t="n"/>
      <c r="AV392" s="588" t="n"/>
      <c r="AW392" s="588" t="n"/>
      <c r="AX392" s="588" t="n"/>
      <c r="AY392" s="588" t="n"/>
      <c r="AZ392" s="588" t="n"/>
      <c r="BA392" s="588" t="n"/>
      <c r="BB392" s="588" t="n"/>
      <c r="BC392" s="588" t="n"/>
      <c r="BD392" s="588" t="n"/>
      <c r="BE392" s="588" t="n"/>
      <c r="BF392" s="588" t="n"/>
      <c r="BG392" s="588" t="n"/>
      <c r="BH392" s="588" t="n"/>
      <c r="BI392" s="588" t="n"/>
      <c r="BJ392" s="588" t="n"/>
      <c r="BK392" s="588" t="n"/>
      <c r="BL392" s="588" t="n"/>
      <c r="BM392" s="588" t="n"/>
      <c r="BN392" s="588" t="n"/>
      <c r="BO392" s="588" t="n"/>
      <c r="BP392" s="588" t="n"/>
      <c r="BQ392" s="588" t="n"/>
      <c r="BR392" s="588" t="n"/>
      <c r="BS392" s="588" t="n"/>
      <c r="BT392" s="588" t="n"/>
      <c r="BU392" s="588" t="n"/>
      <c r="BV392" s="588" t="n"/>
      <c r="BW392" s="588" t="n"/>
      <c r="BX392" s="588" t="n"/>
      <c r="BY392" s="588" t="n"/>
      <c r="BZ392" s="588" t="n"/>
      <c r="CA392" s="588" t="n"/>
      <c r="CB392" s="588" t="n"/>
      <c r="CC392" s="588" t="n"/>
      <c r="CD392" s="588" t="n"/>
      <c r="CE392" s="588" t="n"/>
      <c r="CF392" s="588" t="n"/>
      <c r="CG392" s="588" t="n"/>
      <c r="CH392" s="588" t="n"/>
      <c r="CI392" s="588" t="n"/>
      <c r="CJ392" s="588" t="n"/>
      <c r="CK392" s="588" t="n"/>
      <c r="CL392" s="588" t="n"/>
      <c r="CM392" s="588" t="n"/>
      <c r="CN392" s="588" t="n"/>
      <c r="CO392" s="588" t="n"/>
      <c r="CP392" s="588" t="n"/>
      <c r="CQ392" s="588" t="n"/>
      <c r="CR392" s="588" t="n"/>
      <c r="CS392" s="588" t="n"/>
      <c r="CT392" s="588" t="n"/>
      <c r="CU392" s="588" t="n"/>
      <c r="CV392" s="588" t="n"/>
      <c r="CW392" s="588" t="n"/>
      <c r="CX392" s="588" t="n"/>
      <c r="CY392" s="588" t="n"/>
      <c r="CZ392" s="588" t="n"/>
      <c r="DA392" s="588" t="n"/>
      <c r="DB392" s="588" t="n"/>
      <c r="DC392" s="588" t="n"/>
      <c r="DD392" s="588" t="n"/>
      <c r="DE392" s="588" t="n"/>
      <c r="DF392" s="588" t="n"/>
      <c r="DG392" s="588" t="n"/>
      <c r="DH392" s="588" t="n"/>
      <c r="DI392" s="588" t="n"/>
      <c r="DJ392" s="588" t="n"/>
      <c r="DK392" s="588" t="n"/>
      <c r="DL392" s="588" t="n"/>
      <c r="DM392" s="588" t="n"/>
      <c r="DN392" s="588" t="n"/>
      <c r="DO392" s="588" t="n"/>
      <c r="DP392" s="588" t="n"/>
      <c r="DQ392" s="588" t="n"/>
      <c r="DR392" s="588" t="n"/>
      <c r="DS392" s="588" t="n"/>
      <c r="DT392" s="588" t="n"/>
      <c r="DU392" s="588" t="n"/>
    </row>
    <row r="393">
      <c r="A393" s="737" t="n"/>
      <c r="B393" s="737" t="n"/>
      <c r="C393" s="737" t="n"/>
      <c r="D393" s="737" t="n"/>
      <c r="E393" s="737" t="n"/>
      <c r="F393" s="737" t="n"/>
      <c r="G393" s="737" t="n"/>
      <c r="H393" s="737" t="n"/>
      <c r="I393" s="737" t="n"/>
      <c r="J393" s="737" t="n"/>
      <c r="K393" s="737" t="n"/>
      <c r="L393" s="737" t="n"/>
      <c r="M393" s="737" t="n"/>
      <c r="N393" s="737" t="n"/>
      <c r="O393" s="737" t="n"/>
      <c r="P393" s="737" t="n"/>
      <c r="Q393" s="737" t="n"/>
      <c r="R393" s="737" t="n"/>
      <c r="S393" s="737" t="n"/>
      <c r="T393" s="737" t="n"/>
      <c r="U393" s="737" t="n"/>
      <c r="V393" s="737" t="n"/>
      <c r="W393" s="737" t="n"/>
      <c r="X393" s="737" t="n"/>
      <c r="Y393" s="737" t="n"/>
      <c r="Z393" s="737" t="n"/>
      <c r="AA393" s="737" t="n"/>
      <c r="AB393" s="737" t="n"/>
      <c r="AC393" s="737" t="n"/>
      <c r="AD393" s="737" t="n"/>
      <c r="AE393" s="737" t="n"/>
      <c r="AF393" s="737" t="n"/>
      <c r="AG393" s="737" t="n"/>
      <c r="AH393" s="737" t="n"/>
      <c r="AI393" s="737" t="n"/>
      <c r="AJ393" s="737" t="n"/>
      <c r="AK393" s="588" t="n"/>
      <c r="AL393" s="588" t="n"/>
      <c r="AM393" s="588" t="n"/>
      <c r="AN393" s="588" t="n"/>
      <c r="AO393" s="588" t="n"/>
      <c r="AP393" s="588" t="n"/>
      <c r="AQ393" s="588" t="n"/>
      <c r="AR393" s="588" t="n"/>
      <c r="AS393" s="588" t="n"/>
      <c r="AT393" s="588" t="n"/>
      <c r="AU393" s="588" t="n"/>
      <c r="AV393" s="588" t="n"/>
      <c r="AW393" s="588" t="n"/>
      <c r="AX393" s="588" t="n"/>
      <c r="AY393" s="588" t="n"/>
      <c r="AZ393" s="588" t="n"/>
      <c r="BA393" s="588" t="n"/>
      <c r="BB393" s="588" t="n"/>
      <c r="BC393" s="588" t="n"/>
      <c r="BD393" s="588" t="n"/>
      <c r="BE393" s="588" t="n"/>
      <c r="BF393" s="588" t="n"/>
      <c r="BG393" s="588" t="n"/>
      <c r="BH393" s="588" t="n"/>
      <c r="BI393" s="588" t="n"/>
      <c r="BJ393" s="588" t="n"/>
      <c r="BK393" s="588" t="n"/>
      <c r="BL393" s="588" t="n"/>
      <c r="BM393" s="588" t="n"/>
      <c r="BN393" s="588" t="n"/>
      <c r="BO393" s="588" t="n"/>
      <c r="BP393" s="588" t="n"/>
      <c r="BQ393" s="588" t="n"/>
      <c r="BR393" s="588" t="n"/>
      <c r="BS393" s="588" t="n"/>
      <c r="BT393" s="588" t="n"/>
      <c r="BU393" s="588" t="n"/>
      <c r="BV393" s="588" t="n"/>
      <c r="BW393" s="588" t="n"/>
      <c r="BX393" s="588" t="n"/>
      <c r="BY393" s="588" t="n"/>
      <c r="BZ393" s="588" t="n"/>
      <c r="CA393" s="588" t="n"/>
      <c r="CB393" s="588" t="n"/>
      <c r="CC393" s="588" t="n"/>
      <c r="CD393" s="588" t="n"/>
      <c r="CE393" s="588" t="n"/>
      <c r="CF393" s="588" t="n"/>
      <c r="CG393" s="588" t="n"/>
      <c r="CH393" s="588" t="n"/>
      <c r="CI393" s="588" t="n"/>
      <c r="CJ393" s="588" t="n"/>
      <c r="CK393" s="588" t="n"/>
      <c r="CL393" s="588" t="n"/>
      <c r="CM393" s="588" t="n"/>
      <c r="CN393" s="588" t="n"/>
      <c r="CO393" s="588" t="n"/>
      <c r="CP393" s="588" t="n"/>
      <c r="CQ393" s="588" t="n"/>
      <c r="CR393" s="588" t="n"/>
      <c r="CS393" s="588" t="n"/>
      <c r="CT393" s="588" t="n"/>
      <c r="CU393" s="588" t="n"/>
      <c r="CV393" s="588" t="n"/>
      <c r="CW393" s="588" t="n"/>
      <c r="CX393" s="588" t="n"/>
      <c r="CY393" s="588" t="n"/>
      <c r="CZ393" s="588" t="n"/>
      <c r="DA393" s="588" t="n"/>
      <c r="DB393" s="588" t="n"/>
      <c r="DC393" s="588" t="n"/>
      <c r="DD393" s="588" t="n"/>
      <c r="DE393" s="588" t="n"/>
      <c r="DF393" s="588" t="n"/>
      <c r="DG393" s="588" t="n"/>
      <c r="DH393" s="588" t="n"/>
      <c r="DI393" s="588" t="n"/>
      <c r="DJ393" s="588" t="n"/>
      <c r="DK393" s="588" t="n"/>
      <c r="DL393" s="588" t="n"/>
      <c r="DM393" s="588" t="n"/>
      <c r="DN393" s="588" t="n"/>
      <c r="DO393" s="588" t="n"/>
      <c r="DP393" s="588" t="n"/>
      <c r="DQ393" s="588" t="n"/>
      <c r="DR393" s="588" t="n"/>
      <c r="DS393" s="588" t="n"/>
      <c r="DT393" s="588" t="n"/>
      <c r="DU393" s="588" t="n"/>
    </row>
    <row r="394">
      <c r="A394" s="737" t="n"/>
      <c r="B394" s="737" t="n"/>
      <c r="C394" s="737" t="n"/>
      <c r="D394" s="737" t="n"/>
      <c r="E394" s="737" t="n"/>
      <c r="F394" s="737" t="n"/>
      <c r="G394" s="737" t="n"/>
      <c r="H394" s="737" t="n"/>
      <c r="I394" s="737" t="n"/>
      <c r="J394" s="737" t="n"/>
      <c r="K394" s="737" t="n"/>
      <c r="L394" s="737" t="n"/>
      <c r="M394" s="737" t="n"/>
      <c r="N394" s="737" t="n"/>
      <c r="O394" s="737" t="n"/>
      <c r="P394" s="737" t="n"/>
      <c r="Q394" s="737" t="n"/>
      <c r="R394" s="737" t="n"/>
      <c r="S394" s="737" t="n"/>
      <c r="T394" s="737" t="n"/>
      <c r="U394" s="737" t="n"/>
      <c r="V394" s="737" t="n"/>
      <c r="W394" s="737" t="n"/>
      <c r="X394" s="737" t="n"/>
      <c r="Y394" s="737" t="n"/>
      <c r="Z394" s="737" t="n"/>
      <c r="AA394" s="737" t="n"/>
      <c r="AB394" s="737" t="n"/>
      <c r="AC394" s="737" t="n"/>
      <c r="AD394" s="737" t="n"/>
      <c r="AE394" s="737" t="n"/>
      <c r="AF394" s="737" t="n"/>
      <c r="AG394" s="737" t="n"/>
      <c r="AH394" s="737" t="n"/>
      <c r="AI394" s="737" t="n"/>
      <c r="AJ394" s="737" t="n"/>
      <c r="AK394" s="588" t="n"/>
      <c r="AL394" s="588" t="n"/>
      <c r="AM394" s="588" t="n"/>
      <c r="AN394" s="588" t="n"/>
      <c r="AO394" s="588" t="n"/>
      <c r="AP394" s="588" t="n"/>
      <c r="AQ394" s="588" t="n"/>
      <c r="AR394" s="588" t="n"/>
      <c r="AS394" s="588" t="n"/>
      <c r="AT394" s="588" t="n"/>
      <c r="AU394" s="588" t="n"/>
      <c r="AV394" s="588" t="n"/>
      <c r="AW394" s="588" t="n"/>
      <c r="AX394" s="588" t="n"/>
      <c r="AY394" s="588" t="n"/>
      <c r="AZ394" s="588" t="n"/>
      <c r="BA394" s="588" t="n"/>
      <c r="BB394" s="588" t="n"/>
      <c r="BC394" s="588" t="n"/>
      <c r="BD394" s="588" t="n"/>
      <c r="BE394" s="588" t="n"/>
      <c r="BF394" s="588" t="n"/>
      <c r="BG394" s="588" t="n"/>
      <c r="BH394" s="588" t="n"/>
      <c r="BI394" s="588" t="n"/>
      <c r="BJ394" s="588" t="n"/>
      <c r="BK394" s="588" t="n"/>
      <c r="BL394" s="588" t="n"/>
      <c r="BM394" s="588" t="n"/>
      <c r="BN394" s="588" t="n"/>
      <c r="BO394" s="588" t="n"/>
      <c r="BP394" s="588" t="n"/>
      <c r="BQ394" s="588" t="n"/>
      <c r="BR394" s="588" t="n"/>
      <c r="BS394" s="588" t="n"/>
      <c r="BT394" s="588" t="n"/>
      <c r="BU394" s="588" t="n"/>
      <c r="BV394" s="588" t="n"/>
      <c r="BW394" s="588" t="n"/>
      <c r="BX394" s="588" t="n"/>
      <c r="BY394" s="588" t="n"/>
      <c r="BZ394" s="588" t="n"/>
      <c r="CA394" s="588" t="n"/>
      <c r="CB394" s="588" t="n"/>
      <c r="CC394" s="588" t="n"/>
      <c r="CD394" s="588" t="n"/>
      <c r="CE394" s="588" t="n"/>
      <c r="CF394" s="588" t="n"/>
      <c r="CG394" s="588" t="n"/>
      <c r="CH394" s="588" t="n"/>
      <c r="CI394" s="588" t="n"/>
      <c r="CJ394" s="588" t="n"/>
      <c r="CK394" s="588" t="n"/>
      <c r="CL394" s="588" t="n"/>
      <c r="CM394" s="588" t="n"/>
      <c r="CN394" s="588" t="n"/>
      <c r="CO394" s="588" t="n"/>
      <c r="CP394" s="588" t="n"/>
      <c r="CQ394" s="588" t="n"/>
      <c r="CR394" s="588" t="n"/>
      <c r="CS394" s="588" t="n"/>
      <c r="CT394" s="588" t="n"/>
      <c r="CU394" s="588" t="n"/>
      <c r="CV394" s="588" t="n"/>
      <c r="CW394" s="588" t="n"/>
      <c r="CX394" s="588" t="n"/>
      <c r="CY394" s="588" t="n"/>
      <c r="CZ394" s="588" t="n"/>
      <c r="DA394" s="588" t="n"/>
      <c r="DB394" s="588" t="n"/>
      <c r="DC394" s="588" t="n"/>
      <c r="DD394" s="588" t="n"/>
      <c r="DE394" s="588" t="n"/>
      <c r="DF394" s="588" t="n"/>
      <c r="DG394" s="588" t="n"/>
      <c r="DH394" s="588" t="n"/>
      <c r="DI394" s="588" t="n"/>
      <c r="DJ394" s="588" t="n"/>
      <c r="DK394" s="588" t="n"/>
      <c r="DL394" s="588" t="n"/>
      <c r="DM394" s="588" t="n"/>
      <c r="DN394" s="588" t="n"/>
      <c r="DO394" s="588" t="n"/>
      <c r="DP394" s="588" t="n"/>
      <c r="DQ394" s="588" t="n"/>
      <c r="DR394" s="588" t="n"/>
      <c r="DS394" s="588" t="n"/>
      <c r="DT394" s="588" t="n"/>
      <c r="DU394" s="588" t="n"/>
    </row>
    <row r="395">
      <c r="A395" s="737" t="n"/>
      <c r="B395" s="737" t="n"/>
      <c r="C395" s="737" t="n"/>
      <c r="D395" s="737" t="n"/>
      <c r="E395" s="737" t="n"/>
      <c r="F395" s="737" t="n"/>
      <c r="G395" s="737" t="n"/>
      <c r="H395" s="737" t="n"/>
      <c r="I395" s="737" t="n"/>
      <c r="J395" s="737" t="n"/>
      <c r="K395" s="737" t="n"/>
      <c r="L395" s="737" t="n"/>
      <c r="M395" s="737" t="n"/>
      <c r="N395" s="737" t="n"/>
      <c r="O395" s="737" t="n"/>
      <c r="P395" s="737" t="n"/>
      <c r="Q395" s="737" t="n"/>
      <c r="R395" s="737" t="n"/>
      <c r="S395" s="737" t="n"/>
      <c r="T395" s="737" t="n"/>
      <c r="U395" s="737" t="n"/>
      <c r="V395" s="737" t="n"/>
      <c r="W395" s="737" t="n"/>
      <c r="X395" s="737" t="n"/>
      <c r="Y395" s="737" t="n"/>
      <c r="Z395" s="737" t="n"/>
      <c r="AA395" s="737" t="n"/>
      <c r="AB395" s="737" t="n"/>
      <c r="AC395" s="737" t="n"/>
      <c r="AD395" s="737" t="n"/>
      <c r="AE395" s="737" t="n"/>
      <c r="AF395" s="737" t="n"/>
      <c r="AG395" s="737" t="n"/>
      <c r="AH395" s="737" t="n"/>
      <c r="AI395" s="737" t="n"/>
      <c r="AJ395" s="737" t="n"/>
      <c r="AK395" s="588" t="n"/>
      <c r="AL395" s="588" t="n"/>
      <c r="AM395" s="588" t="n"/>
      <c r="AN395" s="588" t="n"/>
      <c r="AO395" s="588" t="n"/>
      <c r="AP395" s="588" t="n"/>
      <c r="AQ395" s="588" t="n"/>
      <c r="AR395" s="588" t="n"/>
      <c r="AS395" s="588" t="n"/>
      <c r="AT395" s="588" t="n"/>
      <c r="AU395" s="588" t="n"/>
      <c r="AV395" s="588" t="n"/>
      <c r="AW395" s="588" t="n"/>
      <c r="AX395" s="588" t="n"/>
      <c r="AY395" s="588" t="n"/>
      <c r="AZ395" s="588" t="n"/>
      <c r="BA395" s="588" t="n"/>
      <c r="BB395" s="588" t="n"/>
      <c r="BC395" s="588" t="n"/>
      <c r="BD395" s="588" t="n"/>
      <c r="BE395" s="588" t="n"/>
      <c r="BF395" s="588" t="n"/>
      <c r="BG395" s="588" t="n"/>
      <c r="BH395" s="588" t="n"/>
      <c r="BI395" s="588" t="n"/>
      <c r="BJ395" s="588" t="n"/>
      <c r="BK395" s="588" t="n"/>
      <c r="BL395" s="588" t="n"/>
      <c r="BM395" s="588" t="n"/>
      <c r="BN395" s="588" t="n"/>
      <c r="BO395" s="588" t="n"/>
      <c r="BP395" s="588" t="n"/>
      <c r="BQ395" s="588" t="n"/>
      <c r="BR395" s="588" t="n"/>
      <c r="BS395" s="588" t="n"/>
      <c r="BT395" s="588" t="n"/>
      <c r="BU395" s="588" t="n"/>
      <c r="BV395" s="588" t="n"/>
      <c r="BW395" s="588" t="n"/>
      <c r="BX395" s="588" t="n"/>
      <c r="BY395" s="588" t="n"/>
      <c r="BZ395" s="588" t="n"/>
      <c r="CA395" s="588" t="n"/>
      <c r="CB395" s="588" t="n"/>
      <c r="CC395" s="588" t="n"/>
      <c r="CD395" s="588" t="n"/>
      <c r="CE395" s="588" t="n"/>
      <c r="CF395" s="588" t="n"/>
      <c r="CG395" s="588" t="n"/>
      <c r="CH395" s="588" t="n"/>
      <c r="CI395" s="588" t="n"/>
      <c r="CJ395" s="588" t="n"/>
      <c r="CK395" s="588" t="n"/>
      <c r="CL395" s="588" t="n"/>
      <c r="CM395" s="588" t="n"/>
      <c r="CN395" s="588" t="n"/>
      <c r="CO395" s="588" t="n"/>
      <c r="CP395" s="588" t="n"/>
      <c r="CQ395" s="588" t="n"/>
      <c r="CR395" s="588" t="n"/>
      <c r="CS395" s="588" t="n"/>
      <c r="CT395" s="588" t="n"/>
      <c r="CU395" s="588" t="n"/>
      <c r="CV395" s="588" t="n"/>
      <c r="CW395" s="588" t="n"/>
      <c r="CX395" s="588" t="n"/>
      <c r="CY395" s="588" t="n"/>
      <c r="CZ395" s="588" t="n"/>
      <c r="DA395" s="588" t="n"/>
      <c r="DB395" s="588" t="n"/>
      <c r="DC395" s="588" t="n"/>
      <c r="DD395" s="588" t="n"/>
      <c r="DE395" s="588" t="n"/>
      <c r="DF395" s="588" t="n"/>
      <c r="DG395" s="588" t="n"/>
      <c r="DH395" s="588" t="n"/>
      <c r="DI395" s="588" t="n"/>
      <c r="DJ395" s="588" t="n"/>
      <c r="DK395" s="588" t="n"/>
      <c r="DL395" s="588" t="n"/>
      <c r="DM395" s="588" t="n"/>
      <c r="DN395" s="588" t="n"/>
      <c r="DO395" s="588" t="n"/>
      <c r="DP395" s="588" t="n"/>
      <c r="DQ395" s="588" t="n"/>
      <c r="DR395" s="588" t="n"/>
      <c r="DS395" s="588" t="n"/>
      <c r="DT395" s="588" t="n"/>
      <c r="DU395" s="588" t="n"/>
    </row>
    <row r="396">
      <c r="A396" s="737" t="n"/>
      <c r="B396" s="737" t="n"/>
      <c r="C396" s="737" t="n"/>
      <c r="D396" s="737" t="n"/>
      <c r="E396" s="737" t="n"/>
      <c r="F396" s="737" t="n"/>
      <c r="G396" s="737" t="n"/>
      <c r="H396" s="737" t="n"/>
      <c r="I396" s="737" t="n"/>
      <c r="J396" s="737" t="n"/>
      <c r="K396" s="737" t="n"/>
      <c r="L396" s="737" t="n"/>
      <c r="M396" s="737" t="n"/>
      <c r="N396" s="737" t="n"/>
      <c r="O396" s="737" t="n"/>
      <c r="P396" s="737" t="n"/>
      <c r="Q396" s="737" t="n"/>
      <c r="R396" s="737" t="n"/>
      <c r="S396" s="737" t="n"/>
      <c r="T396" s="737" t="n"/>
      <c r="U396" s="737" t="n"/>
      <c r="V396" s="737" t="n"/>
      <c r="W396" s="737" t="n"/>
      <c r="X396" s="737" t="n"/>
      <c r="Y396" s="737" t="n"/>
      <c r="Z396" s="737" t="n"/>
      <c r="AA396" s="737" t="n"/>
      <c r="AB396" s="737" t="n"/>
      <c r="AC396" s="737" t="n"/>
      <c r="AD396" s="737" t="n"/>
      <c r="AE396" s="737" t="n"/>
      <c r="AF396" s="737" t="n"/>
      <c r="AG396" s="737" t="n"/>
      <c r="AH396" s="737" t="n"/>
      <c r="AI396" s="737" t="n"/>
      <c r="AJ396" s="737" t="n"/>
      <c r="AK396" s="588" t="n"/>
      <c r="AL396" s="588" t="n"/>
      <c r="AM396" s="588" t="n"/>
      <c r="AN396" s="588" t="n"/>
      <c r="AO396" s="588" t="n"/>
      <c r="AP396" s="588" t="n"/>
      <c r="AQ396" s="588" t="n"/>
      <c r="AR396" s="588" t="n"/>
      <c r="AS396" s="588" t="n"/>
      <c r="AT396" s="588" t="n"/>
      <c r="AU396" s="588" t="n"/>
      <c r="AV396" s="588" t="n"/>
      <c r="AW396" s="588" t="n"/>
      <c r="AX396" s="588" t="n"/>
      <c r="AY396" s="588" t="n"/>
      <c r="AZ396" s="588" t="n"/>
      <c r="BA396" s="588" t="n"/>
      <c r="BB396" s="588" t="n"/>
      <c r="BC396" s="588" t="n"/>
      <c r="BD396" s="588" t="n"/>
      <c r="BE396" s="588" t="n"/>
      <c r="BF396" s="588" t="n"/>
      <c r="BG396" s="588" t="n"/>
      <c r="BH396" s="588" t="n"/>
      <c r="BI396" s="588" t="n"/>
      <c r="BJ396" s="588" t="n"/>
      <c r="BK396" s="588" t="n"/>
      <c r="BL396" s="588" t="n"/>
      <c r="BM396" s="588" t="n"/>
      <c r="BN396" s="588" t="n"/>
      <c r="BO396" s="588" t="n"/>
      <c r="BP396" s="588" t="n"/>
      <c r="BQ396" s="588" t="n"/>
      <c r="BR396" s="588" t="n"/>
      <c r="BS396" s="588" t="n"/>
      <c r="BT396" s="588" t="n"/>
      <c r="BU396" s="588" t="n"/>
      <c r="BV396" s="588" t="n"/>
      <c r="BW396" s="588" t="n"/>
      <c r="BX396" s="588" t="n"/>
      <c r="BY396" s="588" t="n"/>
      <c r="BZ396" s="588" t="n"/>
      <c r="CA396" s="588" t="n"/>
      <c r="CB396" s="588" t="n"/>
      <c r="CC396" s="588" t="n"/>
      <c r="CD396" s="588" t="n"/>
      <c r="CE396" s="588" t="n"/>
      <c r="CF396" s="588" t="n"/>
      <c r="CG396" s="588" t="n"/>
      <c r="CH396" s="588" t="n"/>
      <c r="CI396" s="588" t="n"/>
      <c r="CJ396" s="588" t="n"/>
      <c r="CK396" s="588" t="n"/>
      <c r="CL396" s="588" t="n"/>
      <c r="CM396" s="588" t="n"/>
      <c r="CN396" s="588" t="n"/>
      <c r="CO396" s="588" t="n"/>
      <c r="CP396" s="588" t="n"/>
      <c r="CQ396" s="588" t="n"/>
      <c r="CR396" s="588" t="n"/>
      <c r="CS396" s="588" t="n"/>
      <c r="CT396" s="588" t="n"/>
      <c r="CU396" s="588" t="n"/>
      <c r="CV396" s="588" t="n"/>
      <c r="CW396" s="588" t="n"/>
      <c r="CX396" s="588" t="n"/>
      <c r="CY396" s="588" t="n"/>
      <c r="CZ396" s="588" t="n"/>
      <c r="DA396" s="588" t="n"/>
      <c r="DB396" s="588" t="n"/>
      <c r="DC396" s="588" t="n"/>
      <c r="DD396" s="588" t="n"/>
      <c r="DE396" s="588" t="n"/>
      <c r="DF396" s="588" t="n"/>
      <c r="DG396" s="588" t="n"/>
      <c r="DH396" s="588" t="n"/>
      <c r="DI396" s="588" t="n"/>
      <c r="DJ396" s="588" t="n"/>
      <c r="DK396" s="588" t="n"/>
      <c r="DL396" s="588" t="n"/>
      <c r="DM396" s="588" t="n"/>
      <c r="DN396" s="588" t="n"/>
      <c r="DO396" s="588" t="n"/>
      <c r="DP396" s="588" t="n"/>
      <c r="DQ396" s="588" t="n"/>
      <c r="DR396" s="588" t="n"/>
      <c r="DS396" s="588" t="n"/>
      <c r="DT396" s="588" t="n"/>
      <c r="DU396" s="588" t="n"/>
    </row>
    <row r="397">
      <c r="A397" s="737" t="n"/>
      <c r="B397" s="737" t="n"/>
      <c r="C397" s="737" t="n"/>
      <c r="D397" s="737" t="n"/>
      <c r="E397" s="737" t="n"/>
      <c r="F397" s="737" t="n"/>
      <c r="G397" s="737" t="n"/>
      <c r="H397" s="737" t="n"/>
      <c r="I397" s="737" t="n"/>
      <c r="J397" s="737" t="n"/>
      <c r="K397" s="737" t="n"/>
      <c r="L397" s="737" t="n"/>
      <c r="M397" s="737" t="n"/>
      <c r="N397" s="737" t="n"/>
      <c r="O397" s="737" t="n"/>
      <c r="P397" s="737" t="n"/>
      <c r="Q397" s="737" t="n"/>
      <c r="R397" s="737" t="n"/>
      <c r="S397" s="737" t="n"/>
      <c r="T397" s="737" t="n"/>
      <c r="U397" s="737" t="n"/>
      <c r="V397" s="737" t="n"/>
      <c r="W397" s="737" t="n"/>
      <c r="X397" s="737" t="n"/>
      <c r="Y397" s="737" t="n"/>
      <c r="Z397" s="737" t="n"/>
      <c r="AA397" s="737" t="n"/>
      <c r="AB397" s="737" t="n"/>
      <c r="AC397" s="737" t="n"/>
      <c r="AD397" s="737" t="n"/>
      <c r="AE397" s="737" t="n"/>
      <c r="AF397" s="737" t="n"/>
      <c r="AG397" s="737" t="n"/>
      <c r="AH397" s="737" t="n"/>
      <c r="AI397" s="737" t="n"/>
      <c r="AJ397" s="737" t="n"/>
      <c r="AK397" s="588" t="n"/>
      <c r="AL397" s="588" t="n"/>
      <c r="AM397" s="588" t="n"/>
      <c r="AN397" s="588" t="n"/>
      <c r="AO397" s="588" t="n"/>
      <c r="AP397" s="588" t="n"/>
      <c r="AQ397" s="588" t="n"/>
      <c r="AR397" s="588" t="n"/>
      <c r="AS397" s="588" t="n"/>
      <c r="AT397" s="588" t="n"/>
      <c r="AU397" s="588" t="n"/>
      <c r="AV397" s="588" t="n"/>
      <c r="AW397" s="588" t="n"/>
      <c r="AX397" s="588" t="n"/>
      <c r="AY397" s="588" t="n"/>
      <c r="AZ397" s="588" t="n"/>
      <c r="BA397" s="588" t="n"/>
      <c r="BB397" s="588" t="n"/>
      <c r="BC397" s="588" t="n"/>
      <c r="BD397" s="588" t="n"/>
      <c r="BE397" s="588" t="n"/>
      <c r="BF397" s="588" t="n"/>
      <c r="BG397" s="588" t="n"/>
      <c r="BH397" s="588" t="n"/>
      <c r="BI397" s="588" t="n"/>
      <c r="BJ397" s="588" t="n"/>
      <c r="BK397" s="588" t="n"/>
      <c r="BL397" s="588" t="n"/>
      <c r="BM397" s="588" t="n"/>
      <c r="BN397" s="588" t="n"/>
      <c r="BO397" s="588" t="n"/>
      <c r="BP397" s="588" t="n"/>
      <c r="BQ397" s="588" t="n"/>
      <c r="BR397" s="588" t="n"/>
      <c r="BS397" s="588" t="n"/>
      <c r="BT397" s="588" t="n"/>
      <c r="BU397" s="588" t="n"/>
      <c r="BV397" s="588" t="n"/>
      <c r="BW397" s="588" t="n"/>
      <c r="BX397" s="588" t="n"/>
      <c r="BY397" s="588" t="n"/>
      <c r="BZ397" s="588" t="n"/>
      <c r="CA397" s="588" t="n"/>
      <c r="CB397" s="588" t="n"/>
      <c r="CC397" s="588" t="n"/>
      <c r="CD397" s="588" t="n"/>
      <c r="CE397" s="588" t="n"/>
      <c r="CF397" s="588" t="n"/>
      <c r="CG397" s="588" t="n"/>
      <c r="CH397" s="588" t="n"/>
      <c r="CI397" s="588" t="n"/>
      <c r="CJ397" s="588" t="n"/>
      <c r="CK397" s="588" t="n"/>
      <c r="CL397" s="588" t="n"/>
      <c r="CM397" s="588" t="n"/>
      <c r="CN397" s="588" t="n"/>
      <c r="CO397" s="588" t="n"/>
      <c r="CP397" s="588" t="n"/>
      <c r="CQ397" s="588" t="n"/>
      <c r="CR397" s="588" t="n"/>
      <c r="CS397" s="588" t="n"/>
      <c r="CT397" s="588" t="n"/>
      <c r="CU397" s="588" t="n"/>
      <c r="CV397" s="588" t="n"/>
      <c r="CW397" s="588" t="n"/>
      <c r="CX397" s="588" t="n"/>
      <c r="CY397" s="588" t="n"/>
      <c r="CZ397" s="588" t="n"/>
      <c r="DA397" s="588" t="n"/>
      <c r="DB397" s="588" t="n"/>
      <c r="DC397" s="588" t="n"/>
      <c r="DD397" s="588" t="n"/>
      <c r="DE397" s="588" t="n"/>
      <c r="DF397" s="588" t="n"/>
      <c r="DG397" s="588" t="n"/>
      <c r="DH397" s="588" t="n"/>
      <c r="DI397" s="588" t="n"/>
      <c r="DJ397" s="588" t="n"/>
      <c r="DK397" s="588" t="n"/>
      <c r="DL397" s="588" t="n"/>
      <c r="DM397" s="588" t="n"/>
      <c r="DN397" s="588" t="n"/>
      <c r="DO397" s="588" t="n"/>
      <c r="DP397" s="588" t="n"/>
      <c r="DQ397" s="588" t="n"/>
      <c r="DR397" s="588" t="n"/>
      <c r="DS397" s="588" t="n"/>
      <c r="DT397" s="588" t="n"/>
      <c r="DU397" s="588" t="n"/>
    </row>
    <row r="398">
      <c r="A398" s="737" t="n"/>
      <c r="B398" s="737" t="n"/>
      <c r="C398" s="737" t="n"/>
      <c r="D398" s="737" t="n"/>
      <c r="E398" s="737" t="n"/>
      <c r="F398" s="737" t="n"/>
      <c r="G398" s="737" t="n"/>
      <c r="H398" s="737" t="n"/>
      <c r="I398" s="737" t="n"/>
      <c r="J398" s="737" t="n"/>
      <c r="K398" s="737" t="n"/>
      <c r="L398" s="737" t="n"/>
      <c r="M398" s="737" t="n"/>
      <c r="N398" s="737" t="n"/>
      <c r="O398" s="737" t="n"/>
      <c r="P398" s="737" t="n"/>
      <c r="Q398" s="737" t="n"/>
      <c r="R398" s="737" t="n"/>
      <c r="S398" s="737" t="n"/>
      <c r="T398" s="737" t="n"/>
      <c r="U398" s="737" t="n"/>
      <c r="V398" s="737" t="n"/>
      <c r="W398" s="737" t="n"/>
      <c r="X398" s="737" t="n"/>
      <c r="Y398" s="737" t="n"/>
      <c r="Z398" s="737" t="n"/>
      <c r="AA398" s="737" t="n"/>
      <c r="AB398" s="737" t="n"/>
      <c r="AC398" s="737" t="n"/>
      <c r="AD398" s="737" t="n"/>
      <c r="AE398" s="737" t="n"/>
      <c r="AF398" s="737" t="n"/>
      <c r="AG398" s="737" t="n"/>
      <c r="AH398" s="737" t="n"/>
      <c r="AI398" s="737" t="n"/>
      <c r="AJ398" s="737" t="n"/>
      <c r="AK398" s="588" t="n"/>
      <c r="AL398" s="588" t="n"/>
      <c r="AM398" s="588" t="n"/>
      <c r="AN398" s="588" t="n"/>
      <c r="AO398" s="588" t="n"/>
      <c r="AP398" s="588" t="n"/>
      <c r="AQ398" s="588" t="n"/>
      <c r="AR398" s="588" t="n"/>
      <c r="AS398" s="588" t="n"/>
      <c r="AT398" s="588" t="n"/>
      <c r="AU398" s="588" t="n"/>
      <c r="AV398" s="588" t="n"/>
      <c r="AW398" s="588" t="n"/>
      <c r="AX398" s="588" t="n"/>
      <c r="AY398" s="588" t="n"/>
      <c r="AZ398" s="588" t="n"/>
      <c r="BA398" s="588" t="n"/>
      <c r="BB398" s="588" t="n"/>
      <c r="BC398" s="588" t="n"/>
      <c r="BD398" s="588" t="n"/>
      <c r="BE398" s="588" t="n"/>
      <c r="BF398" s="588" t="n"/>
      <c r="BG398" s="588" t="n"/>
      <c r="BH398" s="588" t="n"/>
      <c r="BI398" s="588" t="n"/>
      <c r="BJ398" s="588" t="n"/>
      <c r="BK398" s="588" t="n"/>
      <c r="BL398" s="588" t="n"/>
      <c r="BM398" s="588" t="n"/>
      <c r="BN398" s="588" t="n"/>
      <c r="BO398" s="588" t="n"/>
      <c r="BP398" s="588" t="n"/>
      <c r="BQ398" s="588" t="n"/>
      <c r="BR398" s="588" t="n"/>
      <c r="BS398" s="588" t="n"/>
      <c r="BT398" s="588" t="n"/>
      <c r="BU398" s="588" t="n"/>
      <c r="BV398" s="588" t="n"/>
      <c r="BW398" s="588" t="n"/>
      <c r="BX398" s="588" t="n"/>
      <c r="BY398" s="588" t="n"/>
      <c r="BZ398" s="588" t="n"/>
      <c r="CA398" s="588" t="n"/>
      <c r="CB398" s="588" t="n"/>
      <c r="CC398" s="588" t="n"/>
      <c r="CD398" s="588" t="n"/>
      <c r="CE398" s="588" t="n"/>
      <c r="CF398" s="588" t="n"/>
      <c r="CG398" s="588" t="n"/>
      <c r="CH398" s="588" t="n"/>
      <c r="CI398" s="588" t="n"/>
      <c r="CJ398" s="588" t="n"/>
      <c r="CK398" s="588" t="n"/>
      <c r="CL398" s="588" t="n"/>
      <c r="CM398" s="588" t="n"/>
      <c r="CN398" s="588" t="n"/>
      <c r="CO398" s="588" t="n"/>
      <c r="CP398" s="588" t="n"/>
      <c r="CQ398" s="588" t="n"/>
      <c r="CR398" s="588" t="n"/>
      <c r="CS398" s="588" t="n"/>
      <c r="CT398" s="588" t="n"/>
      <c r="CU398" s="588" t="n"/>
      <c r="CV398" s="588" t="n"/>
      <c r="CW398" s="588" t="n"/>
      <c r="CX398" s="588" t="n"/>
      <c r="CY398" s="588" t="n"/>
      <c r="CZ398" s="588" t="n"/>
      <c r="DA398" s="588" t="n"/>
      <c r="DB398" s="588" t="n"/>
      <c r="DC398" s="588" t="n"/>
      <c r="DD398" s="588" t="n"/>
      <c r="DE398" s="588" t="n"/>
      <c r="DF398" s="588" t="n"/>
      <c r="DG398" s="588" t="n"/>
      <c r="DH398" s="588" t="n"/>
      <c r="DI398" s="588" t="n"/>
      <c r="DJ398" s="588" t="n"/>
      <c r="DK398" s="588" t="n"/>
      <c r="DL398" s="588" t="n"/>
      <c r="DM398" s="588" t="n"/>
      <c r="DN398" s="588" t="n"/>
      <c r="DO398" s="588" t="n"/>
      <c r="DP398" s="588" t="n"/>
      <c r="DQ398" s="588" t="n"/>
      <c r="DR398" s="588" t="n"/>
      <c r="DS398" s="588" t="n"/>
      <c r="DT398" s="588" t="n"/>
      <c r="DU398" s="588" t="n"/>
    </row>
    <row r="399">
      <c r="A399" s="737" t="n"/>
      <c r="B399" s="737" t="n"/>
      <c r="C399" s="737" t="n"/>
      <c r="D399" s="737" t="n"/>
      <c r="E399" s="737" t="n"/>
      <c r="F399" s="737" t="n"/>
      <c r="G399" s="737" t="n"/>
      <c r="H399" s="737" t="n"/>
      <c r="I399" s="737" t="n"/>
      <c r="J399" s="737" t="n"/>
      <c r="K399" s="737" t="n"/>
      <c r="L399" s="737" t="n"/>
      <c r="M399" s="737" t="n"/>
      <c r="N399" s="737" t="n"/>
      <c r="O399" s="737" t="n"/>
      <c r="P399" s="737" t="n"/>
      <c r="Q399" s="737" t="n"/>
      <c r="R399" s="737" t="n"/>
      <c r="S399" s="737" t="n"/>
      <c r="T399" s="737" t="n"/>
      <c r="U399" s="737" t="n"/>
      <c r="V399" s="737" t="n"/>
      <c r="W399" s="737" t="n"/>
      <c r="X399" s="737" t="n"/>
      <c r="Y399" s="737" t="n"/>
      <c r="Z399" s="737" t="n"/>
      <c r="AA399" s="737" t="n"/>
      <c r="AB399" s="737" t="n"/>
      <c r="AC399" s="737" t="n"/>
      <c r="AD399" s="737" t="n"/>
      <c r="AE399" s="737" t="n"/>
      <c r="AF399" s="737" t="n"/>
      <c r="AG399" s="737" t="n"/>
      <c r="AH399" s="737" t="n"/>
      <c r="AI399" s="737" t="n"/>
      <c r="AJ399" s="737" t="n"/>
      <c r="AK399" s="588" t="n"/>
      <c r="AL399" s="588" t="n"/>
      <c r="AM399" s="588" t="n"/>
      <c r="AN399" s="588" t="n"/>
      <c r="AO399" s="588" t="n"/>
      <c r="AP399" s="588" t="n"/>
      <c r="AQ399" s="588" t="n"/>
      <c r="AR399" s="588" t="n"/>
      <c r="AS399" s="588" t="n"/>
      <c r="AT399" s="588" t="n"/>
      <c r="AU399" s="588" t="n"/>
      <c r="AV399" s="588" t="n"/>
      <c r="AW399" s="588" t="n"/>
      <c r="AX399" s="588" t="n"/>
      <c r="AY399" s="588" t="n"/>
      <c r="AZ399" s="588" t="n"/>
      <c r="BA399" s="588" t="n"/>
      <c r="BB399" s="588" t="n"/>
      <c r="BC399" s="588" t="n"/>
      <c r="BD399" s="588" t="n"/>
      <c r="BE399" s="588" t="n"/>
      <c r="BF399" s="588" t="n"/>
      <c r="BG399" s="588" t="n"/>
      <c r="BH399" s="588" t="n"/>
      <c r="BI399" s="588" t="n"/>
      <c r="BJ399" s="588" t="n"/>
      <c r="BK399" s="588" t="n"/>
      <c r="BL399" s="588" t="n"/>
      <c r="BM399" s="588" t="n"/>
      <c r="BN399" s="588" t="n"/>
      <c r="BO399" s="588" t="n"/>
      <c r="BP399" s="588" t="n"/>
      <c r="BQ399" s="588" t="n"/>
      <c r="BR399" s="588" t="n"/>
      <c r="BS399" s="588" t="n"/>
      <c r="BT399" s="588" t="n"/>
      <c r="BU399" s="588" t="n"/>
      <c r="BV399" s="588" t="n"/>
      <c r="BW399" s="588" t="n"/>
      <c r="BX399" s="588" t="n"/>
      <c r="BY399" s="588" t="n"/>
      <c r="BZ399" s="588" t="n"/>
      <c r="CA399" s="588" t="n"/>
      <c r="CB399" s="588" t="n"/>
      <c r="CC399" s="588" t="n"/>
      <c r="CD399" s="588" t="n"/>
      <c r="CE399" s="588" t="n"/>
      <c r="CF399" s="588" t="n"/>
      <c r="CG399" s="588" t="n"/>
      <c r="CH399" s="588" t="n"/>
      <c r="CI399" s="588" t="n"/>
      <c r="CJ399" s="588" t="n"/>
      <c r="CK399" s="588" t="n"/>
      <c r="CL399" s="588" t="n"/>
      <c r="CM399" s="588" t="n"/>
      <c r="CN399" s="588" t="n"/>
      <c r="CO399" s="588" t="n"/>
      <c r="CP399" s="588" t="n"/>
      <c r="CQ399" s="588" t="n"/>
      <c r="CR399" s="588" t="n"/>
      <c r="CS399" s="588" t="n"/>
      <c r="CT399" s="588" t="n"/>
      <c r="CU399" s="588" t="n"/>
      <c r="CV399" s="588" t="n"/>
      <c r="CW399" s="588" t="n"/>
      <c r="CX399" s="588" t="n"/>
      <c r="CY399" s="588" t="n"/>
      <c r="CZ399" s="588" t="n"/>
      <c r="DA399" s="588" t="n"/>
      <c r="DB399" s="588" t="n"/>
      <c r="DC399" s="588" t="n"/>
      <c r="DD399" s="588" t="n"/>
      <c r="DE399" s="588" t="n"/>
      <c r="DF399" s="588" t="n"/>
      <c r="DG399" s="588" t="n"/>
      <c r="DH399" s="588" t="n"/>
      <c r="DI399" s="588" t="n"/>
      <c r="DJ399" s="588" t="n"/>
      <c r="DK399" s="588" t="n"/>
      <c r="DL399" s="588" t="n"/>
      <c r="DM399" s="588" t="n"/>
      <c r="DN399" s="588" t="n"/>
      <c r="DO399" s="588" t="n"/>
      <c r="DP399" s="588" t="n"/>
      <c r="DQ399" s="588" t="n"/>
      <c r="DR399" s="588" t="n"/>
      <c r="DS399" s="588" t="n"/>
      <c r="DT399" s="588" t="n"/>
      <c r="DU399" s="588" t="n"/>
    </row>
    <row r="400">
      <c r="A400" s="737" t="n"/>
      <c r="B400" s="737" t="n"/>
      <c r="C400" s="737" t="n"/>
      <c r="D400" s="737" t="n"/>
      <c r="E400" s="737" t="n"/>
      <c r="F400" s="737" t="n"/>
      <c r="G400" s="737" t="n"/>
      <c r="H400" s="737" t="n"/>
      <c r="I400" s="737" t="n"/>
      <c r="J400" s="737" t="n"/>
      <c r="K400" s="737" t="n"/>
      <c r="L400" s="737" t="n"/>
      <c r="M400" s="737" t="n"/>
      <c r="N400" s="737" t="n"/>
      <c r="O400" s="737" t="n"/>
      <c r="P400" s="737" t="n"/>
      <c r="Q400" s="737" t="n"/>
      <c r="R400" s="737" t="n"/>
      <c r="S400" s="737" t="n"/>
      <c r="T400" s="737" t="n"/>
      <c r="U400" s="737" t="n"/>
      <c r="V400" s="737" t="n"/>
      <c r="W400" s="737" t="n"/>
      <c r="X400" s="737" t="n"/>
      <c r="Y400" s="737" t="n"/>
      <c r="Z400" s="737" t="n"/>
      <c r="AA400" s="737" t="n"/>
      <c r="AB400" s="737" t="n"/>
      <c r="AC400" s="737" t="n"/>
      <c r="AD400" s="737" t="n"/>
      <c r="AE400" s="737" t="n"/>
      <c r="AF400" s="737" t="n"/>
      <c r="AG400" s="737" t="n"/>
      <c r="AH400" s="737" t="n"/>
      <c r="AI400" s="737" t="n"/>
      <c r="AJ400" s="737" t="n"/>
      <c r="AK400" s="588" t="n"/>
      <c r="AL400" s="588" t="n"/>
      <c r="AM400" s="588" t="n"/>
      <c r="AN400" s="588" t="n"/>
      <c r="AO400" s="588" t="n"/>
      <c r="AP400" s="588" t="n"/>
      <c r="AQ400" s="588" t="n"/>
      <c r="AR400" s="588" t="n"/>
      <c r="AS400" s="588" t="n"/>
      <c r="AT400" s="588" t="n"/>
      <c r="AU400" s="588" t="n"/>
      <c r="AV400" s="588" t="n"/>
      <c r="AW400" s="588" t="n"/>
      <c r="AX400" s="588" t="n"/>
      <c r="AY400" s="588" t="n"/>
      <c r="AZ400" s="588" t="n"/>
      <c r="BA400" s="588" t="n"/>
      <c r="BB400" s="588" t="n"/>
      <c r="BC400" s="588" t="n"/>
      <c r="BD400" s="588" t="n"/>
      <c r="BE400" s="588" t="n"/>
      <c r="BF400" s="588" t="n"/>
      <c r="BG400" s="588" t="n"/>
      <c r="BH400" s="588" t="n"/>
      <c r="BI400" s="588" t="n"/>
      <c r="BJ400" s="588" t="n"/>
      <c r="BK400" s="588" t="n"/>
      <c r="BL400" s="588" t="n"/>
      <c r="BM400" s="588" t="n"/>
      <c r="BN400" s="588" t="n"/>
      <c r="BO400" s="588" t="n"/>
      <c r="BP400" s="588" t="n"/>
      <c r="BQ400" s="588" t="n"/>
      <c r="BR400" s="588" t="n"/>
      <c r="BS400" s="588" t="n"/>
      <c r="BT400" s="588" t="n"/>
      <c r="BU400" s="588" t="n"/>
      <c r="BV400" s="588" t="n"/>
      <c r="BW400" s="588" t="n"/>
      <c r="BX400" s="588" t="n"/>
      <c r="BY400" s="588" t="n"/>
      <c r="BZ400" s="588" t="n"/>
      <c r="CA400" s="588" t="n"/>
      <c r="CB400" s="588" t="n"/>
      <c r="CC400" s="588" t="n"/>
      <c r="CD400" s="588" t="n"/>
      <c r="CE400" s="588" t="n"/>
      <c r="CF400" s="588" t="n"/>
      <c r="CG400" s="588" t="n"/>
      <c r="CH400" s="588" t="n"/>
      <c r="CI400" s="588" t="n"/>
      <c r="CJ400" s="588" t="n"/>
      <c r="CK400" s="588" t="n"/>
      <c r="CL400" s="588" t="n"/>
      <c r="CM400" s="588" t="n"/>
      <c r="CN400" s="588" t="n"/>
      <c r="CO400" s="588" t="n"/>
      <c r="CP400" s="588" t="n"/>
      <c r="CQ400" s="588" t="n"/>
      <c r="CR400" s="588" t="n"/>
      <c r="CS400" s="588" t="n"/>
      <c r="CT400" s="588" t="n"/>
      <c r="CU400" s="588" t="n"/>
      <c r="CV400" s="588" t="n"/>
      <c r="CW400" s="588" t="n"/>
      <c r="CX400" s="588" t="n"/>
      <c r="CY400" s="588" t="n"/>
      <c r="CZ400" s="588" t="n"/>
      <c r="DA400" s="588" t="n"/>
      <c r="DB400" s="588" t="n"/>
      <c r="DC400" s="588" t="n"/>
      <c r="DD400" s="588" t="n"/>
      <c r="DE400" s="588" t="n"/>
      <c r="DF400" s="588" t="n"/>
      <c r="DG400" s="588" t="n"/>
      <c r="DH400" s="588" t="n"/>
      <c r="DI400" s="588" t="n"/>
      <c r="DJ400" s="588" t="n"/>
      <c r="DK400" s="588" t="n"/>
      <c r="DL400" s="588" t="n"/>
      <c r="DM400" s="588" t="n"/>
      <c r="DN400" s="588" t="n"/>
      <c r="DO400" s="588" t="n"/>
      <c r="DP400" s="588" t="n"/>
      <c r="DQ400" s="588" t="n"/>
      <c r="DR400" s="588" t="n"/>
      <c r="DS400" s="588" t="n"/>
      <c r="DT400" s="588" t="n"/>
      <c r="DU400" s="588" t="n"/>
    </row>
    <row r="401">
      <c r="A401" s="737" t="n"/>
      <c r="B401" s="737" t="n"/>
      <c r="C401" s="737" t="n"/>
      <c r="D401" s="737" t="n"/>
      <c r="E401" s="737" t="n"/>
      <c r="F401" s="737" t="n"/>
      <c r="G401" s="737" t="n"/>
      <c r="H401" s="737" t="n"/>
      <c r="I401" s="737" t="n"/>
      <c r="J401" s="737" t="n"/>
      <c r="K401" s="737" t="n"/>
      <c r="L401" s="737" t="n"/>
      <c r="M401" s="737" t="n"/>
      <c r="N401" s="737" t="n"/>
      <c r="O401" s="737" t="n"/>
      <c r="P401" s="737" t="n"/>
      <c r="Q401" s="737" t="n"/>
      <c r="R401" s="737" t="n"/>
      <c r="S401" s="737" t="n"/>
      <c r="T401" s="737" t="n"/>
      <c r="U401" s="737" t="n"/>
      <c r="V401" s="737" t="n"/>
      <c r="W401" s="737" t="n"/>
      <c r="X401" s="737" t="n"/>
      <c r="Y401" s="737" t="n"/>
      <c r="Z401" s="737" t="n"/>
      <c r="AA401" s="737" t="n"/>
      <c r="AB401" s="737" t="n"/>
      <c r="AC401" s="737" t="n"/>
      <c r="AD401" s="737" t="n"/>
      <c r="AE401" s="737" t="n"/>
      <c r="AF401" s="737" t="n"/>
      <c r="AG401" s="737" t="n"/>
      <c r="AH401" s="737" t="n"/>
      <c r="AI401" s="737" t="n"/>
      <c r="AJ401" s="737" t="n"/>
      <c r="AK401" s="588" t="n"/>
      <c r="AL401" s="588" t="n"/>
      <c r="AM401" s="588" t="n"/>
      <c r="AN401" s="588" t="n"/>
      <c r="AO401" s="588" t="n"/>
      <c r="AP401" s="588" t="n"/>
      <c r="AQ401" s="588" t="n"/>
      <c r="AR401" s="588" t="n"/>
      <c r="AS401" s="588" t="n"/>
      <c r="AT401" s="588" t="n"/>
      <c r="AU401" s="588" t="n"/>
      <c r="AV401" s="588" t="n"/>
      <c r="AW401" s="588" t="n"/>
      <c r="AX401" s="588" t="n"/>
      <c r="AY401" s="588" t="n"/>
      <c r="AZ401" s="588" t="n"/>
      <c r="BA401" s="588" t="n"/>
      <c r="BB401" s="588" t="n"/>
      <c r="BC401" s="588" t="n"/>
      <c r="BD401" s="588" t="n"/>
      <c r="BE401" s="588" t="n"/>
      <c r="BF401" s="588" t="n"/>
      <c r="BG401" s="588" t="n"/>
      <c r="BH401" s="588" t="n"/>
      <c r="BI401" s="588" t="n"/>
      <c r="BJ401" s="588" t="n"/>
      <c r="BK401" s="588" t="n"/>
      <c r="BL401" s="588" t="n"/>
      <c r="BM401" s="588" t="n"/>
      <c r="BN401" s="588" t="n"/>
      <c r="BO401" s="588" t="n"/>
      <c r="BP401" s="588" t="n"/>
      <c r="BQ401" s="588" t="n"/>
      <c r="BR401" s="588" t="n"/>
      <c r="BS401" s="588" t="n"/>
      <c r="BT401" s="588" t="n"/>
      <c r="BU401" s="588" t="n"/>
      <c r="BV401" s="588" t="n"/>
      <c r="BW401" s="588" t="n"/>
      <c r="BX401" s="588" t="n"/>
      <c r="BY401" s="588" t="n"/>
      <c r="BZ401" s="588" t="n"/>
      <c r="CA401" s="588" t="n"/>
      <c r="CB401" s="588" t="n"/>
      <c r="CC401" s="588" t="n"/>
      <c r="CD401" s="588" t="n"/>
      <c r="CE401" s="588" t="n"/>
      <c r="CF401" s="588" t="n"/>
      <c r="CG401" s="588" t="n"/>
      <c r="CH401" s="588" t="n"/>
      <c r="CI401" s="588" t="n"/>
      <c r="CJ401" s="588" t="n"/>
      <c r="CK401" s="588" t="n"/>
      <c r="CL401" s="588" t="n"/>
      <c r="CM401" s="588" t="n"/>
      <c r="CN401" s="588" t="n"/>
      <c r="CO401" s="588" t="n"/>
      <c r="CP401" s="588" t="n"/>
      <c r="CQ401" s="588" t="n"/>
      <c r="CR401" s="588" t="n"/>
      <c r="CS401" s="588" t="n"/>
      <c r="CT401" s="588" t="n"/>
      <c r="CU401" s="588" t="n"/>
      <c r="CV401" s="588" t="n"/>
      <c r="CW401" s="588" t="n"/>
      <c r="CX401" s="588" t="n"/>
      <c r="CY401" s="588" t="n"/>
      <c r="CZ401" s="588" t="n"/>
      <c r="DA401" s="588" t="n"/>
      <c r="DB401" s="588" t="n"/>
      <c r="DC401" s="588" t="n"/>
      <c r="DD401" s="588" t="n"/>
      <c r="DE401" s="588" t="n"/>
      <c r="DF401" s="588" t="n"/>
      <c r="DG401" s="588" t="n"/>
      <c r="DH401" s="588" t="n"/>
      <c r="DI401" s="588" t="n"/>
      <c r="DJ401" s="588" t="n"/>
      <c r="DK401" s="588" t="n"/>
      <c r="DL401" s="588" t="n"/>
      <c r="DM401" s="588" t="n"/>
      <c r="DN401" s="588" t="n"/>
      <c r="DO401" s="588" t="n"/>
      <c r="DP401" s="588" t="n"/>
      <c r="DQ401" s="588" t="n"/>
      <c r="DR401" s="588" t="n"/>
      <c r="DS401" s="588" t="n"/>
      <c r="DT401" s="588" t="n"/>
      <c r="DU401" s="588" t="n"/>
    </row>
    <row r="402">
      <c r="A402" s="737" t="n"/>
      <c r="B402" s="737" t="n"/>
      <c r="C402" s="737" t="n"/>
      <c r="D402" s="737" t="n"/>
      <c r="E402" s="737" t="n"/>
      <c r="F402" s="737" t="n"/>
      <c r="G402" s="737" t="n"/>
      <c r="H402" s="737" t="n"/>
      <c r="I402" s="737" t="n"/>
      <c r="J402" s="737" t="n"/>
      <c r="K402" s="737" t="n"/>
      <c r="L402" s="737" t="n"/>
      <c r="M402" s="737" t="n"/>
      <c r="N402" s="737" t="n"/>
      <c r="O402" s="737" t="n"/>
      <c r="P402" s="737" t="n"/>
      <c r="Q402" s="737" t="n"/>
      <c r="R402" s="737" t="n"/>
      <c r="S402" s="737" t="n"/>
      <c r="T402" s="737" t="n"/>
      <c r="U402" s="737" t="n"/>
      <c r="V402" s="737" t="n"/>
      <c r="W402" s="737" t="n"/>
      <c r="X402" s="737" t="n"/>
      <c r="Y402" s="737" t="n"/>
      <c r="Z402" s="737" t="n"/>
      <c r="AA402" s="737" t="n"/>
      <c r="AB402" s="737" t="n"/>
      <c r="AC402" s="737" t="n"/>
      <c r="AD402" s="737" t="n"/>
      <c r="AE402" s="737" t="n"/>
      <c r="AF402" s="737" t="n"/>
      <c r="AG402" s="737" t="n"/>
      <c r="AH402" s="737" t="n"/>
      <c r="AI402" s="737" t="n"/>
      <c r="AJ402" s="737" t="n"/>
      <c r="AK402" s="588" t="n"/>
      <c r="AL402" s="588" t="n"/>
      <c r="AM402" s="588" t="n"/>
      <c r="AN402" s="588" t="n"/>
      <c r="AO402" s="588" t="n"/>
      <c r="AP402" s="588" t="n"/>
      <c r="AQ402" s="588" t="n"/>
      <c r="AR402" s="588" t="n"/>
      <c r="AS402" s="588" t="n"/>
      <c r="AT402" s="588" t="n"/>
      <c r="AU402" s="588" t="n"/>
      <c r="AV402" s="588" t="n"/>
      <c r="AW402" s="588" t="n"/>
      <c r="AX402" s="588" t="n"/>
      <c r="AY402" s="588" t="n"/>
      <c r="AZ402" s="588" t="n"/>
      <c r="BA402" s="588" t="n"/>
      <c r="BB402" s="588" t="n"/>
      <c r="BC402" s="588" t="n"/>
      <c r="BD402" s="588" t="n"/>
      <c r="BE402" s="588" t="n"/>
      <c r="BF402" s="588" t="n"/>
      <c r="BG402" s="588" t="n"/>
      <c r="BH402" s="588" t="n"/>
      <c r="BI402" s="588" t="n"/>
      <c r="BJ402" s="588" t="n"/>
      <c r="BK402" s="588" t="n"/>
      <c r="BL402" s="588" t="n"/>
      <c r="BM402" s="588" t="n"/>
      <c r="BN402" s="588" t="n"/>
      <c r="BO402" s="588" t="n"/>
      <c r="BP402" s="588" t="n"/>
      <c r="BQ402" s="588" t="n"/>
      <c r="BR402" s="588" t="n"/>
      <c r="BS402" s="588" t="n"/>
      <c r="BT402" s="588" t="n"/>
      <c r="BU402" s="588" t="n"/>
      <c r="BV402" s="588" t="n"/>
      <c r="BW402" s="588" t="n"/>
      <c r="BX402" s="588" t="n"/>
      <c r="BY402" s="588" t="n"/>
      <c r="BZ402" s="588" t="n"/>
      <c r="CA402" s="588" t="n"/>
      <c r="CB402" s="588" t="n"/>
      <c r="CC402" s="588" t="n"/>
      <c r="CD402" s="588" t="n"/>
      <c r="CE402" s="588" t="n"/>
      <c r="CF402" s="588" t="n"/>
      <c r="CG402" s="588" t="n"/>
      <c r="CH402" s="588" t="n"/>
      <c r="CI402" s="588" t="n"/>
      <c r="CJ402" s="588" t="n"/>
      <c r="CK402" s="588" t="n"/>
      <c r="CL402" s="588" t="n"/>
      <c r="CM402" s="588" t="n"/>
      <c r="CN402" s="588" t="n"/>
      <c r="CO402" s="588" t="n"/>
      <c r="CP402" s="588" t="n"/>
      <c r="CQ402" s="588" t="n"/>
      <c r="CR402" s="588" t="n"/>
      <c r="CS402" s="588" t="n"/>
      <c r="CT402" s="588" t="n"/>
      <c r="CU402" s="588" t="n"/>
      <c r="CV402" s="588" t="n"/>
      <c r="CW402" s="588" t="n"/>
      <c r="CX402" s="588" t="n"/>
      <c r="CY402" s="588" t="n"/>
      <c r="CZ402" s="588" t="n"/>
      <c r="DA402" s="588" t="n"/>
      <c r="DB402" s="588" t="n"/>
      <c r="DC402" s="588" t="n"/>
      <c r="DD402" s="588" t="n"/>
      <c r="DE402" s="588" t="n"/>
      <c r="DF402" s="588" t="n"/>
      <c r="DG402" s="588" t="n"/>
      <c r="DH402" s="588" t="n"/>
      <c r="DI402" s="588" t="n"/>
      <c r="DJ402" s="588" t="n"/>
      <c r="DK402" s="588" t="n"/>
      <c r="DL402" s="588" t="n"/>
      <c r="DM402" s="588" t="n"/>
      <c r="DN402" s="588" t="n"/>
      <c r="DO402" s="588" t="n"/>
      <c r="DP402" s="588" t="n"/>
      <c r="DQ402" s="588" t="n"/>
      <c r="DR402" s="588" t="n"/>
      <c r="DS402" s="588" t="n"/>
      <c r="DT402" s="588" t="n"/>
      <c r="DU402" s="588" t="n"/>
    </row>
    <row r="403">
      <c r="A403" s="737" t="n"/>
      <c r="B403" s="737" t="n"/>
      <c r="C403" s="737" t="n"/>
      <c r="D403" s="737" t="n"/>
      <c r="E403" s="737" t="n"/>
      <c r="F403" s="737" t="n"/>
      <c r="G403" s="737" t="n"/>
      <c r="H403" s="737" t="n"/>
      <c r="I403" s="737" t="n"/>
      <c r="J403" s="737" t="n"/>
      <c r="K403" s="737" t="n"/>
      <c r="L403" s="737" t="n"/>
      <c r="M403" s="737" t="n"/>
      <c r="N403" s="737" t="n"/>
      <c r="O403" s="737" t="n"/>
      <c r="P403" s="737" t="n"/>
      <c r="Q403" s="737" t="n"/>
      <c r="R403" s="737" t="n"/>
      <c r="S403" s="737" t="n"/>
      <c r="T403" s="737" t="n"/>
      <c r="U403" s="737" t="n"/>
      <c r="V403" s="737" t="n"/>
      <c r="W403" s="737" t="n"/>
      <c r="X403" s="737" t="n"/>
      <c r="Y403" s="737" t="n"/>
      <c r="Z403" s="737" t="n"/>
      <c r="AA403" s="737" t="n"/>
      <c r="AB403" s="737" t="n"/>
      <c r="AC403" s="737" t="n"/>
      <c r="AD403" s="737" t="n"/>
      <c r="AE403" s="737" t="n"/>
      <c r="AF403" s="737" t="n"/>
      <c r="AG403" s="737" t="n"/>
      <c r="AH403" s="737" t="n"/>
      <c r="AI403" s="737" t="n"/>
      <c r="AJ403" s="737" t="n"/>
      <c r="AK403" s="588" t="n"/>
      <c r="AL403" s="588" t="n"/>
      <c r="AM403" s="588" t="n"/>
      <c r="AN403" s="588" t="n"/>
      <c r="AO403" s="588" t="n"/>
      <c r="AP403" s="588" t="n"/>
      <c r="AQ403" s="588" t="n"/>
      <c r="AR403" s="588" t="n"/>
      <c r="AS403" s="588" t="n"/>
      <c r="AT403" s="588" t="n"/>
      <c r="AU403" s="588" t="n"/>
      <c r="AV403" s="588" t="n"/>
      <c r="AW403" s="588" t="n"/>
      <c r="AX403" s="588" t="n"/>
      <c r="AY403" s="588" t="n"/>
      <c r="AZ403" s="588" t="n"/>
      <c r="BA403" s="588" t="n"/>
      <c r="BB403" s="588" t="n"/>
      <c r="BC403" s="588" t="n"/>
      <c r="BD403" s="588" t="n"/>
      <c r="BE403" s="588" t="n"/>
      <c r="BF403" s="588" t="n"/>
      <c r="BG403" s="588" t="n"/>
      <c r="BH403" s="588" t="n"/>
      <c r="BI403" s="588" t="n"/>
      <c r="BJ403" s="588" t="n"/>
      <c r="BK403" s="588" t="n"/>
      <c r="BL403" s="588" t="n"/>
      <c r="BM403" s="588" t="n"/>
      <c r="BN403" s="588" t="n"/>
      <c r="BO403" s="588" t="n"/>
      <c r="BP403" s="588" t="n"/>
      <c r="BQ403" s="588" t="n"/>
      <c r="BR403" s="588" t="n"/>
      <c r="BS403" s="588" t="n"/>
      <c r="BT403" s="588" t="n"/>
      <c r="BU403" s="588" t="n"/>
      <c r="BV403" s="588" t="n"/>
      <c r="BW403" s="588" t="n"/>
      <c r="BX403" s="588" t="n"/>
      <c r="BY403" s="588" t="n"/>
      <c r="BZ403" s="588" t="n"/>
      <c r="CA403" s="588" t="n"/>
      <c r="CB403" s="588" t="n"/>
      <c r="CC403" s="588" t="n"/>
      <c r="CD403" s="588" t="n"/>
      <c r="CE403" s="588" t="n"/>
      <c r="CF403" s="588" t="n"/>
      <c r="CG403" s="588" t="n"/>
      <c r="CH403" s="588" t="n"/>
      <c r="CI403" s="588" t="n"/>
      <c r="CJ403" s="588" t="n"/>
      <c r="CK403" s="588" t="n"/>
      <c r="CL403" s="588" t="n"/>
      <c r="CM403" s="588" t="n"/>
      <c r="CN403" s="588" t="n"/>
      <c r="CO403" s="588" t="n"/>
      <c r="CP403" s="588" t="n"/>
      <c r="CQ403" s="588" t="n"/>
      <c r="CR403" s="588" t="n"/>
      <c r="CS403" s="588" t="n"/>
      <c r="CT403" s="588" t="n"/>
      <c r="CU403" s="588" t="n"/>
      <c r="CV403" s="588" t="n"/>
      <c r="CW403" s="588" t="n"/>
      <c r="CX403" s="588" t="n"/>
      <c r="CY403" s="588" t="n"/>
      <c r="CZ403" s="588" t="n"/>
      <c r="DA403" s="588" t="n"/>
      <c r="DB403" s="588" t="n"/>
      <c r="DC403" s="588" t="n"/>
      <c r="DD403" s="588" t="n"/>
      <c r="DE403" s="588" t="n"/>
      <c r="DF403" s="588" t="n"/>
      <c r="DG403" s="588" t="n"/>
      <c r="DH403" s="588" t="n"/>
      <c r="DI403" s="588" t="n"/>
      <c r="DJ403" s="588" t="n"/>
      <c r="DK403" s="588" t="n"/>
      <c r="DL403" s="588" t="n"/>
      <c r="DM403" s="588" t="n"/>
      <c r="DN403" s="588" t="n"/>
      <c r="DO403" s="588" t="n"/>
      <c r="DP403" s="588" t="n"/>
      <c r="DQ403" s="588" t="n"/>
      <c r="DR403" s="588" t="n"/>
      <c r="DS403" s="588" t="n"/>
      <c r="DT403" s="588" t="n"/>
      <c r="DU403" s="588" t="n"/>
    </row>
    <row r="404">
      <c r="A404" s="737" t="n"/>
      <c r="B404" s="737" t="n"/>
      <c r="C404" s="737" t="n"/>
      <c r="D404" s="737" t="n"/>
      <c r="E404" s="737" t="n"/>
      <c r="F404" s="737" t="n"/>
      <c r="G404" s="737" t="n"/>
      <c r="H404" s="737" t="n"/>
      <c r="I404" s="737" t="n"/>
      <c r="J404" s="737" t="n"/>
      <c r="K404" s="737" t="n"/>
      <c r="L404" s="737" t="n"/>
      <c r="M404" s="737" t="n"/>
      <c r="N404" s="737" t="n"/>
      <c r="O404" s="737" t="n"/>
      <c r="P404" s="737" t="n"/>
      <c r="Q404" s="737" t="n"/>
      <c r="R404" s="737" t="n"/>
      <c r="S404" s="737" t="n"/>
      <c r="T404" s="737" t="n"/>
      <c r="U404" s="737" t="n"/>
      <c r="V404" s="737" t="n"/>
      <c r="W404" s="737" t="n"/>
      <c r="X404" s="737" t="n"/>
      <c r="Y404" s="737" t="n"/>
      <c r="Z404" s="737" t="n"/>
      <c r="AA404" s="737" t="n"/>
      <c r="AB404" s="737" t="n"/>
      <c r="AC404" s="737" t="n"/>
      <c r="AD404" s="737" t="n"/>
      <c r="AE404" s="737" t="n"/>
      <c r="AF404" s="737" t="n"/>
      <c r="AG404" s="737" t="n"/>
      <c r="AH404" s="737" t="n"/>
      <c r="AI404" s="737" t="n"/>
      <c r="AJ404" s="737" t="n"/>
      <c r="AK404" s="588" t="n"/>
      <c r="AL404" s="588" t="n"/>
      <c r="AM404" s="588" t="n"/>
      <c r="AN404" s="588" t="n"/>
      <c r="AO404" s="588" t="n"/>
      <c r="AP404" s="588" t="n"/>
      <c r="AQ404" s="588" t="n"/>
      <c r="AR404" s="588" t="n"/>
      <c r="AS404" s="588" t="n"/>
      <c r="AT404" s="588" t="n"/>
      <c r="AU404" s="588" t="n"/>
      <c r="AV404" s="588" t="n"/>
      <c r="AW404" s="588" t="n"/>
      <c r="AX404" s="588" t="n"/>
      <c r="AY404" s="588" t="n"/>
      <c r="AZ404" s="588" t="n"/>
      <c r="BA404" s="588" t="n"/>
      <c r="BB404" s="588" t="n"/>
      <c r="BC404" s="588" t="n"/>
      <c r="BD404" s="588" t="n"/>
      <c r="BE404" s="588" t="n"/>
      <c r="BF404" s="588" t="n"/>
      <c r="BG404" s="588" t="n"/>
      <c r="BH404" s="588" t="n"/>
      <c r="BI404" s="588" t="n"/>
      <c r="BJ404" s="588" t="n"/>
      <c r="BK404" s="588" t="n"/>
      <c r="BL404" s="588" t="n"/>
      <c r="BM404" s="588" t="n"/>
      <c r="BN404" s="588" t="n"/>
      <c r="BO404" s="588" t="n"/>
      <c r="BP404" s="588" t="n"/>
      <c r="BQ404" s="588" t="n"/>
      <c r="BR404" s="588" t="n"/>
      <c r="BS404" s="588" t="n"/>
      <c r="BT404" s="588" t="n"/>
      <c r="BU404" s="588" t="n"/>
      <c r="BV404" s="588" t="n"/>
      <c r="BW404" s="588" t="n"/>
      <c r="BX404" s="588" t="n"/>
      <c r="BY404" s="588" t="n"/>
      <c r="BZ404" s="588" t="n"/>
      <c r="CA404" s="588" t="n"/>
      <c r="CB404" s="588" t="n"/>
      <c r="CC404" s="588" t="n"/>
      <c r="CD404" s="588" t="n"/>
      <c r="CE404" s="588" t="n"/>
      <c r="CF404" s="588" t="n"/>
      <c r="CG404" s="588" t="n"/>
      <c r="CH404" s="588" t="n"/>
      <c r="CI404" s="588" t="n"/>
      <c r="CJ404" s="588" t="n"/>
      <c r="CK404" s="588" t="n"/>
      <c r="CL404" s="588" t="n"/>
      <c r="CM404" s="588" t="n"/>
      <c r="CN404" s="588" t="n"/>
      <c r="CO404" s="588" t="n"/>
      <c r="CP404" s="588" t="n"/>
      <c r="CQ404" s="588" t="n"/>
      <c r="CR404" s="588" t="n"/>
      <c r="CS404" s="588" t="n"/>
      <c r="CT404" s="588" t="n"/>
      <c r="CU404" s="588" t="n"/>
      <c r="CV404" s="588" t="n"/>
      <c r="CW404" s="588" t="n"/>
      <c r="CX404" s="588" t="n"/>
      <c r="CY404" s="588" t="n"/>
      <c r="CZ404" s="588" t="n"/>
      <c r="DA404" s="588" t="n"/>
      <c r="DB404" s="588" t="n"/>
      <c r="DC404" s="588" t="n"/>
      <c r="DD404" s="588" t="n"/>
      <c r="DE404" s="588" t="n"/>
      <c r="DF404" s="588" t="n"/>
      <c r="DG404" s="588" t="n"/>
      <c r="DH404" s="588" t="n"/>
      <c r="DI404" s="588" t="n"/>
      <c r="DJ404" s="588" t="n"/>
      <c r="DK404" s="588" t="n"/>
      <c r="DL404" s="588" t="n"/>
      <c r="DM404" s="588" t="n"/>
      <c r="DN404" s="588" t="n"/>
      <c r="DO404" s="588" t="n"/>
      <c r="DP404" s="588" t="n"/>
      <c r="DQ404" s="588" t="n"/>
      <c r="DR404" s="588" t="n"/>
      <c r="DS404" s="588" t="n"/>
      <c r="DT404" s="588" t="n"/>
      <c r="DU404" s="588" t="n"/>
    </row>
    <row r="405">
      <c r="A405" s="737" t="n"/>
      <c r="B405" s="737" t="n"/>
      <c r="C405" s="737" t="n"/>
      <c r="D405" s="737" t="n"/>
      <c r="E405" s="737" t="n"/>
      <c r="F405" s="737" t="n"/>
      <c r="G405" s="737" t="n"/>
      <c r="H405" s="737" t="n"/>
      <c r="I405" s="737" t="n"/>
      <c r="J405" s="737" t="n"/>
      <c r="K405" s="737" t="n"/>
      <c r="L405" s="737" t="n"/>
      <c r="M405" s="737" t="n"/>
      <c r="N405" s="737" t="n"/>
      <c r="O405" s="737" t="n"/>
      <c r="P405" s="737" t="n"/>
      <c r="Q405" s="737" t="n"/>
      <c r="R405" s="737" t="n"/>
      <c r="S405" s="737" t="n"/>
      <c r="T405" s="737" t="n"/>
      <c r="U405" s="737" t="n"/>
      <c r="V405" s="737" t="n"/>
      <c r="W405" s="737" t="n"/>
      <c r="X405" s="737" t="n"/>
      <c r="Y405" s="737" t="n"/>
      <c r="Z405" s="737" t="n"/>
      <c r="AA405" s="737" t="n"/>
      <c r="AB405" s="737" t="n"/>
      <c r="AC405" s="737" t="n"/>
      <c r="AD405" s="737" t="n"/>
      <c r="AE405" s="737" t="n"/>
      <c r="AF405" s="737" t="n"/>
      <c r="AG405" s="737" t="n"/>
      <c r="AH405" s="737" t="n"/>
      <c r="AI405" s="737" t="n"/>
      <c r="AJ405" s="737" t="n"/>
      <c r="AK405" s="588" t="n"/>
      <c r="AL405" s="588" t="n"/>
      <c r="AM405" s="588" t="n"/>
      <c r="AN405" s="588" t="n"/>
      <c r="AO405" s="588" t="n"/>
      <c r="AP405" s="588" t="n"/>
      <c r="AQ405" s="588" t="n"/>
      <c r="AR405" s="588" t="n"/>
      <c r="AS405" s="588" t="n"/>
      <c r="AT405" s="588" t="n"/>
      <c r="AU405" s="588" t="n"/>
      <c r="AV405" s="588" t="n"/>
      <c r="AW405" s="588" t="n"/>
      <c r="AX405" s="588" t="n"/>
      <c r="AY405" s="588" t="n"/>
      <c r="AZ405" s="588" t="n"/>
      <c r="BA405" s="588" t="n"/>
      <c r="BB405" s="588" t="n"/>
      <c r="BC405" s="588" t="n"/>
      <c r="BD405" s="588" t="n"/>
      <c r="BE405" s="588" t="n"/>
      <c r="BF405" s="588" t="n"/>
      <c r="BG405" s="588" t="n"/>
      <c r="BH405" s="588" t="n"/>
      <c r="BI405" s="588" t="n"/>
      <c r="BJ405" s="588" t="n"/>
      <c r="BK405" s="588" t="n"/>
      <c r="BL405" s="588" t="n"/>
      <c r="BM405" s="588" t="n"/>
      <c r="BN405" s="588" t="n"/>
      <c r="BO405" s="588" t="n"/>
      <c r="BP405" s="588" t="n"/>
      <c r="BQ405" s="588" t="n"/>
      <c r="BR405" s="588" t="n"/>
      <c r="BS405" s="588" t="n"/>
      <c r="BT405" s="588" t="n"/>
      <c r="BU405" s="588" t="n"/>
      <c r="BV405" s="588" t="n"/>
      <c r="BW405" s="588" t="n"/>
      <c r="BX405" s="588" t="n"/>
      <c r="BY405" s="588" t="n"/>
      <c r="BZ405" s="588" t="n"/>
      <c r="CA405" s="588" t="n"/>
      <c r="CB405" s="588" t="n"/>
      <c r="CC405" s="588" t="n"/>
      <c r="CD405" s="588" t="n"/>
      <c r="CE405" s="588" t="n"/>
      <c r="CF405" s="588" t="n"/>
      <c r="CG405" s="588" t="n"/>
      <c r="CH405" s="588" t="n"/>
      <c r="CI405" s="588" t="n"/>
      <c r="CJ405" s="588" t="n"/>
      <c r="CK405" s="588" t="n"/>
      <c r="CL405" s="588" t="n"/>
      <c r="CM405" s="588" t="n"/>
      <c r="CN405" s="588" t="n"/>
      <c r="CO405" s="588" t="n"/>
      <c r="CP405" s="588" t="n"/>
      <c r="CQ405" s="588" t="n"/>
      <c r="CR405" s="588" t="n"/>
      <c r="CS405" s="588" t="n"/>
      <c r="CT405" s="588" t="n"/>
      <c r="CU405" s="588" t="n"/>
      <c r="CV405" s="588" t="n"/>
      <c r="CW405" s="588" t="n"/>
      <c r="CX405" s="588" t="n"/>
      <c r="CY405" s="588" t="n"/>
      <c r="CZ405" s="588" t="n"/>
      <c r="DA405" s="588" t="n"/>
      <c r="DB405" s="588" t="n"/>
      <c r="DC405" s="588" t="n"/>
      <c r="DD405" s="588" t="n"/>
      <c r="DE405" s="588" t="n"/>
      <c r="DF405" s="588" t="n"/>
      <c r="DG405" s="588" t="n"/>
      <c r="DH405" s="588" t="n"/>
      <c r="DI405" s="588" t="n"/>
      <c r="DJ405" s="588" t="n"/>
      <c r="DK405" s="588" t="n"/>
      <c r="DL405" s="588" t="n"/>
      <c r="DM405" s="588" t="n"/>
      <c r="DN405" s="588" t="n"/>
      <c r="DO405" s="588" t="n"/>
      <c r="DP405" s="588" t="n"/>
      <c r="DQ405" s="588" t="n"/>
      <c r="DR405" s="588" t="n"/>
      <c r="DS405" s="588" t="n"/>
      <c r="DT405" s="588" t="n"/>
      <c r="DU405" s="588" t="n"/>
    </row>
    <row r="406">
      <c r="A406" s="737" t="n"/>
      <c r="B406" s="737" t="n"/>
      <c r="C406" s="737" t="n"/>
      <c r="D406" s="737" t="n"/>
      <c r="E406" s="737" t="n"/>
      <c r="F406" s="737" t="n"/>
      <c r="G406" s="737" t="n"/>
      <c r="H406" s="737" t="n"/>
      <c r="I406" s="737" t="n"/>
      <c r="J406" s="737" t="n"/>
      <c r="K406" s="737" t="n"/>
      <c r="L406" s="737" t="n"/>
      <c r="M406" s="737" t="n"/>
      <c r="N406" s="737" t="n"/>
      <c r="O406" s="737" t="n"/>
      <c r="P406" s="737" t="n"/>
      <c r="Q406" s="737" t="n"/>
      <c r="R406" s="737" t="n"/>
      <c r="S406" s="737" t="n"/>
      <c r="T406" s="737" t="n"/>
      <c r="U406" s="737" t="n"/>
      <c r="V406" s="737" t="n"/>
      <c r="W406" s="737" t="n"/>
      <c r="X406" s="737" t="n"/>
      <c r="Y406" s="737" t="n"/>
      <c r="Z406" s="737" t="n"/>
      <c r="AA406" s="737" t="n"/>
      <c r="AB406" s="737" t="n"/>
      <c r="AC406" s="737" t="n"/>
      <c r="AD406" s="737" t="n"/>
      <c r="AE406" s="737" t="n"/>
      <c r="AF406" s="737" t="n"/>
      <c r="AG406" s="737" t="n"/>
      <c r="AH406" s="737" t="n"/>
      <c r="AI406" s="737" t="n"/>
      <c r="AJ406" s="737" t="n"/>
      <c r="AK406" s="588" t="n"/>
      <c r="AL406" s="588" t="n"/>
      <c r="AM406" s="588" t="n"/>
      <c r="AN406" s="588" t="n"/>
      <c r="AO406" s="588" t="n"/>
      <c r="AP406" s="588" t="n"/>
      <c r="AQ406" s="588" t="n"/>
      <c r="AR406" s="588" t="n"/>
      <c r="AS406" s="588" t="n"/>
      <c r="AT406" s="588" t="n"/>
      <c r="AU406" s="588" t="n"/>
      <c r="AV406" s="588" t="n"/>
      <c r="AW406" s="588" t="n"/>
      <c r="AX406" s="588" t="n"/>
      <c r="AY406" s="588" t="n"/>
      <c r="AZ406" s="588" t="n"/>
      <c r="BA406" s="588" t="n"/>
      <c r="BB406" s="588" t="n"/>
      <c r="BC406" s="588" t="n"/>
      <c r="BD406" s="588" t="n"/>
      <c r="BE406" s="588" t="n"/>
      <c r="BF406" s="588" t="n"/>
      <c r="BG406" s="588" t="n"/>
      <c r="BH406" s="588" t="n"/>
      <c r="BI406" s="588" t="n"/>
      <c r="BJ406" s="588" t="n"/>
      <c r="BK406" s="588" t="n"/>
      <c r="BL406" s="588" t="n"/>
      <c r="BM406" s="588" t="n"/>
      <c r="BN406" s="588" t="n"/>
      <c r="BO406" s="588" t="n"/>
      <c r="BP406" s="588" t="n"/>
      <c r="BQ406" s="588" t="n"/>
      <c r="BR406" s="588" t="n"/>
      <c r="BS406" s="588" t="n"/>
      <c r="BT406" s="588" t="n"/>
      <c r="BU406" s="588" t="n"/>
      <c r="BV406" s="588" t="n"/>
      <c r="BW406" s="588" t="n"/>
      <c r="BX406" s="588" t="n"/>
      <c r="BY406" s="588" t="n"/>
      <c r="BZ406" s="588" t="n"/>
      <c r="CA406" s="588" t="n"/>
      <c r="CB406" s="588" t="n"/>
      <c r="CC406" s="588" t="n"/>
      <c r="CD406" s="588" t="n"/>
      <c r="CE406" s="588" t="n"/>
      <c r="CF406" s="588" t="n"/>
      <c r="CG406" s="588" t="n"/>
      <c r="CH406" s="588" t="n"/>
      <c r="CI406" s="588" t="n"/>
      <c r="CJ406" s="588" t="n"/>
      <c r="CK406" s="588" t="n"/>
      <c r="CL406" s="588" t="n"/>
      <c r="CM406" s="588" t="n"/>
      <c r="CN406" s="588" t="n"/>
      <c r="CO406" s="588" t="n"/>
      <c r="CP406" s="588" t="n"/>
      <c r="CQ406" s="588" t="n"/>
      <c r="CR406" s="588" t="n"/>
      <c r="CS406" s="588" t="n"/>
      <c r="CT406" s="588" t="n"/>
      <c r="CU406" s="588" t="n"/>
      <c r="CV406" s="588" t="n"/>
      <c r="CW406" s="588" t="n"/>
      <c r="CX406" s="588" t="n"/>
      <c r="CY406" s="588" t="n"/>
      <c r="CZ406" s="588" t="n"/>
      <c r="DA406" s="588" t="n"/>
      <c r="DB406" s="588" t="n"/>
      <c r="DC406" s="588" t="n"/>
      <c r="DD406" s="588" t="n"/>
      <c r="DE406" s="588" t="n"/>
      <c r="DF406" s="588" t="n"/>
      <c r="DG406" s="588" t="n"/>
      <c r="DH406" s="588" t="n"/>
      <c r="DI406" s="588" t="n"/>
      <c r="DJ406" s="588" t="n"/>
      <c r="DK406" s="588" t="n"/>
      <c r="DL406" s="588" t="n"/>
      <c r="DM406" s="588" t="n"/>
      <c r="DN406" s="588" t="n"/>
      <c r="DO406" s="588" t="n"/>
      <c r="DP406" s="588" t="n"/>
      <c r="DQ406" s="588" t="n"/>
      <c r="DR406" s="588" t="n"/>
      <c r="DS406" s="588" t="n"/>
      <c r="DT406" s="588" t="n"/>
      <c r="DU406" s="588" t="n"/>
    </row>
    <row r="407">
      <c r="A407" s="737" t="n"/>
      <c r="B407" s="737" t="n"/>
      <c r="C407" s="737" t="n"/>
      <c r="D407" s="737" t="n"/>
      <c r="E407" s="737" t="n"/>
      <c r="F407" s="737" t="n"/>
      <c r="G407" s="737" t="n"/>
      <c r="H407" s="737" t="n"/>
      <c r="I407" s="737" t="n"/>
      <c r="J407" s="737" t="n"/>
      <c r="K407" s="737" t="n"/>
      <c r="L407" s="737" t="n"/>
      <c r="M407" s="737" t="n"/>
      <c r="N407" s="737" t="n"/>
      <c r="O407" s="737" t="n"/>
      <c r="P407" s="737" t="n"/>
      <c r="Q407" s="737" t="n"/>
      <c r="R407" s="737" t="n"/>
      <c r="S407" s="737" t="n"/>
      <c r="T407" s="737" t="n"/>
      <c r="U407" s="737" t="n"/>
      <c r="V407" s="737" t="n"/>
      <c r="W407" s="737" t="n"/>
      <c r="X407" s="737" t="n"/>
      <c r="Y407" s="737" t="n"/>
      <c r="Z407" s="737" t="n"/>
      <c r="AA407" s="737" t="n"/>
      <c r="AB407" s="737" t="n"/>
      <c r="AC407" s="737" t="n"/>
      <c r="AD407" s="737" t="n"/>
      <c r="AE407" s="737" t="n"/>
      <c r="AF407" s="737" t="n"/>
      <c r="AG407" s="737" t="n"/>
      <c r="AH407" s="737" t="n"/>
      <c r="AI407" s="737" t="n"/>
      <c r="AJ407" s="737" t="n"/>
      <c r="AK407" s="588" t="n"/>
      <c r="AL407" s="588" t="n"/>
      <c r="AM407" s="588" t="n"/>
      <c r="AN407" s="588" t="n"/>
      <c r="AO407" s="588" t="n"/>
      <c r="AP407" s="588" t="n"/>
      <c r="AQ407" s="588" t="n"/>
      <c r="AR407" s="588" t="n"/>
      <c r="AS407" s="588" t="n"/>
      <c r="AT407" s="588" t="n"/>
      <c r="AU407" s="588" t="n"/>
      <c r="AV407" s="588" t="n"/>
      <c r="AW407" s="588" t="n"/>
      <c r="AX407" s="588" t="n"/>
      <c r="AY407" s="588" t="n"/>
      <c r="AZ407" s="588" t="n"/>
      <c r="BA407" s="588" t="n"/>
      <c r="BB407" s="588" t="n"/>
      <c r="BC407" s="588" t="n"/>
      <c r="BD407" s="588" t="n"/>
      <c r="BE407" s="588" t="n"/>
      <c r="BF407" s="588" t="n"/>
      <c r="BG407" s="588" t="n"/>
      <c r="BH407" s="588" t="n"/>
      <c r="BI407" s="588" t="n"/>
      <c r="BJ407" s="588" t="n"/>
      <c r="BK407" s="588" t="n"/>
      <c r="BL407" s="588" t="n"/>
      <c r="BM407" s="588" t="n"/>
      <c r="BN407" s="588" t="n"/>
      <c r="BO407" s="588" t="n"/>
      <c r="BP407" s="588" t="n"/>
      <c r="BQ407" s="588" t="n"/>
      <c r="BR407" s="588" t="n"/>
      <c r="BS407" s="588" t="n"/>
      <c r="BT407" s="588" t="n"/>
      <c r="BU407" s="588" t="n"/>
      <c r="BV407" s="588" t="n"/>
      <c r="BW407" s="588" t="n"/>
      <c r="BX407" s="588" t="n"/>
      <c r="BY407" s="588" t="n"/>
      <c r="BZ407" s="588" t="n"/>
      <c r="CA407" s="588" t="n"/>
      <c r="CB407" s="588" t="n"/>
      <c r="CC407" s="588" t="n"/>
      <c r="CD407" s="588" t="n"/>
      <c r="CE407" s="588" t="n"/>
      <c r="CF407" s="588" t="n"/>
      <c r="CG407" s="588" t="n"/>
      <c r="CH407" s="588" t="n"/>
      <c r="CI407" s="588" t="n"/>
      <c r="CJ407" s="588" t="n"/>
      <c r="CK407" s="588" t="n"/>
      <c r="CL407" s="588" t="n"/>
      <c r="CM407" s="588" t="n"/>
      <c r="CN407" s="588" t="n"/>
      <c r="CO407" s="588" t="n"/>
      <c r="CP407" s="588" t="n"/>
      <c r="CQ407" s="588" t="n"/>
      <c r="CR407" s="588" t="n"/>
      <c r="CS407" s="588" t="n"/>
      <c r="CT407" s="588" t="n"/>
      <c r="CU407" s="588" t="n"/>
      <c r="CV407" s="588" t="n"/>
      <c r="CW407" s="588" t="n"/>
      <c r="CX407" s="588" t="n"/>
      <c r="CY407" s="588" t="n"/>
      <c r="CZ407" s="588" t="n"/>
      <c r="DA407" s="588" t="n"/>
      <c r="DB407" s="588" t="n"/>
      <c r="DC407" s="588" t="n"/>
      <c r="DD407" s="588" t="n"/>
      <c r="DE407" s="588" t="n"/>
      <c r="DF407" s="588" t="n"/>
      <c r="DG407" s="588" t="n"/>
      <c r="DH407" s="588" t="n"/>
      <c r="DI407" s="588" t="n"/>
      <c r="DJ407" s="588" t="n"/>
      <c r="DK407" s="588" t="n"/>
      <c r="DL407" s="588" t="n"/>
      <c r="DM407" s="588" t="n"/>
      <c r="DN407" s="588" t="n"/>
      <c r="DO407" s="588" t="n"/>
      <c r="DP407" s="588" t="n"/>
      <c r="DQ407" s="588" t="n"/>
      <c r="DR407" s="588" t="n"/>
      <c r="DS407" s="588" t="n"/>
      <c r="DT407" s="588" t="n"/>
      <c r="DU407" s="588" t="n"/>
    </row>
    <row r="408">
      <c r="A408" s="737" t="n"/>
      <c r="B408" s="737" t="n"/>
      <c r="C408" s="737" t="n"/>
      <c r="D408" s="737" t="n"/>
      <c r="E408" s="737" t="n"/>
      <c r="F408" s="737" t="n"/>
      <c r="G408" s="737" t="n"/>
      <c r="H408" s="737" t="n"/>
      <c r="I408" s="737" t="n"/>
      <c r="J408" s="737" t="n"/>
      <c r="K408" s="737" t="n"/>
      <c r="L408" s="737" t="n"/>
      <c r="M408" s="737" t="n"/>
      <c r="N408" s="737" t="n"/>
      <c r="O408" s="737" t="n"/>
      <c r="P408" s="737" t="n"/>
      <c r="Q408" s="737" t="n"/>
      <c r="R408" s="737" t="n"/>
      <c r="S408" s="737" t="n"/>
      <c r="T408" s="737" t="n"/>
      <c r="U408" s="737" t="n"/>
      <c r="V408" s="737" t="n"/>
      <c r="W408" s="737" t="n"/>
      <c r="X408" s="737" t="n"/>
      <c r="Y408" s="737" t="n"/>
      <c r="Z408" s="737" t="n"/>
      <c r="AA408" s="737" t="n"/>
      <c r="AB408" s="737" t="n"/>
      <c r="AC408" s="737" t="n"/>
      <c r="AD408" s="737" t="n"/>
      <c r="AE408" s="737" t="n"/>
      <c r="AF408" s="737" t="n"/>
      <c r="AG408" s="737" t="n"/>
      <c r="AH408" s="737" t="n"/>
      <c r="AI408" s="737" t="n"/>
      <c r="AJ408" s="737" t="n"/>
      <c r="AK408" s="588" t="n"/>
      <c r="AL408" s="588" t="n"/>
      <c r="AM408" s="588" t="n"/>
      <c r="AN408" s="588" t="n"/>
      <c r="AO408" s="588" t="n"/>
      <c r="AP408" s="588" t="n"/>
      <c r="AQ408" s="588" t="n"/>
      <c r="AR408" s="588" t="n"/>
      <c r="AS408" s="588" t="n"/>
      <c r="AT408" s="588" t="n"/>
      <c r="AU408" s="588" t="n"/>
      <c r="AV408" s="588" t="n"/>
      <c r="AW408" s="588" t="n"/>
      <c r="AX408" s="588" t="n"/>
      <c r="AY408" s="588" t="n"/>
      <c r="AZ408" s="588" t="n"/>
      <c r="BA408" s="588" t="n"/>
      <c r="BB408" s="588" t="n"/>
      <c r="BC408" s="588" t="n"/>
      <c r="BD408" s="588" t="n"/>
      <c r="BE408" s="588" t="n"/>
      <c r="BF408" s="588" t="n"/>
      <c r="BG408" s="588" t="n"/>
      <c r="BH408" s="588" t="n"/>
      <c r="BI408" s="588" t="n"/>
      <c r="BJ408" s="588" t="n"/>
      <c r="BK408" s="588" t="n"/>
      <c r="BL408" s="588" t="n"/>
      <c r="BM408" s="588" t="n"/>
      <c r="BN408" s="588" t="n"/>
      <c r="BO408" s="588" t="n"/>
      <c r="BP408" s="588" t="n"/>
      <c r="BQ408" s="588" t="n"/>
      <c r="BR408" s="588" t="n"/>
      <c r="BS408" s="588" t="n"/>
      <c r="BT408" s="588" t="n"/>
      <c r="BU408" s="588" t="n"/>
      <c r="BV408" s="588" t="n"/>
      <c r="BW408" s="588" t="n"/>
      <c r="BX408" s="588" t="n"/>
      <c r="BY408" s="588" t="n"/>
      <c r="BZ408" s="588" t="n"/>
      <c r="CA408" s="588" t="n"/>
      <c r="CB408" s="588" t="n"/>
      <c r="CC408" s="588" t="n"/>
      <c r="CD408" s="588" t="n"/>
      <c r="CE408" s="588" t="n"/>
      <c r="CF408" s="588" t="n"/>
      <c r="CG408" s="588" t="n"/>
      <c r="CH408" s="588" t="n"/>
      <c r="CI408" s="588" t="n"/>
      <c r="CJ408" s="588" t="n"/>
      <c r="CK408" s="588" t="n"/>
      <c r="CL408" s="588" t="n"/>
      <c r="CM408" s="588" t="n"/>
      <c r="CN408" s="588" t="n"/>
      <c r="CO408" s="588" t="n"/>
      <c r="CP408" s="588" t="n"/>
      <c r="CQ408" s="588" t="n"/>
      <c r="CR408" s="588" t="n"/>
      <c r="CS408" s="588" t="n"/>
      <c r="CT408" s="588" t="n"/>
      <c r="CU408" s="588" t="n"/>
      <c r="CV408" s="588" t="n"/>
      <c r="CW408" s="588" t="n"/>
      <c r="CX408" s="588" t="n"/>
      <c r="CY408" s="588" t="n"/>
      <c r="CZ408" s="588" t="n"/>
      <c r="DA408" s="588" t="n"/>
      <c r="DB408" s="588" t="n"/>
      <c r="DC408" s="588" t="n"/>
      <c r="DD408" s="588" t="n"/>
      <c r="DE408" s="588" t="n"/>
      <c r="DF408" s="588" t="n"/>
      <c r="DG408" s="588" t="n"/>
      <c r="DH408" s="588" t="n"/>
      <c r="DI408" s="588" t="n"/>
      <c r="DJ408" s="588" t="n"/>
      <c r="DK408" s="588" t="n"/>
      <c r="DL408" s="588" t="n"/>
      <c r="DM408" s="588" t="n"/>
      <c r="DN408" s="588" t="n"/>
      <c r="DO408" s="588" t="n"/>
      <c r="DP408" s="588" t="n"/>
      <c r="DQ408" s="588" t="n"/>
      <c r="DR408" s="588" t="n"/>
      <c r="DS408" s="588" t="n"/>
      <c r="DT408" s="588" t="n"/>
      <c r="DU408" s="588" t="n"/>
    </row>
    <row r="409">
      <c r="A409" s="737" t="n"/>
      <c r="B409" s="737" t="n"/>
      <c r="C409" s="737" t="n"/>
      <c r="D409" s="737" t="n"/>
      <c r="E409" s="737" t="n"/>
      <c r="F409" s="737" t="n"/>
      <c r="G409" s="737" t="n"/>
      <c r="H409" s="737" t="n"/>
      <c r="I409" s="737" t="n"/>
      <c r="J409" s="737" t="n"/>
      <c r="K409" s="737" t="n"/>
      <c r="L409" s="737" t="n"/>
      <c r="M409" s="737" t="n"/>
      <c r="N409" s="737" t="n"/>
      <c r="O409" s="737" t="n"/>
      <c r="P409" s="737" t="n"/>
      <c r="Q409" s="737" t="n"/>
      <c r="R409" s="737" t="n"/>
      <c r="S409" s="737" t="n"/>
      <c r="T409" s="737" t="n"/>
      <c r="U409" s="737" t="n"/>
      <c r="V409" s="737" t="n"/>
      <c r="W409" s="737" t="n"/>
      <c r="X409" s="737" t="n"/>
      <c r="Y409" s="737" t="n"/>
      <c r="Z409" s="737" t="n"/>
      <c r="AA409" s="737" t="n"/>
      <c r="AB409" s="737" t="n"/>
      <c r="AC409" s="737" t="n"/>
      <c r="AD409" s="737" t="n"/>
      <c r="AE409" s="737" t="n"/>
      <c r="AF409" s="737" t="n"/>
      <c r="AG409" s="737" t="n"/>
      <c r="AH409" s="737" t="n"/>
      <c r="AI409" s="737" t="n"/>
      <c r="AJ409" s="737" t="n"/>
      <c r="AK409" s="588" t="n"/>
      <c r="AL409" s="588" t="n"/>
      <c r="AM409" s="588" t="n"/>
      <c r="AN409" s="588" t="n"/>
      <c r="AO409" s="588" t="n"/>
      <c r="AP409" s="588" t="n"/>
      <c r="AQ409" s="588" t="n"/>
      <c r="AR409" s="588" t="n"/>
      <c r="AS409" s="588" t="n"/>
      <c r="AT409" s="588" t="n"/>
      <c r="AU409" s="588" t="n"/>
      <c r="AV409" s="588" t="n"/>
      <c r="AW409" s="588" t="n"/>
      <c r="AX409" s="588" t="n"/>
      <c r="AY409" s="588" t="n"/>
      <c r="AZ409" s="588" t="n"/>
      <c r="BA409" s="588" t="n"/>
      <c r="BB409" s="588" t="n"/>
      <c r="BC409" s="588" t="n"/>
      <c r="BD409" s="588" t="n"/>
      <c r="BE409" s="588" t="n"/>
      <c r="BF409" s="588" t="n"/>
      <c r="BG409" s="588" t="n"/>
      <c r="BH409" s="588" t="n"/>
      <c r="BI409" s="588" t="n"/>
      <c r="BJ409" s="588" t="n"/>
      <c r="BK409" s="588" t="n"/>
      <c r="BL409" s="588" t="n"/>
      <c r="BM409" s="588" t="n"/>
      <c r="BN409" s="588" t="n"/>
      <c r="BO409" s="588" t="n"/>
      <c r="BP409" s="588" t="n"/>
      <c r="BQ409" s="588" t="n"/>
      <c r="BR409" s="588" t="n"/>
      <c r="BS409" s="588" t="n"/>
      <c r="BT409" s="588" t="n"/>
      <c r="BU409" s="588" t="n"/>
      <c r="BV409" s="588" t="n"/>
      <c r="BW409" s="588" t="n"/>
      <c r="BX409" s="588" t="n"/>
      <c r="BY409" s="588" t="n"/>
      <c r="BZ409" s="588" t="n"/>
      <c r="CA409" s="588" t="n"/>
      <c r="CB409" s="588" t="n"/>
      <c r="CC409" s="588" t="n"/>
      <c r="CD409" s="588" t="n"/>
      <c r="CE409" s="588" t="n"/>
      <c r="CF409" s="588" t="n"/>
      <c r="CG409" s="588" t="n"/>
      <c r="CH409" s="588" t="n"/>
      <c r="CI409" s="588" t="n"/>
      <c r="CJ409" s="588" t="n"/>
      <c r="CK409" s="588" t="n"/>
      <c r="CL409" s="588" t="n"/>
      <c r="CM409" s="588" t="n"/>
      <c r="CN409" s="588" t="n"/>
      <c r="CO409" s="588" t="n"/>
      <c r="CP409" s="588" t="n"/>
      <c r="CQ409" s="588" t="n"/>
      <c r="CR409" s="588" t="n"/>
      <c r="CS409" s="588" t="n"/>
      <c r="CT409" s="588" t="n"/>
      <c r="CU409" s="588" t="n"/>
      <c r="CV409" s="588" t="n"/>
      <c r="CW409" s="588" t="n"/>
      <c r="CX409" s="588" t="n"/>
      <c r="CY409" s="588" t="n"/>
      <c r="CZ409" s="588" t="n"/>
      <c r="DA409" s="588" t="n"/>
      <c r="DB409" s="588" t="n"/>
      <c r="DC409" s="588" t="n"/>
      <c r="DD409" s="588" t="n"/>
      <c r="DE409" s="588" t="n"/>
      <c r="DF409" s="588" t="n"/>
      <c r="DG409" s="588" t="n"/>
      <c r="DH409" s="588" t="n"/>
      <c r="DI409" s="588" t="n"/>
      <c r="DJ409" s="588" t="n"/>
      <c r="DK409" s="588" t="n"/>
      <c r="DL409" s="588" t="n"/>
      <c r="DM409" s="588" t="n"/>
      <c r="DN409" s="588" t="n"/>
      <c r="DO409" s="588" t="n"/>
      <c r="DP409" s="588" t="n"/>
      <c r="DQ409" s="588" t="n"/>
      <c r="DR409" s="588" t="n"/>
      <c r="DS409" s="588" t="n"/>
      <c r="DT409" s="588" t="n"/>
      <c r="DU409" s="588" t="n"/>
    </row>
    <row r="410">
      <c r="A410" s="737" t="n"/>
      <c r="B410" s="737" t="n"/>
      <c r="C410" s="737" t="n"/>
      <c r="D410" s="737" t="n"/>
      <c r="E410" s="737" t="n"/>
      <c r="F410" s="737" t="n"/>
      <c r="G410" s="737" t="n"/>
      <c r="H410" s="737" t="n"/>
      <c r="I410" s="737" t="n"/>
      <c r="J410" s="737" t="n"/>
      <c r="K410" s="737" t="n"/>
      <c r="L410" s="737" t="n"/>
      <c r="M410" s="737" t="n"/>
      <c r="N410" s="737" t="n"/>
      <c r="O410" s="737" t="n"/>
      <c r="P410" s="737" t="n"/>
      <c r="Q410" s="737" t="n"/>
      <c r="R410" s="737" t="n"/>
      <c r="S410" s="737" t="n"/>
      <c r="T410" s="737" t="n"/>
      <c r="U410" s="737" t="n"/>
      <c r="V410" s="737" t="n"/>
      <c r="W410" s="737" t="n"/>
      <c r="X410" s="737" t="n"/>
      <c r="Y410" s="737" t="n"/>
      <c r="Z410" s="737" t="n"/>
      <c r="AA410" s="737" t="n"/>
      <c r="AB410" s="737" t="n"/>
      <c r="AC410" s="737" t="n"/>
      <c r="AD410" s="737" t="n"/>
      <c r="AE410" s="737" t="n"/>
      <c r="AF410" s="737" t="n"/>
      <c r="AG410" s="737" t="n"/>
      <c r="AH410" s="737" t="n"/>
      <c r="AI410" s="737" t="n"/>
      <c r="AJ410" s="737" t="n"/>
      <c r="AK410" s="588" t="n"/>
      <c r="AL410" s="588" t="n"/>
      <c r="AM410" s="588" t="n"/>
      <c r="AN410" s="588" t="n"/>
      <c r="AO410" s="588" t="n"/>
      <c r="AP410" s="588" t="n"/>
      <c r="AQ410" s="588" t="n"/>
      <c r="AR410" s="588" t="n"/>
      <c r="AS410" s="588" t="n"/>
      <c r="AT410" s="588" t="n"/>
      <c r="AU410" s="588" t="n"/>
      <c r="AV410" s="588" t="n"/>
      <c r="AW410" s="588" t="n"/>
      <c r="AX410" s="588" t="n"/>
      <c r="AY410" s="588" t="n"/>
      <c r="AZ410" s="588" t="n"/>
      <c r="BA410" s="588" t="n"/>
      <c r="BB410" s="588" t="n"/>
      <c r="BC410" s="588" t="n"/>
      <c r="BD410" s="588" t="n"/>
      <c r="BE410" s="588" t="n"/>
      <c r="BF410" s="588" t="n"/>
      <c r="BG410" s="588" t="n"/>
      <c r="BH410" s="588" t="n"/>
      <c r="BI410" s="588" t="n"/>
      <c r="BJ410" s="588" t="n"/>
      <c r="BK410" s="588" t="n"/>
      <c r="BL410" s="588" t="n"/>
      <c r="BM410" s="588" t="n"/>
      <c r="BN410" s="588" t="n"/>
      <c r="BO410" s="588" t="n"/>
      <c r="BP410" s="588" t="n"/>
      <c r="BQ410" s="588" t="n"/>
      <c r="BR410" s="588" t="n"/>
      <c r="BS410" s="588" t="n"/>
      <c r="BT410" s="588" t="n"/>
      <c r="BU410" s="588" t="n"/>
      <c r="BV410" s="588" t="n"/>
      <c r="BW410" s="588" t="n"/>
      <c r="BX410" s="588" t="n"/>
      <c r="BY410" s="588" t="n"/>
      <c r="BZ410" s="588" t="n"/>
      <c r="CA410" s="588" t="n"/>
      <c r="CB410" s="588" t="n"/>
      <c r="CC410" s="588" t="n"/>
      <c r="CD410" s="588" t="n"/>
      <c r="CE410" s="588" t="n"/>
      <c r="CF410" s="588" t="n"/>
      <c r="CG410" s="588" t="n"/>
      <c r="CH410" s="588" t="n"/>
      <c r="CI410" s="588" t="n"/>
      <c r="CJ410" s="588" t="n"/>
      <c r="CK410" s="588" t="n"/>
      <c r="CL410" s="588" t="n"/>
      <c r="CM410" s="588" t="n"/>
      <c r="CN410" s="588" t="n"/>
      <c r="CO410" s="588" t="n"/>
      <c r="CP410" s="588" t="n"/>
      <c r="CQ410" s="588" t="n"/>
      <c r="CR410" s="588" t="n"/>
      <c r="CS410" s="588" t="n"/>
      <c r="CT410" s="588" t="n"/>
      <c r="CU410" s="588" t="n"/>
      <c r="CV410" s="588" t="n"/>
      <c r="CW410" s="588" t="n"/>
      <c r="CX410" s="588" t="n"/>
      <c r="CY410" s="588" t="n"/>
      <c r="CZ410" s="588" t="n"/>
      <c r="DA410" s="588" t="n"/>
      <c r="DB410" s="588" t="n"/>
      <c r="DC410" s="588" t="n"/>
      <c r="DD410" s="588" t="n"/>
      <c r="DE410" s="588" t="n"/>
      <c r="DF410" s="588" t="n"/>
      <c r="DG410" s="588" t="n"/>
      <c r="DH410" s="588" t="n"/>
      <c r="DI410" s="588" t="n"/>
      <c r="DJ410" s="588" t="n"/>
      <c r="DK410" s="588" t="n"/>
      <c r="DL410" s="588" t="n"/>
      <c r="DM410" s="588" t="n"/>
      <c r="DN410" s="588" t="n"/>
      <c r="DO410" s="588" t="n"/>
      <c r="DP410" s="588" t="n"/>
      <c r="DQ410" s="588" t="n"/>
      <c r="DR410" s="588" t="n"/>
      <c r="DS410" s="588" t="n"/>
      <c r="DT410" s="588" t="n"/>
      <c r="DU410" s="588" t="n"/>
    </row>
    <row r="411">
      <c r="A411" s="737" t="n"/>
      <c r="B411" s="737" t="n"/>
      <c r="C411" s="737" t="n"/>
      <c r="D411" s="737" t="n"/>
      <c r="E411" s="737" t="n"/>
      <c r="F411" s="737" t="n"/>
      <c r="G411" s="737" t="n"/>
      <c r="H411" s="737" t="n"/>
      <c r="I411" s="737" t="n"/>
      <c r="J411" s="737" t="n"/>
      <c r="K411" s="737" t="n"/>
      <c r="L411" s="737" t="n"/>
      <c r="M411" s="737" t="n"/>
      <c r="N411" s="737" t="n"/>
      <c r="O411" s="737" t="n"/>
      <c r="P411" s="737" t="n"/>
      <c r="Q411" s="737" t="n"/>
      <c r="R411" s="737" t="n"/>
      <c r="S411" s="737" t="n"/>
      <c r="T411" s="737" t="n"/>
      <c r="U411" s="737" t="n"/>
      <c r="V411" s="737" t="n"/>
      <c r="W411" s="737" t="n"/>
      <c r="X411" s="737" t="n"/>
      <c r="Y411" s="737" t="n"/>
      <c r="Z411" s="737" t="n"/>
      <c r="AA411" s="737" t="n"/>
      <c r="AB411" s="737" t="n"/>
      <c r="AC411" s="737" t="n"/>
      <c r="AD411" s="737" t="n"/>
      <c r="AE411" s="737" t="n"/>
      <c r="AF411" s="737" t="n"/>
      <c r="AG411" s="737" t="n"/>
      <c r="AH411" s="737" t="n"/>
      <c r="AI411" s="737" t="n"/>
      <c r="AJ411" s="737" t="n"/>
      <c r="AK411" s="588" t="n"/>
      <c r="AL411" s="588" t="n"/>
      <c r="AM411" s="588" t="n"/>
      <c r="AN411" s="588" t="n"/>
      <c r="AO411" s="588" t="n"/>
      <c r="AP411" s="588" t="n"/>
      <c r="AQ411" s="588" t="n"/>
      <c r="AR411" s="588" t="n"/>
      <c r="AS411" s="588" t="n"/>
      <c r="AT411" s="588" t="n"/>
      <c r="AU411" s="588" t="n"/>
      <c r="AV411" s="588" t="n"/>
      <c r="AW411" s="588" t="n"/>
      <c r="AX411" s="588" t="n"/>
      <c r="AY411" s="588" t="n"/>
      <c r="AZ411" s="588" t="n"/>
      <c r="BA411" s="588" t="n"/>
      <c r="BB411" s="588" t="n"/>
      <c r="BC411" s="588" t="n"/>
      <c r="BD411" s="588" t="n"/>
      <c r="BE411" s="588" t="n"/>
      <c r="BF411" s="588" t="n"/>
      <c r="BG411" s="588" t="n"/>
      <c r="BH411" s="588" t="n"/>
      <c r="BI411" s="588" t="n"/>
      <c r="BJ411" s="588" t="n"/>
      <c r="BK411" s="588" t="n"/>
      <c r="BL411" s="588" t="n"/>
      <c r="BM411" s="588" t="n"/>
      <c r="BN411" s="588" t="n"/>
      <c r="BO411" s="588" t="n"/>
      <c r="BP411" s="588" t="n"/>
      <c r="BQ411" s="588" t="n"/>
      <c r="BR411" s="588" t="n"/>
      <c r="BS411" s="588" t="n"/>
      <c r="BT411" s="588" t="n"/>
      <c r="BU411" s="588" t="n"/>
      <c r="BV411" s="588" t="n"/>
      <c r="BW411" s="588" t="n"/>
      <c r="BX411" s="588" t="n"/>
      <c r="BY411" s="588" t="n"/>
      <c r="BZ411" s="588" t="n"/>
      <c r="CA411" s="588" t="n"/>
      <c r="CB411" s="588" t="n"/>
      <c r="CC411" s="588" t="n"/>
      <c r="CD411" s="588" t="n"/>
      <c r="CE411" s="588" t="n"/>
      <c r="CF411" s="588" t="n"/>
      <c r="CG411" s="588" t="n"/>
      <c r="CH411" s="588" t="n"/>
      <c r="CI411" s="588" t="n"/>
      <c r="CJ411" s="588" t="n"/>
      <c r="CK411" s="588" t="n"/>
      <c r="CL411" s="588" t="n"/>
      <c r="CM411" s="588" t="n"/>
      <c r="CN411" s="588" t="n"/>
      <c r="CO411" s="588" t="n"/>
      <c r="CP411" s="588" t="n"/>
      <c r="CQ411" s="588" t="n"/>
      <c r="CR411" s="588" t="n"/>
      <c r="CS411" s="588" t="n"/>
      <c r="CT411" s="588" t="n"/>
      <c r="CU411" s="588" t="n"/>
      <c r="CV411" s="588" t="n"/>
      <c r="CW411" s="588" t="n"/>
      <c r="CX411" s="588" t="n"/>
      <c r="CY411" s="588" t="n"/>
      <c r="CZ411" s="588" t="n"/>
      <c r="DA411" s="588" t="n"/>
      <c r="DB411" s="588" t="n"/>
      <c r="DC411" s="588" t="n"/>
      <c r="DD411" s="588" t="n"/>
      <c r="DE411" s="588" t="n"/>
      <c r="DF411" s="588" t="n"/>
      <c r="DG411" s="588" t="n"/>
      <c r="DH411" s="588" t="n"/>
      <c r="DI411" s="588" t="n"/>
      <c r="DJ411" s="588" t="n"/>
      <c r="DK411" s="588" t="n"/>
      <c r="DL411" s="588" t="n"/>
      <c r="DM411" s="588" t="n"/>
      <c r="DN411" s="588" t="n"/>
      <c r="DO411" s="588" t="n"/>
      <c r="DP411" s="588" t="n"/>
      <c r="DQ411" s="588" t="n"/>
      <c r="DR411" s="588" t="n"/>
      <c r="DS411" s="588" t="n"/>
      <c r="DT411" s="588" t="n"/>
      <c r="DU411" s="588" t="n"/>
    </row>
    <row r="412">
      <c r="A412" s="737" t="n"/>
      <c r="B412" s="737" t="n"/>
      <c r="C412" s="737" t="n"/>
      <c r="D412" s="737" t="n"/>
      <c r="E412" s="737" t="n"/>
      <c r="F412" s="737" t="n"/>
      <c r="G412" s="737" t="n"/>
      <c r="H412" s="737" t="n"/>
      <c r="I412" s="737" t="n"/>
      <c r="J412" s="737" t="n"/>
      <c r="K412" s="737" t="n"/>
      <c r="L412" s="737" t="n"/>
      <c r="M412" s="737" t="n"/>
      <c r="N412" s="737" t="n"/>
      <c r="O412" s="737" t="n"/>
      <c r="P412" s="737" t="n"/>
      <c r="Q412" s="737" t="n"/>
      <c r="R412" s="737" t="n"/>
      <c r="S412" s="737" t="n"/>
      <c r="T412" s="737" t="n"/>
      <c r="U412" s="737" t="n"/>
      <c r="V412" s="737" t="n"/>
      <c r="W412" s="737" t="n"/>
      <c r="X412" s="737" t="n"/>
      <c r="Y412" s="737" t="n"/>
      <c r="Z412" s="737" t="n"/>
      <c r="AA412" s="737" t="n"/>
      <c r="AB412" s="737" t="n"/>
      <c r="AC412" s="737" t="n"/>
      <c r="AD412" s="737" t="n"/>
      <c r="AE412" s="737" t="n"/>
      <c r="AF412" s="737" t="n"/>
      <c r="AG412" s="737" t="n"/>
      <c r="AH412" s="737" t="n"/>
      <c r="AI412" s="737" t="n"/>
      <c r="AJ412" s="737" t="n"/>
      <c r="AK412" s="588" t="n"/>
      <c r="AL412" s="588" t="n"/>
      <c r="AM412" s="588" t="n"/>
      <c r="AN412" s="588" t="n"/>
      <c r="AO412" s="588" t="n"/>
      <c r="AP412" s="588" t="n"/>
      <c r="AQ412" s="588" t="n"/>
      <c r="AR412" s="588" t="n"/>
      <c r="AS412" s="588" t="n"/>
      <c r="AT412" s="588" t="n"/>
      <c r="AU412" s="588" t="n"/>
      <c r="AV412" s="588" t="n"/>
      <c r="AW412" s="588" t="n"/>
      <c r="AX412" s="588" t="n"/>
      <c r="AY412" s="588" t="n"/>
      <c r="AZ412" s="588" t="n"/>
      <c r="BA412" s="588" t="n"/>
      <c r="BB412" s="588" t="n"/>
      <c r="BC412" s="588" t="n"/>
      <c r="BD412" s="588" t="n"/>
      <c r="BE412" s="588" t="n"/>
      <c r="BF412" s="588" t="n"/>
      <c r="BG412" s="588" t="n"/>
      <c r="BH412" s="588" t="n"/>
      <c r="BI412" s="588" t="n"/>
      <c r="BJ412" s="588" t="n"/>
      <c r="BK412" s="588" t="n"/>
      <c r="BL412" s="588" t="n"/>
      <c r="BM412" s="588" t="n"/>
      <c r="BN412" s="588" t="n"/>
      <c r="BO412" s="588" t="n"/>
      <c r="BP412" s="588" t="n"/>
      <c r="BQ412" s="588" t="n"/>
      <c r="BR412" s="588" t="n"/>
      <c r="BS412" s="588" t="n"/>
      <c r="BT412" s="588" t="n"/>
      <c r="BU412" s="588" t="n"/>
      <c r="BV412" s="588" t="n"/>
      <c r="BW412" s="588" t="n"/>
      <c r="BX412" s="588" t="n"/>
      <c r="BY412" s="588" t="n"/>
      <c r="BZ412" s="588" t="n"/>
      <c r="CA412" s="588" t="n"/>
      <c r="CB412" s="588" t="n"/>
      <c r="CC412" s="588" t="n"/>
      <c r="CD412" s="588" t="n"/>
      <c r="CE412" s="588" t="n"/>
      <c r="CF412" s="588" t="n"/>
      <c r="CG412" s="588" t="n"/>
      <c r="CH412" s="588" t="n"/>
      <c r="CI412" s="588" t="n"/>
      <c r="CJ412" s="588" t="n"/>
      <c r="CK412" s="588" t="n"/>
      <c r="CL412" s="588" t="n"/>
      <c r="CM412" s="588" t="n"/>
      <c r="CN412" s="588" t="n"/>
      <c r="CO412" s="588" t="n"/>
      <c r="CP412" s="588" t="n"/>
      <c r="CQ412" s="588" t="n"/>
      <c r="CR412" s="588" t="n"/>
      <c r="CS412" s="588" t="n"/>
      <c r="CT412" s="588" t="n"/>
      <c r="CU412" s="588" t="n"/>
      <c r="CV412" s="588" t="n"/>
      <c r="CW412" s="588" t="n"/>
      <c r="CX412" s="588" t="n"/>
      <c r="CY412" s="588" t="n"/>
      <c r="CZ412" s="588" t="n"/>
      <c r="DA412" s="588" t="n"/>
      <c r="DB412" s="588" t="n"/>
      <c r="DC412" s="588" t="n"/>
      <c r="DD412" s="588" t="n"/>
      <c r="DE412" s="588" t="n"/>
      <c r="DF412" s="588" t="n"/>
      <c r="DG412" s="588" t="n"/>
      <c r="DH412" s="588" t="n"/>
      <c r="DI412" s="588" t="n"/>
      <c r="DJ412" s="588" t="n"/>
      <c r="DK412" s="588" t="n"/>
      <c r="DL412" s="588" t="n"/>
      <c r="DM412" s="588" t="n"/>
      <c r="DN412" s="588" t="n"/>
      <c r="DO412" s="588" t="n"/>
      <c r="DP412" s="588" t="n"/>
      <c r="DQ412" s="588" t="n"/>
      <c r="DR412" s="588" t="n"/>
      <c r="DS412" s="588" t="n"/>
      <c r="DT412" s="588" t="n"/>
      <c r="DU412" s="588" t="n"/>
    </row>
    <row r="413">
      <c r="A413" s="737" t="n"/>
      <c r="B413" s="737" t="n"/>
      <c r="C413" s="737" t="n"/>
      <c r="D413" s="737" t="n"/>
      <c r="E413" s="737" t="n"/>
      <c r="F413" s="737" t="n"/>
      <c r="G413" s="737" t="n"/>
      <c r="H413" s="737" t="n"/>
      <c r="I413" s="737" t="n"/>
      <c r="J413" s="737" t="n"/>
      <c r="K413" s="737" t="n"/>
      <c r="L413" s="737" t="n"/>
      <c r="M413" s="737" t="n"/>
      <c r="N413" s="737" t="n"/>
      <c r="O413" s="737" t="n"/>
      <c r="P413" s="737" t="n"/>
      <c r="Q413" s="737" t="n"/>
      <c r="R413" s="737" t="n"/>
      <c r="S413" s="737" t="n"/>
      <c r="T413" s="737" t="n"/>
      <c r="U413" s="737" t="n"/>
      <c r="V413" s="737" t="n"/>
      <c r="W413" s="737" t="n"/>
      <c r="X413" s="737" t="n"/>
      <c r="Y413" s="737" t="n"/>
      <c r="Z413" s="737" t="n"/>
      <c r="AA413" s="737" t="n"/>
      <c r="AB413" s="737" t="n"/>
      <c r="AC413" s="737" t="n"/>
      <c r="AD413" s="737" t="n"/>
      <c r="AE413" s="737" t="n"/>
      <c r="AF413" s="737" t="n"/>
      <c r="AG413" s="737" t="n"/>
      <c r="AH413" s="737" t="n"/>
      <c r="AI413" s="737" t="n"/>
      <c r="AJ413" s="737" t="n"/>
      <c r="AK413" s="588" t="n"/>
      <c r="AL413" s="588" t="n"/>
      <c r="AM413" s="588" t="n"/>
      <c r="AN413" s="588" t="n"/>
      <c r="AO413" s="588" t="n"/>
      <c r="AP413" s="588" t="n"/>
      <c r="AQ413" s="588" t="n"/>
      <c r="AR413" s="588" t="n"/>
      <c r="AS413" s="588" t="n"/>
      <c r="AT413" s="588" t="n"/>
      <c r="AU413" s="588" t="n"/>
      <c r="AV413" s="588" t="n"/>
      <c r="AW413" s="588" t="n"/>
      <c r="AX413" s="588" t="n"/>
      <c r="AY413" s="588" t="n"/>
      <c r="AZ413" s="588" t="n"/>
      <c r="BA413" s="588" t="n"/>
      <c r="BB413" s="588" t="n"/>
      <c r="BC413" s="588" t="n"/>
      <c r="BD413" s="588" t="n"/>
      <c r="BE413" s="588" t="n"/>
      <c r="BF413" s="588" t="n"/>
      <c r="BG413" s="588" t="n"/>
      <c r="BH413" s="588" t="n"/>
      <c r="BI413" s="588" t="n"/>
      <c r="BJ413" s="588" t="n"/>
      <c r="BK413" s="588" t="n"/>
      <c r="BL413" s="588" t="n"/>
      <c r="BM413" s="588" t="n"/>
      <c r="BN413" s="588" t="n"/>
      <c r="BO413" s="588" t="n"/>
      <c r="BP413" s="588" t="n"/>
      <c r="BQ413" s="588" t="n"/>
      <c r="BR413" s="588" t="n"/>
      <c r="BS413" s="588" t="n"/>
      <c r="BT413" s="588" t="n"/>
      <c r="BU413" s="588" t="n"/>
      <c r="BV413" s="588" t="n"/>
      <c r="BW413" s="588" t="n"/>
      <c r="BX413" s="588" t="n"/>
      <c r="BY413" s="588" t="n"/>
      <c r="BZ413" s="588" t="n"/>
      <c r="CA413" s="588" t="n"/>
      <c r="CB413" s="588" t="n"/>
      <c r="CC413" s="588" t="n"/>
      <c r="CD413" s="588" t="n"/>
      <c r="CE413" s="588" t="n"/>
      <c r="CF413" s="588" t="n"/>
      <c r="CG413" s="588" t="n"/>
      <c r="CH413" s="588" t="n"/>
      <c r="CI413" s="588" t="n"/>
      <c r="CJ413" s="588" t="n"/>
      <c r="CK413" s="588" t="n"/>
      <c r="CL413" s="588" t="n"/>
      <c r="CM413" s="588" t="n"/>
      <c r="CN413" s="588" t="n"/>
      <c r="CO413" s="588" t="n"/>
      <c r="CP413" s="588" t="n"/>
      <c r="CQ413" s="588" t="n"/>
      <c r="CR413" s="588" t="n"/>
      <c r="CS413" s="588" t="n"/>
      <c r="CT413" s="588" t="n"/>
      <c r="CU413" s="588" t="n"/>
      <c r="CV413" s="588" t="n"/>
      <c r="CW413" s="588" t="n"/>
      <c r="CX413" s="588" t="n"/>
      <c r="CY413" s="588" t="n"/>
      <c r="CZ413" s="588" t="n"/>
      <c r="DA413" s="588" t="n"/>
      <c r="DB413" s="588" t="n"/>
      <c r="DC413" s="588" t="n"/>
      <c r="DD413" s="588" t="n"/>
      <c r="DE413" s="588" t="n"/>
      <c r="DF413" s="588" t="n"/>
      <c r="DG413" s="588" t="n"/>
      <c r="DH413" s="588" t="n"/>
      <c r="DI413" s="588" t="n"/>
      <c r="DJ413" s="588" t="n"/>
      <c r="DK413" s="588" t="n"/>
      <c r="DL413" s="588" t="n"/>
      <c r="DM413" s="588" t="n"/>
      <c r="DN413" s="588" t="n"/>
      <c r="DO413" s="588" t="n"/>
      <c r="DP413" s="588" t="n"/>
      <c r="DQ413" s="588" t="n"/>
      <c r="DR413" s="588" t="n"/>
      <c r="DS413" s="588" t="n"/>
      <c r="DT413" s="588" t="n"/>
      <c r="DU413" s="588" t="n"/>
    </row>
    <row r="414">
      <c r="A414" s="737" t="n"/>
      <c r="B414" s="737" t="n"/>
      <c r="C414" s="737" t="n"/>
      <c r="D414" s="737" t="n"/>
      <c r="E414" s="737" t="n"/>
      <c r="F414" s="737" t="n"/>
      <c r="G414" s="737" t="n"/>
      <c r="H414" s="737" t="n"/>
      <c r="I414" s="737" t="n"/>
      <c r="J414" s="737" t="n"/>
      <c r="K414" s="737" t="n"/>
      <c r="L414" s="737" t="n"/>
      <c r="M414" s="737" t="n"/>
      <c r="N414" s="737" t="n"/>
      <c r="O414" s="737" t="n"/>
      <c r="P414" s="737" t="n"/>
      <c r="Q414" s="737" t="n"/>
      <c r="R414" s="737" t="n"/>
      <c r="S414" s="737" t="n"/>
      <c r="T414" s="737" t="n"/>
      <c r="U414" s="737" t="n"/>
      <c r="V414" s="737" t="n"/>
      <c r="W414" s="737" t="n"/>
      <c r="X414" s="737" t="n"/>
      <c r="Y414" s="737" t="n"/>
      <c r="Z414" s="737" t="n"/>
      <c r="AA414" s="737" t="n"/>
      <c r="AB414" s="737" t="n"/>
      <c r="AC414" s="737" t="n"/>
      <c r="AD414" s="737" t="n"/>
      <c r="AE414" s="737" t="n"/>
      <c r="AF414" s="737" t="n"/>
      <c r="AG414" s="737" t="n"/>
      <c r="AH414" s="737" t="n"/>
      <c r="AI414" s="737" t="n"/>
      <c r="AJ414" s="737" t="n"/>
      <c r="AK414" s="588" t="n"/>
      <c r="AL414" s="588" t="n"/>
      <c r="AM414" s="588" t="n"/>
      <c r="AN414" s="588" t="n"/>
      <c r="AO414" s="588" t="n"/>
      <c r="AP414" s="588" t="n"/>
      <c r="AQ414" s="588" t="n"/>
      <c r="AR414" s="588" t="n"/>
      <c r="AS414" s="588" t="n"/>
      <c r="AT414" s="588" t="n"/>
      <c r="AU414" s="588" t="n"/>
      <c r="AV414" s="588" t="n"/>
      <c r="AW414" s="588" t="n"/>
      <c r="AX414" s="588" t="n"/>
      <c r="AY414" s="588" t="n"/>
      <c r="AZ414" s="588" t="n"/>
      <c r="BA414" s="588" t="n"/>
      <c r="BB414" s="588" t="n"/>
      <c r="BC414" s="588" t="n"/>
      <c r="BD414" s="588" t="n"/>
      <c r="BE414" s="588" t="n"/>
      <c r="BF414" s="588" t="n"/>
      <c r="BG414" s="588" t="n"/>
      <c r="BH414" s="588" t="n"/>
      <c r="BI414" s="588" t="n"/>
      <c r="BJ414" s="588" t="n"/>
      <c r="BK414" s="588" t="n"/>
      <c r="BL414" s="588" t="n"/>
      <c r="BM414" s="588" t="n"/>
      <c r="BN414" s="588" t="n"/>
      <c r="BO414" s="588" t="n"/>
      <c r="BP414" s="588" t="n"/>
      <c r="BQ414" s="588" t="n"/>
      <c r="BR414" s="588" t="n"/>
      <c r="BS414" s="588" t="n"/>
      <c r="BT414" s="588" t="n"/>
      <c r="BU414" s="588" t="n"/>
      <c r="BV414" s="588" t="n"/>
      <c r="BW414" s="588" t="n"/>
      <c r="BX414" s="588" t="n"/>
      <c r="BY414" s="588" t="n"/>
      <c r="BZ414" s="588" t="n"/>
      <c r="CA414" s="588" t="n"/>
      <c r="CB414" s="588" t="n"/>
      <c r="CC414" s="588" t="n"/>
      <c r="CD414" s="588" t="n"/>
      <c r="CE414" s="588" t="n"/>
      <c r="CF414" s="588" t="n"/>
      <c r="CG414" s="588" t="n"/>
      <c r="CH414" s="588" t="n"/>
      <c r="CI414" s="588" t="n"/>
      <c r="CJ414" s="588" t="n"/>
      <c r="CK414" s="588" t="n"/>
      <c r="CL414" s="588" t="n"/>
      <c r="CM414" s="588" t="n"/>
      <c r="CN414" s="588" t="n"/>
      <c r="CO414" s="588" t="n"/>
      <c r="CP414" s="588" t="n"/>
      <c r="CQ414" s="588" t="n"/>
      <c r="CR414" s="588" t="n"/>
      <c r="CS414" s="588" t="n"/>
      <c r="CT414" s="588" t="n"/>
      <c r="CU414" s="588" t="n"/>
      <c r="CV414" s="588" t="n"/>
      <c r="CW414" s="588" t="n"/>
      <c r="CX414" s="588" t="n"/>
      <c r="CY414" s="588" t="n"/>
      <c r="CZ414" s="588" t="n"/>
      <c r="DA414" s="588" t="n"/>
      <c r="DB414" s="588" t="n"/>
      <c r="DC414" s="588" t="n"/>
      <c r="DD414" s="588" t="n"/>
      <c r="DE414" s="588" t="n"/>
      <c r="DF414" s="588" t="n"/>
      <c r="DG414" s="588" t="n"/>
      <c r="DH414" s="588" t="n"/>
      <c r="DI414" s="588" t="n"/>
      <c r="DJ414" s="588" t="n"/>
      <c r="DK414" s="588" t="n"/>
      <c r="DL414" s="588" t="n"/>
      <c r="DM414" s="588" t="n"/>
      <c r="DN414" s="588" t="n"/>
      <c r="DO414" s="588" t="n"/>
      <c r="DP414" s="588" t="n"/>
      <c r="DQ414" s="588" t="n"/>
      <c r="DR414" s="588" t="n"/>
      <c r="DS414" s="588" t="n"/>
      <c r="DT414" s="588" t="n"/>
      <c r="DU414" s="588" t="n"/>
    </row>
    <row r="415">
      <c r="A415" s="737" t="n"/>
      <c r="B415" s="737" t="n"/>
      <c r="C415" s="737" t="n"/>
      <c r="D415" s="737" t="n"/>
      <c r="E415" s="737" t="n"/>
      <c r="F415" s="737" t="n"/>
      <c r="G415" s="737" t="n"/>
      <c r="H415" s="737" t="n"/>
      <c r="I415" s="737" t="n"/>
      <c r="J415" s="737" t="n"/>
      <c r="K415" s="737" t="n"/>
      <c r="L415" s="737" t="n"/>
      <c r="M415" s="737" t="n"/>
      <c r="N415" s="737" t="n"/>
      <c r="O415" s="737" t="n"/>
      <c r="P415" s="737" t="n"/>
      <c r="Q415" s="737" t="n"/>
      <c r="R415" s="737" t="n"/>
      <c r="S415" s="737" t="n"/>
      <c r="T415" s="737" t="n"/>
      <c r="U415" s="737" t="n"/>
      <c r="V415" s="737" t="n"/>
      <c r="W415" s="737" t="n"/>
      <c r="X415" s="737" t="n"/>
      <c r="Y415" s="737" t="n"/>
      <c r="Z415" s="737" t="n"/>
      <c r="AA415" s="737" t="n"/>
      <c r="AB415" s="737" t="n"/>
      <c r="AC415" s="737" t="n"/>
      <c r="AD415" s="737" t="n"/>
      <c r="AE415" s="737" t="n"/>
      <c r="AF415" s="737" t="n"/>
      <c r="AG415" s="737" t="n"/>
      <c r="AH415" s="737" t="n"/>
      <c r="AI415" s="737" t="n"/>
      <c r="AJ415" s="737" t="n"/>
      <c r="AK415" s="588" t="n"/>
      <c r="AL415" s="588" t="n"/>
      <c r="AM415" s="588" t="n"/>
      <c r="AN415" s="588" t="n"/>
      <c r="AO415" s="588" t="n"/>
      <c r="AP415" s="588" t="n"/>
      <c r="AQ415" s="588" t="n"/>
      <c r="AR415" s="588" t="n"/>
      <c r="AS415" s="588" t="n"/>
      <c r="AT415" s="588" t="n"/>
      <c r="AU415" s="588" t="n"/>
      <c r="AV415" s="588" t="n"/>
      <c r="AW415" s="588" t="n"/>
      <c r="AX415" s="588" t="n"/>
      <c r="AY415" s="588" t="n"/>
      <c r="AZ415" s="588" t="n"/>
      <c r="BA415" s="588" t="n"/>
      <c r="BB415" s="588" t="n"/>
      <c r="BC415" s="588" t="n"/>
      <c r="BD415" s="588" t="n"/>
      <c r="BE415" s="588" t="n"/>
      <c r="BF415" s="588" t="n"/>
      <c r="BG415" s="588" t="n"/>
      <c r="BH415" s="588" t="n"/>
      <c r="BI415" s="588" t="n"/>
      <c r="BJ415" s="588" t="n"/>
      <c r="BK415" s="588" t="n"/>
      <c r="BL415" s="588" t="n"/>
      <c r="BM415" s="588" t="n"/>
      <c r="BN415" s="588" t="n"/>
      <c r="BO415" s="588" t="n"/>
      <c r="BP415" s="588" t="n"/>
      <c r="BQ415" s="588" t="n"/>
      <c r="BR415" s="588" t="n"/>
      <c r="BS415" s="588" t="n"/>
      <c r="BT415" s="588" t="n"/>
      <c r="BU415" s="588" t="n"/>
      <c r="BV415" s="588" t="n"/>
      <c r="BW415" s="588" t="n"/>
      <c r="BX415" s="588" t="n"/>
      <c r="BY415" s="588" t="n"/>
      <c r="BZ415" s="588" t="n"/>
      <c r="CA415" s="588" t="n"/>
      <c r="CB415" s="588" t="n"/>
      <c r="CC415" s="588" t="n"/>
      <c r="CD415" s="588" t="n"/>
      <c r="CE415" s="588" t="n"/>
      <c r="CF415" s="588" t="n"/>
      <c r="CG415" s="588" t="n"/>
      <c r="CH415" s="588" t="n"/>
      <c r="CI415" s="588" t="n"/>
      <c r="CJ415" s="588" t="n"/>
      <c r="CK415" s="588" t="n"/>
      <c r="CL415" s="588" t="n"/>
      <c r="CM415" s="588" t="n"/>
      <c r="CN415" s="588" t="n"/>
      <c r="CO415" s="588" t="n"/>
      <c r="CP415" s="588" t="n"/>
      <c r="CQ415" s="588" t="n"/>
      <c r="CR415" s="588" t="n"/>
      <c r="CS415" s="588" t="n"/>
      <c r="CT415" s="588" t="n"/>
      <c r="CU415" s="588" t="n"/>
      <c r="CV415" s="588" t="n"/>
      <c r="CW415" s="588" t="n"/>
      <c r="CX415" s="588" t="n"/>
      <c r="CY415" s="588" t="n"/>
      <c r="CZ415" s="588" t="n"/>
      <c r="DA415" s="588" t="n"/>
      <c r="DB415" s="588" t="n"/>
      <c r="DC415" s="588" t="n"/>
      <c r="DD415" s="588" t="n"/>
      <c r="DE415" s="588" t="n"/>
      <c r="DF415" s="588" t="n"/>
      <c r="DG415" s="588" t="n"/>
      <c r="DH415" s="588" t="n"/>
      <c r="DI415" s="588" t="n"/>
      <c r="DJ415" s="588" t="n"/>
      <c r="DK415" s="588" t="n"/>
      <c r="DL415" s="588" t="n"/>
      <c r="DM415" s="588" t="n"/>
      <c r="DN415" s="588" t="n"/>
      <c r="DO415" s="588" t="n"/>
      <c r="DP415" s="588" t="n"/>
      <c r="DQ415" s="588" t="n"/>
      <c r="DR415" s="588" t="n"/>
      <c r="DS415" s="588" t="n"/>
      <c r="DT415" s="588" t="n"/>
      <c r="DU415" s="588" t="n"/>
    </row>
    <row r="416">
      <c r="A416" s="737" t="n"/>
      <c r="B416" s="737" t="n"/>
      <c r="C416" s="737" t="n"/>
      <c r="D416" s="737" t="n"/>
      <c r="E416" s="737" t="n"/>
      <c r="F416" s="737" t="n"/>
      <c r="G416" s="737" t="n"/>
      <c r="H416" s="737" t="n"/>
      <c r="I416" s="737" t="n"/>
      <c r="J416" s="737" t="n"/>
      <c r="K416" s="737" t="n"/>
      <c r="L416" s="737" t="n"/>
      <c r="M416" s="737" t="n"/>
      <c r="N416" s="737" t="n"/>
      <c r="O416" s="737" t="n"/>
      <c r="P416" s="737" t="n"/>
      <c r="Q416" s="737" t="n"/>
      <c r="R416" s="737" t="n"/>
      <c r="S416" s="737" t="n"/>
      <c r="T416" s="737" t="n"/>
      <c r="U416" s="737" t="n"/>
      <c r="V416" s="737" t="n"/>
      <c r="W416" s="737" t="n"/>
      <c r="X416" s="737" t="n"/>
      <c r="Y416" s="737" t="n"/>
      <c r="Z416" s="737" t="n"/>
      <c r="AA416" s="737" t="n"/>
      <c r="AB416" s="737" t="n"/>
      <c r="AC416" s="737" t="n"/>
      <c r="AD416" s="737" t="n"/>
      <c r="AE416" s="737" t="n"/>
      <c r="AF416" s="737" t="n"/>
      <c r="AG416" s="737" t="n"/>
      <c r="AH416" s="737" t="n"/>
      <c r="AI416" s="737" t="n"/>
      <c r="AJ416" s="737" t="n"/>
      <c r="AK416" s="588" t="n"/>
      <c r="AL416" s="588" t="n"/>
      <c r="AM416" s="588" t="n"/>
      <c r="AN416" s="588" t="n"/>
      <c r="AO416" s="588" t="n"/>
      <c r="AP416" s="588" t="n"/>
      <c r="AQ416" s="588" t="n"/>
      <c r="AR416" s="588" t="n"/>
      <c r="AS416" s="588" t="n"/>
      <c r="AT416" s="588" t="n"/>
      <c r="AU416" s="588" t="n"/>
      <c r="AV416" s="588" t="n"/>
      <c r="AW416" s="588" t="n"/>
      <c r="AX416" s="588" t="n"/>
      <c r="AY416" s="588" t="n"/>
      <c r="AZ416" s="588" t="n"/>
      <c r="BA416" s="588" t="n"/>
      <c r="BB416" s="588" t="n"/>
      <c r="BC416" s="588" t="n"/>
      <c r="BD416" s="588" t="n"/>
      <c r="BE416" s="588" t="n"/>
      <c r="BF416" s="588" t="n"/>
      <c r="BG416" s="588" t="n"/>
      <c r="BH416" s="588" t="n"/>
      <c r="BI416" s="588" t="n"/>
      <c r="BJ416" s="588" t="n"/>
      <c r="BK416" s="588" t="n"/>
      <c r="BL416" s="588" t="n"/>
      <c r="BM416" s="588" t="n"/>
      <c r="BN416" s="588" t="n"/>
      <c r="BO416" s="588" t="n"/>
      <c r="BP416" s="588" t="n"/>
      <c r="BQ416" s="588" t="n"/>
      <c r="BR416" s="588" t="n"/>
      <c r="BS416" s="588" t="n"/>
      <c r="BT416" s="588" t="n"/>
      <c r="BU416" s="588" t="n"/>
      <c r="BV416" s="588" t="n"/>
      <c r="BW416" s="588" t="n"/>
      <c r="BX416" s="588" t="n"/>
      <c r="BY416" s="588" t="n"/>
      <c r="BZ416" s="588" t="n"/>
      <c r="CA416" s="588" t="n"/>
      <c r="CB416" s="588" t="n"/>
      <c r="CC416" s="588" t="n"/>
      <c r="CD416" s="588" t="n"/>
      <c r="CE416" s="588" t="n"/>
      <c r="CF416" s="588" t="n"/>
      <c r="CG416" s="588" t="n"/>
      <c r="CH416" s="588" t="n"/>
      <c r="CI416" s="588" t="n"/>
      <c r="CJ416" s="588" t="n"/>
      <c r="CK416" s="588" t="n"/>
      <c r="CL416" s="588" t="n"/>
      <c r="CM416" s="588" t="n"/>
      <c r="CN416" s="588" t="n"/>
      <c r="CO416" s="588" t="n"/>
      <c r="CP416" s="588" t="n"/>
      <c r="CQ416" s="588" t="n"/>
      <c r="CR416" s="588" t="n"/>
      <c r="CS416" s="588" t="n"/>
      <c r="CT416" s="588" t="n"/>
      <c r="CU416" s="588" t="n"/>
      <c r="CV416" s="588" t="n"/>
      <c r="CW416" s="588" t="n"/>
      <c r="CX416" s="588" t="n"/>
      <c r="CY416" s="588" t="n"/>
      <c r="CZ416" s="588" t="n"/>
      <c r="DA416" s="588" t="n"/>
      <c r="DB416" s="588" t="n"/>
      <c r="DC416" s="588" t="n"/>
      <c r="DD416" s="588" t="n"/>
      <c r="DE416" s="588" t="n"/>
      <c r="DF416" s="588" t="n"/>
      <c r="DG416" s="588" t="n"/>
      <c r="DH416" s="588" t="n"/>
      <c r="DI416" s="588" t="n"/>
      <c r="DJ416" s="588" t="n"/>
      <c r="DK416" s="588" t="n"/>
      <c r="DL416" s="588" t="n"/>
      <c r="DM416" s="588" t="n"/>
      <c r="DN416" s="588" t="n"/>
      <c r="DO416" s="588" t="n"/>
      <c r="DP416" s="588" t="n"/>
      <c r="DQ416" s="588" t="n"/>
      <c r="DR416" s="588" t="n"/>
      <c r="DS416" s="588" t="n"/>
      <c r="DT416" s="588" t="n"/>
      <c r="DU416" s="588" t="n"/>
    </row>
    <row r="417">
      <c r="A417" s="737" t="n"/>
      <c r="B417" s="737" t="n"/>
      <c r="C417" s="737" t="n"/>
      <c r="D417" s="737" t="n"/>
      <c r="E417" s="737" t="n"/>
      <c r="F417" s="737" t="n"/>
      <c r="G417" s="737" t="n"/>
      <c r="H417" s="737" t="n"/>
      <c r="I417" s="737" t="n"/>
      <c r="J417" s="737" t="n"/>
      <c r="K417" s="737" t="n"/>
      <c r="L417" s="737" t="n"/>
      <c r="M417" s="737" t="n"/>
      <c r="N417" s="737" t="n"/>
      <c r="O417" s="737" t="n"/>
      <c r="P417" s="737" t="n"/>
      <c r="Q417" s="737" t="n"/>
      <c r="R417" s="737" t="n"/>
      <c r="S417" s="737" t="n"/>
      <c r="T417" s="737" t="n"/>
      <c r="U417" s="737" t="n"/>
      <c r="V417" s="737" t="n"/>
      <c r="W417" s="737" t="n"/>
      <c r="X417" s="737" t="n"/>
      <c r="Y417" s="737" t="n"/>
      <c r="Z417" s="737" t="n"/>
      <c r="AA417" s="737" t="n"/>
      <c r="AB417" s="737" t="n"/>
      <c r="AC417" s="737" t="n"/>
      <c r="AD417" s="737" t="n"/>
      <c r="AE417" s="737" t="n"/>
      <c r="AF417" s="737" t="n"/>
      <c r="AG417" s="737" t="n"/>
      <c r="AH417" s="737" t="n"/>
      <c r="AI417" s="737" t="n"/>
      <c r="AJ417" s="737" t="n"/>
      <c r="AK417" s="588" t="n"/>
      <c r="AL417" s="588" t="n"/>
      <c r="AM417" s="588" t="n"/>
      <c r="AN417" s="588" t="n"/>
      <c r="AO417" s="588" t="n"/>
      <c r="AP417" s="588" t="n"/>
      <c r="AQ417" s="588" t="n"/>
      <c r="AR417" s="588" t="n"/>
      <c r="AS417" s="588" t="n"/>
      <c r="AT417" s="588" t="n"/>
      <c r="AU417" s="588" t="n"/>
      <c r="AV417" s="588" t="n"/>
      <c r="AW417" s="588" t="n"/>
      <c r="AX417" s="588" t="n"/>
      <c r="AY417" s="588" t="n"/>
      <c r="AZ417" s="588" t="n"/>
      <c r="BA417" s="588" t="n"/>
      <c r="BB417" s="588" t="n"/>
      <c r="BC417" s="588" t="n"/>
      <c r="BD417" s="588" t="n"/>
      <c r="BE417" s="588" t="n"/>
      <c r="BF417" s="588" t="n"/>
      <c r="BG417" s="588" t="n"/>
      <c r="BH417" s="588" t="n"/>
      <c r="BI417" s="588" t="n"/>
      <c r="BJ417" s="588" t="n"/>
      <c r="BK417" s="588" t="n"/>
      <c r="BL417" s="588" t="n"/>
      <c r="BM417" s="588" t="n"/>
      <c r="BN417" s="588" t="n"/>
      <c r="BO417" s="588" t="n"/>
      <c r="BP417" s="588" t="n"/>
      <c r="BQ417" s="588" t="n"/>
      <c r="BR417" s="588" t="n"/>
      <c r="BS417" s="588" t="n"/>
      <c r="BT417" s="588" t="n"/>
      <c r="BU417" s="588" t="n"/>
      <c r="BV417" s="588" t="n"/>
      <c r="BW417" s="588" t="n"/>
      <c r="BX417" s="588" t="n"/>
      <c r="BY417" s="588" t="n"/>
      <c r="BZ417" s="588" t="n"/>
      <c r="CA417" s="588" t="n"/>
      <c r="CB417" s="588" t="n"/>
      <c r="CC417" s="588" t="n"/>
      <c r="CD417" s="588" t="n"/>
      <c r="CE417" s="588" t="n"/>
      <c r="CF417" s="588" t="n"/>
      <c r="CG417" s="588" t="n"/>
      <c r="CH417" s="588" t="n"/>
      <c r="CI417" s="588" t="n"/>
      <c r="CJ417" s="588" t="n"/>
      <c r="CK417" s="588" t="n"/>
      <c r="CL417" s="588" t="n"/>
      <c r="CM417" s="588" t="n"/>
      <c r="CN417" s="588" t="n"/>
      <c r="CO417" s="588" t="n"/>
      <c r="CP417" s="588" t="n"/>
      <c r="CQ417" s="588" t="n"/>
      <c r="CR417" s="588" t="n"/>
      <c r="CS417" s="588" t="n"/>
      <c r="CT417" s="588" t="n"/>
      <c r="CU417" s="588" t="n"/>
      <c r="CV417" s="588" t="n"/>
      <c r="CW417" s="588" t="n"/>
      <c r="CX417" s="588" t="n"/>
      <c r="CY417" s="588" t="n"/>
      <c r="CZ417" s="588" t="n"/>
      <c r="DA417" s="588" t="n"/>
      <c r="DB417" s="588" t="n"/>
      <c r="DC417" s="588" t="n"/>
      <c r="DD417" s="588" t="n"/>
      <c r="DE417" s="588" t="n"/>
      <c r="DF417" s="588" t="n"/>
      <c r="DG417" s="588" t="n"/>
      <c r="DH417" s="588" t="n"/>
      <c r="DI417" s="588" t="n"/>
      <c r="DJ417" s="588" t="n"/>
      <c r="DK417" s="588" t="n"/>
      <c r="DL417" s="588" t="n"/>
      <c r="DM417" s="588" t="n"/>
      <c r="DN417" s="588" t="n"/>
      <c r="DO417" s="588" t="n"/>
      <c r="DP417" s="588" t="n"/>
      <c r="DQ417" s="588" t="n"/>
      <c r="DR417" s="588" t="n"/>
      <c r="DS417" s="588" t="n"/>
      <c r="DT417" s="588" t="n"/>
      <c r="DU417" s="588" t="n"/>
    </row>
    <row r="418">
      <c r="A418" s="737" t="n"/>
      <c r="B418" s="737" t="n"/>
      <c r="C418" s="737" t="n"/>
      <c r="D418" s="737" t="n"/>
      <c r="E418" s="737" t="n"/>
      <c r="F418" s="737" t="n"/>
      <c r="G418" s="737" t="n"/>
      <c r="H418" s="737" t="n"/>
      <c r="I418" s="737" t="n"/>
      <c r="J418" s="737" t="n"/>
      <c r="K418" s="737" t="n"/>
      <c r="L418" s="737" t="n"/>
      <c r="M418" s="737" t="n"/>
      <c r="N418" s="737" t="n"/>
      <c r="O418" s="737" t="n"/>
      <c r="P418" s="737" t="n"/>
      <c r="Q418" s="737" t="n"/>
      <c r="R418" s="737" t="n"/>
      <c r="S418" s="737" t="n"/>
      <c r="T418" s="737" t="n"/>
      <c r="U418" s="737" t="n"/>
      <c r="V418" s="737" t="n"/>
      <c r="W418" s="737" t="n"/>
      <c r="X418" s="737" t="n"/>
      <c r="Y418" s="737" t="n"/>
      <c r="Z418" s="737" t="n"/>
      <c r="AA418" s="737" t="n"/>
      <c r="AB418" s="737" t="n"/>
      <c r="AC418" s="737" t="n"/>
      <c r="AD418" s="737" t="n"/>
      <c r="AE418" s="737" t="n"/>
      <c r="AF418" s="737" t="n"/>
      <c r="AG418" s="737" t="n"/>
      <c r="AH418" s="737" t="n"/>
      <c r="AI418" s="737" t="n"/>
      <c r="AJ418" s="737" t="n"/>
      <c r="AK418" s="588" t="n"/>
      <c r="AL418" s="588" t="n"/>
      <c r="AM418" s="588" t="n"/>
      <c r="AN418" s="588" t="n"/>
      <c r="AO418" s="588" t="n"/>
      <c r="AP418" s="588" t="n"/>
      <c r="AQ418" s="588" t="n"/>
      <c r="AR418" s="588" t="n"/>
      <c r="AS418" s="588" t="n"/>
      <c r="AT418" s="588" t="n"/>
      <c r="AU418" s="588" t="n"/>
      <c r="AV418" s="588" t="n"/>
      <c r="AW418" s="588" t="n"/>
      <c r="AX418" s="588" t="n"/>
      <c r="AY418" s="588" t="n"/>
      <c r="AZ418" s="588" t="n"/>
      <c r="BA418" s="588" t="n"/>
      <c r="BB418" s="588" t="n"/>
      <c r="BC418" s="588" t="n"/>
      <c r="BD418" s="588" t="n"/>
      <c r="BE418" s="588" t="n"/>
      <c r="BF418" s="588" t="n"/>
      <c r="BG418" s="588" t="n"/>
      <c r="BH418" s="588" t="n"/>
      <c r="BI418" s="588" t="n"/>
      <c r="BJ418" s="588" t="n"/>
      <c r="BK418" s="588" t="n"/>
      <c r="BL418" s="588" t="n"/>
      <c r="BM418" s="588" t="n"/>
      <c r="BN418" s="588" t="n"/>
      <c r="BO418" s="588" t="n"/>
      <c r="BP418" s="588" t="n"/>
      <c r="BQ418" s="588" t="n"/>
      <c r="BR418" s="588" t="n"/>
      <c r="BS418" s="588" t="n"/>
      <c r="BT418" s="588" t="n"/>
      <c r="BU418" s="588" t="n"/>
      <c r="BV418" s="588" t="n"/>
      <c r="BW418" s="588" t="n"/>
      <c r="BX418" s="588" t="n"/>
      <c r="BY418" s="588" t="n"/>
      <c r="BZ418" s="588" t="n"/>
      <c r="CA418" s="588" t="n"/>
      <c r="CB418" s="588" t="n"/>
      <c r="CC418" s="588" t="n"/>
      <c r="CD418" s="588" t="n"/>
      <c r="CE418" s="588" t="n"/>
      <c r="CF418" s="588" t="n"/>
      <c r="CG418" s="588" t="n"/>
      <c r="CH418" s="588" t="n"/>
      <c r="CI418" s="588" t="n"/>
      <c r="CJ418" s="588" t="n"/>
      <c r="CK418" s="588" t="n"/>
      <c r="CL418" s="588" t="n"/>
      <c r="CM418" s="588" t="n"/>
      <c r="CN418" s="588" t="n"/>
      <c r="CO418" s="588" t="n"/>
      <c r="CP418" s="588" t="n"/>
      <c r="CQ418" s="588" t="n"/>
      <c r="CR418" s="588" t="n"/>
      <c r="CS418" s="588" t="n"/>
      <c r="CT418" s="588" t="n"/>
      <c r="CU418" s="588" t="n"/>
      <c r="CV418" s="588" t="n"/>
      <c r="CW418" s="588" t="n"/>
      <c r="CX418" s="588" t="n"/>
      <c r="CY418" s="588" t="n"/>
      <c r="CZ418" s="588" t="n"/>
      <c r="DA418" s="588" t="n"/>
      <c r="DB418" s="588" t="n"/>
      <c r="DC418" s="588" t="n"/>
      <c r="DD418" s="588" t="n"/>
      <c r="DE418" s="588" t="n"/>
      <c r="DF418" s="588" t="n"/>
      <c r="DG418" s="588" t="n"/>
      <c r="DH418" s="588" t="n"/>
      <c r="DI418" s="588" t="n"/>
      <c r="DJ418" s="588" t="n"/>
      <c r="DK418" s="588" t="n"/>
      <c r="DL418" s="588" t="n"/>
      <c r="DM418" s="588" t="n"/>
      <c r="DN418" s="588" t="n"/>
      <c r="DO418" s="588" t="n"/>
      <c r="DP418" s="588" t="n"/>
      <c r="DQ418" s="588" t="n"/>
      <c r="DR418" s="588" t="n"/>
      <c r="DS418" s="588" t="n"/>
      <c r="DT418" s="588" t="n"/>
      <c r="DU418" s="588" t="n"/>
    </row>
    <row r="419">
      <c r="A419" s="737" t="n"/>
      <c r="B419" s="737" t="n"/>
      <c r="C419" s="737" t="n"/>
      <c r="D419" s="737" t="n"/>
      <c r="E419" s="737" t="n"/>
      <c r="F419" s="737" t="n"/>
      <c r="G419" s="737" t="n"/>
      <c r="H419" s="737" t="n"/>
      <c r="I419" s="737" t="n"/>
      <c r="J419" s="737" t="n"/>
      <c r="K419" s="737" t="n"/>
      <c r="L419" s="737" t="n"/>
      <c r="M419" s="737" t="n"/>
      <c r="N419" s="737" t="n"/>
      <c r="O419" s="737" t="n"/>
      <c r="P419" s="737" t="n"/>
      <c r="Q419" s="737" t="n"/>
      <c r="R419" s="737" t="n"/>
      <c r="S419" s="737" t="n"/>
      <c r="T419" s="737" t="n"/>
      <c r="U419" s="737" t="n"/>
      <c r="V419" s="737" t="n"/>
      <c r="W419" s="737" t="n"/>
      <c r="X419" s="737" t="n"/>
      <c r="Y419" s="737" t="n"/>
      <c r="Z419" s="737" t="n"/>
      <c r="AA419" s="737" t="n"/>
      <c r="AB419" s="737" t="n"/>
      <c r="AC419" s="737" t="n"/>
      <c r="AD419" s="737" t="n"/>
      <c r="AE419" s="737" t="n"/>
      <c r="AF419" s="737" t="n"/>
      <c r="AG419" s="737" t="n"/>
      <c r="AH419" s="737" t="n"/>
      <c r="AI419" s="737" t="n"/>
      <c r="AJ419" s="737" t="n"/>
      <c r="AK419" s="588" t="n"/>
      <c r="AL419" s="588" t="n"/>
      <c r="AM419" s="588" t="n"/>
      <c r="AN419" s="588" t="n"/>
      <c r="AO419" s="588" t="n"/>
      <c r="AP419" s="588" t="n"/>
      <c r="AQ419" s="588" t="n"/>
      <c r="AR419" s="588" t="n"/>
      <c r="AS419" s="588" t="n"/>
      <c r="AT419" s="588" t="n"/>
      <c r="AU419" s="588" t="n"/>
      <c r="AV419" s="588" t="n"/>
      <c r="AW419" s="588" t="n"/>
      <c r="AX419" s="588" t="n"/>
      <c r="AY419" s="588" t="n"/>
      <c r="AZ419" s="588" t="n"/>
      <c r="BA419" s="588" t="n"/>
      <c r="BB419" s="588" t="n"/>
      <c r="BC419" s="588" t="n"/>
      <c r="BD419" s="588" t="n"/>
      <c r="BE419" s="588" t="n"/>
      <c r="BF419" s="588" t="n"/>
      <c r="BG419" s="588" t="n"/>
      <c r="BH419" s="588" t="n"/>
      <c r="BI419" s="588" t="n"/>
      <c r="BJ419" s="588" t="n"/>
      <c r="BK419" s="588" t="n"/>
      <c r="BL419" s="588" t="n"/>
      <c r="BM419" s="588" t="n"/>
      <c r="BN419" s="588" t="n"/>
      <c r="BO419" s="588" t="n"/>
      <c r="BP419" s="588" t="n"/>
      <c r="BQ419" s="588" t="n"/>
      <c r="BR419" s="588" t="n"/>
      <c r="BS419" s="588" t="n"/>
      <c r="BT419" s="588" t="n"/>
      <c r="BU419" s="588" t="n"/>
      <c r="BV419" s="588" t="n"/>
      <c r="BW419" s="588" t="n"/>
      <c r="BX419" s="588" t="n"/>
      <c r="BY419" s="588" t="n"/>
      <c r="BZ419" s="588" t="n"/>
      <c r="CA419" s="588" t="n"/>
      <c r="CB419" s="588" t="n"/>
      <c r="CC419" s="588" t="n"/>
      <c r="CD419" s="588" t="n"/>
      <c r="CE419" s="588" t="n"/>
      <c r="CF419" s="588" t="n"/>
      <c r="CG419" s="588" t="n"/>
      <c r="CH419" s="588" t="n"/>
      <c r="CI419" s="588" t="n"/>
      <c r="CJ419" s="588" t="n"/>
      <c r="CK419" s="588" t="n"/>
      <c r="CL419" s="588" t="n"/>
      <c r="CM419" s="588" t="n"/>
      <c r="CN419" s="588" t="n"/>
      <c r="CO419" s="588" t="n"/>
      <c r="CP419" s="588" t="n"/>
      <c r="CQ419" s="588" t="n"/>
      <c r="CR419" s="588" t="n"/>
      <c r="CS419" s="588" t="n"/>
      <c r="CT419" s="588" t="n"/>
      <c r="CU419" s="588" t="n"/>
      <c r="CV419" s="588" t="n"/>
      <c r="CW419" s="588" t="n"/>
      <c r="CX419" s="588" t="n"/>
      <c r="CY419" s="588" t="n"/>
      <c r="CZ419" s="588" t="n"/>
      <c r="DA419" s="588" t="n"/>
      <c r="DB419" s="588" t="n"/>
      <c r="DC419" s="588" t="n"/>
      <c r="DD419" s="588" t="n"/>
      <c r="DE419" s="588" t="n"/>
      <c r="DF419" s="588" t="n"/>
      <c r="DG419" s="588" t="n"/>
      <c r="DH419" s="588" t="n"/>
      <c r="DI419" s="588" t="n"/>
      <c r="DJ419" s="588" t="n"/>
      <c r="DK419" s="588" t="n"/>
      <c r="DL419" s="588" t="n"/>
      <c r="DM419" s="588" t="n"/>
      <c r="DN419" s="588" t="n"/>
      <c r="DO419" s="588" t="n"/>
      <c r="DP419" s="588" t="n"/>
      <c r="DQ419" s="588" t="n"/>
      <c r="DR419" s="588" t="n"/>
      <c r="DS419" s="588" t="n"/>
      <c r="DT419" s="588" t="n"/>
      <c r="DU419" s="588" t="n"/>
    </row>
    <row r="420">
      <c r="A420" s="737" t="n"/>
      <c r="B420" s="737" t="n"/>
      <c r="C420" s="737" t="n"/>
      <c r="D420" s="737" t="n"/>
      <c r="E420" s="737" t="n"/>
      <c r="F420" s="737" t="n"/>
      <c r="G420" s="737" t="n"/>
      <c r="H420" s="737" t="n"/>
      <c r="I420" s="737" t="n"/>
      <c r="J420" s="737" t="n"/>
      <c r="K420" s="737" t="n"/>
      <c r="L420" s="737" t="n"/>
      <c r="M420" s="737" t="n"/>
      <c r="N420" s="737" t="n"/>
      <c r="O420" s="737" t="n"/>
      <c r="P420" s="737" t="n"/>
      <c r="Q420" s="737" t="n"/>
      <c r="R420" s="737" t="n"/>
      <c r="S420" s="737" t="n"/>
      <c r="T420" s="737" t="n"/>
      <c r="U420" s="737" t="n"/>
      <c r="V420" s="737" t="n"/>
      <c r="W420" s="737" t="n"/>
      <c r="X420" s="737" t="n"/>
      <c r="Y420" s="737" t="n"/>
      <c r="Z420" s="737" t="n"/>
      <c r="AA420" s="737" t="n"/>
      <c r="AB420" s="737" t="n"/>
      <c r="AC420" s="737" t="n"/>
      <c r="AD420" s="737" t="n"/>
      <c r="AE420" s="737" t="n"/>
      <c r="AF420" s="737" t="n"/>
      <c r="AG420" s="737" t="n"/>
      <c r="AH420" s="737" t="n"/>
      <c r="AI420" s="737" t="n"/>
      <c r="AJ420" s="737" t="n"/>
      <c r="AK420" s="588" t="n"/>
      <c r="AL420" s="588" t="n"/>
      <c r="AM420" s="588" t="n"/>
      <c r="AN420" s="588" t="n"/>
      <c r="AO420" s="588" t="n"/>
      <c r="AP420" s="588" t="n"/>
      <c r="AQ420" s="588" t="n"/>
      <c r="AR420" s="588" t="n"/>
      <c r="AS420" s="588" t="n"/>
      <c r="AT420" s="588" t="n"/>
      <c r="AU420" s="588" t="n"/>
      <c r="AV420" s="588" t="n"/>
      <c r="AW420" s="588" t="n"/>
      <c r="AX420" s="588" t="n"/>
      <c r="AY420" s="588" t="n"/>
      <c r="AZ420" s="588" t="n"/>
      <c r="BA420" s="588" t="n"/>
      <c r="BB420" s="588" t="n"/>
      <c r="BC420" s="588" t="n"/>
      <c r="BD420" s="588" t="n"/>
      <c r="BE420" s="588" t="n"/>
      <c r="BF420" s="588" t="n"/>
      <c r="BG420" s="588" t="n"/>
      <c r="BH420" s="588" t="n"/>
      <c r="BI420" s="588" t="n"/>
      <c r="BJ420" s="588" t="n"/>
      <c r="BK420" s="588" t="n"/>
      <c r="BL420" s="588" t="n"/>
      <c r="BM420" s="588" t="n"/>
      <c r="BN420" s="588" t="n"/>
      <c r="BO420" s="588" t="n"/>
      <c r="BP420" s="588" t="n"/>
      <c r="BQ420" s="588" t="n"/>
      <c r="BR420" s="588" t="n"/>
      <c r="BS420" s="588" t="n"/>
      <c r="BT420" s="588" t="n"/>
      <c r="BU420" s="588" t="n"/>
      <c r="BV420" s="588" t="n"/>
      <c r="BW420" s="588" t="n"/>
      <c r="BX420" s="588" t="n"/>
      <c r="BY420" s="588" t="n"/>
      <c r="BZ420" s="588" t="n"/>
      <c r="CA420" s="588" t="n"/>
      <c r="CB420" s="588" t="n"/>
      <c r="CC420" s="588" t="n"/>
      <c r="CD420" s="588" t="n"/>
      <c r="CE420" s="588" t="n"/>
      <c r="CF420" s="588" t="n"/>
      <c r="CG420" s="588" t="n"/>
      <c r="CH420" s="588" t="n"/>
      <c r="CI420" s="588" t="n"/>
      <c r="CJ420" s="588" t="n"/>
      <c r="CK420" s="588" t="n"/>
      <c r="CL420" s="588" t="n"/>
      <c r="CM420" s="588" t="n"/>
      <c r="CN420" s="588" t="n"/>
      <c r="CO420" s="588" t="n"/>
      <c r="CP420" s="588" t="n"/>
      <c r="CQ420" s="588" t="n"/>
      <c r="CR420" s="588" t="n"/>
      <c r="CS420" s="588" t="n"/>
      <c r="CT420" s="588" t="n"/>
      <c r="CU420" s="588" t="n"/>
      <c r="CV420" s="588" t="n"/>
      <c r="CW420" s="588" t="n"/>
      <c r="CX420" s="588" t="n"/>
      <c r="CY420" s="588" t="n"/>
      <c r="CZ420" s="588" t="n"/>
      <c r="DA420" s="588" t="n"/>
      <c r="DB420" s="588" t="n"/>
      <c r="DC420" s="588" t="n"/>
      <c r="DD420" s="588" t="n"/>
      <c r="DE420" s="588" t="n"/>
      <c r="DF420" s="588" t="n"/>
      <c r="DG420" s="588" t="n"/>
      <c r="DH420" s="588" t="n"/>
      <c r="DI420" s="588" t="n"/>
      <c r="DJ420" s="588" t="n"/>
      <c r="DK420" s="588" t="n"/>
      <c r="DL420" s="588" t="n"/>
      <c r="DM420" s="588" t="n"/>
      <c r="DN420" s="588" t="n"/>
      <c r="DO420" s="588" t="n"/>
      <c r="DP420" s="588" t="n"/>
      <c r="DQ420" s="588" t="n"/>
      <c r="DR420" s="588" t="n"/>
      <c r="DS420" s="588" t="n"/>
      <c r="DT420" s="588" t="n"/>
      <c r="DU420" s="588" t="n"/>
    </row>
    <row r="421">
      <c r="A421" s="737" t="n"/>
      <c r="B421" s="737" t="n"/>
      <c r="C421" s="737" t="n"/>
      <c r="D421" s="737" t="n"/>
      <c r="E421" s="737" t="n"/>
      <c r="F421" s="737" t="n"/>
      <c r="G421" s="737" t="n"/>
      <c r="H421" s="737" t="n"/>
      <c r="I421" s="737" t="n"/>
      <c r="J421" s="737" t="n"/>
      <c r="K421" s="737" t="n"/>
      <c r="L421" s="737" t="n"/>
      <c r="M421" s="737" t="n"/>
      <c r="N421" s="737" t="n"/>
      <c r="O421" s="737" t="n"/>
      <c r="P421" s="737" t="n"/>
      <c r="Q421" s="737" t="n"/>
      <c r="R421" s="737" t="n"/>
      <c r="S421" s="737" t="n"/>
      <c r="T421" s="737" t="n"/>
      <c r="U421" s="737" t="n"/>
      <c r="V421" s="737" t="n"/>
      <c r="W421" s="737" t="n"/>
      <c r="X421" s="737" t="n"/>
      <c r="Y421" s="737" t="n"/>
      <c r="Z421" s="737" t="n"/>
      <c r="AA421" s="737" t="n"/>
      <c r="AB421" s="737" t="n"/>
      <c r="AC421" s="737" t="n"/>
      <c r="AD421" s="737" t="n"/>
      <c r="AE421" s="737" t="n"/>
      <c r="AF421" s="737" t="n"/>
      <c r="AG421" s="737" t="n"/>
      <c r="AH421" s="737" t="n"/>
      <c r="AI421" s="737" t="n"/>
      <c r="AJ421" s="737" t="n"/>
      <c r="AK421" s="588" t="n"/>
      <c r="AL421" s="588" t="n"/>
      <c r="AM421" s="588" t="n"/>
      <c r="AN421" s="588" t="n"/>
      <c r="AO421" s="588" t="n"/>
      <c r="AP421" s="588" t="n"/>
      <c r="AQ421" s="588" t="n"/>
      <c r="AR421" s="588" t="n"/>
      <c r="AS421" s="588" t="n"/>
      <c r="AT421" s="588" t="n"/>
      <c r="AU421" s="588" t="n"/>
      <c r="AV421" s="588" t="n"/>
      <c r="AW421" s="588" t="n"/>
      <c r="AX421" s="588" t="n"/>
      <c r="AY421" s="588" t="n"/>
      <c r="AZ421" s="588" t="n"/>
      <c r="BA421" s="588" t="n"/>
      <c r="BB421" s="588" t="n"/>
      <c r="BC421" s="588" t="n"/>
      <c r="BD421" s="588" t="n"/>
      <c r="BE421" s="588" t="n"/>
      <c r="BF421" s="588" t="n"/>
      <c r="BG421" s="588" t="n"/>
      <c r="BH421" s="588" t="n"/>
      <c r="BI421" s="588" t="n"/>
      <c r="BJ421" s="588" t="n"/>
      <c r="BK421" s="588" t="n"/>
      <c r="BL421" s="588" t="n"/>
      <c r="BM421" s="588" t="n"/>
      <c r="BN421" s="588" t="n"/>
      <c r="BO421" s="588" t="n"/>
      <c r="BP421" s="588" t="n"/>
      <c r="BQ421" s="588" t="n"/>
      <c r="BR421" s="588" t="n"/>
      <c r="BS421" s="588" t="n"/>
      <c r="BT421" s="588" t="n"/>
      <c r="BU421" s="588" t="n"/>
      <c r="BV421" s="588" t="n"/>
      <c r="BW421" s="588" t="n"/>
      <c r="BX421" s="588" t="n"/>
      <c r="BY421" s="588" t="n"/>
      <c r="BZ421" s="588" t="n"/>
      <c r="CA421" s="588" t="n"/>
      <c r="CB421" s="588" t="n"/>
      <c r="CC421" s="588" t="n"/>
      <c r="CD421" s="588" t="n"/>
      <c r="CE421" s="588" t="n"/>
      <c r="CF421" s="588" t="n"/>
      <c r="CG421" s="588" t="n"/>
      <c r="CH421" s="588" t="n"/>
      <c r="CI421" s="588" t="n"/>
      <c r="CJ421" s="588" t="n"/>
      <c r="CK421" s="588" t="n"/>
      <c r="CL421" s="588" t="n"/>
      <c r="CM421" s="588" t="n"/>
      <c r="CN421" s="588" t="n"/>
      <c r="CO421" s="588" t="n"/>
      <c r="CP421" s="588" t="n"/>
      <c r="CQ421" s="588" t="n"/>
      <c r="CR421" s="588" t="n"/>
      <c r="CS421" s="588" t="n"/>
      <c r="CT421" s="588" t="n"/>
      <c r="CU421" s="588" t="n"/>
      <c r="CV421" s="588" t="n"/>
      <c r="CW421" s="588" t="n"/>
      <c r="CX421" s="588" t="n"/>
      <c r="CY421" s="588" t="n"/>
      <c r="CZ421" s="588" t="n"/>
      <c r="DA421" s="588" t="n"/>
      <c r="DB421" s="588" t="n"/>
      <c r="DC421" s="588" t="n"/>
      <c r="DD421" s="588" t="n"/>
      <c r="DE421" s="588" t="n"/>
      <c r="DF421" s="588" t="n"/>
      <c r="DG421" s="588" t="n"/>
      <c r="DH421" s="588" t="n"/>
      <c r="DI421" s="588" t="n"/>
      <c r="DJ421" s="588" t="n"/>
      <c r="DK421" s="588" t="n"/>
      <c r="DL421" s="588" t="n"/>
      <c r="DM421" s="588" t="n"/>
      <c r="DN421" s="588" t="n"/>
      <c r="DO421" s="588" t="n"/>
      <c r="DP421" s="588" t="n"/>
      <c r="DQ421" s="588" t="n"/>
      <c r="DR421" s="588" t="n"/>
      <c r="DS421" s="588" t="n"/>
      <c r="DT421" s="588" t="n"/>
      <c r="DU421" s="588" t="n"/>
    </row>
    <row r="422">
      <c r="A422" s="737" t="n"/>
      <c r="B422" s="737" t="n"/>
      <c r="C422" s="737" t="n"/>
      <c r="D422" s="737" t="n"/>
      <c r="E422" s="737" t="n"/>
      <c r="F422" s="737" t="n"/>
      <c r="G422" s="737" t="n"/>
      <c r="H422" s="737" t="n"/>
      <c r="I422" s="737" t="n"/>
      <c r="J422" s="737" t="n"/>
      <c r="K422" s="737" t="n"/>
      <c r="L422" s="737" t="n"/>
      <c r="M422" s="737" t="n"/>
      <c r="N422" s="737" t="n"/>
      <c r="O422" s="737" t="n"/>
      <c r="P422" s="737" t="n"/>
      <c r="Q422" s="737" t="n"/>
      <c r="R422" s="737" t="n"/>
      <c r="S422" s="737" t="n"/>
      <c r="T422" s="737" t="n"/>
      <c r="U422" s="737" t="n"/>
      <c r="V422" s="737" t="n"/>
      <c r="W422" s="737" t="n"/>
      <c r="X422" s="737" t="n"/>
      <c r="Y422" s="737" t="n"/>
      <c r="Z422" s="737" t="n"/>
      <c r="AA422" s="737" t="n"/>
      <c r="AB422" s="737" t="n"/>
      <c r="AC422" s="737" t="n"/>
      <c r="AD422" s="737" t="n"/>
      <c r="AE422" s="737" t="n"/>
      <c r="AF422" s="737" t="n"/>
      <c r="AG422" s="737" t="n"/>
      <c r="AH422" s="737" t="n"/>
      <c r="AI422" s="737" t="n"/>
      <c r="AJ422" s="737" t="n"/>
      <c r="AK422" s="588" t="n"/>
      <c r="AL422" s="588" t="n"/>
      <c r="AM422" s="588" t="n"/>
      <c r="AN422" s="588" t="n"/>
      <c r="AO422" s="588" t="n"/>
      <c r="AP422" s="588" t="n"/>
      <c r="AQ422" s="588" t="n"/>
      <c r="AR422" s="588" t="n"/>
      <c r="AS422" s="588" t="n"/>
      <c r="AT422" s="588" t="n"/>
      <c r="AU422" s="588" t="n"/>
      <c r="AV422" s="588" t="n"/>
      <c r="AW422" s="588" t="n"/>
      <c r="AX422" s="588" t="n"/>
      <c r="AY422" s="588" t="n"/>
      <c r="AZ422" s="588" t="n"/>
      <c r="BA422" s="588" t="n"/>
      <c r="BB422" s="588" t="n"/>
      <c r="BC422" s="588" t="n"/>
      <c r="BD422" s="588" t="n"/>
      <c r="BE422" s="588" t="n"/>
      <c r="BF422" s="588" t="n"/>
      <c r="BG422" s="588" t="n"/>
      <c r="BH422" s="588" t="n"/>
      <c r="BI422" s="588" t="n"/>
      <c r="BJ422" s="588" t="n"/>
      <c r="BK422" s="588" t="n"/>
      <c r="BL422" s="588" t="n"/>
      <c r="BM422" s="588" t="n"/>
      <c r="BN422" s="588" t="n"/>
      <c r="BO422" s="588" t="n"/>
      <c r="BP422" s="588" t="n"/>
      <c r="BQ422" s="588" t="n"/>
      <c r="BR422" s="588" t="n"/>
      <c r="BS422" s="588" t="n"/>
      <c r="BT422" s="588" t="n"/>
      <c r="BU422" s="588" t="n"/>
      <c r="BV422" s="588" t="n"/>
      <c r="BW422" s="588" t="n"/>
      <c r="BX422" s="588" t="n"/>
      <c r="BY422" s="588" t="n"/>
      <c r="BZ422" s="588" t="n"/>
      <c r="CA422" s="588" t="n"/>
      <c r="CB422" s="588" t="n"/>
      <c r="CC422" s="588" t="n"/>
      <c r="CD422" s="588" t="n"/>
      <c r="CE422" s="588" t="n"/>
      <c r="CF422" s="588" t="n"/>
      <c r="CG422" s="588" t="n"/>
      <c r="CH422" s="588" t="n"/>
      <c r="CI422" s="588" t="n"/>
      <c r="CJ422" s="588" t="n"/>
      <c r="CK422" s="588" t="n"/>
      <c r="CL422" s="588" t="n"/>
      <c r="CM422" s="588" t="n"/>
      <c r="CN422" s="588" t="n"/>
      <c r="CO422" s="588" t="n"/>
      <c r="CP422" s="588" t="n"/>
      <c r="CQ422" s="588" t="n"/>
      <c r="CR422" s="588" t="n"/>
      <c r="CS422" s="588" t="n"/>
      <c r="CT422" s="588" t="n"/>
      <c r="CU422" s="588" t="n"/>
      <c r="CV422" s="588" t="n"/>
      <c r="CW422" s="588" t="n"/>
      <c r="CX422" s="588" t="n"/>
      <c r="CY422" s="588" t="n"/>
      <c r="CZ422" s="588" t="n"/>
      <c r="DA422" s="588" t="n"/>
      <c r="DB422" s="588" t="n"/>
      <c r="DC422" s="588" t="n"/>
      <c r="DD422" s="588" t="n"/>
      <c r="DE422" s="588" t="n"/>
      <c r="DF422" s="588" t="n"/>
      <c r="DG422" s="588" t="n"/>
      <c r="DH422" s="588" t="n"/>
      <c r="DI422" s="588" t="n"/>
      <c r="DJ422" s="588" t="n"/>
      <c r="DK422" s="588" t="n"/>
      <c r="DL422" s="588" t="n"/>
      <c r="DM422" s="588" t="n"/>
      <c r="DN422" s="588" t="n"/>
      <c r="DO422" s="588" t="n"/>
      <c r="DP422" s="588" t="n"/>
      <c r="DQ422" s="588" t="n"/>
      <c r="DR422" s="588" t="n"/>
      <c r="DS422" s="588" t="n"/>
      <c r="DT422" s="588" t="n"/>
      <c r="DU422" s="588" t="n"/>
    </row>
    <row r="423">
      <c r="A423" s="737" t="n"/>
      <c r="B423" s="737" t="n"/>
      <c r="C423" s="737" t="n"/>
      <c r="D423" s="737" t="n"/>
      <c r="E423" s="737" t="n"/>
      <c r="F423" s="737" t="n"/>
      <c r="G423" s="737" t="n"/>
      <c r="H423" s="737" t="n"/>
      <c r="I423" s="737" t="n"/>
      <c r="J423" s="737" t="n"/>
      <c r="K423" s="737" t="n"/>
      <c r="L423" s="737" t="n"/>
      <c r="M423" s="737" t="n"/>
      <c r="N423" s="737" t="n"/>
      <c r="O423" s="737" t="n"/>
      <c r="P423" s="737" t="n"/>
      <c r="Q423" s="737" t="n"/>
      <c r="R423" s="737" t="n"/>
      <c r="S423" s="737" t="n"/>
      <c r="T423" s="737" t="n"/>
      <c r="U423" s="737" t="n"/>
      <c r="V423" s="737" t="n"/>
      <c r="W423" s="737" t="n"/>
      <c r="X423" s="737" t="n"/>
      <c r="Y423" s="737" t="n"/>
      <c r="Z423" s="737" t="n"/>
      <c r="AA423" s="737" t="n"/>
      <c r="AB423" s="737" t="n"/>
      <c r="AC423" s="737" t="n"/>
      <c r="AD423" s="737" t="n"/>
      <c r="AE423" s="737" t="n"/>
      <c r="AF423" s="737" t="n"/>
      <c r="AG423" s="737" t="n"/>
      <c r="AH423" s="737" t="n"/>
      <c r="AI423" s="737" t="n"/>
      <c r="AJ423" s="737" t="n"/>
      <c r="AK423" s="588" t="n"/>
      <c r="AL423" s="588" t="n"/>
      <c r="AM423" s="588" t="n"/>
      <c r="AN423" s="588" t="n"/>
      <c r="AO423" s="588" t="n"/>
      <c r="AP423" s="588" t="n"/>
      <c r="AQ423" s="588" t="n"/>
      <c r="AR423" s="588" t="n"/>
      <c r="AS423" s="588" t="n"/>
      <c r="AT423" s="588" t="n"/>
      <c r="AU423" s="588" t="n"/>
      <c r="AV423" s="588" t="n"/>
      <c r="AW423" s="588" t="n"/>
      <c r="AX423" s="588" t="n"/>
      <c r="AY423" s="588" t="n"/>
      <c r="AZ423" s="588" t="n"/>
      <c r="BA423" s="588" t="n"/>
      <c r="BB423" s="588" t="n"/>
      <c r="BC423" s="588" t="n"/>
      <c r="BD423" s="588" t="n"/>
      <c r="BE423" s="588" t="n"/>
      <c r="BF423" s="588" t="n"/>
      <c r="BG423" s="588" t="n"/>
      <c r="BH423" s="588" t="n"/>
      <c r="BI423" s="588" t="n"/>
      <c r="BJ423" s="588" t="n"/>
      <c r="BK423" s="588" t="n"/>
      <c r="BL423" s="588" t="n"/>
      <c r="BM423" s="588" t="n"/>
      <c r="BN423" s="588" t="n"/>
      <c r="BO423" s="588" t="n"/>
      <c r="BP423" s="588" t="n"/>
      <c r="BQ423" s="588" t="n"/>
      <c r="BR423" s="588" t="n"/>
      <c r="BS423" s="588" t="n"/>
      <c r="BT423" s="588" t="n"/>
      <c r="BU423" s="588" t="n"/>
      <c r="BV423" s="588" t="n"/>
      <c r="BW423" s="588" t="n"/>
      <c r="BX423" s="588" t="n"/>
      <c r="BY423" s="588" t="n"/>
      <c r="BZ423" s="588" t="n"/>
      <c r="CA423" s="588" t="n"/>
      <c r="CB423" s="588" t="n"/>
      <c r="CC423" s="588" t="n"/>
      <c r="CD423" s="588" t="n"/>
      <c r="CE423" s="588" t="n"/>
      <c r="CF423" s="588" t="n"/>
      <c r="CG423" s="588" t="n"/>
      <c r="CH423" s="588" t="n"/>
      <c r="CI423" s="588" t="n"/>
      <c r="CJ423" s="588" t="n"/>
      <c r="CK423" s="588" t="n"/>
      <c r="CL423" s="588" t="n"/>
      <c r="CM423" s="588" t="n"/>
      <c r="CN423" s="588" t="n"/>
      <c r="CO423" s="588" t="n"/>
      <c r="CP423" s="588" t="n"/>
      <c r="CQ423" s="588" t="n"/>
      <c r="CR423" s="588" t="n"/>
      <c r="CS423" s="588" t="n"/>
      <c r="CT423" s="588" t="n"/>
      <c r="CU423" s="588" t="n"/>
      <c r="CV423" s="588" t="n"/>
      <c r="CW423" s="588" t="n"/>
      <c r="CX423" s="588" t="n"/>
      <c r="CY423" s="588" t="n"/>
      <c r="CZ423" s="588" t="n"/>
      <c r="DA423" s="588" t="n"/>
      <c r="DB423" s="588" t="n"/>
      <c r="DC423" s="588" t="n"/>
      <c r="DD423" s="588" t="n"/>
      <c r="DE423" s="588" t="n"/>
      <c r="DF423" s="588" t="n"/>
      <c r="DG423" s="588" t="n"/>
      <c r="DH423" s="588" t="n"/>
      <c r="DI423" s="588" t="n"/>
      <c r="DJ423" s="588" t="n"/>
      <c r="DK423" s="588" t="n"/>
      <c r="DL423" s="588" t="n"/>
      <c r="DM423" s="588" t="n"/>
      <c r="DN423" s="588" t="n"/>
      <c r="DO423" s="588" t="n"/>
      <c r="DP423" s="588" t="n"/>
      <c r="DQ423" s="588" t="n"/>
      <c r="DR423" s="588" t="n"/>
      <c r="DS423" s="588" t="n"/>
      <c r="DT423" s="588" t="n"/>
      <c r="DU423" s="588" t="n"/>
    </row>
    <row r="424">
      <c r="A424" s="737" t="n"/>
      <c r="B424" s="737" t="n"/>
      <c r="C424" s="737" t="n"/>
      <c r="D424" s="737" t="n"/>
      <c r="E424" s="737" t="n"/>
      <c r="F424" s="737" t="n"/>
      <c r="G424" s="737" t="n"/>
      <c r="H424" s="737" t="n"/>
      <c r="I424" s="737" t="n"/>
      <c r="J424" s="737" t="n"/>
      <c r="K424" s="737" t="n"/>
      <c r="L424" s="737" t="n"/>
      <c r="M424" s="737" t="n"/>
      <c r="N424" s="737" t="n"/>
      <c r="O424" s="737" t="n"/>
      <c r="P424" s="737" t="n"/>
      <c r="Q424" s="737" t="n"/>
      <c r="R424" s="737" t="n"/>
      <c r="S424" s="737" t="n"/>
      <c r="T424" s="737" t="n"/>
      <c r="U424" s="737" t="n"/>
      <c r="V424" s="737" t="n"/>
      <c r="W424" s="737" t="n"/>
      <c r="X424" s="737" t="n"/>
      <c r="Y424" s="737" t="n"/>
      <c r="Z424" s="737" t="n"/>
      <c r="AA424" s="737" t="n"/>
      <c r="AB424" s="737" t="n"/>
      <c r="AC424" s="737" t="n"/>
      <c r="AD424" s="737" t="n"/>
      <c r="AE424" s="737" t="n"/>
      <c r="AF424" s="737" t="n"/>
      <c r="AG424" s="737" t="n"/>
      <c r="AH424" s="737" t="n"/>
      <c r="AI424" s="737" t="n"/>
      <c r="AJ424" s="737" t="n"/>
      <c r="AK424" s="588" t="n"/>
      <c r="AL424" s="588" t="n"/>
      <c r="AM424" s="588" t="n"/>
      <c r="AN424" s="588" t="n"/>
      <c r="AO424" s="588" t="n"/>
      <c r="AP424" s="588" t="n"/>
      <c r="AQ424" s="588" t="n"/>
      <c r="AR424" s="588" t="n"/>
      <c r="AS424" s="588" t="n"/>
      <c r="AT424" s="588" t="n"/>
      <c r="AU424" s="588" t="n"/>
      <c r="AV424" s="588" t="n"/>
      <c r="AW424" s="588" t="n"/>
      <c r="AX424" s="588" t="n"/>
      <c r="AY424" s="588" t="n"/>
      <c r="AZ424" s="588" t="n"/>
      <c r="BA424" s="588" t="n"/>
      <c r="BB424" s="588" t="n"/>
      <c r="BC424" s="588" t="n"/>
      <c r="BD424" s="588" t="n"/>
      <c r="BE424" s="588" t="n"/>
      <c r="BF424" s="588" t="n"/>
      <c r="BG424" s="588" t="n"/>
      <c r="BH424" s="588" t="n"/>
      <c r="BI424" s="588" t="n"/>
      <c r="BJ424" s="588" t="n"/>
      <c r="BK424" s="588" t="n"/>
      <c r="BL424" s="588" t="n"/>
      <c r="BM424" s="588" t="n"/>
      <c r="BN424" s="588" t="n"/>
      <c r="BO424" s="588" t="n"/>
      <c r="BP424" s="588" t="n"/>
      <c r="BQ424" s="588" t="n"/>
      <c r="BR424" s="588" t="n"/>
      <c r="BS424" s="588" t="n"/>
      <c r="BT424" s="588" t="n"/>
      <c r="BU424" s="588" t="n"/>
      <c r="BV424" s="588" t="n"/>
      <c r="BW424" s="588" t="n"/>
      <c r="BX424" s="588" t="n"/>
      <c r="BY424" s="588" t="n"/>
      <c r="BZ424" s="588" t="n"/>
      <c r="CA424" s="588" t="n"/>
      <c r="CB424" s="588" t="n"/>
      <c r="CC424" s="588" t="n"/>
      <c r="CD424" s="588" t="n"/>
      <c r="CE424" s="588" t="n"/>
      <c r="CF424" s="588" t="n"/>
      <c r="CG424" s="588" t="n"/>
      <c r="CH424" s="588" t="n"/>
      <c r="CI424" s="588" t="n"/>
      <c r="CJ424" s="588" t="n"/>
      <c r="CK424" s="588" t="n"/>
      <c r="CL424" s="588" t="n"/>
      <c r="CM424" s="588" t="n"/>
      <c r="CN424" s="588" t="n"/>
      <c r="CO424" s="588" t="n"/>
      <c r="CP424" s="588" t="n"/>
      <c r="CQ424" s="588" t="n"/>
      <c r="CR424" s="588" t="n"/>
      <c r="CS424" s="588" t="n"/>
      <c r="CT424" s="588" t="n"/>
      <c r="CU424" s="588" t="n"/>
      <c r="CV424" s="588" t="n"/>
      <c r="CW424" s="588" t="n"/>
      <c r="CX424" s="588" t="n"/>
      <c r="CY424" s="588" t="n"/>
      <c r="CZ424" s="588" t="n"/>
      <c r="DA424" s="588" t="n"/>
      <c r="DB424" s="588" t="n"/>
      <c r="DC424" s="588" t="n"/>
      <c r="DD424" s="588" t="n"/>
      <c r="DE424" s="588" t="n"/>
      <c r="DF424" s="588" t="n"/>
      <c r="DG424" s="588" t="n"/>
      <c r="DH424" s="588" t="n"/>
      <c r="DI424" s="588" t="n"/>
      <c r="DJ424" s="588" t="n"/>
      <c r="DK424" s="588" t="n"/>
      <c r="DL424" s="588" t="n"/>
      <c r="DM424" s="588" t="n"/>
      <c r="DN424" s="588" t="n"/>
      <c r="DO424" s="588" t="n"/>
      <c r="DP424" s="588" t="n"/>
      <c r="DQ424" s="588" t="n"/>
      <c r="DR424" s="588" t="n"/>
      <c r="DS424" s="588" t="n"/>
      <c r="DT424" s="588" t="n"/>
      <c r="DU424" s="588" t="n"/>
    </row>
    <row r="425">
      <c r="A425" s="737" t="n"/>
      <c r="B425" s="737" t="n"/>
      <c r="C425" s="737" t="n"/>
      <c r="D425" s="737" t="n"/>
      <c r="E425" s="737" t="n"/>
      <c r="F425" s="737" t="n"/>
      <c r="G425" s="737" t="n"/>
      <c r="H425" s="737" t="n"/>
      <c r="I425" s="737" t="n"/>
      <c r="J425" s="737" t="n"/>
      <c r="K425" s="737" t="n"/>
      <c r="L425" s="737" t="n"/>
      <c r="M425" s="737" t="n"/>
      <c r="N425" s="737" t="n"/>
      <c r="O425" s="737" t="n"/>
      <c r="P425" s="737" t="n"/>
      <c r="Q425" s="737" t="n"/>
      <c r="R425" s="737" t="n"/>
      <c r="S425" s="737" t="n"/>
      <c r="T425" s="737" t="n"/>
      <c r="U425" s="737" t="n"/>
      <c r="V425" s="737" t="n"/>
      <c r="W425" s="737" t="n"/>
      <c r="X425" s="737" t="n"/>
      <c r="Y425" s="737" t="n"/>
      <c r="Z425" s="737" t="n"/>
      <c r="AA425" s="737" t="n"/>
      <c r="AB425" s="737" t="n"/>
      <c r="AC425" s="737" t="n"/>
      <c r="AD425" s="737" t="n"/>
      <c r="AE425" s="737" t="n"/>
      <c r="AF425" s="737" t="n"/>
      <c r="AG425" s="737" t="n"/>
      <c r="AH425" s="737" t="n"/>
      <c r="AI425" s="737" t="n"/>
      <c r="AJ425" s="737" t="n"/>
      <c r="AK425" s="588" t="n"/>
      <c r="AL425" s="588" t="n"/>
      <c r="AM425" s="588" t="n"/>
      <c r="AN425" s="588" t="n"/>
      <c r="AO425" s="588" t="n"/>
      <c r="AP425" s="588" t="n"/>
      <c r="AQ425" s="588" t="n"/>
      <c r="AR425" s="588" t="n"/>
      <c r="AS425" s="588" t="n"/>
      <c r="AT425" s="588" t="n"/>
      <c r="AU425" s="588" t="n"/>
      <c r="AV425" s="588" t="n"/>
      <c r="AW425" s="588" t="n"/>
      <c r="AX425" s="588" t="n"/>
      <c r="AY425" s="588" t="n"/>
      <c r="AZ425" s="588" t="n"/>
      <c r="BA425" s="588" t="n"/>
      <c r="BB425" s="588" t="n"/>
      <c r="BC425" s="588" t="n"/>
      <c r="BD425" s="588" t="n"/>
      <c r="BE425" s="588" t="n"/>
      <c r="BF425" s="588" t="n"/>
      <c r="BG425" s="588" t="n"/>
      <c r="BH425" s="588" t="n"/>
      <c r="BI425" s="588" t="n"/>
      <c r="BJ425" s="588" t="n"/>
      <c r="BK425" s="588" t="n"/>
      <c r="BL425" s="588" t="n"/>
      <c r="BM425" s="588" t="n"/>
      <c r="BN425" s="588" t="n"/>
      <c r="BO425" s="588" t="n"/>
      <c r="BP425" s="588" t="n"/>
      <c r="BQ425" s="588" t="n"/>
      <c r="BR425" s="588" t="n"/>
      <c r="BS425" s="588" t="n"/>
      <c r="BT425" s="588" t="n"/>
      <c r="BU425" s="588" t="n"/>
      <c r="BV425" s="588" t="n"/>
      <c r="BW425" s="588" t="n"/>
      <c r="BX425" s="588" t="n"/>
      <c r="BY425" s="588" t="n"/>
      <c r="BZ425" s="588" t="n"/>
      <c r="CA425" s="588" t="n"/>
      <c r="CB425" s="588" t="n"/>
      <c r="CC425" s="588" t="n"/>
      <c r="CD425" s="588" t="n"/>
      <c r="CE425" s="588" t="n"/>
      <c r="CF425" s="588" t="n"/>
      <c r="CG425" s="588" t="n"/>
      <c r="CH425" s="588" t="n"/>
      <c r="CI425" s="588" t="n"/>
      <c r="CJ425" s="588" t="n"/>
      <c r="CK425" s="588" t="n"/>
      <c r="CL425" s="588" t="n"/>
      <c r="CM425" s="588" t="n"/>
      <c r="CN425" s="588" t="n"/>
      <c r="CO425" s="588" t="n"/>
      <c r="CP425" s="588" t="n"/>
      <c r="CQ425" s="588" t="n"/>
      <c r="CR425" s="588" t="n"/>
      <c r="CS425" s="588" t="n"/>
      <c r="CT425" s="588" t="n"/>
      <c r="CU425" s="588" t="n"/>
      <c r="CV425" s="588" t="n"/>
      <c r="CW425" s="588" t="n"/>
      <c r="CX425" s="588" t="n"/>
      <c r="CY425" s="588" t="n"/>
      <c r="CZ425" s="588" t="n"/>
      <c r="DA425" s="588" t="n"/>
      <c r="DB425" s="588" t="n"/>
      <c r="DC425" s="588" t="n"/>
      <c r="DD425" s="588" t="n"/>
      <c r="DE425" s="588" t="n"/>
      <c r="DF425" s="588" t="n"/>
      <c r="DG425" s="588" t="n"/>
      <c r="DH425" s="588" t="n"/>
      <c r="DI425" s="588" t="n"/>
      <c r="DJ425" s="588" t="n"/>
      <c r="DK425" s="588" t="n"/>
      <c r="DL425" s="588" t="n"/>
      <c r="DM425" s="588" t="n"/>
      <c r="DN425" s="588" t="n"/>
      <c r="DO425" s="588" t="n"/>
      <c r="DP425" s="588" t="n"/>
      <c r="DQ425" s="588" t="n"/>
      <c r="DR425" s="588" t="n"/>
      <c r="DS425" s="588" t="n"/>
      <c r="DT425" s="588" t="n"/>
      <c r="DU425" s="588" t="n"/>
    </row>
    <row r="426">
      <c r="A426" s="737" t="n"/>
      <c r="B426" s="737" t="n"/>
      <c r="C426" s="737" t="n"/>
      <c r="D426" s="737" t="n"/>
      <c r="E426" s="737" t="n"/>
      <c r="F426" s="737" t="n"/>
      <c r="G426" s="737" t="n"/>
      <c r="H426" s="737" t="n"/>
      <c r="I426" s="737" t="n"/>
      <c r="J426" s="737" t="n"/>
      <c r="K426" s="737" t="n"/>
      <c r="L426" s="737" t="n"/>
      <c r="M426" s="737" t="n"/>
      <c r="N426" s="737" t="n"/>
      <c r="O426" s="737" t="n"/>
      <c r="P426" s="737" t="n"/>
      <c r="Q426" s="737" t="n"/>
      <c r="R426" s="737" t="n"/>
      <c r="S426" s="737" t="n"/>
      <c r="T426" s="737" t="n"/>
      <c r="U426" s="737" t="n"/>
      <c r="V426" s="737" t="n"/>
      <c r="W426" s="737" t="n"/>
      <c r="X426" s="737" t="n"/>
      <c r="Y426" s="737" t="n"/>
      <c r="Z426" s="737" t="n"/>
      <c r="AA426" s="737" t="n"/>
      <c r="AB426" s="737" t="n"/>
      <c r="AC426" s="737" t="n"/>
      <c r="AD426" s="737" t="n"/>
      <c r="AE426" s="737" t="n"/>
      <c r="AF426" s="737" t="n"/>
      <c r="AG426" s="737" t="n"/>
      <c r="AH426" s="737" t="n"/>
      <c r="AI426" s="737" t="n"/>
      <c r="AJ426" s="737" t="n"/>
      <c r="AK426" s="588" t="n"/>
      <c r="AL426" s="588" t="n"/>
      <c r="AM426" s="588" t="n"/>
      <c r="AN426" s="588" t="n"/>
      <c r="AO426" s="588" t="n"/>
      <c r="AP426" s="588" t="n"/>
      <c r="AQ426" s="588" t="n"/>
      <c r="AR426" s="588" t="n"/>
      <c r="AS426" s="588" t="n"/>
      <c r="AT426" s="588" t="n"/>
      <c r="AU426" s="588" t="n"/>
      <c r="AV426" s="588" t="n"/>
      <c r="AW426" s="588" t="n"/>
      <c r="AX426" s="588" t="n"/>
      <c r="AY426" s="588" t="n"/>
      <c r="AZ426" s="588" t="n"/>
      <c r="BA426" s="588" t="n"/>
      <c r="BB426" s="588" t="n"/>
      <c r="BC426" s="588" t="n"/>
      <c r="BD426" s="588" t="n"/>
      <c r="BE426" s="588" t="n"/>
      <c r="BF426" s="588" t="n"/>
      <c r="BG426" s="588" t="n"/>
      <c r="BH426" s="588" t="n"/>
      <c r="BI426" s="588" t="n"/>
      <c r="BJ426" s="588" t="n"/>
      <c r="BK426" s="588" t="n"/>
      <c r="BL426" s="588" t="n"/>
      <c r="BM426" s="588" t="n"/>
      <c r="BN426" s="588" t="n"/>
      <c r="BO426" s="588" t="n"/>
      <c r="BP426" s="588" t="n"/>
      <c r="BQ426" s="588" t="n"/>
      <c r="BR426" s="588" t="n"/>
      <c r="BS426" s="588" t="n"/>
      <c r="BT426" s="588" t="n"/>
      <c r="BU426" s="588" t="n"/>
      <c r="BV426" s="588" t="n"/>
      <c r="BW426" s="588" t="n"/>
      <c r="BX426" s="588" t="n"/>
      <c r="BY426" s="588" t="n"/>
      <c r="BZ426" s="588" t="n"/>
      <c r="CA426" s="588" t="n"/>
      <c r="CB426" s="588" t="n"/>
      <c r="CC426" s="588" t="n"/>
      <c r="CD426" s="588" t="n"/>
      <c r="CE426" s="588" t="n"/>
      <c r="CF426" s="588" t="n"/>
      <c r="CG426" s="588" t="n"/>
      <c r="CH426" s="588" t="n"/>
      <c r="CI426" s="588" t="n"/>
      <c r="CJ426" s="588" t="n"/>
      <c r="CK426" s="588" t="n"/>
      <c r="CL426" s="588" t="n"/>
      <c r="CM426" s="588" t="n"/>
      <c r="CN426" s="588" t="n"/>
      <c r="CO426" s="588" t="n"/>
      <c r="CP426" s="588" t="n"/>
      <c r="CQ426" s="588" t="n"/>
      <c r="CR426" s="588" t="n"/>
      <c r="CS426" s="588" t="n"/>
      <c r="CT426" s="588" t="n"/>
      <c r="CU426" s="588" t="n"/>
      <c r="CV426" s="588" t="n"/>
      <c r="CW426" s="588" t="n"/>
      <c r="CX426" s="588" t="n"/>
      <c r="CY426" s="588" t="n"/>
      <c r="CZ426" s="588" t="n"/>
      <c r="DA426" s="588" t="n"/>
      <c r="DB426" s="588" t="n"/>
      <c r="DC426" s="588" t="n"/>
      <c r="DD426" s="588" t="n"/>
      <c r="DE426" s="588" t="n"/>
      <c r="DF426" s="588" t="n"/>
      <c r="DG426" s="588" t="n"/>
      <c r="DH426" s="588" t="n"/>
      <c r="DI426" s="588" t="n"/>
      <c r="DJ426" s="588" t="n"/>
      <c r="DK426" s="588" t="n"/>
      <c r="DL426" s="588" t="n"/>
      <c r="DM426" s="588" t="n"/>
      <c r="DN426" s="588" t="n"/>
      <c r="DO426" s="588" t="n"/>
      <c r="DP426" s="588" t="n"/>
      <c r="DQ426" s="588" t="n"/>
      <c r="DR426" s="588" t="n"/>
      <c r="DS426" s="588" t="n"/>
      <c r="DT426" s="588" t="n"/>
      <c r="DU426" s="588" t="n"/>
    </row>
    <row r="427">
      <c r="A427" s="737" t="n"/>
      <c r="B427" s="737" t="n"/>
      <c r="C427" s="737" t="n"/>
      <c r="D427" s="737" t="n"/>
      <c r="E427" s="737" t="n"/>
      <c r="F427" s="737" t="n"/>
      <c r="G427" s="737" t="n"/>
      <c r="H427" s="737" t="n"/>
      <c r="I427" s="737" t="n"/>
      <c r="J427" s="737" t="n"/>
      <c r="K427" s="737" t="n"/>
      <c r="L427" s="737" t="n"/>
      <c r="M427" s="737" t="n"/>
      <c r="N427" s="737" t="n"/>
      <c r="O427" s="737" t="n"/>
      <c r="P427" s="737" t="n"/>
      <c r="Q427" s="737" t="n"/>
      <c r="R427" s="737" t="n"/>
      <c r="S427" s="737" t="n"/>
      <c r="T427" s="737" t="n"/>
      <c r="U427" s="737" t="n"/>
      <c r="V427" s="737" t="n"/>
      <c r="W427" s="737" t="n"/>
      <c r="X427" s="737" t="n"/>
      <c r="Y427" s="737" t="n"/>
      <c r="Z427" s="737" t="n"/>
      <c r="AA427" s="737" t="n"/>
      <c r="AB427" s="737" t="n"/>
      <c r="AC427" s="737" t="n"/>
      <c r="AD427" s="737" t="n"/>
      <c r="AE427" s="737" t="n"/>
      <c r="AF427" s="737" t="n"/>
      <c r="AG427" s="737" t="n"/>
      <c r="AH427" s="737" t="n"/>
      <c r="AI427" s="737" t="n"/>
      <c r="AJ427" s="737" t="n"/>
      <c r="AK427" s="588" t="n"/>
      <c r="AL427" s="588" t="n"/>
      <c r="AM427" s="588" t="n"/>
      <c r="AN427" s="588" t="n"/>
      <c r="AO427" s="588" t="n"/>
      <c r="AP427" s="588" t="n"/>
      <c r="AQ427" s="588" t="n"/>
      <c r="AR427" s="588" t="n"/>
      <c r="AS427" s="588" t="n"/>
      <c r="AT427" s="588" t="n"/>
      <c r="AU427" s="588" t="n"/>
      <c r="AV427" s="588" t="n"/>
      <c r="AW427" s="588" t="n"/>
      <c r="AX427" s="588" t="n"/>
      <c r="AY427" s="588" t="n"/>
      <c r="AZ427" s="588" t="n"/>
      <c r="BA427" s="588" t="n"/>
      <c r="BB427" s="588" t="n"/>
      <c r="BC427" s="588" t="n"/>
      <c r="BD427" s="588" t="n"/>
      <c r="BE427" s="588" t="n"/>
      <c r="BF427" s="588" t="n"/>
      <c r="BG427" s="588" t="n"/>
      <c r="BH427" s="588" t="n"/>
      <c r="BI427" s="588" t="n"/>
      <c r="BJ427" s="588" t="n"/>
      <c r="BK427" s="588" t="n"/>
      <c r="BL427" s="588" t="n"/>
      <c r="BM427" s="588" t="n"/>
      <c r="BN427" s="588" t="n"/>
      <c r="BO427" s="588" t="n"/>
      <c r="BP427" s="588" t="n"/>
      <c r="BQ427" s="588" t="n"/>
      <c r="BR427" s="588" t="n"/>
      <c r="BS427" s="588" t="n"/>
      <c r="BT427" s="588" t="n"/>
      <c r="BU427" s="588" t="n"/>
      <c r="BV427" s="588" t="n"/>
      <c r="BW427" s="588" t="n"/>
      <c r="BX427" s="588" t="n"/>
      <c r="BY427" s="588" t="n"/>
      <c r="BZ427" s="588" t="n"/>
      <c r="CA427" s="588" t="n"/>
      <c r="CB427" s="588" t="n"/>
      <c r="CC427" s="588" t="n"/>
      <c r="CD427" s="588" t="n"/>
      <c r="CE427" s="588" t="n"/>
      <c r="CF427" s="588" t="n"/>
      <c r="CG427" s="588" t="n"/>
      <c r="CH427" s="588" t="n"/>
      <c r="CI427" s="588" t="n"/>
      <c r="CJ427" s="588" t="n"/>
      <c r="CK427" s="588" t="n"/>
      <c r="CL427" s="588" t="n"/>
      <c r="CM427" s="588" t="n"/>
      <c r="CN427" s="588" t="n"/>
      <c r="CO427" s="588" t="n"/>
      <c r="CP427" s="588" t="n"/>
      <c r="CQ427" s="588" t="n"/>
      <c r="CR427" s="588" t="n"/>
      <c r="CS427" s="588" t="n"/>
      <c r="CT427" s="588" t="n"/>
      <c r="CU427" s="588" t="n"/>
      <c r="CV427" s="588" t="n"/>
      <c r="CW427" s="588" t="n"/>
      <c r="CX427" s="588" t="n"/>
      <c r="CY427" s="588" t="n"/>
      <c r="CZ427" s="588" t="n"/>
      <c r="DA427" s="588" t="n"/>
      <c r="DB427" s="588" t="n"/>
      <c r="DC427" s="588" t="n"/>
      <c r="DD427" s="588" t="n"/>
      <c r="DE427" s="588" t="n"/>
      <c r="DF427" s="588" t="n"/>
      <c r="DG427" s="588" t="n"/>
      <c r="DH427" s="588" t="n"/>
      <c r="DI427" s="588" t="n"/>
      <c r="DJ427" s="588" t="n"/>
      <c r="DK427" s="588" t="n"/>
      <c r="DL427" s="588" t="n"/>
      <c r="DM427" s="588" t="n"/>
      <c r="DN427" s="588" t="n"/>
      <c r="DO427" s="588" t="n"/>
      <c r="DP427" s="588" t="n"/>
      <c r="DQ427" s="588" t="n"/>
      <c r="DR427" s="588" t="n"/>
      <c r="DS427" s="588" t="n"/>
      <c r="DT427" s="588" t="n"/>
      <c r="DU427" s="588" t="n"/>
    </row>
    <row r="428">
      <c r="A428" s="737" t="n"/>
      <c r="B428" s="737" t="n"/>
      <c r="C428" s="737" t="n"/>
      <c r="D428" s="737" t="n"/>
      <c r="E428" s="737" t="n"/>
      <c r="F428" s="737" t="n"/>
      <c r="G428" s="737" t="n"/>
      <c r="H428" s="737" t="n"/>
      <c r="I428" s="737" t="n"/>
      <c r="J428" s="737" t="n"/>
      <c r="K428" s="737" t="n"/>
      <c r="L428" s="737" t="n"/>
      <c r="M428" s="737" t="n"/>
      <c r="N428" s="737" t="n"/>
      <c r="O428" s="737" t="n"/>
      <c r="P428" s="737" t="n"/>
      <c r="Q428" s="737" t="n"/>
      <c r="R428" s="737" t="n"/>
      <c r="S428" s="737" t="n"/>
      <c r="T428" s="737" t="n"/>
      <c r="U428" s="737" t="n"/>
      <c r="V428" s="737" t="n"/>
      <c r="W428" s="737" t="n"/>
      <c r="X428" s="737" t="n"/>
      <c r="Y428" s="737" t="n"/>
      <c r="Z428" s="737" t="n"/>
      <c r="AA428" s="737" t="n"/>
      <c r="AB428" s="737" t="n"/>
      <c r="AC428" s="737" t="n"/>
      <c r="AD428" s="737" t="n"/>
      <c r="AE428" s="737" t="n"/>
      <c r="AF428" s="737" t="n"/>
      <c r="AG428" s="737" t="n"/>
      <c r="AH428" s="737" t="n"/>
      <c r="AI428" s="737" t="n"/>
      <c r="AJ428" s="737" t="n"/>
      <c r="AK428" s="588" t="n"/>
      <c r="AL428" s="588" t="n"/>
      <c r="AM428" s="588" t="n"/>
      <c r="AN428" s="588" t="n"/>
      <c r="AO428" s="588" t="n"/>
      <c r="AP428" s="588" t="n"/>
      <c r="AQ428" s="588" t="n"/>
      <c r="AR428" s="588" t="n"/>
      <c r="AS428" s="588" t="n"/>
      <c r="AT428" s="588" t="n"/>
      <c r="AU428" s="588" t="n"/>
      <c r="AV428" s="588" t="n"/>
      <c r="AW428" s="588" t="n"/>
      <c r="AX428" s="588" t="n"/>
      <c r="AY428" s="588" t="n"/>
      <c r="AZ428" s="588" t="n"/>
      <c r="BA428" s="588" t="n"/>
      <c r="BB428" s="588" t="n"/>
      <c r="BC428" s="588" t="n"/>
      <c r="BD428" s="588" t="n"/>
      <c r="BE428" s="588" t="n"/>
      <c r="BF428" s="588" t="n"/>
      <c r="BG428" s="588" t="n"/>
      <c r="BH428" s="588" t="n"/>
      <c r="BI428" s="588" t="n"/>
      <c r="BJ428" s="588" t="n"/>
      <c r="BK428" s="588" t="n"/>
      <c r="BL428" s="588" t="n"/>
      <c r="BM428" s="588" t="n"/>
      <c r="BN428" s="588" t="n"/>
      <c r="BO428" s="588" t="n"/>
      <c r="BP428" s="588" t="n"/>
      <c r="BQ428" s="588" t="n"/>
      <c r="BR428" s="588" t="n"/>
      <c r="BS428" s="588" t="n"/>
      <c r="BT428" s="588" t="n"/>
      <c r="BU428" s="588" t="n"/>
      <c r="BV428" s="588" t="n"/>
      <c r="BW428" s="588" t="n"/>
      <c r="BX428" s="588" t="n"/>
      <c r="BY428" s="588" t="n"/>
      <c r="BZ428" s="588" t="n"/>
      <c r="CA428" s="588" t="n"/>
      <c r="CB428" s="588" t="n"/>
      <c r="CC428" s="588" t="n"/>
      <c r="CD428" s="588" t="n"/>
      <c r="CE428" s="588" t="n"/>
      <c r="CF428" s="588" t="n"/>
      <c r="CG428" s="588" t="n"/>
      <c r="CH428" s="588" t="n"/>
      <c r="CI428" s="588" t="n"/>
      <c r="CJ428" s="588" t="n"/>
      <c r="CK428" s="588" t="n"/>
      <c r="CL428" s="588" t="n"/>
      <c r="CM428" s="588" t="n"/>
      <c r="CN428" s="588" t="n"/>
      <c r="CO428" s="588" t="n"/>
      <c r="CP428" s="588" t="n"/>
      <c r="CQ428" s="588" t="n"/>
      <c r="CR428" s="588" t="n"/>
      <c r="CS428" s="588" t="n"/>
      <c r="CT428" s="588" t="n"/>
      <c r="CU428" s="588" t="n"/>
      <c r="CV428" s="588" t="n"/>
      <c r="CW428" s="588" t="n"/>
      <c r="CX428" s="588" t="n"/>
      <c r="CY428" s="588" t="n"/>
      <c r="CZ428" s="588" t="n"/>
      <c r="DA428" s="588" t="n"/>
      <c r="DB428" s="588" t="n"/>
      <c r="DC428" s="588" t="n"/>
      <c r="DD428" s="588" t="n"/>
      <c r="DE428" s="588" t="n"/>
      <c r="DF428" s="588" t="n"/>
      <c r="DG428" s="588" t="n"/>
      <c r="DH428" s="588" t="n"/>
      <c r="DI428" s="588" t="n"/>
      <c r="DJ428" s="588" t="n"/>
      <c r="DK428" s="588" t="n"/>
      <c r="DL428" s="588" t="n"/>
      <c r="DM428" s="588" t="n"/>
      <c r="DN428" s="588" t="n"/>
      <c r="DO428" s="588" t="n"/>
      <c r="DP428" s="588" t="n"/>
      <c r="DQ428" s="588" t="n"/>
      <c r="DR428" s="588" t="n"/>
      <c r="DS428" s="588" t="n"/>
      <c r="DT428" s="588" t="n"/>
      <c r="DU428" s="588" t="n"/>
    </row>
    <row r="429">
      <c r="A429" s="737" t="n"/>
      <c r="B429" s="737" t="n"/>
      <c r="C429" s="737" t="n"/>
      <c r="D429" s="737" t="n"/>
      <c r="E429" s="737" t="n"/>
      <c r="F429" s="737" t="n"/>
      <c r="G429" s="737" t="n"/>
      <c r="H429" s="737" t="n"/>
      <c r="I429" s="737" t="n"/>
      <c r="J429" s="737" t="n"/>
      <c r="K429" s="737" t="n"/>
      <c r="L429" s="737" t="n"/>
      <c r="M429" s="737" t="n"/>
      <c r="N429" s="737" t="n"/>
      <c r="O429" s="737" t="n"/>
      <c r="P429" s="737" t="n"/>
      <c r="Q429" s="737" t="n"/>
      <c r="R429" s="737" t="n"/>
      <c r="S429" s="737" t="n"/>
      <c r="T429" s="737" t="n"/>
      <c r="U429" s="737" t="n"/>
      <c r="V429" s="737" t="n"/>
      <c r="W429" s="737" t="n"/>
      <c r="X429" s="737" t="n"/>
      <c r="Y429" s="737" t="n"/>
      <c r="Z429" s="737" t="n"/>
      <c r="AA429" s="737" t="n"/>
      <c r="AB429" s="737" t="n"/>
      <c r="AC429" s="737" t="n"/>
      <c r="AD429" s="737" t="n"/>
      <c r="AE429" s="737" t="n"/>
      <c r="AF429" s="737" t="n"/>
      <c r="AG429" s="737" t="n"/>
      <c r="AH429" s="737" t="n"/>
      <c r="AI429" s="737" t="n"/>
      <c r="AJ429" s="737" t="n"/>
      <c r="AK429" s="588" t="n"/>
      <c r="AL429" s="588" t="n"/>
      <c r="AM429" s="588" t="n"/>
      <c r="AN429" s="588" t="n"/>
      <c r="AO429" s="588" t="n"/>
      <c r="AP429" s="588" t="n"/>
      <c r="AQ429" s="588" t="n"/>
      <c r="AR429" s="588" t="n"/>
      <c r="AS429" s="588" t="n"/>
      <c r="AT429" s="588" t="n"/>
      <c r="AU429" s="588" t="n"/>
      <c r="AV429" s="588" t="n"/>
      <c r="AW429" s="588" t="n"/>
      <c r="AX429" s="588" t="n"/>
      <c r="AY429" s="588" t="n"/>
      <c r="AZ429" s="588" t="n"/>
      <c r="BA429" s="588" t="n"/>
      <c r="BB429" s="588" t="n"/>
      <c r="BC429" s="588" t="n"/>
      <c r="BD429" s="588" t="n"/>
      <c r="BE429" s="588" t="n"/>
      <c r="BF429" s="588" t="n"/>
      <c r="BG429" s="588" t="n"/>
      <c r="BH429" s="588" t="n"/>
      <c r="BI429" s="588" t="n"/>
      <c r="BJ429" s="588" t="n"/>
      <c r="BK429" s="588" t="n"/>
      <c r="BL429" s="588" t="n"/>
      <c r="BM429" s="588" t="n"/>
      <c r="BN429" s="588" t="n"/>
      <c r="BO429" s="588" t="n"/>
      <c r="BP429" s="588" t="n"/>
      <c r="BQ429" s="588" t="n"/>
      <c r="BR429" s="588" t="n"/>
      <c r="BS429" s="588" t="n"/>
      <c r="BT429" s="588" t="n"/>
      <c r="BU429" s="588" t="n"/>
      <c r="BV429" s="588" t="n"/>
      <c r="BW429" s="588" t="n"/>
      <c r="BX429" s="588" t="n"/>
      <c r="BY429" s="588" t="n"/>
      <c r="BZ429" s="588" t="n"/>
      <c r="CA429" s="588" t="n"/>
      <c r="CB429" s="588" t="n"/>
      <c r="CC429" s="588" t="n"/>
      <c r="CD429" s="588" t="n"/>
      <c r="CE429" s="588" t="n"/>
      <c r="CF429" s="588" t="n"/>
      <c r="CG429" s="588" t="n"/>
      <c r="CH429" s="588" t="n"/>
      <c r="CI429" s="588" t="n"/>
      <c r="CJ429" s="588" t="n"/>
      <c r="CK429" s="588" t="n"/>
      <c r="CL429" s="588" t="n"/>
      <c r="CM429" s="588" t="n"/>
      <c r="CN429" s="588" t="n"/>
      <c r="CO429" s="588" t="n"/>
      <c r="CP429" s="588" t="n"/>
      <c r="CQ429" s="588" t="n"/>
      <c r="CR429" s="588" t="n"/>
      <c r="CS429" s="588" t="n"/>
      <c r="CT429" s="588" t="n"/>
      <c r="CU429" s="588" t="n"/>
      <c r="CV429" s="588" t="n"/>
      <c r="CW429" s="588" t="n"/>
      <c r="CX429" s="588" t="n"/>
      <c r="CY429" s="588" t="n"/>
      <c r="CZ429" s="588" t="n"/>
      <c r="DA429" s="588" t="n"/>
      <c r="DB429" s="588" t="n"/>
      <c r="DC429" s="588" t="n"/>
      <c r="DD429" s="588" t="n"/>
      <c r="DE429" s="588" t="n"/>
      <c r="DF429" s="588" t="n"/>
      <c r="DG429" s="588" t="n"/>
      <c r="DH429" s="588" t="n"/>
      <c r="DI429" s="588" t="n"/>
      <c r="DJ429" s="588" t="n"/>
      <c r="DK429" s="588" t="n"/>
      <c r="DL429" s="588" t="n"/>
      <c r="DM429" s="588" t="n"/>
      <c r="DN429" s="588" t="n"/>
      <c r="DO429" s="588" t="n"/>
      <c r="DP429" s="588" t="n"/>
      <c r="DQ429" s="588" t="n"/>
      <c r="DR429" s="588" t="n"/>
      <c r="DS429" s="588" t="n"/>
      <c r="DT429" s="588" t="n"/>
      <c r="DU429" s="588" t="n"/>
    </row>
    <row r="430">
      <c r="A430" s="737" t="n"/>
      <c r="B430" s="737" t="n"/>
      <c r="C430" s="737" t="n"/>
      <c r="D430" s="737" t="n"/>
      <c r="E430" s="737" t="n"/>
      <c r="F430" s="737" t="n"/>
      <c r="G430" s="737" t="n"/>
      <c r="H430" s="737" t="n"/>
      <c r="I430" s="737" t="n"/>
      <c r="J430" s="737" t="n"/>
      <c r="K430" s="737" t="n"/>
      <c r="L430" s="737" t="n"/>
      <c r="M430" s="737" t="n"/>
      <c r="N430" s="737" t="n"/>
      <c r="O430" s="737" t="n"/>
      <c r="P430" s="737" t="n"/>
      <c r="Q430" s="737" t="n"/>
      <c r="R430" s="737" t="n"/>
      <c r="S430" s="737" t="n"/>
      <c r="T430" s="737" t="n"/>
      <c r="U430" s="737" t="n"/>
      <c r="V430" s="737" t="n"/>
      <c r="W430" s="737" t="n"/>
      <c r="X430" s="737" t="n"/>
      <c r="Y430" s="737" t="n"/>
      <c r="Z430" s="737" t="n"/>
      <c r="AA430" s="737" t="n"/>
      <c r="AB430" s="737" t="n"/>
      <c r="AC430" s="737" t="n"/>
      <c r="AD430" s="737" t="n"/>
      <c r="AE430" s="737" t="n"/>
      <c r="AF430" s="737" t="n"/>
      <c r="AG430" s="737" t="n"/>
      <c r="AH430" s="737" t="n"/>
      <c r="AI430" s="737" t="n"/>
      <c r="AJ430" s="737" t="n"/>
      <c r="AK430" s="588" t="n"/>
      <c r="AL430" s="588" t="n"/>
      <c r="AM430" s="588" t="n"/>
      <c r="AN430" s="588" t="n"/>
      <c r="AO430" s="588" t="n"/>
      <c r="AP430" s="588" t="n"/>
      <c r="AQ430" s="588" t="n"/>
      <c r="AR430" s="588" t="n"/>
      <c r="AS430" s="588" t="n"/>
      <c r="AT430" s="588" t="n"/>
      <c r="AU430" s="588" t="n"/>
      <c r="AV430" s="588" t="n"/>
      <c r="AW430" s="588" t="n"/>
      <c r="AX430" s="588" t="n"/>
      <c r="AY430" s="588" t="n"/>
      <c r="AZ430" s="588" t="n"/>
      <c r="BA430" s="588" t="n"/>
      <c r="BB430" s="588" t="n"/>
      <c r="BC430" s="588" t="n"/>
      <c r="BD430" s="588" t="n"/>
      <c r="BE430" s="588" t="n"/>
      <c r="BF430" s="588" t="n"/>
      <c r="BG430" s="588" t="n"/>
      <c r="BH430" s="588" t="n"/>
      <c r="BI430" s="588" t="n"/>
      <c r="BJ430" s="588" t="n"/>
      <c r="BK430" s="588" t="n"/>
      <c r="BL430" s="588" t="n"/>
      <c r="BM430" s="588" t="n"/>
      <c r="BN430" s="588" t="n"/>
      <c r="BO430" s="588" t="n"/>
      <c r="BP430" s="588" t="n"/>
      <c r="BQ430" s="588" t="n"/>
      <c r="BR430" s="588" t="n"/>
      <c r="BS430" s="588" t="n"/>
      <c r="BT430" s="588" t="n"/>
      <c r="BU430" s="588" t="n"/>
      <c r="BV430" s="588" t="n"/>
      <c r="BW430" s="588" t="n"/>
      <c r="BX430" s="588" t="n"/>
      <c r="BY430" s="588" t="n"/>
      <c r="BZ430" s="588" t="n"/>
      <c r="CA430" s="588" t="n"/>
      <c r="CB430" s="588" t="n"/>
      <c r="CC430" s="588" t="n"/>
      <c r="CD430" s="588" t="n"/>
      <c r="CE430" s="588" t="n"/>
      <c r="CF430" s="588" t="n"/>
      <c r="CG430" s="588" t="n"/>
      <c r="CH430" s="588" t="n"/>
      <c r="CI430" s="588" t="n"/>
      <c r="CJ430" s="588" t="n"/>
      <c r="CK430" s="588" t="n"/>
      <c r="CL430" s="588" t="n"/>
      <c r="CM430" s="588" t="n"/>
      <c r="CN430" s="588" t="n"/>
      <c r="CO430" s="588" t="n"/>
      <c r="CP430" s="588" t="n"/>
      <c r="CQ430" s="588" t="n"/>
      <c r="CR430" s="588" t="n"/>
      <c r="CS430" s="588" t="n"/>
      <c r="CT430" s="588" t="n"/>
      <c r="CU430" s="588" t="n"/>
      <c r="CV430" s="588" t="n"/>
      <c r="CW430" s="588" t="n"/>
      <c r="CX430" s="588" t="n"/>
      <c r="CY430" s="588" t="n"/>
      <c r="CZ430" s="588" t="n"/>
      <c r="DA430" s="588" t="n"/>
      <c r="DB430" s="588" t="n"/>
      <c r="DC430" s="588" t="n"/>
      <c r="DD430" s="588" t="n"/>
      <c r="DE430" s="588" t="n"/>
      <c r="DF430" s="588" t="n"/>
      <c r="DG430" s="588" t="n"/>
      <c r="DH430" s="588" t="n"/>
      <c r="DI430" s="588" t="n"/>
      <c r="DJ430" s="588" t="n"/>
      <c r="DK430" s="588" t="n"/>
      <c r="DL430" s="588" t="n"/>
      <c r="DM430" s="588" t="n"/>
      <c r="DN430" s="588" t="n"/>
      <c r="DO430" s="588" t="n"/>
      <c r="DP430" s="588" t="n"/>
      <c r="DQ430" s="588" t="n"/>
      <c r="DR430" s="588" t="n"/>
      <c r="DS430" s="588" t="n"/>
      <c r="DT430" s="588" t="n"/>
      <c r="DU430" s="588" t="n"/>
    </row>
    <row r="431">
      <c r="A431" s="737" t="n"/>
      <c r="B431" s="737" t="n"/>
      <c r="C431" s="737" t="n"/>
      <c r="D431" s="737" t="n"/>
      <c r="E431" s="737" t="n"/>
      <c r="F431" s="737" t="n"/>
      <c r="G431" s="737" t="n"/>
      <c r="H431" s="737" t="n"/>
      <c r="I431" s="737" t="n"/>
      <c r="J431" s="737" t="n"/>
      <c r="K431" s="737" t="n"/>
      <c r="L431" s="737" t="n"/>
      <c r="M431" s="737" t="n"/>
      <c r="N431" s="737" t="n"/>
      <c r="O431" s="737" t="n"/>
      <c r="P431" s="737" t="n"/>
      <c r="Q431" s="737" t="n"/>
      <c r="R431" s="737" t="n"/>
      <c r="S431" s="737" t="n"/>
      <c r="T431" s="737" t="n"/>
      <c r="U431" s="737" t="n"/>
      <c r="V431" s="737" t="n"/>
      <c r="W431" s="737" t="n"/>
      <c r="X431" s="737" t="n"/>
      <c r="Y431" s="737" t="n"/>
      <c r="Z431" s="737" t="n"/>
      <c r="AA431" s="737" t="n"/>
      <c r="AB431" s="737" t="n"/>
      <c r="AC431" s="737" t="n"/>
      <c r="AD431" s="737" t="n"/>
      <c r="AE431" s="737" t="n"/>
      <c r="AF431" s="737" t="n"/>
      <c r="AG431" s="737" t="n"/>
      <c r="AH431" s="737" t="n"/>
      <c r="AI431" s="737" t="n"/>
      <c r="AJ431" s="737" t="n"/>
      <c r="AK431" s="588" t="n"/>
      <c r="AL431" s="588" t="n"/>
      <c r="AM431" s="588" t="n"/>
      <c r="AN431" s="588" t="n"/>
      <c r="AO431" s="588" t="n"/>
      <c r="AP431" s="588" t="n"/>
      <c r="AQ431" s="588" t="n"/>
      <c r="AR431" s="588" t="n"/>
      <c r="AS431" s="588" t="n"/>
      <c r="AT431" s="588" t="n"/>
      <c r="AU431" s="588" t="n"/>
      <c r="AV431" s="588" t="n"/>
      <c r="AW431" s="588" t="n"/>
      <c r="AX431" s="588" t="n"/>
      <c r="AY431" s="588" t="n"/>
      <c r="AZ431" s="588" t="n"/>
      <c r="BA431" s="588" t="n"/>
      <c r="BB431" s="588" t="n"/>
      <c r="BC431" s="588" t="n"/>
      <c r="BD431" s="588" t="n"/>
      <c r="BE431" s="588" t="n"/>
      <c r="BF431" s="588" t="n"/>
      <c r="BG431" s="588" t="n"/>
      <c r="BH431" s="588" t="n"/>
      <c r="BI431" s="588" t="n"/>
      <c r="BJ431" s="588" t="n"/>
      <c r="BK431" s="588" t="n"/>
      <c r="BL431" s="588" t="n"/>
      <c r="BM431" s="588" t="n"/>
      <c r="BN431" s="588" t="n"/>
      <c r="BO431" s="588" t="n"/>
      <c r="BP431" s="588" t="n"/>
      <c r="BQ431" s="588" t="n"/>
      <c r="BR431" s="588" t="n"/>
      <c r="BS431" s="588" t="n"/>
      <c r="BT431" s="588" t="n"/>
      <c r="BU431" s="588" t="n"/>
      <c r="BV431" s="588" t="n"/>
      <c r="BW431" s="588" t="n"/>
      <c r="BX431" s="588" t="n"/>
      <c r="BY431" s="588" t="n"/>
      <c r="BZ431" s="588" t="n"/>
      <c r="CA431" s="588" t="n"/>
      <c r="CB431" s="588" t="n"/>
      <c r="CC431" s="588" t="n"/>
      <c r="CD431" s="588" t="n"/>
      <c r="CE431" s="588" t="n"/>
      <c r="CF431" s="588" t="n"/>
      <c r="CG431" s="588" t="n"/>
      <c r="CH431" s="588" t="n"/>
      <c r="CI431" s="588" t="n"/>
      <c r="CJ431" s="588" t="n"/>
      <c r="CK431" s="588" t="n"/>
      <c r="CL431" s="588" t="n"/>
      <c r="CM431" s="588" t="n"/>
      <c r="CN431" s="588" t="n"/>
      <c r="CO431" s="588" t="n"/>
      <c r="CP431" s="588" t="n"/>
      <c r="CQ431" s="588" t="n"/>
      <c r="CR431" s="588" t="n"/>
      <c r="CS431" s="588" t="n"/>
      <c r="CT431" s="588" t="n"/>
      <c r="CU431" s="588" t="n"/>
      <c r="CV431" s="588" t="n"/>
      <c r="CW431" s="588" t="n"/>
      <c r="CX431" s="588" t="n"/>
      <c r="CY431" s="588" t="n"/>
      <c r="CZ431" s="588" t="n"/>
      <c r="DA431" s="588" t="n"/>
      <c r="DB431" s="588" t="n"/>
      <c r="DC431" s="588" t="n"/>
      <c r="DD431" s="588" t="n"/>
      <c r="DE431" s="588" t="n"/>
      <c r="DF431" s="588" t="n"/>
      <c r="DG431" s="588" t="n"/>
      <c r="DH431" s="588" t="n"/>
      <c r="DI431" s="588" t="n"/>
      <c r="DJ431" s="588" t="n"/>
      <c r="DK431" s="588" t="n"/>
      <c r="DL431" s="588" t="n"/>
      <c r="DM431" s="588" t="n"/>
      <c r="DN431" s="588" t="n"/>
      <c r="DO431" s="588" t="n"/>
      <c r="DP431" s="588" t="n"/>
      <c r="DQ431" s="588" t="n"/>
      <c r="DR431" s="588" t="n"/>
      <c r="DS431" s="588" t="n"/>
      <c r="DT431" s="588" t="n"/>
      <c r="DU431" s="588" t="n"/>
    </row>
    <row r="432">
      <c r="A432" s="737" t="n"/>
      <c r="B432" s="737" t="n"/>
      <c r="C432" s="737" t="n"/>
      <c r="D432" s="737" t="n"/>
      <c r="E432" s="737" t="n"/>
      <c r="F432" s="737" t="n"/>
      <c r="G432" s="737" t="n"/>
      <c r="H432" s="737" t="n"/>
      <c r="I432" s="737" t="n"/>
      <c r="J432" s="737" t="n"/>
      <c r="K432" s="737" t="n"/>
      <c r="L432" s="737" t="n"/>
      <c r="M432" s="737" t="n"/>
      <c r="N432" s="737" t="n"/>
      <c r="O432" s="737" t="n"/>
      <c r="P432" s="737" t="n"/>
      <c r="Q432" s="737" t="n"/>
      <c r="R432" s="737" t="n"/>
      <c r="S432" s="737" t="n"/>
      <c r="T432" s="737" t="n"/>
      <c r="U432" s="737" t="n"/>
      <c r="V432" s="737" t="n"/>
      <c r="W432" s="737" t="n"/>
      <c r="X432" s="737" t="n"/>
      <c r="Y432" s="737" t="n"/>
      <c r="Z432" s="737" t="n"/>
      <c r="AA432" s="737" t="n"/>
      <c r="AB432" s="737" t="n"/>
      <c r="AC432" s="737" t="n"/>
      <c r="AD432" s="737" t="n"/>
      <c r="AE432" s="737" t="n"/>
      <c r="AF432" s="737" t="n"/>
      <c r="AG432" s="737" t="n"/>
      <c r="AH432" s="737" t="n"/>
      <c r="AI432" s="737" t="n"/>
      <c r="AJ432" s="737" t="n"/>
      <c r="AK432" s="588" t="n"/>
      <c r="AL432" s="588" t="n"/>
      <c r="AM432" s="588" t="n"/>
      <c r="AN432" s="588" t="n"/>
      <c r="AO432" s="588" t="n"/>
      <c r="AP432" s="588" t="n"/>
      <c r="AQ432" s="588" t="n"/>
      <c r="AR432" s="588" t="n"/>
      <c r="AS432" s="588" t="n"/>
      <c r="AT432" s="588" t="n"/>
      <c r="AU432" s="588" t="n"/>
      <c r="AV432" s="588" t="n"/>
      <c r="AW432" s="588" t="n"/>
      <c r="AX432" s="588" t="n"/>
      <c r="AY432" s="588" t="n"/>
      <c r="AZ432" s="588" t="n"/>
      <c r="BA432" s="588" t="n"/>
      <c r="BB432" s="588" t="n"/>
      <c r="BC432" s="588" t="n"/>
      <c r="BD432" s="588" t="n"/>
      <c r="BE432" s="588" t="n"/>
      <c r="BF432" s="588" t="n"/>
      <c r="BG432" s="588" t="n"/>
      <c r="BH432" s="588" t="n"/>
      <c r="BI432" s="588" t="n"/>
      <c r="BJ432" s="588" t="n"/>
      <c r="BK432" s="588" t="n"/>
      <c r="BL432" s="588" t="n"/>
      <c r="BM432" s="588" t="n"/>
      <c r="BN432" s="588" t="n"/>
      <c r="BO432" s="588" t="n"/>
      <c r="BP432" s="588" t="n"/>
      <c r="BQ432" s="588" t="n"/>
      <c r="BR432" s="588" t="n"/>
      <c r="BS432" s="588" t="n"/>
      <c r="BT432" s="588" t="n"/>
      <c r="BU432" s="588" t="n"/>
      <c r="BV432" s="588" t="n"/>
      <c r="BW432" s="588" t="n"/>
      <c r="BX432" s="588" t="n"/>
      <c r="BY432" s="588" t="n"/>
      <c r="BZ432" s="588" t="n"/>
      <c r="CA432" s="588" t="n"/>
      <c r="CB432" s="588" t="n"/>
      <c r="CC432" s="588" t="n"/>
      <c r="CD432" s="588" t="n"/>
      <c r="CE432" s="588" t="n"/>
      <c r="CF432" s="588" t="n"/>
      <c r="CG432" s="588" t="n"/>
      <c r="CH432" s="588" t="n"/>
      <c r="CI432" s="588" t="n"/>
      <c r="CJ432" s="588" t="n"/>
      <c r="CK432" s="588" t="n"/>
      <c r="CL432" s="588" t="n"/>
      <c r="CM432" s="588" t="n"/>
      <c r="CN432" s="588" t="n"/>
      <c r="CO432" s="588" t="n"/>
      <c r="CP432" s="588" t="n"/>
      <c r="CQ432" s="588" t="n"/>
      <c r="CR432" s="588" t="n"/>
      <c r="CS432" s="588" t="n"/>
      <c r="CT432" s="588" t="n"/>
      <c r="CU432" s="588" t="n"/>
      <c r="CV432" s="588" t="n"/>
      <c r="CW432" s="588" t="n"/>
      <c r="CX432" s="588" t="n"/>
      <c r="CY432" s="588" t="n"/>
      <c r="CZ432" s="588" t="n"/>
      <c r="DA432" s="588" t="n"/>
      <c r="DB432" s="588" t="n"/>
      <c r="DC432" s="588" t="n"/>
      <c r="DD432" s="588" t="n"/>
      <c r="DE432" s="588" t="n"/>
      <c r="DF432" s="588" t="n"/>
      <c r="DG432" s="588" t="n"/>
      <c r="DH432" s="588" t="n"/>
      <c r="DI432" s="588" t="n"/>
      <c r="DJ432" s="588" t="n"/>
      <c r="DK432" s="588" t="n"/>
      <c r="DL432" s="588" t="n"/>
      <c r="DM432" s="588" t="n"/>
      <c r="DN432" s="588" t="n"/>
      <c r="DO432" s="588" t="n"/>
      <c r="DP432" s="588" t="n"/>
      <c r="DQ432" s="588" t="n"/>
      <c r="DR432" s="588" t="n"/>
      <c r="DS432" s="588" t="n"/>
      <c r="DT432" s="588" t="n"/>
      <c r="DU432" s="588" t="n"/>
    </row>
    <row r="433">
      <c r="A433" s="737" t="n"/>
      <c r="B433" s="737" t="n"/>
      <c r="C433" s="737" t="n"/>
      <c r="D433" s="737" t="n"/>
      <c r="E433" s="737" t="n"/>
      <c r="F433" s="737" t="n"/>
      <c r="G433" s="737" t="n"/>
      <c r="H433" s="737" t="n"/>
      <c r="I433" s="737" t="n"/>
      <c r="J433" s="737" t="n"/>
      <c r="K433" s="737" t="n"/>
      <c r="L433" s="737" t="n"/>
      <c r="M433" s="737" t="n"/>
      <c r="N433" s="737" t="n"/>
      <c r="O433" s="737" t="n"/>
      <c r="P433" s="737" t="n"/>
      <c r="Q433" s="737" t="n"/>
      <c r="R433" s="737" t="n"/>
      <c r="S433" s="737" t="n"/>
      <c r="T433" s="737" t="n"/>
      <c r="U433" s="737" t="n"/>
      <c r="V433" s="737" t="n"/>
      <c r="W433" s="737" t="n"/>
      <c r="X433" s="737" t="n"/>
      <c r="Y433" s="737" t="n"/>
      <c r="Z433" s="737" t="n"/>
      <c r="AA433" s="737" t="n"/>
      <c r="AB433" s="737" t="n"/>
      <c r="AC433" s="737" t="n"/>
      <c r="AD433" s="737" t="n"/>
      <c r="AE433" s="737" t="n"/>
      <c r="AF433" s="737" t="n"/>
      <c r="AG433" s="737" t="n"/>
      <c r="AH433" s="737" t="n"/>
      <c r="AI433" s="737" t="n"/>
      <c r="AJ433" s="737" t="n"/>
      <c r="AK433" s="588" t="n"/>
      <c r="AL433" s="588" t="n"/>
      <c r="AM433" s="588" t="n"/>
      <c r="AN433" s="588" t="n"/>
      <c r="AO433" s="588" t="n"/>
      <c r="AP433" s="588" t="n"/>
      <c r="AQ433" s="588" t="n"/>
      <c r="AR433" s="588" t="n"/>
      <c r="AS433" s="588" t="n"/>
      <c r="AT433" s="588" t="n"/>
      <c r="AU433" s="588" t="n"/>
      <c r="AV433" s="588" t="n"/>
      <c r="AW433" s="588" t="n"/>
      <c r="AX433" s="588" t="n"/>
      <c r="AY433" s="588" t="n"/>
      <c r="AZ433" s="588" t="n"/>
      <c r="BA433" s="588" t="n"/>
      <c r="BB433" s="588" t="n"/>
      <c r="BC433" s="588" t="n"/>
      <c r="BD433" s="588" t="n"/>
      <c r="BE433" s="588" t="n"/>
      <c r="BF433" s="588" t="n"/>
      <c r="BG433" s="588" t="n"/>
      <c r="BH433" s="588" t="n"/>
      <c r="BI433" s="588" t="n"/>
      <c r="BJ433" s="588" t="n"/>
      <c r="BK433" s="588" t="n"/>
      <c r="BL433" s="588" t="n"/>
      <c r="BM433" s="588" t="n"/>
      <c r="BN433" s="588" t="n"/>
      <c r="BO433" s="588" t="n"/>
      <c r="BP433" s="588" t="n"/>
      <c r="BQ433" s="588" t="n"/>
      <c r="BR433" s="588" t="n"/>
      <c r="BS433" s="588" t="n"/>
      <c r="BT433" s="588" t="n"/>
      <c r="BU433" s="588" t="n"/>
      <c r="BV433" s="588" t="n"/>
      <c r="BW433" s="588" t="n"/>
      <c r="BX433" s="588" t="n"/>
      <c r="BY433" s="588" t="n"/>
      <c r="BZ433" s="588" t="n"/>
      <c r="CA433" s="588" t="n"/>
      <c r="CB433" s="588" t="n"/>
      <c r="CC433" s="588" t="n"/>
      <c r="CD433" s="588" t="n"/>
      <c r="CE433" s="588" t="n"/>
      <c r="CF433" s="588" t="n"/>
      <c r="CG433" s="588" t="n"/>
      <c r="CH433" s="588" t="n"/>
      <c r="CI433" s="588" t="n"/>
      <c r="CJ433" s="588" t="n"/>
      <c r="CK433" s="588" t="n"/>
      <c r="CL433" s="588" t="n"/>
      <c r="CM433" s="588" t="n"/>
      <c r="CN433" s="588" t="n"/>
      <c r="CO433" s="588" t="n"/>
      <c r="CP433" s="588" t="n"/>
      <c r="CQ433" s="588" t="n"/>
      <c r="CR433" s="588" t="n"/>
      <c r="CS433" s="588" t="n"/>
      <c r="CT433" s="588" t="n"/>
      <c r="CU433" s="588" t="n"/>
      <c r="CV433" s="588" t="n"/>
      <c r="CW433" s="588" t="n"/>
      <c r="CX433" s="588" t="n"/>
      <c r="CY433" s="588" t="n"/>
      <c r="CZ433" s="588" t="n"/>
      <c r="DA433" s="588" t="n"/>
      <c r="DB433" s="588" t="n"/>
      <c r="DC433" s="588" t="n"/>
      <c r="DD433" s="588" t="n"/>
      <c r="DE433" s="588" t="n"/>
      <c r="DF433" s="588" t="n"/>
      <c r="DG433" s="588" t="n"/>
      <c r="DH433" s="588" t="n"/>
      <c r="DI433" s="588" t="n"/>
      <c r="DJ433" s="588" t="n"/>
      <c r="DK433" s="588" t="n"/>
      <c r="DL433" s="588" t="n"/>
      <c r="DM433" s="588" t="n"/>
      <c r="DN433" s="588" t="n"/>
      <c r="DO433" s="588" t="n"/>
      <c r="DP433" s="588" t="n"/>
      <c r="DQ433" s="588" t="n"/>
      <c r="DR433" s="588" t="n"/>
      <c r="DS433" s="588" t="n"/>
      <c r="DT433" s="588" t="n"/>
      <c r="DU433" s="588" t="n"/>
    </row>
    <row r="434">
      <c r="A434" s="737" t="n"/>
      <c r="B434" s="737" t="n"/>
      <c r="C434" s="737" t="n"/>
      <c r="D434" s="737" t="n"/>
      <c r="E434" s="737" t="n"/>
      <c r="F434" s="737" t="n"/>
      <c r="G434" s="737" t="n"/>
      <c r="H434" s="737" t="n"/>
      <c r="I434" s="737" t="n"/>
      <c r="J434" s="737" t="n"/>
      <c r="K434" s="737" t="n"/>
      <c r="L434" s="737" t="n"/>
      <c r="M434" s="737" t="n"/>
      <c r="N434" s="737" t="n"/>
      <c r="O434" s="737" t="n"/>
      <c r="P434" s="737" t="n"/>
      <c r="Q434" s="737" t="n"/>
      <c r="R434" s="737" t="n"/>
      <c r="S434" s="737" t="n"/>
      <c r="T434" s="737" t="n"/>
      <c r="U434" s="737" t="n"/>
      <c r="V434" s="737" t="n"/>
      <c r="W434" s="737" t="n"/>
      <c r="X434" s="737" t="n"/>
      <c r="Y434" s="737" t="n"/>
      <c r="Z434" s="737" t="n"/>
      <c r="AA434" s="737" t="n"/>
      <c r="AB434" s="737" t="n"/>
      <c r="AC434" s="737" t="n"/>
      <c r="AD434" s="737" t="n"/>
      <c r="AE434" s="737" t="n"/>
      <c r="AF434" s="737" t="n"/>
      <c r="AG434" s="737" t="n"/>
      <c r="AH434" s="737" t="n"/>
      <c r="AI434" s="737" t="n"/>
      <c r="AJ434" s="737" t="n"/>
      <c r="AK434" s="588" t="n"/>
      <c r="AL434" s="588" t="n"/>
      <c r="AM434" s="588" t="n"/>
      <c r="AN434" s="588" t="n"/>
      <c r="AO434" s="588" t="n"/>
      <c r="AP434" s="588" t="n"/>
      <c r="AQ434" s="588" t="n"/>
      <c r="AR434" s="588" t="n"/>
      <c r="AS434" s="588" t="n"/>
      <c r="AT434" s="588" t="n"/>
      <c r="AU434" s="588" t="n"/>
      <c r="AV434" s="588" t="n"/>
      <c r="AW434" s="588" t="n"/>
      <c r="AX434" s="588" t="n"/>
      <c r="AY434" s="588" t="n"/>
      <c r="AZ434" s="588" t="n"/>
      <c r="BA434" s="588" t="n"/>
      <c r="BB434" s="588" t="n"/>
      <c r="BC434" s="588" t="n"/>
      <c r="BD434" s="588" t="n"/>
      <c r="BE434" s="588" t="n"/>
      <c r="BF434" s="588" t="n"/>
      <c r="BG434" s="588" t="n"/>
      <c r="BH434" s="588" t="n"/>
      <c r="BI434" s="588" t="n"/>
      <c r="BJ434" s="588" t="n"/>
      <c r="BK434" s="588" t="n"/>
      <c r="BL434" s="588" t="n"/>
      <c r="BM434" s="588" t="n"/>
      <c r="BN434" s="588" t="n"/>
      <c r="BO434" s="588" t="n"/>
      <c r="BP434" s="588" t="n"/>
      <c r="BQ434" s="588" t="n"/>
      <c r="BR434" s="588" t="n"/>
      <c r="BS434" s="588" t="n"/>
      <c r="BT434" s="588" t="n"/>
      <c r="BU434" s="588" t="n"/>
      <c r="BV434" s="588" t="n"/>
      <c r="BW434" s="588" t="n"/>
      <c r="BX434" s="588" t="n"/>
      <c r="BY434" s="588" t="n"/>
      <c r="BZ434" s="588" t="n"/>
      <c r="CA434" s="588" t="n"/>
      <c r="CB434" s="588" t="n"/>
      <c r="CC434" s="588" t="n"/>
      <c r="CD434" s="588" t="n"/>
      <c r="CE434" s="588" t="n"/>
      <c r="CF434" s="588" t="n"/>
      <c r="CG434" s="588" t="n"/>
      <c r="CH434" s="588" t="n"/>
      <c r="CI434" s="588" t="n"/>
      <c r="CJ434" s="588" t="n"/>
      <c r="CK434" s="588" t="n"/>
      <c r="CL434" s="588" t="n"/>
      <c r="CM434" s="588" t="n"/>
      <c r="CN434" s="588" t="n"/>
      <c r="CO434" s="588" t="n"/>
      <c r="CP434" s="588" t="n"/>
      <c r="CQ434" s="588" t="n"/>
      <c r="CR434" s="588" t="n"/>
      <c r="CS434" s="588" t="n"/>
      <c r="CT434" s="588" t="n"/>
      <c r="CU434" s="588" t="n"/>
      <c r="CV434" s="588" t="n"/>
      <c r="CW434" s="588" t="n"/>
      <c r="CX434" s="588" t="n"/>
      <c r="CY434" s="588" t="n"/>
      <c r="CZ434" s="588" t="n"/>
      <c r="DA434" s="588" t="n"/>
      <c r="DB434" s="588" t="n"/>
      <c r="DC434" s="588" t="n"/>
      <c r="DD434" s="588" t="n"/>
      <c r="DE434" s="588" t="n"/>
      <c r="DF434" s="588" t="n"/>
      <c r="DG434" s="588" t="n"/>
      <c r="DH434" s="588" t="n"/>
      <c r="DI434" s="588" t="n"/>
      <c r="DJ434" s="588" t="n"/>
      <c r="DK434" s="588" t="n"/>
      <c r="DL434" s="588" t="n"/>
      <c r="DM434" s="588" t="n"/>
      <c r="DN434" s="588" t="n"/>
      <c r="DO434" s="588" t="n"/>
      <c r="DP434" s="588" t="n"/>
      <c r="DQ434" s="588" t="n"/>
      <c r="DR434" s="588" t="n"/>
      <c r="DS434" s="588" t="n"/>
      <c r="DT434" s="588" t="n"/>
      <c r="DU434" s="588" t="n"/>
    </row>
    <row r="435">
      <c r="A435" s="737" t="n"/>
      <c r="B435" s="737" t="n"/>
      <c r="C435" s="737" t="n"/>
      <c r="D435" s="737" t="n"/>
      <c r="E435" s="737" t="n"/>
      <c r="F435" s="737" t="n"/>
      <c r="G435" s="737" t="n"/>
      <c r="H435" s="737" t="n"/>
      <c r="I435" s="737" t="n"/>
      <c r="J435" s="737" t="n"/>
      <c r="K435" s="737" t="n"/>
      <c r="L435" s="737" t="n"/>
      <c r="M435" s="737" t="n"/>
      <c r="N435" s="737" t="n"/>
      <c r="O435" s="737" t="n"/>
      <c r="P435" s="737" t="n"/>
      <c r="Q435" s="737" t="n"/>
      <c r="R435" s="737" t="n"/>
      <c r="S435" s="737" t="n"/>
      <c r="T435" s="737" t="n"/>
      <c r="U435" s="737" t="n"/>
      <c r="V435" s="737" t="n"/>
      <c r="W435" s="737" t="n"/>
      <c r="X435" s="737" t="n"/>
      <c r="Y435" s="737" t="n"/>
      <c r="Z435" s="737" t="n"/>
      <c r="AA435" s="737" t="n"/>
      <c r="AB435" s="737" t="n"/>
      <c r="AC435" s="737" t="n"/>
      <c r="AD435" s="737" t="n"/>
      <c r="AE435" s="737" t="n"/>
      <c r="AF435" s="737" t="n"/>
      <c r="AG435" s="737" t="n"/>
      <c r="AH435" s="737" t="n"/>
      <c r="AI435" s="737" t="n"/>
      <c r="AJ435" s="737" t="n"/>
      <c r="AK435" s="588" t="n"/>
      <c r="AL435" s="588" t="n"/>
      <c r="AM435" s="588" t="n"/>
      <c r="AN435" s="588" t="n"/>
      <c r="AO435" s="588" t="n"/>
      <c r="AP435" s="588" t="n"/>
      <c r="AQ435" s="588" t="n"/>
      <c r="AR435" s="588" t="n"/>
      <c r="AS435" s="588" t="n"/>
      <c r="AT435" s="588" t="n"/>
      <c r="AU435" s="588" t="n"/>
      <c r="AV435" s="588" t="n"/>
      <c r="AW435" s="588" t="n"/>
      <c r="AX435" s="588" t="n"/>
      <c r="AY435" s="588" t="n"/>
      <c r="AZ435" s="588" t="n"/>
      <c r="BA435" s="588" t="n"/>
      <c r="BB435" s="588" t="n"/>
      <c r="BC435" s="588" t="n"/>
      <c r="BD435" s="588" t="n"/>
      <c r="BE435" s="588" t="n"/>
      <c r="BF435" s="588" t="n"/>
      <c r="BG435" s="588" t="n"/>
      <c r="BH435" s="588" t="n"/>
      <c r="BI435" s="588" t="n"/>
      <c r="BJ435" s="588" t="n"/>
      <c r="BK435" s="588" t="n"/>
      <c r="BL435" s="588" t="n"/>
      <c r="BM435" s="588" t="n"/>
      <c r="BN435" s="588" t="n"/>
      <c r="BO435" s="588" t="n"/>
      <c r="BP435" s="588" t="n"/>
      <c r="BQ435" s="588" t="n"/>
      <c r="BR435" s="588" t="n"/>
      <c r="BS435" s="588" t="n"/>
      <c r="BT435" s="588" t="n"/>
      <c r="BU435" s="588" t="n"/>
      <c r="BV435" s="588" t="n"/>
      <c r="BW435" s="588" t="n"/>
      <c r="BX435" s="588" t="n"/>
      <c r="BY435" s="588" t="n"/>
      <c r="BZ435" s="588" t="n"/>
      <c r="CA435" s="588" t="n"/>
      <c r="CB435" s="588" t="n"/>
      <c r="CC435" s="588" t="n"/>
      <c r="CD435" s="588" t="n"/>
      <c r="CE435" s="588" t="n"/>
      <c r="CF435" s="588" t="n"/>
      <c r="CG435" s="588" t="n"/>
      <c r="CH435" s="588" t="n"/>
      <c r="CI435" s="588" t="n"/>
      <c r="CJ435" s="588" t="n"/>
      <c r="CK435" s="588" t="n"/>
      <c r="CL435" s="588" t="n"/>
      <c r="CM435" s="588" t="n"/>
      <c r="CN435" s="588" t="n"/>
      <c r="CO435" s="588" t="n"/>
      <c r="CP435" s="588" t="n"/>
      <c r="CQ435" s="588" t="n"/>
      <c r="CR435" s="588" t="n"/>
      <c r="CS435" s="588" t="n"/>
      <c r="CT435" s="588" t="n"/>
      <c r="CU435" s="588" t="n"/>
      <c r="CV435" s="588" t="n"/>
      <c r="CW435" s="588" t="n"/>
      <c r="CX435" s="588" t="n"/>
      <c r="CY435" s="588" t="n"/>
      <c r="CZ435" s="588" t="n"/>
      <c r="DA435" s="588" t="n"/>
      <c r="DB435" s="588" t="n"/>
      <c r="DC435" s="588" t="n"/>
      <c r="DD435" s="588" t="n"/>
      <c r="DE435" s="588" t="n"/>
      <c r="DF435" s="588" t="n"/>
      <c r="DG435" s="588" t="n"/>
      <c r="DH435" s="588" t="n"/>
      <c r="DI435" s="588" t="n"/>
      <c r="DJ435" s="588" t="n"/>
      <c r="DK435" s="588" t="n"/>
      <c r="DL435" s="588" t="n"/>
      <c r="DM435" s="588" t="n"/>
      <c r="DN435" s="588" t="n"/>
      <c r="DO435" s="588" t="n"/>
      <c r="DP435" s="588" t="n"/>
      <c r="DQ435" s="588" t="n"/>
      <c r="DR435" s="588" t="n"/>
      <c r="DS435" s="588" t="n"/>
      <c r="DT435" s="588" t="n"/>
      <c r="DU435" s="588" t="n"/>
    </row>
    <row r="436">
      <c r="A436" s="737" t="n"/>
      <c r="B436" s="737" t="n"/>
      <c r="C436" s="737" t="n"/>
      <c r="D436" s="737" t="n"/>
      <c r="E436" s="737" t="n"/>
      <c r="F436" s="737" t="n"/>
      <c r="G436" s="737" t="n"/>
      <c r="H436" s="737" t="n"/>
      <c r="I436" s="737" t="n"/>
      <c r="J436" s="737" t="n"/>
      <c r="K436" s="737" t="n"/>
      <c r="L436" s="737" t="n"/>
      <c r="M436" s="737" t="n"/>
      <c r="N436" s="737" t="n"/>
      <c r="O436" s="737" t="n"/>
      <c r="P436" s="737" t="n"/>
      <c r="Q436" s="737" t="n"/>
      <c r="R436" s="737" t="n"/>
      <c r="S436" s="737" t="n"/>
      <c r="T436" s="737" t="n"/>
      <c r="U436" s="737" t="n"/>
      <c r="V436" s="737" t="n"/>
      <c r="W436" s="737" t="n"/>
      <c r="X436" s="737" t="n"/>
      <c r="Y436" s="737" t="n"/>
      <c r="Z436" s="737" t="n"/>
      <c r="AA436" s="737" t="n"/>
      <c r="AB436" s="737" t="n"/>
      <c r="AC436" s="737" t="n"/>
      <c r="AD436" s="737" t="n"/>
      <c r="AE436" s="737" t="n"/>
      <c r="AF436" s="737" t="n"/>
      <c r="AG436" s="737" t="n"/>
      <c r="AH436" s="737" t="n"/>
      <c r="AI436" s="737" t="n"/>
      <c r="AJ436" s="737" t="n"/>
      <c r="AK436" s="588" t="n"/>
      <c r="AL436" s="588" t="n"/>
      <c r="AM436" s="588" t="n"/>
      <c r="AN436" s="588" t="n"/>
      <c r="AO436" s="588" t="n"/>
      <c r="AP436" s="588" t="n"/>
      <c r="AQ436" s="588" t="n"/>
      <c r="AR436" s="588" t="n"/>
      <c r="AS436" s="588" t="n"/>
      <c r="AT436" s="588" t="n"/>
      <c r="AU436" s="588" t="n"/>
      <c r="AV436" s="588" t="n"/>
      <c r="AW436" s="588" t="n"/>
      <c r="AX436" s="588" t="n"/>
      <c r="AY436" s="588" t="n"/>
      <c r="AZ436" s="588" t="n"/>
      <c r="BA436" s="588" t="n"/>
      <c r="BB436" s="588" t="n"/>
      <c r="BC436" s="588" t="n"/>
      <c r="BD436" s="588" t="n"/>
      <c r="BE436" s="588" t="n"/>
      <c r="BF436" s="588" t="n"/>
      <c r="BG436" s="588" t="n"/>
      <c r="BH436" s="588" t="n"/>
      <c r="BI436" s="588" t="n"/>
      <c r="BJ436" s="588" t="n"/>
      <c r="BK436" s="588" t="n"/>
      <c r="BL436" s="588" t="n"/>
      <c r="BM436" s="588" t="n"/>
      <c r="BN436" s="588" t="n"/>
      <c r="BO436" s="588" t="n"/>
      <c r="BP436" s="588" t="n"/>
      <c r="BQ436" s="588" t="n"/>
      <c r="BR436" s="588" t="n"/>
      <c r="BS436" s="588" t="n"/>
      <c r="BT436" s="588" t="n"/>
      <c r="BU436" s="588" t="n"/>
      <c r="BV436" s="588" t="n"/>
      <c r="BW436" s="588" t="n"/>
      <c r="BX436" s="588" t="n"/>
      <c r="BY436" s="588" t="n"/>
      <c r="BZ436" s="588" t="n"/>
      <c r="CA436" s="588" t="n"/>
      <c r="CB436" s="588" t="n"/>
      <c r="CC436" s="588" t="n"/>
      <c r="CD436" s="588" t="n"/>
      <c r="CE436" s="588" t="n"/>
      <c r="CF436" s="588" t="n"/>
      <c r="CG436" s="588" t="n"/>
      <c r="CH436" s="588" t="n"/>
      <c r="CI436" s="588" t="n"/>
      <c r="CJ436" s="588" t="n"/>
      <c r="CK436" s="588" t="n"/>
      <c r="CL436" s="588" t="n"/>
      <c r="CM436" s="588" t="n"/>
      <c r="CN436" s="588" t="n"/>
      <c r="CO436" s="588" t="n"/>
      <c r="CP436" s="588" t="n"/>
      <c r="CQ436" s="588" t="n"/>
      <c r="CR436" s="588" t="n"/>
      <c r="CS436" s="588" t="n"/>
      <c r="CT436" s="588" t="n"/>
      <c r="CU436" s="588" t="n"/>
      <c r="CV436" s="588" t="n"/>
      <c r="CW436" s="588" t="n"/>
      <c r="CX436" s="588" t="n"/>
      <c r="CY436" s="588" t="n"/>
      <c r="CZ436" s="588" t="n"/>
      <c r="DA436" s="588" t="n"/>
      <c r="DB436" s="588" t="n"/>
      <c r="DC436" s="588" t="n"/>
      <c r="DD436" s="588" t="n"/>
      <c r="DE436" s="588" t="n"/>
      <c r="DF436" s="588" t="n"/>
      <c r="DG436" s="588" t="n"/>
      <c r="DH436" s="588" t="n"/>
      <c r="DI436" s="588" t="n"/>
      <c r="DJ436" s="588" t="n"/>
      <c r="DK436" s="588" t="n"/>
      <c r="DL436" s="588" t="n"/>
      <c r="DM436" s="588" t="n"/>
      <c r="DN436" s="588" t="n"/>
      <c r="DO436" s="588" t="n"/>
      <c r="DP436" s="588" t="n"/>
      <c r="DQ436" s="588" t="n"/>
      <c r="DR436" s="588" t="n"/>
      <c r="DS436" s="588" t="n"/>
      <c r="DT436" s="588" t="n"/>
      <c r="DU436" s="588" t="n"/>
    </row>
    <row r="437">
      <c r="A437" s="737" t="n"/>
      <c r="B437" s="737" t="n"/>
      <c r="C437" s="737" t="n"/>
      <c r="D437" s="737" t="n"/>
      <c r="E437" s="737" t="n"/>
      <c r="F437" s="737" t="n"/>
      <c r="G437" s="737" t="n"/>
      <c r="H437" s="737" t="n"/>
      <c r="I437" s="737" t="n"/>
      <c r="J437" s="737" t="n"/>
      <c r="K437" s="737" t="n"/>
      <c r="L437" s="737" t="n"/>
      <c r="M437" s="737" t="n"/>
      <c r="N437" s="737" t="n"/>
      <c r="O437" s="737" t="n"/>
      <c r="P437" s="737" t="n"/>
      <c r="Q437" s="737" t="n"/>
      <c r="R437" s="737" t="n"/>
      <c r="S437" s="737" t="n"/>
      <c r="T437" s="737" t="n"/>
      <c r="U437" s="737" t="n"/>
      <c r="V437" s="737" t="n"/>
      <c r="W437" s="737" t="n"/>
      <c r="X437" s="737" t="n"/>
      <c r="Y437" s="737" t="n"/>
      <c r="Z437" s="737" t="n"/>
      <c r="AA437" s="737" t="n"/>
      <c r="AB437" s="737" t="n"/>
      <c r="AC437" s="737" t="n"/>
      <c r="AD437" s="737" t="n"/>
      <c r="AE437" s="737" t="n"/>
      <c r="AF437" s="737" t="n"/>
      <c r="AG437" s="737" t="n"/>
      <c r="AH437" s="737" t="n"/>
      <c r="AI437" s="737" t="n"/>
      <c r="AJ437" s="737" t="n"/>
      <c r="AK437" s="588" t="n"/>
      <c r="AL437" s="588" t="n"/>
      <c r="AM437" s="588" t="n"/>
      <c r="AN437" s="588" t="n"/>
      <c r="AO437" s="588" t="n"/>
      <c r="AP437" s="588" t="n"/>
      <c r="AQ437" s="588" t="n"/>
      <c r="AR437" s="588" t="n"/>
      <c r="AS437" s="588" t="n"/>
      <c r="AT437" s="588" t="n"/>
      <c r="AU437" s="588" t="n"/>
      <c r="AV437" s="588" t="n"/>
      <c r="AW437" s="588" t="n"/>
      <c r="AX437" s="588" t="n"/>
      <c r="AY437" s="588" t="n"/>
      <c r="AZ437" s="588" t="n"/>
      <c r="BA437" s="588" t="n"/>
      <c r="BB437" s="588" t="n"/>
      <c r="BC437" s="588" t="n"/>
      <c r="BD437" s="588" t="n"/>
      <c r="BE437" s="588" t="n"/>
      <c r="BF437" s="588" t="n"/>
      <c r="BG437" s="588" t="n"/>
      <c r="BH437" s="588" t="n"/>
      <c r="BI437" s="588" t="n"/>
      <c r="BJ437" s="588" t="n"/>
      <c r="BK437" s="588" t="n"/>
      <c r="BL437" s="588" t="n"/>
      <c r="BM437" s="588" t="n"/>
      <c r="BN437" s="588" t="n"/>
      <c r="BO437" s="588" t="n"/>
      <c r="BP437" s="588" t="n"/>
      <c r="BQ437" s="588" t="n"/>
      <c r="BR437" s="588" t="n"/>
      <c r="BS437" s="588" t="n"/>
      <c r="BT437" s="588" t="n"/>
      <c r="BU437" s="588" t="n"/>
      <c r="BV437" s="588" t="n"/>
      <c r="BW437" s="588" t="n"/>
      <c r="BX437" s="588" t="n"/>
      <c r="BY437" s="588" t="n"/>
      <c r="BZ437" s="588" t="n"/>
      <c r="CA437" s="588" t="n"/>
      <c r="CB437" s="588" t="n"/>
      <c r="CC437" s="588" t="n"/>
      <c r="CD437" s="588" t="n"/>
      <c r="CE437" s="588" t="n"/>
      <c r="CF437" s="588" t="n"/>
      <c r="CG437" s="588" t="n"/>
      <c r="CH437" s="588" t="n"/>
      <c r="CI437" s="588" t="n"/>
      <c r="CJ437" s="588" t="n"/>
      <c r="CK437" s="588" t="n"/>
      <c r="CL437" s="588" t="n"/>
      <c r="CM437" s="588" t="n"/>
      <c r="CN437" s="588" t="n"/>
      <c r="CO437" s="588" t="n"/>
      <c r="CP437" s="588" t="n"/>
      <c r="CQ437" s="588" t="n"/>
      <c r="CR437" s="588" t="n"/>
      <c r="CS437" s="588" t="n"/>
      <c r="CT437" s="588" t="n"/>
      <c r="CU437" s="588" t="n"/>
      <c r="CV437" s="588" t="n"/>
      <c r="CW437" s="588" t="n"/>
      <c r="CX437" s="588" t="n"/>
      <c r="CY437" s="588" t="n"/>
      <c r="CZ437" s="588" t="n"/>
      <c r="DA437" s="588" t="n"/>
      <c r="DB437" s="588" t="n"/>
      <c r="DC437" s="588" t="n"/>
      <c r="DD437" s="588" t="n"/>
      <c r="DE437" s="588" t="n"/>
      <c r="DF437" s="588" t="n"/>
      <c r="DG437" s="588" t="n"/>
      <c r="DH437" s="588" t="n"/>
      <c r="DI437" s="588" t="n"/>
      <c r="DJ437" s="588" t="n"/>
      <c r="DK437" s="588" t="n"/>
      <c r="DL437" s="588" t="n"/>
      <c r="DM437" s="588" t="n"/>
      <c r="DN437" s="588" t="n"/>
      <c r="DO437" s="588" t="n"/>
      <c r="DP437" s="588" t="n"/>
      <c r="DQ437" s="588" t="n"/>
      <c r="DR437" s="588" t="n"/>
      <c r="DS437" s="588" t="n"/>
      <c r="DT437" s="588" t="n"/>
      <c r="DU437" s="588" t="n"/>
    </row>
    <row r="438">
      <c r="A438" s="737" t="n"/>
      <c r="B438" s="737" t="n"/>
      <c r="C438" s="737" t="n"/>
      <c r="D438" s="737" t="n"/>
      <c r="E438" s="737" t="n"/>
      <c r="F438" s="737" t="n"/>
      <c r="G438" s="737" t="n"/>
      <c r="H438" s="737" t="n"/>
      <c r="I438" s="737" t="n"/>
      <c r="J438" s="737" t="n"/>
      <c r="K438" s="737" t="n"/>
      <c r="L438" s="737" t="n"/>
      <c r="M438" s="737" t="n"/>
      <c r="N438" s="737" t="n"/>
      <c r="O438" s="737" t="n"/>
      <c r="P438" s="737" t="n"/>
      <c r="Q438" s="737" t="n"/>
      <c r="R438" s="737" t="n"/>
      <c r="S438" s="737" t="n"/>
      <c r="T438" s="737" t="n"/>
      <c r="U438" s="737" t="n"/>
      <c r="V438" s="737" t="n"/>
      <c r="W438" s="737" t="n"/>
      <c r="X438" s="737" t="n"/>
      <c r="Y438" s="737" t="n"/>
      <c r="Z438" s="737" t="n"/>
      <c r="AA438" s="737" t="n"/>
      <c r="AB438" s="737" t="n"/>
      <c r="AC438" s="737" t="n"/>
      <c r="AD438" s="737" t="n"/>
      <c r="AE438" s="737" t="n"/>
      <c r="AF438" s="737" t="n"/>
      <c r="AG438" s="737" t="n"/>
      <c r="AH438" s="737" t="n"/>
      <c r="AI438" s="737" t="n"/>
      <c r="AJ438" s="737" t="n"/>
      <c r="AK438" s="588" t="n"/>
      <c r="AL438" s="588" t="n"/>
      <c r="AM438" s="588" t="n"/>
      <c r="AN438" s="588" t="n"/>
      <c r="AO438" s="588" t="n"/>
      <c r="AP438" s="588" t="n"/>
      <c r="AQ438" s="588" t="n"/>
      <c r="AR438" s="588" t="n"/>
      <c r="AS438" s="588" t="n"/>
      <c r="AT438" s="588" t="n"/>
      <c r="AU438" s="588" t="n"/>
      <c r="AV438" s="588" t="n"/>
      <c r="AW438" s="588" t="n"/>
      <c r="AX438" s="588" t="n"/>
      <c r="AY438" s="588" t="n"/>
      <c r="AZ438" s="588" t="n"/>
      <c r="BA438" s="588" t="n"/>
      <c r="BB438" s="588" t="n"/>
      <c r="BC438" s="588" t="n"/>
      <c r="BD438" s="588" t="n"/>
      <c r="BE438" s="588" t="n"/>
      <c r="BF438" s="588" t="n"/>
      <c r="BG438" s="588" t="n"/>
      <c r="BH438" s="588" t="n"/>
      <c r="BI438" s="588" t="n"/>
      <c r="BJ438" s="588" t="n"/>
      <c r="BK438" s="588" t="n"/>
      <c r="BL438" s="588" t="n"/>
      <c r="BM438" s="588" t="n"/>
      <c r="BN438" s="588" t="n"/>
      <c r="BO438" s="588" t="n"/>
      <c r="BP438" s="588" t="n"/>
      <c r="BQ438" s="588" t="n"/>
      <c r="BR438" s="588" t="n"/>
      <c r="BS438" s="588" t="n"/>
      <c r="BT438" s="588" t="n"/>
      <c r="BU438" s="588" t="n"/>
      <c r="BV438" s="588" t="n"/>
      <c r="BW438" s="588" t="n"/>
      <c r="BX438" s="588" t="n"/>
      <c r="BY438" s="588" t="n"/>
      <c r="BZ438" s="588" t="n"/>
      <c r="CA438" s="588" t="n"/>
      <c r="CB438" s="588" t="n"/>
      <c r="CC438" s="588" t="n"/>
      <c r="CD438" s="588" t="n"/>
      <c r="CE438" s="588" t="n"/>
      <c r="CF438" s="588" t="n"/>
      <c r="CG438" s="588" t="n"/>
      <c r="CH438" s="588" t="n"/>
      <c r="CI438" s="588" t="n"/>
      <c r="CJ438" s="588" t="n"/>
      <c r="CK438" s="588" t="n"/>
      <c r="CL438" s="588" t="n"/>
      <c r="CM438" s="588" t="n"/>
      <c r="CN438" s="588" t="n"/>
      <c r="CO438" s="588" t="n"/>
      <c r="CP438" s="588" t="n"/>
      <c r="CQ438" s="588" t="n"/>
      <c r="CR438" s="588" t="n"/>
      <c r="CS438" s="588" t="n"/>
      <c r="CT438" s="588" t="n"/>
      <c r="CU438" s="588" t="n"/>
      <c r="CV438" s="588" t="n"/>
      <c r="CW438" s="588" t="n"/>
      <c r="CX438" s="588" t="n"/>
      <c r="CY438" s="588" t="n"/>
      <c r="CZ438" s="588" t="n"/>
      <c r="DA438" s="588" t="n"/>
      <c r="DB438" s="588" t="n"/>
      <c r="DC438" s="588" t="n"/>
      <c r="DD438" s="588" t="n"/>
      <c r="DE438" s="588" t="n"/>
      <c r="DF438" s="588" t="n"/>
      <c r="DG438" s="588" t="n"/>
      <c r="DH438" s="588" t="n"/>
      <c r="DI438" s="588" t="n"/>
      <c r="DJ438" s="588" t="n"/>
      <c r="DK438" s="588" t="n"/>
      <c r="DL438" s="588" t="n"/>
      <c r="DM438" s="588" t="n"/>
      <c r="DN438" s="588" t="n"/>
      <c r="DO438" s="588" t="n"/>
      <c r="DP438" s="588" t="n"/>
      <c r="DQ438" s="588" t="n"/>
      <c r="DR438" s="588" t="n"/>
      <c r="DS438" s="588" t="n"/>
      <c r="DT438" s="588" t="n"/>
      <c r="DU438" s="588" t="n"/>
    </row>
    <row r="439">
      <c r="A439" s="737" t="n"/>
      <c r="B439" s="737" t="n"/>
      <c r="C439" s="737" t="n"/>
      <c r="D439" s="737" t="n"/>
      <c r="E439" s="737" t="n"/>
      <c r="F439" s="737" t="n"/>
      <c r="G439" s="737" t="n"/>
      <c r="H439" s="737" t="n"/>
      <c r="I439" s="737" t="n"/>
      <c r="J439" s="737" t="n"/>
      <c r="K439" s="737" t="n"/>
      <c r="L439" s="737" t="n"/>
      <c r="M439" s="737" t="n"/>
      <c r="N439" s="737" t="n"/>
      <c r="O439" s="737" t="n"/>
      <c r="P439" s="737" t="n"/>
      <c r="Q439" s="737" t="n"/>
      <c r="R439" s="737" t="n"/>
      <c r="S439" s="737" t="n"/>
      <c r="T439" s="737" t="n"/>
      <c r="U439" s="737" t="n"/>
      <c r="V439" s="737" t="n"/>
      <c r="W439" s="737" t="n"/>
      <c r="X439" s="737" t="n"/>
      <c r="Y439" s="737" t="n"/>
      <c r="Z439" s="737" t="n"/>
      <c r="AA439" s="737" t="n"/>
      <c r="AB439" s="737" t="n"/>
      <c r="AC439" s="737" t="n"/>
      <c r="AD439" s="737" t="n"/>
      <c r="AE439" s="737" t="n"/>
      <c r="AF439" s="737" t="n"/>
      <c r="AG439" s="737" t="n"/>
      <c r="AH439" s="737" t="n"/>
      <c r="AI439" s="737" t="n"/>
      <c r="AJ439" s="737" t="n"/>
      <c r="AK439" s="588" t="n"/>
      <c r="AL439" s="588" t="n"/>
      <c r="AM439" s="588" t="n"/>
      <c r="AN439" s="588" t="n"/>
      <c r="AO439" s="588" t="n"/>
      <c r="AP439" s="588" t="n"/>
      <c r="AQ439" s="588" t="n"/>
      <c r="AR439" s="588" t="n"/>
      <c r="AS439" s="588" t="n"/>
      <c r="AT439" s="588" t="n"/>
      <c r="AU439" s="588" t="n"/>
      <c r="AV439" s="588" t="n"/>
      <c r="AW439" s="588" t="n"/>
      <c r="AX439" s="588" t="n"/>
      <c r="AY439" s="588" t="n"/>
      <c r="AZ439" s="588" t="n"/>
      <c r="BA439" s="588" t="n"/>
      <c r="BB439" s="588" t="n"/>
      <c r="BC439" s="588" t="n"/>
      <c r="BD439" s="588" t="n"/>
      <c r="BE439" s="588" t="n"/>
      <c r="BF439" s="588" t="n"/>
      <c r="BG439" s="588" t="n"/>
      <c r="BH439" s="588" t="n"/>
      <c r="BI439" s="588" t="n"/>
      <c r="BJ439" s="588" t="n"/>
      <c r="BK439" s="588" t="n"/>
      <c r="BL439" s="588" t="n"/>
      <c r="BM439" s="588" t="n"/>
      <c r="BN439" s="588" t="n"/>
      <c r="BO439" s="588" t="n"/>
      <c r="BP439" s="588" t="n"/>
      <c r="BQ439" s="588" t="n"/>
      <c r="BR439" s="588" t="n"/>
      <c r="BS439" s="588" t="n"/>
      <c r="BT439" s="588" t="n"/>
      <c r="BU439" s="588" t="n"/>
      <c r="BV439" s="588" t="n"/>
      <c r="BW439" s="588" t="n"/>
      <c r="BX439" s="588" t="n"/>
      <c r="BY439" s="588" t="n"/>
      <c r="BZ439" s="588" t="n"/>
      <c r="CA439" s="588" t="n"/>
      <c r="CB439" s="588" t="n"/>
      <c r="CC439" s="588" t="n"/>
      <c r="CD439" s="588" t="n"/>
      <c r="CE439" s="588" t="n"/>
      <c r="CF439" s="588" t="n"/>
      <c r="CG439" s="588" t="n"/>
      <c r="CH439" s="588" t="n"/>
      <c r="CI439" s="588" t="n"/>
      <c r="CJ439" s="588" t="n"/>
      <c r="CK439" s="588" t="n"/>
      <c r="CL439" s="588" t="n"/>
      <c r="CM439" s="588" t="n"/>
      <c r="CN439" s="588" t="n"/>
      <c r="CO439" s="588" t="n"/>
      <c r="CP439" s="588" t="n"/>
      <c r="CQ439" s="588" t="n"/>
      <c r="CR439" s="588" t="n"/>
      <c r="CS439" s="588" t="n"/>
      <c r="CT439" s="588" t="n"/>
      <c r="CU439" s="588" t="n"/>
      <c r="CV439" s="588" t="n"/>
      <c r="CW439" s="588" t="n"/>
      <c r="CX439" s="588" t="n"/>
      <c r="CY439" s="588" t="n"/>
      <c r="CZ439" s="588" t="n"/>
      <c r="DA439" s="588" t="n"/>
      <c r="DB439" s="588" t="n"/>
      <c r="DC439" s="588" t="n"/>
      <c r="DD439" s="588" t="n"/>
      <c r="DE439" s="588" t="n"/>
      <c r="DF439" s="588" t="n"/>
      <c r="DG439" s="588" t="n"/>
      <c r="DH439" s="588" t="n"/>
      <c r="DI439" s="588" t="n"/>
      <c r="DJ439" s="588" t="n"/>
      <c r="DK439" s="588" t="n"/>
      <c r="DL439" s="588" t="n"/>
      <c r="DM439" s="588" t="n"/>
      <c r="DN439" s="588" t="n"/>
      <c r="DO439" s="588" t="n"/>
      <c r="DP439" s="588" t="n"/>
      <c r="DQ439" s="588" t="n"/>
      <c r="DR439" s="588" t="n"/>
      <c r="DS439" s="588" t="n"/>
      <c r="DT439" s="588" t="n"/>
      <c r="DU439" s="588" t="n"/>
    </row>
    <row r="440">
      <c r="A440" s="737" t="n"/>
      <c r="B440" s="737" t="n"/>
      <c r="C440" s="737" t="n"/>
      <c r="D440" s="737" t="n"/>
      <c r="E440" s="737" t="n"/>
      <c r="F440" s="737" t="n"/>
      <c r="G440" s="737" t="n"/>
      <c r="H440" s="737" t="n"/>
      <c r="I440" s="737" t="n"/>
      <c r="J440" s="737" t="n"/>
      <c r="K440" s="737" t="n"/>
      <c r="L440" s="737" t="n"/>
      <c r="M440" s="737" t="n"/>
      <c r="N440" s="737" t="n"/>
      <c r="O440" s="737" t="n"/>
      <c r="P440" s="737" t="n"/>
      <c r="Q440" s="737" t="n"/>
      <c r="R440" s="737" t="n"/>
      <c r="S440" s="737" t="n"/>
      <c r="T440" s="737" t="n"/>
      <c r="U440" s="737" t="n"/>
      <c r="V440" s="737" t="n"/>
      <c r="W440" s="737" t="n"/>
      <c r="X440" s="737" t="n"/>
      <c r="Y440" s="737" t="n"/>
      <c r="Z440" s="737" t="n"/>
      <c r="AA440" s="737" t="n"/>
      <c r="AB440" s="737" t="n"/>
      <c r="AC440" s="737" t="n"/>
      <c r="AD440" s="737" t="n"/>
      <c r="AE440" s="737" t="n"/>
      <c r="AF440" s="737" t="n"/>
      <c r="AG440" s="737" t="n"/>
      <c r="AH440" s="737" t="n"/>
      <c r="AI440" s="737" t="n"/>
      <c r="AJ440" s="737" t="n"/>
      <c r="AK440" s="588" t="n"/>
      <c r="AL440" s="588" t="n"/>
      <c r="AM440" s="588" t="n"/>
      <c r="AN440" s="588" t="n"/>
      <c r="AO440" s="588" t="n"/>
      <c r="AP440" s="588" t="n"/>
      <c r="AQ440" s="588" t="n"/>
      <c r="AR440" s="588" t="n"/>
      <c r="AS440" s="588" t="n"/>
      <c r="AT440" s="588" t="n"/>
      <c r="AU440" s="588" t="n"/>
      <c r="AV440" s="588" t="n"/>
      <c r="AW440" s="588" t="n"/>
      <c r="AX440" s="588" t="n"/>
      <c r="AY440" s="588" t="n"/>
      <c r="AZ440" s="588" t="n"/>
      <c r="BA440" s="588" t="n"/>
      <c r="BB440" s="588" t="n"/>
      <c r="BC440" s="588" t="n"/>
      <c r="BD440" s="588" t="n"/>
      <c r="BE440" s="588" t="n"/>
      <c r="BF440" s="588" t="n"/>
      <c r="BG440" s="588" t="n"/>
      <c r="BH440" s="588" t="n"/>
      <c r="BI440" s="588" t="n"/>
      <c r="BJ440" s="588" t="n"/>
      <c r="BK440" s="588" t="n"/>
      <c r="BL440" s="588" t="n"/>
      <c r="BM440" s="588" t="n"/>
      <c r="BN440" s="588" t="n"/>
      <c r="BO440" s="588" t="n"/>
      <c r="BP440" s="588" t="n"/>
      <c r="BQ440" s="588" t="n"/>
      <c r="BR440" s="588" t="n"/>
      <c r="BS440" s="588" t="n"/>
      <c r="BT440" s="588" t="n"/>
      <c r="BU440" s="588" t="n"/>
      <c r="BV440" s="588" t="n"/>
      <c r="BW440" s="588" t="n"/>
      <c r="BX440" s="588" t="n"/>
      <c r="BY440" s="588" t="n"/>
      <c r="BZ440" s="588" t="n"/>
      <c r="CA440" s="588" t="n"/>
      <c r="CB440" s="588" t="n"/>
      <c r="CC440" s="588" t="n"/>
      <c r="CD440" s="588" t="n"/>
      <c r="CE440" s="588" t="n"/>
      <c r="CF440" s="588" t="n"/>
      <c r="CG440" s="588" t="n"/>
      <c r="CH440" s="588" t="n"/>
      <c r="CI440" s="588" t="n"/>
      <c r="CJ440" s="588" t="n"/>
      <c r="CK440" s="588" t="n"/>
      <c r="CL440" s="588" t="n"/>
      <c r="CM440" s="588" t="n"/>
      <c r="CN440" s="588" t="n"/>
      <c r="CO440" s="588" t="n"/>
      <c r="CP440" s="588" t="n"/>
      <c r="CQ440" s="588" t="n"/>
      <c r="CR440" s="588" t="n"/>
      <c r="CS440" s="588" t="n"/>
      <c r="CT440" s="588" t="n"/>
      <c r="CU440" s="588" t="n"/>
      <c r="CV440" s="588" t="n"/>
      <c r="CW440" s="588" t="n"/>
      <c r="CX440" s="588" t="n"/>
      <c r="CY440" s="588" t="n"/>
      <c r="CZ440" s="588" t="n"/>
      <c r="DA440" s="588" t="n"/>
      <c r="DB440" s="588" t="n"/>
      <c r="DC440" s="588" t="n"/>
      <c r="DD440" s="588" t="n"/>
      <c r="DE440" s="588" t="n"/>
      <c r="DF440" s="588" t="n"/>
      <c r="DG440" s="588" t="n"/>
      <c r="DH440" s="588" t="n"/>
      <c r="DI440" s="588" t="n"/>
      <c r="DJ440" s="588" t="n"/>
      <c r="DK440" s="588" t="n"/>
      <c r="DL440" s="588" t="n"/>
      <c r="DM440" s="588" t="n"/>
      <c r="DN440" s="588" t="n"/>
      <c r="DO440" s="588" t="n"/>
      <c r="DP440" s="588" t="n"/>
      <c r="DQ440" s="588" t="n"/>
      <c r="DR440" s="588" t="n"/>
      <c r="DS440" s="588" t="n"/>
      <c r="DT440" s="588" t="n"/>
      <c r="DU440" s="588" t="n"/>
    </row>
    <row r="441">
      <c r="A441" s="737" t="n"/>
      <c r="B441" s="737" t="n"/>
      <c r="C441" s="737" t="n"/>
      <c r="D441" s="737" t="n"/>
      <c r="E441" s="737" t="n"/>
      <c r="F441" s="737" t="n"/>
      <c r="G441" s="737" t="n"/>
      <c r="H441" s="737" t="n"/>
      <c r="I441" s="737" t="n"/>
      <c r="J441" s="737" t="n"/>
      <c r="K441" s="737" t="n"/>
      <c r="L441" s="737" t="n"/>
      <c r="M441" s="737" t="n"/>
      <c r="N441" s="737" t="n"/>
      <c r="O441" s="737" t="n"/>
      <c r="P441" s="737" t="n"/>
      <c r="Q441" s="737" t="n"/>
      <c r="R441" s="737" t="n"/>
      <c r="S441" s="737" t="n"/>
      <c r="T441" s="737" t="n"/>
      <c r="U441" s="737" t="n"/>
      <c r="V441" s="737" t="n"/>
      <c r="W441" s="737" t="n"/>
      <c r="X441" s="737" t="n"/>
      <c r="Y441" s="737" t="n"/>
      <c r="Z441" s="737" t="n"/>
      <c r="AA441" s="737" t="n"/>
      <c r="AB441" s="737" t="n"/>
      <c r="AC441" s="737" t="n"/>
      <c r="AD441" s="737" t="n"/>
      <c r="AE441" s="737" t="n"/>
      <c r="AF441" s="737" t="n"/>
      <c r="AG441" s="737" t="n"/>
      <c r="AH441" s="737" t="n"/>
      <c r="AI441" s="737" t="n"/>
      <c r="AJ441" s="737" t="n"/>
      <c r="AK441" s="588" t="n"/>
      <c r="AL441" s="588" t="n"/>
      <c r="AM441" s="588" t="n"/>
      <c r="AN441" s="588" t="n"/>
      <c r="AO441" s="588" t="n"/>
      <c r="AP441" s="588" t="n"/>
      <c r="AQ441" s="588" t="n"/>
      <c r="AR441" s="588" t="n"/>
      <c r="AS441" s="588" t="n"/>
      <c r="AT441" s="588" t="n"/>
      <c r="AU441" s="588" t="n"/>
      <c r="AV441" s="588" t="n"/>
      <c r="AW441" s="588" t="n"/>
      <c r="AX441" s="588" t="n"/>
      <c r="AY441" s="588" t="n"/>
      <c r="AZ441" s="588" t="n"/>
      <c r="BA441" s="588" t="n"/>
      <c r="BB441" s="588" t="n"/>
      <c r="BC441" s="588" t="n"/>
      <c r="BD441" s="588" t="n"/>
      <c r="BE441" s="588" t="n"/>
      <c r="BF441" s="588" t="n"/>
      <c r="BG441" s="588" t="n"/>
      <c r="BH441" s="588" t="n"/>
      <c r="BI441" s="588" t="n"/>
      <c r="BJ441" s="588" t="n"/>
      <c r="BK441" s="588" t="n"/>
      <c r="BL441" s="588" t="n"/>
      <c r="BM441" s="588" t="n"/>
      <c r="BN441" s="588" t="n"/>
      <c r="BO441" s="588" t="n"/>
      <c r="BP441" s="588" t="n"/>
      <c r="BQ441" s="588" t="n"/>
      <c r="BR441" s="588" t="n"/>
      <c r="BS441" s="588" t="n"/>
      <c r="BT441" s="588" t="n"/>
      <c r="BU441" s="588" t="n"/>
      <c r="BV441" s="588" t="n"/>
      <c r="BW441" s="588" t="n"/>
      <c r="BX441" s="588" t="n"/>
      <c r="BY441" s="588" t="n"/>
      <c r="BZ441" s="588" t="n"/>
      <c r="CA441" s="588" t="n"/>
      <c r="CB441" s="588" t="n"/>
      <c r="CC441" s="588" t="n"/>
      <c r="CD441" s="588" t="n"/>
      <c r="CE441" s="588" t="n"/>
      <c r="CF441" s="588" t="n"/>
      <c r="CG441" s="588" t="n"/>
      <c r="CH441" s="588" t="n"/>
      <c r="CI441" s="588" t="n"/>
      <c r="CJ441" s="588" t="n"/>
      <c r="CK441" s="588" t="n"/>
      <c r="CL441" s="588" t="n"/>
      <c r="CM441" s="588" t="n"/>
      <c r="CN441" s="588" t="n"/>
      <c r="CO441" s="588" t="n"/>
      <c r="CP441" s="588" t="n"/>
      <c r="CQ441" s="588" t="n"/>
      <c r="CR441" s="588" t="n"/>
      <c r="CS441" s="588" t="n"/>
      <c r="CT441" s="588" t="n"/>
      <c r="CU441" s="588" t="n"/>
      <c r="CV441" s="588" t="n"/>
      <c r="CW441" s="588" t="n"/>
      <c r="CX441" s="588" t="n"/>
      <c r="CY441" s="588" t="n"/>
      <c r="CZ441" s="588" t="n"/>
      <c r="DA441" s="588" t="n"/>
      <c r="DB441" s="588" t="n"/>
      <c r="DC441" s="588" t="n"/>
      <c r="DD441" s="588" t="n"/>
      <c r="DE441" s="588" t="n"/>
      <c r="DF441" s="588" t="n"/>
      <c r="DG441" s="588" t="n"/>
      <c r="DH441" s="588" t="n"/>
      <c r="DI441" s="588" t="n"/>
      <c r="DJ441" s="588" t="n"/>
      <c r="DK441" s="588" t="n"/>
      <c r="DL441" s="588" t="n"/>
      <c r="DM441" s="588" t="n"/>
      <c r="DN441" s="588" t="n"/>
      <c r="DO441" s="588" t="n"/>
      <c r="DP441" s="588" t="n"/>
      <c r="DQ441" s="588" t="n"/>
      <c r="DR441" s="588" t="n"/>
      <c r="DS441" s="588" t="n"/>
      <c r="DT441" s="588" t="n"/>
      <c r="DU441" s="588" t="n"/>
    </row>
    <row r="442">
      <c r="A442" s="737" t="n"/>
      <c r="B442" s="737" t="n"/>
      <c r="C442" s="737" t="n"/>
      <c r="D442" s="737" t="n"/>
      <c r="E442" s="737" t="n"/>
      <c r="F442" s="737" t="n"/>
      <c r="G442" s="737" t="n"/>
      <c r="H442" s="737" t="n"/>
      <c r="I442" s="737" t="n"/>
      <c r="J442" s="737" t="n"/>
      <c r="K442" s="737" t="n"/>
      <c r="L442" s="737" t="n"/>
      <c r="M442" s="737" t="n"/>
      <c r="N442" s="737" t="n"/>
      <c r="O442" s="737" t="n"/>
      <c r="P442" s="737" t="n"/>
      <c r="Q442" s="737" t="n"/>
      <c r="R442" s="737" t="n"/>
      <c r="S442" s="737" t="n"/>
      <c r="T442" s="737" t="n"/>
      <c r="U442" s="737" t="n"/>
      <c r="V442" s="737" t="n"/>
      <c r="W442" s="737" t="n"/>
      <c r="X442" s="737" t="n"/>
      <c r="Y442" s="737" t="n"/>
      <c r="Z442" s="737" t="n"/>
      <c r="AA442" s="737" t="n"/>
      <c r="AB442" s="737" t="n"/>
      <c r="AC442" s="737" t="n"/>
      <c r="AD442" s="737" t="n"/>
      <c r="AE442" s="737" t="n"/>
      <c r="AF442" s="737" t="n"/>
      <c r="AG442" s="737" t="n"/>
      <c r="AH442" s="737" t="n"/>
      <c r="AI442" s="737" t="n"/>
      <c r="AJ442" s="737" t="n"/>
      <c r="AK442" s="588" t="n"/>
      <c r="AL442" s="588" t="n"/>
      <c r="AM442" s="588" t="n"/>
      <c r="AN442" s="588" t="n"/>
      <c r="AO442" s="588" t="n"/>
      <c r="AP442" s="588" t="n"/>
      <c r="AQ442" s="588" t="n"/>
      <c r="AR442" s="588" t="n"/>
      <c r="AS442" s="588" t="n"/>
      <c r="AT442" s="588" t="n"/>
      <c r="AU442" s="588" t="n"/>
      <c r="AV442" s="588" t="n"/>
      <c r="AW442" s="588" t="n"/>
      <c r="AX442" s="588" t="n"/>
      <c r="AY442" s="588" t="n"/>
      <c r="AZ442" s="588" t="n"/>
      <c r="BA442" s="588" t="n"/>
      <c r="BB442" s="588" t="n"/>
      <c r="BC442" s="588" t="n"/>
      <c r="BD442" s="588" t="n"/>
      <c r="BE442" s="588" t="n"/>
      <c r="BF442" s="588" t="n"/>
      <c r="BG442" s="588" t="n"/>
      <c r="BH442" s="588" t="n"/>
      <c r="BI442" s="588" t="n"/>
      <c r="BJ442" s="588" t="n"/>
      <c r="BK442" s="588" t="n"/>
      <c r="BL442" s="588" t="n"/>
      <c r="BM442" s="588" t="n"/>
      <c r="BN442" s="588" t="n"/>
      <c r="BO442" s="588" t="n"/>
      <c r="BP442" s="588" t="n"/>
      <c r="BQ442" s="588" t="n"/>
      <c r="BR442" s="588" t="n"/>
      <c r="BS442" s="588" t="n"/>
      <c r="BT442" s="588" t="n"/>
      <c r="BU442" s="588" t="n"/>
      <c r="BV442" s="588" t="n"/>
      <c r="BW442" s="588" t="n"/>
      <c r="BX442" s="588" t="n"/>
      <c r="BY442" s="588" t="n"/>
      <c r="BZ442" s="588" t="n"/>
      <c r="CA442" s="588" t="n"/>
      <c r="CB442" s="588" t="n"/>
      <c r="CC442" s="588" t="n"/>
      <c r="CD442" s="588" t="n"/>
      <c r="CE442" s="588" t="n"/>
      <c r="CF442" s="588" t="n"/>
      <c r="CG442" s="588" t="n"/>
      <c r="CH442" s="588" t="n"/>
      <c r="CI442" s="588" t="n"/>
      <c r="CJ442" s="588" t="n"/>
      <c r="CK442" s="588" t="n"/>
      <c r="CL442" s="588" t="n"/>
      <c r="CM442" s="588" t="n"/>
      <c r="CN442" s="588" t="n"/>
      <c r="CO442" s="588" t="n"/>
      <c r="CP442" s="588" t="n"/>
      <c r="CQ442" s="588" t="n"/>
      <c r="CR442" s="588" t="n"/>
      <c r="CS442" s="588" t="n"/>
      <c r="CT442" s="588" t="n"/>
      <c r="CU442" s="588" t="n"/>
      <c r="CV442" s="588" t="n"/>
      <c r="CW442" s="588" t="n"/>
      <c r="CX442" s="588" t="n"/>
      <c r="CY442" s="588" t="n"/>
      <c r="CZ442" s="588" t="n"/>
      <c r="DA442" s="588" t="n"/>
      <c r="DB442" s="588" t="n"/>
      <c r="DC442" s="588" t="n"/>
      <c r="DD442" s="588" t="n"/>
      <c r="DE442" s="588" t="n"/>
      <c r="DF442" s="588" t="n"/>
      <c r="DG442" s="588" t="n"/>
      <c r="DH442" s="588" t="n"/>
      <c r="DI442" s="588" t="n"/>
      <c r="DJ442" s="588" t="n"/>
      <c r="DK442" s="588" t="n"/>
      <c r="DL442" s="588" t="n"/>
      <c r="DM442" s="588" t="n"/>
      <c r="DN442" s="588" t="n"/>
      <c r="DO442" s="588" t="n"/>
      <c r="DP442" s="588" t="n"/>
      <c r="DQ442" s="588" t="n"/>
      <c r="DR442" s="588" t="n"/>
      <c r="DS442" s="588" t="n"/>
      <c r="DT442" s="588" t="n"/>
      <c r="DU442" s="588" t="n"/>
    </row>
    <row r="443">
      <c r="A443" s="737" t="n"/>
      <c r="B443" s="737" t="n"/>
      <c r="C443" s="737" t="n"/>
      <c r="D443" s="737" t="n"/>
      <c r="E443" s="737" t="n"/>
      <c r="F443" s="737" t="n"/>
      <c r="G443" s="737" t="n"/>
      <c r="H443" s="737" t="n"/>
      <c r="I443" s="737" t="n"/>
      <c r="J443" s="737" t="n"/>
      <c r="K443" s="737" t="n"/>
      <c r="L443" s="737" t="n"/>
      <c r="M443" s="737" t="n"/>
      <c r="N443" s="737" t="n"/>
      <c r="O443" s="737" t="n"/>
      <c r="P443" s="737" t="n"/>
      <c r="Q443" s="737" t="n"/>
      <c r="R443" s="737" t="n"/>
      <c r="S443" s="737" t="n"/>
      <c r="T443" s="737" t="n"/>
      <c r="U443" s="737" t="n"/>
      <c r="V443" s="737" t="n"/>
      <c r="W443" s="737" t="n"/>
      <c r="X443" s="737" t="n"/>
      <c r="Y443" s="737" t="n"/>
      <c r="Z443" s="737" t="n"/>
      <c r="AA443" s="737" t="n"/>
      <c r="AB443" s="737" t="n"/>
      <c r="AC443" s="737" t="n"/>
      <c r="AD443" s="737" t="n"/>
      <c r="AE443" s="737" t="n"/>
      <c r="AF443" s="737" t="n"/>
      <c r="AG443" s="737" t="n"/>
      <c r="AH443" s="737" t="n"/>
      <c r="AI443" s="737" t="n"/>
      <c r="AJ443" s="737" t="n"/>
      <c r="AK443" s="588" t="n"/>
      <c r="AL443" s="588" t="n"/>
      <c r="AM443" s="588" t="n"/>
      <c r="AN443" s="588" t="n"/>
      <c r="AO443" s="588" t="n"/>
      <c r="AP443" s="588" t="n"/>
      <c r="AQ443" s="588" t="n"/>
      <c r="AR443" s="588" t="n"/>
      <c r="AS443" s="588" t="n"/>
      <c r="AT443" s="588" t="n"/>
      <c r="AU443" s="588" t="n"/>
      <c r="AV443" s="588" t="n"/>
      <c r="AW443" s="588" t="n"/>
      <c r="AX443" s="588" t="n"/>
      <c r="AY443" s="588" t="n"/>
      <c r="AZ443" s="588" t="n"/>
      <c r="BA443" s="588" t="n"/>
      <c r="BB443" s="588" t="n"/>
      <c r="BC443" s="588" t="n"/>
      <c r="BD443" s="588" t="n"/>
      <c r="BE443" s="588" t="n"/>
      <c r="BF443" s="588" t="n"/>
      <c r="BG443" s="588" t="n"/>
      <c r="BH443" s="588" t="n"/>
      <c r="BI443" s="588" t="n"/>
      <c r="BJ443" s="588" t="n"/>
      <c r="BK443" s="588" t="n"/>
      <c r="BL443" s="588" t="n"/>
      <c r="BM443" s="588" t="n"/>
      <c r="BN443" s="588" t="n"/>
      <c r="BO443" s="588" t="n"/>
      <c r="BP443" s="588" t="n"/>
      <c r="BQ443" s="588" t="n"/>
      <c r="BR443" s="588" t="n"/>
      <c r="BS443" s="588" t="n"/>
      <c r="BT443" s="588" t="n"/>
      <c r="BU443" s="588" t="n"/>
      <c r="BV443" s="588" t="n"/>
      <c r="BW443" s="588" t="n"/>
      <c r="BX443" s="588" t="n"/>
      <c r="BY443" s="588" t="n"/>
      <c r="BZ443" s="588" t="n"/>
      <c r="CA443" s="588" t="n"/>
      <c r="CB443" s="588" t="n"/>
      <c r="CC443" s="588" t="n"/>
      <c r="CD443" s="588" t="n"/>
      <c r="CE443" s="588" t="n"/>
      <c r="CF443" s="588" t="n"/>
      <c r="CG443" s="588" t="n"/>
      <c r="CH443" s="588" t="n"/>
      <c r="CI443" s="588" t="n"/>
      <c r="CJ443" s="588" t="n"/>
      <c r="CK443" s="588" t="n"/>
      <c r="CL443" s="588" t="n"/>
      <c r="CM443" s="588" t="n"/>
      <c r="CN443" s="588" t="n"/>
      <c r="CO443" s="588" t="n"/>
      <c r="CP443" s="588" t="n"/>
      <c r="CQ443" s="588" t="n"/>
      <c r="CR443" s="588" t="n"/>
      <c r="CS443" s="588" t="n"/>
      <c r="CT443" s="588" t="n"/>
      <c r="CU443" s="588" t="n"/>
      <c r="CV443" s="588" t="n"/>
      <c r="CW443" s="588" t="n"/>
      <c r="CX443" s="588" t="n"/>
      <c r="CY443" s="588" t="n"/>
      <c r="CZ443" s="588" t="n"/>
      <c r="DA443" s="588" t="n"/>
      <c r="DB443" s="588" t="n"/>
      <c r="DC443" s="588" t="n"/>
      <c r="DD443" s="588" t="n"/>
      <c r="DE443" s="588" t="n"/>
      <c r="DF443" s="588" t="n"/>
      <c r="DG443" s="588" t="n"/>
      <c r="DH443" s="588" t="n"/>
      <c r="DI443" s="588" t="n"/>
      <c r="DJ443" s="588" t="n"/>
      <c r="DK443" s="588" t="n"/>
      <c r="DL443" s="588" t="n"/>
      <c r="DM443" s="588" t="n"/>
      <c r="DN443" s="588" t="n"/>
      <c r="DO443" s="588" t="n"/>
      <c r="DP443" s="588" t="n"/>
      <c r="DQ443" s="588" t="n"/>
      <c r="DR443" s="588" t="n"/>
      <c r="DS443" s="588" t="n"/>
      <c r="DT443" s="588" t="n"/>
      <c r="DU443" s="588" t="n"/>
    </row>
    <row r="444">
      <c r="A444" s="737" t="n"/>
      <c r="B444" s="737" t="n"/>
      <c r="C444" s="737" t="n"/>
      <c r="D444" s="737" t="n"/>
      <c r="E444" s="737" t="n"/>
      <c r="F444" s="737" t="n"/>
      <c r="G444" s="737" t="n"/>
      <c r="H444" s="737" t="n"/>
      <c r="I444" s="737" t="n"/>
      <c r="J444" s="737" t="n"/>
      <c r="K444" s="737" t="n"/>
      <c r="L444" s="737" t="n"/>
      <c r="M444" s="737" t="n"/>
      <c r="N444" s="737" t="n"/>
      <c r="O444" s="737" t="n"/>
      <c r="P444" s="737" t="n"/>
      <c r="Q444" s="737" t="n"/>
      <c r="R444" s="737" t="n"/>
      <c r="S444" s="737" t="n"/>
      <c r="T444" s="737" t="n"/>
      <c r="U444" s="737" t="n"/>
      <c r="V444" s="737" t="n"/>
      <c r="W444" s="737" t="n"/>
      <c r="X444" s="737" t="n"/>
      <c r="Y444" s="737" t="n"/>
      <c r="Z444" s="737" t="n"/>
      <c r="AA444" s="737" t="n"/>
      <c r="AB444" s="737" t="n"/>
      <c r="AC444" s="737" t="n"/>
      <c r="AD444" s="737" t="n"/>
      <c r="AE444" s="737" t="n"/>
      <c r="AF444" s="737" t="n"/>
      <c r="AG444" s="737" t="n"/>
      <c r="AH444" s="737" t="n"/>
      <c r="AI444" s="737" t="n"/>
      <c r="AJ444" s="737" t="n"/>
      <c r="AK444" s="588" t="n"/>
      <c r="AL444" s="588" t="n"/>
      <c r="AM444" s="588" t="n"/>
      <c r="AN444" s="588" t="n"/>
      <c r="AO444" s="588" t="n"/>
      <c r="AP444" s="588" t="n"/>
      <c r="AQ444" s="588" t="n"/>
      <c r="AR444" s="588" t="n"/>
      <c r="AS444" s="588" t="n"/>
      <c r="AT444" s="588" t="n"/>
      <c r="AU444" s="588" t="n"/>
      <c r="AV444" s="588" t="n"/>
      <c r="AW444" s="588" t="n"/>
      <c r="AX444" s="588" t="n"/>
      <c r="AY444" s="588" t="n"/>
      <c r="AZ444" s="588" t="n"/>
      <c r="BA444" s="588" t="n"/>
      <c r="BB444" s="588" t="n"/>
      <c r="BC444" s="588" t="n"/>
      <c r="BD444" s="588" t="n"/>
      <c r="BE444" s="588" t="n"/>
      <c r="BF444" s="588" t="n"/>
      <c r="BG444" s="588" t="n"/>
      <c r="BH444" s="588" t="n"/>
      <c r="BI444" s="588" t="n"/>
      <c r="BJ444" s="588" t="n"/>
      <c r="BK444" s="588" t="n"/>
      <c r="BL444" s="588" t="n"/>
      <c r="BM444" s="588" t="n"/>
      <c r="BN444" s="588" t="n"/>
      <c r="BO444" s="588" t="n"/>
      <c r="BP444" s="588" t="n"/>
      <c r="BQ444" s="588" t="n"/>
      <c r="BR444" s="588" t="n"/>
      <c r="BS444" s="588" t="n"/>
      <c r="BT444" s="588" t="n"/>
      <c r="BU444" s="588" t="n"/>
      <c r="BV444" s="588" t="n"/>
      <c r="BW444" s="588" t="n"/>
      <c r="BX444" s="588" t="n"/>
      <c r="BY444" s="588" t="n"/>
      <c r="BZ444" s="588" t="n"/>
      <c r="CA444" s="588" t="n"/>
      <c r="CB444" s="588" t="n"/>
      <c r="CC444" s="588" t="n"/>
      <c r="CD444" s="588" t="n"/>
      <c r="CE444" s="588" t="n"/>
      <c r="CF444" s="588" t="n"/>
      <c r="CG444" s="588" t="n"/>
      <c r="CH444" s="588" t="n"/>
      <c r="CI444" s="588" t="n"/>
      <c r="CJ444" s="588" t="n"/>
      <c r="CK444" s="588" t="n"/>
      <c r="CL444" s="588" t="n"/>
      <c r="CM444" s="588" t="n"/>
      <c r="CN444" s="588" t="n"/>
      <c r="CO444" s="588" t="n"/>
      <c r="CP444" s="588" t="n"/>
      <c r="CQ444" s="588" t="n"/>
      <c r="CR444" s="588" t="n"/>
      <c r="CS444" s="588" t="n"/>
      <c r="CT444" s="588" t="n"/>
      <c r="CU444" s="588" t="n"/>
      <c r="CV444" s="588" t="n"/>
      <c r="CW444" s="588" t="n"/>
      <c r="CX444" s="588" t="n"/>
      <c r="CY444" s="588" t="n"/>
      <c r="CZ444" s="588" t="n"/>
      <c r="DA444" s="588" t="n"/>
      <c r="DB444" s="588" t="n"/>
      <c r="DC444" s="588" t="n"/>
      <c r="DD444" s="588" t="n"/>
      <c r="DE444" s="588" t="n"/>
      <c r="DF444" s="588" t="n"/>
      <c r="DG444" s="588" t="n"/>
      <c r="DH444" s="588" t="n"/>
      <c r="DI444" s="588" t="n"/>
      <c r="DJ444" s="588" t="n"/>
      <c r="DK444" s="588" t="n"/>
      <c r="DL444" s="588" t="n"/>
      <c r="DM444" s="588" t="n"/>
      <c r="DN444" s="588" t="n"/>
      <c r="DO444" s="588" t="n"/>
      <c r="DP444" s="588" t="n"/>
      <c r="DQ444" s="588" t="n"/>
      <c r="DR444" s="588" t="n"/>
      <c r="DS444" s="588" t="n"/>
      <c r="DT444" s="588" t="n"/>
      <c r="DU444" s="588" t="n"/>
    </row>
    <row r="445">
      <c r="A445" s="737" t="n"/>
      <c r="B445" s="737" t="n"/>
      <c r="C445" s="737" t="n"/>
      <c r="D445" s="737" t="n"/>
      <c r="E445" s="737" t="n"/>
      <c r="F445" s="737" t="n"/>
      <c r="G445" s="737" t="n"/>
      <c r="H445" s="737" t="n"/>
      <c r="I445" s="737" t="n"/>
      <c r="J445" s="737" t="n"/>
      <c r="K445" s="737" t="n"/>
      <c r="L445" s="737" t="n"/>
      <c r="M445" s="737" t="n"/>
      <c r="N445" s="737" t="n"/>
      <c r="O445" s="737" t="n"/>
      <c r="P445" s="737" t="n"/>
      <c r="Q445" s="737" t="n"/>
      <c r="R445" s="737" t="n"/>
      <c r="S445" s="737" t="n"/>
      <c r="T445" s="737" t="n"/>
      <c r="U445" s="737" t="n"/>
      <c r="V445" s="737" t="n"/>
      <c r="W445" s="737" t="n"/>
      <c r="X445" s="737" t="n"/>
      <c r="Y445" s="737" t="n"/>
      <c r="Z445" s="737" t="n"/>
      <c r="AA445" s="737" t="n"/>
      <c r="AB445" s="737" t="n"/>
      <c r="AC445" s="737" t="n"/>
      <c r="AD445" s="737" t="n"/>
      <c r="AE445" s="737" t="n"/>
      <c r="AF445" s="737" t="n"/>
      <c r="AG445" s="737" t="n"/>
      <c r="AH445" s="737" t="n"/>
      <c r="AI445" s="737" t="n"/>
      <c r="AJ445" s="737" t="n"/>
      <c r="AK445" s="588" t="n"/>
      <c r="AL445" s="588" t="n"/>
      <c r="AM445" s="588" t="n"/>
      <c r="AN445" s="588" t="n"/>
      <c r="AO445" s="588" t="n"/>
      <c r="AP445" s="588" t="n"/>
      <c r="AQ445" s="588" t="n"/>
      <c r="AR445" s="588" t="n"/>
      <c r="AS445" s="588" t="n"/>
      <c r="AT445" s="588" t="n"/>
      <c r="AU445" s="588" t="n"/>
      <c r="AV445" s="588" t="n"/>
      <c r="AW445" s="588" t="n"/>
      <c r="AX445" s="588" t="n"/>
      <c r="AY445" s="588" t="n"/>
      <c r="AZ445" s="588" t="n"/>
      <c r="BA445" s="588" t="n"/>
      <c r="BB445" s="588" t="n"/>
      <c r="BC445" s="588" t="n"/>
      <c r="BD445" s="588" t="n"/>
      <c r="BE445" s="588" t="n"/>
      <c r="BF445" s="588" t="n"/>
      <c r="BG445" s="588" t="n"/>
      <c r="BH445" s="588" t="n"/>
      <c r="BI445" s="588" t="n"/>
      <c r="BJ445" s="588" t="n"/>
      <c r="BK445" s="588" t="n"/>
      <c r="BL445" s="588" t="n"/>
      <c r="BM445" s="588" t="n"/>
      <c r="BN445" s="588" t="n"/>
      <c r="BO445" s="588" t="n"/>
      <c r="BP445" s="588" t="n"/>
      <c r="BQ445" s="588" t="n"/>
      <c r="BR445" s="588" t="n"/>
      <c r="BS445" s="588" t="n"/>
      <c r="BT445" s="588" t="n"/>
      <c r="BU445" s="588" t="n"/>
      <c r="BV445" s="588" t="n"/>
      <c r="BW445" s="588" t="n"/>
      <c r="BX445" s="588" t="n"/>
      <c r="BY445" s="588" t="n"/>
      <c r="BZ445" s="588" t="n"/>
      <c r="CA445" s="588" t="n"/>
      <c r="CB445" s="588" t="n"/>
      <c r="CC445" s="588" t="n"/>
      <c r="CD445" s="588" t="n"/>
      <c r="CE445" s="588" t="n"/>
      <c r="CF445" s="588" t="n"/>
      <c r="CG445" s="588" t="n"/>
      <c r="CH445" s="588" t="n"/>
      <c r="CI445" s="588" t="n"/>
      <c r="CJ445" s="588" t="n"/>
      <c r="CK445" s="588" t="n"/>
      <c r="CL445" s="588" t="n"/>
      <c r="CM445" s="588" t="n"/>
      <c r="CN445" s="588" t="n"/>
      <c r="CO445" s="588" t="n"/>
      <c r="CP445" s="588" t="n"/>
      <c r="CQ445" s="588" t="n"/>
      <c r="CR445" s="588" t="n"/>
      <c r="CS445" s="588" t="n"/>
      <c r="CT445" s="588" t="n"/>
      <c r="CU445" s="588" t="n"/>
      <c r="CV445" s="588" t="n"/>
      <c r="CW445" s="588" t="n"/>
      <c r="CX445" s="588" t="n"/>
      <c r="CY445" s="588" t="n"/>
      <c r="CZ445" s="588" t="n"/>
      <c r="DA445" s="588" t="n"/>
      <c r="DB445" s="588" t="n"/>
      <c r="DC445" s="588" t="n"/>
      <c r="DD445" s="588" t="n"/>
      <c r="DE445" s="588" t="n"/>
      <c r="DF445" s="588" t="n"/>
      <c r="DG445" s="588" t="n"/>
      <c r="DH445" s="588" t="n"/>
      <c r="DI445" s="588" t="n"/>
      <c r="DJ445" s="588" t="n"/>
      <c r="DK445" s="588" t="n"/>
      <c r="DL445" s="588" t="n"/>
      <c r="DM445" s="588" t="n"/>
      <c r="DN445" s="588" t="n"/>
      <c r="DO445" s="588" t="n"/>
      <c r="DP445" s="588" t="n"/>
      <c r="DQ445" s="588" t="n"/>
      <c r="DR445" s="588" t="n"/>
      <c r="DS445" s="588" t="n"/>
      <c r="DT445" s="588" t="n"/>
      <c r="DU445" s="588" t="n"/>
    </row>
    <row r="446">
      <c r="A446" s="737" t="n"/>
      <c r="B446" s="737" t="n"/>
      <c r="C446" s="737" t="n"/>
      <c r="D446" s="737" t="n"/>
      <c r="E446" s="737" t="n"/>
      <c r="F446" s="737" t="n"/>
      <c r="G446" s="737" t="n"/>
      <c r="H446" s="737" t="n"/>
      <c r="I446" s="737" t="n"/>
      <c r="J446" s="737" t="n"/>
      <c r="K446" s="737" t="n"/>
      <c r="L446" s="737" t="n"/>
      <c r="M446" s="737" t="n"/>
      <c r="N446" s="737" t="n"/>
      <c r="O446" s="737" t="n"/>
      <c r="P446" s="737" t="n"/>
      <c r="Q446" s="737" t="n"/>
      <c r="R446" s="737" t="n"/>
      <c r="S446" s="737" t="n"/>
      <c r="T446" s="737" t="n"/>
      <c r="U446" s="737" t="n"/>
      <c r="V446" s="737" t="n"/>
      <c r="W446" s="737" t="n"/>
      <c r="X446" s="737" t="n"/>
      <c r="Y446" s="737" t="n"/>
      <c r="Z446" s="737" t="n"/>
      <c r="AA446" s="737" t="n"/>
      <c r="AB446" s="737" t="n"/>
      <c r="AC446" s="737" t="n"/>
      <c r="AD446" s="737" t="n"/>
      <c r="AE446" s="737" t="n"/>
      <c r="AF446" s="737" t="n"/>
      <c r="AG446" s="737" t="n"/>
      <c r="AH446" s="737" t="n"/>
      <c r="AI446" s="737" t="n"/>
      <c r="AJ446" s="737" t="n"/>
      <c r="AK446" s="588" t="n"/>
      <c r="AL446" s="588" t="n"/>
      <c r="AM446" s="588" t="n"/>
      <c r="AN446" s="588" t="n"/>
      <c r="AO446" s="588" t="n"/>
      <c r="AP446" s="588" t="n"/>
      <c r="AQ446" s="588" t="n"/>
      <c r="AR446" s="588" t="n"/>
      <c r="AS446" s="588" t="n"/>
      <c r="AT446" s="588" t="n"/>
      <c r="AU446" s="588" t="n"/>
      <c r="AV446" s="588" t="n"/>
      <c r="AW446" s="588" t="n"/>
      <c r="AX446" s="588" t="n"/>
      <c r="AY446" s="588" t="n"/>
      <c r="AZ446" s="588" t="n"/>
      <c r="BA446" s="588" t="n"/>
      <c r="BB446" s="588" t="n"/>
      <c r="BC446" s="588" t="n"/>
      <c r="BD446" s="588" t="n"/>
      <c r="BE446" s="588" t="n"/>
      <c r="BF446" s="588" t="n"/>
      <c r="BG446" s="588" t="n"/>
      <c r="BH446" s="588" t="n"/>
      <c r="BI446" s="588" t="n"/>
      <c r="BJ446" s="588" t="n"/>
      <c r="BK446" s="588" t="n"/>
      <c r="BL446" s="588" t="n"/>
      <c r="BM446" s="588" t="n"/>
      <c r="BN446" s="588" t="n"/>
      <c r="BO446" s="588" t="n"/>
      <c r="BP446" s="588" t="n"/>
      <c r="BQ446" s="588" t="n"/>
      <c r="BR446" s="588" t="n"/>
      <c r="BS446" s="588" t="n"/>
      <c r="BT446" s="588" t="n"/>
      <c r="BU446" s="588" t="n"/>
      <c r="BV446" s="588" t="n"/>
      <c r="BW446" s="588" t="n"/>
      <c r="BX446" s="588" t="n"/>
      <c r="BY446" s="588" t="n"/>
      <c r="BZ446" s="588" t="n"/>
      <c r="CA446" s="588" t="n"/>
      <c r="CB446" s="588" t="n"/>
      <c r="CC446" s="588" t="n"/>
      <c r="CD446" s="588" t="n"/>
      <c r="CE446" s="588" t="n"/>
      <c r="CF446" s="588" t="n"/>
      <c r="CG446" s="588" t="n"/>
      <c r="CH446" s="588" t="n"/>
      <c r="CI446" s="588" t="n"/>
      <c r="CJ446" s="588" t="n"/>
      <c r="CK446" s="588" t="n"/>
      <c r="CL446" s="588" t="n"/>
      <c r="CM446" s="588" t="n"/>
      <c r="CN446" s="588" t="n"/>
      <c r="CO446" s="588" t="n"/>
      <c r="CP446" s="588" t="n"/>
      <c r="CQ446" s="588" t="n"/>
      <c r="CR446" s="588" t="n"/>
      <c r="CS446" s="588" t="n"/>
      <c r="CT446" s="588" t="n"/>
      <c r="CU446" s="588" t="n"/>
      <c r="CV446" s="588" t="n"/>
      <c r="CW446" s="588" t="n"/>
      <c r="CX446" s="588" t="n"/>
      <c r="CY446" s="588" t="n"/>
      <c r="CZ446" s="588" t="n"/>
      <c r="DA446" s="588" t="n"/>
      <c r="DB446" s="588" t="n"/>
      <c r="DC446" s="588" t="n"/>
      <c r="DD446" s="588" t="n"/>
      <c r="DE446" s="588" t="n"/>
      <c r="DF446" s="588" t="n"/>
      <c r="DG446" s="588" t="n"/>
      <c r="DH446" s="588" t="n"/>
      <c r="DI446" s="588" t="n"/>
      <c r="DJ446" s="588" t="n"/>
      <c r="DK446" s="588" t="n"/>
      <c r="DL446" s="588" t="n"/>
      <c r="DM446" s="588" t="n"/>
      <c r="DN446" s="588" t="n"/>
      <c r="DO446" s="588" t="n"/>
      <c r="DP446" s="588" t="n"/>
      <c r="DQ446" s="588" t="n"/>
      <c r="DR446" s="588" t="n"/>
      <c r="DS446" s="588" t="n"/>
      <c r="DT446" s="588" t="n"/>
      <c r="DU446" s="588" t="n"/>
    </row>
    <row r="447">
      <c r="A447" s="737" t="n"/>
      <c r="B447" s="737" t="n"/>
      <c r="C447" s="737" t="n"/>
      <c r="D447" s="737" t="n"/>
      <c r="E447" s="737" t="n"/>
      <c r="F447" s="737" t="n"/>
      <c r="G447" s="737" t="n"/>
      <c r="H447" s="737" t="n"/>
      <c r="I447" s="737" t="n"/>
      <c r="J447" s="737" t="n"/>
      <c r="K447" s="737" t="n"/>
      <c r="L447" s="737" t="n"/>
      <c r="M447" s="737" t="n"/>
      <c r="N447" s="737" t="n"/>
      <c r="O447" s="737" t="n"/>
      <c r="P447" s="737" t="n"/>
      <c r="Q447" s="737" t="n"/>
      <c r="R447" s="737" t="n"/>
      <c r="S447" s="737" t="n"/>
      <c r="T447" s="737" t="n"/>
      <c r="U447" s="737" t="n"/>
      <c r="V447" s="737" t="n"/>
      <c r="W447" s="737" t="n"/>
      <c r="X447" s="737" t="n"/>
      <c r="Y447" s="737" t="n"/>
      <c r="Z447" s="737" t="n"/>
      <c r="AA447" s="737" t="n"/>
      <c r="AB447" s="737" t="n"/>
      <c r="AC447" s="737" t="n"/>
      <c r="AD447" s="737" t="n"/>
      <c r="AE447" s="737" t="n"/>
      <c r="AF447" s="737" t="n"/>
      <c r="AG447" s="737" t="n"/>
      <c r="AH447" s="737" t="n"/>
      <c r="AI447" s="737" t="n"/>
      <c r="AJ447" s="737" t="n"/>
      <c r="AK447" s="588" t="n"/>
      <c r="AL447" s="588" t="n"/>
      <c r="AM447" s="588" t="n"/>
      <c r="AN447" s="588" t="n"/>
      <c r="AO447" s="588" t="n"/>
      <c r="AP447" s="588" t="n"/>
      <c r="AQ447" s="588" t="n"/>
      <c r="AR447" s="588" t="n"/>
      <c r="AS447" s="588" t="n"/>
      <c r="AT447" s="588" t="n"/>
      <c r="AU447" s="588" t="n"/>
      <c r="AV447" s="588" t="n"/>
      <c r="AW447" s="588" t="n"/>
      <c r="AX447" s="588" t="n"/>
      <c r="AY447" s="588" t="n"/>
      <c r="AZ447" s="588" t="n"/>
      <c r="BA447" s="588" t="n"/>
      <c r="BB447" s="588" t="n"/>
      <c r="BC447" s="588" t="n"/>
      <c r="BD447" s="588" t="n"/>
      <c r="BE447" s="588" t="n"/>
      <c r="BF447" s="588" t="n"/>
      <c r="BG447" s="588" t="n"/>
      <c r="BH447" s="588" t="n"/>
      <c r="BI447" s="588" t="n"/>
      <c r="BJ447" s="588" t="n"/>
      <c r="BK447" s="588" t="n"/>
      <c r="BL447" s="588" t="n"/>
      <c r="BM447" s="588" t="n"/>
      <c r="BN447" s="588" t="n"/>
      <c r="BO447" s="588" t="n"/>
      <c r="BP447" s="588" t="n"/>
      <c r="BQ447" s="588" t="n"/>
      <c r="BR447" s="588" t="n"/>
      <c r="BS447" s="588" t="n"/>
      <c r="BT447" s="588" t="n"/>
      <c r="BU447" s="588" t="n"/>
      <c r="BV447" s="588" t="n"/>
      <c r="BW447" s="588" t="n"/>
      <c r="BX447" s="588" t="n"/>
      <c r="BY447" s="588" t="n"/>
      <c r="BZ447" s="588" t="n"/>
      <c r="CA447" s="588" t="n"/>
      <c r="CB447" s="588" t="n"/>
      <c r="CC447" s="588" t="n"/>
      <c r="CD447" s="588" t="n"/>
      <c r="CE447" s="588" t="n"/>
      <c r="CF447" s="588" t="n"/>
      <c r="CG447" s="588" t="n"/>
      <c r="CH447" s="588" t="n"/>
      <c r="CI447" s="588" t="n"/>
      <c r="CJ447" s="588" t="n"/>
      <c r="CK447" s="588" t="n"/>
      <c r="CL447" s="588" t="n"/>
      <c r="CM447" s="588" t="n"/>
      <c r="CN447" s="588" t="n"/>
      <c r="CO447" s="588" t="n"/>
      <c r="CP447" s="588" t="n"/>
      <c r="CQ447" s="588" t="n"/>
      <c r="CR447" s="588" t="n"/>
      <c r="CS447" s="588" t="n"/>
      <c r="CT447" s="588" t="n"/>
      <c r="CU447" s="588" t="n"/>
      <c r="CV447" s="588" t="n"/>
      <c r="CW447" s="588" t="n"/>
      <c r="CX447" s="588" t="n"/>
      <c r="CY447" s="588" t="n"/>
      <c r="CZ447" s="588" t="n"/>
      <c r="DA447" s="588" t="n"/>
      <c r="DB447" s="588" t="n"/>
      <c r="DC447" s="588" t="n"/>
      <c r="DD447" s="588" t="n"/>
      <c r="DE447" s="588" t="n"/>
      <c r="DF447" s="588" t="n"/>
      <c r="DG447" s="588" t="n"/>
      <c r="DH447" s="588" t="n"/>
      <c r="DI447" s="588" t="n"/>
      <c r="DJ447" s="588" t="n"/>
      <c r="DK447" s="588" t="n"/>
      <c r="DL447" s="588" t="n"/>
      <c r="DM447" s="588" t="n"/>
      <c r="DN447" s="588" t="n"/>
      <c r="DO447" s="588" t="n"/>
      <c r="DP447" s="588" t="n"/>
      <c r="DQ447" s="588" t="n"/>
      <c r="DR447" s="588" t="n"/>
      <c r="DS447" s="588" t="n"/>
      <c r="DT447" s="588" t="n"/>
      <c r="DU447" s="588" t="n"/>
    </row>
    <row r="448">
      <c r="A448" s="737" t="n"/>
      <c r="B448" s="737" t="n"/>
      <c r="C448" s="737" t="n"/>
      <c r="D448" s="737" t="n"/>
      <c r="E448" s="737" t="n"/>
      <c r="F448" s="737" t="n"/>
      <c r="G448" s="737" t="n"/>
      <c r="H448" s="737" t="n"/>
      <c r="I448" s="737" t="n"/>
      <c r="J448" s="737" t="n"/>
      <c r="K448" s="737" t="n"/>
      <c r="L448" s="737" t="n"/>
      <c r="M448" s="737" t="n"/>
      <c r="N448" s="737" t="n"/>
      <c r="O448" s="737" t="n"/>
      <c r="P448" s="737" t="n"/>
      <c r="Q448" s="737" t="n"/>
      <c r="R448" s="737" t="n"/>
      <c r="S448" s="737" t="n"/>
      <c r="T448" s="737" t="n"/>
      <c r="U448" s="737" t="n"/>
      <c r="V448" s="737" t="n"/>
      <c r="W448" s="737" t="n"/>
      <c r="X448" s="737" t="n"/>
      <c r="Y448" s="737" t="n"/>
      <c r="Z448" s="737" t="n"/>
      <c r="AA448" s="737" t="n"/>
      <c r="AB448" s="737" t="n"/>
      <c r="AC448" s="737" t="n"/>
      <c r="AD448" s="737" t="n"/>
      <c r="AE448" s="737" t="n"/>
      <c r="AF448" s="737" t="n"/>
      <c r="AG448" s="737" t="n"/>
      <c r="AH448" s="737" t="n"/>
      <c r="AI448" s="737" t="n"/>
      <c r="AJ448" s="737" t="n"/>
      <c r="AK448" s="588" t="n"/>
      <c r="AL448" s="588" t="n"/>
      <c r="AM448" s="588" t="n"/>
      <c r="AN448" s="588" t="n"/>
      <c r="AO448" s="588" t="n"/>
      <c r="AP448" s="588" t="n"/>
      <c r="AQ448" s="588" t="n"/>
      <c r="AR448" s="588" t="n"/>
      <c r="AS448" s="588" t="n"/>
      <c r="AT448" s="588" t="n"/>
      <c r="AU448" s="588" t="n"/>
      <c r="AV448" s="588" t="n"/>
      <c r="AW448" s="588" t="n"/>
      <c r="AX448" s="588" t="n"/>
      <c r="AY448" s="588" t="n"/>
      <c r="AZ448" s="588" t="n"/>
      <c r="BA448" s="588" t="n"/>
      <c r="BB448" s="588" t="n"/>
      <c r="BC448" s="588" t="n"/>
      <c r="BD448" s="588" t="n"/>
      <c r="BE448" s="588" t="n"/>
      <c r="BF448" s="588" t="n"/>
      <c r="BG448" s="588" t="n"/>
      <c r="BH448" s="588" t="n"/>
      <c r="BI448" s="588" t="n"/>
      <c r="BJ448" s="588" t="n"/>
      <c r="BK448" s="588" t="n"/>
      <c r="BL448" s="588" t="n"/>
      <c r="BM448" s="588" t="n"/>
      <c r="BN448" s="588" t="n"/>
      <c r="BO448" s="588" t="n"/>
      <c r="BP448" s="588" t="n"/>
      <c r="BQ448" s="588" t="n"/>
      <c r="BR448" s="588" t="n"/>
      <c r="BS448" s="588" t="n"/>
      <c r="BT448" s="588" t="n"/>
      <c r="BU448" s="588" t="n"/>
      <c r="BV448" s="588" t="n"/>
      <c r="BW448" s="588" t="n"/>
      <c r="BX448" s="588" t="n"/>
      <c r="BY448" s="588" t="n"/>
      <c r="BZ448" s="588" t="n"/>
      <c r="CA448" s="588" t="n"/>
      <c r="CB448" s="588" t="n"/>
      <c r="CC448" s="588" t="n"/>
      <c r="CD448" s="588" t="n"/>
      <c r="CE448" s="588" t="n"/>
      <c r="CF448" s="588" t="n"/>
      <c r="CG448" s="588" t="n"/>
      <c r="CH448" s="588" t="n"/>
      <c r="CI448" s="588" t="n"/>
      <c r="CJ448" s="588" t="n"/>
      <c r="CK448" s="588" t="n"/>
      <c r="CL448" s="588" t="n"/>
      <c r="CM448" s="588" t="n"/>
      <c r="CN448" s="588" t="n"/>
      <c r="CO448" s="588" t="n"/>
      <c r="CP448" s="588" t="n"/>
      <c r="CQ448" s="588" t="n"/>
      <c r="CR448" s="588" t="n"/>
      <c r="CS448" s="588" t="n"/>
      <c r="CT448" s="588" t="n"/>
      <c r="CU448" s="588" t="n"/>
      <c r="CV448" s="588" t="n"/>
      <c r="CW448" s="588" t="n"/>
      <c r="CX448" s="588" t="n"/>
      <c r="CY448" s="588" t="n"/>
      <c r="CZ448" s="588" t="n"/>
      <c r="DA448" s="588" t="n"/>
      <c r="DB448" s="588" t="n"/>
      <c r="DC448" s="588" t="n"/>
      <c r="DD448" s="588" t="n"/>
      <c r="DE448" s="588" t="n"/>
      <c r="DF448" s="588" t="n"/>
      <c r="DG448" s="588" t="n"/>
      <c r="DH448" s="588" t="n"/>
      <c r="DI448" s="588" t="n"/>
      <c r="DJ448" s="588" t="n"/>
      <c r="DK448" s="588" t="n"/>
      <c r="DL448" s="588" t="n"/>
      <c r="DM448" s="588" t="n"/>
      <c r="DN448" s="588" t="n"/>
      <c r="DO448" s="588" t="n"/>
      <c r="DP448" s="588" t="n"/>
      <c r="DQ448" s="588" t="n"/>
      <c r="DR448" s="588" t="n"/>
      <c r="DS448" s="588" t="n"/>
      <c r="DT448" s="588" t="n"/>
      <c r="DU448" s="588" t="n"/>
    </row>
    <row r="449">
      <c r="A449" s="737" t="n"/>
      <c r="B449" s="737" t="n"/>
      <c r="C449" s="737" t="n"/>
      <c r="D449" s="737" t="n"/>
      <c r="E449" s="737" t="n"/>
      <c r="F449" s="737" t="n"/>
      <c r="G449" s="737" t="n"/>
      <c r="H449" s="737" t="n"/>
      <c r="I449" s="737" t="n"/>
      <c r="J449" s="737" t="n"/>
      <c r="K449" s="737" t="n"/>
      <c r="L449" s="737" t="n"/>
      <c r="M449" s="737" t="n"/>
      <c r="N449" s="737" t="n"/>
      <c r="O449" s="737" t="n"/>
      <c r="P449" s="737" t="n"/>
      <c r="Q449" s="737" t="n"/>
      <c r="R449" s="737" t="n"/>
      <c r="S449" s="737" t="n"/>
      <c r="T449" s="737" t="n"/>
      <c r="U449" s="737" t="n"/>
      <c r="V449" s="737" t="n"/>
      <c r="W449" s="737" t="n"/>
      <c r="X449" s="737" t="n"/>
      <c r="Y449" s="737" t="n"/>
      <c r="Z449" s="737" t="n"/>
      <c r="AA449" s="737" t="n"/>
      <c r="AB449" s="737" t="n"/>
      <c r="AC449" s="737" t="n"/>
      <c r="AD449" s="737" t="n"/>
      <c r="AE449" s="737" t="n"/>
      <c r="AF449" s="737" t="n"/>
      <c r="AG449" s="737" t="n"/>
      <c r="AH449" s="737" t="n"/>
      <c r="AI449" s="737" t="n"/>
      <c r="AJ449" s="737" t="n"/>
      <c r="AK449" s="588" t="n"/>
      <c r="AL449" s="588" t="n"/>
      <c r="AM449" s="588" t="n"/>
      <c r="AN449" s="588" t="n"/>
      <c r="AO449" s="588" t="n"/>
      <c r="AP449" s="588" t="n"/>
      <c r="AQ449" s="588" t="n"/>
      <c r="AR449" s="588" t="n"/>
      <c r="AS449" s="588" t="n"/>
      <c r="AT449" s="588" t="n"/>
      <c r="AU449" s="588" t="n"/>
      <c r="AV449" s="588" t="n"/>
      <c r="AW449" s="588" t="n"/>
      <c r="AX449" s="588" t="n"/>
      <c r="AY449" s="588" t="n"/>
      <c r="AZ449" s="588" t="n"/>
      <c r="BA449" s="588" t="n"/>
      <c r="BB449" s="588" t="n"/>
      <c r="BC449" s="588" t="n"/>
      <c r="BD449" s="588" t="n"/>
      <c r="BE449" s="588" t="n"/>
      <c r="BF449" s="588" t="n"/>
      <c r="BG449" s="588" t="n"/>
      <c r="BH449" s="588" t="n"/>
      <c r="BI449" s="588" t="n"/>
      <c r="BJ449" s="588" t="n"/>
      <c r="BK449" s="588" t="n"/>
      <c r="BL449" s="588" t="n"/>
      <c r="BM449" s="588" t="n"/>
      <c r="BN449" s="588" t="n"/>
      <c r="BO449" s="588" t="n"/>
      <c r="BP449" s="588" t="n"/>
      <c r="BQ449" s="588" t="n"/>
      <c r="BR449" s="588" t="n"/>
      <c r="BS449" s="588" t="n"/>
      <c r="BT449" s="588" t="n"/>
      <c r="BU449" s="588" t="n"/>
      <c r="BV449" s="588" t="n"/>
      <c r="BW449" s="588" t="n"/>
      <c r="BX449" s="588" t="n"/>
      <c r="BY449" s="588" t="n"/>
      <c r="BZ449" s="588" t="n"/>
      <c r="CA449" s="588" t="n"/>
      <c r="CB449" s="588" t="n"/>
      <c r="CC449" s="588" t="n"/>
      <c r="CD449" s="588" t="n"/>
      <c r="CE449" s="588" t="n"/>
      <c r="CF449" s="588" t="n"/>
      <c r="CG449" s="588" t="n"/>
      <c r="CH449" s="588" t="n"/>
      <c r="CI449" s="588" t="n"/>
      <c r="CJ449" s="588" t="n"/>
      <c r="CK449" s="588" t="n"/>
      <c r="CL449" s="588" t="n"/>
      <c r="CM449" s="588" t="n"/>
      <c r="CN449" s="588" t="n"/>
      <c r="CO449" s="588" t="n"/>
      <c r="CP449" s="588" t="n"/>
      <c r="CQ449" s="588" t="n"/>
      <c r="CR449" s="588" t="n"/>
      <c r="CS449" s="588" t="n"/>
      <c r="CT449" s="588" t="n"/>
      <c r="CU449" s="588" t="n"/>
      <c r="CV449" s="588" t="n"/>
      <c r="CW449" s="588" t="n"/>
      <c r="CX449" s="588" t="n"/>
      <c r="CY449" s="588" t="n"/>
      <c r="CZ449" s="588" t="n"/>
      <c r="DA449" s="588" t="n"/>
      <c r="DB449" s="588" t="n"/>
      <c r="DC449" s="588" t="n"/>
      <c r="DD449" s="588" t="n"/>
      <c r="DE449" s="588" t="n"/>
      <c r="DF449" s="588" t="n"/>
      <c r="DG449" s="588" t="n"/>
      <c r="DH449" s="588" t="n"/>
      <c r="DI449" s="588" t="n"/>
      <c r="DJ449" s="588" t="n"/>
      <c r="DK449" s="588" t="n"/>
      <c r="DL449" s="588" t="n"/>
      <c r="DM449" s="588" t="n"/>
      <c r="DN449" s="588" t="n"/>
      <c r="DO449" s="588" t="n"/>
      <c r="DP449" s="588" t="n"/>
      <c r="DQ449" s="588" t="n"/>
      <c r="DR449" s="588" t="n"/>
      <c r="DS449" s="588" t="n"/>
      <c r="DT449" s="588" t="n"/>
      <c r="DU449" s="588" t="n"/>
    </row>
    <row r="450">
      <c r="A450" s="737" t="n"/>
      <c r="B450" s="737" t="n"/>
      <c r="C450" s="737" t="n"/>
      <c r="D450" s="737" t="n"/>
      <c r="E450" s="737" t="n"/>
      <c r="F450" s="737" t="n"/>
      <c r="G450" s="737" t="n"/>
      <c r="H450" s="737" t="n"/>
      <c r="I450" s="737" t="n"/>
      <c r="J450" s="737" t="n"/>
      <c r="K450" s="737" t="n"/>
      <c r="L450" s="737" t="n"/>
      <c r="M450" s="737" t="n"/>
      <c r="N450" s="737" t="n"/>
      <c r="O450" s="737" t="n"/>
      <c r="P450" s="737" t="n"/>
      <c r="Q450" s="737" t="n"/>
      <c r="R450" s="737" t="n"/>
      <c r="S450" s="737" t="n"/>
      <c r="T450" s="737" t="n"/>
      <c r="U450" s="737" t="n"/>
      <c r="V450" s="737" t="n"/>
      <c r="W450" s="737" t="n"/>
      <c r="X450" s="737" t="n"/>
      <c r="Y450" s="737" t="n"/>
      <c r="Z450" s="737" t="n"/>
      <c r="AA450" s="737" t="n"/>
      <c r="AB450" s="737" t="n"/>
      <c r="AC450" s="737" t="n"/>
      <c r="AD450" s="737" t="n"/>
      <c r="AE450" s="737" t="n"/>
      <c r="AF450" s="737" t="n"/>
      <c r="AG450" s="737" t="n"/>
      <c r="AH450" s="737" t="n"/>
      <c r="AI450" s="737" t="n"/>
      <c r="AJ450" s="737" t="n"/>
      <c r="AK450" s="588" t="n"/>
      <c r="AL450" s="588" t="n"/>
      <c r="AM450" s="588" t="n"/>
      <c r="AN450" s="588" t="n"/>
      <c r="AO450" s="588" t="n"/>
      <c r="AP450" s="588" t="n"/>
      <c r="AQ450" s="588" t="n"/>
      <c r="AR450" s="588" t="n"/>
      <c r="AS450" s="588" t="n"/>
      <c r="AT450" s="588" t="n"/>
      <c r="AU450" s="588" t="n"/>
      <c r="AV450" s="588" t="n"/>
      <c r="AW450" s="588" t="n"/>
      <c r="AX450" s="588" t="n"/>
      <c r="AY450" s="588" t="n"/>
      <c r="AZ450" s="588" t="n"/>
      <c r="BA450" s="588" t="n"/>
      <c r="BB450" s="588" t="n"/>
      <c r="BC450" s="588" t="n"/>
      <c r="BD450" s="588" t="n"/>
      <c r="BE450" s="588" t="n"/>
      <c r="BF450" s="588" t="n"/>
      <c r="BG450" s="588" t="n"/>
      <c r="BH450" s="588" t="n"/>
      <c r="BI450" s="588" t="n"/>
      <c r="BJ450" s="588" t="n"/>
      <c r="BK450" s="588" t="n"/>
      <c r="BL450" s="588" t="n"/>
      <c r="BM450" s="588" t="n"/>
      <c r="BN450" s="588" t="n"/>
      <c r="BO450" s="588" t="n"/>
      <c r="BP450" s="588" t="n"/>
      <c r="BQ450" s="588" t="n"/>
      <c r="BR450" s="588" t="n"/>
      <c r="BS450" s="588" t="n"/>
      <c r="BT450" s="588" t="n"/>
      <c r="BU450" s="588" t="n"/>
      <c r="BV450" s="588" t="n"/>
      <c r="BW450" s="588" t="n"/>
      <c r="BX450" s="588" t="n"/>
      <c r="BY450" s="588" t="n"/>
      <c r="BZ450" s="588" t="n"/>
      <c r="CA450" s="588" t="n"/>
      <c r="CB450" s="588" t="n"/>
      <c r="CC450" s="588" t="n"/>
      <c r="CD450" s="588" t="n"/>
      <c r="CE450" s="588" t="n"/>
      <c r="CF450" s="588" t="n"/>
      <c r="CG450" s="588" t="n"/>
      <c r="CH450" s="588" t="n"/>
      <c r="CI450" s="588" t="n"/>
      <c r="CJ450" s="588" t="n"/>
      <c r="CK450" s="588" t="n"/>
      <c r="CL450" s="588" t="n"/>
      <c r="CM450" s="588" t="n"/>
      <c r="CN450" s="588" t="n"/>
      <c r="CO450" s="588" t="n"/>
      <c r="CP450" s="588" t="n"/>
      <c r="CQ450" s="588" t="n"/>
      <c r="CR450" s="588" t="n"/>
      <c r="CS450" s="588" t="n"/>
      <c r="CT450" s="588" t="n"/>
      <c r="CU450" s="588" t="n"/>
      <c r="CV450" s="588" t="n"/>
      <c r="CW450" s="588" t="n"/>
      <c r="CX450" s="588" t="n"/>
      <c r="CY450" s="588" t="n"/>
      <c r="CZ450" s="588" t="n"/>
      <c r="DA450" s="588" t="n"/>
      <c r="DB450" s="588" t="n"/>
      <c r="DC450" s="588" t="n"/>
      <c r="DD450" s="588" t="n"/>
      <c r="DE450" s="588" t="n"/>
      <c r="DF450" s="588" t="n"/>
      <c r="DG450" s="588" t="n"/>
      <c r="DH450" s="588" t="n"/>
      <c r="DI450" s="588" t="n"/>
      <c r="DJ450" s="588" t="n"/>
      <c r="DK450" s="588" t="n"/>
      <c r="DL450" s="588" t="n"/>
      <c r="DM450" s="588" t="n"/>
      <c r="DN450" s="588" t="n"/>
      <c r="DO450" s="588" t="n"/>
      <c r="DP450" s="588" t="n"/>
      <c r="DQ450" s="588" t="n"/>
      <c r="DR450" s="588" t="n"/>
      <c r="DS450" s="588" t="n"/>
      <c r="DT450" s="588" t="n"/>
      <c r="DU450" s="588" t="n"/>
    </row>
    <row r="451">
      <c r="A451" s="737" t="n"/>
      <c r="B451" s="737" t="n"/>
      <c r="C451" s="737" t="n"/>
      <c r="D451" s="737" t="n"/>
      <c r="E451" s="737" t="n"/>
      <c r="F451" s="737" t="n"/>
      <c r="G451" s="737" t="n"/>
      <c r="H451" s="737" t="n"/>
      <c r="I451" s="737" t="n"/>
      <c r="J451" s="737" t="n"/>
      <c r="K451" s="737" t="n"/>
      <c r="L451" s="737" t="n"/>
      <c r="M451" s="737" t="n"/>
      <c r="N451" s="737" t="n"/>
      <c r="O451" s="737" t="n"/>
      <c r="P451" s="737" t="n"/>
      <c r="Q451" s="737" t="n"/>
      <c r="R451" s="737" t="n"/>
      <c r="S451" s="737" t="n"/>
      <c r="T451" s="737" t="n"/>
      <c r="U451" s="737" t="n"/>
      <c r="V451" s="737" t="n"/>
      <c r="W451" s="737" t="n"/>
      <c r="X451" s="737" t="n"/>
      <c r="Y451" s="737" t="n"/>
      <c r="Z451" s="737" t="n"/>
      <c r="AA451" s="737" t="n"/>
      <c r="AB451" s="737" t="n"/>
      <c r="AC451" s="737" t="n"/>
      <c r="AD451" s="737" t="n"/>
      <c r="AE451" s="737" t="n"/>
      <c r="AF451" s="737" t="n"/>
      <c r="AG451" s="737" t="n"/>
      <c r="AH451" s="737" t="n"/>
      <c r="AI451" s="737" t="n"/>
      <c r="AJ451" s="737" t="n"/>
      <c r="AK451" s="588" t="n"/>
      <c r="AL451" s="588" t="n"/>
      <c r="AM451" s="588" t="n"/>
      <c r="AN451" s="588" t="n"/>
      <c r="AO451" s="588" t="n"/>
      <c r="AP451" s="588" t="n"/>
      <c r="AQ451" s="588" t="n"/>
      <c r="AR451" s="588" t="n"/>
      <c r="AS451" s="588" t="n"/>
      <c r="AT451" s="588" t="n"/>
      <c r="AU451" s="588" t="n"/>
      <c r="AV451" s="588" t="n"/>
      <c r="AW451" s="588" t="n"/>
      <c r="AX451" s="588" t="n"/>
      <c r="AY451" s="588" t="n"/>
      <c r="AZ451" s="588" t="n"/>
      <c r="BA451" s="588" t="n"/>
      <c r="BB451" s="588" t="n"/>
      <c r="BC451" s="588" t="n"/>
      <c r="BD451" s="588" t="n"/>
      <c r="BE451" s="588" t="n"/>
      <c r="BF451" s="588" t="n"/>
      <c r="BG451" s="588" t="n"/>
      <c r="BH451" s="588" t="n"/>
      <c r="BI451" s="588" t="n"/>
      <c r="BJ451" s="588" t="n"/>
      <c r="BK451" s="588" t="n"/>
      <c r="BL451" s="588" t="n"/>
      <c r="BM451" s="588" t="n"/>
      <c r="BN451" s="588" t="n"/>
      <c r="BO451" s="588" t="n"/>
      <c r="BP451" s="588" t="n"/>
      <c r="BQ451" s="588" t="n"/>
      <c r="BR451" s="588" t="n"/>
      <c r="BS451" s="588" t="n"/>
      <c r="BT451" s="588" t="n"/>
      <c r="BU451" s="588" t="n"/>
      <c r="BV451" s="588" t="n"/>
      <c r="BW451" s="588" t="n"/>
      <c r="BX451" s="588" t="n"/>
      <c r="BY451" s="588" t="n"/>
      <c r="BZ451" s="588" t="n"/>
      <c r="CA451" s="588" t="n"/>
      <c r="CB451" s="588" t="n"/>
      <c r="CC451" s="588" t="n"/>
      <c r="CD451" s="588" t="n"/>
      <c r="CE451" s="588" t="n"/>
      <c r="CF451" s="588" t="n"/>
      <c r="CG451" s="588" t="n"/>
      <c r="CH451" s="588" t="n"/>
      <c r="CI451" s="588" t="n"/>
      <c r="CJ451" s="588" t="n"/>
      <c r="CK451" s="588" t="n"/>
      <c r="CL451" s="588" t="n"/>
      <c r="CM451" s="588" t="n"/>
      <c r="CN451" s="588" t="n"/>
      <c r="CO451" s="588" t="n"/>
      <c r="CP451" s="588" t="n"/>
      <c r="CQ451" s="588" t="n"/>
      <c r="CR451" s="588" t="n"/>
      <c r="CS451" s="588" t="n"/>
      <c r="CT451" s="588" t="n"/>
      <c r="CU451" s="588" t="n"/>
      <c r="CV451" s="588" t="n"/>
      <c r="CW451" s="588" t="n"/>
      <c r="CX451" s="588" t="n"/>
      <c r="CY451" s="588" t="n"/>
      <c r="CZ451" s="588" t="n"/>
      <c r="DA451" s="588" t="n"/>
      <c r="DB451" s="588" t="n"/>
      <c r="DC451" s="588" t="n"/>
      <c r="DD451" s="588" t="n"/>
      <c r="DE451" s="588" t="n"/>
      <c r="DF451" s="588" t="n"/>
      <c r="DG451" s="588" t="n"/>
      <c r="DH451" s="588" t="n"/>
      <c r="DI451" s="588" t="n"/>
      <c r="DJ451" s="588" t="n"/>
      <c r="DK451" s="588" t="n"/>
      <c r="DL451" s="588" t="n"/>
      <c r="DM451" s="588" t="n"/>
      <c r="DN451" s="588" t="n"/>
      <c r="DO451" s="588" t="n"/>
      <c r="DP451" s="588" t="n"/>
      <c r="DQ451" s="588" t="n"/>
      <c r="DR451" s="588" t="n"/>
      <c r="DS451" s="588" t="n"/>
      <c r="DT451" s="588" t="n"/>
      <c r="DU451" s="588" t="n"/>
    </row>
    <row r="452">
      <c r="A452" s="737" t="n"/>
      <c r="B452" s="737" t="n"/>
      <c r="C452" s="737" t="n"/>
      <c r="D452" s="737" t="n"/>
      <c r="E452" s="737" t="n"/>
      <c r="F452" s="737" t="n"/>
      <c r="G452" s="737" t="n"/>
      <c r="H452" s="737" t="n"/>
      <c r="I452" s="737" t="n"/>
      <c r="J452" s="737" t="n"/>
      <c r="K452" s="737" t="n"/>
      <c r="L452" s="737" t="n"/>
      <c r="M452" s="737" t="n"/>
      <c r="N452" s="737" t="n"/>
      <c r="O452" s="737" t="n"/>
      <c r="P452" s="737" t="n"/>
      <c r="Q452" s="737" t="n"/>
      <c r="R452" s="737" t="n"/>
      <c r="S452" s="737" t="n"/>
      <c r="T452" s="737" t="n"/>
      <c r="U452" s="737" t="n"/>
      <c r="V452" s="737" t="n"/>
      <c r="W452" s="737" t="n"/>
      <c r="X452" s="737" t="n"/>
      <c r="Y452" s="737" t="n"/>
      <c r="Z452" s="737" t="n"/>
      <c r="AA452" s="737" t="n"/>
      <c r="AB452" s="737" t="n"/>
      <c r="AC452" s="737" t="n"/>
      <c r="AD452" s="737" t="n"/>
      <c r="AE452" s="737" t="n"/>
      <c r="AF452" s="737" t="n"/>
      <c r="AG452" s="737" t="n"/>
      <c r="AH452" s="737" t="n"/>
      <c r="AI452" s="737" t="n"/>
      <c r="AJ452" s="737" t="n"/>
      <c r="AK452" s="588" t="n"/>
      <c r="AL452" s="588" t="n"/>
      <c r="AM452" s="588" t="n"/>
      <c r="AN452" s="588" t="n"/>
      <c r="AO452" s="588" t="n"/>
      <c r="AP452" s="588" t="n"/>
      <c r="AQ452" s="588" t="n"/>
      <c r="AR452" s="588" t="n"/>
      <c r="AS452" s="588" t="n"/>
      <c r="AT452" s="588" t="n"/>
      <c r="AU452" s="588" t="n"/>
      <c r="AV452" s="588" t="n"/>
      <c r="AW452" s="588" t="n"/>
      <c r="AX452" s="588" t="n"/>
      <c r="AY452" s="588" t="n"/>
      <c r="AZ452" s="588" t="n"/>
      <c r="BA452" s="588" t="n"/>
      <c r="BB452" s="588" t="n"/>
      <c r="BC452" s="588" t="n"/>
      <c r="BD452" s="588" t="n"/>
      <c r="BE452" s="588" t="n"/>
      <c r="BF452" s="588" t="n"/>
      <c r="BG452" s="588" t="n"/>
      <c r="BH452" s="588" t="n"/>
      <c r="BI452" s="588" t="n"/>
      <c r="BJ452" s="588" t="n"/>
      <c r="BK452" s="588" t="n"/>
      <c r="BL452" s="588" t="n"/>
      <c r="BM452" s="588" t="n"/>
      <c r="BN452" s="588" t="n"/>
      <c r="BO452" s="588" t="n"/>
      <c r="BP452" s="588" t="n"/>
      <c r="BQ452" s="588" t="n"/>
      <c r="BR452" s="588" t="n"/>
      <c r="BS452" s="588" t="n"/>
      <c r="BT452" s="588" t="n"/>
      <c r="BU452" s="588" t="n"/>
      <c r="BV452" s="588" t="n"/>
      <c r="BW452" s="588" t="n"/>
      <c r="BX452" s="588" t="n"/>
      <c r="BY452" s="588" t="n"/>
      <c r="BZ452" s="588" t="n"/>
      <c r="CA452" s="588" t="n"/>
      <c r="CB452" s="588" t="n"/>
      <c r="CC452" s="588" t="n"/>
      <c r="CD452" s="588" t="n"/>
      <c r="CE452" s="588" t="n"/>
      <c r="CF452" s="588" t="n"/>
      <c r="CG452" s="588" t="n"/>
      <c r="CH452" s="588" t="n"/>
      <c r="CI452" s="588" t="n"/>
      <c r="CJ452" s="588" t="n"/>
      <c r="CK452" s="588" t="n"/>
      <c r="CL452" s="588" t="n"/>
      <c r="CM452" s="588" t="n"/>
      <c r="CN452" s="588" t="n"/>
      <c r="CO452" s="588" t="n"/>
      <c r="CP452" s="588" t="n"/>
      <c r="CQ452" s="588" t="n"/>
      <c r="CR452" s="588" t="n"/>
      <c r="CS452" s="588" t="n"/>
      <c r="CT452" s="588" t="n"/>
      <c r="CU452" s="588" t="n"/>
      <c r="CV452" s="588" t="n"/>
      <c r="CW452" s="588" t="n"/>
      <c r="CX452" s="588" t="n"/>
      <c r="CY452" s="588" t="n"/>
      <c r="CZ452" s="588" t="n"/>
      <c r="DA452" s="588" t="n"/>
      <c r="DB452" s="588" t="n"/>
      <c r="DC452" s="588" t="n"/>
      <c r="DD452" s="588" t="n"/>
      <c r="DE452" s="588" t="n"/>
      <c r="DF452" s="588" t="n"/>
      <c r="DG452" s="588" t="n"/>
      <c r="DH452" s="588" t="n"/>
      <c r="DI452" s="588" t="n"/>
      <c r="DJ452" s="588" t="n"/>
      <c r="DK452" s="588" t="n"/>
      <c r="DL452" s="588" t="n"/>
      <c r="DM452" s="588" t="n"/>
      <c r="DN452" s="588" t="n"/>
      <c r="DO452" s="588" t="n"/>
      <c r="DP452" s="588" t="n"/>
      <c r="DQ452" s="588" t="n"/>
      <c r="DR452" s="588" t="n"/>
      <c r="DS452" s="588" t="n"/>
      <c r="DT452" s="588" t="n"/>
      <c r="DU452" s="588" t="n"/>
    </row>
    <row r="453">
      <c r="A453" s="737" t="n"/>
      <c r="B453" s="737" t="n"/>
      <c r="C453" s="737" t="n"/>
      <c r="D453" s="737" t="n"/>
      <c r="E453" s="737" t="n"/>
      <c r="F453" s="737" t="n"/>
      <c r="G453" s="737" t="n"/>
      <c r="H453" s="737" t="n"/>
      <c r="I453" s="737" t="n"/>
      <c r="J453" s="737" t="n"/>
      <c r="K453" s="737" t="n"/>
      <c r="L453" s="737" t="n"/>
      <c r="M453" s="737" t="n"/>
      <c r="N453" s="737" t="n"/>
      <c r="O453" s="737" t="n"/>
      <c r="P453" s="737" t="n"/>
      <c r="Q453" s="737" t="n"/>
      <c r="R453" s="737" t="n"/>
      <c r="S453" s="737" t="n"/>
      <c r="T453" s="737" t="n"/>
      <c r="U453" s="737" t="n"/>
      <c r="V453" s="737" t="n"/>
      <c r="W453" s="737" t="n"/>
      <c r="X453" s="737" t="n"/>
      <c r="Y453" s="737" t="n"/>
      <c r="Z453" s="737" t="n"/>
      <c r="AA453" s="737" t="n"/>
      <c r="AB453" s="737" t="n"/>
      <c r="AC453" s="737" t="n"/>
      <c r="AD453" s="737" t="n"/>
      <c r="AE453" s="737" t="n"/>
      <c r="AF453" s="737" t="n"/>
      <c r="AG453" s="737" t="n"/>
      <c r="AH453" s="737" t="n"/>
      <c r="AI453" s="737" t="n"/>
      <c r="AJ453" s="737" t="n"/>
      <c r="AK453" s="588" t="n"/>
      <c r="AL453" s="588" t="n"/>
      <c r="AM453" s="588" t="n"/>
      <c r="AN453" s="588" t="n"/>
      <c r="AO453" s="588" t="n"/>
      <c r="AP453" s="588" t="n"/>
      <c r="AQ453" s="588" t="n"/>
      <c r="AR453" s="588" t="n"/>
      <c r="AS453" s="588" t="n"/>
      <c r="AT453" s="588" t="n"/>
      <c r="AU453" s="588" t="n"/>
      <c r="AV453" s="588" t="n"/>
      <c r="AW453" s="588" t="n"/>
      <c r="AX453" s="588" t="n"/>
      <c r="AY453" s="588" t="n"/>
      <c r="AZ453" s="588" t="n"/>
      <c r="BA453" s="588" t="n"/>
      <c r="BB453" s="588" t="n"/>
      <c r="BC453" s="588" t="n"/>
      <c r="BD453" s="588" t="n"/>
      <c r="BE453" s="588" t="n"/>
      <c r="BF453" s="588" t="n"/>
      <c r="BG453" s="588" t="n"/>
      <c r="BH453" s="588" t="n"/>
      <c r="BI453" s="588" t="n"/>
      <c r="BJ453" s="588" t="n"/>
      <c r="BK453" s="588" t="n"/>
      <c r="BL453" s="588" t="n"/>
      <c r="BM453" s="588" t="n"/>
      <c r="BN453" s="588" t="n"/>
      <c r="BO453" s="588" t="n"/>
      <c r="BP453" s="588" t="n"/>
      <c r="BQ453" s="588" t="n"/>
      <c r="BR453" s="588" t="n"/>
      <c r="BS453" s="588" t="n"/>
      <c r="BT453" s="588" t="n"/>
      <c r="BU453" s="588" t="n"/>
      <c r="BV453" s="588" t="n"/>
      <c r="BW453" s="588" t="n"/>
      <c r="BX453" s="588" t="n"/>
      <c r="BY453" s="588" t="n"/>
      <c r="BZ453" s="588" t="n"/>
      <c r="CA453" s="588" t="n"/>
      <c r="CB453" s="588" t="n"/>
      <c r="CC453" s="588" t="n"/>
      <c r="CD453" s="588" t="n"/>
      <c r="CE453" s="588" t="n"/>
      <c r="CF453" s="588" t="n"/>
      <c r="CG453" s="588" t="n"/>
      <c r="CH453" s="588" t="n"/>
      <c r="CI453" s="588" t="n"/>
      <c r="CJ453" s="588" t="n"/>
      <c r="CK453" s="588" t="n"/>
      <c r="CL453" s="588" t="n"/>
      <c r="CM453" s="588" t="n"/>
      <c r="CN453" s="588" t="n"/>
      <c r="CO453" s="588" t="n"/>
      <c r="CP453" s="588" t="n"/>
      <c r="CQ453" s="588" t="n"/>
      <c r="CR453" s="588" t="n"/>
      <c r="CS453" s="588" t="n"/>
      <c r="CT453" s="588" t="n"/>
      <c r="CU453" s="588" t="n"/>
      <c r="CV453" s="588" t="n"/>
      <c r="CW453" s="588" t="n"/>
      <c r="CX453" s="588" t="n"/>
      <c r="CY453" s="588" t="n"/>
      <c r="CZ453" s="588" t="n"/>
      <c r="DA453" s="588" t="n"/>
      <c r="DB453" s="588" t="n"/>
      <c r="DC453" s="588" t="n"/>
      <c r="DD453" s="588" t="n"/>
      <c r="DE453" s="588" t="n"/>
      <c r="DF453" s="588" t="n"/>
      <c r="DG453" s="588" t="n"/>
      <c r="DH453" s="588" t="n"/>
      <c r="DI453" s="588" t="n"/>
      <c r="DJ453" s="588" t="n"/>
      <c r="DK453" s="588" t="n"/>
      <c r="DL453" s="588" t="n"/>
      <c r="DM453" s="588" t="n"/>
      <c r="DN453" s="588" t="n"/>
      <c r="DO453" s="588" t="n"/>
      <c r="DP453" s="588" t="n"/>
      <c r="DQ453" s="588" t="n"/>
      <c r="DR453" s="588" t="n"/>
      <c r="DS453" s="588" t="n"/>
      <c r="DT453" s="588" t="n"/>
      <c r="DU453" s="588" t="n"/>
    </row>
    <row r="454">
      <c r="A454" s="737" t="n"/>
      <c r="B454" s="737" t="n"/>
      <c r="C454" s="737" t="n"/>
      <c r="D454" s="737" t="n"/>
      <c r="E454" s="737" t="n"/>
      <c r="F454" s="737" t="n"/>
      <c r="G454" s="737" t="n"/>
      <c r="H454" s="737" t="n"/>
      <c r="I454" s="737" t="n"/>
      <c r="J454" s="737" t="n"/>
      <c r="K454" s="737" t="n"/>
      <c r="L454" s="737" t="n"/>
      <c r="M454" s="737" t="n"/>
      <c r="N454" s="737" t="n"/>
      <c r="O454" s="737" t="n"/>
      <c r="P454" s="737" t="n"/>
      <c r="Q454" s="737" t="n"/>
      <c r="R454" s="737" t="n"/>
      <c r="S454" s="737" t="n"/>
      <c r="T454" s="737" t="n"/>
      <c r="U454" s="737" t="n"/>
      <c r="V454" s="737" t="n"/>
      <c r="W454" s="737" t="n"/>
      <c r="X454" s="737" t="n"/>
      <c r="Y454" s="737" t="n"/>
      <c r="Z454" s="737" t="n"/>
      <c r="AA454" s="737" t="n"/>
      <c r="AB454" s="737" t="n"/>
      <c r="AC454" s="737" t="n"/>
      <c r="AD454" s="737" t="n"/>
      <c r="AE454" s="737" t="n"/>
      <c r="AF454" s="737" t="n"/>
      <c r="AG454" s="737" t="n"/>
      <c r="AH454" s="737" t="n"/>
      <c r="AI454" s="737" t="n"/>
      <c r="AJ454" s="737" t="n"/>
      <c r="AK454" s="588" t="n"/>
      <c r="AL454" s="588" t="n"/>
      <c r="AM454" s="588" t="n"/>
      <c r="AN454" s="588" t="n"/>
      <c r="AO454" s="588" t="n"/>
      <c r="AP454" s="588" t="n"/>
      <c r="AQ454" s="588" t="n"/>
      <c r="AR454" s="588" t="n"/>
      <c r="AS454" s="588" t="n"/>
      <c r="AT454" s="588" t="n"/>
      <c r="AU454" s="588" t="n"/>
      <c r="AV454" s="588" t="n"/>
      <c r="AW454" s="588" t="n"/>
      <c r="AX454" s="588" t="n"/>
      <c r="AY454" s="588" t="n"/>
      <c r="AZ454" s="588" t="n"/>
      <c r="BA454" s="588" t="n"/>
      <c r="BB454" s="588" t="n"/>
      <c r="BC454" s="588" t="n"/>
      <c r="BD454" s="588" t="n"/>
      <c r="BE454" s="588" t="n"/>
      <c r="BF454" s="588" t="n"/>
      <c r="BG454" s="588" t="n"/>
      <c r="BH454" s="588" t="n"/>
      <c r="BI454" s="588" t="n"/>
      <c r="BJ454" s="588" t="n"/>
      <c r="BK454" s="588" t="n"/>
      <c r="BL454" s="588" t="n"/>
      <c r="BM454" s="588" t="n"/>
      <c r="BN454" s="588" t="n"/>
      <c r="BO454" s="588" t="n"/>
      <c r="BP454" s="588" t="n"/>
      <c r="BQ454" s="588" t="n"/>
      <c r="BR454" s="588" t="n"/>
      <c r="BS454" s="588" t="n"/>
      <c r="BT454" s="588" t="n"/>
      <c r="BU454" s="588" t="n"/>
      <c r="BV454" s="588" t="n"/>
      <c r="BW454" s="588" t="n"/>
      <c r="BX454" s="588" t="n"/>
      <c r="BY454" s="588" t="n"/>
      <c r="BZ454" s="588" t="n"/>
      <c r="CA454" s="588" t="n"/>
      <c r="CB454" s="588" t="n"/>
      <c r="CC454" s="588" t="n"/>
      <c r="CD454" s="588" t="n"/>
      <c r="CE454" s="588" t="n"/>
      <c r="CF454" s="588" t="n"/>
      <c r="CG454" s="588" t="n"/>
      <c r="CH454" s="588" t="n"/>
      <c r="CI454" s="588" t="n"/>
      <c r="CJ454" s="588" t="n"/>
      <c r="CK454" s="588" t="n"/>
      <c r="CL454" s="588" t="n"/>
      <c r="CM454" s="588" t="n"/>
      <c r="CN454" s="588" t="n"/>
      <c r="CO454" s="588" t="n"/>
      <c r="CP454" s="588" t="n"/>
      <c r="CQ454" s="588" t="n"/>
      <c r="CR454" s="588" t="n"/>
      <c r="CS454" s="588" t="n"/>
      <c r="CT454" s="588" t="n"/>
      <c r="CU454" s="588" t="n"/>
      <c r="CV454" s="588" t="n"/>
      <c r="CW454" s="588" t="n"/>
      <c r="CX454" s="588" t="n"/>
      <c r="CY454" s="588" t="n"/>
      <c r="CZ454" s="588" t="n"/>
      <c r="DA454" s="588" t="n"/>
      <c r="DB454" s="588" t="n"/>
      <c r="DC454" s="588" t="n"/>
      <c r="DD454" s="588" t="n"/>
      <c r="DE454" s="588" t="n"/>
      <c r="DF454" s="588" t="n"/>
      <c r="DG454" s="588" t="n"/>
      <c r="DH454" s="588" t="n"/>
      <c r="DI454" s="588" t="n"/>
      <c r="DJ454" s="588" t="n"/>
      <c r="DK454" s="588" t="n"/>
      <c r="DL454" s="588" t="n"/>
      <c r="DM454" s="588" t="n"/>
      <c r="DN454" s="588" t="n"/>
      <c r="DO454" s="588" t="n"/>
      <c r="DP454" s="588" t="n"/>
      <c r="DQ454" s="588" t="n"/>
      <c r="DR454" s="588" t="n"/>
      <c r="DS454" s="588" t="n"/>
      <c r="DT454" s="588" t="n"/>
      <c r="DU454" s="588" t="n"/>
    </row>
    <row r="455">
      <c r="A455" s="737" t="n"/>
      <c r="B455" s="737" t="n"/>
      <c r="C455" s="737" t="n"/>
      <c r="D455" s="737" t="n"/>
      <c r="E455" s="737" t="n"/>
      <c r="F455" s="737" t="n"/>
      <c r="G455" s="737" t="n"/>
      <c r="H455" s="737" t="n"/>
      <c r="I455" s="737" t="n"/>
      <c r="J455" s="737" t="n"/>
      <c r="K455" s="737" t="n"/>
      <c r="L455" s="737" t="n"/>
      <c r="M455" s="737" t="n"/>
      <c r="N455" s="737" t="n"/>
      <c r="O455" s="737" t="n"/>
      <c r="P455" s="737" t="n"/>
      <c r="Q455" s="737" t="n"/>
      <c r="R455" s="737" t="n"/>
      <c r="S455" s="737" t="n"/>
      <c r="T455" s="737" t="n"/>
      <c r="U455" s="737" t="n"/>
      <c r="V455" s="737" t="n"/>
      <c r="W455" s="737" t="n"/>
      <c r="X455" s="737" t="n"/>
      <c r="Y455" s="737" t="n"/>
      <c r="Z455" s="737" t="n"/>
      <c r="AA455" s="737" t="n"/>
      <c r="AB455" s="737" t="n"/>
      <c r="AC455" s="737" t="n"/>
      <c r="AD455" s="737" t="n"/>
      <c r="AE455" s="737" t="n"/>
      <c r="AF455" s="737" t="n"/>
      <c r="AG455" s="737" t="n"/>
      <c r="AH455" s="737" t="n"/>
      <c r="AI455" s="737" t="n"/>
      <c r="AJ455" s="737" t="n"/>
      <c r="AK455" s="588" t="n"/>
      <c r="AL455" s="588" t="n"/>
      <c r="AM455" s="588" t="n"/>
      <c r="AN455" s="588" t="n"/>
      <c r="AO455" s="588" t="n"/>
      <c r="AP455" s="588" t="n"/>
      <c r="AQ455" s="588" t="n"/>
      <c r="AR455" s="588" t="n"/>
      <c r="AS455" s="588" t="n"/>
      <c r="AT455" s="588" t="n"/>
      <c r="AU455" s="588" t="n"/>
      <c r="AV455" s="588" t="n"/>
      <c r="AW455" s="588" t="n"/>
      <c r="AX455" s="588" t="n"/>
      <c r="AY455" s="588" t="n"/>
      <c r="AZ455" s="588" t="n"/>
      <c r="BA455" s="588" t="n"/>
      <c r="BB455" s="588" t="n"/>
      <c r="BC455" s="588" t="n"/>
      <c r="BD455" s="588" t="n"/>
      <c r="BE455" s="588" t="n"/>
      <c r="BF455" s="588" t="n"/>
      <c r="BG455" s="588" t="n"/>
      <c r="BH455" s="588" t="n"/>
      <c r="BI455" s="588" t="n"/>
      <c r="BJ455" s="588" t="n"/>
      <c r="BK455" s="588" t="n"/>
      <c r="BL455" s="588" t="n"/>
      <c r="BM455" s="588" t="n"/>
      <c r="BN455" s="588" t="n"/>
      <c r="BO455" s="588" t="n"/>
      <c r="BP455" s="588" t="n"/>
      <c r="BQ455" s="588" t="n"/>
      <c r="BR455" s="588" t="n"/>
      <c r="BS455" s="588" t="n"/>
      <c r="BT455" s="588" t="n"/>
      <c r="BU455" s="588" t="n"/>
      <c r="BV455" s="588" t="n"/>
      <c r="BW455" s="588" t="n"/>
      <c r="BX455" s="588" t="n"/>
      <c r="BY455" s="588" t="n"/>
      <c r="BZ455" s="588" t="n"/>
      <c r="CA455" s="588" t="n"/>
      <c r="CB455" s="588" t="n"/>
      <c r="CC455" s="588" t="n"/>
      <c r="CD455" s="588" t="n"/>
      <c r="CE455" s="588" t="n"/>
      <c r="CF455" s="588" t="n"/>
      <c r="CG455" s="588" t="n"/>
      <c r="CH455" s="588" t="n"/>
      <c r="CI455" s="588" t="n"/>
      <c r="CJ455" s="588" t="n"/>
      <c r="CK455" s="588" t="n"/>
      <c r="CL455" s="588" t="n"/>
      <c r="CM455" s="588" t="n"/>
      <c r="CN455" s="588" t="n"/>
      <c r="CO455" s="588" t="n"/>
      <c r="CP455" s="588" t="n"/>
      <c r="CQ455" s="588" t="n"/>
      <c r="CR455" s="588" t="n"/>
      <c r="CS455" s="588" t="n"/>
      <c r="CT455" s="588" t="n"/>
      <c r="CU455" s="588" t="n"/>
      <c r="CV455" s="588" t="n"/>
      <c r="CW455" s="588" t="n"/>
      <c r="CX455" s="588" t="n"/>
      <c r="CY455" s="588" t="n"/>
      <c r="CZ455" s="588" t="n"/>
      <c r="DA455" s="588" t="n"/>
      <c r="DB455" s="588" t="n"/>
      <c r="DC455" s="588" t="n"/>
      <c r="DD455" s="588" t="n"/>
      <c r="DE455" s="588" t="n"/>
      <c r="DF455" s="588" t="n"/>
      <c r="DG455" s="588" t="n"/>
      <c r="DH455" s="588" t="n"/>
      <c r="DI455" s="588" t="n"/>
      <c r="DJ455" s="588" t="n"/>
      <c r="DK455" s="588" t="n"/>
      <c r="DL455" s="588" t="n"/>
      <c r="DM455" s="588" t="n"/>
      <c r="DN455" s="588" t="n"/>
      <c r="DO455" s="588" t="n"/>
      <c r="DP455" s="588" t="n"/>
      <c r="DQ455" s="588" t="n"/>
      <c r="DR455" s="588" t="n"/>
      <c r="DS455" s="588" t="n"/>
      <c r="DT455" s="588" t="n"/>
      <c r="DU455" s="588" t="n"/>
    </row>
    <row r="456">
      <c r="A456" s="737" t="n"/>
      <c r="B456" s="737" t="n"/>
      <c r="C456" s="737" t="n"/>
      <c r="D456" s="737" t="n"/>
      <c r="E456" s="737" t="n"/>
      <c r="F456" s="737" t="n"/>
      <c r="G456" s="737" t="n"/>
      <c r="H456" s="737" t="n"/>
      <c r="I456" s="737" t="n"/>
      <c r="J456" s="737" t="n"/>
      <c r="K456" s="737" t="n"/>
      <c r="L456" s="737" t="n"/>
      <c r="M456" s="737" t="n"/>
      <c r="N456" s="737" t="n"/>
      <c r="O456" s="737" t="n"/>
      <c r="P456" s="737" t="n"/>
      <c r="Q456" s="737" t="n"/>
      <c r="R456" s="737" t="n"/>
      <c r="S456" s="737" t="n"/>
      <c r="T456" s="737" t="n"/>
      <c r="U456" s="737" t="n"/>
      <c r="V456" s="737" t="n"/>
      <c r="W456" s="737" t="n"/>
      <c r="X456" s="737" t="n"/>
      <c r="Y456" s="737" t="n"/>
      <c r="Z456" s="737" t="n"/>
      <c r="AA456" s="737" t="n"/>
      <c r="AB456" s="737" t="n"/>
      <c r="AC456" s="737" t="n"/>
      <c r="AD456" s="737" t="n"/>
      <c r="AE456" s="737" t="n"/>
      <c r="AF456" s="737" t="n"/>
      <c r="AG456" s="737" t="n"/>
      <c r="AH456" s="737" t="n"/>
      <c r="AI456" s="737" t="n"/>
      <c r="AJ456" s="737" t="n"/>
      <c r="AK456" s="588" t="n"/>
      <c r="AL456" s="588" t="n"/>
      <c r="AM456" s="588" t="n"/>
      <c r="AN456" s="588" t="n"/>
      <c r="AO456" s="588" t="n"/>
      <c r="AP456" s="588" t="n"/>
      <c r="AQ456" s="588" t="n"/>
      <c r="AR456" s="588" t="n"/>
      <c r="AS456" s="588" t="n"/>
      <c r="AT456" s="588" t="n"/>
      <c r="AU456" s="588" t="n"/>
      <c r="AV456" s="588" t="n"/>
      <c r="AW456" s="588" t="n"/>
      <c r="AX456" s="588" t="n"/>
      <c r="AY456" s="588" t="n"/>
      <c r="AZ456" s="588" t="n"/>
      <c r="BA456" s="588" t="n"/>
      <c r="BB456" s="588" t="n"/>
      <c r="BC456" s="588" t="n"/>
      <c r="BD456" s="588" t="n"/>
      <c r="BE456" s="588" t="n"/>
      <c r="BF456" s="588" t="n"/>
      <c r="BG456" s="588" t="n"/>
      <c r="BH456" s="588" t="n"/>
      <c r="BI456" s="588" t="n"/>
      <c r="BJ456" s="588" t="n"/>
      <c r="BK456" s="588" t="n"/>
      <c r="BL456" s="588" t="n"/>
      <c r="BM456" s="588" t="n"/>
      <c r="BN456" s="588" t="n"/>
      <c r="BO456" s="588" t="n"/>
      <c r="BP456" s="588" t="n"/>
      <c r="BQ456" s="588" t="n"/>
      <c r="BR456" s="588" t="n"/>
      <c r="BS456" s="588" t="n"/>
      <c r="BT456" s="588" t="n"/>
      <c r="BU456" s="588" t="n"/>
      <c r="BV456" s="588" t="n"/>
      <c r="BW456" s="588" t="n"/>
      <c r="BX456" s="588" t="n"/>
      <c r="BY456" s="588" t="n"/>
      <c r="BZ456" s="588" t="n"/>
      <c r="CA456" s="588" t="n"/>
      <c r="CB456" s="588" t="n"/>
      <c r="CC456" s="588" t="n"/>
      <c r="CD456" s="588" t="n"/>
      <c r="CE456" s="588" t="n"/>
      <c r="CF456" s="588" t="n"/>
      <c r="CG456" s="588" t="n"/>
      <c r="CH456" s="588" t="n"/>
      <c r="CI456" s="588" t="n"/>
      <c r="CJ456" s="588" t="n"/>
      <c r="CK456" s="588" t="n"/>
      <c r="CL456" s="588" t="n"/>
      <c r="CM456" s="588" t="n"/>
      <c r="CN456" s="588" t="n"/>
      <c r="CO456" s="588" t="n"/>
      <c r="CP456" s="588" t="n"/>
      <c r="CQ456" s="588" t="n"/>
      <c r="CR456" s="588" t="n"/>
      <c r="CS456" s="588" t="n"/>
      <c r="CT456" s="588" t="n"/>
      <c r="CU456" s="588" t="n"/>
      <c r="CV456" s="588" t="n"/>
      <c r="CW456" s="588" t="n"/>
      <c r="CX456" s="588" t="n"/>
      <c r="CY456" s="588" t="n"/>
      <c r="CZ456" s="588" t="n"/>
      <c r="DA456" s="588" t="n"/>
      <c r="DB456" s="588" t="n"/>
      <c r="DC456" s="588" t="n"/>
      <c r="DD456" s="588" t="n"/>
      <c r="DE456" s="588" t="n"/>
      <c r="DF456" s="588" t="n"/>
      <c r="DG456" s="588" t="n"/>
      <c r="DH456" s="588" t="n"/>
      <c r="DI456" s="588" t="n"/>
      <c r="DJ456" s="588" t="n"/>
      <c r="DK456" s="588" t="n"/>
      <c r="DL456" s="588" t="n"/>
      <c r="DM456" s="588" t="n"/>
      <c r="DN456" s="588" t="n"/>
      <c r="DO456" s="588" t="n"/>
      <c r="DP456" s="588" t="n"/>
      <c r="DQ456" s="588" t="n"/>
      <c r="DR456" s="588" t="n"/>
      <c r="DS456" s="588" t="n"/>
      <c r="DT456" s="588" t="n"/>
      <c r="DU456" s="588" t="n"/>
    </row>
    <row r="457">
      <c r="A457" s="737" t="n"/>
      <c r="B457" s="737" t="n"/>
      <c r="C457" s="737" t="n"/>
      <c r="D457" s="737" t="n"/>
      <c r="E457" s="737" t="n"/>
      <c r="F457" s="737" t="n"/>
      <c r="G457" s="737" t="n"/>
      <c r="H457" s="737" t="n"/>
      <c r="I457" s="737" t="n"/>
      <c r="J457" s="737" t="n"/>
      <c r="K457" s="737" t="n"/>
      <c r="L457" s="737" t="n"/>
      <c r="M457" s="737" t="n"/>
      <c r="N457" s="737" t="n"/>
      <c r="O457" s="737" t="n"/>
      <c r="P457" s="737" t="n"/>
      <c r="Q457" s="737" t="n"/>
      <c r="R457" s="737" t="n"/>
      <c r="S457" s="737" t="n"/>
      <c r="T457" s="737" t="n"/>
      <c r="U457" s="737" t="n"/>
      <c r="V457" s="737" t="n"/>
      <c r="W457" s="737" t="n"/>
      <c r="X457" s="737" t="n"/>
      <c r="Y457" s="737" t="n"/>
      <c r="Z457" s="737" t="n"/>
      <c r="AA457" s="737" t="n"/>
      <c r="AB457" s="737" t="n"/>
      <c r="AC457" s="737" t="n"/>
      <c r="AD457" s="737" t="n"/>
      <c r="AE457" s="737" t="n"/>
      <c r="AF457" s="737" t="n"/>
      <c r="AG457" s="737" t="n"/>
      <c r="AH457" s="737" t="n"/>
      <c r="AI457" s="737" t="n"/>
      <c r="AJ457" s="737" t="n"/>
      <c r="AK457" s="588" t="n"/>
      <c r="AL457" s="588" t="n"/>
      <c r="AM457" s="588" t="n"/>
      <c r="AN457" s="588" t="n"/>
      <c r="AO457" s="588" t="n"/>
      <c r="AP457" s="588" t="n"/>
      <c r="AQ457" s="588" t="n"/>
      <c r="AR457" s="588" t="n"/>
      <c r="AS457" s="588" t="n"/>
      <c r="AT457" s="588" t="n"/>
      <c r="AU457" s="588" t="n"/>
      <c r="AV457" s="588" t="n"/>
      <c r="AW457" s="588" t="n"/>
      <c r="AX457" s="588" t="n"/>
      <c r="AY457" s="588" t="n"/>
      <c r="AZ457" s="588" t="n"/>
      <c r="BA457" s="588" t="n"/>
      <c r="BB457" s="588" t="n"/>
      <c r="BC457" s="588" t="n"/>
      <c r="BD457" s="588" t="n"/>
      <c r="BE457" s="588" t="n"/>
      <c r="BF457" s="588" t="n"/>
      <c r="BG457" s="588" t="n"/>
      <c r="BH457" s="588" t="n"/>
      <c r="BI457" s="588" t="n"/>
      <c r="BJ457" s="588" t="n"/>
      <c r="BK457" s="588" t="n"/>
      <c r="BL457" s="588" t="n"/>
      <c r="BM457" s="588" t="n"/>
      <c r="BN457" s="588" t="n"/>
      <c r="BO457" s="588" t="n"/>
      <c r="BP457" s="588" t="n"/>
      <c r="BQ457" s="588" t="n"/>
      <c r="BR457" s="588" t="n"/>
      <c r="BS457" s="588" t="n"/>
      <c r="BT457" s="588" t="n"/>
      <c r="BU457" s="588" t="n"/>
      <c r="BV457" s="588" t="n"/>
      <c r="BW457" s="588" t="n"/>
      <c r="BX457" s="588" t="n"/>
      <c r="BY457" s="588" t="n"/>
      <c r="BZ457" s="588" t="n"/>
      <c r="CA457" s="588" t="n"/>
      <c r="CB457" s="588" t="n"/>
      <c r="CC457" s="588" t="n"/>
      <c r="CD457" s="588" t="n"/>
      <c r="CE457" s="588" t="n"/>
      <c r="CF457" s="588" t="n"/>
      <c r="CG457" s="588" t="n"/>
      <c r="CH457" s="588" t="n"/>
      <c r="CI457" s="588" t="n"/>
      <c r="CJ457" s="588" t="n"/>
      <c r="CK457" s="588" t="n"/>
      <c r="CL457" s="588" t="n"/>
      <c r="CM457" s="588" t="n"/>
      <c r="CN457" s="588" t="n"/>
      <c r="CO457" s="588" t="n"/>
      <c r="CP457" s="588" t="n"/>
      <c r="CQ457" s="588" t="n"/>
      <c r="CR457" s="588" t="n"/>
      <c r="CS457" s="588" t="n"/>
      <c r="CT457" s="588" t="n"/>
      <c r="CU457" s="588" t="n"/>
      <c r="CV457" s="588" t="n"/>
      <c r="CW457" s="588" t="n"/>
      <c r="CX457" s="588" t="n"/>
      <c r="CY457" s="588" t="n"/>
      <c r="CZ457" s="588" t="n"/>
      <c r="DA457" s="588" t="n"/>
      <c r="DB457" s="588" t="n"/>
      <c r="DC457" s="588" t="n"/>
      <c r="DD457" s="588" t="n"/>
      <c r="DE457" s="588" t="n"/>
      <c r="DF457" s="588" t="n"/>
      <c r="DG457" s="588" t="n"/>
      <c r="DH457" s="588" t="n"/>
      <c r="DI457" s="588" t="n"/>
      <c r="DJ457" s="588" t="n"/>
      <c r="DK457" s="588" t="n"/>
      <c r="DL457" s="588" t="n"/>
      <c r="DM457" s="588" t="n"/>
      <c r="DN457" s="588" t="n"/>
      <c r="DO457" s="588" t="n"/>
      <c r="DP457" s="588" t="n"/>
      <c r="DQ457" s="588" t="n"/>
      <c r="DR457" s="588" t="n"/>
      <c r="DS457" s="588" t="n"/>
      <c r="DT457" s="588" t="n"/>
      <c r="DU457" s="588" t="n"/>
    </row>
    <row r="458">
      <c r="A458" s="737" t="n"/>
      <c r="B458" s="737" t="n"/>
      <c r="C458" s="737" t="n"/>
      <c r="D458" s="737" t="n"/>
      <c r="E458" s="737" t="n"/>
      <c r="F458" s="737" t="n"/>
      <c r="G458" s="737" t="n"/>
      <c r="H458" s="737" t="n"/>
      <c r="I458" s="737" t="n"/>
      <c r="J458" s="737" t="n"/>
      <c r="K458" s="737" t="n"/>
      <c r="L458" s="737" t="n"/>
      <c r="M458" s="737" t="n"/>
      <c r="N458" s="737" t="n"/>
      <c r="O458" s="737" t="n"/>
      <c r="P458" s="737" t="n"/>
      <c r="Q458" s="737" t="n"/>
      <c r="R458" s="737" t="n"/>
      <c r="S458" s="737" t="n"/>
      <c r="T458" s="737" t="n"/>
      <c r="U458" s="737" t="n"/>
      <c r="V458" s="737" t="n"/>
      <c r="W458" s="737" t="n"/>
      <c r="X458" s="737" t="n"/>
      <c r="Y458" s="737" t="n"/>
      <c r="Z458" s="737" t="n"/>
      <c r="AA458" s="737" t="n"/>
      <c r="AB458" s="737" t="n"/>
      <c r="AC458" s="737" t="n"/>
      <c r="AD458" s="737" t="n"/>
      <c r="AE458" s="737" t="n"/>
      <c r="AF458" s="737" t="n"/>
      <c r="AG458" s="737" t="n"/>
      <c r="AH458" s="737" t="n"/>
      <c r="AI458" s="737" t="n"/>
      <c r="AJ458" s="737" t="n"/>
      <c r="AK458" s="588" t="n"/>
      <c r="AL458" s="588" t="n"/>
      <c r="AM458" s="588" t="n"/>
      <c r="AN458" s="588" t="n"/>
      <c r="AO458" s="588" t="n"/>
      <c r="AP458" s="588" t="n"/>
      <c r="AQ458" s="588" t="n"/>
      <c r="AR458" s="588" t="n"/>
      <c r="AS458" s="588" t="n"/>
      <c r="AT458" s="588" t="n"/>
      <c r="AU458" s="588" t="n"/>
      <c r="AV458" s="588" t="n"/>
      <c r="AW458" s="588" t="n"/>
      <c r="AX458" s="588" t="n"/>
      <c r="AY458" s="588" t="n"/>
      <c r="AZ458" s="588" t="n"/>
      <c r="BA458" s="588" t="n"/>
      <c r="BB458" s="588" t="n"/>
      <c r="BC458" s="588" t="n"/>
      <c r="BD458" s="588" t="n"/>
      <c r="BE458" s="588" t="n"/>
      <c r="BF458" s="588" t="n"/>
      <c r="BG458" s="588" t="n"/>
      <c r="BH458" s="588" t="n"/>
      <c r="BI458" s="588" t="n"/>
      <c r="BJ458" s="588" t="n"/>
      <c r="BK458" s="588" t="n"/>
      <c r="BL458" s="588" t="n"/>
      <c r="BM458" s="588" t="n"/>
      <c r="BN458" s="588" t="n"/>
      <c r="BO458" s="588" t="n"/>
      <c r="BP458" s="588" t="n"/>
      <c r="BQ458" s="588" t="n"/>
      <c r="BR458" s="588" t="n"/>
      <c r="BS458" s="588" t="n"/>
      <c r="BT458" s="588" t="n"/>
      <c r="BU458" s="588" t="n"/>
      <c r="BV458" s="588" t="n"/>
      <c r="BW458" s="588" t="n"/>
      <c r="BX458" s="588" t="n"/>
      <c r="BY458" s="588" t="n"/>
      <c r="BZ458" s="588" t="n"/>
      <c r="CA458" s="588" t="n"/>
      <c r="CB458" s="588" t="n"/>
      <c r="CC458" s="588" t="n"/>
      <c r="CD458" s="588" t="n"/>
      <c r="CE458" s="588" t="n"/>
      <c r="CF458" s="588" t="n"/>
      <c r="CG458" s="588" t="n"/>
      <c r="CH458" s="588" t="n"/>
      <c r="CI458" s="588" t="n"/>
      <c r="CJ458" s="588" t="n"/>
      <c r="CK458" s="588" t="n"/>
      <c r="CL458" s="588" t="n"/>
      <c r="CM458" s="588" t="n"/>
      <c r="CN458" s="588" t="n"/>
      <c r="CO458" s="588" t="n"/>
      <c r="CP458" s="588" t="n"/>
      <c r="CQ458" s="588" t="n"/>
      <c r="CR458" s="588" t="n"/>
      <c r="CS458" s="588" t="n"/>
      <c r="CT458" s="588" t="n"/>
      <c r="CU458" s="588" t="n"/>
      <c r="CV458" s="588" t="n"/>
      <c r="CW458" s="588" t="n"/>
      <c r="CX458" s="588" t="n"/>
      <c r="CY458" s="588" t="n"/>
      <c r="CZ458" s="588" t="n"/>
      <c r="DA458" s="588" t="n"/>
      <c r="DB458" s="588" t="n"/>
      <c r="DC458" s="588" t="n"/>
      <c r="DD458" s="588" t="n"/>
      <c r="DE458" s="588" t="n"/>
      <c r="DF458" s="588" t="n"/>
      <c r="DG458" s="588" t="n"/>
      <c r="DH458" s="588" t="n"/>
      <c r="DI458" s="588" t="n"/>
      <c r="DJ458" s="588" t="n"/>
      <c r="DK458" s="588" t="n"/>
      <c r="DL458" s="588" t="n"/>
      <c r="DM458" s="588" t="n"/>
      <c r="DN458" s="588" t="n"/>
      <c r="DO458" s="588" t="n"/>
      <c r="DP458" s="588" t="n"/>
      <c r="DQ458" s="588" t="n"/>
      <c r="DR458" s="588" t="n"/>
      <c r="DS458" s="588" t="n"/>
      <c r="DT458" s="588" t="n"/>
      <c r="DU458" s="588" t="n"/>
    </row>
    <row r="459">
      <c r="A459" s="737" t="n"/>
      <c r="B459" s="737" t="n"/>
      <c r="C459" s="737" t="n"/>
      <c r="D459" s="737" t="n"/>
      <c r="E459" s="737" t="n"/>
      <c r="F459" s="737" t="n"/>
      <c r="G459" s="737" t="n"/>
      <c r="H459" s="737" t="n"/>
      <c r="I459" s="737" t="n"/>
      <c r="J459" s="737" t="n"/>
      <c r="K459" s="737" t="n"/>
      <c r="L459" s="737" t="n"/>
      <c r="M459" s="737" t="n"/>
      <c r="N459" s="737" t="n"/>
      <c r="O459" s="737" t="n"/>
      <c r="P459" s="737" t="n"/>
      <c r="Q459" s="737" t="n"/>
      <c r="R459" s="737" t="n"/>
      <c r="S459" s="737" t="n"/>
      <c r="T459" s="737" t="n"/>
      <c r="U459" s="737" t="n"/>
      <c r="V459" s="737" t="n"/>
      <c r="W459" s="737" t="n"/>
      <c r="X459" s="737" t="n"/>
      <c r="Y459" s="737" t="n"/>
      <c r="Z459" s="737" t="n"/>
      <c r="AA459" s="737" t="n"/>
      <c r="AB459" s="737" t="n"/>
      <c r="AC459" s="737" t="n"/>
      <c r="AD459" s="737" t="n"/>
      <c r="AE459" s="737" t="n"/>
      <c r="AF459" s="737" t="n"/>
      <c r="AG459" s="737" t="n"/>
      <c r="AH459" s="737" t="n"/>
      <c r="AI459" s="737" t="n"/>
      <c r="AJ459" s="737" t="n"/>
      <c r="AK459" s="588" t="n"/>
      <c r="AL459" s="588" t="n"/>
      <c r="AM459" s="588" t="n"/>
      <c r="AN459" s="588" t="n"/>
      <c r="AO459" s="588" t="n"/>
      <c r="AP459" s="588" t="n"/>
      <c r="AQ459" s="588" t="n"/>
      <c r="AR459" s="588" t="n"/>
      <c r="AS459" s="588" t="n"/>
      <c r="AT459" s="588" t="n"/>
      <c r="AU459" s="588" t="n"/>
      <c r="AV459" s="588" t="n"/>
      <c r="AW459" s="588" t="n"/>
      <c r="AX459" s="588" t="n"/>
      <c r="AY459" s="588" t="n"/>
      <c r="AZ459" s="588" t="n"/>
      <c r="BA459" s="588" t="n"/>
      <c r="BB459" s="588" t="n"/>
      <c r="BC459" s="588" t="n"/>
      <c r="BD459" s="588" t="n"/>
      <c r="BE459" s="588" t="n"/>
      <c r="BF459" s="588" t="n"/>
      <c r="BG459" s="588" t="n"/>
      <c r="BH459" s="588" t="n"/>
      <c r="BI459" s="588" t="n"/>
      <c r="BJ459" s="588" t="n"/>
      <c r="BK459" s="588" t="n"/>
      <c r="BL459" s="588" t="n"/>
      <c r="BM459" s="588" t="n"/>
      <c r="BN459" s="588" t="n"/>
      <c r="BO459" s="588" t="n"/>
      <c r="BP459" s="588" t="n"/>
      <c r="BQ459" s="588" t="n"/>
      <c r="BR459" s="588" t="n"/>
      <c r="BS459" s="588" t="n"/>
      <c r="BT459" s="588" t="n"/>
      <c r="BU459" s="588" t="n"/>
      <c r="BV459" s="588" t="n"/>
      <c r="BW459" s="588" t="n"/>
      <c r="BX459" s="588" t="n"/>
      <c r="BY459" s="588" t="n"/>
      <c r="BZ459" s="588" t="n"/>
      <c r="CA459" s="588" t="n"/>
      <c r="CB459" s="588" t="n"/>
      <c r="CC459" s="588" t="n"/>
      <c r="CD459" s="588" t="n"/>
      <c r="CE459" s="588" t="n"/>
      <c r="CF459" s="588" t="n"/>
      <c r="CG459" s="588" t="n"/>
      <c r="CH459" s="588" t="n"/>
      <c r="CI459" s="588" t="n"/>
      <c r="CJ459" s="588" t="n"/>
      <c r="CK459" s="588" t="n"/>
      <c r="CL459" s="588" t="n"/>
      <c r="CM459" s="588" t="n"/>
      <c r="CN459" s="588" t="n"/>
      <c r="CO459" s="588" t="n"/>
      <c r="CP459" s="588" t="n"/>
      <c r="CQ459" s="588" t="n"/>
      <c r="CR459" s="588" t="n"/>
      <c r="CS459" s="588" t="n"/>
      <c r="CT459" s="588" t="n"/>
      <c r="CU459" s="588" t="n"/>
      <c r="CV459" s="588" t="n"/>
      <c r="CW459" s="588" t="n"/>
      <c r="CX459" s="588" t="n"/>
      <c r="CY459" s="588" t="n"/>
      <c r="CZ459" s="588" t="n"/>
      <c r="DA459" s="588" t="n"/>
      <c r="DB459" s="588" t="n"/>
      <c r="DC459" s="588" t="n"/>
      <c r="DD459" s="588" t="n"/>
      <c r="DE459" s="588" t="n"/>
      <c r="DF459" s="588" t="n"/>
      <c r="DG459" s="588" t="n"/>
      <c r="DH459" s="588" t="n"/>
      <c r="DI459" s="588" t="n"/>
      <c r="DJ459" s="588" t="n"/>
      <c r="DK459" s="588" t="n"/>
      <c r="DL459" s="588" t="n"/>
      <c r="DM459" s="588" t="n"/>
      <c r="DN459" s="588" t="n"/>
      <c r="DO459" s="588" t="n"/>
      <c r="DP459" s="588" t="n"/>
      <c r="DQ459" s="588" t="n"/>
      <c r="DR459" s="588" t="n"/>
      <c r="DS459" s="588" t="n"/>
      <c r="DT459" s="588" t="n"/>
      <c r="DU459" s="588" t="n"/>
    </row>
    <row r="460">
      <c r="A460" s="737" t="n"/>
      <c r="B460" s="737" t="n"/>
      <c r="C460" s="737" t="n"/>
      <c r="D460" s="737" t="n"/>
      <c r="E460" s="737" t="n"/>
      <c r="F460" s="737" t="n"/>
      <c r="G460" s="737" t="n"/>
      <c r="H460" s="737" t="n"/>
      <c r="I460" s="737" t="n"/>
      <c r="J460" s="737" t="n"/>
      <c r="K460" s="737" t="n"/>
      <c r="L460" s="737" t="n"/>
      <c r="M460" s="737" t="n"/>
      <c r="N460" s="737" t="n"/>
      <c r="O460" s="737" t="n"/>
      <c r="P460" s="737" t="n"/>
      <c r="Q460" s="737" t="n"/>
      <c r="R460" s="737" t="n"/>
      <c r="S460" s="737" t="n"/>
      <c r="T460" s="737" t="n"/>
      <c r="U460" s="737" t="n"/>
      <c r="V460" s="737" t="n"/>
      <c r="W460" s="737" t="n"/>
      <c r="X460" s="737" t="n"/>
      <c r="Y460" s="737" t="n"/>
      <c r="Z460" s="737" t="n"/>
      <c r="AA460" s="737" t="n"/>
      <c r="AB460" s="737" t="n"/>
      <c r="AC460" s="737" t="n"/>
      <c r="AD460" s="737" t="n"/>
      <c r="AE460" s="737" t="n"/>
      <c r="AF460" s="737" t="n"/>
      <c r="AG460" s="737" t="n"/>
      <c r="AH460" s="737" t="n"/>
      <c r="AI460" s="737" t="n"/>
      <c r="AJ460" s="737" t="n"/>
      <c r="AK460" s="588" t="n"/>
      <c r="AL460" s="588" t="n"/>
      <c r="AM460" s="588" t="n"/>
      <c r="AN460" s="588" t="n"/>
      <c r="AO460" s="588" t="n"/>
      <c r="AP460" s="588" t="n"/>
      <c r="AQ460" s="588" t="n"/>
      <c r="AR460" s="588" t="n"/>
      <c r="AS460" s="588" t="n"/>
      <c r="AT460" s="588" t="n"/>
      <c r="AU460" s="588" t="n"/>
      <c r="AV460" s="588" t="n"/>
      <c r="AW460" s="588" t="n"/>
      <c r="AX460" s="588" t="n"/>
      <c r="AY460" s="588" t="n"/>
      <c r="AZ460" s="588" t="n"/>
      <c r="BA460" s="588" t="n"/>
      <c r="BB460" s="588" t="n"/>
      <c r="BC460" s="588" t="n"/>
      <c r="BD460" s="588" t="n"/>
      <c r="BE460" s="588" t="n"/>
      <c r="BF460" s="588" t="n"/>
      <c r="BG460" s="588" t="n"/>
      <c r="BH460" s="588" t="n"/>
      <c r="BI460" s="588" t="n"/>
      <c r="BJ460" s="588" t="n"/>
      <c r="BK460" s="588" t="n"/>
      <c r="BL460" s="588" t="n"/>
      <c r="BM460" s="588" t="n"/>
      <c r="BN460" s="588" t="n"/>
      <c r="BO460" s="588" t="n"/>
      <c r="BP460" s="588" t="n"/>
      <c r="BQ460" s="588" t="n"/>
      <c r="BR460" s="588" t="n"/>
      <c r="BS460" s="588" t="n"/>
      <c r="BT460" s="588" t="n"/>
      <c r="BU460" s="588" t="n"/>
      <c r="BV460" s="588" t="n"/>
      <c r="BW460" s="588" t="n"/>
      <c r="BX460" s="588" t="n"/>
      <c r="BY460" s="588" t="n"/>
      <c r="BZ460" s="588" t="n"/>
      <c r="CA460" s="588" t="n"/>
      <c r="CB460" s="588" t="n"/>
      <c r="CC460" s="588" t="n"/>
      <c r="CD460" s="588" t="n"/>
      <c r="CE460" s="588" t="n"/>
      <c r="CF460" s="588" t="n"/>
      <c r="CG460" s="588" t="n"/>
      <c r="CH460" s="588" t="n"/>
      <c r="CI460" s="588" t="n"/>
      <c r="CJ460" s="588" t="n"/>
      <c r="CK460" s="588" t="n"/>
      <c r="CL460" s="588" t="n"/>
      <c r="CM460" s="588" t="n"/>
      <c r="CN460" s="588" t="n"/>
      <c r="CO460" s="588" t="n"/>
      <c r="CP460" s="588" t="n"/>
      <c r="CQ460" s="588" t="n"/>
      <c r="CR460" s="588" t="n"/>
      <c r="CS460" s="588" t="n"/>
      <c r="CT460" s="588" t="n"/>
      <c r="CU460" s="588" t="n"/>
      <c r="CV460" s="588" t="n"/>
      <c r="CW460" s="588" t="n"/>
      <c r="CX460" s="588" t="n"/>
      <c r="CY460" s="588" t="n"/>
      <c r="CZ460" s="588" t="n"/>
      <c r="DA460" s="588" t="n"/>
      <c r="DB460" s="588" t="n"/>
      <c r="DC460" s="588" t="n"/>
      <c r="DD460" s="588" t="n"/>
      <c r="DE460" s="588" t="n"/>
      <c r="DF460" s="588" t="n"/>
      <c r="DG460" s="588" t="n"/>
      <c r="DH460" s="588" t="n"/>
      <c r="DI460" s="588" t="n"/>
      <c r="DJ460" s="588" t="n"/>
      <c r="DK460" s="588" t="n"/>
      <c r="DL460" s="588" t="n"/>
      <c r="DM460" s="588" t="n"/>
      <c r="DN460" s="588" t="n"/>
      <c r="DO460" s="588" t="n"/>
      <c r="DP460" s="588" t="n"/>
      <c r="DQ460" s="588" t="n"/>
      <c r="DR460" s="588" t="n"/>
      <c r="DS460" s="588" t="n"/>
      <c r="DT460" s="588" t="n"/>
      <c r="DU460" s="588" t="n"/>
    </row>
    <row r="461">
      <c r="A461" s="737" t="n"/>
      <c r="B461" s="737" t="n"/>
      <c r="C461" s="737" t="n"/>
      <c r="D461" s="737" t="n"/>
      <c r="E461" s="737" t="n"/>
      <c r="F461" s="737" t="n"/>
      <c r="G461" s="737" t="n"/>
      <c r="H461" s="737" t="n"/>
      <c r="I461" s="737" t="n"/>
      <c r="J461" s="737" t="n"/>
      <c r="K461" s="737" t="n"/>
      <c r="L461" s="737" t="n"/>
      <c r="M461" s="737" t="n"/>
      <c r="N461" s="737" t="n"/>
      <c r="O461" s="737" t="n"/>
      <c r="P461" s="737" t="n"/>
      <c r="Q461" s="737" t="n"/>
      <c r="R461" s="737" t="n"/>
      <c r="S461" s="737" t="n"/>
      <c r="T461" s="737" t="n"/>
      <c r="U461" s="737" t="n"/>
      <c r="V461" s="737" t="n"/>
      <c r="W461" s="737" t="n"/>
      <c r="X461" s="737" t="n"/>
      <c r="Y461" s="737" t="n"/>
      <c r="Z461" s="737" t="n"/>
      <c r="AA461" s="737" t="n"/>
      <c r="AB461" s="737" t="n"/>
      <c r="AC461" s="737" t="n"/>
      <c r="AD461" s="737" t="n"/>
      <c r="AE461" s="737" t="n"/>
      <c r="AF461" s="737" t="n"/>
      <c r="AG461" s="737" t="n"/>
      <c r="AH461" s="737" t="n"/>
      <c r="AI461" s="737" t="n"/>
      <c r="AJ461" s="737" t="n"/>
      <c r="AK461" s="588" t="n"/>
      <c r="AL461" s="588" t="n"/>
      <c r="AM461" s="588" t="n"/>
      <c r="AN461" s="588" t="n"/>
      <c r="AO461" s="588" t="n"/>
      <c r="AP461" s="588" t="n"/>
      <c r="AQ461" s="588" t="n"/>
      <c r="AR461" s="588" t="n"/>
      <c r="AS461" s="588" t="n"/>
      <c r="AT461" s="588" t="n"/>
      <c r="AU461" s="588" t="n"/>
      <c r="AV461" s="588" t="n"/>
      <c r="AW461" s="588" t="n"/>
      <c r="AX461" s="588" t="n"/>
      <c r="AY461" s="588" t="n"/>
      <c r="AZ461" s="588" t="n"/>
      <c r="BA461" s="588" t="n"/>
      <c r="BB461" s="588" t="n"/>
      <c r="BC461" s="588" t="n"/>
      <c r="BD461" s="588" t="n"/>
      <c r="BE461" s="588" t="n"/>
      <c r="BF461" s="588" t="n"/>
      <c r="BG461" s="588" t="n"/>
      <c r="BH461" s="588" t="n"/>
      <c r="BI461" s="588" t="n"/>
      <c r="BJ461" s="588" t="n"/>
      <c r="BK461" s="588" t="n"/>
      <c r="BL461" s="588" t="n"/>
      <c r="BM461" s="588" t="n"/>
      <c r="BN461" s="588" t="n"/>
      <c r="BO461" s="588" t="n"/>
      <c r="BP461" s="588" t="n"/>
      <c r="BQ461" s="588" t="n"/>
      <c r="BR461" s="588" t="n"/>
      <c r="BS461" s="588" t="n"/>
      <c r="BT461" s="588" t="n"/>
      <c r="BU461" s="588" t="n"/>
      <c r="BV461" s="588" t="n"/>
      <c r="BW461" s="588" t="n"/>
      <c r="BX461" s="588" t="n"/>
      <c r="BY461" s="588" t="n"/>
      <c r="BZ461" s="588" t="n"/>
      <c r="CA461" s="588" t="n"/>
      <c r="CB461" s="588" t="n"/>
      <c r="CC461" s="588" t="n"/>
      <c r="CD461" s="588" t="n"/>
      <c r="CE461" s="588" t="n"/>
      <c r="CF461" s="588" t="n"/>
      <c r="CG461" s="588" t="n"/>
      <c r="CH461" s="588" t="n"/>
      <c r="CI461" s="588" t="n"/>
      <c r="CJ461" s="588" t="n"/>
      <c r="CK461" s="588" t="n"/>
      <c r="CL461" s="588" t="n"/>
      <c r="CM461" s="588" t="n"/>
      <c r="CN461" s="588" t="n"/>
      <c r="CO461" s="588" t="n"/>
      <c r="CP461" s="588" t="n"/>
      <c r="CQ461" s="588" t="n"/>
      <c r="CR461" s="588" t="n"/>
      <c r="CS461" s="588" t="n"/>
      <c r="CT461" s="588" t="n"/>
      <c r="CU461" s="588" t="n"/>
      <c r="CV461" s="588" t="n"/>
      <c r="CW461" s="588" t="n"/>
      <c r="CX461" s="588" t="n"/>
      <c r="CY461" s="588" t="n"/>
      <c r="CZ461" s="588" t="n"/>
      <c r="DA461" s="588" t="n"/>
      <c r="DB461" s="588" t="n"/>
      <c r="DC461" s="588" t="n"/>
      <c r="DD461" s="588" t="n"/>
      <c r="DE461" s="588" t="n"/>
      <c r="DF461" s="588" t="n"/>
      <c r="DG461" s="588" t="n"/>
      <c r="DH461" s="588" t="n"/>
      <c r="DI461" s="588" t="n"/>
      <c r="DJ461" s="588" t="n"/>
      <c r="DK461" s="588" t="n"/>
      <c r="DL461" s="588" t="n"/>
      <c r="DM461" s="588" t="n"/>
      <c r="DN461" s="588" t="n"/>
      <c r="DO461" s="588" t="n"/>
      <c r="DP461" s="588" t="n"/>
      <c r="DQ461" s="588" t="n"/>
      <c r="DR461" s="588" t="n"/>
      <c r="DS461" s="588" t="n"/>
      <c r="DT461" s="588" t="n"/>
      <c r="DU461" s="588" t="n"/>
    </row>
    <row r="462">
      <c r="A462" s="737" t="n"/>
      <c r="B462" s="737" t="n"/>
      <c r="C462" s="737" t="n"/>
      <c r="D462" s="737" t="n"/>
      <c r="E462" s="737" t="n"/>
      <c r="F462" s="737" t="n"/>
      <c r="G462" s="737" t="n"/>
      <c r="H462" s="737" t="n"/>
      <c r="I462" s="737" t="n"/>
      <c r="J462" s="737" t="n"/>
      <c r="K462" s="737" t="n"/>
      <c r="L462" s="737" t="n"/>
      <c r="M462" s="737" t="n"/>
      <c r="N462" s="737" t="n"/>
      <c r="O462" s="737" t="n"/>
      <c r="P462" s="737" t="n"/>
      <c r="Q462" s="737" t="n"/>
      <c r="R462" s="737" t="n"/>
      <c r="S462" s="737" t="n"/>
      <c r="T462" s="737" t="n"/>
      <c r="U462" s="737" t="n"/>
      <c r="V462" s="737" t="n"/>
      <c r="W462" s="737" t="n"/>
      <c r="X462" s="737" t="n"/>
      <c r="Y462" s="737" t="n"/>
      <c r="Z462" s="737" t="n"/>
      <c r="AA462" s="737" t="n"/>
      <c r="AB462" s="737" t="n"/>
      <c r="AC462" s="737" t="n"/>
      <c r="AD462" s="737" t="n"/>
      <c r="AE462" s="737" t="n"/>
      <c r="AF462" s="737" t="n"/>
      <c r="AG462" s="737" t="n"/>
      <c r="AH462" s="737" t="n"/>
      <c r="AI462" s="737" t="n"/>
      <c r="AJ462" s="737" t="n"/>
      <c r="AK462" s="588" t="n"/>
      <c r="AL462" s="588" t="n"/>
      <c r="AM462" s="588" t="n"/>
      <c r="AN462" s="588" t="n"/>
      <c r="AO462" s="588" t="n"/>
      <c r="AP462" s="588" t="n"/>
      <c r="AQ462" s="588" t="n"/>
      <c r="AR462" s="588" t="n"/>
      <c r="AS462" s="588" t="n"/>
      <c r="AT462" s="588" t="n"/>
      <c r="AU462" s="588" t="n"/>
      <c r="AV462" s="588" t="n"/>
      <c r="AW462" s="588" t="n"/>
      <c r="AX462" s="588" t="n"/>
      <c r="AY462" s="588" t="n"/>
      <c r="AZ462" s="588" t="n"/>
      <c r="BA462" s="588" t="n"/>
      <c r="BB462" s="588" t="n"/>
      <c r="BC462" s="588" t="n"/>
      <c r="BD462" s="588" t="n"/>
      <c r="BE462" s="588" t="n"/>
      <c r="BF462" s="588" t="n"/>
      <c r="BG462" s="588" t="n"/>
      <c r="BH462" s="588" t="n"/>
      <c r="BI462" s="588" t="n"/>
      <c r="BJ462" s="588" t="n"/>
      <c r="BK462" s="588" t="n"/>
      <c r="BL462" s="588" t="n"/>
      <c r="BM462" s="588" t="n"/>
      <c r="BN462" s="588" t="n"/>
      <c r="BO462" s="588" t="n"/>
      <c r="BP462" s="588" t="n"/>
      <c r="BQ462" s="588" t="n"/>
      <c r="BR462" s="588" t="n"/>
      <c r="BS462" s="588" t="n"/>
      <c r="BT462" s="588" t="n"/>
      <c r="BU462" s="588" t="n"/>
      <c r="BV462" s="588" t="n"/>
      <c r="BW462" s="588" t="n"/>
      <c r="BX462" s="588" t="n"/>
      <c r="BY462" s="588" t="n"/>
      <c r="BZ462" s="588" t="n"/>
      <c r="CA462" s="588" t="n"/>
      <c r="CB462" s="588" t="n"/>
      <c r="CC462" s="588" t="n"/>
      <c r="CD462" s="588" t="n"/>
      <c r="CE462" s="588" t="n"/>
      <c r="CF462" s="588" t="n"/>
      <c r="CG462" s="588" t="n"/>
      <c r="CH462" s="588" t="n"/>
      <c r="CI462" s="588" t="n"/>
      <c r="CJ462" s="588" t="n"/>
      <c r="CK462" s="588" t="n"/>
      <c r="CL462" s="588" t="n"/>
      <c r="CM462" s="588" t="n"/>
      <c r="CN462" s="588" t="n"/>
      <c r="CO462" s="588" t="n"/>
      <c r="CP462" s="588" t="n"/>
      <c r="CQ462" s="588" t="n"/>
      <c r="CR462" s="588" t="n"/>
      <c r="CS462" s="588" t="n"/>
      <c r="CT462" s="588" t="n"/>
      <c r="CU462" s="588" t="n"/>
      <c r="CV462" s="588" t="n"/>
      <c r="CW462" s="588" t="n"/>
      <c r="CX462" s="588" t="n"/>
      <c r="CY462" s="588" t="n"/>
      <c r="CZ462" s="588" t="n"/>
      <c r="DA462" s="588" t="n"/>
      <c r="DB462" s="588" t="n"/>
      <c r="DC462" s="588" t="n"/>
      <c r="DD462" s="588" t="n"/>
      <c r="DE462" s="588" t="n"/>
      <c r="DF462" s="588" t="n"/>
      <c r="DG462" s="588" t="n"/>
      <c r="DH462" s="588" t="n"/>
      <c r="DI462" s="588" t="n"/>
      <c r="DJ462" s="588" t="n"/>
      <c r="DK462" s="588" t="n"/>
      <c r="DL462" s="588" t="n"/>
      <c r="DM462" s="588" t="n"/>
      <c r="DN462" s="588" t="n"/>
      <c r="DO462" s="588" t="n"/>
      <c r="DP462" s="588" t="n"/>
      <c r="DQ462" s="588" t="n"/>
      <c r="DR462" s="588" t="n"/>
      <c r="DS462" s="588" t="n"/>
      <c r="DT462" s="588" t="n"/>
      <c r="DU462" s="588" t="n"/>
    </row>
    <row r="463">
      <c r="A463" s="737" t="n"/>
      <c r="B463" s="737" t="n"/>
      <c r="C463" s="737" t="n"/>
      <c r="D463" s="737" t="n"/>
      <c r="E463" s="737" t="n"/>
      <c r="F463" s="737" t="n"/>
      <c r="G463" s="737" t="n"/>
      <c r="H463" s="737" t="n"/>
      <c r="I463" s="737" t="n"/>
      <c r="J463" s="737" t="n"/>
      <c r="K463" s="737" t="n"/>
      <c r="L463" s="737" t="n"/>
      <c r="M463" s="737" t="n"/>
      <c r="N463" s="737" t="n"/>
      <c r="O463" s="737" t="n"/>
      <c r="P463" s="737" t="n"/>
      <c r="Q463" s="737" t="n"/>
      <c r="R463" s="737" t="n"/>
      <c r="S463" s="737" t="n"/>
      <c r="T463" s="737" t="n"/>
      <c r="U463" s="737" t="n"/>
      <c r="V463" s="737" t="n"/>
      <c r="W463" s="737" t="n"/>
      <c r="X463" s="737" t="n"/>
      <c r="Y463" s="737" t="n"/>
      <c r="Z463" s="737" t="n"/>
      <c r="AA463" s="737" t="n"/>
      <c r="AB463" s="737" t="n"/>
      <c r="AC463" s="737" t="n"/>
      <c r="AD463" s="737" t="n"/>
      <c r="AE463" s="737" t="n"/>
      <c r="AF463" s="737" t="n"/>
      <c r="AG463" s="737" t="n"/>
      <c r="AH463" s="737" t="n"/>
      <c r="AI463" s="737" t="n"/>
      <c r="AJ463" s="737" t="n"/>
      <c r="AK463" s="588" t="n"/>
      <c r="AL463" s="588" t="n"/>
      <c r="AM463" s="588" t="n"/>
      <c r="AN463" s="588" t="n"/>
      <c r="AO463" s="588" t="n"/>
      <c r="AP463" s="588" t="n"/>
      <c r="AQ463" s="588" t="n"/>
      <c r="AR463" s="588" t="n"/>
      <c r="AS463" s="588" t="n"/>
      <c r="AT463" s="588" t="n"/>
      <c r="AU463" s="588" t="n"/>
      <c r="AV463" s="588" t="n"/>
      <c r="AW463" s="588" t="n"/>
      <c r="AX463" s="588" t="n"/>
      <c r="AY463" s="588" t="n"/>
      <c r="AZ463" s="588" t="n"/>
      <c r="BA463" s="588" t="n"/>
      <c r="BB463" s="588" t="n"/>
      <c r="BC463" s="588" t="n"/>
      <c r="BD463" s="588" t="n"/>
      <c r="BE463" s="588" t="n"/>
      <c r="BF463" s="588" t="n"/>
      <c r="BG463" s="588" t="n"/>
      <c r="BH463" s="588" t="n"/>
      <c r="BI463" s="588" t="n"/>
      <c r="BJ463" s="588" t="n"/>
      <c r="BK463" s="588" t="n"/>
      <c r="BL463" s="588" t="n"/>
      <c r="BM463" s="588" t="n"/>
      <c r="BN463" s="588" t="n"/>
      <c r="BO463" s="588" t="n"/>
      <c r="BP463" s="588" t="n"/>
      <c r="BQ463" s="588" t="n"/>
      <c r="BR463" s="588" t="n"/>
      <c r="BS463" s="588" t="n"/>
      <c r="BT463" s="588" t="n"/>
      <c r="BU463" s="588" t="n"/>
      <c r="BV463" s="588" t="n"/>
      <c r="BW463" s="588" t="n"/>
      <c r="BX463" s="588" t="n"/>
      <c r="BY463" s="588" t="n"/>
      <c r="BZ463" s="588" t="n"/>
      <c r="CA463" s="588" t="n"/>
      <c r="CB463" s="588" t="n"/>
      <c r="CC463" s="588" t="n"/>
      <c r="CD463" s="588" t="n"/>
      <c r="CE463" s="588" t="n"/>
      <c r="CF463" s="588" t="n"/>
      <c r="CG463" s="588" t="n"/>
      <c r="CH463" s="588" t="n"/>
      <c r="CI463" s="588" t="n"/>
      <c r="CJ463" s="588" t="n"/>
      <c r="CK463" s="588" t="n"/>
      <c r="CL463" s="588" t="n"/>
      <c r="CM463" s="588" t="n"/>
      <c r="CN463" s="588" t="n"/>
      <c r="CO463" s="588" t="n"/>
      <c r="CP463" s="588" t="n"/>
      <c r="CQ463" s="588" t="n"/>
      <c r="CR463" s="588" t="n"/>
      <c r="CS463" s="588" t="n"/>
      <c r="CT463" s="588" t="n"/>
      <c r="CU463" s="588" t="n"/>
      <c r="CV463" s="588" t="n"/>
      <c r="CW463" s="588" t="n"/>
      <c r="CX463" s="588" t="n"/>
      <c r="CY463" s="588" t="n"/>
      <c r="CZ463" s="588" t="n"/>
      <c r="DA463" s="588" t="n"/>
      <c r="DB463" s="588" t="n"/>
      <c r="DC463" s="588" t="n"/>
      <c r="DD463" s="588" t="n"/>
      <c r="DE463" s="588" t="n"/>
      <c r="DF463" s="588" t="n"/>
      <c r="DG463" s="588" t="n"/>
      <c r="DH463" s="588" t="n"/>
      <c r="DI463" s="588" t="n"/>
      <c r="DJ463" s="588" t="n"/>
      <c r="DK463" s="588" t="n"/>
      <c r="DL463" s="588" t="n"/>
      <c r="DM463" s="588" t="n"/>
      <c r="DN463" s="588" t="n"/>
      <c r="DO463" s="588" t="n"/>
      <c r="DP463" s="588" t="n"/>
      <c r="DQ463" s="588" t="n"/>
      <c r="DR463" s="588" t="n"/>
      <c r="DS463" s="588" t="n"/>
      <c r="DT463" s="588" t="n"/>
      <c r="DU463" s="588" t="n"/>
    </row>
    <row r="464">
      <c r="A464" s="737" t="n"/>
      <c r="B464" s="737" t="n"/>
      <c r="C464" s="737" t="n"/>
      <c r="D464" s="737" t="n"/>
      <c r="E464" s="737" t="n"/>
      <c r="F464" s="737" t="n"/>
      <c r="G464" s="737" t="n"/>
      <c r="H464" s="737" t="n"/>
      <c r="I464" s="737" t="n"/>
      <c r="J464" s="737" t="n"/>
      <c r="K464" s="737" t="n"/>
      <c r="L464" s="737" t="n"/>
      <c r="M464" s="737" t="n"/>
      <c r="N464" s="737" t="n"/>
      <c r="O464" s="737" t="n"/>
      <c r="P464" s="737" t="n"/>
      <c r="Q464" s="737" t="n"/>
      <c r="R464" s="737" t="n"/>
      <c r="S464" s="737" t="n"/>
      <c r="T464" s="737" t="n"/>
      <c r="U464" s="737" t="n"/>
      <c r="V464" s="737" t="n"/>
      <c r="W464" s="737" t="n"/>
      <c r="X464" s="737" t="n"/>
      <c r="Y464" s="737" t="n"/>
      <c r="Z464" s="737" t="n"/>
      <c r="AA464" s="737" t="n"/>
      <c r="AB464" s="737" t="n"/>
      <c r="AC464" s="737" t="n"/>
      <c r="AD464" s="737" t="n"/>
      <c r="AE464" s="737" t="n"/>
      <c r="AF464" s="737" t="n"/>
      <c r="AG464" s="737" t="n"/>
      <c r="AH464" s="737" t="n"/>
      <c r="AI464" s="737" t="n"/>
      <c r="AJ464" s="737" t="n"/>
      <c r="AK464" s="588" t="n"/>
      <c r="AL464" s="588" t="n"/>
      <c r="AM464" s="588" t="n"/>
      <c r="AN464" s="588" t="n"/>
      <c r="AO464" s="588" t="n"/>
      <c r="AP464" s="588" t="n"/>
      <c r="AQ464" s="588" t="n"/>
      <c r="AR464" s="588" t="n"/>
      <c r="AS464" s="588" t="n"/>
      <c r="AT464" s="588" t="n"/>
      <c r="AU464" s="588" t="n"/>
      <c r="AV464" s="588" t="n"/>
      <c r="AW464" s="588" t="n"/>
      <c r="AX464" s="588" t="n"/>
      <c r="AY464" s="588" t="n"/>
      <c r="AZ464" s="588" t="n"/>
      <c r="BA464" s="588" t="n"/>
      <c r="BB464" s="588" t="n"/>
      <c r="BC464" s="588" t="n"/>
      <c r="BD464" s="588" t="n"/>
      <c r="BE464" s="588" t="n"/>
      <c r="BF464" s="588" t="n"/>
      <c r="BG464" s="588" t="n"/>
      <c r="BH464" s="588" t="n"/>
      <c r="BI464" s="588" t="n"/>
      <c r="BJ464" s="588" t="n"/>
      <c r="BK464" s="588" t="n"/>
      <c r="BL464" s="588" t="n"/>
      <c r="BM464" s="588" t="n"/>
      <c r="BN464" s="588" t="n"/>
      <c r="BO464" s="588" t="n"/>
      <c r="BP464" s="588" t="n"/>
      <c r="BQ464" s="588" t="n"/>
      <c r="BR464" s="588" t="n"/>
      <c r="BS464" s="588" t="n"/>
      <c r="BT464" s="588" t="n"/>
      <c r="BU464" s="588" t="n"/>
      <c r="BV464" s="588" t="n"/>
      <c r="BW464" s="588" t="n"/>
      <c r="BX464" s="588" t="n"/>
      <c r="BY464" s="588" t="n"/>
      <c r="BZ464" s="588" t="n"/>
      <c r="CA464" s="588" t="n"/>
      <c r="CB464" s="588" t="n"/>
      <c r="CC464" s="588" t="n"/>
      <c r="CD464" s="588" t="n"/>
      <c r="CE464" s="588" t="n"/>
      <c r="CF464" s="588" t="n"/>
      <c r="CG464" s="588" t="n"/>
      <c r="CH464" s="588" t="n"/>
      <c r="CI464" s="588" t="n"/>
      <c r="CJ464" s="588" t="n"/>
      <c r="CK464" s="588" t="n"/>
      <c r="CL464" s="588" t="n"/>
      <c r="CM464" s="588" t="n"/>
      <c r="CN464" s="588" t="n"/>
      <c r="CO464" s="588" t="n"/>
      <c r="CP464" s="588" t="n"/>
      <c r="CQ464" s="588" t="n"/>
      <c r="CR464" s="588" t="n"/>
      <c r="CS464" s="588" t="n"/>
      <c r="CT464" s="588" t="n"/>
      <c r="CU464" s="588" t="n"/>
      <c r="CV464" s="588" t="n"/>
      <c r="CW464" s="588" t="n"/>
      <c r="CX464" s="588" t="n"/>
      <c r="CY464" s="588" t="n"/>
      <c r="CZ464" s="588" t="n"/>
      <c r="DA464" s="588" t="n"/>
      <c r="DB464" s="588" t="n"/>
      <c r="DC464" s="588" t="n"/>
      <c r="DD464" s="588" t="n"/>
      <c r="DE464" s="588" t="n"/>
      <c r="DF464" s="588" t="n"/>
      <c r="DG464" s="588" t="n"/>
      <c r="DH464" s="588" t="n"/>
      <c r="DI464" s="588" t="n"/>
      <c r="DJ464" s="588" t="n"/>
      <c r="DK464" s="588" t="n"/>
      <c r="DL464" s="588" t="n"/>
      <c r="DM464" s="588" t="n"/>
      <c r="DN464" s="588" t="n"/>
      <c r="DO464" s="588" t="n"/>
      <c r="DP464" s="588" t="n"/>
      <c r="DQ464" s="588" t="n"/>
      <c r="DR464" s="588" t="n"/>
      <c r="DS464" s="588" t="n"/>
      <c r="DT464" s="588" t="n"/>
      <c r="DU464" s="588" t="n"/>
    </row>
    <row r="465">
      <c r="A465" s="737" t="n"/>
      <c r="B465" s="737" t="n"/>
      <c r="C465" s="737" t="n"/>
      <c r="D465" s="737" t="n"/>
      <c r="E465" s="737" t="n"/>
      <c r="F465" s="737" t="n"/>
      <c r="G465" s="737" t="n"/>
      <c r="H465" s="737" t="n"/>
      <c r="I465" s="737" t="n"/>
      <c r="J465" s="737" t="n"/>
      <c r="K465" s="737" t="n"/>
      <c r="L465" s="737" t="n"/>
      <c r="M465" s="737" t="n"/>
      <c r="N465" s="737" t="n"/>
      <c r="O465" s="737" t="n"/>
      <c r="P465" s="737" t="n"/>
      <c r="Q465" s="737" t="n"/>
      <c r="R465" s="737" t="n"/>
      <c r="S465" s="737" t="n"/>
      <c r="T465" s="737" t="n"/>
      <c r="U465" s="737" t="n"/>
      <c r="V465" s="737" t="n"/>
      <c r="W465" s="737" t="n"/>
      <c r="X465" s="737" t="n"/>
      <c r="Y465" s="737" t="n"/>
      <c r="Z465" s="737" t="n"/>
      <c r="AA465" s="737" t="n"/>
      <c r="AB465" s="737" t="n"/>
      <c r="AC465" s="737" t="n"/>
      <c r="AD465" s="737" t="n"/>
      <c r="AE465" s="737" t="n"/>
      <c r="AF465" s="737" t="n"/>
      <c r="AG465" s="737" t="n"/>
      <c r="AH465" s="737" t="n"/>
      <c r="AI465" s="737" t="n"/>
      <c r="AJ465" s="737" t="n"/>
      <c r="AK465" s="588" t="n"/>
      <c r="AL465" s="588" t="n"/>
      <c r="AM465" s="588" t="n"/>
      <c r="AN465" s="588" t="n"/>
      <c r="AO465" s="588" t="n"/>
      <c r="AP465" s="588" t="n"/>
      <c r="AQ465" s="588" t="n"/>
      <c r="AR465" s="588" t="n"/>
      <c r="AS465" s="588" t="n"/>
      <c r="AT465" s="588" t="n"/>
      <c r="AU465" s="588" t="n"/>
      <c r="AV465" s="588" t="n"/>
      <c r="AW465" s="588" t="n"/>
      <c r="AX465" s="588" t="n"/>
      <c r="AY465" s="588" t="n"/>
      <c r="AZ465" s="588" t="n"/>
      <c r="BA465" s="588" t="n"/>
      <c r="BB465" s="588" t="n"/>
      <c r="BC465" s="588" t="n"/>
      <c r="BD465" s="588" t="n"/>
      <c r="BE465" s="588" t="n"/>
      <c r="BF465" s="588" t="n"/>
      <c r="BG465" s="588" t="n"/>
      <c r="BH465" s="588" t="n"/>
      <c r="BI465" s="588" t="n"/>
      <c r="BJ465" s="588" t="n"/>
      <c r="BK465" s="588" t="n"/>
      <c r="BL465" s="588" t="n"/>
      <c r="BM465" s="588" t="n"/>
      <c r="BN465" s="588" t="n"/>
      <c r="BO465" s="588" t="n"/>
      <c r="BP465" s="588" t="n"/>
      <c r="BQ465" s="588" t="n"/>
      <c r="BR465" s="588" t="n"/>
      <c r="BS465" s="588" t="n"/>
      <c r="BT465" s="588" t="n"/>
      <c r="BU465" s="588" t="n"/>
      <c r="BV465" s="588" t="n"/>
      <c r="BW465" s="588" t="n"/>
      <c r="BX465" s="588" t="n"/>
      <c r="BY465" s="588" t="n"/>
      <c r="BZ465" s="588" t="n"/>
      <c r="CA465" s="588" t="n"/>
      <c r="CB465" s="588" t="n"/>
      <c r="CC465" s="588" t="n"/>
      <c r="CD465" s="588" t="n"/>
      <c r="CE465" s="588" t="n"/>
      <c r="CF465" s="588" t="n"/>
      <c r="CG465" s="588" t="n"/>
      <c r="CH465" s="588" t="n"/>
      <c r="CI465" s="588" t="n"/>
      <c r="CJ465" s="588" t="n"/>
      <c r="CK465" s="588" t="n"/>
      <c r="CL465" s="588" t="n"/>
      <c r="CM465" s="588" t="n"/>
      <c r="CN465" s="588" t="n"/>
      <c r="CO465" s="588" t="n"/>
      <c r="CP465" s="588" t="n"/>
      <c r="CQ465" s="588" t="n"/>
      <c r="CR465" s="588" t="n"/>
      <c r="CS465" s="588" t="n"/>
      <c r="CT465" s="588" t="n"/>
      <c r="CU465" s="588" t="n"/>
      <c r="CV465" s="588" t="n"/>
      <c r="CW465" s="588" t="n"/>
      <c r="CX465" s="588" t="n"/>
      <c r="CY465" s="588" t="n"/>
      <c r="CZ465" s="588" t="n"/>
      <c r="DA465" s="588" t="n"/>
      <c r="DB465" s="588" t="n"/>
      <c r="DC465" s="588" t="n"/>
      <c r="DD465" s="588" t="n"/>
      <c r="DE465" s="588" t="n"/>
      <c r="DF465" s="588" t="n"/>
      <c r="DG465" s="588" t="n"/>
      <c r="DH465" s="588" t="n"/>
      <c r="DI465" s="588" t="n"/>
      <c r="DJ465" s="588" t="n"/>
      <c r="DK465" s="588" t="n"/>
      <c r="DL465" s="588" t="n"/>
      <c r="DM465" s="588" t="n"/>
      <c r="DN465" s="588" t="n"/>
      <c r="DO465" s="588" t="n"/>
      <c r="DP465" s="588" t="n"/>
      <c r="DQ465" s="588" t="n"/>
      <c r="DR465" s="588" t="n"/>
      <c r="DS465" s="588" t="n"/>
      <c r="DT465" s="588" t="n"/>
      <c r="DU465" s="588" t="n"/>
    </row>
    <row r="466">
      <c r="A466" s="737" t="n"/>
      <c r="B466" s="737" t="n"/>
      <c r="C466" s="737" t="n"/>
      <c r="D466" s="737" t="n"/>
      <c r="E466" s="737" t="n"/>
      <c r="F466" s="737" t="n"/>
      <c r="G466" s="737" t="n"/>
      <c r="H466" s="737" t="n"/>
      <c r="I466" s="737" t="n"/>
      <c r="J466" s="737" t="n"/>
      <c r="K466" s="737" t="n"/>
      <c r="L466" s="737" t="n"/>
      <c r="M466" s="737" t="n"/>
      <c r="N466" s="737" t="n"/>
      <c r="O466" s="737" t="n"/>
      <c r="P466" s="737" t="n"/>
      <c r="Q466" s="737" t="n"/>
      <c r="R466" s="737" t="n"/>
      <c r="S466" s="737" t="n"/>
      <c r="T466" s="737" t="n"/>
      <c r="U466" s="737" t="n"/>
      <c r="V466" s="737" t="n"/>
      <c r="W466" s="737" t="n"/>
      <c r="X466" s="737" t="n"/>
      <c r="Y466" s="737" t="n"/>
      <c r="Z466" s="737" t="n"/>
      <c r="AA466" s="737" t="n"/>
      <c r="AB466" s="737" t="n"/>
      <c r="AC466" s="737" t="n"/>
      <c r="AD466" s="737" t="n"/>
      <c r="AE466" s="737" t="n"/>
      <c r="AF466" s="737" t="n"/>
      <c r="AG466" s="737" t="n"/>
      <c r="AH466" s="737" t="n"/>
      <c r="AI466" s="737" t="n"/>
      <c r="AJ466" s="737" t="n"/>
      <c r="AK466" s="588" t="n"/>
      <c r="AL466" s="588" t="n"/>
      <c r="AM466" s="588" t="n"/>
      <c r="AN466" s="588" t="n"/>
      <c r="AO466" s="588" t="n"/>
      <c r="AP466" s="588" t="n"/>
      <c r="AQ466" s="588" t="n"/>
      <c r="AR466" s="588" t="n"/>
      <c r="AS466" s="588" t="n"/>
      <c r="AT466" s="588" t="n"/>
      <c r="AU466" s="588" t="n"/>
      <c r="AV466" s="588" t="n"/>
      <c r="AW466" s="588" t="n"/>
      <c r="AX466" s="588" t="n"/>
      <c r="AY466" s="588" t="n"/>
      <c r="AZ466" s="588" t="n"/>
      <c r="BA466" s="588" t="n"/>
      <c r="BB466" s="588" t="n"/>
      <c r="BC466" s="588" t="n"/>
      <c r="BD466" s="588" t="n"/>
      <c r="BE466" s="588" t="n"/>
      <c r="BF466" s="588" t="n"/>
      <c r="BG466" s="588" t="n"/>
      <c r="BH466" s="588" t="n"/>
      <c r="BI466" s="588" t="n"/>
      <c r="BJ466" s="588" t="n"/>
      <c r="BK466" s="588" t="n"/>
      <c r="BL466" s="588" t="n"/>
      <c r="BM466" s="588" t="n"/>
      <c r="BN466" s="588" t="n"/>
      <c r="BO466" s="588" t="n"/>
      <c r="BP466" s="588" t="n"/>
      <c r="BQ466" s="588" t="n"/>
      <c r="BR466" s="588" t="n"/>
      <c r="BS466" s="588" t="n"/>
      <c r="BT466" s="588" t="n"/>
      <c r="BU466" s="588" t="n"/>
      <c r="BV466" s="588" t="n"/>
      <c r="BW466" s="588" t="n"/>
      <c r="BX466" s="588" t="n"/>
      <c r="BY466" s="588" t="n"/>
      <c r="BZ466" s="588" t="n"/>
      <c r="CA466" s="588" t="n"/>
      <c r="CB466" s="588" t="n"/>
      <c r="CC466" s="588" t="n"/>
      <c r="CD466" s="588" t="n"/>
      <c r="CE466" s="588" t="n"/>
      <c r="CF466" s="588" t="n"/>
      <c r="CG466" s="588" t="n"/>
      <c r="CH466" s="588" t="n"/>
      <c r="CI466" s="588" t="n"/>
      <c r="CJ466" s="588" t="n"/>
      <c r="CK466" s="588" t="n"/>
      <c r="CL466" s="588" t="n"/>
      <c r="CM466" s="588" t="n"/>
      <c r="CN466" s="588" t="n"/>
      <c r="CO466" s="588" t="n"/>
      <c r="CP466" s="588" t="n"/>
      <c r="CQ466" s="588" t="n"/>
      <c r="CR466" s="588" t="n"/>
      <c r="CS466" s="588" t="n"/>
      <c r="CT466" s="588" t="n"/>
      <c r="CU466" s="588" t="n"/>
      <c r="CV466" s="588" t="n"/>
      <c r="CW466" s="588" t="n"/>
      <c r="CX466" s="588" t="n"/>
      <c r="CY466" s="588" t="n"/>
      <c r="CZ466" s="588" t="n"/>
      <c r="DA466" s="588" t="n"/>
      <c r="DB466" s="588" t="n"/>
      <c r="DC466" s="588" t="n"/>
      <c r="DD466" s="588" t="n"/>
      <c r="DE466" s="588" t="n"/>
      <c r="DF466" s="588" t="n"/>
      <c r="DG466" s="588" t="n"/>
      <c r="DH466" s="588" t="n"/>
      <c r="DI466" s="588" t="n"/>
      <c r="DJ466" s="588" t="n"/>
      <c r="DK466" s="588" t="n"/>
      <c r="DL466" s="588" t="n"/>
      <c r="DM466" s="588" t="n"/>
      <c r="DN466" s="588" t="n"/>
      <c r="DO466" s="588" t="n"/>
      <c r="DP466" s="588" t="n"/>
      <c r="DQ466" s="588" t="n"/>
      <c r="DR466" s="588" t="n"/>
      <c r="DS466" s="588" t="n"/>
      <c r="DT466" s="588" t="n"/>
      <c r="DU466" s="588" t="n"/>
    </row>
    <row r="467">
      <c r="A467" s="737" t="n"/>
      <c r="B467" s="737" t="n"/>
      <c r="C467" s="737" t="n"/>
      <c r="D467" s="737" t="n"/>
      <c r="E467" s="737" t="n"/>
      <c r="F467" s="737" t="n"/>
      <c r="G467" s="737" t="n"/>
      <c r="H467" s="737" t="n"/>
      <c r="I467" s="737" t="n"/>
      <c r="J467" s="737" t="n"/>
      <c r="K467" s="737" t="n"/>
      <c r="L467" s="737" t="n"/>
      <c r="M467" s="737" t="n"/>
      <c r="N467" s="737" t="n"/>
      <c r="O467" s="737" t="n"/>
      <c r="P467" s="737" t="n"/>
      <c r="Q467" s="737" t="n"/>
      <c r="R467" s="737" t="n"/>
      <c r="S467" s="737" t="n"/>
      <c r="T467" s="737" t="n"/>
      <c r="U467" s="737" t="n"/>
      <c r="V467" s="737" t="n"/>
      <c r="W467" s="737" t="n"/>
      <c r="X467" s="737" t="n"/>
      <c r="Y467" s="737" t="n"/>
      <c r="Z467" s="737" t="n"/>
      <c r="AA467" s="737" t="n"/>
      <c r="AB467" s="737" t="n"/>
      <c r="AC467" s="737" t="n"/>
      <c r="AD467" s="737" t="n"/>
      <c r="AE467" s="737" t="n"/>
      <c r="AF467" s="737" t="n"/>
      <c r="AG467" s="737" t="n"/>
      <c r="AH467" s="737" t="n"/>
      <c r="AI467" s="737" t="n"/>
      <c r="AJ467" s="737" t="n"/>
      <c r="AK467" s="588" t="n"/>
      <c r="AL467" s="588" t="n"/>
      <c r="AM467" s="588" t="n"/>
      <c r="AN467" s="588" t="n"/>
      <c r="AO467" s="588" t="n"/>
      <c r="AP467" s="588" t="n"/>
      <c r="AQ467" s="588" t="n"/>
      <c r="AR467" s="588" t="n"/>
      <c r="AS467" s="588" t="n"/>
      <c r="AT467" s="588" t="n"/>
      <c r="AU467" s="588" t="n"/>
      <c r="AV467" s="588" t="n"/>
      <c r="AW467" s="588" t="n"/>
      <c r="AX467" s="588" t="n"/>
      <c r="AY467" s="588" t="n"/>
      <c r="AZ467" s="588" t="n"/>
      <c r="BA467" s="588" t="n"/>
      <c r="BB467" s="588" t="n"/>
      <c r="BC467" s="588" t="n"/>
      <c r="BD467" s="588" t="n"/>
      <c r="BE467" s="588" t="n"/>
      <c r="BF467" s="588" t="n"/>
      <c r="BG467" s="588" t="n"/>
      <c r="BH467" s="588" t="n"/>
      <c r="BI467" s="588" t="n"/>
      <c r="BJ467" s="588" t="n"/>
      <c r="BK467" s="588" t="n"/>
      <c r="BL467" s="588" t="n"/>
      <c r="BM467" s="588" t="n"/>
      <c r="BN467" s="588" t="n"/>
      <c r="BO467" s="588" t="n"/>
      <c r="BP467" s="588" t="n"/>
      <c r="BQ467" s="588" t="n"/>
      <c r="BR467" s="588" t="n"/>
      <c r="BS467" s="588" t="n"/>
      <c r="BT467" s="588" t="n"/>
      <c r="BU467" s="588" t="n"/>
      <c r="BV467" s="588" t="n"/>
      <c r="BW467" s="588" t="n"/>
      <c r="BX467" s="588" t="n"/>
      <c r="BY467" s="588" t="n"/>
      <c r="BZ467" s="588" t="n"/>
      <c r="CA467" s="588" t="n"/>
      <c r="CB467" s="588" t="n"/>
      <c r="CC467" s="588" t="n"/>
      <c r="CD467" s="588" t="n"/>
      <c r="CE467" s="588" t="n"/>
      <c r="CF467" s="588" t="n"/>
      <c r="CG467" s="588" t="n"/>
      <c r="CH467" s="588" t="n"/>
      <c r="CI467" s="588" t="n"/>
      <c r="CJ467" s="588" t="n"/>
      <c r="CK467" s="588" t="n"/>
      <c r="CL467" s="588" t="n"/>
      <c r="CM467" s="588" t="n"/>
      <c r="CN467" s="588" t="n"/>
      <c r="CO467" s="588" t="n"/>
      <c r="CP467" s="588" t="n"/>
      <c r="CQ467" s="588" t="n"/>
      <c r="CR467" s="588" t="n"/>
      <c r="CS467" s="588" t="n"/>
      <c r="CT467" s="588" t="n"/>
      <c r="CU467" s="588" t="n"/>
      <c r="CV467" s="588" t="n"/>
      <c r="CW467" s="588" t="n"/>
      <c r="CX467" s="588" t="n"/>
      <c r="CY467" s="588" t="n"/>
      <c r="CZ467" s="588" t="n"/>
      <c r="DA467" s="588" t="n"/>
      <c r="DB467" s="588" t="n"/>
      <c r="DC467" s="588" t="n"/>
      <c r="DD467" s="588" t="n"/>
      <c r="DE467" s="588" t="n"/>
      <c r="DF467" s="588" t="n"/>
      <c r="DG467" s="588" t="n"/>
      <c r="DH467" s="588" t="n"/>
      <c r="DI467" s="588" t="n"/>
      <c r="DJ467" s="588" t="n"/>
      <c r="DK467" s="588" t="n"/>
      <c r="DL467" s="588" t="n"/>
      <c r="DM467" s="588" t="n"/>
      <c r="DN467" s="588" t="n"/>
      <c r="DO467" s="588" t="n"/>
      <c r="DP467" s="588" t="n"/>
      <c r="DQ467" s="588" t="n"/>
      <c r="DR467" s="588" t="n"/>
      <c r="DS467" s="588" t="n"/>
      <c r="DT467" s="588" t="n"/>
      <c r="DU467" s="588" t="n"/>
    </row>
    <row r="468">
      <c r="A468" s="737" t="n"/>
      <c r="B468" s="737" t="n"/>
      <c r="C468" s="737" t="n"/>
      <c r="D468" s="737" t="n"/>
      <c r="E468" s="737" t="n"/>
      <c r="F468" s="737" t="n"/>
      <c r="G468" s="737" t="n"/>
      <c r="H468" s="737" t="n"/>
      <c r="I468" s="737" t="n"/>
      <c r="J468" s="737" t="n"/>
      <c r="K468" s="737" t="n"/>
      <c r="L468" s="737" t="n"/>
      <c r="M468" s="737" t="n"/>
      <c r="N468" s="737" t="n"/>
      <c r="O468" s="737" t="n"/>
      <c r="P468" s="737" t="n"/>
      <c r="Q468" s="737" t="n"/>
      <c r="R468" s="737" t="n"/>
      <c r="S468" s="737" t="n"/>
      <c r="T468" s="737" t="n"/>
      <c r="U468" s="737" t="n"/>
      <c r="V468" s="737" t="n"/>
      <c r="W468" s="737" t="n"/>
      <c r="X468" s="737" t="n"/>
      <c r="Y468" s="737" t="n"/>
      <c r="Z468" s="737" t="n"/>
      <c r="AA468" s="737" t="n"/>
      <c r="AB468" s="737" t="n"/>
      <c r="AC468" s="737" t="n"/>
      <c r="AD468" s="737" t="n"/>
      <c r="AE468" s="737" t="n"/>
      <c r="AF468" s="737" t="n"/>
      <c r="AG468" s="737" t="n"/>
      <c r="AH468" s="737" t="n"/>
      <c r="AI468" s="737" t="n"/>
      <c r="AJ468" s="737" t="n"/>
      <c r="AK468" s="588" t="n"/>
      <c r="AL468" s="588" t="n"/>
      <c r="AM468" s="588" t="n"/>
      <c r="AN468" s="588" t="n"/>
      <c r="AO468" s="588" t="n"/>
      <c r="AP468" s="588" t="n"/>
      <c r="AQ468" s="588" t="n"/>
      <c r="AR468" s="588" t="n"/>
      <c r="AS468" s="588" t="n"/>
      <c r="AT468" s="588" t="n"/>
      <c r="AU468" s="588" t="n"/>
      <c r="AV468" s="588" t="n"/>
      <c r="AW468" s="588" t="n"/>
      <c r="AX468" s="588" t="n"/>
      <c r="AY468" s="588" t="n"/>
      <c r="AZ468" s="588" t="n"/>
      <c r="BA468" s="588" t="n"/>
      <c r="BB468" s="588" t="n"/>
      <c r="BC468" s="588" t="n"/>
      <c r="BD468" s="588" t="n"/>
      <c r="BE468" s="588" t="n"/>
      <c r="BF468" s="588" t="n"/>
      <c r="BG468" s="588" t="n"/>
      <c r="BH468" s="588" t="n"/>
      <c r="BI468" s="588" t="n"/>
      <c r="BJ468" s="588" t="n"/>
      <c r="BK468" s="588" t="n"/>
      <c r="BL468" s="588" t="n"/>
      <c r="BM468" s="588" t="n"/>
      <c r="BN468" s="588" t="n"/>
      <c r="BO468" s="588" t="n"/>
      <c r="BP468" s="588" t="n"/>
      <c r="BQ468" s="588" t="n"/>
      <c r="BR468" s="588" t="n"/>
      <c r="BS468" s="588" t="n"/>
      <c r="BT468" s="588" t="n"/>
      <c r="BU468" s="588" t="n"/>
      <c r="BV468" s="588" t="n"/>
      <c r="BW468" s="588" t="n"/>
      <c r="BX468" s="588" t="n"/>
      <c r="BY468" s="588" t="n"/>
      <c r="BZ468" s="588" t="n"/>
      <c r="CA468" s="588" t="n"/>
      <c r="CB468" s="588" t="n"/>
      <c r="CC468" s="588" t="n"/>
      <c r="CD468" s="588" t="n"/>
      <c r="CE468" s="588" t="n"/>
      <c r="CF468" s="588" t="n"/>
      <c r="CG468" s="588" t="n"/>
      <c r="CH468" s="588" t="n"/>
      <c r="CI468" s="588" t="n"/>
      <c r="CJ468" s="588" t="n"/>
      <c r="CK468" s="588" t="n"/>
      <c r="CL468" s="588" t="n"/>
      <c r="CM468" s="588" t="n"/>
      <c r="CN468" s="588" t="n"/>
      <c r="CO468" s="588" t="n"/>
      <c r="CP468" s="588" t="n"/>
      <c r="CQ468" s="588" t="n"/>
      <c r="CR468" s="588" t="n"/>
      <c r="CS468" s="588" t="n"/>
      <c r="CT468" s="588" t="n"/>
      <c r="CU468" s="588" t="n"/>
      <c r="CV468" s="588" t="n"/>
      <c r="CW468" s="588" t="n"/>
      <c r="CX468" s="588" t="n"/>
      <c r="CY468" s="588" t="n"/>
      <c r="CZ468" s="588" t="n"/>
      <c r="DA468" s="588" t="n"/>
      <c r="DB468" s="588" t="n"/>
      <c r="DC468" s="588" t="n"/>
      <c r="DD468" s="588" t="n"/>
      <c r="DE468" s="588" t="n"/>
      <c r="DF468" s="588" t="n"/>
      <c r="DG468" s="588" t="n"/>
      <c r="DH468" s="588" t="n"/>
      <c r="DI468" s="588" t="n"/>
      <c r="DJ468" s="588" t="n"/>
      <c r="DK468" s="588" t="n"/>
      <c r="DL468" s="588" t="n"/>
      <c r="DM468" s="588" t="n"/>
      <c r="DN468" s="588" t="n"/>
      <c r="DO468" s="588" t="n"/>
      <c r="DP468" s="588" t="n"/>
      <c r="DQ468" s="588" t="n"/>
      <c r="DR468" s="588" t="n"/>
      <c r="DS468" s="588" t="n"/>
      <c r="DT468" s="588" t="n"/>
      <c r="DU468" s="588" t="n"/>
    </row>
    <row r="469">
      <c r="A469" s="737" t="n"/>
      <c r="B469" s="737" t="n"/>
      <c r="C469" s="737" t="n"/>
      <c r="D469" s="737" t="n"/>
      <c r="E469" s="737" t="n"/>
      <c r="F469" s="737" t="n"/>
      <c r="G469" s="737" t="n"/>
      <c r="H469" s="737" t="n"/>
      <c r="I469" s="737" t="n"/>
      <c r="J469" s="737" t="n"/>
      <c r="K469" s="737" t="n"/>
      <c r="L469" s="737" t="n"/>
      <c r="M469" s="737" t="n"/>
      <c r="N469" s="737" t="n"/>
      <c r="O469" s="737" t="n"/>
      <c r="P469" s="737" t="n"/>
      <c r="Q469" s="737" t="n"/>
      <c r="R469" s="737" t="n"/>
      <c r="S469" s="737" t="n"/>
      <c r="T469" s="737" t="n"/>
      <c r="U469" s="737" t="n"/>
      <c r="V469" s="737" t="n"/>
      <c r="W469" s="737" t="n"/>
      <c r="X469" s="737" t="n"/>
      <c r="Y469" s="737" t="n"/>
      <c r="Z469" s="737" t="n"/>
      <c r="AA469" s="737" t="n"/>
      <c r="AB469" s="737" t="n"/>
      <c r="AC469" s="737" t="n"/>
      <c r="AD469" s="737" t="n"/>
      <c r="AE469" s="737" t="n"/>
      <c r="AF469" s="737" t="n"/>
      <c r="AG469" s="737" t="n"/>
      <c r="AH469" s="737" t="n"/>
      <c r="AI469" s="737" t="n"/>
      <c r="AJ469" s="737" t="n"/>
      <c r="AK469" s="588" t="n"/>
      <c r="AL469" s="588" t="n"/>
      <c r="AM469" s="588" t="n"/>
      <c r="AN469" s="588" t="n"/>
      <c r="AO469" s="588" t="n"/>
      <c r="AP469" s="588" t="n"/>
      <c r="AQ469" s="588" t="n"/>
      <c r="AR469" s="588" t="n"/>
      <c r="AS469" s="588" t="n"/>
      <c r="AT469" s="588" t="n"/>
      <c r="AU469" s="588" t="n"/>
      <c r="AV469" s="588" t="n"/>
      <c r="AW469" s="588" t="n"/>
      <c r="AX469" s="588" t="n"/>
      <c r="AY469" s="588" t="n"/>
      <c r="AZ469" s="588" t="n"/>
      <c r="BA469" s="588" t="n"/>
      <c r="BB469" s="588" t="n"/>
      <c r="BC469" s="588" t="n"/>
      <c r="BD469" s="588" t="n"/>
      <c r="BE469" s="588" t="n"/>
      <c r="BF469" s="588" t="n"/>
      <c r="BG469" s="588" t="n"/>
      <c r="BH469" s="588" t="n"/>
      <c r="BI469" s="588" t="n"/>
      <c r="BJ469" s="588" t="n"/>
      <c r="BK469" s="588" t="n"/>
      <c r="BL469" s="588" t="n"/>
      <c r="BM469" s="588" t="n"/>
      <c r="BN469" s="588" t="n"/>
      <c r="BO469" s="588" t="n"/>
      <c r="BP469" s="588" t="n"/>
      <c r="BQ469" s="588" t="n"/>
      <c r="BR469" s="588" t="n"/>
      <c r="BS469" s="588" t="n"/>
      <c r="BT469" s="588" t="n"/>
      <c r="BU469" s="588" t="n"/>
      <c r="BV469" s="588" t="n"/>
      <c r="BW469" s="588" t="n"/>
      <c r="BX469" s="588" t="n"/>
      <c r="BY469" s="588" t="n"/>
      <c r="BZ469" s="588" t="n"/>
      <c r="CA469" s="588" t="n"/>
      <c r="CB469" s="588" t="n"/>
      <c r="CC469" s="588" t="n"/>
      <c r="CD469" s="588" t="n"/>
      <c r="CE469" s="588" t="n"/>
      <c r="CF469" s="588" t="n"/>
      <c r="CG469" s="588" t="n"/>
      <c r="CH469" s="588" t="n"/>
      <c r="CI469" s="588" t="n"/>
      <c r="CJ469" s="588" t="n"/>
      <c r="CK469" s="588" t="n"/>
      <c r="CL469" s="588" t="n"/>
      <c r="CM469" s="588" t="n"/>
      <c r="CN469" s="588" t="n"/>
      <c r="CO469" s="588" t="n"/>
      <c r="CP469" s="588" t="n"/>
      <c r="CQ469" s="588" t="n"/>
      <c r="CR469" s="588" t="n"/>
      <c r="CS469" s="588" t="n"/>
      <c r="CT469" s="588" t="n"/>
      <c r="CU469" s="588" t="n"/>
      <c r="CV469" s="588" t="n"/>
      <c r="CW469" s="588" t="n"/>
      <c r="CX469" s="588" t="n"/>
      <c r="CY469" s="588" t="n"/>
      <c r="CZ469" s="588" t="n"/>
      <c r="DA469" s="588" t="n"/>
      <c r="DB469" s="588" t="n"/>
      <c r="DC469" s="588" t="n"/>
      <c r="DD469" s="588" t="n"/>
      <c r="DE469" s="588" t="n"/>
      <c r="DF469" s="588" t="n"/>
      <c r="DG469" s="588" t="n"/>
      <c r="DH469" s="588" t="n"/>
      <c r="DI469" s="588" t="n"/>
      <c r="DJ469" s="588" t="n"/>
      <c r="DK469" s="588" t="n"/>
      <c r="DL469" s="588" t="n"/>
      <c r="DM469" s="588" t="n"/>
      <c r="DN469" s="588" t="n"/>
      <c r="DO469" s="588" t="n"/>
      <c r="DP469" s="588" t="n"/>
      <c r="DQ469" s="588" t="n"/>
      <c r="DR469" s="588" t="n"/>
      <c r="DS469" s="588" t="n"/>
      <c r="DT469" s="588" t="n"/>
      <c r="DU469" s="588" t="n"/>
    </row>
    <row r="470">
      <c r="A470" s="737" t="n"/>
      <c r="B470" s="737" t="n"/>
      <c r="C470" s="737" t="n"/>
      <c r="D470" s="737" t="n"/>
      <c r="E470" s="737" t="n"/>
      <c r="F470" s="737" t="n"/>
      <c r="G470" s="737" t="n"/>
      <c r="H470" s="737" t="n"/>
      <c r="I470" s="737" t="n"/>
      <c r="J470" s="737" t="n"/>
      <c r="K470" s="737" t="n"/>
      <c r="L470" s="737" t="n"/>
      <c r="M470" s="737" t="n"/>
      <c r="N470" s="737" t="n"/>
      <c r="O470" s="737" t="n"/>
      <c r="P470" s="737" t="n"/>
      <c r="Q470" s="737" t="n"/>
      <c r="R470" s="737" t="n"/>
      <c r="S470" s="737" t="n"/>
      <c r="T470" s="737" t="n"/>
      <c r="U470" s="737" t="n"/>
      <c r="V470" s="737" t="n"/>
      <c r="W470" s="737" t="n"/>
      <c r="X470" s="737" t="n"/>
      <c r="Y470" s="737" t="n"/>
      <c r="Z470" s="737" t="n"/>
      <c r="AA470" s="737" t="n"/>
      <c r="AB470" s="737" t="n"/>
      <c r="AC470" s="737" t="n"/>
      <c r="AD470" s="737" t="n"/>
      <c r="AE470" s="737" t="n"/>
      <c r="AF470" s="737" t="n"/>
      <c r="AG470" s="737" t="n"/>
      <c r="AH470" s="737" t="n"/>
      <c r="AI470" s="737" t="n"/>
      <c r="AJ470" s="737" t="n"/>
      <c r="AK470" s="588" t="n"/>
      <c r="AL470" s="588" t="n"/>
      <c r="AM470" s="588" t="n"/>
      <c r="AN470" s="588" t="n"/>
      <c r="AO470" s="588" t="n"/>
      <c r="AP470" s="588" t="n"/>
      <c r="AQ470" s="588" t="n"/>
      <c r="AR470" s="588" t="n"/>
      <c r="AS470" s="588" t="n"/>
      <c r="AT470" s="588" t="n"/>
      <c r="AU470" s="588" t="n"/>
      <c r="AV470" s="588" t="n"/>
      <c r="AW470" s="588" t="n"/>
      <c r="AX470" s="588" t="n"/>
      <c r="AY470" s="588" t="n"/>
      <c r="AZ470" s="588" t="n"/>
      <c r="BA470" s="588" t="n"/>
      <c r="BB470" s="588" t="n"/>
      <c r="BC470" s="588" t="n"/>
      <c r="BD470" s="588" t="n"/>
      <c r="BE470" s="588" t="n"/>
      <c r="BF470" s="588" t="n"/>
      <c r="BG470" s="588" t="n"/>
      <c r="BH470" s="588" t="n"/>
      <c r="BI470" s="588" t="n"/>
      <c r="BJ470" s="588" t="n"/>
      <c r="BK470" s="588" t="n"/>
      <c r="BL470" s="588" t="n"/>
      <c r="BM470" s="588" t="n"/>
      <c r="BN470" s="588" t="n"/>
      <c r="BO470" s="588" t="n"/>
      <c r="BP470" s="588" t="n"/>
      <c r="BQ470" s="588" t="n"/>
      <c r="BR470" s="588" t="n"/>
      <c r="BS470" s="588" t="n"/>
      <c r="BT470" s="588" t="n"/>
      <c r="BU470" s="588" t="n"/>
      <c r="BV470" s="588" t="n"/>
      <c r="BW470" s="588" t="n"/>
      <c r="BX470" s="588" t="n"/>
      <c r="BY470" s="588" t="n"/>
      <c r="BZ470" s="588" t="n"/>
      <c r="CA470" s="588" t="n"/>
      <c r="CB470" s="588" t="n"/>
      <c r="CC470" s="588" t="n"/>
      <c r="CD470" s="588" t="n"/>
      <c r="CE470" s="588" t="n"/>
      <c r="CF470" s="588" t="n"/>
      <c r="CG470" s="588" t="n"/>
      <c r="CH470" s="588" t="n"/>
      <c r="CI470" s="588" t="n"/>
      <c r="CJ470" s="588" t="n"/>
      <c r="CK470" s="588" t="n"/>
      <c r="CL470" s="588" t="n"/>
      <c r="CM470" s="588" t="n"/>
      <c r="CN470" s="588" t="n"/>
      <c r="CO470" s="588" t="n"/>
      <c r="CP470" s="588" t="n"/>
      <c r="CQ470" s="588" t="n"/>
      <c r="CR470" s="588" t="n"/>
      <c r="CS470" s="588" t="n"/>
      <c r="CT470" s="588" t="n"/>
      <c r="CU470" s="588" t="n"/>
      <c r="CV470" s="588" t="n"/>
      <c r="CW470" s="588" t="n"/>
      <c r="CX470" s="588" t="n"/>
      <c r="CY470" s="588" t="n"/>
      <c r="CZ470" s="588" t="n"/>
      <c r="DA470" s="588" t="n"/>
      <c r="DB470" s="588" t="n"/>
      <c r="DC470" s="588" t="n"/>
      <c r="DD470" s="588" t="n"/>
      <c r="DE470" s="588" t="n"/>
      <c r="DF470" s="588" t="n"/>
      <c r="DG470" s="588" t="n"/>
      <c r="DH470" s="588" t="n"/>
      <c r="DI470" s="588" t="n"/>
      <c r="DJ470" s="588" t="n"/>
      <c r="DK470" s="588" t="n"/>
      <c r="DL470" s="588" t="n"/>
      <c r="DM470" s="588" t="n"/>
      <c r="DN470" s="588" t="n"/>
      <c r="DO470" s="588" t="n"/>
      <c r="DP470" s="588" t="n"/>
      <c r="DQ470" s="588" t="n"/>
      <c r="DR470" s="588" t="n"/>
      <c r="DS470" s="588" t="n"/>
      <c r="DT470" s="588" t="n"/>
      <c r="DU470" s="588" t="n"/>
    </row>
    <row r="471">
      <c r="A471" s="737" t="n"/>
      <c r="B471" s="737" t="n"/>
      <c r="C471" s="737" t="n"/>
      <c r="D471" s="737" t="n"/>
      <c r="E471" s="737" t="n"/>
      <c r="F471" s="737" t="n"/>
      <c r="G471" s="737" t="n"/>
      <c r="H471" s="737" t="n"/>
      <c r="I471" s="737" t="n"/>
      <c r="J471" s="737" t="n"/>
      <c r="K471" s="737" t="n"/>
      <c r="L471" s="737" t="n"/>
      <c r="M471" s="737" t="n"/>
      <c r="N471" s="737" t="n"/>
      <c r="O471" s="737" t="n"/>
      <c r="P471" s="737" t="n"/>
      <c r="Q471" s="737" t="n"/>
      <c r="R471" s="737" t="n"/>
      <c r="S471" s="737" t="n"/>
      <c r="T471" s="737" t="n"/>
      <c r="U471" s="737" t="n"/>
      <c r="V471" s="737" t="n"/>
      <c r="W471" s="737" t="n"/>
      <c r="X471" s="737" t="n"/>
      <c r="Y471" s="737" t="n"/>
      <c r="Z471" s="737" t="n"/>
      <c r="AA471" s="737" t="n"/>
      <c r="AB471" s="737" t="n"/>
      <c r="AC471" s="737" t="n"/>
      <c r="AD471" s="737" t="n"/>
      <c r="AE471" s="737" t="n"/>
      <c r="AF471" s="737" t="n"/>
      <c r="AG471" s="737" t="n"/>
      <c r="AH471" s="737" t="n"/>
      <c r="AI471" s="737" t="n"/>
      <c r="AJ471" s="737" t="n"/>
      <c r="AK471" s="588" t="n"/>
      <c r="AL471" s="588" t="n"/>
      <c r="AM471" s="588" t="n"/>
      <c r="AN471" s="588" t="n"/>
      <c r="AO471" s="588" t="n"/>
      <c r="AP471" s="588" t="n"/>
      <c r="AQ471" s="588" t="n"/>
      <c r="AR471" s="588" t="n"/>
      <c r="AS471" s="588" t="n"/>
      <c r="AT471" s="588" t="n"/>
      <c r="AU471" s="588" t="n"/>
      <c r="AV471" s="588" t="n"/>
      <c r="AW471" s="588" t="n"/>
      <c r="AX471" s="588" t="n"/>
      <c r="AY471" s="588" t="n"/>
      <c r="AZ471" s="588" t="n"/>
      <c r="BA471" s="588" t="n"/>
      <c r="BB471" s="588" t="n"/>
      <c r="BC471" s="588" t="n"/>
      <c r="BD471" s="588" t="n"/>
      <c r="BE471" s="588" t="n"/>
      <c r="BF471" s="588" t="n"/>
      <c r="BG471" s="588" t="n"/>
      <c r="BH471" s="588" t="n"/>
      <c r="BI471" s="588" t="n"/>
      <c r="BJ471" s="588" t="n"/>
      <c r="BK471" s="588" t="n"/>
      <c r="BL471" s="588" t="n"/>
      <c r="BM471" s="588" t="n"/>
      <c r="BN471" s="588" t="n"/>
      <c r="BO471" s="588" t="n"/>
      <c r="BP471" s="588" t="n"/>
      <c r="BQ471" s="588" t="n"/>
      <c r="BR471" s="588" t="n"/>
      <c r="BS471" s="588" t="n"/>
      <c r="BT471" s="588" t="n"/>
      <c r="BU471" s="588" t="n"/>
      <c r="BV471" s="588" t="n"/>
      <c r="BW471" s="588" t="n"/>
      <c r="BX471" s="588" t="n"/>
      <c r="BY471" s="588" t="n"/>
      <c r="BZ471" s="588" t="n"/>
      <c r="CA471" s="588" t="n"/>
      <c r="CB471" s="588" t="n"/>
      <c r="CC471" s="588" t="n"/>
      <c r="CD471" s="588" t="n"/>
      <c r="CE471" s="588" t="n"/>
      <c r="CF471" s="588" t="n"/>
      <c r="CG471" s="588" t="n"/>
      <c r="CH471" s="588" t="n"/>
      <c r="CI471" s="588" t="n"/>
      <c r="CJ471" s="588" t="n"/>
      <c r="CK471" s="588" t="n"/>
      <c r="CL471" s="588" t="n"/>
      <c r="CM471" s="588" t="n"/>
      <c r="CN471" s="588" t="n"/>
      <c r="CO471" s="588" t="n"/>
      <c r="CP471" s="588" t="n"/>
      <c r="CQ471" s="588" t="n"/>
      <c r="CR471" s="588" t="n"/>
      <c r="CS471" s="588" t="n"/>
      <c r="CT471" s="588" t="n"/>
      <c r="CU471" s="588" t="n"/>
      <c r="CV471" s="588" t="n"/>
      <c r="CW471" s="588" t="n"/>
      <c r="CX471" s="588" t="n"/>
      <c r="CY471" s="588" t="n"/>
      <c r="CZ471" s="588" t="n"/>
      <c r="DA471" s="588" t="n"/>
      <c r="DB471" s="588" t="n"/>
      <c r="DC471" s="588" t="n"/>
      <c r="DD471" s="588" t="n"/>
      <c r="DE471" s="588" t="n"/>
      <c r="DF471" s="588" t="n"/>
      <c r="DG471" s="588" t="n"/>
      <c r="DH471" s="588" t="n"/>
      <c r="DI471" s="588" t="n"/>
      <c r="DJ471" s="588" t="n"/>
      <c r="DK471" s="588" t="n"/>
      <c r="DL471" s="588" t="n"/>
      <c r="DM471" s="588" t="n"/>
      <c r="DN471" s="588" t="n"/>
      <c r="DO471" s="588" t="n"/>
      <c r="DP471" s="588" t="n"/>
      <c r="DQ471" s="588" t="n"/>
      <c r="DR471" s="588" t="n"/>
      <c r="DS471" s="588" t="n"/>
      <c r="DT471" s="588" t="n"/>
      <c r="DU471" s="588" t="n"/>
    </row>
    <row r="472">
      <c r="A472" s="737" t="n"/>
      <c r="B472" s="737" t="n"/>
      <c r="C472" s="737" t="n"/>
      <c r="D472" s="737" t="n"/>
      <c r="E472" s="737" t="n"/>
      <c r="F472" s="737" t="n"/>
      <c r="G472" s="737" t="n"/>
      <c r="H472" s="737" t="n"/>
      <c r="I472" s="737" t="n"/>
      <c r="J472" s="737" t="n"/>
      <c r="K472" s="737" t="n"/>
      <c r="L472" s="737" t="n"/>
      <c r="M472" s="737" t="n"/>
      <c r="N472" s="737" t="n"/>
      <c r="O472" s="737" t="n"/>
      <c r="P472" s="737" t="n"/>
      <c r="Q472" s="737" t="n"/>
      <c r="R472" s="737" t="n"/>
      <c r="S472" s="737" t="n"/>
      <c r="T472" s="737" t="n"/>
      <c r="U472" s="737" t="n"/>
      <c r="V472" s="737" t="n"/>
      <c r="W472" s="737" t="n"/>
      <c r="X472" s="737" t="n"/>
      <c r="Y472" s="737" t="n"/>
      <c r="Z472" s="737" t="n"/>
      <c r="AA472" s="737" t="n"/>
      <c r="AB472" s="737" t="n"/>
      <c r="AC472" s="737" t="n"/>
      <c r="AD472" s="737" t="n"/>
      <c r="AE472" s="737" t="n"/>
      <c r="AF472" s="737" t="n"/>
      <c r="AG472" s="737" t="n"/>
      <c r="AH472" s="737" t="n"/>
      <c r="AI472" s="737" t="n"/>
      <c r="AJ472" s="737" t="n"/>
      <c r="AK472" s="588" t="n"/>
      <c r="AL472" s="588" t="n"/>
      <c r="AM472" s="588" t="n"/>
      <c r="AN472" s="588" t="n"/>
      <c r="AO472" s="588" t="n"/>
      <c r="AP472" s="588" t="n"/>
      <c r="AQ472" s="588" t="n"/>
      <c r="AR472" s="588" t="n"/>
      <c r="AS472" s="588" t="n"/>
      <c r="AT472" s="588" t="n"/>
      <c r="AU472" s="588" t="n"/>
      <c r="AV472" s="588" t="n"/>
      <c r="AW472" s="588" t="n"/>
      <c r="AX472" s="588" t="n"/>
      <c r="AY472" s="588" t="n"/>
      <c r="AZ472" s="588" t="n"/>
      <c r="BA472" s="588" t="n"/>
      <c r="BB472" s="588" t="n"/>
      <c r="BC472" s="588" t="n"/>
      <c r="BD472" s="588" t="n"/>
      <c r="BE472" s="588" t="n"/>
      <c r="BF472" s="588" t="n"/>
      <c r="BG472" s="588" t="n"/>
      <c r="BH472" s="588" t="n"/>
      <c r="BI472" s="588" t="n"/>
      <c r="BJ472" s="588" t="n"/>
      <c r="BK472" s="588" t="n"/>
      <c r="BL472" s="588" t="n"/>
      <c r="BM472" s="588" t="n"/>
      <c r="BN472" s="588" t="n"/>
      <c r="BO472" s="588" t="n"/>
      <c r="BP472" s="588" t="n"/>
      <c r="BQ472" s="588" t="n"/>
      <c r="BR472" s="588" t="n"/>
      <c r="BS472" s="588" t="n"/>
      <c r="BT472" s="588" t="n"/>
      <c r="BU472" s="588" t="n"/>
      <c r="BV472" s="588" t="n"/>
      <c r="BW472" s="588" t="n"/>
      <c r="BX472" s="588" t="n"/>
      <c r="BY472" s="588" t="n"/>
      <c r="BZ472" s="588" t="n"/>
      <c r="CA472" s="588" t="n"/>
      <c r="CB472" s="588" t="n"/>
      <c r="CC472" s="588" t="n"/>
      <c r="CD472" s="588" t="n"/>
      <c r="CE472" s="588" t="n"/>
      <c r="CF472" s="588" t="n"/>
      <c r="CG472" s="588" t="n"/>
      <c r="CH472" s="588" t="n"/>
      <c r="CI472" s="588" t="n"/>
      <c r="CJ472" s="588" t="n"/>
      <c r="CK472" s="588" t="n"/>
      <c r="CL472" s="588" t="n"/>
      <c r="CM472" s="588" t="n"/>
      <c r="CN472" s="588" t="n"/>
      <c r="CO472" s="588" t="n"/>
      <c r="CP472" s="588" t="n"/>
      <c r="CQ472" s="588" t="n"/>
      <c r="CR472" s="588" t="n"/>
      <c r="CS472" s="588" t="n"/>
      <c r="CT472" s="588" t="n"/>
      <c r="CU472" s="588" t="n"/>
      <c r="CV472" s="588" t="n"/>
      <c r="CW472" s="588" t="n"/>
      <c r="CX472" s="588" t="n"/>
      <c r="CY472" s="588" t="n"/>
      <c r="CZ472" s="588" t="n"/>
      <c r="DA472" s="588" t="n"/>
      <c r="DB472" s="588" t="n"/>
      <c r="DC472" s="588" t="n"/>
      <c r="DD472" s="588" t="n"/>
      <c r="DE472" s="588" t="n"/>
      <c r="DF472" s="588" t="n"/>
      <c r="DG472" s="588" t="n"/>
      <c r="DH472" s="588" t="n"/>
      <c r="DI472" s="588" t="n"/>
      <c r="DJ472" s="588" t="n"/>
      <c r="DK472" s="588" t="n"/>
      <c r="DL472" s="588" t="n"/>
      <c r="DM472" s="588" t="n"/>
      <c r="DN472" s="588" t="n"/>
      <c r="DO472" s="588" t="n"/>
      <c r="DP472" s="588" t="n"/>
      <c r="DQ472" s="588" t="n"/>
      <c r="DR472" s="588" t="n"/>
      <c r="DS472" s="588" t="n"/>
      <c r="DT472" s="588" t="n"/>
      <c r="DU472" s="588" t="n"/>
    </row>
    <row r="473">
      <c r="A473" s="737" t="n"/>
      <c r="B473" s="737" t="n"/>
      <c r="C473" s="737" t="n"/>
      <c r="D473" s="737" t="n"/>
      <c r="E473" s="737" t="n"/>
      <c r="F473" s="737" t="n"/>
      <c r="G473" s="737" t="n"/>
      <c r="H473" s="737" t="n"/>
      <c r="I473" s="737" t="n"/>
      <c r="J473" s="737" t="n"/>
      <c r="K473" s="737" t="n"/>
      <c r="L473" s="737" t="n"/>
      <c r="M473" s="737" t="n"/>
      <c r="N473" s="737" t="n"/>
      <c r="O473" s="737" t="n"/>
      <c r="P473" s="737" t="n"/>
      <c r="Q473" s="737" t="n"/>
      <c r="R473" s="737" t="n"/>
      <c r="S473" s="737" t="n"/>
      <c r="T473" s="737" t="n"/>
      <c r="U473" s="737" t="n"/>
      <c r="V473" s="737" t="n"/>
      <c r="W473" s="737" t="n"/>
      <c r="X473" s="737" t="n"/>
      <c r="Y473" s="737" t="n"/>
      <c r="Z473" s="737" t="n"/>
      <c r="AA473" s="737" t="n"/>
      <c r="AB473" s="737" t="n"/>
      <c r="AC473" s="737" t="n"/>
      <c r="AD473" s="737" t="n"/>
      <c r="AE473" s="737" t="n"/>
      <c r="AF473" s="737" t="n"/>
      <c r="AG473" s="737" t="n"/>
      <c r="AH473" s="737" t="n"/>
      <c r="AI473" s="737" t="n"/>
      <c r="AJ473" s="737" t="n"/>
      <c r="AK473" s="588" t="n"/>
      <c r="AL473" s="588" t="n"/>
      <c r="AM473" s="588" t="n"/>
      <c r="AN473" s="588" t="n"/>
      <c r="AO473" s="588" t="n"/>
      <c r="AP473" s="588" t="n"/>
      <c r="AQ473" s="588" t="n"/>
      <c r="AR473" s="588" t="n"/>
      <c r="AS473" s="588" t="n"/>
      <c r="AT473" s="588" t="n"/>
      <c r="AU473" s="588" t="n"/>
      <c r="AV473" s="588" t="n"/>
      <c r="AW473" s="588" t="n"/>
      <c r="AX473" s="588" t="n"/>
      <c r="AY473" s="588" t="n"/>
      <c r="AZ473" s="588" t="n"/>
      <c r="BA473" s="588" t="n"/>
      <c r="BB473" s="588" t="n"/>
      <c r="BC473" s="588" t="n"/>
      <c r="BD473" s="588" t="n"/>
      <c r="BE473" s="588" t="n"/>
      <c r="BF473" s="588" t="n"/>
      <c r="BG473" s="588" t="n"/>
      <c r="BH473" s="588" t="n"/>
      <c r="BI473" s="588" t="n"/>
      <c r="BJ473" s="588" t="n"/>
      <c r="BK473" s="588" t="n"/>
      <c r="BL473" s="588" t="n"/>
      <c r="BM473" s="588" t="n"/>
      <c r="BN473" s="588" t="n"/>
      <c r="BO473" s="588" t="n"/>
      <c r="BP473" s="588" t="n"/>
      <c r="BQ473" s="588" t="n"/>
      <c r="BR473" s="588" t="n"/>
      <c r="BS473" s="588" t="n"/>
      <c r="BT473" s="588" t="n"/>
      <c r="BU473" s="588" t="n"/>
      <c r="BV473" s="588" t="n"/>
      <c r="BW473" s="588" t="n"/>
      <c r="BX473" s="588" t="n"/>
      <c r="BY473" s="588" t="n"/>
      <c r="BZ473" s="588" t="n"/>
      <c r="CA473" s="588" t="n"/>
      <c r="CB473" s="588" t="n"/>
      <c r="CC473" s="588" t="n"/>
      <c r="CD473" s="588" t="n"/>
      <c r="CE473" s="588" t="n"/>
      <c r="CF473" s="588" t="n"/>
      <c r="CG473" s="588" t="n"/>
      <c r="CH473" s="588" t="n"/>
      <c r="CI473" s="588" t="n"/>
      <c r="CJ473" s="588" t="n"/>
      <c r="CK473" s="588" t="n"/>
      <c r="CL473" s="588" t="n"/>
      <c r="CM473" s="588" t="n"/>
      <c r="CN473" s="588" t="n"/>
      <c r="CO473" s="588" t="n"/>
      <c r="CP473" s="588" t="n"/>
      <c r="CQ473" s="588" t="n"/>
      <c r="CR473" s="588" t="n"/>
      <c r="CS473" s="588" t="n"/>
      <c r="CT473" s="588" t="n"/>
      <c r="CU473" s="588" t="n"/>
      <c r="CV473" s="588" t="n"/>
      <c r="CW473" s="588" t="n"/>
      <c r="CX473" s="588" t="n"/>
      <c r="CY473" s="588" t="n"/>
      <c r="CZ473" s="588" t="n"/>
      <c r="DA473" s="588" t="n"/>
      <c r="DB473" s="588" t="n"/>
      <c r="DC473" s="588" t="n"/>
      <c r="DD473" s="588" t="n"/>
      <c r="DE473" s="588" t="n"/>
      <c r="DF473" s="588" t="n"/>
      <c r="DG473" s="588" t="n"/>
      <c r="DH473" s="588" t="n"/>
      <c r="DI473" s="588" t="n"/>
      <c r="DJ473" s="588" t="n"/>
      <c r="DK473" s="588" t="n"/>
      <c r="DL473" s="588" t="n"/>
      <c r="DM473" s="588" t="n"/>
      <c r="DN473" s="588" t="n"/>
      <c r="DO473" s="588" t="n"/>
      <c r="DP473" s="588" t="n"/>
      <c r="DQ473" s="588" t="n"/>
      <c r="DR473" s="588" t="n"/>
      <c r="DS473" s="588" t="n"/>
      <c r="DT473" s="588" t="n"/>
      <c r="DU473" s="588" t="n"/>
    </row>
    <row r="474">
      <c r="A474" s="737" t="n"/>
      <c r="B474" s="737" t="n"/>
      <c r="C474" s="737" t="n"/>
      <c r="D474" s="737" t="n"/>
      <c r="E474" s="737" t="n"/>
      <c r="F474" s="737" t="n"/>
      <c r="G474" s="737" t="n"/>
      <c r="H474" s="737" t="n"/>
      <c r="I474" s="737" t="n"/>
      <c r="J474" s="737" t="n"/>
      <c r="K474" s="737" t="n"/>
      <c r="L474" s="737" t="n"/>
      <c r="M474" s="737" t="n"/>
      <c r="N474" s="737" t="n"/>
      <c r="O474" s="737" t="n"/>
      <c r="P474" s="737" t="n"/>
      <c r="Q474" s="737" t="n"/>
      <c r="R474" s="737" t="n"/>
      <c r="S474" s="737" t="n"/>
      <c r="T474" s="737" t="n"/>
      <c r="U474" s="737" t="n"/>
      <c r="V474" s="737" t="n"/>
      <c r="W474" s="737" t="n"/>
      <c r="X474" s="737" t="n"/>
      <c r="Y474" s="737" t="n"/>
      <c r="Z474" s="737" t="n"/>
      <c r="AA474" s="737" t="n"/>
      <c r="AB474" s="737" t="n"/>
      <c r="AC474" s="737" t="n"/>
      <c r="AD474" s="737" t="n"/>
      <c r="AE474" s="737" t="n"/>
      <c r="AF474" s="737" t="n"/>
      <c r="AG474" s="737" t="n"/>
      <c r="AH474" s="737" t="n"/>
      <c r="AI474" s="737" t="n"/>
      <c r="AJ474" s="737" t="n"/>
      <c r="AK474" s="588" t="n"/>
      <c r="AL474" s="588" t="n"/>
      <c r="AM474" s="588" t="n"/>
      <c r="AN474" s="588" t="n"/>
      <c r="AO474" s="588" t="n"/>
      <c r="AP474" s="588" t="n"/>
      <c r="AQ474" s="588" t="n"/>
      <c r="AR474" s="588" t="n"/>
      <c r="AS474" s="588" t="n"/>
      <c r="AT474" s="588" t="n"/>
      <c r="AU474" s="588" t="n"/>
      <c r="AV474" s="588" t="n"/>
      <c r="AW474" s="588" t="n"/>
      <c r="AX474" s="588" t="n"/>
      <c r="AY474" s="588" t="n"/>
      <c r="AZ474" s="588" t="n"/>
      <c r="BA474" s="588" t="n"/>
      <c r="BB474" s="588" t="n"/>
      <c r="BC474" s="588" t="n"/>
      <c r="BD474" s="588" t="n"/>
      <c r="BE474" s="588" t="n"/>
      <c r="BF474" s="588" t="n"/>
      <c r="BG474" s="588" t="n"/>
      <c r="BH474" s="588" t="n"/>
      <c r="BI474" s="588" t="n"/>
      <c r="BJ474" s="588" t="n"/>
      <c r="BK474" s="588" t="n"/>
      <c r="BL474" s="588" t="n"/>
      <c r="BM474" s="588" t="n"/>
      <c r="BN474" s="588" t="n"/>
      <c r="BO474" s="588" t="n"/>
      <c r="BP474" s="588" t="n"/>
      <c r="BQ474" s="588" t="n"/>
      <c r="BR474" s="588" t="n"/>
      <c r="BS474" s="588" t="n"/>
      <c r="BT474" s="588" t="n"/>
      <c r="BU474" s="588" t="n"/>
      <c r="BV474" s="588" t="n"/>
      <c r="BW474" s="588" t="n"/>
      <c r="BX474" s="588" t="n"/>
      <c r="BY474" s="588" t="n"/>
      <c r="BZ474" s="588" t="n"/>
      <c r="CA474" s="588" t="n"/>
      <c r="CB474" s="588" t="n"/>
      <c r="CC474" s="588" t="n"/>
      <c r="CD474" s="588" t="n"/>
      <c r="CE474" s="588" t="n"/>
      <c r="CF474" s="588" t="n"/>
      <c r="CG474" s="588" t="n"/>
      <c r="CH474" s="588" t="n"/>
      <c r="CI474" s="588" t="n"/>
      <c r="CJ474" s="588" t="n"/>
      <c r="CK474" s="588" t="n"/>
      <c r="CL474" s="588" t="n"/>
      <c r="CM474" s="588" t="n"/>
      <c r="CN474" s="588" t="n"/>
      <c r="CO474" s="588" t="n"/>
      <c r="CP474" s="588" t="n"/>
      <c r="CQ474" s="588" t="n"/>
      <c r="CR474" s="588" t="n"/>
      <c r="CS474" s="588" t="n"/>
      <c r="CT474" s="588" t="n"/>
      <c r="CU474" s="588" t="n"/>
      <c r="CV474" s="588" t="n"/>
      <c r="CW474" s="588" t="n"/>
      <c r="CX474" s="588" t="n"/>
      <c r="CY474" s="588" t="n"/>
      <c r="CZ474" s="588" t="n"/>
      <c r="DA474" s="588" t="n"/>
      <c r="DB474" s="588" t="n"/>
      <c r="DC474" s="588" t="n"/>
      <c r="DD474" s="588" t="n"/>
      <c r="DE474" s="588" t="n"/>
      <c r="DF474" s="588" t="n"/>
      <c r="DG474" s="588" t="n"/>
      <c r="DH474" s="588" t="n"/>
      <c r="DI474" s="588" t="n"/>
      <c r="DJ474" s="588" t="n"/>
      <c r="DK474" s="588" t="n"/>
      <c r="DL474" s="588" t="n"/>
      <c r="DM474" s="588" t="n"/>
      <c r="DN474" s="588" t="n"/>
      <c r="DO474" s="588" t="n"/>
      <c r="DP474" s="588" t="n"/>
      <c r="DQ474" s="588" t="n"/>
      <c r="DR474" s="588" t="n"/>
      <c r="DS474" s="588" t="n"/>
      <c r="DT474" s="588" t="n"/>
      <c r="DU474" s="588" t="n"/>
    </row>
    <row r="475">
      <c r="A475" s="737" t="n"/>
      <c r="B475" s="737" t="n"/>
      <c r="C475" s="737" t="n"/>
      <c r="D475" s="737" t="n"/>
      <c r="E475" s="737" t="n"/>
      <c r="F475" s="737" t="n"/>
      <c r="G475" s="737" t="n"/>
      <c r="H475" s="737" t="n"/>
      <c r="I475" s="737" t="n"/>
      <c r="J475" s="737" t="n"/>
      <c r="K475" s="737" t="n"/>
      <c r="L475" s="737" t="n"/>
      <c r="M475" s="737" t="n"/>
      <c r="N475" s="737" t="n"/>
      <c r="O475" s="737" t="n"/>
      <c r="P475" s="737" t="n"/>
      <c r="Q475" s="737" t="n"/>
      <c r="R475" s="737" t="n"/>
      <c r="S475" s="737" t="n"/>
      <c r="T475" s="737" t="n"/>
      <c r="U475" s="737" t="n"/>
      <c r="V475" s="737" t="n"/>
      <c r="W475" s="737" t="n"/>
      <c r="X475" s="737" t="n"/>
      <c r="Y475" s="737" t="n"/>
      <c r="Z475" s="737" t="n"/>
      <c r="AA475" s="737" t="n"/>
      <c r="AB475" s="737" t="n"/>
      <c r="AC475" s="737" t="n"/>
      <c r="AD475" s="737" t="n"/>
      <c r="AE475" s="737" t="n"/>
      <c r="AF475" s="737" t="n"/>
      <c r="AG475" s="737" t="n"/>
      <c r="AH475" s="737" t="n"/>
      <c r="AI475" s="737" t="n"/>
      <c r="AJ475" s="737" t="n"/>
      <c r="AK475" s="588" t="n"/>
      <c r="AL475" s="588" t="n"/>
      <c r="AM475" s="588" t="n"/>
      <c r="AN475" s="588" t="n"/>
      <c r="AO475" s="588" t="n"/>
      <c r="AP475" s="588" t="n"/>
      <c r="AQ475" s="588" t="n"/>
      <c r="AR475" s="588" t="n"/>
      <c r="AS475" s="588" t="n"/>
      <c r="AT475" s="588" t="n"/>
      <c r="AU475" s="588" t="n"/>
      <c r="AV475" s="588" t="n"/>
      <c r="AW475" s="588" t="n"/>
      <c r="AX475" s="588" t="n"/>
      <c r="AY475" s="588" t="n"/>
      <c r="AZ475" s="588" t="n"/>
      <c r="BA475" s="588" t="n"/>
      <c r="BB475" s="588" t="n"/>
      <c r="BC475" s="588" t="n"/>
      <c r="BD475" s="588" t="n"/>
      <c r="BE475" s="588" t="n"/>
      <c r="BF475" s="588" t="n"/>
      <c r="BG475" s="588" t="n"/>
      <c r="BH475" s="588" t="n"/>
      <c r="BI475" s="588" t="n"/>
      <c r="BJ475" s="588" t="n"/>
      <c r="BK475" s="588" t="n"/>
      <c r="BL475" s="588" t="n"/>
      <c r="BM475" s="588" t="n"/>
      <c r="BN475" s="588" t="n"/>
      <c r="BO475" s="588" t="n"/>
      <c r="BP475" s="588" t="n"/>
      <c r="BQ475" s="588" t="n"/>
      <c r="BR475" s="588" t="n"/>
      <c r="BS475" s="588" t="n"/>
      <c r="BT475" s="588" t="n"/>
      <c r="BU475" s="588" t="n"/>
      <c r="BV475" s="588" t="n"/>
      <c r="BW475" s="588" t="n"/>
      <c r="BX475" s="588" t="n"/>
      <c r="BY475" s="588" t="n"/>
      <c r="BZ475" s="588" t="n"/>
      <c r="CA475" s="588" t="n"/>
      <c r="CB475" s="588" t="n"/>
      <c r="CC475" s="588" t="n"/>
      <c r="CD475" s="588" t="n"/>
      <c r="CE475" s="588" t="n"/>
      <c r="CF475" s="588" t="n"/>
      <c r="CG475" s="588" t="n"/>
      <c r="CH475" s="588" t="n"/>
      <c r="CI475" s="588" t="n"/>
      <c r="CJ475" s="588" t="n"/>
      <c r="CK475" s="588" t="n"/>
      <c r="CL475" s="588" t="n"/>
      <c r="CM475" s="588" t="n"/>
      <c r="CN475" s="588" t="n"/>
      <c r="CO475" s="588" t="n"/>
      <c r="CP475" s="588" t="n"/>
      <c r="CQ475" s="588" t="n"/>
      <c r="CR475" s="588" t="n"/>
      <c r="CS475" s="588" t="n"/>
      <c r="CT475" s="588" t="n"/>
      <c r="CU475" s="588" t="n"/>
      <c r="CV475" s="588" t="n"/>
      <c r="CW475" s="588" t="n"/>
      <c r="CX475" s="588" t="n"/>
      <c r="CY475" s="588" t="n"/>
      <c r="CZ475" s="588" t="n"/>
      <c r="DA475" s="588" t="n"/>
      <c r="DB475" s="588" t="n"/>
      <c r="DC475" s="588" t="n"/>
      <c r="DD475" s="588" t="n"/>
      <c r="DE475" s="588" t="n"/>
      <c r="DF475" s="588" t="n"/>
      <c r="DG475" s="588" t="n"/>
      <c r="DH475" s="588" t="n"/>
      <c r="DI475" s="588" t="n"/>
      <c r="DJ475" s="588" t="n"/>
      <c r="DK475" s="588" t="n"/>
      <c r="DL475" s="588" t="n"/>
      <c r="DM475" s="588" t="n"/>
      <c r="DN475" s="588" t="n"/>
      <c r="DO475" s="588" t="n"/>
      <c r="DP475" s="588" t="n"/>
      <c r="DQ475" s="588" t="n"/>
      <c r="DR475" s="588" t="n"/>
      <c r="DS475" s="588" t="n"/>
      <c r="DT475" s="588" t="n"/>
      <c r="DU475" s="588" t="n"/>
    </row>
    <row r="476">
      <c r="A476" s="737" t="n"/>
      <c r="B476" s="737" t="n"/>
      <c r="C476" s="737" t="n"/>
      <c r="D476" s="737" t="n"/>
      <c r="E476" s="737" t="n"/>
      <c r="F476" s="737" t="n"/>
      <c r="G476" s="737" t="n"/>
      <c r="H476" s="737" t="n"/>
      <c r="I476" s="737" t="n"/>
      <c r="J476" s="737" t="n"/>
      <c r="K476" s="737" t="n"/>
      <c r="L476" s="737" t="n"/>
      <c r="M476" s="737" t="n"/>
      <c r="N476" s="737" t="n"/>
      <c r="O476" s="737" t="n"/>
      <c r="P476" s="737" t="n"/>
      <c r="Q476" s="737" t="n"/>
      <c r="R476" s="737" t="n"/>
      <c r="S476" s="737" t="n"/>
      <c r="T476" s="737" t="n"/>
      <c r="U476" s="737" t="n"/>
      <c r="V476" s="737" t="n"/>
      <c r="W476" s="737" t="n"/>
      <c r="X476" s="737" t="n"/>
      <c r="Y476" s="737" t="n"/>
      <c r="Z476" s="737" t="n"/>
      <c r="AA476" s="737" t="n"/>
      <c r="AB476" s="737" t="n"/>
      <c r="AC476" s="737" t="n"/>
      <c r="AD476" s="737" t="n"/>
      <c r="AE476" s="737" t="n"/>
      <c r="AF476" s="737" t="n"/>
      <c r="AG476" s="737" t="n"/>
      <c r="AH476" s="737" t="n"/>
      <c r="AI476" s="737" t="n"/>
      <c r="AJ476" s="737" t="n"/>
      <c r="AK476" s="588" t="n"/>
      <c r="AL476" s="588" t="n"/>
      <c r="AM476" s="588" t="n"/>
      <c r="AN476" s="588" t="n"/>
      <c r="AO476" s="588" t="n"/>
      <c r="AP476" s="588" t="n"/>
      <c r="AQ476" s="588" t="n"/>
      <c r="AR476" s="588" t="n"/>
      <c r="AS476" s="588" t="n"/>
      <c r="AT476" s="588" t="n"/>
      <c r="AU476" s="588" t="n"/>
      <c r="AV476" s="588" t="n"/>
      <c r="AW476" s="588" t="n"/>
      <c r="AX476" s="588" t="n"/>
      <c r="AY476" s="588" t="n"/>
      <c r="AZ476" s="588" t="n"/>
      <c r="BA476" s="588" t="n"/>
      <c r="BB476" s="588" t="n"/>
      <c r="BC476" s="588" t="n"/>
      <c r="BD476" s="588" t="n"/>
      <c r="BE476" s="588" t="n"/>
      <c r="BF476" s="588" t="n"/>
      <c r="BG476" s="588" t="n"/>
      <c r="BH476" s="588" t="n"/>
      <c r="BI476" s="588" t="n"/>
      <c r="BJ476" s="588" t="n"/>
      <c r="BK476" s="588" t="n"/>
      <c r="BL476" s="588" t="n"/>
      <c r="BM476" s="588" t="n"/>
      <c r="BN476" s="588" t="n"/>
      <c r="BO476" s="588" t="n"/>
      <c r="BP476" s="588" t="n"/>
      <c r="BQ476" s="588" t="n"/>
      <c r="BR476" s="588" t="n"/>
      <c r="BS476" s="588" t="n"/>
      <c r="BT476" s="588" t="n"/>
      <c r="BU476" s="588" t="n"/>
      <c r="BV476" s="588" t="n"/>
      <c r="BW476" s="588" t="n"/>
      <c r="BX476" s="588" t="n"/>
      <c r="BY476" s="588" t="n"/>
      <c r="BZ476" s="588" t="n"/>
      <c r="CA476" s="588" t="n"/>
      <c r="CB476" s="588" t="n"/>
      <c r="CC476" s="588" t="n"/>
      <c r="CD476" s="588" t="n"/>
      <c r="CE476" s="588" t="n"/>
      <c r="CF476" s="588" t="n"/>
      <c r="CG476" s="588" t="n"/>
      <c r="CH476" s="588" t="n"/>
      <c r="CI476" s="588" t="n"/>
      <c r="CJ476" s="588" t="n"/>
      <c r="CK476" s="588" t="n"/>
      <c r="CL476" s="588" t="n"/>
      <c r="CM476" s="588" t="n"/>
      <c r="CN476" s="588" t="n"/>
      <c r="CO476" s="588" t="n"/>
      <c r="CP476" s="588" t="n"/>
      <c r="CQ476" s="588" t="n"/>
      <c r="CR476" s="588" t="n"/>
      <c r="CS476" s="588" t="n"/>
      <c r="CT476" s="588" t="n"/>
      <c r="CU476" s="588" t="n"/>
      <c r="CV476" s="588" t="n"/>
      <c r="CW476" s="588" t="n"/>
      <c r="CX476" s="588" t="n"/>
      <c r="CY476" s="588" t="n"/>
      <c r="CZ476" s="588" t="n"/>
      <c r="DA476" s="588" t="n"/>
      <c r="DB476" s="588" t="n"/>
      <c r="DC476" s="588" t="n"/>
      <c r="DD476" s="588" t="n"/>
      <c r="DE476" s="588" t="n"/>
      <c r="DF476" s="588" t="n"/>
      <c r="DG476" s="588" t="n"/>
      <c r="DH476" s="588" t="n"/>
      <c r="DI476" s="588" t="n"/>
      <c r="DJ476" s="588" t="n"/>
      <c r="DK476" s="588" t="n"/>
      <c r="DL476" s="588" t="n"/>
      <c r="DM476" s="588" t="n"/>
      <c r="DN476" s="588" t="n"/>
      <c r="DO476" s="588" t="n"/>
      <c r="DP476" s="588" t="n"/>
      <c r="DQ476" s="588" t="n"/>
      <c r="DR476" s="588" t="n"/>
      <c r="DS476" s="588" t="n"/>
      <c r="DT476" s="588" t="n"/>
      <c r="DU476" s="588" t="n"/>
    </row>
    <row r="477">
      <c r="A477" s="737" t="n"/>
      <c r="B477" s="737" t="n"/>
      <c r="C477" s="737" t="n"/>
      <c r="D477" s="737" t="n"/>
      <c r="E477" s="737" t="n"/>
      <c r="F477" s="737" t="n"/>
      <c r="G477" s="737" t="n"/>
      <c r="H477" s="737" t="n"/>
      <c r="I477" s="737" t="n"/>
      <c r="J477" s="737" t="n"/>
      <c r="K477" s="737" t="n"/>
      <c r="L477" s="737" t="n"/>
      <c r="M477" s="737" t="n"/>
      <c r="N477" s="737" t="n"/>
      <c r="O477" s="737" t="n"/>
      <c r="P477" s="737" t="n"/>
      <c r="Q477" s="737" t="n"/>
      <c r="R477" s="737" t="n"/>
      <c r="S477" s="737" t="n"/>
      <c r="T477" s="737" t="n"/>
      <c r="U477" s="737" t="n"/>
      <c r="V477" s="737" t="n"/>
      <c r="W477" s="737" t="n"/>
      <c r="X477" s="737" t="n"/>
      <c r="Y477" s="737" t="n"/>
      <c r="Z477" s="737" t="n"/>
      <c r="AA477" s="737" t="n"/>
      <c r="AB477" s="737" t="n"/>
      <c r="AC477" s="737" t="n"/>
      <c r="AD477" s="737" t="n"/>
      <c r="AE477" s="737" t="n"/>
      <c r="AF477" s="737" t="n"/>
      <c r="AG477" s="737" t="n"/>
      <c r="AH477" s="737" t="n"/>
      <c r="AI477" s="737" t="n"/>
      <c r="AJ477" s="737" t="n"/>
      <c r="AK477" s="588" t="n"/>
      <c r="AL477" s="588" t="n"/>
      <c r="AM477" s="588" t="n"/>
      <c r="AN477" s="588" t="n"/>
      <c r="AO477" s="588" t="n"/>
      <c r="AP477" s="588" t="n"/>
      <c r="AQ477" s="588" t="n"/>
      <c r="AR477" s="588" t="n"/>
      <c r="AS477" s="588" t="n"/>
      <c r="AT477" s="588" t="n"/>
      <c r="AU477" s="588" t="n"/>
      <c r="AV477" s="588" t="n"/>
      <c r="AW477" s="588" t="n"/>
      <c r="AX477" s="588" t="n"/>
      <c r="AY477" s="588" t="n"/>
      <c r="AZ477" s="588" t="n"/>
      <c r="BA477" s="588" t="n"/>
      <c r="BB477" s="588" t="n"/>
      <c r="BC477" s="588" t="n"/>
      <c r="BD477" s="588" t="n"/>
      <c r="BE477" s="588" t="n"/>
      <c r="BF477" s="588" t="n"/>
      <c r="BG477" s="588" t="n"/>
      <c r="BH477" s="588" t="n"/>
      <c r="BI477" s="588" t="n"/>
      <c r="BJ477" s="588" t="n"/>
      <c r="BK477" s="588" t="n"/>
      <c r="BL477" s="588" t="n"/>
      <c r="BM477" s="588" t="n"/>
      <c r="BN477" s="588" t="n"/>
      <c r="BO477" s="588" t="n"/>
      <c r="BP477" s="588" t="n"/>
      <c r="BQ477" s="588" t="n"/>
      <c r="BR477" s="588" t="n"/>
      <c r="BS477" s="588" t="n"/>
      <c r="BT477" s="588" t="n"/>
      <c r="BU477" s="588" t="n"/>
      <c r="BV477" s="588" t="n"/>
      <c r="BW477" s="588" t="n"/>
      <c r="BX477" s="588" t="n"/>
      <c r="BY477" s="588" t="n"/>
      <c r="BZ477" s="588" t="n"/>
      <c r="CA477" s="588" t="n"/>
      <c r="CB477" s="588" t="n"/>
      <c r="CC477" s="588" t="n"/>
      <c r="CD477" s="588" t="n"/>
      <c r="CE477" s="588" t="n"/>
      <c r="CF477" s="588" t="n"/>
      <c r="CG477" s="588" t="n"/>
      <c r="CH477" s="588" t="n"/>
      <c r="CI477" s="588" t="n"/>
      <c r="CJ477" s="588" t="n"/>
      <c r="CK477" s="588" t="n"/>
      <c r="CL477" s="588" t="n"/>
      <c r="CM477" s="588" t="n"/>
      <c r="CN477" s="588" t="n"/>
      <c r="CO477" s="588" t="n"/>
      <c r="CP477" s="588" t="n"/>
      <c r="CQ477" s="588" t="n"/>
      <c r="CR477" s="588" t="n"/>
      <c r="CS477" s="588" t="n"/>
      <c r="CT477" s="588" t="n"/>
      <c r="CU477" s="588" t="n"/>
      <c r="CV477" s="588" t="n"/>
      <c r="CW477" s="588" t="n"/>
      <c r="CX477" s="588" t="n"/>
      <c r="CY477" s="588" t="n"/>
      <c r="CZ477" s="588" t="n"/>
      <c r="DA477" s="588" t="n"/>
      <c r="DB477" s="588" t="n"/>
      <c r="DC477" s="588" t="n"/>
      <c r="DD477" s="588" t="n"/>
      <c r="DE477" s="588" t="n"/>
      <c r="DF477" s="588" t="n"/>
      <c r="DG477" s="588" t="n"/>
      <c r="DH477" s="588" t="n"/>
      <c r="DI477" s="588" t="n"/>
      <c r="DJ477" s="588" t="n"/>
      <c r="DK477" s="588" t="n"/>
      <c r="DL477" s="588" t="n"/>
      <c r="DM477" s="588" t="n"/>
      <c r="DN477" s="588" t="n"/>
      <c r="DO477" s="588" t="n"/>
      <c r="DP477" s="588" t="n"/>
      <c r="DQ477" s="588" t="n"/>
      <c r="DR477" s="588" t="n"/>
      <c r="DS477" s="588" t="n"/>
      <c r="DT477" s="588" t="n"/>
      <c r="DU477" s="588" t="n"/>
    </row>
    <row r="478">
      <c r="A478" s="737" t="n"/>
      <c r="B478" s="737" t="n"/>
      <c r="C478" s="737" t="n"/>
      <c r="D478" s="737" t="n"/>
      <c r="E478" s="737" t="n"/>
      <c r="F478" s="737" t="n"/>
      <c r="G478" s="737" t="n"/>
      <c r="H478" s="737" t="n"/>
      <c r="I478" s="737" t="n"/>
      <c r="J478" s="737" t="n"/>
      <c r="K478" s="737" t="n"/>
      <c r="L478" s="737" t="n"/>
      <c r="M478" s="737" t="n"/>
      <c r="N478" s="737" t="n"/>
      <c r="O478" s="737" t="n"/>
      <c r="P478" s="737" t="n"/>
      <c r="Q478" s="737" t="n"/>
      <c r="R478" s="737" t="n"/>
      <c r="S478" s="737" t="n"/>
      <c r="T478" s="737" t="n"/>
      <c r="U478" s="737" t="n"/>
      <c r="V478" s="737" t="n"/>
      <c r="W478" s="737" t="n"/>
      <c r="X478" s="737" t="n"/>
      <c r="Y478" s="737" t="n"/>
      <c r="Z478" s="737" t="n"/>
      <c r="AA478" s="737" t="n"/>
      <c r="AB478" s="737" t="n"/>
      <c r="AC478" s="737" t="n"/>
      <c r="AD478" s="737" t="n"/>
      <c r="AE478" s="737" t="n"/>
      <c r="AF478" s="737" t="n"/>
      <c r="AG478" s="737" t="n"/>
      <c r="AH478" s="737" t="n"/>
      <c r="AI478" s="737" t="n"/>
      <c r="AJ478" s="737" t="n"/>
      <c r="AK478" s="588" t="n"/>
      <c r="AL478" s="588" t="n"/>
      <c r="AM478" s="588" t="n"/>
      <c r="AN478" s="588" t="n"/>
      <c r="AO478" s="588" t="n"/>
      <c r="AP478" s="588" t="n"/>
      <c r="AQ478" s="588" t="n"/>
      <c r="AR478" s="588" t="n"/>
      <c r="AS478" s="588" t="n"/>
      <c r="AT478" s="588" t="n"/>
      <c r="AU478" s="588" t="n"/>
      <c r="AV478" s="588" t="n"/>
      <c r="AW478" s="588" t="n"/>
      <c r="AX478" s="588" t="n"/>
      <c r="AY478" s="588" t="n"/>
      <c r="AZ478" s="588" t="n"/>
      <c r="BA478" s="588" t="n"/>
      <c r="BB478" s="588" t="n"/>
      <c r="BC478" s="588" t="n"/>
      <c r="BD478" s="588" t="n"/>
      <c r="BE478" s="588" t="n"/>
      <c r="BF478" s="588" t="n"/>
      <c r="BG478" s="588" t="n"/>
      <c r="BH478" s="588" t="n"/>
      <c r="BI478" s="588" t="n"/>
      <c r="BJ478" s="588" t="n"/>
      <c r="BK478" s="588" t="n"/>
      <c r="BL478" s="588" t="n"/>
      <c r="BM478" s="588" t="n"/>
      <c r="BN478" s="588" t="n"/>
      <c r="BO478" s="588" t="n"/>
      <c r="BP478" s="588" t="n"/>
      <c r="BQ478" s="588" t="n"/>
      <c r="BR478" s="588" t="n"/>
      <c r="BS478" s="588" t="n"/>
      <c r="BT478" s="588" t="n"/>
      <c r="BU478" s="588" t="n"/>
      <c r="BV478" s="588" t="n"/>
      <c r="BW478" s="588" t="n"/>
      <c r="BX478" s="588" t="n"/>
      <c r="BY478" s="588" t="n"/>
      <c r="BZ478" s="588" t="n"/>
      <c r="CA478" s="588" t="n"/>
      <c r="CB478" s="588" t="n"/>
      <c r="CC478" s="588" t="n"/>
      <c r="CD478" s="588" t="n"/>
      <c r="CE478" s="588" t="n"/>
      <c r="CF478" s="588" t="n"/>
      <c r="CG478" s="588" t="n"/>
      <c r="CH478" s="588" t="n"/>
      <c r="CI478" s="588" t="n"/>
      <c r="CJ478" s="588" t="n"/>
      <c r="CK478" s="588" t="n"/>
      <c r="CL478" s="588" t="n"/>
      <c r="CM478" s="588" t="n"/>
      <c r="CN478" s="588" t="n"/>
      <c r="CO478" s="588" t="n"/>
      <c r="CP478" s="588" t="n"/>
      <c r="CQ478" s="588" t="n"/>
      <c r="CR478" s="588" t="n"/>
      <c r="CS478" s="588" t="n"/>
      <c r="CT478" s="588" t="n"/>
      <c r="CU478" s="588" t="n"/>
      <c r="CV478" s="588" t="n"/>
      <c r="CW478" s="588" t="n"/>
      <c r="CX478" s="588" t="n"/>
      <c r="CY478" s="588" t="n"/>
      <c r="CZ478" s="588" t="n"/>
      <c r="DA478" s="588" t="n"/>
      <c r="DB478" s="588" t="n"/>
      <c r="DC478" s="588" t="n"/>
      <c r="DD478" s="588" t="n"/>
      <c r="DE478" s="588" t="n"/>
      <c r="DF478" s="588" t="n"/>
      <c r="DG478" s="588" t="n"/>
      <c r="DH478" s="588" t="n"/>
      <c r="DI478" s="588" t="n"/>
      <c r="DJ478" s="588" t="n"/>
      <c r="DK478" s="588" t="n"/>
      <c r="DL478" s="588" t="n"/>
      <c r="DM478" s="588" t="n"/>
      <c r="DN478" s="588" t="n"/>
      <c r="DO478" s="588" t="n"/>
      <c r="DP478" s="588" t="n"/>
      <c r="DQ478" s="588" t="n"/>
      <c r="DR478" s="588" t="n"/>
      <c r="DS478" s="588" t="n"/>
      <c r="DT478" s="588" t="n"/>
      <c r="DU478" s="588" t="n"/>
    </row>
    <row r="479">
      <c r="A479" s="737" t="n"/>
      <c r="B479" s="737" t="n"/>
      <c r="C479" s="737" t="n"/>
      <c r="D479" s="737" t="n"/>
      <c r="E479" s="737" t="n"/>
      <c r="F479" s="737" t="n"/>
      <c r="G479" s="737" t="n"/>
      <c r="H479" s="737" t="n"/>
      <c r="I479" s="737" t="n"/>
      <c r="J479" s="737" t="n"/>
      <c r="K479" s="737" t="n"/>
      <c r="L479" s="737" t="n"/>
      <c r="M479" s="737" t="n"/>
      <c r="N479" s="737" t="n"/>
      <c r="O479" s="737" t="n"/>
      <c r="P479" s="737" t="n"/>
      <c r="Q479" s="737" t="n"/>
      <c r="R479" s="737" t="n"/>
      <c r="S479" s="737" t="n"/>
      <c r="T479" s="737" t="n"/>
      <c r="U479" s="737" t="n"/>
      <c r="V479" s="737" t="n"/>
      <c r="W479" s="737" t="n"/>
      <c r="X479" s="737" t="n"/>
      <c r="Y479" s="737" t="n"/>
      <c r="Z479" s="737" t="n"/>
      <c r="AA479" s="737" t="n"/>
      <c r="AB479" s="737" t="n"/>
      <c r="AC479" s="737" t="n"/>
      <c r="AD479" s="737" t="n"/>
      <c r="AE479" s="737" t="n"/>
      <c r="AF479" s="737" t="n"/>
      <c r="AG479" s="737" t="n"/>
      <c r="AH479" s="737" t="n"/>
      <c r="AI479" s="737" t="n"/>
      <c r="AJ479" s="737" t="n"/>
      <c r="AK479" s="588" t="n"/>
      <c r="AL479" s="588" t="n"/>
      <c r="AM479" s="588" t="n"/>
      <c r="AN479" s="588" t="n"/>
      <c r="AO479" s="588" t="n"/>
      <c r="AP479" s="588" t="n"/>
      <c r="AQ479" s="588" t="n"/>
      <c r="AR479" s="588" t="n"/>
      <c r="AS479" s="588" t="n"/>
      <c r="AT479" s="588" t="n"/>
      <c r="AU479" s="588" t="n"/>
      <c r="AV479" s="588" t="n"/>
      <c r="AW479" s="588" t="n"/>
      <c r="AX479" s="588" t="n"/>
      <c r="AY479" s="588" t="n"/>
      <c r="AZ479" s="588" t="n"/>
      <c r="BA479" s="588" t="n"/>
      <c r="BB479" s="588" t="n"/>
      <c r="BC479" s="588" t="n"/>
      <c r="BD479" s="588" t="n"/>
      <c r="BE479" s="588" t="n"/>
      <c r="BF479" s="588" t="n"/>
      <c r="BG479" s="588" t="n"/>
      <c r="BH479" s="588" t="n"/>
      <c r="BI479" s="588" t="n"/>
      <c r="BJ479" s="588" t="n"/>
      <c r="BK479" s="588" t="n"/>
      <c r="BL479" s="588" t="n"/>
      <c r="BM479" s="588" t="n"/>
      <c r="BN479" s="588" t="n"/>
      <c r="BO479" s="588" t="n"/>
      <c r="BP479" s="588" t="n"/>
      <c r="BQ479" s="588" t="n"/>
      <c r="BR479" s="588" t="n"/>
      <c r="BS479" s="588" t="n"/>
      <c r="BT479" s="588" t="n"/>
      <c r="BU479" s="588" t="n"/>
      <c r="BV479" s="588" t="n"/>
      <c r="BW479" s="588" t="n"/>
      <c r="BX479" s="588" t="n"/>
      <c r="BY479" s="588" t="n"/>
      <c r="BZ479" s="588" t="n"/>
      <c r="CA479" s="588" t="n"/>
      <c r="CB479" s="588" t="n"/>
      <c r="CC479" s="588" t="n"/>
      <c r="CD479" s="588" t="n"/>
      <c r="CE479" s="588" t="n"/>
      <c r="CF479" s="588" t="n"/>
      <c r="CG479" s="588" t="n"/>
      <c r="CH479" s="588" t="n"/>
      <c r="CI479" s="588" t="n"/>
      <c r="CJ479" s="588" t="n"/>
      <c r="CK479" s="588" t="n"/>
      <c r="CL479" s="588" t="n"/>
      <c r="CM479" s="588" t="n"/>
      <c r="CN479" s="588" t="n"/>
      <c r="CO479" s="588" t="n"/>
      <c r="CP479" s="588" t="n"/>
      <c r="CQ479" s="588" t="n"/>
      <c r="CR479" s="588" t="n"/>
      <c r="CS479" s="588" t="n"/>
      <c r="CT479" s="588" t="n"/>
      <c r="CU479" s="588" t="n"/>
      <c r="CV479" s="588" t="n"/>
      <c r="CW479" s="588" t="n"/>
      <c r="CX479" s="588" t="n"/>
      <c r="CY479" s="588" t="n"/>
      <c r="CZ479" s="588" t="n"/>
      <c r="DA479" s="588" t="n"/>
      <c r="DB479" s="588" t="n"/>
      <c r="DC479" s="588" t="n"/>
      <c r="DD479" s="588" t="n"/>
      <c r="DE479" s="588" t="n"/>
      <c r="DF479" s="588" t="n"/>
      <c r="DG479" s="588" t="n"/>
      <c r="DH479" s="588" t="n"/>
      <c r="DI479" s="588" t="n"/>
      <c r="DJ479" s="588" t="n"/>
      <c r="DK479" s="588" t="n"/>
      <c r="DL479" s="588" t="n"/>
      <c r="DM479" s="588" t="n"/>
      <c r="DN479" s="588" t="n"/>
      <c r="DO479" s="588" t="n"/>
      <c r="DP479" s="588" t="n"/>
      <c r="DQ479" s="588" t="n"/>
      <c r="DR479" s="588" t="n"/>
      <c r="DS479" s="588" t="n"/>
      <c r="DT479" s="588" t="n"/>
      <c r="DU479" s="588" t="n"/>
    </row>
    <row r="480">
      <c r="A480" s="737" t="n"/>
      <c r="B480" s="737" t="n"/>
      <c r="C480" s="737" t="n"/>
      <c r="D480" s="737" t="n"/>
      <c r="E480" s="737" t="n"/>
      <c r="F480" s="737" t="n"/>
      <c r="G480" s="737" t="n"/>
      <c r="H480" s="737" t="n"/>
      <c r="I480" s="737" t="n"/>
      <c r="J480" s="737" t="n"/>
      <c r="K480" s="737" t="n"/>
      <c r="L480" s="737" t="n"/>
      <c r="M480" s="737" t="n"/>
      <c r="N480" s="737" t="n"/>
      <c r="O480" s="737" t="n"/>
      <c r="P480" s="737" t="n"/>
      <c r="Q480" s="737" t="n"/>
      <c r="R480" s="737" t="n"/>
      <c r="S480" s="737" t="n"/>
      <c r="T480" s="737" t="n"/>
      <c r="U480" s="737" t="n"/>
      <c r="V480" s="737" t="n"/>
      <c r="W480" s="737" t="n"/>
      <c r="X480" s="737" t="n"/>
      <c r="Y480" s="737" t="n"/>
      <c r="Z480" s="737" t="n"/>
      <c r="AA480" s="737" t="n"/>
      <c r="AB480" s="737" t="n"/>
      <c r="AC480" s="737" t="n"/>
      <c r="AD480" s="737" t="n"/>
      <c r="AE480" s="737" t="n"/>
      <c r="AF480" s="737" t="n"/>
      <c r="AG480" s="737" t="n"/>
      <c r="AH480" s="737" t="n"/>
      <c r="AI480" s="737" t="n"/>
      <c r="AJ480" s="737" t="n"/>
      <c r="AK480" s="588" t="n"/>
      <c r="AL480" s="588" t="n"/>
      <c r="AM480" s="588" t="n"/>
      <c r="AN480" s="588" t="n"/>
      <c r="AO480" s="588" t="n"/>
      <c r="AP480" s="588" t="n"/>
      <c r="AQ480" s="588" t="n"/>
      <c r="AR480" s="588" t="n"/>
      <c r="AS480" s="588" t="n"/>
      <c r="AT480" s="588" t="n"/>
      <c r="AU480" s="588" t="n"/>
      <c r="AV480" s="588" t="n"/>
      <c r="AW480" s="588" t="n"/>
      <c r="AX480" s="588" t="n"/>
      <c r="AY480" s="588" t="n"/>
      <c r="AZ480" s="588" t="n"/>
      <c r="BA480" s="588" t="n"/>
      <c r="BB480" s="588" t="n"/>
      <c r="BC480" s="588" t="n"/>
      <c r="BD480" s="588" t="n"/>
      <c r="BE480" s="588" t="n"/>
      <c r="BF480" s="588" t="n"/>
      <c r="BG480" s="588" t="n"/>
      <c r="BH480" s="588" t="n"/>
      <c r="BI480" s="588" t="n"/>
      <c r="BJ480" s="588" t="n"/>
      <c r="BK480" s="588" t="n"/>
      <c r="BL480" s="588" t="n"/>
      <c r="BM480" s="588" t="n"/>
      <c r="BN480" s="588" t="n"/>
      <c r="BO480" s="588" t="n"/>
      <c r="BP480" s="588" t="n"/>
      <c r="BQ480" s="588" t="n"/>
      <c r="BR480" s="588" t="n"/>
      <c r="BS480" s="588" t="n"/>
      <c r="BT480" s="588" t="n"/>
      <c r="BU480" s="588" t="n"/>
      <c r="BV480" s="588" t="n"/>
      <c r="BW480" s="588" t="n"/>
      <c r="BX480" s="588" t="n"/>
      <c r="BY480" s="588" t="n"/>
      <c r="BZ480" s="588" t="n"/>
      <c r="CA480" s="588" t="n"/>
      <c r="CB480" s="588" t="n"/>
      <c r="CC480" s="588" t="n"/>
      <c r="CD480" s="588" t="n"/>
      <c r="CE480" s="588" t="n"/>
      <c r="CF480" s="588" t="n"/>
      <c r="CG480" s="588" t="n"/>
      <c r="CH480" s="588" t="n"/>
      <c r="CI480" s="588" t="n"/>
      <c r="CJ480" s="588" t="n"/>
      <c r="CK480" s="588" t="n"/>
      <c r="CL480" s="588" t="n"/>
      <c r="CM480" s="588" t="n"/>
      <c r="CN480" s="588" t="n"/>
      <c r="CO480" s="588" t="n"/>
      <c r="CP480" s="588" t="n"/>
      <c r="CQ480" s="588" t="n"/>
      <c r="CR480" s="588" t="n"/>
      <c r="CS480" s="588" t="n"/>
      <c r="CT480" s="588" t="n"/>
      <c r="CU480" s="588" t="n"/>
      <c r="CV480" s="588" t="n"/>
      <c r="CW480" s="588" t="n"/>
      <c r="CX480" s="588" t="n"/>
      <c r="CY480" s="588" t="n"/>
      <c r="CZ480" s="588" t="n"/>
      <c r="DA480" s="588" t="n"/>
      <c r="DB480" s="588" t="n"/>
      <c r="DC480" s="588" t="n"/>
      <c r="DD480" s="588" t="n"/>
      <c r="DE480" s="588" t="n"/>
      <c r="DF480" s="588" t="n"/>
      <c r="DG480" s="588" t="n"/>
      <c r="DH480" s="588" t="n"/>
      <c r="DI480" s="588" t="n"/>
      <c r="DJ480" s="588" t="n"/>
      <c r="DK480" s="588" t="n"/>
      <c r="DL480" s="588" t="n"/>
      <c r="DM480" s="588" t="n"/>
      <c r="DN480" s="588" t="n"/>
      <c r="DO480" s="588" t="n"/>
      <c r="DP480" s="588" t="n"/>
      <c r="DQ480" s="588" t="n"/>
      <c r="DR480" s="588" t="n"/>
      <c r="DS480" s="588" t="n"/>
      <c r="DT480" s="588" t="n"/>
      <c r="DU480" s="588" t="n"/>
    </row>
    <row r="481">
      <c r="A481" s="737" t="n"/>
      <c r="B481" s="737" t="n"/>
      <c r="C481" s="737" t="n"/>
      <c r="D481" s="737" t="n"/>
      <c r="E481" s="737" t="n"/>
      <c r="F481" s="737" t="n"/>
      <c r="G481" s="737" t="n"/>
      <c r="H481" s="737" t="n"/>
      <c r="I481" s="737" t="n"/>
      <c r="J481" s="737" t="n"/>
      <c r="K481" s="737" t="n"/>
      <c r="L481" s="737" t="n"/>
      <c r="M481" s="737" t="n"/>
      <c r="N481" s="737" t="n"/>
      <c r="O481" s="737" t="n"/>
      <c r="P481" s="737" t="n"/>
      <c r="Q481" s="737" t="n"/>
      <c r="R481" s="737" t="n"/>
      <c r="S481" s="737" t="n"/>
      <c r="T481" s="737" t="n"/>
      <c r="U481" s="737" t="n"/>
      <c r="V481" s="737" t="n"/>
      <c r="W481" s="737" t="n"/>
      <c r="X481" s="737" t="n"/>
      <c r="Y481" s="737" t="n"/>
      <c r="Z481" s="737" t="n"/>
      <c r="AA481" s="737" t="n"/>
      <c r="AB481" s="737" t="n"/>
      <c r="AC481" s="737" t="n"/>
      <c r="AD481" s="737" t="n"/>
      <c r="AE481" s="737" t="n"/>
      <c r="AF481" s="737" t="n"/>
      <c r="AG481" s="737" t="n"/>
      <c r="AH481" s="737" t="n"/>
      <c r="AI481" s="737" t="n"/>
      <c r="AJ481" s="737" t="n"/>
      <c r="AK481" s="588" t="n"/>
      <c r="AL481" s="588" t="n"/>
      <c r="AM481" s="588" t="n"/>
      <c r="AN481" s="588" t="n"/>
      <c r="AO481" s="588" t="n"/>
      <c r="AP481" s="588" t="n"/>
      <c r="AQ481" s="588" t="n"/>
      <c r="AR481" s="588" t="n"/>
      <c r="AS481" s="588" t="n"/>
      <c r="AT481" s="588" t="n"/>
      <c r="AU481" s="588" t="n"/>
      <c r="AV481" s="588" t="n"/>
      <c r="AW481" s="588" t="n"/>
      <c r="AX481" s="588" t="n"/>
      <c r="AY481" s="588" t="n"/>
      <c r="AZ481" s="588" t="n"/>
      <c r="BA481" s="588" t="n"/>
      <c r="BB481" s="588" t="n"/>
      <c r="BC481" s="588" t="n"/>
      <c r="BD481" s="588" t="n"/>
      <c r="BE481" s="588" t="n"/>
      <c r="BF481" s="588" t="n"/>
      <c r="BG481" s="588" t="n"/>
      <c r="BH481" s="588" t="n"/>
      <c r="BI481" s="588" t="n"/>
      <c r="BJ481" s="588" t="n"/>
      <c r="BK481" s="588" t="n"/>
      <c r="BL481" s="588" t="n"/>
      <c r="BM481" s="588" t="n"/>
      <c r="BN481" s="588" t="n"/>
      <c r="BO481" s="588" t="n"/>
      <c r="BP481" s="588" t="n"/>
      <c r="BQ481" s="588" t="n"/>
      <c r="BR481" s="588" t="n"/>
      <c r="BS481" s="588" t="n"/>
      <c r="BT481" s="588" t="n"/>
      <c r="BU481" s="588" t="n"/>
      <c r="BV481" s="588" t="n"/>
      <c r="BW481" s="588" t="n"/>
      <c r="BX481" s="588" t="n"/>
      <c r="BY481" s="588" t="n"/>
      <c r="BZ481" s="588" t="n"/>
      <c r="CA481" s="588" t="n"/>
      <c r="CB481" s="588" t="n"/>
      <c r="CC481" s="588" t="n"/>
      <c r="CD481" s="588" t="n"/>
      <c r="CE481" s="588" t="n"/>
      <c r="CF481" s="588" t="n"/>
      <c r="CG481" s="588" t="n"/>
      <c r="CH481" s="588" t="n"/>
      <c r="CI481" s="588" t="n"/>
      <c r="CJ481" s="588" t="n"/>
      <c r="CK481" s="588" t="n"/>
      <c r="CL481" s="588" t="n"/>
      <c r="CM481" s="588" t="n"/>
      <c r="CN481" s="588" t="n"/>
      <c r="CO481" s="588" t="n"/>
      <c r="CP481" s="588" t="n"/>
      <c r="CQ481" s="588" t="n"/>
      <c r="CR481" s="588" t="n"/>
      <c r="CS481" s="588" t="n"/>
      <c r="CT481" s="588" t="n"/>
      <c r="CU481" s="588" t="n"/>
      <c r="CV481" s="588" t="n"/>
      <c r="CW481" s="588" t="n"/>
      <c r="CX481" s="588" t="n"/>
      <c r="CY481" s="588" t="n"/>
      <c r="CZ481" s="588" t="n"/>
      <c r="DA481" s="588" t="n"/>
      <c r="DB481" s="588" t="n"/>
      <c r="DC481" s="588" t="n"/>
      <c r="DD481" s="588" t="n"/>
      <c r="DE481" s="588" t="n"/>
      <c r="DF481" s="588" t="n"/>
      <c r="DG481" s="588" t="n"/>
      <c r="DH481" s="588" t="n"/>
      <c r="DI481" s="588" t="n"/>
      <c r="DJ481" s="588" t="n"/>
      <c r="DK481" s="588" t="n"/>
      <c r="DL481" s="588" t="n"/>
      <c r="DM481" s="588" t="n"/>
      <c r="DN481" s="588" t="n"/>
      <c r="DO481" s="588" t="n"/>
      <c r="DP481" s="588" t="n"/>
      <c r="DQ481" s="588" t="n"/>
      <c r="DR481" s="588" t="n"/>
      <c r="DS481" s="588" t="n"/>
      <c r="DT481" s="588" t="n"/>
      <c r="DU481" s="588" t="n"/>
    </row>
    <row r="482">
      <c r="A482" s="737" t="n"/>
      <c r="B482" s="737" t="n"/>
      <c r="C482" s="737" t="n"/>
      <c r="D482" s="737" t="n"/>
      <c r="E482" s="737" t="n"/>
      <c r="F482" s="737" t="n"/>
      <c r="G482" s="737" t="n"/>
      <c r="H482" s="737" t="n"/>
      <c r="I482" s="737" t="n"/>
      <c r="J482" s="737" t="n"/>
      <c r="K482" s="737" t="n"/>
      <c r="L482" s="737" t="n"/>
      <c r="M482" s="737" t="n"/>
      <c r="N482" s="737" t="n"/>
      <c r="O482" s="737" t="n"/>
      <c r="P482" s="737" t="n"/>
      <c r="Q482" s="737" t="n"/>
      <c r="R482" s="737" t="n"/>
      <c r="S482" s="737" t="n"/>
      <c r="T482" s="737" t="n"/>
      <c r="U482" s="737" t="n"/>
      <c r="V482" s="737" t="n"/>
      <c r="W482" s="737" t="n"/>
      <c r="X482" s="737" t="n"/>
      <c r="Y482" s="737" t="n"/>
      <c r="Z482" s="737" t="n"/>
      <c r="AA482" s="737" t="n"/>
      <c r="AB482" s="737" t="n"/>
      <c r="AC482" s="737" t="n"/>
      <c r="AD482" s="737" t="n"/>
      <c r="AE482" s="737" t="n"/>
      <c r="AF482" s="737" t="n"/>
      <c r="AG482" s="737" t="n"/>
      <c r="AH482" s="737" t="n"/>
      <c r="AI482" s="737" t="n"/>
      <c r="AJ482" s="737" t="n"/>
      <c r="AK482" s="588" t="n"/>
      <c r="AL482" s="588" t="n"/>
      <c r="AM482" s="588" t="n"/>
      <c r="AN482" s="588" t="n"/>
      <c r="AO482" s="588" t="n"/>
      <c r="AP482" s="588" t="n"/>
      <c r="AQ482" s="588" t="n"/>
      <c r="AR482" s="588" t="n"/>
      <c r="AS482" s="588" t="n"/>
      <c r="AT482" s="588" t="n"/>
      <c r="AU482" s="588" t="n"/>
      <c r="AV482" s="588" t="n"/>
      <c r="AW482" s="588" t="n"/>
      <c r="AX482" s="588" t="n"/>
      <c r="AY482" s="588" t="n"/>
      <c r="AZ482" s="588" t="n"/>
      <c r="BA482" s="588" t="n"/>
      <c r="BB482" s="588" t="n"/>
      <c r="BC482" s="588" t="n"/>
      <c r="BD482" s="588" t="n"/>
      <c r="BE482" s="588" t="n"/>
      <c r="BF482" s="588" t="n"/>
      <c r="BG482" s="588" t="n"/>
      <c r="BH482" s="588" t="n"/>
      <c r="BI482" s="588" t="n"/>
      <c r="BJ482" s="588" t="n"/>
      <c r="BK482" s="588" t="n"/>
      <c r="BL482" s="588" t="n"/>
      <c r="BM482" s="588" t="n"/>
      <c r="BN482" s="588" t="n"/>
      <c r="BO482" s="588" t="n"/>
      <c r="BP482" s="588" t="n"/>
      <c r="BQ482" s="588" t="n"/>
      <c r="BR482" s="588" t="n"/>
      <c r="BS482" s="588" t="n"/>
      <c r="BT482" s="588" t="n"/>
      <c r="BU482" s="588" t="n"/>
      <c r="BV482" s="588" t="n"/>
      <c r="BW482" s="588" t="n"/>
      <c r="BX482" s="588" t="n"/>
      <c r="BY482" s="588" t="n"/>
      <c r="BZ482" s="588" t="n"/>
      <c r="CA482" s="588" t="n"/>
      <c r="CB482" s="588" t="n"/>
      <c r="CC482" s="588" t="n"/>
      <c r="CD482" s="588" t="n"/>
      <c r="CE482" s="588" t="n"/>
      <c r="CF482" s="588" t="n"/>
      <c r="CG482" s="588" t="n"/>
      <c r="CH482" s="588" t="n"/>
      <c r="CI482" s="588" t="n"/>
      <c r="CJ482" s="588" t="n"/>
      <c r="CK482" s="588" t="n"/>
      <c r="CL482" s="588" t="n"/>
      <c r="CM482" s="588" t="n"/>
      <c r="CN482" s="588" t="n"/>
      <c r="CO482" s="588" t="n"/>
      <c r="CP482" s="588" t="n"/>
      <c r="CQ482" s="588" t="n"/>
      <c r="CR482" s="588" t="n"/>
      <c r="CS482" s="588" t="n"/>
      <c r="CT482" s="588" t="n"/>
      <c r="CU482" s="588" t="n"/>
      <c r="CV482" s="588" t="n"/>
      <c r="CW482" s="588" t="n"/>
      <c r="CX482" s="588" t="n"/>
      <c r="CY482" s="588" t="n"/>
      <c r="CZ482" s="588" t="n"/>
      <c r="DA482" s="588" t="n"/>
      <c r="DB482" s="588" t="n"/>
      <c r="DC482" s="588" t="n"/>
      <c r="DD482" s="588" t="n"/>
      <c r="DE482" s="588" t="n"/>
      <c r="DF482" s="588" t="n"/>
      <c r="DG482" s="588" t="n"/>
      <c r="DH482" s="588" t="n"/>
      <c r="DI482" s="588" t="n"/>
      <c r="DJ482" s="588" t="n"/>
      <c r="DK482" s="588" t="n"/>
      <c r="DL482" s="588" t="n"/>
      <c r="DM482" s="588" t="n"/>
      <c r="DN482" s="588" t="n"/>
      <c r="DO482" s="588" t="n"/>
      <c r="DP482" s="588" t="n"/>
      <c r="DQ482" s="588" t="n"/>
      <c r="DR482" s="588" t="n"/>
      <c r="DS482" s="588" t="n"/>
      <c r="DT482" s="588" t="n"/>
      <c r="DU482" s="588" t="n"/>
    </row>
    <row r="483">
      <c r="A483" s="737" t="n"/>
      <c r="B483" s="737" t="n"/>
      <c r="C483" s="737" t="n"/>
      <c r="D483" s="737" t="n"/>
      <c r="E483" s="737" t="n"/>
      <c r="F483" s="737" t="n"/>
      <c r="G483" s="737" t="n"/>
      <c r="H483" s="737" t="n"/>
      <c r="I483" s="737" t="n"/>
      <c r="J483" s="737" t="n"/>
      <c r="K483" s="737" t="n"/>
      <c r="L483" s="737" t="n"/>
      <c r="M483" s="737" t="n"/>
      <c r="N483" s="737" t="n"/>
      <c r="O483" s="737" t="n"/>
      <c r="P483" s="737" t="n"/>
      <c r="Q483" s="737" t="n"/>
      <c r="R483" s="737" t="n"/>
      <c r="S483" s="737" t="n"/>
      <c r="T483" s="737" t="n"/>
      <c r="U483" s="737" t="n"/>
      <c r="V483" s="737" t="n"/>
      <c r="W483" s="737" t="n"/>
      <c r="X483" s="737" t="n"/>
      <c r="Y483" s="737" t="n"/>
      <c r="Z483" s="737" t="n"/>
      <c r="AA483" s="737" t="n"/>
      <c r="AB483" s="737" t="n"/>
      <c r="AC483" s="737" t="n"/>
      <c r="AD483" s="737" t="n"/>
      <c r="AE483" s="737" t="n"/>
      <c r="AF483" s="737" t="n"/>
      <c r="AG483" s="737" t="n"/>
      <c r="AH483" s="737" t="n"/>
      <c r="AI483" s="737" t="n"/>
      <c r="AJ483" s="737" t="n"/>
      <c r="AK483" s="588" t="n"/>
      <c r="AL483" s="588" t="n"/>
      <c r="AM483" s="588" t="n"/>
      <c r="AN483" s="588" t="n"/>
      <c r="AO483" s="588" t="n"/>
      <c r="AP483" s="588" t="n"/>
      <c r="AQ483" s="588" t="n"/>
      <c r="AR483" s="588" t="n"/>
      <c r="AS483" s="588" t="n"/>
      <c r="AT483" s="588" t="n"/>
      <c r="AU483" s="588" t="n"/>
      <c r="AV483" s="588" t="n"/>
      <c r="AW483" s="588" t="n"/>
      <c r="AX483" s="588" t="n"/>
      <c r="AY483" s="588" t="n"/>
      <c r="AZ483" s="588" t="n"/>
      <c r="BA483" s="588" t="n"/>
      <c r="BB483" s="588" t="n"/>
      <c r="BC483" s="588" t="n"/>
      <c r="BD483" s="588" t="n"/>
      <c r="BE483" s="588" t="n"/>
      <c r="BF483" s="588" t="n"/>
      <c r="BG483" s="588" t="n"/>
      <c r="BH483" s="588" t="n"/>
      <c r="BI483" s="588" t="n"/>
      <c r="BJ483" s="588" t="n"/>
      <c r="BK483" s="588" t="n"/>
      <c r="BL483" s="588" t="n"/>
      <c r="BM483" s="588" t="n"/>
      <c r="BN483" s="588" t="n"/>
      <c r="BO483" s="588" t="n"/>
      <c r="BP483" s="588" t="n"/>
      <c r="BQ483" s="588" t="n"/>
      <c r="BR483" s="588" t="n"/>
      <c r="BS483" s="588" t="n"/>
      <c r="BT483" s="588" t="n"/>
      <c r="BU483" s="588" t="n"/>
      <c r="BV483" s="588" t="n"/>
      <c r="BW483" s="588" t="n"/>
      <c r="BX483" s="588" t="n"/>
      <c r="BY483" s="588" t="n"/>
      <c r="BZ483" s="588" t="n"/>
      <c r="CA483" s="588" t="n"/>
      <c r="CB483" s="588" t="n"/>
      <c r="CC483" s="588" t="n"/>
      <c r="CD483" s="588" t="n"/>
      <c r="CE483" s="588" t="n"/>
      <c r="CF483" s="588" t="n"/>
      <c r="CG483" s="588" t="n"/>
      <c r="CH483" s="588" t="n"/>
      <c r="CI483" s="588" t="n"/>
      <c r="CJ483" s="588" t="n"/>
      <c r="CK483" s="588" t="n"/>
      <c r="CL483" s="588" t="n"/>
      <c r="CM483" s="588" t="n"/>
      <c r="CN483" s="588" t="n"/>
      <c r="CO483" s="588" t="n"/>
      <c r="CP483" s="588" t="n"/>
      <c r="CQ483" s="588" t="n"/>
      <c r="CR483" s="588" t="n"/>
      <c r="CS483" s="588" t="n"/>
      <c r="CT483" s="588" t="n"/>
      <c r="CU483" s="588" t="n"/>
      <c r="CV483" s="588" t="n"/>
      <c r="CW483" s="588" t="n"/>
      <c r="CX483" s="588" t="n"/>
      <c r="CY483" s="588" t="n"/>
      <c r="CZ483" s="588" t="n"/>
      <c r="DA483" s="588" t="n"/>
      <c r="DB483" s="588" t="n"/>
      <c r="DC483" s="588" t="n"/>
      <c r="DD483" s="588" t="n"/>
      <c r="DE483" s="588" t="n"/>
      <c r="DF483" s="588" t="n"/>
      <c r="DG483" s="588" t="n"/>
      <c r="DH483" s="588" t="n"/>
      <c r="DI483" s="588" t="n"/>
      <c r="DJ483" s="588" t="n"/>
      <c r="DK483" s="588" t="n"/>
      <c r="DL483" s="588" t="n"/>
      <c r="DM483" s="588" t="n"/>
      <c r="DN483" s="588" t="n"/>
      <c r="DO483" s="588" t="n"/>
      <c r="DP483" s="588" t="n"/>
      <c r="DQ483" s="588" t="n"/>
      <c r="DR483" s="588" t="n"/>
      <c r="DS483" s="588" t="n"/>
      <c r="DT483" s="588" t="n"/>
      <c r="DU483" s="588" t="n"/>
    </row>
    <row r="484">
      <c r="A484" s="737" t="n"/>
      <c r="B484" s="737" t="n"/>
      <c r="C484" s="737" t="n"/>
      <c r="D484" s="737" t="n"/>
      <c r="E484" s="737" t="n"/>
      <c r="F484" s="737" t="n"/>
      <c r="G484" s="737" t="n"/>
      <c r="H484" s="737" t="n"/>
      <c r="I484" s="737" t="n"/>
      <c r="J484" s="737" t="n"/>
      <c r="K484" s="737" t="n"/>
      <c r="L484" s="737" t="n"/>
      <c r="M484" s="737" t="n"/>
      <c r="N484" s="737" t="n"/>
      <c r="O484" s="737" t="n"/>
      <c r="P484" s="737" t="n"/>
      <c r="Q484" s="737" t="n"/>
      <c r="R484" s="737" t="n"/>
      <c r="S484" s="737" t="n"/>
      <c r="T484" s="737" t="n"/>
      <c r="U484" s="737" t="n"/>
      <c r="V484" s="737" t="n"/>
      <c r="W484" s="737" t="n"/>
      <c r="X484" s="737" t="n"/>
      <c r="Y484" s="737" t="n"/>
      <c r="Z484" s="737" t="n"/>
      <c r="AA484" s="737" t="n"/>
      <c r="AB484" s="737" t="n"/>
      <c r="AC484" s="737" t="n"/>
      <c r="AD484" s="737" t="n"/>
      <c r="AE484" s="737" t="n"/>
      <c r="AF484" s="737" t="n"/>
      <c r="AG484" s="737" t="n"/>
      <c r="AH484" s="737" t="n"/>
      <c r="AI484" s="737" t="n"/>
      <c r="AJ484" s="737" t="n"/>
      <c r="AK484" s="588" t="n"/>
      <c r="AL484" s="588" t="n"/>
      <c r="AM484" s="588" t="n"/>
      <c r="AN484" s="588" t="n"/>
      <c r="AO484" s="588" t="n"/>
      <c r="AP484" s="588" t="n"/>
      <c r="AQ484" s="588" t="n"/>
      <c r="AR484" s="588" t="n"/>
      <c r="AS484" s="588" t="n"/>
      <c r="AT484" s="588" t="n"/>
      <c r="AU484" s="588" t="n"/>
      <c r="AV484" s="588" t="n"/>
      <c r="AW484" s="588" t="n"/>
      <c r="AX484" s="588" t="n"/>
      <c r="AY484" s="588" t="n"/>
      <c r="AZ484" s="588" t="n"/>
      <c r="BA484" s="588" t="n"/>
      <c r="BB484" s="588" t="n"/>
      <c r="BC484" s="588" t="n"/>
      <c r="BD484" s="588" t="n"/>
      <c r="BE484" s="588" t="n"/>
      <c r="BF484" s="588" t="n"/>
      <c r="BG484" s="588" t="n"/>
      <c r="BH484" s="588" t="n"/>
      <c r="BI484" s="588" t="n"/>
      <c r="BJ484" s="588" t="n"/>
      <c r="BK484" s="588" t="n"/>
      <c r="BL484" s="588" t="n"/>
      <c r="BM484" s="588" t="n"/>
      <c r="BN484" s="588" t="n"/>
      <c r="BO484" s="588" t="n"/>
      <c r="BP484" s="588" t="n"/>
      <c r="BQ484" s="588" t="n"/>
      <c r="BR484" s="588" t="n"/>
      <c r="BS484" s="588" t="n"/>
      <c r="BT484" s="588" t="n"/>
      <c r="BU484" s="588" t="n"/>
      <c r="BV484" s="588" t="n"/>
      <c r="BW484" s="588" t="n"/>
      <c r="BX484" s="588" t="n"/>
      <c r="BY484" s="588" t="n"/>
      <c r="BZ484" s="588" t="n"/>
      <c r="CA484" s="588" t="n"/>
      <c r="CB484" s="588" t="n"/>
      <c r="CC484" s="588" t="n"/>
      <c r="CD484" s="588" t="n"/>
      <c r="CE484" s="588" t="n"/>
      <c r="CF484" s="588" t="n"/>
      <c r="CG484" s="588" t="n"/>
      <c r="CH484" s="588" t="n"/>
      <c r="CI484" s="588" t="n"/>
      <c r="CJ484" s="588" t="n"/>
      <c r="CK484" s="588" t="n"/>
      <c r="CL484" s="588" t="n"/>
      <c r="CM484" s="588" t="n"/>
      <c r="CN484" s="588" t="n"/>
      <c r="CO484" s="588" t="n"/>
      <c r="CP484" s="588" t="n"/>
      <c r="CQ484" s="588" t="n"/>
      <c r="CR484" s="588" t="n"/>
      <c r="CS484" s="588" t="n"/>
      <c r="CT484" s="588" t="n"/>
      <c r="CU484" s="588" t="n"/>
      <c r="CV484" s="588" t="n"/>
      <c r="CW484" s="588" t="n"/>
      <c r="CX484" s="588" t="n"/>
      <c r="CY484" s="588" t="n"/>
      <c r="CZ484" s="588" t="n"/>
      <c r="DA484" s="588" t="n"/>
      <c r="DB484" s="588" t="n"/>
      <c r="DC484" s="588" t="n"/>
      <c r="DD484" s="588" t="n"/>
      <c r="DE484" s="588" t="n"/>
      <c r="DF484" s="588" t="n"/>
      <c r="DG484" s="588" t="n"/>
      <c r="DH484" s="588" t="n"/>
      <c r="DI484" s="588" t="n"/>
      <c r="DJ484" s="588" t="n"/>
      <c r="DK484" s="588" t="n"/>
      <c r="DL484" s="588" t="n"/>
      <c r="DM484" s="588" t="n"/>
      <c r="DN484" s="588" t="n"/>
      <c r="DO484" s="588" t="n"/>
      <c r="DP484" s="588" t="n"/>
      <c r="DQ484" s="588" t="n"/>
      <c r="DR484" s="588" t="n"/>
      <c r="DS484" s="588" t="n"/>
      <c r="DT484" s="588" t="n"/>
      <c r="DU484" s="588" t="n"/>
    </row>
    <row r="485">
      <c r="A485" s="737" t="n"/>
      <c r="B485" s="737" t="n"/>
      <c r="C485" s="737" t="n"/>
      <c r="D485" s="737" t="n"/>
      <c r="E485" s="737" t="n"/>
      <c r="F485" s="737" t="n"/>
      <c r="G485" s="737" t="n"/>
      <c r="H485" s="737" t="n"/>
      <c r="I485" s="737" t="n"/>
      <c r="J485" s="737" t="n"/>
      <c r="K485" s="737" t="n"/>
      <c r="L485" s="737" t="n"/>
      <c r="M485" s="737" t="n"/>
      <c r="N485" s="737" t="n"/>
      <c r="O485" s="737" t="n"/>
      <c r="P485" s="737" t="n"/>
      <c r="Q485" s="737" t="n"/>
      <c r="R485" s="737" t="n"/>
      <c r="S485" s="737" t="n"/>
      <c r="T485" s="737" t="n"/>
      <c r="U485" s="737" t="n"/>
      <c r="V485" s="737" t="n"/>
      <c r="W485" s="737" t="n"/>
      <c r="X485" s="737" t="n"/>
      <c r="Y485" s="737" t="n"/>
      <c r="Z485" s="737" t="n"/>
      <c r="AA485" s="737" t="n"/>
      <c r="AB485" s="737" t="n"/>
      <c r="AC485" s="737" t="n"/>
      <c r="AD485" s="737" t="n"/>
      <c r="AE485" s="737" t="n"/>
      <c r="AF485" s="737" t="n"/>
      <c r="AG485" s="737" t="n"/>
      <c r="AH485" s="737" t="n"/>
      <c r="AI485" s="737" t="n"/>
      <c r="AJ485" s="737" t="n"/>
      <c r="AK485" s="588" t="n"/>
      <c r="AL485" s="588" t="n"/>
      <c r="AM485" s="588" t="n"/>
      <c r="AN485" s="588" t="n"/>
      <c r="AO485" s="588" t="n"/>
      <c r="AP485" s="588" t="n"/>
      <c r="AQ485" s="588" t="n"/>
      <c r="AR485" s="588" t="n"/>
      <c r="AS485" s="588" t="n"/>
      <c r="AT485" s="588" t="n"/>
      <c r="AU485" s="588" t="n"/>
      <c r="AV485" s="588" t="n"/>
      <c r="AW485" s="588" t="n"/>
      <c r="AX485" s="588" t="n"/>
      <c r="AY485" s="588" t="n"/>
      <c r="AZ485" s="588" t="n"/>
      <c r="BA485" s="588" t="n"/>
      <c r="BB485" s="588" t="n"/>
      <c r="BC485" s="588" t="n"/>
      <c r="BD485" s="588" t="n"/>
      <c r="BE485" s="588" t="n"/>
      <c r="BF485" s="588" t="n"/>
      <c r="BG485" s="588" t="n"/>
      <c r="BH485" s="588" t="n"/>
      <c r="BI485" s="588" t="n"/>
      <c r="BJ485" s="588" t="n"/>
      <c r="BK485" s="588" t="n"/>
      <c r="BL485" s="588" t="n"/>
      <c r="BM485" s="588" t="n"/>
      <c r="BN485" s="588" t="n"/>
      <c r="BO485" s="588" t="n"/>
      <c r="BP485" s="588" t="n"/>
      <c r="BQ485" s="588" t="n"/>
      <c r="BR485" s="588" t="n"/>
      <c r="BS485" s="588" t="n"/>
      <c r="BT485" s="588" t="n"/>
      <c r="BU485" s="588" t="n"/>
      <c r="BV485" s="588" t="n"/>
      <c r="BW485" s="588" t="n"/>
      <c r="BX485" s="588" t="n"/>
      <c r="BY485" s="588" t="n"/>
      <c r="BZ485" s="588" t="n"/>
      <c r="CA485" s="588" t="n"/>
      <c r="CB485" s="588" t="n"/>
      <c r="CC485" s="588" t="n"/>
      <c r="CD485" s="588" t="n"/>
      <c r="CE485" s="588" t="n"/>
      <c r="CF485" s="588" t="n"/>
      <c r="CG485" s="588" t="n"/>
      <c r="CH485" s="588" t="n"/>
      <c r="CI485" s="588" t="n"/>
      <c r="CJ485" s="588" t="n"/>
      <c r="CK485" s="588" t="n"/>
      <c r="CL485" s="588" t="n"/>
      <c r="CM485" s="588" t="n"/>
      <c r="CN485" s="588" t="n"/>
      <c r="CO485" s="588" t="n"/>
      <c r="CP485" s="588" t="n"/>
      <c r="CQ485" s="588" t="n"/>
      <c r="CR485" s="588" t="n"/>
      <c r="CS485" s="588" t="n"/>
      <c r="CT485" s="588" t="n"/>
      <c r="CU485" s="588" t="n"/>
      <c r="CV485" s="588" t="n"/>
      <c r="CW485" s="588" t="n"/>
      <c r="CX485" s="588" t="n"/>
      <c r="CY485" s="588" t="n"/>
      <c r="CZ485" s="588" t="n"/>
      <c r="DA485" s="588" t="n"/>
      <c r="DB485" s="588" t="n"/>
      <c r="DC485" s="588" t="n"/>
      <c r="DD485" s="588" t="n"/>
      <c r="DE485" s="588" t="n"/>
      <c r="DF485" s="588" t="n"/>
      <c r="DG485" s="588" t="n"/>
      <c r="DH485" s="588" t="n"/>
      <c r="DI485" s="588" t="n"/>
      <c r="DJ485" s="588" t="n"/>
      <c r="DK485" s="588" t="n"/>
      <c r="DL485" s="588" t="n"/>
      <c r="DM485" s="588" t="n"/>
      <c r="DN485" s="588" t="n"/>
      <c r="DO485" s="588" t="n"/>
      <c r="DP485" s="588" t="n"/>
      <c r="DQ485" s="588" t="n"/>
      <c r="DR485" s="588" t="n"/>
      <c r="DS485" s="588" t="n"/>
      <c r="DT485" s="588" t="n"/>
      <c r="DU485" s="588" t="n"/>
    </row>
    <row r="486">
      <c r="A486" s="737" t="n"/>
      <c r="B486" s="737" t="n"/>
      <c r="C486" s="737" t="n"/>
      <c r="D486" s="737" t="n"/>
      <c r="E486" s="737" t="n"/>
      <c r="F486" s="737" t="n"/>
      <c r="G486" s="737" t="n"/>
      <c r="H486" s="737" t="n"/>
      <c r="I486" s="737" t="n"/>
      <c r="J486" s="737" t="n"/>
      <c r="K486" s="737" t="n"/>
      <c r="L486" s="737" t="n"/>
      <c r="M486" s="737" t="n"/>
      <c r="N486" s="737" t="n"/>
      <c r="O486" s="737" t="n"/>
      <c r="P486" s="737" t="n"/>
      <c r="Q486" s="737" t="n"/>
      <c r="R486" s="737" t="n"/>
      <c r="S486" s="737" t="n"/>
      <c r="T486" s="737" t="n"/>
      <c r="U486" s="737" t="n"/>
      <c r="V486" s="737" t="n"/>
      <c r="W486" s="737" t="n"/>
      <c r="X486" s="737" t="n"/>
      <c r="Y486" s="737" t="n"/>
      <c r="Z486" s="737" t="n"/>
      <c r="AA486" s="737" t="n"/>
      <c r="AB486" s="737" t="n"/>
      <c r="AC486" s="737" t="n"/>
      <c r="AD486" s="737" t="n"/>
      <c r="AE486" s="737" t="n"/>
      <c r="AF486" s="737" t="n"/>
      <c r="AG486" s="737" t="n"/>
      <c r="AH486" s="737" t="n"/>
      <c r="AI486" s="737" t="n"/>
      <c r="AJ486" s="737" t="n"/>
      <c r="AK486" s="588" t="n"/>
      <c r="AL486" s="588" t="n"/>
      <c r="AM486" s="588" t="n"/>
      <c r="AN486" s="588" t="n"/>
      <c r="AO486" s="588" t="n"/>
      <c r="AP486" s="588" t="n"/>
      <c r="AQ486" s="588" t="n"/>
      <c r="AR486" s="588" t="n"/>
      <c r="AS486" s="588" t="n"/>
      <c r="AT486" s="588" t="n"/>
      <c r="AU486" s="588" t="n"/>
      <c r="AV486" s="588" t="n"/>
      <c r="AW486" s="588" t="n"/>
      <c r="AX486" s="588" t="n"/>
      <c r="AY486" s="588" t="n"/>
      <c r="AZ486" s="588" t="n"/>
      <c r="BA486" s="588" t="n"/>
      <c r="BB486" s="588" t="n"/>
      <c r="BC486" s="588" t="n"/>
      <c r="BD486" s="588" t="n"/>
      <c r="BE486" s="588" t="n"/>
      <c r="BF486" s="588" t="n"/>
      <c r="BG486" s="588" t="n"/>
      <c r="BH486" s="588" t="n"/>
      <c r="BI486" s="588" t="n"/>
      <c r="BJ486" s="588" t="n"/>
      <c r="BK486" s="588" t="n"/>
      <c r="BL486" s="588" t="n"/>
      <c r="BM486" s="588" t="n"/>
      <c r="BN486" s="588" t="n"/>
      <c r="BO486" s="588" t="n"/>
      <c r="BP486" s="588" t="n"/>
      <c r="BQ486" s="588" t="n"/>
      <c r="BR486" s="588" t="n"/>
      <c r="BS486" s="588" t="n"/>
      <c r="BT486" s="588" t="n"/>
      <c r="BU486" s="588" t="n"/>
      <c r="BV486" s="588" t="n"/>
      <c r="BW486" s="588" t="n"/>
      <c r="BX486" s="588" t="n"/>
      <c r="BY486" s="588" t="n"/>
      <c r="BZ486" s="588" t="n"/>
      <c r="CA486" s="588" t="n"/>
      <c r="CB486" s="588" t="n"/>
      <c r="CC486" s="588" t="n"/>
      <c r="CD486" s="588" t="n"/>
      <c r="CE486" s="588" t="n"/>
      <c r="CF486" s="588" t="n"/>
      <c r="CG486" s="588" t="n"/>
      <c r="CH486" s="588" t="n"/>
      <c r="CI486" s="588" t="n"/>
      <c r="CJ486" s="588" t="n"/>
      <c r="CK486" s="588" t="n"/>
      <c r="CL486" s="588" t="n"/>
      <c r="CM486" s="588" t="n"/>
      <c r="CN486" s="588" t="n"/>
      <c r="CO486" s="588" t="n"/>
      <c r="CP486" s="588" t="n"/>
      <c r="CQ486" s="588" t="n"/>
      <c r="CR486" s="588" t="n"/>
      <c r="CS486" s="588" t="n"/>
      <c r="CT486" s="588" t="n"/>
      <c r="CU486" s="588" t="n"/>
      <c r="CV486" s="588" t="n"/>
      <c r="CW486" s="588" t="n"/>
      <c r="CX486" s="588" t="n"/>
      <c r="CY486" s="588" t="n"/>
      <c r="CZ486" s="588" t="n"/>
      <c r="DA486" s="588" t="n"/>
      <c r="DB486" s="588" t="n"/>
      <c r="DC486" s="588" t="n"/>
      <c r="DD486" s="588" t="n"/>
      <c r="DE486" s="588" t="n"/>
      <c r="DF486" s="588" t="n"/>
      <c r="DG486" s="588" t="n"/>
      <c r="DH486" s="588" t="n"/>
      <c r="DI486" s="588" t="n"/>
      <c r="DJ486" s="588" t="n"/>
      <c r="DK486" s="588" t="n"/>
      <c r="DL486" s="588" t="n"/>
      <c r="DM486" s="588" t="n"/>
      <c r="DN486" s="588" t="n"/>
      <c r="DO486" s="588" t="n"/>
      <c r="DP486" s="588" t="n"/>
      <c r="DQ486" s="588" t="n"/>
      <c r="DR486" s="588" t="n"/>
      <c r="DS486" s="588" t="n"/>
      <c r="DT486" s="588" t="n"/>
      <c r="DU486" s="588" t="n"/>
    </row>
    <row r="487">
      <c r="A487" s="737" t="n"/>
      <c r="B487" s="737" t="n"/>
      <c r="C487" s="737" t="n"/>
      <c r="D487" s="737" t="n"/>
      <c r="E487" s="737" t="n"/>
      <c r="F487" s="737" t="n"/>
      <c r="G487" s="737" t="n"/>
      <c r="H487" s="737" t="n"/>
      <c r="I487" s="737" t="n"/>
      <c r="J487" s="737" t="n"/>
      <c r="K487" s="737" t="n"/>
      <c r="L487" s="737" t="n"/>
      <c r="M487" s="737" t="n"/>
      <c r="N487" s="737" t="n"/>
      <c r="O487" s="737" t="n"/>
      <c r="P487" s="737" t="n"/>
      <c r="Q487" s="737" t="n"/>
      <c r="R487" s="737" t="n"/>
      <c r="S487" s="737" t="n"/>
      <c r="T487" s="737" t="n"/>
      <c r="U487" s="737" t="n"/>
      <c r="V487" s="737" t="n"/>
      <c r="W487" s="737" t="n"/>
      <c r="X487" s="737" t="n"/>
      <c r="Y487" s="737" t="n"/>
      <c r="Z487" s="737" t="n"/>
      <c r="AA487" s="737" t="n"/>
      <c r="AB487" s="737" t="n"/>
      <c r="AC487" s="737" t="n"/>
      <c r="AD487" s="737" t="n"/>
      <c r="AE487" s="737" t="n"/>
      <c r="AF487" s="737" t="n"/>
      <c r="AG487" s="737" t="n"/>
      <c r="AH487" s="737" t="n"/>
      <c r="AI487" s="737" t="n"/>
      <c r="AJ487" s="737" t="n"/>
      <c r="AK487" s="588" t="n"/>
      <c r="AL487" s="588" t="n"/>
      <c r="AM487" s="588" t="n"/>
      <c r="AN487" s="588" t="n"/>
      <c r="AO487" s="588" t="n"/>
      <c r="AP487" s="588" t="n"/>
      <c r="AQ487" s="588" t="n"/>
      <c r="AR487" s="588" t="n"/>
      <c r="AS487" s="588" t="n"/>
      <c r="AT487" s="588" t="n"/>
      <c r="AU487" s="588" t="n"/>
      <c r="AV487" s="588" t="n"/>
      <c r="AW487" s="588" t="n"/>
      <c r="AX487" s="588" t="n"/>
      <c r="AY487" s="588" t="n"/>
      <c r="AZ487" s="588" t="n"/>
      <c r="BA487" s="588" t="n"/>
      <c r="BB487" s="588" t="n"/>
      <c r="BC487" s="588" t="n"/>
      <c r="BD487" s="588" t="n"/>
      <c r="BE487" s="588" t="n"/>
      <c r="BF487" s="588" t="n"/>
      <c r="BG487" s="588" t="n"/>
      <c r="BH487" s="588" t="n"/>
      <c r="BI487" s="588" t="n"/>
      <c r="BJ487" s="588" t="n"/>
      <c r="BK487" s="588" t="n"/>
      <c r="BL487" s="588" t="n"/>
      <c r="BM487" s="588" t="n"/>
      <c r="BN487" s="588" t="n"/>
      <c r="BO487" s="588" t="n"/>
      <c r="BP487" s="588" t="n"/>
      <c r="BQ487" s="588" t="n"/>
      <c r="BR487" s="588" t="n"/>
      <c r="BS487" s="588" t="n"/>
      <c r="BT487" s="588" t="n"/>
      <c r="BU487" s="588" t="n"/>
      <c r="BV487" s="588" t="n"/>
      <c r="BW487" s="588" t="n"/>
      <c r="BX487" s="588" t="n"/>
      <c r="BY487" s="588" t="n"/>
      <c r="BZ487" s="588" t="n"/>
      <c r="CA487" s="588" t="n"/>
      <c r="CB487" s="588" t="n"/>
      <c r="CC487" s="588" t="n"/>
      <c r="CD487" s="588" t="n"/>
      <c r="CE487" s="588" t="n"/>
      <c r="CF487" s="588" t="n"/>
      <c r="CG487" s="588" t="n"/>
      <c r="CH487" s="588" t="n"/>
      <c r="CI487" s="588" t="n"/>
      <c r="CJ487" s="588" t="n"/>
      <c r="CK487" s="588" t="n"/>
      <c r="CL487" s="588" t="n"/>
      <c r="CM487" s="588" t="n"/>
      <c r="CN487" s="588" t="n"/>
      <c r="CO487" s="588" t="n"/>
      <c r="CP487" s="588" t="n"/>
      <c r="CQ487" s="588" t="n"/>
      <c r="CR487" s="588" t="n"/>
      <c r="CS487" s="588" t="n"/>
      <c r="CT487" s="588" t="n"/>
      <c r="CU487" s="588" t="n"/>
      <c r="CV487" s="588" t="n"/>
      <c r="CW487" s="588" t="n"/>
      <c r="CX487" s="588" t="n"/>
      <c r="CY487" s="588" t="n"/>
      <c r="CZ487" s="588" t="n"/>
      <c r="DA487" s="588" t="n"/>
      <c r="DB487" s="588" t="n"/>
      <c r="DC487" s="588" t="n"/>
      <c r="DD487" s="588" t="n"/>
      <c r="DE487" s="588" t="n"/>
      <c r="DF487" s="588" t="n"/>
      <c r="DG487" s="588" t="n"/>
      <c r="DH487" s="588" t="n"/>
      <c r="DI487" s="588" t="n"/>
      <c r="DJ487" s="588" t="n"/>
      <c r="DK487" s="588" t="n"/>
      <c r="DL487" s="588" t="n"/>
      <c r="DM487" s="588" t="n"/>
      <c r="DN487" s="588" t="n"/>
      <c r="DO487" s="588" t="n"/>
      <c r="DP487" s="588" t="n"/>
      <c r="DQ487" s="588" t="n"/>
      <c r="DR487" s="588" t="n"/>
      <c r="DS487" s="588" t="n"/>
      <c r="DT487" s="588" t="n"/>
      <c r="DU487" s="588" t="n"/>
    </row>
    <row r="488">
      <c r="A488" s="737" t="n"/>
      <c r="B488" s="737" t="n"/>
      <c r="C488" s="737" t="n"/>
      <c r="D488" s="737" t="n"/>
      <c r="E488" s="737" t="n"/>
      <c r="F488" s="737" t="n"/>
      <c r="G488" s="737" t="n"/>
      <c r="H488" s="737" t="n"/>
      <c r="I488" s="737" t="n"/>
      <c r="J488" s="737" t="n"/>
      <c r="K488" s="737" t="n"/>
      <c r="L488" s="737" t="n"/>
      <c r="M488" s="737" t="n"/>
      <c r="N488" s="737" t="n"/>
      <c r="O488" s="737" t="n"/>
      <c r="P488" s="737" t="n"/>
      <c r="Q488" s="737" t="n"/>
      <c r="R488" s="737" t="n"/>
      <c r="S488" s="737" t="n"/>
      <c r="T488" s="737" t="n"/>
      <c r="U488" s="737" t="n"/>
      <c r="V488" s="737" t="n"/>
      <c r="W488" s="737" t="n"/>
      <c r="X488" s="737" t="n"/>
      <c r="Y488" s="737" t="n"/>
      <c r="Z488" s="737" t="n"/>
      <c r="AA488" s="737" t="n"/>
      <c r="AB488" s="737" t="n"/>
      <c r="AC488" s="737" t="n"/>
      <c r="AD488" s="737" t="n"/>
      <c r="AE488" s="737" t="n"/>
      <c r="AF488" s="737" t="n"/>
      <c r="AG488" s="737" t="n"/>
      <c r="AH488" s="737" t="n"/>
      <c r="AI488" s="737" t="n"/>
      <c r="AJ488" s="737" t="n"/>
      <c r="AK488" s="588" t="n"/>
      <c r="AL488" s="588" t="n"/>
      <c r="AM488" s="588" t="n"/>
      <c r="AN488" s="588" t="n"/>
      <c r="AO488" s="588" t="n"/>
      <c r="AP488" s="588" t="n"/>
      <c r="AQ488" s="588" t="n"/>
      <c r="AR488" s="588" t="n"/>
      <c r="AS488" s="588" t="n"/>
      <c r="AT488" s="588" t="n"/>
      <c r="AU488" s="588" t="n"/>
      <c r="AV488" s="588" t="n"/>
      <c r="AW488" s="588" t="n"/>
      <c r="AX488" s="588" t="n"/>
      <c r="AY488" s="588" t="n"/>
      <c r="AZ488" s="588" t="n"/>
      <c r="BA488" s="588" t="n"/>
      <c r="BB488" s="588" t="n"/>
      <c r="BC488" s="588" t="n"/>
      <c r="BD488" s="588" t="n"/>
      <c r="BE488" s="588" t="n"/>
      <c r="BF488" s="588" t="n"/>
      <c r="BG488" s="588" t="n"/>
      <c r="BH488" s="588" t="n"/>
      <c r="BI488" s="588" t="n"/>
      <c r="BJ488" s="588" t="n"/>
      <c r="BK488" s="588" t="n"/>
      <c r="BL488" s="588" t="n"/>
      <c r="BM488" s="588" t="n"/>
      <c r="BN488" s="588" t="n"/>
      <c r="BO488" s="588" t="n"/>
      <c r="BP488" s="588" t="n"/>
      <c r="BQ488" s="588" t="n"/>
      <c r="BR488" s="588" t="n"/>
      <c r="BS488" s="588" t="n"/>
      <c r="BT488" s="588" t="n"/>
      <c r="BU488" s="588" t="n"/>
      <c r="BV488" s="588" t="n"/>
      <c r="BW488" s="588" t="n"/>
      <c r="BX488" s="588" t="n"/>
      <c r="BY488" s="588" t="n"/>
      <c r="BZ488" s="588" t="n"/>
      <c r="CA488" s="588" t="n"/>
      <c r="CB488" s="588" t="n"/>
      <c r="CC488" s="588" t="n"/>
      <c r="CD488" s="588" t="n"/>
      <c r="CE488" s="588" t="n"/>
      <c r="CF488" s="588" t="n"/>
      <c r="CG488" s="588" t="n"/>
      <c r="CH488" s="588" t="n"/>
      <c r="CI488" s="588" t="n"/>
      <c r="CJ488" s="588" t="n"/>
      <c r="CK488" s="588" t="n"/>
      <c r="CL488" s="588" t="n"/>
      <c r="CM488" s="588" t="n"/>
      <c r="CN488" s="588" t="n"/>
      <c r="CO488" s="588" t="n"/>
      <c r="CP488" s="588" t="n"/>
      <c r="CQ488" s="588" t="n"/>
      <c r="CR488" s="588" t="n"/>
      <c r="CS488" s="588" t="n"/>
      <c r="CT488" s="588" t="n"/>
      <c r="CU488" s="588" t="n"/>
      <c r="CV488" s="588" t="n"/>
      <c r="CW488" s="588" t="n"/>
      <c r="CX488" s="588" t="n"/>
      <c r="CY488" s="588" t="n"/>
      <c r="CZ488" s="588" t="n"/>
      <c r="DA488" s="588" t="n"/>
      <c r="DB488" s="588" t="n"/>
      <c r="DC488" s="588" t="n"/>
      <c r="DD488" s="588" t="n"/>
      <c r="DE488" s="588" t="n"/>
      <c r="DF488" s="588" t="n"/>
      <c r="DG488" s="588" t="n"/>
      <c r="DH488" s="588" t="n"/>
      <c r="DI488" s="588" t="n"/>
      <c r="DJ488" s="588" t="n"/>
      <c r="DK488" s="588" t="n"/>
      <c r="DL488" s="588" t="n"/>
      <c r="DM488" s="588" t="n"/>
      <c r="DN488" s="588" t="n"/>
      <c r="DO488" s="588" t="n"/>
      <c r="DP488" s="588" t="n"/>
      <c r="DQ488" s="588" t="n"/>
      <c r="DR488" s="588" t="n"/>
      <c r="DS488" s="588" t="n"/>
      <c r="DT488" s="588" t="n"/>
      <c r="DU488" s="588" t="n"/>
    </row>
    <row r="489">
      <c r="A489" s="737" t="n"/>
      <c r="B489" s="737" t="n"/>
      <c r="C489" s="737" t="n"/>
      <c r="D489" s="737" t="n"/>
      <c r="E489" s="737" t="n"/>
      <c r="F489" s="737" t="n"/>
      <c r="G489" s="737" t="n"/>
      <c r="H489" s="737" t="n"/>
      <c r="I489" s="737" t="n"/>
      <c r="J489" s="737" t="n"/>
      <c r="K489" s="737" t="n"/>
      <c r="L489" s="737" t="n"/>
      <c r="M489" s="737" t="n"/>
      <c r="N489" s="737" t="n"/>
      <c r="O489" s="737" t="n"/>
      <c r="P489" s="737" t="n"/>
      <c r="Q489" s="737" t="n"/>
      <c r="R489" s="737" t="n"/>
      <c r="S489" s="737" t="n"/>
      <c r="T489" s="737" t="n"/>
      <c r="U489" s="737" t="n"/>
      <c r="V489" s="737" t="n"/>
      <c r="W489" s="737" t="n"/>
      <c r="X489" s="737" t="n"/>
      <c r="Y489" s="737" t="n"/>
      <c r="Z489" s="737" t="n"/>
      <c r="AA489" s="737" t="n"/>
      <c r="AB489" s="737" t="n"/>
      <c r="AC489" s="737" t="n"/>
      <c r="AD489" s="737" t="n"/>
      <c r="AE489" s="737" t="n"/>
      <c r="AF489" s="737" t="n"/>
      <c r="AG489" s="737" t="n"/>
      <c r="AH489" s="737" t="n"/>
      <c r="AI489" s="737" t="n"/>
      <c r="AJ489" s="737" t="n"/>
      <c r="AK489" s="588" t="n"/>
      <c r="AL489" s="588" t="n"/>
      <c r="AM489" s="588" t="n"/>
      <c r="AN489" s="588" t="n"/>
      <c r="AO489" s="588" t="n"/>
      <c r="AP489" s="588" t="n"/>
      <c r="AQ489" s="588" t="n"/>
      <c r="AR489" s="588" t="n"/>
      <c r="AS489" s="588" t="n"/>
      <c r="AT489" s="588" t="n"/>
      <c r="AU489" s="588" t="n"/>
      <c r="AV489" s="588" t="n"/>
      <c r="AW489" s="588" t="n"/>
      <c r="AX489" s="588" t="n"/>
      <c r="AY489" s="588" t="n"/>
      <c r="AZ489" s="588" t="n"/>
      <c r="BA489" s="588" t="n"/>
      <c r="BB489" s="588" t="n"/>
      <c r="BC489" s="588" t="n"/>
      <c r="BD489" s="588" t="n"/>
      <c r="BE489" s="588" t="n"/>
      <c r="BF489" s="588" t="n"/>
      <c r="BG489" s="588" t="n"/>
      <c r="BH489" s="588" t="n"/>
      <c r="BI489" s="588" t="n"/>
      <c r="BJ489" s="588" t="n"/>
      <c r="BK489" s="588" t="n"/>
      <c r="BL489" s="588" t="n"/>
      <c r="BM489" s="588" t="n"/>
      <c r="BN489" s="588" t="n"/>
      <c r="BO489" s="588" t="n"/>
      <c r="BP489" s="588" t="n"/>
      <c r="BQ489" s="588" t="n"/>
      <c r="BR489" s="588" t="n"/>
      <c r="BS489" s="588" t="n"/>
      <c r="BT489" s="588" t="n"/>
      <c r="BU489" s="588" t="n"/>
      <c r="BV489" s="588" t="n"/>
      <c r="BW489" s="588" t="n"/>
      <c r="BX489" s="588" t="n"/>
      <c r="BY489" s="588" t="n"/>
      <c r="BZ489" s="588" t="n"/>
      <c r="CA489" s="588" t="n"/>
      <c r="CB489" s="588" t="n"/>
      <c r="CC489" s="588" t="n"/>
      <c r="CD489" s="588" t="n"/>
      <c r="CE489" s="588" t="n"/>
      <c r="CF489" s="588" t="n"/>
      <c r="CG489" s="588" t="n"/>
      <c r="CH489" s="588" t="n"/>
      <c r="CI489" s="588" t="n"/>
      <c r="CJ489" s="588" t="n"/>
      <c r="CK489" s="588" t="n"/>
      <c r="CL489" s="588" t="n"/>
      <c r="CM489" s="588" t="n"/>
      <c r="CN489" s="588" t="n"/>
      <c r="CO489" s="588" t="n"/>
      <c r="CP489" s="588" t="n"/>
      <c r="CQ489" s="588" t="n"/>
      <c r="CR489" s="588" t="n"/>
      <c r="CS489" s="588" t="n"/>
      <c r="CT489" s="588" t="n"/>
      <c r="CU489" s="588" t="n"/>
      <c r="CV489" s="588" t="n"/>
      <c r="CW489" s="588" t="n"/>
      <c r="CX489" s="588" t="n"/>
      <c r="CY489" s="588" t="n"/>
      <c r="CZ489" s="588" t="n"/>
      <c r="DA489" s="588" t="n"/>
      <c r="DB489" s="588" t="n"/>
      <c r="DC489" s="588" t="n"/>
      <c r="DD489" s="588" t="n"/>
      <c r="DE489" s="588" t="n"/>
      <c r="DF489" s="588" t="n"/>
      <c r="DG489" s="588" t="n"/>
      <c r="DH489" s="588" t="n"/>
      <c r="DI489" s="588" t="n"/>
      <c r="DJ489" s="588" t="n"/>
      <c r="DK489" s="588" t="n"/>
      <c r="DL489" s="588" t="n"/>
      <c r="DM489" s="588" t="n"/>
      <c r="DN489" s="588" t="n"/>
      <c r="DO489" s="588" t="n"/>
      <c r="DP489" s="588" t="n"/>
      <c r="DQ489" s="588" t="n"/>
      <c r="DR489" s="588" t="n"/>
      <c r="DS489" s="588" t="n"/>
      <c r="DT489" s="588" t="n"/>
      <c r="DU489" s="588" t="n"/>
    </row>
    <row r="490">
      <c r="A490" s="737" t="n"/>
      <c r="B490" s="737" t="n"/>
      <c r="C490" s="737" t="n"/>
      <c r="D490" s="737" t="n"/>
      <c r="E490" s="737" t="n"/>
      <c r="F490" s="737" t="n"/>
      <c r="G490" s="737" t="n"/>
      <c r="H490" s="737" t="n"/>
      <c r="I490" s="737" t="n"/>
      <c r="J490" s="737" t="n"/>
      <c r="K490" s="737" t="n"/>
      <c r="L490" s="737" t="n"/>
      <c r="M490" s="737" t="n"/>
      <c r="N490" s="737" t="n"/>
      <c r="O490" s="737" t="n"/>
      <c r="P490" s="737" t="n"/>
      <c r="Q490" s="737" t="n"/>
      <c r="R490" s="737" t="n"/>
      <c r="S490" s="737" t="n"/>
      <c r="T490" s="737" t="n"/>
      <c r="U490" s="737" t="n"/>
      <c r="V490" s="737" t="n"/>
      <c r="W490" s="737" t="n"/>
      <c r="X490" s="737" t="n"/>
      <c r="Y490" s="737" t="n"/>
      <c r="Z490" s="737" t="n"/>
      <c r="AA490" s="737" t="n"/>
      <c r="AB490" s="737" t="n"/>
      <c r="AC490" s="737" t="n"/>
      <c r="AD490" s="737" t="n"/>
      <c r="AE490" s="737" t="n"/>
      <c r="AF490" s="737" t="n"/>
      <c r="AG490" s="737" t="n"/>
      <c r="AH490" s="737" t="n"/>
      <c r="AI490" s="737" t="n"/>
      <c r="AJ490" s="737" t="n"/>
      <c r="AK490" s="588" t="n"/>
      <c r="AL490" s="588" t="n"/>
      <c r="AM490" s="588" t="n"/>
      <c r="AN490" s="588" t="n"/>
      <c r="AO490" s="588" t="n"/>
      <c r="AP490" s="588" t="n"/>
      <c r="AQ490" s="588" t="n"/>
      <c r="AR490" s="588" t="n"/>
      <c r="AS490" s="588" t="n"/>
      <c r="AT490" s="588" t="n"/>
      <c r="AU490" s="588" t="n"/>
      <c r="AV490" s="588" t="n"/>
      <c r="AW490" s="588" t="n"/>
      <c r="AX490" s="588" t="n"/>
      <c r="AY490" s="588" t="n"/>
      <c r="AZ490" s="588" t="n"/>
      <c r="BA490" s="588" t="n"/>
      <c r="BB490" s="588" t="n"/>
      <c r="BC490" s="588" t="n"/>
      <c r="BD490" s="588" t="n"/>
      <c r="BE490" s="588" t="n"/>
      <c r="BF490" s="588" t="n"/>
      <c r="BG490" s="588" t="n"/>
      <c r="BH490" s="588" t="n"/>
      <c r="BI490" s="588" t="n"/>
      <c r="BJ490" s="588" t="n"/>
      <c r="BK490" s="588" t="n"/>
      <c r="BL490" s="588" t="n"/>
      <c r="BM490" s="588" t="n"/>
      <c r="BN490" s="588" t="n"/>
      <c r="BO490" s="588" t="n"/>
      <c r="BP490" s="588" t="n"/>
      <c r="BQ490" s="588" t="n"/>
      <c r="BR490" s="588" t="n"/>
      <c r="BS490" s="588" t="n"/>
      <c r="BT490" s="588" t="n"/>
      <c r="BU490" s="588" t="n"/>
      <c r="BV490" s="588" t="n"/>
      <c r="BW490" s="588" t="n"/>
      <c r="BX490" s="588" t="n"/>
      <c r="BY490" s="588" t="n"/>
      <c r="BZ490" s="588" t="n"/>
      <c r="CA490" s="588" t="n"/>
      <c r="CB490" s="588" t="n"/>
      <c r="CC490" s="588" t="n"/>
      <c r="CD490" s="588" t="n"/>
      <c r="CE490" s="588" t="n"/>
      <c r="CF490" s="588" t="n"/>
      <c r="CG490" s="588" t="n"/>
      <c r="CH490" s="588" t="n"/>
      <c r="CI490" s="588" t="n"/>
      <c r="CJ490" s="588" t="n"/>
      <c r="CK490" s="588" t="n"/>
      <c r="CL490" s="588" t="n"/>
      <c r="CM490" s="588" t="n"/>
      <c r="CN490" s="588" t="n"/>
      <c r="CO490" s="588" t="n"/>
      <c r="CP490" s="588" t="n"/>
      <c r="CQ490" s="588" t="n"/>
      <c r="CR490" s="588" t="n"/>
      <c r="CS490" s="588" t="n"/>
      <c r="CT490" s="588" t="n"/>
      <c r="CU490" s="588" t="n"/>
      <c r="CV490" s="588" t="n"/>
      <c r="CW490" s="588" t="n"/>
      <c r="CX490" s="588" t="n"/>
      <c r="CY490" s="588" t="n"/>
      <c r="CZ490" s="588" t="n"/>
      <c r="DA490" s="588" t="n"/>
      <c r="DB490" s="588" t="n"/>
      <c r="DC490" s="588" t="n"/>
      <c r="DD490" s="588" t="n"/>
      <c r="DE490" s="588" t="n"/>
      <c r="DF490" s="588" t="n"/>
      <c r="DG490" s="588" t="n"/>
      <c r="DH490" s="588" t="n"/>
      <c r="DI490" s="588" t="n"/>
      <c r="DJ490" s="588" t="n"/>
      <c r="DK490" s="588" t="n"/>
      <c r="DL490" s="588" t="n"/>
      <c r="DM490" s="588" t="n"/>
      <c r="DN490" s="588" t="n"/>
      <c r="DO490" s="588" t="n"/>
      <c r="DP490" s="588" t="n"/>
      <c r="DQ490" s="588" t="n"/>
      <c r="DR490" s="588" t="n"/>
      <c r="DS490" s="588" t="n"/>
      <c r="DT490" s="588" t="n"/>
      <c r="DU490" s="588" t="n"/>
    </row>
    <row r="491">
      <c r="A491" s="737" t="n"/>
      <c r="B491" s="737" t="n"/>
      <c r="C491" s="737" t="n"/>
      <c r="D491" s="737" t="n"/>
      <c r="E491" s="737" t="n"/>
      <c r="F491" s="737" t="n"/>
      <c r="G491" s="737" t="n"/>
      <c r="H491" s="737" t="n"/>
      <c r="I491" s="737" t="n"/>
      <c r="J491" s="737" t="n"/>
      <c r="K491" s="737" t="n"/>
      <c r="L491" s="737" t="n"/>
      <c r="M491" s="737" t="n"/>
      <c r="N491" s="737" t="n"/>
      <c r="O491" s="737" t="n"/>
      <c r="P491" s="737" t="n"/>
      <c r="Q491" s="737" t="n"/>
      <c r="R491" s="737" t="n"/>
      <c r="S491" s="737" t="n"/>
      <c r="T491" s="737" t="n"/>
      <c r="U491" s="737" t="n"/>
      <c r="V491" s="737" t="n"/>
      <c r="W491" s="737" t="n"/>
      <c r="X491" s="737" t="n"/>
      <c r="Y491" s="737" t="n"/>
      <c r="Z491" s="737" t="n"/>
      <c r="AA491" s="737" t="n"/>
      <c r="AB491" s="737" t="n"/>
      <c r="AC491" s="737" t="n"/>
      <c r="AD491" s="737" t="n"/>
      <c r="AE491" s="737" t="n"/>
      <c r="AF491" s="737" t="n"/>
      <c r="AG491" s="737" t="n"/>
      <c r="AH491" s="737" t="n"/>
      <c r="AI491" s="737" t="n"/>
      <c r="AJ491" s="737" t="n"/>
      <c r="AK491" s="588" t="n"/>
      <c r="AL491" s="588" t="n"/>
      <c r="AM491" s="588" t="n"/>
      <c r="AN491" s="588" t="n"/>
      <c r="AO491" s="588" t="n"/>
      <c r="AP491" s="588" t="n"/>
      <c r="AQ491" s="588" t="n"/>
      <c r="AR491" s="588" t="n"/>
      <c r="AS491" s="588" t="n"/>
      <c r="AT491" s="588" t="n"/>
      <c r="AU491" s="588" t="n"/>
      <c r="AV491" s="588" t="n"/>
      <c r="AW491" s="588" t="n"/>
      <c r="AX491" s="588" t="n"/>
      <c r="AY491" s="588" t="n"/>
      <c r="AZ491" s="588" t="n"/>
      <c r="BA491" s="588" t="n"/>
      <c r="BB491" s="588" t="n"/>
      <c r="BC491" s="588" t="n"/>
      <c r="BD491" s="588" t="n"/>
      <c r="BE491" s="588" t="n"/>
      <c r="BF491" s="588" t="n"/>
      <c r="BG491" s="588" t="n"/>
      <c r="BH491" s="588" t="n"/>
      <c r="BI491" s="588" t="n"/>
      <c r="BJ491" s="588" t="n"/>
      <c r="BK491" s="588" t="n"/>
      <c r="BL491" s="588" t="n"/>
      <c r="BM491" s="588" t="n"/>
      <c r="BN491" s="588" t="n"/>
      <c r="BO491" s="588" t="n"/>
      <c r="BP491" s="588" t="n"/>
      <c r="BQ491" s="588" t="n"/>
      <c r="BR491" s="588" t="n"/>
      <c r="BS491" s="588" t="n"/>
      <c r="BT491" s="588" t="n"/>
      <c r="BU491" s="588" t="n"/>
      <c r="BV491" s="588" t="n"/>
      <c r="BW491" s="588" t="n"/>
      <c r="BX491" s="588" t="n"/>
      <c r="BY491" s="588" t="n"/>
      <c r="BZ491" s="588" t="n"/>
      <c r="CA491" s="588" t="n"/>
      <c r="CB491" s="588" t="n"/>
      <c r="CC491" s="588" t="n"/>
      <c r="CD491" s="588" t="n"/>
      <c r="CE491" s="588" t="n"/>
      <c r="CF491" s="588" t="n"/>
      <c r="CG491" s="588" t="n"/>
      <c r="CH491" s="588" t="n"/>
      <c r="CI491" s="588" t="n"/>
      <c r="CJ491" s="588" t="n"/>
      <c r="CK491" s="588" t="n"/>
      <c r="CL491" s="588" t="n"/>
      <c r="CM491" s="588" t="n"/>
      <c r="CN491" s="588" t="n"/>
      <c r="CO491" s="588" t="n"/>
      <c r="CP491" s="588" t="n"/>
      <c r="CQ491" s="588" t="n"/>
      <c r="CR491" s="588" t="n"/>
      <c r="CS491" s="588" t="n"/>
      <c r="CT491" s="588" t="n"/>
      <c r="CU491" s="588" t="n"/>
      <c r="CV491" s="588" t="n"/>
      <c r="CW491" s="588" t="n"/>
      <c r="CX491" s="588" t="n"/>
      <c r="CY491" s="588" t="n"/>
      <c r="CZ491" s="588" t="n"/>
      <c r="DA491" s="588" t="n"/>
      <c r="DB491" s="588" t="n"/>
      <c r="DC491" s="588" t="n"/>
      <c r="DD491" s="588" t="n"/>
      <c r="DE491" s="588" t="n"/>
      <c r="DF491" s="588" t="n"/>
      <c r="DG491" s="588" t="n"/>
      <c r="DH491" s="588" t="n"/>
      <c r="DI491" s="588" t="n"/>
      <c r="DJ491" s="588" t="n"/>
      <c r="DK491" s="588" t="n"/>
      <c r="DL491" s="588" t="n"/>
      <c r="DM491" s="588" t="n"/>
      <c r="DN491" s="588" t="n"/>
      <c r="DO491" s="588" t="n"/>
      <c r="DP491" s="588" t="n"/>
      <c r="DQ491" s="588" t="n"/>
      <c r="DR491" s="588" t="n"/>
      <c r="DS491" s="588" t="n"/>
      <c r="DT491" s="588" t="n"/>
      <c r="DU491" s="588" t="n"/>
    </row>
    <row r="492">
      <c r="A492" s="737" t="n"/>
      <c r="B492" s="737" t="n"/>
      <c r="C492" s="737" t="n"/>
      <c r="D492" s="737" t="n"/>
      <c r="E492" s="737" t="n"/>
      <c r="F492" s="737" t="n"/>
      <c r="G492" s="737" t="n"/>
      <c r="H492" s="737" t="n"/>
      <c r="I492" s="737" t="n"/>
      <c r="J492" s="737" t="n"/>
      <c r="K492" s="737" t="n"/>
      <c r="L492" s="737" t="n"/>
      <c r="M492" s="737" t="n"/>
      <c r="N492" s="737" t="n"/>
      <c r="O492" s="737" t="n"/>
      <c r="P492" s="737" t="n"/>
      <c r="Q492" s="737" t="n"/>
      <c r="R492" s="737" t="n"/>
      <c r="S492" s="737" t="n"/>
      <c r="T492" s="737" t="n"/>
      <c r="U492" s="737" t="n"/>
      <c r="V492" s="737" t="n"/>
      <c r="W492" s="737" t="n"/>
      <c r="X492" s="737" t="n"/>
      <c r="Y492" s="737" t="n"/>
      <c r="Z492" s="737" t="n"/>
      <c r="AA492" s="737" t="n"/>
      <c r="AB492" s="737" t="n"/>
      <c r="AC492" s="737" t="n"/>
      <c r="AD492" s="737" t="n"/>
      <c r="AE492" s="737" t="n"/>
      <c r="AF492" s="737" t="n"/>
      <c r="AG492" s="737" t="n"/>
      <c r="AH492" s="737" t="n"/>
      <c r="AI492" s="737" t="n"/>
      <c r="AJ492" s="737" t="n"/>
      <c r="AK492" s="588" t="n"/>
      <c r="AL492" s="588" t="n"/>
      <c r="AM492" s="588" t="n"/>
      <c r="AN492" s="588" t="n"/>
      <c r="AO492" s="588" t="n"/>
      <c r="AP492" s="588" t="n"/>
      <c r="AQ492" s="588" t="n"/>
      <c r="AR492" s="588" t="n"/>
      <c r="AS492" s="588" t="n"/>
      <c r="AT492" s="588" t="n"/>
      <c r="AU492" s="588" t="n"/>
      <c r="AV492" s="588" t="n"/>
      <c r="AW492" s="588" t="n"/>
      <c r="AX492" s="588" t="n"/>
      <c r="AY492" s="588" t="n"/>
      <c r="AZ492" s="588" t="n"/>
      <c r="BA492" s="588" t="n"/>
      <c r="BB492" s="588" t="n"/>
      <c r="BC492" s="588" t="n"/>
      <c r="BD492" s="588" t="n"/>
      <c r="BE492" s="588" t="n"/>
      <c r="BF492" s="588" t="n"/>
      <c r="BG492" s="588" t="n"/>
      <c r="BH492" s="588" t="n"/>
      <c r="BI492" s="588" t="n"/>
      <c r="BJ492" s="588" t="n"/>
      <c r="BK492" s="588" t="n"/>
      <c r="BL492" s="588" t="n"/>
      <c r="BM492" s="588" t="n"/>
      <c r="BN492" s="588" t="n"/>
      <c r="BO492" s="588" t="n"/>
      <c r="BP492" s="588" t="n"/>
      <c r="BQ492" s="588" t="n"/>
      <c r="BR492" s="588" t="n"/>
      <c r="BS492" s="588" t="n"/>
      <c r="BT492" s="588" t="n"/>
      <c r="BU492" s="588" t="n"/>
      <c r="BV492" s="588" t="n"/>
      <c r="BW492" s="588" t="n"/>
      <c r="BX492" s="588" t="n"/>
      <c r="BY492" s="588" t="n"/>
      <c r="BZ492" s="588" t="n"/>
      <c r="CA492" s="588" t="n"/>
      <c r="CB492" s="588" t="n"/>
      <c r="CC492" s="588" t="n"/>
      <c r="CD492" s="588" t="n"/>
      <c r="CE492" s="588" t="n"/>
      <c r="CF492" s="588" t="n"/>
      <c r="CG492" s="588" t="n"/>
      <c r="CH492" s="588" t="n"/>
      <c r="CI492" s="588" t="n"/>
      <c r="CJ492" s="588" t="n"/>
      <c r="CK492" s="588" t="n"/>
      <c r="CL492" s="588" t="n"/>
      <c r="CM492" s="588" t="n"/>
      <c r="CN492" s="588" t="n"/>
      <c r="CO492" s="588" t="n"/>
      <c r="CP492" s="588" t="n"/>
      <c r="CQ492" s="588" t="n"/>
      <c r="CR492" s="588" t="n"/>
      <c r="CS492" s="588" t="n"/>
      <c r="CT492" s="588" t="n"/>
      <c r="CU492" s="588" t="n"/>
      <c r="CV492" s="588" t="n"/>
      <c r="CW492" s="588" t="n"/>
      <c r="CX492" s="588" t="n"/>
      <c r="CY492" s="588" t="n"/>
      <c r="CZ492" s="588" t="n"/>
      <c r="DA492" s="588" t="n"/>
      <c r="DB492" s="588" t="n"/>
      <c r="DC492" s="588" t="n"/>
      <c r="DD492" s="588" t="n"/>
      <c r="DE492" s="588" t="n"/>
      <c r="DF492" s="588" t="n"/>
      <c r="DG492" s="588" t="n"/>
      <c r="DH492" s="588" t="n"/>
      <c r="DI492" s="588" t="n"/>
      <c r="DJ492" s="588" t="n"/>
      <c r="DK492" s="588" t="n"/>
      <c r="DL492" s="588" t="n"/>
      <c r="DM492" s="588" t="n"/>
      <c r="DN492" s="588" t="n"/>
      <c r="DO492" s="588" t="n"/>
      <c r="DP492" s="588" t="n"/>
      <c r="DQ492" s="588" t="n"/>
      <c r="DR492" s="588" t="n"/>
      <c r="DS492" s="588" t="n"/>
      <c r="DT492" s="588" t="n"/>
      <c r="DU492" s="588" t="n"/>
    </row>
    <row r="493">
      <c r="A493" s="737" t="n"/>
      <c r="B493" s="737" t="n"/>
      <c r="C493" s="737" t="n"/>
      <c r="D493" s="737" t="n"/>
      <c r="E493" s="737" t="n"/>
      <c r="F493" s="737" t="n"/>
      <c r="G493" s="737" t="n"/>
      <c r="H493" s="737" t="n"/>
      <c r="I493" s="737" t="n"/>
      <c r="J493" s="737" t="n"/>
      <c r="K493" s="737" t="n"/>
      <c r="L493" s="737" t="n"/>
      <c r="M493" s="737" t="n"/>
      <c r="N493" s="737" t="n"/>
      <c r="O493" s="737" t="n"/>
      <c r="P493" s="737" t="n"/>
      <c r="Q493" s="737" t="n"/>
      <c r="R493" s="737" t="n"/>
      <c r="S493" s="737" t="n"/>
      <c r="T493" s="737" t="n"/>
      <c r="U493" s="737" t="n"/>
      <c r="V493" s="737" t="n"/>
      <c r="W493" s="737" t="n"/>
      <c r="X493" s="737" t="n"/>
      <c r="Y493" s="737" t="n"/>
      <c r="Z493" s="737" t="n"/>
      <c r="AA493" s="737" t="n"/>
      <c r="AB493" s="737" t="n"/>
      <c r="AC493" s="737" t="n"/>
      <c r="AD493" s="737" t="n"/>
      <c r="AE493" s="737" t="n"/>
      <c r="AF493" s="737" t="n"/>
      <c r="AG493" s="737" t="n"/>
      <c r="AH493" s="737" t="n"/>
      <c r="AI493" s="737" t="n"/>
      <c r="AJ493" s="737" t="n"/>
      <c r="AK493" s="588" t="n"/>
      <c r="AL493" s="588" t="n"/>
      <c r="AM493" s="588" t="n"/>
      <c r="AN493" s="588" t="n"/>
      <c r="AO493" s="588" t="n"/>
      <c r="AP493" s="588" t="n"/>
      <c r="AQ493" s="588" t="n"/>
      <c r="AR493" s="588" t="n"/>
      <c r="AS493" s="588" t="n"/>
      <c r="AT493" s="588" t="n"/>
      <c r="AU493" s="588" t="n"/>
      <c r="AV493" s="588" t="n"/>
      <c r="AW493" s="588" t="n"/>
      <c r="AX493" s="588" t="n"/>
      <c r="AY493" s="588" t="n"/>
      <c r="AZ493" s="588" t="n"/>
      <c r="BA493" s="588" t="n"/>
      <c r="BB493" s="588" t="n"/>
      <c r="BC493" s="588" t="n"/>
      <c r="BD493" s="588" t="n"/>
      <c r="BE493" s="588" t="n"/>
      <c r="BF493" s="588" t="n"/>
      <c r="BG493" s="588" t="n"/>
      <c r="BH493" s="588" t="n"/>
      <c r="BI493" s="588" t="n"/>
      <c r="BJ493" s="588" t="n"/>
      <c r="BK493" s="588" t="n"/>
      <c r="BL493" s="588" t="n"/>
      <c r="BM493" s="588" t="n"/>
      <c r="BN493" s="588" t="n"/>
      <c r="BO493" s="588" t="n"/>
      <c r="BP493" s="588" t="n"/>
      <c r="BQ493" s="588" t="n"/>
      <c r="BR493" s="588" t="n"/>
      <c r="BS493" s="588" t="n"/>
      <c r="BT493" s="588" t="n"/>
      <c r="BU493" s="588" t="n"/>
      <c r="BV493" s="588" t="n"/>
      <c r="BW493" s="588" t="n"/>
      <c r="BX493" s="588" t="n"/>
      <c r="BY493" s="588" t="n"/>
      <c r="BZ493" s="588" t="n"/>
      <c r="CA493" s="588" t="n"/>
      <c r="CB493" s="588" t="n"/>
      <c r="CC493" s="588" t="n"/>
      <c r="CD493" s="588" t="n"/>
      <c r="CE493" s="588" t="n"/>
      <c r="CF493" s="588" t="n"/>
      <c r="CG493" s="588" t="n"/>
      <c r="CH493" s="588" t="n"/>
      <c r="CI493" s="588" t="n"/>
      <c r="CJ493" s="588" t="n"/>
      <c r="CK493" s="588" t="n"/>
      <c r="CL493" s="588" t="n"/>
      <c r="CM493" s="588" t="n"/>
      <c r="CN493" s="588" t="n"/>
      <c r="CO493" s="588" t="n"/>
      <c r="CP493" s="588" t="n"/>
      <c r="CQ493" s="588" t="n"/>
      <c r="CR493" s="588" t="n"/>
      <c r="CS493" s="588" t="n"/>
      <c r="CT493" s="588" t="n"/>
      <c r="CU493" s="588" t="n"/>
      <c r="CV493" s="588" t="n"/>
      <c r="CW493" s="588" t="n"/>
      <c r="CX493" s="588" t="n"/>
      <c r="CY493" s="588" t="n"/>
      <c r="CZ493" s="588" t="n"/>
      <c r="DA493" s="588" t="n"/>
      <c r="DB493" s="588" t="n"/>
      <c r="DC493" s="588" t="n"/>
      <c r="DD493" s="588" t="n"/>
      <c r="DE493" s="588" t="n"/>
      <c r="DF493" s="588" t="n"/>
      <c r="DG493" s="588" t="n"/>
      <c r="DH493" s="588" t="n"/>
      <c r="DI493" s="588" t="n"/>
      <c r="DJ493" s="588" t="n"/>
      <c r="DK493" s="588" t="n"/>
      <c r="DL493" s="588" t="n"/>
      <c r="DM493" s="588" t="n"/>
      <c r="DN493" s="588" t="n"/>
      <c r="DO493" s="588" t="n"/>
      <c r="DP493" s="588" t="n"/>
      <c r="DQ493" s="588" t="n"/>
      <c r="DR493" s="588" t="n"/>
      <c r="DS493" s="588" t="n"/>
      <c r="DT493" s="588" t="n"/>
      <c r="DU493" s="588" t="n"/>
    </row>
    <row r="494">
      <c r="A494" s="737" t="n"/>
      <c r="B494" s="737" t="n"/>
      <c r="C494" s="737" t="n"/>
      <c r="D494" s="737" t="n"/>
      <c r="E494" s="737" t="n"/>
      <c r="F494" s="737" t="n"/>
      <c r="G494" s="737" t="n"/>
      <c r="H494" s="737" t="n"/>
      <c r="I494" s="737" t="n"/>
      <c r="J494" s="737" t="n"/>
      <c r="K494" s="737" t="n"/>
      <c r="L494" s="737" t="n"/>
      <c r="M494" s="737" t="n"/>
      <c r="N494" s="737" t="n"/>
      <c r="O494" s="737" t="n"/>
      <c r="P494" s="737" t="n"/>
      <c r="Q494" s="737" t="n"/>
      <c r="R494" s="737" t="n"/>
      <c r="S494" s="737" t="n"/>
      <c r="T494" s="737" t="n"/>
      <c r="U494" s="737" t="n"/>
      <c r="V494" s="737" t="n"/>
      <c r="W494" s="737" t="n"/>
      <c r="X494" s="737" t="n"/>
      <c r="Y494" s="737" t="n"/>
      <c r="Z494" s="737" t="n"/>
      <c r="AA494" s="737" t="n"/>
      <c r="AB494" s="737" t="n"/>
      <c r="AC494" s="737" t="n"/>
      <c r="AD494" s="737" t="n"/>
      <c r="AE494" s="737" t="n"/>
      <c r="AF494" s="737" t="n"/>
      <c r="AG494" s="737" t="n"/>
      <c r="AH494" s="737" t="n"/>
      <c r="AI494" s="737" t="n"/>
      <c r="AJ494" s="737" t="n"/>
      <c r="AK494" s="588" t="n"/>
      <c r="AL494" s="588" t="n"/>
      <c r="AM494" s="588" t="n"/>
      <c r="AN494" s="588" t="n"/>
      <c r="AO494" s="588" t="n"/>
      <c r="AP494" s="588" t="n"/>
      <c r="AQ494" s="588" t="n"/>
      <c r="AR494" s="588" t="n"/>
      <c r="AS494" s="588" t="n"/>
      <c r="AT494" s="588" t="n"/>
      <c r="AU494" s="588" t="n"/>
      <c r="AV494" s="588" t="n"/>
      <c r="AW494" s="588" t="n"/>
      <c r="AX494" s="588" t="n"/>
      <c r="AY494" s="588" t="n"/>
      <c r="AZ494" s="588" t="n"/>
      <c r="BA494" s="588" t="n"/>
      <c r="BB494" s="588" t="n"/>
      <c r="BC494" s="588" t="n"/>
      <c r="BD494" s="588" t="n"/>
      <c r="BE494" s="588" t="n"/>
      <c r="BF494" s="588" t="n"/>
      <c r="BG494" s="588" t="n"/>
      <c r="BH494" s="588" t="n"/>
      <c r="BI494" s="588" t="n"/>
      <c r="BJ494" s="588" t="n"/>
      <c r="BK494" s="588" t="n"/>
      <c r="BL494" s="588" t="n"/>
      <c r="BM494" s="588" t="n"/>
      <c r="BN494" s="588" t="n"/>
      <c r="BO494" s="588" t="n"/>
      <c r="BP494" s="588" t="n"/>
      <c r="BQ494" s="588" t="n"/>
      <c r="BR494" s="588" t="n"/>
      <c r="BS494" s="588" t="n"/>
      <c r="BT494" s="588" t="n"/>
      <c r="BU494" s="588" t="n"/>
      <c r="BV494" s="588" t="n"/>
      <c r="BW494" s="588" t="n"/>
      <c r="BX494" s="588" t="n"/>
      <c r="BY494" s="588" t="n"/>
      <c r="BZ494" s="588" t="n"/>
      <c r="CA494" s="588" t="n"/>
      <c r="CB494" s="588" t="n"/>
      <c r="CC494" s="588" t="n"/>
      <c r="CD494" s="588" t="n"/>
      <c r="CE494" s="588" t="n"/>
      <c r="CF494" s="588" t="n"/>
      <c r="CG494" s="588" t="n"/>
      <c r="CH494" s="588" t="n"/>
      <c r="CI494" s="588" t="n"/>
      <c r="CJ494" s="588" t="n"/>
      <c r="CK494" s="588" t="n"/>
      <c r="CL494" s="588" t="n"/>
      <c r="CM494" s="588" t="n"/>
      <c r="CN494" s="588" t="n"/>
      <c r="CO494" s="588" t="n"/>
      <c r="CP494" s="588" t="n"/>
      <c r="CQ494" s="588" t="n"/>
      <c r="CR494" s="588" t="n"/>
      <c r="CS494" s="588" t="n"/>
      <c r="CT494" s="588" t="n"/>
      <c r="CU494" s="588" t="n"/>
      <c r="CV494" s="588" t="n"/>
      <c r="CW494" s="588" t="n"/>
      <c r="CX494" s="588" t="n"/>
      <c r="CY494" s="588" t="n"/>
      <c r="CZ494" s="588" t="n"/>
      <c r="DA494" s="588" t="n"/>
      <c r="DB494" s="588" t="n"/>
      <c r="DC494" s="588" t="n"/>
      <c r="DD494" s="588" t="n"/>
      <c r="DE494" s="588" t="n"/>
      <c r="DF494" s="588" t="n"/>
      <c r="DG494" s="588" t="n"/>
      <c r="DH494" s="588" t="n"/>
      <c r="DI494" s="588" t="n"/>
      <c r="DJ494" s="588" t="n"/>
      <c r="DK494" s="588" t="n"/>
      <c r="DL494" s="588" t="n"/>
      <c r="DM494" s="588" t="n"/>
      <c r="DN494" s="588" t="n"/>
      <c r="DO494" s="588" t="n"/>
      <c r="DP494" s="588" t="n"/>
      <c r="DQ494" s="588" t="n"/>
      <c r="DR494" s="588" t="n"/>
      <c r="DS494" s="588" t="n"/>
      <c r="DT494" s="588" t="n"/>
      <c r="DU494" s="588" t="n"/>
    </row>
    <row r="495">
      <c r="A495" s="737" t="n"/>
      <c r="B495" s="737" t="n"/>
      <c r="C495" s="737" t="n"/>
      <c r="D495" s="737" t="n"/>
      <c r="E495" s="737" t="n"/>
      <c r="F495" s="737" t="n"/>
      <c r="G495" s="737" t="n"/>
      <c r="H495" s="737" t="n"/>
      <c r="I495" s="737" t="n"/>
      <c r="J495" s="737" t="n"/>
      <c r="K495" s="737" t="n"/>
      <c r="L495" s="737" t="n"/>
      <c r="M495" s="737" t="n"/>
      <c r="N495" s="737" t="n"/>
      <c r="O495" s="737" t="n"/>
      <c r="P495" s="737" t="n"/>
      <c r="Q495" s="737" t="n"/>
      <c r="R495" s="737" t="n"/>
      <c r="S495" s="737" t="n"/>
      <c r="T495" s="737" t="n"/>
      <c r="U495" s="737" t="n"/>
      <c r="V495" s="737" t="n"/>
      <c r="W495" s="737" t="n"/>
      <c r="X495" s="737" t="n"/>
      <c r="Y495" s="737" t="n"/>
      <c r="Z495" s="737" t="n"/>
      <c r="AA495" s="737" t="n"/>
      <c r="AB495" s="737" t="n"/>
      <c r="AC495" s="737" t="n"/>
      <c r="AD495" s="737" t="n"/>
      <c r="AE495" s="737" t="n"/>
      <c r="AF495" s="737" t="n"/>
      <c r="AG495" s="737" t="n"/>
      <c r="AH495" s="737" t="n"/>
      <c r="AI495" s="737" t="n"/>
      <c r="AJ495" s="737" t="n"/>
      <c r="AK495" s="588" t="n"/>
      <c r="AL495" s="588" t="n"/>
      <c r="AM495" s="588" t="n"/>
      <c r="AN495" s="588" t="n"/>
      <c r="AO495" s="588" t="n"/>
      <c r="AP495" s="588" t="n"/>
      <c r="AQ495" s="588" t="n"/>
      <c r="AR495" s="588" t="n"/>
      <c r="AS495" s="588" t="n"/>
      <c r="AT495" s="588" t="n"/>
      <c r="AU495" s="588" t="n"/>
      <c r="AV495" s="588" t="n"/>
      <c r="AW495" s="588" t="n"/>
      <c r="AX495" s="588" t="n"/>
      <c r="AY495" s="588" t="n"/>
      <c r="AZ495" s="588" t="n"/>
      <c r="BA495" s="588" t="n"/>
      <c r="BB495" s="588" t="n"/>
      <c r="BC495" s="588" t="n"/>
      <c r="BD495" s="588" t="n"/>
      <c r="BE495" s="588" t="n"/>
      <c r="BF495" s="588" t="n"/>
      <c r="BG495" s="588" t="n"/>
      <c r="BH495" s="588" t="n"/>
      <c r="BI495" s="588" t="n"/>
      <c r="BJ495" s="588" t="n"/>
      <c r="BK495" s="588" t="n"/>
      <c r="BL495" s="588" t="n"/>
      <c r="BM495" s="588" t="n"/>
      <c r="BN495" s="588" t="n"/>
      <c r="BO495" s="588" t="n"/>
      <c r="BP495" s="588" t="n"/>
      <c r="BQ495" s="588" t="n"/>
      <c r="BR495" s="588" t="n"/>
      <c r="BS495" s="588" t="n"/>
      <c r="BT495" s="588" t="n"/>
      <c r="BU495" s="588" t="n"/>
      <c r="BV495" s="588" t="n"/>
      <c r="BW495" s="588" t="n"/>
      <c r="BX495" s="588" t="n"/>
      <c r="BY495" s="588" t="n"/>
      <c r="BZ495" s="588" t="n"/>
      <c r="CA495" s="588" t="n"/>
      <c r="CB495" s="588" t="n"/>
      <c r="CC495" s="588" t="n"/>
      <c r="CD495" s="588" t="n"/>
      <c r="CE495" s="588" t="n"/>
      <c r="CF495" s="588" t="n"/>
      <c r="CG495" s="588" t="n"/>
      <c r="CH495" s="588" t="n"/>
      <c r="CI495" s="588" t="n"/>
      <c r="CJ495" s="588" t="n"/>
      <c r="CK495" s="588" t="n"/>
      <c r="CL495" s="588" t="n"/>
      <c r="CM495" s="588" t="n"/>
      <c r="CN495" s="588" t="n"/>
      <c r="CO495" s="588" t="n"/>
      <c r="CP495" s="588" t="n"/>
      <c r="CQ495" s="588" t="n"/>
      <c r="CR495" s="588" t="n"/>
      <c r="CS495" s="588" t="n"/>
      <c r="CT495" s="588" t="n"/>
      <c r="CU495" s="588" t="n"/>
      <c r="CV495" s="588" t="n"/>
      <c r="CW495" s="588" t="n"/>
      <c r="CX495" s="588" t="n"/>
      <c r="CY495" s="588" t="n"/>
      <c r="CZ495" s="588" t="n"/>
      <c r="DA495" s="588" t="n"/>
      <c r="DB495" s="588" t="n"/>
      <c r="DC495" s="588" t="n"/>
      <c r="DD495" s="588" t="n"/>
      <c r="DE495" s="588" t="n"/>
      <c r="DF495" s="588" t="n"/>
      <c r="DG495" s="588" t="n"/>
      <c r="DH495" s="588" t="n"/>
      <c r="DI495" s="588" t="n"/>
      <c r="DJ495" s="588" t="n"/>
      <c r="DK495" s="588" t="n"/>
      <c r="DL495" s="588" t="n"/>
      <c r="DM495" s="588" t="n"/>
      <c r="DN495" s="588" t="n"/>
      <c r="DO495" s="588" t="n"/>
      <c r="DP495" s="588" t="n"/>
      <c r="DQ495" s="588" t="n"/>
      <c r="DR495" s="588" t="n"/>
      <c r="DS495" s="588" t="n"/>
      <c r="DT495" s="588" t="n"/>
      <c r="DU495" s="588" t="n"/>
    </row>
    <row r="496">
      <c r="A496" s="737" t="n"/>
      <c r="B496" s="737" t="n"/>
      <c r="C496" s="737" t="n"/>
      <c r="D496" s="737" t="n"/>
      <c r="E496" s="737" t="n"/>
      <c r="F496" s="737" t="n"/>
      <c r="G496" s="737" t="n"/>
      <c r="H496" s="737" t="n"/>
      <c r="I496" s="737" t="n"/>
      <c r="J496" s="737" t="n"/>
      <c r="K496" s="737" t="n"/>
      <c r="L496" s="737" t="n"/>
      <c r="M496" s="737" t="n"/>
      <c r="N496" s="737" t="n"/>
      <c r="O496" s="737" t="n"/>
      <c r="P496" s="737" t="n"/>
      <c r="Q496" s="737" t="n"/>
      <c r="R496" s="737" t="n"/>
      <c r="S496" s="737" t="n"/>
      <c r="T496" s="737" t="n"/>
      <c r="U496" s="737" t="n"/>
      <c r="V496" s="737" t="n"/>
      <c r="W496" s="737" t="n"/>
      <c r="X496" s="737" t="n"/>
      <c r="Y496" s="737" t="n"/>
      <c r="Z496" s="737" t="n"/>
      <c r="AA496" s="737" t="n"/>
      <c r="AB496" s="737" t="n"/>
      <c r="AC496" s="737" t="n"/>
      <c r="AD496" s="737" t="n"/>
      <c r="AE496" s="737" t="n"/>
      <c r="AF496" s="737" t="n"/>
      <c r="AG496" s="737" t="n"/>
      <c r="AH496" s="737" t="n"/>
      <c r="AI496" s="737" t="n"/>
      <c r="AJ496" s="737" t="n"/>
      <c r="AK496" s="588" t="n"/>
      <c r="AL496" s="588" t="n"/>
      <c r="AM496" s="588" t="n"/>
      <c r="AN496" s="588" t="n"/>
      <c r="AO496" s="588" t="n"/>
      <c r="AP496" s="588" t="n"/>
      <c r="AQ496" s="588" t="n"/>
      <c r="AR496" s="588" t="n"/>
      <c r="AS496" s="588" t="n"/>
      <c r="AT496" s="588" t="n"/>
      <c r="AU496" s="588" t="n"/>
      <c r="AV496" s="588" t="n"/>
      <c r="AW496" s="588" t="n"/>
      <c r="AX496" s="588" t="n"/>
      <c r="AY496" s="588" t="n"/>
      <c r="AZ496" s="588" t="n"/>
      <c r="BA496" s="588" t="n"/>
      <c r="BB496" s="588" t="n"/>
      <c r="BC496" s="588" t="n"/>
      <c r="BD496" s="588" t="n"/>
      <c r="BE496" s="588" t="n"/>
      <c r="BF496" s="588" t="n"/>
      <c r="BG496" s="588" t="n"/>
      <c r="BH496" s="588" t="n"/>
      <c r="BI496" s="588" t="n"/>
      <c r="BJ496" s="588" t="n"/>
      <c r="BK496" s="588" t="n"/>
      <c r="BL496" s="588" t="n"/>
      <c r="BM496" s="588" t="n"/>
      <c r="BN496" s="588" t="n"/>
      <c r="BO496" s="588" t="n"/>
      <c r="BP496" s="588" t="n"/>
      <c r="BQ496" s="588" t="n"/>
      <c r="BR496" s="588" t="n"/>
      <c r="BS496" s="588" t="n"/>
      <c r="BT496" s="588" t="n"/>
      <c r="BU496" s="588" t="n"/>
      <c r="BV496" s="588" t="n"/>
      <c r="BW496" s="588" t="n"/>
      <c r="BX496" s="588" t="n"/>
      <c r="BY496" s="588" t="n"/>
      <c r="BZ496" s="588" t="n"/>
      <c r="CA496" s="588" t="n"/>
      <c r="CB496" s="588" t="n"/>
      <c r="CC496" s="588" t="n"/>
      <c r="CD496" s="588" t="n"/>
      <c r="CE496" s="588" t="n"/>
      <c r="CF496" s="588" t="n"/>
      <c r="CG496" s="588" t="n"/>
      <c r="CH496" s="588" t="n"/>
      <c r="CI496" s="588" t="n"/>
      <c r="CJ496" s="588" t="n"/>
      <c r="CK496" s="588" t="n"/>
      <c r="CL496" s="588" t="n"/>
      <c r="CM496" s="588" t="n"/>
      <c r="CN496" s="588" t="n"/>
      <c r="CO496" s="588" t="n"/>
      <c r="CP496" s="588" t="n"/>
      <c r="CQ496" s="588" t="n"/>
      <c r="CR496" s="588" t="n"/>
      <c r="CS496" s="588" t="n"/>
      <c r="CT496" s="588" t="n"/>
      <c r="CU496" s="588" t="n"/>
      <c r="CV496" s="588" t="n"/>
      <c r="CW496" s="588" t="n"/>
      <c r="CX496" s="588" t="n"/>
      <c r="CY496" s="588" t="n"/>
      <c r="CZ496" s="588" t="n"/>
      <c r="DA496" s="588" t="n"/>
      <c r="DB496" s="588" t="n"/>
      <c r="DC496" s="588" t="n"/>
      <c r="DD496" s="588" t="n"/>
      <c r="DE496" s="588" t="n"/>
      <c r="DF496" s="588" t="n"/>
      <c r="DG496" s="588" t="n"/>
      <c r="DH496" s="588" t="n"/>
      <c r="DI496" s="588" t="n"/>
      <c r="DJ496" s="588" t="n"/>
      <c r="DK496" s="588" t="n"/>
      <c r="DL496" s="588" t="n"/>
      <c r="DM496" s="588" t="n"/>
      <c r="DN496" s="588" t="n"/>
      <c r="DO496" s="588" t="n"/>
      <c r="DP496" s="588" t="n"/>
      <c r="DQ496" s="588" t="n"/>
      <c r="DR496" s="588" t="n"/>
      <c r="DS496" s="588" t="n"/>
      <c r="DT496" s="588" t="n"/>
      <c r="DU496" s="588" t="n"/>
    </row>
    <row r="497">
      <c r="A497" s="737" t="n"/>
      <c r="B497" s="737" t="n"/>
      <c r="C497" s="737" t="n"/>
      <c r="D497" s="737" t="n"/>
      <c r="E497" s="737" t="n"/>
      <c r="F497" s="737" t="n"/>
      <c r="G497" s="737" t="n"/>
      <c r="H497" s="737" t="n"/>
      <c r="I497" s="737" t="n"/>
      <c r="J497" s="737" t="n"/>
      <c r="K497" s="737" t="n"/>
      <c r="L497" s="737" t="n"/>
      <c r="M497" s="737" t="n"/>
      <c r="N497" s="737" t="n"/>
      <c r="O497" s="737" t="n"/>
      <c r="P497" s="737" t="n"/>
      <c r="Q497" s="737" t="n"/>
      <c r="R497" s="737" t="n"/>
      <c r="S497" s="737" t="n"/>
      <c r="T497" s="737" t="n"/>
      <c r="U497" s="737" t="n"/>
      <c r="V497" s="737" t="n"/>
      <c r="W497" s="737" t="n"/>
      <c r="X497" s="737" t="n"/>
      <c r="Y497" s="737" t="n"/>
      <c r="Z497" s="737" t="n"/>
      <c r="AA497" s="737" t="n"/>
      <c r="AB497" s="737" t="n"/>
      <c r="AC497" s="737" t="n"/>
      <c r="AD497" s="737" t="n"/>
      <c r="AE497" s="737" t="n"/>
      <c r="AF497" s="737" t="n"/>
      <c r="AG497" s="737" t="n"/>
      <c r="AH497" s="737" t="n"/>
      <c r="AI497" s="737" t="n"/>
      <c r="AJ497" s="737" t="n"/>
      <c r="AK497" s="588" t="n"/>
      <c r="AL497" s="588" t="n"/>
      <c r="AM497" s="588" t="n"/>
      <c r="AN497" s="588" t="n"/>
      <c r="AO497" s="588" t="n"/>
      <c r="AP497" s="588" t="n"/>
      <c r="AQ497" s="588" t="n"/>
      <c r="AR497" s="588" t="n"/>
      <c r="AS497" s="588" t="n"/>
      <c r="AT497" s="588" t="n"/>
      <c r="AU497" s="588" t="n"/>
      <c r="AV497" s="588" t="n"/>
      <c r="AW497" s="588" t="n"/>
      <c r="AX497" s="588" t="n"/>
      <c r="AY497" s="588" t="n"/>
      <c r="AZ497" s="588" t="n"/>
      <c r="BA497" s="588" t="n"/>
      <c r="BB497" s="588" t="n"/>
      <c r="BC497" s="588" t="n"/>
      <c r="BD497" s="588" t="n"/>
      <c r="BE497" s="588" t="n"/>
      <c r="BF497" s="588" t="n"/>
      <c r="BG497" s="588" t="n"/>
      <c r="BH497" s="588" t="n"/>
      <c r="BI497" s="588" t="n"/>
      <c r="BJ497" s="588" t="n"/>
      <c r="BK497" s="588" t="n"/>
      <c r="BL497" s="588" t="n"/>
      <c r="BM497" s="588" t="n"/>
      <c r="BN497" s="588" t="n"/>
      <c r="BO497" s="588" t="n"/>
      <c r="BP497" s="588" t="n"/>
      <c r="BQ497" s="588" t="n"/>
      <c r="BR497" s="588" t="n"/>
      <c r="BS497" s="588" t="n"/>
      <c r="BT497" s="588" t="n"/>
      <c r="BU497" s="588" t="n"/>
      <c r="BV497" s="588" t="n"/>
      <c r="BW497" s="588" t="n"/>
      <c r="BX497" s="588" t="n"/>
      <c r="BY497" s="588" t="n"/>
      <c r="BZ497" s="588" t="n"/>
      <c r="CA497" s="588" t="n"/>
      <c r="CB497" s="588" t="n"/>
      <c r="CC497" s="588" t="n"/>
      <c r="CD497" s="588" t="n"/>
      <c r="CE497" s="588" t="n"/>
      <c r="CF497" s="588" t="n"/>
      <c r="CG497" s="588" t="n"/>
      <c r="CH497" s="588" t="n"/>
      <c r="CI497" s="588" t="n"/>
      <c r="CJ497" s="588" t="n"/>
      <c r="CK497" s="588" t="n"/>
      <c r="CL497" s="588" t="n"/>
      <c r="CM497" s="588" t="n"/>
      <c r="CN497" s="588" t="n"/>
      <c r="CO497" s="588" t="n"/>
      <c r="CP497" s="588" t="n"/>
      <c r="CQ497" s="588" t="n"/>
      <c r="CR497" s="588" t="n"/>
      <c r="CS497" s="588" t="n"/>
      <c r="CT497" s="588" t="n"/>
      <c r="CU497" s="588" t="n"/>
      <c r="CV497" s="588" t="n"/>
      <c r="CW497" s="588" t="n"/>
      <c r="CX497" s="588" t="n"/>
      <c r="CY497" s="588" t="n"/>
      <c r="CZ497" s="588" t="n"/>
      <c r="DA497" s="588" t="n"/>
      <c r="DB497" s="588" t="n"/>
      <c r="DC497" s="588" t="n"/>
      <c r="DD497" s="588" t="n"/>
      <c r="DE497" s="588" t="n"/>
      <c r="DF497" s="588" t="n"/>
      <c r="DG497" s="588" t="n"/>
      <c r="DH497" s="588" t="n"/>
      <c r="DI497" s="588" t="n"/>
      <c r="DJ497" s="588" t="n"/>
      <c r="DK497" s="588" t="n"/>
      <c r="DL497" s="588" t="n"/>
      <c r="DM497" s="588" t="n"/>
      <c r="DN497" s="588" t="n"/>
      <c r="DO497" s="588" t="n"/>
      <c r="DP497" s="588" t="n"/>
      <c r="DQ497" s="588" t="n"/>
      <c r="DR497" s="588" t="n"/>
      <c r="DS497" s="588" t="n"/>
      <c r="DT497" s="588" t="n"/>
      <c r="DU497" s="588" t="n"/>
    </row>
    <row r="498">
      <c r="A498" s="737" t="n"/>
      <c r="B498" s="737" t="n"/>
      <c r="C498" s="737" t="n"/>
      <c r="D498" s="737" t="n"/>
      <c r="E498" s="737" t="n"/>
      <c r="F498" s="737" t="n"/>
      <c r="G498" s="737" t="n"/>
      <c r="H498" s="737" t="n"/>
      <c r="I498" s="737" t="n"/>
      <c r="J498" s="737" t="n"/>
      <c r="K498" s="737" t="n"/>
      <c r="L498" s="737" t="n"/>
      <c r="M498" s="737" t="n"/>
      <c r="N498" s="737" t="n"/>
      <c r="O498" s="737" t="n"/>
      <c r="P498" s="737" t="n"/>
      <c r="Q498" s="737" t="n"/>
      <c r="R498" s="737" t="n"/>
      <c r="S498" s="737" t="n"/>
      <c r="T498" s="737" t="n"/>
      <c r="U498" s="737" t="n"/>
      <c r="V498" s="737" t="n"/>
      <c r="W498" s="737" t="n"/>
      <c r="X498" s="737" t="n"/>
      <c r="Y498" s="737" t="n"/>
      <c r="Z498" s="737" t="n"/>
      <c r="AA498" s="737" t="n"/>
      <c r="AB498" s="737" t="n"/>
      <c r="AC498" s="737" t="n"/>
      <c r="AD498" s="737" t="n"/>
      <c r="AE498" s="737" t="n"/>
      <c r="AF498" s="737" t="n"/>
      <c r="AG498" s="737" t="n"/>
      <c r="AH498" s="737" t="n"/>
      <c r="AI498" s="737" t="n"/>
      <c r="AJ498" s="737" t="n"/>
      <c r="AK498" s="588" t="n"/>
      <c r="AL498" s="588" t="n"/>
      <c r="AM498" s="588" t="n"/>
      <c r="AN498" s="588" t="n"/>
      <c r="AO498" s="588" t="n"/>
      <c r="AP498" s="588" t="n"/>
      <c r="AQ498" s="588" t="n"/>
      <c r="AR498" s="588" t="n"/>
      <c r="AS498" s="588" t="n"/>
      <c r="AT498" s="588" t="n"/>
      <c r="AU498" s="588" t="n"/>
      <c r="AV498" s="588" t="n"/>
      <c r="AW498" s="588" t="n"/>
      <c r="AX498" s="588" t="n"/>
      <c r="AY498" s="588" t="n"/>
      <c r="AZ498" s="588" t="n"/>
      <c r="BA498" s="588" t="n"/>
      <c r="BB498" s="588" t="n"/>
      <c r="BC498" s="588" t="n"/>
      <c r="BD498" s="588" t="n"/>
      <c r="BE498" s="588" t="n"/>
      <c r="BF498" s="588" t="n"/>
      <c r="BG498" s="588" t="n"/>
      <c r="BH498" s="588" t="n"/>
      <c r="BI498" s="588" t="n"/>
      <c r="BJ498" s="588" t="n"/>
      <c r="BK498" s="588" t="n"/>
      <c r="BL498" s="588" t="n"/>
      <c r="BM498" s="588" t="n"/>
      <c r="BN498" s="588" t="n"/>
      <c r="BO498" s="588" t="n"/>
      <c r="BP498" s="588" t="n"/>
      <c r="BQ498" s="588" t="n"/>
      <c r="BR498" s="588" t="n"/>
      <c r="BS498" s="588" t="n"/>
      <c r="BT498" s="588" t="n"/>
      <c r="BU498" s="588" t="n"/>
      <c r="BV498" s="588" t="n"/>
      <c r="BW498" s="588" t="n"/>
      <c r="BX498" s="588" t="n"/>
      <c r="BY498" s="588" t="n"/>
      <c r="BZ498" s="588" t="n"/>
      <c r="CA498" s="588" t="n"/>
      <c r="CB498" s="588" t="n"/>
      <c r="CC498" s="588" t="n"/>
      <c r="CD498" s="588" t="n"/>
      <c r="CE498" s="588" t="n"/>
      <c r="CF498" s="588" t="n"/>
      <c r="CG498" s="588" t="n"/>
      <c r="CH498" s="588" t="n"/>
      <c r="CI498" s="588" t="n"/>
      <c r="CJ498" s="588" t="n"/>
      <c r="CK498" s="588" t="n"/>
      <c r="CL498" s="588" t="n"/>
      <c r="CM498" s="588" t="n"/>
      <c r="CN498" s="588" t="n"/>
      <c r="CO498" s="588" t="n"/>
      <c r="CP498" s="588" t="n"/>
      <c r="CQ498" s="588" t="n"/>
      <c r="CR498" s="588" t="n"/>
      <c r="CS498" s="588" t="n"/>
      <c r="CT498" s="588" t="n"/>
      <c r="CU498" s="588" t="n"/>
      <c r="CV498" s="588" t="n"/>
      <c r="CW498" s="588" t="n"/>
      <c r="CX498" s="588" t="n"/>
      <c r="CY498" s="588" t="n"/>
      <c r="CZ498" s="588" t="n"/>
      <c r="DA498" s="588" t="n"/>
      <c r="DB498" s="588" t="n"/>
      <c r="DC498" s="588" t="n"/>
      <c r="DD498" s="588" t="n"/>
      <c r="DE498" s="588" t="n"/>
      <c r="DF498" s="588" t="n"/>
      <c r="DG498" s="588" t="n"/>
      <c r="DH498" s="588" t="n"/>
      <c r="DI498" s="588" t="n"/>
      <c r="DJ498" s="588" t="n"/>
      <c r="DK498" s="588" t="n"/>
      <c r="DL498" s="588" t="n"/>
      <c r="DM498" s="588" t="n"/>
      <c r="DN498" s="588" t="n"/>
      <c r="DO498" s="588" t="n"/>
      <c r="DP498" s="588" t="n"/>
      <c r="DQ498" s="588" t="n"/>
      <c r="DR498" s="588" t="n"/>
      <c r="DS498" s="588" t="n"/>
      <c r="DT498" s="588" t="n"/>
      <c r="DU498" s="588" t="n"/>
    </row>
    <row r="499">
      <c r="A499" s="737" t="n"/>
      <c r="B499" s="737" t="n"/>
      <c r="C499" s="737" t="n"/>
      <c r="D499" s="737" t="n"/>
      <c r="E499" s="737" t="n"/>
      <c r="F499" s="737" t="n"/>
      <c r="G499" s="737" t="n"/>
      <c r="H499" s="737" t="n"/>
      <c r="I499" s="737" t="n"/>
      <c r="J499" s="737" t="n"/>
      <c r="K499" s="737" t="n"/>
      <c r="L499" s="737" t="n"/>
      <c r="M499" s="737" t="n"/>
      <c r="N499" s="737" t="n"/>
      <c r="O499" s="737" t="n"/>
      <c r="P499" s="737" t="n"/>
      <c r="Q499" s="737" t="n"/>
      <c r="R499" s="737" t="n"/>
      <c r="S499" s="737" t="n"/>
      <c r="T499" s="737" t="n"/>
      <c r="U499" s="737" t="n"/>
      <c r="V499" s="737" t="n"/>
      <c r="W499" s="737" t="n"/>
      <c r="X499" s="737" t="n"/>
      <c r="Y499" s="737" t="n"/>
      <c r="Z499" s="737" t="n"/>
      <c r="AA499" s="737" t="n"/>
      <c r="AB499" s="737" t="n"/>
      <c r="AC499" s="737" t="n"/>
      <c r="AD499" s="737" t="n"/>
      <c r="AE499" s="737" t="n"/>
      <c r="AF499" s="737" t="n"/>
      <c r="AG499" s="737" t="n"/>
      <c r="AH499" s="737" t="n"/>
      <c r="AI499" s="737" t="n"/>
      <c r="AJ499" s="737" t="n"/>
      <c r="AK499" s="588" t="n"/>
      <c r="AL499" s="588" t="n"/>
      <c r="AM499" s="588" t="n"/>
      <c r="AN499" s="588" t="n"/>
      <c r="AO499" s="588" t="n"/>
      <c r="AP499" s="588" t="n"/>
      <c r="AQ499" s="588" t="n"/>
      <c r="AR499" s="588" t="n"/>
      <c r="AS499" s="588" t="n"/>
      <c r="AT499" s="588" t="n"/>
      <c r="AU499" s="588" t="n"/>
      <c r="AV499" s="588" t="n"/>
      <c r="AW499" s="588" t="n"/>
      <c r="AX499" s="588" t="n"/>
      <c r="AY499" s="588" t="n"/>
      <c r="AZ499" s="588" t="n"/>
      <c r="BA499" s="588" t="n"/>
      <c r="BB499" s="588" t="n"/>
      <c r="BC499" s="588" t="n"/>
      <c r="BD499" s="588" t="n"/>
      <c r="BE499" s="588" t="n"/>
      <c r="BF499" s="588" t="n"/>
      <c r="BG499" s="588" t="n"/>
      <c r="BH499" s="588" t="n"/>
      <c r="BI499" s="588" t="n"/>
      <c r="BJ499" s="588" t="n"/>
      <c r="BK499" s="588" t="n"/>
      <c r="BL499" s="588" t="n"/>
      <c r="BM499" s="588" t="n"/>
      <c r="BN499" s="588" t="n"/>
      <c r="BO499" s="588" t="n"/>
      <c r="BP499" s="588" t="n"/>
      <c r="BQ499" s="588" t="n"/>
      <c r="BR499" s="588" t="n"/>
      <c r="BS499" s="588" t="n"/>
      <c r="BT499" s="588" t="n"/>
      <c r="BU499" s="588" t="n"/>
      <c r="BV499" s="588" t="n"/>
      <c r="BW499" s="588" t="n"/>
      <c r="BX499" s="588" t="n"/>
      <c r="BY499" s="588" t="n"/>
      <c r="BZ499" s="588" t="n"/>
      <c r="CA499" s="588" t="n"/>
      <c r="CB499" s="588" t="n"/>
      <c r="CC499" s="588" t="n"/>
      <c r="CD499" s="588" t="n"/>
      <c r="CE499" s="588" t="n"/>
      <c r="CF499" s="588" t="n"/>
      <c r="CG499" s="588" t="n"/>
      <c r="CH499" s="588" t="n"/>
      <c r="CI499" s="588" t="n"/>
      <c r="CJ499" s="588" t="n"/>
      <c r="CK499" s="588" t="n"/>
      <c r="CL499" s="588" t="n"/>
      <c r="CM499" s="588" t="n"/>
      <c r="CN499" s="588" t="n"/>
      <c r="CO499" s="588" t="n"/>
      <c r="CP499" s="588" t="n"/>
      <c r="CQ499" s="588" t="n"/>
      <c r="CR499" s="588" t="n"/>
      <c r="CS499" s="588" t="n"/>
      <c r="CT499" s="588" t="n"/>
      <c r="CU499" s="588" t="n"/>
      <c r="CV499" s="588" t="n"/>
      <c r="CW499" s="588" t="n"/>
      <c r="CX499" s="588" t="n"/>
      <c r="CY499" s="588" t="n"/>
      <c r="CZ499" s="588" t="n"/>
      <c r="DA499" s="588" t="n"/>
      <c r="DB499" s="588" t="n"/>
      <c r="DC499" s="588" t="n"/>
      <c r="DD499" s="588" t="n"/>
      <c r="DE499" s="588" t="n"/>
      <c r="DF499" s="588" t="n"/>
      <c r="DG499" s="588" t="n"/>
      <c r="DH499" s="588" t="n"/>
      <c r="DI499" s="588" t="n"/>
      <c r="DJ499" s="588" t="n"/>
      <c r="DK499" s="588" t="n"/>
      <c r="DL499" s="588" t="n"/>
      <c r="DM499" s="588" t="n"/>
      <c r="DN499" s="588" t="n"/>
      <c r="DO499" s="588" t="n"/>
      <c r="DP499" s="588" t="n"/>
      <c r="DQ499" s="588" t="n"/>
      <c r="DR499" s="588" t="n"/>
      <c r="DS499" s="588" t="n"/>
      <c r="DT499" s="588" t="n"/>
      <c r="DU499" s="588" t="n"/>
    </row>
    <row r="500">
      <c r="A500" s="737" t="n"/>
      <c r="B500" s="737" t="n"/>
      <c r="C500" s="737" t="n"/>
      <c r="D500" s="737" t="n"/>
      <c r="E500" s="737" t="n"/>
      <c r="F500" s="737" t="n"/>
      <c r="G500" s="737" t="n"/>
      <c r="H500" s="737" t="n"/>
      <c r="I500" s="737" t="n"/>
      <c r="J500" s="737" t="n"/>
      <c r="K500" s="737" t="n"/>
      <c r="L500" s="737" t="n"/>
      <c r="M500" s="737" t="n"/>
      <c r="N500" s="737" t="n"/>
      <c r="O500" s="737" t="n"/>
      <c r="P500" s="737" t="n"/>
      <c r="Q500" s="737" t="n"/>
      <c r="R500" s="737" t="n"/>
      <c r="S500" s="737" t="n"/>
      <c r="T500" s="737" t="n"/>
      <c r="U500" s="737" t="n"/>
      <c r="V500" s="737" t="n"/>
      <c r="W500" s="737" t="n"/>
      <c r="X500" s="737" t="n"/>
      <c r="Y500" s="737" t="n"/>
      <c r="Z500" s="737" t="n"/>
      <c r="AA500" s="737" t="n"/>
      <c r="AB500" s="737" t="n"/>
      <c r="AC500" s="737" t="n"/>
      <c r="AD500" s="737" t="n"/>
      <c r="AE500" s="737" t="n"/>
      <c r="AF500" s="737" t="n"/>
      <c r="AG500" s="737" t="n"/>
      <c r="AH500" s="737" t="n"/>
      <c r="AI500" s="737" t="n"/>
      <c r="AJ500" s="737" t="n"/>
      <c r="AK500" s="588" t="n"/>
      <c r="AL500" s="588" t="n"/>
      <c r="AM500" s="588" t="n"/>
      <c r="AN500" s="588" t="n"/>
      <c r="AO500" s="588" t="n"/>
      <c r="AP500" s="588" t="n"/>
      <c r="AQ500" s="588" t="n"/>
      <c r="AR500" s="588" t="n"/>
      <c r="AS500" s="588" t="n"/>
      <c r="AT500" s="588" t="n"/>
      <c r="AU500" s="588" t="n"/>
      <c r="AV500" s="588" t="n"/>
      <c r="AW500" s="588" t="n"/>
      <c r="AX500" s="588" t="n"/>
      <c r="AY500" s="588" t="n"/>
      <c r="AZ500" s="588" t="n"/>
      <c r="BA500" s="588" t="n"/>
      <c r="BB500" s="588" t="n"/>
      <c r="BC500" s="588" t="n"/>
      <c r="BD500" s="588" t="n"/>
      <c r="BE500" s="588" t="n"/>
      <c r="BF500" s="588" t="n"/>
      <c r="BG500" s="588" t="n"/>
      <c r="BH500" s="588" t="n"/>
      <c r="BI500" s="588" t="n"/>
      <c r="BJ500" s="588" t="n"/>
      <c r="BK500" s="588" t="n"/>
      <c r="BL500" s="588" t="n"/>
      <c r="BM500" s="588" t="n"/>
      <c r="BN500" s="588" t="n"/>
      <c r="BO500" s="588" t="n"/>
      <c r="BP500" s="588" t="n"/>
      <c r="BQ500" s="588" t="n"/>
      <c r="BR500" s="588" t="n"/>
      <c r="BS500" s="588" t="n"/>
      <c r="BT500" s="588" t="n"/>
      <c r="BU500" s="588" t="n"/>
      <c r="BV500" s="588" t="n"/>
      <c r="BW500" s="588" t="n"/>
      <c r="BX500" s="588" t="n"/>
      <c r="BY500" s="588" t="n"/>
      <c r="BZ500" s="588" t="n"/>
      <c r="CA500" s="588" t="n"/>
      <c r="CB500" s="588" t="n"/>
      <c r="CC500" s="588" t="n"/>
      <c r="CD500" s="588" t="n"/>
      <c r="CE500" s="588" t="n"/>
      <c r="CF500" s="588" t="n"/>
      <c r="CG500" s="588" t="n"/>
      <c r="CH500" s="588" t="n"/>
      <c r="CI500" s="588" t="n"/>
      <c r="CJ500" s="588" t="n"/>
      <c r="CK500" s="588" t="n"/>
      <c r="CL500" s="588" t="n"/>
      <c r="CM500" s="588" t="n"/>
      <c r="CN500" s="588" t="n"/>
      <c r="CO500" s="588" t="n"/>
      <c r="CP500" s="588" t="n"/>
      <c r="CQ500" s="588" t="n"/>
      <c r="CR500" s="588" t="n"/>
      <c r="CS500" s="588" t="n"/>
      <c r="CT500" s="588" t="n"/>
      <c r="CU500" s="588" t="n"/>
      <c r="CV500" s="588" t="n"/>
      <c r="CW500" s="588" t="n"/>
      <c r="CX500" s="588" t="n"/>
      <c r="CY500" s="588" t="n"/>
      <c r="CZ500" s="588" t="n"/>
      <c r="DA500" s="588" t="n"/>
      <c r="DB500" s="588" t="n"/>
      <c r="DC500" s="588" t="n"/>
      <c r="DD500" s="588" t="n"/>
      <c r="DE500" s="588" t="n"/>
      <c r="DF500" s="588" t="n"/>
      <c r="DG500" s="588" t="n"/>
      <c r="DH500" s="588" t="n"/>
      <c r="DI500" s="588" t="n"/>
      <c r="DJ500" s="588" t="n"/>
      <c r="DK500" s="588" t="n"/>
      <c r="DL500" s="588" t="n"/>
      <c r="DM500" s="588" t="n"/>
      <c r="DN500" s="588" t="n"/>
      <c r="DO500" s="588" t="n"/>
      <c r="DP500" s="588" t="n"/>
      <c r="DQ500" s="588" t="n"/>
      <c r="DR500" s="588" t="n"/>
      <c r="DS500" s="588" t="n"/>
      <c r="DT500" s="588" t="n"/>
      <c r="DU500" s="588" t="n"/>
    </row>
    <row r="501">
      <c r="A501" s="737" t="n"/>
      <c r="B501" s="737" t="n"/>
      <c r="C501" s="737" t="n"/>
      <c r="D501" s="737" t="n"/>
      <c r="E501" s="737" t="n"/>
      <c r="F501" s="737" t="n"/>
      <c r="G501" s="737" t="n"/>
      <c r="H501" s="737" t="n"/>
      <c r="I501" s="737" t="n"/>
      <c r="J501" s="737" t="n"/>
      <c r="K501" s="737" t="n"/>
      <c r="L501" s="737" t="n"/>
      <c r="M501" s="737" t="n"/>
      <c r="N501" s="737" t="n"/>
      <c r="O501" s="737" t="n"/>
      <c r="P501" s="737" t="n"/>
      <c r="Q501" s="737" t="n"/>
      <c r="R501" s="737" t="n"/>
      <c r="S501" s="737" t="n"/>
      <c r="T501" s="737" t="n"/>
      <c r="U501" s="737" t="n"/>
      <c r="V501" s="737" t="n"/>
      <c r="W501" s="737" t="n"/>
      <c r="X501" s="737" t="n"/>
      <c r="Y501" s="737" t="n"/>
      <c r="Z501" s="737" t="n"/>
      <c r="AA501" s="737" t="n"/>
      <c r="AB501" s="737" t="n"/>
      <c r="AC501" s="737" t="n"/>
      <c r="AD501" s="737" t="n"/>
      <c r="AE501" s="737" t="n"/>
      <c r="AF501" s="737" t="n"/>
      <c r="AG501" s="737" t="n"/>
      <c r="AH501" s="737" t="n"/>
      <c r="AI501" s="737" t="n"/>
      <c r="AJ501" s="737" t="n"/>
      <c r="AK501" s="588" t="n"/>
      <c r="AL501" s="588" t="n"/>
      <c r="AM501" s="588" t="n"/>
      <c r="AN501" s="588" t="n"/>
      <c r="AO501" s="588" t="n"/>
      <c r="AP501" s="588" t="n"/>
      <c r="AQ501" s="588" t="n"/>
      <c r="AR501" s="588" t="n"/>
      <c r="AS501" s="588" t="n"/>
      <c r="AT501" s="588" t="n"/>
      <c r="AU501" s="588" t="n"/>
      <c r="AV501" s="588" t="n"/>
      <c r="AW501" s="588" t="n"/>
      <c r="AX501" s="588" t="n"/>
      <c r="AY501" s="588" t="n"/>
      <c r="AZ501" s="588" t="n"/>
      <c r="BA501" s="588" t="n"/>
      <c r="BB501" s="588" t="n"/>
      <c r="BC501" s="588" t="n"/>
      <c r="BD501" s="588" t="n"/>
      <c r="BE501" s="588" t="n"/>
      <c r="BF501" s="588" t="n"/>
      <c r="BG501" s="588" t="n"/>
      <c r="BH501" s="588" t="n"/>
      <c r="BI501" s="588" t="n"/>
      <c r="BJ501" s="588" t="n"/>
      <c r="BK501" s="588" t="n"/>
      <c r="BL501" s="588" t="n"/>
      <c r="BM501" s="588" t="n"/>
      <c r="BN501" s="588" t="n"/>
      <c r="BO501" s="588" t="n"/>
      <c r="BP501" s="588" t="n"/>
      <c r="BQ501" s="588" t="n"/>
      <c r="BR501" s="588" t="n"/>
      <c r="BS501" s="588" t="n"/>
      <c r="BT501" s="588" t="n"/>
      <c r="BU501" s="588" t="n"/>
      <c r="BV501" s="588" t="n"/>
      <c r="BW501" s="588" t="n"/>
      <c r="BX501" s="588" t="n"/>
      <c r="BY501" s="588" t="n"/>
      <c r="BZ501" s="588" t="n"/>
      <c r="CA501" s="588" t="n"/>
      <c r="CB501" s="588" t="n"/>
      <c r="CC501" s="588" t="n"/>
      <c r="CD501" s="588" t="n"/>
      <c r="CE501" s="588" t="n"/>
      <c r="CF501" s="588" t="n"/>
      <c r="CG501" s="588" t="n"/>
      <c r="CH501" s="588" t="n"/>
      <c r="CI501" s="588" t="n"/>
      <c r="CJ501" s="588" t="n"/>
      <c r="CK501" s="588" t="n"/>
      <c r="CL501" s="588" t="n"/>
      <c r="CM501" s="588" t="n"/>
      <c r="CN501" s="588" t="n"/>
      <c r="CO501" s="588" t="n"/>
      <c r="CP501" s="588" t="n"/>
      <c r="CQ501" s="588" t="n"/>
      <c r="CR501" s="588" t="n"/>
      <c r="CS501" s="588" t="n"/>
      <c r="CT501" s="588" t="n"/>
      <c r="CU501" s="588" t="n"/>
      <c r="CV501" s="588" t="n"/>
      <c r="CW501" s="588" t="n"/>
      <c r="CX501" s="588" t="n"/>
      <c r="CY501" s="588" t="n"/>
      <c r="CZ501" s="588" t="n"/>
      <c r="DA501" s="588" t="n"/>
      <c r="DB501" s="588" t="n"/>
      <c r="DC501" s="588" t="n"/>
      <c r="DD501" s="588" t="n"/>
      <c r="DE501" s="588" t="n"/>
      <c r="DF501" s="588" t="n"/>
      <c r="DG501" s="588" t="n"/>
      <c r="DH501" s="588" t="n"/>
      <c r="DI501" s="588" t="n"/>
      <c r="DJ501" s="588" t="n"/>
      <c r="DK501" s="588" t="n"/>
      <c r="DL501" s="588" t="n"/>
      <c r="DM501" s="588" t="n"/>
      <c r="DN501" s="588" t="n"/>
      <c r="DO501" s="588" t="n"/>
      <c r="DP501" s="588" t="n"/>
      <c r="DQ501" s="588" t="n"/>
      <c r="DR501" s="588" t="n"/>
      <c r="DS501" s="588" t="n"/>
      <c r="DT501" s="588" t="n"/>
      <c r="DU501" s="588" t="n"/>
    </row>
    <row r="502">
      <c r="A502" s="737" t="n"/>
      <c r="B502" s="737" t="n"/>
      <c r="C502" s="737" t="n"/>
      <c r="D502" s="737" t="n"/>
      <c r="E502" s="737" t="n"/>
      <c r="F502" s="737" t="n"/>
      <c r="G502" s="737" t="n"/>
      <c r="H502" s="737" t="n"/>
      <c r="I502" s="737" t="n"/>
      <c r="J502" s="737" t="n"/>
      <c r="K502" s="737" t="n"/>
      <c r="L502" s="737" t="n"/>
      <c r="M502" s="737" t="n"/>
      <c r="N502" s="737" t="n"/>
      <c r="O502" s="737" t="n"/>
      <c r="P502" s="737" t="n"/>
      <c r="Q502" s="737" t="n"/>
      <c r="R502" s="737" t="n"/>
      <c r="S502" s="737" t="n"/>
      <c r="T502" s="737" t="n"/>
      <c r="U502" s="737" t="n"/>
      <c r="V502" s="737" t="n"/>
      <c r="W502" s="737" t="n"/>
      <c r="X502" s="737" t="n"/>
      <c r="Y502" s="737" t="n"/>
      <c r="Z502" s="737" t="n"/>
      <c r="AA502" s="737" t="n"/>
      <c r="AB502" s="737" t="n"/>
      <c r="AC502" s="737" t="n"/>
      <c r="AD502" s="737" t="n"/>
      <c r="AE502" s="737" t="n"/>
      <c r="AF502" s="737" t="n"/>
      <c r="AG502" s="737" t="n"/>
      <c r="AH502" s="737" t="n"/>
      <c r="AI502" s="737" t="n"/>
      <c r="AJ502" s="737" t="n"/>
      <c r="AK502" s="588" t="n"/>
      <c r="AL502" s="588" t="n"/>
      <c r="AM502" s="588" t="n"/>
      <c r="AN502" s="588" t="n"/>
      <c r="AO502" s="588" t="n"/>
      <c r="AP502" s="588" t="n"/>
      <c r="AQ502" s="588" t="n"/>
      <c r="AR502" s="588" t="n"/>
      <c r="AS502" s="588" t="n"/>
      <c r="AT502" s="588" t="n"/>
      <c r="AU502" s="588" t="n"/>
      <c r="AV502" s="588" t="n"/>
      <c r="AW502" s="588" t="n"/>
      <c r="AX502" s="588" t="n"/>
      <c r="AY502" s="588" t="n"/>
      <c r="AZ502" s="588" t="n"/>
      <c r="BA502" s="588" t="n"/>
      <c r="BB502" s="588" t="n"/>
      <c r="BC502" s="588" t="n"/>
      <c r="BD502" s="588" t="n"/>
      <c r="BE502" s="588" t="n"/>
      <c r="BF502" s="588" t="n"/>
      <c r="BG502" s="588" t="n"/>
      <c r="BH502" s="588" t="n"/>
      <c r="BI502" s="588" t="n"/>
      <c r="BJ502" s="588" t="n"/>
      <c r="BK502" s="588" t="n"/>
      <c r="BL502" s="588" t="n"/>
      <c r="BM502" s="588" t="n"/>
      <c r="BN502" s="588" t="n"/>
      <c r="BO502" s="588" t="n"/>
      <c r="BP502" s="588" t="n"/>
      <c r="BQ502" s="588" t="n"/>
      <c r="BR502" s="588" t="n"/>
      <c r="BS502" s="588" t="n"/>
      <c r="BT502" s="588" t="n"/>
      <c r="BU502" s="588" t="n"/>
      <c r="BV502" s="588" t="n"/>
      <c r="BW502" s="588" t="n"/>
      <c r="BX502" s="588" t="n"/>
      <c r="BY502" s="588" t="n"/>
      <c r="BZ502" s="588" t="n"/>
      <c r="CA502" s="588" t="n"/>
      <c r="CB502" s="588" t="n"/>
      <c r="CC502" s="588" t="n"/>
      <c r="CD502" s="588" t="n"/>
      <c r="CE502" s="588" t="n"/>
      <c r="CF502" s="588" t="n"/>
      <c r="CG502" s="588" t="n"/>
      <c r="CH502" s="588" t="n"/>
      <c r="CI502" s="588" t="n"/>
      <c r="CJ502" s="588" t="n"/>
      <c r="CK502" s="588" t="n"/>
      <c r="CL502" s="588" t="n"/>
      <c r="CM502" s="588" t="n"/>
      <c r="CN502" s="588" t="n"/>
      <c r="CO502" s="588" t="n"/>
      <c r="CP502" s="588" t="n"/>
      <c r="CQ502" s="588" t="n"/>
      <c r="CR502" s="588" t="n"/>
      <c r="CS502" s="588" t="n"/>
      <c r="CT502" s="588" t="n"/>
      <c r="CU502" s="588" t="n"/>
      <c r="CV502" s="588" t="n"/>
      <c r="CW502" s="588" t="n"/>
      <c r="CX502" s="588" t="n"/>
      <c r="CY502" s="588" t="n"/>
      <c r="CZ502" s="588" t="n"/>
      <c r="DA502" s="588" t="n"/>
      <c r="DB502" s="588" t="n"/>
      <c r="DC502" s="588" t="n"/>
      <c r="DD502" s="588" t="n"/>
      <c r="DE502" s="588" t="n"/>
      <c r="DF502" s="588" t="n"/>
      <c r="DG502" s="588" t="n"/>
      <c r="DH502" s="588" t="n"/>
      <c r="DI502" s="588" t="n"/>
      <c r="DJ502" s="588" t="n"/>
      <c r="DK502" s="588" t="n"/>
      <c r="DL502" s="588" t="n"/>
      <c r="DM502" s="588" t="n"/>
      <c r="DN502" s="588" t="n"/>
      <c r="DO502" s="588" t="n"/>
      <c r="DP502" s="588" t="n"/>
      <c r="DQ502" s="588" t="n"/>
      <c r="DR502" s="588" t="n"/>
      <c r="DS502" s="588" t="n"/>
      <c r="DT502" s="588" t="n"/>
      <c r="DU502" s="588" t="n"/>
    </row>
    <row r="503">
      <c r="A503" s="737" t="n"/>
      <c r="B503" s="737" t="n"/>
      <c r="C503" s="737" t="n"/>
      <c r="D503" s="737" t="n"/>
      <c r="E503" s="737" t="n"/>
      <c r="F503" s="737" t="n"/>
      <c r="G503" s="737" t="n"/>
      <c r="H503" s="737" t="n"/>
      <c r="I503" s="737" t="n"/>
      <c r="J503" s="737" t="n"/>
      <c r="K503" s="737" t="n"/>
      <c r="L503" s="737" t="n"/>
      <c r="M503" s="737" t="n"/>
      <c r="N503" s="737" t="n"/>
      <c r="O503" s="737" t="n"/>
      <c r="P503" s="737" t="n"/>
      <c r="Q503" s="737" t="n"/>
      <c r="R503" s="737" t="n"/>
      <c r="S503" s="737" t="n"/>
      <c r="T503" s="737" t="n"/>
      <c r="U503" s="737" t="n"/>
      <c r="V503" s="737" t="n"/>
      <c r="W503" s="737" t="n"/>
      <c r="X503" s="737" t="n"/>
      <c r="Y503" s="737" t="n"/>
      <c r="Z503" s="737" t="n"/>
      <c r="AA503" s="737" t="n"/>
      <c r="AB503" s="737" t="n"/>
      <c r="AC503" s="737" t="n"/>
      <c r="AD503" s="737" t="n"/>
      <c r="AE503" s="737" t="n"/>
      <c r="AF503" s="737" t="n"/>
      <c r="AG503" s="737" t="n"/>
      <c r="AH503" s="737" t="n"/>
      <c r="AI503" s="737" t="n"/>
      <c r="AJ503" s="737" t="n"/>
      <c r="AK503" s="588" t="n"/>
      <c r="AL503" s="588" t="n"/>
      <c r="AM503" s="588" t="n"/>
      <c r="AN503" s="588" t="n"/>
      <c r="AO503" s="588" t="n"/>
      <c r="AP503" s="588" t="n"/>
      <c r="AQ503" s="588" t="n"/>
      <c r="AR503" s="588" t="n"/>
      <c r="AS503" s="588" t="n"/>
      <c r="AT503" s="588" t="n"/>
      <c r="AU503" s="588" t="n"/>
      <c r="AV503" s="588" t="n"/>
      <c r="AW503" s="588" t="n"/>
      <c r="AX503" s="588" t="n"/>
      <c r="AY503" s="588" t="n"/>
      <c r="AZ503" s="588" t="n"/>
      <c r="BA503" s="588" t="n"/>
      <c r="BB503" s="588" t="n"/>
      <c r="BC503" s="588" t="n"/>
      <c r="BD503" s="588" t="n"/>
      <c r="BE503" s="588" t="n"/>
      <c r="BF503" s="588" t="n"/>
      <c r="BG503" s="588" t="n"/>
      <c r="BH503" s="588" t="n"/>
      <c r="BI503" s="588" t="n"/>
      <c r="BJ503" s="588" t="n"/>
      <c r="BK503" s="588" t="n"/>
      <c r="BL503" s="588" t="n"/>
      <c r="BM503" s="588" t="n"/>
      <c r="BN503" s="588" t="n"/>
      <c r="BO503" s="588" t="n"/>
      <c r="BP503" s="588" t="n"/>
      <c r="BQ503" s="588" t="n"/>
      <c r="BR503" s="588" t="n"/>
      <c r="BS503" s="588" t="n"/>
      <c r="BT503" s="588" t="n"/>
      <c r="BU503" s="588" t="n"/>
      <c r="BV503" s="588" t="n"/>
      <c r="BW503" s="588" t="n"/>
      <c r="BX503" s="588" t="n"/>
      <c r="BY503" s="588" t="n"/>
      <c r="BZ503" s="588" t="n"/>
      <c r="CA503" s="588" t="n"/>
      <c r="CB503" s="588" t="n"/>
      <c r="CC503" s="588" t="n"/>
      <c r="CD503" s="588" t="n"/>
      <c r="CE503" s="588" t="n"/>
      <c r="CF503" s="588" t="n"/>
      <c r="CG503" s="588" t="n"/>
      <c r="CH503" s="588" t="n"/>
      <c r="CI503" s="588" t="n"/>
      <c r="CJ503" s="588" t="n"/>
      <c r="CK503" s="588" t="n"/>
      <c r="CL503" s="588" t="n"/>
      <c r="CM503" s="588" t="n"/>
      <c r="CN503" s="588" t="n"/>
      <c r="CO503" s="588" t="n"/>
      <c r="CP503" s="588" t="n"/>
      <c r="CQ503" s="588" t="n"/>
      <c r="CR503" s="588" t="n"/>
      <c r="CS503" s="588" t="n"/>
      <c r="CT503" s="588" t="n"/>
      <c r="CU503" s="588" t="n"/>
      <c r="CV503" s="588" t="n"/>
      <c r="CW503" s="588" t="n"/>
      <c r="CX503" s="588" t="n"/>
      <c r="CY503" s="588" t="n"/>
      <c r="CZ503" s="588" t="n"/>
      <c r="DA503" s="588" t="n"/>
      <c r="DB503" s="588" t="n"/>
      <c r="DC503" s="588" t="n"/>
      <c r="DD503" s="588" t="n"/>
      <c r="DE503" s="588" t="n"/>
      <c r="DF503" s="588" t="n"/>
      <c r="DG503" s="588" t="n"/>
      <c r="DH503" s="588" t="n"/>
      <c r="DI503" s="588" t="n"/>
      <c r="DJ503" s="588" t="n"/>
      <c r="DK503" s="588" t="n"/>
      <c r="DL503" s="588" t="n"/>
      <c r="DM503" s="588" t="n"/>
      <c r="DN503" s="588" t="n"/>
      <c r="DO503" s="588" t="n"/>
      <c r="DP503" s="588" t="n"/>
      <c r="DQ503" s="588" t="n"/>
      <c r="DR503" s="588" t="n"/>
      <c r="DS503" s="588" t="n"/>
      <c r="DT503" s="588" t="n"/>
      <c r="DU503" s="588" t="n"/>
    </row>
    <row r="504">
      <c r="A504" s="737" t="n"/>
      <c r="B504" s="737" t="n"/>
      <c r="C504" s="737" t="n"/>
      <c r="D504" s="737" t="n"/>
      <c r="E504" s="737" t="n"/>
      <c r="F504" s="737" t="n"/>
      <c r="G504" s="737" t="n"/>
      <c r="H504" s="737" t="n"/>
      <c r="I504" s="737" t="n"/>
      <c r="J504" s="737" t="n"/>
      <c r="K504" s="737" t="n"/>
      <c r="L504" s="737" t="n"/>
      <c r="M504" s="737" t="n"/>
      <c r="N504" s="737" t="n"/>
      <c r="O504" s="737" t="n"/>
      <c r="P504" s="737" t="n"/>
      <c r="Q504" s="737" t="n"/>
      <c r="R504" s="737" t="n"/>
      <c r="S504" s="737" t="n"/>
      <c r="T504" s="737" t="n"/>
      <c r="U504" s="737" t="n"/>
      <c r="V504" s="737" t="n"/>
      <c r="W504" s="737" t="n"/>
      <c r="X504" s="737" t="n"/>
      <c r="Y504" s="737" t="n"/>
      <c r="Z504" s="737" t="n"/>
      <c r="AA504" s="737" t="n"/>
      <c r="AB504" s="737" t="n"/>
      <c r="AC504" s="737" t="n"/>
      <c r="AD504" s="737" t="n"/>
      <c r="AE504" s="737" t="n"/>
      <c r="AF504" s="737" t="n"/>
      <c r="AG504" s="737" t="n"/>
      <c r="AH504" s="737" t="n"/>
      <c r="AI504" s="737" t="n"/>
      <c r="AJ504" s="737" t="n"/>
      <c r="AK504" s="588" t="n"/>
      <c r="AL504" s="588" t="n"/>
      <c r="AM504" s="588" t="n"/>
      <c r="AN504" s="588" t="n"/>
      <c r="AO504" s="588" t="n"/>
      <c r="AP504" s="588" t="n"/>
      <c r="AQ504" s="588" t="n"/>
      <c r="AR504" s="588" t="n"/>
      <c r="AS504" s="588" t="n"/>
      <c r="AT504" s="588" t="n"/>
      <c r="AU504" s="588" t="n"/>
      <c r="AV504" s="588" t="n"/>
      <c r="AW504" s="588" t="n"/>
      <c r="AX504" s="588" t="n"/>
      <c r="AY504" s="588" t="n"/>
      <c r="AZ504" s="588" t="n"/>
      <c r="BA504" s="588" t="n"/>
      <c r="BB504" s="588" t="n"/>
      <c r="BC504" s="588" t="n"/>
      <c r="BD504" s="588" t="n"/>
      <c r="BE504" s="588" t="n"/>
      <c r="BF504" s="588" t="n"/>
      <c r="BG504" s="588" t="n"/>
      <c r="BH504" s="588" t="n"/>
      <c r="BI504" s="588" t="n"/>
      <c r="BJ504" s="588" t="n"/>
      <c r="BK504" s="588" t="n"/>
      <c r="BL504" s="588" t="n"/>
      <c r="BM504" s="588" t="n"/>
      <c r="BN504" s="588" t="n"/>
      <c r="BO504" s="588" t="n"/>
      <c r="BP504" s="588" t="n"/>
      <c r="BQ504" s="588" t="n"/>
      <c r="BR504" s="588" t="n"/>
      <c r="BS504" s="588" t="n"/>
      <c r="BT504" s="588" t="n"/>
      <c r="BU504" s="588" t="n"/>
      <c r="BV504" s="588" t="n"/>
      <c r="BW504" s="588" t="n"/>
      <c r="BX504" s="588" t="n"/>
      <c r="BY504" s="588" t="n"/>
      <c r="BZ504" s="588" t="n"/>
      <c r="CA504" s="588" t="n"/>
      <c r="CB504" s="588" t="n"/>
      <c r="CC504" s="588" t="n"/>
      <c r="CD504" s="588" t="n"/>
      <c r="CE504" s="588" t="n"/>
      <c r="CF504" s="588" t="n"/>
      <c r="CG504" s="588" t="n"/>
      <c r="CH504" s="588" t="n"/>
      <c r="CI504" s="588" t="n"/>
      <c r="CJ504" s="588" t="n"/>
      <c r="CK504" s="588" t="n"/>
      <c r="CL504" s="588" t="n"/>
      <c r="CM504" s="588" t="n"/>
      <c r="CN504" s="588" t="n"/>
      <c r="CO504" s="588" t="n"/>
      <c r="CP504" s="588" t="n"/>
      <c r="CQ504" s="588" t="n"/>
      <c r="CR504" s="588" t="n"/>
      <c r="CS504" s="588" t="n"/>
      <c r="CT504" s="588" t="n"/>
      <c r="CU504" s="588" t="n"/>
      <c r="CV504" s="588" t="n"/>
      <c r="CW504" s="588" t="n"/>
      <c r="CX504" s="588" t="n"/>
      <c r="CY504" s="588" t="n"/>
      <c r="CZ504" s="588" t="n"/>
      <c r="DA504" s="588" t="n"/>
      <c r="DB504" s="588" t="n"/>
      <c r="DC504" s="588" t="n"/>
      <c r="DD504" s="588" t="n"/>
      <c r="DE504" s="588" t="n"/>
      <c r="DF504" s="588" t="n"/>
      <c r="DG504" s="588" t="n"/>
      <c r="DH504" s="588" t="n"/>
      <c r="DI504" s="588" t="n"/>
      <c r="DJ504" s="588" t="n"/>
      <c r="DK504" s="588" t="n"/>
      <c r="DL504" s="588" t="n"/>
      <c r="DM504" s="588" t="n"/>
      <c r="DN504" s="588" t="n"/>
      <c r="DO504" s="588" t="n"/>
      <c r="DP504" s="588" t="n"/>
      <c r="DQ504" s="588" t="n"/>
      <c r="DR504" s="588" t="n"/>
      <c r="DS504" s="588" t="n"/>
      <c r="DT504" s="588" t="n"/>
      <c r="DU504" s="588" t="n"/>
    </row>
    <row r="505">
      <c r="A505" s="737" t="n"/>
      <c r="B505" s="737" t="n"/>
      <c r="C505" s="737" t="n"/>
      <c r="D505" s="737" t="n"/>
      <c r="E505" s="737" t="n"/>
      <c r="F505" s="737" t="n"/>
      <c r="G505" s="737" t="n"/>
      <c r="H505" s="737" t="n"/>
      <c r="I505" s="737" t="n"/>
      <c r="J505" s="737" t="n"/>
      <c r="K505" s="737" t="n"/>
      <c r="L505" s="737" t="n"/>
      <c r="M505" s="737" t="n"/>
      <c r="N505" s="737" t="n"/>
      <c r="O505" s="737" t="n"/>
      <c r="P505" s="737" t="n"/>
      <c r="Q505" s="737" t="n"/>
      <c r="R505" s="737" t="n"/>
      <c r="S505" s="737" t="n"/>
      <c r="T505" s="737" t="n"/>
      <c r="U505" s="737" t="n"/>
      <c r="V505" s="737" t="n"/>
      <c r="W505" s="737" t="n"/>
      <c r="X505" s="737" t="n"/>
      <c r="Y505" s="737" t="n"/>
      <c r="Z505" s="737" t="n"/>
      <c r="AA505" s="737" t="n"/>
      <c r="AB505" s="737" t="n"/>
      <c r="AC505" s="737" t="n"/>
      <c r="AD505" s="737" t="n"/>
      <c r="AE505" s="737" t="n"/>
      <c r="AF505" s="737" t="n"/>
      <c r="AG505" s="737" t="n"/>
      <c r="AH505" s="737" t="n"/>
      <c r="AI505" s="737" t="n"/>
      <c r="AJ505" s="737" t="n"/>
      <c r="AK505" s="588" t="n"/>
      <c r="AL505" s="588" t="n"/>
      <c r="AM505" s="588" t="n"/>
      <c r="AN505" s="588" t="n"/>
      <c r="AO505" s="588" t="n"/>
      <c r="AP505" s="588" t="n"/>
      <c r="AQ505" s="588" t="n"/>
      <c r="AR505" s="588" t="n"/>
      <c r="AS505" s="588" t="n"/>
      <c r="AT505" s="588" t="n"/>
      <c r="AU505" s="588" t="n"/>
      <c r="AV505" s="588" t="n"/>
      <c r="AW505" s="588" t="n"/>
      <c r="AX505" s="588" t="n"/>
      <c r="AY505" s="588" t="n"/>
      <c r="AZ505" s="588" t="n"/>
      <c r="BA505" s="588" t="n"/>
      <c r="BB505" s="588" t="n"/>
      <c r="BC505" s="588" t="n"/>
      <c r="BD505" s="588" t="n"/>
      <c r="BE505" s="588" t="n"/>
      <c r="BF505" s="588" t="n"/>
      <c r="BG505" s="588" t="n"/>
      <c r="BH505" s="588" t="n"/>
      <c r="BI505" s="588" t="n"/>
      <c r="BJ505" s="588" t="n"/>
      <c r="BK505" s="588" t="n"/>
      <c r="BL505" s="588" t="n"/>
      <c r="BM505" s="588" t="n"/>
      <c r="BN505" s="588" t="n"/>
      <c r="BO505" s="588" t="n"/>
      <c r="BP505" s="588" t="n"/>
      <c r="BQ505" s="588" t="n"/>
      <c r="BR505" s="588" t="n"/>
      <c r="BS505" s="588" t="n"/>
      <c r="BT505" s="588" t="n"/>
      <c r="BU505" s="588" t="n"/>
      <c r="BV505" s="588" t="n"/>
      <c r="BW505" s="588" t="n"/>
      <c r="BX505" s="588" t="n"/>
      <c r="BY505" s="588" t="n"/>
      <c r="BZ505" s="588" t="n"/>
      <c r="CA505" s="588" t="n"/>
      <c r="CB505" s="588" t="n"/>
      <c r="CC505" s="588" t="n"/>
      <c r="CD505" s="588" t="n"/>
      <c r="CE505" s="588" t="n"/>
      <c r="CF505" s="588" t="n"/>
      <c r="CG505" s="588" t="n"/>
      <c r="CH505" s="588" t="n"/>
      <c r="CI505" s="588" t="n"/>
      <c r="CJ505" s="588" t="n"/>
      <c r="CK505" s="588" t="n"/>
      <c r="CL505" s="588" t="n"/>
      <c r="CM505" s="588" t="n"/>
      <c r="CN505" s="588" t="n"/>
      <c r="CO505" s="588" t="n"/>
      <c r="CP505" s="588" t="n"/>
      <c r="CQ505" s="588" t="n"/>
      <c r="CR505" s="588" t="n"/>
      <c r="CS505" s="588" t="n"/>
      <c r="CT505" s="588" t="n"/>
      <c r="CU505" s="588" t="n"/>
      <c r="CV505" s="588" t="n"/>
      <c r="CW505" s="588" t="n"/>
      <c r="CX505" s="588" t="n"/>
      <c r="CY505" s="588" t="n"/>
      <c r="CZ505" s="588" t="n"/>
      <c r="DA505" s="588" t="n"/>
      <c r="DB505" s="588" t="n"/>
      <c r="DC505" s="588" t="n"/>
      <c r="DD505" s="588" t="n"/>
      <c r="DE505" s="588" t="n"/>
      <c r="DF505" s="588" t="n"/>
      <c r="DG505" s="588" t="n"/>
      <c r="DH505" s="588" t="n"/>
      <c r="DI505" s="588" t="n"/>
      <c r="DJ505" s="588" t="n"/>
      <c r="DK505" s="588" t="n"/>
      <c r="DL505" s="588" t="n"/>
      <c r="DM505" s="588" t="n"/>
      <c r="DN505" s="588" t="n"/>
      <c r="DO505" s="588" t="n"/>
      <c r="DP505" s="588" t="n"/>
      <c r="DQ505" s="588" t="n"/>
      <c r="DR505" s="588" t="n"/>
      <c r="DS505" s="588" t="n"/>
      <c r="DT505" s="588" t="n"/>
      <c r="DU505" s="588" t="n"/>
    </row>
    <row r="506">
      <c r="A506" s="737" t="n"/>
      <c r="B506" s="737" t="n"/>
      <c r="C506" s="737" t="n"/>
      <c r="D506" s="737" t="n"/>
      <c r="E506" s="737" t="n"/>
      <c r="F506" s="737" t="n"/>
      <c r="G506" s="737" t="n"/>
      <c r="H506" s="737" t="n"/>
      <c r="I506" s="737" t="n"/>
      <c r="J506" s="737" t="n"/>
      <c r="K506" s="737" t="n"/>
      <c r="L506" s="737" t="n"/>
      <c r="M506" s="737" t="n"/>
      <c r="N506" s="737" t="n"/>
      <c r="O506" s="737" t="n"/>
      <c r="P506" s="737" t="n"/>
      <c r="Q506" s="737" t="n"/>
      <c r="R506" s="737" t="n"/>
      <c r="S506" s="737" t="n"/>
      <c r="T506" s="737" t="n"/>
      <c r="U506" s="737" t="n"/>
      <c r="V506" s="737" t="n"/>
      <c r="W506" s="737" t="n"/>
      <c r="X506" s="737" t="n"/>
      <c r="Y506" s="737" t="n"/>
      <c r="Z506" s="737" t="n"/>
      <c r="AA506" s="737" t="n"/>
      <c r="AB506" s="737" t="n"/>
      <c r="AC506" s="737" t="n"/>
      <c r="AD506" s="737" t="n"/>
      <c r="AE506" s="737" t="n"/>
      <c r="AF506" s="737" t="n"/>
      <c r="AG506" s="737" t="n"/>
      <c r="AH506" s="737" t="n"/>
      <c r="AI506" s="737" t="n"/>
      <c r="AJ506" s="737" t="n"/>
      <c r="AK506" s="588" t="n"/>
      <c r="AL506" s="588" t="n"/>
      <c r="AM506" s="588" t="n"/>
      <c r="AN506" s="588" t="n"/>
      <c r="AO506" s="588" t="n"/>
      <c r="AP506" s="588" t="n"/>
      <c r="AQ506" s="588" t="n"/>
      <c r="AR506" s="588" t="n"/>
      <c r="AS506" s="588" t="n"/>
      <c r="AT506" s="588" t="n"/>
      <c r="AU506" s="588" t="n"/>
      <c r="AV506" s="588" t="n"/>
      <c r="AW506" s="588" t="n"/>
      <c r="AX506" s="588" t="n"/>
      <c r="AY506" s="588" t="n"/>
      <c r="AZ506" s="588" t="n"/>
      <c r="BA506" s="588" t="n"/>
      <c r="BB506" s="588" t="n"/>
      <c r="BC506" s="588" t="n"/>
      <c r="BD506" s="588" t="n"/>
      <c r="BE506" s="588" t="n"/>
      <c r="BF506" s="588" t="n"/>
      <c r="BG506" s="588" t="n"/>
      <c r="BH506" s="588" t="n"/>
      <c r="BI506" s="588" t="n"/>
      <c r="BJ506" s="588" t="n"/>
      <c r="BK506" s="588" t="n"/>
      <c r="BL506" s="588" t="n"/>
      <c r="BM506" s="588" t="n"/>
      <c r="BN506" s="588" t="n"/>
      <c r="BO506" s="588" t="n"/>
      <c r="BP506" s="588" t="n"/>
      <c r="BQ506" s="588" t="n"/>
      <c r="BR506" s="588" t="n"/>
      <c r="BS506" s="588" t="n"/>
      <c r="BT506" s="588" t="n"/>
      <c r="BU506" s="588" t="n"/>
      <c r="BV506" s="588" t="n"/>
      <c r="BW506" s="588" t="n"/>
      <c r="BX506" s="588" t="n"/>
      <c r="BY506" s="588" t="n"/>
      <c r="BZ506" s="588" t="n"/>
      <c r="CA506" s="588" t="n"/>
      <c r="CB506" s="588" t="n"/>
      <c r="CC506" s="588" t="n"/>
      <c r="CD506" s="588" t="n"/>
      <c r="CE506" s="588" t="n"/>
      <c r="CF506" s="588" t="n"/>
      <c r="CG506" s="588" t="n"/>
      <c r="CH506" s="588" t="n"/>
      <c r="CI506" s="588" t="n"/>
      <c r="CJ506" s="588" t="n"/>
      <c r="CK506" s="588" t="n"/>
      <c r="CL506" s="588" t="n"/>
      <c r="CM506" s="588" t="n"/>
      <c r="CN506" s="588" t="n"/>
      <c r="CO506" s="588" t="n"/>
      <c r="CP506" s="588" t="n"/>
      <c r="CQ506" s="588" t="n"/>
      <c r="CR506" s="588" t="n"/>
      <c r="CS506" s="588" t="n"/>
      <c r="CT506" s="588" t="n"/>
      <c r="CU506" s="588" t="n"/>
      <c r="CV506" s="588" t="n"/>
      <c r="CW506" s="588" t="n"/>
      <c r="CX506" s="588" t="n"/>
      <c r="CY506" s="588" t="n"/>
      <c r="CZ506" s="588" t="n"/>
      <c r="DA506" s="588" t="n"/>
      <c r="DB506" s="588" t="n"/>
      <c r="DC506" s="588" t="n"/>
      <c r="DD506" s="588" t="n"/>
      <c r="DE506" s="588" t="n"/>
      <c r="DF506" s="588" t="n"/>
      <c r="DG506" s="588" t="n"/>
      <c r="DH506" s="588" t="n"/>
      <c r="DI506" s="588" t="n"/>
      <c r="DJ506" s="588" t="n"/>
      <c r="DK506" s="588" t="n"/>
      <c r="DL506" s="588" t="n"/>
      <c r="DM506" s="588" t="n"/>
      <c r="DN506" s="588" t="n"/>
      <c r="DO506" s="588" t="n"/>
      <c r="DP506" s="588" t="n"/>
      <c r="DQ506" s="588" t="n"/>
      <c r="DR506" s="588" t="n"/>
      <c r="DS506" s="588" t="n"/>
      <c r="DT506" s="588" t="n"/>
      <c r="DU506" s="588" t="n"/>
    </row>
    <row r="507">
      <c r="A507" s="737" t="n"/>
      <c r="B507" s="737" t="n"/>
      <c r="C507" s="737" t="n"/>
      <c r="D507" s="737" t="n"/>
      <c r="E507" s="737" t="n"/>
      <c r="F507" s="737" t="n"/>
      <c r="G507" s="737" t="n"/>
      <c r="H507" s="737" t="n"/>
      <c r="I507" s="737" t="n"/>
      <c r="J507" s="737" t="n"/>
      <c r="K507" s="737" t="n"/>
      <c r="L507" s="737" t="n"/>
      <c r="M507" s="737" t="n"/>
      <c r="N507" s="737" t="n"/>
      <c r="O507" s="737" t="n"/>
      <c r="P507" s="737" t="n"/>
      <c r="Q507" s="737" t="n"/>
      <c r="R507" s="737" t="n"/>
      <c r="S507" s="737" t="n"/>
      <c r="T507" s="737" t="n"/>
      <c r="U507" s="737" t="n"/>
      <c r="V507" s="737" t="n"/>
      <c r="W507" s="737" t="n"/>
      <c r="X507" s="737" t="n"/>
      <c r="Y507" s="737" t="n"/>
      <c r="Z507" s="737" t="n"/>
      <c r="AA507" s="737" t="n"/>
      <c r="AB507" s="737" t="n"/>
      <c r="AC507" s="737" t="n"/>
      <c r="AD507" s="737" t="n"/>
      <c r="AE507" s="737" t="n"/>
      <c r="AF507" s="737" t="n"/>
      <c r="AG507" s="737" t="n"/>
      <c r="AH507" s="737" t="n"/>
      <c r="AI507" s="737" t="n"/>
      <c r="AJ507" s="737" t="n"/>
      <c r="AK507" s="588" t="n"/>
      <c r="AL507" s="588" t="n"/>
      <c r="AM507" s="588" t="n"/>
      <c r="AN507" s="588" t="n"/>
      <c r="AO507" s="588" t="n"/>
      <c r="AP507" s="588" t="n"/>
      <c r="AQ507" s="588" t="n"/>
      <c r="AR507" s="588" t="n"/>
      <c r="AS507" s="588" t="n"/>
      <c r="AT507" s="588" t="n"/>
      <c r="AU507" s="588" t="n"/>
      <c r="AV507" s="588" t="n"/>
      <c r="AW507" s="588" t="n"/>
      <c r="AX507" s="588" t="n"/>
      <c r="AY507" s="588" t="n"/>
      <c r="AZ507" s="588" t="n"/>
      <c r="BA507" s="588" t="n"/>
      <c r="BB507" s="588" t="n"/>
      <c r="BC507" s="588" t="n"/>
      <c r="BD507" s="588" t="n"/>
      <c r="BE507" s="588" t="n"/>
      <c r="BF507" s="588" t="n"/>
      <c r="BG507" s="588" t="n"/>
      <c r="BH507" s="588" t="n"/>
      <c r="BI507" s="588" t="n"/>
      <c r="BJ507" s="588" t="n"/>
      <c r="BK507" s="588" t="n"/>
      <c r="BL507" s="588" t="n"/>
      <c r="BM507" s="588" t="n"/>
      <c r="BN507" s="588" t="n"/>
      <c r="BO507" s="588" t="n"/>
      <c r="BP507" s="588" t="n"/>
      <c r="BQ507" s="588" t="n"/>
      <c r="BR507" s="588" t="n"/>
      <c r="BS507" s="588" t="n"/>
      <c r="BT507" s="588" t="n"/>
      <c r="BU507" s="588" t="n"/>
      <c r="BV507" s="588" t="n"/>
      <c r="BW507" s="588" t="n"/>
      <c r="BX507" s="588" t="n"/>
      <c r="BY507" s="588" t="n"/>
      <c r="BZ507" s="588" t="n"/>
      <c r="CA507" s="588" t="n"/>
      <c r="CB507" s="588" t="n"/>
      <c r="CC507" s="588" t="n"/>
      <c r="CD507" s="588" t="n"/>
      <c r="CE507" s="588" t="n"/>
      <c r="CF507" s="588" t="n"/>
      <c r="CG507" s="588" t="n"/>
      <c r="CH507" s="588" t="n"/>
      <c r="CI507" s="588" t="n"/>
      <c r="CJ507" s="588" t="n"/>
      <c r="CK507" s="588" t="n"/>
      <c r="CL507" s="588" t="n"/>
      <c r="CM507" s="588" t="n"/>
      <c r="CN507" s="588" t="n"/>
      <c r="CO507" s="588" t="n"/>
      <c r="CP507" s="588" t="n"/>
      <c r="CQ507" s="588" t="n"/>
      <c r="CR507" s="588" t="n"/>
      <c r="CS507" s="588" t="n"/>
      <c r="CT507" s="588" t="n"/>
      <c r="CU507" s="588" t="n"/>
      <c r="CV507" s="588" t="n"/>
      <c r="CW507" s="588" t="n"/>
      <c r="CX507" s="588" t="n"/>
      <c r="CY507" s="588" t="n"/>
      <c r="CZ507" s="588" t="n"/>
      <c r="DA507" s="588" t="n"/>
      <c r="DB507" s="588" t="n"/>
      <c r="DC507" s="588" t="n"/>
      <c r="DD507" s="588" t="n"/>
      <c r="DE507" s="588" t="n"/>
      <c r="DF507" s="588" t="n"/>
      <c r="DG507" s="588" t="n"/>
      <c r="DH507" s="588" t="n"/>
      <c r="DI507" s="588" t="n"/>
      <c r="DJ507" s="588" t="n"/>
      <c r="DK507" s="588" t="n"/>
      <c r="DL507" s="588" t="n"/>
      <c r="DM507" s="588" t="n"/>
      <c r="DN507" s="588" t="n"/>
      <c r="DO507" s="588" t="n"/>
      <c r="DP507" s="588" t="n"/>
      <c r="DQ507" s="588" t="n"/>
      <c r="DR507" s="588" t="n"/>
      <c r="DS507" s="588" t="n"/>
      <c r="DT507" s="588" t="n"/>
      <c r="DU507" s="588" t="n"/>
    </row>
    <row r="508">
      <c r="A508" s="737" t="n"/>
      <c r="B508" s="737" t="n"/>
      <c r="C508" s="737" t="n"/>
      <c r="D508" s="737" t="n"/>
      <c r="E508" s="737" t="n"/>
      <c r="F508" s="737" t="n"/>
      <c r="G508" s="737" t="n"/>
      <c r="H508" s="737" t="n"/>
      <c r="I508" s="737" t="n"/>
      <c r="J508" s="737" t="n"/>
      <c r="K508" s="737" t="n"/>
      <c r="L508" s="737" t="n"/>
      <c r="M508" s="737" t="n"/>
      <c r="N508" s="737" t="n"/>
      <c r="O508" s="737" t="n"/>
      <c r="P508" s="737" t="n"/>
      <c r="Q508" s="737" t="n"/>
      <c r="R508" s="737" t="n"/>
      <c r="S508" s="737" t="n"/>
      <c r="T508" s="737" t="n"/>
      <c r="U508" s="737" t="n"/>
      <c r="V508" s="737" t="n"/>
      <c r="W508" s="737" t="n"/>
      <c r="X508" s="737" t="n"/>
      <c r="Y508" s="737" t="n"/>
      <c r="Z508" s="737" t="n"/>
      <c r="AA508" s="737" t="n"/>
      <c r="AB508" s="737" t="n"/>
      <c r="AC508" s="737" t="n"/>
      <c r="AD508" s="737" t="n"/>
      <c r="AE508" s="737" t="n"/>
      <c r="AF508" s="737" t="n"/>
      <c r="AG508" s="737" t="n"/>
      <c r="AH508" s="737" t="n"/>
      <c r="AI508" s="737" t="n"/>
      <c r="AJ508" s="737" t="n"/>
      <c r="AK508" s="588" t="n"/>
      <c r="AL508" s="588" t="n"/>
      <c r="AM508" s="588" t="n"/>
      <c r="AN508" s="588" t="n"/>
      <c r="AO508" s="588" t="n"/>
      <c r="AP508" s="588" t="n"/>
      <c r="AQ508" s="588" t="n"/>
      <c r="AR508" s="588" t="n"/>
      <c r="AS508" s="588" t="n"/>
      <c r="AT508" s="588" t="n"/>
      <c r="AU508" s="588" t="n"/>
      <c r="AV508" s="588" t="n"/>
      <c r="AW508" s="588" t="n"/>
      <c r="AX508" s="588" t="n"/>
      <c r="AY508" s="588" t="n"/>
      <c r="AZ508" s="588" t="n"/>
      <c r="BA508" s="588" t="n"/>
      <c r="BB508" s="588" t="n"/>
      <c r="BC508" s="588" t="n"/>
      <c r="BD508" s="588" t="n"/>
      <c r="BE508" s="588" t="n"/>
      <c r="BF508" s="588" t="n"/>
      <c r="BG508" s="588" t="n"/>
      <c r="BH508" s="588" t="n"/>
      <c r="BI508" s="588" t="n"/>
      <c r="BJ508" s="588" t="n"/>
      <c r="BK508" s="588" t="n"/>
      <c r="BL508" s="588" t="n"/>
      <c r="BM508" s="588" t="n"/>
      <c r="BN508" s="588" t="n"/>
      <c r="BO508" s="588" t="n"/>
      <c r="BP508" s="588" t="n"/>
      <c r="BQ508" s="588" t="n"/>
      <c r="BR508" s="588" t="n"/>
      <c r="BS508" s="588" t="n"/>
      <c r="BT508" s="588" t="n"/>
      <c r="BU508" s="588" t="n"/>
      <c r="BV508" s="588" t="n"/>
      <c r="BW508" s="588" t="n"/>
      <c r="BX508" s="588" t="n"/>
      <c r="BY508" s="588" t="n"/>
      <c r="BZ508" s="588" t="n"/>
      <c r="CA508" s="588" t="n"/>
      <c r="CB508" s="588" t="n"/>
      <c r="CC508" s="588" t="n"/>
      <c r="CD508" s="588" t="n"/>
      <c r="CE508" s="588" t="n"/>
      <c r="CF508" s="588" t="n"/>
      <c r="CG508" s="588" t="n"/>
      <c r="CH508" s="588" t="n"/>
      <c r="CI508" s="588" t="n"/>
      <c r="CJ508" s="588" t="n"/>
      <c r="CK508" s="588" t="n"/>
      <c r="CL508" s="588" t="n"/>
      <c r="CM508" s="588" t="n"/>
      <c r="CN508" s="588" t="n"/>
      <c r="CO508" s="588" t="n"/>
      <c r="CP508" s="588" t="n"/>
      <c r="CQ508" s="588" t="n"/>
      <c r="CR508" s="588" t="n"/>
      <c r="CS508" s="588" t="n"/>
      <c r="CT508" s="588" t="n"/>
      <c r="CU508" s="588" t="n"/>
      <c r="CV508" s="588" t="n"/>
      <c r="CW508" s="588" t="n"/>
      <c r="CX508" s="588" t="n"/>
      <c r="CY508" s="588" t="n"/>
      <c r="CZ508" s="588" t="n"/>
      <c r="DA508" s="588" t="n"/>
      <c r="DB508" s="588" t="n"/>
      <c r="DC508" s="588" t="n"/>
      <c r="DD508" s="588" t="n"/>
      <c r="DE508" s="588" t="n"/>
      <c r="DF508" s="588" t="n"/>
      <c r="DG508" s="588" t="n"/>
      <c r="DH508" s="588" t="n"/>
      <c r="DI508" s="588" t="n"/>
      <c r="DJ508" s="588" t="n"/>
      <c r="DK508" s="588" t="n"/>
      <c r="DL508" s="588" t="n"/>
      <c r="DM508" s="588" t="n"/>
      <c r="DN508" s="588" t="n"/>
      <c r="DO508" s="588" t="n"/>
      <c r="DP508" s="588" t="n"/>
      <c r="DQ508" s="588" t="n"/>
      <c r="DR508" s="588" t="n"/>
      <c r="DS508" s="588" t="n"/>
      <c r="DT508" s="588" t="n"/>
      <c r="DU508" s="588" t="n"/>
    </row>
    <row r="509">
      <c r="A509" s="737" t="n"/>
      <c r="B509" s="737" t="n"/>
      <c r="C509" s="737" t="n"/>
      <c r="D509" s="737" t="n"/>
      <c r="E509" s="737" t="n"/>
      <c r="F509" s="737" t="n"/>
      <c r="G509" s="737" t="n"/>
      <c r="H509" s="737" t="n"/>
      <c r="I509" s="737" t="n"/>
      <c r="J509" s="737" t="n"/>
      <c r="K509" s="737" t="n"/>
      <c r="L509" s="737" t="n"/>
      <c r="M509" s="737" t="n"/>
      <c r="N509" s="737" t="n"/>
      <c r="O509" s="737" t="n"/>
      <c r="P509" s="737" t="n"/>
      <c r="Q509" s="737" t="n"/>
      <c r="R509" s="737" t="n"/>
      <c r="S509" s="737" t="n"/>
      <c r="T509" s="737" t="n"/>
      <c r="U509" s="737" t="n"/>
      <c r="V509" s="737" t="n"/>
      <c r="W509" s="737" t="n"/>
      <c r="X509" s="737" t="n"/>
      <c r="Y509" s="737" t="n"/>
      <c r="Z509" s="737" t="n"/>
      <c r="AA509" s="737" t="n"/>
      <c r="AB509" s="737" t="n"/>
      <c r="AC509" s="737" t="n"/>
      <c r="AD509" s="737" t="n"/>
      <c r="AE509" s="737" t="n"/>
      <c r="AF509" s="737" t="n"/>
      <c r="AG509" s="737" t="n"/>
      <c r="AH509" s="737" t="n"/>
      <c r="AI509" s="737" t="n"/>
      <c r="AJ509" s="737" t="n"/>
      <c r="AK509" s="588" t="n"/>
      <c r="AL509" s="588" t="n"/>
      <c r="AM509" s="588" t="n"/>
      <c r="AN509" s="588" t="n"/>
      <c r="AO509" s="588" t="n"/>
      <c r="AP509" s="588" t="n"/>
      <c r="AQ509" s="588" t="n"/>
      <c r="AR509" s="588" t="n"/>
      <c r="AS509" s="588" t="n"/>
      <c r="AT509" s="588" t="n"/>
      <c r="AU509" s="588" t="n"/>
      <c r="AV509" s="588" t="n"/>
      <c r="AW509" s="588" t="n"/>
      <c r="AX509" s="588" t="n"/>
      <c r="AY509" s="588" t="n"/>
      <c r="AZ509" s="588" t="n"/>
      <c r="BA509" s="588" t="n"/>
      <c r="BB509" s="588" t="n"/>
      <c r="BC509" s="588" t="n"/>
      <c r="BD509" s="588" t="n"/>
      <c r="BE509" s="588" t="n"/>
      <c r="BF509" s="588" t="n"/>
      <c r="BG509" s="588" t="n"/>
      <c r="BH509" s="588" t="n"/>
      <c r="BI509" s="588" t="n"/>
      <c r="BJ509" s="588" t="n"/>
      <c r="BK509" s="588" t="n"/>
      <c r="BL509" s="588" t="n"/>
      <c r="BM509" s="588" t="n"/>
      <c r="BN509" s="588" t="n"/>
      <c r="BO509" s="588" t="n"/>
      <c r="BP509" s="588" t="n"/>
      <c r="BQ509" s="588" t="n"/>
      <c r="BR509" s="588" t="n"/>
      <c r="BS509" s="588" t="n"/>
      <c r="BT509" s="588" t="n"/>
      <c r="BU509" s="588" t="n"/>
      <c r="BV509" s="588" t="n"/>
      <c r="BW509" s="588" t="n"/>
      <c r="BX509" s="588" t="n"/>
      <c r="BY509" s="588" t="n"/>
      <c r="BZ509" s="588" t="n"/>
      <c r="CA509" s="588" t="n"/>
      <c r="CB509" s="588" t="n"/>
      <c r="CC509" s="588" t="n"/>
      <c r="CD509" s="588" t="n"/>
      <c r="CE509" s="588" t="n"/>
      <c r="CF509" s="588" t="n"/>
      <c r="CG509" s="588" t="n"/>
      <c r="CH509" s="588" t="n"/>
      <c r="CI509" s="588" t="n"/>
      <c r="CJ509" s="588" t="n"/>
      <c r="CK509" s="588" t="n"/>
      <c r="CL509" s="588" t="n"/>
      <c r="CM509" s="588" t="n"/>
      <c r="CN509" s="588" t="n"/>
      <c r="CO509" s="588" t="n"/>
      <c r="CP509" s="588" t="n"/>
      <c r="CQ509" s="588" t="n"/>
      <c r="CR509" s="588" t="n"/>
      <c r="CS509" s="588" t="n"/>
      <c r="CT509" s="588" t="n"/>
      <c r="CU509" s="588" t="n"/>
      <c r="CV509" s="588" t="n"/>
      <c r="CW509" s="588" t="n"/>
      <c r="CX509" s="588" t="n"/>
      <c r="CY509" s="588" t="n"/>
      <c r="CZ509" s="588" t="n"/>
      <c r="DA509" s="588" t="n"/>
      <c r="DB509" s="588" t="n"/>
      <c r="DC509" s="588" t="n"/>
      <c r="DD509" s="588" t="n"/>
      <c r="DE509" s="588" t="n"/>
      <c r="DF509" s="588" t="n"/>
      <c r="DG509" s="588" t="n"/>
      <c r="DH509" s="588" t="n"/>
      <c r="DI509" s="588" t="n"/>
      <c r="DJ509" s="588" t="n"/>
      <c r="DK509" s="588" t="n"/>
      <c r="DL509" s="588" t="n"/>
      <c r="DM509" s="588" t="n"/>
      <c r="DN509" s="588" t="n"/>
      <c r="DO509" s="588" t="n"/>
      <c r="DP509" s="588" t="n"/>
      <c r="DQ509" s="588" t="n"/>
      <c r="DR509" s="588" t="n"/>
      <c r="DS509" s="588" t="n"/>
      <c r="DT509" s="588" t="n"/>
      <c r="DU509" s="588" t="n"/>
    </row>
    <row r="510">
      <c r="A510" s="737" t="n"/>
      <c r="B510" s="737" t="n"/>
      <c r="C510" s="737" t="n"/>
      <c r="D510" s="737" t="n"/>
      <c r="E510" s="737" t="n"/>
      <c r="F510" s="737" t="n"/>
      <c r="G510" s="737" t="n"/>
      <c r="H510" s="737" t="n"/>
      <c r="I510" s="737" t="n"/>
      <c r="J510" s="737" t="n"/>
      <c r="K510" s="737" t="n"/>
      <c r="L510" s="737" t="n"/>
      <c r="M510" s="737" t="n"/>
      <c r="N510" s="737" t="n"/>
      <c r="O510" s="737" t="n"/>
      <c r="P510" s="737" t="n"/>
      <c r="Q510" s="737" t="n"/>
      <c r="R510" s="737" t="n"/>
      <c r="S510" s="737" t="n"/>
      <c r="T510" s="737" t="n"/>
      <c r="U510" s="737" t="n"/>
      <c r="V510" s="737" t="n"/>
      <c r="W510" s="737" t="n"/>
      <c r="X510" s="737" t="n"/>
      <c r="Y510" s="737" t="n"/>
      <c r="Z510" s="737" t="n"/>
      <c r="AA510" s="737" t="n"/>
      <c r="AB510" s="737" t="n"/>
      <c r="AC510" s="737" t="n"/>
      <c r="AD510" s="737" t="n"/>
      <c r="AE510" s="737" t="n"/>
      <c r="AF510" s="737" t="n"/>
      <c r="AG510" s="737" t="n"/>
      <c r="AH510" s="737" t="n"/>
      <c r="AI510" s="737" t="n"/>
      <c r="AJ510" s="737" t="n"/>
      <c r="AK510" s="588" t="n"/>
      <c r="AL510" s="588" t="n"/>
      <c r="AM510" s="588" t="n"/>
      <c r="AN510" s="588" t="n"/>
      <c r="AO510" s="588" t="n"/>
      <c r="AP510" s="588" t="n"/>
      <c r="AQ510" s="588" t="n"/>
      <c r="AR510" s="588" t="n"/>
      <c r="AS510" s="588" t="n"/>
      <c r="AT510" s="588" t="n"/>
      <c r="AU510" s="588" t="n"/>
      <c r="AV510" s="588" t="n"/>
      <c r="AW510" s="588" t="n"/>
      <c r="AX510" s="588" t="n"/>
      <c r="AY510" s="588" t="n"/>
      <c r="AZ510" s="588" t="n"/>
      <c r="BA510" s="588" t="n"/>
      <c r="BB510" s="588" t="n"/>
      <c r="BC510" s="588" t="n"/>
      <c r="BD510" s="588" t="n"/>
      <c r="BE510" s="588" t="n"/>
      <c r="BF510" s="588" t="n"/>
      <c r="BG510" s="588" t="n"/>
      <c r="BH510" s="588" t="n"/>
      <c r="BI510" s="588" t="n"/>
      <c r="BJ510" s="588" t="n"/>
      <c r="BK510" s="588" t="n"/>
      <c r="BL510" s="588" t="n"/>
      <c r="BM510" s="588" t="n"/>
      <c r="BN510" s="588" t="n"/>
      <c r="BO510" s="588" t="n"/>
      <c r="BP510" s="588" t="n"/>
      <c r="BQ510" s="588" t="n"/>
      <c r="BR510" s="588" t="n"/>
      <c r="BS510" s="588" t="n"/>
      <c r="BT510" s="588" t="n"/>
      <c r="BU510" s="588" t="n"/>
      <c r="BV510" s="588" t="n"/>
      <c r="BW510" s="588" t="n"/>
      <c r="BX510" s="588" t="n"/>
      <c r="BY510" s="588" t="n"/>
      <c r="BZ510" s="588" t="n"/>
      <c r="CA510" s="588" t="n"/>
      <c r="CB510" s="588" t="n"/>
      <c r="CC510" s="588" t="n"/>
      <c r="CD510" s="588" t="n"/>
      <c r="CE510" s="588" t="n"/>
      <c r="CF510" s="588" t="n"/>
      <c r="CG510" s="588" t="n"/>
      <c r="CH510" s="588" t="n"/>
      <c r="CI510" s="588" t="n"/>
      <c r="CJ510" s="588" t="n"/>
      <c r="CK510" s="588" t="n"/>
      <c r="CL510" s="588" t="n"/>
      <c r="CM510" s="588" t="n"/>
      <c r="CN510" s="588" t="n"/>
      <c r="CO510" s="588" t="n"/>
      <c r="CP510" s="588" t="n"/>
      <c r="CQ510" s="588" t="n"/>
      <c r="CR510" s="588" t="n"/>
      <c r="CS510" s="588" t="n"/>
      <c r="CT510" s="588" t="n"/>
      <c r="CU510" s="588" t="n"/>
      <c r="CV510" s="588" t="n"/>
      <c r="CW510" s="588" t="n"/>
      <c r="CX510" s="588" t="n"/>
      <c r="CY510" s="588" t="n"/>
      <c r="CZ510" s="588" t="n"/>
      <c r="DA510" s="588" t="n"/>
      <c r="DB510" s="588" t="n"/>
      <c r="DC510" s="588" t="n"/>
      <c r="DD510" s="588" t="n"/>
      <c r="DE510" s="588" t="n"/>
      <c r="DF510" s="588" t="n"/>
      <c r="DG510" s="588" t="n"/>
      <c r="DH510" s="588" t="n"/>
      <c r="DI510" s="588" t="n"/>
      <c r="DJ510" s="588" t="n"/>
      <c r="DK510" s="588" t="n"/>
      <c r="DL510" s="588" t="n"/>
      <c r="DM510" s="588" t="n"/>
      <c r="DN510" s="588" t="n"/>
      <c r="DO510" s="588" t="n"/>
      <c r="DP510" s="588" t="n"/>
      <c r="DQ510" s="588" t="n"/>
      <c r="DR510" s="588" t="n"/>
      <c r="DS510" s="588" t="n"/>
      <c r="DT510" s="588" t="n"/>
      <c r="DU510" s="588" t="n"/>
    </row>
    <row r="511">
      <c r="A511" s="737" t="n"/>
      <c r="B511" s="737" t="n"/>
      <c r="C511" s="737" t="n"/>
      <c r="D511" s="737" t="n"/>
      <c r="E511" s="737" t="n"/>
      <c r="F511" s="737" t="n"/>
      <c r="G511" s="737" t="n"/>
      <c r="H511" s="737" t="n"/>
      <c r="I511" s="737" t="n"/>
      <c r="J511" s="737" t="n"/>
      <c r="K511" s="737" t="n"/>
      <c r="L511" s="737" t="n"/>
      <c r="M511" s="737" t="n"/>
      <c r="N511" s="737" t="n"/>
      <c r="O511" s="737" t="n"/>
      <c r="P511" s="737" t="n"/>
      <c r="Q511" s="737" t="n"/>
      <c r="R511" s="737" t="n"/>
      <c r="S511" s="737" t="n"/>
      <c r="T511" s="737" t="n"/>
      <c r="U511" s="737" t="n"/>
      <c r="V511" s="737" t="n"/>
      <c r="W511" s="737" t="n"/>
      <c r="X511" s="737" t="n"/>
      <c r="Y511" s="737" t="n"/>
      <c r="Z511" s="737" t="n"/>
      <c r="AA511" s="737" t="n"/>
      <c r="AB511" s="737" t="n"/>
      <c r="AC511" s="737" t="n"/>
      <c r="AD511" s="737" t="n"/>
      <c r="AE511" s="737" t="n"/>
      <c r="AF511" s="737" t="n"/>
      <c r="AG511" s="737" t="n"/>
      <c r="AH511" s="737" t="n"/>
      <c r="AI511" s="737" t="n"/>
      <c r="AJ511" s="737" t="n"/>
      <c r="AK511" s="588" t="n"/>
      <c r="AL511" s="588" t="n"/>
      <c r="AM511" s="588" t="n"/>
      <c r="AN511" s="588" t="n"/>
      <c r="AO511" s="588" t="n"/>
      <c r="AP511" s="588" t="n"/>
      <c r="AQ511" s="588" t="n"/>
      <c r="AR511" s="588" t="n"/>
      <c r="AS511" s="588" t="n"/>
      <c r="AT511" s="588" t="n"/>
      <c r="AU511" s="588" t="n"/>
      <c r="AV511" s="588" t="n"/>
      <c r="AW511" s="588" t="n"/>
      <c r="AX511" s="588" t="n"/>
      <c r="AY511" s="588" t="n"/>
      <c r="AZ511" s="588" t="n"/>
      <c r="BA511" s="588" t="n"/>
      <c r="BB511" s="588" t="n"/>
      <c r="BC511" s="588" t="n"/>
      <c r="BD511" s="588" t="n"/>
      <c r="BE511" s="588" t="n"/>
      <c r="BF511" s="588" t="n"/>
      <c r="BG511" s="588" t="n"/>
      <c r="BH511" s="588" t="n"/>
      <c r="BI511" s="588" t="n"/>
      <c r="BJ511" s="588" t="n"/>
      <c r="BK511" s="588" t="n"/>
      <c r="BL511" s="588" t="n"/>
      <c r="BM511" s="588" t="n"/>
      <c r="BN511" s="588" t="n"/>
      <c r="BO511" s="588" t="n"/>
      <c r="BP511" s="588" t="n"/>
      <c r="BQ511" s="588" t="n"/>
      <c r="BR511" s="588" t="n"/>
      <c r="BS511" s="588" t="n"/>
      <c r="BT511" s="588" t="n"/>
      <c r="BU511" s="588" t="n"/>
      <c r="BV511" s="588" t="n"/>
      <c r="BW511" s="588" t="n"/>
      <c r="BX511" s="588" t="n"/>
      <c r="BY511" s="588" t="n"/>
      <c r="BZ511" s="588" t="n"/>
      <c r="CA511" s="588" t="n"/>
      <c r="CB511" s="588" t="n"/>
      <c r="CC511" s="588" t="n"/>
      <c r="CD511" s="588" t="n"/>
      <c r="CE511" s="588" t="n"/>
      <c r="CF511" s="588" t="n"/>
      <c r="CG511" s="588" t="n"/>
      <c r="CH511" s="588" t="n"/>
      <c r="CI511" s="588" t="n"/>
      <c r="CJ511" s="588" t="n"/>
      <c r="CK511" s="588" t="n"/>
      <c r="CL511" s="588" t="n"/>
      <c r="CM511" s="588" t="n"/>
      <c r="CN511" s="588" t="n"/>
      <c r="CO511" s="588" t="n"/>
      <c r="CP511" s="588" t="n"/>
      <c r="CQ511" s="588" t="n"/>
      <c r="CR511" s="588" t="n"/>
      <c r="CS511" s="588" t="n"/>
      <c r="CT511" s="588" t="n"/>
      <c r="CU511" s="588" t="n"/>
      <c r="CV511" s="588" t="n"/>
      <c r="CW511" s="588" t="n"/>
      <c r="CX511" s="588" t="n"/>
      <c r="CY511" s="588" t="n"/>
      <c r="CZ511" s="588" t="n"/>
      <c r="DA511" s="588" t="n"/>
      <c r="DB511" s="588" t="n"/>
      <c r="DC511" s="588" t="n"/>
      <c r="DD511" s="588" t="n"/>
      <c r="DE511" s="588" t="n"/>
      <c r="DF511" s="588" t="n"/>
      <c r="DG511" s="588" t="n"/>
      <c r="DH511" s="588" t="n"/>
      <c r="DI511" s="588" t="n"/>
      <c r="DJ511" s="588" t="n"/>
      <c r="DK511" s="588" t="n"/>
      <c r="DL511" s="588" t="n"/>
      <c r="DM511" s="588" t="n"/>
      <c r="DN511" s="588" t="n"/>
      <c r="DO511" s="588" t="n"/>
      <c r="DP511" s="588" t="n"/>
      <c r="DQ511" s="588" t="n"/>
      <c r="DR511" s="588" t="n"/>
      <c r="DS511" s="588" t="n"/>
      <c r="DT511" s="588" t="n"/>
      <c r="DU511" s="588" t="n"/>
    </row>
    <row r="512">
      <c r="A512" s="737" t="n"/>
      <c r="B512" s="737" t="n"/>
      <c r="C512" s="737" t="n"/>
      <c r="D512" s="737" t="n"/>
      <c r="E512" s="737" t="n"/>
      <c r="F512" s="737" t="n"/>
      <c r="G512" s="737" t="n"/>
      <c r="H512" s="737" t="n"/>
      <c r="I512" s="737" t="n"/>
      <c r="J512" s="737" t="n"/>
      <c r="K512" s="737" t="n"/>
      <c r="L512" s="737" t="n"/>
      <c r="M512" s="737" t="n"/>
      <c r="N512" s="737" t="n"/>
      <c r="O512" s="737" t="n"/>
      <c r="P512" s="737" t="n"/>
      <c r="Q512" s="737" t="n"/>
      <c r="R512" s="737" t="n"/>
      <c r="S512" s="737" t="n"/>
      <c r="T512" s="737" t="n"/>
      <c r="U512" s="737" t="n"/>
      <c r="V512" s="737" t="n"/>
      <c r="W512" s="737" t="n"/>
      <c r="X512" s="737" t="n"/>
      <c r="Y512" s="737" t="n"/>
      <c r="Z512" s="737" t="n"/>
      <c r="AA512" s="737" t="n"/>
      <c r="AB512" s="737" t="n"/>
      <c r="AC512" s="737" t="n"/>
      <c r="AD512" s="737" t="n"/>
      <c r="AE512" s="737" t="n"/>
      <c r="AF512" s="737" t="n"/>
      <c r="AG512" s="737" t="n"/>
      <c r="AH512" s="737" t="n"/>
      <c r="AI512" s="737" t="n"/>
      <c r="AJ512" s="737" t="n"/>
      <c r="AK512" s="588" t="n"/>
      <c r="AL512" s="588" t="n"/>
      <c r="AM512" s="588" t="n"/>
      <c r="AN512" s="588" t="n"/>
      <c r="AO512" s="588" t="n"/>
      <c r="AP512" s="588" t="n"/>
      <c r="AQ512" s="588" t="n"/>
      <c r="AR512" s="588" t="n"/>
      <c r="AS512" s="588" t="n"/>
      <c r="AT512" s="588" t="n"/>
      <c r="AU512" s="588" t="n"/>
      <c r="AV512" s="588" t="n"/>
      <c r="AW512" s="588" t="n"/>
      <c r="AX512" s="588" t="n"/>
      <c r="AY512" s="588" t="n"/>
      <c r="AZ512" s="588" t="n"/>
      <c r="BA512" s="588" t="n"/>
      <c r="BB512" s="588" t="n"/>
      <c r="BC512" s="588" t="n"/>
      <c r="BD512" s="588" t="n"/>
      <c r="BE512" s="588" t="n"/>
      <c r="BF512" s="588" t="n"/>
      <c r="BG512" s="588" t="n"/>
      <c r="BH512" s="588" t="n"/>
      <c r="BI512" s="588" t="n"/>
      <c r="BJ512" s="588" t="n"/>
      <c r="BK512" s="588" t="n"/>
      <c r="BL512" s="588" t="n"/>
      <c r="BM512" s="588" t="n"/>
      <c r="BN512" s="588" t="n"/>
      <c r="BO512" s="588" t="n"/>
      <c r="BP512" s="588" t="n"/>
      <c r="BQ512" s="588" t="n"/>
      <c r="BR512" s="588" t="n"/>
      <c r="BS512" s="588" t="n"/>
      <c r="BT512" s="588" t="n"/>
      <c r="BU512" s="588" t="n"/>
      <c r="BV512" s="588" t="n"/>
      <c r="BW512" s="588" t="n"/>
      <c r="BX512" s="588" t="n"/>
      <c r="BY512" s="588" t="n"/>
      <c r="BZ512" s="588" t="n"/>
      <c r="CA512" s="588" t="n"/>
      <c r="CB512" s="588" t="n"/>
      <c r="CC512" s="588" t="n"/>
      <c r="CD512" s="588" t="n"/>
      <c r="CE512" s="588" t="n"/>
      <c r="CF512" s="588" t="n"/>
      <c r="CG512" s="588" t="n"/>
      <c r="CH512" s="588" t="n"/>
      <c r="CI512" s="588" t="n"/>
      <c r="CJ512" s="588" t="n"/>
      <c r="CK512" s="588" t="n"/>
      <c r="CL512" s="588" t="n"/>
      <c r="CM512" s="588" t="n"/>
      <c r="CN512" s="588" t="n"/>
      <c r="CO512" s="588" t="n"/>
      <c r="CP512" s="588" t="n"/>
      <c r="CQ512" s="588" t="n"/>
      <c r="CR512" s="588" t="n"/>
      <c r="CS512" s="588" t="n"/>
      <c r="CT512" s="588" t="n"/>
      <c r="CU512" s="588" t="n"/>
      <c r="CV512" s="588" t="n"/>
      <c r="CW512" s="588" t="n"/>
      <c r="CX512" s="588" t="n"/>
      <c r="CY512" s="588" t="n"/>
      <c r="CZ512" s="588" t="n"/>
      <c r="DA512" s="588" t="n"/>
      <c r="DB512" s="588" t="n"/>
      <c r="DC512" s="588" t="n"/>
      <c r="DD512" s="588" t="n"/>
      <c r="DE512" s="588" t="n"/>
      <c r="DF512" s="588" t="n"/>
      <c r="DG512" s="588" t="n"/>
      <c r="DH512" s="588" t="n"/>
      <c r="DI512" s="588" t="n"/>
      <c r="DJ512" s="588" t="n"/>
      <c r="DK512" s="588" t="n"/>
      <c r="DL512" s="588" t="n"/>
      <c r="DM512" s="588" t="n"/>
      <c r="DN512" s="588" t="n"/>
      <c r="DO512" s="588" t="n"/>
      <c r="DP512" s="588" t="n"/>
      <c r="DQ512" s="588" t="n"/>
      <c r="DR512" s="588" t="n"/>
      <c r="DS512" s="588" t="n"/>
      <c r="DT512" s="588" t="n"/>
      <c r="DU512" s="588" t="n"/>
    </row>
    <row r="513">
      <c r="A513" s="737" t="n"/>
      <c r="B513" s="737" t="n"/>
      <c r="C513" s="737" t="n"/>
      <c r="D513" s="737" t="n"/>
      <c r="E513" s="737" t="n"/>
      <c r="F513" s="737" t="n"/>
      <c r="G513" s="737" t="n"/>
      <c r="H513" s="737" t="n"/>
      <c r="I513" s="737" t="n"/>
      <c r="J513" s="737" t="n"/>
      <c r="K513" s="737" t="n"/>
      <c r="L513" s="737" t="n"/>
      <c r="M513" s="737" t="n"/>
      <c r="N513" s="737" t="n"/>
      <c r="O513" s="737" t="n"/>
      <c r="P513" s="737" t="n"/>
      <c r="Q513" s="737" t="n"/>
      <c r="R513" s="737" t="n"/>
      <c r="S513" s="737" t="n"/>
      <c r="T513" s="737" t="n"/>
      <c r="U513" s="737" t="n"/>
      <c r="V513" s="737" t="n"/>
      <c r="W513" s="737" t="n"/>
      <c r="X513" s="737" t="n"/>
      <c r="Y513" s="737" t="n"/>
      <c r="Z513" s="737" t="n"/>
      <c r="AA513" s="737" t="n"/>
      <c r="AB513" s="737" t="n"/>
      <c r="AC513" s="737" t="n"/>
      <c r="AD513" s="737" t="n"/>
      <c r="AE513" s="737" t="n"/>
      <c r="AF513" s="737" t="n"/>
      <c r="AG513" s="737" t="n"/>
      <c r="AH513" s="737" t="n"/>
      <c r="AI513" s="737" t="n"/>
      <c r="AJ513" s="737" t="n"/>
      <c r="AK513" s="588" t="n"/>
      <c r="AL513" s="588" t="n"/>
      <c r="AM513" s="588" t="n"/>
      <c r="AN513" s="588" t="n"/>
      <c r="AO513" s="588" t="n"/>
      <c r="AP513" s="588" t="n"/>
      <c r="AQ513" s="588" t="n"/>
      <c r="AR513" s="588" t="n"/>
      <c r="AS513" s="588" t="n"/>
      <c r="AT513" s="588" t="n"/>
      <c r="AU513" s="588" t="n"/>
      <c r="AV513" s="588" t="n"/>
      <c r="AW513" s="588" t="n"/>
      <c r="AX513" s="588" t="n"/>
      <c r="AY513" s="588" t="n"/>
      <c r="AZ513" s="588" t="n"/>
      <c r="BA513" s="588" t="n"/>
      <c r="BB513" s="588" t="n"/>
      <c r="BC513" s="588" t="n"/>
      <c r="BD513" s="588" t="n"/>
      <c r="BE513" s="588" t="n"/>
      <c r="BF513" s="588" t="n"/>
      <c r="BG513" s="588" t="n"/>
      <c r="BH513" s="588" t="n"/>
      <c r="BI513" s="588" t="n"/>
      <c r="BJ513" s="588" t="n"/>
      <c r="BK513" s="588" t="n"/>
      <c r="BL513" s="588" t="n"/>
      <c r="BM513" s="588" t="n"/>
      <c r="BN513" s="588" t="n"/>
      <c r="BO513" s="588" t="n"/>
      <c r="BP513" s="588" t="n"/>
      <c r="BQ513" s="588" t="n"/>
      <c r="BR513" s="588" t="n"/>
      <c r="BS513" s="588" t="n"/>
      <c r="BT513" s="588" t="n"/>
      <c r="BU513" s="588" t="n"/>
      <c r="BV513" s="588" t="n"/>
      <c r="BW513" s="588" t="n"/>
      <c r="BX513" s="588" t="n"/>
      <c r="BY513" s="588" t="n"/>
      <c r="BZ513" s="588" t="n"/>
      <c r="CA513" s="588" t="n"/>
      <c r="CB513" s="588" t="n"/>
      <c r="CC513" s="588" t="n"/>
      <c r="CD513" s="588" t="n"/>
      <c r="CE513" s="588" t="n"/>
      <c r="CF513" s="588" t="n"/>
      <c r="CG513" s="588" t="n"/>
      <c r="CH513" s="588" t="n"/>
      <c r="CI513" s="588" t="n"/>
      <c r="CJ513" s="588" t="n"/>
      <c r="CK513" s="588" t="n"/>
      <c r="CL513" s="588" t="n"/>
      <c r="CM513" s="588" t="n"/>
      <c r="CN513" s="588" t="n"/>
      <c r="CO513" s="588" t="n"/>
      <c r="CP513" s="588" t="n"/>
      <c r="CQ513" s="588" t="n"/>
      <c r="CR513" s="588" t="n"/>
      <c r="CS513" s="588" t="n"/>
      <c r="CT513" s="588" t="n"/>
      <c r="CU513" s="588" t="n"/>
      <c r="CV513" s="588" t="n"/>
      <c r="CW513" s="588" t="n"/>
      <c r="CX513" s="588" t="n"/>
      <c r="CY513" s="588" t="n"/>
      <c r="CZ513" s="588" t="n"/>
      <c r="DA513" s="588" t="n"/>
      <c r="DB513" s="588" t="n"/>
      <c r="DC513" s="588" t="n"/>
      <c r="DD513" s="588" t="n"/>
      <c r="DE513" s="588" t="n"/>
      <c r="DF513" s="588" t="n"/>
      <c r="DG513" s="588" t="n"/>
      <c r="DH513" s="588" t="n"/>
      <c r="DI513" s="588" t="n"/>
      <c r="DJ513" s="588" t="n"/>
      <c r="DK513" s="588" t="n"/>
      <c r="DL513" s="588" t="n"/>
      <c r="DM513" s="588" t="n"/>
      <c r="DN513" s="588" t="n"/>
      <c r="DO513" s="588" t="n"/>
      <c r="DP513" s="588" t="n"/>
      <c r="DQ513" s="588" t="n"/>
      <c r="DR513" s="588" t="n"/>
      <c r="DS513" s="588" t="n"/>
      <c r="DT513" s="588" t="n"/>
      <c r="DU513" s="588" t="n"/>
    </row>
    <row r="514">
      <c r="A514" s="737" t="n"/>
      <c r="B514" s="737" t="n"/>
      <c r="C514" s="737" t="n"/>
      <c r="D514" s="737" t="n"/>
      <c r="E514" s="737" t="n"/>
      <c r="F514" s="737" t="n"/>
      <c r="G514" s="737" t="n"/>
      <c r="H514" s="737" t="n"/>
      <c r="I514" s="737" t="n"/>
      <c r="J514" s="737" t="n"/>
      <c r="K514" s="737" t="n"/>
      <c r="L514" s="737" t="n"/>
      <c r="M514" s="737" t="n"/>
      <c r="N514" s="737" t="n"/>
      <c r="O514" s="737" t="n"/>
      <c r="P514" s="737" t="n"/>
      <c r="Q514" s="737" t="n"/>
      <c r="R514" s="737" t="n"/>
      <c r="S514" s="737" t="n"/>
      <c r="T514" s="737" t="n"/>
      <c r="U514" s="737" t="n"/>
      <c r="V514" s="737" t="n"/>
      <c r="W514" s="737" t="n"/>
      <c r="X514" s="737" t="n"/>
      <c r="Y514" s="737" t="n"/>
      <c r="Z514" s="737" t="n"/>
      <c r="AA514" s="737" t="n"/>
      <c r="AB514" s="737" t="n"/>
      <c r="AC514" s="737" t="n"/>
      <c r="AD514" s="737" t="n"/>
      <c r="AE514" s="737" t="n"/>
      <c r="AF514" s="737" t="n"/>
      <c r="AG514" s="737" t="n"/>
      <c r="AH514" s="737" t="n"/>
      <c r="AI514" s="737" t="n"/>
      <c r="AJ514" s="737" t="n"/>
      <c r="AK514" s="588" t="n"/>
      <c r="AL514" s="588" t="n"/>
      <c r="AM514" s="588" t="n"/>
      <c r="AN514" s="588" t="n"/>
      <c r="AO514" s="588" t="n"/>
      <c r="AP514" s="588" t="n"/>
      <c r="AQ514" s="588" t="n"/>
      <c r="AR514" s="588" t="n"/>
      <c r="AS514" s="588" t="n"/>
      <c r="AT514" s="588" t="n"/>
      <c r="AU514" s="588" t="n"/>
      <c r="AV514" s="588" t="n"/>
      <c r="AW514" s="588" t="n"/>
      <c r="AX514" s="588" t="n"/>
      <c r="AY514" s="588" t="n"/>
      <c r="AZ514" s="588" t="n"/>
      <c r="BA514" s="588" t="n"/>
      <c r="BB514" s="588" t="n"/>
      <c r="BC514" s="588" t="n"/>
      <c r="BD514" s="588" t="n"/>
      <c r="BE514" s="588" t="n"/>
      <c r="BF514" s="588" t="n"/>
      <c r="BG514" s="588" t="n"/>
      <c r="BH514" s="588" t="n"/>
      <c r="BI514" s="588" t="n"/>
      <c r="BJ514" s="588" t="n"/>
      <c r="BK514" s="588" t="n"/>
      <c r="BL514" s="588" t="n"/>
      <c r="BM514" s="588" t="n"/>
      <c r="BN514" s="588" t="n"/>
      <c r="BO514" s="588" t="n"/>
      <c r="BP514" s="588" t="n"/>
      <c r="BQ514" s="588" t="n"/>
      <c r="BR514" s="588" t="n"/>
      <c r="BS514" s="588" t="n"/>
      <c r="BT514" s="588" t="n"/>
      <c r="BU514" s="588" t="n"/>
      <c r="BV514" s="588" t="n"/>
      <c r="BW514" s="588" t="n"/>
      <c r="BX514" s="588" t="n"/>
      <c r="BY514" s="588" t="n"/>
      <c r="BZ514" s="588" t="n"/>
      <c r="CA514" s="588" t="n"/>
      <c r="CB514" s="588" t="n"/>
      <c r="CC514" s="588" t="n"/>
      <c r="CD514" s="588" t="n"/>
      <c r="CE514" s="588" t="n"/>
      <c r="CF514" s="588" t="n"/>
      <c r="CG514" s="588" t="n"/>
      <c r="CH514" s="588" t="n"/>
      <c r="CI514" s="588" t="n"/>
      <c r="CJ514" s="588" t="n"/>
      <c r="CK514" s="588" t="n"/>
      <c r="CL514" s="588" t="n"/>
      <c r="CM514" s="588" t="n"/>
      <c r="CN514" s="588" t="n"/>
      <c r="CO514" s="588" t="n"/>
      <c r="CP514" s="588" t="n"/>
      <c r="CQ514" s="588" t="n"/>
      <c r="CR514" s="588" t="n"/>
      <c r="CS514" s="588" t="n"/>
      <c r="CT514" s="588" t="n"/>
      <c r="CU514" s="588" t="n"/>
      <c r="CV514" s="588" t="n"/>
      <c r="CW514" s="588" t="n"/>
      <c r="CX514" s="588" t="n"/>
      <c r="CY514" s="588" t="n"/>
      <c r="CZ514" s="588" t="n"/>
      <c r="DA514" s="588" t="n"/>
      <c r="DB514" s="588" t="n"/>
      <c r="DC514" s="588" t="n"/>
      <c r="DD514" s="588" t="n"/>
      <c r="DE514" s="588" t="n"/>
      <c r="DF514" s="588" t="n"/>
      <c r="DG514" s="588" t="n"/>
      <c r="DH514" s="588" t="n"/>
      <c r="DI514" s="588" t="n"/>
      <c r="DJ514" s="588" t="n"/>
      <c r="DK514" s="588" t="n"/>
      <c r="DL514" s="588" t="n"/>
      <c r="DM514" s="588" t="n"/>
      <c r="DN514" s="588" t="n"/>
      <c r="DO514" s="588" t="n"/>
      <c r="DP514" s="588" t="n"/>
      <c r="DQ514" s="588" t="n"/>
      <c r="DR514" s="588" t="n"/>
      <c r="DS514" s="588" t="n"/>
      <c r="DT514" s="588" t="n"/>
      <c r="DU514" s="588" t="n"/>
    </row>
    <row r="515">
      <c r="A515" s="737" t="n"/>
      <c r="B515" s="737" t="n"/>
      <c r="C515" s="737" t="n"/>
      <c r="D515" s="737" t="n"/>
      <c r="E515" s="737" t="n"/>
      <c r="F515" s="737" t="n"/>
      <c r="G515" s="737" t="n"/>
      <c r="H515" s="737" t="n"/>
      <c r="I515" s="737" t="n"/>
      <c r="J515" s="737" t="n"/>
      <c r="K515" s="737" t="n"/>
      <c r="L515" s="737" t="n"/>
      <c r="M515" s="737" t="n"/>
      <c r="N515" s="737" t="n"/>
      <c r="O515" s="737" t="n"/>
      <c r="P515" s="737" t="n"/>
      <c r="Q515" s="737" t="n"/>
      <c r="R515" s="737" t="n"/>
      <c r="S515" s="737" t="n"/>
      <c r="T515" s="737" t="n"/>
      <c r="U515" s="737" t="n"/>
      <c r="V515" s="737" t="n"/>
      <c r="W515" s="737" t="n"/>
      <c r="X515" s="737" t="n"/>
      <c r="Y515" s="737" t="n"/>
      <c r="Z515" s="737" t="n"/>
      <c r="AA515" s="737" t="n"/>
      <c r="AB515" s="737" t="n"/>
      <c r="AC515" s="737" t="n"/>
      <c r="AD515" s="737" t="n"/>
      <c r="AE515" s="737" t="n"/>
      <c r="AF515" s="737" t="n"/>
      <c r="AG515" s="737" t="n"/>
      <c r="AH515" s="737" t="n"/>
      <c r="AI515" s="737" t="n"/>
      <c r="AJ515" s="737" t="n"/>
      <c r="AK515" s="588" t="n"/>
      <c r="AL515" s="588" t="n"/>
      <c r="AM515" s="588" t="n"/>
      <c r="AN515" s="588" t="n"/>
      <c r="AO515" s="588" t="n"/>
      <c r="AP515" s="588" t="n"/>
      <c r="AQ515" s="588" t="n"/>
      <c r="AR515" s="588" t="n"/>
      <c r="AS515" s="588" t="n"/>
      <c r="AT515" s="588" t="n"/>
      <c r="AU515" s="588" t="n"/>
      <c r="AV515" s="588" t="n"/>
      <c r="AW515" s="588" t="n"/>
      <c r="AX515" s="588" t="n"/>
      <c r="AY515" s="588" t="n"/>
      <c r="AZ515" s="588" t="n"/>
      <c r="BA515" s="588" t="n"/>
      <c r="BB515" s="588" t="n"/>
      <c r="BC515" s="588" t="n"/>
      <c r="BD515" s="588" t="n"/>
      <c r="BE515" s="588" t="n"/>
      <c r="BF515" s="588" t="n"/>
      <c r="BG515" s="588" t="n"/>
      <c r="BH515" s="588" t="n"/>
      <c r="BI515" s="588" t="n"/>
      <c r="BJ515" s="588" t="n"/>
      <c r="BK515" s="588" t="n"/>
      <c r="BL515" s="588" t="n"/>
      <c r="BM515" s="588" t="n"/>
      <c r="BN515" s="588" t="n"/>
      <c r="BO515" s="588" t="n"/>
      <c r="BP515" s="588" t="n"/>
      <c r="BQ515" s="588" t="n"/>
      <c r="BR515" s="588" t="n"/>
      <c r="BS515" s="588" t="n"/>
      <c r="BT515" s="588" t="n"/>
      <c r="BU515" s="588" t="n"/>
      <c r="BV515" s="588" t="n"/>
      <c r="BW515" s="588" t="n"/>
      <c r="BX515" s="588" t="n"/>
      <c r="BY515" s="588" t="n"/>
      <c r="BZ515" s="588" t="n"/>
      <c r="CA515" s="588" t="n"/>
      <c r="CB515" s="588" t="n"/>
      <c r="CC515" s="588" t="n"/>
      <c r="CD515" s="588" t="n"/>
      <c r="CE515" s="588" t="n"/>
      <c r="CF515" s="588" t="n"/>
      <c r="CG515" s="588" t="n"/>
      <c r="CH515" s="588" t="n"/>
      <c r="CI515" s="588" t="n"/>
      <c r="CJ515" s="588" t="n"/>
      <c r="CK515" s="588" t="n"/>
      <c r="CL515" s="588" t="n"/>
      <c r="CM515" s="588" t="n"/>
      <c r="CN515" s="588" t="n"/>
      <c r="CO515" s="588" t="n"/>
      <c r="CP515" s="588" t="n"/>
      <c r="CQ515" s="588" t="n"/>
      <c r="CR515" s="588" t="n"/>
      <c r="CS515" s="588" t="n"/>
      <c r="CT515" s="588" t="n"/>
      <c r="CU515" s="588" t="n"/>
      <c r="CV515" s="588" t="n"/>
      <c r="CW515" s="588" t="n"/>
      <c r="CX515" s="588" t="n"/>
      <c r="CY515" s="588" t="n"/>
      <c r="CZ515" s="588" t="n"/>
      <c r="DA515" s="588" t="n"/>
      <c r="DB515" s="588" t="n"/>
      <c r="DC515" s="588" t="n"/>
      <c r="DD515" s="588" t="n"/>
      <c r="DE515" s="588" t="n"/>
      <c r="DF515" s="588" t="n"/>
      <c r="DG515" s="588" t="n"/>
      <c r="DH515" s="588" t="n"/>
      <c r="DI515" s="588" t="n"/>
      <c r="DJ515" s="588" t="n"/>
      <c r="DK515" s="588" t="n"/>
      <c r="DL515" s="588" t="n"/>
      <c r="DM515" s="588" t="n"/>
      <c r="DN515" s="588" t="n"/>
      <c r="DO515" s="588" t="n"/>
      <c r="DP515" s="588" t="n"/>
      <c r="DQ515" s="588" t="n"/>
      <c r="DR515" s="588" t="n"/>
      <c r="DS515" s="588" t="n"/>
      <c r="DT515" s="588" t="n"/>
      <c r="DU515" s="588" t="n"/>
    </row>
    <row r="516">
      <c r="A516" s="737" t="n"/>
      <c r="B516" s="737" t="n"/>
      <c r="C516" s="737" t="n"/>
      <c r="D516" s="737" t="n"/>
      <c r="E516" s="737" t="n"/>
      <c r="F516" s="737" t="n"/>
      <c r="G516" s="737" t="n"/>
      <c r="H516" s="737" t="n"/>
      <c r="I516" s="737" t="n"/>
      <c r="J516" s="737" t="n"/>
      <c r="K516" s="737" t="n"/>
      <c r="L516" s="737" t="n"/>
      <c r="M516" s="737" t="n"/>
      <c r="N516" s="737" t="n"/>
      <c r="O516" s="737" t="n"/>
      <c r="P516" s="737" t="n"/>
      <c r="Q516" s="737" t="n"/>
      <c r="R516" s="737" t="n"/>
      <c r="S516" s="737" t="n"/>
      <c r="T516" s="737" t="n"/>
      <c r="U516" s="737" t="n"/>
      <c r="V516" s="737" t="n"/>
      <c r="W516" s="737" t="n"/>
      <c r="X516" s="737" t="n"/>
      <c r="Y516" s="737" t="n"/>
      <c r="Z516" s="737" t="n"/>
      <c r="AA516" s="737" t="n"/>
      <c r="AB516" s="737" t="n"/>
      <c r="AC516" s="737" t="n"/>
      <c r="AD516" s="737" t="n"/>
      <c r="AE516" s="737" t="n"/>
      <c r="AF516" s="737" t="n"/>
      <c r="AG516" s="737" t="n"/>
      <c r="AH516" s="737" t="n"/>
      <c r="AI516" s="737" t="n"/>
      <c r="AJ516" s="737" t="n"/>
      <c r="AK516" s="588" t="n"/>
      <c r="AL516" s="588" t="n"/>
      <c r="AM516" s="588" t="n"/>
      <c r="AN516" s="588" t="n"/>
      <c r="AO516" s="588" t="n"/>
      <c r="AP516" s="588" t="n"/>
      <c r="AQ516" s="588" t="n"/>
      <c r="AR516" s="588" t="n"/>
      <c r="AS516" s="588" t="n"/>
      <c r="AT516" s="588" t="n"/>
      <c r="AU516" s="588" t="n"/>
      <c r="AV516" s="588" t="n"/>
      <c r="AW516" s="588" t="n"/>
      <c r="AX516" s="588" t="n"/>
      <c r="AY516" s="588" t="n"/>
      <c r="AZ516" s="588" t="n"/>
      <c r="BA516" s="588" t="n"/>
      <c r="BB516" s="588" t="n"/>
      <c r="BC516" s="588" t="n"/>
      <c r="BD516" s="588" t="n"/>
      <c r="BE516" s="588" t="n"/>
      <c r="BF516" s="588" t="n"/>
      <c r="BG516" s="588" t="n"/>
      <c r="BH516" s="588" t="n"/>
      <c r="BI516" s="588" t="n"/>
      <c r="BJ516" s="588" t="n"/>
      <c r="BK516" s="588" t="n"/>
      <c r="BL516" s="588" t="n"/>
      <c r="BM516" s="588" t="n"/>
      <c r="BN516" s="588" t="n"/>
      <c r="BO516" s="588" t="n"/>
      <c r="BP516" s="588" t="n"/>
      <c r="BQ516" s="588" t="n"/>
      <c r="BR516" s="588" t="n"/>
      <c r="BS516" s="588" t="n"/>
      <c r="BT516" s="588" t="n"/>
      <c r="BU516" s="588" t="n"/>
      <c r="BV516" s="588" t="n"/>
      <c r="BW516" s="588" t="n"/>
      <c r="BX516" s="588" t="n"/>
      <c r="BY516" s="588" t="n"/>
      <c r="BZ516" s="588" t="n"/>
      <c r="CA516" s="588" t="n"/>
      <c r="CB516" s="588" t="n"/>
      <c r="CC516" s="588" t="n"/>
      <c r="CD516" s="588" t="n"/>
      <c r="CE516" s="588" t="n"/>
      <c r="CF516" s="588" t="n"/>
      <c r="CG516" s="588" t="n"/>
      <c r="CH516" s="588" t="n"/>
      <c r="CI516" s="588" t="n"/>
      <c r="CJ516" s="588" t="n"/>
      <c r="CK516" s="588" t="n"/>
      <c r="CL516" s="588" t="n"/>
      <c r="CM516" s="588" t="n"/>
      <c r="CN516" s="588" t="n"/>
      <c r="CO516" s="588" t="n"/>
      <c r="CP516" s="588" t="n"/>
      <c r="CQ516" s="588" t="n"/>
      <c r="CR516" s="588" t="n"/>
      <c r="CS516" s="588" t="n"/>
      <c r="CT516" s="588" t="n"/>
      <c r="CU516" s="588" t="n"/>
      <c r="CV516" s="588" t="n"/>
      <c r="CW516" s="588" t="n"/>
      <c r="CX516" s="588" t="n"/>
      <c r="CY516" s="588" t="n"/>
      <c r="CZ516" s="588" t="n"/>
      <c r="DA516" s="588" t="n"/>
      <c r="DB516" s="588" t="n"/>
      <c r="DC516" s="588" t="n"/>
      <c r="DD516" s="588" t="n"/>
      <c r="DE516" s="588" t="n"/>
      <c r="DF516" s="588" t="n"/>
      <c r="DG516" s="588" t="n"/>
      <c r="DH516" s="588" t="n"/>
      <c r="DI516" s="588" t="n"/>
      <c r="DJ516" s="588" t="n"/>
      <c r="DK516" s="588" t="n"/>
      <c r="DL516" s="588" t="n"/>
      <c r="DM516" s="588" t="n"/>
      <c r="DN516" s="588" t="n"/>
      <c r="DO516" s="588" t="n"/>
      <c r="DP516" s="588" t="n"/>
      <c r="DQ516" s="588" t="n"/>
      <c r="DR516" s="588" t="n"/>
      <c r="DS516" s="588" t="n"/>
      <c r="DT516" s="588" t="n"/>
      <c r="DU516" s="588" t="n"/>
    </row>
    <row r="517">
      <c r="A517" s="737" t="n"/>
      <c r="B517" s="737" t="n"/>
      <c r="C517" s="737" t="n"/>
      <c r="D517" s="737" t="n"/>
      <c r="E517" s="737" t="n"/>
      <c r="F517" s="737" t="n"/>
      <c r="G517" s="737" t="n"/>
      <c r="H517" s="737" t="n"/>
      <c r="I517" s="737" t="n"/>
      <c r="J517" s="737" t="n"/>
      <c r="K517" s="737" t="n"/>
      <c r="L517" s="737" t="n"/>
      <c r="M517" s="737" t="n"/>
      <c r="N517" s="737" t="n"/>
      <c r="O517" s="737" t="n"/>
      <c r="P517" s="737" t="n"/>
      <c r="Q517" s="737" t="n"/>
      <c r="R517" s="737" t="n"/>
      <c r="S517" s="737" t="n"/>
      <c r="T517" s="737" t="n"/>
      <c r="U517" s="737" t="n"/>
      <c r="V517" s="737" t="n"/>
      <c r="W517" s="737" t="n"/>
      <c r="X517" s="737" t="n"/>
      <c r="Y517" s="737" t="n"/>
      <c r="Z517" s="737" t="n"/>
      <c r="AA517" s="737" t="n"/>
      <c r="AB517" s="737" t="n"/>
      <c r="AC517" s="737" t="n"/>
      <c r="AD517" s="737" t="n"/>
      <c r="AE517" s="737" t="n"/>
      <c r="AF517" s="737" t="n"/>
      <c r="AG517" s="737" t="n"/>
      <c r="AH517" s="737" t="n"/>
      <c r="AI517" s="737" t="n"/>
      <c r="AJ517" s="737" t="n"/>
      <c r="AK517" s="588" t="n"/>
      <c r="AL517" s="588" t="n"/>
      <c r="AM517" s="588" t="n"/>
      <c r="AN517" s="588" t="n"/>
      <c r="AO517" s="588" t="n"/>
      <c r="AP517" s="588" t="n"/>
      <c r="AQ517" s="588" t="n"/>
      <c r="AR517" s="588" t="n"/>
      <c r="AS517" s="588" t="n"/>
      <c r="AT517" s="588" t="n"/>
      <c r="AU517" s="588" t="n"/>
      <c r="AV517" s="588" t="n"/>
      <c r="AW517" s="588" t="n"/>
      <c r="AX517" s="588" t="n"/>
      <c r="AY517" s="588" t="n"/>
      <c r="AZ517" s="588" t="n"/>
      <c r="BA517" s="588" t="n"/>
      <c r="BB517" s="588" t="n"/>
      <c r="BC517" s="588" t="n"/>
      <c r="BD517" s="588" t="n"/>
      <c r="BE517" s="588" t="n"/>
      <c r="BF517" s="588" t="n"/>
      <c r="BG517" s="588" t="n"/>
      <c r="BH517" s="588" t="n"/>
      <c r="BI517" s="588" t="n"/>
      <c r="BJ517" s="588" t="n"/>
      <c r="BK517" s="588" t="n"/>
      <c r="BL517" s="588" t="n"/>
      <c r="BM517" s="588" t="n"/>
      <c r="BN517" s="588" t="n"/>
      <c r="BO517" s="588" t="n"/>
      <c r="BP517" s="588" t="n"/>
      <c r="BQ517" s="588" t="n"/>
      <c r="BR517" s="588" t="n"/>
      <c r="BS517" s="588" t="n"/>
      <c r="BT517" s="588" t="n"/>
      <c r="BU517" s="588" t="n"/>
      <c r="BV517" s="588" t="n"/>
      <c r="BW517" s="588" t="n"/>
      <c r="BX517" s="588" t="n"/>
      <c r="BY517" s="588" t="n"/>
      <c r="BZ517" s="588" t="n"/>
      <c r="CA517" s="588" t="n"/>
      <c r="CB517" s="588" t="n"/>
      <c r="CC517" s="588" t="n"/>
      <c r="CD517" s="588" t="n"/>
      <c r="CE517" s="588" t="n"/>
      <c r="CF517" s="588" t="n"/>
      <c r="CG517" s="588" t="n"/>
      <c r="CH517" s="588" t="n"/>
      <c r="CI517" s="588" t="n"/>
      <c r="CJ517" s="588" t="n"/>
      <c r="CK517" s="588" t="n"/>
      <c r="CL517" s="588" t="n"/>
      <c r="CM517" s="588" t="n"/>
      <c r="CN517" s="588" t="n"/>
      <c r="CO517" s="588" t="n"/>
      <c r="CP517" s="588" t="n"/>
      <c r="CQ517" s="588" t="n"/>
      <c r="CR517" s="588" t="n"/>
      <c r="CS517" s="588" t="n"/>
      <c r="CT517" s="588" t="n"/>
      <c r="CU517" s="588" t="n"/>
      <c r="CV517" s="588" t="n"/>
      <c r="CW517" s="588" t="n"/>
      <c r="CX517" s="588" t="n"/>
      <c r="CY517" s="588" t="n"/>
      <c r="CZ517" s="588" t="n"/>
      <c r="DA517" s="588" t="n"/>
      <c r="DB517" s="588" t="n"/>
      <c r="DC517" s="588" t="n"/>
      <c r="DD517" s="588" t="n"/>
      <c r="DE517" s="588" t="n"/>
      <c r="DF517" s="588" t="n"/>
      <c r="DG517" s="588" t="n"/>
      <c r="DH517" s="588" t="n"/>
      <c r="DI517" s="588" t="n"/>
      <c r="DJ517" s="588" t="n"/>
      <c r="DK517" s="588" t="n"/>
      <c r="DL517" s="588" t="n"/>
      <c r="DM517" s="588" t="n"/>
      <c r="DN517" s="588" t="n"/>
      <c r="DO517" s="588" t="n"/>
      <c r="DP517" s="588" t="n"/>
      <c r="DQ517" s="588" t="n"/>
      <c r="DR517" s="588" t="n"/>
      <c r="DS517" s="588" t="n"/>
      <c r="DT517" s="588" t="n"/>
      <c r="DU517" s="588" t="n"/>
    </row>
    <row r="518">
      <c r="A518" s="737" t="n"/>
      <c r="B518" s="737" t="n"/>
      <c r="C518" s="737" t="n"/>
      <c r="D518" s="737" t="n"/>
      <c r="E518" s="737" t="n"/>
      <c r="F518" s="737" t="n"/>
      <c r="G518" s="737" t="n"/>
      <c r="H518" s="737" t="n"/>
      <c r="I518" s="737" t="n"/>
      <c r="J518" s="737" t="n"/>
      <c r="K518" s="737" t="n"/>
      <c r="L518" s="737" t="n"/>
      <c r="M518" s="737" t="n"/>
      <c r="N518" s="737" t="n"/>
      <c r="O518" s="737" t="n"/>
      <c r="P518" s="737" t="n"/>
      <c r="Q518" s="737" t="n"/>
      <c r="R518" s="737" t="n"/>
      <c r="S518" s="737" t="n"/>
      <c r="T518" s="737" t="n"/>
      <c r="U518" s="737" t="n"/>
      <c r="V518" s="737" t="n"/>
      <c r="W518" s="737" t="n"/>
      <c r="X518" s="737" t="n"/>
      <c r="Y518" s="737" t="n"/>
      <c r="Z518" s="737" t="n"/>
      <c r="AA518" s="737" t="n"/>
      <c r="AB518" s="737" t="n"/>
      <c r="AC518" s="737" t="n"/>
      <c r="AD518" s="737" t="n"/>
      <c r="AE518" s="737" t="n"/>
      <c r="AF518" s="737" t="n"/>
      <c r="AG518" s="737" t="n"/>
      <c r="AH518" s="737" t="n"/>
      <c r="AI518" s="737" t="n"/>
      <c r="AJ518" s="737" t="n"/>
      <c r="AK518" s="588" t="n"/>
      <c r="AL518" s="588" t="n"/>
      <c r="AM518" s="588" t="n"/>
      <c r="AN518" s="588" t="n"/>
      <c r="AO518" s="588" t="n"/>
      <c r="AP518" s="588" t="n"/>
      <c r="AQ518" s="588" t="n"/>
      <c r="AR518" s="588" t="n"/>
      <c r="AS518" s="588" t="n"/>
      <c r="AT518" s="588" t="n"/>
      <c r="AU518" s="588" t="n"/>
      <c r="AV518" s="588" t="n"/>
      <c r="AW518" s="588" t="n"/>
      <c r="AX518" s="588" t="n"/>
      <c r="AY518" s="588" t="n"/>
      <c r="AZ518" s="588" t="n"/>
      <c r="BA518" s="588" t="n"/>
      <c r="BB518" s="588" t="n"/>
      <c r="BC518" s="588" t="n"/>
      <c r="BD518" s="588" t="n"/>
      <c r="BE518" s="588" t="n"/>
      <c r="BF518" s="588" t="n"/>
      <c r="BG518" s="588" t="n"/>
      <c r="BH518" s="588" t="n"/>
      <c r="BI518" s="588" t="n"/>
      <c r="BJ518" s="588" t="n"/>
      <c r="BK518" s="588" t="n"/>
      <c r="BL518" s="588" t="n"/>
      <c r="BM518" s="588" t="n"/>
      <c r="BN518" s="588" t="n"/>
      <c r="BO518" s="588" t="n"/>
      <c r="BP518" s="588" t="n"/>
      <c r="BQ518" s="588" t="n"/>
      <c r="BR518" s="588" t="n"/>
      <c r="BS518" s="588" t="n"/>
      <c r="BT518" s="588" t="n"/>
      <c r="BU518" s="588" t="n"/>
      <c r="BV518" s="588" t="n"/>
      <c r="BW518" s="588" t="n"/>
      <c r="BX518" s="588" t="n"/>
      <c r="BY518" s="588" t="n"/>
      <c r="BZ518" s="588" t="n"/>
      <c r="CA518" s="588" t="n"/>
      <c r="CB518" s="588" t="n"/>
      <c r="CC518" s="588" t="n"/>
      <c r="CD518" s="588" t="n"/>
      <c r="CE518" s="588" t="n"/>
      <c r="CF518" s="588" t="n"/>
      <c r="CG518" s="588" t="n"/>
      <c r="CH518" s="588" t="n"/>
      <c r="CI518" s="588" t="n"/>
      <c r="CJ518" s="588" t="n"/>
      <c r="CK518" s="588" t="n"/>
      <c r="CL518" s="588" t="n"/>
      <c r="CM518" s="588" t="n"/>
      <c r="CN518" s="588" t="n"/>
      <c r="CO518" s="588" t="n"/>
      <c r="CP518" s="588" t="n"/>
      <c r="CQ518" s="588" t="n"/>
      <c r="CR518" s="588" t="n"/>
      <c r="CS518" s="588" t="n"/>
      <c r="CT518" s="588" t="n"/>
      <c r="CU518" s="588" t="n"/>
      <c r="CV518" s="588" t="n"/>
      <c r="CW518" s="588" t="n"/>
      <c r="CX518" s="588" t="n"/>
      <c r="CY518" s="588" t="n"/>
      <c r="CZ518" s="588" t="n"/>
      <c r="DA518" s="588" t="n"/>
      <c r="DB518" s="588" t="n"/>
      <c r="DC518" s="588" t="n"/>
      <c r="DD518" s="588" t="n"/>
      <c r="DE518" s="588" t="n"/>
      <c r="DF518" s="588" t="n"/>
      <c r="DG518" s="588" t="n"/>
      <c r="DH518" s="588" t="n"/>
      <c r="DI518" s="588" t="n"/>
      <c r="DJ518" s="588" t="n"/>
      <c r="DK518" s="588" t="n"/>
      <c r="DL518" s="588" t="n"/>
      <c r="DM518" s="588" t="n"/>
      <c r="DN518" s="588" t="n"/>
      <c r="DO518" s="588" t="n"/>
      <c r="DP518" s="588" t="n"/>
      <c r="DQ518" s="588" t="n"/>
      <c r="DR518" s="588" t="n"/>
      <c r="DS518" s="588" t="n"/>
      <c r="DT518" s="588" t="n"/>
      <c r="DU518" s="588" t="n"/>
    </row>
    <row r="519">
      <c r="A519" s="737" t="n"/>
      <c r="B519" s="737" t="n"/>
      <c r="C519" s="737" t="n"/>
      <c r="D519" s="737" t="n"/>
      <c r="E519" s="737" t="n"/>
      <c r="F519" s="737" t="n"/>
      <c r="G519" s="737" t="n"/>
      <c r="H519" s="737" t="n"/>
      <c r="I519" s="737" t="n"/>
      <c r="J519" s="737" t="n"/>
      <c r="K519" s="737" t="n"/>
      <c r="L519" s="737" t="n"/>
      <c r="M519" s="737" t="n"/>
      <c r="N519" s="737" t="n"/>
      <c r="O519" s="737" t="n"/>
      <c r="P519" s="737" t="n"/>
      <c r="Q519" s="737" t="n"/>
      <c r="R519" s="737" t="n"/>
      <c r="S519" s="737" t="n"/>
      <c r="T519" s="737" t="n"/>
      <c r="U519" s="737" t="n"/>
      <c r="V519" s="737" t="n"/>
      <c r="W519" s="737" t="n"/>
      <c r="X519" s="737" t="n"/>
      <c r="Y519" s="737" t="n"/>
      <c r="Z519" s="737" t="n"/>
      <c r="AA519" s="737" t="n"/>
      <c r="AB519" s="737" t="n"/>
      <c r="AC519" s="737" t="n"/>
      <c r="AD519" s="737" t="n"/>
      <c r="AE519" s="737" t="n"/>
      <c r="AF519" s="737" t="n"/>
      <c r="AG519" s="737" t="n"/>
      <c r="AH519" s="737" t="n"/>
      <c r="AI519" s="737" t="n"/>
      <c r="AJ519" s="737" t="n"/>
      <c r="AK519" s="588" t="n"/>
      <c r="AL519" s="588" t="n"/>
      <c r="AM519" s="588" t="n"/>
      <c r="AN519" s="588" t="n"/>
      <c r="AO519" s="588" t="n"/>
      <c r="AP519" s="588" t="n"/>
      <c r="AQ519" s="588" t="n"/>
      <c r="AR519" s="588" t="n"/>
      <c r="AS519" s="588" t="n"/>
      <c r="AT519" s="588" t="n"/>
      <c r="AU519" s="588" t="n"/>
      <c r="AV519" s="588" t="n"/>
      <c r="AW519" s="588" t="n"/>
      <c r="AX519" s="588" t="n"/>
      <c r="AY519" s="588" t="n"/>
      <c r="AZ519" s="588" t="n"/>
      <c r="BA519" s="588" t="n"/>
      <c r="BB519" s="588" t="n"/>
      <c r="BC519" s="588" t="n"/>
      <c r="BD519" s="588" t="n"/>
      <c r="BE519" s="588" t="n"/>
      <c r="BF519" s="588" t="n"/>
      <c r="BG519" s="588" t="n"/>
      <c r="BH519" s="588" t="n"/>
      <c r="BI519" s="588" t="n"/>
      <c r="BJ519" s="588" t="n"/>
      <c r="BK519" s="588" t="n"/>
      <c r="BL519" s="588" t="n"/>
      <c r="BM519" s="588" t="n"/>
      <c r="BN519" s="588" t="n"/>
      <c r="BO519" s="588" t="n"/>
      <c r="BP519" s="588" t="n"/>
      <c r="BQ519" s="588" t="n"/>
      <c r="BR519" s="588" t="n"/>
      <c r="BS519" s="588" t="n"/>
      <c r="BT519" s="588" t="n"/>
      <c r="BU519" s="588" t="n"/>
      <c r="BV519" s="588" t="n"/>
      <c r="BW519" s="588" t="n"/>
      <c r="BX519" s="588" t="n"/>
      <c r="BY519" s="588" t="n"/>
      <c r="BZ519" s="588" t="n"/>
      <c r="CA519" s="588" t="n"/>
      <c r="CB519" s="588" t="n"/>
      <c r="CC519" s="588" t="n"/>
      <c r="CD519" s="588" t="n"/>
      <c r="CE519" s="588" t="n"/>
      <c r="CF519" s="588" t="n"/>
      <c r="CG519" s="588" t="n"/>
      <c r="CH519" s="588" t="n"/>
      <c r="CI519" s="588" t="n"/>
      <c r="CJ519" s="588" t="n"/>
      <c r="CK519" s="588" t="n"/>
      <c r="CL519" s="588" t="n"/>
      <c r="CM519" s="588" t="n"/>
      <c r="CN519" s="588" t="n"/>
      <c r="CO519" s="588" t="n"/>
      <c r="CP519" s="588" t="n"/>
      <c r="CQ519" s="588" t="n"/>
      <c r="CR519" s="588" t="n"/>
      <c r="CS519" s="588" t="n"/>
      <c r="CT519" s="588" t="n"/>
      <c r="CU519" s="588" t="n"/>
      <c r="CV519" s="588" t="n"/>
      <c r="CW519" s="588" t="n"/>
      <c r="CX519" s="588" t="n"/>
      <c r="CY519" s="588" t="n"/>
      <c r="CZ519" s="588" t="n"/>
      <c r="DA519" s="588" t="n"/>
      <c r="DB519" s="588" t="n"/>
      <c r="DC519" s="588" t="n"/>
      <c r="DD519" s="588" t="n"/>
      <c r="DE519" s="588" t="n"/>
      <c r="DF519" s="588" t="n"/>
      <c r="DG519" s="588" t="n"/>
      <c r="DH519" s="588" t="n"/>
      <c r="DI519" s="588" t="n"/>
      <c r="DJ519" s="588" t="n"/>
      <c r="DK519" s="588" t="n"/>
      <c r="DL519" s="588" t="n"/>
      <c r="DM519" s="588" t="n"/>
      <c r="DN519" s="588" t="n"/>
      <c r="DO519" s="588" t="n"/>
      <c r="DP519" s="588" t="n"/>
      <c r="DQ519" s="588" t="n"/>
      <c r="DR519" s="588" t="n"/>
      <c r="DS519" s="588" t="n"/>
      <c r="DT519" s="588" t="n"/>
      <c r="DU519" s="588" t="n"/>
    </row>
    <row r="520">
      <c r="A520" s="737" t="n"/>
      <c r="B520" s="737" t="n"/>
      <c r="C520" s="737" t="n"/>
      <c r="D520" s="737" t="n"/>
      <c r="E520" s="737" t="n"/>
      <c r="F520" s="737" t="n"/>
      <c r="G520" s="737" t="n"/>
      <c r="H520" s="737" t="n"/>
      <c r="I520" s="737" t="n"/>
      <c r="J520" s="737" t="n"/>
      <c r="K520" s="737" t="n"/>
      <c r="L520" s="737" t="n"/>
      <c r="M520" s="737" t="n"/>
      <c r="N520" s="737" t="n"/>
      <c r="O520" s="737" t="n"/>
      <c r="P520" s="737" t="n"/>
      <c r="Q520" s="737" t="n"/>
      <c r="R520" s="737" t="n"/>
      <c r="S520" s="737" t="n"/>
      <c r="T520" s="737" t="n"/>
      <c r="U520" s="737" t="n"/>
      <c r="V520" s="737" t="n"/>
      <c r="W520" s="737" t="n"/>
      <c r="X520" s="737" t="n"/>
      <c r="Y520" s="737" t="n"/>
      <c r="Z520" s="737" t="n"/>
      <c r="AA520" s="737" t="n"/>
      <c r="AB520" s="737" t="n"/>
      <c r="AC520" s="737" t="n"/>
      <c r="AD520" s="737" t="n"/>
      <c r="AE520" s="737" t="n"/>
      <c r="AF520" s="737" t="n"/>
      <c r="AG520" s="737" t="n"/>
      <c r="AH520" s="737" t="n"/>
      <c r="AI520" s="737" t="n"/>
      <c r="AJ520" s="737" t="n"/>
      <c r="AK520" s="588" t="n"/>
      <c r="AL520" s="588" t="n"/>
      <c r="AM520" s="588" t="n"/>
      <c r="AN520" s="588" t="n"/>
      <c r="AO520" s="588" t="n"/>
      <c r="AP520" s="588" t="n"/>
      <c r="AQ520" s="588" t="n"/>
      <c r="AR520" s="588" t="n"/>
      <c r="AS520" s="588" t="n"/>
      <c r="AT520" s="588" t="n"/>
      <c r="AU520" s="588" t="n"/>
      <c r="AV520" s="588" t="n"/>
      <c r="AW520" s="588" t="n"/>
      <c r="AX520" s="588" t="n"/>
      <c r="AY520" s="588" t="n"/>
      <c r="AZ520" s="588" t="n"/>
      <c r="BA520" s="588" t="n"/>
      <c r="BB520" s="588" t="n"/>
      <c r="BC520" s="588" t="n"/>
      <c r="BD520" s="588" t="n"/>
      <c r="BE520" s="588" t="n"/>
      <c r="BF520" s="588" t="n"/>
      <c r="BG520" s="588" t="n"/>
      <c r="BH520" s="588" t="n"/>
      <c r="BI520" s="588" t="n"/>
      <c r="BJ520" s="588" t="n"/>
      <c r="BK520" s="588" t="n"/>
      <c r="BL520" s="588" t="n"/>
      <c r="BM520" s="588" t="n"/>
      <c r="BN520" s="588" t="n"/>
      <c r="BO520" s="588" t="n"/>
      <c r="BP520" s="588" t="n"/>
      <c r="BQ520" s="588" t="n"/>
      <c r="BR520" s="588" t="n"/>
      <c r="BS520" s="588" t="n"/>
      <c r="BT520" s="588" t="n"/>
      <c r="BU520" s="588" t="n"/>
      <c r="BV520" s="588" t="n"/>
      <c r="BW520" s="588" t="n"/>
      <c r="BX520" s="588" t="n"/>
      <c r="BY520" s="588" t="n"/>
      <c r="BZ520" s="588" t="n"/>
      <c r="CA520" s="588" t="n"/>
      <c r="CB520" s="588" t="n"/>
      <c r="CC520" s="588" t="n"/>
      <c r="CD520" s="588" t="n"/>
      <c r="CE520" s="588" t="n"/>
      <c r="CF520" s="588" t="n"/>
      <c r="CG520" s="588" t="n"/>
      <c r="CH520" s="588" t="n"/>
      <c r="CI520" s="588" t="n"/>
      <c r="CJ520" s="588" t="n"/>
      <c r="CK520" s="588" t="n"/>
      <c r="CL520" s="588" t="n"/>
      <c r="CM520" s="588" t="n"/>
      <c r="CN520" s="588" t="n"/>
      <c r="CO520" s="588" t="n"/>
      <c r="CP520" s="588" t="n"/>
      <c r="CQ520" s="588" t="n"/>
      <c r="CR520" s="588" t="n"/>
      <c r="CS520" s="588" t="n"/>
      <c r="CT520" s="588" t="n"/>
      <c r="CU520" s="588" t="n"/>
      <c r="CV520" s="588" t="n"/>
      <c r="CW520" s="588" t="n"/>
      <c r="CX520" s="588" t="n"/>
      <c r="CY520" s="588" t="n"/>
      <c r="CZ520" s="588" t="n"/>
      <c r="DA520" s="588" t="n"/>
      <c r="DB520" s="588" t="n"/>
      <c r="DC520" s="588" t="n"/>
      <c r="DD520" s="588" t="n"/>
      <c r="DE520" s="588" t="n"/>
      <c r="DF520" s="588" t="n"/>
      <c r="DG520" s="588" t="n"/>
      <c r="DH520" s="588" t="n"/>
      <c r="DI520" s="588" t="n"/>
      <c r="DJ520" s="588" t="n"/>
      <c r="DK520" s="588" t="n"/>
      <c r="DL520" s="588" t="n"/>
      <c r="DM520" s="588" t="n"/>
      <c r="DN520" s="588" t="n"/>
      <c r="DO520" s="588" t="n"/>
      <c r="DP520" s="588" t="n"/>
      <c r="DQ520" s="588" t="n"/>
      <c r="DR520" s="588" t="n"/>
      <c r="DS520" s="588" t="n"/>
      <c r="DT520" s="588" t="n"/>
      <c r="DU520" s="588" t="n"/>
    </row>
    <row r="521">
      <c r="A521" s="737" t="n"/>
      <c r="B521" s="737" t="n"/>
      <c r="C521" s="737" t="n"/>
      <c r="D521" s="737" t="n"/>
      <c r="E521" s="737" t="n"/>
      <c r="F521" s="737" t="n"/>
      <c r="G521" s="737" t="n"/>
      <c r="H521" s="737" t="n"/>
      <c r="I521" s="737" t="n"/>
      <c r="J521" s="737" t="n"/>
      <c r="K521" s="737" t="n"/>
      <c r="L521" s="737" t="n"/>
      <c r="M521" s="737" t="n"/>
      <c r="N521" s="737" t="n"/>
      <c r="O521" s="737" t="n"/>
      <c r="P521" s="737" t="n"/>
      <c r="Q521" s="737" t="n"/>
      <c r="R521" s="737" t="n"/>
      <c r="S521" s="737" t="n"/>
      <c r="T521" s="737" t="n"/>
      <c r="U521" s="737" t="n"/>
      <c r="V521" s="737" t="n"/>
      <c r="W521" s="737" t="n"/>
      <c r="X521" s="737" t="n"/>
      <c r="Y521" s="737" t="n"/>
      <c r="Z521" s="737" t="n"/>
      <c r="AA521" s="737" t="n"/>
      <c r="AB521" s="737" t="n"/>
      <c r="AC521" s="737" t="n"/>
      <c r="AD521" s="737" t="n"/>
      <c r="AE521" s="737" t="n"/>
      <c r="AF521" s="737" t="n"/>
      <c r="AG521" s="737" t="n"/>
      <c r="AH521" s="737" t="n"/>
      <c r="AI521" s="737" t="n"/>
      <c r="AJ521" s="737" t="n"/>
      <c r="AK521" s="588" t="n"/>
      <c r="AL521" s="588" t="n"/>
      <c r="AM521" s="588" t="n"/>
      <c r="AN521" s="588" t="n"/>
      <c r="AO521" s="588" t="n"/>
      <c r="AP521" s="588" t="n"/>
      <c r="AQ521" s="588" t="n"/>
      <c r="AR521" s="588" t="n"/>
      <c r="AS521" s="588" t="n"/>
      <c r="AT521" s="588" t="n"/>
      <c r="AU521" s="588" t="n"/>
      <c r="AV521" s="588" t="n"/>
      <c r="AW521" s="588" t="n"/>
      <c r="AX521" s="588" t="n"/>
      <c r="AY521" s="588" t="n"/>
      <c r="AZ521" s="588" t="n"/>
      <c r="BA521" s="588" t="n"/>
      <c r="BB521" s="588" t="n"/>
      <c r="BC521" s="588" t="n"/>
      <c r="BD521" s="588" t="n"/>
      <c r="BE521" s="588" t="n"/>
      <c r="BF521" s="588" t="n"/>
      <c r="BG521" s="588" t="n"/>
      <c r="BH521" s="588" t="n"/>
      <c r="BI521" s="588" t="n"/>
      <c r="BJ521" s="588" t="n"/>
      <c r="BK521" s="588" t="n"/>
      <c r="BL521" s="588" t="n"/>
      <c r="BM521" s="588" t="n"/>
      <c r="BN521" s="588" t="n"/>
      <c r="BO521" s="588" t="n"/>
      <c r="BP521" s="588" t="n"/>
      <c r="BQ521" s="588" t="n"/>
      <c r="BR521" s="588" t="n"/>
      <c r="BS521" s="588" t="n"/>
      <c r="BT521" s="588" t="n"/>
      <c r="BU521" s="588" t="n"/>
      <c r="BV521" s="588" t="n"/>
      <c r="BW521" s="588" t="n"/>
      <c r="BX521" s="588" t="n"/>
      <c r="BY521" s="588" t="n"/>
      <c r="BZ521" s="588" t="n"/>
      <c r="CA521" s="588" t="n"/>
      <c r="CB521" s="588" t="n"/>
      <c r="CC521" s="588" t="n"/>
      <c r="CD521" s="588" t="n"/>
      <c r="CE521" s="588" t="n"/>
      <c r="CF521" s="588" t="n"/>
      <c r="CG521" s="588" t="n"/>
      <c r="CH521" s="588" t="n"/>
      <c r="CI521" s="588" t="n"/>
      <c r="CJ521" s="588" t="n"/>
      <c r="CK521" s="588" t="n"/>
      <c r="CL521" s="588" t="n"/>
      <c r="CM521" s="588" t="n"/>
      <c r="CN521" s="588" t="n"/>
      <c r="CO521" s="588" t="n"/>
      <c r="CP521" s="588" t="n"/>
      <c r="CQ521" s="588" t="n"/>
      <c r="CR521" s="588" t="n"/>
      <c r="CS521" s="588" t="n"/>
      <c r="CT521" s="588" t="n"/>
      <c r="CU521" s="588" t="n"/>
      <c r="CV521" s="588" t="n"/>
      <c r="CW521" s="588" t="n"/>
      <c r="CX521" s="588" t="n"/>
      <c r="CY521" s="588" t="n"/>
      <c r="CZ521" s="588" t="n"/>
      <c r="DA521" s="588" t="n"/>
      <c r="DB521" s="588" t="n"/>
      <c r="DC521" s="588" t="n"/>
      <c r="DD521" s="588" t="n"/>
      <c r="DE521" s="588" t="n"/>
      <c r="DF521" s="588" t="n"/>
      <c r="DG521" s="588" t="n"/>
      <c r="DH521" s="588" t="n"/>
      <c r="DI521" s="588" t="n"/>
      <c r="DJ521" s="588" t="n"/>
      <c r="DK521" s="588" t="n"/>
      <c r="DL521" s="588" t="n"/>
      <c r="DM521" s="588" t="n"/>
      <c r="DN521" s="588" t="n"/>
      <c r="DO521" s="588" t="n"/>
      <c r="DP521" s="588" t="n"/>
      <c r="DQ521" s="588" t="n"/>
      <c r="DR521" s="588" t="n"/>
      <c r="DS521" s="588" t="n"/>
      <c r="DT521" s="588" t="n"/>
      <c r="DU521" s="588" t="n"/>
    </row>
    <row r="522">
      <c r="A522" s="737" t="n"/>
      <c r="B522" s="737" t="n"/>
      <c r="C522" s="737" t="n"/>
      <c r="D522" s="737" t="n"/>
      <c r="E522" s="737" t="n"/>
      <c r="F522" s="737" t="n"/>
      <c r="G522" s="737" t="n"/>
      <c r="H522" s="737" t="n"/>
      <c r="I522" s="737" t="n"/>
      <c r="J522" s="737" t="n"/>
      <c r="K522" s="737" t="n"/>
      <c r="L522" s="737" t="n"/>
      <c r="M522" s="737" t="n"/>
      <c r="N522" s="737" t="n"/>
      <c r="O522" s="737" t="n"/>
      <c r="P522" s="737" t="n"/>
      <c r="Q522" s="737" t="n"/>
      <c r="R522" s="737" t="n"/>
      <c r="S522" s="737" t="n"/>
      <c r="T522" s="737" t="n"/>
      <c r="U522" s="737" t="n"/>
      <c r="V522" s="737" t="n"/>
      <c r="W522" s="737" t="n"/>
      <c r="X522" s="737" t="n"/>
      <c r="Y522" s="737" t="n"/>
      <c r="Z522" s="737" t="n"/>
      <c r="AA522" s="737" t="n"/>
      <c r="AB522" s="737" t="n"/>
      <c r="AC522" s="737" t="n"/>
      <c r="AD522" s="737" t="n"/>
      <c r="AE522" s="737" t="n"/>
      <c r="AF522" s="737" t="n"/>
      <c r="AG522" s="737" t="n"/>
      <c r="AH522" s="737" t="n"/>
      <c r="AI522" s="737" t="n"/>
      <c r="AJ522" s="737" t="n"/>
      <c r="AK522" s="588" t="n"/>
      <c r="AL522" s="588" t="n"/>
      <c r="AM522" s="588" t="n"/>
      <c r="AN522" s="588" t="n"/>
      <c r="AO522" s="588" t="n"/>
      <c r="AP522" s="588" t="n"/>
      <c r="AQ522" s="588" t="n"/>
      <c r="AR522" s="588" t="n"/>
      <c r="AS522" s="588" t="n"/>
      <c r="AT522" s="588" t="n"/>
      <c r="AU522" s="588" t="n"/>
      <c r="AV522" s="588" t="n"/>
      <c r="AW522" s="588" t="n"/>
      <c r="AX522" s="588" t="n"/>
      <c r="AY522" s="588" t="n"/>
      <c r="AZ522" s="588" t="n"/>
      <c r="BA522" s="588" t="n"/>
      <c r="BB522" s="588" t="n"/>
      <c r="BC522" s="588" t="n"/>
      <c r="BD522" s="588" t="n"/>
      <c r="BE522" s="588" t="n"/>
      <c r="BF522" s="588" t="n"/>
      <c r="BG522" s="588" t="n"/>
      <c r="BH522" s="588" t="n"/>
      <c r="BI522" s="588" t="n"/>
      <c r="BJ522" s="588" t="n"/>
      <c r="BK522" s="588" t="n"/>
      <c r="BL522" s="588" t="n"/>
      <c r="BM522" s="588" t="n"/>
      <c r="BN522" s="588" t="n"/>
      <c r="BO522" s="588" t="n"/>
      <c r="BP522" s="588" t="n"/>
      <c r="BQ522" s="588" t="n"/>
      <c r="BR522" s="588" t="n"/>
      <c r="BS522" s="588" t="n"/>
      <c r="BT522" s="588" t="n"/>
      <c r="BU522" s="588" t="n"/>
      <c r="BV522" s="588" t="n"/>
      <c r="BW522" s="588" t="n"/>
      <c r="BX522" s="588" t="n"/>
      <c r="BY522" s="588" t="n"/>
      <c r="BZ522" s="588" t="n"/>
      <c r="CA522" s="588" t="n"/>
      <c r="CB522" s="588" t="n"/>
      <c r="CC522" s="588" t="n"/>
      <c r="CD522" s="588" t="n"/>
      <c r="CE522" s="588" t="n"/>
      <c r="CF522" s="588" t="n"/>
      <c r="CG522" s="588" t="n"/>
      <c r="CH522" s="588" t="n"/>
      <c r="CI522" s="588" t="n"/>
      <c r="CJ522" s="588" t="n"/>
      <c r="CK522" s="588" t="n"/>
      <c r="CL522" s="588" t="n"/>
      <c r="CM522" s="588" t="n"/>
      <c r="CN522" s="588" t="n"/>
      <c r="CO522" s="588" t="n"/>
      <c r="CP522" s="588" t="n"/>
      <c r="CQ522" s="588" t="n"/>
      <c r="CR522" s="588" t="n"/>
      <c r="CS522" s="588" t="n"/>
      <c r="CT522" s="588" t="n"/>
      <c r="CU522" s="588" t="n"/>
      <c r="CV522" s="588" t="n"/>
      <c r="CW522" s="588" t="n"/>
      <c r="CX522" s="588" t="n"/>
      <c r="CY522" s="588" t="n"/>
      <c r="CZ522" s="588" t="n"/>
      <c r="DA522" s="588" t="n"/>
      <c r="DB522" s="588" t="n"/>
      <c r="DC522" s="588" t="n"/>
      <c r="DD522" s="588" t="n"/>
      <c r="DE522" s="588" t="n"/>
      <c r="DF522" s="588" t="n"/>
      <c r="DG522" s="588" t="n"/>
      <c r="DH522" s="588" t="n"/>
      <c r="DI522" s="588" t="n"/>
      <c r="DJ522" s="588" t="n"/>
      <c r="DK522" s="588" t="n"/>
      <c r="DL522" s="588" t="n"/>
      <c r="DM522" s="588" t="n"/>
      <c r="DN522" s="588" t="n"/>
      <c r="DO522" s="588" t="n"/>
      <c r="DP522" s="588" t="n"/>
      <c r="DQ522" s="588" t="n"/>
      <c r="DR522" s="588" t="n"/>
      <c r="DS522" s="588" t="n"/>
      <c r="DT522" s="588" t="n"/>
      <c r="DU522" s="588" t="n"/>
    </row>
    <row r="523">
      <c r="A523" s="737" t="n"/>
      <c r="B523" s="737" t="n"/>
      <c r="C523" s="737" t="n"/>
      <c r="D523" s="737" t="n"/>
      <c r="E523" s="737" t="n"/>
      <c r="F523" s="737" t="n"/>
      <c r="G523" s="737" t="n"/>
      <c r="H523" s="737" t="n"/>
      <c r="I523" s="737" t="n"/>
      <c r="J523" s="737" t="n"/>
      <c r="K523" s="737" t="n"/>
      <c r="L523" s="737" t="n"/>
      <c r="M523" s="737" t="n"/>
      <c r="N523" s="737" t="n"/>
      <c r="O523" s="737" t="n"/>
      <c r="P523" s="737" t="n"/>
      <c r="Q523" s="737" t="n"/>
      <c r="R523" s="737" t="n"/>
      <c r="S523" s="737" t="n"/>
      <c r="T523" s="737" t="n"/>
      <c r="U523" s="737" t="n"/>
      <c r="V523" s="737" t="n"/>
      <c r="W523" s="737" t="n"/>
      <c r="X523" s="737" t="n"/>
      <c r="Y523" s="737" t="n"/>
      <c r="Z523" s="737" t="n"/>
      <c r="AA523" s="737" t="n"/>
      <c r="AB523" s="737" t="n"/>
      <c r="AC523" s="737" t="n"/>
      <c r="AD523" s="737" t="n"/>
      <c r="AE523" s="737" t="n"/>
      <c r="AF523" s="737" t="n"/>
      <c r="AG523" s="737" t="n"/>
      <c r="AH523" s="737" t="n"/>
      <c r="AI523" s="737" t="n"/>
      <c r="AJ523" s="737" t="n"/>
      <c r="AK523" s="588" t="n"/>
      <c r="AL523" s="588" t="n"/>
      <c r="AM523" s="588" t="n"/>
      <c r="AN523" s="588" t="n"/>
      <c r="AO523" s="588" t="n"/>
      <c r="AP523" s="588" t="n"/>
      <c r="AQ523" s="588" t="n"/>
      <c r="AR523" s="588" t="n"/>
      <c r="AS523" s="588" t="n"/>
      <c r="AT523" s="588" t="n"/>
      <c r="AU523" s="588" t="n"/>
      <c r="AV523" s="588" t="n"/>
      <c r="AW523" s="588" t="n"/>
      <c r="AX523" s="588" t="n"/>
      <c r="AY523" s="588" t="n"/>
      <c r="AZ523" s="588" t="n"/>
      <c r="BA523" s="588" t="n"/>
      <c r="BB523" s="588" t="n"/>
      <c r="BC523" s="588" t="n"/>
      <c r="BD523" s="588" t="n"/>
      <c r="BE523" s="588" t="n"/>
      <c r="BF523" s="588" t="n"/>
      <c r="BG523" s="588" t="n"/>
      <c r="BH523" s="588" t="n"/>
      <c r="BI523" s="588" t="n"/>
      <c r="BJ523" s="588" t="n"/>
      <c r="BK523" s="588" t="n"/>
      <c r="BL523" s="588" t="n"/>
      <c r="BM523" s="588" t="n"/>
      <c r="BN523" s="588" t="n"/>
      <c r="BO523" s="588" t="n"/>
      <c r="BP523" s="588" t="n"/>
      <c r="BQ523" s="588" t="n"/>
      <c r="BR523" s="588" t="n"/>
      <c r="BS523" s="588" t="n"/>
      <c r="BT523" s="588" t="n"/>
      <c r="BU523" s="588" t="n"/>
      <c r="BV523" s="588" t="n"/>
      <c r="BW523" s="588" t="n"/>
      <c r="BX523" s="588" t="n"/>
      <c r="BY523" s="588" t="n"/>
      <c r="BZ523" s="588" t="n"/>
      <c r="CA523" s="588" t="n"/>
      <c r="CB523" s="588" t="n"/>
      <c r="CC523" s="588" t="n"/>
      <c r="CD523" s="588" t="n"/>
      <c r="CE523" s="588" t="n"/>
      <c r="CF523" s="588" t="n"/>
      <c r="CG523" s="588" t="n"/>
      <c r="CH523" s="588" t="n"/>
      <c r="CI523" s="588" t="n"/>
      <c r="CJ523" s="588" t="n"/>
      <c r="CK523" s="588" t="n"/>
      <c r="CL523" s="588" t="n"/>
      <c r="CM523" s="588" t="n"/>
      <c r="CN523" s="588" t="n"/>
      <c r="CO523" s="588" t="n"/>
      <c r="CP523" s="588" t="n"/>
      <c r="CQ523" s="588" t="n"/>
      <c r="CR523" s="588" t="n"/>
      <c r="CS523" s="588" t="n"/>
      <c r="CT523" s="588" t="n"/>
      <c r="CU523" s="588" t="n"/>
      <c r="CV523" s="588" t="n"/>
      <c r="CW523" s="588" t="n"/>
      <c r="CX523" s="588" t="n"/>
      <c r="CY523" s="588" t="n"/>
      <c r="CZ523" s="588" t="n"/>
      <c r="DA523" s="588" t="n"/>
      <c r="DB523" s="588" t="n"/>
      <c r="DC523" s="588" t="n"/>
      <c r="DD523" s="588" t="n"/>
      <c r="DE523" s="588" t="n"/>
      <c r="DF523" s="588" t="n"/>
      <c r="DG523" s="588" t="n"/>
      <c r="DH523" s="588" t="n"/>
      <c r="DI523" s="588" t="n"/>
      <c r="DJ523" s="588" t="n"/>
      <c r="DK523" s="588" t="n"/>
      <c r="DL523" s="588" t="n"/>
      <c r="DM523" s="588" t="n"/>
      <c r="DN523" s="588" t="n"/>
      <c r="DO523" s="588" t="n"/>
      <c r="DP523" s="588" t="n"/>
      <c r="DQ523" s="588" t="n"/>
      <c r="DR523" s="588" t="n"/>
      <c r="DS523" s="588" t="n"/>
      <c r="DT523" s="588" t="n"/>
      <c r="DU523" s="588" t="n"/>
    </row>
    <row r="524">
      <c r="A524" s="737" t="n"/>
      <c r="B524" s="737" t="n"/>
      <c r="C524" s="737" t="n"/>
      <c r="D524" s="737" t="n"/>
      <c r="E524" s="737" t="n"/>
      <c r="F524" s="737" t="n"/>
      <c r="G524" s="737" t="n"/>
      <c r="H524" s="737" t="n"/>
      <c r="I524" s="737" t="n"/>
      <c r="J524" s="737" t="n"/>
      <c r="K524" s="737" t="n"/>
      <c r="L524" s="737" t="n"/>
      <c r="M524" s="737" t="n"/>
      <c r="N524" s="737" t="n"/>
      <c r="O524" s="737" t="n"/>
      <c r="P524" s="737" t="n"/>
      <c r="Q524" s="737" t="n"/>
      <c r="R524" s="737" t="n"/>
      <c r="S524" s="737" t="n"/>
      <c r="T524" s="737" t="n"/>
      <c r="U524" s="737" t="n"/>
      <c r="V524" s="737" t="n"/>
      <c r="W524" s="737" t="n"/>
      <c r="X524" s="737" t="n"/>
      <c r="Y524" s="737" t="n"/>
      <c r="Z524" s="737" t="n"/>
      <c r="AA524" s="737" t="n"/>
      <c r="AB524" s="737" t="n"/>
      <c r="AC524" s="737" t="n"/>
      <c r="AD524" s="737" t="n"/>
      <c r="AE524" s="737" t="n"/>
      <c r="AF524" s="737" t="n"/>
      <c r="AG524" s="737" t="n"/>
      <c r="AH524" s="737" t="n"/>
      <c r="AI524" s="737" t="n"/>
      <c r="AJ524" s="737" t="n"/>
      <c r="AK524" s="588" t="n"/>
      <c r="AL524" s="588" t="n"/>
      <c r="AM524" s="588" t="n"/>
      <c r="AN524" s="588" t="n"/>
      <c r="AO524" s="588" t="n"/>
      <c r="AP524" s="588" t="n"/>
      <c r="AQ524" s="588" t="n"/>
      <c r="AR524" s="588" t="n"/>
      <c r="AS524" s="588" t="n"/>
      <c r="AT524" s="588" t="n"/>
      <c r="AU524" s="588" t="n"/>
      <c r="AV524" s="588" t="n"/>
      <c r="AW524" s="588" t="n"/>
      <c r="AX524" s="588" t="n"/>
      <c r="AY524" s="588" t="n"/>
      <c r="AZ524" s="588" t="n"/>
      <c r="BA524" s="588" t="n"/>
      <c r="BB524" s="588" t="n"/>
      <c r="BC524" s="588" t="n"/>
      <c r="BD524" s="588" t="n"/>
      <c r="BE524" s="588" t="n"/>
      <c r="BF524" s="588" t="n"/>
      <c r="BG524" s="588" t="n"/>
      <c r="BH524" s="588" t="n"/>
      <c r="BI524" s="588" t="n"/>
      <c r="BJ524" s="588" t="n"/>
      <c r="BK524" s="588" t="n"/>
      <c r="BL524" s="588" t="n"/>
      <c r="BM524" s="588" t="n"/>
      <c r="BN524" s="588" t="n"/>
      <c r="BO524" s="588" t="n"/>
      <c r="BP524" s="588" t="n"/>
      <c r="BQ524" s="588" t="n"/>
      <c r="BR524" s="588" t="n"/>
      <c r="BS524" s="588" t="n"/>
      <c r="BT524" s="588" t="n"/>
      <c r="BU524" s="588" t="n"/>
      <c r="BV524" s="588" t="n"/>
      <c r="BW524" s="588" t="n"/>
      <c r="BX524" s="588" t="n"/>
      <c r="BY524" s="588" t="n"/>
      <c r="BZ524" s="588" t="n"/>
      <c r="CA524" s="588" t="n"/>
      <c r="CB524" s="588" t="n"/>
      <c r="CC524" s="588" t="n"/>
      <c r="CD524" s="588" t="n"/>
      <c r="CE524" s="588" t="n"/>
      <c r="CF524" s="588" t="n"/>
      <c r="CG524" s="588" t="n"/>
      <c r="CH524" s="588" t="n"/>
      <c r="CI524" s="588" t="n"/>
      <c r="CJ524" s="588" t="n"/>
      <c r="CK524" s="588" t="n"/>
      <c r="CL524" s="588" t="n"/>
      <c r="CM524" s="588" t="n"/>
      <c r="CN524" s="588" t="n"/>
      <c r="CO524" s="588" t="n"/>
      <c r="CP524" s="588" t="n"/>
      <c r="CQ524" s="588" t="n"/>
      <c r="CR524" s="588" t="n"/>
      <c r="CS524" s="588" t="n"/>
      <c r="CT524" s="588" t="n"/>
      <c r="CU524" s="588" t="n"/>
      <c r="CV524" s="588" t="n"/>
      <c r="CW524" s="588" t="n"/>
      <c r="CX524" s="588" t="n"/>
      <c r="CY524" s="588" t="n"/>
      <c r="CZ524" s="588" t="n"/>
      <c r="DA524" s="588" t="n"/>
      <c r="DB524" s="588" t="n"/>
      <c r="DC524" s="588" t="n"/>
      <c r="DD524" s="588" t="n"/>
      <c r="DE524" s="588" t="n"/>
      <c r="DF524" s="588" t="n"/>
      <c r="DG524" s="588" t="n"/>
      <c r="DH524" s="588" t="n"/>
      <c r="DI524" s="588" t="n"/>
      <c r="DJ524" s="588" t="n"/>
      <c r="DK524" s="588" t="n"/>
      <c r="DL524" s="588" t="n"/>
      <c r="DM524" s="588" t="n"/>
      <c r="DN524" s="588" t="n"/>
      <c r="DO524" s="588" t="n"/>
      <c r="DP524" s="588" t="n"/>
      <c r="DQ524" s="588" t="n"/>
      <c r="DR524" s="588" t="n"/>
      <c r="DS524" s="588" t="n"/>
      <c r="DT524" s="588" t="n"/>
      <c r="DU524" s="588" t="n"/>
    </row>
    <row r="525">
      <c r="A525" s="737" t="n"/>
      <c r="B525" s="737" t="n"/>
      <c r="C525" s="737" t="n"/>
      <c r="D525" s="737" t="n"/>
      <c r="E525" s="737" t="n"/>
      <c r="F525" s="737" t="n"/>
      <c r="G525" s="737" t="n"/>
      <c r="H525" s="737" t="n"/>
      <c r="I525" s="737" t="n"/>
      <c r="J525" s="737" t="n"/>
      <c r="K525" s="737" t="n"/>
      <c r="L525" s="737" t="n"/>
      <c r="M525" s="737" t="n"/>
      <c r="N525" s="737" t="n"/>
      <c r="O525" s="737" t="n"/>
      <c r="P525" s="737" t="n"/>
      <c r="Q525" s="737" t="n"/>
      <c r="R525" s="737" t="n"/>
      <c r="S525" s="737" t="n"/>
      <c r="T525" s="737" t="n"/>
      <c r="U525" s="737" t="n"/>
      <c r="V525" s="737" t="n"/>
      <c r="W525" s="737" t="n"/>
      <c r="X525" s="737" t="n"/>
      <c r="Y525" s="737" t="n"/>
      <c r="Z525" s="737" t="n"/>
      <c r="AA525" s="737" t="n"/>
      <c r="AB525" s="737" t="n"/>
      <c r="AC525" s="737" t="n"/>
      <c r="AD525" s="737" t="n"/>
      <c r="AE525" s="737" t="n"/>
      <c r="AF525" s="737" t="n"/>
      <c r="AG525" s="737" t="n"/>
      <c r="AH525" s="737" t="n"/>
      <c r="AI525" s="737" t="n"/>
      <c r="AJ525" s="737" t="n"/>
      <c r="AK525" s="588" t="n"/>
      <c r="AL525" s="588" t="n"/>
      <c r="AM525" s="588" t="n"/>
      <c r="AN525" s="588" t="n"/>
      <c r="AO525" s="588" t="n"/>
      <c r="AP525" s="588" t="n"/>
      <c r="AQ525" s="588" t="n"/>
      <c r="AR525" s="588" t="n"/>
      <c r="AS525" s="588" t="n"/>
      <c r="AT525" s="588" t="n"/>
      <c r="AU525" s="588" t="n"/>
      <c r="AV525" s="588" t="n"/>
      <c r="AW525" s="588" t="n"/>
      <c r="AX525" s="588" t="n"/>
      <c r="AY525" s="588" t="n"/>
      <c r="AZ525" s="588" t="n"/>
      <c r="BA525" s="588" t="n"/>
      <c r="BB525" s="588" t="n"/>
      <c r="BC525" s="588" t="n"/>
      <c r="BD525" s="588" t="n"/>
      <c r="BE525" s="588" t="n"/>
      <c r="BF525" s="588" t="n"/>
      <c r="BG525" s="588" t="n"/>
      <c r="BH525" s="588" t="n"/>
      <c r="BI525" s="588" t="n"/>
      <c r="BJ525" s="588" t="n"/>
      <c r="BK525" s="588" t="n"/>
      <c r="BL525" s="588" t="n"/>
      <c r="BM525" s="588" t="n"/>
      <c r="BN525" s="588" t="n"/>
      <c r="BO525" s="588" t="n"/>
      <c r="BP525" s="588" t="n"/>
      <c r="BQ525" s="588" t="n"/>
      <c r="BR525" s="588" t="n"/>
      <c r="BS525" s="588" t="n"/>
      <c r="BT525" s="588" t="n"/>
      <c r="BU525" s="588" t="n"/>
      <c r="BV525" s="588" t="n"/>
      <c r="BW525" s="588" t="n"/>
      <c r="BX525" s="588" t="n"/>
      <c r="BY525" s="588" t="n"/>
      <c r="BZ525" s="588" t="n"/>
      <c r="CA525" s="588" t="n"/>
      <c r="CB525" s="588" t="n"/>
      <c r="CC525" s="588" t="n"/>
      <c r="CD525" s="588" t="n"/>
      <c r="CE525" s="588" t="n"/>
      <c r="CF525" s="588" t="n"/>
      <c r="CG525" s="588" t="n"/>
      <c r="CH525" s="588" t="n"/>
      <c r="CI525" s="588" t="n"/>
      <c r="CJ525" s="588" t="n"/>
      <c r="CK525" s="588" t="n"/>
      <c r="CL525" s="588" t="n"/>
      <c r="CM525" s="588" t="n"/>
      <c r="CN525" s="588" t="n"/>
      <c r="CO525" s="588" t="n"/>
      <c r="CP525" s="588" t="n"/>
      <c r="CQ525" s="588" t="n"/>
      <c r="CR525" s="588" t="n"/>
      <c r="CS525" s="588" t="n"/>
      <c r="CT525" s="588" t="n"/>
      <c r="CU525" s="588" t="n"/>
      <c r="CV525" s="588" t="n"/>
      <c r="CW525" s="588" t="n"/>
      <c r="CX525" s="588" t="n"/>
      <c r="CY525" s="588" t="n"/>
      <c r="CZ525" s="588" t="n"/>
      <c r="DA525" s="588" t="n"/>
      <c r="DB525" s="588" t="n"/>
      <c r="DC525" s="588" t="n"/>
      <c r="DD525" s="588" t="n"/>
      <c r="DE525" s="588" t="n"/>
      <c r="DF525" s="588" t="n"/>
      <c r="DG525" s="588" t="n"/>
      <c r="DH525" s="588" t="n"/>
      <c r="DI525" s="588" t="n"/>
      <c r="DJ525" s="588" t="n"/>
      <c r="DK525" s="588" t="n"/>
      <c r="DL525" s="588" t="n"/>
      <c r="DM525" s="588" t="n"/>
      <c r="DN525" s="588" t="n"/>
      <c r="DO525" s="588" t="n"/>
      <c r="DP525" s="588" t="n"/>
      <c r="DQ525" s="588" t="n"/>
      <c r="DR525" s="588" t="n"/>
      <c r="DS525" s="588" t="n"/>
      <c r="DT525" s="588" t="n"/>
      <c r="DU525" s="588" t="n"/>
    </row>
    <row r="526">
      <c r="A526" s="737" t="n"/>
      <c r="B526" s="737" t="n"/>
      <c r="C526" s="737" t="n"/>
      <c r="D526" s="737" t="n"/>
      <c r="E526" s="737" t="n"/>
      <c r="F526" s="737" t="n"/>
      <c r="G526" s="737" t="n"/>
      <c r="H526" s="737" t="n"/>
      <c r="I526" s="737" t="n"/>
      <c r="J526" s="737" t="n"/>
      <c r="K526" s="737" t="n"/>
      <c r="L526" s="737" t="n"/>
      <c r="M526" s="737" t="n"/>
      <c r="N526" s="737" t="n"/>
      <c r="O526" s="737" t="n"/>
      <c r="P526" s="737" t="n"/>
      <c r="Q526" s="737" t="n"/>
      <c r="R526" s="737" t="n"/>
      <c r="S526" s="737" t="n"/>
      <c r="T526" s="737" t="n"/>
      <c r="U526" s="737" t="n"/>
      <c r="V526" s="737" t="n"/>
      <c r="W526" s="737" t="n"/>
      <c r="X526" s="737" t="n"/>
      <c r="Y526" s="737" t="n"/>
      <c r="Z526" s="737" t="n"/>
      <c r="AA526" s="737" t="n"/>
      <c r="AB526" s="737" t="n"/>
      <c r="AC526" s="737" t="n"/>
      <c r="AD526" s="737" t="n"/>
      <c r="AE526" s="737" t="n"/>
      <c r="AF526" s="737" t="n"/>
      <c r="AG526" s="737" t="n"/>
      <c r="AH526" s="737" t="n"/>
      <c r="AI526" s="737" t="n"/>
      <c r="AJ526" s="737" t="n"/>
      <c r="AK526" s="588" t="n"/>
      <c r="AL526" s="588" t="n"/>
      <c r="AM526" s="588" t="n"/>
      <c r="AN526" s="588" t="n"/>
      <c r="AO526" s="588" t="n"/>
      <c r="AP526" s="588" t="n"/>
      <c r="AQ526" s="588" t="n"/>
      <c r="AR526" s="588" t="n"/>
      <c r="AS526" s="588" t="n"/>
      <c r="AT526" s="588" t="n"/>
      <c r="AU526" s="588" t="n"/>
      <c r="AV526" s="588" t="n"/>
      <c r="AW526" s="588" t="n"/>
      <c r="AX526" s="588" t="n"/>
      <c r="AY526" s="588" t="n"/>
      <c r="AZ526" s="588" t="n"/>
      <c r="BA526" s="588" t="n"/>
      <c r="BB526" s="588" t="n"/>
      <c r="BC526" s="588" t="n"/>
      <c r="BD526" s="588" t="n"/>
      <c r="BE526" s="588" t="n"/>
      <c r="BF526" s="588" t="n"/>
      <c r="BG526" s="588" t="n"/>
      <c r="BH526" s="588" t="n"/>
      <c r="BI526" s="588" t="n"/>
      <c r="BJ526" s="588" t="n"/>
      <c r="BK526" s="588" t="n"/>
      <c r="BL526" s="588" t="n"/>
      <c r="BM526" s="588" t="n"/>
      <c r="BN526" s="588" t="n"/>
      <c r="BO526" s="588" t="n"/>
      <c r="BP526" s="588" t="n"/>
      <c r="BQ526" s="588" t="n"/>
      <c r="BR526" s="588" t="n"/>
      <c r="BS526" s="588" t="n"/>
      <c r="BT526" s="588" t="n"/>
      <c r="BU526" s="588" t="n"/>
      <c r="BV526" s="588" t="n"/>
      <c r="BW526" s="588" t="n"/>
      <c r="BX526" s="588" t="n"/>
      <c r="BY526" s="588" t="n"/>
      <c r="BZ526" s="588" t="n"/>
      <c r="CA526" s="588" t="n"/>
      <c r="CB526" s="588" t="n"/>
      <c r="CC526" s="588" t="n"/>
      <c r="CD526" s="588" t="n"/>
      <c r="CE526" s="588" t="n"/>
      <c r="CF526" s="588" t="n"/>
      <c r="CG526" s="588" t="n"/>
      <c r="CH526" s="588" t="n"/>
      <c r="CI526" s="588" t="n"/>
      <c r="CJ526" s="588" t="n"/>
      <c r="CK526" s="588" t="n"/>
      <c r="CL526" s="588" t="n"/>
      <c r="CM526" s="588" t="n"/>
      <c r="CN526" s="588" t="n"/>
      <c r="CO526" s="588" t="n"/>
      <c r="CP526" s="588" t="n"/>
      <c r="CQ526" s="588" t="n"/>
      <c r="CR526" s="588" t="n"/>
      <c r="CS526" s="588" t="n"/>
      <c r="CT526" s="588" t="n"/>
      <c r="CU526" s="588" t="n"/>
      <c r="CV526" s="588" t="n"/>
      <c r="CW526" s="588" t="n"/>
      <c r="CX526" s="588" t="n"/>
      <c r="CY526" s="588" t="n"/>
      <c r="CZ526" s="588" t="n"/>
      <c r="DA526" s="588" t="n"/>
      <c r="DB526" s="588" t="n"/>
      <c r="DC526" s="588" t="n"/>
      <c r="DD526" s="588" t="n"/>
      <c r="DE526" s="588" t="n"/>
      <c r="DF526" s="588" t="n"/>
      <c r="DG526" s="588" t="n"/>
      <c r="DH526" s="588" t="n"/>
      <c r="DI526" s="588" t="n"/>
      <c r="DJ526" s="588" t="n"/>
      <c r="DK526" s="588" t="n"/>
      <c r="DL526" s="588" t="n"/>
      <c r="DM526" s="588" t="n"/>
      <c r="DN526" s="588" t="n"/>
      <c r="DO526" s="588" t="n"/>
      <c r="DP526" s="588" t="n"/>
      <c r="DQ526" s="588" t="n"/>
      <c r="DR526" s="588" t="n"/>
      <c r="DS526" s="588" t="n"/>
      <c r="DT526" s="588" t="n"/>
      <c r="DU526" s="588" t="n"/>
    </row>
    <row r="527">
      <c r="A527" s="737" t="n"/>
      <c r="B527" s="737" t="n"/>
      <c r="C527" s="737" t="n"/>
      <c r="D527" s="737" t="n"/>
      <c r="E527" s="737" t="n"/>
      <c r="F527" s="737" t="n"/>
      <c r="G527" s="737" t="n"/>
      <c r="H527" s="737" t="n"/>
      <c r="I527" s="737" t="n"/>
      <c r="J527" s="737" t="n"/>
      <c r="K527" s="737" t="n"/>
      <c r="L527" s="737" t="n"/>
      <c r="M527" s="737" t="n"/>
      <c r="N527" s="737" t="n"/>
      <c r="O527" s="737" t="n"/>
      <c r="P527" s="737" t="n"/>
      <c r="Q527" s="737" t="n"/>
      <c r="R527" s="737" t="n"/>
      <c r="S527" s="737" t="n"/>
      <c r="T527" s="737" t="n"/>
      <c r="U527" s="737" t="n"/>
      <c r="V527" s="737" t="n"/>
      <c r="W527" s="737" t="n"/>
      <c r="X527" s="737" t="n"/>
      <c r="Y527" s="737" t="n"/>
      <c r="Z527" s="737" t="n"/>
      <c r="AA527" s="737" t="n"/>
      <c r="AB527" s="737" t="n"/>
      <c r="AC527" s="737" t="n"/>
      <c r="AD527" s="737" t="n"/>
      <c r="AE527" s="737" t="n"/>
      <c r="AF527" s="737" t="n"/>
      <c r="AG527" s="737" t="n"/>
      <c r="AH527" s="737" t="n"/>
      <c r="AI527" s="737" t="n"/>
      <c r="AJ527" s="737" t="n"/>
      <c r="AK527" s="588" t="n"/>
      <c r="AL527" s="588" t="n"/>
      <c r="AM527" s="588" t="n"/>
      <c r="AN527" s="588" t="n"/>
      <c r="AO527" s="588" t="n"/>
      <c r="AP527" s="588" t="n"/>
      <c r="AQ527" s="588" t="n"/>
      <c r="AR527" s="588" t="n"/>
      <c r="AS527" s="588" t="n"/>
      <c r="AT527" s="588" t="n"/>
      <c r="AU527" s="588" t="n"/>
      <c r="AV527" s="588" t="n"/>
      <c r="AW527" s="588" t="n"/>
      <c r="AX527" s="588" t="n"/>
      <c r="AY527" s="588" t="n"/>
      <c r="AZ527" s="588" t="n"/>
      <c r="BA527" s="588" t="n"/>
      <c r="BB527" s="588" t="n"/>
      <c r="BC527" s="588" t="n"/>
      <c r="BD527" s="588" t="n"/>
      <c r="BE527" s="588" t="n"/>
      <c r="BF527" s="588" t="n"/>
      <c r="BG527" s="588" t="n"/>
      <c r="BH527" s="588" t="n"/>
      <c r="BI527" s="588" t="n"/>
      <c r="BJ527" s="588" t="n"/>
      <c r="BK527" s="588" t="n"/>
      <c r="BL527" s="588" t="n"/>
      <c r="BM527" s="588" t="n"/>
      <c r="BN527" s="588" t="n"/>
      <c r="BO527" s="588" t="n"/>
      <c r="BP527" s="588" t="n"/>
      <c r="BQ527" s="588" t="n"/>
      <c r="BR527" s="588" t="n"/>
      <c r="BS527" s="588" t="n"/>
      <c r="BT527" s="588" t="n"/>
      <c r="BU527" s="588" t="n"/>
      <c r="BV527" s="588" t="n"/>
      <c r="BW527" s="588" t="n"/>
      <c r="BX527" s="588" t="n"/>
      <c r="BY527" s="588" t="n"/>
      <c r="BZ527" s="588" t="n"/>
      <c r="CA527" s="588" t="n"/>
      <c r="CB527" s="588" t="n"/>
      <c r="CC527" s="588" t="n"/>
      <c r="CD527" s="588" t="n"/>
      <c r="CE527" s="588" t="n"/>
      <c r="CF527" s="588" t="n"/>
      <c r="CG527" s="588" t="n"/>
      <c r="CH527" s="588" t="n"/>
      <c r="CI527" s="588" t="n"/>
      <c r="CJ527" s="588" t="n"/>
      <c r="CK527" s="588" t="n"/>
      <c r="CL527" s="588" t="n"/>
      <c r="CM527" s="588" t="n"/>
      <c r="CN527" s="588" t="n"/>
      <c r="CO527" s="588" t="n"/>
      <c r="CP527" s="588" t="n"/>
      <c r="CQ527" s="588" t="n"/>
      <c r="CR527" s="588" t="n"/>
      <c r="CS527" s="588" t="n"/>
      <c r="CT527" s="588" t="n"/>
      <c r="CU527" s="588" t="n"/>
      <c r="CV527" s="588" t="n"/>
      <c r="CW527" s="588" t="n"/>
      <c r="CX527" s="588" t="n"/>
      <c r="CY527" s="588" t="n"/>
      <c r="CZ527" s="588" t="n"/>
      <c r="DA527" s="588" t="n"/>
      <c r="DB527" s="588" t="n"/>
      <c r="DC527" s="588" t="n"/>
      <c r="DD527" s="588" t="n"/>
      <c r="DE527" s="588" t="n"/>
      <c r="DF527" s="588" t="n"/>
      <c r="DG527" s="588" t="n"/>
      <c r="DH527" s="588" t="n"/>
      <c r="DI527" s="588" t="n"/>
      <c r="DJ527" s="588" t="n"/>
      <c r="DK527" s="588" t="n"/>
      <c r="DL527" s="588" t="n"/>
      <c r="DM527" s="588" t="n"/>
      <c r="DN527" s="588" t="n"/>
      <c r="DO527" s="588" t="n"/>
      <c r="DP527" s="588" t="n"/>
      <c r="DQ527" s="588" t="n"/>
      <c r="DR527" s="588" t="n"/>
      <c r="DS527" s="588" t="n"/>
      <c r="DT527" s="588" t="n"/>
      <c r="DU527" s="588" t="n"/>
    </row>
    <row r="528">
      <c r="A528" s="737" t="n"/>
      <c r="B528" s="737" t="n"/>
      <c r="C528" s="737" t="n"/>
      <c r="D528" s="737" t="n"/>
      <c r="E528" s="737" t="n"/>
      <c r="F528" s="737" t="n"/>
      <c r="G528" s="737" t="n"/>
      <c r="H528" s="737" t="n"/>
      <c r="I528" s="737" t="n"/>
      <c r="J528" s="737" t="n"/>
      <c r="K528" s="737" t="n"/>
      <c r="L528" s="737" t="n"/>
      <c r="M528" s="737" t="n"/>
      <c r="N528" s="737" t="n"/>
      <c r="O528" s="737" t="n"/>
      <c r="P528" s="737" t="n"/>
      <c r="Q528" s="737" t="n"/>
      <c r="R528" s="737" t="n"/>
      <c r="S528" s="737" t="n"/>
      <c r="T528" s="737" t="n"/>
      <c r="U528" s="737" t="n"/>
      <c r="V528" s="737" t="n"/>
      <c r="W528" s="737" t="n"/>
      <c r="X528" s="737" t="n"/>
      <c r="Y528" s="737" t="n"/>
      <c r="Z528" s="737" t="n"/>
      <c r="AA528" s="737" t="n"/>
      <c r="AB528" s="737" t="n"/>
      <c r="AC528" s="737" t="n"/>
      <c r="AD528" s="737" t="n"/>
      <c r="AE528" s="737" t="n"/>
      <c r="AF528" s="737" t="n"/>
      <c r="AG528" s="737" t="n"/>
      <c r="AH528" s="737" t="n"/>
      <c r="AI528" s="737" t="n"/>
      <c r="AJ528" s="737" t="n"/>
      <c r="AK528" s="588" t="n"/>
      <c r="AL528" s="588" t="n"/>
      <c r="AM528" s="588" t="n"/>
      <c r="AN528" s="588" t="n"/>
      <c r="AO528" s="588" t="n"/>
      <c r="AP528" s="588" t="n"/>
      <c r="AQ528" s="588" t="n"/>
      <c r="AR528" s="588" t="n"/>
      <c r="AS528" s="588" t="n"/>
      <c r="AT528" s="588" t="n"/>
      <c r="AU528" s="588" t="n"/>
      <c r="AV528" s="588" t="n"/>
      <c r="AW528" s="588" t="n"/>
      <c r="AX528" s="588" t="n"/>
      <c r="AY528" s="588" t="n"/>
      <c r="AZ528" s="588" t="n"/>
      <c r="BA528" s="588" t="n"/>
      <c r="BB528" s="588" t="n"/>
      <c r="BC528" s="588" t="n"/>
      <c r="BD528" s="588" t="n"/>
      <c r="BE528" s="588" t="n"/>
      <c r="BF528" s="588" t="n"/>
      <c r="BG528" s="588" t="n"/>
      <c r="BH528" s="588" t="n"/>
      <c r="BI528" s="588" t="n"/>
      <c r="BJ528" s="588" t="n"/>
      <c r="BK528" s="588" t="n"/>
      <c r="BL528" s="588" t="n"/>
      <c r="BM528" s="588" t="n"/>
      <c r="BN528" s="588" t="n"/>
      <c r="BO528" s="588" t="n"/>
      <c r="BP528" s="588" t="n"/>
      <c r="BQ528" s="588" t="n"/>
      <c r="BR528" s="588" t="n"/>
      <c r="BS528" s="588" t="n"/>
      <c r="BT528" s="588" t="n"/>
      <c r="BU528" s="588" t="n"/>
      <c r="BV528" s="588" t="n"/>
      <c r="BW528" s="588" t="n"/>
      <c r="BX528" s="588" t="n"/>
      <c r="BY528" s="588" t="n"/>
      <c r="BZ528" s="588" t="n"/>
      <c r="CA528" s="588" t="n"/>
      <c r="CB528" s="588" t="n"/>
      <c r="CC528" s="588" t="n"/>
      <c r="CD528" s="588" t="n"/>
      <c r="CE528" s="588" t="n"/>
      <c r="CF528" s="588" t="n"/>
      <c r="CG528" s="588" t="n"/>
      <c r="CH528" s="588" t="n"/>
      <c r="CI528" s="588" t="n"/>
      <c r="CJ528" s="588" t="n"/>
      <c r="CK528" s="588" t="n"/>
      <c r="CL528" s="588" t="n"/>
      <c r="CM528" s="588" t="n"/>
      <c r="CN528" s="588" t="n"/>
      <c r="CO528" s="588" t="n"/>
      <c r="CP528" s="588" t="n"/>
      <c r="CQ528" s="588" t="n"/>
      <c r="CR528" s="588" t="n"/>
      <c r="CS528" s="588" t="n"/>
      <c r="CT528" s="588" t="n"/>
      <c r="CU528" s="588" t="n"/>
      <c r="CV528" s="588" t="n"/>
      <c r="CW528" s="588" t="n"/>
      <c r="CX528" s="588" t="n"/>
      <c r="CY528" s="588" t="n"/>
      <c r="CZ528" s="588" t="n"/>
      <c r="DA528" s="588" t="n"/>
      <c r="DB528" s="588" t="n"/>
      <c r="DC528" s="588" t="n"/>
      <c r="DD528" s="588" t="n"/>
      <c r="DE528" s="588" t="n"/>
      <c r="DF528" s="588" t="n"/>
      <c r="DG528" s="588" t="n"/>
      <c r="DH528" s="588" t="n"/>
      <c r="DI528" s="588" t="n"/>
      <c r="DJ528" s="588" t="n"/>
      <c r="DK528" s="588" t="n"/>
      <c r="DL528" s="588" t="n"/>
      <c r="DM528" s="588" t="n"/>
      <c r="DN528" s="588" t="n"/>
      <c r="DO528" s="588" t="n"/>
      <c r="DP528" s="588" t="n"/>
      <c r="DQ528" s="588" t="n"/>
      <c r="DR528" s="588" t="n"/>
      <c r="DS528" s="588" t="n"/>
      <c r="DT528" s="588" t="n"/>
      <c r="DU528" s="588" t="n"/>
    </row>
    <row r="529">
      <c r="A529" s="737" t="n"/>
      <c r="B529" s="737" t="n"/>
      <c r="C529" s="737" t="n"/>
      <c r="D529" s="737" t="n"/>
      <c r="E529" s="737" t="n"/>
      <c r="F529" s="737" t="n"/>
      <c r="G529" s="737" t="n"/>
      <c r="H529" s="737" t="n"/>
      <c r="I529" s="737" t="n"/>
      <c r="J529" s="737" t="n"/>
      <c r="K529" s="737" t="n"/>
      <c r="L529" s="737" t="n"/>
      <c r="M529" s="737" t="n"/>
      <c r="N529" s="737" t="n"/>
      <c r="O529" s="737" t="n"/>
      <c r="P529" s="737" t="n"/>
      <c r="Q529" s="737" t="n"/>
      <c r="R529" s="737" t="n"/>
      <c r="S529" s="737" t="n"/>
      <c r="T529" s="737" t="n"/>
      <c r="U529" s="737" t="n"/>
      <c r="V529" s="737" t="n"/>
      <c r="W529" s="737" t="n"/>
      <c r="X529" s="737" t="n"/>
      <c r="Y529" s="737" t="n"/>
      <c r="Z529" s="737" t="n"/>
      <c r="AA529" s="737" t="n"/>
      <c r="AB529" s="737" t="n"/>
      <c r="AC529" s="737" t="n"/>
      <c r="AD529" s="737" t="n"/>
      <c r="AE529" s="737" t="n"/>
      <c r="AF529" s="737" t="n"/>
      <c r="AG529" s="737" t="n"/>
      <c r="AH529" s="737" t="n"/>
      <c r="AI529" s="737" t="n"/>
      <c r="AJ529" s="737" t="n"/>
      <c r="AK529" s="588" t="n"/>
      <c r="AL529" s="588" t="n"/>
      <c r="AM529" s="588" t="n"/>
      <c r="AN529" s="588" t="n"/>
      <c r="AO529" s="588" t="n"/>
      <c r="AP529" s="588" t="n"/>
      <c r="AQ529" s="588" t="n"/>
      <c r="AR529" s="588" t="n"/>
      <c r="AS529" s="588" t="n"/>
      <c r="AT529" s="588" t="n"/>
      <c r="AU529" s="588" t="n"/>
      <c r="AV529" s="588" t="n"/>
      <c r="AW529" s="588" t="n"/>
      <c r="AX529" s="588" t="n"/>
      <c r="AY529" s="588" t="n"/>
      <c r="AZ529" s="588" t="n"/>
      <c r="BA529" s="588" t="n"/>
      <c r="BB529" s="588" t="n"/>
      <c r="BC529" s="588" t="n"/>
      <c r="BD529" s="588" t="n"/>
      <c r="BE529" s="588" t="n"/>
      <c r="BF529" s="588" t="n"/>
      <c r="BG529" s="588" t="n"/>
      <c r="BH529" s="588" t="n"/>
      <c r="BI529" s="588" t="n"/>
      <c r="BJ529" s="588" t="n"/>
      <c r="BK529" s="588" t="n"/>
      <c r="BL529" s="588" t="n"/>
      <c r="BM529" s="588" t="n"/>
      <c r="BN529" s="588" t="n"/>
      <c r="BO529" s="588" t="n"/>
      <c r="BP529" s="588" t="n"/>
      <c r="BQ529" s="588" t="n"/>
      <c r="BR529" s="588" t="n"/>
      <c r="BS529" s="588" t="n"/>
      <c r="BT529" s="588" t="n"/>
      <c r="BU529" s="588" t="n"/>
      <c r="BV529" s="588" t="n"/>
      <c r="BW529" s="588" t="n"/>
      <c r="BX529" s="588" t="n"/>
      <c r="BY529" s="588" t="n"/>
      <c r="BZ529" s="588" t="n"/>
      <c r="CA529" s="588" t="n"/>
      <c r="CB529" s="588" t="n"/>
      <c r="CC529" s="588" t="n"/>
      <c r="CD529" s="588" t="n"/>
      <c r="CE529" s="588" t="n"/>
      <c r="CF529" s="588" t="n"/>
      <c r="CG529" s="588" t="n"/>
      <c r="CH529" s="588" t="n"/>
      <c r="CI529" s="588" t="n"/>
      <c r="CJ529" s="588" t="n"/>
      <c r="CK529" s="588" t="n"/>
      <c r="CL529" s="588" t="n"/>
      <c r="CM529" s="588" t="n"/>
      <c r="CN529" s="588" t="n"/>
      <c r="CO529" s="588" t="n"/>
      <c r="CP529" s="588" t="n"/>
      <c r="CQ529" s="588" t="n"/>
      <c r="CR529" s="588" t="n"/>
      <c r="CS529" s="588" t="n"/>
      <c r="CT529" s="588" t="n"/>
      <c r="CU529" s="588" t="n"/>
      <c r="CV529" s="588" t="n"/>
      <c r="CW529" s="588" t="n"/>
      <c r="CX529" s="588" t="n"/>
      <c r="CY529" s="588" t="n"/>
      <c r="CZ529" s="588" t="n"/>
      <c r="DA529" s="588" t="n"/>
      <c r="DB529" s="588" t="n"/>
      <c r="DC529" s="588" t="n"/>
      <c r="DD529" s="588" t="n"/>
      <c r="DE529" s="588" t="n"/>
      <c r="DF529" s="588" t="n"/>
      <c r="DG529" s="588" t="n"/>
      <c r="DH529" s="588" t="n"/>
      <c r="DI529" s="588" t="n"/>
      <c r="DJ529" s="588" t="n"/>
      <c r="DK529" s="588" t="n"/>
      <c r="DL529" s="588" t="n"/>
      <c r="DM529" s="588" t="n"/>
      <c r="DN529" s="588" t="n"/>
      <c r="DO529" s="588" t="n"/>
      <c r="DP529" s="588" t="n"/>
      <c r="DQ529" s="588" t="n"/>
      <c r="DR529" s="588" t="n"/>
      <c r="DS529" s="588" t="n"/>
      <c r="DT529" s="588" t="n"/>
      <c r="DU529" s="588" t="n"/>
    </row>
    <row r="530">
      <c r="A530" s="737" t="n"/>
      <c r="B530" s="737" t="n"/>
      <c r="C530" s="737" t="n"/>
      <c r="D530" s="737" t="n"/>
      <c r="E530" s="737" t="n"/>
      <c r="F530" s="737" t="n"/>
      <c r="G530" s="737" t="n"/>
      <c r="H530" s="737" t="n"/>
      <c r="I530" s="737" t="n"/>
      <c r="J530" s="737" t="n"/>
      <c r="K530" s="737" t="n"/>
      <c r="L530" s="737" t="n"/>
      <c r="M530" s="737" t="n"/>
      <c r="N530" s="737" t="n"/>
      <c r="O530" s="737" t="n"/>
      <c r="P530" s="737" t="n"/>
      <c r="Q530" s="737" t="n"/>
      <c r="R530" s="737" t="n"/>
      <c r="S530" s="737" t="n"/>
      <c r="T530" s="737" t="n"/>
      <c r="U530" s="737" t="n"/>
      <c r="V530" s="737" t="n"/>
      <c r="W530" s="737" t="n"/>
      <c r="X530" s="737" t="n"/>
      <c r="Y530" s="737" t="n"/>
      <c r="Z530" s="737" t="n"/>
      <c r="AA530" s="737" t="n"/>
      <c r="AB530" s="737" t="n"/>
      <c r="AC530" s="737" t="n"/>
      <c r="AD530" s="737" t="n"/>
      <c r="AE530" s="737" t="n"/>
      <c r="AF530" s="737" t="n"/>
      <c r="AG530" s="737" t="n"/>
      <c r="AH530" s="737" t="n"/>
      <c r="AI530" s="737" t="n"/>
      <c r="AJ530" s="737" t="n"/>
      <c r="AK530" s="588" t="n"/>
      <c r="AL530" s="588" t="n"/>
      <c r="AM530" s="588" t="n"/>
      <c r="AN530" s="588" t="n"/>
      <c r="AO530" s="588" t="n"/>
      <c r="AP530" s="588" t="n"/>
      <c r="AQ530" s="588" t="n"/>
      <c r="AR530" s="588" t="n"/>
      <c r="AS530" s="588" t="n"/>
      <c r="AT530" s="588" t="n"/>
      <c r="AU530" s="588" t="n"/>
      <c r="AV530" s="588" t="n"/>
      <c r="AW530" s="588" t="n"/>
      <c r="AX530" s="588" t="n"/>
      <c r="AY530" s="588" t="n"/>
      <c r="AZ530" s="588" t="n"/>
      <c r="BA530" s="588" t="n"/>
      <c r="BB530" s="588" t="n"/>
      <c r="BC530" s="588" t="n"/>
      <c r="BD530" s="588" t="n"/>
      <c r="BE530" s="588" t="n"/>
      <c r="BF530" s="588" t="n"/>
      <c r="BG530" s="588" t="n"/>
      <c r="BH530" s="588" t="n"/>
      <c r="BI530" s="588" t="n"/>
      <c r="BJ530" s="588" t="n"/>
      <c r="BK530" s="588" t="n"/>
      <c r="BL530" s="588" t="n"/>
      <c r="BM530" s="588" t="n"/>
      <c r="BN530" s="588" t="n"/>
      <c r="BO530" s="588" t="n"/>
      <c r="BP530" s="588" t="n"/>
      <c r="BQ530" s="588" t="n"/>
      <c r="BR530" s="588" t="n"/>
      <c r="BS530" s="588" t="n"/>
      <c r="BT530" s="588" t="n"/>
      <c r="BU530" s="588" t="n"/>
      <c r="BV530" s="588" t="n"/>
      <c r="BW530" s="588" t="n"/>
      <c r="BX530" s="588" t="n"/>
      <c r="BY530" s="588" t="n"/>
      <c r="BZ530" s="588" t="n"/>
      <c r="CA530" s="588" t="n"/>
      <c r="CB530" s="588" t="n"/>
      <c r="CC530" s="588" t="n"/>
      <c r="CD530" s="588" t="n"/>
      <c r="CE530" s="588" t="n"/>
      <c r="CF530" s="588" t="n"/>
      <c r="CG530" s="588" t="n"/>
      <c r="CH530" s="588" t="n"/>
      <c r="CI530" s="588" t="n"/>
      <c r="CJ530" s="588" t="n"/>
      <c r="CK530" s="588" t="n"/>
      <c r="CL530" s="588" t="n"/>
      <c r="CM530" s="588" t="n"/>
      <c r="CN530" s="588" t="n"/>
      <c r="CO530" s="588" t="n"/>
      <c r="CP530" s="588" t="n"/>
      <c r="CQ530" s="588" t="n"/>
      <c r="CR530" s="588" t="n"/>
      <c r="CS530" s="588" t="n"/>
      <c r="CT530" s="588" t="n"/>
      <c r="CU530" s="588" t="n"/>
      <c r="CV530" s="588" t="n"/>
      <c r="CW530" s="588" t="n"/>
      <c r="CX530" s="588" t="n"/>
      <c r="CY530" s="588" t="n"/>
      <c r="CZ530" s="588" t="n"/>
      <c r="DA530" s="588" t="n"/>
      <c r="DB530" s="588" t="n"/>
      <c r="DC530" s="588" t="n"/>
      <c r="DD530" s="588" t="n"/>
      <c r="DE530" s="588" t="n"/>
      <c r="DF530" s="588" t="n"/>
      <c r="DG530" s="588" t="n"/>
      <c r="DH530" s="588" t="n"/>
      <c r="DI530" s="588" t="n"/>
      <c r="DJ530" s="588" t="n"/>
      <c r="DK530" s="588" t="n"/>
      <c r="DL530" s="588" t="n"/>
      <c r="DM530" s="588" t="n"/>
      <c r="DN530" s="588" t="n"/>
      <c r="DO530" s="588" t="n"/>
      <c r="DP530" s="588" t="n"/>
      <c r="DQ530" s="588" t="n"/>
      <c r="DR530" s="588" t="n"/>
      <c r="DS530" s="588" t="n"/>
      <c r="DT530" s="588" t="n"/>
      <c r="DU530" s="588" t="n"/>
    </row>
    <row r="531">
      <c r="A531" s="737" t="n"/>
      <c r="B531" s="737" t="n"/>
      <c r="C531" s="737" t="n"/>
      <c r="D531" s="737" t="n"/>
      <c r="E531" s="737" t="n"/>
      <c r="F531" s="737" t="n"/>
      <c r="G531" s="737" t="n"/>
      <c r="H531" s="737" t="n"/>
      <c r="I531" s="737" t="n"/>
      <c r="J531" s="737" t="n"/>
      <c r="K531" s="737" t="n"/>
      <c r="L531" s="737" t="n"/>
      <c r="M531" s="737" t="n"/>
      <c r="N531" s="737" t="n"/>
      <c r="O531" s="737" t="n"/>
      <c r="P531" s="737" t="n"/>
      <c r="Q531" s="737" t="n"/>
      <c r="R531" s="737" t="n"/>
      <c r="S531" s="737" t="n"/>
      <c r="T531" s="737" t="n"/>
      <c r="U531" s="737" t="n"/>
      <c r="V531" s="737" t="n"/>
      <c r="W531" s="737" t="n"/>
      <c r="X531" s="737" t="n"/>
      <c r="Y531" s="737" t="n"/>
      <c r="Z531" s="737" t="n"/>
      <c r="AA531" s="737" t="n"/>
      <c r="AB531" s="737" t="n"/>
      <c r="AC531" s="737" t="n"/>
      <c r="AD531" s="737" t="n"/>
      <c r="AE531" s="737" t="n"/>
      <c r="AF531" s="737" t="n"/>
      <c r="AG531" s="737" t="n"/>
      <c r="AH531" s="737" t="n"/>
      <c r="AI531" s="737" t="n"/>
      <c r="AJ531" s="737" t="n"/>
      <c r="AK531" s="588" t="n"/>
      <c r="AL531" s="588" t="n"/>
      <c r="AM531" s="588" t="n"/>
      <c r="AN531" s="588" t="n"/>
      <c r="AO531" s="588" t="n"/>
      <c r="AP531" s="588" t="n"/>
      <c r="AQ531" s="588" t="n"/>
      <c r="AR531" s="588" t="n"/>
      <c r="AS531" s="588" t="n"/>
      <c r="AT531" s="588" t="n"/>
      <c r="AU531" s="588" t="n"/>
      <c r="AV531" s="588" t="n"/>
      <c r="AW531" s="588" t="n"/>
      <c r="AX531" s="588" t="n"/>
      <c r="AY531" s="588" t="n"/>
      <c r="AZ531" s="588" t="n"/>
      <c r="BA531" s="588" t="n"/>
      <c r="BB531" s="588" t="n"/>
      <c r="BC531" s="588" t="n"/>
      <c r="BD531" s="588" t="n"/>
      <c r="BE531" s="588" t="n"/>
      <c r="BF531" s="588" t="n"/>
      <c r="BG531" s="588" t="n"/>
      <c r="BH531" s="588" t="n"/>
      <c r="BI531" s="588" t="n"/>
      <c r="BJ531" s="588" t="n"/>
      <c r="BK531" s="588" t="n"/>
      <c r="BL531" s="588" t="n"/>
      <c r="BM531" s="588" t="n"/>
      <c r="BN531" s="588" t="n"/>
      <c r="BO531" s="588" t="n"/>
      <c r="BP531" s="588" t="n"/>
      <c r="BQ531" s="588" t="n"/>
      <c r="BR531" s="588" t="n"/>
      <c r="BS531" s="588" t="n"/>
      <c r="BT531" s="588" t="n"/>
      <c r="BU531" s="588" t="n"/>
      <c r="BV531" s="588" t="n"/>
      <c r="BW531" s="588" t="n"/>
      <c r="BX531" s="588" t="n"/>
      <c r="BY531" s="588" t="n"/>
      <c r="BZ531" s="588" t="n"/>
      <c r="CA531" s="588" t="n"/>
      <c r="CB531" s="588" t="n"/>
      <c r="CC531" s="588" t="n"/>
      <c r="CD531" s="588" t="n"/>
      <c r="CE531" s="588" t="n"/>
      <c r="CF531" s="588" t="n"/>
      <c r="CG531" s="588" t="n"/>
      <c r="CH531" s="588" t="n"/>
      <c r="CI531" s="588" t="n"/>
      <c r="CJ531" s="588" t="n"/>
      <c r="CK531" s="588" t="n"/>
      <c r="CL531" s="588" t="n"/>
      <c r="CM531" s="588" t="n"/>
      <c r="CN531" s="588" t="n"/>
      <c r="CO531" s="588" t="n"/>
      <c r="CP531" s="588" t="n"/>
      <c r="CQ531" s="588" t="n"/>
      <c r="CR531" s="588" t="n"/>
      <c r="CS531" s="588" t="n"/>
      <c r="CT531" s="588" t="n"/>
      <c r="CU531" s="588" t="n"/>
      <c r="CV531" s="588" t="n"/>
      <c r="CW531" s="588" t="n"/>
      <c r="CX531" s="588" t="n"/>
      <c r="CY531" s="588" t="n"/>
      <c r="CZ531" s="588" t="n"/>
      <c r="DA531" s="588" t="n"/>
      <c r="DB531" s="588" t="n"/>
      <c r="DC531" s="588" t="n"/>
      <c r="DD531" s="588" t="n"/>
      <c r="DE531" s="588" t="n"/>
      <c r="DF531" s="588" t="n"/>
      <c r="DG531" s="588" t="n"/>
      <c r="DH531" s="588" t="n"/>
      <c r="DI531" s="588" t="n"/>
      <c r="DJ531" s="588" t="n"/>
      <c r="DK531" s="588" t="n"/>
      <c r="DL531" s="588" t="n"/>
      <c r="DM531" s="588" t="n"/>
      <c r="DN531" s="588" t="n"/>
      <c r="DO531" s="588" t="n"/>
      <c r="DP531" s="588" t="n"/>
      <c r="DQ531" s="588" t="n"/>
      <c r="DR531" s="588" t="n"/>
      <c r="DS531" s="588" t="n"/>
      <c r="DT531" s="588" t="n"/>
      <c r="DU531" s="588" t="n"/>
    </row>
    <row r="532">
      <c r="A532" s="737" t="n"/>
      <c r="B532" s="737" t="n"/>
      <c r="C532" s="737" t="n"/>
      <c r="D532" s="737" t="n"/>
      <c r="E532" s="737" t="n"/>
      <c r="F532" s="737" t="n"/>
      <c r="G532" s="737" t="n"/>
      <c r="H532" s="737" t="n"/>
      <c r="I532" s="737" t="n"/>
      <c r="J532" s="737" t="n"/>
      <c r="K532" s="737" t="n"/>
      <c r="L532" s="737" t="n"/>
      <c r="M532" s="737" t="n"/>
      <c r="N532" s="737" t="n"/>
      <c r="O532" s="737" t="n"/>
      <c r="P532" s="737" t="n"/>
      <c r="Q532" s="737" t="n"/>
      <c r="R532" s="737" t="n"/>
      <c r="S532" s="737" t="n"/>
      <c r="T532" s="737" t="n"/>
      <c r="U532" s="737" t="n"/>
      <c r="V532" s="737" t="n"/>
      <c r="W532" s="737" t="n"/>
      <c r="X532" s="737" t="n"/>
      <c r="Y532" s="737" t="n"/>
      <c r="Z532" s="737" t="n"/>
      <c r="AA532" s="737" t="n"/>
      <c r="AB532" s="737" t="n"/>
      <c r="AC532" s="737" t="n"/>
      <c r="AD532" s="737" t="n"/>
      <c r="AE532" s="737" t="n"/>
      <c r="AF532" s="737" t="n"/>
      <c r="AG532" s="737" t="n"/>
      <c r="AH532" s="737" t="n"/>
      <c r="AI532" s="737" t="n"/>
      <c r="AJ532" s="737" t="n"/>
      <c r="AK532" s="588" t="n"/>
      <c r="AL532" s="588" t="n"/>
      <c r="AM532" s="588" t="n"/>
      <c r="AN532" s="588" t="n"/>
      <c r="AO532" s="588" t="n"/>
      <c r="AP532" s="588" t="n"/>
      <c r="AQ532" s="588" t="n"/>
      <c r="AR532" s="588" t="n"/>
      <c r="AS532" s="588" t="n"/>
      <c r="AT532" s="588" t="n"/>
      <c r="AU532" s="588" t="n"/>
      <c r="AV532" s="588" t="n"/>
      <c r="AW532" s="588" t="n"/>
      <c r="AX532" s="588" t="n"/>
      <c r="AY532" s="588" t="n"/>
      <c r="AZ532" s="588" t="n"/>
      <c r="BA532" s="588" t="n"/>
      <c r="BB532" s="588" t="n"/>
      <c r="BC532" s="588" t="n"/>
      <c r="BD532" s="588" t="n"/>
      <c r="BE532" s="588" t="n"/>
      <c r="BF532" s="588" t="n"/>
      <c r="BG532" s="588" t="n"/>
      <c r="BH532" s="588" t="n"/>
      <c r="BI532" s="588" t="n"/>
      <c r="BJ532" s="588" t="n"/>
      <c r="BK532" s="588" t="n"/>
      <c r="BL532" s="588" t="n"/>
      <c r="BM532" s="588" t="n"/>
      <c r="BN532" s="588" t="n"/>
      <c r="BO532" s="588" t="n"/>
      <c r="BP532" s="588" t="n"/>
      <c r="BQ532" s="588" t="n"/>
      <c r="BR532" s="588" t="n"/>
      <c r="BS532" s="588" t="n"/>
      <c r="BT532" s="588" t="n"/>
      <c r="BU532" s="588" t="n"/>
      <c r="BV532" s="588" t="n"/>
      <c r="BW532" s="588" t="n"/>
      <c r="BX532" s="588" t="n"/>
      <c r="BY532" s="588" t="n"/>
      <c r="BZ532" s="588" t="n"/>
      <c r="CA532" s="588" t="n"/>
      <c r="CB532" s="588" t="n"/>
      <c r="CC532" s="588" t="n"/>
      <c r="CD532" s="588" t="n"/>
      <c r="CE532" s="588" t="n"/>
      <c r="CF532" s="588" t="n"/>
      <c r="CG532" s="588" t="n"/>
      <c r="CH532" s="588" t="n"/>
      <c r="CI532" s="588" t="n"/>
      <c r="CJ532" s="588" t="n"/>
      <c r="CK532" s="588" t="n"/>
      <c r="CL532" s="588" t="n"/>
      <c r="CM532" s="588" t="n"/>
      <c r="CN532" s="588" t="n"/>
      <c r="CO532" s="588" t="n"/>
      <c r="CP532" s="588" t="n"/>
      <c r="CQ532" s="588" t="n"/>
      <c r="CR532" s="588" t="n"/>
      <c r="CS532" s="588" t="n"/>
      <c r="CT532" s="588" t="n"/>
      <c r="CU532" s="588" t="n"/>
      <c r="CV532" s="588" t="n"/>
      <c r="CW532" s="588" t="n"/>
      <c r="CX532" s="588" t="n"/>
      <c r="CY532" s="588" t="n"/>
      <c r="CZ532" s="588" t="n"/>
      <c r="DA532" s="588" t="n"/>
      <c r="DB532" s="588" t="n"/>
      <c r="DC532" s="588" t="n"/>
      <c r="DD532" s="588" t="n"/>
      <c r="DE532" s="588" t="n"/>
      <c r="DF532" s="588" t="n"/>
      <c r="DG532" s="588" t="n"/>
      <c r="DH532" s="588" t="n"/>
      <c r="DI532" s="588" t="n"/>
      <c r="DJ532" s="588" t="n"/>
      <c r="DK532" s="588" t="n"/>
      <c r="DL532" s="588" t="n"/>
      <c r="DM532" s="588" t="n"/>
      <c r="DN532" s="588" t="n"/>
      <c r="DO532" s="588" t="n"/>
      <c r="DP532" s="588" t="n"/>
      <c r="DQ532" s="588" t="n"/>
      <c r="DR532" s="588" t="n"/>
      <c r="DS532" s="588" t="n"/>
      <c r="DT532" s="588" t="n"/>
      <c r="DU532" s="588" t="n"/>
    </row>
    <row r="533">
      <c r="A533" s="737" t="n"/>
      <c r="B533" s="737" t="n"/>
      <c r="C533" s="737" t="n"/>
      <c r="D533" s="737" t="n"/>
      <c r="E533" s="737" t="n"/>
      <c r="F533" s="737" t="n"/>
      <c r="G533" s="737" t="n"/>
      <c r="H533" s="737" t="n"/>
      <c r="I533" s="737" t="n"/>
      <c r="J533" s="737" t="n"/>
      <c r="K533" s="737" t="n"/>
      <c r="L533" s="737" t="n"/>
      <c r="M533" s="737" t="n"/>
      <c r="N533" s="737" t="n"/>
      <c r="O533" s="737" t="n"/>
      <c r="P533" s="737" t="n"/>
      <c r="Q533" s="737" t="n"/>
      <c r="R533" s="737" t="n"/>
      <c r="S533" s="737" t="n"/>
      <c r="T533" s="737" t="n"/>
      <c r="U533" s="737" t="n"/>
      <c r="V533" s="737" t="n"/>
      <c r="W533" s="737" t="n"/>
      <c r="X533" s="737" t="n"/>
      <c r="Y533" s="737" t="n"/>
      <c r="Z533" s="737" t="n"/>
      <c r="AA533" s="737" t="n"/>
      <c r="AB533" s="737" t="n"/>
      <c r="AC533" s="737" t="n"/>
      <c r="AD533" s="737" t="n"/>
      <c r="AE533" s="737" t="n"/>
      <c r="AF533" s="737" t="n"/>
      <c r="AG533" s="737" t="n"/>
      <c r="AH533" s="737" t="n"/>
      <c r="AI533" s="737" t="n"/>
      <c r="AJ533" s="737" t="n"/>
      <c r="AK533" s="588" t="n"/>
      <c r="AL533" s="588" t="n"/>
      <c r="AM533" s="588" t="n"/>
      <c r="AN533" s="588" t="n"/>
      <c r="AO533" s="588" t="n"/>
      <c r="AP533" s="588" t="n"/>
      <c r="AQ533" s="588" t="n"/>
      <c r="AR533" s="588" t="n"/>
      <c r="AS533" s="588" t="n"/>
      <c r="AT533" s="588" t="n"/>
      <c r="AU533" s="588" t="n"/>
      <c r="AV533" s="588" t="n"/>
      <c r="AW533" s="588" t="n"/>
      <c r="AX533" s="588" t="n"/>
      <c r="AY533" s="588" t="n"/>
      <c r="AZ533" s="588" t="n"/>
      <c r="BA533" s="588" t="n"/>
      <c r="BB533" s="588" t="n"/>
      <c r="BC533" s="588" t="n"/>
      <c r="BD533" s="588" t="n"/>
      <c r="BE533" s="588" t="n"/>
      <c r="BF533" s="588" t="n"/>
      <c r="BG533" s="588" t="n"/>
      <c r="BH533" s="588" t="n"/>
      <c r="BI533" s="588" t="n"/>
      <c r="BJ533" s="588" t="n"/>
      <c r="BK533" s="588" t="n"/>
      <c r="BL533" s="588" t="n"/>
      <c r="BM533" s="588" t="n"/>
      <c r="BN533" s="588" t="n"/>
      <c r="BO533" s="588" t="n"/>
      <c r="BP533" s="588" t="n"/>
      <c r="BQ533" s="588" t="n"/>
      <c r="BR533" s="588" t="n"/>
      <c r="BS533" s="588" t="n"/>
      <c r="BT533" s="588" t="n"/>
      <c r="BU533" s="588" t="n"/>
      <c r="BV533" s="588" t="n"/>
      <c r="BW533" s="588" t="n"/>
      <c r="BX533" s="588" t="n"/>
      <c r="BY533" s="588" t="n"/>
      <c r="BZ533" s="588" t="n"/>
      <c r="CA533" s="588" t="n"/>
      <c r="CB533" s="588" t="n"/>
      <c r="CC533" s="588" t="n"/>
      <c r="CD533" s="588" t="n"/>
      <c r="CE533" s="588" t="n"/>
      <c r="CF533" s="588" t="n"/>
      <c r="CG533" s="588" t="n"/>
      <c r="CH533" s="588" t="n"/>
      <c r="CI533" s="588" t="n"/>
      <c r="CJ533" s="588" t="n"/>
      <c r="CK533" s="588" t="n"/>
      <c r="CL533" s="588" t="n"/>
      <c r="CM533" s="588" t="n"/>
      <c r="CN533" s="588" t="n"/>
      <c r="CO533" s="588" t="n"/>
      <c r="CP533" s="588" t="n"/>
      <c r="CQ533" s="588" t="n"/>
      <c r="CR533" s="588" t="n"/>
      <c r="CS533" s="588" t="n"/>
      <c r="CT533" s="588" t="n"/>
      <c r="CU533" s="588" t="n"/>
      <c r="CV533" s="588" t="n"/>
      <c r="CW533" s="588" t="n"/>
      <c r="CX533" s="588" t="n"/>
      <c r="CY533" s="588" t="n"/>
      <c r="CZ533" s="588" t="n"/>
      <c r="DA533" s="588" t="n"/>
      <c r="DB533" s="588" t="n"/>
      <c r="DC533" s="588" t="n"/>
      <c r="DD533" s="588" t="n"/>
      <c r="DE533" s="588" t="n"/>
      <c r="DF533" s="588" t="n"/>
      <c r="DG533" s="588" t="n"/>
      <c r="DH533" s="588" t="n"/>
      <c r="DI533" s="588" t="n"/>
      <c r="DJ533" s="588" t="n"/>
      <c r="DK533" s="588" t="n"/>
      <c r="DL533" s="588" t="n"/>
      <c r="DM533" s="588" t="n"/>
      <c r="DN533" s="588" t="n"/>
      <c r="DO533" s="588" t="n"/>
      <c r="DP533" s="588" t="n"/>
      <c r="DQ533" s="588" t="n"/>
      <c r="DR533" s="588" t="n"/>
      <c r="DS533" s="588" t="n"/>
      <c r="DT533" s="588" t="n"/>
      <c r="DU533" s="588" t="n"/>
    </row>
    <row r="534">
      <c r="A534" s="737" t="n"/>
      <c r="B534" s="737" t="n"/>
      <c r="C534" s="737" t="n"/>
      <c r="D534" s="737" t="n"/>
      <c r="E534" s="737" t="n"/>
      <c r="F534" s="737" t="n"/>
      <c r="G534" s="737" t="n"/>
      <c r="H534" s="737" t="n"/>
      <c r="I534" s="737" t="n"/>
      <c r="J534" s="737" t="n"/>
      <c r="K534" s="737" t="n"/>
      <c r="L534" s="737" t="n"/>
      <c r="M534" s="737" t="n"/>
      <c r="N534" s="737" t="n"/>
      <c r="O534" s="737" t="n"/>
      <c r="P534" s="737" t="n"/>
      <c r="Q534" s="737" t="n"/>
      <c r="R534" s="737" t="n"/>
      <c r="S534" s="737" t="n"/>
      <c r="T534" s="737" t="n"/>
      <c r="U534" s="737" t="n"/>
      <c r="V534" s="737" t="n"/>
      <c r="W534" s="737" t="n"/>
      <c r="X534" s="737" t="n"/>
      <c r="Y534" s="737" t="n"/>
      <c r="Z534" s="737" t="n"/>
      <c r="AA534" s="737" t="n"/>
      <c r="AB534" s="737" t="n"/>
      <c r="AC534" s="737" t="n"/>
      <c r="AD534" s="737" t="n"/>
      <c r="AE534" s="737" t="n"/>
      <c r="AF534" s="737" t="n"/>
      <c r="AG534" s="737" t="n"/>
      <c r="AH534" s="737" t="n"/>
      <c r="AI534" s="737" t="n"/>
      <c r="AJ534" s="737" t="n"/>
      <c r="AK534" s="588" t="n"/>
      <c r="AL534" s="588" t="n"/>
      <c r="AM534" s="588" t="n"/>
      <c r="AN534" s="588" t="n"/>
      <c r="AO534" s="588" t="n"/>
      <c r="AP534" s="588" t="n"/>
      <c r="AQ534" s="588" t="n"/>
      <c r="AR534" s="588" t="n"/>
      <c r="AS534" s="588" t="n"/>
      <c r="AT534" s="588" t="n"/>
      <c r="AU534" s="588" t="n"/>
      <c r="AV534" s="588" t="n"/>
      <c r="AW534" s="588" t="n"/>
      <c r="AX534" s="588" t="n"/>
      <c r="AY534" s="588" t="n"/>
      <c r="AZ534" s="588" t="n"/>
      <c r="BA534" s="588" t="n"/>
      <c r="BB534" s="588" t="n"/>
      <c r="BC534" s="588" t="n"/>
      <c r="BD534" s="588" t="n"/>
      <c r="BE534" s="588" t="n"/>
      <c r="BF534" s="588" t="n"/>
      <c r="BG534" s="588" t="n"/>
      <c r="BH534" s="588" t="n"/>
      <c r="BI534" s="588" t="n"/>
      <c r="BJ534" s="588" t="n"/>
      <c r="BK534" s="588" t="n"/>
      <c r="BL534" s="588" t="n"/>
      <c r="BM534" s="588" t="n"/>
      <c r="BN534" s="588" t="n"/>
      <c r="BO534" s="588" t="n"/>
      <c r="BP534" s="588" t="n"/>
      <c r="BQ534" s="588" t="n"/>
      <c r="BR534" s="588" t="n"/>
      <c r="BS534" s="588" t="n"/>
      <c r="BT534" s="588" t="n"/>
      <c r="BU534" s="588" t="n"/>
      <c r="BV534" s="588" t="n"/>
      <c r="BW534" s="588" t="n"/>
      <c r="BX534" s="588" t="n"/>
      <c r="BY534" s="588" t="n"/>
      <c r="BZ534" s="588" t="n"/>
      <c r="CA534" s="588" t="n"/>
      <c r="CB534" s="588" t="n"/>
      <c r="CC534" s="588" t="n"/>
      <c r="CD534" s="588" t="n"/>
      <c r="CE534" s="588" t="n"/>
      <c r="CF534" s="588" t="n"/>
      <c r="CG534" s="588" t="n"/>
      <c r="CH534" s="588" t="n"/>
      <c r="CI534" s="588" t="n"/>
      <c r="CJ534" s="588" t="n"/>
      <c r="CK534" s="588" t="n"/>
      <c r="CL534" s="588" t="n"/>
      <c r="CM534" s="588" t="n"/>
      <c r="CN534" s="588" t="n"/>
      <c r="CO534" s="588" t="n"/>
      <c r="CP534" s="588" t="n"/>
      <c r="CQ534" s="588" t="n"/>
      <c r="CR534" s="588" t="n"/>
      <c r="CS534" s="588" t="n"/>
      <c r="CT534" s="588" t="n"/>
      <c r="CU534" s="588" t="n"/>
      <c r="CV534" s="588" t="n"/>
      <c r="CW534" s="588" t="n"/>
      <c r="CX534" s="588" t="n"/>
      <c r="CY534" s="588" t="n"/>
      <c r="CZ534" s="588" t="n"/>
      <c r="DA534" s="588" t="n"/>
      <c r="DB534" s="588" t="n"/>
      <c r="DC534" s="588" t="n"/>
      <c r="DD534" s="588" t="n"/>
      <c r="DE534" s="588" t="n"/>
      <c r="DF534" s="588" t="n"/>
      <c r="DG534" s="588" t="n"/>
      <c r="DH534" s="588" t="n"/>
      <c r="DI534" s="588" t="n"/>
      <c r="DJ534" s="588" t="n"/>
      <c r="DK534" s="588" t="n"/>
      <c r="DL534" s="588" t="n"/>
      <c r="DM534" s="588" t="n"/>
      <c r="DN534" s="588" t="n"/>
      <c r="DO534" s="588" t="n"/>
      <c r="DP534" s="588" t="n"/>
      <c r="DQ534" s="588" t="n"/>
      <c r="DR534" s="588" t="n"/>
      <c r="DS534" s="588" t="n"/>
      <c r="DT534" s="588" t="n"/>
      <c r="DU534" s="588" t="n"/>
    </row>
    <row r="535">
      <c r="A535" s="737" t="n"/>
      <c r="B535" s="737" t="n"/>
      <c r="C535" s="737" t="n"/>
      <c r="D535" s="737" t="n"/>
      <c r="E535" s="737" t="n"/>
      <c r="F535" s="737" t="n"/>
      <c r="G535" s="737" t="n"/>
      <c r="H535" s="737" t="n"/>
      <c r="I535" s="737" t="n"/>
      <c r="J535" s="737" t="n"/>
      <c r="K535" s="737" t="n"/>
      <c r="L535" s="737" t="n"/>
      <c r="M535" s="737" t="n"/>
      <c r="N535" s="737" t="n"/>
      <c r="O535" s="737" t="n"/>
      <c r="P535" s="737" t="n"/>
      <c r="Q535" s="737" t="n"/>
      <c r="R535" s="737" t="n"/>
      <c r="S535" s="737" t="n"/>
      <c r="T535" s="737" t="n"/>
      <c r="U535" s="737" t="n"/>
      <c r="V535" s="737" t="n"/>
      <c r="W535" s="737" t="n"/>
      <c r="X535" s="737" t="n"/>
      <c r="Y535" s="737" t="n"/>
      <c r="Z535" s="737" t="n"/>
      <c r="AA535" s="737" t="n"/>
      <c r="AB535" s="737" t="n"/>
      <c r="AC535" s="737" t="n"/>
      <c r="AD535" s="737" t="n"/>
      <c r="AE535" s="737" t="n"/>
      <c r="AF535" s="737" t="n"/>
      <c r="AG535" s="737" t="n"/>
      <c r="AH535" s="737" t="n"/>
      <c r="AI535" s="737" t="n"/>
      <c r="AJ535" s="737" t="n"/>
      <c r="AK535" s="588" t="n"/>
      <c r="AL535" s="588" t="n"/>
      <c r="AM535" s="588" t="n"/>
      <c r="AN535" s="588" t="n"/>
      <c r="AO535" s="588" t="n"/>
      <c r="AP535" s="588" t="n"/>
      <c r="AQ535" s="588" t="n"/>
      <c r="AR535" s="588" t="n"/>
      <c r="AS535" s="588" t="n"/>
      <c r="AT535" s="588" t="n"/>
      <c r="AU535" s="588" t="n"/>
      <c r="AV535" s="588" t="n"/>
      <c r="AW535" s="588" t="n"/>
      <c r="AX535" s="588" t="n"/>
      <c r="AY535" s="588" t="n"/>
      <c r="AZ535" s="588" t="n"/>
      <c r="BA535" s="588" t="n"/>
      <c r="BB535" s="588" t="n"/>
      <c r="BC535" s="588" t="n"/>
      <c r="BD535" s="588" t="n"/>
      <c r="BE535" s="588" t="n"/>
      <c r="BF535" s="588" t="n"/>
      <c r="BG535" s="588" t="n"/>
      <c r="BH535" s="588" t="n"/>
      <c r="BI535" s="588" t="n"/>
      <c r="BJ535" s="588" t="n"/>
      <c r="BK535" s="588" t="n"/>
      <c r="BL535" s="588" t="n"/>
      <c r="BM535" s="588" t="n"/>
      <c r="BN535" s="588" t="n"/>
      <c r="BO535" s="588" t="n"/>
      <c r="BP535" s="588" t="n"/>
      <c r="BQ535" s="588" t="n"/>
      <c r="BR535" s="588" t="n"/>
      <c r="BS535" s="588" t="n"/>
      <c r="BT535" s="588" t="n"/>
      <c r="BU535" s="588" t="n"/>
      <c r="BV535" s="588" t="n"/>
      <c r="BW535" s="588" t="n"/>
      <c r="BX535" s="588" t="n"/>
      <c r="BY535" s="588" t="n"/>
      <c r="BZ535" s="588" t="n"/>
      <c r="CA535" s="588" t="n"/>
      <c r="CB535" s="588" t="n"/>
      <c r="CC535" s="588" t="n"/>
      <c r="CD535" s="588" t="n"/>
      <c r="CE535" s="588" t="n"/>
      <c r="CF535" s="588" t="n"/>
      <c r="CG535" s="588" t="n"/>
      <c r="CH535" s="588" t="n"/>
      <c r="CI535" s="588" t="n"/>
      <c r="CJ535" s="588" t="n"/>
      <c r="CK535" s="588" t="n"/>
      <c r="CL535" s="588" t="n"/>
      <c r="CM535" s="588" t="n"/>
      <c r="CN535" s="588" t="n"/>
      <c r="CO535" s="588" t="n"/>
      <c r="CP535" s="588" t="n"/>
      <c r="CQ535" s="588" t="n"/>
      <c r="CR535" s="588" t="n"/>
      <c r="CS535" s="588" t="n"/>
      <c r="CT535" s="588" t="n"/>
      <c r="CU535" s="588" t="n"/>
      <c r="CV535" s="588" t="n"/>
      <c r="CW535" s="588" t="n"/>
      <c r="CX535" s="588" t="n"/>
      <c r="CY535" s="588" t="n"/>
      <c r="CZ535" s="588" t="n"/>
      <c r="DA535" s="588" t="n"/>
      <c r="DB535" s="588" t="n"/>
      <c r="DC535" s="588" t="n"/>
      <c r="DD535" s="588" t="n"/>
      <c r="DE535" s="588" t="n"/>
      <c r="DF535" s="588" t="n"/>
      <c r="DG535" s="588" t="n"/>
      <c r="DH535" s="588" t="n"/>
      <c r="DI535" s="588" t="n"/>
      <c r="DJ535" s="588" t="n"/>
      <c r="DK535" s="588" t="n"/>
      <c r="DL535" s="588" t="n"/>
      <c r="DM535" s="588" t="n"/>
      <c r="DN535" s="588" t="n"/>
      <c r="DO535" s="588" t="n"/>
      <c r="DP535" s="588" t="n"/>
      <c r="DQ535" s="588" t="n"/>
      <c r="DR535" s="588" t="n"/>
      <c r="DS535" s="588" t="n"/>
      <c r="DT535" s="588" t="n"/>
      <c r="DU535" s="588" t="n"/>
    </row>
    <row r="536">
      <c r="A536" s="737" t="n"/>
      <c r="B536" s="737" t="n"/>
      <c r="C536" s="737" t="n"/>
      <c r="D536" s="737" t="n"/>
      <c r="E536" s="737" t="n"/>
      <c r="F536" s="737" t="n"/>
      <c r="G536" s="737" t="n"/>
      <c r="H536" s="737" t="n"/>
      <c r="I536" s="737" t="n"/>
      <c r="J536" s="737" t="n"/>
      <c r="K536" s="737" t="n"/>
      <c r="L536" s="737" t="n"/>
      <c r="M536" s="737" t="n"/>
      <c r="N536" s="737" t="n"/>
      <c r="O536" s="737" t="n"/>
      <c r="P536" s="737" t="n"/>
      <c r="Q536" s="737" t="n"/>
      <c r="R536" s="737" t="n"/>
      <c r="S536" s="737" t="n"/>
      <c r="T536" s="737" t="n"/>
      <c r="U536" s="737" t="n"/>
      <c r="V536" s="737" t="n"/>
      <c r="W536" s="737" t="n"/>
      <c r="X536" s="737" t="n"/>
      <c r="Y536" s="737" t="n"/>
      <c r="Z536" s="737" t="n"/>
      <c r="AA536" s="737" t="n"/>
      <c r="AB536" s="737" t="n"/>
      <c r="AC536" s="737" t="n"/>
      <c r="AD536" s="737" t="n"/>
      <c r="AE536" s="737" t="n"/>
      <c r="AF536" s="737" t="n"/>
      <c r="AG536" s="737" t="n"/>
      <c r="AH536" s="737" t="n"/>
      <c r="AI536" s="737" t="n"/>
      <c r="AJ536" s="737" t="n"/>
      <c r="AK536" s="588" t="n"/>
      <c r="AL536" s="588" t="n"/>
      <c r="AM536" s="588" t="n"/>
      <c r="AN536" s="588" t="n"/>
      <c r="AO536" s="588" t="n"/>
      <c r="AP536" s="588" t="n"/>
      <c r="AQ536" s="588" t="n"/>
      <c r="AR536" s="588" t="n"/>
      <c r="AS536" s="588" t="n"/>
      <c r="AT536" s="588" t="n"/>
      <c r="AU536" s="588" t="n"/>
      <c r="AV536" s="588" t="n"/>
      <c r="AW536" s="588" t="n"/>
      <c r="AX536" s="588" t="n"/>
      <c r="AY536" s="588" t="n"/>
      <c r="AZ536" s="588" t="n"/>
      <c r="BA536" s="588" t="n"/>
      <c r="BB536" s="588" t="n"/>
      <c r="BC536" s="588" t="n"/>
      <c r="BD536" s="588" t="n"/>
      <c r="BE536" s="588" t="n"/>
      <c r="BF536" s="588" t="n"/>
      <c r="BG536" s="588" t="n"/>
      <c r="BH536" s="588" t="n"/>
      <c r="BI536" s="588" t="n"/>
      <c r="BJ536" s="588" t="n"/>
      <c r="BK536" s="588" t="n"/>
      <c r="BL536" s="588" t="n"/>
      <c r="BM536" s="588" t="n"/>
      <c r="BN536" s="588" t="n"/>
      <c r="BO536" s="588" t="n"/>
      <c r="BP536" s="588" t="n"/>
      <c r="BQ536" s="588" t="n"/>
      <c r="BR536" s="588" t="n"/>
      <c r="BS536" s="588" t="n"/>
      <c r="BT536" s="588" t="n"/>
      <c r="BU536" s="588" t="n"/>
      <c r="BV536" s="588" t="n"/>
      <c r="BW536" s="588" t="n"/>
      <c r="BX536" s="588" t="n"/>
      <c r="BY536" s="588" t="n"/>
      <c r="BZ536" s="588" t="n"/>
      <c r="CA536" s="588" t="n"/>
      <c r="CB536" s="588" t="n"/>
      <c r="CC536" s="588" t="n"/>
      <c r="CD536" s="588" t="n"/>
      <c r="CE536" s="588" t="n"/>
      <c r="CF536" s="588" t="n"/>
      <c r="CG536" s="588" t="n"/>
      <c r="CH536" s="588" t="n"/>
      <c r="CI536" s="588" t="n"/>
      <c r="CJ536" s="588" t="n"/>
      <c r="CK536" s="588" t="n"/>
      <c r="CL536" s="588" t="n"/>
      <c r="CM536" s="588" t="n"/>
      <c r="CN536" s="588" t="n"/>
      <c r="CO536" s="588" t="n"/>
      <c r="CP536" s="588" t="n"/>
      <c r="CQ536" s="588" t="n"/>
      <c r="CR536" s="588" t="n"/>
      <c r="CS536" s="588" t="n"/>
      <c r="CT536" s="588" t="n"/>
      <c r="CU536" s="588" t="n"/>
      <c r="CV536" s="588" t="n"/>
      <c r="CW536" s="588" t="n"/>
      <c r="CX536" s="588" t="n"/>
      <c r="CY536" s="588" t="n"/>
      <c r="CZ536" s="588" t="n"/>
      <c r="DA536" s="588" t="n"/>
      <c r="DB536" s="588" t="n"/>
      <c r="DC536" s="588" t="n"/>
      <c r="DD536" s="588" t="n"/>
      <c r="DE536" s="588" t="n"/>
      <c r="DF536" s="588" t="n"/>
      <c r="DG536" s="588" t="n"/>
      <c r="DH536" s="588" t="n"/>
      <c r="DI536" s="588" t="n"/>
      <c r="DJ536" s="588" t="n"/>
      <c r="DK536" s="588" t="n"/>
      <c r="DL536" s="588" t="n"/>
      <c r="DM536" s="588" t="n"/>
      <c r="DN536" s="588" t="n"/>
      <c r="DO536" s="588" t="n"/>
      <c r="DP536" s="588" t="n"/>
      <c r="DQ536" s="588" t="n"/>
      <c r="DR536" s="588" t="n"/>
      <c r="DS536" s="588" t="n"/>
      <c r="DT536" s="588" t="n"/>
      <c r="DU536" s="588" t="n"/>
    </row>
    <row r="537">
      <c r="A537" s="737" t="n"/>
      <c r="B537" s="737" t="n"/>
      <c r="C537" s="737" t="n"/>
      <c r="D537" s="737" t="n"/>
      <c r="E537" s="737" t="n"/>
      <c r="F537" s="737" t="n"/>
      <c r="G537" s="737" t="n"/>
      <c r="H537" s="737" t="n"/>
      <c r="I537" s="737" t="n"/>
      <c r="J537" s="737" t="n"/>
      <c r="K537" s="737" t="n"/>
      <c r="L537" s="737" t="n"/>
      <c r="M537" s="737" t="n"/>
      <c r="N537" s="737" t="n"/>
      <c r="O537" s="737" t="n"/>
      <c r="P537" s="737" t="n"/>
      <c r="Q537" s="737" t="n"/>
      <c r="R537" s="737" t="n"/>
      <c r="S537" s="737" t="n"/>
      <c r="T537" s="737" t="n"/>
      <c r="U537" s="737" t="n"/>
      <c r="V537" s="737" t="n"/>
      <c r="W537" s="737" t="n"/>
      <c r="X537" s="737" t="n"/>
      <c r="Y537" s="737" t="n"/>
      <c r="Z537" s="737" t="n"/>
      <c r="AA537" s="737" t="n"/>
      <c r="AB537" s="737" t="n"/>
      <c r="AC537" s="737" t="n"/>
      <c r="AD537" s="737" t="n"/>
      <c r="AE537" s="737" t="n"/>
      <c r="AF537" s="737" t="n"/>
      <c r="AG537" s="737" t="n"/>
      <c r="AH537" s="737" t="n"/>
      <c r="AI537" s="737" t="n"/>
      <c r="AJ537" s="737" t="n"/>
      <c r="AK537" s="588" t="n"/>
      <c r="AL537" s="588" t="n"/>
      <c r="AM537" s="588" t="n"/>
      <c r="AN537" s="588" t="n"/>
      <c r="AO537" s="588" t="n"/>
      <c r="AP537" s="588" t="n"/>
      <c r="AQ537" s="588" t="n"/>
      <c r="AR537" s="588" t="n"/>
      <c r="AS537" s="588" t="n"/>
      <c r="AT537" s="588" t="n"/>
      <c r="AU537" s="588" t="n"/>
      <c r="AV537" s="588" t="n"/>
      <c r="AW537" s="588" t="n"/>
      <c r="AX537" s="588" t="n"/>
      <c r="AY537" s="588" t="n"/>
      <c r="AZ537" s="588" t="n"/>
      <c r="BA537" s="588" t="n"/>
      <c r="BB537" s="588" t="n"/>
      <c r="BC537" s="588" t="n"/>
      <c r="BD537" s="588" t="n"/>
      <c r="BE537" s="588" t="n"/>
      <c r="BF537" s="588" t="n"/>
      <c r="BG537" s="588" t="n"/>
      <c r="BH537" s="588" t="n"/>
      <c r="BI537" s="588" t="n"/>
      <c r="BJ537" s="588" t="n"/>
      <c r="BK537" s="588" t="n"/>
      <c r="BL537" s="588" t="n"/>
      <c r="BM537" s="588" t="n"/>
      <c r="BN537" s="588" t="n"/>
      <c r="BO537" s="588" t="n"/>
      <c r="BP537" s="588" t="n"/>
      <c r="BQ537" s="588" t="n"/>
      <c r="BR537" s="588" t="n"/>
      <c r="BS537" s="588" t="n"/>
      <c r="BT537" s="588" t="n"/>
      <c r="BU537" s="588" t="n"/>
      <c r="BV537" s="588" t="n"/>
      <c r="BW537" s="588" t="n"/>
      <c r="BX537" s="588" t="n"/>
      <c r="BY537" s="588" t="n"/>
      <c r="BZ537" s="588" t="n"/>
      <c r="CA537" s="588" t="n"/>
      <c r="CB537" s="588" t="n"/>
      <c r="CC537" s="588" t="n"/>
      <c r="CD537" s="588" t="n"/>
      <c r="CE537" s="588" t="n"/>
      <c r="CF537" s="588" t="n"/>
      <c r="CG537" s="588" t="n"/>
      <c r="CH537" s="588" t="n"/>
      <c r="CI537" s="588" t="n"/>
      <c r="CJ537" s="588" t="n"/>
      <c r="CK537" s="588" t="n"/>
      <c r="CL537" s="588" t="n"/>
      <c r="CM537" s="588" t="n"/>
      <c r="CN537" s="588" t="n"/>
      <c r="CO537" s="588" t="n"/>
      <c r="CP537" s="588" t="n"/>
      <c r="CQ537" s="588" t="n"/>
      <c r="CR537" s="588" t="n"/>
      <c r="CS537" s="588" t="n"/>
      <c r="CT537" s="588" t="n"/>
      <c r="CU537" s="588" t="n"/>
      <c r="CV537" s="588" t="n"/>
      <c r="CW537" s="588" t="n"/>
      <c r="CX537" s="588" t="n"/>
      <c r="CY537" s="588" t="n"/>
      <c r="CZ537" s="588" t="n"/>
      <c r="DA537" s="588" t="n"/>
      <c r="DB537" s="588" t="n"/>
      <c r="DC537" s="588" t="n"/>
      <c r="DD537" s="588" t="n"/>
      <c r="DE537" s="588" t="n"/>
      <c r="DF537" s="588" t="n"/>
      <c r="DG537" s="588" t="n"/>
      <c r="DH537" s="588" t="n"/>
      <c r="DI537" s="588" t="n"/>
      <c r="DJ537" s="588" t="n"/>
      <c r="DK537" s="588" t="n"/>
      <c r="DL537" s="588" t="n"/>
      <c r="DM537" s="588" t="n"/>
      <c r="DN537" s="588" t="n"/>
      <c r="DO537" s="588" t="n"/>
      <c r="DP537" s="588" t="n"/>
      <c r="DQ537" s="588" t="n"/>
      <c r="DR537" s="588" t="n"/>
      <c r="DS537" s="588" t="n"/>
      <c r="DT537" s="588" t="n"/>
      <c r="DU537" s="588" t="n"/>
    </row>
    <row r="538">
      <c r="A538" s="737" t="n"/>
      <c r="B538" s="737" t="n"/>
      <c r="C538" s="737" t="n"/>
      <c r="D538" s="737" t="n"/>
      <c r="E538" s="737" t="n"/>
      <c r="F538" s="737" t="n"/>
      <c r="G538" s="737" t="n"/>
      <c r="H538" s="737" t="n"/>
      <c r="I538" s="737" t="n"/>
      <c r="J538" s="737" t="n"/>
      <c r="K538" s="737" t="n"/>
      <c r="L538" s="737" t="n"/>
      <c r="M538" s="737" t="n"/>
      <c r="N538" s="737" t="n"/>
      <c r="O538" s="737" t="n"/>
      <c r="P538" s="737" t="n"/>
      <c r="Q538" s="737" t="n"/>
      <c r="R538" s="737" t="n"/>
      <c r="S538" s="737" t="n"/>
      <c r="T538" s="737" t="n"/>
      <c r="U538" s="737" t="n"/>
      <c r="V538" s="737" t="n"/>
      <c r="W538" s="737" t="n"/>
      <c r="X538" s="737" t="n"/>
      <c r="Y538" s="737" t="n"/>
      <c r="Z538" s="737" t="n"/>
      <c r="AA538" s="737" t="n"/>
      <c r="AB538" s="737" t="n"/>
      <c r="AC538" s="737" t="n"/>
      <c r="AD538" s="737" t="n"/>
      <c r="AE538" s="737" t="n"/>
      <c r="AF538" s="737" t="n"/>
      <c r="AG538" s="737" t="n"/>
      <c r="AH538" s="737" t="n"/>
      <c r="AI538" s="737" t="n"/>
      <c r="AJ538" s="737" t="n"/>
      <c r="AK538" s="588" t="n"/>
      <c r="AL538" s="588" t="n"/>
      <c r="AM538" s="588" t="n"/>
      <c r="AN538" s="588" t="n"/>
      <c r="AO538" s="588" t="n"/>
      <c r="AP538" s="588" t="n"/>
      <c r="AQ538" s="588" t="n"/>
      <c r="AR538" s="588" t="n"/>
      <c r="AS538" s="588" t="n"/>
      <c r="AT538" s="588" t="n"/>
      <c r="AU538" s="588" t="n"/>
      <c r="AV538" s="588" t="n"/>
      <c r="AW538" s="588" t="n"/>
      <c r="AX538" s="588" t="n"/>
      <c r="AY538" s="588" t="n"/>
      <c r="AZ538" s="588" t="n"/>
      <c r="BA538" s="588" t="n"/>
      <c r="BB538" s="588" t="n"/>
      <c r="BC538" s="588" t="n"/>
      <c r="BD538" s="588" t="n"/>
      <c r="BE538" s="588" t="n"/>
      <c r="BF538" s="588" t="n"/>
      <c r="BG538" s="588" t="n"/>
      <c r="BH538" s="588" t="n"/>
      <c r="BI538" s="588" t="n"/>
      <c r="BJ538" s="588" t="n"/>
      <c r="BK538" s="588" t="n"/>
      <c r="BL538" s="588" t="n"/>
      <c r="BM538" s="588" t="n"/>
      <c r="BN538" s="588" t="n"/>
      <c r="BO538" s="588" t="n"/>
      <c r="BP538" s="588" t="n"/>
      <c r="BQ538" s="588" t="n"/>
      <c r="BR538" s="588" t="n"/>
      <c r="BS538" s="588" t="n"/>
      <c r="BT538" s="588" t="n"/>
      <c r="BU538" s="588" t="n"/>
      <c r="BV538" s="588" t="n"/>
      <c r="BW538" s="588" t="n"/>
      <c r="BX538" s="588" t="n"/>
      <c r="BY538" s="588" t="n"/>
      <c r="BZ538" s="588" t="n"/>
      <c r="CA538" s="588" t="n"/>
      <c r="CB538" s="588" t="n"/>
      <c r="CC538" s="588" t="n"/>
      <c r="CD538" s="588" t="n"/>
      <c r="CE538" s="588" t="n"/>
      <c r="CF538" s="588" t="n"/>
      <c r="CG538" s="588" t="n"/>
      <c r="CH538" s="588" t="n"/>
      <c r="CI538" s="588" t="n"/>
      <c r="CJ538" s="588" t="n"/>
      <c r="CK538" s="588" t="n"/>
      <c r="CL538" s="588" t="n"/>
      <c r="CM538" s="588" t="n"/>
      <c r="CN538" s="588" t="n"/>
      <c r="CO538" s="588" t="n"/>
      <c r="CP538" s="588" t="n"/>
      <c r="CQ538" s="588" t="n"/>
      <c r="CR538" s="588" t="n"/>
      <c r="CS538" s="588" t="n"/>
      <c r="CT538" s="588" t="n"/>
      <c r="CU538" s="588" t="n"/>
      <c r="CV538" s="588" t="n"/>
      <c r="CW538" s="588" t="n"/>
      <c r="CX538" s="588" t="n"/>
      <c r="CY538" s="588" t="n"/>
      <c r="CZ538" s="588" t="n"/>
      <c r="DA538" s="588" t="n"/>
      <c r="DB538" s="588" t="n"/>
      <c r="DC538" s="588" t="n"/>
      <c r="DD538" s="588" t="n"/>
      <c r="DE538" s="588" t="n"/>
      <c r="DF538" s="588" t="n"/>
      <c r="DG538" s="588" t="n"/>
      <c r="DH538" s="588" t="n"/>
      <c r="DI538" s="588" t="n"/>
      <c r="DJ538" s="588" t="n"/>
      <c r="DK538" s="588" t="n"/>
      <c r="DL538" s="588" t="n"/>
      <c r="DM538" s="588" t="n"/>
      <c r="DN538" s="588" t="n"/>
      <c r="DO538" s="588" t="n"/>
      <c r="DP538" s="588" t="n"/>
      <c r="DQ538" s="588" t="n"/>
      <c r="DR538" s="588" t="n"/>
      <c r="DS538" s="588" t="n"/>
      <c r="DT538" s="588" t="n"/>
      <c r="DU538" s="588" t="n"/>
    </row>
    <row r="539">
      <c r="A539" s="737" t="n"/>
      <c r="B539" s="737" t="n"/>
      <c r="C539" s="737" t="n"/>
      <c r="D539" s="737" t="n"/>
      <c r="E539" s="737" t="n"/>
      <c r="F539" s="737" t="n"/>
      <c r="G539" s="737" t="n"/>
      <c r="H539" s="737" t="n"/>
      <c r="I539" s="737" t="n"/>
      <c r="J539" s="737" t="n"/>
      <c r="K539" s="737" t="n"/>
      <c r="L539" s="737" t="n"/>
      <c r="M539" s="737" t="n"/>
      <c r="N539" s="737" t="n"/>
      <c r="O539" s="737" t="n"/>
      <c r="P539" s="737" t="n"/>
      <c r="Q539" s="737" t="n"/>
      <c r="R539" s="737" t="n"/>
      <c r="S539" s="737" t="n"/>
      <c r="T539" s="737" t="n"/>
      <c r="U539" s="737" t="n"/>
      <c r="V539" s="737" t="n"/>
      <c r="W539" s="737" t="n"/>
      <c r="X539" s="737" t="n"/>
      <c r="Y539" s="737" t="n"/>
      <c r="Z539" s="737" t="n"/>
      <c r="AA539" s="737" t="n"/>
      <c r="AB539" s="737" t="n"/>
      <c r="AC539" s="737" t="n"/>
      <c r="AD539" s="737" t="n"/>
      <c r="AE539" s="737" t="n"/>
      <c r="AF539" s="737" t="n"/>
      <c r="AG539" s="737" t="n"/>
      <c r="AH539" s="737" t="n"/>
      <c r="AI539" s="737" t="n"/>
      <c r="AJ539" s="737" t="n"/>
      <c r="AK539" s="588" t="n"/>
      <c r="AL539" s="588" t="n"/>
      <c r="AM539" s="588" t="n"/>
      <c r="AN539" s="588" t="n"/>
      <c r="AO539" s="588" t="n"/>
      <c r="AP539" s="588" t="n"/>
      <c r="AQ539" s="588" t="n"/>
      <c r="AR539" s="588" t="n"/>
      <c r="AS539" s="588" t="n"/>
      <c r="AT539" s="588" t="n"/>
      <c r="AU539" s="588" t="n"/>
      <c r="AV539" s="588" t="n"/>
      <c r="AW539" s="588" t="n"/>
      <c r="AX539" s="588" t="n"/>
      <c r="AY539" s="588" t="n"/>
      <c r="AZ539" s="588" t="n"/>
      <c r="BA539" s="588" t="n"/>
      <c r="BB539" s="588" t="n"/>
      <c r="BC539" s="588" t="n"/>
      <c r="BD539" s="588" t="n"/>
      <c r="BE539" s="588" t="n"/>
      <c r="BF539" s="588" t="n"/>
      <c r="BG539" s="588" t="n"/>
      <c r="BH539" s="588" t="n"/>
      <c r="BI539" s="588" t="n"/>
      <c r="BJ539" s="588" t="n"/>
      <c r="BK539" s="588" t="n"/>
      <c r="BL539" s="588" t="n"/>
      <c r="BM539" s="588" t="n"/>
      <c r="BN539" s="588" t="n"/>
      <c r="BO539" s="588" t="n"/>
      <c r="BP539" s="588" t="n"/>
      <c r="BQ539" s="588" t="n"/>
      <c r="BR539" s="588" t="n"/>
      <c r="BS539" s="588" t="n"/>
      <c r="BT539" s="588" t="n"/>
      <c r="BU539" s="588" t="n"/>
      <c r="BV539" s="588" t="n"/>
      <c r="BW539" s="588" t="n"/>
      <c r="BX539" s="588" t="n"/>
      <c r="BY539" s="588" t="n"/>
      <c r="BZ539" s="588" t="n"/>
      <c r="CA539" s="588" t="n"/>
      <c r="CB539" s="588" t="n"/>
      <c r="CC539" s="588" t="n"/>
      <c r="CD539" s="588" t="n"/>
      <c r="CE539" s="588" t="n"/>
      <c r="CF539" s="588" t="n"/>
      <c r="CG539" s="588" t="n"/>
      <c r="CH539" s="588" t="n"/>
      <c r="CI539" s="588" t="n"/>
      <c r="CJ539" s="588" t="n"/>
      <c r="CK539" s="588" t="n"/>
      <c r="CL539" s="588" t="n"/>
      <c r="CM539" s="588" t="n"/>
      <c r="CN539" s="588" t="n"/>
      <c r="CO539" s="588" t="n"/>
      <c r="CP539" s="588" t="n"/>
      <c r="CQ539" s="588" t="n"/>
      <c r="CR539" s="588" t="n"/>
      <c r="CS539" s="588" t="n"/>
      <c r="CT539" s="588" t="n"/>
      <c r="CU539" s="588" t="n"/>
      <c r="CV539" s="588" t="n"/>
      <c r="CW539" s="588" t="n"/>
      <c r="CX539" s="588" t="n"/>
      <c r="CY539" s="588" t="n"/>
      <c r="CZ539" s="588" t="n"/>
      <c r="DA539" s="588" t="n"/>
      <c r="DB539" s="588" t="n"/>
      <c r="DC539" s="588" t="n"/>
      <c r="DD539" s="588" t="n"/>
      <c r="DE539" s="588" t="n"/>
      <c r="DF539" s="588" t="n"/>
      <c r="DG539" s="588" t="n"/>
      <c r="DH539" s="588" t="n"/>
      <c r="DI539" s="588" t="n"/>
      <c r="DJ539" s="588" t="n"/>
      <c r="DK539" s="588" t="n"/>
      <c r="DL539" s="588" t="n"/>
      <c r="DM539" s="588" t="n"/>
      <c r="DN539" s="588" t="n"/>
      <c r="DO539" s="588" t="n"/>
      <c r="DP539" s="588" t="n"/>
      <c r="DQ539" s="588" t="n"/>
      <c r="DR539" s="588" t="n"/>
      <c r="DS539" s="588" t="n"/>
      <c r="DT539" s="588" t="n"/>
      <c r="DU539" s="588" t="n"/>
    </row>
    <row r="540">
      <c r="A540" s="737" t="n"/>
      <c r="B540" s="737" t="n"/>
      <c r="C540" s="737" t="n"/>
      <c r="D540" s="737" t="n"/>
      <c r="E540" s="737" t="n"/>
      <c r="F540" s="737" t="n"/>
      <c r="G540" s="737" t="n"/>
      <c r="H540" s="737" t="n"/>
      <c r="I540" s="737" t="n"/>
      <c r="J540" s="737" t="n"/>
      <c r="K540" s="737" t="n"/>
      <c r="L540" s="737" t="n"/>
      <c r="M540" s="737" t="n"/>
      <c r="N540" s="737" t="n"/>
      <c r="O540" s="737" t="n"/>
      <c r="P540" s="737" t="n"/>
      <c r="Q540" s="737" t="n"/>
      <c r="R540" s="737" t="n"/>
      <c r="S540" s="737" t="n"/>
      <c r="T540" s="737" t="n"/>
      <c r="U540" s="737" t="n"/>
      <c r="V540" s="737" t="n"/>
      <c r="W540" s="737" t="n"/>
      <c r="X540" s="737" t="n"/>
      <c r="Y540" s="737" t="n"/>
      <c r="Z540" s="737" t="n"/>
      <c r="AA540" s="737" t="n"/>
      <c r="AB540" s="737" t="n"/>
      <c r="AC540" s="737" t="n"/>
      <c r="AD540" s="737" t="n"/>
      <c r="AE540" s="737" t="n"/>
      <c r="AF540" s="737" t="n"/>
      <c r="AG540" s="737" t="n"/>
      <c r="AH540" s="737" t="n"/>
      <c r="AI540" s="737" t="n"/>
      <c r="AJ540" s="737" t="n"/>
      <c r="AK540" s="588" t="n"/>
      <c r="AL540" s="588" t="n"/>
      <c r="AM540" s="588" t="n"/>
      <c r="AN540" s="588" t="n"/>
      <c r="AO540" s="588" t="n"/>
      <c r="AP540" s="588" t="n"/>
      <c r="AQ540" s="588" t="n"/>
      <c r="AR540" s="588" t="n"/>
      <c r="AS540" s="588" t="n"/>
      <c r="AT540" s="588" t="n"/>
      <c r="AU540" s="588" t="n"/>
      <c r="AV540" s="588" t="n"/>
      <c r="AW540" s="588" t="n"/>
      <c r="AX540" s="588" t="n"/>
      <c r="AY540" s="588" t="n"/>
      <c r="AZ540" s="588" t="n"/>
      <c r="BA540" s="588" t="n"/>
      <c r="BB540" s="588" t="n"/>
      <c r="BC540" s="588" t="n"/>
      <c r="BD540" s="588" t="n"/>
      <c r="BE540" s="588" t="n"/>
      <c r="BF540" s="588" t="n"/>
      <c r="BG540" s="588" t="n"/>
      <c r="BH540" s="588" t="n"/>
      <c r="BI540" s="588" t="n"/>
      <c r="BJ540" s="588" t="n"/>
      <c r="BK540" s="588" t="n"/>
      <c r="BL540" s="588" t="n"/>
      <c r="BM540" s="588" t="n"/>
      <c r="BN540" s="588" t="n"/>
      <c r="BO540" s="588" t="n"/>
      <c r="BP540" s="588" t="n"/>
      <c r="BQ540" s="588" t="n"/>
      <c r="BR540" s="588" t="n"/>
      <c r="BS540" s="588" t="n"/>
      <c r="BT540" s="588" t="n"/>
      <c r="BU540" s="588" t="n"/>
      <c r="BV540" s="588" t="n"/>
      <c r="BW540" s="588" t="n"/>
      <c r="BX540" s="588" t="n"/>
      <c r="BY540" s="588" t="n"/>
      <c r="BZ540" s="588" t="n"/>
      <c r="CA540" s="588" t="n"/>
      <c r="CB540" s="588" t="n"/>
      <c r="CC540" s="588" t="n"/>
      <c r="CD540" s="588" t="n"/>
      <c r="CE540" s="588" t="n"/>
      <c r="CF540" s="588" t="n"/>
      <c r="CG540" s="588" t="n"/>
      <c r="CH540" s="588" t="n"/>
      <c r="CI540" s="588" t="n"/>
      <c r="CJ540" s="588" t="n"/>
      <c r="CK540" s="588" t="n"/>
      <c r="CL540" s="588" t="n"/>
      <c r="CM540" s="588" t="n"/>
      <c r="CN540" s="588" t="n"/>
      <c r="CO540" s="588" t="n"/>
      <c r="CP540" s="588" t="n"/>
      <c r="CQ540" s="588" t="n"/>
      <c r="CR540" s="588" t="n"/>
      <c r="CS540" s="588" t="n"/>
      <c r="CT540" s="588" t="n"/>
      <c r="CU540" s="588" t="n"/>
      <c r="CV540" s="588" t="n"/>
      <c r="CW540" s="588" t="n"/>
      <c r="CX540" s="588" t="n"/>
      <c r="CY540" s="588" t="n"/>
      <c r="CZ540" s="588" t="n"/>
      <c r="DA540" s="588" t="n"/>
      <c r="DB540" s="588" t="n"/>
      <c r="DC540" s="588" t="n"/>
      <c r="DD540" s="588" t="n"/>
      <c r="DE540" s="588" t="n"/>
      <c r="DF540" s="588" t="n"/>
      <c r="DG540" s="588" t="n"/>
      <c r="DH540" s="588" t="n"/>
      <c r="DI540" s="588" t="n"/>
      <c r="DJ540" s="588" t="n"/>
      <c r="DK540" s="588" t="n"/>
      <c r="DL540" s="588" t="n"/>
      <c r="DM540" s="588" t="n"/>
      <c r="DN540" s="588" t="n"/>
      <c r="DO540" s="588" t="n"/>
      <c r="DP540" s="588" t="n"/>
      <c r="DQ540" s="588" t="n"/>
      <c r="DR540" s="588" t="n"/>
      <c r="DS540" s="588" t="n"/>
      <c r="DT540" s="588" t="n"/>
      <c r="DU540" s="588" t="n"/>
    </row>
    <row r="541">
      <c r="A541" s="737" t="n"/>
      <c r="B541" s="737" t="n"/>
      <c r="C541" s="737" t="n"/>
      <c r="D541" s="737" t="n"/>
      <c r="E541" s="737" t="n"/>
      <c r="F541" s="737" t="n"/>
      <c r="G541" s="737" t="n"/>
      <c r="H541" s="737" t="n"/>
      <c r="I541" s="737" t="n"/>
      <c r="J541" s="737" t="n"/>
      <c r="K541" s="737" t="n"/>
      <c r="L541" s="737" t="n"/>
      <c r="M541" s="737" t="n"/>
      <c r="N541" s="737" t="n"/>
      <c r="O541" s="737" t="n"/>
      <c r="P541" s="737" t="n"/>
      <c r="Q541" s="737" t="n"/>
      <c r="R541" s="737" t="n"/>
      <c r="S541" s="737" t="n"/>
      <c r="T541" s="737" t="n"/>
      <c r="U541" s="737" t="n"/>
      <c r="V541" s="737" t="n"/>
      <c r="W541" s="737" t="n"/>
      <c r="X541" s="737" t="n"/>
      <c r="Y541" s="737" t="n"/>
      <c r="Z541" s="737" t="n"/>
      <c r="AA541" s="737" t="n"/>
      <c r="AB541" s="737" t="n"/>
      <c r="AC541" s="737" t="n"/>
      <c r="AD541" s="737" t="n"/>
      <c r="AE541" s="737" t="n"/>
      <c r="AF541" s="737" t="n"/>
      <c r="AG541" s="737" t="n"/>
      <c r="AH541" s="737" t="n"/>
      <c r="AI541" s="737" t="n"/>
      <c r="AJ541" s="737" t="n"/>
      <c r="AK541" s="588" t="n"/>
      <c r="AL541" s="588" t="n"/>
      <c r="AM541" s="588" t="n"/>
      <c r="AN541" s="588" t="n"/>
      <c r="AO541" s="588" t="n"/>
      <c r="AP541" s="588" t="n"/>
      <c r="AQ541" s="588" t="n"/>
      <c r="AR541" s="588" t="n"/>
      <c r="AS541" s="588" t="n"/>
      <c r="AT541" s="588" t="n"/>
      <c r="AU541" s="588" t="n"/>
      <c r="AV541" s="588" t="n"/>
      <c r="AW541" s="588" t="n"/>
      <c r="AX541" s="588" t="n"/>
      <c r="AY541" s="588" t="n"/>
      <c r="AZ541" s="588" t="n"/>
      <c r="BA541" s="588" t="n"/>
      <c r="BB541" s="588" t="n"/>
      <c r="BC541" s="588" t="n"/>
      <c r="BD541" s="588" t="n"/>
      <c r="BE541" s="588" t="n"/>
      <c r="BF541" s="588" t="n"/>
      <c r="BG541" s="588" t="n"/>
      <c r="BH541" s="588" t="n"/>
      <c r="BI541" s="588" t="n"/>
      <c r="BJ541" s="588" t="n"/>
      <c r="BK541" s="588" t="n"/>
      <c r="BL541" s="588" t="n"/>
      <c r="BM541" s="588" t="n"/>
      <c r="BN541" s="588" t="n"/>
      <c r="BO541" s="588" t="n"/>
      <c r="BP541" s="588" t="n"/>
      <c r="BQ541" s="588" t="n"/>
      <c r="BR541" s="588" t="n"/>
      <c r="BS541" s="588" t="n"/>
      <c r="BT541" s="588" t="n"/>
      <c r="BU541" s="588" t="n"/>
      <c r="BV541" s="588" t="n"/>
      <c r="BW541" s="588" t="n"/>
      <c r="BX541" s="588" t="n"/>
      <c r="BY541" s="588" t="n"/>
      <c r="BZ541" s="588" t="n"/>
      <c r="CA541" s="588" t="n"/>
      <c r="CB541" s="588" t="n"/>
      <c r="CC541" s="588" t="n"/>
      <c r="CD541" s="588" t="n"/>
      <c r="CE541" s="588" t="n"/>
      <c r="CF541" s="588" t="n"/>
      <c r="CG541" s="588" t="n"/>
      <c r="CH541" s="588" t="n"/>
      <c r="CI541" s="588" t="n"/>
      <c r="CJ541" s="588" t="n"/>
      <c r="CK541" s="588" t="n"/>
      <c r="CL541" s="588" t="n"/>
      <c r="CM541" s="588" t="n"/>
      <c r="CN541" s="588" t="n"/>
      <c r="CO541" s="588" t="n"/>
      <c r="CP541" s="588" t="n"/>
      <c r="CQ541" s="588" t="n"/>
      <c r="CR541" s="588" t="n"/>
      <c r="CS541" s="588" t="n"/>
      <c r="CT541" s="588" t="n"/>
      <c r="CU541" s="588" t="n"/>
      <c r="CV541" s="588" t="n"/>
      <c r="CW541" s="588" t="n"/>
      <c r="CX541" s="588" t="n"/>
      <c r="CY541" s="588" t="n"/>
      <c r="CZ541" s="588" t="n"/>
      <c r="DA541" s="588" t="n"/>
      <c r="DB541" s="588" t="n"/>
      <c r="DC541" s="588" t="n"/>
      <c r="DD541" s="588" t="n"/>
      <c r="DE541" s="588" t="n"/>
      <c r="DF541" s="588" t="n"/>
      <c r="DG541" s="588" t="n"/>
      <c r="DH541" s="588" t="n"/>
      <c r="DI541" s="588" t="n"/>
      <c r="DJ541" s="588" t="n"/>
      <c r="DK541" s="588" t="n"/>
      <c r="DL541" s="588" t="n"/>
      <c r="DM541" s="588" t="n"/>
      <c r="DN541" s="588" t="n"/>
      <c r="DO541" s="588" t="n"/>
      <c r="DP541" s="588" t="n"/>
      <c r="DQ541" s="588" t="n"/>
      <c r="DR541" s="588" t="n"/>
      <c r="DS541" s="588" t="n"/>
      <c r="DT541" s="588" t="n"/>
      <c r="DU541" s="588" t="n"/>
    </row>
    <row r="542">
      <c r="A542" s="737" t="n"/>
      <c r="B542" s="737" t="n"/>
      <c r="C542" s="737" t="n"/>
      <c r="D542" s="737" t="n"/>
      <c r="E542" s="737" t="n"/>
      <c r="F542" s="737" t="n"/>
      <c r="G542" s="737" t="n"/>
      <c r="H542" s="737" t="n"/>
      <c r="I542" s="737" t="n"/>
      <c r="J542" s="737" t="n"/>
      <c r="K542" s="737" t="n"/>
      <c r="L542" s="737" t="n"/>
      <c r="M542" s="737" t="n"/>
      <c r="N542" s="737" t="n"/>
      <c r="O542" s="737" t="n"/>
      <c r="P542" s="737" t="n"/>
      <c r="Q542" s="737" t="n"/>
      <c r="R542" s="737" t="n"/>
      <c r="S542" s="737" t="n"/>
      <c r="T542" s="737" t="n"/>
      <c r="U542" s="737" t="n"/>
      <c r="V542" s="737" t="n"/>
      <c r="W542" s="737" t="n"/>
      <c r="X542" s="737" t="n"/>
      <c r="Y542" s="737" t="n"/>
      <c r="Z542" s="737" t="n"/>
      <c r="AA542" s="737" t="n"/>
      <c r="AB542" s="737" t="n"/>
      <c r="AC542" s="737" t="n"/>
      <c r="AD542" s="737" t="n"/>
      <c r="AE542" s="737" t="n"/>
      <c r="AF542" s="737" t="n"/>
      <c r="AG542" s="737" t="n"/>
      <c r="AH542" s="737" t="n"/>
      <c r="AI542" s="737" t="n"/>
      <c r="AJ542" s="737" t="n"/>
      <c r="AK542" s="588" t="n"/>
      <c r="AL542" s="588" t="n"/>
      <c r="AM542" s="588" t="n"/>
      <c r="AN542" s="588" t="n"/>
      <c r="AO542" s="588" t="n"/>
      <c r="AP542" s="588" t="n"/>
      <c r="AQ542" s="588" t="n"/>
      <c r="AR542" s="588" t="n"/>
      <c r="AS542" s="588" t="n"/>
      <c r="AT542" s="588" t="n"/>
      <c r="AU542" s="588" t="n"/>
      <c r="AV542" s="588" t="n"/>
      <c r="AW542" s="588" t="n"/>
      <c r="AX542" s="588" t="n"/>
      <c r="AY542" s="588" t="n"/>
      <c r="AZ542" s="588" t="n"/>
      <c r="BA542" s="588" t="n"/>
      <c r="BB542" s="588" t="n"/>
      <c r="BC542" s="588" t="n"/>
      <c r="BD542" s="588" t="n"/>
      <c r="BE542" s="588" t="n"/>
      <c r="BF542" s="588" t="n"/>
      <c r="BG542" s="588" t="n"/>
      <c r="BH542" s="588" t="n"/>
      <c r="BI542" s="588" t="n"/>
      <c r="BJ542" s="588" t="n"/>
      <c r="BK542" s="588" t="n"/>
      <c r="BL542" s="588" t="n"/>
      <c r="BM542" s="588" t="n"/>
      <c r="BN542" s="588" t="n"/>
      <c r="BO542" s="588" t="n"/>
      <c r="BP542" s="588" t="n"/>
      <c r="BQ542" s="588" t="n"/>
      <c r="BR542" s="588" t="n"/>
      <c r="BS542" s="588" t="n"/>
      <c r="BT542" s="588" t="n"/>
      <c r="BU542" s="588" t="n"/>
      <c r="BV542" s="588" t="n"/>
      <c r="BW542" s="588" t="n"/>
      <c r="BX542" s="588" t="n"/>
      <c r="BY542" s="588" t="n"/>
      <c r="BZ542" s="588" t="n"/>
      <c r="CA542" s="588" t="n"/>
      <c r="CB542" s="588" t="n"/>
      <c r="CC542" s="588" t="n"/>
      <c r="CD542" s="588" t="n"/>
      <c r="CE542" s="588" t="n"/>
      <c r="CF542" s="588" t="n"/>
      <c r="CG542" s="588" t="n"/>
      <c r="CH542" s="588" t="n"/>
      <c r="CI542" s="588" t="n"/>
      <c r="CJ542" s="588" t="n"/>
      <c r="CK542" s="588" t="n"/>
      <c r="CL542" s="588" t="n"/>
      <c r="CM542" s="588" t="n"/>
      <c r="CN542" s="588" t="n"/>
      <c r="CO542" s="588" t="n"/>
      <c r="CP542" s="588" t="n"/>
      <c r="CQ542" s="588" t="n"/>
      <c r="CR542" s="588" t="n"/>
      <c r="CS542" s="588" t="n"/>
      <c r="CT542" s="588" t="n"/>
      <c r="CU542" s="588" t="n"/>
      <c r="CV542" s="588" t="n"/>
      <c r="CW542" s="588" t="n"/>
      <c r="CX542" s="588" t="n"/>
      <c r="CY542" s="588" t="n"/>
      <c r="CZ542" s="588" t="n"/>
      <c r="DA542" s="588" t="n"/>
      <c r="DB542" s="588" t="n"/>
      <c r="DC542" s="588" t="n"/>
      <c r="DD542" s="588" t="n"/>
      <c r="DE542" s="588" t="n"/>
      <c r="DF542" s="588" t="n"/>
      <c r="DG542" s="588" t="n"/>
      <c r="DH542" s="588" t="n"/>
      <c r="DI542" s="588" t="n"/>
      <c r="DJ542" s="588" t="n"/>
      <c r="DK542" s="588" t="n"/>
      <c r="DL542" s="588" t="n"/>
      <c r="DM542" s="588" t="n"/>
      <c r="DN542" s="588" t="n"/>
      <c r="DO542" s="588" t="n"/>
      <c r="DP542" s="588" t="n"/>
      <c r="DQ542" s="588" t="n"/>
      <c r="DR542" s="588" t="n"/>
      <c r="DS542" s="588" t="n"/>
      <c r="DT542" s="588" t="n"/>
      <c r="DU542" s="588" t="n"/>
    </row>
    <row r="543">
      <c r="A543" s="737" t="n"/>
      <c r="B543" s="737" t="n"/>
      <c r="C543" s="737" t="n"/>
      <c r="D543" s="737" t="n"/>
      <c r="E543" s="737" t="n"/>
      <c r="F543" s="737" t="n"/>
      <c r="G543" s="737" t="n"/>
      <c r="H543" s="737" t="n"/>
      <c r="I543" s="737" t="n"/>
      <c r="J543" s="737" t="n"/>
      <c r="K543" s="737" t="n"/>
      <c r="L543" s="737" t="n"/>
      <c r="M543" s="737" t="n"/>
      <c r="N543" s="737" t="n"/>
      <c r="O543" s="737" t="n"/>
      <c r="P543" s="737" t="n"/>
      <c r="Q543" s="737" t="n"/>
      <c r="R543" s="737" t="n"/>
      <c r="S543" s="737" t="n"/>
      <c r="T543" s="737" t="n"/>
      <c r="U543" s="737" t="n"/>
      <c r="V543" s="737" t="n"/>
      <c r="W543" s="737" t="n"/>
      <c r="X543" s="737" t="n"/>
      <c r="Y543" s="737" t="n"/>
      <c r="Z543" s="737" t="n"/>
      <c r="AA543" s="737" t="n"/>
      <c r="AB543" s="737" t="n"/>
      <c r="AC543" s="737" t="n"/>
      <c r="AD543" s="737" t="n"/>
      <c r="AE543" s="737" t="n"/>
      <c r="AF543" s="737" t="n"/>
      <c r="AG543" s="737" t="n"/>
      <c r="AH543" s="737" t="n"/>
      <c r="AI543" s="737" t="n"/>
      <c r="AJ543" s="737" t="n"/>
      <c r="AK543" s="588" t="n"/>
      <c r="AL543" s="588" t="n"/>
      <c r="AM543" s="588" t="n"/>
      <c r="AN543" s="588" t="n"/>
      <c r="AO543" s="588" t="n"/>
      <c r="AP543" s="588" t="n"/>
      <c r="AQ543" s="588" t="n"/>
      <c r="AR543" s="588" t="n"/>
      <c r="AS543" s="588" t="n"/>
      <c r="AT543" s="588" t="n"/>
      <c r="AU543" s="588" t="n"/>
      <c r="AV543" s="588" t="n"/>
      <c r="AW543" s="588" t="n"/>
      <c r="AX543" s="588" t="n"/>
      <c r="AY543" s="588" t="n"/>
      <c r="AZ543" s="588" t="n"/>
      <c r="BA543" s="588" t="n"/>
      <c r="BB543" s="588" t="n"/>
      <c r="BC543" s="588" t="n"/>
      <c r="BD543" s="588" t="n"/>
      <c r="BE543" s="588" t="n"/>
      <c r="BF543" s="588" t="n"/>
      <c r="BG543" s="588" t="n"/>
      <c r="BH543" s="588" t="n"/>
      <c r="BI543" s="588" t="n"/>
      <c r="BJ543" s="588" t="n"/>
      <c r="BK543" s="588" t="n"/>
      <c r="BL543" s="588" t="n"/>
      <c r="BM543" s="588" t="n"/>
      <c r="BN543" s="588" t="n"/>
      <c r="BO543" s="588" t="n"/>
      <c r="BP543" s="588" t="n"/>
      <c r="BQ543" s="588" t="n"/>
      <c r="BR543" s="588" t="n"/>
      <c r="BS543" s="588" t="n"/>
      <c r="BT543" s="588" t="n"/>
      <c r="BU543" s="588" t="n"/>
      <c r="BV543" s="588" t="n"/>
      <c r="BW543" s="588" t="n"/>
      <c r="BX543" s="588" t="n"/>
      <c r="BY543" s="588" t="n"/>
      <c r="BZ543" s="588" t="n"/>
      <c r="CA543" s="588" t="n"/>
      <c r="CB543" s="588" t="n"/>
      <c r="CC543" s="588" t="n"/>
      <c r="CD543" s="588" t="n"/>
      <c r="CE543" s="588" t="n"/>
      <c r="CF543" s="588" t="n"/>
      <c r="CG543" s="588" t="n"/>
      <c r="CH543" s="588" t="n"/>
      <c r="CI543" s="588" t="n"/>
      <c r="CJ543" s="588" t="n"/>
      <c r="CK543" s="588" t="n"/>
      <c r="CL543" s="588" t="n"/>
      <c r="CM543" s="588" t="n"/>
      <c r="CN543" s="588" t="n"/>
      <c r="CO543" s="588" t="n"/>
      <c r="CP543" s="588" t="n"/>
      <c r="CQ543" s="588" t="n"/>
      <c r="CR543" s="588" t="n"/>
      <c r="CS543" s="588" t="n"/>
      <c r="CT543" s="588" t="n"/>
      <c r="CU543" s="588" t="n"/>
      <c r="CV543" s="588" t="n"/>
      <c r="CW543" s="588" t="n"/>
      <c r="CX543" s="588" t="n"/>
      <c r="CY543" s="588" t="n"/>
      <c r="CZ543" s="588" t="n"/>
      <c r="DA543" s="588" t="n"/>
      <c r="DB543" s="588" t="n"/>
      <c r="DC543" s="588" t="n"/>
      <c r="DD543" s="588" t="n"/>
      <c r="DE543" s="588" t="n"/>
      <c r="DF543" s="588" t="n"/>
      <c r="DG543" s="588" t="n"/>
      <c r="DH543" s="588" t="n"/>
      <c r="DI543" s="588" t="n"/>
      <c r="DJ543" s="588" t="n"/>
      <c r="DK543" s="588" t="n"/>
      <c r="DL543" s="588" t="n"/>
      <c r="DM543" s="588" t="n"/>
      <c r="DN543" s="588" t="n"/>
      <c r="DO543" s="588" t="n"/>
      <c r="DP543" s="588" t="n"/>
      <c r="DQ543" s="588" t="n"/>
      <c r="DR543" s="588" t="n"/>
      <c r="DS543" s="588" t="n"/>
      <c r="DT543" s="588" t="n"/>
      <c r="DU543" s="588" t="n"/>
    </row>
    <row r="544">
      <c r="A544" s="737" t="n"/>
      <c r="B544" s="737" t="n"/>
      <c r="C544" s="737" t="n"/>
      <c r="D544" s="737" t="n"/>
      <c r="E544" s="737" t="n"/>
      <c r="F544" s="737" t="n"/>
      <c r="G544" s="737" t="n"/>
      <c r="H544" s="737" t="n"/>
      <c r="I544" s="737" t="n"/>
      <c r="J544" s="737" t="n"/>
      <c r="K544" s="737" t="n"/>
      <c r="L544" s="737" t="n"/>
      <c r="M544" s="737" t="n"/>
      <c r="N544" s="737" t="n"/>
      <c r="O544" s="737" t="n"/>
      <c r="P544" s="737" t="n"/>
      <c r="Q544" s="737" t="n"/>
      <c r="R544" s="737" t="n"/>
      <c r="S544" s="737" t="n"/>
      <c r="T544" s="737" t="n"/>
      <c r="U544" s="737" t="n"/>
      <c r="V544" s="737" t="n"/>
      <c r="W544" s="737" t="n"/>
      <c r="X544" s="737" t="n"/>
      <c r="Y544" s="737" t="n"/>
      <c r="Z544" s="737" t="n"/>
      <c r="AA544" s="737" t="n"/>
      <c r="AB544" s="737" t="n"/>
      <c r="AC544" s="737" t="n"/>
      <c r="AD544" s="737" t="n"/>
      <c r="AE544" s="737" t="n"/>
      <c r="AF544" s="737" t="n"/>
      <c r="AG544" s="737" t="n"/>
      <c r="AH544" s="737" t="n"/>
      <c r="AI544" s="737" t="n"/>
      <c r="AJ544" s="737" t="n"/>
      <c r="AK544" s="588" t="n"/>
      <c r="AL544" s="588" t="n"/>
      <c r="AM544" s="588" t="n"/>
      <c r="AN544" s="588" t="n"/>
      <c r="AO544" s="588" t="n"/>
      <c r="AP544" s="588" t="n"/>
      <c r="AQ544" s="588" t="n"/>
      <c r="AR544" s="588" t="n"/>
      <c r="AS544" s="588" t="n"/>
      <c r="AT544" s="588" t="n"/>
      <c r="AU544" s="588" t="n"/>
      <c r="AV544" s="588" t="n"/>
      <c r="AW544" s="588" t="n"/>
      <c r="AX544" s="588" t="n"/>
      <c r="AY544" s="588" t="n"/>
      <c r="AZ544" s="588" t="n"/>
      <c r="BA544" s="588" t="n"/>
      <c r="BB544" s="588" t="n"/>
      <c r="BC544" s="588" t="n"/>
      <c r="BD544" s="588" t="n"/>
      <c r="BE544" s="588" t="n"/>
      <c r="BF544" s="588" t="n"/>
      <c r="BG544" s="588" t="n"/>
      <c r="BH544" s="588" t="n"/>
      <c r="BI544" s="588" t="n"/>
      <c r="BJ544" s="588" t="n"/>
      <c r="BK544" s="588" t="n"/>
      <c r="BL544" s="588" t="n"/>
      <c r="BM544" s="588" t="n"/>
      <c r="BN544" s="588" t="n"/>
      <c r="BO544" s="588" t="n"/>
      <c r="BP544" s="588" t="n"/>
      <c r="BQ544" s="588" t="n"/>
      <c r="BR544" s="588" t="n"/>
      <c r="BS544" s="588" t="n"/>
      <c r="BT544" s="588" t="n"/>
      <c r="BU544" s="588" t="n"/>
      <c r="BV544" s="588" t="n"/>
      <c r="BW544" s="588" t="n"/>
      <c r="BX544" s="588" t="n"/>
      <c r="BY544" s="588" t="n"/>
      <c r="BZ544" s="588" t="n"/>
      <c r="CA544" s="588" t="n"/>
      <c r="CB544" s="588" t="n"/>
      <c r="CC544" s="588" t="n"/>
      <c r="CD544" s="588" t="n"/>
      <c r="CE544" s="588" t="n"/>
      <c r="CF544" s="588" t="n"/>
      <c r="CG544" s="588" t="n"/>
      <c r="CH544" s="588" t="n"/>
      <c r="CI544" s="588" t="n"/>
      <c r="CJ544" s="588" t="n"/>
      <c r="CK544" s="588" t="n"/>
      <c r="CL544" s="588" t="n"/>
      <c r="CM544" s="588" t="n"/>
      <c r="CN544" s="588" t="n"/>
      <c r="CO544" s="588" t="n"/>
      <c r="CP544" s="588" t="n"/>
      <c r="CQ544" s="588" t="n"/>
      <c r="CR544" s="588" t="n"/>
      <c r="CS544" s="588" t="n"/>
      <c r="CT544" s="588" t="n"/>
      <c r="CU544" s="588" t="n"/>
      <c r="CV544" s="588" t="n"/>
      <c r="CW544" s="588" t="n"/>
      <c r="CX544" s="588" t="n"/>
      <c r="CY544" s="588" t="n"/>
      <c r="CZ544" s="588" t="n"/>
      <c r="DA544" s="588" t="n"/>
      <c r="DB544" s="588" t="n"/>
      <c r="DC544" s="588" t="n"/>
      <c r="DD544" s="588" t="n"/>
      <c r="DE544" s="588" t="n"/>
      <c r="DF544" s="588" t="n"/>
      <c r="DG544" s="588" t="n"/>
      <c r="DH544" s="588" t="n"/>
      <c r="DI544" s="588" t="n"/>
      <c r="DJ544" s="588" t="n"/>
      <c r="DK544" s="588" t="n"/>
      <c r="DL544" s="588" t="n"/>
      <c r="DM544" s="588" t="n"/>
      <c r="DN544" s="588" t="n"/>
      <c r="DO544" s="588" t="n"/>
      <c r="DP544" s="588" t="n"/>
      <c r="DQ544" s="588" t="n"/>
      <c r="DR544" s="588" t="n"/>
      <c r="DS544" s="588" t="n"/>
      <c r="DT544" s="588" t="n"/>
      <c r="DU544" s="588" t="n"/>
    </row>
    <row r="545">
      <c r="A545" s="737" t="n"/>
      <c r="B545" s="737" t="n"/>
      <c r="C545" s="737" t="n"/>
      <c r="D545" s="737" t="n"/>
      <c r="E545" s="737" t="n"/>
      <c r="F545" s="737" t="n"/>
      <c r="G545" s="737" t="n"/>
      <c r="H545" s="737" t="n"/>
      <c r="I545" s="737" t="n"/>
      <c r="J545" s="737" t="n"/>
      <c r="K545" s="737" t="n"/>
      <c r="L545" s="737" t="n"/>
      <c r="M545" s="737" t="n"/>
      <c r="N545" s="737" t="n"/>
      <c r="O545" s="737" t="n"/>
      <c r="P545" s="737" t="n"/>
      <c r="Q545" s="737" t="n"/>
      <c r="R545" s="737" t="n"/>
      <c r="S545" s="737" t="n"/>
      <c r="T545" s="737" t="n"/>
      <c r="U545" s="737" t="n"/>
      <c r="V545" s="737" t="n"/>
      <c r="W545" s="737" t="n"/>
      <c r="X545" s="737" t="n"/>
      <c r="Y545" s="737" t="n"/>
      <c r="Z545" s="737" t="n"/>
      <c r="AA545" s="737" t="n"/>
      <c r="AB545" s="737" t="n"/>
      <c r="AC545" s="737" t="n"/>
      <c r="AD545" s="737" t="n"/>
      <c r="AE545" s="737" t="n"/>
      <c r="AF545" s="737" t="n"/>
      <c r="AG545" s="737" t="n"/>
      <c r="AH545" s="737" t="n"/>
      <c r="AI545" s="737" t="n"/>
      <c r="AJ545" s="737" t="n"/>
      <c r="AK545" s="588" t="n"/>
      <c r="AL545" s="588" t="n"/>
      <c r="AM545" s="588" t="n"/>
      <c r="AN545" s="588" t="n"/>
      <c r="AO545" s="588" t="n"/>
      <c r="AP545" s="588" t="n"/>
      <c r="AQ545" s="588" t="n"/>
      <c r="AR545" s="588" t="n"/>
      <c r="AS545" s="588" t="n"/>
      <c r="AT545" s="588" t="n"/>
      <c r="AU545" s="588" t="n"/>
      <c r="AV545" s="588" t="n"/>
      <c r="AW545" s="588" t="n"/>
      <c r="AX545" s="588" t="n"/>
      <c r="AY545" s="588" t="n"/>
      <c r="AZ545" s="588" t="n"/>
      <c r="BA545" s="588" t="n"/>
      <c r="BB545" s="588" t="n"/>
      <c r="BC545" s="588" t="n"/>
      <c r="BD545" s="588" t="n"/>
      <c r="BE545" s="588" t="n"/>
      <c r="BF545" s="588" t="n"/>
      <c r="BG545" s="588" t="n"/>
      <c r="BH545" s="588" t="n"/>
      <c r="BI545" s="588" t="n"/>
      <c r="BJ545" s="588" t="n"/>
      <c r="BK545" s="588" t="n"/>
      <c r="BL545" s="588" t="n"/>
      <c r="BM545" s="588" t="n"/>
      <c r="BN545" s="588" t="n"/>
      <c r="BO545" s="588" t="n"/>
      <c r="BP545" s="588" t="n"/>
      <c r="BQ545" s="588" t="n"/>
      <c r="BR545" s="588" t="n"/>
      <c r="BS545" s="588" t="n"/>
      <c r="BT545" s="588" t="n"/>
      <c r="BU545" s="588" t="n"/>
      <c r="BV545" s="588" t="n"/>
      <c r="BW545" s="588" t="n"/>
      <c r="BX545" s="588" t="n"/>
      <c r="BY545" s="588" t="n"/>
      <c r="BZ545" s="588" t="n"/>
      <c r="CA545" s="588" t="n"/>
      <c r="CB545" s="588" t="n"/>
      <c r="CC545" s="588" t="n"/>
      <c r="CD545" s="588" t="n"/>
      <c r="CE545" s="588" t="n"/>
      <c r="CF545" s="588" t="n"/>
      <c r="CG545" s="588" t="n"/>
      <c r="CH545" s="588" t="n"/>
      <c r="CI545" s="588" t="n"/>
      <c r="CJ545" s="588" t="n"/>
      <c r="CK545" s="588" t="n"/>
      <c r="CL545" s="588" t="n"/>
      <c r="CM545" s="588" t="n"/>
      <c r="CN545" s="588" t="n"/>
      <c r="CO545" s="588" t="n"/>
      <c r="CP545" s="588" t="n"/>
      <c r="CQ545" s="588" t="n"/>
      <c r="CR545" s="588" t="n"/>
      <c r="CS545" s="588" t="n"/>
      <c r="CT545" s="588" t="n"/>
      <c r="CU545" s="588" t="n"/>
      <c r="CV545" s="588" t="n"/>
      <c r="CW545" s="588" t="n"/>
      <c r="CX545" s="588" t="n"/>
      <c r="CY545" s="588" t="n"/>
      <c r="CZ545" s="588" t="n"/>
      <c r="DA545" s="588" t="n"/>
      <c r="DB545" s="588" t="n"/>
      <c r="DC545" s="588" t="n"/>
      <c r="DD545" s="588" t="n"/>
      <c r="DE545" s="588" t="n"/>
      <c r="DF545" s="588" t="n"/>
      <c r="DG545" s="588" t="n"/>
      <c r="DH545" s="588" t="n"/>
      <c r="DI545" s="588" t="n"/>
      <c r="DJ545" s="588" t="n"/>
      <c r="DK545" s="588" t="n"/>
      <c r="DL545" s="588" t="n"/>
      <c r="DM545" s="588" t="n"/>
      <c r="DN545" s="588" t="n"/>
      <c r="DO545" s="588" t="n"/>
      <c r="DP545" s="588" t="n"/>
      <c r="DQ545" s="588" t="n"/>
      <c r="DR545" s="588" t="n"/>
      <c r="DS545" s="588" t="n"/>
      <c r="DT545" s="588" t="n"/>
      <c r="DU545" s="588" t="n"/>
    </row>
    <row r="546">
      <c r="A546" s="737" t="n"/>
      <c r="B546" s="737" t="n"/>
      <c r="C546" s="737" t="n"/>
      <c r="D546" s="737" t="n"/>
      <c r="E546" s="737" t="n"/>
      <c r="F546" s="737" t="n"/>
      <c r="G546" s="737" t="n"/>
      <c r="H546" s="737" t="n"/>
      <c r="I546" s="737" t="n"/>
      <c r="J546" s="737" t="n"/>
      <c r="K546" s="737" t="n"/>
      <c r="L546" s="737" t="n"/>
      <c r="M546" s="737" t="n"/>
      <c r="N546" s="737" t="n"/>
      <c r="O546" s="737" t="n"/>
      <c r="P546" s="737" t="n"/>
      <c r="Q546" s="737" t="n"/>
      <c r="R546" s="737" t="n"/>
      <c r="S546" s="737" t="n"/>
      <c r="T546" s="737" t="n"/>
      <c r="U546" s="737" t="n"/>
      <c r="V546" s="737" t="n"/>
      <c r="W546" s="737" t="n"/>
      <c r="X546" s="737" t="n"/>
      <c r="Y546" s="737" t="n"/>
      <c r="Z546" s="737" t="n"/>
      <c r="AA546" s="737" t="n"/>
      <c r="AB546" s="737" t="n"/>
      <c r="AC546" s="737" t="n"/>
      <c r="AD546" s="737" t="n"/>
      <c r="AE546" s="737" t="n"/>
      <c r="AF546" s="737" t="n"/>
      <c r="AG546" s="737" t="n"/>
      <c r="AH546" s="737" t="n"/>
      <c r="AI546" s="737" t="n"/>
      <c r="AJ546" s="737" t="n"/>
      <c r="AK546" s="588" t="n"/>
      <c r="AL546" s="588" t="n"/>
      <c r="AM546" s="588" t="n"/>
      <c r="AN546" s="588" t="n"/>
      <c r="AO546" s="588" t="n"/>
      <c r="AP546" s="588" t="n"/>
      <c r="AQ546" s="588" t="n"/>
      <c r="AR546" s="588" t="n"/>
      <c r="AS546" s="588" t="n"/>
      <c r="AT546" s="588" t="n"/>
      <c r="AU546" s="588" t="n"/>
      <c r="AV546" s="588" t="n"/>
      <c r="AW546" s="588" t="n"/>
      <c r="AX546" s="588" t="n"/>
      <c r="AY546" s="588" t="n"/>
      <c r="AZ546" s="588" t="n"/>
      <c r="BA546" s="588" t="n"/>
      <c r="BB546" s="588" t="n"/>
      <c r="BC546" s="588" t="n"/>
      <c r="BD546" s="588" t="n"/>
      <c r="BE546" s="588" t="n"/>
      <c r="BF546" s="588" t="n"/>
      <c r="BG546" s="588" t="n"/>
      <c r="BH546" s="588" t="n"/>
      <c r="BI546" s="588" t="n"/>
      <c r="BJ546" s="588" t="n"/>
      <c r="BK546" s="588" t="n"/>
      <c r="BL546" s="588" t="n"/>
      <c r="BM546" s="588" t="n"/>
      <c r="BN546" s="588" t="n"/>
      <c r="BO546" s="588" t="n"/>
      <c r="BP546" s="588" t="n"/>
      <c r="BQ546" s="588" t="n"/>
      <c r="BR546" s="588" t="n"/>
      <c r="BS546" s="588" t="n"/>
      <c r="BT546" s="588" t="n"/>
      <c r="BU546" s="588" t="n"/>
      <c r="BV546" s="588" t="n"/>
      <c r="BW546" s="588" t="n"/>
      <c r="BX546" s="588" t="n"/>
      <c r="BY546" s="588" t="n"/>
      <c r="BZ546" s="588" t="n"/>
      <c r="CA546" s="588" t="n"/>
      <c r="CB546" s="588" t="n"/>
      <c r="CC546" s="588" t="n"/>
      <c r="CD546" s="588" t="n"/>
      <c r="CE546" s="588" t="n"/>
      <c r="CF546" s="588" t="n"/>
      <c r="CG546" s="588" t="n"/>
      <c r="CH546" s="588" t="n"/>
      <c r="CI546" s="588" t="n"/>
      <c r="CJ546" s="588" t="n"/>
      <c r="CK546" s="588" t="n"/>
      <c r="CL546" s="588" t="n"/>
      <c r="CM546" s="588" t="n"/>
      <c r="CN546" s="588" t="n"/>
      <c r="CO546" s="588" t="n"/>
      <c r="CP546" s="588" t="n"/>
      <c r="CQ546" s="588" t="n"/>
      <c r="CR546" s="588" t="n"/>
      <c r="CS546" s="588" t="n"/>
      <c r="CT546" s="588" t="n"/>
      <c r="CU546" s="588" t="n"/>
      <c r="CV546" s="588" t="n"/>
      <c r="CW546" s="588" t="n"/>
      <c r="CX546" s="588" t="n"/>
      <c r="CY546" s="588" t="n"/>
      <c r="CZ546" s="588" t="n"/>
      <c r="DA546" s="588" t="n"/>
      <c r="DB546" s="588" t="n"/>
      <c r="DC546" s="588" t="n"/>
      <c r="DD546" s="588" t="n"/>
      <c r="DE546" s="588" t="n"/>
      <c r="DF546" s="588" t="n"/>
      <c r="DG546" s="588" t="n"/>
      <c r="DH546" s="588" t="n"/>
      <c r="DI546" s="588" t="n"/>
      <c r="DJ546" s="588" t="n"/>
      <c r="DK546" s="588" t="n"/>
      <c r="DL546" s="588" t="n"/>
      <c r="DM546" s="588" t="n"/>
      <c r="DN546" s="588" t="n"/>
      <c r="DO546" s="588" t="n"/>
      <c r="DP546" s="588" t="n"/>
      <c r="DQ546" s="588" t="n"/>
      <c r="DR546" s="588" t="n"/>
      <c r="DS546" s="588" t="n"/>
      <c r="DT546" s="588" t="n"/>
      <c r="DU546" s="588" t="n"/>
    </row>
    <row r="547">
      <c r="A547" s="737" t="n"/>
      <c r="B547" s="737" t="n"/>
      <c r="C547" s="737" t="n"/>
      <c r="D547" s="737" t="n"/>
      <c r="E547" s="737" t="n"/>
      <c r="F547" s="737" t="n"/>
      <c r="G547" s="737" t="n"/>
      <c r="H547" s="737" t="n"/>
      <c r="I547" s="737" t="n"/>
      <c r="J547" s="737" t="n"/>
      <c r="K547" s="737" t="n"/>
      <c r="L547" s="737" t="n"/>
      <c r="M547" s="737" t="n"/>
      <c r="N547" s="737" t="n"/>
      <c r="O547" s="737" t="n"/>
      <c r="P547" s="737" t="n"/>
      <c r="Q547" s="737" t="n"/>
      <c r="R547" s="737" t="n"/>
      <c r="S547" s="737" t="n"/>
      <c r="T547" s="737" t="n"/>
      <c r="U547" s="737" t="n"/>
      <c r="V547" s="737" t="n"/>
      <c r="W547" s="737" t="n"/>
      <c r="X547" s="737" t="n"/>
      <c r="Y547" s="737" t="n"/>
      <c r="Z547" s="737" t="n"/>
      <c r="AA547" s="737" t="n"/>
      <c r="AB547" s="737" t="n"/>
      <c r="AC547" s="737" t="n"/>
      <c r="AD547" s="737" t="n"/>
      <c r="AE547" s="737" t="n"/>
      <c r="AF547" s="737" t="n"/>
      <c r="AG547" s="737" t="n"/>
      <c r="AH547" s="737" t="n"/>
      <c r="AI547" s="737" t="n"/>
      <c r="AJ547" s="737" t="n"/>
      <c r="AK547" s="588" t="n"/>
      <c r="AL547" s="588" t="n"/>
      <c r="AM547" s="588" t="n"/>
      <c r="AN547" s="588" t="n"/>
      <c r="AO547" s="588" t="n"/>
      <c r="AP547" s="588" t="n"/>
      <c r="AQ547" s="588" t="n"/>
      <c r="AR547" s="588" t="n"/>
      <c r="AS547" s="588" t="n"/>
      <c r="AT547" s="588" t="n"/>
      <c r="AU547" s="588" t="n"/>
      <c r="AV547" s="588" t="n"/>
      <c r="AW547" s="588" t="n"/>
      <c r="AX547" s="588" t="n"/>
      <c r="AY547" s="588" t="n"/>
      <c r="AZ547" s="588" t="n"/>
      <c r="BA547" s="588" t="n"/>
      <c r="BB547" s="588" t="n"/>
      <c r="BC547" s="588" t="n"/>
      <c r="BD547" s="588" t="n"/>
      <c r="BE547" s="588" t="n"/>
      <c r="BF547" s="588" t="n"/>
      <c r="BG547" s="588" t="n"/>
      <c r="BH547" s="588" t="n"/>
      <c r="BI547" s="588" t="n"/>
      <c r="BJ547" s="588" t="n"/>
      <c r="BK547" s="588" t="n"/>
      <c r="BL547" s="588" t="n"/>
      <c r="BM547" s="588" t="n"/>
      <c r="BN547" s="588" t="n"/>
      <c r="BO547" s="588" t="n"/>
      <c r="BP547" s="588" t="n"/>
      <c r="BQ547" s="588" t="n"/>
      <c r="BR547" s="588" t="n"/>
      <c r="BS547" s="588" t="n"/>
      <c r="BT547" s="588" t="n"/>
      <c r="BU547" s="588" t="n"/>
      <c r="BV547" s="588" t="n"/>
      <c r="BW547" s="588" t="n"/>
      <c r="BX547" s="588" t="n"/>
      <c r="BY547" s="588" t="n"/>
      <c r="BZ547" s="588" t="n"/>
      <c r="CA547" s="588" t="n"/>
      <c r="CB547" s="588" t="n"/>
      <c r="CC547" s="588" t="n"/>
      <c r="CD547" s="588" t="n"/>
      <c r="CE547" s="588" t="n"/>
      <c r="CF547" s="588" t="n"/>
      <c r="CG547" s="588" t="n"/>
      <c r="CH547" s="588" t="n"/>
      <c r="CI547" s="588" t="n"/>
      <c r="CJ547" s="588" t="n"/>
      <c r="CK547" s="588" t="n"/>
      <c r="CL547" s="588" t="n"/>
      <c r="CM547" s="588" t="n"/>
      <c r="CN547" s="588" t="n"/>
      <c r="CO547" s="588" t="n"/>
      <c r="CP547" s="588" t="n"/>
      <c r="CQ547" s="588" t="n"/>
      <c r="CR547" s="588" t="n"/>
      <c r="CS547" s="588" t="n"/>
      <c r="CT547" s="588" t="n"/>
      <c r="CU547" s="588" t="n"/>
      <c r="CV547" s="588" t="n"/>
      <c r="CW547" s="588" t="n"/>
      <c r="CX547" s="588" t="n"/>
      <c r="CY547" s="588" t="n"/>
      <c r="CZ547" s="588" t="n"/>
      <c r="DA547" s="588" t="n"/>
      <c r="DB547" s="588" t="n"/>
      <c r="DC547" s="588" t="n"/>
      <c r="DD547" s="588" t="n"/>
      <c r="DE547" s="588" t="n"/>
      <c r="DF547" s="588" t="n"/>
      <c r="DG547" s="588" t="n"/>
      <c r="DH547" s="588" t="n"/>
      <c r="DI547" s="588" t="n"/>
      <c r="DJ547" s="588" t="n"/>
      <c r="DK547" s="588" t="n"/>
      <c r="DL547" s="588" t="n"/>
      <c r="DM547" s="588" t="n"/>
      <c r="DN547" s="588" t="n"/>
      <c r="DO547" s="588" t="n"/>
      <c r="DP547" s="588" t="n"/>
      <c r="DQ547" s="588" t="n"/>
      <c r="DR547" s="588" t="n"/>
      <c r="DS547" s="588" t="n"/>
      <c r="DT547" s="588" t="n"/>
      <c r="DU547" s="588" t="n"/>
    </row>
    <row r="548">
      <c r="A548" s="737" t="n"/>
      <c r="B548" s="737" t="n"/>
      <c r="C548" s="737" t="n"/>
      <c r="D548" s="737" t="n"/>
      <c r="E548" s="737" t="n"/>
      <c r="F548" s="737" t="n"/>
      <c r="G548" s="737" t="n"/>
      <c r="H548" s="737" t="n"/>
      <c r="I548" s="737" t="n"/>
      <c r="J548" s="737" t="n"/>
      <c r="K548" s="737" t="n"/>
      <c r="L548" s="737" t="n"/>
      <c r="M548" s="737" t="n"/>
      <c r="N548" s="737" t="n"/>
      <c r="O548" s="737" t="n"/>
      <c r="P548" s="737" t="n"/>
      <c r="Q548" s="737" t="n"/>
      <c r="R548" s="737" t="n"/>
      <c r="S548" s="737" t="n"/>
      <c r="T548" s="737" t="n"/>
      <c r="U548" s="737" t="n"/>
      <c r="V548" s="737" t="n"/>
      <c r="W548" s="737" t="n"/>
      <c r="X548" s="737" t="n"/>
      <c r="Y548" s="737" t="n"/>
      <c r="Z548" s="737" t="n"/>
      <c r="AA548" s="737" t="n"/>
      <c r="AB548" s="737" t="n"/>
      <c r="AC548" s="737" t="n"/>
      <c r="AD548" s="737" t="n"/>
      <c r="AE548" s="737" t="n"/>
      <c r="AF548" s="737" t="n"/>
      <c r="AG548" s="737" t="n"/>
      <c r="AH548" s="737" t="n"/>
      <c r="AI548" s="737" t="n"/>
      <c r="AJ548" s="737" t="n"/>
      <c r="AK548" s="588" t="n"/>
      <c r="AL548" s="588" t="n"/>
      <c r="AM548" s="588" t="n"/>
      <c r="AN548" s="588" t="n"/>
      <c r="AO548" s="588" t="n"/>
      <c r="AP548" s="588" t="n"/>
      <c r="AQ548" s="588" t="n"/>
      <c r="AR548" s="588" t="n"/>
      <c r="AS548" s="588" t="n"/>
      <c r="AT548" s="588" t="n"/>
      <c r="AU548" s="588" t="n"/>
      <c r="AV548" s="588" t="n"/>
      <c r="AW548" s="588" t="n"/>
      <c r="AX548" s="588" t="n"/>
      <c r="AY548" s="588" t="n"/>
      <c r="AZ548" s="588" t="n"/>
      <c r="BA548" s="588" t="n"/>
      <c r="BB548" s="588" t="n"/>
      <c r="BC548" s="588" t="n"/>
      <c r="BD548" s="588" t="n"/>
      <c r="BE548" s="588" t="n"/>
      <c r="BF548" s="588" t="n"/>
      <c r="BG548" s="588" t="n"/>
      <c r="BH548" s="588" t="n"/>
      <c r="BI548" s="588" t="n"/>
      <c r="BJ548" s="588" t="n"/>
      <c r="BK548" s="588" t="n"/>
      <c r="BL548" s="588" t="n"/>
      <c r="BM548" s="588" t="n"/>
      <c r="BN548" s="588" t="n"/>
      <c r="BO548" s="588" t="n"/>
      <c r="BP548" s="588" t="n"/>
      <c r="BQ548" s="588" t="n"/>
      <c r="BR548" s="588" t="n"/>
      <c r="BS548" s="588" t="n"/>
      <c r="BT548" s="588" t="n"/>
      <c r="BU548" s="588" t="n"/>
      <c r="BV548" s="588" t="n"/>
      <c r="BW548" s="588" t="n"/>
      <c r="BX548" s="588" t="n"/>
      <c r="BY548" s="588" t="n"/>
      <c r="BZ548" s="588" t="n"/>
      <c r="CA548" s="588" t="n"/>
      <c r="CB548" s="588" t="n"/>
      <c r="CC548" s="588" t="n"/>
      <c r="CD548" s="588" t="n"/>
      <c r="CE548" s="588" t="n"/>
      <c r="CF548" s="588" t="n"/>
      <c r="CG548" s="588" t="n"/>
      <c r="CH548" s="588" t="n"/>
      <c r="CI548" s="588" t="n"/>
      <c r="CJ548" s="588" t="n"/>
      <c r="CK548" s="588" t="n"/>
      <c r="CL548" s="588" t="n"/>
      <c r="CM548" s="588" t="n"/>
      <c r="CN548" s="588" t="n"/>
      <c r="CO548" s="588" t="n"/>
      <c r="CP548" s="588" t="n"/>
      <c r="CQ548" s="588" t="n"/>
      <c r="CR548" s="588" t="n"/>
      <c r="CS548" s="588" t="n"/>
      <c r="CT548" s="588" t="n"/>
      <c r="CU548" s="588" t="n"/>
      <c r="CV548" s="588" t="n"/>
      <c r="CW548" s="588" t="n"/>
      <c r="CX548" s="588" t="n"/>
      <c r="CY548" s="588" t="n"/>
      <c r="CZ548" s="588" t="n"/>
      <c r="DA548" s="588" t="n"/>
      <c r="DB548" s="588" t="n"/>
      <c r="DC548" s="588" t="n"/>
      <c r="DD548" s="588" t="n"/>
      <c r="DE548" s="588" t="n"/>
      <c r="DF548" s="588" t="n"/>
      <c r="DG548" s="588" t="n"/>
      <c r="DH548" s="588" t="n"/>
      <c r="DI548" s="588" t="n"/>
      <c r="DJ548" s="588" t="n"/>
      <c r="DK548" s="588" t="n"/>
      <c r="DL548" s="588" t="n"/>
      <c r="DM548" s="588" t="n"/>
      <c r="DN548" s="588" t="n"/>
      <c r="DO548" s="588" t="n"/>
      <c r="DP548" s="588" t="n"/>
      <c r="DQ548" s="588" t="n"/>
      <c r="DR548" s="588" t="n"/>
      <c r="DS548" s="588" t="n"/>
      <c r="DT548" s="588" t="n"/>
      <c r="DU548" s="588" t="n"/>
    </row>
    <row r="549">
      <c r="A549" s="737" t="n"/>
      <c r="B549" s="737" t="n"/>
      <c r="C549" s="737" t="n"/>
      <c r="D549" s="737" t="n"/>
      <c r="E549" s="737" t="n"/>
      <c r="F549" s="737" t="n"/>
      <c r="G549" s="737" t="n"/>
      <c r="H549" s="737" t="n"/>
      <c r="I549" s="737" t="n"/>
      <c r="J549" s="737" t="n"/>
      <c r="K549" s="737" t="n"/>
      <c r="L549" s="737" t="n"/>
      <c r="M549" s="737" t="n"/>
      <c r="N549" s="737" t="n"/>
      <c r="O549" s="737" t="n"/>
      <c r="P549" s="737" t="n"/>
      <c r="Q549" s="737" t="n"/>
      <c r="R549" s="737" t="n"/>
      <c r="S549" s="737" t="n"/>
      <c r="T549" s="737" t="n"/>
      <c r="U549" s="737" t="n"/>
      <c r="V549" s="737" t="n"/>
      <c r="W549" s="737" t="n"/>
      <c r="X549" s="737" t="n"/>
      <c r="Y549" s="737" t="n"/>
      <c r="Z549" s="737" t="n"/>
      <c r="AA549" s="737" t="n"/>
      <c r="AB549" s="737" t="n"/>
      <c r="AC549" s="737" t="n"/>
      <c r="AD549" s="737" t="n"/>
      <c r="AE549" s="737" t="n"/>
      <c r="AF549" s="737" t="n"/>
      <c r="AG549" s="737" t="n"/>
      <c r="AH549" s="737" t="n"/>
      <c r="AI549" s="737" t="n"/>
      <c r="AJ549" s="737" t="n"/>
      <c r="AK549" s="588" t="n"/>
      <c r="AL549" s="588" t="n"/>
      <c r="AM549" s="588" t="n"/>
      <c r="AN549" s="588" t="n"/>
      <c r="AO549" s="588" t="n"/>
      <c r="AP549" s="588" t="n"/>
      <c r="AQ549" s="588" t="n"/>
      <c r="AR549" s="588" t="n"/>
      <c r="AS549" s="588" t="n"/>
      <c r="AT549" s="588" t="n"/>
      <c r="AU549" s="588" t="n"/>
      <c r="AV549" s="588" t="n"/>
      <c r="AW549" s="588" t="n"/>
      <c r="AX549" s="588" t="n"/>
      <c r="AY549" s="588" t="n"/>
      <c r="AZ549" s="588" t="n"/>
      <c r="BA549" s="588" t="n"/>
      <c r="BB549" s="588" t="n"/>
      <c r="BC549" s="588" t="n"/>
      <c r="BD549" s="588" t="n"/>
      <c r="BE549" s="588" t="n"/>
      <c r="BF549" s="588" t="n"/>
      <c r="BG549" s="588" t="n"/>
      <c r="BH549" s="588" t="n"/>
      <c r="BI549" s="588" t="n"/>
      <c r="BJ549" s="588" t="n"/>
      <c r="BK549" s="588" t="n"/>
      <c r="BL549" s="588" t="n"/>
      <c r="BM549" s="588" t="n"/>
      <c r="BN549" s="588" t="n"/>
      <c r="BO549" s="588" t="n"/>
      <c r="BP549" s="588" t="n"/>
      <c r="BQ549" s="588" t="n"/>
      <c r="BR549" s="588" t="n"/>
      <c r="BS549" s="588" t="n"/>
      <c r="BT549" s="588" t="n"/>
      <c r="BU549" s="588" t="n"/>
      <c r="BV549" s="588" t="n"/>
      <c r="BW549" s="588" t="n"/>
      <c r="BX549" s="588" t="n"/>
      <c r="BY549" s="588" t="n"/>
      <c r="BZ549" s="588" t="n"/>
      <c r="CA549" s="588" t="n"/>
      <c r="CB549" s="588" t="n"/>
      <c r="CC549" s="588" t="n"/>
      <c r="CD549" s="588" t="n"/>
      <c r="CE549" s="588" t="n"/>
      <c r="CF549" s="588" t="n"/>
      <c r="CG549" s="588" t="n"/>
      <c r="CH549" s="588" t="n"/>
      <c r="CI549" s="588" t="n"/>
      <c r="CJ549" s="588" t="n"/>
      <c r="CK549" s="588" t="n"/>
      <c r="CL549" s="588" t="n"/>
      <c r="CM549" s="588" t="n"/>
      <c r="CN549" s="588" t="n"/>
      <c r="CO549" s="588" t="n"/>
      <c r="CP549" s="588" t="n"/>
      <c r="CQ549" s="588" t="n"/>
      <c r="CR549" s="588" t="n"/>
      <c r="CS549" s="588" t="n"/>
      <c r="CT549" s="588" t="n"/>
      <c r="CU549" s="588" t="n"/>
      <c r="CV549" s="588" t="n"/>
      <c r="CW549" s="588" t="n"/>
      <c r="CX549" s="588" t="n"/>
      <c r="CY549" s="588" t="n"/>
      <c r="CZ549" s="588" t="n"/>
      <c r="DA549" s="588" t="n"/>
      <c r="DB549" s="588" t="n"/>
      <c r="DC549" s="588" t="n"/>
      <c r="DD549" s="588" t="n"/>
      <c r="DE549" s="588" t="n"/>
      <c r="DF549" s="588" t="n"/>
      <c r="DG549" s="588" t="n"/>
      <c r="DH549" s="588" t="n"/>
      <c r="DI549" s="588" t="n"/>
      <c r="DJ549" s="588" t="n"/>
      <c r="DK549" s="588" t="n"/>
      <c r="DL549" s="588" t="n"/>
      <c r="DM549" s="588" t="n"/>
      <c r="DN549" s="588" t="n"/>
      <c r="DO549" s="588" t="n"/>
      <c r="DP549" s="588" t="n"/>
      <c r="DQ549" s="588" t="n"/>
      <c r="DR549" s="588" t="n"/>
      <c r="DS549" s="588" t="n"/>
      <c r="DT549" s="588" t="n"/>
      <c r="DU549" s="588" t="n"/>
    </row>
    <row r="550">
      <c r="A550" s="737" t="n"/>
      <c r="B550" s="737" t="n"/>
      <c r="C550" s="737" t="n"/>
      <c r="D550" s="737" t="n"/>
      <c r="E550" s="737" t="n"/>
      <c r="F550" s="737" t="n"/>
      <c r="G550" s="737" t="n"/>
      <c r="H550" s="737" t="n"/>
      <c r="I550" s="737" t="n"/>
      <c r="J550" s="737" t="n"/>
      <c r="K550" s="737" t="n"/>
      <c r="L550" s="737" t="n"/>
      <c r="M550" s="737" t="n"/>
      <c r="N550" s="737" t="n"/>
      <c r="O550" s="737" t="n"/>
      <c r="P550" s="737" t="n"/>
      <c r="Q550" s="737" t="n"/>
      <c r="R550" s="737" t="n"/>
      <c r="S550" s="737" t="n"/>
      <c r="T550" s="737" t="n"/>
      <c r="U550" s="737" t="n"/>
      <c r="V550" s="737" t="n"/>
      <c r="W550" s="737" t="n"/>
      <c r="X550" s="737" t="n"/>
      <c r="Y550" s="737" t="n"/>
      <c r="Z550" s="737" t="n"/>
      <c r="AA550" s="737" t="n"/>
      <c r="AB550" s="737" t="n"/>
      <c r="AC550" s="737" t="n"/>
      <c r="AD550" s="737" t="n"/>
      <c r="AE550" s="737" t="n"/>
      <c r="AF550" s="737" t="n"/>
      <c r="AG550" s="737" t="n"/>
      <c r="AH550" s="737" t="n"/>
      <c r="AI550" s="737" t="n"/>
      <c r="AJ550" s="737" t="n"/>
      <c r="AK550" s="588" t="n"/>
      <c r="AL550" s="588" t="n"/>
      <c r="AM550" s="588" t="n"/>
      <c r="AN550" s="588" t="n"/>
      <c r="AO550" s="588" t="n"/>
      <c r="AP550" s="588" t="n"/>
      <c r="AQ550" s="588" t="n"/>
      <c r="AR550" s="588" t="n"/>
      <c r="AS550" s="588" t="n"/>
      <c r="AT550" s="588" t="n"/>
      <c r="AU550" s="588" t="n"/>
      <c r="AV550" s="588" t="n"/>
      <c r="AW550" s="588" t="n"/>
      <c r="AX550" s="588" t="n"/>
      <c r="AY550" s="588" t="n"/>
      <c r="AZ550" s="588" t="n"/>
      <c r="BA550" s="588" t="n"/>
      <c r="BB550" s="588" t="n"/>
      <c r="BC550" s="588" t="n"/>
      <c r="BD550" s="588" t="n"/>
      <c r="BE550" s="588" t="n"/>
      <c r="BF550" s="588" t="n"/>
      <c r="BG550" s="588" t="n"/>
      <c r="BH550" s="588" t="n"/>
      <c r="BI550" s="588" t="n"/>
      <c r="BJ550" s="588" t="n"/>
      <c r="BK550" s="588" t="n"/>
      <c r="BL550" s="588" t="n"/>
      <c r="BM550" s="588" t="n"/>
      <c r="BN550" s="588" t="n"/>
      <c r="BO550" s="588" t="n"/>
      <c r="BP550" s="588" t="n"/>
      <c r="BQ550" s="588" t="n"/>
      <c r="BR550" s="588" t="n"/>
      <c r="BS550" s="588" t="n"/>
      <c r="BT550" s="588" t="n"/>
      <c r="BU550" s="588" t="n"/>
      <c r="BV550" s="588" t="n"/>
      <c r="BW550" s="588" t="n"/>
      <c r="BX550" s="588" t="n"/>
      <c r="BY550" s="588" t="n"/>
      <c r="BZ550" s="588" t="n"/>
      <c r="CA550" s="588" t="n"/>
      <c r="CB550" s="588" t="n"/>
      <c r="CC550" s="588" t="n"/>
      <c r="CD550" s="588" t="n"/>
      <c r="CE550" s="588" t="n"/>
      <c r="CF550" s="588" t="n"/>
      <c r="CG550" s="588" t="n"/>
      <c r="CH550" s="588" t="n"/>
      <c r="CI550" s="588" t="n"/>
      <c r="CJ550" s="588" t="n"/>
      <c r="CK550" s="588" t="n"/>
      <c r="CL550" s="588" t="n"/>
      <c r="CM550" s="588" t="n"/>
      <c r="CN550" s="588" t="n"/>
      <c r="CO550" s="588" t="n"/>
      <c r="CP550" s="588" t="n"/>
      <c r="CQ550" s="588" t="n"/>
      <c r="CR550" s="588" t="n"/>
      <c r="CS550" s="588" t="n"/>
      <c r="CT550" s="588" t="n"/>
      <c r="CU550" s="588" t="n"/>
      <c r="CV550" s="588" t="n"/>
      <c r="CW550" s="588" t="n"/>
      <c r="CX550" s="588" t="n"/>
      <c r="CY550" s="588" t="n"/>
      <c r="CZ550" s="588" t="n"/>
      <c r="DA550" s="588" t="n"/>
      <c r="DB550" s="588" t="n"/>
      <c r="DC550" s="588" t="n"/>
      <c r="DD550" s="588" t="n"/>
      <c r="DE550" s="588" t="n"/>
      <c r="DF550" s="588" t="n"/>
      <c r="DG550" s="588" t="n"/>
      <c r="DH550" s="588" t="n"/>
      <c r="DI550" s="588" t="n"/>
      <c r="DJ550" s="588" t="n"/>
      <c r="DK550" s="588" t="n"/>
      <c r="DL550" s="588" t="n"/>
      <c r="DM550" s="588" t="n"/>
      <c r="DN550" s="588" t="n"/>
      <c r="DO550" s="588" t="n"/>
      <c r="DP550" s="588" t="n"/>
      <c r="DQ550" s="588" t="n"/>
      <c r="DR550" s="588" t="n"/>
      <c r="DS550" s="588" t="n"/>
      <c r="DT550" s="588" t="n"/>
      <c r="DU550" s="588" t="n"/>
    </row>
    <row r="551">
      <c r="A551" s="737" t="n"/>
      <c r="B551" s="737" t="n"/>
      <c r="C551" s="737" t="n"/>
      <c r="D551" s="737" t="n"/>
      <c r="E551" s="737" t="n"/>
      <c r="F551" s="737" t="n"/>
      <c r="G551" s="737" t="n"/>
      <c r="H551" s="737" t="n"/>
      <c r="I551" s="737" t="n"/>
      <c r="J551" s="737" t="n"/>
      <c r="K551" s="737" t="n"/>
      <c r="L551" s="737" t="n"/>
      <c r="M551" s="737" t="n"/>
      <c r="N551" s="737" t="n"/>
      <c r="O551" s="737" t="n"/>
      <c r="P551" s="737" t="n"/>
      <c r="Q551" s="737" t="n"/>
      <c r="R551" s="737" t="n"/>
      <c r="S551" s="737" t="n"/>
      <c r="T551" s="737" t="n"/>
      <c r="U551" s="737" t="n"/>
      <c r="V551" s="737" t="n"/>
      <c r="W551" s="737" t="n"/>
      <c r="X551" s="737" t="n"/>
      <c r="Y551" s="737" t="n"/>
      <c r="Z551" s="737" t="n"/>
      <c r="AA551" s="737" t="n"/>
      <c r="AB551" s="737" t="n"/>
      <c r="AC551" s="737" t="n"/>
      <c r="AD551" s="737" t="n"/>
      <c r="AE551" s="737" t="n"/>
      <c r="AF551" s="737" t="n"/>
      <c r="AG551" s="737" t="n"/>
      <c r="AH551" s="737" t="n"/>
      <c r="AI551" s="737" t="n"/>
      <c r="AJ551" s="737" t="n"/>
      <c r="AK551" s="588" t="n"/>
      <c r="AL551" s="588" t="n"/>
      <c r="AM551" s="588" t="n"/>
      <c r="AN551" s="588" t="n"/>
      <c r="AO551" s="588" t="n"/>
      <c r="AP551" s="588" t="n"/>
      <c r="AQ551" s="588" t="n"/>
      <c r="AR551" s="588" t="n"/>
      <c r="AS551" s="588" t="n"/>
      <c r="AT551" s="588" t="n"/>
      <c r="AU551" s="588" t="n"/>
      <c r="AV551" s="588" t="n"/>
      <c r="AW551" s="588" t="n"/>
      <c r="AX551" s="588" t="n"/>
      <c r="AY551" s="588" t="n"/>
      <c r="AZ551" s="588" t="n"/>
      <c r="BA551" s="588" t="n"/>
      <c r="BB551" s="588" t="n"/>
      <c r="BC551" s="588" t="n"/>
      <c r="BD551" s="588" t="n"/>
      <c r="BE551" s="588" t="n"/>
      <c r="BF551" s="588" t="n"/>
      <c r="BG551" s="588" t="n"/>
      <c r="BH551" s="588" t="n"/>
      <c r="BI551" s="588" t="n"/>
      <c r="BJ551" s="588" t="n"/>
      <c r="BK551" s="588" t="n"/>
      <c r="BL551" s="588" t="n"/>
      <c r="BM551" s="588" t="n"/>
      <c r="BN551" s="588" t="n"/>
      <c r="BO551" s="588" t="n"/>
      <c r="BP551" s="588" t="n"/>
      <c r="BQ551" s="588" t="n"/>
      <c r="BR551" s="588" t="n"/>
      <c r="BS551" s="588" t="n"/>
      <c r="BT551" s="588" t="n"/>
      <c r="BU551" s="588" t="n"/>
      <c r="BV551" s="588" t="n"/>
      <c r="BW551" s="588" t="n"/>
      <c r="BX551" s="588" t="n"/>
      <c r="BY551" s="588" t="n"/>
      <c r="BZ551" s="588" t="n"/>
      <c r="CA551" s="588" t="n"/>
      <c r="CB551" s="588" t="n"/>
      <c r="CC551" s="588" t="n"/>
      <c r="CD551" s="588" t="n"/>
      <c r="CE551" s="588" t="n"/>
      <c r="CF551" s="588" t="n"/>
      <c r="CG551" s="588" t="n"/>
      <c r="CH551" s="588" t="n"/>
      <c r="CI551" s="588" t="n"/>
      <c r="CJ551" s="588" t="n"/>
      <c r="CK551" s="588" t="n"/>
      <c r="CL551" s="588" t="n"/>
      <c r="CM551" s="588" t="n"/>
      <c r="CN551" s="588" t="n"/>
      <c r="CO551" s="588" t="n"/>
      <c r="CP551" s="588" t="n"/>
      <c r="CQ551" s="588" t="n"/>
      <c r="CR551" s="588" t="n"/>
      <c r="CS551" s="588" t="n"/>
      <c r="CT551" s="588" t="n"/>
      <c r="CU551" s="588" t="n"/>
      <c r="CV551" s="588" t="n"/>
      <c r="CW551" s="588" t="n"/>
      <c r="CX551" s="588" t="n"/>
      <c r="CY551" s="588" t="n"/>
      <c r="CZ551" s="588" t="n"/>
      <c r="DA551" s="588" t="n"/>
      <c r="DB551" s="588" t="n"/>
      <c r="DC551" s="588" t="n"/>
      <c r="DD551" s="588" t="n"/>
      <c r="DE551" s="588" t="n"/>
      <c r="DF551" s="588" t="n"/>
      <c r="DG551" s="588" t="n"/>
      <c r="DH551" s="588" t="n"/>
      <c r="DI551" s="588" t="n"/>
      <c r="DJ551" s="588" t="n"/>
      <c r="DK551" s="588" t="n"/>
      <c r="DL551" s="588" t="n"/>
      <c r="DM551" s="588" t="n"/>
      <c r="DN551" s="588" t="n"/>
      <c r="DO551" s="588" t="n"/>
      <c r="DP551" s="588" t="n"/>
      <c r="DQ551" s="588" t="n"/>
      <c r="DR551" s="588" t="n"/>
      <c r="DS551" s="588" t="n"/>
      <c r="DT551" s="588" t="n"/>
      <c r="DU551" s="588" t="n"/>
    </row>
    <row r="552">
      <c r="A552" s="737" t="n"/>
      <c r="B552" s="737" t="n"/>
      <c r="C552" s="737" t="n"/>
      <c r="D552" s="737" t="n"/>
      <c r="E552" s="737" t="n"/>
      <c r="F552" s="737" t="n"/>
      <c r="G552" s="737" t="n"/>
      <c r="H552" s="737" t="n"/>
      <c r="I552" s="737" t="n"/>
      <c r="J552" s="737" t="n"/>
      <c r="K552" s="737" t="n"/>
      <c r="L552" s="737" t="n"/>
      <c r="M552" s="737" t="n"/>
      <c r="N552" s="737" t="n"/>
      <c r="O552" s="737" t="n"/>
      <c r="P552" s="737" t="n"/>
      <c r="Q552" s="737" t="n"/>
      <c r="R552" s="737" t="n"/>
      <c r="S552" s="737" t="n"/>
      <c r="T552" s="737" t="n"/>
      <c r="U552" s="737" t="n"/>
      <c r="V552" s="737" t="n"/>
      <c r="W552" s="737" t="n"/>
      <c r="X552" s="737" t="n"/>
      <c r="Y552" s="737" t="n"/>
      <c r="Z552" s="737" t="n"/>
      <c r="AA552" s="737" t="n"/>
      <c r="AB552" s="737" t="n"/>
      <c r="AC552" s="737" t="n"/>
      <c r="AD552" s="737" t="n"/>
      <c r="AE552" s="737" t="n"/>
      <c r="AF552" s="737" t="n"/>
      <c r="AG552" s="737" t="n"/>
      <c r="AH552" s="737" t="n"/>
      <c r="AI552" s="737" t="n"/>
      <c r="AJ552" s="737" t="n"/>
      <c r="AK552" s="588" t="n"/>
      <c r="AL552" s="588" t="n"/>
      <c r="AM552" s="588" t="n"/>
      <c r="AN552" s="588" t="n"/>
      <c r="AO552" s="588" t="n"/>
      <c r="AP552" s="588" t="n"/>
      <c r="AQ552" s="588" t="n"/>
      <c r="AR552" s="588" t="n"/>
      <c r="AS552" s="588" t="n"/>
      <c r="AT552" s="588" t="n"/>
      <c r="AU552" s="588" t="n"/>
      <c r="AV552" s="588" t="n"/>
      <c r="AW552" s="588" t="n"/>
      <c r="AX552" s="588" t="n"/>
      <c r="AY552" s="588" t="n"/>
      <c r="AZ552" s="588" t="n"/>
      <c r="BA552" s="588" t="n"/>
      <c r="BB552" s="588" t="n"/>
      <c r="BC552" s="588" t="n"/>
      <c r="BD552" s="588" t="n"/>
      <c r="BE552" s="588" t="n"/>
      <c r="BF552" s="588" t="n"/>
      <c r="BG552" s="588" t="n"/>
      <c r="BH552" s="588" t="n"/>
      <c r="BI552" s="588" t="n"/>
      <c r="BJ552" s="588" t="n"/>
      <c r="BK552" s="588" t="n"/>
      <c r="BL552" s="588" t="n"/>
      <c r="BM552" s="588" t="n"/>
      <c r="BN552" s="588" t="n"/>
      <c r="BO552" s="588" t="n"/>
      <c r="BP552" s="588" t="n"/>
      <c r="BQ552" s="588" t="n"/>
      <c r="BR552" s="588" t="n"/>
      <c r="BS552" s="588" t="n"/>
      <c r="BT552" s="588" t="n"/>
      <c r="BU552" s="588" t="n"/>
      <c r="BV552" s="588" t="n"/>
      <c r="BW552" s="588" t="n"/>
      <c r="BX552" s="588" t="n"/>
      <c r="BY552" s="588" t="n"/>
      <c r="BZ552" s="588" t="n"/>
      <c r="CA552" s="588" t="n"/>
      <c r="CB552" s="588" t="n"/>
      <c r="CC552" s="588" t="n"/>
      <c r="CD552" s="588" t="n"/>
      <c r="CE552" s="588" t="n"/>
      <c r="CF552" s="588" t="n"/>
      <c r="CG552" s="588" t="n"/>
      <c r="CH552" s="588" t="n"/>
      <c r="CI552" s="588" t="n"/>
      <c r="CJ552" s="588" t="n"/>
      <c r="CK552" s="588" t="n"/>
      <c r="CL552" s="588" t="n"/>
      <c r="CM552" s="588" t="n"/>
      <c r="CN552" s="588" t="n"/>
      <c r="CO552" s="588" t="n"/>
      <c r="CP552" s="588" t="n"/>
      <c r="CQ552" s="588" t="n"/>
      <c r="CR552" s="588" t="n"/>
      <c r="CS552" s="588" t="n"/>
      <c r="CT552" s="588" t="n"/>
      <c r="CU552" s="588" t="n"/>
      <c r="CV552" s="588" t="n"/>
      <c r="CW552" s="588" t="n"/>
      <c r="CX552" s="588" t="n"/>
      <c r="CY552" s="588" t="n"/>
      <c r="CZ552" s="588" t="n"/>
      <c r="DA552" s="588" t="n"/>
      <c r="DB552" s="588" t="n"/>
      <c r="DC552" s="588" t="n"/>
      <c r="DD552" s="588" t="n"/>
      <c r="DE552" s="588" t="n"/>
      <c r="DF552" s="588" t="n"/>
      <c r="DG552" s="588" t="n"/>
      <c r="DH552" s="588" t="n"/>
      <c r="DI552" s="588" t="n"/>
      <c r="DJ552" s="588" t="n"/>
      <c r="DK552" s="588" t="n"/>
      <c r="DL552" s="588" t="n"/>
      <c r="DM552" s="588" t="n"/>
      <c r="DN552" s="588" t="n"/>
      <c r="DO552" s="588" t="n"/>
      <c r="DP552" s="588" t="n"/>
      <c r="DQ552" s="588" t="n"/>
      <c r="DR552" s="588" t="n"/>
      <c r="DS552" s="588" t="n"/>
      <c r="DT552" s="588" t="n"/>
      <c r="DU552" s="588" t="n"/>
    </row>
    <row r="553">
      <c r="A553" s="737" t="n"/>
      <c r="B553" s="737" t="n"/>
      <c r="C553" s="737" t="n"/>
      <c r="D553" s="737" t="n"/>
      <c r="E553" s="737" t="n"/>
      <c r="F553" s="737" t="n"/>
      <c r="G553" s="737" t="n"/>
      <c r="H553" s="737" t="n"/>
      <c r="I553" s="737" t="n"/>
      <c r="J553" s="737" t="n"/>
      <c r="K553" s="737" t="n"/>
      <c r="L553" s="737" t="n"/>
      <c r="M553" s="737" t="n"/>
      <c r="N553" s="737" t="n"/>
      <c r="O553" s="737" t="n"/>
      <c r="P553" s="737" t="n"/>
      <c r="Q553" s="737" t="n"/>
      <c r="R553" s="737" t="n"/>
      <c r="S553" s="737" t="n"/>
      <c r="T553" s="737" t="n"/>
      <c r="U553" s="737" t="n"/>
      <c r="V553" s="737" t="n"/>
      <c r="W553" s="737" t="n"/>
      <c r="X553" s="737" t="n"/>
      <c r="Y553" s="737" t="n"/>
      <c r="Z553" s="737" t="n"/>
      <c r="AA553" s="737" t="n"/>
      <c r="AB553" s="737" t="n"/>
      <c r="AC553" s="737" t="n"/>
      <c r="AD553" s="737" t="n"/>
      <c r="AE553" s="737" t="n"/>
      <c r="AF553" s="737" t="n"/>
      <c r="AG553" s="737" t="n"/>
      <c r="AH553" s="737" t="n"/>
      <c r="AI553" s="737" t="n"/>
      <c r="AJ553" s="737" t="n"/>
      <c r="AK553" s="588" t="n"/>
      <c r="AL553" s="588" t="n"/>
      <c r="AM553" s="588" t="n"/>
      <c r="AN553" s="588" t="n"/>
      <c r="AO553" s="588" t="n"/>
      <c r="AP553" s="588" t="n"/>
      <c r="AQ553" s="588" t="n"/>
      <c r="AR553" s="588" t="n"/>
      <c r="AS553" s="588" t="n"/>
      <c r="AT553" s="588" t="n"/>
      <c r="AU553" s="588" t="n"/>
      <c r="AV553" s="588" t="n"/>
      <c r="AW553" s="588" t="n"/>
      <c r="AX553" s="588" t="n"/>
      <c r="AY553" s="588" t="n"/>
      <c r="AZ553" s="588" t="n"/>
      <c r="BA553" s="588" t="n"/>
      <c r="BB553" s="588" t="n"/>
      <c r="BC553" s="588" t="n"/>
      <c r="BD553" s="588" t="n"/>
      <c r="BE553" s="588" t="n"/>
      <c r="BF553" s="588" t="n"/>
      <c r="BG553" s="588" t="n"/>
      <c r="BH553" s="588" t="n"/>
      <c r="BI553" s="588" t="n"/>
      <c r="BJ553" s="588" t="n"/>
      <c r="BK553" s="588" t="n"/>
      <c r="BL553" s="588" t="n"/>
      <c r="BM553" s="588" t="n"/>
      <c r="BN553" s="588" t="n"/>
      <c r="BO553" s="588" t="n"/>
      <c r="BP553" s="588" t="n"/>
      <c r="BQ553" s="588" t="n"/>
      <c r="BR553" s="588" t="n"/>
      <c r="BS553" s="588" t="n"/>
      <c r="BT553" s="588" t="n"/>
      <c r="BU553" s="588" t="n"/>
      <c r="BV553" s="588" t="n"/>
      <c r="BW553" s="588" t="n"/>
      <c r="BX553" s="588" t="n"/>
      <c r="BY553" s="588" t="n"/>
      <c r="BZ553" s="588" t="n"/>
      <c r="CA553" s="588" t="n"/>
      <c r="CB553" s="588" t="n"/>
      <c r="CC553" s="588" t="n"/>
      <c r="CD553" s="588" t="n"/>
      <c r="CE553" s="588" t="n"/>
      <c r="CF553" s="588" t="n"/>
      <c r="CG553" s="588" t="n"/>
      <c r="CH553" s="588" t="n"/>
      <c r="CI553" s="588" t="n"/>
      <c r="CJ553" s="588" t="n"/>
      <c r="CK553" s="588" t="n"/>
      <c r="CL553" s="588" t="n"/>
      <c r="CM553" s="588" t="n"/>
      <c r="CN553" s="588" t="n"/>
      <c r="CO553" s="588" t="n"/>
      <c r="CP553" s="588" t="n"/>
      <c r="CQ553" s="588" t="n"/>
      <c r="CR553" s="588" t="n"/>
      <c r="CS553" s="588" t="n"/>
      <c r="CT553" s="588" t="n"/>
      <c r="CU553" s="588" t="n"/>
      <c r="CV553" s="588" t="n"/>
      <c r="CW553" s="588" t="n"/>
      <c r="CX553" s="588" t="n"/>
      <c r="CY553" s="588" t="n"/>
      <c r="CZ553" s="588" t="n"/>
      <c r="DA553" s="588" t="n"/>
      <c r="DB553" s="588" t="n"/>
      <c r="DC553" s="588" t="n"/>
      <c r="DD553" s="588" t="n"/>
      <c r="DE553" s="588" t="n"/>
      <c r="DF553" s="588" t="n"/>
      <c r="DG553" s="588" t="n"/>
      <c r="DH553" s="588" t="n"/>
      <c r="DI553" s="588" t="n"/>
      <c r="DJ553" s="588" t="n"/>
      <c r="DK553" s="588" t="n"/>
      <c r="DL553" s="588" t="n"/>
      <c r="DM553" s="588" t="n"/>
      <c r="DN553" s="588" t="n"/>
      <c r="DO553" s="588" t="n"/>
      <c r="DP553" s="588" t="n"/>
      <c r="DQ553" s="588" t="n"/>
      <c r="DR553" s="588" t="n"/>
      <c r="DS553" s="588" t="n"/>
      <c r="DT553" s="588" t="n"/>
      <c r="DU553" s="588" t="n"/>
    </row>
    <row r="554">
      <c r="A554" s="737" t="n"/>
      <c r="B554" s="737" t="n"/>
      <c r="C554" s="737" t="n"/>
      <c r="D554" s="737" t="n"/>
      <c r="E554" s="737" t="n"/>
      <c r="F554" s="737" t="n"/>
      <c r="G554" s="737" t="n"/>
      <c r="H554" s="737" t="n"/>
      <c r="I554" s="737" t="n"/>
      <c r="J554" s="737" t="n"/>
      <c r="K554" s="737" t="n"/>
      <c r="L554" s="737" t="n"/>
      <c r="M554" s="737" t="n"/>
      <c r="N554" s="737" t="n"/>
      <c r="O554" s="737" t="n"/>
      <c r="P554" s="737" t="n"/>
      <c r="Q554" s="737" t="n"/>
      <c r="R554" s="737" t="n"/>
      <c r="S554" s="737" t="n"/>
      <c r="T554" s="737" t="n"/>
      <c r="U554" s="737" t="n"/>
      <c r="V554" s="737" t="n"/>
      <c r="W554" s="737" t="n"/>
      <c r="X554" s="737" t="n"/>
      <c r="Y554" s="737" t="n"/>
      <c r="Z554" s="737" t="n"/>
      <c r="AA554" s="737" t="n"/>
      <c r="AB554" s="737" t="n"/>
      <c r="AC554" s="737" t="n"/>
      <c r="AD554" s="737" t="n"/>
      <c r="AE554" s="737" t="n"/>
      <c r="AF554" s="737" t="n"/>
      <c r="AG554" s="737" t="n"/>
      <c r="AH554" s="737" t="n"/>
      <c r="AI554" s="737" t="n"/>
      <c r="AJ554" s="737" t="n"/>
      <c r="AK554" s="588" t="n"/>
      <c r="AL554" s="588" t="n"/>
      <c r="AM554" s="588" t="n"/>
      <c r="AN554" s="588" t="n"/>
      <c r="AO554" s="588" t="n"/>
      <c r="AP554" s="588" t="n"/>
      <c r="AQ554" s="588" t="n"/>
      <c r="AR554" s="588" t="n"/>
      <c r="AS554" s="588" t="n"/>
      <c r="AT554" s="588" t="n"/>
      <c r="AU554" s="588" t="n"/>
      <c r="AV554" s="588" t="n"/>
      <c r="AW554" s="588" t="n"/>
      <c r="AX554" s="588" t="n"/>
      <c r="AY554" s="588" t="n"/>
      <c r="AZ554" s="588" t="n"/>
      <c r="BA554" s="588" t="n"/>
      <c r="BB554" s="588" t="n"/>
      <c r="BC554" s="588" t="n"/>
      <c r="BD554" s="588" t="n"/>
      <c r="BE554" s="588" t="n"/>
      <c r="BF554" s="588" t="n"/>
      <c r="BG554" s="588" t="n"/>
      <c r="BH554" s="588" t="n"/>
      <c r="BI554" s="588" t="n"/>
      <c r="BJ554" s="588" t="n"/>
      <c r="BK554" s="588" t="n"/>
      <c r="BL554" s="588" t="n"/>
      <c r="BM554" s="588" t="n"/>
      <c r="BN554" s="588" t="n"/>
      <c r="BO554" s="588" t="n"/>
      <c r="BP554" s="588" t="n"/>
      <c r="BQ554" s="588" t="n"/>
      <c r="BR554" s="588" t="n"/>
      <c r="BS554" s="588" t="n"/>
      <c r="BT554" s="588" t="n"/>
      <c r="BU554" s="588" t="n"/>
      <c r="BV554" s="588" t="n"/>
      <c r="BW554" s="588" t="n"/>
      <c r="BX554" s="588" t="n"/>
      <c r="BY554" s="588" t="n"/>
      <c r="BZ554" s="588" t="n"/>
      <c r="CA554" s="588" t="n"/>
      <c r="CB554" s="588" t="n"/>
      <c r="CC554" s="588" t="n"/>
      <c r="CD554" s="588" t="n"/>
      <c r="CE554" s="588" t="n"/>
      <c r="CF554" s="588" t="n"/>
      <c r="CG554" s="588" t="n"/>
      <c r="CH554" s="588" t="n"/>
      <c r="CI554" s="588" t="n"/>
      <c r="CJ554" s="588" t="n"/>
      <c r="CK554" s="588" t="n"/>
      <c r="CL554" s="588" t="n"/>
      <c r="CM554" s="588" t="n"/>
      <c r="CN554" s="588" t="n"/>
      <c r="CO554" s="588" t="n"/>
      <c r="CP554" s="588" t="n"/>
      <c r="CQ554" s="588" t="n"/>
      <c r="CR554" s="588" t="n"/>
      <c r="CS554" s="588" t="n"/>
      <c r="CT554" s="588" t="n"/>
      <c r="CU554" s="588" t="n"/>
      <c r="CV554" s="588" t="n"/>
      <c r="CW554" s="588" t="n"/>
      <c r="CX554" s="588" t="n"/>
      <c r="CY554" s="588" t="n"/>
      <c r="CZ554" s="588" t="n"/>
      <c r="DA554" s="588" t="n"/>
      <c r="DB554" s="588" t="n"/>
      <c r="DC554" s="588" t="n"/>
      <c r="DD554" s="588" t="n"/>
      <c r="DE554" s="588" t="n"/>
      <c r="DF554" s="588" t="n"/>
      <c r="DG554" s="588" t="n"/>
      <c r="DH554" s="588" t="n"/>
      <c r="DI554" s="588" t="n"/>
      <c r="DJ554" s="588" t="n"/>
      <c r="DK554" s="588" t="n"/>
      <c r="DL554" s="588" t="n"/>
      <c r="DM554" s="588" t="n"/>
      <c r="DN554" s="588" t="n"/>
      <c r="DO554" s="588" t="n"/>
      <c r="DP554" s="588" t="n"/>
      <c r="DQ554" s="588" t="n"/>
      <c r="DR554" s="588" t="n"/>
      <c r="DS554" s="588" t="n"/>
      <c r="DT554" s="588" t="n"/>
      <c r="DU554" s="588" t="n"/>
    </row>
    <row r="555">
      <c r="A555" s="737" t="n"/>
      <c r="B555" s="737" t="n"/>
      <c r="C555" s="737" t="n"/>
      <c r="D555" s="737" t="n"/>
      <c r="E555" s="737" t="n"/>
      <c r="F555" s="737" t="n"/>
      <c r="G555" s="737" t="n"/>
      <c r="H555" s="737" t="n"/>
      <c r="I555" s="737" t="n"/>
      <c r="J555" s="737" t="n"/>
      <c r="K555" s="737" t="n"/>
      <c r="L555" s="737" t="n"/>
      <c r="M555" s="737" t="n"/>
      <c r="N555" s="737" t="n"/>
      <c r="O555" s="737" t="n"/>
      <c r="P555" s="737" t="n"/>
      <c r="Q555" s="737" t="n"/>
      <c r="R555" s="737" t="n"/>
      <c r="S555" s="737" t="n"/>
      <c r="T555" s="737" t="n"/>
      <c r="U555" s="737" t="n"/>
      <c r="V555" s="737" t="n"/>
      <c r="W555" s="737" t="n"/>
      <c r="X555" s="737" t="n"/>
      <c r="Y555" s="737" t="n"/>
      <c r="Z555" s="737" t="n"/>
      <c r="AA555" s="737" t="n"/>
      <c r="AB555" s="737" t="n"/>
      <c r="AC555" s="737" t="n"/>
      <c r="AD555" s="737" t="n"/>
      <c r="AE555" s="737" t="n"/>
      <c r="AF555" s="737" t="n"/>
      <c r="AG555" s="737" t="n"/>
      <c r="AH555" s="737" t="n"/>
      <c r="AI555" s="737" t="n"/>
      <c r="AJ555" s="737" t="n"/>
      <c r="AK555" s="588" t="n"/>
      <c r="AL555" s="588" t="n"/>
      <c r="AM555" s="588" t="n"/>
      <c r="AN555" s="588" t="n"/>
      <c r="AO555" s="588" t="n"/>
      <c r="AP555" s="588" t="n"/>
      <c r="AQ555" s="588" t="n"/>
      <c r="AR555" s="588" t="n"/>
      <c r="AS555" s="588" t="n"/>
      <c r="AT555" s="588" t="n"/>
      <c r="AU555" s="588" t="n"/>
      <c r="AV555" s="588" t="n"/>
      <c r="AW555" s="588" t="n"/>
      <c r="AX555" s="588" t="n"/>
      <c r="AY555" s="588" t="n"/>
      <c r="AZ555" s="588" t="n"/>
      <c r="BA555" s="588" t="n"/>
      <c r="BB555" s="588" t="n"/>
      <c r="BC555" s="588" t="n"/>
      <c r="BD555" s="588" t="n"/>
      <c r="BE555" s="588" t="n"/>
      <c r="BF555" s="588" t="n"/>
      <c r="BG555" s="588" t="n"/>
      <c r="BH555" s="588" t="n"/>
      <c r="BI555" s="588" t="n"/>
      <c r="BJ555" s="588" t="n"/>
      <c r="BK555" s="588" t="n"/>
      <c r="BL555" s="588" t="n"/>
      <c r="BM555" s="588" t="n"/>
      <c r="BN555" s="588" t="n"/>
      <c r="BO555" s="588" t="n"/>
      <c r="BP555" s="588" t="n"/>
      <c r="BQ555" s="588" t="n"/>
      <c r="BR555" s="588" t="n"/>
      <c r="BS555" s="588" t="n"/>
      <c r="BT555" s="588" t="n"/>
      <c r="BU555" s="588" t="n"/>
      <c r="BV555" s="588" t="n"/>
      <c r="BW555" s="588" t="n"/>
      <c r="BX555" s="588" t="n"/>
      <c r="BY555" s="588" t="n"/>
      <c r="BZ555" s="588" t="n"/>
      <c r="CA555" s="588" t="n"/>
      <c r="CB555" s="588" t="n"/>
      <c r="CC555" s="588" t="n"/>
      <c r="CD555" s="588" t="n"/>
      <c r="CE555" s="588" t="n"/>
      <c r="CF555" s="588" t="n"/>
      <c r="CG555" s="588" t="n"/>
      <c r="CH555" s="588" t="n"/>
      <c r="CI555" s="588" t="n"/>
      <c r="CJ555" s="588" t="n"/>
      <c r="CK555" s="588" t="n"/>
      <c r="CL555" s="588" t="n"/>
      <c r="CM555" s="588" t="n"/>
      <c r="CN555" s="588" t="n"/>
      <c r="CO555" s="588" t="n"/>
      <c r="CP555" s="588" t="n"/>
      <c r="CQ555" s="588" t="n"/>
      <c r="CR555" s="588" t="n"/>
      <c r="CS555" s="588" t="n"/>
      <c r="CT555" s="588" t="n"/>
      <c r="CU555" s="588" t="n"/>
      <c r="CV555" s="588" t="n"/>
      <c r="CW555" s="588" t="n"/>
      <c r="CX555" s="588" t="n"/>
      <c r="CY555" s="588" t="n"/>
      <c r="CZ555" s="588" t="n"/>
      <c r="DA555" s="588" t="n"/>
      <c r="DB555" s="588" t="n"/>
      <c r="DC555" s="588" t="n"/>
      <c r="DD555" s="588" t="n"/>
      <c r="DE555" s="588" t="n"/>
      <c r="DF555" s="588" t="n"/>
      <c r="DG555" s="588" t="n"/>
      <c r="DH555" s="588" t="n"/>
      <c r="DI555" s="588" t="n"/>
      <c r="DJ555" s="588" t="n"/>
      <c r="DK555" s="588" t="n"/>
      <c r="DL555" s="588" t="n"/>
      <c r="DM555" s="588" t="n"/>
      <c r="DN555" s="588" t="n"/>
      <c r="DO555" s="588" t="n"/>
      <c r="DP555" s="588" t="n"/>
      <c r="DQ555" s="588" t="n"/>
      <c r="DR555" s="588" t="n"/>
      <c r="DS555" s="588" t="n"/>
      <c r="DT555" s="588" t="n"/>
      <c r="DU555" s="588" t="n"/>
    </row>
    <row r="556">
      <c r="A556" s="737" t="n"/>
      <c r="B556" s="737" t="n"/>
      <c r="C556" s="737" t="n"/>
      <c r="D556" s="737" t="n"/>
      <c r="E556" s="737" t="n"/>
      <c r="F556" s="737" t="n"/>
      <c r="G556" s="737" t="n"/>
      <c r="H556" s="737" t="n"/>
      <c r="I556" s="737" t="n"/>
      <c r="J556" s="737" t="n"/>
      <c r="K556" s="737" t="n"/>
      <c r="L556" s="737" t="n"/>
      <c r="M556" s="737" t="n"/>
      <c r="N556" s="737" t="n"/>
      <c r="O556" s="737" t="n"/>
      <c r="P556" s="737" t="n"/>
      <c r="Q556" s="737" t="n"/>
      <c r="R556" s="737" t="n"/>
      <c r="S556" s="737" t="n"/>
      <c r="T556" s="737" t="n"/>
      <c r="U556" s="737" t="n"/>
      <c r="V556" s="737" t="n"/>
      <c r="W556" s="737" t="n"/>
      <c r="X556" s="737" t="n"/>
      <c r="Y556" s="737" t="n"/>
      <c r="Z556" s="737" t="n"/>
      <c r="AA556" s="737" t="n"/>
      <c r="AB556" s="737" t="n"/>
      <c r="AC556" s="737" t="n"/>
      <c r="AD556" s="737" t="n"/>
      <c r="AE556" s="737" t="n"/>
      <c r="AF556" s="737" t="n"/>
      <c r="AG556" s="737" t="n"/>
      <c r="AH556" s="737" t="n"/>
      <c r="AI556" s="737" t="n"/>
      <c r="AJ556" s="737" t="n"/>
      <c r="AK556" s="588" t="n"/>
      <c r="AL556" s="588" t="n"/>
      <c r="AM556" s="588" t="n"/>
      <c r="AN556" s="588" t="n"/>
      <c r="AO556" s="588" t="n"/>
      <c r="AP556" s="588" t="n"/>
      <c r="AQ556" s="588" t="n"/>
      <c r="AR556" s="588" t="n"/>
      <c r="AS556" s="588" t="n"/>
      <c r="AT556" s="588" t="n"/>
      <c r="AU556" s="588" t="n"/>
      <c r="AV556" s="588" t="n"/>
      <c r="AW556" s="588" t="n"/>
      <c r="AX556" s="588" t="n"/>
      <c r="AY556" s="588" t="n"/>
      <c r="AZ556" s="588" t="n"/>
      <c r="BA556" s="588" t="n"/>
      <c r="BB556" s="588" t="n"/>
      <c r="BC556" s="588" t="n"/>
      <c r="BD556" s="588" t="n"/>
      <c r="BE556" s="588" t="n"/>
      <c r="BF556" s="588" t="n"/>
      <c r="BG556" s="588" t="n"/>
      <c r="BH556" s="588" t="n"/>
      <c r="BI556" s="588" t="n"/>
      <c r="BJ556" s="588" t="n"/>
      <c r="BK556" s="588" t="n"/>
      <c r="BL556" s="588" t="n"/>
      <c r="BM556" s="588" t="n"/>
      <c r="BN556" s="588" t="n"/>
      <c r="BO556" s="588" t="n"/>
      <c r="BP556" s="588" t="n"/>
      <c r="BQ556" s="588" t="n"/>
      <c r="BR556" s="588" t="n"/>
      <c r="BS556" s="588" t="n"/>
      <c r="BT556" s="588" t="n"/>
      <c r="BU556" s="588" t="n"/>
      <c r="BV556" s="588" t="n"/>
      <c r="BW556" s="588" t="n"/>
      <c r="BX556" s="588" t="n"/>
      <c r="BY556" s="588" t="n"/>
      <c r="BZ556" s="588" t="n"/>
      <c r="CA556" s="588" t="n"/>
      <c r="CB556" s="588" t="n"/>
      <c r="CC556" s="588" t="n"/>
      <c r="CD556" s="588" t="n"/>
      <c r="CE556" s="588" t="n"/>
      <c r="CF556" s="588" t="n"/>
      <c r="CG556" s="588" t="n"/>
      <c r="CH556" s="588" t="n"/>
      <c r="CI556" s="588" t="n"/>
      <c r="CJ556" s="588" t="n"/>
      <c r="CK556" s="588" t="n"/>
      <c r="CL556" s="588" t="n"/>
      <c r="CM556" s="588" t="n"/>
      <c r="CN556" s="588" t="n"/>
      <c r="CO556" s="588" t="n"/>
      <c r="CP556" s="588" t="n"/>
      <c r="CQ556" s="588" t="n"/>
      <c r="CR556" s="588" t="n"/>
      <c r="CS556" s="588" t="n"/>
      <c r="CT556" s="588" t="n"/>
      <c r="CU556" s="588" t="n"/>
      <c r="CV556" s="588" t="n"/>
      <c r="CW556" s="588" t="n"/>
      <c r="CX556" s="588" t="n"/>
      <c r="CY556" s="588" t="n"/>
      <c r="CZ556" s="588" t="n"/>
      <c r="DA556" s="588" t="n"/>
      <c r="DB556" s="588" t="n"/>
      <c r="DC556" s="588" t="n"/>
      <c r="DD556" s="588" t="n"/>
      <c r="DE556" s="588" t="n"/>
      <c r="DF556" s="588" t="n"/>
      <c r="DG556" s="588" t="n"/>
      <c r="DH556" s="588" t="n"/>
      <c r="DI556" s="588" t="n"/>
      <c r="DJ556" s="588" t="n"/>
      <c r="DK556" s="588" t="n"/>
      <c r="DL556" s="588" t="n"/>
      <c r="DM556" s="588" t="n"/>
      <c r="DN556" s="588" t="n"/>
      <c r="DO556" s="588" t="n"/>
      <c r="DP556" s="588" t="n"/>
      <c r="DQ556" s="588" t="n"/>
      <c r="DR556" s="588" t="n"/>
      <c r="DS556" s="588" t="n"/>
      <c r="DT556" s="588" t="n"/>
      <c r="DU556" s="588" t="n"/>
    </row>
    <row r="557">
      <c r="A557" s="737" t="n"/>
      <c r="B557" s="737" t="n"/>
      <c r="C557" s="737" t="n"/>
      <c r="D557" s="737" t="n"/>
      <c r="E557" s="737" t="n"/>
      <c r="F557" s="737" t="n"/>
      <c r="G557" s="737" t="n"/>
      <c r="H557" s="737" t="n"/>
      <c r="I557" s="737" t="n"/>
      <c r="J557" s="737" t="n"/>
      <c r="K557" s="737" t="n"/>
      <c r="L557" s="737" t="n"/>
      <c r="M557" s="737" t="n"/>
      <c r="N557" s="737" t="n"/>
      <c r="O557" s="737" t="n"/>
      <c r="P557" s="737" t="n"/>
      <c r="Q557" s="737" t="n"/>
      <c r="R557" s="737" t="n"/>
      <c r="S557" s="737" t="n"/>
      <c r="T557" s="737" t="n"/>
      <c r="U557" s="737" t="n"/>
      <c r="V557" s="737" t="n"/>
      <c r="W557" s="737" t="n"/>
      <c r="X557" s="737" t="n"/>
      <c r="Y557" s="737" t="n"/>
      <c r="Z557" s="737" t="n"/>
      <c r="AA557" s="737" t="n"/>
      <c r="AB557" s="737" t="n"/>
      <c r="AC557" s="737" t="n"/>
      <c r="AD557" s="737" t="n"/>
      <c r="AE557" s="737" t="n"/>
      <c r="AF557" s="737" t="n"/>
      <c r="AG557" s="737" t="n"/>
      <c r="AH557" s="737" t="n"/>
      <c r="AI557" s="737" t="n"/>
      <c r="AJ557" s="737" t="n"/>
      <c r="AK557" s="588" t="n"/>
      <c r="AL557" s="588" t="n"/>
      <c r="AM557" s="588" t="n"/>
      <c r="AN557" s="588" t="n"/>
      <c r="AO557" s="588" t="n"/>
      <c r="AP557" s="588" t="n"/>
      <c r="AQ557" s="588" t="n"/>
      <c r="AR557" s="588" t="n"/>
      <c r="AS557" s="588" t="n"/>
      <c r="AT557" s="588" t="n"/>
      <c r="AU557" s="588" t="n"/>
      <c r="AV557" s="588" t="n"/>
      <c r="AW557" s="588" t="n"/>
      <c r="AX557" s="588" t="n"/>
      <c r="AY557" s="588" t="n"/>
      <c r="AZ557" s="588" t="n"/>
      <c r="BA557" s="588" t="n"/>
      <c r="BB557" s="588" t="n"/>
      <c r="BC557" s="588" t="n"/>
      <c r="BD557" s="588" t="n"/>
      <c r="BE557" s="588" t="n"/>
      <c r="BF557" s="588" t="n"/>
      <c r="BG557" s="588" t="n"/>
      <c r="BH557" s="588" t="n"/>
      <c r="BI557" s="588" t="n"/>
      <c r="BJ557" s="588" t="n"/>
      <c r="BK557" s="588" t="n"/>
      <c r="BL557" s="588" t="n"/>
      <c r="BM557" s="588" t="n"/>
      <c r="BN557" s="588" t="n"/>
      <c r="BO557" s="588" t="n"/>
      <c r="BP557" s="588" t="n"/>
      <c r="BQ557" s="588" t="n"/>
      <c r="BR557" s="588" t="n"/>
      <c r="BS557" s="588" t="n"/>
      <c r="BT557" s="588" t="n"/>
      <c r="BU557" s="588" t="n"/>
      <c r="BV557" s="588" t="n"/>
      <c r="BW557" s="588" t="n"/>
      <c r="BX557" s="588" t="n"/>
      <c r="BY557" s="588" t="n"/>
      <c r="BZ557" s="588" t="n"/>
      <c r="CA557" s="588" t="n"/>
      <c r="CB557" s="588" t="n"/>
      <c r="CC557" s="588" t="n"/>
      <c r="CD557" s="588" t="n"/>
      <c r="CE557" s="588" t="n"/>
      <c r="CF557" s="588" t="n"/>
      <c r="CG557" s="588" t="n"/>
      <c r="CH557" s="588" t="n"/>
      <c r="CI557" s="588" t="n"/>
      <c r="CJ557" s="588" t="n"/>
      <c r="CK557" s="588" t="n"/>
      <c r="CL557" s="588" t="n"/>
      <c r="CM557" s="588" t="n"/>
      <c r="CN557" s="588" t="n"/>
      <c r="CO557" s="588" t="n"/>
      <c r="CP557" s="588" t="n"/>
      <c r="CQ557" s="588" t="n"/>
      <c r="CR557" s="588" t="n"/>
      <c r="CS557" s="588" t="n"/>
      <c r="CT557" s="588" t="n"/>
      <c r="CU557" s="588" t="n"/>
      <c r="CV557" s="588" t="n"/>
      <c r="CW557" s="588" t="n"/>
      <c r="CX557" s="588" t="n"/>
      <c r="CY557" s="588" t="n"/>
      <c r="CZ557" s="588" t="n"/>
      <c r="DA557" s="588" t="n"/>
      <c r="DB557" s="588" t="n"/>
      <c r="DC557" s="588" t="n"/>
      <c r="DD557" s="588" t="n"/>
      <c r="DE557" s="588" t="n"/>
      <c r="DF557" s="588" t="n"/>
      <c r="DG557" s="588" t="n"/>
      <c r="DH557" s="588" t="n"/>
      <c r="DI557" s="588" t="n"/>
      <c r="DJ557" s="588" t="n"/>
      <c r="DK557" s="588" t="n"/>
      <c r="DL557" s="588" t="n"/>
      <c r="DM557" s="588" t="n"/>
      <c r="DN557" s="588" t="n"/>
      <c r="DO557" s="588" t="n"/>
      <c r="DP557" s="588" t="n"/>
      <c r="DQ557" s="588" t="n"/>
      <c r="DR557" s="588" t="n"/>
      <c r="DS557" s="588" t="n"/>
      <c r="DT557" s="588" t="n"/>
      <c r="DU557" s="588" t="n"/>
    </row>
    <row r="558">
      <c r="A558" s="737" t="n"/>
      <c r="B558" s="737" t="n"/>
      <c r="C558" s="737" t="n"/>
      <c r="D558" s="737" t="n"/>
      <c r="E558" s="737" t="n"/>
      <c r="F558" s="737" t="n"/>
      <c r="G558" s="737" t="n"/>
      <c r="H558" s="737" t="n"/>
      <c r="I558" s="737" t="n"/>
      <c r="J558" s="737" t="n"/>
      <c r="K558" s="737" t="n"/>
      <c r="L558" s="737" t="n"/>
      <c r="M558" s="737" t="n"/>
      <c r="N558" s="737" t="n"/>
      <c r="O558" s="737" t="n"/>
      <c r="P558" s="737" t="n"/>
      <c r="Q558" s="737" t="n"/>
      <c r="R558" s="737" t="n"/>
      <c r="S558" s="737" t="n"/>
      <c r="T558" s="737" t="n"/>
      <c r="U558" s="737" t="n"/>
      <c r="V558" s="737" t="n"/>
      <c r="W558" s="737" t="n"/>
      <c r="X558" s="737" t="n"/>
      <c r="Y558" s="737" t="n"/>
      <c r="Z558" s="737" t="n"/>
      <c r="AA558" s="737" t="n"/>
      <c r="AB558" s="737" t="n"/>
      <c r="AC558" s="737" t="n"/>
      <c r="AD558" s="737" t="n"/>
      <c r="AE558" s="737" t="n"/>
      <c r="AF558" s="737" t="n"/>
      <c r="AG558" s="737" t="n"/>
      <c r="AH558" s="737" t="n"/>
      <c r="AI558" s="737" t="n"/>
      <c r="AJ558" s="737" t="n"/>
      <c r="AK558" s="588" t="n"/>
      <c r="AL558" s="588" t="n"/>
      <c r="AM558" s="588" t="n"/>
      <c r="AN558" s="588" t="n"/>
      <c r="AO558" s="588" t="n"/>
      <c r="AP558" s="588" t="n"/>
      <c r="AQ558" s="588" t="n"/>
      <c r="AR558" s="588" t="n"/>
      <c r="AS558" s="588" t="n"/>
      <c r="AT558" s="588" t="n"/>
      <c r="AU558" s="588" t="n"/>
      <c r="AV558" s="588" t="n"/>
      <c r="AW558" s="588" t="n"/>
      <c r="AX558" s="588" t="n"/>
      <c r="AY558" s="588" t="n"/>
      <c r="AZ558" s="588" t="n"/>
      <c r="BA558" s="588" t="n"/>
      <c r="BB558" s="588" t="n"/>
      <c r="BC558" s="588" t="n"/>
      <c r="BD558" s="588" t="n"/>
      <c r="BE558" s="588" t="n"/>
      <c r="BF558" s="588" t="n"/>
      <c r="BG558" s="588" t="n"/>
      <c r="BH558" s="588" t="n"/>
      <c r="BI558" s="588" t="n"/>
      <c r="BJ558" s="588" t="n"/>
      <c r="BK558" s="588" t="n"/>
      <c r="BL558" s="588" t="n"/>
      <c r="BM558" s="588" t="n"/>
      <c r="BN558" s="588" t="n"/>
      <c r="BO558" s="588" t="n"/>
      <c r="BP558" s="588" t="n"/>
      <c r="BQ558" s="588" t="n"/>
      <c r="BR558" s="588" t="n"/>
      <c r="BS558" s="588" t="n"/>
      <c r="BT558" s="588" t="n"/>
      <c r="BU558" s="588" t="n"/>
      <c r="BV558" s="588" t="n"/>
      <c r="BW558" s="588" t="n"/>
      <c r="BX558" s="588" t="n"/>
      <c r="BY558" s="588" t="n"/>
      <c r="BZ558" s="588" t="n"/>
      <c r="CA558" s="588" t="n"/>
      <c r="CB558" s="588" t="n"/>
      <c r="CC558" s="588" t="n"/>
      <c r="CD558" s="588" t="n"/>
      <c r="CE558" s="588" t="n"/>
      <c r="CF558" s="588" t="n"/>
      <c r="CG558" s="588" t="n"/>
      <c r="CH558" s="588" t="n"/>
      <c r="CI558" s="588" t="n"/>
      <c r="CJ558" s="588" t="n"/>
      <c r="CK558" s="588" t="n"/>
      <c r="CL558" s="588" t="n"/>
      <c r="CM558" s="588" t="n"/>
      <c r="CN558" s="588" t="n"/>
      <c r="CO558" s="588" t="n"/>
      <c r="CP558" s="588" t="n"/>
      <c r="CQ558" s="588" t="n"/>
      <c r="CR558" s="588" t="n"/>
      <c r="CS558" s="588" t="n"/>
      <c r="CT558" s="588" t="n"/>
      <c r="CU558" s="588" t="n"/>
      <c r="CV558" s="588" t="n"/>
      <c r="CW558" s="588" t="n"/>
      <c r="CX558" s="588" t="n"/>
      <c r="CY558" s="588" t="n"/>
      <c r="CZ558" s="588" t="n"/>
      <c r="DA558" s="588" t="n"/>
      <c r="DB558" s="588" t="n"/>
      <c r="DC558" s="588" t="n"/>
      <c r="DD558" s="588" t="n"/>
      <c r="DE558" s="588" t="n"/>
      <c r="DF558" s="588" t="n"/>
      <c r="DG558" s="588" t="n"/>
      <c r="DH558" s="588" t="n"/>
      <c r="DI558" s="588" t="n"/>
      <c r="DJ558" s="588" t="n"/>
      <c r="DK558" s="588" t="n"/>
      <c r="DL558" s="588" t="n"/>
      <c r="DM558" s="588" t="n"/>
      <c r="DN558" s="588" t="n"/>
      <c r="DO558" s="588" t="n"/>
      <c r="DP558" s="588" t="n"/>
      <c r="DQ558" s="588" t="n"/>
      <c r="DR558" s="588" t="n"/>
      <c r="DS558" s="588" t="n"/>
      <c r="DT558" s="588" t="n"/>
      <c r="DU558" s="588" t="n"/>
    </row>
    <row r="559">
      <c r="A559" s="737" t="n"/>
      <c r="B559" s="737" t="n"/>
      <c r="C559" s="737" t="n"/>
      <c r="D559" s="737" t="n"/>
      <c r="E559" s="737" t="n"/>
      <c r="F559" s="737" t="n"/>
      <c r="G559" s="737" t="n"/>
      <c r="H559" s="737" t="n"/>
      <c r="I559" s="737" t="n"/>
      <c r="J559" s="737" t="n"/>
      <c r="K559" s="737" t="n"/>
      <c r="L559" s="737" t="n"/>
      <c r="M559" s="737" t="n"/>
      <c r="N559" s="737" t="n"/>
      <c r="O559" s="737" t="n"/>
      <c r="P559" s="737" t="n"/>
      <c r="Q559" s="737" t="n"/>
      <c r="R559" s="737" t="n"/>
      <c r="S559" s="737" t="n"/>
      <c r="T559" s="737" t="n"/>
      <c r="U559" s="737" t="n"/>
      <c r="V559" s="737" t="n"/>
      <c r="W559" s="737" t="n"/>
      <c r="X559" s="737" t="n"/>
      <c r="Y559" s="737" t="n"/>
      <c r="Z559" s="737" t="n"/>
      <c r="AA559" s="737" t="n"/>
      <c r="AB559" s="737" t="n"/>
      <c r="AC559" s="737" t="n"/>
      <c r="AD559" s="737" t="n"/>
      <c r="AE559" s="737" t="n"/>
      <c r="AF559" s="737" t="n"/>
      <c r="AG559" s="737" t="n"/>
      <c r="AH559" s="737" t="n"/>
      <c r="AI559" s="737" t="n"/>
      <c r="AJ559" s="737" t="n"/>
      <c r="AK559" s="588" t="n"/>
      <c r="AL559" s="588" t="n"/>
      <c r="AM559" s="588" t="n"/>
      <c r="AN559" s="588" t="n"/>
      <c r="AO559" s="588" t="n"/>
      <c r="AP559" s="588" t="n"/>
      <c r="AQ559" s="588" t="n"/>
      <c r="AR559" s="588" t="n"/>
      <c r="AS559" s="588" t="n"/>
      <c r="AT559" s="588" t="n"/>
      <c r="AU559" s="588" t="n"/>
      <c r="AV559" s="588" t="n"/>
      <c r="AW559" s="588" t="n"/>
      <c r="AX559" s="588" t="n"/>
      <c r="AY559" s="588" t="n"/>
      <c r="AZ559" s="588" t="n"/>
      <c r="BA559" s="588" t="n"/>
      <c r="BB559" s="588" t="n"/>
      <c r="BC559" s="588" t="n"/>
      <c r="BD559" s="588" t="n"/>
      <c r="BE559" s="588" t="n"/>
      <c r="BF559" s="588" t="n"/>
      <c r="BG559" s="588" t="n"/>
      <c r="BH559" s="588" t="n"/>
      <c r="BI559" s="588" t="n"/>
      <c r="BJ559" s="588" t="n"/>
      <c r="BK559" s="588" t="n"/>
      <c r="BL559" s="588" t="n"/>
      <c r="BM559" s="588" t="n"/>
      <c r="BN559" s="588" t="n"/>
      <c r="BO559" s="588" t="n"/>
      <c r="BP559" s="588" t="n"/>
      <c r="BQ559" s="588" t="n"/>
      <c r="BR559" s="588" t="n"/>
      <c r="BS559" s="588" t="n"/>
      <c r="BT559" s="588" t="n"/>
      <c r="BU559" s="588" t="n"/>
      <c r="BV559" s="588" t="n"/>
      <c r="BW559" s="588" t="n"/>
      <c r="BX559" s="588" t="n"/>
      <c r="BY559" s="588" t="n"/>
      <c r="BZ559" s="588" t="n"/>
      <c r="CA559" s="588" t="n"/>
      <c r="CB559" s="588" t="n"/>
      <c r="CC559" s="588" t="n"/>
      <c r="CD559" s="588" t="n"/>
      <c r="CE559" s="588" t="n"/>
      <c r="CF559" s="588" t="n"/>
      <c r="CG559" s="588" t="n"/>
      <c r="CH559" s="588" t="n"/>
      <c r="CI559" s="588" t="n"/>
      <c r="CJ559" s="588" t="n"/>
      <c r="CK559" s="588" t="n"/>
      <c r="CL559" s="588" t="n"/>
      <c r="CM559" s="588" t="n"/>
      <c r="CN559" s="588" t="n"/>
      <c r="CO559" s="588" t="n"/>
      <c r="CP559" s="588" t="n"/>
      <c r="CQ559" s="588" t="n"/>
      <c r="CR559" s="588" t="n"/>
      <c r="CS559" s="588" t="n"/>
      <c r="CT559" s="588" t="n"/>
      <c r="CU559" s="588" t="n"/>
      <c r="CV559" s="588" t="n"/>
      <c r="CW559" s="588" t="n"/>
      <c r="CX559" s="588" t="n"/>
      <c r="CY559" s="588" t="n"/>
      <c r="CZ559" s="588" t="n"/>
      <c r="DA559" s="588" t="n"/>
      <c r="DB559" s="588" t="n"/>
      <c r="DC559" s="588" t="n"/>
      <c r="DD559" s="588" t="n"/>
      <c r="DE559" s="588" t="n"/>
      <c r="DF559" s="588" t="n"/>
      <c r="DG559" s="588" t="n"/>
      <c r="DH559" s="588" t="n"/>
      <c r="DI559" s="588" t="n"/>
      <c r="DJ559" s="588" t="n"/>
      <c r="DK559" s="588" t="n"/>
      <c r="DL559" s="588" t="n"/>
      <c r="DM559" s="588" t="n"/>
      <c r="DN559" s="588" t="n"/>
      <c r="DO559" s="588" t="n"/>
      <c r="DP559" s="588" t="n"/>
      <c r="DQ559" s="588" t="n"/>
      <c r="DR559" s="588" t="n"/>
      <c r="DS559" s="588" t="n"/>
      <c r="DT559" s="588" t="n"/>
      <c r="DU559" s="588" t="n"/>
    </row>
    <row r="560">
      <c r="A560" s="737" t="n"/>
      <c r="B560" s="737" t="n"/>
      <c r="C560" s="737" t="n"/>
      <c r="D560" s="737" t="n"/>
      <c r="E560" s="737" t="n"/>
      <c r="F560" s="737" t="n"/>
      <c r="G560" s="737" t="n"/>
      <c r="H560" s="737" t="n"/>
      <c r="I560" s="737" t="n"/>
      <c r="J560" s="737" t="n"/>
      <c r="K560" s="737" t="n"/>
      <c r="L560" s="737" t="n"/>
      <c r="M560" s="737" t="n"/>
      <c r="N560" s="737" t="n"/>
      <c r="O560" s="737" t="n"/>
      <c r="P560" s="737" t="n"/>
      <c r="Q560" s="737" t="n"/>
      <c r="R560" s="737" t="n"/>
      <c r="S560" s="737" t="n"/>
      <c r="T560" s="737" t="n"/>
      <c r="U560" s="737" t="n"/>
      <c r="V560" s="737" t="n"/>
      <c r="W560" s="737" t="n"/>
      <c r="X560" s="737" t="n"/>
      <c r="Y560" s="737" t="n"/>
      <c r="Z560" s="737" t="n"/>
      <c r="AA560" s="737" t="n"/>
      <c r="AB560" s="737" t="n"/>
      <c r="AC560" s="737" t="n"/>
      <c r="AD560" s="737" t="n"/>
      <c r="AE560" s="737" t="n"/>
      <c r="AF560" s="737" t="n"/>
      <c r="AG560" s="737" t="n"/>
      <c r="AH560" s="737" t="n"/>
      <c r="AI560" s="737" t="n"/>
      <c r="AJ560" s="737" t="n"/>
      <c r="AK560" s="588" t="n"/>
      <c r="AL560" s="588" t="n"/>
      <c r="AM560" s="588" t="n"/>
      <c r="AN560" s="588" t="n"/>
      <c r="AO560" s="588" t="n"/>
      <c r="AP560" s="588" t="n"/>
      <c r="AQ560" s="588" t="n"/>
      <c r="AR560" s="588" t="n"/>
      <c r="AS560" s="588" t="n"/>
      <c r="AT560" s="588" t="n"/>
      <c r="AU560" s="588" t="n"/>
      <c r="AV560" s="588" t="n"/>
      <c r="AW560" s="588" t="n"/>
      <c r="AX560" s="588" t="n"/>
      <c r="AY560" s="588" t="n"/>
      <c r="AZ560" s="588" t="n"/>
      <c r="BA560" s="588" t="n"/>
      <c r="BB560" s="588" t="n"/>
      <c r="BC560" s="588" t="n"/>
      <c r="BD560" s="588" t="n"/>
      <c r="BE560" s="588" t="n"/>
      <c r="BF560" s="588" t="n"/>
      <c r="BG560" s="588" t="n"/>
      <c r="BH560" s="588" t="n"/>
      <c r="BI560" s="588" t="n"/>
      <c r="BJ560" s="588" t="n"/>
      <c r="BK560" s="588" t="n"/>
      <c r="BL560" s="588" t="n"/>
      <c r="BM560" s="588" t="n"/>
      <c r="BN560" s="588" t="n"/>
      <c r="BO560" s="588" t="n"/>
      <c r="BP560" s="588" t="n"/>
      <c r="BQ560" s="588" t="n"/>
      <c r="BR560" s="588" t="n"/>
      <c r="BS560" s="588" t="n"/>
      <c r="BT560" s="588" t="n"/>
      <c r="BU560" s="588" t="n"/>
      <c r="BV560" s="588" t="n"/>
      <c r="BW560" s="588" t="n"/>
      <c r="BX560" s="588" t="n"/>
      <c r="BY560" s="588" t="n"/>
      <c r="BZ560" s="588" t="n"/>
      <c r="CA560" s="588" t="n"/>
      <c r="CB560" s="588" t="n"/>
      <c r="CC560" s="588" t="n"/>
      <c r="CD560" s="588" t="n"/>
      <c r="CE560" s="588" t="n"/>
      <c r="CF560" s="588" t="n"/>
      <c r="CG560" s="588" t="n"/>
      <c r="CH560" s="588" t="n"/>
      <c r="CI560" s="588" t="n"/>
      <c r="CJ560" s="588" t="n"/>
      <c r="CK560" s="588" t="n"/>
      <c r="CL560" s="588" t="n"/>
      <c r="CM560" s="588" t="n"/>
      <c r="CN560" s="588" t="n"/>
      <c r="CO560" s="588" t="n"/>
      <c r="CP560" s="588" t="n"/>
      <c r="CQ560" s="588" t="n"/>
      <c r="CR560" s="588" t="n"/>
      <c r="CS560" s="588" t="n"/>
      <c r="CT560" s="588" t="n"/>
      <c r="CU560" s="588" t="n"/>
      <c r="CV560" s="588" t="n"/>
      <c r="CW560" s="588" t="n"/>
      <c r="CX560" s="588" t="n"/>
      <c r="CY560" s="588" t="n"/>
      <c r="CZ560" s="588" t="n"/>
      <c r="DA560" s="588" t="n"/>
      <c r="DB560" s="588" t="n"/>
      <c r="DC560" s="588" t="n"/>
      <c r="DD560" s="588" t="n"/>
      <c r="DE560" s="588" t="n"/>
      <c r="DF560" s="588" t="n"/>
      <c r="DG560" s="588" t="n"/>
      <c r="DH560" s="588" t="n"/>
      <c r="DI560" s="588" t="n"/>
      <c r="DJ560" s="588" t="n"/>
      <c r="DK560" s="588" t="n"/>
      <c r="DL560" s="588" t="n"/>
      <c r="DM560" s="588" t="n"/>
      <c r="DN560" s="588" t="n"/>
      <c r="DO560" s="588" t="n"/>
      <c r="DP560" s="588" t="n"/>
      <c r="DQ560" s="588" t="n"/>
      <c r="DR560" s="588" t="n"/>
      <c r="DS560" s="588" t="n"/>
      <c r="DT560" s="588" t="n"/>
      <c r="DU560" s="588" t="n"/>
    </row>
    <row r="561">
      <c r="A561" s="737" t="n"/>
      <c r="B561" s="737" t="n"/>
      <c r="C561" s="737" t="n"/>
      <c r="D561" s="737" t="n"/>
      <c r="E561" s="737" t="n"/>
      <c r="F561" s="737" t="n"/>
      <c r="G561" s="737" t="n"/>
      <c r="H561" s="737" t="n"/>
      <c r="I561" s="737" t="n"/>
      <c r="J561" s="737" t="n"/>
      <c r="K561" s="737" t="n"/>
      <c r="L561" s="737" t="n"/>
      <c r="M561" s="737" t="n"/>
      <c r="N561" s="737" t="n"/>
      <c r="O561" s="737" t="n"/>
      <c r="P561" s="737" t="n"/>
      <c r="Q561" s="737" t="n"/>
      <c r="R561" s="737" t="n"/>
      <c r="S561" s="737" t="n"/>
      <c r="T561" s="737" t="n"/>
      <c r="U561" s="737" t="n"/>
      <c r="V561" s="737" t="n"/>
      <c r="W561" s="737" t="n"/>
      <c r="X561" s="737" t="n"/>
      <c r="Y561" s="737" t="n"/>
      <c r="Z561" s="737" t="n"/>
      <c r="AA561" s="737" t="n"/>
      <c r="AB561" s="737" t="n"/>
      <c r="AC561" s="737" t="n"/>
      <c r="AD561" s="737" t="n"/>
      <c r="AE561" s="737" t="n"/>
      <c r="AF561" s="737" t="n"/>
      <c r="AG561" s="737" t="n"/>
      <c r="AH561" s="737" t="n"/>
      <c r="AI561" s="737" t="n"/>
      <c r="AJ561" s="737" t="n"/>
      <c r="AK561" s="588" t="n"/>
      <c r="AL561" s="588" t="n"/>
      <c r="AM561" s="588" t="n"/>
      <c r="AN561" s="588" t="n"/>
      <c r="AO561" s="588" t="n"/>
      <c r="AP561" s="588" t="n"/>
      <c r="AQ561" s="588" t="n"/>
      <c r="AR561" s="588" t="n"/>
      <c r="AS561" s="588" t="n"/>
      <c r="AT561" s="588" t="n"/>
      <c r="AU561" s="588" t="n"/>
      <c r="AV561" s="588" t="n"/>
      <c r="AW561" s="588" t="n"/>
      <c r="AX561" s="588" t="n"/>
      <c r="AY561" s="588" t="n"/>
      <c r="AZ561" s="588" t="n"/>
      <c r="BA561" s="588" t="n"/>
      <c r="BB561" s="588" t="n"/>
      <c r="BC561" s="588" t="n"/>
      <c r="BD561" s="588" t="n"/>
      <c r="BE561" s="588" t="n"/>
      <c r="BF561" s="588" t="n"/>
      <c r="BG561" s="588" t="n"/>
      <c r="BH561" s="588" t="n"/>
      <c r="BI561" s="588" t="n"/>
      <c r="BJ561" s="588" t="n"/>
      <c r="BK561" s="588" t="n"/>
      <c r="BL561" s="588" t="n"/>
      <c r="BM561" s="588" t="n"/>
      <c r="BN561" s="588" t="n"/>
      <c r="BO561" s="588" t="n"/>
      <c r="BP561" s="588" t="n"/>
      <c r="BQ561" s="588" t="n"/>
      <c r="BR561" s="588" t="n"/>
      <c r="BS561" s="588" t="n"/>
      <c r="BT561" s="588" t="n"/>
      <c r="BU561" s="588" t="n"/>
      <c r="BV561" s="588" t="n"/>
      <c r="BW561" s="588" t="n"/>
      <c r="BX561" s="588" t="n"/>
      <c r="BY561" s="588" t="n"/>
      <c r="BZ561" s="588" t="n"/>
      <c r="CA561" s="588" t="n"/>
      <c r="CB561" s="588" t="n"/>
      <c r="CC561" s="588" t="n"/>
      <c r="CD561" s="588" t="n"/>
      <c r="CE561" s="588" t="n"/>
      <c r="CF561" s="588" t="n"/>
      <c r="CG561" s="588" t="n"/>
      <c r="CH561" s="588" t="n"/>
      <c r="CI561" s="588" t="n"/>
      <c r="CJ561" s="588" t="n"/>
      <c r="CK561" s="588" t="n"/>
      <c r="CL561" s="588" t="n"/>
      <c r="CM561" s="588" t="n"/>
      <c r="CN561" s="588" t="n"/>
      <c r="CO561" s="588" t="n"/>
      <c r="CP561" s="588" t="n"/>
      <c r="CQ561" s="588" t="n"/>
      <c r="CR561" s="588" t="n"/>
      <c r="CS561" s="588" t="n"/>
      <c r="CT561" s="588" t="n"/>
      <c r="CU561" s="588" t="n"/>
      <c r="CV561" s="588" t="n"/>
      <c r="CW561" s="588" t="n"/>
      <c r="CX561" s="588" t="n"/>
      <c r="CY561" s="588" t="n"/>
      <c r="CZ561" s="588" t="n"/>
      <c r="DA561" s="588" t="n"/>
      <c r="DB561" s="588" t="n"/>
      <c r="DC561" s="588" t="n"/>
      <c r="DD561" s="588" t="n"/>
      <c r="DE561" s="588" t="n"/>
      <c r="DF561" s="588" t="n"/>
      <c r="DG561" s="588" t="n"/>
      <c r="DH561" s="588" t="n"/>
      <c r="DI561" s="588" t="n"/>
      <c r="DJ561" s="588" t="n"/>
      <c r="DK561" s="588" t="n"/>
      <c r="DL561" s="588" t="n"/>
      <c r="DM561" s="588" t="n"/>
      <c r="DN561" s="588" t="n"/>
      <c r="DO561" s="588" t="n"/>
      <c r="DP561" s="588" t="n"/>
      <c r="DQ561" s="588" t="n"/>
      <c r="DR561" s="588" t="n"/>
      <c r="DS561" s="588" t="n"/>
      <c r="DT561" s="588" t="n"/>
      <c r="DU561" s="588" t="n"/>
    </row>
    <row r="562">
      <c r="A562" s="737" t="n"/>
      <c r="B562" s="737" t="n"/>
      <c r="C562" s="737" t="n"/>
      <c r="D562" s="737" t="n"/>
      <c r="E562" s="737" t="n"/>
      <c r="F562" s="737" t="n"/>
      <c r="G562" s="737" t="n"/>
      <c r="H562" s="737" t="n"/>
      <c r="I562" s="737" t="n"/>
      <c r="J562" s="737" t="n"/>
      <c r="K562" s="737" t="n"/>
      <c r="L562" s="737" t="n"/>
      <c r="M562" s="737" t="n"/>
      <c r="N562" s="737" t="n"/>
      <c r="O562" s="737" t="n"/>
      <c r="P562" s="737" t="n"/>
      <c r="Q562" s="737" t="n"/>
      <c r="R562" s="737" t="n"/>
      <c r="S562" s="737" t="n"/>
      <c r="T562" s="737" t="n"/>
      <c r="U562" s="737" t="n"/>
      <c r="V562" s="737" t="n"/>
      <c r="W562" s="737" t="n"/>
      <c r="X562" s="737" t="n"/>
      <c r="Y562" s="737" t="n"/>
      <c r="Z562" s="737" t="n"/>
      <c r="AA562" s="737" t="n"/>
      <c r="AB562" s="737" t="n"/>
      <c r="AC562" s="737" t="n"/>
      <c r="AD562" s="737" t="n"/>
      <c r="AE562" s="737" t="n"/>
      <c r="AF562" s="737" t="n"/>
      <c r="AG562" s="737" t="n"/>
      <c r="AH562" s="737" t="n"/>
      <c r="AI562" s="737" t="n"/>
      <c r="AJ562" s="737" t="n"/>
      <c r="AK562" s="588" t="n"/>
      <c r="AL562" s="588" t="n"/>
      <c r="AM562" s="588" t="n"/>
      <c r="AN562" s="588" t="n"/>
      <c r="AO562" s="588" t="n"/>
      <c r="AP562" s="588" t="n"/>
      <c r="AQ562" s="588" t="n"/>
      <c r="AR562" s="588" t="n"/>
      <c r="AS562" s="588" t="n"/>
      <c r="AT562" s="588" t="n"/>
      <c r="AU562" s="588" t="n"/>
      <c r="AV562" s="588" t="n"/>
      <c r="AW562" s="588" t="n"/>
      <c r="AX562" s="588" t="n"/>
      <c r="AY562" s="588" t="n"/>
      <c r="AZ562" s="588" t="n"/>
      <c r="BA562" s="588" t="n"/>
      <c r="BB562" s="588" t="n"/>
      <c r="BC562" s="588" t="n"/>
      <c r="BD562" s="588" t="n"/>
      <c r="BE562" s="588" t="n"/>
      <c r="BF562" s="588" t="n"/>
      <c r="BG562" s="588" t="n"/>
      <c r="BH562" s="588" t="n"/>
      <c r="BI562" s="588" t="n"/>
      <c r="BJ562" s="588" t="n"/>
      <c r="BK562" s="588" t="n"/>
      <c r="BL562" s="588" t="n"/>
      <c r="BM562" s="588" t="n"/>
      <c r="BN562" s="588" t="n"/>
      <c r="BO562" s="588" t="n"/>
      <c r="BP562" s="588" t="n"/>
      <c r="BQ562" s="588" t="n"/>
      <c r="BR562" s="588" t="n"/>
      <c r="BS562" s="588" t="n"/>
      <c r="BT562" s="588" t="n"/>
      <c r="BU562" s="588" t="n"/>
      <c r="BV562" s="588" t="n"/>
      <c r="BW562" s="588" t="n"/>
      <c r="BX562" s="588" t="n"/>
      <c r="BY562" s="588" t="n"/>
      <c r="BZ562" s="588" t="n"/>
      <c r="CA562" s="588" t="n"/>
      <c r="CB562" s="588" t="n"/>
      <c r="CC562" s="588" t="n"/>
      <c r="CD562" s="588" t="n"/>
      <c r="CE562" s="588" t="n"/>
      <c r="CF562" s="588" t="n"/>
      <c r="CG562" s="588" t="n"/>
      <c r="CH562" s="588" t="n"/>
      <c r="CI562" s="588" t="n"/>
      <c r="CJ562" s="588" t="n"/>
      <c r="CK562" s="588" t="n"/>
      <c r="CL562" s="588" t="n"/>
      <c r="CM562" s="588" t="n"/>
      <c r="CN562" s="588" t="n"/>
      <c r="CO562" s="588" t="n"/>
      <c r="CP562" s="588" t="n"/>
      <c r="CQ562" s="588" t="n"/>
      <c r="CR562" s="588" t="n"/>
      <c r="CS562" s="588" t="n"/>
      <c r="CT562" s="588" t="n"/>
      <c r="CU562" s="588" t="n"/>
      <c r="CV562" s="588" t="n"/>
      <c r="CW562" s="588" t="n"/>
      <c r="CX562" s="588" t="n"/>
      <c r="CY562" s="588" t="n"/>
      <c r="CZ562" s="588" t="n"/>
      <c r="DA562" s="588" t="n"/>
      <c r="DB562" s="588" t="n"/>
      <c r="DC562" s="588" t="n"/>
      <c r="DD562" s="588" t="n"/>
      <c r="DE562" s="588" t="n"/>
      <c r="DF562" s="588" t="n"/>
      <c r="DG562" s="588" t="n"/>
      <c r="DH562" s="588" t="n"/>
      <c r="DI562" s="588" t="n"/>
      <c r="DJ562" s="588" t="n"/>
      <c r="DK562" s="588" t="n"/>
      <c r="DL562" s="588" t="n"/>
      <c r="DM562" s="588" t="n"/>
      <c r="DN562" s="588" t="n"/>
      <c r="DO562" s="588" t="n"/>
      <c r="DP562" s="588" t="n"/>
      <c r="DQ562" s="588" t="n"/>
      <c r="DR562" s="588" t="n"/>
      <c r="DS562" s="588" t="n"/>
      <c r="DT562" s="588" t="n"/>
      <c r="DU562" s="588" t="n"/>
    </row>
    <row r="563">
      <c r="A563" s="737" t="n"/>
      <c r="B563" s="737" t="n"/>
      <c r="C563" s="737" t="n"/>
      <c r="D563" s="737" t="n"/>
      <c r="E563" s="737" t="n"/>
      <c r="F563" s="737" t="n"/>
      <c r="G563" s="737" t="n"/>
      <c r="H563" s="737" t="n"/>
      <c r="I563" s="737" t="n"/>
      <c r="J563" s="737" t="n"/>
      <c r="K563" s="737" t="n"/>
      <c r="L563" s="737" t="n"/>
      <c r="M563" s="737" t="n"/>
      <c r="N563" s="737" t="n"/>
      <c r="O563" s="737" t="n"/>
      <c r="P563" s="737" t="n"/>
      <c r="Q563" s="737" t="n"/>
      <c r="R563" s="737" t="n"/>
      <c r="S563" s="737" t="n"/>
      <c r="T563" s="737" t="n"/>
      <c r="U563" s="737" t="n"/>
      <c r="V563" s="737" t="n"/>
      <c r="W563" s="737" t="n"/>
      <c r="X563" s="737" t="n"/>
      <c r="Y563" s="737" t="n"/>
      <c r="Z563" s="737" t="n"/>
      <c r="AA563" s="737" t="n"/>
      <c r="AB563" s="737" t="n"/>
      <c r="AC563" s="737" t="n"/>
      <c r="AD563" s="737" t="n"/>
      <c r="AE563" s="737" t="n"/>
      <c r="AF563" s="737" t="n"/>
      <c r="AG563" s="737" t="n"/>
      <c r="AH563" s="737" t="n"/>
      <c r="AI563" s="737" t="n"/>
      <c r="AJ563" s="737" t="n"/>
      <c r="AK563" s="588" t="n"/>
      <c r="AL563" s="588" t="n"/>
      <c r="AM563" s="588" t="n"/>
      <c r="AN563" s="588" t="n"/>
      <c r="AO563" s="588" t="n"/>
      <c r="AP563" s="588" t="n"/>
      <c r="AQ563" s="588" t="n"/>
      <c r="AR563" s="588" t="n"/>
      <c r="AS563" s="588" t="n"/>
      <c r="AT563" s="588" t="n"/>
      <c r="AU563" s="588" t="n"/>
      <c r="AV563" s="588" t="n"/>
      <c r="AW563" s="588" t="n"/>
      <c r="AX563" s="588" t="n"/>
      <c r="AY563" s="588" t="n"/>
      <c r="AZ563" s="588" t="n"/>
      <c r="BA563" s="588" t="n"/>
      <c r="BB563" s="588" t="n"/>
      <c r="BC563" s="588" t="n"/>
      <c r="BD563" s="588" t="n"/>
      <c r="BE563" s="588" t="n"/>
      <c r="BF563" s="588" t="n"/>
      <c r="BG563" s="588" t="n"/>
      <c r="BH563" s="588" t="n"/>
      <c r="BI563" s="588" t="n"/>
      <c r="BJ563" s="588" t="n"/>
      <c r="BK563" s="588" t="n"/>
      <c r="BL563" s="588" t="n"/>
      <c r="BM563" s="588" t="n"/>
      <c r="BN563" s="588" t="n"/>
      <c r="BO563" s="588" t="n"/>
      <c r="BP563" s="588" t="n"/>
      <c r="BQ563" s="588" t="n"/>
      <c r="BR563" s="588" t="n"/>
      <c r="BS563" s="588" t="n"/>
      <c r="BT563" s="588" t="n"/>
      <c r="BU563" s="588" t="n"/>
      <c r="BV563" s="588" t="n"/>
      <c r="BW563" s="588" t="n"/>
      <c r="BX563" s="588" t="n"/>
      <c r="BY563" s="588" t="n"/>
      <c r="BZ563" s="588" t="n"/>
      <c r="CA563" s="588" t="n"/>
      <c r="CB563" s="588" t="n"/>
      <c r="CC563" s="588" t="n"/>
      <c r="CD563" s="588" t="n"/>
      <c r="CE563" s="588" t="n"/>
      <c r="CF563" s="588" t="n"/>
      <c r="CG563" s="588" t="n"/>
      <c r="CH563" s="588" t="n"/>
      <c r="CI563" s="588" t="n"/>
      <c r="CJ563" s="588" t="n"/>
      <c r="CK563" s="588" t="n"/>
      <c r="CL563" s="588" t="n"/>
      <c r="CM563" s="588" t="n"/>
      <c r="CN563" s="588" t="n"/>
      <c r="CO563" s="588" t="n"/>
      <c r="CP563" s="588" t="n"/>
      <c r="CQ563" s="588" t="n"/>
      <c r="CR563" s="588" t="n"/>
      <c r="CS563" s="588" t="n"/>
      <c r="CT563" s="588" t="n"/>
      <c r="CU563" s="588" t="n"/>
      <c r="CV563" s="588" t="n"/>
      <c r="CW563" s="588" t="n"/>
      <c r="CX563" s="588" t="n"/>
      <c r="CY563" s="588" t="n"/>
      <c r="CZ563" s="588" t="n"/>
      <c r="DA563" s="588" t="n"/>
      <c r="DB563" s="588" t="n"/>
      <c r="DC563" s="588" t="n"/>
      <c r="DD563" s="588" t="n"/>
      <c r="DE563" s="588" t="n"/>
      <c r="DF563" s="588" t="n"/>
      <c r="DG563" s="588" t="n"/>
      <c r="DH563" s="588" t="n"/>
      <c r="DI563" s="588" t="n"/>
      <c r="DJ563" s="588" t="n"/>
      <c r="DK563" s="588" t="n"/>
      <c r="DL563" s="588" t="n"/>
      <c r="DM563" s="588" t="n"/>
      <c r="DN563" s="588" t="n"/>
      <c r="DO563" s="588" t="n"/>
      <c r="DP563" s="588" t="n"/>
      <c r="DQ563" s="588" t="n"/>
      <c r="DR563" s="588" t="n"/>
      <c r="DS563" s="588" t="n"/>
      <c r="DT563" s="588" t="n"/>
      <c r="DU563" s="588" t="n"/>
    </row>
    <row r="564">
      <c r="A564" s="737" t="n"/>
      <c r="B564" s="737" t="n"/>
      <c r="C564" s="737" t="n"/>
      <c r="D564" s="737" t="n"/>
      <c r="E564" s="737" t="n"/>
      <c r="F564" s="737" t="n"/>
      <c r="G564" s="737" t="n"/>
      <c r="H564" s="737" t="n"/>
      <c r="I564" s="737" t="n"/>
      <c r="J564" s="737" t="n"/>
      <c r="K564" s="737" t="n"/>
      <c r="L564" s="737" t="n"/>
      <c r="M564" s="737" t="n"/>
      <c r="N564" s="737" t="n"/>
      <c r="O564" s="737" t="n"/>
      <c r="P564" s="737" t="n"/>
      <c r="Q564" s="737" t="n"/>
      <c r="R564" s="737" t="n"/>
      <c r="S564" s="737" t="n"/>
      <c r="T564" s="737" t="n"/>
      <c r="U564" s="737" t="n"/>
      <c r="V564" s="737" t="n"/>
      <c r="W564" s="737" t="n"/>
      <c r="X564" s="737" t="n"/>
      <c r="Y564" s="737" t="n"/>
      <c r="Z564" s="737" t="n"/>
      <c r="AA564" s="737" t="n"/>
      <c r="AB564" s="737" t="n"/>
      <c r="AC564" s="737" t="n"/>
      <c r="AD564" s="737" t="n"/>
      <c r="AE564" s="737" t="n"/>
      <c r="AF564" s="737" t="n"/>
      <c r="AG564" s="737" t="n"/>
      <c r="AH564" s="737" t="n"/>
      <c r="AI564" s="737" t="n"/>
      <c r="AJ564" s="737" t="n"/>
      <c r="AK564" s="588" t="n"/>
      <c r="AL564" s="588" t="n"/>
      <c r="AM564" s="588" t="n"/>
      <c r="AN564" s="588" t="n"/>
      <c r="AO564" s="588" t="n"/>
      <c r="AP564" s="588" t="n"/>
      <c r="AQ564" s="588" t="n"/>
      <c r="AR564" s="588" t="n"/>
      <c r="AS564" s="588" t="n"/>
      <c r="AT564" s="588" t="n"/>
      <c r="AU564" s="588" t="n"/>
      <c r="AV564" s="588" t="n"/>
      <c r="AW564" s="588" t="n"/>
      <c r="AX564" s="588" t="n"/>
      <c r="AY564" s="588" t="n"/>
      <c r="AZ564" s="588" t="n"/>
      <c r="BA564" s="588" t="n"/>
      <c r="BB564" s="588" t="n"/>
      <c r="BC564" s="588" t="n"/>
      <c r="BD564" s="588" t="n"/>
      <c r="BE564" s="588" t="n"/>
      <c r="BF564" s="588" t="n"/>
      <c r="BG564" s="588" t="n"/>
      <c r="BH564" s="588" t="n"/>
      <c r="BI564" s="588" t="n"/>
      <c r="BJ564" s="588" t="n"/>
      <c r="BK564" s="588" t="n"/>
      <c r="BL564" s="588" t="n"/>
      <c r="BM564" s="588" t="n"/>
      <c r="BN564" s="588" t="n"/>
      <c r="BO564" s="588" t="n"/>
      <c r="BP564" s="588" t="n"/>
      <c r="BQ564" s="588" t="n"/>
      <c r="BR564" s="588" t="n"/>
      <c r="BS564" s="588" t="n"/>
      <c r="BT564" s="588" t="n"/>
      <c r="BU564" s="588" t="n"/>
      <c r="BV564" s="588" t="n"/>
      <c r="BW564" s="588" t="n"/>
      <c r="BX564" s="588" t="n"/>
      <c r="BY564" s="588" t="n"/>
      <c r="BZ564" s="588" t="n"/>
      <c r="CA564" s="588" t="n"/>
      <c r="CB564" s="588" t="n"/>
      <c r="CC564" s="588" t="n"/>
      <c r="CD564" s="588" t="n"/>
      <c r="CE564" s="588" t="n"/>
      <c r="CF564" s="588" t="n"/>
      <c r="CG564" s="588" t="n"/>
      <c r="CH564" s="588" t="n"/>
      <c r="CI564" s="588" t="n"/>
      <c r="CJ564" s="588" t="n"/>
      <c r="CK564" s="588" t="n"/>
      <c r="CL564" s="588" t="n"/>
      <c r="CM564" s="588" t="n"/>
      <c r="CN564" s="588" t="n"/>
      <c r="CO564" s="588" t="n"/>
      <c r="CP564" s="588" t="n"/>
      <c r="CQ564" s="588" t="n"/>
      <c r="CR564" s="588" t="n"/>
      <c r="CS564" s="588" t="n"/>
      <c r="CT564" s="588" t="n"/>
      <c r="CU564" s="588" t="n"/>
      <c r="CV564" s="588" t="n"/>
      <c r="CW564" s="588" t="n"/>
      <c r="CX564" s="588" t="n"/>
      <c r="CY564" s="588" t="n"/>
      <c r="CZ564" s="588" t="n"/>
      <c r="DA564" s="588" t="n"/>
      <c r="DB564" s="588" t="n"/>
      <c r="DC564" s="588" t="n"/>
      <c r="DD564" s="588" t="n"/>
      <c r="DE564" s="588" t="n"/>
      <c r="DF564" s="588" t="n"/>
      <c r="DG564" s="588" t="n"/>
      <c r="DH564" s="588" t="n"/>
      <c r="DI564" s="588" t="n"/>
      <c r="DJ564" s="588" t="n"/>
      <c r="DK564" s="588" t="n"/>
      <c r="DL564" s="588" t="n"/>
      <c r="DM564" s="588" t="n"/>
      <c r="DN564" s="588" t="n"/>
      <c r="DO564" s="588" t="n"/>
      <c r="DP564" s="588" t="n"/>
      <c r="DQ564" s="588" t="n"/>
      <c r="DR564" s="588" t="n"/>
      <c r="DS564" s="588" t="n"/>
      <c r="DT564" s="588" t="n"/>
      <c r="DU564" s="588" t="n"/>
    </row>
    <row r="565">
      <c r="A565" s="737" t="n"/>
      <c r="B565" s="737" t="n"/>
      <c r="C565" s="737" t="n"/>
      <c r="D565" s="737" t="n"/>
      <c r="E565" s="737" t="n"/>
      <c r="F565" s="737" t="n"/>
      <c r="G565" s="737" t="n"/>
      <c r="H565" s="737" t="n"/>
      <c r="I565" s="737" t="n"/>
      <c r="J565" s="737" t="n"/>
      <c r="K565" s="737" t="n"/>
      <c r="L565" s="737" t="n"/>
      <c r="M565" s="737" t="n"/>
      <c r="N565" s="737" t="n"/>
      <c r="O565" s="737" t="n"/>
      <c r="P565" s="737" t="n"/>
      <c r="Q565" s="737" t="n"/>
      <c r="R565" s="737" t="n"/>
      <c r="S565" s="737" t="n"/>
      <c r="T565" s="737" t="n"/>
      <c r="U565" s="737" t="n"/>
      <c r="V565" s="737" t="n"/>
      <c r="W565" s="737" t="n"/>
      <c r="X565" s="737" t="n"/>
      <c r="Y565" s="737" t="n"/>
      <c r="Z565" s="737" t="n"/>
      <c r="AA565" s="737" t="n"/>
      <c r="AB565" s="737" t="n"/>
      <c r="AC565" s="737" t="n"/>
      <c r="AD565" s="737" t="n"/>
      <c r="AE565" s="737" t="n"/>
      <c r="AF565" s="737" t="n"/>
      <c r="AG565" s="737" t="n"/>
      <c r="AH565" s="737" t="n"/>
      <c r="AI565" s="737" t="n"/>
      <c r="AJ565" s="737" t="n"/>
      <c r="AK565" s="588" t="n"/>
      <c r="AL565" s="588" t="n"/>
      <c r="AM565" s="588" t="n"/>
      <c r="AN565" s="588" t="n"/>
      <c r="AO565" s="588" t="n"/>
      <c r="AP565" s="588" t="n"/>
      <c r="AQ565" s="588" t="n"/>
      <c r="AR565" s="588" t="n"/>
      <c r="AS565" s="588" t="n"/>
      <c r="AT565" s="588" t="n"/>
      <c r="AU565" s="588" t="n"/>
      <c r="AV565" s="588" t="n"/>
      <c r="AW565" s="588" t="n"/>
      <c r="AX565" s="588" t="n"/>
      <c r="AY565" s="588" t="n"/>
      <c r="AZ565" s="588" t="n"/>
      <c r="BA565" s="588" t="n"/>
      <c r="BB565" s="588" t="n"/>
      <c r="BC565" s="588" t="n"/>
      <c r="BD565" s="588" t="n"/>
      <c r="BE565" s="588" t="n"/>
      <c r="BF565" s="588" t="n"/>
      <c r="BG565" s="588" t="n"/>
      <c r="BH565" s="588" t="n"/>
      <c r="BI565" s="588" t="n"/>
      <c r="BJ565" s="588" t="n"/>
      <c r="BK565" s="588" t="n"/>
      <c r="BL565" s="588" t="n"/>
      <c r="BM565" s="588" t="n"/>
      <c r="BN565" s="588" t="n"/>
      <c r="BO565" s="588" t="n"/>
      <c r="BP565" s="588" t="n"/>
      <c r="BQ565" s="588" t="n"/>
      <c r="BR565" s="588" t="n"/>
      <c r="BS565" s="588" t="n"/>
      <c r="BT565" s="588" t="n"/>
      <c r="BU565" s="588" t="n"/>
      <c r="BV565" s="588" t="n"/>
      <c r="BW565" s="588" t="n"/>
      <c r="BX565" s="588" t="n"/>
      <c r="BY565" s="588" t="n"/>
      <c r="BZ565" s="588" t="n"/>
      <c r="CA565" s="588" t="n"/>
      <c r="CB565" s="588" t="n"/>
      <c r="CC565" s="588" t="n"/>
      <c r="CD565" s="588" t="n"/>
      <c r="CE565" s="588" t="n"/>
      <c r="CF565" s="588" t="n"/>
      <c r="CG565" s="588" t="n"/>
      <c r="CH565" s="588" t="n"/>
      <c r="CI565" s="588" t="n"/>
      <c r="CJ565" s="588" t="n"/>
      <c r="CK565" s="588" t="n"/>
      <c r="CL565" s="588" t="n"/>
      <c r="CM565" s="588" t="n"/>
      <c r="CN565" s="588" t="n"/>
      <c r="CO565" s="588" t="n"/>
      <c r="CP565" s="588" t="n"/>
      <c r="CQ565" s="588" t="n"/>
      <c r="CR565" s="588" t="n"/>
      <c r="CS565" s="588" t="n"/>
      <c r="CT565" s="588" t="n"/>
      <c r="CU565" s="588" t="n"/>
      <c r="CV565" s="588" t="n"/>
      <c r="CW565" s="588" t="n"/>
      <c r="CX565" s="588" t="n"/>
      <c r="CY565" s="588" t="n"/>
      <c r="CZ565" s="588" t="n"/>
      <c r="DA565" s="588" t="n"/>
      <c r="DB565" s="588" t="n"/>
      <c r="DC565" s="588" t="n"/>
      <c r="DD565" s="588" t="n"/>
      <c r="DE565" s="588" t="n"/>
      <c r="DF565" s="588" t="n"/>
      <c r="DG565" s="588" t="n"/>
      <c r="DH565" s="588" t="n"/>
      <c r="DI565" s="588" t="n"/>
      <c r="DJ565" s="588" t="n"/>
      <c r="DK565" s="588" t="n"/>
      <c r="DL565" s="588" t="n"/>
      <c r="DM565" s="588" t="n"/>
      <c r="DN565" s="588" t="n"/>
      <c r="DO565" s="588" t="n"/>
      <c r="DP565" s="588" t="n"/>
      <c r="DQ565" s="588" t="n"/>
      <c r="DR565" s="588" t="n"/>
      <c r="DS565" s="588" t="n"/>
      <c r="DT565" s="588" t="n"/>
      <c r="DU565" s="588" t="n"/>
    </row>
    <row r="566">
      <c r="A566" s="737" t="n"/>
      <c r="B566" s="737" t="n"/>
      <c r="C566" s="737" t="n"/>
      <c r="D566" s="737" t="n"/>
      <c r="E566" s="737" t="n"/>
      <c r="F566" s="737" t="n"/>
      <c r="G566" s="737" t="n"/>
      <c r="H566" s="737" t="n"/>
      <c r="I566" s="737" t="n"/>
      <c r="J566" s="737" t="n"/>
      <c r="K566" s="737" t="n"/>
      <c r="L566" s="737" t="n"/>
      <c r="M566" s="737" t="n"/>
      <c r="N566" s="737" t="n"/>
      <c r="O566" s="737" t="n"/>
      <c r="P566" s="737" t="n"/>
      <c r="Q566" s="737" t="n"/>
      <c r="R566" s="737" t="n"/>
      <c r="S566" s="737" t="n"/>
      <c r="T566" s="737" t="n"/>
      <c r="U566" s="737" t="n"/>
      <c r="V566" s="737" t="n"/>
      <c r="W566" s="737" t="n"/>
      <c r="X566" s="737" t="n"/>
      <c r="Y566" s="737" t="n"/>
      <c r="Z566" s="737" t="n"/>
      <c r="AA566" s="737" t="n"/>
      <c r="AB566" s="737" t="n"/>
      <c r="AC566" s="737" t="n"/>
      <c r="AD566" s="737" t="n"/>
      <c r="AE566" s="737" t="n"/>
      <c r="AF566" s="737" t="n"/>
      <c r="AG566" s="737" t="n"/>
      <c r="AH566" s="737" t="n"/>
      <c r="AI566" s="737" t="n"/>
      <c r="AJ566" s="737" t="n"/>
      <c r="AK566" s="588" t="n"/>
      <c r="AL566" s="588" t="n"/>
      <c r="AM566" s="588" t="n"/>
      <c r="AN566" s="588" t="n"/>
      <c r="AO566" s="588" t="n"/>
      <c r="AP566" s="588" t="n"/>
      <c r="AQ566" s="588" t="n"/>
      <c r="AR566" s="588" t="n"/>
      <c r="AS566" s="588" t="n"/>
      <c r="AT566" s="588" t="n"/>
      <c r="AU566" s="588" t="n"/>
      <c r="AV566" s="588" t="n"/>
      <c r="AW566" s="588" t="n"/>
      <c r="AX566" s="588" t="n"/>
      <c r="AY566" s="588" t="n"/>
      <c r="AZ566" s="588" t="n"/>
      <c r="BA566" s="588" t="n"/>
      <c r="BB566" s="588" t="n"/>
      <c r="BC566" s="588" t="n"/>
      <c r="BD566" s="588" t="n"/>
      <c r="BE566" s="588" t="n"/>
      <c r="BF566" s="588" t="n"/>
      <c r="BG566" s="588" t="n"/>
      <c r="BH566" s="588" t="n"/>
      <c r="BI566" s="588" t="n"/>
      <c r="BJ566" s="588" t="n"/>
      <c r="BK566" s="588" t="n"/>
      <c r="BL566" s="588" t="n"/>
      <c r="BM566" s="588" t="n"/>
      <c r="BN566" s="588" t="n"/>
      <c r="BO566" s="588" t="n"/>
      <c r="BP566" s="588" t="n"/>
      <c r="BQ566" s="588" t="n"/>
      <c r="BR566" s="588" t="n"/>
      <c r="BS566" s="588" t="n"/>
      <c r="BT566" s="588" t="n"/>
      <c r="BU566" s="588" t="n"/>
      <c r="BV566" s="588" t="n"/>
      <c r="BW566" s="588" t="n"/>
      <c r="BX566" s="588" t="n"/>
      <c r="BY566" s="588" t="n"/>
      <c r="BZ566" s="588" t="n"/>
      <c r="CA566" s="588" t="n"/>
      <c r="CB566" s="588" t="n"/>
      <c r="CC566" s="588" t="n"/>
      <c r="CD566" s="588" t="n"/>
      <c r="CE566" s="588" t="n"/>
      <c r="CF566" s="588" t="n"/>
      <c r="CG566" s="588" t="n"/>
      <c r="CH566" s="588" t="n"/>
      <c r="CI566" s="588" t="n"/>
      <c r="CJ566" s="588" t="n"/>
      <c r="CK566" s="588" t="n"/>
      <c r="CL566" s="588" t="n"/>
      <c r="CM566" s="588" t="n"/>
      <c r="CN566" s="588" t="n"/>
      <c r="CO566" s="588" t="n"/>
      <c r="CP566" s="588" t="n"/>
      <c r="CQ566" s="588" t="n"/>
      <c r="CR566" s="588" t="n"/>
      <c r="CS566" s="588" t="n"/>
      <c r="CT566" s="588" t="n"/>
      <c r="CU566" s="588" t="n"/>
      <c r="CV566" s="588" t="n"/>
      <c r="CW566" s="588" t="n"/>
      <c r="CX566" s="588" t="n"/>
      <c r="CY566" s="588" t="n"/>
      <c r="CZ566" s="588" t="n"/>
      <c r="DA566" s="588" t="n"/>
      <c r="DB566" s="588" t="n"/>
      <c r="DC566" s="588" t="n"/>
      <c r="DD566" s="588" t="n"/>
      <c r="DE566" s="588" t="n"/>
      <c r="DF566" s="588" t="n"/>
      <c r="DG566" s="588" t="n"/>
      <c r="DH566" s="588" t="n"/>
      <c r="DI566" s="588" t="n"/>
      <c r="DJ566" s="588" t="n"/>
      <c r="DK566" s="588" t="n"/>
      <c r="DL566" s="588" t="n"/>
      <c r="DM566" s="588" t="n"/>
      <c r="DN566" s="588" t="n"/>
      <c r="DO566" s="588" t="n"/>
      <c r="DP566" s="588" t="n"/>
      <c r="DQ566" s="588" t="n"/>
      <c r="DR566" s="588" t="n"/>
      <c r="DS566" s="588" t="n"/>
      <c r="DT566" s="588" t="n"/>
      <c r="DU566" s="588" t="n"/>
    </row>
    <row r="567">
      <c r="A567" s="737" t="n"/>
      <c r="B567" s="737" t="n"/>
      <c r="C567" s="737" t="n"/>
      <c r="D567" s="737" t="n"/>
      <c r="E567" s="737" t="n"/>
      <c r="F567" s="737" t="n"/>
      <c r="G567" s="737" t="n"/>
      <c r="H567" s="737" t="n"/>
      <c r="I567" s="737" t="n"/>
      <c r="J567" s="737" t="n"/>
      <c r="K567" s="737" t="n"/>
      <c r="L567" s="737" t="n"/>
      <c r="M567" s="737" t="n"/>
      <c r="N567" s="737" t="n"/>
      <c r="O567" s="737" t="n"/>
      <c r="P567" s="737" t="n"/>
      <c r="Q567" s="737" t="n"/>
      <c r="R567" s="737" t="n"/>
      <c r="S567" s="737" t="n"/>
      <c r="T567" s="737" t="n"/>
      <c r="U567" s="737" t="n"/>
      <c r="V567" s="737" t="n"/>
      <c r="W567" s="737" t="n"/>
      <c r="X567" s="737" t="n"/>
      <c r="Y567" s="737" t="n"/>
      <c r="Z567" s="737" t="n"/>
      <c r="AA567" s="737" t="n"/>
      <c r="AB567" s="737" t="n"/>
      <c r="AC567" s="737" t="n"/>
      <c r="AD567" s="737" t="n"/>
      <c r="AE567" s="737" t="n"/>
      <c r="AF567" s="737" t="n"/>
      <c r="AG567" s="737" t="n"/>
      <c r="AH567" s="737" t="n"/>
      <c r="AI567" s="737" t="n"/>
      <c r="AJ567" s="737" t="n"/>
      <c r="AK567" s="588" t="n"/>
      <c r="AL567" s="588" t="n"/>
      <c r="AM567" s="588" t="n"/>
      <c r="AN567" s="588" t="n"/>
      <c r="AO567" s="588" t="n"/>
      <c r="AP567" s="588" t="n"/>
      <c r="AQ567" s="588" t="n"/>
      <c r="AR567" s="588" t="n"/>
      <c r="AS567" s="588" t="n"/>
      <c r="AT567" s="588" t="n"/>
      <c r="AU567" s="588" t="n"/>
      <c r="AV567" s="588" t="n"/>
      <c r="AW567" s="588" t="n"/>
      <c r="AX567" s="588" t="n"/>
      <c r="AY567" s="588" t="n"/>
      <c r="AZ567" s="588" t="n"/>
      <c r="BA567" s="588" t="n"/>
      <c r="BB567" s="588" t="n"/>
      <c r="BC567" s="588" t="n"/>
      <c r="BD567" s="588" t="n"/>
      <c r="BE567" s="588" t="n"/>
      <c r="BF567" s="588" t="n"/>
      <c r="BG567" s="588" t="n"/>
      <c r="BH567" s="588" t="n"/>
      <c r="BI567" s="588" t="n"/>
      <c r="BJ567" s="588" t="n"/>
      <c r="BK567" s="588" t="n"/>
      <c r="BL567" s="588" t="n"/>
      <c r="BM567" s="588" t="n"/>
      <c r="BN567" s="588" t="n"/>
      <c r="BO567" s="588" t="n"/>
      <c r="BP567" s="588" t="n"/>
      <c r="BQ567" s="588" t="n"/>
      <c r="BR567" s="588" t="n"/>
      <c r="BS567" s="588" t="n"/>
      <c r="BT567" s="588" t="n"/>
      <c r="BU567" s="588" t="n"/>
      <c r="BV567" s="588" t="n"/>
      <c r="BW567" s="588" t="n"/>
      <c r="BX567" s="588" t="n"/>
      <c r="BY567" s="588" t="n"/>
      <c r="BZ567" s="588" t="n"/>
      <c r="CA567" s="588" t="n"/>
      <c r="CB567" s="588" t="n"/>
      <c r="CC567" s="588" t="n"/>
      <c r="CD567" s="588" t="n"/>
      <c r="CE567" s="588" t="n"/>
      <c r="CF567" s="588" t="n"/>
      <c r="CG567" s="588" t="n"/>
      <c r="CH567" s="588" t="n"/>
      <c r="CI567" s="588" t="n"/>
      <c r="CJ567" s="588" t="n"/>
      <c r="CK567" s="588" t="n"/>
      <c r="CL567" s="588" t="n"/>
      <c r="CM567" s="588" t="n"/>
      <c r="CN567" s="588" t="n"/>
      <c r="CO567" s="588" t="n"/>
      <c r="CP567" s="588" t="n"/>
      <c r="CQ567" s="588" t="n"/>
      <c r="CR567" s="588" t="n"/>
      <c r="CS567" s="588" t="n"/>
      <c r="CT567" s="588" t="n"/>
      <c r="CU567" s="588" t="n"/>
      <c r="CV567" s="588" t="n"/>
      <c r="CW567" s="588" t="n"/>
      <c r="CX567" s="588" t="n"/>
      <c r="CY567" s="588" t="n"/>
      <c r="CZ567" s="588" t="n"/>
      <c r="DA567" s="588" t="n"/>
      <c r="DB567" s="588" t="n"/>
      <c r="DC567" s="588" t="n"/>
      <c r="DD567" s="588" t="n"/>
      <c r="DE567" s="588" t="n"/>
      <c r="DF567" s="588" t="n"/>
      <c r="DG567" s="588" t="n"/>
      <c r="DH567" s="588" t="n"/>
      <c r="DI567" s="588" t="n"/>
      <c r="DJ567" s="588" t="n"/>
      <c r="DK567" s="588" t="n"/>
      <c r="DL567" s="588" t="n"/>
      <c r="DM567" s="588" t="n"/>
      <c r="DN567" s="588" t="n"/>
      <c r="DO567" s="588" t="n"/>
      <c r="DP567" s="588" t="n"/>
      <c r="DQ567" s="588" t="n"/>
      <c r="DR567" s="588" t="n"/>
      <c r="DS567" s="588" t="n"/>
      <c r="DT567" s="588" t="n"/>
      <c r="DU567" s="588" t="n"/>
    </row>
    <row r="568">
      <c r="A568" s="737" t="n"/>
      <c r="B568" s="737" t="n"/>
      <c r="C568" s="737" t="n"/>
      <c r="D568" s="737" t="n"/>
      <c r="E568" s="737" t="n"/>
      <c r="F568" s="737" t="n"/>
      <c r="G568" s="737" t="n"/>
      <c r="H568" s="737" t="n"/>
      <c r="I568" s="737" t="n"/>
      <c r="J568" s="737" t="n"/>
      <c r="K568" s="737" t="n"/>
      <c r="L568" s="737" t="n"/>
      <c r="M568" s="737" t="n"/>
      <c r="N568" s="737" t="n"/>
      <c r="O568" s="737" t="n"/>
      <c r="P568" s="737" t="n"/>
      <c r="Q568" s="737" t="n"/>
      <c r="R568" s="737" t="n"/>
      <c r="S568" s="737" t="n"/>
      <c r="T568" s="737" t="n"/>
      <c r="U568" s="737" t="n"/>
      <c r="V568" s="737" t="n"/>
      <c r="W568" s="737" t="n"/>
      <c r="X568" s="737" t="n"/>
      <c r="Y568" s="737" t="n"/>
      <c r="Z568" s="737" t="n"/>
      <c r="AA568" s="737" t="n"/>
      <c r="AB568" s="737" t="n"/>
      <c r="AC568" s="737" t="n"/>
      <c r="AD568" s="737" t="n"/>
      <c r="AE568" s="737" t="n"/>
      <c r="AF568" s="737" t="n"/>
      <c r="AG568" s="737" t="n"/>
      <c r="AH568" s="737" t="n"/>
      <c r="AI568" s="737" t="n"/>
      <c r="AJ568" s="737" t="n"/>
      <c r="AK568" s="588" t="n"/>
      <c r="AL568" s="588" t="n"/>
      <c r="AM568" s="588" t="n"/>
      <c r="AN568" s="588" t="n"/>
      <c r="AO568" s="588" t="n"/>
      <c r="AP568" s="588" t="n"/>
      <c r="AQ568" s="588" t="n"/>
      <c r="AR568" s="588" t="n"/>
      <c r="AS568" s="588" t="n"/>
      <c r="AT568" s="588" t="n"/>
      <c r="AU568" s="588" t="n"/>
      <c r="AV568" s="588" t="n"/>
      <c r="AW568" s="588" t="n"/>
      <c r="AX568" s="588" t="n"/>
      <c r="AY568" s="588" t="n"/>
      <c r="AZ568" s="588" t="n"/>
      <c r="BA568" s="588" t="n"/>
      <c r="BB568" s="588" t="n"/>
      <c r="BC568" s="588" t="n"/>
      <c r="BD568" s="588" t="n"/>
      <c r="BE568" s="588" t="n"/>
      <c r="BF568" s="588" t="n"/>
      <c r="BG568" s="588" t="n"/>
      <c r="BH568" s="588" t="n"/>
      <c r="BI568" s="588" t="n"/>
      <c r="BJ568" s="588" t="n"/>
      <c r="BK568" s="588" t="n"/>
      <c r="BL568" s="588" t="n"/>
      <c r="BM568" s="588" t="n"/>
      <c r="BN568" s="588" t="n"/>
      <c r="BO568" s="588" t="n"/>
      <c r="BP568" s="588" t="n"/>
      <c r="BQ568" s="588" t="n"/>
      <c r="BR568" s="588" t="n"/>
      <c r="BS568" s="588" t="n"/>
      <c r="BT568" s="588" t="n"/>
      <c r="BU568" s="588" t="n"/>
      <c r="BV568" s="588" t="n"/>
      <c r="BW568" s="588" t="n"/>
      <c r="BX568" s="588" t="n"/>
      <c r="BY568" s="588" t="n"/>
      <c r="BZ568" s="588" t="n"/>
      <c r="CA568" s="588" t="n"/>
      <c r="CB568" s="588" t="n"/>
      <c r="CC568" s="588" t="n"/>
      <c r="CD568" s="588" t="n"/>
      <c r="CE568" s="588" t="n"/>
      <c r="CF568" s="588" t="n"/>
      <c r="CG568" s="588" t="n"/>
      <c r="CH568" s="588" t="n"/>
      <c r="CI568" s="588" t="n"/>
      <c r="CJ568" s="588" t="n"/>
      <c r="CK568" s="588" t="n"/>
      <c r="CL568" s="588" t="n"/>
      <c r="CM568" s="588" t="n"/>
      <c r="CN568" s="588" t="n"/>
      <c r="CO568" s="588" t="n"/>
      <c r="CP568" s="588" t="n"/>
      <c r="CQ568" s="588" t="n"/>
      <c r="CR568" s="588" t="n"/>
      <c r="CS568" s="588" t="n"/>
      <c r="CT568" s="588" t="n"/>
      <c r="CU568" s="588" t="n"/>
      <c r="CV568" s="588" t="n"/>
      <c r="CW568" s="588" t="n"/>
      <c r="CX568" s="588" t="n"/>
      <c r="CY568" s="588" t="n"/>
      <c r="CZ568" s="588" t="n"/>
      <c r="DA568" s="588" t="n"/>
      <c r="DB568" s="588" t="n"/>
      <c r="DC568" s="588" t="n"/>
      <c r="DD568" s="588" t="n"/>
      <c r="DE568" s="588" t="n"/>
      <c r="DF568" s="588" t="n"/>
      <c r="DG568" s="588" t="n"/>
      <c r="DH568" s="588" t="n"/>
      <c r="DI568" s="588" t="n"/>
      <c r="DJ568" s="588" t="n"/>
      <c r="DK568" s="588" t="n"/>
      <c r="DL568" s="588" t="n"/>
      <c r="DM568" s="588" t="n"/>
      <c r="DN568" s="588" t="n"/>
      <c r="DO568" s="588" t="n"/>
      <c r="DP568" s="588" t="n"/>
      <c r="DQ568" s="588" t="n"/>
      <c r="DR568" s="588" t="n"/>
      <c r="DS568" s="588" t="n"/>
      <c r="DT568" s="588" t="n"/>
      <c r="DU568" s="588" t="n"/>
    </row>
    <row r="569">
      <c r="A569" s="737" t="n"/>
      <c r="B569" s="737" t="n"/>
      <c r="C569" s="737" t="n"/>
      <c r="D569" s="737" t="n"/>
      <c r="E569" s="737" t="n"/>
      <c r="F569" s="737" t="n"/>
      <c r="G569" s="737" t="n"/>
      <c r="H569" s="737" t="n"/>
      <c r="I569" s="737" t="n"/>
      <c r="J569" s="737" t="n"/>
      <c r="K569" s="737" t="n"/>
      <c r="L569" s="737" t="n"/>
      <c r="M569" s="737" t="n"/>
      <c r="N569" s="737" t="n"/>
      <c r="O569" s="737" t="n"/>
      <c r="P569" s="737" t="n"/>
      <c r="Q569" s="737" t="n"/>
      <c r="R569" s="737" t="n"/>
      <c r="S569" s="737" t="n"/>
      <c r="T569" s="737" t="n"/>
      <c r="U569" s="737" t="n"/>
      <c r="V569" s="737" t="n"/>
      <c r="W569" s="737" t="n"/>
      <c r="X569" s="737" t="n"/>
      <c r="Y569" s="737" t="n"/>
      <c r="Z569" s="737" t="n"/>
      <c r="AA569" s="737" t="n"/>
      <c r="AB569" s="737" t="n"/>
      <c r="AC569" s="737" t="n"/>
      <c r="AD569" s="737" t="n"/>
      <c r="AE569" s="737" t="n"/>
      <c r="AF569" s="737" t="n"/>
      <c r="AG569" s="737" t="n"/>
      <c r="AH569" s="737" t="n"/>
      <c r="AI569" s="737" t="n"/>
      <c r="AJ569" s="737" t="n"/>
      <c r="AK569" s="588" t="n"/>
      <c r="AL569" s="588" t="n"/>
      <c r="AM569" s="588" t="n"/>
      <c r="AN569" s="588" t="n"/>
      <c r="AO569" s="588" t="n"/>
      <c r="AP569" s="588" t="n"/>
      <c r="AQ569" s="588" t="n"/>
      <c r="AR569" s="588" t="n"/>
      <c r="AS569" s="588" t="n"/>
      <c r="AT569" s="588" t="n"/>
      <c r="AU569" s="588" t="n"/>
      <c r="AV569" s="588" t="n"/>
      <c r="AW569" s="588" t="n"/>
      <c r="AX569" s="588" t="n"/>
      <c r="AY569" s="588" t="n"/>
      <c r="AZ569" s="588" t="n"/>
      <c r="BA569" s="588" t="n"/>
      <c r="BB569" s="588" t="n"/>
      <c r="BC569" s="588" t="n"/>
      <c r="BD569" s="588" t="n"/>
      <c r="BE569" s="588" t="n"/>
      <c r="BF569" s="588" t="n"/>
      <c r="BG569" s="588" t="n"/>
      <c r="BH569" s="588" t="n"/>
      <c r="BI569" s="588" t="n"/>
      <c r="BJ569" s="588" t="n"/>
      <c r="BK569" s="588" t="n"/>
      <c r="BL569" s="588" t="n"/>
      <c r="BM569" s="588" t="n"/>
      <c r="BN569" s="588" t="n"/>
      <c r="BO569" s="588" t="n"/>
      <c r="BP569" s="588" t="n"/>
      <c r="BQ569" s="588" t="n"/>
      <c r="BR569" s="588" t="n"/>
      <c r="BS569" s="588" t="n"/>
      <c r="BT569" s="588" t="n"/>
      <c r="BU569" s="588" t="n"/>
      <c r="BV569" s="588" t="n"/>
      <c r="BW569" s="588" t="n"/>
      <c r="BX569" s="588" t="n"/>
      <c r="BY569" s="588" t="n"/>
      <c r="BZ569" s="588" t="n"/>
      <c r="CA569" s="588" t="n"/>
      <c r="CB569" s="588" t="n"/>
      <c r="CC569" s="588" t="n"/>
      <c r="CD569" s="588" t="n"/>
      <c r="CE569" s="588" t="n"/>
      <c r="CF569" s="588" t="n"/>
      <c r="CG569" s="588" t="n"/>
      <c r="CH569" s="588" t="n"/>
      <c r="CI569" s="588" t="n"/>
      <c r="CJ569" s="588" t="n"/>
      <c r="CK569" s="588" t="n"/>
      <c r="CL569" s="588" t="n"/>
      <c r="CM569" s="588" t="n"/>
      <c r="CN569" s="588" t="n"/>
      <c r="CO569" s="588" t="n"/>
      <c r="CP569" s="588" t="n"/>
      <c r="CQ569" s="588" t="n"/>
      <c r="CR569" s="588" t="n"/>
      <c r="CS569" s="588" t="n"/>
      <c r="CT569" s="588" t="n"/>
      <c r="CU569" s="588" t="n"/>
      <c r="CV569" s="588" t="n"/>
      <c r="CW569" s="588" t="n"/>
      <c r="CX569" s="588" t="n"/>
      <c r="CY569" s="588" t="n"/>
      <c r="CZ569" s="588" t="n"/>
      <c r="DA569" s="588" t="n"/>
      <c r="DB569" s="588" t="n"/>
      <c r="DC569" s="588" t="n"/>
      <c r="DD569" s="588" t="n"/>
      <c r="DE569" s="588" t="n"/>
      <c r="DF569" s="588" t="n"/>
      <c r="DG569" s="588" t="n"/>
      <c r="DH569" s="588" t="n"/>
      <c r="DI569" s="588" t="n"/>
      <c r="DJ569" s="588" t="n"/>
      <c r="DK569" s="588" t="n"/>
      <c r="DL569" s="588" t="n"/>
      <c r="DM569" s="588" t="n"/>
      <c r="DN569" s="588" t="n"/>
      <c r="DO569" s="588" t="n"/>
      <c r="DP569" s="588" t="n"/>
      <c r="DQ569" s="588" t="n"/>
      <c r="DR569" s="588" t="n"/>
      <c r="DS569" s="588" t="n"/>
      <c r="DT569" s="588" t="n"/>
      <c r="DU569" s="588" t="n"/>
    </row>
    <row r="570">
      <c r="A570" s="737" t="n"/>
      <c r="B570" s="737" t="n"/>
      <c r="C570" s="737" t="n"/>
      <c r="D570" s="737" t="n"/>
      <c r="E570" s="737" t="n"/>
      <c r="F570" s="737" t="n"/>
      <c r="G570" s="737" t="n"/>
      <c r="H570" s="737" t="n"/>
      <c r="I570" s="737" t="n"/>
      <c r="J570" s="737" t="n"/>
      <c r="K570" s="737" t="n"/>
      <c r="L570" s="737" t="n"/>
      <c r="M570" s="737" t="n"/>
      <c r="N570" s="737" t="n"/>
      <c r="O570" s="737" t="n"/>
      <c r="P570" s="737" t="n"/>
      <c r="Q570" s="737" t="n"/>
      <c r="R570" s="737" t="n"/>
      <c r="S570" s="737" t="n"/>
      <c r="T570" s="737" t="n"/>
      <c r="U570" s="737" t="n"/>
      <c r="V570" s="737" t="n"/>
      <c r="W570" s="737" t="n"/>
      <c r="X570" s="737" t="n"/>
      <c r="Y570" s="737" t="n"/>
      <c r="Z570" s="737" t="n"/>
      <c r="AA570" s="737" t="n"/>
      <c r="AB570" s="737" t="n"/>
      <c r="AC570" s="737" t="n"/>
      <c r="AD570" s="737" t="n"/>
      <c r="AE570" s="737" t="n"/>
      <c r="AF570" s="737" t="n"/>
      <c r="AG570" s="737" t="n"/>
      <c r="AH570" s="737" t="n"/>
      <c r="AI570" s="737" t="n"/>
      <c r="AJ570" s="737" t="n"/>
      <c r="AK570" s="588" t="n"/>
      <c r="AL570" s="588" t="n"/>
      <c r="AM570" s="588" t="n"/>
      <c r="AN570" s="588" t="n"/>
      <c r="AO570" s="588" t="n"/>
      <c r="AP570" s="588" t="n"/>
      <c r="AQ570" s="588" t="n"/>
      <c r="AR570" s="588" t="n"/>
      <c r="AS570" s="588" t="n"/>
      <c r="AT570" s="588" t="n"/>
      <c r="AU570" s="588" t="n"/>
      <c r="AV570" s="588" t="n"/>
      <c r="AW570" s="588" t="n"/>
      <c r="AX570" s="588" t="n"/>
      <c r="AY570" s="588" t="n"/>
      <c r="AZ570" s="588" t="n"/>
      <c r="BA570" s="588" t="n"/>
      <c r="BB570" s="588" t="n"/>
      <c r="BC570" s="588" t="n"/>
      <c r="BD570" s="588" t="n"/>
      <c r="BE570" s="588" t="n"/>
      <c r="BF570" s="588" t="n"/>
      <c r="BG570" s="588" t="n"/>
      <c r="BH570" s="588" t="n"/>
      <c r="BI570" s="588" t="n"/>
      <c r="BJ570" s="588" t="n"/>
      <c r="BK570" s="588" t="n"/>
      <c r="BL570" s="588" t="n"/>
      <c r="BM570" s="588" t="n"/>
      <c r="BN570" s="588" t="n"/>
      <c r="BO570" s="588" t="n"/>
      <c r="BP570" s="588" t="n"/>
      <c r="BQ570" s="588" t="n"/>
      <c r="BR570" s="588" t="n"/>
      <c r="BS570" s="588" t="n"/>
      <c r="BT570" s="588" t="n"/>
      <c r="BU570" s="588" t="n"/>
      <c r="BV570" s="588" t="n"/>
      <c r="BW570" s="588" t="n"/>
      <c r="BX570" s="588" t="n"/>
      <c r="BY570" s="588" t="n"/>
      <c r="BZ570" s="588" t="n"/>
      <c r="CA570" s="588" t="n"/>
      <c r="CB570" s="588" t="n"/>
      <c r="CC570" s="588" t="n"/>
      <c r="CD570" s="588" t="n"/>
      <c r="CE570" s="588" t="n"/>
      <c r="CF570" s="588" t="n"/>
      <c r="CG570" s="588" t="n"/>
      <c r="CH570" s="588" t="n"/>
      <c r="CI570" s="588" t="n"/>
      <c r="CJ570" s="588" t="n"/>
      <c r="CK570" s="588" t="n"/>
      <c r="CL570" s="588" t="n"/>
      <c r="CM570" s="588" t="n"/>
      <c r="CN570" s="588" t="n"/>
      <c r="CO570" s="588" t="n"/>
      <c r="CP570" s="588" t="n"/>
      <c r="CQ570" s="588" t="n"/>
      <c r="CR570" s="588" t="n"/>
      <c r="CS570" s="588" t="n"/>
      <c r="CT570" s="588" t="n"/>
      <c r="CU570" s="588" t="n"/>
      <c r="CV570" s="588" t="n"/>
      <c r="CW570" s="588" t="n"/>
      <c r="CX570" s="588" t="n"/>
      <c r="CY570" s="588" t="n"/>
      <c r="CZ570" s="588" t="n"/>
      <c r="DA570" s="588" t="n"/>
      <c r="DB570" s="588" t="n"/>
      <c r="DC570" s="588" t="n"/>
      <c r="DD570" s="588" t="n"/>
      <c r="DE570" s="588" t="n"/>
      <c r="DF570" s="588" t="n"/>
      <c r="DG570" s="588" t="n"/>
      <c r="DH570" s="588" t="n"/>
      <c r="DI570" s="588" t="n"/>
      <c r="DJ570" s="588" t="n"/>
      <c r="DK570" s="588" t="n"/>
      <c r="DL570" s="588" t="n"/>
      <c r="DM570" s="588" t="n"/>
      <c r="DN570" s="588" t="n"/>
      <c r="DO570" s="588" t="n"/>
      <c r="DP570" s="588" t="n"/>
      <c r="DQ570" s="588" t="n"/>
      <c r="DR570" s="588" t="n"/>
      <c r="DS570" s="588" t="n"/>
      <c r="DT570" s="588" t="n"/>
      <c r="DU570" s="588" t="n"/>
    </row>
    <row r="571">
      <c r="A571" s="737" t="n"/>
      <c r="B571" s="737" t="n"/>
      <c r="C571" s="737" t="n"/>
      <c r="D571" s="737" t="n"/>
      <c r="E571" s="737" t="n"/>
      <c r="F571" s="737" t="n"/>
      <c r="G571" s="737" t="n"/>
      <c r="H571" s="737" t="n"/>
      <c r="I571" s="737" t="n"/>
      <c r="J571" s="737" t="n"/>
      <c r="K571" s="737" t="n"/>
      <c r="L571" s="737" t="n"/>
      <c r="M571" s="737" t="n"/>
      <c r="N571" s="737" t="n"/>
      <c r="O571" s="737" t="n"/>
      <c r="P571" s="737" t="n"/>
      <c r="Q571" s="737" t="n"/>
      <c r="R571" s="737" t="n"/>
      <c r="S571" s="737" t="n"/>
      <c r="T571" s="737" t="n"/>
      <c r="U571" s="737" t="n"/>
      <c r="V571" s="737" t="n"/>
      <c r="W571" s="737" t="n"/>
      <c r="X571" s="737" t="n"/>
      <c r="Y571" s="737" t="n"/>
      <c r="Z571" s="737" t="n"/>
      <c r="AA571" s="737" t="n"/>
      <c r="AB571" s="737" t="n"/>
      <c r="AC571" s="737" t="n"/>
      <c r="AD571" s="737" t="n"/>
      <c r="AE571" s="737" t="n"/>
      <c r="AF571" s="737" t="n"/>
      <c r="AG571" s="737" t="n"/>
      <c r="AH571" s="737" t="n"/>
      <c r="AI571" s="737" t="n"/>
      <c r="AJ571" s="737" t="n"/>
      <c r="AK571" s="588" t="n"/>
      <c r="AL571" s="588" t="n"/>
      <c r="AM571" s="588" t="n"/>
      <c r="AN571" s="588" t="n"/>
      <c r="AO571" s="588" t="n"/>
      <c r="AP571" s="588" t="n"/>
      <c r="AQ571" s="588" t="n"/>
      <c r="AR571" s="588" t="n"/>
      <c r="AS571" s="588" t="n"/>
      <c r="AT571" s="588" t="n"/>
      <c r="AU571" s="588" t="n"/>
      <c r="AV571" s="588" t="n"/>
      <c r="AW571" s="588" t="n"/>
      <c r="AX571" s="588" t="n"/>
      <c r="AY571" s="588" t="n"/>
      <c r="AZ571" s="588" t="n"/>
      <c r="BA571" s="588" t="n"/>
      <c r="BB571" s="588" t="n"/>
      <c r="BC571" s="588" t="n"/>
      <c r="BD571" s="588" t="n"/>
      <c r="BE571" s="588" t="n"/>
      <c r="BF571" s="588" t="n"/>
      <c r="BG571" s="588" t="n"/>
      <c r="BH571" s="588" t="n"/>
      <c r="BI571" s="588" t="n"/>
      <c r="BJ571" s="588" t="n"/>
      <c r="BK571" s="588" t="n"/>
      <c r="BL571" s="588" t="n"/>
      <c r="BM571" s="588" t="n"/>
      <c r="BN571" s="588" t="n"/>
      <c r="BO571" s="588" t="n"/>
      <c r="BP571" s="588" t="n"/>
      <c r="BQ571" s="588" t="n"/>
      <c r="BR571" s="588" t="n"/>
      <c r="BS571" s="588" t="n"/>
      <c r="BT571" s="588" t="n"/>
      <c r="BU571" s="588" t="n"/>
      <c r="BV571" s="588" t="n"/>
      <c r="BW571" s="588" t="n"/>
      <c r="BX571" s="588" t="n"/>
      <c r="BY571" s="588" t="n"/>
      <c r="BZ571" s="588" t="n"/>
      <c r="CA571" s="588" t="n"/>
      <c r="CB571" s="588" t="n"/>
      <c r="CC571" s="588" t="n"/>
      <c r="CD571" s="588" t="n"/>
      <c r="CE571" s="588" t="n"/>
      <c r="CF571" s="588" t="n"/>
      <c r="CG571" s="588" t="n"/>
      <c r="CH571" s="588" t="n"/>
      <c r="CI571" s="588" t="n"/>
      <c r="CJ571" s="588" t="n"/>
      <c r="CK571" s="588" t="n"/>
      <c r="CL571" s="588" t="n"/>
      <c r="CM571" s="588" t="n"/>
      <c r="CN571" s="588" t="n"/>
      <c r="CO571" s="588" t="n"/>
      <c r="CP571" s="588" t="n"/>
      <c r="CQ571" s="588" t="n"/>
      <c r="CR571" s="588" t="n"/>
      <c r="CS571" s="588" t="n"/>
      <c r="CT571" s="588" t="n"/>
      <c r="CU571" s="588" t="n"/>
      <c r="CV571" s="588" t="n"/>
      <c r="CW571" s="588" t="n"/>
      <c r="CX571" s="588" t="n"/>
      <c r="CY571" s="588" t="n"/>
      <c r="CZ571" s="588" t="n"/>
      <c r="DA571" s="588" t="n"/>
      <c r="DB571" s="588" t="n"/>
      <c r="DC571" s="588" t="n"/>
      <c r="DD571" s="588" t="n"/>
      <c r="DE571" s="588" t="n"/>
      <c r="DF571" s="588" t="n"/>
      <c r="DG571" s="588" t="n"/>
      <c r="DH571" s="588" t="n"/>
      <c r="DI571" s="588" t="n"/>
      <c r="DJ571" s="588" t="n"/>
      <c r="DK571" s="588" t="n"/>
      <c r="DL571" s="588" t="n"/>
      <c r="DM571" s="588" t="n"/>
      <c r="DN571" s="588" t="n"/>
      <c r="DO571" s="588" t="n"/>
      <c r="DP571" s="588" t="n"/>
      <c r="DQ571" s="588" t="n"/>
      <c r="DR571" s="588" t="n"/>
      <c r="DS571" s="588" t="n"/>
      <c r="DT571" s="588" t="n"/>
      <c r="DU571" s="588" t="n"/>
    </row>
    <row r="572">
      <c r="A572" s="737" t="n"/>
      <c r="B572" s="737" t="n"/>
      <c r="C572" s="737" t="n"/>
      <c r="D572" s="737" t="n"/>
      <c r="E572" s="737" t="n"/>
      <c r="F572" s="737" t="n"/>
      <c r="G572" s="737" t="n"/>
      <c r="H572" s="737" t="n"/>
      <c r="I572" s="737" t="n"/>
      <c r="J572" s="737" t="n"/>
      <c r="K572" s="737" t="n"/>
      <c r="L572" s="737" t="n"/>
      <c r="M572" s="737" t="n"/>
      <c r="N572" s="737" t="n"/>
      <c r="O572" s="737" t="n"/>
      <c r="P572" s="737" t="n"/>
      <c r="Q572" s="737" t="n"/>
      <c r="R572" s="737" t="n"/>
      <c r="S572" s="737" t="n"/>
      <c r="T572" s="737" t="n"/>
      <c r="U572" s="737" t="n"/>
      <c r="V572" s="737" t="n"/>
      <c r="W572" s="737" t="n"/>
      <c r="X572" s="737" t="n"/>
      <c r="Y572" s="737" t="n"/>
      <c r="Z572" s="737" t="n"/>
      <c r="AA572" s="737" t="n"/>
      <c r="AB572" s="737" t="n"/>
      <c r="AC572" s="737" t="n"/>
      <c r="AD572" s="737" t="n"/>
      <c r="AE572" s="737" t="n"/>
      <c r="AF572" s="737" t="n"/>
      <c r="AG572" s="737" t="n"/>
      <c r="AH572" s="737" t="n"/>
      <c r="AI572" s="737" t="n"/>
      <c r="AJ572" s="737" t="n"/>
      <c r="AK572" s="588" t="n"/>
      <c r="AL572" s="588" t="n"/>
      <c r="AM572" s="588" t="n"/>
      <c r="AN572" s="588" t="n"/>
      <c r="AO572" s="588" t="n"/>
      <c r="AP572" s="588" t="n"/>
      <c r="AQ572" s="588" t="n"/>
      <c r="AR572" s="588" t="n"/>
      <c r="AS572" s="588" t="n"/>
      <c r="AT572" s="588" t="n"/>
      <c r="AU572" s="588" t="n"/>
      <c r="AV572" s="588" t="n"/>
      <c r="AW572" s="588" t="n"/>
      <c r="AX572" s="588" t="n"/>
      <c r="AY572" s="588" t="n"/>
      <c r="AZ572" s="588" t="n"/>
      <c r="BA572" s="588" t="n"/>
      <c r="BB572" s="588" t="n"/>
      <c r="BC572" s="588" t="n"/>
      <c r="BD572" s="588" t="n"/>
      <c r="BE572" s="588" t="n"/>
      <c r="BF572" s="588" t="n"/>
      <c r="BG572" s="588" t="n"/>
      <c r="BH572" s="588" t="n"/>
      <c r="BI572" s="588" t="n"/>
      <c r="BJ572" s="588" t="n"/>
      <c r="BK572" s="588" t="n"/>
      <c r="BL572" s="588" t="n"/>
      <c r="BM572" s="588" t="n"/>
      <c r="BN572" s="588" t="n"/>
      <c r="BO572" s="588" t="n"/>
      <c r="BP572" s="588" t="n"/>
      <c r="BQ572" s="588" t="n"/>
      <c r="BR572" s="588" t="n"/>
      <c r="BS572" s="588" t="n"/>
      <c r="BT572" s="588" t="n"/>
      <c r="BU572" s="588" t="n"/>
      <c r="BV572" s="588" t="n"/>
      <c r="BW572" s="588" t="n"/>
      <c r="BX572" s="588" t="n"/>
      <c r="BY572" s="588" t="n"/>
      <c r="BZ572" s="588" t="n"/>
      <c r="CA572" s="588" t="n"/>
      <c r="CB572" s="588" t="n"/>
      <c r="CC572" s="588" t="n"/>
      <c r="CD572" s="588" t="n"/>
      <c r="CE572" s="588" t="n"/>
      <c r="CF572" s="588" t="n"/>
      <c r="CG572" s="588" t="n"/>
      <c r="CH572" s="588" t="n"/>
      <c r="CI572" s="588" t="n"/>
      <c r="CJ572" s="588" t="n"/>
      <c r="CK572" s="588" t="n"/>
      <c r="CL572" s="588" t="n"/>
      <c r="CM572" s="588" t="n"/>
      <c r="CN572" s="588" t="n"/>
      <c r="CO572" s="588" t="n"/>
      <c r="CP572" s="588" t="n"/>
      <c r="CQ572" s="588" t="n"/>
      <c r="CR572" s="588" t="n"/>
      <c r="CS572" s="588" t="n"/>
      <c r="CT572" s="588" t="n"/>
      <c r="CU572" s="588" t="n"/>
      <c r="CV572" s="588" t="n"/>
      <c r="CW572" s="588" t="n"/>
      <c r="CX572" s="588" t="n"/>
      <c r="CY572" s="588" t="n"/>
      <c r="CZ572" s="588" t="n"/>
      <c r="DA572" s="588" t="n"/>
      <c r="DB572" s="588" t="n"/>
      <c r="DC572" s="588" t="n"/>
      <c r="DD572" s="588" t="n"/>
      <c r="DE572" s="588" t="n"/>
      <c r="DF572" s="588" t="n"/>
      <c r="DG572" s="588" t="n"/>
      <c r="DH572" s="588" t="n"/>
      <c r="DI572" s="588" t="n"/>
      <c r="DJ572" s="588" t="n"/>
      <c r="DK572" s="588" t="n"/>
      <c r="DL572" s="588" t="n"/>
      <c r="DM572" s="588" t="n"/>
      <c r="DN572" s="588" t="n"/>
      <c r="DO572" s="588" t="n"/>
      <c r="DP572" s="588" t="n"/>
      <c r="DQ572" s="588" t="n"/>
      <c r="DR572" s="588" t="n"/>
      <c r="DS572" s="588" t="n"/>
      <c r="DT572" s="588" t="n"/>
      <c r="DU572" s="588" t="n"/>
    </row>
    <row r="573">
      <c r="A573" s="737" t="n"/>
      <c r="B573" s="737" t="n"/>
      <c r="C573" s="737" t="n"/>
      <c r="D573" s="737" t="n"/>
      <c r="E573" s="737" t="n"/>
      <c r="F573" s="737" t="n"/>
      <c r="G573" s="737" t="n"/>
      <c r="H573" s="737" t="n"/>
      <c r="I573" s="737" t="n"/>
      <c r="J573" s="737" t="n"/>
      <c r="K573" s="737" t="n"/>
      <c r="L573" s="737" t="n"/>
      <c r="M573" s="737" t="n"/>
      <c r="N573" s="737" t="n"/>
      <c r="O573" s="737" t="n"/>
      <c r="P573" s="737" t="n"/>
      <c r="Q573" s="737" t="n"/>
      <c r="R573" s="737" t="n"/>
      <c r="S573" s="737" t="n"/>
      <c r="T573" s="737" t="n"/>
      <c r="U573" s="737" t="n"/>
      <c r="V573" s="737" t="n"/>
      <c r="W573" s="737" t="n"/>
      <c r="X573" s="737" t="n"/>
      <c r="Y573" s="737" t="n"/>
      <c r="Z573" s="737" t="n"/>
      <c r="AA573" s="737" t="n"/>
      <c r="AB573" s="737" t="n"/>
      <c r="AC573" s="737" t="n"/>
      <c r="AD573" s="737" t="n"/>
      <c r="AE573" s="737" t="n"/>
      <c r="AF573" s="737" t="n"/>
      <c r="AG573" s="737" t="n"/>
      <c r="AH573" s="737" t="n"/>
      <c r="AI573" s="737" t="n"/>
      <c r="AJ573" s="737" t="n"/>
      <c r="AK573" s="588" t="n"/>
      <c r="AL573" s="588" t="n"/>
      <c r="AM573" s="588" t="n"/>
      <c r="AN573" s="588" t="n"/>
      <c r="AO573" s="588" t="n"/>
      <c r="AP573" s="588" t="n"/>
      <c r="AQ573" s="588" t="n"/>
      <c r="AR573" s="588" t="n"/>
      <c r="AS573" s="588" t="n"/>
      <c r="AT573" s="588" t="n"/>
      <c r="AU573" s="588" t="n"/>
      <c r="AV573" s="588" t="n"/>
      <c r="AW573" s="588" t="n"/>
      <c r="AX573" s="588" t="n"/>
      <c r="AY573" s="588" t="n"/>
      <c r="AZ573" s="588" t="n"/>
      <c r="BA573" s="588" t="n"/>
      <c r="BB573" s="588" t="n"/>
      <c r="BC573" s="588" t="n"/>
      <c r="BD573" s="588" t="n"/>
      <c r="BE573" s="588" t="n"/>
      <c r="BF573" s="588" t="n"/>
      <c r="BG573" s="588" t="n"/>
      <c r="BH573" s="588" t="n"/>
      <c r="BI573" s="588" t="n"/>
      <c r="BJ573" s="588" t="n"/>
      <c r="BK573" s="588" t="n"/>
      <c r="BL573" s="588" t="n"/>
      <c r="BM573" s="588" t="n"/>
      <c r="BN573" s="588" t="n"/>
      <c r="BO573" s="588" t="n"/>
      <c r="BP573" s="588" t="n"/>
      <c r="BQ573" s="588" t="n"/>
      <c r="BR573" s="588" t="n"/>
      <c r="BS573" s="588" t="n"/>
      <c r="BT573" s="588" t="n"/>
      <c r="BU573" s="588" t="n"/>
      <c r="BV573" s="588" t="n"/>
      <c r="BW573" s="588" t="n"/>
      <c r="BX573" s="588" t="n"/>
      <c r="BY573" s="588" t="n"/>
      <c r="BZ573" s="588" t="n"/>
      <c r="CA573" s="588" t="n"/>
      <c r="CB573" s="588" t="n"/>
      <c r="CC573" s="588" t="n"/>
      <c r="CD573" s="588" t="n"/>
      <c r="CE573" s="588" t="n"/>
      <c r="CF573" s="588" t="n"/>
      <c r="CG573" s="588" t="n"/>
      <c r="CH573" s="588" t="n"/>
      <c r="CI573" s="588" t="n"/>
      <c r="CJ573" s="588" t="n"/>
      <c r="CK573" s="588" t="n"/>
      <c r="CL573" s="588" t="n"/>
      <c r="CM573" s="588" t="n"/>
      <c r="CN573" s="588" t="n"/>
      <c r="CO573" s="588" t="n"/>
      <c r="CP573" s="588" t="n"/>
      <c r="CQ573" s="588" t="n"/>
      <c r="CR573" s="588" t="n"/>
      <c r="CS573" s="588" t="n"/>
      <c r="CT573" s="588" t="n"/>
      <c r="CU573" s="588" t="n"/>
      <c r="CV573" s="588" t="n"/>
      <c r="CW573" s="588" t="n"/>
      <c r="CX573" s="588" t="n"/>
      <c r="CY573" s="588" t="n"/>
      <c r="CZ573" s="588" t="n"/>
      <c r="DA573" s="588" t="n"/>
      <c r="DB573" s="588" t="n"/>
      <c r="DC573" s="588" t="n"/>
      <c r="DD573" s="588" t="n"/>
      <c r="DE573" s="588" t="n"/>
      <c r="DF573" s="588" t="n"/>
      <c r="DG573" s="588" t="n"/>
      <c r="DH573" s="588" t="n"/>
      <c r="DI573" s="588" t="n"/>
      <c r="DJ573" s="588" t="n"/>
      <c r="DK573" s="588" t="n"/>
      <c r="DL573" s="588" t="n"/>
      <c r="DM573" s="588" t="n"/>
      <c r="DN573" s="588" t="n"/>
      <c r="DO573" s="588" t="n"/>
      <c r="DP573" s="588" t="n"/>
      <c r="DQ573" s="588" t="n"/>
      <c r="DR573" s="588" t="n"/>
      <c r="DS573" s="588" t="n"/>
      <c r="DT573" s="588" t="n"/>
      <c r="DU573" s="588" t="n"/>
    </row>
    <row r="574">
      <c r="A574" s="737" t="n"/>
      <c r="B574" s="737" t="n"/>
      <c r="C574" s="737" t="n"/>
      <c r="D574" s="737" t="n"/>
      <c r="E574" s="737" t="n"/>
      <c r="F574" s="737" t="n"/>
      <c r="G574" s="737" t="n"/>
      <c r="H574" s="737" t="n"/>
      <c r="I574" s="737" t="n"/>
      <c r="J574" s="737" t="n"/>
      <c r="K574" s="737" t="n"/>
      <c r="L574" s="737" t="n"/>
      <c r="M574" s="737" t="n"/>
      <c r="N574" s="737" t="n"/>
      <c r="O574" s="737" t="n"/>
      <c r="P574" s="737" t="n"/>
      <c r="Q574" s="737" t="n"/>
      <c r="R574" s="737" t="n"/>
      <c r="S574" s="737" t="n"/>
      <c r="T574" s="737" t="n"/>
      <c r="U574" s="737" t="n"/>
      <c r="V574" s="737" t="n"/>
      <c r="W574" s="737" t="n"/>
      <c r="X574" s="737" t="n"/>
      <c r="Y574" s="737" t="n"/>
      <c r="Z574" s="737" t="n"/>
      <c r="AA574" s="737" t="n"/>
      <c r="AB574" s="737" t="n"/>
      <c r="AC574" s="737" t="n"/>
      <c r="AD574" s="737" t="n"/>
      <c r="AE574" s="737" t="n"/>
      <c r="AF574" s="737" t="n"/>
      <c r="AG574" s="737" t="n"/>
      <c r="AH574" s="737" t="n"/>
      <c r="AI574" s="737" t="n"/>
      <c r="AJ574" s="737" t="n"/>
      <c r="AK574" s="588" t="n"/>
      <c r="AL574" s="588" t="n"/>
      <c r="AM574" s="588" t="n"/>
      <c r="AN574" s="588" t="n"/>
      <c r="AO574" s="588" t="n"/>
      <c r="AP574" s="588" t="n"/>
      <c r="AQ574" s="588" t="n"/>
      <c r="AR574" s="588" t="n"/>
      <c r="AS574" s="588" t="n"/>
      <c r="AT574" s="588" t="n"/>
      <c r="AU574" s="588" t="n"/>
      <c r="AV574" s="588" t="n"/>
      <c r="AW574" s="588" t="n"/>
      <c r="AX574" s="588" t="n"/>
      <c r="AY574" s="588" t="n"/>
      <c r="AZ574" s="588" t="n"/>
      <c r="BA574" s="588" t="n"/>
      <c r="BB574" s="588" t="n"/>
      <c r="BC574" s="588" t="n"/>
      <c r="BD574" s="588" t="n"/>
      <c r="BE574" s="588" t="n"/>
      <c r="BF574" s="588" t="n"/>
      <c r="BG574" s="588" t="n"/>
      <c r="BH574" s="588" t="n"/>
      <c r="BI574" s="588" t="n"/>
      <c r="BJ574" s="588" t="n"/>
      <c r="BK574" s="588" t="n"/>
      <c r="BL574" s="588" t="n"/>
      <c r="BM574" s="588" t="n"/>
      <c r="BN574" s="588" t="n"/>
      <c r="BO574" s="588" t="n"/>
      <c r="BP574" s="588" t="n"/>
      <c r="BQ574" s="588" t="n"/>
      <c r="BR574" s="588" t="n"/>
      <c r="BS574" s="588" t="n"/>
      <c r="BT574" s="588" t="n"/>
      <c r="BU574" s="588" t="n"/>
      <c r="BV574" s="588" t="n"/>
      <c r="BW574" s="588" t="n"/>
      <c r="BX574" s="588" t="n"/>
      <c r="BY574" s="588" t="n"/>
      <c r="BZ574" s="588" t="n"/>
      <c r="CA574" s="588" t="n"/>
      <c r="CB574" s="588" t="n"/>
      <c r="CC574" s="588" t="n"/>
      <c r="CD574" s="588" t="n"/>
      <c r="CE574" s="588" t="n"/>
      <c r="CF574" s="588" t="n"/>
      <c r="CG574" s="588" t="n"/>
      <c r="CH574" s="588" t="n"/>
      <c r="CI574" s="588" t="n"/>
      <c r="CJ574" s="588" t="n"/>
      <c r="CK574" s="588" t="n"/>
      <c r="CL574" s="588" t="n"/>
      <c r="CM574" s="588" t="n"/>
      <c r="CN574" s="588" t="n"/>
      <c r="CO574" s="588" t="n"/>
      <c r="CP574" s="588" t="n"/>
      <c r="CQ574" s="588" t="n"/>
      <c r="CR574" s="588" t="n"/>
      <c r="CS574" s="588" t="n"/>
      <c r="CT574" s="588" t="n"/>
      <c r="CU574" s="588" t="n"/>
      <c r="CV574" s="588" t="n"/>
      <c r="CW574" s="588" t="n"/>
      <c r="CX574" s="588" t="n"/>
      <c r="CY574" s="588" t="n"/>
      <c r="CZ574" s="588" t="n"/>
      <c r="DA574" s="588" t="n"/>
      <c r="DB574" s="588" t="n"/>
      <c r="DC574" s="588" t="n"/>
      <c r="DD574" s="588" t="n"/>
      <c r="DE574" s="588" t="n"/>
      <c r="DF574" s="588" t="n"/>
      <c r="DG574" s="588" t="n"/>
      <c r="DH574" s="588" t="n"/>
      <c r="DI574" s="588" t="n"/>
      <c r="DJ574" s="588" t="n"/>
      <c r="DK574" s="588" t="n"/>
      <c r="DL574" s="588" t="n"/>
      <c r="DM574" s="588" t="n"/>
      <c r="DN574" s="588" t="n"/>
      <c r="DO574" s="588" t="n"/>
      <c r="DP574" s="588" t="n"/>
      <c r="DQ574" s="588" t="n"/>
      <c r="DR574" s="588" t="n"/>
      <c r="DS574" s="588" t="n"/>
      <c r="DT574" s="588" t="n"/>
      <c r="DU574" s="588" t="n"/>
    </row>
    <row r="575">
      <c r="A575" s="737" t="n"/>
      <c r="B575" s="737" t="n"/>
      <c r="C575" s="737" t="n"/>
      <c r="D575" s="737" t="n"/>
      <c r="E575" s="737" t="n"/>
      <c r="F575" s="737" t="n"/>
      <c r="G575" s="737" t="n"/>
      <c r="H575" s="737" t="n"/>
      <c r="I575" s="737" t="n"/>
      <c r="J575" s="737" t="n"/>
      <c r="K575" s="737" t="n"/>
      <c r="L575" s="737" t="n"/>
      <c r="M575" s="737" t="n"/>
      <c r="N575" s="737" t="n"/>
      <c r="O575" s="737" t="n"/>
      <c r="P575" s="737" t="n"/>
      <c r="Q575" s="737" t="n"/>
      <c r="R575" s="737" t="n"/>
      <c r="S575" s="737" t="n"/>
      <c r="T575" s="737" t="n"/>
      <c r="U575" s="737" t="n"/>
      <c r="V575" s="737" t="n"/>
      <c r="W575" s="737" t="n"/>
      <c r="X575" s="737" t="n"/>
      <c r="Y575" s="737" t="n"/>
      <c r="Z575" s="737" t="n"/>
      <c r="AA575" s="737" t="n"/>
      <c r="AB575" s="737" t="n"/>
      <c r="AC575" s="737" t="n"/>
      <c r="AD575" s="737" t="n"/>
      <c r="AE575" s="737" t="n"/>
      <c r="AF575" s="737" t="n"/>
      <c r="AG575" s="737" t="n"/>
      <c r="AH575" s="737" t="n"/>
      <c r="AI575" s="737" t="n"/>
      <c r="AJ575" s="737" t="n"/>
      <c r="AK575" s="588" t="n"/>
      <c r="AL575" s="588" t="n"/>
      <c r="AM575" s="588" t="n"/>
      <c r="AN575" s="588" t="n"/>
      <c r="AO575" s="588" t="n"/>
      <c r="AP575" s="588" t="n"/>
      <c r="AQ575" s="588" t="n"/>
      <c r="AR575" s="588" t="n"/>
      <c r="AS575" s="588" t="n"/>
      <c r="AT575" s="588" t="n"/>
      <c r="AU575" s="588" t="n"/>
      <c r="AV575" s="588" t="n"/>
      <c r="AW575" s="588" t="n"/>
      <c r="AX575" s="588" t="n"/>
      <c r="AY575" s="588" t="n"/>
      <c r="AZ575" s="588" t="n"/>
      <c r="BA575" s="588" t="n"/>
      <c r="BB575" s="588" t="n"/>
      <c r="BC575" s="588" t="n"/>
      <c r="BD575" s="588" t="n"/>
      <c r="BE575" s="588" t="n"/>
      <c r="BF575" s="588" t="n"/>
      <c r="BG575" s="588" t="n"/>
      <c r="BH575" s="588" t="n"/>
      <c r="BI575" s="588" t="n"/>
      <c r="BJ575" s="588" t="n"/>
      <c r="BK575" s="588" t="n"/>
      <c r="BL575" s="588" t="n"/>
      <c r="BM575" s="588" t="n"/>
      <c r="BN575" s="588" t="n"/>
      <c r="BO575" s="588" t="n"/>
      <c r="BP575" s="588" t="n"/>
      <c r="BQ575" s="588" t="n"/>
      <c r="BR575" s="588" t="n"/>
      <c r="BS575" s="588" t="n"/>
      <c r="BT575" s="588" t="n"/>
      <c r="BU575" s="588" t="n"/>
      <c r="BV575" s="588" t="n"/>
      <c r="BW575" s="588" t="n"/>
      <c r="BX575" s="588" t="n"/>
      <c r="BY575" s="588" t="n"/>
      <c r="BZ575" s="588" t="n"/>
      <c r="CA575" s="588" t="n"/>
      <c r="CB575" s="588" t="n"/>
      <c r="CC575" s="588" t="n"/>
      <c r="CD575" s="588" t="n"/>
      <c r="CE575" s="588" t="n"/>
      <c r="CF575" s="588" t="n"/>
      <c r="CG575" s="588" t="n"/>
      <c r="CH575" s="588" t="n"/>
      <c r="CI575" s="588" t="n"/>
      <c r="CJ575" s="588" t="n"/>
      <c r="CK575" s="588" t="n"/>
      <c r="CL575" s="588" t="n"/>
      <c r="CM575" s="588" t="n"/>
      <c r="CN575" s="588" t="n"/>
      <c r="CO575" s="588" t="n"/>
      <c r="CP575" s="588" t="n"/>
      <c r="CQ575" s="588" t="n"/>
      <c r="CR575" s="588" t="n"/>
      <c r="CS575" s="588" t="n"/>
      <c r="CT575" s="588" t="n"/>
      <c r="CU575" s="588" t="n"/>
      <c r="CV575" s="588" t="n"/>
      <c r="CW575" s="588" t="n"/>
      <c r="CX575" s="588" t="n"/>
      <c r="CY575" s="588" t="n"/>
      <c r="CZ575" s="588" t="n"/>
      <c r="DA575" s="588" t="n"/>
      <c r="DB575" s="588" t="n"/>
      <c r="DC575" s="588" t="n"/>
      <c r="DD575" s="588" t="n"/>
      <c r="DE575" s="588" t="n"/>
      <c r="DF575" s="588" t="n"/>
      <c r="DG575" s="588" t="n"/>
      <c r="DH575" s="588" t="n"/>
      <c r="DI575" s="588" t="n"/>
      <c r="DJ575" s="588" t="n"/>
      <c r="DK575" s="588" t="n"/>
      <c r="DL575" s="588" t="n"/>
      <c r="DM575" s="588" t="n"/>
      <c r="DN575" s="588" t="n"/>
      <c r="DO575" s="588" t="n"/>
      <c r="DP575" s="588" t="n"/>
      <c r="DQ575" s="588" t="n"/>
      <c r="DR575" s="588" t="n"/>
      <c r="DS575" s="588" t="n"/>
      <c r="DT575" s="588" t="n"/>
      <c r="DU575" s="588" t="n"/>
    </row>
    <row r="576">
      <c r="A576" s="737" t="n"/>
      <c r="B576" s="737" t="n"/>
      <c r="C576" s="737" t="n"/>
      <c r="D576" s="737" t="n"/>
      <c r="E576" s="737" t="n"/>
      <c r="F576" s="737" t="n"/>
      <c r="G576" s="737" t="n"/>
      <c r="H576" s="737" t="n"/>
      <c r="I576" s="737" t="n"/>
      <c r="J576" s="737" t="n"/>
      <c r="K576" s="737" t="n"/>
      <c r="L576" s="737" t="n"/>
      <c r="M576" s="737" t="n"/>
      <c r="N576" s="737" t="n"/>
      <c r="O576" s="737" t="n"/>
      <c r="P576" s="737" t="n"/>
      <c r="Q576" s="737" t="n"/>
      <c r="R576" s="737" t="n"/>
      <c r="S576" s="737" t="n"/>
      <c r="T576" s="737" t="n"/>
      <c r="U576" s="737" t="n"/>
      <c r="V576" s="737" t="n"/>
      <c r="W576" s="737" t="n"/>
      <c r="X576" s="737" t="n"/>
      <c r="Y576" s="737" t="n"/>
      <c r="Z576" s="737" t="n"/>
      <c r="AA576" s="737" t="n"/>
      <c r="AB576" s="737" t="n"/>
      <c r="AC576" s="737" t="n"/>
      <c r="AD576" s="737" t="n"/>
      <c r="AE576" s="737" t="n"/>
      <c r="AF576" s="737" t="n"/>
      <c r="AG576" s="737" t="n"/>
      <c r="AH576" s="737" t="n"/>
      <c r="AI576" s="737" t="n"/>
      <c r="AJ576" s="737" t="n"/>
      <c r="AK576" s="588" t="n"/>
      <c r="AL576" s="588" t="n"/>
      <c r="AM576" s="588" t="n"/>
      <c r="AN576" s="588" t="n"/>
      <c r="AO576" s="588" t="n"/>
      <c r="AP576" s="588" t="n"/>
      <c r="AQ576" s="588" t="n"/>
      <c r="AR576" s="588" t="n"/>
      <c r="AS576" s="588" t="n"/>
      <c r="AT576" s="588" t="n"/>
      <c r="AU576" s="588" t="n"/>
      <c r="AV576" s="588" t="n"/>
      <c r="AW576" s="588" t="n"/>
      <c r="AX576" s="588" t="n"/>
      <c r="AY576" s="588" t="n"/>
      <c r="AZ576" s="588" t="n"/>
      <c r="BA576" s="588" t="n"/>
      <c r="BB576" s="588" t="n"/>
      <c r="BC576" s="588" t="n"/>
      <c r="BD576" s="588" t="n"/>
      <c r="BE576" s="588" t="n"/>
      <c r="BF576" s="588" t="n"/>
      <c r="BG576" s="588" t="n"/>
      <c r="BH576" s="588" t="n"/>
      <c r="BI576" s="588" t="n"/>
      <c r="BJ576" s="588" t="n"/>
      <c r="BK576" s="588" t="n"/>
      <c r="BL576" s="588" t="n"/>
      <c r="BM576" s="588" t="n"/>
      <c r="BN576" s="588" t="n"/>
      <c r="BO576" s="588" t="n"/>
      <c r="BP576" s="588" t="n"/>
      <c r="BQ576" s="588" t="n"/>
      <c r="BR576" s="588" t="n"/>
      <c r="BS576" s="588" t="n"/>
      <c r="BT576" s="588" t="n"/>
      <c r="BU576" s="588" t="n"/>
      <c r="BV576" s="588" t="n"/>
      <c r="BW576" s="588" t="n"/>
      <c r="BX576" s="588" t="n"/>
      <c r="BY576" s="588" t="n"/>
      <c r="BZ576" s="588" t="n"/>
      <c r="CA576" s="588" t="n"/>
      <c r="CB576" s="588" t="n"/>
      <c r="CC576" s="588" t="n"/>
      <c r="CD576" s="588" t="n"/>
      <c r="CE576" s="588" t="n"/>
      <c r="CF576" s="588" t="n"/>
      <c r="CG576" s="588" t="n"/>
      <c r="CH576" s="588" t="n"/>
      <c r="CI576" s="588" t="n"/>
      <c r="CJ576" s="588" t="n"/>
      <c r="CK576" s="588" t="n"/>
      <c r="CL576" s="588" t="n"/>
      <c r="CM576" s="588" t="n"/>
      <c r="CN576" s="588" t="n"/>
      <c r="CO576" s="588" t="n"/>
      <c r="CP576" s="588" t="n"/>
      <c r="CQ576" s="588" t="n"/>
      <c r="CR576" s="588" t="n"/>
      <c r="CS576" s="588" t="n"/>
      <c r="CT576" s="588" t="n"/>
      <c r="CU576" s="588" t="n"/>
      <c r="CV576" s="588" t="n"/>
      <c r="CW576" s="588" t="n"/>
      <c r="CX576" s="588" t="n"/>
      <c r="CY576" s="588" t="n"/>
      <c r="CZ576" s="588" t="n"/>
      <c r="DA576" s="588" t="n"/>
      <c r="DB576" s="588" t="n"/>
      <c r="DC576" s="588" t="n"/>
      <c r="DD576" s="588" t="n"/>
      <c r="DE576" s="588" t="n"/>
      <c r="DF576" s="588" t="n"/>
      <c r="DG576" s="588" t="n"/>
      <c r="DH576" s="588" t="n"/>
      <c r="DI576" s="588" t="n"/>
      <c r="DJ576" s="588" t="n"/>
      <c r="DK576" s="588" t="n"/>
      <c r="DL576" s="588" t="n"/>
      <c r="DM576" s="588" t="n"/>
      <c r="DN576" s="588" t="n"/>
      <c r="DO576" s="588" t="n"/>
      <c r="DP576" s="588" t="n"/>
      <c r="DQ576" s="588" t="n"/>
      <c r="DR576" s="588" t="n"/>
      <c r="DS576" s="588" t="n"/>
      <c r="DT576" s="588" t="n"/>
      <c r="DU576" s="588" t="n"/>
    </row>
    <row r="577">
      <c r="A577" s="737" t="n"/>
      <c r="B577" s="737" t="n"/>
      <c r="C577" s="737" t="n"/>
      <c r="D577" s="737" t="n"/>
      <c r="E577" s="737" t="n"/>
      <c r="F577" s="737" t="n"/>
      <c r="G577" s="737" t="n"/>
      <c r="H577" s="737" t="n"/>
      <c r="I577" s="737" t="n"/>
      <c r="J577" s="737" t="n"/>
      <c r="K577" s="737" t="n"/>
      <c r="L577" s="737" t="n"/>
      <c r="M577" s="737" t="n"/>
      <c r="N577" s="737" t="n"/>
      <c r="O577" s="737" t="n"/>
      <c r="P577" s="737" t="n"/>
      <c r="Q577" s="737" t="n"/>
      <c r="R577" s="737" t="n"/>
      <c r="S577" s="737" t="n"/>
      <c r="T577" s="737" t="n"/>
      <c r="U577" s="737" t="n"/>
      <c r="V577" s="737" t="n"/>
      <c r="W577" s="737" t="n"/>
      <c r="X577" s="737" t="n"/>
      <c r="Y577" s="737" t="n"/>
      <c r="Z577" s="737" t="n"/>
      <c r="AA577" s="737" t="n"/>
      <c r="AB577" s="737" t="n"/>
      <c r="AC577" s="737" t="n"/>
      <c r="AD577" s="737" t="n"/>
      <c r="AE577" s="737" t="n"/>
      <c r="AF577" s="737" t="n"/>
      <c r="AG577" s="737" t="n"/>
      <c r="AH577" s="737" t="n"/>
      <c r="AI577" s="737" t="n"/>
      <c r="AJ577" s="737" t="n"/>
      <c r="AK577" s="588" t="n"/>
      <c r="AL577" s="588" t="n"/>
      <c r="AM577" s="588" t="n"/>
      <c r="AN577" s="588" t="n"/>
      <c r="AO577" s="588" t="n"/>
      <c r="AP577" s="588" t="n"/>
      <c r="AQ577" s="588" t="n"/>
      <c r="AR577" s="588" t="n"/>
      <c r="AS577" s="588" t="n"/>
      <c r="AT577" s="588" t="n"/>
      <c r="AU577" s="588" t="n"/>
      <c r="AV577" s="588" t="n"/>
      <c r="AW577" s="588" t="n"/>
      <c r="AX577" s="588" t="n"/>
      <c r="AY577" s="588" t="n"/>
      <c r="AZ577" s="588" t="n"/>
      <c r="BA577" s="588" t="n"/>
      <c r="BB577" s="588" t="n"/>
      <c r="BC577" s="588" t="n"/>
      <c r="BD577" s="588" t="n"/>
      <c r="BE577" s="588" t="n"/>
      <c r="BF577" s="588" t="n"/>
      <c r="BG577" s="588" t="n"/>
      <c r="BH577" s="588" t="n"/>
      <c r="BI577" s="588" t="n"/>
      <c r="BJ577" s="588" t="n"/>
      <c r="BK577" s="588" t="n"/>
      <c r="BL577" s="588" t="n"/>
      <c r="BM577" s="588" t="n"/>
      <c r="BN577" s="588" t="n"/>
      <c r="BO577" s="588" t="n"/>
      <c r="BP577" s="588" t="n"/>
      <c r="BQ577" s="588" t="n"/>
      <c r="BR577" s="588" t="n"/>
      <c r="BS577" s="588" t="n"/>
      <c r="BT577" s="588" t="n"/>
      <c r="BU577" s="588" t="n"/>
      <c r="BV577" s="588" t="n"/>
      <c r="BW577" s="588" t="n"/>
      <c r="BX577" s="588" t="n"/>
      <c r="BY577" s="588" t="n"/>
      <c r="BZ577" s="588" t="n"/>
      <c r="CA577" s="588" t="n"/>
      <c r="CB577" s="588" t="n"/>
      <c r="CC577" s="588" t="n"/>
      <c r="CD577" s="588" t="n"/>
      <c r="CE577" s="588" t="n"/>
      <c r="CF577" s="588" t="n"/>
      <c r="CG577" s="588" t="n"/>
      <c r="CH577" s="588" t="n"/>
      <c r="CI577" s="588" t="n"/>
      <c r="CJ577" s="588" t="n"/>
      <c r="CK577" s="588" t="n"/>
      <c r="CL577" s="588" t="n"/>
      <c r="CM577" s="588" t="n"/>
      <c r="CN577" s="588" t="n"/>
      <c r="CO577" s="588" t="n"/>
      <c r="CP577" s="588" t="n"/>
      <c r="CQ577" s="588" t="n"/>
      <c r="CR577" s="588" t="n"/>
      <c r="CS577" s="588" t="n"/>
      <c r="CT577" s="588" t="n"/>
      <c r="CU577" s="588" t="n"/>
      <c r="CV577" s="588" t="n"/>
      <c r="CW577" s="588" t="n"/>
      <c r="CX577" s="588" t="n"/>
      <c r="CY577" s="588" t="n"/>
      <c r="CZ577" s="588" t="n"/>
      <c r="DA577" s="588" t="n"/>
      <c r="DB577" s="588" t="n"/>
      <c r="DC577" s="588" t="n"/>
      <c r="DD577" s="588" t="n"/>
      <c r="DE577" s="588" t="n"/>
      <c r="DF577" s="588" t="n"/>
      <c r="DG577" s="588" t="n"/>
      <c r="DH577" s="588" t="n"/>
      <c r="DI577" s="588" t="n"/>
      <c r="DJ577" s="588" t="n"/>
      <c r="DK577" s="588" t="n"/>
      <c r="DL577" s="588" t="n"/>
      <c r="DM577" s="588" t="n"/>
      <c r="DN577" s="588" t="n"/>
      <c r="DO577" s="588" t="n"/>
      <c r="DP577" s="588" t="n"/>
      <c r="DQ577" s="588" t="n"/>
      <c r="DR577" s="588" t="n"/>
      <c r="DS577" s="588" t="n"/>
      <c r="DT577" s="588" t="n"/>
      <c r="DU577" s="588" t="n"/>
    </row>
    <row r="578">
      <c r="A578" s="737" t="n"/>
      <c r="B578" s="737" t="n"/>
      <c r="C578" s="737" t="n"/>
      <c r="D578" s="737" t="n"/>
      <c r="E578" s="737" t="n"/>
      <c r="F578" s="737" t="n"/>
      <c r="G578" s="737" t="n"/>
      <c r="H578" s="737" t="n"/>
      <c r="I578" s="737" t="n"/>
      <c r="J578" s="737" t="n"/>
      <c r="K578" s="737" t="n"/>
      <c r="L578" s="737" t="n"/>
      <c r="M578" s="737" t="n"/>
      <c r="N578" s="737" t="n"/>
      <c r="O578" s="737" t="n"/>
      <c r="P578" s="737" t="n"/>
      <c r="Q578" s="737" t="n"/>
      <c r="R578" s="737" t="n"/>
      <c r="S578" s="737" t="n"/>
      <c r="T578" s="737" t="n"/>
      <c r="U578" s="737" t="n"/>
      <c r="V578" s="737" t="n"/>
      <c r="W578" s="737" t="n"/>
      <c r="X578" s="737" t="n"/>
      <c r="Y578" s="737" t="n"/>
      <c r="Z578" s="737" t="n"/>
      <c r="AA578" s="737" t="n"/>
      <c r="AB578" s="737" t="n"/>
      <c r="AC578" s="737" t="n"/>
      <c r="AD578" s="737" t="n"/>
      <c r="AE578" s="737" t="n"/>
      <c r="AF578" s="737" t="n"/>
      <c r="AG578" s="737" t="n"/>
      <c r="AH578" s="737" t="n"/>
      <c r="AI578" s="737" t="n"/>
      <c r="AJ578" s="737" t="n"/>
      <c r="AK578" s="588" t="n"/>
      <c r="AL578" s="588" t="n"/>
      <c r="AM578" s="588" t="n"/>
      <c r="AN578" s="588" t="n"/>
      <c r="AO578" s="588" t="n"/>
      <c r="AP578" s="588" t="n"/>
      <c r="AQ578" s="588" t="n"/>
      <c r="AR578" s="588" t="n"/>
      <c r="AS578" s="588" t="n"/>
      <c r="AT578" s="588" t="n"/>
      <c r="AU578" s="588" t="n"/>
      <c r="AV578" s="588" t="n"/>
      <c r="AW578" s="588" t="n"/>
      <c r="AX578" s="588" t="n"/>
      <c r="AY578" s="588" t="n"/>
      <c r="AZ578" s="588" t="n"/>
      <c r="BA578" s="588" t="n"/>
      <c r="BB578" s="588" t="n"/>
      <c r="BC578" s="588" t="n"/>
      <c r="BD578" s="588" t="n"/>
      <c r="BE578" s="588" t="n"/>
      <c r="BF578" s="588" t="n"/>
      <c r="BG578" s="588" t="n"/>
      <c r="BH578" s="588" t="n"/>
      <c r="BI578" s="588" t="n"/>
      <c r="BJ578" s="588" t="n"/>
      <c r="BK578" s="588" t="n"/>
      <c r="BL578" s="588" t="n"/>
      <c r="BM578" s="588" t="n"/>
      <c r="BN578" s="588" t="n"/>
      <c r="BO578" s="588" t="n"/>
      <c r="BP578" s="588" t="n"/>
      <c r="BQ578" s="588" t="n"/>
      <c r="BR578" s="588" t="n"/>
      <c r="BS578" s="588" t="n"/>
      <c r="BT578" s="588" t="n"/>
      <c r="BU578" s="588" t="n"/>
      <c r="BV578" s="588" t="n"/>
      <c r="BW578" s="588" t="n"/>
      <c r="BX578" s="588" t="n"/>
      <c r="BY578" s="588" t="n"/>
      <c r="BZ578" s="588" t="n"/>
      <c r="CA578" s="588" t="n"/>
      <c r="CB578" s="588" t="n"/>
      <c r="CC578" s="588" t="n"/>
      <c r="CD578" s="588" t="n"/>
      <c r="CE578" s="588" t="n"/>
      <c r="CF578" s="588" t="n"/>
      <c r="CG578" s="588" t="n"/>
      <c r="CH578" s="588" t="n"/>
      <c r="CI578" s="588" t="n"/>
      <c r="CJ578" s="588" t="n"/>
      <c r="CK578" s="588" t="n"/>
      <c r="CL578" s="588" t="n"/>
      <c r="CM578" s="588" t="n"/>
      <c r="CN578" s="588" t="n"/>
      <c r="CO578" s="588" t="n"/>
      <c r="CP578" s="588" t="n"/>
      <c r="CQ578" s="588" t="n"/>
      <c r="CR578" s="588" t="n"/>
      <c r="CS578" s="588" t="n"/>
      <c r="CT578" s="588" t="n"/>
      <c r="CU578" s="588" t="n"/>
      <c r="CV578" s="588" t="n"/>
      <c r="CW578" s="588" t="n"/>
      <c r="CX578" s="588" t="n"/>
      <c r="CY578" s="588" t="n"/>
      <c r="CZ578" s="588" t="n"/>
      <c r="DA578" s="588" t="n"/>
      <c r="DB578" s="588" t="n"/>
      <c r="DC578" s="588" t="n"/>
      <c r="DD578" s="588" t="n"/>
      <c r="DE578" s="588" t="n"/>
      <c r="DF578" s="588" t="n"/>
      <c r="DG578" s="588" t="n"/>
      <c r="DH578" s="588" t="n"/>
      <c r="DI578" s="588" t="n"/>
      <c r="DJ578" s="588" t="n"/>
      <c r="DK578" s="588" t="n"/>
      <c r="DL578" s="588" t="n"/>
      <c r="DM578" s="588" t="n"/>
      <c r="DN578" s="588" t="n"/>
      <c r="DO578" s="588" t="n"/>
      <c r="DP578" s="588" t="n"/>
      <c r="DQ578" s="588" t="n"/>
      <c r="DR578" s="588" t="n"/>
      <c r="DS578" s="588" t="n"/>
      <c r="DT578" s="588" t="n"/>
      <c r="DU578" s="588" t="n"/>
    </row>
    <row r="579">
      <c r="A579" s="737" t="n"/>
      <c r="B579" s="737" t="n"/>
      <c r="C579" s="737" t="n"/>
      <c r="D579" s="737" t="n"/>
      <c r="E579" s="737" t="n"/>
      <c r="F579" s="737" t="n"/>
      <c r="G579" s="737" t="n"/>
      <c r="H579" s="737" t="n"/>
      <c r="I579" s="737" t="n"/>
      <c r="J579" s="737" t="n"/>
      <c r="K579" s="737" t="n"/>
      <c r="L579" s="737" t="n"/>
      <c r="M579" s="737" t="n"/>
      <c r="N579" s="737" t="n"/>
      <c r="O579" s="737" t="n"/>
      <c r="P579" s="737" t="n"/>
      <c r="Q579" s="737" t="n"/>
      <c r="R579" s="737" t="n"/>
      <c r="S579" s="737" t="n"/>
      <c r="T579" s="737" t="n"/>
      <c r="U579" s="737" t="n"/>
      <c r="V579" s="737" t="n"/>
      <c r="W579" s="737" t="n"/>
      <c r="X579" s="737" t="n"/>
      <c r="Y579" s="737" t="n"/>
      <c r="Z579" s="737" t="n"/>
      <c r="AA579" s="737" t="n"/>
      <c r="AB579" s="737" t="n"/>
      <c r="AC579" s="737" t="n"/>
      <c r="AD579" s="737" t="n"/>
      <c r="AE579" s="737" t="n"/>
      <c r="AF579" s="737" t="n"/>
      <c r="AG579" s="737" t="n"/>
      <c r="AH579" s="737" t="n"/>
      <c r="AI579" s="737" t="n"/>
      <c r="AJ579" s="737" t="n"/>
      <c r="AK579" s="588" t="n"/>
      <c r="AL579" s="588" t="n"/>
      <c r="AM579" s="588" t="n"/>
      <c r="AN579" s="588" t="n"/>
      <c r="AO579" s="588" t="n"/>
      <c r="AP579" s="588" t="n"/>
      <c r="AQ579" s="588" t="n"/>
      <c r="AR579" s="588" t="n"/>
      <c r="AS579" s="588" t="n"/>
      <c r="AT579" s="588" t="n"/>
      <c r="AU579" s="588" t="n"/>
      <c r="AV579" s="588" t="n"/>
      <c r="AW579" s="588" t="n"/>
      <c r="AX579" s="588" t="n"/>
      <c r="AY579" s="588" t="n"/>
      <c r="AZ579" s="588" t="n"/>
      <c r="BA579" s="588" t="n"/>
      <c r="BB579" s="588" t="n"/>
      <c r="BC579" s="588" t="n"/>
      <c r="BD579" s="588" t="n"/>
      <c r="BE579" s="588" t="n"/>
      <c r="BF579" s="588" t="n"/>
      <c r="BG579" s="588" t="n"/>
      <c r="BH579" s="588" t="n"/>
      <c r="BI579" s="588" t="n"/>
      <c r="BJ579" s="588" t="n"/>
      <c r="BK579" s="588" t="n"/>
      <c r="BL579" s="588" t="n"/>
      <c r="BM579" s="588" t="n"/>
      <c r="BN579" s="588" t="n"/>
      <c r="BO579" s="588" t="n"/>
      <c r="BP579" s="588" t="n"/>
      <c r="BQ579" s="588" t="n"/>
      <c r="BR579" s="588" t="n"/>
      <c r="BS579" s="588" t="n"/>
      <c r="BT579" s="588" t="n"/>
      <c r="BU579" s="588" t="n"/>
      <c r="BV579" s="588" t="n"/>
      <c r="BW579" s="588" t="n"/>
      <c r="BX579" s="588" t="n"/>
      <c r="BY579" s="588" t="n"/>
      <c r="BZ579" s="588" t="n"/>
      <c r="CA579" s="588" t="n"/>
      <c r="CB579" s="588" t="n"/>
      <c r="CC579" s="588" t="n"/>
      <c r="CD579" s="588" t="n"/>
      <c r="CE579" s="588" t="n"/>
      <c r="CF579" s="588" t="n"/>
      <c r="CG579" s="588" t="n"/>
      <c r="CH579" s="588" t="n"/>
      <c r="CI579" s="588" t="n"/>
      <c r="CJ579" s="588" t="n"/>
      <c r="CK579" s="588" t="n"/>
      <c r="CL579" s="588" t="n"/>
      <c r="CM579" s="588" t="n"/>
      <c r="CN579" s="588" t="n"/>
      <c r="CO579" s="588" t="n"/>
      <c r="CP579" s="588" t="n"/>
      <c r="CQ579" s="588" t="n"/>
      <c r="CR579" s="588" t="n"/>
      <c r="CS579" s="588" t="n"/>
      <c r="CT579" s="588" t="n"/>
      <c r="CU579" s="588" t="n"/>
      <c r="CV579" s="588" t="n"/>
      <c r="CW579" s="588" t="n"/>
      <c r="CX579" s="588" t="n"/>
      <c r="CY579" s="588" t="n"/>
      <c r="CZ579" s="588" t="n"/>
      <c r="DA579" s="588" t="n"/>
      <c r="DB579" s="588" t="n"/>
      <c r="DC579" s="588" t="n"/>
      <c r="DD579" s="588" t="n"/>
      <c r="DE579" s="588" t="n"/>
      <c r="DF579" s="588" t="n"/>
      <c r="DG579" s="588" t="n"/>
      <c r="DH579" s="588" t="n"/>
      <c r="DI579" s="588" t="n"/>
      <c r="DJ579" s="588" t="n"/>
      <c r="DK579" s="588" t="n"/>
      <c r="DL579" s="588" t="n"/>
      <c r="DM579" s="588" t="n"/>
      <c r="DN579" s="588" t="n"/>
      <c r="DO579" s="588" t="n"/>
      <c r="DP579" s="588" t="n"/>
      <c r="DQ579" s="588" t="n"/>
      <c r="DR579" s="588" t="n"/>
      <c r="DS579" s="588" t="n"/>
      <c r="DT579" s="588" t="n"/>
      <c r="DU579" s="588" t="n"/>
    </row>
    <row r="580">
      <c r="A580" s="737" t="n"/>
      <c r="B580" s="737" t="n"/>
      <c r="C580" s="737" t="n"/>
      <c r="D580" s="737" t="n"/>
      <c r="E580" s="737" t="n"/>
      <c r="F580" s="737" t="n"/>
      <c r="G580" s="737" t="n"/>
      <c r="H580" s="737" t="n"/>
      <c r="I580" s="737" t="n"/>
      <c r="J580" s="737" t="n"/>
      <c r="K580" s="737" t="n"/>
      <c r="L580" s="737" t="n"/>
      <c r="M580" s="737" t="n"/>
      <c r="N580" s="737" t="n"/>
      <c r="O580" s="737" t="n"/>
      <c r="P580" s="737" t="n"/>
      <c r="Q580" s="737" t="n"/>
      <c r="R580" s="737" t="n"/>
      <c r="S580" s="737" t="n"/>
      <c r="T580" s="737" t="n"/>
      <c r="U580" s="737" t="n"/>
      <c r="V580" s="737" t="n"/>
      <c r="W580" s="737" t="n"/>
      <c r="X580" s="737" t="n"/>
      <c r="Y580" s="737" t="n"/>
      <c r="Z580" s="737" t="n"/>
      <c r="AA580" s="737" t="n"/>
      <c r="AB580" s="737" t="n"/>
      <c r="AC580" s="737" t="n"/>
      <c r="AD580" s="737" t="n"/>
      <c r="AE580" s="737" t="n"/>
      <c r="AF580" s="737" t="n"/>
      <c r="AG580" s="737" t="n"/>
      <c r="AH580" s="737" t="n"/>
      <c r="AI580" s="737" t="n"/>
      <c r="AJ580" s="737" t="n"/>
      <c r="AK580" s="588" t="n"/>
      <c r="AL580" s="588" t="n"/>
      <c r="AM580" s="588" t="n"/>
      <c r="AN580" s="588" t="n"/>
      <c r="AO580" s="588" t="n"/>
      <c r="AP580" s="588" t="n"/>
      <c r="AQ580" s="588" t="n"/>
      <c r="AR580" s="588" t="n"/>
      <c r="AS580" s="588" t="n"/>
      <c r="AT580" s="588" t="n"/>
      <c r="AU580" s="588" t="n"/>
      <c r="AV580" s="588" t="n"/>
      <c r="AW580" s="588" t="n"/>
      <c r="AX580" s="588" t="n"/>
      <c r="AY580" s="588" t="n"/>
      <c r="AZ580" s="588" t="n"/>
      <c r="BA580" s="588" t="n"/>
      <c r="BB580" s="588" t="n"/>
      <c r="BC580" s="588" t="n"/>
      <c r="BD580" s="588" t="n"/>
      <c r="BE580" s="588" t="n"/>
      <c r="BF580" s="588" t="n"/>
      <c r="BG580" s="588" t="n"/>
      <c r="BH580" s="588" t="n"/>
      <c r="BI580" s="588" t="n"/>
      <c r="BJ580" s="588" t="n"/>
      <c r="BK580" s="588" t="n"/>
      <c r="BL580" s="588" t="n"/>
      <c r="BM580" s="588" t="n"/>
      <c r="BN580" s="588" t="n"/>
      <c r="BO580" s="588" t="n"/>
      <c r="BP580" s="588" t="n"/>
      <c r="BQ580" s="588" t="n"/>
      <c r="BR580" s="588" t="n"/>
      <c r="BS580" s="588" t="n"/>
      <c r="BT580" s="588" t="n"/>
      <c r="BU580" s="588" t="n"/>
      <c r="BV580" s="588" t="n"/>
      <c r="BW580" s="588" t="n"/>
      <c r="BX580" s="588" t="n"/>
      <c r="BY580" s="588" t="n"/>
      <c r="BZ580" s="588" t="n"/>
      <c r="CA580" s="588" t="n"/>
      <c r="CB580" s="588" t="n"/>
      <c r="CC580" s="588" t="n"/>
      <c r="CD580" s="588" t="n"/>
      <c r="CE580" s="588" t="n"/>
      <c r="CF580" s="588" t="n"/>
      <c r="CG580" s="588" t="n"/>
      <c r="CH580" s="588" t="n"/>
      <c r="CI580" s="588" t="n"/>
      <c r="CJ580" s="588" t="n"/>
      <c r="CK580" s="588" t="n"/>
      <c r="CL580" s="588" t="n"/>
      <c r="CM580" s="588" t="n"/>
      <c r="CN580" s="588" t="n"/>
      <c r="CO580" s="588" t="n"/>
      <c r="CP580" s="588" t="n"/>
      <c r="CQ580" s="588" t="n"/>
      <c r="CR580" s="588" t="n"/>
      <c r="CS580" s="588" t="n"/>
      <c r="CT580" s="588" t="n"/>
      <c r="CU580" s="588" t="n"/>
      <c r="CV580" s="588" t="n"/>
      <c r="CW580" s="588" t="n"/>
      <c r="CX580" s="588" t="n"/>
      <c r="CY580" s="588" t="n"/>
      <c r="CZ580" s="588" t="n"/>
      <c r="DA580" s="588" t="n"/>
      <c r="DB580" s="588" t="n"/>
      <c r="DC580" s="588" t="n"/>
      <c r="DD580" s="588" t="n"/>
      <c r="DE580" s="588" t="n"/>
      <c r="DF580" s="588" t="n"/>
      <c r="DG580" s="588" t="n"/>
      <c r="DH580" s="588" t="n"/>
      <c r="DI580" s="588" t="n"/>
      <c r="DJ580" s="588" t="n"/>
      <c r="DK580" s="588" t="n"/>
      <c r="DL580" s="588" t="n"/>
      <c r="DM580" s="588" t="n"/>
      <c r="DN580" s="588" t="n"/>
      <c r="DO580" s="588" t="n"/>
      <c r="DP580" s="588" t="n"/>
      <c r="DQ580" s="588" t="n"/>
      <c r="DR580" s="588" t="n"/>
      <c r="DS580" s="588" t="n"/>
      <c r="DT580" s="588" t="n"/>
      <c r="DU580" s="588" t="n"/>
    </row>
    <row r="581">
      <c r="A581" s="737" t="n"/>
      <c r="B581" s="737" t="n"/>
      <c r="C581" s="737" t="n"/>
      <c r="D581" s="737" t="n"/>
      <c r="E581" s="737" t="n"/>
      <c r="F581" s="737" t="n"/>
      <c r="G581" s="737" t="n"/>
      <c r="H581" s="737" t="n"/>
      <c r="I581" s="737" t="n"/>
      <c r="J581" s="737" t="n"/>
      <c r="K581" s="737" t="n"/>
      <c r="L581" s="737" t="n"/>
      <c r="M581" s="737" t="n"/>
      <c r="N581" s="737" t="n"/>
      <c r="O581" s="737" t="n"/>
      <c r="P581" s="737" t="n"/>
      <c r="Q581" s="737" t="n"/>
      <c r="R581" s="737" t="n"/>
      <c r="S581" s="737" t="n"/>
      <c r="T581" s="737" t="n"/>
      <c r="U581" s="737" t="n"/>
      <c r="V581" s="737" t="n"/>
      <c r="W581" s="737" t="n"/>
      <c r="X581" s="737" t="n"/>
      <c r="Y581" s="737" t="n"/>
      <c r="Z581" s="737" t="n"/>
      <c r="AA581" s="737" t="n"/>
      <c r="AB581" s="737" t="n"/>
      <c r="AC581" s="737" t="n"/>
      <c r="AD581" s="737" t="n"/>
      <c r="AE581" s="737" t="n"/>
      <c r="AF581" s="737" t="n"/>
      <c r="AG581" s="737" t="n"/>
      <c r="AH581" s="737" t="n"/>
      <c r="AI581" s="737" t="n"/>
      <c r="AJ581" s="737" t="n"/>
      <c r="AK581" s="588" t="n"/>
      <c r="AL581" s="588" t="n"/>
      <c r="AM581" s="588" t="n"/>
      <c r="AN581" s="588" t="n"/>
      <c r="AO581" s="588" t="n"/>
      <c r="AP581" s="588" t="n"/>
      <c r="AQ581" s="588" t="n"/>
      <c r="AR581" s="588" t="n"/>
      <c r="AS581" s="588" t="n"/>
      <c r="AT581" s="588" t="n"/>
      <c r="AU581" s="588" t="n"/>
      <c r="AV581" s="588" t="n"/>
      <c r="AW581" s="588" t="n"/>
      <c r="AX581" s="588" t="n"/>
      <c r="AY581" s="588" t="n"/>
      <c r="AZ581" s="588" t="n"/>
      <c r="BA581" s="588" t="n"/>
      <c r="BB581" s="588" t="n"/>
      <c r="BC581" s="588" t="n"/>
      <c r="BD581" s="588" t="n"/>
      <c r="BE581" s="588" t="n"/>
      <c r="BF581" s="588" t="n"/>
      <c r="BG581" s="588" t="n"/>
      <c r="BH581" s="588" t="n"/>
      <c r="BI581" s="588" t="n"/>
      <c r="BJ581" s="588" t="n"/>
      <c r="BK581" s="588" t="n"/>
      <c r="BL581" s="588" t="n"/>
      <c r="BM581" s="588" t="n"/>
      <c r="BN581" s="588" t="n"/>
      <c r="BO581" s="588" t="n"/>
      <c r="BP581" s="588" t="n"/>
      <c r="BQ581" s="588" t="n"/>
      <c r="BR581" s="588" t="n"/>
      <c r="BS581" s="588" t="n"/>
      <c r="BT581" s="588" t="n"/>
      <c r="BU581" s="588" t="n"/>
      <c r="BV581" s="588" t="n"/>
      <c r="BW581" s="588" t="n"/>
      <c r="BX581" s="588" t="n"/>
      <c r="BY581" s="588" t="n"/>
      <c r="BZ581" s="588" t="n"/>
      <c r="CA581" s="588" t="n"/>
      <c r="CB581" s="588" t="n"/>
      <c r="CC581" s="588" t="n"/>
      <c r="CD581" s="588" t="n"/>
      <c r="CE581" s="588" t="n"/>
      <c r="CF581" s="588" t="n"/>
      <c r="CG581" s="588" t="n"/>
      <c r="CH581" s="588" t="n"/>
      <c r="CI581" s="588" t="n"/>
      <c r="CJ581" s="588" t="n"/>
      <c r="CK581" s="588" t="n"/>
      <c r="CL581" s="588" t="n"/>
      <c r="CM581" s="588" t="n"/>
      <c r="CN581" s="588" t="n"/>
      <c r="CO581" s="588" t="n"/>
      <c r="CP581" s="588" t="n"/>
      <c r="CQ581" s="588" t="n"/>
      <c r="CR581" s="588" t="n"/>
      <c r="CS581" s="588" t="n"/>
      <c r="CT581" s="588" t="n"/>
      <c r="CU581" s="588" t="n"/>
      <c r="CV581" s="588" t="n"/>
      <c r="CW581" s="588" t="n"/>
      <c r="CX581" s="588" t="n"/>
      <c r="CY581" s="588" t="n"/>
      <c r="CZ581" s="588" t="n"/>
      <c r="DA581" s="588" t="n"/>
      <c r="DB581" s="588" t="n"/>
      <c r="DC581" s="588" t="n"/>
      <c r="DD581" s="588" t="n"/>
      <c r="DE581" s="588" t="n"/>
      <c r="DF581" s="588" t="n"/>
      <c r="DG581" s="588" t="n"/>
      <c r="DH581" s="588" t="n"/>
      <c r="DI581" s="588" t="n"/>
      <c r="DJ581" s="588" t="n"/>
      <c r="DK581" s="588" t="n"/>
      <c r="DL581" s="588" t="n"/>
      <c r="DM581" s="588" t="n"/>
      <c r="DN581" s="588" t="n"/>
      <c r="DO581" s="588" t="n"/>
      <c r="DP581" s="588" t="n"/>
      <c r="DQ581" s="588" t="n"/>
      <c r="DR581" s="588" t="n"/>
      <c r="DS581" s="588" t="n"/>
      <c r="DT581" s="588" t="n"/>
      <c r="DU581" s="588" t="n"/>
    </row>
    <row r="582">
      <c r="A582" s="737" t="n"/>
      <c r="B582" s="737" t="n"/>
      <c r="C582" s="737" t="n"/>
      <c r="D582" s="737" t="n"/>
      <c r="E582" s="737" t="n"/>
      <c r="F582" s="737" t="n"/>
      <c r="G582" s="737" t="n"/>
      <c r="H582" s="737" t="n"/>
      <c r="I582" s="737" t="n"/>
      <c r="J582" s="737" t="n"/>
      <c r="K582" s="737" t="n"/>
      <c r="L582" s="737" t="n"/>
      <c r="M582" s="737" t="n"/>
      <c r="N582" s="737" t="n"/>
      <c r="O582" s="737" t="n"/>
      <c r="P582" s="737" t="n"/>
      <c r="Q582" s="737" t="n"/>
      <c r="R582" s="737" t="n"/>
      <c r="S582" s="737" t="n"/>
      <c r="T582" s="737" t="n"/>
      <c r="U582" s="737" t="n"/>
      <c r="V582" s="737" t="n"/>
      <c r="W582" s="737" t="n"/>
      <c r="X582" s="737" t="n"/>
      <c r="Y582" s="737" t="n"/>
      <c r="Z582" s="737" t="n"/>
      <c r="AA582" s="737" t="n"/>
      <c r="AB582" s="737" t="n"/>
      <c r="AC582" s="737" t="n"/>
      <c r="AD582" s="737" t="n"/>
      <c r="AE582" s="737" t="n"/>
      <c r="AF582" s="737" t="n"/>
      <c r="AG582" s="737" t="n"/>
      <c r="AH582" s="737" t="n"/>
      <c r="AI582" s="737" t="n"/>
      <c r="AJ582" s="737" t="n"/>
      <c r="AK582" s="588" t="n"/>
      <c r="AL582" s="588" t="n"/>
      <c r="AM582" s="588" t="n"/>
      <c r="AN582" s="588" t="n"/>
      <c r="AO582" s="588" t="n"/>
      <c r="AP582" s="588" t="n"/>
      <c r="AQ582" s="588" t="n"/>
      <c r="AR582" s="588" t="n"/>
      <c r="AS582" s="588" t="n"/>
      <c r="AT582" s="588" t="n"/>
      <c r="AU582" s="588" t="n"/>
      <c r="AV582" s="588" t="n"/>
      <c r="AW582" s="588" t="n"/>
      <c r="AX582" s="588" t="n"/>
      <c r="AY582" s="588" t="n"/>
      <c r="AZ582" s="588" t="n"/>
      <c r="BA582" s="588" t="n"/>
      <c r="BB582" s="588" t="n"/>
      <c r="BC582" s="588" t="n"/>
      <c r="BD582" s="588" t="n"/>
      <c r="BE582" s="588" t="n"/>
      <c r="BF582" s="588" t="n"/>
      <c r="BG582" s="588" t="n"/>
      <c r="BH582" s="588" t="n"/>
      <c r="BI582" s="588" t="n"/>
      <c r="BJ582" s="588" t="n"/>
      <c r="BK582" s="588" t="n"/>
      <c r="BL582" s="588" t="n"/>
      <c r="BM582" s="588" t="n"/>
      <c r="BN582" s="588" t="n"/>
      <c r="BO582" s="588" t="n"/>
      <c r="BP582" s="588" t="n"/>
      <c r="BQ582" s="588" t="n"/>
      <c r="BR582" s="588" t="n"/>
      <c r="BS582" s="588" t="n"/>
      <c r="BT582" s="588" t="n"/>
      <c r="BU582" s="588" t="n"/>
      <c r="BV582" s="588" t="n"/>
      <c r="BW582" s="588" t="n"/>
      <c r="BX582" s="588" t="n"/>
      <c r="BY582" s="588" t="n"/>
      <c r="BZ582" s="588" t="n"/>
      <c r="CA582" s="588" t="n"/>
      <c r="CB582" s="588" t="n"/>
      <c r="CC582" s="588" t="n"/>
      <c r="CD582" s="588" t="n"/>
      <c r="CE582" s="588" t="n"/>
      <c r="CF582" s="588" t="n"/>
      <c r="CG582" s="588" t="n"/>
      <c r="CH582" s="588" t="n"/>
      <c r="CI582" s="588" t="n"/>
      <c r="CJ582" s="588" t="n"/>
      <c r="CK582" s="588" t="n"/>
      <c r="CL582" s="588" t="n"/>
      <c r="CM582" s="588" t="n"/>
      <c r="CN582" s="588" t="n"/>
      <c r="CO582" s="588" t="n"/>
      <c r="CP582" s="588" t="n"/>
      <c r="CQ582" s="588" t="n"/>
      <c r="CR582" s="588" t="n"/>
      <c r="CS582" s="588" t="n"/>
      <c r="CT582" s="588" t="n"/>
      <c r="CU582" s="588" t="n"/>
      <c r="CV582" s="588" t="n"/>
      <c r="CW582" s="588" t="n"/>
      <c r="CX582" s="588" t="n"/>
      <c r="CY582" s="588" t="n"/>
      <c r="CZ582" s="588" t="n"/>
      <c r="DA582" s="588" t="n"/>
      <c r="DB582" s="588" t="n"/>
      <c r="DC582" s="588" t="n"/>
      <c r="DD582" s="588" t="n"/>
      <c r="DE582" s="588" t="n"/>
      <c r="DF582" s="588" t="n"/>
      <c r="DG582" s="588" t="n"/>
      <c r="DH582" s="588" t="n"/>
      <c r="DI582" s="588" t="n"/>
      <c r="DJ582" s="588" t="n"/>
      <c r="DK582" s="588" t="n"/>
      <c r="DL582" s="588" t="n"/>
      <c r="DM582" s="588" t="n"/>
      <c r="DN582" s="588" t="n"/>
      <c r="DO582" s="588" t="n"/>
      <c r="DP582" s="588" t="n"/>
      <c r="DQ582" s="588" t="n"/>
      <c r="DR582" s="588" t="n"/>
      <c r="DS582" s="588" t="n"/>
      <c r="DT582" s="588" t="n"/>
      <c r="DU582" s="588" t="n"/>
    </row>
    <row r="583">
      <c r="A583" s="737" t="n"/>
      <c r="B583" s="737" t="n"/>
      <c r="C583" s="737" t="n"/>
      <c r="D583" s="737" t="n"/>
      <c r="E583" s="737" t="n"/>
      <c r="F583" s="737" t="n"/>
      <c r="G583" s="737" t="n"/>
      <c r="H583" s="737" t="n"/>
      <c r="I583" s="737" t="n"/>
      <c r="J583" s="737" t="n"/>
      <c r="K583" s="737" t="n"/>
      <c r="L583" s="737" t="n"/>
      <c r="M583" s="737" t="n"/>
      <c r="N583" s="737" t="n"/>
      <c r="O583" s="737" t="n"/>
      <c r="P583" s="737" t="n"/>
      <c r="Q583" s="737" t="n"/>
      <c r="R583" s="737" t="n"/>
      <c r="S583" s="737" t="n"/>
      <c r="T583" s="737" t="n"/>
      <c r="U583" s="737" t="n"/>
      <c r="V583" s="737" t="n"/>
      <c r="W583" s="737" t="n"/>
      <c r="X583" s="737" t="n"/>
      <c r="Y583" s="737" t="n"/>
      <c r="Z583" s="737" t="n"/>
      <c r="AA583" s="737" t="n"/>
      <c r="AB583" s="737" t="n"/>
      <c r="AC583" s="737" t="n"/>
      <c r="AD583" s="737" t="n"/>
      <c r="AE583" s="737" t="n"/>
      <c r="AF583" s="737" t="n"/>
      <c r="AG583" s="737" t="n"/>
      <c r="AH583" s="737" t="n"/>
      <c r="AI583" s="737" t="n"/>
      <c r="AJ583" s="737" t="n"/>
      <c r="AK583" s="588" t="n"/>
      <c r="AL583" s="588" t="n"/>
      <c r="AM583" s="588" t="n"/>
      <c r="AN583" s="588" t="n"/>
      <c r="AO583" s="588" t="n"/>
      <c r="AP583" s="588" t="n"/>
      <c r="AQ583" s="588" t="n"/>
      <c r="AR583" s="588" t="n"/>
      <c r="AS583" s="588" t="n"/>
      <c r="AT583" s="588" t="n"/>
      <c r="AU583" s="588" t="n"/>
      <c r="AV583" s="588" t="n"/>
      <c r="AW583" s="588" t="n"/>
      <c r="AX583" s="588" t="n"/>
      <c r="AY583" s="588" t="n"/>
      <c r="AZ583" s="588" t="n"/>
      <c r="BA583" s="588" t="n"/>
      <c r="BB583" s="588" t="n"/>
      <c r="BC583" s="588" t="n"/>
      <c r="BD583" s="588" t="n"/>
      <c r="BE583" s="588" t="n"/>
      <c r="BF583" s="588" t="n"/>
      <c r="BG583" s="588" t="n"/>
      <c r="BH583" s="588" t="n"/>
      <c r="BI583" s="588" t="n"/>
      <c r="BJ583" s="588" t="n"/>
      <c r="BK583" s="588" t="n"/>
      <c r="BL583" s="588" t="n"/>
      <c r="BM583" s="588" t="n"/>
      <c r="BN583" s="588" t="n"/>
      <c r="BO583" s="588" t="n"/>
      <c r="BP583" s="588" t="n"/>
      <c r="BQ583" s="588" t="n"/>
      <c r="BR583" s="588" t="n"/>
      <c r="BS583" s="588" t="n"/>
      <c r="BT583" s="588" t="n"/>
      <c r="BU583" s="588" t="n"/>
      <c r="BV583" s="588" t="n"/>
      <c r="BW583" s="588" t="n"/>
      <c r="BX583" s="588" t="n"/>
      <c r="BY583" s="588" t="n"/>
      <c r="BZ583" s="588" t="n"/>
      <c r="CA583" s="588" t="n"/>
      <c r="CB583" s="588" t="n"/>
      <c r="CC583" s="588" t="n"/>
      <c r="CD583" s="588" t="n"/>
      <c r="CE583" s="588" t="n"/>
      <c r="CF583" s="588" t="n"/>
      <c r="CG583" s="588" t="n"/>
      <c r="CH583" s="588" t="n"/>
      <c r="CI583" s="588" t="n"/>
      <c r="CJ583" s="588" t="n"/>
      <c r="CK583" s="588" t="n"/>
      <c r="CL583" s="588" t="n"/>
      <c r="CM583" s="588" t="n"/>
      <c r="CN583" s="588" t="n"/>
      <c r="CO583" s="588" t="n"/>
      <c r="CP583" s="588" t="n"/>
      <c r="CQ583" s="588" t="n"/>
      <c r="CR583" s="588" t="n"/>
      <c r="CS583" s="588" t="n"/>
      <c r="CT583" s="588" t="n"/>
      <c r="CU583" s="588" t="n"/>
      <c r="CV583" s="588" t="n"/>
      <c r="CW583" s="588" t="n"/>
      <c r="CX583" s="588" t="n"/>
      <c r="CY583" s="588" t="n"/>
      <c r="CZ583" s="588" t="n"/>
      <c r="DA583" s="588" t="n"/>
      <c r="DB583" s="588" t="n"/>
      <c r="DC583" s="588" t="n"/>
      <c r="DD583" s="588" t="n"/>
      <c r="DE583" s="588" t="n"/>
      <c r="DF583" s="588" t="n"/>
      <c r="DG583" s="588" t="n"/>
      <c r="DH583" s="588" t="n"/>
      <c r="DI583" s="588" t="n"/>
      <c r="DJ583" s="588" t="n"/>
      <c r="DK583" s="588" t="n"/>
      <c r="DL583" s="588" t="n"/>
      <c r="DM583" s="588" t="n"/>
      <c r="DN583" s="588" t="n"/>
      <c r="DO583" s="588" t="n"/>
      <c r="DP583" s="588" t="n"/>
      <c r="DQ583" s="588" t="n"/>
      <c r="DR583" s="588" t="n"/>
      <c r="DS583" s="588" t="n"/>
      <c r="DT583" s="588" t="n"/>
      <c r="DU583" s="588" t="n"/>
    </row>
    <row r="584">
      <c r="A584" s="737" t="n"/>
      <c r="B584" s="737" t="n"/>
      <c r="C584" s="737" t="n"/>
      <c r="D584" s="737" t="n"/>
      <c r="E584" s="737" t="n"/>
      <c r="F584" s="737" t="n"/>
      <c r="G584" s="737" t="n"/>
      <c r="H584" s="737" t="n"/>
      <c r="I584" s="737" t="n"/>
      <c r="J584" s="737" t="n"/>
      <c r="K584" s="737" t="n"/>
      <c r="L584" s="737" t="n"/>
      <c r="M584" s="737" t="n"/>
      <c r="N584" s="737" t="n"/>
      <c r="O584" s="737" t="n"/>
      <c r="P584" s="737" t="n"/>
      <c r="Q584" s="737" t="n"/>
      <c r="R584" s="737" t="n"/>
      <c r="S584" s="737" t="n"/>
      <c r="T584" s="737" t="n"/>
      <c r="U584" s="737" t="n"/>
      <c r="V584" s="737" t="n"/>
      <c r="W584" s="737" t="n"/>
      <c r="X584" s="737" t="n"/>
      <c r="Y584" s="737" t="n"/>
      <c r="Z584" s="737" t="n"/>
      <c r="AA584" s="737" t="n"/>
      <c r="AB584" s="737" t="n"/>
      <c r="AC584" s="737" t="n"/>
      <c r="AD584" s="737" t="n"/>
      <c r="AE584" s="737" t="n"/>
      <c r="AF584" s="737" t="n"/>
      <c r="AG584" s="737" t="n"/>
      <c r="AH584" s="737" t="n"/>
      <c r="AI584" s="737" t="n"/>
      <c r="AJ584" s="737" t="n"/>
      <c r="AK584" s="588" t="n"/>
      <c r="AL584" s="588" t="n"/>
      <c r="AM584" s="588" t="n"/>
      <c r="AN584" s="588" t="n"/>
      <c r="AO584" s="588" t="n"/>
      <c r="AP584" s="588" t="n"/>
      <c r="AQ584" s="588" t="n"/>
      <c r="AR584" s="588" t="n"/>
      <c r="AS584" s="588" t="n"/>
      <c r="AT584" s="588" t="n"/>
      <c r="AU584" s="588" t="n"/>
      <c r="AV584" s="588" t="n"/>
      <c r="AW584" s="588" t="n"/>
      <c r="AX584" s="588" t="n"/>
      <c r="AY584" s="588" t="n"/>
      <c r="AZ584" s="588" t="n"/>
      <c r="BA584" s="588" t="n"/>
      <c r="BB584" s="588" t="n"/>
      <c r="BC584" s="588" t="n"/>
      <c r="BD584" s="588" t="n"/>
      <c r="BE584" s="588" t="n"/>
      <c r="BF584" s="588" t="n"/>
      <c r="BG584" s="588" t="n"/>
      <c r="BH584" s="588" t="n"/>
      <c r="BI584" s="588" t="n"/>
      <c r="BJ584" s="588" t="n"/>
      <c r="BK584" s="588" t="n"/>
      <c r="BL584" s="588" t="n"/>
      <c r="BM584" s="588" t="n"/>
      <c r="BN584" s="588" t="n"/>
      <c r="BO584" s="588" t="n"/>
      <c r="BP584" s="588" t="n"/>
      <c r="BQ584" s="588" t="n"/>
      <c r="BR584" s="588" t="n"/>
      <c r="BS584" s="588" t="n"/>
      <c r="BT584" s="588" t="n"/>
      <c r="BU584" s="588" t="n"/>
      <c r="BV584" s="588" t="n"/>
      <c r="BW584" s="588" t="n"/>
      <c r="BX584" s="588" t="n"/>
      <c r="BY584" s="588" t="n"/>
      <c r="BZ584" s="588" t="n"/>
      <c r="CA584" s="588" t="n"/>
      <c r="CB584" s="588" t="n"/>
      <c r="CC584" s="588" t="n"/>
      <c r="CD584" s="588" t="n"/>
      <c r="CE584" s="588" t="n"/>
      <c r="CF584" s="588" t="n"/>
      <c r="CG584" s="588" t="n"/>
      <c r="CH584" s="588" t="n"/>
      <c r="CI584" s="588" t="n"/>
      <c r="CJ584" s="588" t="n"/>
      <c r="CK584" s="588" t="n"/>
      <c r="CL584" s="588" t="n"/>
      <c r="CM584" s="588" t="n"/>
      <c r="CN584" s="588" t="n"/>
      <c r="CO584" s="588" t="n"/>
      <c r="CP584" s="588" t="n"/>
      <c r="CQ584" s="588" t="n"/>
      <c r="CR584" s="588" t="n"/>
      <c r="CS584" s="588" t="n"/>
      <c r="CT584" s="588" t="n"/>
      <c r="CU584" s="588" t="n"/>
      <c r="CV584" s="588" t="n"/>
      <c r="CW584" s="588" t="n"/>
      <c r="CX584" s="588" t="n"/>
      <c r="CY584" s="588" t="n"/>
      <c r="CZ584" s="588" t="n"/>
      <c r="DA584" s="588" t="n"/>
      <c r="DB584" s="588" t="n"/>
      <c r="DC584" s="588" t="n"/>
      <c r="DD584" s="588" t="n"/>
      <c r="DE584" s="588" t="n"/>
      <c r="DF584" s="588" t="n"/>
      <c r="DG584" s="588" t="n"/>
      <c r="DH584" s="588" t="n"/>
      <c r="DI584" s="588" t="n"/>
      <c r="DJ584" s="588" t="n"/>
      <c r="DK584" s="588" t="n"/>
      <c r="DL584" s="588" t="n"/>
      <c r="DM584" s="588" t="n"/>
      <c r="DN584" s="588" t="n"/>
      <c r="DO584" s="588" t="n"/>
      <c r="DP584" s="588" t="n"/>
      <c r="DQ584" s="588" t="n"/>
      <c r="DR584" s="588" t="n"/>
      <c r="DS584" s="588" t="n"/>
      <c r="DT584" s="588" t="n"/>
      <c r="DU584" s="588" t="n"/>
    </row>
    <row r="585">
      <c r="A585" s="737" t="n"/>
      <c r="B585" s="737" t="n"/>
      <c r="C585" s="737" t="n"/>
      <c r="D585" s="737" t="n"/>
      <c r="E585" s="737" t="n"/>
      <c r="F585" s="737" t="n"/>
      <c r="G585" s="737" t="n"/>
      <c r="H585" s="737" t="n"/>
      <c r="I585" s="737" t="n"/>
      <c r="J585" s="737" t="n"/>
      <c r="K585" s="737" t="n"/>
      <c r="L585" s="737" t="n"/>
      <c r="M585" s="737" t="n"/>
      <c r="N585" s="737" t="n"/>
      <c r="O585" s="737" t="n"/>
      <c r="P585" s="737" t="n"/>
      <c r="Q585" s="737" t="n"/>
      <c r="R585" s="737" t="n"/>
      <c r="S585" s="737" t="n"/>
      <c r="T585" s="737" t="n"/>
      <c r="U585" s="737" t="n"/>
      <c r="V585" s="737" t="n"/>
      <c r="W585" s="737" t="n"/>
      <c r="X585" s="737" t="n"/>
      <c r="Y585" s="737" t="n"/>
      <c r="Z585" s="737" t="n"/>
      <c r="AA585" s="737" t="n"/>
      <c r="AB585" s="737" t="n"/>
      <c r="AC585" s="737" t="n"/>
      <c r="AD585" s="737" t="n"/>
      <c r="AE585" s="737" t="n"/>
      <c r="AF585" s="737" t="n"/>
      <c r="AG585" s="737" t="n"/>
      <c r="AH585" s="737" t="n"/>
      <c r="AI585" s="737" t="n"/>
      <c r="AJ585" s="737" t="n"/>
      <c r="AK585" s="588" t="n"/>
      <c r="AL585" s="588" t="n"/>
      <c r="AM585" s="588" t="n"/>
      <c r="AN585" s="588" t="n"/>
      <c r="AO585" s="588" t="n"/>
      <c r="AP585" s="588" t="n"/>
      <c r="AQ585" s="588" t="n"/>
      <c r="AR585" s="588" t="n"/>
      <c r="AS585" s="588" t="n"/>
      <c r="AT585" s="588" t="n"/>
      <c r="AU585" s="588" t="n"/>
      <c r="AV585" s="588" t="n"/>
      <c r="AW585" s="588" t="n"/>
      <c r="AX585" s="588" t="n"/>
      <c r="AY585" s="588" t="n"/>
      <c r="AZ585" s="588" t="n"/>
      <c r="BA585" s="588" t="n"/>
      <c r="BB585" s="588" t="n"/>
      <c r="BC585" s="588" t="n"/>
      <c r="BD585" s="588" t="n"/>
      <c r="BE585" s="588" t="n"/>
      <c r="BF585" s="588" t="n"/>
      <c r="BG585" s="588" t="n"/>
      <c r="BH585" s="588" t="n"/>
      <c r="BI585" s="588" t="n"/>
      <c r="BJ585" s="588" t="n"/>
      <c r="BK585" s="588" t="n"/>
      <c r="BL585" s="588" t="n"/>
      <c r="BM585" s="588" t="n"/>
      <c r="BN585" s="588" t="n"/>
      <c r="BO585" s="588" t="n"/>
      <c r="BP585" s="588" t="n"/>
      <c r="BQ585" s="588" t="n"/>
      <c r="BR585" s="588" t="n"/>
      <c r="BS585" s="588" t="n"/>
      <c r="BT585" s="588" t="n"/>
      <c r="BU585" s="588" t="n"/>
      <c r="BV585" s="588" t="n"/>
      <c r="BW585" s="588" t="n"/>
      <c r="BX585" s="588" t="n"/>
      <c r="BY585" s="588" t="n"/>
      <c r="BZ585" s="588" t="n"/>
      <c r="CA585" s="588" t="n"/>
      <c r="CB585" s="588" t="n"/>
      <c r="CC585" s="588" t="n"/>
      <c r="CD585" s="588" t="n"/>
      <c r="CE585" s="588" t="n"/>
      <c r="CF585" s="588" t="n"/>
      <c r="CG585" s="588" t="n"/>
      <c r="CH585" s="588" t="n"/>
      <c r="CI585" s="588" t="n"/>
      <c r="CJ585" s="588" t="n"/>
      <c r="CK585" s="588" t="n"/>
      <c r="CL585" s="588" t="n"/>
      <c r="CM585" s="588" t="n"/>
      <c r="CN585" s="588" t="n"/>
      <c r="CO585" s="588" t="n"/>
      <c r="CP585" s="588" t="n"/>
      <c r="CQ585" s="588" t="n"/>
      <c r="CR585" s="588" t="n"/>
      <c r="CS585" s="588" t="n"/>
      <c r="CT585" s="588" t="n"/>
      <c r="CU585" s="588" t="n"/>
      <c r="CV585" s="588" t="n"/>
      <c r="CW585" s="588" t="n"/>
      <c r="CX585" s="588" t="n"/>
      <c r="CY585" s="588" t="n"/>
      <c r="CZ585" s="588" t="n"/>
      <c r="DA585" s="588" t="n"/>
      <c r="DB585" s="588" t="n"/>
      <c r="DC585" s="588" t="n"/>
      <c r="DD585" s="588" t="n"/>
      <c r="DE585" s="588" t="n"/>
      <c r="DF585" s="588" t="n"/>
      <c r="DG585" s="588" t="n"/>
      <c r="DH585" s="588" t="n"/>
      <c r="DI585" s="588" t="n"/>
      <c r="DJ585" s="588" t="n"/>
      <c r="DK585" s="588" t="n"/>
      <c r="DL585" s="588" t="n"/>
      <c r="DM585" s="588" t="n"/>
      <c r="DN585" s="588" t="n"/>
      <c r="DO585" s="588" t="n"/>
      <c r="DP585" s="588" t="n"/>
      <c r="DQ585" s="588" t="n"/>
      <c r="DR585" s="588" t="n"/>
      <c r="DS585" s="588" t="n"/>
      <c r="DT585" s="588" t="n"/>
      <c r="DU585" s="588" t="n"/>
    </row>
    <row r="586">
      <c r="A586" s="737" t="n"/>
      <c r="B586" s="737" t="n"/>
      <c r="C586" s="737" t="n"/>
      <c r="D586" s="737" t="n"/>
      <c r="E586" s="737" t="n"/>
      <c r="F586" s="737" t="n"/>
      <c r="G586" s="737" t="n"/>
      <c r="H586" s="737" t="n"/>
      <c r="I586" s="737" t="n"/>
      <c r="J586" s="737" t="n"/>
      <c r="K586" s="737" t="n"/>
      <c r="L586" s="737" t="n"/>
      <c r="M586" s="737" t="n"/>
      <c r="N586" s="737" t="n"/>
      <c r="O586" s="737" t="n"/>
      <c r="P586" s="737" t="n"/>
      <c r="Q586" s="737" t="n"/>
      <c r="R586" s="737" t="n"/>
      <c r="S586" s="737" t="n"/>
      <c r="T586" s="737" t="n"/>
      <c r="U586" s="737" t="n"/>
      <c r="V586" s="737" t="n"/>
      <c r="W586" s="737" t="n"/>
      <c r="X586" s="737" t="n"/>
      <c r="Y586" s="737" t="n"/>
      <c r="Z586" s="737" t="n"/>
      <c r="AA586" s="737" t="n"/>
      <c r="AB586" s="737" t="n"/>
      <c r="AC586" s="737" t="n"/>
      <c r="AD586" s="737" t="n"/>
      <c r="AE586" s="737" t="n"/>
      <c r="AF586" s="737" t="n"/>
      <c r="AG586" s="737" t="n"/>
      <c r="AH586" s="737" t="n"/>
      <c r="AI586" s="737" t="n"/>
      <c r="AJ586" s="737" t="n"/>
      <c r="AK586" s="588" t="n"/>
      <c r="AL586" s="588" t="n"/>
      <c r="AM586" s="588" t="n"/>
      <c r="AN586" s="588" t="n"/>
      <c r="AO586" s="588" t="n"/>
      <c r="AP586" s="588" t="n"/>
      <c r="AQ586" s="588" t="n"/>
      <c r="AR586" s="588" t="n"/>
      <c r="AS586" s="588" t="n"/>
      <c r="AT586" s="588" t="n"/>
      <c r="AU586" s="588" t="n"/>
      <c r="AV586" s="588" t="n"/>
      <c r="AW586" s="588" t="n"/>
      <c r="AX586" s="588" t="n"/>
      <c r="AY586" s="588" t="n"/>
      <c r="AZ586" s="588" t="n"/>
      <c r="BA586" s="588" t="n"/>
      <c r="BB586" s="588" t="n"/>
      <c r="BC586" s="588" t="n"/>
      <c r="BD586" s="588" t="n"/>
      <c r="BE586" s="588" t="n"/>
      <c r="BF586" s="588" t="n"/>
      <c r="BG586" s="588" t="n"/>
      <c r="BH586" s="588" t="n"/>
      <c r="BI586" s="588" t="n"/>
      <c r="BJ586" s="588" t="n"/>
      <c r="BK586" s="588" t="n"/>
      <c r="BL586" s="588" t="n"/>
      <c r="BM586" s="588" t="n"/>
      <c r="BN586" s="588" t="n"/>
      <c r="BO586" s="588" t="n"/>
      <c r="BP586" s="588" t="n"/>
      <c r="BQ586" s="588" t="n"/>
      <c r="BR586" s="588" t="n"/>
      <c r="BS586" s="588" t="n"/>
      <c r="BT586" s="588" t="n"/>
      <c r="BU586" s="588" t="n"/>
      <c r="BV586" s="588" t="n"/>
      <c r="BW586" s="588" t="n"/>
      <c r="BX586" s="588" t="n"/>
      <c r="BY586" s="588" t="n"/>
      <c r="BZ586" s="588" t="n"/>
      <c r="CA586" s="588" t="n"/>
      <c r="CB586" s="588" t="n"/>
      <c r="CC586" s="588" t="n"/>
      <c r="CD586" s="588" t="n"/>
      <c r="CE586" s="588" t="n"/>
      <c r="CF586" s="588" t="n"/>
      <c r="CG586" s="588" t="n"/>
      <c r="CH586" s="588" t="n"/>
      <c r="CI586" s="588" t="n"/>
      <c r="CJ586" s="588" t="n"/>
      <c r="CK586" s="588" t="n"/>
      <c r="CL586" s="588" t="n"/>
      <c r="CM586" s="588" t="n"/>
      <c r="CN586" s="588" t="n"/>
      <c r="CO586" s="588" t="n"/>
      <c r="CP586" s="588" t="n"/>
      <c r="CQ586" s="588" t="n"/>
      <c r="CR586" s="588" t="n"/>
      <c r="CS586" s="588" t="n"/>
      <c r="CT586" s="588" t="n"/>
      <c r="CU586" s="588" t="n"/>
      <c r="CV586" s="588" t="n"/>
      <c r="CW586" s="588" t="n"/>
      <c r="CX586" s="588" t="n"/>
      <c r="CY586" s="588" t="n"/>
      <c r="CZ586" s="588" t="n"/>
      <c r="DA586" s="588" t="n"/>
      <c r="DB586" s="588" t="n"/>
      <c r="DC586" s="588" t="n"/>
      <c r="DD586" s="588" t="n"/>
      <c r="DE586" s="588" t="n"/>
      <c r="DF586" s="588" t="n"/>
      <c r="DG586" s="588" t="n"/>
      <c r="DH586" s="588" t="n"/>
      <c r="DI586" s="588" t="n"/>
      <c r="DJ586" s="588" t="n"/>
      <c r="DK586" s="588" t="n"/>
      <c r="DL586" s="588" t="n"/>
      <c r="DM586" s="588" t="n"/>
      <c r="DN586" s="588" t="n"/>
      <c r="DO586" s="588" t="n"/>
      <c r="DP586" s="588" t="n"/>
      <c r="DQ586" s="588" t="n"/>
      <c r="DR586" s="588" t="n"/>
      <c r="DS586" s="588" t="n"/>
      <c r="DT586" s="588" t="n"/>
      <c r="DU586" s="588" t="n"/>
    </row>
    <row r="587">
      <c r="A587" s="737" t="n"/>
      <c r="B587" s="737" t="n"/>
      <c r="C587" s="737" t="n"/>
      <c r="D587" s="737" t="n"/>
      <c r="E587" s="737" t="n"/>
      <c r="F587" s="737" t="n"/>
      <c r="G587" s="737" t="n"/>
      <c r="H587" s="737" t="n"/>
      <c r="I587" s="737" t="n"/>
      <c r="J587" s="737" t="n"/>
      <c r="K587" s="737" t="n"/>
      <c r="L587" s="737" t="n"/>
      <c r="M587" s="737" t="n"/>
      <c r="N587" s="737" t="n"/>
      <c r="O587" s="737" t="n"/>
      <c r="P587" s="737" t="n"/>
      <c r="Q587" s="737" t="n"/>
      <c r="R587" s="737" t="n"/>
      <c r="S587" s="737" t="n"/>
      <c r="T587" s="737" t="n"/>
      <c r="U587" s="737" t="n"/>
      <c r="V587" s="737" t="n"/>
      <c r="W587" s="737" t="n"/>
      <c r="X587" s="737" t="n"/>
      <c r="Y587" s="737" t="n"/>
      <c r="Z587" s="737" t="n"/>
      <c r="AA587" s="737" t="n"/>
      <c r="AB587" s="737" t="n"/>
      <c r="AC587" s="737" t="n"/>
      <c r="AD587" s="737" t="n"/>
      <c r="AE587" s="737" t="n"/>
      <c r="AF587" s="737" t="n"/>
      <c r="AG587" s="737" t="n"/>
      <c r="AH587" s="737" t="n"/>
      <c r="AI587" s="737" t="n"/>
      <c r="AJ587" s="737" t="n"/>
      <c r="AK587" s="588" t="n"/>
      <c r="AL587" s="588" t="n"/>
      <c r="AM587" s="588" t="n"/>
      <c r="AN587" s="588" t="n"/>
      <c r="AO587" s="588" t="n"/>
      <c r="AP587" s="588" t="n"/>
      <c r="AQ587" s="588" t="n"/>
      <c r="AR587" s="588" t="n"/>
      <c r="AS587" s="588" t="n"/>
      <c r="AT587" s="588" t="n"/>
      <c r="AU587" s="588" t="n"/>
      <c r="AV587" s="588" t="n"/>
      <c r="AW587" s="588" t="n"/>
      <c r="AX587" s="588" t="n"/>
      <c r="AY587" s="588" t="n"/>
      <c r="AZ587" s="588" t="n"/>
      <c r="BA587" s="588" t="n"/>
      <c r="BB587" s="588" t="n"/>
      <c r="BC587" s="588" t="n"/>
      <c r="BD587" s="588" t="n"/>
      <c r="BE587" s="588" t="n"/>
      <c r="BF587" s="588" t="n"/>
      <c r="BG587" s="588" t="n"/>
      <c r="BH587" s="588" t="n"/>
      <c r="BI587" s="588" t="n"/>
      <c r="BJ587" s="588" t="n"/>
      <c r="BK587" s="588" t="n"/>
      <c r="BL587" s="588" t="n"/>
      <c r="BM587" s="588" t="n"/>
      <c r="BN587" s="588" t="n"/>
      <c r="BO587" s="588" t="n"/>
      <c r="BP587" s="588" t="n"/>
      <c r="BQ587" s="588" t="n"/>
      <c r="BR587" s="588" t="n"/>
      <c r="BS587" s="588" t="n"/>
      <c r="BT587" s="588" t="n"/>
      <c r="BU587" s="588" t="n"/>
      <c r="BV587" s="588" t="n"/>
      <c r="BW587" s="588" t="n"/>
      <c r="BX587" s="588" t="n"/>
      <c r="BY587" s="588" t="n"/>
      <c r="BZ587" s="588" t="n"/>
      <c r="CA587" s="588" t="n"/>
      <c r="CB587" s="588" t="n"/>
      <c r="CC587" s="588" t="n"/>
      <c r="CD587" s="588" t="n"/>
      <c r="CE587" s="588" t="n"/>
      <c r="CF587" s="588" t="n"/>
      <c r="CG587" s="588" t="n"/>
      <c r="CH587" s="588" t="n"/>
      <c r="CI587" s="588" t="n"/>
      <c r="CJ587" s="588" t="n"/>
      <c r="CK587" s="588" t="n"/>
      <c r="CL587" s="588" t="n"/>
      <c r="CM587" s="588" t="n"/>
      <c r="CN587" s="588" t="n"/>
      <c r="CO587" s="588" t="n"/>
      <c r="CP587" s="588" t="n"/>
      <c r="CQ587" s="588" t="n"/>
      <c r="CR587" s="588" t="n"/>
      <c r="CS587" s="588" t="n"/>
      <c r="CT587" s="588" t="n"/>
      <c r="CU587" s="588" t="n"/>
      <c r="CV587" s="588" t="n"/>
      <c r="CW587" s="588" t="n"/>
      <c r="CX587" s="588" t="n"/>
      <c r="CY587" s="588" t="n"/>
      <c r="CZ587" s="588" t="n"/>
      <c r="DA587" s="588" t="n"/>
      <c r="DB587" s="588" t="n"/>
      <c r="DC587" s="588" t="n"/>
      <c r="DD587" s="588" t="n"/>
      <c r="DE587" s="588" t="n"/>
      <c r="DF587" s="588" t="n"/>
      <c r="DG587" s="588" t="n"/>
      <c r="DH587" s="588" t="n"/>
      <c r="DI587" s="588" t="n"/>
      <c r="DJ587" s="588" t="n"/>
      <c r="DK587" s="588" t="n"/>
      <c r="DL587" s="588" t="n"/>
      <c r="DM587" s="588" t="n"/>
      <c r="DN587" s="588" t="n"/>
      <c r="DO587" s="588" t="n"/>
      <c r="DP587" s="588" t="n"/>
      <c r="DQ587" s="588" t="n"/>
      <c r="DR587" s="588" t="n"/>
      <c r="DS587" s="588" t="n"/>
      <c r="DT587" s="588" t="n"/>
      <c r="DU587" s="588" t="n"/>
    </row>
    <row r="588">
      <c r="A588" s="737" t="n"/>
      <c r="B588" s="737" t="n"/>
      <c r="C588" s="737" t="n"/>
      <c r="D588" s="737" t="n"/>
      <c r="E588" s="737" t="n"/>
      <c r="F588" s="737" t="n"/>
      <c r="G588" s="737" t="n"/>
      <c r="H588" s="737" t="n"/>
      <c r="I588" s="737" t="n"/>
      <c r="J588" s="737" t="n"/>
      <c r="K588" s="737" t="n"/>
      <c r="L588" s="737" t="n"/>
      <c r="M588" s="737" t="n"/>
      <c r="N588" s="737" t="n"/>
      <c r="O588" s="737" t="n"/>
      <c r="P588" s="737" t="n"/>
      <c r="Q588" s="737" t="n"/>
      <c r="R588" s="737" t="n"/>
      <c r="S588" s="737" t="n"/>
      <c r="T588" s="737" t="n"/>
      <c r="U588" s="737" t="n"/>
      <c r="V588" s="737" t="n"/>
      <c r="W588" s="737" t="n"/>
      <c r="X588" s="737" t="n"/>
      <c r="Y588" s="737" t="n"/>
      <c r="Z588" s="737" t="n"/>
      <c r="AA588" s="737" t="n"/>
      <c r="AB588" s="737" t="n"/>
      <c r="AC588" s="737" t="n"/>
      <c r="AD588" s="737" t="n"/>
      <c r="AE588" s="737" t="n"/>
      <c r="AF588" s="737" t="n"/>
      <c r="AG588" s="737" t="n"/>
      <c r="AH588" s="737" t="n"/>
      <c r="AI588" s="737" t="n"/>
      <c r="AJ588" s="737" t="n"/>
      <c r="AK588" s="588" t="n"/>
      <c r="AL588" s="588" t="n"/>
      <c r="AM588" s="588" t="n"/>
      <c r="AN588" s="588" t="n"/>
      <c r="AO588" s="588" t="n"/>
      <c r="AP588" s="588" t="n"/>
      <c r="AQ588" s="588" t="n"/>
      <c r="AR588" s="588" t="n"/>
      <c r="AS588" s="588" t="n"/>
      <c r="AT588" s="588" t="n"/>
      <c r="AU588" s="588" t="n"/>
      <c r="AV588" s="588" t="n"/>
      <c r="AW588" s="588" t="n"/>
      <c r="AX588" s="588" t="n"/>
      <c r="AY588" s="588" t="n"/>
      <c r="AZ588" s="588" t="n"/>
      <c r="BA588" s="588" t="n"/>
      <c r="BB588" s="588" t="n"/>
      <c r="BC588" s="588" t="n"/>
      <c r="BD588" s="588" t="n"/>
      <c r="BE588" s="588" t="n"/>
      <c r="BF588" s="588" t="n"/>
      <c r="BG588" s="588" t="n"/>
      <c r="BH588" s="588" t="n"/>
      <c r="BI588" s="588" t="n"/>
      <c r="BJ588" s="588" t="n"/>
      <c r="BK588" s="588" t="n"/>
      <c r="BL588" s="588" t="n"/>
      <c r="BM588" s="588" t="n"/>
      <c r="BN588" s="588" t="n"/>
      <c r="BO588" s="588" t="n"/>
      <c r="BP588" s="588" t="n"/>
      <c r="BQ588" s="588" t="n"/>
      <c r="BR588" s="588" t="n"/>
      <c r="BS588" s="588" t="n"/>
      <c r="BT588" s="588" t="n"/>
      <c r="BU588" s="588" t="n"/>
      <c r="BV588" s="588" t="n"/>
      <c r="BW588" s="588" t="n"/>
      <c r="BX588" s="588" t="n"/>
      <c r="BY588" s="588" t="n"/>
      <c r="BZ588" s="588" t="n"/>
      <c r="CA588" s="588" t="n"/>
      <c r="CB588" s="588" t="n"/>
      <c r="CC588" s="588" t="n"/>
      <c r="CD588" s="588" t="n"/>
      <c r="CE588" s="588" t="n"/>
      <c r="CF588" s="588" t="n"/>
      <c r="CG588" s="588" t="n"/>
      <c r="CH588" s="588" t="n"/>
      <c r="CI588" s="588" t="n"/>
      <c r="CJ588" s="588" t="n"/>
      <c r="CK588" s="588" t="n"/>
      <c r="CL588" s="588" t="n"/>
      <c r="CM588" s="588" t="n"/>
      <c r="CN588" s="588" t="n"/>
      <c r="CO588" s="588" t="n"/>
      <c r="CP588" s="588" t="n"/>
      <c r="CQ588" s="588" t="n"/>
      <c r="CR588" s="588" t="n"/>
      <c r="CS588" s="588" t="n"/>
      <c r="CT588" s="588" t="n"/>
      <c r="CU588" s="588" t="n"/>
      <c r="CV588" s="588" t="n"/>
      <c r="CW588" s="588" t="n"/>
      <c r="CX588" s="588" t="n"/>
      <c r="CY588" s="588" t="n"/>
      <c r="CZ588" s="588" t="n"/>
      <c r="DA588" s="588" t="n"/>
      <c r="DB588" s="588" t="n"/>
      <c r="DC588" s="588" t="n"/>
      <c r="DD588" s="588" t="n"/>
      <c r="DE588" s="588" t="n"/>
      <c r="DF588" s="588" t="n"/>
      <c r="DG588" s="588" t="n"/>
      <c r="DH588" s="588" t="n"/>
      <c r="DI588" s="588" t="n"/>
      <c r="DJ588" s="588" t="n"/>
      <c r="DK588" s="588" t="n"/>
      <c r="DL588" s="588" t="n"/>
      <c r="DM588" s="588" t="n"/>
      <c r="DN588" s="588" t="n"/>
      <c r="DO588" s="588" t="n"/>
      <c r="DP588" s="588" t="n"/>
      <c r="DQ588" s="588" t="n"/>
      <c r="DR588" s="588" t="n"/>
      <c r="DS588" s="588" t="n"/>
      <c r="DT588" s="588" t="n"/>
      <c r="DU588" s="588" t="n"/>
    </row>
    <row r="589">
      <c r="A589" s="737" t="n"/>
      <c r="B589" s="737" t="n"/>
      <c r="C589" s="737" t="n"/>
      <c r="D589" s="737" t="n"/>
      <c r="E589" s="737" t="n"/>
      <c r="F589" s="737" t="n"/>
      <c r="G589" s="737" t="n"/>
      <c r="H589" s="737" t="n"/>
      <c r="I589" s="737" t="n"/>
      <c r="J589" s="737" t="n"/>
      <c r="K589" s="737" t="n"/>
      <c r="L589" s="737" t="n"/>
      <c r="M589" s="737" t="n"/>
      <c r="N589" s="737" t="n"/>
      <c r="O589" s="737" t="n"/>
      <c r="P589" s="737" t="n"/>
      <c r="Q589" s="737" t="n"/>
      <c r="R589" s="737" t="n"/>
      <c r="S589" s="737" t="n"/>
      <c r="T589" s="737" t="n"/>
      <c r="U589" s="737" t="n"/>
      <c r="V589" s="737" t="n"/>
      <c r="W589" s="737" t="n"/>
      <c r="X589" s="737" t="n"/>
      <c r="Y589" s="737" t="n"/>
      <c r="Z589" s="737" t="n"/>
      <c r="AA589" s="737" t="n"/>
      <c r="AB589" s="737" t="n"/>
      <c r="AC589" s="737" t="n"/>
      <c r="AD589" s="737" t="n"/>
      <c r="AE589" s="737" t="n"/>
      <c r="AF589" s="737" t="n"/>
      <c r="AG589" s="737" t="n"/>
      <c r="AH589" s="737" t="n"/>
      <c r="AI589" s="737" t="n"/>
      <c r="AJ589" s="737" t="n"/>
      <c r="AK589" s="588" t="n"/>
      <c r="AL589" s="588" t="n"/>
      <c r="AM589" s="588" t="n"/>
      <c r="AN589" s="588" t="n"/>
      <c r="AO589" s="588" t="n"/>
      <c r="AP589" s="588" t="n"/>
      <c r="AQ589" s="588" t="n"/>
      <c r="AR589" s="588" t="n"/>
      <c r="AS589" s="588" t="n"/>
      <c r="AT589" s="588" t="n"/>
      <c r="AU589" s="588" t="n"/>
      <c r="AV589" s="588" t="n"/>
      <c r="AW589" s="588" t="n"/>
      <c r="AX589" s="588" t="n"/>
      <c r="AY589" s="588" t="n"/>
      <c r="AZ589" s="588" t="n"/>
      <c r="BA589" s="588" t="n"/>
      <c r="BB589" s="588" t="n"/>
      <c r="BC589" s="588" t="n"/>
      <c r="BD589" s="588" t="n"/>
      <c r="BE589" s="588" t="n"/>
      <c r="BF589" s="588" t="n"/>
      <c r="BG589" s="588" t="n"/>
      <c r="BH589" s="588" t="n"/>
      <c r="BI589" s="588" t="n"/>
      <c r="BJ589" s="588" t="n"/>
      <c r="BK589" s="588" t="n"/>
      <c r="BL589" s="588" t="n"/>
      <c r="BM589" s="588" t="n"/>
      <c r="BN589" s="588" t="n"/>
      <c r="BO589" s="588" t="n"/>
      <c r="BP589" s="588" t="n"/>
      <c r="BQ589" s="588" t="n"/>
      <c r="BR589" s="588" t="n"/>
      <c r="BS589" s="588" t="n"/>
      <c r="BT589" s="588" t="n"/>
      <c r="BU589" s="588" t="n"/>
      <c r="BV589" s="588" t="n"/>
      <c r="BW589" s="588" t="n"/>
      <c r="BX589" s="588" t="n"/>
      <c r="BY589" s="588" t="n"/>
      <c r="BZ589" s="588" t="n"/>
      <c r="CA589" s="588" t="n"/>
      <c r="CB589" s="588" t="n"/>
      <c r="CC589" s="588" t="n"/>
      <c r="CD589" s="588" t="n"/>
      <c r="CE589" s="588" t="n"/>
      <c r="CF589" s="588" t="n"/>
      <c r="CG589" s="588" t="n"/>
      <c r="CH589" s="588" t="n"/>
      <c r="CI589" s="588" t="n"/>
      <c r="CJ589" s="588" t="n"/>
      <c r="CK589" s="588" t="n"/>
      <c r="CL589" s="588" t="n"/>
      <c r="CM589" s="588" t="n"/>
      <c r="CN589" s="588" t="n"/>
      <c r="CO589" s="588" t="n"/>
      <c r="CP589" s="588" t="n"/>
      <c r="CQ589" s="588" t="n"/>
      <c r="CR589" s="588" t="n"/>
      <c r="CS589" s="588" t="n"/>
      <c r="CT589" s="588" t="n"/>
      <c r="CU589" s="588" t="n"/>
      <c r="CV589" s="588" t="n"/>
      <c r="CW589" s="588" t="n"/>
      <c r="CX589" s="588" t="n"/>
      <c r="CY589" s="588" t="n"/>
      <c r="CZ589" s="588" t="n"/>
      <c r="DA589" s="588" t="n"/>
      <c r="DB589" s="588" t="n"/>
      <c r="DC589" s="588" t="n"/>
      <c r="DD589" s="588" t="n"/>
      <c r="DE589" s="588" t="n"/>
      <c r="DF589" s="588" t="n"/>
      <c r="DG589" s="588" t="n"/>
      <c r="DH589" s="588" t="n"/>
      <c r="DI589" s="588" t="n"/>
      <c r="DJ589" s="588" t="n"/>
      <c r="DK589" s="588" t="n"/>
      <c r="DL589" s="588" t="n"/>
      <c r="DM589" s="588" t="n"/>
      <c r="DN589" s="588" t="n"/>
      <c r="DO589" s="588" t="n"/>
      <c r="DP589" s="588" t="n"/>
      <c r="DQ589" s="588" t="n"/>
      <c r="DR589" s="588" t="n"/>
      <c r="DS589" s="588" t="n"/>
      <c r="DT589" s="588" t="n"/>
      <c r="DU589" s="588" t="n"/>
    </row>
    <row r="590">
      <c r="A590" s="737" t="n"/>
      <c r="B590" s="737" t="n"/>
      <c r="C590" s="737" t="n"/>
      <c r="D590" s="737" t="n"/>
      <c r="E590" s="737" t="n"/>
      <c r="F590" s="737" t="n"/>
      <c r="G590" s="737" t="n"/>
      <c r="H590" s="737" t="n"/>
      <c r="I590" s="737" t="n"/>
      <c r="J590" s="737" t="n"/>
      <c r="K590" s="737" t="n"/>
      <c r="L590" s="737" t="n"/>
      <c r="M590" s="737" t="n"/>
      <c r="N590" s="737" t="n"/>
      <c r="O590" s="737" t="n"/>
      <c r="P590" s="737" t="n"/>
      <c r="Q590" s="737" t="n"/>
      <c r="R590" s="737" t="n"/>
      <c r="S590" s="737" t="n"/>
      <c r="T590" s="737" t="n"/>
      <c r="U590" s="737" t="n"/>
      <c r="V590" s="737" t="n"/>
      <c r="W590" s="737" t="n"/>
      <c r="X590" s="737" t="n"/>
      <c r="Y590" s="737" t="n"/>
      <c r="Z590" s="737" t="n"/>
      <c r="AA590" s="737" t="n"/>
      <c r="AB590" s="737" t="n"/>
      <c r="AC590" s="737" t="n"/>
      <c r="AD590" s="737" t="n"/>
      <c r="AE590" s="737" t="n"/>
      <c r="AF590" s="737" t="n"/>
      <c r="AG590" s="737" t="n"/>
      <c r="AH590" s="737" t="n"/>
      <c r="AI590" s="737" t="n"/>
      <c r="AJ590" s="737" t="n"/>
      <c r="AK590" s="588" t="n"/>
      <c r="AL590" s="588" t="n"/>
      <c r="AM590" s="588" t="n"/>
      <c r="AN590" s="588" t="n"/>
      <c r="AO590" s="588" t="n"/>
      <c r="AP590" s="588" t="n"/>
      <c r="AQ590" s="588" t="n"/>
      <c r="AR590" s="588" t="n"/>
      <c r="AS590" s="588" t="n"/>
      <c r="AT590" s="588" t="n"/>
      <c r="AU590" s="588" t="n"/>
      <c r="AV590" s="588" t="n"/>
      <c r="AW590" s="588" t="n"/>
      <c r="AX590" s="588" t="n"/>
      <c r="AY590" s="588" t="n"/>
      <c r="AZ590" s="588" t="n"/>
      <c r="BA590" s="588" t="n"/>
      <c r="BB590" s="588" t="n"/>
      <c r="BC590" s="588" t="n"/>
      <c r="BD590" s="588" t="n"/>
      <c r="BE590" s="588" t="n"/>
      <c r="BF590" s="588" t="n"/>
      <c r="BG590" s="588" t="n"/>
      <c r="BH590" s="588" t="n"/>
      <c r="BI590" s="588" t="n"/>
      <c r="BJ590" s="588" t="n"/>
      <c r="BK590" s="588" t="n"/>
      <c r="BL590" s="588" t="n"/>
      <c r="BM590" s="588" t="n"/>
      <c r="BN590" s="588" t="n"/>
      <c r="BO590" s="588" t="n"/>
      <c r="BP590" s="588" t="n"/>
      <c r="BQ590" s="588" t="n"/>
      <c r="BR590" s="588" t="n"/>
      <c r="BS590" s="588" t="n"/>
      <c r="BT590" s="588" t="n"/>
      <c r="BU590" s="588" t="n"/>
      <c r="BV590" s="588" t="n"/>
      <c r="BW590" s="588" t="n"/>
      <c r="BX590" s="588" t="n"/>
      <c r="BY590" s="588" t="n"/>
      <c r="BZ590" s="588" t="n"/>
      <c r="CA590" s="588" t="n"/>
      <c r="CB590" s="588" t="n"/>
      <c r="CC590" s="588" t="n"/>
      <c r="CD590" s="588" t="n"/>
      <c r="CE590" s="588" t="n"/>
      <c r="CF590" s="588" t="n"/>
      <c r="CG590" s="588" t="n"/>
      <c r="CH590" s="588" t="n"/>
      <c r="CI590" s="588" t="n"/>
      <c r="CJ590" s="588" t="n"/>
      <c r="CK590" s="588" t="n"/>
      <c r="CL590" s="588" t="n"/>
      <c r="CM590" s="588" t="n"/>
      <c r="CN590" s="588" t="n"/>
      <c r="CO590" s="588" t="n"/>
      <c r="CP590" s="588" t="n"/>
      <c r="CQ590" s="588" t="n"/>
      <c r="CR590" s="588" t="n"/>
      <c r="CS590" s="588" t="n"/>
      <c r="CT590" s="588" t="n"/>
      <c r="CU590" s="588" t="n"/>
      <c r="CV590" s="588" t="n"/>
      <c r="CW590" s="588" t="n"/>
      <c r="CX590" s="588" t="n"/>
      <c r="CY590" s="588" t="n"/>
      <c r="CZ590" s="588" t="n"/>
      <c r="DA590" s="588" t="n"/>
      <c r="DB590" s="588" t="n"/>
      <c r="DC590" s="588" t="n"/>
      <c r="DD590" s="588" t="n"/>
      <c r="DE590" s="588" t="n"/>
      <c r="DF590" s="588" t="n"/>
      <c r="DG590" s="588" t="n"/>
      <c r="DH590" s="588" t="n"/>
      <c r="DI590" s="588" t="n"/>
      <c r="DJ590" s="588" t="n"/>
      <c r="DK590" s="588" t="n"/>
      <c r="DL590" s="588" t="n"/>
      <c r="DM590" s="588" t="n"/>
      <c r="DN590" s="588" t="n"/>
      <c r="DO590" s="588" t="n"/>
      <c r="DP590" s="588" t="n"/>
      <c r="DQ590" s="588" t="n"/>
      <c r="DR590" s="588" t="n"/>
      <c r="DS590" s="588" t="n"/>
      <c r="DT590" s="588" t="n"/>
      <c r="DU590" s="588" t="n"/>
    </row>
    <row r="591">
      <c r="A591" s="737" t="n"/>
      <c r="B591" s="737" t="n"/>
      <c r="C591" s="737" t="n"/>
      <c r="D591" s="737" t="n"/>
      <c r="E591" s="737" t="n"/>
      <c r="F591" s="737" t="n"/>
      <c r="G591" s="737" t="n"/>
      <c r="H591" s="737" t="n"/>
      <c r="I591" s="737" t="n"/>
      <c r="J591" s="737" t="n"/>
      <c r="K591" s="737" t="n"/>
      <c r="L591" s="737" t="n"/>
      <c r="M591" s="737" t="n"/>
      <c r="N591" s="737" t="n"/>
      <c r="O591" s="737" t="n"/>
      <c r="P591" s="737" t="n"/>
      <c r="Q591" s="737" t="n"/>
      <c r="R591" s="737" t="n"/>
      <c r="S591" s="737" t="n"/>
      <c r="T591" s="737" t="n"/>
      <c r="U591" s="737" t="n"/>
      <c r="V591" s="737" t="n"/>
      <c r="W591" s="737" t="n"/>
      <c r="X591" s="737" t="n"/>
      <c r="Y591" s="737" t="n"/>
      <c r="Z591" s="737" t="n"/>
      <c r="AA591" s="737" t="n"/>
      <c r="AB591" s="737" t="n"/>
      <c r="AC591" s="737" t="n"/>
      <c r="AD591" s="737" t="n"/>
      <c r="AE591" s="737" t="n"/>
      <c r="AF591" s="737" t="n"/>
      <c r="AG591" s="737" t="n"/>
      <c r="AH591" s="737" t="n"/>
      <c r="AI591" s="737" t="n"/>
      <c r="AJ591" s="737" t="n"/>
      <c r="AK591" s="588" t="n"/>
      <c r="AL591" s="588" t="n"/>
      <c r="AM591" s="588" t="n"/>
      <c r="AN591" s="588" t="n"/>
      <c r="AO591" s="588" t="n"/>
      <c r="AP591" s="588" t="n"/>
      <c r="AQ591" s="588" t="n"/>
      <c r="AR591" s="588" t="n"/>
      <c r="AS591" s="588" t="n"/>
      <c r="AT591" s="588" t="n"/>
      <c r="AU591" s="588" t="n"/>
      <c r="AV591" s="588" t="n"/>
      <c r="AW591" s="588" t="n"/>
      <c r="AX591" s="588" t="n"/>
      <c r="AY591" s="588" t="n"/>
      <c r="AZ591" s="588" t="n"/>
      <c r="BA591" s="588" t="n"/>
      <c r="BB591" s="588" t="n"/>
      <c r="BC591" s="588" t="n"/>
      <c r="BD591" s="588" t="n"/>
      <c r="BE591" s="588" t="n"/>
      <c r="BF591" s="588" t="n"/>
      <c r="BG591" s="588" t="n"/>
      <c r="BH591" s="588" t="n"/>
      <c r="BI591" s="588" t="n"/>
      <c r="BJ591" s="588" t="n"/>
      <c r="BK591" s="588" t="n"/>
      <c r="BL591" s="588" t="n"/>
      <c r="BM591" s="588" t="n"/>
      <c r="BN591" s="588" t="n"/>
      <c r="BO591" s="588" t="n"/>
      <c r="BP591" s="588" t="n"/>
      <c r="BQ591" s="588" t="n"/>
      <c r="BR591" s="588" t="n"/>
      <c r="BS591" s="588" t="n"/>
      <c r="BT591" s="588" t="n"/>
      <c r="BU591" s="588" t="n"/>
      <c r="BV591" s="588" t="n"/>
      <c r="BW591" s="588" t="n"/>
      <c r="BX591" s="588" t="n"/>
      <c r="BY591" s="588" t="n"/>
      <c r="BZ591" s="588" t="n"/>
      <c r="CA591" s="588" t="n"/>
      <c r="CB591" s="588" t="n"/>
      <c r="CC591" s="588" t="n"/>
      <c r="CD591" s="588" t="n"/>
      <c r="CE591" s="588" t="n"/>
      <c r="CF591" s="588" t="n"/>
      <c r="CG591" s="588" t="n"/>
      <c r="CH591" s="588" t="n"/>
      <c r="CI591" s="588" t="n"/>
      <c r="CJ591" s="588" t="n"/>
      <c r="CK591" s="588" t="n"/>
      <c r="CL591" s="588" t="n"/>
      <c r="CM591" s="588" t="n"/>
      <c r="CN591" s="588" t="n"/>
      <c r="CO591" s="588" t="n"/>
      <c r="CP591" s="588" t="n"/>
      <c r="CQ591" s="588" t="n"/>
      <c r="CR591" s="588" t="n"/>
      <c r="CS591" s="588" t="n"/>
      <c r="CT591" s="588" t="n"/>
      <c r="CU591" s="588" t="n"/>
      <c r="CV591" s="588" t="n"/>
      <c r="CW591" s="588" t="n"/>
      <c r="CX591" s="588" t="n"/>
      <c r="CY591" s="588" t="n"/>
      <c r="CZ591" s="588" t="n"/>
      <c r="DA591" s="588" t="n"/>
      <c r="DB591" s="588" t="n"/>
      <c r="DC591" s="588" t="n"/>
      <c r="DD591" s="588" t="n"/>
      <c r="DE591" s="588" t="n"/>
      <c r="DF591" s="588" t="n"/>
      <c r="DG591" s="588" t="n"/>
      <c r="DH591" s="588" t="n"/>
      <c r="DI591" s="588" t="n"/>
      <c r="DJ591" s="588" t="n"/>
      <c r="DK591" s="588" t="n"/>
      <c r="DL591" s="588" t="n"/>
      <c r="DM591" s="588" t="n"/>
      <c r="DN591" s="588" t="n"/>
      <c r="DO591" s="588" t="n"/>
      <c r="DP591" s="588" t="n"/>
      <c r="DQ591" s="588" t="n"/>
      <c r="DR591" s="588" t="n"/>
      <c r="DS591" s="588" t="n"/>
      <c r="DT591" s="588" t="n"/>
      <c r="DU591" s="588" t="n"/>
    </row>
    <row r="592">
      <c r="A592" s="737" t="n"/>
      <c r="B592" s="737" t="n"/>
      <c r="C592" s="737" t="n"/>
      <c r="D592" s="737" t="n"/>
      <c r="E592" s="737" t="n"/>
      <c r="F592" s="737" t="n"/>
      <c r="G592" s="737" t="n"/>
      <c r="H592" s="737" t="n"/>
      <c r="I592" s="737" t="n"/>
      <c r="J592" s="737" t="n"/>
      <c r="K592" s="737" t="n"/>
      <c r="L592" s="737" t="n"/>
      <c r="M592" s="737" t="n"/>
      <c r="N592" s="737" t="n"/>
      <c r="O592" s="737" t="n"/>
      <c r="P592" s="737" t="n"/>
      <c r="Q592" s="737" t="n"/>
      <c r="R592" s="737" t="n"/>
      <c r="S592" s="737" t="n"/>
      <c r="T592" s="737" t="n"/>
      <c r="U592" s="737" t="n"/>
      <c r="V592" s="737" t="n"/>
      <c r="W592" s="737" t="n"/>
      <c r="X592" s="737" t="n"/>
      <c r="Y592" s="737" t="n"/>
      <c r="Z592" s="737" t="n"/>
      <c r="AA592" s="737" t="n"/>
      <c r="AB592" s="737" t="n"/>
      <c r="AC592" s="737" t="n"/>
      <c r="AD592" s="737" t="n"/>
      <c r="AE592" s="737" t="n"/>
      <c r="AF592" s="737" t="n"/>
      <c r="AG592" s="737" t="n"/>
      <c r="AH592" s="737" t="n"/>
      <c r="AI592" s="737" t="n"/>
      <c r="AJ592" s="737" t="n"/>
      <c r="AK592" s="588" t="n"/>
      <c r="AL592" s="588" t="n"/>
      <c r="AM592" s="588" t="n"/>
      <c r="AN592" s="588" t="n"/>
      <c r="AO592" s="588" t="n"/>
      <c r="AP592" s="588" t="n"/>
      <c r="AQ592" s="588" t="n"/>
      <c r="AR592" s="588" t="n"/>
      <c r="AS592" s="588" t="n"/>
      <c r="AT592" s="588" t="n"/>
      <c r="AU592" s="588" t="n"/>
      <c r="AV592" s="588" t="n"/>
      <c r="AW592" s="588" t="n"/>
      <c r="AX592" s="588" t="n"/>
      <c r="AY592" s="588" t="n"/>
      <c r="AZ592" s="588" t="n"/>
      <c r="BA592" s="588" t="n"/>
      <c r="BB592" s="588" t="n"/>
      <c r="BC592" s="588" t="n"/>
      <c r="BD592" s="588" t="n"/>
      <c r="BE592" s="588" t="n"/>
      <c r="BF592" s="588" t="n"/>
      <c r="BG592" s="588" t="n"/>
      <c r="BH592" s="588" t="n"/>
      <c r="BI592" s="588" t="n"/>
      <c r="BJ592" s="588" t="n"/>
      <c r="BK592" s="588" t="n"/>
      <c r="BL592" s="588" t="n"/>
      <c r="BM592" s="588" t="n"/>
      <c r="BN592" s="588" t="n"/>
      <c r="BO592" s="588" t="n"/>
      <c r="BP592" s="588" t="n"/>
      <c r="BQ592" s="588" t="n"/>
      <c r="BR592" s="588" t="n"/>
      <c r="BS592" s="588" t="n"/>
      <c r="BT592" s="588" t="n"/>
      <c r="BU592" s="588" t="n"/>
      <c r="BV592" s="588" t="n"/>
      <c r="BW592" s="588" t="n"/>
      <c r="BX592" s="588" t="n"/>
      <c r="BY592" s="588" t="n"/>
      <c r="BZ592" s="588" t="n"/>
      <c r="CA592" s="588" t="n"/>
      <c r="CB592" s="588" t="n"/>
      <c r="CC592" s="588" t="n"/>
      <c r="CD592" s="588" t="n"/>
      <c r="CE592" s="588" t="n"/>
      <c r="CF592" s="588" t="n"/>
      <c r="CG592" s="588" t="n"/>
      <c r="CH592" s="588" t="n"/>
      <c r="CI592" s="588" t="n"/>
      <c r="CJ592" s="588" t="n"/>
      <c r="CK592" s="588" t="n"/>
      <c r="CL592" s="588" t="n"/>
      <c r="CM592" s="588" t="n"/>
      <c r="CN592" s="588" t="n"/>
      <c r="CO592" s="588" t="n"/>
      <c r="CP592" s="588" t="n"/>
      <c r="CQ592" s="588" t="n"/>
      <c r="CR592" s="588" t="n"/>
      <c r="CS592" s="588" t="n"/>
      <c r="CT592" s="588" t="n"/>
      <c r="CU592" s="588" t="n"/>
      <c r="CV592" s="588" t="n"/>
      <c r="CW592" s="588" t="n"/>
      <c r="CX592" s="588" t="n"/>
      <c r="CY592" s="588" t="n"/>
      <c r="CZ592" s="588" t="n"/>
      <c r="DA592" s="588" t="n"/>
      <c r="DB592" s="588" t="n"/>
      <c r="DC592" s="588" t="n"/>
      <c r="DD592" s="588" t="n"/>
      <c r="DE592" s="588" t="n"/>
      <c r="DF592" s="588" t="n"/>
      <c r="DG592" s="588" t="n"/>
      <c r="DH592" s="588" t="n"/>
      <c r="DI592" s="588" t="n"/>
      <c r="DJ592" s="588" t="n"/>
      <c r="DK592" s="588" t="n"/>
      <c r="DL592" s="588" t="n"/>
      <c r="DM592" s="588" t="n"/>
      <c r="DN592" s="588" t="n"/>
      <c r="DO592" s="588" t="n"/>
      <c r="DP592" s="588" t="n"/>
      <c r="DQ592" s="588" t="n"/>
      <c r="DR592" s="588" t="n"/>
      <c r="DS592" s="588" t="n"/>
      <c r="DT592" s="588" t="n"/>
      <c r="DU592" s="588" t="n"/>
    </row>
    <row r="593">
      <c r="A593" s="737" t="n"/>
      <c r="B593" s="737" t="n"/>
      <c r="C593" s="737" t="n"/>
      <c r="D593" s="737" t="n"/>
      <c r="E593" s="737" t="n"/>
      <c r="F593" s="737" t="n"/>
      <c r="G593" s="737" t="n"/>
      <c r="H593" s="737" t="n"/>
      <c r="I593" s="737" t="n"/>
      <c r="J593" s="737" t="n"/>
      <c r="K593" s="737" t="n"/>
      <c r="L593" s="737" t="n"/>
      <c r="M593" s="737" t="n"/>
      <c r="N593" s="737" t="n"/>
      <c r="O593" s="737" t="n"/>
      <c r="P593" s="737" t="n"/>
      <c r="Q593" s="737" t="n"/>
      <c r="R593" s="737" t="n"/>
      <c r="S593" s="737" t="n"/>
      <c r="T593" s="737" t="n"/>
      <c r="U593" s="737" t="n"/>
      <c r="V593" s="737" t="n"/>
      <c r="W593" s="737" t="n"/>
      <c r="X593" s="737" t="n"/>
      <c r="Y593" s="737" t="n"/>
      <c r="Z593" s="737" t="n"/>
      <c r="AA593" s="737" t="n"/>
      <c r="AB593" s="737" t="n"/>
      <c r="AC593" s="737" t="n"/>
      <c r="AD593" s="737" t="n"/>
      <c r="AE593" s="737" t="n"/>
      <c r="AF593" s="737" t="n"/>
      <c r="AG593" s="737" t="n"/>
      <c r="AH593" s="737" t="n"/>
      <c r="AI593" s="737" t="n"/>
      <c r="AJ593" s="737" t="n"/>
      <c r="AK593" s="588" t="n"/>
      <c r="AL593" s="588" t="n"/>
      <c r="AM593" s="588" t="n"/>
      <c r="AN593" s="588" t="n"/>
      <c r="AO593" s="588" t="n"/>
      <c r="AP593" s="588" t="n"/>
      <c r="AQ593" s="588" t="n"/>
      <c r="AR593" s="588" t="n"/>
      <c r="AS593" s="588" t="n"/>
      <c r="AT593" s="588" t="n"/>
      <c r="AU593" s="588" t="n"/>
      <c r="AV593" s="588" t="n"/>
      <c r="AW593" s="588" t="n"/>
      <c r="AX593" s="588" t="n"/>
      <c r="AY593" s="588" t="n"/>
      <c r="AZ593" s="588" t="n"/>
      <c r="BA593" s="588" t="n"/>
      <c r="BB593" s="588" t="n"/>
      <c r="BC593" s="588" t="n"/>
      <c r="BD593" s="588" t="n"/>
      <c r="BE593" s="588" t="n"/>
      <c r="BF593" s="588" t="n"/>
      <c r="BG593" s="588" t="n"/>
      <c r="BH593" s="588" t="n"/>
      <c r="BI593" s="588" t="n"/>
      <c r="BJ593" s="588" t="n"/>
      <c r="BK593" s="588" t="n"/>
      <c r="BL593" s="588" t="n"/>
      <c r="BM593" s="588" t="n"/>
      <c r="BN593" s="588" t="n"/>
      <c r="BO593" s="588" t="n"/>
      <c r="BP593" s="588" t="n"/>
      <c r="BQ593" s="588" t="n"/>
      <c r="BR593" s="588" t="n"/>
      <c r="BS593" s="588" t="n"/>
      <c r="BT593" s="588" t="n"/>
      <c r="BU593" s="588" t="n"/>
      <c r="BV593" s="588" t="n"/>
      <c r="BW593" s="588" t="n"/>
      <c r="BX593" s="588" t="n"/>
      <c r="BY593" s="588" t="n"/>
      <c r="BZ593" s="588" t="n"/>
      <c r="CA593" s="588" t="n"/>
      <c r="CB593" s="588" t="n"/>
      <c r="CC593" s="588" t="n"/>
      <c r="CD593" s="588" t="n"/>
      <c r="CE593" s="588" t="n"/>
      <c r="CF593" s="588" t="n"/>
      <c r="CG593" s="588" t="n"/>
      <c r="CH593" s="588" t="n"/>
      <c r="CI593" s="588" t="n"/>
      <c r="CJ593" s="588" t="n"/>
      <c r="CK593" s="588" t="n"/>
      <c r="CL593" s="588" t="n"/>
      <c r="CM593" s="588" t="n"/>
      <c r="CN593" s="588" t="n"/>
      <c r="CO593" s="588" t="n"/>
      <c r="CP593" s="588" t="n"/>
      <c r="CQ593" s="588" t="n"/>
      <c r="CR593" s="588" t="n"/>
      <c r="CS593" s="588" t="n"/>
      <c r="CT593" s="588" t="n"/>
      <c r="CU593" s="588" t="n"/>
      <c r="CV593" s="588" t="n"/>
      <c r="CW593" s="588" t="n"/>
      <c r="CX593" s="588" t="n"/>
      <c r="CY593" s="588" t="n"/>
      <c r="CZ593" s="588" t="n"/>
      <c r="DA593" s="588" t="n"/>
      <c r="DB593" s="588" t="n"/>
      <c r="DC593" s="588" t="n"/>
      <c r="DD593" s="588" t="n"/>
      <c r="DE593" s="588" t="n"/>
      <c r="DF593" s="588" t="n"/>
      <c r="DG593" s="588" t="n"/>
      <c r="DH593" s="588" t="n"/>
      <c r="DI593" s="588" t="n"/>
      <c r="DJ593" s="588" t="n"/>
      <c r="DK593" s="588" t="n"/>
      <c r="DL593" s="588" t="n"/>
      <c r="DM593" s="588" t="n"/>
      <c r="DN593" s="588" t="n"/>
      <c r="DO593" s="588" t="n"/>
      <c r="DP593" s="588" t="n"/>
      <c r="DQ593" s="588" t="n"/>
      <c r="DR593" s="588" t="n"/>
      <c r="DS593" s="588" t="n"/>
      <c r="DT593" s="588" t="n"/>
      <c r="DU593" s="588" t="n"/>
    </row>
    <row r="594">
      <c r="A594" s="737" t="n"/>
      <c r="B594" s="737" t="n"/>
      <c r="C594" s="737" t="n"/>
      <c r="D594" s="737" t="n"/>
      <c r="E594" s="737" t="n"/>
      <c r="F594" s="737" t="n"/>
      <c r="G594" s="737" t="n"/>
      <c r="H594" s="737" t="n"/>
      <c r="I594" s="737" t="n"/>
      <c r="J594" s="737" t="n"/>
      <c r="K594" s="737" t="n"/>
      <c r="L594" s="737" t="n"/>
      <c r="M594" s="737" t="n"/>
      <c r="N594" s="737" t="n"/>
      <c r="O594" s="737" t="n"/>
      <c r="P594" s="737" t="n"/>
      <c r="Q594" s="737" t="n"/>
      <c r="R594" s="737" t="n"/>
      <c r="S594" s="737" t="n"/>
      <c r="T594" s="737" t="n"/>
      <c r="U594" s="737" t="n"/>
      <c r="V594" s="737" t="n"/>
      <c r="W594" s="737" t="n"/>
      <c r="X594" s="737" t="n"/>
      <c r="Y594" s="737" t="n"/>
      <c r="Z594" s="737" t="n"/>
      <c r="AA594" s="737" t="n"/>
      <c r="AB594" s="737" t="n"/>
      <c r="AC594" s="737" t="n"/>
      <c r="AD594" s="737" t="n"/>
      <c r="AE594" s="737" t="n"/>
      <c r="AF594" s="737" t="n"/>
      <c r="AG594" s="737" t="n"/>
      <c r="AH594" s="737" t="n"/>
      <c r="AI594" s="737" t="n"/>
      <c r="AJ594" s="737" t="n"/>
      <c r="AK594" s="588" t="n"/>
      <c r="AL594" s="588" t="n"/>
      <c r="AM594" s="588" t="n"/>
      <c r="AN594" s="588" t="n"/>
      <c r="AO594" s="588" t="n"/>
      <c r="AP594" s="588" t="n"/>
      <c r="AQ594" s="588" t="n"/>
      <c r="AR594" s="588" t="n"/>
      <c r="AS594" s="588" t="n"/>
      <c r="AT594" s="588" t="n"/>
      <c r="AU594" s="588" t="n"/>
      <c r="AV594" s="588" t="n"/>
      <c r="AW594" s="588" t="n"/>
      <c r="AX594" s="588" t="n"/>
      <c r="AY594" s="588" t="n"/>
      <c r="AZ594" s="588" t="n"/>
      <c r="BA594" s="588" t="n"/>
      <c r="BB594" s="588" t="n"/>
      <c r="BC594" s="588" t="n"/>
      <c r="BD594" s="588" t="n"/>
      <c r="BE594" s="588" t="n"/>
      <c r="BF594" s="588" t="n"/>
      <c r="BG594" s="588" t="n"/>
      <c r="BH594" s="588" t="n"/>
      <c r="BI594" s="588" t="n"/>
      <c r="BJ594" s="588" t="n"/>
      <c r="BK594" s="588" t="n"/>
      <c r="BL594" s="588" t="n"/>
      <c r="BM594" s="588" t="n"/>
      <c r="BN594" s="588" t="n"/>
      <c r="BO594" s="588" t="n"/>
      <c r="BP594" s="588" t="n"/>
      <c r="BQ594" s="588" t="n"/>
      <c r="BR594" s="588" t="n"/>
      <c r="BS594" s="588" t="n"/>
      <c r="BT594" s="588" t="n"/>
      <c r="BU594" s="588" t="n"/>
      <c r="BV594" s="588" t="n"/>
      <c r="BW594" s="588" t="n"/>
      <c r="BX594" s="588" t="n"/>
      <c r="BY594" s="588" t="n"/>
      <c r="BZ594" s="588" t="n"/>
      <c r="CA594" s="588" t="n"/>
      <c r="CB594" s="588" t="n"/>
      <c r="CC594" s="588" t="n"/>
      <c r="CD594" s="588" t="n"/>
      <c r="CE594" s="588" t="n"/>
      <c r="CF594" s="588" t="n"/>
      <c r="CG594" s="588" t="n"/>
      <c r="CH594" s="588" t="n"/>
      <c r="CI594" s="588" t="n"/>
      <c r="CJ594" s="588" t="n"/>
      <c r="CK594" s="588" t="n"/>
      <c r="CL594" s="588" t="n"/>
      <c r="CM594" s="588" t="n"/>
      <c r="CN594" s="588" t="n"/>
      <c r="CO594" s="588" t="n"/>
      <c r="CP594" s="588" t="n"/>
      <c r="CQ594" s="588" t="n"/>
      <c r="CR594" s="588" t="n"/>
      <c r="CS594" s="588" t="n"/>
      <c r="CT594" s="588" t="n"/>
      <c r="CU594" s="588" t="n"/>
      <c r="CV594" s="588" t="n"/>
      <c r="CW594" s="588" t="n"/>
      <c r="CX594" s="588" t="n"/>
      <c r="CY594" s="588" t="n"/>
      <c r="CZ594" s="588" t="n"/>
      <c r="DA594" s="588" t="n"/>
      <c r="DB594" s="588" t="n"/>
      <c r="DC594" s="588" t="n"/>
      <c r="DD594" s="588" t="n"/>
      <c r="DE594" s="588" t="n"/>
      <c r="DF594" s="588" t="n"/>
      <c r="DG594" s="588" t="n"/>
      <c r="DH594" s="588" t="n"/>
      <c r="DI594" s="588" t="n"/>
      <c r="DJ594" s="588" t="n"/>
      <c r="DK594" s="588" t="n"/>
      <c r="DL594" s="588" t="n"/>
      <c r="DM594" s="588" t="n"/>
      <c r="DN594" s="588" t="n"/>
      <c r="DO594" s="588" t="n"/>
      <c r="DP594" s="588" t="n"/>
      <c r="DQ594" s="588" t="n"/>
      <c r="DR594" s="588" t="n"/>
      <c r="DS594" s="588" t="n"/>
      <c r="DT594" s="588" t="n"/>
      <c r="DU594" s="588" t="n"/>
    </row>
    <row r="595">
      <c r="A595" s="737" t="n"/>
      <c r="B595" s="737" t="n"/>
      <c r="C595" s="737" t="n"/>
      <c r="D595" s="737" t="n"/>
      <c r="E595" s="737" t="n"/>
      <c r="F595" s="737" t="n"/>
      <c r="G595" s="737" t="n"/>
      <c r="H595" s="737" t="n"/>
      <c r="I595" s="737" t="n"/>
      <c r="J595" s="737" t="n"/>
      <c r="K595" s="737" t="n"/>
      <c r="L595" s="737" t="n"/>
      <c r="M595" s="737" t="n"/>
      <c r="N595" s="737" t="n"/>
      <c r="O595" s="737" t="n"/>
      <c r="P595" s="737" t="n"/>
      <c r="Q595" s="737" t="n"/>
      <c r="R595" s="737" t="n"/>
      <c r="S595" s="737" t="n"/>
      <c r="T595" s="737" t="n"/>
      <c r="U595" s="737" t="n"/>
      <c r="V595" s="737" t="n"/>
      <c r="W595" s="737" t="n"/>
      <c r="X595" s="737" t="n"/>
      <c r="Y595" s="737" t="n"/>
      <c r="Z595" s="737" t="n"/>
      <c r="AA595" s="737" t="n"/>
      <c r="AB595" s="737" t="n"/>
      <c r="AC595" s="737" t="n"/>
      <c r="AD595" s="737" t="n"/>
      <c r="AE595" s="737" t="n"/>
      <c r="AF595" s="737" t="n"/>
      <c r="AG595" s="737" t="n"/>
      <c r="AH595" s="737" t="n"/>
      <c r="AI595" s="737" t="n"/>
      <c r="AJ595" s="737" t="n"/>
      <c r="AK595" s="588" t="n"/>
      <c r="AL595" s="588" t="n"/>
      <c r="AM595" s="588" t="n"/>
      <c r="AN595" s="588" t="n"/>
      <c r="AO595" s="588" t="n"/>
      <c r="AP595" s="588" t="n"/>
      <c r="AQ595" s="588" t="n"/>
      <c r="AR595" s="588" t="n"/>
      <c r="AS595" s="588" t="n"/>
      <c r="AT595" s="588" t="n"/>
      <c r="AU595" s="588" t="n"/>
      <c r="AV595" s="588" t="n"/>
      <c r="AW595" s="588" t="n"/>
      <c r="AX595" s="588" t="n"/>
      <c r="AY595" s="588" t="n"/>
      <c r="AZ595" s="588" t="n"/>
      <c r="BA595" s="588" t="n"/>
      <c r="BB595" s="588" t="n"/>
      <c r="BC595" s="588" t="n"/>
      <c r="BD595" s="588" t="n"/>
      <c r="BE595" s="588" t="n"/>
      <c r="BF595" s="588" t="n"/>
      <c r="BG595" s="588" t="n"/>
      <c r="BH595" s="588" t="n"/>
      <c r="BI595" s="588" t="n"/>
      <c r="BJ595" s="588" t="n"/>
      <c r="BK595" s="588" t="n"/>
      <c r="BL595" s="588" t="n"/>
      <c r="BM595" s="588" t="n"/>
      <c r="BN595" s="588" t="n"/>
      <c r="BO595" s="588" t="n"/>
      <c r="BP595" s="588" t="n"/>
      <c r="BQ595" s="588" t="n"/>
      <c r="BR595" s="588" t="n"/>
      <c r="BS595" s="588" t="n"/>
      <c r="BT595" s="588" t="n"/>
      <c r="BU595" s="588" t="n"/>
      <c r="BV595" s="588" t="n"/>
      <c r="BW595" s="588" t="n"/>
      <c r="BX595" s="588" t="n"/>
      <c r="BY595" s="588" t="n"/>
      <c r="BZ595" s="588" t="n"/>
      <c r="CA595" s="588" t="n"/>
      <c r="CB595" s="588" t="n"/>
      <c r="CC595" s="588" t="n"/>
      <c r="CD595" s="588" t="n"/>
      <c r="CE595" s="588" t="n"/>
      <c r="CF595" s="588" t="n"/>
      <c r="CG595" s="588" t="n"/>
      <c r="CH595" s="588" t="n"/>
      <c r="CI595" s="588" t="n"/>
      <c r="CJ595" s="588" t="n"/>
      <c r="CK595" s="588" t="n"/>
      <c r="CL595" s="588" t="n"/>
      <c r="CM595" s="588" t="n"/>
      <c r="CN595" s="588" t="n"/>
      <c r="CO595" s="588" t="n"/>
      <c r="CP595" s="588" t="n"/>
      <c r="CQ595" s="588" t="n"/>
      <c r="CR595" s="588" t="n"/>
      <c r="CS595" s="588" t="n"/>
      <c r="CT595" s="588" t="n"/>
      <c r="CU595" s="588" t="n"/>
      <c r="CV595" s="588" t="n"/>
      <c r="CW595" s="588" t="n"/>
      <c r="CX595" s="588" t="n"/>
      <c r="CY595" s="588" t="n"/>
      <c r="CZ595" s="588" t="n"/>
      <c r="DA595" s="588" t="n"/>
      <c r="DB595" s="588" t="n"/>
      <c r="DC595" s="588" t="n"/>
      <c r="DD595" s="588" t="n"/>
      <c r="DE595" s="588" t="n"/>
      <c r="DF595" s="588" t="n"/>
      <c r="DG595" s="588" t="n"/>
      <c r="DH595" s="588" t="n"/>
      <c r="DI595" s="588" t="n"/>
      <c r="DJ595" s="588" t="n"/>
      <c r="DK595" s="588" t="n"/>
      <c r="DL595" s="588" t="n"/>
      <c r="DM595" s="588" t="n"/>
      <c r="DN595" s="588" t="n"/>
      <c r="DO595" s="588" t="n"/>
      <c r="DP595" s="588" t="n"/>
      <c r="DQ595" s="588" t="n"/>
      <c r="DR595" s="588" t="n"/>
      <c r="DS595" s="588" t="n"/>
      <c r="DT595" s="588" t="n"/>
      <c r="DU595" s="588" t="n"/>
    </row>
    <row r="596">
      <c r="A596" s="737" t="n"/>
      <c r="B596" s="737" t="n"/>
      <c r="C596" s="737" t="n"/>
      <c r="D596" s="737" t="n"/>
      <c r="E596" s="737" t="n"/>
      <c r="F596" s="737" t="n"/>
      <c r="G596" s="737" t="n"/>
      <c r="H596" s="737" t="n"/>
      <c r="I596" s="737" t="n"/>
      <c r="J596" s="737" t="n"/>
      <c r="K596" s="737" t="n"/>
      <c r="L596" s="737" t="n"/>
      <c r="M596" s="737" t="n"/>
      <c r="N596" s="737" t="n"/>
      <c r="O596" s="737" t="n"/>
      <c r="P596" s="737" t="n"/>
      <c r="Q596" s="737" t="n"/>
      <c r="R596" s="737" t="n"/>
      <c r="S596" s="737" t="n"/>
      <c r="T596" s="737" t="n"/>
      <c r="U596" s="737" t="n"/>
      <c r="V596" s="737" t="n"/>
      <c r="W596" s="737" t="n"/>
      <c r="X596" s="737" t="n"/>
      <c r="Y596" s="737" t="n"/>
      <c r="Z596" s="737" t="n"/>
      <c r="AA596" s="737" t="n"/>
      <c r="AB596" s="737" t="n"/>
      <c r="AC596" s="737" t="n"/>
      <c r="AD596" s="737" t="n"/>
      <c r="AE596" s="737" t="n"/>
      <c r="AF596" s="737" t="n"/>
      <c r="AG596" s="737" t="n"/>
      <c r="AH596" s="737" t="n"/>
      <c r="AI596" s="737" t="n"/>
      <c r="AJ596" s="737" t="n"/>
      <c r="AK596" s="588" t="n"/>
      <c r="AL596" s="588" t="n"/>
      <c r="AM596" s="588" t="n"/>
      <c r="AN596" s="588" t="n"/>
      <c r="AO596" s="588" t="n"/>
      <c r="AP596" s="588" t="n"/>
      <c r="AQ596" s="588" t="n"/>
      <c r="AR596" s="588" t="n"/>
      <c r="AS596" s="588" t="n"/>
      <c r="AT596" s="588" t="n"/>
      <c r="AU596" s="588" t="n"/>
      <c r="AV596" s="588" t="n"/>
      <c r="AW596" s="588" t="n"/>
      <c r="AX596" s="588" t="n"/>
      <c r="AY596" s="588" t="n"/>
      <c r="AZ596" s="588" t="n"/>
      <c r="BA596" s="588" t="n"/>
      <c r="BB596" s="588" t="n"/>
      <c r="BC596" s="588" t="n"/>
      <c r="BD596" s="588" t="n"/>
      <c r="BE596" s="588" t="n"/>
      <c r="BF596" s="588" t="n"/>
      <c r="BG596" s="588" t="n"/>
      <c r="BH596" s="588" t="n"/>
      <c r="BI596" s="588" t="n"/>
      <c r="BJ596" s="588" t="n"/>
      <c r="BK596" s="588" t="n"/>
      <c r="BL596" s="588" t="n"/>
      <c r="BM596" s="588" t="n"/>
      <c r="BN596" s="588" t="n"/>
      <c r="BO596" s="588" t="n"/>
      <c r="BP596" s="588" t="n"/>
      <c r="BQ596" s="588" t="n"/>
      <c r="BR596" s="588" t="n"/>
      <c r="BS596" s="588" t="n"/>
      <c r="BT596" s="588" t="n"/>
      <c r="BU596" s="588" t="n"/>
      <c r="BV596" s="588" t="n"/>
      <c r="BW596" s="588" t="n"/>
      <c r="BX596" s="588" t="n"/>
      <c r="BY596" s="588" t="n"/>
      <c r="BZ596" s="588" t="n"/>
      <c r="CA596" s="588" t="n"/>
      <c r="CB596" s="588" t="n"/>
      <c r="CC596" s="588" t="n"/>
      <c r="CD596" s="588" t="n"/>
      <c r="CE596" s="588" t="n"/>
      <c r="CF596" s="588" t="n"/>
      <c r="CG596" s="588" t="n"/>
      <c r="CH596" s="588" t="n"/>
      <c r="CI596" s="588" t="n"/>
      <c r="CJ596" s="588" t="n"/>
      <c r="CK596" s="588" t="n"/>
      <c r="CL596" s="588" t="n"/>
      <c r="CM596" s="588" t="n"/>
      <c r="CN596" s="588" t="n"/>
      <c r="CO596" s="588" t="n"/>
      <c r="CP596" s="588" t="n"/>
      <c r="CQ596" s="588" t="n"/>
      <c r="CR596" s="588" t="n"/>
      <c r="CS596" s="588" t="n"/>
      <c r="CT596" s="588" t="n"/>
      <c r="CU596" s="588" t="n"/>
      <c r="CV596" s="588" t="n"/>
      <c r="CW596" s="588" t="n"/>
      <c r="CX596" s="588" t="n"/>
      <c r="CY596" s="588" t="n"/>
      <c r="CZ596" s="588" t="n"/>
      <c r="DA596" s="588" t="n"/>
      <c r="DB596" s="588" t="n"/>
      <c r="DC596" s="588" t="n"/>
      <c r="DD596" s="588" t="n"/>
      <c r="DE596" s="588" t="n"/>
      <c r="DF596" s="588" t="n"/>
      <c r="DG596" s="588" t="n"/>
      <c r="DH596" s="588" t="n"/>
      <c r="DI596" s="588" t="n"/>
      <c r="DJ596" s="588" t="n"/>
      <c r="DK596" s="588" t="n"/>
      <c r="DL596" s="588" t="n"/>
      <c r="DM596" s="588" t="n"/>
      <c r="DN596" s="588" t="n"/>
      <c r="DO596" s="588" t="n"/>
      <c r="DP596" s="588" t="n"/>
      <c r="DQ596" s="588" t="n"/>
      <c r="DR596" s="588" t="n"/>
      <c r="DS596" s="588" t="n"/>
      <c r="DT596" s="588" t="n"/>
      <c r="DU596" s="588" t="n"/>
    </row>
    <row r="597">
      <c r="A597" s="737" t="n"/>
      <c r="B597" s="737" t="n"/>
      <c r="C597" s="737" t="n"/>
      <c r="D597" s="737" t="n"/>
      <c r="E597" s="737" t="n"/>
      <c r="F597" s="737" t="n"/>
      <c r="G597" s="737" t="n"/>
      <c r="H597" s="737" t="n"/>
      <c r="I597" s="737" t="n"/>
      <c r="J597" s="737" t="n"/>
      <c r="K597" s="737" t="n"/>
      <c r="L597" s="737" t="n"/>
      <c r="M597" s="737" t="n"/>
      <c r="N597" s="737" t="n"/>
      <c r="O597" s="737" t="n"/>
      <c r="P597" s="737" t="n"/>
      <c r="Q597" s="737" t="n"/>
      <c r="R597" s="737" t="n"/>
      <c r="S597" s="737" t="n"/>
      <c r="T597" s="737" t="n"/>
      <c r="U597" s="737" t="n"/>
      <c r="V597" s="737" t="n"/>
      <c r="W597" s="737" t="n"/>
      <c r="X597" s="737" t="n"/>
      <c r="Y597" s="737" t="n"/>
      <c r="Z597" s="737" t="n"/>
      <c r="AA597" s="737" t="n"/>
      <c r="AB597" s="737" t="n"/>
      <c r="AC597" s="737" t="n"/>
      <c r="AD597" s="737" t="n"/>
      <c r="AE597" s="737" t="n"/>
      <c r="AF597" s="737" t="n"/>
      <c r="AG597" s="737" t="n"/>
      <c r="AH597" s="737" t="n"/>
      <c r="AI597" s="737" t="n"/>
      <c r="AJ597" s="737" t="n"/>
      <c r="AK597" s="588" t="n"/>
      <c r="AL597" s="588" t="n"/>
      <c r="AM597" s="588" t="n"/>
      <c r="AN597" s="588" t="n"/>
      <c r="AO597" s="588" t="n"/>
      <c r="AP597" s="588" t="n"/>
      <c r="AQ597" s="588" t="n"/>
      <c r="AR597" s="588" t="n"/>
      <c r="AS597" s="588" t="n"/>
      <c r="AT597" s="588" t="n"/>
      <c r="AU597" s="588" t="n"/>
      <c r="AV597" s="588" t="n"/>
      <c r="AW597" s="588" t="n"/>
      <c r="AX597" s="588" t="n"/>
      <c r="AY597" s="588" t="n"/>
      <c r="AZ597" s="588" t="n"/>
      <c r="BA597" s="588" t="n"/>
      <c r="BB597" s="588" t="n"/>
      <c r="BC597" s="588" t="n"/>
      <c r="BD597" s="588" t="n"/>
      <c r="BE597" s="588" t="n"/>
      <c r="BF597" s="588" t="n"/>
      <c r="BG597" s="588" t="n"/>
      <c r="BH597" s="588" t="n"/>
      <c r="BI597" s="588" t="n"/>
      <c r="BJ597" s="588" t="n"/>
      <c r="BK597" s="588" t="n"/>
      <c r="BL597" s="588" t="n"/>
      <c r="BM597" s="588" t="n"/>
      <c r="BN597" s="588" t="n"/>
      <c r="BO597" s="588" t="n"/>
      <c r="BP597" s="588" t="n"/>
      <c r="BQ597" s="588" t="n"/>
      <c r="BR597" s="588" t="n"/>
      <c r="BS597" s="588" t="n"/>
      <c r="BT597" s="588" t="n"/>
      <c r="BU597" s="588" t="n"/>
      <c r="BV597" s="588" t="n"/>
      <c r="BW597" s="588" t="n"/>
      <c r="BX597" s="588" t="n"/>
      <c r="BY597" s="588" t="n"/>
      <c r="BZ597" s="588" t="n"/>
      <c r="CA597" s="588" t="n"/>
      <c r="CB597" s="588" t="n"/>
      <c r="CC597" s="588" t="n"/>
      <c r="CD597" s="588" t="n"/>
      <c r="CE597" s="588" t="n"/>
      <c r="CF597" s="588" t="n"/>
      <c r="CG597" s="588" t="n"/>
      <c r="CH597" s="588" t="n"/>
      <c r="CI597" s="588" t="n"/>
      <c r="CJ597" s="588" t="n"/>
      <c r="CK597" s="588" t="n"/>
      <c r="CL597" s="588" t="n"/>
      <c r="CM597" s="588" t="n"/>
      <c r="CN597" s="588" t="n"/>
      <c r="CO597" s="588" t="n"/>
      <c r="CP597" s="588" t="n"/>
      <c r="CQ597" s="588" t="n"/>
      <c r="CR597" s="588" t="n"/>
      <c r="CS597" s="588" t="n"/>
      <c r="CT597" s="588" t="n"/>
      <c r="CU597" s="588" t="n"/>
      <c r="CV597" s="588" t="n"/>
      <c r="CW597" s="588" t="n"/>
      <c r="CX597" s="588" t="n"/>
      <c r="CY597" s="588" t="n"/>
      <c r="CZ597" s="588" t="n"/>
      <c r="DA597" s="588" t="n"/>
      <c r="DB597" s="588" t="n"/>
      <c r="DC597" s="588" t="n"/>
      <c r="DD597" s="588" t="n"/>
      <c r="DE597" s="588" t="n"/>
      <c r="DF597" s="588" t="n"/>
      <c r="DG597" s="588" t="n"/>
      <c r="DH597" s="588" t="n"/>
      <c r="DI597" s="588" t="n"/>
      <c r="DJ597" s="588" t="n"/>
      <c r="DK597" s="588" t="n"/>
      <c r="DL597" s="588" t="n"/>
      <c r="DM597" s="588" t="n"/>
      <c r="DN597" s="588" t="n"/>
      <c r="DO597" s="588" t="n"/>
      <c r="DP597" s="588" t="n"/>
      <c r="DQ597" s="588" t="n"/>
      <c r="DR597" s="588" t="n"/>
      <c r="DS597" s="588" t="n"/>
      <c r="DT597" s="588" t="n"/>
      <c r="DU597" s="588" t="n"/>
    </row>
    <row r="598">
      <c r="A598" s="737" t="n"/>
      <c r="B598" s="737" t="n"/>
      <c r="C598" s="737" t="n"/>
      <c r="D598" s="737" t="n"/>
      <c r="E598" s="737" t="n"/>
      <c r="F598" s="737" t="n"/>
      <c r="G598" s="737" t="n"/>
      <c r="H598" s="737" t="n"/>
      <c r="I598" s="737" t="n"/>
      <c r="J598" s="737" t="n"/>
      <c r="K598" s="737" t="n"/>
      <c r="L598" s="737" t="n"/>
      <c r="M598" s="737" t="n"/>
      <c r="N598" s="737" t="n"/>
      <c r="O598" s="737" t="n"/>
      <c r="P598" s="737" t="n"/>
      <c r="Q598" s="737" t="n"/>
      <c r="R598" s="737" t="n"/>
      <c r="S598" s="737" t="n"/>
      <c r="T598" s="737" t="n"/>
      <c r="U598" s="737" t="n"/>
      <c r="V598" s="737" t="n"/>
      <c r="W598" s="737" t="n"/>
      <c r="X598" s="737" t="n"/>
      <c r="Y598" s="737" t="n"/>
      <c r="Z598" s="737" t="n"/>
      <c r="AA598" s="737" t="n"/>
      <c r="AB598" s="737" t="n"/>
      <c r="AC598" s="737" t="n"/>
      <c r="AD598" s="737" t="n"/>
      <c r="AE598" s="737" t="n"/>
      <c r="AF598" s="737" t="n"/>
      <c r="AG598" s="737" t="n"/>
      <c r="AH598" s="737" t="n"/>
      <c r="AI598" s="737" t="n"/>
      <c r="AJ598" s="737" t="n"/>
      <c r="AK598" s="588" t="n"/>
      <c r="AL598" s="588" t="n"/>
      <c r="AM598" s="588" t="n"/>
      <c r="AN598" s="588" t="n"/>
      <c r="AO598" s="588" t="n"/>
      <c r="AP598" s="588" t="n"/>
      <c r="AQ598" s="588" t="n"/>
      <c r="AR598" s="588" t="n"/>
      <c r="AS598" s="588" t="n"/>
      <c r="AT598" s="588" t="n"/>
      <c r="AU598" s="588" t="n"/>
      <c r="AV598" s="588" t="n"/>
      <c r="AW598" s="588" t="n"/>
      <c r="AX598" s="588" t="n"/>
      <c r="AY598" s="588" t="n"/>
      <c r="AZ598" s="588" t="n"/>
      <c r="BA598" s="588" t="n"/>
      <c r="BB598" s="588" t="n"/>
      <c r="BC598" s="588" t="n"/>
      <c r="BD598" s="588" t="n"/>
      <c r="BE598" s="588" t="n"/>
      <c r="BF598" s="588" t="n"/>
      <c r="BG598" s="588" t="n"/>
      <c r="BH598" s="588" t="n"/>
      <c r="BI598" s="588" t="n"/>
      <c r="BJ598" s="588" t="n"/>
      <c r="BK598" s="588" t="n"/>
      <c r="BL598" s="588" t="n"/>
      <c r="BM598" s="588" t="n"/>
      <c r="BN598" s="588" t="n"/>
      <c r="BO598" s="588" t="n"/>
      <c r="BP598" s="588" t="n"/>
      <c r="BQ598" s="588" t="n"/>
      <c r="BR598" s="588" t="n"/>
      <c r="BS598" s="588" t="n"/>
      <c r="BT598" s="588" t="n"/>
      <c r="BU598" s="588" t="n"/>
      <c r="BV598" s="588" t="n"/>
      <c r="BW598" s="588" t="n"/>
      <c r="BX598" s="588" t="n"/>
      <c r="BY598" s="588" t="n"/>
      <c r="BZ598" s="588" t="n"/>
      <c r="CA598" s="588" t="n"/>
      <c r="CB598" s="588" t="n"/>
      <c r="CC598" s="588" t="n"/>
      <c r="CD598" s="588" t="n"/>
      <c r="CE598" s="588" t="n"/>
      <c r="CF598" s="588" t="n"/>
      <c r="CG598" s="588" t="n"/>
      <c r="CH598" s="588" t="n"/>
      <c r="CI598" s="588" t="n"/>
      <c r="CJ598" s="588" t="n"/>
      <c r="CK598" s="588" t="n"/>
      <c r="CL598" s="588" t="n"/>
      <c r="CM598" s="588" t="n"/>
      <c r="CN598" s="588" t="n"/>
      <c r="CO598" s="588" t="n"/>
      <c r="CP598" s="588" t="n"/>
      <c r="CQ598" s="588" t="n"/>
      <c r="CR598" s="588" t="n"/>
      <c r="CS598" s="588" t="n"/>
      <c r="CT598" s="588" t="n"/>
      <c r="CU598" s="588" t="n"/>
      <c r="CV598" s="588" t="n"/>
      <c r="CW598" s="588" t="n"/>
      <c r="CX598" s="588" t="n"/>
      <c r="CY598" s="588" t="n"/>
      <c r="CZ598" s="588" t="n"/>
      <c r="DA598" s="588" t="n"/>
      <c r="DB598" s="588" t="n"/>
      <c r="DC598" s="588" t="n"/>
      <c r="DD598" s="588" t="n"/>
      <c r="DE598" s="588" t="n"/>
      <c r="DF598" s="588" t="n"/>
      <c r="DG598" s="588" t="n"/>
      <c r="DH598" s="588" t="n"/>
      <c r="DI598" s="588" t="n"/>
      <c r="DJ598" s="588" t="n"/>
      <c r="DK598" s="588" t="n"/>
      <c r="DL598" s="588" t="n"/>
      <c r="DM598" s="588" t="n"/>
      <c r="DN598" s="588" t="n"/>
      <c r="DO598" s="588" t="n"/>
      <c r="DP598" s="588" t="n"/>
      <c r="DQ598" s="588" t="n"/>
      <c r="DR598" s="588" t="n"/>
      <c r="DS598" s="588" t="n"/>
      <c r="DT598" s="588" t="n"/>
      <c r="DU598" s="588" t="n"/>
    </row>
    <row r="599">
      <c r="A599" s="737" t="n"/>
      <c r="B599" s="737" t="n"/>
      <c r="C599" s="737" t="n"/>
      <c r="D599" s="737" t="n"/>
      <c r="E599" s="737" t="n"/>
      <c r="F599" s="737" t="n"/>
      <c r="G599" s="737" t="n"/>
      <c r="H599" s="737" t="n"/>
      <c r="I599" s="737" t="n"/>
      <c r="J599" s="737" t="n"/>
      <c r="K599" s="737" t="n"/>
      <c r="L599" s="737" t="n"/>
      <c r="M599" s="737" t="n"/>
      <c r="N599" s="737" t="n"/>
      <c r="O599" s="737" t="n"/>
      <c r="P599" s="737" t="n"/>
      <c r="Q599" s="737" t="n"/>
      <c r="R599" s="737" t="n"/>
      <c r="S599" s="737" t="n"/>
      <c r="T599" s="737" t="n"/>
      <c r="U599" s="737" t="n"/>
      <c r="V599" s="737" t="n"/>
      <c r="W599" s="737" t="n"/>
      <c r="X599" s="737" t="n"/>
      <c r="Y599" s="737" t="n"/>
      <c r="Z599" s="737" t="n"/>
      <c r="AA599" s="737" t="n"/>
      <c r="AB599" s="737" t="n"/>
      <c r="AC599" s="737" t="n"/>
      <c r="AD599" s="737" t="n"/>
      <c r="AE599" s="737" t="n"/>
      <c r="AF599" s="737" t="n"/>
      <c r="AG599" s="737" t="n"/>
      <c r="AH599" s="737" t="n"/>
      <c r="AI599" s="737" t="n"/>
      <c r="AJ599" s="737" t="n"/>
      <c r="AK599" s="588" t="n"/>
      <c r="AL599" s="588" t="n"/>
      <c r="AM599" s="588" t="n"/>
      <c r="AN599" s="588" t="n"/>
      <c r="AO599" s="588" t="n"/>
      <c r="AP599" s="588" t="n"/>
      <c r="AQ599" s="588" t="n"/>
      <c r="AR599" s="588" t="n"/>
      <c r="AS599" s="588" t="n"/>
      <c r="AT599" s="588" t="n"/>
      <c r="AU599" s="588" t="n"/>
      <c r="AV599" s="588" t="n"/>
      <c r="AW599" s="588" t="n"/>
      <c r="AX599" s="588" t="n"/>
      <c r="AY599" s="588" t="n"/>
      <c r="AZ599" s="588" t="n"/>
      <c r="BA599" s="588" t="n"/>
      <c r="BB599" s="588" t="n"/>
      <c r="BC599" s="588" t="n"/>
      <c r="BD599" s="588" t="n"/>
      <c r="BE599" s="588" t="n"/>
      <c r="BF599" s="588" t="n"/>
      <c r="BG599" s="588" t="n"/>
      <c r="BH599" s="588" t="n"/>
      <c r="BI599" s="588" t="n"/>
      <c r="BJ599" s="588" t="n"/>
      <c r="BK599" s="588" t="n"/>
      <c r="BL599" s="588" t="n"/>
      <c r="BM599" s="588" t="n"/>
      <c r="BN599" s="588" t="n"/>
      <c r="BO599" s="588" t="n"/>
      <c r="BP599" s="588" t="n"/>
      <c r="BQ599" s="588" t="n"/>
      <c r="BR599" s="588" t="n"/>
      <c r="BS599" s="588" t="n"/>
      <c r="BT599" s="588" t="n"/>
      <c r="BU599" s="588" t="n"/>
      <c r="BV599" s="588" t="n"/>
      <c r="BW599" s="588" t="n"/>
      <c r="BX599" s="588" t="n"/>
      <c r="BY599" s="588" t="n"/>
      <c r="BZ599" s="588" t="n"/>
      <c r="CA599" s="588" t="n"/>
      <c r="CB599" s="588" t="n"/>
      <c r="CC599" s="588" t="n"/>
      <c r="CD599" s="588" t="n"/>
      <c r="CE599" s="588" t="n"/>
      <c r="CF599" s="588" t="n"/>
      <c r="CG599" s="588" t="n"/>
      <c r="CH599" s="588" t="n"/>
      <c r="CI599" s="588" t="n"/>
      <c r="CJ599" s="588" t="n"/>
      <c r="CK599" s="588" t="n"/>
      <c r="CL599" s="588" t="n"/>
      <c r="CM599" s="588" t="n"/>
      <c r="CN599" s="588" t="n"/>
      <c r="CO599" s="588" t="n"/>
      <c r="CP599" s="588" t="n"/>
      <c r="CQ599" s="588" t="n"/>
      <c r="CR599" s="588" t="n"/>
      <c r="CS599" s="588" t="n"/>
      <c r="CT599" s="588" t="n"/>
      <c r="CU599" s="588" t="n"/>
      <c r="CV599" s="588" t="n"/>
      <c r="CW599" s="588" t="n"/>
      <c r="CX599" s="588" t="n"/>
      <c r="CY599" s="588" t="n"/>
      <c r="CZ599" s="588" t="n"/>
      <c r="DA599" s="588" t="n"/>
      <c r="DB599" s="588" t="n"/>
      <c r="DC599" s="588" t="n"/>
      <c r="DD599" s="588" t="n"/>
      <c r="DE599" s="588" t="n"/>
      <c r="DF599" s="588" t="n"/>
      <c r="DG599" s="588" t="n"/>
      <c r="DH599" s="588" t="n"/>
      <c r="DI599" s="588" t="n"/>
      <c r="DJ599" s="588" t="n"/>
      <c r="DK599" s="588" t="n"/>
      <c r="DL599" s="588" t="n"/>
      <c r="DM599" s="588" t="n"/>
      <c r="DN599" s="588" t="n"/>
      <c r="DO599" s="588" t="n"/>
      <c r="DP599" s="588" t="n"/>
      <c r="DQ599" s="588" t="n"/>
      <c r="DR599" s="588" t="n"/>
      <c r="DS599" s="588" t="n"/>
      <c r="DT599" s="588" t="n"/>
      <c r="DU599" s="588" t="n"/>
    </row>
    <row r="600">
      <c r="A600" s="737" t="n"/>
      <c r="B600" s="737" t="n"/>
      <c r="C600" s="737" t="n"/>
      <c r="D600" s="737" t="n"/>
      <c r="E600" s="737" t="n"/>
      <c r="F600" s="737" t="n"/>
      <c r="G600" s="737" t="n"/>
      <c r="H600" s="737" t="n"/>
      <c r="I600" s="737" t="n"/>
      <c r="J600" s="737" t="n"/>
      <c r="K600" s="737" t="n"/>
      <c r="L600" s="737" t="n"/>
      <c r="M600" s="737" t="n"/>
      <c r="N600" s="737" t="n"/>
      <c r="O600" s="737" t="n"/>
      <c r="P600" s="737" t="n"/>
      <c r="Q600" s="737" t="n"/>
      <c r="R600" s="737" t="n"/>
      <c r="S600" s="737" t="n"/>
      <c r="T600" s="737" t="n"/>
      <c r="U600" s="737" t="n"/>
      <c r="V600" s="737" t="n"/>
      <c r="W600" s="737" t="n"/>
      <c r="X600" s="737" t="n"/>
      <c r="Y600" s="737" t="n"/>
      <c r="Z600" s="737" t="n"/>
      <c r="AA600" s="737" t="n"/>
      <c r="AB600" s="737" t="n"/>
      <c r="AC600" s="737" t="n"/>
      <c r="AD600" s="737" t="n"/>
      <c r="AE600" s="737" t="n"/>
      <c r="AF600" s="737" t="n"/>
      <c r="AG600" s="737" t="n"/>
      <c r="AH600" s="737" t="n"/>
      <c r="AI600" s="737" t="n"/>
      <c r="AJ600" s="737" t="n"/>
      <c r="AK600" s="588" t="n"/>
      <c r="AL600" s="588" t="n"/>
      <c r="AM600" s="588" t="n"/>
      <c r="AN600" s="588" t="n"/>
      <c r="AO600" s="588" t="n"/>
      <c r="AP600" s="588" t="n"/>
      <c r="AQ600" s="588" t="n"/>
      <c r="AR600" s="588" t="n"/>
      <c r="AS600" s="588" t="n"/>
      <c r="AT600" s="588" t="n"/>
      <c r="AU600" s="588" t="n"/>
      <c r="AV600" s="588" t="n"/>
      <c r="AW600" s="588" t="n"/>
      <c r="AX600" s="588" t="n"/>
      <c r="AY600" s="588" t="n"/>
      <c r="AZ600" s="588" t="n"/>
      <c r="BA600" s="588" t="n"/>
      <c r="BB600" s="588" t="n"/>
      <c r="BC600" s="588" t="n"/>
      <c r="BD600" s="588" t="n"/>
      <c r="BE600" s="588" t="n"/>
      <c r="BF600" s="588" t="n"/>
      <c r="BG600" s="588" t="n"/>
      <c r="BH600" s="588" t="n"/>
      <c r="BI600" s="588" t="n"/>
      <c r="BJ600" s="588" t="n"/>
      <c r="BK600" s="588" t="n"/>
      <c r="BL600" s="588" t="n"/>
      <c r="BM600" s="588" t="n"/>
      <c r="BN600" s="588" t="n"/>
      <c r="BO600" s="588" t="n"/>
      <c r="BP600" s="588" t="n"/>
      <c r="BQ600" s="588" t="n"/>
      <c r="BR600" s="588" t="n"/>
      <c r="BS600" s="588" t="n"/>
      <c r="BT600" s="588" t="n"/>
      <c r="BU600" s="588" t="n"/>
      <c r="BV600" s="588" t="n"/>
      <c r="BW600" s="588" t="n"/>
      <c r="BX600" s="588" t="n"/>
      <c r="BY600" s="588" t="n"/>
      <c r="BZ600" s="588" t="n"/>
      <c r="CA600" s="588" t="n"/>
      <c r="CB600" s="588" t="n"/>
      <c r="CC600" s="588" t="n"/>
      <c r="CD600" s="588" t="n"/>
      <c r="CE600" s="588" t="n"/>
      <c r="CF600" s="588" t="n"/>
      <c r="CG600" s="588" t="n"/>
      <c r="CH600" s="588" t="n"/>
      <c r="CI600" s="588" t="n"/>
      <c r="CJ600" s="588" t="n"/>
      <c r="CK600" s="588" t="n"/>
      <c r="CL600" s="588" t="n"/>
      <c r="CM600" s="588" t="n"/>
      <c r="CN600" s="588" t="n"/>
      <c r="CO600" s="588" t="n"/>
      <c r="CP600" s="588" t="n"/>
      <c r="CQ600" s="588" t="n"/>
      <c r="CR600" s="588" t="n"/>
      <c r="CS600" s="588" t="n"/>
      <c r="CT600" s="588" t="n"/>
      <c r="CU600" s="588" t="n"/>
      <c r="CV600" s="588" t="n"/>
      <c r="CW600" s="588" t="n"/>
      <c r="CX600" s="588" t="n"/>
      <c r="CY600" s="588" t="n"/>
      <c r="CZ600" s="588" t="n"/>
      <c r="DA600" s="588" t="n"/>
      <c r="DB600" s="588" t="n"/>
      <c r="DC600" s="588" t="n"/>
      <c r="DD600" s="588" t="n"/>
      <c r="DE600" s="588" t="n"/>
      <c r="DF600" s="588" t="n"/>
      <c r="DG600" s="588" t="n"/>
      <c r="DH600" s="588" t="n"/>
      <c r="DI600" s="588" t="n"/>
      <c r="DJ600" s="588" t="n"/>
      <c r="DK600" s="588" t="n"/>
      <c r="DL600" s="588" t="n"/>
      <c r="DM600" s="588" t="n"/>
      <c r="DN600" s="588" t="n"/>
      <c r="DO600" s="588" t="n"/>
      <c r="DP600" s="588" t="n"/>
      <c r="DQ600" s="588" t="n"/>
      <c r="DR600" s="588" t="n"/>
      <c r="DS600" s="588" t="n"/>
      <c r="DT600" s="588" t="n"/>
      <c r="DU600" s="588" t="n"/>
    </row>
    <row r="601">
      <c r="A601" s="737" t="n"/>
      <c r="B601" s="737" t="n"/>
      <c r="C601" s="737" t="n"/>
      <c r="D601" s="737" t="n"/>
      <c r="E601" s="737" t="n"/>
      <c r="F601" s="737" t="n"/>
      <c r="G601" s="737" t="n"/>
      <c r="H601" s="737" t="n"/>
      <c r="I601" s="737" t="n"/>
      <c r="J601" s="737" t="n"/>
      <c r="K601" s="737" t="n"/>
      <c r="L601" s="737" t="n"/>
      <c r="M601" s="737" t="n"/>
      <c r="N601" s="737" t="n"/>
      <c r="O601" s="737" t="n"/>
      <c r="P601" s="737" t="n"/>
      <c r="Q601" s="737" t="n"/>
      <c r="R601" s="737" t="n"/>
      <c r="S601" s="737" t="n"/>
      <c r="T601" s="737" t="n"/>
      <c r="U601" s="737" t="n"/>
      <c r="V601" s="737" t="n"/>
      <c r="W601" s="737" t="n"/>
      <c r="X601" s="737" t="n"/>
      <c r="Y601" s="737" t="n"/>
      <c r="Z601" s="737" t="n"/>
      <c r="AA601" s="737" t="n"/>
      <c r="AB601" s="737" t="n"/>
      <c r="AC601" s="737" t="n"/>
      <c r="AD601" s="737" t="n"/>
      <c r="AE601" s="737" t="n"/>
      <c r="AF601" s="737" t="n"/>
      <c r="AG601" s="737" t="n"/>
      <c r="AH601" s="737" t="n"/>
      <c r="AI601" s="737" t="n"/>
      <c r="AJ601" s="737" t="n"/>
      <c r="AK601" s="588" t="n"/>
      <c r="AL601" s="588" t="n"/>
      <c r="AM601" s="588" t="n"/>
      <c r="AN601" s="588" t="n"/>
      <c r="AO601" s="588" t="n"/>
      <c r="AP601" s="588" t="n"/>
      <c r="AQ601" s="588" t="n"/>
      <c r="AR601" s="588" t="n"/>
      <c r="AS601" s="588" t="n"/>
      <c r="AT601" s="588" t="n"/>
      <c r="AU601" s="588" t="n"/>
      <c r="AV601" s="588" t="n"/>
      <c r="AW601" s="588" t="n"/>
      <c r="AX601" s="588" t="n"/>
      <c r="AY601" s="588" t="n"/>
      <c r="AZ601" s="588" t="n"/>
      <c r="BA601" s="588" t="n"/>
      <c r="BB601" s="588" t="n"/>
      <c r="BC601" s="588" t="n"/>
      <c r="BD601" s="588" t="n"/>
      <c r="BE601" s="588" t="n"/>
      <c r="BF601" s="588" t="n"/>
      <c r="BG601" s="588" t="n"/>
      <c r="BH601" s="588" t="n"/>
      <c r="BI601" s="588" t="n"/>
      <c r="BJ601" s="588" t="n"/>
      <c r="BK601" s="588" t="n"/>
      <c r="BL601" s="588" t="n"/>
      <c r="BM601" s="588" t="n"/>
      <c r="BN601" s="588" t="n"/>
      <c r="BO601" s="588" t="n"/>
      <c r="BP601" s="588" t="n"/>
      <c r="BQ601" s="588" t="n"/>
      <c r="BR601" s="588" t="n"/>
      <c r="BS601" s="588" t="n"/>
      <c r="BT601" s="588" t="n"/>
      <c r="BU601" s="588" t="n"/>
      <c r="BV601" s="588" t="n"/>
      <c r="BW601" s="588" t="n"/>
      <c r="BX601" s="588" t="n"/>
      <c r="BY601" s="588" t="n"/>
      <c r="BZ601" s="588" t="n"/>
      <c r="CA601" s="588" t="n"/>
      <c r="CB601" s="588" t="n"/>
      <c r="CC601" s="588" t="n"/>
      <c r="CD601" s="588" t="n"/>
      <c r="CE601" s="588" t="n"/>
      <c r="CF601" s="588" t="n"/>
      <c r="CG601" s="588" t="n"/>
      <c r="CH601" s="588" t="n"/>
      <c r="CI601" s="588" t="n"/>
      <c r="CJ601" s="588" t="n"/>
      <c r="CK601" s="588" t="n"/>
      <c r="CL601" s="588" t="n"/>
      <c r="CM601" s="588" t="n"/>
      <c r="CN601" s="588" t="n"/>
      <c r="CO601" s="588" t="n"/>
      <c r="CP601" s="588" t="n"/>
      <c r="CQ601" s="588" t="n"/>
      <c r="CR601" s="588" t="n"/>
      <c r="CS601" s="588" t="n"/>
      <c r="CT601" s="588" t="n"/>
      <c r="CU601" s="588" t="n"/>
      <c r="CV601" s="588" t="n"/>
      <c r="CW601" s="588" t="n"/>
      <c r="CX601" s="588" t="n"/>
      <c r="CY601" s="588" t="n"/>
      <c r="CZ601" s="588" t="n"/>
      <c r="DA601" s="588" t="n"/>
      <c r="DB601" s="588" t="n"/>
      <c r="DC601" s="588" t="n"/>
      <c r="DD601" s="588" t="n"/>
      <c r="DE601" s="588" t="n"/>
      <c r="DF601" s="588" t="n"/>
      <c r="DG601" s="588" t="n"/>
      <c r="DH601" s="588" t="n"/>
      <c r="DI601" s="588" t="n"/>
      <c r="DJ601" s="588" t="n"/>
      <c r="DK601" s="588" t="n"/>
      <c r="DL601" s="588" t="n"/>
      <c r="DM601" s="588" t="n"/>
      <c r="DN601" s="588" t="n"/>
      <c r="DO601" s="588" t="n"/>
      <c r="DP601" s="588" t="n"/>
      <c r="DQ601" s="588" t="n"/>
      <c r="DR601" s="588" t="n"/>
      <c r="DS601" s="588" t="n"/>
      <c r="DT601" s="588" t="n"/>
      <c r="DU601" s="588" t="n"/>
    </row>
    <row r="602">
      <c r="A602" s="737" t="n"/>
      <c r="B602" s="737" t="n"/>
      <c r="C602" s="737" t="n"/>
      <c r="D602" s="737" t="n"/>
      <c r="E602" s="737" t="n"/>
      <c r="F602" s="737" t="n"/>
      <c r="G602" s="737" t="n"/>
      <c r="H602" s="737" t="n"/>
      <c r="I602" s="737" t="n"/>
      <c r="J602" s="737" t="n"/>
      <c r="K602" s="737" t="n"/>
      <c r="L602" s="737" t="n"/>
      <c r="M602" s="737" t="n"/>
      <c r="N602" s="737" t="n"/>
      <c r="O602" s="737" t="n"/>
      <c r="P602" s="737" t="n"/>
      <c r="Q602" s="737" t="n"/>
      <c r="R602" s="737" t="n"/>
      <c r="S602" s="737" t="n"/>
      <c r="T602" s="737" t="n"/>
      <c r="U602" s="737" t="n"/>
      <c r="V602" s="737" t="n"/>
      <c r="W602" s="737" t="n"/>
      <c r="X602" s="737" t="n"/>
      <c r="Y602" s="737" t="n"/>
      <c r="Z602" s="737" t="n"/>
      <c r="AA602" s="737" t="n"/>
      <c r="AB602" s="737" t="n"/>
      <c r="AC602" s="737" t="n"/>
      <c r="AD602" s="737" t="n"/>
      <c r="AE602" s="737" t="n"/>
      <c r="AF602" s="737" t="n"/>
      <c r="AG602" s="737" t="n"/>
      <c r="AH602" s="737" t="n"/>
      <c r="AI602" s="737" t="n"/>
      <c r="AJ602" s="737" t="n"/>
      <c r="AK602" s="588" t="n"/>
      <c r="AL602" s="588" t="n"/>
      <c r="AM602" s="588" t="n"/>
      <c r="AN602" s="588" t="n"/>
      <c r="AO602" s="588" t="n"/>
      <c r="AP602" s="588" t="n"/>
      <c r="AQ602" s="588" t="n"/>
      <c r="AR602" s="588" t="n"/>
      <c r="AS602" s="588" t="n"/>
      <c r="AT602" s="588" t="n"/>
      <c r="AU602" s="588" t="n"/>
      <c r="AV602" s="588" t="n"/>
      <c r="AW602" s="588" t="n"/>
      <c r="AX602" s="588" t="n"/>
      <c r="AY602" s="588" t="n"/>
      <c r="AZ602" s="588" t="n"/>
      <c r="BA602" s="588" t="n"/>
      <c r="BB602" s="588" t="n"/>
      <c r="BC602" s="588" t="n"/>
      <c r="BD602" s="588" t="n"/>
      <c r="BE602" s="588" t="n"/>
      <c r="BF602" s="588" t="n"/>
      <c r="BG602" s="588" t="n"/>
      <c r="BH602" s="588" t="n"/>
      <c r="BI602" s="588" t="n"/>
      <c r="BJ602" s="588" t="n"/>
      <c r="BK602" s="588" t="n"/>
      <c r="BL602" s="588" t="n"/>
      <c r="BM602" s="588" t="n"/>
      <c r="BN602" s="588" t="n"/>
      <c r="BO602" s="588" t="n"/>
      <c r="BP602" s="588" t="n"/>
      <c r="BQ602" s="588" t="n"/>
      <c r="BR602" s="588" t="n"/>
      <c r="BS602" s="588" t="n"/>
      <c r="BT602" s="588" t="n"/>
      <c r="BU602" s="588" t="n"/>
      <c r="BV602" s="588" t="n"/>
      <c r="BW602" s="588" t="n"/>
      <c r="BX602" s="588" t="n"/>
      <c r="BY602" s="588" t="n"/>
      <c r="BZ602" s="588" t="n"/>
      <c r="CA602" s="588" t="n"/>
      <c r="CB602" s="588" t="n"/>
      <c r="CC602" s="588" t="n"/>
      <c r="CD602" s="588" t="n"/>
      <c r="CE602" s="588" t="n"/>
      <c r="CF602" s="588" t="n"/>
      <c r="CG602" s="588" t="n"/>
      <c r="CH602" s="588" t="n"/>
      <c r="CI602" s="588" t="n"/>
      <c r="CJ602" s="588" t="n"/>
      <c r="CK602" s="588" t="n"/>
      <c r="CL602" s="588" t="n"/>
      <c r="CM602" s="588" t="n"/>
      <c r="CN602" s="588" t="n"/>
      <c r="CO602" s="588" t="n"/>
      <c r="CP602" s="588" t="n"/>
      <c r="CQ602" s="588" t="n"/>
      <c r="CR602" s="588" t="n"/>
      <c r="CS602" s="588" t="n"/>
      <c r="CT602" s="588" t="n"/>
      <c r="CU602" s="588" t="n"/>
      <c r="CV602" s="588" t="n"/>
      <c r="CW602" s="588" t="n"/>
      <c r="CX602" s="588" t="n"/>
      <c r="CY602" s="588" t="n"/>
      <c r="CZ602" s="588" t="n"/>
      <c r="DA602" s="588" t="n"/>
      <c r="DB602" s="588" t="n"/>
      <c r="DC602" s="588" t="n"/>
      <c r="DD602" s="588" t="n"/>
      <c r="DE602" s="588" t="n"/>
      <c r="DF602" s="588" t="n"/>
      <c r="DG602" s="588" t="n"/>
      <c r="DH602" s="588" t="n"/>
      <c r="DI602" s="588" t="n"/>
      <c r="DJ602" s="588" t="n"/>
      <c r="DK602" s="588" t="n"/>
      <c r="DL602" s="588" t="n"/>
      <c r="DM602" s="588" t="n"/>
      <c r="DN602" s="588" t="n"/>
      <c r="DO602" s="588" t="n"/>
      <c r="DP602" s="588" t="n"/>
      <c r="DQ602" s="588" t="n"/>
      <c r="DR602" s="588" t="n"/>
      <c r="DS602" s="588" t="n"/>
      <c r="DT602" s="588" t="n"/>
      <c r="DU602" s="588" t="n"/>
    </row>
    <row r="603">
      <c r="A603" s="737" t="n"/>
      <c r="B603" s="737" t="n"/>
      <c r="C603" s="737" t="n"/>
      <c r="D603" s="737" t="n"/>
      <c r="E603" s="737" t="n"/>
      <c r="F603" s="737" t="n"/>
      <c r="G603" s="737" t="n"/>
      <c r="H603" s="737" t="n"/>
      <c r="I603" s="737" t="n"/>
      <c r="J603" s="737" t="n"/>
      <c r="K603" s="737" t="n"/>
      <c r="L603" s="737" t="n"/>
      <c r="M603" s="737" t="n"/>
      <c r="N603" s="737" t="n"/>
      <c r="O603" s="737" t="n"/>
      <c r="P603" s="737" t="n"/>
      <c r="Q603" s="737" t="n"/>
      <c r="R603" s="737" t="n"/>
      <c r="S603" s="737" t="n"/>
      <c r="T603" s="737" t="n"/>
      <c r="U603" s="737" t="n"/>
      <c r="V603" s="737" t="n"/>
      <c r="W603" s="737" t="n"/>
      <c r="X603" s="737" t="n"/>
      <c r="Y603" s="737" t="n"/>
      <c r="Z603" s="737" t="n"/>
      <c r="AA603" s="737" t="n"/>
      <c r="AB603" s="737" t="n"/>
      <c r="AC603" s="737" t="n"/>
      <c r="AD603" s="737" t="n"/>
      <c r="AE603" s="737" t="n"/>
      <c r="AF603" s="737" t="n"/>
      <c r="AG603" s="737" t="n"/>
      <c r="AH603" s="737" t="n"/>
      <c r="AI603" s="737" t="n"/>
      <c r="AJ603" s="737" t="n"/>
      <c r="AK603" s="588" t="n"/>
      <c r="AL603" s="588" t="n"/>
      <c r="AM603" s="588" t="n"/>
      <c r="AN603" s="588" t="n"/>
      <c r="AO603" s="588" t="n"/>
      <c r="AP603" s="588" t="n"/>
      <c r="AQ603" s="588" t="n"/>
      <c r="AR603" s="588" t="n"/>
      <c r="AS603" s="588" t="n"/>
      <c r="AT603" s="588" t="n"/>
      <c r="AU603" s="588" t="n"/>
      <c r="AV603" s="588" t="n"/>
      <c r="AW603" s="588" t="n"/>
      <c r="AX603" s="588" t="n"/>
      <c r="AY603" s="588" t="n"/>
      <c r="AZ603" s="588" t="n"/>
      <c r="BA603" s="588" t="n"/>
      <c r="BB603" s="588" t="n"/>
      <c r="BC603" s="588" t="n"/>
      <c r="BD603" s="588" t="n"/>
      <c r="BE603" s="588" t="n"/>
      <c r="BF603" s="588" t="n"/>
      <c r="BG603" s="588" t="n"/>
      <c r="BH603" s="588" t="n"/>
      <c r="BI603" s="588" t="n"/>
      <c r="BJ603" s="588" t="n"/>
      <c r="BK603" s="588" t="n"/>
      <c r="BL603" s="588" t="n"/>
      <c r="BM603" s="588" t="n"/>
      <c r="BN603" s="588" t="n"/>
      <c r="BO603" s="588" t="n"/>
      <c r="BP603" s="588" t="n"/>
      <c r="BQ603" s="588" t="n"/>
      <c r="BR603" s="588" t="n"/>
      <c r="BS603" s="588" t="n"/>
      <c r="BT603" s="588" t="n"/>
      <c r="BU603" s="588" t="n"/>
      <c r="BV603" s="588" t="n"/>
      <c r="BW603" s="588" t="n"/>
      <c r="BX603" s="588" t="n"/>
      <c r="BY603" s="588" t="n"/>
      <c r="BZ603" s="588" t="n"/>
      <c r="CA603" s="588" t="n"/>
      <c r="CB603" s="588" t="n"/>
      <c r="CC603" s="588" t="n"/>
      <c r="CD603" s="588" t="n"/>
      <c r="CE603" s="588" t="n"/>
      <c r="CF603" s="588" t="n"/>
      <c r="CG603" s="588" t="n"/>
      <c r="CH603" s="588" t="n"/>
      <c r="CI603" s="588" t="n"/>
      <c r="CJ603" s="588" t="n"/>
      <c r="CK603" s="588" t="n"/>
      <c r="CL603" s="588" t="n"/>
      <c r="CM603" s="588" t="n"/>
      <c r="CN603" s="588" t="n"/>
      <c r="CO603" s="588" t="n"/>
      <c r="CP603" s="588" t="n"/>
      <c r="CQ603" s="588" t="n"/>
      <c r="CR603" s="588" t="n"/>
      <c r="CS603" s="588" t="n"/>
      <c r="CT603" s="588" t="n"/>
      <c r="CU603" s="588" t="n"/>
      <c r="CV603" s="588" t="n"/>
      <c r="CW603" s="588" t="n"/>
      <c r="CX603" s="588" t="n"/>
      <c r="CY603" s="588" t="n"/>
      <c r="CZ603" s="588" t="n"/>
      <c r="DA603" s="588" t="n"/>
      <c r="DB603" s="588" t="n"/>
      <c r="DC603" s="588" t="n"/>
      <c r="DD603" s="588" t="n"/>
      <c r="DE603" s="588" t="n"/>
      <c r="DF603" s="588" t="n"/>
      <c r="DG603" s="588" t="n"/>
      <c r="DH603" s="588" t="n"/>
      <c r="DI603" s="588" t="n"/>
      <c r="DJ603" s="588" t="n"/>
      <c r="DK603" s="588" t="n"/>
      <c r="DL603" s="588" t="n"/>
      <c r="DM603" s="588" t="n"/>
      <c r="DN603" s="588" t="n"/>
      <c r="DO603" s="588" t="n"/>
      <c r="DP603" s="588" t="n"/>
      <c r="DQ603" s="588" t="n"/>
      <c r="DR603" s="588" t="n"/>
      <c r="DS603" s="588" t="n"/>
      <c r="DT603" s="588" t="n"/>
      <c r="DU603" s="588" t="n"/>
    </row>
    <row r="604">
      <c r="A604" s="737" t="n"/>
      <c r="B604" s="737" t="n"/>
      <c r="C604" s="737" t="n"/>
      <c r="D604" s="737" t="n"/>
      <c r="E604" s="737" t="n"/>
      <c r="F604" s="737" t="n"/>
      <c r="G604" s="737" t="n"/>
      <c r="H604" s="737" t="n"/>
      <c r="I604" s="737" t="n"/>
      <c r="J604" s="737" t="n"/>
      <c r="K604" s="737" t="n"/>
      <c r="L604" s="737" t="n"/>
      <c r="M604" s="737" t="n"/>
      <c r="N604" s="737" t="n"/>
      <c r="O604" s="737" t="n"/>
      <c r="P604" s="737" t="n"/>
      <c r="Q604" s="737" t="n"/>
      <c r="R604" s="737" t="n"/>
      <c r="S604" s="737" t="n"/>
      <c r="T604" s="737" t="n"/>
      <c r="U604" s="737" t="n"/>
      <c r="V604" s="737" t="n"/>
      <c r="W604" s="737" t="n"/>
      <c r="X604" s="737" t="n"/>
      <c r="Y604" s="737" t="n"/>
      <c r="Z604" s="737" t="n"/>
      <c r="AA604" s="737" t="n"/>
      <c r="AB604" s="737" t="n"/>
      <c r="AC604" s="737" t="n"/>
      <c r="AD604" s="737" t="n"/>
      <c r="AE604" s="737" t="n"/>
      <c r="AF604" s="737" t="n"/>
      <c r="AG604" s="737" t="n"/>
      <c r="AH604" s="737" t="n"/>
      <c r="AI604" s="737" t="n"/>
      <c r="AJ604" s="737" t="n"/>
      <c r="AK604" s="588" t="n"/>
      <c r="AL604" s="588" t="n"/>
      <c r="AM604" s="588" t="n"/>
      <c r="AN604" s="588" t="n"/>
      <c r="AO604" s="588" t="n"/>
      <c r="AP604" s="588" t="n"/>
      <c r="AQ604" s="588" t="n"/>
      <c r="AR604" s="588" t="n"/>
      <c r="AS604" s="588" t="n"/>
      <c r="AT604" s="588" t="n"/>
      <c r="AU604" s="588" t="n"/>
      <c r="AV604" s="588" t="n"/>
      <c r="AW604" s="588" t="n"/>
      <c r="AX604" s="588" t="n"/>
      <c r="AY604" s="588" t="n"/>
      <c r="AZ604" s="588" t="n"/>
      <c r="BA604" s="588" t="n"/>
      <c r="BB604" s="588" t="n"/>
      <c r="BC604" s="588" t="n"/>
      <c r="BD604" s="588" t="n"/>
      <c r="BE604" s="588" t="n"/>
      <c r="BF604" s="588" t="n"/>
      <c r="BG604" s="588" t="n"/>
      <c r="BH604" s="588" t="n"/>
      <c r="BI604" s="588" t="n"/>
      <c r="BJ604" s="588" t="n"/>
      <c r="BK604" s="588" t="n"/>
      <c r="BL604" s="588" t="n"/>
      <c r="BM604" s="588" t="n"/>
      <c r="BN604" s="588" t="n"/>
      <c r="BO604" s="588" t="n"/>
      <c r="BP604" s="588" t="n"/>
      <c r="BQ604" s="588" t="n"/>
      <c r="BR604" s="588" t="n"/>
      <c r="BS604" s="588" t="n"/>
      <c r="BT604" s="588" t="n"/>
      <c r="BU604" s="588" t="n"/>
      <c r="BV604" s="588" t="n"/>
      <c r="BW604" s="588" t="n"/>
      <c r="BX604" s="588" t="n"/>
      <c r="BY604" s="588" t="n"/>
      <c r="BZ604" s="588" t="n"/>
      <c r="CA604" s="588" t="n"/>
      <c r="CB604" s="588" t="n"/>
      <c r="CC604" s="588" t="n"/>
      <c r="CD604" s="588" t="n"/>
      <c r="CE604" s="588" t="n"/>
      <c r="CF604" s="588" t="n"/>
      <c r="CG604" s="588" t="n"/>
      <c r="CH604" s="588" t="n"/>
      <c r="CI604" s="588" t="n"/>
      <c r="CJ604" s="588" t="n"/>
      <c r="CK604" s="588" t="n"/>
      <c r="CL604" s="588" t="n"/>
      <c r="CM604" s="588" t="n"/>
      <c r="CN604" s="588" t="n"/>
      <c r="CO604" s="588" t="n"/>
      <c r="CP604" s="588" t="n"/>
      <c r="CQ604" s="588" t="n"/>
      <c r="CR604" s="588" t="n"/>
      <c r="CS604" s="588" t="n"/>
      <c r="CT604" s="588" t="n"/>
      <c r="CU604" s="588" t="n"/>
      <c r="CV604" s="588" t="n"/>
      <c r="CW604" s="588" t="n"/>
      <c r="CX604" s="588" t="n"/>
      <c r="CY604" s="588" t="n"/>
      <c r="CZ604" s="588" t="n"/>
      <c r="DA604" s="588" t="n"/>
      <c r="DB604" s="588" t="n"/>
      <c r="DC604" s="588" t="n"/>
      <c r="DD604" s="588" t="n"/>
      <c r="DE604" s="588" t="n"/>
      <c r="DF604" s="588" t="n"/>
      <c r="DG604" s="588" t="n"/>
      <c r="DH604" s="588" t="n"/>
      <c r="DI604" s="588" t="n"/>
      <c r="DJ604" s="588" t="n"/>
      <c r="DK604" s="588" t="n"/>
      <c r="DL604" s="588" t="n"/>
      <c r="DM604" s="588" t="n"/>
      <c r="DN604" s="588" t="n"/>
      <c r="DO604" s="588" t="n"/>
      <c r="DP604" s="588" t="n"/>
      <c r="DQ604" s="588" t="n"/>
      <c r="DR604" s="588" t="n"/>
      <c r="DS604" s="588" t="n"/>
      <c r="DT604" s="588" t="n"/>
      <c r="DU604" s="588" t="n"/>
    </row>
    <row r="605">
      <c r="A605" s="737" t="n"/>
      <c r="B605" s="737" t="n"/>
      <c r="C605" s="737" t="n"/>
      <c r="D605" s="737" t="n"/>
      <c r="E605" s="737" t="n"/>
      <c r="F605" s="737" t="n"/>
      <c r="G605" s="737" t="n"/>
      <c r="H605" s="737" t="n"/>
      <c r="I605" s="737" t="n"/>
      <c r="J605" s="737" t="n"/>
      <c r="K605" s="737" t="n"/>
      <c r="L605" s="737" t="n"/>
      <c r="M605" s="737" t="n"/>
      <c r="N605" s="737" t="n"/>
      <c r="O605" s="737" t="n"/>
      <c r="P605" s="737" t="n"/>
      <c r="Q605" s="737" t="n"/>
      <c r="R605" s="737" t="n"/>
      <c r="S605" s="737" t="n"/>
      <c r="T605" s="737" t="n"/>
      <c r="U605" s="737" t="n"/>
      <c r="V605" s="737" t="n"/>
      <c r="W605" s="737" t="n"/>
      <c r="X605" s="737" t="n"/>
      <c r="Y605" s="737" t="n"/>
      <c r="Z605" s="737" t="n"/>
      <c r="AA605" s="737" t="n"/>
      <c r="AB605" s="737" t="n"/>
      <c r="AC605" s="737" t="n"/>
      <c r="AD605" s="737" t="n"/>
      <c r="AE605" s="737" t="n"/>
      <c r="AF605" s="737" t="n"/>
      <c r="AG605" s="737" t="n"/>
      <c r="AH605" s="737" t="n"/>
      <c r="AI605" s="737" t="n"/>
      <c r="AJ605" s="737" t="n"/>
      <c r="AK605" s="588" t="n"/>
      <c r="AL605" s="588" t="n"/>
      <c r="AM605" s="588" t="n"/>
      <c r="AN605" s="588" t="n"/>
      <c r="AO605" s="588" t="n"/>
      <c r="AP605" s="588" t="n"/>
      <c r="AQ605" s="588" t="n"/>
      <c r="AR605" s="588" t="n"/>
      <c r="AS605" s="588" t="n"/>
      <c r="AT605" s="588" t="n"/>
      <c r="AU605" s="588" t="n"/>
      <c r="AV605" s="588" t="n"/>
      <c r="AW605" s="588" t="n"/>
      <c r="AX605" s="588" t="n"/>
      <c r="AY605" s="588" t="n"/>
      <c r="AZ605" s="588" t="n"/>
      <c r="BA605" s="588" t="n"/>
      <c r="BB605" s="588" t="n"/>
      <c r="BC605" s="588" t="n"/>
      <c r="BD605" s="588" t="n"/>
      <c r="BE605" s="588" t="n"/>
      <c r="BF605" s="588" t="n"/>
      <c r="BG605" s="588" t="n"/>
      <c r="BH605" s="588" t="n"/>
      <c r="BI605" s="588" t="n"/>
      <c r="BJ605" s="588" t="n"/>
      <c r="BK605" s="588" t="n"/>
      <c r="BL605" s="588" t="n"/>
      <c r="BM605" s="588" t="n"/>
      <c r="BN605" s="588" t="n"/>
      <c r="BO605" s="588" t="n"/>
      <c r="BP605" s="588" t="n"/>
      <c r="BQ605" s="588" t="n"/>
      <c r="BR605" s="588" t="n"/>
      <c r="BS605" s="588" t="n"/>
      <c r="BT605" s="588" t="n"/>
      <c r="BU605" s="588" t="n"/>
      <c r="BV605" s="588" t="n"/>
      <c r="BW605" s="588" t="n"/>
      <c r="BX605" s="588" t="n"/>
      <c r="BY605" s="588" t="n"/>
      <c r="BZ605" s="588" t="n"/>
      <c r="CA605" s="588" t="n"/>
      <c r="CB605" s="588" t="n"/>
      <c r="CC605" s="588" t="n"/>
      <c r="CD605" s="588" t="n"/>
      <c r="CE605" s="588" t="n"/>
      <c r="CF605" s="588" t="n"/>
      <c r="CG605" s="588" t="n"/>
      <c r="CH605" s="588" t="n"/>
      <c r="CI605" s="588" t="n"/>
      <c r="CJ605" s="588" t="n"/>
      <c r="CK605" s="588" t="n"/>
      <c r="CL605" s="588" t="n"/>
      <c r="CM605" s="588" t="n"/>
      <c r="CN605" s="588" t="n"/>
      <c r="CO605" s="588" t="n"/>
      <c r="CP605" s="588" t="n"/>
      <c r="CQ605" s="588" t="n"/>
      <c r="CR605" s="588" t="n"/>
      <c r="CS605" s="588" t="n"/>
      <c r="CT605" s="588" t="n"/>
      <c r="CU605" s="588" t="n"/>
      <c r="CV605" s="588" t="n"/>
      <c r="CW605" s="588" t="n"/>
      <c r="CX605" s="588" t="n"/>
      <c r="CY605" s="588" t="n"/>
      <c r="CZ605" s="588" t="n"/>
      <c r="DA605" s="588" t="n"/>
      <c r="DB605" s="588" t="n"/>
      <c r="DC605" s="588" t="n"/>
      <c r="DD605" s="588" t="n"/>
      <c r="DE605" s="588" t="n"/>
      <c r="DF605" s="588" t="n"/>
      <c r="DG605" s="588" t="n"/>
      <c r="DH605" s="588" t="n"/>
      <c r="DI605" s="588" t="n"/>
      <c r="DJ605" s="588" t="n"/>
      <c r="DK605" s="588" t="n"/>
      <c r="DL605" s="588" t="n"/>
      <c r="DM605" s="588" t="n"/>
      <c r="DN605" s="588" t="n"/>
      <c r="DO605" s="588" t="n"/>
      <c r="DP605" s="588" t="n"/>
      <c r="DQ605" s="588" t="n"/>
      <c r="DR605" s="588" t="n"/>
      <c r="DS605" s="588" t="n"/>
      <c r="DT605" s="588" t="n"/>
      <c r="DU605" s="588" t="n"/>
    </row>
    <row r="606">
      <c r="A606" s="737" t="n"/>
      <c r="B606" s="737" t="n"/>
      <c r="C606" s="737" t="n"/>
      <c r="D606" s="737" t="n"/>
      <c r="E606" s="737" t="n"/>
      <c r="F606" s="737" t="n"/>
      <c r="G606" s="737" t="n"/>
      <c r="H606" s="737" t="n"/>
      <c r="I606" s="737" t="n"/>
      <c r="J606" s="737" t="n"/>
      <c r="K606" s="737" t="n"/>
      <c r="L606" s="737" t="n"/>
      <c r="M606" s="737" t="n"/>
      <c r="N606" s="737" t="n"/>
      <c r="O606" s="737" t="n"/>
      <c r="P606" s="737" t="n"/>
      <c r="Q606" s="737" t="n"/>
      <c r="R606" s="737" t="n"/>
      <c r="S606" s="737" t="n"/>
      <c r="T606" s="737" t="n"/>
      <c r="U606" s="737" t="n"/>
      <c r="V606" s="737" t="n"/>
      <c r="W606" s="737" t="n"/>
      <c r="X606" s="737" t="n"/>
      <c r="Y606" s="737" t="n"/>
      <c r="Z606" s="737" t="n"/>
      <c r="AA606" s="737" t="n"/>
      <c r="AB606" s="737" t="n"/>
      <c r="AC606" s="737" t="n"/>
      <c r="AD606" s="737" t="n"/>
      <c r="AE606" s="737" t="n"/>
      <c r="AF606" s="737" t="n"/>
      <c r="AG606" s="737" t="n"/>
      <c r="AH606" s="737" t="n"/>
      <c r="AI606" s="737" t="n"/>
      <c r="AJ606" s="737" t="n"/>
      <c r="AK606" s="588" t="n"/>
      <c r="AL606" s="588" t="n"/>
      <c r="AM606" s="588" t="n"/>
      <c r="AN606" s="588" t="n"/>
      <c r="AO606" s="588" t="n"/>
      <c r="AP606" s="588" t="n"/>
      <c r="AQ606" s="588" t="n"/>
      <c r="AR606" s="588" t="n"/>
      <c r="AS606" s="588" t="n"/>
      <c r="AT606" s="588" t="n"/>
      <c r="AU606" s="588" t="n"/>
      <c r="AV606" s="588" t="n"/>
      <c r="AW606" s="588" t="n"/>
      <c r="AX606" s="588" t="n"/>
      <c r="AY606" s="588" t="n"/>
      <c r="AZ606" s="588" t="n"/>
      <c r="BA606" s="588" t="n"/>
      <c r="BB606" s="588" t="n"/>
      <c r="BC606" s="588" t="n"/>
      <c r="BD606" s="588" t="n"/>
      <c r="BE606" s="588" t="n"/>
      <c r="BF606" s="588" t="n"/>
      <c r="BG606" s="588" t="n"/>
      <c r="BH606" s="588" t="n"/>
      <c r="BI606" s="588" t="n"/>
      <c r="BJ606" s="588" t="n"/>
      <c r="BK606" s="588" t="n"/>
      <c r="BL606" s="588" t="n"/>
      <c r="BM606" s="588" t="n"/>
      <c r="BN606" s="588" t="n"/>
      <c r="BO606" s="588" t="n"/>
      <c r="BP606" s="588" t="n"/>
      <c r="BQ606" s="588" t="n"/>
      <c r="BR606" s="588" t="n"/>
      <c r="BS606" s="588" t="n"/>
      <c r="BT606" s="588" t="n"/>
      <c r="BU606" s="588" t="n"/>
      <c r="BV606" s="588" t="n"/>
      <c r="BW606" s="588" t="n"/>
      <c r="BX606" s="588" t="n"/>
      <c r="BY606" s="588" t="n"/>
      <c r="BZ606" s="588" t="n"/>
      <c r="CA606" s="588" t="n"/>
      <c r="CB606" s="588" t="n"/>
      <c r="CC606" s="588" t="n"/>
      <c r="CD606" s="588" t="n"/>
      <c r="CE606" s="588" t="n"/>
      <c r="CF606" s="588" t="n"/>
      <c r="CG606" s="588" t="n"/>
      <c r="CH606" s="588" t="n"/>
      <c r="CI606" s="588" t="n"/>
      <c r="CJ606" s="588" t="n"/>
      <c r="CK606" s="588" t="n"/>
      <c r="CL606" s="588" t="n"/>
      <c r="CM606" s="588" t="n"/>
      <c r="CN606" s="588" t="n"/>
      <c r="CO606" s="588" t="n"/>
      <c r="CP606" s="588" t="n"/>
      <c r="CQ606" s="588" t="n"/>
      <c r="CR606" s="588" t="n"/>
      <c r="CS606" s="588" t="n"/>
      <c r="CT606" s="588" t="n"/>
      <c r="CU606" s="588" t="n"/>
      <c r="CV606" s="588" t="n"/>
      <c r="CW606" s="588" t="n"/>
      <c r="CX606" s="588" t="n"/>
      <c r="CY606" s="588" t="n"/>
      <c r="CZ606" s="588" t="n"/>
      <c r="DA606" s="588" t="n"/>
      <c r="DB606" s="588" t="n"/>
      <c r="DC606" s="588" t="n"/>
      <c r="DD606" s="588" t="n"/>
      <c r="DE606" s="588" t="n"/>
      <c r="DF606" s="588" t="n"/>
      <c r="DG606" s="588" t="n"/>
      <c r="DH606" s="588" t="n"/>
      <c r="DI606" s="588" t="n"/>
      <c r="DJ606" s="588" t="n"/>
      <c r="DK606" s="588" t="n"/>
      <c r="DL606" s="588" t="n"/>
      <c r="DM606" s="588" t="n"/>
      <c r="DN606" s="588" t="n"/>
      <c r="DO606" s="588" t="n"/>
      <c r="DP606" s="588" t="n"/>
      <c r="DQ606" s="588" t="n"/>
      <c r="DR606" s="588" t="n"/>
      <c r="DS606" s="588" t="n"/>
      <c r="DT606" s="588" t="n"/>
      <c r="DU606" s="588" t="n"/>
    </row>
    <row r="607">
      <c r="A607" s="737" t="n"/>
      <c r="B607" s="737" t="n"/>
      <c r="C607" s="737" t="n"/>
      <c r="D607" s="737" t="n"/>
      <c r="E607" s="737" t="n"/>
      <c r="F607" s="737" t="n"/>
      <c r="G607" s="737" t="n"/>
      <c r="H607" s="737" t="n"/>
      <c r="I607" s="737" t="n"/>
      <c r="J607" s="737" t="n"/>
      <c r="K607" s="737" t="n"/>
      <c r="L607" s="737" t="n"/>
      <c r="M607" s="737" t="n"/>
      <c r="N607" s="737" t="n"/>
      <c r="O607" s="737" t="n"/>
      <c r="P607" s="737" t="n"/>
      <c r="Q607" s="737" t="n"/>
      <c r="R607" s="737" t="n"/>
      <c r="S607" s="737" t="n"/>
      <c r="T607" s="737" t="n"/>
      <c r="U607" s="737" t="n"/>
      <c r="V607" s="737" t="n"/>
      <c r="W607" s="737" t="n"/>
      <c r="X607" s="737" t="n"/>
      <c r="Y607" s="737" t="n"/>
      <c r="Z607" s="737" t="n"/>
      <c r="AA607" s="737" t="n"/>
      <c r="AB607" s="737" t="n"/>
      <c r="AC607" s="737" t="n"/>
      <c r="AD607" s="737" t="n"/>
      <c r="AE607" s="737" t="n"/>
      <c r="AF607" s="737" t="n"/>
      <c r="AG607" s="737" t="n"/>
      <c r="AH607" s="737" t="n"/>
      <c r="AI607" s="737" t="n"/>
      <c r="AJ607" s="737" t="n"/>
      <c r="AK607" s="588" t="n"/>
      <c r="AL607" s="588" t="n"/>
      <c r="AM607" s="588" t="n"/>
      <c r="AN607" s="588" t="n"/>
      <c r="AO607" s="588" t="n"/>
      <c r="AP607" s="588" t="n"/>
      <c r="AQ607" s="588" t="n"/>
      <c r="AR607" s="588" t="n"/>
      <c r="AS607" s="588" t="n"/>
      <c r="AT607" s="588" t="n"/>
      <c r="AU607" s="588" t="n"/>
      <c r="AV607" s="588" t="n"/>
      <c r="AW607" s="588" t="n"/>
      <c r="AX607" s="588" t="n"/>
      <c r="AY607" s="588" t="n"/>
      <c r="AZ607" s="588" t="n"/>
      <c r="BA607" s="588" t="n"/>
      <c r="BB607" s="588" t="n"/>
      <c r="BC607" s="588" t="n"/>
      <c r="BD607" s="588" t="n"/>
      <c r="BE607" s="588" t="n"/>
      <c r="BF607" s="588" t="n"/>
      <c r="BG607" s="588" t="n"/>
      <c r="BH607" s="588" t="n"/>
      <c r="BI607" s="588" t="n"/>
      <c r="BJ607" s="588" t="n"/>
      <c r="BK607" s="588" t="n"/>
      <c r="BL607" s="588" t="n"/>
      <c r="BM607" s="588" t="n"/>
      <c r="BN607" s="588" t="n"/>
      <c r="BO607" s="588" t="n"/>
      <c r="BP607" s="588" t="n"/>
      <c r="BQ607" s="588" t="n"/>
      <c r="BR607" s="588" t="n"/>
      <c r="BS607" s="588" t="n"/>
      <c r="BT607" s="588" t="n"/>
      <c r="BU607" s="588" t="n"/>
      <c r="BV607" s="588" t="n"/>
      <c r="BW607" s="588" t="n"/>
      <c r="BX607" s="588" t="n"/>
      <c r="BY607" s="588" t="n"/>
      <c r="BZ607" s="588" t="n"/>
      <c r="CA607" s="588" t="n"/>
      <c r="CB607" s="588" t="n"/>
      <c r="CC607" s="588" t="n"/>
      <c r="CD607" s="588" t="n"/>
      <c r="CE607" s="588" t="n"/>
      <c r="CF607" s="588" t="n"/>
      <c r="CG607" s="588" t="n"/>
      <c r="CH607" s="588" t="n"/>
      <c r="CI607" s="588" t="n"/>
      <c r="CJ607" s="588" t="n"/>
      <c r="CK607" s="588" t="n"/>
      <c r="CL607" s="588" t="n"/>
      <c r="CM607" s="588" t="n"/>
      <c r="CN607" s="588" t="n"/>
      <c r="CO607" s="588" t="n"/>
      <c r="CP607" s="588" t="n"/>
      <c r="CQ607" s="588" t="n"/>
      <c r="CR607" s="588" t="n"/>
      <c r="CS607" s="588" t="n"/>
      <c r="CT607" s="588" t="n"/>
      <c r="CU607" s="588" t="n"/>
      <c r="CV607" s="588" t="n"/>
      <c r="CW607" s="588" t="n"/>
      <c r="CX607" s="588" t="n"/>
      <c r="CY607" s="588" t="n"/>
      <c r="CZ607" s="588" t="n"/>
      <c r="DA607" s="588" t="n"/>
      <c r="DB607" s="588" t="n"/>
      <c r="DC607" s="588" t="n"/>
      <c r="DD607" s="588" t="n"/>
      <c r="DE607" s="588" t="n"/>
      <c r="DF607" s="588" t="n"/>
      <c r="DG607" s="588" t="n"/>
      <c r="DH607" s="588" t="n"/>
      <c r="DI607" s="588" t="n"/>
      <c r="DJ607" s="588" t="n"/>
      <c r="DK607" s="588" t="n"/>
      <c r="DL607" s="588" t="n"/>
      <c r="DM607" s="588" t="n"/>
      <c r="DN607" s="588" t="n"/>
      <c r="DO607" s="588" t="n"/>
      <c r="DP607" s="588" t="n"/>
      <c r="DQ607" s="588" t="n"/>
      <c r="DR607" s="588" t="n"/>
      <c r="DS607" s="588" t="n"/>
      <c r="DT607" s="588" t="n"/>
      <c r="DU607" s="588" t="n"/>
    </row>
    <row r="608">
      <c r="A608" s="737" t="n"/>
      <c r="B608" s="737" t="n"/>
      <c r="C608" s="737" t="n"/>
      <c r="D608" s="737" t="n"/>
      <c r="E608" s="737" t="n"/>
      <c r="F608" s="737" t="n"/>
      <c r="G608" s="737" t="n"/>
      <c r="H608" s="737" t="n"/>
      <c r="I608" s="737" t="n"/>
      <c r="J608" s="737" t="n"/>
      <c r="K608" s="737" t="n"/>
      <c r="L608" s="737" t="n"/>
      <c r="M608" s="737" t="n"/>
      <c r="N608" s="737" t="n"/>
      <c r="O608" s="737" t="n"/>
      <c r="P608" s="737" t="n"/>
      <c r="Q608" s="737" t="n"/>
      <c r="R608" s="737" t="n"/>
      <c r="S608" s="737" t="n"/>
      <c r="T608" s="737" t="n"/>
      <c r="U608" s="737" t="n"/>
      <c r="V608" s="737" t="n"/>
      <c r="W608" s="737" t="n"/>
      <c r="X608" s="737" t="n"/>
      <c r="Y608" s="737" t="n"/>
      <c r="Z608" s="737" t="n"/>
      <c r="AA608" s="737" t="n"/>
      <c r="AB608" s="737" t="n"/>
      <c r="AC608" s="737" t="n"/>
      <c r="AD608" s="737" t="n"/>
      <c r="AE608" s="737" t="n"/>
      <c r="AF608" s="737" t="n"/>
      <c r="AG608" s="737" t="n"/>
      <c r="AH608" s="737" t="n"/>
      <c r="AI608" s="737" t="n"/>
      <c r="AJ608" s="737" t="n"/>
      <c r="AK608" s="588" t="n"/>
      <c r="AL608" s="588" t="n"/>
      <c r="AM608" s="588" t="n"/>
      <c r="AN608" s="588" t="n"/>
      <c r="AO608" s="588" t="n"/>
      <c r="AP608" s="588" t="n"/>
      <c r="AQ608" s="588" t="n"/>
      <c r="AR608" s="588" t="n"/>
      <c r="AS608" s="588" t="n"/>
      <c r="AT608" s="588" t="n"/>
      <c r="AU608" s="588" t="n"/>
      <c r="AV608" s="588" t="n"/>
      <c r="AW608" s="588" t="n"/>
      <c r="AX608" s="588" t="n"/>
      <c r="AY608" s="588" t="n"/>
      <c r="AZ608" s="588" t="n"/>
      <c r="BA608" s="588" t="n"/>
      <c r="BB608" s="588" t="n"/>
      <c r="BC608" s="588" t="n"/>
      <c r="BD608" s="588" t="n"/>
      <c r="BE608" s="588" t="n"/>
      <c r="BF608" s="588" t="n"/>
      <c r="BG608" s="588" t="n"/>
      <c r="BH608" s="588" t="n"/>
      <c r="BI608" s="588" t="n"/>
      <c r="BJ608" s="588" t="n"/>
      <c r="BK608" s="588" t="n"/>
      <c r="BL608" s="588" t="n"/>
      <c r="BM608" s="588" t="n"/>
      <c r="BN608" s="588" t="n"/>
      <c r="BO608" s="588" t="n"/>
      <c r="BP608" s="588" t="n"/>
      <c r="BQ608" s="588" t="n"/>
      <c r="BR608" s="588" t="n"/>
      <c r="BS608" s="588" t="n"/>
      <c r="BT608" s="588" t="n"/>
      <c r="BU608" s="588" t="n"/>
      <c r="BV608" s="588" t="n"/>
      <c r="BW608" s="588" t="n"/>
      <c r="BX608" s="588" t="n"/>
      <c r="BY608" s="588" t="n"/>
      <c r="BZ608" s="588" t="n"/>
      <c r="CA608" s="588" t="n"/>
      <c r="CB608" s="588" t="n"/>
      <c r="CC608" s="588" t="n"/>
      <c r="CD608" s="588" t="n"/>
      <c r="CE608" s="588" t="n"/>
      <c r="CF608" s="588" t="n"/>
      <c r="CG608" s="588" t="n"/>
      <c r="CH608" s="588" t="n"/>
      <c r="CI608" s="588" t="n"/>
      <c r="CJ608" s="588" t="n"/>
      <c r="CK608" s="588" t="n"/>
      <c r="CL608" s="588" t="n"/>
      <c r="CM608" s="588" t="n"/>
      <c r="CN608" s="588" t="n"/>
      <c r="CO608" s="588" t="n"/>
      <c r="CP608" s="588" t="n"/>
      <c r="CQ608" s="588" t="n"/>
      <c r="CR608" s="588" t="n"/>
      <c r="CS608" s="588" t="n"/>
      <c r="CT608" s="588" t="n"/>
      <c r="CU608" s="588" t="n"/>
      <c r="CV608" s="588" t="n"/>
      <c r="CW608" s="588" t="n"/>
      <c r="CX608" s="588" t="n"/>
      <c r="CY608" s="588" t="n"/>
      <c r="CZ608" s="588" t="n"/>
      <c r="DA608" s="588" t="n"/>
      <c r="DB608" s="588" t="n"/>
      <c r="DC608" s="588" t="n"/>
      <c r="DD608" s="588" t="n"/>
      <c r="DE608" s="588" t="n"/>
      <c r="DF608" s="588" t="n"/>
      <c r="DG608" s="588" t="n"/>
      <c r="DH608" s="588" t="n"/>
      <c r="DI608" s="588" t="n"/>
      <c r="DJ608" s="588" t="n"/>
      <c r="DK608" s="588" t="n"/>
      <c r="DL608" s="588" t="n"/>
      <c r="DM608" s="588" t="n"/>
      <c r="DN608" s="588" t="n"/>
      <c r="DO608" s="588" t="n"/>
      <c r="DP608" s="588" t="n"/>
      <c r="DQ608" s="588" t="n"/>
      <c r="DR608" s="588" t="n"/>
      <c r="DS608" s="588" t="n"/>
      <c r="DT608" s="588" t="n"/>
      <c r="DU608" s="588" t="n"/>
    </row>
    <row r="609">
      <c r="A609" s="737" t="n"/>
      <c r="B609" s="737" t="n"/>
      <c r="C609" s="737" t="n"/>
      <c r="D609" s="737" t="n"/>
      <c r="E609" s="737" t="n"/>
      <c r="F609" s="737" t="n"/>
      <c r="G609" s="737" t="n"/>
      <c r="H609" s="737" t="n"/>
      <c r="I609" s="737" t="n"/>
      <c r="J609" s="737" t="n"/>
      <c r="K609" s="737" t="n"/>
      <c r="L609" s="737" t="n"/>
      <c r="M609" s="737" t="n"/>
      <c r="N609" s="737" t="n"/>
      <c r="O609" s="737" t="n"/>
      <c r="P609" s="737" t="n"/>
      <c r="Q609" s="737" t="n"/>
      <c r="R609" s="737" t="n"/>
      <c r="S609" s="737" t="n"/>
      <c r="T609" s="737" t="n"/>
      <c r="U609" s="737" t="n"/>
      <c r="V609" s="737" t="n"/>
      <c r="W609" s="737" t="n"/>
      <c r="X609" s="737" t="n"/>
      <c r="Y609" s="737" t="n"/>
      <c r="Z609" s="737" t="n"/>
      <c r="AA609" s="737" t="n"/>
      <c r="AB609" s="737" t="n"/>
      <c r="AC609" s="737" t="n"/>
      <c r="AD609" s="737" t="n"/>
      <c r="AE609" s="737" t="n"/>
      <c r="AF609" s="737" t="n"/>
      <c r="AG609" s="737" t="n"/>
      <c r="AH609" s="737" t="n"/>
      <c r="AI609" s="737" t="n"/>
      <c r="AJ609" s="737" t="n"/>
      <c r="AK609" s="588" t="n"/>
      <c r="AL609" s="588" t="n"/>
      <c r="AM609" s="588" t="n"/>
      <c r="AN609" s="588" t="n"/>
      <c r="AO609" s="588" t="n"/>
      <c r="AP609" s="588" t="n"/>
      <c r="AQ609" s="588" t="n"/>
      <c r="AR609" s="588" t="n"/>
      <c r="AS609" s="588" t="n"/>
      <c r="AT609" s="588" t="n"/>
      <c r="AU609" s="588" t="n"/>
      <c r="AV609" s="588" t="n"/>
      <c r="AW609" s="588" t="n"/>
      <c r="AX609" s="588" t="n"/>
      <c r="AY609" s="588" t="n"/>
      <c r="AZ609" s="588" t="n"/>
      <c r="BA609" s="588" t="n"/>
      <c r="BB609" s="588" t="n"/>
      <c r="BC609" s="588" t="n"/>
      <c r="BD609" s="588" t="n"/>
      <c r="BE609" s="588" t="n"/>
      <c r="BF609" s="588" t="n"/>
      <c r="BG609" s="588" t="n"/>
      <c r="BH609" s="588" t="n"/>
      <c r="BI609" s="588" t="n"/>
      <c r="BJ609" s="588" t="n"/>
      <c r="BK609" s="588" t="n"/>
      <c r="BL609" s="588" t="n"/>
      <c r="BM609" s="588" t="n"/>
      <c r="BN609" s="588" t="n"/>
      <c r="BO609" s="588" t="n"/>
      <c r="BP609" s="588" t="n"/>
      <c r="BQ609" s="588" t="n"/>
      <c r="BR609" s="588" t="n"/>
      <c r="BS609" s="588" t="n"/>
      <c r="BT609" s="588" t="n"/>
      <c r="BU609" s="588" t="n"/>
      <c r="BV609" s="588" t="n"/>
      <c r="BW609" s="588" t="n"/>
      <c r="BX609" s="588" t="n"/>
      <c r="BY609" s="588" t="n"/>
      <c r="BZ609" s="588" t="n"/>
      <c r="CA609" s="588" t="n"/>
      <c r="CB609" s="588" t="n"/>
      <c r="CC609" s="588" t="n"/>
      <c r="CD609" s="588" t="n"/>
      <c r="CE609" s="588" t="n"/>
      <c r="CF609" s="588" t="n"/>
      <c r="CG609" s="588" t="n"/>
      <c r="CH609" s="588" t="n"/>
      <c r="CI609" s="588" t="n"/>
      <c r="CJ609" s="588" t="n"/>
      <c r="CK609" s="588" t="n"/>
      <c r="CL609" s="588" t="n"/>
      <c r="CM609" s="588" t="n"/>
      <c r="CN609" s="588" t="n"/>
      <c r="CO609" s="588" t="n"/>
      <c r="CP609" s="588" t="n"/>
      <c r="CQ609" s="588" t="n"/>
      <c r="CR609" s="588" t="n"/>
      <c r="CS609" s="588" t="n"/>
      <c r="CT609" s="588" t="n"/>
      <c r="CU609" s="588" t="n"/>
      <c r="CV609" s="588" t="n"/>
      <c r="CW609" s="588" t="n"/>
      <c r="CX609" s="588" t="n"/>
      <c r="CY609" s="588" t="n"/>
      <c r="CZ609" s="588" t="n"/>
      <c r="DA609" s="588" t="n"/>
      <c r="DB609" s="588" t="n"/>
      <c r="DC609" s="588" t="n"/>
      <c r="DD609" s="588" t="n"/>
      <c r="DE609" s="588" t="n"/>
      <c r="DF609" s="588" t="n"/>
      <c r="DG609" s="588" t="n"/>
      <c r="DH609" s="588" t="n"/>
      <c r="DI609" s="588" t="n"/>
      <c r="DJ609" s="588" t="n"/>
      <c r="DK609" s="588" t="n"/>
      <c r="DL609" s="588" t="n"/>
      <c r="DM609" s="588" t="n"/>
      <c r="DN609" s="588" t="n"/>
      <c r="DO609" s="588" t="n"/>
      <c r="DP609" s="588" t="n"/>
      <c r="DQ609" s="588" t="n"/>
      <c r="DR609" s="588" t="n"/>
      <c r="DS609" s="588" t="n"/>
      <c r="DT609" s="588" t="n"/>
      <c r="DU609" s="588" t="n"/>
    </row>
    <row r="610">
      <c r="A610" s="737" t="n"/>
      <c r="B610" s="737" t="n"/>
      <c r="C610" s="737" t="n"/>
      <c r="D610" s="737" t="n"/>
      <c r="E610" s="737" t="n"/>
      <c r="F610" s="737" t="n"/>
      <c r="G610" s="737" t="n"/>
      <c r="H610" s="737" t="n"/>
      <c r="I610" s="737" t="n"/>
      <c r="J610" s="737" t="n"/>
      <c r="K610" s="737" t="n"/>
      <c r="L610" s="737" t="n"/>
      <c r="M610" s="737" t="n"/>
      <c r="N610" s="737" t="n"/>
      <c r="O610" s="737" t="n"/>
      <c r="P610" s="737" t="n"/>
      <c r="Q610" s="737" t="n"/>
      <c r="R610" s="737" t="n"/>
      <c r="S610" s="737" t="n"/>
      <c r="T610" s="737" t="n"/>
      <c r="U610" s="737" t="n"/>
      <c r="V610" s="737" t="n"/>
      <c r="W610" s="737" t="n"/>
      <c r="X610" s="737" t="n"/>
      <c r="Y610" s="737" t="n"/>
      <c r="Z610" s="737" t="n"/>
      <c r="AA610" s="737" t="n"/>
      <c r="AB610" s="737" t="n"/>
      <c r="AC610" s="737" t="n"/>
      <c r="AD610" s="737" t="n"/>
      <c r="AE610" s="737" t="n"/>
      <c r="AF610" s="737" t="n"/>
      <c r="AG610" s="737" t="n"/>
      <c r="AH610" s="737" t="n"/>
      <c r="AI610" s="737" t="n"/>
      <c r="AJ610" s="737" t="n"/>
      <c r="AK610" s="588" t="n"/>
      <c r="AL610" s="588" t="n"/>
      <c r="AM610" s="588" t="n"/>
      <c r="AN610" s="588" t="n"/>
      <c r="AO610" s="588" t="n"/>
      <c r="AP610" s="588" t="n"/>
      <c r="AQ610" s="588" t="n"/>
      <c r="AR610" s="588" t="n"/>
      <c r="AS610" s="588" t="n"/>
      <c r="AT610" s="588" t="n"/>
      <c r="AU610" s="588" t="n"/>
      <c r="AV610" s="588" t="n"/>
      <c r="AW610" s="588" t="n"/>
      <c r="AX610" s="588" t="n"/>
      <c r="AY610" s="588" t="n"/>
      <c r="AZ610" s="588" t="n"/>
      <c r="BA610" s="588" t="n"/>
      <c r="BB610" s="588" t="n"/>
      <c r="BC610" s="588" t="n"/>
      <c r="BD610" s="588" t="n"/>
      <c r="BE610" s="588" t="n"/>
      <c r="BF610" s="588" t="n"/>
      <c r="BG610" s="588" t="n"/>
      <c r="BH610" s="588" t="n"/>
      <c r="BI610" s="588" t="n"/>
      <c r="BJ610" s="588" t="n"/>
      <c r="BK610" s="588" t="n"/>
      <c r="BL610" s="588" t="n"/>
      <c r="BM610" s="588" t="n"/>
      <c r="BN610" s="588" t="n"/>
      <c r="BO610" s="588" t="n"/>
      <c r="BP610" s="588" t="n"/>
      <c r="BQ610" s="588" t="n"/>
      <c r="BR610" s="588" t="n"/>
      <c r="BS610" s="588" t="n"/>
      <c r="BT610" s="588" t="n"/>
      <c r="BU610" s="588" t="n"/>
      <c r="BV610" s="588" t="n"/>
      <c r="BW610" s="588" t="n"/>
      <c r="BX610" s="588" t="n"/>
      <c r="BY610" s="588" t="n"/>
      <c r="BZ610" s="588" t="n"/>
      <c r="CA610" s="588" t="n"/>
      <c r="CB610" s="588" t="n"/>
      <c r="CC610" s="588" t="n"/>
      <c r="CD610" s="588" t="n"/>
      <c r="CE610" s="588" t="n"/>
      <c r="CF610" s="588" t="n"/>
      <c r="CG610" s="588" t="n"/>
      <c r="CH610" s="588" t="n"/>
      <c r="CI610" s="588" t="n"/>
      <c r="CJ610" s="588" t="n"/>
      <c r="CK610" s="588" t="n"/>
      <c r="CL610" s="588" t="n"/>
      <c r="CM610" s="588" t="n"/>
      <c r="CN610" s="588" t="n"/>
      <c r="CO610" s="588" t="n"/>
      <c r="CP610" s="588" t="n"/>
      <c r="CQ610" s="588" t="n"/>
      <c r="CR610" s="588" t="n"/>
      <c r="CS610" s="588" t="n"/>
      <c r="CT610" s="588" t="n"/>
      <c r="CU610" s="588" t="n"/>
      <c r="CV610" s="588" t="n"/>
      <c r="CW610" s="588" t="n"/>
      <c r="CX610" s="588" t="n"/>
      <c r="CY610" s="588" t="n"/>
      <c r="CZ610" s="588" t="n"/>
      <c r="DA610" s="588" t="n"/>
      <c r="DB610" s="588" t="n"/>
      <c r="DC610" s="588" t="n"/>
      <c r="DD610" s="588" t="n"/>
      <c r="DE610" s="588" t="n"/>
      <c r="DF610" s="588" t="n"/>
      <c r="DG610" s="588" t="n"/>
      <c r="DH610" s="588" t="n"/>
      <c r="DI610" s="588" t="n"/>
      <c r="DJ610" s="588" t="n"/>
      <c r="DK610" s="588" t="n"/>
      <c r="DL610" s="588" t="n"/>
      <c r="DM610" s="588" t="n"/>
      <c r="DN610" s="588" t="n"/>
      <c r="DO610" s="588" t="n"/>
      <c r="DP610" s="588" t="n"/>
      <c r="DQ610" s="588" t="n"/>
      <c r="DR610" s="588" t="n"/>
      <c r="DS610" s="588" t="n"/>
      <c r="DT610" s="588" t="n"/>
      <c r="DU610" s="588" t="n"/>
    </row>
    <row r="611">
      <c r="A611" s="737" t="n"/>
      <c r="B611" s="737" t="n"/>
      <c r="C611" s="737" t="n"/>
      <c r="D611" s="737" t="n"/>
      <c r="E611" s="737" t="n"/>
      <c r="F611" s="737" t="n"/>
      <c r="G611" s="737" t="n"/>
      <c r="H611" s="737" t="n"/>
      <c r="I611" s="737" t="n"/>
      <c r="J611" s="737" t="n"/>
      <c r="K611" s="737" t="n"/>
      <c r="L611" s="737" t="n"/>
      <c r="M611" s="737" t="n"/>
      <c r="N611" s="737" t="n"/>
      <c r="O611" s="737" t="n"/>
      <c r="P611" s="737" t="n"/>
      <c r="Q611" s="737" t="n"/>
      <c r="R611" s="737" t="n"/>
      <c r="S611" s="737" t="n"/>
      <c r="T611" s="737" t="n"/>
      <c r="U611" s="737" t="n"/>
      <c r="V611" s="737" t="n"/>
      <c r="W611" s="737" t="n"/>
      <c r="X611" s="737" t="n"/>
      <c r="Y611" s="737" t="n"/>
      <c r="Z611" s="737" t="n"/>
      <c r="AA611" s="737" t="n"/>
      <c r="AB611" s="737" t="n"/>
      <c r="AC611" s="737" t="n"/>
      <c r="AD611" s="737" t="n"/>
      <c r="AE611" s="737" t="n"/>
      <c r="AF611" s="737" t="n"/>
      <c r="AG611" s="737" t="n"/>
      <c r="AH611" s="737" t="n"/>
      <c r="AI611" s="737" t="n"/>
      <c r="AJ611" s="737" t="n"/>
      <c r="AK611" s="588" t="n"/>
      <c r="AL611" s="588" t="n"/>
      <c r="AM611" s="588" t="n"/>
      <c r="AN611" s="588" t="n"/>
      <c r="AO611" s="588" t="n"/>
      <c r="AP611" s="588" t="n"/>
      <c r="AQ611" s="588" t="n"/>
      <c r="AR611" s="588" t="n"/>
      <c r="AS611" s="588" t="n"/>
      <c r="AT611" s="588" t="n"/>
      <c r="AU611" s="588" t="n"/>
      <c r="AV611" s="588" t="n"/>
      <c r="AW611" s="588" t="n"/>
      <c r="AX611" s="588" t="n"/>
      <c r="AY611" s="588" t="n"/>
      <c r="AZ611" s="588" t="n"/>
      <c r="BA611" s="588" t="n"/>
      <c r="BB611" s="588" t="n"/>
      <c r="BC611" s="588" t="n"/>
      <c r="BD611" s="588" t="n"/>
      <c r="BE611" s="588" t="n"/>
      <c r="BF611" s="588" t="n"/>
      <c r="BG611" s="588" t="n"/>
      <c r="BH611" s="588" t="n"/>
      <c r="BI611" s="588" t="n"/>
      <c r="BJ611" s="588" t="n"/>
      <c r="BK611" s="588" t="n"/>
      <c r="BL611" s="588" t="n"/>
      <c r="BM611" s="588" t="n"/>
      <c r="BN611" s="588" t="n"/>
      <c r="BO611" s="588" t="n"/>
      <c r="BP611" s="588" t="n"/>
      <c r="BQ611" s="588" t="n"/>
      <c r="BR611" s="588" t="n"/>
      <c r="BS611" s="588" t="n"/>
      <c r="BT611" s="588" t="n"/>
      <c r="BU611" s="588" t="n"/>
      <c r="BV611" s="588" t="n"/>
      <c r="BW611" s="588" t="n"/>
      <c r="BX611" s="588" t="n"/>
      <c r="BY611" s="588" t="n"/>
      <c r="BZ611" s="588" t="n"/>
      <c r="CA611" s="588" t="n"/>
      <c r="CB611" s="588" t="n"/>
      <c r="CC611" s="588" t="n"/>
      <c r="CD611" s="588" t="n"/>
      <c r="CE611" s="588" t="n"/>
      <c r="CF611" s="588" t="n"/>
      <c r="CG611" s="588" t="n"/>
      <c r="CH611" s="588" t="n"/>
      <c r="CI611" s="588" t="n"/>
      <c r="CJ611" s="588" t="n"/>
      <c r="CK611" s="588" t="n"/>
      <c r="CL611" s="588" t="n"/>
      <c r="CM611" s="588" t="n"/>
      <c r="CN611" s="588" t="n"/>
      <c r="CO611" s="588" t="n"/>
      <c r="CP611" s="588" t="n"/>
      <c r="CQ611" s="588" t="n"/>
      <c r="CR611" s="588" t="n"/>
      <c r="CS611" s="588" t="n"/>
      <c r="CT611" s="588" t="n"/>
      <c r="CU611" s="588" t="n"/>
      <c r="CV611" s="588" t="n"/>
      <c r="CW611" s="588" t="n"/>
      <c r="CX611" s="588" t="n"/>
      <c r="CY611" s="588" t="n"/>
      <c r="CZ611" s="588" t="n"/>
      <c r="DA611" s="588" t="n"/>
      <c r="DB611" s="588" t="n"/>
      <c r="DC611" s="588" t="n"/>
      <c r="DD611" s="588" t="n"/>
      <c r="DE611" s="588" t="n"/>
      <c r="DF611" s="588" t="n"/>
      <c r="DG611" s="588" t="n"/>
      <c r="DH611" s="588" t="n"/>
      <c r="DI611" s="588" t="n"/>
      <c r="DJ611" s="588" t="n"/>
      <c r="DK611" s="588" t="n"/>
      <c r="DL611" s="588" t="n"/>
      <c r="DM611" s="588" t="n"/>
      <c r="DN611" s="588" t="n"/>
      <c r="DO611" s="588" t="n"/>
      <c r="DP611" s="588" t="n"/>
      <c r="DQ611" s="588" t="n"/>
      <c r="DR611" s="588" t="n"/>
      <c r="DS611" s="588" t="n"/>
      <c r="DT611" s="588" t="n"/>
      <c r="DU611" s="588" t="n"/>
    </row>
    <row r="612">
      <c r="A612" s="737" t="n"/>
      <c r="B612" s="737" t="n"/>
      <c r="C612" s="737" t="n"/>
      <c r="D612" s="737" t="n"/>
      <c r="E612" s="737" t="n"/>
      <c r="F612" s="737" t="n"/>
      <c r="G612" s="737" t="n"/>
      <c r="H612" s="737" t="n"/>
      <c r="I612" s="737" t="n"/>
      <c r="J612" s="737" t="n"/>
      <c r="K612" s="737" t="n"/>
      <c r="L612" s="737" t="n"/>
      <c r="M612" s="737" t="n"/>
      <c r="N612" s="737" t="n"/>
      <c r="O612" s="737" t="n"/>
      <c r="P612" s="737" t="n"/>
      <c r="Q612" s="737" t="n"/>
      <c r="R612" s="737" t="n"/>
      <c r="S612" s="737" t="n"/>
      <c r="T612" s="737" t="n"/>
      <c r="U612" s="737" t="n"/>
      <c r="V612" s="737" t="n"/>
      <c r="W612" s="737" t="n"/>
      <c r="X612" s="737" t="n"/>
      <c r="Y612" s="737" t="n"/>
      <c r="Z612" s="737" t="n"/>
      <c r="AA612" s="737" t="n"/>
      <c r="AB612" s="737" t="n"/>
      <c r="AC612" s="737" t="n"/>
      <c r="AD612" s="737" t="n"/>
      <c r="AE612" s="737" t="n"/>
      <c r="AF612" s="737" t="n"/>
      <c r="AG612" s="737" t="n"/>
      <c r="AH612" s="737" t="n"/>
      <c r="AI612" s="737" t="n"/>
      <c r="AJ612" s="737" t="n"/>
      <c r="AK612" s="588" t="n"/>
      <c r="AL612" s="588" t="n"/>
      <c r="AM612" s="588" t="n"/>
      <c r="AN612" s="588" t="n"/>
      <c r="AO612" s="588" t="n"/>
      <c r="AP612" s="588" t="n"/>
      <c r="AQ612" s="588" t="n"/>
      <c r="AR612" s="588" t="n"/>
      <c r="AS612" s="588" t="n"/>
      <c r="AT612" s="588" t="n"/>
      <c r="AU612" s="588" t="n"/>
      <c r="AV612" s="588" t="n"/>
      <c r="AW612" s="588" t="n"/>
      <c r="AX612" s="588" t="n"/>
      <c r="AY612" s="588" t="n"/>
      <c r="AZ612" s="588" t="n"/>
      <c r="BA612" s="588" t="n"/>
      <c r="BB612" s="588" t="n"/>
      <c r="BC612" s="588" t="n"/>
      <c r="BD612" s="588" t="n"/>
      <c r="BE612" s="588" t="n"/>
      <c r="BF612" s="588" t="n"/>
      <c r="BG612" s="588" t="n"/>
      <c r="BH612" s="588" t="n"/>
      <c r="BI612" s="588" t="n"/>
      <c r="BJ612" s="588" t="n"/>
      <c r="BK612" s="588" t="n"/>
      <c r="BL612" s="588" t="n"/>
      <c r="BM612" s="588" t="n"/>
      <c r="BN612" s="588" t="n"/>
      <c r="BO612" s="588" t="n"/>
      <c r="BP612" s="588" t="n"/>
      <c r="BQ612" s="588" t="n"/>
      <c r="BR612" s="588" t="n"/>
      <c r="BS612" s="588" t="n"/>
      <c r="BT612" s="588" t="n"/>
      <c r="BU612" s="588" t="n"/>
      <c r="BV612" s="588" t="n"/>
      <c r="BW612" s="588" t="n"/>
      <c r="BX612" s="588" t="n"/>
      <c r="BY612" s="588" t="n"/>
      <c r="BZ612" s="588" t="n"/>
      <c r="CA612" s="588" t="n"/>
      <c r="CB612" s="588" t="n"/>
      <c r="CC612" s="588" t="n"/>
      <c r="CD612" s="588" t="n"/>
      <c r="CE612" s="588" t="n"/>
      <c r="CF612" s="588" t="n"/>
      <c r="CG612" s="588" t="n"/>
      <c r="CH612" s="588" t="n"/>
      <c r="CI612" s="588" t="n"/>
      <c r="CJ612" s="588" t="n"/>
      <c r="CK612" s="588" t="n"/>
      <c r="CL612" s="588" t="n"/>
      <c r="CM612" s="588" t="n"/>
      <c r="CN612" s="588" t="n"/>
      <c r="CO612" s="588" t="n"/>
      <c r="CP612" s="588" t="n"/>
      <c r="CQ612" s="588" t="n"/>
      <c r="CR612" s="588" t="n"/>
      <c r="CS612" s="588" t="n"/>
      <c r="CT612" s="588" t="n"/>
      <c r="CU612" s="588" t="n"/>
      <c r="CV612" s="588" t="n"/>
      <c r="CW612" s="588" t="n"/>
      <c r="CX612" s="588" t="n"/>
      <c r="CY612" s="588" t="n"/>
      <c r="CZ612" s="588" t="n"/>
      <c r="DA612" s="588" t="n"/>
      <c r="DB612" s="588" t="n"/>
      <c r="DC612" s="588" t="n"/>
      <c r="DD612" s="588" t="n"/>
      <c r="DE612" s="588" t="n"/>
      <c r="DF612" s="588" t="n"/>
      <c r="DG612" s="588" t="n"/>
      <c r="DH612" s="588" t="n"/>
      <c r="DI612" s="588" t="n"/>
      <c r="DJ612" s="588" t="n"/>
      <c r="DK612" s="588" t="n"/>
      <c r="DL612" s="588" t="n"/>
      <c r="DM612" s="588" t="n"/>
      <c r="DN612" s="588" t="n"/>
      <c r="DO612" s="588" t="n"/>
      <c r="DP612" s="588" t="n"/>
      <c r="DQ612" s="588" t="n"/>
      <c r="DR612" s="588" t="n"/>
      <c r="DS612" s="588" t="n"/>
      <c r="DT612" s="588" t="n"/>
      <c r="DU612" s="588" t="n"/>
    </row>
    <row r="613">
      <c r="A613" s="737" t="n"/>
      <c r="B613" s="737" t="n"/>
      <c r="C613" s="737" t="n"/>
      <c r="D613" s="737" t="n"/>
      <c r="E613" s="737" t="n"/>
      <c r="F613" s="737" t="n"/>
      <c r="G613" s="737" t="n"/>
      <c r="H613" s="737" t="n"/>
      <c r="I613" s="737" t="n"/>
      <c r="J613" s="737" t="n"/>
      <c r="K613" s="737" t="n"/>
      <c r="L613" s="737" t="n"/>
      <c r="M613" s="737" t="n"/>
      <c r="N613" s="737" t="n"/>
      <c r="O613" s="737" t="n"/>
      <c r="P613" s="737" t="n"/>
      <c r="Q613" s="737" t="n"/>
      <c r="R613" s="737" t="n"/>
      <c r="S613" s="737" t="n"/>
      <c r="T613" s="737" t="n"/>
      <c r="U613" s="737" t="n"/>
      <c r="V613" s="737" t="n"/>
      <c r="W613" s="737" t="n"/>
      <c r="X613" s="737" t="n"/>
      <c r="Y613" s="737" t="n"/>
      <c r="Z613" s="737" t="n"/>
      <c r="AA613" s="737" t="n"/>
      <c r="AB613" s="737" t="n"/>
      <c r="AC613" s="737" t="n"/>
      <c r="AD613" s="737" t="n"/>
      <c r="AE613" s="737" t="n"/>
      <c r="AF613" s="737" t="n"/>
      <c r="AG613" s="737" t="n"/>
      <c r="AH613" s="737" t="n"/>
      <c r="AI613" s="737" t="n"/>
      <c r="AJ613" s="737" t="n"/>
      <c r="AK613" s="588" t="n"/>
      <c r="AL613" s="588" t="n"/>
      <c r="AM613" s="588" t="n"/>
      <c r="AN613" s="588" t="n"/>
      <c r="AO613" s="588" t="n"/>
      <c r="AP613" s="588" t="n"/>
      <c r="AQ613" s="588" t="n"/>
      <c r="AR613" s="588" t="n"/>
      <c r="AS613" s="588" t="n"/>
      <c r="AT613" s="588" t="n"/>
      <c r="AU613" s="588" t="n"/>
      <c r="AV613" s="588" t="n"/>
      <c r="AW613" s="588" t="n"/>
      <c r="AX613" s="588" t="n"/>
      <c r="AY613" s="588" t="n"/>
      <c r="AZ613" s="588" t="n"/>
      <c r="BA613" s="588" t="n"/>
      <c r="BB613" s="588" t="n"/>
      <c r="BC613" s="588" t="n"/>
      <c r="BD613" s="588" t="n"/>
      <c r="BE613" s="588" t="n"/>
      <c r="BF613" s="588" t="n"/>
      <c r="BG613" s="588" t="n"/>
      <c r="BH613" s="588" t="n"/>
      <c r="BI613" s="588" t="n"/>
      <c r="BJ613" s="588" t="n"/>
      <c r="BK613" s="588" t="n"/>
      <c r="BL613" s="588" t="n"/>
      <c r="BM613" s="588" t="n"/>
      <c r="BN613" s="588" t="n"/>
      <c r="BO613" s="588" t="n"/>
      <c r="BP613" s="588" t="n"/>
      <c r="BQ613" s="588" t="n"/>
      <c r="BR613" s="588" t="n"/>
      <c r="BS613" s="588" t="n"/>
      <c r="BT613" s="588" t="n"/>
      <c r="BU613" s="588" t="n"/>
      <c r="BV613" s="588" t="n"/>
      <c r="BW613" s="588" t="n"/>
      <c r="BX613" s="588" t="n"/>
      <c r="BY613" s="588" t="n"/>
      <c r="BZ613" s="588" t="n"/>
      <c r="CA613" s="588" t="n"/>
      <c r="CB613" s="588" t="n"/>
      <c r="CC613" s="588" t="n"/>
      <c r="CD613" s="588" t="n"/>
      <c r="CE613" s="588" t="n"/>
      <c r="CF613" s="588" t="n"/>
      <c r="CG613" s="588" t="n"/>
      <c r="CH613" s="588" t="n"/>
      <c r="CI613" s="588" t="n"/>
      <c r="CJ613" s="588" t="n"/>
      <c r="CK613" s="588" t="n"/>
      <c r="CL613" s="588" t="n"/>
      <c r="CM613" s="588" t="n"/>
      <c r="CN613" s="588" t="n"/>
      <c r="CO613" s="588" t="n"/>
      <c r="CP613" s="588" t="n"/>
      <c r="CQ613" s="588" t="n"/>
      <c r="CR613" s="588" t="n"/>
      <c r="CS613" s="588" t="n"/>
      <c r="CT613" s="588" t="n"/>
      <c r="CU613" s="588" t="n"/>
      <c r="CV613" s="588" t="n"/>
      <c r="CW613" s="588" t="n"/>
      <c r="CX613" s="588" t="n"/>
      <c r="CY613" s="588" t="n"/>
      <c r="CZ613" s="588" t="n"/>
      <c r="DA613" s="588" t="n"/>
      <c r="DB613" s="588" t="n"/>
      <c r="DC613" s="588" t="n"/>
      <c r="DD613" s="588" t="n"/>
      <c r="DE613" s="588" t="n"/>
      <c r="DF613" s="588" t="n"/>
      <c r="DG613" s="588" t="n"/>
      <c r="DH613" s="588" t="n"/>
      <c r="DI613" s="588" t="n"/>
      <c r="DJ613" s="588" t="n"/>
      <c r="DK613" s="588" t="n"/>
      <c r="DL613" s="588" t="n"/>
      <c r="DM613" s="588" t="n"/>
      <c r="DN613" s="588" t="n"/>
      <c r="DO613" s="588" t="n"/>
      <c r="DP613" s="588" t="n"/>
      <c r="DQ613" s="588" t="n"/>
      <c r="DR613" s="588" t="n"/>
      <c r="DS613" s="588" t="n"/>
      <c r="DT613" s="588" t="n"/>
      <c r="DU613" s="588" t="n"/>
    </row>
    <row r="614">
      <c r="A614" s="737" t="n"/>
      <c r="B614" s="737" t="n"/>
      <c r="C614" s="737" t="n"/>
      <c r="D614" s="737" t="n"/>
      <c r="E614" s="737" t="n"/>
      <c r="F614" s="737" t="n"/>
      <c r="G614" s="737" t="n"/>
      <c r="H614" s="737" t="n"/>
      <c r="I614" s="737" t="n"/>
      <c r="J614" s="737" t="n"/>
      <c r="K614" s="737" t="n"/>
      <c r="L614" s="737" t="n"/>
      <c r="M614" s="737" t="n"/>
      <c r="N614" s="737" t="n"/>
      <c r="O614" s="737" t="n"/>
      <c r="P614" s="737" t="n"/>
      <c r="Q614" s="737" t="n"/>
      <c r="R614" s="737" t="n"/>
      <c r="S614" s="737" t="n"/>
      <c r="T614" s="737" t="n"/>
      <c r="U614" s="737" t="n"/>
      <c r="V614" s="737" t="n"/>
      <c r="W614" s="737" t="n"/>
      <c r="X614" s="737" t="n"/>
      <c r="Y614" s="737" t="n"/>
      <c r="Z614" s="737" t="n"/>
      <c r="AA614" s="737" t="n"/>
      <c r="AB614" s="737" t="n"/>
      <c r="AC614" s="737" t="n"/>
      <c r="AD614" s="737" t="n"/>
      <c r="AE614" s="737" t="n"/>
      <c r="AF614" s="737" t="n"/>
      <c r="AG614" s="737" t="n"/>
      <c r="AH614" s="737" t="n"/>
      <c r="AI614" s="737" t="n"/>
      <c r="AJ614" s="737" t="n"/>
      <c r="AK614" s="588" t="n"/>
      <c r="AL614" s="588" t="n"/>
      <c r="AM614" s="588" t="n"/>
      <c r="AN614" s="588" t="n"/>
      <c r="AO614" s="588" t="n"/>
      <c r="AP614" s="588" t="n"/>
      <c r="AQ614" s="588" t="n"/>
      <c r="AR614" s="588" t="n"/>
      <c r="AS614" s="588" t="n"/>
      <c r="AT614" s="588" t="n"/>
      <c r="AU614" s="588" t="n"/>
      <c r="AV614" s="588" t="n"/>
      <c r="AW614" s="588" t="n"/>
      <c r="AX614" s="588" t="n"/>
      <c r="AY614" s="588" t="n"/>
      <c r="AZ614" s="588" t="n"/>
      <c r="BA614" s="588" t="n"/>
      <c r="BB614" s="588" t="n"/>
      <c r="BC614" s="588" t="n"/>
      <c r="BD614" s="588" t="n"/>
      <c r="BE614" s="588" t="n"/>
      <c r="BF614" s="588" t="n"/>
      <c r="BG614" s="588" t="n"/>
      <c r="BH614" s="588" t="n"/>
      <c r="BI614" s="588" t="n"/>
      <c r="BJ614" s="588" t="n"/>
      <c r="BK614" s="588" t="n"/>
      <c r="BL614" s="588" t="n"/>
      <c r="BM614" s="588" t="n"/>
      <c r="BN614" s="588" t="n"/>
      <c r="BO614" s="588" t="n"/>
      <c r="BP614" s="588" t="n"/>
      <c r="BQ614" s="588" t="n"/>
      <c r="BR614" s="588" t="n"/>
      <c r="BS614" s="588" t="n"/>
      <c r="BT614" s="588" t="n"/>
      <c r="BU614" s="588" t="n"/>
      <c r="BV614" s="588" t="n"/>
      <c r="BW614" s="588" t="n"/>
      <c r="BX614" s="588" t="n"/>
      <c r="BY614" s="588" t="n"/>
      <c r="BZ614" s="588" t="n"/>
      <c r="CA614" s="588" t="n"/>
      <c r="CB614" s="588" t="n"/>
      <c r="CC614" s="588" t="n"/>
      <c r="CD614" s="588" t="n"/>
      <c r="CE614" s="588" t="n"/>
      <c r="CF614" s="588" t="n"/>
      <c r="CG614" s="588" t="n"/>
      <c r="CH614" s="588" t="n"/>
      <c r="CI614" s="588" t="n"/>
      <c r="CJ614" s="588" t="n"/>
      <c r="CK614" s="588" t="n"/>
      <c r="CL614" s="588" t="n"/>
      <c r="CM614" s="588" t="n"/>
      <c r="CN614" s="588" t="n"/>
      <c r="CO614" s="588" t="n"/>
      <c r="CP614" s="588" t="n"/>
      <c r="CQ614" s="588" t="n"/>
      <c r="CR614" s="588" t="n"/>
      <c r="CS614" s="588" t="n"/>
      <c r="CT614" s="588" t="n"/>
      <c r="CU614" s="588" t="n"/>
      <c r="CV614" s="588" t="n"/>
      <c r="CW614" s="588" t="n"/>
      <c r="CX614" s="588" t="n"/>
      <c r="CY614" s="588" t="n"/>
      <c r="CZ614" s="588" t="n"/>
      <c r="DA614" s="588" t="n"/>
      <c r="DB614" s="588" t="n"/>
      <c r="DC614" s="588" t="n"/>
      <c r="DD614" s="588" t="n"/>
      <c r="DE614" s="588" t="n"/>
      <c r="DF614" s="588" t="n"/>
      <c r="DG614" s="588" t="n"/>
      <c r="DH614" s="588" t="n"/>
      <c r="DI614" s="588" t="n"/>
      <c r="DJ614" s="588" t="n"/>
      <c r="DK614" s="588" t="n"/>
      <c r="DL614" s="588" t="n"/>
      <c r="DM614" s="588" t="n"/>
      <c r="DN614" s="588" t="n"/>
      <c r="DO614" s="588" t="n"/>
      <c r="DP614" s="588" t="n"/>
      <c r="DQ614" s="588" t="n"/>
      <c r="DR614" s="588" t="n"/>
      <c r="DS614" s="588" t="n"/>
      <c r="DT614" s="588" t="n"/>
      <c r="DU614" s="588" t="n"/>
    </row>
    <row r="615">
      <c r="A615" s="737" t="n"/>
      <c r="B615" s="737" t="n"/>
      <c r="C615" s="737" t="n"/>
      <c r="D615" s="737" t="n"/>
      <c r="E615" s="737" t="n"/>
      <c r="F615" s="737" t="n"/>
      <c r="G615" s="737" t="n"/>
      <c r="H615" s="737" t="n"/>
      <c r="I615" s="737" t="n"/>
      <c r="J615" s="737" t="n"/>
      <c r="K615" s="737" t="n"/>
      <c r="L615" s="737" t="n"/>
      <c r="M615" s="737" t="n"/>
      <c r="N615" s="737" t="n"/>
      <c r="O615" s="737" t="n"/>
      <c r="P615" s="737" t="n"/>
      <c r="Q615" s="737" t="n"/>
      <c r="R615" s="737" t="n"/>
      <c r="S615" s="737" t="n"/>
      <c r="T615" s="737" t="n"/>
      <c r="U615" s="737" t="n"/>
      <c r="V615" s="737" t="n"/>
      <c r="W615" s="737" t="n"/>
      <c r="X615" s="737" t="n"/>
      <c r="Y615" s="737" t="n"/>
      <c r="Z615" s="737" t="n"/>
      <c r="AA615" s="737" t="n"/>
      <c r="AB615" s="737" t="n"/>
      <c r="AC615" s="737" t="n"/>
      <c r="AD615" s="737" t="n"/>
      <c r="AE615" s="737" t="n"/>
      <c r="AF615" s="737" t="n"/>
      <c r="AG615" s="737" t="n"/>
      <c r="AH615" s="737" t="n"/>
      <c r="AI615" s="737" t="n"/>
      <c r="AJ615" s="737" t="n"/>
      <c r="AK615" s="588" t="n"/>
      <c r="AL615" s="588" t="n"/>
      <c r="AM615" s="588" t="n"/>
      <c r="AN615" s="588" t="n"/>
      <c r="AO615" s="588" t="n"/>
      <c r="AP615" s="588" t="n"/>
      <c r="AQ615" s="588" t="n"/>
      <c r="AR615" s="588" t="n"/>
      <c r="AS615" s="588" t="n"/>
      <c r="AT615" s="588" t="n"/>
      <c r="AU615" s="588" t="n"/>
      <c r="AV615" s="588" t="n"/>
      <c r="AW615" s="588" t="n"/>
      <c r="AX615" s="588" t="n"/>
      <c r="AY615" s="588" t="n"/>
      <c r="AZ615" s="588" t="n"/>
      <c r="BA615" s="588" t="n"/>
      <c r="BB615" s="588" t="n"/>
      <c r="BC615" s="588" t="n"/>
      <c r="BD615" s="588" t="n"/>
      <c r="BE615" s="588" t="n"/>
      <c r="BF615" s="588" t="n"/>
      <c r="BG615" s="588" t="n"/>
      <c r="BH615" s="588" t="n"/>
      <c r="BI615" s="588" t="n"/>
      <c r="BJ615" s="588" t="n"/>
      <c r="BK615" s="588" t="n"/>
      <c r="BL615" s="588" t="n"/>
      <c r="BM615" s="588" t="n"/>
      <c r="BN615" s="588" t="n"/>
      <c r="BO615" s="588" t="n"/>
      <c r="BP615" s="588" t="n"/>
      <c r="BQ615" s="588" t="n"/>
      <c r="BR615" s="588" t="n"/>
      <c r="BS615" s="588" t="n"/>
      <c r="BT615" s="588" t="n"/>
      <c r="BU615" s="588" t="n"/>
      <c r="BV615" s="588" t="n"/>
      <c r="BW615" s="588" t="n"/>
      <c r="BX615" s="588" t="n"/>
      <c r="BY615" s="588" t="n"/>
      <c r="BZ615" s="588" t="n"/>
      <c r="CA615" s="588" t="n"/>
      <c r="CB615" s="588" t="n"/>
      <c r="CC615" s="588" t="n"/>
      <c r="CD615" s="588" t="n"/>
      <c r="CE615" s="588" t="n"/>
      <c r="CF615" s="588" t="n"/>
      <c r="CG615" s="588" t="n"/>
      <c r="CH615" s="588" t="n"/>
      <c r="CI615" s="588" t="n"/>
      <c r="CJ615" s="588" t="n"/>
      <c r="CK615" s="588" t="n"/>
      <c r="CL615" s="588" t="n"/>
      <c r="CM615" s="588" t="n"/>
      <c r="CN615" s="588" t="n"/>
      <c r="CO615" s="588" t="n"/>
      <c r="CP615" s="588" t="n"/>
      <c r="CQ615" s="588" t="n"/>
      <c r="CR615" s="588" t="n"/>
      <c r="CS615" s="588" t="n"/>
      <c r="CT615" s="588" t="n"/>
      <c r="CU615" s="588" t="n"/>
      <c r="CV615" s="588" t="n"/>
      <c r="CW615" s="588" t="n"/>
      <c r="CX615" s="588" t="n"/>
      <c r="CY615" s="588" t="n"/>
      <c r="CZ615" s="588" t="n"/>
      <c r="DA615" s="588" t="n"/>
      <c r="DB615" s="588" t="n"/>
      <c r="DC615" s="588" t="n"/>
      <c r="DD615" s="588" t="n"/>
      <c r="DE615" s="588" t="n"/>
      <c r="DF615" s="588" t="n"/>
      <c r="DG615" s="588" t="n"/>
      <c r="DH615" s="588" t="n"/>
      <c r="DI615" s="588" t="n"/>
      <c r="DJ615" s="588" t="n"/>
      <c r="DK615" s="588" t="n"/>
      <c r="DL615" s="588" t="n"/>
      <c r="DM615" s="588" t="n"/>
      <c r="DN615" s="588" t="n"/>
      <c r="DO615" s="588" t="n"/>
      <c r="DP615" s="588" t="n"/>
      <c r="DQ615" s="588" t="n"/>
      <c r="DR615" s="588" t="n"/>
      <c r="DS615" s="588" t="n"/>
      <c r="DT615" s="588" t="n"/>
      <c r="DU615" s="588" t="n"/>
    </row>
    <row r="616">
      <c r="A616" s="737" t="n"/>
      <c r="B616" s="737" t="n"/>
      <c r="C616" s="737" t="n"/>
      <c r="D616" s="737" t="n"/>
      <c r="E616" s="737" t="n"/>
      <c r="F616" s="737" t="n"/>
      <c r="G616" s="737" t="n"/>
      <c r="H616" s="737" t="n"/>
      <c r="I616" s="737" t="n"/>
      <c r="J616" s="737" t="n"/>
      <c r="K616" s="737" t="n"/>
      <c r="L616" s="737" t="n"/>
      <c r="M616" s="737" t="n"/>
      <c r="N616" s="737" t="n"/>
      <c r="O616" s="737" t="n"/>
      <c r="P616" s="737" t="n"/>
      <c r="Q616" s="737" t="n"/>
      <c r="R616" s="737" t="n"/>
      <c r="S616" s="737" t="n"/>
      <c r="T616" s="737" t="n"/>
      <c r="U616" s="737" t="n"/>
      <c r="V616" s="737" t="n"/>
      <c r="W616" s="737" t="n"/>
      <c r="X616" s="737" t="n"/>
      <c r="Y616" s="737" t="n"/>
      <c r="Z616" s="737" t="n"/>
      <c r="AA616" s="737" t="n"/>
      <c r="AB616" s="737" t="n"/>
      <c r="AC616" s="737" t="n"/>
      <c r="AD616" s="737" t="n"/>
      <c r="AE616" s="737" t="n"/>
      <c r="AF616" s="737" t="n"/>
      <c r="AG616" s="737" t="n"/>
      <c r="AH616" s="737" t="n"/>
      <c r="AI616" s="737" t="n"/>
      <c r="AJ616" s="737" t="n"/>
      <c r="AK616" s="588" t="n"/>
      <c r="AL616" s="588" t="n"/>
      <c r="AM616" s="588" t="n"/>
      <c r="AN616" s="588" t="n"/>
      <c r="AO616" s="588" t="n"/>
      <c r="AP616" s="588" t="n"/>
      <c r="AQ616" s="588" t="n"/>
      <c r="AR616" s="588" t="n"/>
      <c r="AS616" s="588" t="n"/>
      <c r="AT616" s="588" t="n"/>
      <c r="AU616" s="588" t="n"/>
      <c r="AV616" s="588" t="n"/>
      <c r="AW616" s="588" t="n"/>
      <c r="AX616" s="588" t="n"/>
      <c r="AY616" s="588" t="n"/>
      <c r="AZ616" s="588" t="n"/>
      <c r="BA616" s="588" t="n"/>
      <c r="BB616" s="588" t="n"/>
      <c r="BC616" s="588" t="n"/>
      <c r="BD616" s="588" t="n"/>
      <c r="BE616" s="588" t="n"/>
      <c r="BF616" s="588" t="n"/>
      <c r="BG616" s="588" t="n"/>
      <c r="BH616" s="588" t="n"/>
      <c r="BI616" s="588" t="n"/>
      <c r="BJ616" s="588" t="n"/>
      <c r="BK616" s="588" t="n"/>
      <c r="BL616" s="588" t="n"/>
      <c r="BM616" s="588" t="n"/>
      <c r="BN616" s="588" t="n"/>
      <c r="BO616" s="588" t="n"/>
      <c r="BP616" s="588" t="n"/>
      <c r="BQ616" s="588" t="n"/>
      <c r="BR616" s="588" t="n"/>
      <c r="BS616" s="588" t="n"/>
      <c r="BT616" s="588" t="n"/>
      <c r="BU616" s="588" t="n"/>
      <c r="BV616" s="588" t="n"/>
      <c r="BW616" s="588" t="n"/>
      <c r="BX616" s="588" t="n"/>
      <c r="BY616" s="588" t="n"/>
      <c r="BZ616" s="588" t="n"/>
      <c r="CA616" s="588" t="n"/>
      <c r="CB616" s="588" t="n"/>
      <c r="CC616" s="588" t="n"/>
      <c r="CD616" s="588" t="n"/>
      <c r="CE616" s="588" t="n"/>
      <c r="CF616" s="588" t="n"/>
      <c r="CG616" s="588" t="n"/>
      <c r="CH616" s="588" t="n"/>
      <c r="CI616" s="588" t="n"/>
      <c r="CJ616" s="588" t="n"/>
      <c r="CK616" s="588" t="n"/>
      <c r="CL616" s="588" t="n"/>
      <c r="CM616" s="588" t="n"/>
      <c r="CN616" s="588" t="n"/>
      <c r="CO616" s="588" t="n"/>
      <c r="CP616" s="588" t="n"/>
      <c r="CQ616" s="588" t="n"/>
      <c r="CR616" s="588" t="n"/>
      <c r="CS616" s="588" t="n"/>
      <c r="CT616" s="588" t="n"/>
      <c r="CU616" s="588" t="n"/>
      <c r="CV616" s="588" t="n"/>
      <c r="CW616" s="588" t="n"/>
      <c r="CX616" s="588" t="n"/>
      <c r="CY616" s="588" t="n"/>
      <c r="CZ616" s="588" t="n"/>
      <c r="DA616" s="588" t="n"/>
      <c r="DB616" s="588" t="n"/>
      <c r="DC616" s="588" t="n"/>
      <c r="DD616" s="588" t="n"/>
      <c r="DE616" s="588" t="n"/>
      <c r="DF616" s="588" t="n"/>
      <c r="DG616" s="588" t="n"/>
      <c r="DH616" s="588" t="n"/>
      <c r="DI616" s="588" t="n"/>
      <c r="DJ616" s="588" t="n"/>
      <c r="DK616" s="588" t="n"/>
      <c r="DL616" s="588" t="n"/>
      <c r="DM616" s="588" t="n"/>
      <c r="DN616" s="588" t="n"/>
      <c r="DO616" s="588" t="n"/>
      <c r="DP616" s="588" t="n"/>
      <c r="DQ616" s="588" t="n"/>
      <c r="DR616" s="588" t="n"/>
      <c r="DS616" s="588" t="n"/>
      <c r="DT616" s="588" t="n"/>
      <c r="DU616" s="588" t="n"/>
    </row>
    <row r="617">
      <c r="A617" s="737" t="n"/>
      <c r="B617" s="737" t="n"/>
      <c r="C617" s="737" t="n"/>
      <c r="D617" s="737" t="n"/>
      <c r="E617" s="737" t="n"/>
      <c r="F617" s="737" t="n"/>
      <c r="G617" s="737" t="n"/>
      <c r="H617" s="737" t="n"/>
      <c r="I617" s="737" t="n"/>
      <c r="J617" s="737" t="n"/>
      <c r="K617" s="737" t="n"/>
      <c r="L617" s="737" t="n"/>
      <c r="M617" s="737" t="n"/>
      <c r="N617" s="737" t="n"/>
      <c r="O617" s="737" t="n"/>
      <c r="P617" s="737" t="n"/>
      <c r="Q617" s="737" t="n"/>
      <c r="R617" s="737" t="n"/>
      <c r="S617" s="737" t="n"/>
      <c r="T617" s="737" t="n"/>
      <c r="U617" s="737" t="n"/>
      <c r="V617" s="737" t="n"/>
      <c r="W617" s="737" t="n"/>
      <c r="X617" s="737" t="n"/>
      <c r="Y617" s="737" t="n"/>
      <c r="Z617" s="737" t="n"/>
      <c r="AA617" s="737" t="n"/>
      <c r="AB617" s="737" t="n"/>
      <c r="AC617" s="737" t="n"/>
      <c r="AD617" s="737" t="n"/>
      <c r="AE617" s="737" t="n"/>
      <c r="AF617" s="737" t="n"/>
      <c r="AG617" s="737" t="n"/>
      <c r="AH617" s="737" t="n"/>
      <c r="AI617" s="737" t="n"/>
      <c r="AJ617" s="737" t="n"/>
      <c r="AK617" s="588" t="n"/>
      <c r="AL617" s="588" t="n"/>
      <c r="AM617" s="588" t="n"/>
      <c r="AN617" s="588" t="n"/>
      <c r="AO617" s="588" t="n"/>
      <c r="AP617" s="588" t="n"/>
      <c r="AQ617" s="588" t="n"/>
      <c r="AR617" s="588" t="n"/>
      <c r="AS617" s="588" t="n"/>
      <c r="AT617" s="588" t="n"/>
      <c r="AU617" s="588" t="n"/>
      <c r="AV617" s="588" t="n"/>
      <c r="AW617" s="588" t="n"/>
      <c r="AX617" s="588" t="n"/>
      <c r="AY617" s="588" t="n"/>
      <c r="AZ617" s="588" t="n"/>
      <c r="BA617" s="588" t="n"/>
      <c r="BB617" s="588" t="n"/>
      <c r="BC617" s="588" t="n"/>
      <c r="BD617" s="588" t="n"/>
      <c r="BE617" s="588" t="n"/>
      <c r="BF617" s="588" t="n"/>
      <c r="BG617" s="588" t="n"/>
      <c r="BH617" s="588" t="n"/>
      <c r="BI617" s="588" t="n"/>
      <c r="BJ617" s="588" t="n"/>
      <c r="BK617" s="588" t="n"/>
      <c r="BL617" s="588" t="n"/>
      <c r="BM617" s="588" t="n"/>
      <c r="BN617" s="588" t="n"/>
      <c r="BO617" s="588" t="n"/>
      <c r="BP617" s="588" t="n"/>
      <c r="BQ617" s="588" t="n"/>
      <c r="BR617" s="588" t="n"/>
      <c r="BS617" s="588" t="n"/>
      <c r="BT617" s="588" t="n"/>
      <c r="BU617" s="588" t="n"/>
      <c r="BV617" s="588" t="n"/>
      <c r="BW617" s="588" t="n"/>
      <c r="BX617" s="588" t="n"/>
      <c r="BY617" s="588" t="n"/>
      <c r="BZ617" s="588" t="n"/>
      <c r="CA617" s="588" t="n"/>
      <c r="CB617" s="588" t="n"/>
      <c r="CC617" s="588" t="n"/>
      <c r="CD617" s="588" t="n"/>
      <c r="CE617" s="588" t="n"/>
      <c r="CF617" s="588" t="n"/>
      <c r="CG617" s="588" t="n"/>
      <c r="CH617" s="588" t="n"/>
      <c r="CI617" s="588" t="n"/>
      <c r="CJ617" s="588" t="n"/>
      <c r="CK617" s="588" t="n"/>
      <c r="CL617" s="588" t="n"/>
      <c r="CM617" s="588" t="n"/>
      <c r="CN617" s="588" t="n"/>
      <c r="CO617" s="588" t="n"/>
      <c r="CP617" s="588" t="n"/>
      <c r="CQ617" s="588" t="n"/>
      <c r="CR617" s="588" t="n"/>
      <c r="CS617" s="588" t="n"/>
      <c r="CT617" s="588" t="n"/>
      <c r="CU617" s="588" t="n"/>
      <c r="CV617" s="588" t="n"/>
      <c r="CW617" s="588" t="n"/>
      <c r="CX617" s="588" t="n"/>
      <c r="CY617" s="588" t="n"/>
      <c r="CZ617" s="588" t="n"/>
      <c r="DA617" s="588" t="n"/>
      <c r="DB617" s="588" t="n"/>
      <c r="DC617" s="588" t="n"/>
      <c r="DD617" s="588" t="n"/>
      <c r="DE617" s="588" t="n"/>
      <c r="DF617" s="588" t="n"/>
      <c r="DG617" s="588" t="n"/>
      <c r="DH617" s="588" t="n"/>
      <c r="DI617" s="588" t="n"/>
      <c r="DJ617" s="588" t="n"/>
      <c r="DK617" s="588" t="n"/>
      <c r="DL617" s="588" t="n"/>
      <c r="DM617" s="588" t="n"/>
      <c r="DN617" s="588" t="n"/>
      <c r="DO617" s="588" t="n"/>
      <c r="DP617" s="588" t="n"/>
      <c r="DQ617" s="588" t="n"/>
      <c r="DR617" s="588" t="n"/>
      <c r="DS617" s="588" t="n"/>
      <c r="DT617" s="588" t="n"/>
      <c r="DU617" s="588" t="n"/>
    </row>
    <row r="618">
      <c r="A618" s="737" t="n"/>
      <c r="B618" s="737" t="n"/>
      <c r="C618" s="737" t="n"/>
      <c r="D618" s="737" t="n"/>
      <c r="E618" s="737" t="n"/>
      <c r="F618" s="737" t="n"/>
      <c r="G618" s="737" t="n"/>
      <c r="H618" s="737" t="n"/>
      <c r="I618" s="737" t="n"/>
      <c r="J618" s="737" t="n"/>
      <c r="K618" s="737" t="n"/>
      <c r="L618" s="737" t="n"/>
      <c r="M618" s="737" t="n"/>
      <c r="N618" s="737" t="n"/>
      <c r="O618" s="737" t="n"/>
      <c r="P618" s="737" t="n"/>
      <c r="Q618" s="737" t="n"/>
      <c r="R618" s="737" t="n"/>
      <c r="S618" s="737" t="n"/>
      <c r="T618" s="737" t="n"/>
      <c r="U618" s="737" t="n"/>
      <c r="V618" s="737" t="n"/>
      <c r="W618" s="737" t="n"/>
      <c r="X618" s="737" t="n"/>
      <c r="Y618" s="737" t="n"/>
      <c r="Z618" s="737" t="n"/>
      <c r="AA618" s="737" t="n"/>
      <c r="AB618" s="737" t="n"/>
      <c r="AC618" s="737" t="n"/>
      <c r="AD618" s="737" t="n"/>
      <c r="AE618" s="737" t="n"/>
      <c r="AF618" s="737" t="n"/>
      <c r="AG618" s="737" t="n"/>
      <c r="AH618" s="737" t="n"/>
      <c r="AI618" s="737" t="n"/>
      <c r="AJ618" s="737" t="n"/>
      <c r="AK618" s="588" t="n"/>
      <c r="AL618" s="588" t="n"/>
      <c r="AM618" s="588" t="n"/>
      <c r="AN618" s="588" t="n"/>
      <c r="AO618" s="588" t="n"/>
      <c r="AP618" s="588" t="n"/>
      <c r="AQ618" s="588" t="n"/>
      <c r="AR618" s="588" t="n"/>
      <c r="AS618" s="588" t="n"/>
      <c r="AT618" s="588" t="n"/>
      <c r="AU618" s="588" t="n"/>
      <c r="AV618" s="588" t="n"/>
      <c r="AW618" s="588" t="n"/>
      <c r="AX618" s="588" t="n"/>
      <c r="AY618" s="588" t="n"/>
      <c r="AZ618" s="588" t="n"/>
      <c r="BA618" s="588" t="n"/>
      <c r="BB618" s="588" t="n"/>
      <c r="BC618" s="588" t="n"/>
      <c r="BD618" s="588" t="n"/>
      <c r="BE618" s="588" t="n"/>
      <c r="BF618" s="588" t="n"/>
      <c r="BG618" s="588" t="n"/>
      <c r="BH618" s="588" t="n"/>
      <c r="BI618" s="588" t="n"/>
      <c r="BJ618" s="588" t="n"/>
      <c r="BK618" s="588" t="n"/>
      <c r="BL618" s="588" t="n"/>
      <c r="BM618" s="588" t="n"/>
      <c r="BN618" s="588" t="n"/>
      <c r="BO618" s="588" t="n"/>
      <c r="BP618" s="588" t="n"/>
      <c r="BQ618" s="588" t="n"/>
      <c r="BR618" s="588" t="n"/>
      <c r="BS618" s="588" t="n"/>
      <c r="BT618" s="588" t="n"/>
      <c r="BU618" s="588" t="n"/>
      <c r="BV618" s="588" t="n"/>
      <c r="BW618" s="588" t="n"/>
      <c r="BX618" s="588" t="n"/>
      <c r="BY618" s="588" t="n"/>
      <c r="BZ618" s="588" t="n"/>
      <c r="CA618" s="588" t="n"/>
      <c r="CB618" s="588" t="n"/>
      <c r="CC618" s="588" t="n"/>
      <c r="CD618" s="588" t="n"/>
      <c r="CE618" s="588" t="n"/>
      <c r="CF618" s="588" t="n"/>
      <c r="CG618" s="588" t="n"/>
      <c r="CH618" s="588" t="n"/>
      <c r="CI618" s="588" t="n"/>
      <c r="CJ618" s="588" t="n"/>
      <c r="CK618" s="588" t="n"/>
      <c r="CL618" s="588" t="n"/>
      <c r="CM618" s="588" t="n"/>
      <c r="CN618" s="588" t="n"/>
      <c r="CO618" s="588" t="n"/>
      <c r="CP618" s="588" t="n"/>
      <c r="CQ618" s="588" t="n"/>
      <c r="CR618" s="588" t="n"/>
      <c r="CS618" s="588" t="n"/>
      <c r="CT618" s="588" t="n"/>
      <c r="CU618" s="588" t="n"/>
      <c r="CV618" s="588" t="n"/>
      <c r="CW618" s="588" t="n"/>
      <c r="CX618" s="588" t="n"/>
      <c r="CY618" s="588" t="n"/>
      <c r="CZ618" s="588" t="n"/>
      <c r="DA618" s="588" t="n"/>
      <c r="DB618" s="588" t="n"/>
      <c r="DC618" s="588" t="n"/>
      <c r="DD618" s="588" t="n"/>
      <c r="DE618" s="588" t="n"/>
      <c r="DF618" s="588" t="n"/>
      <c r="DG618" s="588" t="n"/>
      <c r="DH618" s="588" t="n"/>
      <c r="DI618" s="588" t="n"/>
      <c r="DJ618" s="588" t="n"/>
      <c r="DK618" s="588" t="n"/>
      <c r="DL618" s="588" t="n"/>
      <c r="DM618" s="588" t="n"/>
      <c r="DN618" s="588" t="n"/>
      <c r="DO618" s="588" t="n"/>
      <c r="DP618" s="588" t="n"/>
      <c r="DQ618" s="588" t="n"/>
      <c r="DR618" s="588" t="n"/>
      <c r="DS618" s="588" t="n"/>
      <c r="DT618" s="588" t="n"/>
      <c r="DU618" s="588" t="n"/>
    </row>
    <row r="619">
      <c r="A619" s="737" t="n"/>
      <c r="B619" s="737" t="n"/>
      <c r="C619" s="737" t="n"/>
      <c r="D619" s="737" t="n"/>
      <c r="E619" s="737" t="n"/>
      <c r="F619" s="737" t="n"/>
      <c r="G619" s="737" t="n"/>
      <c r="H619" s="737" t="n"/>
      <c r="I619" s="737" t="n"/>
      <c r="J619" s="737" t="n"/>
      <c r="K619" s="737" t="n"/>
      <c r="L619" s="737" t="n"/>
      <c r="M619" s="737" t="n"/>
      <c r="N619" s="737" t="n"/>
      <c r="O619" s="737" t="n"/>
      <c r="P619" s="737" t="n"/>
      <c r="Q619" s="737" t="n"/>
      <c r="R619" s="737" t="n"/>
      <c r="S619" s="737" t="n"/>
      <c r="T619" s="737" t="n"/>
      <c r="U619" s="737" t="n"/>
      <c r="V619" s="737" t="n"/>
      <c r="W619" s="737" t="n"/>
      <c r="X619" s="737" t="n"/>
      <c r="Y619" s="737" t="n"/>
      <c r="Z619" s="737" t="n"/>
      <c r="AA619" s="737" t="n"/>
      <c r="AB619" s="737" t="n"/>
      <c r="AC619" s="737" t="n"/>
      <c r="AD619" s="737" t="n"/>
      <c r="AE619" s="737" t="n"/>
      <c r="AF619" s="737" t="n"/>
      <c r="AG619" s="737" t="n"/>
      <c r="AH619" s="737" t="n"/>
      <c r="AI619" s="737" t="n"/>
      <c r="AJ619" s="737" t="n"/>
      <c r="AK619" s="588" t="n"/>
      <c r="AL619" s="588" t="n"/>
      <c r="AM619" s="588" t="n"/>
      <c r="AN619" s="588" t="n"/>
      <c r="AO619" s="588" t="n"/>
      <c r="AP619" s="588" t="n"/>
      <c r="AQ619" s="588" t="n"/>
      <c r="AR619" s="588" t="n"/>
      <c r="AS619" s="588" t="n"/>
      <c r="AT619" s="588" t="n"/>
      <c r="AU619" s="588" t="n"/>
      <c r="AV619" s="588" t="n"/>
      <c r="AW619" s="588" t="n"/>
      <c r="AX619" s="588" t="n"/>
      <c r="AY619" s="588" t="n"/>
      <c r="AZ619" s="588" t="n"/>
      <c r="BA619" s="588" t="n"/>
      <c r="BB619" s="588" t="n"/>
      <c r="BC619" s="588" t="n"/>
      <c r="BD619" s="588" t="n"/>
      <c r="BE619" s="588" t="n"/>
      <c r="BF619" s="588" t="n"/>
      <c r="BG619" s="588" t="n"/>
      <c r="BH619" s="588" t="n"/>
      <c r="BI619" s="588" t="n"/>
      <c r="BJ619" s="588" t="n"/>
      <c r="BK619" s="588" t="n"/>
      <c r="BL619" s="588" t="n"/>
      <c r="BM619" s="588" t="n"/>
      <c r="BN619" s="588" t="n"/>
      <c r="BO619" s="588" t="n"/>
      <c r="BP619" s="588" t="n"/>
      <c r="BQ619" s="588" t="n"/>
      <c r="BR619" s="588" t="n"/>
      <c r="BS619" s="588" t="n"/>
      <c r="BT619" s="588" t="n"/>
      <c r="BU619" s="588" t="n"/>
      <c r="BV619" s="588" t="n"/>
      <c r="BW619" s="588" t="n"/>
      <c r="BX619" s="588" t="n"/>
      <c r="BY619" s="588" t="n"/>
      <c r="BZ619" s="588" t="n"/>
      <c r="CA619" s="588" t="n"/>
      <c r="CB619" s="588" t="n"/>
      <c r="CC619" s="588" t="n"/>
      <c r="CD619" s="588" t="n"/>
      <c r="CE619" s="588" t="n"/>
      <c r="CF619" s="588" t="n"/>
      <c r="CG619" s="588" t="n"/>
      <c r="CH619" s="588" t="n"/>
      <c r="CI619" s="588" t="n"/>
      <c r="CJ619" s="588" t="n"/>
      <c r="CK619" s="588" t="n"/>
      <c r="CL619" s="588" t="n"/>
      <c r="CM619" s="588" t="n"/>
      <c r="CN619" s="588" t="n"/>
      <c r="CO619" s="588" t="n"/>
      <c r="CP619" s="588" t="n"/>
      <c r="CQ619" s="588" t="n"/>
      <c r="CR619" s="588" t="n"/>
      <c r="CS619" s="588" t="n"/>
      <c r="CT619" s="588" t="n"/>
      <c r="CU619" s="588" t="n"/>
      <c r="CV619" s="588" t="n"/>
      <c r="CW619" s="588" t="n"/>
      <c r="CX619" s="588" t="n"/>
      <c r="CY619" s="588" t="n"/>
      <c r="CZ619" s="588" t="n"/>
      <c r="DA619" s="588" t="n"/>
      <c r="DB619" s="588" t="n"/>
      <c r="DC619" s="588" t="n"/>
      <c r="DD619" s="588" t="n"/>
      <c r="DE619" s="588" t="n"/>
      <c r="DF619" s="588" t="n"/>
      <c r="DG619" s="588" t="n"/>
      <c r="DH619" s="588" t="n"/>
      <c r="DI619" s="588" t="n"/>
      <c r="DJ619" s="588" t="n"/>
      <c r="DK619" s="588" t="n"/>
      <c r="DL619" s="588" t="n"/>
      <c r="DM619" s="588" t="n"/>
      <c r="DN619" s="588" t="n"/>
      <c r="DO619" s="588" t="n"/>
      <c r="DP619" s="588" t="n"/>
      <c r="DQ619" s="588" t="n"/>
      <c r="DR619" s="588" t="n"/>
      <c r="DS619" s="588" t="n"/>
      <c r="DT619" s="588" t="n"/>
      <c r="DU619" s="588" t="n"/>
    </row>
    <row r="620">
      <c r="A620" s="737" t="n"/>
      <c r="B620" s="737" t="n"/>
      <c r="C620" s="737" t="n"/>
      <c r="D620" s="737" t="n"/>
      <c r="E620" s="737" t="n"/>
      <c r="F620" s="737" t="n"/>
      <c r="G620" s="737" t="n"/>
      <c r="H620" s="737" t="n"/>
      <c r="I620" s="737" t="n"/>
      <c r="J620" s="737" t="n"/>
      <c r="K620" s="737" t="n"/>
      <c r="L620" s="737" t="n"/>
      <c r="M620" s="737" t="n"/>
      <c r="N620" s="737" t="n"/>
      <c r="O620" s="737" t="n"/>
      <c r="P620" s="737" t="n"/>
      <c r="Q620" s="737" t="n"/>
      <c r="R620" s="737" t="n"/>
      <c r="S620" s="737" t="n"/>
      <c r="T620" s="737" t="n"/>
      <c r="U620" s="737" t="n"/>
      <c r="V620" s="737" t="n"/>
      <c r="W620" s="737" t="n"/>
      <c r="X620" s="737" t="n"/>
      <c r="Y620" s="737" t="n"/>
      <c r="Z620" s="737" t="n"/>
      <c r="AA620" s="737" t="n"/>
      <c r="AB620" s="737" t="n"/>
      <c r="AC620" s="737" t="n"/>
      <c r="AD620" s="737" t="n"/>
      <c r="AE620" s="737" t="n"/>
      <c r="AF620" s="737" t="n"/>
      <c r="AG620" s="737" t="n"/>
      <c r="AH620" s="737" t="n"/>
      <c r="AI620" s="737" t="n"/>
      <c r="AJ620" s="737" t="n"/>
      <c r="AK620" s="588" t="n"/>
      <c r="AL620" s="588" t="n"/>
      <c r="AM620" s="588" t="n"/>
      <c r="AN620" s="588" t="n"/>
      <c r="AO620" s="588" t="n"/>
      <c r="AP620" s="588" t="n"/>
      <c r="AQ620" s="588" t="n"/>
      <c r="AR620" s="588" t="n"/>
      <c r="AS620" s="588" t="n"/>
      <c r="AT620" s="588" t="n"/>
      <c r="AU620" s="588" t="n"/>
      <c r="AV620" s="588" t="n"/>
      <c r="AW620" s="588" t="n"/>
      <c r="AX620" s="588" t="n"/>
      <c r="AY620" s="588" t="n"/>
      <c r="AZ620" s="588" t="n"/>
      <c r="BA620" s="588" t="n"/>
      <c r="BB620" s="588" t="n"/>
      <c r="BC620" s="588" t="n"/>
      <c r="BD620" s="588" t="n"/>
      <c r="BE620" s="588" t="n"/>
      <c r="BF620" s="588" t="n"/>
      <c r="BG620" s="588" t="n"/>
      <c r="BH620" s="588" t="n"/>
      <c r="BI620" s="588" t="n"/>
      <c r="BJ620" s="588" t="n"/>
      <c r="BK620" s="588" t="n"/>
      <c r="BL620" s="588" t="n"/>
      <c r="BM620" s="588" t="n"/>
      <c r="BN620" s="588" t="n"/>
      <c r="BO620" s="588" t="n"/>
      <c r="BP620" s="588" t="n"/>
      <c r="BQ620" s="588" t="n"/>
      <c r="BR620" s="588" t="n"/>
      <c r="BS620" s="588" t="n"/>
      <c r="BT620" s="588" t="n"/>
      <c r="BU620" s="588" t="n"/>
      <c r="BV620" s="588" t="n"/>
      <c r="BW620" s="588" t="n"/>
      <c r="BX620" s="588" t="n"/>
      <c r="BY620" s="588" t="n"/>
      <c r="BZ620" s="588" t="n"/>
      <c r="CA620" s="588" t="n"/>
      <c r="CB620" s="588" t="n"/>
      <c r="CC620" s="588" t="n"/>
      <c r="CD620" s="588" t="n"/>
      <c r="CE620" s="588" t="n"/>
      <c r="CF620" s="588" t="n"/>
      <c r="CG620" s="588" t="n"/>
      <c r="CH620" s="588" t="n"/>
      <c r="CI620" s="588" t="n"/>
      <c r="CJ620" s="588" t="n"/>
      <c r="CK620" s="588" t="n"/>
      <c r="CL620" s="588" t="n"/>
      <c r="CM620" s="588" t="n"/>
      <c r="CN620" s="588" t="n"/>
      <c r="CO620" s="588" t="n"/>
      <c r="CP620" s="588" t="n"/>
      <c r="CQ620" s="588" t="n"/>
      <c r="CR620" s="588" t="n"/>
      <c r="CS620" s="588" t="n"/>
      <c r="CT620" s="588" t="n"/>
      <c r="CU620" s="588" t="n"/>
      <c r="CV620" s="588" t="n"/>
      <c r="CW620" s="588" t="n"/>
      <c r="CX620" s="588" t="n"/>
      <c r="CY620" s="588" t="n"/>
      <c r="CZ620" s="588" t="n"/>
      <c r="DA620" s="588" t="n"/>
      <c r="DB620" s="588" t="n"/>
      <c r="DC620" s="588" t="n"/>
      <c r="DD620" s="588" t="n"/>
      <c r="DE620" s="588" t="n"/>
      <c r="DF620" s="588" t="n"/>
      <c r="DG620" s="588" t="n"/>
      <c r="DH620" s="588" t="n"/>
      <c r="DI620" s="588" t="n"/>
      <c r="DJ620" s="588" t="n"/>
      <c r="DK620" s="588" t="n"/>
      <c r="DL620" s="588" t="n"/>
      <c r="DM620" s="588" t="n"/>
      <c r="DN620" s="588" t="n"/>
      <c r="DO620" s="588" t="n"/>
      <c r="DP620" s="588" t="n"/>
      <c r="DQ620" s="588" t="n"/>
      <c r="DR620" s="588" t="n"/>
      <c r="DS620" s="588" t="n"/>
      <c r="DT620" s="588" t="n"/>
      <c r="DU620" s="588" t="n"/>
    </row>
    <row r="621">
      <c r="A621" s="737" t="n"/>
      <c r="B621" s="737" t="n"/>
      <c r="C621" s="737" t="n"/>
      <c r="D621" s="737" t="n"/>
      <c r="E621" s="737" t="n"/>
      <c r="F621" s="737" t="n"/>
      <c r="G621" s="737" t="n"/>
      <c r="H621" s="737" t="n"/>
      <c r="I621" s="737" t="n"/>
      <c r="J621" s="737" t="n"/>
      <c r="K621" s="737" t="n"/>
      <c r="L621" s="737" t="n"/>
      <c r="M621" s="737" t="n"/>
      <c r="N621" s="737" t="n"/>
      <c r="O621" s="737" t="n"/>
      <c r="P621" s="737" t="n"/>
      <c r="Q621" s="737" t="n"/>
      <c r="R621" s="737" t="n"/>
      <c r="S621" s="737" t="n"/>
      <c r="T621" s="737" t="n"/>
      <c r="U621" s="737" t="n"/>
      <c r="V621" s="737" t="n"/>
      <c r="W621" s="737" t="n"/>
      <c r="X621" s="737" t="n"/>
      <c r="Y621" s="737" t="n"/>
      <c r="Z621" s="737" t="n"/>
      <c r="AA621" s="737" t="n"/>
      <c r="AB621" s="737" t="n"/>
      <c r="AC621" s="737" t="n"/>
      <c r="AD621" s="737" t="n"/>
      <c r="AE621" s="737" t="n"/>
      <c r="AF621" s="737" t="n"/>
      <c r="AG621" s="737" t="n"/>
      <c r="AH621" s="737" t="n"/>
      <c r="AI621" s="737" t="n"/>
      <c r="AJ621" s="737" t="n"/>
      <c r="AK621" s="588" t="n"/>
      <c r="AL621" s="588" t="n"/>
      <c r="AM621" s="588" t="n"/>
      <c r="AN621" s="588" t="n"/>
      <c r="AO621" s="588" t="n"/>
      <c r="AP621" s="588" t="n"/>
      <c r="AQ621" s="588" t="n"/>
      <c r="AR621" s="588" t="n"/>
      <c r="AS621" s="588" t="n"/>
      <c r="AT621" s="588" t="n"/>
      <c r="AU621" s="588" t="n"/>
      <c r="AV621" s="588" t="n"/>
      <c r="AW621" s="588" t="n"/>
      <c r="AX621" s="588" t="n"/>
      <c r="AY621" s="588" t="n"/>
      <c r="AZ621" s="588" t="n"/>
      <c r="BA621" s="588" t="n"/>
      <c r="BB621" s="588" t="n"/>
      <c r="BC621" s="588" t="n"/>
      <c r="BD621" s="588" t="n"/>
      <c r="BE621" s="588" t="n"/>
      <c r="BF621" s="588" t="n"/>
      <c r="BG621" s="588" t="n"/>
      <c r="BH621" s="588" t="n"/>
      <c r="BI621" s="588" t="n"/>
      <c r="BJ621" s="588" t="n"/>
      <c r="BK621" s="588" t="n"/>
      <c r="BL621" s="588" t="n"/>
      <c r="BM621" s="588" t="n"/>
      <c r="BN621" s="588" t="n"/>
      <c r="BO621" s="588" t="n"/>
      <c r="BP621" s="588" t="n"/>
      <c r="BQ621" s="588" t="n"/>
      <c r="BR621" s="588" t="n"/>
      <c r="BS621" s="588" t="n"/>
      <c r="BT621" s="588" t="n"/>
      <c r="BU621" s="588" t="n"/>
      <c r="BV621" s="588" t="n"/>
      <c r="BW621" s="588" t="n"/>
      <c r="BX621" s="588" t="n"/>
      <c r="BY621" s="588" t="n"/>
      <c r="BZ621" s="588" t="n"/>
      <c r="CA621" s="588" t="n"/>
      <c r="CB621" s="588" t="n"/>
      <c r="CC621" s="588" t="n"/>
      <c r="CD621" s="588" t="n"/>
      <c r="CE621" s="588" t="n"/>
      <c r="CF621" s="588" t="n"/>
      <c r="CG621" s="588" t="n"/>
      <c r="CH621" s="588" t="n"/>
      <c r="CI621" s="588" t="n"/>
      <c r="CJ621" s="588" t="n"/>
      <c r="CK621" s="588" t="n"/>
      <c r="CL621" s="588" t="n"/>
      <c r="CM621" s="588" t="n"/>
      <c r="CN621" s="588" t="n"/>
      <c r="CO621" s="588" t="n"/>
      <c r="CP621" s="588" t="n"/>
      <c r="CQ621" s="588" t="n"/>
      <c r="CR621" s="588" t="n"/>
      <c r="CS621" s="588" t="n"/>
      <c r="CT621" s="588" t="n"/>
      <c r="CU621" s="588" t="n"/>
      <c r="CV621" s="588" t="n"/>
      <c r="CW621" s="588" t="n"/>
      <c r="CX621" s="588" t="n"/>
      <c r="CY621" s="588" t="n"/>
      <c r="CZ621" s="588" t="n"/>
      <c r="DA621" s="588" t="n"/>
      <c r="DB621" s="588" t="n"/>
      <c r="DC621" s="588" t="n"/>
      <c r="DD621" s="588" t="n"/>
      <c r="DE621" s="588" t="n"/>
      <c r="DF621" s="588" t="n"/>
      <c r="DG621" s="588" t="n"/>
      <c r="DH621" s="588" t="n"/>
      <c r="DI621" s="588" t="n"/>
      <c r="DJ621" s="588" t="n"/>
      <c r="DK621" s="588" t="n"/>
      <c r="DL621" s="588" t="n"/>
      <c r="DM621" s="588" t="n"/>
      <c r="DN621" s="588" t="n"/>
      <c r="DO621" s="588" t="n"/>
      <c r="DP621" s="588" t="n"/>
      <c r="DQ621" s="588" t="n"/>
      <c r="DR621" s="588" t="n"/>
      <c r="DS621" s="588" t="n"/>
      <c r="DT621" s="588" t="n"/>
      <c r="DU621" s="588" t="n"/>
    </row>
    <row r="622">
      <c r="A622" s="737" t="n"/>
      <c r="B622" s="737" t="n"/>
      <c r="C622" s="737" t="n"/>
      <c r="D622" s="737" t="n"/>
      <c r="E622" s="737" t="n"/>
      <c r="F622" s="737" t="n"/>
      <c r="G622" s="737" t="n"/>
      <c r="H622" s="737" t="n"/>
      <c r="I622" s="737" t="n"/>
      <c r="J622" s="737" t="n"/>
      <c r="K622" s="737" t="n"/>
      <c r="L622" s="737" t="n"/>
      <c r="M622" s="737" t="n"/>
      <c r="N622" s="737" t="n"/>
      <c r="O622" s="737" t="n"/>
      <c r="P622" s="737" t="n"/>
      <c r="Q622" s="737" t="n"/>
      <c r="R622" s="737" t="n"/>
      <c r="S622" s="737" t="n"/>
      <c r="T622" s="737" t="n"/>
      <c r="U622" s="737" t="n"/>
      <c r="V622" s="737" t="n"/>
      <c r="W622" s="737" t="n"/>
      <c r="X622" s="737" t="n"/>
      <c r="Y622" s="737" t="n"/>
      <c r="Z622" s="737" t="n"/>
      <c r="AA622" s="737" t="n"/>
      <c r="AB622" s="737" t="n"/>
      <c r="AC622" s="737" t="n"/>
      <c r="AD622" s="737" t="n"/>
      <c r="AE622" s="737" t="n"/>
      <c r="AF622" s="737" t="n"/>
      <c r="AG622" s="737" t="n"/>
      <c r="AH622" s="737" t="n"/>
      <c r="AI622" s="737" t="n"/>
      <c r="AJ622" s="737" t="n"/>
      <c r="AK622" s="588" t="n"/>
      <c r="AL622" s="588" t="n"/>
      <c r="AM622" s="588" t="n"/>
      <c r="AN622" s="588" t="n"/>
      <c r="AO622" s="588" t="n"/>
      <c r="AP622" s="588" t="n"/>
      <c r="AQ622" s="588" t="n"/>
      <c r="AR622" s="588" t="n"/>
      <c r="AS622" s="588" t="n"/>
      <c r="AT622" s="588" t="n"/>
      <c r="AU622" s="588" t="n"/>
      <c r="AV622" s="588" t="n"/>
      <c r="AW622" s="588" t="n"/>
      <c r="AX622" s="588" t="n"/>
      <c r="AY622" s="588" t="n"/>
      <c r="AZ622" s="588" t="n"/>
      <c r="BA622" s="588" t="n"/>
      <c r="BB622" s="588" t="n"/>
      <c r="BC622" s="588" t="n"/>
      <c r="BD622" s="588" t="n"/>
      <c r="BE622" s="588" t="n"/>
      <c r="BF622" s="588" t="n"/>
      <c r="BG622" s="588" t="n"/>
      <c r="BH622" s="588" t="n"/>
      <c r="BI622" s="588" t="n"/>
      <c r="BJ622" s="588" t="n"/>
      <c r="BK622" s="588" t="n"/>
      <c r="BL622" s="588" t="n"/>
      <c r="BM622" s="588" t="n"/>
      <c r="BN622" s="588" t="n"/>
      <c r="BO622" s="588" t="n"/>
      <c r="BP622" s="588" t="n"/>
      <c r="BQ622" s="588" t="n"/>
      <c r="BR622" s="588" t="n"/>
      <c r="BS622" s="588" t="n"/>
      <c r="BT622" s="588" t="n"/>
      <c r="BU622" s="588" t="n"/>
      <c r="BV622" s="588" t="n"/>
      <c r="BW622" s="588" t="n"/>
      <c r="BX622" s="588" t="n"/>
      <c r="BY622" s="588" t="n"/>
      <c r="BZ622" s="588" t="n"/>
      <c r="CA622" s="588" t="n"/>
      <c r="CB622" s="588" t="n"/>
      <c r="CC622" s="588" t="n"/>
      <c r="CD622" s="588" t="n"/>
      <c r="CE622" s="588" t="n"/>
      <c r="CF622" s="588" t="n"/>
      <c r="CG622" s="588" t="n"/>
      <c r="CH622" s="588" t="n"/>
      <c r="CI622" s="588" t="n"/>
      <c r="CJ622" s="588" t="n"/>
      <c r="CK622" s="588" t="n"/>
      <c r="CL622" s="588" t="n"/>
      <c r="CM622" s="588" t="n"/>
      <c r="CN622" s="588" t="n"/>
      <c r="CO622" s="588" t="n"/>
      <c r="CP622" s="588" t="n"/>
      <c r="CQ622" s="588" t="n"/>
      <c r="CR622" s="588" t="n"/>
      <c r="CS622" s="588" t="n"/>
      <c r="CT622" s="588" t="n"/>
      <c r="CU622" s="588" t="n"/>
      <c r="CV622" s="588" t="n"/>
      <c r="CW622" s="588" t="n"/>
      <c r="CX622" s="588" t="n"/>
      <c r="CY622" s="588" t="n"/>
      <c r="CZ622" s="588" t="n"/>
      <c r="DA622" s="588" t="n"/>
      <c r="DB622" s="588" t="n"/>
      <c r="DC622" s="588" t="n"/>
      <c r="DD622" s="588" t="n"/>
      <c r="DE622" s="588" t="n"/>
      <c r="DF622" s="588" t="n"/>
      <c r="DG622" s="588" t="n"/>
      <c r="DH622" s="588" t="n"/>
      <c r="DI622" s="588" t="n"/>
      <c r="DJ622" s="588" t="n"/>
      <c r="DK622" s="588" t="n"/>
      <c r="DL622" s="588" t="n"/>
      <c r="DM622" s="588" t="n"/>
      <c r="DN622" s="588" t="n"/>
      <c r="DO622" s="588" t="n"/>
      <c r="DP622" s="588" t="n"/>
      <c r="DQ622" s="588" t="n"/>
      <c r="DR622" s="588" t="n"/>
      <c r="DS622" s="588" t="n"/>
      <c r="DT622" s="588" t="n"/>
      <c r="DU622" s="588" t="n"/>
    </row>
    <row r="623">
      <c r="A623" s="737" t="n"/>
      <c r="B623" s="737" t="n"/>
      <c r="C623" s="737" t="n"/>
      <c r="D623" s="737" t="n"/>
      <c r="E623" s="737" t="n"/>
      <c r="F623" s="737" t="n"/>
      <c r="G623" s="737" t="n"/>
      <c r="H623" s="737" t="n"/>
      <c r="I623" s="737" t="n"/>
      <c r="J623" s="737" t="n"/>
      <c r="K623" s="737" t="n"/>
      <c r="L623" s="737" t="n"/>
      <c r="M623" s="737" t="n"/>
      <c r="N623" s="737" t="n"/>
      <c r="O623" s="737" t="n"/>
      <c r="P623" s="737" t="n"/>
      <c r="Q623" s="737" t="n"/>
      <c r="R623" s="737" t="n"/>
      <c r="S623" s="737" t="n"/>
      <c r="T623" s="737" t="n"/>
      <c r="U623" s="737" t="n"/>
      <c r="V623" s="737" t="n"/>
      <c r="W623" s="737" t="n"/>
      <c r="X623" s="737" t="n"/>
      <c r="Y623" s="737" t="n"/>
      <c r="Z623" s="737" t="n"/>
      <c r="AA623" s="737" t="n"/>
      <c r="AB623" s="737" t="n"/>
      <c r="AC623" s="737" t="n"/>
      <c r="AD623" s="737" t="n"/>
      <c r="AE623" s="737" t="n"/>
      <c r="AF623" s="737" t="n"/>
      <c r="AG623" s="737" t="n"/>
      <c r="AH623" s="737" t="n"/>
      <c r="AI623" s="737" t="n"/>
      <c r="AJ623" s="737" t="n"/>
      <c r="AK623" s="588" t="n"/>
      <c r="AL623" s="588" t="n"/>
      <c r="AM623" s="588" t="n"/>
      <c r="AN623" s="588" t="n"/>
      <c r="AO623" s="588" t="n"/>
      <c r="AP623" s="588" t="n"/>
      <c r="AQ623" s="588" t="n"/>
      <c r="AR623" s="588" t="n"/>
      <c r="AS623" s="588" t="n"/>
      <c r="AT623" s="588" t="n"/>
      <c r="AU623" s="588" t="n"/>
      <c r="AV623" s="588" t="n"/>
      <c r="AW623" s="588" t="n"/>
      <c r="AX623" s="588" t="n"/>
      <c r="AY623" s="588" t="n"/>
      <c r="AZ623" s="588" t="n"/>
      <c r="BA623" s="588" t="n"/>
      <c r="BB623" s="588" t="n"/>
      <c r="BC623" s="588" t="n"/>
      <c r="BD623" s="588" t="n"/>
      <c r="BE623" s="588" t="n"/>
      <c r="BF623" s="588" t="n"/>
      <c r="BG623" s="588" t="n"/>
      <c r="BH623" s="588" t="n"/>
      <c r="BI623" s="588" t="n"/>
      <c r="BJ623" s="588" t="n"/>
      <c r="BK623" s="588" t="n"/>
      <c r="BL623" s="588" t="n"/>
      <c r="BM623" s="588" t="n"/>
      <c r="BN623" s="588" t="n"/>
      <c r="BO623" s="588" t="n"/>
      <c r="BP623" s="588" t="n"/>
      <c r="BQ623" s="588" t="n"/>
      <c r="BR623" s="588" t="n"/>
      <c r="BS623" s="588" t="n"/>
      <c r="BT623" s="588" t="n"/>
      <c r="BU623" s="588" t="n"/>
      <c r="BV623" s="588" t="n"/>
      <c r="BW623" s="588" t="n"/>
      <c r="BX623" s="588" t="n"/>
      <c r="BY623" s="588" t="n"/>
      <c r="BZ623" s="588" t="n"/>
      <c r="CA623" s="588" t="n"/>
      <c r="CB623" s="588" t="n"/>
      <c r="CC623" s="588" t="n"/>
      <c r="CD623" s="588" t="n"/>
      <c r="CE623" s="588" t="n"/>
      <c r="CF623" s="588" t="n"/>
      <c r="CG623" s="588" t="n"/>
      <c r="CH623" s="588" t="n"/>
      <c r="CI623" s="588" t="n"/>
      <c r="CJ623" s="588" t="n"/>
      <c r="CK623" s="588" t="n"/>
      <c r="CL623" s="588" t="n"/>
      <c r="CM623" s="588" t="n"/>
      <c r="CN623" s="588" t="n"/>
      <c r="CO623" s="588" t="n"/>
      <c r="CP623" s="588" t="n"/>
      <c r="CQ623" s="588" t="n"/>
      <c r="CR623" s="588" t="n"/>
      <c r="CS623" s="588" t="n"/>
      <c r="CT623" s="588" t="n"/>
      <c r="CU623" s="588" t="n"/>
      <c r="CV623" s="588" t="n"/>
      <c r="CW623" s="588" t="n"/>
      <c r="CX623" s="588" t="n"/>
      <c r="CY623" s="588" t="n"/>
      <c r="CZ623" s="588" t="n"/>
      <c r="DA623" s="588" t="n"/>
      <c r="DB623" s="588" t="n"/>
      <c r="DC623" s="588" t="n"/>
      <c r="DD623" s="588" t="n"/>
      <c r="DE623" s="588" t="n"/>
      <c r="DF623" s="588" t="n"/>
      <c r="DG623" s="588" t="n"/>
      <c r="DH623" s="588" t="n"/>
      <c r="DI623" s="588" t="n"/>
      <c r="DJ623" s="588" t="n"/>
      <c r="DK623" s="588" t="n"/>
      <c r="DL623" s="588" t="n"/>
      <c r="DM623" s="588" t="n"/>
      <c r="DN623" s="588" t="n"/>
      <c r="DO623" s="588" t="n"/>
      <c r="DP623" s="588" t="n"/>
      <c r="DQ623" s="588" t="n"/>
      <c r="DR623" s="588" t="n"/>
      <c r="DS623" s="588" t="n"/>
      <c r="DT623" s="588" t="n"/>
      <c r="DU623" s="588" t="n"/>
    </row>
    <row r="624">
      <c r="A624" s="737" t="n"/>
      <c r="B624" s="737" t="n"/>
      <c r="C624" s="737" t="n"/>
      <c r="D624" s="737" t="n"/>
      <c r="E624" s="737" t="n"/>
      <c r="F624" s="737" t="n"/>
      <c r="G624" s="737" t="n"/>
      <c r="H624" s="737" t="n"/>
      <c r="I624" s="737" t="n"/>
      <c r="J624" s="737" t="n"/>
      <c r="K624" s="737" t="n"/>
      <c r="L624" s="737" t="n"/>
      <c r="M624" s="737" t="n"/>
      <c r="N624" s="737" t="n"/>
      <c r="O624" s="737" t="n"/>
      <c r="P624" s="737" t="n"/>
      <c r="Q624" s="737" t="n"/>
      <c r="R624" s="737" t="n"/>
      <c r="S624" s="737" t="n"/>
      <c r="T624" s="737" t="n"/>
      <c r="U624" s="737" t="n"/>
      <c r="V624" s="737" t="n"/>
      <c r="W624" s="737" t="n"/>
      <c r="X624" s="737" t="n"/>
      <c r="Y624" s="737" t="n"/>
      <c r="Z624" s="737" t="n"/>
      <c r="AA624" s="737" t="n"/>
      <c r="AB624" s="737" t="n"/>
      <c r="AC624" s="737" t="n"/>
      <c r="AD624" s="737" t="n"/>
      <c r="AE624" s="737" t="n"/>
      <c r="AF624" s="737" t="n"/>
      <c r="AG624" s="737" t="n"/>
      <c r="AH624" s="737" t="n"/>
      <c r="AI624" s="737" t="n"/>
      <c r="AJ624" s="737" t="n"/>
      <c r="AK624" s="588" t="n"/>
      <c r="AL624" s="588" t="n"/>
      <c r="AM624" s="588" t="n"/>
      <c r="AN624" s="588" t="n"/>
      <c r="AO624" s="588" t="n"/>
      <c r="AP624" s="588" t="n"/>
      <c r="AQ624" s="588" t="n"/>
      <c r="AR624" s="588" t="n"/>
      <c r="AS624" s="588" t="n"/>
      <c r="AT624" s="588" t="n"/>
      <c r="AU624" s="588" t="n"/>
      <c r="AV624" s="588" t="n"/>
      <c r="AW624" s="588" t="n"/>
      <c r="AX624" s="588" t="n"/>
      <c r="AY624" s="588" t="n"/>
      <c r="AZ624" s="588" t="n"/>
      <c r="BA624" s="588" t="n"/>
      <c r="BB624" s="588" t="n"/>
      <c r="BC624" s="588" t="n"/>
      <c r="BD624" s="588" t="n"/>
      <c r="BE624" s="588" t="n"/>
      <c r="BF624" s="588" t="n"/>
      <c r="BG624" s="588" t="n"/>
      <c r="BH624" s="588" t="n"/>
      <c r="BI624" s="588" t="n"/>
      <c r="BJ624" s="588" t="n"/>
      <c r="BK624" s="588" t="n"/>
      <c r="BL624" s="588" t="n"/>
      <c r="BM624" s="588" t="n"/>
      <c r="BN624" s="588" t="n"/>
      <c r="BO624" s="588" t="n"/>
      <c r="BP624" s="588" t="n"/>
      <c r="BQ624" s="588" t="n"/>
      <c r="BR624" s="588" t="n"/>
      <c r="BS624" s="588" t="n"/>
      <c r="BT624" s="588" t="n"/>
      <c r="BU624" s="588" t="n"/>
      <c r="BV624" s="588" t="n"/>
      <c r="BW624" s="588" t="n"/>
      <c r="BX624" s="588" t="n"/>
      <c r="BY624" s="588" t="n"/>
      <c r="BZ624" s="588" t="n"/>
      <c r="CA624" s="588" t="n"/>
      <c r="CB624" s="588" t="n"/>
      <c r="CC624" s="588" t="n"/>
      <c r="CD624" s="588" t="n"/>
      <c r="CE624" s="588" t="n"/>
      <c r="CF624" s="588" t="n"/>
      <c r="CG624" s="588" t="n"/>
      <c r="CH624" s="588" t="n"/>
      <c r="CI624" s="588" t="n"/>
      <c r="CJ624" s="588" t="n"/>
      <c r="CK624" s="588" t="n"/>
      <c r="CL624" s="588" t="n"/>
      <c r="CM624" s="588" t="n"/>
      <c r="CN624" s="588" t="n"/>
      <c r="CO624" s="588" t="n"/>
      <c r="CP624" s="588" t="n"/>
      <c r="CQ624" s="588" t="n"/>
      <c r="CR624" s="588" t="n"/>
      <c r="CS624" s="588" t="n"/>
      <c r="CT624" s="588" t="n"/>
      <c r="CU624" s="588" t="n"/>
      <c r="CV624" s="588" t="n"/>
      <c r="CW624" s="588" t="n"/>
      <c r="CX624" s="588" t="n"/>
      <c r="CY624" s="588" t="n"/>
      <c r="CZ624" s="588" t="n"/>
      <c r="DA624" s="588" t="n"/>
      <c r="DB624" s="588" t="n"/>
      <c r="DC624" s="588" t="n"/>
      <c r="DD624" s="588" t="n"/>
      <c r="DE624" s="588" t="n"/>
      <c r="DF624" s="588" t="n"/>
      <c r="DG624" s="588" t="n"/>
      <c r="DH624" s="588" t="n"/>
      <c r="DI624" s="588" t="n"/>
      <c r="DJ624" s="588" t="n"/>
      <c r="DK624" s="588" t="n"/>
      <c r="DL624" s="588" t="n"/>
      <c r="DM624" s="588" t="n"/>
      <c r="DN624" s="588" t="n"/>
      <c r="DO624" s="588" t="n"/>
      <c r="DP624" s="588" t="n"/>
      <c r="DQ624" s="588" t="n"/>
      <c r="DR624" s="588" t="n"/>
      <c r="DS624" s="588" t="n"/>
      <c r="DT624" s="588" t="n"/>
      <c r="DU624" s="588" t="n"/>
    </row>
    <row r="625">
      <c r="A625" s="737" t="n"/>
      <c r="B625" s="737" t="n"/>
      <c r="C625" s="737" t="n"/>
      <c r="D625" s="737" t="n"/>
      <c r="E625" s="737" t="n"/>
      <c r="F625" s="737" t="n"/>
      <c r="G625" s="737" t="n"/>
      <c r="H625" s="737" t="n"/>
      <c r="I625" s="737" t="n"/>
      <c r="J625" s="737" t="n"/>
      <c r="K625" s="737" t="n"/>
      <c r="L625" s="737" t="n"/>
      <c r="M625" s="737" t="n"/>
      <c r="N625" s="737" t="n"/>
      <c r="O625" s="737" t="n"/>
      <c r="P625" s="737" t="n"/>
      <c r="Q625" s="737" t="n"/>
      <c r="R625" s="737" t="n"/>
      <c r="S625" s="737" t="n"/>
      <c r="T625" s="737" t="n"/>
      <c r="U625" s="737" t="n"/>
      <c r="V625" s="737" t="n"/>
      <c r="W625" s="737" t="n"/>
      <c r="X625" s="737" t="n"/>
      <c r="Y625" s="737" t="n"/>
      <c r="Z625" s="737" t="n"/>
      <c r="AA625" s="737" t="n"/>
      <c r="AB625" s="737" t="n"/>
      <c r="AC625" s="737" t="n"/>
      <c r="AD625" s="737" t="n"/>
      <c r="AE625" s="737" t="n"/>
      <c r="AF625" s="737" t="n"/>
      <c r="AG625" s="737" t="n"/>
      <c r="AH625" s="737" t="n"/>
      <c r="AI625" s="737" t="n"/>
      <c r="AJ625" s="737" t="n"/>
      <c r="AK625" s="588" t="n"/>
      <c r="AL625" s="588" t="n"/>
      <c r="AM625" s="588" t="n"/>
      <c r="AN625" s="588" t="n"/>
      <c r="AO625" s="588" t="n"/>
      <c r="AP625" s="588" t="n"/>
      <c r="AQ625" s="588" t="n"/>
      <c r="AR625" s="588" t="n"/>
      <c r="AS625" s="588" t="n"/>
      <c r="AT625" s="588" t="n"/>
      <c r="AU625" s="588" t="n"/>
      <c r="AV625" s="588" t="n"/>
      <c r="AW625" s="588" t="n"/>
      <c r="AX625" s="588" t="n"/>
      <c r="AY625" s="588" t="n"/>
      <c r="AZ625" s="588" t="n"/>
      <c r="BA625" s="588" t="n"/>
      <c r="BB625" s="588" t="n"/>
      <c r="BC625" s="588" t="n"/>
      <c r="BD625" s="588" t="n"/>
      <c r="BE625" s="588" t="n"/>
      <c r="BF625" s="588" t="n"/>
      <c r="BG625" s="588" t="n"/>
      <c r="BH625" s="588" t="n"/>
      <c r="BI625" s="588" t="n"/>
      <c r="BJ625" s="588" t="n"/>
      <c r="BK625" s="588" t="n"/>
      <c r="BL625" s="588" t="n"/>
      <c r="BM625" s="588" t="n"/>
      <c r="BN625" s="588" t="n"/>
      <c r="BO625" s="588" t="n"/>
      <c r="BP625" s="588" t="n"/>
      <c r="BQ625" s="588" t="n"/>
      <c r="BR625" s="588" t="n"/>
      <c r="BS625" s="588" t="n"/>
      <c r="BT625" s="588" t="n"/>
      <c r="BU625" s="588" t="n"/>
      <c r="BV625" s="588" t="n"/>
      <c r="BW625" s="588" t="n"/>
      <c r="BX625" s="588" t="n"/>
      <c r="BY625" s="588" t="n"/>
      <c r="BZ625" s="588" t="n"/>
      <c r="CA625" s="588" t="n"/>
      <c r="CB625" s="588" t="n"/>
      <c r="CC625" s="588" t="n"/>
      <c r="CD625" s="588" t="n"/>
      <c r="CE625" s="588" t="n"/>
      <c r="CF625" s="588" t="n"/>
      <c r="CG625" s="588" t="n"/>
      <c r="CH625" s="588" t="n"/>
      <c r="CI625" s="588" t="n"/>
      <c r="CJ625" s="588" t="n"/>
      <c r="CK625" s="588" t="n"/>
      <c r="CL625" s="588" t="n"/>
      <c r="CM625" s="588" t="n"/>
      <c r="CN625" s="588" t="n"/>
      <c r="CO625" s="588" t="n"/>
      <c r="CP625" s="588" t="n"/>
      <c r="CQ625" s="588" t="n"/>
      <c r="CR625" s="588" t="n"/>
      <c r="CS625" s="588" t="n"/>
      <c r="CT625" s="588" t="n"/>
      <c r="CU625" s="588" t="n"/>
      <c r="CV625" s="588" t="n"/>
      <c r="CW625" s="588" t="n"/>
      <c r="CX625" s="588" t="n"/>
      <c r="CY625" s="588" t="n"/>
      <c r="CZ625" s="588" t="n"/>
      <c r="DA625" s="588" t="n"/>
      <c r="DB625" s="588" t="n"/>
      <c r="DC625" s="588" t="n"/>
      <c r="DD625" s="588" t="n"/>
      <c r="DE625" s="588" t="n"/>
      <c r="DF625" s="588" t="n"/>
      <c r="DG625" s="588" t="n"/>
      <c r="DH625" s="588" t="n"/>
      <c r="DI625" s="588" t="n"/>
      <c r="DJ625" s="588" t="n"/>
      <c r="DK625" s="588" t="n"/>
      <c r="DL625" s="588" t="n"/>
      <c r="DM625" s="588" t="n"/>
      <c r="DN625" s="588" t="n"/>
      <c r="DO625" s="588" t="n"/>
      <c r="DP625" s="588" t="n"/>
      <c r="DQ625" s="588" t="n"/>
      <c r="DR625" s="588" t="n"/>
      <c r="DS625" s="588" t="n"/>
      <c r="DT625" s="588" t="n"/>
      <c r="DU625" s="588" t="n"/>
    </row>
    <row r="626">
      <c r="A626" s="737" t="n"/>
      <c r="B626" s="737" t="n"/>
      <c r="C626" s="737" t="n"/>
      <c r="D626" s="737" t="n"/>
      <c r="E626" s="737" t="n"/>
      <c r="F626" s="737" t="n"/>
      <c r="G626" s="737" t="n"/>
      <c r="H626" s="737" t="n"/>
      <c r="I626" s="737" t="n"/>
      <c r="J626" s="737" t="n"/>
      <c r="K626" s="737" t="n"/>
      <c r="L626" s="737" t="n"/>
      <c r="M626" s="737" t="n"/>
      <c r="N626" s="737" t="n"/>
      <c r="O626" s="737" t="n"/>
      <c r="P626" s="737" t="n"/>
      <c r="Q626" s="737" t="n"/>
      <c r="R626" s="737" t="n"/>
      <c r="S626" s="737" t="n"/>
      <c r="T626" s="737" t="n"/>
      <c r="U626" s="737" t="n"/>
      <c r="V626" s="737" t="n"/>
      <c r="W626" s="737" t="n"/>
      <c r="X626" s="737" t="n"/>
      <c r="Y626" s="737" t="n"/>
      <c r="Z626" s="737" t="n"/>
      <c r="AA626" s="737" t="n"/>
      <c r="AB626" s="737" t="n"/>
      <c r="AC626" s="737" t="n"/>
      <c r="AD626" s="737" t="n"/>
      <c r="AE626" s="737" t="n"/>
      <c r="AF626" s="737" t="n"/>
      <c r="AG626" s="737" t="n"/>
      <c r="AH626" s="737" t="n"/>
      <c r="AI626" s="737" t="n"/>
      <c r="AJ626" s="737" t="n"/>
      <c r="AK626" s="588" t="n"/>
      <c r="AL626" s="588" t="n"/>
      <c r="AM626" s="588" t="n"/>
      <c r="AN626" s="588" t="n"/>
      <c r="AO626" s="588" t="n"/>
      <c r="AP626" s="588" t="n"/>
      <c r="AQ626" s="588" t="n"/>
      <c r="AR626" s="588" t="n"/>
      <c r="AS626" s="588" t="n"/>
      <c r="AT626" s="588" t="n"/>
      <c r="AU626" s="588" t="n"/>
      <c r="AV626" s="588" t="n"/>
      <c r="AW626" s="588" t="n"/>
      <c r="AX626" s="588" t="n"/>
      <c r="AY626" s="588" t="n"/>
      <c r="AZ626" s="588" t="n"/>
      <c r="BA626" s="588" t="n"/>
      <c r="BB626" s="588" t="n"/>
      <c r="BC626" s="588" t="n"/>
      <c r="BD626" s="588" t="n"/>
      <c r="BE626" s="588" t="n"/>
      <c r="BF626" s="588" t="n"/>
      <c r="BG626" s="588" t="n"/>
      <c r="BH626" s="588" t="n"/>
      <c r="BI626" s="588" t="n"/>
      <c r="BJ626" s="588" t="n"/>
      <c r="BK626" s="588" t="n"/>
      <c r="BL626" s="588" t="n"/>
      <c r="BM626" s="588" t="n"/>
      <c r="BN626" s="588" t="n"/>
      <c r="BO626" s="588" t="n"/>
      <c r="BP626" s="588" t="n"/>
      <c r="BQ626" s="588" t="n"/>
      <c r="BR626" s="588" t="n"/>
      <c r="BS626" s="588" t="n"/>
      <c r="BT626" s="588" t="n"/>
      <c r="BU626" s="588" t="n"/>
      <c r="BV626" s="588" t="n"/>
      <c r="BW626" s="588" t="n"/>
      <c r="BX626" s="588" t="n"/>
      <c r="BY626" s="588" t="n"/>
      <c r="BZ626" s="588" t="n"/>
      <c r="CA626" s="588" t="n"/>
      <c r="CB626" s="588" t="n"/>
      <c r="CC626" s="588" t="n"/>
      <c r="CD626" s="588" t="n"/>
      <c r="CE626" s="588" t="n"/>
      <c r="CF626" s="588" t="n"/>
      <c r="CG626" s="588" t="n"/>
      <c r="CH626" s="588" t="n"/>
      <c r="CI626" s="588" t="n"/>
      <c r="CJ626" s="588" t="n"/>
      <c r="CK626" s="588" t="n"/>
      <c r="CL626" s="588" t="n"/>
      <c r="CM626" s="588" t="n"/>
      <c r="CN626" s="588" t="n"/>
      <c r="CO626" s="588" t="n"/>
      <c r="CP626" s="588" t="n"/>
      <c r="CQ626" s="588" t="n"/>
      <c r="CR626" s="588" t="n"/>
      <c r="CS626" s="588" t="n"/>
      <c r="CT626" s="588" t="n"/>
      <c r="CU626" s="588" t="n"/>
      <c r="CV626" s="588" t="n"/>
      <c r="CW626" s="588" t="n"/>
      <c r="CX626" s="588" t="n"/>
      <c r="CY626" s="588" t="n"/>
      <c r="CZ626" s="588" t="n"/>
      <c r="DA626" s="588" t="n"/>
      <c r="DB626" s="588" t="n"/>
      <c r="DC626" s="588" t="n"/>
      <c r="DD626" s="588" t="n"/>
      <c r="DE626" s="588" t="n"/>
      <c r="DF626" s="588" t="n"/>
      <c r="DG626" s="588" t="n"/>
      <c r="DH626" s="588" t="n"/>
      <c r="DI626" s="588" t="n"/>
      <c r="DJ626" s="588" t="n"/>
      <c r="DK626" s="588" t="n"/>
      <c r="DL626" s="588" t="n"/>
      <c r="DM626" s="588" t="n"/>
      <c r="DN626" s="588" t="n"/>
      <c r="DO626" s="588" t="n"/>
      <c r="DP626" s="588" t="n"/>
      <c r="DQ626" s="588" t="n"/>
      <c r="DR626" s="588" t="n"/>
      <c r="DS626" s="588" t="n"/>
      <c r="DT626" s="588" t="n"/>
      <c r="DU626" s="588" t="n"/>
    </row>
    <row r="627">
      <c r="A627" s="737" t="n"/>
      <c r="B627" s="737" t="n"/>
      <c r="C627" s="737" t="n"/>
      <c r="D627" s="737" t="n"/>
      <c r="E627" s="737" t="n"/>
      <c r="F627" s="737" t="n"/>
      <c r="G627" s="737" t="n"/>
      <c r="H627" s="737" t="n"/>
      <c r="I627" s="737" t="n"/>
      <c r="J627" s="737" t="n"/>
      <c r="K627" s="737" t="n"/>
      <c r="L627" s="737" t="n"/>
      <c r="M627" s="737" t="n"/>
      <c r="N627" s="737" t="n"/>
      <c r="O627" s="737" t="n"/>
      <c r="P627" s="737" t="n"/>
      <c r="Q627" s="737" t="n"/>
      <c r="R627" s="737" t="n"/>
      <c r="S627" s="737" t="n"/>
      <c r="T627" s="737" t="n"/>
      <c r="U627" s="737" t="n"/>
      <c r="V627" s="737" t="n"/>
      <c r="W627" s="737" t="n"/>
      <c r="X627" s="737" t="n"/>
      <c r="Y627" s="737" t="n"/>
      <c r="Z627" s="737" t="n"/>
      <c r="AA627" s="737" t="n"/>
      <c r="AB627" s="737" t="n"/>
      <c r="AC627" s="737" t="n"/>
      <c r="AD627" s="737" t="n"/>
      <c r="AE627" s="737" t="n"/>
      <c r="AF627" s="737" t="n"/>
      <c r="AG627" s="737" t="n"/>
      <c r="AH627" s="737" t="n"/>
      <c r="AI627" s="737" t="n"/>
      <c r="AJ627" s="737" t="n"/>
      <c r="AK627" s="588" t="n"/>
      <c r="AL627" s="588" t="n"/>
      <c r="AM627" s="588" t="n"/>
      <c r="AN627" s="588" t="n"/>
      <c r="AO627" s="588" t="n"/>
      <c r="AP627" s="588" t="n"/>
      <c r="AQ627" s="588" t="n"/>
      <c r="AR627" s="588" t="n"/>
      <c r="AS627" s="588" t="n"/>
      <c r="AT627" s="588" t="n"/>
      <c r="AU627" s="588" t="n"/>
      <c r="AV627" s="588" t="n"/>
      <c r="AW627" s="588" t="n"/>
      <c r="AX627" s="588" t="n"/>
      <c r="AY627" s="588" t="n"/>
      <c r="AZ627" s="588" t="n"/>
      <c r="BA627" s="588" t="n"/>
      <c r="BB627" s="588" t="n"/>
      <c r="BC627" s="588" t="n"/>
      <c r="BD627" s="588" t="n"/>
      <c r="BE627" s="588" t="n"/>
      <c r="BF627" s="588" t="n"/>
      <c r="BG627" s="588" t="n"/>
      <c r="BH627" s="588" t="n"/>
      <c r="BI627" s="588" t="n"/>
      <c r="BJ627" s="588" t="n"/>
      <c r="BK627" s="588" t="n"/>
      <c r="BL627" s="588" t="n"/>
      <c r="BM627" s="588" t="n"/>
      <c r="BN627" s="588" t="n"/>
      <c r="BO627" s="588" t="n"/>
      <c r="BP627" s="588" t="n"/>
      <c r="BQ627" s="588" t="n"/>
      <c r="BR627" s="588" t="n"/>
      <c r="BS627" s="588" t="n"/>
      <c r="BT627" s="588" t="n"/>
      <c r="BU627" s="588" t="n"/>
      <c r="BV627" s="588" t="n"/>
      <c r="BW627" s="588" t="n"/>
      <c r="BX627" s="588" t="n"/>
      <c r="BY627" s="588" t="n"/>
      <c r="BZ627" s="588" t="n"/>
      <c r="CA627" s="588" t="n"/>
      <c r="CB627" s="588" t="n"/>
      <c r="CC627" s="588" t="n"/>
      <c r="CD627" s="588" t="n"/>
      <c r="CE627" s="588" t="n"/>
      <c r="CF627" s="588" t="n"/>
      <c r="CG627" s="588" t="n"/>
      <c r="CH627" s="588" t="n"/>
      <c r="CI627" s="588" t="n"/>
      <c r="CJ627" s="588" t="n"/>
      <c r="CK627" s="588" t="n"/>
      <c r="CL627" s="588" t="n"/>
      <c r="CM627" s="588" t="n"/>
      <c r="CN627" s="588" t="n"/>
      <c r="CO627" s="588" t="n"/>
      <c r="CP627" s="588" t="n"/>
      <c r="CQ627" s="588" t="n"/>
      <c r="CR627" s="588" t="n"/>
      <c r="CS627" s="588" t="n"/>
      <c r="CT627" s="588" t="n"/>
      <c r="CU627" s="588" t="n"/>
      <c r="CV627" s="588" t="n"/>
      <c r="CW627" s="588" t="n"/>
      <c r="CX627" s="588" t="n"/>
      <c r="CY627" s="588" t="n"/>
      <c r="CZ627" s="588" t="n"/>
      <c r="DA627" s="588" t="n"/>
      <c r="DB627" s="588" t="n"/>
      <c r="DC627" s="588" t="n"/>
      <c r="DD627" s="588" t="n"/>
      <c r="DE627" s="588" t="n"/>
      <c r="DF627" s="588" t="n"/>
      <c r="DG627" s="588" t="n"/>
      <c r="DH627" s="588" t="n"/>
      <c r="DI627" s="588" t="n"/>
      <c r="DJ627" s="588" t="n"/>
      <c r="DK627" s="588" t="n"/>
      <c r="DL627" s="588" t="n"/>
      <c r="DM627" s="588" t="n"/>
      <c r="DN627" s="588" t="n"/>
      <c r="DO627" s="588" t="n"/>
      <c r="DP627" s="588" t="n"/>
      <c r="DQ627" s="588" t="n"/>
      <c r="DR627" s="588" t="n"/>
      <c r="DS627" s="588" t="n"/>
      <c r="DT627" s="588" t="n"/>
      <c r="DU627" s="588" t="n"/>
    </row>
    <row r="628">
      <c r="A628" s="737" t="n"/>
      <c r="B628" s="737" t="n"/>
      <c r="C628" s="737" t="n"/>
      <c r="D628" s="737" t="n"/>
      <c r="E628" s="737" t="n"/>
      <c r="F628" s="737" t="n"/>
      <c r="G628" s="737" t="n"/>
      <c r="H628" s="737" t="n"/>
      <c r="I628" s="737" t="n"/>
      <c r="J628" s="737" t="n"/>
      <c r="K628" s="737" t="n"/>
      <c r="L628" s="737" t="n"/>
      <c r="M628" s="737" t="n"/>
      <c r="N628" s="737" t="n"/>
      <c r="O628" s="737" t="n"/>
      <c r="P628" s="737" t="n"/>
      <c r="Q628" s="737" t="n"/>
      <c r="R628" s="737" t="n"/>
      <c r="S628" s="737" t="n"/>
      <c r="T628" s="737" t="n"/>
      <c r="U628" s="737" t="n"/>
      <c r="V628" s="737" t="n"/>
      <c r="W628" s="737" t="n"/>
      <c r="X628" s="737" t="n"/>
      <c r="Y628" s="737" t="n"/>
      <c r="Z628" s="737" t="n"/>
      <c r="AA628" s="737" t="n"/>
      <c r="AB628" s="737" t="n"/>
      <c r="AC628" s="737" t="n"/>
      <c r="AD628" s="737" t="n"/>
      <c r="AE628" s="737" t="n"/>
      <c r="AF628" s="737" t="n"/>
      <c r="AG628" s="737" t="n"/>
      <c r="AH628" s="737" t="n"/>
      <c r="AI628" s="737" t="n"/>
      <c r="AJ628" s="737" t="n"/>
      <c r="AK628" s="588" t="n"/>
      <c r="AL628" s="588" t="n"/>
      <c r="AM628" s="588" t="n"/>
      <c r="AN628" s="588" t="n"/>
      <c r="AO628" s="588" t="n"/>
      <c r="AP628" s="588" t="n"/>
      <c r="AQ628" s="588" t="n"/>
      <c r="AR628" s="588" t="n"/>
      <c r="AS628" s="588" t="n"/>
      <c r="AT628" s="588" t="n"/>
      <c r="AU628" s="588" t="n"/>
      <c r="AV628" s="588" t="n"/>
      <c r="AW628" s="588" t="n"/>
      <c r="AX628" s="588" t="n"/>
      <c r="AY628" s="588" t="n"/>
      <c r="AZ628" s="588" t="n"/>
      <c r="BA628" s="588" t="n"/>
      <c r="BB628" s="588" t="n"/>
      <c r="BC628" s="588" t="n"/>
      <c r="BD628" s="588" t="n"/>
      <c r="BE628" s="588" t="n"/>
      <c r="BF628" s="588" t="n"/>
      <c r="BG628" s="588" t="n"/>
      <c r="BH628" s="588" t="n"/>
      <c r="BI628" s="588" t="n"/>
      <c r="BJ628" s="588" t="n"/>
      <c r="BK628" s="588" t="n"/>
      <c r="BL628" s="588" t="n"/>
      <c r="BM628" s="588" t="n"/>
      <c r="BN628" s="588" t="n"/>
      <c r="BO628" s="588" t="n"/>
      <c r="BP628" s="588" t="n"/>
      <c r="BQ628" s="588" t="n"/>
      <c r="BR628" s="588" t="n"/>
      <c r="BS628" s="588" t="n"/>
      <c r="BT628" s="588" t="n"/>
      <c r="BU628" s="588" t="n"/>
      <c r="BV628" s="588" t="n"/>
      <c r="BW628" s="588" t="n"/>
      <c r="BX628" s="588" t="n"/>
      <c r="BY628" s="588" t="n"/>
      <c r="BZ628" s="588" t="n"/>
      <c r="CA628" s="588" t="n"/>
      <c r="CB628" s="588" t="n"/>
      <c r="CC628" s="588" t="n"/>
      <c r="CD628" s="588" t="n"/>
      <c r="CE628" s="588" t="n"/>
      <c r="CF628" s="588" t="n"/>
      <c r="CG628" s="588" t="n"/>
      <c r="CH628" s="588" t="n"/>
      <c r="CI628" s="588" t="n"/>
      <c r="CJ628" s="588" t="n"/>
      <c r="CK628" s="588" t="n"/>
      <c r="CL628" s="588" t="n"/>
      <c r="CM628" s="588" t="n"/>
      <c r="CN628" s="588" t="n"/>
      <c r="CO628" s="588" t="n"/>
      <c r="CP628" s="588" t="n"/>
      <c r="CQ628" s="588" t="n"/>
      <c r="CR628" s="588" t="n"/>
      <c r="CS628" s="588" t="n"/>
      <c r="CT628" s="588" t="n"/>
      <c r="CU628" s="588" t="n"/>
      <c r="CV628" s="588" t="n"/>
      <c r="CW628" s="588" t="n"/>
      <c r="CX628" s="588" t="n"/>
      <c r="CY628" s="588" t="n"/>
      <c r="CZ628" s="588" t="n"/>
      <c r="DA628" s="588" t="n"/>
      <c r="DB628" s="588" t="n"/>
      <c r="DC628" s="588" t="n"/>
      <c r="DD628" s="588" t="n"/>
      <c r="DE628" s="588" t="n"/>
      <c r="DF628" s="588" t="n"/>
      <c r="DG628" s="588" t="n"/>
      <c r="DH628" s="588" t="n"/>
      <c r="DI628" s="588" t="n"/>
      <c r="DJ628" s="588" t="n"/>
      <c r="DK628" s="588" t="n"/>
      <c r="DL628" s="588" t="n"/>
      <c r="DM628" s="588" t="n"/>
      <c r="DN628" s="588" t="n"/>
      <c r="DO628" s="588" t="n"/>
      <c r="DP628" s="588" t="n"/>
      <c r="DQ628" s="588" t="n"/>
      <c r="DR628" s="588" t="n"/>
      <c r="DS628" s="588" t="n"/>
      <c r="DT628" s="588" t="n"/>
      <c r="DU628" s="588" t="n"/>
    </row>
    <row r="629">
      <c r="A629" s="737" t="n"/>
      <c r="B629" s="737" t="n"/>
      <c r="C629" s="737" t="n"/>
      <c r="D629" s="737" t="n"/>
      <c r="E629" s="737" t="n"/>
      <c r="F629" s="737" t="n"/>
      <c r="G629" s="737" t="n"/>
      <c r="H629" s="737" t="n"/>
      <c r="I629" s="737" t="n"/>
      <c r="J629" s="737" t="n"/>
      <c r="K629" s="737" t="n"/>
      <c r="L629" s="737" t="n"/>
      <c r="M629" s="737" t="n"/>
      <c r="N629" s="737" t="n"/>
      <c r="O629" s="737" t="n"/>
      <c r="P629" s="737" t="n"/>
      <c r="Q629" s="737" t="n"/>
      <c r="R629" s="737" t="n"/>
      <c r="S629" s="737" t="n"/>
      <c r="T629" s="737" t="n"/>
      <c r="U629" s="737" t="n"/>
      <c r="V629" s="737" t="n"/>
      <c r="W629" s="737" t="n"/>
      <c r="X629" s="737" t="n"/>
      <c r="Y629" s="737" t="n"/>
      <c r="Z629" s="737" t="n"/>
      <c r="AA629" s="737" t="n"/>
      <c r="AB629" s="737" t="n"/>
      <c r="AC629" s="737" t="n"/>
      <c r="AD629" s="737" t="n"/>
      <c r="AE629" s="737" t="n"/>
      <c r="AF629" s="737" t="n"/>
      <c r="AG629" s="737" t="n"/>
      <c r="AH629" s="737" t="n"/>
      <c r="AI629" s="737" t="n"/>
      <c r="AJ629" s="737" t="n"/>
      <c r="AK629" s="588" t="n"/>
      <c r="AL629" s="588" t="n"/>
      <c r="AM629" s="588" t="n"/>
      <c r="AN629" s="588" t="n"/>
      <c r="AO629" s="588" t="n"/>
      <c r="AP629" s="588" t="n"/>
      <c r="AQ629" s="588" t="n"/>
      <c r="AR629" s="588" t="n"/>
      <c r="AS629" s="588" t="n"/>
      <c r="AT629" s="588" t="n"/>
      <c r="AU629" s="588" t="n"/>
      <c r="AV629" s="588" t="n"/>
      <c r="AW629" s="588" t="n"/>
      <c r="AX629" s="588" t="n"/>
      <c r="AY629" s="588" t="n"/>
      <c r="AZ629" s="588" t="n"/>
      <c r="BA629" s="588" t="n"/>
      <c r="BB629" s="588" t="n"/>
      <c r="BC629" s="588" t="n"/>
      <c r="BD629" s="588" t="n"/>
      <c r="BE629" s="588" t="n"/>
      <c r="BF629" s="588" t="n"/>
      <c r="BG629" s="588" t="n"/>
      <c r="BH629" s="588" t="n"/>
      <c r="BI629" s="588" t="n"/>
      <c r="BJ629" s="588" t="n"/>
      <c r="BK629" s="588" t="n"/>
      <c r="BL629" s="588" t="n"/>
      <c r="BM629" s="588" t="n"/>
      <c r="BN629" s="588" t="n"/>
      <c r="BO629" s="588" t="n"/>
      <c r="BP629" s="588" t="n"/>
      <c r="BQ629" s="588" t="n"/>
      <c r="BR629" s="588" t="n"/>
      <c r="BS629" s="588" t="n"/>
      <c r="BT629" s="588" t="n"/>
      <c r="BU629" s="588" t="n"/>
      <c r="BV629" s="588" t="n"/>
      <c r="BW629" s="588" t="n"/>
      <c r="BX629" s="588" t="n"/>
      <c r="BY629" s="588" t="n"/>
      <c r="BZ629" s="588" t="n"/>
      <c r="CA629" s="588" t="n"/>
      <c r="CB629" s="588" t="n"/>
      <c r="CC629" s="588" t="n"/>
      <c r="CD629" s="588" t="n"/>
      <c r="CE629" s="588" t="n"/>
      <c r="CF629" s="588" t="n"/>
      <c r="CG629" s="588" t="n"/>
      <c r="CH629" s="588" t="n"/>
      <c r="CI629" s="588" t="n"/>
      <c r="CJ629" s="588" t="n"/>
      <c r="CK629" s="588" t="n"/>
      <c r="CL629" s="588" t="n"/>
      <c r="CM629" s="588" t="n"/>
      <c r="CN629" s="588" t="n"/>
      <c r="CO629" s="588" t="n"/>
      <c r="CP629" s="588" t="n"/>
      <c r="CQ629" s="588" t="n"/>
      <c r="CR629" s="588" t="n"/>
      <c r="CS629" s="588" t="n"/>
      <c r="CT629" s="588" t="n"/>
      <c r="CU629" s="588" t="n"/>
      <c r="CV629" s="588" t="n"/>
      <c r="CW629" s="588" t="n"/>
      <c r="CX629" s="588" t="n"/>
      <c r="CY629" s="588" t="n"/>
      <c r="CZ629" s="588" t="n"/>
      <c r="DA629" s="588" t="n"/>
      <c r="DB629" s="588" t="n"/>
      <c r="DC629" s="588" t="n"/>
      <c r="DD629" s="588" t="n"/>
      <c r="DE629" s="588" t="n"/>
      <c r="DF629" s="588" t="n"/>
      <c r="DG629" s="588" t="n"/>
      <c r="DH629" s="588" t="n"/>
      <c r="DI629" s="588" t="n"/>
      <c r="DJ629" s="588" t="n"/>
      <c r="DK629" s="588" t="n"/>
      <c r="DL629" s="588" t="n"/>
      <c r="DM629" s="588" t="n"/>
      <c r="DN629" s="588" t="n"/>
      <c r="DO629" s="588" t="n"/>
      <c r="DP629" s="588" t="n"/>
      <c r="DQ629" s="588" t="n"/>
      <c r="DR629" s="588" t="n"/>
      <c r="DS629" s="588" t="n"/>
      <c r="DT629" s="588" t="n"/>
      <c r="DU629" s="588" t="n"/>
    </row>
    <row r="630">
      <c r="A630" s="737" t="n"/>
      <c r="B630" s="737" t="n"/>
      <c r="C630" s="737" t="n"/>
      <c r="D630" s="737" t="n"/>
      <c r="E630" s="737" t="n"/>
      <c r="F630" s="737" t="n"/>
      <c r="G630" s="737" t="n"/>
      <c r="H630" s="737" t="n"/>
      <c r="I630" s="737" t="n"/>
      <c r="J630" s="737" t="n"/>
      <c r="K630" s="737" t="n"/>
      <c r="L630" s="737" t="n"/>
      <c r="M630" s="737" t="n"/>
      <c r="N630" s="737" t="n"/>
      <c r="O630" s="737" t="n"/>
      <c r="P630" s="737" t="n"/>
      <c r="Q630" s="737" t="n"/>
      <c r="R630" s="737" t="n"/>
      <c r="S630" s="737" t="n"/>
      <c r="T630" s="737" t="n"/>
      <c r="U630" s="737" t="n"/>
      <c r="V630" s="737" t="n"/>
      <c r="W630" s="737" t="n"/>
      <c r="X630" s="737" t="n"/>
      <c r="Y630" s="737" t="n"/>
      <c r="Z630" s="737" t="n"/>
      <c r="AA630" s="737" t="n"/>
      <c r="AB630" s="737" t="n"/>
      <c r="AC630" s="737" t="n"/>
      <c r="AD630" s="737" t="n"/>
      <c r="AE630" s="737" t="n"/>
      <c r="AF630" s="737" t="n"/>
      <c r="AG630" s="737" t="n"/>
      <c r="AH630" s="737" t="n"/>
      <c r="AI630" s="737" t="n"/>
      <c r="AJ630" s="737" t="n"/>
      <c r="AK630" s="588" t="n"/>
      <c r="AL630" s="588" t="n"/>
      <c r="AM630" s="588" t="n"/>
      <c r="AN630" s="588" t="n"/>
      <c r="AO630" s="588" t="n"/>
      <c r="AP630" s="588" t="n"/>
      <c r="AQ630" s="588" t="n"/>
      <c r="AR630" s="588" t="n"/>
      <c r="AS630" s="588" t="n"/>
      <c r="AT630" s="588" t="n"/>
      <c r="AU630" s="588" t="n"/>
      <c r="AV630" s="588" t="n"/>
      <c r="AW630" s="588" t="n"/>
      <c r="AX630" s="588" t="n"/>
      <c r="AY630" s="588" t="n"/>
      <c r="AZ630" s="588" t="n"/>
      <c r="BA630" s="588" t="n"/>
      <c r="BB630" s="588" t="n"/>
      <c r="BC630" s="588" t="n"/>
      <c r="BD630" s="588" t="n"/>
      <c r="BE630" s="588" t="n"/>
      <c r="BF630" s="588" t="n"/>
      <c r="BG630" s="588" t="n"/>
      <c r="BH630" s="588" t="n"/>
      <c r="BI630" s="588" t="n"/>
      <c r="BJ630" s="588" t="n"/>
      <c r="BK630" s="588" t="n"/>
      <c r="BL630" s="588" t="n"/>
      <c r="BM630" s="588" t="n"/>
      <c r="BN630" s="588" t="n"/>
      <c r="BO630" s="588" t="n"/>
      <c r="BP630" s="588" t="n"/>
      <c r="BQ630" s="588" t="n"/>
      <c r="BR630" s="588" t="n"/>
      <c r="BS630" s="588" t="n"/>
      <c r="BT630" s="588" t="n"/>
      <c r="BU630" s="588" t="n"/>
      <c r="BV630" s="588" t="n"/>
      <c r="BW630" s="588" t="n"/>
      <c r="BX630" s="588" t="n"/>
      <c r="BY630" s="588" t="n"/>
      <c r="BZ630" s="588" t="n"/>
      <c r="CA630" s="588" t="n"/>
      <c r="CB630" s="588" t="n"/>
      <c r="CC630" s="588" t="n"/>
      <c r="CD630" s="588" t="n"/>
      <c r="CE630" s="588" t="n"/>
      <c r="CF630" s="588" t="n"/>
      <c r="CG630" s="588" t="n"/>
      <c r="CH630" s="588" t="n"/>
      <c r="CI630" s="588" t="n"/>
      <c r="CJ630" s="588" t="n"/>
      <c r="CK630" s="588" t="n"/>
      <c r="CL630" s="588" t="n"/>
      <c r="CM630" s="588" t="n"/>
      <c r="CN630" s="588" t="n"/>
      <c r="CO630" s="588" t="n"/>
      <c r="CP630" s="588" t="n"/>
      <c r="CQ630" s="588" t="n"/>
      <c r="CR630" s="588" t="n"/>
      <c r="CS630" s="588" t="n"/>
      <c r="CT630" s="588" t="n"/>
      <c r="CU630" s="588" t="n"/>
      <c r="CV630" s="588" t="n"/>
      <c r="CW630" s="588" t="n"/>
      <c r="CX630" s="588" t="n"/>
      <c r="CY630" s="588" t="n"/>
      <c r="CZ630" s="588" t="n"/>
      <c r="DA630" s="588" t="n"/>
      <c r="DB630" s="588" t="n"/>
      <c r="DC630" s="588" t="n"/>
      <c r="DD630" s="588" t="n"/>
      <c r="DE630" s="588" t="n"/>
      <c r="DF630" s="588" t="n"/>
      <c r="DG630" s="588" t="n"/>
      <c r="DH630" s="588" t="n"/>
      <c r="DI630" s="588" t="n"/>
      <c r="DJ630" s="588" t="n"/>
      <c r="DK630" s="588" t="n"/>
      <c r="DL630" s="588" t="n"/>
      <c r="DM630" s="588" t="n"/>
      <c r="DN630" s="588" t="n"/>
      <c r="DO630" s="588" t="n"/>
      <c r="DP630" s="588" t="n"/>
      <c r="DQ630" s="588" t="n"/>
      <c r="DR630" s="588" t="n"/>
      <c r="DS630" s="588" t="n"/>
      <c r="DT630" s="588" t="n"/>
      <c r="DU630" s="588" t="n"/>
    </row>
    <row r="631">
      <c r="A631" s="737" t="n"/>
      <c r="B631" s="737" t="n"/>
      <c r="C631" s="737" t="n"/>
      <c r="D631" s="737" t="n"/>
      <c r="E631" s="737" t="n"/>
      <c r="F631" s="737" t="n"/>
      <c r="G631" s="737" t="n"/>
      <c r="H631" s="737" t="n"/>
      <c r="I631" s="737" t="n"/>
      <c r="J631" s="737" t="n"/>
      <c r="K631" s="737" t="n"/>
      <c r="L631" s="737" t="n"/>
      <c r="M631" s="737" t="n"/>
      <c r="N631" s="737" t="n"/>
      <c r="O631" s="737" t="n"/>
      <c r="P631" s="737" t="n"/>
      <c r="Q631" s="737" t="n"/>
      <c r="R631" s="737" t="n"/>
      <c r="S631" s="737" t="n"/>
      <c r="T631" s="737" t="n"/>
      <c r="U631" s="737" t="n"/>
      <c r="V631" s="737" t="n"/>
      <c r="W631" s="737" t="n"/>
      <c r="X631" s="737" t="n"/>
      <c r="Y631" s="737" t="n"/>
      <c r="Z631" s="737" t="n"/>
      <c r="AA631" s="737" t="n"/>
      <c r="AB631" s="737" t="n"/>
      <c r="AC631" s="737" t="n"/>
      <c r="AD631" s="737" t="n"/>
      <c r="AE631" s="737" t="n"/>
      <c r="AF631" s="737" t="n"/>
      <c r="AG631" s="737" t="n"/>
      <c r="AH631" s="737" t="n"/>
      <c r="AI631" s="737" t="n"/>
      <c r="AJ631" s="737" t="n"/>
      <c r="AK631" s="588" t="n"/>
      <c r="AL631" s="588" t="n"/>
      <c r="AM631" s="588" t="n"/>
      <c r="AN631" s="588" t="n"/>
      <c r="AO631" s="588" t="n"/>
      <c r="AP631" s="588" t="n"/>
      <c r="AQ631" s="588" t="n"/>
      <c r="AR631" s="588" t="n"/>
      <c r="AS631" s="588" t="n"/>
      <c r="AT631" s="588" t="n"/>
      <c r="AU631" s="588" t="n"/>
      <c r="AV631" s="588" t="n"/>
      <c r="AW631" s="588" t="n"/>
      <c r="AX631" s="588" t="n"/>
      <c r="AY631" s="588" t="n"/>
      <c r="AZ631" s="588" t="n"/>
      <c r="BA631" s="588" t="n"/>
      <c r="BB631" s="588" t="n"/>
      <c r="BC631" s="588" t="n"/>
      <c r="BD631" s="588" t="n"/>
      <c r="BE631" s="588" t="n"/>
      <c r="BF631" s="588" t="n"/>
      <c r="BG631" s="588" t="n"/>
      <c r="BH631" s="588" t="n"/>
      <c r="BI631" s="588" t="n"/>
      <c r="BJ631" s="588" t="n"/>
      <c r="BK631" s="588" t="n"/>
      <c r="BL631" s="588" t="n"/>
      <c r="BM631" s="588" t="n"/>
      <c r="BN631" s="588" t="n"/>
      <c r="BO631" s="588" t="n"/>
      <c r="BP631" s="588" t="n"/>
      <c r="BQ631" s="588" t="n"/>
      <c r="BR631" s="588" t="n"/>
      <c r="BS631" s="588" t="n"/>
      <c r="BT631" s="588" t="n"/>
      <c r="BU631" s="588" t="n"/>
      <c r="BV631" s="588" t="n"/>
      <c r="BW631" s="588" t="n"/>
      <c r="BX631" s="588" t="n"/>
      <c r="BY631" s="588" t="n"/>
      <c r="BZ631" s="588" t="n"/>
      <c r="CA631" s="588" t="n"/>
      <c r="CB631" s="588" t="n"/>
      <c r="CC631" s="588" t="n"/>
      <c r="CD631" s="588" t="n"/>
      <c r="CE631" s="588" t="n"/>
      <c r="CF631" s="588" t="n"/>
      <c r="CG631" s="588" t="n"/>
      <c r="CH631" s="588" t="n"/>
      <c r="CI631" s="588" t="n"/>
      <c r="CJ631" s="588" t="n"/>
      <c r="CK631" s="588" t="n"/>
      <c r="CL631" s="588" t="n"/>
      <c r="CM631" s="588" t="n"/>
      <c r="CN631" s="588" t="n"/>
      <c r="CO631" s="588" t="n"/>
      <c r="CP631" s="588" t="n"/>
      <c r="CQ631" s="588" t="n"/>
      <c r="CR631" s="588" t="n"/>
      <c r="CS631" s="588" t="n"/>
      <c r="CT631" s="588" t="n"/>
      <c r="CU631" s="588" t="n"/>
      <c r="CV631" s="588" t="n"/>
      <c r="CW631" s="588" t="n"/>
      <c r="CX631" s="588" t="n"/>
      <c r="CY631" s="588" t="n"/>
      <c r="CZ631" s="588" t="n"/>
      <c r="DA631" s="588" t="n"/>
      <c r="DB631" s="588" t="n"/>
      <c r="DC631" s="588" t="n"/>
      <c r="DD631" s="588" t="n"/>
      <c r="DE631" s="588" t="n"/>
      <c r="DF631" s="588" t="n"/>
      <c r="DG631" s="588" t="n"/>
      <c r="DH631" s="588" t="n"/>
      <c r="DI631" s="588" t="n"/>
      <c r="DJ631" s="588" t="n"/>
      <c r="DK631" s="588" t="n"/>
      <c r="DL631" s="588" t="n"/>
      <c r="DM631" s="588" t="n"/>
      <c r="DN631" s="588" t="n"/>
      <c r="DO631" s="588" t="n"/>
      <c r="DP631" s="588" t="n"/>
      <c r="DQ631" s="588" t="n"/>
      <c r="DR631" s="588" t="n"/>
      <c r="DS631" s="588" t="n"/>
      <c r="DT631" s="588" t="n"/>
      <c r="DU631" s="588" t="n"/>
    </row>
    <row r="632">
      <c r="A632" s="737" t="n"/>
      <c r="B632" s="737" t="n"/>
      <c r="C632" s="737" t="n"/>
      <c r="D632" s="737" t="n"/>
      <c r="E632" s="737" t="n"/>
      <c r="F632" s="737" t="n"/>
      <c r="G632" s="737" t="n"/>
      <c r="H632" s="737" t="n"/>
      <c r="I632" s="737" t="n"/>
      <c r="J632" s="737" t="n"/>
      <c r="K632" s="737" t="n"/>
      <c r="L632" s="737" t="n"/>
      <c r="M632" s="737" t="n"/>
      <c r="N632" s="737" t="n"/>
      <c r="O632" s="737" t="n"/>
      <c r="P632" s="737" t="n"/>
      <c r="Q632" s="737" t="n"/>
      <c r="R632" s="737" t="n"/>
      <c r="S632" s="737" t="n"/>
      <c r="T632" s="737" t="n"/>
      <c r="U632" s="737" t="n"/>
      <c r="V632" s="737" t="n"/>
      <c r="W632" s="737" t="n"/>
      <c r="X632" s="737" t="n"/>
      <c r="Y632" s="737" t="n"/>
      <c r="Z632" s="737" t="n"/>
      <c r="AA632" s="737" t="n"/>
      <c r="AB632" s="737" t="n"/>
      <c r="AC632" s="737" t="n"/>
      <c r="AD632" s="737" t="n"/>
      <c r="AE632" s="737" t="n"/>
      <c r="AF632" s="737" t="n"/>
      <c r="AG632" s="737" t="n"/>
      <c r="AH632" s="737" t="n"/>
      <c r="AI632" s="737" t="n"/>
      <c r="AJ632" s="737" t="n"/>
      <c r="AK632" s="588" t="n"/>
      <c r="AL632" s="588" t="n"/>
      <c r="AM632" s="588" t="n"/>
      <c r="AN632" s="588" t="n"/>
      <c r="AO632" s="588" t="n"/>
      <c r="AP632" s="588" t="n"/>
      <c r="AQ632" s="588" t="n"/>
      <c r="AR632" s="588" t="n"/>
      <c r="AS632" s="588" t="n"/>
      <c r="AT632" s="588" t="n"/>
      <c r="AU632" s="588" t="n"/>
      <c r="AV632" s="588" t="n"/>
      <c r="AW632" s="588" t="n"/>
      <c r="AX632" s="588" t="n"/>
      <c r="AY632" s="588" t="n"/>
      <c r="AZ632" s="588" t="n"/>
      <c r="BA632" s="588" t="n"/>
      <c r="BB632" s="588" t="n"/>
      <c r="BC632" s="588" t="n"/>
      <c r="BD632" s="588" t="n"/>
      <c r="BE632" s="588" t="n"/>
      <c r="BF632" s="588" t="n"/>
      <c r="BG632" s="588" t="n"/>
      <c r="BH632" s="588" t="n"/>
      <c r="BI632" s="588" t="n"/>
      <c r="BJ632" s="588" t="n"/>
      <c r="BK632" s="588" t="n"/>
      <c r="BL632" s="588" t="n"/>
      <c r="BM632" s="588" t="n"/>
      <c r="BN632" s="588" t="n"/>
      <c r="BO632" s="588" t="n"/>
      <c r="BP632" s="588" t="n"/>
      <c r="BQ632" s="588" t="n"/>
      <c r="BR632" s="588" t="n"/>
      <c r="BS632" s="588" t="n"/>
      <c r="BT632" s="588" t="n"/>
      <c r="BU632" s="588" t="n"/>
      <c r="BV632" s="588" t="n"/>
      <c r="BW632" s="588" t="n"/>
      <c r="BX632" s="588" t="n"/>
      <c r="BY632" s="588" t="n"/>
      <c r="BZ632" s="588" t="n"/>
      <c r="CA632" s="588" t="n"/>
      <c r="CB632" s="588" t="n"/>
      <c r="CC632" s="588" t="n"/>
      <c r="CD632" s="588" t="n"/>
      <c r="CE632" s="588" t="n"/>
      <c r="CF632" s="588" t="n"/>
      <c r="CG632" s="588" t="n"/>
      <c r="CH632" s="588" t="n"/>
      <c r="CI632" s="588" t="n"/>
      <c r="CJ632" s="588" t="n"/>
      <c r="CK632" s="588" t="n"/>
      <c r="CL632" s="588" t="n"/>
      <c r="CM632" s="588" t="n"/>
      <c r="CN632" s="588" t="n"/>
      <c r="CO632" s="588" t="n"/>
      <c r="CP632" s="588" t="n"/>
      <c r="CQ632" s="588" t="n"/>
      <c r="CR632" s="588" t="n"/>
      <c r="CS632" s="588" t="n"/>
      <c r="CT632" s="588" t="n"/>
      <c r="CU632" s="588" t="n"/>
      <c r="CV632" s="588" t="n"/>
      <c r="CW632" s="588" t="n"/>
      <c r="CX632" s="588" t="n"/>
      <c r="CY632" s="588" t="n"/>
      <c r="CZ632" s="588" t="n"/>
      <c r="DA632" s="588" t="n"/>
      <c r="DB632" s="588" t="n"/>
      <c r="DC632" s="588" t="n"/>
      <c r="DD632" s="588" t="n"/>
      <c r="DE632" s="588" t="n"/>
      <c r="DF632" s="588" t="n"/>
      <c r="DG632" s="588" t="n"/>
      <c r="DH632" s="588" t="n"/>
      <c r="DI632" s="588" t="n"/>
      <c r="DJ632" s="588" t="n"/>
      <c r="DK632" s="588" t="n"/>
      <c r="DL632" s="588" t="n"/>
      <c r="DM632" s="588" t="n"/>
      <c r="DN632" s="588" t="n"/>
      <c r="DO632" s="588" t="n"/>
      <c r="DP632" s="588" t="n"/>
      <c r="DQ632" s="588" t="n"/>
      <c r="DR632" s="588" t="n"/>
      <c r="DS632" s="588" t="n"/>
      <c r="DT632" s="588" t="n"/>
      <c r="DU632" s="588" t="n"/>
    </row>
    <row r="633">
      <c r="A633" s="737" t="n"/>
      <c r="B633" s="737" t="n"/>
      <c r="C633" s="737" t="n"/>
      <c r="D633" s="737" t="n"/>
      <c r="E633" s="737" t="n"/>
      <c r="F633" s="737" t="n"/>
      <c r="G633" s="737" t="n"/>
      <c r="H633" s="737" t="n"/>
      <c r="I633" s="737" t="n"/>
      <c r="J633" s="737" t="n"/>
      <c r="K633" s="737" t="n"/>
      <c r="L633" s="737" t="n"/>
      <c r="M633" s="737" t="n"/>
      <c r="N633" s="737" t="n"/>
      <c r="O633" s="737" t="n"/>
      <c r="P633" s="737" t="n"/>
      <c r="Q633" s="737" t="n"/>
      <c r="R633" s="737" t="n"/>
      <c r="S633" s="737" t="n"/>
      <c r="T633" s="737" t="n"/>
      <c r="U633" s="737" t="n"/>
      <c r="V633" s="737" t="n"/>
      <c r="W633" s="737" t="n"/>
      <c r="X633" s="737" t="n"/>
      <c r="Y633" s="737" t="n"/>
      <c r="Z633" s="737" t="n"/>
      <c r="AA633" s="737" t="n"/>
      <c r="AB633" s="737" t="n"/>
      <c r="AC633" s="737" t="n"/>
      <c r="AD633" s="737" t="n"/>
      <c r="AE633" s="737" t="n"/>
      <c r="AF633" s="737" t="n"/>
      <c r="AG633" s="737" t="n"/>
      <c r="AH633" s="737" t="n"/>
      <c r="AI633" s="737" t="n"/>
      <c r="AJ633" s="737" t="n"/>
      <c r="AK633" s="588" t="n"/>
      <c r="AL633" s="588" t="n"/>
      <c r="AM633" s="588" t="n"/>
      <c r="AN633" s="588" t="n"/>
      <c r="AO633" s="588" t="n"/>
      <c r="AP633" s="588" t="n"/>
      <c r="AQ633" s="588" t="n"/>
      <c r="AR633" s="588" t="n"/>
      <c r="AS633" s="588" t="n"/>
      <c r="AT633" s="588" t="n"/>
      <c r="AU633" s="588" t="n"/>
      <c r="AV633" s="588" t="n"/>
      <c r="AW633" s="588" t="n"/>
      <c r="AX633" s="588" t="n"/>
      <c r="AY633" s="588" t="n"/>
      <c r="AZ633" s="588" t="n"/>
      <c r="BA633" s="588" t="n"/>
      <c r="BB633" s="588" t="n"/>
      <c r="BC633" s="588" t="n"/>
      <c r="BD633" s="588" t="n"/>
      <c r="BE633" s="588" t="n"/>
      <c r="BF633" s="588" t="n"/>
      <c r="BG633" s="588" t="n"/>
      <c r="BH633" s="588" t="n"/>
      <c r="BI633" s="588" t="n"/>
      <c r="BJ633" s="588" t="n"/>
      <c r="BK633" s="588" t="n"/>
      <c r="BL633" s="588" t="n"/>
      <c r="BM633" s="588" t="n"/>
      <c r="BN633" s="588" t="n"/>
      <c r="BO633" s="588" t="n"/>
      <c r="BP633" s="588" t="n"/>
      <c r="BQ633" s="588" t="n"/>
      <c r="BR633" s="588" t="n"/>
      <c r="BS633" s="588" t="n"/>
      <c r="BT633" s="588" t="n"/>
      <c r="BU633" s="588" t="n"/>
      <c r="BV633" s="588" t="n"/>
      <c r="BW633" s="588" t="n"/>
      <c r="BX633" s="588" t="n"/>
      <c r="BY633" s="588" t="n"/>
      <c r="BZ633" s="588" t="n"/>
      <c r="CA633" s="588" t="n"/>
      <c r="CB633" s="588" t="n"/>
      <c r="CC633" s="588" t="n"/>
      <c r="CD633" s="588" t="n"/>
      <c r="CE633" s="588" t="n"/>
      <c r="CF633" s="588" t="n"/>
      <c r="CG633" s="588" t="n"/>
      <c r="CH633" s="588" t="n"/>
      <c r="CI633" s="588" t="n"/>
      <c r="CJ633" s="588" t="n"/>
      <c r="CK633" s="588" t="n"/>
      <c r="CL633" s="588" t="n"/>
      <c r="CM633" s="588" t="n"/>
      <c r="CN633" s="588" t="n"/>
      <c r="CO633" s="588" t="n"/>
      <c r="CP633" s="588" t="n"/>
      <c r="CQ633" s="588" t="n"/>
      <c r="CR633" s="588" t="n"/>
      <c r="CS633" s="588" t="n"/>
      <c r="CT633" s="588" t="n"/>
      <c r="CU633" s="588" t="n"/>
      <c r="CV633" s="588" t="n"/>
      <c r="CW633" s="588" t="n"/>
      <c r="CX633" s="588" t="n"/>
      <c r="CY633" s="588" t="n"/>
      <c r="CZ633" s="588" t="n"/>
      <c r="DA633" s="588" t="n"/>
      <c r="DB633" s="588" t="n"/>
      <c r="DC633" s="588" t="n"/>
      <c r="DD633" s="588" t="n"/>
      <c r="DE633" s="588" t="n"/>
      <c r="DF633" s="588" t="n"/>
      <c r="DG633" s="588" t="n"/>
      <c r="DH633" s="588" t="n"/>
      <c r="DI633" s="588" t="n"/>
      <c r="DJ633" s="588" t="n"/>
      <c r="DK633" s="588" t="n"/>
      <c r="DL633" s="588" t="n"/>
      <c r="DM633" s="588" t="n"/>
      <c r="DN633" s="588" t="n"/>
      <c r="DO633" s="588" t="n"/>
      <c r="DP633" s="588" t="n"/>
      <c r="DQ633" s="588" t="n"/>
      <c r="DR633" s="588" t="n"/>
      <c r="DS633" s="588" t="n"/>
      <c r="DT633" s="588" t="n"/>
      <c r="DU633" s="588" t="n"/>
    </row>
    <row r="634">
      <c r="A634" s="737" t="n"/>
      <c r="B634" s="737" t="n"/>
      <c r="C634" s="737" t="n"/>
      <c r="D634" s="737" t="n"/>
      <c r="E634" s="737" t="n"/>
      <c r="F634" s="737" t="n"/>
      <c r="G634" s="737" t="n"/>
      <c r="H634" s="737" t="n"/>
      <c r="I634" s="737" t="n"/>
      <c r="J634" s="737" t="n"/>
      <c r="K634" s="737" t="n"/>
      <c r="L634" s="737" t="n"/>
      <c r="M634" s="737" t="n"/>
      <c r="N634" s="737" t="n"/>
      <c r="O634" s="737" t="n"/>
      <c r="P634" s="737" t="n"/>
      <c r="Q634" s="737" t="n"/>
      <c r="R634" s="737" t="n"/>
      <c r="S634" s="737" t="n"/>
      <c r="T634" s="737" t="n"/>
      <c r="U634" s="737" t="n"/>
      <c r="V634" s="737" t="n"/>
      <c r="W634" s="737" t="n"/>
      <c r="X634" s="737" t="n"/>
      <c r="Y634" s="737" t="n"/>
      <c r="Z634" s="737" t="n"/>
      <c r="AA634" s="737" t="n"/>
      <c r="AB634" s="737" t="n"/>
      <c r="AC634" s="737" t="n"/>
      <c r="AD634" s="737" t="n"/>
      <c r="AE634" s="737" t="n"/>
      <c r="AF634" s="737" t="n"/>
      <c r="AG634" s="737" t="n"/>
      <c r="AH634" s="737" t="n"/>
      <c r="AI634" s="737" t="n"/>
      <c r="AJ634" s="737" t="n"/>
      <c r="AK634" s="588" t="n"/>
      <c r="AL634" s="588" t="n"/>
      <c r="AM634" s="588" t="n"/>
      <c r="AN634" s="588" t="n"/>
      <c r="AO634" s="588" t="n"/>
      <c r="AP634" s="588" t="n"/>
      <c r="AQ634" s="588" t="n"/>
      <c r="AR634" s="588" t="n"/>
      <c r="AS634" s="588" t="n"/>
      <c r="AT634" s="588" t="n"/>
      <c r="AU634" s="588" t="n"/>
      <c r="AV634" s="588" t="n"/>
      <c r="AW634" s="588" t="n"/>
      <c r="AX634" s="588" t="n"/>
      <c r="AY634" s="588" t="n"/>
      <c r="AZ634" s="588" t="n"/>
      <c r="BA634" s="588" t="n"/>
      <c r="BB634" s="588" t="n"/>
      <c r="BC634" s="588" t="n"/>
      <c r="BD634" s="588" t="n"/>
      <c r="BE634" s="588" t="n"/>
      <c r="BF634" s="588" t="n"/>
      <c r="BG634" s="588" t="n"/>
      <c r="BH634" s="588" t="n"/>
      <c r="BI634" s="588" t="n"/>
      <c r="BJ634" s="588" t="n"/>
      <c r="BK634" s="588" t="n"/>
      <c r="BL634" s="588" t="n"/>
      <c r="BM634" s="588" t="n"/>
      <c r="BN634" s="588" t="n"/>
      <c r="BO634" s="588" t="n"/>
      <c r="BP634" s="588" t="n"/>
      <c r="BQ634" s="588" t="n"/>
      <c r="BR634" s="588" t="n"/>
      <c r="BS634" s="588" t="n"/>
      <c r="BT634" s="588" t="n"/>
      <c r="BU634" s="588" t="n"/>
      <c r="BV634" s="588" t="n"/>
      <c r="BW634" s="588" t="n"/>
      <c r="BX634" s="588" t="n"/>
      <c r="BY634" s="588" t="n"/>
      <c r="BZ634" s="588" t="n"/>
      <c r="CA634" s="588" t="n"/>
      <c r="CB634" s="588" t="n"/>
      <c r="CC634" s="588" t="n"/>
      <c r="CD634" s="588" t="n"/>
      <c r="CE634" s="588" t="n"/>
      <c r="CF634" s="588" t="n"/>
      <c r="CG634" s="588" t="n"/>
      <c r="CH634" s="588" t="n"/>
      <c r="CI634" s="588" t="n"/>
      <c r="CJ634" s="588" t="n"/>
      <c r="CK634" s="588" t="n"/>
      <c r="CL634" s="588" t="n"/>
      <c r="CM634" s="588" t="n"/>
      <c r="CN634" s="588" t="n"/>
      <c r="CO634" s="588" t="n"/>
      <c r="CP634" s="588" t="n"/>
      <c r="CQ634" s="588" t="n"/>
      <c r="CR634" s="588" t="n"/>
      <c r="CS634" s="588" t="n"/>
      <c r="CT634" s="588" t="n"/>
      <c r="CU634" s="588" t="n"/>
      <c r="CV634" s="588" t="n"/>
      <c r="CW634" s="588" t="n"/>
      <c r="CX634" s="588" t="n"/>
      <c r="CY634" s="588" t="n"/>
      <c r="CZ634" s="588" t="n"/>
      <c r="DA634" s="588" t="n"/>
      <c r="DB634" s="588" t="n"/>
      <c r="DC634" s="588" t="n"/>
      <c r="DD634" s="588" t="n"/>
      <c r="DE634" s="588" t="n"/>
      <c r="DF634" s="588" t="n"/>
      <c r="DG634" s="588" t="n"/>
      <c r="DH634" s="588" t="n"/>
      <c r="DI634" s="588" t="n"/>
      <c r="DJ634" s="588" t="n"/>
      <c r="DK634" s="588" t="n"/>
      <c r="DL634" s="588" t="n"/>
      <c r="DM634" s="588" t="n"/>
      <c r="DN634" s="588" t="n"/>
      <c r="DO634" s="588" t="n"/>
      <c r="DP634" s="588" t="n"/>
      <c r="DQ634" s="588" t="n"/>
      <c r="DR634" s="588" t="n"/>
      <c r="DS634" s="588" t="n"/>
      <c r="DT634" s="588" t="n"/>
      <c r="DU634" s="588" t="n"/>
    </row>
    <row r="635">
      <c r="A635" s="737" t="n"/>
      <c r="B635" s="737" t="n"/>
      <c r="C635" s="737" t="n"/>
      <c r="D635" s="737" t="n"/>
      <c r="E635" s="737" t="n"/>
      <c r="F635" s="737" t="n"/>
      <c r="G635" s="737" t="n"/>
      <c r="H635" s="737" t="n"/>
      <c r="I635" s="737" t="n"/>
      <c r="J635" s="737" t="n"/>
      <c r="K635" s="737" t="n"/>
      <c r="L635" s="737" t="n"/>
      <c r="M635" s="737" t="n"/>
      <c r="N635" s="737" t="n"/>
      <c r="O635" s="737" t="n"/>
      <c r="P635" s="737" t="n"/>
      <c r="Q635" s="737" t="n"/>
      <c r="R635" s="737" t="n"/>
      <c r="S635" s="737" t="n"/>
      <c r="T635" s="737" t="n"/>
      <c r="U635" s="737" t="n"/>
      <c r="V635" s="737" t="n"/>
      <c r="W635" s="737" t="n"/>
      <c r="X635" s="737" t="n"/>
      <c r="Y635" s="737" t="n"/>
      <c r="Z635" s="737" t="n"/>
      <c r="AA635" s="737" t="n"/>
      <c r="AB635" s="737" t="n"/>
      <c r="AC635" s="737" t="n"/>
      <c r="AD635" s="737" t="n"/>
      <c r="AE635" s="737" t="n"/>
      <c r="AF635" s="737" t="n"/>
      <c r="AG635" s="737" t="n"/>
      <c r="AH635" s="737" t="n"/>
      <c r="AI635" s="737" t="n"/>
      <c r="AJ635" s="737" t="n"/>
      <c r="AK635" s="588" t="n"/>
      <c r="AL635" s="588" t="n"/>
      <c r="AM635" s="588" t="n"/>
      <c r="AN635" s="588" t="n"/>
      <c r="AO635" s="588" t="n"/>
      <c r="AP635" s="588" t="n"/>
      <c r="AQ635" s="588" t="n"/>
      <c r="AR635" s="588" t="n"/>
      <c r="AS635" s="588" t="n"/>
      <c r="AT635" s="588" t="n"/>
      <c r="AU635" s="588" t="n"/>
      <c r="AV635" s="588" t="n"/>
      <c r="AW635" s="588" t="n"/>
      <c r="AX635" s="588" t="n"/>
      <c r="AY635" s="588" t="n"/>
      <c r="AZ635" s="588" t="n"/>
      <c r="BA635" s="588" t="n"/>
      <c r="BB635" s="588" t="n"/>
      <c r="BC635" s="588" t="n"/>
      <c r="BD635" s="588" t="n"/>
      <c r="BE635" s="588" t="n"/>
      <c r="BF635" s="588" t="n"/>
      <c r="BG635" s="588" t="n"/>
      <c r="BH635" s="588" t="n"/>
      <c r="BI635" s="588" t="n"/>
      <c r="BJ635" s="588" t="n"/>
      <c r="BK635" s="588" t="n"/>
      <c r="BL635" s="588" t="n"/>
      <c r="BM635" s="588" t="n"/>
      <c r="BN635" s="588" t="n"/>
      <c r="BO635" s="588" t="n"/>
      <c r="BP635" s="588" t="n"/>
      <c r="BQ635" s="588" t="n"/>
      <c r="BR635" s="588" t="n"/>
      <c r="BS635" s="588" t="n"/>
      <c r="BT635" s="588" t="n"/>
      <c r="BU635" s="588" t="n"/>
      <c r="BV635" s="588" t="n"/>
      <c r="BW635" s="588" t="n"/>
      <c r="BX635" s="588" t="n"/>
      <c r="BY635" s="588" t="n"/>
      <c r="BZ635" s="588" t="n"/>
      <c r="CA635" s="588" t="n"/>
      <c r="CB635" s="588" t="n"/>
      <c r="CC635" s="588" t="n"/>
      <c r="CD635" s="588" t="n"/>
      <c r="CE635" s="588" t="n"/>
      <c r="CF635" s="588" t="n"/>
      <c r="CG635" s="588" t="n"/>
      <c r="CH635" s="588" t="n"/>
      <c r="CI635" s="588" t="n"/>
      <c r="CJ635" s="588" t="n"/>
      <c r="CK635" s="588" t="n"/>
      <c r="CL635" s="588" t="n"/>
      <c r="CM635" s="588" t="n"/>
      <c r="CN635" s="588" t="n"/>
      <c r="CO635" s="588" t="n"/>
      <c r="CP635" s="588" t="n"/>
      <c r="CQ635" s="588" t="n"/>
      <c r="CR635" s="588" t="n"/>
      <c r="CS635" s="588" t="n"/>
      <c r="CT635" s="588" t="n"/>
      <c r="CU635" s="588" t="n"/>
      <c r="CV635" s="588" t="n"/>
      <c r="CW635" s="588" t="n"/>
      <c r="CX635" s="588" t="n"/>
      <c r="CY635" s="588" t="n"/>
      <c r="CZ635" s="588" t="n"/>
      <c r="DA635" s="588" t="n"/>
      <c r="DB635" s="588" t="n"/>
      <c r="DC635" s="588" t="n"/>
      <c r="DD635" s="588" t="n"/>
      <c r="DE635" s="588" t="n"/>
      <c r="DF635" s="588" t="n"/>
      <c r="DG635" s="588" t="n"/>
      <c r="DH635" s="588" t="n"/>
      <c r="DI635" s="588" t="n"/>
      <c r="DJ635" s="588" t="n"/>
      <c r="DK635" s="588" t="n"/>
      <c r="DL635" s="588" t="n"/>
      <c r="DM635" s="588" t="n"/>
      <c r="DN635" s="588" t="n"/>
      <c r="DO635" s="588" t="n"/>
      <c r="DP635" s="588" t="n"/>
      <c r="DQ635" s="588" t="n"/>
      <c r="DR635" s="588" t="n"/>
      <c r="DS635" s="588" t="n"/>
      <c r="DT635" s="588" t="n"/>
      <c r="DU635" s="588" t="n"/>
    </row>
    <row r="636">
      <c r="A636" s="737" t="n"/>
      <c r="B636" s="737" t="n"/>
      <c r="C636" s="737" t="n"/>
      <c r="D636" s="737" t="n"/>
      <c r="E636" s="737" t="n"/>
      <c r="F636" s="737" t="n"/>
      <c r="G636" s="737" t="n"/>
      <c r="H636" s="737" t="n"/>
      <c r="I636" s="737" t="n"/>
      <c r="J636" s="737" t="n"/>
      <c r="K636" s="737" t="n"/>
      <c r="L636" s="737" t="n"/>
      <c r="M636" s="737" t="n"/>
      <c r="N636" s="737" t="n"/>
      <c r="O636" s="737" t="n"/>
      <c r="P636" s="737" t="n"/>
      <c r="Q636" s="737" t="n"/>
      <c r="R636" s="737" t="n"/>
      <c r="S636" s="737" t="n"/>
      <c r="T636" s="737" t="n"/>
      <c r="U636" s="737" t="n"/>
      <c r="V636" s="737" t="n"/>
      <c r="W636" s="737" t="n"/>
      <c r="X636" s="737" t="n"/>
      <c r="Y636" s="737" t="n"/>
      <c r="Z636" s="737" t="n"/>
      <c r="AA636" s="737" t="n"/>
      <c r="AB636" s="737" t="n"/>
      <c r="AC636" s="737" t="n"/>
      <c r="AD636" s="737" t="n"/>
      <c r="AE636" s="737" t="n"/>
      <c r="AF636" s="737" t="n"/>
      <c r="AG636" s="737" t="n"/>
      <c r="AH636" s="737" t="n"/>
      <c r="AI636" s="737" t="n"/>
      <c r="AJ636" s="737" t="n"/>
      <c r="AK636" s="588" t="n"/>
      <c r="AL636" s="588" t="n"/>
      <c r="AM636" s="588" t="n"/>
      <c r="AN636" s="588" t="n"/>
      <c r="AO636" s="588" t="n"/>
      <c r="AP636" s="588" t="n"/>
      <c r="AQ636" s="588" t="n"/>
      <c r="AR636" s="588" t="n"/>
      <c r="AS636" s="588" t="n"/>
      <c r="AT636" s="588" t="n"/>
      <c r="AU636" s="588" t="n"/>
      <c r="AV636" s="588" t="n"/>
      <c r="AW636" s="588" t="n"/>
      <c r="AX636" s="588" t="n"/>
      <c r="AY636" s="588" t="n"/>
      <c r="AZ636" s="588" t="n"/>
      <c r="BA636" s="588" t="n"/>
      <c r="BB636" s="588" t="n"/>
      <c r="BC636" s="588" t="n"/>
      <c r="BD636" s="588" t="n"/>
      <c r="BE636" s="588" t="n"/>
      <c r="BF636" s="588" t="n"/>
      <c r="BG636" s="588" t="n"/>
      <c r="BH636" s="588" t="n"/>
      <c r="BI636" s="588" t="n"/>
      <c r="BJ636" s="588" t="n"/>
      <c r="BK636" s="588" t="n"/>
      <c r="BL636" s="588" t="n"/>
      <c r="BM636" s="588" t="n"/>
      <c r="BN636" s="588" t="n"/>
      <c r="BO636" s="588" t="n"/>
      <c r="BP636" s="588" t="n"/>
      <c r="BQ636" s="588" t="n"/>
      <c r="BR636" s="588" t="n"/>
      <c r="BS636" s="588" t="n"/>
      <c r="BT636" s="588" t="n"/>
      <c r="BU636" s="588" t="n"/>
      <c r="BV636" s="588" t="n"/>
      <c r="BW636" s="588" t="n"/>
      <c r="BX636" s="588" t="n"/>
      <c r="BY636" s="588" t="n"/>
      <c r="BZ636" s="588" t="n"/>
      <c r="CA636" s="588" t="n"/>
      <c r="CB636" s="588" t="n"/>
      <c r="CC636" s="588" t="n"/>
      <c r="CD636" s="588" t="n"/>
      <c r="CE636" s="588" t="n"/>
      <c r="CF636" s="588" t="n"/>
      <c r="CG636" s="588" t="n"/>
      <c r="CH636" s="588" t="n"/>
      <c r="CI636" s="588" t="n"/>
      <c r="CJ636" s="588" t="n"/>
      <c r="CK636" s="588" t="n"/>
      <c r="CL636" s="588" t="n"/>
      <c r="CM636" s="588" t="n"/>
      <c r="CN636" s="588" t="n"/>
      <c r="CO636" s="588" t="n"/>
      <c r="CP636" s="588" t="n"/>
      <c r="CQ636" s="588" t="n"/>
      <c r="CR636" s="588" t="n"/>
      <c r="CS636" s="588" t="n"/>
      <c r="CT636" s="588" t="n"/>
      <c r="CU636" s="588" t="n"/>
      <c r="CV636" s="588" t="n"/>
      <c r="CW636" s="588" t="n"/>
      <c r="CX636" s="588" t="n"/>
      <c r="CY636" s="588" t="n"/>
      <c r="CZ636" s="588" t="n"/>
      <c r="DA636" s="588" t="n"/>
      <c r="DB636" s="588" t="n"/>
      <c r="DC636" s="588" t="n"/>
      <c r="DD636" s="588" t="n"/>
      <c r="DE636" s="588" t="n"/>
      <c r="DF636" s="588" t="n"/>
      <c r="DG636" s="588" t="n"/>
      <c r="DH636" s="588" t="n"/>
      <c r="DI636" s="588" t="n"/>
      <c r="DJ636" s="588" t="n"/>
      <c r="DK636" s="588" t="n"/>
      <c r="DL636" s="588" t="n"/>
      <c r="DM636" s="588" t="n"/>
      <c r="DN636" s="588" t="n"/>
      <c r="DO636" s="588" t="n"/>
      <c r="DP636" s="588" t="n"/>
      <c r="DQ636" s="588" t="n"/>
      <c r="DR636" s="588" t="n"/>
      <c r="DS636" s="588" t="n"/>
      <c r="DT636" s="588" t="n"/>
      <c r="DU636" s="588" t="n"/>
    </row>
    <row r="637">
      <c r="A637" s="737" t="n"/>
      <c r="B637" s="737" t="n"/>
      <c r="C637" s="737" t="n"/>
      <c r="D637" s="737" t="n"/>
      <c r="E637" s="737" t="n"/>
      <c r="F637" s="737" t="n"/>
      <c r="G637" s="737" t="n"/>
      <c r="H637" s="737" t="n"/>
      <c r="I637" s="737" t="n"/>
      <c r="J637" s="737" t="n"/>
      <c r="K637" s="737" t="n"/>
      <c r="L637" s="737" t="n"/>
      <c r="M637" s="737" t="n"/>
      <c r="N637" s="737" t="n"/>
      <c r="O637" s="737" t="n"/>
      <c r="P637" s="737" t="n"/>
      <c r="Q637" s="737" t="n"/>
      <c r="R637" s="737" t="n"/>
      <c r="S637" s="737" t="n"/>
      <c r="T637" s="737" t="n"/>
      <c r="U637" s="737" t="n"/>
      <c r="V637" s="737" t="n"/>
      <c r="W637" s="737" t="n"/>
      <c r="X637" s="737" t="n"/>
      <c r="Y637" s="737" t="n"/>
      <c r="Z637" s="737" t="n"/>
      <c r="AA637" s="737" t="n"/>
      <c r="AB637" s="737" t="n"/>
      <c r="AC637" s="737" t="n"/>
      <c r="AD637" s="737" t="n"/>
      <c r="AE637" s="737" t="n"/>
      <c r="AF637" s="737" t="n"/>
      <c r="AG637" s="737" t="n"/>
      <c r="AH637" s="737" t="n"/>
      <c r="AI637" s="737" t="n"/>
      <c r="AJ637" s="737" t="n"/>
      <c r="AK637" s="588" t="n"/>
      <c r="AL637" s="588" t="n"/>
      <c r="AM637" s="588" t="n"/>
      <c r="AN637" s="588" t="n"/>
      <c r="AO637" s="588" t="n"/>
      <c r="AP637" s="588" t="n"/>
      <c r="AQ637" s="588" t="n"/>
      <c r="AR637" s="588" t="n"/>
      <c r="AS637" s="588" t="n"/>
      <c r="AT637" s="588" t="n"/>
      <c r="AU637" s="588" t="n"/>
      <c r="AV637" s="588" t="n"/>
      <c r="AW637" s="588" t="n"/>
      <c r="AX637" s="588" t="n"/>
      <c r="AY637" s="588" t="n"/>
      <c r="AZ637" s="588" t="n"/>
      <c r="BA637" s="588" t="n"/>
      <c r="BB637" s="588" t="n"/>
      <c r="BC637" s="588" t="n"/>
      <c r="BD637" s="588" t="n"/>
      <c r="BE637" s="588" t="n"/>
      <c r="BF637" s="588" t="n"/>
      <c r="BG637" s="588" t="n"/>
      <c r="BH637" s="588" t="n"/>
      <c r="BI637" s="588" t="n"/>
      <c r="BJ637" s="588" t="n"/>
      <c r="BK637" s="588" t="n"/>
      <c r="BL637" s="588" t="n"/>
      <c r="BM637" s="588" t="n"/>
      <c r="BN637" s="588" t="n"/>
      <c r="BO637" s="588" t="n"/>
      <c r="BP637" s="588" t="n"/>
      <c r="BQ637" s="588" t="n"/>
      <c r="BR637" s="588" t="n"/>
      <c r="BS637" s="588" t="n"/>
      <c r="BT637" s="588" t="n"/>
      <c r="BU637" s="588" t="n"/>
      <c r="BV637" s="588" t="n"/>
      <c r="BW637" s="588" t="n"/>
      <c r="BX637" s="588" t="n"/>
      <c r="BY637" s="588" t="n"/>
      <c r="BZ637" s="588" t="n"/>
      <c r="CA637" s="588" t="n"/>
      <c r="CB637" s="588" t="n"/>
      <c r="CC637" s="588" t="n"/>
      <c r="CD637" s="588" t="n"/>
      <c r="CE637" s="588" t="n"/>
      <c r="CF637" s="588" t="n"/>
      <c r="CG637" s="588" t="n"/>
      <c r="CH637" s="588" t="n"/>
      <c r="CI637" s="588" t="n"/>
      <c r="CJ637" s="588" t="n"/>
      <c r="CK637" s="588" t="n"/>
      <c r="CL637" s="588" t="n"/>
      <c r="CM637" s="588" t="n"/>
      <c r="CN637" s="588" t="n"/>
      <c r="CO637" s="588" t="n"/>
      <c r="CP637" s="588" t="n"/>
      <c r="CQ637" s="588" t="n"/>
      <c r="CR637" s="588" t="n"/>
      <c r="CS637" s="588" t="n"/>
      <c r="CT637" s="588" t="n"/>
      <c r="CU637" s="588" t="n"/>
      <c r="CV637" s="588" t="n"/>
      <c r="CW637" s="588" t="n"/>
      <c r="CX637" s="588" t="n"/>
      <c r="CY637" s="588" t="n"/>
      <c r="CZ637" s="588" t="n"/>
      <c r="DA637" s="588" t="n"/>
      <c r="DB637" s="588" t="n"/>
      <c r="DC637" s="588" t="n"/>
      <c r="DD637" s="588" t="n"/>
      <c r="DE637" s="588" t="n"/>
      <c r="DF637" s="588" t="n"/>
      <c r="DG637" s="588" t="n"/>
      <c r="DH637" s="588" t="n"/>
      <c r="DI637" s="588" t="n"/>
      <c r="DJ637" s="588" t="n"/>
      <c r="DK637" s="588" t="n"/>
      <c r="DL637" s="588" t="n"/>
      <c r="DM637" s="588" t="n"/>
      <c r="DN637" s="588" t="n"/>
      <c r="DO637" s="588" t="n"/>
      <c r="DP637" s="588" t="n"/>
      <c r="DQ637" s="588" t="n"/>
      <c r="DR637" s="588" t="n"/>
      <c r="DS637" s="588" t="n"/>
      <c r="DT637" s="588" t="n"/>
      <c r="DU637" s="588" t="n"/>
    </row>
    <row r="638">
      <c r="A638" s="737" t="n"/>
      <c r="B638" s="737" t="n"/>
      <c r="C638" s="737" t="n"/>
      <c r="D638" s="737" t="n"/>
      <c r="E638" s="737" t="n"/>
      <c r="F638" s="737" t="n"/>
      <c r="G638" s="737" t="n"/>
      <c r="H638" s="737" t="n"/>
      <c r="I638" s="737" t="n"/>
      <c r="J638" s="737" t="n"/>
      <c r="K638" s="737" t="n"/>
      <c r="L638" s="737" t="n"/>
      <c r="M638" s="737" t="n"/>
      <c r="N638" s="737" t="n"/>
      <c r="O638" s="737" t="n"/>
      <c r="P638" s="737" t="n"/>
      <c r="Q638" s="737" t="n"/>
      <c r="R638" s="737" t="n"/>
      <c r="S638" s="737" t="n"/>
      <c r="T638" s="737" t="n"/>
      <c r="U638" s="737" t="n"/>
      <c r="V638" s="737" t="n"/>
      <c r="W638" s="737" t="n"/>
      <c r="X638" s="737" t="n"/>
      <c r="Y638" s="737" t="n"/>
      <c r="Z638" s="737" t="n"/>
      <c r="AA638" s="737" t="n"/>
      <c r="AB638" s="737" t="n"/>
      <c r="AC638" s="737" t="n"/>
      <c r="AD638" s="737" t="n"/>
      <c r="AE638" s="737" t="n"/>
      <c r="AF638" s="737" t="n"/>
      <c r="AG638" s="737" t="n"/>
      <c r="AH638" s="737" t="n"/>
      <c r="AI638" s="737" t="n"/>
      <c r="AJ638" s="737" t="n"/>
      <c r="AK638" s="588" t="n"/>
      <c r="AL638" s="588" t="n"/>
      <c r="AM638" s="588" t="n"/>
      <c r="AN638" s="588" t="n"/>
      <c r="AO638" s="588" t="n"/>
      <c r="AP638" s="588" t="n"/>
      <c r="AQ638" s="588" t="n"/>
      <c r="AR638" s="588" t="n"/>
      <c r="AS638" s="588" t="n"/>
      <c r="AT638" s="588" t="n"/>
      <c r="AU638" s="588" t="n"/>
      <c r="AV638" s="588" t="n"/>
      <c r="AW638" s="588" t="n"/>
      <c r="AX638" s="588" t="n"/>
      <c r="AY638" s="588" t="n"/>
      <c r="AZ638" s="588" t="n"/>
      <c r="BA638" s="588" t="n"/>
      <c r="BB638" s="588" t="n"/>
      <c r="BC638" s="588" t="n"/>
      <c r="BD638" s="588" t="n"/>
      <c r="BE638" s="588" t="n"/>
      <c r="BF638" s="588" t="n"/>
      <c r="BG638" s="588" t="n"/>
      <c r="BH638" s="588" t="n"/>
      <c r="BI638" s="588" t="n"/>
      <c r="BJ638" s="588" t="n"/>
      <c r="BK638" s="588" t="n"/>
      <c r="BL638" s="588" t="n"/>
      <c r="BM638" s="588" t="n"/>
      <c r="BN638" s="588" t="n"/>
      <c r="BO638" s="588" t="n"/>
      <c r="BP638" s="588" t="n"/>
      <c r="BQ638" s="588" t="n"/>
      <c r="BR638" s="588" t="n"/>
      <c r="BS638" s="588" t="n"/>
      <c r="BT638" s="588" t="n"/>
      <c r="BU638" s="588" t="n"/>
      <c r="BV638" s="588" t="n"/>
      <c r="BW638" s="588" t="n"/>
      <c r="BX638" s="588" t="n"/>
      <c r="BY638" s="588" t="n"/>
      <c r="BZ638" s="588" t="n"/>
      <c r="CA638" s="588" t="n"/>
      <c r="CB638" s="588" t="n"/>
      <c r="CC638" s="588" t="n"/>
      <c r="CD638" s="588" t="n"/>
      <c r="CE638" s="588" t="n"/>
      <c r="CF638" s="588" t="n"/>
      <c r="CG638" s="588" t="n"/>
      <c r="CH638" s="588" t="n"/>
      <c r="CI638" s="588" t="n"/>
      <c r="CJ638" s="588" t="n"/>
      <c r="CK638" s="588" t="n"/>
      <c r="CL638" s="588" t="n"/>
      <c r="CM638" s="588" t="n"/>
      <c r="CN638" s="588" t="n"/>
      <c r="CO638" s="588" t="n"/>
      <c r="CP638" s="588" t="n"/>
      <c r="CQ638" s="588" t="n"/>
      <c r="CR638" s="588" t="n"/>
      <c r="CS638" s="588" t="n"/>
      <c r="CT638" s="588" t="n"/>
      <c r="CU638" s="588" t="n"/>
      <c r="CV638" s="588" t="n"/>
      <c r="CW638" s="588" t="n"/>
      <c r="CX638" s="588" t="n"/>
      <c r="CY638" s="588" t="n"/>
      <c r="CZ638" s="588" t="n"/>
      <c r="DA638" s="588" t="n"/>
      <c r="DB638" s="588" t="n"/>
      <c r="DC638" s="588" t="n"/>
      <c r="DD638" s="588" t="n"/>
      <c r="DE638" s="588" t="n"/>
      <c r="DF638" s="588" t="n"/>
      <c r="DG638" s="588" t="n"/>
      <c r="DH638" s="588" t="n"/>
      <c r="DI638" s="588" t="n"/>
      <c r="DJ638" s="588" t="n"/>
      <c r="DK638" s="588" t="n"/>
      <c r="DL638" s="588" t="n"/>
      <c r="DM638" s="588" t="n"/>
      <c r="DN638" s="588" t="n"/>
      <c r="DO638" s="588" t="n"/>
      <c r="DP638" s="588" t="n"/>
      <c r="DQ638" s="588" t="n"/>
      <c r="DR638" s="588" t="n"/>
      <c r="DS638" s="588" t="n"/>
      <c r="DT638" s="588" t="n"/>
      <c r="DU638" s="588" t="n"/>
    </row>
    <row r="639">
      <c r="A639" s="737" t="n"/>
      <c r="B639" s="737" t="n"/>
      <c r="C639" s="737" t="n"/>
      <c r="D639" s="737" t="n"/>
      <c r="E639" s="737" t="n"/>
      <c r="F639" s="737" t="n"/>
      <c r="G639" s="737" t="n"/>
      <c r="H639" s="737" t="n"/>
      <c r="I639" s="737" t="n"/>
      <c r="J639" s="737" t="n"/>
      <c r="K639" s="737" t="n"/>
      <c r="L639" s="737" t="n"/>
      <c r="M639" s="737" t="n"/>
      <c r="N639" s="737" t="n"/>
      <c r="O639" s="737" t="n"/>
      <c r="P639" s="737" t="n"/>
      <c r="Q639" s="737" t="n"/>
      <c r="R639" s="737" t="n"/>
      <c r="S639" s="737" t="n"/>
      <c r="T639" s="737" t="n"/>
      <c r="U639" s="737" t="n"/>
      <c r="V639" s="737" t="n"/>
      <c r="W639" s="737" t="n"/>
      <c r="X639" s="737" t="n"/>
      <c r="Y639" s="737" t="n"/>
      <c r="Z639" s="737" t="n"/>
      <c r="AA639" s="737" t="n"/>
      <c r="AB639" s="737" t="n"/>
      <c r="AC639" s="737" t="n"/>
      <c r="AD639" s="737" t="n"/>
      <c r="AE639" s="737" t="n"/>
      <c r="AF639" s="737" t="n"/>
      <c r="AG639" s="737" t="n"/>
      <c r="AH639" s="737" t="n"/>
      <c r="AI639" s="737" t="n"/>
      <c r="AJ639" s="737" t="n"/>
      <c r="AK639" s="588" t="n"/>
      <c r="AL639" s="588" t="n"/>
      <c r="AM639" s="588" t="n"/>
      <c r="AN639" s="588" t="n"/>
      <c r="AO639" s="588" t="n"/>
      <c r="AP639" s="588" t="n"/>
      <c r="AQ639" s="588" t="n"/>
      <c r="AR639" s="588" t="n"/>
      <c r="AS639" s="588" t="n"/>
      <c r="AT639" s="588" t="n"/>
      <c r="AU639" s="588" t="n"/>
      <c r="AV639" s="588" t="n"/>
      <c r="AW639" s="588" t="n"/>
      <c r="AX639" s="588" t="n"/>
      <c r="AY639" s="588" t="n"/>
      <c r="AZ639" s="588" t="n"/>
      <c r="BA639" s="588" t="n"/>
      <c r="BB639" s="588" t="n"/>
      <c r="BC639" s="588" t="n"/>
      <c r="BD639" s="588" t="n"/>
      <c r="BE639" s="588" t="n"/>
      <c r="BF639" s="588" t="n"/>
      <c r="BG639" s="588" t="n"/>
      <c r="BH639" s="588" t="n"/>
      <c r="BI639" s="588" t="n"/>
      <c r="BJ639" s="588" t="n"/>
      <c r="BK639" s="588" t="n"/>
      <c r="BL639" s="588" t="n"/>
      <c r="BM639" s="588" t="n"/>
      <c r="BN639" s="588" t="n"/>
      <c r="BO639" s="588" t="n"/>
      <c r="BP639" s="588" t="n"/>
      <c r="BQ639" s="588" t="n"/>
      <c r="BR639" s="588" t="n"/>
      <c r="BS639" s="588" t="n"/>
      <c r="BT639" s="588" t="n"/>
      <c r="BU639" s="588" t="n"/>
      <c r="BV639" s="588" t="n"/>
      <c r="BW639" s="588" t="n"/>
      <c r="BX639" s="588" t="n"/>
      <c r="BY639" s="588" t="n"/>
      <c r="BZ639" s="588" t="n"/>
      <c r="CA639" s="588" t="n"/>
      <c r="CB639" s="588" t="n"/>
      <c r="CC639" s="588" t="n"/>
      <c r="CD639" s="588" t="n"/>
      <c r="CE639" s="588" t="n"/>
      <c r="CF639" s="588" t="n"/>
      <c r="CG639" s="588" t="n"/>
      <c r="CH639" s="588" t="n"/>
      <c r="CI639" s="588" t="n"/>
      <c r="CJ639" s="588" t="n"/>
      <c r="CK639" s="588" t="n"/>
      <c r="CL639" s="588" t="n"/>
      <c r="CM639" s="588" t="n"/>
      <c r="CN639" s="588" t="n"/>
      <c r="CO639" s="588" t="n"/>
      <c r="CP639" s="588" t="n"/>
      <c r="CQ639" s="588" t="n"/>
      <c r="CR639" s="588" t="n"/>
      <c r="CS639" s="588" t="n"/>
      <c r="CT639" s="588" t="n"/>
      <c r="CU639" s="588" t="n"/>
      <c r="CV639" s="588" t="n"/>
      <c r="CW639" s="588" t="n"/>
      <c r="CX639" s="588" t="n"/>
      <c r="CY639" s="588" t="n"/>
      <c r="CZ639" s="588" t="n"/>
      <c r="DA639" s="588" t="n"/>
      <c r="DB639" s="588" t="n"/>
      <c r="DC639" s="588" t="n"/>
      <c r="DD639" s="588" t="n"/>
      <c r="DE639" s="588" t="n"/>
      <c r="DF639" s="588" t="n"/>
      <c r="DG639" s="588" t="n"/>
      <c r="DH639" s="588" t="n"/>
      <c r="DI639" s="588" t="n"/>
      <c r="DJ639" s="588" t="n"/>
      <c r="DK639" s="588" t="n"/>
      <c r="DL639" s="588" t="n"/>
      <c r="DM639" s="588" t="n"/>
      <c r="DN639" s="588" t="n"/>
      <c r="DO639" s="588" t="n"/>
      <c r="DP639" s="588" t="n"/>
      <c r="DQ639" s="588" t="n"/>
      <c r="DR639" s="588" t="n"/>
      <c r="DS639" s="588" t="n"/>
      <c r="DT639" s="588" t="n"/>
      <c r="DU639" s="588" t="n"/>
    </row>
    <row r="640">
      <c r="A640" s="737" t="n"/>
      <c r="B640" s="737" t="n"/>
      <c r="C640" s="737" t="n"/>
      <c r="D640" s="737" t="n"/>
      <c r="E640" s="737" t="n"/>
      <c r="F640" s="737" t="n"/>
      <c r="G640" s="737" t="n"/>
      <c r="H640" s="737" t="n"/>
      <c r="I640" s="737" t="n"/>
      <c r="J640" s="737" t="n"/>
      <c r="K640" s="737" t="n"/>
      <c r="L640" s="737" t="n"/>
      <c r="M640" s="737" t="n"/>
      <c r="N640" s="737" t="n"/>
      <c r="O640" s="737" t="n"/>
      <c r="P640" s="737" t="n"/>
      <c r="Q640" s="737" t="n"/>
      <c r="R640" s="737" t="n"/>
      <c r="S640" s="737" t="n"/>
      <c r="T640" s="737" t="n"/>
      <c r="U640" s="737" t="n"/>
      <c r="V640" s="737" t="n"/>
      <c r="W640" s="737" t="n"/>
      <c r="X640" s="737" t="n"/>
      <c r="Y640" s="737" t="n"/>
      <c r="Z640" s="737" t="n"/>
      <c r="AA640" s="737" t="n"/>
      <c r="AB640" s="737" t="n"/>
      <c r="AC640" s="737" t="n"/>
      <c r="AD640" s="737" t="n"/>
      <c r="AE640" s="737" t="n"/>
      <c r="AF640" s="737" t="n"/>
      <c r="AG640" s="737" t="n"/>
      <c r="AH640" s="737" t="n"/>
      <c r="AI640" s="737" t="n"/>
      <c r="AJ640" s="737" t="n"/>
      <c r="AK640" s="588" t="n"/>
      <c r="AL640" s="588" t="n"/>
      <c r="AM640" s="588" t="n"/>
      <c r="AN640" s="588" t="n"/>
      <c r="AO640" s="588" t="n"/>
      <c r="AP640" s="588" t="n"/>
      <c r="AQ640" s="588" t="n"/>
      <c r="AR640" s="588" t="n"/>
      <c r="AS640" s="588" t="n"/>
      <c r="AT640" s="588" t="n"/>
      <c r="AU640" s="588" t="n"/>
      <c r="AV640" s="588" t="n"/>
      <c r="AW640" s="588" t="n"/>
      <c r="AX640" s="588" t="n"/>
      <c r="AY640" s="588" t="n"/>
      <c r="AZ640" s="588" t="n"/>
      <c r="BA640" s="588" t="n"/>
      <c r="BB640" s="588" t="n"/>
      <c r="BC640" s="588" t="n"/>
      <c r="BD640" s="588" t="n"/>
      <c r="BE640" s="588" t="n"/>
      <c r="BF640" s="588" t="n"/>
      <c r="BG640" s="588" t="n"/>
      <c r="BH640" s="588" t="n"/>
      <c r="BI640" s="588" t="n"/>
      <c r="BJ640" s="588" t="n"/>
      <c r="BK640" s="588" t="n"/>
      <c r="BL640" s="588" t="n"/>
      <c r="BM640" s="588" t="n"/>
      <c r="BN640" s="588" t="n"/>
      <c r="BO640" s="588" t="n"/>
      <c r="BP640" s="588" t="n"/>
      <c r="BQ640" s="588" t="n"/>
      <c r="BR640" s="588" t="n"/>
      <c r="BS640" s="588" t="n"/>
      <c r="BT640" s="588" t="n"/>
      <c r="BU640" s="588" t="n"/>
      <c r="BV640" s="588" t="n"/>
      <c r="BW640" s="588" t="n"/>
      <c r="BX640" s="588" t="n"/>
      <c r="BY640" s="588" t="n"/>
      <c r="BZ640" s="588" t="n"/>
      <c r="CA640" s="588" t="n"/>
      <c r="CB640" s="588" t="n"/>
      <c r="CC640" s="588" t="n"/>
      <c r="CD640" s="588" t="n"/>
      <c r="CE640" s="588" t="n"/>
      <c r="CF640" s="588" t="n"/>
      <c r="CG640" s="588" t="n"/>
      <c r="CH640" s="588" t="n"/>
      <c r="CI640" s="588" t="n"/>
      <c r="CJ640" s="588" t="n"/>
      <c r="CK640" s="588" t="n"/>
      <c r="CL640" s="588" t="n"/>
      <c r="CM640" s="588" t="n"/>
      <c r="CN640" s="588" t="n"/>
      <c r="CO640" s="588" t="n"/>
      <c r="CP640" s="588" t="n"/>
      <c r="CQ640" s="588" t="n"/>
      <c r="CR640" s="588" t="n"/>
      <c r="CS640" s="588" t="n"/>
      <c r="CT640" s="588" t="n"/>
      <c r="CU640" s="588" t="n"/>
      <c r="CV640" s="588" t="n"/>
      <c r="CW640" s="588" t="n"/>
      <c r="CX640" s="588" t="n"/>
      <c r="CY640" s="588" t="n"/>
      <c r="CZ640" s="588" t="n"/>
      <c r="DA640" s="588" t="n"/>
      <c r="DB640" s="588" t="n"/>
      <c r="DC640" s="588" t="n"/>
      <c r="DD640" s="588" t="n"/>
      <c r="DE640" s="588" t="n"/>
      <c r="DF640" s="588" t="n"/>
      <c r="DG640" s="588" t="n"/>
      <c r="DH640" s="588" t="n"/>
      <c r="DI640" s="588" t="n"/>
      <c r="DJ640" s="588" t="n"/>
      <c r="DK640" s="588" t="n"/>
      <c r="DL640" s="588" t="n"/>
      <c r="DM640" s="588" t="n"/>
      <c r="DN640" s="588" t="n"/>
      <c r="DO640" s="588" t="n"/>
      <c r="DP640" s="588" t="n"/>
      <c r="DQ640" s="588" t="n"/>
      <c r="DR640" s="588" t="n"/>
      <c r="DS640" s="588" t="n"/>
      <c r="DT640" s="588" t="n"/>
      <c r="DU640" s="588" t="n"/>
    </row>
    <row r="641">
      <c r="A641" s="737" t="n"/>
      <c r="B641" s="737" t="n"/>
      <c r="C641" s="737" t="n"/>
      <c r="D641" s="737" t="n"/>
      <c r="E641" s="737" t="n"/>
      <c r="F641" s="737" t="n"/>
      <c r="G641" s="737" t="n"/>
      <c r="H641" s="737" t="n"/>
      <c r="I641" s="737" t="n"/>
      <c r="J641" s="737" t="n"/>
      <c r="K641" s="737" t="n"/>
      <c r="L641" s="737" t="n"/>
      <c r="M641" s="737" t="n"/>
      <c r="N641" s="737" t="n"/>
      <c r="O641" s="737" t="n"/>
      <c r="P641" s="737" t="n"/>
      <c r="Q641" s="737" t="n"/>
      <c r="R641" s="737" t="n"/>
      <c r="S641" s="737" t="n"/>
      <c r="T641" s="737" t="n"/>
      <c r="U641" s="737" t="n"/>
      <c r="V641" s="737" t="n"/>
      <c r="W641" s="737" t="n"/>
      <c r="X641" s="737" t="n"/>
      <c r="Y641" s="737" t="n"/>
      <c r="Z641" s="737" t="n"/>
      <c r="AA641" s="737" t="n"/>
      <c r="AB641" s="737" t="n"/>
      <c r="AC641" s="737" t="n"/>
      <c r="AD641" s="737" t="n"/>
      <c r="AE641" s="737" t="n"/>
      <c r="AF641" s="737" t="n"/>
      <c r="AG641" s="737" t="n"/>
      <c r="AH641" s="737" t="n"/>
      <c r="AI641" s="737" t="n"/>
      <c r="AJ641" s="737" t="n"/>
      <c r="AK641" s="588" t="n"/>
      <c r="AL641" s="588" t="n"/>
      <c r="AM641" s="588" t="n"/>
      <c r="AN641" s="588" t="n"/>
      <c r="AO641" s="588" t="n"/>
      <c r="AP641" s="588" t="n"/>
      <c r="AQ641" s="588" t="n"/>
      <c r="AR641" s="588" t="n"/>
      <c r="AS641" s="588" t="n"/>
      <c r="AT641" s="588" t="n"/>
      <c r="AU641" s="588" t="n"/>
      <c r="AV641" s="588" t="n"/>
      <c r="AW641" s="588" t="n"/>
      <c r="AX641" s="588" t="n"/>
      <c r="AY641" s="588" t="n"/>
      <c r="AZ641" s="588" t="n"/>
      <c r="BA641" s="588" t="n"/>
      <c r="BB641" s="588" t="n"/>
      <c r="BC641" s="588" t="n"/>
      <c r="BD641" s="588" t="n"/>
      <c r="BE641" s="588" t="n"/>
      <c r="BF641" s="588" t="n"/>
      <c r="BG641" s="588" t="n"/>
      <c r="BH641" s="588" t="n"/>
      <c r="BI641" s="588" t="n"/>
      <c r="BJ641" s="588" t="n"/>
      <c r="BK641" s="588" t="n"/>
      <c r="BL641" s="588" t="n"/>
      <c r="BM641" s="588" t="n"/>
      <c r="BN641" s="588" t="n"/>
      <c r="BO641" s="588" t="n"/>
      <c r="BP641" s="588" t="n"/>
      <c r="BQ641" s="588" t="n"/>
      <c r="BR641" s="588" t="n"/>
      <c r="BS641" s="588" t="n"/>
      <c r="BT641" s="588" t="n"/>
      <c r="BU641" s="588" t="n"/>
      <c r="BV641" s="588" t="n"/>
      <c r="BW641" s="588" t="n"/>
      <c r="BX641" s="588" t="n"/>
      <c r="BY641" s="588" t="n"/>
      <c r="BZ641" s="588" t="n"/>
      <c r="CA641" s="588" t="n"/>
      <c r="CB641" s="588" t="n"/>
      <c r="CC641" s="588" t="n"/>
      <c r="CD641" s="588" t="n"/>
      <c r="CE641" s="588" t="n"/>
      <c r="CF641" s="588" t="n"/>
      <c r="CG641" s="588" t="n"/>
      <c r="CH641" s="588" t="n"/>
      <c r="CI641" s="588" t="n"/>
      <c r="CJ641" s="588" t="n"/>
      <c r="CK641" s="588" t="n"/>
      <c r="CL641" s="588" t="n"/>
      <c r="CM641" s="588" t="n"/>
      <c r="CN641" s="588" t="n"/>
      <c r="CO641" s="588" t="n"/>
      <c r="CP641" s="588" t="n"/>
      <c r="CQ641" s="588" t="n"/>
      <c r="CR641" s="588" t="n"/>
      <c r="CS641" s="588" t="n"/>
      <c r="CT641" s="588" t="n"/>
      <c r="CU641" s="588" t="n"/>
      <c r="CV641" s="588" t="n"/>
      <c r="CW641" s="588" t="n"/>
      <c r="CX641" s="588" t="n"/>
      <c r="CY641" s="588" t="n"/>
      <c r="CZ641" s="588" t="n"/>
      <c r="DA641" s="588" t="n"/>
      <c r="DB641" s="588" t="n"/>
      <c r="DC641" s="588" t="n"/>
      <c r="DD641" s="588" t="n"/>
      <c r="DE641" s="588" t="n"/>
      <c r="DF641" s="588" t="n"/>
      <c r="DG641" s="588" t="n"/>
      <c r="DH641" s="588" t="n"/>
      <c r="DI641" s="588" t="n"/>
      <c r="DJ641" s="588" t="n"/>
      <c r="DK641" s="588" t="n"/>
      <c r="DL641" s="588" t="n"/>
      <c r="DM641" s="588" t="n"/>
      <c r="DN641" s="588" t="n"/>
      <c r="DO641" s="588" t="n"/>
      <c r="DP641" s="588" t="n"/>
      <c r="DQ641" s="588" t="n"/>
      <c r="DR641" s="588" t="n"/>
      <c r="DS641" s="588" t="n"/>
      <c r="DT641" s="588" t="n"/>
      <c r="DU641" s="588" t="n"/>
    </row>
    <row r="642">
      <c r="A642" s="737" t="n"/>
      <c r="B642" s="737" t="n"/>
      <c r="C642" s="737" t="n"/>
      <c r="D642" s="737" t="n"/>
      <c r="E642" s="737" t="n"/>
      <c r="F642" s="737" t="n"/>
      <c r="G642" s="737" t="n"/>
      <c r="H642" s="737" t="n"/>
      <c r="I642" s="737" t="n"/>
      <c r="J642" s="737" t="n"/>
      <c r="K642" s="737" t="n"/>
      <c r="L642" s="737" t="n"/>
      <c r="M642" s="737" t="n"/>
      <c r="N642" s="737" t="n"/>
      <c r="O642" s="737" t="n"/>
      <c r="P642" s="737" t="n"/>
      <c r="Q642" s="737" t="n"/>
      <c r="R642" s="737" t="n"/>
      <c r="S642" s="737" t="n"/>
      <c r="T642" s="737" t="n"/>
      <c r="U642" s="737" t="n"/>
      <c r="V642" s="737" t="n"/>
      <c r="W642" s="737" t="n"/>
      <c r="X642" s="737" t="n"/>
      <c r="Y642" s="737" t="n"/>
      <c r="Z642" s="737" t="n"/>
      <c r="AA642" s="737" t="n"/>
      <c r="AB642" s="737" t="n"/>
      <c r="AC642" s="737" t="n"/>
      <c r="AD642" s="737" t="n"/>
      <c r="AE642" s="737" t="n"/>
      <c r="AF642" s="737" t="n"/>
      <c r="AG642" s="737" t="n"/>
      <c r="AH642" s="737" t="n"/>
      <c r="AI642" s="737" t="n"/>
      <c r="AJ642" s="737" t="n"/>
      <c r="AK642" s="588" t="n"/>
      <c r="AL642" s="588" t="n"/>
      <c r="AM642" s="588" t="n"/>
      <c r="AN642" s="588" t="n"/>
      <c r="AO642" s="588" t="n"/>
      <c r="AP642" s="588" t="n"/>
      <c r="AQ642" s="588" t="n"/>
      <c r="AR642" s="588" t="n"/>
      <c r="AS642" s="588" t="n"/>
      <c r="AT642" s="588" t="n"/>
      <c r="AU642" s="588" t="n"/>
      <c r="AV642" s="588" t="n"/>
      <c r="AW642" s="588" t="n"/>
      <c r="AX642" s="588" t="n"/>
      <c r="AY642" s="588" t="n"/>
      <c r="AZ642" s="588" t="n"/>
      <c r="BA642" s="588" t="n"/>
      <c r="BB642" s="588" t="n"/>
      <c r="BC642" s="588" t="n"/>
      <c r="BD642" s="588" t="n"/>
      <c r="BE642" s="588" t="n"/>
      <c r="BF642" s="588" t="n"/>
      <c r="BG642" s="588" t="n"/>
      <c r="BH642" s="588" t="n"/>
      <c r="BI642" s="588" t="n"/>
      <c r="BJ642" s="588" t="n"/>
      <c r="BK642" s="588" t="n"/>
      <c r="BL642" s="588" t="n"/>
      <c r="BM642" s="588" t="n"/>
      <c r="BN642" s="588" t="n"/>
      <c r="BO642" s="588" t="n"/>
      <c r="BP642" s="588" t="n"/>
      <c r="BQ642" s="588" t="n"/>
      <c r="BR642" s="588" t="n"/>
      <c r="BS642" s="588" t="n"/>
      <c r="BT642" s="588" t="n"/>
      <c r="BU642" s="588" t="n"/>
      <c r="BV642" s="588" t="n"/>
      <c r="BW642" s="588" t="n"/>
      <c r="BX642" s="588" t="n"/>
      <c r="BY642" s="588" t="n"/>
      <c r="BZ642" s="588" t="n"/>
      <c r="CA642" s="588" t="n"/>
      <c r="CB642" s="588" t="n"/>
      <c r="CC642" s="588" t="n"/>
      <c r="CD642" s="588" t="n"/>
      <c r="CE642" s="588" t="n"/>
      <c r="CF642" s="588" t="n"/>
      <c r="CG642" s="588" t="n"/>
      <c r="CH642" s="588" t="n"/>
      <c r="CI642" s="588" t="n"/>
      <c r="CJ642" s="588" t="n"/>
      <c r="CK642" s="588" t="n"/>
      <c r="CL642" s="588" t="n"/>
      <c r="CM642" s="588" t="n"/>
      <c r="CN642" s="588" t="n"/>
      <c r="CO642" s="588" t="n"/>
      <c r="CP642" s="588" t="n"/>
      <c r="CQ642" s="588" t="n"/>
      <c r="CR642" s="588" t="n"/>
      <c r="CS642" s="588" t="n"/>
      <c r="CT642" s="588" t="n"/>
      <c r="CU642" s="588" t="n"/>
      <c r="CV642" s="588" t="n"/>
      <c r="CW642" s="588" t="n"/>
      <c r="CX642" s="588" t="n"/>
      <c r="CY642" s="588" t="n"/>
      <c r="CZ642" s="588" t="n"/>
      <c r="DA642" s="588" t="n"/>
      <c r="DB642" s="588" t="n"/>
      <c r="DC642" s="588" t="n"/>
      <c r="DD642" s="588" t="n"/>
      <c r="DE642" s="588" t="n"/>
      <c r="DF642" s="588" t="n"/>
      <c r="DG642" s="588" t="n"/>
      <c r="DH642" s="588" t="n"/>
      <c r="DI642" s="588" t="n"/>
      <c r="DJ642" s="588" t="n"/>
      <c r="DK642" s="588" t="n"/>
      <c r="DL642" s="588" t="n"/>
      <c r="DM642" s="588" t="n"/>
      <c r="DN642" s="588" t="n"/>
      <c r="DO642" s="588" t="n"/>
      <c r="DP642" s="588" t="n"/>
      <c r="DQ642" s="588" t="n"/>
      <c r="DR642" s="588" t="n"/>
      <c r="DS642" s="588" t="n"/>
      <c r="DT642" s="588" t="n"/>
      <c r="DU642" s="588" t="n"/>
    </row>
    <row r="643">
      <c r="A643" s="737" t="n"/>
      <c r="B643" s="737" t="n"/>
      <c r="C643" s="737" t="n"/>
      <c r="D643" s="737" t="n"/>
      <c r="E643" s="737" t="n"/>
      <c r="F643" s="737" t="n"/>
      <c r="G643" s="737" t="n"/>
      <c r="H643" s="737" t="n"/>
      <c r="I643" s="737" t="n"/>
      <c r="J643" s="737" t="n"/>
      <c r="K643" s="737" t="n"/>
      <c r="L643" s="737" t="n"/>
      <c r="M643" s="737" t="n"/>
      <c r="N643" s="737" t="n"/>
      <c r="O643" s="737" t="n"/>
      <c r="P643" s="737" t="n"/>
      <c r="Q643" s="737" t="n"/>
      <c r="R643" s="737" t="n"/>
      <c r="S643" s="737" t="n"/>
      <c r="T643" s="737" t="n"/>
      <c r="U643" s="737" t="n"/>
      <c r="V643" s="737" t="n"/>
      <c r="W643" s="737" t="n"/>
      <c r="X643" s="737" t="n"/>
      <c r="Y643" s="737" t="n"/>
      <c r="Z643" s="737" t="n"/>
      <c r="AA643" s="737" t="n"/>
      <c r="AB643" s="737" t="n"/>
      <c r="AC643" s="737" t="n"/>
      <c r="AD643" s="737" t="n"/>
      <c r="AE643" s="737" t="n"/>
      <c r="AF643" s="737" t="n"/>
      <c r="AG643" s="737" t="n"/>
      <c r="AH643" s="737" t="n"/>
      <c r="AI643" s="737" t="n"/>
      <c r="AJ643" s="737" t="n"/>
      <c r="AK643" s="588" t="n"/>
      <c r="AL643" s="588" t="n"/>
      <c r="AM643" s="588" t="n"/>
      <c r="AN643" s="588" t="n"/>
      <c r="AO643" s="588" t="n"/>
      <c r="AP643" s="588" t="n"/>
      <c r="AQ643" s="588" t="n"/>
      <c r="AR643" s="588" t="n"/>
      <c r="AS643" s="588" t="n"/>
      <c r="AT643" s="588" t="n"/>
      <c r="AU643" s="588" t="n"/>
      <c r="AV643" s="588" t="n"/>
      <c r="AW643" s="588" t="n"/>
      <c r="AX643" s="588" t="n"/>
      <c r="AY643" s="588" t="n"/>
      <c r="AZ643" s="588" t="n"/>
      <c r="BA643" s="588" t="n"/>
      <c r="BB643" s="588" t="n"/>
      <c r="BC643" s="588" t="n"/>
      <c r="BD643" s="588" t="n"/>
      <c r="BE643" s="588" t="n"/>
      <c r="BF643" s="588" t="n"/>
      <c r="BG643" s="588" t="n"/>
      <c r="BH643" s="588" t="n"/>
      <c r="BI643" s="588" t="n"/>
      <c r="BJ643" s="588" t="n"/>
      <c r="BK643" s="588" t="n"/>
      <c r="BL643" s="588" t="n"/>
      <c r="BM643" s="588" t="n"/>
      <c r="BN643" s="588" t="n"/>
      <c r="BO643" s="588" t="n"/>
      <c r="BP643" s="588" t="n"/>
      <c r="BQ643" s="588" t="n"/>
      <c r="BR643" s="588" t="n"/>
      <c r="BS643" s="588" t="n"/>
      <c r="BT643" s="588" t="n"/>
      <c r="BU643" s="588" t="n"/>
      <c r="BV643" s="588" t="n"/>
      <c r="BW643" s="588" t="n"/>
      <c r="BX643" s="588" t="n"/>
      <c r="BY643" s="588" t="n"/>
      <c r="BZ643" s="588" t="n"/>
      <c r="CA643" s="588" t="n"/>
      <c r="CB643" s="588" t="n"/>
      <c r="CC643" s="588" t="n"/>
      <c r="CD643" s="588" t="n"/>
      <c r="CE643" s="588" t="n"/>
      <c r="CF643" s="588" t="n"/>
      <c r="CG643" s="588" t="n"/>
      <c r="CH643" s="588" t="n"/>
      <c r="CI643" s="588" t="n"/>
      <c r="CJ643" s="588" t="n"/>
      <c r="CK643" s="588" t="n"/>
      <c r="CL643" s="588" t="n"/>
      <c r="CM643" s="588" t="n"/>
      <c r="CN643" s="588" t="n"/>
      <c r="CO643" s="588" t="n"/>
      <c r="CP643" s="588" t="n"/>
      <c r="CQ643" s="588" t="n"/>
      <c r="CR643" s="588" t="n"/>
      <c r="CS643" s="588" t="n"/>
      <c r="CT643" s="588" t="n"/>
      <c r="CU643" s="588" t="n"/>
      <c r="CV643" s="588" t="n"/>
      <c r="CW643" s="588" t="n"/>
      <c r="CX643" s="588" t="n"/>
      <c r="CY643" s="588" t="n"/>
      <c r="CZ643" s="588" t="n"/>
      <c r="DA643" s="588" t="n"/>
      <c r="DB643" s="588" t="n"/>
      <c r="DC643" s="588" t="n"/>
      <c r="DD643" s="588" t="n"/>
      <c r="DE643" s="588" t="n"/>
      <c r="DF643" s="588" t="n"/>
      <c r="DG643" s="588" t="n"/>
      <c r="DH643" s="588" t="n"/>
      <c r="DI643" s="588" t="n"/>
      <c r="DJ643" s="588" t="n"/>
      <c r="DK643" s="588" t="n"/>
      <c r="DL643" s="588" t="n"/>
      <c r="DM643" s="588" t="n"/>
      <c r="DN643" s="588" t="n"/>
      <c r="DO643" s="588" t="n"/>
      <c r="DP643" s="588" t="n"/>
      <c r="DQ643" s="588" t="n"/>
      <c r="DR643" s="588" t="n"/>
      <c r="DS643" s="588" t="n"/>
      <c r="DT643" s="588" t="n"/>
      <c r="DU643" s="588" t="n"/>
    </row>
    <row r="644">
      <c r="A644" s="737" t="n"/>
      <c r="B644" s="737" t="n"/>
      <c r="C644" s="737" t="n"/>
      <c r="D644" s="737" t="n"/>
      <c r="E644" s="737" t="n"/>
      <c r="F644" s="737" t="n"/>
      <c r="G644" s="737" t="n"/>
      <c r="H644" s="737" t="n"/>
      <c r="I644" s="737" t="n"/>
      <c r="J644" s="737" t="n"/>
      <c r="K644" s="737" t="n"/>
      <c r="L644" s="737" t="n"/>
      <c r="M644" s="737" t="n"/>
      <c r="N644" s="737" t="n"/>
      <c r="O644" s="737" t="n"/>
      <c r="P644" s="737" t="n"/>
      <c r="Q644" s="737" t="n"/>
      <c r="R644" s="737" t="n"/>
      <c r="S644" s="737" t="n"/>
      <c r="T644" s="737" t="n"/>
      <c r="U644" s="737" t="n"/>
      <c r="V644" s="737" t="n"/>
      <c r="W644" s="737" t="n"/>
      <c r="X644" s="737" t="n"/>
      <c r="Y644" s="737" t="n"/>
      <c r="Z644" s="737" t="n"/>
      <c r="AA644" s="737" t="n"/>
      <c r="AB644" s="737" t="n"/>
      <c r="AC644" s="737" t="n"/>
      <c r="AD644" s="737" t="n"/>
      <c r="AE644" s="737" t="n"/>
      <c r="AF644" s="737" t="n"/>
      <c r="AG644" s="737" t="n"/>
      <c r="AH644" s="737" t="n"/>
      <c r="AI644" s="737" t="n"/>
      <c r="AJ644" s="737" t="n"/>
      <c r="AK644" s="588" t="n"/>
      <c r="AL644" s="588" t="n"/>
      <c r="AM644" s="588" t="n"/>
      <c r="AN644" s="588" t="n"/>
      <c r="AO644" s="588" t="n"/>
      <c r="AP644" s="588" t="n"/>
      <c r="AQ644" s="588" t="n"/>
      <c r="AR644" s="588" t="n"/>
      <c r="AS644" s="588" t="n"/>
      <c r="AT644" s="588" t="n"/>
      <c r="AU644" s="588" t="n"/>
      <c r="AV644" s="588" t="n"/>
      <c r="AW644" s="588" t="n"/>
      <c r="AX644" s="588" t="n"/>
      <c r="AY644" s="588" t="n"/>
      <c r="AZ644" s="588" t="n"/>
      <c r="BA644" s="588" t="n"/>
      <c r="BB644" s="588" t="n"/>
      <c r="BC644" s="588" t="n"/>
      <c r="BD644" s="588" t="n"/>
      <c r="BE644" s="588" t="n"/>
      <c r="BF644" s="588" t="n"/>
      <c r="BG644" s="588" t="n"/>
      <c r="BH644" s="588" t="n"/>
      <c r="BI644" s="588" t="n"/>
      <c r="BJ644" s="588" t="n"/>
      <c r="BK644" s="588" t="n"/>
      <c r="BL644" s="588" t="n"/>
      <c r="BM644" s="588" t="n"/>
      <c r="BN644" s="588" t="n"/>
      <c r="BO644" s="588" t="n"/>
      <c r="BP644" s="588" t="n"/>
      <c r="BQ644" s="588" t="n"/>
      <c r="BR644" s="588" t="n"/>
      <c r="BS644" s="588" t="n"/>
      <c r="BT644" s="588" t="n"/>
      <c r="BU644" s="588" t="n"/>
      <c r="BV644" s="588" t="n"/>
      <c r="BW644" s="588" t="n"/>
      <c r="BX644" s="588" t="n"/>
      <c r="BY644" s="588" t="n"/>
      <c r="BZ644" s="588" t="n"/>
      <c r="CA644" s="588" t="n"/>
      <c r="CB644" s="588" t="n"/>
      <c r="CC644" s="588" t="n"/>
      <c r="CD644" s="588" t="n"/>
      <c r="CE644" s="588" t="n"/>
      <c r="CF644" s="588" t="n"/>
      <c r="CG644" s="588" t="n"/>
      <c r="CH644" s="588" t="n"/>
      <c r="CI644" s="588" t="n"/>
      <c r="CJ644" s="588" t="n"/>
      <c r="CK644" s="588" t="n"/>
      <c r="CL644" s="588" t="n"/>
      <c r="CM644" s="588" t="n"/>
      <c r="CN644" s="588" t="n"/>
      <c r="CO644" s="588" t="n"/>
      <c r="CP644" s="588" t="n"/>
      <c r="CQ644" s="588" t="n"/>
      <c r="CR644" s="588" t="n"/>
      <c r="CS644" s="588" t="n"/>
      <c r="CT644" s="588" t="n"/>
      <c r="CU644" s="588" t="n"/>
      <c r="CV644" s="588" t="n"/>
      <c r="CW644" s="588" t="n"/>
      <c r="CX644" s="588" t="n"/>
      <c r="CY644" s="588" t="n"/>
      <c r="CZ644" s="588" t="n"/>
      <c r="DA644" s="588" t="n"/>
      <c r="DB644" s="588" t="n"/>
      <c r="DC644" s="588" t="n"/>
      <c r="DD644" s="588" t="n"/>
      <c r="DE644" s="588" t="n"/>
      <c r="DF644" s="588" t="n"/>
      <c r="DG644" s="588" t="n"/>
      <c r="DH644" s="588" t="n"/>
      <c r="DI644" s="588" t="n"/>
      <c r="DJ644" s="588" t="n"/>
      <c r="DK644" s="588" t="n"/>
      <c r="DL644" s="588" t="n"/>
      <c r="DM644" s="588" t="n"/>
      <c r="DN644" s="588" t="n"/>
      <c r="DO644" s="588" t="n"/>
      <c r="DP644" s="588" t="n"/>
      <c r="DQ644" s="588" t="n"/>
      <c r="DR644" s="588" t="n"/>
      <c r="DS644" s="588" t="n"/>
      <c r="DT644" s="588" t="n"/>
      <c r="DU644" s="588" t="n"/>
    </row>
    <row r="645">
      <c r="A645" s="737" t="n"/>
      <c r="B645" s="737" t="n"/>
      <c r="C645" s="737" t="n"/>
      <c r="D645" s="737" t="n"/>
      <c r="E645" s="737" t="n"/>
      <c r="F645" s="737" t="n"/>
      <c r="G645" s="737" t="n"/>
      <c r="H645" s="737" t="n"/>
      <c r="I645" s="737" t="n"/>
      <c r="J645" s="737" t="n"/>
      <c r="K645" s="737" t="n"/>
      <c r="L645" s="737" t="n"/>
      <c r="M645" s="737" t="n"/>
      <c r="N645" s="737" t="n"/>
      <c r="O645" s="737" t="n"/>
      <c r="P645" s="737" t="n"/>
      <c r="Q645" s="737" t="n"/>
      <c r="R645" s="737" t="n"/>
      <c r="S645" s="737" t="n"/>
      <c r="T645" s="737" t="n"/>
      <c r="U645" s="737" t="n"/>
      <c r="V645" s="737" t="n"/>
      <c r="W645" s="737" t="n"/>
      <c r="X645" s="737" t="n"/>
      <c r="Y645" s="737" t="n"/>
      <c r="Z645" s="737" t="n"/>
      <c r="AA645" s="737" t="n"/>
      <c r="AB645" s="737" t="n"/>
      <c r="AC645" s="737" t="n"/>
      <c r="AD645" s="737" t="n"/>
      <c r="AE645" s="737" t="n"/>
      <c r="AF645" s="737" t="n"/>
      <c r="AG645" s="737" t="n"/>
      <c r="AH645" s="737" t="n"/>
      <c r="AI645" s="737" t="n"/>
      <c r="AJ645" s="737" t="n"/>
      <c r="AK645" s="588" t="n"/>
      <c r="AL645" s="588" t="n"/>
      <c r="AM645" s="588" t="n"/>
      <c r="AN645" s="588" t="n"/>
      <c r="AO645" s="588" t="n"/>
      <c r="AP645" s="588" t="n"/>
      <c r="AQ645" s="588" t="n"/>
      <c r="AR645" s="588" t="n"/>
      <c r="AS645" s="588" t="n"/>
      <c r="AT645" s="588" t="n"/>
      <c r="AU645" s="588" t="n"/>
      <c r="AV645" s="588" t="n"/>
      <c r="AW645" s="588" t="n"/>
      <c r="AX645" s="588" t="n"/>
      <c r="AY645" s="588" t="n"/>
      <c r="AZ645" s="588" t="n"/>
      <c r="BA645" s="588" t="n"/>
      <c r="BB645" s="588" t="n"/>
      <c r="BC645" s="588" t="n"/>
      <c r="BD645" s="588" t="n"/>
      <c r="BE645" s="588" t="n"/>
      <c r="BF645" s="588" t="n"/>
      <c r="BG645" s="588" t="n"/>
      <c r="BH645" s="588" t="n"/>
      <c r="BI645" s="588" t="n"/>
      <c r="BJ645" s="588" t="n"/>
      <c r="BK645" s="588" t="n"/>
      <c r="BL645" s="588" t="n"/>
      <c r="BM645" s="588" t="n"/>
      <c r="BN645" s="588" t="n"/>
      <c r="BO645" s="588" t="n"/>
      <c r="BP645" s="588" t="n"/>
      <c r="BQ645" s="588" t="n"/>
      <c r="BR645" s="588" t="n"/>
      <c r="BS645" s="588" t="n"/>
      <c r="BT645" s="588" t="n"/>
      <c r="BU645" s="588" t="n"/>
      <c r="BV645" s="588" t="n"/>
      <c r="BW645" s="588" t="n"/>
      <c r="BX645" s="588" t="n"/>
      <c r="BY645" s="588" t="n"/>
      <c r="BZ645" s="588" t="n"/>
      <c r="CA645" s="588" t="n"/>
      <c r="CB645" s="588" t="n"/>
      <c r="CC645" s="588" t="n"/>
      <c r="CD645" s="588" t="n"/>
      <c r="CE645" s="588" t="n"/>
      <c r="CF645" s="588" t="n"/>
      <c r="CG645" s="588" t="n"/>
      <c r="CH645" s="588" t="n"/>
      <c r="CI645" s="588" t="n"/>
      <c r="CJ645" s="588" t="n"/>
      <c r="CK645" s="588" t="n"/>
      <c r="CL645" s="588" t="n"/>
      <c r="CM645" s="588" t="n"/>
      <c r="CN645" s="588" t="n"/>
      <c r="CO645" s="588" t="n"/>
      <c r="CP645" s="588" t="n"/>
      <c r="CQ645" s="588" t="n"/>
      <c r="CR645" s="588" t="n"/>
      <c r="CS645" s="588" t="n"/>
      <c r="CT645" s="588" t="n"/>
      <c r="CU645" s="588" t="n"/>
      <c r="CV645" s="588" t="n"/>
      <c r="CW645" s="588" t="n"/>
      <c r="CX645" s="588" t="n"/>
      <c r="CY645" s="588" t="n"/>
      <c r="CZ645" s="588" t="n"/>
      <c r="DA645" s="588" t="n"/>
      <c r="DB645" s="588" t="n"/>
      <c r="DC645" s="588" t="n"/>
      <c r="DD645" s="588" t="n"/>
      <c r="DE645" s="588" t="n"/>
      <c r="DF645" s="588" t="n"/>
      <c r="DG645" s="588" t="n"/>
      <c r="DH645" s="588" t="n"/>
      <c r="DI645" s="588" t="n"/>
      <c r="DJ645" s="588" t="n"/>
      <c r="DK645" s="588" t="n"/>
      <c r="DL645" s="588" t="n"/>
      <c r="DM645" s="588" t="n"/>
      <c r="DN645" s="588" t="n"/>
      <c r="DO645" s="588" t="n"/>
      <c r="DP645" s="588" t="n"/>
      <c r="DQ645" s="588" t="n"/>
      <c r="DR645" s="588" t="n"/>
      <c r="DS645" s="588" t="n"/>
      <c r="DT645" s="588" t="n"/>
      <c r="DU645" s="588" t="n"/>
    </row>
    <row r="646">
      <c r="A646" s="737" t="n"/>
      <c r="B646" s="737" t="n"/>
      <c r="C646" s="737" t="n"/>
      <c r="D646" s="737" t="n"/>
      <c r="E646" s="737" t="n"/>
      <c r="F646" s="737" t="n"/>
      <c r="G646" s="737" t="n"/>
      <c r="H646" s="737" t="n"/>
      <c r="I646" s="737" t="n"/>
      <c r="J646" s="737" t="n"/>
      <c r="K646" s="737" t="n"/>
      <c r="L646" s="737" t="n"/>
      <c r="M646" s="737" t="n"/>
      <c r="N646" s="737" t="n"/>
      <c r="O646" s="737" t="n"/>
      <c r="P646" s="737" t="n"/>
      <c r="Q646" s="737" t="n"/>
      <c r="R646" s="737" t="n"/>
      <c r="S646" s="737" t="n"/>
      <c r="T646" s="737" t="n"/>
      <c r="U646" s="737" t="n"/>
      <c r="V646" s="737" t="n"/>
      <c r="W646" s="737" t="n"/>
      <c r="X646" s="737" t="n"/>
      <c r="Y646" s="737" t="n"/>
      <c r="Z646" s="737" t="n"/>
      <c r="AA646" s="737" t="n"/>
      <c r="AB646" s="737" t="n"/>
      <c r="AC646" s="737" t="n"/>
      <c r="AD646" s="737" t="n"/>
      <c r="AE646" s="737" t="n"/>
      <c r="AF646" s="737" t="n"/>
      <c r="AG646" s="737" t="n"/>
      <c r="AH646" s="737" t="n"/>
      <c r="AI646" s="737" t="n"/>
      <c r="AJ646" s="737" t="n"/>
      <c r="AK646" s="588" t="n"/>
      <c r="AL646" s="588" t="n"/>
      <c r="AM646" s="588" t="n"/>
      <c r="AN646" s="588" t="n"/>
      <c r="AO646" s="588" t="n"/>
      <c r="AP646" s="588" t="n"/>
      <c r="AQ646" s="588" t="n"/>
      <c r="AR646" s="588" t="n"/>
      <c r="AS646" s="588" t="n"/>
      <c r="AT646" s="588" t="n"/>
      <c r="AU646" s="588" t="n"/>
      <c r="AV646" s="588" t="n"/>
      <c r="AW646" s="588" t="n"/>
      <c r="AX646" s="588" t="n"/>
      <c r="AY646" s="588" t="n"/>
      <c r="AZ646" s="588" t="n"/>
      <c r="BA646" s="588" t="n"/>
      <c r="BB646" s="588" t="n"/>
      <c r="BC646" s="588" t="n"/>
      <c r="BD646" s="588" t="n"/>
      <c r="BE646" s="588" t="n"/>
      <c r="BF646" s="588" t="n"/>
      <c r="BG646" s="588" t="n"/>
      <c r="BH646" s="588" t="n"/>
      <c r="BI646" s="588" t="n"/>
      <c r="BJ646" s="588" t="n"/>
      <c r="BK646" s="588" t="n"/>
      <c r="BL646" s="588" t="n"/>
      <c r="BM646" s="588" t="n"/>
      <c r="BN646" s="588" t="n"/>
      <c r="BO646" s="588" t="n"/>
      <c r="BP646" s="588" t="n"/>
      <c r="BQ646" s="588" t="n"/>
      <c r="BR646" s="588" t="n"/>
      <c r="BS646" s="588" t="n"/>
      <c r="BT646" s="588" t="n"/>
      <c r="BU646" s="588" t="n"/>
      <c r="BV646" s="588" t="n"/>
      <c r="BW646" s="588" t="n"/>
      <c r="BX646" s="588" t="n"/>
      <c r="BY646" s="588" t="n"/>
      <c r="BZ646" s="588" t="n"/>
      <c r="CA646" s="588" t="n"/>
      <c r="CB646" s="588" t="n"/>
      <c r="CC646" s="588" t="n"/>
      <c r="CD646" s="588" t="n"/>
      <c r="CE646" s="588" t="n"/>
      <c r="CF646" s="588" t="n"/>
      <c r="CG646" s="588" t="n"/>
      <c r="CH646" s="588" t="n"/>
      <c r="CI646" s="588" t="n"/>
      <c r="CJ646" s="588" t="n"/>
      <c r="CK646" s="588" t="n"/>
      <c r="CL646" s="588" t="n"/>
      <c r="CM646" s="588" t="n"/>
      <c r="CN646" s="588" t="n"/>
      <c r="CO646" s="588" t="n"/>
      <c r="CP646" s="588" t="n"/>
      <c r="CQ646" s="588" t="n"/>
      <c r="CR646" s="588" t="n"/>
      <c r="CS646" s="588" t="n"/>
      <c r="CT646" s="588" t="n"/>
      <c r="CU646" s="588" t="n"/>
      <c r="CV646" s="588" t="n"/>
      <c r="CW646" s="588" t="n"/>
      <c r="CX646" s="588" t="n"/>
      <c r="CY646" s="588" t="n"/>
      <c r="CZ646" s="588" t="n"/>
      <c r="DA646" s="588" t="n"/>
      <c r="DB646" s="588" t="n"/>
      <c r="DC646" s="588" t="n"/>
      <c r="DD646" s="588" t="n"/>
      <c r="DE646" s="588" t="n"/>
      <c r="DF646" s="588" t="n"/>
      <c r="DG646" s="588" t="n"/>
      <c r="DH646" s="588" t="n"/>
      <c r="DI646" s="588" t="n"/>
      <c r="DJ646" s="588" t="n"/>
      <c r="DK646" s="588" t="n"/>
      <c r="DL646" s="588" t="n"/>
      <c r="DM646" s="588" t="n"/>
      <c r="DN646" s="588" t="n"/>
      <c r="DO646" s="588" t="n"/>
      <c r="DP646" s="588" t="n"/>
      <c r="DQ646" s="588" t="n"/>
      <c r="DR646" s="588" t="n"/>
      <c r="DS646" s="588" t="n"/>
      <c r="DT646" s="588" t="n"/>
      <c r="DU646" s="588" t="n"/>
    </row>
    <row r="647">
      <c r="A647" s="737" t="n"/>
      <c r="B647" s="737" t="n"/>
      <c r="C647" s="737" t="n"/>
      <c r="D647" s="737" t="n"/>
      <c r="E647" s="737" t="n"/>
      <c r="F647" s="737" t="n"/>
      <c r="G647" s="737" t="n"/>
      <c r="H647" s="737" t="n"/>
      <c r="I647" s="737" t="n"/>
      <c r="J647" s="737" t="n"/>
      <c r="K647" s="737" t="n"/>
      <c r="L647" s="737" t="n"/>
      <c r="M647" s="737" t="n"/>
      <c r="N647" s="737" t="n"/>
      <c r="O647" s="737" t="n"/>
      <c r="P647" s="737" t="n"/>
      <c r="Q647" s="737" t="n"/>
      <c r="R647" s="737" t="n"/>
      <c r="S647" s="737" t="n"/>
      <c r="T647" s="737" t="n"/>
      <c r="U647" s="737" t="n"/>
      <c r="V647" s="737" t="n"/>
      <c r="W647" s="737" t="n"/>
      <c r="X647" s="737" t="n"/>
      <c r="Y647" s="737" t="n"/>
      <c r="Z647" s="737" t="n"/>
      <c r="AA647" s="737" t="n"/>
      <c r="AB647" s="737" t="n"/>
      <c r="AC647" s="737" t="n"/>
      <c r="AD647" s="737" t="n"/>
      <c r="AE647" s="737" t="n"/>
      <c r="AF647" s="737" t="n"/>
      <c r="AG647" s="737" t="n"/>
      <c r="AH647" s="737" t="n"/>
      <c r="AI647" s="737" t="n"/>
      <c r="AJ647" s="737" t="n"/>
      <c r="AK647" s="588" t="n"/>
      <c r="AL647" s="588" t="n"/>
      <c r="AM647" s="588" t="n"/>
      <c r="AN647" s="588" t="n"/>
      <c r="AO647" s="588" t="n"/>
      <c r="AP647" s="588" t="n"/>
      <c r="AQ647" s="588" t="n"/>
      <c r="AR647" s="588" t="n"/>
      <c r="AS647" s="588" t="n"/>
      <c r="AT647" s="588" t="n"/>
      <c r="AU647" s="588" t="n"/>
      <c r="AV647" s="588" t="n"/>
      <c r="AW647" s="588" t="n"/>
      <c r="AX647" s="588" t="n"/>
      <c r="AY647" s="588" t="n"/>
      <c r="AZ647" s="588" t="n"/>
      <c r="BA647" s="588" t="n"/>
      <c r="BB647" s="588" t="n"/>
      <c r="BC647" s="588" t="n"/>
      <c r="BD647" s="588" t="n"/>
      <c r="BE647" s="588" t="n"/>
      <c r="BF647" s="588" t="n"/>
      <c r="BG647" s="588" t="n"/>
      <c r="BH647" s="588" t="n"/>
      <c r="BI647" s="588" t="n"/>
      <c r="BJ647" s="588" t="n"/>
      <c r="BK647" s="588" t="n"/>
      <c r="BL647" s="588" t="n"/>
      <c r="BM647" s="588" t="n"/>
      <c r="BN647" s="588" t="n"/>
      <c r="BO647" s="588" t="n"/>
      <c r="BP647" s="588" t="n"/>
      <c r="BQ647" s="588" t="n"/>
      <c r="BR647" s="588" t="n"/>
      <c r="BS647" s="588" t="n"/>
      <c r="BT647" s="588" t="n"/>
      <c r="BU647" s="588" t="n"/>
      <c r="BV647" s="588" t="n"/>
      <c r="BW647" s="588" t="n"/>
      <c r="BX647" s="588" t="n"/>
      <c r="BY647" s="588" t="n"/>
      <c r="BZ647" s="588" t="n"/>
      <c r="CA647" s="588" t="n"/>
      <c r="CB647" s="588" t="n"/>
      <c r="CC647" s="588" t="n"/>
      <c r="CD647" s="588" t="n"/>
      <c r="CE647" s="588" t="n"/>
      <c r="CF647" s="588" t="n"/>
      <c r="CG647" s="588" t="n"/>
      <c r="CH647" s="588" t="n"/>
      <c r="CI647" s="588" t="n"/>
      <c r="CJ647" s="588" t="n"/>
      <c r="CK647" s="588" t="n"/>
      <c r="CL647" s="588" t="n"/>
      <c r="CM647" s="588" t="n"/>
      <c r="CN647" s="588" t="n"/>
      <c r="CO647" s="588" t="n"/>
      <c r="CP647" s="588" t="n"/>
      <c r="CQ647" s="588" t="n"/>
      <c r="CR647" s="588" t="n"/>
      <c r="CS647" s="588" t="n"/>
      <c r="CT647" s="588" t="n"/>
      <c r="CU647" s="588" t="n"/>
      <c r="CV647" s="588" t="n"/>
      <c r="CW647" s="588" t="n"/>
      <c r="CX647" s="588" t="n"/>
      <c r="CY647" s="588" t="n"/>
      <c r="CZ647" s="588" t="n"/>
      <c r="DA647" s="588" t="n"/>
      <c r="DB647" s="588" t="n"/>
      <c r="DC647" s="588" t="n"/>
      <c r="DD647" s="588" t="n"/>
      <c r="DE647" s="588" t="n"/>
      <c r="DF647" s="588" t="n"/>
      <c r="DG647" s="588" t="n"/>
      <c r="DH647" s="588" t="n"/>
      <c r="DI647" s="588" t="n"/>
      <c r="DJ647" s="588" t="n"/>
      <c r="DK647" s="588" t="n"/>
      <c r="DL647" s="588" t="n"/>
      <c r="DM647" s="588" t="n"/>
      <c r="DN647" s="588" t="n"/>
      <c r="DO647" s="588" t="n"/>
      <c r="DP647" s="588" t="n"/>
      <c r="DQ647" s="588" t="n"/>
      <c r="DR647" s="588" t="n"/>
      <c r="DS647" s="588" t="n"/>
      <c r="DT647" s="588" t="n"/>
      <c r="DU647" s="588" t="n"/>
    </row>
    <row r="648">
      <c r="A648" s="737" t="n"/>
      <c r="B648" s="737" t="n"/>
      <c r="C648" s="737" t="n"/>
      <c r="D648" s="737" t="n"/>
      <c r="E648" s="737" t="n"/>
      <c r="F648" s="737" t="n"/>
      <c r="G648" s="737" t="n"/>
      <c r="H648" s="737" t="n"/>
      <c r="I648" s="737" t="n"/>
      <c r="J648" s="737" t="n"/>
      <c r="K648" s="737" t="n"/>
      <c r="L648" s="737" t="n"/>
      <c r="M648" s="737" t="n"/>
      <c r="N648" s="737" t="n"/>
      <c r="O648" s="737" t="n"/>
      <c r="P648" s="737" t="n"/>
      <c r="Q648" s="737" t="n"/>
      <c r="R648" s="737" t="n"/>
      <c r="S648" s="737" t="n"/>
      <c r="T648" s="737" t="n"/>
      <c r="U648" s="737" t="n"/>
      <c r="V648" s="737" t="n"/>
      <c r="W648" s="737" t="n"/>
      <c r="X648" s="737" t="n"/>
      <c r="Y648" s="737" t="n"/>
      <c r="Z648" s="737" t="n"/>
      <c r="AA648" s="737" t="n"/>
      <c r="AB648" s="737" t="n"/>
      <c r="AC648" s="737" t="n"/>
      <c r="AD648" s="737" t="n"/>
      <c r="AE648" s="737" t="n"/>
      <c r="AF648" s="737" t="n"/>
      <c r="AG648" s="737" t="n"/>
      <c r="AH648" s="737" t="n"/>
      <c r="AI648" s="737" t="n"/>
      <c r="AJ648" s="737" t="n"/>
      <c r="AK648" s="588" t="n"/>
      <c r="AL648" s="588" t="n"/>
      <c r="AM648" s="588" t="n"/>
      <c r="AN648" s="588" t="n"/>
      <c r="AO648" s="588" t="n"/>
      <c r="AP648" s="588" t="n"/>
      <c r="AQ648" s="588" t="n"/>
      <c r="AR648" s="588" t="n"/>
      <c r="AS648" s="588" t="n"/>
      <c r="AT648" s="588" t="n"/>
      <c r="AU648" s="588" t="n"/>
      <c r="AV648" s="588" t="n"/>
      <c r="AW648" s="588" t="n"/>
      <c r="AX648" s="588" t="n"/>
      <c r="AY648" s="588" t="n"/>
      <c r="AZ648" s="588" t="n"/>
      <c r="BA648" s="588" t="n"/>
      <c r="BB648" s="588" t="n"/>
      <c r="BC648" s="588" t="n"/>
      <c r="BD648" s="588" t="n"/>
      <c r="BE648" s="588" t="n"/>
      <c r="BF648" s="588" t="n"/>
      <c r="BG648" s="588" t="n"/>
      <c r="BH648" s="588" t="n"/>
      <c r="BI648" s="588" t="n"/>
      <c r="BJ648" s="588" t="n"/>
      <c r="BK648" s="588" t="n"/>
      <c r="BL648" s="588" t="n"/>
      <c r="BM648" s="588" t="n"/>
      <c r="BN648" s="588" t="n"/>
      <c r="BO648" s="588" t="n"/>
      <c r="BP648" s="588" t="n"/>
      <c r="BQ648" s="588" t="n"/>
      <c r="BR648" s="588" t="n"/>
      <c r="BS648" s="588" t="n"/>
      <c r="BT648" s="588" t="n"/>
      <c r="BU648" s="588" t="n"/>
      <c r="BV648" s="588" t="n"/>
      <c r="BW648" s="588" t="n"/>
      <c r="BX648" s="588" t="n"/>
      <c r="BY648" s="588" t="n"/>
      <c r="BZ648" s="588" t="n"/>
      <c r="CA648" s="588" t="n"/>
      <c r="CB648" s="588" t="n"/>
      <c r="CC648" s="588" t="n"/>
      <c r="CD648" s="588" t="n"/>
      <c r="CE648" s="588" t="n"/>
      <c r="CF648" s="588" t="n"/>
      <c r="CG648" s="588" t="n"/>
      <c r="CH648" s="588" t="n"/>
      <c r="CI648" s="588" t="n"/>
      <c r="CJ648" s="588" t="n"/>
      <c r="CK648" s="588" t="n"/>
      <c r="CL648" s="588" t="n"/>
      <c r="CM648" s="588" t="n"/>
      <c r="CN648" s="588" t="n"/>
      <c r="CO648" s="588" t="n"/>
      <c r="CP648" s="588" t="n"/>
      <c r="CQ648" s="588" t="n"/>
      <c r="CR648" s="588" t="n"/>
      <c r="CS648" s="588" t="n"/>
      <c r="CT648" s="588" t="n"/>
      <c r="CU648" s="588" t="n"/>
      <c r="CV648" s="588" t="n"/>
      <c r="CW648" s="588" t="n"/>
      <c r="CX648" s="588" t="n"/>
      <c r="CY648" s="588" t="n"/>
      <c r="CZ648" s="588" t="n"/>
      <c r="DA648" s="588" t="n"/>
      <c r="DB648" s="588" t="n"/>
      <c r="DC648" s="588" t="n"/>
      <c r="DD648" s="588" t="n"/>
      <c r="DE648" s="588" t="n"/>
      <c r="DF648" s="588" t="n"/>
      <c r="DG648" s="588" t="n"/>
      <c r="DH648" s="588" t="n"/>
      <c r="DI648" s="588" t="n"/>
      <c r="DJ648" s="588" t="n"/>
      <c r="DK648" s="588" t="n"/>
      <c r="DL648" s="588" t="n"/>
      <c r="DM648" s="588" t="n"/>
      <c r="DN648" s="588" t="n"/>
      <c r="DO648" s="588" t="n"/>
      <c r="DP648" s="588" t="n"/>
      <c r="DQ648" s="588" t="n"/>
      <c r="DR648" s="588" t="n"/>
      <c r="DS648" s="588" t="n"/>
      <c r="DT648" s="588" t="n"/>
      <c r="DU648" s="588" t="n"/>
    </row>
    <row r="649">
      <c r="A649" s="737" t="n"/>
      <c r="B649" s="737" t="n"/>
      <c r="C649" s="737" t="n"/>
      <c r="D649" s="737" t="n"/>
      <c r="E649" s="737" t="n"/>
      <c r="F649" s="737" t="n"/>
      <c r="G649" s="737" t="n"/>
      <c r="H649" s="737" t="n"/>
      <c r="I649" s="737" t="n"/>
      <c r="J649" s="737" t="n"/>
      <c r="K649" s="737" t="n"/>
      <c r="L649" s="737" t="n"/>
      <c r="M649" s="737" t="n"/>
      <c r="N649" s="737" t="n"/>
      <c r="O649" s="737" t="n"/>
      <c r="P649" s="737" t="n"/>
      <c r="Q649" s="737" t="n"/>
      <c r="R649" s="737" t="n"/>
      <c r="S649" s="737" t="n"/>
      <c r="T649" s="737" t="n"/>
      <c r="U649" s="737" t="n"/>
      <c r="V649" s="737" t="n"/>
      <c r="W649" s="737" t="n"/>
      <c r="X649" s="737" t="n"/>
      <c r="Y649" s="737" t="n"/>
      <c r="Z649" s="737" t="n"/>
      <c r="AA649" s="737" t="n"/>
      <c r="AB649" s="737" t="n"/>
      <c r="AC649" s="737" t="n"/>
      <c r="AD649" s="737" t="n"/>
      <c r="AE649" s="737" t="n"/>
      <c r="AF649" s="737" t="n"/>
      <c r="AG649" s="737" t="n"/>
      <c r="AH649" s="737" t="n"/>
      <c r="AI649" s="737" t="n"/>
      <c r="AJ649" s="737" t="n"/>
      <c r="AK649" s="588" t="n"/>
      <c r="AL649" s="588" t="n"/>
      <c r="AM649" s="588" t="n"/>
      <c r="AN649" s="588" t="n"/>
      <c r="AO649" s="588" t="n"/>
      <c r="AP649" s="588" t="n"/>
      <c r="AQ649" s="588" t="n"/>
      <c r="AR649" s="588" t="n"/>
      <c r="AS649" s="588" t="n"/>
      <c r="AT649" s="588" t="n"/>
      <c r="AU649" s="588" t="n"/>
      <c r="AV649" s="588" t="n"/>
      <c r="AW649" s="588" t="n"/>
      <c r="AX649" s="588" t="n"/>
      <c r="AY649" s="588" t="n"/>
      <c r="AZ649" s="588" t="n"/>
      <c r="BA649" s="588" t="n"/>
      <c r="BB649" s="588" t="n"/>
      <c r="BC649" s="588" t="n"/>
      <c r="BD649" s="588" t="n"/>
      <c r="BE649" s="588" t="n"/>
      <c r="BF649" s="588" t="n"/>
      <c r="BG649" s="588" t="n"/>
      <c r="BH649" s="588" t="n"/>
      <c r="BI649" s="588" t="n"/>
      <c r="BJ649" s="588" t="n"/>
      <c r="BK649" s="588" t="n"/>
      <c r="BL649" s="588" t="n"/>
      <c r="BM649" s="588" t="n"/>
      <c r="BN649" s="588" t="n"/>
      <c r="BO649" s="588" t="n"/>
      <c r="BP649" s="588" t="n"/>
      <c r="BQ649" s="588" t="n"/>
      <c r="BR649" s="588" t="n"/>
      <c r="BS649" s="588" t="n"/>
      <c r="BT649" s="588" t="n"/>
      <c r="BU649" s="588" t="n"/>
      <c r="BV649" s="588" t="n"/>
      <c r="BW649" s="588" t="n"/>
      <c r="BX649" s="588" t="n"/>
      <c r="BY649" s="588" t="n"/>
      <c r="BZ649" s="588" t="n"/>
      <c r="CA649" s="588" t="n"/>
      <c r="CB649" s="588" t="n"/>
      <c r="CC649" s="588" t="n"/>
      <c r="CD649" s="588" t="n"/>
      <c r="CE649" s="588" t="n"/>
      <c r="CF649" s="588" t="n"/>
      <c r="CG649" s="588" t="n"/>
      <c r="CH649" s="588" t="n"/>
      <c r="CI649" s="588" t="n"/>
      <c r="CJ649" s="588" t="n"/>
      <c r="CK649" s="588" t="n"/>
      <c r="CL649" s="588" t="n"/>
      <c r="CM649" s="588" t="n"/>
      <c r="CN649" s="588" t="n"/>
      <c r="CO649" s="588" t="n"/>
      <c r="CP649" s="588" t="n"/>
      <c r="CQ649" s="588" t="n"/>
      <c r="CR649" s="588" t="n"/>
      <c r="CS649" s="588" t="n"/>
      <c r="CT649" s="588" t="n"/>
      <c r="CU649" s="588" t="n"/>
      <c r="CV649" s="588" t="n"/>
      <c r="CW649" s="588" t="n"/>
      <c r="CX649" s="588" t="n"/>
      <c r="CY649" s="588" t="n"/>
      <c r="CZ649" s="588" t="n"/>
      <c r="DA649" s="588" t="n"/>
      <c r="DB649" s="588" t="n"/>
      <c r="DC649" s="588" t="n"/>
      <c r="DD649" s="588" t="n"/>
      <c r="DE649" s="588" t="n"/>
      <c r="DF649" s="588" t="n"/>
      <c r="DG649" s="588" t="n"/>
      <c r="DH649" s="588" t="n"/>
      <c r="DI649" s="588" t="n"/>
      <c r="DJ649" s="588" t="n"/>
      <c r="DK649" s="588" t="n"/>
      <c r="DL649" s="588" t="n"/>
      <c r="DM649" s="588" t="n"/>
      <c r="DN649" s="588" t="n"/>
      <c r="DO649" s="588" t="n"/>
      <c r="DP649" s="588" t="n"/>
      <c r="DQ649" s="588" t="n"/>
      <c r="DR649" s="588" t="n"/>
      <c r="DS649" s="588" t="n"/>
      <c r="DT649" s="588" t="n"/>
      <c r="DU649" s="588" t="n"/>
    </row>
    <row r="650">
      <c r="A650" s="737" t="n"/>
      <c r="B650" s="737" t="n"/>
      <c r="C650" s="737" t="n"/>
      <c r="D650" s="737" t="n"/>
      <c r="E650" s="737" t="n"/>
      <c r="F650" s="737" t="n"/>
      <c r="G650" s="737" t="n"/>
      <c r="H650" s="737" t="n"/>
      <c r="I650" s="737" t="n"/>
      <c r="J650" s="737" t="n"/>
      <c r="K650" s="737" t="n"/>
      <c r="L650" s="737" t="n"/>
      <c r="M650" s="737" t="n"/>
      <c r="N650" s="737" t="n"/>
      <c r="O650" s="737" t="n"/>
      <c r="P650" s="737" t="n"/>
      <c r="Q650" s="737" t="n"/>
      <c r="R650" s="737" t="n"/>
      <c r="S650" s="737" t="n"/>
      <c r="T650" s="737" t="n"/>
      <c r="U650" s="737" t="n"/>
      <c r="V650" s="737" t="n"/>
      <c r="W650" s="737" t="n"/>
      <c r="X650" s="737" t="n"/>
      <c r="Y650" s="737" t="n"/>
      <c r="Z650" s="737" t="n"/>
      <c r="AA650" s="737" t="n"/>
      <c r="AB650" s="737" t="n"/>
      <c r="AC650" s="737" t="n"/>
      <c r="AD650" s="737" t="n"/>
      <c r="AE650" s="737" t="n"/>
      <c r="AF650" s="737" t="n"/>
      <c r="AG650" s="737" t="n"/>
      <c r="AH650" s="737" t="n"/>
      <c r="AI650" s="737" t="n"/>
      <c r="AJ650" s="737" t="n"/>
      <c r="AK650" s="588" t="n"/>
      <c r="AL650" s="588" t="n"/>
      <c r="AM650" s="588" t="n"/>
      <c r="AN650" s="588" t="n"/>
      <c r="AO650" s="588" t="n"/>
      <c r="AP650" s="588" t="n"/>
      <c r="AQ650" s="588" t="n"/>
      <c r="AR650" s="588" t="n"/>
      <c r="AS650" s="588" t="n"/>
      <c r="AT650" s="588" t="n"/>
      <c r="AU650" s="588" t="n"/>
      <c r="AV650" s="588" t="n"/>
      <c r="AW650" s="588" t="n"/>
      <c r="AX650" s="588" t="n"/>
      <c r="AY650" s="588" t="n"/>
      <c r="AZ650" s="588" t="n"/>
      <c r="BA650" s="588" t="n"/>
      <c r="BB650" s="588" t="n"/>
      <c r="BC650" s="588" t="n"/>
      <c r="BD650" s="588" t="n"/>
      <c r="BE650" s="588" t="n"/>
      <c r="BF650" s="588" t="n"/>
      <c r="BG650" s="588" t="n"/>
      <c r="BH650" s="588" t="n"/>
      <c r="BI650" s="588" t="n"/>
      <c r="BJ650" s="588" t="n"/>
      <c r="BK650" s="588" t="n"/>
      <c r="BL650" s="588" t="n"/>
      <c r="BM650" s="588" t="n"/>
      <c r="BN650" s="588" t="n"/>
      <c r="BO650" s="588" t="n"/>
      <c r="BP650" s="588" t="n"/>
      <c r="BQ650" s="588" t="n"/>
      <c r="BR650" s="588" t="n"/>
      <c r="BS650" s="588" t="n"/>
      <c r="BT650" s="588" t="n"/>
      <c r="BU650" s="588" t="n"/>
      <c r="BV650" s="588" t="n"/>
      <c r="BW650" s="588" t="n"/>
      <c r="BX650" s="588" t="n"/>
      <c r="BY650" s="588" t="n"/>
      <c r="BZ650" s="588" t="n"/>
      <c r="CA650" s="588" t="n"/>
      <c r="CB650" s="588" t="n"/>
      <c r="CC650" s="588" t="n"/>
      <c r="CD650" s="588" t="n"/>
      <c r="CE650" s="588" t="n"/>
      <c r="CF650" s="588" t="n"/>
      <c r="CG650" s="588" t="n"/>
      <c r="CH650" s="588" t="n"/>
      <c r="CI650" s="588" t="n"/>
      <c r="CJ650" s="588" t="n"/>
      <c r="CK650" s="588" t="n"/>
      <c r="CL650" s="588" t="n"/>
      <c r="CM650" s="588" t="n"/>
      <c r="CN650" s="588" t="n"/>
      <c r="CO650" s="588" t="n"/>
      <c r="CP650" s="588" t="n"/>
      <c r="CQ650" s="588" t="n"/>
      <c r="CR650" s="588" t="n"/>
      <c r="CS650" s="588" t="n"/>
      <c r="CT650" s="588" t="n"/>
      <c r="CU650" s="588" t="n"/>
      <c r="CV650" s="588" t="n"/>
      <c r="CW650" s="588" t="n"/>
      <c r="CX650" s="588" t="n"/>
      <c r="CY650" s="588" t="n"/>
      <c r="CZ650" s="588" t="n"/>
      <c r="DA650" s="588" t="n"/>
      <c r="DB650" s="588" t="n"/>
      <c r="DC650" s="588" t="n"/>
      <c r="DD650" s="588" t="n"/>
      <c r="DE650" s="588" t="n"/>
      <c r="DF650" s="588" t="n"/>
      <c r="DG650" s="588" t="n"/>
      <c r="DH650" s="588" t="n"/>
      <c r="DI650" s="588" t="n"/>
      <c r="DJ650" s="588" t="n"/>
      <c r="DK650" s="588" t="n"/>
      <c r="DL650" s="588" t="n"/>
      <c r="DM650" s="588" t="n"/>
      <c r="DN650" s="588" t="n"/>
      <c r="DO650" s="588" t="n"/>
      <c r="DP650" s="588" t="n"/>
      <c r="DQ650" s="588" t="n"/>
      <c r="DR650" s="588" t="n"/>
      <c r="DS650" s="588" t="n"/>
      <c r="DT650" s="588" t="n"/>
      <c r="DU650" s="588" t="n"/>
    </row>
    <row r="651">
      <c r="A651" s="737" t="n"/>
      <c r="B651" s="737" t="n"/>
      <c r="C651" s="737" t="n"/>
      <c r="D651" s="737" t="n"/>
      <c r="E651" s="737" t="n"/>
      <c r="F651" s="737" t="n"/>
      <c r="G651" s="737" t="n"/>
      <c r="H651" s="737" t="n"/>
      <c r="I651" s="737" t="n"/>
      <c r="J651" s="737" t="n"/>
      <c r="K651" s="737" t="n"/>
      <c r="L651" s="737" t="n"/>
      <c r="M651" s="737" t="n"/>
      <c r="N651" s="737" t="n"/>
      <c r="O651" s="737" t="n"/>
      <c r="P651" s="737" t="n"/>
      <c r="Q651" s="737" t="n"/>
      <c r="R651" s="737" t="n"/>
      <c r="S651" s="737" t="n"/>
      <c r="T651" s="737" t="n"/>
      <c r="U651" s="737" t="n"/>
      <c r="V651" s="737" t="n"/>
      <c r="W651" s="737" t="n"/>
      <c r="X651" s="737" t="n"/>
      <c r="Y651" s="737" t="n"/>
      <c r="Z651" s="737" t="n"/>
      <c r="AA651" s="737" t="n"/>
      <c r="AB651" s="737" t="n"/>
      <c r="AC651" s="737" t="n"/>
      <c r="AD651" s="737" t="n"/>
      <c r="AE651" s="737" t="n"/>
      <c r="AF651" s="737" t="n"/>
      <c r="AG651" s="737" t="n"/>
      <c r="AH651" s="737" t="n"/>
      <c r="AI651" s="737" t="n"/>
      <c r="AJ651" s="737" t="n"/>
      <c r="AK651" s="588" t="n"/>
      <c r="AL651" s="588" t="n"/>
      <c r="AM651" s="588" t="n"/>
      <c r="AN651" s="588" t="n"/>
      <c r="AO651" s="588" t="n"/>
      <c r="AP651" s="588" t="n"/>
      <c r="AQ651" s="588" t="n"/>
      <c r="AR651" s="588" t="n"/>
      <c r="AS651" s="588" t="n"/>
      <c r="AT651" s="588" t="n"/>
      <c r="AU651" s="588" t="n"/>
      <c r="AV651" s="588" t="n"/>
      <c r="AW651" s="588" t="n"/>
      <c r="AX651" s="588" t="n"/>
      <c r="AY651" s="588" t="n"/>
      <c r="AZ651" s="588" t="n"/>
      <c r="BA651" s="588" t="n"/>
      <c r="BB651" s="588" t="n"/>
      <c r="BC651" s="588" t="n"/>
      <c r="BD651" s="588" t="n"/>
      <c r="BE651" s="588" t="n"/>
      <c r="BF651" s="588" t="n"/>
      <c r="BG651" s="588" t="n"/>
      <c r="BH651" s="588" t="n"/>
      <c r="BI651" s="588" t="n"/>
      <c r="BJ651" s="588" t="n"/>
      <c r="BK651" s="588" t="n"/>
      <c r="BL651" s="588" t="n"/>
      <c r="BM651" s="588" t="n"/>
      <c r="BN651" s="588" t="n"/>
      <c r="BO651" s="588" t="n"/>
      <c r="BP651" s="588" t="n"/>
      <c r="BQ651" s="588" t="n"/>
      <c r="BR651" s="588" t="n"/>
      <c r="BS651" s="588" t="n"/>
      <c r="BT651" s="588" t="n"/>
      <c r="BU651" s="588" t="n"/>
      <c r="BV651" s="588" t="n"/>
      <c r="BW651" s="588" t="n"/>
      <c r="BX651" s="588" t="n"/>
      <c r="BY651" s="588" t="n"/>
      <c r="BZ651" s="588" t="n"/>
      <c r="CA651" s="588" t="n"/>
      <c r="CB651" s="588" t="n"/>
      <c r="CC651" s="588" t="n"/>
      <c r="CD651" s="588" t="n"/>
      <c r="CE651" s="588" t="n"/>
      <c r="CF651" s="588" t="n"/>
      <c r="CG651" s="588" t="n"/>
      <c r="CH651" s="588" t="n"/>
      <c r="CI651" s="588" t="n"/>
      <c r="CJ651" s="588" t="n"/>
      <c r="CK651" s="588" t="n"/>
      <c r="CL651" s="588" t="n"/>
      <c r="CM651" s="588" t="n"/>
      <c r="CN651" s="588" t="n"/>
      <c r="CO651" s="588" t="n"/>
      <c r="CP651" s="588" t="n"/>
      <c r="CQ651" s="588" t="n"/>
      <c r="CR651" s="588" t="n"/>
      <c r="CS651" s="588" t="n"/>
      <c r="CT651" s="588" t="n"/>
      <c r="CU651" s="588" t="n"/>
      <c r="CV651" s="588" t="n"/>
      <c r="CW651" s="588" t="n"/>
      <c r="CX651" s="588" t="n"/>
      <c r="CY651" s="588" t="n"/>
      <c r="CZ651" s="588" t="n"/>
      <c r="DA651" s="588" t="n"/>
      <c r="DB651" s="588" t="n"/>
      <c r="DC651" s="588" t="n"/>
      <c r="DD651" s="588" t="n"/>
      <c r="DE651" s="588" t="n"/>
      <c r="DF651" s="588" t="n"/>
      <c r="DG651" s="588" t="n"/>
      <c r="DH651" s="588" t="n"/>
      <c r="DI651" s="588" t="n"/>
      <c r="DJ651" s="588" t="n"/>
      <c r="DK651" s="588" t="n"/>
      <c r="DL651" s="588" t="n"/>
      <c r="DM651" s="588" t="n"/>
      <c r="DN651" s="588" t="n"/>
      <c r="DO651" s="588" t="n"/>
      <c r="DP651" s="588" t="n"/>
      <c r="DQ651" s="588" t="n"/>
      <c r="DR651" s="588" t="n"/>
      <c r="DS651" s="588" t="n"/>
      <c r="DT651" s="588" t="n"/>
      <c r="DU651" s="588" t="n"/>
    </row>
    <row r="652">
      <c r="A652" s="737" t="n"/>
      <c r="B652" s="737" t="n"/>
      <c r="C652" s="737" t="n"/>
      <c r="D652" s="737" t="n"/>
      <c r="E652" s="737" t="n"/>
      <c r="F652" s="737" t="n"/>
      <c r="G652" s="737" t="n"/>
      <c r="H652" s="737" t="n"/>
      <c r="I652" s="737" t="n"/>
      <c r="J652" s="737" t="n"/>
      <c r="K652" s="737" t="n"/>
      <c r="L652" s="737" t="n"/>
      <c r="M652" s="737" t="n"/>
      <c r="N652" s="737" t="n"/>
      <c r="O652" s="737" t="n"/>
      <c r="P652" s="737" t="n"/>
      <c r="Q652" s="737" t="n"/>
      <c r="R652" s="737" t="n"/>
      <c r="S652" s="737" t="n"/>
      <c r="T652" s="737" t="n"/>
      <c r="U652" s="737" t="n"/>
      <c r="V652" s="737" t="n"/>
      <c r="W652" s="737" t="n"/>
      <c r="X652" s="737" t="n"/>
      <c r="Y652" s="737" t="n"/>
      <c r="Z652" s="737" t="n"/>
      <c r="AA652" s="737" t="n"/>
      <c r="AB652" s="737" t="n"/>
      <c r="AC652" s="737" t="n"/>
      <c r="AD652" s="737" t="n"/>
      <c r="AE652" s="737" t="n"/>
      <c r="AF652" s="737" t="n"/>
      <c r="AG652" s="737" t="n"/>
      <c r="AH652" s="737" t="n"/>
      <c r="AI652" s="737" t="n"/>
      <c r="AJ652" s="737" t="n"/>
      <c r="AK652" s="588" t="n"/>
      <c r="AL652" s="588" t="n"/>
      <c r="AM652" s="588" t="n"/>
      <c r="AN652" s="588" t="n"/>
      <c r="AO652" s="588" t="n"/>
      <c r="AP652" s="588" t="n"/>
      <c r="AQ652" s="588" t="n"/>
      <c r="AR652" s="588" t="n"/>
      <c r="AS652" s="588" t="n"/>
      <c r="AT652" s="588" t="n"/>
      <c r="AU652" s="588" t="n"/>
      <c r="AV652" s="588" t="n"/>
      <c r="AW652" s="588" t="n"/>
      <c r="AX652" s="588" t="n"/>
      <c r="AY652" s="588" t="n"/>
      <c r="AZ652" s="588" t="n"/>
      <c r="BA652" s="588" t="n"/>
      <c r="BB652" s="588" t="n"/>
      <c r="BC652" s="588" t="n"/>
      <c r="BD652" s="588" t="n"/>
      <c r="BE652" s="588" t="n"/>
      <c r="BF652" s="588" t="n"/>
      <c r="BG652" s="588" t="n"/>
      <c r="BH652" s="588" t="n"/>
      <c r="BI652" s="588" t="n"/>
      <c r="BJ652" s="588" t="n"/>
      <c r="BK652" s="588" t="n"/>
      <c r="BL652" s="588" t="n"/>
      <c r="BM652" s="588" t="n"/>
      <c r="BN652" s="588" t="n"/>
      <c r="BO652" s="588" t="n"/>
      <c r="BP652" s="588" t="n"/>
      <c r="BQ652" s="588" t="n"/>
      <c r="BR652" s="588" t="n"/>
      <c r="BS652" s="588" t="n"/>
      <c r="BT652" s="588" t="n"/>
      <c r="BU652" s="588" t="n"/>
      <c r="BV652" s="588" t="n"/>
      <c r="BW652" s="588" t="n"/>
      <c r="BX652" s="588" t="n"/>
      <c r="BY652" s="588" t="n"/>
      <c r="BZ652" s="588" t="n"/>
      <c r="CA652" s="588" t="n"/>
      <c r="CB652" s="588" t="n"/>
      <c r="CC652" s="588" t="n"/>
      <c r="CD652" s="588" t="n"/>
      <c r="CE652" s="588" t="n"/>
      <c r="CF652" s="588" t="n"/>
      <c r="CG652" s="588" t="n"/>
      <c r="CH652" s="588" t="n"/>
      <c r="CI652" s="588" t="n"/>
      <c r="CJ652" s="588" t="n"/>
      <c r="CK652" s="588" t="n"/>
      <c r="CL652" s="588" t="n"/>
      <c r="CM652" s="588" t="n"/>
      <c r="CN652" s="588" t="n"/>
      <c r="CO652" s="588" t="n"/>
      <c r="CP652" s="588" t="n"/>
      <c r="CQ652" s="588" t="n"/>
      <c r="CR652" s="588" t="n"/>
      <c r="CS652" s="588" t="n"/>
      <c r="CT652" s="588" t="n"/>
      <c r="CU652" s="588" t="n"/>
      <c r="CV652" s="588" t="n"/>
      <c r="CW652" s="588" t="n"/>
      <c r="CX652" s="588" t="n"/>
      <c r="CY652" s="588" t="n"/>
      <c r="CZ652" s="588" t="n"/>
      <c r="DA652" s="588" t="n"/>
      <c r="DB652" s="588" t="n"/>
      <c r="DC652" s="588" t="n"/>
      <c r="DD652" s="588" t="n"/>
      <c r="DE652" s="588" t="n"/>
      <c r="DF652" s="588" t="n"/>
      <c r="DG652" s="588" t="n"/>
      <c r="DH652" s="588" t="n"/>
      <c r="DI652" s="588" t="n"/>
      <c r="DJ652" s="588" t="n"/>
      <c r="DK652" s="588" t="n"/>
      <c r="DL652" s="588" t="n"/>
      <c r="DM652" s="588" t="n"/>
      <c r="DN652" s="588" t="n"/>
      <c r="DO652" s="588" t="n"/>
      <c r="DP652" s="588" t="n"/>
      <c r="DQ652" s="588" t="n"/>
      <c r="DR652" s="588" t="n"/>
      <c r="DS652" s="588" t="n"/>
      <c r="DT652" s="588" t="n"/>
      <c r="DU652" s="588" t="n"/>
    </row>
    <row r="653">
      <c r="A653" s="737" t="n"/>
      <c r="B653" s="737" t="n"/>
      <c r="C653" s="737" t="n"/>
      <c r="D653" s="737" t="n"/>
      <c r="E653" s="737" t="n"/>
      <c r="F653" s="737" t="n"/>
      <c r="G653" s="737" t="n"/>
      <c r="H653" s="737" t="n"/>
      <c r="I653" s="737" t="n"/>
      <c r="J653" s="737" t="n"/>
      <c r="K653" s="737" t="n"/>
      <c r="L653" s="737" t="n"/>
      <c r="M653" s="737" t="n"/>
      <c r="N653" s="737" t="n"/>
      <c r="O653" s="737" t="n"/>
      <c r="P653" s="737" t="n"/>
      <c r="Q653" s="737" t="n"/>
      <c r="R653" s="737" t="n"/>
      <c r="S653" s="737" t="n"/>
      <c r="T653" s="737" t="n"/>
      <c r="U653" s="737" t="n"/>
      <c r="V653" s="737" t="n"/>
      <c r="W653" s="737" t="n"/>
      <c r="X653" s="737" t="n"/>
      <c r="Y653" s="737" t="n"/>
      <c r="Z653" s="737" t="n"/>
      <c r="AA653" s="737" t="n"/>
      <c r="AB653" s="737" t="n"/>
      <c r="AC653" s="737" t="n"/>
      <c r="AD653" s="737" t="n"/>
      <c r="AE653" s="737" t="n"/>
      <c r="AF653" s="737" t="n"/>
      <c r="AG653" s="737" t="n"/>
      <c r="AH653" s="737" t="n"/>
      <c r="AI653" s="737" t="n"/>
      <c r="AJ653" s="737" t="n"/>
      <c r="AK653" s="588" t="n"/>
      <c r="AL653" s="588" t="n"/>
      <c r="AM653" s="588" t="n"/>
      <c r="AN653" s="588" t="n"/>
      <c r="AO653" s="588" t="n"/>
      <c r="AP653" s="588" t="n"/>
      <c r="AQ653" s="588" t="n"/>
      <c r="AR653" s="588" t="n"/>
      <c r="AS653" s="588" t="n"/>
      <c r="AT653" s="588" t="n"/>
      <c r="AU653" s="588" t="n"/>
      <c r="AV653" s="588" t="n"/>
      <c r="AW653" s="588" t="n"/>
      <c r="AX653" s="588" t="n"/>
      <c r="AY653" s="588" t="n"/>
      <c r="AZ653" s="588" t="n"/>
      <c r="BA653" s="588" t="n"/>
      <c r="BB653" s="588" t="n"/>
      <c r="BC653" s="588" t="n"/>
      <c r="BD653" s="588" t="n"/>
      <c r="BE653" s="588" t="n"/>
      <c r="BF653" s="588" t="n"/>
      <c r="BG653" s="588" t="n"/>
      <c r="BH653" s="588" t="n"/>
      <c r="BI653" s="588" t="n"/>
      <c r="BJ653" s="588" t="n"/>
      <c r="BK653" s="588" t="n"/>
      <c r="BL653" s="588" t="n"/>
      <c r="BM653" s="588" t="n"/>
      <c r="BN653" s="588" t="n"/>
      <c r="BO653" s="588" t="n"/>
      <c r="BP653" s="588" t="n"/>
      <c r="BQ653" s="588" t="n"/>
      <c r="BR653" s="588" t="n"/>
      <c r="BS653" s="588" t="n"/>
      <c r="BT653" s="588" t="n"/>
      <c r="BU653" s="588" t="n"/>
      <c r="BV653" s="588" t="n"/>
      <c r="BW653" s="588" t="n"/>
      <c r="BX653" s="588" t="n"/>
      <c r="BY653" s="588" t="n"/>
      <c r="BZ653" s="588" t="n"/>
      <c r="CA653" s="588" t="n"/>
      <c r="CB653" s="588" t="n"/>
      <c r="CC653" s="588" t="n"/>
      <c r="CD653" s="588" t="n"/>
      <c r="CE653" s="588" t="n"/>
      <c r="CF653" s="588" t="n"/>
      <c r="CG653" s="588" t="n"/>
      <c r="CH653" s="588" t="n"/>
      <c r="CI653" s="588" t="n"/>
      <c r="CJ653" s="588" t="n"/>
      <c r="CK653" s="588" t="n"/>
      <c r="CL653" s="588" t="n"/>
      <c r="CM653" s="588" t="n"/>
      <c r="CN653" s="588" t="n"/>
      <c r="CO653" s="588" t="n"/>
      <c r="CP653" s="588" t="n"/>
      <c r="CQ653" s="588" t="n"/>
      <c r="CR653" s="588" t="n"/>
      <c r="CS653" s="588" t="n"/>
      <c r="CT653" s="588" t="n"/>
      <c r="CU653" s="588" t="n"/>
      <c r="CV653" s="588" t="n"/>
      <c r="CW653" s="588" t="n"/>
      <c r="CX653" s="588" t="n"/>
      <c r="CY653" s="588" t="n"/>
      <c r="CZ653" s="588" t="n"/>
      <c r="DA653" s="588" t="n"/>
      <c r="DB653" s="588" t="n"/>
      <c r="DC653" s="588" t="n"/>
      <c r="DD653" s="588" t="n"/>
      <c r="DE653" s="588" t="n"/>
      <c r="DF653" s="588" t="n"/>
      <c r="DG653" s="588" t="n"/>
      <c r="DH653" s="588" t="n"/>
      <c r="DI653" s="588" t="n"/>
      <c r="DJ653" s="588" t="n"/>
      <c r="DK653" s="588" t="n"/>
      <c r="DL653" s="588" t="n"/>
      <c r="DM653" s="588" t="n"/>
      <c r="DN653" s="588" t="n"/>
      <c r="DO653" s="588" t="n"/>
      <c r="DP653" s="588" t="n"/>
      <c r="DQ653" s="588" t="n"/>
      <c r="DR653" s="588" t="n"/>
      <c r="DS653" s="588" t="n"/>
      <c r="DT653" s="588" t="n"/>
      <c r="DU653" s="588" t="n"/>
    </row>
    <row r="654">
      <c r="A654" s="737" t="n"/>
      <c r="B654" s="737" t="n"/>
      <c r="C654" s="737" t="n"/>
      <c r="D654" s="737" t="n"/>
      <c r="E654" s="737" t="n"/>
      <c r="F654" s="737" t="n"/>
      <c r="G654" s="737" t="n"/>
      <c r="H654" s="737" t="n"/>
      <c r="I654" s="737" t="n"/>
      <c r="J654" s="737" t="n"/>
      <c r="K654" s="737" t="n"/>
      <c r="L654" s="737" t="n"/>
      <c r="M654" s="737" t="n"/>
      <c r="N654" s="737" t="n"/>
      <c r="O654" s="737" t="n"/>
      <c r="P654" s="737" t="n"/>
      <c r="Q654" s="737" t="n"/>
      <c r="R654" s="737" t="n"/>
      <c r="S654" s="737" t="n"/>
      <c r="T654" s="737" t="n"/>
      <c r="U654" s="737" t="n"/>
      <c r="V654" s="737" t="n"/>
      <c r="W654" s="737" t="n"/>
      <c r="X654" s="737" t="n"/>
      <c r="Y654" s="737" t="n"/>
      <c r="Z654" s="737" t="n"/>
      <c r="AA654" s="737" t="n"/>
      <c r="AB654" s="737" t="n"/>
      <c r="AC654" s="737" t="n"/>
      <c r="AD654" s="737" t="n"/>
      <c r="AE654" s="737" t="n"/>
      <c r="AF654" s="737" t="n"/>
      <c r="AG654" s="737" t="n"/>
      <c r="AH654" s="737" t="n"/>
      <c r="AI654" s="737" t="n"/>
      <c r="AJ654" s="737" t="n"/>
      <c r="AK654" s="588" t="n"/>
      <c r="AL654" s="588" t="n"/>
      <c r="AM654" s="588" t="n"/>
      <c r="AN654" s="588" t="n"/>
      <c r="AO654" s="588" t="n"/>
      <c r="AP654" s="588" t="n"/>
      <c r="AQ654" s="588" t="n"/>
      <c r="AR654" s="588" t="n"/>
      <c r="AS654" s="588" t="n"/>
      <c r="AT654" s="588" t="n"/>
      <c r="AU654" s="588" t="n"/>
      <c r="AV654" s="588" t="n"/>
      <c r="AW654" s="588" t="n"/>
      <c r="AX654" s="588" t="n"/>
      <c r="AY654" s="588" t="n"/>
      <c r="AZ654" s="588" t="n"/>
      <c r="BA654" s="588" t="n"/>
      <c r="BB654" s="588" t="n"/>
      <c r="BC654" s="588" t="n"/>
      <c r="BD654" s="588" t="n"/>
      <c r="BE654" s="588" t="n"/>
      <c r="BF654" s="588" t="n"/>
      <c r="BG654" s="588" t="n"/>
      <c r="BH654" s="588" t="n"/>
      <c r="BI654" s="588" t="n"/>
      <c r="BJ654" s="588" t="n"/>
      <c r="BK654" s="588" t="n"/>
      <c r="BL654" s="588" t="n"/>
      <c r="BM654" s="588" t="n"/>
      <c r="BN654" s="588" t="n"/>
      <c r="BO654" s="588" t="n"/>
      <c r="BP654" s="588" t="n"/>
      <c r="BQ654" s="588" t="n"/>
      <c r="BR654" s="588" t="n"/>
      <c r="BS654" s="588" t="n"/>
      <c r="BT654" s="588" t="n"/>
      <c r="BU654" s="588" t="n"/>
      <c r="BV654" s="588" t="n"/>
      <c r="BW654" s="588" t="n"/>
      <c r="BX654" s="588" t="n"/>
      <c r="BY654" s="588" t="n"/>
      <c r="BZ654" s="588" t="n"/>
      <c r="CA654" s="588" t="n"/>
      <c r="CB654" s="588" t="n"/>
      <c r="CC654" s="588" t="n"/>
      <c r="CD654" s="588" t="n"/>
      <c r="CE654" s="588" t="n"/>
      <c r="CF654" s="588" t="n"/>
      <c r="CG654" s="588" t="n"/>
      <c r="CH654" s="588" t="n"/>
      <c r="CI654" s="588" t="n"/>
      <c r="CJ654" s="588" t="n"/>
      <c r="CK654" s="588" t="n"/>
      <c r="CL654" s="588" t="n"/>
      <c r="CM654" s="588" t="n"/>
      <c r="CN654" s="588" t="n"/>
      <c r="CO654" s="588" t="n"/>
      <c r="CP654" s="588" t="n"/>
      <c r="CQ654" s="588" t="n"/>
      <c r="CR654" s="588" t="n"/>
      <c r="CS654" s="588" t="n"/>
      <c r="CT654" s="588" t="n"/>
      <c r="CU654" s="588" t="n"/>
      <c r="CV654" s="588" t="n"/>
      <c r="CW654" s="588" t="n"/>
      <c r="CX654" s="588" t="n"/>
      <c r="CY654" s="588" t="n"/>
      <c r="CZ654" s="588" t="n"/>
      <c r="DA654" s="588" t="n"/>
      <c r="DB654" s="588" t="n"/>
      <c r="DC654" s="588" t="n"/>
      <c r="DD654" s="588" t="n"/>
      <c r="DE654" s="588" t="n"/>
      <c r="DF654" s="588" t="n"/>
      <c r="DG654" s="588" t="n"/>
      <c r="DH654" s="588" t="n"/>
      <c r="DI654" s="588" t="n"/>
      <c r="DJ654" s="588" t="n"/>
      <c r="DK654" s="588" t="n"/>
      <c r="DL654" s="588" t="n"/>
      <c r="DM654" s="588" t="n"/>
      <c r="DN654" s="588" t="n"/>
      <c r="DO654" s="588" t="n"/>
      <c r="DP654" s="588" t="n"/>
      <c r="DQ654" s="588" t="n"/>
      <c r="DR654" s="588" t="n"/>
      <c r="DS654" s="588" t="n"/>
      <c r="DT654" s="588" t="n"/>
      <c r="DU654" s="588" t="n"/>
    </row>
    <row r="655">
      <c r="A655" s="737" t="n"/>
      <c r="B655" s="737" t="n"/>
      <c r="C655" s="737" t="n"/>
      <c r="D655" s="737" t="n"/>
      <c r="E655" s="737" t="n"/>
      <c r="F655" s="737" t="n"/>
      <c r="G655" s="737" t="n"/>
      <c r="H655" s="737" t="n"/>
      <c r="I655" s="737" t="n"/>
      <c r="J655" s="737" t="n"/>
      <c r="K655" s="737" t="n"/>
      <c r="L655" s="737" t="n"/>
      <c r="M655" s="737" t="n"/>
      <c r="N655" s="737" t="n"/>
      <c r="O655" s="737" t="n"/>
      <c r="P655" s="737" t="n"/>
      <c r="Q655" s="737" t="n"/>
      <c r="R655" s="737" t="n"/>
      <c r="S655" s="737" t="n"/>
      <c r="T655" s="737" t="n"/>
      <c r="U655" s="737" t="n"/>
      <c r="V655" s="737" t="n"/>
      <c r="W655" s="737" t="n"/>
      <c r="X655" s="737" t="n"/>
      <c r="Y655" s="737" t="n"/>
      <c r="Z655" s="737" t="n"/>
      <c r="AA655" s="737" t="n"/>
      <c r="AB655" s="737" t="n"/>
      <c r="AC655" s="737" t="n"/>
      <c r="AD655" s="737" t="n"/>
      <c r="AE655" s="737" t="n"/>
      <c r="AF655" s="737" t="n"/>
      <c r="AG655" s="737" t="n"/>
      <c r="AH655" s="737" t="n"/>
      <c r="AI655" s="737" t="n"/>
      <c r="AJ655" s="737" t="n"/>
      <c r="AK655" s="588" t="n"/>
      <c r="AL655" s="588" t="n"/>
      <c r="AM655" s="588" t="n"/>
      <c r="AN655" s="588" t="n"/>
      <c r="AO655" s="588" t="n"/>
      <c r="AP655" s="588" t="n"/>
      <c r="AQ655" s="588" t="n"/>
      <c r="AR655" s="588" t="n"/>
      <c r="AS655" s="588" t="n"/>
      <c r="AT655" s="588" t="n"/>
      <c r="AU655" s="588" t="n"/>
      <c r="AV655" s="588" t="n"/>
      <c r="AW655" s="588" t="n"/>
      <c r="AX655" s="588" t="n"/>
      <c r="AY655" s="588" t="n"/>
      <c r="AZ655" s="588" t="n"/>
      <c r="BA655" s="588" t="n"/>
      <c r="BB655" s="588" t="n"/>
      <c r="BC655" s="588" t="n"/>
      <c r="BD655" s="588" t="n"/>
      <c r="BE655" s="588" t="n"/>
      <c r="BF655" s="588" t="n"/>
      <c r="BG655" s="588" t="n"/>
      <c r="BH655" s="588" t="n"/>
      <c r="BI655" s="588" t="n"/>
      <c r="BJ655" s="588" t="n"/>
      <c r="BK655" s="588" t="n"/>
      <c r="BL655" s="588" t="n"/>
      <c r="BM655" s="588" t="n"/>
      <c r="BN655" s="588" t="n"/>
      <c r="BO655" s="588" t="n"/>
      <c r="BP655" s="588" t="n"/>
      <c r="BQ655" s="588" t="n"/>
      <c r="BR655" s="588" t="n"/>
      <c r="BS655" s="588" t="n"/>
      <c r="BT655" s="588" t="n"/>
      <c r="BU655" s="588" t="n"/>
      <c r="BV655" s="588" t="n"/>
      <c r="BW655" s="588" t="n"/>
      <c r="BX655" s="588" t="n"/>
      <c r="BY655" s="588" t="n"/>
      <c r="BZ655" s="588" t="n"/>
      <c r="CA655" s="588" t="n"/>
      <c r="CB655" s="588" t="n"/>
      <c r="CC655" s="588" t="n"/>
      <c r="CD655" s="588" t="n"/>
      <c r="CE655" s="588" t="n"/>
      <c r="CF655" s="588" t="n"/>
      <c r="CG655" s="588" t="n"/>
      <c r="CH655" s="588" t="n"/>
      <c r="CI655" s="588" t="n"/>
      <c r="CJ655" s="588" t="n"/>
      <c r="CK655" s="588" t="n"/>
      <c r="CL655" s="588" t="n"/>
      <c r="CM655" s="588" t="n"/>
      <c r="CN655" s="588" t="n"/>
      <c r="CO655" s="588" t="n"/>
      <c r="CP655" s="588" t="n"/>
      <c r="CQ655" s="588" t="n"/>
      <c r="CR655" s="588" t="n"/>
      <c r="CS655" s="588" t="n"/>
      <c r="CT655" s="588" t="n"/>
      <c r="CU655" s="588" t="n"/>
      <c r="CV655" s="588" t="n"/>
      <c r="CW655" s="588" t="n"/>
      <c r="CX655" s="588" t="n"/>
      <c r="CY655" s="588" t="n"/>
      <c r="CZ655" s="588" t="n"/>
      <c r="DA655" s="588" t="n"/>
      <c r="DB655" s="588" t="n"/>
      <c r="DC655" s="588" t="n"/>
      <c r="DD655" s="588" t="n"/>
      <c r="DE655" s="588" t="n"/>
      <c r="DF655" s="588" t="n"/>
      <c r="DG655" s="588" t="n"/>
      <c r="DH655" s="588" t="n"/>
      <c r="DI655" s="588" t="n"/>
      <c r="DJ655" s="588" t="n"/>
      <c r="DK655" s="588" t="n"/>
      <c r="DL655" s="588" t="n"/>
      <c r="DM655" s="588" t="n"/>
      <c r="DN655" s="588" t="n"/>
      <c r="DO655" s="588" t="n"/>
      <c r="DP655" s="588" t="n"/>
      <c r="DQ655" s="588" t="n"/>
      <c r="DR655" s="588" t="n"/>
      <c r="DS655" s="588" t="n"/>
      <c r="DT655" s="588" t="n"/>
      <c r="DU655" s="588" t="n"/>
    </row>
    <row r="656">
      <c r="A656" s="737" t="n"/>
      <c r="B656" s="737" t="n"/>
      <c r="C656" s="737" t="n"/>
      <c r="D656" s="737" t="n"/>
      <c r="E656" s="737" t="n"/>
      <c r="F656" s="737" t="n"/>
      <c r="G656" s="737" t="n"/>
      <c r="H656" s="737" t="n"/>
      <c r="I656" s="737" t="n"/>
      <c r="J656" s="737" t="n"/>
      <c r="K656" s="737" t="n"/>
      <c r="L656" s="737" t="n"/>
      <c r="M656" s="737" t="n"/>
      <c r="N656" s="737" t="n"/>
      <c r="O656" s="737" t="n"/>
      <c r="P656" s="737" t="n"/>
      <c r="Q656" s="737" t="n"/>
      <c r="R656" s="737" t="n"/>
      <c r="S656" s="737" t="n"/>
      <c r="T656" s="737" t="n"/>
      <c r="U656" s="737" t="n"/>
      <c r="V656" s="737" t="n"/>
      <c r="W656" s="737" t="n"/>
      <c r="X656" s="737" t="n"/>
      <c r="Y656" s="737" t="n"/>
      <c r="Z656" s="737" t="n"/>
      <c r="AA656" s="737" t="n"/>
      <c r="AB656" s="737" t="n"/>
      <c r="AC656" s="737" t="n"/>
      <c r="AD656" s="737" t="n"/>
      <c r="AE656" s="737" t="n"/>
      <c r="AF656" s="737" t="n"/>
      <c r="AG656" s="737" t="n"/>
      <c r="AH656" s="737" t="n"/>
      <c r="AI656" s="737" t="n"/>
      <c r="AJ656" s="737" t="n"/>
      <c r="AK656" s="588" t="n"/>
      <c r="AL656" s="588" t="n"/>
      <c r="AM656" s="588" t="n"/>
      <c r="AN656" s="588" t="n"/>
      <c r="AO656" s="588" t="n"/>
      <c r="AP656" s="588" t="n"/>
      <c r="AQ656" s="588" t="n"/>
      <c r="AR656" s="588" t="n"/>
      <c r="AS656" s="588" t="n"/>
      <c r="AT656" s="588" t="n"/>
      <c r="AU656" s="588" t="n"/>
      <c r="AV656" s="588" t="n"/>
      <c r="AW656" s="588" t="n"/>
      <c r="AX656" s="588" t="n"/>
      <c r="AY656" s="588" t="n"/>
      <c r="AZ656" s="588" t="n"/>
      <c r="BA656" s="588" t="n"/>
      <c r="BB656" s="588" t="n"/>
      <c r="BC656" s="588" t="n"/>
      <c r="BD656" s="588" t="n"/>
      <c r="BE656" s="588" t="n"/>
      <c r="BF656" s="588" t="n"/>
      <c r="BG656" s="588" t="n"/>
      <c r="BH656" s="588" t="n"/>
      <c r="BI656" s="588" t="n"/>
      <c r="BJ656" s="588" t="n"/>
      <c r="BK656" s="588" t="n"/>
      <c r="BL656" s="588" t="n"/>
      <c r="BM656" s="588" t="n"/>
      <c r="BN656" s="588" t="n"/>
      <c r="BO656" s="588" t="n"/>
      <c r="BP656" s="588" t="n"/>
      <c r="BQ656" s="588" t="n"/>
      <c r="BR656" s="588" t="n"/>
      <c r="BS656" s="588" t="n"/>
      <c r="BT656" s="588" t="n"/>
      <c r="BU656" s="588" t="n"/>
      <c r="BV656" s="588" t="n"/>
      <c r="BW656" s="588" t="n"/>
      <c r="BX656" s="588" t="n"/>
      <c r="BY656" s="588" t="n"/>
      <c r="BZ656" s="588" t="n"/>
      <c r="CA656" s="588" t="n"/>
      <c r="CB656" s="588" t="n"/>
      <c r="CC656" s="588" t="n"/>
      <c r="CD656" s="588" t="n"/>
      <c r="CE656" s="588" t="n"/>
      <c r="CF656" s="588" t="n"/>
      <c r="CG656" s="588" t="n"/>
      <c r="CH656" s="588" t="n"/>
      <c r="CI656" s="588" t="n"/>
      <c r="CJ656" s="588" t="n"/>
      <c r="CK656" s="588" t="n"/>
      <c r="CL656" s="588" t="n"/>
      <c r="CM656" s="588" t="n"/>
      <c r="CN656" s="588" t="n"/>
      <c r="CO656" s="588" t="n"/>
      <c r="CP656" s="588" t="n"/>
      <c r="CQ656" s="588" t="n"/>
      <c r="CR656" s="588" t="n"/>
      <c r="CS656" s="588" t="n"/>
      <c r="CT656" s="588" t="n"/>
      <c r="CU656" s="588" t="n"/>
      <c r="CV656" s="588" t="n"/>
      <c r="CW656" s="588" t="n"/>
      <c r="CX656" s="588" t="n"/>
      <c r="CY656" s="588" t="n"/>
      <c r="CZ656" s="588" t="n"/>
      <c r="DA656" s="588" t="n"/>
      <c r="DB656" s="588" t="n"/>
      <c r="DC656" s="588" t="n"/>
      <c r="DD656" s="588" t="n"/>
      <c r="DE656" s="588" t="n"/>
      <c r="DF656" s="588" t="n"/>
      <c r="DG656" s="588" t="n"/>
      <c r="DH656" s="588" t="n"/>
      <c r="DI656" s="588" t="n"/>
      <c r="DJ656" s="588" t="n"/>
      <c r="DK656" s="588" t="n"/>
      <c r="DL656" s="588" t="n"/>
      <c r="DM656" s="588" t="n"/>
      <c r="DN656" s="588" t="n"/>
      <c r="DO656" s="588" t="n"/>
      <c r="DP656" s="588" t="n"/>
      <c r="DQ656" s="588" t="n"/>
      <c r="DR656" s="588" t="n"/>
      <c r="DS656" s="588" t="n"/>
      <c r="DT656" s="588" t="n"/>
      <c r="DU656" s="588" t="n"/>
    </row>
    <row r="657">
      <c r="A657" s="737" t="n"/>
      <c r="B657" s="737" t="n"/>
      <c r="C657" s="737" t="n"/>
      <c r="D657" s="737" t="n"/>
      <c r="E657" s="737" t="n"/>
      <c r="F657" s="737" t="n"/>
      <c r="G657" s="737" t="n"/>
      <c r="H657" s="737" t="n"/>
      <c r="I657" s="737" t="n"/>
      <c r="J657" s="737" t="n"/>
      <c r="K657" s="737" t="n"/>
      <c r="L657" s="737" t="n"/>
      <c r="M657" s="737" t="n"/>
      <c r="N657" s="737" t="n"/>
      <c r="O657" s="737" t="n"/>
      <c r="P657" s="737" t="n"/>
      <c r="Q657" s="737" t="n"/>
      <c r="R657" s="737" t="n"/>
      <c r="S657" s="737" t="n"/>
      <c r="T657" s="737" t="n"/>
      <c r="U657" s="737" t="n"/>
      <c r="V657" s="737" t="n"/>
      <c r="W657" s="737" t="n"/>
      <c r="X657" s="737" t="n"/>
      <c r="Y657" s="737" t="n"/>
      <c r="Z657" s="737" t="n"/>
      <c r="AA657" s="737" t="n"/>
      <c r="AB657" s="737" t="n"/>
      <c r="AC657" s="737" t="n"/>
      <c r="AD657" s="737" t="n"/>
      <c r="AE657" s="737" t="n"/>
      <c r="AF657" s="737" t="n"/>
      <c r="AG657" s="737" t="n"/>
      <c r="AH657" s="737" t="n"/>
      <c r="AI657" s="737" t="n"/>
      <c r="AJ657" s="737" t="n"/>
      <c r="AK657" s="588" t="n"/>
      <c r="AL657" s="588" t="n"/>
      <c r="AM657" s="588" t="n"/>
      <c r="AN657" s="588" t="n"/>
      <c r="AO657" s="588" t="n"/>
      <c r="AP657" s="588" t="n"/>
      <c r="AQ657" s="588" t="n"/>
      <c r="AR657" s="588" t="n"/>
      <c r="AS657" s="588" t="n"/>
      <c r="AT657" s="588" t="n"/>
      <c r="AU657" s="588" t="n"/>
      <c r="AV657" s="588" t="n"/>
      <c r="AW657" s="588" t="n"/>
      <c r="AX657" s="588" t="n"/>
      <c r="AY657" s="588" t="n"/>
      <c r="AZ657" s="588" t="n"/>
      <c r="BA657" s="588" t="n"/>
      <c r="BB657" s="588" t="n"/>
      <c r="BC657" s="588" t="n"/>
      <c r="BD657" s="588" t="n"/>
      <c r="BE657" s="588" t="n"/>
      <c r="BF657" s="588" t="n"/>
      <c r="BG657" s="588" t="n"/>
      <c r="BH657" s="588" t="n"/>
      <c r="BI657" s="588" t="n"/>
      <c r="BJ657" s="588" t="n"/>
      <c r="BK657" s="588" t="n"/>
      <c r="BL657" s="588" t="n"/>
      <c r="BM657" s="588" t="n"/>
      <c r="BN657" s="588" t="n"/>
      <c r="BO657" s="588" t="n"/>
      <c r="BP657" s="588" t="n"/>
      <c r="BQ657" s="588" t="n"/>
      <c r="BR657" s="588" t="n"/>
      <c r="BS657" s="588" t="n"/>
      <c r="BT657" s="588" t="n"/>
      <c r="BU657" s="588" t="n"/>
      <c r="BV657" s="588" t="n"/>
      <c r="BW657" s="588" t="n"/>
      <c r="BX657" s="588" t="n"/>
      <c r="BY657" s="588" t="n"/>
      <c r="BZ657" s="588" t="n"/>
      <c r="CA657" s="588" t="n"/>
      <c r="CB657" s="588" t="n"/>
      <c r="CC657" s="588" t="n"/>
      <c r="CD657" s="588" t="n"/>
      <c r="CE657" s="588" t="n"/>
      <c r="CF657" s="588" t="n"/>
      <c r="CG657" s="588" t="n"/>
      <c r="CH657" s="588" t="n"/>
      <c r="CI657" s="588" t="n"/>
      <c r="CJ657" s="588" t="n"/>
      <c r="CK657" s="588" t="n"/>
      <c r="CL657" s="588" t="n"/>
      <c r="CM657" s="588" t="n"/>
      <c r="CN657" s="588" t="n"/>
      <c r="CO657" s="588" t="n"/>
      <c r="CP657" s="588" t="n"/>
      <c r="CQ657" s="588" t="n"/>
      <c r="CR657" s="588" t="n"/>
      <c r="CS657" s="588" t="n"/>
      <c r="CT657" s="588" t="n"/>
      <c r="CU657" s="588" t="n"/>
      <c r="CV657" s="588" t="n"/>
      <c r="CW657" s="588" t="n"/>
      <c r="CX657" s="588" t="n"/>
      <c r="CY657" s="588" t="n"/>
      <c r="CZ657" s="588" t="n"/>
      <c r="DA657" s="588" t="n"/>
      <c r="DB657" s="588" t="n"/>
      <c r="DC657" s="588" t="n"/>
      <c r="DD657" s="588" t="n"/>
      <c r="DE657" s="588" t="n"/>
      <c r="DF657" s="588" t="n"/>
      <c r="DG657" s="588" t="n"/>
      <c r="DH657" s="588" t="n"/>
      <c r="DI657" s="588" t="n"/>
      <c r="DJ657" s="588" t="n"/>
      <c r="DK657" s="588" t="n"/>
      <c r="DL657" s="588" t="n"/>
      <c r="DM657" s="588" t="n"/>
      <c r="DN657" s="588" t="n"/>
      <c r="DO657" s="588" t="n"/>
      <c r="DP657" s="588" t="n"/>
      <c r="DQ657" s="588" t="n"/>
      <c r="DR657" s="588" t="n"/>
      <c r="DS657" s="588" t="n"/>
      <c r="DT657" s="588" t="n"/>
      <c r="DU657" s="588" t="n"/>
    </row>
    <row r="658">
      <c r="A658" s="737" t="n"/>
      <c r="B658" s="737" t="n"/>
      <c r="C658" s="737" t="n"/>
      <c r="D658" s="737" t="n"/>
      <c r="E658" s="737" t="n"/>
      <c r="F658" s="737" t="n"/>
      <c r="G658" s="737" t="n"/>
      <c r="H658" s="737" t="n"/>
      <c r="I658" s="737" t="n"/>
      <c r="J658" s="737" t="n"/>
      <c r="K658" s="737" t="n"/>
      <c r="L658" s="737" t="n"/>
      <c r="M658" s="737" t="n"/>
      <c r="N658" s="737" t="n"/>
      <c r="O658" s="737" t="n"/>
      <c r="P658" s="737" t="n"/>
      <c r="Q658" s="737" t="n"/>
      <c r="R658" s="737" t="n"/>
      <c r="S658" s="737" t="n"/>
      <c r="T658" s="737" t="n"/>
      <c r="U658" s="737" t="n"/>
      <c r="V658" s="737" t="n"/>
      <c r="W658" s="737" t="n"/>
      <c r="X658" s="737" t="n"/>
      <c r="Y658" s="737" t="n"/>
      <c r="Z658" s="737" t="n"/>
      <c r="AA658" s="737" t="n"/>
      <c r="AB658" s="737" t="n"/>
      <c r="AC658" s="737" t="n"/>
      <c r="AD658" s="737" t="n"/>
      <c r="AE658" s="737" t="n"/>
      <c r="AF658" s="737" t="n"/>
      <c r="AG658" s="737" t="n"/>
      <c r="AH658" s="737" t="n"/>
      <c r="AI658" s="737" t="n"/>
      <c r="AJ658" s="737" t="n"/>
      <c r="AK658" s="588" t="n"/>
      <c r="AL658" s="588" t="n"/>
      <c r="AM658" s="588" t="n"/>
      <c r="AN658" s="588" t="n"/>
      <c r="AO658" s="588" t="n"/>
      <c r="AP658" s="588" t="n"/>
      <c r="AQ658" s="588" t="n"/>
      <c r="AR658" s="588" t="n"/>
      <c r="AS658" s="588" t="n"/>
      <c r="AT658" s="588" t="n"/>
      <c r="AU658" s="588" t="n"/>
      <c r="AV658" s="588" t="n"/>
      <c r="AW658" s="588" t="n"/>
      <c r="AX658" s="588" t="n"/>
      <c r="AY658" s="588" t="n"/>
      <c r="AZ658" s="588" t="n"/>
      <c r="BA658" s="588" t="n"/>
      <c r="BB658" s="588" t="n"/>
      <c r="BC658" s="588" t="n"/>
      <c r="BD658" s="588" t="n"/>
      <c r="BE658" s="588" t="n"/>
      <c r="BF658" s="588" t="n"/>
      <c r="BG658" s="588" t="n"/>
      <c r="BH658" s="588" t="n"/>
      <c r="BI658" s="588" t="n"/>
      <c r="BJ658" s="588" t="n"/>
      <c r="BK658" s="588" t="n"/>
      <c r="BL658" s="588" t="n"/>
      <c r="BM658" s="588" t="n"/>
      <c r="BN658" s="588" t="n"/>
      <c r="BO658" s="588" t="n"/>
      <c r="BP658" s="588" t="n"/>
      <c r="BQ658" s="588" t="n"/>
      <c r="BR658" s="588" t="n"/>
      <c r="BS658" s="588" t="n"/>
      <c r="BT658" s="588" t="n"/>
      <c r="BU658" s="588" t="n"/>
      <c r="BV658" s="588" t="n"/>
      <c r="BW658" s="588" t="n"/>
      <c r="BX658" s="588" t="n"/>
      <c r="BY658" s="588" t="n"/>
      <c r="BZ658" s="588" t="n"/>
      <c r="CA658" s="588" t="n"/>
      <c r="CB658" s="588" t="n"/>
      <c r="CC658" s="588" t="n"/>
      <c r="CD658" s="588" t="n"/>
      <c r="CE658" s="588" t="n"/>
      <c r="CF658" s="588" t="n"/>
      <c r="CG658" s="588" t="n"/>
      <c r="CH658" s="588" t="n"/>
      <c r="CI658" s="588" t="n"/>
      <c r="CJ658" s="588" t="n"/>
      <c r="CK658" s="588" t="n"/>
      <c r="CL658" s="588" t="n"/>
      <c r="CM658" s="588" t="n"/>
      <c r="CN658" s="588" t="n"/>
      <c r="CO658" s="588" t="n"/>
      <c r="CP658" s="588" t="n"/>
      <c r="CQ658" s="588" t="n"/>
      <c r="CR658" s="588" t="n"/>
      <c r="CS658" s="588" t="n"/>
      <c r="CT658" s="588" t="n"/>
      <c r="CU658" s="588" t="n"/>
      <c r="CV658" s="588" t="n"/>
      <c r="CW658" s="588" t="n"/>
      <c r="CX658" s="588" t="n"/>
      <c r="CY658" s="588" t="n"/>
      <c r="CZ658" s="588" t="n"/>
      <c r="DA658" s="588" t="n"/>
      <c r="DB658" s="588" t="n"/>
      <c r="DC658" s="588" t="n"/>
      <c r="DD658" s="588" t="n"/>
      <c r="DE658" s="588" t="n"/>
      <c r="DF658" s="588" t="n"/>
      <c r="DG658" s="588" t="n"/>
      <c r="DH658" s="588" t="n"/>
      <c r="DI658" s="588" t="n"/>
      <c r="DJ658" s="588" t="n"/>
      <c r="DK658" s="588" t="n"/>
      <c r="DL658" s="588" t="n"/>
      <c r="DM658" s="588" t="n"/>
      <c r="DN658" s="588" t="n"/>
      <c r="DO658" s="588" t="n"/>
      <c r="DP658" s="588" t="n"/>
      <c r="DQ658" s="588" t="n"/>
      <c r="DR658" s="588" t="n"/>
      <c r="DS658" s="588" t="n"/>
      <c r="DT658" s="588" t="n"/>
      <c r="DU658" s="588" t="n"/>
    </row>
    <row r="659">
      <c r="A659" s="737" t="n"/>
      <c r="B659" s="737" t="n"/>
      <c r="C659" s="737" t="n"/>
      <c r="D659" s="737" t="n"/>
      <c r="E659" s="737" t="n"/>
      <c r="F659" s="737" t="n"/>
      <c r="G659" s="737" t="n"/>
      <c r="H659" s="737" t="n"/>
      <c r="I659" s="737" t="n"/>
      <c r="J659" s="737" t="n"/>
      <c r="K659" s="737" t="n"/>
      <c r="L659" s="737" t="n"/>
      <c r="M659" s="737" t="n"/>
      <c r="N659" s="737" t="n"/>
      <c r="O659" s="737" t="n"/>
      <c r="P659" s="737" t="n"/>
      <c r="Q659" s="737" t="n"/>
      <c r="R659" s="737" t="n"/>
      <c r="S659" s="737" t="n"/>
      <c r="T659" s="737" t="n"/>
      <c r="U659" s="737" t="n"/>
      <c r="V659" s="737" t="n"/>
      <c r="W659" s="737" t="n"/>
      <c r="X659" s="737" t="n"/>
      <c r="Y659" s="737" t="n"/>
      <c r="Z659" s="737" t="n"/>
      <c r="AA659" s="737" t="n"/>
      <c r="AB659" s="737" t="n"/>
      <c r="AC659" s="737" t="n"/>
      <c r="AD659" s="737" t="n"/>
      <c r="AE659" s="737" t="n"/>
      <c r="AF659" s="737" t="n"/>
      <c r="AG659" s="737" t="n"/>
      <c r="AH659" s="737" t="n"/>
      <c r="AI659" s="737" t="n"/>
      <c r="AJ659" s="737" t="n"/>
      <c r="AK659" s="588" t="n"/>
      <c r="AL659" s="588" t="n"/>
      <c r="AM659" s="588" t="n"/>
      <c r="AN659" s="588" t="n"/>
      <c r="AO659" s="588" t="n"/>
      <c r="AP659" s="588" t="n"/>
      <c r="AQ659" s="588" t="n"/>
      <c r="AR659" s="588" t="n"/>
      <c r="AS659" s="588" t="n"/>
      <c r="AT659" s="588" t="n"/>
      <c r="AU659" s="588" t="n"/>
      <c r="AV659" s="588" t="n"/>
      <c r="AW659" s="588" t="n"/>
      <c r="AX659" s="588" t="n"/>
      <c r="AY659" s="588" t="n"/>
      <c r="AZ659" s="588" t="n"/>
      <c r="BA659" s="588" t="n"/>
      <c r="BB659" s="588" t="n"/>
      <c r="BC659" s="588" t="n"/>
      <c r="BD659" s="588" t="n"/>
      <c r="BE659" s="588" t="n"/>
      <c r="BF659" s="588" t="n"/>
      <c r="BG659" s="588" t="n"/>
      <c r="BH659" s="588" t="n"/>
      <c r="BI659" s="588" t="n"/>
      <c r="BJ659" s="588" t="n"/>
      <c r="BK659" s="588" t="n"/>
      <c r="BL659" s="588" t="n"/>
      <c r="BM659" s="588" t="n"/>
      <c r="BN659" s="588" t="n"/>
      <c r="BO659" s="588" t="n"/>
      <c r="BP659" s="588" t="n"/>
      <c r="BQ659" s="588" t="n"/>
      <c r="BR659" s="588" t="n"/>
      <c r="BS659" s="588" t="n"/>
      <c r="BT659" s="588" t="n"/>
      <c r="BU659" s="588" t="n"/>
      <c r="BV659" s="588" t="n"/>
      <c r="BW659" s="588" t="n"/>
      <c r="BX659" s="588" t="n"/>
      <c r="BY659" s="588" t="n"/>
      <c r="BZ659" s="588" t="n"/>
      <c r="CA659" s="588" t="n"/>
      <c r="CB659" s="588" t="n"/>
      <c r="CC659" s="588" t="n"/>
      <c r="CD659" s="588" t="n"/>
      <c r="CE659" s="588" t="n"/>
      <c r="CF659" s="588" t="n"/>
      <c r="CG659" s="588" t="n"/>
      <c r="CH659" s="588" t="n"/>
      <c r="CI659" s="588" t="n"/>
      <c r="CJ659" s="588" t="n"/>
      <c r="CK659" s="588" t="n"/>
      <c r="CL659" s="588" t="n"/>
      <c r="CM659" s="588" t="n"/>
      <c r="CN659" s="588" t="n"/>
      <c r="CO659" s="588" t="n"/>
      <c r="CP659" s="588" t="n"/>
      <c r="CQ659" s="588" t="n"/>
      <c r="CR659" s="588" t="n"/>
      <c r="CS659" s="588" t="n"/>
      <c r="CT659" s="588" t="n"/>
      <c r="CU659" s="588" t="n"/>
      <c r="CV659" s="588" t="n"/>
      <c r="CW659" s="588" t="n"/>
      <c r="CX659" s="588" t="n"/>
      <c r="CY659" s="588" t="n"/>
      <c r="CZ659" s="588" t="n"/>
      <c r="DA659" s="588" t="n"/>
      <c r="DB659" s="588" t="n"/>
      <c r="DC659" s="588" t="n"/>
      <c r="DD659" s="588" t="n"/>
      <c r="DE659" s="588" t="n"/>
      <c r="DF659" s="588" t="n"/>
      <c r="DG659" s="588" t="n"/>
      <c r="DH659" s="588" t="n"/>
      <c r="DI659" s="588" t="n"/>
      <c r="DJ659" s="588" t="n"/>
      <c r="DK659" s="588" t="n"/>
      <c r="DL659" s="588" t="n"/>
      <c r="DM659" s="588" t="n"/>
      <c r="DN659" s="588" t="n"/>
      <c r="DO659" s="588" t="n"/>
      <c r="DP659" s="588" t="n"/>
      <c r="DQ659" s="588" t="n"/>
      <c r="DR659" s="588" t="n"/>
      <c r="DS659" s="588" t="n"/>
      <c r="DT659" s="588" t="n"/>
      <c r="DU659" s="588" t="n"/>
    </row>
    <row r="660">
      <c r="A660" s="737" t="n"/>
      <c r="B660" s="737" t="n"/>
      <c r="C660" s="737" t="n"/>
      <c r="D660" s="737" t="n"/>
      <c r="E660" s="737" t="n"/>
      <c r="F660" s="737" t="n"/>
      <c r="G660" s="737" t="n"/>
      <c r="H660" s="737" t="n"/>
      <c r="I660" s="737" t="n"/>
      <c r="J660" s="737" t="n"/>
      <c r="K660" s="737" t="n"/>
      <c r="L660" s="737" t="n"/>
      <c r="M660" s="737" t="n"/>
      <c r="N660" s="737" t="n"/>
      <c r="O660" s="737" t="n"/>
      <c r="P660" s="737" t="n"/>
      <c r="Q660" s="737" t="n"/>
      <c r="R660" s="737" t="n"/>
      <c r="S660" s="737" t="n"/>
      <c r="T660" s="737" t="n"/>
      <c r="U660" s="737" t="n"/>
      <c r="V660" s="737" t="n"/>
      <c r="W660" s="737" t="n"/>
      <c r="X660" s="737" t="n"/>
      <c r="Y660" s="737" t="n"/>
      <c r="Z660" s="737" t="n"/>
      <c r="AA660" s="737" t="n"/>
      <c r="AB660" s="737" t="n"/>
      <c r="AC660" s="737" t="n"/>
      <c r="AD660" s="737" t="n"/>
      <c r="AE660" s="737" t="n"/>
      <c r="AF660" s="737" t="n"/>
      <c r="AG660" s="737" t="n"/>
      <c r="AH660" s="737" t="n"/>
      <c r="AI660" s="737" t="n"/>
      <c r="AJ660" s="737" t="n"/>
      <c r="AK660" s="588" t="n"/>
      <c r="AL660" s="588" t="n"/>
      <c r="AM660" s="588" t="n"/>
      <c r="AN660" s="588" t="n"/>
      <c r="AO660" s="588" t="n"/>
      <c r="AP660" s="588" t="n"/>
      <c r="AQ660" s="588" t="n"/>
      <c r="AR660" s="588" t="n"/>
      <c r="AS660" s="588" t="n"/>
      <c r="AT660" s="588" t="n"/>
      <c r="AU660" s="588" t="n"/>
      <c r="AV660" s="588" t="n"/>
      <c r="AW660" s="588" t="n"/>
      <c r="AX660" s="588" t="n"/>
      <c r="AY660" s="588" t="n"/>
      <c r="AZ660" s="588" t="n"/>
      <c r="BA660" s="588" t="n"/>
      <c r="BB660" s="588" t="n"/>
      <c r="BC660" s="588" t="n"/>
      <c r="BD660" s="588" t="n"/>
      <c r="BE660" s="588" t="n"/>
      <c r="BF660" s="588" t="n"/>
      <c r="BG660" s="588" t="n"/>
      <c r="BH660" s="588" t="n"/>
      <c r="BI660" s="588" t="n"/>
      <c r="BJ660" s="588" t="n"/>
      <c r="BK660" s="588" t="n"/>
      <c r="BL660" s="588" t="n"/>
      <c r="BM660" s="588" t="n"/>
      <c r="BN660" s="588" t="n"/>
      <c r="BO660" s="588" t="n"/>
      <c r="BP660" s="588" t="n"/>
      <c r="BQ660" s="588" t="n"/>
      <c r="BR660" s="588" t="n"/>
      <c r="BS660" s="588" t="n"/>
      <c r="BT660" s="588" t="n"/>
      <c r="BU660" s="588" t="n"/>
      <c r="BV660" s="588" t="n"/>
      <c r="BW660" s="588" t="n"/>
      <c r="BX660" s="588" t="n"/>
      <c r="BY660" s="588" t="n"/>
      <c r="BZ660" s="588" t="n"/>
      <c r="CA660" s="588" t="n"/>
      <c r="CB660" s="588" t="n"/>
      <c r="CC660" s="588" t="n"/>
      <c r="CD660" s="588" t="n"/>
      <c r="CE660" s="588" t="n"/>
      <c r="CF660" s="588" t="n"/>
      <c r="CG660" s="588" t="n"/>
      <c r="CH660" s="588" t="n"/>
      <c r="CI660" s="588" t="n"/>
      <c r="CJ660" s="588" t="n"/>
      <c r="CK660" s="588" t="n"/>
      <c r="CL660" s="588" t="n"/>
      <c r="CM660" s="588" t="n"/>
      <c r="CN660" s="588" t="n"/>
      <c r="CO660" s="588" t="n"/>
      <c r="CP660" s="588" t="n"/>
      <c r="CQ660" s="588" t="n"/>
      <c r="CR660" s="588" t="n"/>
      <c r="CS660" s="588" t="n"/>
      <c r="CT660" s="588" t="n"/>
      <c r="CU660" s="588" t="n"/>
      <c r="CV660" s="588" t="n"/>
      <c r="CW660" s="588" t="n"/>
      <c r="CX660" s="588" t="n"/>
      <c r="CY660" s="588" t="n"/>
      <c r="CZ660" s="588" t="n"/>
      <c r="DA660" s="588" t="n"/>
      <c r="DB660" s="588" t="n"/>
      <c r="DC660" s="588" t="n"/>
      <c r="DD660" s="588" t="n"/>
      <c r="DE660" s="588" t="n"/>
      <c r="DF660" s="588" t="n"/>
      <c r="DG660" s="588" t="n"/>
      <c r="DH660" s="588" t="n"/>
      <c r="DI660" s="588" t="n"/>
      <c r="DJ660" s="588" t="n"/>
      <c r="DK660" s="588" t="n"/>
      <c r="DL660" s="588" t="n"/>
      <c r="DM660" s="588" t="n"/>
      <c r="DN660" s="588" t="n"/>
      <c r="DO660" s="588" t="n"/>
      <c r="DP660" s="588" t="n"/>
      <c r="DQ660" s="588" t="n"/>
      <c r="DR660" s="588" t="n"/>
      <c r="DS660" s="588" t="n"/>
      <c r="DT660" s="588" t="n"/>
      <c r="DU660" s="588" t="n"/>
    </row>
    <row r="661">
      <c r="A661" s="737" t="n"/>
      <c r="B661" s="737" t="n"/>
      <c r="C661" s="737" t="n"/>
      <c r="D661" s="737" t="n"/>
      <c r="E661" s="737" t="n"/>
      <c r="F661" s="737" t="n"/>
      <c r="G661" s="737" t="n"/>
      <c r="H661" s="737" t="n"/>
      <c r="I661" s="737" t="n"/>
      <c r="J661" s="737" t="n"/>
      <c r="K661" s="737" t="n"/>
      <c r="L661" s="737" t="n"/>
      <c r="M661" s="737" t="n"/>
      <c r="N661" s="737" t="n"/>
      <c r="O661" s="737" t="n"/>
      <c r="P661" s="737" t="n"/>
      <c r="Q661" s="737" t="n"/>
      <c r="R661" s="737" t="n"/>
      <c r="S661" s="737" t="n"/>
      <c r="T661" s="737" t="n"/>
      <c r="U661" s="737" t="n"/>
      <c r="V661" s="737" t="n"/>
      <c r="W661" s="737" t="n"/>
      <c r="X661" s="737" t="n"/>
      <c r="Y661" s="737" t="n"/>
      <c r="Z661" s="737" t="n"/>
      <c r="AA661" s="737" t="n"/>
      <c r="AB661" s="737" t="n"/>
      <c r="AC661" s="737" t="n"/>
      <c r="AD661" s="737" t="n"/>
      <c r="AE661" s="737" t="n"/>
      <c r="AF661" s="737" t="n"/>
      <c r="AG661" s="737" t="n"/>
      <c r="AH661" s="737" t="n"/>
      <c r="AI661" s="737" t="n"/>
      <c r="AJ661" s="737" t="n"/>
      <c r="AK661" s="588" t="n"/>
      <c r="AL661" s="588" t="n"/>
      <c r="AM661" s="588" t="n"/>
      <c r="AN661" s="588" t="n"/>
      <c r="AO661" s="588" t="n"/>
      <c r="AP661" s="588" t="n"/>
      <c r="AQ661" s="588" t="n"/>
      <c r="AR661" s="588" t="n"/>
      <c r="AS661" s="588" t="n"/>
      <c r="AT661" s="588" t="n"/>
      <c r="AU661" s="588" t="n"/>
      <c r="AV661" s="588" t="n"/>
      <c r="AW661" s="588" t="n"/>
      <c r="AX661" s="588" t="n"/>
      <c r="AY661" s="588" t="n"/>
      <c r="AZ661" s="588" t="n"/>
      <c r="BA661" s="588" t="n"/>
      <c r="BB661" s="588" t="n"/>
      <c r="BC661" s="588" t="n"/>
      <c r="BD661" s="588" t="n"/>
      <c r="BE661" s="588" t="n"/>
      <c r="BF661" s="588" t="n"/>
      <c r="BG661" s="588" t="n"/>
      <c r="BH661" s="588" t="n"/>
      <c r="BI661" s="588" t="n"/>
      <c r="BJ661" s="588" t="n"/>
      <c r="BK661" s="588" t="n"/>
      <c r="BL661" s="588" t="n"/>
      <c r="BM661" s="588" t="n"/>
      <c r="BN661" s="588" t="n"/>
      <c r="BO661" s="588" t="n"/>
      <c r="BP661" s="588" t="n"/>
      <c r="BQ661" s="588" t="n"/>
      <c r="BR661" s="588" t="n"/>
      <c r="BS661" s="588" t="n"/>
      <c r="BT661" s="588" t="n"/>
      <c r="BU661" s="588" t="n"/>
      <c r="BV661" s="588" t="n"/>
      <c r="BW661" s="588" t="n"/>
      <c r="BX661" s="588" t="n"/>
      <c r="BY661" s="588" t="n"/>
      <c r="BZ661" s="588" t="n"/>
      <c r="CA661" s="588" t="n"/>
      <c r="CB661" s="588" t="n"/>
      <c r="CC661" s="588" t="n"/>
      <c r="CD661" s="588" t="n"/>
      <c r="CE661" s="588" t="n"/>
      <c r="CF661" s="588" t="n"/>
      <c r="CG661" s="588" t="n"/>
      <c r="CH661" s="588" t="n"/>
      <c r="CI661" s="588" t="n"/>
      <c r="CJ661" s="588" t="n"/>
      <c r="CK661" s="588" t="n"/>
      <c r="CL661" s="588" t="n"/>
      <c r="CM661" s="588" t="n"/>
      <c r="CN661" s="588" t="n"/>
      <c r="CO661" s="588" t="n"/>
      <c r="CP661" s="588" t="n"/>
      <c r="CQ661" s="588" t="n"/>
      <c r="CR661" s="588" t="n"/>
      <c r="CS661" s="588" t="n"/>
      <c r="CT661" s="588" t="n"/>
      <c r="CU661" s="588" t="n"/>
      <c r="CV661" s="588" t="n"/>
      <c r="CW661" s="588" t="n"/>
      <c r="CX661" s="588" t="n"/>
      <c r="CY661" s="588" t="n"/>
      <c r="CZ661" s="588" t="n"/>
      <c r="DA661" s="588" t="n"/>
      <c r="DB661" s="588" t="n"/>
      <c r="DC661" s="588" t="n"/>
      <c r="DD661" s="588" t="n"/>
      <c r="DE661" s="588" t="n"/>
      <c r="DF661" s="588" t="n"/>
      <c r="DG661" s="588" t="n"/>
      <c r="DH661" s="588" t="n"/>
      <c r="DI661" s="588" t="n"/>
      <c r="DJ661" s="588" t="n"/>
      <c r="DK661" s="588" t="n"/>
      <c r="DL661" s="588" t="n"/>
      <c r="DM661" s="588" t="n"/>
      <c r="DN661" s="588" t="n"/>
      <c r="DO661" s="588" t="n"/>
      <c r="DP661" s="588" t="n"/>
      <c r="DQ661" s="588" t="n"/>
      <c r="DR661" s="588" t="n"/>
      <c r="DS661" s="588" t="n"/>
      <c r="DT661" s="588" t="n"/>
      <c r="DU661" s="588" t="n"/>
    </row>
    <row r="662">
      <c r="A662" s="737" t="n"/>
      <c r="B662" s="737" t="n"/>
      <c r="C662" s="737" t="n"/>
      <c r="D662" s="737" t="n"/>
      <c r="E662" s="737" t="n"/>
      <c r="F662" s="737" t="n"/>
      <c r="G662" s="737" t="n"/>
      <c r="H662" s="737" t="n"/>
      <c r="I662" s="737" t="n"/>
      <c r="J662" s="737" t="n"/>
      <c r="K662" s="737" t="n"/>
      <c r="L662" s="737" t="n"/>
      <c r="M662" s="737" t="n"/>
      <c r="N662" s="737" t="n"/>
      <c r="O662" s="737" t="n"/>
      <c r="P662" s="737" t="n"/>
      <c r="Q662" s="737" t="n"/>
      <c r="R662" s="737" t="n"/>
      <c r="S662" s="737" t="n"/>
      <c r="T662" s="737" t="n"/>
      <c r="U662" s="737" t="n"/>
      <c r="V662" s="737" t="n"/>
      <c r="W662" s="737" t="n"/>
      <c r="X662" s="737" t="n"/>
      <c r="Y662" s="737" t="n"/>
      <c r="Z662" s="737" t="n"/>
      <c r="AA662" s="737" t="n"/>
      <c r="AB662" s="737" t="n"/>
      <c r="AC662" s="737" t="n"/>
      <c r="AD662" s="737" t="n"/>
      <c r="AE662" s="737" t="n"/>
      <c r="AF662" s="737" t="n"/>
      <c r="AG662" s="737" t="n"/>
      <c r="AH662" s="737" t="n"/>
      <c r="AI662" s="737" t="n"/>
      <c r="AJ662" s="737" t="n"/>
      <c r="AK662" s="588" t="n"/>
      <c r="AL662" s="588" t="n"/>
      <c r="AM662" s="588" t="n"/>
      <c r="AN662" s="588" t="n"/>
      <c r="AO662" s="588" t="n"/>
      <c r="AP662" s="588" t="n"/>
      <c r="AQ662" s="588" t="n"/>
      <c r="AR662" s="588" t="n"/>
      <c r="AS662" s="588" t="n"/>
      <c r="AT662" s="588" t="n"/>
      <c r="AU662" s="588" t="n"/>
      <c r="AV662" s="588" t="n"/>
      <c r="AW662" s="588" t="n"/>
      <c r="AX662" s="588" t="n"/>
      <c r="AY662" s="588" t="n"/>
      <c r="AZ662" s="588" t="n"/>
      <c r="BA662" s="588" t="n"/>
      <c r="BB662" s="588" t="n"/>
      <c r="BC662" s="588" t="n"/>
      <c r="BD662" s="588" t="n"/>
      <c r="BE662" s="588" t="n"/>
      <c r="BF662" s="588" t="n"/>
      <c r="BG662" s="588" t="n"/>
      <c r="BH662" s="588" t="n"/>
      <c r="BI662" s="588" t="n"/>
      <c r="BJ662" s="588" t="n"/>
      <c r="BK662" s="588" t="n"/>
      <c r="BL662" s="588" t="n"/>
      <c r="BM662" s="588" t="n"/>
      <c r="BN662" s="588" t="n"/>
      <c r="BO662" s="588" t="n"/>
      <c r="BP662" s="588" t="n"/>
      <c r="BQ662" s="588" t="n"/>
      <c r="BR662" s="588" t="n"/>
      <c r="BS662" s="588" t="n"/>
      <c r="BT662" s="588" t="n"/>
      <c r="BU662" s="588" t="n"/>
      <c r="BV662" s="588" t="n"/>
      <c r="BW662" s="588" t="n"/>
      <c r="BX662" s="588" t="n"/>
      <c r="BY662" s="588" t="n"/>
      <c r="BZ662" s="588" t="n"/>
      <c r="CA662" s="588" t="n"/>
      <c r="CB662" s="588" t="n"/>
      <c r="CC662" s="588" t="n"/>
      <c r="CD662" s="588" t="n"/>
      <c r="CE662" s="588" t="n"/>
      <c r="CF662" s="588" t="n"/>
      <c r="CG662" s="588" t="n"/>
      <c r="CH662" s="588" t="n"/>
      <c r="CI662" s="588" t="n"/>
      <c r="CJ662" s="588" t="n"/>
      <c r="CK662" s="588" t="n"/>
      <c r="CL662" s="588" t="n"/>
      <c r="CM662" s="588" t="n"/>
      <c r="CN662" s="588" t="n"/>
      <c r="CO662" s="588" t="n"/>
      <c r="CP662" s="588" t="n"/>
      <c r="CQ662" s="588" t="n"/>
      <c r="CR662" s="588" t="n"/>
      <c r="CS662" s="588" t="n"/>
      <c r="CT662" s="588" t="n"/>
      <c r="CU662" s="588" t="n"/>
      <c r="CV662" s="588" t="n"/>
      <c r="CW662" s="588" t="n"/>
      <c r="CX662" s="588" t="n"/>
      <c r="CY662" s="588" t="n"/>
      <c r="CZ662" s="588" t="n"/>
      <c r="DA662" s="588" t="n"/>
      <c r="DB662" s="588" t="n"/>
      <c r="DC662" s="588" t="n"/>
      <c r="DD662" s="588" t="n"/>
      <c r="DE662" s="588" t="n"/>
      <c r="DF662" s="588" t="n"/>
      <c r="DG662" s="588" t="n"/>
      <c r="DH662" s="588" t="n"/>
      <c r="DI662" s="588" t="n"/>
      <c r="DJ662" s="588" t="n"/>
      <c r="DK662" s="588" t="n"/>
      <c r="DL662" s="588" t="n"/>
      <c r="DM662" s="588" t="n"/>
      <c r="DN662" s="588" t="n"/>
      <c r="DO662" s="588" t="n"/>
      <c r="DP662" s="588" t="n"/>
      <c r="DQ662" s="588" t="n"/>
      <c r="DR662" s="588" t="n"/>
      <c r="DS662" s="588" t="n"/>
      <c r="DT662" s="588" t="n"/>
      <c r="DU662" s="588" t="n"/>
    </row>
    <row r="663">
      <c r="A663" s="737" t="n"/>
      <c r="B663" s="737" t="n"/>
      <c r="C663" s="737" t="n"/>
      <c r="D663" s="737" t="n"/>
      <c r="E663" s="737" t="n"/>
      <c r="F663" s="737" t="n"/>
      <c r="G663" s="737" t="n"/>
      <c r="H663" s="737" t="n"/>
      <c r="I663" s="737" t="n"/>
      <c r="J663" s="737" t="n"/>
      <c r="K663" s="737" t="n"/>
      <c r="L663" s="737" t="n"/>
      <c r="M663" s="737" t="n"/>
      <c r="N663" s="737" t="n"/>
      <c r="O663" s="737" t="n"/>
      <c r="P663" s="737" t="n"/>
      <c r="Q663" s="737" t="n"/>
      <c r="R663" s="737" t="n"/>
      <c r="S663" s="737" t="n"/>
      <c r="T663" s="737" t="n"/>
      <c r="U663" s="737" t="n"/>
      <c r="V663" s="737" t="n"/>
      <c r="W663" s="737" t="n"/>
      <c r="X663" s="737" t="n"/>
      <c r="Y663" s="737" t="n"/>
      <c r="Z663" s="737" t="n"/>
      <c r="AA663" s="737" t="n"/>
      <c r="AB663" s="737" t="n"/>
      <c r="AC663" s="737" t="n"/>
      <c r="AD663" s="737" t="n"/>
      <c r="AE663" s="737" t="n"/>
      <c r="AF663" s="737" t="n"/>
      <c r="AG663" s="737" t="n"/>
      <c r="AH663" s="737" t="n"/>
      <c r="AI663" s="737" t="n"/>
      <c r="AJ663" s="737" t="n"/>
      <c r="AK663" s="588" t="n"/>
      <c r="AL663" s="588" t="n"/>
      <c r="AM663" s="588" t="n"/>
      <c r="AN663" s="588" t="n"/>
      <c r="AO663" s="588" t="n"/>
      <c r="AP663" s="588" t="n"/>
      <c r="AQ663" s="588" t="n"/>
      <c r="AR663" s="588" t="n"/>
      <c r="AS663" s="588" t="n"/>
      <c r="AT663" s="588" t="n"/>
      <c r="AU663" s="588" t="n"/>
      <c r="AV663" s="588" t="n"/>
      <c r="AW663" s="588" t="n"/>
      <c r="AX663" s="588" t="n"/>
      <c r="AY663" s="588" t="n"/>
      <c r="AZ663" s="588" t="n"/>
      <c r="BA663" s="588" t="n"/>
      <c r="BB663" s="588" t="n"/>
      <c r="BC663" s="588" t="n"/>
      <c r="BD663" s="588" t="n"/>
      <c r="BE663" s="588" t="n"/>
      <c r="BF663" s="588" t="n"/>
      <c r="BG663" s="588" t="n"/>
      <c r="BH663" s="588" t="n"/>
      <c r="BI663" s="588" t="n"/>
      <c r="BJ663" s="588" t="n"/>
      <c r="BK663" s="588" t="n"/>
      <c r="BL663" s="588" t="n"/>
      <c r="BM663" s="588" t="n"/>
      <c r="BN663" s="588" t="n"/>
      <c r="BO663" s="588" t="n"/>
      <c r="BP663" s="588" t="n"/>
      <c r="BQ663" s="588" t="n"/>
      <c r="BR663" s="588" t="n"/>
      <c r="BS663" s="588" t="n"/>
      <c r="BT663" s="588" t="n"/>
      <c r="BU663" s="588" t="n"/>
      <c r="BV663" s="588" t="n"/>
      <c r="BW663" s="588" t="n"/>
      <c r="BX663" s="588" t="n"/>
      <c r="BY663" s="588" t="n"/>
      <c r="BZ663" s="588" t="n"/>
      <c r="CA663" s="588" t="n"/>
      <c r="CB663" s="588" t="n"/>
      <c r="CC663" s="588" t="n"/>
      <c r="CD663" s="588" t="n"/>
      <c r="CE663" s="588" t="n"/>
      <c r="CF663" s="588" t="n"/>
      <c r="CG663" s="588" t="n"/>
      <c r="CH663" s="588" t="n"/>
      <c r="CI663" s="588" t="n"/>
      <c r="CJ663" s="588" t="n"/>
      <c r="CK663" s="588" t="n"/>
      <c r="CL663" s="588" t="n"/>
      <c r="CM663" s="588" t="n"/>
      <c r="CN663" s="588" t="n"/>
      <c r="CO663" s="588" t="n"/>
      <c r="CP663" s="588" t="n"/>
      <c r="CQ663" s="588" t="n"/>
      <c r="CR663" s="588" t="n"/>
      <c r="CS663" s="588" t="n"/>
      <c r="CT663" s="588" t="n"/>
      <c r="CU663" s="588" t="n"/>
      <c r="CV663" s="588" t="n"/>
      <c r="CW663" s="588" t="n"/>
      <c r="CX663" s="588" t="n"/>
      <c r="CY663" s="588" t="n"/>
      <c r="CZ663" s="588" t="n"/>
      <c r="DA663" s="588" t="n"/>
      <c r="DB663" s="588" t="n"/>
      <c r="DC663" s="588" t="n"/>
      <c r="DD663" s="588" t="n"/>
      <c r="DE663" s="588" t="n"/>
      <c r="DF663" s="588" t="n"/>
      <c r="DG663" s="588" t="n"/>
      <c r="DH663" s="588" t="n"/>
      <c r="DI663" s="588" t="n"/>
      <c r="DJ663" s="588" t="n"/>
      <c r="DK663" s="588" t="n"/>
      <c r="DL663" s="588" t="n"/>
      <c r="DM663" s="588" t="n"/>
      <c r="DN663" s="588" t="n"/>
      <c r="DO663" s="588" t="n"/>
      <c r="DP663" s="588" t="n"/>
      <c r="DQ663" s="588" t="n"/>
      <c r="DR663" s="588" t="n"/>
      <c r="DS663" s="588" t="n"/>
      <c r="DT663" s="588" t="n"/>
      <c r="DU663" s="588" t="n"/>
    </row>
    <row r="664">
      <c r="A664" s="737" t="n"/>
      <c r="B664" s="737" t="n"/>
      <c r="C664" s="737" t="n"/>
      <c r="D664" s="737" t="n"/>
      <c r="E664" s="737" t="n"/>
      <c r="F664" s="737" t="n"/>
      <c r="G664" s="737" t="n"/>
      <c r="H664" s="737" t="n"/>
      <c r="I664" s="737" t="n"/>
      <c r="J664" s="737" t="n"/>
      <c r="K664" s="737" t="n"/>
      <c r="L664" s="737" t="n"/>
      <c r="M664" s="737" t="n"/>
      <c r="N664" s="737" t="n"/>
      <c r="O664" s="737" t="n"/>
      <c r="P664" s="737" t="n"/>
      <c r="Q664" s="737" t="n"/>
      <c r="R664" s="737" t="n"/>
      <c r="S664" s="737" t="n"/>
      <c r="T664" s="737" t="n"/>
      <c r="U664" s="737" t="n"/>
      <c r="V664" s="737" t="n"/>
      <c r="W664" s="737" t="n"/>
      <c r="X664" s="737" t="n"/>
      <c r="Y664" s="737" t="n"/>
      <c r="Z664" s="737" t="n"/>
      <c r="AA664" s="737" t="n"/>
      <c r="AB664" s="737" t="n"/>
      <c r="AC664" s="737" t="n"/>
      <c r="AD664" s="737" t="n"/>
      <c r="AE664" s="737" t="n"/>
      <c r="AF664" s="737" t="n"/>
      <c r="AG664" s="737" t="n"/>
      <c r="AH664" s="737" t="n"/>
      <c r="AI664" s="737" t="n"/>
      <c r="AJ664" s="737" t="n"/>
      <c r="AK664" s="588" t="n"/>
      <c r="AL664" s="588" t="n"/>
      <c r="AM664" s="588" t="n"/>
      <c r="AN664" s="588" t="n"/>
      <c r="AO664" s="588" t="n"/>
      <c r="AP664" s="588" t="n"/>
      <c r="AQ664" s="588" t="n"/>
      <c r="AR664" s="588" t="n"/>
      <c r="AS664" s="588" t="n"/>
      <c r="AT664" s="588" t="n"/>
      <c r="AU664" s="588" t="n"/>
      <c r="AV664" s="588" t="n"/>
      <c r="AW664" s="588" t="n"/>
      <c r="AX664" s="588" t="n"/>
      <c r="AY664" s="588" t="n"/>
      <c r="AZ664" s="588" t="n"/>
      <c r="BA664" s="588" t="n"/>
      <c r="BB664" s="588" t="n"/>
      <c r="BC664" s="588" t="n"/>
      <c r="BD664" s="588" t="n"/>
      <c r="BE664" s="588" t="n"/>
      <c r="BF664" s="588" t="n"/>
      <c r="BG664" s="588" t="n"/>
      <c r="BH664" s="588" t="n"/>
      <c r="BI664" s="588" t="n"/>
      <c r="BJ664" s="588" t="n"/>
      <c r="BK664" s="588" t="n"/>
      <c r="BL664" s="588" t="n"/>
      <c r="BM664" s="588" t="n"/>
      <c r="BN664" s="588" t="n"/>
      <c r="BO664" s="588" t="n"/>
      <c r="BP664" s="588" t="n"/>
      <c r="BQ664" s="588" t="n"/>
      <c r="BR664" s="588" t="n"/>
      <c r="BS664" s="588" t="n"/>
      <c r="BT664" s="588" t="n"/>
      <c r="BU664" s="588" t="n"/>
      <c r="BV664" s="588" t="n"/>
      <c r="BW664" s="588" t="n"/>
      <c r="BX664" s="588" t="n"/>
      <c r="BY664" s="588" t="n"/>
      <c r="BZ664" s="588" t="n"/>
      <c r="CA664" s="588" t="n"/>
      <c r="CB664" s="588" t="n"/>
      <c r="CC664" s="588" t="n"/>
      <c r="CD664" s="588" t="n"/>
      <c r="CE664" s="588" t="n"/>
      <c r="CF664" s="588" t="n"/>
      <c r="CG664" s="588" t="n"/>
      <c r="CH664" s="588" t="n"/>
      <c r="CI664" s="588" t="n"/>
      <c r="CJ664" s="588" t="n"/>
      <c r="CK664" s="588" t="n"/>
      <c r="CL664" s="588" t="n"/>
      <c r="CM664" s="588" t="n"/>
      <c r="CN664" s="588" t="n"/>
      <c r="CO664" s="588" t="n"/>
      <c r="CP664" s="588" t="n"/>
      <c r="CQ664" s="588" t="n"/>
      <c r="CR664" s="588" t="n"/>
      <c r="CS664" s="588" t="n"/>
      <c r="CT664" s="588" t="n"/>
      <c r="CU664" s="588" t="n"/>
      <c r="CV664" s="588" t="n"/>
      <c r="CW664" s="588" t="n"/>
      <c r="CX664" s="588" t="n"/>
      <c r="CY664" s="588" t="n"/>
      <c r="CZ664" s="588" t="n"/>
      <c r="DA664" s="588" t="n"/>
      <c r="DB664" s="588" t="n"/>
      <c r="DC664" s="588" t="n"/>
      <c r="DD664" s="588" t="n"/>
      <c r="DE664" s="588" t="n"/>
      <c r="DF664" s="588" t="n"/>
      <c r="DG664" s="588" t="n"/>
      <c r="DH664" s="588" t="n"/>
      <c r="DI664" s="588" t="n"/>
      <c r="DJ664" s="588" t="n"/>
      <c r="DK664" s="588" t="n"/>
      <c r="DL664" s="588" t="n"/>
      <c r="DM664" s="588" t="n"/>
      <c r="DN664" s="588" t="n"/>
      <c r="DO664" s="588" t="n"/>
      <c r="DP664" s="588" t="n"/>
      <c r="DQ664" s="588" t="n"/>
      <c r="DR664" s="588" t="n"/>
      <c r="DS664" s="588" t="n"/>
      <c r="DT664" s="588" t="n"/>
      <c r="DU664" s="588" t="n"/>
    </row>
    <row r="665">
      <c r="A665" s="737" t="n"/>
      <c r="B665" s="737" t="n"/>
      <c r="C665" s="737" t="n"/>
      <c r="D665" s="737" t="n"/>
      <c r="E665" s="737" t="n"/>
      <c r="F665" s="737" t="n"/>
      <c r="G665" s="737" t="n"/>
      <c r="H665" s="737" t="n"/>
      <c r="I665" s="737" t="n"/>
      <c r="J665" s="737" t="n"/>
      <c r="K665" s="737" t="n"/>
      <c r="L665" s="737" t="n"/>
      <c r="M665" s="737" t="n"/>
      <c r="N665" s="737" t="n"/>
      <c r="O665" s="737" t="n"/>
      <c r="P665" s="737" t="n"/>
      <c r="Q665" s="737" t="n"/>
      <c r="R665" s="737" t="n"/>
      <c r="S665" s="737" t="n"/>
      <c r="T665" s="737" t="n"/>
      <c r="U665" s="737" t="n"/>
      <c r="V665" s="737" t="n"/>
      <c r="W665" s="737" t="n"/>
      <c r="X665" s="737" t="n"/>
      <c r="Y665" s="737" t="n"/>
      <c r="Z665" s="737" t="n"/>
      <c r="AA665" s="737" t="n"/>
      <c r="AB665" s="737" t="n"/>
      <c r="AC665" s="737" t="n"/>
      <c r="AD665" s="737" t="n"/>
      <c r="AE665" s="737" t="n"/>
      <c r="AF665" s="737" t="n"/>
      <c r="AG665" s="737" t="n"/>
      <c r="AH665" s="737" t="n"/>
      <c r="AI665" s="737" t="n"/>
      <c r="AJ665" s="737" t="n"/>
      <c r="AK665" s="588" t="n"/>
      <c r="AL665" s="588" t="n"/>
      <c r="AM665" s="588" t="n"/>
      <c r="AN665" s="588" t="n"/>
      <c r="AO665" s="588" t="n"/>
      <c r="AP665" s="588" t="n"/>
      <c r="AQ665" s="588" t="n"/>
      <c r="AR665" s="588" t="n"/>
      <c r="AS665" s="588" t="n"/>
      <c r="AT665" s="588" t="n"/>
      <c r="AU665" s="588" t="n"/>
      <c r="AV665" s="588" t="n"/>
      <c r="AW665" s="588" t="n"/>
      <c r="AX665" s="588" t="n"/>
      <c r="AY665" s="588" t="n"/>
      <c r="AZ665" s="588" t="n"/>
      <c r="BA665" s="588" t="n"/>
      <c r="BB665" s="588" t="n"/>
      <c r="BC665" s="588" t="n"/>
      <c r="BD665" s="588" t="n"/>
      <c r="BE665" s="588" t="n"/>
      <c r="BF665" s="588" t="n"/>
      <c r="BG665" s="588" t="n"/>
      <c r="BH665" s="588" t="n"/>
      <c r="BI665" s="588" t="n"/>
      <c r="BJ665" s="588" t="n"/>
      <c r="BK665" s="588" t="n"/>
      <c r="BL665" s="588" t="n"/>
      <c r="BM665" s="588" t="n"/>
      <c r="BN665" s="588" t="n"/>
      <c r="BO665" s="588" t="n"/>
      <c r="BP665" s="588" t="n"/>
      <c r="BQ665" s="588" t="n"/>
      <c r="BR665" s="588" t="n"/>
      <c r="BS665" s="588" t="n"/>
      <c r="BT665" s="588" t="n"/>
      <c r="BU665" s="588" t="n"/>
      <c r="BV665" s="588" t="n"/>
      <c r="BW665" s="588" t="n"/>
      <c r="BX665" s="588" t="n"/>
      <c r="BY665" s="588" t="n"/>
      <c r="BZ665" s="588" t="n"/>
      <c r="CA665" s="588" t="n"/>
      <c r="CB665" s="588" t="n"/>
      <c r="CC665" s="588" t="n"/>
      <c r="CD665" s="588" t="n"/>
      <c r="CE665" s="588" t="n"/>
      <c r="CF665" s="588" t="n"/>
      <c r="CG665" s="588" t="n"/>
      <c r="CH665" s="588" t="n"/>
      <c r="CI665" s="588" t="n"/>
      <c r="CJ665" s="588" t="n"/>
      <c r="CK665" s="588" t="n"/>
      <c r="CL665" s="588" t="n"/>
      <c r="CM665" s="588" t="n"/>
      <c r="CN665" s="588" t="n"/>
      <c r="CO665" s="588" t="n"/>
      <c r="CP665" s="588" t="n"/>
      <c r="CQ665" s="588" t="n"/>
      <c r="CR665" s="588" t="n"/>
      <c r="CS665" s="588" t="n"/>
      <c r="CT665" s="588" t="n"/>
      <c r="CU665" s="588" t="n"/>
      <c r="CV665" s="588" t="n"/>
      <c r="CW665" s="588" t="n"/>
      <c r="CX665" s="588" t="n"/>
      <c r="CY665" s="588" t="n"/>
      <c r="CZ665" s="588" t="n"/>
      <c r="DA665" s="588" t="n"/>
      <c r="DB665" s="588" t="n"/>
      <c r="DC665" s="588" t="n"/>
      <c r="DD665" s="588" t="n"/>
      <c r="DE665" s="588" t="n"/>
      <c r="DF665" s="588" t="n"/>
      <c r="DG665" s="588" t="n"/>
      <c r="DH665" s="588" t="n"/>
      <c r="DI665" s="588" t="n"/>
      <c r="DJ665" s="588" t="n"/>
      <c r="DK665" s="588" t="n"/>
      <c r="DL665" s="588" t="n"/>
      <c r="DM665" s="588" t="n"/>
      <c r="DN665" s="588" t="n"/>
      <c r="DO665" s="588" t="n"/>
      <c r="DP665" s="588" t="n"/>
      <c r="DQ665" s="588" t="n"/>
      <c r="DR665" s="588" t="n"/>
      <c r="DS665" s="588" t="n"/>
      <c r="DT665" s="588" t="n"/>
      <c r="DU665" s="588" t="n"/>
    </row>
    <row r="666">
      <c r="A666" s="737" t="n"/>
      <c r="B666" s="737" t="n"/>
      <c r="C666" s="737" t="n"/>
      <c r="D666" s="737" t="n"/>
      <c r="E666" s="737" t="n"/>
      <c r="F666" s="737" t="n"/>
      <c r="G666" s="737" t="n"/>
      <c r="H666" s="737" t="n"/>
      <c r="I666" s="737" t="n"/>
      <c r="J666" s="737" t="n"/>
      <c r="K666" s="737" t="n"/>
      <c r="L666" s="737" t="n"/>
      <c r="M666" s="737" t="n"/>
      <c r="N666" s="737" t="n"/>
      <c r="O666" s="737" t="n"/>
      <c r="P666" s="737" t="n"/>
      <c r="Q666" s="737" t="n"/>
      <c r="R666" s="737" t="n"/>
      <c r="S666" s="737" t="n"/>
      <c r="T666" s="737" t="n"/>
      <c r="U666" s="737" t="n"/>
      <c r="V666" s="737" t="n"/>
      <c r="W666" s="737" t="n"/>
      <c r="X666" s="737" t="n"/>
      <c r="Y666" s="737" t="n"/>
      <c r="Z666" s="737" t="n"/>
      <c r="AA666" s="737" t="n"/>
      <c r="AB666" s="737" t="n"/>
      <c r="AC666" s="737" t="n"/>
      <c r="AD666" s="737" t="n"/>
      <c r="AE666" s="737" t="n"/>
      <c r="AF666" s="737" t="n"/>
      <c r="AG666" s="737" t="n"/>
      <c r="AH666" s="737" t="n"/>
      <c r="AI666" s="737" t="n"/>
      <c r="AJ666" s="737" t="n"/>
      <c r="AK666" s="588" t="n"/>
      <c r="AL666" s="588" t="n"/>
      <c r="AM666" s="588" t="n"/>
      <c r="AN666" s="588" t="n"/>
      <c r="AO666" s="588" t="n"/>
      <c r="AP666" s="588" t="n"/>
      <c r="AQ666" s="588" t="n"/>
      <c r="AR666" s="588" t="n"/>
      <c r="AS666" s="588" t="n"/>
      <c r="AT666" s="588" t="n"/>
      <c r="AU666" s="588" t="n"/>
      <c r="AV666" s="588" t="n"/>
      <c r="AW666" s="588" t="n"/>
      <c r="AX666" s="588" t="n"/>
      <c r="AY666" s="588" t="n"/>
      <c r="AZ666" s="588" t="n"/>
      <c r="BA666" s="588" t="n"/>
      <c r="BB666" s="588" t="n"/>
      <c r="BC666" s="588" t="n"/>
      <c r="BD666" s="588" t="n"/>
      <c r="BE666" s="588" t="n"/>
      <c r="BF666" s="588" t="n"/>
      <c r="BG666" s="588" t="n"/>
      <c r="BH666" s="588" t="n"/>
      <c r="BI666" s="588" t="n"/>
      <c r="BJ666" s="588" t="n"/>
      <c r="BK666" s="588" t="n"/>
      <c r="BL666" s="588" t="n"/>
      <c r="BM666" s="588" t="n"/>
      <c r="BN666" s="588" t="n"/>
      <c r="BO666" s="588" t="n"/>
      <c r="BP666" s="588" t="n"/>
      <c r="BQ666" s="588" t="n"/>
      <c r="BR666" s="588" t="n"/>
      <c r="BS666" s="588" t="n"/>
      <c r="BT666" s="588" t="n"/>
      <c r="BU666" s="588" t="n"/>
      <c r="BV666" s="588" t="n"/>
      <c r="BW666" s="588" t="n"/>
      <c r="BX666" s="588" t="n"/>
      <c r="BY666" s="588" t="n"/>
      <c r="BZ666" s="588" t="n"/>
      <c r="CA666" s="588" t="n"/>
      <c r="CB666" s="588" t="n"/>
      <c r="CC666" s="588" t="n"/>
      <c r="CD666" s="588" t="n"/>
      <c r="CE666" s="588" t="n"/>
      <c r="CF666" s="588" t="n"/>
      <c r="CG666" s="588" t="n"/>
      <c r="CH666" s="588" t="n"/>
      <c r="CI666" s="588" t="n"/>
      <c r="CJ666" s="588" t="n"/>
      <c r="CK666" s="588" t="n"/>
      <c r="CL666" s="588" t="n"/>
      <c r="CM666" s="588" t="n"/>
      <c r="CN666" s="588" t="n"/>
      <c r="CO666" s="588" t="n"/>
      <c r="CP666" s="588" t="n"/>
      <c r="CQ666" s="588" t="n"/>
      <c r="CR666" s="588" t="n"/>
      <c r="CS666" s="588" t="n"/>
      <c r="CT666" s="588" t="n"/>
      <c r="CU666" s="588" t="n"/>
      <c r="CV666" s="588" t="n"/>
      <c r="CW666" s="588" t="n"/>
      <c r="CX666" s="588" t="n"/>
      <c r="CY666" s="588" t="n"/>
      <c r="CZ666" s="588" t="n"/>
      <c r="DA666" s="588" t="n"/>
      <c r="DB666" s="588" t="n"/>
      <c r="DC666" s="588" t="n"/>
      <c r="DD666" s="588" t="n"/>
      <c r="DE666" s="588" t="n"/>
      <c r="DF666" s="588" t="n"/>
      <c r="DG666" s="588" t="n"/>
      <c r="DH666" s="588" t="n"/>
      <c r="DI666" s="588" t="n"/>
      <c r="DJ666" s="588" t="n"/>
      <c r="DK666" s="588" t="n"/>
      <c r="DL666" s="588" t="n"/>
      <c r="DM666" s="588" t="n"/>
      <c r="DN666" s="588" t="n"/>
      <c r="DO666" s="588" t="n"/>
      <c r="DP666" s="588" t="n"/>
      <c r="DQ666" s="588" t="n"/>
      <c r="DR666" s="588" t="n"/>
      <c r="DS666" s="588" t="n"/>
      <c r="DT666" s="588" t="n"/>
      <c r="DU666" s="588" t="n"/>
    </row>
    <row r="667">
      <c r="A667" s="737" t="n"/>
      <c r="B667" s="737" t="n"/>
      <c r="C667" s="737" t="n"/>
      <c r="D667" s="737" t="n"/>
      <c r="E667" s="737" t="n"/>
      <c r="F667" s="737" t="n"/>
      <c r="G667" s="737" t="n"/>
      <c r="H667" s="737" t="n"/>
      <c r="I667" s="737" t="n"/>
      <c r="J667" s="737" t="n"/>
      <c r="K667" s="737" t="n"/>
      <c r="L667" s="737" t="n"/>
      <c r="M667" s="737" t="n"/>
      <c r="N667" s="737" t="n"/>
      <c r="O667" s="737" t="n"/>
      <c r="P667" s="737" t="n"/>
      <c r="Q667" s="737" t="n"/>
      <c r="R667" s="737" t="n"/>
      <c r="S667" s="737" t="n"/>
      <c r="T667" s="737" t="n"/>
      <c r="U667" s="737" t="n"/>
      <c r="V667" s="737" t="n"/>
      <c r="W667" s="737" t="n"/>
      <c r="X667" s="737" t="n"/>
      <c r="Y667" s="737" t="n"/>
      <c r="Z667" s="737" t="n"/>
      <c r="AA667" s="737" t="n"/>
      <c r="AB667" s="737" t="n"/>
      <c r="AC667" s="737" t="n"/>
      <c r="AD667" s="737" t="n"/>
      <c r="AE667" s="737" t="n"/>
      <c r="AF667" s="737" t="n"/>
      <c r="AG667" s="737" t="n"/>
      <c r="AH667" s="737" t="n"/>
      <c r="AI667" s="737" t="n"/>
      <c r="AJ667" s="737" t="n"/>
      <c r="AK667" s="588" t="n"/>
      <c r="AL667" s="588" t="n"/>
      <c r="AM667" s="588" t="n"/>
      <c r="AN667" s="588" t="n"/>
      <c r="AO667" s="588" t="n"/>
      <c r="AP667" s="588" t="n"/>
      <c r="AQ667" s="588" t="n"/>
      <c r="AR667" s="588" t="n"/>
      <c r="AS667" s="588" t="n"/>
      <c r="AT667" s="588" t="n"/>
      <c r="AU667" s="588" t="n"/>
      <c r="AV667" s="588" t="n"/>
      <c r="AW667" s="588" t="n"/>
      <c r="AX667" s="588" t="n"/>
      <c r="AY667" s="588" t="n"/>
      <c r="AZ667" s="588" t="n"/>
      <c r="BA667" s="588" t="n"/>
      <c r="BB667" s="588" t="n"/>
      <c r="BC667" s="588" t="n"/>
      <c r="BD667" s="588" t="n"/>
      <c r="BE667" s="588" t="n"/>
      <c r="BF667" s="588" t="n"/>
      <c r="BG667" s="588" t="n"/>
      <c r="BH667" s="588" t="n"/>
      <c r="BI667" s="588" t="n"/>
      <c r="BJ667" s="588" t="n"/>
      <c r="BK667" s="588" t="n"/>
      <c r="BL667" s="588" t="n"/>
      <c r="BM667" s="588" t="n"/>
      <c r="BN667" s="588" t="n"/>
      <c r="BO667" s="588" t="n"/>
      <c r="BP667" s="588" t="n"/>
      <c r="BQ667" s="588" t="n"/>
      <c r="BR667" s="588" t="n"/>
      <c r="BS667" s="588" t="n"/>
      <c r="BT667" s="588" t="n"/>
      <c r="BU667" s="588" t="n"/>
      <c r="BV667" s="588" t="n"/>
      <c r="BW667" s="588" t="n"/>
      <c r="BX667" s="588" t="n"/>
      <c r="BY667" s="588" t="n"/>
      <c r="BZ667" s="588" t="n"/>
      <c r="CA667" s="588" t="n"/>
      <c r="CB667" s="588" t="n"/>
      <c r="CC667" s="588" t="n"/>
      <c r="CD667" s="588" t="n"/>
      <c r="CE667" s="588" t="n"/>
      <c r="CF667" s="588" t="n"/>
      <c r="CG667" s="588" t="n"/>
      <c r="CH667" s="588" t="n"/>
      <c r="CI667" s="588" t="n"/>
      <c r="CJ667" s="588" t="n"/>
      <c r="CK667" s="588" t="n"/>
      <c r="CL667" s="588" t="n"/>
      <c r="CM667" s="588" t="n"/>
      <c r="CN667" s="588" t="n"/>
      <c r="CO667" s="588" t="n"/>
      <c r="CP667" s="588" t="n"/>
      <c r="CQ667" s="588" t="n"/>
      <c r="CR667" s="588" t="n"/>
      <c r="CS667" s="588" t="n"/>
      <c r="CT667" s="588" t="n"/>
      <c r="CU667" s="588" t="n"/>
      <c r="CV667" s="588" t="n"/>
      <c r="CW667" s="588" t="n"/>
      <c r="CX667" s="588" t="n"/>
      <c r="CY667" s="588" t="n"/>
      <c r="CZ667" s="588" t="n"/>
      <c r="DA667" s="588" t="n"/>
      <c r="DB667" s="588" t="n"/>
      <c r="DC667" s="588" t="n"/>
      <c r="DD667" s="588" t="n"/>
      <c r="DE667" s="588" t="n"/>
      <c r="DF667" s="588" t="n"/>
      <c r="DG667" s="588" t="n"/>
      <c r="DH667" s="588" t="n"/>
      <c r="DI667" s="588" t="n"/>
      <c r="DJ667" s="588" t="n"/>
      <c r="DK667" s="588" t="n"/>
      <c r="DL667" s="588" t="n"/>
      <c r="DM667" s="588" t="n"/>
      <c r="DN667" s="588" t="n"/>
      <c r="DO667" s="588" t="n"/>
      <c r="DP667" s="588" t="n"/>
      <c r="DQ667" s="588" t="n"/>
      <c r="DR667" s="588" t="n"/>
      <c r="DS667" s="588" t="n"/>
      <c r="DT667" s="588" t="n"/>
      <c r="DU667" s="588" t="n"/>
    </row>
    <row r="668">
      <c r="A668" s="737" t="n"/>
      <c r="B668" s="737" t="n"/>
      <c r="C668" s="737" t="n"/>
      <c r="D668" s="737" t="n"/>
      <c r="E668" s="737" t="n"/>
      <c r="F668" s="737" t="n"/>
      <c r="G668" s="737" t="n"/>
      <c r="H668" s="737" t="n"/>
      <c r="I668" s="737" t="n"/>
      <c r="J668" s="737" t="n"/>
      <c r="K668" s="737" t="n"/>
      <c r="L668" s="737" t="n"/>
      <c r="M668" s="737" t="n"/>
      <c r="N668" s="737" t="n"/>
      <c r="O668" s="737" t="n"/>
      <c r="P668" s="737" t="n"/>
      <c r="Q668" s="737" t="n"/>
      <c r="R668" s="737" t="n"/>
      <c r="S668" s="737" t="n"/>
      <c r="T668" s="737" t="n"/>
      <c r="U668" s="737" t="n"/>
      <c r="V668" s="737" t="n"/>
      <c r="W668" s="737" t="n"/>
      <c r="X668" s="737" t="n"/>
      <c r="Y668" s="737" t="n"/>
      <c r="Z668" s="737" t="n"/>
      <c r="AA668" s="737" t="n"/>
      <c r="AB668" s="737" t="n"/>
      <c r="AC668" s="737" t="n"/>
      <c r="AD668" s="737" t="n"/>
      <c r="AE668" s="737" t="n"/>
      <c r="AF668" s="737" t="n"/>
      <c r="AG668" s="737" t="n"/>
      <c r="AH668" s="737" t="n"/>
      <c r="AI668" s="737" t="n"/>
      <c r="AJ668" s="737" t="n"/>
      <c r="AK668" s="588" t="n"/>
      <c r="AL668" s="588" t="n"/>
      <c r="AM668" s="588" t="n"/>
      <c r="AN668" s="588" t="n"/>
      <c r="AO668" s="588" t="n"/>
      <c r="AP668" s="588" t="n"/>
      <c r="AQ668" s="588" t="n"/>
      <c r="AR668" s="588" t="n"/>
      <c r="AS668" s="588" t="n"/>
      <c r="AT668" s="588" t="n"/>
      <c r="AU668" s="588" t="n"/>
      <c r="AV668" s="588" t="n"/>
      <c r="AW668" s="588" t="n"/>
      <c r="AX668" s="588" t="n"/>
      <c r="AY668" s="588" t="n"/>
      <c r="AZ668" s="588" t="n"/>
      <c r="BA668" s="588" t="n"/>
      <c r="BB668" s="588" t="n"/>
      <c r="BC668" s="588" t="n"/>
      <c r="BD668" s="588" t="n"/>
      <c r="BE668" s="588" t="n"/>
      <c r="BF668" s="588" t="n"/>
      <c r="BG668" s="588" t="n"/>
      <c r="BH668" s="588" t="n"/>
      <c r="BI668" s="588" t="n"/>
      <c r="BJ668" s="588" t="n"/>
      <c r="BK668" s="588" t="n"/>
      <c r="BL668" s="588" t="n"/>
      <c r="BM668" s="588" t="n"/>
      <c r="BN668" s="588" t="n"/>
      <c r="BO668" s="588" t="n"/>
      <c r="BP668" s="588" t="n"/>
      <c r="BQ668" s="588" t="n"/>
      <c r="BR668" s="588" t="n"/>
      <c r="BS668" s="588" t="n"/>
      <c r="BT668" s="588" t="n"/>
      <c r="BU668" s="588" t="n"/>
      <c r="BV668" s="588" t="n"/>
      <c r="BW668" s="588" t="n"/>
      <c r="BX668" s="588" t="n"/>
      <c r="BY668" s="588" t="n"/>
      <c r="BZ668" s="588" t="n"/>
      <c r="CA668" s="588" t="n"/>
      <c r="CB668" s="588" t="n"/>
      <c r="CC668" s="588" t="n"/>
      <c r="CD668" s="588" t="n"/>
      <c r="CE668" s="588" t="n"/>
      <c r="CF668" s="588" t="n"/>
      <c r="CG668" s="588" t="n"/>
      <c r="CH668" s="588" t="n"/>
      <c r="CI668" s="588" t="n"/>
      <c r="CJ668" s="588" t="n"/>
      <c r="CK668" s="588" t="n"/>
      <c r="CL668" s="588" t="n"/>
      <c r="CM668" s="588" t="n"/>
      <c r="CN668" s="588" t="n"/>
      <c r="CO668" s="588" t="n"/>
      <c r="CP668" s="588" t="n"/>
      <c r="CQ668" s="588" t="n"/>
      <c r="CR668" s="588" t="n"/>
      <c r="CS668" s="588" t="n"/>
      <c r="CT668" s="588" t="n"/>
      <c r="CU668" s="588" t="n"/>
      <c r="CV668" s="588" t="n"/>
      <c r="CW668" s="588" t="n"/>
      <c r="CX668" s="588" t="n"/>
      <c r="CY668" s="588" t="n"/>
      <c r="CZ668" s="588" t="n"/>
      <c r="DA668" s="588" t="n"/>
      <c r="DB668" s="588" t="n"/>
      <c r="DC668" s="588" t="n"/>
      <c r="DD668" s="588" t="n"/>
      <c r="DE668" s="588" t="n"/>
      <c r="DF668" s="588" t="n"/>
      <c r="DG668" s="588" t="n"/>
      <c r="DH668" s="588" t="n"/>
      <c r="DI668" s="588" t="n"/>
      <c r="DJ668" s="588" t="n"/>
      <c r="DK668" s="588" t="n"/>
      <c r="DL668" s="588" t="n"/>
      <c r="DM668" s="588" t="n"/>
      <c r="DN668" s="588" t="n"/>
      <c r="DO668" s="588" t="n"/>
      <c r="DP668" s="588" t="n"/>
      <c r="DQ668" s="588" t="n"/>
      <c r="DR668" s="588" t="n"/>
      <c r="DS668" s="588" t="n"/>
      <c r="DT668" s="588" t="n"/>
      <c r="DU668" s="588" t="n"/>
    </row>
    <row r="669">
      <c r="A669" s="737" t="n"/>
      <c r="B669" s="737" t="n"/>
      <c r="C669" s="737" t="n"/>
      <c r="D669" s="737" t="n"/>
      <c r="E669" s="737" t="n"/>
      <c r="F669" s="737" t="n"/>
      <c r="G669" s="737" t="n"/>
      <c r="H669" s="737" t="n"/>
      <c r="I669" s="737" t="n"/>
      <c r="J669" s="737" t="n"/>
      <c r="K669" s="737" t="n"/>
      <c r="L669" s="737" t="n"/>
      <c r="M669" s="737" t="n"/>
      <c r="N669" s="737" t="n"/>
      <c r="O669" s="737" t="n"/>
      <c r="P669" s="737" t="n"/>
      <c r="Q669" s="737" t="n"/>
      <c r="R669" s="737" t="n"/>
      <c r="S669" s="737" t="n"/>
      <c r="T669" s="737" t="n"/>
      <c r="U669" s="737" t="n"/>
      <c r="V669" s="737" t="n"/>
      <c r="W669" s="737" t="n"/>
      <c r="X669" s="737" t="n"/>
      <c r="Y669" s="737" t="n"/>
      <c r="Z669" s="737" t="n"/>
      <c r="AA669" s="737" t="n"/>
      <c r="AB669" s="737" t="n"/>
      <c r="AC669" s="737" t="n"/>
      <c r="AD669" s="737" t="n"/>
      <c r="AE669" s="737" t="n"/>
      <c r="AF669" s="737" t="n"/>
      <c r="AG669" s="737" t="n"/>
      <c r="AH669" s="737" t="n"/>
      <c r="AI669" s="737" t="n"/>
      <c r="AJ669" s="737" t="n"/>
      <c r="AK669" s="588" t="n"/>
      <c r="AL669" s="588" t="n"/>
      <c r="AM669" s="588" t="n"/>
      <c r="AN669" s="588" t="n"/>
      <c r="AO669" s="588" t="n"/>
      <c r="AP669" s="588" t="n"/>
      <c r="AQ669" s="588" t="n"/>
      <c r="AR669" s="588" t="n"/>
      <c r="AS669" s="588" t="n"/>
      <c r="AT669" s="588" t="n"/>
      <c r="AU669" s="588" t="n"/>
      <c r="AV669" s="588" t="n"/>
      <c r="AW669" s="588" t="n"/>
      <c r="AX669" s="588" t="n"/>
      <c r="AY669" s="588" t="n"/>
      <c r="AZ669" s="588" t="n"/>
      <c r="BA669" s="588" t="n"/>
      <c r="BB669" s="588" t="n"/>
      <c r="BC669" s="588" t="n"/>
      <c r="BD669" s="588" t="n"/>
      <c r="BE669" s="588" t="n"/>
      <c r="BF669" s="588" t="n"/>
      <c r="BG669" s="588" t="n"/>
      <c r="BH669" s="588" t="n"/>
      <c r="BI669" s="588" t="n"/>
      <c r="BJ669" s="588" t="n"/>
      <c r="BK669" s="588" t="n"/>
      <c r="BL669" s="588" t="n"/>
      <c r="BM669" s="588" t="n"/>
      <c r="BN669" s="588" t="n"/>
      <c r="BO669" s="588" t="n"/>
      <c r="BP669" s="588" t="n"/>
      <c r="BQ669" s="588" t="n"/>
      <c r="BR669" s="588" t="n"/>
      <c r="BS669" s="588" t="n"/>
      <c r="BT669" s="588" t="n"/>
      <c r="BU669" s="588" t="n"/>
      <c r="BV669" s="588" t="n"/>
      <c r="BW669" s="588" t="n"/>
      <c r="BX669" s="588" t="n"/>
      <c r="BY669" s="588" t="n"/>
      <c r="BZ669" s="588" t="n"/>
      <c r="CA669" s="588" t="n"/>
      <c r="CB669" s="588" t="n"/>
      <c r="CC669" s="588" t="n"/>
      <c r="CD669" s="588" t="n"/>
      <c r="CE669" s="588" t="n"/>
      <c r="CF669" s="588" t="n"/>
      <c r="CG669" s="588" t="n"/>
      <c r="CH669" s="588" t="n"/>
      <c r="CI669" s="588" t="n"/>
      <c r="CJ669" s="588" t="n"/>
      <c r="CK669" s="588" t="n"/>
      <c r="CL669" s="588" t="n"/>
      <c r="CM669" s="588" t="n"/>
      <c r="CN669" s="588" t="n"/>
      <c r="CO669" s="588" t="n"/>
      <c r="CP669" s="588" t="n"/>
      <c r="CQ669" s="588" t="n"/>
      <c r="CR669" s="588" t="n"/>
      <c r="CS669" s="588" t="n"/>
      <c r="CT669" s="588" t="n"/>
      <c r="CU669" s="588" t="n"/>
      <c r="CV669" s="588" t="n"/>
      <c r="CW669" s="588" t="n"/>
      <c r="CX669" s="588" t="n"/>
      <c r="CY669" s="588" t="n"/>
      <c r="CZ669" s="588" t="n"/>
      <c r="DA669" s="588" t="n"/>
      <c r="DB669" s="588" t="n"/>
      <c r="DC669" s="588" t="n"/>
      <c r="DD669" s="588" t="n"/>
      <c r="DE669" s="588" t="n"/>
      <c r="DF669" s="588" t="n"/>
      <c r="DG669" s="588" t="n"/>
      <c r="DH669" s="588" t="n"/>
      <c r="DI669" s="588" t="n"/>
      <c r="DJ669" s="588" t="n"/>
      <c r="DK669" s="588" t="n"/>
      <c r="DL669" s="588" t="n"/>
      <c r="DM669" s="588" t="n"/>
      <c r="DN669" s="588" t="n"/>
      <c r="DO669" s="588" t="n"/>
      <c r="DP669" s="588" t="n"/>
      <c r="DQ669" s="588" t="n"/>
      <c r="DR669" s="588" t="n"/>
      <c r="DS669" s="588" t="n"/>
      <c r="DT669" s="588" t="n"/>
      <c r="DU669" s="588" t="n"/>
    </row>
    <row r="670">
      <c r="A670" s="737" t="n"/>
      <c r="B670" s="737" t="n"/>
      <c r="C670" s="737" t="n"/>
      <c r="D670" s="737" t="n"/>
      <c r="E670" s="737" t="n"/>
      <c r="F670" s="737" t="n"/>
      <c r="G670" s="737" t="n"/>
      <c r="H670" s="737" t="n"/>
      <c r="I670" s="737" t="n"/>
      <c r="J670" s="737" t="n"/>
      <c r="K670" s="737" t="n"/>
      <c r="L670" s="737" t="n"/>
      <c r="M670" s="737" t="n"/>
      <c r="N670" s="737" t="n"/>
      <c r="O670" s="737" t="n"/>
      <c r="P670" s="737" t="n"/>
      <c r="Q670" s="737" t="n"/>
      <c r="R670" s="737" t="n"/>
      <c r="S670" s="737" t="n"/>
      <c r="T670" s="737" t="n"/>
      <c r="U670" s="737" t="n"/>
      <c r="V670" s="737" t="n"/>
      <c r="W670" s="737" t="n"/>
      <c r="X670" s="737" t="n"/>
      <c r="Y670" s="737" t="n"/>
      <c r="Z670" s="737" t="n"/>
      <c r="AA670" s="737" t="n"/>
      <c r="AB670" s="737" t="n"/>
      <c r="AC670" s="737" t="n"/>
      <c r="AD670" s="737" t="n"/>
      <c r="AE670" s="737" t="n"/>
      <c r="AF670" s="737" t="n"/>
      <c r="AG670" s="737" t="n"/>
      <c r="AH670" s="737" t="n"/>
      <c r="AI670" s="737" t="n"/>
      <c r="AJ670" s="737" t="n"/>
      <c r="AK670" s="588" t="n"/>
      <c r="AL670" s="588" t="n"/>
      <c r="AM670" s="588" t="n"/>
      <c r="AN670" s="588" t="n"/>
      <c r="AO670" s="588" t="n"/>
      <c r="AP670" s="588" t="n"/>
      <c r="AQ670" s="588" t="n"/>
      <c r="AR670" s="588" t="n"/>
      <c r="AS670" s="588" t="n"/>
      <c r="AT670" s="588" t="n"/>
      <c r="AU670" s="588" t="n"/>
      <c r="AV670" s="588" t="n"/>
      <c r="AW670" s="588" t="n"/>
      <c r="AX670" s="588" t="n"/>
      <c r="AY670" s="588" t="n"/>
      <c r="AZ670" s="588" t="n"/>
      <c r="BA670" s="588" t="n"/>
      <c r="BB670" s="588" t="n"/>
      <c r="BC670" s="588" t="n"/>
      <c r="BD670" s="588" t="n"/>
      <c r="BE670" s="588" t="n"/>
      <c r="BF670" s="588" t="n"/>
      <c r="BG670" s="588" t="n"/>
      <c r="BH670" s="588" t="n"/>
      <c r="BI670" s="588" t="n"/>
      <c r="BJ670" s="588" t="n"/>
      <c r="BK670" s="588" t="n"/>
      <c r="BL670" s="588" t="n"/>
      <c r="BM670" s="588" t="n"/>
      <c r="BN670" s="588" t="n"/>
      <c r="BO670" s="588" t="n"/>
      <c r="BP670" s="588" t="n"/>
      <c r="BQ670" s="588" t="n"/>
      <c r="BR670" s="588" t="n"/>
      <c r="BS670" s="588" t="n"/>
      <c r="BT670" s="588" t="n"/>
      <c r="BU670" s="588" t="n"/>
      <c r="BV670" s="588" t="n"/>
      <c r="BW670" s="588" t="n"/>
      <c r="BX670" s="588" t="n"/>
      <c r="BY670" s="588" t="n"/>
      <c r="BZ670" s="588" t="n"/>
      <c r="CA670" s="588" t="n"/>
      <c r="CB670" s="588" t="n"/>
      <c r="CC670" s="588" t="n"/>
      <c r="CD670" s="588" t="n"/>
      <c r="CE670" s="588" t="n"/>
      <c r="CF670" s="588" t="n"/>
      <c r="CG670" s="588" t="n"/>
      <c r="CH670" s="588" t="n"/>
      <c r="CI670" s="588" t="n"/>
      <c r="CJ670" s="588" t="n"/>
      <c r="CK670" s="588" t="n"/>
      <c r="CL670" s="588" t="n"/>
      <c r="CM670" s="588" t="n"/>
      <c r="CN670" s="588" t="n"/>
      <c r="CO670" s="588" t="n"/>
      <c r="CP670" s="588" t="n"/>
      <c r="CQ670" s="588" t="n"/>
      <c r="CR670" s="588" t="n"/>
      <c r="CS670" s="588" t="n"/>
      <c r="CT670" s="588" t="n"/>
      <c r="CU670" s="588" t="n"/>
      <c r="CV670" s="588" t="n"/>
      <c r="CW670" s="588" t="n"/>
      <c r="CX670" s="588" t="n"/>
      <c r="CY670" s="588" t="n"/>
      <c r="CZ670" s="588" t="n"/>
      <c r="DA670" s="588" t="n"/>
      <c r="DB670" s="588" t="n"/>
      <c r="DC670" s="588" t="n"/>
      <c r="DD670" s="588" t="n"/>
      <c r="DE670" s="588" t="n"/>
      <c r="DF670" s="588" t="n"/>
      <c r="DG670" s="588" t="n"/>
      <c r="DH670" s="588" t="n"/>
      <c r="DI670" s="588" t="n"/>
      <c r="DJ670" s="588" t="n"/>
      <c r="DK670" s="588" t="n"/>
      <c r="DL670" s="588" t="n"/>
      <c r="DM670" s="588" t="n"/>
      <c r="DN670" s="588" t="n"/>
      <c r="DO670" s="588" t="n"/>
      <c r="DP670" s="588" t="n"/>
      <c r="DQ670" s="588" t="n"/>
      <c r="DR670" s="588" t="n"/>
      <c r="DS670" s="588" t="n"/>
      <c r="DT670" s="588" t="n"/>
      <c r="DU670" s="588" t="n"/>
    </row>
    <row r="671">
      <c r="A671" s="737" t="n"/>
      <c r="B671" s="737" t="n"/>
      <c r="C671" s="737" t="n"/>
      <c r="D671" s="737" t="n"/>
      <c r="E671" s="737" t="n"/>
      <c r="F671" s="737" t="n"/>
      <c r="G671" s="737" t="n"/>
      <c r="H671" s="737" t="n"/>
      <c r="I671" s="737" t="n"/>
      <c r="J671" s="737" t="n"/>
      <c r="K671" s="737" t="n"/>
      <c r="L671" s="737" t="n"/>
      <c r="M671" s="737" t="n"/>
      <c r="N671" s="737" t="n"/>
      <c r="O671" s="737" t="n"/>
      <c r="P671" s="737" t="n"/>
      <c r="Q671" s="737" t="n"/>
      <c r="R671" s="737" t="n"/>
      <c r="S671" s="737" t="n"/>
      <c r="T671" s="737" t="n"/>
      <c r="U671" s="737" t="n"/>
      <c r="V671" s="737" t="n"/>
      <c r="W671" s="737" t="n"/>
      <c r="X671" s="737" t="n"/>
      <c r="Y671" s="737" t="n"/>
      <c r="Z671" s="737" t="n"/>
      <c r="AA671" s="737" t="n"/>
      <c r="AB671" s="737" t="n"/>
      <c r="AC671" s="737" t="n"/>
      <c r="AD671" s="737" t="n"/>
      <c r="AE671" s="737" t="n"/>
      <c r="AF671" s="737" t="n"/>
      <c r="AG671" s="737" t="n"/>
      <c r="AH671" s="737" t="n"/>
      <c r="AI671" s="737" t="n"/>
      <c r="AJ671" s="737" t="n"/>
      <c r="AK671" s="588" t="n"/>
      <c r="AL671" s="588" t="n"/>
      <c r="AM671" s="588" t="n"/>
      <c r="AN671" s="588" t="n"/>
      <c r="AO671" s="588" t="n"/>
      <c r="AP671" s="588" t="n"/>
      <c r="AQ671" s="588" t="n"/>
      <c r="AR671" s="588" t="n"/>
      <c r="AS671" s="588" t="n"/>
      <c r="AT671" s="588" t="n"/>
      <c r="AU671" s="588" t="n"/>
      <c r="AV671" s="588" t="n"/>
      <c r="AW671" s="588" t="n"/>
      <c r="AX671" s="588" t="n"/>
      <c r="AY671" s="588" t="n"/>
      <c r="AZ671" s="588" t="n"/>
      <c r="BA671" s="588" t="n"/>
      <c r="BB671" s="588" t="n"/>
      <c r="BC671" s="588" t="n"/>
      <c r="BD671" s="588" t="n"/>
      <c r="BE671" s="588" t="n"/>
      <c r="BF671" s="588" t="n"/>
      <c r="BG671" s="588" t="n"/>
      <c r="BH671" s="588" t="n"/>
      <c r="BI671" s="588" t="n"/>
      <c r="BJ671" s="588" t="n"/>
      <c r="BK671" s="588" t="n"/>
      <c r="BL671" s="588" t="n"/>
      <c r="BM671" s="588" t="n"/>
      <c r="BN671" s="588" t="n"/>
      <c r="BO671" s="588" t="n"/>
      <c r="BP671" s="588" t="n"/>
      <c r="BQ671" s="588" t="n"/>
      <c r="BR671" s="588" t="n"/>
      <c r="BS671" s="588" t="n"/>
      <c r="BT671" s="588" t="n"/>
      <c r="BU671" s="588" t="n"/>
      <c r="BV671" s="588" t="n"/>
      <c r="BW671" s="588" t="n"/>
      <c r="BX671" s="588" t="n"/>
      <c r="BY671" s="588" t="n"/>
      <c r="BZ671" s="588" t="n"/>
      <c r="CA671" s="588" t="n"/>
      <c r="CB671" s="588" t="n"/>
      <c r="CC671" s="588" t="n"/>
      <c r="CD671" s="588" t="n"/>
      <c r="CE671" s="588" t="n"/>
      <c r="CF671" s="588" t="n"/>
      <c r="CG671" s="588" t="n"/>
      <c r="CH671" s="588" t="n"/>
      <c r="CI671" s="588" t="n"/>
      <c r="CJ671" s="588" t="n"/>
      <c r="CK671" s="588" t="n"/>
      <c r="CL671" s="588" t="n"/>
      <c r="CM671" s="588" t="n"/>
      <c r="CN671" s="588" t="n"/>
      <c r="CO671" s="588" t="n"/>
      <c r="CP671" s="588" t="n"/>
      <c r="CQ671" s="588" t="n"/>
      <c r="CR671" s="588" t="n"/>
      <c r="CS671" s="588" t="n"/>
      <c r="CT671" s="588" t="n"/>
      <c r="CU671" s="588" t="n"/>
      <c r="CV671" s="588" t="n"/>
      <c r="CW671" s="588" t="n"/>
      <c r="CX671" s="588" t="n"/>
      <c r="CY671" s="588" t="n"/>
      <c r="CZ671" s="588" t="n"/>
      <c r="DA671" s="588" t="n"/>
      <c r="DB671" s="588" t="n"/>
      <c r="DC671" s="588" t="n"/>
      <c r="DD671" s="588" t="n"/>
      <c r="DE671" s="588" t="n"/>
      <c r="DF671" s="588" t="n"/>
      <c r="DG671" s="588" t="n"/>
      <c r="DH671" s="588" t="n"/>
      <c r="DI671" s="588" t="n"/>
      <c r="DJ671" s="588" t="n"/>
      <c r="DK671" s="588" t="n"/>
      <c r="DL671" s="588" t="n"/>
      <c r="DM671" s="588" t="n"/>
      <c r="DN671" s="588" t="n"/>
      <c r="DO671" s="588" t="n"/>
      <c r="DP671" s="588" t="n"/>
      <c r="DQ671" s="588" t="n"/>
      <c r="DR671" s="588" t="n"/>
      <c r="DS671" s="588" t="n"/>
      <c r="DT671" s="588" t="n"/>
      <c r="DU671" s="588" t="n"/>
    </row>
    <row r="672">
      <c r="A672" s="737" t="n"/>
      <c r="B672" s="737" t="n"/>
      <c r="C672" s="737" t="n"/>
      <c r="D672" s="737" t="n"/>
      <c r="E672" s="737" t="n"/>
      <c r="F672" s="737" t="n"/>
      <c r="G672" s="737" t="n"/>
      <c r="H672" s="737" t="n"/>
      <c r="I672" s="737" t="n"/>
      <c r="J672" s="737" t="n"/>
      <c r="K672" s="737" t="n"/>
      <c r="L672" s="737" t="n"/>
      <c r="M672" s="737" t="n"/>
      <c r="N672" s="737" t="n"/>
      <c r="O672" s="737" t="n"/>
      <c r="P672" s="737" t="n"/>
      <c r="Q672" s="737" t="n"/>
      <c r="R672" s="737" t="n"/>
      <c r="S672" s="737" t="n"/>
      <c r="T672" s="737" t="n"/>
      <c r="U672" s="737" t="n"/>
      <c r="V672" s="737" t="n"/>
      <c r="W672" s="737" t="n"/>
      <c r="X672" s="737" t="n"/>
      <c r="Y672" s="737" t="n"/>
      <c r="Z672" s="737" t="n"/>
      <c r="AA672" s="737" t="n"/>
      <c r="AB672" s="737" t="n"/>
      <c r="AC672" s="737" t="n"/>
      <c r="AD672" s="737" t="n"/>
      <c r="AE672" s="737" t="n"/>
      <c r="AF672" s="737" t="n"/>
      <c r="AG672" s="737" t="n"/>
      <c r="AH672" s="737" t="n"/>
      <c r="AI672" s="737" t="n"/>
      <c r="AJ672" s="737" t="n"/>
      <c r="AK672" s="588" t="n"/>
      <c r="AL672" s="588" t="n"/>
      <c r="AM672" s="588" t="n"/>
      <c r="AN672" s="588" t="n"/>
      <c r="AO672" s="588" t="n"/>
      <c r="AP672" s="588" t="n"/>
      <c r="AQ672" s="588" t="n"/>
      <c r="AR672" s="588" t="n"/>
      <c r="AS672" s="588" t="n"/>
      <c r="AT672" s="588" t="n"/>
      <c r="AU672" s="588" t="n"/>
      <c r="AV672" s="588" t="n"/>
      <c r="AW672" s="588" t="n"/>
      <c r="AX672" s="588" t="n"/>
      <c r="AY672" s="588" t="n"/>
      <c r="AZ672" s="588" t="n"/>
      <c r="BA672" s="588" t="n"/>
      <c r="BB672" s="588" t="n"/>
      <c r="BC672" s="588" t="n"/>
      <c r="BD672" s="588" t="n"/>
      <c r="BE672" s="588" t="n"/>
      <c r="BF672" s="588" t="n"/>
      <c r="BG672" s="588" t="n"/>
      <c r="BH672" s="588" t="n"/>
      <c r="BI672" s="588" t="n"/>
      <c r="BJ672" s="588" t="n"/>
      <c r="BK672" s="588" t="n"/>
      <c r="BL672" s="588" t="n"/>
      <c r="BM672" s="588" t="n"/>
      <c r="BN672" s="588" t="n"/>
      <c r="BO672" s="588" t="n"/>
      <c r="BP672" s="588" t="n"/>
      <c r="BQ672" s="588" t="n"/>
      <c r="BR672" s="588" t="n"/>
      <c r="BS672" s="588" t="n"/>
      <c r="BT672" s="588" t="n"/>
      <c r="BU672" s="588" t="n"/>
      <c r="BV672" s="588" t="n"/>
      <c r="BW672" s="588" t="n"/>
      <c r="BX672" s="588" t="n"/>
      <c r="BY672" s="588" t="n"/>
      <c r="BZ672" s="588" t="n"/>
      <c r="CA672" s="588" t="n"/>
      <c r="CB672" s="588" t="n"/>
      <c r="CC672" s="588" t="n"/>
      <c r="CD672" s="588" t="n"/>
      <c r="CE672" s="588" t="n"/>
      <c r="CF672" s="588" t="n"/>
      <c r="CG672" s="588" t="n"/>
      <c r="CH672" s="588" t="n"/>
      <c r="CI672" s="588" t="n"/>
      <c r="CJ672" s="588" t="n"/>
      <c r="CK672" s="588" t="n"/>
      <c r="CL672" s="588" t="n"/>
      <c r="CM672" s="588" t="n"/>
      <c r="CN672" s="588" t="n"/>
      <c r="CO672" s="588" t="n"/>
      <c r="CP672" s="588" t="n"/>
      <c r="CQ672" s="588" t="n"/>
      <c r="CR672" s="588" t="n"/>
      <c r="CS672" s="588" t="n"/>
      <c r="CT672" s="588" t="n"/>
      <c r="CU672" s="588" t="n"/>
      <c r="CV672" s="588" t="n"/>
      <c r="CW672" s="588" t="n"/>
      <c r="CX672" s="588" t="n"/>
      <c r="CY672" s="588" t="n"/>
      <c r="CZ672" s="588" t="n"/>
      <c r="DA672" s="588" t="n"/>
      <c r="DB672" s="588" t="n"/>
      <c r="DC672" s="588" t="n"/>
      <c r="DD672" s="588" t="n"/>
      <c r="DE672" s="588" t="n"/>
      <c r="DF672" s="588" t="n"/>
      <c r="DG672" s="588" t="n"/>
      <c r="DH672" s="588" t="n"/>
      <c r="DI672" s="588" t="n"/>
      <c r="DJ672" s="588" t="n"/>
      <c r="DK672" s="588" t="n"/>
      <c r="DL672" s="588" t="n"/>
      <c r="DM672" s="588" t="n"/>
      <c r="DN672" s="588" t="n"/>
      <c r="DO672" s="588" t="n"/>
      <c r="DP672" s="588" t="n"/>
      <c r="DQ672" s="588" t="n"/>
      <c r="DR672" s="588" t="n"/>
      <c r="DS672" s="588" t="n"/>
      <c r="DT672" s="588" t="n"/>
      <c r="DU672" s="588" t="n"/>
    </row>
    <row r="673">
      <c r="A673" s="737" t="n"/>
      <c r="B673" s="737" t="n"/>
      <c r="C673" s="737" t="n"/>
      <c r="D673" s="737" t="n"/>
      <c r="E673" s="737" t="n"/>
      <c r="F673" s="737" t="n"/>
      <c r="G673" s="737" t="n"/>
      <c r="H673" s="737" t="n"/>
      <c r="I673" s="737" t="n"/>
      <c r="J673" s="737" t="n"/>
      <c r="K673" s="737" t="n"/>
      <c r="L673" s="737" t="n"/>
      <c r="M673" s="737" t="n"/>
      <c r="N673" s="737" t="n"/>
      <c r="O673" s="737" t="n"/>
      <c r="P673" s="737" t="n"/>
      <c r="Q673" s="737" t="n"/>
      <c r="R673" s="737" t="n"/>
      <c r="S673" s="737" t="n"/>
      <c r="T673" s="737" t="n"/>
      <c r="U673" s="737" t="n"/>
      <c r="V673" s="737" t="n"/>
      <c r="W673" s="737" t="n"/>
      <c r="X673" s="737" t="n"/>
      <c r="Y673" s="737" t="n"/>
      <c r="Z673" s="737" t="n"/>
      <c r="AA673" s="737" t="n"/>
      <c r="AB673" s="737" t="n"/>
      <c r="AC673" s="737" t="n"/>
      <c r="AD673" s="737" t="n"/>
      <c r="AE673" s="737" t="n"/>
      <c r="AF673" s="737" t="n"/>
      <c r="AG673" s="737" t="n"/>
      <c r="AH673" s="737" t="n"/>
      <c r="AI673" s="737" t="n"/>
      <c r="AJ673" s="737" t="n"/>
      <c r="AK673" s="588" t="n"/>
      <c r="AL673" s="588" t="n"/>
      <c r="AM673" s="588" t="n"/>
      <c r="AN673" s="588" t="n"/>
      <c r="AO673" s="588" t="n"/>
      <c r="AP673" s="588" t="n"/>
      <c r="AQ673" s="588" t="n"/>
      <c r="AR673" s="588" t="n"/>
      <c r="AS673" s="588" t="n"/>
      <c r="AT673" s="588" t="n"/>
      <c r="AU673" s="588" t="n"/>
      <c r="AV673" s="588" t="n"/>
      <c r="AW673" s="588" t="n"/>
      <c r="AX673" s="588" t="n"/>
      <c r="AY673" s="588" t="n"/>
      <c r="AZ673" s="588" t="n"/>
      <c r="BA673" s="588" t="n"/>
      <c r="BB673" s="588" t="n"/>
      <c r="BC673" s="588" t="n"/>
      <c r="BD673" s="588" t="n"/>
      <c r="BE673" s="588" t="n"/>
      <c r="BF673" s="588" t="n"/>
      <c r="BG673" s="588" t="n"/>
      <c r="BH673" s="588" t="n"/>
      <c r="BI673" s="588" t="n"/>
      <c r="BJ673" s="588" t="n"/>
      <c r="BK673" s="588" t="n"/>
      <c r="BL673" s="588" t="n"/>
      <c r="BM673" s="588" t="n"/>
      <c r="BN673" s="588" t="n"/>
      <c r="BO673" s="588" t="n"/>
      <c r="BP673" s="588" t="n"/>
      <c r="BQ673" s="588" t="n"/>
      <c r="BR673" s="588" t="n"/>
      <c r="BS673" s="588" t="n"/>
      <c r="BT673" s="588" t="n"/>
      <c r="BU673" s="588" t="n"/>
      <c r="BV673" s="588" t="n"/>
      <c r="BW673" s="588" t="n"/>
      <c r="BX673" s="588" t="n"/>
      <c r="BY673" s="588" t="n"/>
      <c r="BZ673" s="588" t="n"/>
      <c r="CA673" s="588" t="n"/>
      <c r="CB673" s="588" t="n"/>
      <c r="CC673" s="588" t="n"/>
      <c r="CD673" s="588" t="n"/>
      <c r="CE673" s="588" t="n"/>
      <c r="CF673" s="588" t="n"/>
      <c r="CG673" s="588" t="n"/>
      <c r="CH673" s="588" t="n"/>
      <c r="CI673" s="588" t="n"/>
      <c r="CJ673" s="588" t="n"/>
      <c r="CK673" s="588" t="n"/>
      <c r="CL673" s="588" t="n"/>
      <c r="CM673" s="588" t="n"/>
      <c r="CN673" s="588" t="n"/>
      <c r="CO673" s="588" t="n"/>
      <c r="CP673" s="588" t="n"/>
      <c r="CQ673" s="588" t="n"/>
      <c r="CR673" s="588" t="n"/>
      <c r="CS673" s="588" t="n"/>
      <c r="CT673" s="588" t="n"/>
      <c r="CU673" s="588" t="n"/>
      <c r="CV673" s="588" t="n"/>
      <c r="CW673" s="588" t="n"/>
      <c r="CX673" s="588" t="n"/>
      <c r="CY673" s="588" t="n"/>
      <c r="CZ673" s="588" t="n"/>
      <c r="DA673" s="588" t="n"/>
      <c r="DB673" s="588" t="n"/>
      <c r="DC673" s="588" t="n"/>
      <c r="DD673" s="588" t="n"/>
      <c r="DE673" s="588" t="n"/>
      <c r="DF673" s="588" t="n"/>
      <c r="DG673" s="588" t="n"/>
      <c r="DH673" s="588" t="n"/>
      <c r="DI673" s="588" t="n"/>
      <c r="DJ673" s="588" t="n"/>
      <c r="DK673" s="588" t="n"/>
      <c r="DL673" s="588" t="n"/>
      <c r="DM673" s="588" t="n"/>
      <c r="DN673" s="588" t="n"/>
      <c r="DO673" s="588" t="n"/>
      <c r="DP673" s="588" t="n"/>
      <c r="DQ673" s="588" t="n"/>
      <c r="DR673" s="588" t="n"/>
      <c r="DS673" s="588" t="n"/>
      <c r="DT673" s="588" t="n"/>
      <c r="DU673" s="588" t="n"/>
    </row>
    <row r="674">
      <c r="A674" s="737" t="n"/>
      <c r="B674" s="737" t="n"/>
      <c r="C674" s="737" t="n"/>
      <c r="D674" s="737" t="n"/>
      <c r="E674" s="737" t="n"/>
      <c r="F674" s="737" t="n"/>
      <c r="G674" s="737" t="n"/>
      <c r="H674" s="737" t="n"/>
      <c r="I674" s="737" t="n"/>
      <c r="J674" s="737" t="n"/>
      <c r="K674" s="737" t="n"/>
      <c r="L674" s="737" t="n"/>
      <c r="M674" s="737" t="n"/>
      <c r="N674" s="737" t="n"/>
      <c r="O674" s="737" t="n"/>
      <c r="P674" s="737" t="n"/>
      <c r="Q674" s="737" t="n"/>
      <c r="R674" s="737" t="n"/>
      <c r="S674" s="737" t="n"/>
      <c r="T674" s="737" t="n"/>
      <c r="U674" s="737" t="n"/>
      <c r="V674" s="737" t="n"/>
      <c r="W674" s="737" t="n"/>
      <c r="X674" s="737" t="n"/>
      <c r="Y674" s="737" t="n"/>
      <c r="Z674" s="737" t="n"/>
      <c r="AA674" s="737" t="n"/>
      <c r="AB674" s="737" t="n"/>
      <c r="AC674" s="737" t="n"/>
      <c r="AD674" s="737" t="n"/>
      <c r="AE674" s="737" t="n"/>
      <c r="AF674" s="737" t="n"/>
      <c r="AG674" s="737" t="n"/>
      <c r="AH674" s="737" t="n"/>
      <c r="AI674" s="737" t="n"/>
      <c r="AJ674" s="737" t="n"/>
      <c r="AK674" s="588" t="n"/>
      <c r="AL674" s="588" t="n"/>
      <c r="AM674" s="588" t="n"/>
      <c r="AN674" s="588" t="n"/>
      <c r="AO674" s="588" t="n"/>
      <c r="AP674" s="588" t="n"/>
      <c r="AQ674" s="588" t="n"/>
      <c r="AR674" s="588" t="n"/>
      <c r="AS674" s="588" t="n"/>
      <c r="AT674" s="588" t="n"/>
      <c r="AU674" s="588" t="n"/>
      <c r="AV674" s="588" t="n"/>
      <c r="AW674" s="588" t="n"/>
      <c r="AX674" s="588" t="n"/>
      <c r="AY674" s="588" t="n"/>
      <c r="AZ674" s="588" t="n"/>
      <c r="BA674" s="588" t="n"/>
      <c r="BB674" s="588" t="n"/>
      <c r="BC674" s="588" t="n"/>
      <c r="BD674" s="588" t="n"/>
      <c r="BE674" s="588" t="n"/>
      <c r="BF674" s="588" t="n"/>
      <c r="BG674" s="588" t="n"/>
      <c r="BH674" s="588" t="n"/>
      <c r="BI674" s="588" t="n"/>
      <c r="BJ674" s="588" t="n"/>
      <c r="BK674" s="588" t="n"/>
      <c r="BL674" s="588" t="n"/>
      <c r="BM674" s="588" t="n"/>
      <c r="BN674" s="588" t="n"/>
      <c r="BO674" s="588" t="n"/>
      <c r="BP674" s="588" t="n"/>
      <c r="BQ674" s="588" t="n"/>
      <c r="BR674" s="588" t="n"/>
      <c r="BS674" s="588" t="n"/>
      <c r="BT674" s="588" t="n"/>
      <c r="BU674" s="588" t="n"/>
      <c r="BV674" s="588" t="n"/>
      <c r="BW674" s="588" t="n"/>
      <c r="BX674" s="588" t="n"/>
      <c r="BY674" s="588" t="n"/>
      <c r="BZ674" s="588" t="n"/>
      <c r="CA674" s="588" t="n"/>
      <c r="CB674" s="588" t="n"/>
      <c r="CC674" s="588" t="n"/>
      <c r="CD674" s="588" t="n"/>
      <c r="CE674" s="588" t="n"/>
      <c r="CF674" s="588" t="n"/>
      <c r="CG674" s="588" t="n"/>
      <c r="CH674" s="588" t="n"/>
      <c r="CI674" s="588" t="n"/>
      <c r="CJ674" s="588" t="n"/>
      <c r="CK674" s="588" t="n"/>
      <c r="CL674" s="588" t="n"/>
      <c r="CM674" s="588" t="n"/>
      <c r="CN674" s="588" t="n"/>
      <c r="CO674" s="588" t="n"/>
      <c r="CP674" s="588" t="n"/>
      <c r="CQ674" s="588" t="n"/>
      <c r="CR674" s="588" t="n"/>
      <c r="CS674" s="588" t="n"/>
      <c r="CT674" s="588" t="n"/>
      <c r="CU674" s="588" t="n"/>
      <c r="CV674" s="588" t="n"/>
      <c r="CW674" s="588" t="n"/>
      <c r="CX674" s="588" t="n"/>
      <c r="CY674" s="588" t="n"/>
      <c r="CZ674" s="588" t="n"/>
      <c r="DA674" s="588" t="n"/>
      <c r="DB674" s="588" t="n"/>
      <c r="DC674" s="588" t="n"/>
      <c r="DD674" s="588" t="n"/>
      <c r="DE674" s="588" t="n"/>
      <c r="DF674" s="588" t="n"/>
      <c r="DG674" s="588" t="n"/>
      <c r="DH674" s="588" t="n"/>
      <c r="DI674" s="588" t="n"/>
      <c r="DJ674" s="588" t="n"/>
      <c r="DK674" s="588" t="n"/>
      <c r="DL674" s="588" t="n"/>
      <c r="DM674" s="588" t="n"/>
      <c r="DN674" s="588" t="n"/>
      <c r="DO674" s="588" t="n"/>
      <c r="DP674" s="588" t="n"/>
      <c r="DQ674" s="588" t="n"/>
      <c r="DR674" s="588" t="n"/>
      <c r="DS674" s="588" t="n"/>
      <c r="DT674" s="588" t="n"/>
      <c r="DU674" s="588" t="n"/>
    </row>
    <row r="675">
      <c r="A675" s="737" t="n"/>
      <c r="B675" s="737" t="n"/>
      <c r="C675" s="737" t="n"/>
      <c r="D675" s="737" t="n"/>
      <c r="E675" s="737" t="n"/>
      <c r="F675" s="737" t="n"/>
      <c r="G675" s="737" t="n"/>
      <c r="H675" s="737" t="n"/>
      <c r="I675" s="737" t="n"/>
      <c r="J675" s="737" t="n"/>
      <c r="K675" s="737" t="n"/>
      <c r="L675" s="737" t="n"/>
      <c r="M675" s="737" t="n"/>
      <c r="N675" s="737" t="n"/>
      <c r="O675" s="737" t="n"/>
      <c r="P675" s="737" t="n"/>
      <c r="Q675" s="737" t="n"/>
      <c r="R675" s="737" t="n"/>
      <c r="S675" s="737" t="n"/>
      <c r="T675" s="737" t="n"/>
      <c r="U675" s="737" t="n"/>
      <c r="V675" s="737" t="n"/>
      <c r="W675" s="737" t="n"/>
      <c r="X675" s="737" t="n"/>
      <c r="Y675" s="737" t="n"/>
      <c r="Z675" s="737" t="n"/>
      <c r="AA675" s="737" t="n"/>
      <c r="AB675" s="737" t="n"/>
      <c r="AC675" s="737" t="n"/>
      <c r="AD675" s="737" t="n"/>
      <c r="AE675" s="737" t="n"/>
      <c r="AF675" s="737" t="n"/>
      <c r="AG675" s="737" t="n"/>
      <c r="AH675" s="737" t="n"/>
      <c r="AI675" s="737" t="n"/>
      <c r="AJ675" s="737" t="n"/>
      <c r="AK675" s="588" t="n"/>
      <c r="AL675" s="588" t="n"/>
      <c r="AM675" s="588" t="n"/>
      <c r="AN675" s="588" t="n"/>
      <c r="AO675" s="588" t="n"/>
      <c r="AP675" s="588" t="n"/>
      <c r="AQ675" s="588" t="n"/>
      <c r="AR675" s="588" t="n"/>
      <c r="AS675" s="588" t="n"/>
      <c r="AT675" s="588" t="n"/>
      <c r="AU675" s="588" t="n"/>
      <c r="AV675" s="588" t="n"/>
      <c r="AW675" s="588" t="n"/>
      <c r="AX675" s="588" t="n"/>
      <c r="AY675" s="588" t="n"/>
      <c r="AZ675" s="588" t="n"/>
      <c r="BA675" s="588" t="n"/>
      <c r="BB675" s="588" t="n"/>
      <c r="BC675" s="588" t="n"/>
      <c r="BD675" s="588" t="n"/>
      <c r="BE675" s="588" t="n"/>
      <c r="BF675" s="588" t="n"/>
      <c r="BG675" s="588" t="n"/>
      <c r="BH675" s="588" t="n"/>
      <c r="BI675" s="588" t="n"/>
      <c r="BJ675" s="588" t="n"/>
      <c r="BK675" s="588" t="n"/>
      <c r="BL675" s="588" t="n"/>
      <c r="BM675" s="588" t="n"/>
      <c r="BN675" s="588" t="n"/>
      <c r="BO675" s="588" t="n"/>
      <c r="BP675" s="588" t="n"/>
      <c r="BQ675" s="588" t="n"/>
      <c r="BR675" s="588" t="n"/>
      <c r="BS675" s="588" t="n"/>
      <c r="BT675" s="588" t="n"/>
      <c r="BU675" s="588" t="n"/>
      <c r="BV675" s="588" t="n"/>
      <c r="BW675" s="588" t="n"/>
      <c r="BX675" s="588" t="n"/>
      <c r="BY675" s="588" t="n"/>
      <c r="BZ675" s="588" t="n"/>
      <c r="CA675" s="588" t="n"/>
      <c r="CB675" s="588" t="n"/>
      <c r="CC675" s="588" t="n"/>
      <c r="CD675" s="588" t="n"/>
      <c r="CE675" s="588" t="n"/>
      <c r="CF675" s="588" t="n"/>
      <c r="CG675" s="588" t="n"/>
      <c r="CH675" s="588" t="n"/>
      <c r="CI675" s="588" t="n"/>
      <c r="CJ675" s="588" t="n"/>
      <c r="CK675" s="588" t="n"/>
      <c r="CL675" s="588" t="n"/>
      <c r="CM675" s="588" t="n"/>
      <c r="CN675" s="588" t="n"/>
      <c r="CO675" s="588" t="n"/>
      <c r="CP675" s="588" t="n"/>
      <c r="CQ675" s="588" t="n"/>
      <c r="CR675" s="588" t="n"/>
      <c r="CS675" s="588" t="n"/>
      <c r="CT675" s="588" t="n"/>
      <c r="CU675" s="588" t="n"/>
      <c r="CV675" s="588" t="n"/>
      <c r="CW675" s="588" t="n"/>
      <c r="CX675" s="588" t="n"/>
      <c r="CY675" s="588" t="n"/>
      <c r="CZ675" s="588" t="n"/>
      <c r="DA675" s="588" t="n"/>
      <c r="DB675" s="588" t="n"/>
      <c r="DC675" s="588" t="n"/>
      <c r="DD675" s="588" t="n"/>
      <c r="DE675" s="588" t="n"/>
      <c r="DF675" s="588" t="n"/>
      <c r="DG675" s="588" t="n"/>
      <c r="DH675" s="588" t="n"/>
      <c r="DI675" s="588" t="n"/>
      <c r="DJ675" s="588" t="n"/>
      <c r="DK675" s="588" t="n"/>
      <c r="DL675" s="588" t="n"/>
      <c r="DM675" s="588" t="n"/>
      <c r="DN675" s="588" t="n"/>
      <c r="DO675" s="588" t="n"/>
      <c r="DP675" s="588" t="n"/>
      <c r="DQ675" s="588" t="n"/>
      <c r="DR675" s="588" t="n"/>
      <c r="DS675" s="588" t="n"/>
      <c r="DT675" s="588" t="n"/>
      <c r="DU675" s="588" t="n"/>
    </row>
    <row r="676">
      <c r="A676" s="737" t="n"/>
      <c r="B676" s="737" t="n"/>
      <c r="C676" s="737" t="n"/>
      <c r="D676" s="737" t="n"/>
      <c r="E676" s="737" t="n"/>
      <c r="F676" s="737" t="n"/>
      <c r="G676" s="737" t="n"/>
      <c r="H676" s="737" t="n"/>
      <c r="I676" s="737" t="n"/>
      <c r="J676" s="737" t="n"/>
      <c r="K676" s="737" t="n"/>
      <c r="L676" s="737" t="n"/>
      <c r="M676" s="737" t="n"/>
      <c r="N676" s="737" t="n"/>
      <c r="O676" s="737" t="n"/>
      <c r="P676" s="737" t="n"/>
      <c r="Q676" s="737" t="n"/>
      <c r="R676" s="737" t="n"/>
      <c r="S676" s="737" t="n"/>
      <c r="T676" s="737" t="n"/>
      <c r="U676" s="737" t="n"/>
      <c r="V676" s="737" t="n"/>
      <c r="W676" s="737" t="n"/>
      <c r="X676" s="737" t="n"/>
      <c r="Y676" s="737" t="n"/>
      <c r="Z676" s="737" t="n"/>
      <c r="AA676" s="737" t="n"/>
      <c r="AB676" s="737" t="n"/>
      <c r="AC676" s="737" t="n"/>
      <c r="AD676" s="737" t="n"/>
      <c r="AE676" s="737" t="n"/>
      <c r="AF676" s="737" t="n"/>
      <c r="AG676" s="737" t="n"/>
      <c r="AH676" s="737" t="n"/>
      <c r="AI676" s="737" t="n"/>
      <c r="AJ676" s="737" t="n"/>
      <c r="AK676" s="588" t="n"/>
      <c r="AL676" s="588" t="n"/>
      <c r="AM676" s="588" t="n"/>
      <c r="AN676" s="588" t="n"/>
      <c r="AO676" s="588" t="n"/>
      <c r="AP676" s="588" t="n"/>
      <c r="AQ676" s="588" t="n"/>
      <c r="AR676" s="588" t="n"/>
      <c r="AS676" s="588" t="n"/>
      <c r="AT676" s="588" t="n"/>
      <c r="AU676" s="588" t="n"/>
      <c r="AV676" s="588" t="n"/>
      <c r="AW676" s="588" t="n"/>
      <c r="AX676" s="588" t="n"/>
      <c r="AY676" s="588" t="n"/>
      <c r="AZ676" s="588" t="n"/>
      <c r="BA676" s="588" t="n"/>
      <c r="BB676" s="588" t="n"/>
      <c r="BC676" s="588" t="n"/>
      <c r="BD676" s="588" t="n"/>
      <c r="BE676" s="588" t="n"/>
      <c r="BF676" s="588" t="n"/>
      <c r="BG676" s="588" t="n"/>
      <c r="BH676" s="588" t="n"/>
      <c r="BI676" s="588" t="n"/>
      <c r="BJ676" s="588" t="n"/>
      <c r="BK676" s="588" t="n"/>
      <c r="BL676" s="588" t="n"/>
      <c r="BM676" s="588" t="n"/>
      <c r="BN676" s="588" t="n"/>
      <c r="BO676" s="588" t="n"/>
      <c r="BP676" s="588" t="n"/>
      <c r="BQ676" s="588" t="n"/>
      <c r="BR676" s="588" t="n"/>
      <c r="BS676" s="588" t="n"/>
      <c r="BT676" s="588" t="n"/>
      <c r="BU676" s="588" t="n"/>
      <c r="BV676" s="588" t="n"/>
      <c r="BW676" s="588" t="n"/>
      <c r="BX676" s="588" t="n"/>
      <c r="BY676" s="588" t="n"/>
      <c r="BZ676" s="588" t="n"/>
      <c r="CA676" s="588" t="n"/>
      <c r="CB676" s="588" t="n"/>
      <c r="CC676" s="588" t="n"/>
      <c r="CD676" s="588" t="n"/>
      <c r="CE676" s="588" t="n"/>
      <c r="CF676" s="588" t="n"/>
      <c r="CG676" s="588" t="n"/>
      <c r="CH676" s="588" t="n"/>
      <c r="CI676" s="588" t="n"/>
      <c r="CJ676" s="588" t="n"/>
      <c r="CK676" s="588" t="n"/>
      <c r="CL676" s="588" t="n"/>
      <c r="CM676" s="588" t="n"/>
      <c r="CN676" s="588" t="n"/>
      <c r="CO676" s="588" t="n"/>
      <c r="CP676" s="588" t="n"/>
      <c r="CQ676" s="588" t="n"/>
      <c r="CR676" s="588" t="n"/>
      <c r="CS676" s="588" t="n"/>
      <c r="CT676" s="588" t="n"/>
      <c r="CU676" s="588" t="n"/>
      <c r="CV676" s="588" t="n"/>
      <c r="CW676" s="588" t="n"/>
      <c r="CX676" s="588" t="n"/>
      <c r="CY676" s="588" t="n"/>
      <c r="CZ676" s="588" t="n"/>
      <c r="DA676" s="588" t="n"/>
      <c r="DB676" s="588" t="n"/>
      <c r="DC676" s="588" t="n"/>
      <c r="DD676" s="588" t="n"/>
      <c r="DE676" s="588" t="n"/>
      <c r="DF676" s="588" t="n"/>
      <c r="DG676" s="588" t="n"/>
      <c r="DH676" s="588" t="n"/>
      <c r="DI676" s="588" t="n"/>
      <c r="DJ676" s="588" t="n"/>
      <c r="DK676" s="588" t="n"/>
      <c r="DL676" s="588" t="n"/>
      <c r="DM676" s="588" t="n"/>
      <c r="DN676" s="588" t="n"/>
      <c r="DO676" s="588" t="n"/>
      <c r="DP676" s="588" t="n"/>
      <c r="DQ676" s="588" t="n"/>
      <c r="DR676" s="588" t="n"/>
      <c r="DS676" s="588" t="n"/>
      <c r="DT676" s="588" t="n"/>
      <c r="DU676" s="588" t="n"/>
    </row>
    <row r="677">
      <c r="A677" s="737" t="n"/>
      <c r="B677" s="737" t="n"/>
      <c r="C677" s="737" t="n"/>
      <c r="D677" s="737" t="n"/>
      <c r="E677" s="737" t="n"/>
      <c r="F677" s="737" t="n"/>
      <c r="G677" s="737" t="n"/>
      <c r="H677" s="737" t="n"/>
      <c r="I677" s="737" t="n"/>
      <c r="J677" s="737" t="n"/>
      <c r="K677" s="737" t="n"/>
      <c r="L677" s="737" t="n"/>
      <c r="M677" s="737" t="n"/>
      <c r="N677" s="737" t="n"/>
      <c r="O677" s="737" t="n"/>
      <c r="P677" s="737" t="n"/>
      <c r="Q677" s="737" t="n"/>
      <c r="R677" s="737" t="n"/>
      <c r="S677" s="737" t="n"/>
      <c r="T677" s="737" t="n"/>
      <c r="U677" s="737" t="n"/>
      <c r="V677" s="737" t="n"/>
      <c r="W677" s="737" t="n"/>
      <c r="X677" s="737" t="n"/>
      <c r="Y677" s="737" t="n"/>
      <c r="Z677" s="737" t="n"/>
      <c r="AA677" s="737" t="n"/>
      <c r="AB677" s="737" t="n"/>
      <c r="AC677" s="737" t="n"/>
      <c r="AD677" s="737" t="n"/>
      <c r="AE677" s="737" t="n"/>
      <c r="AF677" s="737" t="n"/>
      <c r="AG677" s="737" t="n"/>
      <c r="AH677" s="737" t="n"/>
      <c r="AI677" s="737" t="n"/>
      <c r="AJ677" s="737" t="n"/>
      <c r="AK677" s="588" t="n"/>
      <c r="AL677" s="588" t="n"/>
      <c r="AM677" s="588" t="n"/>
      <c r="AN677" s="588" t="n"/>
      <c r="AO677" s="588" t="n"/>
      <c r="AP677" s="588" t="n"/>
      <c r="AQ677" s="588" t="n"/>
      <c r="AR677" s="588" t="n"/>
      <c r="AS677" s="588" t="n"/>
      <c r="AT677" s="588" t="n"/>
      <c r="AU677" s="588" t="n"/>
      <c r="AV677" s="588" t="n"/>
      <c r="AW677" s="588" t="n"/>
      <c r="AX677" s="588" t="n"/>
      <c r="AY677" s="588" t="n"/>
      <c r="AZ677" s="588" t="n"/>
      <c r="BA677" s="588" t="n"/>
      <c r="BB677" s="588" t="n"/>
      <c r="BC677" s="588" t="n"/>
      <c r="BD677" s="588" t="n"/>
      <c r="BE677" s="588" t="n"/>
      <c r="BF677" s="588" t="n"/>
      <c r="BG677" s="588" t="n"/>
      <c r="BH677" s="588" t="n"/>
      <c r="BI677" s="588" t="n"/>
      <c r="BJ677" s="588" t="n"/>
      <c r="BK677" s="588" t="n"/>
      <c r="BL677" s="588" t="n"/>
      <c r="BM677" s="588" t="n"/>
      <c r="BN677" s="588" t="n"/>
      <c r="BO677" s="588" t="n"/>
      <c r="BP677" s="588" t="n"/>
      <c r="BQ677" s="588" t="n"/>
      <c r="BR677" s="588" t="n"/>
      <c r="BS677" s="588" t="n"/>
      <c r="BT677" s="588" t="n"/>
      <c r="BU677" s="588" t="n"/>
      <c r="BV677" s="588" t="n"/>
      <c r="BW677" s="588" t="n"/>
      <c r="BX677" s="588" t="n"/>
      <c r="BY677" s="588" t="n"/>
      <c r="BZ677" s="588" t="n"/>
      <c r="CA677" s="588" t="n"/>
      <c r="CB677" s="588" t="n"/>
      <c r="CC677" s="588" t="n"/>
      <c r="CD677" s="588" t="n"/>
      <c r="CE677" s="588" t="n"/>
      <c r="CF677" s="588" t="n"/>
      <c r="CG677" s="588" t="n"/>
      <c r="CH677" s="588" t="n"/>
      <c r="CI677" s="588" t="n"/>
      <c r="CJ677" s="588" t="n"/>
      <c r="CK677" s="588" t="n"/>
      <c r="CL677" s="588" t="n"/>
      <c r="CM677" s="588" t="n"/>
      <c r="CN677" s="588" t="n"/>
      <c r="CO677" s="588" t="n"/>
      <c r="CP677" s="588" t="n"/>
      <c r="CQ677" s="588" t="n"/>
      <c r="CR677" s="588" t="n"/>
      <c r="CS677" s="588" t="n"/>
      <c r="CT677" s="588" t="n"/>
      <c r="CU677" s="588" t="n"/>
      <c r="CV677" s="588" t="n"/>
      <c r="CW677" s="588" t="n"/>
      <c r="CX677" s="588" t="n"/>
      <c r="CY677" s="588" t="n"/>
      <c r="CZ677" s="588" t="n"/>
      <c r="DA677" s="588" t="n"/>
      <c r="DB677" s="588" t="n"/>
      <c r="DC677" s="588" t="n"/>
      <c r="DD677" s="588" t="n"/>
      <c r="DE677" s="588" t="n"/>
      <c r="DF677" s="588" t="n"/>
      <c r="DG677" s="588" t="n"/>
      <c r="DH677" s="588" t="n"/>
      <c r="DI677" s="588" t="n"/>
      <c r="DJ677" s="588" t="n"/>
      <c r="DK677" s="588" t="n"/>
      <c r="DL677" s="588" t="n"/>
      <c r="DM677" s="588" t="n"/>
      <c r="DN677" s="588" t="n"/>
      <c r="DO677" s="588" t="n"/>
      <c r="DP677" s="588" t="n"/>
      <c r="DQ677" s="588" t="n"/>
      <c r="DR677" s="588" t="n"/>
      <c r="DS677" s="588" t="n"/>
      <c r="DT677" s="588" t="n"/>
      <c r="DU677" s="588" t="n"/>
    </row>
    <row r="678">
      <c r="A678" s="737" t="n"/>
      <c r="B678" s="737" t="n"/>
      <c r="C678" s="737" t="n"/>
      <c r="D678" s="737" t="n"/>
      <c r="E678" s="737" t="n"/>
      <c r="F678" s="737" t="n"/>
      <c r="G678" s="737" t="n"/>
      <c r="H678" s="737" t="n"/>
      <c r="I678" s="737" t="n"/>
      <c r="J678" s="737" t="n"/>
      <c r="K678" s="737" t="n"/>
      <c r="L678" s="737" t="n"/>
      <c r="M678" s="737" t="n"/>
      <c r="N678" s="737" t="n"/>
      <c r="O678" s="737" t="n"/>
      <c r="P678" s="737" t="n"/>
      <c r="Q678" s="737" t="n"/>
      <c r="R678" s="737" t="n"/>
      <c r="S678" s="737" t="n"/>
      <c r="T678" s="737" t="n"/>
      <c r="U678" s="737" t="n"/>
      <c r="V678" s="737" t="n"/>
      <c r="W678" s="737" t="n"/>
      <c r="X678" s="737" t="n"/>
      <c r="Y678" s="737" t="n"/>
      <c r="Z678" s="737" t="n"/>
      <c r="AA678" s="737" t="n"/>
      <c r="AB678" s="737" t="n"/>
      <c r="AC678" s="737" t="n"/>
      <c r="AD678" s="737" t="n"/>
      <c r="AE678" s="737" t="n"/>
      <c r="AF678" s="737" t="n"/>
      <c r="AG678" s="737" t="n"/>
      <c r="AH678" s="737" t="n"/>
      <c r="AI678" s="737" t="n"/>
      <c r="AJ678" s="737" t="n"/>
      <c r="AK678" s="588" t="n"/>
      <c r="AL678" s="588" t="n"/>
      <c r="AM678" s="588" t="n"/>
      <c r="AN678" s="588" t="n"/>
      <c r="AO678" s="588" t="n"/>
      <c r="AP678" s="588" t="n"/>
      <c r="AQ678" s="588" t="n"/>
      <c r="AR678" s="588" t="n"/>
      <c r="AS678" s="588" t="n"/>
      <c r="AT678" s="588" t="n"/>
      <c r="AU678" s="588" t="n"/>
      <c r="AV678" s="588" t="n"/>
      <c r="AW678" s="588" t="n"/>
      <c r="AX678" s="588" t="n"/>
      <c r="AY678" s="588" t="n"/>
      <c r="AZ678" s="588" t="n"/>
      <c r="BA678" s="588" t="n"/>
      <c r="BB678" s="588" t="n"/>
      <c r="BC678" s="588" t="n"/>
      <c r="BD678" s="588" t="n"/>
      <c r="BE678" s="588" t="n"/>
      <c r="BF678" s="588" t="n"/>
      <c r="BG678" s="588" t="n"/>
      <c r="BH678" s="588" t="n"/>
      <c r="BI678" s="588" t="n"/>
      <c r="BJ678" s="588" t="n"/>
      <c r="BK678" s="588" t="n"/>
      <c r="BL678" s="588" t="n"/>
      <c r="BM678" s="588" t="n"/>
      <c r="BN678" s="588" t="n"/>
      <c r="BO678" s="588" t="n"/>
      <c r="BP678" s="588" t="n"/>
      <c r="BQ678" s="588" t="n"/>
      <c r="BR678" s="588" t="n"/>
      <c r="BS678" s="588" t="n"/>
      <c r="BT678" s="588" t="n"/>
      <c r="BU678" s="588" t="n"/>
      <c r="BV678" s="588" t="n"/>
      <c r="BW678" s="588" t="n"/>
      <c r="BX678" s="588" t="n"/>
      <c r="BY678" s="588" t="n"/>
      <c r="BZ678" s="588" t="n"/>
      <c r="CA678" s="588" t="n"/>
      <c r="CB678" s="588" t="n"/>
      <c r="CC678" s="588" t="n"/>
      <c r="CD678" s="588" t="n"/>
      <c r="CE678" s="588" t="n"/>
      <c r="CF678" s="588" t="n"/>
      <c r="CG678" s="588" t="n"/>
      <c r="CH678" s="588" t="n"/>
      <c r="CI678" s="588" t="n"/>
      <c r="CJ678" s="588" t="n"/>
      <c r="CK678" s="588" t="n"/>
      <c r="CL678" s="588" t="n"/>
      <c r="CM678" s="588" t="n"/>
      <c r="CN678" s="588" t="n"/>
      <c r="CO678" s="588" t="n"/>
      <c r="CP678" s="588" t="n"/>
      <c r="CQ678" s="588" t="n"/>
      <c r="CR678" s="588" t="n"/>
      <c r="CS678" s="588" t="n"/>
      <c r="CT678" s="588" t="n"/>
      <c r="CU678" s="588" t="n"/>
      <c r="CV678" s="588" t="n"/>
      <c r="CW678" s="588" t="n"/>
      <c r="CX678" s="588" t="n"/>
      <c r="CY678" s="588" t="n"/>
      <c r="CZ678" s="588" t="n"/>
      <c r="DA678" s="588" t="n"/>
      <c r="DB678" s="588" t="n"/>
      <c r="DC678" s="588" t="n"/>
      <c r="DD678" s="588" t="n"/>
      <c r="DE678" s="588" t="n"/>
      <c r="DF678" s="588" t="n"/>
      <c r="DG678" s="588" t="n"/>
      <c r="DH678" s="588" t="n"/>
      <c r="DI678" s="588" t="n"/>
      <c r="DJ678" s="588" t="n"/>
      <c r="DK678" s="588" t="n"/>
      <c r="DL678" s="588" t="n"/>
      <c r="DM678" s="588" t="n"/>
      <c r="DN678" s="588" t="n"/>
      <c r="DO678" s="588" t="n"/>
      <c r="DP678" s="588" t="n"/>
      <c r="DQ678" s="588" t="n"/>
      <c r="DR678" s="588" t="n"/>
      <c r="DS678" s="588" t="n"/>
      <c r="DT678" s="588" t="n"/>
      <c r="DU678" s="588" t="n"/>
    </row>
    <row r="679">
      <c r="A679" s="737" t="n"/>
      <c r="B679" s="737" t="n"/>
      <c r="C679" s="737" t="n"/>
      <c r="D679" s="737" t="n"/>
      <c r="E679" s="737" t="n"/>
      <c r="F679" s="737" t="n"/>
      <c r="G679" s="737" t="n"/>
      <c r="H679" s="737" t="n"/>
      <c r="I679" s="737" t="n"/>
      <c r="J679" s="737" t="n"/>
      <c r="K679" s="737" t="n"/>
      <c r="L679" s="737" t="n"/>
      <c r="M679" s="737" t="n"/>
      <c r="N679" s="737" t="n"/>
      <c r="O679" s="737" t="n"/>
      <c r="P679" s="737" t="n"/>
      <c r="Q679" s="737" t="n"/>
      <c r="R679" s="737" t="n"/>
      <c r="S679" s="737" t="n"/>
      <c r="T679" s="737" t="n"/>
      <c r="U679" s="737" t="n"/>
      <c r="V679" s="737" t="n"/>
      <c r="W679" s="737" t="n"/>
      <c r="X679" s="737" t="n"/>
      <c r="Y679" s="737" t="n"/>
      <c r="Z679" s="737" t="n"/>
      <c r="AA679" s="737" t="n"/>
      <c r="AB679" s="737" t="n"/>
      <c r="AC679" s="737" t="n"/>
      <c r="AD679" s="737" t="n"/>
      <c r="AE679" s="737" t="n"/>
      <c r="AF679" s="737" t="n"/>
      <c r="AG679" s="737" t="n"/>
      <c r="AH679" s="737" t="n"/>
      <c r="AI679" s="737" t="n"/>
      <c r="AJ679" s="737" t="n"/>
      <c r="AK679" s="588" t="n"/>
      <c r="AL679" s="588" t="n"/>
      <c r="AM679" s="588" t="n"/>
      <c r="AN679" s="588" t="n"/>
      <c r="AO679" s="588" t="n"/>
      <c r="AP679" s="588" t="n"/>
      <c r="AQ679" s="588" t="n"/>
      <c r="AR679" s="588" t="n"/>
      <c r="AS679" s="588" t="n"/>
      <c r="AT679" s="588" t="n"/>
      <c r="AU679" s="588" t="n"/>
      <c r="AV679" s="588" t="n"/>
      <c r="AW679" s="588" t="n"/>
      <c r="AX679" s="588" t="n"/>
      <c r="AY679" s="588" t="n"/>
      <c r="AZ679" s="588" t="n"/>
      <c r="BA679" s="588" t="n"/>
      <c r="BB679" s="588" t="n"/>
      <c r="BC679" s="588" t="n"/>
      <c r="BD679" s="588" t="n"/>
      <c r="BE679" s="588" t="n"/>
      <c r="BF679" s="588" t="n"/>
      <c r="BG679" s="588" t="n"/>
      <c r="BH679" s="588" t="n"/>
      <c r="BI679" s="588" t="n"/>
      <c r="BJ679" s="588" t="n"/>
      <c r="BK679" s="588" t="n"/>
      <c r="BL679" s="588" t="n"/>
      <c r="BM679" s="588" t="n"/>
      <c r="BN679" s="588" t="n"/>
      <c r="BO679" s="588" t="n"/>
      <c r="BP679" s="588" t="n"/>
      <c r="BQ679" s="588" t="n"/>
      <c r="BR679" s="588" t="n"/>
      <c r="BS679" s="588" t="n"/>
      <c r="BT679" s="588" t="n"/>
      <c r="BU679" s="588" t="n"/>
      <c r="BV679" s="588" t="n"/>
      <c r="BW679" s="588" t="n"/>
      <c r="BX679" s="588" t="n"/>
      <c r="BY679" s="588" t="n"/>
      <c r="BZ679" s="588" t="n"/>
      <c r="CA679" s="588" t="n"/>
      <c r="CB679" s="588" t="n"/>
      <c r="CC679" s="588" t="n"/>
      <c r="CD679" s="588" t="n"/>
      <c r="CE679" s="588" t="n"/>
      <c r="CF679" s="588" t="n"/>
      <c r="CG679" s="588" t="n"/>
      <c r="CH679" s="588" t="n"/>
      <c r="CI679" s="588" t="n"/>
      <c r="CJ679" s="588" t="n"/>
      <c r="CK679" s="588" t="n"/>
      <c r="CL679" s="588" t="n"/>
      <c r="CM679" s="588" t="n"/>
      <c r="CN679" s="588" t="n"/>
      <c r="CO679" s="588" t="n"/>
      <c r="CP679" s="588" t="n"/>
      <c r="CQ679" s="588" t="n"/>
      <c r="CR679" s="588" t="n"/>
      <c r="CS679" s="588" t="n"/>
      <c r="CT679" s="588" t="n"/>
      <c r="CU679" s="588" t="n"/>
      <c r="CV679" s="588" t="n"/>
      <c r="CW679" s="588" t="n"/>
      <c r="CX679" s="588" t="n"/>
      <c r="CY679" s="588" t="n"/>
      <c r="CZ679" s="588" t="n"/>
      <c r="DA679" s="588" t="n"/>
      <c r="DB679" s="588" t="n"/>
      <c r="DC679" s="588" t="n"/>
      <c r="DD679" s="588" t="n"/>
      <c r="DE679" s="588" t="n"/>
      <c r="DF679" s="588" t="n"/>
      <c r="DG679" s="588" t="n"/>
      <c r="DH679" s="588" t="n"/>
      <c r="DI679" s="588" t="n"/>
      <c r="DJ679" s="588" t="n"/>
      <c r="DK679" s="588" t="n"/>
      <c r="DL679" s="588" t="n"/>
      <c r="DM679" s="588" t="n"/>
      <c r="DN679" s="588" t="n"/>
      <c r="DO679" s="588" t="n"/>
      <c r="DP679" s="588" t="n"/>
      <c r="DQ679" s="588" t="n"/>
      <c r="DR679" s="588" t="n"/>
      <c r="DS679" s="588" t="n"/>
      <c r="DT679" s="588" t="n"/>
      <c r="DU679" s="588" t="n"/>
    </row>
    <row r="680">
      <c r="A680" s="737" t="n"/>
      <c r="B680" s="737" t="n"/>
      <c r="C680" s="737" t="n"/>
      <c r="D680" s="737" t="n"/>
      <c r="E680" s="737" t="n"/>
      <c r="F680" s="737" t="n"/>
      <c r="G680" s="737" t="n"/>
      <c r="H680" s="737" t="n"/>
      <c r="I680" s="737" t="n"/>
      <c r="J680" s="737" t="n"/>
      <c r="K680" s="737" t="n"/>
      <c r="L680" s="737" t="n"/>
      <c r="M680" s="737" t="n"/>
      <c r="N680" s="737" t="n"/>
      <c r="O680" s="737" t="n"/>
      <c r="P680" s="737" t="n"/>
      <c r="Q680" s="737" t="n"/>
      <c r="R680" s="737" t="n"/>
      <c r="S680" s="737" t="n"/>
      <c r="T680" s="737" t="n"/>
      <c r="U680" s="737" t="n"/>
      <c r="V680" s="737" t="n"/>
      <c r="W680" s="737" t="n"/>
      <c r="X680" s="737" t="n"/>
      <c r="Y680" s="737" t="n"/>
      <c r="Z680" s="737" t="n"/>
      <c r="AA680" s="737" t="n"/>
      <c r="AB680" s="737" t="n"/>
      <c r="AC680" s="737" t="n"/>
      <c r="AD680" s="737" t="n"/>
      <c r="AE680" s="737" t="n"/>
      <c r="AF680" s="737" t="n"/>
      <c r="AG680" s="737" t="n"/>
      <c r="AH680" s="737" t="n"/>
      <c r="AI680" s="737" t="n"/>
      <c r="AJ680" s="737" t="n"/>
      <c r="AK680" s="588" t="n"/>
      <c r="AL680" s="588" t="n"/>
      <c r="AM680" s="588" t="n"/>
      <c r="AN680" s="588" t="n"/>
      <c r="AO680" s="588" t="n"/>
      <c r="AP680" s="588" t="n"/>
      <c r="AQ680" s="588" t="n"/>
      <c r="AR680" s="588" t="n"/>
      <c r="AS680" s="588" t="n"/>
      <c r="AT680" s="588" t="n"/>
      <c r="AU680" s="588" t="n"/>
      <c r="AV680" s="588" t="n"/>
      <c r="AW680" s="588" t="n"/>
      <c r="AX680" s="588" t="n"/>
      <c r="AY680" s="588" t="n"/>
      <c r="AZ680" s="588" t="n"/>
      <c r="BA680" s="588" t="n"/>
      <c r="BB680" s="588" t="n"/>
      <c r="BC680" s="588" t="n"/>
      <c r="BD680" s="588" t="n"/>
      <c r="BE680" s="588" t="n"/>
      <c r="BF680" s="588" t="n"/>
      <c r="BG680" s="588" t="n"/>
      <c r="BH680" s="588" t="n"/>
      <c r="BI680" s="588" t="n"/>
      <c r="BJ680" s="588" t="n"/>
      <c r="BK680" s="588" t="n"/>
      <c r="BL680" s="588" t="n"/>
      <c r="BM680" s="588" t="n"/>
      <c r="BN680" s="588" t="n"/>
      <c r="BO680" s="588" t="n"/>
      <c r="BP680" s="588" t="n"/>
      <c r="BQ680" s="588" t="n"/>
      <c r="BR680" s="588" t="n"/>
      <c r="BS680" s="588" t="n"/>
      <c r="BT680" s="588" t="n"/>
      <c r="BU680" s="588" t="n"/>
      <c r="BV680" s="588" t="n"/>
      <c r="BW680" s="588" t="n"/>
      <c r="BX680" s="588" t="n"/>
      <c r="BY680" s="588" t="n"/>
      <c r="BZ680" s="588" t="n"/>
      <c r="CA680" s="588" t="n"/>
      <c r="CB680" s="588" t="n"/>
      <c r="CC680" s="588" t="n"/>
      <c r="CD680" s="588" t="n"/>
      <c r="CE680" s="588" t="n"/>
      <c r="CF680" s="588" t="n"/>
      <c r="CG680" s="588" t="n"/>
      <c r="CH680" s="588" t="n"/>
      <c r="CI680" s="588" t="n"/>
      <c r="CJ680" s="588" t="n"/>
      <c r="CK680" s="588" t="n"/>
      <c r="CL680" s="588" t="n"/>
      <c r="CM680" s="588" t="n"/>
      <c r="CN680" s="588" t="n"/>
      <c r="CO680" s="588" t="n"/>
      <c r="CP680" s="588" t="n"/>
      <c r="CQ680" s="588" t="n"/>
      <c r="CR680" s="588" t="n"/>
      <c r="CS680" s="588" t="n"/>
      <c r="CT680" s="588" t="n"/>
      <c r="CU680" s="588" t="n"/>
      <c r="CV680" s="588" t="n"/>
      <c r="CW680" s="588" t="n"/>
      <c r="CX680" s="588" t="n"/>
      <c r="CY680" s="588" t="n"/>
      <c r="CZ680" s="588" t="n"/>
      <c r="DA680" s="588" t="n"/>
      <c r="DB680" s="588" t="n"/>
      <c r="DC680" s="588" t="n"/>
      <c r="DD680" s="588" t="n"/>
      <c r="DE680" s="588" t="n"/>
      <c r="DF680" s="588" t="n"/>
      <c r="DG680" s="588" t="n"/>
      <c r="DH680" s="588" t="n"/>
      <c r="DI680" s="588" t="n"/>
      <c r="DJ680" s="588" t="n"/>
      <c r="DK680" s="588" t="n"/>
      <c r="DL680" s="588" t="n"/>
      <c r="DM680" s="588" t="n"/>
      <c r="DN680" s="588" t="n"/>
      <c r="DO680" s="588" t="n"/>
      <c r="DP680" s="588" t="n"/>
      <c r="DQ680" s="588" t="n"/>
      <c r="DR680" s="588" t="n"/>
      <c r="DS680" s="588" t="n"/>
      <c r="DT680" s="588" t="n"/>
      <c r="DU680" s="588" t="n"/>
    </row>
    <row r="681">
      <c r="A681" s="737" t="n"/>
      <c r="B681" s="737" t="n"/>
      <c r="C681" s="737" t="n"/>
      <c r="D681" s="737" t="n"/>
      <c r="E681" s="737" t="n"/>
      <c r="F681" s="737" t="n"/>
      <c r="G681" s="737" t="n"/>
      <c r="H681" s="737" t="n"/>
      <c r="I681" s="737" t="n"/>
      <c r="J681" s="737" t="n"/>
      <c r="K681" s="737" t="n"/>
      <c r="L681" s="737" t="n"/>
      <c r="M681" s="737" t="n"/>
      <c r="N681" s="737" t="n"/>
      <c r="O681" s="737" t="n"/>
      <c r="P681" s="737" t="n"/>
      <c r="Q681" s="737" t="n"/>
      <c r="R681" s="737" t="n"/>
      <c r="S681" s="737" t="n"/>
      <c r="T681" s="737" t="n"/>
      <c r="U681" s="737" t="n"/>
      <c r="V681" s="737" t="n"/>
      <c r="W681" s="737" t="n"/>
      <c r="X681" s="737" t="n"/>
      <c r="Y681" s="737" t="n"/>
      <c r="Z681" s="737" t="n"/>
      <c r="AA681" s="737" t="n"/>
      <c r="AB681" s="737" t="n"/>
      <c r="AC681" s="737" t="n"/>
      <c r="AD681" s="737" t="n"/>
      <c r="AE681" s="737" t="n"/>
      <c r="AF681" s="737" t="n"/>
      <c r="AG681" s="737" t="n"/>
      <c r="AH681" s="737" t="n"/>
      <c r="AI681" s="737" t="n"/>
      <c r="AJ681" s="737" t="n"/>
      <c r="AK681" s="588" t="n"/>
      <c r="AL681" s="588" t="n"/>
      <c r="AM681" s="588" t="n"/>
      <c r="AN681" s="588" t="n"/>
      <c r="AO681" s="588" t="n"/>
      <c r="AP681" s="588" t="n"/>
      <c r="AQ681" s="588" t="n"/>
      <c r="AR681" s="588" t="n"/>
      <c r="AS681" s="588" t="n"/>
      <c r="AT681" s="588" t="n"/>
      <c r="AU681" s="588" t="n"/>
      <c r="AV681" s="588" t="n"/>
      <c r="AW681" s="588" t="n"/>
      <c r="AX681" s="588" t="n"/>
      <c r="AY681" s="588" t="n"/>
      <c r="AZ681" s="588" t="n"/>
      <c r="BA681" s="588" t="n"/>
      <c r="BB681" s="588" t="n"/>
      <c r="BC681" s="588" t="n"/>
      <c r="BD681" s="588" t="n"/>
      <c r="BE681" s="588" t="n"/>
      <c r="BF681" s="588" t="n"/>
      <c r="BG681" s="588" t="n"/>
      <c r="BH681" s="588" t="n"/>
      <c r="BI681" s="588" t="n"/>
      <c r="BJ681" s="588" t="n"/>
      <c r="BK681" s="588" t="n"/>
      <c r="BL681" s="588" t="n"/>
      <c r="BM681" s="588" t="n"/>
      <c r="BN681" s="588" t="n"/>
      <c r="BO681" s="588" t="n"/>
      <c r="BP681" s="588" t="n"/>
      <c r="BQ681" s="588" t="n"/>
      <c r="BR681" s="588" t="n"/>
      <c r="BS681" s="588" t="n"/>
      <c r="BT681" s="588" t="n"/>
      <c r="BU681" s="588" t="n"/>
      <c r="BV681" s="588" t="n"/>
      <c r="BW681" s="588" t="n"/>
      <c r="BX681" s="588" t="n"/>
      <c r="BY681" s="588" t="n"/>
      <c r="BZ681" s="588" t="n"/>
      <c r="CA681" s="588" t="n"/>
      <c r="CB681" s="588" t="n"/>
      <c r="CC681" s="588" t="n"/>
      <c r="CD681" s="588" t="n"/>
      <c r="CE681" s="588" t="n"/>
      <c r="CF681" s="588" t="n"/>
      <c r="CG681" s="588" t="n"/>
      <c r="CH681" s="588" t="n"/>
      <c r="CI681" s="588" t="n"/>
      <c r="CJ681" s="588" t="n"/>
      <c r="CK681" s="588" t="n"/>
      <c r="CL681" s="588" t="n"/>
      <c r="CM681" s="588" t="n"/>
      <c r="CN681" s="588" t="n"/>
      <c r="CO681" s="588" t="n"/>
      <c r="CP681" s="588" t="n"/>
      <c r="CQ681" s="588" t="n"/>
      <c r="CR681" s="588" t="n"/>
      <c r="CS681" s="588" t="n"/>
      <c r="CT681" s="588" t="n"/>
      <c r="CU681" s="588" t="n"/>
      <c r="CV681" s="588" t="n"/>
      <c r="CW681" s="588" t="n"/>
      <c r="CX681" s="588" t="n"/>
      <c r="CY681" s="588" t="n"/>
      <c r="CZ681" s="588" t="n"/>
      <c r="DA681" s="588" t="n"/>
      <c r="DB681" s="588" t="n"/>
      <c r="DC681" s="588" t="n"/>
      <c r="DD681" s="588" t="n"/>
      <c r="DE681" s="588" t="n"/>
      <c r="DF681" s="588" t="n"/>
      <c r="DG681" s="588" t="n"/>
      <c r="DH681" s="588" t="n"/>
      <c r="DI681" s="588" t="n"/>
      <c r="DJ681" s="588" t="n"/>
      <c r="DK681" s="588" t="n"/>
      <c r="DL681" s="588" t="n"/>
      <c r="DM681" s="588" t="n"/>
      <c r="DN681" s="588" t="n"/>
      <c r="DO681" s="588" t="n"/>
      <c r="DP681" s="588" t="n"/>
      <c r="DQ681" s="588" t="n"/>
      <c r="DR681" s="588" t="n"/>
      <c r="DS681" s="588" t="n"/>
      <c r="DT681" s="588" t="n"/>
      <c r="DU681" s="588" t="n"/>
    </row>
    <row r="682">
      <c r="A682" s="737" t="n"/>
      <c r="B682" s="737" t="n"/>
      <c r="C682" s="737" t="n"/>
      <c r="D682" s="737" t="n"/>
      <c r="E682" s="737" t="n"/>
      <c r="F682" s="737" t="n"/>
      <c r="G682" s="737" t="n"/>
      <c r="H682" s="737" t="n"/>
      <c r="I682" s="737" t="n"/>
      <c r="J682" s="737" t="n"/>
      <c r="K682" s="737" t="n"/>
      <c r="L682" s="737" t="n"/>
      <c r="M682" s="737" t="n"/>
      <c r="N682" s="737" t="n"/>
      <c r="O682" s="737" t="n"/>
      <c r="P682" s="737" t="n"/>
      <c r="Q682" s="737" t="n"/>
      <c r="R682" s="737" t="n"/>
      <c r="S682" s="737" t="n"/>
      <c r="T682" s="737" t="n"/>
      <c r="U682" s="737" t="n"/>
      <c r="V682" s="737" t="n"/>
      <c r="W682" s="737" t="n"/>
      <c r="X682" s="737" t="n"/>
      <c r="Y682" s="737" t="n"/>
      <c r="Z682" s="737" t="n"/>
      <c r="AA682" s="737" t="n"/>
      <c r="AB682" s="737" t="n"/>
      <c r="AC682" s="737" t="n"/>
      <c r="AD682" s="737" t="n"/>
      <c r="AE682" s="737" t="n"/>
      <c r="AF682" s="737" t="n"/>
      <c r="AG682" s="737" t="n"/>
      <c r="AH682" s="737" t="n"/>
      <c r="AI682" s="737" t="n"/>
      <c r="AJ682" s="737" t="n"/>
      <c r="AK682" s="588" t="n"/>
      <c r="AL682" s="588" t="n"/>
      <c r="AM682" s="588" t="n"/>
      <c r="AN682" s="588" t="n"/>
      <c r="AO682" s="588" t="n"/>
      <c r="AP682" s="588" t="n"/>
      <c r="AQ682" s="588" t="n"/>
      <c r="AR682" s="588" t="n"/>
      <c r="AS682" s="588" t="n"/>
      <c r="AT682" s="588" t="n"/>
      <c r="AU682" s="588" t="n"/>
      <c r="AV682" s="588" t="n"/>
      <c r="AW682" s="588" t="n"/>
      <c r="AX682" s="588" t="n"/>
      <c r="AY682" s="588" t="n"/>
      <c r="AZ682" s="588" t="n"/>
      <c r="BA682" s="588" t="n"/>
      <c r="BB682" s="588" t="n"/>
      <c r="BC682" s="588" t="n"/>
      <c r="BD682" s="588" t="n"/>
      <c r="BE682" s="588" t="n"/>
      <c r="BF682" s="588" t="n"/>
      <c r="BG682" s="588" t="n"/>
      <c r="BH682" s="588" t="n"/>
      <c r="BI682" s="588" t="n"/>
      <c r="BJ682" s="588" t="n"/>
      <c r="BK682" s="588" t="n"/>
      <c r="BL682" s="588" t="n"/>
      <c r="BM682" s="588" t="n"/>
      <c r="BN682" s="588" t="n"/>
      <c r="BO682" s="588" t="n"/>
      <c r="BP682" s="588" t="n"/>
      <c r="BQ682" s="588" t="n"/>
      <c r="BR682" s="588" t="n"/>
      <c r="BS682" s="588" t="n"/>
      <c r="BT682" s="588" t="n"/>
      <c r="BU682" s="588" t="n"/>
      <c r="BV682" s="588" t="n"/>
      <c r="BW682" s="588" t="n"/>
      <c r="BX682" s="588" t="n"/>
      <c r="BY682" s="588" t="n"/>
      <c r="BZ682" s="588" t="n"/>
      <c r="CA682" s="588" t="n"/>
      <c r="CB682" s="588" t="n"/>
      <c r="CC682" s="588" t="n"/>
      <c r="CD682" s="588" t="n"/>
      <c r="CE682" s="588" t="n"/>
      <c r="CF682" s="588" t="n"/>
      <c r="CG682" s="588" t="n"/>
      <c r="CH682" s="588" t="n"/>
      <c r="CI682" s="588" t="n"/>
      <c r="CJ682" s="588" t="n"/>
      <c r="CK682" s="588" t="n"/>
      <c r="CL682" s="588" t="n"/>
      <c r="CM682" s="588" t="n"/>
      <c r="CN682" s="588" t="n"/>
      <c r="CO682" s="588" t="n"/>
      <c r="CP682" s="588" t="n"/>
      <c r="CQ682" s="588" t="n"/>
      <c r="CR682" s="588" t="n"/>
      <c r="CS682" s="588" t="n"/>
      <c r="CT682" s="588" t="n"/>
      <c r="CU682" s="588" t="n"/>
      <c r="CV682" s="588" t="n"/>
      <c r="CW682" s="588" t="n"/>
      <c r="CX682" s="588" t="n"/>
      <c r="CY682" s="588" t="n"/>
      <c r="CZ682" s="588" t="n"/>
      <c r="DA682" s="588" t="n"/>
      <c r="DB682" s="588" t="n"/>
      <c r="DC682" s="588" t="n"/>
      <c r="DD682" s="588" t="n"/>
      <c r="DE682" s="588" t="n"/>
      <c r="DF682" s="588" t="n"/>
      <c r="DG682" s="588" t="n"/>
      <c r="DH682" s="588" t="n"/>
      <c r="DI682" s="588" t="n"/>
      <c r="DJ682" s="588" t="n"/>
      <c r="DK682" s="588" t="n"/>
      <c r="DL682" s="588" t="n"/>
      <c r="DM682" s="588" t="n"/>
      <c r="DN682" s="588" t="n"/>
      <c r="DO682" s="588" t="n"/>
      <c r="DP682" s="588" t="n"/>
      <c r="DQ682" s="588" t="n"/>
      <c r="DR682" s="588" t="n"/>
      <c r="DS682" s="588" t="n"/>
      <c r="DT682" s="588" t="n"/>
      <c r="DU682" s="588" t="n"/>
    </row>
    <row r="683">
      <c r="A683" s="737" t="n"/>
      <c r="B683" s="737" t="n"/>
      <c r="C683" s="737" t="n"/>
      <c r="D683" s="737" t="n"/>
      <c r="E683" s="737" t="n"/>
      <c r="F683" s="737" t="n"/>
      <c r="G683" s="737" t="n"/>
      <c r="H683" s="737" t="n"/>
      <c r="I683" s="737" t="n"/>
      <c r="J683" s="737" t="n"/>
      <c r="K683" s="737" t="n"/>
      <c r="L683" s="737" t="n"/>
      <c r="M683" s="737" t="n"/>
      <c r="N683" s="737" t="n"/>
      <c r="O683" s="737" t="n"/>
      <c r="P683" s="737" t="n"/>
      <c r="Q683" s="737" t="n"/>
      <c r="R683" s="737" t="n"/>
      <c r="S683" s="737" t="n"/>
      <c r="T683" s="737" t="n"/>
      <c r="U683" s="737" t="n"/>
      <c r="V683" s="737" t="n"/>
      <c r="W683" s="737" t="n"/>
      <c r="X683" s="737" t="n"/>
      <c r="Y683" s="737" t="n"/>
      <c r="Z683" s="737" t="n"/>
      <c r="AA683" s="737" t="n"/>
      <c r="AB683" s="737" t="n"/>
      <c r="AC683" s="737" t="n"/>
      <c r="AD683" s="737" t="n"/>
      <c r="AE683" s="737" t="n"/>
      <c r="AF683" s="737" t="n"/>
      <c r="AG683" s="737" t="n"/>
      <c r="AH683" s="737" t="n"/>
      <c r="AI683" s="737" t="n"/>
      <c r="AJ683" s="737" t="n"/>
      <c r="AK683" s="588" t="n"/>
      <c r="AL683" s="588" t="n"/>
      <c r="AM683" s="588" t="n"/>
      <c r="AN683" s="588" t="n"/>
      <c r="AO683" s="588" t="n"/>
      <c r="AP683" s="588" t="n"/>
      <c r="AQ683" s="588" t="n"/>
      <c r="AR683" s="588" t="n"/>
      <c r="AS683" s="588" t="n"/>
      <c r="AT683" s="588" t="n"/>
      <c r="AU683" s="588" t="n"/>
      <c r="AV683" s="588" t="n"/>
      <c r="AW683" s="588" t="n"/>
      <c r="AX683" s="588" t="n"/>
      <c r="AY683" s="588" t="n"/>
      <c r="AZ683" s="588" t="n"/>
      <c r="BA683" s="588" t="n"/>
      <c r="BB683" s="588" t="n"/>
      <c r="BC683" s="588" t="n"/>
      <c r="BD683" s="588" t="n"/>
      <c r="BE683" s="588" t="n"/>
      <c r="BF683" s="588" t="n"/>
      <c r="BG683" s="588" t="n"/>
      <c r="BH683" s="588" t="n"/>
      <c r="BI683" s="588" t="n"/>
      <c r="BJ683" s="588" t="n"/>
      <c r="BK683" s="588" t="n"/>
      <c r="BL683" s="588" t="n"/>
      <c r="BM683" s="588" t="n"/>
      <c r="BN683" s="588" t="n"/>
      <c r="BO683" s="588" t="n"/>
      <c r="BP683" s="588" t="n"/>
      <c r="BQ683" s="588" t="n"/>
      <c r="BR683" s="588" t="n"/>
      <c r="BS683" s="588" t="n"/>
      <c r="BT683" s="588" t="n"/>
      <c r="BU683" s="588" t="n"/>
      <c r="BV683" s="588" t="n"/>
      <c r="BW683" s="588" t="n"/>
      <c r="BX683" s="588" t="n"/>
      <c r="BY683" s="588" t="n"/>
      <c r="BZ683" s="588" t="n"/>
      <c r="CA683" s="588" t="n"/>
      <c r="CB683" s="588" t="n"/>
      <c r="CC683" s="588" t="n"/>
      <c r="CD683" s="588" t="n"/>
      <c r="CE683" s="588" t="n"/>
      <c r="CF683" s="588" t="n"/>
      <c r="CG683" s="588" t="n"/>
      <c r="CH683" s="588" t="n"/>
      <c r="CI683" s="588" t="n"/>
      <c r="CJ683" s="588" t="n"/>
      <c r="CK683" s="588" t="n"/>
      <c r="CL683" s="588" t="n"/>
      <c r="CM683" s="588" t="n"/>
      <c r="CN683" s="588" t="n"/>
      <c r="CO683" s="588" t="n"/>
      <c r="CP683" s="588" t="n"/>
      <c r="CQ683" s="588" t="n"/>
      <c r="CR683" s="588" t="n"/>
      <c r="CS683" s="588" t="n"/>
      <c r="CT683" s="588" t="n"/>
      <c r="CU683" s="588" t="n"/>
      <c r="CV683" s="588" t="n"/>
      <c r="CW683" s="588" t="n"/>
      <c r="CX683" s="588" t="n"/>
      <c r="CY683" s="588" t="n"/>
      <c r="CZ683" s="588" t="n"/>
      <c r="DA683" s="588" t="n"/>
      <c r="DB683" s="588" t="n"/>
      <c r="DC683" s="588" t="n"/>
      <c r="DD683" s="588" t="n"/>
      <c r="DE683" s="588" t="n"/>
      <c r="DF683" s="588" t="n"/>
      <c r="DG683" s="588" t="n"/>
      <c r="DH683" s="588" t="n"/>
      <c r="DI683" s="588" t="n"/>
      <c r="DJ683" s="588" t="n"/>
      <c r="DK683" s="588" t="n"/>
      <c r="DL683" s="588" t="n"/>
      <c r="DM683" s="588" t="n"/>
      <c r="DN683" s="588" t="n"/>
      <c r="DO683" s="588" t="n"/>
      <c r="DP683" s="588" t="n"/>
      <c r="DQ683" s="588" t="n"/>
      <c r="DR683" s="588" t="n"/>
      <c r="DS683" s="588" t="n"/>
      <c r="DT683" s="588" t="n"/>
      <c r="DU683" s="588" t="n"/>
    </row>
    <row r="684">
      <c r="A684" s="737" t="n"/>
      <c r="B684" s="737" t="n"/>
      <c r="C684" s="737" t="n"/>
      <c r="D684" s="737" t="n"/>
      <c r="E684" s="737" t="n"/>
      <c r="F684" s="737" t="n"/>
      <c r="G684" s="737" t="n"/>
      <c r="H684" s="737" t="n"/>
      <c r="I684" s="737" t="n"/>
      <c r="J684" s="737" t="n"/>
      <c r="K684" s="737" t="n"/>
      <c r="L684" s="737" t="n"/>
      <c r="M684" s="737" t="n"/>
      <c r="N684" s="737" t="n"/>
      <c r="O684" s="737" t="n"/>
      <c r="P684" s="737" t="n"/>
      <c r="Q684" s="737" t="n"/>
      <c r="R684" s="737" t="n"/>
      <c r="S684" s="737" t="n"/>
      <c r="T684" s="737" t="n"/>
      <c r="U684" s="737" t="n"/>
      <c r="V684" s="737" t="n"/>
      <c r="W684" s="737" t="n"/>
      <c r="X684" s="737" t="n"/>
      <c r="Y684" s="737" t="n"/>
      <c r="Z684" s="737" t="n"/>
      <c r="AA684" s="737" t="n"/>
      <c r="AB684" s="737" t="n"/>
      <c r="AC684" s="737" t="n"/>
      <c r="AD684" s="737" t="n"/>
      <c r="AE684" s="737" t="n"/>
      <c r="AF684" s="737" t="n"/>
      <c r="AG684" s="737" t="n"/>
      <c r="AH684" s="737" t="n"/>
      <c r="AI684" s="737" t="n"/>
      <c r="AJ684" s="737" t="n"/>
      <c r="AK684" s="588" t="n"/>
      <c r="AL684" s="588" t="n"/>
      <c r="AM684" s="588" t="n"/>
      <c r="AN684" s="588" t="n"/>
      <c r="AO684" s="588" t="n"/>
      <c r="AP684" s="588" t="n"/>
      <c r="AQ684" s="588" t="n"/>
      <c r="AR684" s="588" t="n"/>
      <c r="AS684" s="588" t="n"/>
      <c r="AT684" s="588" t="n"/>
      <c r="AU684" s="588" t="n"/>
      <c r="AV684" s="588" t="n"/>
      <c r="AW684" s="588" t="n"/>
      <c r="AX684" s="588" t="n"/>
      <c r="AY684" s="588" t="n"/>
      <c r="AZ684" s="588" t="n"/>
      <c r="BA684" s="588" t="n"/>
      <c r="BB684" s="588" t="n"/>
      <c r="BC684" s="588" t="n"/>
      <c r="BD684" s="588" t="n"/>
      <c r="BE684" s="588" t="n"/>
      <c r="BF684" s="588" t="n"/>
      <c r="BG684" s="588" t="n"/>
      <c r="BH684" s="588" t="n"/>
      <c r="BI684" s="588" t="n"/>
      <c r="BJ684" s="588" t="n"/>
      <c r="BK684" s="588" t="n"/>
      <c r="BL684" s="588" t="n"/>
      <c r="BM684" s="588" t="n"/>
      <c r="BN684" s="588" t="n"/>
      <c r="BO684" s="588" t="n"/>
      <c r="BP684" s="588" t="n"/>
      <c r="BQ684" s="588" t="n"/>
      <c r="BR684" s="588" t="n"/>
      <c r="BS684" s="588" t="n"/>
      <c r="BT684" s="588" t="n"/>
      <c r="BU684" s="588" t="n"/>
      <c r="BV684" s="588" t="n"/>
      <c r="BW684" s="588" t="n"/>
      <c r="BX684" s="588" t="n"/>
      <c r="BY684" s="588" t="n"/>
      <c r="BZ684" s="588" t="n"/>
      <c r="CA684" s="588" t="n"/>
      <c r="CB684" s="588" t="n"/>
      <c r="CC684" s="588" t="n"/>
      <c r="CD684" s="588" t="n"/>
      <c r="CE684" s="588" t="n"/>
      <c r="CF684" s="588" t="n"/>
      <c r="CG684" s="588" t="n"/>
      <c r="CH684" s="588" t="n"/>
      <c r="CI684" s="588" t="n"/>
      <c r="CJ684" s="588" t="n"/>
      <c r="CK684" s="588" t="n"/>
      <c r="CL684" s="588" t="n"/>
      <c r="CM684" s="588" t="n"/>
      <c r="CN684" s="588" t="n"/>
      <c r="CO684" s="588" t="n"/>
      <c r="CP684" s="588" t="n"/>
      <c r="CQ684" s="588" t="n"/>
      <c r="CR684" s="588" t="n"/>
      <c r="CS684" s="588" t="n"/>
      <c r="CT684" s="588" t="n"/>
      <c r="CU684" s="588" t="n"/>
      <c r="CV684" s="588" t="n"/>
      <c r="CW684" s="588" t="n"/>
      <c r="CX684" s="588" t="n"/>
      <c r="CY684" s="588" t="n"/>
      <c r="CZ684" s="588" t="n"/>
      <c r="DA684" s="588" t="n"/>
      <c r="DB684" s="588" t="n"/>
      <c r="DC684" s="588" t="n"/>
      <c r="DD684" s="588" t="n"/>
      <c r="DE684" s="588" t="n"/>
      <c r="DF684" s="588" t="n"/>
      <c r="DG684" s="588" t="n"/>
      <c r="DH684" s="588" t="n"/>
      <c r="DI684" s="588" t="n"/>
      <c r="DJ684" s="588" t="n"/>
      <c r="DK684" s="588" t="n"/>
      <c r="DL684" s="588" t="n"/>
      <c r="DM684" s="588" t="n"/>
      <c r="DN684" s="588" t="n"/>
      <c r="DO684" s="588" t="n"/>
      <c r="DP684" s="588" t="n"/>
      <c r="DQ684" s="588" t="n"/>
      <c r="DR684" s="588" t="n"/>
      <c r="DS684" s="588" t="n"/>
      <c r="DT684" s="588" t="n"/>
      <c r="DU684" s="588" t="n"/>
    </row>
    <row r="685">
      <c r="A685" s="737" t="n"/>
      <c r="B685" s="737" t="n"/>
      <c r="C685" s="737" t="n"/>
      <c r="D685" s="737" t="n"/>
      <c r="E685" s="737" t="n"/>
      <c r="F685" s="737" t="n"/>
      <c r="G685" s="737" t="n"/>
      <c r="H685" s="737" t="n"/>
      <c r="I685" s="737" t="n"/>
      <c r="J685" s="737" t="n"/>
      <c r="K685" s="737" t="n"/>
      <c r="L685" s="737" t="n"/>
      <c r="M685" s="737" t="n"/>
      <c r="N685" s="737" t="n"/>
      <c r="O685" s="737" t="n"/>
      <c r="P685" s="737" t="n"/>
      <c r="Q685" s="737" t="n"/>
      <c r="R685" s="737" t="n"/>
      <c r="S685" s="737" t="n"/>
      <c r="T685" s="737" t="n"/>
      <c r="U685" s="737" t="n"/>
      <c r="V685" s="737" t="n"/>
      <c r="W685" s="737" t="n"/>
      <c r="X685" s="737" t="n"/>
      <c r="Y685" s="737" t="n"/>
      <c r="Z685" s="737" t="n"/>
      <c r="AA685" s="737" t="n"/>
      <c r="AB685" s="737" t="n"/>
      <c r="AC685" s="737" t="n"/>
      <c r="AD685" s="737" t="n"/>
      <c r="AE685" s="737" t="n"/>
      <c r="AF685" s="737" t="n"/>
      <c r="AG685" s="737" t="n"/>
      <c r="AH685" s="737" t="n"/>
      <c r="AI685" s="737" t="n"/>
      <c r="AJ685" s="737" t="n"/>
      <c r="AK685" s="588" t="n"/>
      <c r="AL685" s="588" t="n"/>
      <c r="AM685" s="588" t="n"/>
      <c r="AN685" s="588" t="n"/>
      <c r="AO685" s="588" t="n"/>
      <c r="AP685" s="588" t="n"/>
      <c r="AQ685" s="588" t="n"/>
      <c r="AR685" s="588" t="n"/>
      <c r="AS685" s="588" t="n"/>
      <c r="AT685" s="588" t="n"/>
      <c r="AU685" s="588" t="n"/>
      <c r="AV685" s="588" t="n"/>
      <c r="AW685" s="588" t="n"/>
      <c r="AX685" s="588" t="n"/>
      <c r="AY685" s="588" t="n"/>
      <c r="AZ685" s="588" t="n"/>
      <c r="BA685" s="588" t="n"/>
      <c r="BB685" s="588" t="n"/>
      <c r="BC685" s="588" t="n"/>
      <c r="BD685" s="588" t="n"/>
      <c r="BE685" s="588" t="n"/>
      <c r="BF685" s="588" t="n"/>
      <c r="BG685" s="588" t="n"/>
      <c r="BH685" s="588" t="n"/>
      <c r="BI685" s="588" t="n"/>
      <c r="BJ685" s="588" t="n"/>
      <c r="BK685" s="588" t="n"/>
      <c r="BL685" s="588" t="n"/>
      <c r="BM685" s="588" t="n"/>
      <c r="BN685" s="588" t="n"/>
      <c r="BO685" s="588" t="n"/>
      <c r="BP685" s="588" t="n"/>
      <c r="BQ685" s="588" t="n"/>
      <c r="BR685" s="588" t="n"/>
      <c r="BS685" s="588" t="n"/>
      <c r="BT685" s="588" t="n"/>
      <c r="BU685" s="588" t="n"/>
      <c r="BV685" s="588" t="n"/>
      <c r="BW685" s="588" t="n"/>
      <c r="BX685" s="588" t="n"/>
      <c r="BY685" s="588" t="n"/>
      <c r="BZ685" s="588" t="n"/>
      <c r="CA685" s="588" t="n"/>
      <c r="CB685" s="588" t="n"/>
      <c r="CC685" s="588" t="n"/>
      <c r="CD685" s="588" t="n"/>
      <c r="CE685" s="588" t="n"/>
      <c r="CF685" s="588" t="n"/>
      <c r="CG685" s="588" t="n"/>
      <c r="CH685" s="588" t="n"/>
      <c r="CI685" s="588" t="n"/>
      <c r="CJ685" s="588" t="n"/>
      <c r="CK685" s="588" t="n"/>
      <c r="CL685" s="588" t="n"/>
      <c r="CM685" s="588" t="n"/>
      <c r="CN685" s="588" t="n"/>
      <c r="CO685" s="588" t="n"/>
      <c r="CP685" s="588" t="n"/>
      <c r="CQ685" s="588" t="n"/>
      <c r="CR685" s="588" t="n"/>
      <c r="CS685" s="588" t="n"/>
      <c r="CT685" s="588" t="n"/>
      <c r="CU685" s="588" t="n"/>
      <c r="CV685" s="588" t="n"/>
      <c r="CW685" s="588" t="n"/>
      <c r="CX685" s="588" t="n"/>
      <c r="CY685" s="588" t="n"/>
      <c r="CZ685" s="588" t="n"/>
      <c r="DA685" s="588" t="n"/>
      <c r="DB685" s="588" t="n"/>
      <c r="DC685" s="588" t="n"/>
      <c r="DD685" s="588" t="n"/>
      <c r="DE685" s="588" t="n"/>
      <c r="DF685" s="588" t="n"/>
      <c r="DG685" s="588" t="n"/>
      <c r="DH685" s="588" t="n"/>
      <c r="DI685" s="588" t="n"/>
      <c r="DJ685" s="588" t="n"/>
      <c r="DK685" s="588" t="n"/>
      <c r="DL685" s="588" t="n"/>
      <c r="DM685" s="588" t="n"/>
      <c r="DN685" s="588" t="n"/>
      <c r="DO685" s="588" t="n"/>
      <c r="DP685" s="588" t="n"/>
      <c r="DQ685" s="588" t="n"/>
      <c r="DR685" s="588" t="n"/>
      <c r="DS685" s="588" t="n"/>
      <c r="DT685" s="588" t="n"/>
      <c r="DU685" s="588" t="n"/>
    </row>
    <row r="686">
      <c r="A686" s="737" t="n"/>
      <c r="B686" s="737" t="n"/>
      <c r="C686" s="737" t="n"/>
      <c r="D686" s="737" t="n"/>
      <c r="E686" s="737" t="n"/>
      <c r="F686" s="737" t="n"/>
      <c r="G686" s="737" t="n"/>
      <c r="H686" s="737" t="n"/>
      <c r="I686" s="737" t="n"/>
      <c r="J686" s="737" t="n"/>
      <c r="K686" s="737" t="n"/>
      <c r="L686" s="737" t="n"/>
      <c r="M686" s="737" t="n"/>
      <c r="N686" s="737" t="n"/>
      <c r="O686" s="737" t="n"/>
      <c r="P686" s="737" t="n"/>
      <c r="Q686" s="737" t="n"/>
      <c r="R686" s="737" t="n"/>
      <c r="S686" s="737" t="n"/>
      <c r="T686" s="737" t="n"/>
      <c r="U686" s="737" t="n"/>
      <c r="V686" s="737" t="n"/>
      <c r="W686" s="737" t="n"/>
      <c r="X686" s="737" t="n"/>
      <c r="Y686" s="737" t="n"/>
      <c r="Z686" s="737" t="n"/>
      <c r="AA686" s="737" t="n"/>
      <c r="AB686" s="737" t="n"/>
      <c r="AC686" s="737" t="n"/>
      <c r="AD686" s="737" t="n"/>
      <c r="AE686" s="737" t="n"/>
      <c r="AF686" s="737" t="n"/>
      <c r="AG686" s="737" t="n"/>
      <c r="AH686" s="737" t="n"/>
      <c r="AI686" s="737" t="n"/>
      <c r="AJ686" s="737" t="n"/>
      <c r="AK686" s="588" t="n"/>
      <c r="AL686" s="588" t="n"/>
      <c r="AM686" s="588" t="n"/>
      <c r="AN686" s="588" t="n"/>
      <c r="AO686" s="588" t="n"/>
      <c r="AP686" s="588" t="n"/>
      <c r="AQ686" s="588" t="n"/>
      <c r="AR686" s="588" t="n"/>
      <c r="AS686" s="588" t="n"/>
      <c r="AT686" s="588" t="n"/>
      <c r="AU686" s="588" t="n"/>
      <c r="AV686" s="588" t="n"/>
      <c r="AW686" s="588" t="n"/>
      <c r="AX686" s="588" t="n"/>
      <c r="AY686" s="588" t="n"/>
      <c r="AZ686" s="588" t="n"/>
      <c r="BA686" s="588" t="n"/>
      <c r="BB686" s="588" t="n"/>
      <c r="BC686" s="588" t="n"/>
      <c r="BD686" s="588" t="n"/>
      <c r="BE686" s="588" t="n"/>
      <c r="BF686" s="588" t="n"/>
      <c r="BG686" s="588" t="n"/>
      <c r="BH686" s="588" t="n"/>
      <c r="BI686" s="588" t="n"/>
      <c r="BJ686" s="588" t="n"/>
      <c r="BK686" s="588" t="n"/>
      <c r="BL686" s="588" t="n"/>
      <c r="BM686" s="588" t="n"/>
      <c r="BN686" s="588" t="n"/>
      <c r="BO686" s="588" t="n"/>
      <c r="BP686" s="588" t="n"/>
      <c r="BQ686" s="588" t="n"/>
      <c r="BR686" s="588" t="n"/>
      <c r="BS686" s="588" t="n"/>
      <c r="BT686" s="588" t="n"/>
      <c r="BU686" s="588" t="n"/>
      <c r="BV686" s="588" t="n"/>
      <c r="BW686" s="588" t="n"/>
      <c r="BX686" s="588" t="n"/>
      <c r="BY686" s="588" t="n"/>
      <c r="BZ686" s="588" t="n"/>
      <c r="CA686" s="588" t="n"/>
      <c r="CB686" s="588" t="n"/>
      <c r="CC686" s="588" t="n"/>
      <c r="CD686" s="588" t="n"/>
      <c r="CE686" s="588" t="n"/>
      <c r="CF686" s="588" t="n"/>
      <c r="CG686" s="588" t="n"/>
      <c r="CH686" s="588" t="n"/>
      <c r="CI686" s="588" t="n"/>
      <c r="CJ686" s="588" t="n"/>
      <c r="CK686" s="588" t="n"/>
      <c r="CL686" s="588" t="n"/>
      <c r="CM686" s="588" t="n"/>
      <c r="CN686" s="588" t="n"/>
      <c r="CO686" s="588" t="n"/>
      <c r="CP686" s="588" t="n"/>
      <c r="CQ686" s="588" t="n"/>
      <c r="CR686" s="588" t="n"/>
      <c r="CS686" s="588" t="n"/>
      <c r="CT686" s="588" t="n"/>
      <c r="CU686" s="588" t="n"/>
      <c r="CV686" s="588" t="n"/>
      <c r="CW686" s="588" t="n"/>
      <c r="CX686" s="588" t="n"/>
      <c r="CY686" s="588" t="n"/>
      <c r="CZ686" s="588" t="n"/>
      <c r="DA686" s="588" t="n"/>
      <c r="DB686" s="588" t="n"/>
      <c r="DC686" s="588" t="n"/>
      <c r="DD686" s="588" t="n"/>
      <c r="DE686" s="588" t="n"/>
      <c r="DF686" s="588" t="n"/>
      <c r="DG686" s="588" t="n"/>
      <c r="DH686" s="588" t="n"/>
      <c r="DI686" s="588" t="n"/>
      <c r="DJ686" s="588" t="n"/>
      <c r="DK686" s="588" t="n"/>
      <c r="DL686" s="588" t="n"/>
      <c r="DM686" s="588" t="n"/>
      <c r="DN686" s="588" t="n"/>
      <c r="DO686" s="588" t="n"/>
      <c r="DP686" s="588" t="n"/>
      <c r="DQ686" s="588" t="n"/>
      <c r="DR686" s="588" t="n"/>
      <c r="DS686" s="588" t="n"/>
      <c r="DT686" s="588" t="n"/>
      <c r="DU686" s="588" t="n"/>
    </row>
    <row r="687">
      <c r="A687" s="737" t="n"/>
      <c r="B687" s="737" t="n"/>
      <c r="C687" s="737" t="n"/>
      <c r="D687" s="737" t="n"/>
      <c r="E687" s="737" t="n"/>
      <c r="F687" s="737" t="n"/>
      <c r="G687" s="737" t="n"/>
      <c r="H687" s="737" t="n"/>
      <c r="I687" s="737" t="n"/>
      <c r="J687" s="737" t="n"/>
      <c r="K687" s="737" t="n"/>
      <c r="L687" s="737" t="n"/>
      <c r="M687" s="737" t="n"/>
      <c r="N687" s="737" t="n"/>
      <c r="O687" s="737" t="n"/>
      <c r="P687" s="737" t="n"/>
      <c r="Q687" s="737" t="n"/>
      <c r="R687" s="737" t="n"/>
      <c r="S687" s="737" t="n"/>
      <c r="T687" s="737" t="n"/>
      <c r="U687" s="737" t="n"/>
      <c r="V687" s="737" t="n"/>
      <c r="W687" s="737" t="n"/>
      <c r="X687" s="737" t="n"/>
      <c r="Y687" s="737" t="n"/>
      <c r="Z687" s="737" t="n"/>
      <c r="AA687" s="737" t="n"/>
      <c r="AB687" s="737" t="n"/>
      <c r="AC687" s="737" t="n"/>
      <c r="AD687" s="737" t="n"/>
      <c r="AE687" s="737" t="n"/>
      <c r="AF687" s="737" t="n"/>
      <c r="AG687" s="737" t="n"/>
      <c r="AH687" s="737" t="n"/>
      <c r="AI687" s="737" t="n"/>
      <c r="AJ687" s="737" t="n"/>
      <c r="AK687" s="588" t="n"/>
      <c r="AL687" s="588" t="n"/>
      <c r="AM687" s="588" t="n"/>
      <c r="AN687" s="588" t="n"/>
      <c r="AO687" s="588" t="n"/>
      <c r="AP687" s="588" t="n"/>
      <c r="AQ687" s="588" t="n"/>
      <c r="AR687" s="588" t="n"/>
      <c r="AS687" s="588" t="n"/>
      <c r="AT687" s="588" t="n"/>
      <c r="AU687" s="588" t="n"/>
      <c r="AV687" s="588" t="n"/>
      <c r="AW687" s="588" t="n"/>
      <c r="AX687" s="588" t="n"/>
      <c r="AY687" s="588" t="n"/>
      <c r="AZ687" s="588" t="n"/>
      <c r="BA687" s="588" t="n"/>
      <c r="BB687" s="588" t="n"/>
      <c r="BC687" s="588" t="n"/>
      <c r="BD687" s="588" t="n"/>
      <c r="BE687" s="588" t="n"/>
      <c r="BF687" s="588" t="n"/>
      <c r="BG687" s="588" t="n"/>
      <c r="BH687" s="588" t="n"/>
      <c r="BI687" s="588" t="n"/>
      <c r="BJ687" s="588" t="n"/>
      <c r="BK687" s="588" t="n"/>
      <c r="BL687" s="588" t="n"/>
      <c r="BM687" s="588" t="n"/>
      <c r="BN687" s="588" t="n"/>
      <c r="BO687" s="588" t="n"/>
      <c r="BP687" s="588" t="n"/>
      <c r="BQ687" s="588" t="n"/>
      <c r="BR687" s="588" t="n"/>
      <c r="BS687" s="588" t="n"/>
      <c r="BT687" s="588" t="n"/>
      <c r="BU687" s="588" t="n"/>
      <c r="BV687" s="588" t="n"/>
      <c r="BW687" s="588" t="n"/>
      <c r="BX687" s="588" t="n"/>
      <c r="BY687" s="588" t="n"/>
      <c r="BZ687" s="588" t="n"/>
      <c r="CA687" s="588" t="n"/>
      <c r="CB687" s="588" t="n"/>
      <c r="CC687" s="588" t="n"/>
      <c r="CD687" s="588" t="n"/>
      <c r="CE687" s="588" t="n"/>
      <c r="CF687" s="588" t="n"/>
      <c r="CG687" s="588" t="n"/>
      <c r="CH687" s="588" t="n"/>
      <c r="CI687" s="588" t="n"/>
      <c r="CJ687" s="588" t="n"/>
      <c r="CK687" s="588" t="n"/>
      <c r="CL687" s="588" t="n"/>
      <c r="CM687" s="588" t="n"/>
      <c r="CN687" s="588" t="n"/>
      <c r="CO687" s="588" t="n"/>
      <c r="CP687" s="588" t="n"/>
      <c r="CQ687" s="588" t="n"/>
      <c r="CR687" s="588" t="n"/>
      <c r="CS687" s="588" t="n"/>
      <c r="CT687" s="588" t="n"/>
      <c r="CU687" s="588" t="n"/>
      <c r="CV687" s="588" t="n"/>
      <c r="CW687" s="588" t="n"/>
      <c r="CX687" s="588" t="n"/>
      <c r="CY687" s="588" t="n"/>
      <c r="CZ687" s="588" t="n"/>
      <c r="DA687" s="588" t="n"/>
      <c r="DB687" s="588" t="n"/>
      <c r="DC687" s="588" t="n"/>
      <c r="DD687" s="588" t="n"/>
      <c r="DE687" s="588" t="n"/>
      <c r="DF687" s="588" t="n"/>
      <c r="DG687" s="588" t="n"/>
      <c r="DH687" s="588" t="n"/>
      <c r="DI687" s="588" t="n"/>
      <c r="DJ687" s="588" t="n"/>
      <c r="DK687" s="588" t="n"/>
      <c r="DL687" s="588" t="n"/>
      <c r="DM687" s="588" t="n"/>
      <c r="DN687" s="588" t="n"/>
      <c r="DO687" s="588" t="n"/>
      <c r="DP687" s="588" t="n"/>
      <c r="DQ687" s="588" t="n"/>
      <c r="DR687" s="588" t="n"/>
      <c r="DS687" s="588" t="n"/>
      <c r="DT687" s="588" t="n"/>
      <c r="DU687" s="588" t="n"/>
    </row>
    <row r="688">
      <c r="A688" s="737" t="n"/>
      <c r="B688" s="737" t="n"/>
      <c r="C688" s="737" t="n"/>
      <c r="D688" s="737" t="n"/>
      <c r="E688" s="737" t="n"/>
      <c r="F688" s="737" t="n"/>
      <c r="G688" s="737" t="n"/>
      <c r="H688" s="737" t="n"/>
      <c r="I688" s="737" t="n"/>
      <c r="J688" s="737" t="n"/>
      <c r="K688" s="737" t="n"/>
      <c r="L688" s="737" t="n"/>
      <c r="M688" s="737" t="n"/>
      <c r="N688" s="737" t="n"/>
      <c r="O688" s="737" t="n"/>
      <c r="P688" s="737" t="n"/>
      <c r="Q688" s="737" t="n"/>
      <c r="R688" s="737" t="n"/>
      <c r="S688" s="737" t="n"/>
      <c r="T688" s="737" t="n"/>
      <c r="U688" s="737" t="n"/>
      <c r="V688" s="737" t="n"/>
      <c r="W688" s="737" t="n"/>
      <c r="X688" s="737" t="n"/>
      <c r="Y688" s="737" t="n"/>
      <c r="Z688" s="737" t="n"/>
      <c r="AA688" s="737" t="n"/>
      <c r="AB688" s="737" t="n"/>
      <c r="AC688" s="737" t="n"/>
      <c r="AD688" s="737" t="n"/>
      <c r="AE688" s="737" t="n"/>
      <c r="AF688" s="737" t="n"/>
      <c r="AG688" s="737" t="n"/>
      <c r="AH688" s="737" t="n"/>
      <c r="AI688" s="737" t="n"/>
      <c r="AJ688" s="737" t="n"/>
      <c r="AK688" s="588" t="n"/>
      <c r="AL688" s="588" t="n"/>
      <c r="AM688" s="588" t="n"/>
      <c r="AN688" s="588" t="n"/>
      <c r="AO688" s="588" t="n"/>
      <c r="AP688" s="588" t="n"/>
      <c r="AQ688" s="588" t="n"/>
      <c r="AR688" s="588" t="n"/>
      <c r="AS688" s="588" t="n"/>
      <c r="AT688" s="588" t="n"/>
      <c r="AU688" s="588" t="n"/>
      <c r="AV688" s="588" t="n"/>
      <c r="AW688" s="588" t="n"/>
      <c r="AX688" s="588" t="n"/>
      <c r="AY688" s="588" t="n"/>
      <c r="AZ688" s="588" t="n"/>
      <c r="BA688" s="588" t="n"/>
      <c r="BB688" s="588" t="n"/>
      <c r="BC688" s="588" t="n"/>
      <c r="BD688" s="588" t="n"/>
      <c r="BE688" s="588" t="n"/>
      <c r="BF688" s="588" t="n"/>
      <c r="BG688" s="588" t="n"/>
      <c r="BH688" s="588" t="n"/>
      <c r="BI688" s="588" t="n"/>
      <c r="BJ688" s="588" t="n"/>
      <c r="BK688" s="588" t="n"/>
      <c r="BL688" s="588" t="n"/>
      <c r="BM688" s="588" t="n"/>
      <c r="BN688" s="588" t="n"/>
      <c r="BO688" s="588" t="n"/>
      <c r="BP688" s="588" t="n"/>
      <c r="BQ688" s="588" t="n"/>
      <c r="BR688" s="588" t="n"/>
      <c r="BS688" s="588" t="n"/>
      <c r="BT688" s="588" t="n"/>
      <c r="BU688" s="588" t="n"/>
      <c r="BV688" s="588" t="n"/>
      <c r="BW688" s="588" t="n"/>
      <c r="BX688" s="588" t="n"/>
      <c r="BY688" s="588" t="n"/>
      <c r="BZ688" s="588" t="n"/>
      <c r="CA688" s="588" t="n"/>
      <c r="CB688" s="588" t="n"/>
      <c r="CC688" s="588" t="n"/>
      <c r="CD688" s="588" t="n"/>
      <c r="CE688" s="588" t="n"/>
      <c r="CF688" s="588" t="n"/>
      <c r="CG688" s="588" t="n"/>
      <c r="CH688" s="588" t="n"/>
      <c r="CI688" s="588" t="n"/>
      <c r="CJ688" s="588" t="n"/>
      <c r="CK688" s="588" t="n"/>
      <c r="CL688" s="588" t="n"/>
      <c r="CM688" s="588" t="n"/>
      <c r="CN688" s="588" t="n"/>
      <c r="CO688" s="588" t="n"/>
      <c r="CP688" s="588" t="n"/>
      <c r="CQ688" s="588" t="n"/>
      <c r="CR688" s="588" t="n"/>
      <c r="CS688" s="588" t="n"/>
      <c r="CT688" s="588" t="n"/>
      <c r="CU688" s="588" t="n"/>
      <c r="CV688" s="588" t="n"/>
      <c r="CW688" s="588" t="n"/>
      <c r="CX688" s="588" t="n"/>
      <c r="CY688" s="588" t="n"/>
      <c r="CZ688" s="588" t="n"/>
      <c r="DA688" s="588" t="n"/>
      <c r="DB688" s="588" t="n"/>
      <c r="DC688" s="588" t="n"/>
      <c r="DD688" s="588" t="n"/>
      <c r="DE688" s="588" t="n"/>
      <c r="DF688" s="588" t="n"/>
      <c r="DG688" s="588" t="n"/>
      <c r="DH688" s="588" t="n"/>
      <c r="DI688" s="588" t="n"/>
      <c r="DJ688" s="588" t="n"/>
      <c r="DK688" s="588" t="n"/>
      <c r="DL688" s="588" t="n"/>
      <c r="DM688" s="588" t="n"/>
      <c r="DN688" s="588" t="n"/>
      <c r="DO688" s="588" t="n"/>
      <c r="DP688" s="588" t="n"/>
      <c r="DQ688" s="588" t="n"/>
      <c r="DR688" s="588" t="n"/>
      <c r="DS688" s="588" t="n"/>
      <c r="DT688" s="588" t="n"/>
      <c r="DU688" s="588" t="n"/>
    </row>
    <row r="689">
      <c r="A689" s="737" t="n"/>
      <c r="B689" s="737" t="n"/>
      <c r="C689" s="737" t="n"/>
      <c r="D689" s="737" t="n"/>
      <c r="E689" s="737" t="n"/>
      <c r="F689" s="737" t="n"/>
      <c r="G689" s="737" t="n"/>
      <c r="H689" s="737" t="n"/>
      <c r="I689" s="737" t="n"/>
      <c r="J689" s="737" t="n"/>
      <c r="K689" s="737" t="n"/>
      <c r="L689" s="737" t="n"/>
      <c r="M689" s="737" t="n"/>
      <c r="N689" s="737" t="n"/>
      <c r="O689" s="737" t="n"/>
      <c r="P689" s="737" t="n"/>
      <c r="Q689" s="737" t="n"/>
      <c r="R689" s="737" t="n"/>
      <c r="S689" s="737" t="n"/>
      <c r="T689" s="737" t="n"/>
      <c r="U689" s="737" t="n"/>
      <c r="V689" s="737" t="n"/>
      <c r="W689" s="737" t="n"/>
      <c r="X689" s="737" t="n"/>
      <c r="Y689" s="737" t="n"/>
      <c r="Z689" s="737" t="n"/>
      <c r="AA689" s="737" t="n"/>
      <c r="AB689" s="737" t="n"/>
      <c r="AC689" s="737" t="n"/>
      <c r="AD689" s="737" t="n"/>
      <c r="AE689" s="737" t="n"/>
      <c r="AF689" s="737" t="n"/>
      <c r="AG689" s="737" t="n"/>
      <c r="AH689" s="737" t="n"/>
      <c r="AI689" s="737" t="n"/>
      <c r="AJ689" s="737" t="n"/>
      <c r="AK689" s="588" t="n"/>
      <c r="AL689" s="588" t="n"/>
      <c r="AM689" s="588" t="n"/>
      <c r="AN689" s="588" t="n"/>
      <c r="AO689" s="588" t="n"/>
      <c r="AP689" s="588" t="n"/>
      <c r="AQ689" s="588" t="n"/>
      <c r="AR689" s="588" t="n"/>
      <c r="AS689" s="588" t="n"/>
      <c r="AT689" s="588" t="n"/>
      <c r="AU689" s="588" t="n"/>
      <c r="AV689" s="588" t="n"/>
      <c r="AW689" s="588" t="n"/>
      <c r="AX689" s="588" t="n"/>
      <c r="AY689" s="588" t="n"/>
      <c r="AZ689" s="588" t="n"/>
      <c r="BA689" s="588" t="n"/>
      <c r="BB689" s="588" t="n"/>
      <c r="BC689" s="588" t="n"/>
      <c r="BD689" s="588" t="n"/>
      <c r="BE689" s="588" t="n"/>
      <c r="BF689" s="588" t="n"/>
      <c r="BG689" s="588" t="n"/>
      <c r="BH689" s="588" t="n"/>
      <c r="BI689" s="588" t="n"/>
      <c r="BJ689" s="588" t="n"/>
      <c r="BK689" s="588" t="n"/>
      <c r="BL689" s="588" t="n"/>
      <c r="BM689" s="588" t="n"/>
      <c r="BN689" s="588" t="n"/>
      <c r="BO689" s="588" t="n"/>
      <c r="BP689" s="588" t="n"/>
      <c r="BQ689" s="588" t="n"/>
      <c r="BR689" s="588" t="n"/>
      <c r="BS689" s="588" t="n"/>
      <c r="BT689" s="588" t="n"/>
      <c r="BU689" s="588" t="n"/>
      <c r="BV689" s="588" t="n"/>
      <c r="BW689" s="588" t="n"/>
      <c r="BX689" s="588" t="n"/>
      <c r="BY689" s="588" t="n"/>
      <c r="BZ689" s="588" t="n"/>
      <c r="CA689" s="588" t="n"/>
      <c r="CB689" s="588" t="n"/>
      <c r="CC689" s="588" t="n"/>
      <c r="CD689" s="588" t="n"/>
      <c r="CE689" s="588" t="n"/>
      <c r="CF689" s="588" t="n"/>
      <c r="CG689" s="588" t="n"/>
      <c r="CH689" s="588" t="n"/>
      <c r="CI689" s="588" t="n"/>
      <c r="CJ689" s="588" t="n"/>
      <c r="CK689" s="588" t="n"/>
      <c r="CL689" s="588" t="n"/>
      <c r="CM689" s="588" t="n"/>
      <c r="CN689" s="588" t="n"/>
      <c r="CO689" s="588" t="n"/>
      <c r="CP689" s="588" t="n"/>
      <c r="CQ689" s="588" t="n"/>
      <c r="CR689" s="588" t="n"/>
      <c r="CS689" s="588" t="n"/>
      <c r="CT689" s="588" t="n"/>
      <c r="CU689" s="588" t="n"/>
      <c r="CV689" s="588" t="n"/>
      <c r="CW689" s="588" t="n"/>
      <c r="CX689" s="588" t="n"/>
      <c r="CY689" s="588" t="n"/>
      <c r="CZ689" s="588" t="n"/>
      <c r="DA689" s="588" t="n"/>
      <c r="DB689" s="588" t="n"/>
      <c r="DC689" s="588" t="n"/>
      <c r="DD689" s="588" t="n"/>
      <c r="DE689" s="588" t="n"/>
      <c r="DF689" s="588" t="n"/>
      <c r="DG689" s="588" t="n"/>
      <c r="DH689" s="588" t="n"/>
      <c r="DI689" s="588" t="n"/>
      <c r="DJ689" s="588" t="n"/>
      <c r="DK689" s="588" t="n"/>
      <c r="DL689" s="588" t="n"/>
      <c r="DM689" s="588" t="n"/>
      <c r="DN689" s="588" t="n"/>
      <c r="DO689" s="588" t="n"/>
      <c r="DP689" s="588" t="n"/>
      <c r="DQ689" s="588" t="n"/>
      <c r="DR689" s="588" t="n"/>
      <c r="DS689" s="588" t="n"/>
      <c r="DT689" s="588" t="n"/>
      <c r="DU689" s="588" t="n"/>
    </row>
    <row r="690">
      <c r="A690" s="737" t="n"/>
      <c r="B690" s="737" t="n"/>
      <c r="C690" s="737" t="n"/>
      <c r="D690" s="737" t="n"/>
      <c r="E690" s="737" t="n"/>
      <c r="F690" s="737" t="n"/>
      <c r="G690" s="737" t="n"/>
      <c r="H690" s="737" t="n"/>
      <c r="I690" s="737" t="n"/>
      <c r="J690" s="737" t="n"/>
      <c r="K690" s="737" t="n"/>
      <c r="L690" s="737" t="n"/>
      <c r="M690" s="737" t="n"/>
      <c r="N690" s="737" t="n"/>
      <c r="O690" s="737" t="n"/>
      <c r="P690" s="737" t="n"/>
      <c r="Q690" s="737" t="n"/>
      <c r="R690" s="737" t="n"/>
      <c r="S690" s="737" t="n"/>
      <c r="T690" s="737" t="n"/>
      <c r="U690" s="737" t="n"/>
      <c r="V690" s="737" t="n"/>
      <c r="W690" s="737" t="n"/>
      <c r="X690" s="737" t="n"/>
      <c r="Y690" s="737" t="n"/>
      <c r="Z690" s="737" t="n"/>
      <c r="AA690" s="737" t="n"/>
      <c r="AB690" s="737" t="n"/>
      <c r="AC690" s="737" t="n"/>
      <c r="AD690" s="737" t="n"/>
      <c r="AE690" s="737" t="n"/>
      <c r="AF690" s="737" t="n"/>
      <c r="AG690" s="737" t="n"/>
      <c r="AH690" s="737" t="n"/>
      <c r="AI690" s="737" t="n"/>
      <c r="AJ690" s="737" t="n"/>
      <c r="AK690" s="588" t="n"/>
      <c r="AL690" s="588" t="n"/>
      <c r="AM690" s="588" t="n"/>
      <c r="AN690" s="588" t="n"/>
      <c r="AO690" s="588" t="n"/>
      <c r="AP690" s="588" t="n"/>
      <c r="AQ690" s="588" t="n"/>
      <c r="AR690" s="588" t="n"/>
      <c r="AS690" s="588" t="n"/>
      <c r="AT690" s="588" t="n"/>
      <c r="AU690" s="588" t="n"/>
      <c r="AV690" s="588" t="n"/>
      <c r="AW690" s="588" t="n"/>
      <c r="AX690" s="588" t="n"/>
      <c r="AY690" s="588" t="n"/>
      <c r="AZ690" s="588" t="n"/>
      <c r="BA690" s="588" t="n"/>
      <c r="BB690" s="588" t="n"/>
      <c r="BC690" s="588" t="n"/>
      <c r="BD690" s="588" t="n"/>
      <c r="BE690" s="588" t="n"/>
      <c r="BF690" s="588" t="n"/>
      <c r="BG690" s="588" t="n"/>
      <c r="BH690" s="588" t="n"/>
      <c r="BI690" s="588" t="n"/>
      <c r="BJ690" s="588" t="n"/>
      <c r="BK690" s="588" t="n"/>
      <c r="BL690" s="588" t="n"/>
      <c r="BM690" s="588" t="n"/>
      <c r="BN690" s="588" t="n"/>
      <c r="BO690" s="588" t="n"/>
      <c r="BP690" s="588" t="n"/>
      <c r="BQ690" s="588" t="n"/>
      <c r="BR690" s="588" t="n"/>
      <c r="BS690" s="588" t="n"/>
      <c r="BT690" s="588" t="n"/>
      <c r="BU690" s="588" t="n"/>
      <c r="BV690" s="588" t="n"/>
      <c r="BW690" s="588" t="n"/>
      <c r="BX690" s="588" t="n"/>
      <c r="BY690" s="588" t="n"/>
      <c r="BZ690" s="588" t="n"/>
      <c r="CA690" s="588" t="n"/>
      <c r="CB690" s="588" t="n"/>
      <c r="CC690" s="588" t="n"/>
      <c r="CD690" s="588" t="n"/>
      <c r="CE690" s="588" t="n"/>
      <c r="CF690" s="588" t="n"/>
      <c r="CG690" s="588" t="n"/>
      <c r="CH690" s="588" t="n"/>
      <c r="CI690" s="588" t="n"/>
      <c r="CJ690" s="588" t="n"/>
      <c r="CK690" s="588" t="n"/>
      <c r="CL690" s="588" t="n"/>
      <c r="CM690" s="588" t="n"/>
      <c r="CN690" s="588" t="n"/>
      <c r="CO690" s="588" t="n"/>
      <c r="CP690" s="588" t="n"/>
      <c r="CQ690" s="588" t="n"/>
      <c r="CR690" s="588" t="n"/>
      <c r="CS690" s="588" t="n"/>
      <c r="CT690" s="588" t="n"/>
      <c r="CU690" s="588" t="n"/>
      <c r="CV690" s="588" t="n"/>
      <c r="CW690" s="588" t="n"/>
      <c r="CX690" s="588" t="n"/>
      <c r="CY690" s="588" t="n"/>
      <c r="CZ690" s="588" t="n"/>
      <c r="DA690" s="588" t="n"/>
      <c r="DB690" s="588" t="n"/>
      <c r="DC690" s="588" t="n"/>
      <c r="DD690" s="588" t="n"/>
      <c r="DE690" s="588" t="n"/>
      <c r="DF690" s="588" t="n"/>
      <c r="DG690" s="588" t="n"/>
      <c r="DH690" s="588" t="n"/>
      <c r="DI690" s="588" t="n"/>
      <c r="DJ690" s="588" t="n"/>
      <c r="DK690" s="588" t="n"/>
      <c r="DL690" s="588" t="n"/>
      <c r="DM690" s="588" t="n"/>
      <c r="DN690" s="588" t="n"/>
      <c r="DO690" s="588" t="n"/>
      <c r="DP690" s="588" t="n"/>
      <c r="DQ690" s="588" t="n"/>
      <c r="DR690" s="588" t="n"/>
      <c r="DS690" s="588" t="n"/>
      <c r="DT690" s="588" t="n"/>
      <c r="DU690" s="588" t="n"/>
    </row>
    <row r="691">
      <c r="A691" s="737" t="n"/>
      <c r="B691" s="737" t="n"/>
      <c r="C691" s="737" t="n"/>
      <c r="D691" s="737" t="n"/>
      <c r="E691" s="737" t="n"/>
      <c r="F691" s="737" t="n"/>
      <c r="G691" s="737" t="n"/>
      <c r="H691" s="737" t="n"/>
      <c r="I691" s="737" t="n"/>
      <c r="J691" s="737" t="n"/>
      <c r="K691" s="737" t="n"/>
      <c r="L691" s="737" t="n"/>
      <c r="M691" s="737" t="n"/>
      <c r="N691" s="737" t="n"/>
      <c r="O691" s="737" t="n"/>
      <c r="P691" s="737" t="n"/>
      <c r="Q691" s="737" t="n"/>
      <c r="R691" s="737" t="n"/>
      <c r="S691" s="737" t="n"/>
      <c r="T691" s="737" t="n"/>
      <c r="U691" s="737" t="n"/>
      <c r="V691" s="737" t="n"/>
      <c r="W691" s="737" t="n"/>
      <c r="X691" s="737" t="n"/>
      <c r="Y691" s="737" t="n"/>
      <c r="Z691" s="737" t="n"/>
      <c r="AA691" s="737" t="n"/>
      <c r="AB691" s="737" t="n"/>
      <c r="AC691" s="737" t="n"/>
      <c r="AD691" s="737" t="n"/>
      <c r="AE691" s="737" t="n"/>
      <c r="AF691" s="737" t="n"/>
      <c r="AG691" s="737" t="n"/>
      <c r="AH691" s="737" t="n"/>
      <c r="AI691" s="737" t="n"/>
      <c r="AJ691" s="737" t="n"/>
      <c r="AK691" s="588" t="n"/>
      <c r="AL691" s="588" t="n"/>
      <c r="AM691" s="588" t="n"/>
      <c r="AN691" s="588" t="n"/>
      <c r="AO691" s="588" t="n"/>
      <c r="AP691" s="588" t="n"/>
      <c r="AQ691" s="588" t="n"/>
      <c r="AR691" s="588" t="n"/>
      <c r="AS691" s="588" t="n"/>
      <c r="AT691" s="588" t="n"/>
      <c r="AU691" s="588" t="n"/>
      <c r="AV691" s="588" t="n"/>
      <c r="AW691" s="588" t="n"/>
      <c r="AX691" s="588" t="n"/>
      <c r="AY691" s="588" t="n"/>
      <c r="AZ691" s="588" t="n"/>
      <c r="BA691" s="588" t="n"/>
      <c r="BB691" s="588" t="n"/>
      <c r="BC691" s="588" t="n"/>
      <c r="BD691" s="588" t="n"/>
      <c r="BE691" s="588" t="n"/>
      <c r="BF691" s="588" t="n"/>
      <c r="BG691" s="588" t="n"/>
      <c r="BH691" s="588" t="n"/>
      <c r="BI691" s="588" t="n"/>
      <c r="BJ691" s="588" t="n"/>
      <c r="BK691" s="588" t="n"/>
      <c r="BL691" s="588" t="n"/>
      <c r="BM691" s="588" t="n"/>
      <c r="BN691" s="588" t="n"/>
      <c r="BO691" s="588" t="n"/>
      <c r="BP691" s="588" t="n"/>
      <c r="BQ691" s="588" t="n"/>
      <c r="BR691" s="588" t="n"/>
      <c r="BS691" s="588" t="n"/>
      <c r="BT691" s="588" t="n"/>
      <c r="BU691" s="588" t="n"/>
      <c r="BV691" s="588" t="n"/>
      <c r="BW691" s="588" t="n"/>
      <c r="BX691" s="588" t="n"/>
      <c r="BY691" s="588" t="n"/>
      <c r="BZ691" s="588" t="n"/>
      <c r="CA691" s="588" t="n"/>
      <c r="CB691" s="588" t="n"/>
      <c r="CC691" s="588" t="n"/>
      <c r="CD691" s="588" t="n"/>
      <c r="CE691" s="588" t="n"/>
      <c r="CF691" s="588" t="n"/>
      <c r="CG691" s="588" t="n"/>
      <c r="CH691" s="588" t="n"/>
      <c r="CI691" s="588" t="n"/>
      <c r="CJ691" s="588" t="n"/>
      <c r="CK691" s="588" t="n"/>
      <c r="CL691" s="588" t="n"/>
      <c r="CM691" s="588" t="n"/>
      <c r="CN691" s="588" t="n"/>
      <c r="CO691" s="588" t="n"/>
      <c r="CP691" s="588" t="n"/>
      <c r="CQ691" s="588" t="n"/>
      <c r="CR691" s="588" t="n"/>
      <c r="CS691" s="588" t="n"/>
      <c r="CT691" s="588" t="n"/>
      <c r="CU691" s="588" t="n"/>
      <c r="CV691" s="588" t="n"/>
      <c r="CW691" s="588" t="n"/>
      <c r="CX691" s="588" t="n"/>
      <c r="CY691" s="588" t="n"/>
      <c r="CZ691" s="588" t="n"/>
      <c r="DA691" s="588" t="n"/>
      <c r="DB691" s="588" t="n"/>
      <c r="DC691" s="588" t="n"/>
      <c r="DD691" s="588" t="n"/>
      <c r="DE691" s="588" t="n"/>
      <c r="DF691" s="588" t="n"/>
      <c r="DG691" s="588" t="n"/>
      <c r="DH691" s="588" t="n"/>
      <c r="DI691" s="588" t="n"/>
      <c r="DJ691" s="588" t="n"/>
      <c r="DK691" s="588" t="n"/>
      <c r="DL691" s="588" t="n"/>
      <c r="DM691" s="588" t="n"/>
      <c r="DN691" s="588" t="n"/>
      <c r="DO691" s="588" t="n"/>
      <c r="DP691" s="588" t="n"/>
      <c r="DQ691" s="588" t="n"/>
      <c r="DR691" s="588" t="n"/>
      <c r="DS691" s="588" t="n"/>
      <c r="DT691" s="588" t="n"/>
      <c r="DU691" s="588" t="n"/>
    </row>
    <row r="692">
      <c r="A692" s="737" t="n"/>
      <c r="B692" s="737" t="n"/>
      <c r="C692" s="737" t="n"/>
      <c r="D692" s="737" t="n"/>
      <c r="E692" s="737" t="n"/>
      <c r="F692" s="737" t="n"/>
      <c r="G692" s="737" t="n"/>
      <c r="H692" s="737" t="n"/>
      <c r="I692" s="737" t="n"/>
      <c r="J692" s="737" t="n"/>
      <c r="K692" s="737" t="n"/>
      <c r="L692" s="737" t="n"/>
      <c r="M692" s="737" t="n"/>
      <c r="N692" s="737" t="n"/>
      <c r="O692" s="737" t="n"/>
      <c r="P692" s="737" t="n"/>
      <c r="Q692" s="737" t="n"/>
      <c r="R692" s="737" t="n"/>
      <c r="S692" s="737" t="n"/>
      <c r="T692" s="737" t="n"/>
      <c r="U692" s="737" t="n"/>
      <c r="V692" s="737" t="n"/>
      <c r="W692" s="737" t="n"/>
      <c r="X692" s="737" t="n"/>
      <c r="Y692" s="737" t="n"/>
      <c r="Z692" s="737" t="n"/>
      <c r="AA692" s="737" t="n"/>
      <c r="AB692" s="737" t="n"/>
      <c r="AC692" s="737" t="n"/>
      <c r="AD692" s="737" t="n"/>
      <c r="AE692" s="737" t="n"/>
      <c r="AF692" s="737" t="n"/>
      <c r="AG692" s="737" t="n"/>
      <c r="AH692" s="737" t="n"/>
      <c r="AI692" s="737" t="n"/>
      <c r="AJ692" s="737" t="n"/>
      <c r="AK692" s="588" t="n"/>
      <c r="AL692" s="588" t="n"/>
      <c r="AM692" s="588" t="n"/>
      <c r="AN692" s="588" t="n"/>
      <c r="AO692" s="588" t="n"/>
      <c r="AP692" s="588" t="n"/>
      <c r="AQ692" s="588" t="n"/>
      <c r="AR692" s="588" t="n"/>
      <c r="AS692" s="588" t="n"/>
      <c r="AT692" s="588" t="n"/>
      <c r="AU692" s="588" t="n"/>
      <c r="AV692" s="588" t="n"/>
      <c r="AW692" s="588" t="n"/>
      <c r="AX692" s="588" t="n"/>
      <c r="AY692" s="588" t="n"/>
      <c r="AZ692" s="588" t="n"/>
      <c r="BA692" s="588" t="n"/>
      <c r="BB692" s="588" t="n"/>
      <c r="BC692" s="588" t="n"/>
      <c r="BD692" s="588" t="n"/>
      <c r="BE692" s="588" t="n"/>
      <c r="BF692" s="588" t="n"/>
      <c r="BG692" s="588" t="n"/>
      <c r="BH692" s="588" t="n"/>
      <c r="BI692" s="588" t="n"/>
      <c r="BJ692" s="588" t="n"/>
      <c r="BK692" s="588" t="n"/>
      <c r="BL692" s="588" t="n"/>
      <c r="BM692" s="588" t="n"/>
      <c r="BN692" s="588" t="n"/>
      <c r="BO692" s="588" t="n"/>
      <c r="BP692" s="588" t="n"/>
      <c r="BQ692" s="588" t="n"/>
      <c r="BR692" s="588" t="n"/>
      <c r="BS692" s="588" t="n"/>
      <c r="BT692" s="588" t="n"/>
      <c r="BU692" s="588" t="n"/>
      <c r="BV692" s="588" t="n"/>
      <c r="BW692" s="588" t="n"/>
      <c r="BX692" s="588" t="n"/>
      <c r="BY692" s="588" t="n"/>
      <c r="BZ692" s="588" t="n"/>
      <c r="CA692" s="588" t="n"/>
      <c r="CB692" s="588" t="n"/>
      <c r="CC692" s="588" t="n"/>
      <c r="CD692" s="588" t="n"/>
      <c r="CE692" s="588" t="n"/>
      <c r="CF692" s="588" t="n"/>
      <c r="CG692" s="588" t="n"/>
      <c r="CH692" s="588" t="n"/>
      <c r="CI692" s="588" t="n"/>
      <c r="CJ692" s="588" t="n"/>
      <c r="CK692" s="588" t="n"/>
      <c r="CL692" s="588" t="n"/>
      <c r="CM692" s="588" t="n"/>
      <c r="CN692" s="588" t="n"/>
      <c r="CO692" s="588" t="n"/>
      <c r="CP692" s="588" t="n"/>
      <c r="CQ692" s="588" t="n"/>
      <c r="CR692" s="588" t="n"/>
      <c r="CS692" s="588" t="n"/>
      <c r="CT692" s="588" t="n"/>
      <c r="CU692" s="588" t="n"/>
      <c r="CV692" s="588" t="n"/>
      <c r="CW692" s="588" t="n"/>
      <c r="CX692" s="588" t="n"/>
      <c r="CY692" s="588" t="n"/>
      <c r="CZ692" s="588" t="n"/>
      <c r="DA692" s="588" t="n"/>
      <c r="DB692" s="588" t="n"/>
      <c r="DC692" s="588" t="n"/>
      <c r="DD692" s="588" t="n"/>
      <c r="DE692" s="588" t="n"/>
      <c r="DF692" s="588" t="n"/>
      <c r="DG692" s="588" t="n"/>
      <c r="DH692" s="588" t="n"/>
      <c r="DI692" s="588" t="n"/>
      <c r="DJ692" s="588" t="n"/>
      <c r="DK692" s="588" t="n"/>
      <c r="DL692" s="588" t="n"/>
      <c r="DM692" s="588" t="n"/>
      <c r="DN692" s="588" t="n"/>
      <c r="DO692" s="588" t="n"/>
      <c r="DP692" s="588" t="n"/>
      <c r="DQ692" s="588" t="n"/>
      <c r="DR692" s="588" t="n"/>
      <c r="DS692" s="588" t="n"/>
      <c r="DT692" s="588" t="n"/>
      <c r="DU692" s="588" t="n"/>
    </row>
    <row r="693">
      <c r="A693" s="737" t="n"/>
      <c r="B693" s="737" t="n"/>
      <c r="C693" s="737" t="n"/>
      <c r="D693" s="737" t="n"/>
      <c r="E693" s="737" t="n"/>
      <c r="F693" s="737" t="n"/>
      <c r="G693" s="737" t="n"/>
      <c r="H693" s="737" t="n"/>
      <c r="I693" s="737" t="n"/>
      <c r="J693" s="737" t="n"/>
      <c r="K693" s="737" t="n"/>
      <c r="L693" s="737" t="n"/>
      <c r="M693" s="737" t="n"/>
      <c r="N693" s="737" t="n"/>
      <c r="O693" s="737" t="n"/>
      <c r="P693" s="737" t="n"/>
      <c r="Q693" s="737" t="n"/>
      <c r="R693" s="737" t="n"/>
      <c r="S693" s="737" t="n"/>
      <c r="T693" s="737" t="n"/>
      <c r="U693" s="737" t="n"/>
      <c r="V693" s="737" t="n"/>
      <c r="W693" s="737" t="n"/>
      <c r="X693" s="737" t="n"/>
      <c r="Y693" s="737" t="n"/>
      <c r="Z693" s="737" t="n"/>
      <c r="AA693" s="737" t="n"/>
      <c r="AB693" s="737" t="n"/>
      <c r="AC693" s="737" t="n"/>
      <c r="AD693" s="737" t="n"/>
      <c r="AE693" s="737" t="n"/>
      <c r="AF693" s="737" t="n"/>
      <c r="AG693" s="737" t="n"/>
      <c r="AH693" s="737" t="n"/>
      <c r="AI693" s="737" t="n"/>
      <c r="AJ693" s="737" t="n"/>
      <c r="AK693" s="588" t="n"/>
      <c r="AL693" s="588" t="n"/>
      <c r="AM693" s="588" t="n"/>
      <c r="AN693" s="588" t="n"/>
      <c r="AO693" s="588" t="n"/>
      <c r="AP693" s="588" t="n"/>
      <c r="AQ693" s="588" t="n"/>
      <c r="AR693" s="588" t="n"/>
      <c r="AS693" s="588" t="n"/>
      <c r="AT693" s="588" t="n"/>
      <c r="AU693" s="588" t="n"/>
      <c r="AV693" s="588" t="n"/>
      <c r="AW693" s="588" t="n"/>
      <c r="AX693" s="588" t="n"/>
      <c r="AY693" s="588" t="n"/>
      <c r="AZ693" s="588" t="n"/>
      <c r="BA693" s="588" t="n"/>
      <c r="BB693" s="588" t="n"/>
      <c r="BC693" s="588" t="n"/>
      <c r="BD693" s="588" t="n"/>
      <c r="BE693" s="588" t="n"/>
      <c r="BF693" s="588" t="n"/>
      <c r="BG693" s="588" t="n"/>
      <c r="BH693" s="588" t="n"/>
      <c r="BI693" s="588" t="n"/>
      <c r="BJ693" s="588" t="n"/>
      <c r="BK693" s="588" t="n"/>
      <c r="BL693" s="588" t="n"/>
      <c r="BM693" s="588" t="n"/>
      <c r="BN693" s="588" t="n"/>
      <c r="BO693" s="588" t="n"/>
      <c r="BP693" s="588" t="n"/>
      <c r="BQ693" s="588" t="n"/>
      <c r="BR693" s="588" t="n"/>
      <c r="BS693" s="588" t="n"/>
      <c r="BT693" s="588" t="n"/>
      <c r="BU693" s="588" t="n"/>
      <c r="BV693" s="588" t="n"/>
      <c r="BW693" s="588" t="n"/>
      <c r="BX693" s="588" t="n"/>
      <c r="BY693" s="588" t="n"/>
      <c r="BZ693" s="588" t="n"/>
      <c r="CA693" s="588" t="n"/>
      <c r="CB693" s="588" t="n"/>
      <c r="CC693" s="588" t="n"/>
      <c r="CD693" s="588" t="n"/>
      <c r="CE693" s="588" t="n"/>
      <c r="CF693" s="588" t="n"/>
      <c r="CG693" s="588" t="n"/>
      <c r="CH693" s="588" t="n"/>
      <c r="CI693" s="588" t="n"/>
      <c r="CJ693" s="588" t="n"/>
      <c r="CK693" s="588" t="n"/>
      <c r="CL693" s="588" t="n"/>
      <c r="CM693" s="588" t="n"/>
      <c r="CN693" s="588" t="n"/>
      <c r="CO693" s="588" t="n"/>
      <c r="CP693" s="588" t="n"/>
      <c r="CQ693" s="588" t="n"/>
      <c r="CR693" s="588" t="n"/>
      <c r="CS693" s="588" t="n"/>
      <c r="CT693" s="588" t="n"/>
      <c r="CU693" s="588" t="n"/>
      <c r="CV693" s="588" t="n"/>
      <c r="CW693" s="588" t="n"/>
      <c r="CX693" s="588" t="n"/>
      <c r="CY693" s="588" t="n"/>
      <c r="CZ693" s="588" t="n"/>
      <c r="DA693" s="588" t="n"/>
      <c r="DB693" s="588" t="n"/>
      <c r="DC693" s="588" t="n"/>
      <c r="DD693" s="588" t="n"/>
      <c r="DE693" s="588" t="n"/>
      <c r="DF693" s="588" t="n"/>
      <c r="DG693" s="588" t="n"/>
      <c r="DH693" s="588" t="n"/>
      <c r="DI693" s="588" t="n"/>
      <c r="DJ693" s="588" t="n"/>
      <c r="DK693" s="588" t="n"/>
      <c r="DL693" s="588" t="n"/>
      <c r="DM693" s="588" t="n"/>
      <c r="DN693" s="588" t="n"/>
      <c r="DO693" s="588" t="n"/>
      <c r="DP693" s="588" t="n"/>
      <c r="DQ693" s="588" t="n"/>
      <c r="DR693" s="588" t="n"/>
      <c r="DS693" s="588" t="n"/>
      <c r="DT693" s="588" t="n"/>
      <c r="DU693" s="588" t="n"/>
    </row>
    <row r="694">
      <c r="A694" s="737" t="n"/>
      <c r="B694" s="737" t="n"/>
      <c r="C694" s="737" t="n"/>
      <c r="D694" s="737" t="n"/>
      <c r="E694" s="737" t="n"/>
      <c r="F694" s="737" t="n"/>
      <c r="G694" s="737" t="n"/>
      <c r="H694" s="737" t="n"/>
      <c r="I694" s="737" t="n"/>
      <c r="J694" s="737" t="n"/>
      <c r="K694" s="737" t="n"/>
      <c r="L694" s="737" t="n"/>
      <c r="M694" s="737" t="n"/>
      <c r="N694" s="737" t="n"/>
      <c r="O694" s="737" t="n"/>
      <c r="P694" s="737" t="n"/>
      <c r="Q694" s="737" t="n"/>
      <c r="R694" s="737" t="n"/>
      <c r="S694" s="737" t="n"/>
      <c r="T694" s="737" t="n"/>
      <c r="U694" s="737" t="n"/>
      <c r="V694" s="737" t="n"/>
      <c r="W694" s="737" t="n"/>
      <c r="X694" s="737" t="n"/>
      <c r="Y694" s="737" t="n"/>
      <c r="Z694" s="737" t="n"/>
      <c r="AA694" s="737" t="n"/>
      <c r="AB694" s="737" t="n"/>
      <c r="AC694" s="737" t="n"/>
      <c r="AD694" s="737" t="n"/>
      <c r="AE694" s="737" t="n"/>
      <c r="AF694" s="737" t="n"/>
      <c r="AG694" s="737" t="n"/>
      <c r="AH694" s="737" t="n"/>
      <c r="AI694" s="737" t="n"/>
      <c r="AJ694" s="737" t="n"/>
      <c r="AK694" s="588" t="n"/>
      <c r="AL694" s="588" t="n"/>
      <c r="AM694" s="588" t="n"/>
      <c r="AN694" s="588" t="n"/>
      <c r="AO694" s="588" t="n"/>
      <c r="AP694" s="588" t="n"/>
      <c r="AQ694" s="588" t="n"/>
      <c r="AR694" s="588" t="n"/>
      <c r="AS694" s="588" t="n"/>
      <c r="AT694" s="588" t="n"/>
      <c r="AU694" s="588" t="n"/>
      <c r="AV694" s="588" t="n"/>
      <c r="AW694" s="588" t="n"/>
      <c r="AX694" s="588" t="n"/>
      <c r="AY694" s="588" t="n"/>
      <c r="AZ694" s="588" t="n"/>
      <c r="BA694" s="588" t="n"/>
      <c r="BB694" s="588" t="n"/>
      <c r="BC694" s="588" t="n"/>
      <c r="BD694" s="588" t="n"/>
      <c r="BE694" s="588" t="n"/>
      <c r="BF694" s="588" t="n"/>
      <c r="BG694" s="588" t="n"/>
      <c r="BH694" s="588" t="n"/>
      <c r="BI694" s="588" t="n"/>
      <c r="BJ694" s="588" t="n"/>
      <c r="BK694" s="588" t="n"/>
      <c r="BL694" s="588" t="n"/>
      <c r="BM694" s="588" t="n"/>
      <c r="BN694" s="588" t="n"/>
      <c r="BO694" s="588" t="n"/>
      <c r="BP694" s="588" t="n"/>
      <c r="BQ694" s="588" t="n"/>
      <c r="BR694" s="588" t="n"/>
      <c r="BS694" s="588" t="n"/>
      <c r="BT694" s="588" t="n"/>
      <c r="BU694" s="588" t="n"/>
      <c r="BV694" s="588" t="n"/>
      <c r="BW694" s="588" t="n"/>
      <c r="BX694" s="588" t="n"/>
      <c r="BY694" s="588" t="n"/>
      <c r="BZ694" s="588" t="n"/>
      <c r="CA694" s="588" t="n"/>
      <c r="CB694" s="588" t="n"/>
      <c r="CC694" s="588" t="n"/>
      <c r="CD694" s="588" t="n"/>
      <c r="CE694" s="588" t="n"/>
      <c r="CF694" s="588" t="n"/>
      <c r="CG694" s="588" t="n"/>
      <c r="CH694" s="588" t="n"/>
      <c r="CI694" s="588" t="n"/>
      <c r="CJ694" s="588" t="n"/>
      <c r="CK694" s="588" t="n"/>
      <c r="CL694" s="588" t="n"/>
      <c r="CM694" s="588" t="n"/>
      <c r="CN694" s="588" t="n"/>
      <c r="CO694" s="588" t="n"/>
      <c r="CP694" s="588" t="n"/>
      <c r="CQ694" s="588" t="n"/>
      <c r="CR694" s="588" t="n"/>
      <c r="CS694" s="588" t="n"/>
      <c r="CT694" s="588" t="n"/>
      <c r="CU694" s="588" t="n"/>
      <c r="CV694" s="588" t="n"/>
      <c r="CW694" s="588" t="n"/>
      <c r="CX694" s="588" t="n"/>
      <c r="CY694" s="588" t="n"/>
      <c r="CZ694" s="588" t="n"/>
      <c r="DA694" s="588" t="n"/>
      <c r="DB694" s="588" t="n"/>
      <c r="DC694" s="588" t="n"/>
      <c r="DD694" s="588" t="n"/>
      <c r="DE694" s="588" t="n"/>
      <c r="DF694" s="588" t="n"/>
      <c r="DG694" s="588" t="n"/>
      <c r="DH694" s="588" t="n"/>
      <c r="DI694" s="588" t="n"/>
      <c r="DJ694" s="588" t="n"/>
      <c r="DK694" s="588" t="n"/>
      <c r="DL694" s="588" t="n"/>
      <c r="DM694" s="588" t="n"/>
      <c r="DN694" s="588" t="n"/>
      <c r="DO694" s="588" t="n"/>
      <c r="DP694" s="588" t="n"/>
      <c r="DQ694" s="588" t="n"/>
      <c r="DR694" s="588" t="n"/>
      <c r="DS694" s="588" t="n"/>
      <c r="DT694" s="588" t="n"/>
      <c r="DU694" s="588" t="n"/>
    </row>
    <row r="695">
      <c r="A695" s="737" t="n"/>
      <c r="B695" s="737" t="n"/>
      <c r="C695" s="737" t="n"/>
      <c r="D695" s="737" t="n"/>
      <c r="E695" s="737" t="n"/>
      <c r="F695" s="737" t="n"/>
      <c r="G695" s="737" t="n"/>
      <c r="H695" s="737" t="n"/>
      <c r="I695" s="737" t="n"/>
      <c r="J695" s="737" t="n"/>
      <c r="K695" s="737" t="n"/>
      <c r="L695" s="737" t="n"/>
      <c r="M695" s="737" t="n"/>
      <c r="N695" s="737" t="n"/>
      <c r="O695" s="737" t="n"/>
      <c r="P695" s="737" t="n"/>
      <c r="Q695" s="737" t="n"/>
      <c r="R695" s="737" t="n"/>
      <c r="S695" s="737" t="n"/>
      <c r="T695" s="737" t="n"/>
      <c r="U695" s="737" t="n"/>
      <c r="V695" s="737" t="n"/>
      <c r="W695" s="737" t="n"/>
      <c r="X695" s="737" t="n"/>
      <c r="Y695" s="737" t="n"/>
      <c r="Z695" s="737" t="n"/>
      <c r="AA695" s="737" t="n"/>
      <c r="AB695" s="737" t="n"/>
      <c r="AC695" s="737" t="n"/>
      <c r="AD695" s="737" t="n"/>
      <c r="AE695" s="737" t="n"/>
      <c r="AF695" s="737" t="n"/>
      <c r="AG695" s="737" t="n"/>
      <c r="AH695" s="737" t="n"/>
      <c r="AI695" s="737" t="n"/>
      <c r="AJ695" s="737" t="n"/>
      <c r="AK695" s="588" t="n"/>
      <c r="AL695" s="588" t="n"/>
      <c r="AM695" s="588" t="n"/>
      <c r="AN695" s="588" t="n"/>
      <c r="AO695" s="588" t="n"/>
      <c r="AP695" s="588" t="n"/>
      <c r="AQ695" s="588" t="n"/>
      <c r="AR695" s="588" t="n"/>
      <c r="AS695" s="588" t="n"/>
      <c r="AT695" s="588" t="n"/>
      <c r="AU695" s="588" t="n"/>
      <c r="AV695" s="588" t="n"/>
      <c r="AW695" s="588" t="n"/>
      <c r="AX695" s="588" t="n"/>
      <c r="AY695" s="588" t="n"/>
      <c r="AZ695" s="588" t="n"/>
      <c r="BA695" s="588" t="n"/>
      <c r="BB695" s="588" t="n"/>
      <c r="BC695" s="588" t="n"/>
      <c r="BD695" s="588" t="n"/>
      <c r="BE695" s="588" t="n"/>
      <c r="BF695" s="588" t="n"/>
      <c r="BG695" s="588" t="n"/>
      <c r="BH695" s="588" t="n"/>
      <c r="BI695" s="588" t="n"/>
      <c r="BJ695" s="588" t="n"/>
      <c r="BK695" s="588" t="n"/>
      <c r="BL695" s="588" t="n"/>
      <c r="BM695" s="588" t="n"/>
      <c r="BN695" s="588" t="n"/>
      <c r="BO695" s="588" t="n"/>
      <c r="BP695" s="588" t="n"/>
      <c r="BQ695" s="588" t="n"/>
      <c r="BR695" s="588" t="n"/>
      <c r="BS695" s="588" t="n"/>
      <c r="BT695" s="588" t="n"/>
      <c r="BU695" s="588" t="n"/>
      <c r="BV695" s="588" t="n"/>
      <c r="BW695" s="588" t="n"/>
      <c r="BX695" s="588" t="n"/>
      <c r="BY695" s="588" t="n"/>
      <c r="BZ695" s="588" t="n"/>
      <c r="CA695" s="588" t="n"/>
      <c r="CB695" s="588" t="n"/>
      <c r="CC695" s="588" t="n"/>
      <c r="CD695" s="588" t="n"/>
      <c r="CE695" s="588" t="n"/>
      <c r="CF695" s="588" t="n"/>
      <c r="CG695" s="588" t="n"/>
      <c r="CH695" s="588" t="n"/>
      <c r="CI695" s="588" t="n"/>
      <c r="CJ695" s="588" t="n"/>
      <c r="CK695" s="588" t="n"/>
      <c r="CL695" s="588" t="n"/>
      <c r="CM695" s="588" t="n"/>
      <c r="CN695" s="588" t="n"/>
      <c r="CO695" s="588" t="n"/>
      <c r="CP695" s="588" t="n"/>
      <c r="CQ695" s="588" t="n"/>
      <c r="CR695" s="588" t="n"/>
      <c r="CS695" s="588" t="n"/>
      <c r="CT695" s="588" t="n"/>
      <c r="CU695" s="588" t="n"/>
      <c r="CV695" s="588" t="n"/>
      <c r="CW695" s="588" t="n"/>
      <c r="CX695" s="588" t="n"/>
      <c r="CY695" s="588" t="n"/>
      <c r="CZ695" s="588" t="n"/>
      <c r="DA695" s="588" t="n"/>
      <c r="DB695" s="588" t="n"/>
      <c r="DC695" s="588" t="n"/>
      <c r="DD695" s="588" t="n"/>
      <c r="DE695" s="588" t="n"/>
      <c r="DF695" s="588" t="n"/>
      <c r="DG695" s="588" t="n"/>
      <c r="DH695" s="588" t="n"/>
      <c r="DI695" s="588" t="n"/>
      <c r="DJ695" s="588" t="n"/>
      <c r="DK695" s="588" t="n"/>
      <c r="DL695" s="588" t="n"/>
      <c r="DM695" s="588" t="n"/>
      <c r="DN695" s="588" t="n"/>
      <c r="DO695" s="588" t="n"/>
      <c r="DP695" s="588" t="n"/>
      <c r="DQ695" s="588" t="n"/>
      <c r="DR695" s="588" t="n"/>
      <c r="DS695" s="588" t="n"/>
      <c r="DT695" s="588" t="n"/>
      <c r="DU695" s="588" t="n"/>
    </row>
    <row r="696">
      <c r="A696" s="737" t="n"/>
      <c r="B696" s="737" t="n"/>
      <c r="C696" s="737" t="n"/>
      <c r="D696" s="737" t="n"/>
      <c r="E696" s="737" t="n"/>
      <c r="F696" s="737" t="n"/>
      <c r="G696" s="737" t="n"/>
      <c r="H696" s="737" t="n"/>
      <c r="I696" s="737" t="n"/>
      <c r="J696" s="737" t="n"/>
      <c r="K696" s="737" t="n"/>
      <c r="L696" s="737" t="n"/>
      <c r="M696" s="737" t="n"/>
      <c r="N696" s="737" t="n"/>
      <c r="O696" s="737" t="n"/>
      <c r="P696" s="737" t="n"/>
      <c r="Q696" s="737" t="n"/>
      <c r="R696" s="737" t="n"/>
      <c r="S696" s="737" t="n"/>
      <c r="T696" s="737" t="n"/>
      <c r="U696" s="737" t="n"/>
      <c r="V696" s="737" t="n"/>
      <c r="W696" s="737" t="n"/>
      <c r="X696" s="737" t="n"/>
      <c r="Y696" s="737" t="n"/>
      <c r="Z696" s="737" t="n"/>
      <c r="AA696" s="737" t="n"/>
      <c r="AB696" s="737" t="n"/>
      <c r="AC696" s="737" t="n"/>
      <c r="AD696" s="737" t="n"/>
      <c r="AE696" s="737" t="n"/>
      <c r="AF696" s="737" t="n"/>
      <c r="AG696" s="737" t="n"/>
      <c r="AH696" s="737" t="n"/>
      <c r="AI696" s="737" t="n"/>
      <c r="AJ696" s="737" t="n"/>
      <c r="AK696" s="588" t="n"/>
      <c r="AL696" s="588" t="n"/>
      <c r="AM696" s="588" t="n"/>
      <c r="AN696" s="588" t="n"/>
      <c r="AO696" s="588" t="n"/>
      <c r="AP696" s="588" t="n"/>
      <c r="AQ696" s="588" t="n"/>
      <c r="AR696" s="588" t="n"/>
      <c r="AS696" s="588" t="n"/>
      <c r="AT696" s="588" t="n"/>
      <c r="AU696" s="588" t="n"/>
      <c r="AV696" s="588" t="n"/>
      <c r="AW696" s="588" t="n"/>
      <c r="AX696" s="588" t="n"/>
      <c r="AY696" s="588" t="n"/>
      <c r="AZ696" s="588" t="n"/>
      <c r="BA696" s="588" t="n"/>
      <c r="BB696" s="588" t="n"/>
      <c r="BC696" s="588" t="n"/>
      <c r="BD696" s="588" t="n"/>
      <c r="BE696" s="588" t="n"/>
      <c r="BF696" s="588" t="n"/>
      <c r="BG696" s="588" t="n"/>
      <c r="BH696" s="588" t="n"/>
      <c r="BI696" s="588" t="n"/>
      <c r="BJ696" s="588" t="n"/>
      <c r="BK696" s="588" t="n"/>
      <c r="BL696" s="588" t="n"/>
      <c r="BM696" s="588" t="n"/>
      <c r="BN696" s="588" t="n"/>
      <c r="BO696" s="588" t="n"/>
      <c r="BP696" s="588" t="n"/>
      <c r="BQ696" s="588" t="n"/>
      <c r="BR696" s="588" t="n"/>
      <c r="BS696" s="588" t="n"/>
      <c r="BT696" s="588" t="n"/>
      <c r="BU696" s="588" t="n"/>
      <c r="BV696" s="588" t="n"/>
      <c r="BW696" s="588" t="n"/>
      <c r="BX696" s="588" t="n"/>
      <c r="BY696" s="588" t="n"/>
      <c r="BZ696" s="588" t="n"/>
      <c r="CA696" s="588" t="n"/>
      <c r="CB696" s="588" t="n"/>
      <c r="CC696" s="588" t="n"/>
      <c r="CD696" s="588" t="n"/>
      <c r="CE696" s="588" t="n"/>
      <c r="CF696" s="588" t="n"/>
      <c r="CG696" s="588" t="n"/>
      <c r="CH696" s="588" t="n"/>
      <c r="CI696" s="588" t="n"/>
      <c r="CJ696" s="588" t="n"/>
      <c r="CK696" s="588" t="n"/>
      <c r="CL696" s="588" t="n"/>
      <c r="CM696" s="588" t="n"/>
      <c r="CN696" s="588" t="n"/>
      <c r="CO696" s="588" t="n"/>
      <c r="CP696" s="588" t="n"/>
      <c r="CQ696" s="588" t="n"/>
      <c r="CR696" s="588" t="n"/>
      <c r="CS696" s="588" t="n"/>
      <c r="CT696" s="588" t="n"/>
      <c r="CU696" s="588" t="n"/>
      <c r="CV696" s="588" t="n"/>
      <c r="CW696" s="588" t="n"/>
      <c r="CX696" s="588" t="n"/>
      <c r="CY696" s="588" t="n"/>
      <c r="CZ696" s="588" t="n"/>
      <c r="DA696" s="588" t="n"/>
      <c r="DB696" s="588" t="n"/>
      <c r="DC696" s="588" t="n"/>
      <c r="DD696" s="588" t="n"/>
      <c r="DE696" s="588" t="n"/>
      <c r="DF696" s="588" t="n"/>
      <c r="DG696" s="588" t="n"/>
      <c r="DH696" s="588" t="n"/>
      <c r="DI696" s="588" t="n"/>
      <c r="DJ696" s="588" t="n"/>
      <c r="DK696" s="588" t="n"/>
      <c r="DL696" s="588" t="n"/>
      <c r="DM696" s="588" t="n"/>
      <c r="DN696" s="588" t="n"/>
      <c r="DO696" s="588" t="n"/>
      <c r="DP696" s="588" t="n"/>
      <c r="DQ696" s="588" t="n"/>
      <c r="DR696" s="588" t="n"/>
      <c r="DS696" s="588" t="n"/>
      <c r="DT696" s="588" t="n"/>
      <c r="DU696" s="588" t="n"/>
    </row>
    <row r="697">
      <c r="A697" s="737" t="n"/>
      <c r="B697" s="737" t="n"/>
      <c r="C697" s="737" t="n"/>
      <c r="D697" s="737" t="n"/>
      <c r="E697" s="737" t="n"/>
      <c r="F697" s="737" t="n"/>
      <c r="G697" s="737" t="n"/>
      <c r="H697" s="737" t="n"/>
      <c r="I697" s="737" t="n"/>
      <c r="J697" s="737" t="n"/>
      <c r="K697" s="737" t="n"/>
      <c r="L697" s="737" t="n"/>
      <c r="M697" s="737" t="n"/>
      <c r="N697" s="737" t="n"/>
      <c r="O697" s="737" t="n"/>
      <c r="P697" s="737" t="n"/>
      <c r="Q697" s="737" t="n"/>
      <c r="R697" s="737" t="n"/>
      <c r="S697" s="737" t="n"/>
      <c r="T697" s="737" t="n"/>
      <c r="U697" s="737" t="n"/>
      <c r="V697" s="737" t="n"/>
      <c r="W697" s="737" t="n"/>
      <c r="X697" s="737" t="n"/>
      <c r="Y697" s="737" t="n"/>
      <c r="Z697" s="737" t="n"/>
      <c r="AA697" s="737" t="n"/>
      <c r="AB697" s="737" t="n"/>
      <c r="AC697" s="737" t="n"/>
      <c r="AD697" s="737" t="n"/>
      <c r="AE697" s="737" t="n"/>
      <c r="AF697" s="737" t="n"/>
      <c r="AG697" s="737" t="n"/>
      <c r="AH697" s="737" t="n"/>
      <c r="AI697" s="737" t="n"/>
      <c r="AJ697" s="737" t="n"/>
      <c r="AK697" s="588" t="n"/>
      <c r="AL697" s="588" t="n"/>
      <c r="AM697" s="588" t="n"/>
      <c r="AN697" s="588" t="n"/>
      <c r="AO697" s="588" t="n"/>
      <c r="AP697" s="588" t="n"/>
      <c r="AQ697" s="588" t="n"/>
      <c r="AR697" s="588" t="n"/>
      <c r="AS697" s="588" t="n"/>
      <c r="AT697" s="588" t="n"/>
      <c r="AU697" s="588" t="n"/>
      <c r="AV697" s="588" t="n"/>
      <c r="AW697" s="588" t="n"/>
      <c r="AX697" s="588" t="n"/>
      <c r="AY697" s="588" t="n"/>
      <c r="AZ697" s="588" t="n"/>
      <c r="BA697" s="588" t="n"/>
      <c r="BB697" s="588" t="n"/>
      <c r="BC697" s="588" t="n"/>
      <c r="BD697" s="588" t="n"/>
      <c r="BE697" s="588" t="n"/>
      <c r="BF697" s="588" t="n"/>
      <c r="BG697" s="588" t="n"/>
      <c r="BH697" s="588" t="n"/>
      <c r="BI697" s="588" t="n"/>
      <c r="BJ697" s="588" t="n"/>
      <c r="BK697" s="588" t="n"/>
      <c r="BL697" s="588" t="n"/>
      <c r="BM697" s="588" t="n"/>
      <c r="BN697" s="588" t="n"/>
      <c r="BO697" s="588" t="n"/>
      <c r="BP697" s="588" t="n"/>
      <c r="BQ697" s="588" t="n"/>
      <c r="BR697" s="588" t="n"/>
      <c r="BS697" s="588" t="n"/>
      <c r="BT697" s="588" t="n"/>
      <c r="BU697" s="588" t="n"/>
      <c r="BV697" s="588" t="n"/>
      <c r="BW697" s="588" t="n"/>
      <c r="BX697" s="588" t="n"/>
      <c r="BY697" s="588" t="n"/>
      <c r="BZ697" s="588" t="n"/>
      <c r="CA697" s="588" t="n"/>
      <c r="CB697" s="588" t="n"/>
      <c r="CC697" s="588" t="n"/>
      <c r="CD697" s="588" t="n"/>
      <c r="CE697" s="588" t="n"/>
      <c r="CF697" s="588" t="n"/>
      <c r="CG697" s="588" t="n"/>
      <c r="CH697" s="588" t="n"/>
      <c r="CI697" s="588" t="n"/>
      <c r="CJ697" s="588" t="n"/>
      <c r="CK697" s="588" t="n"/>
      <c r="CL697" s="588" t="n"/>
      <c r="CM697" s="588" t="n"/>
      <c r="CN697" s="588" t="n"/>
      <c r="CO697" s="588" t="n"/>
      <c r="CP697" s="588" t="n"/>
      <c r="CQ697" s="588" t="n"/>
      <c r="CR697" s="588" t="n"/>
      <c r="CS697" s="588" t="n"/>
      <c r="CT697" s="588" t="n"/>
      <c r="CU697" s="588" t="n"/>
      <c r="CV697" s="588" t="n"/>
      <c r="CW697" s="588" t="n"/>
      <c r="CX697" s="588" t="n"/>
      <c r="CY697" s="588" t="n"/>
      <c r="CZ697" s="588" t="n"/>
      <c r="DA697" s="588" t="n"/>
      <c r="DB697" s="588" t="n"/>
      <c r="DC697" s="588" t="n"/>
      <c r="DD697" s="588" t="n"/>
      <c r="DE697" s="588" t="n"/>
      <c r="DF697" s="588" t="n"/>
      <c r="DG697" s="588" t="n"/>
      <c r="DH697" s="588" t="n"/>
      <c r="DI697" s="588" t="n"/>
      <c r="DJ697" s="588" t="n"/>
      <c r="DK697" s="588" t="n"/>
      <c r="DL697" s="588" t="n"/>
      <c r="DM697" s="588" t="n"/>
      <c r="DN697" s="588" t="n"/>
      <c r="DO697" s="588" t="n"/>
      <c r="DP697" s="588" t="n"/>
      <c r="DQ697" s="588" t="n"/>
      <c r="DR697" s="588" t="n"/>
      <c r="DS697" s="588" t="n"/>
      <c r="DT697" s="588" t="n"/>
      <c r="DU697" s="588" t="n"/>
    </row>
    <row r="698">
      <c r="A698" s="737" t="n"/>
      <c r="B698" s="737" t="n"/>
      <c r="C698" s="737" t="n"/>
      <c r="D698" s="737" t="n"/>
      <c r="E698" s="737" t="n"/>
      <c r="F698" s="737" t="n"/>
      <c r="G698" s="737" t="n"/>
      <c r="H698" s="737" t="n"/>
      <c r="I698" s="737" t="n"/>
      <c r="J698" s="737" t="n"/>
      <c r="K698" s="737" t="n"/>
      <c r="L698" s="737" t="n"/>
      <c r="M698" s="737" t="n"/>
      <c r="N698" s="737" t="n"/>
      <c r="O698" s="737" t="n"/>
      <c r="P698" s="737" t="n"/>
      <c r="Q698" s="737" t="n"/>
      <c r="R698" s="737" t="n"/>
      <c r="S698" s="737" t="n"/>
      <c r="T698" s="737" t="n"/>
      <c r="U698" s="737" t="n"/>
      <c r="V698" s="737" t="n"/>
      <c r="W698" s="737" t="n"/>
      <c r="X698" s="737" t="n"/>
      <c r="Y698" s="737" t="n"/>
      <c r="Z698" s="737" t="n"/>
      <c r="AA698" s="737" t="n"/>
      <c r="AB698" s="737" t="n"/>
      <c r="AC698" s="737" t="n"/>
      <c r="AD698" s="737" t="n"/>
      <c r="AE698" s="737" t="n"/>
      <c r="AF698" s="737" t="n"/>
      <c r="AG698" s="737" t="n"/>
      <c r="AH698" s="737" t="n"/>
      <c r="AI698" s="737" t="n"/>
      <c r="AJ698" s="737" t="n"/>
      <c r="AK698" s="588" t="n"/>
      <c r="AL698" s="588" t="n"/>
      <c r="AM698" s="588" t="n"/>
      <c r="AN698" s="588" t="n"/>
      <c r="AO698" s="588" t="n"/>
      <c r="AP698" s="588" t="n"/>
      <c r="AQ698" s="588" t="n"/>
      <c r="AR698" s="588" t="n"/>
      <c r="AS698" s="588" t="n"/>
      <c r="AT698" s="588" t="n"/>
      <c r="AU698" s="588" t="n"/>
      <c r="AV698" s="588" t="n"/>
      <c r="AW698" s="588" t="n"/>
      <c r="AX698" s="588" t="n"/>
      <c r="AY698" s="588" t="n"/>
      <c r="AZ698" s="588" t="n"/>
      <c r="BA698" s="588" t="n"/>
      <c r="BB698" s="588" t="n"/>
      <c r="BC698" s="588" t="n"/>
      <c r="BD698" s="588" t="n"/>
      <c r="BE698" s="588" t="n"/>
      <c r="BF698" s="588" t="n"/>
      <c r="BG698" s="588" t="n"/>
      <c r="BH698" s="588" t="n"/>
      <c r="BI698" s="588" t="n"/>
      <c r="BJ698" s="588" t="n"/>
      <c r="BK698" s="588" t="n"/>
      <c r="BL698" s="588" t="n"/>
      <c r="BM698" s="588" t="n"/>
      <c r="BN698" s="588" t="n"/>
      <c r="BO698" s="588" t="n"/>
      <c r="BP698" s="588" t="n"/>
      <c r="BQ698" s="588" t="n"/>
      <c r="BR698" s="588" t="n"/>
      <c r="BS698" s="588" t="n"/>
      <c r="BT698" s="588" t="n"/>
      <c r="BU698" s="588" t="n"/>
      <c r="BV698" s="588" t="n"/>
      <c r="BW698" s="588" t="n"/>
      <c r="BX698" s="588" t="n"/>
      <c r="BY698" s="588" t="n"/>
      <c r="BZ698" s="588" t="n"/>
      <c r="CA698" s="588" t="n"/>
      <c r="CB698" s="588" t="n"/>
      <c r="CC698" s="588" t="n"/>
      <c r="CD698" s="588" t="n"/>
      <c r="CE698" s="588" t="n"/>
      <c r="CF698" s="588" t="n"/>
      <c r="CG698" s="588" t="n"/>
      <c r="CH698" s="588" t="n"/>
      <c r="CI698" s="588" t="n"/>
      <c r="CJ698" s="588" t="n"/>
      <c r="CK698" s="588" t="n"/>
      <c r="CL698" s="588" t="n"/>
      <c r="CM698" s="588" t="n"/>
      <c r="CN698" s="588" t="n"/>
      <c r="CO698" s="588" t="n"/>
      <c r="CP698" s="588" t="n"/>
      <c r="CQ698" s="588" t="n"/>
      <c r="CR698" s="588" t="n"/>
      <c r="CS698" s="588" t="n"/>
      <c r="CT698" s="588" t="n"/>
      <c r="CU698" s="588" t="n"/>
      <c r="CV698" s="588" t="n"/>
      <c r="CW698" s="588" t="n"/>
      <c r="CX698" s="588" t="n"/>
      <c r="CY698" s="588" t="n"/>
      <c r="CZ698" s="588" t="n"/>
      <c r="DA698" s="588" t="n"/>
      <c r="DB698" s="588" t="n"/>
      <c r="DC698" s="588" t="n"/>
      <c r="DD698" s="588" t="n"/>
      <c r="DE698" s="588" t="n"/>
      <c r="DF698" s="588" t="n"/>
      <c r="DG698" s="588" t="n"/>
      <c r="DH698" s="588" t="n"/>
      <c r="DI698" s="588" t="n"/>
      <c r="DJ698" s="588" t="n"/>
      <c r="DK698" s="588" t="n"/>
      <c r="DL698" s="588" t="n"/>
      <c r="DM698" s="588" t="n"/>
      <c r="DN698" s="588" t="n"/>
      <c r="DO698" s="588" t="n"/>
      <c r="DP698" s="588" t="n"/>
      <c r="DQ698" s="588" t="n"/>
      <c r="DR698" s="588" t="n"/>
      <c r="DS698" s="588" t="n"/>
      <c r="DT698" s="588" t="n"/>
      <c r="DU698" s="588" t="n"/>
    </row>
    <row r="699">
      <c r="A699" s="737" t="n"/>
      <c r="B699" s="737" t="n"/>
      <c r="C699" s="737" t="n"/>
      <c r="D699" s="737" t="n"/>
      <c r="E699" s="737" t="n"/>
      <c r="F699" s="737" t="n"/>
      <c r="G699" s="737" t="n"/>
      <c r="H699" s="737" t="n"/>
      <c r="I699" s="737" t="n"/>
      <c r="J699" s="737" t="n"/>
      <c r="K699" s="737" t="n"/>
      <c r="L699" s="737" t="n"/>
      <c r="M699" s="737" t="n"/>
      <c r="N699" s="737" t="n"/>
      <c r="O699" s="737" t="n"/>
      <c r="P699" s="737" t="n"/>
      <c r="Q699" s="737" t="n"/>
      <c r="R699" s="737" t="n"/>
      <c r="S699" s="737" t="n"/>
      <c r="T699" s="737" t="n"/>
      <c r="U699" s="737" t="n"/>
      <c r="V699" s="737" t="n"/>
      <c r="W699" s="737" t="n"/>
      <c r="X699" s="737" t="n"/>
      <c r="Y699" s="737" t="n"/>
      <c r="Z699" s="737" t="n"/>
      <c r="AA699" s="737" t="n"/>
      <c r="AB699" s="737" t="n"/>
      <c r="AC699" s="737" t="n"/>
      <c r="AD699" s="737" t="n"/>
      <c r="AE699" s="737" t="n"/>
      <c r="AF699" s="737" t="n"/>
      <c r="AG699" s="737" t="n"/>
      <c r="AH699" s="737" t="n"/>
      <c r="AI699" s="737" t="n"/>
      <c r="AJ699" s="737" t="n"/>
      <c r="AK699" s="588" t="n"/>
      <c r="AL699" s="588" t="n"/>
      <c r="AM699" s="588" t="n"/>
      <c r="AN699" s="588" t="n"/>
      <c r="AO699" s="588" t="n"/>
      <c r="AP699" s="588" t="n"/>
      <c r="AQ699" s="588" t="n"/>
      <c r="AR699" s="588" t="n"/>
      <c r="AS699" s="588" t="n"/>
      <c r="AT699" s="588" t="n"/>
      <c r="AU699" s="588" t="n"/>
      <c r="AV699" s="588" t="n"/>
      <c r="AW699" s="588" t="n"/>
      <c r="AX699" s="588" t="n"/>
      <c r="AY699" s="588" t="n"/>
      <c r="AZ699" s="588" t="n"/>
      <c r="BA699" s="588" t="n"/>
      <c r="BB699" s="588" t="n"/>
      <c r="BC699" s="588" t="n"/>
      <c r="BD699" s="588" t="n"/>
      <c r="BE699" s="588" t="n"/>
      <c r="BF699" s="588" t="n"/>
      <c r="BG699" s="588" t="n"/>
      <c r="BH699" s="588" t="n"/>
      <c r="BI699" s="588" t="n"/>
      <c r="BJ699" s="588" t="n"/>
      <c r="BK699" s="588" t="n"/>
      <c r="BL699" s="588" t="n"/>
      <c r="BM699" s="588" t="n"/>
      <c r="BN699" s="588" t="n"/>
      <c r="BO699" s="588" t="n"/>
      <c r="BP699" s="588" t="n"/>
      <c r="BQ699" s="588" t="n"/>
      <c r="BR699" s="588" t="n"/>
      <c r="BS699" s="588" t="n"/>
      <c r="BT699" s="588" t="n"/>
      <c r="BU699" s="588" t="n"/>
      <c r="BV699" s="588" t="n"/>
      <c r="BW699" s="588" t="n"/>
      <c r="BX699" s="588" t="n"/>
      <c r="BY699" s="588" t="n"/>
      <c r="BZ699" s="588" t="n"/>
      <c r="CA699" s="588" t="n"/>
      <c r="CB699" s="588" t="n"/>
      <c r="CC699" s="588" t="n"/>
      <c r="CD699" s="588" t="n"/>
      <c r="CE699" s="588" t="n"/>
      <c r="CF699" s="588" t="n"/>
      <c r="CG699" s="588" t="n"/>
      <c r="CH699" s="588" t="n"/>
      <c r="CI699" s="588" t="n"/>
      <c r="CJ699" s="588" t="n"/>
      <c r="CK699" s="588" t="n"/>
      <c r="CL699" s="588" t="n"/>
      <c r="CM699" s="588" t="n"/>
      <c r="CN699" s="588" t="n"/>
      <c r="CO699" s="588" t="n"/>
      <c r="CP699" s="588" t="n"/>
      <c r="CQ699" s="588" t="n"/>
      <c r="CR699" s="588" t="n"/>
      <c r="CS699" s="588" t="n"/>
      <c r="CT699" s="588" t="n"/>
      <c r="CU699" s="588" t="n"/>
      <c r="CV699" s="588" t="n"/>
      <c r="CW699" s="588" t="n"/>
      <c r="CX699" s="588" t="n"/>
      <c r="CY699" s="588" t="n"/>
      <c r="CZ699" s="588" t="n"/>
      <c r="DA699" s="588" t="n"/>
      <c r="DB699" s="588" t="n"/>
      <c r="DC699" s="588" t="n"/>
      <c r="DD699" s="588" t="n"/>
      <c r="DE699" s="588" t="n"/>
      <c r="DF699" s="588" t="n"/>
      <c r="DG699" s="588" t="n"/>
      <c r="DH699" s="588" t="n"/>
      <c r="DI699" s="588" t="n"/>
      <c r="DJ699" s="588" t="n"/>
      <c r="DK699" s="588" t="n"/>
      <c r="DL699" s="588" t="n"/>
      <c r="DM699" s="588" t="n"/>
      <c r="DN699" s="588" t="n"/>
      <c r="DO699" s="588" t="n"/>
      <c r="DP699" s="588" t="n"/>
      <c r="DQ699" s="588" t="n"/>
      <c r="DR699" s="588" t="n"/>
      <c r="DS699" s="588" t="n"/>
      <c r="DT699" s="588" t="n"/>
      <c r="DU699" s="588" t="n"/>
    </row>
    <row r="700">
      <c r="A700" s="737" t="n"/>
      <c r="B700" s="737" t="n"/>
      <c r="C700" s="737" t="n"/>
      <c r="D700" s="737" t="n"/>
      <c r="E700" s="737" t="n"/>
      <c r="F700" s="737" t="n"/>
      <c r="G700" s="737" t="n"/>
      <c r="H700" s="737" t="n"/>
      <c r="I700" s="737" t="n"/>
      <c r="J700" s="737" t="n"/>
      <c r="K700" s="737" t="n"/>
      <c r="L700" s="737" t="n"/>
      <c r="M700" s="737" t="n"/>
      <c r="N700" s="737" t="n"/>
      <c r="O700" s="737" t="n"/>
      <c r="P700" s="737" t="n"/>
      <c r="Q700" s="737" t="n"/>
      <c r="R700" s="737" t="n"/>
      <c r="S700" s="737" t="n"/>
      <c r="T700" s="737" t="n"/>
      <c r="U700" s="737" t="n"/>
      <c r="V700" s="737" t="n"/>
      <c r="W700" s="737" t="n"/>
      <c r="X700" s="737" t="n"/>
      <c r="Y700" s="737" t="n"/>
      <c r="Z700" s="737" t="n"/>
      <c r="AA700" s="737" t="n"/>
      <c r="AB700" s="737" t="n"/>
      <c r="AC700" s="737" t="n"/>
      <c r="AD700" s="737" t="n"/>
      <c r="AE700" s="737" t="n"/>
      <c r="AF700" s="737" t="n"/>
      <c r="AG700" s="737" t="n"/>
      <c r="AH700" s="737" t="n"/>
      <c r="AI700" s="737" t="n"/>
      <c r="AJ700" s="737" t="n"/>
      <c r="AK700" s="588" t="n"/>
      <c r="AL700" s="588" t="n"/>
      <c r="AM700" s="588" t="n"/>
      <c r="AN700" s="588" t="n"/>
      <c r="AO700" s="588" t="n"/>
      <c r="AP700" s="588" t="n"/>
      <c r="AQ700" s="588" t="n"/>
      <c r="AR700" s="588" t="n"/>
      <c r="AS700" s="588" t="n"/>
      <c r="AT700" s="588" t="n"/>
      <c r="AU700" s="588" t="n"/>
      <c r="AV700" s="588" t="n"/>
      <c r="AW700" s="588" t="n"/>
      <c r="AX700" s="588" t="n"/>
      <c r="AY700" s="588" t="n"/>
      <c r="AZ700" s="588" t="n"/>
      <c r="BA700" s="588" t="n"/>
      <c r="BB700" s="588" t="n"/>
      <c r="BC700" s="588" t="n"/>
      <c r="BD700" s="588" t="n"/>
      <c r="BE700" s="588" t="n"/>
      <c r="BF700" s="588" t="n"/>
      <c r="BG700" s="588" t="n"/>
      <c r="BH700" s="588" t="n"/>
      <c r="BI700" s="588" t="n"/>
      <c r="BJ700" s="588" t="n"/>
      <c r="BK700" s="588" t="n"/>
      <c r="BL700" s="588" t="n"/>
      <c r="BM700" s="588" t="n"/>
      <c r="BN700" s="588" t="n"/>
      <c r="BO700" s="588" t="n"/>
      <c r="BP700" s="588" t="n"/>
      <c r="BQ700" s="588" t="n"/>
      <c r="BR700" s="588" t="n"/>
      <c r="BS700" s="588" t="n"/>
      <c r="BT700" s="588" t="n"/>
      <c r="BU700" s="588" t="n"/>
      <c r="BV700" s="588" t="n"/>
      <c r="BW700" s="588" t="n"/>
      <c r="BX700" s="588" t="n"/>
      <c r="BY700" s="588" t="n"/>
      <c r="BZ700" s="588" t="n"/>
      <c r="CA700" s="588" t="n"/>
      <c r="CB700" s="588" t="n"/>
      <c r="CC700" s="588" t="n"/>
      <c r="CD700" s="588" t="n"/>
      <c r="CE700" s="588" t="n"/>
      <c r="CF700" s="588" t="n"/>
      <c r="CG700" s="588" t="n"/>
      <c r="CH700" s="588" t="n"/>
      <c r="CI700" s="588" t="n"/>
      <c r="CJ700" s="588" t="n"/>
      <c r="CK700" s="588" t="n"/>
      <c r="CL700" s="588" t="n"/>
      <c r="CM700" s="588" t="n"/>
      <c r="CN700" s="588" t="n"/>
      <c r="CO700" s="588" t="n"/>
      <c r="CP700" s="588" t="n"/>
      <c r="CQ700" s="588" t="n"/>
      <c r="CR700" s="588" t="n"/>
      <c r="CS700" s="588" t="n"/>
      <c r="CT700" s="588" t="n"/>
      <c r="CU700" s="588" t="n"/>
      <c r="CV700" s="588" t="n"/>
      <c r="CW700" s="588" t="n"/>
      <c r="CX700" s="588" t="n"/>
      <c r="CY700" s="588" t="n"/>
      <c r="CZ700" s="588" t="n"/>
      <c r="DA700" s="588" t="n"/>
      <c r="DB700" s="588" t="n"/>
      <c r="DC700" s="588" t="n"/>
      <c r="DD700" s="588" t="n"/>
      <c r="DE700" s="588" t="n"/>
      <c r="DF700" s="588" t="n"/>
      <c r="DG700" s="588" t="n"/>
      <c r="DH700" s="588" t="n"/>
      <c r="DI700" s="588" t="n"/>
      <c r="DJ700" s="588" t="n"/>
      <c r="DK700" s="588" t="n"/>
      <c r="DL700" s="588" t="n"/>
      <c r="DM700" s="588" t="n"/>
      <c r="DN700" s="588" t="n"/>
      <c r="DO700" s="588" t="n"/>
      <c r="DP700" s="588" t="n"/>
      <c r="DQ700" s="588" t="n"/>
      <c r="DR700" s="588" t="n"/>
      <c r="DS700" s="588" t="n"/>
      <c r="DT700" s="588" t="n"/>
      <c r="DU700" s="588" t="n"/>
    </row>
    <row r="701">
      <c r="A701" s="737" t="n"/>
      <c r="B701" s="737" t="n"/>
      <c r="C701" s="737" t="n"/>
      <c r="D701" s="737" t="n"/>
      <c r="E701" s="737" t="n"/>
      <c r="F701" s="737" t="n"/>
      <c r="G701" s="737" t="n"/>
      <c r="H701" s="737" t="n"/>
      <c r="I701" s="737" t="n"/>
      <c r="J701" s="737" t="n"/>
      <c r="K701" s="737" t="n"/>
      <c r="L701" s="737" t="n"/>
      <c r="M701" s="737" t="n"/>
      <c r="N701" s="737" t="n"/>
      <c r="O701" s="737" t="n"/>
      <c r="P701" s="737" t="n"/>
      <c r="Q701" s="737" t="n"/>
      <c r="R701" s="737" t="n"/>
      <c r="S701" s="737" t="n"/>
      <c r="T701" s="737" t="n"/>
      <c r="U701" s="737" t="n"/>
      <c r="V701" s="737" t="n"/>
      <c r="W701" s="737" t="n"/>
      <c r="X701" s="737" t="n"/>
      <c r="Y701" s="737" t="n"/>
      <c r="Z701" s="737" t="n"/>
      <c r="AA701" s="737" t="n"/>
      <c r="AB701" s="737" t="n"/>
      <c r="AC701" s="737" t="n"/>
      <c r="AD701" s="737" t="n"/>
      <c r="AE701" s="737" t="n"/>
      <c r="AF701" s="737" t="n"/>
      <c r="AG701" s="737" t="n"/>
      <c r="AH701" s="737" t="n"/>
      <c r="AI701" s="737" t="n"/>
      <c r="AJ701" s="737" t="n"/>
      <c r="AK701" s="588" t="n"/>
      <c r="AL701" s="588" t="n"/>
      <c r="AM701" s="588" t="n"/>
      <c r="AN701" s="588" t="n"/>
      <c r="AO701" s="588" t="n"/>
      <c r="AP701" s="588" t="n"/>
      <c r="AQ701" s="588" t="n"/>
      <c r="AR701" s="588" t="n"/>
      <c r="AS701" s="588" t="n"/>
      <c r="AT701" s="588" t="n"/>
      <c r="AU701" s="588" t="n"/>
      <c r="AV701" s="588" t="n"/>
      <c r="AW701" s="588" t="n"/>
      <c r="AX701" s="588" t="n"/>
      <c r="AY701" s="588" t="n"/>
      <c r="AZ701" s="588" t="n"/>
      <c r="BA701" s="588" t="n"/>
      <c r="BB701" s="588" t="n"/>
      <c r="BC701" s="588" t="n"/>
      <c r="BD701" s="588" t="n"/>
      <c r="BE701" s="588" t="n"/>
      <c r="BF701" s="588" t="n"/>
      <c r="BG701" s="588" t="n"/>
      <c r="BH701" s="588" t="n"/>
      <c r="BI701" s="588" t="n"/>
      <c r="BJ701" s="588" t="n"/>
      <c r="BK701" s="588" t="n"/>
      <c r="BL701" s="588" t="n"/>
      <c r="BM701" s="588" t="n"/>
      <c r="BN701" s="588" t="n"/>
      <c r="BO701" s="588" t="n"/>
      <c r="BP701" s="588" t="n"/>
      <c r="BQ701" s="588" t="n"/>
      <c r="BR701" s="588" t="n"/>
      <c r="BS701" s="588" t="n"/>
      <c r="BT701" s="588" t="n"/>
      <c r="BU701" s="588" t="n"/>
      <c r="BV701" s="588" t="n"/>
      <c r="BW701" s="588" t="n"/>
      <c r="BX701" s="588" t="n"/>
      <c r="BY701" s="588" t="n"/>
      <c r="BZ701" s="588" t="n"/>
      <c r="CA701" s="588" t="n"/>
      <c r="CB701" s="588" t="n"/>
      <c r="CC701" s="588" t="n"/>
      <c r="CD701" s="588" t="n"/>
      <c r="CE701" s="588" t="n"/>
      <c r="CF701" s="588" t="n"/>
      <c r="CG701" s="588" t="n"/>
      <c r="CH701" s="588" t="n"/>
      <c r="CI701" s="588" t="n"/>
      <c r="CJ701" s="588" t="n"/>
      <c r="CK701" s="588" t="n"/>
      <c r="CL701" s="588" t="n"/>
      <c r="CM701" s="588" t="n"/>
      <c r="CN701" s="588" t="n"/>
      <c r="CO701" s="588" t="n"/>
      <c r="CP701" s="588" t="n"/>
      <c r="CQ701" s="588" t="n"/>
      <c r="CR701" s="588" t="n"/>
      <c r="CS701" s="588" t="n"/>
      <c r="CT701" s="588" t="n"/>
      <c r="CU701" s="588" t="n"/>
      <c r="CV701" s="588" t="n"/>
      <c r="CW701" s="588" t="n"/>
      <c r="CX701" s="588" t="n"/>
      <c r="CY701" s="588" t="n"/>
      <c r="CZ701" s="588" t="n"/>
      <c r="DA701" s="588" t="n"/>
      <c r="DB701" s="588" t="n"/>
      <c r="DC701" s="588" t="n"/>
      <c r="DD701" s="588" t="n"/>
      <c r="DE701" s="588" t="n"/>
      <c r="DF701" s="588" t="n"/>
      <c r="DG701" s="588" t="n"/>
      <c r="DH701" s="588" t="n"/>
      <c r="DI701" s="588" t="n"/>
      <c r="DJ701" s="588" t="n"/>
      <c r="DK701" s="588" t="n"/>
      <c r="DL701" s="588" t="n"/>
      <c r="DM701" s="588" t="n"/>
      <c r="DN701" s="588" t="n"/>
      <c r="DO701" s="588" t="n"/>
      <c r="DP701" s="588" t="n"/>
      <c r="DQ701" s="588" t="n"/>
      <c r="DR701" s="588" t="n"/>
      <c r="DS701" s="588" t="n"/>
      <c r="DT701" s="588" t="n"/>
      <c r="DU701" s="588" t="n"/>
    </row>
    <row r="702">
      <c r="A702" s="737" t="n"/>
      <c r="B702" s="737" t="n"/>
      <c r="C702" s="737" t="n"/>
      <c r="D702" s="737" t="n"/>
      <c r="E702" s="737" t="n"/>
      <c r="F702" s="737" t="n"/>
      <c r="G702" s="737" t="n"/>
      <c r="H702" s="737" t="n"/>
      <c r="I702" s="737" t="n"/>
      <c r="J702" s="737" t="n"/>
      <c r="K702" s="737" t="n"/>
      <c r="L702" s="737" t="n"/>
      <c r="M702" s="737" t="n"/>
      <c r="N702" s="737" t="n"/>
      <c r="O702" s="737" t="n"/>
      <c r="P702" s="737" t="n"/>
      <c r="Q702" s="737" t="n"/>
      <c r="R702" s="737" t="n"/>
      <c r="S702" s="737" t="n"/>
      <c r="T702" s="737" t="n"/>
      <c r="U702" s="737" t="n"/>
      <c r="V702" s="737" t="n"/>
      <c r="W702" s="737" t="n"/>
      <c r="X702" s="737" t="n"/>
      <c r="Y702" s="737" t="n"/>
      <c r="Z702" s="737" t="n"/>
      <c r="AA702" s="737" t="n"/>
      <c r="AB702" s="737" t="n"/>
      <c r="AC702" s="737" t="n"/>
      <c r="AD702" s="737" t="n"/>
      <c r="AE702" s="737" t="n"/>
      <c r="AF702" s="737" t="n"/>
      <c r="AG702" s="737" t="n"/>
      <c r="AH702" s="737" t="n"/>
      <c r="AI702" s="737" t="n"/>
      <c r="AJ702" s="737" t="n"/>
      <c r="AK702" s="588" t="n"/>
      <c r="AL702" s="588" t="n"/>
      <c r="AM702" s="588" t="n"/>
      <c r="AN702" s="588" t="n"/>
      <c r="AO702" s="588" t="n"/>
      <c r="AP702" s="588" t="n"/>
      <c r="AQ702" s="588" t="n"/>
      <c r="AR702" s="588" t="n"/>
      <c r="AS702" s="588" t="n"/>
      <c r="AT702" s="588" t="n"/>
      <c r="AU702" s="588" t="n"/>
      <c r="AV702" s="588" t="n"/>
      <c r="AW702" s="588" t="n"/>
      <c r="AX702" s="588" t="n"/>
      <c r="AY702" s="588" t="n"/>
      <c r="AZ702" s="588" t="n"/>
      <c r="BA702" s="588" t="n"/>
      <c r="BB702" s="588" t="n"/>
      <c r="BC702" s="588" t="n"/>
      <c r="BD702" s="588" t="n"/>
      <c r="BE702" s="588" t="n"/>
      <c r="BF702" s="588" t="n"/>
      <c r="BG702" s="588" t="n"/>
      <c r="BH702" s="588" t="n"/>
      <c r="BI702" s="588" t="n"/>
      <c r="BJ702" s="588" t="n"/>
      <c r="BK702" s="588" t="n"/>
      <c r="BL702" s="588" t="n"/>
      <c r="BM702" s="588" t="n"/>
      <c r="BN702" s="588" t="n"/>
      <c r="BO702" s="588" t="n"/>
      <c r="BP702" s="588" t="n"/>
      <c r="BQ702" s="588" t="n"/>
      <c r="BR702" s="588" t="n"/>
      <c r="BS702" s="588" t="n"/>
      <c r="BT702" s="588" t="n"/>
      <c r="BU702" s="588" t="n"/>
      <c r="BV702" s="588" t="n"/>
      <c r="BW702" s="588" t="n"/>
      <c r="BX702" s="588" t="n"/>
      <c r="BY702" s="588" t="n"/>
      <c r="BZ702" s="588" t="n"/>
      <c r="CA702" s="588" t="n"/>
      <c r="CB702" s="588" t="n"/>
      <c r="CC702" s="588" t="n"/>
      <c r="CD702" s="588" t="n"/>
      <c r="CE702" s="588" t="n"/>
      <c r="CF702" s="588" t="n"/>
      <c r="CG702" s="588" t="n"/>
      <c r="CH702" s="588" t="n"/>
      <c r="CI702" s="588" t="n"/>
      <c r="CJ702" s="588" t="n"/>
      <c r="CK702" s="588" t="n"/>
      <c r="CL702" s="588" t="n"/>
      <c r="CM702" s="588" t="n"/>
      <c r="CN702" s="588" t="n"/>
      <c r="CO702" s="588" t="n"/>
      <c r="CP702" s="588" t="n"/>
      <c r="CQ702" s="588" t="n"/>
      <c r="CR702" s="588" t="n"/>
      <c r="CS702" s="588" t="n"/>
      <c r="CT702" s="588" t="n"/>
      <c r="CU702" s="588" t="n"/>
      <c r="CV702" s="588" t="n"/>
      <c r="CW702" s="588" t="n"/>
      <c r="CX702" s="588" t="n"/>
      <c r="CY702" s="588" t="n"/>
      <c r="CZ702" s="588" t="n"/>
      <c r="DA702" s="588" t="n"/>
      <c r="DB702" s="588" t="n"/>
      <c r="DC702" s="588" t="n"/>
      <c r="DD702" s="588" t="n"/>
      <c r="DE702" s="588" t="n"/>
      <c r="DF702" s="588" t="n"/>
      <c r="DG702" s="588" t="n"/>
      <c r="DH702" s="588" t="n"/>
      <c r="DI702" s="588" t="n"/>
      <c r="DJ702" s="588" t="n"/>
      <c r="DK702" s="588" t="n"/>
      <c r="DL702" s="588" t="n"/>
      <c r="DM702" s="588" t="n"/>
      <c r="DN702" s="588" t="n"/>
      <c r="DO702" s="588" t="n"/>
      <c r="DP702" s="588" t="n"/>
      <c r="DQ702" s="588" t="n"/>
      <c r="DR702" s="588" t="n"/>
      <c r="DS702" s="588" t="n"/>
      <c r="DT702" s="588" t="n"/>
      <c r="DU702" s="588" t="n"/>
    </row>
    <row r="703">
      <c r="A703" s="737" t="n"/>
      <c r="B703" s="737" t="n"/>
      <c r="C703" s="737" t="n"/>
      <c r="D703" s="737" t="n"/>
      <c r="E703" s="737" t="n"/>
      <c r="F703" s="737" t="n"/>
      <c r="G703" s="737" t="n"/>
      <c r="H703" s="737" t="n"/>
      <c r="I703" s="737" t="n"/>
      <c r="J703" s="737" t="n"/>
      <c r="K703" s="737" t="n"/>
      <c r="L703" s="737" t="n"/>
      <c r="M703" s="737" t="n"/>
      <c r="N703" s="737" t="n"/>
      <c r="O703" s="737" t="n"/>
      <c r="P703" s="737" t="n"/>
      <c r="Q703" s="737" t="n"/>
      <c r="R703" s="737" t="n"/>
      <c r="S703" s="737" t="n"/>
      <c r="T703" s="737" t="n"/>
      <c r="U703" s="737" t="n"/>
      <c r="V703" s="737" t="n"/>
      <c r="W703" s="737" t="n"/>
      <c r="X703" s="737" t="n"/>
      <c r="Y703" s="737" t="n"/>
      <c r="Z703" s="737" t="n"/>
      <c r="AA703" s="737" t="n"/>
      <c r="AB703" s="737" t="n"/>
      <c r="AC703" s="737" t="n"/>
      <c r="AD703" s="737" t="n"/>
      <c r="AE703" s="737" t="n"/>
      <c r="AF703" s="737" t="n"/>
      <c r="AG703" s="737" t="n"/>
      <c r="AH703" s="737" t="n"/>
      <c r="AI703" s="737" t="n"/>
      <c r="AJ703" s="737" t="n"/>
      <c r="AK703" s="588" t="n"/>
      <c r="AL703" s="588" t="n"/>
      <c r="AM703" s="588" t="n"/>
      <c r="AN703" s="588" t="n"/>
      <c r="AO703" s="588" t="n"/>
      <c r="AP703" s="588" t="n"/>
      <c r="AQ703" s="588" t="n"/>
      <c r="AR703" s="588" t="n"/>
      <c r="AS703" s="588" t="n"/>
      <c r="AT703" s="588" t="n"/>
      <c r="AU703" s="588" t="n"/>
      <c r="AV703" s="588" t="n"/>
      <c r="AW703" s="588" t="n"/>
      <c r="AX703" s="588" t="n"/>
      <c r="AY703" s="588" t="n"/>
      <c r="AZ703" s="588" t="n"/>
      <c r="BA703" s="588" t="n"/>
      <c r="BB703" s="588" t="n"/>
      <c r="BC703" s="588" t="n"/>
      <c r="BD703" s="588" t="n"/>
      <c r="BE703" s="588" t="n"/>
      <c r="BF703" s="588" t="n"/>
      <c r="BG703" s="588" t="n"/>
      <c r="BH703" s="588" t="n"/>
      <c r="BI703" s="588" t="n"/>
      <c r="BJ703" s="588" t="n"/>
      <c r="BK703" s="588" t="n"/>
      <c r="BL703" s="588" t="n"/>
      <c r="BM703" s="588" t="n"/>
      <c r="BN703" s="588" t="n"/>
      <c r="BO703" s="588" t="n"/>
      <c r="BP703" s="588" t="n"/>
      <c r="BQ703" s="588" t="n"/>
      <c r="BR703" s="588" t="n"/>
      <c r="BS703" s="588" t="n"/>
      <c r="BT703" s="588" t="n"/>
      <c r="BU703" s="588" t="n"/>
      <c r="BV703" s="588" t="n"/>
      <c r="BW703" s="588" t="n"/>
      <c r="BX703" s="588" t="n"/>
      <c r="BY703" s="588" t="n"/>
      <c r="BZ703" s="588" t="n"/>
      <c r="CA703" s="588" t="n"/>
      <c r="CB703" s="588" t="n"/>
      <c r="CC703" s="588" t="n"/>
      <c r="CD703" s="588" t="n"/>
      <c r="CE703" s="588" t="n"/>
      <c r="CF703" s="588" t="n"/>
      <c r="CG703" s="588" t="n"/>
      <c r="CH703" s="588" t="n"/>
      <c r="CI703" s="588" t="n"/>
      <c r="CJ703" s="588" t="n"/>
      <c r="CK703" s="588" t="n"/>
      <c r="CL703" s="588" t="n"/>
      <c r="CM703" s="588" t="n"/>
      <c r="CN703" s="588" t="n"/>
      <c r="CO703" s="588" t="n"/>
      <c r="CP703" s="588" t="n"/>
      <c r="CQ703" s="588" t="n"/>
      <c r="CR703" s="588" t="n"/>
      <c r="CS703" s="588" t="n"/>
      <c r="CT703" s="588" t="n"/>
      <c r="CU703" s="588" t="n"/>
      <c r="CV703" s="588" t="n"/>
      <c r="CW703" s="588" t="n"/>
      <c r="CX703" s="588" t="n"/>
      <c r="CY703" s="588" t="n"/>
      <c r="CZ703" s="588" t="n"/>
      <c r="DA703" s="588" t="n"/>
      <c r="DB703" s="588" t="n"/>
      <c r="DC703" s="588" t="n"/>
      <c r="DD703" s="588" t="n"/>
      <c r="DE703" s="588" t="n"/>
      <c r="DF703" s="588" t="n"/>
      <c r="DG703" s="588" t="n"/>
      <c r="DH703" s="588" t="n"/>
      <c r="DI703" s="588" t="n"/>
      <c r="DJ703" s="588" t="n"/>
      <c r="DK703" s="588" t="n"/>
      <c r="DL703" s="588" t="n"/>
      <c r="DM703" s="588" t="n"/>
      <c r="DN703" s="588" t="n"/>
      <c r="DO703" s="588" t="n"/>
      <c r="DP703" s="588" t="n"/>
      <c r="DQ703" s="588" t="n"/>
      <c r="DR703" s="588" t="n"/>
      <c r="DS703" s="588" t="n"/>
      <c r="DT703" s="588" t="n"/>
      <c r="DU703" s="588" t="n"/>
    </row>
    <row r="704">
      <c r="A704" s="737" t="n"/>
      <c r="B704" s="737" t="n"/>
      <c r="C704" s="737" t="n"/>
      <c r="D704" s="737" t="n"/>
      <c r="E704" s="737" t="n"/>
      <c r="F704" s="737" t="n"/>
      <c r="G704" s="737" t="n"/>
      <c r="H704" s="737" t="n"/>
      <c r="I704" s="737" t="n"/>
      <c r="J704" s="737" t="n"/>
      <c r="K704" s="737" t="n"/>
      <c r="L704" s="737" t="n"/>
      <c r="M704" s="737" t="n"/>
      <c r="N704" s="737" t="n"/>
      <c r="O704" s="737" t="n"/>
      <c r="P704" s="737" t="n"/>
      <c r="Q704" s="737" t="n"/>
      <c r="R704" s="737" t="n"/>
      <c r="S704" s="737" t="n"/>
      <c r="T704" s="737" t="n"/>
      <c r="U704" s="737" t="n"/>
      <c r="V704" s="737" t="n"/>
      <c r="W704" s="737" t="n"/>
      <c r="X704" s="737" t="n"/>
      <c r="Y704" s="737" t="n"/>
      <c r="Z704" s="737" t="n"/>
      <c r="AA704" s="737" t="n"/>
      <c r="AB704" s="737" t="n"/>
      <c r="AC704" s="737" t="n"/>
      <c r="AD704" s="737" t="n"/>
      <c r="AE704" s="737" t="n"/>
      <c r="AF704" s="737" t="n"/>
      <c r="AG704" s="737" t="n"/>
      <c r="AH704" s="737" t="n"/>
      <c r="AI704" s="737" t="n"/>
      <c r="AJ704" s="737" t="n"/>
      <c r="AK704" s="588" t="n"/>
      <c r="AL704" s="588" t="n"/>
      <c r="AM704" s="588" t="n"/>
      <c r="AN704" s="588" t="n"/>
      <c r="AO704" s="588" t="n"/>
      <c r="AP704" s="588" t="n"/>
      <c r="AQ704" s="588" t="n"/>
      <c r="AR704" s="588" t="n"/>
      <c r="AS704" s="588" t="n"/>
      <c r="AT704" s="588" t="n"/>
      <c r="AU704" s="588" t="n"/>
      <c r="AV704" s="588" t="n"/>
      <c r="AW704" s="588" t="n"/>
      <c r="AX704" s="588" t="n"/>
      <c r="AY704" s="588" t="n"/>
      <c r="AZ704" s="588" t="n"/>
      <c r="BA704" s="588" t="n"/>
      <c r="BB704" s="588" t="n"/>
      <c r="BC704" s="588" t="n"/>
      <c r="BD704" s="588" t="n"/>
      <c r="BE704" s="588" t="n"/>
      <c r="BF704" s="588" t="n"/>
      <c r="BG704" s="588" t="n"/>
      <c r="BH704" s="588" t="n"/>
      <c r="BI704" s="588" t="n"/>
      <c r="BJ704" s="588" t="n"/>
      <c r="BK704" s="588" t="n"/>
      <c r="BL704" s="588" t="n"/>
      <c r="BM704" s="588" t="n"/>
      <c r="BN704" s="588" t="n"/>
      <c r="BO704" s="588" t="n"/>
      <c r="BP704" s="588" t="n"/>
      <c r="BQ704" s="588" t="n"/>
      <c r="BR704" s="588" t="n"/>
      <c r="BS704" s="588" t="n"/>
      <c r="BT704" s="588" t="n"/>
      <c r="BU704" s="588" t="n"/>
      <c r="BV704" s="588" t="n"/>
      <c r="BW704" s="588" t="n"/>
      <c r="BX704" s="588" t="n"/>
      <c r="BY704" s="588" t="n"/>
      <c r="BZ704" s="588" t="n"/>
      <c r="CA704" s="588" t="n"/>
      <c r="CB704" s="588" t="n"/>
      <c r="CC704" s="588" t="n"/>
      <c r="CD704" s="588" t="n"/>
      <c r="CE704" s="588" t="n"/>
      <c r="CF704" s="588" t="n"/>
      <c r="CG704" s="588" t="n"/>
      <c r="CH704" s="588" t="n"/>
      <c r="CI704" s="588" t="n"/>
      <c r="CJ704" s="588" t="n"/>
      <c r="CK704" s="588" t="n"/>
      <c r="CL704" s="588" t="n"/>
      <c r="CM704" s="588" t="n"/>
      <c r="CN704" s="588" t="n"/>
      <c r="CO704" s="588" t="n"/>
      <c r="CP704" s="588" t="n"/>
      <c r="CQ704" s="588" t="n"/>
      <c r="CR704" s="588" t="n"/>
      <c r="CS704" s="588" t="n"/>
      <c r="CT704" s="588" t="n"/>
      <c r="CU704" s="588" t="n"/>
      <c r="CV704" s="588" t="n"/>
      <c r="CW704" s="588" t="n"/>
      <c r="CX704" s="588" t="n"/>
      <c r="CY704" s="588" t="n"/>
      <c r="CZ704" s="588" t="n"/>
      <c r="DA704" s="588" t="n"/>
      <c r="DB704" s="588" t="n"/>
      <c r="DC704" s="588" t="n"/>
      <c r="DD704" s="588" t="n"/>
      <c r="DE704" s="588" t="n"/>
      <c r="DF704" s="588" t="n"/>
      <c r="DG704" s="588" t="n"/>
      <c r="DH704" s="588" t="n"/>
      <c r="DI704" s="588" t="n"/>
      <c r="DJ704" s="588" t="n"/>
      <c r="DK704" s="588" t="n"/>
      <c r="DL704" s="588" t="n"/>
      <c r="DM704" s="588" t="n"/>
      <c r="DN704" s="588" t="n"/>
      <c r="DO704" s="588" t="n"/>
      <c r="DP704" s="588" t="n"/>
      <c r="DQ704" s="588" t="n"/>
      <c r="DR704" s="588" t="n"/>
      <c r="DS704" s="588" t="n"/>
      <c r="DT704" s="588" t="n"/>
      <c r="DU704" s="588" t="n"/>
    </row>
    <row r="705">
      <c r="A705" s="737" t="n"/>
      <c r="B705" s="737" t="n"/>
      <c r="C705" s="737" t="n"/>
      <c r="D705" s="737" t="n"/>
      <c r="E705" s="737" t="n"/>
      <c r="F705" s="737" t="n"/>
      <c r="G705" s="737" t="n"/>
      <c r="H705" s="737" t="n"/>
      <c r="I705" s="737" t="n"/>
      <c r="J705" s="737" t="n"/>
      <c r="K705" s="737" t="n"/>
      <c r="L705" s="737" t="n"/>
      <c r="M705" s="737" t="n"/>
      <c r="N705" s="737" t="n"/>
      <c r="O705" s="737" t="n"/>
      <c r="P705" s="737" t="n"/>
      <c r="Q705" s="737" t="n"/>
      <c r="R705" s="737" t="n"/>
      <c r="S705" s="737" t="n"/>
      <c r="T705" s="737" t="n"/>
      <c r="U705" s="737" t="n"/>
      <c r="V705" s="737" t="n"/>
      <c r="W705" s="737" t="n"/>
      <c r="X705" s="737" t="n"/>
      <c r="Y705" s="737" t="n"/>
      <c r="Z705" s="737" t="n"/>
      <c r="AA705" s="737" t="n"/>
      <c r="AB705" s="737" t="n"/>
      <c r="AC705" s="737" t="n"/>
      <c r="AD705" s="737" t="n"/>
      <c r="AE705" s="737" t="n"/>
      <c r="AF705" s="737" t="n"/>
      <c r="AG705" s="737" t="n"/>
      <c r="AH705" s="737" t="n"/>
      <c r="AI705" s="737" t="n"/>
      <c r="AJ705" s="737" t="n"/>
      <c r="AK705" s="588" t="n"/>
      <c r="AL705" s="588" t="n"/>
      <c r="AM705" s="588" t="n"/>
      <c r="AN705" s="588" t="n"/>
      <c r="AO705" s="588" t="n"/>
      <c r="AP705" s="588" t="n"/>
      <c r="AQ705" s="588" t="n"/>
      <c r="AR705" s="588" t="n"/>
      <c r="AS705" s="588" t="n"/>
      <c r="AT705" s="588" t="n"/>
      <c r="AU705" s="588" t="n"/>
      <c r="AV705" s="588" t="n"/>
      <c r="AW705" s="588" t="n"/>
      <c r="AX705" s="588" t="n"/>
      <c r="AY705" s="588" t="n"/>
      <c r="AZ705" s="588" t="n"/>
      <c r="BA705" s="588" t="n"/>
      <c r="BB705" s="588" t="n"/>
      <c r="BC705" s="588" t="n"/>
      <c r="BD705" s="588" t="n"/>
      <c r="BE705" s="588" t="n"/>
      <c r="BF705" s="588" t="n"/>
      <c r="BG705" s="588" t="n"/>
      <c r="BH705" s="588" t="n"/>
      <c r="BI705" s="588" t="n"/>
      <c r="BJ705" s="588" t="n"/>
      <c r="BK705" s="588" t="n"/>
      <c r="BL705" s="588" t="n"/>
      <c r="BM705" s="588" t="n"/>
      <c r="BN705" s="588" t="n"/>
      <c r="BO705" s="588" t="n"/>
      <c r="BP705" s="588" t="n"/>
      <c r="BQ705" s="588" t="n"/>
      <c r="BR705" s="588" t="n"/>
      <c r="BS705" s="588" t="n"/>
      <c r="BT705" s="588" t="n"/>
      <c r="BU705" s="588" t="n"/>
      <c r="BV705" s="588" t="n"/>
      <c r="BW705" s="588" t="n"/>
      <c r="BX705" s="588" t="n"/>
      <c r="BY705" s="588" t="n"/>
      <c r="BZ705" s="588" t="n"/>
      <c r="CA705" s="588" t="n"/>
      <c r="CB705" s="588" t="n"/>
      <c r="CC705" s="588" t="n"/>
      <c r="CD705" s="588" t="n"/>
      <c r="CE705" s="588" t="n"/>
      <c r="CF705" s="588" t="n"/>
      <c r="CG705" s="588" t="n"/>
      <c r="CH705" s="588" t="n"/>
      <c r="CI705" s="588" t="n"/>
      <c r="CJ705" s="588" t="n"/>
      <c r="CK705" s="588" t="n"/>
      <c r="CL705" s="588" t="n"/>
      <c r="CM705" s="588" t="n"/>
      <c r="CN705" s="588" t="n"/>
      <c r="CO705" s="588" t="n"/>
      <c r="CP705" s="588" t="n"/>
      <c r="CQ705" s="588" t="n"/>
      <c r="CR705" s="588" t="n"/>
      <c r="CS705" s="588" t="n"/>
      <c r="CT705" s="588" t="n"/>
      <c r="CU705" s="588" t="n"/>
      <c r="CV705" s="588" t="n"/>
      <c r="CW705" s="588" t="n"/>
      <c r="CX705" s="588" t="n"/>
      <c r="CY705" s="588" t="n"/>
      <c r="CZ705" s="588" t="n"/>
      <c r="DA705" s="588" t="n"/>
      <c r="DB705" s="588" t="n"/>
      <c r="DC705" s="588" t="n"/>
      <c r="DD705" s="588" t="n"/>
      <c r="DE705" s="588" t="n"/>
      <c r="DF705" s="588" t="n"/>
      <c r="DG705" s="588" t="n"/>
      <c r="DH705" s="588" t="n"/>
      <c r="DI705" s="588" t="n"/>
      <c r="DJ705" s="588" t="n"/>
      <c r="DK705" s="588" t="n"/>
      <c r="DL705" s="588" t="n"/>
      <c r="DM705" s="588" t="n"/>
      <c r="DN705" s="588" t="n"/>
      <c r="DO705" s="588" t="n"/>
      <c r="DP705" s="588" t="n"/>
      <c r="DQ705" s="588" t="n"/>
      <c r="DR705" s="588" t="n"/>
      <c r="DS705" s="588" t="n"/>
      <c r="DT705" s="588" t="n"/>
      <c r="DU705" s="588" t="n"/>
    </row>
    <row r="706">
      <c r="A706" s="737" t="n"/>
      <c r="B706" s="737" t="n"/>
      <c r="C706" s="737" t="n"/>
      <c r="D706" s="737" t="n"/>
      <c r="E706" s="737" t="n"/>
      <c r="F706" s="737" t="n"/>
      <c r="G706" s="737" t="n"/>
      <c r="H706" s="737" t="n"/>
      <c r="I706" s="737" t="n"/>
      <c r="J706" s="737" t="n"/>
      <c r="K706" s="737" t="n"/>
      <c r="L706" s="737" t="n"/>
      <c r="M706" s="737" t="n"/>
      <c r="N706" s="737" t="n"/>
      <c r="O706" s="737" t="n"/>
      <c r="P706" s="737" t="n"/>
      <c r="Q706" s="737" t="n"/>
      <c r="R706" s="737" t="n"/>
      <c r="S706" s="737" t="n"/>
      <c r="T706" s="737" t="n"/>
      <c r="U706" s="737" t="n"/>
      <c r="V706" s="737" t="n"/>
      <c r="W706" s="737" t="n"/>
      <c r="X706" s="737" t="n"/>
      <c r="Y706" s="737" t="n"/>
      <c r="Z706" s="737" t="n"/>
      <c r="AA706" s="737" t="n"/>
      <c r="AB706" s="737" t="n"/>
      <c r="AC706" s="737" t="n"/>
      <c r="AD706" s="737" t="n"/>
      <c r="AE706" s="737" t="n"/>
      <c r="AF706" s="737" t="n"/>
      <c r="AG706" s="737" t="n"/>
      <c r="AH706" s="737" t="n"/>
      <c r="AI706" s="737" t="n"/>
      <c r="AJ706" s="737" t="n"/>
      <c r="AK706" s="588" t="n"/>
      <c r="AL706" s="588" t="n"/>
      <c r="AM706" s="588" t="n"/>
      <c r="AN706" s="588" t="n"/>
      <c r="AO706" s="588" t="n"/>
      <c r="AP706" s="588" t="n"/>
      <c r="AQ706" s="588" t="n"/>
      <c r="AR706" s="588" t="n"/>
      <c r="AS706" s="588" t="n"/>
      <c r="AT706" s="588" t="n"/>
      <c r="AU706" s="588" t="n"/>
      <c r="AV706" s="588" t="n"/>
      <c r="AW706" s="588" t="n"/>
      <c r="AX706" s="588" t="n"/>
      <c r="AY706" s="588" t="n"/>
      <c r="AZ706" s="588" t="n"/>
      <c r="BA706" s="588" t="n"/>
      <c r="BB706" s="588" t="n"/>
      <c r="BC706" s="588" t="n"/>
      <c r="BD706" s="588" t="n"/>
      <c r="BE706" s="588" t="n"/>
      <c r="BF706" s="588" t="n"/>
      <c r="BG706" s="588" t="n"/>
      <c r="BH706" s="588" t="n"/>
      <c r="BI706" s="588" t="n"/>
      <c r="BJ706" s="588" t="n"/>
      <c r="BK706" s="588" t="n"/>
      <c r="BL706" s="588" t="n"/>
      <c r="BM706" s="588" t="n"/>
      <c r="BN706" s="588" t="n"/>
      <c r="BO706" s="588" t="n"/>
      <c r="BP706" s="588" t="n"/>
      <c r="BQ706" s="588" t="n"/>
      <c r="BR706" s="588" t="n"/>
      <c r="BS706" s="588" t="n"/>
      <c r="BT706" s="588" t="n"/>
      <c r="BU706" s="588" t="n"/>
      <c r="BV706" s="588" t="n"/>
      <c r="BW706" s="588" t="n"/>
      <c r="BX706" s="588" t="n"/>
      <c r="BY706" s="588" t="n"/>
      <c r="BZ706" s="588" t="n"/>
      <c r="CA706" s="588" t="n"/>
      <c r="CB706" s="588" t="n"/>
      <c r="CC706" s="588" t="n"/>
      <c r="CD706" s="588" t="n"/>
      <c r="CE706" s="588" t="n"/>
      <c r="CF706" s="588" t="n"/>
      <c r="CG706" s="588" t="n"/>
      <c r="CH706" s="588" t="n"/>
      <c r="CI706" s="588" t="n"/>
      <c r="CJ706" s="588" t="n"/>
      <c r="CK706" s="588" t="n"/>
      <c r="CL706" s="588" t="n"/>
      <c r="CM706" s="588" t="n"/>
      <c r="CN706" s="588" t="n"/>
      <c r="CO706" s="588" t="n"/>
      <c r="CP706" s="588" t="n"/>
      <c r="CQ706" s="588" t="n"/>
      <c r="CR706" s="588" t="n"/>
      <c r="CS706" s="588" t="n"/>
      <c r="CT706" s="588" t="n"/>
      <c r="CU706" s="588" t="n"/>
      <c r="CV706" s="588" t="n"/>
      <c r="CW706" s="588" t="n"/>
      <c r="CX706" s="588" t="n"/>
      <c r="CY706" s="588" t="n"/>
      <c r="CZ706" s="588" t="n"/>
      <c r="DA706" s="588" t="n"/>
      <c r="DB706" s="588" t="n"/>
      <c r="DC706" s="588" t="n"/>
      <c r="DD706" s="588" t="n"/>
      <c r="DE706" s="588" t="n"/>
      <c r="DF706" s="588" t="n"/>
      <c r="DG706" s="588" t="n"/>
      <c r="DH706" s="588" t="n"/>
      <c r="DI706" s="588" t="n"/>
      <c r="DJ706" s="588" t="n"/>
      <c r="DK706" s="588" t="n"/>
      <c r="DL706" s="588" t="n"/>
      <c r="DM706" s="588" t="n"/>
      <c r="DN706" s="588" t="n"/>
      <c r="DO706" s="588" t="n"/>
      <c r="DP706" s="588" t="n"/>
      <c r="DQ706" s="588" t="n"/>
      <c r="DR706" s="588" t="n"/>
      <c r="DS706" s="588" t="n"/>
      <c r="DT706" s="588" t="n"/>
      <c r="DU706" s="588" t="n"/>
    </row>
    <row r="707">
      <c r="A707" s="737" t="n"/>
      <c r="B707" s="737" t="n"/>
      <c r="C707" s="737" t="n"/>
      <c r="D707" s="737" t="n"/>
      <c r="E707" s="737" t="n"/>
      <c r="F707" s="737" t="n"/>
      <c r="G707" s="737" t="n"/>
      <c r="H707" s="737" t="n"/>
      <c r="I707" s="737" t="n"/>
      <c r="J707" s="737" t="n"/>
      <c r="K707" s="737" t="n"/>
      <c r="L707" s="737" t="n"/>
      <c r="M707" s="737" t="n"/>
      <c r="N707" s="737" t="n"/>
      <c r="O707" s="737" t="n"/>
      <c r="P707" s="737" t="n"/>
      <c r="Q707" s="737" t="n"/>
      <c r="R707" s="737" t="n"/>
      <c r="S707" s="737" t="n"/>
      <c r="T707" s="737" t="n"/>
      <c r="U707" s="737" t="n"/>
      <c r="V707" s="737" t="n"/>
      <c r="W707" s="737" t="n"/>
      <c r="X707" s="737" t="n"/>
      <c r="Y707" s="737" t="n"/>
      <c r="Z707" s="737" t="n"/>
      <c r="AA707" s="737" t="n"/>
      <c r="AB707" s="737" t="n"/>
      <c r="AC707" s="737" t="n"/>
      <c r="AD707" s="737" t="n"/>
      <c r="AE707" s="737" t="n"/>
      <c r="AF707" s="737" t="n"/>
      <c r="AG707" s="737" t="n"/>
      <c r="AH707" s="737" t="n"/>
      <c r="AI707" s="737" t="n"/>
      <c r="AJ707" s="737" t="n"/>
      <c r="AK707" s="588" t="n"/>
      <c r="AL707" s="588" t="n"/>
      <c r="AM707" s="588" t="n"/>
      <c r="AN707" s="588" t="n"/>
      <c r="AO707" s="588" t="n"/>
      <c r="AP707" s="588" t="n"/>
      <c r="AQ707" s="588" t="n"/>
      <c r="AR707" s="588" t="n"/>
      <c r="AS707" s="588" t="n"/>
      <c r="AT707" s="588" t="n"/>
      <c r="AU707" s="588" t="n"/>
      <c r="AV707" s="588" t="n"/>
      <c r="AW707" s="588" t="n"/>
      <c r="AX707" s="588" t="n"/>
      <c r="AY707" s="588" t="n"/>
      <c r="AZ707" s="588" t="n"/>
      <c r="BA707" s="588" t="n"/>
      <c r="BB707" s="588" t="n"/>
      <c r="BC707" s="588" t="n"/>
      <c r="BD707" s="588" t="n"/>
      <c r="BE707" s="588" t="n"/>
      <c r="BF707" s="588" t="n"/>
      <c r="BG707" s="588" t="n"/>
      <c r="BH707" s="588" t="n"/>
      <c r="BI707" s="588" t="n"/>
      <c r="BJ707" s="588" t="n"/>
      <c r="BK707" s="588" t="n"/>
      <c r="BL707" s="588" t="n"/>
      <c r="BM707" s="588" t="n"/>
      <c r="BN707" s="588" t="n"/>
      <c r="BO707" s="588" t="n"/>
      <c r="BP707" s="588" t="n"/>
      <c r="BQ707" s="588" t="n"/>
      <c r="BR707" s="588" t="n"/>
      <c r="BS707" s="588" t="n"/>
      <c r="BT707" s="588" t="n"/>
      <c r="BU707" s="588" t="n"/>
      <c r="BV707" s="588" t="n"/>
      <c r="BW707" s="588" t="n"/>
      <c r="BX707" s="588" t="n"/>
      <c r="BY707" s="588" t="n"/>
      <c r="BZ707" s="588" t="n"/>
      <c r="CA707" s="588" t="n"/>
      <c r="CB707" s="588" t="n"/>
      <c r="CC707" s="588" t="n"/>
      <c r="CD707" s="588" t="n"/>
      <c r="CE707" s="588" t="n"/>
      <c r="CF707" s="588" t="n"/>
      <c r="CG707" s="588" t="n"/>
      <c r="CH707" s="588" t="n"/>
      <c r="CI707" s="588" t="n"/>
      <c r="CJ707" s="588" t="n"/>
      <c r="CK707" s="588" t="n"/>
      <c r="CL707" s="588" t="n"/>
      <c r="CM707" s="588" t="n"/>
      <c r="CN707" s="588" t="n"/>
      <c r="CO707" s="588" t="n"/>
      <c r="CP707" s="588" t="n"/>
      <c r="CQ707" s="588" t="n"/>
      <c r="CR707" s="588" t="n"/>
      <c r="CS707" s="588" t="n"/>
      <c r="CT707" s="588" t="n"/>
      <c r="CU707" s="588" t="n"/>
      <c r="CV707" s="588" t="n"/>
      <c r="CW707" s="588" t="n"/>
      <c r="CX707" s="588" t="n"/>
      <c r="CY707" s="588" t="n"/>
      <c r="CZ707" s="588" t="n"/>
      <c r="DA707" s="588" t="n"/>
      <c r="DB707" s="588" t="n"/>
      <c r="DC707" s="588" t="n"/>
      <c r="DD707" s="588" t="n"/>
      <c r="DE707" s="588" t="n"/>
      <c r="DF707" s="588" t="n"/>
      <c r="DG707" s="588" t="n"/>
      <c r="DH707" s="588" t="n"/>
      <c r="DI707" s="588" t="n"/>
      <c r="DJ707" s="588" t="n"/>
      <c r="DK707" s="588" t="n"/>
      <c r="DL707" s="588" t="n"/>
      <c r="DM707" s="588" t="n"/>
      <c r="DN707" s="588" t="n"/>
      <c r="DO707" s="588" t="n"/>
      <c r="DP707" s="588" t="n"/>
      <c r="DQ707" s="588" t="n"/>
      <c r="DR707" s="588" t="n"/>
      <c r="DS707" s="588" t="n"/>
      <c r="DT707" s="588" t="n"/>
      <c r="DU707" s="588" t="n"/>
    </row>
    <row r="708">
      <c r="A708" s="737" t="n"/>
      <c r="B708" s="737" t="n"/>
      <c r="C708" s="737" t="n"/>
      <c r="D708" s="737" t="n"/>
      <c r="E708" s="737" t="n"/>
      <c r="F708" s="737" t="n"/>
      <c r="G708" s="737" t="n"/>
      <c r="H708" s="737" t="n"/>
      <c r="I708" s="737" t="n"/>
      <c r="J708" s="737" t="n"/>
      <c r="K708" s="737" t="n"/>
      <c r="L708" s="737" t="n"/>
      <c r="M708" s="737" t="n"/>
      <c r="N708" s="737" t="n"/>
      <c r="O708" s="737" t="n"/>
      <c r="P708" s="737" t="n"/>
      <c r="Q708" s="737" t="n"/>
      <c r="R708" s="737" t="n"/>
      <c r="S708" s="737" t="n"/>
      <c r="T708" s="737" t="n"/>
      <c r="U708" s="737" t="n"/>
      <c r="V708" s="737" t="n"/>
      <c r="W708" s="737" t="n"/>
      <c r="X708" s="737" t="n"/>
      <c r="Y708" s="737" t="n"/>
      <c r="Z708" s="737" t="n"/>
      <c r="AA708" s="737" t="n"/>
      <c r="AB708" s="737" t="n"/>
      <c r="AC708" s="737" t="n"/>
      <c r="AD708" s="737" t="n"/>
      <c r="AE708" s="737" t="n"/>
      <c r="AF708" s="737" t="n"/>
      <c r="AG708" s="737" t="n"/>
      <c r="AH708" s="737" t="n"/>
      <c r="AI708" s="737" t="n"/>
      <c r="AJ708" s="737" t="n"/>
      <c r="AK708" s="588" t="n"/>
      <c r="AL708" s="588" t="n"/>
      <c r="AM708" s="588" t="n"/>
      <c r="AN708" s="588" t="n"/>
      <c r="AO708" s="588" t="n"/>
      <c r="AP708" s="588" t="n"/>
      <c r="AQ708" s="588" t="n"/>
      <c r="AR708" s="588" t="n"/>
      <c r="AS708" s="588" t="n"/>
      <c r="AT708" s="588" t="n"/>
      <c r="AU708" s="588" t="n"/>
      <c r="AV708" s="588" t="n"/>
      <c r="AW708" s="588" t="n"/>
      <c r="AX708" s="588" t="n"/>
      <c r="AY708" s="588" t="n"/>
      <c r="AZ708" s="588" t="n"/>
      <c r="BA708" s="588" t="n"/>
      <c r="BB708" s="588" t="n"/>
      <c r="BC708" s="588" t="n"/>
      <c r="BD708" s="588" t="n"/>
      <c r="BE708" s="588" t="n"/>
      <c r="BF708" s="588" t="n"/>
      <c r="BG708" s="588" t="n"/>
      <c r="BH708" s="588" t="n"/>
      <c r="BI708" s="588" t="n"/>
      <c r="BJ708" s="588" t="n"/>
      <c r="BK708" s="588" t="n"/>
      <c r="BL708" s="588" t="n"/>
      <c r="BM708" s="588" t="n"/>
      <c r="BN708" s="588" t="n"/>
      <c r="BO708" s="588" t="n"/>
      <c r="BP708" s="588" t="n"/>
      <c r="BQ708" s="588" t="n"/>
      <c r="BR708" s="588" t="n"/>
      <c r="BS708" s="588" t="n"/>
      <c r="BT708" s="588" t="n"/>
      <c r="BU708" s="588" t="n"/>
      <c r="BV708" s="588" t="n"/>
      <c r="BW708" s="588" t="n"/>
      <c r="BX708" s="588" t="n"/>
      <c r="BY708" s="588" t="n"/>
      <c r="BZ708" s="588" t="n"/>
      <c r="CA708" s="588" t="n"/>
      <c r="CB708" s="588" t="n"/>
      <c r="CC708" s="588" t="n"/>
      <c r="CD708" s="588" t="n"/>
      <c r="CE708" s="588" t="n"/>
      <c r="CF708" s="588" t="n"/>
      <c r="CG708" s="588" t="n"/>
      <c r="CH708" s="588" t="n"/>
      <c r="CI708" s="588" t="n"/>
      <c r="CJ708" s="588" t="n"/>
      <c r="CK708" s="588" t="n"/>
      <c r="CL708" s="588" t="n"/>
      <c r="CM708" s="588" t="n"/>
      <c r="CN708" s="588" t="n"/>
      <c r="CO708" s="588" t="n"/>
      <c r="CP708" s="588" t="n"/>
      <c r="CQ708" s="588" t="n"/>
      <c r="CR708" s="588" t="n"/>
      <c r="CS708" s="588" t="n"/>
      <c r="CT708" s="588" t="n"/>
      <c r="CU708" s="588" t="n"/>
      <c r="CV708" s="588" t="n"/>
      <c r="CW708" s="588" t="n"/>
      <c r="CX708" s="588" t="n"/>
      <c r="CY708" s="588" t="n"/>
      <c r="CZ708" s="588" t="n"/>
      <c r="DA708" s="588" t="n"/>
      <c r="DB708" s="588" t="n"/>
      <c r="DC708" s="588" t="n"/>
      <c r="DD708" s="588" t="n"/>
      <c r="DE708" s="588" t="n"/>
      <c r="DF708" s="588" t="n"/>
      <c r="DG708" s="588" t="n"/>
      <c r="DH708" s="588" t="n"/>
      <c r="DI708" s="588" t="n"/>
      <c r="DJ708" s="588" t="n"/>
      <c r="DK708" s="588" t="n"/>
      <c r="DL708" s="588" t="n"/>
      <c r="DM708" s="588" t="n"/>
      <c r="DN708" s="588" t="n"/>
      <c r="DO708" s="588" t="n"/>
      <c r="DP708" s="588" t="n"/>
      <c r="DQ708" s="588" t="n"/>
      <c r="DR708" s="588" t="n"/>
      <c r="DS708" s="588" t="n"/>
      <c r="DT708" s="588" t="n"/>
      <c r="DU708" s="588" t="n"/>
    </row>
    <row r="709">
      <c r="A709" s="737" t="n"/>
      <c r="B709" s="737" t="n"/>
      <c r="C709" s="737" t="n"/>
      <c r="D709" s="737" t="n"/>
      <c r="E709" s="737" t="n"/>
      <c r="F709" s="737" t="n"/>
      <c r="G709" s="737" t="n"/>
      <c r="H709" s="737" t="n"/>
      <c r="I709" s="737" t="n"/>
      <c r="J709" s="737" t="n"/>
      <c r="K709" s="737" t="n"/>
      <c r="L709" s="737" t="n"/>
      <c r="M709" s="737" t="n"/>
      <c r="N709" s="737" t="n"/>
      <c r="O709" s="737" t="n"/>
      <c r="P709" s="737" t="n"/>
      <c r="Q709" s="737" t="n"/>
      <c r="R709" s="737" t="n"/>
      <c r="S709" s="737" t="n"/>
      <c r="T709" s="737" t="n"/>
      <c r="U709" s="737" t="n"/>
      <c r="V709" s="737" t="n"/>
      <c r="W709" s="737" t="n"/>
      <c r="X709" s="737" t="n"/>
      <c r="Y709" s="737" t="n"/>
      <c r="Z709" s="737" t="n"/>
      <c r="AA709" s="737" t="n"/>
      <c r="AB709" s="737" t="n"/>
      <c r="AC709" s="737" t="n"/>
      <c r="AD709" s="737" t="n"/>
      <c r="AE709" s="737" t="n"/>
      <c r="AF709" s="737" t="n"/>
      <c r="AG709" s="737" t="n"/>
      <c r="AH709" s="737" t="n"/>
      <c r="AI709" s="737" t="n"/>
      <c r="AJ709" s="737" t="n"/>
      <c r="AK709" s="588" t="n"/>
      <c r="AL709" s="588" t="n"/>
      <c r="AM709" s="588" t="n"/>
      <c r="AN709" s="588" t="n"/>
      <c r="AO709" s="588" t="n"/>
      <c r="AP709" s="588" t="n"/>
      <c r="AQ709" s="588" t="n"/>
      <c r="AR709" s="588" t="n"/>
      <c r="AS709" s="588" t="n"/>
      <c r="AT709" s="588" t="n"/>
      <c r="AU709" s="588" t="n"/>
      <c r="AV709" s="588" t="n"/>
      <c r="AW709" s="588" t="n"/>
      <c r="AX709" s="588" t="n"/>
      <c r="AY709" s="588" t="n"/>
      <c r="AZ709" s="588" t="n"/>
      <c r="BA709" s="588" t="n"/>
      <c r="BB709" s="588" t="n"/>
      <c r="BC709" s="588" t="n"/>
      <c r="BD709" s="588" t="n"/>
      <c r="BE709" s="588" t="n"/>
      <c r="BF709" s="588" t="n"/>
      <c r="BG709" s="588" t="n"/>
      <c r="BH709" s="588" t="n"/>
      <c r="BI709" s="588" t="n"/>
      <c r="BJ709" s="588" t="n"/>
      <c r="BK709" s="588" t="n"/>
      <c r="BL709" s="588" t="n"/>
      <c r="BM709" s="588" t="n"/>
      <c r="BN709" s="588" t="n"/>
      <c r="BO709" s="588" t="n"/>
      <c r="BP709" s="588" t="n"/>
      <c r="BQ709" s="588" t="n"/>
      <c r="BR709" s="588" t="n"/>
      <c r="BS709" s="588" t="n"/>
      <c r="BT709" s="588" t="n"/>
      <c r="BU709" s="588" t="n"/>
      <c r="BV709" s="588" t="n"/>
      <c r="BW709" s="588" t="n"/>
      <c r="BX709" s="588" t="n"/>
      <c r="BY709" s="588" t="n"/>
      <c r="BZ709" s="588" t="n"/>
      <c r="CA709" s="588" t="n"/>
      <c r="CB709" s="588" t="n"/>
      <c r="CC709" s="588" t="n"/>
      <c r="CD709" s="588" t="n"/>
      <c r="CE709" s="588" t="n"/>
      <c r="CF709" s="588" t="n"/>
      <c r="CG709" s="588" t="n"/>
      <c r="CH709" s="588" t="n"/>
      <c r="CI709" s="588" t="n"/>
      <c r="CJ709" s="588" t="n"/>
      <c r="CK709" s="588" t="n"/>
      <c r="CL709" s="588" t="n"/>
      <c r="CM709" s="588" t="n"/>
      <c r="CN709" s="588" t="n"/>
      <c r="CO709" s="588" t="n"/>
      <c r="CP709" s="588" t="n"/>
      <c r="CQ709" s="588" t="n"/>
      <c r="CR709" s="588" t="n"/>
      <c r="CS709" s="588" t="n"/>
      <c r="CT709" s="588" t="n"/>
      <c r="CU709" s="588" t="n"/>
      <c r="CV709" s="588" t="n"/>
      <c r="CW709" s="588" t="n"/>
      <c r="CX709" s="588" t="n"/>
      <c r="CY709" s="588" t="n"/>
      <c r="CZ709" s="588" t="n"/>
      <c r="DA709" s="588" t="n"/>
      <c r="DB709" s="588" t="n"/>
      <c r="DC709" s="588" t="n"/>
      <c r="DD709" s="588" t="n"/>
      <c r="DE709" s="588" t="n"/>
      <c r="DF709" s="588" t="n"/>
      <c r="DG709" s="588" t="n"/>
      <c r="DH709" s="588" t="n"/>
      <c r="DI709" s="588" t="n"/>
      <c r="DJ709" s="588" t="n"/>
      <c r="DK709" s="588" t="n"/>
      <c r="DL709" s="588" t="n"/>
      <c r="DM709" s="588" t="n"/>
      <c r="DN709" s="588" t="n"/>
      <c r="DO709" s="588" t="n"/>
      <c r="DP709" s="588" t="n"/>
      <c r="DQ709" s="588" t="n"/>
      <c r="DR709" s="588" t="n"/>
      <c r="DS709" s="588" t="n"/>
      <c r="DT709" s="588" t="n"/>
      <c r="DU709" s="588" t="n"/>
    </row>
    <row r="710">
      <c r="A710" s="737" t="n"/>
      <c r="B710" s="737" t="n"/>
      <c r="C710" s="737" t="n"/>
      <c r="D710" s="737" t="n"/>
      <c r="E710" s="737" t="n"/>
      <c r="F710" s="737" t="n"/>
      <c r="G710" s="737" t="n"/>
      <c r="H710" s="737" t="n"/>
      <c r="I710" s="737" t="n"/>
      <c r="J710" s="737" t="n"/>
      <c r="K710" s="737" t="n"/>
      <c r="L710" s="737" t="n"/>
      <c r="M710" s="737" t="n"/>
      <c r="N710" s="737" t="n"/>
      <c r="O710" s="737" t="n"/>
      <c r="P710" s="737" t="n"/>
      <c r="Q710" s="737" t="n"/>
      <c r="R710" s="737" t="n"/>
      <c r="S710" s="737" t="n"/>
      <c r="T710" s="737" t="n"/>
      <c r="U710" s="737" t="n"/>
      <c r="V710" s="737" t="n"/>
      <c r="W710" s="737" t="n"/>
      <c r="X710" s="737" t="n"/>
      <c r="Y710" s="737" t="n"/>
      <c r="Z710" s="737" t="n"/>
      <c r="AA710" s="737" t="n"/>
      <c r="AB710" s="737" t="n"/>
      <c r="AC710" s="737" t="n"/>
      <c r="AD710" s="737" t="n"/>
      <c r="AE710" s="737" t="n"/>
      <c r="AF710" s="737" t="n"/>
      <c r="AG710" s="737" t="n"/>
      <c r="AH710" s="737" t="n"/>
      <c r="AI710" s="737" t="n"/>
      <c r="AJ710" s="737" t="n"/>
      <c r="AK710" s="588" t="n"/>
      <c r="AL710" s="588" t="n"/>
      <c r="AM710" s="588" t="n"/>
      <c r="AN710" s="588" t="n"/>
      <c r="AO710" s="588" t="n"/>
      <c r="AP710" s="588" t="n"/>
      <c r="AQ710" s="588" t="n"/>
      <c r="AR710" s="588" t="n"/>
      <c r="AS710" s="588" t="n"/>
      <c r="AT710" s="588" t="n"/>
      <c r="AU710" s="588" t="n"/>
      <c r="AV710" s="588" t="n"/>
      <c r="AW710" s="588" t="n"/>
      <c r="AX710" s="588" t="n"/>
      <c r="AY710" s="588" t="n"/>
      <c r="AZ710" s="588" t="n"/>
      <c r="BA710" s="588" t="n"/>
      <c r="BB710" s="588" t="n"/>
      <c r="BC710" s="588" t="n"/>
      <c r="BD710" s="588" t="n"/>
      <c r="BE710" s="588" t="n"/>
      <c r="BF710" s="588" t="n"/>
      <c r="BG710" s="588" t="n"/>
      <c r="BH710" s="588" t="n"/>
      <c r="BI710" s="588" t="n"/>
      <c r="BJ710" s="588" t="n"/>
      <c r="BK710" s="588" t="n"/>
      <c r="BL710" s="588" t="n"/>
      <c r="BM710" s="588" t="n"/>
      <c r="BN710" s="588" t="n"/>
      <c r="BO710" s="588" t="n"/>
      <c r="BP710" s="588" t="n"/>
      <c r="BQ710" s="588" t="n"/>
      <c r="BR710" s="588" t="n"/>
      <c r="BS710" s="588" t="n"/>
      <c r="BT710" s="588" t="n"/>
      <c r="BU710" s="588" t="n"/>
      <c r="BV710" s="588" t="n"/>
      <c r="BW710" s="588" t="n"/>
      <c r="BX710" s="588" t="n"/>
      <c r="BY710" s="588" t="n"/>
      <c r="BZ710" s="588" t="n"/>
      <c r="CA710" s="588" t="n"/>
      <c r="CB710" s="588" t="n"/>
      <c r="CC710" s="588" t="n"/>
      <c r="CD710" s="588" t="n"/>
      <c r="CE710" s="588" t="n"/>
      <c r="CF710" s="588" t="n"/>
      <c r="CG710" s="588" t="n"/>
      <c r="CH710" s="588" t="n"/>
      <c r="CI710" s="588" t="n"/>
      <c r="CJ710" s="588" t="n"/>
      <c r="CK710" s="588" t="n"/>
      <c r="CL710" s="588" t="n"/>
      <c r="CM710" s="588" t="n"/>
      <c r="CN710" s="588" t="n"/>
      <c r="CO710" s="588" t="n"/>
      <c r="CP710" s="588" t="n"/>
      <c r="CQ710" s="588" t="n"/>
      <c r="CR710" s="588" t="n"/>
      <c r="CS710" s="588" t="n"/>
      <c r="CT710" s="588" t="n"/>
      <c r="CU710" s="588" t="n"/>
      <c r="CV710" s="588" t="n"/>
      <c r="CW710" s="588" t="n"/>
      <c r="CX710" s="588" t="n"/>
      <c r="CY710" s="588" t="n"/>
      <c r="CZ710" s="588" t="n"/>
      <c r="DA710" s="588" t="n"/>
      <c r="DB710" s="588" t="n"/>
      <c r="DC710" s="588" t="n"/>
      <c r="DD710" s="588" t="n"/>
      <c r="DE710" s="588" t="n"/>
      <c r="DF710" s="588" t="n"/>
      <c r="DG710" s="588" t="n"/>
      <c r="DH710" s="588" t="n"/>
      <c r="DI710" s="588" t="n"/>
      <c r="DJ710" s="588" t="n"/>
      <c r="DK710" s="588" t="n"/>
      <c r="DL710" s="588" t="n"/>
      <c r="DM710" s="588" t="n"/>
      <c r="DN710" s="588" t="n"/>
      <c r="DO710" s="588" t="n"/>
      <c r="DP710" s="588" t="n"/>
      <c r="DQ710" s="588" t="n"/>
      <c r="DR710" s="588" t="n"/>
      <c r="DS710" s="588" t="n"/>
      <c r="DT710" s="588" t="n"/>
      <c r="DU710" s="588" t="n"/>
    </row>
    <row r="711">
      <c r="A711" s="737" t="n"/>
      <c r="B711" s="737" t="n"/>
      <c r="C711" s="737" t="n"/>
      <c r="D711" s="737" t="n"/>
      <c r="E711" s="737" t="n"/>
      <c r="F711" s="737" t="n"/>
      <c r="G711" s="737" t="n"/>
      <c r="H711" s="737" t="n"/>
      <c r="I711" s="737" t="n"/>
      <c r="J711" s="737" t="n"/>
      <c r="K711" s="737" t="n"/>
      <c r="L711" s="737" t="n"/>
      <c r="M711" s="737" t="n"/>
      <c r="N711" s="737" t="n"/>
      <c r="O711" s="737" t="n"/>
      <c r="P711" s="737" t="n"/>
      <c r="Q711" s="737" t="n"/>
      <c r="R711" s="737" t="n"/>
      <c r="S711" s="737" t="n"/>
      <c r="T711" s="737" t="n"/>
      <c r="U711" s="737" t="n"/>
      <c r="V711" s="737" t="n"/>
      <c r="W711" s="737" t="n"/>
      <c r="X711" s="737" t="n"/>
      <c r="Y711" s="737" t="n"/>
      <c r="Z711" s="737" t="n"/>
      <c r="AA711" s="737" t="n"/>
      <c r="AB711" s="737" t="n"/>
      <c r="AC711" s="737" t="n"/>
      <c r="AD711" s="737" t="n"/>
      <c r="AE711" s="737" t="n"/>
      <c r="AF711" s="737" t="n"/>
      <c r="AG711" s="737" t="n"/>
      <c r="AH711" s="737" t="n"/>
      <c r="AI711" s="737" t="n"/>
      <c r="AJ711" s="737" t="n"/>
      <c r="AK711" s="588" t="n"/>
      <c r="AL711" s="588" t="n"/>
      <c r="AM711" s="588" t="n"/>
      <c r="AN711" s="588" t="n"/>
      <c r="AO711" s="588" t="n"/>
      <c r="AP711" s="588" t="n"/>
      <c r="AQ711" s="588" t="n"/>
      <c r="AR711" s="588" t="n"/>
      <c r="AS711" s="588" t="n"/>
      <c r="AT711" s="588" t="n"/>
      <c r="AU711" s="588" t="n"/>
      <c r="AV711" s="588" t="n"/>
      <c r="AW711" s="588" t="n"/>
      <c r="AX711" s="588" t="n"/>
      <c r="AY711" s="588" t="n"/>
      <c r="AZ711" s="588" t="n"/>
      <c r="BA711" s="588" t="n"/>
      <c r="BB711" s="588" t="n"/>
      <c r="BC711" s="588" t="n"/>
      <c r="BD711" s="588" t="n"/>
      <c r="BE711" s="588" t="n"/>
      <c r="BF711" s="588" t="n"/>
      <c r="BG711" s="588" t="n"/>
      <c r="BH711" s="588" t="n"/>
      <c r="BI711" s="588" t="n"/>
      <c r="BJ711" s="588" t="n"/>
      <c r="BK711" s="588" t="n"/>
      <c r="BL711" s="588" t="n"/>
      <c r="BM711" s="588" t="n"/>
      <c r="BN711" s="588" t="n"/>
      <c r="BO711" s="588" t="n"/>
      <c r="BP711" s="588" t="n"/>
      <c r="BQ711" s="588" t="n"/>
      <c r="BR711" s="588" t="n"/>
      <c r="BS711" s="588" t="n"/>
      <c r="BT711" s="588" t="n"/>
      <c r="BU711" s="588" t="n"/>
      <c r="BV711" s="588" t="n"/>
      <c r="BW711" s="588" t="n"/>
      <c r="BX711" s="588" t="n"/>
      <c r="BY711" s="588" t="n"/>
      <c r="BZ711" s="588" t="n"/>
      <c r="CA711" s="588" t="n"/>
      <c r="CB711" s="588" t="n"/>
      <c r="CC711" s="588" t="n"/>
      <c r="CD711" s="588" t="n"/>
      <c r="CE711" s="588" t="n"/>
      <c r="CF711" s="588" t="n"/>
      <c r="CG711" s="588" t="n"/>
      <c r="CH711" s="588" t="n"/>
      <c r="CI711" s="588" t="n"/>
      <c r="CJ711" s="588" t="n"/>
      <c r="CK711" s="588" t="n"/>
      <c r="CL711" s="588" t="n"/>
      <c r="CM711" s="588" t="n"/>
      <c r="CN711" s="588" t="n"/>
      <c r="CO711" s="588" t="n"/>
      <c r="CP711" s="588" t="n"/>
      <c r="CQ711" s="588" t="n"/>
      <c r="CR711" s="588" t="n"/>
      <c r="CS711" s="588" t="n"/>
      <c r="CT711" s="588" t="n"/>
      <c r="CU711" s="588" t="n"/>
      <c r="CV711" s="588" t="n"/>
      <c r="CW711" s="588" t="n"/>
      <c r="CX711" s="588" t="n"/>
      <c r="CY711" s="588" t="n"/>
      <c r="CZ711" s="588" t="n"/>
      <c r="DA711" s="588" t="n"/>
      <c r="DB711" s="588" t="n"/>
      <c r="DC711" s="588" t="n"/>
      <c r="DD711" s="588" t="n"/>
      <c r="DE711" s="588" t="n"/>
      <c r="DF711" s="588" t="n"/>
      <c r="DG711" s="588" t="n"/>
      <c r="DH711" s="588" t="n"/>
      <c r="DI711" s="588" t="n"/>
      <c r="DJ711" s="588" t="n"/>
      <c r="DK711" s="588" t="n"/>
      <c r="DL711" s="588" t="n"/>
      <c r="DM711" s="588" t="n"/>
      <c r="DN711" s="588" t="n"/>
      <c r="DO711" s="588" t="n"/>
      <c r="DP711" s="588" t="n"/>
      <c r="DQ711" s="588" t="n"/>
      <c r="DR711" s="588" t="n"/>
      <c r="DS711" s="588" t="n"/>
      <c r="DT711" s="588" t="n"/>
      <c r="DU711" s="588" t="n"/>
    </row>
    <row r="712">
      <c r="A712" s="737" t="n"/>
      <c r="B712" s="737" t="n"/>
      <c r="C712" s="737" t="n"/>
      <c r="D712" s="737" t="n"/>
      <c r="E712" s="737" t="n"/>
      <c r="F712" s="737" t="n"/>
      <c r="G712" s="737" t="n"/>
      <c r="H712" s="737" t="n"/>
      <c r="I712" s="737" t="n"/>
      <c r="J712" s="737" t="n"/>
      <c r="K712" s="737" t="n"/>
      <c r="L712" s="737" t="n"/>
      <c r="M712" s="737" t="n"/>
      <c r="N712" s="737" t="n"/>
      <c r="O712" s="737" t="n"/>
      <c r="P712" s="737" t="n"/>
      <c r="Q712" s="737" t="n"/>
      <c r="R712" s="737" t="n"/>
      <c r="S712" s="737" t="n"/>
      <c r="T712" s="737" t="n"/>
      <c r="U712" s="737" t="n"/>
      <c r="V712" s="737" t="n"/>
      <c r="W712" s="737" t="n"/>
      <c r="X712" s="737" t="n"/>
      <c r="Y712" s="737" t="n"/>
      <c r="Z712" s="737" t="n"/>
      <c r="AA712" s="737" t="n"/>
      <c r="AB712" s="737" t="n"/>
      <c r="AC712" s="737" t="n"/>
      <c r="AD712" s="737" t="n"/>
      <c r="AE712" s="737" t="n"/>
      <c r="AF712" s="737" t="n"/>
      <c r="AG712" s="737" t="n"/>
      <c r="AH712" s="737" t="n"/>
      <c r="AI712" s="737" t="n"/>
      <c r="AJ712" s="737" t="n"/>
      <c r="AK712" s="588" t="n"/>
      <c r="AL712" s="588" t="n"/>
      <c r="AM712" s="588" t="n"/>
      <c r="AN712" s="588" t="n"/>
      <c r="AO712" s="588" t="n"/>
      <c r="AP712" s="588" t="n"/>
      <c r="AQ712" s="588" t="n"/>
      <c r="AR712" s="588" t="n"/>
      <c r="AS712" s="588" t="n"/>
      <c r="AT712" s="588" t="n"/>
      <c r="AU712" s="588" t="n"/>
      <c r="AV712" s="588" t="n"/>
      <c r="AW712" s="588" t="n"/>
      <c r="AX712" s="588" t="n"/>
      <c r="AY712" s="588" t="n"/>
      <c r="AZ712" s="588" t="n"/>
      <c r="BA712" s="588" t="n"/>
      <c r="BB712" s="588" t="n"/>
      <c r="BC712" s="588" t="n"/>
      <c r="BD712" s="588" t="n"/>
      <c r="BE712" s="588" t="n"/>
      <c r="BF712" s="588" t="n"/>
      <c r="BG712" s="588" t="n"/>
      <c r="BH712" s="588" t="n"/>
      <c r="BI712" s="588" t="n"/>
      <c r="BJ712" s="588" t="n"/>
      <c r="BK712" s="588" t="n"/>
      <c r="BL712" s="588" t="n"/>
      <c r="BM712" s="588" t="n"/>
      <c r="BN712" s="588" t="n"/>
      <c r="BO712" s="588" t="n"/>
      <c r="BP712" s="588" t="n"/>
      <c r="BQ712" s="588" t="n"/>
      <c r="BR712" s="588" t="n"/>
      <c r="BS712" s="588" t="n"/>
      <c r="BT712" s="588" t="n"/>
      <c r="BU712" s="588" t="n"/>
      <c r="BV712" s="588" t="n"/>
      <c r="BW712" s="588" t="n"/>
      <c r="BX712" s="588" t="n"/>
      <c r="BY712" s="588" t="n"/>
      <c r="BZ712" s="588" t="n"/>
      <c r="CA712" s="588" t="n"/>
      <c r="CB712" s="588" t="n"/>
      <c r="CC712" s="588" t="n"/>
      <c r="CD712" s="588" t="n"/>
      <c r="CE712" s="588" t="n"/>
      <c r="CF712" s="588" t="n"/>
      <c r="CG712" s="588" t="n"/>
      <c r="CH712" s="588" t="n"/>
      <c r="CI712" s="588" t="n"/>
      <c r="CJ712" s="588" t="n"/>
      <c r="CK712" s="588" t="n"/>
      <c r="CL712" s="588" t="n"/>
      <c r="CM712" s="588" t="n"/>
      <c r="CN712" s="588" t="n"/>
      <c r="CO712" s="588" t="n"/>
      <c r="CP712" s="588" t="n"/>
      <c r="CQ712" s="588" t="n"/>
      <c r="CR712" s="588" t="n"/>
      <c r="CS712" s="588" t="n"/>
      <c r="CT712" s="588" t="n"/>
      <c r="CU712" s="588" t="n"/>
      <c r="CV712" s="588" t="n"/>
      <c r="CW712" s="588" t="n"/>
      <c r="CX712" s="588" t="n"/>
      <c r="CY712" s="588" t="n"/>
      <c r="CZ712" s="588" t="n"/>
      <c r="DA712" s="588" t="n"/>
      <c r="DB712" s="588" t="n"/>
      <c r="DC712" s="588" t="n"/>
      <c r="DD712" s="588" t="n"/>
      <c r="DE712" s="588" t="n"/>
      <c r="DF712" s="588" t="n"/>
      <c r="DG712" s="588" t="n"/>
      <c r="DH712" s="588" t="n"/>
      <c r="DI712" s="588" t="n"/>
      <c r="DJ712" s="588" t="n"/>
      <c r="DK712" s="588" t="n"/>
      <c r="DL712" s="588" t="n"/>
      <c r="DM712" s="588" t="n"/>
      <c r="DN712" s="588" t="n"/>
      <c r="DO712" s="588" t="n"/>
      <c r="DP712" s="588" t="n"/>
      <c r="DQ712" s="588" t="n"/>
      <c r="DR712" s="588" t="n"/>
      <c r="DS712" s="588" t="n"/>
      <c r="DT712" s="588" t="n"/>
      <c r="DU712" s="588" t="n"/>
    </row>
    <row r="713">
      <c r="A713" s="737" t="n"/>
      <c r="B713" s="737" t="n"/>
      <c r="C713" s="737" t="n"/>
      <c r="D713" s="737" t="n"/>
      <c r="E713" s="737" t="n"/>
      <c r="F713" s="737" t="n"/>
      <c r="G713" s="737" t="n"/>
      <c r="H713" s="737" t="n"/>
      <c r="I713" s="737" t="n"/>
      <c r="J713" s="737" t="n"/>
      <c r="K713" s="737" t="n"/>
      <c r="L713" s="737" t="n"/>
      <c r="M713" s="737" t="n"/>
      <c r="N713" s="737" t="n"/>
      <c r="O713" s="737" t="n"/>
      <c r="P713" s="737" t="n"/>
      <c r="Q713" s="737" t="n"/>
      <c r="R713" s="737" t="n"/>
      <c r="S713" s="737" t="n"/>
      <c r="T713" s="737" t="n"/>
      <c r="U713" s="737" t="n"/>
      <c r="V713" s="737" t="n"/>
      <c r="W713" s="737" t="n"/>
      <c r="X713" s="737" t="n"/>
      <c r="Y713" s="737" t="n"/>
      <c r="Z713" s="737" t="n"/>
      <c r="AA713" s="737" t="n"/>
      <c r="AB713" s="737" t="n"/>
      <c r="AC713" s="737" t="n"/>
      <c r="AD713" s="737" t="n"/>
      <c r="AE713" s="737" t="n"/>
      <c r="AF713" s="737" t="n"/>
      <c r="AG713" s="737" t="n"/>
      <c r="AH713" s="737" t="n"/>
      <c r="AI713" s="737" t="n"/>
      <c r="AJ713" s="737" t="n"/>
      <c r="AK713" s="588" t="n"/>
      <c r="AL713" s="588" t="n"/>
      <c r="AM713" s="588" t="n"/>
      <c r="AN713" s="588" t="n"/>
      <c r="AO713" s="588" t="n"/>
      <c r="AP713" s="588" t="n"/>
      <c r="AQ713" s="588" t="n"/>
      <c r="AR713" s="588" t="n"/>
      <c r="AS713" s="588" t="n"/>
      <c r="AT713" s="588" t="n"/>
      <c r="AU713" s="588" t="n"/>
      <c r="AV713" s="588" t="n"/>
      <c r="AW713" s="588" t="n"/>
      <c r="AX713" s="588" t="n"/>
      <c r="AY713" s="588" t="n"/>
      <c r="AZ713" s="588" t="n"/>
      <c r="BA713" s="588" t="n"/>
      <c r="BB713" s="588" t="n"/>
      <c r="BC713" s="588" t="n"/>
      <c r="BD713" s="588" t="n"/>
      <c r="BE713" s="588" t="n"/>
      <c r="BF713" s="588" t="n"/>
      <c r="BG713" s="588" t="n"/>
      <c r="BH713" s="588" t="n"/>
      <c r="BI713" s="588" t="n"/>
      <c r="BJ713" s="588" t="n"/>
      <c r="BK713" s="588" t="n"/>
      <c r="BL713" s="588" t="n"/>
      <c r="BM713" s="588" t="n"/>
      <c r="BN713" s="588" t="n"/>
      <c r="BO713" s="588" t="n"/>
      <c r="BP713" s="588" t="n"/>
      <c r="BQ713" s="588" t="n"/>
      <c r="BR713" s="588" t="n"/>
      <c r="BS713" s="588" t="n"/>
      <c r="BT713" s="588" t="n"/>
      <c r="BU713" s="588" t="n"/>
      <c r="BV713" s="588" t="n"/>
      <c r="BW713" s="588" t="n"/>
      <c r="BX713" s="588" t="n"/>
      <c r="BY713" s="588" t="n"/>
      <c r="BZ713" s="588" t="n"/>
      <c r="CA713" s="588" t="n"/>
      <c r="CB713" s="588" t="n"/>
      <c r="CC713" s="588" t="n"/>
      <c r="CD713" s="588" t="n"/>
      <c r="CE713" s="588" t="n"/>
      <c r="CF713" s="588" t="n"/>
      <c r="CG713" s="588" t="n"/>
      <c r="CH713" s="588" t="n"/>
      <c r="CI713" s="588" t="n"/>
      <c r="CJ713" s="588" t="n"/>
      <c r="CK713" s="588" t="n"/>
      <c r="CL713" s="588" t="n"/>
      <c r="CM713" s="588" t="n"/>
      <c r="CN713" s="588" t="n"/>
      <c r="CO713" s="588" t="n"/>
      <c r="CP713" s="588" t="n"/>
      <c r="CQ713" s="588" t="n"/>
      <c r="CR713" s="588" t="n"/>
      <c r="CS713" s="588" t="n"/>
      <c r="CT713" s="588" t="n"/>
      <c r="CU713" s="588" t="n"/>
      <c r="CV713" s="588" t="n"/>
      <c r="CW713" s="588" t="n"/>
      <c r="CX713" s="588" t="n"/>
      <c r="CY713" s="588" t="n"/>
      <c r="CZ713" s="588" t="n"/>
      <c r="DA713" s="588" t="n"/>
      <c r="DB713" s="588" t="n"/>
      <c r="DC713" s="588" t="n"/>
      <c r="DD713" s="588" t="n"/>
      <c r="DE713" s="588" t="n"/>
      <c r="DF713" s="588" t="n"/>
      <c r="DG713" s="588" t="n"/>
      <c r="DH713" s="588" t="n"/>
      <c r="DI713" s="588" t="n"/>
      <c r="DJ713" s="588" t="n"/>
      <c r="DK713" s="588" t="n"/>
      <c r="DL713" s="588" t="n"/>
      <c r="DM713" s="588" t="n"/>
      <c r="DN713" s="588" t="n"/>
      <c r="DO713" s="588" t="n"/>
      <c r="DP713" s="588" t="n"/>
      <c r="DQ713" s="588" t="n"/>
      <c r="DR713" s="588" t="n"/>
      <c r="DS713" s="588" t="n"/>
      <c r="DT713" s="588" t="n"/>
      <c r="DU713" s="588" t="n"/>
    </row>
    <row r="714">
      <c r="A714" s="737" t="n"/>
      <c r="B714" s="737" t="n"/>
      <c r="C714" s="737" t="n"/>
      <c r="D714" s="737" t="n"/>
      <c r="E714" s="737" t="n"/>
      <c r="F714" s="737" t="n"/>
      <c r="G714" s="737" t="n"/>
      <c r="H714" s="737" t="n"/>
      <c r="I714" s="737" t="n"/>
      <c r="J714" s="737" t="n"/>
      <c r="K714" s="737" t="n"/>
      <c r="L714" s="737" t="n"/>
      <c r="M714" s="737" t="n"/>
      <c r="N714" s="737" t="n"/>
      <c r="O714" s="737" t="n"/>
      <c r="P714" s="737" t="n"/>
      <c r="Q714" s="737" t="n"/>
      <c r="R714" s="737" t="n"/>
      <c r="S714" s="737" t="n"/>
      <c r="T714" s="737" t="n"/>
      <c r="U714" s="737" t="n"/>
      <c r="V714" s="737" t="n"/>
      <c r="W714" s="737" t="n"/>
      <c r="X714" s="737" t="n"/>
      <c r="Y714" s="737" t="n"/>
      <c r="Z714" s="737" t="n"/>
      <c r="AA714" s="737" t="n"/>
      <c r="AB714" s="737" t="n"/>
      <c r="AC714" s="737" t="n"/>
      <c r="AD714" s="737" t="n"/>
      <c r="AE714" s="737" t="n"/>
      <c r="AF714" s="737" t="n"/>
      <c r="AG714" s="737" t="n"/>
      <c r="AH714" s="737" t="n"/>
      <c r="AI714" s="737" t="n"/>
      <c r="AJ714" s="737" t="n"/>
      <c r="AK714" s="588" t="n"/>
      <c r="AL714" s="588" t="n"/>
      <c r="AM714" s="588" t="n"/>
      <c r="AN714" s="588" t="n"/>
      <c r="AO714" s="588" t="n"/>
      <c r="AP714" s="588" t="n"/>
      <c r="AQ714" s="588" t="n"/>
      <c r="AR714" s="588" t="n"/>
      <c r="AS714" s="588" t="n"/>
      <c r="AT714" s="588" t="n"/>
      <c r="AU714" s="588" t="n"/>
      <c r="AV714" s="588" t="n"/>
      <c r="AW714" s="588" t="n"/>
      <c r="AX714" s="588" t="n"/>
      <c r="AY714" s="588" t="n"/>
      <c r="AZ714" s="588" t="n"/>
      <c r="BA714" s="588" t="n"/>
      <c r="BB714" s="588" t="n"/>
      <c r="BC714" s="588" t="n"/>
      <c r="BD714" s="588" t="n"/>
      <c r="BE714" s="588" t="n"/>
      <c r="BF714" s="588" t="n"/>
      <c r="BG714" s="588" t="n"/>
      <c r="BH714" s="588" t="n"/>
      <c r="BI714" s="588" t="n"/>
      <c r="BJ714" s="588" t="n"/>
      <c r="BK714" s="588" t="n"/>
      <c r="BL714" s="588" t="n"/>
      <c r="BM714" s="588" t="n"/>
      <c r="BN714" s="588" t="n"/>
      <c r="BO714" s="588" t="n"/>
      <c r="BP714" s="588" t="n"/>
      <c r="BQ714" s="588" t="n"/>
      <c r="BR714" s="588" t="n"/>
      <c r="BS714" s="588" t="n"/>
      <c r="BT714" s="588" t="n"/>
      <c r="BU714" s="588" t="n"/>
      <c r="BV714" s="588" t="n"/>
      <c r="BW714" s="588" t="n"/>
      <c r="BX714" s="588" t="n"/>
      <c r="BY714" s="588" t="n"/>
      <c r="BZ714" s="588" t="n"/>
      <c r="CA714" s="588" t="n"/>
      <c r="CB714" s="588" t="n"/>
      <c r="CC714" s="588" t="n"/>
      <c r="CD714" s="588" t="n"/>
      <c r="CE714" s="588" t="n"/>
      <c r="CF714" s="588" t="n"/>
      <c r="CG714" s="588" t="n"/>
      <c r="CH714" s="588" t="n"/>
      <c r="CI714" s="588" t="n"/>
      <c r="CJ714" s="588" t="n"/>
      <c r="CK714" s="588" t="n"/>
      <c r="CL714" s="588" t="n"/>
      <c r="CM714" s="588" t="n"/>
      <c r="CN714" s="588" t="n"/>
      <c r="CO714" s="588" t="n"/>
      <c r="CP714" s="588" t="n"/>
      <c r="CQ714" s="588" t="n"/>
      <c r="CR714" s="588" t="n"/>
      <c r="CS714" s="588" t="n"/>
      <c r="CT714" s="588" t="n"/>
      <c r="CU714" s="588" t="n"/>
      <c r="CV714" s="588" t="n"/>
      <c r="CW714" s="588" t="n"/>
      <c r="CX714" s="588" t="n"/>
      <c r="CY714" s="588" t="n"/>
      <c r="CZ714" s="588" t="n"/>
      <c r="DA714" s="588" t="n"/>
      <c r="DB714" s="588" t="n"/>
      <c r="DC714" s="588" t="n"/>
      <c r="DD714" s="588" t="n"/>
      <c r="DE714" s="588" t="n"/>
      <c r="DF714" s="588" t="n"/>
      <c r="DG714" s="588" t="n"/>
      <c r="DH714" s="588" t="n"/>
      <c r="DI714" s="588" t="n"/>
      <c r="DJ714" s="588" t="n"/>
      <c r="DK714" s="588" t="n"/>
      <c r="DL714" s="588" t="n"/>
      <c r="DM714" s="588" t="n"/>
      <c r="DN714" s="588" t="n"/>
      <c r="DO714" s="588" t="n"/>
      <c r="DP714" s="588" t="n"/>
      <c r="DQ714" s="588" t="n"/>
      <c r="DR714" s="588" t="n"/>
      <c r="DS714" s="588" t="n"/>
      <c r="DT714" s="588" t="n"/>
      <c r="DU714" s="588" t="n"/>
    </row>
    <row r="715">
      <c r="A715" s="737" t="n"/>
      <c r="B715" s="737" t="n"/>
      <c r="C715" s="737" t="n"/>
      <c r="D715" s="737" t="n"/>
      <c r="E715" s="737" t="n"/>
      <c r="F715" s="737" t="n"/>
      <c r="G715" s="737" t="n"/>
      <c r="H715" s="737" t="n"/>
      <c r="I715" s="737" t="n"/>
      <c r="J715" s="737" t="n"/>
      <c r="K715" s="737" t="n"/>
      <c r="L715" s="737" t="n"/>
      <c r="M715" s="737" t="n"/>
      <c r="N715" s="737" t="n"/>
      <c r="O715" s="737" t="n"/>
      <c r="P715" s="737" t="n"/>
      <c r="Q715" s="737" t="n"/>
      <c r="R715" s="737" t="n"/>
      <c r="S715" s="737" t="n"/>
      <c r="T715" s="737" t="n"/>
      <c r="U715" s="737" t="n"/>
      <c r="V715" s="737" t="n"/>
      <c r="W715" s="737" t="n"/>
      <c r="X715" s="737" t="n"/>
      <c r="Y715" s="737" t="n"/>
      <c r="Z715" s="737" t="n"/>
      <c r="AA715" s="737" t="n"/>
      <c r="AB715" s="737" t="n"/>
      <c r="AC715" s="737" t="n"/>
      <c r="AD715" s="737" t="n"/>
      <c r="AE715" s="737" t="n"/>
      <c r="AF715" s="737" t="n"/>
      <c r="AG715" s="737" t="n"/>
      <c r="AH715" s="737" t="n"/>
      <c r="AI715" s="737" t="n"/>
      <c r="AJ715" s="737" t="n"/>
      <c r="AK715" s="588" t="n"/>
      <c r="AL715" s="588" t="n"/>
      <c r="AM715" s="588" t="n"/>
      <c r="AN715" s="588" t="n"/>
      <c r="AO715" s="588" t="n"/>
      <c r="AP715" s="588" t="n"/>
      <c r="AQ715" s="588" t="n"/>
      <c r="AR715" s="588" t="n"/>
      <c r="AS715" s="588" t="n"/>
      <c r="AT715" s="588" t="n"/>
      <c r="AU715" s="588" t="n"/>
      <c r="AV715" s="588" t="n"/>
      <c r="AW715" s="588" t="n"/>
      <c r="AX715" s="588" t="n"/>
      <c r="AY715" s="588" t="n"/>
      <c r="AZ715" s="588" t="n"/>
      <c r="BA715" s="588" t="n"/>
      <c r="BB715" s="588" t="n"/>
      <c r="BC715" s="588" t="n"/>
      <c r="BD715" s="588" t="n"/>
      <c r="BE715" s="588" t="n"/>
      <c r="BF715" s="588" t="n"/>
      <c r="BG715" s="588" t="n"/>
      <c r="BH715" s="588" t="n"/>
      <c r="BI715" s="588" t="n"/>
      <c r="BJ715" s="588" t="n"/>
      <c r="BK715" s="588" t="n"/>
      <c r="BL715" s="588" t="n"/>
      <c r="BM715" s="588" t="n"/>
      <c r="BN715" s="588" t="n"/>
      <c r="BO715" s="588" t="n"/>
      <c r="BP715" s="588" t="n"/>
      <c r="BQ715" s="588" t="n"/>
      <c r="BR715" s="588" t="n"/>
      <c r="BS715" s="588" t="n"/>
      <c r="BT715" s="588" t="n"/>
      <c r="BU715" s="588" t="n"/>
      <c r="BV715" s="588" t="n"/>
      <c r="BW715" s="588" t="n"/>
      <c r="BX715" s="588" t="n"/>
      <c r="BY715" s="588" t="n"/>
      <c r="BZ715" s="588" t="n"/>
      <c r="CA715" s="588" t="n"/>
      <c r="CB715" s="588" t="n"/>
      <c r="CC715" s="588" t="n"/>
      <c r="CD715" s="588" t="n"/>
      <c r="CE715" s="588" t="n"/>
      <c r="CF715" s="588" t="n"/>
      <c r="CG715" s="588" t="n"/>
      <c r="CH715" s="588" t="n"/>
      <c r="CI715" s="588" t="n"/>
      <c r="CJ715" s="588" t="n"/>
      <c r="CK715" s="588" t="n"/>
      <c r="CL715" s="588" t="n"/>
      <c r="CM715" s="588" t="n"/>
      <c r="CN715" s="588" t="n"/>
      <c r="CO715" s="588" t="n"/>
      <c r="CP715" s="588" t="n"/>
      <c r="CQ715" s="588" t="n"/>
      <c r="CR715" s="588" t="n"/>
      <c r="CS715" s="588" t="n"/>
      <c r="CT715" s="588" t="n"/>
      <c r="CU715" s="588" t="n"/>
      <c r="CV715" s="588" t="n"/>
      <c r="CW715" s="588" t="n"/>
      <c r="CX715" s="588" t="n"/>
      <c r="CY715" s="588" t="n"/>
      <c r="CZ715" s="588" t="n"/>
      <c r="DA715" s="588" t="n"/>
      <c r="DB715" s="588" t="n"/>
      <c r="DC715" s="588" t="n"/>
      <c r="DD715" s="588" t="n"/>
      <c r="DE715" s="588" t="n"/>
      <c r="DF715" s="588" t="n"/>
      <c r="DG715" s="588" t="n"/>
      <c r="DH715" s="588" t="n"/>
      <c r="DI715" s="588" t="n"/>
      <c r="DJ715" s="588" t="n"/>
      <c r="DK715" s="588" t="n"/>
      <c r="DL715" s="588" t="n"/>
      <c r="DM715" s="588" t="n"/>
      <c r="DN715" s="588" t="n"/>
      <c r="DO715" s="588" t="n"/>
      <c r="DP715" s="588" t="n"/>
      <c r="DQ715" s="588" t="n"/>
      <c r="DR715" s="588" t="n"/>
      <c r="DS715" s="588" t="n"/>
      <c r="DT715" s="588" t="n"/>
      <c r="DU715" s="588" t="n"/>
    </row>
    <row r="716">
      <c r="A716" s="737" t="n"/>
      <c r="B716" s="737" t="n"/>
      <c r="C716" s="737" t="n"/>
      <c r="D716" s="737" t="n"/>
      <c r="E716" s="737" t="n"/>
      <c r="F716" s="737" t="n"/>
      <c r="G716" s="737" t="n"/>
      <c r="H716" s="737" t="n"/>
      <c r="I716" s="737" t="n"/>
      <c r="J716" s="737" t="n"/>
      <c r="K716" s="737" t="n"/>
      <c r="L716" s="737" t="n"/>
      <c r="M716" s="737" t="n"/>
      <c r="N716" s="737" t="n"/>
      <c r="O716" s="737" t="n"/>
      <c r="P716" s="737" t="n"/>
      <c r="Q716" s="737" t="n"/>
      <c r="R716" s="737" t="n"/>
      <c r="S716" s="737" t="n"/>
      <c r="T716" s="737" t="n"/>
      <c r="U716" s="737" t="n"/>
      <c r="V716" s="737" t="n"/>
      <c r="W716" s="737" t="n"/>
      <c r="X716" s="737" t="n"/>
      <c r="Y716" s="737" t="n"/>
      <c r="Z716" s="737" t="n"/>
      <c r="AA716" s="737" t="n"/>
      <c r="AB716" s="737" t="n"/>
      <c r="AC716" s="737" t="n"/>
      <c r="AD716" s="737" t="n"/>
      <c r="AE716" s="737" t="n"/>
      <c r="AF716" s="737" t="n"/>
      <c r="AG716" s="737" t="n"/>
      <c r="AH716" s="737" t="n"/>
      <c r="AI716" s="737" t="n"/>
      <c r="AJ716" s="737" t="n"/>
      <c r="AK716" s="588" t="n"/>
      <c r="AL716" s="588" t="n"/>
      <c r="AM716" s="588" t="n"/>
      <c r="AN716" s="588" t="n"/>
      <c r="AO716" s="588" t="n"/>
      <c r="AP716" s="588" t="n"/>
      <c r="AQ716" s="588" t="n"/>
      <c r="AR716" s="588" t="n"/>
      <c r="AS716" s="588" t="n"/>
      <c r="AT716" s="588" t="n"/>
      <c r="AU716" s="588" t="n"/>
      <c r="AV716" s="588" t="n"/>
      <c r="AW716" s="588" t="n"/>
      <c r="AX716" s="588" t="n"/>
      <c r="AY716" s="588" t="n"/>
      <c r="AZ716" s="588" t="n"/>
      <c r="BA716" s="588" t="n"/>
      <c r="BB716" s="588" t="n"/>
      <c r="BC716" s="588" t="n"/>
      <c r="BD716" s="588" t="n"/>
      <c r="BE716" s="588" t="n"/>
      <c r="BF716" s="588" t="n"/>
      <c r="BG716" s="588" t="n"/>
      <c r="BH716" s="588" t="n"/>
      <c r="BI716" s="588" t="n"/>
      <c r="BJ716" s="588" t="n"/>
      <c r="BK716" s="588" t="n"/>
      <c r="BL716" s="588" t="n"/>
      <c r="BM716" s="588" t="n"/>
      <c r="BN716" s="588" t="n"/>
      <c r="BO716" s="588" t="n"/>
      <c r="BP716" s="588" t="n"/>
      <c r="BQ716" s="588" t="n"/>
      <c r="BR716" s="588" t="n"/>
      <c r="BS716" s="588" t="n"/>
      <c r="BT716" s="588" t="n"/>
      <c r="BU716" s="588" t="n"/>
      <c r="BV716" s="588" t="n"/>
      <c r="BW716" s="588" t="n"/>
      <c r="BX716" s="588" t="n"/>
      <c r="BY716" s="588" t="n"/>
      <c r="BZ716" s="588" t="n"/>
      <c r="CA716" s="588" t="n"/>
      <c r="CB716" s="588" t="n"/>
      <c r="CC716" s="588" t="n"/>
      <c r="CD716" s="588" t="n"/>
      <c r="CE716" s="588" t="n"/>
      <c r="CF716" s="588" t="n"/>
      <c r="CG716" s="588" t="n"/>
      <c r="CH716" s="588" t="n"/>
      <c r="CI716" s="588" t="n"/>
      <c r="CJ716" s="588" t="n"/>
      <c r="CK716" s="588" t="n"/>
      <c r="CL716" s="588" t="n"/>
      <c r="CM716" s="588" t="n"/>
      <c r="CN716" s="588" t="n"/>
      <c r="CO716" s="588" t="n"/>
      <c r="CP716" s="588" t="n"/>
      <c r="CQ716" s="588" t="n"/>
      <c r="CR716" s="588" t="n"/>
      <c r="CS716" s="588" t="n"/>
      <c r="CT716" s="588" t="n"/>
      <c r="CU716" s="588" t="n"/>
      <c r="CV716" s="588" t="n"/>
      <c r="CW716" s="588" t="n"/>
      <c r="CX716" s="588" t="n"/>
      <c r="CY716" s="588" t="n"/>
      <c r="CZ716" s="588" t="n"/>
      <c r="DA716" s="588" t="n"/>
      <c r="DB716" s="588" t="n"/>
      <c r="DC716" s="588" t="n"/>
      <c r="DD716" s="588" t="n"/>
      <c r="DE716" s="588" t="n"/>
      <c r="DF716" s="588" t="n"/>
      <c r="DG716" s="588" t="n"/>
      <c r="DH716" s="588" t="n"/>
      <c r="DI716" s="588" t="n"/>
      <c r="DJ716" s="588" t="n"/>
      <c r="DK716" s="588" t="n"/>
      <c r="DL716" s="588" t="n"/>
      <c r="DM716" s="588" t="n"/>
      <c r="DN716" s="588" t="n"/>
      <c r="DO716" s="588" t="n"/>
      <c r="DP716" s="588" t="n"/>
      <c r="DQ716" s="588" t="n"/>
      <c r="DR716" s="588" t="n"/>
      <c r="DS716" s="588" t="n"/>
      <c r="DT716" s="588" t="n"/>
      <c r="DU716" s="588" t="n"/>
    </row>
    <row r="717">
      <c r="A717" s="737" t="n"/>
      <c r="B717" s="737" t="n"/>
      <c r="C717" s="737" t="n"/>
      <c r="D717" s="737" t="n"/>
      <c r="E717" s="737" t="n"/>
      <c r="F717" s="737" t="n"/>
      <c r="G717" s="737" t="n"/>
      <c r="H717" s="737" t="n"/>
      <c r="I717" s="737" t="n"/>
      <c r="J717" s="737" t="n"/>
      <c r="K717" s="737" t="n"/>
      <c r="L717" s="737" t="n"/>
      <c r="M717" s="737" t="n"/>
      <c r="N717" s="737" t="n"/>
      <c r="O717" s="737" t="n"/>
      <c r="P717" s="737" t="n"/>
      <c r="Q717" s="737" t="n"/>
      <c r="R717" s="737" t="n"/>
      <c r="S717" s="737" t="n"/>
      <c r="T717" s="737" t="n"/>
      <c r="U717" s="737" t="n"/>
      <c r="V717" s="737" t="n"/>
      <c r="W717" s="737" t="n"/>
      <c r="X717" s="737" t="n"/>
      <c r="Y717" s="737" t="n"/>
      <c r="Z717" s="737" t="n"/>
      <c r="AA717" s="737" t="n"/>
      <c r="AB717" s="737" t="n"/>
      <c r="AC717" s="737" t="n"/>
      <c r="AD717" s="737" t="n"/>
      <c r="AE717" s="737" t="n"/>
      <c r="AF717" s="737" t="n"/>
      <c r="AG717" s="737" t="n"/>
      <c r="AH717" s="737" t="n"/>
      <c r="AI717" s="737" t="n"/>
      <c r="AJ717" s="737" t="n"/>
      <c r="AK717" s="588" t="n"/>
      <c r="AL717" s="588" t="n"/>
      <c r="AM717" s="588" t="n"/>
      <c r="AN717" s="588" t="n"/>
      <c r="AO717" s="588" t="n"/>
      <c r="AP717" s="588" t="n"/>
      <c r="AQ717" s="588" t="n"/>
      <c r="AR717" s="588" t="n"/>
      <c r="AS717" s="588" t="n"/>
      <c r="AT717" s="588" t="n"/>
      <c r="AU717" s="588" t="n"/>
      <c r="AV717" s="588" t="n"/>
      <c r="AW717" s="588" t="n"/>
      <c r="AX717" s="588" t="n"/>
      <c r="AY717" s="588" t="n"/>
      <c r="AZ717" s="588" t="n"/>
      <c r="BA717" s="588" t="n"/>
      <c r="BB717" s="588" t="n"/>
      <c r="BC717" s="588" t="n"/>
      <c r="BD717" s="588" t="n"/>
      <c r="BE717" s="588" t="n"/>
      <c r="BF717" s="588" t="n"/>
      <c r="BG717" s="588" t="n"/>
      <c r="BH717" s="588" t="n"/>
      <c r="BI717" s="588" t="n"/>
      <c r="BJ717" s="588" t="n"/>
      <c r="BK717" s="588" t="n"/>
      <c r="BL717" s="588" t="n"/>
      <c r="BM717" s="588" t="n"/>
      <c r="BN717" s="588" t="n"/>
      <c r="BO717" s="588" t="n"/>
      <c r="BP717" s="588" t="n"/>
      <c r="BQ717" s="588" t="n"/>
      <c r="BR717" s="588" t="n"/>
      <c r="BS717" s="588" t="n"/>
      <c r="BT717" s="588" t="n"/>
      <c r="BU717" s="588" t="n"/>
      <c r="BV717" s="588" t="n"/>
      <c r="BW717" s="588" t="n"/>
      <c r="BX717" s="588" t="n"/>
      <c r="BY717" s="588" t="n"/>
      <c r="BZ717" s="588" t="n"/>
      <c r="CA717" s="588" t="n"/>
      <c r="CB717" s="588" t="n"/>
      <c r="CC717" s="588" t="n"/>
      <c r="CD717" s="588" t="n"/>
      <c r="CE717" s="588" t="n"/>
      <c r="CF717" s="588" t="n"/>
      <c r="CG717" s="588" t="n"/>
      <c r="CH717" s="588" t="n"/>
      <c r="CI717" s="588" t="n"/>
      <c r="CJ717" s="588" t="n"/>
      <c r="CK717" s="588" t="n"/>
      <c r="CL717" s="588" t="n"/>
      <c r="CM717" s="588" t="n"/>
      <c r="CN717" s="588" t="n"/>
      <c r="CO717" s="588" t="n"/>
      <c r="CP717" s="588" t="n"/>
      <c r="CQ717" s="588" t="n"/>
      <c r="CR717" s="588" t="n"/>
      <c r="CS717" s="588" t="n"/>
      <c r="CT717" s="588" t="n"/>
      <c r="CU717" s="588" t="n"/>
      <c r="CV717" s="588" t="n"/>
      <c r="CW717" s="588" t="n"/>
      <c r="CX717" s="588" t="n"/>
      <c r="CY717" s="588" t="n"/>
      <c r="CZ717" s="588" t="n"/>
      <c r="DA717" s="588" t="n"/>
      <c r="DB717" s="588" t="n"/>
      <c r="DC717" s="588" t="n"/>
      <c r="DD717" s="588" t="n"/>
      <c r="DE717" s="588" t="n"/>
      <c r="DF717" s="588" t="n"/>
      <c r="DG717" s="588" t="n"/>
      <c r="DH717" s="588" t="n"/>
      <c r="DI717" s="588" t="n"/>
      <c r="DJ717" s="588" t="n"/>
      <c r="DK717" s="588" t="n"/>
      <c r="DL717" s="588" t="n"/>
      <c r="DM717" s="588" t="n"/>
      <c r="DN717" s="588" t="n"/>
      <c r="DO717" s="588" t="n"/>
      <c r="DP717" s="588" t="n"/>
      <c r="DQ717" s="588" t="n"/>
      <c r="DR717" s="588" t="n"/>
      <c r="DS717" s="588" t="n"/>
      <c r="DT717" s="588" t="n"/>
      <c r="DU717" s="588" t="n"/>
    </row>
    <row r="718">
      <c r="A718" s="737" t="n"/>
      <c r="B718" s="737" t="n"/>
      <c r="C718" s="737" t="n"/>
      <c r="D718" s="737" t="n"/>
      <c r="E718" s="737" t="n"/>
      <c r="F718" s="737" t="n"/>
      <c r="G718" s="737" t="n"/>
      <c r="H718" s="737" t="n"/>
      <c r="I718" s="737" t="n"/>
      <c r="J718" s="737" t="n"/>
      <c r="K718" s="737" t="n"/>
      <c r="L718" s="737" t="n"/>
      <c r="M718" s="737" t="n"/>
      <c r="N718" s="737" t="n"/>
      <c r="O718" s="737" t="n"/>
      <c r="P718" s="737" t="n"/>
      <c r="Q718" s="737" t="n"/>
      <c r="R718" s="737" t="n"/>
      <c r="S718" s="737" t="n"/>
      <c r="T718" s="737" t="n"/>
      <c r="U718" s="737" t="n"/>
      <c r="V718" s="737" t="n"/>
      <c r="W718" s="737" t="n"/>
      <c r="X718" s="737" t="n"/>
      <c r="Y718" s="737" t="n"/>
      <c r="Z718" s="737" t="n"/>
      <c r="AA718" s="737" t="n"/>
      <c r="AB718" s="737" t="n"/>
      <c r="AC718" s="737" t="n"/>
      <c r="AD718" s="737" t="n"/>
      <c r="AE718" s="737" t="n"/>
      <c r="AF718" s="737" t="n"/>
      <c r="AG718" s="737" t="n"/>
      <c r="AH718" s="737" t="n"/>
      <c r="AI718" s="737" t="n"/>
      <c r="AJ718" s="737" t="n"/>
      <c r="AK718" s="588" t="n"/>
      <c r="AL718" s="588" t="n"/>
      <c r="AM718" s="588" t="n"/>
      <c r="AN718" s="588" t="n"/>
      <c r="AO718" s="588" t="n"/>
      <c r="AP718" s="588" t="n"/>
      <c r="AQ718" s="588" t="n"/>
      <c r="AR718" s="588" t="n"/>
      <c r="AS718" s="588" t="n"/>
      <c r="AT718" s="588" t="n"/>
      <c r="AU718" s="588" t="n"/>
      <c r="AV718" s="588" t="n"/>
      <c r="AW718" s="588" t="n"/>
      <c r="AX718" s="588" t="n"/>
      <c r="AY718" s="588" t="n"/>
      <c r="AZ718" s="588" t="n"/>
      <c r="BA718" s="588" t="n"/>
      <c r="BB718" s="588" t="n"/>
      <c r="BC718" s="588" t="n"/>
      <c r="BD718" s="588" t="n"/>
      <c r="BE718" s="588" t="n"/>
      <c r="BF718" s="588" t="n"/>
      <c r="BG718" s="588" t="n"/>
      <c r="BH718" s="588" t="n"/>
      <c r="BI718" s="588" t="n"/>
      <c r="BJ718" s="588" t="n"/>
      <c r="BK718" s="588" t="n"/>
      <c r="BL718" s="588" t="n"/>
      <c r="BM718" s="588" t="n"/>
      <c r="BN718" s="588" t="n"/>
      <c r="BO718" s="588" t="n"/>
      <c r="BP718" s="588" t="n"/>
      <c r="BQ718" s="588" t="n"/>
      <c r="BR718" s="588" t="n"/>
      <c r="BS718" s="588" t="n"/>
      <c r="BT718" s="588" t="n"/>
      <c r="BU718" s="588" t="n"/>
      <c r="BV718" s="588" t="n"/>
      <c r="BW718" s="588" t="n"/>
      <c r="BX718" s="588" t="n"/>
      <c r="BY718" s="588" t="n"/>
      <c r="BZ718" s="588" t="n"/>
      <c r="CA718" s="588" t="n"/>
      <c r="CB718" s="588" t="n"/>
      <c r="CC718" s="588" t="n"/>
      <c r="CD718" s="588" t="n"/>
      <c r="CE718" s="588" t="n"/>
      <c r="CF718" s="588" t="n"/>
      <c r="CG718" s="588" t="n"/>
      <c r="CH718" s="588" t="n"/>
      <c r="CI718" s="588" t="n"/>
      <c r="CJ718" s="588" t="n"/>
      <c r="CK718" s="588" t="n"/>
      <c r="CL718" s="588" t="n"/>
      <c r="CM718" s="588" t="n"/>
      <c r="CN718" s="588" t="n"/>
      <c r="CO718" s="588" t="n"/>
      <c r="CP718" s="588" t="n"/>
      <c r="CQ718" s="588" t="n"/>
      <c r="CR718" s="588" t="n"/>
      <c r="CS718" s="588" t="n"/>
      <c r="CT718" s="588" t="n"/>
      <c r="CU718" s="588" t="n"/>
      <c r="CV718" s="588" t="n"/>
      <c r="CW718" s="588" t="n"/>
      <c r="CX718" s="588" t="n"/>
      <c r="CY718" s="588" t="n"/>
      <c r="CZ718" s="588" t="n"/>
      <c r="DA718" s="588" t="n"/>
      <c r="DB718" s="588" t="n"/>
      <c r="DC718" s="588" t="n"/>
      <c r="DD718" s="588" t="n"/>
      <c r="DE718" s="588" t="n"/>
      <c r="DF718" s="588" t="n"/>
      <c r="DG718" s="588" t="n"/>
      <c r="DH718" s="588" t="n"/>
      <c r="DI718" s="588" t="n"/>
      <c r="DJ718" s="588" t="n"/>
      <c r="DK718" s="588" t="n"/>
      <c r="DL718" s="588" t="n"/>
      <c r="DM718" s="588" t="n"/>
      <c r="DN718" s="588" t="n"/>
      <c r="DO718" s="588" t="n"/>
      <c r="DP718" s="588" t="n"/>
      <c r="DQ718" s="588" t="n"/>
      <c r="DR718" s="588" t="n"/>
      <c r="DS718" s="588" t="n"/>
      <c r="DT718" s="588" t="n"/>
      <c r="DU718" s="588" t="n"/>
    </row>
    <row r="719">
      <c r="A719" s="737" t="n"/>
      <c r="B719" s="737" t="n"/>
      <c r="C719" s="737" t="n"/>
      <c r="D719" s="737" t="n"/>
      <c r="E719" s="737" t="n"/>
      <c r="F719" s="737" t="n"/>
      <c r="G719" s="737" t="n"/>
      <c r="H719" s="737" t="n"/>
      <c r="I719" s="737" t="n"/>
      <c r="J719" s="737" t="n"/>
      <c r="K719" s="737" t="n"/>
      <c r="L719" s="737" t="n"/>
      <c r="M719" s="737" t="n"/>
      <c r="N719" s="737" t="n"/>
      <c r="O719" s="737" t="n"/>
      <c r="P719" s="737" t="n"/>
      <c r="Q719" s="737" t="n"/>
      <c r="R719" s="737" t="n"/>
      <c r="S719" s="737" t="n"/>
      <c r="T719" s="737" t="n"/>
      <c r="U719" s="737" t="n"/>
      <c r="V719" s="737" t="n"/>
      <c r="W719" s="737" t="n"/>
      <c r="X719" s="737" t="n"/>
      <c r="Y719" s="737" t="n"/>
      <c r="Z719" s="737" t="n"/>
      <c r="AA719" s="737" t="n"/>
      <c r="AB719" s="737" t="n"/>
      <c r="AC719" s="737" t="n"/>
      <c r="AD719" s="737" t="n"/>
      <c r="AE719" s="737" t="n"/>
      <c r="AF719" s="737" t="n"/>
      <c r="AG719" s="737" t="n"/>
      <c r="AH719" s="737" t="n"/>
      <c r="AI719" s="737" t="n"/>
      <c r="AJ719" s="737" t="n"/>
      <c r="AK719" s="588" t="n"/>
      <c r="AL719" s="588" t="n"/>
      <c r="AM719" s="588" t="n"/>
      <c r="AN719" s="588" t="n"/>
      <c r="AO719" s="588" t="n"/>
      <c r="AP719" s="588" t="n"/>
      <c r="AQ719" s="588" t="n"/>
      <c r="AR719" s="588" t="n"/>
      <c r="AS719" s="588" t="n"/>
      <c r="AT719" s="588" t="n"/>
      <c r="AU719" s="588" t="n"/>
      <c r="AV719" s="588" t="n"/>
      <c r="AW719" s="588" t="n"/>
      <c r="AX719" s="588" t="n"/>
      <c r="AY719" s="588" t="n"/>
      <c r="AZ719" s="588" t="n"/>
      <c r="BA719" s="588" t="n"/>
      <c r="BB719" s="588" t="n"/>
      <c r="BC719" s="588" t="n"/>
      <c r="BD719" s="588" t="n"/>
      <c r="BE719" s="588" t="n"/>
      <c r="BF719" s="588" t="n"/>
      <c r="BG719" s="588" t="n"/>
      <c r="BH719" s="588" t="n"/>
      <c r="BI719" s="588" t="n"/>
      <c r="BJ719" s="588" t="n"/>
      <c r="BK719" s="588" t="n"/>
      <c r="BL719" s="588" t="n"/>
      <c r="BM719" s="588" t="n"/>
      <c r="BN719" s="588" t="n"/>
      <c r="BO719" s="588" t="n"/>
      <c r="BP719" s="588" t="n"/>
      <c r="BQ719" s="588" t="n"/>
      <c r="BR719" s="588" t="n"/>
      <c r="BS719" s="588" t="n"/>
      <c r="BT719" s="588" t="n"/>
      <c r="BU719" s="588" t="n"/>
      <c r="BV719" s="588" t="n"/>
      <c r="BW719" s="588" t="n"/>
      <c r="BX719" s="588" t="n"/>
      <c r="BY719" s="588" t="n"/>
      <c r="BZ719" s="588" t="n"/>
      <c r="CA719" s="588" t="n"/>
      <c r="CB719" s="588" t="n"/>
      <c r="CC719" s="588" t="n"/>
      <c r="CD719" s="588" t="n"/>
      <c r="CE719" s="588" t="n"/>
      <c r="CF719" s="588" t="n"/>
      <c r="CG719" s="588" t="n"/>
      <c r="CH719" s="588" t="n"/>
      <c r="CI719" s="588" t="n"/>
      <c r="CJ719" s="588" t="n"/>
      <c r="CK719" s="588" t="n"/>
      <c r="CL719" s="588" t="n"/>
      <c r="CM719" s="588" t="n"/>
      <c r="CN719" s="588" t="n"/>
      <c r="CO719" s="588" t="n"/>
      <c r="CP719" s="588" t="n"/>
      <c r="CQ719" s="588" t="n"/>
      <c r="CR719" s="588" t="n"/>
      <c r="CS719" s="588" t="n"/>
      <c r="CT719" s="588" t="n"/>
      <c r="CU719" s="588" t="n"/>
      <c r="CV719" s="588" t="n"/>
      <c r="CW719" s="588" t="n"/>
      <c r="CX719" s="588" t="n"/>
      <c r="CY719" s="588" t="n"/>
      <c r="CZ719" s="588" t="n"/>
      <c r="DA719" s="588" t="n"/>
      <c r="DB719" s="588" t="n"/>
      <c r="DC719" s="588" t="n"/>
      <c r="DD719" s="588" t="n"/>
      <c r="DE719" s="588" t="n"/>
      <c r="DF719" s="588" t="n"/>
      <c r="DG719" s="588" t="n"/>
      <c r="DH719" s="588" t="n"/>
      <c r="DI719" s="588" t="n"/>
      <c r="DJ719" s="588" t="n"/>
      <c r="DK719" s="588" t="n"/>
      <c r="DL719" s="588" t="n"/>
      <c r="DM719" s="588" t="n"/>
      <c r="DN719" s="588" t="n"/>
      <c r="DO719" s="588" t="n"/>
      <c r="DP719" s="588" t="n"/>
      <c r="DQ719" s="588" t="n"/>
      <c r="DR719" s="588" t="n"/>
      <c r="DS719" s="588" t="n"/>
      <c r="DT719" s="588" t="n"/>
      <c r="DU719" s="588" t="n"/>
    </row>
    <row r="720">
      <c r="A720" s="737" t="n"/>
      <c r="B720" s="737" t="n"/>
      <c r="C720" s="737" t="n"/>
      <c r="D720" s="737" t="n"/>
      <c r="E720" s="737" t="n"/>
      <c r="F720" s="737" t="n"/>
      <c r="G720" s="737" t="n"/>
      <c r="H720" s="737" t="n"/>
      <c r="I720" s="737" t="n"/>
      <c r="J720" s="737" t="n"/>
      <c r="K720" s="737" t="n"/>
      <c r="L720" s="737" t="n"/>
      <c r="M720" s="737" t="n"/>
      <c r="N720" s="737" t="n"/>
      <c r="O720" s="737" t="n"/>
      <c r="P720" s="737" t="n"/>
      <c r="Q720" s="737" t="n"/>
      <c r="R720" s="737" t="n"/>
      <c r="S720" s="737" t="n"/>
      <c r="T720" s="737" t="n"/>
      <c r="U720" s="737" t="n"/>
      <c r="V720" s="737" t="n"/>
      <c r="W720" s="737" t="n"/>
      <c r="X720" s="737" t="n"/>
      <c r="Y720" s="737" t="n"/>
      <c r="Z720" s="737" t="n"/>
      <c r="AA720" s="737" t="n"/>
      <c r="AB720" s="737" t="n"/>
      <c r="AC720" s="737" t="n"/>
      <c r="AD720" s="737" t="n"/>
      <c r="AE720" s="737" t="n"/>
      <c r="AF720" s="737" t="n"/>
      <c r="AG720" s="737" t="n"/>
      <c r="AH720" s="737" t="n"/>
      <c r="AI720" s="737" t="n"/>
      <c r="AJ720" s="737" t="n"/>
      <c r="AK720" s="588" t="n"/>
      <c r="AL720" s="588" t="n"/>
      <c r="AM720" s="588" t="n"/>
      <c r="AN720" s="588" t="n"/>
      <c r="AO720" s="588" t="n"/>
      <c r="AP720" s="588" t="n"/>
      <c r="AQ720" s="588" t="n"/>
      <c r="AR720" s="588" t="n"/>
      <c r="AS720" s="588" t="n"/>
      <c r="AT720" s="588" t="n"/>
      <c r="AU720" s="588" t="n"/>
      <c r="AV720" s="588" t="n"/>
      <c r="AW720" s="588" t="n"/>
      <c r="AX720" s="588" t="n"/>
      <c r="AY720" s="588" t="n"/>
      <c r="AZ720" s="588" t="n"/>
      <c r="BA720" s="588" t="n"/>
      <c r="BB720" s="588" t="n"/>
      <c r="BC720" s="588" t="n"/>
      <c r="BD720" s="588" t="n"/>
      <c r="BE720" s="588" t="n"/>
      <c r="BF720" s="588" t="n"/>
      <c r="BG720" s="588" t="n"/>
      <c r="BH720" s="588" t="n"/>
      <c r="BI720" s="588" t="n"/>
      <c r="BJ720" s="588" t="n"/>
      <c r="BK720" s="588" t="n"/>
      <c r="BL720" s="588" t="n"/>
      <c r="BM720" s="588" t="n"/>
      <c r="BN720" s="588" t="n"/>
      <c r="BO720" s="588" t="n"/>
      <c r="BP720" s="588" t="n"/>
      <c r="BQ720" s="588" t="n"/>
      <c r="BR720" s="588" t="n"/>
      <c r="BS720" s="588" t="n"/>
      <c r="BT720" s="588" t="n"/>
      <c r="BU720" s="588" t="n"/>
      <c r="BV720" s="588" t="n"/>
      <c r="BW720" s="588" t="n"/>
      <c r="BX720" s="588" t="n"/>
      <c r="BY720" s="588" t="n"/>
      <c r="BZ720" s="588" t="n"/>
      <c r="CA720" s="588" t="n"/>
      <c r="CB720" s="588" t="n"/>
      <c r="CC720" s="588" t="n"/>
      <c r="CD720" s="588" t="n"/>
      <c r="CE720" s="588" t="n"/>
      <c r="CF720" s="588" t="n"/>
      <c r="CG720" s="588" t="n"/>
      <c r="CH720" s="588" t="n"/>
      <c r="CI720" s="588" t="n"/>
      <c r="CJ720" s="588" t="n"/>
      <c r="CK720" s="588" t="n"/>
      <c r="CL720" s="588" t="n"/>
      <c r="CM720" s="588" t="n"/>
      <c r="CN720" s="588" t="n"/>
      <c r="CO720" s="588" t="n"/>
      <c r="CP720" s="588" t="n"/>
      <c r="CQ720" s="588" t="n"/>
      <c r="CR720" s="588" t="n"/>
      <c r="CS720" s="588" t="n"/>
      <c r="CT720" s="588" t="n"/>
      <c r="CU720" s="588" t="n"/>
      <c r="CV720" s="588" t="n"/>
      <c r="CW720" s="588" t="n"/>
      <c r="CX720" s="588" t="n"/>
      <c r="CY720" s="588" t="n"/>
      <c r="CZ720" s="588" t="n"/>
      <c r="DA720" s="588" t="n"/>
      <c r="DB720" s="588" t="n"/>
      <c r="DC720" s="588" t="n"/>
      <c r="DD720" s="588" t="n"/>
      <c r="DE720" s="588" t="n"/>
      <c r="DF720" s="588" t="n"/>
      <c r="DG720" s="588" t="n"/>
      <c r="DH720" s="588" t="n"/>
      <c r="DI720" s="588" t="n"/>
      <c r="DJ720" s="588" t="n"/>
      <c r="DK720" s="588" t="n"/>
      <c r="DL720" s="588" t="n"/>
      <c r="DM720" s="588" t="n"/>
      <c r="DN720" s="588" t="n"/>
      <c r="DO720" s="588" t="n"/>
      <c r="DP720" s="588" t="n"/>
      <c r="DQ720" s="588" t="n"/>
      <c r="DR720" s="588" t="n"/>
      <c r="DS720" s="588" t="n"/>
      <c r="DT720" s="588" t="n"/>
      <c r="DU720" s="588" t="n"/>
    </row>
    <row r="721">
      <c r="A721" s="737" t="n"/>
      <c r="B721" s="737" t="n"/>
      <c r="C721" s="737" t="n"/>
      <c r="D721" s="737" t="n"/>
      <c r="E721" s="737" t="n"/>
      <c r="F721" s="737" t="n"/>
      <c r="G721" s="737" t="n"/>
      <c r="H721" s="737" t="n"/>
      <c r="I721" s="737" t="n"/>
      <c r="J721" s="737" t="n"/>
      <c r="K721" s="737" t="n"/>
      <c r="L721" s="737" t="n"/>
      <c r="M721" s="737" t="n"/>
      <c r="N721" s="737" t="n"/>
      <c r="O721" s="737" t="n"/>
      <c r="P721" s="737" t="n"/>
      <c r="Q721" s="737" t="n"/>
      <c r="R721" s="737" t="n"/>
      <c r="S721" s="737" t="n"/>
      <c r="T721" s="737" t="n"/>
      <c r="U721" s="737" t="n"/>
      <c r="V721" s="737" t="n"/>
      <c r="W721" s="737" t="n"/>
      <c r="X721" s="737" t="n"/>
      <c r="Y721" s="737" t="n"/>
      <c r="Z721" s="737" t="n"/>
      <c r="AA721" s="737" t="n"/>
      <c r="AB721" s="737" t="n"/>
      <c r="AC721" s="737" t="n"/>
      <c r="AD721" s="737" t="n"/>
      <c r="AE721" s="737" t="n"/>
      <c r="AF721" s="737" t="n"/>
      <c r="AG721" s="737" t="n"/>
      <c r="AH721" s="737" t="n"/>
      <c r="AI721" s="737" t="n"/>
      <c r="AJ721" s="737" t="n"/>
      <c r="AK721" s="588" t="n"/>
      <c r="AL721" s="588" t="n"/>
      <c r="AM721" s="588" t="n"/>
      <c r="AN721" s="588" t="n"/>
      <c r="AO721" s="588" t="n"/>
      <c r="AP721" s="588" t="n"/>
      <c r="AQ721" s="588" t="n"/>
      <c r="AR721" s="588" t="n"/>
      <c r="AS721" s="588" t="n"/>
      <c r="AT721" s="588" t="n"/>
      <c r="AU721" s="588" t="n"/>
      <c r="AV721" s="588" t="n"/>
      <c r="AW721" s="588" t="n"/>
      <c r="AX721" s="588" t="n"/>
      <c r="AY721" s="588" t="n"/>
      <c r="AZ721" s="588" t="n"/>
      <c r="BA721" s="588" t="n"/>
      <c r="BB721" s="588" t="n"/>
      <c r="BC721" s="588" t="n"/>
      <c r="BD721" s="588" t="n"/>
      <c r="BE721" s="588" t="n"/>
      <c r="BF721" s="588" t="n"/>
      <c r="BG721" s="588" t="n"/>
      <c r="BH721" s="588" t="n"/>
      <c r="BI721" s="588" t="n"/>
      <c r="BJ721" s="588" t="n"/>
      <c r="BK721" s="588" t="n"/>
      <c r="BL721" s="588" t="n"/>
      <c r="BM721" s="588" t="n"/>
      <c r="BN721" s="588" t="n"/>
      <c r="BO721" s="588" t="n"/>
      <c r="BP721" s="588" t="n"/>
      <c r="BQ721" s="588" t="n"/>
      <c r="BR721" s="588" t="n"/>
      <c r="BS721" s="588" t="n"/>
      <c r="BT721" s="588" t="n"/>
      <c r="BU721" s="588" t="n"/>
      <c r="BV721" s="588" t="n"/>
      <c r="BW721" s="588" t="n"/>
      <c r="BX721" s="588" t="n"/>
      <c r="BY721" s="588" t="n"/>
      <c r="BZ721" s="588" t="n"/>
      <c r="CA721" s="588" t="n"/>
      <c r="CB721" s="588" t="n"/>
      <c r="CC721" s="588" t="n"/>
      <c r="CD721" s="588" t="n"/>
      <c r="CE721" s="588" t="n"/>
      <c r="CF721" s="588" t="n"/>
      <c r="CG721" s="588" t="n"/>
      <c r="CH721" s="588" t="n"/>
      <c r="CI721" s="588" t="n"/>
      <c r="CJ721" s="588" t="n"/>
      <c r="CK721" s="588" t="n"/>
      <c r="CL721" s="588" t="n"/>
      <c r="CM721" s="588" t="n"/>
      <c r="CN721" s="588" t="n"/>
      <c r="CO721" s="588" t="n"/>
      <c r="CP721" s="588" t="n"/>
      <c r="CQ721" s="588" t="n"/>
      <c r="CR721" s="588" t="n"/>
      <c r="CS721" s="588" t="n"/>
      <c r="CT721" s="588" t="n"/>
      <c r="CU721" s="588" t="n"/>
      <c r="CV721" s="588" t="n"/>
      <c r="CW721" s="588" t="n"/>
      <c r="CX721" s="588" t="n"/>
      <c r="CY721" s="588" t="n"/>
      <c r="CZ721" s="588" t="n"/>
      <c r="DA721" s="588" t="n"/>
      <c r="DB721" s="588" t="n"/>
      <c r="DC721" s="588" t="n"/>
      <c r="DD721" s="588" t="n"/>
      <c r="DE721" s="588" t="n"/>
      <c r="DF721" s="588" t="n"/>
      <c r="DG721" s="588" t="n"/>
      <c r="DH721" s="588" t="n"/>
      <c r="DI721" s="588" t="n"/>
      <c r="DJ721" s="588" t="n"/>
      <c r="DK721" s="588" t="n"/>
      <c r="DL721" s="588" t="n"/>
      <c r="DM721" s="588" t="n"/>
      <c r="DN721" s="588" t="n"/>
      <c r="DO721" s="588" t="n"/>
      <c r="DP721" s="588" t="n"/>
      <c r="DQ721" s="588" t="n"/>
      <c r="DR721" s="588" t="n"/>
      <c r="DS721" s="588" t="n"/>
      <c r="DT721" s="588" t="n"/>
      <c r="DU721" s="588" t="n"/>
    </row>
    <row r="722">
      <c r="A722" s="737" t="n"/>
      <c r="B722" s="737" t="n"/>
      <c r="C722" s="737" t="n"/>
      <c r="D722" s="737" t="n"/>
      <c r="E722" s="737" t="n"/>
      <c r="F722" s="737" t="n"/>
      <c r="G722" s="737" t="n"/>
      <c r="H722" s="737" t="n"/>
      <c r="I722" s="737" t="n"/>
      <c r="J722" s="737" t="n"/>
      <c r="K722" s="737" t="n"/>
      <c r="L722" s="737" t="n"/>
      <c r="M722" s="737" t="n"/>
      <c r="N722" s="737" t="n"/>
      <c r="O722" s="737" t="n"/>
      <c r="P722" s="737" t="n"/>
      <c r="Q722" s="737" t="n"/>
      <c r="R722" s="737" t="n"/>
      <c r="S722" s="737" t="n"/>
      <c r="T722" s="737" t="n"/>
      <c r="U722" s="737" t="n"/>
      <c r="V722" s="737" t="n"/>
      <c r="W722" s="737" t="n"/>
      <c r="X722" s="737" t="n"/>
      <c r="Y722" s="737" t="n"/>
      <c r="Z722" s="737" t="n"/>
      <c r="AA722" s="737" t="n"/>
      <c r="AB722" s="737" t="n"/>
      <c r="AC722" s="737" t="n"/>
      <c r="AD722" s="737" t="n"/>
      <c r="AE722" s="737" t="n"/>
      <c r="AF722" s="737" t="n"/>
      <c r="AG722" s="737" t="n"/>
      <c r="AH722" s="737" t="n"/>
      <c r="AI722" s="737" t="n"/>
      <c r="AJ722" s="737" t="n"/>
      <c r="AK722" s="588" t="n"/>
      <c r="AL722" s="588" t="n"/>
      <c r="AM722" s="588" t="n"/>
      <c r="AN722" s="588" t="n"/>
      <c r="AO722" s="588" t="n"/>
      <c r="AP722" s="588" t="n"/>
      <c r="AQ722" s="588" t="n"/>
      <c r="AR722" s="588" t="n"/>
      <c r="AS722" s="588" t="n"/>
      <c r="AT722" s="588" t="n"/>
      <c r="AU722" s="588" t="n"/>
      <c r="AV722" s="588" t="n"/>
      <c r="AW722" s="588" t="n"/>
      <c r="AX722" s="588" t="n"/>
      <c r="AY722" s="588" t="n"/>
      <c r="AZ722" s="588" t="n"/>
      <c r="BA722" s="588" t="n"/>
      <c r="BB722" s="588" t="n"/>
      <c r="BC722" s="588" t="n"/>
      <c r="BD722" s="588" t="n"/>
      <c r="BE722" s="588" t="n"/>
      <c r="BF722" s="588" t="n"/>
      <c r="BG722" s="588" t="n"/>
      <c r="BH722" s="588" t="n"/>
      <c r="BI722" s="588" t="n"/>
      <c r="BJ722" s="588" t="n"/>
      <c r="BK722" s="588" t="n"/>
      <c r="BL722" s="588" t="n"/>
      <c r="BM722" s="588" t="n"/>
      <c r="BN722" s="588" t="n"/>
      <c r="BO722" s="588" t="n"/>
      <c r="BP722" s="588" t="n"/>
      <c r="BQ722" s="588" t="n"/>
      <c r="BR722" s="588" t="n"/>
      <c r="BS722" s="588" t="n"/>
      <c r="BT722" s="588" t="n"/>
      <c r="BU722" s="588" t="n"/>
      <c r="BV722" s="588" t="n"/>
      <c r="BW722" s="588" t="n"/>
      <c r="BX722" s="588" t="n"/>
      <c r="BY722" s="588" t="n"/>
      <c r="BZ722" s="588" t="n"/>
      <c r="CA722" s="588" t="n"/>
      <c r="CB722" s="588" t="n"/>
      <c r="CC722" s="588" t="n"/>
      <c r="CD722" s="588" t="n"/>
      <c r="CE722" s="588" t="n"/>
      <c r="CF722" s="588" t="n"/>
      <c r="CG722" s="588" t="n"/>
      <c r="CH722" s="588" t="n"/>
      <c r="CI722" s="588" t="n"/>
      <c r="CJ722" s="588" t="n"/>
      <c r="CK722" s="588" t="n"/>
      <c r="CL722" s="588" t="n"/>
      <c r="CM722" s="588" t="n"/>
      <c r="CN722" s="588" t="n"/>
      <c r="CO722" s="588" t="n"/>
      <c r="CP722" s="588" t="n"/>
      <c r="CQ722" s="588" t="n"/>
      <c r="CR722" s="588" t="n"/>
      <c r="CS722" s="588" t="n"/>
      <c r="CT722" s="588" t="n"/>
      <c r="CU722" s="588" t="n"/>
      <c r="CV722" s="588" t="n"/>
      <c r="CW722" s="588" t="n"/>
      <c r="CX722" s="588" t="n"/>
      <c r="CY722" s="588" t="n"/>
      <c r="CZ722" s="588" t="n"/>
      <c r="DA722" s="588" t="n"/>
      <c r="DB722" s="588" t="n"/>
      <c r="DC722" s="588" t="n"/>
      <c r="DD722" s="588" t="n"/>
      <c r="DE722" s="588" t="n"/>
      <c r="DF722" s="588" t="n"/>
      <c r="DG722" s="588" t="n"/>
      <c r="DH722" s="588" t="n"/>
      <c r="DI722" s="588" t="n"/>
      <c r="DJ722" s="588" t="n"/>
      <c r="DK722" s="588" t="n"/>
      <c r="DL722" s="588" t="n"/>
      <c r="DM722" s="588" t="n"/>
      <c r="DN722" s="588" t="n"/>
      <c r="DO722" s="588" t="n"/>
      <c r="DP722" s="588" t="n"/>
      <c r="DQ722" s="588" t="n"/>
      <c r="DR722" s="588" t="n"/>
      <c r="DS722" s="588" t="n"/>
      <c r="DT722" s="588" t="n"/>
      <c r="DU722" s="588" t="n"/>
    </row>
    <row r="723">
      <c r="A723" s="737" t="n"/>
      <c r="B723" s="737" t="n"/>
      <c r="C723" s="737" t="n"/>
      <c r="D723" s="737" t="n"/>
      <c r="E723" s="737" t="n"/>
      <c r="F723" s="737" t="n"/>
      <c r="G723" s="737" t="n"/>
      <c r="H723" s="737" t="n"/>
      <c r="I723" s="737" t="n"/>
      <c r="J723" s="737" t="n"/>
      <c r="K723" s="737" t="n"/>
      <c r="L723" s="737" t="n"/>
      <c r="M723" s="737" t="n"/>
      <c r="N723" s="737" t="n"/>
      <c r="O723" s="737" t="n"/>
      <c r="P723" s="737" t="n"/>
      <c r="Q723" s="737" t="n"/>
      <c r="R723" s="737" t="n"/>
      <c r="S723" s="737" t="n"/>
      <c r="T723" s="737" t="n"/>
      <c r="U723" s="737" t="n"/>
      <c r="V723" s="737" t="n"/>
      <c r="W723" s="737" t="n"/>
      <c r="X723" s="737" t="n"/>
      <c r="Y723" s="737" t="n"/>
      <c r="Z723" s="737" t="n"/>
      <c r="AA723" s="737" t="n"/>
      <c r="AB723" s="737" t="n"/>
      <c r="AC723" s="737" t="n"/>
      <c r="AD723" s="737" t="n"/>
      <c r="AE723" s="737" t="n"/>
      <c r="AF723" s="737" t="n"/>
      <c r="AG723" s="737" t="n"/>
      <c r="AH723" s="737" t="n"/>
      <c r="AI723" s="737" t="n"/>
      <c r="AJ723" s="737" t="n"/>
      <c r="AK723" s="588" t="n"/>
      <c r="AL723" s="588" t="n"/>
      <c r="AM723" s="588" t="n"/>
      <c r="AN723" s="588" t="n"/>
      <c r="AO723" s="588" t="n"/>
      <c r="AP723" s="588" t="n"/>
      <c r="AQ723" s="588" t="n"/>
      <c r="AR723" s="588" t="n"/>
      <c r="AS723" s="588" t="n"/>
      <c r="AT723" s="588" t="n"/>
      <c r="AU723" s="588" t="n"/>
      <c r="AV723" s="588" t="n"/>
      <c r="AW723" s="588" t="n"/>
      <c r="AX723" s="588" t="n"/>
      <c r="AY723" s="588" t="n"/>
      <c r="AZ723" s="588" t="n"/>
      <c r="BA723" s="588" t="n"/>
      <c r="BB723" s="588" t="n"/>
      <c r="BC723" s="588" t="n"/>
      <c r="BD723" s="588" t="n"/>
      <c r="BE723" s="588" t="n"/>
      <c r="BF723" s="588" t="n"/>
      <c r="BG723" s="588" t="n"/>
      <c r="BH723" s="588" t="n"/>
      <c r="BI723" s="588" t="n"/>
      <c r="BJ723" s="588" t="n"/>
      <c r="BK723" s="588" t="n"/>
      <c r="BL723" s="588" t="n"/>
      <c r="BM723" s="588" t="n"/>
      <c r="BN723" s="588" t="n"/>
      <c r="BO723" s="588" t="n"/>
      <c r="BP723" s="588" t="n"/>
      <c r="BQ723" s="588" t="n"/>
      <c r="BR723" s="588" t="n"/>
      <c r="BS723" s="588" t="n"/>
      <c r="BT723" s="588" t="n"/>
      <c r="BU723" s="588" t="n"/>
      <c r="BV723" s="588" t="n"/>
      <c r="BW723" s="588" t="n"/>
      <c r="BX723" s="588" t="n"/>
      <c r="BY723" s="588" t="n"/>
      <c r="BZ723" s="588" t="n"/>
      <c r="CA723" s="588" t="n"/>
      <c r="CB723" s="588" t="n"/>
      <c r="CC723" s="588" t="n"/>
      <c r="CD723" s="588" t="n"/>
      <c r="CE723" s="588" t="n"/>
      <c r="CF723" s="588" t="n"/>
      <c r="CG723" s="588" t="n"/>
      <c r="CH723" s="588" t="n"/>
      <c r="CI723" s="588" t="n"/>
      <c r="CJ723" s="588" t="n"/>
      <c r="CK723" s="588" t="n"/>
      <c r="CL723" s="588" t="n"/>
      <c r="CM723" s="588" t="n"/>
      <c r="CN723" s="588" t="n"/>
      <c r="CO723" s="588" t="n"/>
      <c r="CP723" s="588" t="n"/>
      <c r="CQ723" s="588" t="n"/>
      <c r="CR723" s="588" t="n"/>
      <c r="CS723" s="588" t="n"/>
      <c r="CT723" s="588" t="n"/>
      <c r="CU723" s="588" t="n"/>
      <c r="CV723" s="588" t="n"/>
      <c r="CW723" s="588" t="n"/>
      <c r="CX723" s="588" t="n"/>
      <c r="CY723" s="588" t="n"/>
      <c r="CZ723" s="588" t="n"/>
      <c r="DA723" s="588" t="n"/>
      <c r="DB723" s="588" t="n"/>
      <c r="DC723" s="588" t="n"/>
      <c r="DD723" s="588" t="n"/>
      <c r="DE723" s="588" t="n"/>
      <c r="DF723" s="588" t="n"/>
      <c r="DG723" s="588" t="n"/>
      <c r="DH723" s="588" t="n"/>
      <c r="DI723" s="588" t="n"/>
      <c r="DJ723" s="588" t="n"/>
      <c r="DK723" s="588" t="n"/>
      <c r="DL723" s="588" t="n"/>
      <c r="DM723" s="588" t="n"/>
      <c r="DN723" s="588" t="n"/>
      <c r="DO723" s="588" t="n"/>
      <c r="DP723" s="588" t="n"/>
      <c r="DQ723" s="588" t="n"/>
      <c r="DR723" s="588" t="n"/>
      <c r="DS723" s="588" t="n"/>
      <c r="DT723" s="588" t="n"/>
      <c r="DU723" s="588" t="n"/>
    </row>
    <row r="724">
      <c r="A724" s="737" t="n"/>
      <c r="B724" s="737" t="n"/>
      <c r="C724" s="737" t="n"/>
      <c r="D724" s="737" t="n"/>
      <c r="E724" s="737" t="n"/>
      <c r="F724" s="737" t="n"/>
      <c r="G724" s="737" t="n"/>
      <c r="H724" s="737" t="n"/>
      <c r="I724" s="737" t="n"/>
      <c r="J724" s="737" t="n"/>
      <c r="K724" s="737" t="n"/>
      <c r="L724" s="737" t="n"/>
      <c r="M724" s="737" t="n"/>
      <c r="N724" s="737" t="n"/>
      <c r="O724" s="737" t="n"/>
      <c r="P724" s="737" t="n"/>
      <c r="Q724" s="737" t="n"/>
      <c r="R724" s="737" t="n"/>
      <c r="S724" s="737" t="n"/>
      <c r="T724" s="737" t="n"/>
      <c r="U724" s="737" t="n"/>
      <c r="V724" s="737" t="n"/>
      <c r="W724" s="737" t="n"/>
      <c r="X724" s="737" t="n"/>
      <c r="Y724" s="737" t="n"/>
      <c r="Z724" s="737" t="n"/>
      <c r="AA724" s="737" t="n"/>
      <c r="AB724" s="737" t="n"/>
      <c r="AC724" s="737" t="n"/>
      <c r="AD724" s="737" t="n"/>
      <c r="AE724" s="737" t="n"/>
      <c r="AF724" s="737" t="n"/>
      <c r="AG724" s="737" t="n"/>
      <c r="AH724" s="737" t="n"/>
      <c r="AI724" s="737" t="n"/>
      <c r="AJ724" s="737" t="n"/>
      <c r="AK724" s="588" t="n"/>
      <c r="AL724" s="588" t="n"/>
      <c r="AM724" s="588" t="n"/>
      <c r="AN724" s="588" t="n"/>
      <c r="AO724" s="588" t="n"/>
      <c r="AP724" s="588" t="n"/>
      <c r="AQ724" s="588" t="n"/>
      <c r="AR724" s="588" t="n"/>
      <c r="AS724" s="588" t="n"/>
      <c r="AT724" s="588" t="n"/>
      <c r="AU724" s="588" t="n"/>
      <c r="AV724" s="588" t="n"/>
      <c r="AW724" s="588" t="n"/>
      <c r="AX724" s="588" t="n"/>
      <c r="AY724" s="588" t="n"/>
      <c r="AZ724" s="588" t="n"/>
      <c r="BA724" s="588" t="n"/>
      <c r="BB724" s="588" t="n"/>
      <c r="BC724" s="588" t="n"/>
      <c r="BD724" s="588" t="n"/>
      <c r="BE724" s="588" t="n"/>
      <c r="BF724" s="588" t="n"/>
      <c r="BG724" s="588" t="n"/>
      <c r="BH724" s="588" t="n"/>
      <c r="BI724" s="588" t="n"/>
      <c r="BJ724" s="588" t="n"/>
      <c r="BK724" s="588" t="n"/>
      <c r="BL724" s="588" t="n"/>
      <c r="BM724" s="588" t="n"/>
      <c r="BN724" s="588" t="n"/>
      <c r="BO724" s="588" t="n"/>
      <c r="BP724" s="588" t="n"/>
      <c r="BQ724" s="588" t="n"/>
      <c r="BR724" s="588" t="n"/>
      <c r="BS724" s="588" t="n"/>
      <c r="BT724" s="588" t="n"/>
      <c r="BU724" s="588" t="n"/>
      <c r="BV724" s="588" t="n"/>
      <c r="BW724" s="588" t="n"/>
      <c r="BX724" s="588" t="n"/>
      <c r="BY724" s="588" t="n"/>
      <c r="BZ724" s="588" t="n"/>
      <c r="CA724" s="588" t="n"/>
      <c r="CB724" s="588" t="n"/>
      <c r="CC724" s="588" t="n"/>
      <c r="CD724" s="588" t="n"/>
      <c r="CE724" s="588" t="n"/>
      <c r="CF724" s="588" t="n"/>
      <c r="CG724" s="588" t="n"/>
      <c r="CH724" s="588" t="n"/>
      <c r="CI724" s="588" t="n"/>
      <c r="CJ724" s="588" t="n"/>
      <c r="CK724" s="588" t="n"/>
      <c r="CL724" s="588" t="n"/>
      <c r="CM724" s="588" t="n"/>
      <c r="CN724" s="588" t="n"/>
      <c r="CO724" s="588" t="n"/>
      <c r="CP724" s="588" t="n"/>
      <c r="CQ724" s="588" t="n"/>
      <c r="CR724" s="588" t="n"/>
      <c r="CS724" s="588" t="n"/>
      <c r="CT724" s="588" t="n"/>
      <c r="CU724" s="588" t="n"/>
      <c r="CV724" s="588" t="n"/>
      <c r="CW724" s="588" t="n"/>
      <c r="CX724" s="588" t="n"/>
      <c r="CY724" s="588" t="n"/>
      <c r="CZ724" s="588" t="n"/>
      <c r="DA724" s="588" t="n"/>
      <c r="DB724" s="588" t="n"/>
      <c r="DC724" s="588" t="n"/>
      <c r="DD724" s="588" t="n"/>
      <c r="DE724" s="588" t="n"/>
      <c r="DF724" s="588" t="n"/>
      <c r="DG724" s="588" t="n"/>
      <c r="DH724" s="588" t="n"/>
      <c r="DI724" s="588" t="n"/>
      <c r="DJ724" s="588" t="n"/>
      <c r="DK724" s="588" t="n"/>
      <c r="DL724" s="588" t="n"/>
      <c r="DM724" s="588" t="n"/>
      <c r="DN724" s="588" t="n"/>
      <c r="DO724" s="588" t="n"/>
      <c r="DP724" s="588" t="n"/>
      <c r="DQ724" s="588" t="n"/>
      <c r="DR724" s="588" t="n"/>
      <c r="DS724" s="588" t="n"/>
      <c r="DT724" s="588" t="n"/>
      <c r="DU724" s="588" t="n"/>
    </row>
    <row r="725">
      <c r="A725" s="737" t="n"/>
      <c r="B725" s="737" t="n"/>
      <c r="C725" s="737" t="n"/>
      <c r="D725" s="737" t="n"/>
      <c r="E725" s="737" t="n"/>
      <c r="F725" s="737" t="n"/>
      <c r="G725" s="737" t="n"/>
      <c r="H725" s="737" t="n"/>
      <c r="I725" s="737" t="n"/>
      <c r="J725" s="737" t="n"/>
      <c r="K725" s="737" t="n"/>
      <c r="L725" s="737" t="n"/>
      <c r="M725" s="737" t="n"/>
      <c r="N725" s="737" t="n"/>
      <c r="O725" s="737" t="n"/>
      <c r="P725" s="737" t="n"/>
      <c r="Q725" s="737" t="n"/>
      <c r="R725" s="737" t="n"/>
      <c r="S725" s="737" t="n"/>
      <c r="T725" s="737" t="n"/>
      <c r="U725" s="737" t="n"/>
      <c r="V725" s="737" t="n"/>
      <c r="W725" s="737" t="n"/>
      <c r="X725" s="737" t="n"/>
      <c r="Y725" s="737" t="n"/>
      <c r="Z725" s="737" t="n"/>
      <c r="AA725" s="737" t="n"/>
      <c r="AB725" s="737" t="n"/>
      <c r="AC725" s="737" t="n"/>
      <c r="AD725" s="737" t="n"/>
      <c r="AE725" s="737" t="n"/>
      <c r="AF725" s="737" t="n"/>
      <c r="AG725" s="737" t="n"/>
      <c r="AH725" s="737" t="n"/>
      <c r="AI725" s="737" t="n"/>
      <c r="AJ725" s="737" t="n"/>
      <c r="AK725" s="588" t="n"/>
      <c r="AL725" s="588" t="n"/>
      <c r="AM725" s="588" t="n"/>
      <c r="AN725" s="588" t="n"/>
      <c r="AO725" s="588" t="n"/>
      <c r="AP725" s="588" t="n"/>
      <c r="AQ725" s="588" t="n"/>
      <c r="AR725" s="588" t="n"/>
      <c r="AS725" s="588" t="n"/>
      <c r="AT725" s="588" t="n"/>
      <c r="AU725" s="588" t="n"/>
      <c r="AV725" s="588" t="n"/>
      <c r="AW725" s="588" t="n"/>
      <c r="AX725" s="588" t="n"/>
      <c r="AY725" s="588" t="n"/>
      <c r="AZ725" s="588" t="n"/>
      <c r="BA725" s="588" t="n"/>
      <c r="BB725" s="588" t="n"/>
      <c r="BC725" s="588" t="n"/>
      <c r="BD725" s="588" t="n"/>
      <c r="BE725" s="588" t="n"/>
      <c r="BF725" s="588" t="n"/>
      <c r="BG725" s="588" t="n"/>
      <c r="BH725" s="588" t="n"/>
      <c r="BI725" s="588" t="n"/>
      <c r="BJ725" s="588" t="n"/>
      <c r="BK725" s="588" t="n"/>
      <c r="BL725" s="588" t="n"/>
      <c r="BM725" s="588" t="n"/>
      <c r="BN725" s="588" t="n"/>
      <c r="BO725" s="588" t="n"/>
      <c r="BP725" s="588" t="n"/>
      <c r="BQ725" s="588" t="n"/>
      <c r="BR725" s="588" t="n"/>
      <c r="BS725" s="588" t="n"/>
      <c r="BT725" s="588" t="n"/>
      <c r="BU725" s="588" t="n"/>
      <c r="BV725" s="588" t="n"/>
      <c r="BW725" s="588" t="n"/>
      <c r="BX725" s="588" t="n"/>
      <c r="BY725" s="588" t="n"/>
      <c r="BZ725" s="588" t="n"/>
      <c r="CA725" s="588" t="n"/>
      <c r="CB725" s="588" t="n"/>
      <c r="CC725" s="588" t="n"/>
      <c r="CD725" s="588" t="n"/>
      <c r="CE725" s="588" t="n"/>
      <c r="CF725" s="588" t="n"/>
      <c r="CG725" s="588" t="n"/>
      <c r="CH725" s="588" t="n"/>
      <c r="CI725" s="588" t="n"/>
      <c r="CJ725" s="588" t="n"/>
      <c r="CK725" s="588" t="n"/>
      <c r="CL725" s="588" t="n"/>
      <c r="CM725" s="588" t="n"/>
      <c r="CN725" s="588" t="n"/>
      <c r="CO725" s="588" t="n"/>
      <c r="CP725" s="588" t="n"/>
      <c r="CQ725" s="588" t="n"/>
      <c r="CR725" s="588" t="n"/>
      <c r="CS725" s="588" t="n"/>
      <c r="CT725" s="588" t="n"/>
      <c r="CU725" s="588" t="n"/>
      <c r="CV725" s="588" t="n"/>
      <c r="CW725" s="588" t="n"/>
      <c r="CX725" s="588" t="n"/>
      <c r="CY725" s="588" t="n"/>
      <c r="CZ725" s="588" t="n"/>
      <c r="DA725" s="588" t="n"/>
      <c r="DB725" s="588" t="n"/>
      <c r="DC725" s="588" t="n"/>
      <c r="DD725" s="588" t="n"/>
      <c r="DE725" s="588" t="n"/>
      <c r="DF725" s="588" t="n"/>
      <c r="DG725" s="588" t="n"/>
      <c r="DH725" s="588" t="n"/>
      <c r="DI725" s="588" t="n"/>
      <c r="DJ725" s="588" t="n"/>
      <c r="DK725" s="588" t="n"/>
      <c r="DL725" s="588" t="n"/>
      <c r="DM725" s="588" t="n"/>
      <c r="DN725" s="588" t="n"/>
      <c r="DO725" s="588" t="n"/>
      <c r="DP725" s="588" t="n"/>
      <c r="DQ725" s="588" t="n"/>
      <c r="DR725" s="588" t="n"/>
      <c r="DS725" s="588" t="n"/>
      <c r="DT725" s="588" t="n"/>
      <c r="DU725" s="588" t="n"/>
    </row>
    <row r="726">
      <c r="A726" s="737" t="n"/>
      <c r="B726" s="737" t="n"/>
      <c r="C726" s="737" t="n"/>
      <c r="D726" s="737" t="n"/>
      <c r="E726" s="737" t="n"/>
      <c r="F726" s="737" t="n"/>
      <c r="G726" s="737" t="n"/>
      <c r="H726" s="737" t="n"/>
      <c r="I726" s="737" t="n"/>
      <c r="J726" s="737" t="n"/>
      <c r="K726" s="737" t="n"/>
      <c r="L726" s="737" t="n"/>
      <c r="M726" s="737" t="n"/>
      <c r="N726" s="737" t="n"/>
      <c r="O726" s="737" t="n"/>
      <c r="P726" s="737" t="n"/>
      <c r="Q726" s="737" t="n"/>
      <c r="R726" s="737" t="n"/>
      <c r="S726" s="737" t="n"/>
      <c r="T726" s="737" t="n"/>
      <c r="U726" s="737" t="n"/>
      <c r="V726" s="737" t="n"/>
      <c r="W726" s="737" t="n"/>
      <c r="X726" s="737" t="n"/>
      <c r="Y726" s="737" t="n"/>
      <c r="Z726" s="737" t="n"/>
      <c r="AA726" s="737" t="n"/>
      <c r="AB726" s="737" t="n"/>
      <c r="AC726" s="737" t="n"/>
      <c r="AD726" s="737" t="n"/>
      <c r="AE726" s="737" t="n"/>
      <c r="AF726" s="737" t="n"/>
      <c r="AG726" s="737" t="n"/>
      <c r="AH726" s="737" t="n"/>
      <c r="AI726" s="737" t="n"/>
      <c r="AJ726" s="737" t="n"/>
      <c r="AK726" s="588" t="n"/>
      <c r="AL726" s="588" t="n"/>
      <c r="AM726" s="588" t="n"/>
      <c r="AN726" s="588" t="n"/>
      <c r="AO726" s="588" t="n"/>
      <c r="AP726" s="588" t="n"/>
      <c r="AQ726" s="588" t="n"/>
      <c r="AR726" s="588" t="n"/>
      <c r="AS726" s="588" t="n"/>
      <c r="AT726" s="588" t="n"/>
      <c r="AU726" s="588" t="n"/>
      <c r="AV726" s="588" t="n"/>
      <c r="AW726" s="588" t="n"/>
      <c r="AX726" s="588" t="n"/>
      <c r="AY726" s="588" t="n"/>
      <c r="AZ726" s="588" t="n"/>
      <c r="BA726" s="588" t="n"/>
      <c r="BB726" s="588" t="n"/>
      <c r="BC726" s="588" t="n"/>
      <c r="BD726" s="588" t="n"/>
      <c r="BE726" s="588" t="n"/>
      <c r="BF726" s="588" t="n"/>
      <c r="BG726" s="588" t="n"/>
      <c r="BH726" s="588" t="n"/>
      <c r="BI726" s="588" t="n"/>
      <c r="BJ726" s="588" t="n"/>
      <c r="BK726" s="588" t="n"/>
      <c r="BL726" s="588" t="n"/>
      <c r="BM726" s="588" t="n"/>
      <c r="BN726" s="588" t="n"/>
      <c r="BO726" s="588" t="n"/>
      <c r="BP726" s="588" t="n"/>
      <c r="BQ726" s="588" t="n"/>
      <c r="BR726" s="588" t="n"/>
      <c r="BS726" s="588" t="n"/>
      <c r="BT726" s="588" t="n"/>
      <c r="BU726" s="588" t="n"/>
      <c r="BV726" s="588" t="n"/>
      <c r="BW726" s="588" t="n"/>
      <c r="BX726" s="588" t="n"/>
      <c r="BY726" s="588" t="n"/>
      <c r="BZ726" s="588" t="n"/>
      <c r="CA726" s="588" t="n"/>
      <c r="CB726" s="588" t="n"/>
      <c r="CC726" s="588" t="n"/>
      <c r="CD726" s="588" t="n"/>
      <c r="CE726" s="588" t="n"/>
      <c r="CF726" s="588" t="n"/>
      <c r="CG726" s="588" t="n"/>
      <c r="CH726" s="588" t="n"/>
      <c r="CI726" s="588" t="n"/>
      <c r="CJ726" s="588" t="n"/>
      <c r="CK726" s="588" t="n"/>
      <c r="CL726" s="588" t="n"/>
      <c r="CM726" s="588" t="n"/>
      <c r="CN726" s="588" t="n"/>
      <c r="CO726" s="588" t="n"/>
      <c r="CP726" s="588" t="n"/>
      <c r="CQ726" s="588" t="n"/>
      <c r="CR726" s="588" t="n"/>
      <c r="CS726" s="588" t="n"/>
      <c r="CT726" s="588" t="n"/>
      <c r="CU726" s="588" t="n"/>
      <c r="CV726" s="588" t="n"/>
      <c r="CW726" s="588" t="n"/>
      <c r="CX726" s="588" t="n"/>
      <c r="CY726" s="588" t="n"/>
      <c r="CZ726" s="588" t="n"/>
      <c r="DA726" s="588" t="n"/>
      <c r="DB726" s="588" t="n"/>
      <c r="DC726" s="588" t="n"/>
      <c r="DD726" s="588" t="n"/>
      <c r="DE726" s="588" t="n"/>
      <c r="DF726" s="588" t="n"/>
      <c r="DG726" s="588" t="n"/>
      <c r="DH726" s="588" t="n"/>
      <c r="DI726" s="588" t="n"/>
      <c r="DJ726" s="588" t="n"/>
      <c r="DK726" s="588" t="n"/>
      <c r="DL726" s="588" t="n"/>
      <c r="DM726" s="588" t="n"/>
      <c r="DN726" s="588" t="n"/>
      <c r="DO726" s="588" t="n"/>
      <c r="DP726" s="588" t="n"/>
      <c r="DQ726" s="588" t="n"/>
      <c r="DR726" s="588" t="n"/>
      <c r="DS726" s="588" t="n"/>
      <c r="DT726" s="588" t="n"/>
      <c r="DU726" s="588" t="n"/>
    </row>
    <row r="727">
      <c r="A727" s="737" t="n"/>
      <c r="B727" s="737" t="n"/>
      <c r="C727" s="737" t="n"/>
      <c r="D727" s="737" t="n"/>
      <c r="E727" s="737" t="n"/>
      <c r="F727" s="737" t="n"/>
      <c r="G727" s="737" t="n"/>
      <c r="H727" s="737" t="n"/>
      <c r="I727" s="737" t="n"/>
      <c r="J727" s="737" t="n"/>
      <c r="K727" s="737" t="n"/>
      <c r="L727" s="737" t="n"/>
      <c r="M727" s="737" t="n"/>
      <c r="N727" s="737" t="n"/>
      <c r="O727" s="737" t="n"/>
      <c r="P727" s="737" t="n"/>
      <c r="Q727" s="737" t="n"/>
      <c r="R727" s="737" t="n"/>
      <c r="S727" s="737" t="n"/>
      <c r="T727" s="737" t="n"/>
      <c r="U727" s="737" t="n"/>
      <c r="V727" s="737" t="n"/>
      <c r="W727" s="737" t="n"/>
      <c r="X727" s="737" t="n"/>
      <c r="Y727" s="737" t="n"/>
      <c r="Z727" s="737" t="n"/>
      <c r="AA727" s="737" t="n"/>
      <c r="AB727" s="737" t="n"/>
      <c r="AC727" s="737" t="n"/>
      <c r="AD727" s="737" t="n"/>
      <c r="AE727" s="737" t="n"/>
      <c r="AF727" s="737" t="n"/>
      <c r="AG727" s="737" t="n"/>
      <c r="AH727" s="737" t="n"/>
      <c r="AI727" s="737" t="n"/>
      <c r="AJ727" s="737" t="n"/>
      <c r="AK727" s="588" t="n"/>
      <c r="AL727" s="588" t="n"/>
      <c r="AM727" s="588" t="n"/>
      <c r="AN727" s="588" t="n"/>
      <c r="AO727" s="588" t="n"/>
      <c r="AP727" s="588" t="n"/>
      <c r="AQ727" s="588" t="n"/>
      <c r="AR727" s="588" t="n"/>
      <c r="AS727" s="588" t="n"/>
      <c r="AT727" s="588" t="n"/>
      <c r="AU727" s="588" t="n"/>
      <c r="AV727" s="588" t="n"/>
      <c r="AW727" s="588" t="n"/>
      <c r="AX727" s="588" t="n"/>
      <c r="AY727" s="588" t="n"/>
      <c r="AZ727" s="588" t="n"/>
      <c r="BA727" s="588" t="n"/>
      <c r="BB727" s="588" t="n"/>
      <c r="BC727" s="588" t="n"/>
      <c r="BD727" s="588" t="n"/>
      <c r="BE727" s="588" t="n"/>
      <c r="BF727" s="588" t="n"/>
      <c r="BG727" s="588" t="n"/>
      <c r="BH727" s="588" t="n"/>
      <c r="BI727" s="588" t="n"/>
      <c r="BJ727" s="588" t="n"/>
      <c r="BK727" s="588" t="n"/>
      <c r="BL727" s="588" t="n"/>
      <c r="BM727" s="588" t="n"/>
      <c r="BN727" s="588" t="n"/>
      <c r="BO727" s="588" t="n"/>
      <c r="BP727" s="588" t="n"/>
      <c r="BQ727" s="588" t="n"/>
      <c r="BR727" s="588" t="n"/>
      <c r="BS727" s="588" t="n"/>
      <c r="BT727" s="588" t="n"/>
      <c r="BU727" s="588" t="n"/>
      <c r="BV727" s="588" t="n"/>
      <c r="BW727" s="588" t="n"/>
      <c r="BX727" s="588" t="n"/>
      <c r="BY727" s="588" t="n"/>
      <c r="BZ727" s="588" t="n"/>
      <c r="CA727" s="588" t="n"/>
      <c r="CB727" s="588" t="n"/>
      <c r="CC727" s="588" t="n"/>
      <c r="CD727" s="588" t="n"/>
      <c r="CE727" s="588" t="n"/>
      <c r="CF727" s="588" t="n"/>
      <c r="CG727" s="588" t="n"/>
      <c r="CH727" s="588" t="n"/>
      <c r="CI727" s="588" t="n"/>
      <c r="CJ727" s="588" t="n"/>
      <c r="CK727" s="588" t="n"/>
      <c r="CL727" s="588" t="n"/>
      <c r="CM727" s="588" t="n"/>
      <c r="CN727" s="588" t="n"/>
      <c r="CO727" s="588" t="n"/>
      <c r="CP727" s="588" t="n"/>
      <c r="CQ727" s="588" t="n"/>
      <c r="CR727" s="588" t="n"/>
      <c r="CS727" s="588" t="n"/>
      <c r="CT727" s="588" t="n"/>
      <c r="CU727" s="588" t="n"/>
      <c r="CV727" s="588" t="n"/>
      <c r="CW727" s="588" t="n"/>
      <c r="CX727" s="588" t="n"/>
      <c r="CY727" s="588" t="n"/>
      <c r="CZ727" s="588" t="n"/>
      <c r="DA727" s="588" t="n"/>
      <c r="DB727" s="588" t="n"/>
      <c r="DC727" s="588" t="n"/>
      <c r="DD727" s="588" t="n"/>
      <c r="DE727" s="588" t="n"/>
      <c r="DF727" s="588" t="n"/>
      <c r="DG727" s="588" t="n"/>
      <c r="DH727" s="588" t="n"/>
      <c r="DI727" s="588" t="n"/>
      <c r="DJ727" s="588" t="n"/>
      <c r="DK727" s="588" t="n"/>
      <c r="DL727" s="588" t="n"/>
      <c r="DM727" s="588" t="n"/>
      <c r="DN727" s="588" t="n"/>
      <c r="DO727" s="588" t="n"/>
      <c r="DP727" s="588" t="n"/>
      <c r="DQ727" s="588" t="n"/>
      <c r="DR727" s="588" t="n"/>
      <c r="DS727" s="588" t="n"/>
      <c r="DT727" s="588" t="n"/>
      <c r="DU727" s="588" t="n"/>
    </row>
    <row r="728">
      <c r="A728" s="737" t="n"/>
      <c r="B728" s="737" t="n"/>
      <c r="C728" s="737" t="n"/>
      <c r="D728" s="737" t="n"/>
      <c r="E728" s="737" t="n"/>
      <c r="F728" s="737" t="n"/>
      <c r="G728" s="737" t="n"/>
      <c r="H728" s="737" t="n"/>
      <c r="I728" s="737" t="n"/>
      <c r="J728" s="737" t="n"/>
      <c r="K728" s="737" t="n"/>
      <c r="L728" s="737" t="n"/>
      <c r="M728" s="737" t="n"/>
      <c r="N728" s="737" t="n"/>
      <c r="O728" s="737" t="n"/>
      <c r="P728" s="737" t="n"/>
      <c r="Q728" s="737" t="n"/>
      <c r="R728" s="737" t="n"/>
      <c r="S728" s="737" t="n"/>
      <c r="T728" s="737" t="n"/>
      <c r="U728" s="737" t="n"/>
      <c r="V728" s="737" t="n"/>
      <c r="W728" s="737" t="n"/>
      <c r="X728" s="737" t="n"/>
      <c r="Y728" s="737" t="n"/>
      <c r="Z728" s="737" t="n"/>
      <c r="AA728" s="737" t="n"/>
      <c r="AB728" s="737" t="n"/>
      <c r="AC728" s="737" t="n"/>
      <c r="AD728" s="737" t="n"/>
      <c r="AE728" s="737" t="n"/>
      <c r="AF728" s="737" t="n"/>
      <c r="AG728" s="737" t="n"/>
      <c r="AH728" s="737" t="n"/>
      <c r="AI728" s="737" t="n"/>
      <c r="AJ728" s="737" t="n"/>
      <c r="AK728" s="588" t="n"/>
      <c r="AL728" s="588" t="n"/>
      <c r="AM728" s="588" t="n"/>
      <c r="AN728" s="588" t="n"/>
      <c r="AO728" s="588" t="n"/>
      <c r="AP728" s="588" t="n"/>
      <c r="AQ728" s="588" t="n"/>
      <c r="AR728" s="588" t="n"/>
      <c r="AS728" s="588" t="n"/>
      <c r="AT728" s="588" t="n"/>
      <c r="AU728" s="588" t="n"/>
      <c r="AV728" s="588" t="n"/>
      <c r="AW728" s="588" t="n"/>
      <c r="AX728" s="588" t="n"/>
      <c r="AY728" s="588" t="n"/>
      <c r="AZ728" s="588" t="n"/>
      <c r="BA728" s="588" t="n"/>
      <c r="BB728" s="588" t="n"/>
      <c r="BC728" s="588" t="n"/>
      <c r="BD728" s="588" t="n"/>
      <c r="BE728" s="588" t="n"/>
      <c r="BF728" s="588" t="n"/>
      <c r="BG728" s="588" t="n"/>
      <c r="BH728" s="588" t="n"/>
      <c r="BI728" s="588" t="n"/>
      <c r="BJ728" s="588" t="n"/>
      <c r="BK728" s="588" t="n"/>
      <c r="BL728" s="588" t="n"/>
      <c r="BM728" s="588" t="n"/>
      <c r="BN728" s="588" t="n"/>
      <c r="BO728" s="588" t="n"/>
      <c r="BP728" s="588" t="n"/>
      <c r="BQ728" s="588" t="n"/>
      <c r="BR728" s="588" t="n"/>
      <c r="BS728" s="588" t="n"/>
      <c r="BT728" s="588" t="n"/>
      <c r="BU728" s="588" t="n"/>
      <c r="BV728" s="588" t="n"/>
      <c r="BW728" s="588" t="n"/>
      <c r="BX728" s="588" t="n"/>
      <c r="BY728" s="588" t="n"/>
      <c r="BZ728" s="588" t="n"/>
      <c r="CA728" s="588" t="n"/>
      <c r="CB728" s="588" t="n"/>
      <c r="CC728" s="588" t="n"/>
      <c r="CD728" s="588" t="n"/>
      <c r="CE728" s="588" t="n"/>
      <c r="CF728" s="588" t="n"/>
      <c r="CG728" s="588" t="n"/>
      <c r="CH728" s="588" t="n"/>
      <c r="CI728" s="588" t="n"/>
      <c r="CJ728" s="588" t="n"/>
      <c r="CK728" s="588" t="n"/>
      <c r="CL728" s="588" t="n"/>
      <c r="CM728" s="588" t="n"/>
      <c r="CN728" s="588" t="n"/>
      <c r="CO728" s="588" t="n"/>
      <c r="CP728" s="588" t="n"/>
      <c r="CQ728" s="588" t="n"/>
      <c r="CR728" s="588" t="n"/>
      <c r="CS728" s="588" t="n"/>
      <c r="CT728" s="588" t="n"/>
      <c r="CU728" s="588" t="n"/>
      <c r="CV728" s="588" t="n"/>
      <c r="CW728" s="588" t="n"/>
      <c r="CX728" s="588" t="n"/>
      <c r="CY728" s="588" t="n"/>
      <c r="CZ728" s="588" t="n"/>
      <c r="DA728" s="588" t="n"/>
      <c r="DB728" s="588" t="n"/>
      <c r="DC728" s="588" t="n"/>
      <c r="DD728" s="588" t="n"/>
      <c r="DE728" s="588" t="n"/>
      <c r="DF728" s="588" t="n"/>
      <c r="DG728" s="588" t="n"/>
      <c r="DH728" s="588" t="n"/>
      <c r="DI728" s="588" t="n"/>
      <c r="DJ728" s="588" t="n"/>
      <c r="DK728" s="588" t="n"/>
      <c r="DL728" s="588" t="n"/>
      <c r="DM728" s="588" t="n"/>
      <c r="DN728" s="588" t="n"/>
      <c r="DO728" s="588" t="n"/>
      <c r="DP728" s="588" t="n"/>
      <c r="DQ728" s="588" t="n"/>
      <c r="DR728" s="588" t="n"/>
      <c r="DS728" s="588" t="n"/>
      <c r="DT728" s="588" t="n"/>
      <c r="DU728" s="588" t="n"/>
    </row>
    <row r="729">
      <c r="A729" s="737" t="n"/>
      <c r="B729" s="737" t="n"/>
      <c r="C729" s="737" t="n"/>
      <c r="D729" s="737" t="n"/>
      <c r="E729" s="737" t="n"/>
      <c r="F729" s="737" t="n"/>
      <c r="G729" s="737" t="n"/>
      <c r="H729" s="737" t="n"/>
      <c r="I729" s="737" t="n"/>
      <c r="J729" s="737" t="n"/>
      <c r="K729" s="737" t="n"/>
      <c r="L729" s="737" t="n"/>
      <c r="M729" s="737" t="n"/>
      <c r="N729" s="737" t="n"/>
      <c r="O729" s="737" t="n"/>
      <c r="P729" s="737" t="n"/>
      <c r="Q729" s="737" t="n"/>
      <c r="R729" s="737" t="n"/>
      <c r="S729" s="737" t="n"/>
      <c r="T729" s="737" t="n"/>
      <c r="U729" s="737" t="n"/>
      <c r="V729" s="737" t="n"/>
      <c r="W729" s="737" t="n"/>
      <c r="X729" s="737" t="n"/>
      <c r="Y729" s="737" t="n"/>
      <c r="Z729" s="737" t="n"/>
      <c r="AA729" s="737" t="n"/>
      <c r="AB729" s="737" t="n"/>
      <c r="AC729" s="737" t="n"/>
      <c r="AD729" s="737" t="n"/>
      <c r="AE729" s="737" t="n"/>
      <c r="AF729" s="737" t="n"/>
      <c r="AG729" s="737" t="n"/>
      <c r="AH729" s="737" t="n"/>
      <c r="AI729" s="737" t="n"/>
      <c r="AJ729" s="737" t="n"/>
      <c r="AK729" s="588" t="n"/>
      <c r="AL729" s="588" t="n"/>
      <c r="AM729" s="588" t="n"/>
      <c r="AN729" s="588" t="n"/>
      <c r="AO729" s="588" t="n"/>
      <c r="AP729" s="588" t="n"/>
      <c r="AQ729" s="588" t="n"/>
      <c r="AR729" s="588" t="n"/>
      <c r="AS729" s="588" t="n"/>
      <c r="AT729" s="588" t="n"/>
      <c r="AU729" s="588" t="n"/>
      <c r="AV729" s="588" t="n"/>
      <c r="AW729" s="588" t="n"/>
      <c r="AX729" s="588" t="n"/>
      <c r="AY729" s="588" t="n"/>
      <c r="AZ729" s="588" t="n"/>
      <c r="BA729" s="588" t="n"/>
      <c r="BB729" s="588" t="n"/>
      <c r="BC729" s="588" t="n"/>
      <c r="BD729" s="588" t="n"/>
      <c r="BE729" s="588" t="n"/>
      <c r="BF729" s="588" t="n"/>
      <c r="BG729" s="588" t="n"/>
      <c r="BH729" s="588" t="n"/>
      <c r="BI729" s="588" t="n"/>
      <c r="BJ729" s="588" t="n"/>
      <c r="BK729" s="588" t="n"/>
      <c r="BL729" s="588" t="n"/>
      <c r="BM729" s="588" t="n"/>
      <c r="BN729" s="588" t="n"/>
      <c r="BO729" s="588" t="n"/>
      <c r="BP729" s="588" t="n"/>
      <c r="BQ729" s="588" t="n"/>
      <c r="BR729" s="588" t="n"/>
      <c r="BS729" s="588" t="n"/>
      <c r="BT729" s="588" t="n"/>
      <c r="BU729" s="588" t="n"/>
      <c r="BV729" s="588" t="n"/>
      <c r="BW729" s="588" t="n"/>
      <c r="BX729" s="588" t="n"/>
      <c r="BY729" s="588" t="n"/>
      <c r="BZ729" s="588" t="n"/>
      <c r="CA729" s="588" t="n"/>
      <c r="CB729" s="588" t="n"/>
      <c r="CC729" s="588" t="n"/>
      <c r="CD729" s="588" t="n"/>
      <c r="CE729" s="588" t="n"/>
      <c r="CF729" s="588" t="n"/>
      <c r="CG729" s="588" t="n"/>
      <c r="CH729" s="588" t="n"/>
      <c r="CI729" s="588" t="n"/>
      <c r="CJ729" s="588" t="n"/>
      <c r="CK729" s="588" t="n"/>
      <c r="CL729" s="588" t="n"/>
      <c r="CM729" s="588" t="n"/>
      <c r="CN729" s="588" t="n"/>
      <c r="CO729" s="588" t="n"/>
      <c r="CP729" s="588" t="n"/>
      <c r="CQ729" s="588" t="n"/>
      <c r="CR729" s="588" t="n"/>
      <c r="CS729" s="588" t="n"/>
      <c r="CT729" s="588" t="n"/>
      <c r="CU729" s="588" t="n"/>
      <c r="CV729" s="588" t="n"/>
      <c r="CW729" s="588" t="n"/>
      <c r="CX729" s="588" t="n"/>
      <c r="CY729" s="588" t="n"/>
      <c r="CZ729" s="588" t="n"/>
      <c r="DA729" s="588" t="n"/>
      <c r="DB729" s="588" t="n"/>
      <c r="DC729" s="588" t="n"/>
      <c r="DD729" s="588" t="n"/>
      <c r="DE729" s="588" t="n"/>
      <c r="DF729" s="588" t="n"/>
      <c r="DG729" s="588" t="n"/>
      <c r="DH729" s="588" t="n"/>
      <c r="DI729" s="588" t="n"/>
      <c r="DJ729" s="588" t="n"/>
      <c r="DK729" s="588" t="n"/>
      <c r="DL729" s="588" t="n"/>
      <c r="DM729" s="588" t="n"/>
      <c r="DN729" s="588" t="n"/>
      <c r="DO729" s="588" t="n"/>
      <c r="DP729" s="588" t="n"/>
      <c r="DQ729" s="588" t="n"/>
      <c r="DR729" s="588" t="n"/>
      <c r="DS729" s="588" t="n"/>
      <c r="DT729" s="588" t="n"/>
      <c r="DU729" s="588" t="n"/>
    </row>
    <row r="730">
      <c r="A730" s="737" t="n"/>
      <c r="B730" s="737" t="n"/>
      <c r="C730" s="737" t="n"/>
      <c r="D730" s="737" t="n"/>
      <c r="E730" s="737" t="n"/>
      <c r="F730" s="737" t="n"/>
      <c r="G730" s="737" t="n"/>
      <c r="H730" s="737" t="n"/>
      <c r="I730" s="737" t="n"/>
      <c r="J730" s="737" t="n"/>
      <c r="K730" s="737" t="n"/>
      <c r="L730" s="737" t="n"/>
      <c r="M730" s="737" t="n"/>
      <c r="N730" s="737" t="n"/>
      <c r="O730" s="737" t="n"/>
      <c r="P730" s="737" t="n"/>
      <c r="Q730" s="737" t="n"/>
      <c r="R730" s="737" t="n"/>
      <c r="S730" s="737" t="n"/>
      <c r="T730" s="737" t="n"/>
      <c r="U730" s="737" t="n"/>
      <c r="V730" s="737" t="n"/>
      <c r="W730" s="737" t="n"/>
      <c r="X730" s="737" t="n"/>
      <c r="Y730" s="737" t="n"/>
      <c r="Z730" s="737" t="n"/>
      <c r="AA730" s="737" t="n"/>
      <c r="AB730" s="737" t="n"/>
      <c r="AC730" s="737" t="n"/>
      <c r="AD730" s="737" t="n"/>
      <c r="AE730" s="737" t="n"/>
      <c r="AF730" s="737" t="n"/>
      <c r="AG730" s="737" t="n"/>
      <c r="AH730" s="737" t="n"/>
      <c r="AI730" s="737" t="n"/>
      <c r="AJ730" s="737" t="n"/>
      <c r="AK730" s="588" t="n"/>
      <c r="AL730" s="588" t="n"/>
      <c r="AM730" s="588" t="n"/>
      <c r="AN730" s="588" t="n"/>
      <c r="AO730" s="588" t="n"/>
      <c r="AP730" s="588" t="n"/>
      <c r="AQ730" s="588" t="n"/>
      <c r="AR730" s="588" t="n"/>
      <c r="AS730" s="588" t="n"/>
      <c r="AT730" s="588" t="n"/>
      <c r="AU730" s="588" t="n"/>
      <c r="AV730" s="588" t="n"/>
      <c r="AW730" s="588" t="n"/>
      <c r="AX730" s="588" t="n"/>
      <c r="AY730" s="588" t="n"/>
      <c r="AZ730" s="588" t="n"/>
      <c r="BA730" s="588" t="n"/>
      <c r="BB730" s="588" t="n"/>
      <c r="BC730" s="588" t="n"/>
      <c r="BD730" s="588" t="n"/>
      <c r="BE730" s="588" t="n"/>
      <c r="BF730" s="588" t="n"/>
      <c r="BG730" s="588" t="n"/>
      <c r="BH730" s="588" t="n"/>
      <c r="BI730" s="588" t="n"/>
      <c r="BJ730" s="588" t="n"/>
      <c r="BK730" s="588" t="n"/>
      <c r="BL730" s="588" t="n"/>
      <c r="BM730" s="588" t="n"/>
      <c r="BN730" s="588" t="n"/>
      <c r="BO730" s="588" t="n"/>
      <c r="BP730" s="588" t="n"/>
      <c r="BQ730" s="588" t="n"/>
      <c r="BR730" s="588" t="n"/>
      <c r="BS730" s="588" t="n"/>
      <c r="BT730" s="588" t="n"/>
      <c r="BU730" s="588" t="n"/>
      <c r="BV730" s="588" t="n"/>
      <c r="BW730" s="588" t="n"/>
      <c r="BX730" s="588" t="n"/>
      <c r="BY730" s="588" t="n"/>
      <c r="BZ730" s="588" t="n"/>
      <c r="CA730" s="588" t="n"/>
      <c r="CB730" s="588" t="n"/>
      <c r="CC730" s="588" t="n"/>
      <c r="CD730" s="588" t="n"/>
      <c r="CE730" s="588" t="n"/>
      <c r="CF730" s="588" t="n"/>
      <c r="CG730" s="588" t="n"/>
      <c r="CH730" s="588" t="n"/>
      <c r="CI730" s="588" t="n"/>
      <c r="CJ730" s="588" t="n"/>
      <c r="CK730" s="588" t="n"/>
      <c r="CL730" s="588" t="n"/>
      <c r="CM730" s="588" t="n"/>
      <c r="CN730" s="588" t="n"/>
      <c r="CO730" s="588" t="n"/>
      <c r="CP730" s="588" t="n"/>
      <c r="CQ730" s="588" t="n"/>
      <c r="CR730" s="588" t="n"/>
      <c r="CS730" s="588" t="n"/>
      <c r="CT730" s="588" t="n"/>
      <c r="CU730" s="588" t="n"/>
      <c r="CV730" s="588" t="n"/>
      <c r="CW730" s="588" t="n"/>
      <c r="CX730" s="588" t="n"/>
      <c r="CY730" s="588" t="n"/>
      <c r="CZ730" s="588" t="n"/>
      <c r="DA730" s="588" t="n"/>
      <c r="DB730" s="588" t="n"/>
      <c r="DC730" s="588" t="n"/>
      <c r="DD730" s="588" t="n"/>
      <c r="DE730" s="588" t="n"/>
      <c r="DF730" s="588" t="n"/>
      <c r="DG730" s="588" t="n"/>
      <c r="DH730" s="588" t="n"/>
      <c r="DI730" s="588" t="n"/>
      <c r="DJ730" s="588" t="n"/>
      <c r="DK730" s="588" t="n"/>
      <c r="DL730" s="588" t="n"/>
      <c r="DM730" s="588" t="n"/>
      <c r="DN730" s="588" t="n"/>
      <c r="DO730" s="588" t="n"/>
      <c r="DP730" s="588" t="n"/>
      <c r="DQ730" s="588" t="n"/>
      <c r="DR730" s="588" t="n"/>
      <c r="DS730" s="588" t="n"/>
      <c r="DT730" s="588" t="n"/>
      <c r="DU730" s="588" t="n"/>
    </row>
    <row r="731">
      <c r="A731" s="737" t="n"/>
      <c r="B731" s="737" t="n"/>
      <c r="C731" s="737" t="n"/>
      <c r="D731" s="737" t="n"/>
      <c r="E731" s="737" t="n"/>
      <c r="F731" s="737" t="n"/>
      <c r="G731" s="737" t="n"/>
      <c r="H731" s="737" t="n"/>
      <c r="I731" s="737" t="n"/>
      <c r="J731" s="737" t="n"/>
      <c r="K731" s="737" t="n"/>
      <c r="L731" s="737" t="n"/>
      <c r="M731" s="737" t="n"/>
      <c r="N731" s="737" t="n"/>
      <c r="O731" s="737" t="n"/>
      <c r="P731" s="737" t="n"/>
      <c r="Q731" s="737" t="n"/>
      <c r="R731" s="737" t="n"/>
      <c r="S731" s="737" t="n"/>
      <c r="T731" s="737" t="n"/>
      <c r="U731" s="737" t="n"/>
      <c r="V731" s="737" t="n"/>
      <c r="W731" s="737" t="n"/>
      <c r="X731" s="737" t="n"/>
      <c r="Y731" s="737" t="n"/>
      <c r="Z731" s="737" t="n"/>
      <c r="AA731" s="737" t="n"/>
      <c r="AB731" s="737" t="n"/>
      <c r="AC731" s="737" t="n"/>
      <c r="AD731" s="737" t="n"/>
      <c r="AE731" s="737" t="n"/>
      <c r="AF731" s="737" t="n"/>
      <c r="AG731" s="737" t="n"/>
      <c r="AH731" s="737" t="n"/>
      <c r="AI731" s="737" t="n"/>
      <c r="AJ731" s="737" t="n"/>
      <c r="AK731" s="588" t="n"/>
      <c r="AL731" s="588" t="n"/>
      <c r="AM731" s="588" t="n"/>
      <c r="AN731" s="588" t="n"/>
      <c r="AO731" s="588" t="n"/>
      <c r="AP731" s="588" t="n"/>
      <c r="AQ731" s="588" t="n"/>
      <c r="AR731" s="588" t="n"/>
      <c r="AS731" s="588" t="n"/>
      <c r="AT731" s="588" t="n"/>
      <c r="AU731" s="588" t="n"/>
      <c r="AV731" s="588" t="n"/>
      <c r="AW731" s="588" t="n"/>
      <c r="AX731" s="588" t="n"/>
      <c r="AY731" s="588" t="n"/>
      <c r="AZ731" s="588" t="n"/>
      <c r="BA731" s="588" t="n"/>
      <c r="BB731" s="588" t="n"/>
      <c r="BC731" s="588" t="n"/>
      <c r="BD731" s="588" t="n"/>
      <c r="BE731" s="588" t="n"/>
      <c r="BF731" s="588" t="n"/>
      <c r="BG731" s="588" t="n"/>
      <c r="BH731" s="588" t="n"/>
      <c r="BI731" s="588" t="n"/>
      <c r="BJ731" s="588" t="n"/>
      <c r="BK731" s="588" t="n"/>
      <c r="BL731" s="588" t="n"/>
      <c r="BM731" s="588" t="n"/>
      <c r="BN731" s="588" t="n"/>
      <c r="BO731" s="588" t="n"/>
      <c r="BP731" s="588" t="n"/>
      <c r="BQ731" s="588" t="n"/>
      <c r="BR731" s="588" t="n"/>
      <c r="BS731" s="588" t="n"/>
      <c r="BT731" s="588" t="n"/>
      <c r="BU731" s="588" t="n"/>
      <c r="BV731" s="588" t="n"/>
      <c r="BW731" s="588" t="n"/>
      <c r="BX731" s="588" t="n"/>
      <c r="BY731" s="588" t="n"/>
      <c r="BZ731" s="588" t="n"/>
      <c r="CA731" s="588" t="n"/>
      <c r="CB731" s="588" t="n"/>
      <c r="CC731" s="588" t="n"/>
      <c r="CD731" s="588" t="n"/>
      <c r="CE731" s="588" t="n"/>
      <c r="CF731" s="588" t="n"/>
      <c r="CG731" s="588" t="n"/>
      <c r="CH731" s="588" t="n"/>
      <c r="CI731" s="588" t="n"/>
      <c r="CJ731" s="588" t="n"/>
      <c r="CK731" s="588" t="n"/>
      <c r="CL731" s="588" t="n"/>
      <c r="CM731" s="588" t="n"/>
      <c r="CN731" s="588" t="n"/>
      <c r="CO731" s="588" t="n"/>
      <c r="CP731" s="588" t="n"/>
      <c r="CQ731" s="588" t="n"/>
      <c r="CR731" s="588" t="n"/>
      <c r="CS731" s="588" t="n"/>
      <c r="CT731" s="588" t="n"/>
      <c r="CU731" s="588" t="n"/>
      <c r="CV731" s="588" t="n"/>
      <c r="CW731" s="588" t="n"/>
      <c r="CX731" s="588" t="n"/>
      <c r="CY731" s="588" t="n"/>
      <c r="CZ731" s="588" t="n"/>
      <c r="DA731" s="588" t="n"/>
      <c r="DB731" s="588" t="n"/>
      <c r="DC731" s="588" t="n"/>
      <c r="DD731" s="588" t="n"/>
      <c r="DE731" s="588" t="n"/>
      <c r="DF731" s="588" t="n"/>
      <c r="DG731" s="588" t="n"/>
      <c r="DH731" s="588" t="n"/>
      <c r="DI731" s="588" t="n"/>
      <c r="DJ731" s="588" t="n"/>
      <c r="DK731" s="588" t="n"/>
      <c r="DL731" s="588" t="n"/>
      <c r="DM731" s="588" t="n"/>
      <c r="DN731" s="588" t="n"/>
      <c r="DO731" s="588" t="n"/>
      <c r="DP731" s="588" t="n"/>
      <c r="DQ731" s="588" t="n"/>
      <c r="DR731" s="588" t="n"/>
      <c r="DS731" s="588" t="n"/>
      <c r="DT731" s="588" t="n"/>
      <c r="DU731" s="588" t="n"/>
    </row>
    <row r="732">
      <c r="A732" s="737" t="n"/>
      <c r="B732" s="737" t="n"/>
      <c r="C732" s="737" t="n"/>
      <c r="D732" s="737" t="n"/>
      <c r="E732" s="737" t="n"/>
      <c r="F732" s="737" t="n"/>
      <c r="G732" s="737" t="n"/>
      <c r="H732" s="737" t="n"/>
      <c r="I732" s="737" t="n"/>
      <c r="J732" s="737" t="n"/>
      <c r="K732" s="737" t="n"/>
      <c r="L732" s="737" t="n"/>
      <c r="M732" s="737" t="n"/>
      <c r="N732" s="737" t="n"/>
      <c r="O732" s="737" t="n"/>
      <c r="P732" s="737" t="n"/>
      <c r="Q732" s="737" t="n"/>
      <c r="R732" s="737" t="n"/>
      <c r="S732" s="737" t="n"/>
      <c r="T732" s="737" t="n"/>
      <c r="U732" s="737" t="n"/>
      <c r="V732" s="737" t="n"/>
      <c r="W732" s="737" t="n"/>
      <c r="X732" s="737" t="n"/>
      <c r="Y732" s="737" t="n"/>
      <c r="Z732" s="737" t="n"/>
      <c r="AA732" s="737" t="n"/>
      <c r="AB732" s="737" t="n"/>
      <c r="AC732" s="737" t="n"/>
      <c r="AD732" s="737" t="n"/>
      <c r="AE732" s="737" t="n"/>
      <c r="AF732" s="737" t="n"/>
      <c r="AG732" s="737" t="n"/>
      <c r="AH732" s="737" t="n"/>
      <c r="AI732" s="737" t="n"/>
      <c r="AJ732" s="737" t="n"/>
      <c r="AK732" s="588" t="n"/>
      <c r="AL732" s="588" t="n"/>
      <c r="AM732" s="588" t="n"/>
      <c r="AN732" s="588" t="n"/>
      <c r="AO732" s="588" t="n"/>
      <c r="AP732" s="588" t="n"/>
      <c r="AQ732" s="588" t="n"/>
      <c r="AR732" s="588" t="n"/>
      <c r="AS732" s="588" t="n"/>
      <c r="AT732" s="588" t="n"/>
      <c r="AU732" s="588" t="n"/>
      <c r="AV732" s="588" t="n"/>
      <c r="AW732" s="588" t="n"/>
      <c r="AX732" s="588" t="n"/>
      <c r="AY732" s="588" t="n"/>
      <c r="AZ732" s="588" t="n"/>
      <c r="BA732" s="588" t="n"/>
      <c r="BB732" s="588" t="n"/>
      <c r="BC732" s="588" t="n"/>
      <c r="BD732" s="588" t="n"/>
      <c r="BE732" s="588" t="n"/>
      <c r="BF732" s="588" t="n"/>
      <c r="BG732" s="588" t="n"/>
      <c r="BH732" s="588" t="n"/>
      <c r="BI732" s="588" t="n"/>
      <c r="BJ732" s="588" t="n"/>
      <c r="BK732" s="588" t="n"/>
      <c r="BL732" s="588" t="n"/>
      <c r="BM732" s="588" t="n"/>
      <c r="BN732" s="588" t="n"/>
      <c r="BO732" s="588" t="n"/>
      <c r="BP732" s="588" t="n"/>
      <c r="BQ732" s="588" t="n"/>
      <c r="BR732" s="588" t="n"/>
      <c r="BS732" s="588" t="n"/>
      <c r="BT732" s="588" t="n"/>
      <c r="BU732" s="588" t="n"/>
      <c r="BV732" s="588" t="n"/>
      <c r="BW732" s="588" t="n"/>
      <c r="BX732" s="588" t="n"/>
      <c r="BY732" s="588" t="n"/>
      <c r="BZ732" s="588" t="n"/>
      <c r="CA732" s="588" t="n"/>
      <c r="CB732" s="588" t="n"/>
      <c r="CC732" s="588" t="n"/>
      <c r="CD732" s="588" t="n"/>
      <c r="CE732" s="588" t="n"/>
      <c r="CF732" s="588" t="n"/>
      <c r="CG732" s="588" t="n"/>
      <c r="CH732" s="588" t="n"/>
      <c r="CI732" s="588" t="n"/>
      <c r="CJ732" s="588" t="n"/>
      <c r="CK732" s="588" t="n"/>
      <c r="CL732" s="588" t="n"/>
      <c r="CM732" s="588" t="n"/>
      <c r="CN732" s="588" t="n"/>
      <c r="CO732" s="588" t="n"/>
      <c r="CP732" s="588" t="n"/>
      <c r="CQ732" s="588" t="n"/>
      <c r="CR732" s="588" t="n"/>
      <c r="CS732" s="588" t="n"/>
      <c r="CT732" s="588" t="n"/>
      <c r="CU732" s="588" t="n"/>
      <c r="CV732" s="588" t="n"/>
      <c r="CW732" s="588" t="n"/>
      <c r="CX732" s="588" t="n"/>
      <c r="CY732" s="588" t="n"/>
      <c r="CZ732" s="588" t="n"/>
      <c r="DA732" s="588" t="n"/>
      <c r="DB732" s="588" t="n"/>
      <c r="DC732" s="588" t="n"/>
      <c r="DD732" s="588" t="n"/>
      <c r="DE732" s="588" t="n"/>
      <c r="DF732" s="588" t="n"/>
      <c r="DG732" s="588" t="n"/>
      <c r="DH732" s="588" t="n"/>
      <c r="DI732" s="588" t="n"/>
      <c r="DJ732" s="588" t="n"/>
      <c r="DK732" s="588" t="n"/>
      <c r="DL732" s="588" t="n"/>
      <c r="DM732" s="588" t="n"/>
      <c r="DN732" s="588" t="n"/>
      <c r="DO732" s="588" t="n"/>
      <c r="DP732" s="588" t="n"/>
      <c r="DQ732" s="588" t="n"/>
      <c r="DR732" s="588" t="n"/>
      <c r="DS732" s="588" t="n"/>
      <c r="DT732" s="588" t="n"/>
      <c r="DU732" s="588" t="n"/>
    </row>
    <row r="733">
      <c r="A733" s="737" t="n"/>
      <c r="B733" s="737" t="n"/>
      <c r="C733" s="737" t="n"/>
      <c r="D733" s="737" t="n"/>
      <c r="E733" s="737" t="n"/>
      <c r="F733" s="737" t="n"/>
      <c r="G733" s="737" t="n"/>
      <c r="H733" s="737" t="n"/>
      <c r="I733" s="737" t="n"/>
      <c r="J733" s="737" t="n"/>
      <c r="K733" s="737" t="n"/>
      <c r="L733" s="737" t="n"/>
      <c r="M733" s="737" t="n"/>
      <c r="N733" s="737" t="n"/>
      <c r="O733" s="737" t="n"/>
      <c r="P733" s="737" t="n"/>
      <c r="Q733" s="737" t="n"/>
      <c r="R733" s="737" t="n"/>
      <c r="S733" s="737" t="n"/>
      <c r="T733" s="737" t="n"/>
      <c r="U733" s="737" t="n"/>
      <c r="V733" s="737" t="n"/>
      <c r="W733" s="737" t="n"/>
      <c r="X733" s="737" t="n"/>
      <c r="Y733" s="737" t="n"/>
      <c r="Z733" s="737" t="n"/>
      <c r="AA733" s="737" t="n"/>
      <c r="AB733" s="737" t="n"/>
      <c r="AC733" s="737" t="n"/>
      <c r="AD733" s="737" t="n"/>
      <c r="AE733" s="737" t="n"/>
      <c r="AF733" s="737" t="n"/>
      <c r="AG733" s="737" t="n"/>
      <c r="AH733" s="737" t="n"/>
      <c r="AI733" s="737" t="n"/>
      <c r="AJ733" s="737" t="n"/>
      <c r="AK733" s="588" t="n"/>
      <c r="AL733" s="588" t="n"/>
      <c r="AM733" s="588" t="n"/>
      <c r="AN733" s="588" t="n"/>
      <c r="AO733" s="588" t="n"/>
      <c r="AP733" s="588" t="n"/>
      <c r="AQ733" s="588" t="n"/>
      <c r="AR733" s="588" t="n"/>
      <c r="AS733" s="588" t="n"/>
      <c r="AT733" s="588" t="n"/>
      <c r="AU733" s="588" t="n"/>
      <c r="AV733" s="588" t="n"/>
      <c r="AW733" s="588" t="n"/>
      <c r="AX733" s="588" t="n"/>
      <c r="AY733" s="588" t="n"/>
      <c r="AZ733" s="588" t="n"/>
      <c r="BA733" s="588" t="n"/>
      <c r="BB733" s="588" t="n"/>
      <c r="BC733" s="588" t="n"/>
      <c r="BD733" s="588" t="n"/>
      <c r="BE733" s="588" t="n"/>
      <c r="BF733" s="588" t="n"/>
      <c r="BG733" s="588" t="n"/>
      <c r="BH733" s="588" t="n"/>
      <c r="BI733" s="588" t="n"/>
      <c r="BJ733" s="588" t="n"/>
      <c r="BK733" s="588" t="n"/>
      <c r="BL733" s="588" t="n"/>
      <c r="BM733" s="588" t="n"/>
      <c r="BN733" s="588" t="n"/>
      <c r="BO733" s="588" t="n"/>
      <c r="BP733" s="588" t="n"/>
      <c r="BQ733" s="588" t="n"/>
      <c r="BR733" s="588" t="n"/>
      <c r="BS733" s="588" t="n"/>
      <c r="BT733" s="588" t="n"/>
      <c r="BU733" s="588" t="n"/>
      <c r="BV733" s="588" t="n"/>
      <c r="BW733" s="588" t="n"/>
      <c r="BX733" s="588" t="n"/>
      <c r="BY733" s="588" t="n"/>
      <c r="BZ733" s="588" t="n"/>
      <c r="CA733" s="588" t="n"/>
      <c r="CB733" s="588" t="n"/>
      <c r="CC733" s="588" t="n"/>
      <c r="CD733" s="588" t="n"/>
      <c r="CE733" s="588" t="n"/>
      <c r="CF733" s="588" t="n"/>
      <c r="CG733" s="588" t="n"/>
      <c r="CH733" s="588" t="n"/>
      <c r="CI733" s="588" t="n"/>
      <c r="CJ733" s="588" t="n"/>
      <c r="CK733" s="588" t="n"/>
      <c r="CL733" s="588" t="n"/>
      <c r="CM733" s="588" t="n"/>
      <c r="CN733" s="588" t="n"/>
      <c r="CO733" s="588" t="n"/>
      <c r="CP733" s="588" t="n"/>
      <c r="CQ733" s="588" t="n"/>
      <c r="CR733" s="588" t="n"/>
      <c r="CS733" s="588" t="n"/>
      <c r="CT733" s="588" t="n"/>
      <c r="CU733" s="588" t="n"/>
      <c r="CV733" s="588" t="n"/>
      <c r="CW733" s="588" t="n"/>
      <c r="CX733" s="588" t="n"/>
      <c r="CY733" s="588" t="n"/>
      <c r="CZ733" s="588" t="n"/>
      <c r="DA733" s="588" t="n"/>
      <c r="DB733" s="588" t="n"/>
      <c r="DC733" s="588" t="n"/>
      <c r="DD733" s="588" t="n"/>
      <c r="DE733" s="588" t="n"/>
      <c r="DF733" s="588" t="n"/>
      <c r="DG733" s="588" t="n"/>
      <c r="DH733" s="588" t="n"/>
      <c r="DI733" s="588" t="n"/>
      <c r="DJ733" s="588" t="n"/>
      <c r="DK733" s="588" t="n"/>
      <c r="DL733" s="588" t="n"/>
      <c r="DM733" s="588" t="n"/>
      <c r="DN733" s="588" t="n"/>
      <c r="DO733" s="588" t="n"/>
      <c r="DP733" s="588" t="n"/>
      <c r="DQ733" s="588" t="n"/>
      <c r="DR733" s="588" t="n"/>
      <c r="DS733" s="588" t="n"/>
      <c r="DT733" s="588" t="n"/>
      <c r="DU733" s="588" t="n"/>
    </row>
    <row r="734">
      <c r="A734" s="737" t="n"/>
      <c r="B734" s="737" t="n"/>
      <c r="C734" s="737" t="n"/>
      <c r="D734" s="737" t="n"/>
      <c r="E734" s="737" t="n"/>
      <c r="F734" s="737" t="n"/>
      <c r="G734" s="737" t="n"/>
      <c r="H734" s="737" t="n"/>
      <c r="I734" s="737" t="n"/>
      <c r="J734" s="737" t="n"/>
      <c r="K734" s="737" t="n"/>
      <c r="L734" s="737" t="n"/>
      <c r="M734" s="737" t="n"/>
      <c r="N734" s="737" t="n"/>
      <c r="O734" s="737" t="n"/>
      <c r="P734" s="737" t="n"/>
      <c r="Q734" s="737" t="n"/>
      <c r="R734" s="737" t="n"/>
      <c r="S734" s="737" t="n"/>
      <c r="T734" s="737" t="n"/>
      <c r="U734" s="737" t="n"/>
      <c r="V734" s="737" t="n"/>
      <c r="W734" s="737" t="n"/>
      <c r="X734" s="737" t="n"/>
      <c r="Y734" s="737" t="n"/>
      <c r="Z734" s="737" t="n"/>
      <c r="AA734" s="737" t="n"/>
      <c r="AB734" s="737" t="n"/>
      <c r="AC734" s="737" t="n"/>
      <c r="AD734" s="737" t="n"/>
      <c r="AE734" s="737" t="n"/>
      <c r="AF734" s="737" t="n"/>
      <c r="AG734" s="737" t="n"/>
      <c r="AH734" s="737" t="n"/>
      <c r="AI734" s="737" t="n"/>
      <c r="AJ734" s="737" t="n"/>
      <c r="AK734" s="588" t="n"/>
      <c r="AL734" s="588" t="n"/>
      <c r="AM734" s="588" t="n"/>
      <c r="AN734" s="588" t="n"/>
      <c r="AO734" s="588" t="n"/>
      <c r="AP734" s="588" t="n"/>
      <c r="AQ734" s="588" t="n"/>
      <c r="AR734" s="588" t="n"/>
      <c r="AS734" s="588" t="n"/>
      <c r="AT734" s="588" t="n"/>
      <c r="AU734" s="588" t="n"/>
      <c r="AV734" s="588" t="n"/>
      <c r="AW734" s="588" t="n"/>
      <c r="AX734" s="588" t="n"/>
      <c r="AY734" s="588" t="n"/>
      <c r="AZ734" s="588" t="n"/>
      <c r="BA734" s="588" t="n"/>
      <c r="BB734" s="588" t="n"/>
      <c r="BC734" s="588" t="n"/>
      <c r="BD734" s="588" t="n"/>
      <c r="BE734" s="588" t="n"/>
      <c r="BF734" s="588" t="n"/>
      <c r="BG734" s="588" t="n"/>
      <c r="BH734" s="588" t="n"/>
      <c r="BI734" s="588" t="n"/>
      <c r="BJ734" s="588" t="n"/>
      <c r="BK734" s="588" t="n"/>
      <c r="BL734" s="588" t="n"/>
      <c r="BM734" s="588" t="n"/>
      <c r="BN734" s="588" t="n"/>
      <c r="BO734" s="588" t="n"/>
      <c r="BP734" s="588" t="n"/>
      <c r="BQ734" s="588" t="n"/>
      <c r="BR734" s="588" t="n"/>
      <c r="BS734" s="588" t="n"/>
      <c r="BT734" s="588" t="n"/>
      <c r="BU734" s="588" t="n"/>
      <c r="BV734" s="588" t="n"/>
      <c r="BW734" s="588" t="n"/>
      <c r="BX734" s="588" t="n"/>
      <c r="BY734" s="588" t="n"/>
      <c r="BZ734" s="588" t="n"/>
      <c r="CA734" s="588" t="n"/>
      <c r="CB734" s="588" t="n"/>
      <c r="CC734" s="588" t="n"/>
      <c r="CD734" s="588" t="n"/>
      <c r="CE734" s="588" t="n"/>
      <c r="CF734" s="588" t="n"/>
      <c r="CG734" s="588" t="n"/>
      <c r="CH734" s="588" t="n"/>
      <c r="CI734" s="588" t="n"/>
      <c r="CJ734" s="588" t="n"/>
      <c r="CK734" s="588" t="n"/>
      <c r="CL734" s="588" t="n"/>
      <c r="CM734" s="588" t="n"/>
      <c r="CN734" s="588" t="n"/>
      <c r="CO734" s="588" t="n"/>
      <c r="CP734" s="588" t="n"/>
      <c r="CQ734" s="588" t="n"/>
      <c r="CR734" s="588" t="n"/>
      <c r="CS734" s="588" t="n"/>
      <c r="CT734" s="588" t="n"/>
      <c r="CU734" s="588" t="n"/>
      <c r="CV734" s="588" t="n"/>
      <c r="CW734" s="588" t="n"/>
      <c r="CX734" s="588" t="n"/>
      <c r="CY734" s="588" t="n"/>
      <c r="CZ734" s="588" t="n"/>
      <c r="DA734" s="588" t="n"/>
      <c r="DB734" s="588" t="n"/>
      <c r="DC734" s="588" t="n"/>
      <c r="DD734" s="588" t="n"/>
      <c r="DE734" s="588" t="n"/>
      <c r="DF734" s="588" t="n"/>
      <c r="DG734" s="588" t="n"/>
      <c r="DH734" s="588" t="n"/>
      <c r="DI734" s="588" t="n"/>
      <c r="DJ734" s="588" t="n"/>
      <c r="DK734" s="588" t="n"/>
      <c r="DL734" s="588" t="n"/>
      <c r="DM734" s="588" t="n"/>
      <c r="DN734" s="588" t="n"/>
      <c r="DO734" s="588" t="n"/>
      <c r="DP734" s="588" t="n"/>
      <c r="DQ734" s="588" t="n"/>
      <c r="DR734" s="588" t="n"/>
      <c r="DS734" s="588" t="n"/>
      <c r="DT734" s="588" t="n"/>
      <c r="DU734" s="588" t="n"/>
    </row>
    <row r="735">
      <c r="A735" s="737" t="n"/>
      <c r="B735" s="737" t="n"/>
      <c r="C735" s="737" t="n"/>
      <c r="D735" s="737" t="n"/>
      <c r="E735" s="737" t="n"/>
      <c r="F735" s="737" t="n"/>
      <c r="G735" s="737" t="n"/>
      <c r="H735" s="737" t="n"/>
      <c r="I735" s="737" t="n"/>
      <c r="J735" s="737" t="n"/>
      <c r="K735" s="737" t="n"/>
      <c r="L735" s="737" t="n"/>
      <c r="M735" s="737" t="n"/>
      <c r="N735" s="737" t="n"/>
      <c r="O735" s="737" t="n"/>
      <c r="P735" s="737" t="n"/>
      <c r="Q735" s="737" t="n"/>
      <c r="R735" s="737" t="n"/>
      <c r="S735" s="737" t="n"/>
      <c r="T735" s="737" t="n"/>
      <c r="U735" s="737" t="n"/>
      <c r="V735" s="737" t="n"/>
      <c r="W735" s="737" t="n"/>
      <c r="X735" s="737" t="n"/>
      <c r="Y735" s="737" t="n"/>
      <c r="Z735" s="737" t="n"/>
      <c r="AA735" s="737" t="n"/>
      <c r="AB735" s="737" t="n"/>
      <c r="AC735" s="737" t="n"/>
      <c r="AD735" s="737" t="n"/>
      <c r="AE735" s="737" t="n"/>
      <c r="AF735" s="737" t="n"/>
      <c r="AG735" s="737" t="n"/>
      <c r="AH735" s="737" t="n"/>
      <c r="AI735" s="737" t="n"/>
      <c r="AJ735" s="737" t="n"/>
      <c r="AK735" s="588" t="n"/>
      <c r="AL735" s="588" t="n"/>
      <c r="AM735" s="588" t="n"/>
      <c r="AN735" s="588" t="n"/>
      <c r="AO735" s="588" t="n"/>
      <c r="AP735" s="588" t="n"/>
      <c r="AQ735" s="588" t="n"/>
      <c r="AR735" s="588" t="n"/>
      <c r="AS735" s="588" t="n"/>
      <c r="AT735" s="588" t="n"/>
      <c r="AU735" s="588" t="n"/>
      <c r="AV735" s="588" t="n"/>
      <c r="AW735" s="588" t="n"/>
      <c r="AX735" s="588" t="n"/>
      <c r="AY735" s="588" t="n"/>
      <c r="AZ735" s="588" t="n"/>
      <c r="BA735" s="588" t="n"/>
      <c r="BB735" s="588" t="n"/>
      <c r="BC735" s="588" t="n"/>
      <c r="BD735" s="588" t="n"/>
      <c r="BE735" s="588" t="n"/>
      <c r="BF735" s="588" t="n"/>
      <c r="BG735" s="588" t="n"/>
      <c r="BH735" s="588" t="n"/>
      <c r="BI735" s="588" t="n"/>
      <c r="BJ735" s="588" t="n"/>
      <c r="BK735" s="588" t="n"/>
      <c r="BL735" s="588" t="n"/>
      <c r="BM735" s="588" t="n"/>
      <c r="BN735" s="588" t="n"/>
      <c r="BO735" s="588" t="n"/>
      <c r="BP735" s="588" t="n"/>
      <c r="BQ735" s="588" t="n"/>
      <c r="BR735" s="588" t="n"/>
      <c r="BS735" s="588" t="n"/>
      <c r="BT735" s="588" t="n"/>
      <c r="BU735" s="588" t="n"/>
      <c r="BV735" s="588" t="n"/>
      <c r="BW735" s="588" t="n"/>
      <c r="BX735" s="588" t="n"/>
      <c r="BY735" s="588" t="n"/>
      <c r="BZ735" s="588" t="n"/>
      <c r="CA735" s="588" t="n"/>
      <c r="CB735" s="588" t="n"/>
      <c r="CC735" s="588" t="n"/>
      <c r="CD735" s="588" t="n"/>
      <c r="CE735" s="588" t="n"/>
      <c r="CF735" s="588" t="n"/>
      <c r="CG735" s="588" t="n"/>
      <c r="CH735" s="588" t="n"/>
      <c r="CI735" s="588" t="n"/>
      <c r="CJ735" s="588" t="n"/>
      <c r="CK735" s="588" t="n"/>
      <c r="CL735" s="588" t="n"/>
      <c r="CM735" s="588" t="n"/>
      <c r="CN735" s="588" t="n"/>
      <c r="CO735" s="588" t="n"/>
      <c r="CP735" s="588" t="n"/>
      <c r="CQ735" s="588" t="n"/>
      <c r="CR735" s="588" t="n"/>
      <c r="CS735" s="588" t="n"/>
      <c r="CT735" s="588" t="n"/>
      <c r="CU735" s="588" t="n"/>
      <c r="CV735" s="588" t="n"/>
      <c r="CW735" s="588" t="n"/>
      <c r="CX735" s="588" t="n"/>
      <c r="CY735" s="588" t="n"/>
      <c r="CZ735" s="588" t="n"/>
      <c r="DA735" s="588" t="n"/>
      <c r="DB735" s="588" t="n"/>
      <c r="DC735" s="588" t="n"/>
      <c r="DD735" s="588" t="n"/>
      <c r="DE735" s="588" t="n"/>
      <c r="DF735" s="588" t="n"/>
      <c r="DG735" s="588" t="n"/>
      <c r="DH735" s="588" t="n"/>
      <c r="DI735" s="588" t="n"/>
      <c r="DJ735" s="588" t="n"/>
      <c r="DK735" s="588" t="n"/>
      <c r="DL735" s="588" t="n"/>
      <c r="DM735" s="588" t="n"/>
      <c r="DN735" s="588" t="n"/>
      <c r="DO735" s="588" t="n"/>
      <c r="DP735" s="588" t="n"/>
      <c r="DQ735" s="588" t="n"/>
      <c r="DR735" s="588" t="n"/>
      <c r="DS735" s="588" t="n"/>
      <c r="DT735" s="588" t="n"/>
      <c r="DU735" s="588" t="n"/>
    </row>
    <row r="736">
      <c r="A736" s="737" t="n"/>
      <c r="B736" s="737" t="n"/>
      <c r="C736" s="737" t="n"/>
      <c r="D736" s="737" t="n"/>
      <c r="E736" s="737" t="n"/>
      <c r="F736" s="737" t="n"/>
      <c r="G736" s="737" t="n"/>
      <c r="H736" s="737" t="n"/>
      <c r="I736" s="737" t="n"/>
      <c r="J736" s="737" t="n"/>
      <c r="K736" s="737" t="n"/>
      <c r="L736" s="737" t="n"/>
      <c r="M736" s="737" t="n"/>
      <c r="N736" s="737" t="n"/>
      <c r="O736" s="737" t="n"/>
      <c r="P736" s="737" t="n"/>
      <c r="Q736" s="737" t="n"/>
      <c r="R736" s="737" t="n"/>
      <c r="S736" s="737" t="n"/>
      <c r="T736" s="737" t="n"/>
      <c r="U736" s="737" t="n"/>
      <c r="V736" s="737" t="n"/>
      <c r="W736" s="737" t="n"/>
      <c r="X736" s="737" t="n"/>
      <c r="Y736" s="737" t="n"/>
      <c r="Z736" s="737" t="n"/>
      <c r="AA736" s="737" t="n"/>
      <c r="AB736" s="737" t="n"/>
      <c r="AC736" s="737" t="n"/>
      <c r="AD736" s="737" t="n"/>
      <c r="AE736" s="737" t="n"/>
      <c r="AF736" s="737" t="n"/>
      <c r="AG736" s="737" t="n"/>
      <c r="AH736" s="737" t="n"/>
      <c r="AI736" s="737" t="n"/>
      <c r="AJ736" s="737" t="n"/>
      <c r="AK736" s="588" t="n"/>
      <c r="AL736" s="588" t="n"/>
      <c r="AM736" s="588" t="n"/>
      <c r="AN736" s="588" t="n"/>
      <c r="AO736" s="588" t="n"/>
      <c r="AP736" s="588" t="n"/>
      <c r="AQ736" s="588" t="n"/>
      <c r="AR736" s="588" t="n"/>
      <c r="AS736" s="588" t="n"/>
      <c r="AT736" s="588" t="n"/>
      <c r="AU736" s="588" t="n"/>
      <c r="AV736" s="588" t="n"/>
      <c r="AW736" s="588" t="n"/>
      <c r="AX736" s="588" t="n"/>
      <c r="AY736" s="588" t="n"/>
      <c r="AZ736" s="588" t="n"/>
      <c r="BA736" s="588" t="n"/>
      <c r="BB736" s="588" t="n"/>
      <c r="BC736" s="588" t="n"/>
      <c r="BD736" s="588" t="n"/>
      <c r="BE736" s="588" t="n"/>
      <c r="BF736" s="588" t="n"/>
      <c r="BG736" s="588" t="n"/>
      <c r="BH736" s="588" t="n"/>
      <c r="BI736" s="588" t="n"/>
      <c r="BJ736" s="588" t="n"/>
      <c r="BK736" s="588" t="n"/>
      <c r="BL736" s="588" t="n"/>
      <c r="BM736" s="588" t="n"/>
      <c r="BN736" s="588" t="n"/>
      <c r="BO736" s="588" t="n"/>
      <c r="BP736" s="588" t="n"/>
      <c r="BQ736" s="588" t="n"/>
      <c r="BR736" s="588" t="n"/>
      <c r="BS736" s="588" t="n"/>
      <c r="BT736" s="588" t="n"/>
      <c r="BU736" s="588" t="n"/>
      <c r="BV736" s="588" t="n"/>
      <c r="BW736" s="588" t="n"/>
      <c r="BX736" s="588" t="n"/>
      <c r="BY736" s="588" t="n"/>
      <c r="BZ736" s="588" t="n"/>
      <c r="CA736" s="588" t="n"/>
      <c r="CB736" s="588" t="n"/>
      <c r="CC736" s="588" t="n"/>
      <c r="CD736" s="588" t="n"/>
      <c r="CE736" s="588" t="n"/>
      <c r="CF736" s="588" t="n"/>
      <c r="CG736" s="588" t="n"/>
      <c r="CH736" s="588" t="n"/>
      <c r="CI736" s="588" t="n"/>
      <c r="CJ736" s="588" t="n"/>
      <c r="CK736" s="588" t="n"/>
      <c r="CL736" s="588" t="n"/>
      <c r="CM736" s="588" t="n"/>
      <c r="CN736" s="588" t="n"/>
      <c r="CO736" s="588" t="n"/>
      <c r="CP736" s="588" t="n"/>
      <c r="CQ736" s="588" t="n"/>
      <c r="CR736" s="588" t="n"/>
      <c r="CS736" s="588" t="n"/>
      <c r="CT736" s="588" t="n"/>
      <c r="CU736" s="588" t="n"/>
      <c r="CV736" s="588" t="n"/>
      <c r="CW736" s="588" t="n"/>
      <c r="CX736" s="588" t="n"/>
      <c r="CY736" s="588" t="n"/>
      <c r="CZ736" s="588" t="n"/>
      <c r="DA736" s="588" t="n"/>
      <c r="DB736" s="588" t="n"/>
      <c r="DC736" s="588" t="n"/>
      <c r="DD736" s="588" t="n"/>
      <c r="DE736" s="588" t="n"/>
      <c r="DF736" s="588" t="n"/>
      <c r="DG736" s="588" t="n"/>
      <c r="DH736" s="588" t="n"/>
      <c r="DI736" s="588" t="n"/>
      <c r="DJ736" s="588" t="n"/>
      <c r="DK736" s="588" t="n"/>
      <c r="DL736" s="588" t="n"/>
      <c r="DM736" s="588" t="n"/>
      <c r="DN736" s="588" t="n"/>
      <c r="DO736" s="588" t="n"/>
      <c r="DP736" s="588" t="n"/>
      <c r="DQ736" s="588" t="n"/>
      <c r="DR736" s="588" t="n"/>
      <c r="DS736" s="588" t="n"/>
      <c r="DT736" s="588" t="n"/>
      <c r="DU736" s="588" t="n"/>
    </row>
    <row r="737">
      <c r="A737" s="737" t="n"/>
      <c r="B737" s="737" t="n"/>
      <c r="C737" s="737" t="n"/>
      <c r="D737" s="737" t="n"/>
      <c r="E737" s="737" t="n"/>
      <c r="F737" s="737" t="n"/>
      <c r="G737" s="737" t="n"/>
      <c r="H737" s="737" t="n"/>
      <c r="I737" s="737" t="n"/>
      <c r="J737" s="737" t="n"/>
      <c r="K737" s="737" t="n"/>
      <c r="L737" s="737" t="n"/>
      <c r="M737" s="737" t="n"/>
      <c r="N737" s="737" t="n"/>
      <c r="O737" s="737" t="n"/>
      <c r="P737" s="737" t="n"/>
      <c r="Q737" s="737" t="n"/>
      <c r="R737" s="737" t="n"/>
      <c r="S737" s="737" t="n"/>
      <c r="T737" s="737" t="n"/>
      <c r="U737" s="737" t="n"/>
      <c r="V737" s="737" t="n"/>
      <c r="W737" s="737" t="n"/>
      <c r="X737" s="737" t="n"/>
      <c r="Y737" s="737" t="n"/>
      <c r="Z737" s="737" t="n"/>
      <c r="AA737" s="737" t="n"/>
      <c r="AB737" s="737" t="n"/>
      <c r="AC737" s="737" t="n"/>
      <c r="AD737" s="737" t="n"/>
      <c r="AE737" s="737" t="n"/>
      <c r="AF737" s="737" t="n"/>
      <c r="AG737" s="737" t="n"/>
      <c r="AH737" s="737" t="n"/>
      <c r="AI737" s="737" t="n"/>
      <c r="AJ737" s="737" t="n"/>
      <c r="AK737" s="588" t="n"/>
      <c r="AL737" s="588" t="n"/>
      <c r="AM737" s="588" t="n"/>
      <c r="AN737" s="588" t="n"/>
      <c r="AO737" s="588" t="n"/>
      <c r="AP737" s="588" t="n"/>
      <c r="AQ737" s="588" t="n"/>
      <c r="AR737" s="588" t="n"/>
      <c r="AS737" s="588" t="n"/>
      <c r="AT737" s="588" t="n"/>
      <c r="AU737" s="588" t="n"/>
      <c r="AV737" s="588" t="n"/>
      <c r="AW737" s="588" t="n"/>
      <c r="AX737" s="588" t="n"/>
      <c r="AY737" s="588" t="n"/>
      <c r="AZ737" s="588" t="n"/>
      <c r="BA737" s="588" t="n"/>
      <c r="BB737" s="588" t="n"/>
      <c r="BC737" s="588" t="n"/>
      <c r="BD737" s="588" t="n"/>
      <c r="BE737" s="588" t="n"/>
      <c r="BF737" s="588" t="n"/>
      <c r="BG737" s="588" t="n"/>
      <c r="BH737" s="588" t="n"/>
      <c r="BI737" s="588" t="n"/>
      <c r="BJ737" s="588" t="n"/>
      <c r="BK737" s="588" t="n"/>
      <c r="BL737" s="588" t="n"/>
      <c r="BM737" s="588" t="n"/>
      <c r="BN737" s="588" t="n"/>
      <c r="BO737" s="588" t="n"/>
      <c r="BP737" s="588" t="n"/>
      <c r="BQ737" s="588" t="n"/>
      <c r="BR737" s="588" t="n"/>
      <c r="BS737" s="588" t="n"/>
      <c r="BT737" s="588" t="n"/>
      <c r="BU737" s="588" t="n"/>
      <c r="BV737" s="588" t="n"/>
      <c r="BW737" s="588" t="n"/>
      <c r="BX737" s="588" t="n"/>
      <c r="BY737" s="588" t="n"/>
      <c r="BZ737" s="588" t="n"/>
      <c r="CA737" s="588" t="n"/>
      <c r="CB737" s="588" t="n"/>
      <c r="CC737" s="588" t="n"/>
      <c r="CD737" s="588" t="n"/>
      <c r="CE737" s="588" t="n"/>
      <c r="CF737" s="588" t="n"/>
      <c r="CG737" s="588" t="n"/>
      <c r="CH737" s="588" t="n"/>
      <c r="CI737" s="588" t="n"/>
      <c r="CJ737" s="588" t="n"/>
      <c r="CK737" s="588" t="n"/>
      <c r="CL737" s="588" t="n"/>
      <c r="CM737" s="588" t="n"/>
      <c r="CN737" s="588" t="n"/>
      <c r="CO737" s="588" t="n"/>
      <c r="CP737" s="588" t="n"/>
      <c r="CQ737" s="588" t="n"/>
      <c r="CR737" s="588" t="n"/>
      <c r="CS737" s="588" t="n"/>
      <c r="CT737" s="588" t="n"/>
      <c r="CU737" s="588" t="n"/>
      <c r="CV737" s="588" t="n"/>
      <c r="CW737" s="588" t="n"/>
      <c r="CX737" s="588" t="n"/>
      <c r="CY737" s="588" t="n"/>
      <c r="CZ737" s="588" t="n"/>
      <c r="DA737" s="588" t="n"/>
      <c r="DB737" s="588" t="n"/>
      <c r="DC737" s="588" t="n"/>
      <c r="DD737" s="588" t="n"/>
      <c r="DE737" s="588" t="n"/>
      <c r="DF737" s="588" t="n"/>
      <c r="DG737" s="588" t="n"/>
      <c r="DH737" s="588" t="n"/>
      <c r="DI737" s="588" t="n"/>
      <c r="DJ737" s="588" t="n"/>
      <c r="DK737" s="588" t="n"/>
      <c r="DL737" s="588" t="n"/>
      <c r="DM737" s="588" t="n"/>
      <c r="DN737" s="588" t="n"/>
      <c r="DO737" s="588" t="n"/>
      <c r="DP737" s="588" t="n"/>
      <c r="DQ737" s="588" t="n"/>
      <c r="DR737" s="588" t="n"/>
      <c r="DS737" s="588" t="n"/>
      <c r="DT737" s="588" t="n"/>
      <c r="DU737" s="588" t="n"/>
    </row>
    <row r="738">
      <c r="A738" s="737" t="n"/>
      <c r="B738" s="737" t="n"/>
      <c r="C738" s="737" t="n"/>
      <c r="D738" s="737" t="n"/>
      <c r="E738" s="737" t="n"/>
      <c r="F738" s="737" t="n"/>
      <c r="G738" s="737" t="n"/>
      <c r="H738" s="737" t="n"/>
      <c r="I738" s="737" t="n"/>
      <c r="J738" s="737" t="n"/>
      <c r="K738" s="737" t="n"/>
      <c r="L738" s="737" t="n"/>
      <c r="M738" s="737" t="n"/>
      <c r="N738" s="737" t="n"/>
      <c r="O738" s="737" t="n"/>
      <c r="P738" s="737" t="n"/>
      <c r="Q738" s="737" t="n"/>
      <c r="R738" s="737" t="n"/>
      <c r="S738" s="737" t="n"/>
      <c r="T738" s="737" t="n"/>
      <c r="U738" s="737" t="n"/>
      <c r="V738" s="737" t="n"/>
      <c r="W738" s="737" t="n"/>
      <c r="X738" s="737" t="n"/>
      <c r="Y738" s="737" t="n"/>
      <c r="Z738" s="737" t="n"/>
      <c r="AA738" s="737" t="n"/>
      <c r="AB738" s="737" t="n"/>
      <c r="AC738" s="737" t="n"/>
      <c r="AD738" s="737" t="n"/>
      <c r="AE738" s="737" t="n"/>
      <c r="AF738" s="737" t="n"/>
      <c r="AG738" s="737" t="n"/>
      <c r="AH738" s="737" t="n"/>
      <c r="AI738" s="737" t="n"/>
      <c r="AJ738" s="737" t="n"/>
      <c r="AK738" s="588" t="n"/>
      <c r="AL738" s="588" t="n"/>
      <c r="AM738" s="588" t="n"/>
      <c r="AN738" s="588" t="n"/>
      <c r="AO738" s="588" t="n"/>
      <c r="AP738" s="588" t="n"/>
      <c r="AQ738" s="588" t="n"/>
      <c r="AR738" s="588" t="n"/>
      <c r="AS738" s="588" t="n"/>
      <c r="AT738" s="588" t="n"/>
      <c r="AU738" s="588" t="n"/>
      <c r="AV738" s="588" t="n"/>
      <c r="AW738" s="588" t="n"/>
      <c r="AX738" s="588" t="n"/>
      <c r="AY738" s="588" t="n"/>
      <c r="AZ738" s="588" t="n"/>
      <c r="BA738" s="588" t="n"/>
      <c r="BB738" s="588" t="n"/>
      <c r="BC738" s="588" t="n"/>
      <c r="BD738" s="588" t="n"/>
      <c r="BE738" s="588" t="n"/>
      <c r="BF738" s="588" t="n"/>
      <c r="BG738" s="588" t="n"/>
      <c r="BH738" s="588" t="n"/>
      <c r="BI738" s="588" t="n"/>
      <c r="BJ738" s="588" t="n"/>
      <c r="BK738" s="588" t="n"/>
      <c r="BL738" s="588" t="n"/>
      <c r="BM738" s="588" t="n"/>
      <c r="BN738" s="588" t="n"/>
      <c r="BO738" s="588" t="n"/>
      <c r="BP738" s="588" t="n"/>
      <c r="BQ738" s="588" t="n"/>
      <c r="BR738" s="588" t="n"/>
      <c r="BS738" s="588" t="n"/>
      <c r="BT738" s="588" t="n"/>
      <c r="BU738" s="588" t="n"/>
      <c r="BV738" s="588" t="n"/>
      <c r="BW738" s="588" t="n"/>
      <c r="BX738" s="588" t="n"/>
      <c r="BY738" s="588" t="n"/>
      <c r="BZ738" s="588" t="n"/>
      <c r="CA738" s="588" t="n"/>
      <c r="CB738" s="588" t="n"/>
      <c r="CC738" s="588" t="n"/>
      <c r="CD738" s="588" t="n"/>
      <c r="CE738" s="588" t="n"/>
      <c r="CF738" s="588" t="n"/>
      <c r="CG738" s="588" t="n"/>
      <c r="CH738" s="588" t="n"/>
      <c r="CI738" s="588" t="n"/>
      <c r="CJ738" s="588" t="n"/>
      <c r="CK738" s="588" t="n"/>
      <c r="CL738" s="588" t="n"/>
      <c r="CM738" s="588" t="n"/>
      <c r="CN738" s="588" t="n"/>
      <c r="CO738" s="588" t="n"/>
      <c r="CP738" s="588" t="n"/>
      <c r="CQ738" s="588" t="n"/>
      <c r="CR738" s="588" t="n"/>
      <c r="CS738" s="588" t="n"/>
      <c r="CT738" s="588" t="n"/>
      <c r="CU738" s="588" t="n"/>
      <c r="CV738" s="588" t="n"/>
      <c r="CW738" s="588" t="n"/>
      <c r="CX738" s="588" t="n"/>
      <c r="CY738" s="588" t="n"/>
      <c r="CZ738" s="588" t="n"/>
      <c r="DA738" s="588" t="n"/>
      <c r="DB738" s="588" t="n"/>
      <c r="DC738" s="588" t="n"/>
      <c r="DD738" s="588" t="n"/>
      <c r="DE738" s="588" t="n"/>
      <c r="DF738" s="588" t="n"/>
      <c r="DG738" s="588" t="n"/>
      <c r="DH738" s="588" t="n"/>
      <c r="DI738" s="588" t="n"/>
      <c r="DJ738" s="588" t="n"/>
      <c r="DK738" s="588" t="n"/>
      <c r="DL738" s="588" t="n"/>
      <c r="DM738" s="588" t="n"/>
      <c r="DN738" s="588" t="n"/>
      <c r="DO738" s="588" t="n"/>
      <c r="DP738" s="588" t="n"/>
      <c r="DQ738" s="588" t="n"/>
      <c r="DR738" s="588" t="n"/>
      <c r="DS738" s="588" t="n"/>
      <c r="DT738" s="588" t="n"/>
      <c r="DU738" s="588" t="n"/>
    </row>
    <row r="739">
      <c r="A739" s="737" t="n"/>
      <c r="B739" s="737" t="n"/>
      <c r="C739" s="737" t="n"/>
      <c r="D739" s="737" t="n"/>
      <c r="E739" s="737" t="n"/>
      <c r="F739" s="737" t="n"/>
      <c r="G739" s="737" t="n"/>
      <c r="H739" s="737" t="n"/>
      <c r="I739" s="737" t="n"/>
      <c r="J739" s="737" t="n"/>
      <c r="K739" s="737" t="n"/>
      <c r="L739" s="737" t="n"/>
      <c r="M739" s="737" t="n"/>
      <c r="N739" s="737" t="n"/>
      <c r="O739" s="737" t="n"/>
      <c r="P739" s="737" t="n"/>
      <c r="Q739" s="737" t="n"/>
      <c r="R739" s="737" t="n"/>
      <c r="S739" s="737" t="n"/>
      <c r="T739" s="737" t="n"/>
      <c r="U739" s="737" t="n"/>
      <c r="V739" s="737" t="n"/>
      <c r="W739" s="737" t="n"/>
      <c r="X739" s="737" t="n"/>
      <c r="Y739" s="737" t="n"/>
      <c r="Z739" s="737" t="n"/>
      <c r="AA739" s="737" t="n"/>
      <c r="AB739" s="737" t="n"/>
      <c r="AC739" s="737" t="n"/>
      <c r="AD739" s="737" t="n"/>
      <c r="AE739" s="737" t="n"/>
      <c r="AF739" s="737" t="n"/>
      <c r="AG739" s="737" t="n"/>
      <c r="AH739" s="737" t="n"/>
      <c r="AI739" s="737" t="n"/>
      <c r="AJ739" s="737" t="n"/>
      <c r="AK739" s="588" t="n"/>
      <c r="AL739" s="588" t="n"/>
      <c r="AM739" s="588" t="n"/>
      <c r="AN739" s="588" t="n"/>
      <c r="AO739" s="588" t="n"/>
      <c r="AP739" s="588" t="n"/>
      <c r="AQ739" s="588" t="n"/>
      <c r="AR739" s="588" t="n"/>
      <c r="AS739" s="588" t="n"/>
      <c r="AT739" s="588" t="n"/>
      <c r="AU739" s="588" t="n"/>
      <c r="AV739" s="588" t="n"/>
      <c r="AW739" s="588" t="n"/>
      <c r="AX739" s="588" t="n"/>
      <c r="AY739" s="588" t="n"/>
      <c r="AZ739" s="588" t="n"/>
      <c r="BA739" s="588" t="n"/>
      <c r="BB739" s="588" t="n"/>
      <c r="BC739" s="588" t="n"/>
      <c r="BD739" s="588" t="n"/>
      <c r="BE739" s="588" t="n"/>
      <c r="BF739" s="588" t="n"/>
      <c r="BG739" s="588" t="n"/>
      <c r="BH739" s="588" t="n"/>
      <c r="BI739" s="588" t="n"/>
      <c r="BJ739" s="588" t="n"/>
      <c r="BK739" s="588" t="n"/>
      <c r="BL739" s="588" t="n"/>
      <c r="BM739" s="588" t="n"/>
      <c r="BN739" s="588" t="n"/>
      <c r="BO739" s="588" t="n"/>
      <c r="BP739" s="588" t="n"/>
      <c r="BQ739" s="588" t="n"/>
      <c r="BR739" s="588" t="n"/>
      <c r="BS739" s="588" t="n"/>
      <c r="BT739" s="588" t="n"/>
      <c r="BU739" s="588" t="n"/>
      <c r="BV739" s="588" t="n"/>
      <c r="BW739" s="588" t="n"/>
      <c r="BX739" s="588" t="n"/>
      <c r="BY739" s="588" t="n"/>
      <c r="BZ739" s="588" t="n"/>
      <c r="CA739" s="588" t="n"/>
      <c r="CB739" s="588" t="n"/>
      <c r="CC739" s="588" t="n"/>
      <c r="CD739" s="588" t="n"/>
      <c r="CE739" s="588" t="n"/>
      <c r="CF739" s="588" t="n"/>
      <c r="CG739" s="588" t="n"/>
      <c r="CH739" s="588" t="n"/>
      <c r="CI739" s="588" t="n"/>
      <c r="CJ739" s="588" t="n"/>
      <c r="CK739" s="588" t="n"/>
      <c r="CL739" s="588" t="n"/>
      <c r="CM739" s="588" t="n"/>
      <c r="CN739" s="588" t="n"/>
      <c r="CO739" s="588" t="n"/>
      <c r="CP739" s="588" t="n"/>
      <c r="CQ739" s="588" t="n"/>
      <c r="CR739" s="588" t="n"/>
      <c r="CS739" s="588" t="n"/>
      <c r="CT739" s="588" t="n"/>
      <c r="CU739" s="588" t="n"/>
      <c r="CV739" s="588" t="n"/>
      <c r="CW739" s="588" t="n"/>
      <c r="CX739" s="588" t="n"/>
      <c r="CY739" s="588" t="n"/>
      <c r="CZ739" s="588" t="n"/>
      <c r="DA739" s="588" t="n"/>
      <c r="DB739" s="588" t="n"/>
      <c r="DC739" s="588" t="n"/>
      <c r="DD739" s="588" t="n"/>
      <c r="DE739" s="588" t="n"/>
      <c r="DF739" s="588" t="n"/>
      <c r="DG739" s="588" t="n"/>
      <c r="DH739" s="588" t="n"/>
      <c r="DI739" s="588" t="n"/>
      <c r="DJ739" s="588" t="n"/>
      <c r="DK739" s="588" t="n"/>
      <c r="DL739" s="588" t="n"/>
      <c r="DM739" s="588" t="n"/>
      <c r="DN739" s="588" t="n"/>
      <c r="DO739" s="588" t="n"/>
      <c r="DP739" s="588" t="n"/>
      <c r="DQ739" s="588" t="n"/>
      <c r="DR739" s="588" t="n"/>
      <c r="DS739" s="588" t="n"/>
      <c r="DT739" s="588" t="n"/>
      <c r="DU739" s="588" t="n"/>
    </row>
    <row r="740">
      <c r="A740" s="737" t="n"/>
      <c r="B740" s="737" t="n"/>
      <c r="C740" s="737" t="n"/>
      <c r="D740" s="737" t="n"/>
      <c r="E740" s="737" t="n"/>
      <c r="F740" s="737" t="n"/>
      <c r="G740" s="737" t="n"/>
      <c r="H740" s="737" t="n"/>
      <c r="I740" s="737" t="n"/>
      <c r="J740" s="737" t="n"/>
      <c r="K740" s="737" t="n"/>
      <c r="L740" s="737" t="n"/>
      <c r="M740" s="737" t="n"/>
      <c r="N740" s="737" t="n"/>
      <c r="O740" s="737" t="n"/>
      <c r="P740" s="737" t="n"/>
      <c r="Q740" s="737" t="n"/>
      <c r="R740" s="737" t="n"/>
      <c r="S740" s="737" t="n"/>
      <c r="T740" s="737" t="n"/>
      <c r="U740" s="737" t="n"/>
      <c r="V740" s="737" t="n"/>
      <c r="W740" s="737" t="n"/>
      <c r="X740" s="737" t="n"/>
      <c r="Y740" s="737" t="n"/>
      <c r="Z740" s="737" t="n"/>
      <c r="AA740" s="737" t="n"/>
      <c r="AB740" s="737" t="n"/>
      <c r="AC740" s="737" t="n"/>
      <c r="AD740" s="737" t="n"/>
      <c r="AE740" s="737" t="n"/>
      <c r="AF740" s="737" t="n"/>
      <c r="AG740" s="737" t="n"/>
      <c r="AH740" s="737" t="n"/>
      <c r="AI740" s="737" t="n"/>
      <c r="AJ740" s="737" t="n"/>
      <c r="AK740" s="588" t="n"/>
      <c r="AL740" s="588" t="n"/>
      <c r="AM740" s="588" t="n"/>
      <c r="AN740" s="588" t="n"/>
      <c r="AO740" s="588" t="n"/>
      <c r="AP740" s="588" t="n"/>
      <c r="AQ740" s="588" t="n"/>
      <c r="AR740" s="588" t="n"/>
      <c r="AS740" s="588" t="n"/>
      <c r="AT740" s="588" t="n"/>
      <c r="AU740" s="588" t="n"/>
      <c r="AV740" s="588" t="n"/>
      <c r="AW740" s="588" t="n"/>
      <c r="AX740" s="588" t="n"/>
      <c r="AY740" s="588" t="n"/>
      <c r="AZ740" s="588" t="n"/>
      <c r="BA740" s="588" t="n"/>
      <c r="BB740" s="588" t="n"/>
      <c r="BC740" s="588" t="n"/>
      <c r="BD740" s="588" t="n"/>
      <c r="BE740" s="588" t="n"/>
      <c r="BF740" s="588" t="n"/>
      <c r="BG740" s="588" t="n"/>
      <c r="BH740" s="588" t="n"/>
      <c r="BI740" s="588" t="n"/>
      <c r="BJ740" s="588" t="n"/>
      <c r="BK740" s="588" t="n"/>
      <c r="BL740" s="588" t="n"/>
      <c r="BM740" s="588" t="n"/>
      <c r="BN740" s="588" t="n"/>
      <c r="BO740" s="588" t="n"/>
      <c r="BP740" s="588" t="n"/>
      <c r="BQ740" s="588" t="n"/>
      <c r="BR740" s="588" t="n"/>
      <c r="BS740" s="588" t="n"/>
      <c r="BT740" s="588" t="n"/>
      <c r="BU740" s="588" t="n"/>
      <c r="BV740" s="588" t="n"/>
      <c r="BW740" s="588" t="n"/>
      <c r="BX740" s="588" t="n"/>
      <c r="BY740" s="588" t="n"/>
      <c r="BZ740" s="588" t="n"/>
      <c r="CA740" s="588" t="n"/>
      <c r="CB740" s="588" t="n"/>
      <c r="CC740" s="588" t="n"/>
      <c r="CD740" s="588" t="n"/>
      <c r="CE740" s="588" t="n"/>
      <c r="CF740" s="588" t="n"/>
      <c r="CG740" s="588" t="n"/>
      <c r="CH740" s="588" t="n"/>
      <c r="CI740" s="588" t="n"/>
      <c r="CJ740" s="588" t="n"/>
      <c r="CK740" s="588" t="n"/>
      <c r="CL740" s="588" t="n"/>
      <c r="CM740" s="588" t="n"/>
      <c r="CN740" s="588" t="n"/>
      <c r="CO740" s="588" t="n"/>
      <c r="CP740" s="588" t="n"/>
      <c r="CQ740" s="588" t="n"/>
      <c r="CR740" s="588" t="n"/>
      <c r="CS740" s="588" t="n"/>
      <c r="CT740" s="588" t="n"/>
      <c r="CU740" s="588" t="n"/>
      <c r="CV740" s="588" t="n"/>
      <c r="CW740" s="588" t="n"/>
      <c r="CX740" s="588" t="n"/>
      <c r="CY740" s="588" t="n"/>
      <c r="CZ740" s="588" t="n"/>
      <c r="DA740" s="588" t="n"/>
      <c r="DB740" s="588" t="n"/>
      <c r="DC740" s="588" t="n"/>
      <c r="DD740" s="588" t="n"/>
      <c r="DE740" s="588" t="n"/>
      <c r="DF740" s="588" t="n"/>
      <c r="DG740" s="588" t="n"/>
      <c r="DH740" s="588" t="n"/>
      <c r="DI740" s="588" t="n"/>
      <c r="DJ740" s="588" t="n"/>
      <c r="DK740" s="588" t="n"/>
      <c r="DL740" s="588" t="n"/>
      <c r="DM740" s="588" t="n"/>
      <c r="DN740" s="588" t="n"/>
      <c r="DO740" s="588" t="n"/>
      <c r="DP740" s="588" t="n"/>
      <c r="DQ740" s="588" t="n"/>
      <c r="DR740" s="588" t="n"/>
      <c r="DS740" s="588" t="n"/>
      <c r="DT740" s="588" t="n"/>
      <c r="DU740" s="588" t="n"/>
    </row>
    <row r="741">
      <c r="A741" s="737" t="n"/>
      <c r="B741" s="737" t="n"/>
      <c r="C741" s="737" t="n"/>
      <c r="D741" s="737" t="n"/>
      <c r="E741" s="737" t="n"/>
      <c r="F741" s="737" t="n"/>
      <c r="G741" s="737" t="n"/>
      <c r="H741" s="737" t="n"/>
      <c r="I741" s="737" t="n"/>
      <c r="J741" s="737" t="n"/>
      <c r="K741" s="737" t="n"/>
      <c r="L741" s="737" t="n"/>
      <c r="M741" s="737" t="n"/>
      <c r="N741" s="737" t="n"/>
      <c r="O741" s="737" t="n"/>
      <c r="P741" s="737" t="n"/>
      <c r="Q741" s="737" t="n"/>
      <c r="R741" s="737" t="n"/>
      <c r="S741" s="737" t="n"/>
      <c r="T741" s="737" t="n"/>
      <c r="U741" s="737" t="n"/>
      <c r="V741" s="737" t="n"/>
      <c r="W741" s="737" t="n"/>
      <c r="X741" s="737" t="n"/>
      <c r="Y741" s="737" t="n"/>
      <c r="Z741" s="737" t="n"/>
      <c r="AA741" s="737" t="n"/>
      <c r="AB741" s="737" t="n"/>
      <c r="AC741" s="737" t="n"/>
      <c r="AD741" s="737" t="n"/>
      <c r="AE741" s="737" t="n"/>
      <c r="AF741" s="737" t="n"/>
      <c r="AG741" s="737" t="n"/>
      <c r="AH741" s="737" t="n"/>
      <c r="AI741" s="737" t="n"/>
      <c r="AJ741" s="737" t="n"/>
      <c r="AK741" s="588" t="n"/>
      <c r="AL741" s="588" t="n"/>
      <c r="AM741" s="588" t="n"/>
      <c r="AN741" s="588" t="n"/>
      <c r="AO741" s="588" t="n"/>
      <c r="AP741" s="588" t="n"/>
      <c r="AQ741" s="588" t="n"/>
      <c r="AR741" s="588" t="n"/>
      <c r="AS741" s="588" t="n"/>
      <c r="AT741" s="588" t="n"/>
      <c r="AU741" s="588" t="n"/>
      <c r="AV741" s="588" t="n"/>
      <c r="AW741" s="588" t="n"/>
      <c r="AX741" s="588" t="n"/>
      <c r="AY741" s="588" t="n"/>
      <c r="AZ741" s="588" t="n"/>
      <c r="BA741" s="588" t="n"/>
      <c r="BB741" s="588" t="n"/>
      <c r="BC741" s="588" t="n"/>
      <c r="BD741" s="588" t="n"/>
      <c r="BE741" s="588" t="n"/>
      <c r="BF741" s="588" t="n"/>
      <c r="BG741" s="588" t="n"/>
      <c r="BH741" s="588" t="n"/>
      <c r="BI741" s="588" t="n"/>
      <c r="BJ741" s="588" t="n"/>
      <c r="BK741" s="588" t="n"/>
      <c r="BL741" s="588" t="n"/>
      <c r="BM741" s="588" t="n"/>
      <c r="BN741" s="588" t="n"/>
      <c r="BO741" s="588" t="n"/>
      <c r="BP741" s="588" t="n"/>
      <c r="BQ741" s="588" t="n"/>
      <c r="BR741" s="588" t="n"/>
      <c r="BS741" s="588" t="n"/>
      <c r="BT741" s="588" t="n"/>
      <c r="BU741" s="588" t="n"/>
      <c r="BV741" s="588" t="n"/>
      <c r="BW741" s="588" t="n"/>
      <c r="BX741" s="588" t="n"/>
      <c r="BY741" s="588" t="n"/>
      <c r="BZ741" s="588" t="n"/>
      <c r="CA741" s="588" t="n"/>
      <c r="CB741" s="588" t="n"/>
      <c r="CC741" s="588" t="n"/>
      <c r="CD741" s="588" t="n"/>
      <c r="CE741" s="588" t="n"/>
      <c r="CF741" s="588" t="n"/>
      <c r="CG741" s="588" t="n"/>
      <c r="CH741" s="588" t="n"/>
      <c r="CI741" s="588" t="n"/>
      <c r="CJ741" s="588" t="n"/>
      <c r="CK741" s="588" t="n"/>
      <c r="CL741" s="588" t="n"/>
      <c r="CM741" s="588" t="n"/>
      <c r="CN741" s="588" t="n"/>
      <c r="CO741" s="588" t="n"/>
      <c r="CP741" s="588" t="n"/>
      <c r="CQ741" s="588" t="n"/>
      <c r="CR741" s="588" t="n"/>
      <c r="CS741" s="588" t="n"/>
      <c r="CT741" s="588" t="n"/>
      <c r="CU741" s="588" t="n"/>
      <c r="CV741" s="588" t="n"/>
      <c r="CW741" s="588" t="n"/>
      <c r="CX741" s="588" t="n"/>
      <c r="CY741" s="588" t="n"/>
      <c r="CZ741" s="588" t="n"/>
      <c r="DA741" s="588" t="n"/>
      <c r="DB741" s="588" t="n"/>
      <c r="DC741" s="588" t="n"/>
      <c r="DD741" s="588" t="n"/>
      <c r="DE741" s="588" t="n"/>
      <c r="DF741" s="588" t="n"/>
      <c r="DG741" s="588" t="n"/>
      <c r="DH741" s="588" t="n"/>
      <c r="DI741" s="588" t="n"/>
      <c r="DJ741" s="588" t="n"/>
      <c r="DK741" s="588" t="n"/>
      <c r="DL741" s="588" t="n"/>
      <c r="DM741" s="588" t="n"/>
      <c r="DN741" s="588" t="n"/>
      <c r="DO741" s="588" t="n"/>
      <c r="DP741" s="588" t="n"/>
      <c r="DQ741" s="588" t="n"/>
      <c r="DR741" s="588" t="n"/>
      <c r="DS741" s="588" t="n"/>
      <c r="DT741" s="588" t="n"/>
      <c r="DU741" s="588" t="n"/>
    </row>
    <row r="742">
      <c r="A742" s="737" t="n"/>
      <c r="B742" s="737" t="n"/>
      <c r="C742" s="737" t="n"/>
      <c r="D742" s="737" t="n"/>
      <c r="E742" s="737" t="n"/>
      <c r="F742" s="737" t="n"/>
      <c r="G742" s="737" t="n"/>
      <c r="H742" s="737" t="n"/>
      <c r="I742" s="737" t="n"/>
      <c r="J742" s="737" t="n"/>
      <c r="K742" s="737" t="n"/>
      <c r="L742" s="737" t="n"/>
      <c r="M742" s="737" t="n"/>
      <c r="N742" s="737" t="n"/>
      <c r="O742" s="737" t="n"/>
      <c r="P742" s="737" t="n"/>
      <c r="Q742" s="737" t="n"/>
      <c r="R742" s="737" t="n"/>
      <c r="S742" s="737" t="n"/>
      <c r="T742" s="737" t="n"/>
      <c r="U742" s="737" t="n"/>
      <c r="V742" s="737" t="n"/>
      <c r="W742" s="737" t="n"/>
      <c r="X742" s="737" t="n"/>
      <c r="Y742" s="737" t="n"/>
      <c r="Z742" s="737" t="n"/>
      <c r="AA742" s="737" t="n"/>
      <c r="AB742" s="737" t="n"/>
      <c r="AC742" s="737" t="n"/>
      <c r="AD742" s="737" t="n"/>
      <c r="AE742" s="737" t="n"/>
      <c r="AF742" s="737" t="n"/>
      <c r="AG742" s="737" t="n"/>
      <c r="AH742" s="737" t="n"/>
      <c r="AI742" s="737" t="n"/>
      <c r="AJ742" s="737" t="n"/>
      <c r="AK742" s="588" t="n"/>
      <c r="AL742" s="588" t="n"/>
      <c r="AM742" s="588" t="n"/>
      <c r="AN742" s="588" t="n"/>
      <c r="AO742" s="588" t="n"/>
      <c r="AP742" s="588" t="n"/>
      <c r="AQ742" s="588" t="n"/>
      <c r="AR742" s="588" t="n"/>
      <c r="AS742" s="588" t="n"/>
      <c r="AT742" s="588" t="n"/>
      <c r="AU742" s="588" t="n"/>
      <c r="AV742" s="588" t="n"/>
      <c r="AW742" s="588" t="n"/>
      <c r="AX742" s="588" t="n"/>
      <c r="AY742" s="588" t="n"/>
      <c r="AZ742" s="588" t="n"/>
      <c r="BA742" s="588" t="n"/>
      <c r="BB742" s="588" t="n"/>
      <c r="BC742" s="588" t="n"/>
      <c r="BD742" s="588" t="n"/>
      <c r="BE742" s="588" t="n"/>
      <c r="BF742" s="588" t="n"/>
      <c r="BG742" s="588" t="n"/>
      <c r="BH742" s="588" t="n"/>
      <c r="BI742" s="588" t="n"/>
      <c r="BJ742" s="588" t="n"/>
      <c r="BK742" s="588" t="n"/>
      <c r="BL742" s="588" t="n"/>
      <c r="BM742" s="588" t="n"/>
      <c r="BN742" s="588" t="n"/>
      <c r="BO742" s="588" t="n"/>
      <c r="BP742" s="588" t="n"/>
      <c r="BQ742" s="588" t="n"/>
      <c r="BR742" s="588" t="n"/>
      <c r="BS742" s="588" t="n"/>
      <c r="BT742" s="588" t="n"/>
      <c r="BU742" s="588" t="n"/>
      <c r="BV742" s="588" t="n"/>
      <c r="BW742" s="588" t="n"/>
      <c r="BX742" s="588" t="n"/>
      <c r="BY742" s="588" t="n"/>
      <c r="BZ742" s="588" t="n"/>
      <c r="CA742" s="588" t="n"/>
      <c r="CB742" s="588" t="n"/>
      <c r="CC742" s="588" t="n"/>
      <c r="CD742" s="588" t="n"/>
      <c r="CE742" s="588" t="n"/>
      <c r="CF742" s="588" t="n"/>
      <c r="CG742" s="588" t="n"/>
      <c r="CH742" s="588" t="n"/>
      <c r="CI742" s="588" t="n"/>
      <c r="CJ742" s="588" t="n"/>
      <c r="CK742" s="588" t="n"/>
      <c r="CL742" s="588" t="n"/>
      <c r="CM742" s="588" t="n"/>
      <c r="CN742" s="588" t="n"/>
      <c r="CO742" s="588" t="n"/>
      <c r="CP742" s="588" t="n"/>
      <c r="CQ742" s="588" t="n"/>
      <c r="CR742" s="588" t="n"/>
      <c r="CS742" s="588" t="n"/>
      <c r="CT742" s="588" t="n"/>
      <c r="CU742" s="588" t="n"/>
      <c r="CV742" s="588" t="n"/>
      <c r="CW742" s="588" t="n"/>
      <c r="CX742" s="588" t="n"/>
      <c r="CY742" s="588" t="n"/>
      <c r="CZ742" s="588" t="n"/>
      <c r="DA742" s="588" t="n"/>
      <c r="DB742" s="588" t="n"/>
      <c r="DC742" s="588" t="n"/>
      <c r="DD742" s="588" t="n"/>
      <c r="DE742" s="588" t="n"/>
      <c r="DF742" s="588" t="n"/>
      <c r="DG742" s="588" t="n"/>
      <c r="DH742" s="588" t="n"/>
      <c r="DI742" s="588" t="n"/>
      <c r="DJ742" s="588" t="n"/>
      <c r="DK742" s="588" t="n"/>
      <c r="DL742" s="588" t="n"/>
      <c r="DM742" s="588" t="n"/>
      <c r="DN742" s="588" t="n"/>
      <c r="DO742" s="588" t="n"/>
      <c r="DP742" s="588" t="n"/>
      <c r="DQ742" s="588" t="n"/>
      <c r="DR742" s="588" t="n"/>
      <c r="DS742" s="588" t="n"/>
      <c r="DT742" s="588" t="n"/>
      <c r="DU742" s="588" t="n"/>
    </row>
    <row r="743">
      <c r="A743" s="737" t="n"/>
      <c r="B743" s="737" t="n"/>
      <c r="C743" s="737" t="n"/>
      <c r="D743" s="737" t="n"/>
      <c r="E743" s="737" t="n"/>
      <c r="F743" s="737" t="n"/>
      <c r="G743" s="737" t="n"/>
      <c r="H743" s="737" t="n"/>
      <c r="I743" s="737" t="n"/>
      <c r="J743" s="737" t="n"/>
      <c r="K743" s="737" t="n"/>
      <c r="L743" s="737" t="n"/>
      <c r="M743" s="737" t="n"/>
      <c r="N743" s="737" t="n"/>
      <c r="O743" s="737" t="n"/>
      <c r="P743" s="737" t="n"/>
      <c r="Q743" s="737" t="n"/>
      <c r="R743" s="737" t="n"/>
      <c r="S743" s="737" t="n"/>
      <c r="T743" s="737" t="n"/>
      <c r="U743" s="737" t="n"/>
      <c r="V743" s="737" t="n"/>
      <c r="W743" s="737" t="n"/>
      <c r="X743" s="737" t="n"/>
      <c r="Y743" s="737" t="n"/>
      <c r="Z743" s="737" t="n"/>
      <c r="AA743" s="737" t="n"/>
      <c r="AB743" s="737" t="n"/>
      <c r="AC743" s="737" t="n"/>
      <c r="AD743" s="737" t="n"/>
      <c r="AE743" s="737" t="n"/>
      <c r="AF743" s="737" t="n"/>
      <c r="AG743" s="737" t="n"/>
      <c r="AH743" s="737" t="n"/>
      <c r="AI743" s="737" t="n"/>
      <c r="AJ743" s="737" t="n"/>
      <c r="AK743" s="588" t="n"/>
      <c r="AL743" s="588" t="n"/>
      <c r="AM743" s="588" t="n"/>
      <c r="AN743" s="588" t="n"/>
      <c r="AO743" s="588" t="n"/>
      <c r="AP743" s="588" t="n"/>
      <c r="AQ743" s="588" t="n"/>
      <c r="AR743" s="588" t="n"/>
      <c r="AS743" s="588" t="n"/>
      <c r="AT743" s="588" t="n"/>
      <c r="AU743" s="588" t="n"/>
      <c r="AV743" s="588" t="n"/>
      <c r="AW743" s="588" t="n"/>
      <c r="AX743" s="588" t="n"/>
      <c r="AY743" s="588" t="n"/>
      <c r="AZ743" s="588" t="n"/>
      <c r="BA743" s="588" t="n"/>
      <c r="BB743" s="588" t="n"/>
      <c r="BC743" s="588" t="n"/>
      <c r="BD743" s="588" t="n"/>
      <c r="BE743" s="588" t="n"/>
      <c r="BF743" s="588" t="n"/>
      <c r="BG743" s="588" t="n"/>
      <c r="BH743" s="588" t="n"/>
      <c r="BI743" s="588" t="n"/>
      <c r="BJ743" s="588" t="n"/>
      <c r="BK743" s="588" t="n"/>
      <c r="BL743" s="588" t="n"/>
      <c r="BM743" s="588" t="n"/>
      <c r="BN743" s="588" t="n"/>
      <c r="BO743" s="588" t="n"/>
      <c r="BP743" s="588" t="n"/>
      <c r="BQ743" s="588" t="n"/>
      <c r="BR743" s="588" t="n"/>
      <c r="BS743" s="588" t="n"/>
      <c r="BT743" s="588" t="n"/>
      <c r="BU743" s="588" t="n"/>
      <c r="BV743" s="588" t="n"/>
      <c r="BW743" s="588" t="n"/>
      <c r="BX743" s="588" t="n"/>
      <c r="BY743" s="588" t="n"/>
      <c r="BZ743" s="588" t="n"/>
      <c r="CA743" s="588" t="n"/>
      <c r="CB743" s="588" t="n"/>
      <c r="CC743" s="588" t="n"/>
      <c r="CD743" s="588" t="n"/>
      <c r="CE743" s="588" t="n"/>
      <c r="CF743" s="588" t="n"/>
      <c r="CG743" s="588" t="n"/>
      <c r="CH743" s="588" t="n"/>
      <c r="CI743" s="588" t="n"/>
      <c r="CJ743" s="588" t="n"/>
      <c r="CK743" s="588" t="n"/>
      <c r="CL743" s="588" t="n"/>
      <c r="CM743" s="588" t="n"/>
      <c r="CN743" s="588" t="n"/>
      <c r="CO743" s="588" t="n"/>
      <c r="CP743" s="588" t="n"/>
      <c r="CQ743" s="588" t="n"/>
      <c r="CR743" s="588" t="n"/>
      <c r="CS743" s="588" t="n"/>
      <c r="CT743" s="588" t="n"/>
      <c r="CU743" s="588" t="n"/>
      <c r="CV743" s="588" t="n"/>
      <c r="CW743" s="588" t="n"/>
      <c r="CX743" s="588" t="n"/>
      <c r="CY743" s="588" t="n"/>
      <c r="CZ743" s="588" t="n"/>
      <c r="DA743" s="588" t="n"/>
      <c r="DB743" s="588" t="n"/>
      <c r="DC743" s="588" t="n"/>
      <c r="DD743" s="588" t="n"/>
      <c r="DE743" s="588" t="n"/>
      <c r="DF743" s="588" t="n"/>
      <c r="DG743" s="588" t="n"/>
      <c r="DH743" s="588" t="n"/>
      <c r="DI743" s="588" t="n"/>
      <c r="DJ743" s="588" t="n"/>
      <c r="DK743" s="588" t="n"/>
      <c r="DL743" s="588" t="n"/>
      <c r="DM743" s="588" t="n"/>
      <c r="DN743" s="588" t="n"/>
      <c r="DO743" s="588" t="n"/>
      <c r="DP743" s="588" t="n"/>
      <c r="DQ743" s="588" t="n"/>
      <c r="DR743" s="588" t="n"/>
      <c r="DS743" s="588" t="n"/>
      <c r="DT743" s="588" t="n"/>
      <c r="DU743" s="588" t="n"/>
    </row>
    <row r="744">
      <c r="A744" s="737" t="n"/>
      <c r="B744" s="737" t="n"/>
      <c r="C744" s="737" t="n"/>
      <c r="D744" s="737" t="n"/>
      <c r="E744" s="737" t="n"/>
      <c r="F744" s="737" t="n"/>
      <c r="G744" s="737" t="n"/>
      <c r="H744" s="737" t="n"/>
      <c r="I744" s="737" t="n"/>
      <c r="J744" s="737" t="n"/>
      <c r="K744" s="737" t="n"/>
      <c r="L744" s="737" t="n"/>
      <c r="M744" s="737" t="n"/>
      <c r="N744" s="737" t="n"/>
      <c r="O744" s="737" t="n"/>
      <c r="P744" s="737" t="n"/>
      <c r="Q744" s="737" t="n"/>
      <c r="R744" s="737" t="n"/>
      <c r="S744" s="737" t="n"/>
      <c r="T744" s="737" t="n"/>
      <c r="U744" s="737" t="n"/>
      <c r="V744" s="737" t="n"/>
      <c r="W744" s="737" t="n"/>
      <c r="X744" s="737" t="n"/>
      <c r="Y744" s="737" t="n"/>
      <c r="Z744" s="737" t="n"/>
      <c r="AA744" s="737" t="n"/>
      <c r="AB744" s="737" t="n"/>
      <c r="AC744" s="737" t="n"/>
      <c r="AD744" s="737" t="n"/>
      <c r="AE744" s="737" t="n"/>
      <c r="AF744" s="737" t="n"/>
      <c r="AG744" s="737" t="n"/>
      <c r="AH744" s="737" t="n"/>
      <c r="AI744" s="737" t="n"/>
      <c r="AJ744" s="737" t="n"/>
      <c r="AK744" s="588" t="n"/>
      <c r="AL744" s="588" t="n"/>
      <c r="AM744" s="588" t="n"/>
      <c r="AN744" s="588" t="n"/>
      <c r="AO744" s="588" t="n"/>
      <c r="AP744" s="588" t="n"/>
      <c r="AQ744" s="588" t="n"/>
      <c r="AR744" s="588" t="n"/>
      <c r="AS744" s="588" t="n"/>
      <c r="AT744" s="588" t="n"/>
      <c r="AU744" s="588" t="n"/>
      <c r="AV744" s="588" t="n"/>
      <c r="AW744" s="588" t="n"/>
      <c r="AX744" s="588" t="n"/>
      <c r="AY744" s="588" t="n"/>
      <c r="AZ744" s="588" t="n"/>
      <c r="BA744" s="588" t="n"/>
      <c r="BB744" s="588" t="n"/>
      <c r="BC744" s="588" t="n"/>
      <c r="BD744" s="588" t="n"/>
      <c r="BE744" s="588" t="n"/>
      <c r="BF744" s="588" t="n"/>
      <c r="BG744" s="588" t="n"/>
      <c r="BH744" s="588" t="n"/>
      <c r="BI744" s="588" t="n"/>
      <c r="BJ744" s="588" t="n"/>
      <c r="BK744" s="588" t="n"/>
      <c r="BL744" s="588" t="n"/>
      <c r="BM744" s="588" t="n"/>
      <c r="BN744" s="588" t="n"/>
      <c r="BO744" s="588" t="n"/>
      <c r="BP744" s="588" t="n"/>
      <c r="BQ744" s="588" t="n"/>
      <c r="BR744" s="588" t="n"/>
      <c r="BS744" s="588" t="n"/>
      <c r="BT744" s="588" t="n"/>
      <c r="BU744" s="588" t="n"/>
      <c r="BV744" s="588" t="n"/>
      <c r="BW744" s="588" t="n"/>
      <c r="BX744" s="588" t="n"/>
      <c r="BY744" s="588" t="n"/>
      <c r="BZ744" s="588" t="n"/>
      <c r="CA744" s="588" t="n"/>
      <c r="CB744" s="588" t="n"/>
      <c r="CC744" s="588" t="n"/>
      <c r="CD744" s="588" t="n"/>
      <c r="CE744" s="588" t="n"/>
      <c r="CF744" s="588" t="n"/>
      <c r="CG744" s="588" t="n"/>
      <c r="CH744" s="588" t="n"/>
      <c r="CI744" s="588" t="n"/>
      <c r="CJ744" s="588" t="n"/>
      <c r="CK744" s="588" t="n"/>
      <c r="CL744" s="588" t="n"/>
      <c r="CM744" s="588" t="n"/>
      <c r="CN744" s="588" t="n"/>
      <c r="CO744" s="588" t="n"/>
      <c r="CP744" s="588" t="n"/>
      <c r="CQ744" s="588" t="n"/>
      <c r="CR744" s="588" t="n"/>
      <c r="CS744" s="588" t="n"/>
      <c r="CT744" s="588" t="n"/>
      <c r="CU744" s="588" t="n"/>
      <c r="CV744" s="588" t="n"/>
      <c r="CW744" s="588" t="n"/>
      <c r="CX744" s="588" t="n"/>
      <c r="CY744" s="588" t="n"/>
      <c r="CZ744" s="588" t="n"/>
      <c r="DA744" s="588" t="n"/>
      <c r="DB744" s="588" t="n"/>
      <c r="DC744" s="588" t="n"/>
      <c r="DD744" s="588" t="n"/>
      <c r="DE744" s="588" t="n"/>
      <c r="DF744" s="588" t="n"/>
      <c r="DG744" s="588" t="n"/>
      <c r="DH744" s="588" t="n"/>
      <c r="DI744" s="588" t="n"/>
      <c r="DJ744" s="588" t="n"/>
      <c r="DK744" s="588" t="n"/>
      <c r="DL744" s="588" t="n"/>
      <c r="DM744" s="588" t="n"/>
      <c r="DN744" s="588" t="n"/>
      <c r="DO744" s="588" t="n"/>
      <c r="DP744" s="588" t="n"/>
      <c r="DQ744" s="588" t="n"/>
      <c r="DR744" s="588" t="n"/>
      <c r="DS744" s="588" t="n"/>
      <c r="DT744" s="588" t="n"/>
      <c r="DU744" s="588" t="n"/>
    </row>
    <row r="745">
      <c r="A745" s="737" t="n"/>
      <c r="B745" s="737" t="n"/>
      <c r="C745" s="737" t="n"/>
      <c r="D745" s="737" t="n"/>
      <c r="E745" s="737" t="n"/>
      <c r="F745" s="737" t="n"/>
      <c r="G745" s="737" t="n"/>
      <c r="H745" s="737" t="n"/>
      <c r="I745" s="737" t="n"/>
      <c r="J745" s="737" t="n"/>
      <c r="K745" s="737" t="n"/>
      <c r="L745" s="737" t="n"/>
      <c r="M745" s="737" t="n"/>
      <c r="N745" s="737" t="n"/>
      <c r="O745" s="737" t="n"/>
      <c r="P745" s="737" t="n"/>
      <c r="Q745" s="737" t="n"/>
      <c r="R745" s="737" t="n"/>
      <c r="S745" s="737" t="n"/>
      <c r="T745" s="737" t="n"/>
      <c r="U745" s="737" t="n"/>
      <c r="V745" s="737" t="n"/>
      <c r="W745" s="737" t="n"/>
      <c r="X745" s="737" t="n"/>
      <c r="Y745" s="737" t="n"/>
      <c r="Z745" s="737" t="n"/>
      <c r="AA745" s="737" t="n"/>
      <c r="AB745" s="737" t="n"/>
      <c r="AC745" s="737" t="n"/>
      <c r="AD745" s="737" t="n"/>
      <c r="AE745" s="737" t="n"/>
      <c r="AF745" s="737" t="n"/>
      <c r="AG745" s="737" t="n"/>
      <c r="AH745" s="737" t="n"/>
      <c r="AI745" s="737" t="n"/>
      <c r="AJ745" s="737" t="n"/>
      <c r="AK745" s="588" t="n"/>
      <c r="AL745" s="588" t="n"/>
      <c r="AM745" s="588" t="n"/>
      <c r="AN745" s="588" t="n"/>
      <c r="AO745" s="588" t="n"/>
      <c r="AP745" s="588" t="n"/>
      <c r="AQ745" s="588" t="n"/>
      <c r="AR745" s="588" t="n"/>
      <c r="AS745" s="588" t="n"/>
      <c r="AT745" s="588" t="n"/>
      <c r="AU745" s="588" t="n"/>
      <c r="AV745" s="588" t="n"/>
      <c r="AW745" s="588" t="n"/>
      <c r="AX745" s="588" t="n"/>
      <c r="AY745" s="588" t="n"/>
      <c r="AZ745" s="588" t="n"/>
      <c r="BA745" s="588" t="n"/>
      <c r="BB745" s="588" t="n"/>
      <c r="BC745" s="588" t="n"/>
      <c r="BD745" s="588" t="n"/>
      <c r="BE745" s="588" t="n"/>
      <c r="BF745" s="588" t="n"/>
      <c r="BG745" s="588" t="n"/>
      <c r="BH745" s="588" t="n"/>
      <c r="BI745" s="588" t="n"/>
      <c r="BJ745" s="588" t="n"/>
      <c r="BK745" s="588" t="n"/>
      <c r="BL745" s="588" t="n"/>
      <c r="BM745" s="588" t="n"/>
      <c r="BN745" s="588" t="n"/>
      <c r="BO745" s="588" t="n"/>
      <c r="BP745" s="588" t="n"/>
      <c r="BQ745" s="588" t="n"/>
      <c r="BR745" s="588" t="n"/>
      <c r="BS745" s="588" t="n"/>
      <c r="BT745" s="588" t="n"/>
      <c r="BU745" s="588" t="n"/>
      <c r="BV745" s="588" t="n"/>
      <c r="BW745" s="588" t="n"/>
      <c r="BX745" s="588" t="n"/>
      <c r="BY745" s="588" t="n"/>
      <c r="BZ745" s="588" t="n"/>
      <c r="CA745" s="588" t="n"/>
      <c r="CB745" s="588" t="n"/>
      <c r="CC745" s="588" t="n"/>
      <c r="CD745" s="588" t="n"/>
      <c r="CE745" s="588" t="n"/>
      <c r="CF745" s="588" t="n"/>
      <c r="CG745" s="588" t="n"/>
      <c r="CH745" s="588" t="n"/>
      <c r="CI745" s="588" t="n"/>
      <c r="CJ745" s="588" t="n"/>
      <c r="CK745" s="588" t="n"/>
      <c r="CL745" s="588" t="n"/>
      <c r="CM745" s="588" t="n"/>
      <c r="CN745" s="588" t="n"/>
      <c r="CO745" s="588" t="n"/>
      <c r="CP745" s="588" t="n"/>
      <c r="CQ745" s="588" t="n"/>
      <c r="CR745" s="588" t="n"/>
      <c r="CS745" s="588" t="n"/>
      <c r="CT745" s="588" t="n"/>
      <c r="CU745" s="588" t="n"/>
      <c r="CV745" s="588" t="n"/>
      <c r="CW745" s="588" t="n"/>
      <c r="CX745" s="588" t="n"/>
      <c r="CY745" s="588" t="n"/>
      <c r="CZ745" s="588" t="n"/>
      <c r="DA745" s="588" t="n"/>
      <c r="DB745" s="588" t="n"/>
      <c r="DC745" s="588" t="n"/>
      <c r="DD745" s="588" t="n"/>
      <c r="DE745" s="588" t="n"/>
      <c r="DF745" s="588" t="n"/>
      <c r="DG745" s="588" t="n"/>
      <c r="DH745" s="588" t="n"/>
      <c r="DI745" s="588" t="n"/>
      <c r="DJ745" s="588" t="n"/>
      <c r="DK745" s="588" t="n"/>
      <c r="DL745" s="588" t="n"/>
      <c r="DM745" s="588" t="n"/>
      <c r="DN745" s="588" t="n"/>
      <c r="DO745" s="588" t="n"/>
      <c r="DP745" s="588" t="n"/>
      <c r="DQ745" s="588" t="n"/>
      <c r="DR745" s="588" t="n"/>
      <c r="DS745" s="588" t="n"/>
      <c r="DT745" s="588" t="n"/>
      <c r="DU745" s="588" t="n"/>
    </row>
    <row r="746">
      <c r="A746" s="737" t="n"/>
      <c r="B746" s="737" t="n"/>
      <c r="C746" s="737" t="n"/>
      <c r="D746" s="737" t="n"/>
      <c r="E746" s="737" t="n"/>
      <c r="F746" s="737" t="n"/>
      <c r="G746" s="737" t="n"/>
      <c r="H746" s="737" t="n"/>
      <c r="I746" s="737" t="n"/>
      <c r="J746" s="737" t="n"/>
      <c r="K746" s="737" t="n"/>
      <c r="L746" s="737" t="n"/>
      <c r="M746" s="737" t="n"/>
      <c r="N746" s="737" t="n"/>
      <c r="O746" s="737" t="n"/>
      <c r="P746" s="737" t="n"/>
      <c r="Q746" s="737" t="n"/>
      <c r="R746" s="737" t="n"/>
      <c r="S746" s="737" t="n"/>
      <c r="T746" s="737" t="n"/>
      <c r="U746" s="737" t="n"/>
      <c r="V746" s="737" t="n"/>
      <c r="W746" s="737" t="n"/>
      <c r="X746" s="737" t="n"/>
      <c r="Y746" s="737" t="n"/>
      <c r="Z746" s="737" t="n"/>
      <c r="AA746" s="737" t="n"/>
      <c r="AB746" s="737" t="n"/>
      <c r="AC746" s="737" t="n"/>
      <c r="AD746" s="737" t="n"/>
      <c r="AE746" s="737" t="n"/>
      <c r="AF746" s="737" t="n"/>
      <c r="AG746" s="737" t="n"/>
      <c r="AH746" s="737" t="n"/>
      <c r="AI746" s="737" t="n"/>
      <c r="AJ746" s="737" t="n"/>
      <c r="AK746" s="588" t="n"/>
      <c r="AL746" s="588" t="n"/>
      <c r="AM746" s="588" t="n"/>
      <c r="AN746" s="588" t="n"/>
      <c r="AO746" s="588" t="n"/>
      <c r="AP746" s="588" t="n"/>
      <c r="AQ746" s="588" t="n"/>
      <c r="AR746" s="588" t="n"/>
      <c r="AS746" s="588" t="n"/>
      <c r="AT746" s="588" t="n"/>
      <c r="AU746" s="588" t="n"/>
      <c r="AV746" s="588" t="n"/>
      <c r="AW746" s="588" t="n"/>
      <c r="AX746" s="588" t="n"/>
      <c r="AY746" s="588" t="n"/>
      <c r="AZ746" s="588" t="n"/>
      <c r="BA746" s="588" t="n"/>
      <c r="BB746" s="588" t="n"/>
      <c r="BC746" s="588" t="n"/>
      <c r="BD746" s="588" t="n"/>
      <c r="BE746" s="588" t="n"/>
      <c r="BF746" s="588" t="n"/>
      <c r="BG746" s="588" t="n"/>
      <c r="BH746" s="588" t="n"/>
      <c r="BI746" s="588" t="n"/>
      <c r="BJ746" s="588" t="n"/>
      <c r="BK746" s="588" t="n"/>
      <c r="BL746" s="588" t="n"/>
      <c r="BM746" s="588" t="n"/>
      <c r="BN746" s="588" t="n"/>
      <c r="BO746" s="588" t="n"/>
      <c r="BP746" s="588" t="n"/>
      <c r="BQ746" s="588" t="n"/>
      <c r="BR746" s="588" t="n"/>
      <c r="BS746" s="588" t="n"/>
      <c r="BT746" s="588" t="n"/>
      <c r="BU746" s="588" t="n"/>
      <c r="BV746" s="588" t="n"/>
      <c r="BW746" s="588" t="n"/>
      <c r="BX746" s="588" t="n"/>
      <c r="BY746" s="588" t="n"/>
      <c r="BZ746" s="588" t="n"/>
      <c r="CA746" s="588" t="n"/>
      <c r="CB746" s="588" t="n"/>
      <c r="CC746" s="588" t="n"/>
      <c r="CD746" s="588" t="n"/>
      <c r="CE746" s="588" t="n"/>
      <c r="CF746" s="588" t="n"/>
      <c r="CG746" s="588" t="n"/>
      <c r="CH746" s="588" t="n"/>
      <c r="CI746" s="588" t="n"/>
      <c r="CJ746" s="588" t="n"/>
      <c r="CK746" s="588" t="n"/>
      <c r="CL746" s="588" t="n"/>
      <c r="CM746" s="588" t="n"/>
      <c r="CN746" s="588" t="n"/>
      <c r="CO746" s="588" t="n"/>
      <c r="CP746" s="588" t="n"/>
      <c r="CQ746" s="588" t="n"/>
      <c r="CR746" s="588" t="n"/>
      <c r="CS746" s="588" t="n"/>
      <c r="CT746" s="588" t="n"/>
      <c r="CU746" s="588" t="n"/>
      <c r="CV746" s="588" t="n"/>
      <c r="CW746" s="588" t="n"/>
      <c r="CX746" s="588" t="n"/>
      <c r="CY746" s="588" t="n"/>
      <c r="CZ746" s="588" t="n"/>
      <c r="DA746" s="588" t="n"/>
      <c r="DB746" s="588" t="n"/>
      <c r="DC746" s="588" t="n"/>
      <c r="DD746" s="588" t="n"/>
      <c r="DE746" s="588" t="n"/>
      <c r="DF746" s="588" t="n"/>
      <c r="DG746" s="588" t="n"/>
      <c r="DH746" s="588" t="n"/>
      <c r="DI746" s="588" t="n"/>
      <c r="DJ746" s="588" t="n"/>
      <c r="DK746" s="588" t="n"/>
      <c r="DL746" s="588" t="n"/>
      <c r="DM746" s="588" t="n"/>
      <c r="DN746" s="588" t="n"/>
      <c r="DO746" s="588" t="n"/>
      <c r="DP746" s="588" t="n"/>
      <c r="DQ746" s="588" t="n"/>
      <c r="DR746" s="588" t="n"/>
      <c r="DS746" s="588" t="n"/>
      <c r="DT746" s="588" t="n"/>
      <c r="DU746" s="588" t="n"/>
    </row>
    <row r="747">
      <c r="A747" s="737" t="n"/>
      <c r="B747" s="737" t="n"/>
      <c r="C747" s="737" t="n"/>
      <c r="D747" s="737" t="n"/>
      <c r="E747" s="737" t="n"/>
      <c r="F747" s="737" t="n"/>
      <c r="G747" s="737" t="n"/>
      <c r="H747" s="737" t="n"/>
      <c r="I747" s="737" t="n"/>
      <c r="J747" s="737" t="n"/>
      <c r="K747" s="737" t="n"/>
      <c r="L747" s="737" t="n"/>
      <c r="M747" s="737" t="n"/>
      <c r="N747" s="737" t="n"/>
      <c r="O747" s="737" t="n"/>
      <c r="P747" s="737" t="n"/>
      <c r="Q747" s="737" t="n"/>
      <c r="R747" s="737" t="n"/>
      <c r="S747" s="737" t="n"/>
      <c r="T747" s="737" t="n"/>
      <c r="U747" s="737" t="n"/>
      <c r="V747" s="737" t="n"/>
      <c r="W747" s="737" t="n"/>
      <c r="X747" s="737" t="n"/>
      <c r="Y747" s="737" t="n"/>
      <c r="Z747" s="737" t="n"/>
      <c r="AA747" s="737" t="n"/>
      <c r="AB747" s="737" t="n"/>
      <c r="AC747" s="737" t="n"/>
      <c r="AD747" s="737" t="n"/>
      <c r="AE747" s="737" t="n"/>
      <c r="AF747" s="737" t="n"/>
      <c r="AG747" s="737" t="n"/>
      <c r="AH747" s="737" t="n"/>
      <c r="AI747" s="737" t="n"/>
      <c r="AJ747" s="737" t="n"/>
      <c r="AK747" s="588" t="n"/>
      <c r="AL747" s="588" t="n"/>
      <c r="AM747" s="588" t="n"/>
      <c r="AN747" s="588" t="n"/>
      <c r="AO747" s="588" t="n"/>
      <c r="AP747" s="588" t="n"/>
      <c r="AQ747" s="588" t="n"/>
      <c r="AR747" s="588" t="n"/>
      <c r="AS747" s="588" t="n"/>
      <c r="AT747" s="588" t="n"/>
      <c r="AU747" s="588" t="n"/>
      <c r="AV747" s="588" t="n"/>
      <c r="AW747" s="588" t="n"/>
      <c r="AX747" s="588" t="n"/>
      <c r="AY747" s="588" t="n"/>
      <c r="AZ747" s="588" t="n"/>
      <c r="BA747" s="588" t="n"/>
      <c r="BB747" s="588" t="n"/>
      <c r="BC747" s="588" t="n"/>
      <c r="BD747" s="588" t="n"/>
      <c r="BE747" s="588" t="n"/>
      <c r="BF747" s="588" t="n"/>
      <c r="BG747" s="588" t="n"/>
      <c r="BH747" s="588" t="n"/>
      <c r="BI747" s="588" t="n"/>
      <c r="BJ747" s="588" t="n"/>
      <c r="BK747" s="588" t="n"/>
      <c r="BL747" s="588" t="n"/>
      <c r="BM747" s="588" t="n"/>
      <c r="BN747" s="588" t="n"/>
      <c r="BO747" s="588" t="n"/>
      <c r="BP747" s="588" t="n"/>
      <c r="BQ747" s="588" t="n"/>
      <c r="BR747" s="588" t="n"/>
      <c r="BS747" s="588" t="n"/>
      <c r="BT747" s="588" t="n"/>
      <c r="BU747" s="588" t="n"/>
      <c r="BV747" s="588" t="n"/>
      <c r="BW747" s="588" t="n"/>
      <c r="BX747" s="588" t="n"/>
      <c r="BY747" s="588" t="n"/>
      <c r="BZ747" s="588" t="n"/>
      <c r="CA747" s="588" t="n"/>
      <c r="CB747" s="588" t="n"/>
      <c r="CC747" s="588" t="n"/>
      <c r="CD747" s="588" t="n"/>
      <c r="CE747" s="588" t="n"/>
      <c r="CF747" s="588" t="n"/>
      <c r="CG747" s="588" t="n"/>
      <c r="CH747" s="588" t="n"/>
      <c r="CI747" s="588" t="n"/>
      <c r="CJ747" s="588" t="n"/>
      <c r="CK747" s="588" t="n"/>
      <c r="CL747" s="588" t="n"/>
      <c r="CM747" s="588" t="n"/>
      <c r="CN747" s="588" t="n"/>
      <c r="CO747" s="588" t="n"/>
      <c r="CP747" s="588" t="n"/>
      <c r="CQ747" s="588" t="n"/>
      <c r="CR747" s="588" t="n"/>
      <c r="CS747" s="588" t="n"/>
      <c r="CT747" s="588" t="n"/>
      <c r="CU747" s="588" t="n"/>
      <c r="CV747" s="588" t="n"/>
      <c r="CW747" s="588" t="n"/>
      <c r="CX747" s="588" t="n"/>
      <c r="CY747" s="588" t="n"/>
      <c r="CZ747" s="588" t="n"/>
      <c r="DA747" s="588" t="n"/>
      <c r="DB747" s="588" t="n"/>
      <c r="DC747" s="588" t="n"/>
      <c r="DD747" s="588" t="n"/>
      <c r="DE747" s="588" t="n"/>
      <c r="DF747" s="588" t="n"/>
      <c r="DG747" s="588" t="n"/>
      <c r="DH747" s="588" t="n"/>
      <c r="DI747" s="588" t="n"/>
      <c r="DJ747" s="588" t="n"/>
      <c r="DK747" s="588" t="n"/>
      <c r="DL747" s="588" t="n"/>
      <c r="DM747" s="588" t="n"/>
      <c r="DN747" s="588" t="n"/>
      <c r="DO747" s="588" t="n"/>
      <c r="DP747" s="588" t="n"/>
      <c r="DQ747" s="588" t="n"/>
      <c r="DR747" s="588" t="n"/>
      <c r="DS747" s="588" t="n"/>
      <c r="DT747" s="588" t="n"/>
      <c r="DU747" s="588" t="n"/>
    </row>
    <row r="748">
      <c r="A748" s="737" t="n"/>
      <c r="B748" s="737" t="n"/>
      <c r="C748" s="737" t="n"/>
      <c r="D748" s="737" t="n"/>
      <c r="E748" s="737" t="n"/>
      <c r="F748" s="737" t="n"/>
      <c r="G748" s="737" t="n"/>
      <c r="H748" s="737" t="n"/>
      <c r="I748" s="737" t="n"/>
      <c r="J748" s="737" t="n"/>
      <c r="K748" s="737" t="n"/>
      <c r="L748" s="737" t="n"/>
      <c r="M748" s="737" t="n"/>
      <c r="N748" s="737" t="n"/>
      <c r="O748" s="737" t="n"/>
      <c r="P748" s="737" t="n"/>
      <c r="Q748" s="737" t="n"/>
      <c r="R748" s="737" t="n"/>
      <c r="S748" s="737" t="n"/>
      <c r="T748" s="737" t="n"/>
      <c r="U748" s="737" t="n"/>
      <c r="V748" s="737" t="n"/>
      <c r="W748" s="737" t="n"/>
      <c r="X748" s="737" t="n"/>
      <c r="Y748" s="737" t="n"/>
      <c r="Z748" s="737" t="n"/>
      <c r="AA748" s="737" t="n"/>
      <c r="AB748" s="737" t="n"/>
      <c r="AC748" s="737" t="n"/>
      <c r="AD748" s="737" t="n"/>
      <c r="AE748" s="737" t="n"/>
      <c r="AF748" s="737" t="n"/>
      <c r="AG748" s="737" t="n"/>
      <c r="AH748" s="737" t="n"/>
      <c r="AI748" s="737" t="n"/>
      <c r="AJ748" s="737" t="n"/>
      <c r="AK748" s="588" t="n"/>
      <c r="AL748" s="588" t="n"/>
      <c r="AM748" s="588" t="n"/>
      <c r="AN748" s="588" t="n"/>
      <c r="AO748" s="588" t="n"/>
      <c r="AP748" s="588" t="n"/>
      <c r="AQ748" s="588" t="n"/>
      <c r="AR748" s="588" t="n"/>
      <c r="AS748" s="588" t="n"/>
      <c r="AT748" s="588" t="n"/>
      <c r="AU748" s="588" t="n"/>
      <c r="AV748" s="588" t="n"/>
      <c r="AW748" s="588" t="n"/>
      <c r="AX748" s="588" t="n"/>
      <c r="AY748" s="588" t="n"/>
      <c r="AZ748" s="588" t="n"/>
      <c r="BA748" s="588" t="n"/>
      <c r="BB748" s="588" t="n"/>
      <c r="BC748" s="588" t="n"/>
      <c r="BD748" s="588" t="n"/>
      <c r="BE748" s="588" t="n"/>
      <c r="BF748" s="588" t="n"/>
      <c r="BG748" s="588" t="n"/>
      <c r="BH748" s="588" t="n"/>
      <c r="BI748" s="588" t="n"/>
      <c r="BJ748" s="588" t="n"/>
      <c r="BK748" s="588" t="n"/>
      <c r="BL748" s="588" t="n"/>
      <c r="BM748" s="588" t="n"/>
      <c r="BN748" s="588" t="n"/>
      <c r="BO748" s="588" t="n"/>
      <c r="BP748" s="588" t="n"/>
      <c r="BQ748" s="588" t="n"/>
      <c r="BR748" s="588" t="n"/>
      <c r="BS748" s="588" t="n"/>
      <c r="BT748" s="588" t="n"/>
      <c r="BU748" s="588" t="n"/>
      <c r="BV748" s="588" t="n"/>
      <c r="BW748" s="588" t="n"/>
      <c r="BX748" s="588" t="n"/>
      <c r="BY748" s="588" t="n"/>
      <c r="BZ748" s="588" t="n"/>
      <c r="CA748" s="588" t="n"/>
      <c r="CB748" s="588" t="n"/>
      <c r="CC748" s="588" t="n"/>
      <c r="CD748" s="588" t="n"/>
      <c r="CE748" s="588" t="n"/>
      <c r="CF748" s="588" t="n"/>
      <c r="CG748" s="588" t="n"/>
      <c r="CH748" s="588" t="n"/>
      <c r="CI748" s="588" t="n"/>
      <c r="CJ748" s="588" t="n"/>
      <c r="CK748" s="588" t="n"/>
      <c r="CL748" s="588" t="n"/>
      <c r="CM748" s="588" t="n"/>
      <c r="CN748" s="588" t="n"/>
      <c r="CO748" s="588" t="n"/>
      <c r="CP748" s="588" t="n"/>
      <c r="CQ748" s="588" t="n"/>
      <c r="CR748" s="588" t="n"/>
      <c r="CS748" s="588" t="n"/>
      <c r="CT748" s="588" t="n"/>
      <c r="CU748" s="588" t="n"/>
      <c r="CV748" s="588" t="n"/>
      <c r="CW748" s="588" t="n"/>
      <c r="CX748" s="588" t="n"/>
      <c r="CY748" s="588" t="n"/>
      <c r="CZ748" s="588" t="n"/>
      <c r="DA748" s="588" t="n"/>
      <c r="DB748" s="588" t="n"/>
      <c r="DC748" s="588" t="n"/>
      <c r="DD748" s="588" t="n"/>
      <c r="DE748" s="588" t="n"/>
      <c r="DF748" s="588" t="n"/>
      <c r="DG748" s="588" t="n"/>
      <c r="DH748" s="588" t="n"/>
      <c r="DI748" s="588" t="n"/>
      <c r="DJ748" s="588" t="n"/>
      <c r="DK748" s="588" t="n"/>
      <c r="DL748" s="588" t="n"/>
      <c r="DM748" s="588" t="n"/>
      <c r="DN748" s="588" t="n"/>
      <c r="DO748" s="588" t="n"/>
      <c r="DP748" s="588" t="n"/>
      <c r="DQ748" s="588" t="n"/>
      <c r="DR748" s="588" t="n"/>
      <c r="DS748" s="588" t="n"/>
      <c r="DT748" s="588" t="n"/>
      <c r="DU748" s="588" t="n"/>
    </row>
    <row r="749">
      <c r="A749" s="737" t="n"/>
      <c r="B749" s="737" t="n"/>
      <c r="C749" s="737" t="n"/>
      <c r="D749" s="737" t="n"/>
      <c r="E749" s="737" t="n"/>
      <c r="F749" s="737" t="n"/>
      <c r="G749" s="737" t="n"/>
      <c r="H749" s="737" t="n"/>
      <c r="I749" s="737" t="n"/>
      <c r="J749" s="737" t="n"/>
      <c r="K749" s="737" t="n"/>
      <c r="L749" s="737" t="n"/>
      <c r="M749" s="737" t="n"/>
      <c r="N749" s="737" t="n"/>
      <c r="O749" s="737" t="n"/>
      <c r="P749" s="737" t="n"/>
      <c r="Q749" s="737" t="n"/>
      <c r="R749" s="737" t="n"/>
      <c r="S749" s="737" t="n"/>
      <c r="T749" s="737" t="n"/>
      <c r="U749" s="737" t="n"/>
      <c r="V749" s="737" t="n"/>
      <c r="W749" s="737" t="n"/>
      <c r="X749" s="737" t="n"/>
      <c r="Y749" s="737" t="n"/>
      <c r="Z749" s="737" t="n"/>
      <c r="AA749" s="737" t="n"/>
      <c r="AB749" s="737" t="n"/>
      <c r="AC749" s="737" t="n"/>
      <c r="AD749" s="737" t="n"/>
      <c r="AE749" s="737" t="n"/>
      <c r="AF749" s="737" t="n"/>
      <c r="AG749" s="737" t="n"/>
      <c r="AH749" s="737" t="n"/>
      <c r="AI749" s="737" t="n"/>
      <c r="AJ749" s="737" t="n"/>
      <c r="AK749" s="588" t="n"/>
      <c r="AL749" s="588" t="n"/>
      <c r="AM749" s="588" t="n"/>
      <c r="AN749" s="588" t="n"/>
      <c r="AO749" s="588" t="n"/>
      <c r="AP749" s="588" t="n"/>
      <c r="AQ749" s="588" t="n"/>
      <c r="AR749" s="588" t="n"/>
      <c r="AS749" s="588" t="n"/>
      <c r="AT749" s="588" t="n"/>
      <c r="AU749" s="588" t="n"/>
      <c r="AV749" s="588" t="n"/>
      <c r="AW749" s="588" t="n"/>
      <c r="AX749" s="588" t="n"/>
      <c r="AY749" s="588" t="n"/>
      <c r="AZ749" s="588" t="n"/>
      <c r="BA749" s="588" t="n"/>
      <c r="BB749" s="588" t="n"/>
      <c r="BC749" s="588" t="n"/>
      <c r="BD749" s="588" t="n"/>
      <c r="BE749" s="588" t="n"/>
      <c r="BF749" s="588" t="n"/>
      <c r="BG749" s="588" t="n"/>
      <c r="BH749" s="588" t="n"/>
      <c r="BI749" s="588" t="n"/>
      <c r="BJ749" s="588" t="n"/>
      <c r="BK749" s="588" t="n"/>
      <c r="BL749" s="588" t="n"/>
      <c r="BM749" s="588" t="n"/>
      <c r="BN749" s="588" t="n"/>
      <c r="BO749" s="588" t="n"/>
      <c r="BP749" s="588" t="n"/>
      <c r="BQ749" s="588" t="n"/>
      <c r="BR749" s="588" t="n"/>
      <c r="BS749" s="588" t="n"/>
      <c r="BT749" s="588" t="n"/>
      <c r="BU749" s="588" t="n"/>
      <c r="BV749" s="588" t="n"/>
      <c r="BW749" s="588" t="n"/>
      <c r="BX749" s="588" t="n"/>
      <c r="BY749" s="588" t="n"/>
      <c r="BZ749" s="588" t="n"/>
      <c r="CA749" s="588" t="n"/>
      <c r="CB749" s="588" t="n"/>
      <c r="CC749" s="588" t="n"/>
      <c r="CD749" s="588" t="n"/>
      <c r="CE749" s="588" t="n"/>
      <c r="CF749" s="588" t="n"/>
      <c r="CG749" s="588" t="n"/>
      <c r="CH749" s="588" t="n"/>
      <c r="CI749" s="588" t="n"/>
      <c r="CJ749" s="588" t="n"/>
      <c r="CK749" s="588" t="n"/>
      <c r="CL749" s="588" t="n"/>
      <c r="CM749" s="588" t="n"/>
      <c r="CN749" s="588" t="n"/>
      <c r="CO749" s="588" t="n"/>
      <c r="CP749" s="588" t="n"/>
      <c r="CQ749" s="588" t="n"/>
      <c r="CR749" s="588" t="n"/>
      <c r="CS749" s="588" t="n"/>
      <c r="CT749" s="588" t="n"/>
      <c r="CU749" s="588" t="n"/>
      <c r="CV749" s="588" t="n"/>
      <c r="CW749" s="588" t="n"/>
      <c r="CX749" s="588" t="n"/>
      <c r="CY749" s="588" t="n"/>
      <c r="CZ749" s="588" t="n"/>
      <c r="DA749" s="588" t="n"/>
      <c r="DB749" s="588" t="n"/>
      <c r="DC749" s="588" t="n"/>
      <c r="DD749" s="588" t="n"/>
      <c r="DE749" s="588" t="n"/>
      <c r="DF749" s="588" t="n"/>
      <c r="DG749" s="588" t="n"/>
      <c r="DH749" s="588" t="n"/>
      <c r="DI749" s="588" t="n"/>
      <c r="DJ749" s="588" t="n"/>
      <c r="DK749" s="588" t="n"/>
      <c r="DL749" s="588" t="n"/>
      <c r="DM749" s="588" t="n"/>
      <c r="DN749" s="588" t="n"/>
      <c r="DO749" s="588" t="n"/>
      <c r="DP749" s="588" t="n"/>
      <c r="DQ749" s="588" t="n"/>
      <c r="DR749" s="588" t="n"/>
      <c r="DS749" s="588" t="n"/>
      <c r="DT749" s="588" t="n"/>
      <c r="DU749" s="588" t="n"/>
    </row>
    <row r="750">
      <c r="A750" s="737" t="n"/>
      <c r="B750" s="737" t="n"/>
      <c r="C750" s="737" t="n"/>
      <c r="D750" s="737" t="n"/>
      <c r="E750" s="737" t="n"/>
      <c r="F750" s="737" t="n"/>
      <c r="G750" s="737" t="n"/>
      <c r="H750" s="737" t="n"/>
      <c r="I750" s="737" t="n"/>
      <c r="J750" s="737" t="n"/>
      <c r="K750" s="737" t="n"/>
      <c r="L750" s="737" t="n"/>
      <c r="M750" s="737" t="n"/>
      <c r="N750" s="737" t="n"/>
      <c r="O750" s="737" t="n"/>
      <c r="P750" s="737" t="n"/>
      <c r="Q750" s="737" t="n"/>
      <c r="R750" s="737" t="n"/>
      <c r="S750" s="737" t="n"/>
      <c r="T750" s="737" t="n"/>
      <c r="U750" s="737" t="n"/>
      <c r="V750" s="737" t="n"/>
      <c r="W750" s="737" t="n"/>
      <c r="X750" s="737" t="n"/>
      <c r="Y750" s="737" t="n"/>
      <c r="Z750" s="737" t="n"/>
      <c r="AA750" s="737" t="n"/>
      <c r="AB750" s="737" t="n"/>
      <c r="AC750" s="737" t="n"/>
      <c r="AD750" s="737" t="n"/>
      <c r="AE750" s="737" t="n"/>
      <c r="AF750" s="737" t="n"/>
      <c r="AG750" s="737" t="n"/>
      <c r="AH750" s="737" t="n"/>
      <c r="AI750" s="737" t="n"/>
      <c r="AJ750" s="737" t="n"/>
      <c r="AK750" s="588" t="n"/>
      <c r="AL750" s="588" t="n"/>
      <c r="AM750" s="588" t="n"/>
      <c r="AN750" s="588" t="n"/>
      <c r="AO750" s="588" t="n"/>
      <c r="AP750" s="588" t="n"/>
      <c r="AQ750" s="588" t="n"/>
      <c r="AR750" s="588" t="n"/>
      <c r="AS750" s="588" t="n"/>
      <c r="AT750" s="588" t="n"/>
      <c r="AU750" s="588" t="n"/>
      <c r="AV750" s="588" t="n"/>
      <c r="AW750" s="588" t="n"/>
      <c r="AX750" s="588" t="n"/>
      <c r="AY750" s="588" t="n"/>
      <c r="AZ750" s="588" t="n"/>
      <c r="BA750" s="588" t="n"/>
      <c r="BB750" s="588" t="n"/>
      <c r="BC750" s="588" t="n"/>
      <c r="BD750" s="588" t="n"/>
      <c r="BE750" s="588" t="n"/>
      <c r="BF750" s="588" t="n"/>
      <c r="BG750" s="588" t="n"/>
      <c r="BH750" s="588" t="n"/>
      <c r="BI750" s="588" t="n"/>
      <c r="BJ750" s="588" t="n"/>
      <c r="BK750" s="588" t="n"/>
      <c r="BL750" s="588" t="n"/>
      <c r="BM750" s="588" t="n"/>
      <c r="BN750" s="588" t="n"/>
      <c r="BO750" s="588" t="n"/>
      <c r="BP750" s="588" t="n"/>
      <c r="BQ750" s="588" t="n"/>
      <c r="BR750" s="588" t="n"/>
      <c r="BS750" s="588" t="n"/>
      <c r="BT750" s="588" t="n"/>
      <c r="BU750" s="588" t="n"/>
      <c r="BV750" s="588" t="n"/>
      <c r="BW750" s="588" t="n"/>
      <c r="BX750" s="588" t="n"/>
      <c r="BY750" s="588" t="n"/>
      <c r="BZ750" s="588" t="n"/>
      <c r="CA750" s="588" t="n"/>
      <c r="CB750" s="588" t="n"/>
      <c r="CC750" s="588" t="n"/>
      <c r="CD750" s="588" t="n"/>
      <c r="CE750" s="588" t="n"/>
      <c r="CF750" s="588" t="n"/>
      <c r="CG750" s="588" t="n"/>
      <c r="CH750" s="588" t="n"/>
      <c r="CI750" s="588" t="n"/>
      <c r="CJ750" s="588" t="n"/>
      <c r="CK750" s="588" t="n"/>
      <c r="CL750" s="588" t="n"/>
      <c r="CM750" s="588" t="n"/>
      <c r="CN750" s="588" t="n"/>
      <c r="CO750" s="588" t="n"/>
      <c r="CP750" s="588" t="n"/>
      <c r="CQ750" s="588" t="n"/>
      <c r="CR750" s="588" t="n"/>
      <c r="CS750" s="588" t="n"/>
      <c r="CT750" s="588" t="n"/>
      <c r="CU750" s="588" t="n"/>
      <c r="CV750" s="588" t="n"/>
      <c r="CW750" s="588" t="n"/>
      <c r="CX750" s="588" t="n"/>
      <c r="CY750" s="588" t="n"/>
      <c r="CZ750" s="588" t="n"/>
      <c r="DA750" s="588" t="n"/>
      <c r="DB750" s="588" t="n"/>
      <c r="DC750" s="588" t="n"/>
      <c r="DD750" s="588" t="n"/>
      <c r="DE750" s="588" t="n"/>
      <c r="DF750" s="588" t="n"/>
      <c r="DG750" s="588" t="n"/>
      <c r="DH750" s="588" t="n"/>
      <c r="DI750" s="588" t="n"/>
      <c r="DJ750" s="588" t="n"/>
      <c r="DK750" s="588" t="n"/>
      <c r="DL750" s="588" t="n"/>
      <c r="DM750" s="588" t="n"/>
      <c r="DN750" s="588" t="n"/>
      <c r="DO750" s="588" t="n"/>
      <c r="DP750" s="588" t="n"/>
      <c r="DQ750" s="588" t="n"/>
      <c r="DR750" s="588" t="n"/>
      <c r="DS750" s="588" t="n"/>
      <c r="DT750" s="588" t="n"/>
      <c r="DU750" s="588" t="n"/>
    </row>
    <row r="751">
      <c r="A751" s="737" t="n"/>
      <c r="B751" s="737" t="n"/>
      <c r="C751" s="737" t="n"/>
      <c r="D751" s="737" t="n"/>
      <c r="E751" s="737" t="n"/>
      <c r="F751" s="737" t="n"/>
      <c r="G751" s="737" t="n"/>
      <c r="H751" s="737" t="n"/>
      <c r="I751" s="737" t="n"/>
      <c r="J751" s="737" t="n"/>
      <c r="K751" s="737" t="n"/>
      <c r="L751" s="737" t="n"/>
      <c r="M751" s="737" t="n"/>
      <c r="N751" s="737" t="n"/>
      <c r="O751" s="737" t="n"/>
      <c r="P751" s="737" t="n"/>
      <c r="Q751" s="737" t="n"/>
      <c r="R751" s="737" t="n"/>
      <c r="S751" s="737" t="n"/>
      <c r="T751" s="737" t="n"/>
      <c r="U751" s="737" t="n"/>
      <c r="V751" s="737" t="n"/>
      <c r="W751" s="737" t="n"/>
      <c r="X751" s="737" t="n"/>
      <c r="Y751" s="737" t="n"/>
      <c r="Z751" s="737" t="n"/>
      <c r="AA751" s="737" t="n"/>
      <c r="AB751" s="737" t="n"/>
      <c r="AC751" s="737" t="n"/>
      <c r="AD751" s="737" t="n"/>
      <c r="AE751" s="737" t="n"/>
      <c r="AF751" s="737" t="n"/>
      <c r="AG751" s="737" t="n"/>
      <c r="AH751" s="737" t="n"/>
      <c r="AI751" s="737" t="n"/>
      <c r="AJ751" s="737" t="n"/>
      <c r="AK751" s="588" t="n"/>
      <c r="AL751" s="588" t="n"/>
      <c r="AM751" s="588" t="n"/>
      <c r="AN751" s="588" t="n"/>
      <c r="AO751" s="588" t="n"/>
      <c r="AP751" s="588" t="n"/>
      <c r="AQ751" s="588" t="n"/>
      <c r="AR751" s="588" t="n"/>
      <c r="AS751" s="588" t="n"/>
      <c r="AT751" s="588" t="n"/>
      <c r="AU751" s="588" t="n"/>
      <c r="AV751" s="588" t="n"/>
      <c r="AW751" s="588" t="n"/>
      <c r="AX751" s="588" t="n"/>
      <c r="AY751" s="588" t="n"/>
      <c r="AZ751" s="588" t="n"/>
      <c r="BA751" s="588" t="n"/>
      <c r="BB751" s="588" t="n"/>
      <c r="BC751" s="588" t="n"/>
      <c r="BD751" s="588" t="n"/>
      <c r="BE751" s="588" t="n"/>
      <c r="BF751" s="588" t="n"/>
      <c r="BG751" s="588" t="n"/>
      <c r="BH751" s="588" t="n"/>
      <c r="BI751" s="588" t="n"/>
      <c r="BJ751" s="588" t="n"/>
      <c r="BK751" s="588" t="n"/>
      <c r="BL751" s="588" t="n"/>
      <c r="BM751" s="588" t="n"/>
      <c r="BN751" s="588" t="n"/>
      <c r="BO751" s="588" t="n"/>
      <c r="BP751" s="588" t="n"/>
      <c r="BQ751" s="588" t="n"/>
      <c r="BR751" s="588" t="n"/>
      <c r="BS751" s="588" t="n"/>
      <c r="BT751" s="588" t="n"/>
      <c r="BU751" s="588" t="n"/>
      <c r="BV751" s="588" t="n"/>
      <c r="BW751" s="588" t="n"/>
      <c r="BX751" s="588" t="n"/>
      <c r="BY751" s="588" t="n"/>
      <c r="BZ751" s="588" t="n"/>
      <c r="CA751" s="588" t="n"/>
      <c r="CB751" s="588" t="n"/>
      <c r="CC751" s="588" t="n"/>
      <c r="CD751" s="588" t="n"/>
      <c r="CE751" s="588" t="n"/>
      <c r="CF751" s="588" t="n"/>
      <c r="CG751" s="588" t="n"/>
      <c r="CH751" s="588" t="n"/>
      <c r="CI751" s="588" t="n"/>
      <c r="CJ751" s="588" t="n"/>
      <c r="CK751" s="588" t="n"/>
      <c r="CL751" s="588" t="n"/>
      <c r="CM751" s="588" t="n"/>
      <c r="CN751" s="588" t="n"/>
      <c r="CO751" s="588" t="n"/>
      <c r="CP751" s="588" t="n"/>
      <c r="CQ751" s="588" t="n"/>
      <c r="CR751" s="588" t="n"/>
      <c r="CS751" s="588" t="n"/>
      <c r="CT751" s="588" t="n"/>
      <c r="CU751" s="588" t="n"/>
      <c r="CV751" s="588" t="n"/>
      <c r="CW751" s="588" t="n"/>
      <c r="CX751" s="588" t="n"/>
      <c r="CY751" s="588" t="n"/>
      <c r="CZ751" s="588" t="n"/>
      <c r="DA751" s="588" t="n"/>
      <c r="DB751" s="588" t="n"/>
      <c r="DC751" s="588" t="n"/>
      <c r="DD751" s="588" t="n"/>
      <c r="DE751" s="588" t="n"/>
      <c r="DF751" s="588" t="n"/>
      <c r="DG751" s="588" t="n"/>
      <c r="DH751" s="588" t="n"/>
      <c r="DI751" s="588" t="n"/>
      <c r="DJ751" s="588" t="n"/>
      <c r="DK751" s="588" t="n"/>
      <c r="DL751" s="588" t="n"/>
      <c r="DM751" s="588" t="n"/>
      <c r="DN751" s="588" t="n"/>
      <c r="DO751" s="588" t="n"/>
      <c r="DP751" s="588" t="n"/>
      <c r="DQ751" s="588" t="n"/>
      <c r="DR751" s="588" t="n"/>
      <c r="DS751" s="588" t="n"/>
      <c r="DT751" s="588" t="n"/>
      <c r="DU751" s="588" t="n"/>
    </row>
    <row r="752">
      <c r="A752" s="737" t="n"/>
      <c r="B752" s="737" t="n"/>
      <c r="C752" s="737" t="n"/>
      <c r="D752" s="737" t="n"/>
      <c r="E752" s="737" t="n"/>
      <c r="F752" s="737" t="n"/>
      <c r="G752" s="737" t="n"/>
      <c r="H752" s="737" t="n"/>
      <c r="I752" s="737" t="n"/>
      <c r="J752" s="737" t="n"/>
      <c r="K752" s="737" t="n"/>
      <c r="L752" s="737" t="n"/>
      <c r="M752" s="737" t="n"/>
      <c r="N752" s="737" t="n"/>
      <c r="O752" s="737" t="n"/>
      <c r="P752" s="737" t="n"/>
      <c r="Q752" s="737" t="n"/>
      <c r="R752" s="737" t="n"/>
      <c r="S752" s="737" t="n"/>
      <c r="T752" s="737" t="n"/>
      <c r="U752" s="737" t="n"/>
      <c r="V752" s="737" t="n"/>
      <c r="W752" s="737" t="n"/>
      <c r="X752" s="737" t="n"/>
      <c r="Y752" s="737" t="n"/>
      <c r="Z752" s="737" t="n"/>
      <c r="AA752" s="737" t="n"/>
      <c r="AB752" s="737" t="n"/>
      <c r="AC752" s="737" t="n"/>
      <c r="AD752" s="737" t="n"/>
      <c r="AE752" s="737" t="n"/>
      <c r="AF752" s="737" t="n"/>
      <c r="AG752" s="737" t="n"/>
      <c r="AH752" s="737" t="n"/>
      <c r="AI752" s="737" t="n"/>
      <c r="AJ752" s="737" t="n"/>
      <c r="AK752" s="588" t="n"/>
      <c r="AL752" s="588" t="n"/>
      <c r="AM752" s="588" t="n"/>
      <c r="AN752" s="588" t="n"/>
      <c r="AO752" s="588" t="n"/>
      <c r="AP752" s="588" t="n"/>
      <c r="AQ752" s="588" t="n"/>
      <c r="AR752" s="588" t="n"/>
      <c r="AS752" s="588" t="n"/>
      <c r="AT752" s="588" t="n"/>
      <c r="AU752" s="588" t="n"/>
      <c r="AV752" s="588" t="n"/>
      <c r="AW752" s="588" t="n"/>
      <c r="AX752" s="588" t="n"/>
      <c r="AY752" s="588" t="n"/>
      <c r="AZ752" s="588" t="n"/>
      <c r="BA752" s="588" t="n"/>
      <c r="BB752" s="588" t="n"/>
      <c r="BC752" s="588" t="n"/>
      <c r="BD752" s="588" t="n"/>
      <c r="BE752" s="588" t="n"/>
      <c r="BF752" s="588" t="n"/>
      <c r="BG752" s="588" t="n"/>
      <c r="BH752" s="588" t="n"/>
      <c r="BI752" s="588" t="n"/>
      <c r="BJ752" s="588" t="n"/>
      <c r="BK752" s="588" t="n"/>
      <c r="BL752" s="588" t="n"/>
      <c r="BM752" s="588" t="n"/>
      <c r="BN752" s="588" t="n"/>
      <c r="BO752" s="588" t="n"/>
      <c r="BP752" s="588" t="n"/>
      <c r="BQ752" s="588" t="n"/>
      <c r="BR752" s="588" t="n"/>
      <c r="BS752" s="588" t="n"/>
      <c r="BT752" s="588" t="n"/>
      <c r="BU752" s="588" t="n"/>
      <c r="BV752" s="588" t="n"/>
      <c r="BW752" s="588" t="n"/>
      <c r="BX752" s="588" t="n"/>
      <c r="BY752" s="588" t="n"/>
      <c r="BZ752" s="588" t="n"/>
      <c r="CA752" s="588" t="n"/>
      <c r="CB752" s="588" t="n"/>
      <c r="CC752" s="588" t="n"/>
      <c r="CD752" s="588" t="n"/>
      <c r="CE752" s="588" t="n"/>
      <c r="CF752" s="588" t="n"/>
      <c r="CG752" s="588" t="n"/>
      <c r="CH752" s="588" t="n"/>
      <c r="CI752" s="588" t="n"/>
      <c r="CJ752" s="588" t="n"/>
      <c r="CK752" s="588" t="n"/>
      <c r="CL752" s="588" t="n"/>
      <c r="CM752" s="588" t="n"/>
      <c r="CN752" s="588" t="n"/>
      <c r="CO752" s="588" t="n"/>
      <c r="CP752" s="588" t="n"/>
      <c r="CQ752" s="588" t="n"/>
      <c r="CR752" s="588" t="n"/>
      <c r="CS752" s="588" t="n"/>
      <c r="CT752" s="588" t="n"/>
      <c r="CU752" s="588" t="n"/>
      <c r="CV752" s="588" t="n"/>
      <c r="CW752" s="588" t="n"/>
      <c r="CX752" s="588" t="n"/>
      <c r="CY752" s="588" t="n"/>
      <c r="CZ752" s="588" t="n"/>
      <c r="DA752" s="588" t="n"/>
      <c r="DB752" s="588" t="n"/>
      <c r="DC752" s="588" t="n"/>
      <c r="DD752" s="588" t="n"/>
      <c r="DE752" s="588" t="n"/>
      <c r="DF752" s="588" t="n"/>
      <c r="DG752" s="588" t="n"/>
      <c r="DH752" s="588" t="n"/>
      <c r="DI752" s="588" t="n"/>
      <c r="DJ752" s="588" t="n"/>
      <c r="DK752" s="588" t="n"/>
      <c r="DL752" s="588" t="n"/>
      <c r="DM752" s="588" t="n"/>
      <c r="DN752" s="588" t="n"/>
      <c r="DO752" s="588" t="n"/>
      <c r="DP752" s="588" t="n"/>
      <c r="DQ752" s="588" t="n"/>
      <c r="DR752" s="588" t="n"/>
      <c r="DS752" s="588" t="n"/>
      <c r="DT752" s="588" t="n"/>
      <c r="DU752" s="588" t="n"/>
    </row>
    <row r="753">
      <c r="A753" s="737" t="n"/>
      <c r="B753" s="737" t="n"/>
      <c r="C753" s="737" t="n"/>
      <c r="D753" s="737" t="n"/>
      <c r="E753" s="737" t="n"/>
      <c r="F753" s="737" t="n"/>
      <c r="G753" s="737" t="n"/>
      <c r="H753" s="737" t="n"/>
      <c r="I753" s="737" t="n"/>
      <c r="J753" s="737" t="n"/>
      <c r="K753" s="737" t="n"/>
      <c r="L753" s="737" t="n"/>
      <c r="M753" s="737" t="n"/>
      <c r="N753" s="737" t="n"/>
      <c r="O753" s="737" t="n"/>
      <c r="P753" s="737" t="n"/>
      <c r="Q753" s="737" t="n"/>
      <c r="R753" s="737" t="n"/>
      <c r="S753" s="737" t="n"/>
      <c r="T753" s="737" t="n"/>
      <c r="U753" s="737" t="n"/>
      <c r="V753" s="737" t="n"/>
      <c r="W753" s="737" t="n"/>
      <c r="X753" s="737" t="n"/>
      <c r="Y753" s="737" t="n"/>
      <c r="Z753" s="737" t="n"/>
      <c r="AA753" s="737" t="n"/>
      <c r="AB753" s="737" t="n"/>
      <c r="AC753" s="737" t="n"/>
      <c r="AD753" s="737" t="n"/>
      <c r="AE753" s="737" t="n"/>
      <c r="AF753" s="737" t="n"/>
      <c r="AG753" s="737" t="n"/>
      <c r="AH753" s="737" t="n"/>
      <c r="AI753" s="737" t="n"/>
      <c r="AJ753" s="737" t="n"/>
      <c r="AK753" s="588" t="n"/>
      <c r="AL753" s="588" t="n"/>
      <c r="AM753" s="588" t="n"/>
      <c r="AN753" s="588" t="n"/>
      <c r="AO753" s="588" t="n"/>
      <c r="AP753" s="588" t="n"/>
      <c r="AQ753" s="588" t="n"/>
      <c r="AR753" s="588" t="n"/>
      <c r="AS753" s="588" t="n"/>
      <c r="AT753" s="588" t="n"/>
      <c r="AU753" s="588" t="n"/>
      <c r="AV753" s="588" t="n"/>
      <c r="AW753" s="588" t="n"/>
      <c r="AX753" s="588" t="n"/>
      <c r="AY753" s="588" t="n"/>
      <c r="AZ753" s="588" t="n"/>
      <c r="BA753" s="588" t="n"/>
      <c r="BB753" s="588" t="n"/>
      <c r="BC753" s="588" t="n"/>
      <c r="BD753" s="588" t="n"/>
      <c r="BE753" s="588" t="n"/>
      <c r="BF753" s="588" t="n"/>
      <c r="BG753" s="588" t="n"/>
      <c r="BH753" s="588" t="n"/>
      <c r="BI753" s="588" t="n"/>
      <c r="BJ753" s="588" t="n"/>
      <c r="BK753" s="588" t="n"/>
      <c r="BL753" s="588" t="n"/>
      <c r="BM753" s="588" t="n"/>
      <c r="BN753" s="588" t="n"/>
      <c r="BO753" s="588" t="n"/>
      <c r="BP753" s="588" t="n"/>
      <c r="BQ753" s="588" t="n"/>
      <c r="BR753" s="588" t="n"/>
      <c r="BS753" s="588" t="n"/>
      <c r="BT753" s="588" t="n"/>
      <c r="BU753" s="588" t="n"/>
      <c r="BV753" s="588" t="n"/>
      <c r="BW753" s="588" t="n"/>
      <c r="BX753" s="588" t="n"/>
      <c r="BY753" s="588" t="n"/>
      <c r="BZ753" s="588" t="n"/>
      <c r="CA753" s="588" t="n"/>
      <c r="CB753" s="588" t="n"/>
      <c r="CC753" s="588" t="n"/>
      <c r="CD753" s="588" t="n"/>
      <c r="CE753" s="588" t="n"/>
      <c r="CF753" s="588" t="n"/>
      <c r="CG753" s="588" t="n"/>
      <c r="CH753" s="588" t="n"/>
      <c r="CI753" s="588" t="n"/>
      <c r="CJ753" s="588" t="n"/>
      <c r="CK753" s="588" t="n"/>
      <c r="CL753" s="588" t="n"/>
      <c r="CM753" s="588" t="n"/>
      <c r="CN753" s="588" t="n"/>
      <c r="CO753" s="588" t="n"/>
      <c r="CP753" s="588" t="n"/>
      <c r="CQ753" s="588" t="n"/>
      <c r="CR753" s="588" t="n"/>
      <c r="CS753" s="588" t="n"/>
      <c r="CT753" s="588" t="n"/>
      <c r="CU753" s="588" t="n"/>
      <c r="CV753" s="588" t="n"/>
      <c r="CW753" s="588" t="n"/>
      <c r="CX753" s="588" t="n"/>
      <c r="CY753" s="588" t="n"/>
      <c r="CZ753" s="588" t="n"/>
      <c r="DA753" s="588" t="n"/>
      <c r="DB753" s="588" t="n"/>
      <c r="DC753" s="588" t="n"/>
      <c r="DD753" s="588" t="n"/>
      <c r="DE753" s="588" t="n"/>
      <c r="DF753" s="588" t="n"/>
      <c r="DG753" s="588" t="n"/>
      <c r="DH753" s="588" t="n"/>
      <c r="DI753" s="588" t="n"/>
      <c r="DJ753" s="588" t="n"/>
      <c r="DK753" s="588" t="n"/>
      <c r="DL753" s="588" t="n"/>
      <c r="DM753" s="588" t="n"/>
      <c r="DN753" s="588" t="n"/>
      <c r="DO753" s="588" t="n"/>
      <c r="DP753" s="588" t="n"/>
      <c r="DQ753" s="588" t="n"/>
      <c r="DR753" s="588" t="n"/>
      <c r="DS753" s="588" t="n"/>
      <c r="DT753" s="588" t="n"/>
      <c r="DU753" s="588" t="n"/>
    </row>
    <row r="754">
      <c r="A754" s="737" t="n"/>
      <c r="B754" s="737" t="n"/>
      <c r="C754" s="737" t="n"/>
      <c r="D754" s="737" t="n"/>
      <c r="E754" s="737" t="n"/>
      <c r="F754" s="737" t="n"/>
      <c r="G754" s="737" t="n"/>
      <c r="H754" s="737" t="n"/>
      <c r="I754" s="737" t="n"/>
      <c r="J754" s="737" t="n"/>
      <c r="K754" s="737" t="n"/>
      <c r="L754" s="737" t="n"/>
      <c r="M754" s="737" t="n"/>
      <c r="N754" s="737" t="n"/>
      <c r="O754" s="737" t="n"/>
      <c r="P754" s="737" t="n"/>
      <c r="Q754" s="737" t="n"/>
      <c r="R754" s="737" t="n"/>
      <c r="S754" s="737" t="n"/>
      <c r="T754" s="737" t="n"/>
      <c r="U754" s="737" t="n"/>
      <c r="V754" s="737" t="n"/>
      <c r="W754" s="737" t="n"/>
      <c r="X754" s="737" t="n"/>
      <c r="Y754" s="737" t="n"/>
      <c r="Z754" s="737" t="n"/>
      <c r="AA754" s="737" t="n"/>
      <c r="AB754" s="737" t="n"/>
      <c r="AC754" s="737" t="n"/>
      <c r="AD754" s="737" t="n"/>
      <c r="AE754" s="737" t="n"/>
      <c r="AF754" s="737" t="n"/>
      <c r="AG754" s="737" t="n"/>
      <c r="AH754" s="737" t="n"/>
      <c r="AI754" s="737" t="n"/>
      <c r="AJ754" s="737" t="n"/>
      <c r="AK754" s="588" t="n"/>
      <c r="AL754" s="588" t="n"/>
      <c r="AM754" s="588" t="n"/>
      <c r="AN754" s="588" t="n"/>
      <c r="AO754" s="588" t="n"/>
      <c r="AP754" s="588" t="n"/>
      <c r="AQ754" s="588" t="n"/>
      <c r="AR754" s="588" t="n"/>
      <c r="AS754" s="588" t="n"/>
      <c r="AT754" s="588" t="n"/>
      <c r="AU754" s="588" t="n"/>
      <c r="AV754" s="588" t="n"/>
      <c r="AW754" s="588" t="n"/>
      <c r="AX754" s="588" t="n"/>
      <c r="AY754" s="588" t="n"/>
      <c r="AZ754" s="588" t="n"/>
      <c r="BA754" s="588" t="n"/>
      <c r="BB754" s="588" t="n"/>
      <c r="BC754" s="588" t="n"/>
      <c r="BD754" s="588" t="n"/>
      <c r="BE754" s="588" t="n"/>
      <c r="BF754" s="588" t="n"/>
      <c r="BG754" s="588" t="n"/>
      <c r="BH754" s="588" t="n"/>
      <c r="BI754" s="588" t="n"/>
      <c r="BJ754" s="588" t="n"/>
      <c r="BK754" s="588" t="n"/>
      <c r="BL754" s="588" t="n"/>
      <c r="BM754" s="588" t="n"/>
      <c r="BN754" s="588" t="n"/>
      <c r="BO754" s="588" t="n"/>
      <c r="BP754" s="588" t="n"/>
      <c r="BQ754" s="588" t="n"/>
      <c r="BR754" s="588" t="n"/>
      <c r="BS754" s="588" t="n"/>
      <c r="BT754" s="588" t="n"/>
      <c r="BU754" s="588" t="n"/>
      <c r="BV754" s="588" t="n"/>
      <c r="BW754" s="588" t="n"/>
      <c r="BX754" s="588" t="n"/>
      <c r="BY754" s="588" t="n"/>
      <c r="BZ754" s="588" t="n"/>
      <c r="CA754" s="588" t="n"/>
      <c r="CB754" s="588" t="n"/>
      <c r="CC754" s="588" t="n"/>
      <c r="CD754" s="588" t="n"/>
      <c r="CE754" s="588" t="n"/>
      <c r="CF754" s="588" t="n"/>
      <c r="CG754" s="588" t="n"/>
      <c r="CH754" s="588" t="n"/>
      <c r="CI754" s="588" t="n"/>
      <c r="CJ754" s="588" t="n"/>
      <c r="CK754" s="588" t="n"/>
      <c r="CL754" s="588" t="n"/>
      <c r="CM754" s="588" t="n"/>
      <c r="CN754" s="588" t="n"/>
      <c r="CO754" s="588" t="n"/>
      <c r="CP754" s="588" t="n"/>
      <c r="CQ754" s="588" t="n"/>
      <c r="CR754" s="588" t="n"/>
      <c r="CS754" s="588" t="n"/>
      <c r="CT754" s="588" t="n"/>
      <c r="CU754" s="588" t="n"/>
      <c r="CV754" s="588" t="n"/>
      <c r="CW754" s="588" t="n"/>
      <c r="CX754" s="588" t="n"/>
      <c r="CY754" s="588" t="n"/>
      <c r="CZ754" s="588" t="n"/>
      <c r="DA754" s="588" t="n"/>
      <c r="DB754" s="588" t="n"/>
      <c r="DC754" s="588" t="n"/>
      <c r="DD754" s="588" t="n"/>
      <c r="DE754" s="588" t="n"/>
      <c r="DF754" s="588" t="n"/>
      <c r="DG754" s="588" t="n"/>
      <c r="DH754" s="588" t="n"/>
      <c r="DI754" s="588" t="n"/>
      <c r="DJ754" s="588" t="n"/>
      <c r="DK754" s="588" t="n"/>
      <c r="DL754" s="588" t="n"/>
      <c r="DM754" s="588" t="n"/>
      <c r="DN754" s="588" t="n"/>
      <c r="DO754" s="588" t="n"/>
      <c r="DP754" s="588" t="n"/>
      <c r="DQ754" s="588" t="n"/>
      <c r="DR754" s="588" t="n"/>
      <c r="DS754" s="588" t="n"/>
      <c r="DT754" s="588" t="n"/>
      <c r="DU754" s="588" t="n"/>
    </row>
    <row r="755">
      <c r="A755" s="737" t="n"/>
      <c r="B755" s="737" t="n"/>
      <c r="C755" s="737" t="n"/>
      <c r="D755" s="737" t="n"/>
      <c r="E755" s="737" t="n"/>
      <c r="F755" s="737" t="n"/>
      <c r="G755" s="737" t="n"/>
      <c r="H755" s="737" t="n"/>
      <c r="I755" s="737" t="n"/>
      <c r="J755" s="737" t="n"/>
      <c r="K755" s="737" t="n"/>
      <c r="L755" s="737" t="n"/>
      <c r="M755" s="737" t="n"/>
      <c r="N755" s="737" t="n"/>
      <c r="O755" s="737" t="n"/>
      <c r="P755" s="737" t="n"/>
      <c r="Q755" s="737" t="n"/>
      <c r="R755" s="737" t="n"/>
      <c r="S755" s="737" t="n"/>
      <c r="T755" s="737" t="n"/>
      <c r="U755" s="737" t="n"/>
      <c r="V755" s="737" t="n"/>
      <c r="W755" s="737" t="n"/>
      <c r="X755" s="737" t="n"/>
      <c r="Y755" s="737" t="n"/>
      <c r="Z755" s="737" t="n"/>
      <c r="AA755" s="737" t="n"/>
      <c r="AB755" s="737" t="n"/>
      <c r="AC755" s="737" t="n"/>
      <c r="AD755" s="737" t="n"/>
      <c r="AE755" s="737" t="n"/>
      <c r="AF755" s="737" t="n"/>
      <c r="AG755" s="737" t="n"/>
      <c r="AH755" s="737" t="n"/>
      <c r="AI755" s="737" t="n"/>
      <c r="AJ755" s="737" t="n"/>
      <c r="AK755" s="588" t="n"/>
      <c r="AL755" s="588" t="n"/>
      <c r="AM755" s="588" t="n"/>
      <c r="AN755" s="588" t="n"/>
      <c r="AO755" s="588" t="n"/>
      <c r="AP755" s="588" t="n"/>
      <c r="AQ755" s="588" t="n"/>
      <c r="AR755" s="588" t="n"/>
      <c r="AS755" s="588" t="n"/>
      <c r="AT755" s="588" t="n"/>
      <c r="AU755" s="588" t="n"/>
      <c r="AV755" s="588" t="n"/>
      <c r="AW755" s="588" t="n"/>
      <c r="AX755" s="588" t="n"/>
      <c r="AY755" s="588" t="n"/>
      <c r="AZ755" s="588" t="n"/>
      <c r="BA755" s="588" t="n"/>
      <c r="BB755" s="588" t="n"/>
      <c r="BC755" s="588" t="n"/>
      <c r="BD755" s="588" t="n"/>
      <c r="BE755" s="588" t="n"/>
      <c r="BF755" s="588" t="n"/>
      <c r="BG755" s="588" t="n"/>
      <c r="BH755" s="588" t="n"/>
      <c r="BI755" s="588" t="n"/>
      <c r="BJ755" s="588" t="n"/>
      <c r="BK755" s="588" t="n"/>
      <c r="BL755" s="588" t="n"/>
      <c r="BM755" s="588" t="n"/>
      <c r="BN755" s="588" t="n"/>
      <c r="BO755" s="588" t="n"/>
      <c r="BP755" s="588" t="n"/>
      <c r="BQ755" s="588" t="n"/>
      <c r="BR755" s="588" t="n"/>
      <c r="BS755" s="588" t="n"/>
      <c r="BT755" s="588" t="n"/>
      <c r="BU755" s="588" t="n"/>
      <c r="BV755" s="588" t="n"/>
      <c r="BW755" s="588" t="n"/>
      <c r="BX755" s="588" t="n"/>
      <c r="BY755" s="588" t="n"/>
      <c r="BZ755" s="588" t="n"/>
      <c r="CA755" s="588" t="n"/>
      <c r="CB755" s="588" t="n"/>
      <c r="CC755" s="588" t="n"/>
      <c r="CD755" s="588" t="n"/>
      <c r="CE755" s="588" t="n"/>
      <c r="CF755" s="588" t="n"/>
      <c r="CG755" s="588" t="n"/>
      <c r="CH755" s="588" t="n"/>
      <c r="CI755" s="588" t="n"/>
      <c r="CJ755" s="588" t="n"/>
      <c r="CK755" s="588" t="n"/>
      <c r="CL755" s="588" t="n"/>
      <c r="CM755" s="588" t="n"/>
      <c r="CN755" s="588" t="n"/>
      <c r="CO755" s="588" t="n"/>
      <c r="CP755" s="588" t="n"/>
      <c r="CQ755" s="588" t="n"/>
      <c r="CR755" s="588" t="n"/>
      <c r="CS755" s="588" t="n"/>
      <c r="CT755" s="588" t="n"/>
      <c r="CU755" s="588" t="n"/>
      <c r="CV755" s="588" t="n"/>
      <c r="CW755" s="588" t="n"/>
      <c r="CX755" s="588" t="n"/>
      <c r="CY755" s="588" t="n"/>
      <c r="CZ755" s="588" t="n"/>
      <c r="DA755" s="588" t="n"/>
      <c r="DB755" s="588" t="n"/>
      <c r="DC755" s="588" t="n"/>
      <c r="DD755" s="588" t="n"/>
      <c r="DE755" s="588" t="n"/>
      <c r="DF755" s="588" t="n"/>
      <c r="DG755" s="588" t="n"/>
      <c r="DH755" s="588" t="n"/>
      <c r="DI755" s="588" t="n"/>
      <c r="DJ755" s="588" t="n"/>
      <c r="DK755" s="588" t="n"/>
      <c r="DL755" s="588" t="n"/>
      <c r="DM755" s="588" t="n"/>
      <c r="DN755" s="588" t="n"/>
      <c r="DO755" s="588" t="n"/>
      <c r="DP755" s="588" t="n"/>
      <c r="DQ755" s="588" t="n"/>
      <c r="DR755" s="588" t="n"/>
      <c r="DS755" s="588" t="n"/>
      <c r="DT755" s="588" t="n"/>
      <c r="DU755" s="588" t="n"/>
    </row>
    <row r="756">
      <c r="A756" s="737" t="n"/>
      <c r="B756" s="737" t="n"/>
      <c r="C756" s="737" t="n"/>
      <c r="D756" s="737" t="n"/>
      <c r="E756" s="737" t="n"/>
      <c r="F756" s="737" t="n"/>
      <c r="G756" s="737" t="n"/>
      <c r="H756" s="737" t="n"/>
      <c r="I756" s="737" t="n"/>
      <c r="J756" s="737" t="n"/>
      <c r="K756" s="737" t="n"/>
      <c r="L756" s="737" t="n"/>
      <c r="M756" s="737" t="n"/>
      <c r="N756" s="737" t="n"/>
      <c r="O756" s="737" t="n"/>
      <c r="P756" s="737" t="n"/>
      <c r="Q756" s="737" t="n"/>
      <c r="R756" s="737" t="n"/>
      <c r="S756" s="737" t="n"/>
      <c r="T756" s="737" t="n"/>
      <c r="U756" s="737" t="n"/>
      <c r="V756" s="737" t="n"/>
      <c r="W756" s="737" t="n"/>
      <c r="X756" s="737" t="n"/>
      <c r="Y756" s="737" t="n"/>
      <c r="Z756" s="737" t="n"/>
      <c r="AA756" s="737" t="n"/>
      <c r="AB756" s="737" t="n"/>
      <c r="AC756" s="737" t="n"/>
      <c r="AD756" s="737" t="n"/>
      <c r="AE756" s="737" t="n"/>
      <c r="AF756" s="737" t="n"/>
      <c r="AG756" s="737" t="n"/>
      <c r="AH756" s="737" t="n"/>
      <c r="AI756" s="737" t="n"/>
      <c r="AJ756" s="737" t="n"/>
      <c r="AK756" s="588" t="n"/>
      <c r="AL756" s="588" t="n"/>
      <c r="AM756" s="588" t="n"/>
      <c r="AN756" s="588" t="n"/>
      <c r="AO756" s="588" t="n"/>
      <c r="AP756" s="588" t="n"/>
      <c r="AQ756" s="588" t="n"/>
      <c r="AR756" s="588" t="n"/>
      <c r="AS756" s="588" t="n"/>
      <c r="AT756" s="588" t="n"/>
      <c r="AU756" s="588" t="n"/>
      <c r="AV756" s="588" t="n"/>
      <c r="AW756" s="588" t="n"/>
      <c r="AX756" s="588" t="n"/>
      <c r="AY756" s="588" t="n"/>
      <c r="AZ756" s="588" t="n"/>
      <c r="BA756" s="588" t="n"/>
      <c r="BB756" s="588" t="n"/>
      <c r="BC756" s="588" t="n"/>
      <c r="BD756" s="588" t="n"/>
      <c r="BE756" s="588" t="n"/>
      <c r="BF756" s="588" t="n"/>
      <c r="BG756" s="588" t="n"/>
      <c r="BH756" s="588" t="n"/>
      <c r="BI756" s="588" t="n"/>
      <c r="BJ756" s="588" t="n"/>
      <c r="BK756" s="588" t="n"/>
      <c r="BL756" s="588" t="n"/>
      <c r="BM756" s="588" t="n"/>
      <c r="BN756" s="588" t="n"/>
      <c r="BO756" s="588" t="n"/>
      <c r="BP756" s="588" t="n"/>
      <c r="BQ756" s="588" t="n"/>
      <c r="BR756" s="588" t="n"/>
      <c r="BS756" s="588" t="n"/>
      <c r="BT756" s="588" t="n"/>
      <c r="BU756" s="588" t="n"/>
      <c r="BV756" s="588" t="n"/>
      <c r="BW756" s="588" t="n"/>
      <c r="BX756" s="588" t="n"/>
      <c r="BY756" s="588" t="n"/>
      <c r="BZ756" s="588" t="n"/>
      <c r="CA756" s="588" t="n"/>
      <c r="CB756" s="588" t="n"/>
      <c r="CC756" s="588" t="n"/>
      <c r="CD756" s="588" t="n"/>
      <c r="CE756" s="588" t="n"/>
      <c r="CF756" s="588" t="n"/>
      <c r="CG756" s="588" t="n"/>
      <c r="CH756" s="588" t="n"/>
      <c r="CI756" s="588" t="n"/>
      <c r="CJ756" s="588" t="n"/>
      <c r="CK756" s="588" t="n"/>
      <c r="CL756" s="588" t="n"/>
      <c r="CM756" s="588" t="n"/>
      <c r="CN756" s="588" t="n"/>
      <c r="CO756" s="588" t="n"/>
      <c r="CP756" s="588" t="n"/>
      <c r="CQ756" s="588" t="n"/>
      <c r="CR756" s="588" t="n"/>
      <c r="CS756" s="588" t="n"/>
      <c r="CT756" s="588" t="n"/>
      <c r="CU756" s="588" t="n"/>
      <c r="CV756" s="588" t="n"/>
      <c r="CW756" s="588" t="n"/>
      <c r="CX756" s="588" t="n"/>
      <c r="CY756" s="588" t="n"/>
      <c r="CZ756" s="588" t="n"/>
      <c r="DA756" s="588" t="n"/>
      <c r="DB756" s="588" t="n"/>
      <c r="DC756" s="588" t="n"/>
      <c r="DD756" s="588" t="n"/>
      <c r="DE756" s="588" t="n"/>
      <c r="DF756" s="588" t="n"/>
      <c r="DG756" s="588" t="n"/>
      <c r="DH756" s="588" t="n"/>
      <c r="DI756" s="588" t="n"/>
      <c r="DJ756" s="588" t="n"/>
      <c r="DK756" s="588" t="n"/>
      <c r="DL756" s="588" t="n"/>
      <c r="DM756" s="588" t="n"/>
      <c r="DN756" s="588" t="n"/>
      <c r="DO756" s="588" t="n"/>
      <c r="DP756" s="588" t="n"/>
      <c r="DQ756" s="588" t="n"/>
      <c r="DR756" s="588" t="n"/>
      <c r="DS756" s="588" t="n"/>
      <c r="DT756" s="588" t="n"/>
      <c r="DU756" s="588" t="n"/>
    </row>
    <row r="757">
      <c r="A757" s="737" t="n"/>
      <c r="B757" s="737" t="n"/>
      <c r="C757" s="737" t="n"/>
      <c r="D757" s="737" t="n"/>
      <c r="E757" s="737" t="n"/>
      <c r="F757" s="737" t="n"/>
      <c r="G757" s="737" t="n"/>
      <c r="H757" s="737" t="n"/>
      <c r="I757" s="737" t="n"/>
      <c r="J757" s="737" t="n"/>
      <c r="K757" s="737" t="n"/>
      <c r="L757" s="737" t="n"/>
      <c r="M757" s="737" t="n"/>
      <c r="N757" s="737" t="n"/>
      <c r="O757" s="737" t="n"/>
      <c r="P757" s="737" t="n"/>
      <c r="Q757" s="737" t="n"/>
      <c r="R757" s="737" t="n"/>
      <c r="S757" s="737" t="n"/>
      <c r="T757" s="737" t="n"/>
      <c r="U757" s="737" t="n"/>
      <c r="V757" s="737" t="n"/>
      <c r="W757" s="737" t="n"/>
      <c r="X757" s="737" t="n"/>
      <c r="Y757" s="737" t="n"/>
      <c r="Z757" s="737" t="n"/>
      <c r="AA757" s="737" t="n"/>
      <c r="AB757" s="737" t="n"/>
      <c r="AC757" s="737" t="n"/>
      <c r="AD757" s="737" t="n"/>
      <c r="AE757" s="737" t="n"/>
      <c r="AF757" s="737" t="n"/>
      <c r="AG757" s="737" t="n"/>
      <c r="AH757" s="737" t="n"/>
      <c r="AI757" s="737" t="n"/>
      <c r="AJ757" s="737" t="n"/>
      <c r="AK757" s="588" t="n"/>
      <c r="AL757" s="588" t="n"/>
      <c r="AM757" s="588" t="n"/>
      <c r="AN757" s="588" t="n"/>
      <c r="AO757" s="588" t="n"/>
      <c r="AP757" s="588" t="n"/>
      <c r="AQ757" s="588" t="n"/>
      <c r="AR757" s="588" t="n"/>
      <c r="AS757" s="588" t="n"/>
      <c r="AT757" s="588" t="n"/>
      <c r="AU757" s="588" t="n"/>
      <c r="AV757" s="588" t="n"/>
      <c r="AW757" s="588" t="n"/>
      <c r="AX757" s="588" t="n"/>
      <c r="AY757" s="588" t="n"/>
      <c r="AZ757" s="588" t="n"/>
      <c r="BA757" s="588" t="n"/>
      <c r="BB757" s="588" t="n"/>
      <c r="BC757" s="588" t="n"/>
      <c r="BD757" s="588" t="n"/>
      <c r="BE757" s="588" t="n"/>
      <c r="BF757" s="588" t="n"/>
      <c r="BG757" s="588" t="n"/>
      <c r="BH757" s="588" t="n"/>
      <c r="BI757" s="588" t="n"/>
      <c r="BJ757" s="588" t="n"/>
      <c r="BK757" s="588" t="n"/>
      <c r="BL757" s="588" t="n"/>
      <c r="BM757" s="588" t="n"/>
      <c r="BN757" s="588" t="n"/>
      <c r="BO757" s="588" t="n"/>
      <c r="BP757" s="588" t="n"/>
      <c r="BQ757" s="588" t="n"/>
      <c r="BR757" s="588" t="n"/>
      <c r="BS757" s="588" t="n"/>
      <c r="BT757" s="588" t="n"/>
      <c r="BU757" s="588" t="n"/>
      <c r="BV757" s="588" t="n"/>
      <c r="BW757" s="588" t="n"/>
      <c r="BX757" s="588" t="n"/>
      <c r="BY757" s="588" t="n"/>
      <c r="BZ757" s="588" t="n"/>
      <c r="CA757" s="588" t="n"/>
      <c r="CB757" s="588" t="n"/>
      <c r="CC757" s="588" t="n"/>
      <c r="CD757" s="588" t="n"/>
      <c r="CE757" s="588" t="n"/>
      <c r="CF757" s="588" t="n"/>
      <c r="CG757" s="588" t="n"/>
      <c r="CH757" s="588" t="n"/>
      <c r="CI757" s="588" t="n"/>
      <c r="CJ757" s="588" t="n"/>
      <c r="CK757" s="588" t="n"/>
      <c r="CL757" s="588" t="n"/>
      <c r="CM757" s="588" t="n"/>
      <c r="CN757" s="588" t="n"/>
      <c r="CO757" s="588" t="n"/>
      <c r="CP757" s="588" t="n"/>
      <c r="CQ757" s="588" t="n"/>
      <c r="CR757" s="588" t="n"/>
      <c r="CS757" s="588" t="n"/>
      <c r="CT757" s="588" t="n"/>
      <c r="CU757" s="588" t="n"/>
      <c r="CV757" s="588" t="n"/>
      <c r="CW757" s="588" t="n"/>
      <c r="CX757" s="588" t="n"/>
      <c r="CY757" s="588" t="n"/>
      <c r="CZ757" s="588" t="n"/>
      <c r="DA757" s="588" t="n"/>
      <c r="DB757" s="588" t="n"/>
      <c r="DC757" s="588" t="n"/>
      <c r="DD757" s="588" t="n"/>
      <c r="DE757" s="588" t="n"/>
      <c r="DF757" s="588" t="n"/>
      <c r="DG757" s="588" t="n"/>
      <c r="DH757" s="588" t="n"/>
      <c r="DI757" s="588" t="n"/>
      <c r="DJ757" s="588" t="n"/>
      <c r="DK757" s="588" t="n"/>
      <c r="DL757" s="588" t="n"/>
      <c r="DM757" s="588" t="n"/>
      <c r="DN757" s="588" t="n"/>
      <c r="DO757" s="588" t="n"/>
      <c r="DP757" s="588" t="n"/>
      <c r="DQ757" s="588" t="n"/>
      <c r="DR757" s="588" t="n"/>
      <c r="DS757" s="588" t="n"/>
      <c r="DT757" s="588" t="n"/>
      <c r="DU757" s="588" t="n"/>
    </row>
    <row r="758">
      <c r="A758" s="737" t="n"/>
      <c r="B758" s="737" t="n"/>
      <c r="C758" s="737" t="n"/>
      <c r="D758" s="737" t="n"/>
      <c r="E758" s="737" t="n"/>
      <c r="F758" s="737" t="n"/>
      <c r="G758" s="737" t="n"/>
      <c r="H758" s="737" t="n"/>
      <c r="I758" s="737" t="n"/>
      <c r="J758" s="737" t="n"/>
      <c r="K758" s="737" t="n"/>
      <c r="L758" s="737" t="n"/>
      <c r="M758" s="737" t="n"/>
      <c r="N758" s="737" t="n"/>
      <c r="O758" s="737" t="n"/>
      <c r="P758" s="737" t="n"/>
      <c r="Q758" s="737" t="n"/>
      <c r="R758" s="737" t="n"/>
      <c r="S758" s="737" t="n"/>
      <c r="T758" s="737" t="n"/>
      <c r="U758" s="737" t="n"/>
      <c r="V758" s="737" t="n"/>
      <c r="W758" s="737" t="n"/>
      <c r="X758" s="737" t="n"/>
      <c r="Y758" s="737" t="n"/>
      <c r="Z758" s="737" t="n"/>
      <c r="AA758" s="737" t="n"/>
      <c r="AB758" s="737" t="n"/>
      <c r="AC758" s="737" t="n"/>
      <c r="AD758" s="737" t="n"/>
      <c r="AE758" s="737" t="n"/>
      <c r="AF758" s="737" t="n"/>
      <c r="AG758" s="737" t="n"/>
      <c r="AH758" s="737" t="n"/>
      <c r="AI758" s="737" t="n"/>
      <c r="AJ758" s="737" t="n"/>
      <c r="AK758" s="588" t="n"/>
      <c r="AL758" s="588" t="n"/>
      <c r="AM758" s="588" t="n"/>
      <c r="AN758" s="588" t="n"/>
      <c r="AO758" s="588" t="n"/>
      <c r="AP758" s="588" t="n"/>
      <c r="AQ758" s="588" t="n"/>
      <c r="AR758" s="588" t="n"/>
      <c r="AS758" s="588" t="n"/>
      <c r="AT758" s="588" t="n"/>
      <c r="AU758" s="588" t="n"/>
      <c r="AV758" s="588" t="n"/>
      <c r="AW758" s="588" t="n"/>
      <c r="AX758" s="588" t="n"/>
      <c r="AY758" s="588" t="n"/>
      <c r="AZ758" s="588" t="n"/>
      <c r="BA758" s="588" t="n"/>
      <c r="BB758" s="588" t="n"/>
      <c r="BC758" s="588" t="n"/>
      <c r="BD758" s="588" t="n"/>
      <c r="BE758" s="588" t="n"/>
      <c r="BF758" s="588" t="n"/>
      <c r="BG758" s="588" t="n"/>
      <c r="BH758" s="588" t="n"/>
      <c r="BI758" s="588" t="n"/>
      <c r="BJ758" s="588" t="n"/>
      <c r="BK758" s="588" t="n"/>
      <c r="BL758" s="588" t="n"/>
      <c r="BM758" s="588" t="n"/>
      <c r="BN758" s="588" t="n"/>
      <c r="BO758" s="588" t="n"/>
      <c r="BP758" s="588" t="n"/>
      <c r="BQ758" s="588" t="n"/>
      <c r="BR758" s="588" t="n"/>
      <c r="BS758" s="588" t="n"/>
      <c r="BT758" s="588" t="n"/>
      <c r="BU758" s="588" t="n"/>
      <c r="BV758" s="588" t="n"/>
      <c r="BW758" s="588" t="n"/>
      <c r="BX758" s="588" t="n"/>
      <c r="BY758" s="588" t="n"/>
      <c r="BZ758" s="588" t="n"/>
      <c r="CA758" s="588" t="n"/>
      <c r="CB758" s="588" t="n"/>
      <c r="CC758" s="588" t="n"/>
      <c r="CD758" s="588" t="n"/>
      <c r="CE758" s="588" t="n"/>
      <c r="CF758" s="588" t="n"/>
      <c r="CG758" s="588" t="n"/>
      <c r="CH758" s="588" t="n"/>
      <c r="CI758" s="588" t="n"/>
      <c r="CJ758" s="588" t="n"/>
      <c r="CK758" s="588" t="n"/>
      <c r="CL758" s="588" t="n"/>
      <c r="CM758" s="588" t="n"/>
      <c r="CN758" s="588" t="n"/>
      <c r="CO758" s="588" t="n"/>
      <c r="CP758" s="588" t="n"/>
      <c r="CQ758" s="588" t="n"/>
      <c r="CR758" s="588" t="n"/>
      <c r="CS758" s="588" t="n"/>
      <c r="CT758" s="588" t="n"/>
      <c r="CU758" s="588" t="n"/>
      <c r="CV758" s="588" t="n"/>
      <c r="CW758" s="588" t="n"/>
      <c r="CX758" s="588" t="n"/>
      <c r="CY758" s="588" t="n"/>
      <c r="CZ758" s="588" t="n"/>
      <c r="DA758" s="588" t="n"/>
      <c r="DB758" s="588" t="n"/>
      <c r="DC758" s="588" t="n"/>
      <c r="DD758" s="588" t="n"/>
      <c r="DE758" s="588" t="n"/>
      <c r="DF758" s="588" t="n"/>
      <c r="DG758" s="588" t="n"/>
      <c r="DH758" s="588" t="n"/>
      <c r="DI758" s="588" t="n"/>
      <c r="DJ758" s="588" t="n"/>
      <c r="DK758" s="588" t="n"/>
      <c r="DL758" s="588" t="n"/>
      <c r="DM758" s="588" t="n"/>
      <c r="DN758" s="588" t="n"/>
      <c r="DO758" s="588" t="n"/>
      <c r="DP758" s="588" t="n"/>
      <c r="DQ758" s="588" t="n"/>
      <c r="DR758" s="588" t="n"/>
      <c r="DS758" s="588" t="n"/>
      <c r="DT758" s="588" t="n"/>
      <c r="DU758" s="588" t="n"/>
    </row>
    <row r="759">
      <c r="A759" s="737" t="n"/>
      <c r="B759" s="737" t="n"/>
      <c r="C759" s="737" t="n"/>
      <c r="D759" s="737" t="n"/>
      <c r="E759" s="737" t="n"/>
      <c r="F759" s="737" t="n"/>
      <c r="G759" s="737" t="n"/>
      <c r="H759" s="737" t="n"/>
      <c r="I759" s="737" t="n"/>
      <c r="J759" s="737" t="n"/>
      <c r="K759" s="737" t="n"/>
      <c r="L759" s="737" t="n"/>
      <c r="M759" s="737" t="n"/>
      <c r="N759" s="737" t="n"/>
      <c r="O759" s="737" t="n"/>
      <c r="P759" s="737" t="n"/>
      <c r="Q759" s="737" t="n"/>
      <c r="R759" s="737" t="n"/>
      <c r="S759" s="737" t="n"/>
      <c r="T759" s="737" t="n"/>
      <c r="U759" s="737" t="n"/>
      <c r="V759" s="737" t="n"/>
      <c r="W759" s="737" t="n"/>
      <c r="X759" s="737" t="n"/>
      <c r="Y759" s="737" t="n"/>
      <c r="Z759" s="737" t="n"/>
      <c r="AA759" s="737" t="n"/>
      <c r="AB759" s="737" t="n"/>
      <c r="AC759" s="737" t="n"/>
      <c r="AD759" s="737" t="n"/>
      <c r="AE759" s="737" t="n"/>
      <c r="AF759" s="737" t="n"/>
      <c r="AG759" s="737" t="n"/>
      <c r="AH759" s="737" t="n"/>
      <c r="AI759" s="737" t="n"/>
      <c r="AJ759" s="737" t="n"/>
      <c r="AK759" s="588" t="n"/>
      <c r="AL759" s="588" t="n"/>
      <c r="AM759" s="588" t="n"/>
      <c r="AN759" s="588" t="n"/>
      <c r="AO759" s="588" t="n"/>
      <c r="AP759" s="588" t="n"/>
      <c r="AQ759" s="588" t="n"/>
      <c r="AR759" s="588" t="n"/>
      <c r="AS759" s="588" t="n"/>
      <c r="AT759" s="588" t="n"/>
      <c r="AU759" s="588" t="n"/>
      <c r="AV759" s="588" t="n"/>
      <c r="AW759" s="588" t="n"/>
      <c r="AX759" s="588" t="n"/>
      <c r="AY759" s="588" t="n"/>
      <c r="AZ759" s="588" t="n"/>
      <c r="BA759" s="588" t="n"/>
      <c r="BB759" s="588" t="n"/>
      <c r="BC759" s="588" t="n"/>
      <c r="BD759" s="588" t="n"/>
      <c r="BE759" s="588" t="n"/>
      <c r="BF759" s="588" t="n"/>
      <c r="BG759" s="588" t="n"/>
      <c r="BH759" s="588" t="n"/>
      <c r="BI759" s="588" t="n"/>
      <c r="BJ759" s="588" t="n"/>
      <c r="BK759" s="588" t="n"/>
      <c r="BL759" s="588" t="n"/>
      <c r="BM759" s="588" t="n"/>
      <c r="BN759" s="588" t="n"/>
      <c r="BO759" s="588" t="n"/>
      <c r="BP759" s="588" t="n"/>
      <c r="BQ759" s="588" t="n"/>
      <c r="BR759" s="588" t="n"/>
      <c r="BS759" s="588" t="n"/>
      <c r="BT759" s="588" t="n"/>
      <c r="BU759" s="588" t="n"/>
      <c r="BV759" s="588" t="n"/>
      <c r="BW759" s="588" t="n"/>
      <c r="BX759" s="588" t="n"/>
      <c r="BY759" s="588" t="n"/>
      <c r="BZ759" s="588" t="n"/>
      <c r="CA759" s="588" t="n"/>
      <c r="CB759" s="588" t="n"/>
      <c r="CC759" s="588" t="n"/>
      <c r="CD759" s="588" t="n"/>
      <c r="CE759" s="588" t="n"/>
      <c r="CF759" s="588" t="n"/>
      <c r="CG759" s="588" t="n"/>
      <c r="CH759" s="588" t="n"/>
      <c r="CI759" s="588" t="n"/>
      <c r="CJ759" s="588" t="n"/>
      <c r="CK759" s="588" t="n"/>
      <c r="CL759" s="588" t="n"/>
      <c r="CM759" s="588" t="n"/>
      <c r="CN759" s="588" t="n"/>
      <c r="CO759" s="588" t="n"/>
      <c r="CP759" s="588" t="n"/>
      <c r="CQ759" s="588" t="n"/>
      <c r="CR759" s="588" t="n"/>
      <c r="CS759" s="588" t="n"/>
      <c r="CT759" s="588" t="n"/>
      <c r="CU759" s="588" t="n"/>
      <c r="CV759" s="588" t="n"/>
      <c r="CW759" s="588" t="n"/>
      <c r="CX759" s="588" t="n"/>
      <c r="CY759" s="588" t="n"/>
      <c r="CZ759" s="588" t="n"/>
      <c r="DA759" s="588" t="n"/>
      <c r="DB759" s="588" t="n"/>
      <c r="DC759" s="588" t="n"/>
      <c r="DD759" s="588" t="n"/>
      <c r="DE759" s="588" t="n"/>
      <c r="DF759" s="588" t="n"/>
      <c r="DG759" s="588" t="n"/>
      <c r="DH759" s="588" t="n"/>
      <c r="DI759" s="588" t="n"/>
      <c r="DJ759" s="588" t="n"/>
      <c r="DK759" s="588" t="n"/>
      <c r="DL759" s="588" t="n"/>
      <c r="DM759" s="588" t="n"/>
      <c r="DN759" s="588" t="n"/>
      <c r="DO759" s="588" t="n"/>
      <c r="DP759" s="588" t="n"/>
      <c r="DQ759" s="588" t="n"/>
      <c r="DR759" s="588" t="n"/>
      <c r="DS759" s="588" t="n"/>
      <c r="DT759" s="588" t="n"/>
      <c r="DU759" s="588" t="n"/>
    </row>
    <row r="760">
      <c r="A760" s="737" t="n"/>
      <c r="B760" s="737" t="n"/>
      <c r="C760" s="737" t="n"/>
      <c r="D760" s="737" t="n"/>
      <c r="E760" s="737" t="n"/>
      <c r="F760" s="737" t="n"/>
      <c r="G760" s="737" t="n"/>
      <c r="H760" s="737" t="n"/>
      <c r="I760" s="737" t="n"/>
      <c r="J760" s="737" t="n"/>
      <c r="K760" s="737" t="n"/>
      <c r="L760" s="737" t="n"/>
      <c r="M760" s="737" t="n"/>
      <c r="N760" s="737" t="n"/>
      <c r="O760" s="737" t="n"/>
      <c r="P760" s="737" t="n"/>
      <c r="Q760" s="737" t="n"/>
      <c r="R760" s="737" t="n"/>
      <c r="S760" s="737" t="n"/>
      <c r="T760" s="737" t="n"/>
      <c r="U760" s="737" t="n"/>
      <c r="V760" s="737" t="n"/>
      <c r="W760" s="737" t="n"/>
      <c r="X760" s="737" t="n"/>
      <c r="Y760" s="737" t="n"/>
      <c r="Z760" s="737" t="n"/>
      <c r="AA760" s="737" t="n"/>
      <c r="AB760" s="737" t="n"/>
      <c r="AC760" s="737" t="n"/>
      <c r="AD760" s="737" t="n"/>
      <c r="AE760" s="737" t="n"/>
      <c r="AF760" s="737" t="n"/>
      <c r="AG760" s="737" t="n"/>
      <c r="AH760" s="737" t="n"/>
      <c r="AI760" s="737" t="n"/>
      <c r="AJ760" s="737" t="n"/>
      <c r="AK760" s="588" t="n"/>
      <c r="AL760" s="588" t="n"/>
      <c r="AM760" s="588" t="n"/>
      <c r="AN760" s="588" t="n"/>
      <c r="AO760" s="588" t="n"/>
      <c r="AP760" s="588" t="n"/>
      <c r="AQ760" s="588" t="n"/>
      <c r="AR760" s="588" t="n"/>
      <c r="AS760" s="588" t="n"/>
      <c r="AT760" s="588" t="n"/>
      <c r="AU760" s="588" t="n"/>
      <c r="AV760" s="588" t="n"/>
      <c r="AW760" s="588" t="n"/>
      <c r="AX760" s="588" t="n"/>
      <c r="AY760" s="588" t="n"/>
      <c r="AZ760" s="588" t="n"/>
      <c r="BA760" s="588" t="n"/>
      <c r="BB760" s="588" t="n"/>
      <c r="BC760" s="588" t="n"/>
      <c r="BD760" s="588" t="n"/>
      <c r="BE760" s="588" t="n"/>
      <c r="BF760" s="588" t="n"/>
      <c r="BG760" s="588" t="n"/>
      <c r="BH760" s="588" t="n"/>
      <c r="BI760" s="588" t="n"/>
      <c r="BJ760" s="588" t="n"/>
      <c r="BK760" s="588" t="n"/>
      <c r="BL760" s="588" t="n"/>
      <c r="BM760" s="588" t="n"/>
      <c r="BN760" s="588" t="n"/>
      <c r="BO760" s="588" t="n"/>
      <c r="BP760" s="588" t="n"/>
      <c r="BQ760" s="588" t="n"/>
      <c r="BR760" s="588" t="n"/>
      <c r="BS760" s="588" t="n"/>
      <c r="BT760" s="588" t="n"/>
      <c r="BU760" s="588" t="n"/>
      <c r="BV760" s="588" t="n"/>
      <c r="BW760" s="588" t="n"/>
      <c r="BX760" s="588" t="n"/>
      <c r="BY760" s="588" t="n"/>
      <c r="BZ760" s="588" t="n"/>
      <c r="CA760" s="588" t="n"/>
      <c r="CB760" s="588" t="n"/>
      <c r="CC760" s="588" t="n"/>
      <c r="CD760" s="588" t="n"/>
      <c r="CE760" s="588" t="n"/>
      <c r="CF760" s="588" t="n"/>
      <c r="CG760" s="588" t="n"/>
      <c r="CH760" s="588" t="n"/>
      <c r="CI760" s="588" t="n"/>
      <c r="CJ760" s="588" t="n"/>
      <c r="CK760" s="588" t="n"/>
      <c r="CL760" s="588" t="n"/>
      <c r="CM760" s="588" t="n"/>
      <c r="CN760" s="588" t="n"/>
      <c r="CO760" s="588" t="n"/>
      <c r="CP760" s="588" t="n"/>
      <c r="CQ760" s="588" t="n"/>
      <c r="CR760" s="588" t="n"/>
      <c r="CS760" s="588" t="n"/>
      <c r="CT760" s="588" t="n"/>
      <c r="CU760" s="588" t="n"/>
      <c r="CV760" s="588" t="n"/>
      <c r="CW760" s="588" t="n"/>
      <c r="CX760" s="588" t="n"/>
      <c r="CY760" s="588" t="n"/>
      <c r="CZ760" s="588" t="n"/>
      <c r="DA760" s="588" t="n"/>
      <c r="DB760" s="588" t="n"/>
      <c r="DC760" s="588" t="n"/>
      <c r="DD760" s="588" t="n"/>
      <c r="DE760" s="588" t="n"/>
      <c r="DF760" s="588" t="n"/>
      <c r="DG760" s="588" t="n"/>
      <c r="DH760" s="588" t="n"/>
      <c r="DI760" s="588" t="n"/>
      <c r="DJ760" s="588" t="n"/>
      <c r="DK760" s="588" t="n"/>
      <c r="DL760" s="588" t="n"/>
      <c r="DM760" s="588" t="n"/>
      <c r="DN760" s="588" t="n"/>
      <c r="DO760" s="588" t="n"/>
      <c r="DP760" s="588" t="n"/>
      <c r="DQ760" s="588" t="n"/>
      <c r="DR760" s="588" t="n"/>
      <c r="DS760" s="588" t="n"/>
      <c r="DT760" s="588" t="n"/>
      <c r="DU760" s="588" t="n"/>
    </row>
    <row r="761">
      <c r="A761" s="737" t="n"/>
      <c r="B761" s="737" t="n"/>
      <c r="C761" s="737" t="n"/>
      <c r="D761" s="737" t="n"/>
      <c r="E761" s="737" t="n"/>
      <c r="F761" s="737" t="n"/>
      <c r="G761" s="737" t="n"/>
      <c r="H761" s="737" t="n"/>
      <c r="I761" s="737" t="n"/>
      <c r="J761" s="737" t="n"/>
      <c r="K761" s="737" t="n"/>
      <c r="L761" s="737" t="n"/>
      <c r="M761" s="737" t="n"/>
      <c r="N761" s="737" t="n"/>
      <c r="O761" s="737" t="n"/>
      <c r="P761" s="737" t="n"/>
      <c r="Q761" s="737" t="n"/>
      <c r="R761" s="737" t="n"/>
      <c r="S761" s="737" t="n"/>
      <c r="T761" s="737" t="n"/>
      <c r="U761" s="737" t="n"/>
      <c r="V761" s="737" t="n"/>
      <c r="W761" s="737" t="n"/>
      <c r="X761" s="737" t="n"/>
      <c r="Y761" s="737" t="n"/>
      <c r="Z761" s="737" t="n"/>
      <c r="AA761" s="737" t="n"/>
      <c r="AB761" s="737" t="n"/>
      <c r="AC761" s="737" t="n"/>
      <c r="AD761" s="737" t="n"/>
      <c r="AE761" s="737" t="n"/>
      <c r="AF761" s="737" t="n"/>
      <c r="AG761" s="737" t="n"/>
      <c r="AH761" s="737" t="n"/>
      <c r="AI761" s="737" t="n"/>
      <c r="AJ761" s="737" t="n"/>
      <c r="AK761" s="588" t="n"/>
      <c r="AL761" s="588" t="n"/>
      <c r="AM761" s="588" t="n"/>
      <c r="AN761" s="588" t="n"/>
      <c r="AO761" s="588" t="n"/>
      <c r="AP761" s="588" t="n"/>
      <c r="AQ761" s="588" t="n"/>
      <c r="AR761" s="588" t="n"/>
      <c r="AS761" s="588" t="n"/>
      <c r="AT761" s="588" t="n"/>
      <c r="AU761" s="588" t="n"/>
      <c r="AV761" s="588" t="n"/>
      <c r="AW761" s="588" t="n"/>
      <c r="AX761" s="588" t="n"/>
      <c r="AY761" s="588" t="n"/>
      <c r="AZ761" s="588" t="n"/>
      <c r="BA761" s="588" t="n"/>
      <c r="BB761" s="588" t="n"/>
      <c r="BC761" s="588" t="n"/>
      <c r="BD761" s="588" t="n"/>
      <c r="BE761" s="588" t="n"/>
      <c r="BF761" s="588" t="n"/>
      <c r="BG761" s="588" t="n"/>
      <c r="BH761" s="588" t="n"/>
      <c r="BI761" s="588" t="n"/>
      <c r="BJ761" s="588" t="n"/>
      <c r="BK761" s="588" t="n"/>
      <c r="BL761" s="588" t="n"/>
      <c r="BM761" s="588" t="n"/>
      <c r="BN761" s="588" t="n"/>
      <c r="BO761" s="588" t="n"/>
      <c r="BP761" s="588" t="n"/>
      <c r="BQ761" s="588" t="n"/>
      <c r="BR761" s="588" t="n"/>
      <c r="BS761" s="588" t="n"/>
      <c r="BT761" s="588" t="n"/>
      <c r="BU761" s="588" t="n"/>
      <c r="BV761" s="588" t="n"/>
      <c r="BW761" s="588" t="n"/>
      <c r="BX761" s="588" t="n"/>
      <c r="BY761" s="588" t="n"/>
      <c r="BZ761" s="588" t="n"/>
      <c r="CA761" s="588" t="n"/>
      <c r="CB761" s="588" t="n"/>
      <c r="CC761" s="588" t="n"/>
      <c r="CD761" s="588" t="n"/>
      <c r="CE761" s="588" t="n"/>
      <c r="CF761" s="588" t="n"/>
      <c r="CG761" s="588" t="n"/>
      <c r="CH761" s="588" t="n"/>
      <c r="CI761" s="588" t="n"/>
      <c r="CJ761" s="588" t="n"/>
      <c r="CK761" s="588" t="n"/>
      <c r="CL761" s="588" t="n"/>
      <c r="CM761" s="588" t="n"/>
      <c r="CN761" s="588" t="n"/>
      <c r="CO761" s="588" t="n"/>
      <c r="CP761" s="588" t="n"/>
      <c r="CQ761" s="588" t="n"/>
      <c r="CR761" s="588" t="n"/>
      <c r="CS761" s="588" t="n"/>
      <c r="CT761" s="588" t="n"/>
      <c r="CU761" s="588" t="n"/>
      <c r="CV761" s="588" t="n"/>
      <c r="CW761" s="588" t="n"/>
      <c r="CX761" s="588" t="n"/>
      <c r="CY761" s="588" t="n"/>
      <c r="CZ761" s="588" t="n"/>
      <c r="DA761" s="588" t="n"/>
      <c r="DB761" s="588" t="n"/>
      <c r="DC761" s="588" t="n"/>
      <c r="DD761" s="588" t="n"/>
      <c r="DE761" s="588" t="n"/>
      <c r="DF761" s="588" t="n"/>
      <c r="DG761" s="588" t="n"/>
      <c r="DH761" s="588" t="n"/>
      <c r="DI761" s="588" t="n"/>
      <c r="DJ761" s="588" t="n"/>
      <c r="DK761" s="588" t="n"/>
      <c r="DL761" s="588" t="n"/>
      <c r="DM761" s="588" t="n"/>
      <c r="DN761" s="588" t="n"/>
      <c r="DO761" s="588" t="n"/>
      <c r="DP761" s="588" t="n"/>
      <c r="DQ761" s="588" t="n"/>
      <c r="DR761" s="588" t="n"/>
      <c r="DS761" s="588" t="n"/>
      <c r="DT761" s="588" t="n"/>
      <c r="DU761" s="588" t="n"/>
    </row>
    <row r="762">
      <c r="A762" s="737" t="n"/>
      <c r="B762" s="737" t="n"/>
      <c r="C762" s="737" t="n"/>
      <c r="D762" s="737" t="n"/>
      <c r="E762" s="737" t="n"/>
      <c r="F762" s="737" t="n"/>
      <c r="G762" s="737" t="n"/>
      <c r="H762" s="737" t="n"/>
      <c r="I762" s="737" t="n"/>
      <c r="J762" s="737" t="n"/>
      <c r="K762" s="737" t="n"/>
      <c r="L762" s="737" t="n"/>
      <c r="M762" s="737" t="n"/>
      <c r="N762" s="737" t="n"/>
      <c r="O762" s="737" t="n"/>
      <c r="P762" s="737" t="n"/>
      <c r="Q762" s="737" t="n"/>
      <c r="R762" s="737" t="n"/>
      <c r="S762" s="737" t="n"/>
      <c r="T762" s="737" t="n"/>
      <c r="U762" s="737" t="n"/>
      <c r="V762" s="737" t="n"/>
      <c r="W762" s="737" t="n"/>
      <c r="X762" s="737" t="n"/>
      <c r="Y762" s="737" t="n"/>
      <c r="Z762" s="737" t="n"/>
      <c r="AA762" s="737" t="n"/>
      <c r="AB762" s="737" t="n"/>
      <c r="AC762" s="737" t="n"/>
      <c r="AD762" s="737" t="n"/>
      <c r="AE762" s="737" t="n"/>
      <c r="AF762" s="737" t="n"/>
      <c r="AG762" s="737" t="n"/>
      <c r="AH762" s="737" t="n"/>
      <c r="AI762" s="737" t="n"/>
      <c r="AJ762" s="737" t="n"/>
      <c r="AK762" s="588" t="n"/>
      <c r="AL762" s="588" t="n"/>
      <c r="AM762" s="588" t="n"/>
      <c r="AN762" s="588" t="n"/>
      <c r="AO762" s="588" t="n"/>
      <c r="AP762" s="588" t="n"/>
      <c r="AQ762" s="588" t="n"/>
      <c r="AR762" s="588" t="n"/>
      <c r="AS762" s="588" t="n"/>
      <c r="AT762" s="588" t="n"/>
      <c r="AU762" s="588" t="n"/>
      <c r="AV762" s="588" t="n"/>
      <c r="AW762" s="588" t="n"/>
      <c r="AX762" s="588" t="n"/>
      <c r="AY762" s="588" t="n"/>
      <c r="AZ762" s="588" t="n"/>
      <c r="BA762" s="588" t="n"/>
      <c r="BB762" s="588" t="n"/>
      <c r="BC762" s="588" t="n"/>
      <c r="BD762" s="588" t="n"/>
      <c r="BE762" s="588" t="n"/>
      <c r="BF762" s="588" t="n"/>
      <c r="BG762" s="588" t="n"/>
      <c r="BH762" s="588" t="n"/>
      <c r="BI762" s="588" t="n"/>
      <c r="BJ762" s="588" t="n"/>
      <c r="BK762" s="588" t="n"/>
      <c r="BL762" s="588" t="n"/>
      <c r="BM762" s="588" t="n"/>
      <c r="BN762" s="588" t="n"/>
      <c r="BO762" s="588" t="n"/>
      <c r="BP762" s="588" t="n"/>
      <c r="BQ762" s="588" t="n"/>
      <c r="BR762" s="588" t="n"/>
      <c r="BS762" s="588" t="n"/>
      <c r="BT762" s="588" t="n"/>
      <c r="BU762" s="588" t="n"/>
      <c r="BV762" s="588" t="n"/>
      <c r="BW762" s="588" t="n"/>
      <c r="BX762" s="588" t="n"/>
      <c r="BY762" s="588" t="n"/>
      <c r="BZ762" s="588" t="n"/>
      <c r="CA762" s="588" t="n"/>
      <c r="CB762" s="588" t="n"/>
      <c r="CC762" s="588" t="n"/>
      <c r="CD762" s="588" t="n"/>
      <c r="CE762" s="588" t="n"/>
      <c r="CF762" s="588" t="n"/>
      <c r="CG762" s="588" t="n"/>
      <c r="CH762" s="588" t="n"/>
      <c r="CI762" s="588" t="n"/>
      <c r="CJ762" s="588" t="n"/>
      <c r="CK762" s="588" t="n"/>
      <c r="CL762" s="588" t="n"/>
      <c r="CM762" s="588" t="n"/>
      <c r="CN762" s="588" t="n"/>
      <c r="CO762" s="588" t="n"/>
      <c r="CP762" s="588" t="n"/>
      <c r="CQ762" s="588" t="n"/>
      <c r="CR762" s="588" t="n"/>
      <c r="CS762" s="588" t="n"/>
      <c r="CT762" s="588" t="n"/>
      <c r="CU762" s="588" t="n"/>
      <c r="CV762" s="588" t="n"/>
      <c r="CW762" s="588" t="n"/>
      <c r="CX762" s="588" t="n"/>
      <c r="CY762" s="588" t="n"/>
      <c r="CZ762" s="588" t="n"/>
      <c r="DA762" s="588" t="n"/>
      <c r="DB762" s="588" t="n"/>
      <c r="DC762" s="588" t="n"/>
      <c r="DD762" s="588" t="n"/>
      <c r="DE762" s="588" t="n"/>
      <c r="DF762" s="588" t="n"/>
      <c r="DG762" s="588" t="n"/>
      <c r="DH762" s="588" t="n"/>
      <c r="DI762" s="588" t="n"/>
      <c r="DJ762" s="588" t="n"/>
      <c r="DK762" s="588" t="n"/>
      <c r="DL762" s="588" t="n"/>
      <c r="DM762" s="588" t="n"/>
      <c r="DN762" s="588" t="n"/>
      <c r="DO762" s="588" t="n"/>
      <c r="DP762" s="588" t="n"/>
      <c r="DQ762" s="588" t="n"/>
      <c r="DR762" s="588" t="n"/>
      <c r="DS762" s="588" t="n"/>
      <c r="DT762" s="588" t="n"/>
      <c r="DU762" s="588" t="n"/>
    </row>
    <row r="763">
      <c r="A763" s="737" t="n"/>
      <c r="B763" s="737" t="n"/>
      <c r="C763" s="737" t="n"/>
      <c r="D763" s="737" t="n"/>
      <c r="E763" s="737" t="n"/>
      <c r="F763" s="737" t="n"/>
      <c r="G763" s="737" t="n"/>
      <c r="H763" s="737" t="n"/>
      <c r="I763" s="737" t="n"/>
      <c r="J763" s="737" t="n"/>
      <c r="K763" s="737" t="n"/>
      <c r="L763" s="737" t="n"/>
      <c r="M763" s="737" t="n"/>
      <c r="N763" s="737" t="n"/>
      <c r="O763" s="737" t="n"/>
      <c r="P763" s="737" t="n"/>
      <c r="Q763" s="737" t="n"/>
      <c r="R763" s="737" t="n"/>
      <c r="S763" s="737" t="n"/>
      <c r="T763" s="737" t="n"/>
      <c r="U763" s="737" t="n"/>
      <c r="V763" s="737" t="n"/>
      <c r="W763" s="737" t="n"/>
      <c r="X763" s="737" t="n"/>
      <c r="Y763" s="737" t="n"/>
      <c r="Z763" s="737" t="n"/>
      <c r="AA763" s="737" t="n"/>
      <c r="AB763" s="737" t="n"/>
      <c r="AC763" s="737" t="n"/>
      <c r="AD763" s="737" t="n"/>
      <c r="AE763" s="737" t="n"/>
      <c r="AF763" s="737" t="n"/>
      <c r="AG763" s="737" t="n"/>
      <c r="AH763" s="737" t="n"/>
      <c r="AI763" s="737" t="n"/>
      <c r="AJ763" s="737" t="n"/>
      <c r="AK763" s="588" t="n"/>
      <c r="AL763" s="588" t="n"/>
      <c r="AM763" s="588" t="n"/>
      <c r="AN763" s="588" t="n"/>
      <c r="AO763" s="588" t="n"/>
      <c r="AP763" s="588" t="n"/>
      <c r="AQ763" s="588" t="n"/>
      <c r="AR763" s="588" t="n"/>
      <c r="AS763" s="588" t="n"/>
      <c r="AT763" s="588" t="n"/>
      <c r="AU763" s="588" t="n"/>
      <c r="AV763" s="588" t="n"/>
      <c r="AW763" s="588" t="n"/>
      <c r="AX763" s="588" t="n"/>
      <c r="AY763" s="588" t="n"/>
      <c r="AZ763" s="588" t="n"/>
      <c r="BA763" s="588" t="n"/>
      <c r="BB763" s="588" t="n"/>
      <c r="BC763" s="588" t="n"/>
      <c r="BD763" s="588" t="n"/>
      <c r="BE763" s="588" t="n"/>
      <c r="BF763" s="588" t="n"/>
      <c r="BG763" s="588" t="n"/>
      <c r="BH763" s="588" t="n"/>
      <c r="BI763" s="588" t="n"/>
      <c r="BJ763" s="588" t="n"/>
      <c r="BK763" s="588" t="n"/>
      <c r="BL763" s="588" t="n"/>
      <c r="BM763" s="588" t="n"/>
      <c r="BN763" s="588" t="n"/>
      <c r="BO763" s="588" t="n"/>
      <c r="BP763" s="588" t="n"/>
      <c r="BQ763" s="588" t="n"/>
      <c r="BR763" s="588" t="n"/>
      <c r="BS763" s="588" t="n"/>
      <c r="BT763" s="588" t="n"/>
      <c r="BU763" s="588" t="n"/>
      <c r="BV763" s="588" t="n"/>
      <c r="BW763" s="588" t="n"/>
      <c r="BX763" s="588" t="n"/>
      <c r="BY763" s="588" t="n"/>
      <c r="BZ763" s="588" t="n"/>
      <c r="CA763" s="588" t="n"/>
      <c r="CB763" s="588" t="n"/>
      <c r="CC763" s="588" t="n"/>
      <c r="CD763" s="588" t="n"/>
      <c r="CE763" s="588" t="n"/>
      <c r="CF763" s="588" t="n"/>
      <c r="CG763" s="588" t="n"/>
      <c r="CH763" s="588" t="n"/>
      <c r="CI763" s="588" t="n"/>
      <c r="CJ763" s="588" t="n"/>
      <c r="CK763" s="588" t="n"/>
      <c r="CL763" s="588" t="n"/>
      <c r="CM763" s="588" t="n"/>
      <c r="CN763" s="588" t="n"/>
      <c r="CO763" s="588" t="n"/>
      <c r="CP763" s="588" t="n"/>
      <c r="CQ763" s="588" t="n"/>
      <c r="CR763" s="588" t="n"/>
      <c r="CS763" s="588" t="n"/>
      <c r="CT763" s="588" t="n"/>
      <c r="CU763" s="588" t="n"/>
      <c r="CV763" s="588" t="n"/>
      <c r="CW763" s="588" t="n"/>
      <c r="CX763" s="588" t="n"/>
      <c r="CY763" s="588" t="n"/>
      <c r="CZ763" s="588" t="n"/>
      <c r="DA763" s="588" t="n"/>
      <c r="DB763" s="588" t="n"/>
      <c r="DC763" s="588" t="n"/>
      <c r="DD763" s="588" t="n"/>
      <c r="DE763" s="588" t="n"/>
      <c r="DF763" s="588" t="n"/>
      <c r="DG763" s="588" t="n"/>
      <c r="DH763" s="588" t="n"/>
      <c r="DI763" s="588" t="n"/>
      <c r="DJ763" s="588" t="n"/>
      <c r="DK763" s="588" t="n"/>
      <c r="DL763" s="588" t="n"/>
      <c r="DM763" s="588" t="n"/>
      <c r="DN763" s="588" t="n"/>
      <c r="DO763" s="588" t="n"/>
      <c r="DP763" s="588" t="n"/>
      <c r="DQ763" s="588" t="n"/>
      <c r="DR763" s="588" t="n"/>
      <c r="DS763" s="588" t="n"/>
      <c r="DT763" s="588" t="n"/>
      <c r="DU763" s="588" t="n"/>
    </row>
    <row r="764">
      <c r="A764" s="737" t="n"/>
      <c r="B764" s="737" t="n"/>
      <c r="C764" s="737" t="n"/>
      <c r="D764" s="737" t="n"/>
      <c r="E764" s="737" t="n"/>
      <c r="F764" s="737" t="n"/>
      <c r="G764" s="737" t="n"/>
      <c r="H764" s="737" t="n"/>
      <c r="I764" s="737" t="n"/>
      <c r="J764" s="737" t="n"/>
      <c r="K764" s="737" t="n"/>
      <c r="L764" s="737" t="n"/>
      <c r="M764" s="737" t="n"/>
      <c r="N764" s="737" t="n"/>
      <c r="O764" s="737" t="n"/>
      <c r="P764" s="737" t="n"/>
      <c r="Q764" s="737" t="n"/>
      <c r="R764" s="737" t="n"/>
      <c r="S764" s="737" t="n"/>
      <c r="T764" s="737" t="n"/>
      <c r="U764" s="737" t="n"/>
      <c r="V764" s="737" t="n"/>
      <c r="W764" s="737" t="n"/>
      <c r="X764" s="737" t="n"/>
      <c r="Y764" s="737" t="n"/>
      <c r="Z764" s="737" t="n"/>
      <c r="AA764" s="737" t="n"/>
      <c r="AB764" s="737" t="n"/>
      <c r="AC764" s="737" t="n"/>
      <c r="AD764" s="737" t="n"/>
      <c r="AE764" s="737" t="n"/>
      <c r="AF764" s="737" t="n"/>
      <c r="AG764" s="737" t="n"/>
      <c r="AH764" s="737" t="n"/>
      <c r="AI764" s="737" t="n"/>
      <c r="AJ764" s="737" t="n"/>
      <c r="AK764" s="588" t="n"/>
      <c r="AL764" s="588" t="n"/>
      <c r="AM764" s="588" t="n"/>
      <c r="AN764" s="588" t="n"/>
      <c r="AO764" s="588" t="n"/>
      <c r="AP764" s="588" t="n"/>
      <c r="AQ764" s="588" t="n"/>
      <c r="AR764" s="588" t="n"/>
      <c r="AS764" s="588" t="n"/>
      <c r="AT764" s="588" t="n"/>
      <c r="AU764" s="588" t="n"/>
      <c r="AV764" s="588" t="n"/>
      <c r="AW764" s="588" t="n"/>
      <c r="AX764" s="588" t="n"/>
      <c r="AY764" s="588" t="n"/>
      <c r="AZ764" s="588" t="n"/>
      <c r="BA764" s="588" t="n"/>
      <c r="BB764" s="588" t="n"/>
      <c r="BC764" s="588" t="n"/>
      <c r="BD764" s="588" t="n"/>
      <c r="BE764" s="588" t="n"/>
      <c r="BF764" s="588" t="n"/>
      <c r="BG764" s="588" t="n"/>
      <c r="BH764" s="588" t="n"/>
      <c r="BI764" s="588" t="n"/>
      <c r="BJ764" s="588" t="n"/>
      <c r="BK764" s="588" t="n"/>
      <c r="BL764" s="588" t="n"/>
      <c r="BM764" s="588" t="n"/>
      <c r="BN764" s="588" t="n"/>
      <c r="BO764" s="588" t="n"/>
      <c r="BP764" s="588" t="n"/>
      <c r="BQ764" s="588" t="n"/>
      <c r="BR764" s="588" t="n"/>
      <c r="BS764" s="588" t="n"/>
      <c r="BT764" s="588" t="n"/>
      <c r="BU764" s="588" t="n"/>
      <c r="BV764" s="588" t="n"/>
      <c r="BW764" s="588" t="n"/>
      <c r="BX764" s="588" t="n"/>
      <c r="BY764" s="588" t="n"/>
      <c r="BZ764" s="588" t="n"/>
      <c r="CA764" s="588" t="n"/>
      <c r="CB764" s="588" t="n"/>
      <c r="CC764" s="588" t="n"/>
      <c r="CD764" s="588" t="n"/>
      <c r="CE764" s="588" t="n"/>
      <c r="CF764" s="588" t="n"/>
      <c r="CG764" s="588" t="n"/>
      <c r="CH764" s="588" t="n"/>
      <c r="CI764" s="588" t="n"/>
      <c r="CJ764" s="588" t="n"/>
      <c r="CK764" s="588" t="n"/>
      <c r="CL764" s="588" t="n"/>
      <c r="CM764" s="588" t="n"/>
      <c r="CN764" s="588" t="n"/>
      <c r="CO764" s="588" t="n"/>
      <c r="CP764" s="588" t="n"/>
      <c r="CQ764" s="588" t="n"/>
      <c r="CR764" s="588" t="n"/>
      <c r="CS764" s="588" t="n"/>
      <c r="CT764" s="588" t="n"/>
      <c r="CU764" s="588" t="n"/>
      <c r="CV764" s="588" t="n"/>
      <c r="CW764" s="588" t="n"/>
      <c r="CX764" s="588" t="n"/>
      <c r="CY764" s="588" t="n"/>
      <c r="CZ764" s="588" t="n"/>
      <c r="DA764" s="588" t="n"/>
      <c r="DB764" s="588" t="n"/>
      <c r="DC764" s="588" t="n"/>
      <c r="DD764" s="588" t="n"/>
      <c r="DE764" s="588" t="n"/>
      <c r="DF764" s="588" t="n"/>
      <c r="DG764" s="588" t="n"/>
      <c r="DH764" s="588" t="n"/>
      <c r="DI764" s="588" t="n"/>
      <c r="DJ764" s="588" t="n"/>
      <c r="DK764" s="588" t="n"/>
      <c r="DL764" s="588" t="n"/>
      <c r="DM764" s="588" t="n"/>
      <c r="DN764" s="588" t="n"/>
      <c r="DO764" s="588" t="n"/>
      <c r="DP764" s="588" t="n"/>
      <c r="DQ764" s="588" t="n"/>
      <c r="DR764" s="588" t="n"/>
      <c r="DS764" s="588" t="n"/>
      <c r="DT764" s="588" t="n"/>
      <c r="DU764" s="588" t="n"/>
    </row>
    <row r="765">
      <c r="A765" s="737" t="n"/>
      <c r="B765" s="737" t="n"/>
      <c r="C765" s="737" t="n"/>
      <c r="D765" s="737" t="n"/>
      <c r="E765" s="737" t="n"/>
      <c r="F765" s="737" t="n"/>
      <c r="G765" s="737" t="n"/>
      <c r="H765" s="737" t="n"/>
      <c r="I765" s="737" t="n"/>
      <c r="J765" s="737" t="n"/>
      <c r="K765" s="737" t="n"/>
      <c r="L765" s="737" t="n"/>
      <c r="M765" s="737" t="n"/>
      <c r="N765" s="737" t="n"/>
      <c r="O765" s="737" t="n"/>
      <c r="P765" s="737" t="n"/>
      <c r="Q765" s="737" t="n"/>
      <c r="R765" s="737" t="n"/>
      <c r="S765" s="737" t="n"/>
      <c r="T765" s="737" t="n"/>
      <c r="U765" s="737" t="n"/>
      <c r="V765" s="737" t="n"/>
      <c r="W765" s="737" t="n"/>
      <c r="X765" s="737" t="n"/>
      <c r="Y765" s="737" t="n"/>
      <c r="Z765" s="737" t="n"/>
      <c r="AA765" s="737" t="n"/>
      <c r="AB765" s="737" t="n"/>
      <c r="AC765" s="737" t="n"/>
      <c r="AD765" s="737" t="n"/>
      <c r="AE765" s="737" t="n"/>
      <c r="AF765" s="737" t="n"/>
      <c r="AG765" s="737" t="n"/>
      <c r="AH765" s="737" t="n"/>
      <c r="AI765" s="737" t="n"/>
      <c r="AJ765" s="737" t="n"/>
      <c r="AK765" s="588" t="n"/>
      <c r="AL765" s="588" t="n"/>
      <c r="AM765" s="588" t="n"/>
      <c r="AN765" s="588" t="n"/>
      <c r="AO765" s="588" t="n"/>
      <c r="AP765" s="588" t="n"/>
      <c r="AQ765" s="588" t="n"/>
      <c r="AR765" s="588" t="n"/>
      <c r="AS765" s="588" t="n"/>
      <c r="AT765" s="588" t="n"/>
      <c r="AU765" s="588" t="n"/>
      <c r="AV765" s="588" t="n"/>
      <c r="AW765" s="588" t="n"/>
      <c r="AX765" s="588" t="n"/>
      <c r="AY765" s="588" t="n"/>
      <c r="AZ765" s="588" t="n"/>
      <c r="BA765" s="588" t="n"/>
      <c r="BB765" s="588" t="n"/>
      <c r="BC765" s="588" t="n"/>
      <c r="BD765" s="588" t="n"/>
      <c r="BE765" s="588" t="n"/>
      <c r="BF765" s="588" t="n"/>
      <c r="BG765" s="588" t="n"/>
      <c r="BH765" s="588" t="n"/>
      <c r="BI765" s="588" t="n"/>
      <c r="BJ765" s="588" t="n"/>
      <c r="BK765" s="588" t="n"/>
      <c r="BL765" s="588" t="n"/>
      <c r="BM765" s="588" t="n"/>
      <c r="BN765" s="588" t="n"/>
      <c r="BO765" s="588" t="n"/>
      <c r="BP765" s="588" t="n"/>
      <c r="BQ765" s="588" t="n"/>
      <c r="BR765" s="588" t="n"/>
      <c r="BS765" s="588" t="n"/>
      <c r="BT765" s="588" t="n"/>
      <c r="BU765" s="588" t="n"/>
      <c r="BV765" s="588" t="n"/>
      <c r="BW765" s="588" t="n"/>
      <c r="BX765" s="588" t="n"/>
      <c r="BY765" s="588" t="n"/>
      <c r="BZ765" s="588" t="n"/>
      <c r="CA765" s="588" t="n"/>
      <c r="CB765" s="588" t="n"/>
      <c r="CC765" s="588" t="n"/>
      <c r="CD765" s="588" t="n"/>
      <c r="CE765" s="588" t="n"/>
      <c r="CF765" s="588" t="n"/>
      <c r="CG765" s="588" t="n"/>
      <c r="CH765" s="588" t="n"/>
      <c r="CI765" s="588" t="n"/>
      <c r="CJ765" s="588" t="n"/>
      <c r="CK765" s="588" t="n"/>
      <c r="CL765" s="588" t="n"/>
      <c r="CM765" s="588" t="n"/>
      <c r="CN765" s="588" t="n"/>
      <c r="CO765" s="588" t="n"/>
      <c r="CP765" s="588" t="n"/>
      <c r="CQ765" s="588" t="n"/>
      <c r="CR765" s="588" t="n"/>
      <c r="CS765" s="588" t="n"/>
      <c r="CT765" s="588" t="n"/>
      <c r="CU765" s="588" t="n"/>
      <c r="CV765" s="588" t="n"/>
      <c r="CW765" s="588" t="n"/>
      <c r="CX765" s="588" t="n"/>
      <c r="CY765" s="588" t="n"/>
      <c r="CZ765" s="588" t="n"/>
      <c r="DA765" s="588" t="n"/>
      <c r="DB765" s="588" t="n"/>
      <c r="DC765" s="588" t="n"/>
      <c r="DD765" s="588" t="n"/>
      <c r="DE765" s="588" t="n"/>
      <c r="DF765" s="588" t="n"/>
      <c r="DG765" s="588" t="n"/>
      <c r="DH765" s="588" t="n"/>
      <c r="DI765" s="588" t="n"/>
      <c r="DJ765" s="588" t="n"/>
      <c r="DK765" s="588" t="n"/>
      <c r="DL765" s="588" t="n"/>
      <c r="DM765" s="588" t="n"/>
      <c r="DN765" s="588" t="n"/>
      <c r="DO765" s="588" t="n"/>
      <c r="DP765" s="588" t="n"/>
      <c r="DQ765" s="588" t="n"/>
      <c r="DR765" s="588" t="n"/>
      <c r="DS765" s="588" t="n"/>
      <c r="DT765" s="588" t="n"/>
      <c r="DU765" s="588" t="n"/>
    </row>
    <row r="766">
      <c r="A766" s="737" t="n"/>
      <c r="B766" s="737" t="n"/>
      <c r="C766" s="737" t="n"/>
      <c r="D766" s="737" t="n"/>
      <c r="E766" s="737" t="n"/>
      <c r="F766" s="737" t="n"/>
      <c r="G766" s="737" t="n"/>
      <c r="H766" s="737" t="n"/>
      <c r="I766" s="737" t="n"/>
      <c r="J766" s="737" t="n"/>
      <c r="K766" s="737" t="n"/>
      <c r="L766" s="737" t="n"/>
      <c r="M766" s="737" t="n"/>
      <c r="N766" s="737" t="n"/>
      <c r="O766" s="737" t="n"/>
      <c r="P766" s="737" t="n"/>
      <c r="Q766" s="737" t="n"/>
      <c r="R766" s="737" t="n"/>
      <c r="S766" s="737" t="n"/>
      <c r="T766" s="737" t="n"/>
      <c r="U766" s="737" t="n"/>
      <c r="V766" s="737" t="n"/>
      <c r="W766" s="737" t="n"/>
      <c r="X766" s="737" t="n"/>
      <c r="Y766" s="737" t="n"/>
      <c r="Z766" s="737" t="n"/>
      <c r="AA766" s="737" t="n"/>
      <c r="AB766" s="737" t="n"/>
      <c r="AC766" s="737" t="n"/>
      <c r="AD766" s="737" t="n"/>
      <c r="AE766" s="737" t="n"/>
      <c r="AF766" s="737" t="n"/>
      <c r="AG766" s="737" t="n"/>
      <c r="AH766" s="737" t="n"/>
      <c r="AI766" s="737" t="n"/>
      <c r="AJ766" s="737" t="n"/>
      <c r="AK766" s="588" t="n"/>
      <c r="AL766" s="588" t="n"/>
      <c r="AM766" s="588" t="n"/>
      <c r="AN766" s="588" t="n"/>
      <c r="AO766" s="588" t="n"/>
      <c r="AP766" s="588" t="n"/>
      <c r="AQ766" s="588" t="n"/>
      <c r="AR766" s="588" t="n"/>
      <c r="AS766" s="588" t="n"/>
      <c r="AT766" s="588" t="n"/>
      <c r="AU766" s="588" t="n"/>
      <c r="AV766" s="588" t="n"/>
      <c r="AW766" s="588" t="n"/>
      <c r="AX766" s="588" t="n"/>
      <c r="AY766" s="588" t="n"/>
      <c r="AZ766" s="588" t="n"/>
      <c r="BA766" s="588" t="n"/>
      <c r="BB766" s="588" t="n"/>
      <c r="BC766" s="588" t="n"/>
      <c r="BD766" s="588" t="n"/>
      <c r="BE766" s="588" t="n"/>
      <c r="BF766" s="588" t="n"/>
      <c r="BG766" s="588" t="n"/>
      <c r="BH766" s="588" t="n"/>
      <c r="BI766" s="588" t="n"/>
      <c r="BJ766" s="588" t="n"/>
      <c r="BK766" s="588" t="n"/>
      <c r="BL766" s="588" t="n"/>
      <c r="BM766" s="588" t="n"/>
      <c r="BN766" s="588" t="n"/>
      <c r="BO766" s="588" t="n"/>
      <c r="BP766" s="588" t="n"/>
      <c r="BQ766" s="588" t="n"/>
      <c r="BR766" s="588" t="n"/>
      <c r="BS766" s="588" t="n"/>
      <c r="BT766" s="588" t="n"/>
      <c r="BU766" s="588" t="n"/>
      <c r="BV766" s="588" t="n"/>
      <c r="BW766" s="588" t="n"/>
      <c r="BX766" s="588" t="n"/>
      <c r="BY766" s="588" t="n"/>
      <c r="BZ766" s="588" t="n"/>
      <c r="CA766" s="588" t="n"/>
      <c r="CB766" s="588" t="n"/>
      <c r="CC766" s="588" t="n"/>
      <c r="CD766" s="588" t="n"/>
      <c r="CE766" s="588" t="n"/>
      <c r="CF766" s="588" t="n"/>
      <c r="CG766" s="588" t="n"/>
      <c r="CH766" s="588" t="n"/>
      <c r="CI766" s="588" t="n"/>
      <c r="CJ766" s="588" t="n"/>
      <c r="CK766" s="588" t="n"/>
      <c r="CL766" s="588" t="n"/>
      <c r="CM766" s="588" t="n"/>
      <c r="CN766" s="588" t="n"/>
      <c r="CO766" s="588" t="n"/>
      <c r="CP766" s="588" t="n"/>
      <c r="CQ766" s="588" t="n"/>
      <c r="CR766" s="588" t="n"/>
      <c r="CS766" s="588" t="n"/>
      <c r="CT766" s="588" t="n"/>
      <c r="CU766" s="588" t="n"/>
      <c r="CV766" s="588" t="n"/>
      <c r="CW766" s="588" t="n"/>
      <c r="CX766" s="588" t="n"/>
      <c r="CY766" s="588" t="n"/>
      <c r="CZ766" s="588" t="n"/>
      <c r="DA766" s="588" t="n"/>
      <c r="DB766" s="588" t="n"/>
      <c r="DC766" s="588" t="n"/>
      <c r="DD766" s="588" t="n"/>
      <c r="DE766" s="588" t="n"/>
      <c r="DF766" s="588" t="n"/>
      <c r="DG766" s="588" t="n"/>
      <c r="DH766" s="588" t="n"/>
      <c r="DI766" s="588" t="n"/>
      <c r="DJ766" s="588" t="n"/>
      <c r="DK766" s="588" t="n"/>
      <c r="DL766" s="588" t="n"/>
      <c r="DM766" s="588" t="n"/>
      <c r="DN766" s="588" t="n"/>
      <c r="DO766" s="588" t="n"/>
      <c r="DP766" s="588" t="n"/>
      <c r="DQ766" s="588" t="n"/>
      <c r="DR766" s="588" t="n"/>
      <c r="DS766" s="588" t="n"/>
      <c r="DT766" s="588" t="n"/>
      <c r="DU766" s="588" t="n"/>
    </row>
    <row r="767">
      <c r="A767" s="737" t="n"/>
      <c r="B767" s="737" t="n"/>
      <c r="C767" s="737" t="n"/>
      <c r="D767" s="737" t="n"/>
      <c r="E767" s="737" t="n"/>
      <c r="F767" s="737" t="n"/>
      <c r="G767" s="737" t="n"/>
      <c r="H767" s="737" t="n"/>
      <c r="I767" s="737" t="n"/>
      <c r="J767" s="737" t="n"/>
      <c r="K767" s="737" t="n"/>
      <c r="L767" s="737" t="n"/>
      <c r="M767" s="737" t="n"/>
      <c r="N767" s="737" t="n"/>
      <c r="O767" s="737" t="n"/>
      <c r="P767" s="737" t="n"/>
      <c r="Q767" s="737" t="n"/>
      <c r="R767" s="737" t="n"/>
      <c r="S767" s="737" t="n"/>
      <c r="T767" s="737" t="n"/>
      <c r="U767" s="737" t="n"/>
      <c r="V767" s="737" t="n"/>
      <c r="W767" s="737" t="n"/>
      <c r="X767" s="737" t="n"/>
      <c r="Y767" s="737" t="n"/>
      <c r="Z767" s="737" t="n"/>
      <c r="AA767" s="737" t="n"/>
      <c r="AB767" s="737" t="n"/>
      <c r="AC767" s="737" t="n"/>
      <c r="AD767" s="737" t="n"/>
      <c r="AE767" s="737" t="n"/>
      <c r="AF767" s="737" t="n"/>
      <c r="AG767" s="737" t="n"/>
      <c r="AH767" s="737" t="n"/>
      <c r="AI767" s="737" t="n"/>
      <c r="AJ767" s="737" t="n"/>
      <c r="AK767" s="588" t="n"/>
      <c r="AL767" s="588" t="n"/>
      <c r="AM767" s="588" t="n"/>
      <c r="AN767" s="588" t="n"/>
      <c r="AO767" s="588" t="n"/>
      <c r="AP767" s="588" t="n"/>
      <c r="AQ767" s="588" t="n"/>
      <c r="AR767" s="588" t="n"/>
      <c r="AS767" s="588" t="n"/>
      <c r="AT767" s="588" t="n"/>
      <c r="AU767" s="588" t="n"/>
      <c r="AV767" s="588" t="n"/>
      <c r="AW767" s="588" t="n"/>
      <c r="AX767" s="588" t="n"/>
      <c r="AY767" s="588" t="n"/>
      <c r="AZ767" s="588" t="n"/>
      <c r="BA767" s="588" t="n"/>
      <c r="BB767" s="588" t="n"/>
      <c r="BC767" s="588" t="n"/>
      <c r="BD767" s="588" t="n"/>
      <c r="BE767" s="588" t="n"/>
      <c r="BF767" s="588" t="n"/>
      <c r="BG767" s="588" t="n"/>
      <c r="BH767" s="588" t="n"/>
      <c r="BI767" s="588" t="n"/>
      <c r="BJ767" s="588" t="n"/>
      <c r="BK767" s="588" t="n"/>
      <c r="BL767" s="588" t="n"/>
      <c r="BM767" s="588" t="n"/>
      <c r="BN767" s="588" t="n"/>
      <c r="BO767" s="588" t="n"/>
      <c r="BP767" s="588" t="n"/>
      <c r="BQ767" s="588" t="n"/>
      <c r="BR767" s="588" t="n"/>
      <c r="BS767" s="588" t="n"/>
      <c r="BT767" s="588" t="n"/>
      <c r="BU767" s="588" t="n"/>
      <c r="BV767" s="588" t="n"/>
      <c r="BW767" s="588" t="n"/>
      <c r="BX767" s="588" t="n"/>
      <c r="BY767" s="588" t="n"/>
      <c r="BZ767" s="588" t="n"/>
      <c r="CA767" s="588" t="n"/>
      <c r="CB767" s="588" t="n"/>
      <c r="CC767" s="588" t="n"/>
      <c r="CD767" s="588" t="n"/>
      <c r="CE767" s="588" t="n"/>
      <c r="CF767" s="588" t="n"/>
      <c r="CG767" s="588" t="n"/>
      <c r="CH767" s="588" t="n"/>
      <c r="CI767" s="588" t="n"/>
      <c r="CJ767" s="588" t="n"/>
      <c r="CK767" s="588" t="n"/>
      <c r="CL767" s="588" t="n"/>
      <c r="CM767" s="588" t="n"/>
      <c r="CN767" s="588" t="n"/>
      <c r="CO767" s="588" t="n"/>
      <c r="CP767" s="588" t="n"/>
      <c r="CQ767" s="588" t="n"/>
      <c r="CR767" s="588" t="n"/>
      <c r="CS767" s="588" t="n"/>
      <c r="CT767" s="588" t="n"/>
      <c r="CU767" s="588" t="n"/>
      <c r="CV767" s="588" t="n"/>
      <c r="CW767" s="588" t="n"/>
      <c r="CX767" s="588" t="n"/>
      <c r="CY767" s="588" t="n"/>
      <c r="CZ767" s="588" t="n"/>
      <c r="DA767" s="588" t="n"/>
      <c r="DB767" s="588" t="n"/>
      <c r="DC767" s="588" t="n"/>
      <c r="DD767" s="588" t="n"/>
      <c r="DE767" s="588" t="n"/>
      <c r="DF767" s="588" t="n"/>
      <c r="DG767" s="588" t="n"/>
      <c r="DH767" s="588" t="n"/>
      <c r="DI767" s="588" t="n"/>
      <c r="DJ767" s="588" t="n"/>
      <c r="DK767" s="588" t="n"/>
      <c r="DL767" s="588" t="n"/>
      <c r="DM767" s="588" t="n"/>
      <c r="DN767" s="588" t="n"/>
      <c r="DO767" s="588" t="n"/>
      <c r="DP767" s="588" t="n"/>
      <c r="DQ767" s="588" t="n"/>
      <c r="DR767" s="588" t="n"/>
      <c r="DS767" s="588" t="n"/>
      <c r="DT767" s="588" t="n"/>
      <c r="DU767" s="588" t="n"/>
    </row>
    <row r="768">
      <c r="A768" s="737" t="n"/>
      <c r="B768" s="737" t="n"/>
      <c r="C768" s="737" t="n"/>
      <c r="D768" s="737" t="n"/>
      <c r="E768" s="737" t="n"/>
      <c r="F768" s="737" t="n"/>
      <c r="G768" s="737" t="n"/>
      <c r="H768" s="737" t="n"/>
      <c r="I768" s="737" t="n"/>
      <c r="J768" s="737" t="n"/>
      <c r="K768" s="737" t="n"/>
      <c r="L768" s="737" t="n"/>
      <c r="M768" s="737" t="n"/>
      <c r="N768" s="737" t="n"/>
      <c r="O768" s="737" t="n"/>
      <c r="P768" s="737" t="n"/>
      <c r="Q768" s="737" t="n"/>
      <c r="R768" s="737" t="n"/>
      <c r="S768" s="737" t="n"/>
      <c r="T768" s="737" t="n"/>
      <c r="U768" s="737" t="n"/>
      <c r="V768" s="737" t="n"/>
      <c r="W768" s="737" t="n"/>
      <c r="X768" s="737" t="n"/>
      <c r="Y768" s="737" t="n"/>
      <c r="Z768" s="737" t="n"/>
      <c r="AA768" s="737" t="n"/>
      <c r="AB768" s="737" t="n"/>
      <c r="AC768" s="737" t="n"/>
      <c r="AD768" s="737" t="n"/>
      <c r="AE768" s="737" t="n"/>
      <c r="AF768" s="737" t="n"/>
      <c r="AG768" s="737" t="n"/>
      <c r="AH768" s="737" t="n"/>
      <c r="AI768" s="737" t="n"/>
      <c r="AJ768" s="737" t="n"/>
      <c r="AK768" s="588" t="n"/>
      <c r="AL768" s="588" t="n"/>
      <c r="AM768" s="588" t="n"/>
      <c r="AN768" s="588" t="n"/>
      <c r="AO768" s="588" t="n"/>
      <c r="AP768" s="588" t="n"/>
      <c r="AQ768" s="588" t="n"/>
      <c r="AR768" s="588" t="n"/>
      <c r="AS768" s="588" t="n"/>
      <c r="AT768" s="588" t="n"/>
      <c r="AU768" s="588" t="n"/>
      <c r="AV768" s="588" t="n"/>
      <c r="AW768" s="588" t="n"/>
      <c r="AX768" s="588" t="n"/>
      <c r="AY768" s="588" t="n"/>
      <c r="AZ768" s="588" t="n"/>
      <c r="BA768" s="588" t="n"/>
      <c r="BB768" s="588" t="n"/>
      <c r="BC768" s="588" t="n"/>
      <c r="BD768" s="588" t="n"/>
      <c r="BE768" s="588" t="n"/>
      <c r="BF768" s="588" t="n"/>
      <c r="BG768" s="588" t="n"/>
      <c r="BH768" s="588" t="n"/>
      <c r="BI768" s="588" t="n"/>
      <c r="BJ768" s="588" t="n"/>
      <c r="BK768" s="588" t="n"/>
      <c r="BL768" s="588" t="n"/>
      <c r="BM768" s="588" t="n"/>
      <c r="BN768" s="588" t="n"/>
      <c r="BO768" s="588" t="n"/>
      <c r="BP768" s="588" t="n"/>
      <c r="BQ768" s="588" t="n"/>
      <c r="BR768" s="588" t="n"/>
      <c r="BS768" s="588" t="n"/>
      <c r="BT768" s="588" t="n"/>
      <c r="BU768" s="588" t="n"/>
      <c r="BV768" s="588" t="n"/>
      <c r="BW768" s="588" t="n"/>
      <c r="BX768" s="588" t="n"/>
      <c r="BY768" s="588" t="n"/>
      <c r="BZ768" s="588" t="n"/>
      <c r="CA768" s="588" t="n"/>
      <c r="CB768" s="588" t="n"/>
      <c r="CC768" s="588" t="n"/>
      <c r="CD768" s="588" t="n"/>
      <c r="CE768" s="588" t="n"/>
      <c r="CF768" s="588" t="n"/>
      <c r="CG768" s="588" t="n"/>
      <c r="CH768" s="588" t="n"/>
      <c r="CI768" s="588" t="n"/>
      <c r="CJ768" s="588" t="n"/>
      <c r="CK768" s="588" t="n"/>
      <c r="CL768" s="588" t="n"/>
      <c r="CM768" s="588" t="n"/>
      <c r="CN768" s="588" t="n"/>
      <c r="CO768" s="588" t="n"/>
      <c r="CP768" s="588" t="n"/>
      <c r="CQ768" s="588" t="n"/>
      <c r="CR768" s="588" t="n"/>
      <c r="CS768" s="588" t="n"/>
      <c r="CT768" s="588" t="n"/>
      <c r="CU768" s="588" t="n"/>
      <c r="CV768" s="588" t="n"/>
      <c r="CW768" s="588" t="n"/>
      <c r="CX768" s="588" t="n"/>
      <c r="CY768" s="588" t="n"/>
      <c r="CZ768" s="588" t="n"/>
      <c r="DA768" s="588" t="n"/>
      <c r="DB768" s="588" t="n"/>
      <c r="DC768" s="588" t="n"/>
      <c r="DD768" s="588" t="n"/>
      <c r="DE768" s="588" t="n"/>
      <c r="DF768" s="588" t="n"/>
      <c r="DG768" s="588" t="n"/>
      <c r="DH768" s="588" t="n"/>
      <c r="DI768" s="588" t="n"/>
      <c r="DJ768" s="588" t="n"/>
      <c r="DK768" s="588" t="n"/>
      <c r="DL768" s="588" t="n"/>
      <c r="DM768" s="588" t="n"/>
      <c r="DN768" s="588" t="n"/>
      <c r="DO768" s="588" t="n"/>
      <c r="DP768" s="588" t="n"/>
      <c r="DQ768" s="588" t="n"/>
      <c r="DR768" s="588" t="n"/>
      <c r="DS768" s="588" t="n"/>
      <c r="DT768" s="588" t="n"/>
      <c r="DU768" s="588" t="n"/>
    </row>
    <row r="769">
      <c r="A769" s="737" t="n"/>
      <c r="B769" s="737" t="n"/>
      <c r="C769" s="737" t="n"/>
      <c r="D769" s="737" t="n"/>
      <c r="E769" s="737" t="n"/>
      <c r="F769" s="737" t="n"/>
      <c r="G769" s="737" t="n"/>
      <c r="H769" s="737" t="n"/>
      <c r="I769" s="737" t="n"/>
      <c r="J769" s="737" t="n"/>
      <c r="K769" s="737" t="n"/>
      <c r="L769" s="737" t="n"/>
      <c r="M769" s="737" t="n"/>
      <c r="N769" s="737" t="n"/>
      <c r="O769" s="737" t="n"/>
      <c r="P769" s="737" t="n"/>
      <c r="Q769" s="737" t="n"/>
      <c r="R769" s="737" t="n"/>
      <c r="S769" s="737" t="n"/>
      <c r="T769" s="737" t="n"/>
      <c r="U769" s="737" t="n"/>
      <c r="V769" s="737" t="n"/>
      <c r="W769" s="737" t="n"/>
      <c r="X769" s="737" t="n"/>
      <c r="Y769" s="737" t="n"/>
      <c r="Z769" s="737" t="n"/>
      <c r="AA769" s="737" t="n"/>
      <c r="AB769" s="737" t="n"/>
      <c r="AC769" s="737" t="n"/>
      <c r="AD769" s="737" t="n"/>
      <c r="AE769" s="737" t="n"/>
      <c r="AF769" s="737" t="n"/>
      <c r="AG769" s="737" t="n"/>
      <c r="AH769" s="737" t="n"/>
      <c r="AI769" s="737" t="n"/>
      <c r="AJ769" s="737" t="n"/>
      <c r="AK769" s="588" t="n"/>
      <c r="AL769" s="588" t="n"/>
      <c r="AM769" s="588" t="n"/>
      <c r="AN769" s="588" t="n"/>
      <c r="AO769" s="588" t="n"/>
      <c r="AP769" s="588" t="n"/>
      <c r="AQ769" s="588" t="n"/>
      <c r="AR769" s="588" t="n"/>
      <c r="AS769" s="588" t="n"/>
      <c r="AT769" s="588" t="n"/>
      <c r="AU769" s="588" t="n"/>
      <c r="AV769" s="588" t="n"/>
      <c r="AW769" s="588" t="n"/>
      <c r="AX769" s="588" t="n"/>
      <c r="AY769" s="588" t="n"/>
      <c r="AZ769" s="588" t="n"/>
      <c r="BA769" s="588" t="n"/>
      <c r="BB769" s="588" t="n"/>
      <c r="BC769" s="588" t="n"/>
      <c r="BD769" s="588" t="n"/>
      <c r="BE769" s="588" t="n"/>
      <c r="BF769" s="588" t="n"/>
      <c r="BG769" s="588" t="n"/>
      <c r="BH769" s="588" t="n"/>
      <c r="BI769" s="588" t="n"/>
      <c r="BJ769" s="588" t="n"/>
      <c r="BK769" s="588" t="n"/>
      <c r="BL769" s="588" t="n"/>
      <c r="BM769" s="588" t="n"/>
      <c r="BN769" s="588" t="n"/>
      <c r="BO769" s="588" t="n"/>
      <c r="BP769" s="588" t="n"/>
      <c r="BQ769" s="588" t="n"/>
      <c r="BR769" s="588" t="n"/>
      <c r="BS769" s="588" t="n"/>
      <c r="BT769" s="588" t="n"/>
      <c r="BU769" s="588" t="n"/>
      <c r="BV769" s="588" t="n"/>
      <c r="BW769" s="588" t="n"/>
      <c r="BX769" s="588" t="n"/>
      <c r="BY769" s="588" t="n"/>
      <c r="BZ769" s="588" t="n"/>
      <c r="CA769" s="588" t="n"/>
      <c r="CB769" s="588" t="n"/>
      <c r="CC769" s="588" t="n"/>
      <c r="CD769" s="588" t="n"/>
      <c r="CE769" s="588" t="n"/>
      <c r="CF769" s="588" t="n"/>
      <c r="CG769" s="588" t="n"/>
      <c r="CH769" s="588" t="n"/>
      <c r="CI769" s="588" t="n"/>
      <c r="CJ769" s="588" t="n"/>
      <c r="CK769" s="588" t="n"/>
      <c r="CL769" s="588" t="n"/>
      <c r="CM769" s="588" t="n"/>
      <c r="CN769" s="588" t="n"/>
      <c r="CO769" s="588" t="n"/>
      <c r="CP769" s="588" t="n"/>
      <c r="CQ769" s="588" t="n"/>
      <c r="CR769" s="588" t="n"/>
      <c r="CS769" s="588" t="n"/>
      <c r="CT769" s="588" t="n"/>
      <c r="CU769" s="588" t="n"/>
      <c r="CV769" s="588" t="n"/>
      <c r="CW769" s="588" t="n"/>
      <c r="CX769" s="588" t="n"/>
      <c r="CY769" s="588" t="n"/>
      <c r="CZ769" s="588" t="n"/>
      <c r="DA769" s="588" t="n"/>
      <c r="DB769" s="588" t="n"/>
      <c r="DC769" s="588" t="n"/>
      <c r="DD769" s="588" t="n"/>
      <c r="DE769" s="588" t="n"/>
      <c r="DF769" s="588" t="n"/>
      <c r="DG769" s="588" t="n"/>
      <c r="DH769" s="588" t="n"/>
      <c r="DI769" s="588" t="n"/>
      <c r="DJ769" s="588" t="n"/>
      <c r="DK769" s="588" t="n"/>
      <c r="DL769" s="588" t="n"/>
      <c r="DM769" s="588" t="n"/>
      <c r="DN769" s="588" t="n"/>
      <c r="DO769" s="588" t="n"/>
      <c r="DP769" s="588" t="n"/>
      <c r="DQ769" s="588" t="n"/>
      <c r="DR769" s="588" t="n"/>
      <c r="DS769" s="588" t="n"/>
      <c r="DT769" s="588" t="n"/>
      <c r="DU769" s="588" t="n"/>
    </row>
    <row r="770">
      <c r="A770" s="737" t="n"/>
      <c r="B770" s="737" t="n"/>
      <c r="C770" s="737" t="n"/>
      <c r="D770" s="737" t="n"/>
      <c r="E770" s="737" t="n"/>
      <c r="F770" s="737" t="n"/>
      <c r="G770" s="737" t="n"/>
      <c r="H770" s="737" t="n"/>
      <c r="I770" s="737" t="n"/>
      <c r="J770" s="737" t="n"/>
      <c r="K770" s="737" t="n"/>
      <c r="L770" s="737" t="n"/>
      <c r="M770" s="737" t="n"/>
      <c r="N770" s="737" t="n"/>
      <c r="O770" s="737" t="n"/>
      <c r="P770" s="737" t="n"/>
      <c r="Q770" s="737" t="n"/>
      <c r="R770" s="737" t="n"/>
      <c r="S770" s="737" t="n"/>
      <c r="T770" s="737" t="n"/>
      <c r="U770" s="737" t="n"/>
      <c r="V770" s="737" t="n"/>
      <c r="W770" s="737" t="n"/>
      <c r="X770" s="737" t="n"/>
      <c r="Y770" s="737" t="n"/>
      <c r="Z770" s="737" t="n"/>
      <c r="AA770" s="737" t="n"/>
      <c r="AB770" s="737" t="n"/>
      <c r="AC770" s="737" t="n"/>
      <c r="AD770" s="737" t="n"/>
      <c r="AE770" s="737" t="n"/>
      <c r="AF770" s="737" t="n"/>
      <c r="AG770" s="737" t="n"/>
      <c r="AH770" s="737" t="n"/>
      <c r="AI770" s="737" t="n"/>
      <c r="AJ770" s="737" t="n"/>
      <c r="AK770" s="588" t="n"/>
      <c r="AL770" s="588" t="n"/>
      <c r="AM770" s="588" t="n"/>
      <c r="AN770" s="588" t="n"/>
      <c r="AO770" s="588" t="n"/>
      <c r="AP770" s="588" t="n"/>
      <c r="AQ770" s="588" t="n"/>
      <c r="AR770" s="588" t="n"/>
      <c r="AS770" s="588" t="n"/>
      <c r="AT770" s="588" t="n"/>
      <c r="AU770" s="588" t="n"/>
      <c r="AV770" s="588" t="n"/>
      <c r="AW770" s="588" t="n"/>
      <c r="AX770" s="588" t="n"/>
      <c r="AY770" s="588" t="n"/>
      <c r="AZ770" s="588" t="n"/>
      <c r="BA770" s="588" t="n"/>
      <c r="BB770" s="588" t="n"/>
      <c r="BC770" s="588" t="n"/>
      <c r="BD770" s="588" t="n"/>
      <c r="BE770" s="588" t="n"/>
      <c r="BF770" s="588" t="n"/>
      <c r="BG770" s="588" t="n"/>
      <c r="BH770" s="588" t="n"/>
      <c r="BI770" s="588" t="n"/>
      <c r="BJ770" s="588" t="n"/>
      <c r="BK770" s="588" t="n"/>
      <c r="BL770" s="588" t="n"/>
      <c r="BM770" s="588" t="n"/>
      <c r="BN770" s="588" t="n"/>
      <c r="BO770" s="588" t="n"/>
      <c r="BP770" s="588" t="n"/>
      <c r="BQ770" s="588" t="n"/>
      <c r="BR770" s="588" t="n"/>
      <c r="BS770" s="588" t="n"/>
      <c r="BT770" s="588" t="n"/>
      <c r="BU770" s="588" t="n"/>
      <c r="BV770" s="588" t="n"/>
      <c r="BW770" s="588" t="n"/>
      <c r="BX770" s="588" t="n"/>
      <c r="BY770" s="588" t="n"/>
      <c r="BZ770" s="588" t="n"/>
      <c r="CA770" s="588" t="n"/>
      <c r="CB770" s="588" t="n"/>
      <c r="CC770" s="588" t="n"/>
      <c r="CD770" s="588" t="n"/>
      <c r="CE770" s="588" t="n"/>
      <c r="CF770" s="588" t="n"/>
      <c r="CG770" s="588" t="n"/>
      <c r="CH770" s="588" t="n"/>
      <c r="CI770" s="588" t="n"/>
      <c r="CJ770" s="588" t="n"/>
      <c r="CK770" s="588" t="n"/>
      <c r="CL770" s="588" t="n"/>
      <c r="CM770" s="588" t="n"/>
      <c r="CN770" s="588" t="n"/>
      <c r="CO770" s="588" t="n"/>
      <c r="CP770" s="588" t="n"/>
      <c r="CQ770" s="588" t="n"/>
      <c r="CR770" s="588" t="n"/>
      <c r="CS770" s="588" t="n"/>
      <c r="CT770" s="588" t="n"/>
      <c r="CU770" s="588" t="n"/>
      <c r="CV770" s="588" t="n"/>
      <c r="CW770" s="588" t="n"/>
      <c r="CX770" s="588" t="n"/>
      <c r="CY770" s="588" t="n"/>
      <c r="CZ770" s="588" t="n"/>
      <c r="DA770" s="588" t="n"/>
      <c r="DB770" s="588" t="n"/>
      <c r="DC770" s="588" t="n"/>
      <c r="DD770" s="588" t="n"/>
      <c r="DE770" s="588" t="n"/>
      <c r="DF770" s="588" t="n"/>
      <c r="DG770" s="588" t="n"/>
      <c r="DH770" s="588" t="n"/>
      <c r="DI770" s="588" t="n"/>
      <c r="DJ770" s="588" t="n"/>
      <c r="DK770" s="588" t="n"/>
      <c r="DL770" s="588" t="n"/>
      <c r="DM770" s="588" t="n"/>
      <c r="DN770" s="588" t="n"/>
      <c r="DO770" s="588" t="n"/>
      <c r="DP770" s="588" t="n"/>
      <c r="DQ770" s="588" t="n"/>
      <c r="DR770" s="588" t="n"/>
      <c r="DS770" s="588" t="n"/>
      <c r="DT770" s="588" t="n"/>
      <c r="DU770" s="588" t="n"/>
    </row>
    <row r="771">
      <c r="A771" s="737" t="n"/>
      <c r="B771" s="737" t="n"/>
      <c r="C771" s="737" t="n"/>
      <c r="D771" s="737" t="n"/>
      <c r="E771" s="737" t="n"/>
      <c r="F771" s="737" t="n"/>
      <c r="G771" s="737" t="n"/>
      <c r="H771" s="737" t="n"/>
      <c r="I771" s="737" t="n"/>
      <c r="J771" s="737" t="n"/>
      <c r="K771" s="737" t="n"/>
      <c r="L771" s="737" t="n"/>
      <c r="M771" s="737" t="n"/>
      <c r="N771" s="737" t="n"/>
      <c r="O771" s="737" t="n"/>
      <c r="P771" s="737" t="n"/>
      <c r="Q771" s="737" t="n"/>
      <c r="R771" s="737" t="n"/>
      <c r="S771" s="737" t="n"/>
      <c r="T771" s="737" t="n"/>
      <c r="U771" s="737" t="n"/>
      <c r="V771" s="737" t="n"/>
      <c r="W771" s="737" t="n"/>
      <c r="X771" s="737" t="n"/>
      <c r="Y771" s="737" t="n"/>
      <c r="Z771" s="737" t="n"/>
      <c r="AA771" s="737" t="n"/>
      <c r="AB771" s="737" t="n"/>
      <c r="AC771" s="737" t="n"/>
      <c r="AD771" s="737" t="n"/>
      <c r="AE771" s="737" t="n"/>
      <c r="AF771" s="737" t="n"/>
      <c r="AG771" s="737" t="n"/>
      <c r="AH771" s="737" t="n"/>
      <c r="AI771" s="737" t="n"/>
      <c r="AJ771" s="737" t="n"/>
      <c r="AK771" s="588" t="n"/>
      <c r="AL771" s="588" t="n"/>
      <c r="AM771" s="588" t="n"/>
      <c r="AN771" s="588" t="n"/>
      <c r="AO771" s="588" t="n"/>
      <c r="AP771" s="588" t="n"/>
      <c r="AQ771" s="588" t="n"/>
      <c r="AR771" s="588" t="n"/>
      <c r="AS771" s="588" t="n"/>
      <c r="AT771" s="588" t="n"/>
      <c r="AU771" s="588" t="n"/>
      <c r="AV771" s="588" t="n"/>
      <c r="AW771" s="588" t="n"/>
      <c r="AX771" s="588" t="n"/>
      <c r="AY771" s="588" t="n"/>
      <c r="AZ771" s="588" t="n"/>
      <c r="BA771" s="588" t="n"/>
      <c r="BB771" s="588" t="n"/>
      <c r="BC771" s="588" t="n"/>
      <c r="BD771" s="588" t="n"/>
      <c r="BE771" s="588" t="n"/>
      <c r="BF771" s="588" t="n"/>
      <c r="BG771" s="588" t="n"/>
      <c r="BH771" s="588" t="n"/>
      <c r="BI771" s="588" t="n"/>
      <c r="BJ771" s="588" t="n"/>
      <c r="BK771" s="588" t="n"/>
      <c r="BL771" s="588" t="n"/>
      <c r="BM771" s="588" t="n"/>
      <c r="BN771" s="588" t="n"/>
      <c r="BO771" s="588" t="n"/>
      <c r="BP771" s="588" t="n"/>
      <c r="BQ771" s="588" t="n"/>
      <c r="BR771" s="588" t="n"/>
      <c r="BS771" s="588" t="n"/>
      <c r="BT771" s="588" t="n"/>
      <c r="BU771" s="588" t="n"/>
      <c r="BV771" s="588" t="n"/>
      <c r="BW771" s="588" t="n"/>
      <c r="BX771" s="588" t="n"/>
      <c r="BY771" s="588" t="n"/>
      <c r="BZ771" s="588" t="n"/>
      <c r="CA771" s="588" t="n"/>
      <c r="CB771" s="588" t="n"/>
      <c r="CC771" s="588" t="n"/>
      <c r="CD771" s="588" t="n"/>
      <c r="CE771" s="588" t="n"/>
      <c r="CF771" s="588" t="n"/>
      <c r="CG771" s="588" t="n"/>
      <c r="CH771" s="588" t="n"/>
      <c r="CI771" s="588" t="n"/>
      <c r="CJ771" s="588" t="n"/>
      <c r="CK771" s="588" t="n"/>
      <c r="CL771" s="588" t="n"/>
      <c r="CM771" s="588" t="n"/>
      <c r="CN771" s="588" t="n"/>
      <c r="CO771" s="588" t="n"/>
      <c r="CP771" s="588" t="n"/>
      <c r="CQ771" s="588" t="n"/>
      <c r="CR771" s="588" t="n"/>
      <c r="CS771" s="588" t="n"/>
      <c r="CT771" s="588" t="n"/>
      <c r="CU771" s="588" t="n"/>
      <c r="CV771" s="588" t="n"/>
      <c r="CW771" s="588" t="n"/>
      <c r="CX771" s="588" t="n"/>
      <c r="CY771" s="588" t="n"/>
      <c r="CZ771" s="588" t="n"/>
      <c r="DA771" s="588" t="n"/>
      <c r="DB771" s="588" t="n"/>
      <c r="DC771" s="588" t="n"/>
      <c r="DD771" s="588" t="n"/>
      <c r="DE771" s="588" t="n"/>
      <c r="DF771" s="588" t="n"/>
      <c r="DG771" s="588" t="n"/>
      <c r="DH771" s="588" t="n"/>
      <c r="DI771" s="588" t="n"/>
      <c r="DJ771" s="588" t="n"/>
      <c r="DK771" s="588" t="n"/>
      <c r="DL771" s="588" t="n"/>
      <c r="DM771" s="588" t="n"/>
      <c r="DN771" s="588" t="n"/>
      <c r="DO771" s="588" t="n"/>
      <c r="DP771" s="588" t="n"/>
      <c r="DQ771" s="588" t="n"/>
      <c r="DR771" s="588" t="n"/>
      <c r="DS771" s="588" t="n"/>
      <c r="DT771" s="588" t="n"/>
      <c r="DU771" s="588" t="n"/>
    </row>
    <row r="772">
      <c r="A772" s="737" t="n"/>
      <c r="B772" s="737" t="n"/>
      <c r="C772" s="737" t="n"/>
      <c r="D772" s="737" t="n"/>
      <c r="E772" s="737" t="n"/>
      <c r="F772" s="737" t="n"/>
      <c r="G772" s="737" t="n"/>
      <c r="H772" s="737" t="n"/>
      <c r="I772" s="737" t="n"/>
      <c r="J772" s="737" t="n"/>
      <c r="K772" s="737" t="n"/>
      <c r="L772" s="737" t="n"/>
      <c r="M772" s="737" t="n"/>
      <c r="N772" s="737" t="n"/>
      <c r="O772" s="737" t="n"/>
      <c r="P772" s="737" t="n"/>
      <c r="Q772" s="737" t="n"/>
      <c r="R772" s="737" t="n"/>
      <c r="S772" s="737" t="n"/>
      <c r="T772" s="737" t="n"/>
      <c r="U772" s="737" t="n"/>
      <c r="V772" s="737" t="n"/>
      <c r="W772" s="737" t="n"/>
      <c r="X772" s="737" t="n"/>
      <c r="Y772" s="737" t="n"/>
      <c r="Z772" s="737" t="n"/>
      <c r="AA772" s="737" t="n"/>
      <c r="AB772" s="737" t="n"/>
      <c r="AC772" s="737" t="n"/>
      <c r="AD772" s="737" t="n"/>
      <c r="AE772" s="737" t="n"/>
      <c r="AF772" s="737" t="n"/>
      <c r="AG772" s="737" t="n"/>
      <c r="AH772" s="737" t="n"/>
      <c r="AI772" s="737" t="n"/>
      <c r="AJ772" s="737" t="n"/>
      <c r="AK772" s="588" t="n"/>
      <c r="AL772" s="588" t="n"/>
      <c r="AM772" s="588" t="n"/>
      <c r="AN772" s="588" t="n"/>
      <c r="AO772" s="588" t="n"/>
      <c r="AP772" s="588" t="n"/>
      <c r="AQ772" s="588" t="n"/>
      <c r="AR772" s="588" t="n"/>
      <c r="AS772" s="588" t="n"/>
      <c r="AT772" s="588" t="n"/>
      <c r="AU772" s="588" t="n"/>
      <c r="AV772" s="588" t="n"/>
      <c r="AW772" s="588" t="n"/>
      <c r="AX772" s="588" t="n"/>
      <c r="AY772" s="588" t="n"/>
      <c r="AZ772" s="588" t="n"/>
      <c r="BA772" s="588" t="n"/>
      <c r="BB772" s="588" t="n"/>
      <c r="BC772" s="588" t="n"/>
      <c r="BD772" s="588" t="n"/>
      <c r="BE772" s="588" t="n"/>
      <c r="BF772" s="588" t="n"/>
      <c r="BG772" s="588" t="n"/>
      <c r="BH772" s="588" t="n"/>
      <c r="BI772" s="588" t="n"/>
      <c r="BJ772" s="588" t="n"/>
      <c r="BK772" s="588" t="n"/>
      <c r="BL772" s="588" t="n"/>
      <c r="BM772" s="588" t="n"/>
      <c r="BN772" s="588" t="n"/>
      <c r="BO772" s="588" t="n"/>
      <c r="BP772" s="588" t="n"/>
      <c r="BQ772" s="588" t="n"/>
      <c r="BR772" s="588" t="n"/>
      <c r="BS772" s="588" t="n"/>
      <c r="BT772" s="588" t="n"/>
      <c r="BU772" s="588" t="n"/>
      <c r="BV772" s="588" t="n"/>
      <c r="BW772" s="588" t="n"/>
      <c r="BX772" s="588" t="n"/>
      <c r="BY772" s="588" t="n"/>
      <c r="BZ772" s="588" t="n"/>
      <c r="CA772" s="588" t="n"/>
      <c r="CB772" s="588" t="n"/>
      <c r="CC772" s="588" t="n"/>
      <c r="CD772" s="588" t="n"/>
      <c r="CE772" s="588" t="n"/>
      <c r="CF772" s="588" t="n"/>
      <c r="CG772" s="588" t="n"/>
      <c r="CH772" s="588" t="n"/>
      <c r="CI772" s="588" t="n"/>
      <c r="CJ772" s="588" t="n"/>
      <c r="CK772" s="588" t="n"/>
      <c r="CL772" s="588" t="n"/>
      <c r="CM772" s="588" t="n"/>
      <c r="CN772" s="588" t="n"/>
      <c r="CO772" s="588" t="n"/>
      <c r="CP772" s="588" t="n"/>
      <c r="CQ772" s="588" t="n"/>
      <c r="CR772" s="588" t="n"/>
      <c r="CS772" s="588" t="n"/>
      <c r="CT772" s="588" t="n"/>
      <c r="CU772" s="588" t="n"/>
      <c r="CV772" s="588" t="n"/>
      <c r="CW772" s="588" t="n"/>
      <c r="CX772" s="588" t="n"/>
      <c r="CY772" s="588" t="n"/>
      <c r="CZ772" s="588" t="n"/>
      <c r="DA772" s="588" t="n"/>
      <c r="DB772" s="588" t="n"/>
      <c r="DC772" s="588" t="n"/>
      <c r="DD772" s="588" t="n"/>
      <c r="DE772" s="588" t="n"/>
      <c r="DF772" s="588" t="n"/>
      <c r="DG772" s="588" t="n"/>
      <c r="DH772" s="588" t="n"/>
      <c r="DI772" s="588" t="n"/>
      <c r="DJ772" s="588" t="n"/>
      <c r="DK772" s="588" t="n"/>
      <c r="DL772" s="588" t="n"/>
      <c r="DM772" s="588" t="n"/>
      <c r="DN772" s="588" t="n"/>
      <c r="DO772" s="588" t="n"/>
      <c r="DP772" s="588" t="n"/>
      <c r="DQ772" s="588" t="n"/>
      <c r="DR772" s="588" t="n"/>
      <c r="DS772" s="588" t="n"/>
      <c r="DT772" s="588" t="n"/>
      <c r="DU772" s="588" t="n"/>
    </row>
    <row r="773">
      <c r="A773" s="737" t="n"/>
      <c r="B773" s="737" t="n"/>
      <c r="C773" s="737" t="n"/>
      <c r="D773" s="737" t="n"/>
      <c r="E773" s="737" t="n"/>
      <c r="F773" s="737" t="n"/>
      <c r="G773" s="737" t="n"/>
      <c r="H773" s="737" t="n"/>
      <c r="I773" s="737" t="n"/>
      <c r="J773" s="737" t="n"/>
      <c r="K773" s="737" t="n"/>
      <c r="L773" s="737" t="n"/>
      <c r="M773" s="737" t="n"/>
      <c r="N773" s="737" t="n"/>
      <c r="O773" s="737" t="n"/>
      <c r="P773" s="737" t="n"/>
      <c r="Q773" s="737" t="n"/>
      <c r="R773" s="737" t="n"/>
      <c r="S773" s="737" t="n"/>
      <c r="T773" s="737" t="n"/>
      <c r="U773" s="737" t="n"/>
      <c r="V773" s="737" t="n"/>
      <c r="W773" s="737" t="n"/>
      <c r="X773" s="737" t="n"/>
      <c r="Y773" s="737" t="n"/>
      <c r="Z773" s="737" t="n"/>
      <c r="AA773" s="737" t="n"/>
      <c r="AB773" s="737" t="n"/>
      <c r="AC773" s="737" t="n"/>
      <c r="AD773" s="737" t="n"/>
      <c r="AE773" s="737" t="n"/>
      <c r="AF773" s="737" t="n"/>
      <c r="AG773" s="737" t="n"/>
      <c r="AH773" s="737" t="n"/>
      <c r="AI773" s="737" t="n"/>
      <c r="AJ773" s="737" t="n"/>
      <c r="AK773" s="588" t="n"/>
      <c r="AL773" s="588" t="n"/>
      <c r="AM773" s="588" t="n"/>
      <c r="AN773" s="588" t="n"/>
      <c r="AO773" s="588" t="n"/>
      <c r="AP773" s="588" t="n"/>
      <c r="AQ773" s="588" t="n"/>
      <c r="AR773" s="588" t="n"/>
      <c r="AS773" s="588" t="n"/>
      <c r="AT773" s="588" t="n"/>
      <c r="AU773" s="588" t="n"/>
      <c r="AV773" s="588" t="n"/>
      <c r="AW773" s="588" t="n"/>
      <c r="AX773" s="588" t="n"/>
      <c r="AY773" s="588" t="n"/>
      <c r="AZ773" s="588" t="n"/>
      <c r="BA773" s="588" t="n"/>
      <c r="BB773" s="588" t="n"/>
      <c r="BC773" s="588" t="n"/>
      <c r="BD773" s="588" t="n"/>
      <c r="BE773" s="588" t="n"/>
      <c r="BF773" s="588" t="n"/>
      <c r="BG773" s="588" t="n"/>
      <c r="BH773" s="588" t="n"/>
      <c r="BI773" s="588" t="n"/>
      <c r="BJ773" s="588" t="n"/>
      <c r="BK773" s="588" t="n"/>
      <c r="BL773" s="588" t="n"/>
      <c r="BM773" s="588" t="n"/>
      <c r="BN773" s="588" t="n"/>
      <c r="BO773" s="588" t="n"/>
      <c r="BP773" s="588" t="n"/>
      <c r="BQ773" s="588" t="n"/>
      <c r="BR773" s="588" t="n"/>
      <c r="BS773" s="588" t="n"/>
      <c r="BT773" s="588" t="n"/>
      <c r="BU773" s="588" t="n"/>
      <c r="BV773" s="588" t="n"/>
      <c r="BW773" s="588" t="n"/>
      <c r="BX773" s="588" t="n"/>
      <c r="BY773" s="588" t="n"/>
      <c r="BZ773" s="588" t="n"/>
      <c r="CA773" s="588" t="n"/>
      <c r="CB773" s="588" t="n"/>
      <c r="CC773" s="588" t="n"/>
      <c r="CD773" s="588" t="n"/>
      <c r="CE773" s="588" t="n"/>
      <c r="CF773" s="588" t="n"/>
      <c r="CG773" s="588" t="n"/>
      <c r="CH773" s="588" t="n"/>
      <c r="CI773" s="588" t="n"/>
      <c r="CJ773" s="588" t="n"/>
      <c r="CK773" s="588" t="n"/>
      <c r="CL773" s="588" t="n"/>
      <c r="CM773" s="588" t="n"/>
      <c r="CN773" s="588" t="n"/>
      <c r="CO773" s="588" t="n"/>
      <c r="CP773" s="588" t="n"/>
      <c r="CQ773" s="588" t="n"/>
      <c r="CR773" s="588" t="n"/>
      <c r="CS773" s="588" t="n"/>
      <c r="CT773" s="588" t="n"/>
      <c r="CU773" s="588" t="n"/>
      <c r="CV773" s="588" t="n"/>
      <c r="CW773" s="588" t="n"/>
      <c r="CX773" s="588" t="n"/>
      <c r="CY773" s="588" t="n"/>
      <c r="CZ773" s="588" t="n"/>
      <c r="DA773" s="588" t="n"/>
      <c r="DB773" s="588" t="n"/>
      <c r="DC773" s="588" t="n"/>
      <c r="DD773" s="588" t="n"/>
      <c r="DE773" s="588" t="n"/>
      <c r="DF773" s="588" t="n"/>
      <c r="DG773" s="588" t="n"/>
      <c r="DH773" s="588" t="n"/>
      <c r="DI773" s="588" t="n"/>
      <c r="DJ773" s="588" t="n"/>
      <c r="DK773" s="588" t="n"/>
      <c r="DL773" s="588" t="n"/>
      <c r="DM773" s="588" t="n"/>
      <c r="DN773" s="588" t="n"/>
      <c r="DO773" s="588" t="n"/>
      <c r="DP773" s="588" t="n"/>
      <c r="DQ773" s="588" t="n"/>
      <c r="DR773" s="588" t="n"/>
      <c r="DS773" s="588" t="n"/>
      <c r="DT773" s="588" t="n"/>
      <c r="DU773" s="588" t="n"/>
    </row>
    <row r="774">
      <c r="A774" s="737" t="n"/>
      <c r="B774" s="737" t="n"/>
      <c r="C774" s="737" t="n"/>
      <c r="D774" s="737" t="n"/>
      <c r="E774" s="737" t="n"/>
      <c r="F774" s="737" t="n"/>
      <c r="G774" s="737" t="n"/>
      <c r="H774" s="737" t="n"/>
      <c r="I774" s="737" t="n"/>
      <c r="J774" s="737" t="n"/>
      <c r="K774" s="737" t="n"/>
      <c r="L774" s="737" t="n"/>
      <c r="M774" s="737" t="n"/>
      <c r="N774" s="737" t="n"/>
      <c r="O774" s="737" t="n"/>
      <c r="P774" s="737" t="n"/>
      <c r="Q774" s="737" t="n"/>
      <c r="R774" s="737" t="n"/>
      <c r="S774" s="737" t="n"/>
      <c r="T774" s="737" t="n"/>
      <c r="U774" s="737" t="n"/>
      <c r="V774" s="737" t="n"/>
      <c r="W774" s="737" t="n"/>
      <c r="X774" s="737" t="n"/>
      <c r="Y774" s="737" t="n"/>
      <c r="Z774" s="737" t="n"/>
      <c r="AA774" s="737" t="n"/>
      <c r="AB774" s="737" t="n"/>
      <c r="AC774" s="737" t="n"/>
      <c r="AD774" s="737" t="n"/>
      <c r="AE774" s="737" t="n"/>
      <c r="AF774" s="737" t="n"/>
      <c r="AG774" s="737" t="n"/>
      <c r="AH774" s="737" t="n"/>
      <c r="AI774" s="737" t="n"/>
      <c r="AJ774" s="737" t="n"/>
      <c r="AK774" s="588" t="n"/>
      <c r="AL774" s="588" t="n"/>
      <c r="AM774" s="588" t="n"/>
      <c r="AN774" s="588" t="n"/>
      <c r="AO774" s="588" t="n"/>
      <c r="AP774" s="588" t="n"/>
      <c r="AQ774" s="588" t="n"/>
      <c r="AR774" s="588" t="n"/>
      <c r="AS774" s="588" t="n"/>
      <c r="AT774" s="588" t="n"/>
      <c r="AU774" s="588" t="n"/>
      <c r="AV774" s="588" t="n"/>
      <c r="AW774" s="588" t="n"/>
      <c r="AX774" s="588" t="n"/>
      <c r="AY774" s="588" t="n"/>
      <c r="AZ774" s="588" t="n"/>
      <c r="BA774" s="588" t="n"/>
      <c r="BB774" s="588" t="n"/>
      <c r="BC774" s="588" t="n"/>
      <c r="BD774" s="588" t="n"/>
      <c r="BE774" s="588" t="n"/>
      <c r="BF774" s="588" t="n"/>
      <c r="BG774" s="588" t="n"/>
      <c r="BH774" s="588" t="n"/>
      <c r="BI774" s="588" t="n"/>
      <c r="BJ774" s="588" t="n"/>
      <c r="BK774" s="588" t="n"/>
      <c r="BL774" s="588" t="n"/>
      <c r="BM774" s="588" t="n"/>
      <c r="BN774" s="588" t="n"/>
      <c r="BO774" s="588" t="n"/>
      <c r="BP774" s="588" t="n"/>
      <c r="BQ774" s="588" t="n"/>
      <c r="BR774" s="588" t="n"/>
      <c r="BS774" s="588" t="n"/>
      <c r="BT774" s="588" t="n"/>
      <c r="BU774" s="588" t="n"/>
      <c r="BV774" s="588" t="n"/>
      <c r="BW774" s="588" t="n"/>
      <c r="BX774" s="588" t="n"/>
      <c r="BY774" s="588" t="n"/>
      <c r="BZ774" s="588" t="n"/>
      <c r="CA774" s="588" t="n"/>
      <c r="CB774" s="588" t="n"/>
      <c r="CC774" s="588" t="n"/>
      <c r="CD774" s="588" t="n"/>
      <c r="CE774" s="588" t="n"/>
      <c r="CF774" s="588" t="n"/>
      <c r="CG774" s="588" t="n"/>
      <c r="CH774" s="588" t="n"/>
      <c r="CI774" s="588" t="n"/>
      <c r="CJ774" s="588" t="n"/>
      <c r="CK774" s="588" t="n"/>
      <c r="CL774" s="588" t="n"/>
      <c r="CM774" s="588" t="n"/>
      <c r="CN774" s="588" t="n"/>
      <c r="CO774" s="588" t="n"/>
      <c r="CP774" s="588" t="n"/>
      <c r="CQ774" s="588" t="n"/>
      <c r="CR774" s="588" t="n"/>
      <c r="CS774" s="588" t="n"/>
      <c r="CT774" s="588" t="n"/>
      <c r="CU774" s="588" t="n"/>
      <c r="CV774" s="588" t="n"/>
      <c r="CW774" s="588" t="n"/>
      <c r="CX774" s="588" t="n"/>
      <c r="CY774" s="588" t="n"/>
      <c r="CZ774" s="588" t="n"/>
      <c r="DA774" s="588" t="n"/>
      <c r="DB774" s="588" t="n"/>
      <c r="DC774" s="588" t="n"/>
      <c r="DD774" s="588" t="n"/>
      <c r="DE774" s="588" t="n"/>
      <c r="DF774" s="588" t="n"/>
      <c r="DG774" s="588" t="n"/>
      <c r="DH774" s="588" t="n"/>
      <c r="DI774" s="588" t="n"/>
      <c r="DJ774" s="588" t="n"/>
      <c r="DK774" s="588" t="n"/>
      <c r="DL774" s="588" t="n"/>
      <c r="DM774" s="588" t="n"/>
      <c r="DN774" s="588" t="n"/>
      <c r="DO774" s="588" t="n"/>
      <c r="DP774" s="588" t="n"/>
      <c r="DQ774" s="588" t="n"/>
      <c r="DR774" s="588" t="n"/>
      <c r="DS774" s="588" t="n"/>
      <c r="DT774" s="588" t="n"/>
      <c r="DU774" s="588" t="n"/>
    </row>
    <row r="775">
      <c r="A775" s="737" t="n"/>
      <c r="B775" s="737" t="n"/>
      <c r="C775" s="737" t="n"/>
      <c r="D775" s="737" t="n"/>
      <c r="E775" s="737" t="n"/>
      <c r="F775" s="737" t="n"/>
      <c r="G775" s="737" t="n"/>
      <c r="H775" s="737" t="n"/>
      <c r="I775" s="737" t="n"/>
      <c r="J775" s="737" t="n"/>
      <c r="K775" s="737" t="n"/>
      <c r="L775" s="737" t="n"/>
      <c r="M775" s="737" t="n"/>
      <c r="N775" s="737" t="n"/>
      <c r="O775" s="737" t="n"/>
      <c r="P775" s="737" t="n"/>
      <c r="Q775" s="737" t="n"/>
      <c r="R775" s="737" t="n"/>
      <c r="S775" s="737" t="n"/>
      <c r="T775" s="737" t="n"/>
      <c r="U775" s="737" t="n"/>
      <c r="V775" s="737" t="n"/>
      <c r="W775" s="737" t="n"/>
      <c r="X775" s="737" t="n"/>
      <c r="Y775" s="737" t="n"/>
      <c r="Z775" s="737" t="n"/>
      <c r="AA775" s="737" t="n"/>
      <c r="AB775" s="737" t="n"/>
      <c r="AC775" s="737" t="n"/>
      <c r="AD775" s="737" t="n"/>
      <c r="AE775" s="737" t="n"/>
      <c r="AF775" s="737" t="n"/>
      <c r="AG775" s="737" t="n"/>
      <c r="AH775" s="737" t="n"/>
      <c r="AI775" s="737" t="n"/>
      <c r="AJ775" s="737" t="n"/>
      <c r="AK775" s="588" t="n"/>
      <c r="AL775" s="588" t="n"/>
      <c r="AM775" s="588" t="n"/>
      <c r="AN775" s="588" t="n"/>
      <c r="AO775" s="588" t="n"/>
      <c r="AP775" s="588" t="n"/>
      <c r="AQ775" s="588" t="n"/>
      <c r="AR775" s="588" t="n"/>
      <c r="AS775" s="588" t="n"/>
      <c r="AT775" s="588" t="n"/>
      <c r="AU775" s="588" t="n"/>
      <c r="AV775" s="588" t="n"/>
      <c r="AW775" s="588" t="n"/>
      <c r="AX775" s="588" t="n"/>
      <c r="AY775" s="588" t="n"/>
      <c r="AZ775" s="588" t="n"/>
      <c r="BA775" s="588" t="n"/>
      <c r="BB775" s="588" t="n"/>
      <c r="BC775" s="588" t="n"/>
      <c r="BD775" s="588" t="n"/>
      <c r="BE775" s="588" t="n"/>
      <c r="BF775" s="588" t="n"/>
      <c r="BG775" s="588" t="n"/>
      <c r="BH775" s="588" t="n"/>
      <c r="BI775" s="588" t="n"/>
      <c r="BJ775" s="588" t="n"/>
      <c r="BK775" s="588" t="n"/>
      <c r="BL775" s="588" t="n"/>
      <c r="BM775" s="588" t="n"/>
      <c r="BN775" s="588" t="n"/>
      <c r="BO775" s="588" t="n"/>
      <c r="BP775" s="588" t="n"/>
      <c r="BQ775" s="588" t="n"/>
      <c r="BR775" s="588" t="n"/>
      <c r="BS775" s="588" t="n"/>
      <c r="BT775" s="588" t="n"/>
      <c r="BU775" s="588" t="n"/>
      <c r="BV775" s="588" t="n"/>
      <c r="BW775" s="588" t="n"/>
      <c r="BX775" s="588" t="n"/>
      <c r="BY775" s="588" t="n"/>
      <c r="BZ775" s="588" t="n"/>
      <c r="CA775" s="588" t="n"/>
      <c r="CB775" s="588" t="n"/>
      <c r="CC775" s="588" t="n"/>
      <c r="CD775" s="588" t="n"/>
      <c r="CE775" s="588" t="n"/>
      <c r="CF775" s="588" t="n"/>
      <c r="CG775" s="588" t="n"/>
      <c r="CH775" s="588" t="n"/>
      <c r="CI775" s="588" t="n"/>
      <c r="CJ775" s="588" t="n"/>
      <c r="CK775" s="588" t="n"/>
      <c r="CL775" s="588" t="n"/>
      <c r="CM775" s="588" t="n"/>
      <c r="CN775" s="588" t="n"/>
      <c r="CO775" s="588" t="n"/>
      <c r="CP775" s="588" t="n"/>
      <c r="CQ775" s="588" t="n"/>
      <c r="CR775" s="588" t="n"/>
      <c r="CS775" s="588" t="n"/>
      <c r="CT775" s="588" t="n"/>
      <c r="CU775" s="588" t="n"/>
      <c r="CV775" s="588" t="n"/>
      <c r="CW775" s="588" t="n"/>
      <c r="CX775" s="588" t="n"/>
      <c r="CY775" s="588" t="n"/>
      <c r="CZ775" s="588" t="n"/>
      <c r="DA775" s="588" t="n"/>
      <c r="DB775" s="588" t="n"/>
      <c r="DC775" s="588" t="n"/>
      <c r="DD775" s="588" t="n"/>
      <c r="DE775" s="588" t="n"/>
      <c r="DF775" s="588" t="n"/>
      <c r="DG775" s="588" t="n"/>
      <c r="DH775" s="588" t="n"/>
      <c r="DI775" s="588" t="n"/>
      <c r="DJ775" s="588" t="n"/>
      <c r="DK775" s="588" t="n"/>
      <c r="DL775" s="588" t="n"/>
      <c r="DM775" s="588" t="n"/>
      <c r="DN775" s="588" t="n"/>
      <c r="DO775" s="588" t="n"/>
      <c r="DP775" s="588" t="n"/>
      <c r="DQ775" s="588" t="n"/>
      <c r="DR775" s="588" t="n"/>
      <c r="DS775" s="588" t="n"/>
      <c r="DT775" s="588" t="n"/>
      <c r="DU775" s="588" t="n"/>
    </row>
    <row r="776">
      <c r="A776" s="737" t="n"/>
      <c r="B776" s="737" t="n"/>
      <c r="C776" s="737" t="n"/>
      <c r="D776" s="737" t="n"/>
      <c r="E776" s="737" t="n"/>
      <c r="F776" s="737" t="n"/>
      <c r="G776" s="737" t="n"/>
      <c r="H776" s="737" t="n"/>
      <c r="I776" s="737" t="n"/>
      <c r="J776" s="737" t="n"/>
      <c r="K776" s="737" t="n"/>
      <c r="L776" s="737" t="n"/>
      <c r="M776" s="737" t="n"/>
      <c r="N776" s="737" t="n"/>
      <c r="O776" s="737" t="n"/>
      <c r="P776" s="737" t="n"/>
      <c r="Q776" s="737" t="n"/>
      <c r="R776" s="737" t="n"/>
      <c r="S776" s="737" t="n"/>
      <c r="T776" s="737" t="n"/>
      <c r="U776" s="737" t="n"/>
      <c r="V776" s="737" t="n"/>
      <c r="W776" s="737" t="n"/>
      <c r="X776" s="737" t="n"/>
      <c r="Y776" s="737" t="n"/>
      <c r="Z776" s="737" t="n"/>
      <c r="AA776" s="737" t="n"/>
      <c r="AB776" s="737" t="n"/>
      <c r="AC776" s="737" t="n"/>
      <c r="AD776" s="737" t="n"/>
      <c r="AE776" s="737" t="n"/>
      <c r="AF776" s="737" t="n"/>
      <c r="AG776" s="737" t="n"/>
      <c r="AH776" s="737" t="n"/>
      <c r="AI776" s="737" t="n"/>
      <c r="AJ776" s="737" t="n"/>
      <c r="AK776" s="588" t="n"/>
      <c r="AL776" s="588" t="n"/>
      <c r="AM776" s="588" t="n"/>
      <c r="AN776" s="588" t="n"/>
      <c r="AO776" s="588" t="n"/>
      <c r="AP776" s="588" t="n"/>
      <c r="AQ776" s="588" t="n"/>
      <c r="AR776" s="588" t="n"/>
      <c r="AS776" s="588" t="n"/>
      <c r="AT776" s="588" t="n"/>
      <c r="AU776" s="588" t="n"/>
      <c r="AV776" s="588" t="n"/>
      <c r="AW776" s="588" t="n"/>
      <c r="AX776" s="588" t="n"/>
      <c r="AY776" s="588" t="n"/>
      <c r="AZ776" s="588" t="n"/>
      <c r="BA776" s="588" t="n"/>
      <c r="BB776" s="588" t="n"/>
      <c r="BC776" s="588" t="n"/>
      <c r="BD776" s="588" t="n"/>
      <c r="BE776" s="588" t="n"/>
      <c r="BF776" s="588" t="n"/>
      <c r="BG776" s="588" t="n"/>
      <c r="BH776" s="588" t="n"/>
      <c r="BI776" s="588" t="n"/>
      <c r="BJ776" s="588" t="n"/>
      <c r="BK776" s="588" t="n"/>
      <c r="BL776" s="588" t="n"/>
      <c r="BM776" s="588" t="n"/>
      <c r="BN776" s="588" t="n"/>
      <c r="BO776" s="588" t="n"/>
      <c r="BP776" s="588" t="n"/>
      <c r="BQ776" s="588" t="n"/>
      <c r="BR776" s="588" t="n"/>
      <c r="BS776" s="588" t="n"/>
      <c r="BT776" s="588" t="n"/>
      <c r="BU776" s="588" t="n"/>
      <c r="BV776" s="588" t="n"/>
      <c r="BW776" s="588" t="n"/>
      <c r="BX776" s="588" t="n"/>
      <c r="BY776" s="588" t="n"/>
      <c r="BZ776" s="588" t="n"/>
      <c r="CA776" s="588" t="n"/>
      <c r="CB776" s="588" t="n"/>
      <c r="CC776" s="588" t="n"/>
      <c r="CD776" s="588" t="n"/>
      <c r="CE776" s="588" t="n"/>
      <c r="CF776" s="588" t="n"/>
      <c r="CG776" s="588" t="n"/>
      <c r="CH776" s="588" t="n"/>
      <c r="CI776" s="588" t="n"/>
      <c r="CJ776" s="588" t="n"/>
      <c r="CK776" s="588" t="n"/>
      <c r="CL776" s="588" t="n"/>
      <c r="CM776" s="588" t="n"/>
      <c r="CN776" s="588" t="n"/>
      <c r="CO776" s="588" t="n"/>
      <c r="CP776" s="588" t="n"/>
      <c r="CQ776" s="588" t="n"/>
      <c r="CR776" s="588" t="n"/>
      <c r="CS776" s="588" t="n"/>
      <c r="CT776" s="588" t="n"/>
      <c r="CU776" s="588" t="n"/>
      <c r="CV776" s="588" t="n"/>
      <c r="CW776" s="588" t="n"/>
      <c r="CX776" s="588" t="n"/>
      <c r="CY776" s="588" t="n"/>
      <c r="CZ776" s="588" t="n"/>
      <c r="DA776" s="588" t="n"/>
      <c r="DB776" s="588" t="n"/>
      <c r="DC776" s="588" t="n"/>
      <c r="DD776" s="588" t="n"/>
      <c r="DE776" s="588" t="n"/>
      <c r="DF776" s="588" t="n"/>
      <c r="DG776" s="588" t="n"/>
      <c r="DH776" s="588" t="n"/>
      <c r="DI776" s="588" t="n"/>
      <c r="DJ776" s="588" t="n"/>
      <c r="DK776" s="588" t="n"/>
      <c r="DL776" s="588" t="n"/>
      <c r="DM776" s="588" t="n"/>
      <c r="DN776" s="588" t="n"/>
      <c r="DO776" s="588" t="n"/>
      <c r="DP776" s="588" t="n"/>
      <c r="DQ776" s="588" t="n"/>
      <c r="DR776" s="588" t="n"/>
      <c r="DS776" s="588" t="n"/>
      <c r="DT776" s="588" t="n"/>
      <c r="DU776" s="588" t="n"/>
    </row>
    <row r="777">
      <c r="A777" s="737" t="n"/>
      <c r="B777" s="737" t="n"/>
      <c r="C777" s="737" t="n"/>
      <c r="D777" s="737" t="n"/>
      <c r="E777" s="737" t="n"/>
      <c r="F777" s="737" t="n"/>
      <c r="G777" s="737" t="n"/>
      <c r="H777" s="737" t="n"/>
      <c r="I777" s="737" t="n"/>
      <c r="J777" s="737" t="n"/>
      <c r="K777" s="737" t="n"/>
      <c r="L777" s="737" t="n"/>
      <c r="M777" s="737" t="n"/>
      <c r="N777" s="737" t="n"/>
      <c r="O777" s="737" t="n"/>
      <c r="P777" s="737" t="n"/>
      <c r="Q777" s="737" t="n"/>
      <c r="R777" s="737" t="n"/>
      <c r="S777" s="737" t="n"/>
      <c r="T777" s="737" t="n"/>
      <c r="U777" s="737" t="n"/>
      <c r="V777" s="737" t="n"/>
      <c r="W777" s="737" t="n"/>
      <c r="X777" s="737" t="n"/>
      <c r="Y777" s="737" t="n"/>
      <c r="Z777" s="737" t="n"/>
      <c r="AA777" s="737" t="n"/>
      <c r="AB777" s="737" t="n"/>
      <c r="AC777" s="737" t="n"/>
      <c r="AD777" s="737" t="n"/>
      <c r="AE777" s="737" t="n"/>
      <c r="AF777" s="737" t="n"/>
      <c r="AG777" s="737" t="n"/>
      <c r="AH777" s="737" t="n"/>
      <c r="AI777" s="737" t="n"/>
      <c r="AJ777" s="737" t="n"/>
      <c r="AK777" s="588" t="n"/>
      <c r="AL777" s="588" t="n"/>
      <c r="AM777" s="588" t="n"/>
      <c r="AN777" s="588" t="n"/>
      <c r="AO777" s="588" t="n"/>
      <c r="AP777" s="588" t="n"/>
      <c r="AQ777" s="588" t="n"/>
      <c r="AR777" s="588" t="n"/>
      <c r="AS777" s="588" t="n"/>
      <c r="AT777" s="588" t="n"/>
      <c r="AU777" s="588" t="n"/>
      <c r="AV777" s="588" t="n"/>
      <c r="AW777" s="588" t="n"/>
      <c r="AX777" s="588" t="n"/>
      <c r="AY777" s="588" t="n"/>
      <c r="AZ777" s="588" t="n"/>
      <c r="BA777" s="588" t="n"/>
      <c r="BB777" s="588" t="n"/>
      <c r="BC777" s="588" t="n"/>
      <c r="BD777" s="588" t="n"/>
      <c r="BE777" s="588" t="n"/>
      <c r="BF777" s="588" t="n"/>
      <c r="BG777" s="588" t="n"/>
      <c r="BH777" s="588" t="n"/>
      <c r="BI777" s="588" t="n"/>
      <c r="BJ777" s="588" t="n"/>
      <c r="BK777" s="588" t="n"/>
      <c r="BL777" s="588" t="n"/>
      <c r="BM777" s="588" t="n"/>
      <c r="BN777" s="588" t="n"/>
      <c r="BO777" s="588" t="n"/>
      <c r="BP777" s="588" t="n"/>
      <c r="BQ777" s="588" t="n"/>
      <c r="BR777" s="588" t="n"/>
      <c r="BS777" s="588" t="n"/>
      <c r="BT777" s="588" t="n"/>
      <c r="BU777" s="588" t="n"/>
      <c r="BV777" s="588" t="n"/>
      <c r="BW777" s="588" t="n"/>
      <c r="BX777" s="588" t="n"/>
      <c r="BY777" s="588" t="n"/>
      <c r="BZ777" s="588" t="n"/>
      <c r="CA777" s="588" t="n"/>
      <c r="CB777" s="588" t="n"/>
      <c r="CC777" s="588" t="n"/>
      <c r="CD777" s="588" t="n"/>
      <c r="CE777" s="588" t="n"/>
      <c r="CF777" s="588" t="n"/>
      <c r="CG777" s="588" t="n"/>
      <c r="CH777" s="588" t="n"/>
      <c r="CI777" s="588" t="n"/>
      <c r="CJ777" s="588" t="n"/>
      <c r="CK777" s="588" t="n"/>
      <c r="CL777" s="588" t="n"/>
      <c r="CM777" s="588" t="n"/>
      <c r="CN777" s="588" t="n"/>
      <c r="CO777" s="588" t="n"/>
      <c r="CP777" s="588" t="n"/>
      <c r="CQ777" s="588" t="n"/>
      <c r="CR777" s="588" t="n"/>
      <c r="CS777" s="588" t="n"/>
      <c r="CT777" s="588" t="n"/>
      <c r="CU777" s="588" t="n"/>
      <c r="CV777" s="588" t="n"/>
      <c r="CW777" s="588" t="n"/>
      <c r="CX777" s="588" t="n"/>
      <c r="CY777" s="588" t="n"/>
      <c r="CZ777" s="588" t="n"/>
      <c r="DA777" s="588" t="n"/>
      <c r="DB777" s="588" t="n"/>
      <c r="DC777" s="588" t="n"/>
      <c r="DD777" s="588" t="n"/>
      <c r="DE777" s="588" t="n"/>
      <c r="DF777" s="588" t="n"/>
      <c r="DG777" s="588" t="n"/>
      <c r="DH777" s="588" t="n"/>
      <c r="DI777" s="588" t="n"/>
      <c r="DJ777" s="588" t="n"/>
      <c r="DK777" s="588" t="n"/>
      <c r="DL777" s="588" t="n"/>
      <c r="DM777" s="588" t="n"/>
      <c r="DN777" s="588" t="n"/>
      <c r="DO777" s="588" t="n"/>
      <c r="DP777" s="588" t="n"/>
      <c r="DQ777" s="588" t="n"/>
      <c r="DR777" s="588" t="n"/>
      <c r="DS777" s="588" t="n"/>
      <c r="DT777" s="588" t="n"/>
      <c r="DU777" s="588" t="n"/>
    </row>
    <row r="778">
      <c r="A778" s="737" t="n"/>
      <c r="B778" s="737" t="n"/>
      <c r="C778" s="737" t="n"/>
      <c r="D778" s="737" t="n"/>
      <c r="E778" s="737" t="n"/>
      <c r="F778" s="737" t="n"/>
      <c r="G778" s="737" t="n"/>
      <c r="H778" s="737" t="n"/>
      <c r="I778" s="737" t="n"/>
      <c r="J778" s="737" t="n"/>
      <c r="K778" s="737" t="n"/>
      <c r="L778" s="737" t="n"/>
      <c r="M778" s="737" t="n"/>
      <c r="N778" s="737" t="n"/>
      <c r="O778" s="737" t="n"/>
      <c r="P778" s="737" t="n"/>
      <c r="Q778" s="737" t="n"/>
      <c r="R778" s="737" t="n"/>
      <c r="S778" s="737" t="n"/>
      <c r="T778" s="737" t="n"/>
      <c r="U778" s="737" t="n"/>
      <c r="V778" s="737" t="n"/>
      <c r="W778" s="737" t="n"/>
      <c r="X778" s="737" t="n"/>
      <c r="Y778" s="737" t="n"/>
      <c r="Z778" s="737" t="n"/>
      <c r="AA778" s="737" t="n"/>
      <c r="AB778" s="737" t="n"/>
      <c r="AC778" s="737" t="n"/>
      <c r="AD778" s="737" t="n"/>
      <c r="AE778" s="737" t="n"/>
      <c r="AF778" s="737" t="n"/>
      <c r="AG778" s="737" t="n"/>
      <c r="AH778" s="737" t="n"/>
      <c r="AI778" s="737" t="n"/>
      <c r="AJ778" s="737" t="n"/>
      <c r="AK778" s="588" t="n"/>
      <c r="AL778" s="588" t="n"/>
      <c r="AM778" s="588" t="n"/>
      <c r="AN778" s="588" t="n"/>
      <c r="AO778" s="588" t="n"/>
      <c r="AP778" s="588" t="n"/>
      <c r="AQ778" s="588" t="n"/>
      <c r="AR778" s="588" t="n"/>
      <c r="AS778" s="588" t="n"/>
      <c r="AT778" s="588" t="n"/>
      <c r="AU778" s="588" t="n"/>
      <c r="AV778" s="588" t="n"/>
      <c r="AW778" s="588" t="n"/>
      <c r="AX778" s="588" t="n"/>
      <c r="AY778" s="588" t="n"/>
      <c r="AZ778" s="588" t="n"/>
      <c r="BA778" s="588" t="n"/>
      <c r="BB778" s="588" t="n"/>
      <c r="BC778" s="588" t="n"/>
      <c r="BD778" s="588" t="n"/>
      <c r="BE778" s="588" t="n"/>
      <c r="BF778" s="588" t="n"/>
      <c r="BG778" s="588" t="n"/>
      <c r="BH778" s="588" t="n"/>
      <c r="BI778" s="588" t="n"/>
      <c r="BJ778" s="588" t="n"/>
      <c r="BK778" s="588" t="n"/>
      <c r="BL778" s="588" t="n"/>
      <c r="BM778" s="588" t="n"/>
      <c r="BN778" s="588" t="n"/>
      <c r="BO778" s="588" t="n"/>
      <c r="BP778" s="588" t="n"/>
      <c r="BQ778" s="588" t="n"/>
      <c r="BR778" s="588" t="n"/>
      <c r="BS778" s="588" t="n"/>
      <c r="BT778" s="588" t="n"/>
      <c r="BU778" s="588" t="n"/>
      <c r="BV778" s="588" t="n"/>
      <c r="BW778" s="588" t="n"/>
      <c r="BX778" s="588" t="n"/>
      <c r="BY778" s="588" t="n"/>
      <c r="BZ778" s="588" t="n"/>
      <c r="CA778" s="588" t="n"/>
      <c r="CB778" s="588" t="n"/>
      <c r="CC778" s="588" t="n"/>
      <c r="CD778" s="588" t="n"/>
      <c r="CE778" s="588" t="n"/>
      <c r="CF778" s="588" t="n"/>
      <c r="CG778" s="588" t="n"/>
      <c r="CH778" s="588" t="n"/>
      <c r="CI778" s="588" t="n"/>
      <c r="CJ778" s="588" t="n"/>
      <c r="CK778" s="588" t="n"/>
      <c r="CL778" s="588" t="n"/>
      <c r="CM778" s="588" t="n"/>
      <c r="CN778" s="588" t="n"/>
      <c r="CO778" s="588" t="n"/>
      <c r="CP778" s="588" t="n"/>
      <c r="CQ778" s="588" t="n"/>
      <c r="CR778" s="588" t="n"/>
      <c r="CS778" s="588" t="n"/>
      <c r="CT778" s="588" t="n"/>
      <c r="CU778" s="588" t="n"/>
      <c r="CV778" s="588" t="n"/>
      <c r="CW778" s="588" t="n"/>
      <c r="CX778" s="588" t="n"/>
      <c r="CY778" s="588" t="n"/>
      <c r="CZ778" s="588" t="n"/>
      <c r="DA778" s="588" t="n"/>
      <c r="DB778" s="588" t="n"/>
      <c r="DC778" s="588" t="n"/>
      <c r="DD778" s="588" t="n"/>
      <c r="DE778" s="588" t="n"/>
      <c r="DF778" s="588" t="n"/>
      <c r="DG778" s="588" t="n"/>
      <c r="DH778" s="588" t="n"/>
      <c r="DI778" s="588" t="n"/>
      <c r="DJ778" s="588" t="n"/>
      <c r="DK778" s="588" t="n"/>
      <c r="DL778" s="588" t="n"/>
      <c r="DM778" s="588" t="n"/>
      <c r="DN778" s="588" t="n"/>
      <c r="DO778" s="588" t="n"/>
      <c r="DP778" s="588" t="n"/>
      <c r="DQ778" s="588" t="n"/>
      <c r="DR778" s="588" t="n"/>
      <c r="DS778" s="588" t="n"/>
      <c r="DT778" s="588" t="n"/>
      <c r="DU778" s="588" t="n"/>
    </row>
    <row r="779">
      <c r="A779" s="737" t="n"/>
      <c r="B779" s="737" t="n"/>
      <c r="C779" s="737" t="n"/>
      <c r="D779" s="737" t="n"/>
      <c r="E779" s="737" t="n"/>
      <c r="F779" s="737" t="n"/>
      <c r="G779" s="737" t="n"/>
      <c r="H779" s="737" t="n"/>
      <c r="I779" s="737" t="n"/>
      <c r="J779" s="737" t="n"/>
      <c r="K779" s="737" t="n"/>
      <c r="L779" s="737" t="n"/>
      <c r="M779" s="737" t="n"/>
      <c r="N779" s="737" t="n"/>
      <c r="O779" s="737" t="n"/>
      <c r="P779" s="737" t="n"/>
      <c r="Q779" s="737" t="n"/>
      <c r="R779" s="737" t="n"/>
      <c r="S779" s="737" t="n"/>
      <c r="T779" s="737" t="n"/>
      <c r="U779" s="737" t="n"/>
      <c r="V779" s="737" t="n"/>
      <c r="W779" s="737" t="n"/>
      <c r="X779" s="737" t="n"/>
      <c r="Y779" s="737" t="n"/>
      <c r="Z779" s="737" t="n"/>
      <c r="AA779" s="737" t="n"/>
      <c r="AB779" s="737" t="n"/>
      <c r="AC779" s="737" t="n"/>
      <c r="AD779" s="737" t="n"/>
      <c r="AE779" s="737" t="n"/>
      <c r="AF779" s="737" t="n"/>
      <c r="AG779" s="737" t="n"/>
      <c r="AH779" s="737" t="n"/>
      <c r="AI779" s="737" t="n"/>
      <c r="AJ779" s="737" t="n"/>
      <c r="AK779" s="588" t="n"/>
      <c r="AL779" s="588" t="n"/>
      <c r="AM779" s="588" t="n"/>
      <c r="AN779" s="588" t="n"/>
      <c r="AO779" s="588" t="n"/>
      <c r="AP779" s="588" t="n"/>
      <c r="AQ779" s="588" t="n"/>
      <c r="AR779" s="588" t="n"/>
      <c r="AS779" s="588" t="n"/>
      <c r="AT779" s="588" t="n"/>
      <c r="AU779" s="588" t="n"/>
      <c r="AV779" s="588" t="n"/>
      <c r="AW779" s="588" t="n"/>
      <c r="AX779" s="588" t="n"/>
      <c r="AY779" s="588" t="n"/>
      <c r="AZ779" s="588" t="n"/>
      <c r="BA779" s="588" t="n"/>
      <c r="BB779" s="588" t="n"/>
      <c r="BC779" s="588" t="n"/>
      <c r="BD779" s="588" t="n"/>
      <c r="BE779" s="588" t="n"/>
      <c r="BF779" s="588" t="n"/>
      <c r="BG779" s="588" t="n"/>
      <c r="BH779" s="588" t="n"/>
      <c r="BI779" s="588" t="n"/>
      <c r="BJ779" s="588" t="n"/>
      <c r="BK779" s="588" t="n"/>
      <c r="BL779" s="588" t="n"/>
      <c r="BM779" s="588" t="n"/>
      <c r="BN779" s="588" t="n"/>
      <c r="BO779" s="588" t="n"/>
      <c r="BP779" s="588" t="n"/>
      <c r="BQ779" s="588" t="n"/>
      <c r="BR779" s="588" t="n"/>
      <c r="BS779" s="588" t="n"/>
      <c r="BT779" s="588" t="n"/>
      <c r="BU779" s="588" t="n"/>
      <c r="BV779" s="588" t="n"/>
      <c r="BW779" s="588" t="n"/>
      <c r="BX779" s="588" t="n"/>
      <c r="BY779" s="588" t="n"/>
      <c r="BZ779" s="588" t="n"/>
      <c r="CA779" s="588" t="n"/>
      <c r="CB779" s="588" t="n"/>
      <c r="CC779" s="588" t="n"/>
      <c r="CD779" s="588" t="n"/>
      <c r="CE779" s="588" t="n"/>
      <c r="CF779" s="588" t="n"/>
      <c r="CG779" s="588" t="n"/>
      <c r="CH779" s="588" t="n"/>
      <c r="CI779" s="588" t="n"/>
      <c r="CJ779" s="588" t="n"/>
      <c r="CK779" s="588" t="n"/>
      <c r="CL779" s="588" t="n"/>
      <c r="CM779" s="588" t="n"/>
      <c r="CN779" s="588" t="n"/>
      <c r="CO779" s="588" t="n"/>
      <c r="CP779" s="588" t="n"/>
      <c r="CQ779" s="588" t="n"/>
      <c r="CR779" s="588" t="n"/>
      <c r="CS779" s="588" t="n"/>
      <c r="CT779" s="588" t="n"/>
      <c r="CU779" s="588" t="n"/>
      <c r="CV779" s="588" t="n"/>
      <c r="CW779" s="588" t="n"/>
      <c r="CX779" s="588" t="n"/>
      <c r="CY779" s="588" t="n"/>
      <c r="CZ779" s="588" t="n"/>
      <c r="DA779" s="588" t="n"/>
      <c r="DB779" s="588" t="n"/>
      <c r="DC779" s="588" t="n"/>
      <c r="DD779" s="588" t="n"/>
      <c r="DE779" s="588" t="n"/>
      <c r="DF779" s="588" t="n"/>
      <c r="DG779" s="588" t="n"/>
      <c r="DH779" s="588" t="n"/>
      <c r="DI779" s="588" t="n"/>
      <c r="DJ779" s="588" t="n"/>
      <c r="DK779" s="588" t="n"/>
      <c r="DL779" s="588" t="n"/>
      <c r="DM779" s="588" t="n"/>
      <c r="DN779" s="588" t="n"/>
      <c r="DO779" s="588" t="n"/>
      <c r="DP779" s="588" t="n"/>
      <c r="DQ779" s="588" t="n"/>
      <c r="DR779" s="588" t="n"/>
      <c r="DS779" s="588" t="n"/>
      <c r="DT779" s="588" t="n"/>
      <c r="DU779" s="588" t="n"/>
    </row>
    <row r="780">
      <c r="A780" s="737" t="n"/>
      <c r="B780" s="737" t="n"/>
      <c r="C780" s="737" t="n"/>
      <c r="D780" s="737" t="n"/>
      <c r="E780" s="737" t="n"/>
      <c r="F780" s="737" t="n"/>
      <c r="G780" s="737" t="n"/>
      <c r="H780" s="737" t="n"/>
      <c r="I780" s="737" t="n"/>
      <c r="J780" s="737" t="n"/>
      <c r="K780" s="737" t="n"/>
      <c r="L780" s="737" t="n"/>
      <c r="M780" s="737" t="n"/>
      <c r="N780" s="737" t="n"/>
      <c r="O780" s="737" t="n"/>
      <c r="P780" s="737" t="n"/>
      <c r="Q780" s="737" t="n"/>
      <c r="R780" s="737" t="n"/>
      <c r="S780" s="737" t="n"/>
      <c r="T780" s="737" t="n"/>
      <c r="U780" s="737" t="n"/>
      <c r="V780" s="737" t="n"/>
      <c r="W780" s="737" t="n"/>
      <c r="X780" s="737" t="n"/>
      <c r="Y780" s="737" t="n"/>
      <c r="Z780" s="737" t="n"/>
      <c r="AA780" s="737" t="n"/>
      <c r="AB780" s="737" t="n"/>
      <c r="AC780" s="737" t="n"/>
      <c r="AD780" s="737" t="n"/>
      <c r="AE780" s="737" t="n"/>
      <c r="AF780" s="737" t="n"/>
      <c r="AG780" s="737" t="n"/>
      <c r="AH780" s="737" t="n"/>
      <c r="AI780" s="737" t="n"/>
      <c r="AJ780" s="737" t="n"/>
      <c r="AK780" s="588" t="n"/>
      <c r="AL780" s="588" t="n"/>
      <c r="AM780" s="588" t="n"/>
      <c r="AN780" s="588" t="n"/>
      <c r="AO780" s="588" t="n"/>
      <c r="AP780" s="588" t="n"/>
      <c r="AQ780" s="588" t="n"/>
      <c r="AR780" s="588" t="n"/>
      <c r="AS780" s="588" t="n"/>
      <c r="AT780" s="588" t="n"/>
      <c r="AU780" s="588" t="n"/>
      <c r="AV780" s="588" t="n"/>
      <c r="AW780" s="588" t="n"/>
      <c r="AX780" s="588" t="n"/>
      <c r="AY780" s="588" t="n"/>
      <c r="AZ780" s="588" t="n"/>
      <c r="BA780" s="588" t="n"/>
      <c r="BB780" s="588" t="n"/>
      <c r="BC780" s="588" t="n"/>
      <c r="BD780" s="588" t="n"/>
      <c r="BE780" s="588" t="n"/>
      <c r="BF780" s="588" t="n"/>
      <c r="BG780" s="588" t="n"/>
      <c r="BH780" s="588" t="n"/>
      <c r="BI780" s="588" t="n"/>
      <c r="BJ780" s="588" t="n"/>
      <c r="BK780" s="588" t="n"/>
      <c r="BL780" s="588" t="n"/>
      <c r="BM780" s="588" t="n"/>
      <c r="BN780" s="588" t="n"/>
      <c r="BO780" s="588" t="n"/>
      <c r="BP780" s="588" t="n"/>
      <c r="BQ780" s="588" t="n"/>
      <c r="BR780" s="588" t="n"/>
      <c r="BS780" s="588" t="n"/>
      <c r="BT780" s="588" t="n"/>
      <c r="BU780" s="588" t="n"/>
      <c r="BV780" s="588" t="n"/>
      <c r="BW780" s="588" t="n"/>
      <c r="BX780" s="588" t="n"/>
      <c r="BY780" s="588" t="n"/>
      <c r="BZ780" s="588" t="n"/>
      <c r="CA780" s="588" t="n"/>
      <c r="CB780" s="588" t="n"/>
      <c r="CC780" s="588" t="n"/>
      <c r="CD780" s="588" t="n"/>
      <c r="CE780" s="588" t="n"/>
      <c r="CF780" s="588" t="n"/>
      <c r="CG780" s="588" t="n"/>
      <c r="CH780" s="588" t="n"/>
      <c r="CI780" s="588" t="n"/>
      <c r="CJ780" s="588" t="n"/>
      <c r="CK780" s="588" t="n"/>
      <c r="CL780" s="588" t="n"/>
      <c r="CM780" s="588" t="n"/>
      <c r="CN780" s="588" t="n"/>
      <c r="CO780" s="588" t="n"/>
      <c r="CP780" s="588" t="n"/>
      <c r="CQ780" s="588" t="n"/>
      <c r="CR780" s="588" t="n"/>
      <c r="CS780" s="588" t="n"/>
      <c r="CT780" s="588" t="n"/>
      <c r="CU780" s="588" t="n"/>
      <c r="CV780" s="588" t="n"/>
      <c r="CW780" s="588" t="n"/>
      <c r="CX780" s="588" t="n"/>
      <c r="CY780" s="588" t="n"/>
      <c r="CZ780" s="588" t="n"/>
      <c r="DA780" s="588" t="n"/>
      <c r="DB780" s="588" t="n"/>
      <c r="DC780" s="588" t="n"/>
      <c r="DD780" s="588" t="n"/>
      <c r="DE780" s="588" t="n"/>
      <c r="DF780" s="588" t="n"/>
      <c r="DG780" s="588" t="n"/>
      <c r="DH780" s="588" t="n"/>
      <c r="DI780" s="588" t="n"/>
      <c r="DJ780" s="588" t="n"/>
      <c r="DK780" s="588" t="n"/>
      <c r="DL780" s="588" t="n"/>
      <c r="DM780" s="588" t="n"/>
      <c r="DN780" s="588" t="n"/>
      <c r="DO780" s="588" t="n"/>
      <c r="DP780" s="588" t="n"/>
      <c r="DQ780" s="588" t="n"/>
      <c r="DR780" s="588" t="n"/>
      <c r="DS780" s="588" t="n"/>
      <c r="DT780" s="588" t="n"/>
      <c r="DU780" s="588" t="n"/>
    </row>
    <row r="781">
      <c r="A781" s="737" t="n"/>
      <c r="B781" s="737" t="n"/>
      <c r="C781" s="737" t="n"/>
      <c r="D781" s="737" t="n"/>
      <c r="E781" s="737" t="n"/>
      <c r="F781" s="737" t="n"/>
      <c r="G781" s="737" t="n"/>
      <c r="H781" s="737" t="n"/>
      <c r="I781" s="737" t="n"/>
      <c r="J781" s="737" t="n"/>
      <c r="K781" s="737" t="n"/>
      <c r="L781" s="737" t="n"/>
      <c r="M781" s="737" t="n"/>
      <c r="N781" s="737" t="n"/>
      <c r="O781" s="737" t="n"/>
      <c r="P781" s="737" t="n"/>
      <c r="Q781" s="737" t="n"/>
      <c r="R781" s="737" t="n"/>
      <c r="S781" s="737" t="n"/>
      <c r="T781" s="737" t="n"/>
      <c r="U781" s="737" t="n"/>
      <c r="V781" s="737" t="n"/>
      <c r="W781" s="737" t="n"/>
      <c r="X781" s="737" t="n"/>
      <c r="Y781" s="737" t="n"/>
      <c r="Z781" s="737" t="n"/>
      <c r="AA781" s="737" t="n"/>
      <c r="AB781" s="737" t="n"/>
      <c r="AC781" s="737" t="n"/>
      <c r="AD781" s="737" t="n"/>
      <c r="AE781" s="737" t="n"/>
      <c r="AF781" s="737" t="n"/>
      <c r="AG781" s="737" t="n"/>
      <c r="AH781" s="737" t="n"/>
      <c r="AI781" s="737" t="n"/>
      <c r="AJ781" s="737" t="n"/>
      <c r="AK781" s="588" t="n"/>
      <c r="AL781" s="588" t="n"/>
      <c r="AM781" s="588" t="n"/>
      <c r="AN781" s="588" t="n"/>
      <c r="AO781" s="588" t="n"/>
      <c r="AP781" s="588" t="n"/>
      <c r="AQ781" s="588" t="n"/>
      <c r="AR781" s="588" t="n"/>
      <c r="AS781" s="588" t="n"/>
      <c r="AT781" s="588" t="n"/>
      <c r="AU781" s="588" t="n"/>
      <c r="AV781" s="588" t="n"/>
      <c r="AW781" s="588" t="n"/>
      <c r="AX781" s="588" t="n"/>
      <c r="AY781" s="588" t="n"/>
      <c r="AZ781" s="588" t="n"/>
      <c r="BA781" s="588" t="n"/>
      <c r="BB781" s="588" t="n"/>
      <c r="BC781" s="588" t="n"/>
      <c r="BD781" s="588" t="n"/>
      <c r="BE781" s="588" t="n"/>
      <c r="BF781" s="588" t="n"/>
      <c r="BG781" s="588" t="n"/>
      <c r="BH781" s="588" t="n"/>
      <c r="BI781" s="588" t="n"/>
      <c r="BJ781" s="588" t="n"/>
      <c r="BK781" s="588" t="n"/>
      <c r="BL781" s="588" t="n"/>
      <c r="BM781" s="588" t="n"/>
      <c r="BN781" s="588" t="n"/>
      <c r="BO781" s="588" t="n"/>
      <c r="BP781" s="588" t="n"/>
      <c r="BQ781" s="588" t="n"/>
      <c r="BR781" s="588" t="n"/>
      <c r="BS781" s="588" t="n"/>
      <c r="BT781" s="588" t="n"/>
      <c r="BU781" s="588" t="n"/>
      <c r="BV781" s="588" t="n"/>
      <c r="BW781" s="588" t="n"/>
      <c r="BX781" s="588" t="n"/>
      <c r="BY781" s="588" t="n"/>
      <c r="BZ781" s="588" t="n"/>
      <c r="CA781" s="588" t="n"/>
      <c r="CB781" s="588" t="n"/>
      <c r="CC781" s="588" t="n"/>
      <c r="CD781" s="588" t="n"/>
      <c r="CE781" s="588" t="n"/>
      <c r="CF781" s="588" t="n"/>
      <c r="CG781" s="588" t="n"/>
      <c r="CH781" s="588" t="n"/>
      <c r="CI781" s="588" t="n"/>
      <c r="CJ781" s="588" t="n"/>
      <c r="CK781" s="588" t="n"/>
      <c r="CL781" s="588" t="n"/>
      <c r="CM781" s="588" t="n"/>
      <c r="CN781" s="588" t="n"/>
      <c r="CO781" s="588" t="n"/>
      <c r="CP781" s="588" t="n"/>
      <c r="CQ781" s="588" t="n"/>
      <c r="CR781" s="588" t="n"/>
      <c r="CS781" s="588" t="n"/>
      <c r="CT781" s="588" t="n"/>
      <c r="CU781" s="588" t="n"/>
      <c r="CV781" s="588" t="n"/>
      <c r="CW781" s="588" t="n"/>
      <c r="CX781" s="588" t="n"/>
      <c r="CY781" s="588" t="n"/>
      <c r="CZ781" s="588" t="n"/>
      <c r="DA781" s="588" t="n"/>
      <c r="DB781" s="588" t="n"/>
      <c r="DC781" s="588" t="n"/>
      <c r="DD781" s="588" t="n"/>
      <c r="DE781" s="588" t="n"/>
      <c r="DF781" s="588" t="n"/>
      <c r="DG781" s="588" t="n"/>
      <c r="DH781" s="588" t="n"/>
      <c r="DI781" s="588" t="n"/>
      <c r="DJ781" s="588" t="n"/>
      <c r="DK781" s="588" t="n"/>
      <c r="DL781" s="588" t="n"/>
      <c r="DM781" s="588" t="n"/>
      <c r="DN781" s="588" t="n"/>
      <c r="DO781" s="588" t="n"/>
      <c r="DP781" s="588" t="n"/>
      <c r="DQ781" s="588" t="n"/>
      <c r="DR781" s="588" t="n"/>
      <c r="DS781" s="588" t="n"/>
      <c r="DT781" s="588" t="n"/>
      <c r="DU781" s="588" t="n"/>
    </row>
    <row r="782">
      <c r="A782" s="737" t="n"/>
      <c r="B782" s="737" t="n"/>
      <c r="C782" s="737" t="n"/>
      <c r="D782" s="737" t="n"/>
      <c r="E782" s="737" t="n"/>
      <c r="F782" s="737" t="n"/>
      <c r="G782" s="737" t="n"/>
      <c r="H782" s="737" t="n"/>
      <c r="I782" s="737" t="n"/>
      <c r="J782" s="737" t="n"/>
      <c r="K782" s="737" t="n"/>
      <c r="L782" s="737" t="n"/>
      <c r="M782" s="737" t="n"/>
      <c r="N782" s="737" t="n"/>
      <c r="O782" s="737" t="n"/>
      <c r="P782" s="737" t="n"/>
      <c r="Q782" s="737" t="n"/>
      <c r="R782" s="737" t="n"/>
      <c r="S782" s="737" t="n"/>
      <c r="T782" s="737" t="n"/>
      <c r="U782" s="737" t="n"/>
      <c r="V782" s="737" t="n"/>
      <c r="W782" s="737" t="n"/>
      <c r="X782" s="737" t="n"/>
      <c r="Y782" s="737" t="n"/>
      <c r="Z782" s="737" t="n"/>
      <c r="AA782" s="737" t="n"/>
      <c r="AB782" s="737" t="n"/>
      <c r="AC782" s="737" t="n"/>
      <c r="AD782" s="737" t="n"/>
      <c r="AE782" s="737" t="n"/>
      <c r="AF782" s="737" t="n"/>
      <c r="AG782" s="737" t="n"/>
      <c r="AH782" s="737" t="n"/>
      <c r="AI782" s="737" t="n"/>
      <c r="AJ782" s="737" t="n"/>
      <c r="AK782" s="588" t="n"/>
      <c r="AL782" s="588" t="n"/>
      <c r="AM782" s="588" t="n"/>
      <c r="AN782" s="588" t="n"/>
      <c r="AO782" s="588" t="n"/>
      <c r="AP782" s="588" t="n"/>
      <c r="AQ782" s="588" t="n"/>
      <c r="AR782" s="588" t="n"/>
      <c r="AS782" s="588" t="n"/>
      <c r="AT782" s="588" t="n"/>
      <c r="AU782" s="588" t="n"/>
      <c r="AV782" s="588" t="n"/>
      <c r="AW782" s="588" t="n"/>
      <c r="AX782" s="588" t="n"/>
      <c r="AY782" s="588" t="n"/>
      <c r="AZ782" s="588" t="n"/>
      <c r="BA782" s="588" t="n"/>
      <c r="BB782" s="588" t="n"/>
      <c r="BC782" s="588" t="n"/>
      <c r="BD782" s="588" t="n"/>
      <c r="BE782" s="588" t="n"/>
      <c r="BF782" s="588" t="n"/>
      <c r="BG782" s="588" t="n"/>
      <c r="BH782" s="588" t="n"/>
      <c r="BI782" s="588" t="n"/>
      <c r="BJ782" s="588" t="n"/>
      <c r="BK782" s="588" t="n"/>
      <c r="BL782" s="588" t="n"/>
      <c r="BM782" s="588" t="n"/>
      <c r="BN782" s="588" t="n"/>
      <c r="BO782" s="588" t="n"/>
      <c r="BP782" s="588" t="n"/>
      <c r="BQ782" s="588" t="n"/>
      <c r="BR782" s="588" t="n"/>
      <c r="BS782" s="588" t="n"/>
      <c r="BT782" s="588" t="n"/>
      <c r="BU782" s="588" t="n"/>
      <c r="BV782" s="588" t="n"/>
      <c r="BW782" s="588" t="n"/>
      <c r="BX782" s="588" t="n"/>
      <c r="BY782" s="588" t="n"/>
      <c r="BZ782" s="588" t="n"/>
      <c r="CA782" s="588" t="n"/>
      <c r="CB782" s="588" t="n"/>
      <c r="CC782" s="588" t="n"/>
      <c r="CD782" s="588" t="n"/>
      <c r="CE782" s="588" t="n"/>
      <c r="CF782" s="588" t="n"/>
      <c r="CG782" s="588" t="n"/>
      <c r="CH782" s="588" t="n"/>
      <c r="CI782" s="588" t="n"/>
      <c r="CJ782" s="588" t="n"/>
      <c r="CK782" s="588" t="n"/>
      <c r="CL782" s="588" t="n"/>
      <c r="CM782" s="588" t="n"/>
      <c r="CN782" s="588" t="n"/>
      <c r="CO782" s="588" t="n"/>
      <c r="CP782" s="588" t="n"/>
      <c r="CQ782" s="588" t="n"/>
      <c r="CR782" s="588" t="n"/>
      <c r="CS782" s="588" t="n"/>
      <c r="CT782" s="588" t="n"/>
      <c r="CU782" s="588" t="n"/>
      <c r="CV782" s="588" t="n"/>
      <c r="CW782" s="588" t="n"/>
      <c r="CX782" s="588" t="n"/>
      <c r="CY782" s="588" t="n"/>
      <c r="CZ782" s="588" t="n"/>
      <c r="DA782" s="588" t="n"/>
      <c r="DB782" s="588" t="n"/>
      <c r="DC782" s="588" t="n"/>
      <c r="DD782" s="588" t="n"/>
      <c r="DE782" s="588" t="n"/>
      <c r="DF782" s="588" t="n"/>
      <c r="DG782" s="588" t="n"/>
      <c r="DH782" s="588" t="n"/>
      <c r="DI782" s="588" t="n"/>
      <c r="DJ782" s="588" t="n"/>
      <c r="DK782" s="588" t="n"/>
      <c r="DL782" s="588" t="n"/>
      <c r="DM782" s="588" t="n"/>
      <c r="DN782" s="588" t="n"/>
      <c r="DO782" s="588" t="n"/>
      <c r="DP782" s="588" t="n"/>
      <c r="DQ782" s="588" t="n"/>
      <c r="DR782" s="588" t="n"/>
      <c r="DS782" s="588" t="n"/>
      <c r="DT782" s="588" t="n"/>
      <c r="DU782" s="588" t="n"/>
    </row>
    <row r="783">
      <c r="A783" s="737" t="n"/>
      <c r="B783" s="737" t="n"/>
      <c r="C783" s="737" t="n"/>
      <c r="D783" s="737" t="n"/>
      <c r="E783" s="737" t="n"/>
      <c r="F783" s="737" t="n"/>
      <c r="G783" s="737" t="n"/>
      <c r="H783" s="737" t="n"/>
      <c r="I783" s="737" t="n"/>
      <c r="J783" s="737" t="n"/>
      <c r="K783" s="737" t="n"/>
      <c r="L783" s="737" t="n"/>
      <c r="M783" s="737" t="n"/>
      <c r="N783" s="737" t="n"/>
      <c r="O783" s="737" t="n"/>
      <c r="P783" s="737" t="n"/>
      <c r="Q783" s="737" t="n"/>
      <c r="R783" s="737" t="n"/>
      <c r="S783" s="737" t="n"/>
      <c r="T783" s="737" t="n"/>
      <c r="U783" s="737" t="n"/>
      <c r="V783" s="737" t="n"/>
      <c r="W783" s="737" t="n"/>
      <c r="X783" s="737" t="n"/>
      <c r="Y783" s="737" t="n"/>
      <c r="Z783" s="737" t="n"/>
      <c r="AA783" s="737" t="n"/>
      <c r="AB783" s="737" t="n"/>
      <c r="AC783" s="737" t="n"/>
      <c r="AD783" s="737" t="n"/>
      <c r="AE783" s="737" t="n"/>
      <c r="AF783" s="737" t="n"/>
      <c r="AG783" s="737" t="n"/>
      <c r="AH783" s="737" t="n"/>
      <c r="AI783" s="737" t="n"/>
      <c r="AJ783" s="737" t="n"/>
      <c r="AK783" s="588" t="n"/>
      <c r="AL783" s="588" t="n"/>
      <c r="AM783" s="588" t="n"/>
      <c r="AN783" s="588" t="n"/>
      <c r="AO783" s="588" t="n"/>
      <c r="AP783" s="588" t="n"/>
      <c r="AQ783" s="588" t="n"/>
      <c r="AR783" s="588" t="n"/>
      <c r="AS783" s="588" t="n"/>
      <c r="AT783" s="588" t="n"/>
      <c r="AU783" s="588" t="n"/>
      <c r="AV783" s="588" t="n"/>
      <c r="AW783" s="588" t="n"/>
      <c r="AX783" s="588" t="n"/>
      <c r="AY783" s="588" t="n"/>
      <c r="AZ783" s="588" t="n"/>
      <c r="BA783" s="588" t="n"/>
      <c r="BB783" s="588" t="n"/>
      <c r="BC783" s="588" t="n"/>
      <c r="BD783" s="588" t="n"/>
      <c r="BE783" s="588" t="n"/>
      <c r="BF783" s="588" t="n"/>
      <c r="BG783" s="588" t="n"/>
      <c r="BH783" s="588" t="n"/>
      <c r="BI783" s="588" t="n"/>
      <c r="BJ783" s="588" t="n"/>
      <c r="BK783" s="588" t="n"/>
      <c r="BL783" s="588" t="n"/>
      <c r="BM783" s="588" t="n"/>
      <c r="BN783" s="588" t="n"/>
      <c r="BO783" s="588" t="n"/>
      <c r="BP783" s="588" t="n"/>
      <c r="BQ783" s="588" t="n"/>
      <c r="BR783" s="588" t="n"/>
      <c r="BS783" s="588" t="n"/>
      <c r="BT783" s="588" t="n"/>
      <c r="BU783" s="588" t="n"/>
      <c r="BV783" s="588" t="n"/>
      <c r="BW783" s="588" t="n"/>
      <c r="BX783" s="588" t="n"/>
      <c r="BY783" s="588" t="n"/>
      <c r="BZ783" s="588" t="n"/>
      <c r="CA783" s="588" t="n"/>
      <c r="CB783" s="588" t="n"/>
      <c r="CC783" s="588" t="n"/>
      <c r="CD783" s="588" t="n"/>
      <c r="CE783" s="588" t="n"/>
      <c r="CF783" s="588" t="n"/>
      <c r="CG783" s="588" t="n"/>
      <c r="CH783" s="588" t="n"/>
      <c r="CI783" s="588" t="n"/>
      <c r="CJ783" s="588" t="n"/>
      <c r="CK783" s="588" t="n"/>
      <c r="CL783" s="588" t="n"/>
      <c r="CM783" s="588" t="n"/>
      <c r="CN783" s="588" t="n"/>
      <c r="CO783" s="588" t="n"/>
      <c r="CP783" s="588" t="n"/>
      <c r="CQ783" s="588" t="n"/>
      <c r="CR783" s="588" t="n"/>
      <c r="CS783" s="588" t="n"/>
      <c r="CT783" s="588" t="n"/>
      <c r="CU783" s="588" t="n"/>
      <c r="CV783" s="588" t="n"/>
      <c r="CW783" s="588" t="n"/>
      <c r="CX783" s="588" t="n"/>
      <c r="CY783" s="588" t="n"/>
      <c r="CZ783" s="588" t="n"/>
      <c r="DA783" s="588" t="n"/>
      <c r="DB783" s="588" t="n"/>
      <c r="DC783" s="588" t="n"/>
      <c r="DD783" s="588" t="n"/>
      <c r="DE783" s="588" t="n"/>
      <c r="DF783" s="588" t="n"/>
      <c r="DG783" s="588" t="n"/>
      <c r="DH783" s="588" t="n"/>
      <c r="DI783" s="588" t="n"/>
      <c r="DJ783" s="588" t="n"/>
      <c r="DK783" s="588" t="n"/>
      <c r="DL783" s="588" t="n"/>
      <c r="DM783" s="588" t="n"/>
      <c r="DN783" s="588" t="n"/>
      <c r="DO783" s="588" t="n"/>
      <c r="DP783" s="588" t="n"/>
      <c r="DQ783" s="588" t="n"/>
      <c r="DR783" s="588" t="n"/>
      <c r="DS783" s="588" t="n"/>
      <c r="DT783" s="588" t="n"/>
      <c r="DU783" s="588" t="n"/>
    </row>
    <row r="784">
      <c r="A784" s="737" t="n"/>
      <c r="B784" s="737" t="n"/>
      <c r="C784" s="737" t="n"/>
      <c r="D784" s="737" t="n"/>
      <c r="E784" s="737" t="n"/>
      <c r="F784" s="737" t="n"/>
      <c r="G784" s="737" t="n"/>
      <c r="H784" s="737" t="n"/>
      <c r="I784" s="737" t="n"/>
      <c r="J784" s="737" t="n"/>
      <c r="K784" s="737" t="n"/>
      <c r="L784" s="737" t="n"/>
      <c r="M784" s="737" t="n"/>
      <c r="N784" s="737" t="n"/>
      <c r="O784" s="737" t="n"/>
      <c r="P784" s="737" t="n"/>
      <c r="Q784" s="737" t="n"/>
      <c r="R784" s="737" t="n"/>
      <c r="S784" s="737" t="n"/>
      <c r="T784" s="737" t="n"/>
      <c r="U784" s="737" t="n"/>
      <c r="V784" s="737" t="n"/>
      <c r="W784" s="737" t="n"/>
      <c r="X784" s="737" t="n"/>
      <c r="Y784" s="737" t="n"/>
      <c r="Z784" s="737" t="n"/>
      <c r="AA784" s="737" t="n"/>
      <c r="AB784" s="737" t="n"/>
      <c r="AC784" s="737" t="n"/>
      <c r="AD784" s="737" t="n"/>
      <c r="AE784" s="737" t="n"/>
      <c r="AF784" s="737" t="n"/>
      <c r="AG784" s="737" t="n"/>
      <c r="AH784" s="737" t="n"/>
      <c r="AI784" s="737" t="n"/>
      <c r="AJ784" s="737" t="n"/>
      <c r="AK784" s="588" t="n"/>
      <c r="AL784" s="588" t="n"/>
      <c r="AM784" s="588" t="n"/>
      <c r="AN784" s="588" t="n"/>
      <c r="AO784" s="588" t="n"/>
      <c r="AP784" s="588" t="n"/>
      <c r="AQ784" s="588" t="n"/>
      <c r="AR784" s="588" t="n"/>
      <c r="AS784" s="588" t="n"/>
      <c r="AT784" s="588" t="n"/>
      <c r="AU784" s="588" t="n"/>
      <c r="AV784" s="588" t="n"/>
      <c r="AW784" s="588" t="n"/>
      <c r="AX784" s="588" t="n"/>
      <c r="AY784" s="588" t="n"/>
      <c r="AZ784" s="588" t="n"/>
      <c r="BA784" s="588" t="n"/>
      <c r="BB784" s="588" t="n"/>
      <c r="BC784" s="588" t="n"/>
      <c r="BD784" s="588" t="n"/>
      <c r="BE784" s="588" t="n"/>
      <c r="BF784" s="588" t="n"/>
      <c r="BG784" s="588" t="n"/>
      <c r="BH784" s="588" t="n"/>
      <c r="BI784" s="588" t="n"/>
      <c r="BJ784" s="588" t="n"/>
      <c r="BK784" s="588" t="n"/>
      <c r="BL784" s="588" t="n"/>
      <c r="BM784" s="588" t="n"/>
      <c r="BN784" s="588" t="n"/>
      <c r="BO784" s="588" t="n"/>
      <c r="BP784" s="588" t="n"/>
      <c r="BQ784" s="588" t="n"/>
      <c r="BR784" s="588" t="n"/>
      <c r="BS784" s="588" t="n"/>
      <c r="BT784" s="588" t="n"/>
      <c r="BU784" s="588" t="n"/>
      <c r="BV784" s="588" t="n"/>
      <c r="BW784" s="588" t="n"/>
      <c r="BX784" s="588" t="n"/>
      <c r="BY784" s="588" t="n"/>
      <c r="BZ784" s="588" t="n"/>
      <c r="CA784" s="588" t="n"/>
      <c r="CB784" s="588" t="n"/>
      <c r="CC784" s="588" t="n"/>
      <c r="CD784" s="588" t="n"/>
      <c r="CE784" s="588" t="n"/>
      <c r="CF784" s="588" t="n"/>
      <c r="CG784" s="588" t="n"/>
      <c r="CH784" s="588" t="n"/>
      <c r="CI784" s="588" t="n"/>
      <c r="CJ784" s="588" t="n"/>
      <c r="CK784" s="588" t="n"/>
      <c r="CL784" s="588" t="n"/>
      <c r="CM784" s="588" t="n"/>
      <c r="CN784" s="588" t="n"/>
      <c r="CO784" s="588" t="n"/>
      <c r="CP784" s="588" t="n"/>
      <c r="CQ784" s="588" t="n"/>
      <c r="CR784" s="588" t="n"/>
      <c r="CS784" s="588" t="n"/>
      <c r="CT784" s="588" t="n"/>
      <c r="CU784" s="588" t="n"/>
      <c r="CV784" s="588" t="n"/>
      <c r="CW784" s="588" t="n"/>
      <c r="CX784" s="588" t="n"/>
      <c r="CY784" s="588" t="n"/>
      <c r="CZ784" s="588" t="n"/>
      <c r="DA784" s="588" t="n"/>
      <c r="DB784" s="588" t="n"/>
      <c r="DC784" s="588" t="n"/>
      <c r="DD784" s="588" t="n"/>
      <c r="DE784" s="588" t="n"/>
      <c r="DF784" s="588" t="n"/>
      <c r="DG784" s="588" t="n"/>
      <c r="DH784" s="588" t="n"/>
      <c r="DI784" s="588" t="n"/>
      <c r="DJ784" s="588" t="n"/>
      <c r="DK784" s="588" t="n"/>
      <c r="DL784" s="588" t="n"/>
      <c r="DM784" s="588" t="n"/>
      <c r="DN784" s="588" t="n"/>
      <c r="DO784" s="588" t="n"/>
      <c r="DP784" s="588" t="n"/>
      <c r="DQ784" s="588" t="n"/>
      <c r="DR784" s="588" t="n"/>
      <c r="DS784" s="588" t="n"/>
      <c r="DT784" s="588" t="n"/>
      <c r="DU784" s="588" t="n"/>
    </row>
    <row r="785">
      <c r="A785" s="737" t="n"/>
      <c r="B785" s="737" t="n"/>
      <c r="C785" s="737" t="n"/>
      <c r="D785" s="737" t="n"/>
      <c r="E785" s="737" t="n"/>
      <c r="F785" s="737" t="n"/>
      <c r="G785" s="737" t="n"/>
      <c r="H785" s="737" t="n"/>
      <c r="I785" s="737" t="n"/>
      <c r="J785" s="737" t="n"/>
      <c r="K785" s="737" t="n"/>
      <c r="L785" s="737" t="n"/>
      <c r="M785" s="737" t="n"/>
      <c r="N785" s="737" t="n"/>
      <c r="O785" s="737" t="n"/>
      <c r="P785" s="737" t="n"/>
      <c r="Q785" s="737" t="n"/>
      <c r="R785" s="737" t="n"/>
      <c r="S785" s="737" t="n"/>
      <c r="T785" s="737" t="n"/>
      <c r="U785" s="737" t="n"/>
      <c r="V785" s="737" t="n"/>
      <c r="W785" s="737" t="n"/>
      <c r="X785" s="737" t="n"/>
      <c r="Y785" s="737" t="n"/>
      <c r="Z785" s="737" t="n"/>
      <c r="AA785" s="737" t="n"/>
      <c r="AB785" s="737" t="n"/>
      <c r="AC785" s="737" t="n"/>
      <c r="AD785" s="737" t="n"/>
      <c r="AE785" s="737" t="n"/>
      <c r="AF785" s="737" t="n"/>
      <c r="AG785" s="737" t="n"/>
      <c r="AH785" s="737" t="n"/>
      <c r="AI785" s="737" t="n"/>
      <c r="AJ785" s="737" t="n"/>
      <c r="AK785" s="588" t="n"/>
      <c r="AL785" s="588" t="n"/>
      <c r="AM785" s="588" t="n"/>
      <c r="AN785" s="588" t="n"/>
      <c r="AO785" s="588" t="n"/>
      <c r="AP785" s="588" t="n"/>
      <c r="AQ785" s="588" t="n"/>
      <c r="AR785" s="588" t="n"/>
      <c r="AS785" s="588" t="n"/>
      <c r="AT785" s="588" t="n"/>
      <c r="AU785" s="588" t="n"/>
      <c r="AV785" s="588" t="n"/>
      <c r="AW785" s="588" t="n"/>
      <c r="AX785" s="588" t="n"/>
      <c r="AY785" s="588" t="n"/>
      <c r="AZ785" s="588" t="n"/>
      <c r="BA785" s="588" t="n"/>
      <c r="BB785" s="588" t="n"/>
      <c r="BC785" s="588" t="n"/>
      <c r="BD785" s="588" t="n"/>
      <c r="BE785" s="588" t="n"/>
      <c r="BF785" s="588" t="n"/>
      <c r="BG785" s="588" t="n"/>
      <c r="BH785" s="588" t="n"/>
      <c r="BI785" s="588" t="n"/>
      <c r="BJ785" s="588" t="n"/>
      <c r="BK785" s="588" t="n"/>
      <c r="BL785" s="588" t="n"/>
      <c r="BM785" s="588" t="n"/>
      <c r="BN785" s="588" t="n"/>
      <c r="BO785" s="588" t="n"/>
      <c r="BP785" s="588" t="n"/>
      <c r="BQ785" s="588" t="n"/>
      <c r="BR785" s="588" t="n"/>
      <c r="BS785" s="588" t="n"/>
      <c r="BT785" s="588" t="n"/>
      <c r="BU785" s="588" t="n"/>
      <c r="BV785" s="588" t="n"/>
      <c r="BW785" s="588" t="n"/>
      <c r="BX785" s="588" t="n"/>
      <c r="BY785" s="588" t="n"/>
      <c r="BZ785" s="588" t="n"/>
      <c r="CA785" s="588" t="n"/>
      <c r="CB785" s="588" t="n"/>
      <c r="CC785" s="588" t="n"/>
      <c r="CD785" s="588" t="n"/>
      <c r="CE785" s="588" t="n"/>
      <c r="CF785" s="588" t="n"/>
      <c r="CG785" s="588" t="n"/>
      <c r="CH785" s="588" t="n"/>
      <c r="CI785" s="588" t="n"/>
      <c r="CJ785" s="588" t="n"/>
      <c r="CK785" s="588" t="n"/>
      <c r="CL785" s="588" t="n"/>
      <c r="CM785" s="588" t="n"/>
      <c r="CN785" s="588" t="n"/>
      <c r="CO785" s="588" t="n"/>
      <c r="CP785" s="588" t="n"/>
      <c r="CQ785" s="588" t="n"/>
      <c r="CR785" s="588" t="n"/>
      <c r="CS785" s="588" t="n"/>
      <c r="CT785" s="588" t="n"/>
      <c r="CU785" s="588" t="n"/>
      <c r="CV785" s="588" t="n"/>
      <c r="CW785" s="588" t="n"/>
      <c r="CX785" s="588" t="n"/>
      <c r="CY785" s="588" t="n"/>
      <c r="CZ785" s="588" t="n"/>
      <c r="DA785" s="588" t="n"/>
      <c r="DB785" s="588" t="n"/>
      <c r="DC785" s="588" t="n"/>
      <c r="DD785" s="588" t="n"/>
      <c r="DE785" s="588" t="n"/>
      <c r="DF785" s="588" t="n"/>
      <c r="DG785" s="588" t="n"/>
      <c r="DH785" s="588" t="n"/>
      <c r="DI785" s="588" t="n"/>
      <c r="DJ785" s="588" t="n"/>
      <c r="DK785" s="588" t="n"/>
      <c r="DL785" s="588" t="n"/>
      <c r="DM785" s="588" t="n"/>
      <c r="DN785" s="588" t="n"/>
      <c r="DO785" s="588" t="n"/>
      <c r="DP785" s="588" t="n"/>
      <c r="DQ785" s="588" t="n"/>
      <c r="DR785" s="588" t="n"/>
      <c r="DS785" s="588" t="n"/>
      <c r="DT785" s="588" t="n"/>
      <c r="DU785" s="588" t="n"/>
    </row>
    <row r="786">
      <c r="A786" s="737" t="n"/>
      <c r="B786" s="737" t="n"/>
      <c r="C786" s="737" t="n"/>
      <c r="D786" s="737" t="n"/>
      <c r="E786" s="737" t="n"/>
      <c r="F786" s="737" t="n"/>
      <c r="G786" s="737" t="n"/>
      <c r="H786" s="737" t="n"/>
      <c r="I786" s="737" t="n"/>
      <c r="J786" s="737" t="n"/>
      <c r="K786" s="737" t="n"/>
      <c r="L786" s="737" t="n"/>
      <c r="M786" s="737" t="n"/>
      <c r="N786" s="737" t="n"/>
      <c r="O786" s="737" t="n"/>
      <c r="P786" s="737" t="n"/>
      <c r="Q786" s="737" t="n"/>
      <c r="R786" s="737" t="n"/>
      <c r="S786" s="737" t="n"/>
      <c r="T786" s="737" t="n"/>
      <c r="U786" s="737" t="n"/>
      <c r="V786" s="737" t="n"/>
      <c r="W786" s="737" t="n"/>
      <c r="X786" s="737" t="n"/>
      <c r="Y786" s="737" t="n"/>
      <c r="Z786" s="737" t="n"/>
      <c r="AA786" s="737" t="n"/>
      <c r="AB786" s="737" t="n"/>
      <c r="AC786" s="737" t="n"/>
      <c r="AD786" s="737" t="n"/>
      <c r="AE786" s="737" t="n"/>
      <c r="AF786" s="737" t="n"/>
      <c r="AG786" s="737" t="n"/>
      <c r="AH786" s="737" t="n"/>
      <c r="AI786" s="737" t="n"/>
      <c r="AJ786" s="737" t="n"/>
      <c r="AK786" s="588" t="n"/>
      <c r="AL786" s="588" t="n"/>
      <c r="AM786" s="588" t="n"/>
      <c r="AN786" s="588" t="n"/>
      <c r="AO786" s="588" t="n"/>
      <c r="AP786" s="588" t="n"/>
      <c r="AQ786" s="588" t="n"/>
      <c r="AR786" s="588" t="n"/>
      <c r="AS786" s="588" t="n"/>
      <c r="AT786" s="588" t="n"/>
      <c r="AU786" s="588" t="n"/>
      <c r="AV786" s="588" t="n"/>
      <c r="AW786" s="588" t="n"/>
      <c r="AX786" s="588" t="n"/>
      <c r="AY786" s="588" t="n"/>
      <c r="AZ786" s="588" t="n"/>
      <c r="BA786" s="588" t="n"/>
      <c r="BB786" s="588" t="n"/>
      <c r="BC786" s="588" t="n"/>
      <c r="BD786" s="588" t="n"/>
      <c r="BE786" s="588" t="n"/>
      <c r="BF786" s="588" t="n"/>
      <c r="BG786" s="588" t="n"/>
      <c r="BH786" s="588" t="n"/>
      <c r="BI786" s="588" t="n"/>
      <c r="BJ786" s="588" t="n"/>
      <c r="BK786" s="588" t="n"/>
      <c r="BL786" s="588" t="n"/>
      <c r="BM786" s="588" t="n"/>
      <c r="BN786" s="588" t="n"/>
      <c r="BO786" s="588" t="n"/>
      <c r="BP786" s="588" t="n"/>
      <c r="BQ786" s="588" t="n"/>
      <c r="BR786" s="588" t="n"/>
      <c r="BS786" s="588" t="n"/>
      <c r="BT786" s="588" t="n"/>
      <c r="BU786" s="588" t="n"/>
      <c r="BV786" s="588" t="n"/>
      <c r="BW786" s="588" t="n"/>
      <c r="BX786" s="588" t="n"/>
      <c r="BY786" s="588" t="n"/>
      <c r="BZ786" s="588" t="n"/>
      <c r="CA786" s="588" t="n"/>
      <c r="CB786" s="588" t="n"/>
      <c r="CC786" s="588" t="n"/>
      <c r="CD786" s="588" t="n"/>
      <c r="CE786" s="588" t="n"/>
      <c r="CF786" s="588" t="n"/>
      <c r="CG786" s="588" t="n"/>
      <c r="CH786" s="588" t="n"/>
      <c r="CI786" s="588" t="n"/>
      <c r="CJ786" s="588" t="n"/>
      <c r="CK786" s="588" t="n"/>
      <c r="CL786" s="588" t="n"/>
      <c r="CM786" s="588" t="n"/>
      <c r="CN786" s="588" t="n"/>
      <c r="CO786" s="588" t="n"/>
      <c r="CP786" s="588" t="n"/>
      <c r="CQ786" s="588" t="n"/>
      <c r="CR786" s="588" t="n"/>
      <c r="CS786" s="588" t="n"/>
      <c r="CT786" s="588" t="n"/>
      <c r="CU786" s="588" t="n"/>
      <c r="CV786" s="588" t="n"/>
      <c r="CW786" s="588" t="n"/>
      <c r="CX786" s="588" t="n"/>
      <c r="CY786" s="588" t="n"/>
      <c r="CZ786" s="588" t="n"/>
      <c r="DA786" s="588" t="n"/>
      <c r="DB786" s="588" t="n"/>
      <c r="DC786" s="588" t="n"/>
      <c r="DD786" s="588" t="n"/>
      <c r="DE786" s="588" t="n"/>
      <c r="DF786" s="588" t="n"/>
      <c r="DG786" s="588" t="n"/>
      <c r="DH786" s="588" t="n"/>
      <c r="DI786" s="588" t="n"/>
      <c r="DJ786" s="588" t="n"/>
      <c r="DK786" s="588" t="n"/>
      <c r="DL786" s="588" t="n"/>
      <c r="DM786" s="588" t="n"/>
      <c r="DN786" s="588" t="n"/>
      <c r="DO786" s="588" t="n"/>
      <c r="DP786" s="588" t="n"/>
      <c r="DQ786" s="588" t="n"/>
      <c r="DR786" s="588" t="n"/>
      <c r="DS786" s="588" t="n"/>
      <c r="DT786" s="588" t="n"/>
      <c r="DU786" s="588" t="n"/>
    </row>
    <row r="787">
      <c r="A787" s="737" t="n"/>
      <c r="B787" s="737" t="n"/>
      <c r="C787" s="737" t="n"/>
      <c r="D787" s="737" t="n"/>
      <c r="E787" s="737" t="n"/>
      <c r="F787" s="737" t="n"/>
      <c r="G787" s="737" t="n"/>
      <c r="H787" s="737" t="n"/>
      <c r="I787" s="737" t="n"/>
      <c r="J787" s="737" t="n"/>
      <c r="K787" s="737" t="n"/>
      <c r="L787" s="737" t="n"/>
      <c r="M787" s="737" t="n"/>
      <c r="N787" s="737" t="n"/>
      <c r="O787" s="737" t="n"/>
      <c r="P787" s="737" t="n"/>
      <c r="Q787" s="737" t="n"/>
      <c r="R787" s="737" t="n"/>
      <c r="S787" s="737" t="n"/>
      <c r="T787" s="737" t="n"/>
      <c r="U787" s="737" t="n"/>
      <c r="V787" s="737" t="n"/>
      <c r="W787" s="737" t="n"/>
      <c r="X787" s="737" t="n"/>
      <c r="Y787" s="737" t="n"/>
      <c r="Z787" s="737" t="n"/>
      <c r="AA787" s="737" t="n"/>
      <c r="AB787" s="737" t="n"/>
      <c r="AC787" s="737" t="n"/>
      <c r="AD787" s="737" t="n"/>
      <c r="AE787" s="737" t="n"/>
      <c r="AF787" s="737" t="n"/>
      <c r="AG787" s="737" t="n"/>
      <c r="AH787" s="737" t="n"/>
      <c r="AI787" s="737" t="n"/>
      <c r="AJ787" s="737" t="n"/>
      <c r="AK787" s="588" t="n"/>
      <c r="AL787" s="588" t="n"/>
      <c r="AM787" s="588" t="n"/>
      <c r="AN787" s="588" t="n"/>
      <c r="AO787" s="588" t="n"/>
      <c r="AP787" s="588" t="n"/>
      <c r="AQ787" s="588" t="n"/>
      <c r="AR787" s="588" t="n"/>
      <c r="AS787" s="588" t="n"/>
      <c r="AT787" s="588" t="n"/>
      <c r="AU787" s="588" t="n"/>
      <c r="AV787" s="588" t="n"/>
      <c r="AW787" s="588" t="n"/>
      <c r="AX787" s="588" t="n"/>
      <c r="AY787" s="588" t="n"/>
      <c r="AZ787" s="588" t="n"/>
      <c r="BA787" s="588" t="n"/>
      <c r="BB787" s="588" t="n"/>
      <c r="BC787" s="588" t="n"/>
      <c r="BD787" s="588" t="n"/>
      <c r="BE787" s="588" t="n"/>
      <c r="BF787" s="588" t="n"/>
      <c r="BG787" s="588" t="n"/>
      <c r="BH787" s="588" t="n"/>
      <c r="BI787" s="588" t="n"/>
      <c r="BJ787" s="588" t="n"/>
      <c r="BK787" s="588" t="n"/>
      <c r="BL787" s="588" t="n"/>
      <c r="BM787" s="588" t="n"/>
      <c r="BN787" s="588" t="n"/>
      <c r="BO787" s="588" t="n"/>
      <c r="BP787" s="588" t="n"/>
      <c r="BQ787" s="588" t="n"/>
      <c r="BR787" s="588" t="n"/>
      <c r="BS787" s="588" t="n"/>
      <c r="BT787" s="588" t="n"/>
      <c r="BU787" s="588" t="n"/>
      <c r="BV787" s="588" t="n"/>
      <c r="BW787" s="588" t="n"/>
      <c r="BX787" s="588" t="n"/>
      <c r="BY787" s="588" t="n"/>
      <c r="BZ787" s="588" t="n"/>
      <c r="CA787" s="588" t="n"/>
      <c r="CB787" s="588" t="n"/>
      <c r="CC787" s="588" t="n"/>
      <c r="CD787" s="588" t="n"/>
      <c r="CE787" s="588" t="n"/>
      <c r="CF787" s="588" t="n"/>
      <c r="CG787" s="588" t="n"/>
      <c r="CH787" s="588" t="n"/>
      <c r="CI787" s="588" t="n"/>
      <c r="CJ787" s="588" t="n"/>
      <c r="CK787" s="588" t="n"/>
      <c r="CL787" s="588" t="n"/>
      <c r="CM787" s="588" t="n"/>
      <c r="CN787" s="588" t="n"/>
      <c r="CO787" s="588" t="n"/>
      <c r="CP787" s="588" t="n"/>
      <c r="CQ787" s="588" t="n"/>
      <c r="CR787" s="588" t="n"/>
      <c r="CS787" s="588" t="n"/>
      <c r="CT787" s="588" t="n"/>
      <c r="CU787" s="588" t="n"/>
      <c r="CV787" s="588" t="n"/>
      <c r="CW787" s="588" t="n"/>
      <c r="CX787" s="588" t="n"/>
      <c r="CY787" s="588" t="n"/>
      <c r="CZ787" s="588" t="n"/>
      <c r="DA787" s="588" t="n"/>
      <c r="DB787" s="588" t="n"/>
      <c r="DC787" s="588" t="n"/>
      <c r="DD787" s="588" t="n"/>
      <c r="DE787" s="588" t="n"/>
      <c r="DF787" s="588" t="n"/>
      <c r="DG787" s="588" t="n"/>
      <c r="DH787" s="588" t="n"/>
      <c r="DI787" s="588" t="n"/>
      <c r="DJ787" s="588" t="n"/>
      <c r="DK787" s="588" t="n"/>
      <c r="DL787" s="588" t="n"/>
      <c r="DM787" s="588" t="n"/>
      <c r="DN787" s="588" t="n"/>
      <c r="DO787" s="588" t="n"/>
      <c r="DP787" s="588" t="n"/>
      <c r="DQ787" s="588" t="n"/>
      <c r="DR787" s="588" t="n"/>
      <c r="DS787" s="588" t="n"/>
      <c r="DT787" s="588" t="n"/>
      <c r="DU787" s="588" t="n"/>
    </row>
    <row r="788">
      <c r="A788" s="737" t="n"/>
      <c r="B788" s="737" t="n"/>
      <c r="C788" s="737" t="n"/>
      <c r="D788" s="737" t="n"/>
      <c r="E788" s="737" t="n"/>
      <c r="F788" s="737" t="n"/>
      <c r="G788" s="737" t="n"/>
      <c r="H788" s="737" t="n"/>
      <c r="I788" s="737" t="n"/>
      <c r="J788" s="737" t="n"/>
      <c r="K788" s="737" t="n"/>
      <c r="L788" s="737" t="n"/>
      <c r="M788" s="737" t="n"/>
      <c r="N788" s="737" t="n"/>
      <c r="O788" s="737" t="n"/>
      <c r="P788" s="737" t="n"/>
      <c r="Q788" s="737" t="n"/>
      <c r="R788" s="737" t="n"/>
      <c r="S788" s="737" t="n"/>
      <c r="T788" s="737" t="n"/>
      <c r="U788" s="737" t="n"/>
      <c r="V788" s="737" t="n"/>
      <c r="W788" s="737" t="n"/>
      <c r="X788" s="737" t="n"/>
      <c r="Y788" s="737" t="n"/>
      <c r="Z788" s="737" t="n"/>
      <c r="AA788" s="737" t="n"/>
      <c r="AB788" s="737" t="n"/>
      <c r="AC788" s="737" t="n"/>
      <c r="AD788" s="737" t="n"/>
      <c r="AE788" s="737" t="n"/>
      <c r="AF788" s="737" t="n"/>
      <c r="AG788" s="737" t="n"/>
      <c r="AH788" s="737" t="n"/>
      <c r="AI788" s="737" t="n"/>
      <c r="AJ788" s="737" t="n"/>
      <c r="AK788" s="588" t="n"/>
      <c r="AL788" s="588" t="n"/>
      <c r="AM788" s="588" t="n"/>
      <c r="AN788" s="588" t="n"/>
      <c r="AO788" s="588" t="n"/>
      <c r="AP788" s="588" t="n"/>
      <c r="AQ788" s="588" t="n"/>
      <c r="AR788" s="588" t="n"/>
      <c r="AS788" s="588" t="n"/>
      <c r="AT788" s="588" t="n"/>
      <c r="AU788" s="588" t="n"/>
      <c r="AV788" s="588" t="n"/>
      <c r="AW788" s="588" t="n"/>
      <c r="AX788" s="588" t="n"/>
      <c r="AY788" s="588" t="n"/>
      <c r="AZ788" s="588" t="n"/>
      <c r="BA788" s="588" t="n"/>
      <c r="BB788" s="588" t="n"/>
      <c r="BC788" s="588" t="n"/>
      <c r="BD788" s="588" t="n"/>
      <c r="BE788" s="588" t="n"/>
      <c r="BF788" s="588" t="n"/>
      <c r="BG788" s="588" t="n"/>
      <c r="BH788" s="588" t="n"/>
      <c r="BI788" s="588" t="n"/>
      <c r="BJ788" s="588" t="n"/>
      <c r="BK788" s="588" t="n"/>
      <c r="BL788" s="588" t="n"/>
      <c r="BM788" s="588" t="n"/>
      <c r="BN788" s="588" t="n"/>
      <c r="BO788" s="588" t="n"/>
      <c r="BP788" s="588" t="n"/>
      <c r="BQ788" s="588" t="n"/>
      <c r="BR788" s="588" t="n"/>
      <c r="BS788" s="588" t="n"/>
      <c r="BT788" s="588" t="n"/>
      <c r="BU788" s="588" t="n"/>
      <c r="BV788" s="588" t="n"/>
      <c r="BW788" s="588" t="n"/>
      <c r="BX788" s="588" t="n"/>
      <c r="BY788" s="588" t="n"/>
      <c r="BZ788" s="588" t="n"/>
      <c r="CA788" s="588" t="n"/>
      <c r="CB788" s="588" t="n"/>
      <c r="CC788" s="588" t="n"/>
      <c r="CD788" s="588" t="n"/>
      <c r="CE788" s="588" t="n"/>
      <c r="CF788" s="588" t="n"/>
      <c r="CG788" s="588" t="n"/>
      <c r="CH788" s="588" t="n"/>
      <c r="CI788" s="588" t="n"/>
      <c r="CJ788" s="588" t="n"/>
      <c r="CK788" s="588" t="n"/>
      <c r="CL788" s="588" t="n"/>
      <c r="CM788" s="588" t="n"/>
      <c r="CN788" s="588" t="n"/>
      <c r="CO788" s="588" t="n"/>
      <c r="CP788" s="588" t="n"/>
      <c r="CQ788" s="588" t="n"/>
      <c r="CR788" s="588" t="n"/>
      <c r="CS788" s="588" t="n"/>
      <c r="CT788" s="588" t="n"/>
      <c r="CU788" s="588" t="n"/>
      <c r="CV788" s="588" t="n"/>
      <c r="CW788" s="588" t="n"/>
      <c r="CX788" s="588" t="n"/>
      <c r="CY788" s="588" t="n"/>
      <c r="CZ788" s="588" t="n"/>
      <c r="DA788" s="588" t="n"/>
      <c r="DB788" s="588" t="n"/>
      <c r="DC788" s="588" t="n"/>
      <c r="DD788" s="588" t="n"/>
      <c r="DE788" s="588" t="n"/>
      <c r="DF788" s="588" t="n"/>
      <c r="DG788" s="588" t="n"/>
      <c r="DH788" s="588" t="n"/>
      <c r="DI788" s="588" t="n"/>
      <c r="DJ788" s="588" t="n"/>
      <c r="DK788" s="588" t="n"/>
      <c r="DL788" s="588" t="n"/>
      <c r="DM788" s="588" t="n"/>
      <c r="DN788" s="588" t="n"/>
      <c r="DO788" s="588" t="n"/>
      <c r="DP788" s="588" t="n"/>
      <c r="DQ788" s="588" t="n"/>
      <c r="DR788" s="588" t="n"/>
      <c r="DS788" s="588" t="n"/>
      <c r="DT788" s="588" t="n"/>
      <c r="DU788" s="588" t="n"/>
    </row>
    <row r="789">
      <c r="A789" s="737" t="n"/>
      <c r="B789" s="737" t="n"/>
      <c r="C789" s="737" t="n"/>
      <c r="D789" s="737" t="n"/>
      <c r="E789" s="737" t="n"/>
      <c r="F789" s="737" t="n"/>
      <c r="G789" s="737" t="n"/>
      <c r="H789" s="737" t="n"/>
      <c r="I789" s="737" t="n"/>
      <c r="J789" s="737" t="n"/>
      <c r="K789" s="737" t="n"/>
      <c r="L789" s="737" t="n"/>
      <c r="M789" s="737" t="n"/>
      <c r="N789" s="737" t="n"/>
      <c r="O789" s="737" t="n"/>
      <c r="P789" s="737" t="n"/>
      <c r="Q789" s="737" t="n"/>
      <c r="R789" s="737" t="n"/>
      <c r="S789" s="737" t="n"/>
      <c r="T789" s="737" t="n"/>
      <c r="U789" s="737" t="n"/>
      <c r="V789" s="737" t="n"/>
      <c r="W789" s="737" t="n"/>
      <c r="X789" s="737" t="n"/>
      <c r="Y789" s="737" t="n"/>
      <c r="Z789" s="737" t="n"/>
      <c r="AA789" s="737" t="n"/>
      <c r="AB789" s="737" t="n"/>
      <c r="AC789" s="737" t="n"/>
      <c r="AD789" s="737" t="n"/>
      <c r="AE789" s="737" t="n"/>
      <c r="AF789" s="737" t="n"/>
      <c r="AG789" s="737" t="n"/>
      <c r="AH789" s="737" t="n"/>
      <c r="AI789" s="737" t="n"/>
      <c r="AJ789" s="737" t="n"/>
      <c r="AK789" s="588" t="n"/>
      <c r="AL789" s="588" t="n"/>
      <c r="AM789" s="588" t="n"/>
      <c r="AN789" s="588" t="n"/>
      <c r="AO789" s="588" t="n"/>
      <c r="AP789" s="588" t="n"/>
      <c r="AQ789" s="588" t="n"/>
      <c r="AR789" s="588" t="n"/>
      <c r="AS789" s="588" t="n"/>
      <c r="AT789" s="588" t="n"/>
      <c r="AU789" s="588" t="n"/>
      <c r="AV789" s="588" t="n"/>
      <c r="AW789" s="588" t="n"/>
      <c r="AX789" s="588" t="n"/>
      <c r="AY789" s="588" t="n"/>
      <c r="AZ789" s="588" t="n"/>
      <c r="BA789" s="588" t="n"/>
      <c r="BB789" s="588" t="n"/>
      <c r="BC789" s="588" t="n"/>
      <c r="BD789" s="588" t="n"/>
      <c r="BE789" s="588" t="n"/>
      <c r="BF789" s="588" t="n"/>
      <c r="BG789" s="588" t="n"/>
      <c r="BH789" s="588" t="n"/>
      <c r="BI789" s="588" t="n"/>
      <c r="BJ789" s="588" t="n"/>
      <c r="BK789" s="588" t="n"/>
      <c r="BL789" s="588" t="n"/>
      <c r="BM789" s="588" t="n"/>
      <c r="BN789" s="588" t="n"/>
      <c r="BO789" s="588" t="n"/>
      <c r="BP789" s="588" t="n"/>
      <c r="BQ789" s="588" t="n"/>
      <c r="BR789" s="588" t="n"/>
      <c r="BS789" s="588" t="n"/>
      <c r="BT789" s="588" t="n"/>
      <c r="BU789" s="588" t="n"/>
      <c r="BV789" s="588" t="n"/>
      <c r="BW789" s="588" t="n"/>
      <c r="BX789" s="588" t="n"/>
      <c r="BY789" s="588" t="n"/>
      <c r="BZ789" s="588" t="n"/>
      <c r="CA789" s="588" t="n"/>
      <c r="CB789" s="588" t="n"/>
      <c r="CC789" s="588" t="n"/>
      <c r="CD789" s="588" t="n"/>
      <c r="CE789" s="588" t="n"/>
      <c r="CF789" s="588" t="n"/>
      <c r="CG789" s="588" t="n"/>
      <c r="CH789" s="588" t="n"/>
      <c r="CI789" s="588" t="n"/>
      <c r="CJ789" s="588" t="n"/>
      <c r="CK789" s="588" t="n"/>
      <c r="CL789" s="588" t="n"/>
      <c r="CM789" s="588" t="n"/>
      <c r="CN789" s="588" t="n"/>
      <c r="CO789" s="588" t="n"/>
      <c r="CP789" s="588" t="n"/>
      <c r="CQ789" s="588" t="n"/>
      <c r="CR789" s="588" t="n"/>
      <c r="CS789" s="588" t="n"/>
      <c r="CT789" s="588" t="n"/>
      <c r="CU789" s="588" t="n"/>
      <c r="CV789" s="588" t="n"/>
      <c r="CW789" s="588" t="n"/>
      <c r="CX789" s="588" t="n"/>
      <c r="CY789" s="588" t="n"/>
      <c r="CZ789" s="588" t="n"/>
      <c r="DA789" s="588" t="n"/>
      <c r="DB789" s="588" t="n"/>
      <c r="DC789" s="588" t="n"/>
      <c r="DD789" s="588" t="n"/>
      <c r="DE789" s="588" t="n"/>
      <c r="DF789" s="588" t="n"/>
      <c r="DG789" s="588" t="n"/>
      <c r="DH789" s="588" t="n"/>
      <c r="DI789" s="588" t="n"/>
      <c r="DJ789" s="588" t="n"/>
      <c r="DK789" s="588" t="n"/>
      <c r="DL789" s="588" t="n"/>
      <c r="DM789" s="588" t="n"/>
      <c r="DN789" s="588" t="n"/>
      <c r="DO789" s="588" t="n"/>
      <c r="DP789" s="588" t="n"/>
      <c r="DQ789" s="588" t="n"/>
      <c r="DR789" s="588" t="n"/>
      <c r="DS789" s="588" t="n"/>
      <c r="DT789" s="588" t="n"/>
      <c r="DU789" s="588" t="n"/>
    </row>
    <row r="790">
      <c r="A790" s="737" t="n"/>
      <c r="B790" s="737" t="n"/>
      <c r="C790" s="737" t="n"/>
      <c r="D790" s="737" t="n"/>
      <c r="E790" s="737" t="n"/>
      <c r="F790" s="737" t="n"/>
      <c r="G790" s="737" t="n"/>
      <c r="H790" s="737" t="n"/>
      <c r="I790" s="737" t="n"/>
      <c r="J790" s="737" t="n"/>
      <c r="K790" s="737" t="n"/>
      <c r="L790" s="737" t="n"/>
      <c r="M790" s="737" t="n"/>
      <c r="N790" s="737" t="n"/>
      <c r="O790" s="737" t="n"/>
      <c r="P790" s="737" t="n"/>
      <c r="Q790" s="737" t="n"/>
      <c r="R790" s="737" t="n"/>
      <c r="S790" s="737" t="n"/>
      <c r="T790" s="737" t="n"/>
      <c r="U790" s="737" t="n"/>
      <c r="V790" s="737" t="n"/>
      <c r="W790" s="737" t="n"/>
      <c r="X790" s="737" t="n"/>
      <c r="Y790" s="737" t="n"/>
      <c r="Z790" s="737" t="n"/>
      <c r="AA790" s="737" t="n"/>
      <c r="AB790" s="737" t="n"/>
      <c r="AC790" s="737" t="n"/>
      <c r="AD790" s="737" t="n"/>
      <c r="AE790" s="737" t="n"/>
      <c r="AF790" s="737" t="n"/>
      <c r="AG790" s="737" t="n"/>
      <c r="AH790" s="737" t="n"/>
      <c r="AI790" s="737" t="n"/>
      <c r="AJ790" s="737" t="n"/>
      <c r="AK790" s="588" t="n"/>
      <c r="AL790" s="588" t="n"/>
      <c r="AM790" s="588" t="n"/>
      <c r="AN790" s="588" t="n"/>
      <c r="AO790" s="588" t="n"/>
      <c r="AP790" s="588" t="n"/>
      <c r="AQ790" s="588" t="n"/>
      <c r="AR790" s="588" t="n"/>
      <c r="AS790" s="588" t="n"/>
      <c r="AT790" s="588" t="n"/>
      <c r="AU790" s="588" t="n"/>
      <c r="AV790" s="588" t="n"/>
      <c r="AW790" s="588" t="n"/>
      <c r="AX790" s="588" t="n"/>
      <c r="AY790" s="588" t="n"/>
      <c r="AZ790" s="588" t="n"/>
      <c r="BA790" s="588" t="n"/>
      <c r="BB790" s="588" t="n"/>
      <c r="BC790" s="588" t="n"/>
      <c r="BD790" s="588" t="n"/>
      <c r="BE790" s="588" t="n"/>
      <c r="BF790" s="588" t="n"/>
      <c r="BG790" s="588" t="n"/>
      <c r="BH790" s="588" t="n"/>
      <c r="BI790" s="588" t="n"/>
      <c r="BJ790" s="588" t="n"/>
      <c r="BK790" s="588" t="n"/>
      <c r="BL790" s="588" t="n"/>
      <c r="BM790" s="588" t="n"/>
      <c r="BN790" s="588" t="n"/>
      <c r="BO790" s="588" t="n"/>
      <c r="BP790" s="588" t="n"/>
      <c r="BQ790" s="588" t="n"/>
      <c r="BR790" s="588" t="n"/>
      <c r="BS790" s="588" t="n"/>
      <c r="BT790" s="588" t="n"/>
      <c r="BU790" s="588" t="n"/>
      <c r="BV790" s="588" t="n"/>
      <c r="BW790" s="588" t="n"/>
      <c r="BX790" s="588" t="n"/>
      <c r="BY790" s="588" t="n"/>
      <c r="BZ790" s="588" t="n"/>
      <c r="CA790" s="588" t="n"/>
      <c r="CB790" s="588" t="n"/>
      <c r="CC790" s="588" t="n"/>
      <c r="CD790" s="588" t="n"/>
      <c r="CE790" s="588" t="n"/>
      <c r="CF790" s="588" t="n"/>
      <c r="CG790" s="588" t="n"/>
      <c r="CH790" s="588" t="n"/>
      <c r="CI790" s="588" t="n"/>
      <c r="CJ790" s="588" t="n"/>
      <c r="CK790" s="588" t="n"/>
      <c r="CL790" s="588" t="n"/>
      <c r="CM790" s="588" t="n"/>
      <c r="CN790" s="588" t="n"/>
      <c r="CO790" s="588" t="n"/>
      <c r="CP790" s="588" t="n"/>
      <c r="CQ790" s="588" t="n"/>
      <c r="CR790" s="588" t="n"/>
      <c r="CS790" s="588" t="n"/>
      <c r="CT790" s="588" t="n"/>
      <c r="CU790" s="588" t="n"/>
      <c r="CV790" s="588" t="n"/>
      <c r="CW790" s="588" t="n"/>
      <c r="CX790" s="588" t="n"/>
      <c r="CY790" s="588" t="n"/>
      <c r="CZ790" s="588" t="n"/>
      <c r="DA790" s="588" t="n"/>
      <c r="DB790" s="588" t="n"/>
      <c r="DC790" s="588" t="n"/>
      <c r="DD790" s="588" t="n"/>
      <c r="DE790" s="588" t="n"/>
      <c r="DF790" s="588" t="n"/>
      <c r="DG790" s="588" t="n"/>
      <c r="DH790" s="588" t="n"/>
      <c r="DI790" s="588" t="n"/>
      <c r="DJ790" s="588" t="n"/>
      <c r="DK790" s="588" t="n"/>
      <c r="DL790" s="588" t="n"/>
      <c r="DM790" s="588" t="n"/>
      <c r="DN790" s="588" t="n"/>
      <c r="DO790" s="588" t="n"/>
      <c r="DP790" s="588" t="n"/>
      <c r="DQ790" s="588" t="n"/>
      <c r="DR790" s="588" t="n"/>
      <c r="DS790" s="588" t="n"/>
      <c r="DT790" s="588" t="n"/>
      <c r="DU790" s="588" t="n"/>
    </row>
    <row r="791">
      <c r="A791" s="737" t="n"/>
      <c r="B791" s="737" t="n"/>
      <c r="C791" s="737" t="n"/>
      <c r="D791" s="737" t="n"/>
      <c r="E791" s="737" t="n"/>
      <c r="F791" s="737" t="n"/>
      <c r="G791" s="737" t="n"/>
      <c r="H791" s="737" t="n"/>
      <c r="I791" s="737" t="n"/>
      <c r="J791" s="737" t="n"/>
      <c r="K791" s="737" t="n"/>
      <c r="L791" s="737" t="n"/>
      <c r="M791" s="737" t="n"/>
      <c r="N791" s="737" t="n"/>
      <c r="O791" s="737" t="n"/>
      <c r="P791" s="737" t="n"/>
      <c r="Q791" s="737" t="n"/>
      <c r="R791" s="737" t="n"/>
      <c r="S791" s="737" t="n"/>
      <c r="T791" s="737" t="n"/>
      <c r="U791" s="737" t="n"/>
      <c r="V791" s="737" t="n"/>
      <c r="W791" s="737" t="n"/>
      <c r="X791" s="737" t="n"/>
      <c r="Y791" s="737" t="n"/>
      <c r="Z791" s="737" t="n"/>
      <c r="AA791" s="737" t="n"/>
      <c r="AB791" s="737" t="n"/>
      <c r="AC791" s="737" t="n"/>
      <c r="AD791" s="737" t="n"/>
      <c r="AE791" s="737" t="n"/>
      <c r="AF791" s="737" t="n"/>
      <c r="AG791" s="737" t="n"/>
      <c r="AH791" s="737" t="n"/>
      <c r="AI791" s="737" t="n"/>
      <c r="AJ791" s="737" t="n"/>
      <c r="AK791" s="588" t="n"/>
      <c r="AL791" s="588" t="n"/>
      <c r="AM791" s="588" t="n"/>
      <c r="AN791" s="588" t="n"/>
      <c r="AO791" s="588" t="n"/>
      <c r="AP791" s="588" t="n"/>
      <c r="AQ791" s="588" t="n"/>
      <c r="AR791" s="588" t="n"/>
      <c r="AS791" s="588" t="n"/>
      <c r="AT791" s="588" t="n"/>
      <c r="AU791" s="588" t="n"/>
      <c r="AV791" s="588" t="n"/>
      <c r="AW791" s="588" t="n"/>
      <c r="AX791" s="588" t="n"/>
      <c r="AY791" s="588" t="n"/>
      <c r="AZ791" s="588" t="n"/>
      <c r="BA791" s="588" t="n"/>
      <c r="BB791" s="588" t="n"/>
      <c r="BC791" s="588" t="n"/>
      <c r="BD791" s="588" t="n"/>
      <c r="BE791" s="588" t="n"/>
      <c r="BF791" s="588" t="n"/>
      <c r="BG791" s="588" t="n"/>
      <c r="BH791" s="588" t="n"/>
      <c r="BI791" s="588" t="n"/>
      <c r="BJ791" s="588" t="n"/>
      <c r="BK791" s="588" t="n"/>
      <c r="BL791" s="588" t="n"/>
      <c r="BM791" s="588" t="n"/>
      <c r="BN791" s="588" t="n"/>
      <c r="BO791" s="588" t="n"/>
      <c r="BP791" s="588" t="n"/>
      <c r="BQ791" s="588" t="n"/>
      <c r="BR791" s="588" t="n"/>
      <c r="BS791" s="588" t="n"/>
      <c r="BT791" s="588" t="n"/>
      <c r="BU791" s="588" t="n"/>
      <c r="BV791" s="588" t="n"/>
      <c r="BW791" s="588" t="n"/>
      <c r="BX791" s="588" t="n"/>
      <c r="BY791" s="588" t="n"/>
      <c r="BZ791" s="588" t="n"/>
      <c r="CA791" s="588" t="n"/>
      <c r="CB791" s="588" t="n"/>
      <c r="CC791" s="588" t="n"/>
      <c r="CD791" s="588" t="n"/>
      <c r="CE791" s="588" t="n"/>
      <c r="CF791" s="588" t="n"/>
      <c r="CG791" s="588" t="n"/>
      <c r="CH791" s="588" t="n"/>
      <c r="CI791" s="588" t="n"/>
      <c r="CJ791" s="588" t="n"/>
      <c r="CK791" s="588" t="n"/>
      <c r="CL791" s="588" t="n"/>
      <c r="CM791" s="588" t="n"/>
      <c r="CN791" s="588" t="n"/>
      <c r="CO791" s="588" t="n"/>
      <c r="CP791" s="588" t="n"/>
      <c r="CQ791" s="588" t="n"/>
      <c r="CR791" s="588" t="n"/>
      <c r="CS791" s="588" t="n"/>
      <c r="CT791" s="588" t="n"/>
      <c r="CU791" s="588" t="n"/>
      <c r="CV791" s="588" t="n"/>
      <c r="CW791" s="588" t="n"/>
      <c r="CX791" s="588" t="n"/>
      <c r="CY791" s="588" t="n"/>
      <c r="CZ791" s="588" t="n"/>
      <c r="DA791" s="588" t="n"/>
      <c r="DB791" s="588" t="n"/>
      <c r="DC791" s="588" t="n"/>
      <c r="DD791" s="588" t="n"/>
      <c r="DE791" s="588" t="n"/>
      <c r="DF791" s="588" t="n"/>
      <c r="DG791" s="588" t="n"/>
      <c r="DH791" s="588" t="n"/>
      <c r="DI791" s="588" t="n"/>
      <c r="DJ791" s="588" t="n"/>
      <c r="DK791" s="588" t="n"/>
      <c r="DL791" s="588" t="n"/>
      <c r="DM791" s="588" t="n"/>
      <c r="DN791" s="588" t="n"/>
      <c r="DO791" s="588" t="n"/>
      <c r="DP791" s="588" t="n"/>
      <c r="DQ791" s="588" t="n"/>
      <c r="DR791" s="588" t="n"/>
      <c r="DS791" s="588" t="n"/>
      <c r="DT791" s="588" t="n"/>
      <c r="DU791" s="588" t="n"/>
    </row>
    <row r="792">
      <c r="A792" s="737" t="n"/>
      <c r="B792" s="737" t="n"/>
      <c r="C792" s="737" t="n"/>
      <c r="D792" s="737" t="n"/>
      <c r="E792" s="737" t="n"/>
      <c r="F792" s="737" t="n"/>
      <c r="G792" s="737" t="n"/>
      <c r="H792" s="737" t="n"/>
      <c r="I792" s="737" t="n"/>
      <c r="J792" s="737" t="n"/>
      <c r="K792" s="737" t="n"/>
      <c r="L792" s="737" t="n"/>
      <c r="M792" s="737" t="n"/>
      <c r="N792" s="737" t="n"/>
      <c r="O792" s="737" t="n"/>
      <c r="P792" s="737" t="n"/>
      <c r="Q792" s="737" t="n"/>
      <c r="R792" s="737" t="n"/>
      <c r="S792" s="737" t="n"/>
      <c r="T792" s="737" t="n"/>
      <c r="U792" s="737" t="n"/>
      <c r="V792" s="737" t="n"/>
      <c r="W792" s="737" t="n"/>
      <c r="X792" s="737" t="n"/>
      <c r="Y792" s="737" t="n"/>
      <c r="Z792" s="737" t="n"/>
      <c r="AA792" s="737" t="n"/>
      <c r="AB792" s="737" t="n"/>
      <c r="AC792" s="737" t="n"/>
      <c r="AD792" s="737" t="n"/>
      <c r="AE792" s="737" t="n"/>
      <c r="AF792" s="737" t="n"/>
      <c r="AG792" s="737" t="n"/>
      <c r="AH792" s="737" t="n"/>
      <c r="AI792" s="737" t="n"/>
      <c r="AJ792" s="737" t="n"/>
      <c r="AK792" s="588" t="n"/>
      <c r="AL792" s="588" t="n"/>
      <c r="AM792" s="588" t="n"/>
      <c r="AN792" s="588" t="n"/>
      <c r="AO792" s="588" t="n"/>
      <c r="AP792" s="588" t="n"/>
      <c r="AQ792" s="588" t="n"/>
      <c r="AR792" s="588" t="n"/>
      <c r="AS792" s="588" t="n"/>
      <c r="AT792" s="588" t="n"/>
      <c r="AU792" s="588" t="n"/>
      <c r="AV792" s="588" t="n"/>
      <c r="AW792" s="588" t="n"/>
      <c r="AX792" s="588" t="n"/>
      <c r="AY792" s="588" t="n"/>
      <c r="AZ792" s="588" t="n"/>
      <c r="BA792" s="588" t="n"/>
      <c r="BB792" s="588" t="n"/>
      <c r="BC792" s="588" t="n"/>
      <c r="BD792" s="588" t="n"/>
      <c r="BE792" s="588" t="n"/>
      <c r="BF792" s="588" t="n"/>
      <c r="BG792" s="588" t="n"/>
      <c r="BH792" s="588" t="n"/>
      <c r="BI792" s="588" t="n"/>
      <c r="BJ792" s="588" t="n"/>
      <c r="BK792" s="588" t="n"/>
      <c r="BL792" s="588" t="n"/>
      <c r="BM792" s="588" t="n"/>
      <c r="BN792" s="588" t="n"/>
      <c r="BO792" s="588" t="n"/>
      <c r="BP792" s="588" t="n"/>
      <c r="BQ792" s="588" t="n"/>
      <c r="BR792" s="588" t="n"/>
      <c r="BS792" s="588" t="n"/>
      <c r="BT792" s="588" t="n"/>
      <c r="BU792" s="588" t="n"/>
      <c r="BV792" s="588" t="n"/>
      <c r="BW792" s="588" t="n"/>
      <c r="BX792" s="588" t="n"/>
      <c r="BY792" s="588" t="n"/>
      <c r="BZ792" s="588" t="n"/>
      <c r="CA792" s="588" t="n"/>
      <c r="CB792" s="588" t="n"/>
      <c r="CC792" s="588" t="n"/>
      <c r="CD792" s="588" t="n"/>
      <c r="CE792" s="588" t="n"/>
      <c r="CF792" s="588" t="n"/>
      <c r="CG792" s="588" t="n"/>
      <c r="CH792" s="588" t="n"/>
      <c r="CI792" s="588" t="n"/>
      <c r="CJ792" s="588" t="n"/>
      <c r="CK792" s="588" t="n"/>
      <c r="CL792" s="588" t="n"/>
      <c r="CM792" s="588" t="n"/>
      <c r="CN792" s="588" t="n"/>
      <c r="CO792" s="588" t="n"/>
      <c r="CP792" s="588" t="n"/>
      <c r="CQ792" s="588" t="n"/>
      <c r="CR792" s="588" t="n"/>
      <c r="CS792" s="588" t="n"/>
      <c r="CT792" s="588" t="n"/>
      <c r="CU792" s="588" t="n"/>
      <c r="CV792" s="588" t="n"/>
      <c r="CW792" s="588" t="n"/>
      <c r="CX792" s="588" t="n"/>
      <c r="CY792" s="588" t="n"/>
      <c r="CZ792" s="588" t="n"/>
      <c r="DA792" s="588" t="n"/>
      <c r="DB792" s="588" t="n"/>
      <c r="DC792" s="588" t="n"/>
      <c r="DD792" s="588" t="n"/>
      <c r="DE792" s="588" t="n"/>
      <c r="DF792" s="588" t="n"/>
      <c r="DG792" s="588" t="n"/>
      <c r="DH792" s="588" t="n"/>
      <c r="DI792" s="588" t="n"/>
      <c r="DJ792" s="588" t="n"/>
      <c r="DK792" s="588" t="n"/>
      <c r="DL792" s="588" t="n"/>
      <c r="DM792" s="588" t="n"/>
      <c r="DN792" s="588" t="n"/>
      <c r="DO792" s="588" t="n"/>
      <c r="DP792" s="588" t="n"/>
      <c r="DQ792" s="588" t="n"/>
      <c r="DR792" s="588" t="n"/>
      <c r="DS792" s="588" t="n"/>
      <c r="DT792" s="588" t="n"/>
      <c r="DU792" s="588" t="n"/>
    </row>
    <row r="793">
      <c r="A793" s="737" t="n"/>
      <c r="B793" s="737" t="n"/>
      <c r="C793" s="737" t="n"/>
      <c r="D793" s="737" t="n"/>
      <c r="E793" s="737" t="n"/>
      <c r="F793" s="737" t="n"/>
      <c r="G793" s="737" t="n"/>
      <c r="H793" s="737" t="n"/>
      <c r="I793" s="737" t="n"/>
      <c r="J793" s="737" t="n"/>
      <c r="K793" s="737" t="n"/>
      <c r="L793" s="737" t="n"/>
      <c r="M793" s="737" t="n"/>
      <c r="N793" s="737" t="n"/>
      <c r="O793" s="737" t="n"/>
      <c r="P793" s="737" t="n"/>
      <c r="Q793" s="737" t="n"/>
      <c r="R793" s="737" t="n"/>
      <c r="S793" s="737" t="n"/>
      <c r="T793" s="737" t="n"/>
      <c r="U793" s="737" t="n"/>
      <c r="V793" s="737" t="n"/>
      <c r="W793" s="737" t="n"/>
      <c r="X793" s="737" t="n"/>
      <c r="Y793" s="737" t="n"/>
      <c r="Z793" s="737" t="n"/>
      <c r="AA793" s="737" t="n"/>
      <c r="AB793" s="737" t="n"/>
      <c r="AC793" s="737" t="n"/>
      <c r="AD793" s="737" t="n"/>
      <c r="AE793" s="737" t="n"/>
      <c r="AF793" s="737" t="n"/>
      <c r="AG793" s="737" t="n"/>
      <c r="AH793" s="737" t="n"/>
      <c r="AI793" s="737" t="n"/>
      <c r="AJ793" s="737" t="n"/>
      <c r="AK793" s="588" t="n"/>
      <c r="AL793" s="588" t="n"/>
      <c r="AM793" s="588" t="n"/>
      <c r="AN793" s="588" t="n"/>
      <c r="AO793" s="588" t="n"/>
      <c r="AP793" s="588" t="n"/>
      <c r="AQ793" s="588" t="n"/>
      <c r="AR793" s="588" t="n"/>
      <c r="AS793" s="588" t="n"/>
      <c r="AT793" s="588" t="n"/>
      <c r="AU793" s="588" t="n"/>
      <c r="AV793" s="588" t="n"/>
      <c r="AW793" s="588" t="n"/>
      <c r="AX793" s="588" t="n"/>
      <c r="AY793" s="588" t="n"/>
      <c r="AZ793" s="588" t="n"/>
      <c r="BA793" s="588" t="n"/>
      <c r="BB793" s="588" t="n"/>
      <c r="BC793" s="588" t="n"/>
      <c r="BD793" s="588" t="n"/>
      <c r="BE793" s="588" t="n"/>
      <c r="BF793" s="588" t="n"/>
      <c r="BG793" s="588" t="n"/>
      <c r="BH793" s="588" t="n"/>
      <c r="BI793" s="588" t="n"/>
      <c r="BJ793" s="588" t="n"/>
      <c r="BK793" s="588" t="n"/>
      <c r="BL793" s="588" t="n"/>
      <c r="BM793" s="588" t="n"/>
      <c r="BN793" s="588" t="n"/>
      <c r="BO793" s="588" t="n"/>
      <c r="BP793" s="588" t="n"/>
      <c r="BQ793" s="588" t="n"/>
      <c r="BR793" s="588" t="n"/>
      <c r="BS793" s="588" t="n"/>
      <c r="BT793" s="588" t="n"/>
      <c r="BU793" s="588" t="n"/>
      <c r="BV793" s="588" t="n"/>
      <c r="BW793" s="588" t="n"/>
      <c r="BX793" s="588" t="n"/>
      <c r="BY793" s="588" t="n"/>
      <c r="BZ793" s="588" t="n"/>
      <c r="CA793" s="588" t="n"/>
      <c r="CB793" s="588" t="n"/>
      <c r="CC793" s="588" t="n"/>
      <c r="CD793" s="588" t="n"/>
      <c r="CE793" s="588" t="n"/>
      <c r="CF793" s="588" t="n"/>
      <c r="CG793" s="588" t="n"/>
      <c r="CH793" s="588" t="n"/>
      <c r="CI793" s="588" t="n"/>
      <c r="CJ793" s="588" t="n"/>
      <c r="CK793" s="588" t="n"/>
      <c r="CL793" s="588" t="n"/>
      <c r="CM793" s="588" t="n"/>
      <c r="CN793" s="588" t="n"/>
      <c r="CO793" s="588" t="n"/>
      <c r="CP793" s="588" t="n"/>
      <c r="CQ793" s="588" t="n"/>
      <c r="CR793" s="588" t="n"/>
      <c r="CS793" s="588" t="n"/>
      <c r="CT793" s="588" t="n"/>
      <c r="CU793" s="588" t="n"/>
      <c r="CV793" s="588" t="n"/>
      <c r="CW793" s="588" t="n"/>
      <c r="CX793" s="588" t="n"/>
      <c r="CY793" s="588" t="n"/>
      <c r="CZ793" s="588" t="n"/>
      <c r="DA793" s="588" t="n"/>
      <c r="DB793" s="588" t="n"/>
      <c r="DC793" s="588" t="n"/>
      <c r="DD793" s="588" t="n"/>
      <c r="DE793" s="588" t="n"/>
      <c r="DF793" s="588" t="n"/>
      <c r="DG793" s="588" t="n"/>
      <c r="DH793" s="588" t="n"/>
      <c r="DI793" s="588" t="n"/>
      <c r="DJ793" s="588" t="n"/>
      <c r="DK793" s="588" t="n"/>
      <c r="DL793" s="588" t="n"/>
      <c r="DM793" s="588" t="n"/>
      <c r="DN793" s="588" t="n"/>
      <c r="DO793" s="588" t="n"/>
      <c r="DP793" s="588" t="n"/>
      <c r="DQ793" s="588" t="n"/>
      <c r="DR793" s="588" t="n"/>
      <c r="DS793" s="588" t="n"/>
      <c r="DT793" s="588" t="n"/>
      <c r="DU793" s="588" t="n"/>
    </row>
    <row r="794">
      <c r="A794" s="737" t="n"/>
      <c r="B794" s="737" t="n"/>
      <c r="C794" s="737" t="n"/>
      <c r="D794" s="737" t="n"/>
      <c r="E794" s="737" t="n"/>
      <c r="F794" s="737" t="n"/>
      <c r="G794" s="737" t="n"/>
      <c r="H794" s="737" t="n"/>
      <c r="I794" s="737" t="n"/>
      <c r="J794" s="737" t="n"/>
      <c r="K794" s="737" t="n"/>
      <c r="L794" s="737" t="n"/>
      <c r="M794" s="737" t="n"/>
      <c r="N794" s="737" t="n"/>
      <c r="O794" s="737" t="n"/>
      <c r="P794" s="737" t="n"/>
      <c r="Q794" s="737" t="n"/>
      <c r="R794" s="737" t="n"/>
      <c r="S794" s="737" t="n"/>
      <c r="T794" s="737" t="n"/>
      <c r="U794" s="737" t="n"/>
      <c r="V794" s="737" t="n"/>
      <c r="W794" s="737" t="n"/>
      <c r="X794" s="737" t="n"/>
      <c r="Y794" s="737" t="n"/>
      <c r="Z794" s="737" t="n"/>
      <c r="AA794" s="737" t="n"/>
      <c r="AB794" s="737" t="n"/>
      <c r="AC794" s="737" t="n"/>
      <c r="AD794" s="737" t="n"/>
      <c r="AE794" s="737" t="n"/>
      <c r="AF794" s="737" t="n"/>
      <c r="AG794" s="737" t="n"/>
      <c r="AH794" s="737" t="n"/>
      <c r="AI794" s="737" t="n"/>
      <c r="AJ794" s="737" t="n"/>
      <c r="AK794" s="588" t="n"/>
      <c r="AL794" s="588" t="n"/>
      <c r="AM794" s="588" t="n"/>
      <c r="AN794" s="588" t="n"/>
      <c r="AO794" s="588" t="n"/>
      <c r="AP794" s="588" t="n"/>
      <c r="AQ794" s="588" t="n"/>
      <c r="AR794" s="588" t="n"/>
      <c r="AS794" s="588" t="n"/>
      <c r="AT794" s="588" t="n"/>
      <c r="AU794" s="588" t="n"/>
      <c r="AV794" s="588" t="n"/>
      <c r="AW794" s="588" t="n"/>
      <c r="AX794" s="588" t="n"/>
      <c r="AY794" s="588" t="n"/>
      <c r="AZ794" s="588" t="n"/>
      <c r="BA794" s="588" t="n"/>
      <c r="BB794" s="588" t="n"/>
      <c r="BC794" s="588" t="n"/>
      <c r="BD794" s="588" t="n"/>
      <c r="BE794" s="588" t="n"/>
      <c r="BF794" s="588" t="n"/>
      <c r="BG794" s="588" t="n"/>
      <c r="BH794" s="588" t="n"/>
      <c r="BI794" s="588" t="n"/>
      <c r="BJ794" s="588" t="n"/>
      <c r="BK794" s="588" t="n"/>
      <c r="BL794" s="588" t="n"/>
      <c r="BM794" s="588" t="n"/>
      <c r="BN794" s="588" t="n"/>
      <c r="BO794" s="588" t="n"/>
      <c r="BP794" s="588" t="n"/>
      <c r="BQ794" s="588" t="n"/>
      <c r="BR794" s="588" t="n"/>
      <c r="BS794" s="588" t="n"/>
      <c r="BT794" s="588" t="n"/>
      <c r="BU794" s="588" t="n"/>
      <c r="BV794" s="588" t="n"/>
      <c r="BW794" s="588" t="n"/>
      <c r="BX794" s="588" t="n"/>
      <c r="BY794" s="588" t="n"/>
      <c r="BZ794" s="588" t="n"/>
      <c r="CA794" s="588" t="n"/>
      <c r="CB794" s="588" t="n"/>
      <c r="CC794" s="588" t="n"/>
      <c r="CD794" s="588" t="n"/>
      <c r="CE794" s="588" t="n"/>
      <c r="CF794" s="588" t="n"/>
      <c r="CG794" s="588" t="n"/>
      <c r="CH794" s="588" t="n"/>
      <c r="CI794" s="588" t="n"/>
      <c r="CJ794" s="588" t="n"/>
      <c r="CK794" s="588" t="n"/>
      <c r="CL794" s="588" t="n"/>
      <c r="CM794" s="588" t="n"/>
      <c r="CN794" s="588" t="n"/>
      <c r="CO794" s="588" t="n"/>
      <c r="CP794" s="588" t="n"/>
      <c r="CQ794" s="588" t="n"/>
      <c r="CR794" s="588" t="n"/>
      <c r="CS794" s="588" t="n"/>
      <c r="CT794" s="588" t="n"/>
      <c r="CU794" s="588" t="n"/>
      <c r="CV794" s="588" t="n"/>
      <c r="CW794" s="588" t="n"/>
      <c r="CX794" s="588" t="n"/>
      <c r="CY794" s="588" t="n"/>
      <c r="CZ794" s="588" t="n"/>
      <c r="DA794" s="588" t="n"/>
      <c r="DB794" s="588" t="n"/>
      <c r="DC794" s="588" t="n"/>
      <c r="DD794" s="588" t="n"/>
      <c r="DE794" s="588" t="n"/>
      <c r="DF794" s="588" t="n"/>
      <c r="DG794" s="588" t="n"/>
      <c r="DH794" s="588" t="n"/>
      <c r="DI794" s="588" t="n"/>
      <c r="DJ794" s="588" t="n"/>
      <c r="DK794" s="588" t="n"/>
      <c r="DL794" s="588" t="n"/>
      <c r="DM794" s="588" t="n"/>
      <c r="DN794" s="588" t="n"/>
      <c r="DO794" s="588" t="n"/>
      <c r="DP794" s="588" t="n"/>
      <c r="DQ794" s="588" t="n"/>
      <c r="DR794" s="588" t="n"/>
      <c r="DS794" s="588" t="n"/>
      <c r="DT794" s="588" t="n"/>
      <c r="DU794" s="588" t="n"/>
    </row>
    <row r="795">
      <c r="A795" s="737" t="n"/>
      <c r="B795" s="737" t="n"/>
      <c r="C795" s="737" t="n"/>
      <c r="D795" s="737" t="n"/>
      <c r="E795" s="737" t="n"/>
      <c r="F795" s="737" t="n"/>
      <c r="G795" s="737" t="n"/>
      <c r="H795" s="737" t="n"/>
      <c r="I795" s="737" t="n"/>
      <c r="J795" s="737" t="n"/>
      <c r="K795" s="737" t="n"/>
      <c r="L795" s="737" t="n"/>
      <c r="M795" s="737" t="n"/>
      <c r="N795" s="737" t="n"/>
      <c r="O795" s="737" t="n"/>
      <c r="P795" s="737" t="n"/>
      <c r="Q795" s="737" t="n"/>
      <c r="R795" s="737" t="n"/>
      <c r="S795" s="737" t="n"/>
      <c r="T795" s="737" t="n"/>
      <c r="U795" s="737" t="n"/>
      <c r="V795" s="737" t="n"/>
      <c r="W795" s="737" t="n"/>
      <c r="X795" s="737" t="n"/>
      <c r="Y795" s="737" t="n"/>
      <c r="Z795" s="737" t="n"/>
      <c r="AA795" s="737" t="n"/>
      <c r="AB795" s="737" t="n"/>
      <c r="AC795" s="737" t="n"/>
      <c r="AD795" s="737" t="n"/>
      <c r="AE795" s="737" t="n"/>
      <c r="AF795" s="737" t="n"/>
      <c r="AG795" s="737" t="n"/>
      <c r="AH795" s="737" t="n"/>
      <c r="AI795" s="737" t="n"/>
      <c r="AJ795" s="737" t="n"/>
      <c r="AK795" s="588" t="n"/>
      <c r="AL795" s="588" t="n"/>
      <c r="AM795" s="588" t="n"/>
      <c r="AN795" s="588" t="n"/>
      <c r="AO795" s="588" t="n"/>
      <c r="AP795" s="588" t="n"/>
      <c r="AQ795" s="588" t="n"/>
      <c r="AR795" s="588" t="n"/>
      <c r="AS795" s="588" t="n"/>
      <c r="AT795" s="588" t="n"/>
      <c r="AU795" s="588" t="n"/>
      <c r="AV795" s="588" t="n"/>
      <c r="AW795" s="588" t="n"/>
      <c r="AX795" s="588" t="n"/>
      <c r="AY795" s="588" t="n"/>
      <c r="AZ795" s="588" t="n"/>
      <c r="BA795" s="588" t="n"/>
      <c r="BB795" s="588" t="n"/>
      <c r="BC795" s="588" t="n"/>
      <c r="BD795" s="588" t="n"/>
      <c r="BE795" s="588" t="n"/>
      <c r="BF795" s="588" t="n"/>
      <c r="BG795" s="588" t="n"/>
      <c r="BH795" s="588" t="n"/>
      <c r="BI795" s="588" t="n"/>
      <c r="BJ795" s="588" t="n"/>
      <c r="BK795" s="588" t="n"/>
      <c r="BL795" s="588" t="n"/>
      <c r="BM795" s="588" t="n"/>
      <c r="BN795" s="588" t="n"/>
      <c r="BO795" s="588" t="n"/>
      <c r="BP795" s="588" t="n"/>
      <c r="BQ795" s="588" t="n"/>
      <c r="BR795" s="588" t="n"/>
      <c r="BS795" s="588" t="n"/>
      <c r="BT795" s="588" t="n"/>
      <c r="BU795" s="588" t="n"/>
      <c r="BV795" s="588" t="n"/>
      <c r="BW795" s="588" t="n"/>
      <c r="BX795" s="588" t="n"/>
      <c r="BY795" s="588" t="n"/>
      <c r="BZ795" s="588" t="n"/>
      <c r="CA795" s="588" t="n"/>
      <c r="CB795" s="588" t="n"/>
      <c r="CC795" s="588" t="n"/>
      <c r="CD795" s="588" t="n"/>
      <c r="CE795" s="588" t="n"/>
      <c r="CF795" s="588" t="n"/>
      <c r="CG795" s="588" t="n"/>
      <c r="CH795" s="588" t="n"/>
      <c r="CI795" s="588" t="n"/>
      <c r="CJ795" s="588" t="n"/>
      <c r="CK795" s="588" t="n"/>
      <c r="CL795" s="588" t="n"/>
      <c r="CM795" s="588" t="n"/>
      <c r="CN795" s="588" t="n"/>
      <c r="CO795" s="588" t="n"/>
      <c r="CP795" s="588" t="n"/>
      <c r="CQ795" s="588" t="n"/>
      <c r="CR795" s="588" t="n"/>
      <c r="CS795" s="588" t="n"/>
      <c r="CT795" s="588" t="n"/>
      <c r="CU795" s="588" t="n"/>
      <c r="CV795" s="588" t="n"/>
      <c r="CW795" s="588" t="n"/>
      <c r="CX795" s="588" t="n"/>
      <c r="CY795" s="588" t="n"/>
      <c r="CZ795" s="588" t="n"/>
      <c r="DA795" s="588" t="n"/>
      <c r="DB795" s="588" t="n"/>
      <c r="DC795" s="588" t="n"/>
      <c r="DD795" s="588" t="n"/>
      <c r="DE795" s="588" t="n"/>
      <c r="DF795" s="588" t="n"/>
      <c r="DG795" s="588" t="n"/>
      <c r="DH795" s="588" t="n"/>
      <c r="DI795" s="588" t="n"/>
      <c r="DJ795" s="588" t="n"/>
      <c r="DK795" s="588" t="n"/>
      <c r="DL795" s="588" t="n"/>
      <c r="DM795" s="588" t="n"/>
      <c r="DN795" s="588" t="n"/>
      <c r="DO795" s="588" t="n"/>
      <c r="DP795" s="588" t="n"/>
      <c r="DQ795" s="588" t="n"/>
      <c r="DR795" s="588" t="n"/>
      <c r="DS795" s="588" t="n"/>
      <c r="DT795" s="588" t="n"/>
      <c r="DU795" s="588" t="n"/>
    </row>
    <row r="796">
      <c r="A796" s="737" t="n"/>
      <c r="B796" s="737" t="n"/>
      <c r="C796" s="737" t="n"/>
      <c r="D796" s="737" t="n"/>
      <c r="E796" s="737" t="n"/>
      <c r="F796" s="737" t="n"/>
      <c r="G796" s="737" t="n"/>
      <c r="H796" s="737" t="n"/>
      <c r="I796" s="737" t="n"/>
      <c r="J796" s="737" t="n"/>
      <c r="K796" s="737" t="n"/>
      <c r="L796" s="737" t="n"/>
      <c r="M796" s="737" t="n"/>
      <c r="N796" s="737" t="n"/>
      <c r="O796" s="737" t="n"/>
      <c r="P796" s="737" t="n"/>
      <c r="Q796" s="737" t="n"/>
      <c r="R796" s="737" t="n"/>
      <c r="S796" s="737" t="n"/>
      <c r="T796" s="737" t="n"/>
      <c r="U796" s="737" t="n"/>
      <c r="V796" s="737" t="n"/>
      <c r="W796" s="737" t="n"/>
      <c r="X796" s="737" t="n"/>
      <c r="Y796" s="737" t="n"/>
      <c r="Z796" s="737" t="n"/>
      <c r="AA796" s="737" t="n"/>
      <c r="AB796" s="737" t="n"/>
      <c r="AC796" s="737" t="n"/>
      <c r="AD796" s="737" t="n"/>
      <c r="AE796" s="737" t="n"/>
      <c r="AF796" s="737" t="n"/>
      <c r="AG796" s="737" t="n"/>
      <c r="AH796" s="737" t="n"/>
      <c r="AI796" s="737" t="n"/>
      <c r="AJ796" s="737" t="n"/>
      <c r="AK796" s="588" t="n"/>
      <c r="AL796" s="588" t="n"/>
      <c r="AM796" s="588" t="n"/>
      <c r="AN796" s="588" t="n"/>
      <c r="AO796" s="588" t="n"/>
      <c r="AP796" s="588" t="n"/>
      <c r="AQ796" s="588" t="n"/>
      <c r="AR796" s="588" t="n"/>
      <c r="AS796" s="588" t="n"/>
      <c r="AT796" s="588" t="n"/>
      <c r="AU796" s="588" t="n"/>
      <c r="AV796" s="588" t="n"/>
      <c r="AW796" s="588" t="n"/>
      <c r="AX796" s="588" t="n"/>
      <c r="AY796" s="588" t="n"/>
      <c r="AZ796" s="588" t="n"/>
      <c r="BA796" s="588" t="n"/>
      <c r="BB796" s="588" t="n"/>
      <c r="BC796" s="588" t="n"/>
      <c r="BD796" s="588" t="n"/>
      <c r="BE796" s="588" t="n"/>
      <c r="BF796" s="588" t="n"/>
      <c r="BG796" s="588" t="n"/>
      <c r="BH796" s="588" t="n"/>
      <c r="BI796" s="588" t="n"/>
      <c r="BJ796" s="588" t="n"/>
      <c r="BK796" s="588" t="n"/>
      <c r="BL796" s="588" t="n"/>
      <c r="BM796" s="588" t="n"/>
      <c r="BN796" s="588" t="n"/>
      <c r="BO796" s="588" t="n"/>
      <c r="BP796" s="588" t="n"/>
      <c r="BQ796" s="588" t="n"/>
      <c r="BR796" s="588" t="n"/>
      <c r="BS796" s="588" t="n"/>
      <c r="BT796" s="588" t="n"/>
      <c r="BU796" s="588" t="n"/>
      <c r="BV796" s="588" t="n"/>
      <c r="BW796" s="588" t="n"/>
      <c r="BX796" s="588" t="n"/>
      <c r="BY796" s="588" t="n"/>
      <c r="BZ796" s="588" t="n"/>
      <c r="CA796" s="588" t="n"/>
      <c r="CB796" s="588" t="n"/>
      <c r="CC796" s="588" t="n"/>
      <c r="CD796" s="588" t="n"/>
      <c r="CE796" s="588" t="n"/>
      <c r="CF796" s="588" t="n"/>
      <c r="CG796" s="588" t="n"/>
      <c r="CH796" s="588" t="n"/>
      <c r="CI796" s="588" t="n"/>
      <c r="CJ796" s="588" t="n"/>
      <c r="CK796" s="588" t="n"/>
      <c r="CL796" s="588" t="n"/>
      <c r="CM796" s="588" t="n"/>
      <c r="CN796" s="588" t="n"/>
      <c r="CO796" s="588" t="n"/>
      <c r="CP796" s="588" t="n"/>
      <c r="CQ796" s="588" t="n"/>
      <c r="CR796" s="588" t="n"/>
      <c r="CS796" s="588" t="n"/>
      <c r="CT796" s="588" t="n"/>
      <c r="CU796" s="588" t="n"/>
      <c r="CV796" s="588" t="n"/>
      <c r="CW796" s="588" t="n"/>
      <c r="CX796" s="588" t="n"/>
      <c r="CY796" s="588" t="n"/>
      <c r="CZ796" s="588" t="n"/>
      <c r="DA796" s="588" t="n"/>
      <c r="DB796" s="588" t="n"/>
      <c r="DC796" s="588" t="n"/>
      <c r="DD796" s="588" t="n"/>
      <c r="DE796" s="588" t="n"/>
      <c r="DF796" s="588" t="n"/>
      <c r="DG796" s="588" t="n"/>
      <c r="DH796" s="588" t="n"/>
      <c r="DI796" s="588" t="n"/>
      <c r="DJ796" s="588" t="n"/>
      <c r="DK796" s="588" t="n"/>
      <c r="DL796" s="588" t="n"/>
      <c r="DM796" s="588" t="n"/>
      <c r="DN796" s="588" t="n"/>
      <c r="DO796" s="588" t="n"/>
      <c r="DP796" s="588" t="n"/>
      <c r="DQ796" s="588" t="n"/>
      <c r="DR796" s="588" t="n"/>
      <c r="DS796" s="588" t="n"/>
      <c r="DT796" s="588" t="n"/>
      <c r="DU796" s="588" t="n"/>
    </row>
    <row r="797">
      <c r="A797" s="737" t="n"/>
      <c r="B797" s="737" t="n"/>
      <c r="C797" s="737" t="n"/>
      <c r="D797" s="737" t="n"/>
      <c r="E797" s="737" t="n"/>
      <c r="F797" s="737" t="n"/>
      <c r="G797" s="737" t="n"/>
      <c r="H797" s="737" t="n"/>
      <c r="I797" s="737" t="n"/>
      <c r="J797" s="737" t="n"/>
      <c r="K797" s="737" t="n"/>
      <c r="L797" s="737" t="n"/>
      <c r="M797" s="737" t="n"/>
      <c r="N797" s="737" t="n"/>
      <c r="O797" s="737" t="n"/>
      <c r="P797" s="737" t="n"/>
      <c r="Q797" s="737" t="n"/>
      <c r="R797" s="737" t="n"/>
      <c r="S797" s="737" t="n"/>
      <c r="T797" s="737" t="n"/>
      <c r="U797" s="737" t="n"/>
      <c r="V797" s="737" t="n"/>
      <c r="W797" s="737" t="n"/>
      <c r="X797" s="737" t="n"/>
      <c r="Y797" s="737" t="n"/>
      <c r="Z797" s="737" t="n"/>
      <c r="AA797" s="737" t="n"/>
      <c r="AB797" s="737" t="n"/>
      <c r="AC797" s="737" t="n"/>
      <c r="AD797" s="737" t="n"/>
      <c r="AE797" s="737" t="n"/>
      <c r="AF797" s="737" t="n"/>
      <c r="AG797" s="737" t="n"/>
      <c r="AH797" s="737" t="n"/>
      <c r="AI797" s="737" t="n"/>
      <c r="AJ797" s="737" t="n"/>
      <c r="AK797" s="588" t="n"/>
      <c r="AL797" s="588" t="n"/>
      <c r="AM797" s="588" t="n"/>
      <c r="AN797" s="588" t="n"/>
      <c r="AO797" s="588" t="n"/>
      <c r="AP797" s="588" t="n"/>
      <c r="AQ797" s="588" t="n"/>
      <c r="AR797" s="588" t="n"/>
      <c r="AS797" s="588" t="n"/>
      <c r="AT797" s="588" t="n"/>
      <c r="AU797" s="588" t="n"/>
      <c r="AV797" s="588" t="n"/>
      <c r="AW797" s="588" t="n"/>
      <c r="AX797" s="588" t="n"/>
      <c r="AY797" s="588" t="n"/>
      <c r="AZ797" s="588" t="n"/>
      <c r="BA797" s="588" t="n"/>
      <c r="BB797" s="588" t="n"/>
      <c r="BC797" s="588" t="n"/>
      <c r="BD797" s="588" t="n"/>
      <c r="BE797" s="588" t="n"/>
      <c r="BF797" s="588" t="n"/>
      <c r="BG797" s="588" t="n"/>
      <c r="BH797" s="588" t="n"/>
      <c r="BI797" s="588" t="n"/>
      <c r="BJ797" s="588" t="n"/>
      <c r="BK797" s="588" t="n"/>
      <c r="BL797" s="588" t="n"/>
      <c r="BM797" s="588" t="n"/>
      <c r="BN797" s="588" t="n"/>
      <c r="BO797" s="588" t="n"/>
      <c r="BP797" s="588" t="n"/>
      <c r="BQ797" s="588" t="n"/>
      <c r="BR797" s="588" t="n"/>
      <c r="BS797" s="588" t="n"/>
      <c r="BT797" s="588" t="n"/>
      <c r="BU797" s="588" t="n"/>
      <c r="BV797" s="588" t="n"/>
      <c r="BW797" s="588" t="n"/>
      <c r="BX797" s="588" t="n"/>
      <c r="BY797" s="588" t="n"/>
      <c r="BZ797" s="588" t="n"/>
      <c r="CA797" s="588" t="n"/>
      <c r="CB797" s="588" t="n"/>
      <c r="CC797" s="588" t="n"/>
      <c r="CD797" s="588" t="n"/>
      <c r="CE797" s="588" t="n"/>
      <c r="CF797" s="588" t="n"/>
      <c r="CG797" s="588" t="n"/>
      <c r="CH797" s="588" t="n"/>
      <c r="CI797" s="588" t="n"/>
      <c r="CJ797" s="588" t="n"/>
      <c r="CK797" s="588" t="n"/>
      <c r="CL797" s="588" t="n"/>
      <c r="CM797" s="588" t="n"/>
      <c r="CN797" s="588" t="n"/>
      <c r="CO797" s="588" t="n"/>
      <c r="CP797" s="588" t="n"/>
      <c r="CQ797" s="588" t="n"/>
      <c r="CR797" s="588" t="n"/>
      <c r="CS797" s="588" t="n"/>
      <c r="CT797" s="588" t="n"/>
      <c r="CU797" s="588" t="n"/>
      <c r="CV797" s="588" t="n"/>
      <c r="CW797" s="588" t="n"/>
      <c r="CX797" s="588" t="n"/>
      <c r="CY797" s="588" t="n"/>
      <c r="CZ797" s="588" t="n"/>
      <c r="DA797" s="588" t="n"/>
      <c r="DB797" s="588" t="n"/>
      <c r="DC797" s="588" t="n"/>
      <c r="DD797" s="588" t="n"/>
      <c r="DE797" s="588" t="n"/>
      <c r="DF797" s="588" t="n"/>
      <c r="DG797" s="588" t="n"/>
      <c r="DH797" s="588" t="n"/>
      <c r="DI797" s="588" t="n"/>
      <c r="DJ797" s="588" t="n"/>
      <c r="DK797" s="588" t="n"/>
      <c r="DL797" s="588" t="n"/>
      <c r="DM797" s="588" t="n"/>
      <c r="DN797" s="588" t="n"/>
      <c r="DO797" s="588" t="n"/>
      <c r="DP797" s="588" t="n"/>
      <c r="DQ797" s="588" t="n"/>
      <c r="DR797" s="588" t="n"/>
      <c r="DS797" s="588" t="n"/>
      <c r="DT797" s="588" t="n"/>
      <c r="DU797" s="588" t="n"/>
    </row>
    <row r="798">
      <c r="A798" s="737" t="n"/>
      <c r="B798" s="737" t="n"/>
      <c r="C798" s="737" t="n"/>
      <c r="D798" s="737" t="n"/>
      <c r="E798" s="737" t="n"/>
      <c r="F798" s="737" t="n"/>
      <c r="G798" s="737" t="n"/>
      <c r="H798" s="737" t="n"/>
      <c r="I798" s="737" t="n"/>
      <c r="J798" s="737" t="n"/>
      <c r="K798" s="737" t="n"/>
      <c r="L798" s="737" t="n"/>
      <c r="M798" s="737" t="n"/>
      <c r="N798" s="737" t="n"/>
      <c r="O798" s="737" t="n"/>
      <c r="P798" s="737" t="n"/>
      <c r="Q798" s="737" t="n"/>
      <c r="R798" s="737" t="n"/>
      <c r="S798" s="737" t="n"/>
      <c r="T798" s="737" t="n"/>
      <c r="U798" s="737" t="n"/>
      <c r="V798" s="737" t="n"/>
      <c r="W798" s="737" t="n"/>
      <c r="X798" s="737" t="n"/>
      <c r="Y798" s="737" t="n"/>
      <c r="Z798" s="737" t="n"/>
      <c r="AA798" s="737" t="n"/>
      <c r="AB798" s="737" t="n"/>
      <c r="AC798" s="737" t="n"/>
      <c r="AD798" s="737" t="n"/>
      <c r="AE798" s="737" t="n"/>
      <c r="AF798" s="737" t="n"/>
      <c r="AG798" s="737" t="n"/>
      <c r="AH798" s="737" t="n"/>
      <c r="AI798" s="737" t="n"/>
      <c r="AJ798" s="737" t="n"/>
      <c r="AK798" s="588" t="n"/>
      <c r="AL798" s="588" t="n"/>
      <c r="AM798" s="588" t="n"/>
      <c r="AN798" s="588" t="n"/>
      <c r="AO798" s="588" t="n"/>
      <c r="AP798" s="588" t="n"/>
      <c r="AQ798" s="588" t="n"/>
      <c r="AR798" s="588" t="n"/>
      <c r="AS798" s="588" t="n"/>
      <c r="AT798" s="588" t="n"/>
      <c r="AU798" s="588" t="n"/>
      <c r="AV798" s="588" t="n"/>
      <c r="AW798" s="588" t="n"/>
      <c r="AX798" s="588" t="n"/>
      <c r="AY798" s="588" t="n"/>
      <c r="AZ798" s="588" t="n"/>
      <c r="BA798" s="588" t="n"/>
      <c r="BB798" s="588" t="n"/>
      <c r="BC798" s="588" t="n"/>
      <c r="BD798" s="588" t="n"/>
      <c r="BE798" s="588" t="n"/>
      <c r="BF798" s="588" t="n"/>
      <c r="BG798" s="588" t="n"/>
      <c r="BH798" s="588" t="n"/>
      <c r="BI798" s="588" t="n"/>
      <c r="BJ798" s="588" t="n"/>
      <c r="BK798" s="588" t="n"/>
      <c r="BL798" s="588" t="n"/>
      <c r="BM798" s="588" t="n"/>
      <c r="BN798" s="588" t="n"/>
      <c r="BO798" s="588" t="n"/>
      <c r="BP798" s="588" t="n"/>
      <c r="BQ798" s="588" t="n"/>
      <c r="BR798" s="588" t="n"/>
      <c r="BS798" s="588" t="n"/>
      <c r="BT798" s="588" t="n"/>
      <c r="BU798" s="588" t="n"/>
      <c r="BV798" s="588" t="n"/>
      <c r="BW798" s="588" t="n"/>
      <c r="BX798" s="588" t="n"/>
      <c r="BY798" s="588" t="n"/>
      <c r="BZ798" s="588" t="n"/>
      <c r="CA798" s="588" t="n"/>
      <c r="CB798" s="588" t="n"/>
      <c r="CC798" s="588" t="n"/>
      <c r="CD798" s="588" t="n"/>
      <c r="CE798" s="588" t="n"/>
      <c r="CF798" s="588" t="n"/>
      <c r="CG798" s="588" t="n"/>
      <c r="CH798" s="588" t="n"/>
      <c r="CI798" s="588" t="n"/>
      <c r="CJ798" s="588" t="n"/>
      <c r="CK798" s="588" t="n"/>
      <c r="CL798" s="588" t="n"/>
      <c r="CM798" s="588" t="n"/>
      <c r="CN798" s="588" t="n"/>
      <c r="CO798" s="588" t="n"/>
      <c r="CP798" s="588" t="n"/>
      <c r="CQ798" s="588" t="n"/>
      <c r="CR798" s="588" t="n"/>
      <c r="CS798" s="588" t="n"/>
      <c r="CT798" s="588" t="n"/>
      <c r="CU798" s="588" t="n"/>
      <c r="CV798" s="588" t="n"/>
      <c r="CW798" s="588" t="n"/>
      <c r="CX798" s="588" t="n"/>
      <c r="CY798" s="588" t="n"/>
      <c r="CZ798" s="588" t="n"/>
      <c r="DA798" s="588" t="n"/>
      <c r="DB798" s="588" t="n"/>
      <c r="DC798" s="588" t="n"/>
      <c r="DD798" s="588" t="n"/>
      <c r="DE798" s="588" t="n"/>
      <c r="DF798" s="588" t="n"/>
      <c r="DG798" s="588" t="n"/>
      <c r="DH798" s="588" t="n"/>
      <c r="DI798" s="588" t="n"/>
      <c r="DJ798" s="588" t="n"/>
      <c r="DK798" s="588" t="n"/>
      <c r="DL798" s="588" t="n"/>
      <c r="DM798" s="588" t="n"/>
      <c r="DN798" s="588" t="n"/>
      <c r="DO798" s="588" t="n"/>
      <c r="DP798" s="588" t="n"/>
      <c r="DQ798" s="588" t="n"/>
      <c r="DR798" s="588" t="n"/>
      <c r="DS798" s="588" t="n"/>
      <c r="DT798" s="588" t="n"/>
      <c r="DU798" s="588" t="n"/>
    </row>
    <row r="799">
      <c r="A799" s="737" t="n"/>
      <c r="B799" s="737" t="n"/>
      <c r="C799" s="737" t="n"/>
      <c r="D799" s="737" t="n"/>
      <c r="E799" s="737" t="n"/>
      <c r="F799" s="737" t="n"/>
      <c r="G799" s="737" t="n"/>
      <c r="H799" s="737" t="n"/>
      <c r="I799" s="737" t="n"/>
      <c r="J799" s="737" t="n"/>
      <c r="K799" s="737" t="n"/>
      <c r="L799" s="737" t="n"/>
      <c r="M799" s="737" t="n"/>
      <c r="N799" s="737" t="n"/>
      <c r="O799" s="737" t="n"/>
      <c r="P799" s="737" t="n"/>
      <c r="Q799" s="737" t="n"/>
      <c r="R799" s="737" t="n"/>
      <c r="S799" s="737" t="n"/>
      <c r="T799" s="737" t="n"/>
      <c r="U799" s="737" t="n"/>
      <c r="V799" s="737" t="n"/>
      <c r="W799" s="737" t="n"/>
      <c r="X799" s="737" t="n"/>
      <c r="Y799" s="737" t="n"/>
      <c r="Z799" s="737" t="n"/>
      <c r="AA799" s="737" t="n"/>
      <c r="AB799" s="737" t="n"/>
      <c r="AC799" s="737" t="n"/>
      <c r="AD799" s="737" t="n"/>
      <c r="AE799" s="737" t="n"/>
      <c r="AF799" s="737" t="n"/>
      <c r="AG799" s="737" t="n"/>
      <c r="AH799" s="737" t="n"/>
      <c r="AI799" s="737" t="n"/>
      <c r="AJ799" s="737" t="n"/>
      <c r="AK799" s="588" t="n"/>
      <c r="AL799" s="588" t="n"/>
      <c r="AM799" s="588" t="n"/>
      <c r="AN799" s="588" t="n"/>
      <c r="AO799" s="588" t="n"/>
      <c r="AP799" s="588" t="n"/>
      <c r="AQ799" s="588" t="n"/>
      <c r="AR799" s="588" t="n"/>
      <c r="AS799" s="588" t="n"/>
      <c r="AT799" s="588" t="n"/>
      <c r="AU799" s="588" t="n"/>
      <c r="AV799" s="588" t="n"/>
      <c r="AW799" s="588" t="n"/>
      <c r="AX799" s="588" t="n"/>
      <c r="AY799" s="588" t="n"/>
      <c r="AZ799" s="588" t="n"/>
      <c r="BA799" s="588" t="n"/>
      <c r="BB799" s="588" t="n"/>
      <c r="BC799" s="588" t="n"/>
      <c r="BD799" s="588" t="n"/>
      <c r="BE799" s="588" t="n"/>
      <c r="BF799" s="588" t="n"/>
      <c r="BG799" s="588" t="n"/>
      <c r="BH799" s="588" t="n"/>
      <c r="BI799" s="588" t="n"/>
      <c r="BJ799" s="588" t="n"/>
      <c r="BK799" s="588" t="n"/>
      <c r="BL799" s="588" t="n"/>
      <c r="BM799" s="588" t="n"/>
      <c r="BN799" s="588" t="n"/>
      <c r="BO799" s="588" t="n"/>
      <c r="BP799" s="588" t="n"/>
      <c r="BQ799" s="588" t="n"/>
      <c r="BR799" s="588" t="n"/>
      <c r="BS799" s="588" t="n"/>
      <c r="BT799" s="588" t="n"/>
      <c r="BU799" s="588" t="n"/>
      <c r="BV799" s="588" t="n"/>
      <c r="BW799" s="588" t="n"/>
      <c r="BX799" s="588" t="n"/>
      <c r="BY799" s="588" t="n"/>
      <c r="BZ799" s="588" t="n"/>
      <c r="CA799" s="588" t="n"/>
      <c r="CB799" s="588" t="n"/>
      <c r="CC799" s="588" t="n"/>
      <c r="CD799" s="588" t="n"/>
      <c r="CE799" s="588" t="n"/>
      <c r="CF799" s="588" t="n"/>
      <c r="CG799" s="588" t="n"/>
      <c r="CH799" s="588" t="n"/>
      <c r="CI799" s="588" t="n"/>
      <c r="CJ799" s="588" t="n"/>
      <c r="CK799" s="588" t="n"/>
      <c r="CL799" s="588" t="n"/>
      <c r="CM799" s="588" t="n"/>
      <c r="CN799" s="588" t="n"/>
      <c r="CO799" s="588" t="n"/>
      <c r="CP799" s="588" t="n"/>
      <c r="CQ799" s="588" t="n"/>
      <c r="CR799" s="588" t="n"/>
      <c r="CS799" s="588" t="n"/>
      <c r="CT799" s="588" t="n"/>
      <c r="CU799" s="588" t="n"/>
      <c r="CV799" s="588" t="n"/>
      <c r="CW799" s="588" t="n"/>
      <c r="CX799" s="588" t="n"/>
      <c r="CY799" s="588" t="n"/>
      <c r="CZ799" s="588" t="n"/>
      <c r="DA799" s="588" t="n"/>
      <c r="DB799" s="588" t="n"/>
      <c r="DC799" s="588" t="n"/>
      <c r="DD799" s="588" t="n"/>
      <c r="DE799" s="588" t="n"/>
      <c r="DF799" s="588" t="n"/>
      <c r="DG799" s="588" t="n"/>
      <c r="DH799" s="588" t="n"/>
      <c r="DI799" s="588" t="n"/>
      <c r="DJ799" s="588" t="n"/>
      <c r="DK799" s="588" t="n"/>
      <c r="DL799" s="588" t="n"/>
      <c r="DM799" s="588" t="n"/>
      <c r="DN799" s="588" t="n"/>
      <c r="DO799" s="588" t="n"/>
      <c r="DP799" s="588" t="n"/>
      <c r="DQ799" s="588" t="n"/>
      <c r="DR799" s="588" t="n"/>
      <c r="DS799" s="588" t="n"/>
      <c r="DT799" s="588" t="n"/>
      <c r="DU799" s="588" t="n"/>
    </row>
    <row r="800">
      <c r="A800" s="737" t="n"/>
      <c r="B800" s="737" t="n"/>
      <c r="C800" s="737" t="n"/>
      <c r="D800" s="737" t="n"/>
      <c r="E800" s="737" t="n"/>
      <c r="F800" s="737" t="n"/>
      <c r="G800" s="737" t="n"/>
      <c r="H800" s="737" t="n"/>
      <c r="I800" s="737" t="n"/>
      <c r="J800" s="737" t="n"/>
      <c r="K800" s="737" t="n"/>
      <c r="L800" s="737" t="n"/>
      <c r="M800" s="737" t="n"/>
      <c r="N800" s="737" t="n"/>
      <c r="O800" s="737" t="n"/>
      <c r="P800" s="737" t="n"/>
      <c r="Q800" s="737" t="n"/>
      <c r="R800" s="737" t="n"/>
      <c r="S800" s="737" t="n"/>
      <c r="T800" s="737" t="n"/>
      <c r="U800" s="737" t="n"/>
      <c r="V800" s="737" t="n"/>
      <c r="W800" s="737" t="n"/>
      <c r="X800" s="737" t="n"/>
      <c r="Y800" s="737" t="n"/>
      <c r="Z800" s="737" t="n"/>
      <c r="AA800" s="737" t="n"/>
      <c r="AB800" s="737" t="n"/>
      <c r="AC800" s="737" t="n"/>
      <c r="AD800" s="737" t="n"/>
      <c r="AE800" s="737" t="n"/>
      <c r="AF800" s="737" t="n"/>
      <c r="AG800" s="737" t="n"/>
      <c r="AH800" s="737" t="n"/>
      <c r="AI800" s="737" t="n"/>
      <c r="AJ800" s="737" t="n"/>
      <c r="AK800" s="588" t="n"/>
      <c r="AL800" s="588" t="n"/>
      <c r="AM800" s="588" t="n"/>
      <c r="AN800" s="588" t="n"/>
      <c r="AO800" s="588" t="n"/>
      <c r="AP800" s="588" t="n"/>
      <c r="AQ800" s="588" t="n"/>
      <c r="AR800" s="588" t="n"/>
      <c r="AS800" s="588" t="n"/>
      <c r="AT800" s="588" t="n"/>
      <c r="AU800" s="588" t="n"/>
      <c r="AV800" s="588" t="n"/>
      <c r="AW800" s="588" t="n"/>
      <c r="AX800" s="588" t="n"/>
      <c r="AY800" s="588" t="n"/>
      <c r="AZ800" s="588" t="n"/>
      <c r="BA800" s="588" t="n"/>
      <c r="BB800" s="588" t="n"/>
      <c r="BC800" s="588" t="n"/>
      <c r="BD800" s="588" t="n"/>
      <c r="BE800" s="588" t="n"/>
      <c r="BF800" s="588" t="n"/>
      <c r="BG800" s="588" t="n"/>
      <c r="BH800" s="588" t="n"/>
      <c r="BI800" s="588" t="n"/>
      <c r="BJ800" s="588" t="n"/>
      <c r="BK800" s="588" t="n"/>
      <c r="BL800" s="588" t="n"/>
      <c r="BM800" s="588" t="n"/>
      <c r="BN800" s="588" t="n"/>
      <c r="BO800" s="588" t="n"/>
      <c r="BP800" s="588" t="n"/>
      <c r="BQ800" s="588" t="n"/>
      <c r="BR800" s="588" t="n"/>
      <c r="BS800" s="588" t="n"/>
      <c r="BT800" s="588" t="n"/>
      <c r="BU800" s="588" t="n"/>
      <c r="BV800" s="588" t="n"/>
      <c r="BW800" s="588" t="n"/>
      <c r="BX800" s="588" t="n"/>
      <c r="BY800" s="588" t="n"/>
      <c r="BZ800" s="588" t="n"/>
      <c r="CA800" s="588" t="n"/>
      <c r="CB800" s="588" t="n"/>
      <c r="CC800" s="588" t="n"/>
      <c r="CD800" s="588" t="n"/>
      <c r="CE800" s="588" t="n"/>
      <c r="CF800" s="588" t="n"/>
      <c r="CG800" s="588" t="n"/>
      <c r="CH800" s="588" t="n"/>
      <c r="CI800" s="588" t="n"/>
      <c r="CJ800" s="588" t="n"/>
      <c r="CK800" s="588" t="n"/>
      <c r="CL800" s="588" t="n"/>
      <c r="CM800" s="588" t="n"/>
      <c r="CN800" s="588" t="n"/>
      <c r="CO800" s="588" t="n"/>
      <c r="CP800" s="588" t="n"/>
      <c r="CQ800" s="588" t="n"/>
      <c r="CR800" s="588" t="n"/>
      <c r="CS800" s="588" t="n"/>
      <c r="CT800" s="588" t="n"/>
      <c r="CU800" s="588" t="n"/>
      <c r="CV800" s="588" t="n"/>
      <c r="CW800" s="588" t="n"/>
      <c r="CX800" s="588" t="n"/>
      <c r="CY800" s="588" t="n"/>
      <c r="CZ800" s="588" t="n"/>
      <c r="DA800" s="588" t="n"/>
      <c r="DB800" s="588" t="n"/>
      <c r="DC800" s="588" t="n"/>
      <c r="DD800" s="588" t="n"/>
      <c r="DE800" s="588" t="n"/>
      <c r="DF800" s="588" t="n"/>
      <c r="DG800" s="588" t="n"/>
      <c r="DH800" s="588" t="n"/>
      <c r="DI800" s="588" t="n"/>
      <c r="DJ800" s="588" t="n"/>
      <c r="DK800" s="588" t="n"/>
      <c r="DL800" s="588" t="n"/>
      <c r="DM800" s="588" t="n"/>
      <c r="DN800" s="588" t="n"/>
      <c r="DO800" s="588" t="n"/>
      <c r="DP800" s="588" t="n"/>
      <c r="DQ800" s="588" t="n"/>
      <c r="DR800" s="588" t="n"/>
      <c r="DS800" s="588" t="n"/>
      <c r="DT800" s="588" t="n"/>
      <c r="DU800" s="588" t="n"/>
    </row>
    <row r="801">
      <c r="A801" s="737" t="n"/>
      <c r="B801" s="737" t="n"/>
      <c r="C801" s="737" t="n"/>
      <c r="D801" s="737" t="n"/>
      <c r="E801" s="737" t="n"/>
      <c r="F801" s="737" t="n"/>
      <c r="G801" s="737" t="n"/>
      <c r="H801" s="737" t="n"/>
      <c r="I801" s="737" t="n"/>
      <c r="J801" s="737" t="n"/>
      <c r="K801" s="737" t="n"/>
      <c r="L801" s="737" t="n"/>
      <c r="M801" s="737" t="n"/>
      <c r="N801" s="737" t="n"/>
      <c r="O801" s="737" t="n"/>
      <c r="P801" s="737" t="n"/>
      <c r="Q801" s="737" t="n"/>
      <c r="R801" s="737" t="n"/>
      <c r="S801" s="737" t="n"/>
      <c r="T801" s="737" t="n"/>
      <c r="U801" s="737" t="n"/>
      <c r="V801" s="737" t="n"/>
      <c r="W801" s="737" t="n"/>
      <c r="X801" s="737" t="n"/>
      <c r="Y801" s="737" t="n"/>
      <c r="Z801" s="737" t="n"/>
      <c r="AA801" s="737" t="n"/>
      <c r="AB801" s="737" t="n"/>
      <c r="AC801" s="737" t="n"/>
      <c r="AD801" s="737" t="n"/>
      <c r="AE801" s="737" t="n"/>
      <c r="AF801" s="737" t="n"/>
      <c r="AG801" s="737" t="n"/>
      <c r="AH801" s="737" t="n"/>
      <c r="AI801" s="737" t="n"/>
      <c r="AJ801" s="737" t="n"/>
      <c r="AK801" s="588" t="n"/>
      <c r="AL801" s="588" t="n"/>
      <c r="AM801" s="588" t="n"/>
      <c r="AN801" s="588" t="n"/>
      <c r="AO801" s="588" t="n"/>
      <c r="AP801" s="588" t="n"/>
      <c r="AQ801" s="588" t="n"/>
      <c r="AR801" s="588" t="n"/>
      <c r="AS801" s="588" t="n"/>
      <c r="AT801" s="588" t="n"/>
      <c r="AU801" s="588" t="n"/>
      <c r="AV801" s="588" t="n"/>
      <c r="AW801" s="588" t="n"/>
      <c r="AX801" s="588" t="n"/>
      <c r="AY801" s="588" t="n"/>
      <c r="AZ801" s="588" t="n"/>
      <c r="BA801" s="588" t="n"/>
      <c r="BB801" s="588" t="n"/>
      <c r="BC801" s="588" t="n"/>
      <c r="BD801" s="588" t="n"/>
      <c r="BE801" s="588" t="n"/>
      <c r="BF801" s="588" t="n"/>
      <c r="BG801" s="588" t="n"/>
      <c r="BH801" s="588" t="n"/>
      <c r="BI801" s="588" t="n"/>
      <c r="BJ801" s="588" t="n"/>
      <c r="BK801" s="588" t="n"/>
      <c r="BL801" s="588" t="n"/>
      <c r="BM801" s="588" t="n"/>
      <c r="BN801" s="588" t="n"/>
      <c r="BO801" s="588" t="n"/>
      <c r="BP801" s="588" t="n"/>
      <c r="BQ801" s="588" t="n"/>
      <c r="BR801" s="588" t="n"/>
      <c r="BS801" s="588" t="n"/>
      <c r="BT801" s="588" t="n"/>
      <c r="BU801" s="588" t="n"/>
      <c r="BV801" s="588" t="n"/>
      <c r="BW801" s="588" t="n"/>
      <c r="BX801" s="588" t="n"/>
      <c r="BY801" s="588" t="n"/>
      <c r="BZ801" s="588" t="n"/>
      <c r="CA801" s="588" t="n"/>
      <c r="CB801" s="588" t="n"/>
      <c r="CC801" s="588" t="n"/>
      <c r="CD801" s="588" t="n"/>
      <c r="CE801" s="588" t="n"/>
      <c r="CF801" s="588" t="n"/>
      <c r="CG801" s="588" t="n"/>
      <c r="CH801" s="588" t="n"/>
      <c r="CI801" s="588" t="n"/>
      <c r="CJ801" s="588" t="n"/>
      <c r="CK801" s="588" t="n"/>
      <c r="CL801" s="588" t="n"/>
      <c r="CM801" s="588" t="n"/>
      <c r="CN801" s="588" t="n"/>
      <c r="CO801" s="588" t="n"/>
      <c r="CP801" s="588" t="n"/>
      <c r="CQ801" s="588" t="n"/>
      <c r="CR801" s="588" t="n"/>
      <c r="CS801" s="588" t="n"/>
      <c r="CT801" s="588" t="n"/>
      <c r="CU801" s="588" t="n"/>
      <c r="CV801" s="588" t="n"/>
      <c r="CW801" s="588" t="n"/>
      <c r="CX801" s="588" t="n"/>
      <c r="CY801" s="588" t="n"/>
      <c r="CZ801" s="588" t="n"/>
      <c r="DA801" s="588" t="n"/>
      <c r="DB801" s="588" t="n"/>
      <c r="DC801" s="588" t="n"/>
      <c r="DD801" s="588" t="n"/>
      <c r="DE801" s="588" t="n"/>
      <c r="DF801" s="588" t="n"/>
      <c r="DG801" s="588" t="n"/>
      <c r="DH801" s="588" t="n"/>
      <c r="DI801" s="588" t="n"/>
      <c r="DJ801" s="588" t="n"/>
      <c r="DK801" s="588" t="n"/>
      <c r="DL801" s="588" t="n"/>
      <c r="DM801" s="588" t="n"/>
      <c r="DN801" s="588" t="n"/>
      <c r="DO801" s="588" t="n"/>
      <c r="DP801" s="588" t="n"/>
      <c r="DQ801" s="588" t="n"/>
      <c r="DR801" s="588" t="n"/>
      <c r="DS801" s="588" t="n"/>
      <c r="DT801" s="588" t="n"/>
      <c r="DU801" s="588" t="n"/>
    </row>
    <row r="802">
      <c r="A802" s="737" t="n"/>
      <c r="B802" s="737" t="n"/>
      <c r="C802" s="737" t="n"/>
      <c r="D802" s="737" t="n"/>
      <c r="E802" s="737" t="n"/>
      <c r="F802" s="737" t="n"/>
      <c r="G802" s="737" t="n"/>
      <c r="H802" s="737" t="n"/>
      <c r="I802" s="737" t="n"/>
      <c r="J802" s="737" t="n"/>
      <c r="K802" s="737" t="n"/>
      <c r="L802" s="737" t="n"/>
      <c r="M802" s="737" t="n"/>
      <c r="N802" s="737" t="n"/>
      <c r="O802" s="737" t="n"/>
      <c r="P802" s="737" t="n"/>
      <c r="Q802" s="737" t="n"/>
      <c r="R802" s="737" t="n"/>
      <c r="S802" s="737" t="n"/>
      <c r="T802" s="737" t="n"/>
      <c r="U802" s="737" t="n"/>
      <c r="V802" s="737" t="n"/>
      <c r="W802" s="737" t="n"/>
      <c r="X802" s="737" t="n"/>
      <c r="Y802" s="737" t="n"/>
      <c r="Z802" s="737" t="n"/>
      <c r="AA802" s="737" t="n"/>
      <c r="AB802" s="737" t="n"/>
      <c r="AC802" s="737" t="n"/>
      <c r="AD802" s="737" t="n"/>
      <c r="AE802" s="737" t="n"/>
      <c r="AF802" s="737" t="n"/>
      <c r="AG802" s="737" t="n"/>
      <c r="AH802" s="737" t="n"/>
      <c r="AI802" s="737" t="n"/>
      <c r="AJ802" s="737" t="n"/>
      <c r="AK802" s="588" t="n"/>
      <c r="AL802" s="588" t="n"/>
      <c r="AM802" s="588" t="n"/>
      <c r="AN802" s="588" t="n"/>
      <c r="AO802" s="588" t="n"/>
      <c r="AP802" s="588" t="n"/>
      <c r="AQ802" s="588" t="n"/>
      <c r="AR802" s="588" t="n"/>
      <c r="AS802" s="588" t="n"/>
      <c r="AT802" s="588" t="n"/>
      <c r="AU802" s="588" t="n"/>
      <c r="AV802" s="588" t="n"/>
      <c r="AW802" s="588" t="n"/>
      <c r="AX802" s="588" t="n"/>
      <c r="AY802" s="588" t="n"/>
      <c r="AZ802" s="588" t="n"/>
      <c r="BA802" s="588" t="n"/>
      <c r="BB802" s="588" t="n"/>
      <c r="BC802" s="588" t="n"/>
      <c r="BD802" s="588" t="n"/>
      <c r="BE802" s="588" t="n"/>
      <c r="BF802" s="588" t="n"/>
      <c r="BG802" s="588" t="n"/>
      <c r="BH802" s="588" t="n"/>
      <c r="BI802" s="588" t="n"/>
      <c r="BJ802" s="588" t="n"/>
      <c r="BK802" s="588" t="n"/>
      <c r="BL802" s="588" t="n"/>
      <c r="BM802" s="588" t="n"/>
      <c r="BN802" s="588" t="n"/>
      <c r="BO802" s="588" t="n"/>
      <c r="BP802" s="588" t="n"/>
      <c r="BQ802" s="588" t="n"/>
      <c r="BR802" s="588" t="n"/>
      <c r="BS802" s="588" t="n"/>
      <c r="BT802" s="588" t="n"/>
      <c r="BU802" s="588" t="n"/>
      <c r="BV802" s="588" t="n"/>
      <c r="BW802" s="588" t="n"/>
      <c r="BX802" s="588" t="n"/>
      <c r="BY802" s="588" t="n"/>
      <c r="BZ802" s="588" t="n"/>
      <c r="CA802" s="588" t="n"/>
      <c r="CB802" s="588" t="n"/>
      <c r="CC802" s="588" t="n"/>
      <c r="CD802" s="588" t="n"/>
      <c r="CE802" s="588" t="n"/>
      <c r="CF802" s="588" t="n"/>
      <c r="CG802" s="588" t="n"/>
      <c r="CH802" s="588" t="n"/>
      <c r="CI802" s="588" t="n"/>
      <c r="CJ802" s="588" t="n"/>
      <c r="CK802" s="588" t="n"/>
      <c r="CL802" s="588" t="n"/>
      <c r="CM802" s="588" t="n"/>
      <c r="CN802" s="588" t="n"/>
      <c r="CO802" s="588" t="n"/>
      <c r="CP802" s="588" t="n"/>
      <c r="CQ802" s="588" t="n"/>
      <c r="CR802" s="588" t="n"/>
      <c r="CS802" s="588" t="n"/>
      <c r="CT802" s="588" t="n"/>
      <c r="CU802" s="588" t="n"/>
      <c r="CV802" s="588" t="n"/>
      <c r="CW802" s="588" t="n"/>
      <c r="CX802" s="588" t="n"/>
      <c r="CY802" s="588" t="n"/>
      <c r="CZ802" s="588" t="n"/>
      <c r="DA802" s="588" t="n"/>
      <c r="DB802" s="588" t="n"/>
      <c r="DC802" s="588" t="n"/>
      <c r="DD802" s="588" t="n"/>
      <c r="DE802" s="588" t="n"/>
      <c r="DF802" s="588" t="n"/>
      <c r="DG802" s="588" t="n"/>
      <c r="DH802" s="588" t="n"/>
      <c r="DI802" s="588" t="n"/>
      <c r="DJ802" s="588" t="n"/>
      <c r="DK802" s="588" t="n"/>
      <c r="DL802" s="588" t="n"/>
      <c r="DM802" s="588" t="n"/>
      <c r="DN802" s="588" t="n"/>
      <c r="DO802" s="588" t="n"/>
      <c r="DP802" s="588" t="n"/>
      <c r="DQ802" s="588" t="n"/>
      <c r="DR802" s="588" t="n"/>
      <c r="DS802" s="588" t="n"/>
      <c r="DT802" s="588" t="n"/>
      <c r="DU802" s="588" t="n"/>
    </row>
    <row r="803">
      <c r="A803" s="737" t="n"/>
      <c r="B803" s="737" t="n"/>
      <c r="C803" s="737" t="n"/>
      <c r="D803" s="737" t="n"/>
      <c r="E803" s="737" t="n"/>
      <c r="F803" s="737" t="n"/>
      <c r="G803" s="737" t="n"/>
      <c r="H803" s="737" t="n"/>
      <c r="I803" s="737" t="n"/>
      <c r="J803" s="737" t="n"/>
      <c r="K803" s="737" t="n"/>
      <c r="L803" s="737" t="n"/>
      <c r="M803" s="737" t="n"/>
      <c r="N803" s="737" t="n"/>
      <c r="O803" s="737" t="n"/>
      <c r="P803" s="737" t="n"/>
      <c r="Q803" s="737" t="n"/>
      <c r="R803" s="737" t="n"/>
      <c r="S803" s="737" t="n"/>
      <c r="T803" s="737" t="n"/>
      <c r="U803" s="737" t="n"/>
      <c r="V803" s="737" t="n"/>
      <c r="W803" s="737" t="n"/>
      <c r="X803" s="737" t="n"/>
      <c r="Y803" s="737" t="n"/>
      <c r="Z803" s="737" t="n"/>
      <c r="AA803" s="737" t="n"/>
      <c r="AB803" s="737" t="n"/>
      <c r="AC803" s="737" t="n"/>
      <c r="AD803" s="737" t="n"/>
      <c r="AE803" s="737" t="n"/>
      <c r="AF803" s="737" t="n"/>
      <c r="AG803" s="737" t="n"/>
      <c r="AH803" s="737" t="n"/>
      <c r="AI803" s="737" t="n"/>
      <c r="AJ803" s="737" t="n"/>
      <c r="AK803" s="588" t="n"/>
      <c r="AL803" s="588" t="n"/>
      <c r="AM803" s="588" t="n"/>
      <c r="AN803" s="588" t="n"/>
      <c r="AO803" s="588" t="n"/>
      <c r="AP803" s="588" t="n"/>
      <c r="AQ803" s="588" t="n"/>
      <c r="AR803" s="588" t="n"/>
      <c r="AS803" s="588" t="n"/>
      <c r="AT803" s="588" t="n"/>
      <c r="AU803" s="588" t="n"/>
      <c r="AV803" s="588" t="n"/>
      <c r="AW803" s="588" t="n"/>
      <c r="AX803" s="588" t="n"/>
      <c r="AY803" s="588" t="n"/>
      <c r="AZ803" s="588" t="n"/>
      <c r="BA803" s="588" t="n"/>
      <c r="BB803" s="588" t="n"/>
      <c r="BC803" s="588" t="n"/>
      <c r="BD803" s="588" t="n"/>
      <c r="BE803" s="588" t="n"/>
      <c r="BF803" s="588" t="n"/>
      <c r="BG803" s="588" t="n"/>
      <c r="BH803" s="588" t="n"/>
      <c r="BI803" s="588" t="n"/>
      <c r="BJ803" s="588" t="n"/>
      <c r="BK803" s="588" t="n"/>
      <c r="BL803" s="588" t="n"/>
      <c r="BM803" s="588" t="n"/>
      <c r="BN803" s="588" t="n"/>
      <c r="BO803" s="588" t="n"/>
      <c r="BP803" s="588" t="n"/>
      <c r="BQ803" s="588" t="n"/>
      <c r="BR803" s="588" t="n"/>
      <c r="BS803" s="588" t="n"/>
      <c r="BT803" s="588" t="n"/>
      <c r="BU803" s="588" t="n"/>
      <c r="BV803" s="588" t="n"/>
      <c r="BW803" s="588" t="n"/>
      <c r="BX803" s="588" t="n"/>
      <c r="BY803" s="588" t="n"/>
      <c r="BZ803" s="588" t="n"/>
      <c r="CA803" s="588" t="n"/>
      <c r="CB803" s="588" t="n"/>
      <c r="CC803" s="588" t="n"/>
      <c r="CD803" s="588" t="n"/>
      <c r="CE803" s="588" t="n"/>
      <c r="CF803" s="588" t="n"/>
      <c r="CG803" s="588" t="n"/>
      <c r="CH803" s="588" t="n"/>
      <c r="CI803" s="588" t="n"/>
      <c r="CJ803" s="588" t="n"/>
      <c r="CK803" s="588" t="n"/>
      <c r="CL803" s="588" t="n"/>
      <c r="CM803" s="588" t="n"/>
      <c r="CN803" s="588" t="n"/>
      <c r="CO803" s="588" t="n"/>
      <c r="CP803" s="588" t="n"/>
      <c r="CQ803" s="588" t="n"/>
      <c r="CR803" s="588" t="n"/>
      <c r="CS803" s="588" t="n"/>
      <c r="CT803" s="588" t="n"/>
      <c r="CU803" s="588" t="n"/>
      <c r="CV803" s="588" t="n"/>
      <c r="CW803" s="588" t="n"/>
      <c r="CX803" s="588" t="n"/>
      <c r="CY803" s="588" t="n"/>
      <c r="CZ803" s="588" t="n"/>
      <c r="DA803" s="588" t="n"/>
      <c r="DB803" s="588" t="n"/>
      <c r="DC803" s="588" t="n"/>
      <c r="DD803" s="588" t="n"/>
      <c r="DE803" s="588" t="n"/>
      <c r="DF803" s="588" t="n"/>
      <c r="DG803" s="588" t="n"/>
      <c r="DH803" s="588" t="n"/>
      <c r="DI803" s="588" t="n"/>
      <c r="DJ803" s="588" t="n"/>
      <c r="DK803" s="588" t="n"/>
      <c r="DL803" s="588" t="n"/>
      <c r="DM803" s="588" t="n"/>
      <c r="DN803" s="588" t="n"/>
      <c r="DO803" s="588" t="n"/>
      <c r="DP803" s="588" t="n"/>
      <c r="DQ803" s="588" t="n"/>
      <c r="DR803" s="588" t="n"/>
      <c r="DS803" s="588" t="n"/>
      <c r="DT803" s="588" t="n"/>
      <c r="DU803" s="588" t="n"/>
    </row>
    <row r="804">
      <c r="A804" s="737" t="n"/>
      <c r="B804" s="737" t="n"/>
      <c r="C804" s="737" t="n"/>
      <c r="D804" s="737" t="n"/>
      <c r="E804" s="737" t="n"/>
      <c r="F804" s="737" t="n"/>
      <c r="G804" s="737" t="n"/>
      <c r="H804" s="737" t="n"/>
      <c r="I804" s="737" t="n"/>
      <c r="J804" s="737" t="n"/>
      <c r="K804" s="737" t="n"/>
      <c r="L804" s="737" t="n"/>
      <c r="M804" s="737" t="n"/>
      <c r="N804" s="737" t="n"/>
      <c r="O804" s="737" t="n"/>
      <c r="P804" s="737" t="n"/>
      <c r="Q804" s="737" t="n"/>
      <c r="R804" s="737" t="n"/>
      <c r="S804" s="737" t="n"/>
      <c r="T804" s="737" t="n"/>
      <c r="U804" s="737" t="n"/>
      <c r="V804" s="737" t="n"/>
      <c r="W804" s="737" t="n"/>
      <c r="X804" s="737" t="n"/>
      <c r="Y804" s="737" t="n"/>
      <c r="Z804" s="737" t="n"/>
      <c r="AA804" s="737" t="n"/>
      <c r="AB804" s="737" t="n"/>
      <c r="AC804" s="737" t="n"/>
      <c r="AD804" s="737" t="n"/>
      <c r="AE804" s="737" t="n"/>
      <c r="AF804" s="737" t="n"/>
      <c r="AG804" s="737" t="n"/>
      <c r="AH804" s="737" t="n"/>
      <c r="AI804" s="737" t="n"/>
      <c r="AJ804" s="737" t="n"/>
      <c r="AK804" s="588" t="n"/>
      <c r="AL804" s="588" t="n"/>
      <c r="AM804" s="588" t="n"/>
      <c r="AN804" s="588" t="n"/>
      <c r="AO804" s="588" t="n"/>
      <c r="AP804" s="588" t="n"/>
      <c r="AQ804" s="588" t="n"/>
      <c r="AR804" s="588" t="n"/>
      <c r="AS804" s="588" t="n"/>
      <c r="AT804" s="588" t="n"/>
      <c r="AU804" s="588" t="n"/>
      <c r="AV804" s="588" t="n"/>
      <c r="AW804" s="588" t="n"/>
      <c r="AX804" s="588" t="n"/>
      <c r="AY804" s="588" t="n"/>
      <c r="AZ804" s="588" t="n"/>
      <c r="BA804" s="588" t="n"/>
      <c r="BB804" s="588" t="n"/>
      <c r="BC804" s="588" t="n"/>
      <c r="BD804" s="588" t="n"/>
      <c r="BE804" s="588" t="n"/>
      <c r="BF804" s="588" t="n"/>
      <c r="BG804" s="588" t="n"/>
      <c r="BH804" s="588" t="n"/>
      <c r="BI804" s="588" t="n"/>
      <c r="BJ804" s="588" t="n"/>
      <c r="BK804" s="588" t="n"/>
      <c r="BL804" s="588" t="n"/>
      <c r="BM804" s="588" t="n"/>
      <c r="BN804" s="588" t="n"/>
      <c r="BO804" s="588" t="n"/>
      <c r="BP804" s="588" t="n"/>
      <c r="BQ804" s="588" t="n"/>
      <c r="BR804" s="588" t="n"/>
      <c r="BS804" s="588" t="n"/>
      <c r="BT804" s="588" t="n"/>
      <c r="BU804" s="588" t="n"/>
      <c r="BV804" s="588" t="n"/>
      <c r="BW804" s="588" t="n"/>
      <c r="BX804" s="588" t="n"/>
      <c r="BY804" s="588" t="n"/>
      <c r="BZ804" s="588" t="n"/>
      <c r="CA804" s="588" t="n"/>
      <c r="CB804" s="588" t="n"/>
      <c r="CC804" s="588" t="n"/>
      <c r="CD804" s="588" t="n"/>
      <c r="CE804" s="588" t="n"/>
      <c r="CF804" s="588" t="n"/>
      <c r="CG804" s="588" t="n"/>
      <c r="CH804" s="588" t="n"/>
      <c r="CI804" s="588" t="n"/>
      <c r="CJ804" s="588" t="n"/>
      <c r="CK804" s="588" t="n"/>
      <c r="CL804" s="588" t="n"/>
      <c r="CM804" s="588" t="n"/>
      <c r="CN804" s="588" t="n"/>
      <c r="CO804" s="588" t="n"/>
      <c r="CP804" s="588" t="n"/>
      <c r="CQ804" s="588" t="n"/>
      <c r="CR804" s="588" t="n"/>
      <c r="CS804" s="588" t="n"/>
      <c r="CT804" s="588" t="n"/>
      <c r="CU804" s="588" t="n"/>
      <c r="CV804" s="588" t="n"/>
      <c r="CW804" s="588" t="n"/>
      <c r="CX804" s="588" t="n"/>
      <c r="CY804" s="588" t="n"/>
      <c r="CZ804" s="588" t="n"/>
      <c r="DA804" s="588" t="n"/>
      <c r="DB804" s="588" t="n"/>
      <c r="DC804" s="588" t="n"/>
      <c r="DD804" s="588" t="n"/>
      <c r="DE804" s="588" t="n"/>
      <c r="DF804" s="588" t="n"/>
      <c r="DG804" s="588" t="n"/>
      <c r="DH804" s="588" t="n"/>
      <c r="DI804" s="588" t="n"/>
      <c r="DJ804" s="588" t="n"/>
      <c r="DK804" s="588" t="n"/>
      <c r="DL804" s="588" t="n"/>
      <c r="DM804" s="588" t="n"/>
      <c r="DN804" s="588" t="n"/>
      <c r="DO804" s="588" t="n"/>
      <c r="DP804" s="588" t="n"/>
      <c r="DQ804" s="588" t="n"/>
      <c r="DR804" s="588" t="n"/>
      <c r="DS804" s="588" t="n"/>
      <c r="DT804" s="588" t="n"/>
      <c r="DU804" s="588" t="n"/>
    </row>
    <row r="805">
      <c r="A805" s="737" t="n"/>
      <c r="B805" s="737" t="n"/>
      <c r="C805" s="737" t="n"/>
      <c r="D805" s="737" t="n"/>
      <c r="E805" s="737" t="n"/>
      <c r="F805" s="737" t="n"/>
      <c r="G805" s="737" t="n"/>
      <c r="H805" s="737" t="n"/>
      <c r="I805" s="737" t="n"/>
      <c r="J805" s="737" t="n"/>
      <c r="K805" s="737" t="n"/>
      <c r="L805" s="737" t="n"/>
      <c r="M805" s="737" t="n"/>
      <c r="N805" s="737" t="n"/>
      <c r="O805" s="737" t="n"/>
      <c r="P805" s="737" t="n"/>
      <c r="Q805" s="737" t="n"/>
      <c r="R805" s="737" t="n"/>
      <c r="S805" s="737" t="n"/>
      <c r="T805" s="737" t="n"/>
      <c r="U805" s="737" t="n"/>
      <c r="V805" s="737" t="n"/>
      <c r="W805" s="737" t="n"/>
      <c r="X805" s="737" t="n"/>
      <c r="Y805" s="737" t="n"/>
      <c r="Z805" s="737" t="n"/>
      <c r="AA805" s="737" t="n"/>
      <c r="AB805" s="737" t="n"/>
      <c r="AC805" s="737" t="n"/>
      <c r="AD805" s="737" t="n"/>
      <c r="AE805" s="737" t="n"/>
      <c r="AF805" s="737" t="n"/>
      <c r="AG805" s="737" t="n"/>
      <c r="AH805" s="737" t="n"/>
      <c r="AI805" s="737" t="n"/>
      <c r="AJ805" s="737" t="n"/>
      <c r="AK805" s="588" t="n"/>
      <c r="AL805" s="588" t="n"/>
      <c r="AM805" s="588" t="n"/>
      <c r="AN805" s="588" t="n"/>
      <c r="AO805" s="588" t="n"/>
      <c r="AP805" s="588" t="n"/>
      <c r="AQ805" s="588" t="n"/>
      <c r="AR805" s="588" t="n"/>
      <c r="AS805" s="588" t="n"/>
      <c r="AT805" s="588" t="n"/>
      <c r="AU805" s="588" t="n"/>
      <c r="AV805" s="588" t="n"/>
      <c r="AW805" s="588" t="n"/>
      <c r="AX805" s="588" t="n"/>
      <c r="AY805" s="588" t="n"/>
      <c r="AZ805" s="588" t="n"/>
      <c r="BA805" s="588" t="n"/>
      <c r="BB805" s="588" t="n"/>
      <c r="BC805" s="588" t="n"/>
      <c r="BD805" s="588" t="n"/>
      <c r="BE805" s="588" t="n"/>
      <c r="BF805" s="588" t="n"/>
      <c r="BG805" s="588" t="n"/>
      <c r="BH805" s="588" t="n"/>
      <c r="BI805" s="588" t="n"/>
      <c r="BJ805" s="588" t="n"/>
      <c r="BK805" s="588" t="n"/>
      <c r="BL805" s="588" t="n"/>
      <c r="BM805" s="588" t="n"/>
      <c r="BN805" s="588" t="n"/>
      <c r="BO805" s="588" t="n"/>
      <c r="BP805" s="588" t="n"/>
      <c r="BQ805" s="588" t="n"/>
      <c r="BR805" s="588" t="n"/>
      <c r="BS805" s="588" t="n"/>
      <c r="BT805" s="588" t="n"/>
      <c r="BU805" s="588" t="n"/>
      <c r="BV805" s="588" t="n"/>
      <c r="BW805" s="588" t="n"/>
      <c r="BX805" s="588" t="n"/>
      <c r="BY805" s="588" t="n"/>
      <c r="BZ805" s="588" t="n"/>
      <c r="CA805" s="588" t="n"/>
      <c r="CB805" s="588" t="n"/>
      <c r="CC805" s="588" t="n"/>
      <c r="CD805" s="588" t="n"/>
      <c r="CE805" s="588" t="n"/>
      <c r="CF805" s="588" t="n"/>
      <c r="CG805" s="588" t="n"/>
      <c r="CH805" s="588" t="n"/>
      <c r="CI805" s="588" t="n"/>
      <c r="CJ805" s="588" t="n"/>
      <c r="CK805" s="588" t="n"/>
      <c r="CL805" s="588" t="n"/>
      <c r="CM805" s="588" t="n"/>
      <c r="CN805" s="588" t="n"/>
      <c r="CO805" s="588" t="n"/>
      <c r="CP805" s="588" t="n"/>
      <c r="CQ805" s="588" t="n"/>
      <c r="CR805" s="588" t="n"/>
      <c r="CS805" s="588" t="n"/>
      <c r="CT805" s="588" t="n"/>
      <c r="CU805" s="588" t="n"/>
      <c r="CV805" s="588" t="n"/>
      <c r="CW805" s="588" t="n"/>
      <c r="CX805" s="588" t="n"/>
      <c r="CY805" s="588" t="n"/>
      <c r="CZ805" s="588" t="n"/>
      <c r="DA805" s="588" t="n"/>
      <c r="DB805" s="588" t="n"/>
      <c r="DC805" s="588" t="n"/>
      <c r="DD805" s="588" t="n"/>
      <c r="DE805" s="588" t="n"/>
      <c r="DF805" s="588" t="n"/>
      <c r="DG805" s="588" t="n"/>
      <c r="DH805" s="588" t="n"/>
      <c r="DI805" s="588" t="n"/>
      <c r="DJ805" s="588" t="n"/>
      <c r="DK805" s="588" t="n"/>
      <c r="DL805" s="588" t="n"/>
      <c r="DM805" s="588" t="n"/>
      <c r="DN805" s="588" t="n"/>
      <c r="DO805" s="588" t="n"/>
      <c r="DP805" s="588" t="n"/>
      <c r="DQ805" s="588" t="n"/>
      <c r="DR805" s="588" t="n"/>
      <c r="DS805" s="588" t="n"/>
      <c r="DT805" s="588" t="n"/>
      <c r="DU805" s="588" t="n"/>
    </row>
    <row r="806">
      <c r="A806" s="737" t="n"/>
      <c r="B806" s="737" t="n"/>
      <c r="C806" s="737" t="n"/>
      <c r="D806" s="737" t="n"/>
      <c r="E806" s="737" t="n"/>
      <c r="F806" s="737" t="n"/>
      <c r="G806" s="737" t="n"/>
      <c r="H806" s="737" t="n"/>
      <c r="I806" s="737" t="n"/>
      <c r="J806" s="737" t="n"/>
      <c r="K806" s="737" t="n"/>
      <c r="L806" s="737" t="n"/>
      <c r="M806" s="737" t="n"/>
      <c r="N806" s="737" t="n"/>
      <c r="O806" s="737" t="n"/>
      <c r="P806" s="737" t="n"/>
      <c r="Q806" s="737" t="n"/>
      <c r="R806" s="737" t="n"/>
      <c r="S806" s="737" t="n"/>
      <c r="T806" s="737" t="n"/>
      <c r="U806" s="737" t="n"/>
      <c r="V806" s="737" t="n"/>
      <c r="W806" s="737" t="n"/>
      <c r="X806" s="737" t="n"/>
      <c r="Y806" s="737" t="n"/>
      <c r="Z806" s="737" t="n"/>
      <c r="AA806" s="737" t="n"/>
      <c r="AB806" s="737" t="n"/>
      <c r="AC806" s="737" t="n"/>
      <c r="AD806" s="737" t="n"/>
      <c r="AE806" s="737" t="n"/>
      <c r="AF806" s="737" t="n"/>
      <c r="AG806" s="737" t="n"/>
      <c r="AH806" s="737" t="n"/>
      <c r="AI806" s="737" t="n"/>
      <c r="AJ806" s="737" t="n"/>
      <c r="AK806" s="588" t="n"/>
      <c r="AL806" s="588" t="n"/>
      <c r="AM806" s="588" t="n"/>
      <c r="AN806" s="588" t="n"/>
      <c r="AO806" s="588" t="n"/>
      <c r="AP806" s="588" t="n"/>
      <c r="AQ806" s="588" t="n"/>
      <c r="AR806" s="588" t="n"/>
      <c r="AS806" s="588" t="n"/>
      <c r="AT806" s="588" t="n"/>
      <c r="AU806" s="588" t="n"/>
      <c r="AV806" s="588" t="n"/>
      <c r="AW806" s="588" t="n"/>
      <c r="AX806" s="588" t="n"/>
      <c r="AY806" s="588" t="n"/>
      <c r="AZ806" s="588" t="n"/>
      <c r="BA806" s="588" t="n"/>
      <c r="BB806" s="588" t="n"/>
      <c r="BC806" s="588" t="n"/>
      <c r="BD806" s="588" t="n"/>
      <c r="BE806" s="588" t="n"/>
      <c r="BF806" s="588" t="n"/>
      <c r="BG806" s="588" t="n"/>
      <c r="BH806" s="588" t="n"/>
      <c r="BI806" s="588" t="n"/>
      <c r="BJ806" s="588" t="n"/>
      <c r="BK806" s="588" t="n"/>
      <c r="BL806" s="588" t="n"/>
      <c r="BM806" s="588" t="n"/>
      <c r="BN806" s="588" t="n"/>
      <c r="BO806" s="588" t="n"/>
      <c r="BP806" s="588" t="n"/>
      <c r="BQ806" s="588" t="n"/>
      <c r="BR806" s="588" t="n"/>
      <c r="BS806" s="588" t="n"/>
      <c r="BT806" s="588" t="n"/>
      <c r="BU806" s="588" t="n"/>
      <c r="BV806" s="588" t="n"/>
      <c r="BW806" s="588" t="n"/>
      <c r="BX806" s="588" t="n"/>
      <c r="BY806" s="588" t="n"/>
      <c r="BZ806" s="588" t="n"/>
      <c r="CA806" s="588" t="n"/>
      <c r="CB806" s="588" t="n"/>
      <c r="CC806" s="588" t="n"/>
      <c r="CD806" s="588" t="n"/>
      <c r="CE806" s="588" t="n"/>
      <c r="CF806" s="588" t="n"/>
      <c r="CG806" s="588" t="n"/>
      <c r="CH806" s="588" t="n"/>
      <c r="CI806" s="588" t="n"/>
      <c r="CJ806" s="588" t="n"/>
      <c r="CK806" s="588" t="n"/>
      <c r="CL806" s="588" t="n"/>
      <c r="CM806" s="588" t="n"/>
      <c r="CN806" s="588" t="n"/>
      <c r="CO806" s="588" t="n"/>
      <c r="CP806" s="588" t="n"/>
      <c r="CQ806" s="588" t="n"/>
      <c r="CR806" s="588" t="n"/>
      <c r="CS806" s="588" t="n"/>
      <c r="CT806" s="588" t="n"/>
      <c r="CU806" s="588" t="n"/>
      <c r="CV806" s="588" t="n"/>
      <c r="CW806" s="588" t="n"/>
      <c r="CX806" s="588" t="n"/>
      <c r="CY806" s="588" t="n"/>
      <c r="CZ806" s="588" t="n"/>
      <c r="DA806" s="588" t="n"/>
      <c r="DB806" s="588" t="n"/>
      <c r="DC806" s="588" t="n"/>
      <c r="DD806" s="588" t="n"/>
      <c r="DE806" s="588" t="n"/>
      <c r="DF806" s="588" t="n"/>
      <c r="DG806" s="588" t="n"/>
      <c r="DH806" s="588" t="n"/>
      <c r="DI806" s="588" t="n"/>
      <c r="DJ806" s="588" t="n"/>
      <c r="DK806" s="588" t="n"/>
      <c r="DL806" s="588" t="n"/>
      <c r="DM806" s="588" t="n"/>
      <c r="DN806" s="588" t="n"/>
      <c r="DO806" s="588" t="n"/>
      <c r="DP806" s="588" t="n"/>
      <c r="DQ806" s="588" t="n"/>
      <c r="DR806" s="588" t="n"/>
      <c r="DS806" s="588" t="n"/>
      <c r="DT806" s="588" t="n"/>
      <c r="DU806" s="588" t="n"/>
    </row>
    <row r="807">
      <c r="A807" s="737" t="n"/>
      <c r="B807" s="737" t="n"/>
      <c r="C807" s="737" t="n"/>
      <c r="D807" s="737" t="n"/>
      <c r="E807" s="737" t="n"/>
      <c r="F807" s="737" t="n"/>
      <c r="G807" s="737" t="n"/>
      <c r="H807" s="737" t="n"/>
      <c r="I807" s="737" t="n"/>
      <c r="J807" s="737" t="n"/>
      <c r="K807" s="737" t="n"/>
      <c r="L807" s="737" t="n"/>
      <c r="M807" s="737" t="n"/>
      <c r="N807" s="737" t="n"/>
      <c r="O807" s="737" t="n"/>
      <c r="P807" s="737" t="n"/>
      <c r="Q807" s="737" t="n"/>
      <c r="R807" s="737" t="n"/>
      <c r="S807" s="737" t="n"/>
      <c r="T807" s="737" t="n"/>
      <c r="U807" s="737" t="n"/>
      <c r="V807" s="737" t="n"/>
      <c r="W807" s="737" t="n"/>
      <c r="X807" s="737" t="n"/>
      <c r="Y807" s="737" t="n"/>
      <c r="Z807" s="737" t="n"/>
      <c r="AA807" s="737" t="n"/>
      <c r="AB807" s="737" t="n"/>
      <c r="AC807" s="737" t="n"/>
      <c r="AD807" s="737" t="n"/>
      <c r="AE807" s="737" t="n"/>
      <c r="AF807" s="737" t="n"/>
      <c r="AG807" s="737" t="n"/>
      <c r="AH807" s="737" t="n"/>
      <c r="AI807" s="737" t="n"/>
      <c r="AJ807" s="737" t="n"/>
      <c r="AK807" s="588" t="n"/>
      <c r="AL807" s="588" t="n"/>
      <c r="AM807" s="588" t="n"/>
      <c r="AN807" s="588" t="n"/>
      <c r="AO807" s="588" t="n"/>
      <c r="AP807" s="588" t="n"/>
      <c r="AQ807" s="588" t="n"/>
      <c r="AR807" s="588" t="n"/>
      <c r="AS807" s="588" t="n"/>
      <c r="AT807" s="588" t="n"/>
      <c r="AU807" s="588" t="n"/>
      <c r="AV807" s="588" t="n"/>
      <c r="AW807" s="588" t="n"/>
      <c r="AX807" s="588" t="n"/>
      <c r="AY807" s="588" t="n"/>
      <c r="AZ807" s="588" t="n"/>
      <c r="BA807" s="588" t="n"/>
      <c r="BB807" s="588" t="n"/>
      <c r="BC807" s="588" t="n"/>
      <c r="BD807" s="588" t="n"/>
      <c r="BE807" s="588" t="n"/>
      <c r="BF807" s="588" t="n"/>
      <c r="BG807" s="588" t="n"/>
      <c r="BH807" s="588" t="n"/>
      <c r="BI807" s="588" t="n"/>
      <c r="BJ807" s="588" t="n"/>
      <c r="BK807" s="588" t="n"/>
      <c r="BL807" s="588" t="n"/>
      <c r="BM807" s="588" t="n"/>
      <c r="BN807" s="588" t="n"/>
      <c r="BO807" s="588" t="n"/>
      <c r="BP807" s="588" t="n"/>
      <c r="BQ807" s="588" t="n"/>
      <c r="BR807" s="588" t="n"/>
      <c r="BS807" s="588" t="n"/>
      <c r="BT807" s="588" t="n"/>
      <c r="BU807" s="588" t="n"/>
      <c r="BV807" s="588" t="n"/>
      <c r="BW807" s="588" t="n"/>
      <c r="BX807" s="588" t="n"/>
      <c r="BY807" s="588" t="n"/>
      <c r="BZ807" s="588" t="n"/>
      <c r="CA807" s="588" t="n"/>
      <c r="CB807" s="588" t="n"/>
      <c r="CC807" s="588" t="n"/>
      <c r="CD807" s="588" t="n"/>
      <c r="CE807" s="588" t="n"/>
      <c r="CF807" s="588" t="n"/>
      <c r="CG807" s="588" t="n"/>
      <c r="CH807" s="588" t="n"/>
      <c r="CI807" s="588" t="n"/>
      <c r="CJ807" s="588" t="n"/>
      <c r="CK807" s="588" t="n"/>
      <c r="CL807" s="588" t="n"/>
      <c r="CM807" s="588" t="n"/>
      <c r="CN807" s="588" t="n"/>
      <c r="CO807" s="588" t="n"/>
      <c r="CP807" s="588" t="n"/>
      <c r="CQ807" s="588" t="n"/>
      <c r="CR807" s="588" t="n"/>
      <c r="CS807" s="588" t="n"/>
      <c r="CT807" s="588" t="n"/>
      <c r="CU807" s="588" t="n"/>
      <c r="CV807" s="588" t="n"/>
      <c r="CW807" s="588" t="n"/>
      <c r="CX807" s="588" t="n"/>
      <c r="CY807" s="588" t="n"/>
      <c r="CZ807" s="588" t="n"/>
      <c r="DA807" s="588" t="n"/>
      <c r="DB807" s="588" t="n"/>
      <c r="DC807" s="588" t="n"/>
      <c r="DD807" s="588" t="n"/>
      <c r="DE807" s="588" t="n"/>
      <c r="DF807" s="588" t="n"/>
      <c r="DG807" s="588" t="n"/>
      <c r="DH807" s="588" t="n"/>
      <c r="DI807" s="588" t="n"/>
      <c r="DJ807" s="588" t="n"/>
      <c r="DK807" s="588" t="n"/>
      <c r="DL807" s="588" t="n"/>
      <c r="DM807" s="588" t="n"/>
      <c r="DN807" s="588" t="n"/>
      <c r="DO807" s="588" t="n"/>
      <c r="DP807" s="588" t="n"/>
      <c r="DQ807" s="588" t="n"/>
      <c r="DR807" s="588" t="n"/>
      <c r="DS807" s="588" t="n"/>
      <c r="DT807" s="588" t="n"/>
      <c r="DU807" s="588" t="n"/>
    </row>
    <row r="808">
      <c r="A808" s="737" t="n"/>
      <c r="B808" s="737" t="n"/>
      <c r="C808" s="737" t="n"/>
      <c r="D808" s="737" t="n"/>
      <c r="E808" s="737" t="n"/>
      <c r="F808" s="737" t="n"/>
      <c r="G808" s="737" t="n"/>
      <c r="H808" s="737" t="n"/>
      <c r="I808" s="737" t="n"/>
      <c r="J808" s="737" t="n"/>
      <c r="K808" s="737" t="n"/>
      <c r="L808" s="737" t="n"/>
      <c r="M808" s="737" t="n"/>
      <c r="N808" s="737" t="n"/>
      <c r="O808" s="737" t="n"/>
      <c r="P808" s="737" t="n"/>
      <c r="Q808" s="737" t="n"/>
      <c r="R808" s="737" t="n"/>
      <c r="S808" s="737" t="n"/>
      <c r="T808" s="737" t="n"/>
      <c r="U808" s="737" t="n"/>
      <c r="V808" s="737" t="n"/>
      <c r="W808" s="737" t="n"/>
      <c r="X808" s="737" t="n"/>
      <c r="Y808" s="737" t="n"/>
      <c r="Z808" s="737" t="n"/>
      <c r="AA808" s="737" t="n"/>
      <c r="AB808" s="737" t="n"/>
      <c r="AC808" s="737" t="n"/>
      <c r="AD808" s="737" t="n"/>
      <c r="AE808" s="737" t="n"/>
      <c r="AF808" s="737" t="n"/>
      <c r="AG808" s="737" t="n"/>
      <c r="AH808" s="737" t="n"/>
      <c r="AI808" s="737" t="n"/>
      <c r="AJ808" s="737" t="n"/>
      <c r="AK808" s="588" t="n"/>
      <c r="AL808" s="588" t="n"/>
      <c r="AM808" s="588" t="n"/>
      <c r="AN808" s="588" t="n"/>
      <c r="AO808" s="588" t="n"/>
      <c r="AP808" s="588" t="n"/>
      <c r="AQ808" s="588" t="n"/>
      <c r="AR808" s="588" t="n"/>
      <c r="AS808" s="588" t="n"/>
      <c r="AT808" s="588" t="n"/>
      <c r="AU808" s="588" t="n"/>
      <c r="AV808" s="588" t="n"/>
      <c r="AW808" s="588" t="n"/>
      <c r="AX808" s="588" t="n"/>
      <c r="AY808" s="588" t="n"/>
      <c r="AZ808" s="588" t="n"/>
      <c r="BA808" s="588" t="n"/>
      <c r="BB808" s="588" t="n"/>
      <c r="BC808" s="588" t="n"/>
      <c r="BD808" s="588" t="n"/>
      <c r="BE808" s="588" t="n"/>
      <c r="BF808" s="588" t="n"/>
      <c r="BG808" s="588" t="n"/>
      <c r="BH808" s="588" t="n"/>
      <c r="BI808" s="588" t="n"/>
      <c r="BJ808" s="588" t="n"/>
      <c r="BK808" s="588" t="n"/>
      <c r="BL808" s="588" t="n"/>
      <c r="BM808" s="588" t="n"/>
      <c r="BN808" s="588" t="n"/>
      <c r="BO808" s="588" t="n"/>
      <c r="BP808" s="588" t="n"/>
      <c r="BQ808" s="588" t="n"/>
      <c r="BR808" s="588" t="n"/>
      <c r="BS808" s="588" t="n"/>
      <c r="BT808" s="588" t="n"/>
      <c r="BU808" s="588" t="n"/>
      <c r="BV808" s="588" t="n"/>
      <c r="BW808" s="588" t="n"/>
      <c r="BX808" s="588" t="n"/>
      <c r="BY808" s="588" t="n"/>
      <c r="BZ808" s="588" t="n"/>
      <c r="CA808" s="588" t="n"/>
      <c r="CB808" s="588" t="n"/>
      <c r="CC808" s="588" t="n"/>
      <c r="CD808" s="588" t="n"/>
      <c r="CE808" s="588" t="n"/>
      <c r="CF808" s="588" t="n"/>
      <c r="CG808" s="588" t="n"/>
      <c r="CH808" s="588" t="n"/>
      <c r="CI808" s="588" t="n"/>
      <c r="CJ808" s="588" t="n"/>
      <c r="CK808" s="588" t="n"/>
      <c r="CL808" s="588" t="n"/>
      <c r="CM808" s="588" t="n"/>
      <c r="CN808" s="588" t="n"/>
      <c r="CO808" s="588" t="n"/>
      <c r="CP808" s="588" t="n"/>
      <c r="CQ808" s="588" t="n"/>
      <c r="CR808" s="588" t="n"/>
      <c r="CS808" s="588" t="n"/>
      <c r="CT808" s="588" t="n"/>
      <c r="CU808" s="588" t="n"/>
      <c r="CV808" s="588" t="n"/>
      <c r="CW808" s="588" t="n"/>
      <c r="CX808" s="588" t="n"/>
      <c r="CY808" s="588" t="n"/>
      <c r="CZ808" s="588" t="n"/>
      <c r="DA808" s="588" t="n"/>
      <c r="DB808" s="588" t="n"/>
      <c r="DC808" s="588" t="n"/>
      <c r="DD808" s="588" t="n"/>
      <c r="DE808" s="588" t="n"/>
      <c r="DF808" s="588" t="n"/>
      <c r="DG808" s="588" t="n"/>
      <c r="DH808" s="588" t="n"/>
      <c r="DI808" s="588" t="n"/>
      <c r="DJ808" s="588" t="n"/>
      <c r="DK808" s="588" t="n"/>
      <c r="DL808" s="588" t="n"/>
      <c r="DM808" s="588" t="n"/>
      <c r="DN808" s="588" t="n"/>
      <c r="DO808" s="588" t="n"/>
      <c r="DP808" s="588" t="n"/>
      <c r="DQ808" s="588" t="n"/>
      <c r="DR808" s="588" t="n"/>
      <c r="DS808" s="588" t="n"/>
      <c r="DT808" s="588" t="n"/>
      <c r="DU808" s="588" t="n"/>
    </row>
    <row r="809">
      <c r="A809" s="737" t="n"/>
      <c r="B809" s="737" t="n"/>
      <c r="C809" s="737" t="n"/>
      <c r="D809" s="737" t="n"/>
      <c r="E809" s="737" t="n"/>
      <c r="F809" s="737" t="n"/>
      <c r="G809" s="737" t="n"/>
      <c r="H809" s="737" t="n"/>
      <c r="I809" s="737" t="n"/>
      <c r="J809" s="737" t="n"/>
      <c r="K809" s="737" t="n"/>
      <c r="L809" s="737" t="n"/>
      <c r="M809" s="737" t="n"/>
      <c r="N809" s="737" t="n"/>
      <c r="O809" s="737" t="n"/>
      <c r="P809" s="737" t="n"/>
      <c r="Q809" s="737" t="n"/>
      <c r="R809" s="737" t="n"/>
      <c r="S809" s="737" t="n"/>
      <c r="T809" s="737" t="n"/>
      <c r="U809" s="737" t="n"/>
      <c r="V809" s="737" t="n"/>
      <c r="W809" s="737" t="n"/>
      <c r="X809" s="737" t="n"/>
      <c r="Y809" s="737" t="n"/>
      <c r="Z809" s="737" t="n"/>
      <c r="AA809" s="737" t="n"/>
      <c r="AB809" s="737" t="n"/>
      <c r="AC809" s="737" t="n"/>
      <c r="AD809" s="737" t="n"/>
      <c r="AE809" s="737" t="n"/>
      <c r="AF809" s="737" t="n"/>
      <c r="AG809" s="737" t="n"/>
      <c r="AH809" s="737" t="n"/>
      <c r="AI809" s="737" t="n"/>
      <c r="AJ809" s="737" t="n"/>
      <c r="AK809" s="588" t="n"/>
      <c r="AL809" s="588" t="n"/>
      <c r="AM809" s="588" t="n"/>
      <c r="AN809" s="588" t="n"/>
      <c r="AO809" s="588" t="n"/>
      <c r="AP809" s="588" t="n"/>
      <c r="AQ809" s="588" t="n"/>
      <c r="AR809" s="588" t="n"/>
      <c r="AS809" s="588" t="n"/>
      <c r="AT809" s="588" t="n"/>
      <c r="AU809" s="588" t="n"/>
      <c r="AV809" s="588" t="n"/>
      <c r="AW809" s="588" t="n"/>
      <c r="AX809" s="588" t="n"/>
      <c r="AY809" s="588" t="n"/>
      <c r="AZ809" s="588" t="n"/>
      <c r="BA809" s="588" t="n"/>
      <c r="BB809" s="588" t="n"/>
      <c r="BC809" s="588" t="n"/>
      <c r="BD809" s="588" t="n"/>
      <c r="BE809" s="588" t="n"/>
      <c r="BF809" s="588" t="n"/>
      <c r="BG809" s="588" t="n"/>
      <c r="BH809" s="588" t="n"/>
      <c r="BI809" s="588" t="n"/>
      <c r="BJ809" s="588" t="n"/>
      <c r="BK809" s="588" t="n"/>
      <c r="BL809" s="588" t="n"/>
      <c r="BM809" s="588" t="n"/>
      <c r="BN809" s="588" t="n"/>
      <c r="BO809" s="588" t="n"/>
      <c r="BP809" s="588" t="n"/>
      <c r="BQ809" s="588" t="n"/>
      <c r="BR809" s="588" t="n"/>
      <c r="BS809" s="588" t="n"/>
      <c r="BT809" s="588" t="n"/>
      <c r="BU809" s="588" t="n"/>
      <c r="BV809" s="588" t="n"/>
      <c r="BW809" s="588" t="n"/>
      <c r="BX809" s="588" t="n"/>
      <c r="BY809" s="588" t="n"/>
      <c r="BZ809" s="588" t="n"/>
      <c r="CA809" s="588" t="n"/>
      <c r="CB809" s="588" t="n"/>
      <c r="CC809" s="588" t="n"/>
      <c r="CD809" s="588" t="n"/>
      <c r="CE809" s="588" t="n"/>
      <c r="CF809" s="588" t="n"/>
      <c r="CG809" s="588" t="n"/>
      <c r="CH809" s="588" t="n"/>
      <c r="CI809" s="588" t="n"/>
      <c r="CJ809" s="588" t="n"/>
      <c r="CK809" s="588" t="n"/>
      <c r="CL809" s="588" t="n"/>
      <c r="CM809" s="588" t="n"/>
      <c r="CN809" s="588" t="n"/>
      <c r="CO809" s="588" t="n"/>
      <c r="CP809" s="588" t="n"/>
      <c r="CQ809" s="588" t="n"/>
      <c r="CR809" s="588" t="n"/>
      <c r="CS809" s="588" t="n"/>
      <c r="CT809" s="588" t="n"/>
      <c r="CU809" s="588" t="n"/>
      <c r="CV809" s="588" t="n"/>
      <c r="CW809" s="588" t="n"/>
      <c r="CX809" s="588" t="n"/>
      <c r="CY809" s="588" t="n"/>
      <c r="CZ809" s="588" t="n"/>
      <c r="DA809" s="588" t="n"/>
      <c r="DB809" s="588" t="n"/>
      <c r="DC809" s="588" t="n"/>
      <c r="DD809" s="588" t="n"/>
      <c r="DE809" s="588" t="n"/>
      <c r="DF809" s="588" t="n"/>
      <c r="DG809" s="588" t="n"/>
      <c r="DH809" s="588" t="n"/>
      <c r="DI809" s="588" t="n"/>
      <c r="DJ809" s="588" t="n"/>
      <c r="DK809" s="588" t="n"/>
      <c r="DL809" s="588" t="n"/>
      <c r="DM809" s="588" t="n"/>
      <c r="DN809" s="588" t="n"/>
      <c r="DO809" s="588" t="n"/>
      <c r="DP809" s="588" t="n"/>
      <c r="DQ809" s="588" t="n"/>
      <c r="DR809" s="588" t="n"/>
      <c r="DS809" s="588" t="n"/>
      <c r="DT809" s="588" t="n"/>
      <c r="DU809" s="588" t="n"/>
    </row>
    <row r="810">
      <c r="A810" s="737" t="n"/>
      <c r="B810" s="737" t="n"/>
      <c r="C810" s="737" t="n"/>
      <c r="D810" s="737" t="n"/>
      <c r="E810" s="737" t="n"/>
      <c r="F810" s="737" t="n"/>
      <c r="G810" s="737" t="n"/>
      <c r="H810" s="737" t="n"/>
      <c r="I810" s="737" t="n"/>
      <c r="J810" s="737" t="n"/>
      <c r="K810" s="737" t="n"/>
      <c r="L810" s="737" t="n"/>
      <c r="M810" s="737" t="n"/>
      <c r="N810" s="737" t="n"/>
      <c r="O810" s="737" t="n"/>
      <c r="P810" s="737" t="n"/>
      <c r="Q810" s="737" t="n"/>
      <c r="R810" s="737" t="n"/>
      <c r="S810" s="737" t="n"/>
      <c r="T810" s="737" t="n"/>
      <c r="U810" s="737" t="n"/>
      <c r="V810" s="737" t="n"/>
      <c r="W810" s="737" t="n"/>
      <c r="X810" s="737" t="n"/>
      <c r="Y810" s="737" t="n"/>
      <c r="Z810" s="737" t="n"/>
      <c r="AA810" s="737" t="n"/>
      <c r="AB810" s="737" t="n"/>
      <c r="AC810" s="737" t="n"/>
      <c r="AD810" s="737" t="n"/>
      <c r="AE810" s="737" t="n"/>
      <c r="AF810" s="737" t="n"/>
      <c r="AG810" s="737" t="n"/>
      <c r="AH810" s="737" t="n"/>
      <c r="AI810" s="737" t="n"/>
      <c r="AJ810" s="737" t="n"/>
      <c r="AK810" s="588" t="n"/>
      <c r="AL810" s="588" t="n"/>
      <c r="AM810" s="588" t="n"/>
      <c r="AN810" s="588" t="n"/>
      <c r="AO810" s="588" t="n"/>
      <c r="AP810" s="588" t="n"/>
      <c r="AQ810" s="588" t="n"/>
      <c r="AR810" s="588" t="n"/>
      <c r="AS810" s="588" t="n"/>
      <c r="AT810" s="588" t="n"/>
      <c r="AU810" s="588" t="n"/>
      <c r="AV810" s="588" t="n"/>
      <c r="AW810" s="588" t="n"/>
      <c r="AX810" s="588" t="n"/>
      <c r="AY810" s="588" t="n"/>
      <c r="AZ810" s="588" t="n"/>
      <c r="BA810" s="588" t="n"/>
      <c r="BB810" s="588" t="n"/>
      <c r="BC810" s="588" t="n"/>
      <c r="BD810" s="588" t="n"/>
      <c r="BE810" s="588" t="n"/>
      <c r="BF810" s="588" t="n"/>
      <c r="BG810" s="588" t="n"/>
      <c r="BH810" s="588" t="n"/>
      <c r="BI810" s="588" t="n"/>
      <c r="BJ810" s="588" t="n"/>
      <c r="BK810" s="588" t="n"/>
      <c r="BL810" s="588" t="n"/>
      <c r="BM810" s="588" t="n"/>
      <c r="BN810" s="588" t="n"/>
      <c r="BO810" s="588" t="n"/>
      <c r="BP810" s="588" t="n"/>
      <c r="BQ810" s="588" t="n"/>
      <c r="BR810" s="588" t="n"/>
      <c r="BS810" s="588" t="n"/>
      <c r="BT810" s="588" t="n"/>
      <c r="BU810" s="588" t="n"/>
      <c r="BV810" s="588" t="n"/>
      <c r="BW810" s="588" t="n"/>
      <c r="BX810" s="588" t="n"/>
      <c r="BY810" s="588" t="n"/>
      <c r="BZ810" s="588" t="n"/>
      <c r="CA810" s="588" t="n"/>
      <c r="CB810" s="588" t="n"/>
      <c r="CC810" s="588" t="n"/>
      <c r="CD810" s="588" t="n"/>
      <c r="CE810" s="588" t="n"/>
      <c r="CF810" s="588" t="n"/>
      <c r="CG810" s="588" t="n"/>
      <c r="CH810" s="588" t="n"/>
      <c r="CI810" s="588" t="n"/>
      <c r="CJ810" s="588" t="n"/>
      <c r="CK810" s="588" t="n"/>
      <c r="CL810" s="588" t="n"/>
      <c r="CM810" s="588" t="n"/>
      <c r="CN810" s="588" t="n"/>
      <c r="CO810" s="588" t="n"/>
      <c r="CP810" s="588" t="n"/>
      <c r="CQ810" s="588" t="n"/>
      <c r="CR810" s="588" t="n"/>
      <c r="CS810" s="588" t="n"/>
      <c r="CT810" s="588" t="n"/>
      <c r="CU810" s="588" t="n"/>
      <c r="CV810" s="588" t="n"/>
      <c r="CW810" s="588" t="n"/>
      <c r="CX810" s="588" t="n"/>
      <c r="CY810" s="588" t="n"/>
      <c r="CZ810" s="588" t="n"/>
      <c r="DA810" s="588" t="n"/>
      <c r="DB810" s="588" t="n"/>
      <c r="DC810" s="588" t="n"/>
      <c r="DD810" s="588" t="n"/>
      <c r="DE810" s="588" t="n"/>
      <c r="DF810" s="588" t="n"/>
      <c r="DG810" s="588" t="n"/>
      <c r="DH810" s="588" t="n"/>
      <c r="DI810" s="588" t="n"/>
      <c r="DJ810" s="588" t="n"/>
      <c r="DK810" s="588" t="n"/>
      <c r="DL810" s="588" t="n"/>
      <c r="DM810" s="588" t="n"/>
      <c r="DN810" s="588" t="n"/>
      <c r="DO810" s="588" t="n"/>
      <c r="DP810" s="588" t="n"/>
      <c r="DQ810" s="588" t="n"/>
      <c r="DR810" s="588" t="n"/>
      <c r="DS810" s="588" t="n"/>
      <c r="DT810" s="588" t="n"/>
      <c r="DU810" s="588" t="n"/>
    </row>
    <row r="811">
      <c r="A811" s="737" t="n"/>
      <c r="B811" s="737" t="n"/>
      <c r="C811" s="737" t="n"/>
      <c r="D811" s="737" t="n"/>
      <c r="E811" s="737" t="n"/>
      <c r="F811" s="737" t="n"/>
      <c r="G811" s="737" t="n"/>
      <c r="H811" s="737" t="n"/>
      <c r="I811" s="737" t="n"/>
      <c r="J811" s="737" t="n"/>
      <c r="K811" s="737" t="n"/>
      <c r="L811" s="737" t="n"/>
      <c r="M811" s="737" t="n"/>
      <c r="N811" s="737" t="n"/>
      <c r="O811" s="737" t="n"/>
      <c r="P811" s="737" t="n"/>
      <c r="Q811" s="737" t="n"/>
      <c r="R811" s="737" t="n"/>
      <c r="S811" s="737" t="n"/>
      <c r="T811" s="737" t="n"/>
      <c r="U811" s="737" t="n"/>
      <c r="V811" s="737" t="n"/>
      <c r="W811" s="737" t="n"/>
      <c r="X811" s="737" t="n"/>
      <c r="Y811" s="737" t="n"/>
      <c r="Z811" s="737" t="n"/>
      <c r="AA811" s="737" t="n"/>
      <c r="AB811" s="737" t="n"/>
      <c r="AC811" s="737" t="n"/>
      <c r="AD811" s="737" t="n"/>
      <c r="AE811" s="737" t="n"/>
      <c r="AF811" s="737" t="n"/>
      <c r="AG811" s="737" t="n"/>
      <c r="AH811" s="737" t="n"/>
      <c r="AI811" s="737" t="n"/>
      <c r="AJ811" s="737" t="n"/>
      <c r="AK811" s="588" t="n"/>
      <c r="AL811" s="588" t="n"/>
      <c r="AM811" s="588" t="n"/>
      <c r="AN811" s="588" t="n"/>
      <c r="AO811" s="588" t="n"/>
      <c r="AP811" s="588" t="n"/>
      <c r="AQ811" s="588" t="n"/>
      <c r="AR811" s="588" t="n"/>
      <c r="AS811" s="588" t="n"/>
      <c r="AT811" s="588" t="n"/>
      <c r="AU811" s="588" t="n"/>
      <c r="AV811" s="588" t="n"/>
      <c r="AW811" s="588" t="n"/>
      <c r="AX811" s="588" t="n"/>
      <c r="AY811" s="588" t="n"/>
      <c r="AZ811" s="588" t="n"/>
      <c r="BA811" s="588" t="n"/>
      <c r="BB811" s="588" t="n"/>
      <c r="BC811" s="588" t="n"/>
      <c r="BD811" s="588" t="n"/>
      <c r="BE811" s="588" t="n"/>
      <c r="BF811" s="588" t="n"/>
      <c r="BG811" s="588" t="n"/>
      <c r="BH811" s="588" t="n"/>
      <c r="BI811" s="588" t="n"/>
      <c r="BJ811" s="588" t="n"/>
      <c r="BK811" s="588" t="n"/>
      <c r="BL811" s="588" t="n"/>
      <c r="BM811" s="588" t="n"/>
      <c r="BN811" s="588" t="n"/>
      <c r="BO811" s="588" t="n"/>
      <c r="BP811" s="588" t="n"/>
      <c r="BQ811" s="588" t="n"/>
      <c r="BR811" s="588" t="n"/>
      <c r="BS811" s="588" t="n"/>
      <c r="BT811" s="588" t="n"/>
      <c r="BU811" s="588" t="n"/>
      <c r="BV811" s="588" t="n"/>
      <c r="BW811" s="588" t="n"/>
      <c r="BX811" s="588" t="n"/>
      <c r="BY811" s="588" t="n"/>
      <c r="BZ811" s="588" t="n"/>
      <c r="CA811" s="588" t="n"/>
      <c r="CB811" s="588" t="n"/>
      <c r="CC811" s="588" t="n"/>
      <c r="CD811" s="588" t="n"/>
      <c r="CE811" s="588" t="n"/>
      <c r="CF811" s="588" t="n"/>
      <c r="CG811" s="588" t="n"/>
      <c r="CH811" s="588" t="n"/>
      <c r="CI811" s="588" t="n"/>
      <c r="CJ811" s="588" t="n"/>
      <c r="CK811" s="588" t="n"/>
      <c r="CL811" s="588" t="n"/>
      <c r="CM811" s="588" t="n"/>
      <c r="CN811" s="588" t="n"/>
      <c r="CO811" s="588" t="n"/>
      <c r="CP811" s="588" t="n"/>
      <c r="CQ811" s="588" t="n"/>
      <c r="CR811" s="588" t="n"/>
      <c r="CS811" s="588" t="n"/>
      <c r="CT811" s="588" t="n"/>
      <c r="CU811" s="588" t="n"/>
      <c r="CV811" s="588" t="n"/>
      <c r="CW811" s="588" t="n"/>
      <c r="CX811" s="588" t="n"/>
      <c r="CY811" s="588" t="n"/>
      <c r="CZ811" s="588" t="n"/>
      <c r="DA811" s="588" t="n"/>
      <c r="DB811" s="588" t="n"/>
      <c r="DC811" s="588" t="n"/>
      <c r="DD811" s="588" t="n"/>
      <c r="DE811" s="588" t="n"/>
      <c r="DF811" s="588" t="n"/>
      <c r="DG811" s="588" t="n"/>
      <c r="DH811" s="588" t="n"/>
      <c r="DI811" s="588" t="n"/>
      <c r="DJ811" s="588" t="n"/>
      <c r="DK811" s="588" t="n"/>
      <c r="DL811" s="588" t="n"/>
      <c r="DM811" s="588" t="n"/>
      <c r="DN811" s="588" t="n"/>
      <c r="DO811" s="588" t="n"/>
      <c r="DP811" s="588" t="n"/>
      <c r="DQ811" s="588" t="n"/>
      <c r="DR811" s="588" t="n"/>
      <c r="DS811" s="588" t="n"/>
      <c r="DT811" s="588" t="n"/>
      <c r="DU811" s="588" t="n"/>
    </row>
    <row r="812">
      <c r="A812" s="737" t="n"/>
      <c r="B812" s="737" t="n"/>
      <c r="C812" s="737" t="n"/>
      <c r="D812" s="737" t="n"/>
      <c r="E812" s="737" t="n"/>
      <c r="F812" s="737" t="n"/>
      <c r="G812" s="737" t="n"/>
      <c r="H812" s="737" t="n"/>
      <c r="I812" s="737" t="n"/>
      <c r="J812" s="737" t="n"/>
      <c r="K812" s="737" t="n"/>
      <c r="L812" s="737" t="n"/>
      <c r="M812" s="737" t="n"/>
      <c r="N812" s="737" t="n"/>
      <c r="O812" s="737" t="n"/>
      <c r="P812" s="737" t="n"/>
      <c r="Q812" s="737" t="n"/>
      <c r="R812" s="737" t="n"/>
      <c r="S812" s="737" t="n"/>
      <c r="T812" s="737" t="n"/>
      <c r="U812" s="737" t="n"/>
      <c r="V812" s="737" t="n"/>
      <c r="W812" s="737" t="n"/>
      <c r="X812" s="737" t="n"/>
      <c r="Y812" s="737" t="n"/>
      <c r="Z812" s="737" t="n"/>
      <c r="AA812" s="737" t="n"/>
      <c r="AB812" s="737" t="n"/>
      <c r="AC812" s="737" t="n"/>
      <c r="AD812" s="737" t="n"/>
      <c r="AE812" s="737" t="n"/>
      <c r="AF812" s="737" t="n"/>
      <c r="AG812" s="737" t="n"/>
      <c r="AH812" s="737" t="n"/>
      <c r="AI812" s="737" t="n"/>
      <c r="AJ812" s="737" t="n"/>
      <c r="AK812" s="588" t="n"/>
      <c r="AL812" s="588" t="n"/>
      <c r="AM812" s="588" t="n"/>
      <c r="AN812" s="588" t="n"/>
      <c r="AO812" s="588" t="n"/>
      <c r="AP812" s="588" t="n"/>
      <c r="AQ812" s="588" t="n"/>
      <c r="AR812" s="588" t="n"/>
      <c r="AS812" s="588" t="n"/>
      <c r="AT812" s="588" t="n"/>
      <c r="AU812" s="588" t="n"/>
      <c r="AV812" s="588" t="n"/>
      <c r="AW812" s="588" t="n"/>
      <c r="AX812" s="588" t="n"/>
      <c r="AY812" s="588" t="n"/>
      <c r="AZ812" s="588" t="n"/>
      <c r="BA812" s="588" t="n"/>
      <c r="BB812" s="588" t="n"/>
      <c r="BC812" s="588" t="n"/>
      <c r="BD812" s="588" t="n"/>
      <c r="BE812" s="588" t="n"/>
      <c r="BF812" s="588" t="n"/>
      <c r="BG812" s="588" t="n"/>
      <c r="BH812" s="588" t="n"/>
      <c r="BI812" s="588" t="n"/>
      <c r="BJ812" s="588" t="n"/>
      <c r="BK812" s="588" t="n"/>
      <c r="BL812" s="588" t="n"/>
      <c r="BM812" s="588" t="n"/>
      <c r="BN812" s="588" t="n"/>
      <c r="BO812" s="588" t="n"/>
      <c r="BP812" s="588" t="n"/>
      <c r="BQ812" s="588" t="n"/>
      <c r="BR812" s="588" t="n"/>
      <c r="BS812" s="588" t="n"/>
      <c r="BT812" s="588" t="n"/>
      <c r="BU812" s="588" t="n"/>
      <c r="BV812" s="588" t="n"/>
      <c r="BW812" s="588" t="n"/>
      <c r="BX812" s="588" t="n"/>
      <c r="BY812" s="588" t="n"/>
      <c r="BZ812" s="588" t="n"/>
      <c r="CA812" s="588" t="n"/>
      <c r="CB812" s="588" t="n"/>
      <c r="CC812" s="588" t="n"/>
      <c r="CD812" s="588" t="n"/>
      <c r="CE812" s="588" t="n"/>
      <c r="CF812" s="588" t="n"/>
      <c r="CG812" s="588" t="n"/>
      <c r="CH812" s="588" t="n"/>
      <c r="CI812" s="588" t="n"/>
      <c r="CJ812" s="588" t="n"/>
      <c r="CK812" s="588" t="n"/>
      <c r="CL812" s="588" t="n"/>
      <c r="CM812" s="588" t="n"/>
      <c r="CN812" s="588" t="n"/>
      <c r="CO812" s="588" t="n"/>
      <c r="CP812" s="588" t="n"/>
      <c r="CQ812" s="588" t="n"/>
      <c r="CR812" s="588" t="n"/>
      <c r="CS812" s="588" t="n"/>
      <c r="CT812" s="588" t="n"/>
      <c r="CU812" s="588" t="n"/>
      <c r="CV812" s="588" t="n"/>
      <c r="CW812" s="588" t="n"/>
      <c r="CX812" s="588" t="n"/>
      <c r="CY812" s="588" t="n"/>
      <c r="CZ812" s="588" t="n"/>
      <c r="DA812" s="588" t="n"/>
      <c r="DB812" s="588" t="n"/>
      <c r="DC812" s="588" t="n"/>
      <c r="DD812" s="588" t="n"/>
      <c r="DE812" s="588" t="n"/>
      <c r="DF812" s="588" t="n"/>
      <c r="DG812" s="588" t="n"/>
      <c r="DH812" s="588" t="n"/>
      <c r="DI812" s="588" t="n"/>
      <c r="DJ812" s="588" t="n"/>
      <c r="DK812" s="588" t="n"/>
      <c r="DL812" s="588" t="n"/>
      <c r="DM812" s="588" t="n"/>
      <c r="DN812" s="588" t="n"/>
      <c r="DO812" s="588" t="n"/>
      <c r="DP812" s="588" t="n"/>
      <c r="DQ812" s="588" t="n"/>
      <c r="DR812" s="588" t="n"/>
      <c r="DS812" s="588" t="n"/>
      <c r="DT812" s="588" t="n"/>
      <c r="DU812" s="588" t="n"/>
    </row>
    <row r="813">
      <c r="A813" s="737" t="n"/>
      <c r="B813" s="737" t="n"/>
      <c r="C813" s="737" t="n"/>
      <c r="D813" s="737" t="n"/>
      <c r="E813" s="737" t="n"/>
      <c r="F813" s="737" t="n"/>
      <c r="G813" s="737" t="n"/>
      <c r="H813" s="737" t="n"/>
      <c r="I813" s="737" t="n"/>
      <c r="J813" s="737" t="n"/>
      <c r="K813" s="737" t="n"/>
      <c r="L813" s="737" t="n"/>
      <c r="M813" s="737" t="n"/>
      <c r="N813" s="737" t="n"/>
      <c r="O813" s="737" t="n"/>
      <c r="P813" s="737" t="n"/>
      <c r="Q813" s="737" t="n"/>
      <c r="R813" s="737" t="n"/>
      <c r="S813" s="737" t="n"/>
      <c r="T813" s="737" t="n"/>
      <c r="U813" s="737" t="n"/>
      <c r="V813" s="737" t="n"/>
      <c r="W813" s="737" t="n"/>
      <c r="X813" s="737" t="n"/>
      <c r="Y813" s="737" t="n"/>
      <c r="Z813" s="737" t="n"/>
      <c r="AA813" s="737" t="n"/>
      <c r="AB813" s="737" t="n"/>
      <c r="AC813" s="737" t="n"/>
      <c r="AD813" s="737" t="n"/>
      <c r="AE813" s="737" t="n"/>
      <c r="AF813" s="737" t="n"/>
      <c r="AG813" s="737" t="n"/>
      <c r="AH813" s="737" t="n"/>
      <c r="AI813" s="737" t="n"/>
      <c r="AJ813" s="737" t="n"/>
      <c r="AK813" s="588" t="n"/>
      <c r="AL813" s="588" t="n"/>
      <c r="AM813" s="588" t="n"/>
      <c r="AN813" s="588" t="n"/>
      <c r="AO813" s="588" t="n"/>
      <c r="AP813" s="588" t="n"/>
      <c r="AQ813" s="588" t="n"/>
      <c r="AR813" s="588" t="n"/>
      <c r="AS813" s="588" t="n"/>
      <c r="AT813" s="588" t="n"/>
      <c r="AU813" s="588" t="n"/>
      <c r="AV813" s="588" t="n"/>
      <c r="AW813" s="588" t="n"/>
      <c r="AX813" s="588" t="n"/>
      <c r="AY813" s="588" t="n"/>
      <c r="AZ813" s="588" t="n"/>
      <c r="BA813" s="588" t="n"/>
      <c r="BB813" s="588" t="n"/>
      <c r="BC813" s="588" t="n"/>
      <c r="BD813" s="588" t="n"/>
      <c r="BE813" s="588" t="n"/>
      <c r="BF813" s="588" t="n"/>
      <c r="BG813" s="588" t="n"/>
      <c r="BH813" s="588" t="n"/>
      <c r="BI813" s="588" t="n"/>
      <c r="BJ813" s="588" t="n"/>
      <c r="BK813" s="588" t="n"/>
      <c r="BL813" s="588" t="n"/>
      <c r="BM813" s="588" t="n"/>
      <c r="BN813" s="588" t="n"/>
      <c r="BO813" s="588" t="n"/>
      <c r="BP813" s="588" t="n"/>
      <c r="BQ813" s="588" t="n"/>
      <c r="BR813" s="588" t="n"/>
      <c r="BS813" s="588" t="n"/>
      <c r="BT813" s="588" t="n"/>
      <c r="BU813" s="588" t="n"/>
      <c r="BV813" s="588" t="n"/>
      <c r="BW813" s="588" t="n"/>
      <c r="BX813" s="588" t="n"/>
      <c r="BY813" s="588" t="n"/>
      <c r="BZ813" s="588" t="n"/>
      <c r="CA813" s="588" t="n"/>
      <c r="CB813" s="588" t="n"/>
      <c r="CC813" s="588" t="n"/>
      <c r="CD813" s="588" t="n"/>
      <c r="CE813" s="588" t="n"/>
      <c r="CF813" s="588" t="n"/>
      <c r="CG813" s="588" t="n"/>
      <c r="CH813" s="588" t="n"/>
      <c r="CI813" s="588" t="n"/>
      <c r="CJ813" s="588" t="n"/>
      <c r="CK813" s="588" t="n"/>
      <c r="CL813" s="588" t="n"/>
      <c r="CM813" s="588" t="n"/>
      <c r="CN813" s="588" t="n"/>
      <c r="CO813" s="588" t="n"/>
      <c r="CP813" s="588" t="n"/>
      <c r="CQ813" s="588" t="n"/>
      <c r="CR813" s="588" t="n"/>
      <c r="CS813" s="588" t="n"/>
      <c r="CT813" s="588" t="n"/>
      <c r="CU813" s="588" t="n"/>
      <c r="CV813" s="588" t="n"/>
      <c r="CW813" s="588" t="n"/>
      <c r="CX813" s="588" t="n"/>
      <c r="CY813" s="588" t="n"/>
      <c r="CZ813" s="588" t="n"/>
      <c r="DA813" s="588" t="n"/>
      <c r="DB813" s="588" t="n"/>
      <c r="DC813" s="588" t="n"/>
      <c r="DD813" s="588" t="n"/>
      <c r="DE813" s="588" t="n"/>
      <c r="DF813" s="588" t="n"/>
      <c r="DG813" s="588" t="n"/>
      <c r="DH813" s="588" t="n"/>
      <c r="DI813" s="588" t="n"/>
      <c r="DJ813" s="588" t="n"/>
      <c r="DK813" s="588" t="n"/>
      <c r="DL813" s="588" t="n"/>
      <c r="DM813" s="588" t="n"/>
      <c r="DN813" s="588" t="n"/>
      <c r="DO813" s="588" t="n"/>
      <c r="DP813" s="588" t="n"/>
      <c r="DQ813" s="588" t="n"/>
      <c r="DR813" s="588" t="n"/>
      <c r="DS813" s="588" t="n"/>
      <c r="DT813" s="588" t="n"/>
      <c r="DU813" s="588" t="n"/>
    </row>
    <row r="814">
      <c r="A814" s="737" t="n"/>
      <c r="B814" s="737" t="n"/>
      <c r="C814" s="737" t="n"/>
      <c r="D814" s="737" t="n"/>
      <c r="E814" s="737" t="n"/>
      <c r="F814" s="737" t="n"/>
      <c r="G814" s="737" t="n"/>
      <c r="H814" s="737" t="n"/>
      <c r="I814" s="737" t="n"/>
      <c r="J814" s="737" t="n"/>
      <c r="K814" s="737" t="n"/>
      <c r="L814" s="737" t="n"/>
      <c r="M814" s="737" t="n"/>
      <c r="N814" s="737" t="n"/>
      <c r="O814" s="737" t="n"/>
      <c r="P814" s="737" t="n"/>
      <c r="Q814" s="737" t="n"/>
      <c r="R814" s="737" t="n"/>
      <c r="S814" s="737" t="n"/>
      <c r="T814" s="737" t="n"/>
      <c r="U814" s="737" t="n"/>
      <c r="V814" s="737" t="n"/>
      <c r="W814" s="737" t="n"/>
      <c r="X814" s="737" t="n"/>
      <c r="Y814" s="737" t="n"/>
      <c r="Z814" s="737" t="n"/>
      <c r="AA814" s="737" t="n"/>
      <c r="AB814" s="737" t="n"/>
      <c r="AC814" s="737" t="n"/>
      <c r="AD814" s="737" t="n"/>
      <c r="AE814" s="737" t="n"/>
      <c r="AF814" s="737" t="n"/>
      <c r="AG814" s="737" t="n"/>
      <c r="AH814" s="737" t="n"/>
      <c r="AI814" s="737" t="n"/>
      <c r="AJ814" s="737" t="n"/>
      <c r="AK814" s="588" t="n"/>
      <c r="AL814" s="588" t="n"/>
      <c r="AM814" s="588" t="n"/>
      <c r="AN814" s="588" t="n"/>
      <c r="AO814" s="588" t="n"/>
      <c r="AP814" s="588" t="n"/>
      <c r="AQ814" s="588" t="n"/>
      <c r="AR814" s="588" t="n"/>
      <c r="AS814" s="588" t="n"/>
      <c r="AT814" s="588" t="n"/>
      <c r="AU814" s="588" t="n"/>
      <c r="AV814" s="588" t="n"/>
      <c r="AW814" s="588" t="n"/>
      <c r="AX814" s="588" t="n"/>
      <c r="AY814" s="588" t="n"/>
      <c r="AZ814" s="588" t="n"/>
      <c r="BA814" s="588" t="n"/>
      <c r="BB814" s="588" t="n"/>
      <c r="BC814" s="588" t="n"/>
      <c r="BD814" s="588" t="n"/>
      <c r="BE814" s="588" t="n"/>
      <c r="BF814" s="588" t="n"/>
      <c r="BG814" s="588" t="n"/>
      <c r="BH814" s="588" t="n"/>
      <c r="BI814" s="588" t="n"/>
      <c r="BJ814" s="588" t="n"/>
      <c r="BK814" s="588" t="n"/>
      <c r="BL814" s="588" t="n"/>
      <c r="BM814" s="588" t="n"/>
      <c r="BN814" s="588" t="n"/>
      <c r="BO814" s="588" t="n"/>
      <c r="BP814" s="588" t="n"/>
      <c r="BQ814" s="588" t="n"/>
      <c r="BR814" s="588" t="n"/>
      <c r="BS814" s="588" t="n"/>
      <c r="BT814" s="588" t="n"/>
      <c r="BU814" s="588" t="n"/>
      <c r="BV814" s="588" t="n"/>
      <c r="BW814" s="588" t="n"/>
      <c r="BX814" s="588" t="n"/>
      <c r="BY814" s="588" t="n"/>
      <c r="BZ814" s="588" t="n"/>
      <c r="CA814" s="588" t="n"/>
      <c r="CB814" s="588" t="n"/>
      <c r="CC814" s="588" t="n"/>
      <c r="CD814" s="588" t="n"/>
      <c r="CE814" s="588" t="n"/>
      <c r="CF814" s="588" t="n"/>
      <c r="CG814" s="588" t="n"/>
      <c r="CH814" s="588" t="n"/>
      <c r="CI814" s="588" t="n"/>
      <c r="CJ814" s="588" t="n"/>
      <c r="CK814" s="588" t="n"/>
      <c r="CL814" s="588" t="n"/>
      <c r="CM814" s="588" t="n"/>
      <c r="CN814" s="588" t="n"/>
      <c r="CO814" s="588" t="n"/>
      <c r="CP814" s="588" t="n"/>
      <c r="CQ814" s="588" t="n"/>
      <c r="CR814" s="588" t="n"/>
      <c r="CS814" s="588" t="n"/>
      <c r="CT814" s="588" t="n"/>
      <c r="CU814" s="588" t="n"/>
      <c r="CV814" s="588" t="n"/>
      <c r="CW814" s="588" t="n"/>
      <c r="CX814" s="588" t="n"/>
      <c r="CY814" s="588" t="n"/>
      <c r="CZ814" s="588" t="n"/>
      <c r="DA814" s="588" t="n"/>
      <c r="DB814" s="588" t="n"/>
      <c r="DC814" s="588" t="n"/>
      <c r="DD814" s="588" t="n"/>
      <c r="DE814" s="588" t="n"/>
      <c r="DF814" s="588" t="n"/>
      <c r="DG814" s="588" t="n"/>
      <c r="DH814" s="588" t="n"/>
      <c r="DI814" s="588" t="n"/>
      <c r="DJ814" s="588" t="n"/>
      <c r="DK814" s="588" t="n"/>
      <c r="DL814" s="588" t="n"/>
      <c r="DM814" s="588" t="n"/>
      <c r="DN814" s="588" t="n"/>
      <c r="DO814" s="588" t="n"/>
      <c r="DP814" s="588" t="n"/>
      <c r="DQ814" s="588" t="n"/>
      <c r="DR814" s="588" t="n"/>
      <c r="DS814" s="588" t="n"/>
      <c r="DT814" s="588" t="n"/>
      <c r="DU814" s="588" t="n"/>
    </row>
    <row r="815">
      <c r="A815" s="737" t="n"/>
      <c r="B815" s="737" t="n"/>
      <c r="C815" s="737" t="n"/>
      <c r="D815" s="737" t="n"/>
      <c r="E815" s="737" t="n"/>
      <c r="F815" s="737" t="n"/>
      <c r="G815" s="737" t="n"/>
      <c r="H815" s="737" t="n"/>
      <c r="I815" s="737" t="n"/>
      <c r="J815" s="737" t="n"/>
      <c r="K815" s="737" t="n"/>
      <c r="L815" s="737" t="n"/>
      <c r="M815" s="737" t="n"/>
      <c r="N815" s="737" t="n"/>
      <c r="O815" s="737" t="n"/>
      <c r="P815" s="737" t="n"/>
      <c r="Q815" s="737" t="n"/>
      <c r="R815" s="737" t="n"/>
      <c r="S815" s="737" t="n"/>
      <c r="T815" s="737" t="n"/>
      <c r="U815" s="737" t="n"/>
      <c r="V815" s="737" t="n"/>
      <c r="W815" s="737" t="n"/>
      <c r="X815" s="737" t="n"/>
      <c r="Y815" s="737" t="n"/>
      <c r="Z815" s="737" t="n"/>
      <c r="AA815" s="737" t="n"/>
      <c r="AB815" s="737" t="n"/>
      <c r="AC815" s="737" t="n"/>
      <c r="AD815" s="737" t="n"/>
      <c r="AE815" s="737" t="n"/>
      <c r="AF815" s="737" t="n"/>
      <c r="AG815" s="737" t="n"/>
      <c r="AH815" s="737" t="n"/>
      <c r="AI815" s="737" t="n"/>
      <c r="AJ815" s="737" t="n"/>
      <c r="AK815" s="588" t="n"/>
      <c r="AL815" s="588" t="n"/>
      <c r="AM815" s="588" t="n"/>
      <c r="AN815" s="588" t="n"/>
      <c r="AO815" s="588" t="n"/>
      <c r="AP815" s="588" t="n"/>
      <c r="AQ815" s="588" t="n"/>
      <c r="AR815" s="588" t="n"/>
      <c r="AS815" s="588" t="n"/>
      <c r="AT815" s="588" t="n"/>
      <c r="AU815" s="588" t="n"/>
      <c r="AV815" s="588" t="n"/>
      <c r="AW815" s="588" t="n"/>
      <c r="AX815" s="588" t="n"/>
      <c r="AY815" s="588" t="n"/>
      <c r="AZ815" s="588" t="n"/>
      <c r="BA815" s="588" t="n"/>
      <c r="BB815" s="588" t="n"/>
      <c r="BC815" s="588" t="n"/>
      <c r="BD815" s="588" t="n"/>
      <c r="BE815" s="588" t="n"/>
      <c r="BF815" s="588" t="n"/>
      <c r="BG815" s="588" t="n"/>
      <c r="BH815" s="588" t="n"/>
      <c r="BI815" s="588" t="n"/>
      <c r="BJ815" s="588" t="n"/>
      <c r="BK815" s="588" t="n"/>
      <c r="BL815" s="588" t="n"/>
      <c r="BM815" s="588" t="n"/>
      <c r="BN815" s="588" t="n"/>
      <c r="BO815" s="588" t="n"/>
      <c r="BP815" s="588" t="n"/>
      <c r="BQ815" s="588" t="n"/>
      <c r="BR815" s="588" t="n"/>
      <c r="BS815" s="588" t="n"/>
      <c r="BT815" s="588" t="n"/>
      <c r="BU815" s="588" t="n"/>
      <c r="BV815" s="588" t="n"/>
      <c r="BW815" s="588" t="n"/>
      <c r="BX815" s="588" t="n"/>
      <c r="BY815" s="588" t="n"/>
      <c r="BZ815" s="588" t="n"/>
      <c r="CA815" s="588" t="n"/>
      <c r="CB815" s="588" t="n"/>
      <c r="CC815" s="588" t="n"/>
      <c r="CD815" s="588" t="n"/>
      <c r="CE815" s="588" t="n"/>
      <c r="CF815" s="588" t="n"/>
      <c r="CG815" s="588" t="n"/>
      <c r="CH815" s="588" t="n"/>
      <c r="CI815" s="588" t="n"/>
      <c r="CJ815" s="588" t="n"/>
      <c r="CK815" s="588" t="n"/>
      <c r="CL815" s="588" t="n"/>
      <c r="CM815" s="588" t="n"/>
      <c r="CN815" s="588" t="n"/>
      <c r="CO815" s="588" t="n"/>
      <c r="CP815" s="588" t="n"/>
      <c r="CQ815" s="588" t="n"/>
      <c r="CR815" s="588" t="n"/>
      <c r="CS815" s="588" t="n"/>
      <c r="CT815" s="588" t="n"/>
      <c r="CU815" s="588" t="n"/>
      <c r="CV815" s="588" t="n"/>
      <c r="CW815" s="588" t="n"/>
      <c r="CX815" s="588" t="n"/>
      <c r="CY815" s="588" t="n"/>
      <c r="CZ815" s="588" t="n"/>
      <c r="DA815" s="588" t="n"/>
      <c r="DB815" s="588" t="n"/>
      <c r="DC815" s="588" t="n"/>
      <c r="DD815" s="588" t="n"/>
      <c r="DE815" s="588" t="n"/>
      <c r="DF815" s="588" t="n"/>
      <c r="DG815" s="588" t="n"/>
      <c r="DH815" s="588" t="n"/>
      <c r="DI815" s="588" t="n"/>
      <c r="DJ815" s="588" t="n"/>
      <c r="DK815" s="588" t="n"/>
      <c r="DL815" s="588" t="n"/>
      <c r="DM815" s="588" t="n"/>
      <c r="DN815" s="588" t="n"/>
      <c r="DO815" s="588" t="n"/>
      <c r="DP815" s="588" t="n"/>
      <c r="DQ815" s="588" t="n"/>
      <c r="DR815" s="588" t="n"/>
      <c r="DS815" s="588" t="n"/>
      <c r="DT815" s="588" t="n"/>
      <c r="DU815" s="588" t="n"/>
    </row>
    <row r="816">
      <c r="A816" s="737" t="n"/>
      <c r="B816" s="737" t="n"/>
      <c r="C816" s="737" t="n"/>
      <c r="D816" s="737" t="n"/>
      <c r="E816" s="737" t="n"/>
      <c r="F816" s="737" t="n"/>
      <c r="G816" s="737" t="n"/>
      <c r="H816" s="737" t="n"/>
      <c r="I816" s="737" t="n"/>
      <c r="J816" s="737" t="n"/>
      <c r="K816" s="737" t="n"/>
      <c r="L816" s="737" t="n"/>
      <c r="M816" s="737" t="n"/>
      <c r="N816" s="737" t="n"/>
      <c r="O816" s="737" t="n"/>
      <c r="P816" s="737" t="n"/>
      <c r="Q816" s="737" t="n"/>
      <c r="R816" s="737" t="n"/>
      <c r="S816" s="737" t="n"/>
      <c r="T816" s="737" t="n"/>
      <c r="U816" s="737" t="n"/>
      <c r="V816" s="737" t="n"/>
      <c r="W816" s="737" t="n"/>
      <c r="X816" s="737" t="n"/>
      <c r="Y816" s="737" t="n"/>
      <c r="Z816" s="737" t="n"/>
      <c r="AA816" s="737" t="n"/>
      <c r="AB816" s="737" t="n"/>
      <c r="AC816" s="737" t="n"/>
      <c r="AD816" s="737" t="n"/>
      <c r="AE816" s="737" t="n"/>
      <c r="AF816" s="737" t="n"/>
      <c r="AG816" s="737" t="n"/>
      <c r="AH816" s="737" t="n"/>
      <c r="AI816" s="737" t="n"/>
      <c r="AJ816" s="737" t="n"/>
      <c r="AK816" s="588" t="n"/>
      <c r="AL816" s="588" t="n"/>
      <c r="AM816" s="588" t="n"/>
      <c r="AN816" s="588" t="n"/>
      <c r="AO816" s="588" t="n"/>
      <c r="AP816" s="588" t="n"/>
      <c r="AQ816" s="588" t="n"/>
      <c r="AR816" s="588" t="n"/>
      <c r="AS816" s="588" t="n"/>
      <c r="AT816" s="588" t="n"/>
      <c r="AU816" s="588" t="n"/>
      <c r="AV816" s="588" t="n"/>
      <c r="AW816" s="588" t="n"/>
      <c r="AX816" s="588" t="n"/>
      <c r="AY816" s="588" t="n"/>
      <c r="AZ816" s="588" t="n"/>
      <c r="BA816" s="588" t="n"/>
      <c r="BB816" s="588" t="n"/>
      <c r="BC816" s="588" t="n"/>
      <c r="BD816" s="588" t="n"/>
      <c r="BE816" s="588" t="n"/>
      <c r="BF816" s="588" t="n"/>
      <c r="BG816" s="588" t="n"/>
      <c r="BH816" s="588" t="n"/>
      <c r="BI816" s="588" t="n"/>
      <c r="BJ816" s="588" t="n"/>
      <c r="BK816" s="588" t="n"/>
      <c r="BL816" s="588" t="n"/>
      <c r="BM816" s="588" t="n"/>
      <c r="BN816" s="588" t="n"/>
      <c r="BO816" s="588" t="n"/>
      <c r="BP816" s="588" t="n"/>
      <c r="BQ816" s="588" t="n"/>
      <c r="BR816" s="588" t="n"/>
      <c r="BS816" s="588" t="n"/>
      <c r="BT816" s="588" t="n"/>
      <c r="BU816" s="588" t="n"/>
      <c r="BV816" s="588" t="n"/>
      <c r="BW816" s="588" t="n"/>
      <c r="BX816" s="588" t="n"/>
      <c r="BY816" s="588" t="n"/>
      <c r="BZ816" s="588" t="n"/>
      <c r="CA816" s="588" t="n"/>
      <c r="CB816" s="588" t="n"/>
      <c r="CC816" s="588" t="n"/>
      <c r="CD816" s="588" t="n"/>
      <c r="CE816" s="588" t="n"/>
      <c r="CF816" s="588" t="n"/>
      <c r="CG816" s="588" t="n"/>
      <c r="CH816" s="588" t="n"/>
      <c r="CI816" s="588" t="n"/>
      <c r="CJ816" s="588" t="n"/>
      <c r="CK816" s="588" t="n"/>
      <c r="CL816" s="588" t="n"/>
      <c r="CM816" s="588" t="n"/>
      <c r="CN816" s="588" t="n"/>
      <c r="CO816" s="588" t="n"/>
      <c r="CP816" s="588" t="n"/>
      <c r="CQ816" s="588" t="n"/>
      <c r="CR816" s="588" t="n"/>
      <c r="CS816" s="588" t="n"/>
      <c r="CT816" s="588" t="n"/>
      <c r="CU816" s="588" t="n"/>
      <c r="CV816" s="588" t="n"/>
      <c r="CW816" s="588" t="n"/>
      <c r="CX816" s="588" t="n"/>
      <c r="CY816" s="588" t="n"/>
      <c r="CZ816" s="588" t="n"/>
      <c r="DA816" s="588" t="n"/>
      <c r="DB816" s="588" t="n"/>
      <c r="DC816" s="588" t="n"/>
      <c r="DD816" s="588" t="n"/>
      <c r="DE816" s="588" t="n"/>
      <c r="DF816" s="588" t="n"/>
      <c r="DG816" s="588" t="n"/>
      <c r="DH816" s="588" t="n"/>
      <c r="DI816" s="588" t="n"/>
      <c r="DJ816" s="588" t="n"/>
      <c r="DK816" s="588" t="n"/>
      <c r="DL816" s="588" t="n"/>
      <c r="DM816" s="588" t="n"/>
      <c r="DN816" s="588" t="n"/>
      <c r="DO816" s="588" t="n"/>
      <c r="DP816" s="588" t="n"/>
      <c r="DQ816" s="588" t="n"/>
      <c r="DR816" s="588" t="n"/>
      <c r="DS816" s="588" t="n"/>
      <c r="DT816" s="588" t="n"/>
      <c r="DU816" s="588" t="n"/>
    </row>
    <row r="817">
      <c r="A817" s="737" t="n"/>
      <c r="B817" s="737" t="n"/>
      <c r="C817" s="737" t="n"/>
      <c r="D817" s="737" t="n"/>
      <c r="E817" s="737" t="n"/>
      <c r="F817" s="737" t="n"/>
      <c r="G817" s="737" t="n"/>
      <c r="H817" s="737" t="n"/>
      <c r="I817" s="737" t="n"/>
      <c r="J817" s="737" t="n"/>
      <c r="K817" s="737" t="n"/>
      <c r="L817" s="737" t="n"/>
      <c r="M817" s="737" t="n"/>
      <c r="N817" s="737" t="n"/>
      <c r="O817" s="737" t="n"/>
      <c r="P817" s="737" t="n"/>
      <c r="Q817" s="737" t="n"/>
      <c r="R817" s="737" t="n"/>
      <c r="S817" s="737" t="n"/>
      <c r="T817" s="737" t="n"/>
      <c r="U817" s="737" t="n"/>
      <c r="V817" s="737" t="n"/>
      <c r="W817" s="737" t="n"/>
      <c r="X817" s="737" t="n"/>
      <c r="Y817" s="737" t="n"/>
      <c r="Z817" s="737" t="n"/>
      <c r="AA817" s="737" t="n"/>
      <c r="AB817" s="737" t="n"/>
      <c r="AC817" s="737" t="n"/>
      <c r="AD817" s="737" t="n"/>
      <c r="AE817" s="737" t="n"/>
      <c r="AF817" s="737" t="n"/>
      <c r="AG817" s="737" t="n"/>
      <c r="AH817" s="737" t="n"/>
      <c r="AI817" s="737" t="n"/>
      <c r="AJ817" s="737" t="n"/>
      <c r="AK817" s="588" t="n"/>
      <c r="AL817" s="588" t="n"/>
      <c r="AM817" s="588" t="n"/>
      <c r="AN817" s="588" t="n"/>
      <c r="AO817" s="588" t="n"/>
      <c r="AP817" s="588" t="n"/>
      <c r="AQ817" s="588" t="n"/>
      <c r="AR817" s="588" t="n"/>
      <c r="AS817" s="588" t="n"/>
      <c r="AT817" s="588" t="n"/>
      <c r="AU817" s="588" t="n"/>
      <c r="AV817" s="588" t="n"/>
      <c r="AW817" s="588" t="n"/>
      <c r="AX817" s="588" t="n"/>
      <c r="AY817" s="588" t="n"/>
      <c r="AZ817" s="588" t="n"/>
      <c r="BA817" s="588" t="n"/>
      <c r="BB817" s="588" t="n"/>
      <c r="BC817" s="588" t="n"/>
      <c r="BD817" s="588" t="n"/>
      <c r="BE817" s="588" t="n"/>
      <c r="BF817" s="588" t="n"/>
      <c r="BG817" s="588" t="n"/>
      <c r="BH817" s="588" t="n"/>
      <c r="BI817" s="588" t="n"/>
      <c r="BJ817" s="588" t="n"/>
      <c r="BK817" s="588" t="n"/>
      <c r="BL817" s="588" t="n"/>
      <c r="BM817" s="588" t="n"/>
      <c r="BN817" s="588" t="n"/>
      <c r="BO817" s="588" t="n"/>
      <c r="BP817" s="588" t="n"/>
      <c r="BQ817" s="588" t="n"/>
      <c r="BR817" s="588" t="n"/>
      <c r="BS817" s="588" t="n"/>
      <c r="BT817" s="588" t="n"/>
      <c r="BU817" s="588" t="n"/>
      <c r="BV817" s="588" t="n"/>
      <c r="BW817" s="588" t="n"/>
      <c r="BX817" s="588" t="n"/>
      <c r="BY817" s="588" t="n"/>
      <c r="BZ817" s="588" t="n"/>
      <c r="CA817" s="588" t="n"/>
      <c r="CB817" s="588" t="n"/>
      <c r="CC817" s="588" t="n"/>
      <c r="CD817" s="588" t="n"/>
      <c r="CE817" s="588" t="n"/>
      <c r="CF817" s="588" t="n"/>
      <c r="CG817" s="588" t="n"/>
      <c r="CH817" s="588" t="n"/>
      <c r="CI817" s="588" t="n"/>
      <c r="CJ817" s="588" t="n"/>
      <c r="CK817" s="588" t="n"/>
      <c r="CL817" s="588" t="n"/>
      <c r="CM817" s="588" t="n"/>
      <c r="CN817" s="588" t="n"/>
      <c r="CO817" s="588" t="n"/>
      <c r="CP817" s="588" t="n"/>
      <c r="CQ817" s="588" t="n"/>
      <c r="CR817" s="588" t="n"/>
      <c r="CS817" s="588" t="n"/>
      <c r="CT817" s="588" t="n"/>
      <c r="CU817" s="588" t="n"/>
      <c r="CV817" s="588" t="n"/>
      <c r="CW817" s="588" t="n"/>
      <c r="CX817" s="588" t="n"/>
      <c r="CY817" s="588" t="n"/>
      <c r="CZ817" s="588" t="n"/>
      <c r="DA817" s="588" t="n"/>
      <c r="DB817" s="588" t="n"/>
      <c r="DC817" s="588" t="n"/>
      <c r="DD817" s="588" t="n"/>
      <c r="DE817" s="588" t="n"/>
      <c r="DF817" s="588" t="n"/>
      <c r="DG817" s="588" t="n"/>
      <c r="DH817" s="588" t="n"/>
      <c r="DI817" s="588" t="n"/>
      <c r="DJ817" s="588" t="n"/>
      <c r="DK817" s="588" t="n"/>
      <c r="DL817" s="588" t="n"/>
      <c r="DM817" s="588" t="n"/>
      <c r="DN817" s="588" t="n"/>
      <c r="DO817" s="588" t="n"/>
      <c r="DP817" s="588" t="n"/>
      <c r="DQ817" s="588" t="n"/>
      <c r="DR817" s="588" t="n"/>
      <c r="DS817" s="588" t="n"/>
      <c r="DT817" s="588" t="n"/>
      <c r="DU817" s="588" t="n"/>
    </row>
    <row r="818">
      <c r="A818" s="737" t="n"/>
      <c r="B818" s="737" t="n"/>
      <c r="C818" s="737" t="n"/>
      <c r="D818" s="737" t="n"/>
      <c r="E818" s="737" t="n"/>
      <c r="F818" s="737" t="n"/>
      <c r="G818" s="737" t="n"/>
      <c r="H818" s="737" t="n"/>
      <c r="I818" s="737" t="n"/>
      <c r="J818" s="737" t="n"/>
      <c r="K818" s="737" t="n"/>
      <c r="L818" s="737" t="n"/>
      <c r="M818" s="737" t="n"/>
      <c r="N818" s="737" t="n"/>
      <c r="O818" s="737" t="n"/>
      <c r="P818" s="737" t="n"/>
      <c r="Q818" s="737" t="n"/>
      <c r="R818" s="737" t="n"/>
      <c r="S818" s="737" t="n"/>
      <c r="T818" s="737" t="n"/>
      <c r="U818" s="737" t="n"/>
      <c r="V818" s="737" t="n"/>
      <c r="W818" s="737" t="n"/>
      <c r="X818" s="737" t="n"/>
      <c r="Y818" s="737" t="n"/>
      <c r="Z818" s="737" t="n"/>
      <c r="AA818" s="737" t="n"/>
      <c r="AB818" s="737" t="n"/>
      <c r="AC818" s="737" t="n"/>
      <c r="AD818" s="737" t="n"/>
      <c r="AE818" s="737" t="n"/>
      <c r="AF818" s="737" t="n"/>
      <c r="AG818" s="737" t="n"/>
      <c r="AH818" s="737" t="n"/>
      <c r="AI818" s="737" t="n"/>
      <c r="AJ818" s="737" t="n"/>
      <c r="AK818" s="588" t="n"/>
      <c r="AL818" s="588" t="n"/>
      <c r="AM818" s="588" t="n"/>
      <c r="AN818" s="588" t="n"/>
      <c r="AO818" s="588" t="n"/>
      <c r="AP818" s="588" t="n"/>
      <c r="AQ818" s="588" t="n"/>
      <c r="AR818" s="588" t="n"/>
      <c r="AS818" s="588" t="n"/>
      <c r="AT818" s="588" t="n"/>
      <c r="AU818" s="588" t="n"/>
      <c r="AV818" s="588" t="n"/>
      <c r="AW818" s="588" t="n"/>
      <c r="AX818" s="588" t="n"/>
      <c r="AY818" s="588" t="n"/>
      <c r="AZ818" s="588" t="n"/>
      <c r="BA818" s="588" t="n"/>
      <c r="BB818" s="588" t="n"/>
      <c r="BC818" s="588" t="n"/>
      <c r="BD818" s="588" t="n"/>
      <c r="BE818" s="588" t="n"/>
      <c r="BF818" s="588" t="n"/>
      <c r="BG818" s="588" t="n"/>
      <c r="BH818" s="588" t="n"/>
      <c r="BI818" s="588" t="n"/>
      <c r="BJ818" s="588" t="n"/>
      <c r="BK818" s="588" t="n"/>
      <c r="BL818" s="588" t="n"/>
      <c r="BM818" s="588" t="n"/>
      <c r="BN818" s="588" t="n"/>
      <c r="BO818" s="588" t="n"/>
      <c r="BP818" s="588" t="n"/>
      <c r="BQ818" s="588" t="n"/>
      <c r="BR818" s="588" t="n"/>
      <c r="BS818" s="588" t="n"/>
      <c r="BT818" s="588" t="n"/>
      <c r="BU818" s="588" t="n"/>
      <c r="BV818" s="588" t="n"/>
      <c r="BW818" s="588" t="n"/>
      <c r="BX818" s="588" t="n"/>
      <c r="BY818" s="588" t="n"/>
      <c r="BZ818" s="588" t="n"/>
      <c r="CA818" s="588" t="n"/>
      <c r="CB818" s="588" t="n"/>
      <c r="CC818" s="588" t="n"/>
      <c r="CD818" s="588" t="n"/>
      <c r="CE818" s="588" t="n"/>
      <c r="CF818" s="588" t="n"/>
      <c r="CG818" s="588" t="n"/>
      <c r="CH818" s="588" t="n"/>
      <c r="CI818" s="588" t="n"/>
      <c r="CJ818" s="588" t="n"/>
      <c r="CK818" s="588" t="n"/>
      <c r="CL818" s="588" t="n"/>
      <c r="CM818" s="588" t="n"/>
      <c r="CN818" s="588" t="n"/>
      <c r="CO818" s="588" t="n"/>
      <c r="CP818" s="588" t="n"/>
      <c r="CQ818" s="588" t="n"/>
      <c r="CR818" s="588" t="n"/>
      <c r="CS818" s="588" t="n"/>
      <c r="CT818" s="588" t="n"/>
      <c r="CU818" s="588" t="n"/>
      <c r="CV818" s="588" t="n"/>
      <c r="CW818" s="588" t="n"/>
      <c r="CX818" s="588" t="n"/>
      <c r="CY818" s="588" t="n"/>
      <c r="CZ818" s="588" t="n"/>
      <c r="DA818" s="588" t="n"/>
      <c r="DB818" s="588" t="n"/>
      <c r="DC818" s="588" t="n"/>
      <c r="DD818" s="588" t="n"/>
      <c r="DE818" s="588" t="n"/>
      <c r="DF818" s="588" t="n"/>
      <c r="DG818" s="588" t="n"/>
      <c r="DH818" s="588" t="n"/>
      <c r="DI818" s="588" t="n"/>
      <c r="DJ818" s="588" t="n"/>
      <c r="DK818" s="588" t="n"/>
      <c r="DL818" s="588" t="n"/>
      <c r="DM818" s="588" t="n"/>
      <c r="DN818" s="588" t="n"/>
      <c r="DO818" s="588" t="n"/>
      <c r="DP818" s="588" t="n"/>
      <c r="DQ818" s="588" t="n"/>
      <c r="DR818" s="588" t="n"/>
      <c r="DS818" s="588" t="n"/>
      <c r="DT818" s="588" t="n"/>
      <c r="DU818" s="588" t="n"/>
    </row>
    <row r="819">
      <c r="A819" s="737" t="n"/>
      <c r="B819" s="737" t="n"/>
      <c r="C819" s="737" t="n"/>
      <c r="D819" s="737" t="n"/>
      <c r="E819" s="737" t="n"/>
      <c r="F819" s="737" t="n"/>
      <c r="G819" s="737" t="n"/>
      <c r="H819" s="737" t="n"/>
      <c r="I819" s="737" t="n"/>
      <c r="J819" s="737" t="n"/>
      <c r="K819" s="737" t="n"/>
      <c r="L819" s="737" t="n"/>
      <c r="M819" s="737" t="n"/>
      <c r="N819" s="737" t="n"/>
      <c r="O819" s="737" t="n"/>
      <c r="P819" s="737" t="n"/>
      <c r="Q819" s="737" t="n"/>
      <c r="R819" s="737" t="n"/>
      <c r="S819" s="737" t="n"/>
      <c r="T819" s="737" t="n"/>
      <c r="U819" s="737" t="n"/>
      <c r="V819" s="737" t="n"/>
      <c r="W819" s="737" t="n"/>
      <c r="X819" s="737" t="n"/>
      <c r="Y819" s="737" t="n"/>
      <c r="Z819" s="737" t="n"/>
      <c r="AA819" s="737" t="n"/>
      <c r="AB819" s="737" t="n"/>
      <c r="AC819" s="737" t="n"/>
      <c r="AD819" s="737" t="n"/>
      <c r="AE819" s="737" t="n"/>
      <c r="AF819" s="737" t="n"/>
      <c r="AG819" s="737" t="n"/>
      <c r="AH819" s="737" t="n"/>
      <c r="AI819" s="737" t="n"/>
      <c r="AJ819" s="737" t="n"/>
      <c r="AK819" s="588" t="n"/>
      <c r="AL819" s="588" t="n"/>
      <c r="AM819" s="588" t="n"/>
      <c r="AN819" s="588" t="n"/>
      <c r="AO819" s="588" t="n"/>
      <c r="AP819" s="588" t="n"/>
      <c r="AQ819" s="588" t="n"/>
      <c r="AR819" s="588" t="n"/>
      <c r="AS819" s="588" t="n"/>
      <c r="AT819" s="588" t="n"/>
      <c r="AU819" s="588" t="n"/>
      <c r="AV819" s="588" t="n"/>
      <c r="AW819" s="588" t="n"/>
      <c r="AX819" s="588" t="n"/>
      <c r="AY819" s="588" t="n"/>
      <c r="AZ819" s="588" t="n"/>
      <c r="BA819" s="588" t="n"/>
      <c r="BB819" s="588" t="n"/>
      <c r="BC819" s="588" t="n"/>
      <c r="BD819" s="588" t="n"/>
      <c r="BE819" s="588" t="n"/>
      <c r="BF819" s="588" t="n"/>
      <c r="BG819" s="588" t="n"/>
      <c r="BH819" s="588" t="n"/>
      <c r="BI819" s="588" t="n"/>
      <c r="BJ819" s="588" t="n"/>
      <c r="BK819" s="588" t="n"/>
      <c r="BL819" s="588" t="n"/>
      <c r="BM819" s="588" t="n"/>
      <c r="BN819" s="588" t="n"/>
      <c r="BO819" s="588" t="n"/>
      <c r="BP819" s="588" t="n"/>
      <c r="BQ819" s="588" t="n"/>
      <c r="BR819" s="588" t="n"/>
      <c r="BS819" s="588" t="n"/>
      <c r="BT819" s="588" t="n"/>
      <c r="BU819" s="588" t="n"/>
      <c r="BV819" s="588" t="n"/>
      <c r="BW819" s="588" t="n"/>
      <c r="BX819" s="588" t="n"/>
      <c r="BY819" s="588" t="n"/>
      <c r="BZ819" s="588" t="n"/>
      <c r="CA819" s="588" t="n"/>
      <c r="CB819" s="588" t="n"/>
      <c r="CC819" s="588" t="n"/>
      <c r="CD819" s="588" t="n"/>
      <c r="CE819" s="588" t="n"/>
      <c r="CF819" s="588" t="n"/>
      <c r="CG819" s="588" t="n"/>
      <c r="CH819" s="588" t="n"/>
      <c r="CI819" s="588" t="n"/>
      <c r="CJ819" s="588" t="n"/>
      <c r="CK819" s="588" t="n"/>
      <c r="CL819" s="588" t="n"/>
      <c r="CM819" s="588" t="n"/>
      <c r="CN819" s="588" t="n"/>
      <c r="CO819" s="588" t="n"/>
      <c r="CP819" s="588" t="n"/>
      <c r="CQ819" s="588" t="n"/>
      <c r="CR819" s="588" t="n"/>
      <c r="CS819" s="588" t="n"/>
      <c r="CT819" s="588" t="n"/>
      <c r="CU819" s="588" t="n"/>
      <c r="CV819" s="588" t="n"/>
      <c r="CW819" s="588" t="n"/>
      <c r="CX819" s="588" t="n"/>
      <c r="CY819" s="588" t="n"/>
      <c r="CZ819" s="588" t="n"/>
      <c r="DA819" s="588" t="n"/>
      <c r="DB819" s="588" t="n"/>
      <c r="DC819" s="588" t="n"/>
      <c r="DD819" s="588" t="n"/>
      <c r="DE819" s="588" t="n"/>
      <c r="DF819" s="588" t="n"/>
      <c r="DG819" s="588" t="n"/>
      <c r="DH819" s="588" t="n"/>
      <c r="DI819" s="588" t="n"/>
      <c r="DJ819" s="588" t="n"/>
      <c r="DK819" s="588" t="n"/>
      <c r="DL819" s="588" t="n"/>
      <c r="DM819" s="588" t="n"/>
      <c r="DN819" s="588" t="n"/>
      <c r="DO819" s="588" t="n"/>
      <c r="DP819" s="588" t="n"/>
      <c r="DQ819" s="588" t="n"/>
      <c r="DR819" s="588" t="n"/>
      <c r="DS819" s="588" t="n"/>
      <c r="DT819" s="588" t="n"/>
      <c r="DU819" s="588" t="n"/>
    </row>
    <row r="820">
      <c r="A820" s="737" t="n"/>
      <c r="B820" s="737" t="n"/>
      <c r="C820" s="737" t="n"/>
      <c r="D820" s="737" t="n"/>
      <c r="E820" s="737" t="n"/>
      <c r="F820" s="737" t="n"/>
      <c r="G820" s="737" t="n"/>
      <c r="H820" s="737" t="n"/>
      <c r="I820" s="737" t="n"/>
      <c r="J820" s="737" t="n"/>
      <c r="K820" s="737" t="n"/>
      <c r="L820" s="737" t="n"/>
      <c r="M820" s="737" t="n"/>
      <c r="N820" s="737" t="n"/>
      <c r="O820" s="737" t="n"/>
      <c r="P820" s="737" t="n"/>
      <c r="Q820" s="737" t="n"/>
      <c r="R820" s="737" t="n"/>
      <c r="S820" s="737" t="n"/>
      <c r="T820" s="737" t="n"/>
      <c r="U820" s="737" t="n"/>
      <c r="V820" s="737" t="n"/>
      <c r="W820" s="737" t="n"/>
      <c r="X820" s="737" t="n"/>
      <c r="Y820" s="737" t="n"/>
      <c r="Z820" s="737" t="n"/>
      <c r="AA820" s="737" t="n"/>
      <c r="AB820" s="737" t="n"/>
      <c r="AC820" s="737" t="n"/>
      <c r="AD820" s="737" t="n"/>
      <c r="AE820" s="737" t="n"/>
      <c r="AF820" s="737" t="n"/>
      <c r="AG820" s="737" t="n"/>
      <c r="AH820" s="737" t="n"/>
      <c r="AI820" s="737" t="n"/>
      <c r="AJ820" s="737" t="n"/>
      <c r="AK820" s="588" t="n"/>
      <c r="AL820" s="588" t="n"/>
      <c r="AM820" s="588" t="n"/>
      <c r="AN820" s="588" t="n"/>
      <c r="AO820" s="588" t="n"/>
      <c r="AP820" s="588" t="n"/>
      <c r="AQ820" s="588" t="n"/>
      <c r="AR820" s="588" t="n"/>
      <c r="AS820" s="588" t="n"/>
      <c r="AT820" s="588" t="n"/>
      <c r="AU820" s="588" t="n"/>
      <c r="AV820" s="588" t="n"/>
      <c r="AW820" s="588" t="n"/>
      <c r="AX820" s="588" t="n"/>
      <c r="AY820" s="588" t="n"/>
      <c r="AZ820" s="588" t="n"/>
      <c r="BA820" s="588" t="n"/>
      <c r="BB820" s="588" t="n"/>
      <c r="BC820" s="588" t="n"/>
      <c r="BD820" s="588" t="n"/>
      <c r="BE820" s="588" t="n"/>
      <c r="BF820" s="588" t="n"/>
      <c r="BG820" s="588" t="n"/>
      <c r="BH820" s="588" t="n"/>
      <c r="BI820" s="588" t="n"/>
      <c r="BJ820" s="588" t="n"/>
      <c r="BK820" s="588" t="n"/>
      <c r="BL820" s="588" t="n"/>
      <c r="BM820" s="588" t="n"/>
      <c r="BN820" s="588" t="n"/>
      <c r="BO820" s="588" t="n"/>
      <c r="BP820" s="588" t="n"/>
      <c r="BQ820" s="588" t="n"/>
      <c r="BR820" s="588" t="n"/>
      <c r="BS820" s="588" t="n"/>
      <c r="BT820" s="588" t="n"/>
      <c r="BU820" s="588" t="n"/>
      <c r="BV820" s="588" t="n"/>
      <c r="BW820" s="588" t="n"/>
      <c r="BX820" s="588" t="n"/>
      <c r="BY820" s="588" t="n"/>
      <c r="BZ820" s="588" t="n"/>
      <c r="CA820" s="588" t="n"/>
      <c r="CB820" s="588" t="n"/>
      <c r="CC820" s="588" t="n"/>
      <c r="CD820" s="588" t="n"/>
      <c r="CE820" s="588" t="n"/>
      <c r="CF820" s="588" t="n"/>
      <c r="CG820" s="588" t="n"/>
      <c r="CH820" s="588" t="n"/>
      <c r="CI820" s="588" t="n"/>
      <c r="CJ820" s="588" t="n"/>
      <c r="CK820" s="588" t="n"/>
      <c r="CL820" s="588" t="n"/>
      <c r="CM820" s="588" t="n"/>
      <c r="CN820" s="588" t="n"/>
      <c r="CO820" s="588" t="n"/>
      <c r="CP820" s="588" t="n"/>
      <c r="CQ820" s="588" t="n"/>
      <c r="CR820" s="588" t="n"/>
      <c r="CS820" s="588" t="n"/>
      <c r="CT820" s="588" t="n"/>
      <c r="CU820" s="588" t="n"/>
      <c r="CV820" s="588" t="n"/>
      <c r="CW820" s="588" t="n"/>
      <c r="CX820" s="588" t="n"/>
      <c r="CY820" s="588" t="n"/>
      <c r="CZ820" s="588" t="n"/>
      <c r="DA820" s="588" t="n"/>
      <c r="DB820" s="588" t="n"/>
      <c r="DC820" s="588" t="n"/>
      <c r="DD820" s="588" t="n"/>
      <c r="DE820" s="588" t="n"/>
      <c r="DF820" s="588" t="n"/>
      <c r="DG820" s="588" t="n"/>
      <c r="DH820" s="588" t="n"/>
      <c r="DI820" s="588" t="n"/>
      <c r="DJ820" s="588" t="n"/>
      <c r="DK820" s="588" t="n"/>
      <c r="DL820" s="588" t="n"/>
      <c r="DM820" s="588" t="n"/>
      <c r="DN820" s="588" t="n"/>
      <c r="DO820" s="588" t="n"/>
      <c r="DP820" s="588" t="n"/>
      <c r="DQ820" s="588" t="n"/>
      <c r="DR820" s="588" t="n"/>
      <c r="DS820" s="588" t="n"/>
      <c r="DT820" s="588" t="n"/>
      <c r="DU820" s="588" t="n"/>
    </row>
    <row r="821">
      <c r="A821" s="737" t="n"/>
      <c r="B821" s="737" t="n"/>
      <c r="C821" s="737" t="n"/>
      <c r="D821" s="737" t="n"/>
      <c r="E821" s="737" t="n"/>
      <c r="F821" s="737" t="n"/>
      <c r="G821" s="737" t="n"/>
      <c r="H821" s="737" t="n"/>
      <c r="I821" s="737" t="n"/>
      <c r="J821" s="737" t="n"/>
      <c r="K821" s="737" t="n"/>
      <c r="L821" s="737" t="n"/>
      <c r="M821" s="737" t="n"/>
      <c r="N821" s="737" t="n"/>
      <c r="O821" s="737" t="n"/>
      <c r="P821" s="737" t="n"/>
      <c r="Q821" s="737" t="n"/>
      <c r="R821" s="737" t="n"/>
      <c r="S821" s="737" t="n"/>
      <c r="T821" s="737" t="n"/>
      <c r="U821" s="737" t="n"/>
      <c r="V821" s="737" t="n"/>
      <c r="W821" s="737" t="n"/>
      <c r="X821" s="737" t="n"/>
      <c r="Y821" s="737" t="n"/>
      <c r="Z821" s="737" t="n"/>
      <c r="AA821" s="737" t="n"/>
      <c r="AB821" s="737" t="n"/>
      <c r="AC821" s="737" t="n"/>
      <c r="AD821" s="737" t="n"/>
      <c r="AE821" s="737" t="n"/>
      <c r="AF821" s="737" t="n"/>
      <c r="AG821" s="737" t="n"/>
      <c r="AH821" s="737" t="n"/>
      <c r="AI821" s="737" t="n"/>
      <c r="AJ821" s="737" t="n"/>
      <c r="AK821" s="588" t="n"/>
      <c r="AL821" s="588" t="n"/>
      <c r="AM821" s="588" t="n"/>
      <c r="AN821" s="588" t="n"/>
      <c r="AO821" s="588" t="n"/>
      <c r="AP821" s="588" t="n"/>
      <c r="AQ821" s="588" t="n"/>
      <c r="AR821" s="588" t="n"/>
      <c r="AS821" s="588" t="n"/>
      <c r="AT821" s="588" t="n"/>
      <c r="AU821" s="588" t="n"/>
      <c r="AV821" s="588" t="n"/>
      <c r="AW821" s="588" t="n"/>
      <c r="AX821" s="588" t="n"/>
      <c r="AY821" s="588" t="n"/>
      <c r="AZ821" s="588" t="n"/>
      <c r="BA821" s="588" t="n"/>
      <c r="BB821" s="588" t="n"/>
      <c r="BC821" s="588" t="n"/>
      <c r="BD821" s="588" t="n"/>
      <c r="BE821" s="588" t="n"/>
      <c r="BF821" s="588" t="n"/>
      <c r="BG821" s="588" t="n"/>
      <c r="BH821" s="588" t="n"/>
      <c r="BI821" s="588" t="n"/>
      <c r="BJ821" s="588" t="n"/>
      <c r="BK821" s="588" t="n"/>
      <c r="BL821" s="588" t="n"/>
      <c r="BM821" s="588" t="n"/>
      <c r="BN821" s="588" t="n"/>
      <c r="BO821" s="588" t="n"/>
      <c r="BP821" s="588" t="n"/>
      <c r="BQ821" s="588" t="n"/>
      <c r="BR821" s="588" t="n"/>
      <c r="BS821" s="588" t="n"/>
      <c r="BT821" s="588" t="n"/>
      <c r="BU821" s="588" t="n"/>
      <c r="BV821" s="588" t="n"/>
      <c r="BW821" s="588" t="n"/>
      <c r="BX821" s="588" t="n"/>
      <c r="BY821" s="588" t="n"/>
      <c r="BZ821" s="588" t="n"/>
      <c r="CA821" s="588" t="n"/>
      <c r="CB821" s="588" t="n"/>
      <c r="CC821" s="588" t="n"/>
      <c r="CD821" s="588" t="n"/>
      <c r="CE821" s="588" t="n"/>
      <c r="CF821" s="588" t="n"/>
      <c r="CG821" s="588" t="n"/>
      <c r="CH821" s="588" t="n"/>
      <c r="CI821" s="588" t="n"/>
      <c r="CJ821" s="588" t="n"/>
      <c r="CK821" s="588" t="n"/>
      <c r="CL821" s="588" t="n"/>
      <c r="CM821" s="588" t="n"/>
      <c r="CN821" s="588" t="n"/>
      <c r="CO821" s="588" t="n"/>
      <c r="CP821" s="588" t="n"/>
      <c r="CQ821" s="588" t="n"/>
      <c r="CR821" s="588" t="n"/>
      <c r="CS821" s="588" t="n"/>
      <c r="CT821" s="588" t="n"/>
      <c r="CU821" s="588" t="n"/>
      <c r="CV821" s="588" t="n"/>
      <c r="CW821" s="588" t="n"/>
      <c r="CX821" s="588" t="n"/>
      <c r="CY821" s="588" t="n"/>
      <c r="CZ821" s="588" t="n"/>
      <c r="DA821" s="588" t="n"/>
      <c r="DB821" s="588" t="n"/>
      <c r="DC821" s="588" t="n"/>
      <c r="DD821" s="588" t="n"/>
      <c r="DE821" s="588" t="n"/>
      <c r="DF821" s="588" t="n"/>
      <c r="DG821" s="588" t="n"/>
      <c r="DH821" s="588" t="n"/>
      <c r="DI821" s="588" t="n"/>
      <c r="DJ821" s="588" t="n"/>
      <c r="DK821" s="588" t="n"/>
      <c r="DL821" s="588" t="n"/>
      <c r="DM821" s="588" t="n"/>
      <c r="DN821" s="588" t="n"/>
      <c r="DO821" s="588" t="n"/>
      <c r="DP821" s="588" t="n"/>
      <c r="DQ821" s="588" t="n"/>
      <c r="DR821" s="588" t="n"/>
      <c r="DS821" s="588" t="n"/>
      <c r="DT821" s="588" t="n"/>
      <c r="DU821" s="588" t="n"/>
    </row>
    <row r="822">
      <c r="A822" s="737" t="n"/>
      <c r="B822" s="737" t="n"/>
      <c r="C822" s="737" t="n"/>
      <c r="D822" s="737" t="n"/>
      <c r="E822" s="737" t="n"/>
      <c r="F822" s="737" t="n"/>
      <c r="G822" s="737" t="n"/>
      <c r="H822" s="737" t="n"/>
      <c r="I822" s="737" t="n"/>
      <c r="J822" s="737" t="n"/>
      <c r="K822" s="737" t="n"/>
      <c r="L822" s="737" t="n"/>
      <c r="M822" s="737" t="n"/>
      <c r="N822" s="737" t="n"/>
      <c r="O822" s="737" t="n"/>
      <c r="P822" s="737" t="n"/>
      <c r="Q822" s="737" t="n"/>
      <c r="R822" s="737" t="n"/>
      <c r="S822" s="737" t="n"/>
      <c r="T822" s="737" t="n"/>
      <c r="U822" s="737" t="n"/>
      <c r="V822" s="737" t="n"/>
      <c r="W822" s="737" t="n"/>
      <c r="X822" s="737" t="n"/>
      <c r="Y822" s="737" t="n"/>
      <c r="Z822" s="737" t="n"/>
      <c r="AA822" s="737" t="n"/>
      <c r="AB822" s="737" t="n"/>
      <c r="AC822" s="737" t="n"/>
      <c r="AD822" s="737" t="n"/>
      <c r="AE822" s="737" t="n"/>
      <c r="AF822" s="737" t="n"/>
      <c r="AG822" s="737" t="n"/>
      <c r="AH822" s="737" t="n"/>
      <c r="AI822" s="737" t="n"/>
      <c r="AJ822" s="737" t="n"/>
      <c r="AK822" s="588" t="n"/>
      <c r="AL822" s="588" t="n"/>
      <c r="AM822" s="588" t="n"/>
      <c r="AN822" s="588" t="n"/>
      <c r="AO822" s="588" t="n"/>
      <c r="AP822" s="588" t="n"/>
      <c r="AQ822" s="588" t="n"/>
      <c r="AR822" s="588" t="n"/>
      <c r="AS822" s="588" t="n"/>
      <c r="AT822" s="588" t="n"/>
      <c r="AU822" s="588" t="n"/>
      <c r="AV822" s="588" t="n"/>
      <c r="AW822" s="588" t="n"/>
      <c r="AX822" s="588" t="n"/>
      <c r="AY822" s="588" t="n"/>
      <c r="AZ822" s="588" t="n"/>
      <c r="BA822" s="588" t="n"/>
      <c r="BB822" s="588" t="n"/>
      <c r="BC822" s="588" t="n"/>
      <c r="BD822" s="588" t="n"/>
      <c r="BE822" s="588" t="n"/>
      <c r="BF822" s="588" t="n"/>
      <c r="BG822" s="588" t="n"/>
      <c r="BH822" s="588" t="n"/>
      <c r="BI822" s="588" t="n"/>
      <c r="BJ822" s="588" t="n"/>
      <c r="BK822" s="588" t="n"/>
      <c r="BL822" s="588" t="n"/>
      <c r="BM822" s="588" t="n"/>
      <c r="BN822" s="588" t="n"/>
      <c r="BO822" s="588" t="n"/>
      <c r="BP822" s="588" t="n"/>
      <c r="BQ822" s="588" t="n"/>
      <c r="BR822" s="588" t="n"/>
      <c r="BS822" s="588" t="n"/>
      <c r="BT822" s="588" t="n"/>
      <c r="BU822" s="588" t="n"/>
      <c r="BV822" s="588" t="n"/>
      <c r="BW822" s="588" t="n"/>
      <c r="BX822" s="588" t="n"/>
      <c r="BY822" s="588" t="n"/>
      <c r="BZ822" s="588" t="n"/>
      <c r="CA822" s="588" t="n"/>
      <c r="CB822" s="588" t="n"/>
      <c r="CC822" s="588" t="n"/>
      <c r="CD822" s="588" t="n"/>
      <c r="CE822" s="588" t="n"/>
      <c r="CF822" s="588" t="n"/>
      <c r="CG822" s="588" t="n"/>
      <c r="CH822" s="588" t="n"/>
      <c r="CI822" s="588" t="n"/>
      <c r="CJ822" s="588" t="n"/>
      <c r="CK822" s="588" t="n"/>
      <c r="CL822" s="588" t="n"/>
      <c r="CM822" s="588" t="n"/>
      <c r="CN822" s="588" t="n"/>
      <c r="CO822" s="588" t="n"/>
      <c r="CP822" s="588" t="n"/>
      <c r="CQ822" s="588" t="n"/>
      <c r="CR822" s="588" t="n"/>
      <c r="CS822" s="588" t="n"/>
      <c r="CT822" s="588" t="n"/>
      <c r="CU822" s="588" t="n"/>
      <c r="CV822" s="588" t="n"/>
      <c r="CW822" s="588" t="n"/>
      <c r="CX822" s="588" t="n"/>
      <c r="CY822" s="588" t="n"/>
      <c r="CZ822" s="588" t="n"/>
      <c r="DA822" s="588" t="n"/>
      <c r="DB822" s="588" t="n"/>
      <c r="DC822" s="588" t="n"/>
      <c r="DD822" s="588" t="n"/>
      <c r="DE822" s="588" t="n"/>
      <c r="DF822" s="588" t="n"/>
      <c r="DG822" s="588" t="n"/>
      <c r="DH822" s="588" t="n"/>
      <c r="DI822" s="588" t="n"/>
      <c r="DJ822" s="588" t="n"/>
      <c r="DK822" s="588" t="n"/>
      <c r="DL822" s="588" t="n"/>
      <c r="DM822" s="588" t="n"/>
      <c r="DN822" s="588" t="n"/>
      <c r="DO822" s="588" t="n"/>
      <c r="DP822" s="588" t="n"/>
      <c r="DQ822" s="588" t="n"/>
      <c r="DR822" s="588" t="n"/>
      <c r="DS822" s="588" t="n"/>
      <c r="DT822" s="588" t="n"/>
      <c r="DU822" s="588" t="n"/>
    </row>
    <row r="823">
      <c r="A823" s="737" t="n"/>
      <c r="B823" s="737" t="n"/>
      <c r="C823" s="737" t="n"/>
      <c r="D823" s="737" t="n"/>
      <c r="E823" s="737" t="n"/>
      <c r="F823" s="737" t="n"/>
      <c r="G823" s="737" t="n"/>
      <c r="H823" s="737" t="n"/>
      <c r="I823" s="737" t="n"/>
      <c r="J823" s="737" t="n"/>
      <c r="K823" s="737" t="n"/>
      <c r="L823" s="737" t="n"/>
      <c r="M823" s="737" t="n"/>
      <c r="N823" s="737" t="n"/>
      <c r="O823" s="737" t="n"/>
      <c r="P823" s="737" t="n"/>
      <c r="Q823" s="737" t="n"/>
      <c r="R823" s="737" t="n"/>
      <c r="S823" s="737" t="n"/>
      <c r="T823" s="737" t="n"/>
      <c r="U823" s="737" t="n"/>
      <c r="V823" s="737" t="n"/>
      <c r="W823" s="737" t="n"/>
      <c r="X823" s="737" t="n"/>
      <c r="Y823" s="737" t="n"/>
      <c r="Z823" s="737" t="n"/>
      <c r="AA823" s="737" t="n"/>
      <c r="AB823" s="737" t="n"/>
      <c r="AC823" s="737" t="n"/>
      <c r="AD823" s="737" t="n"/>
      <c r="AE823" s="737" t="n"/>
      <c r="AF823" s="737" t="n"/>
      <c r="AG823" s="737" t="n"/>
      <c r="AH823" s="737" t="n"/>
      <c r="AI823" s="737" t="n"/>
      <c r="AJ823" s="737" t="n"/>
      <c r="AK823" s="588" t="n"/>
      <c r="AL823" s="588" t="n"/>
      <c r="AM823" s="588" t="n"/>
      <c r="AN823" s="588" t="n"/>
      <c r="AO823" s="588" t="n"/>
      <c r="AP823" s="588" t="n"/>
      <c r="AQ823" s="588" t="n"/>
      <c r="AR823" s="588" t="n"/>
      <c r="AS823" s="588" t="n"/>
      <c r="AT823" s="588" t="n"/>
      <c r="AU823" s="588" t="n"/>
      <c r="AV823" s="588" t="n"/>
      <c r="AW823" s="588" t="n"/>
      <c r="AX823" s="588" t="n"/>
      <c r="AY823" s="588" t="n"/>
      <c r="AZ823" s="588" t="n"/>
      <c r="BA823" s="588" t="n"/>
      <c r="BB823" s="588" t="n"/>
      <c r="BC823" s="588" t="n"/>
      <c r="BD823" s="588" t="n"/>
      <c r="BE823" s="588" t="n"/>
      <c r="BF823" s="588" t="n"/>
      <c r="BG823" s="588" t="n"/>
      <c r="BH823" s="588" t="n"/>
      <c r="BI823" s="588" t="n"/>
      <c r="BJ823" s="588" t="n"/>
      <c r="BK823" s="588" t="n"/>
      <c r="BL823" s="588" t="n"/>
      <c r="BM823" s="588" t="n"/>
      <c r="BN823" s="588" t="n"/>
      <c r="BO823" s="588" t="n"/>
      <c r="BP823" s="588" t="n"/>
      <c r="BQ823" s="588" t="n"/>
      <c r="BR823" s="588" t="n"/>
      <c r="BS823" s="588" t="n"/>
      <c r="BT823" s="588" t="n"/>
      <c r="BU823" s="588" t="n"/>
      <c r="BV823" s="588" t="n"/>
      <c r="BW823" s="588" t="n"/>
      <c r="BX823" s="588" t="n"/>
      <c r="BY823" s="588" t="n"/>
      <c r="BZ823" s="588" t="n"/>
      <c r="CA823" s="588" t="n"/>
      <c r="CB823" s="588" t="n"/>
      <c r="CC823" s="588" t="n"/>
      <c r="CD823" s="588" t="n"/>
      <c r="CE823" s="588" t="n"/>
      <c r="CF823" s="588" t="n"/>
      <c r="CG823" s="588" t="n"/>
      <c r="CH823" s="588" t="n"/>
      <c r="CI823" s="588" t="n"/>
      <c r="CJ823" s="588" t="n"/>
      <c r="CK823" s="588" t="n"/>
      <c r="CL823" s="588" t="n"/>
      <c r="CM823" s="588" t="n"/>
      <c r="CN823" s="588" t="n"/>
      <c r="CO823" s="588" t="n"/>
      <c r="CP823" s="588" t="n"/>
      <c r="CQ823" s="588" t="n"/>
      <c r="CR823" s="588" t="n"/>
      <c r="CS823" s="588" t="n"/>
      <c r="CT823" s="588" t="n"/>
      <c r="CU823" s="588" t="n"/>
      <c r="CV823" s="588" t="n"/>
      <c r="CW823" s="588" t="n"/>
      <c r="CX823" s="588" t="n"/>
      <c r="CY823" s="588" t="n"/>
      <c r="CZ823" s="588" t="n"/>
      <c r="DA823" s="588" t="n"/>
      <c r="DB823" s="588" t="n"/>
      <c r="DC823" s="588" t="n"/>
      <c r="DD823" s="588" t="n"/>
      <c r="DE823" s="588" t="n"/>
      <c r="DF823" s="588" t="n"/>
      <c r="DG823" s="588" t="n"/>
      <c r="DH823" s="588" t="n"/>
      <c r="DI823" s="588" t="n"/>
      <c r="DJ823" s="588" t="n"/>
      <c r="DK823" s="588" t="n"/>
      <c r="DL823" s="588" t="n"/>
      <c r="DM823" s="588" t="n"/>
      <c r="DN823" s="588" t="n"/>
      <c r="DO823" s="588" t="n"/>
      <c r="DP823" s="588" t="n"/>
      <c r="DQ823" s="588" t="n"/>
      <c r="DR823" s="588" t="n"/>
      <c r="DS823" s="588" t="n"/>
      <c r="DT823" s="588" t="n"/>
      <c r="DU823" s="588" t="n"/>
    </row>
    <row r="824">
      <c r="A824" s="737" t="n"/>
      <c r="B824" s="737" t="n"/>
      <c r="C824" s="737" t="n"/>
      <c r="D824" s="737" t="n"/>
      <c r="E824" s="737" t="n"/>
      <c r="F824" s="737" t="n"/>
      <c r="G824" s="737" t="n"/>
      <c r="H824" s="737" t="n"/>
      <c r="I824" s="737" t="n"/>
      <c r="J824" s="737" t="n"/>
      <c r="K824" s="737" t="n"/>
      <c r="L824" s="737" t="n"/>
      <c r="M824" s="737" t="n"/>
      <c r="N824" s="737" t="n"/>
      <c r="O824" s="737" t="n"/>
      <c r="P824" s="737" t="n"/>
      <c r="Q824" s="737" t="n"/>
      <c r="R824" s="737" t="n"/>
      <c r="S824" s="737" t="n"/>
      <c r="T824" s="737" t="n"/>
      <c r="U824" s="737" t="n"/>
      <c r="V824" s="737" t="n"/>
      <c r="W824" s="737" t="n"/>
      <c r="X824" s="737" t="n"/>
      <c r="Y824" s="737" t="n"/>
      <c r="Z824" s="737" t="n"/>
      <c r="AA824" s="737" t="n"/>
      <c r="AB824" s="737" t="n"/>
      <c r="AC824" s="737" t="n"/>
      <c r="AD824" s="737" t="n"/>
      <c r="AE824" s="737" t="n"/>
      <c r="AF824" s="737" t="n"/>
      <c r="AG824" s="737" t="n"/>
      <c r="AH824" s="737" t="n"/>
      <c r="AI824" s="737" t="n"/>
      <c r="AJ824" s="737" t="n"/>
      <c r="AK824" s="588" t="n"/>
      <c r="AL824" s="588" t="n"/>
      <c r="AM824" s="588" t="n"/>
      <c r="AN824" s="588" t="n"/>
      <c r="AO824" s="588" t="n"/>
      <c r="AP824" s="588" t="n"/>
      <c r="AQ824" s="588" t="n"/>
      <c r="AR824" s="588" t="n"/>
      <c r="AS824" s="588" t="n"/>
      <c r="AT824" s="588" t="n"/>
      <c r="AU824" s="588" t="n"/>
      <c r="AV824" s="588" t="n"/>
      <c r="AW824" s="588" t="n"/>
      <c r="AX824" s="588" t="n"/>
      <c r="AY824" s="588" t="n"/>
      <c r="AZ824" s="588" t="n"/>
      <c r="BA824" s="588" t="n"/>
      <c r="BB824" s="588" t="n"/>
      <c r="BC824" s="588" t="n"/>
      <c r="BD824" s="588" t="n"/>
      <c r="BE824" s="588" t="n"/>
      <c r="BF824" s="588" t="n"/>
      <c r="BG824" s="588" t="n"/>
      <c r="BH824" s="588" t="n"/>
      <c r="BI824" s="588" t="n"/>
      <c r="BJ824" s="588" t="n"/>
      <c r="BK824" s="588" t="n"/>
      <c r="BL824" s="588" t="n"/>
      <c r="BM824" s="588" t="n"/>
      <c r="BN824" s="588" t="n"/>
      <c r="BO824" s="588" t="n"/>
      <c r="BP824" s="588" t="n"/>
      <c r="BQ824" s="588" t="n"/>
      <c r="BR824" s="588" t="n"/>
      <c r="BS824" s="588" t="n"/>
      <c r="BT824" s="588" t="n"/>
      <c r="BU824" s="588" t="n"/>
      <c r="BV824" s="588" t="n"/>
      <c r="BW824" s="588" t="n"/>
      <c r="BX824" s="588" t="n"/>
      <c r="BY824" s="588" t="n"/>
      <c r="BZ824" s="588" t="n"/>
      <c r="CA824" s="588" t="n"/>
      <c r="CB824" s="588" t="n"/>
      <c r="CC824" s="588" t="n"/>
      <c r="CD824" s="588" t="n"/>
      <c r="CE824" s="588" t="n"/>
      <c r="CF824" s="588" t="n"/>
      <c r="CG824" s="588" t="n"/>
      <c r="CH824" s="588" t="n"/>
      <c r="CI824" s="588" t="n"/>
      <c r="CJ824" s="588" t="n"/>
      <c r="CK824" s="588" t="n"/>
      <c r="CL824" s="588" t="n"/>
      <c r="CM824" s="588" t="n"/>
      <c r="CN824" s="588" t="n"/>
      <c r="CO824" s="588" t="n"/>
      <c r="CP824" s="588" t="n"/>
      <c r="CQ824" s="588" t="n"/>
      <c r="CR824" s="588" t="n"/>
      <c r="CS824" s="588" t="n"/>
      <c r="CT824" s="588" t="n"/>
      <c r="CU824" s="588" t="n"/>
      <c r="CV824" s="588" t="n"/>
      <c r="CW824" s="588" t="n"/>
      <c r="CX824" s="588" t="n"/>
      <c r="CY824" s="588" t="n"/>
      <c r="CZ824" s="588" t="n"/>
      <c r="DA824" s="588" t="n"/>
      <c r="DB824" s="588" t="n"/>
      <c r="DC824" s="588" t="n"/>
      <c r="DD824" s="588" t="n"/>
      <c r="DE824" s="588" t="n"/>
      <c r="DF824" s="588" t="n"/>
      <c r="DG824" s="588" t="n"/>
      <c r="DH824" s="588" t="n"/>
      <c r="DI824" s="588" t="n"/>
      <c r="DJ824" s="588" t="n"/>
      <c r="DK824" s="588" t="n"/>
      <c r="DL824" s="588" t="n"/>
      <c r="DM824" s="588" t="n"/>
      <c r="DN824" s="588" t="n"/>
      <c r="DO824" s="588" t="n"/>
      <c r="DP824" s="588" t="n"/>
      <c r="DQ824" s="588" t="n"/>
      <c r="DR824" s="588" t="n"/>
      <c r="DS824" s="588" t="n"/>
      <c r="DT824" s="588" t="n"/>
      <c r="DU824" s="588" t="n"/>
    </row>
    <row r="825">
      <c r="A825" s="737" t="n"/>
      <c r="B825" s="737" t="n"/>
      <c r="C825" s="737" t="n"/>
      <c r="D825" s="737" t="n"/>
      <c r="E825" s="737" t="n"/>
      <c r="F825" s="737" t="n"/>
      <c r="G825" s="737" t="n"/>
      <c r="H825" s="737" t="n"/>
      <c r="I825" s="737" t="n"/>
      <c r="J825" s="737" t="n"/>
      <c r="K825" s="737" t="n"/>
      <c r="L825" s="737" t="n"/>
      <c r="M825" s="737" t="n"/>
      <c r="N825" s="737" t="n"/>
      <c r="O825" s="737" t="n"/>
      <c r="P825" s="737" t="n"/>
      <c r="Q825" s="737" t="n"/>
      <c r="R825" s="737" t="n"/>
      <c r="S825" s="737" t="n"/>
      <c r="T825" s="737" t="n"/>
      <c r="U825" s="737" t="n"/>
      <c r="V825" s="737" t="n"/>
      <c r="W825" s="737" t="n"/>
      <c r="X825" s="737" t="n"/>
      <c r="Y825" s="737" t="n"/>
      <c r="Z825" s="737" t="n"/>
      <c r="AA825" s="737" t="n"/>
      <c r="AB825" s="737" t="n"/>
      <c r="AC825" s="737" t="n"/>
      <c r="AD825" s="737" t="n"/>
      <c r="AE825" s="737" t="n"/>
      <c r="AF825" s="737" t="n"/>
      <c r="AG825" s="737" t="n"/>
      <c r="AH825" s="737" t="n"/>
      <c r="AI825" s="737" t="n"/>
      <c r="AJ825" s="737" t="n"/>
      <c r="AK825" s="588" t="n"/>
      <c r="AL825" s="588" t="n"/>
      <c r="AM825" s="588" t="n"/>
      <c r="AN825" s="588" t="n"/>
      <c r="AO825" s="588" t="n"/>
      <c r="AP825" s="588" t="n"/>
      <c r="AQ825" s="588" t="n"/>
      <c r="AR825" s="588" t="n"/>
      <c r="AS825" s="588" t="n"/>
      <c r="AT825" s="588" t="n"/>
      <c r="AU825" s="588" t="n"/>
      <c r="AV825" s="588" t="n"/>
      <c r="AW825" s="588" t="n"/>
      <c r="AX825" s="588" t="n"/>
      <c r="AY825" s="588" t="n"/>
      <c r="AZ825" s="588" t="n"/>
      <c r="BA825" s="588" t="n"/>
      <c r="BB825" s="588" t="n"/>
      <c r="BC825" s="588" t="n"/>
      <c r="BD825" s="588" t="n"/>
      <c r="BE825" s="588" t="n"/>
      <c r="BF825" s="588" t="n"/>
      <c r="BG825" s="588" t="n"/>
      <c r="BH825" s="588" t="n"/>
      <c r="BI825" s="588" t="n"/>
      <c r="BJ825" s="588" t="n"/>
      <c r="BK825" s="588" t="n"/>
      <c r="BL825" s="588" t="n"/>
      <c r="BM825" s="588" t="n"/>
      <c r="BN825" s="588" t="n"/>
      <c r="BO825" s="588" t="n"/>
      <c r="BP825" s="588" t="n"/>
      <c r="BQ825" s="588" t="n"/>
      <c r="BR825" s="588" t="n"/>
      <c r="BS825" s="588" t="n"/>
      <c r="BT825" s="588" t="n"/>
      <c r="BU825" s="588" t="n"/>
      <c r="BV825" s="588" t="n"/>
      <c r="BW825" s="588" t="n"/>
      <c r="BX825" s="588" t="n"/>
      <c r="BY825" s="588" t="n"/>
      <c r="BZ825" s="588" t="n"/>
      <c r="CA825" s="588" t="n"/>
      <c r="CB825" s="588" t="n"/>
      <c r="CC825" s="588" t="n"/>
      <c r="CD825" s="588" t="n"/>
      <c r="CE825" s="588" t="n"/>
      <c r="CF825" s="588" t="n"/>
      <c r="CG825" s="588" t="n"/>
      <c r="CH825" s="588" t="n"/>
      <c r="CI825" s="588" t="n"/>
      <c r="CJ825" s="588" t="n"/>
      <c r="CK825" s="588" t="n"/>
      <c r="CL825" s="588" t="n"/>
      <c r="CM825" s="588" t="n"/>
      <c r="CN825" s="588" t="n"/>
      <c r="CO825" s="588" t="n"/>
      <c r="CP825" s="588" t="n"/>
      <c r="CQ825" s="588" t="n"/>
      <c r="CR825" s="588" t="n"/>
      <c r="CS825" s="588" t="n"/>
      <c r="CT825" s="588" t="n"/>
      <c r="CU825" s="588" t="n"/>
      <c r="CV825" s="588" t="n"/>
      <c r="CW825" s="588" t="n"/>
      <c r="CX825" s="588" t="n"/>
      <c r="CY825" s="588" t="n"/>
      <c r="CZ825" s="588" t="n"/>
      <c r="DA825" s="588" t="n"/>
      <c r="DB825" s="588" t="n"/>
      <c r="DC825" s="588" t="n"/>
      <c r="DD825" s="588" t="n"/>
      <c r="DE825" s="588" t="n"/>
      <c r="DF825" s="588" t="n"/>
      <c r="DG825" s="588" t="n"/>
      <c r="DH825" s="588" t="n"/>
      <c r="DI825" s="588" t="n"/>
      <c r="DJ825" s="588" t="n"/>
      <c r="DK825" s="588" t="n"/>
      <c r="DL825" s="588" t="n"/>
      <c r="DM825" s="588" t="n"/>
      <c r="DN825" s="588" t="n"/>
      <c r="DO825" s="588" t="n"/>
      <c r="DP825" s="588" t="n"/>
      <c r="DQ825" s="588" t="n"/>
      <c r="DR825" s="588" t="n"/>
      <c r="DS825" s="588" t="n"/>
      <c r="DT825" s="588" t="n"/>
      <c r="DU825" s="588" t="n"/>
    </row>
    <row r="826">
      <c r="A826" s="737" t="n"/>
      <c r="B826" s="737" t="n"/>
      <c r="C826" s="737" t="n"/>
      <c r="D826" s="737" t="n"/>
      <c r="E826" s="737" t="n"/>
      <c r="F826" s="737" t="n"/>
      <c r="G826" s="737" t="n"/>
      <c r="H826" s="737" t="n"/>
      <c r="I826" s="737" t="n"/>
      <c r="J826" s="737" t="n"/>
      <c r="K826" s="737" t="n"/>
      <c r="L826" s="737" t="n"/>
      <c r="M826" s="737" t="n"/>
      <c r="N826" s="737" t="n"/>
      <c r="O826" s="737" t="n"/>
      <c r="P826" s="737" t="n"/>
      <c r="Q826" s="737" t="n"/>
      <c r="R826" s="737" t="n"/>
      <c r="S826" s="737" t="n"/>
      <c r="T826" s="737" t="n"/>
      <c r="U826" s="737" t="n"/>
      <c r="V826" s="737" t="n"/>
      <c r="W826" s="737" t="n"/>
      <c r="X826" s="737" t="n"/>
      <c r="Y826" s="737" t="n"/>
      <c r="Z826" s="737" t="n"/>
      <c r="AA826" s="737" t="n"/>
      <c r="AB826" s="737" t="n"/>
      <c r="AC826" s="737" t="n"/>
      <c r="AD826" s="737" t="n"/>
      <c r="AE826" s="737" t="n"/>
      <c r="AF826" s="737" t="n"/>
      <c r="AG826" s="737" t="n"/>
      <c r="AH826" s="737" t="n"/>
      <c r="AI826" s="737" t="n"/>
      <c r="AJ826" s="737" t="n"/>
      <c r="AK826" s="588" t="n"/>
      <c r="AL826" s="588" t="n"/>
      <c r="AM826" s="588" t="n"/>
      <c r="AN826" s="588" t="n"/>
      <c r="AO826" s="588" t="n"/>
      <c r="AP826" s="588" t="n"/>
      <c r="AQ826" s="588" t="n"/>
      <c r="AR826" s="588" t="n"/>
      <c r="AS826" s="588" t="n"/>
      <c r="AT826" s="588" t="n"/>
      <c r="AU826" s="588" t="n"/>
      <c r="AV826" s="588" t="n"/>
      <c r="AW826" s="588" t="n"/>
      <c r="AX826" s="588" t="n"/>
      <c r="AY826" s="588" t="n"/>
      <c r="AZ826" s="588" t="n"/>
      <c r="BA826" s="588" t="n"/>
      <c r="BB826" s="588" t="n"/>
      <c r="BC826" s="588" t="n"/>
      <c r="BD826" s="588" t="n"/>
      <c r="BE826" s="588" t="n"/>
      <c r="BF826" s="588" t="n"/>
      <c r="BG826" s="588" t="n"/>
      <c r="BH826" s="588" t="n"/>
      <c r="BI826" s="588" t="n"/>
      <c r="BJ826" s="588" t="n"/>
      <c r="BK826" s="588" t="n"/>
      <c r="BL826" s="588" t="n"/>
      <c r="BM826" s="588" t="n"/>
      <c r="BN826" s="588" t="n"/>
      <c r="BO826" s="588" t="n"/>
      <c r="BP826" s="588" t="n"/>
      <c r="BQ826" s="588" t="n"/>
      <c r="BR826" s="588" t="n"/>
      <c r="BS826" s="588" t="n"/>
      <c r="BT826" s="588" t="n"/>
      <c r="BU826" s="588" t="n"/>
      <c r="BV826" s="588" t="n"/>
      <c r="BW826" s="588" t="n"/>
      <c r="BX826" s="588" t="n"/>
      <c r="BY826" s="588" t="n"/>
      <c r="BZ826" s="588" t="n"/>
      <c r="CA826" s="588" t="n"/>
      <c r="CB826" s="588" t="n"/>
      <c r="CC826" s="588" t="n"/>
      <c r="CD826" s="588" t="n"/>
      <c r="CE826" s="588" t="n"/>
      <c r="CF826" s="588" t="n"/>
      <c r="CG826" s="588" t="n"/>
      <c r="CH826" s="588" t="n"/>
      <c r="CI826" s="588" t="n"/>
      <c r="CJ826" s="588" t="n"/>
      <c r="CK826" s="588" t="n"/>
      <c r="CL826" s="588" t="n"/>
      <c r="CM826" s="588" t="n"/>
      <c r="CN826" s="588" t="n"/>
      <c r="CO826" s="588" t="n"/>
      <c r="CP826" s="588" t="n"/>
      <c r="CQ826" s="588" t="n"/>
      <c r="CR826" s="588" t="n"/>
      <c r="CS826" s="588" t="n"/>
      <c r="CT826" s="588" t="n"/>
      <c r="CU826" s="588" t="n"/>
      <c r="CV826" s="588" t="n"/>
      <c r="CW826" s="588" t="n"/>
      <c r="CX826" s="588" t="n"/>
      <c r="CY826" s="588" t="n"/>
      <c r="CZ826" s="588" t="n"/>
      <c r="DA826" s="588" t="n"/>
      <c r="DB826" s="588" t="n"/>
      <c r="DC826" s="588" t="n"/>
      <c r="DD826" s="588" t="n"/>
      <c r="DE826" s="588" t="n"/>
      <c r="DF826" s="588" t="n"/>
      <c r="DG826" s="588" t="n"/>
      <c r="DH826" s="588" t="n"/>
      <c r="DI826" s="588" t="n"/>
      <c r="DJ826" s="588" t="n"/>
      <c r="DK826" s="588" t="n"/>
      <c r="DL826" s="588" t="n"/>
      <c r="DM826" s="588" t="n"/>
      <c r="DN826" s="588" t="n"/>
      <c r="DO826" s="588" t="n"/>
      <c r="DP826" s="588" t="n"/>
      <c r="DQ826" s="588" t="n"/>
      <c r="DR826" s="588" t="n"/>
      <c r="DS826" s="588" t="n"/>
      <c r="DT826" s="588" t="n"/>
      <c r="DU826" s="588" t="n"/>
    </row>
    <row r="827">
      <c r="A827" s="737" t="n"/>
      <c r="B827" s="737" t="n"/>
      <c r="C827" s="737" t="n"/>
      <c r="D827" s="737" t="n"/>
      <c r="E827" s="737" t="n"/>
      <c r="F827" s="737" t="n"/>
      <c r="G827" s="737" t="n"/>
      <c r="H827" s="737" t="n"/>
      <c r="I827" s="737" t="n"/>
      <c r="J827" s="737" t="n"/>
      <c r="K827" s="737" t="n"/>
      <c r="L827" s="737" t="n"/>
      <c r="M827" s="737" t="n"/>
      <c r="N827" s="737" t="n"/>
      <c r="O827" s="737" t="n"/>
      <c r="P827" s="737" t="n"/>
      <c r="Q827" s="737" t="n"/>
      <c r="R827" s="737" t="n"/>
      <c r="S827" s="737" t="n"/>
      <c r="T827" s="737" t="n"/>
      <c r="U827" s="737" t="n"/>
      <c r="V827" s="737" t="n"/>
      <c r="W827" s="737" t="n"/>
      <c r="X827" s="737" t="n"/>
      <c r="Y827" s="737" t="n"/>
      <c r="Z827" s="737" t="n"/>
      <c r="AA827" s="737" t="n"/>
      <c r="AB827" s="737" t="n"/>
      <c r="AC827" s="737" t="n"/>
      <c r="AD827" s="737" t="n"/>
      <c r="AE827" s="737" t="n"/>
      <c r="AF827" s="737" t="n"/>
      <c r="AG827" s="737" t="n"/>
      <c r="AH827" s="737" t="n"/>
      <c r="AI827" s="737" t="n"/>
      <c r="AJ827" s="737" t="n"/>
      <c r="AK827" s="588" t="n"/>
      <c r="AL827" s="588" t="n"/>
      <c r="AM827" s="588" t="n"/>
      <c r="AN827" s="588" t="n"/>
      <c r="AO827" s="588" t="n"/>
      <c r="AP827" s="588" t="n"/>
      <c r="AQ827" s="588" t="n"/>
      <c r="AR827" s="588" t="n"/>
      <c r="AS827" s="588" t="n"/>
      <c r="AT827" s="588" t="n"/>
      <c r="AU827" s="588" t="n"/>
      <c r="AV827" s="588" t="n"/>
      <c r="AW827" s="588" t="n"/>
      <c r="AX827" s="588" t="n"/>
      <c r="AY827" s="588" t="n"/>
      <c r="AZ827" s="588" t="n"/>
      <c r="BA827" s="588" t="n"/>
      <c r="BB827" s="588" t="n"/>
      <c r="BC827" s="588" t="n"/>
      <c r="BD827" s="588" t="n"/>
      <c r="BE827" s="588" t="n"/>
      <c r="BF827" s="588" t="n"/>
      <c r="BG827" s="588" t="n"/>
      <c r="BH827" s="588" t="n"/>
      <c r="BI827" s="588" t="n"/>
      <c r="BJ827" s="588" t="n"/>
      <c r="BK827" s="588" t="n"/>
      <c r="BL827" s="588" t="n"/>
      <c r="BM827" s="588" t="n"/>
      <c r="BN827" s="588" t="n"/>
      <c r="BO827" s="588" t="n"/>
      <c r="BP827" s="588" t="n"/>
      <c r="BQ827" s="588" t="n"/>
      <c r="BR827" s="588" t="n"/>
      <c r="BS827" s="588" t="n"/>
      <c r="BT827" s="588" t="n"/>
      <c r="BU827" s="588" t="n"/>
      <c r="BV827" s="588" t="n"/>
      <c r="BW827" s="588" t="n"/>
      <c r="BX827" s="588" t="n"/>
      <c r="BY827" s="588" t="n"/>
      <c r="BZ827" s="588" t="n"/>
      <c r="CA827" s="588" t="n"/>
      <c r="CB827" s="588" t="n"/>
      <c r="CC827" s="588" t="n"/>
      <c r="CD827" s="588" t="n"/>
      <c r="CE827" s="588" t="n"/>
      <c r="CF827" s="588" t="n"/>
      <c r="CG827" s="588" t="n"/>
      <c r="CH827" s="588" t="n"/>
      <c r="CI827" s="588" t="n"/>
      <c r="CJ827" s="588" t="n"/>
      <c r="CK827" s="588" t="n"/>
      <c r="CL827" s="588" t="n"/>
      <c r="CM827" s="588" t="n"/>
      <c r="CN827" s="588" t="n"/>
      <c r="CO827" s="588" t="n"/>
      <c r="CP827" s="588" t="n"/>
      <c r="CQ827" s="588" t="n"/>
      <c r="CR827" s="588" t="n"/>
      <c r="CS827" s="588" t="n"/>
      <c r="CT827" s="588" t="n"/>
      <c r="CU827" s="588" t="n"/>
      <c r="CV827" s="588" t="n"/>
      <c r="CW827" s="588" t="n"/>
      <c r="CX827" s="588" t="n"/>
      <c r="CY827" s="588" t="n"/>
      <c r="CZ827" s="588" t="n"/>
      <c r="DA827" s="588" t="n"/>
      <c r="DB827" s="588" t="n"/>
      <c r="DC827" s="588" t="n"/>
      <c r="DD827" s="588" t="n"/>
      <c r="DE827" s="588" t="n"/>
      <c r="DF827" s="588" t="n"/>
      <c r="DG827" s="588" t="n"/>
      <c r="DH827" s="588" t="n"/>
      <c r="DI827" s="588" t="n"/>
      <c r="DJ827" s="588" t="n"/>
      <c r="DK827" s="588" t="n"/>
      <c r="DL827" s="588" t="n"/>
      <c r="DM827" s="588" t="n"/>
      <c r="DN827" s="588" t="n"/>
      <c r="DO827" s="588" t="n"/>
      <c r="DP827" s="588" t="n"/>
      <c r="DQ827" s="588" t="n"/>
      <c r="DR827" s="588" t="n"/>
      <c r="DS827" s="588" t="n"/>
      <c r="DT827" s="588" t="n"/>
      <c r="DU827" s="588" t="n"/>
    </row>
    <row r="828">
      <c r="A828" s="737" t="n"/>
      <c r="B828" s="737" t="n"/>
      <c r="C828" s="737" t="n"/>
      <c r="D828" s="737" t="n"/>
      <c r="E828" s="737" t="n"/>
      <c r="F828" s="737" t="n"/>
      <c r="G828" s="737" t="n"/>
      <c r="H828" s="737" t="n"/>
      <c r="I828" s="737" t="n"/>
      <c r="J828" s="737" t="n"/>
      <c r="K828" s="737" t="n"/>
      <c r="L828" s="737" t="n"/>
      <c r="M828" s="737" t="n"/>
      <c r="N828" s="737" t="n"/>
      <c r="O828" s="737" t="n"/>
      <c r="P828" s="737" t="n"/>
      <c r="Q828" s="737" t="n"/>
      <c r="R828" s="737" t="n"/>
      <c r="S828" s="737" t="n"/>
      <c r="T828" s="737" t="n"/>
      <c r="U828" s="737" t="n"/>
      <c r="V828" s="737" t="n"/>
      <c r="W828" s="737" t="n"/>
      <c r="X828" s="737" t="n"/>
      <c r="Y828" s="737" t="n"/>
      <c r="Z828" s="737" t="n"/>
      <c r="AA828" s="737" t="n"/>
      <c r="AB828" s="737" t="n"/>
      <c r="AC828" s="737" t="n"/>
      <c r="AD828" s="737" t="n"/>
      <c r="AE828" s="737" t="n"/>
      <c r="AF828" s="737" t="n"/>
      <c r="AG828" s="737" t="n"/>
      <c r="AH828" s="737" t="n"/>
      <c r="AI828" s="737" t="n"/>
      <c r="AJ828" s="737" t="n"/>
      <c r="AK828" s="588" t="n"/>
      <c r="AL828" s="588" t="n"/>
      <c r="AM828" s="588" t="n"/>
      <c r="AN828" s="588" t="n"/>
      <c r="AO828" s="588" t="n"/>
      <c r="AP828" s="588" t="n"/>
      <c r="AQ828" s="588" t="n"/>
      <c r="AR828" s="588" t="n"/>
      <c r="AS828" s="588" t="n"/>
      <c r="AT828" s="588" t="n"/>
      <c r="AU828" s="588" t="n"/>
      <c r="AV828" s="588" t="n"/>
      <c r="AW828" s="588" t="n"/>
      <c r="AX828" s="588" t="n"/>
      <c r="AY828" s="588" t="n"/>
      <c r="AZ828" s="588" t="n"/>
      <c r="BA828" s="588" t="n"/>
      <c r="BB828" s="588" t="n"/>
      <c r="BC828" s="588" t="n"/>
      <c r="BD828" s="588" t="n"/>
      <c r="BE828" s="588" t="n"/>
      <c r="BF828" s="588" t="n"/>
      <c r="BG828" s="588" t="n"/>
      <c r="BH828" s="588" t="n"/>
      <c r="BI828" s="588" t="n"/>
      <c r="BJ828" s="588" t="n"/>
      <c r="BK828" s="588" t="n"/>
      <c r="BL828" s="588" t="n"/>
      <c r="BM828" s="588" t="n"/>
      <c r="BN828" s="588" t="n"/>
      <c r="BO828" s="588" t="n"/>
      <c r="BP828" s="588" t="n"/>
      <c r="BQ828" s="588" t="n"/>
      <c r="BR828" s="588" t="n"/>
      <c r="BS828" s="588" t="n"/>
      <c r="BT828" s="588" t="n"/>
      <c r="BU828" s="588" t="n"/>
      <c r="BV828" s="588" t="n"/>
      <c r="BW828" s="588" t="n"/>
      <c r="BX828" s="588" t="n"/>
      <c r="BY828" s="588" t="n"/>
      <c r="BZ828" s="588" t="n"/>
      <c r="CA828" s="588" t="n"/>
      <c r="CB828" s="588" t="n"/>
      <c r="CC828" s="588" t="n"/>
      <c r="CD828" s="588" t="n"/>
      <c r="CE828" s="588" t="n"/>
      <c r="CF828" s="588" t="n"/>
      <c r="CG828" s="588" t="n"/>
      <c r="CH828" s="588" t="n"/>
      <c r="CI828" s="588" t="n"/>
      <c r="CJ828" s="588" t="n"/>
      <c r="CK828" s="588" t="n"/>
      <c r="CL828" s="588" t="n"/>
      <c r="CM828" s="588" t="n"/>
      <c r="CN828" s="588" t="n"/>
      <c r="CO828" s="588" t="n"/>
      <c r="CP828" s="588" t="n"/>
      <c r="CQ828" s="588" t="n"/>
      <c r="CR828" s="588" t="n"/>
      <c r="CS828" s="588" t="n"/>
      <c r="CT828" s="588" t="n"/>
      <c r="CU828" s="588" t="n"/>
      <c r="CV828" s="588" t="n"/>
      <c r="CW828" s="588" t="n"/>
      <c r="CX828" s="588" t="n"/>
      <c r="CY828" s="588" t="n"/>
      <c r="CZ828" s="588" t="n"/>
      <c r="DA828" s="588" t="n"/>
      <c r="DB828" s="588" t="n"/>
      <c r="DC828" s="588" t="n"/>
      <c r="DD828" s="588" t="n"/>
      <c r="DE828" s="588" t="n"/>
      <c r="DF828" s="588" t="n"/>
      <c r="DG828" s="588" t="n"/>
      <c r="DH828" s="588" t="n"/>
      <c r="DI828" s="588" t="n"/>
      <c r="DJ828" s="588" t="n"/>
      <c r="DK828" s="588" t="n"/>
      <c r="DL828" s="588" t="n"/>
      <c r="DM828" s="588" t="n"/>
      <c r="DN828" s="588" t="n"/>
      <c r="DO828" s="588" t="n"/>
      <c r="DP828" s="588" t="n"/>
      <c r="DQ828" s="588" t="n"/>
      <c r="DR828" s="588" t="n"/>
      <c r="DS828" s="588" t="n"/>
      <c r="DT828" s="588" t="n"/>
      <c r="DU828" s="588" t="n"/>
    </row>
    <row r="829">
      <c r="A829" s="737" t="n"/>
      <c r="B829" s="737" t="n"/>
      <c r="C829" s="737" t="n"/>
      <c r="D829" s="737" t="n"/>
      <c r="E829" s="737" t="n"/>
      <c r="F829" s="737" t="n"/>
      <c r="G829" s="737" t="n"/>
      <c r="H829" s="737" t="n"/>
      <c r="I829" s="737" t="n"/>
      <c r="J829" s="737" t="n"/>
      <c r="K829" s="737" t="n"/>
      <c r="L829" s="737" t="n"/>
      <c r="M829" s="737" t="n"/>
      <c r="N829" s="737" t="n"/>
      <c r="O829" s="737" t="n"/>
      <c r="P829" s="737" t="n"/>
      <c r="Q829" s="737" t="n"/>
      <c r="R829" s="737" t="n"/>
      <c r="S829" s="737" t="n"/>
      <c r="T829" s="737" t="n"/>
      <c r="U829" s="737" t="n"/>
      <c r="V829" s="737" t="n"/>
      <c r="W829" s="737" t="n"/>
      <c r="X829" s="737" t="n"/>
      <c r="Y829" s="737" t="n"/>
      <c r="Z829" s="737" t="n"/>
      <c r="AA829" s="737" t="n"/>
      <c r="AB829" s="737" t="n"/>
      <c r="AC829" s="737" t="n"/>
      <c r="AD829" s="737" t="n"/>
      <c r="AE829" s="737" t="n"/>
      <c r="AF829" s="737" t="n"/>
      <c r="AG829" s="737" t="n"/>
      <c r="AH829" s="737" t="n"/>
      <c r="AI829" s="737" t="n"/>
      <c r="AJ829" s="737" t="n"/>
      <c r="AK829" s="588" t="n"/>
      <c r="AL829" s="588" t="n"/>
      <c r="AM829" s="588" t="n"/>
      <c r="AN829" s="588" t="n"/>
      <c r="AO829" s="588" t="n"/>
      <c r="AP829" s="588" t="n"/>
      <c r="AQ829" s="588" t="n"/>
      <c r="AR829" s="588" t="n"/>
      <c r="AS829" s="588" t="n"/>
      <c r="AT829" s="588" t="n"/>
      <c r="AU829" s="588" t="n"/>
      <c r="AV829" s="588" t="n"/>
      <c r="AW829" s="588" t="n"/>
      <c r="AX829" s="588" t="n"/>
      <c r="AY829" s="588" t="n"/>
      <c r="AZ829" s="588" t="n"/>
      <c r="BA829" s="588" t="n"/>
      <c r="BB829" s="588" t="n"/>
      <c r="BC829" s="588" t="n"/>
      <c r="BD829" s="588" t="n"/>
      <c r="BE829" s="588" t="n"/>
      <c r="BF829" s="588" t="n"/>
      <c r="BG829" s="588" t="n"/>
      <c r="BH829" s="588" t="n"/>
      <c r="BI829" s="588" t="n"/>
      <c r="BJ829" s="588" t="n"/>
      <c r="BK829" s="588" t="n"/>
      <c r="BL829" s="588" t="n"/>
      <c r="BM829" s="588" t="n"/>
      <c r="BN829" s="588" t="n"/>
      <c r="BO829" s="588" t="n"/>
      <c r="BP829" s="588" t="n"/>
      <c r="BQ829" s="588" t="n"/>
      <c r="BR829" s="588" t="n"/>
      <c r="BS829" s="588" t="n"/>
      <c r="BT829" s="588" t="n"/>
      <c r="BU829" s="588" t="n"/>
      <c r="BV829" s="588" t="n"/>
      <c r="BW829" s="588" t="n"/>
      <c r="BX829" s="588" t="n"/>
      <c r="BY829" s="588" t="n"/>
      <c r="BZ829" s="588" t="n"/>
      <c r="CA829" s="588" t="n"/>
      <c r="CB829" s="588" t="n"/>
      <c r="CC829" s="588" t="n"/>
      <c r="CD829" s="588" t="n"/>
      <c r="CE829" s="588" t="n"/>
      <c r="CF829" s="588" t="n"/>
      <c r="CG829" s="588" t="n"/>
      <c r="CH829" s="588" t="n"/>
      <c r="CI829" s="588" t="n"/>
      <c r="CJ829" s="588" t="n"/>
      <c r="CK829" s="588" t="n"/>
      <c r="CL829" s="588" t="n"/>
      <c r="CM829" s="588" t="n"/>
      <c r="CN829" s="588" t="n"/>
      <c r="CO829" s="588" t="n"/>
      <c r="CP829" s="588" t="n"/>
      <c r="CQ829" s="588" t="n"/>
      <c r="CR829" s="588" t="n"/>
      <c r="CS829" s="588" t="n"/>
      <c r="CT829" s="588" t="n"/>
      <c r="CU829" s="588" t="n"/>
      <c r="CV829" s="588" t="n"/>
      <c r="CW829" s="588" t="n"/>
      <c r="CX829" s="588" t="n"/>
      <c r="CY829" s="588" t="n"/>
      <c r="CZ829" s="588" t="n"/>
      <c r="DA829" s="588" t="n"/>
      <c r="DB829" s="588" t="n"/>
      <c r="DC829" s="588" t="n"/>
      <c r="DD829" s="588" t="n"/>
      <c r="DE829" s="588" t="n"/>
      <c r="DF829" s="588" t="n"/>
      <c r="DG829" s="588" t="n"/>
      <c r="DH829" s="588" t="n"/>
      <c r="DI829" s="588" t="n"/>
      <c r="DJ829" s="588" t="n"/>
      <c r="DK829" s="588" t="n"/>
      <c r="DL829" s="588" t="n"/>
      <c r="DM829" s="588" t="n"/>
      <c r="DN829" s="588" t="n"/>
      <c r="DO829" s="588" t="n"/>
      <c r="DP829" s="588" t="n"/>
      <c r="DQ829" s="588" t="n"/>
      <c r="DR829" s="588" t="n"/>
      <c r="DS829" s="588" t="n"/>
      <c r="DT829" s="588" t="n"/>
      <c r="DU829" s="588" t="n"/>
    </row>
    <row r="830">
      <c r="A830" s="737" t="n"/>
      <c r="B830" s="737" t="n"/>
      <c r="C830" s="737" t="n"/>
      <c r="D830" s="737" t="n"/>
      <c r="E830" s="737" t="n"/>
      <c r="F830" s="737" t="n"/>
      <c r="G830" s="737" t="n"/>
      <c r="H830" s="737" t="n"/>
      <c r="I830" s="737" t="n"/>
      <c r="J830" s="737" t="n"/>
      <c r="K830" s="737" t="n"/>
      <c r="L830" s="737" t="n"/>
      <c r="M830" s="737" t="n"/>
      <c r="N830" s="737" t="n"/>
      <c r="O830" s="737" t="n"/>
      <c r="P830" s="737" t="n"/>
      <c r="Q830" s="737" t="n"/>
      <c r="R830" s="737" t="n"/>
      <c r="S830" s="737" t="n"/>
      <c r="T830" s="737" t="n"/>
      <c r="U830" s="737" t="n"/>
      <c r="V830" s="737" t="n"/>
      <c r="W830" s="737" t="n"/>
      <c r="X830" s="737" t="n"/>
      <c r="Y830" s="737" t="n"/>
      <c r="Z830" s="737" t="n"/>
      <c r="AA830" s="737" t="n"/>
      <c r="AB830" s="737" t="n"/>
      <c r="AC830" s="737" t="n"/>
      <c r="AD830" s="737" t="n"/>
      <c r="AE830" s="737" t="n"/>
      <c r="AF830" s="737" t="n"/>
      <c r="AG830" s="737" t="n"/>
      <c r="AH830" s="737" t="n"/>
      <c r="AI830" s="737" t="n"/>
      <c r="AJ830" s="737" t="n"/>
      <c r="AK830" s="588" t="n"/>
      <c r="AL830" s="588" t="n"/>
      <c r="AM830" s="588" t="n"/>
      <c r="AN830" s="588" t="n"/>
      <c r="AO830" s="588" t="n"/>
      <c r="AP830" s="588" t="n"/>
      <c r="AQ830" s="588" t="n"/>
      <c r="AR830" s="588" t="n"/>
      <c r="AS830" s="588" t="n"/>
      <c r="AT830" s="588" t="n"/>
      <c r="AU830" s="588" t="n"/>
      <c r="AV830" s="588" t="n"/>
      <c r="AW830" s="588" t="n"/>
      <c r="AX830" s="588" t="n"/>
      <c r="AY830" s="588" t="n"/>
      <c r="AZ830" s="588" t="n"/>
      <c r="BA830" s="588" t="n"/>
      <c r="BB830" s="588" t="n"/>
      <c r="BC830" s="588" t="n"/>
      <c r="BD830" s="588" t="n"/>
      <c r="BE830" s="588" t="n"/>
      <c r="BF830" s="588" t="n"/>
      <c r="BG830" s="588" t="n"/>
      <c r="BH830" s="588" t="n"/>
      <c r="BI830" s="588" t="n"/>
      <c r="BJ830" s="588" t="n"/>
      <c r="BK830" s="588" t="n"/>
      <c r="BL830" s="588" t="n"/>
      <c r="BM830" s="588" t="n"/>
      <c r="BN830" s="588" t="n"/>
      <c r="BO830" s="588" t="n"/>
      <c r="BP830" s="588" t="n"/>
      <c r="BQ830" s="588" t="n"/>
      <c r="BR830" s="588" t="n"/>
      <c r="BS830" s="588" t="n"/>
      <c r="BT830" s="588" t="n"/>
      <c r="BU830" s="588" t="n"/>
      <c r="BV830" s="588" t="n"/>
      <c r="BW830" s="588" t="n"/>
      <c r="BX830" s="588" t="n"/>
      <c r="BY830" s="588" t="n"/>
      <c r="BZ830" s="588" t="n"/>
      <c r="CA830" s="588" t="n"/>
      <c r="CB830" s="588" t="n"/>
      <c r="CC830" s="588" t="n"/>
      <c r="CD830" s="588" t="n"/>
      <c r="CE830" s="588" t="n"/>
      <c r="CF830" s="588" t="n"/>
      <c r="CG830" s="588" t="n"/>
      <c r="CH830" s="588" t="n"/>
      <c r="CI830" s="588" t="n"/>
      <c r="CJ830" s="588" t="n"/>
      <c r="CK830" s="588" t="n"/>
      <c r="CL830" s="588" t="n"/>
      <c r="CM830" s="588" t="n"/>
      <c r="CN830" s="588" t="n"/>
      <c r="CO830" s="588" t="n"/>
      <c r="CP830" s="588" t="n"/>
      <c r="CQ830" s="588" t="n"/>
      <c r="CR830" s="588" t="n"/>
      <c r="CS830" s="588" t="n"/>
      <c r="CT830" s="588" t="n"/>
      <c r="CU830" s="588" t="n"/>
      <c r="CV830" s="588" t="n"/>
      <c r="CW830" s="588" t="n"/>
      <c r="CX830" s="588" t="n"/>
      <c r="CY830" s="588" t="n"/>
      <c r="CZ830" s="588" t="n"/>
      <c r="DA830" s="588" t="n"/>
      <c r="DB830" s="588" t="n"/>
      <c r="DC830" s="588" t="n"/>
      <c r="DD830" s="588" t="n"/>
      <c r="DE830" s="588" t="n"/>
      <c r="DF830" s="588" t="n"/>
      <c r="DG830" s="588" t="n"/>
      <c r="DH830" s="588" t="n"/>
      <c r="DI830" s="588" t="n"/>
      <c r="DJ830" s="588" t="n"/>
      <c r="DK830" s="588" t="n"/>
      <c r="DL830" s="588" t="n"/>
      <c r="DM830" s="588" t="n"/>
      <c r="DN830" s="588" t="n"/>
      <c r="DO830" s="588" t="n"/>
      <c r="DP830" s="588" t="n"/>
      <c r="DQ830" s="588" t="n"/>
      <c r="DR830" s="588" t="n"/>
      <c r="DS830" s="588" t="n"/>
      <c r="DT830" s="588" t="n"/>
      <c r="DU830" s="588" t="n"/>
    </row>
    <row r="831">
      <c r="A831" s="737" t="n"/>
      <c r="B831" s="737" t="n"/>
      <c r="C831" s="737" t="n"/>
      <c r="D831" s="737" t="n"/>
      <c r="E831" s="737" t="n"/>
      <c r="F831" s="737" t="n"/>
      <c r="G831" s="737" t="n"/>
      <c r="H831" s="737" t="n"/>
      <c r="I831" s="737" t="n"/>
      <c r="J831" s="737" t="n"/>
      <c r="K831" s="737" t="n"/>
      <c r="L831" s="737" t="n"/>
      <c r="M831" s="737" t="n"/>
      <c r="N831" s="737" t="n"/>
      <c r="O831" s="737" t="n"/>
      <c r="P831" s="737" t="n"/>
      <c r="Q831" s="737" t="n"/>
      <c r="R831" s="737" t="n"/>
      <c r="S831" s="737" t="n"/>
      <c r="T831" s="737" t="n"/>
      <c r="U831" s="737" t="n"/>
      <c r="V831" s="737" t="n"/>
      <c r="W831" s="737" t="n"/>
      <c r="X831" s="737" t="n"/>
      <c r="Y831" s="737" t="n"/>
      <c r="Z831" s="737" t="n"/>
      <c r="AA831" s="737" t="n"/>
      <c r="AB831" s="737" t="n"/>
      <c r="AC831" s="737" t="n"/>
      <c r="AD831" s="737" t="n"/>
      <c r="AE831" s="737" t="n"/>
      <c r="AF831" s="737" t="n"/>
      <c r="AG831" s="737" t="n"/>
      <c r="AH831" s="737" t="n"/>
      <c r="AI831" s="737" t="n"/>
      <c r="AJ831" s="737" t="n"/>
      <c r="AK831" s="588" t="n"/>
      <c r="AL831" s="588" t="n"/>
      <c r="AM831" s="588" t="n"/>
      <c r="AN831" s="588" t="n"/>
      <c r="AO831" s="588" t="n"/>
      <c r="AP831" s="588" t="n"/>
      <c r="AQ831" s="588" t="n"/>
      <c r="AR831" s="588" t="n"/>
      <c r="AS831" s="588" t="n"/>
      <c r="AT831" s="588" t="n"/>
      <c r="AU831" s="588" t="n"/>
      <c r="AV831" s="588" t="n"/>
      <c r="AW831" s="588" t="n"/>
      <c r="AX831" s="588" t="n"/>
      <c r="AY831" s="588" t="n"/>
      <c r="AZ831" s="588" t="n"/>
      <c r="BA831" s="588" t="n"/>
      <c r="BB831" s="588" t="n"/>
      <c r="BC831" s="588" t="n"/>
      <c r="BD831" s="588" t="n"/>
      <c r="BE831" s="588" t="n"/>
      <c r="BF831" s="588" t="n"/>
      <c r="BG831" s="588" t="n"/>
      <c r="BH831" s="588" t="n"/>
      <c r="BI831" s="588" t="n"/>
      <c r="BJ831" s="588" t="n"/>
      <c r="BK831" s="588" t="n"/>
      <c r="BL831" s="588" t="n"/>
      <c r="BM831" s="588" t="n"/>
      <c r="BN831" s="588" t="n"/>
      <c r="BO831" s="588" t="n"/>
      <c r="BP831" s="588" t="n"/>
      <c r="BQ831" s="588" t="n"/>
      <c r="BR831" s="588" t="n"/>
      <c r="BS831" s="588" t="n"/>
      <c r="BT831" s="588" t="n"/>
      <c r="BU831" s="588" t="n"/>
      <c r="BV831" s="588" t="n"/>
      <c r="BW831" s="588" t="n"/>
      <c r="BX831" s="588" t="n"/>
      <c r="BY831" s="588" t="n"/>
      <c r="BZ831" s="588" t="n"/>
      <c r="CA831" s="588" t="n"/>
      <c r="CB831" s="588" t="n"/>
      <c r="CC831" s="588" t="n"/>
      <c r="CD831" s="588" t="n"/>
      <c r="CE831" s="588" t="n"/>
      <c r="CF831" s="588" t="n"/>
      <c r="CG831" s="588" t="n"/>
      <c r="CH831" s="588" t="n"/>
      <c r="CI831" s="588" t="n"/>
      <c r="CJ831" s="588" t="n"/>
      <c r="CK831" s="588" t="n"/>
      <c r="CL831" s="588" t="n"/>
      <c r="CM831" s="588" t="n"/>
      <c r="CN831" s="588" t="n"/>
      <c r="CO831" s="588" t="n"/>
      <c r="CP831" s="588" t="n"/>
      <c r="CQ831" s="588" t="n"/>
      <c r="CR831" s="588" t="n"/>
      <c r="CS831" s="588" t="n"/>
      <c r="CT831" s="588" t="n"/>
      <c r="CU831" s="588" t="n"/>
      <c r="CV831" s="588" t="n"/>
      <c r="CW831" s="588" t="n"/>
      <c r="CX831" s="588" t="n"/>
      <c r="CY831" s="588" t="n"/>
      <c r="CZ831" s="588" t="n"/>
      <c r="DA831" s="588" t="n"/>
      <c r="DB831" s="588" t="n"/>
      <c r="DC831" s="588" t="n"/>
      <c r="DD831" s="588" t="n"/>
      <c r="DE831" s="588" t="n"/>
      <c r="DF831" s="588" t="n"/>
      <c r="DG831" s="588" t="n"/>
      <c r="DH831" s="588" t="n"/>
      <c r="DI831" s="588" t="n"/>
      <c r="DJ831" s="588" t="n"/>
      <c r="DK831" s="588" t="n"/>
      <c r="DL831" s="588" t="n"/>
      <c r="DM831" s="588" t="n"/>
      <c r="DN831" s="588" t="n"/>
      <c r="DO831" s="588" t="n"/>
      <c r="DP831" s="588" t="n"/>
      <c r="DQ831" s="588" t="n"/>
      <c r="DR831" s="588" t="n"/>
      <c r="DS831" s="588" t="n"/>
      <c r="DT831" s="588" t="n"/>
      <c r="DU831" s="588" t="n"/>
    </row>
    <row r="832">
      <c r="A832" s="737" t="n"/>
      <c r="B832" s="737" t="n"/>
      <c r="C832" s="737" t="n"/>
      <c r="D832" s="737" t="n"/>
      <c r="E832" s="737" t="n"/>
      <c r="F832" s="737" t="n"/>
      <c r="G832" s="737" t="n"/>
      <c r="H832" s="737" t="n"/>
      <c r="I832" s="737" t="n"/>
      <c r="J832" s="737" t="n"/>
      <c r="K832" s="737" t="n"/>
      <c r="L832" s="737" t="n"/>
      <c r="M832" s="737" t="n"/>
      <c r="N832" s="737" t="n"/>
      <c r="O832" s="737" t="n"/>
      <c r="P832" s="737" t="n"/>
      <c r="Q832" s="737" t="n"/>
      <c r="R832" s="737" t="n"/>
      <c r="S832" s="737" t="n"/>
      <c r="T832" s="737" t="n"/>
      <c r="U832" s="737" t="n"/>
      <c r="V832" s="737" t="n"/>
      <c r="W832" s="737" t="n"/>
      <c r="X832" s="737" t="n"/>
      <c r="Y832" s="737" t="n"/>
      <c r="Z832" s="737" t="n"/>
      <c r="AA832" s="737" t="n"/>
      <c r="AB832" s="737" t="n"/>
      <c r="AC832" s="737" t="n"/>
      <c r="AD832" s="737" t="n"/>
      <c r="AE832" s="737" t="n"/>
      <c r="AF832" s="737" t="n"/>
      <c r="AG832" s="737" t="n"/>
      <c r="AH832" s="737" t="n"/>
      <c r="AI832" s="737" t="n"/>
      <c r="AJ832" s="737" t="n"/>
      <c r="AK832" s="588" t="n"/>
      <c r="AL832" s="588" t="n"/>
      <c r="AM832" s="588" t="n"/>
      <c r="AN832" s="588" t="n"/>
      <c r="AO832" s="588" t="n"/>
      <c r="AP832" s="588" t="n"/>
      <c r="AQ832" s="588" t="n"/>
      <c r="AR832" s="588" t="n"/>
      <c r="AS832" s="588" t="n"/>
      <c r="AT832" s="588" t="n"/>
      <c r="AU832" s="588" t="n"/>
      <c r="AV832" s="588" t="n"/>
      <c r="AW832" s="588" t="n"/>
      <c r="AX832" s="588" t="n"/>
      <c r="AY832" s="588" t="n"/>
      <c r="AZ832" s="588" t="n"/>
      <c r="BA832" s="588" t="n"/>
      <c r="BB832" s="588" t="n"/>
      <c r="BC832" s="588" t="n"/>
      <c r="BD832" s="588" t="n"/>
      <c r="BE832" s="588" t="n"/>
      <c r="BF832" s="588" t="n"/>
      <c r="BG832" s="588" t="n"/>
      <c r="BH832" s="588" t="n"/>
      <c r="BI832" s="588" t="n"/>
      <c r="BJ832" s="588" t="n"/>
      <c r="BK832" s="588" t="n"/>
      <c r="BL832" s="588" t="n"/>
      <c r="BM832" s="588" t="n"/>
      <c r="BN832" s="588" t="n"/>
      <c r="BO832" s="588" t="n"/>
      <c r="BP832" s="588" t="n"/>
      <c r="BQ832" s="588" t="n"/>
      <c r="BR832" s="588" t="n"/>
      <c r="BS832" s="588" t="n"/>
      <c r="BT832" s="588" t="n"/>
      <c r="BU832" s="588" t="n"/>
      <c r="BV832" s="588" t="n"/>
      <c r="BW832" s="588" t="n"/>
      <c r="BX832" s="588" t="n"/>
      <c r="BY832" s="588" t="n"/>
      <c r="BZ832" s="588" t="n"/>
      <c r="CA832" s="588" t="n"/>
      <c r="CB832" s="588" t="n"/>
      <c r="CC832" s="588" t="n"/>
      <c r="CD832" s="588" t="n"/>
      <c r="CE832" s="588" t="n"/>
      <c r="CF832" s="588" t="n"/>
      <c r="CG832" s="588" t="n"/>
      <c r="CH832" s="588" t="n"/>
      <c r="CI832" s="588" t="n"/>
      <c r="CJ832" s="588" t="n"/>
      <c r="CK832" s="588" t="n"/>
      <c r="CL832" s="588" t="n"/>
      <c r="CM832" s="588" t="n"/>
      <c r="CN832" s="588" t="n"/>
      <c r="CO832" s="588" t="n"/>
      <c r="CP832" s="588" t="n"/>
      <c r="CQ832" s="588" t="n"/>
      <c r="CR832" s="588" t="n"/>
      <c r="CS832" s="588" t="n"/>
      <c r="CT832" s="588" t="n"/>
      <c r="CU832" s="588" t="n"/>
      <c r="CV832" s="588" t="n"/>
      <c r="CW832" s="588" t="n"/>
      <c r="CX832" s="588" t="n"/>
      <c r="CY832" s="588" t="n"/>
      <c r="CZ832" s="588" t="n"/>
      <c r="DA832" s="588" t="n"/>
      <c r="DB832" s="588" t="n"/>
      <c r="DC832" s="588" t="n"/>
      <c r="DD832" s="588" t="n"/>
      <c r="DE832" s="588" t="n"/>
      <c r="DF832" s="588" t="n"/>
      <c r="DG832" s="588" t="n"/>
      <c r="DH832" s="588" t="n"/>
      <c r="DI832" s="588" t="n"/>
      <c r="DJ832" s="588" t="n"/>
      <c r="DK832" s="588" t="n"/>
      <c r="DL832" s="588" t="n"/>
      <c r="DM832" s="588" t="n"/>
      <c r="DN832" s="588" t="n"/>
      <c r="DO832" s="588" t="n"/>
      <c r="DP832" s="588" t="n"/>
      <c r="DQ832" s="588" t="n"/>
      <c r="DR832" s="588" t="n"/>
      <c r="DS832" s="588" t="n"/>
      <c r="DT832" s="588" t="n"/>
      <c r="DU832" s="588" t="n"/>
    </row>
    <row r="833">
      <c r="A833" s="737" t="n"/>
      <c r="B833" s="737" t="n"/>
      <c r="C833" s="737" t="n"/>
      <c r="D833" s="737" t="n"/>
      <c r="E833" s="737" t="n"/>
      <c r="F833" s="737" t="n"/>
      <c r="G833" s="737" t="n"/>
      <c r="H833" s="737" t="n"/>
      <c r="I833" s="737" t="n"/>
      <c r="J833" s="737" t="n"/>
      <c r="K833" s="737" t="n"/>
      <c r="L833" s="737" t="n"/>
      <c r="M833" s="737" t="n"/>
      <c r="N833" s="737" t="n"/>
      <c r="O833" s="737" t="n"/>
      <c r="P833" s="737" t="n"/>
      <c r="Q833" s="737" t="n"/>
      <c r="R833" s="737" t="n"/>
      <c r="S833" s="737" t="n"/>
      <c r="T833" s="737" t="n"/>
      <c r="U833" s="737" t="n"/>
      <c r="V833" s="737" t="n"/>
      <c r="W833" s="737" t="n"/>
      <c r="X833" s="737" t="n"/>
      <c r="Y833" s="737" t="n"/>
      <c r="Z833" s="737" t="n"/>
      <c r="AA833" s="737" t="n"/>
      <c r="AB833" s="737" t="n"/>
      <c r="AC833" s="737" t="n"/>
      <c r="AD833" s="737" t="n"/>
      <c r="AE833" s="737" t="n"/>
      <c r="AF833" s="737" t="n"/>
      <c r="AG833" s="737" t="n"/>
      <c r="AH833" s="737" t="n"/>
      <c r="AI833" s="737" t="n"/>
      <c r="AJ833" s="737" t="n"/>
      <c r="AK833" s="588" t="n"/>
      <c r="AL833" s="588" t="n"/>
      <c r="AM833" s="588" t="n"/>
      <c r="AN833" s="588" t="n"/>
      <c r="AO833" s="588" t="n"/>
      <c r="AP833" s="588" t="n"/>
      <c r="AQ833" s="588" t="n"/>
      <c r="AR833" s="588" t="n"/>
      <c r="AS833" s="588" t="n"/>
      <c r="AT833" s="588" t="n"/>
      <c r="AU833" s="588" t="n"/>
      <c r="AV833" s="588" t="n"/>
      <c r="AW833" s="588" t="n"/>
      <c r="AX833" s="588" t="n"/>
      <c r="AY833" s="588" t="n"/>
      <c r="AZ833" s="588" t="n"/>
      <c r="BA833" s="588" t="n"/>
      <c r="BB833" s="588" t="n"/>
      <c r="BC833" s="588" t="n"/>
      <c r="BD833" s="588" t="n"/>
      <c r="BE833" s="588" t="n"/>
      <c r="BF833" s="588" t="n"/>
      <c r="BG833" s="588" t="n"/>
      <c r="BH833" s="588" t="n"/>
      <c r="BI833" s="588" t="n"/>
      <c r="BJ833" s="588" t="n"/>
      <c r="BK833" s="588" t="n"/>
      <c r="BL833" s="588" t="n"/>
      <c r="BM833" s="588" t="n"/>
      <c r="BN833" s="588" t="n"/>
      <c r="BO833" s="588" t="n"/>
      <c r="BP833" s="588" t="n"/>
      <c r="BQ833" s="588" t="n"/>
      <c r="BR833" s="588" t="n"/>
      <c r="BS833" s="588" t="n"/>
      <c r="BT833" s="588" t="n"/>
      <c r="BU833" s="588" t="n"/>
      <c r="BV833" s="588" t="n"/>
      <c r="BW833" s="588" t="n"/>
      <c r="BX833" s="588" t="n"/>
      <c r="BY833" s="588" t="n"/>
      <c r="BZ833" s="588" t="n"/>
      <c r="CA833" s="588" t="n"/>
      <c r="CB833" s="588" t="n"/>
      <c r="CC833" s="588" t="n"/>
      <c r="CD833" s="588" t="n"/>
      <c r="CE833" s="588" t="n"/>
      <c r="CF833" s="588" t="n"/>
      <c r="CG833" s="588" t="n"/>
      <c r="CH833" s="588" t="n"/>
      <c r="CI833" s="588" t="n"/>
      <c r="CJ833" s="588" t="n"/>
      <c r="CK833" s="588" t="n"/>
      <c r="CL833" s="588" t="n"/>
      <c r="CM833" s="588" t="n"/>
      <c r="CN833" s="588" t="n"/>
      <c r="CO833" s="588" t="n"/>
      <c r="CP833" s="588" t="n"/>
      <c r="CQ833" s="588" t="n"/>
      <c r="CR833" s="588" t="n"/>
      <c r="CS833" s="588" t="n"/>
      <c r="CT833" s="588" t="n"/>
      <c r="CU833" s="588" t="n"/>
      <c r="CV833" s="588" t="n"/>
      <c r="CW833" s="588" t="n"/>
      <c r="CX833" s="588" t="n"/>
      <c r="CY833" s="588" t="n"/>
      <c r="CZ833" s="588" t="n"/>
      <c r="DA833" s="588" t="n"/>
      <c r="DB833" s="588" t="n"/>
      <c r="DC833" s="588" t="n"/>
      <c r="DD833" s="588" t="n"/>
      <c r="DE833" s="588" t="n"/>
      <c r="DF833" s="588" t="n"/>
      <c r="DG833" s="588" t="n"/>
      <c r="DH833" s="588" t="n"/>
      <c r="DI833" s="588" t="n"/>
      <c r="DJ833" s="588" t="n"/>
      <c r="DK833" s="588" t="n"/>
      <c r="DL833" s="588" t="n"/>
      <c r="DM833" s="588" t="n"/>
      <c r="DN833" s="588" t="n"/>
      <c r="DO833" s="588" t="n"/>
      <c r="DP833" s="588" t="n"/>
      <c r="DQ833" s="588" t="n"/>
      <c r="DR833" s="588" t="n"/>
      <c r="DS833" s="588" t="n"/>
      <c r="DT833" s="588" t="n"/>
      <c r="DU833" s="588" t="n"/>
    </row>
    <row r="834">
      <c r="A834" s="737" t="n"/>
      <c r="B834" s="737" t="n"/>
      <c r="C834" s="737" t="n"/>
      <c r="D834" s="737" t="n"/>
      <c r="E834" s="737" t="n"/>
      <c r="F834" s="737" t="n"/>
      <c r="G834" s="737" t="n"/>
      <c r="H834" s="737" t="n"/>
      <c r="I834" s="737" t="n"/>
      <c r="J834" s="737" t="n"/>
      <c r="K834" s="737" t="n"/>
      <c r="L834" s="737" t="n"/>
      <c r="M834" s="737" t="n"/>
      <c r="N834" s="737" t="n"/>
      <c r="O834" s="737" t="n"/>
      <c r="P834" s="737" t="n"/>
      <c r="Q834" s="737" t="n"/>
      <c r="R834" s="737" t="n"/>
      <c r="S834" s="737" t="n"/>
      <c r="T834" s="737" t="n"/>
      <c r="U834" s="737" t="n"/>
      <c r="V834" s="737" t="n"/>
      <c r="W834" s="737" t="n"/>
      <c r="X834" s="737" t="n"/>
      <c r="Y834" s="737" t="n"/>
      <c r="Z834" s="737" t="n"/>
      <c r="AA834" s="737" t="n"/>
      <c r="AB834" s="737" t="n"/>
      <c r="AC834" s="737" t="n"/>
      <c r="AD834" s="737" t="n"/>
      <c r="AE834" s="737" t="n"/>
      <c r="AF834" s="737" t="n"/>
      <c r="AG834" s="737" t="n"/>
      <c r="AH834" s="737" t="n"/>
      <c r="AI834" s="737" t="n"/>
      <c r="AJ834" s="737" t="n"/>
      <c r="AK834" s="588" t="n"/>
      <c r="AL834" s="588" t="n"/>
      <c r="AM834" s="588" t="n"/>
      <c r="AN834" s="588" t="n"/>
      <c r="AO834" s="588" t="n"/>
      <c r="AP834" s="588" t="n"/>
      <c r="AQ834" s="588" t="n"/>
      <c r="AR834" s="588" t="n"/>
      <c r="AS834" s="588" t="n"/>
      <c r="AT834" s="588" t="n"/>
      <c r="AU834" s="588" t="n"/>
      <c r="AV834" s="588" t="n"/>
      <c r="AW834" s="588" t="n"/>
      <c r="AX834" s="588" t="n"/>
      <c r="AY834" s="588" t="n"/>
      <c r="AZ834" s="588" t="n"/>
      <c r="BA834" s="588" t="n"/>
      <c r="BB834" s="588" t="n"/>
      <c r="BC834" s="588" t="n"/>
      <c r="BD834" s="588" t="n"/>
      <c r="BE834" s="588" t="n"/>
      <c r="BF834" s="588" t="n"/>
      <c r="BG834" s="588" t="n"/>
      <c r="BH834" s="588" t="n"/>
      <c r="BI834" s="588" t="n"/>
      <c r="BJ834" s="588" t="n"/>
      <c r="BK834" s="588" t="n"/>
      <c r="BL834" s="588" t="n"/>
      <c r="BM834" s="588" t="n"/>
      <c r="BN834" s="588" t="n"/>
      <c r="BO834" s="588" t="n"/>
      <c r="BP834" s="588" t="n"/>
      <c r="BQ834" s="588" t="n"/>
      <c r="BR834" s="588" t="n"/>
      <c r="BS834" s="588" t="n"/>
      <c r="BT834" s="588" t="n"/>
      <c r="BU834" s="588" t="n"/>
      <c r="BV834" s="588" t="n"/>
      <c r="BW834" s="588" t="n"/>
      <c r="BX834" s="588" t="n"/>
      <c r="BY834" s="588" t="n"/>
      <c r="BZ834" s="588" t="n"/>
      <c r="CA834" s="588" t="n"/>
      <c r="CB834" s="588" t="n"/>
      <c r="CC834" s="588" t="n"/>
      <c r="CD834" s="588" t="n"/>
      <c r="CE834" s="588" t="n"/>
      <c r="CF834" s="588" t="n"/>
      <c r="CG834" s="588" t="n"/>
      <c r="CH834" s="588" t="n"/>
      <c r="CI834" s="588" t="n"/>
      <c r="CJ834" s="588" t="n"/>
      <c r="CK834" s="588" t="n"/>
      <c r="CL834" s="588" t="n"/>
      <c r="CM834" s="588" t="n"/>
      <c r="CN834" s="588" t="n"/>
      <c r="CO834" s="588" t="n"/>
      <c r="CP834" s="588" t="n"/>
      <c r="CQ834" s="588" t="n"/>
      <c r="CR834" s="588" t="n"/>
      <c r="CS834" s="588" t="n"/>
      <c r="CT834" s="588" t="n"/>
      <c r="CU834" s="588" t="n"/>
      <c r="CV834" s="588" t="n"/>
      <c r="CW834" s="588" t="n"/>
      <c r="CX834" s="588" t="n"/>
      <c r="CY834" s="588" t="n"/>
      <c r="CZ834" s="588" t="n"/>
      <c r="DA834" s="588" t="n"/>
      <c r="DB834" s="588" t="n"/>
      <c r="DC834" s="588" t="n"/>
      <c r="DD834" s="588" t="n"/>
      <c r="DE834" s="588" t="n"/>
      <c r="DF834" s="588" t="n"/>
      <c r="DG834" s="588" t="n"/>
      <c r="DH834" s="588" t="n"/>
      <c r="DI834" s="588" t="n"/>
      <c r="DJ834" s="588" t="n"/>
      <c r="DK834" s="588" t="n"/>
      <c r="DL834" s="588" t="n"/>
      <c r="DM834" s="588" t="n"/>
      <c r="DN834" s="588" t="n"/>
      <c r="DO834" s="588" t="n"/>
      <c r="DP834" s="588" t="n"/>
      <c r="DQ834" s="588" t="n"/>
      <c r="DR834" s="588" t="n"/>
      <c r="DS834" s="588" t="n"/>
      <c r="DT834" s="588" t="n"/>
      <c r="DU834" s="588" t="n"/>
    </row>
    <row r="835">
      <c r="A835" s="737" t="n"/>
      <c r="B835" s="737" t="n"/>
      <c r="C835" s="737" t="n"/>
      <c r="D835" s="737" t="n"/>
      <c r="E835" s="737" t="n"/>
      <c r="F835" s="737" t="n"/>
      <c r="G835" s="737" t="n"/>
      <c r="H835" s="737" t="n"/>
      <c r="I835" s="737" t="n"/>
      <c r="J835" s="737" t="n"/>
      <c r="K835" s="737" t="n"/>
      <c r="L835" s="737" t="n"/>
      <c r="M835" s="737" t="n"/>
      <c r="N835" s="737" t="n"/>
      <c r="O835" s="737" t="n"/>
      <c r="P835" s="737" t="n"/>
      <c r="Q835" s="737" t="n"/>
      <c r="R835" s="737" t="n"/>
      <c r="S835" s="737" t="n"/>
      <c r="T835" s="737" t="n"/>
      <c r="U835" s="737" t="n"/>
      <c r="V835" s="737" t="n"/>
      <c r="W835" s="737" t="n"/>
      <c r="X835" s="737" t="n"/>
      <c r="Y835" s="737" t="n"/>
      <c r="Z835" s="737" t="n"/>
      <c r="AA835" s="737" t="n"/>
      <c r="AB835" s="737" t="n"/>
      <c r="AC835" s="737" t="n"/>
      <c r="AD835" s="737" t="n"/>
      <c r="AE835" s="737" t="n"/>
      <c r="AF835" s="737" t="n"/>
      <c r="AG835" s="737" t="n"/>
      <c r="AH835" s="737" t="n"/>
      <c r="AI835" s="737" t="n"/>
      <c r="AJ835" s="737" t="n"/>
      <c r="AK835" s="588" t="n"/>
      <c r="AL835" s="588" t="n"/>
      <c r="AM835" s="588" t="n"/>
      <c r="AN835" s="588" t="n"/>
      <c r="AO835" s="588" t="n"/>
      <c r="AP835" s="588" t="n"/>
      <c r="AQ835" s="588" t="n"/>
      <c r="AR835" s="588" t="n"/>
      <c r="AS835" s="588" t="n"/>
      <c r="AT835" s="588" t="n"/>
      <c r="AU835" s="588" t="n"/>
      <c r="AV835" s="588" t="n"/>
      <c r="AW835" s="588" t="n"/>
      <c r="AX835" s="588" t="n"/>
      <c r="AY835" s="588" t="n"/>
      <c r="AZ835" s="588" t="n"/>
      <c r="BA835" s="588" t="n"/>
      <c r="BB835" s="588" t="n"/>
      <c r="BC835" s="588" t="n"/>
      <c r="BD835" s="588" t="n"/>
      <c r="BE835" s="588" t="n"/>
      <c r="BF835" s="588" t="n"/>
      <c r="BG835" s="588" t="n"/>
      <c r="BH835" s="588" t="n"/>
      <c r="BI835" s="588" t="n"/>
      <c r="BJ835" s="588" t="n"/>
      <c r="BK835" s="588" t="n"/>
      <c r="BL835" s="588" t="n"/>
      <c r="BM835" s="588" t="n"/>
      <c r="BN835" s="588" t="n"/>
      <c r="BO835" s="588" t="n"/>
      <c r="BP835" s="588" t="n"/>
      <c r="BQ835" s="588" t="n"/>
      <c r="BR835" s="588" t="n"/>
      <c r="BS835" s="588" t="n"/>
      <c r="BT835" s="588" t="n"/>
      <c r="BU835" s="588" t="n"/>
      <c r="BV835" s="588" t="n"/>
      <c r="BW835" s="588" t="n"/>
      <c r="BX835" s="588" t="n"/>
      <c r="BY835" s="588" t="n"/>
      <c r="BZ835" s="588" t="n"/>
      <c r="CA835" s="588" t="n"/>
      <c r="CB835" s="588" t="n"/>
      <c r="CC835" s="588" t="n"/>
      <c r="CD835" s="588" t="n"/>
      <c r="CE835" s="588" t="n"/>
      <c r="CF835" s="588" t="n"/>
      <c r="CG835" s="588" t="n"/>
      <c r="CH835" s="588" t="n"/>
      <c r="CI835" s="588" t="n"/>
      <c r="CJ835" s="588" t="n"/>
      <c r="CK835" s="588" t="n"/>
      <c r="CL835" s="588" t="n"/>
      <c r="CM835" s="588" t="n"/>
      <c r="CN835" s="588" t="n"/>
      <c r="CO835" s="588" t="n"/>
      <c r="CP835" s="588" t="n"/>
      <c r="CQ835" s="588" t="n"/>
      <c r="CR835" s="588" t="n"/>
      <c r="CS835" s="588" t="n"/>
      <c r="CT835" s="588" t="n"/>
      <c r="CU835" s="588" t="n"/>
      <c r="CV835" s="588" t="n"/>
      <c r="CW835" s="588" t="n"/>
      <c r="CX835" s="588" t="n"/>
      <c r="CY835" s="588" t="n"/>
      <c r="CZ835" s="588" t="n"/>
      <c r="DA835" s="588" t="n"/>
      <c r="DB835" s="588" t="n"/>
      <c r="DC835" s="588" t="n"/>
      <c r="DD835" s="588" t="n"/>
      <c r="DE835" s="588" t="n"/>
      <c r="DF835" s="588" t="n"/>
      <c r="DG835" s="588" t="n"/>
      <c r="DH835" s="588" t="n"/>
      <c r="DI835" s="588" t="n"/>
      <c r="DJ835" s="588" t="n"/>
      <c r="DK835" s="588" t="n"/>
      <c r="DL835" s="588" t="n"/>
      <c r="DM835" s="588" t="n"/>
      <c r="DN835" s="588" t="n"/>
      <c r="DO835" s="588" t="n"/>
      <c r="DP835" s="588" t="n"/>
      <c r="DQ835" s="588" t="n"/>
      <c r="DR835" s="588" t="n"/>
      <c r="DS835" s="588" t="n"/>
      <c r="DT835" s="588" t="n"/>
      <c r="DU835" s="588" t="n"/>
    </row>
    <row r="836">
      <c r="A836" s="737" t="n"/>
      <c r="B836" s="737" t="n"/>
      <c r="C836" s="737" t="n"/>
      <c r="D836" s="737" t="n"/>
      <c r="E836" s="737" t="n"/>
      <c r="F836" s="737" t="n"/>
      <c r="G836" s="737" t="n"/>
      <c r="H836" s="737" t="n"/>
      <c r="I836" s="737" t="n"/>
      <c r="J836" s="737" t="n"/>
      <c r="K836" s="737" t="n"/>
      <c r="L836" s="737" t="n"/>
      <c r="M836" s="737" t="n"/>
      <c r="N836" s="737" t="n"/>
      <c r="O836" s="737" t="n"/>
      <c r="P836" s="737" t="n"/>
      <c r="Q836" s="737" t="n"/>
      <c r="R836" s="737" t="n"/>
      <c r="S836" s="737" t="n"/>
      <c r="T836" s="737" t="n"/>
      <c r="U836" s="737" t="n"/>
      <c r="V836" s="737" t="n"/>
      <c r="W836" s="737" t="n"/>
      <c r="X836" s="737" t="n"/>
      <c r="Y836" s="737" t="n"/>
      <c r="Z836" s="737" t="n"/>
      <c r="AA836" s="737" t="n"/>
      <c r="AB836" s="737" t="n"/>
      <c r="AC836" s="737" t="n"/>
      <c r="AD836" s="737" t="n"/>
      <c r="AE836" s="737" t="n"/>
      <c r="AF836" s="737" t="n"/>
      <c r="AG836" s="737" t="n"/>
      <c r="AH836" s="737" t="n"/>
      <c r="AI836" s="737" t="n"/>
      <c r="AJ836" s="737" t="n"/>
      <c r="AK836" s="588" t="n"/>
      <c r="AL836" s="588" t="n"/>
      <c r="AM836" s="588" t="n"/>
      <c r="AN836" s="588" t="n"/>
      <c r="AO836" s="588" t="n"/>
      <c r="AP836" s="588" t="n"/>
      <c r="AQ836" s="588" t="n"/>
      <c r="AR836" s="588" t="n"/>
      <c r="AS836" s="588" t="n"/>
      <c r="AT836" s="588" t="n"/>
      <c r="AU836" s="588" t="n"/>
      <c r="AV836" s="588" t="n"/>
      <c r="AW836" s="588" t="n"/>
      <c r="AX836" s="588" t="n"/>
      <c r="AY836" s="588" t="n"/>
      <c r="AZ836" s="588" t="n"/>
      <c r="BA836" s="588" t="n"/>
      <c r="BB836" s="588" t="n"/>
      <c r="BC836" s="588" t="n"/>
      <c r="BD836" s="588" t="n"/>
      <c r="BE836" s="588" t="n"/>
      <c r="BF836" s="588" t="n"/>
      <c r="BG836" s="588" t="n"/>
      <c r="BH836" s="588" t="n"/>
      <c r="BI836" s="588" t="n"/>
      <c r="BJ836" s="588" t="n"/>
      <c r="BK836" s="588" t="n"/>
      <c r="BL836" s="588" t="n"/>
      <c r="BM836" s="588" t="n"/>
      <c r="BN836" s="588" t="n"/>
      <c r="BO836" s="588" t="n"/>
      <c r="BP836" s="588" t="n"/>
      <c r="BQ836" s="588" t="n"/>
      <c r="BR836" s="588" t="n"/>
      <c r="BS836" s="588" t="n"/>
      <c r="BT836" s="588" t="n"/>
      <c r="BU836" s="588" t="n"/>
      <c r="BV836" s="588" t="n"/>
      <c r="BW836" s="588" t="n"/>
      <c r="BX836" s="588" t="n"/>
      <c r="BY836" s="588" t="n"/>
      <c r="BZ836" s="588" t="n"/>
      <c r="CA836" s="588" t="n"/>
      <c r="CB836" s="588" t="n"/>
      <c r="CC836" s="588" t="n"/>
      <c r="CD836" s="588" t="n"/>
      <c r="CE836" s="588" t="n"/>
      <c r="CF836" s="588" t="n"/>
      <c r="CG836" s="588" t="n"/>
      <c r="CH836" s="588" t="n"/>
      <c r="CI836" s="588" t="n"/>
      <c r="CJ836" s="588" t="n"/>
      <c r="CK836" s="588" t="n"/>
      <c r="CL836" s="588" t="n"/>
      <c r="CM836" s="588" t="n"/>
      <c r="CN836" s="588" t="n"/>
      <c r="CO836" s="588" t="n"/>
      <c r="CP836" s="588" t="n"/>
      <c r="CQ836" s="588" t="n"/>
      <c r="CR836" s="588" t="n"/>
      <c r="CS836" s="588" t="n"/>
      <c r="CT836" s="588" t="n"/>
      <c r="CU836" s="588" t="n"/>
      <c r="CV836" s="588" t="n"/>
      <c r="CW836" s="588" t="n"/>
      <c r="CX836" s="588" t="n"/>
      <c r="CY836" s="588" t="n"/>
      <c r="CZ836" s="588" t="n"/>
      <c r="DA836" s="588" t="n"/>
      <c r="DB836" s="588" t="n"/>
      <c r="DC836" s="588" t="n"/>
      <c r="DD836" s="588" t="n"/>
      <c r="DE836" s="588" t="n"/>
      <c r="DF836" s="588" t="n"/>
      <c r="DG836" s="588" t="n"/>
      <c r="DH836" s="588" t="n"/>
      <c r="DI836" s="588" t="n"/>
      <c r="DJ836" s="588" t="n"/>
      <c r="DK836" s="588" t="n"/>
      <c r="DL836" s="588" t="n"/>
      <c r="DM836" s="588" t="n"/>
      <c r="DN836" s="588" t="n"/>
      <c r="DO836" s="588" t="n"/>
      <c r="DP836" s="588" t="n"/>
      <c r="DQ836" s="588" t="n"/>
      <c r="DR836" s="588" t="n"/>
      <c r="DS836" s="588" t="n"/>
      <c r="DT836" s="588" t="n"/>
      <c r="DU836" s="588" t="n"/>
    </row>
    <row r="837">
      <c r="A837" s="737" t="n"/>
      <c r="B837" s="737" t="n"/>
      <c r="C837" s="737" t="n"/>
      <c r="D837" s="737" t="n"/>
      <c r="E837" s="737" t="n"/>
      <c r="F837" s="737" t="n"/>
      <c r="G837" s="737" t="n"/>
      <c r="H837" s="737" t="n"/>
      <c r="I837" s="737" t="n"/>
      <c r="J837" s="737" t="n"/>
      <c r="K837" s="737" t="n"/>
      <c r="L837" s="737" t="n"/>
      <c r="M837" s="737" t="n"/>
      <c r="N837" s="737" t="n"/>
      <c r="O837" s="737" t="n"/>
      <c r="P837" s="737" t="n"/>
      <c r="Q837" s="737" t="n"/>
      <c r="R837" s="737" t="n"/>
      <c r="S837" s="737" t="n"/>
      <c r="T837" s="737" t="n"/>
      <c r="U837" s="737" t="n"/>
      <c r="V837" s="737" t="n"/>
      <c r="W837" s="737" t="n"/>
      <c r="X837" s="737" t="n"/>
      <c r="Y837" s="737" t="n"/>
      <c r="Z837" s="737" t="n"/>
      <c r="AA837" s="737" t="n"/>
      <c r="AB837" s="737" t="n"/>
      <c r="AC837" s="737" t="n"/>
      <c r="AD837" s="737" t="n"/>
      <c r="AE837" s="737" t="n"/>
      <c r="AF837" s="737" t="n"/>
      <c r="AG837" s="737" t="n"/>
      <c r="AH837" s="737" t="n"/>
      <c r="AI837" s="737" t="n"/>
      <c r="AJ837" s="737" t="n"/>
      <c r="AK837" s="588" t="n"/>
      <c r="AL837" s="588" t="n"/>
      <c r="AM837" s="588" t="n"/>
      <c r="AN837" s="588" t="n"/>
      <c r="AO837" s="588" t="n"/>
      <c r="AP837" s="588" t="n"/>
      <c r="AQ837" s="588" t="n"/>
      <c r="AR837" s="588" t="n"/>
      <c r="AS837" s="588" t="n"/>
      <c r="AT837" s="588" t="n"/>
      <c r="AU837" s="588" t="n"/>
      <c r="AV837" s="588" t="n"/>
      <c r="AW837" s="588" t="n"/>
      <c r="AX837" s="588" t="n"/>
      <c r="AY837" s="588" t="n"/>
      <c r="AZ837" s="588" t="n"/>
      <c r="BA837" s="588" t="n"/>
      <c r="BB837" s="588" t="n"/>
      <c r="BC837" s="588" t="n"/>
      <c r="BD837" s="588" t="n"/>
      <c r="BE837" s="588" t="n"/>
      <c r="BF837" s="588" t="n"/>
      <c r="BG837" s="588" t="n"/>
      <c r="BH837" s="588" t="n"/>
      <c r="BI837" s="588" t="n"/>
      <c r="BJ837" s="588" t="n"/>
      <c r="BK837" s="588" t="n"/>
      <c r="BL837" s="588" t="n"/>
      <c r="BM837" s="588" t="n"/>
      <c r="BN837" s="588" t="n"/>
      <c r="BO837" s="588" t="n"/>
      <c r="BP837" s="588" t="n"/>
      <c r="BQ837" s="588" t="n"/>
      <c r="BR837" s="588" t="n"/>
      <c r="BS837" s="588" t="n"/>
      <c r="BT837" s="588" t="n"/>
      <c r="BU837" s="588" t="n"/>
      <c r="BV837" s="588" t="n"/>
      <c r="BW837" s="588" t="n"/>
      <c r="BX837" s="588" t="n"/>
      <c r="BY837" s="588" t="n"/>
      <c r="BZ837" s="588" t="n"/>
      <c r="CA837" s="588" t="n"/>
      <c r="CB837" s="588" t="n"/>
      <c r="CC837" s="588" t="n"/>
      <c r="CD837" s="588" t="n"/>
      <c r="CE837" s="588" t="n"/>
      <c r="CF837" s="588" t="n"/>
      <c r="CG837" s="588" t="n"/>
      <c r="CH837" s="588" t="n"/>
      <c r="CI837" s="588" t="n"/>
      <c r="CJ837" s="588" t="n"/>
      <c r="CK837" s="588" t="n"/>
      <c r="CL837" s="588" t="n"/>
      <c r="CM837" s="588" t="n"/>
      <c r="CN837" s="588" t="n"/>
      <c r="CO837" s="588" t="n"/>
      <c r="CP837" s="588" t="n"/>
      <c r="CQ837" s="588" t="n"/>
      <c r="CR837" s="588" t="n"/>
      <c r="CS837" s="588" t="n"/>
      <c r="CT837" s="588" t="n"/>
      <c r="CU837" s="588" t="n"/>
      <c r="CV837" s="588" t="n"/>
      <c r="CW837" s="588" t="n"/>
      <c r="CX837" s="588" t="n"/>
      <c r="CY837" s="588" t="n"/>
      <c r="CZ837" s="588" t="n"/>
      <c r="DA837" s="588" t="n"/>
      <c r="DB837" s="588" t="n"/>
      <c r="DC837" s="588" t="n"/>
      <c r="DD837" s="588" t="n"/>
      <c r="DE837" s="588" t="n"/>
      <c r="DF837" s="588" t="n"/>
      <c r="DG837" s="588" t="n"/>
      <c r="DH837" s="588" t="n"/>
      <c r="DI837" s="588" t="n"/>
      <c r="DJ837" s="588" t="n"/>
      <c r="DK837" s="588" t="n"/>
      <c r="DL837" s="588" t="n"/>
      <c r="DM837" s="588" t="n"/>
      <c r="DN837" s="588" t="n"/>
      <c r="DO837" s="588" t="n"/>
      <c r="DP837" s="588" t="n"/>
      <c r="DQ837" s="588" t="n"/>
      <c r="DR837" s="588" t="n"/>
      <c r="DS837" s="588" t="n"/>
      <c r="DT837" s="588" t="n"/>
      <c r="DU837" s="588" t="n"/>
    </row>
    <row r="838">
      <c r="A838" s="737" t="n"/>
      <c r="B838" s="737" t="n"/>
      <c r="C838" s="737" t="n"/>
      <c r="D838" s="737" t="n"/>
      <c r="E838" s="737" t="n"/>
      <c r="F838" s="737" t="n"/>
      <c r="G838" s="737" t="n"/>
      <c r="H838" s="737" t="n"/>
      <c r="I838" s="737" t="n"/>
      <c r="J838" s="737" t="n"/>
      <c r="K838" s="737" t="n"/>
      <c r="L838" s="737" t="n"/>
      <c r="M838" s="737" t="n"/>
      <c r="N838" s="737" t="n"/>
      <c r="O838" s="737" t="n"/>
      <c r="P838" s="737" t="n"/>
      <c r="Q838" s="737" t="n"/>
      <c r="R838" s="737" t="n"/>
      <c r="S838" s="737" t="n"/>
      <c r="T838" s="737" t="n"/>
      <c r="U838" s="737" t="n"/>
      <c r="V838" s="737" t="n"/>
      <c r="W838" s="737" t="n"/>
      <c r="X838" s="737" t="n"/>
      <c r="Y838" s="737" t="n"/>
      <c r="Z838" s="737" t="n"/>
      <c r="AA838" s="737" t="n"/>
      <c r="AB838" s="737" t="n"/>
      <c r="AC838" s="737" t="n"/>
      <c r="AD838" s="737" t="n"/>
      <c r="AE838" s="737" t="n"/>
      <c r="AF838" s="737" t="n"/>
      <c r="AG838" s="737" t="n"/>
      <c r="AH838" s="737" t="n"/>
      <c r="AI838" s="737" t="n"/>
      <c r="AJ838" s="737" t="n"/>
      <c r="AK838" s="588" t="n"/>
      <c r="AL838" s="588" t="n"/>
      <c r="AM838" s="588" t="n"/>
      <c r="AN838" s="588" t="n"/>
      <c r="AO838" s="588" t="n"/>
      <c r="AP838" s="588" t="n"/>
      <c r="AQ838" s="588" t="n"/>
      <c r="AR838" s="588" t="n"/>
      <c r="AS838" s="588" t="n"/>
      <c r="AT838" s="588" t="n"/>
      <c r="AU838" s="588" t="n"/>
      <c r="AV838" s="588" t="n"/>
      <c r="AW838" s="588" t="n"/>
      <c r="AX838" s="588" t="n"/>
      <c r="AY838" s="588" t="n"/>
      <c r="AZ838" s="588" t="n"/>
      <c r="BA838" s="588" t="n"/>
      <c r="BB838" s="588" t="n"/>
      <c r="BC838" s="588" t="n"/>
      <c r="BD838" s="588" t="n"/>
      <c r="BE838" s="588" t="n"/>
      <c r="BF838" s="588" t="n"/>
      <c r="BG838" s="588" t="n"/>
      <c r="BH838" s="588" t="n"/>
      <c r="BI838" s="588" t="n"/>
      <c r="BJ838" s="588" t="n"/>
      <c r="BK838" s="588" t="n"/>
      <c r="BL838" s="588" t="n"/>
      <c r="BM838" s="588" t="n"/>
      <c r="BN838" s="588" t="n"/>
      <c r="BO838" s="588" t="n"/>
      <c r="BP838" s="588" t="n"/>
      <c r="BQ838" s="588" t="n"/>
      <c r="BR838" s="588" t="n"/>
      <c r="BS838" s="588" t="n"/>
      <c r="BT838" s="588" t="n"/>
      <c r="BU838" s="588" t="n"/>
      <c r="BV838" s="588" t="n"/>
      <c r="BW838" s="588" t="n"/>
      <c r="BX838" s="588" t="n"/>
      <c r="BY838" s="588" t="n"/>
      <c r="BZ838" s="588" t="n"/>
      <c r="CA838" s="588" t="n"/>
      <c r="CB838" s="588" t="n"/>
      <c r="CC838" s="588" t="n"/>
      <c r="CD838" s="588" t="n"/>
      <c r="CE838" s="588" t="n"/>
      <c r="CF838" s="588" t="n"/>
      <c r="CG838" s="588" t="n"/>
      <c r="CH838" s="588" t="n"/>
      <c r="CI838" s="588" t="n"/>
      <c r="CJ838" s="588" t="n"/>
      <c r="CK838" s="588" t="n"/>
      <c r="CL838" s="588" t="n"/>
      <c r="CM838" s="588" t="n"/>
      <c r="CN838" s="588" t="n"/>
      <c r="CO838" s="588" t="n"/>
      <c r="CP838" s="588" t="n"/>
      <c r="CQ838" s="588" t="n"/>
      <c r="CR838" s="588" t="n"/>
      <c r="CS838" s="588" t="n"/>
      <c r="CT838" s="588" t="n"/>
      <c r="CU838" s="588" t="n"/>
      <c r="CV838" s="588" t="n"/>
      <c r="CW838" s="588" t="n"/>
      <c r="CX838" s="588" t="n"/>
      <c r="CY838" s="588" t="n"/>
      <c r="CZ838" s="588" t="n"/>
      <c r="DA838" s="588" t="n"/>
      <c r="DB838" s="588" t="n"/>
      <c r="DC838" s="588" t="n"/>
      <c r="DD838" s="588" t="n"/>
      <c r="DE838" s="588" t="n"/>
      <c r="DF838" s="588" t="n"/>
      <c r="DG838" s="588" t="n"/>
      <c r="DH838" s="588" t="n"/>
      <c r="DI838" s="588" t="n"/>
      <c r="DJ838" s="588" t="n"/>
      <c r="DK838" s="588" t="n"/>
      <c r="DL838" s="588" t="n"/>
      <c r="DM838" s="588" t="n"/>
      <c r="DN838" s="588" t="n"/>
      <c r="DO838" s="588" t="n"/>
      <c r="DP838" s="588" t="n"/>
      <c r="DQ838" s="588" t="n"/>
      <c r="DR838" s="588" t="n"/>
      <c r="DS838" s="588" t="n"/>
      <c r="DT838" s="588" t="n"/>
      <c r="DU838" s="588" t="n"/>
    </row>
    <row r="839">
      <c r="A839" s="737" t="n"/>
      <c r="B839" s="737" t="n"/>
      <c r="C839" s="737" t="n"/>
      <c r="D839" s="737" t="n"/>
      <c r="E839" s="737" t="n"/>
      <c r="F839" s="737" t="n"/>
      <c r="G839" s="737" t="n"/>
      <c r="H839" s="737" t="n"/>
      <c r="I839" s="737" t="n"/>
      <c r="J839" s="737" t="n"/>
      <c r="K839" s="737" t="n"/>
      <c r="L839" s="737" t="n"/>
      <c r="M839" s="737" t="n"/>
      <c r="N839" s="737" t="n"/>
      <c r="O839" s="737" t="n"/>
      <c r="P839" s="737" t="n"/>
      <c r="Q839" s="737" t="n"/>
      <c r="R839" s="737" t="n"/>
      <c r="S839" s="737" t="n"/>
      <c r="T839" s="737" t="n"/>
      <c r="U839" s="737" t="n"/>
      <c r="V839" s="737" t="n"/>
      <c r="W839" s="737" t="n"/>
      <c r="X839" s="737" t="n"/>
      <c r="Y839" s="737" t="n"/>
      <c r="Z839" s="737" t="n"/>
      <c r="AA839" s="737" t="n"/>
      <c r="AB839" s="737" t="n"/>
      <c r="AC839" s="737" t="n"/>
      <c r="AD839" s="737" t="n"/>
      <c r="AE839" s="737" t="n"/>
      <c r="AF839" s="737" t="n"/>
      <c r="AG839" s="737" t="n"/>
      <c r="AH839" s="737" t="n"/>
      <c r="AI839" s="737" t="n"/>
      <c r="AJ839" s="737" t="n"/>
      <c r="AK839" s="588" t="n"/>
      <c r="AL839" s="588" t="n"/>
      <c r="AM839" s="588" t="n"/>
      <c r="AN839" s="588" t="n"/>
      <c r="AO839" s="588" t="n"/>
      <c r="AP839" s="588" t="n"/>
      <c r="AQ839" s="588" t="n"/>
      <c r="AR839" s="588" t="n"/>
      <c r="AS839" s="588" t="n"/>
      <c r="AT839" s="588" t="n"/>
      <c r="AU839" s="588" t="n"/>
      <c r="AV839" s="588" t="n"/>
      <c r="AW839" s="588" t="n"/>
      <c r="AX839" s="588" t="n"/>
      <c r="AY839" s="588" t="n"/>
      <c r="AZ839" s="588" t="n"/>
      <c r="BA839" s="588" t="n"/>
      <c r="BB839" s="588" t="n"/>
      <c r="BC839" s="588" t="n"/>
      <c r="BD839" s="588" t="n"/>
      <c r="BE839" s="588" t="n"/>
      <c r="BF839" s="588" t="n"/>
      <c r="BG839" s="588" t="n"/>
      <c r="BH839" s="588" t="n"/>
      <c r="BI839" s="588" t="n"/>
      <c r="BJ839" s="588" t="n"/>
      <c r="BK839" s="588" t="n"/>
      <c r="BL839" s="588" t="n"/>
      <c r="BM839" s="588" t="n"/>
      <c r="BN839" s="588" t="n"/>
      <c r="BO839" s="588" t="n"/>
      <c r="BP839" s="588" t="n"/>
      <c r="BQ839" s="588" t="n"/>
      <c r="BR839" s="588" t="n"/>
      <c r="BS839" s="588" t="n"/>
      <c r="BT839" s="588" t="n"/>
      <c r="BU839" s="588" t="n"/>
      <c r="BV839" s="588" t="n"/>
      <c r="BW839" s="588" t="n"/>
      <c r="BX839" s="588" t="n"/>
      <c r="BY839" s="588" t="n"/>
      <c r="BZ839" s="588" t="n"/>
      <c r="CA839" s="588" t="n"/>
      <c r="CB839" s="588" t="n"/>
      <c r="CC839" s="588" t="n"/>
      <c r="CD839" s="588" t="n"/>
      <c r="CE839" s="588" t="n"/>
      <c r="CF839" s="588" t="n"/>
      <c r="CG839" s="588" t="n"/>
      <c r="CH839" s="588" t="n"/>
      <c r="CI839" s="588" t="n"/>
      <c r="CJ839" s="588" t="n"/>
      <c r="CK839" s="588" t="n"/>
      <c r="CL839" s="588" t="n"/>
      <c r="CM839" s="588" t="n"/>
      <c r="CN839" s="588" t="n"/>
      <c r="CO839" s="588" t="n"/>
      <c r="CP839" s="588" t="n"/>
      <c r="CQ839" s="588" t="n"/>
      <c r="CR839" s="588" t="n"/>
      <c r="CS839" s="588" t="n"/>
      <c r="CT839" s="588" t="n"/>
      <c r="CU839" s="588" t="n"/>
      <c r="CV839" s="588" t="n"/>
      <c r="CW839" s="588" t="n"/>
      <c r="CX839" s="588" t="n"/>
      <c r="CY839" s="588" t="n"/>
      <c r="CZ839" s="588" t="n"/>
      <c r="DA839" s="588" t="n"/>
      <c r="DB839" s="588" t="n"/>
      <c r="DC839" s="588" t="n"/>
      <c r="DD839" s="588" t="n"/>
      <c r="DE839" s="588" t="n"/>
      <c r="DF839" s="588" t="n"/>
      <c r="DG839" s="588" t="n"/>
      <c r="DH839" s="588" t="n"/>
      <c r="DI839" s="588" t="n"/>
      <c r="DJ839" s="588" t="n"/>
      <c r="DK839" s="588" t="n"/>
      <c r="DL839" s="588" t="n"/>
      <c r="DM839" s="588" t="n"/>
      <c r="DN839" s="588" t="n"/>
      <c r="DO839" s="588" t="n"/>
      <c r="DP839" s="588" t="n"/>
      <c r="DQ839" s="588" t="n"/>
      <c r="DR839" s="588" t="n"/>
      <c r="DS839" s="588" t="n"/>
      <c r="DT839" s="588" t="n"/>
      <c r="DU839" s="588" t="n"/>
    </row>
    <row r="840">
      <c r="A840" s="737" t="n"/>
      <c r="B840" s="737" t="n"/>
      <c r="C840" s="737" t="n"/>
      <c r="D840" s="737" t="n"/>
      <c r="E840" s="737" t="n"/>
      <c r="F840" s="737" t="n"/>
      <c r="G840" s="737" t="n"/>
      <c r="H840" s="737" t="n"/>
      <c r="I840" s="737" t="n"/>
      <c r="J840" s="737" t="n"/>
      <c r="K840" s="737" t="n"/>
      <c r="L840" s="737" t="n"/>
      <c r="M840" s="737" t="n"/>
      <c r="N840" s="737" t="n"/>
      <c r="O840" s="737" t="n"/>
      <c r="P840" s="737" t="n"/>
      <c r="Q840" s="737" t="n"/>
      <c r="R840" s="737" t="n"/>
      <c r="S840" s="737" t="n"/>
      <c r="T840" s="737" t="n"/>
      <c r="U840" s="737" t="n"/>
      <c r="V840" s="737" t="n"/>
      <c r="W840" s="737" t="n"/>
      <c r="X840" s="737" t="n"/>
      <c r="Y840" s="737" t="n"/>
      <c r="Z840" s="737" t="n"/>
      <c r="AA840" s="737" t="n"/>
      <c r="AB840" s="737" t="n"/>
      <c r="AC840" s="737" t="n"/>
      <c r="AD840" s="737" t="n"/>
      <c r="AE840" s="737" t="n"/>
      <c r="AF840" s="737" t="n"/>
      <c r="AG840" s="737" t="n"/>
      <c r="AH840" s="737" t="n"/>
      <c r="AI840" s="737" t="n"/>
      <c r="AJ840" s="737" t="n"/>
      <c r="AK840" s="588" t="n"/>
      <c r="AL840" s="588" t="n"/>
      <c r="AM840" s="588" t="n"/>
      <c r="AN840" s="588" t="n"/>
      <c r="AO840" s="588" t="n"/>
      <c r="AP840" s="588" t="n"/>
      <c r="AQ840" s="588" t="n"/>
      <c r="AR840" s="588" t="n"/>
      <c r="AS840" s="588" t="n"/>
      <c r="AT840" s="588" t="n"/>
      <c r="AU840" s="588" t="n"/>
      <c r="AV840" s="588" t="n"/>
      <c r="AW840" s="588" t="n"/>
      <c r="AX840" s="588" t="n"/>
      <c r="AY840" s="588" t="n"/>
      <c r="AZ840" s="588" t="n"/>
      <c r="BA840" s="588" t="n"/>
      <c r="BB840" s="588" t="n"/>
      <c r="BC840" s="588" t="n"/>
      <c r="BD840" s="588" t="n"/>
      <c r="BE840" s="588" t="n"/>
      <c r="BF840" s="588" t="n"/>
      <c r="BG840" s="588" t="n"/>
      <c r="BH840" s="588" t="n"/>
      <c r="BI840" s="588" t="n"/>
      <c r="BJ840" s="588" t="n"/>
      <c r="BK840" s="588" t="n"/>
      <c r="BL840" s="588" t="n"/>
      <c r="BM840" s="588" t="n"/>
      <c r="BN840" s="588" t="n"/>
      <c r="BO840" s="588" t="n"/>
      <c r="BP840" s="588" t="n"/>
      <c r="BQ840" s="588" t="n"/>
      <c r="BR840" s="588" t="n"/>
      <c r="BS840" s="588" t="n"/>
      <c r="BT840" s="588" t="n"/>
      <c r="BU840" s="588" t="n"/>
      <c r="BV840" s="588" t="n"/>
      <c r="BW840" s="588" t="n"/>
      <c r="BX840" s="588" t="n"/>
      <c r="BY840" s="588" t="n"/>
      <c r="BZ840" s="588" t="n"/>
      <c r="CA840" s="588" t="n"/>
      <c r="CB840" s="588" t="n"/>
      <c r="CC840" s="588" t="n"/>
      <c r="CD840" s="588" t="n"/>
      <c r="CE840" s="588" t="n"/>
      <c r="CF840" s="588" t="n"/>
      <c r="CG840" s="588" t="n"/>
      <c r="CH840" s="588" t="n"/>
      <c r="CI840" s="588" t="n"/>
      <c r="CJ840" s="588" t="n"/>
      <c r="CK840" s="588" t="n"/>
      <c r="CL840" s="588" t="n"/>
      <c r="CM840" s="588" t="n"/>
      <c r="CN840" s="588" t="n"/>
      <c r="CO840" s="588" t="n"/>
      <c r="CP840" s="588" t="n"/>
      <c r="CQ840" s="588" t="n"/>
      <c r="CR840" s="588" t="n"/>
      <c r="CS840" s="588" t="n"/>
      <c r="CT840" s="588" t="n"/>
      <c r="CU840" s="588" t="n"/>
      <c r="CV840" s="588" t="n"/>
      <c r="CW840" s="588" t="n"/>
      <c r="CX840" s="588" t="n"/>
      <c r="CY840" s="588" t="n"/>
      <c r="CZ840" s="588" t="n"/>
      <c r="DA840" s="588" t="n"/>
      <c r="DB840" s="588" t="n"/>
      <c r="DC840" s="588" t="n"/>
      <c r="DD840" s="588" t="n"/>
      <c r="DE840" s="588" t="n"/>
      <c r="DF840" s="588" t="n"/>
      <c r="DG840" s="588" t="n"/>
      <c r="DH840" s="588" t="n"/>
      <c r="DI840" s="588" t="n"/>
      <c r="DJ840" s="588" t="n"/>
      <c r="DK840" s="588" t="n"/>
      <c r="DL840" s="588" t="n"/>
      <c r="DM840" s="588" t="n"/>
      <c r="DN840" s="588" t="n"/>
      <c r="DO840" s="588" t="n"/>
      <c r="DP840" s="588" t="n"/>
      <c r="DQ840" s="588" t="n"/>
      <c r="DR840" s="588" t="n"/>
      <c r="DS840" s="588" t="n"/>
      <c r="DT840" s="588" t="n"/>
      <c r="DU840" s="588" t="n"/>
    </row>
    <row r="841">
      <c r="A841" s="737" t="n"/>
      <c r="B841" s="737" t="n"/>
      <c r="C841" s="737" t="n"/>
      <c r="D841" s="737" t="n"/>
      <c r="E841" s="737" t="n"/>
      <c r="F841" s="737" t="n"/>
      <c r="G841" s="737" t="n"/>
      <c r="H841" s="737" t="n"/>
      <c r="I841" s="737" t="n"/>
      <c r="J841" s="737" t="n"/>
      <c r="K841" s="737" t="n"/>
      <c r="L841" s="737" t="n"/>
      <c r="M841" s="737" t="n"/>
      <c r="N841" s="737" t="n"/>
      <c r="O841" s="737" t="n"/>
      <c r="P841" s="737" t="n"/>
      <c r="Q841" s="737" t="n"/>
      <c r="R841" s="737" t="n"/>
      <c r="S841" s="737" t="n"/>
      <c r="T841" s="737" t="n"/>
      <c r="U841" s="737" t="n"/>
      <c r="V841" s="737" t="n"/>
      <c r="W841" s="737" t="n"/>
      <c r="X841" s="737" t="n"/>
      <c r="Y841" s="737" t="n"/>
      <c r="Z841" s="737" t="n"/>
      <c r="AA841" s="737" t="n"/>
      <c r="AB841" s="737" t="n"/>
      <c r="AC841" s="737" t="n"/>
      <c r="AD841" s="737" t="n"/>
      <c r="AE841" s="737" t="n"/>
      <c r="AF841" s="737" t="n"/>
      <c r="AG841" s="737" t="n"/>
      <c r="AH841" s="737" t="n"/>
      <c r="AI841" s="737" t="n"/>
      <c r="AJ841" s="737" t="n"/>
      <c r="AK841" s="588" t="n"/>
      <c r="AL841" s="588" t="n"/>
      <c r="AM841" s="588" t="n"/>
      <c r="AN841" s="588" t="n"/>
      <c r="AO841" s="588" t="n"/>
      <c r="AP841" s="588" t="n"/>
      <c r="AQ841" s="588" t="n"/>
      <c r="AR841" s="588" t="n"/>
      <c r="AS841" s="588" t="n"/>
      <c r="AT841" s="588" t="n"/>
      <c r="AU841" s="588" t="n"/>
      <c r="AV841" s="588" t="n"/>
      <c r="AW841" s="588" t="n"/>
      <c r="AX841" s="588" t="n"/>
      <c r="AY841" s="588" t="n"/>
      <c r="AZ841" s="588" t="n"/>
      <c r="BA841" s="588" t="n"/>
      <c r="BB841" s="588" t="n"/>
      <c r="BC841" s="588" t="n"/>
      <c r="BD841" s="588" t="n"/>
      <c r="BE841" s="588" t="n"/>
      <c r="BF841" s="588" t="n"/>
      <c r="BG841" s="588" t="n"/>
      <c r="BH841" s="588" t="n"/>
      <c r="BI841" s="588" t="n"/>
      <c r="BJ841" s="588" t="n"/>
      <c r="BK841" s="588" t="n"/>
      <c r="BL841" s="588" t="n"/>
      <c r="BM841" s="588" t="n"/>
      <c r="BN841" s="588" t="n"/>
      <c r="BO841" s="588" t="n"/>
      <c r="BP841" s="588" t="n"/>
      <c r="BQ841" s="588" t="n"/>
      <c r="BR841" s="588" t="n"/>
      <c r="BS841" s="588" t="n"/>
      <c r="BT841" s="588" t="n"/>
      <c r="BU841" s="588" t="n"/>
      <c r="BV841" s="588" t="n"/>
      <c r="BW841" s="588" t="n"/>
      <c r="BX841" s="588" t="n"/>
      <c r="BY841" s="588" t="n"/>
      <c r="BZ841" s="588" t="n"/>
      <c r="CA841" s="588" t="n"/>
      <c r="CB841" s="588" t="n"/>
      <c r="CC841" s="588" t="n"/>
      <c r="CD841" s="588" t="n"/>
      <c r="CE841" s="588" t="n"/>
      <c r="CF841" s="588" t="n"/>
      <c r="CG841" s="588" t="n"/>
      <c r="CH841" s="588" t="n"/>
      <c r="CI841" s="588" t="n"/>
      <c r="CJ841" s="588" t="n"/>
      <c r="CK841" s="588" t="n"/>
      <c r="CL841" s="588" t="n"/>
      <c r="CM841" s="588" t="n"/>
      <c r="CN841" s="588" t="n"/>
      <c r="CO841" s="588" t="n"/>
      <c r="CP841" s="588" t="n"/>
      <c r="CQ841" s="588" t="n"/>
      <c r="CR841" s="588" t="n"/>
      <c r="CS841" s="588" t="n"/>
      <c r="CT841" s="588" t="n"/>
      <c r="CU841" s="588" t="n"/>
      <c r="CV841" s="588" t="n"/>
      <c r="CW841" s="588" t="n"/>
      <c r="CX841" s="588" t="n"/>
      <c r="CY841" s="588" t="n"/>
      <c r="CZ841" s="588" t="n"/>
      <c r="DA841" s="588" t="n"/>
      <c r="DB841" s="588" t="n"/>
      <c r="DC841" s="588" t="n"/>
      <c r="DD841" s="588" t="n"/>
      <c r="DE841" s="588" t="n"/>
      <c r="DF841" s="588" t="n"/>
      <c r="DG841" s="588" t="n"/>
      <c r="DH841" s="588" t="n"/>
      <c r="DI841" s="588" t="n"/>
      <c r="DJ841" s="588" t="n"/>
      <c r="DK841" s="588" t="n"/>
      <c r="DL841" s="588" t="n"/>
      <c r="DM841" s="588" t="n"/>
      <c r="DN841" s="588" t="n"/>
      <c r="DO841" s="588" t="n"/>
      <c r="DP841" s="588" t="n"/>
      <c r="DQ841" s="588" t="n"/>
      <c r="DR841" s="588" t="n"/>
      <c r="DS841" s="588" t="n"/>
      <c r="DT841" s="588" t="n"/>
      <c r="DU841" s="588" t="n"/>
    </row>
    <row r="842">
      <c r="A842" s="737" t="n"/>
      <c r="B842" s="737" t="n"/>
      <c r="C842" s="737" t="n"/>
      <c r="D842" s="737" t="n"/>
      <c r="E842" s="737" t="n"/>
      <c r="F842" s="737" t="n"/>
      <c r="G842" s="737" t="n"/>
      <c r="H842" s="737" t="n"/>
      <c r="I842" s="737" t="n"/>
      <c r="J842" s="737" t="n"/>
      <c r="K842" s="737" t="n"/>
      <c r="L842" s="737" t="n"/>
      <c r="M842" s="737" t="n"/>
      <c r="N842" s="737" t="n"/>
      <c r="O842" s="737" t="n"/>
      <c r="P842" s="737" t="n"/>
      <c r="Q842" s="737" t="n"/>
      <c r="R842" s="737" t="n"/>
      <c r="S842" s="737" t="n"/>
      <c r="T842" s="737" t="n"/>
      <c r="U842" s="737" t="n"/>
      <c r="V842" s="737" t="n"/>
      <c r="W842" s="737" t="n"/>
      <c r="X842" s="737" t="n"/>
      <c r="Y842" s="737" t="n"/>
      <c r="Z842" s="737" t="n"/>
      <c r="AA842" s="737" t="n"/>
      <c r="AB842" s="737" t="n"/>
      <c r="AC842" s="737" t="n"/>
      <c r="AD842" s="737" t="n"/>
      <c r="AE842" s="737" t="n"/>
      <c r="AF842" s="737" t="n"/>
      <c r="AG842" s="737" t="n"/>
      <c r="AH842" s="737" t="n"/>
      <c r="AI842" s="737" t="n"/>
      <c r="AJ842" s="737" t="n"/>
      <c r="AK842" s="588" t="n"/>
      <c r="AL842" s="588" t="n"/>
      <c r="AM842" s="588" t="n"/>
      <c r="AN842" s="588" t="n"/>
      <c r="AO842" s="588" t="n"/>
      <c r="AP842" s="588" t="n"/>
      <c r="AQ842" s="588" t="n"/>
      <c r="AR842" s="588" t="n"/>
      <c r="AS842" s="588" t="n"/>
      <c r="AT842" s="588" t="n"/>
      <c r="AU842" s="588" t="n"/>
      <c r="AV842" s="588" t="n"/>
      <c r="AW842" s="588" t="n"/>
      <c r="AX842" s="588" t="n"/>
      <c r="AY842" s="588" t="n"/>
      <c r="AZ842" s="588" t="n"/>
      <c r="BA842" s="588" t="n"/>
      <c r="BB842" s="588" t="n"/>
      <c r="BC842" s="588" t="n"/>
      <c r="BD842" s="588" t="n"/>
      <c r="BE842" s="588" t="n"/>
      <c r="BF842" s="588" t="n"/>
      <c r="BG842" s="588" t="n"/>
      <c r="BH842" s="588" t="n"/>
      <c r="BI842" s="588" t="n"/>
      <c r="BJ842" s="588" t="n"/>
      <c r="BK842" s="588" t="n"/>
      <c r="BL842" s="588" t="n"/>
      <c r="BM842" s="588" t="n"/>
      <c r="BN842" s="588" t="n"/>
      <c r="BO842" s="588" t="n"/>
      <c r="BP842" s="588" t="n"/>
      <c r="BQ842" s="588" t="n"/>
      <c r="BR842" s="588" t="n"/>
      <c r="BS842" s="588" t="n"/>
      <c r="BT842" s="588" t="n"/>
      <c r="BU842" s="588" t="n"/>
      <c r="BV842" s="588" t="n"/>
      <c r="BW842" s="588" t="n"/>
      <c r="BX842" s="588" t="n"/>
      <c r="BY842" s="588" t="n"/>
      <c r="BZ842" s="588" t="n"/>
      <c r="CA842" s="588" t="n"/>
      <c r="CB842" s="588" t="n"/>
      <c r="CC842" s="588" t="n"/>
      <c r="CD842" s="588" t="n"/>
      <c r="CE842" s="588" t="n"/>
      <c r="CF842" s="588" t="n"/>
      <c r="CG842" s="588" t="n"/>
      <c r="CH842" s="588" t="n"/>
      <c r="CI842" s="588" t="n"/>
      <c r="CJ842" s="588" t="n"/>
      <c r="CK842" s="588" t="n"/>
      <c r="CL842" s="588" t="n"/>
      <c r="CM842" s="588" t="n"/>
      <c r="CN842" s="588" t="n"/>
      <c r="CO842" s="588" t="n"/>
      <c r="CP842" s="588" t="n"/>
      <c r="CQ842" s="588" t="n"/>
      <c r="CR842" s="588" t="n"/>
      <c r="CS842" s="588" t="n"/>
      <c r="CT842" s="588" t="n"/>
      <c r="CU842" s="588" t="n"/>
      <c r="CV842" s="588" t="n"/>
      <c r="CW842" s="588" t="n"/>
      <c r="CX842" s="588" t="n"/>
      <c r="CY842" s="588" t="n"/>
      <c r="CZ842" s="588" t="n"/>
      <c r="DA842" s="588" t="n"/>
      <c r="DB842" s="588" t="n"/>
      <c r="DC842" s="588" t="n"/>
      <c r="DD842" s="588" t="n"/>
      <c r="DE842" s="588" t="n"/>
      <c r="DF842" s="588" t="n"/>
      <c r="DG842" s="588" t="n"/>
      <c r="DH842" s="588" t="n"/>
      <c r="DI842" s="588" t="n"/>
      <c r="DJ842" s="588" t="n"/>
      <c r="DK842" s="588" t="n"/>
      <c r="DL842" s="588" t="n"/>
      <c r="DM842" s="588" t="n"/>
      <c r="DN842" s="588" t="n"/>
      <c r="DO842" s="588" t="n"/>
      <c r="DP842" s="588" t="n"/>
      <c r="DQ842" s="588" t="n"/>
      <c r="DR842" s="588" t="n"/>
      <c r="DS842" s="588" t="n"/>
      <c r="DT842" s="588" t="n"/>
      <c r="DU842" s="588" t="n"/>
    </row>
    <row r="843">
      <c r="A843" s="737" t="n"/>
      <c r="B843" s="737" t="n"/>
      <c r="C843" s="737" t="n"/>
      <c r="D843" s="737" t="n"/>
      <c r="E843" s="737" t="n"/>
      <c r="F843" s="737" t="n"/>
      <c r="G843" s="737" t="n"/>
      <c r="H843" s="737" t="n"/>
      <c r="I843" s="737" t="n"/>
      <c r="J843" s="737" t="n"/>
      <c r="K843" s="737" t="n"/>
      <c r="L843" s="737" t="n"/>
      <c r="M843" s="737" t="n"/>
      <c r="N843" s="737" t="n"/>
      <c r="O843" s="737" t="n"/>
      <c r="P843" s="737" t="n"/>
      <c r="Q843" s="737" t="n"/>
      <c r="R843" s="737" t="n"/>
      <c r="S843" s="737" t="n"/>
      <c r="T843" s="737" t="n"/>
      <c r="U843" s="737" t="n"/>
      <c r="V843" s="737" t="n"/>
      <c r="W843" s="737" t="n"/>
      <c r="X843" s="737" t="n"/>
      <c r="Y843" s="737" t="n"/>
      <c r="Z843" s="737" t="n"/>
      <c r="AA843" s="737" t="n"/>
      <c r="AB843" s="737" t="n"/>
      <c r="AC843" s="737" t="n"/>
      <c r="AD843" s="737" t="n"/>
      <c r="AE843" s="737" t="n"/>
      <c r="AF843" s="737" t="n"/>
      <c r="AG843" s="737" t="n"/>
      <c r="AH843" s="737" t="n"/>
      <c r="AI843" s="737" t="n"/>
      <c r="AJ843" s="737" t="n"/>
      <c r="AK843" s="588" t="n"/>
      <c r="AL843" s="588" t="n"/>
      <c r="AM843" s="588" t="n"/>
      <c r="AN843" s="588" t="n"/>
      <c r="AO843" s="588" t="n"/>
      <c r="AP843" s="588" t="n"/>
      <c r="AQ843" s="588" t="n"/>
      <c r="AR843" s="588" t="n"/>
      <c r="AS843" s="588" t="n"/>
      <c r="AT843" s="588" t="n"/>
      <c r="AU843" s="588" t="n"/>
      <c r="AV843" s="588" t="n"/>
      <c r="AW843" s="588" t="n"/>
      <c r="AX843" s="588" t="n"/>
      <c r="AY843" s="588" t="n"/>
      <c r="AZ843" s="588" t="n"/>
      <c r="BA843" s="588" t="n"/>
      <c r="BB843" s="588" t="n"/>
      <c r="BC843" s="588" t="n"/>
      <c r="BD843" s="588" t="n"/>
      <c r="BE843" s="588" t="n"/>
      <c r="BF843" s="588" t="n"/>
      <c r="BG843" s="588" t="n"/>
      <c r="BH843" s="588" t="n"/>
      <c r="BI843" s="588" t="n"/>
      <c r="BJ843" s="588" t="n"/>
      <c r="BK843" s="588" t="n"/>
      <c r="BL843" s="588" t="n"/>
      <c r="BM843" s="588" t="n"/>
      <c r="BN843" s="588" t="n"/>
      <c r="BO843" s="588" t="n"/>
      <c r="BP843" s="588" t="n"/>
      <c r="BQ843" s="588" t="n"/>
      <c r="BR843" s="588" t="n"/>
      <c r="BS843" s="588" t="n"/>
      <c r="BT843" s="588" t="n"/>
      <c r="BU843" s="588" t="n"/>
      <c r="BV843" s="588" t="n"/>
      <c r="BW843" s="588" t="n"/>
      <c r="BX843" s="588" t="n"/>
      <c r="BY843" s="588" t="n"/>
      <c r="BZ843" s="588" t="n"/>
      <c r="CA843" s="588" t="n"/>
      <c r="CB843" s="588" t="n"/>
      <c r="CC843" s="588" t="n"/>
      <c r="CD843" s="588" t="n"/>
      <c r="CE843" s="588" t="n"/>
      <c r="CF843" s="588" t="n"/>
      <c r="CG843" s="588" t="n"/>
      <c r="CH843" s="588" t="n"/>
      <c r="CI843" s="588" t="n"/>
      <c r="CJ843" s="588" t="n"/>
      <c r="CK843" s="588" t="n"/>
      <c r="CL843" s="588" t="n"/>
      <c r="CM843" s="588" t="n"/>
      <c r="CN843" s="588" t="n"/>
      <c r="CO843" s="588" t="n"/>
      <c r="CP843" s="588" t="n"/>
      <c r="CQ843" s="588" t="n"/>
      <c r="CR843" s="588" t="n"/>
      <c r="CS843" s="588" t="n"/>
      <c r="CT843" s="588" t="n"/>
      <c r="CU843" s="588" t="n"/>
      <c r="CV843" s="588" t="n"/>
      <c r="CW843" s="588" t="n"/>
      <c r="CX843" s="588" t="n"/>
      <c r="CY843" s="588" t="n"/>
      <c r="CZ843" s="588" t="n"/>
      <c r="DA843" s="588" t="n"/>
      <c r="DB843" s="588" t="n"/>
      <c r="DC843" s="588" t="n"/>
      <c r="DD843" s="588" t="n"/>
      <c r="DE843" s="588" t="n"/>
      <c r="DF843" s="588" t="n"/>
      <c r="DG843" s="588" t="n"/>
      <c r="DH843" s="588" t="n"/>
      <c r="DI843" s="588" t="n"/>
      <c r="DJ843" s="588" t="n"/>
      <c r="DK843" s="588" t="n"/>
      <c r="DL843" s="588" t="n"/>
      <c r="DM843" s="588" t="n"/>
      <c r="DN843" s="588" t="n"/>
      <c r="DO843" s="588" t="n"/>
      <c r="DP843" s="588" t="n"/>
      <c r="DQ843" s="588" t="n"/>
      <c r="DR843" s="588" t="n"/>
      <c r="DS843" s="588" t="n"/>
      <c r="DT843" s="588" t="n"/>
      <c r="DU843" s="588" t="n"/>
    </row>
    <row r="844">
      <c r="A844" s="737" t="n"/>
      <c r="B844" s="737" t="n"/>
      <c r="C844" s="737" t="n"/>
      <c r="D844" s="737" t="n"/>
      <c r="E844" s="737" t="n"/>
      <c r="F844" s="737" t="n"/>
      <c r="G844" s="737" t="n"/>
      <c r="H844" s="737" t="n"/>
      <c r="I844" s="737" t="n"/>
      <c r="J844" s="737" t="n"/>
      <c r="K844" s="737" t="n"/>
      <c r="L844" s="737" t="n"/>
      <c r="M844" s="737" t="n"/>
      <c r="N844" s="737" t="n"/>
      <c r="O844" s="737" t="n"/>
      <c r="P844" s="737" t="n"/>
      <c r="Q844" s="737" t="n"/>
      <c r="R844" s="737" t="n"/>
      <c r="S844" s="737" t="n"/>
      <c r="T844" s="737" t="n"/>
      <c r="U844" s="737" t="n"/>
      <c r="V844" s="737" t="n"/>
      <c r="W844" s="737" t="n"/>
      <c r="X844" s="737" t="n"/>
      <c r="Y844" s="737" t="n"/>
      <c r="Z844" s="737" t="n"/>
      <c r="AA844" s="737" t="n"/>
      <c r="AB844" s="737" t="n"/>
      <c r="AC844" s="737" t="n"/>
      <c r="AD844" s="737" t="n"/>
      <c r="AE844" s="737" t="n"/>
      <c r="AF844" s="737" t="n"/>
      <c r="AG844" s="737" t="n"/>
      <c r="AH844" s="737" t="n"/>
      <c r="AI844" s="737" t="n"/>
      <c r="AJ844" s="737" t="n"/>
      <c r="AK844" s="588" t="n"/>
      <c r="AL844" s="588" t="n"/>
      <c r="AM844" s="588" t="n"/>
      <c r="AN844" s="588" t="n"/>
      <c r="AO844" s="588" t="n"/>
      <c r="AP844" s="588" t="n"/>
      <c r="AQ844" s="588" t="n"/>
      <c r="AR844" s="588" t="n"/>
      <c r="AS844" s="588" t="n"/>
      <c r="AT844" s="588" t="n"/>
      <c r="AU844" s="588" t="n"/>
      <c r="AV844" s="588" t="n"/>
      <c r="AW844" s="588" t="n"/>
      <c r="AX844" s="588" t="n"/>
      <c r="AY844" s="588" t="n"/>
      <c r="AZ844" s="588" t="n"/>
      <c r="BA844" s="588" t="n"/>
      <c r="BB844" s="588" t="n"/>
      <c r="BC844" s="588" t="n"/>
      <c r="BD844" s="588" t="n"/>
      <c r="BE844" s="588" t="n"/>
      <c r="BF844" s="588" t="n"/>
      <c r="BG844" s="588" t="n"/>
      <c r="BH844" s="588" t="n"/>
      <c r="BI844" s="588" t="n"/>
      <c r="BJ844" s="588" t="n"/>
      <c r="BK844" s="588" t="n"/>
      <c r="BL844" s="588" t="n"/>
      <c r="BM844" s="588" t="n"/>
      <c r="BN844" s="588" t="n"/>
      <c r="BO844" s="588" t="n"/>
      <c r="BP844" s="588" t="n"/>
      <c r="BQ844" s="588" t="n"/>
      <c r="BR844" s="588" t="n"/>
      <c r="BS844" s="588" t="n"/>
      <c r="BT844" s="588" t="n"/>
      <c r="BU844" s="588" t="n"/>
      <c r="BV844" s="588" t="n"/>
      <c r="BW844" s="588" t="n"/>
      <c r="BX844" s="588" t="n"/>
      <c r="BY844" s="588" t="n"/>
      <c r="BZ844" s="588" t="n"/>
      <c r="CA844" s="588" t="n"/>
      <c r="CB844" s="588" t="n"/>
      <c r="CC844" s="588" t="n"/>
      <c r="CD844" s="588" t="n"/>
      <c r="CE844" s="588" t="n"/>
      <c r="CF844" s="588" t="n"/>
      <c r="CG844" s="588" t="n"/>
      <c r="CH844" s="588" t="n"/>
      <c r="CI844" s="588" t="n"/>
      <c r="CJ844" s="588" t="n"/>
      <c r="CK844" s="588" t="n"/>
      <c r="CL844" s="588" t="n"/>
      <c r="CM844" s="588" t="n"/>
      <c r="CN844" s="588" t="n"/>
      <c r="CO844" s="588" t="n"/>
      <c r="CP844" s="588" t="n"/>
      <c r="CQ844" s="588" t="n"/>
      <c r="CR844" s="588" t="n"/>
      <c r="CS844" s="588" t="n"/>
      <c r="CT844" s="588" t="n"/>
      <c r="CU844" s="588" t="n"/>
      <c r="CV844" s="588" t="n"/>
      <c r="CW844" s="588" t="n"/>
      <c r="CX844" s="588" t="n"/>
      <c r="CY844" s="588" t="n"/>
      <c r="CZ844" s="588" t="n"/>
      <c r="DA844" s="588" t="n"/>
      <c r="DB844" s="588" t="n"/>
      <c r="DC844" s="588" t="n"/>
      <c r="DD844" s="588" t="n"/>
      <c r="DE844" s="588" t="n"/>
      <c r="DF844" s="588" t="n"/>
      <c r="DG844" s="588" t="n"/>
      <c r="DH844" s="588" t="n"/>
      <c r="DI844" s="588" t="n"/>
      <c r="DJ844" s="588" t="n"/>
      <c r="DK844" s="588" t="n"/>
      <c r="DL844" s="588" t="n"/>
      <c r="DM844" s="588" t="n"/>
      <c r="DN844" s="588" t="n"/>
      <c r="DO844" s="588" t="n"/>
      <c r="DP844" s="588" t="n"/>
      <c r="DQ844" s="588" t="n"/>
      <c r="DR844" s="588" t="n"/>
      <c r="DS844" s="588" t="n"/>
      <c r="DT844" s="588" t="n"/>
      <c r="DU844" s="588" t="n"/>
    </row>
    <row r="845">
      <c r="A845" s="737" t="n"/>
      <c r="B845" s="737" t="n"/>
      <c r="C845" s="737" t="n"/>
      <c r="D845" s="737" t="n"/>
      <c r="E845" s="737" t="n"/>
      <c r="F845" s="737" t="n"/>
      <c r="G845" s="737" t="n"/>
      <c r="H845" s="737" t="n"/>
      <c r="I845" s="737" t="n"/>
      <c r="J845" s="737" t="n"/>
      <c r="K845" s="737" t="n"/>
      <c r="L845" s="737" t="n"/>
      <c r="M845" s="737" t="n"/>
      <c r="N845" s="737" t="n"/>
      <c r="O845" s="737" t="n"/>
      <c r="P845" s="737" t="n"/>
      <c r="Q845" s="737" t="n"/>
      <c r="R845" s="737" t="n"/>
      <c r="S845" s="737" t="n"/>
      <c r="T845" s="737" t="n"/>
      <c r="U845" s="737" t="n"/>
      <c r="V845" s="737" t="n"/>
      <c r="W845" s="737" t="n"/>
      <c r="X845" s="737" t="n"/>
      <c r="Y845" s="737" t="n"/>
      <c r="Z845" s="737" t="n"/>
      <c r="AA845" s="737" t="n"/>
      <c r="AB845" s="737" t="n"/>
      <c r="AC845" s="737" t="n"/>
      <c r="AD845" s="737" t="n"/>
      <c r="AE845" s="737" t="n"/>
      <c r="AF845" s="737" t="n"/>
      <c r="AG845" s="737" t="n"/>
      <c r="AH845" s="737" t="n"/>
      <c r="AI845" s="737" t="n"/>
      <c r="AJ845" s="737" t="n"/>
      <c r="AK845" s="588" t="n"/>
      <c r="AL845" s="588" t="n"/>
      <c r="AM845" s="588" t="n"/>
      <c r="AN845" s="588" t="n"/>
      <c r="AO845" s="588" t="n"/>
      <c r="AP845" s="588" t="n"/>
      <c r="AQ845" s="588" t="n"/>
      <c r="AR845" s="588" t="n"/>
      <c r="AS845" s="588" t="n"/>
      <c r="AT845" s="588" t="n"/>
      <c r="AU845" s="588" t="n"/>
      <c r="AV845" s="588" t="n"/>
      <c r="AW845" s="588" t="n"/>
      <c r="AX845" s="588" t="n"/>
      <c r="AY845" s="588" t="n"/>
      <c r="AZ845" s="588" t="n"/>
      <c r="BA845" s="588" t="n"/>
      <c r="BB845" s="588" t="n"/>
      <c r="BC845" s="588" t="n"/>
      <c r="BD845" s="588" t="n"/>
      <c r="BE845" s="588" t="n"/>
      <c r="BF845" s="588" t="n"/>
      <c r="BG845" s="588" t="n"/>
      <c r="BH845" s="588" t="n"/>
      <c r="BI845" s="588" t="n"/>
      <c r="BJ845" s="588" t="n"/>
      <c r="BK845" s="588" t="n"/>
      <c r="BL845" s="588" t="n"/>
      <c r="BM845" s="588" t="n"/>
      <c r="BN845" s="588" t="n"/>
      <c r="BO845" s="588" t="n"/>
      <c r="BP845" s="588" t="n"/>
      <c r="BQ845" s="588" t="n"/>
      <c r="BR845" s="588" t="n"/>
      <c r="BS845" s="588" t="n"/>
      <c r="BT845" s="588" t="n"/>
      <c r="BU845" s="588" t="n"/>
      <c r="BV845" s="588" t="n"/>
      <c r="BW845" s="588" t="n"/>
      <c r="BX845" s="588" t="n"/>
      <c r="BY845" s="588" t="n"/>
      <c r="BZ845" s="588" t="n"/>
      <c r="CA845" s="588" t="n"/>
      <c r="CB845" s="588" t="n"/>
      <c r="CC845" s="588" t="n"/>
      <c r="CD845" s="588" t="n"/>
      <c r="CE845" s="588" t="n"/>
      <c r="CF845" s="588" t="n"/>
      <c r="CG845" s="588" t="n"/>
      <c r="CH845" s="588" t="n"/>
      <c r="CI845" s="588" t="n"/>
      <c r="CJ845" s="588" t="n"/>
      <c r="CK845" s="588" t="n"/>
      <c r="CL845" s="588" t="n"/>
      <c r="CM845" s="588" t="n"/>
      <c r="CN845" s="588" t="n"/>
      <c r="CO845" s="588" t="n"/>
      <c r="CP845" s="588" t="n"/>
      <c r="CQ845" s="588" t="n"/>
      <c r="CR845" s="588" t="n"/>
      <c r="CS845" s="588" t="n"/>
      <c r="CT845" s="588" t="n"/>
      <c r="CU845" s="588" t="n"/>
      <c r="CV845" s="588" t="n"/>
      <c r="CW845" s="588" t="n"/>
      <c r="CX845" s="588" t="n"/>
      <c r="CY845" s="588" t="n"/>
      <c r="CZ845" s="588" t="n"/>
      <c r="DA845" s="588" t="n"/>
      <c r="DB845" s="588" t="n"/>
      <c r="DC845" s="588" t="n"/>
      <c r="DD845" s="588" t="n"/>
      <c r="DE845" s="588" t="n"/>
      <c r="DF845" s="588" t="n"/>
      <c r="DG845" s="588" t="n"/>
      <c r="DH845" s="588" t="n"/>
      <c r="DI845" s="588" t="n"/>
      <c r="DJ845" s="588" t="n"/>
      <c r="DK845" s="588" t="n"/>
      <c r="DL845" s="588" t="n"/>
      <c r="DM845" s="588" t="n"/>
      <c r="DN845" s="588" t="n"/>
      <c r="DO845" s="588" t="n"/>
      <c r="DP845" s="588" t="n"/>
      <c r="DQ845" s="588" t="n"/>
      <c r="DR845" s="588" t="n"/>
      <c r="DS845" s="588" t="n"/>
      <c r="DT845" s="588" t="n"/>
      <c r="DU845" s="588" t="n"/>
    </row>
    <row r="846">
      <c r="A846" s="737" t="n"/>
      <c r="B846" s="737" t="n"/>
      <c r="C846" s="737" t="n"/>
      <c r="D846" s="737" t="n"/>
      <c r="E846" s="737" t="n"/>
      <c r="F846" s="737" t="n"/>
      <c r="G846" s="737" t="n"/>
      <c r="H846" s="737" t="n"/>
      <c r="I846" s="737" t="n"/>
      <c r="J846" s="737" t="n"/>
      <c r="K846" s="737" t="n"/>
      <c r="L846" s="737" t="n"/>
      <c r="M846" s="737" t="n"/>
      <c r="N846" s="737" t="n"/>
      <c r="O846" s="737" t="n"/>
      <c r="P846" s="737" t="n"/>
      <c r="Q846" s="737" t="n"/>
      <c r="R846" s="737" t="n"/>
      <c r="S846" s="737" t="n"/>
      <c r="T846" s="737" t="n"/>
      <c r="U846" s="737" t="n"/>
      <c r="V846" s="737" t="n"/>
      <c r="W846" s="737" t="n"/>
      <c r="X846" s="737" t="n"/>
      <c r="Y846" s="737" t="n"/>
      <c r="Z846" s="737" t="n"/>
      <c r="AA846" s="737" t="n"/>
      <c r="AB846" s="737" t="n"/>
      <c r="AC846" s="737" t="n"/>
      <c r="AD846" s="737" t="n"/>
      <c r="AE846" s="737" t="n"/>
      <c r="AF846" s="737" t="n"/>
      <c r="AG846" s="737" t="n"/>
      <c r="AH846" s="737" t="n"/>
      <c r="AI846" s="737" t="n"/>
      <c r="AJ846" s="737" t="n"/>
      <c r="AK846" s="588" t="n"/>
      <c r="AL846" s="588" t="n"/>
      <c r="AM846" s="588" t="n"/>
      <c r="AN846" s="588" t="n"/>
      <c r="AO846" s="588" t="n"/>
      <c r="AP846" s="588" t="n"/>
      <c r="AQ846" s="588" t="n"/>
      <c r="AR846" s="588" t="n"/>
      <c r="AS846" s="588" t="n"/>
      <c r="AT846" s="588" t="n"/>
      <c r="AU846" s="588" t="n"/>
      <c r="AV846" s="588" t="n"/>
      <c r="AW846" s="588" t="n"/>
      <c r="AX846" s="588" t="n"/>
      <c r="AY846" s="588" t="n"/>
      <c r="AZ846" s="588" t="n"/>
      <c r="BA846" s="588" t="n"/>
      <c r="BB846" s="588" t="n"/>
      <c r="BC846" s="588" t="n"/>
      <c r="BD846" s="588" t="n"/>
      <c r="BE846" s="588" t="n"/>
      <c r="BF846" s="588" t="n"/>
      <c r="BG846" s="588" t="n"/>
      <c r="BH846" s="588" t="n"/>
      <c r="BI846" s="588" t="n"/>
      <c r="BJ846" s="588" t="n"/>
      <c r="BK846" s="588" t="n"/>
      <c r="BL846" s="588" t="n"/>
      <c r="BM846" s="588" t="n"/>
      <c r="BN846" s="588" t="n"/>
      <c r="BO846" s="588" t="n"/>
      <c r="BP846" s="588" t="n"/>
      <c r="BQ846" s="588" t="n"/>
      <c r="BR846" s="588" t="n"/>
      <c r="BS846" s="588" t="n"/>
      <c r="BT846" s="588" t="n"/>
      <c r="BU846" s="588" t="n"/>
      <c r="BV846" s="588" t="n"/>
      <c r="BW846" s="588" t="n"/>
      <c r="BX846" s="588" t="n"/>
      <c r="BY846" s="588" t="n"/>
      <c r="BZ846" s="588" t="n"/>
      <c r="CA846" s="588" t="n"/>
      <c r="CB846" s="588" t="n"/>
      <c r="CC846" s="588" t="n"/>
      <c r="CD846" s="588" t="n"/>
      <c r="CE846" s="588" t="n"/>
      <c r="CF846" s="588" t="n"/>
      <c r="CG846" s="588" t="n"/>
      <c r="CH846" s="588" t="n"/>
      <c r="CI846" s="588" t="n"/>
      <c r="CJ846" s="588" t="n"/>
      <c r="CK846" s="588" t="n"/>
      <c r="CL846" s="588" t="n"/>
      <c r="CM846" s="588" t="n"/>
      <c r="CN846" s="588" t="n"/>
      <c r="CO846" s="588" t="n"/>
      <c r="CP846" s="588" t="n"/>
      <c r="CQ846" s="588" t="n"/>
      <c r="CR846" s="588" t="n"/>
      <c r="CS846" s="588" t="n"/>
      <c r="CT846" s="588" t="n"/>
      <c r="CU846" s="588" t="n"/>
      <c r="CV846" s="588" t="n"/>
      <c r="CW846" s="588" t="n"/>
      <c r="CX846" s="588" t="n"/>
      <c r="CY846" s="588" t="n"/>
      <c r="CZ846" s="588" t="n"/>
      <c r="DA846" s="588" t="n"/>
      <c r="DB846" s="588" t="n"/>
      <c r="DC846" s="588" t="n"/>
      <c r="DD846" s="588" t="n"/>
      <c r="DE846" s="588" t="n"/>
      <c r="DF846" s="588" t="n"/>
      <c r="DG846" s="588" t="n"/>
      <c r="DH846" s="588" t="n"/>
      <c r="DI846" s="588" t="n"/>
      <c r="DJ846" s="588" t="n"/>
      <c r="DK846" s="588" t="n"/>
      <c r="DL846" s="588" t="n"/>
      <c r="DM846" s="588" t="n"/>
      <c r="DN846" s="588" t="n"/>
      <c r="DO846" s="588" t="n"/>
      <c r="DP846" s="588" t="n"/>
      <c r="DQ846" s="588" t="n"/>
      <c r="DR846" s="588" t="n"/>
      <c r="DS846" s="588" t="n"/>
      <c r="DT846" s="588" t="n"/>
      <c r="DU846" s="588" t="n"/>
    </row>
    <row r="847">
      <c r="A847" s="737" t="n"/>
      <c r="B847" s="737" t="n"/>
      <c r="C847" s="737" t="n"/>
      <c r="D847" s="737" t="n"/>
      <c r="E847" s="737" t="n"/>
      <c r="F847" s="737" t="n"/>
      <c r="G847" s="737" t="n"/>
      <c r="H847" s="737" t="n"/>
      <c r="I847" s="737" t="n"/>
      <c r="J847" s="737" t="n"/>
      <c r="K847" s="737" t="n"/>
      <c r="L847" s="737" t="n"/>
      <c r="M847" s="737" t="n"/>
      <c r="N847" s="737" t="n"/>
      <c r="O847" s="737" t="n"/>
      <c r="P847" s="737" t="n"/>
      <c r="Q847" s="737" t="n"/>
      <c r="R847" s="737" t="n"/>
      <c r="S847" s="737" t="n"/>
      <c r="T847" s="737" t="n"/>
      <c r="U847" s="737" t="n"/>
      <c r="V847" s="737" t="n"/>
      <c r="W847" s="737" t="n"/>
      <c r="X847" s="737" t="n"/>
      <c r="Y847" s="737" t="n"/>
      <c r="Z847" s="737" t="n"/>
      <c r="AA847" s="737" t="n"/>
      <c r="AB847" s="737" t="n"/>
      <c r="AC847" s="737" t="n"/>
      <c r="AD847" s="737" t="n"/>
      <c r="AE847" s="737" t="n"/>
      <c r="AF847" s="737" t="n"/>
      <c r="AG847" s="737" t="n"/>
      <c r="AH847" s="737" t="n"/>
      <c r="AI847" s="737" t="n"/>
      <c r="AJ847" s="737" t="n"/>
      <c r="AK847" s="588" t="n"/>
      <c r="AL847" s="588" t="n"/>
      <c r="AM847" s="588" t="n"/>
      <c r="AN847" s="588" t="n"/>
      <c r="AO847" s="588" t="n"/>
      <c r="AP847" s="588" t="n"/>
      <c r="AQ847" s="588" t="n"/>
      <c r="AR847" s="588" t="n"/>
      <c r="AS847" s="588" t="n"/>
      <c r="AT847" s="588" t="n"/>
      <c r="AU847" s="588" t="n"/>
      <c r="AV847" s="588" t="n"/>
      <c r="AW847" s="588" t="n"/>
      <c r="AX847" s="588" t="n"/>
      <c r="AY847" s="588" t="n"/>
      <c r="AZ847" s="588" t="n"/>
      <c r="BA847" s="588" t="n"/>
      <c r="BB847" s="588" t="n"/>
      <c r="BC847" s="588" t="n"/>
      <c r="BD847" s="588" t="n"/>
      <c r="BE847" s="588" t="n"/>
      <c r="BF847" s="588" t="n"/>
      <c r="BG847" s="588" t="n"/>
      <c r="BH847" s="588" t="n"/>
      <c r="BI847" s="588" t="n"/>
      <c r="BJ847" s="588" t="n"/>
      <c r="BK847" s="588" t="n"/>
      <c r="BL847" s="588" t="n"/>
      <c r="BM847" s="588" t="n"/>
      <c r="BN847" s="588" t="n"/>
      <c r="BO847" s="588" t="n"/>
      <c r="BP847" s="588" t="n"/>
      <c r="BQ847" s="588" t="n"/>
      <c r="BR847" s="588" t="n"/>
      <c r="BS847" s="588" t="n"/>
      <c r="BT847" s="588" t="n"/>
      <c r="BU847" s="588" t="n"/>
      <c r="BV847" s="588" t="n"/>
      <c r="BW847" s="588" t="n"/>
      <c r="BX847" s="588" t="n"/>
      <c r="BY847" s="588" t="n"/>
      <c r="BZ847" s="588" t="n"/>
      <c r="CA847" s="588" t="n"/>
      <c r="CB847" s="588" t="n"/>
      <c r="CC847" s="588" t="n"/>
      <c r="CD847" s="588" t="n"/>
      <c r="CE847" s="588" t="n"/>
      <c r="CF847" s="588" t="n"/>
      <c r="CG847" s="588" t="n"/>
      <c r="CH847" s="588" t="n"/>
      <c r="CI847" s="588" t="n"/>
      <c r="CJ847" s="588" t="n"/>
      <c r="CK847" s="588" t="n"/>
      <c r="CL847" s="588" t="n"/>
      <c r="CM847" s="588" t="n"/>
      <c r="CN847" s="588" t="n"/>
      <c r="CO847" s="588" t="n"/>
      <c r="CP847" s="588" t="n"/>
      <c r="CQ847" s="588" t="n"/>
      <c r="CR847" s="588" t="n"/>
      <c r="CS847" s="588" t="n"/>
      <c r="CT847" s="588" t="n"/>
      <c r="CU847" s="588" t="n"/>
      <c r="CV847" s="588" t="n"/>
      <c r="CW847" s="588" t="n"/>
      <c r="CX847" s="588" t="n"/>
      <c r="CY847" s="588" t="n"/>
      <c r="CZ847" s="588" t="n"/>
      <c r="DA847" s="588" t="n"/>
      <c r="DB847" s="588" t="n"/>
      <c r="DC847" s="588" t="n"/>
      <c r="DD847" s="588" t="n"/>
      <c r="DE847" s="588" t="n"/>
      <c r="DF847" s="588" t="n"/>
      <c r="DG847" s="588" t="n"/>
      <c r="DH847" s="588" t="n"/>
      <c r="DI847" s="588" t="n"/>
      <c r="DJ847" s="588" t="n"/>
      <c r="DK847" s="588" t="n"/>
      <c r="DL847" s="588" t="n"/>
      <c r="DM847" s="588" t="n"/>
      <c r="DN847" s="588" t="n"/>
      <c r="DO847" s="588" t="n"/>
      <c r="DP847" s="588" t="n"/>
      <c r="DQ847" s="588" t="n"/>
      <c r="DR847" s="588" t="n"/>
      <c r="DS847" s="588" t="n"/>
      <c r="DT847" s="588" t="n"/>
      <c r="DU847" s="588" t="n"/>
    </row>
    <row r="848">
      <c r="A848" s="737" t="n"/>
      <c r="B848" s="737" t="n"/>
      <c r="C848" s="737" t="n"/>
      <c r="D848" s="737" t="n"/>
      <c r="E848" s="737" t="n"/>
      <c r="F848" s="737" t="n"/>
      <c r="G848" s="737" t="n"/>
      <c r="H848" s="737" t="n"/>
      <c r="I848" s="737" t="n"/>
      <c r="J848" s="737" t="n"/>
      <c r="K848" s="737" t="n"/>
      <c r="L848" s="737" t="n"/>
      <c r="M848" s="737" t="n"/>
      <c r="N848" s="737" t="n"/>
      <c r="O848" s="737" t="n"/>
      <c r="P848" s="737" t="n"/>
      <c r="Q848" s="737" t="n"/>
      <c r="R848" s="737" t="n"/>
      <c r="S848" s="737" t="n"/>
      <c r="T848" s="737" t="n"/>
      <c r="U848" s="737" t="n"/>
      <c r="V848" s="737" t="n"/>
      <c r="W848" s="737" t="n"/>
      <c r="X848" s="737" t="n"/>
      <c r="Y848" s="737" t="n"/>
      <c r="Z848" s="737" t="n"/>
      <c r="AA848" s="737" t="n"/>
      <c r="AB848" s="737" t="n"/>
      <c r="AC848" s="737" t="n"/>
      <c r="AD848" s="737" t="n"/>
      <c r="AE848" s="737" t="n"/>
      <c r="AF848" s="737" t="n"/>
      <c r="AG848" s="737" t="n"/>
      <c r="AH848" s="737" t="n"/>
      <c r="AI848" s="737" t="n"/>
      <c r="AJ848" s="737" t="n"/>
      <c r="AK848" s="588" t="n"/>
      <c r="AL848" s="588" t="n"/>
      <c r="AM848" s="588" t="n"/>
      <c r="AN848" s="588" t="n"/>
      <c r="AO848" s="588" t="n"/>
      <c r="AP848" s="588" t="n"/>
      <c r="AQ848" s="588" t="n"/>
      <c r="AR848" s="588" t="n"/>
      <c r="AS848" s="588" t="n"/>
      <c r="AT848" s="588" t="n"/>
      <c r="AU848" s="588" t="n"/>
      <c r="AV848" s="588" t="n"/>
      <c r="AW848" s="588" t="n"/>
      <c r="AX848" s="588" t="n"/>
      <c r="AY848" s="588" t="n"/>
      <c r="AZ848" s="588" t="n"/>
      <c r="BA848" s="588" t="n"/>
      <c r="BB848" s="588" t="n"/>
      <c r="BC848" s="588" t="n"/>
      <c r="BD848" s="588" t="n"/>
      <c r="BE848" s="588" t="n"/>
      <c r="BF848" s="588" t="n"/>
      <c r="BG848" s="588" t="n"/>
      <c r="BH848" s="588" t="n"/>
      <c r="BI848" s="588" t="n"/>
      <c r="BJ848" s="588" t="n"/>
      <c r="BK848" s="588" t="n"/>
      <c r="BL848" s="588" t="n"/>
      <c r="BM848" s="588" t="n"/>
      <c r="BN848" s="588" t="n"/>
      <c r="BO848" s="588" t="n"/>
      <c r="BP848" s="588" t="n"/>
      <c r="BQ848" s="588" t="n"/>
      <c r="BR848" s="588" t="n"/>
      <c r="BS848" s="588" t="n"/>
      <c r="BT848" s="588" t="n"/>
      <c r="BU848" s="588" t="n"/>
      <c r="BV848" s="588" t="n"/>
      <c r="BW848" s="588" t="n"/>
      <c r="BX848" s="588" t="n"/>
      <c r="BY848" s="588" t="n"/>
      <c r="BZ848" s="588" t="n"/>
      <c r="CA848" s="588" t="n"/>
      <c r="CB848" s="588" t="n"/>
      <c r="CC848" s="588" t="n"/>
      <c r="CD848" s="588" t="n"/>
      <c r="CE848" s="588" t="n"/>
      <c r="CF848" s="588" t="n"/>
      <c r="CG848" s="588" t="n"/>
      <c r="CH848" s="588" t="n"/>
      <c r="CI848" s="588" t="n"/>
      <c r="CJ848" s="588" t="n"/>
      <c r="CK848" s="588" t="n"/>
      <c r="CL848" s="588" t="n"/>
      <c r="CM848" s="588" t="n"/>
      <c r="CN848" s="588" t="n"/>
      <c r="CO848" s="588" t="n"/>
      <c r="CP848" s="588" t="n"/>
      <c r="CQ848" s="588" t="n"/>
      <c r="CR848" s="588" t="n"/>
      <c r="CS848" s="588" t="n"/>
      <c r="CT848" s="588" t="n"/>
      <c r="CU848" s="588" t="n"/>
      <c r="CV848" s="588" t="n"/>
      <c r="CW848" s="588" t="n"/>
      <c r="CX848" s="588" t="n"/>
      <c r="CY848" s="588" t="n"/>
      <c r="CZ848" s="588" t="n"/>
      <c r="DA848" s="588" t="n"/>
      <c r="DB848" s="588" t="n"/>
      <c r="DC848" s="588" t="n"/>
      <c r="DD848" s="588" t="n"/>
      <c r="DE848" s="588" t="n"/>
      <c r="DF848" s="588" t="n"/>
      <c r="DG848" s="588" t="n"/>
      <c r="DH848" s="588" t="n"/>
      <c r="DI848" s="588" t="n"/>
      <c r="DJ848" s="588" t="n"/>
      <c r="DK848" s="588" t="n"/>
      <c r="DL848" s="588" t="n"/>
      <c r="DM848" s="588" t="n"/>
      <c r="DN848" s="588" t="n"/>
      <c r="DO848" s="588" t="n"/>
      <c r="DP848" s="588" t="n"/>
      <c r="DQ848" s="588" t="n"/>
      <c r="DR848" s="588" t="n"/>
      <c r="DS848" s="588" t="n"/>
      <c r="DT848" s="588" t="n"/>
      <c r="DU848" s="588" t="n"/>
    </row>
    <row r="849">
      <c r="A849" s="737" t="n"/>
      <c r="B849" s="737" t="n"/>
      <c r="C849" s="737" t="n"/>
      <c r="D849" s="737" t="n"/>
      <c r="E849" s="737" t="n"/>
      <c r="F849" s="737" t="n"/>
      <c r="G849" s="737" t="n"/>
      <c r="H849" s="737" t="n"/>
      <c r="I849" s="737" t="n"/>
      <c r="J849" s="737" t="n"/>
      <c r="K849" s="737" t="n"/>
      <c r="L849" s="737" t="n"/>
      <c r="M849" s="737" t="n"/>
      <c r="N849" s="737" t="n"/>
      <c r="O849" s="737" t="n"/>
      <c r="P849" s="737" t="n"/>
      <c r="Q849" s="737" t="n"/>
      <c r="R849" s="737" t="n"/>
      <c r="S849" s="737" t="n"/>
      <c r="T849" s="737" t="n"/>
      <c r="U849" s="737" t="n"/>
      <c r="V849" s="737" t="n"/>
      <c r="W849" s="737" t="n"/>
      <c r="X849" s="737" t="n"/>
      <c r="Y849" s="737" t="n"/>
      <c r="Z849" s="737" t="n"/>
      <c r="AA849" s="737" t="n"/>
      <c r="AB849" s="737" t="n"/>
      <c r="AC849" s="737" t="n"/>
      <c r="AD849" s="737" t="n"/>
      <c r="AE849" s="737" t="n"/>
      <c r="AF849" s="737" t="n"/>
      <c r="AG849" s="737" t="n"/>
      <c r="AH849" s="737" t="n"/>
      <c r="AI849" s="737" t="n"/>
      <c r="AJ849" s="737" t="n"/>
      <c r="AK849" s="588" t="n"/>
      <c r="AL849" s="588" t="n"/>
      <c r="AM849" s="588" t="n"/>
      <c r="AN849" s="588" t="n"/>
      <c r="AO849" s="588" t="n"/>
      <c r="AP849" s="588" t="n"/>
      <c r="AQ849" s="588" t="n"/>
      <c r="AR849" s="588" t="n"/>
      <c r="AS849" s="588" t="n"/>
      <c r="AT849" s="588" t="n"/>
      <c r="AU849" s="588" t="n"/>
      <c r="AV849" s="588" t="n"/>
      <c r="AW849" s="588" t="n"/>
      <c r="AX849" s="588" t="n"/>
      <c r="AY849" s="588" t="n"/>
      <c r="AZ849" s="588" t="n"/>
      <c r="BA849" s="588" t="n"/>
      <c r="BB849" s="588" t="n"/>
      <c r="BC849" s="588" t="n"/>
      <c r="BD849" s="588" t="n"/>
      <c r="BE849" s="588" t="n"/>
      <c r="BF849" s="588" t="n"/>
      <c r="BG849" s="588" t="n"/>
      <c r="BH849" s="588" t="n"/>
      <c r="BI849" s="588" t="n"/>
      <c r="BJ849" s="588" t="n"/>
      <c r="BK849" s="588" t="n"/>
      <c r="BL849" s="588" t="n"/>
      <c r="BM849" s="588" t="n"/>
      <c r="BN849" s="588" t="n"/>
      <c r="BO849" s="588" t="n"/>
      <c r="BP849" s="588" t="n"/>
      <c r="BQ849" s="588" t="n"/>
      <c r="BR849" s="588" t="n"/>
      <c r="BS849" s="588" t="n"/>
      <c r="BT849" s="588" t="n"/>
      <c r="BU849" s="588" t="n"/>
      <c r="BV849" s="588" t="n"/>
      <c r="BW849" s="588" t="n"/>
      <c r="BX849" s="588" t="n"/>
      <c r="BY849" s="588" t="n"/>
      <c r="BZ849" s="588" t="n"/>
      <c r="CA849" s="588" t="n"/>
      <c r="CB849" s="588" t="n"/>
      <c r="CC849" s="588" t="n"/>
      <c r="CD849" s="588" t="n"/>
      <c r="CE849" s="588" t="n"/>
      <c r="CF849" s="588" t="n"/>
      <c r="CG849" s="588" t="n"/>
      <c r="CH849" s="588" t="n"/>
      <c r="CI849" s="588" t="n"/>
      <c r="CJ849" s="588" t="n"/>
      <c r="CK849" s="588" t="n"/>
      <c r="CL849" s="588" t="n"/>
      <c r="CM849" s="588" t="n"/>
      <c r="CN849" s="588" t="n"/>
      <c r="CO849" s="588" t="n"/>
      <c r="CP849" s="588" t="n"/>
      <c r="CQ849" s="588" t="n"/>
      <c r="CR849" s="588" t="n"/>
      <c r="CS849" s="588" t="n"/>
      <c r="CT849" s="588" t="n"/>
      <c r="CU849" s="588" t="n"/>
      <c r="CV849" s="588" t="n"/>
      <c r="CW849" s="588" t="n"/>
      <c r="CX849" s="588" t="n"/>
      <c r="CY849" s="588" t="n"/>
      <c r="CZ849" s="588" t="n"/>
      <c r="DA849" s="588" t="n"/>
      <c r="DB849" s="588" t="n"/>
      <c r="DC849" s="588" t="n"/>
      <c r="DD849" s="588" t="n"/>
      <c r="DE849" s="588" t="n"/>
      <c r="DF849" s="588" t="n"/>
      <c r="DG849" s="588" t="n"/>
      <c r="DH849" s="588" t="n"/>
      <c r="DI849" s="588" t="n"/>
      <c r="DJ849" s="588" t="n"/>
      <c r="DK849" s="588" t="n"/>
      <c r="DL849" s="588" t="n"/>
      <c r="DM849" s="588" t="n"/>
      <c r="DN849" s="588" t="n"/>
      <c r="DO849" s="588" t="n"/>
      <c r="DP849" s="588" t="n"/>
      <c r="DQ849" s="588" t="n"/>
      <c r="DR849" s="588" t="n"/>
      <c r="DS849" s="588" t="n"/>
      <c r="DT849" s="588" t="n"/>
      <c r="DU849" s="588" t="n"/>
    </row>
    <row r="850">
      <c r="A850" s="737" t="n"/>
      <c r="B850" s="737" t="n"/>
      <c r="C850" s="737" t="n"/>
      <c r="D850" s="737" t="n"/>
      <c r="E850" s="737" t="n"/>
      <c r="F850" s="737" t="n"/>
      <c r="G850" s="737" t="n"/>
      <c r="H850" s="737" t="n"/>
      <c r="I850" s="737" t="n"/>
      <c r="J850" s="737" t="n"/>
      <c r="K850" s="737" t="n"/>
      <c r="L850" s="737" t="n"/>
      <c r="M850" s="737" t="n"/>
      <c r="N850" s="737" t="n"/>
      <c r="O850" s="737" t="n"/>
      <c r="P850" s="737" t="n"/>
      <c r="Q850" s="737" t="n"/>
      <c r="R850" s="737" t="n"/>
      <c r="S850" s="737" t="n"/>
      <c r="T850" s="737" t="n"/>
      <c r="U850" s="737" t="n"/>
      <c r="V850" s="737" t="n"/>
      <c r="W850" s="737" t="n"/>
      <c r="X850" s="737" t="n"/>
      <c r="Y850" s="737" t="n"/>
      <c r="Z850" s="737" t="n"/>
      <c r="AA850" s="737" t="n"/>
      <c r="AB850" s="737" t="n"/>
      <c r="AC850" s="737" t="n"/>
      <c r="AD850" s="737" t="n"/>
      <c r="AE850" s="737" t="n"/>
      <c r="AF850" s="737" t="n"/>
      <c r="AG850" s="737" t="n"/>
      <c r="AH850" s="737" t="n"/>
      <c r="AI850" s="737" t="n"/>
      <c r="AJ850" s="737" t="n"/>
      <c r="AK850" s="588" t="n"/>
      <c r="AL850" s="588" t="n"/>
      <c r="AM850" s="588" t="n"/>
      <c r="AN850" s="588" t="n"/>
      <c r="AO850" s="588" t="n"/>
      <c r="AP850" s="588" t="n"/>
      <c r="AQ850" s="588" t="n"/>
      <c r="AR850" s="588" t="n"/>
      <c r="AS850" s="588" t="n"/>
      <c r="AT850" s="588" t="n"/>
      <c r="AU850" s="588" t="n"/>
      <c r="AV850" s="588" t="n"/>
      <c r="AW850" s="588" t="n"/>
      <c r="AX850" s="588" t="n"/>
      <c r="AY850" s="588" t="n"/>
      <c r="AZ850" s="588" t="n"/>
      <c r="BA850" s="588" t="n"/>
      <c r="BB850" s="588" t="n"/>
      <c r="BC850" s="588" t="n"/>
      <c r="BD850" s="588" t="n"/>
      <c r="BE850" s="588" t="n"/>
      <c r="BF850" s="588" t="n"/>
      <c r="BG850" s="588" t="n"/>
      <c r="BH850" s="588" t="n"/>
      <c r="BI850" s="588" t="n"/>
      <c r="BJ850" s="588" t="n"/>
      <c r="BK850" s="588" t="n"/>
      <c r="BL850" s="588" t="n"/>
      <c r="BM850" s="588" t="n"/>
      <c r="BN850" s="588" t="n"/>
      <c r="BO850" s="588" t="n"/>
      <c r="BP850" s="588" t="n"/>
      <c r="BQ850" s="588" t="n"/>
      <c r="BR850" s="588" t="n"/>
      <c r="BS850" s="588" t="n"/>
      <c r="BT850" s="588" t="n"/>
      <c r="BU850" s="588" t="n"/>
      <c r="BV850" s="588" t="n"/>
      <c r="BW850" s="588" t="n"/>
      <c r="BX850" s="588" t="n"/>
      <c r="BY850" s="588" t="n"/>
      <c r="BZ850" s="588" t="n"/>
      <c r="CA850" s="588" t="n"/>
      <c r="CB850" s="588" t="n"/>
      <c r="CC850" s="588" t="n"/>
      <c r="CD850" s="588" t="n"/>
      <c r="CE850" s="588" t="n"/>
      <c r="CF850" s="588" t="n"/>
      <c r="CG850" s="588" t="n"/>
      <c r="CH850" s="588" t="n"/>
      <c r="CI850" s="588" t="n"/>
      <c r="CJ850" s="588" t="n"/>
      <c r="CK850" s="588" t="n"/>
      <c r="CL850" s="588" t="n"/>
      <c r="CM850" s="588" t="n"/>
      <c r="CN850" s="588" t="n"/>
      <c r="CO850" s="588" t="n"/>
      <c r="CP850" s="588" t="n"/>
      <c r="CQ850" s="588" t="n"/>
      <c r="CR850" s="588" t="n"/>
      <c r="CS850" s="588" t="n"/>
      <c r="CT850" s="588" t="n"/>
      <c r="CU850" s="588" t="n"/>
      <c r="CV850" s="588" t="n"/>
      <c r="CW850" s="588" t="n"/>
      <c r="CX850" s="588" t="n"/>
      <c r="CY850" s="588" t="n"/>
      <c r="CZ850" s="588" t="n"/>
      <c r="DA850" s="588" t="n"/>
      <c r="DB850" s="588" t="n"/>
      <c r="DC850" s="588" t="n"/>
      <c r="DD850" s="588" t="n"/>
      <c r="DE850" s="588" t="n"/>
      <c r="DF850" s="588" t="n"/>
      <c r="DG850" s="588" t="n"/>
      <c r="DH850" s="588" t="n"/>
      <c r="DI850" s="588" t="n"/>
      <c r="DJ850" s="588" t="n"/>
      <c r="DK850" s="588" t="n"/>
      <c r="DL850" s="588" t="n"/>
      <c r="DM850" s="588" t="n"/>
      <c r="DN850" s="588" t="n"/>
      <c r="DO850" s="588" t="n"/>
      <c r="DP850" s="588" t="n"/>
      <c r="DQ850" s="588" t="n"/>
      <c r="DR850" s="588" t="n"/>
      <c r="DS850" s="588" t="n"/>
      <c r="DT850" s="588" t="n"/>
      <c r="DU850" s="588" t="n"/>
    </row>
    <row r="851">
      <c r="A851" s="737" t="n"/>
      <c r="B851" s="737" t="n"/>
      <c r="C851" s="737" t="n"/>
      <c r="D851" s="737" t="n"/>
      <c r="E851" s="737" t="n"/>
      <c r="F851" s="737" t="n"/>
      <c r="G851" s="737" t="n"/>
      <c r="H851" s="737" t="n"/>
      <c r="I851" s="737" t="n"/>
      <c r="J851" s="737" t="n"/>
      <c r="K851" s="737" t="n"/>
      <c r="L851" s="737" t="n"/>
      <c r="M851" s="737" t="n"/>
      <c r="N851" s="737" t="n"/>
      <c r="O851" s="737" t="n"/>
      <c r="P851" s="737" t="n"/>
      <c r="Q851" s="737" t="n"/>
      <c r="R851" s="737" t="n"/>
      <c r="S851" s="737" t="n"/>
      <c r="T851" s="737" t="n"/>
      <c r="U851" s="737" t="n"/>
      <c r="V851" s="737" t="n"/>
      <c r="W851" s="737" t="n"/>
      <c r="X851" s="737" t="n"/>
      <c r="Y851" s="737" t="n"/>
      <c r="Z851" s="737" t="n"/>
      <c r="AA851" s="737" t="n"/>
      <c r="AB851" s="737" t="n"/>
      <c r="AC851" s="737" t="n"/>
      <c r="AD851" s="737" t="n"/>
      <c r="AE851" s="737" t="n"/>
      <c r="AF851" s="737" t="n"/>
      <c r="AG851" s="737" t="n"/>
      <c r="AH851" s="737" t="n"/>
      <c r="AI851" s="737" t="n"/>
      <c r="AJ851" s="737" t="n"/>
      <c r="AK851" s="588" t="n"/>
      <c r="AL851" s="588" t="n"/>
      <c r="AM851" s="588" t="n"/>
      <c r="AN851" s="588" t="n"/>
      <c r="AO851" s="588" t="n"/>
      <c r="AP851" s="588" t="n"/>
      <c r="AQ851" s="588" t="n"/>
      <c r="AR851" s="588" t="n"/>
      <c r="AS851" s="588" t="n"/>
      <c r="AT851" s="588" t="n"/>
      <c r="AU851" s="588" t="n"/>
      <c r="AV851" s="588" t="n"/>
      <c r="AW851" s="588" t="n"/>
      <c r="AX851" s="588" t="n"/>
      <c r="AY851" s="588" t="n"/>
      <c r="AZ851" s="588" t="n"/>
      <c r="BA851" s="588" t="n"/>
      <c r="BB851" s="588" t="n"/>
      <c r="BC851" s="588" t="n"/>
      <c r="BD851" s="588" t="n"/>
      <c r="BE851" s="588" t="n"/>
      <c r="BF851" s="588" t="n"/>
      <c r="BG851" s="588" t="n"/>
      <c r="BH851" s="588" t="n"/>
      <c r="BI851" s="588" t="n"/>
      <c r="BJ851" s="588" t="n"/>
      <c r="BK851" s="588" t="n"/>
      <c r="BL851" s="588" t="n"/>
      <c r="BM851" s="588" t="n"/>
      <c r="BN851" s="588" t="n"/>
      <c r="BO851" s="588" t="n"/>
      <c r="BP851" s="588" t="n"/>
      <c r="BQ851" s="588" t="n"/>
      <c r="BR851" s="588" t="n"/>
      <c r="BS851" s="588" t="n"/>
      <c r="BT851" s="588" t="n"/>
      <c r="BU851" s="588" t="n"/>
      <c r="BV851" s="588" t="n"/>
      <c r="BW851" s="588" t="n"/>
      <c r="BX851" s="588" t="n"/>
      <c r="BY851" s="588" t="n"/>
      <c r="BZ851" s="588" t="n"/>
      <c r="CA851" s="588" t="n"/>
      <c r="CB851" s="588" t="n"/>
      <c r="CC851" s="588" t="n"/>
      <c r="CD851" s="588" t="n"/>
      <c r="CE851" s="588" t="n"/>
      <c r="CF851" s="588" t="n"/>
      <c r="CG851" s="588" t="n"/>
      <c r="CH851" s="588" t="n"/>
      <c r="CI851" s="588" t="n"/>
      <c r="CJ851" s="588" t="n"/>
      <c r="CK851" s="588" t="n"/>
      <c r="CL851" s="588" t="n"/>
      <c r="CM851" s="588" t="n"/>
      <c r="CN851" s="588" t="n"/>
      <c r="CO851" s="588" t="n"/>
      <c r="CP851" s="588" t="n"/>
      <c r="CQ851" s="588" t="n"/>
      <c r="CR851" s="588" t="n"/>
      <c r="CS851" s="588" t="n"/>
      <c r="CT851" s="588" t="n"/>
      <c r="CU851" s="588" t="n"/>
      <c r="CV851" s="588" t="n"/>
      <c r="CW851" s="588" t="n"/>
      <c r="CX851" s="588" t="n"/>
      <c r="CY851" s="588" t="n"/>
      <c r="CZ851" s="588" t="n"/>
      <c r="DA851" s="588" t="n"/>
      <c r="DB851" s="588" t="n"/>
      <c r="DC851" s="588" t="n"/>
      <c r="DD851" s="588" t="n"/>
      <c r="DE851" s="588" t="n"/>
      <c r="DF851" s="588" t="n"/>
      <c r="DG851" s="588" t="n"/>
      <c r="DH851" s="588" t="n"/>
      <c r="DI851" s="588" t="n"/>
      <c r="DJ851" s="588" t="n"/>
      <c r="DK851" s="588" t="n"/>
      <c r="DL851" s="588" t="n"/>
      <c r="DM851" s="588" t="n"/>
      <c r="DN851" s="588" t="n"/>
      <c r="DO851" s="588" t="n"/>
      <c r="DP851" s="588" t="n"/>
      <c r="DQ851" s="588" t="n"/>
      <c r="DR851" s="588" t="n"/>
      <c r="DS851" s="588" t="n"/>
      <c r="DT851" s="588" t="n"/>
      <c r="DU851" s="588" t="n"/>
    </row>
    <row r="852">
      <c r="A852" s="737" t="n"/>
      <c r="B852" s="737" t="n"/>
      <c r="C852" s="737" t="n"/>
      <c r="D852" s="737" t="n"/>
      <c r="E852" s="737" t="n"/>
      <c r="F852" s="737" t="n"/>
      <c r="G852" s="737" t="n"/>
      <c r="H852" s="737" t="n"/>
      <c r="I852" s="737" t="n"/>
      <c r="J852" s="737" t="n"/>
      <c r="K852" s="737" t="n"/>
      <c r="L852" s="737" t="n"/>
      <c r="M852" s="737" t="n"/>
      <c r="N852" s="737" t="n"/>
      <c r="O852" s="737" t="n"/>
      <c r="P852" s="737" t="n"/>
      <c r="Q852" s="737" t="n"/>
      <c r="R852" s="737" t="n"/>
      <c r="S852" s="737" t="n"/>
      <c r="T852" s="737" t="n"/>
      <c r="U852" s="737" t="n"/>
      <c r="V852" s="737" t="n"/>
      <c r="W852" s="737" t="n"/>
      <c r="X852" s="737" t="n"/>
      <c r="Y852" s="737" t="n"/>
      <c r="Z852" s="737" t="n"/>
      <c r="AA852" s="737" t="n"/>
      <c r="AB852" s="737" t="n"/>
      <c r="AC852" s="737" t="n"/>
      <c r="AD852" s="737" t="n"/>
      <c r="AE852" s="737" t="n"/>
      <c r="AF852" s="737" t="n"/>
      <c r="AG852" s="737" t="n"/>
      <c r="AH852" s="737" t="n"/>
      <c r="AI852" s="737" t="n"/>
      <c r="AJ852" s="737" t="n"/>
      <c r="AK852" s="588" t="n"/>
      <c r="AL852" s="588" t="n"/>
      <c r="AM852" s="588" t="n"/>
      <c r="AN852" s="588" t="n"/>
      <c r="AO852" s="588" t="n"/>
      <c r="AP852" s="588" t="n"/>
      <c r="AQ852" s="588" t="n"/>
      <c r="AR852" s="588" t="n"/>
      <c r="AS852" s="588" t="n"/>
      <c r="AT852" s="588" t="n"/>
      <c r="AU852" s="588" t="n"/>
      <c r="AV852" s="588" t="n"/>
      <c r="AW852" s="588" t="n"/>
      <c r="AX852" s="588" t="n"/>
      <c r="AY852" s="588" t="n"/>
      <c r="AZ852" s="588" t="n"/>
      <c r="BA852" s="588" t="n"/>
      <c r="BB852" s="588" t="n"/>
      <c r="BC852" s="588" t="n"/>
      <c r="BD852" s="588" t="n"/>
      <c r="BE852" s="588" t="n"/>
      <c r="BF852" s="588" t="n"/>
      <c r="BG852" s="588" t="n"/>
      <c r="BH852" s="588" t="n"/>
      <c r="BI852" s="588" t="n"/>
      <c r="BJ852" s="588" t="n"/>
      <c r="BK852" s="588" t="n"/>
      <c r="BL852" s="588" t="n"/>
      <c r="BM852" s="588" t="n"/>
      <c r="BN852" s="588" t="n"/>
      <c r="BO852" s="588" t="n"/>
      <c r="BP852" s="588" t="n"/>
      <c r="BQ852" s="588" t="n"/>
      <c r="BR852" s="588" t="n"/>
      <c r="BS852" s="588" t="n"/>
      <c r="BT852" s="588" t="n"/>
      <c r="BU852" s="588" t="n"/>
      <c r="BV852" s="588" t="n"/>
      <c r="BW852" s="588" t="n"/>
      <c r="BX852" s="588" t="n"/>
      <c r="BY852" s="588" t="n"/>
      <c r="BZ852" s="588" t="n"/>
      <c r="CA852" s="588" t="n"/>
      <c r="CB852" s="588" t="n"/>
      <c r="CC852" s="588" t="n"/>
      <c r="CD852" s="588" t="n"/>
      <c r="CE852" s="588" t="n"/>
      <c r="CF852" s="588" t="n"/>
      <c r="CG852" s="588" t="n"/>
      <c r="CH852" s="588" t="n"/>
      <c r="CI852" s="588" t="n"/>
      <c r="CJ852" s="588" t="n"/>
      <c r="CK852" s="588" t="n"/>
      <c r="CL852" s="588" t="n"/>
      <c r="CM852" s="588" t="n"/>
      <c r="CN852" s="588" t="n"/>
      <c r="CO852" s="588" t="n"/>
      <c r="CP852" s="588" t="n"/>
      <c r="CQ852" s="588" t="n"/>
      <c r="CR852" s="588" t="n"/>
      <c r="CS852" s="588" t="n"/>
      <c r="CT852" s="588" t="n"/>
      <c r="CU852" s="588" t="n"/>
      <c r="CV852" s="588" t="n"/>
      <c r="CW852" s="588" t="n"/>
      <c r="CX852" s="588" t="n"/>
      <c r="CY852" s="588" t="n"/>
      <c r="CZ852" s="588" t="n"/>
      <c r="DA852" s="588" t="n"/>
      <c r="DB852" s="588" t="n"/>
      <c r="DC852" s="588" t="n"/>
      <c r="DD852" s="588" t="n"/>
      <c r="DE852" s="588" t="n"/>
      <c r="DF852" s="588" t="n"/>
      <c r="DG852" s="588" t="n"/>
      <c r="DH852" s="588" t="n"/>
      <c r="DI852" s="588" t="n"/>
      <c r="DJ852" s="588" t="n"/>
      <c r="DK852" s="588" t="n"/>
      <c r="DL852" s="588" t="n"/>
      <c r="DM852" s="588" t="n"/>
      <c r="DN852" s="588" t="n"/>
      <c r="DO852" s="588" t="n"/>
      <c r="DP852" s="588" t="n"/>
      <c r="DQ852" s="588" t="n"/>
      <c r="DR852" s="588" t="n"/>
      <c r="DS852" s="588" t="n"/>
      <c r="DT852" s="588" t="n"/>
      <c r="DU852" s="588" t="n"/>
    </row>
    <row r="853">
      <c r="A853" s="737" t="n"/>
      <c r="B853" s="737" t="n"/>
      <c r="C853" s="737" t="n"/>
      <c r="D853" s="737" t="n"/>
      <c r="E853" s="737" t="n"/>
      <c r="F853" s="737" t="n"/>
      <c r="G853" s="737" t="n"/>
      <c r="H853" s="737" t="n"/>
      <c r="I853" s="737" t="n"/>
      <c r="J853" s="737" t="n"/>
      <c r="K853" s="737" t="n"/>
      <c r="L853" s="737" t="n"/>
      <c r="M853" s="737" t="n"/>
      <c r="N853" s="737" t="n"/>
      <c r="O853" s="737" t="n"/>
      <c r="P853" s="737" t="n"/>
      <c r="Q853" s="737" t="n"/>
      <c r="R853" s="737" t="n"/>
      <c r="S853" s="737" t="n"/>
      <c r="T853" s="737" t="n"/>
      <c r="U853" s="737" t="n"/>
      <c r="V853" s="737" t="n"/>
      <c r="W853" s="737" t="n"/>
      <c r="X853" s="737" t="n"/>
      <c r="Y853" s="737" t="n"/>
      <c r="Z853" s="737" t="n"/>
      <c r="AA853" s="737" t="n"/>
      <c r="AB853" s="737" t="n"/>
      <c r="AC853" s="737" t="n"/>
      <c r="AD853" s="737" t="n"/>
      <c r="AE853" s="737" t="n"/>
      <c r="AF853" s="737" t="n"/>
      <c r="AG853" s="737" t="n"/>
      <c r="AH853" s="737" t="n"/>
      <c r="AI853" s="737" t="n"/>
      <c r="AJ853" s="737" t="n"/>
      <c r="AK853" s="588" t="n"/>
      <c r="AL853" s="588" t="n"/>
      <c r="AM853" s="588" t="n"/>
      <c r="AN853" s="588" t="n"/>
      <c r="AO853" s="588" t="n"/>
      <c r="AP853" s="588" t="n"/>
      <c r="AQ853" s="588" t="n"/>
      <c r="AR853" s="588" t="n"/>
      <c r="AS853" s="588" t="n"/>
      <c r="AT853" s="588" t="n"/>
      <c r="AU853" s="588" t="n"/>
      <c r="AV853" s="588" t="n"/>
      <c r="AW853" s="588" t="n"/>
      <c r="AX853" s="588" t="n"/>
      <c r="AY853" s="588" t="n"/>
      <c r="AZ853" s="588" t="n"/>
      <c r="BA853" s="588" t="n"/>
      <c r="BB853" s="588" t="n"/>
      <c r="BC853" s="588" t="n"/>
      <c r="BD853" s="588" t="n"/>
      <c r="BE853" s="588" t="n"/>
      <c r="BF853" s="588" t="n"/>
      <c r="BG853" s="588" t="n"/>
      <c r="BH853" s="588" t="n"/>
      <c r="BI853" s="588" t="n"/>
      <c r="BJ853" s="588" t="n"/>
      <c r="BK853" s="588" t="n"/>
      <c r="BL853" s="588" t="n"/>
      <c r="BM853" s="588" t="n"/>
      <c r="BN853" s="588" t="n"/>
      <c r="BO853" s="588" t="n"/>
      <c r="BP853" s="588" t="n"/>
      <c r="BQ853" s="588" t="n"/>
      <c r="BR853" s="588" t="n"/>
      <c r="BS853" s="588" t="n"/>
      <c r="BT853" s="588" t="n"/>
      <c r="BU853" s="588" t="n"/>
      <c r="BV853" s="588" t="n"/>
      <c r="BW853" s="588" t="n"/>
      <c r="BX853" s="588" t="n"/>
      <c r="BY853" s="588" t="n"/>
      <c r="BZ853" s="588" t="n"/>
      <c r="CA853" s="588" t="n"/>
      <c r="CB853" s="588" t="n"/>
      <c r="CC853" s="588" t="n"/>
      <c r="CD853" s="588" t="n"/>
      <c r="CE853" s="588" t="n"/>
      <c r="CF853" s="588" t="n"/>
      <c r="CG853" s="588" t="n"/>
      <c r="CH853" s="588" t="n"/>
      <c r="CI853" s="588" t="n"/>
      <c r="CJ853" s="588" t="n"/>
      <c r="CK853" s="588" t="n"/>
      <c r="CL853" s="588" t="n"/>
      <c r="CM853" s="588" t="n"/>
      <c r="CN853" s="588" t="n"/>
      <c r="CO853" s="588" t="n"/>
      <c r="CP853" s="588" t="n"/>
      <c r="CQ853" s="588" t="n"/>
      <c r="CR853" s="588" t="n"/>
      <c r="CS853" s="588" t="n"/>
      <c r="CT853" s="588" t="n"/>
      <c r="CU853" s="588" t="n"/>
      <c r="CV853" s="588" t="n"/>
      <c r="CW853" s="588" t="n"/>
      <c r="CX853" s="588" t="n"/>
      <c r="CY853" s="588" t="n"/>
      <c r="CZ853" s="588" t="n"/>
      <c r="DA853" s="588" t="n"/>
      <c r="DB853" s="588" t="n"/>
      <c r="DC853" s="588" t="n"/>
      <c r="DD853" s="588" t="n"/>
      <c r="DE853" s="588" t="n"/>
      <c r="DF853" s="588" t="n"/>
      <c r="DG853" s="588" t="n"/>
      <c r="DH853" s="588" t="n"/>
      <c r="DI853" s="588" t="n"/>
      <c r="DJ853" s="588" t="n"/>
      <c r="DK853" s="588" t="n"/>
      <c r="DL853" s="588" t="n"/>
      <c r="DM853" s="588" t="n"/>
      <c r="DN853" s="588" t="n"/>
      <c r="DO853" s="588" t="n"/>
      <c r="DP853" s="588" t="n"/>
      <c r="DQ853" s="588" t="n"/>
      <c r="DR853" s="588" t="n"/>
      <c r="DS853" s="588" t="n"/>
      <c r="DT853" s="588" t="n"/>
      <c r="DU853" s="588" t="n"/>
    </row>
    <row r="854">
      <c r="A854" s="737" t="n"/>
      <c r="B854" s="737" t="n"/>
      <c r="C854" s="737" t="n"/>
      <c r="D854" s="737" t="n"/>
      <c r="E854" s="737" t="n"/>
      <c r="F854" s="737" t="n"/>
      <c r="G854" s="737" t="n"/>
      <c r="H854" s="737" t="n"/>
      <c r="I854" s="737" t="n"/>
      <c r="J854" s="737" t="n"/>
      <c r="K854" s="737" t="n"/>
      <c r="L854" s="737" t="n"/>
      <c r="M854" s="737" t="n"/>
      <c r="N854" s="737" t="n"/>
      <c r="O854" s="737" t="n"/>
      <c r="P854" s="737" t="n"/>
      <c r="Q854" s="737" t="n"/>
      <c r="R854" s="737" t="n"/>
      <c r="S854" s="737" t="n"/>
      <c r="T854" s="737" t="n"/>
      <c r="U854" s="737" t="n"/>
      <c r="V854" s="737" t="n"/>
      <c r="W854" s="737" t="n"/>
      <c r="X854" s="737" t="n"/>
      <c r="Y854" s="737" t="n"/>
      <c r="Z854" s="737" t="n"/>
      <c r="AA854" s="737" t="n"/>
      <c r="AB854" s="737" t="n"/>
      <c r="AC854" s="737" t="n"/>
      <c r="AD854" s="737" t="n"/>
      <c r="AE854" s="737" t="n"/>
      <c r="AF854" s="737" t="n"/>
      <c r="AG854" s="737" t="n"/>
      <c r="AH854" s="737" t="n"/>
      <c r="AI854" s="737" t="n"/>
      <c r="AJ854" s="737" t="n"/>
      <c r="AK854" s="588" t="n"/>
      <c r="AL854" s="588" t="n"/>
      <c r="AM854" s="588" t="n"/>
      <c r="AN854" s="588" t="n"/>
      <c r="AO854" s="588" t="n"/>
      <c r="AP854" s="588" t="n"/>
      <c r="AQ854" s="588" t="n"/>
      <c r="AR854" s="588" t="n"/>
      <c r="AS854" s="588" t="n"/>
      <c r="AT854" s="588" t="n"/>
      <c r="AU854" s="588" t="n"/>
      <c r="AV854" s="588" t="n"/>
      <c r="AW854" s="588" t="n"/>
      <c r="AX854" s="588" t="n"/>
      <c r="AY854" s="588" t="n"/>
      <c r="AZ854" s="588" t="n"/>
      <c r="BA854" s="588" t="n"/>
      <c r="BB854" s="588" t="n"/>
      <c r="BC854" s="588" t="n"/>
      <c r="BD854" s="588" t="n"/>
      <c r="BE854" s="588" t="n"/>
      <c r="BF854" s="588" t="n"/>
      <c r="BG854" s="588" t="n"/>
      <c r="BH854" s="588" t="n"/>
      <c r="BI854" s="588" t="n"/>
      <c r="BJ854" s="588" t="n"/>
      <c r="BK854" s="588" t="n"/>
      <c r="BL854" s="588" t="n"/>
      <c r="BM854" s="588" t="n"/>
      <c r="BN854" s="588" t="n"/>
      <c r="BO854" s="588" t="n"/>
      <c r="BP854" s="588" t="n"/>
      <c r="BQ854" s="588" t="n"/>
      <c r="BR854" s="588" t="n"/>
      <c r="BS854" s="588" t="n"/>
      <c r="BT854" s="588" t="n"/>
      <c r="BU854" s="588" t="n"/>
      <c r="BV854" s="588" t="n"/>
      <c r="BW854" s="588" t="n"/>
      <c r="BX854" s="588" t="n"/>
      <c r="BY854" s="588" t="n"/>
      <c r="BZ854" s="588" t="n"/>
      <c r="CA854" s="588" t="n"/>
      <c r="CB854" s="588" t="n"/>
      <c r="CC854" s="588" t="n"/>
      <c r="CD854" s="588" t="n"/>
      <c r="CE854" s="588" t="n"/>
      <c r="CF854" s="588" t="n"/>
      <c r="CG854" s="588" t="n"/>
      <c r="CH854" s="588" t="n"/>
      <c r="CI854" s="588" t="n"/>
      <c r="CJ854" s="588" t="n"/>
      <c r="CK854" s="588" t="n"/>
      <c r="CL854" s="588" t="n"/>
      <c r="CM854" s="588" t="n"/>
      <c r="CN854" s="588" t="n"/>
      <c r="CO854" s="588" t="n"/>
      <c r="CP854" s="588" t="n"/>
      <c r="CQ854" s="588" t="n"/>
      <c r="CR854" s="588" t="n"/>
      <c r="CS854" s="588" t="n"/>
      <c r="CT854" s="588" t="n"/>
      <c r="CU854" s="588" t="n"/>
      <c r="CV854" s="588" t="n"/>
      <c r="CW854" s="588" t="n"/>
      <c r="CX854" s="588" t="n"/>
      <c r="CY854" s="588" t="n"/>
      <c r="CZ854" s="588" t="n"/>
      <c r="DA854" s="588" t="n"/>
      <c r="DB854" s="588" t="n"/>
      <c r="DC854" s="588" t="n"/>
      <c r="DD854" s="588" t="n"/>
      <c r="DE854" s="588" t="n"/>
      <c r="DF854" s="588" t="n"/>
      <c r="DG854" s="588" t="n"/>
      <c r="DH854" s="588" t="n"/>
      <c r="DI854" s="588" t="n"/>
      <c r="DJ854" s="588" t="n"/>
      <c r="DK854" s="588" t="n"/>
      <c r="DL854" s="588" t="n"/>
      <c r="DM854" s="588" t="n"/>
      <c r="DN854" s="588" t="n"/>
      <c r="DO854" s="588" t="n"/>
      <c r="DP854" s="588" t="n"/>
      <c r="DQ854" s="588" t="n"/>
      <c r="DR854" s="588" t="n"/>
      <c r="DS854" s="588" t="n"/>
      <c r="DT854" s="588" t="n"/>
      <c r="DU854" s="588" t="n"/>
    </row>
    <row r="855">
      <c r="A855" s="737" t="n"/>
      <c r="B855" s="737" t="n"/>
      <c r="C855" s="737" t="n"/>
      <c r="D855" s="737" t="n"/>
      <c r="E855" s="737" t="n"/>
      <c r="F855" s="737" t="n"/>
      <c r="G855" s="737" t="n"/>
      <c r="H855" s="737" t="n"/>
      <c r="I855" s="737" t="n"/>
      <c r="J855" s="737" t="n"/>
      <c r="K855" s="737" t="n"/>
      <c r="L855" s="737" t="n"/>
      <c r="M855" s="737" t="n"/>
      <c r="N855" s="737" t="n"/>
      <c r="O855" s="737" t="n"/>
      <c r="P855" s="737" t="n"/>
      <c r="Q855" s="737" t="n"/>
      <c r="R855" s="737" t="n"/>
      <c r="S855" s="737" t="n"/>
      <c r="T855" s="737" t="n"/>
      <c r="U855" s="737" t="n"/>
      <c r="V855" s="737" t="n"/>
      <c r="W855" s="737" t="n"/>
      <c r="X855" s="737" t="n"/>
      <c r="Y855" s="737" t="n"/>
      <c r="Z855" s="737" t="n"/>
      <c r="AA855" s="737" t="n"/>
      <c r="AB855" s="737" t="n"/>
      <c r="AC855" s="737" t="n"/>
      <c r="AD855" s="737" t="n"/>
      <c r="AE855" s="737" t="n"/>
      <c r="AF855" s="737" t="n"/>
      <c r="AG855" s="737" t="n"/>
      <c r="AH855" s="737" t="n"/>
      <c r="AI855" s="737" t="n"/>
      <c r="AJ855" s="737" t="n"/>
      <c r="AK855" s="588" t="n"/>
      <c r="AL855" s="588" t="n"/>
      <c r="AM855" s="588" t="n"/>
      <c r="AN855" s="588" t="n"/>
      <c r="AO855" s="588" t="n"/>
      <c r="AP855" s="588" t="n"/>
      <c r="AQ855" s="588" t="n"/>
      <c r="AR855" s="588" t="n"/>
      <c r="AS855" s="588" t="n"/>
      <c r="AT855" s="588" t="n"/>
      <c r="AU855" s="588" t="n"/>
      <c r="AV855" s="588" t="n"/>
      <c r="AW855" s="588" t="n"/>
      <c r="AX855" s="588" t="n"/>
      <c r="AY855" s="588" t="n"/>
      <c r="AZ855" s="588" t="n"/>
      <c r="BA855" s="588" t="n"/>
      <c r="BB855" s="588" t="n"/>
      <c r="BC855" s="588" t="n"/>
      <c r="BD855" s="588" t="n"/>
      <c r="BE855" s="588" t="n"/>
      <c r="BF855" s="588" t="n"/>
      <c r="BG855" s="588" t="n"/>
      <c r="BH855" s="588" t="n"/>
      <c r="BI855" s="588" t="n"/>
      <c r="BJ855" s="588" t="n"/>
      <c r="BK855" s="588" t="n"/>
      <c r="BL855" s="588" t="n"/>
      <c r="BM855" s="588" t="n"/>
      <c r="BN855" s="588" t="n"/>
      <c r="BO855" s="588" t="n"/>
      <c r="BP855" s="588" t="n"/>
      <c r="BQ855" s="588" t="n"/>
      <c r="BR855" s="588" t="n"/>
      <c r="BS855" s="588" t="n"/>
      <c r="BT855" s="588" t="n"/>
      <c r="BU855" s="588" t="n"/>
      <c r="BV855" s="588" t="n"/>
      <c r="BW855" s="588" t="n"/>
      <c r="BX855" s="588" t="n"/>
      <c r="BY855" s="588" t="n"/>
      <c r="BZ855" s="588" t="n"/>
      <c r="CA855" s="588" t="n"/>
      <c r="CB855" s="588" t="n"/>
      <c r="CC855" s="588" t="n"/>
      <c r="CD855" s="588" t="n"/>
      <c r="CE855" s="588" t="n"/>
      <c r="CF855" s="588" t="n"/>
      <c r="CG855" s="588" t="n"/>
      <c r="CH855" s="588" t="n"/>
      <c r="CI855" s="588" t="n"/>
      <c r="CJ855" s="588" t="n"/>
      <c r="CK855" s="588" t="n"/>
      <c r="CL855" s="588" t="n"/>
      <c r="CM855" s="588" t="n"/>
      <c r="CN855" s="588" t="n"/>
      <c r="CO855" s="588" t="n"/>
      <c r="CP855" s="588" t="n"/>
      <c r="CQ855" s="588" t="n"/>
      <c r="CR855" s="588" t="n"/>
      <c r="CS855" s="588" t="n"/>
      <c r="CT855" s="588" t="n"/>
      <c r="CU855" s="588" t="n"/>
      <c r="CV855" s="588" t="n"/>
      <c r="CW855" s="588" t="n"/>
      <c r="CX855" s="588" t="n"/>
      <c r="CY855" s="588" t="n"/>
      <c r="CZ855" s="588" t="n"/>
      <c r="DA855" s="588" t="n"/>
      <c r="DB855" s="588" t="n"/>
      <c r="DC855" s="588" t="n"/>
      <c r="DD855" s="588" t="n"/>
      <c r="DE855" s="588" t="n"/>
      <c r="DF855" s="588" t="n"/>
      <c r="DG855" s="588" t="n"/>
      <c r="DH855" s="588" t="n"/>
      <c r="DI855" s="588" t="n"/>
      <c r="DJ855" s="588" t="n"/>
      <c r="DK855" s="588" t="n"/>
      <c r="DL855" s="588" t="n"/>
      <c r="DM855" s="588" t="n"/>
      <c r="DN855" s="588" t="n"/>
      <c r="DO855" s="588" t="n"/>
      <c r="DP855" s="588" t="n"/>
      <c r="DQ855" s="588" t="n"/>
      <c r="DR855" s="588" t="n"/>
      <c r="DS855" s="588" t="n"/>
      <c r="DT855" s="588" t="n"/>
      <c r="DU855" s="588" t="n"/>
    </row>
    <row r="856">
      <c r="A856" s="737" t="n"/>
      <c r="B856" s="737" t="n"/>
      <c r="C856" s="737" t="n"/>
      <c r="D856" s="737" t="n"/>
      <c r="E856" s="737" t="n"/>
      <c r="F856" s="737" t="n"/>
      <c r="G856" s="737" t="n"/>
      <c r="H856" s="737" t="n"/>
      <c r="I856" s="737" t="n"/>
      <c r="J856" s="737" t="n"/>
      <c r="K856" s="737" t="n"/>
      <c r="L856" s="737" t="n"/>
      <c r="M856" s="737" t="n"/>
      <c r="N856" s="737" t="n"/>
      <c r="O856" s="737" t="n"/>
      <c r="P856" s="737" t="n"/>
      <c r="Q856" s="737" t="n"/>
      <c r="R856" s="737" t="n"/>
      <c r="S856" s="737" t="n"/>
      <c r="T856" s="737" t="n"/>
      <c r="U856" s="737" t="n"/>
      <c r="V856" s="737" t="n"/>
      <c r="W856" s="737" t="n"/>
      <c r="X856" s="737" t="n"/>
      <c r="Y856" s="737" t="n"/>
      <c r="Z856" s="737" t="n"/>
      <c r="AA856" s="737" t="n"/>
      <c r="AB856" s="737" t="n"/>
      <c r="AC856" s="737" t="n"/>
      <c r="AD856" s="737" t="n"/>
      <c r="AE856" s="737" t="n"/>
      <c r="AF856" s="737" t="n"/>
      <c r="AG856" s="737" t="n"/>
      <c r="AH856" s="737" t="n"/>
      <c r="AI856" s="737" t="n"/>
      <c r="AJ856" s="737" t="n"/>
      <c r="AK856" s="588" t="n"/>
      <c r="AL856" s="588" t="n"/>
      <c r="AM856" s="588" t="n"/>
      <c r="AN856" s="588" t="n"/>
      <c r="AO856" s="588" t="n"/>
      <c r="AP856" s="588" t="n"/>
      <c r="AQ856" s="588" t="n"/>
      <c r="AR856" s="588" t="n"/>
      <c r="AS856" s="588" t="n"/>
      <c r="AT856" s="588" t="n"/>
      <c r="AU856" s="588" t="n"/>
      <c r="AV856" s="588" t="n"/>
      <c r="AW856" s="588" t="n"/>
      <c r="AX856" s="588" t="n"/>
      <c r="AY856" s="588" t="n"/>
      <c r="AZ856" s="588" t="n"/>
      <c r="BA856" s="588" t="n"/>
      <c r="BB856" s="588" t="n"/>
      <c r="BC856" s="588" t="n"/>
      <c r="BD856" s="588" t="n"/>
      <c r="BE856" s="588" t="n"/>
      <c r="BF856" s="588" t="n"/>
      <c r="BG856" s="588" t="n"/>
      <c r="BH856" s="588" t="n"/>
      <c r="BI856" s="588" t="n"/>
      <c r="BJ856" s="588" t="n"/>
      <c r="BK856" s="588" t="n"/>
      <c r="BL856" s="588" t="n"/>
      <c r="BM856" s="588" t="n"/>
      <c r="BN856" s="588" t="n"/>
      <c r="BO856" s="588" t="n"/>
      <c r="BP856" s="588" t="n"/>
      <c r="BQ856" s="588" t="n"/>
      <c r="BR856" s="588" t="n"/>
      <c r="BS856" s="588" t="n"/>
      <c r="BT856" s="588" t="n"/>
      <c r="BU856" s="588" t="n"/>
      <c r="BV856" s="588" t="n"/>
      <c r="BW856" s="588" t="n"/>
      <c r="BX856" s="588" t="n"/>
      <c r="BY856" s="588" t="n"/>
      <c r="BZ856" s="588" t="n"/>
      <c r="CA856" s="588" t="n"/>
      <c r="CB856" s="588" t="n"/>
      <c r="CC856" s="588" t="n"/>
      <c r="CD856" s="588" t="n"/>
      <c r="CE856" s="588" t="n"/>
      <c r="CF856" s="588" t="n"/>
      <c r="CG856" s="588" t="n"/>
      <c r="CH856" s="588" t="n"/>
      <c r="CI856" s="588" t="n"/>
      <c r="CJ856" s="588" t="n"/>
      <c r="CK856" s="588" t="n"/>
      <c r="CL856" s="588" t="n"/>
      <c r="CM856" s="588" t="n"/>
      <c r="CN856" s="588" t="n"/>
      <c r="CO856" s="588" t="n"/>
      <c r="CP856" s="588" t="n"/>
      <c r="CQ856" s="588" t="n"/>
      <c r="CR856" s="588" t="n"/>
      <c r="CS856" s="588" t="n"/>
      <c r="CT856" s="588" t="n"/>
      <c r="CU856" s="588" t="n"/>
      <c r="CV856" s="588" t="n"/>
      <c r="CW856" s="588" t="n"/>
      <c r="CX856" s="588" t="n"/>
      <c r="CY856" s="588" t="n"/>
      <c r="CZ856" s="588" t="n"/>
      <c r="DA856" s="588" t="n"/>
      <c r="DB856" s="588" t="n"/>
      <c r="DC856" s="588" t="n"/>
      <c r="DD856" s="588" t="n"/>
      <c r="DE856" s="588" t="n"/>
      <c r="DF856" s="588" t="n"/>
      <c r="DG856" s="588" t="n"/>
      <c r="DH856" s="588" t="n"/>
      <c r="DI856" s="588" t="n"/>
      <c r="DJ856" s="588" t="n"/>
      <c r="DK856" s="588" t="n"/>
      <c r="DL856" s="588" t="n"/>
      <c r="DM856" s="588" t="n"/>
      <c r="DN856" s="588" t="n"/>
      <c r="DO856" s="588" t="n"/>
      <c r="DP856" s="588" t="n"/>
      <c r="DQ856" s="588" t="n"/>
      <c r="DR856" s="588" t="n"/>
      <c r="DS856" s="588" t="n"/>
      <c r="DT856" s="588" t="n"/>
      <c r="DU856" s="588" t="n"/>
    </row>
    <row r="857">
      <c r="A857" s="737" t="n"/>
      <c r="B857" s="737" t="n"/>
      <c r="C857" s="737" t="n"/>
      <c r="D857" s="737" t="n"/>
      <c r="E857" s="737" t="n"/>
      <c r="F857" s="737" t="n"/>
      <c r="G857" s="737" t="n"/>
      <c r="H857" s="737" t="n"/>
      <c r="I857" s="737" t="n"/>
      <c r="J857" s="737" t="n"/>
      <c r="K857" s="737" t="n"/>
      <c r="L857" s="737" t="n"/>
      <c r="M857" s="737" t="n"/>
      <c r="N857" s="737" t="n"/>
      <c r="O857" s="737" t="n"/>
      <c r="P857" s="737" t="n"/>
      <c r="Q857" s="737" t="n"/>
      <c r="R857" s="737" t="n"/>
      <c r="S857" s="737" t="n"/>
      <c r="T857" s="737" t="n"/>
      <c r="U857" s="737" t="n"/>
      <c r="V857" s="737" t="n"/>
      <c r="W857" s="737" t="n"/>
      <c r="X857" s="737" t="n"/>
      <c r="Y857" s="737" t="n"/>
      <c r="Z857" s="737" t="n"/>
      <c r="AA857" s="737" t="n"/>
      <c r="AB857" s="737" t="n"/>
      <c r="AC857" s="737" t="n"/>
      <c r="AD857" s="737" t="n"/>
      <c r="AE857" s="737" t="n"/>
      <c r="AF857" s="737" t="n"/>
      <c r="AG857" s="737" t="n"/>
      <c r="AH857" s="737" t="n"/>
      <c r="AI857" s="737" t="n"/>
      <c r="AJ857" s="737" t="n"/>
      <c r="AK857" s="588" t="n"/>
      <c r="AL857" s="588" t="n"/>
      <c r="AM857" s="588" t="n"/>
      <c r="AN857" s="588" t="n"/>
      <c r="AO857" s="588" t="n"/>
      <c r="AP857" s="588" t="n"/>
      <c r="AQ857" s="588" t="n"/>
      <c r="AR857" s="588" t="n"/>
      <c r="AS857" s="588" t="n"/>
      <c r="AT857" s="588" t="n"/>
      <c r="AU857" s="588" t="n"/>
      <c r="AV857" s="588" t="n"/>
      <c r="AW857" s="588" t="n"/>
      <c r="AX857" s="588" t="n"/>
      <c r="AY857" s="588" t="n"/>
      <c r="AZ857" s="588" t="n"/>
      <c r="BA857" s="588" t="n"/>
      <c r="BB857" s="588" t="n"/>
      <c r="BC857" s="588" t="n"/>
      <c r="BD857" s="588" t="n"/>
      <c r="BE857" s="588" t="n"/>
      <c r="BF857" s="588" t="n"/>
      <c r="BG857" s="588" t="n"/>
      <c r="BH857" s="588" t="n"/>
      <c r="BI857" s="588" t="n"/>
      <c r="BJ857" s="588" t="n"/>
      <c r="BK857" s="588" t="n"/>
      <c r="BL857" s="588" t="n"/>
      <c r="BM857" s="588" t="n"/>
      <c r="BN857" s="588" t="n"/>
      <c r="BO857" s="588" t="n"/>
      <c r="BP857" s="588" t="n"/>
      <c r="BQ857" s="588" t="n"/>
      <c r="BR857" s="588" t="n"/>
      <c r="BS857" s="588" t="n"/>
      <c r="BT857" s="588" t="n"/>
      <c r="BU857" s="588" t="n"/>
      <c r="BV857" s="588" t="n"/>
      <c r="BW857" s="588" t="n"/>
      <c r="BX857" s="588" t="n"/>
      <c r="BY857" s="588" t="n"/>
      <c r="BZ857" s="588" t="n"/>
      <c r="CA857" s="588" t="n"/>
      <c r="CB857" s="588" t="n"/>
      <c r="CC857" s="588" t="n"/>
      <c r="CD857" s="588" t="n"/>
      <c r="CE857" s="588" t="n"/>
      <c r="CF857" s="588" t="n"/>
      <c r="CG857" s="588" t="n"/>
      <c r="CH857" s="588" t="n"/>
      <c r="CI857" s="588" t="n"/>
      <c r="CJ857" s="588" t="n"/>
      <c r="CK857" s="588" t="n"/>
      <c r="CL857" s="588" t="n"/>
      <c r="CM857" s="588" t="n"/>
      <c r="CN857" s="588" t="n"/>
      <c r="CO857" s="588" t="n"/>
      <c r="CP857" s="588" t="n"/>
      <c r="CQ857" s="588" t="n"/>
      <c r="CR857" s="588" t="n"/>
      <c r="CS857" s="588" t="n"/>
      <c r="CT857" s="588" t="n"/>
      <c r="CU857" s="588" t="n"/>
      <c r="CV857" s="588" t="n"/>
      <c r="CW857" s="588" t="n"/>
      <c r="CX857" s="588" t="n"/>
      <c r="CY857" s="588" t="n"/>
      <c r="CZ857" s="588" t="n"/>
      <c r="DA857" s="588" t="n"/>
      <c r="DB857" s="588" t="n"/>
      <c r="DC857" s="588" t="n"/>
      <c r="DD857" s="588" t="n"/>
      <c r="DE857" s="588" t="n"/>
      <c r="DF857" s="588" t="n"/>
      <c r="DG857" s="588" t="n"/>
      <c r="DH857" s="588" t="n"/>
      <c r="DI857" s="588" t="n"/>
      <c r="DJ857" s="588" t="n"/>
      <c r="DK857" s="588" t="n"/>
      <c r="DL857" s="588" t="n"/>
      <c r="DM857" s="588" t="n"/>
      <c r="DN857" s="588" t="n"/>
      <c r="DO857" s="588" t="n"/>
      <c r="DP857" s="588" t="n"/>
      <c r="DQ857" s="588" t="n"/>
      <c r="DR857" s="588" t="n"/>
      <c r="DS857" s="588" t="n"/>
      <c r="DT857" s="588" t="n"/>
      <c r="DU857" s="588" t="n"/>
    </row>
    <row r="858">
      <c r="A858" s="737" t="n"/>
      <c r="B858" s="737" t="n"/>
      <c r="C858" s="737" t="n"/>
      <c r="D858" s="737" t="n"/>
      <c r="E858" s="737" t="n"/>
      <c r="F858" s="737" t="n"/>
      <c r="G858" s="737" t="n"/>
      <c r="H858" s="737" t="n"/>
      <c r="I858" s="737" t="n"/>
      <c r="J858" s="737" t="n"/>
      <c r="K858" s="737" t="n"/>
      <c r="L858" s="737" t="n"/>
      <c r="M858" s="737" t="n"/>
      <c r="N858" s="737" t="n"/>
      <c r="O858" s="737" t="n"/>
      <c r="P858" s="737" t="n"/>
      <c r="Q858" s="737" t="n"/>
      <c r="R858" s="737" t="n"/>
      <c r="S858" s="737" t="n"/>
      <c r="T858" s="737" t="n"/>
      <c r="U858" s="737" t="n"/>
      <c r="V858" s="737" t="n"/>
      <c r="W858" s="737" t="n"/>
      <c r="X858" s="737" t="n"/>
      <c r="Y858" s="737" t="n"/>
      <c r="Z858" s="737" t="n"/>
      <c r="AA858" s="737" t="n"/>
      <c r="AB858" s="737" t="n"/>
      <c r="AC858" s="737" t="n"/>
      <c r="AD858" s="737" t="n"/>
      <c r="AE858" s="737" t="n"/>
      <c r="AF858" s="737" t="n"/>
      <c r="AG858" s="737" t="n"/>
      <c r="AH858" s="737" t="n"/>
      <c r="AI858" s="737" t="n"/>
      <c r="AJ858" s="737" t="n"/>
      <c r="AK858" s="588" t="n"/>
      <c r="AL858" s="588" t="n"/>
      <c r="AM858" s="588" t="n"/>
      <c r="AN858" s="588" t="n"/>
      <c r="AO858" s="588" t="n"/>
      <c r="AP858" s="588" t="n"/>
      <c r="AQ858" s="588" t="n"/>
      <c r="AR858" s="588" t="n"/>
      <c r="AS858" s="588" t="n"/>
      <c r="AT858" s="588" t="n"/>
      <c r="AU858" s="588" t="n"/>
      <c r="AV858" s="588" t="n"/>
      <c r="AW858" s="588" t="n"/>
      <c r="AX858" s="588" t="n"/>
      <c r="AY858" s="588" t="n"/>
      <c r="AZ858" s="588" t="n"/>
      <c r="BA858" s="588" t="n"/>
      <c r="BB858" s="588" t="n"/>
      <c r="BC858" s="588" t="n"/>
      <c r="BD858" s="588" t="n"/>
      <c r="BE858" s="588" t="n"/>
      <c r="BF858" s="588" t="n"/>
      <c r="BG858" s="588" t="n"/>
      <c r="BH858" s="588" t="n"/>
      <c r="BI858" s="588" t="n"/>
      <c r="BJ858" s="588" t="n"/>
      <c r="BK858" s="588" t="n"/>
      <c r="BL858" s="588" t="n"/>
      <c r="BM858" s="588" t="n"/>
      <c r="BN858" s="588" t="n"/>
      <c r="BO858" s="588" t="n"/>
      <c r="BP858" s="588" t="n"/>
      <c r="BQ858" s="588" t="n"/>
      <c r="BR858" s="588" t="n"/>
      <c r="BS858" s="588" t="n"/>
      <c r="BT858" s="588" t="n"/>
      <c r="BU858" s="588" t="n"/>
      <c r="BV858" s="588" t="n"/>
      <c r="BW858" s="588" t="n"/>
      <c r="BX858" s="588" t="n"/>
      <c r="BY858" s="588" t="n"/>
      <c r="BZ858" s="588" t="n"/>
      <c r="CA858" s="588" t="n"/>
      <c r="CB858" s="588" t="n"/>
      <c r="CC858" s="588" t="n"/>
      <c r="CD858" s="588" t="n"/>
      <c r="CE858" s="588" t="n"/>
      <c r="CF858" s="588" t="n"/>
      <c r="CG858" s="588" t="n"/>
      <c r="CH858" s="588" t="n"/>
      <c r="CI858" s="588" t="n"/>
      <c r="CJ858" s="588" t="n"/>
      <c r="CK858" s="588" t="n"/>
      <c r="CL858" s="588" t="n"/>
      <c r="CM858" s="588" t="n"/>
      <c r="CN858" s="588" t="n"/>
      <c r="CO858" s="588" t="n"/>
      <c r="CP858" s="588" t="n"/>
      <c r="CQ858" s="588" t="n"/>
      <c r="CR858" s="588" t="n"/>
      <c r="CS858" s="588" t="n"/>
      <c r="CT858" s="588" t="n"/>
      <c r="CU858" s="588" t="n"/>
      <c r="CV858" s="588" t="n"/>
      <c r="CW858" s="588" t="n"/>
      <c r="CX858" s="588" t="n"/>
      <c r="CY858" s="588" t="n"/>
      <c r="CZ858" s="588" t="n"/>
      <c r="DA858" s="588" t="n"/>
      <c r="DB858" s="588" t="n"/>
      <c r="DC858" s="588" t="n"/>
      <c r="DD858" s="588" t="n"/>
      <c r="DE858" s="588" t="n"/>
      <c r="DF858" s="588" t="n"/>
      <c r="DG858" s="588" t="n"/>
      <c r="DH858" s="588" t="n"/>
      <c r="DI858" s="588" t="n"/>
      <c r="DJ858" s="588" t="n"/>
      <c r="DK858" s="588" t="n"/>
      <c r="DL858" s="588" t="n"/>
      <c r="DM858" s="588" t="n"/>
      <c r="DN858" s="588" t="n"/>
      <c r="DO858" s="588" t="n"/>
      <c r="DP858" s="588" t="n"/>
      <c r="DQ858" s="588" t="n"/>
      <c r="DR858" s="588" t="n"/>
      <c r="DS858" s="588" t="n"/>
      <c r="DT858" s="588" t="n"/>
      <c r="DU858" s="588" t="n"/>
    </row>
    <row r="859">
      <c r="A859" s="737" t="n"/>
      <c r="B859" s="737" t="n"/>
      <c r="C859" s="737" t="n"/>
      <c r="D859" s="737" t="n"/>
      <c r="E859" s="737" t="n"/>
      <c r="F859" s="737" t="n"/>
      <c r="G859" s="737" t="n"/>
      <c r="H859" s="737" t="n"/>
      <c r="I859" s="737" t="n"/>
      <c r="J859" s="737" t="n"/>
      <c r="K859" s="737" t="n"/>
      <c r="L859" s="737" t="n"/>
      <c r="M859" s="737" t="n"/>
      <c r="N859" s="737" t="n"/>
      <c r="O859" s="737" t="n"/>
      <c r="P859" s="737" t="n"/>
      <c r="Q859" s="737" t="n"/>
      <c r="R859" s="737" t="n"/>
      <c r="S859" s="737" t="n"/>
      <c r="T859" s="737" t="n"/>
      <c r="U859" s="737" t="n"/>
      <c r="V859" s="737" t="n"/>
      <c r="W859" s="737" t="n"/>
      <c r="X859" s="737" t="n"/>
      <c r="Y859" s="737" t="n"/>
      <c r="Z859" s="737" t="n"/>
      <c r="AA859" s="737" t="n"/>
      <c r="AB859" s="737" t="n"/>
      <c r="AC859" s="737" t="n"/>
      <c r="AD859" s="737" t="n"/>
      <c r="AE859" s="737" t="n"/>
      <c r="AF859" s="737" t="n"/>
      <c r="AG859" s="737" t="n"/>
      <c r="AH859" s="737" t="n"/>
      <c r="AI859" s="737" t="n"/>
      <c r="AJ859" s="737" t="n"/>
      <c r="AK859" s="588" t="n"/>
      <c r="AL859" s="588" t="n"/>
      <c r="AM859" s="588" t="n"/>
      <c r="AN859" s="588" t="n"/>
      <c r="AO859" s="588" t="n"/>
      <c r="AP859" s="588" t="n"/>
      <c r="AQ859" s="588" t="n"/>
      <c r="AR859" s="588" t="n"/>
      <c r="AS859" s="588" t="n"/>
      <c r="AT859" s="588" t="n"/>
      <c r="AU859" s="588" t="n"/>
      <c r="AV859" s="588" t="n"/>
      <c r="AW859" s="588" t="n"/>
      <c r="AX859" s="588" t="n"/>
      <c r="AY859" s="588" t="n"/>
      <c r="AZ859" s="588" t="n"/>
      <c r="BA859" s="588" t="n"/>
      <c r="BB859" s="588" t="n"/>
      <c r="BC859" s="588" t="n"/>
      <c r="BD859" s="588" t="n"/>
      <c r="BE859" s="588" t="n"/>
      <c r="BF859" s="588" t="n"/>
      <c r="BG859" s="588" t="n"/>
      <c r="BH859" s="588" t="n"/>
      <c r="BI859" s="588" t="n"/>
      <c r="BJ859" s="588" t="n"/>
      <c r="BK859" s="588" t="n"/>
      <c r="BL859" s="588" t="n"/>
      <c r="BM859" s="588" t="n"/>
      <c r="BN859" s="588" t="n"/>
      <c r="BO859" s="588" t="n"/>
      <c r="BP859" s="588" t="n"/>
      <c r="BQ859" s="588" t="n"/>
      <c r="BR859" s="588" t="n"/>
      <c r="BS859" s="588" t="n"/>
      <c r="BT859" s="588" t="n"/>
      <c r="BU859" s="588" t="n"/>
      <c r="BV859" s="588" t="n"/>
      <c r="BW859" s="588" t="n"/>
      <c r="BX859" s="588" t="n"/>
      <c r="BY859" s="588" t="n"/>
      <c r="BZ859" s="588" t="n"/>
      <c r="CA859" s="588" t="n"/>
      <c r="CB859" s="588" t="n"/>
      <c r="CC859" s="588" t="n"/>
      <c r="CD859" s="588" t="n"/>
      <c r="CE859" s="588" t="n"/>
      <c r="CF859" s="588" t="n"/>
      <c r="CG859" s="588" t="n"/>
      <c r="CH859" s="588" t="n"/>
      <c r="CI859" s="588" t="n"/>
      <c r="CJ859" s="588" t="n"/>
      <c r="CK859" s="588" t="n"/>
      <c r="CL859" s="588" t="n"/>
      <c r="CM859" s="588" t="n"/>
      <c r="CN859" s="588" t="n"/>
      <c r="CO859" s="588" t="n"/>
      <c r="CP859" s="588" t="n"/>
      <c r="CQ859" s="588" t="n"/>
      <c r="CR859" s="588" t="n"/>
      <c r="CS859" s="588" t="n"/>
      <c r="CT859" s="588" t="n"/>
      <c r="CU859" s="588" t="n"/>
      <c r="CV859" s="588" t="n"/>
      <c r="CW859" s="588" t="n"/>
      <c r="CX859" s="588" t="n"/>
      <c r="CY859" s="588" t="n"/>
      <c r="CZ859" s="588" t="n"/>
      <c r="DA859" s="588" t="n"/>
      <c r="DB859" s="588" t="n"/>
      <c r="DC859" s="588" t="n"/>
      <c r="DD859" s="588" t="n"/>
      <c r="DE859" s="588" t="n"/>
      <c r="DF859" s="588" t="n"/>
      <c r="DG859" s="588" t="n"/>
      <c r="DH859" s="588" t="n"/>
      <c r="DI859" s="588" t="n"/>
      <c r="DJ859" s="588" t="n"/>
      <c r="DK859" s="588" t="n"/>
      <c r="DL859" s="588" t="n"/>
      <c r="DM859" s="588" t="n"/>
      <c r="DN859" s="588" t="n"/>
      <c r="DO859" s="588" t="n"/>
      <c r="DP859" s="588" t="n"/>
      <c r="DQ859" s="588" t="n"/>
      <c r="DR859" s="588" t="n"/>
      <c r="DS859" s="588" t="n"/>
      <c r="DT859" s="588" t="n"/>
      <c r="DU859" s="588" t="n"/>
    </row>
    <row r="860">
      <c r="A860" s="737" t="n"/>
      <c r="B860" s="737" t="n"/>
      <c r="C860" s="737" t="n"/>
      <c r="D860" s="737" t="n"/>
      <c r="E860" s="737" t="n"/>
      <c r="F860" s="737" t="n"/>
      <c r="G860" s="737" t="n"/>
      <c r="H860" s="737" t="n"/>
      <c r="I860" s="737" t="n"/>
      <c r="J860" s="737" t="n"/>
      <c r="K860" s="737" t="n"/>
      <c r="L860" s="737" t="n"/>
      <c r="M860" s="737" t="n"/>
      <c r="N860" s="737" t="n"/>
      <c r="O860" s="737" t="n"/>
      <c r="P860" s="737" t="n"/>
      <c r="Q860" s="737" t="n"/>
      <c r="R860" s="737" t="n"/>
      <c r="S860" s="737" t="n"/>
      <c r="T860" s="737" t="n"/>
      <c r="U860" s="737" t="n"/>
      <c r="V860" s="737" t="n"/>
      <c r="W860" s="737" t="n"/>
      <c r="X860" s="737" t="n"/>
      <c r="Y860" s="737" t="n"/>
      <c r="Z860" s="737" t="n"/>
      <c r="AA860" s="737" t="n"/>
      <c r="AB860" s="737" t="n"/>
      <c r="AC860" s="737" t="n"/>
      <c r="AD860" s="737" t="n"/>
      <c r="AE860" s="737" t="n"/>
      <c r="AF860" s="737" t="n"/>
      <c r="AG860" s="737" t="n"/>
      <c r="AH860" s="737" t="n"/>
      <c r="AI860" s="737" t="n"/>
      <c r="AJ860" s="737" t="n"/>
      <c r="AK860" s="588" t="n"/>
      <c r="AL860" s="588" t="n"/>
      <c r="AM860" s="588" t="n"/>
      <c r="AN860" s="588" t="n"/>
      <c r="AO860" s="588" t="n"/>
      <c r="AP860" s="588" t="n"/>
      <c r="AQ860" s="588" t="n"/>
      <c r="AR860" s="588" t="n"/>
      <c r="AS860" s="588" t="n"/>
      <c r="AT860" s="588" t="n"/>
      <c r="AU860" s="588" t="n"/>
      <c r="AV860" s="588" t="n"/>
      <c r="AW860" s="588" t="n"/>
      <c r="AX860" s="588" t="n"/>
      <c r="AY860" s="588" t="n"/>
      <c r="AZ860" s="588" t="n"/>
      <c r="BA860" s="588" t="n"/>
      <c r="BB860" s="588" t="n"/>
      <c r="BC860" s="588" t="n"/>
      <c r="BD860" s="588" t="n"/>
      <c r="BE860" s="588" t="n"/>
      <c r="BF860" s="588" t="n"/>
      <c r="BG860" s="588" t="n"/>
      <c r="BH860" s="588" t="n"/>
      <c r="BI860" s="588" t="n"/>
      <c r="BJ860" s="588" t="n"/>
      <c r="BK860" s="588" t="n"/>
      <c r="BL860" s="588" t="n"/>
      <c r="BM860" s="588" t="n"/>
      <c r="BN860" s="588" t="n"/>
      <c r="BO860" s="588" t="n"/>
      <c r="BP860" s="588" t="n"/>
      <c r="BQ860" s="588" t="n"/>
      <c r="BR860" s="588" t="n"/>
      <c r="BS860" s="588" t="n"/>
      <c r="BT860" s="588" t="n"/>
      <c r="BU860" s="588" t="n"/>
      <c r="BV860" s="588" t="n"/>
      <c r="BW860" s="588" t="n"/>
      <c r="BX860" s="588" t="n"/>
      <c r="BY860" s="588" t="n"/>
      <c r="BZ860" s="588" t="n"/>
      <c r="CA860" s="588" t="n"/>
      <c r="CB860" s="588" t="n"/>
      <c r="CC860" s="588" t="n"/>
      <c r="CD860" s="588" t="n"/>
      <c r="CE860" s="588" t="n"/>
      <c r="CF860" s="588" t="n"/>
      <c r="CG860" s="588" t="n"/>
      <c r="CH860" s="588" t="n"/>
      <c r="CI860" s="588" t="n"/>
      <c r="CJ860" s="588" t="n"/>
      <c r="CK860" s="588" t="n"/>
      <c r="CL860" s="588" t="n"/>
      <c r="CM860" s="588" t="n"/>
      <c r="CN860" s="588" t="n"/>
      <c r="CO860" s="588" t="n"/>
      <c r="CP860" s="588" t="n"/>
      <c r="CQ860" s="588" t="n"/>
      <c r="CR860" s="588" t="n"/>
      <c r="CS860" s="588" t="n"/>
      <c r="CT860" s="588" t="n"/>
      <c r="CU860" s="588" t="n"/>
      <c r="CV860" s="588" t="n"/>
      <c r="CW860" s="588" t="n"/>
      <c r="CX860" s="588" t="n"/>
      <c r="CY860" s="588" t="n"/>
      <c r="CZ860" s="588" t="n"/>
      <c r="DA860" s="588" t="n"/>
      <c r="DB860" s="588" t="n"/>
      <c r="DC860" s="588" t="n"/>
      <c r="DD860" s="588" t="n"/>
      <c r="DE860" s="588" t="n"/>
      <c r="DF860" s="588" t="n"/>
      <c r="DG860" s="588" t="n"/>
      <c r="DH860" s="588" t="n"/>
      <c r="DI860" s="588" t="n"/>
      <c r="DJ860" s="588" t="n"/>
      <c r="DK860" s="588" t="n"/>
      <c r="DL860" s="588" t="n"/>
      <c r="DM860" s="588" t="n"/>
      <c r="DN860" s="588" t="n"/>
      <c r="DO860" s="588" t="n"/>
      <c r="DP860" s="588" t="n"/>
      <c r="DQ860" s="588" t="n"/>
      <c r="DR860" s="588" t="n"/>
      <c r="DS860" s="588" t="n"/>
      <c r="DT860" s="588" t="n"/>
      <c r="DU860" s="588" t="n"/>
    </row>
    <row r="861">
      <c r="A861" s="737" t="n"/>
      <c r="B861" s="737" t="n"/>
      <c r="C861" s="737" t="n"/>
      <c r="D861" s="737" t="n"/>
      <c r="E861" s="737" t="n"/>
      <c r="F861" s="737" t="n"/>
      <c r="G861" s="737" t="n"/>
      <c r="H861" s="737" t="n"/>
      <c r="I861" s="737" t="n"/>
      <c r="J861" s="737" t="n"/>
      <c r="K861" s="737" t="n"/>
      <c r="L861" s="737" t="n"/>
      <c r="M861" s="737" t="n"/>
      <c r="N861" s="737" t="n"/>
      <c r="O861" s="737" t="n"/>
      <c r="P861" s="737" t="n"/>
      <c r="Q861" s="737" t="n"/>
      <c r="R861" s="737" t="n"/>
      <c r="S861" s="737" t="n"/>
      <c r="T861" s="737" t="n"/>
      <c r="U861" s="737" t="n"/>
      <c r="V861" s="737" t="n"/>
      <c r="W861" s="737" t="n"/>
      <c r="X861" s="737" t="n"/>
      <c r="Y861" s="737" t="n"/>
      <c r="Z861" s="737" t="n"/>
      <c r="AA861" s="737" t="n"/>
      <c r="AB861" s="737" t="n"/>
      <c r="AC861" s="737" t="n"/>
      <c r="AD861" s="737" t="n"/>
      <c r="AE861" s="737" t="n"/>
      <c r="AF861" s="737" t="n"/>
      <c r="AG861" s="737" t="n"/>
      <c r="AH861" s="737" t="n"/>
      <c r="AI861" s="737" t="n"/>
      <c r="AJ861" s="737" t="n"/>
      <c r="AK861" s="588" t="n"/>
      <c r="AL861" s="588" t="n"/>
      <c r="AM861" s="588" t="n"/>
      <c r="AN861" s="588" t="n"/>
      <c r="AO861" s="588" t="n"/>
      <c r="AP861" s="588" t="n"/>
      <c r="AQ861" s="588" t="n"/>
      <c r="AR861" s="588" t="n"/>
      <c r="AS861" s="588" t="n"/>
      <c r="AT861" s="588" t="n"/>
      <c r="AU861" s="588" t="n"/>
      <c r="AV861" s="588" t="n"/>
      <c r="AW861" s="588" t="n"/>
      <c r="AX861" s="588" t="n"/>
      <c r="AY861" s="588" t="n"/>
      <c r="AZ861" s="588" t="n"/>
      <c r="BA861" s="588" t="n"/>
      <c r="BB861" s="588" t="n"/>
      <c r="BC861" s="588" t="n"/>
      <c r="BD861" s="588" t="n"/>
      <c r="BE861" s="588" t="n"/>
      <c r="BF861" s="588" t="n"/>
      <c r="BG861" s="588" t="n"/>
      <c r="BH861" s="588" t="n"/>
      <c r="BI861" s="588" t="n"/>
      <c r="BJ861" s="588" t="n"/>
      <c r="BK861" s="588" t="n"/>
      <c r="BL861" s="588" t="n"/>
      <c r="BM861" s="588" t="n"/>
      <c r="BN861" s="588" t="n"/>
      <c r="BO861" s="588" t="n"/>
      <c r="BP861" s="588" t="n"/>
      <c r="BQ861" s="588" t="n"/>
      <c r="BR861" s="588" t="n"/>
      <c r="BS861" s="588" t="n"/>
      <c r="BT861" s="588" t="n"/>
      <c r="BU861" s="588" t="n"/>
      <c r="BV861" s="588" t="n"/>
      <c r="BW861" s="588" t="n"/>
      <c r="BX861" s="588" t="n"/>
      <c r="BY861" s="588" t="n"/>
      <c r="BZ861" s="588" t="n"/>
      <c r="CA861" s="588" t="n"/>
      <c r="CB861" s="588" t="n"/>
      <c r="CC861" s="588" t="n"/>
      <c r="CD861" s="588" t="n"/>
      <c r="CE861" s="588" t="n"/>
      <c r="CF861" s="588" t="n"/>
      <c r="CG861" s="588" t="n"/>
      <c r="CH861" s="588" t="n"/>
      <c r="CI861" s="588" t="n"/>
      <c r="CJ861" s="588" t="n"/>
      <c r="CK861" s="588" t="n"/>
      <c r="CL861" s="588" t="n"/>
      <c r="CM861" s="588" t="n"/>
      <c r="CN861" s="588" t="n"/>
      <c r="CO861" s="588" t="n"/>
      <c r="CP861" s="588" t="n"/>
      <c r="CQ861" s="588" t="n"/>
      <c r="CR861" s="588" t="n"/>
      <c r="CS861" s="588" t="n"/>
      <c r="CT861" s="588" t="n"/>
      <c r="CU861" s="588" t="n"/>
      <c r="CV861" s="588" t="n"/>
      <c r="CW861" s="588" t="n"/>
      <c r="CX861" s="588" t="n"/>
      <c r="CY861" s="588" t="n"/>
      <c r="CZ861" s="588" t="n"/>
      <c r="DA861" s="588" t="n"/>
      <c r="DB861" s="588" t="n"/>
      <c r="DC861" s="588" t="n"/>
      <c r="DD861" s="588" t="n"/>
      <c r="DE861" s="588" t="n"/>
      <c r="DF861" s="588" t="n"/>
      <c r="DG861" s="588" t="n"/>
      <c r="DH861" s="588" t="n"/>
      <c r="DI861" s="588" t="n"/>
      <c r="DJ861" s="588" t="n"/>
      <c r="DK861" s="588" t="n"/>
      <c r="DL861" s="588" t="n"/>
      <c r="DM861" s="588" t="n"/>
      <c r="DN861" s="588" t="n"/>
      <c r="DO861" s="588" t="n"/>
      <c r="DP861" s="588" t="n"/>
      <c r="DQ861" s="588" t="n"/>
      <c r="DR861" s="588" t="n"/>
      <c r="DS861" s="588" t="n"/>
      <c r="DT861" s="588" t="n"/>
      <c r="DU861" s="588" t="n"/>
    </row>
    <row r="862">
      <c r="A862" s="737" t="n"/>
      <c r="B862" s="737" t="n"/>
      <c r="C862" s="737" t="n"/>
      <c r="D862" s="737" t="n"/>
      <c r="E862" s="737" t="n"/>
      <c r="F862" s="737" t="n"/>
      <c r="G862" s="737" t="n"/>
      <c r="H862" s="737" t="n"/>
      <c r="I862" s="737" t="n"/>
      <c r="J862" s="737" t="n"/>
      <c r="K862" s="737" t="n"/>
      <c r="L862" s="737" t="n"/>
      <c r="M862" s="737" t="n"/>
      <c r="N862" s="737" t="n"/>
      <c r="O862" s="737" t="n"/>
      <c r="P862" s="737" t="n"/>
      <c r="Q862" s="737" t="n"/>
      <c r="R862" s="737" t="n"/>
      <c r="S862" s="737" t="n"/>
      <c r="T862" s="737" t="n"/>
      <c r="U862" s="737" t="n"/>
      <c r="V862" s="737" t="n"/>
      <c r="W862" s="737" t="n"/>
      <c r="X862" s="737" t="n"/>
      <c r="Y862" s="737" t="n"/>
      <c r="Z862" s="737" t="n"/>
      <c r="AA862" s="737" t="n"/>
      <c r="AB862" s="737" t="n"/>
      <c r="AC862" s="737" t="n"/>
      <c r="AD862" s="737" t="n"/>
      <c r="AE862" s="737" t="n"/>
      <c r="AF862" s="737" t="n"/>
      <c r="AG862" s="737" t="n"/>
      <c r="AH862" s="737" t="n"/>
      <c r="AI862" s="737" t="n"/>
      <c r="AJ862" s="737" t="n"/>
      <c r="AK862" s="588" t="n"/>
      <c r="AL862" s="588" t="n"/>
      <c r="AM862" s="588" t="n"/>
      <c r="AN862" s="588" t="n"/>
      <c r="AO862" s="588" t="n"/>
      <c r="AP862" s="588" t="n"/>
      <c r="AQ862" s="588" t="n"/>
      <c r="AR862" s="588" t="n"/>
      <c r="AS862" s="588" t="n"/>
      <c r="AT862" s="588" t="n"/>
      <c r="AU862" s="588" t="n"/>
      <c r="AV862" s="588" t="n"/>
      <c r="AW862" s="588" t="n"/>
      <c r="AX862" s="588" t="n"/>
      <c r="AY862" s="588" t="n"/>
      <c r="AZ862" s="588" t="n"/>
      <c r="BA862" s="588" t="n"/>
      <c r="BB862" s="588" t="n"/>
      <c r="BC862" s="588" t="n"/>
      <c r="BD862" s="588" t="n"/>
      <c r="BE862" s="588" t="n"/>
      <c r="BF862" s="588" t="n"/>
      <c r="BG862" s="588" t="n"/>
      <c r="BH862" s="588" t="n"/>
      <c r="BI862" s="588" t="n"/>
      <c r="BJ862" s="588" t="n"/>
      <c r="BK862" s="588" t="n"/>
      <c r="BL862" s="588" t="n"/>
      <c r="BM862" s="588" t="n"/>
      <c r="BN862" s="588" t="n"/>
      <c r="BO862" s="588" t="n"/>
      <c r="BP862" s="588" t="n"/>
      <c r="BQ862" s="588" t="n"/>
      <c r="BR862" s="588" t="n"/>
      <c r="BS862" s="588" t="n"/>
      <c r="BT862" s="588" t="n"/>
      <c r="BU862" s="588" t="n"/>
      <c r="BV862" s="588" t="n"/>
      <c r="BW862" s="588" t="n"/>
      <c r="BX862" s="588" t="n"/>
      <c r="BY862" s="588" t="n"/>
      <c r="BZ862" s="588" t="n"/>
      <c r="CA862" s="588" t="n"/>
      <c r="CB862" s="588" t="n"/>
      <c r="CC862" s="588" t="n"/>
      <c r="CD862" s="588" t="n"/>
      <c r="CE862" s="588" t="n"/>
      <c r="CF862" s="588" t="n"/>
      <c r="CG862" s="588" t="n"/>
      <c r="CH862" s="588" t="n"/>
      <c r="CI862" s="588" t="n"/>
      <c r="CJ862" s="588" t="n"/>
      <c r="CK862" s="588" t="n"/>
      <c r="CL862" s="588" t="n"/>
      <c r="CM862" s="588" t="n"/>
      <c r="CN862" s="588" t="n"/>
      <c r="CO862" s="588" t="n"/>
      <c r="CP862" s="588" t="n"/>
      <c r="CQ862" s="588" t="n"/>
      <c r="CR862" s="588" t="n"/>
      <c r="CS862" s="588" t="n"/>
      <c r="CT862" s="588" t="n"/>
      <c r="CU862" s="588" t="n"/>
      <c r="CV862" s="588" t="n"/>
      <c r="CW862" s="588" t="n"/>
      <c r="CX862" s="588" t="n"/>
      <c r="CY862" s="588" t="n"/>
      <c r="CZ862" s="588" t="n"/>
      <c r="DA862" s="588" t="n"/>
      <c r="DB862" s="588" t="n"/>
      <c r="DC862" s="588" t="n"/>
      <c r="DD862" s="588" t="n"/>
      <c r="DE862" s="588" t="n"/>
      <c r="DF862" s="588" t="n"/>
      <c r="DG862" s="588" t="n"/>
      <c r="DH862" s="588" t="n"/>
      <c r="DI862" s="588" t="n"/>
      <c r="DJ862" s="588" t="n"/>
      <c r="DK862" s="588" t="n"/>
      <c r="DL862" s="588" t="n"/>
      <c r="DM862" s="588" t="n"/>
      <c r="DN862" s="588" t="n"/>
      <c r="DO862" s="588" t="n"/>
      <c r="DP862" s="588" t="n"/>
      <c r="DQ862" s="588" t="n"/>
      <c r="DR862" s="588" t="n"/>
      <c r="DS862" s="588" t="n"/>
      <c r="DT862" s="588" t="n"/>
      <c r="DU862" s="588" t="n"/>
    </row>
    <row r="863">
      <c r="A863" s="737" t="n"/>
      <c r="B863" s="737" t="n"/>
      <c r="C863" s="737" t="n"/>
      <c r="D863" s="737" t="n"/>
      <c r="E863" s="737" t="n"/>
      <c r="F863" s="737" t="n"/>
      <c r="G863" s="737" t="n"/>
      <c r="H863" s="737" t="n"/>
      <c r="I863" s="737" t="n"/>
      <c r="J863" s="737" t="n"/>
      <c r="K863" s="737" t="n"/>
      <c r="L863" s="737" t="n"/>
      <c r="M863" s="737" t="n"/>
      <c r="N863" s="737" t="n"/>
      <c r="O863" s="737" t="n"/>
      <c r="P863" s="737" t="n"/>
      <c r="Q863" s="737" t="n"/>
      <c r="R863" s="737" t="n"/>
      <c r="S863" s="737" t="n"/>
      <c r="T863" s="737" t="n"/>
      <c r="U863" s="737" t="n"/>
      <c r="V863" s="737" t="n"/>
      <c r="W863" s="737" t="n"/>
      <c r="X863" s="737" t="n"/>
      <c r="Y863" s="737" t="n"/>
      <c r="Z863" s="737" t="n"/>
      <c r="AA863" s="737" t="n"/>
      <c r="AB863" s="737" t="n"/>
      <c r="AC863" s="737" t="n"/>
      <c r="AD863" s="737" t="n"/>
      <c r="AE863" s="737" t="n"/>
      <c r="AF863" s="737" t="n"/>
      <c r="AG863" s="737" t="n"/>
      <c r="AH863" s="737" t="n"/>
      <c r="AI863" s="737" t="n"/>
      <c r="AJ863" s="737" t="n"/>
      <c r="AK863" s="588" t="n"/>
      <c r="AL863" s="588" t="n"/>
      <c r="AM863" s="588" t="n"/>
      <c r="AN863" s="588" t="n"/>
      <c r="AO863" s="588" t="n"/>
      <c r="AP863" s="588" t="n"/>
      <c r="AQ863" s="588" t="n"/>
      <c r="AR863" s="588" t="n"/>
      <c r="AS863" s="588" t="n"/>
      <c r="AT863" s="588" t="n"/>
      <c r="AU863" s="588" t="n"/>
      <c r="AV863" s="588" t="n"/>
      <c r="AW863" s="588" t="n"/>
      <c r="AX863" s="588" t="n"/>
      <c r="AY863" s="588" t="n"/>
      <c r="AZ863" s="588" t="n"/>
      <c r="BA863" s="588" t="n"/>
      <c r="BB863" s="588" t="n"/>
      <c r="BC863" s="588" t="n"/>
      <c r="BD863" s="588" t="n"/>
      <c r="BE863" s="588" t="n"/>
      <c r="BF863" s="588" t="n"/>
      <c r="BG863" s="588" t="n"/>
      <c r="BH863" s="588" t="n"/>
      <c r="BI863" s="588" t="n"/>
      <c r="BJ863" s="588" t="n"/>
      <c r="BK863" s="588" t="n"/>
      <c r="BL863" s="588" t="n"/>
      <c r="BM863" s="588" t="n"/>
      <c r="BN863" s="588" t="n"/>
      <c r="BO863" s="588" t="n"/>
      <c r="BP863" s="588" t="n"/>
      <c r="BQ863" s="588" t="n"/>
      <c r="BR863" s="588" t="n"/>
      <c r="BS863" s="588" t="n"/>
      <c r="BT863" s="588" t="n"/>
      <c r="BU863" s="588" t="n"/>
      <c r="BV863" s="588" t="n"/>
      <c r="BW863" s="588" t="n"/>
      <c r="BX863" s="588" t="n"/>
      <c r="BY863" s="588" t="n"/>
      <c r="BZ863" s="588" t="n"/>
      <c r="CA863" s="588" t="n"/>
      <c r="CB863" s="588" t="n"/>
      <c r="CC863" s="588" t="n"/>
      <c r="CD863" s="588" t="n"/>
      <c r="CE863" s="588" t="n"/>
      <c r="CF863" s="588" t="n"/>
      <c r="CG863" s="588" t="n"/>
      <c r="CH863" s="588" t="n"/>
      <c r="CI863" s="588" t="n"/>
      <c r="CJ863" s="588" t="n"/>
      <c r="CK863" s="588" t="n"/>
      <c r="CL863" s="588" t="n"/>
      <c r="CM863" s="588" t="n"/>
      <c r="CN863" s="588" t="n"/>
      <c r="CO863" s="588" t="n"/>
      <c r="CP863" s="588" t="n"/>
      <c r="CQ863" s="588" t="n"/>
      <c r="CR863" s="588" t="n"/>
      <c r="CS863" s="588" t="n"/>
      <c r="CT863" s="588" t="n"/>
      <c r="CU863" s="588" t="n"/>
      <c r="CV863" s="588" t="n"/>
      <c r="CW863" s="588" t="n"/>
      <c r="CX863" s="588" t="n"/>
      <c r="CY863" s="588" t="n"/>
      <c r="CZ863" s="588" t="n"/>
      <c r="DA863" s="588" t="n"/>
      <c r="DB863" s="588" t="n"/>
      <c r="DC863" s="588" t="n"/>
      <c r="DD863" s="588" t="n"/>
      <c r="DE863" s="588" t="n"/>
      <c r="DF863" s="588" t="n"/>
      <c r="DG863" s="588" t="n"/>
      <c r="DH863" s="588" t="n"/>
      <c r="DI863" s="588" t="n"/>
      <c r="DJ863" s="588" t="n"/>
      <c r="DK863" s="588" t="n"/>
      <c r="DL863" s="588" t="n"/>
      <c r="DM863" s="588" t="n"/>
      <c r="DN863" s="588" t="n"/>
      <c r="DO863" s="588" t="n"/>
      <c r="DP863" s="588" t="n"/>
      <c r="DQ863" s="588" t="n"/>
      <c r="DR863" s="588" t="n"/>
      <c r="DS863" s="588" t="n"/>
      <c r="DT863" s="588" t="n"/>
      <c r="DU863" s="588" t="n"/>
    </row>
    <row r="864">
      <c r="A864" s="737" t="n"/>
      <c r="B864" s="737" t="n"/>
      <c r="C864" s="737" t="n"/>
      <c r="D864" s="737" t="n"/>
      <c r="E864" s="737" t="n"/>
      <c r="F864" s="737" t="n"/>
      <c r="G864" s="737" t="n"/>
      <c r="H864" s="737" t="n"/>
      <c r="I864" s="737" t="n"/>
      <c r="J864" s="737" t="n"/>
      <c r="K864" s="737" t="n"/>
      <c r="L864" s="737" t="n"/>
      <c r="M864" s="737" t="n"/>
      <c r="N864" s="737" t="n"/>
      <c r="O864" s="737" t="n"/>
      <c r="P864" s="737" t="n"/>
      <c r="Q864" s="737" t="n"/>
      <c r="R864" s="737" t="n"/>
      <c r="S864" s="737" t="n"/>
      <c r="T864" s="737" t="n"/>
      <c r="U864" s="737" t="n"/>
      <c r="V864" s="737" t="n"/>
      <c r="W864" s="737" t="n"/>
      <c r="X864" s="737" t="n"/>
      <c r="Y864" s="737" t="n"/>
      <c r="Z864" s="737" t="n"/>
      <c r="AA864" s="737" t="n"/>
      <c r="AB864" s="737" t="n"/>
      <c r="AC864" s="737" t="n"/>
      <c r="AD864" s="737" t="n"/>
      <c r="AE864" s="737" t="n"/>
      <c r="AF864" s="737" t="n"/>
      <c r="AG864" s="737" t="n"/>
      <c r="AH864" s="737" t="n"/>
      <c r="AI864" s="737" t="n"/>
      <c r="AJ864" s="737" t="n"/>
      <c r="AK864" s="588" t="n"/>
      <c r="AL864" s="588" t="n"/>
      <c r="AM864" s="588" t="n"/>
      <c r="AN864" s="588" t="n"/>
      <c r="AO864" s="588" t="n"/>
      <c r="AP864" s="588" t="n"/>
      <c r="AQ864" s="588" t="n"/>
      <c r="AR864" s="588" t="n"/>
      <c r="AS864" s="588" t="n"/>
      <c r="AT864" s="588" t="n"/>
      <c r="AU864" s="588" t="n"/>
      <c r="AV864" s="588" t="n"/>
      <c r="AW864" s="588" t="n"/>
      <c r="AX864" s="588" t="n"/>
      <c r="AY864" s="588" t="n"/>
      <c r="AZ864" s="588" t="n"/>
      <c r="BA864" s="588" t="n"/>
      <c r="BB864" s="588" t="n"/>
      <c r="BC864" s="588" t="n"/>
      <c r="BD864" s="588" t="n"/>
      <c r="BE864" s="588" t="n"/>
      <c r="BF864" s="588" t="n"/>
      <c r="BG864" s="588" t="n"/>
      <c r="BH864" s="588" t="n"/>
      <c r="BI864" s="588" t="n"/>
      <c r="BJ864" s="588" t="n"/>
      <c r="BK864" s="588" t="n"/>
      <c r="BL864" s="588" t="n"/>
      <c r="BM864" s="588" t="n"/>
      <c r="BN864" s="588" t="n"/>
      <c r="BO864" s="588" t="n"/>
      <c r="BP864" s="588" t="n"/>
      <c r="BQ864" s="588" t="n"/>
      <c r="BR864" s="588" t="n"/>
      <c r="BS864" s="588" t="n"/>
      <c r="BT864" s="588" t="n"/>
      <c r="BU864" s="588" t="n"/>
      <c r="BV864" s="588" t="n"/>
      <c r="BW864" s="588" t="n"/>
      <c r="BX864" s="588" t="n"/>
      <c r="BY864" s="588" t="n"/>
      <c r="BZ864" s="588" t="n"/>
      <c r="CA864" s="588" t="n"/>
      <c r="CB864" s="588" t="n"/>
      <c r="CC864" s="588" t="n"/>
      <c r="CD864" s="588" t="n"/>
      <c r="CE864" s="588" t="n"/>
      <c r="CF864" s="588" t="n"/>
      <c r="CG864" s="588" t="n"/>
      <c r="CH864" s="588" t="n"/>
      <c r="CI864" s="588" t="n"/>
      <c r="CJ864" s="588" t="n"/>
      <c r="CK864" s="588" t="n"/>
      <c r="CL864" s="588" t="n"/>
      <c r="CM864" s="588" t="n"/>
      <c r="CN864" s="588" t="n"/>
      <c r="CO864" s="588" t="n"/>
      <c r="CP864" s="588" t="n"/>
      <c r="CQ864" s="588" t="n"/>
      <c r="CR864" s="588" t="n"/>
      <c r="CS864" s="588" t="n"/>
      <c r="CT864" s="588" t="n"/>
      <c r="CU864" s="588" t="n"/>
      <c r="CV864" s="588" t="n"/>
      <c r="CW864" s="588" t="n"/>
      <c r="CX864" s="588" t="n"/>
      <c r="CY864" s="588" t="n"/>
      <c r="CZ864" s="588" t="n"/>
      <c r="DA864" s="588" t="n"/>
      <c r="DB864" s="588" t="n"/>
      <c r="DC864" s="588" t="n"/>
      <c r="DD864" s="588" t="n"/>
      <c r="DE864" s="588" t="n"/>
      <c r="DF864" s="588" t="n"/>
      <c r="DG864" s="588" t="n"/>
      <c r="DH864" s="588" t="n"/>
      <c r="DI864" s="588" t="n"/>
      <c r="DJ864" s="588" t="n"/>
      <c r="DK864" s="588" t="n"/>
      <c r="DL864" s="588" t="n"/>
      <c r="DM864" s="588" t="n"/>
      <c r="DN864" s="588" t="n"/>
      <c r="DO864" s="588" t="n"/>
      <c r="DP864" s="588" t="n"/>
      <c r="DQ864" s="588" t="n"/>
      <c r="DR864" s="588" t="n"/>
      <c r="DS864" s="588" t="n"/>
      <c r="DT864" s="588" t="n"/>
      <c r="DU864" s="588" t="n"/>
    </row>
    <row r="865">
      <c r="A865" s="737" t="n"/>
      <c r="B865" s="737" t="n"/>
      <c r="C865" s="737" t="n"/>
      <c r="D865" s="737" t="n"/>
      <c r="E865" s="737" t="n"/>
      <c r="F865" s="737" t="n"/>
      <c r="G865" s="737" t="n"/>
      <c r="H865" s="737" t="n"/>
      <c r="I865" s="737" t="n"/>
      <c r="J865" s="737" t="n"/>
      <c r="K865" s="737" t="n"/>
      <c r="L865" s="737" t="n"/>
      <c r="M865" s="737" t="n"/>
      <c r="N865" s="737" t="n"/>
      <c r="O865" s="737" t="n"/>
      <c r="P865" s="737" t="n"/>
      <c r="Q865" s="737" t="n"/>
      <c r="R865" s="737" t="n"/>
      <c r="S865" s="737" t="n"/>
      <c r="T865" s="737" t="n"/>
      <c r="U865" s="737" t="n"/>
      <c r="V865" s="737" t="n"/>
      <c r="W865" s="737" t="n"/>
      <c r="X865" s="737" t="n"/>
      <c r="Y865" s="737" t="n"/>
      <c r="Z865" s="737" t="n"/>
      <c r="AA865" s="737" t="n"/>
      <c r="AB865" s="737" t="n"/>
      <c r="AC865" s="737" t="n"/>
      <c r="AD865" s="737" t="n"/>
      <c r="AE865" s="737" t="n"/>
      <c r="AF865" s="737" t="n"/>
      <c r="AG865" s="737" t="n"/>
      <c r="AH865" s="737" t="n"/>
      <c r="AI865" s="737" t="n"/>
      <c r="AJ865" s="737" t="n"/>
      <c r="AK865" s="588" t="n"/>
      <c r="AL865" s="588" t="n"/>
      <c r="AM865" s="588" t="n"/>
      <c r="AN865" s="588" t="n"/>
      <c r="AO865" s="588" t="n"/>
      <c r="AP865" s="588" t="n"/>
      <c r="AQ865" s="588" t="n"/>
      <c r="AR865" s="588" t="n"/>
      <c r="AS865" s="588" t="n"/>
      <c r="AT865" s="588" t="n"/>
      <c r="AU865" s="588" t="n"/>
      <c r="AV865" s="588" t="n"/>
      <c r="AW865" s="588" t="n"/>
      <c r="AX865" s="588" t="n"/>
      <c r="AY865" s="588" t="n"/>
      <c r="AZ865" s="588" t="n"/>
      <c r="BA865" s="588" t="n"/>
      <c r="BB865" s="588" t="n"/>
      <c r="BC865" s="588" t="n"/>
      <c r="BD865" s="588" t="n"/>
      <c r="BE865" s="588" t="n"/>
      <c r="BF865" s="588" t="n"/>
      <c r="BG865" s="588" t="n"/>
      <c r="BH865" s="588" t="n"/>
      <c r="BI865" s="588" t="n"/>
      <c r="BJ865" s="588" t="n"/>
      <c r="BK865" s="588" t="n"/>
      <c r="BL865" s="588" t="n"/>
      <c r="BM865" s="588" t="n"/>
      <c r="BN865" s="588" t="n"/>
      <c r="BO865" s="588" t="n"/>
      <c r="BP865" s="588" t="n"/>
      <c r="BQ865" s="588" t="n"/>
      <c r="BR865" s="588" t="n"/>
      <c r="BS865" s="588" t="n"/>
      <c r="BT865" s="588" t="n"/>
      <c r="BU865" s="588" t="n"/>
      <c r="BV865" s="588" t="n"/>
      <c r="BW865" s="588" t="n"/>
      <c r="BX865" s="588" t="n"/>
      <c r="BY865" s="588" t="n"/>
      <c r="BZ865" s="588" t="n"/>
      <c r="CA865" s="588" t="n"/>
      <c r="CB865" s="588" t="n"/>
      <c r="CC865" s="588" t="n"/>
      <c r="CD865" s="588" t="n"/>
      <c r="CE865" s="588" t="n"/>
      <c r="CF865" s="588" t="n"/>
      <c r="CG865" s="588" t="n"/>
      <c r="CH865" s="588" t="n"/>
      <c r="CI865" s="588" t="n"/>
      <c r="CJ865" s="588" t="n"/>
      <c r="CK865" s="588" t="n"/>
      <c r="CL865" s="588" t="n"/>
      <c r="CM865" s="588" t="n"/>
      <c r="CN865" s="588" t="n"/>
      <c r="CO865" s="588" t="n"/>
      <c r="CP865" s="588" t="n"/>
      <c r="CQ865" s="588" t="n"/>
      <c r="CR865" s="588" t="n"/>
      <c r="CS865" s="588" t="n"/>
      <c r="CT865" s="588" t="n"/>
      <c r="CU865" s="588" t="n"/>
      <c r="CV865" s="588" t="n"/>
      <c r="CW865" s="588" t="n"/>
      <c r="CX865" s="588" t="n"/>
      <c r="CY865" s="588" t="n"/>
      <c r="CZ865" s="588" t="n"/>
      <c r="DA865" s="588" t="n"/>
      <c r="DB865" s="588" t="n"/>
      <c r="DC865" s="588" t="n"/>
      <c r="DD865" s="588" t="n"/>
      <c r="DE865" s="588" t="n"/>
      <c r="DF865" s="588" t="n"/>
      <c r="DG865" s="588" t="n"/>
      <c r="DH865" s="588" t="n"/>
      <c r="DI865" s="588" t="n"/>
      <c r="DJ865" s="588" t="n"/>
      <c r="DK865" s="588" t="n"/>
      <c r="DL865" s="588" t="n"/>
      <c r="DM865" s="588" t="n"/>
      <c r="DN865" s="588" t="n"/>
      <c r="DO865" s="588" t="n"/>
      <c r="DP865" s="588" t="n"/>
      <c r="DQ865" s="588" t="n"/>
      <c r="DR865" s="588" t="n"/>
      <c r="DS865" s="588" t="n"/>
      <c r="DT865" s="588" t="n"/>
      <c r="DU865" s="588" t="n"/>
    </row>
    <row r="866">
      <c r="A866" s="737" t="n"/>
      <c r="B866" s="737" t="n"/>
      <c r="C866" s="737" t="n"/>
      <c r="D866" s="737" t="n"/>
      <c r="E866" s="737" t="n"/>
      <c r="F866" s="737" t="n"/>
      <c r="G866" s="737" t="n"/>
      <c r="H866" s="737" t="n"/>
      <c r="I866" s="737" t="n"/>
      <c r="J866" s="737" t="n"/>
      <c r="K866" s="737" t="n"/>
      <c r="L866" s="737" t="n"/>
      <c r="M866" s="737" t="n"/>
      <c r="N866" s="737" t="n"/>
      <c r="O866" s="737" t="n"/>
      <c r="P866" s="737" t="n"/>
      <c r="Q866" s="737" t="n"/>
      <c r="R866" s="737" t="n"/>
      <c r="S866" s="737" t="n"/>
      <c r="T866" s="737" t="n"/>
      <c r="U866" s="737" t="n"/>
      <c r="V866" s="737" t="n"/>
      <c r="W866" s="737" t="n"/>
      <c r="X866" s="737" t="n"/>
      <c r="Y866" s="737" t="n"/>
      <c r="Z866" s="737" t="n"/>
      <c r="AA866" s="737" t="n"/>
      <c r="AB866" s="737" t="n"/>
      <c r="AC866" s="737" t="n"/>
      <c r="AD866" s="737" t="n"/>
      <c r="AE866" s="737" t="n"/>
      <c r="AF866" s="737" t="n"/>
      <c r="AG866" s="737" t="n"/>
      <c r="AH866" s="737" t="n"/>
      <c r="AI866" s="737" t="n"/>
      <c r="AJ866" s="737" t="n"/>
      <c r="AK866" s="588" t="n"/>
      <c r="AL866" s="588" t="n"/>
      <c r="AM866" s="588" t="n"/>
      <c r="AN866" s="588" t="n"/>
      <c r="AO866" s="588" t="n"/>
      <c r="AP866" s="588" t="n"/>
      <c r="AQ866" s="588" t="n"/>
      <c r="AR866" s="588" t="n"/>
      <c r="AS866" s="588" t="n"/>
      <c r="AT866" s="588" t="n"/>
      <c r="AU866" s="588" t="n"/>
      <c r="AV866" s="588" t="n"/>
      <c r="AW866" s="588" t="n"/>
      <c r="AX866" s="588" t="n"/>
      <c r="AY866" s="588" t="n"/>
      <c r="AZ866" s="588" t="n"/>
      <c r="BA866" s="588" t="n"/>
      <c r="BB866" s="588" t="n"/>
      <c r="BC866" s="588" t="n"/>
      <c r="BD866" s="588" t="n"/>
      <c r="BE866" s="588" t="n"/>
      <c r="BF866" s="588" t="n"/>
      <c r="BG866" s="588" t="n"/>
      <c r="BH866" s="588" t="n"/>
      <c r="BI866" s="588" t="n"/>
      <c r="BJ866" s="588" t="n"/>
      <c r="BK866" s="588" t="n"/>
      <c r="BL866" s="588" t="n"/>
      <c r="BM866" s="588" t="n"/>
      <c r="BN866" s="588" t="n"/>
      <c r="BO866" s="588" t="n"/>
      <c r="BP866" s="588" t="n"/>
      <c r="BQ866" s="588" t="n"/>
      <c r="BR866" s="588" t="n"/>
      <c r="BS866" s="588" t="n"/>
      <c r="BT866" s="588" t="n"/>
      <c r="BU866" s="588" t="n"/>
      <c r="BV866" s="588" t="n"/>
      <c r="BW866" s="588" t="n"/>
      <c r="BX866" s="588" t="n"/>
      <c r="BY866" s="588" t="n"/>
      <c r="BZ866" s="588" t="n"/>
      <c r="CA866" s="588" t="n"/>
      <c r="CB866" s="588" t="n"/>
      <c r="CC866" s="588" t="n"/>
      <c r="CD866" s="588" t="n"/>
      <c r="CE866" s="588" t="n"/>
      <c r="CF866" s="588" t="n"/>
      <c r="CG866" s="588" t="n"/>
      <c r="CH866" s="588" t="n"/>
      <c r="CI866" s="588" t="n"/>
      <c r="CJ866" s="588" t="n"/>
      <c r="CK866" s="588" t="n"/>
      <c r="CL866" s="588" t="n"/>
      <c r="CM866" s="588" t="n"/>
      <c r="CN866" s="588" t="n"/>
      <c r="CO866" s="588" t="n"/>
      <c r="CP866" s="588" t="n"/>
      <c r="CQ866" s="588" t="n"/>
      <c r="CR866" s="588" t="n"/>
      <c r="CS866" s="588" t="n"/>
      <c r="CT866" s="588" t="n"/>
      <c r="CU866" s="588" t="n"/>
      <c r="CV866" s="588" t="n"/>
      <c r="CW866" s="588" t="n"/>
      <c r="CX866" s="588" t="n"/>
      <c r="CY866" s="588" t="n"/>
      <c r="CZ866" s="588" t="n"/>
      <c r="DA866" s="588" t="n"/>
      <c r="DB866" s="588" t="n"/>
      <c r="DC866" s="588" t="n"/>
      <c r="DD866" s="588" t="n"/>
      <c r="DE866" s="588" t="n"/>
      <c r="DF866" s="588" t="n"/>
      <c r="DG866" s="588" t="n"/>
      <c r="DH866" s="588" t="n"/>
      <c r="DI866" s="588" t="n"/>
      <c r="DJ866" s="588" t="n"/>
      <c r="DK866" s="588" t="n"/>
      <c r="DL866" s="588" t="n"/>
      <c r="DM866" s="588" t="n"/>
      <c r="DN866" s="588" t="n"/>
      <c r="DO866" s="588" t="n"/>
      <c r="DP866" s="588" t="n"/>
      <c r="DQ866" s="588" t="n"/>
      <c r="DR866" s="588" t="n"/>
      <c r="DS866" s="588" t="n"/>
      <c r="DT866" s="588" t="n"/>
      <c r="DU866" s="588" t="n"/>
    </row>
    <row r="867">
      <c r="A867" s="737" t="n"/>
      <c r="B867" s="737" t="n"/>
      <c r="C867" s="737" t="n"/>
      <c r="D867" s="737" t="n"/>
      <c r="E867" s="737" t="n"/>
      <c r="F867" s="737" t="n"/>
      <c r="G867" s="737" t="n"/>
      <c r="H867" s="737" t="n"/>
      <c r="I867" s="737" t="n"/>
      <c r="J867" s="737" t="n"/>
      <c r="K867" s="737" t="n"/>
      <c r="L867" s="737" t="n"/>
      <c r="M867" s="737" t="n"/>
      <c r="N867" s="737" t="n"/>
      <c r="O867" s="737" t="n"/>
      <c r="P867" s="737" t="n"/>
      <c r="Q867" s="737" t="n"/>
      <c r="R867" s="737" t="n"/>
      <c r="S867" s="737" t="n"/>
      <c r="T867" s="737" t="n"/>
      <c r="U867" s="737" t="n"/>
      <c r="V867" s="737" t="n"/>
      <c r="W867" s="737" t="n"/>
      <c r="X867" s="737" t="n"/>
      <c r="Y867" s="737" t="n"/>
      <c r="Z867" s="737" t="n"/>
      <c r="AA867" s="737" t="n"/>
      <c r="AB867" s="737" t="n"/>
      <c r="AC867" s="737" t="n"/>
      <c r="AD867" s="737" t="n"/>
      <c r="AE867" s="737" t="n"/>
      <c r="AF867" s="737" t="n"/>
      <c r="AG867" s="737" t="n"/>
      <c r="AH867" s="737" t="n"/>
      <c r="AI867" s="737" t="n"/>
      <c r="AJ867" s="737" t="n"/>
      <c r="AK867" s="588" t="n"/>
      <c r="AL867" s="588" t="n"/>
      <c r="AM867" s="588" t="n"/>
      <c r="AN867" s="588" t="n"/>
      <c r="AO867" s="588" t="n"/>
      <c r="AP867" s="588" t="n"/>
      <c r="AQ867" s="588" t="n"/>
      <c r="AR867" s="588" t="n"/>
      <c r="AS867" s="588" t="n"/>
      <c r="AT867" s="588" t="n"/>
      <c r="AU867" s="588" t="n"/>
      <c r="AV867" s="588" t="n"/>
      <c r="AW867" s="588" t="n"/>
      <c r="AX867" s="588" t="n"/>
      <c r="AY867" s="588" t="n"/>
      <c r="AZ867" s="588" t="n"/>
      <c r="BA867" s="588" t="n"/>
      <c r="BB867" s="588" t="n"/>
      <c r="BC867" s="588" t="n"/>
      <c r="BD867" s="588" t="n"/>
      <c r="BE867" s="588" t="n"/>
      <c r="BF867" s="588" t="n"/>
      <c r="BG867" s="588" t="n"/>
      <c r="BH867" s="588" t="n"/>
      <c r="BI867" s="588" t="n"/>
      <c r="BJ867" s="588" t="n"/>
      <c r="BK867" s="588" t="n"/>
      <c r="BL867" s="588" t="n"/>
      <c r="BM867" s="588" t="n"/>
      <c r="BN867" s="588" t="n"/>
      <c r="BO867" s="588" t="n"/>
      <c r="BP867" s="588" t="n"/>
      <c r="BQ867" s="588" t="n"/>
      <c r="BR867" s="588" t="n"/>
      <c r="BS867" s="588" t="n"/>
      <c r="BT867" s="588" t="n"/>
      <c r="BU867" s="588" t="n"/>
      <c r="BV867" s="588" t="n"/>
      <c r="BW867" s="588" t="n"/>
      <c r="BX867" s="588" t="n"/>
      <c r="BY867" s="588" t="n"/>
      <c r="BZ867" s="588" t="n"/>
      <c r="CA867" s="588" t="n"/>
      <c r="CB867" s="588" t="n"/>
      <c r="CC867" s="588" t="n"/>
      <c r="CD867" s="588" t="n"/>
      <c r="CE867" s="588" t="n"/>
      <c r="CF867" s="588" t="n"/>
      <c r="CG867" s="588" t="n"/>
      <c r="CH867" s="588" t="n"/>
      <c r="CI867" s="588" t="n"/>
      <c r="CJ867" s="588" t="n"/>
      <c r="CK867" s="588" t="n"/>
      <c r="CL867" s="588" t="n"/>
      <c r="CM867" s="588" t="n"/>
      <c r="CN867" s="588" t="n"/>
      <c r="CO867" s="588" t="n"/>
      <c r="CP867" s="588" t="n"/>
      <c r="CQ867" s="588" t="n"/>
      <c r="CR867" s="588" t="n"/>
      <c r="CS867" s="588" t="n"/>
      <c r="CT867" s="588" t="n"/>
      <c r="CU867" s="588" t="n"/>
      <c r="CV867" s="588" t="n"/>
      <c r="CW867" s="588" t="n"/>
      <c r="CX867" s="588" t="n"/>
      <c r="CY867" s="588" t="n"/>
      <c r="CZ867" s="588" t="n"/>
      <c r="DA867" s="588" t="n"/>
      <c r="DB867" s="588" t="n"/>
      <c r="DC867" s="588" t="n"/>
      <c r="DD867" s="588" t="n"/>
      <c r="DE867" s="588" t="n"/>
      <c r="DF867" s="588" t="n"/>
      <c r="DG867" s="588" t="n"/>
      <c r="DH867" s="588" t="n"/>
      <c r="DI867" s="588" t="n"/>
      <c r="DJ867" s="588" t="n"/>
      <c r="DK867" s="588" t="n"/>
      <c r="DL867" s="588" t="n"/>
      <c r="DM867" s="588" t="n"/>
      <c r="DN867" s="588" t="n"/>
      <c r="DO867" s="588" t="n"/>
      <c r="DP867" s="588" t="n"/>
      <c r="DQ867" s="588" t="n"/>
      <c r="DR867" s="588" t="n"/>
      <c r="DS867" s="588" t="n"/>
      <c r="DT867" s="588" t="n"/>
      <c r="DU867" s="588" t="n"/>
    </row>
    <row r="868">
      <c r="A868" s="737" t="n"/>
      <c r="B868" s="737" t="n"/>
      <c r="C868" s="737" t="n"/>
      <c r="D868" s="737" t="n"/>
      <c r="E868" s="737" t="n"/>
      <c r="F868" s="737" t="n"/>
      <c r="G868" s="737" t="n"/>
      <c r="H868" s="737" t="n"/>
      <c r="I868" s="737" t="n"/>
      <c r="J868" s="737" t="n"/>
      <c r="K868" s="737" t="n"/>
      <c r="L868" s="737" t="n"/>
      <c r="M868" s="737" t="n"/>
      <c r="N868" s="737" t="n"/>
      <c r="O868" s="737" t="n"/>
      <c r="P868" s="737" t="n"/>
      <c r="Q868" s="737" t="n"/>
      <c r="R868" s="737" t="n"/>
      <c r="S868" s="737" t="n"/>
      <c r="T868" s="737" t="n"/>
      <c r="U868" s="737" t="n"/>
      <c r="V868" s="737" t="n"/>
      <c r="W868" s="737" t="n"/>
      <c r="X868" s="737" t="n"/>
      <c r="Y868" s="737" t="n"/>
      <c r="Z868" s="737" t="n"/>
      <c r="AA868" s="737" t="n"/>
      <c r="AB868" s="737" t="n"/>
      <c r="AC868" s="737" t="n"/>
      <c r="AD868" s="737" t="n"/>
      <c r="AE868" s="737" t="n"/>
      <c r="AF868" s="737" t="n"/>
      <c r="AG868" s="737" t="n"/>
      <c r="AH868" s="737" t="n"/>
      <c r="AI868" s="737" t="n"/>
      <c r="AJ868" s="737" t="n"/>
      <c r="AK868" s="588" t="n"/>
      <c r="AL868" s="588" t="n"/>
      <c r="AM868" s="588" t="n"/>
      <c r="AN868" s="588" t="n"/>
      <c r="AO868" s="588" t="n"/>
      <c r="AP868" s="588" t="n"/>
      <c r="AQ868" s="588" t="n"/>
      <c r="AR868" s="588" t="n"/>
      <c r="AS868" s="588" t="n"/>
      <c r="AT868" s="588" t="n"/>
      <c r="AU868" s="588" t="n"/>
      <c r="AV868" s="588" t="n"/>
      <c r="AW868" s="588" t="n"/>
      <c r="AX868" s="588" t="n"/>
      <c r="AY868" s="588" t="n"/>
      <c r="AZ868" s="588" t="n"/>
      <c r="BA868" s="588" t="n"/>
      <c r="BB868" s="588" t="n"/>
      <c r="BC868" s="588" t="n"/>
      <c r="BD868" s="588" t="n"/>
      <c r="BE868" s="588" t="n"/>
      <c r="BF868" s="588" t="n"/>
      <c r="BG868" s="588" t="n"/>
      <c r="BH868" s="588" t="n"/>
      <c r="BI868" s="588" t="n"/>
      <c r="BJ868" s="588" t="n"/>
      <c r="BK868" s="588" t="n"/>
      <c r="BL868" s="588" t="n"/>
      <c r="BM868" s="588" t="n"/>
      <c r="BN868" s="588" t="n"/>
      <c r="BO868" s="588" t="n"/>
      <c r="BP868" s="588" t="n"/>
      <c r="BQ868" s="588" t="n"/>
      <c r="BR868" s="588" t="n"/>
      <c r="BS868" s="588" t="n"/>
      <c r="BT868" s="588" t="n"/>
      <c r="BU868" s="588" t="n"/>
      <c r="BV868" s="588" t="n"/>
      <c r="BW868" s="588" t="n"/>
      <c r="BX868" s="588" t="n"/>
      <c r="BY868" s="588" t="n"/>
      <c r="BZ868" s="588" t="n"/>
      <c r="CA868" s="588" t="n"/>
      <c r="CB868" s="588" t="n"/>
      <c r="CC868" s="588" t="n"/>
      <c r="CD868" s="588" t="n"/>
      <c r="CE868" s="588" t="n"/>
      <c r="CF868" s="588" t="n"/>
      <c r="CG868" s="588" t="n"/>
      <c r="CH868" s="588" t="n"/>
      <c r="CI868" s="588" t="n"/>
      <c r="CJ868" s="588" t="n"/>
      <c r="CK868" s="588" t="n"/>
      <c r="CL868" s="588" t="n"/>
      <c r="CM868" s="588" t="n"/>
      <c r="CN868" s="588" t="n"/>
      <c r="CO868" s="588" t="n"/>
      <c r="CP868" s="588" t="n"/>
      <c r="CQ868" s="588" t="n"/>
      <c r="CR868" s="588" t="n"/>
      <c r="CS868" s="588" t="n"/>
      <c r="CT868" s="588" t="n"/>
      <c r="CU868" s="588" t="n"/>
      <c r="CV868" s="588" t="n"/>
      <c r="CW868" s="588" t="n"/>
      <c r="CX868" s="588" t="n"/>
      <c r="CY868" s="588" t="n"/>
      <c r="CZ868" s="588" t="n"/>
      <c r="DA868" s="588" t="n"/>
      <c r="DB868" s="588" t="n"/>
      <c r="DC868" s="588" t="n"/>
      <c r="DD868" s="588" t="n"/>
      <c r="DE868" s="588" t="n"/>
      <c r="DF868" s="588" t="n"/>
      <c r="DG868" s="588" t="n"/>
      <c r="DH868" s="588" t="n"/>
      <c r="DI868" s="588" t="n"/>
      <c r="DJ868" s="588" t="n"/>
      <c r="DK868" s="588" t="n"/>
      <c r="DL868" s="588" t="n"/>
      <c r="DM868" s="588" t="n"/>
      <c r="DN868" s="588" t="n"/>
      <c r="DO868" s="588" t="n"/>
      <c r="DP868" s="588" t="n"/>
      <c r="DQ868" s="588" t="n"/>
      <c r="DR868" s="588" t="n"/>
      <c r="DS868" s="588" t="n"/>
      <c r="DT868" s="588" t="n"/>
      <c r="DU868" s="588" t="n"/>
    </row>
    <row r="869">
      <c r="A869" s="737" t="n"/>
      <c r="B869" s="737" t="n"/>
      <c r="C869" s="737" t="n"/>
      <c r="D869" s="737" t="n"/>
      <c r="E869" s="737" t="n"/>
      <c r="F869" s="737" t="n"/>
      <c r="G869" s="737" t="n"/>
      <c r="H869" s="737" t="n"/>
      <c r="I869" s="737" t="n"/>
      <c r="J869" s="737" t="n"/>
      <c r="K869" s="737" t="n"/>
      <c r="L869" s="737" t="n"/>
      <c r="M869" s="737" t="n"/>
      <c r="N869" s="737" t="n"/>
      <c r="O869" s="737" t="n"/>
      <c r="P869" s="737" t="n"/>
      <c r="Q869" s="737" t="n"/>
      <c r="R869" s="737" t="n"/>
      <c r="S869" s="737" t="n"/>
      <c r="T869" s="737" t="n"/>
      <c r="U869" s="737" t="n"/>
      <c r="V869" s="737" t="n"/>
      <c r="W869" s="737" t="n"/>
      <c r="X869" s="737" t="n"/>
      <c r="Y869" s="737" t="n"/>
      <c r="Z869" s="737" t="n"/>
      <c r="AA869" s="737" t="n"/>
      <c r="AB869" s="737" t="n"/>
      <c r="AC869" s="737" t="n"/>
      <c r="AD869" s="737" t="n"/>
      <c r="AE869" s="737" t="n"/>
      <c r="AF869" s="737" t="n"/>
      <c r="AG869" s="737" t="n"/>
      <c r="AH869" s="737" t="n"/>
      <c r="AI869" s="737" t="n"/>
      <c r="AJ869" s="737" t="n"/>
      <c r="AK869" s="588" t="n"/>
      <c r="AL869" s="588" t="n"/>
      <c r="AM869" s="588" t="n"/>
      <c r="AN869" s="588" t="n"/>
      <c r="AO869" s="588" t="n"/>
      <c r="AP869" s="588" t="n"/>
      <c r="AQ869" s="588" t="n"/>
      <c r="AR869" s="588" t="n"/>
      <c r="AS869" s="588" t="n"/>
      <c r="AT869" s="588" t="n"/>
      <c r="AU869" s="588" t="n"/>
      <c r="AV869" s="588" t="n"/>
      <c r="AW869" s="588" t="n"/>
      <c r="AX869" s="588" t="n"/>
      <c r="AY869" s="588" t="n"/>
      <c r="AZ869" s="588" t="n"/>
      <c r="BA869" s="588" t="n"/>
      <c r="BB869" s="588" t="n"/>
      <c r="BC869" s="588" t="n"/>
      <c r="BD869" s="588" t="n"/>
      <c r="BE869" s="588" t="n"/>
      <c r="BF869" s="588" t="n"/>
      <c r="BG869" s="588" t="n"/>
      <c r="BH869" s="588" t="n"/>
      <c r="BI869" s="588" t="n"/>
      <c r="BJ869" s="588" t="n"/>
      <c r="BK869" s="588" t="n"/>
      <c r="BL869" s="588" t="n"/>
      <c r="BM869" s="588" t="n"/>
      <c r="BN869" s="588" t="n"/>
      <c r="BO869" s="588" t="n"/>
      <c r="BP869" s="588" t="n"/>
      <c r="BQ869" s="588" t="n"/>
      <c r="BR869" s="588" t="n"/>
      <c r="BS869" s="588" t="n"/>
      <c r="BT869" s="588" t="n"/>
      <c r="BU869" s="588" t="n"/>
      <c r="BV869" s="588" t="n"/>
      <c r="BW869" s="588" t="n"/>
      <c r="BX869" s="588" t="n"/>
      <c r="BY869" s="588" t="n"/>
      <c r="BZ869" s="588" t="n"/>
      <c r="CA869" s="588" t="n"/>
      <c r="CB869" s="588" t="n"/>
      <c r="CC869" s="588" t="n"/>
      <c r="CD869" s="588" t="n"/>
      <c r="CE869" s="588" t="n"/>
      <c r="CF869" s="588" t="n"/>
      <c r="CG869" s="588" t="n"/>
      <c r="CH869" s="588" t="n"/>
      <c r="CI869" s="588" t="n"/>
      <c r="CJ869" s="588" t="n"/>
      <c r="CK869" s="588" t="n"/>
      <c r="CL869" s="588" t="n"/>
      <c r="CM869" s="588" t="n"/>
      <c r="CN869" s="588" t="n"/>
      <c r="CO869" s="588" t="n"/>
      <c r="CP869" s="588" t="n"/>
      <c r="CQ869" s="588" t="n"/>
      <c r="CR869" s="588" t="n"/>
      <c r="CS869" s="588" t="n"/>
      <c r="CT869" s="588" t="n"/>
      <c r="CU869" s="588" t="n"/>
      <c r="CV869" s="588" t="n"/>
      <c r="CW869" s="588" t="n"/>
      <c r="CX869" s="588" t="n"/>
      <c r="CY869" s="588" t="n"/>
      <c r="CZ869" s="588" t="n"/>
      <c r="DA869" s="588" t="n"/>
      <c r="DB869" s="588" t="n"/>
      <c r="DC869" s="588" t="n"/>
      <c r="DD869" s="588" t="n"/>
      <c r="DE869" s="588" t="n"/>
      <c r="DF869" s="588" t="n"/>
      <c r="DG869" s="588" t="n"/>
      <c r="DH869" s="588" t="n"/>
      <c r="DI869" s="588" t="n"/>
      <c r="DJ869" s="588" t="n"/>
      <c r="DK869" s="588" t="n"/>
      <c r="DL869" s="588" t="n"/>
      <c r="DM869" s="588" t="n"/>
      <c r="DN869" s="588" t="n"/>
      <c r="DO869" s="588" t="n"/>
      <c r="DP869" s="588" t="n"/>
      <c r="DQ869" s="588" t="n"/>
      <c r="DR869" s="588" t="n"/>
      <c r="DS869" s="588" t="n"/>
      <c r="DT869" s="588" t="n"/>
      <c r="DU869" s="588" t="n"/>
    </row>
    <row r="870">
      <c r="A870" s="737" t="n"/>
      <c r="B870" s="737" t="n"/>
      <c r="C870" s="737" t="n"/>
      <c r="D870" s="737" t="n"/>
      <c r="E870" s="737" t="n"/>
      <c r="F870" s="737" t="n"/>
      <c r="G870" s="737" t="n"/>
      <c r="H870" s="737" t="n"/>
      <c r="I870" s="737" t="n"/>
      <c r="J870" s="737" t="n"/>
      <c r="K870" s="737" t="n"/>
      <c r="L870" s="737" t="n"/>
      <c r="M870" s="737" t="n"/>
      <c r="N870" s="737" t="n"/>
      <c r="O870" s="737" t="n"/>
      <c r="P870" s="737" t="n"/>
      <c r="Q870" s="737" t="n"/>
      <c r="R870" s="737" t="n"/>
      <c r="S870" s="737" t="n"/>
      <c r="T870" s="737" t="n"/>
      <c r="U870" s="737" t="n"/>
      <c r="V870" s="737" t="n"/>
      <c r="W870" s="737" t="n"/>
      <c r="X870" s="737" t="n"/>
      <c r="Y870" s="737" t="n"/>
      <c r="Z870" s="737" t="n"/>
      <c r="AA870" s="737" t="n"/>
      <c r="AB870" s="737" t="n"/>
      <c r="AC870" s="737" t="n"/>
      <c r="AD870" s="737" t="n"/>
      <c r="AE870" s="737" t="n"/>
      <c r="AF870" s="737" t="n"/>
      <c r="AG870" s="737" t="n"/>
      <c r="AH870" s="737" t="n"/>
      <c r="AI870" s="737" t="n"/>
      <c r="AJ870" s="737" t="n"/>
      <c r="AK870" s="588" t="n"/>
      <c r="AL870" s="588" t="n"/>
      <c r="AM870" s="588" t="n"/>
      <c r="AN870" s="588" t="n"/>
      <c r="AO870" s="588" t="n"/>
      <c r="AP870" s="588" t="n"/>
      <c r="AQ870" s="588" t="n"/>
      <c r="AR870" s="588" t="n"/>
      <c r="AS870" s="588" t="n"/>
      <c r="AT870" s="588" t="n"/>
      <c r="AU870" s="588" t="n"/>
      <c r="AV870" s="588" t="n"/>
      <c r="AW870" s="588" t="n"/>
      <c r="AX870" s="588" t="n"/>
      <c r="AY870" s="588" t="n"/>
      <c r="AZ870" s="588" t="n"/>
      <c r="BA870" s="588" t="n"/>
      <c r="BB870" s="588" t="n"/>
      <c r="BC870" s="588" t="n"/>
      <c r="BD870" s="588" t="n"/>
      <c r="BE870" s="588" t="n"/>
      <c r="BF870" s="588" t="n"/>
      <c r="BG870" s="588" t="n"/>
      <c r="BH870" s="588" t="n"/>
      <c r="BI870" s="588" t="n"/>
      <c r="BJ870" s="588" t="n"/>
      <c r="BK870" s="588" t="n"/>
      <c r="BL870" s="588" t="n"/>
      <c r="BM870" s="588" t="n"/>
      <c r="BN870" s="588" t="n"/>
      <c r="BO870" s="588" t="n"/>
      <c r="BP870" s="588" t="n"/>
      <c r="BQ870" s="588" t="n"/>
      <c r="BR870" s="588" t="n"/>
      <c r="BS870" s="588" t="n"/>
      <c r="BT870" s="588" t="n"/>
      <c r="BU870" s="588" t="n"/>
      <c r="BV870" s="588" t="n"/>
      <c r="BW870" s="588" t="n"/>
      <c r="BX870" s="588" t="n"/>
      <c r="BY870" s="588" t="n"/>
      <c r="BZ870" s="588" t="n"/>
      <c r="CA870" s="588" t="n"/>
      <c r="CB870" s="588" t="n"/>
      <c r="CC870" s="588" t="n"/>
      <c r="CD870" s="588" t="n"/>
      <c r="CE870" s="588" t="n"/>
      <c r="CF870" s="588" t="n"/>
      <c r="CG870" s="588" t="n"/>
      <c r="CH870" s="588" t="n"/>
      <c r="CI870" s="588" t="n"/>
      <c r="CJ870" s="588" t="n"/>
      <c r="CK870" s="588" t="n"/>
      <c r="CL870" s="588" t="n"/>
      <c r="CM870" s="588" t="n"/>
      <c r="CN870" s="588" t="n"/>
      <c r="CO870" s="588" t="n"/>
      <c r="CP870" s="588" t="n"/>
      <c r="CQ870" s="588" t="n"/>
      <c r="CR870" s="588" t="n"/>
      <c r="CS870" s="588" t="n"/>
      <c r="CT870" s="588" t="n"/>
      <c r="CU870" s="588" t="n"/>
      <c r="CV870" s="588" t="n"/>
      <c r="CW870" s="588" t="n"/>
      <c r="CX870" s="588" t="n"/>
      <c r="CY870" s="588" t="n"/>
      <c r="CZ870" s="588" t="n"/>
      <c r="DA870" s="588" t="n"/>
      <c r="DB870" s="588" t="n"/>
      <c r="DC870" s="588" t="n"/>
      <c r="DD870" s="588" t="n"/>
      <c r="DE870" s="588" t="n"/>
      <c r="DF870" s="588" t="n"/>
      <c r="DG870" s="588" t="n"/>
      <c r="DH870" s="588" t="n"/>
      <c r="DI870" s="588" t="n"/>
      <c r="DJ870" s="588" t="n"/>
      <c r="DK870" s="588" t="n"/>
      <c r="DL870" s="588" t="n"/>
      <c r="DM870" s="588" t="n"/>
      <c r="DN870" s="588" t="n"/>
      <c r="DO870" s="588" t="n"/>
      <c r="DP870" s="588" t="n"/>
      <c r="DQ870" s="588" t="n"/>
      <c r="DR870" s="588" t="n"/>
      <c r="DS870" s="588" t="n"/>
      <c r="DT870" s="588" t="n"/>
      <c r="DU870" s="588" t="n"/>
    </row>
    <row r="871">
      <c r="A871" s="737" t="n"/>
      <c r="B871" s="737" t="n"/>
      <c r="C871" s="737" t="n"/>
      <c r="D871" s="737" t="n"/>
      <c r="E871" s="737" t="n"/>
      <c r="F871" s="737" t="n"/>
      <c r="G871" s="737" t="n"/>
      <c r="H871" s="737" t="n"/>
      <c r="I871" s="737" t="n"/>
      <c r="J871" s="737" t="n"/>
      <c r="K871" s="737" t="n"/>
      <c r="L871" s="737" t="n"/>
      <c r="M871" s="737" t="n"/>
      <c r="N871" s="737" t="n"/>
      <c r="O871" s="737" t="n"/>
      <c r="P871" s="737" t="n"/>
      <c r="Q871" s="737" t="n"/>
      <c r="R871" s="737" t="n"/>
      <c r="S871" s="737" t="n"/>
      <c r="T871" s="737" t="n"/>
      <c r="U871" s="737" t="n"/>
      <c r="V871" s="737" t="n"/>
      <c r="W871" s="737" t="n"/>
      <c r="X871" s="737" t="n"/>
      <c r="Y871" s="737" t="n"/>
      <c r="Z871" s="737" t="n"/>
      <c r="AA871" s="737" t="n"/>
      <c r="AB871" s="737" t="n"/>
      <c r="AC871" s="737" t="n"/>
      <c r="AD871" s="737" t="n"/>
      <c r="AE871" s="737" t="n"/>
      <c r="AF871" s="737" t="n"/>
      <c r="AG871" s="737" t="n"/>
      <c r="AH871" s="737" t="n"/>
      <c r="AI871" s="737" t="n"/>
      <c r="AJ871" s="737" t="n"/>
      <c r="AK871" s="588" t="n"/>
      <c r="AL871" s="588" t="n"/>
      <c r="AM871" s="588" t="n"/>
      <c r="AN871" s="588" t="n"/>
      <c r="AO871" s="588" t="n"/>
      <c r="AP871" s="588" t="n"/>
      <c r="AQ871" s="588" t="n"/>
      <c r="AR871" s="588" t="n"/>
      <c r="AS871" s="588" t="n"/>
      <c r="AT871" s="588" t="n"/>
      <c r="AU871" s="588" t="n"/>
      <c r="AV871" s="588" t="n"/>
      <c r="AW871" s="588" t="n"/>
      <c r="AX871" s="588" t="n"/>
      <c r="AY871" s="588" t="n"/>
      <c r="AZ871" s="588" t="n"/>
      <c r="BA871" s="588" t="n"/>
      <c r="BB871" s="588" t="n"/>
      <c r="BC871" s="588" t="n"/>
      <c r="BD871" s="588" t="n"/>
      <c r="BE871" s="588" t="n"/>
      <c r="BF871" s="588" t="n"/>
      <c r="BG871" s="588" t="n"/>
      <c r="BH871" s="588" t="n"/>
      <c r="BI871" s="588" t="n"/>
      <c r="BJ871" s="588" t="n"/>
      <c r="BK871" s="588" t="n"/>
      <c r="BL871" s="588" t="n"/>
      <c r="BM871" s="588" t="n"/>
      <c r="BN871" s="588" t="n"/>
      <c r="BO871" s="588" t="n"/>
      <c r="BP871" s="588" t="n"/>
      <c r="BQ871" s="588" t="n"/>
      <c r="BR871" s="588" t="n"/>
      <c r="BS871" s="588" t="n"/>
      <c r="BT871" s="588" t="n"/>
      <c r="BU871" s="588" t="n"/>
      <c r="BV871" s="588" t="n"/>
      <c r="BW871" s="588" t="n"/>
      <c r="BX871" s="588" t="n"/>
      <c r="BY871" s="588" t="n"/>
      <c r="BZ871" s="588" t="n"/>
      <c r="CA871" s="588" t="n"/>
      <c r="CB871" s="588" t="n"/>
      <c r="CC871" s="588" t="n"/>
      <c r="CD871" s="588" t="n"/>
      <c r="CE871" s="588" t="n"/>
      <c r="CF871" s="588" t="n"/>
      <c r="CG871" s="588" t="n"/>
      <c r="CH871" s="588" t="n"/>
      <c r="CI871" s="588" t="n"/>
      <c r="CJ871" s="588" t="n"/>
      <c r="CK871" s="588" t="n"/>
      <c r="CL871" s="588" t="n"/>
      <c r="CM871" s="588" t="n"/>
      <c r="CN871" s="588" t="n"/>
      <c r="CO871" s="588" t="n"/>
      <c r="CP871" s="588" t="n"/>
      <c r="CQ871" s="588" t="n"/>
      <c r="CR871" s="588" t="n"/>
      <c r="CS871" s="588" t="n"/>
      <c r="CT871" s="588" t="n"/>
      <c r="CU871" s="588" t="n"/>
      <c r="CV871" s="588" t="n"/>
      <c r="CW871" s="588" t="n"/>
      <c r="CX871" s="588" t="n"/>
      <c r="CY871" s="588" t="n"/>
      <c r="CZ871" s="588" t="n"/>
      <c r="DA871" s="588" t="n"/>
      <c r="DB871" s="588" t="n"/>
      <c r="DC871" s="588" t="n"/>
      <c r="DD871" s="588" t="n"/>
      <c r="DE871" s="588" t="n"/>
      <c r="DF871" s="588" t="n"/>
      <c r="DG871" s="588" t="n"/>
      <c r="DH871" s="588" t="n"/>
      <c r="DI871" s="588" t="n"/>
      <c r="DJ871" s="588" t="n"/>
      <c r="DK871" s="588" t="n"/>
      <c r="DL871" s="588" t="n"/>
      <c r="DM871" s="588" t="n"/>
      <c r="DN871" s="588" t="n"/>
      <c r="DO871" s="588" t="n"/>
      <c r="DP871" s="588" t="n"/>
      <c r="DQ871" s="588" t="n"/>
      <c r="DR871" s="588" t="n"/>
      <c r="DS871" s="588" t="n"/>
      <c r="DT871" s="588" t="n"/>
      <c r="DU871" s="588" t="n"/>
    </row>
    <row r="872">
      <c r="A872" s="737" t="n"/>
      <c r="B872" s="737" t="n"/>
      <c r="C872" s="737" t="n"/>
      <c r="D872" s="737" t="n"/>
      <c r="E872" s="737" t="n"/>
      <c r="F872" s="737" t="n"/>
      <c r="G872" s="737" t="n"/>
      <c r="H872" s="737" t="n"/>
      <c r="I872" s="737" t="n"/>
      <c r="J872" s="737" t="n"/>
      <c r="K872" s="737" t="n"/>
      <c r="L872" s="737" t="n"/>
      <c r="M872" s="737" t="n"/>
      <c r="N872" s="737" t="n"/>
      <c r="O872" s="737" t="n"/>
      <c r="P872" s="737" t="n"/>
      <c r="Q872" s="737" t="n"/>
      <c r="R872" s="737" t="n"/>
      <c r="S872" s="737" t="n"/>
      <c r="T872" s="737" t="n"/>
      <c r="U872" s="737" t="n"/>
      <c r="V872" s="737" t="n"/>
      <c r="W872" s="737" t="n"/>
      <c r="X872" s="737" t="n"/>
      <c r="Y872" s="737" t="n"/>
      <c r="Z872" s="737" t="n"/>
      <c r="AA872" s="737" t="n"/>
      <c r="AB872" s="737" t="n"/>
      <c r="AC872" s="737" t="n"/>
      <c r="AD872" s="737" t="n"/>
      <c r="AE872" s="737" t="n"/>
      <c r="AF872" s="737" t="n"/>
      <c r="AG872" s="737" t="n"/>
      <c r="AH872" s="737" t="n"/>
      <c r="AI872" s="737" t="n"/>
      <c r="AJ872" s="737" t="n"/>
      <c r="AK872" s="588" t="n"/>
      <c r="AL872" s="588" t="n"/>
      <c r="AM872" s="588" t="n"/>
      <c r="AN872" s="588" t="n"/>
      <c r="AO872" s="588" t="n"/>
      <c r="AP872" s="588" t="n"/>
      <c r="AQ872" s="588" t="n"/>
      <c r="AR872" s="588" t="n"/>
      <c r="AS872" s="588" t="n"/>
      <c r="AT872" s="588" t="n"/>
      <c r="AU872" s="588" t="n"/>
      <c r="AV872" s="588" t="n"/>
      <c r="AW872" s="588" t="n"/>
      <c r="AX872" s="588" t="n"/>
      <c r="AY872" s="588" t="n"/>
      <c r="AZ872" s="588" t="n"/>
      <c r="BA872" s="588" t="n"/>
      <c r="BB872" s="588" t="n"/>
      <c r="BC872" s="588" t="n"/>
      <c r="BD872" s="588" t="n"/>
      <c r="BE872" s="588" t="n"/>
      <c r="BF872" s="588" t="n"/>
      <c r="BG872" s="588" t="n"/>
      <c r="BH872" s="588" t="n"/>
      <c r="BI872" s="588" t="n"/>
      <c r="BJ872" s="588" t="n"/>
      <c r="BK872" s="588" t="n"/>
      <c r="BL872" s="588" t="n"/>
      <c r="BM872" s="588" t="n"/>
      <c r="BN872" s="588" t="n"/>
      <c r="BO872" s="588" t="n"/>
      <c r="BP872" s="588" t="n"/>
      <c r="BQ872" s="588" t="n"/>
      <c r="BR872" s="588" t="n"/>
      <c r="BS872" s="588" t="n"/>
      <c r="BT872" s="588" t="n"/>
      <c r="BU872" s="588" t="n"/>
      <c r="BV872" s="588" t="n"/>
      <c r="BW872" s="588" t="n"/>
      <c r="BX872" s="588" t="n"/>
      <c r="BY872" s="588" t="n"/>
      <c r="BZ872" s="588" t="n"/>
      <c r="CA872" s="588" t="n"/>
      <c r="CB872" s="588" t="n"/>
      <c r="CC872" s="588" t="n"/>
      <c r="CD872" s="588" t="n"/>
      <c r="CE872" s="588" t="n"/>
      <c r="CF872" s="588" t="n"/>
      <c r="CG872" s="588" t="n"/>
      <c r="CH872" s="588" t="n"/>
      <c r="CI872" s="588" t="n"/>
      <c r="CJ872" s="588" t="n"/>
      <c r="CK872" s="588" t="n"/>
      <c r="CL872" s="588" t="n"/>
      <c r="CM872" s="588" t="n"/>
      <c r="CN872" s="588" t="n"/>
      <c r="CO872" s="588" t="n"/>
      <c r="CP872" s="588" t="n"/>
      <c r="CQ872" s="588" t="n"/>
      <c r="CR872" s="588" t="n"/>
      <c r="CS872" s="588" t="n"/>
      <c r="CT872" s="588" t="n"/>
      <c r="CU872" s="588" t="n"/>
      <c r="CV872" s="588" t="n"/>
      <c r="CW872" s="588" t="n"/>
      <c r="CX872" s="588" t="n"/>
      <c r="CY872" s="588" t="n"/>
      <c r="CZ872" s="588" t="n"/>
      <c r="DA872" s="588" t="n"/>
      <c r="DB872" s="588" t="n"/>
      <c r="DC872" s="588" t="n"/>
      <c r="DD872" s="588" t="n"/>
      <c r="DE872" s="588" t="n"/>
      <c r="DF872" s="588" t="n"/>
      <c r="DG872" s="588" t="n"/>
      <c r="DH872" s="588" t="n"/>
      <c r="DI872" s="588" t="n"/>
      <c r="DJ872" s="588" t="n"/>
      <c r="DK872" s="588" t="n"/>
      <c r="DL872" s="588" t="n"/>
      <c r="DM872" s="588" t="n"/>
      <c r="DN872" s="588" t="n"/>
      <c r="DO872" s="588" t="n"/>
      <c r="DP872" s="588" t="n"/>
      <c r="DQ872" s="588" t="n"/>
      <c r="DR872" s="588" t="n"/>
      <c r="DS872" s="588" t="n"/>
      <c r="DT872" s="588" t="n"/>
      <c r="DU872" s="588" t="n"/>
    </row>
    <row r="873">
      <c r="A873" s="737" t="n"/>
      <c r="B873" s="737" t="n"/>
      <c r="C873" s="737" t="n"/>
      <c r="D873" s="737" t="n"/>
      <c r="E873" s="737" t="n"/>
      <c r="F873" s="737" t="n"/>
      <c r="G873" s="737" t="n"/>
      <c r="H873" s="737" t="n"/>
      <c r="I873" s="737" t="n"/>
      <c r="J873" s="737" t="n"/>
      <c r="K873" s="737" t="n"/>
      <c r="L873" s="737" t="n"/>
      <c r="M873" s="737" t="n"/>
      <c r="N873" s="737" t="n"/>
      <c r="O873" s="737" t="n"/>
      <c r="P873" s="737" t="n"/>
      <c r="Q873" s="737" t="n"/>
      <c r="R873" s="737" t="n"/>
      <c r="S873" s="737" t="n"/>
      <c r="T873" s="737" t="n"/>
      <c r="U873" s="737" t="n"/>
      <c r="V873" s="737" t="n"/>
      <c r="W873" s="737" t="n"/>
      <c r="X873" s="737" t="n"/>
      <c r="Y873" s="737" t="n"/>
      <c r="Z873" s="737" t="n"/>
      <c r="AA873" s="737" t="n"/>
      <c r="AB873" s="737" t="n"/>
      <c r="AC873" s="737" t="n"/>
      <c r="AD873" s="737" t="n"/>
      <c r="AE873" s="737" t="n"/>
      <c r="AF873" s="737" t="n"/>
      <c r="AG873" s="737" t="n"/>
      <c r="AH873" s="737" t="n"/>
      <c r="AI873" s="737" t="n"/>
      <c r="AJ873" s="737" t="n"/>
      <c r="AK873" s="588" t="n"/>
      <c r="AL873" s="588" t="n"/>
      <c r="AM873" s="588" t="n"/>
      <c r="AN873" s="588" t="n"/>
      <c r="AO873" s="588" t="n"/>
      <c r="AP873" s="588" t="n"/>
      <c r="AQ873" s="588" t="n"/>
      <c r="AR873" s="588" t="n"/>
      <c r="AS873" s="588" t="n"/>
      <c r="AT873" s="588" t="n"/>
      <c r="AU873" s="588" t="n"/>
      <c r="AV873" s="588" t="n"/>
      <c r="AW873" s="588" t="n"/>
      <c r="AX873" s="588" t="n"/>
      <c r="AY873" s="588" t="n"/>
      <c r="AZ873" s="588" t="n"/>
      <c r="BA873" s="588" t="n"/>
      <c r="BB873" s="588" t="n"/>
      <c r="BC873" s="588" t="n"/>
      <c r="BD873" s="588" t="n"/>
      <c r="BE873" s="588" t="n"/>
      <c r="BF873" s="588" t="n"/>
      <c r="BG873" s="588" t="n"/>
      <c r="BH873" s="588" t="n"/>
      <c r="BI873" s="588" t="n"/>
      <c r="BJ873" s="588" t="n"/>
      <c r="BK873" s="588" t="n"/>
      <c r="BL873" s="588" t="n"/>
      <c r="BM873" s="588" t="n"/>
      <c r="BN873" s="588" t="n"/>
      <c r="BO873" s="588" t="n"/>
      <c r="BP873" s="588" t="n"/>
      <c r="BQ873" s="588" t="n"/>
      <c r="BR873" s="588" t="n"/>
      <c r="BS873" s="588" t="n"/>
      <c r="BT873" s="588" t="n"/>
      <c r="BU873" s="588" t="n"/>
      <c r="BV873" s="588" t="n"/>
      <c r="BW873" s="588" t="n"/>
      <c r="BX873" s="588" t="n"/>
      <c r="BY873" s="588" t="n"/>
      <c r="BZ873" s="588" t="n"/>
      <c r="CA873" s="588" t="n"/>
      <c r="CB873" s="588" t="n"/>
      <c r="CC873" s="588" t="n"/>
      <c r="CD873" s="588" t="n"/>
      <c r="CE873" s="588" t="n"/>
      <c r="CF873" s="588" t="n"/>
      <c r="CG873" s="588" t="n"/>
      <c r="CH873" s="588" t="n"/>
      <c r="CI873" s="588" t="n"/>
      <c r="CJ873" s="588" t="n"/>
      <c r="CK873" s="588" t="n"/>
      <c r="CL873" s="588" t="n"/>
      <c r="CM873" s="588" t="n"/>
      <c r="CN873" s="588" t="n"/>
      <c r="CO873" s="588" t="n"/>
      <c r="CP873" s="588" t="n"/>
      <c r="CQ873" s="588" t="n"/>
      <c r="CR873" s="588" t="n"/>
      <c r="CS873" s="588" t="n"/>
      <c r="CT873" s="588" t="n"/>
      <c r="CU873" s="588" t="n"/>
      <c r="CV873" s="588" t="n"/>
      <c r="CW873" s="588" t="n"/>
      <c r="CX873" s="588" t="n"/>
      <c r="CY873" s="588" t="n"/>
      <c r="CZ873" s="588" t="n"/>
      <c r="DA873" s="588" t="n"/>
      <c r="DB873" s="588" t="n"/>
      <c r="DC873" s="588" t="n"/>
      <c r="DD873" s="588" t="n"/>
      <c r="DE873" s="588" t="n"/>
      <c r="DF873" s="588" t="n"/>
      <c r="DG873" s="588" t="n"/>
      <c r="DH873" s="588" t="n"/>
      <c r="DI873" s="588" t="n"/>
      <c r="DJ873" s="588" t="n"/>
      <c r="DK873" s="588" t="n"/>
      <c r="DL873" s="588" t="n"/>
      <c r="DM873" s="588" t="n"/>
      <c r="DN873" s="588" t="n"/>
      <c r="DO873" s="588" t="n"/>
      <c r="DP873" s="588" t="n"/>
      <c r="DQ873" s="588" t="n"/>
      <c r="DR873" s="588" t="n"/>
      <c r="DS873" s="588" t="n"/>
      <c r="DT873" s="588" t="n"/>
      <c r="DU873" s="588" t="n"/>
    </row>
    <row r="874">
      <c r="A874" s="737" t="n"/>
      <c r="B874" s="737" t="n"/>
      <c r="C874" s="737" t="n"/>
      <c r="D874" s="737" t="n"/>
      <c r="E874" s="737" t="n"/>
      <c r="F874" s="737" t="n"/>
      <c r="G874" s="737" t="n"/>
      <c r="H874" s="737" t="n"/>
      <c r="I874" s="737" t="n"/>
      <c r="J874" s="737" t="n"/>
      <c r="K874" s="737" t="n"/>
      <c r="L874" s="737" t="n"/>
      <c r="M874" s="737" t="n"/>
      <c r="N874" s="737" t="n"/>
      <c r="O874" s="737" t="n"/>
      <c r="P874" s="737" t="n"/>
      <c r="Q874" s="737" t="n"/>
      <c r="R874" s="737" t="n"/>
      <c r="S874" s="737" t="n"/>
      <c r="T874" s="737" t="n"/>
      <c r="U874" s="737" t="n"/>
      <c r="V874" s="737" t="n"/>
      <c r="W874" s="737" t="n"/>
      <c r="X874" s="737" t="n"/>
      <c r="Y874" s="737" t="n"/>
      <c r="Z874" s="737" t="n"/>
      <c r="AA874" s="737" t="n"/>
      <c r="AB874" s="737" t="n"/>
      <c r="AC874" s="737" t="n"/>
      <c r="AD874" s="737" t="n"/>
      <c r="AE874" s="737" t="n"/>
      <c r="AF874" s="737" t="n"/>
      <c r="AG874" s="737" t="n"/>
      <c r="AH874" s="737" t="n"/>
      <c r="AI874" s="737" t="n"/>
      <c r="AJ874" s="737" t="n"/>
      <c r="AK874" s="588" t="n"/>
      <c r="AL874" s="588" t="n"/>
      <c r="AM874" s="588" t="n"/>
      <c r="AN874" s="588" t="n"/>
      <c r="AO874" s="588" t="n"/>
      <c r="AP874" s="588" t="n"/>
      <c r="AQ874" s="588" t="n"/>
      <c r="AR874" s="588" t="n"/>
      <c r="AS874" s="588" t="n"/>
      <c r="AT874" s="588" t="n"/>
      <c r="AU874" s="588" t="n"/>
      <c r="AV874" s="588" t="n"/>
      <c r="AW874" s="588" t="n"/>
      <c r="AX874" s="588" t="n"/>
      <c r="AY874" s="588" t="n"/>
      <c r="AZ874" s="588" t="n"/>
      <c r="BA874" s="588" t="n"/>
      <c r="BB874" s="588" t="n"/>
      <c r="BC874" s="588" t="n"/>
      <c r="BD874" s="588" t="n"/>
      <c r="BE874" s="588" t="n"/>
      <c r="BF874" s="588" t="n"/>
      <c r="BG874" s="588" t="n"/>
      <c r="BH874" s="588" t="n"/>
      <c r="BI874" s="588" t="n"/>
      <c r="BJ874" s="588" t="n"/>
      <c r="BK874" s="588" t="n"/>
      <c r="BL874" s="588" t="n"/>
      <c r="BM874" s="588" t="n"/>
      <c r="BN874" s="588" t="n"/>
      <c r="BO874" s="588" t="n"/>
      <c r="BP874" s="588" t="n"/>
      <c r="BQ874" s="588" t="n"/>
      <c r="BR874" s="588" t="n"/>
      <c r="BS874" s="588" t="n"/>
      <c r="BT874" s="588" t="n"/>
      <c r="BU874" s="588" t="n"/>
      <c r="BV874" s="588" t="n"/>
      <c r="BW874" s="588" t="n"/>
      <c r="BX874" s="588" t="n"/>
      <c r="BY874" s="588" t="n"/>
      <c r="BZ874" s="588" t="n"/>
      <c r="CA874" s="588" t="n"/>
      <c r="CB874" s="588" t="n"/>
      <c r="CC874" s="588" t="n"/>
      <c r="CD874" s="588" t="n"/>
      <c r="CE874" s="588" t="n"/>
      <c r="CF874" s="588" t="n"/>
      <c r="CG874" s="588" t="n"/>
      <c r="CH874" s="588" t="n"/>
      <c r="CI874" s="588" t="n"/>
      <c r="CJ874" s="588" t="n"/>
      <c r="CK874" s="588" t="n"/>
      <c r="CL874" s="588" t="n"/>
      <c r="CM874" s="588" t="n"/>
      <c r="CN874" s="588" t="n"/>
      <c r="CO874" s="588" t="n"/>
      <c r="CP874" s="588" t="n"/>
      <c r="CQ874" s="588" t="n"/>
      <c r="CR874" s="588" t="n"/>
      <c r="CS874" s="588" t="n"/>
      <c r="CT874" s="588" t="n"/>
      <c r="CU874" s="588" t="n"/>
      <c r="CV874" s="588" t="n"/>
      <c r="CW874" s="588" t="n"/>
      <c r="CX874" s="588" t="n"/>
      <c r="CY874" s="588" t="n"/>
      <c r="CZ874" s="588" t="n"/>
      <c r="DA874" s="588" t="n"/>
      <c r="DB874" s="588" t="n"/>
      <c r="DC874" s="588" t="n"/>
      <c r="DD874" s="588" t="n"/>
      <c r="DE874" s="588" t="n"/>
      <c r="DF874" s="588" t="n"/>
      <c r="DG874" s="588" t="n"/>
      <c r="DH874" s="588" t="n"/>
      <c r="DI874" s="588" t="n"/>
      <c r="DJ874" s="588" t="n"/>
      <c r="DK874" s="588" t="n"/>
      <c r="DL874" s="588" t="n"/>
      <c r="DM874" s="588" t="n"/>
      <c r="DN874" s="588" t="n"/>
      <c r="DO874" s="588" t="n"/>
      <c r="DP874" s="588" t="n"/>
      <c r="DQ874" s="588" t="n"/>
      <c r="DR874" s="588" t="n"/>
      <c r="DS874" s="588" t="n"/>
      <c r="DT874" s="588" t="n"/>
      <c r="DU874" s="588" t="n"/>
    </row>
    <row r="875">
      <c r="A875" s="737" t="n"/>
      <c r="B875" s="737" t="n"/>
      <c r="C875" s="737" t="n"/>
      <c r="D875" s="737" t="n"/>
      <c r="E875" s="737" t="n"/>
      <c r="F875" s="737" t="n"/>
      <c r="G875" s="737" t="n"/>
      <c r="H875" s="737" t="n"/>
      <c r="I875" s="737" t="n"/>
      <c r="J875" s="737" t="n"/>
      <c r="K875" s="737" t="n"/>
      <c r="L875" s="737" t="n"/>
      <c r="M875" s="737" t="n"/>
      <c r="N875" s="737" t="n"/>
      <c r="O875" s="737" t="n"/>
      <c r="P875" s="737" t="n"/>
      <c r="Q875" s="737" t="n"/>
      <c r="R875" s="737" t="n"/>
      <c r="S875" s="737" t="n"/>
      <c r="T875" s="737" t="n"/>
      <c r="U875" s="737" t="n"/>
      <c r="V875" s="737" t="n"/>
      <c r="W875" s="737" t="n"/>
      <c r="X875" s="737" t="n"/>
      <c r="Y875" s="737" t="n"/>
      <c r="Z875" s="737" t="n"/>
      <c r="AA875" s="737" t="n"/>
      <c r="AB875" s="737" t="n"/>
      <c r="AC875" s="737" t="n"/>
      <c r="AD875" s="737" t="n"/>
      <c r="AE875" s="737" t="n"/>
      <c r="AF875" s="737" t="n"/>
      <c r="AG875" s="737" t="n"/>
      <c r="AH875" s="737" t="n"/>
      <c r="AI875" s="737" t="n"/>
      <c r="AJ875" s="737" t="n"/>
      <c r="AK875" s="588" t="n"/>
      <c r="AL875" s="588" t="n"/>
      <c r="AM875" s="588" t="n"/>
      <c r="AN875" s="588" t="n"/>
      <c r="AO875" s="588" t="n"/>
      <c r="AP875" s="588" t="n"/>
      <c r="AQ875" s="588" t="n"/>
      <c r="AR875" s="588" t="n"/>
      <c r="AS875" s="588" t="n"/>
      <c r="AT875" s="588" t="n"/>
      <c r="AU875" s="588" t="n"/>
      <c r="AV875" s="588" t="n"/>
      <c r="AW875" s="588" t="n"/>
      <c r="AX875" s="588" t="n"/>
      <c r="AY875" s="588" t="n"/>
      <c r="AZ875" s="588" t="n"/>
      <c r="BA875" s="588" t="n"/>
      <c r="BB875" s="588" t="n"/>
      <c r="BC875" s="588" t="n"/>
      <c r="BD875" s="588" t="n"/>
      <c r="BE875" s="588" t="n"/>
      <c r="BF875" s="588" t="n"/>
      <c r="BG875" s="588" t="n"/>
      <c r="BH875" s="588" t="n"/>
      <c r="BI875" s="588" t="n"/>
      <c r="BJ875" s="588" t="n"/>
      <c r="BK875" s="588" t="n"/>
      <c r="BL875" s="588" t="n"/>
      <c r="BM875" s="588" t="n"/>
      <c r="BN875" s="588" t="n"/>
      <c r="BO875" s="588" t="n"/>
      <c r="BP875" s="588" t="n"/>
      <c r="BQ875" s="588" t="n"/>
      <c r="BR875" s="588" t="n"/>
      <c r="BS875" s="588" t="n"/>
      <c r="BT875" s="588" t="n"/>
      <c r="BU875" s="588" t="n"/>
      <c r="BV875" s="588" t="n"/>
      <c r="BW875" s="588" t="n"/>
      <c r="BX875" s="588" t="n"/>
      <c r="BY875" s="588" t="n"/>
      <c r="BZ875" s="588" t="n"/>
      <c r="CA875" s="588" t="n"/>
      <c r="CB875" s="588" t="n"/>
      <c r="CC875" s="588" t="n"/>
      <c r="CD875" s="588" t="n"/>
      <c r="CE875" s="588" t="n"/>
      <c r="CF875" s="588" t="n"/>
      <c r="CG875" s="588" t="n"/>
      <c r="CH875" s="588" t="n"/>
      <c r="CI875" s="588" t="n"/>
      <c r="CJ875" s="588" t="n"/>
      <c r="CK875" s="588" t="n"/>
      <c r="CL875" s="588" t="n"/>
      <c r="CM875" s="588" t="n"/>
      <c r="CN875" s="588" t="n"/>
      <c r="CO875" s="588" t="n"/>
      <c r="CP875" s="588" t="n"/>
      <c r="CQ875" s="588" t="n"/>
      <c r="CR875" s="588" t="n"/>
      <c r="CS875" s="588" t="n"/>
      <c r="CT875" s="588" t="n"/>
      <c r="CU875" s="588" t="n"/>
      <c r="CV875" s="588" t="n"/>
      <c r="CW875" s="588" t="n"/>
      <c r="CX875" s="588" t="n"/>
      <c r="CY875" s="588" t="n"/>
      <c r="CZ875" s="588" t="n"/>
      <c r="DA875" s="588" t="n"/>
      <c r="DB875" s="588" t="n"/>
      <c r="DC875" s="588" t="n"/>
      <c r="DD875" s="588" t="n"/>
      <c r="DE875" s="588" t="n"/>
      <c r="DF875" s="588" t="n"/>
      <c r="DG875" s="588" t="n"/>
      <c r="DH875" s="588" t="n"/>
      <c r="DI875" s="588" t="n"/>
      <c r="DJ875" s="588" t="n"/>
      <c r="DK875" s="588" t="n"/>
      <c r="DL875" s="588" t="n"/>
      <c r="DM875" s="588" t="n"/>
      <c r="DN875" s="588" t="n"/>
      <c r="DO875" s="588" t="n"/>
      <c r="DP875" s="588" t="n"/>
      <c r="DQ875" s="588" t="n"/>
      <c r="DR875" s="588" t="n"/>
      <c r="DS875" s="588" t="n"/>
      <c r="DT875" s="588" t="n"/>
      <c r="DU875" s="588" t="n"/>
    </row>
    <row r="876">
      <c r="A876" s="737" t="n"/>
      <c r="B876" s="737" t="n"/>
      <c r="C876" s="737" t="n"/>
      <c r="D876" s="737" t="n"/>
      <c r="E876" s="737" t="n"/>
      <c r="F876" s="737" t="n"/>
      <c r="G876" s="737" t="n"/>
      <c r="H876" s="737" t="n"/>
      <c r="I876" s="737" t="n"/>
      <c r="J876" s="737" t="n"/>
      <c r="K876" s="737" t="n"/>
      <c r="L876" s="737" t="n"/>
      <c r="M876" s="737" t="n"/>
      <c r="N876" s="737" t="n"/>
      <c r="O876" s="737" t="n"/>
      <c r="P876" s="737" t="n"/>
      <c r="Q876" s="737" t="n"/>
      <c r="R876" s="737" t="n"/>
      <c r="S876" s="737" t="n"/>
      <c r="T876" s="737" t="n"/>
      <c r="U876" s="737" t="n"/>
      <c r="V876" s="737" t="n"/>
      <c r="W876" s="737" t="n"/>
      <c r="X876" s="737" t="n"/>
      <c r="Y876" s="737" t="n"/>
      <c r="Z876" s="737" t="n"/>
      <c r="AA876" s="737" t="n"/>
      <c r="AB876" s="737" t="n"/>
      <c r="AC876" s="737" t="n"/>
      <c r="AD876" s="737" t="n"/>
      <c r="AE876" s="737" t="n"/>
      <c r="AF876" s="737" t="n"/>
      <c r="AG876" s="737" t="n"/>
      <c r="AH876" s="737" t="n"/>
      <c r="AI876" s="737" t="n"/>
      <c r="AJ876" s="737" t="n"/>
      <c r="AK876" s="588" t="n"/>
      <c r="AL876" s="588" t="n"/>
      <c r="AM876" s="588" t="n"/>
      <c r="AN876" s="588" t="n"/>
      <c r="AO876" s="588" t="n"/>
      <c r="AP876" s="588" t="n"/>
      <c r="AQ876" s="588" t="n"/>
      <c r="AR876" s="588" t="n"/>
      <c r="AS876" s="588" t="n"/>
      <c r="AT876" s="588" t="n"/>
      <c r="AU876" s="588" t="n"/>
      <c r="AV876" s="588" t="n"/>
      <c r="AW876" s="588" t="n"/>
      <c r="AX876" s="588" t="n"/>
      <c r="AY876" s="588" t="n"/>
      <c r="AZ876" s="588" t="n"/>
      <c r="BA876" s="588" t="n"/>
      <c r="BB876" s="588" t="n"/>
      <c r="BC876" s="588" t="n"/>
      <c r="BD876" s="588" t="n"/>
      <c r="BE876" s="588" t="n"/>
      <c r="BF876" s="588" t="n"/>
      <c r="BG876" s="588" t="n"/>
      <c r="BH876" s="588" t="n"/>
      <c r="BI876" s="588" t="n"/>
      <c r="BJ876" s="588" t="n"/>
      <c r="BK876" s="588" t="n"/>
      <c r="BL876" s="588" t="n"/>
      <c r="BM876" s="588" t="n"/>
      <c r="BN876" s="588" t="n"/>
      <c r="BO876" s="588" t="n"/>
      <c r="BP876" s="588" t="n"/>
      <c r="BQ876" s="588" t="n"/>
      <c r="BR876" s="588" t="n"/>
      <c r="BS876" s="588" t="n"/>
      <c r="BT876" s="588" t="n"/>
      <c r="BU876" s="588" t="n"/>
      <c r="BV876" s="588" t="n"/>
      <c r="BW876" s="588" t="n"/>
      <c r="BX876" s="588" t="n"/>
      <c r="BY876" s="588" t="n"/>
      <c r="BZ876" s="588" t="n"/>
      <c r="CA876" s="588" t="n"/>
      <c r="CB876" s="588" t="n"/>
      <c r="CC876" s="588" t="n"/>
      <c r="CD876" s="588" t="n"/>
      <c r="CE876" s="588" t="n"/>
      <c r="CF876" s="588" t="n"/>
      <c r="CG876" s="588" t="n"/>
      <c r="CH876" s="588" t="n"/>
      <c r="CI876" s="588" t="n"/>
      <c r="CJ876" s="588" t="n"/>
      <c r="CK876" s="588" t="n"/>
      <c r="CL876" s="588" t="n"/>
      <c r="CM876" s="588" t="n"/>
      <c r="CN876" s="588" t="n"/>
      <c r="CO876" s="588" t="n"/>
      <c r="CP876" s="588" t="n"/>
      <c r="CQ876" s="588" t="n"/>
      <c r="CR876" s="588" t="n"/>
      <c r="CS876" s="588" t="n"/>
      <c r="CT876" s="588" t="n"/>
      <c r="CU876" s="588" t="n"/>
      <c r="CV876" s="588" t="n"/>
      <c r="CW876" s="588" t="n"/>
      <c r="CX876" s="588" t="n"/>
      <c r="CY876" s="588" t="n"/>
      <c r="CZ876" s="588" t="n"/>
      <c r="DA876" s="588" t="n"/>
      <c r="DB876" s="588" t="n"/>
      <c r="DC876" s="588" t="n"/>
      <c r="DD876" s="588" t="n"/>
      <c r="DE876" s="588" t="n"/>
      <c r="DF876" s="588" t="n"/>
      <c r="DG876" s="588" t="n"/>
      <c r="DH876" s="588" t="n"/>
      <c r="DI876" s="588" t="n"/>
      <c r="DJ876" s="588" t="n"/>
      <c r="DK876" s="588" t="n"/>
      <c r="DL876" s="588" t="n"/>
      <c r="DM876" s="588" t="n"/>
      <c r="DN876" s="588" t="n"/>
      <c r="DO876" s="588" t="n"/>
      <c r="DP876" s="588" t="n"/>
      <c r="DQ876" s="588" t="n"/>
      <c r="DR876" s="588" t="n"/>
      <c r="DS876" s="588" t="n"/>
      <c r="DT876" s="588" t="n"/>
      <c r="DU876" s="588" t="n"/>
    </row>
    <row r="877">
      <c r="A877" s="737" t="n"/>
      <c r="B877" s="737" t="n"/>
      <c r="C877" s="737" t="n"/>
      <c r="D877" s="737" t="n"/>
      <c r="E877" s="737" t="n"/>
      <c r="F877" s="737" t="n"/>
      <c r="G877" s="737" t="n"/>
      <c r="H877" s="737" t="n"/>
      <c r="I877" s="737" t="n"/>
      <c r="J877" s="737" t="n"/>
      <c r="K877" s="737" t="n"/>
      <c r="L877" s="737" t="n"/>
      <c r="M877" s="737" t="n"/>
      <c r="N877" s="737" t="n"/>
      <c r="O877" s="737" t="n"/>
      <c r="P877" s="737" t="n"/>
      <c r="Q877" s="737" t="n"/>
      <c r="R877" s="737" t="n"/>
      <c r="S877" s="737" t="n"/>
      <c r="T877" s="737" t="n"/>
      <c r="U877" s="737" t="n"/>
      <c r="V877" s="737" t="n"/>
      <c r="W877" s="737" t="n"/>
      <c r="X877" s="737" t="n"/>
      <c r="Y877" s="737" t="n"/>
      <c r="Z877" s="737" t="n"/>
      <c r="AA877" s="737" t="n"/>
      <c r="AB877" s="737" t="n"/>
      <c r="AC877" s="737" t="n"/>
      <c r="AD877" s="737" t="n"/>
      <c r="AE877" s="737" t="n"/>
      <c r="AF877" s="737" t="n"/>
      <c r="AG877" s="737" t="n"/>
      <c r="AH877" s="737" t="n"/>
      <c r="AI877" s="737" t="n"/>
      <c r="AJ877" s="737" t="n"/>
      <c r="AK877" s="588" t="n"/>
      <c r="AL877" s="588" t="n"/>
      <c r="AM877" s="588" t="n"/>
      <c r="AN877" s="588" t="n"/>
      <c r="AO877" s="588" t="n"/>
      <c r="AP877" s="588" t="n"/>
      <c r="AQ877" s="588" t="n"/>
      <c r="AR877" s="588" t="n"/>
      <c r="AS877" s="588" t="n"/>
      <c r="AT877" s="588" t="n"/>
      <c r="AU877" s="588" t="n"/>
      <c r="AV877" s="588" t="n"/>
      <c r="AW877" s="588" t="n"/>
      <c r="AX877" s="588" t="n"/>
      <c r="AY877" s="588" t="n"/>
      <c r="AZ877" s="588" t="n"/>
      <c r="BA877" s="588" t="n"/>
      <c r="BB877" s="588" t="n"/>
      <c r="BC877" s="588" t="n"/>
      <c r="BD877" s="588" t="n"/>
      <c r="BE877" s="588" t="n"/>
      <c r="BF877" s="588" t="n"/>
      <c r="BG877" s="588" t="n"/>
      <c r="BH877" s="588" t="n"/>
      <c r="BI877" s="588" t="n"/>
      <c r="BJ877" s="588" t="n"/>
      <c r="BK877" s="588" t="n"/>
      <c r="BL877" s="588" t="n"/>
      <c r="BM877" s="588" t="n"/>
      <c r="BN877" s="588" t="n"/>
      <c r="BO877" s="588" t="n"/>
      <c r="BP877" s="588" t="n"/>
      <c r="BQ877" s="588" t="n"/>
      <c r="BR877" s="588" t="n"/>
      <c r="BS877" s="588" t="n"/>
      <c r="BT877" s="588" t="n"/>
      <c r="BU877" s="588" t="n"/>
      <c r="BV877" s="588" t="n"/>
      <c r="BW877" s="588" t="n"/>
      <c r="BX877" s="588" t="n"/>
      <c r="BY877" s="588" t="n"/>
      <c r="BZ877" s="588" t="n"/>
      <c r="CA877" s="588" t="n"/>
      <c r="CB877" s="588" t="n"/>
      <c r="CC877" s="588" t="n"/>
      <c r="CD877" s="588" t="n"/>
      <c r="CE877" s="588" t="n"/>
      <c r="CF877" s="588" t="n"/>
      <c r="CG877" s="588" t="n"/>
      <c r="CH877" s="588" t="n"/>
      <c r="CI877" s="588" t="n"/>
      <c r="CJ877" s="588" t="n"/>
      <c r="CK877" s="588" t="n"/>
      <c r="CL877" s="588" t="n"/>
      <c r="CM877" s="588" t="n"/>
      <c r="CN877" s="588" t="n"/>
      <c r="CO877" s="588" t="n"/>
      <c r="CP877" s="588" t="n"/>
      <c r="CQ877" s="588" t="n"/>
      <c r="CR877" s="588" t="n"/>
      <c r="CS877" s="588" t="n"/>
      <c r="CT877" s="588" t="n"/>
      <c r="CU877" s="588" t="n"/>
      <c r="CV877" s="588" t="n"/>
      <c r="CW877" s="588" t="n"/>
      <c r="CX877" s="588" t="n"/>
      <c r="CY877" s="588" t="n"/>
      <c r="CZ877" s="588" t="n"/>
      <c r="DA877" s="588" t="n"/>
      <c r="DB877" s="588" t="n"/>
      <c r="DC877" s="588" t="n"/>
      <c r="DD877" s="588" t="n"/>
      <c r="DE877" s="588" t="n"/>
      <c r="DF877" s="588" t="n"/>
      <c r="DG877" s="588" t="n"/>
      <c r="DH877" s="588" t="n"/>
      <c r="DI877" s="588" t="n"/>
      <c r="DJ877" s="588" t="n"/>
      <c r="DK877" s="588" t="n"/>
      <c r="DL877" s="588" t="n"/>
      <c r="DM877" s="588" t="n"/>
      <c r="DN877" s="588" t="n"/>
      <c r="DO877" s="588" t="n"/>
      <c r="DP877" s="588" t="n"/>
      <c r="DQ877" s="588" t="n"/>
      <c r="DR877" s="588" t="n"/>
      <c r="DS877" s="588" t="n"/>
      <c r="DT877" s="588" t="n"/>
      <c r="DU877" s="588" t="n"/>
    </row>
    <row r="878">
      <c r="A878" s="737" t="n"/>
      <c r="B878" s="737" t="n"/>
      <c r="C878" s="737" t="n"/>
      <c r="D878" s="737" t="n"/>
      <c r="E878" s="737" t="n"/>
      <c r="F878" s="737" t="n"/>
      <c r="G878" s="737" t="n"/>
      <c r="H878" s="737" t="n"/>
      <c r="I878" s="737" t="n"/>
      <c r="J878" s="737" t="n"/>
      <c r="K878" s="737" t="n"/>
      <c r="L878" s="737" t="n"/>
      <c r="M878" s="737" t="n"/>
      <c r="N878" s="737" t="n"/>
      <c r="O878" s="737" t="n"/>
      <c r="P878" s="737" t="n"/>
      <c r="Q878" s="737" t="n"/>
      <c r="R878" s="737" t="n"/>
      <c r="S878" s="737" t="n"/>
      <c r="T878" s="737" t="n"/>
      <c r="U878" s="737" t="n"/>
      <c r="V878" s="737" t="n"/>
      <c r="W878" s="737" t="n"/>
      <c r="X878" s="737" t="n"/>
      <c r="Y878" s="737" t="n"/>
      <c r="Z878" s="737" t="n"/>
      <c r="AA878" s="737" t="n"/>
      <c r="AB878" s="737" t="n"/>
      <c r="AC878" s="737" t="n"/>
      <c r="AD878" s="737" t="n"/>
      <c r="AE878" s="737" t="n"/>
      <c r="AF878" s="737" t="n"/>
      <c r="AG878" s="737" t="n"/>
      <c r="AH878" s="737" t="n"/>
      <c r="AI878" s="737" t="n"/>
      <c r="AJ878" s="737" t="n"/>
      <c r="AK878" s="588" t="n"/>
      <c r="AL878" s="588" t="n"/>
      <c r="AM878" s="588" t="n"/>
      <c r="AN878" s="588" t="n"/>
      <c r="AO878" s="588" t="n"/>
      <c r="AP878" s="588" t="n"/>
      <c r="AQ878" s="588" t="n"/>
      <c r="AR878" s="588" t="n"/>
      <c r="AS878" s="588" t="n"/>
      <c r="AT878" s="588" t="n"/>
      <c r="AU878" s="588" t="n"/>
      <c r="AV878" s="588" t="n"/>
      <c r="AW878" s="588" t="n"/>
      <c r="AX878" s="588" t="n"/>
      <c r="AY878" s="588" t="n"/>
      <c r="AZ878" s="588" t="n"/>
      <c r="BA878" s="588" t="n"/>
      <c r="BB878" s="588" t="n"/>
      <c r="BC878" s="588" t="n"/>
      <c r="BD878" s="588" t="n"/>
      <c r="BE878" s="588" t="n"/>
      <c r="BF878" s="588" t="n"/>
      <c r="BG878" s="588" t="n"/>
      <c r="BH878" s="588" t="n"/>
      <c r="BI878" s="588" t="n"/>
      <c r="BJ878" s="588" t="n"/>
      <c r="BK878" s="588" t="n"/>
      <c r="BL878" s="588" t="n"/>
      <c r="BM878" s="588" t="n"/>
      <c r="BN878" s="588" t="n"/>
      <c r="BO878" s="588" t="n"/>
      <c r="BP878" s="588" t="n"/>
      <c r="BQ878" s="588" t="n"/>
      <c r="BR878" s="588" t="n"/>
      <c r="BS878" s="588" t="n"/>
      <c r="BT878" s="588" t="n"/>
      <c r="BU878" s="588" t="n"/>
      <c r="BV878" s="588" t="n"/>
      <c r="BW878" s="588" t="n"/>
      <c r="BX878" s="588" t="n"/>
      <c r="BY878" s="588" t="n"/>
      <c r="BZ878" s="588" t="n"/>
      <c r="CA878" s="588" t="n"/>
      <c r="CB878" s="588" t="n"/>
      <c r="CC878" s="588" t="n"/>
      <c r="CD878" s="588" t="n"/>
      <c r="CE878" s="588" t="n"/>
      <c r="CF878" s="588" t="n"/>
      <c r="CG878" s="588" t="n"/>
      <c r="CH878" s="588" t="n"/>
      <c r="CI878" s="588" t="n"/>
      <c r="CJ878" s="588" t="n"/>
      <c r="CK878" s="588" t="n"/>
      <c r="CL878" s="588" t="n"/>
      <c r="CM878" s="588" t="n"/>
      <c r="CN878" s="588" t="n"/>
      <c r="CO878" s="588" t="n"/>
      <c r="CP878" s="588" t="n"/>
      <c r="CQ878" s="588" t="n"/>
      <c r="CR878" s="588" t="n"/>
      <c r="CS878" s="588" t="n"/>
      <c r="CT878" s="588" t="n"/>
      <c r="CU878" s="588" t="n"/>
      <c r="CV878" s="588" t="n"/>
      <c r="CW878" s="588" t="n"/>
      <c r="CX878" s="588" t="n"/>
      <c r="CY878" s="588" t="n"/>
      <c r="CZ878" s="588" t="n"/>
      <c r="DA878" s="588" t="n"/>
      <c r="DB878" s="588" t="n"/>
      <c r="DC878" s="588" t="n"/>
      <c r="DD878" s="588" t="n"/>
      <c r="DE878" s="588" t="n"/>
      <c r="DF878" s="588" t="n"/>
      <c r="DG878" s="588" t="n"/>
      <c r="DH878" s="588" t="n"/>
      <c r="DI878" s="588" t="n"/>
      <c r="DJ878" s="588" t="n"/>
      <c r="DK878" s="588" t="n"/>
      <c r="DL878" s="588" t="n"/>
      <c r="DM878" s="588" t="n"/>
      <c r="DN878" s="588" t="n"/>
      <c r="DO878" s="588" t="n"/>
      <c r="DP878" s="588" t="n"/>
      <c r="DQ878" s="588" t="n"/>
      <c r="DR878" s="588" t="n"/>
      <c r="DS878" s="588" t="n"/>
      <c r="DT878" s="588" t="n"/>
      <c r="DU878" s="588" t="n"/>
    </row>
    <row r="879">
      <c r="A879" s="737" t="n"/>
      <c r="B879" s="737" t="n"/>
      <c r="C879" s="737" t="n"/>
      <c r="D879" s="737" t="n"/>
      <c r="E879" s="737" t="n"/>
      <c r="F879" s="737" t="n"/>
      <c r="G879" s="737" t="n"/>
      <c r="H879" s="737" t="n"/>
      <c r="I879" s="737" t="n"/>
      <c r="J879" s="737" t="n"/>
      <c r="K879" s="737" t="n"/>
      <c r="L879" s="737" t="n"/>
      <c r="M879" s="737" t="n"/>
      <c r="N879" s="737" t="n"/>
      <c r="O879" s="737" t="n"/>
      <c r="P879" s="737" t="n"/>
      <c r="Q879" s="737" t="n"/>
      <c r="R879" s="737" t="n"/>
      <c r="S879" s="737" t="n"/>
      <c r="T879" s="737" t="n"/>
      <c r="U879" s="737" t="n"/>
      <c r="V879" s="737" t="n"/>
      <c r="W879" s="737" t="n"/>
      <c r="X879" s="737" t="n"/>
      <c r="Y879" s="737" t="n"/>
      <c r="Z879" s="737" t="n"/>
      <c r="AA879" s="737" t="n"/>
      <c r="AB879" s="737" t="n"/>
      <c r="AC879" s="737" t="n"/>
      <c r="AD879" s="737" t="n"/>
      <c r="AE879" s="737" t="n"/>
      <c r="AF879" s="737" t="n"/>
      <c r="AG879" s="737" t="n"/>
      <c r="AH879" s="737" t="n"/>
      <c r="AI879" s="737" t="n"/>
      <c r="AJ879" s="737" t="n"/>
      <c r="AK879" s="588" t="n"/>
      <c r="AL879" s="588" t="n"/>
      <c r="AM879" s="588" t="n"/>
      <c r="AN879" s="588" t="n"/>
      <c r="AO879" s="588" t="n"/>
      <c r="AP879" s="588" t="n"/>
      <c r="AQ879" s="588" t="n"/>
      <c r="AR879" s="588" t="n"/>
      <c r="AS879" s="588" t="n"/>
      <c r="AT879" s="588" t="n"/>
      <c r="AU879" s="588" t="n"/>
      <c r="AV879" s="588" t="n"/>
      <c r="AW879" s="588" t="n"/>
      <c r="AX879" s="588" t="n"/>
      <c r="AY879" s="588" t="n"/>
      <c r="AZ879" s="588" t="n"/>
      <c r="BA879" s="588" t="n"/>
      <c r="BB879" s="588" t="n"/>
      <c r="BC879" s="588" t="n"/>
      <c r="BD879" s="588" t="n"/>
      <c r="BE879" s="588" t="n"/>
      <c r="BF879" s="588" t="n"/>
      <c r="BG879" s="588" t="n"/>
      <c r="BH879" s="588" t="n"/>
      <c r="BI879" s="588" t="n"/>
      <c r="BJ879" s="588" t="n"/>
      <c r="BK879" s="588" t="n"/>
      <c r="BL879" s="588" t="n"/>
      <c r="BM879" s="588" t="n"/>
      <c r="BN879" s="588" t="n"/>
      <c r="BO879" s="588" t="n"/>
      <c r="BP879" s="588" t="n"/>
      <c r="BQ879" s="588" t="n"/>
      <c r="BR879" s="588" t="n"/>
      <c r="BS879" s="588" t="n"/>
      <c r="BT879" s="588" t="n"/>
      <c r="BU879" s="588" t="n"/>
      <c r="BV879" s="588" t="n"/>
      <c r="BW879" s="588" t="n"/>
      <c r="BX879" s="588" t="n"/>
      <c r="BY879" s="588" t="n"/>
      <c r="BZ879" s="588" t="n"/>
      <c r="CA879" s="588" t="n"/>
      <c r="CB879" s="588" t="n"/>
      <c r="CC879" s="588" t="n"/>
      <c r="CD879" s="588" t="n"/>
      <c r="CE879" s="588" t="n"/>
      <c r="CF879" s="588" t="n"/>
      <c r="CG879" s="588" t="n"/>
      <c r="CH879" s="588" t="n"/>
      <c r="CI879" s="588" t="n"/>
      <c r="CJ879" s="588" t="n"/>
      <c r="CK879" s="588" t="n"/>
      <c r="CL879" s="588" t="n"/>
      <c r="CM879" s="588" t="n"/>
      <c r="CN879" s="588" t="n"/>
      <c r="CO879" s="588" t="n"/>
      <c r="CP879" s="588" t="n"/>
      <c r="CQ879" s="588" t="n"/>
      <c r="CR879" s="588" t="n"/>
      <c r="CS879" s="588" t="n"/>
      <c r="CT879" s="588" t="n"/>
      <c r="CU879" s="588" t="n"/>
      <c r="CV879" s="588" t="n"/>
      <c r="CW879" s="588" t="n"/>
      <c r="CX879" s="588" t="n"/>
      <c r="CY879" s="588" t="n"/>
      <c r="CZ879" s="588" t="n"/>
      <c r="DA879" s="588" t="n"/>
      <c r="DB879" s="588" t="n"/>
      <c r="DC879" s="588" t="n"/>
      <c r="DD879" s="588" t="n"/>
      <c r="DE879" s="588" t="n"/>
      <c r="DF879" s="588" t="n"/>
      <c r="DG879" s="588" t="n"/>
      <c r="DH879" s="588" t="n"/>
      <c r="DI879" s="588" t="n"/>
      <c r="DJ879" s="588" t="n"/>
      <c r="DK879" s="588" t="n"/>
      <c r="DL879" s="588" t="n"/>
      <c r="DM879" s="588" t="n"/>
      <c r="DN879" s="588" t="n"/>
      <c r="DO879" s="588" t="n"/>
      <c r="DP879" s="588" t="n"/>
      <c r="DQ879" s="588" t="n"/>
      <c r="DR879" s="588" t="n"/>
      <c r="DS879" s="588" t="n"/>
      <c r="DT879" s="588" t="n"/>
      <c r="DU879" s="588" t="n"/>
    </row>
    <row r="880">
      <c r="A880" s="737" t="n"/>
      <c r="B880" s="737" t="n"/>
      <c r="C880" s="737" t="n"/>
      <c r="D880" s="737" t="n"/>
      <c r="E880" s="737" t="n"/>
      <c r="F880" s="737" t="n"/>
      <c r="G880" s="737" t="n"/>
      <c r="H880" s="737" t="n"/>
      <c r="I880" s="737" t="n"/>
      <c r="J880" s="737" t="n"/>
      <c r="K880" s="737" t="n"/>
      <c r="L880" s="737" t="n"/>
      <c r="M880" s="737" t="n"/>
      <c r="N880" s="737" t="n"/>
      <c r="O880" s="737" t="n"/>
      <c r="P880" s="737" t="n"/>
      <c r="Q880" s="737" t="n"/>
      <c r="R880" s="737" t="n"/>
      <c r="S880" s="737" t="n"/>
      <c r="T880" s="737" t="n"/>
      <c r="U880" s="737" t="n"/>
      <c r="V880" s="737" t="n"/>
      <c r="W880" s="737" t="n"/>
      <c r="X880" s="737" t="n"/>
      <c r="Y880" s="737" t="n"/>
      <c r="Z880" s="737" t="n"/>
      <c r="AA880" s="737" t="n"/>
      <c r="AB880" s="737" t="n"/>
      <c r="AC880" s="737" t="n"/>
      <c r="AD880" s="737" t="n"/>
      <c r="AE880" s="737" t="n"/>
      <c r="AF880" s="737" t="n"/>
      <c r="AG880" s="737" t="n"/>
      <c r="AH880" s="737" t="n"/>
      <c r="AI880" s="737" t="n"/>
      <c r="AJ880" s="737" t="n"/>
      <c r="AK880" s="588" t="n"/>
      <c r="AL880" s="588" t="n"/>
      <c r="AM880" s="588" t="n"/>
      <c r="AN880" s="588" t="n"/>
      <c r="AO880" s="588" t="n"/>
      <c r="AP880" s="588" t="n"/>
      <c r="AQ880" s="588" t="n"/>
      <c r="AR880" s="588" t="n"/>
      <c r="AS880" s="588" t="n"/>
      <c r="AT880" s="588" t="n"/>
      <c r="AU880" s="588" t="n"/>
      <c r="AV880" s="588" t="n"/>
      <c r="AW880" s="588" t="n"/>
      <c r="AX880" s="588" t="n"/>
      <c r="AY880" s="588" t="n"/>
      <c r="AZ880" s="588" t="n"/>
      <c r="BA880" s="588" t="n"/>
      <c r="BB880" s="588" t="n"/>
      <c r="BC880" s="588" t="n"/>
      <c r="BD880" s="588" t="n"/>
      <c r="BE880" s="588" t="n"/>
      <c r="BF880" s="588" t="n"/>
      <c r="BG880" s="588" t="n"/>
      <c r="BH880" s="588" t="n"/>
      <c r="BI880" s="588" t="n"/>
      <c r="BJ880" s="588" t="n"/>
      <c r="BK880" s="588" t="n"/>
      <c r="BL880" s="588" t="n"/>
      <c r="BM880" s="588" t="n"/>
      <c r="BN880" s="588" t="n"/>
      <c r="BO880" s="588" t="n"/>
      <c r="BP880" s="588" t="n"/>
      <c r="BQ880" s="588" t="n"/>
      <c r="BR880" s="588" t="n"/>
      <c r="BS880" s="588" t="n"/>
      <c r="BT880" s="588" t="n"/>
      <c r="BU880" s="588" t="n"/>
      <c r="BV880" s="588" t="n"/>
      <c r="BW880" s="588" t="n"/>
      <c r="BX880" s="588" t="n"/>
      <c r="BY880" s="588" t="n"/>
      <c r="BZ880" s="588" t="n"/>
      <c r="CA880" s="588" t="n"/>
      <c r="CB880" s="588" t="n"/>
      <c r="CC880" s="588" t="n"/>
      <c r="CD880" s="588" t="n"/>
      <c r="CE880" s="588" t="n"/>
      <c r="CF880" s="588" t="n"/>
      <c r="CG880" s="588" t="n"/>
      <c r="CH880" s="588" t="n"/>
      <c r="CI880" s="588" t="n"/>
      <c r="CJ880" s="588" t="n"/>
      <c r="CK880" s="588" t="n"/>
      <c r="CL880" s="588" t="n"/>
      <c r="CM880" s="588" t="n"/>
      <c r="CN880" s="588" t="n"/>
      <c r="CO880" s="588" t="n"/>
      <c r="CP880" s="588" t="n"/>
      <c r="CQ880" s="588" t="n"/>
      <c r="CR880" s="588" t="n"/>
      <c r="CS880" s="588" t="n"/>
      <c r="CT880" s="588" t="n"/>
      <c r="CU880" s="588" t="n"/>
      <c r="CV880" s="588" t="n"/>
      <c r="CW880" s="588" t="n"/>
      <c r="CX880" s="588" t="n"/>
      <c r="CY880" s="588" t="n"/>
      <c r="CZ880" s="588" t="n"/>
      <c r="DA880" s="588" t="n"/>
      <c r="DB880" s="588" t="n"/>
      <c r="DC880" s="588" t="n"/>
      <c r="DD880" s="588" t="n"/>
      <c r="DE880" s="588" t="n"/>
      <c r="DF880" s="588" t="n"/>
      <c r="DG880" s="588" t="n"/>
      <c r="DH880" s="588" t="n"/>
      <c r="DI880" s="588" t="n"/>
      <c r="DJ880" s="588" t="n"/>
      <c r="DK880" s="588" t="n"/>
      <c r="DL880" s="588" t="n"/>
      <c r="DM880" s="588" t="n"/>
      <c r="DN880" s="588" t="n"/>
      <c r="DO880" s="588" t="n"/>
      <c r="DP880" s="588" t="n"/>
      <c r="DQ880" s="588" t="n"/>
      <c r="DR880" s="588" t="n"/>
      <c r="DS880" s="588" t="n"/>
      <c r="DT880" s="588" t="n"/>
      <c r="DU880" s="588" t="n"/>
    </row>
    <row r="881">
      <c r="A881" s="737" t="n"/>
      <c r="B881" s="737" t="n"/>
      <c r="C881" s="737" t="n"/>
      <c r="D881" s="737" t="n"/>
      <c r="E881" s="737" t="n"/>
      <c r="F881" s="737" t="n"/>
      <c r="G881" s="737" t="n"/>
      <c r="H881" s="737" t="n"/>
      <c r="I881" s="737" t="n"/>
      <c r="J881" s="737" t="n"/>
      <c r="K881" s="737" t="n"/>
      <c r="L881" s="737" t="n"/>
      <c r="M881" s="737" t="n"/>
      <c r="N881" s="737" t="n"/>
      <c r="O881" s="737" t="n"/>
      <c r="P881" s="737" t="n"/>
      <c r="Q881" s="737" t="n"/>
      <c r="R881" s="737" t="n"/>
      <c r="S881" s="737" t="n"/>
      <c r="T881" s="737" t="n"/>
      <c r="U881" s="737" t="n"/>
      <c r="V881" s="737" t="n"/>
      <c r="W881" s="737" t="n"/>
      <c r="X881" s="737" t="n"/>
      <c r="Y881" s="737" t="n"/>
      <c r="Z881" s="737" t="n"/>
      <c r="AA881" s="737" t="n"/>
      <c r="AB881" s="737" t="n"/>
      <c r="AC881" s="737" t="n"/>
      <c r="AD881" s="737" t="n"/>
      <c r="AE881" s="737" t="n"/>
      <c r="AF881" s="737" t="n"/>
      <c r="AG881" s="737" t="n"/>
      <c r="AH881" s="737" t="n"/>
      <c r="AI881" s="737" t="n"/>
      <c r="AJ881" s="737" t="n"/>
      <c r="AK881" s="588" t="n"/>
      <c r="AL881" s="588" t="n"/>
      <c r="AM881" s="588" t="n"/>
      <c r="AN881" s="588" t="n"/>
      <c r="AO881" s="588" t="n"/>
      <c r="AP881" s="588" t="n"/>
      <c r="AQ881" s="588" t="n"/>
      <c r="AR881" s="588" t="n"/>
      <c r="AS881" s="588" t="n"/>
      <c r="AT881" s="588" t="n"/>
      <c r="AU881" s="588" t="n"/>
      <c r="AV881" s="588" t="n"/>
      <c r="AW881" s="588" t="n"/>
      <c r="AX881" s="588" t="n"/>
      <c r="AY881" s="588" t="n"/>
      <c r="AZ881" s="588" t="n"/>
      <c r="BA881" s="588" t="n"/>
      <c r="BB881" s="588" t="n"/>
      <c r="BC881" s="588" t="n"/>
      <c r="BD881" s="588" t="n"/>
      <c r="BE881" s="588" t="n"/>
      <c r="BF881" s="588" t="n"/>
      <c r="BG881" s="588" t="n"/>
      <c r="BH881" s="588" t="n"/>
      <c r="BI881" s="588" t="n"/>
      <c r="BJ881" s="588" t="n"/>
      <c r="BK881" s="588" t="n"/>
      <c r="BL881" s="588" t="n"/>
      <c r="BM881" s="588" t="n"/>
      <c r="BN881" s="588" t="n"/>
      <c r="BO881" s="588" t="n"/>
      <c r="BP881" s="588" t="n"/>
      <c r="BQ881" s="588" t="n"/>
      <c r="BR881" s="588" t="n"/>
      <c r="BS881" s="588" t="n"/>
      <c r="BT881" s="588" t="n"/>
      <c r="BU881" s="588" t="n"/>
      <c r="BV881" s="588" t="n"/>
      <c r="BW881" s="588" t="n"/>
      <c r="BX881" s="588" t="n"/>
      <c r="BY881" s="588" t="n"/>
      <c r="BZ881" s="588" t="n"/>
      <c r="CA881" s="588" t="n"/>
      <c r="CB881" s="588" t="n"/>
      <c r="CC881" s="588" t="n"/>
      <c r="CD881" s="588" t="n"/>
      <c r="CE881" s="588" t="n"/>
      <c r="CF881" s="588" t="n"/>
      <c r="CG881" s="588" t="n"/>
      <c r="CH881" s="588" t="n"/>
      <c r="CI881" s="588" t="n"/>
      <c r="CJ881" s="588" t="n"/>
      <c r="CK881" s="588" t="n"/>
      <c r="CL881" s="588" t="n"/>
      <c r="CM881" s="588" t="n"/>
      <c r="CN881" s="588" t="n"/>
      <c r="CO881" s="588" t="n"/>
      <c r="CP881" s="588" t="n"/>
      <c r="CQ881" s="588" t="n"/>
      <c r="CR881" s="588" t="n"/>
      <c r="CS881" s="588" t="n"/>
      <c r="CT881" s="588" t="n"/>
      <c r="CU881" s="588" t="n"/>
      <c r="CV881" s="588" t="n"/>
      <c r="CW881" s="588" t="n"/>
      <c r="CX881" s="588" t="n"/>
      <c r="CY881" s="588" t="n"/>
      <c r="CZ881" s="588" t="n"/>
      <c r="DA881" s="588" t="n"/>
      <c r="DB881" s="588" t="n"/>
      <c r="DC881" s="588" t="n"/>
      <c r="DD881" s="588" t="n"/>
      <c r="DE881" s="588" t="n"/>
      <c r="DF881" s="588" t="n"/>
      <c r="DG881" s="588" t="n"/>
      <c r="DH881" s="588" t="n"/>
      <c r="DI881" s="588" t="n"/>
      <c r="DJ881" s="588" t="n"/>
      <c r="DK881" s="588" t="n"/>
      <c r="DL881" s="588" t="n"/>
      <c r="DM881" s="588" t="n"/>
      <c r="DN881" s="588" t="n"/>
      <c r="DO881" s="588" t="n"/>
      <c r="DP881" s="588" t="n"/>
      <c r="DQ881" s="588" t="n"/>
      <c r="DR881" s="588" t="n"/>
      <c r="DS881" s="588" t="n"/>
      <c r="DT881" s="588" t="n"/>
      <c r="DU881" s="588" t="n"/>
    </row>
    <row r="882">
      <c r="A882" s="737" t="n"/>
      <c r="B882" s="737" t="n"/>
      <c r="C882" s="737" t="n"/>
      <c r="D882" s="737" t="n"/>
      <c r="E882" s="737" t="n"/>
      <c r="F882" s="737" t="n"/>
      <c r="G882" s="737" t="n"/>
      <c r="H882" s="737" t="n"/>
      <c r="I882" s="737" t="n"/>
      <c r="J882" s="737" t="n"/>
      <c r="K882" s="737" t="n"/>
      <c r="L882" s="737" t="n"/>
      <c r="M882" s="737" t="n"/>
      <c r="N882" s="737" t="n"/>
      <c r="O882" s="737" t="n"/>
      <c r="P882" s="737" t="n"/>
      <c r="Q882" s="737" t="n"/>
      <c r="R882" s="737" t="n"/>
      <c r="S882" s="737" t="n"/>
      <c r="T882" s="737" t="n"/>
      <c r="U882" s="737" t="n"/>
      <c r="V882" s="737" t="n"/>
      <c r="W882" s="737" t="n"/>
      <c r="X882" s="737" t="n"/>
      <c r="Y882" s="737" t="n"/>
      <c r="Z882" s="737" t="n"/>
      <c r="AA882" s="737" t="n"/>
      <c r="AB882" s="737" t="n"/>
      <c r="AC882" s="737" t="n"/>
      <c r="AD882" s="737" t="n"/>
      <c r="AE882" s="737" t="n"/>
      <c r="AF882" s="737" t="n"/>
      <c r="AG882" s="737" t="n"/>
      <c r="AH882" s="737" t="n"/>
      <c r="AI882" s="737" t="n"/>
      <c r="AJ882" s="737" t="n"/>
      <c r="AK882" s="588" t="n"/>
      <c r="AL882" s="588" t="n"/>
      <c r="AM882" s="588" t="n"/>
      <c r="AN882" s="588" t="n"/>
      <c r="AO882" s="588" t="n"/>
      <c r="AP882" s="588" t="n"/>
      <c r="AQ882" s="588" t="n"/>
      <c r="AR882" s="588" t="n"/>
      <c r="AS882" s="588" t="n"/>
      <c r="AT882" s="588" t="n"/>
      <c r="AU882" s="588" t="n"/>
      <c r="AV882" s="588" t="n"/>
      <c r="AW882" s="588" t="n"/>
      <c r="AX882" s="588" t="n"/>
      <c r="AY882" s="588" t="n"/>
      <c r="AZ882" s="588" t="n"/>
      <c r="BA882" s="588" t="n"/>
      <c r="BB882" s="588" t="n"/>
      <c r="BC882" s="588" t="n"/>
      <c r="BD882" s="588" t="n"/>
      <c r="BE882" s="588" t="n"/>
      <c r="BF882" s="588" t="n"/>
      <c r="BG882" s="588" t="n"/>
      <c r="BH882" s="588" t="n"/>
      <c r="BI882" s="588" t="n"/>
      <c r="BJ882" s="588" t="n"/>
      <c r="BK882" s="588" t="n"/>
      <c r="BL882" s="588" t="n"/>
      <c r="BM882" s="588" t="n"/>
      <c r="BN882" s="588" t="n"/>
      <c r="BO882" s="588" t="n"/>
      <c r="BP882" s="588" t="n"/>
      <c r="BQ882" s="588" t="n"/>
      <c r="BR882" s="588" t="n"/>
      <c r="BS882" s="588" t="n"/>
      <c r="BT882" s="588" t="n"/>
      <c r="BU882" s="588" t="n"/>
      <c r="BV882" s="588" t="n"/>
      <c r="BW882" s="588" t="n"/>
      <c r="BX882" s="588" t="n"/>
      <c r="BY882" s="588" t="n"/>
      <c r="BZ882" s="588" t="n"/>
      <c r="CA882" s="588" t="n"/>
      <c r="CB882" s="588" t="n"/>
      <c r="CC882" s="588" t="n"/>
      <c r="CD882" s="588" t="n"/>
      <c r="CE882" s="588" t="n"/>
      <c r="CF882" s="588" t="n"/>
      <c r="CG882" s="588" t="n"/>
      <c r="CH882" s="588" t="n"/>
      <c r="CI882" s="588" t="n"/>
      <c r="CJ882" s="588" t="n"/>
      <c r="CK882" s="588" t="n"/>
      <c r="CL882" s="588" t="n"/>
      <c r="CM882" s="588" t="n"/>
      <c r="CN882" s="588" t="n"/>
      <c r="CO882" s="588" t="n"/>
      <c r="CP882" s="588" t="n"/>
      <c r="CQ882" s="588" t="n"/>
      <c r="CR882" s="588" t="n"/>
      <c r="CS882" s="588" t="n"/>
      <c r="CT882" s="588" t="n"/>
      <c r="CU882" s="588" t="n"/>
      <c r="CV882" s="588" t="n"/>
      <c r="CW882" s="588" t="n"/>
      <c r="CX882" s="588" t="n"/>
      <c r="CY882" s="588" t="n"/>
      <c r="CZ882" s="588" t="n"/>
      <c r="DA882" s="588" t="n"/>
      <c r="DB882" s="588" t="n"/>
      <c r="DC882" s="588" t="n"/>
      <c r="DD882" s="588" t="n"/>
      <c r="DE882" s="588" t="n"/>
      <c r="DF882" s="588" t="n"/>
      <c r="DG882" s="588" t="n"/>
      <c r="DH882" s="588" t="n"/>
      <c r="DI882" s="588" t="n"/>
      <c r="DJ882" s="588" t="n"/>
      <c r="DK882" s="588" t="n"/>
      <c r="DL882" s="588" t="n"/>
      <c r="DM882" s="588" t="n"/>
      <c r="DN882" s="588" t="n"/>
      <c r="DO882" s="588" t="n"/>
      <c r="DP882" s="588" t="n"/>
      <c r="DQ882" s="588" t="n"/>
      <c r="DR882" s="588" t="n"/>
      <c r="DS882" s="588" t="n"/>
      <c r="DT882" s="588" t="n"/>
      <c r="DU882" s="588" t="n"/>
    </row>
    <row r="883">
      <c r="A883" s="737" t="n"/>
      <c r="B883" s="737" t="n"/>
      <c r="C883" s="737" t="n"/>
      <c r="D883" s="737" t="n"/>
      <c r="E883" s="737" t="n"/>
      <c r="F883" s="737" t="n"/>
      <c r="G883" s="737" t="n"/>
      <c r="H883" s="737" t="n"/>
      <c r="I883" s="737" t="n"/>
      <c r="J883" s="737" t="n"/>
      <c r="K883" s="737" t="n"/>
      <c r="L883" s="737" t="n"/>
      <c r="M883" s="737" t="n"/>
      <c r="N883" s="737" t="n"/>
      <c r="O883" s="737" t="n"/>
      <c r="P883" s="737" t="n"/>
      <c r="Q883" s="737" t="n"/>
      <c r="R883" s="737" t="n"/>
      <c r="S883" s="737" t="n"/>
      <c r="T883" s="737" t="n"/>
      <c r="U883" s="737" t="n"/>
      <c r="V883" s="737" t="n"/>
      <c r="W883" s="737" t="n"/>
      <c r="X883" s="737" t="n"/>
      <c r="Y883" s="737" t="n"/>
      <c r="Z883" s="737" t="n"/>
      <c r="AA883" s="737" t="n"/>
      <c r="AB883" s="737" t="n"/>
      <c r="AC883" s="737" t="n"/>
      <c r="AD883" s="737" t="n"/>
      <c r="AE883" s="737" t="n"/>
      <c r="AF883" s="737" t="n"/>
      <c r="AG883" s="737" t="n"/>
      <c r="AH883" s="737" t="n"/>
      <c r="AI883" s="737" t="n"/>
      <c r="AJ883" s="737" t="n"/>
      <c r="AK883" s="588" t="n"/>
      <c r="AL883" s="588" t="n"/>
      <c r="AM883" s="588" t="n"/>
      <c r="AN883" s="588" t="n"/>
      <c r="AO883" s="588" t="n"/>
      <c r="AP883" s="588" t="n"/>
      <c r="AQ883" s="588" t="n"/>
      <c r="AR883" s="588" t="n"/>
      <c r="AS883" s="588" t="n"/>
      <c r="AT883" s="588" t="n"/>
      <c r="AU883" s="588" t="n"/>
      <c r="AV883" s="588" t="n"/>
      <c r="AW883" s="588" t="n"/>
      <c r="AX883" s="588" t="n"/>
      <c r="AY883" s="588" t="n"/>
      <c r="AZ883" s="588" t="n"/>
      <c r="BA883" s="588" t="n"/>
      <c r="BB883" s="588" t="n"/>
      <c r="BC883" s="588" t="n"/>
      <c r="BD883" s="588" t="n"/>
      <c r="BE883" s="588" t="n"/>
      <c r="BF883" s="588" t="n"/>
      <c r="BG883" s="588" t="n"/>
      <c r="BH883" s="588" t="n"/>
      <c r="BI883" s="588" t="n"/>
      <c r="BJ883" s="588" t="n"/>
      <c r="BK883" s="588" t="n"/>
      <c r="BL883" s="588" t="n"/>
      <c r="BM883" s="588" t="n"/>
      <c r="BN883" s="588" t="n"/>
      <c r="BO883" s="588" t="n"/>
      <c r="BP883" s="588" t="n"/>
      <c r="BQ883" s="588" t="n"/>
      <c r="BR883" s="588" t="n"/>
      <c r="BS883" s="588" t="n"/>
      <c r="BT883" s="588" t="n"/>
      <c r="BU883" s="588" t="n"/>
      <c r="BV883" s="588" t="n"/>
      <c r="BW883" s="588" t="n"/>
      <c r="BX883" s="588" t="n"/>
      <c r="BY883" s="588" t="n"/>
      <c r="BZ883" s="588" t="n"/>
      <c r="CA883" s="588" t="n"/>
      <c r="CB883" s="588" t="n"/>
      <c r="CC883" s="588" t="n"/>
      <c r="CD883" s="588" t="n"/>
      <c r="CE883" s="588" t="n"/>
      <c r="CF883" s="588" t="n"/>
      <c r="CG883" s="588" t="n"/>
      <c r="CH883" s="588" t="n"/>
      <c r="CI883" s="588" t="n"/>
      <c r="CJ883" s="588" t="n"/>
      <c r="CK883" s="588" t="n"/>
      <c r="CL883" s="588" t="n"/>
      <c r="CM883" s="588" t="n"/>
      <c r="CN883" s="588" t="n"/>
      <c r="CO883" s="588" t="n"/>
      <c r="CP883" s="588" t="n"/>
      <c r="CQ883" s="588" t="n"/>
      <c r="CR883" s="588" t="n"/>
      <c r="CS883" s="588" t="n"/>
      <c r="CT883" s="588" t="n"/>
      <c r="CU883" s="588" t="n"/>
      <c r="CV883" s="588" t="n"/>
      <c r="CW883" s="588" t="n"/>
      <c r="CX883" s="588" t="n"/>
      <c r="CY883" s="588" t="n"/>
      <c r="CZ883" s="588" t="n"/>
      <c r="DA883" s="588" t="n"/>
      <c r="DB883" s="588" t="n"/>
      <c r="DC883" s="588" t="n"/>
      <c r="DD883" s="588" t="n"/>
      <c r="DE883" s="588" t="n"/>
      <c r="DF883" s="588" t="n"/>
      <c r="DG883" s="588" t="n"/>
      <c r="DH883" s="588" t="n"/>
      <c r="DI883" s="588" t="n"/>
      <c r="DJ883" s="588" t="n"/>
      <c r="DK883" s="588" t="n"/>
      <c r="DL883" s="588" t="n"/>
      <c r="DM883" s="588" t="n"/>
      <c r="DN883" s="588" t="n"/>
      <c r="DO883" s="588" t="n"/>
      <c r="DP883" s="588" t="n"/>
      <c r="DQ883" s="588" t="n"/>
      <c r="DR883" s="588" t="n"/>
      <c r="DS883" s="588" t="n"/>
      <c r="DT883" s="588" t="n"/>
      <c r="DU883" s="588" t="n"/>
    </row>
    <row r="884">
      <c r="A884" s="737" t="n"/>
      <c r="B884" s="737" t="n"/>
      <c r="C884" s="737" t="n"/>
      <c r="D884" s="737" t="n"/>
      <c r="E884" s="737" t="n"/>
      <c r="F884" s="737" t="n"/>
      <c r="G884" s="737" t="n"/>
      <c r="H884" s="737" t="n"/>
      <c r="I884" s="737" t="n"/>
      <c r="J884" s="737" t="n"/>
      <c r="K884" s="737" t="n"/>
      <c r="L884" s="737" t="n"/>
      <c r="M884" s="737" t="n"/>
      <c r="N884" s="737" t="n"/>
      <c r="O884" s="737" t="n"/>
      <c r="P884" s="737" t="n"/>
      <c r="Q884" s="737" t="n"/>
      <c r="R884" s="737" t="n"/>
      <c r="S884" s="737" t="n"/>
      <c r="T884" s="737" t="n"/>
      <c r="U884" s="737" t="n"/>
      <c r="V884" s="737" t="n"/>
      <c r="W884" s="737" t="n"/>
      <c r="X884" s="737" t="n"/>
      <c r="Y884" s="737" t="n"/>
      <c r="Z884" s="737" t="n"/>
      <c r="AA884" s="737" t="n"/>
      <c r="AB884" s="737" t="n"/>
      <c r="AC884" s="737" t="n"/>
      <c r="AD884" s="737" t="n"/>
      <c r="AE884" s="737" t="n"/>
      <c r="AF884" s="737" t="n"/>
      <c r="AG884" s="737" t="n"/>
      <c r="AH884" s="737" t="n"/>
      <c r="AI884" s="737" t="n"/>
      <c r="AJ884" s="737" t="n"/>
      <c r="AK884" s="588" t="n"/>
      <c r="AL884" s="588" t="n"/>
      <c r="AM884" s="588" t="n"/>
      <c r="AN884" s="588" t="n"/>
      <c r="AO884" s="588" t="n"/>
      <c r="AP884" s="588" t="n"/>
      <c r="AQ884" s="588" t="n"/>
      <c r="AR884" s="588" t="n"/>
      <c r="AS884" s="588" t="n"/>
      <c r="AT884" s="588" t="n"/>
      <c r="AU884" s="588" t="n"/>
      <c r="AV884" s="588" t="n"/>
      <c r="AW884" s="588" t="n"/>
      <c r="AX884" s="588" t="n"/>
      <c r="AY884" s="588" t="n"/>
      <c r="AZ884" s="588" t="n"/>
      <c r="BA884" s="588" t="n"/>
      <c r="BB884" s="588" t="n"/>
      <c r="BC884" s="588" t="n"/>
      <c r="BD884" s="588" t="n"/>
      <c r="BE884" s="588" t="n"/>
      <c r="BF884" s="588" t="n"/>
      <c r="BG884" s="588" t="n"/>
      <c r="BH884" s="588" t="n"/>
      <c r="BI884" s="588" t="n"/>
      <c r="BJ884" s="588" t="n"/>
      <c r="BK884" s="588" t="n"/>
      <c r="BL884" s="588" t="n"/>
      <c r="BM884" s="588" t="n"/>
      <c r="BN884" s="588" t="n"/>
      <c r="BO884" s="588" t="n"/>
      <c r="BP884" s="588" t="n"/>
      <c r="BQ884" s="588" t="n"/>
      <c r="BR884" s="588" t="n"/>
      <c r="BS884" s="588" t="n"/>
      <c r="BT884" s="588" t="n"/>
      <c r="BU884" s="588" t="n"/>
      <c r="BV884" s="588" t="n"/>
      <c r="BW884" s="588" t="n"/>
      <c r="BX884" s="588" t="n"/>
      <c r="BY884" s="588" t="n"/>
      <c r="BZ884" s="588" t="n"/>
      <c r="CA884" s="588" t="n"/>
      <c r="CB884" s="588" t="n"/>
      <c r="CC884" s="588" t="n"/>
      <c r="CD884" s="588" t="n"/>
      <c r="CE884" s="588" t="n"/>
      <c r="CF884" s="588" t="n"/>
      <c r="CG884" s="588" t="n"/>
      <c r="CH884" s="588" t="n"/>
      <c r="CI884" s="588" t="n"/>
      <c r="CJ884" s="588" t="n"/>
      <c r="CK884" s="588" t="n"/>
      <c r="CL884" s="588" t="n"/>
      <c r="CM884" s="588" t="n"/>
      <c r="CN884" s="588" t="n"/>
      <c r="CO884" s="588" t="n"/>
      <c r="CP884" s="588" t="n"/>
      <c r="CQ884" s="588" t="n"/>
      <c r="CR884" s="588" t="n"/>
      <c r="CS884" s="588" t="n"/>
      <c r="CT884" s="588" t="n"/>
      <c r="CU884" s="588" t="n"/>
      <c r="CV884" s="588" t="n"/>
      <c r="CW884" s="588" t="n"/>
      <c r="CX884" s="588" t="n"/>
      <c r="CY884" s="588" t="n"/>
      <c r="CZ884" s="588" t="n"/>
      <c r="DA884" s="588" t="n"/>
      <c r="DB884" s="588" t="n"/>
      <c r="DC884" s="588" t="n"/>
      <c r="DD884" s="588" t="n"/>
      <c r="DE884" s="588" t="n"/>
      <c r="DF884" s="588" t="n"/>
      <c r="DG884" s="588" t="n"/>
      <c r="DH884" s="588" t="n"/>
      <c r="DI884" s="588" t="n"/>
      <c r="DJ884" s="588" t="n"/>
      <c r="DK884" s="588" t="n"/>
      <c r="DL884" s="588" t="n"/>
      <c r="DM884" s="588" t="n"/>
      <c r="DN884" s="588" t="n"/>
      <c r="DO884" s="588" t="n"/>
      <c r="DP884" s="588" t="n"/>
      <c r="DQ884" s="588" t="n"/>
      <c r="DR884" s="588" t="n"/>
      <c r="DS884" s="588" t="n"/>
      <c r="DT884" s="588" t="n"/>
      <c r="DU884" s="588" t="n"/>
    </row>
    <row r="885">
      <c r="A885" s="737" t="n"/>
      <c r="B885" s="737" t="n"/>
      <c r="C885" s="737" t="n"/>
      <c r="D885" s="737" t="n"/>
      <c r="E885" s="737" t="n"/>
      <c r="F885" s="737" t="n"/>
      <c r="G885" s="737" t="n"/>
      <c r="H885" s="737" t="n"/>
      <c r="I885" s="737" t="n"/>
      <c r="J885" s="737" t="n"/>
      <c r="K885" s="737" t="n"/>
      <c r="L885" s="737" t="n"/>
      <c r="M885" s="737" t="n"/>
      <c r="N885" s="737" t="n"/>
      <c r="O885" s="737" t="n"/>
      <c r="P885" s="737" t="n"/>
      <c r="Q885" s="737" t="n"/>
      <c r="R885" s="737" t="n"/>
      <c r="S885" s="737" t="n"/>
      <c r="T885" s="737" t="n"/>
      <c r="U885" s="737" t="n"/>
      <c r="V885" s="737" t="n"/>
      <c r="W885" s="737" t="n"/>
      <c r="X885" s="737" t="n"/>
      <c r="Y885" s="737" t="n"/>
      <c r="Z885" s="737" t="n"/>
      <c r="AA885" s="737" t="n"/>
      <c r="AB885" s="737" t="n"/>
      <c r="AC885" s="737" t="n"/>
      <c r="AD885" s="737" t="n"/>
      <c r="AE885" s="737" t="n"/>
      <c r="AF885" s="737" t="n"/>
      <c r="AG885" s="737" t="n"/>
      <c r="AH885" s="737" t="n"/>
      <c r="AI885" s="737" t="n"/>
      <c r="AJ885" s="737" t="n"/>
      <c r="AK885" s="588" t="n"/>
      <c r="AL885" s="588" t="n"/>
      <c r="AM885" s="588" t="n"/>
      <c r="AN885" s="588" t="n"/>
      <c r="AO885" s="588" t="n"/>
      <c r="AP885" s="588" t="n"/>
      <c r="AQ885" s="588" t="n"/>
      <c r="AR885" s="588" t="n"/>
      <c r="AS885" s="588" t="n"/>
      <c r="AT885" s="588" t="n"/>
      <c r="AU885" s="588" t="n"/>
      <c r="AV885" s="588" t="n"/>
      <c r="AW885" s="588" t="n"/>
      <c r="AX885" s="588" t="n"/>
      <c r="AY885" s="588" t="n"/>
      <c r="AZ885" s="588" t="n"/>
      <c r="BA885" s="588" t="n"/>
      <c r="BB885" s="588" t="n"/>
      <c r="BC885" s="588" t="n"/>
      <c r="BD885" s="588" t="n"/>
      <c r="BE885" s="588" t="n"/>
      <c r="BF885" s="588" t="n"/>
      <c r="BG885" s="588" t="n"/>
      <c r="BH885" s="588" t="n"/>
      <c r="BI885" s="588" t="n"/>
      <c r="BJ885" s="588" t="n"/>
      <c r="BK885" s="588" t="n"/>
      <c r="BL885" s="588" t="n"/>
      <c r="BM885" s="588" t="n"/>
      <c r="BN885" s="588" t="n"/>
      <c r="BO885" s="588" t="n"/>
      <c r="BP885" s="588" t="n"/>
      <c r="BQ885" s="588" t="n"/>
      <c r="BR885" s="588" t="n"/>
      <c r="BS885" s="588" t="n"/>
      <c r="BT885" s="588" t="n"/>
      <c r="BU885" s="588" t="n"/>
      <c r="BV885" s="588" t="n"/>
      <c r="BW885" s="588" t="n"/>
      <c r="BX885" s="588" t="n"/>
      <c r="BY885" s="588" t="n"/>
      <c r="BZ885" s="588" t="n"/>
      <c r="CA885" s="588" t="n"/>
      <c r="CB885" s="588" t="n"/>
      <c r="CC885" s="588" t="n"/>
      <c r="CD885" s="588" t="n"/>
      <c r="CE885" s="588" t="n"/>
      <c r="CF885" s="588" t="n"/>
      <c r="CG885" s="588" t="n"/>
      <c r="CH885" s="588" t="n"/>
      <c r="CI885" s="588" t="n"/>
      <c r="CJ885" s="588" t="n"/>
      <c r="CK885" s="588" t="n"/>
      <c r="CL885" s="588" t="n"/>
      <c r="CM885" s="588" t="n"/>
      <c r="CN885" s="588" t="n"/>
      <c r="CO885" s="588" t="n"/>
      <c r="CP885" s="588" t="n"/>
      <c r="CQ885" s="588" t="n"/>
      <c r="CR885" s="588" t="n"/>
      <c r="CS885" s="588" t="n"/>
      <c r="CT885" s="588" t="n"/>
      <c r="CU885" s="588" t="n"/>
      <c r="CV885" s="588" t="n"/>
      <c r="CW885" s="588" t="n"/>
      <c r="CX885" s="588" t="n"/>
      <c r="CY885" s="588" t="n"/>
      <c r="CZ885" s="588" t="n"/>
      <c r="DA885" s="588" t="n"/>
      <c r="DB885" s="588" t="n"/>
      <c r="DC885" s="588" t="n"/>
      <c r="DD885" s="588" t="n"/>
      <c r="DE885" s="588" t="n"/>
      <c r="DF885" s="588" t="n"/>
      <c r="DG885" s="588" t="n"/>
      <c r="DH885" s="588" t="n"/>
      <c r="DI885" s="588" t="n"/>
      <c r="DJ885" s="588" t="n"/>
      <c r="DK885" s="588" t="n"/>
      <c r="DL885" s="588" t="n"/>
      <c r="DM885" s="588" t="n"/>
      <c r="DN885" s="588" t="n"/>
      <c r="DO885" s="588" t="n"/>
      <c r="DP885" s="588" t="n"/>
      <c r="DQ885" s="588" t="n"/>
      <c r="DR885" s="588" t="n"/>
      <c r="DS885" s="588" t="n"/>
      <c r="DT885" s="588" t="n"/>
      <c r="DU885" s="588" t="n"/>
    </row>
    <row r="886">
      <c r="A886" s="737" t="n"/>
      <c r="B886" s="737" t="n"/>
      <c r="C886" s="737" t="n"/>
      <c r="D886" s="737" t="n"/>
      <c r="E886" s="737" t="n"/>
      <c r="F886" s="737" t="n"/>
      <c r="G886" s="737" t="n"/>
      <c r="H886" s="737" t="n"/>
      <c r="I886" s="737" t="n"/>
      <c r="J886" s="737" t="n"/>
      <c r="K886" s="737" t="n"/>
      <c r="L886" s="737" t="n"/>
      <c r="M886" s="737" t="n"/>
      <c r="N886" s="737" t="n"/>
      <c r="O886" s="737" t="n"/>
      <c r="P886" s="737" t="n"/>
      <c r="Q886" s="737" t="n"/>
      <c r="R886" s="737" t="n"/>
      <c r="S886" s="737" t="n"/>
      <c r="T886" s="737" t="n"/>
      <c r="U886" s="737" t="n"/>
      <c r="V886" s="737" t="n"/>
      <c r="W886" s="737" t="n"/>
      <c r="X886" s="737" t="n"/>
      <c r="Y886" s="737" t="n"/>
      <c r="Z886" s="737" t="n"/>
      <c r="AA886" s="737" t="n"/>
      <c r="AB886" s="737" t="n"/>
      <c r="AC886" s="737" t="n"/>
      <c r="AD886" s="737" t="n"/>
      <c r="AE886" s="737" t="n"/>
      <c r="AF886" s="737" t="n"/>
      <c r="AG886" s="737" t="n"/>
      <c r="AH886" s="737" t="n"/>
      <c r="AI886" s="737" t="n"/>
      <c r="AJ886" s="737" t="n"/>
      <c r="AK886" s="588" t="n"/>
      <c r="AL886" s="588" t="n"/>
      <c r="AM886" s="588" t="n"/>
      <c r="AN886" s="588" t="n"/>
      <c r="AO886" s="588" t="n"/>
      <c r="AP886" s="588" t="n"/>
      <c r="AQ886" s="588" t="n"/>
      <c r="AR886" s="588" t="n"/>
      <c r="AS886" s="588" t="n"/>
      <c r="AT886" s="588" t="n"/>
      <c r="AU886" s="588" t="n"/>
      <c r="AV886" s="588" t="n"/>
      <c r="AW886" s="588" t="n"/>
      <c r="AX886" s="588" t="n"/>
      <c r="AY886" s="588" t="n"/>
      <c r="AZ886" s="588" t="n"/>
      <c r="BA886" s="588" t="n"/>
      <c r="BB886" s="588" t="n"/>
      <c r="BC886" s="588" t="n"/>
      <c r="BD886" s="588" t="n"/>
      <c r="BE886" s="588" t="n"/>
      <c r="BF886" s="588" t="n"/>
      <c r="BG886" s="588" t="n"/>
      <c r="BH886" s="588" t="n"/>
      <c r="BI886" s="588" t="n"/>
      <c r="BJ886" s="588" t="n"/>
      <c r="BK886" s="588" t="n"/>
      <c r="BL886" s="588" t="n"/>
      <c r="BM886" s="588" t="n"/>
      <c r="BN886" s="588" t="n"/>
      <c r="BO886" s="588" t="n"/>
      <c r="BP886" s="588" t="n"/>
      <c r="BQ886" s="588" t="n"/>
      <c r="BR886" s="588" t="n"/>
      <c r="BS886" s="588" t="n"/>
      <c r="BT886" s="588" t="n"/>
      <c r="BU886" s="588" t="n"/>
      <c r="BV886" s="588" t="n"/>
      <c r="BW886" s="588" t="n"/>
      <c r="BX886" s="588" t="n"/>
      <c r="BY886" s="588" t="n"/>
      <c r="BZ886" s="588" t="n"/>
      <c r="CA886" s="588" t="n"/>
      <c r="CB886" s="588" t="n"/>
      <c r="CC886" s="588" t="n"/>
      <c r="CD886" s="588" t="n"/>
      <c r="CE886" s="588" t="n"/>
      <c r="CF886" s="588" t="n"/>
      <c r="CG886" s="588" t="n"/>
      <c r="CH886" s="588" t="n"/>
      <c r="CI886" s="588" t="n"/>
      <c r="CJ886" s="588" t="n"/>
      <c r="CK886" s="588" t="n"/>
      <c r="CL886" s="588" t="n"/>
      <c r="CM886" s="588" t="n"/>
      <c r="CN886" s="588" t="n"/>
      <c r="CO886" s="588" t="n"/>
      <c r="CP886" s="588" t="n"/>
      <c r="CQ886" s="588" t="n"/>
      <c r="CR886" s="588" t="n"/>
      <c r="CS886" s="588" t="n"/>
      <c r="CT886" s="588" t="n"/>
      <c r="CU886" s="588" t="n"/>
      <c r="CV886" s="588" t="n"/>
      <c r="CW886" s="588" t="n"/>
      <c r="CX886" s="588" t="n"/>
      <c r="CY886" s="588" t="n"/>
      <c r="CZ886" s="588" t="n"/>
      <c r="DA886" s="588" t="n"/>
      <c r="DB886" s="588" t="n"/>
      <c r="DC886" s="588" t="n"/>
      <c r="DD886" s="588" t="n"/>
      <c r="DE886" s="588" t="n"/>
      <c r="DF886" s="588" t="n"/>
      <c r="DG886" s="588" t="n"/>
      <c r="DH886" s="588" t="n"/>
      <c r="DI886" s="588" t="n"/>
      <c r="DJ886" s="588" t="n"/>
      <c r="DK886" s="588" t="n"/>
      <c r="DL886" s="588" t="n"/>
      <c r="DM886" s="588" t="n"/>
      <c r="DN886" s="588" t="n"/>
      <c r="DO886" s="588" t="n"/>
      <c r="DP886" s="588" t="n"/>
      <c r="DQ886" s="588" t="n"/>
      <c r="DR886" s="588" t="n"/>
      <c r="DS886" s="588" t="n"/>
      <c r="DT886" s="588" t="n"/>
      <c r="DU886" s="588" t="n"/>
    </row>
    <row r="887">
      <c r="A887" s="737" t="n"/>
      <c r="B887" s="737" t="n"/>
      <c r="C887" s="737" t="n"/>
      <c r="D887" s="737" t="n"/>
      <c r="E887" s="737" t="n"/>
      <c r="F887" s="737" t="n"/>
      <c r="G887" s="737" t="n"/>
      <c r="H887" s="737" t="n"/>
      <c r="I887" s="737" t="n"/>
      <c r="J887" s="737" t="n"/>
      <c r="K887" s="737" t="n"/>
      <c r="L887" s="737" t="n"/>
      <c r="M887" s="737" t="n"/>
      <c r="N887" s="737" t="n"/>
      <c r="O887" s="737" t="n"/>
      <c r="P887" s="737" t="n"/>
      <c r="Q887" s="737" t="n"/>
      <c r="R887" s="737" t="n"/>
      <c r="S887" s="737" t="n"/>
      <c r="T887" s="737" t="n"/>
      <c r="U887" s="737" t="n"/>
      <c r="V887" s="737" t="n"/>
      <c r="W887" s="737" t="n"/>
      <c r="X887" s="737" t="n"/>
      <c r="Y887" s="737" t="n"/>
      <c r="Z887" s="737" t="n"/>
      <c r="AA887" s="737" t="n"/>
      <c r="AB887" s="737" t="n"/>
      <c r="AC887" s="737" t="n"/>
      <c r="AD887" s="737" t="n"/>
      <c r="AE887" s="737" t="n"/>
      <c r="AF887" s="737" t="n"/>
      <c r="AG887" s="737" t="n"/>
      <c r="AH887" s="737" t="n"/>
      <c r="AI887" s="737" t="n"/>
      <c r="AJ887" s="737" t="n"/>
      <c r="AK887" s="588" t="n"/>
      <c r="AL887" s="588" t="n"/>
      <c r="AM887" s="588" t="n"/>
      <c r="AN887" s="588" t="n"/>
      <c r="AO887" s="588" t="n"/>
      <c r="AP887" s="588" t="n"/>
      <c r="AQ887" s="588" t="n"/>
      <c r="AR887" s="588" t="n"/>
      <c r="AS887" s="588" t="n"/>
      <c r="AT887" s="588" t="n"/>
      <c r="AU887" s="588" t="n"/>
      <c r="AV887" s="588" t="n"/>
      <c r="AW887" s="588" t="n"/>
      <c r="AX887" s="588" t="n"/>
      <c r="AY887" s="588" t="n"/>
      <c r="AZ887" s="588" t="n"/>
      <c r="BA887" s="588" t="n"/>
      <c r="BB887" s="588" t="n"/>
      <c r="BC887" s="588" t="n"/>
      <c r="BD887" s="588" t="n"/>
      <c r="BE887" s="588" t="n"/>
      <c r="BF887" s="588" t="n"/>
      <c r="BG887" s="588" t="n"/>
      <c r="BH887" s="588" t="n"/>
      <c r="BI887" s="588" t="n"/>
      <c r="BJ887" s="588" t="n"/>
      <c r="BK887" s="588" t="n"/>
      <c r="BL887" s="588" t="n"/>
      <c r="BM887" s="588" t="n"/>
      <c r="BN887" s="588" t="n"/>
      <c r="BO887" s="588" t="n"/>
      <c r="BP887" s="588" t="n"/>
      <c r="BQ887" s="588" t="n"/>
      <c r="BR887" s="588" t="n"/>
      <c r="BS887" s="588" t="n"/>
      <c r="BT887" s="588" t="n"/>
      <c r="BU887" s="588" t="n"/>
      <c r="BV887" s="588" t="n"/>
      <c r="BW887" s="588" t="n"/>
      <c r="BX887" s="588" t="n"/>
      <c r="BY887" s="588" t="n"/>
      <c r="BZ887" s="588" t="n"/>
      <c r="CA887" s="588" t="n"/>
      <c r="CB887" s="588" t="n"/>
      <c r="CC887" s="588" t="n"/>
      <c r="CD887" s="588" t="n"/>
      <c r="CE887" s="588" t="n"/>
      <c r="CF887" s="588" t="n"/>
      <c r="CG887" s="588" t="n"/>
      <c r="CH887" s="588" t="n"/>
      <c r="CI887" s="588" t="n"/>
      <c r="CJ887" s="588" t="n"/>
      <c r="CK887" s="588" t="n"/>
      <c r="CL887" s="588" t="n"/>
      <c r="CM887" s="588" t="n"/>
      <c r="CN887" s="588" t="n"/>
      <c r="CO887" s="588" t="n"/>
      <c r="CP887" s="588" t="n"/>
      <c r="CQ887" s="588" t="n"/>
      <c r="CR887" s="588" t="n"/>
      <c r="CS887" s="588" t="n"/>
      <c r="CT887" s="588" t="n"/>
      <c r="CU887" s="588" t="n"/>
      <c r="CV887" s="588" t="n"/>
      <c r="CW887" s="588" t="n"/>
      <c r="CX887" s="588" t="n"/>
      <c r="CY887" s="588" t="n"/>
      <c r="CZ887" s="588" t="n"/>
      <c r="DA887" s="588" t="n"/>
      <c r="DB887" s="588" t="n"/>
      <c r="DC887" s="588" t="n"/>
      <c r="DD887" s="588" t="n"/>
      <c r="DE887" s="588" t="n"/>
      <c r="DF887" s="588" t="n"/>
      <c r="DG887" s="588" t="n"/>
      <c r="DH887" s="588" t="n"/>
      <c r="DI887" s="588" t="n"/>
      <c r="DJ887" s="588" t="n"/>
      <c r="DK887" s="588" t="n"/>
      <c r="DL887" s="588" t="n"/>
      <c r="DM887" s="588" t="n"/>
      <c r="DN887" s="588" t="n"/>
      <c r="DO887" s="588" t="n"/>
      <c r="DP887" s="588" t="n"/>
      <c r="DQ887" s="588" t="n"/>
      <c r="DR887" s="588" t="n"/>
      <c r="DS887" s="588" t="n"/>
      <c r="DT887" s="588" t="n"/>
      <c r="DU887" s="588" t="n"/>
    </row>
    <row r="888">
      <c r="A888" s="737" t="n"/>
      <c r="B888" s="737" t="n"/>
      <c r="C888" s="737" t="n"/>
      <c r="D888" s="737" t="n"/>
      <c r="E888" s="737" t="n"/>
      <c r="F888" s="737" t="n"/>
      <c r="G888" s="737" t="n"/>
      <c r="H888" s="737" t="n"/>
      <c r="I888" s="737" t="n"/>
      <c r="J888" s="737" t="n"/>
      <c r="K888" s="737" t="n"/>
      <c r="L888" s="737" t="n"/>
      <c r="M888" s="737" t="n"/>
      <c r="N888" s="737" t="n"/>
      <c r="O888" s="737" t="n"/>
      <c r="P888" s="737" t="n"/>
      <c r="Q888" s="737" t="n"/>
      <c r="R888" s="737" t="n"/>
      <c r="S888" s="737" t="n"/>
      <c r="T888" s="737" t="n"/>
      <c r="U888" s="737" t="n"/>
      <c r="V888" s="737" t="n"/>
      <c r="W888" s="737" t="n"/>
      <c r="X888" s="737" t="n"/>
      <c r="Y888" s="737" t="n"/>
      <c r="Z888" s="737" t="n"/>
      <c r="AA888" s="737" t="n"/>
      <c r="AB888" s="737" t="n"/>
      <c r="AC888" s="737" t="n"/>
      <c r="AD888" s="737" t="n"/>
      <c r="AE888" s="737" t="n"/>
      <c r="AF888" s="737" t="n"/>
      <c r="AG888" s="737" t="n"/>
      <c r="AH888" s="737" t="n"/>
      <c r="AI888" s="737" t="n"/>
      <c r="AJ888" s="737" t="n"/>
      <c r="AK888" s="588" t="n"/>
      <c r="AL888" s="588" t="n"/>
      <c r="AM888" s="588" t="n"/>
      <c r="AN888" s="588" t="n"/>
      <c r="AO888" s="588" t="n"/>
      <c r="AP888" s="588" t="n"/>
      <c r="AQ888" s="588" t="n"/>
      <c r="AR888" s="588" t="n"/>
      <c r="AS888" s="588" t="n"/>
      <c r="AT888" s="588" t="n"/>
      <c r="AU888" s="588" t="n"/>
      <c r="AV888" s="588" t="n"/>
      <c r="AW888" s="588" t="n"/>
      <c r="AX888" s="588" t="n"/>
      <c r="AY888" s="588" t="n"/>
      <c r="AZ888" s="588" t="n"/>
      <c r="BA888" s="588" t="n"/>
      <c r="BB888" s="588" t="n"/>
      <c r="BC888" s="588" t="n"/>
      <c r="BD888" s="588" t="n"/>
      <c r="BE888" s="588" t="n"/>
      <c r="BF888" s="588" t="n"/>
      <c r="BG888" s="588" t="n"/>
      <c r="BH888" s="588" t="n"/>
      <c r="BI888" s="588" t="n"/>
      <c r="BJ888" s="588" t="n"/>
      <c r="BK888" s="588" t="n"/>
      <c r="BL888" s="588" t="n"/>
      <c r="BM888" s="588" t="n"/>
      <c r="BN888" s="588" t="n"/>
      <c r="BO888" s="588" t="n"/>
      <c r="BP888" s="588" t="n"/>
      <c r="BQ888" s="588" t="n"/>
      <c r="BR888" s="588" t="n"/>
      <c r="BS888" s="588" t="n"/>
      <c r="BT888" s="588" t="n"/>
      <c r="BU888" s="588" t="n"/>
      <c r="BV888" s="588" t="n"/>
      <c r="BW888" s="588" t="n"/>
      <c r="BX888" s="588" t="n"/>
      <c r="BY888" s="588" t="n"/>
      <c r="BZ888" s="588" t="n"/>
      <c r="CA888" s="588" t="n"/>
      <c r="CB888" s="588" t="n"/>
      <c r="CC888" s="588" t="n"/>
      <c r="CD888" s="588" t="n"/>
      <c r="CE888" s="588" t="n"/>
      <c r="CF888" s="588" t="n"/>
      <c r="CG888" s="588" t="n"/>
      <c r="CH888" s="588" t="n"/>
      <c r="CI888" s="588" t="n"/>
      <c r="CJ888" s="588" t="n"/>
      <c r="CK888" s="588" t="n"/>
      <c r="CL888" s="588" t="n"/>
      <c r="CM888" s="588" t="n"/>
      <c r="CN888" s="588" t="n"/>
      <c r="CO888" s="588" t="n"/>
      <c r="CP888" s="588" t="n"/>
      <c r="CQ888" s="588" t="n"/>
      <c r="CR888" s="588" t="n"/>
      <c r="CS888" s="588" t="n"/>
      <c r="CT888" s="588" t="n"/>
      <c r="CU888" s="588" t="n"/>
      <c r="CV888" s="588" t="n"/>
      <c r="CW888" s="588" t="n"/>
      <c r="CX888" s="588" t="n"/>
      <c r="CY888" s="588" t="n"/>
      <c r="CZ888" s="588" t="n"/>
      <c r="DA888" s="588" t="n"/>
      <c r="DB888" s="588" t="n"/>
      <c r="DC888" s="588" t="n"/>
      <c r="DD888" s="588" t="n"/>
      <c r="DE888" s="588" t="n"/>
      <c r="DF888" s="588" t="n"/>
      <c r="DG888" s="588" t="n"/>
      <c r="DH888" s="588" t="n"/>
      <c r="DI888" s="588" t="n"/>
      <c r="DJ888" s="588" t="n"/>
      <c r="DK888" s="588" t="n"/>
      <c r="DL888" s="588" t="n"/>
      <c r="DM888" s="588" t="n"/>
      <c r="DN888" s="588" t="n"/>
      <c r="DO888" s="588" t="n"/>
      <c r="DP888" s="588" t="n"/>
      <c r="DQ888" s="588" t="n"/>
      <c r="DR888" s="588" t="n"/>
      <c r="DS888" s="588" t="n"/>
      <c r="DT888" s="588" t="n"/>
      <c r="DU888" s="588" t="n"/>
    </row>
    <row r="889">
      <c r="A889" s="737" t="n"/>
      <c r="B889" s="737" t="n"/>
      <c r="C889" s="737" t="n"/>
      <c r="D889" s="737" t="n"/>
      <c r="E889" s="737" t="n"/>
      <c r="F889" s="737" t="n"/>
      <c r="G889" s="737" t="n"/>
      <c r="H889" s="737" t="n"/>
      <c r="I889" s="737" t="n"/>
      <c r="J889" s="737" t="n"/>
      <c r="K889" s="737" t="n"/>
      <c r="L889" s="737" t="n"/>
      <c r="M889" s="737" t="n"/>
      <c r="N889" s="737" t="n"/>
      <c r="O889" s="737" t="n"/>
      <c r="P889" s="737" t="n"/>
      <c r="Q889" s="737" t="n"/>
      <c r="R889" s="737" t="n"/>
      <c r="S889" s="737" t="n"/>
      <c r="T889" s="737" t="n"/>
      <c r="U889" s="737" t="n"/>
      <c r="V889" s="737" t="n"/>
      <c r="W889" s="737" t="n"/>
      <c r="X889" s="737" t="n"/>
      <c r="Y889" s="737" t="n"/>
      <c r="Z889" s="737" t="n"/>
      <c r="AA889" s="737" t="n"/>
      <c r="AB889" s="737" t="n"/>
      <c r="AC889" s="737" t="n"/>
      <c r="AD889" s="737" t="n"/>
      <c r="AE889" s="737" t="n"/>
      <c r="AF889" s="737" t="n"/>
      <c r="AG889" s="737" t="n"/>
      <c r="AH889" s="737" t="n"/>
      <c r="AI889" s="737" t="n"/>
      <c r="AJ889" s="737" t="n"/>
      <c r="AK889" s="588" t="n"/>
      <c r="AL889" s="588" t="n"/>
      <c r="AM889" s="588" t="n"/>
      <c r="AN889" s="588" t="n"/>
      <c r="AO889" s="588" t="n"/>
      <c r="AP889" s="588" t="n"/>
      <c r="AQ889" s="588" t="n"/>
      <c r="AR889" s="588" t="n"/>
      <c r="AS889" s="588" t="n"/>
      <c r="AT889" s="588" t="n"/>
      <c r="AU889" s="588" t="n"/>
      <c r="AV889" s="588" t="n"/>
      <c r="AW889" s="588" t="n"/>
      <c r="AX889" s="588" t="n"/>
      <c r="AY889" s="588" t="n"/>
      <c r="AZ889" s="588" t="n"/>
      <c r="BA889" s="588" t="n"/>
      <c r="BB889" s="588" t="n"/>
      <c r="BC889" s="588" t="n"/>
      <c r="BD889" s="588" t="n"/>
      <c r="BE889" s="588" t="n"/>
      <c r="BF889" s="588" t="n"/>
      <c r="BG889" s="588" t="n"/>
      <c r="BH889" s="588" t="n"/>
      <c r="BI889" s="588" t="n"/>
      <c r="BJ889" s="588" t="n"/>
      <c r="BK889" s="588" t="n"/>
      <c r="BL889" s="588" t="n"/>
      <c r="BM889" s="588" t="n"/>
      <c r="BN889" s="588" t="n"/>
      <c r="BO889" s="588" t="n"/>
      <c r="BP889" s="588" t="n"/>
      <c r="BQ889" s="588" t="n"/>
      <c r="BR889" s="588" t="n"/>
      <c r="BS889" s="588" t="n"/>
      <c r="BT889" s="588" t="n"/>
      <c r="BU889" s="588" t="n"/>
      <c r="BV889" s="588" t="n"/>
      <c r="BW889" s="588" t="n"/>
      <c r="BX889" s="588" t="n"/>
      <c r="BY889" s="588" t="n"/>
      <c r="BZ889" s="588" t="n"/>
      <c r="CA889" s="588" t="n"/>
      <c r="CB889" s="588" t="n"/>
      <c r="CC889" s="588" t="n"/>
      <c r="CD889" s="588" t="n"/>
      <c r="CE889" s="588" t="n"/>
      <c r="CF889" s="588" t="n"/>
      <c r="CG889" s="588" t="n"/>
      <c r="CH889" s="588" t="n"/>
      <c r="CI889" s="588" t="n"/>
      <c r="CJ889" s="588" t="n"/>
      <c r="CK889" s="588" t="n"/>
      <c r="CL889" s="588" t="n"/>
      <c r="CM889" s="588" t="n"/>
      <c r="CN889" s="588" t="n"/>
      <c r="CO889" s="588" t="n"/>
      <c r="CP889" s="588" t="n"/>
      <c r="CQ889" s="588" t="n"/>
      <c r="CR889" s="588" t="n"/>
      <c r="CS889" s="588" t="n"/>
      <c r="CT889" s="588" t="n"/>
      <c r="CU889" s="588" t="n"/>
      <c r="CV889" s="588" t="n"/>
      <c r="CW889" s="588" t="n"/>
      <c r="CX889" s="588" t="n"/>
      <c r="CY889" s="588" t="n"/>
      <c r="CZ889" s="588" t="n"/>
      <c r="DA889" s="588" t="n"/>
      <c r="DB889" s="588" t="n"/>
      <c r="DC889" s="588" t="n"/>
      <c r="DD889" s="588" t="n"/>
      <c r="DE889" s="588" t="n"/>
      <c r="DF889" s="588" t="n"/>
      <c r="DG889" s="588" t="n"/>
      <c r="DH889" s="588" t="n"/>
      <c r="DI889" s="588" t="n"/>
      <c r="DJ889" s="588" t="n"/>
      <c r="DK889" s="588" t="n"/>
      <c r="DL889" s="588" t="n"/>
      <c r="DM889" s="588" t="n"/>
      <c r="DN889" s="588" t="n"/>
      <c r="DO889" s="588" t="n"/>
      <c r="DP889" s="588" t="n"/>
      <c r="DQ889" s="588" t="n"/>
      <c r="DR889" s="588" t="n"/>
      <c r="DS889" s="588" t="n"/>
      <c r="DT889" s="588" t="n"/>
      <c r="DU889" s="588" t="n"/>
    </row>
    <row r="890">
      <c r="A890" s="737" t="n"/>
      <c r="B890" s="737" t="n"/>
      <c r="C890" s="737" t="n"/>
      <c r="D890" s="737" t="n"/>
      <c r="E890" s="737" t="n"/>
      <c r="F890" s="737" t="n"/>
      <c r="G890" s="737" t="n"/>
      <c r="H890" s="737" t="n"/>
      <c r="I890" s="737" t="n"/>
      <c r="J890" s="737" t="n"/>
      <c r="K890" s="737" t="n"/>
      <c r="L890" s="737" t="n"/>
      <c r="M890" s="737" t="n"/>
      <c r="N890" s="737" t="n"/>
      <c r="O890" s="737" t="n"/>
      <c r="P890" s="737" t="n"/>
      <c r="Q890" s="737" t="n"/>
      <c r="R890" s="737" t="n"/>
      <c r="S890" s="737" t="n"/>
      <c r="T890" s="737" t="n"/>
      <c r="U890" s="737" t="n"/>
      <c r="V890" s="737" t="n"/>
      <c r="W890" s="737" t="n"/>
      <c r="X890" s="737" t="n"/>
      <c r="Y890" s="737" t="n"/>
      <c r="Z890" s="737" t="n"/>
      <c r="AA890" s="737" t="n"/>
      <c r="AB890" s="737" t="n"/>
      <c r="AC890" s="737" t="n"/>
      <c r="AD890" s="737" t="n"/>
      <c r="AE890" s="737" t="n"/>
      <c r="AF890" s="737" t="n"/>
      <c r="AG890" s="737" t="n"/>
      <c r="AH890" s="737" t="n"/>
      <c r="AI890" s="737" t="n"/>
      <c r="AJ890" s="737" t="n"/>
      <c r="AK890" s="588" t="n"/>
      <c r="AL890" s="588" t="n"/>
      <c r="AM890" s="588" t="n"/>
      <c r="AN890" s="588" t="n"/>
      <c r="AO890" s="588" t="n"/>
      <c r="AP890" s="588" t="n"/>
      <c r="AQ890" s="588" t="n"/>
      <c r="AR890" s="588" t="n"/>
      <c r="AS890" s="588" t="n"/>
      <c r="AT890" s="588" t="n"/>
      <c r="AU890" s="588" t="n"/>
      <c r="AV890" s="588" t="n"/>
      <c r="AW890" s="588" t="n"/>
      <c r="AX890" s="588" t="n"/>
      <c r="AY890" s="588" t="n"/>
      <c r="AZ890" s="588" t="n"/>
      <c r="BA890" s="588" t="n"/>
      <c r="BB890" s="588" t="n"/>
      <c r="BC890" s="588" t="n"/>
      <c r="BD890" s="588" t="n"/>
      <c r="BE890" s="588" t="n"/>
      <c r="BF890" s="588" t="n"/>
      <c r="BG890" s="588" t="n"/>
      <c r="BH890" s="588" t="n"/>
      <c r="BI890" s="588" t="n"/>
      <c r="BJ890" s="588" t="n"/>
      <c r="BK890" s="588" t="n"/>
      <c r="BL890" s="588" t="n"/>
      <c r="BM890" s="588" t="n"/>
      <c r="BN890" s="588" t="n"/>
      <c r="BO890" s="588" t="n"/>
      <c r="BP890" s="588" t="n"/>
      <c r="BQ890" s="588" t="n"/>
      <c r="BR890" s="588" t="n"/>
      <c r="BS890" s="588" t="n"/>
      <c r="BT890" s="588" t="n"/>
      <c r="BU890" s="588" t="n"/>
      <c r="BV890" s="588" t="n"/>
      <c r="BW890" s="588" t="n"/>
      <c r="BX890" s="588" t="n"/>
      <c r="BY890" s="588" t="n"/>
      <c r="BZ890" s="588" t="n"/>
      <c r="CA890" s="588" t="n"/>
      <c r="CB890" s="588" t="n"/>
      <c r="CC890" s="588" t="n"/>
      <c r="CD890" s="588" t="n"/>
      <c r="CE890" s="588" t="n"/>
      <c r="CF890" s="588" t="n"/>
      <c r="CG890" s="588" t="n"/>
      <c r="CH890" s="588" t="n"/>
      <c r="CI890" s="588" t="n"/>
      <c r="CJ890" s="588" t="n"/>
      <c r="CK890" s="588" t="n"/>
      <c r="CL890" s="588" t="n"/>
      <c r="CM890" s="588" t="n"/>
      <c r="CN890" s="588" t="n"/>
      <c r="CO890" s="588" t="n"/>
      <c r="CP890" s="588" t="n"/>
      <c r="CQ890" s="588" t="n"/>
      <c r="CR890" s="588" t="n"/>
      <c r="CS890" s="588" t="n"/>
      <c r="CT890" s="588" t="n"/>
      <c r="CU890" s="588" t="n"/>
      <c r="CV890" s="588" t="n"/>
      <c r="CW890" s="588" t="n"/>
      <c r="CX890" s="588" t="n"/>
      <c r="CY890" s="588" t="n"/>
      <c r="CZ890" s="588" t="n"/>
      <c r="DA890" s="588" t="n"/>
      <c r="DB890" s="588" t="n"/>
      <c r="DC890" s="588" t="n"/>
      <c r="DD890" s="588" t="n"/>
      <c r="DE890" s="588" t="n"/>
      <c r="DF890" s="588" t="n"/>
      <c r="DG890" s="588" t="n"/>
      <c r="DH890" s="588" t="n"/>
      <c r="DI890" s="588" t="n"/>
      <c r="DJ890" s="588" t="n"/>
      <c r="DK890" s="588" t="n"/>
      <c r="DL890" s="588" t="n"/>
      <c r="DM890" s="588" t="n"/>
      <c r="DN890" s="588" t="n"/>
      <c r="DO890" s="588" t="n"/>
      <c r="DP890" s="588" t="n"/>
      <c r="DQ890" s="588" t="n"/>
      <c r="DR890" s="588" t="n"/>
      <c r="DS890" s="588" t="n"/>
      <c r="DT890" s="588" t="n"/>
      <c r="DU890" s="588" t="n"/>
    </row>
    <row r="891">
      <c r="A891" s="737" t="n"/>
      <c r="B891" s="737" t="n"/>
      <c r="C891" s="737" t="n"/>
      <c r="D891" s="737" t="n"/>
      <c r="E891" s="737" t="n"/>
      <c r="F891" s="737" t="n"/>
      <c r="G891" s="737" t="n"/>
      <c r="H891" s="737" t="n"/>
      <c r="I891" s="737" t="n"/>
      <c r="J891" s="737" t="n"/>
      <c r="K891" s="737" t="n"/>
      <c r="L891" s="737" t="n"/>
      <c r="M891" s="737" t="n"/>
      <c r="N891" s="737" t="n"/>
      <c r="O891" s="737" t="n"/>
      <c r="P891" s="737" t="n"/>
      <c r="Q891" s="737" t="n"/>
      <c r="R891" s="737" t="n"/>
      <c r="S891" s="737" t="n"/>
      <c r="T891" s="737" t="n"/>
      <c r="U891" s="737" t="n"/>
      <c r="V891" s="737" t="n"/>
      <c r="W891" s="737" t="n"/>
      <c r="X891" s="737" t="n"/>
      <c r="Y891" s="737" t="n"/>
      <c r="Z891" s="737" t="n"/>
      <c r="AA891" s="737" t="n"/>
      <c r="AB891" s="737" t="n"/>
      <c r="AC891" s="737" t="n"/>
      <c r="AD891" s="737" t="n"/>
      <c r="AE891" s="737" t="n"/>
      <c r="AF891" s="737" t="n"/>
      <c r="AG891" s="737" t="n"/>
      <c r="AH891" s="737" t="n"/>
      <c r="AI891" s="737" t="n"/>
      <c r="AJ891" s="737" t="n"/>
      <c r="AK891" s="588" t="n"/>
      <c r="AL891" s="588" t="n"/>
      <c r="AM891" s="588" t="n"/>
      <c r="AN891" s="588" t="n"/>
      <c r="AO891" s="588" t="n"/>
      <c r="AP891" s="588" t="n"/>
      <c r="AQ891" s="588" t="n"/>
      <c r="AR891" s="588" t="n"/>
      <c r="AS891" s="588" t="n"/>
      <c r="AT891" s="588" t="n"/>
      <c r="AU891" s="588" t="n"/>
      <c r="AV891" s="588" t="n"/>
      <c r="AW891" s="588" t="n"/>
      <c r="AX891" s="588" t="n"/>
      <c r="AY891" s="588" t="n"/>
      <c r="AZ891" s="588" t="n"/>
      <c r="BA891" s="588" t="n"/>
      <c r="BB891" s="588" t="n"/>
      <c r="BC891" s="588" t="n"/>
      <c r="BD891" s="588" t="n"/>
      <c r="BE891" s="588" t="n"/>
      <c r="BF891" s="588" t="n"/>
      <c r="BG891" s="588" t="n"/>
      <c r="BH891" s="588" t="n"/>
      <c r="BI891" s="588" t="n"/>
      <c r="BJ891" s="588" t="n"/>
      <c r="BK891" s="588" t="n"/>
      <c r="BL891" s="588" t="n"/>
      <c r="BM891" s="588" t="n"/>
      <c r="BN891" s="588" t="n"/>
      <c r="BO891" s="588" t="n"/>
      <c r="BP891" s="588" t="n"/>
      <c r="BQ891" s="588" t="n"/>
      <c r="BR891" s="588" t="n"/>
      <c r="BS891" s="588" t="n"/>
      <c r="BT891" s="588" t="n"/>
      <c r="BU891" s="588" t="n"/>
      <c r="BV891" s="588" t="n"/>
      <c r="BW891" s="588" t="n"/>
      <c r="BX891" s="588" t="n"/>
      <c r="BY891" s="588" t="n"/>
      <c r="BZ891" s="588" t="n"/>
      <c r="CA891" s="588" t="n"/>
      <c r="CB891" s="588" t="n"/>
      <c r="CC891" s="588" t="n"/>
      <c r="CD891" s="588" t="n"/>
      <c r="CE891" s="588" t="n"/>
      <c r="CF891" s="588" t="n"/>
      <c r="CG891" s="588" t="n"/>
      <c r="CH891" s="588" t="n"/>
      <c r="CI891" s="588" t="n"/>
      <c r="CJ891" s="588" t="n"/>
      <c r="CK891" s="588" t="n"/>
      <c r="CL891" s="588" t="n"/>
      <c r="CM891" s="588" t="n"/>
      <c r="CN891" s="588" t="n"/>
      <c r="CO891" s="588" t="n"/>
      <c r="CP891" s="588" t="n"/>
      <c r="CQ891" s="588" t="n"/>
      <c r="CR891" s="588" t="n"/>
      <c r="CS891" s="588" t="n"/>
      <c r="CT891" s="588" t="n"/>
      <c r="CU891" s="588" t="n"/>
      <c r="CV891" s="588" t="n"/>
      <c r="CW891" s="588" t="n"/>
      <c r="CX891" s="588" t="n"/>
      <c r="CY891" s="588" t="n"/>
      <c r="CZ891" s="588" t="n"/>
      <c r="DA891" s="588" t="n"/>
      <c r="DB891" s="588" t="n"/>
      <c r="DC891" s="588" t="n"/>
      <c r="DD891" s="588" t="n"/>
      <c r="DE891" s="588" t="n"/>
      <c r="DF891" s="588" t="n"/>
      <c r="DG891" s="588" t="n"/>
      <c r="DH891" s="588" t="n"/>
      <c r="DI891" s="588" t="n"/>
      <c r="DJ891" s="588" t="n"/>
      <c r="DK891" s="588" t="n"/>
      <c r="DL891" s="588" t="n"/>
      <c r="DM891" s="588" t="n"/>
      <c r="DN891" s="588" t="n"/>
      <c r="DO891" s="588" t="n"/>
      <c r="DP891" s="588" t="n"/>
      <c r="DQ891" s="588" t="n"/>
      <c r="DR891" s="588" t="n"/>
      <c r="DS891" s="588" t="n"/>
      <c r="DT891" s="588" t="n"/>
      <c r="DU891" s="588" t="n"/>
    </row>
    <row r="892">
      <c r="A892" s="737" t="n"/>
      <c r="B892" s="737" t="n"/>
      <c r="C892" s="737" t="n"/>
      <c r="D892" s="737" t="n"/>
      <c r="E892" s="737" t="n"/>
      <c r="F892" s="737" t="n"/>
      <c r="G892" s="737" t="n"/>
      <c r="H892" s="737" t="n"/>
      <c r="I892" s="737" t="n"/>
      <c r="J892" s="737" t="n"/>
      <c r="K892" s="737" t="n"/>
      <c r="L892" s="737" t="n"/>
      <c r="M892" s="737" t="n"/>
      <c r="N892" s="737" t="n"/>
      <c r="O892" s="737" t="n"/>
      <c r="P892" s="737" t="n"/>
      <c r="Q892" s="737" t="n"/>
      <c r="R892" s="737" t="n"/>
      <c r="S892" s="737" t="n"/>
      <c r="T892" s="737" t="n"/>
      <c r="U892" s="737" t="n"/>
      <c r="V892" s="737" t="n"/>
      <c r="W892" s="737" t="n"/>
      <c r="X892" s="737" t="n"/>
      <c r="Y892" s="737" t="n"/>
      <c r="Z892" s="737" t="n"/>
      <c r="AA892" s="737" t="n"/>
      <c r="AB892" s="737" t="n"/>
      <c r="AC892" s="737" t="n"/>
      <c r="AD892" s="737" t="n"/>
      <c r="AE892" s="737" t="n"/>
      <c r="AF892" s="737" t="n"/>
      <c r="AG892" s="737" t="n"/>
      <c r="AH892" s="737" t="n"/>
      <c r="AI892" s="737" t="n"/>
      <c r="AJ892" s="737" t="n"/>
      <c r="AK892" s="588" t="n"/>
      <c r="AL892" s="588" t="n"/>
      <c r="AM892" s="588" t="n"/>
      <c r="AN892" s="588" t="n"/>
      <c r="AO892" s="588" t="n"/>
      <c r="AP892" s="588" t="n"/>
      <c r="AQ892" s="588" t="n"/>
      <c r="AR892" s="588" t="n"/>
      <c r="AS892" s="588" t="n"/>
      <c r="AT892" s="588" t="n"/>
      <c r="AU892" s="588" t="n"/>
      <c r="AV892" s="588" t="n"/>
      <c r="AW892" s="588" t="n"/>
      <c r="AX892" s="588" t="n"/>
      <c r="AY892" s="588" t="n"/>
      <c r="AZ892" s="588" t="n"/>
      <c r="BA892" s="588" t="n"/>
      <c r="BB892" s="588" t="n"/>
      <c r="BC892" s="588" t="n"/>
      <c r="BD892" s="588" t="n"/>
      <c r="BE892" s="588" t="n"/>
      <c r="BF892" s="588" t="n"/>
      <c r="BG892" s="588" t="n"/>
      <c r="BH892" s="588" t="n"/>
      <c r="BI892" s="588" t="n"/>
      <c r="BJ892" s="588" t="n"/>
      <c r="BK892" s="588" t="n"/>
      <c r="BL892" s="588" t="n"/>
      <c r="BM892" s="588" t="n"/>
      <c r="BN892" s="588" t="n"/>
      <c r="BO892" s="588" t="n"/>
      <c r="BP892" s="588" t="n"/>
      <c r="BQ892" s="588" t="n"/>
      <c r="BR892" s="588" t="n"/>
      <c r="BS892" s="588" t="n"/>
      <c r="BT892" s="588" t="n"/>
      <c r="BU892" s="588" t="n"/>
      <c r="BV892" s="588" t="n"/>
      <c r="BW892" s="588" t="n"/>
      <c r="BX892" s="588" t="n"/>
      <c r="BY892" s="588" t="n"/>
      <c r="BZ892" s="588" t="n"/>
      <c r="CA892" s="588" t="n"/>
      <c r="CB892" s="588" t="n"/>
      <c r="CC892" s="588" t="n"/>
      <c r="CD892" s="588" t="n"/>
      <c r="CE892" s="588" t="n"/>
      <c r="CF892" s="588" t="n"/>
      <c r="CG892" s="588" t="n"/>
      <c r="CH892" s="588" t="n"/>
      <c r="CI892" s="588" t="n"/>
      <c r="CJ892" s="588" t="n"/>
      <c r="CK892" s="588" t="n"/>
      <c r="CL892" s="588" t="n"/>
      <c r="CM892" s="588" t="n"/>
      <c r="CN892" s="588" t="n"/>
      <c r="CO892" s="588" t="n"/>
      <c r="CP892" s="588" t="n"/>
      <c r="CQ892" s="588" t="n"/>
      <c r="CR892" s="588" t="n"/>
      <c r="CS892" s="588" t="n"/>
      <c r="CT892" s="588" t="n"/>
      <c r="CU892" s="588" t="n"/>
      <c r="CV892" s="588" t="n"/>
      <c r="CW892" s="588" t="n"/>
      <c r="CX892" s="588" t="n"/>
      <c r="CY892" s="588" t="n"/>
      <c r="CZ892" s="588" t="n"/>
      <c r="DA892" s="588" t="n"/>
      <c r="DB892" s="588" t="n"/>
      <c r="DC892" s="588" t="n"/>
      <c r="DD892" s="588" t="n"/>
      <c r="DE892" s="588" t="n"/>
      <c r="DF892" s="588" t="n"/>
      <c r="DG892" s="588" t="n"/>
      <c r="DH892" s="588" t="n"/>
      <c r="DI892" s="588" t="n"/>
      <c r="DJ892" s="588" t="n"/>
      <c r="DK892" s="588" t="n"/>
      <c r="DL892" s="588" t="n"/>
      <c r="DM892" s="588" t="n"/>
      <c r="DN892" s="588" t="n"/>
      <c r="DO892" s="588" t="n"/>
      <c r="DP892" s="588" t="n"/>
      <c r="DQ892" s="588" t="n"/>
      <c r="DR892" s="588" t="n"/>
      <c r="DS892" s="588" t="n"/>
      <c r="DT892" s="588" t="n"/>
      <c r="DU892" s="588" t="n"/>
    </row>
    <row r="893">
      <c r="A893" s="737" t="n"/>
      <c r="B893" s="737" t="n"/>
      <c r="C893" s="737" t="n"/>
      <c r="D893" s="737" t="n"/>
      <c r="E893" s="737" t="n"/>
      <c r="F893" s="737" t="n"/>
      <c r="G893" s="737" t="n"/>
      <c r="H893" s="737" t="n"/>
      <c r="I893" s="737" t="n"/>
      <c r="J893" s="737" t="n"/>
      <c r="K893" s="737" t="n"/>
      <c r="L893" s="737" t="n"/>
      <c r="M893" s="737" t="n"/>
      <c r="N893" s="737" t="n"/>
      <c r="O893" s="737" t="n"/>
      <c r="P893" s="737" t="n"/>
      <c r="Q893" s="737" t="n"/>
      <c r="R893" s="737" t="n"/>
      <c r="S893" s="737" t="n"/>
      <c r="T893" s="737" t="n"/>
      <c r="U893" s="737" t="n"/>
      <c r="V893" s="737" t="n"/>
      <c r="W893" s="737" t="n"/>
      <c r="X893" s="737" t="n"/>
      <c r="Y893" s="737" t="n"/>
      <c r="Z893" s="737" t="n"/>
      <c r="AA893" s="737" t="n"/>
      <c r="AB893" s="737" t="n"/>
      <c r="AC893" s="737" t="n"/>
      <c r="AD893" s="737" t="n"/>
      <c r="AE893" s="737" t="n"/>
      <c r="AF893" s="737" t="n"/>
      <c r="AG893" s="737" t="n"/>
      <c r="AH893" s="737" t="n"/>
      <c r="AI893" s="737" t="n"/>
      <c r="AJ893" s="737" t="n"/>
      <c r="AK893" s="588" t="n"/>
      <c r="AL893" s="588" t="n"/>
      <c r="AM893" s="588" t="n"/>
      <c r="AN893" s="588" t="n"/>
      <c r="AO893" s="588" t="n"/>
      <c r="AP893" s="588" t="n"/>
      <c r="AQ893" s="588" t="n"/>
      <c r="AR893" s="588" t="n"/>
      <c r="AS893" s="588" t="n"/>
      <c r="AT893" s="588" t="n"/>
      <c r="AU893" s="588" t="n"/>
      <c r="AV893" s="588" t="n"/>
      <c r="AW893" s="588" t="n"/>
      <c r="AX893" s="588" t="n"/>
      <c r="AY893" s="588" t="n"/>
      <c r="AZ893" s="588" t="n"/>
      <c r="BA893" s="588" t="n"/>
      <c r="BB893" s="588" t="n"/>
      <c r="BC893" s="588" t="n"/>
      <c r="BD893" s="588" t="n"/>
      <c r="BE893" s="588" t="n"/>
      <c r="BF893" s="588" t="n"/>
      <c r="BG893" s="588" t="n"/>
      <c r="BH893" s="588" t="n"/>
      <c r="BI893" s="588" t="n"/>
      <c r="BJ893" s="588" t="n"/>
      <c r="BK893" s="588" t="n"/>
      <c r="BL893" s="588" t="n"/>
      <c r="BM893" s="588" t="n"/>
      <c r="BN893" s="588" t="n"/>
      <c r="BO893" s="588" t="n"/>
      <c r="BP893" s="588" t="n"/>
      <c r="BQ893" s="588" t="n"/>
      <c r="BR893" s="588" t="n"/>
      <c r="BS893" s="588" t="n"/>
      <c r="BT893" s="588" t="n"/>
      <c r="BU893" s="588" t="n"/>
      <c r="BV893" s="588" t="n"/>
      <c r="BW893" s="588" t="n"/>
      <c r="BX893" s="588" t="n"/>
      <c r="BY893" s="588" t="n"/>
      <c r="BZ893" s="588" t="n"/>
      <c r="CA893" s="588" t="n"/>
      <c r="CB893" s="588" t="n"/>
      <c r="CC893" s="588" t="n"/>
      <c r="CD893" s="588" t="n"/>
      <c r="CE893" s="588" t="n"/>
      <c r="CF893" s="588" t="n"/>
      <c r="CG893" s="588" t="n"/>
      <c r="CH893" s="588" t="n"/>
      <c r="CI893" s="588" t="n"/>
      <c r="CJ893" s="588" t="n"/>
      <c r="CK893" s="588" t="n"/>
      <c r="CL893" s="588" t="n"/>
      <c r="CM893" s="588" t="n"/>
      <c r="CN893" s="588" t="n"/>
      <c r="CO893" s="588" t="n"/>
      <c r="CP893" s="588" t="n"/>
      <c r="CQ893" s="588" t="n"/>
      <c r="CR893" s="588" t="n"/>
      <c r="CS893" s="588" t="n"/>
      <c r="CT893" s="588" t="n"/>
      <c r="CU893" s="588" t="n"/>
      <c r="CV893" s="588" t="n"/>
      <c r="CW893" s="588" t="n"/>
      <c r="CX893" s="588" t="n"/>
      <c r="CY893" s="588" t="n"/>
      <c r="CZ893" s="588" t="n"/>
      <c r="DA893" s="588" t="n"/>
      <c r="DB893" s="588" t="n"/>
      <c r="DC893" s="588" t="n"/>
      <c r="DD893" s="588" t="n"/>
      <c r="DE893" s="588" t="n"/>
      <c r="DF893" s="588" t="n"/>
      <c r="DG893" s="588" t="n"/>
      <c r="DH893" s="588" t="n"/>
      <c r="DI893" s="588" t="n"/>
      <c r="DJ893" s="588" t="n"/>
      <c r="DK893" s="588" t="n"/>
      <c r="DL893" s="588" t="n"/>
      <c r="DM893" s="588" t="n"/>
      <c r="DN893" s="588" t="n"/>
      <c r="DO893" s="588" t="n"/>
      <c r="DP893" s="588" t="n"/>
      <c r="DQ893" s="588" t="n"/>
      <c r="DR893" s="588" t="n"/>
      <c r="DS893" s="588" t="n"/>
      <c r="DT893" s="588" t="n"/>
      <c r="DU893" s="588" t="n"/>
    </row>
    <row r="894">
      <c r="A894" s="737" t="n"/>
      <c r="B894" s="737" t="n"/>
      <c r="C894" s="737" t="n"/>
      <c r="D894" s="737" t="n"/>
      <c r="E894" s="737" t="n"/>
      <c r="F894" s="737" t="n"/>
      <c r="G894" s="737" t="n"/>
      <c r="H894" s="737" t="n"/>
      <c r="I894" s="737" t="n"/>
      <c r="J894" s="737" t="n"/>
      <c r="K894" s="737" t="n"/>
      <c r="L894" s="737" t="n"/>
      <c r="M894" s="737" t="n"/>
      <c r="N894" s="737" t="n"/>
      <c r="O894" s="737" t="n"/>
      <c r="P894" s="737" t="n"/>
      <c r="Q894" s="737" t="n"/>
      <c r="R894" s="737" t="n"/>
      <c r="S894" s="737" t="n"/>
      <c r="T894" s="737" t="n"/>
      <c r="U894" s="737" t="n"/>
      <c r="V894" s="737" t="n"/>
      <c r="W894" s="737" t="n"/>
      <c r="X894" s="737" t="n"/>
      <c r="Y894" s="737" t="n"/>
      <c r="Z894" s="737" t="n"/>
      <c r="AA894" s="737" t="n"/>
      <c r="AB894" s="737" t="n"/>
      <c r="AC894" s="737" t="n"/>
      <c r="AD894" s="737" t="n"/>
      <c r="AE894" s="737" t="n"/>
      <c r="AF894" s="737" t="n"/>
      <c r="AG894" s="737" t="n"/>
      <c r="AH894" s="737" t="n"/>
      <c r="AI894" s="737" t="n"/>
      <c r="AJ894" s="737" t="n"/>
      <c r="AK894" s="588" t="n"/>
      <c r="AL894" s="588" t="n"/>
      <c r="AM894" s="588" t="n"/>
      <c r="AN894" s="588" t="n"/>
      <c r="AO894" s="588" t="n"/>
      <c r="AP894" s="588" t="n"/>
      <c r="AQ894" s="588" t="n"/>
      <c r="AR894" s="588" t="n"/>
      <c r="AS894" s="588" t="n"/>
      <c r="AT894" s="588" t="n"/>
      <c r="AU894" s="588" t="n"/>
      <c r="AV894" s="588" t="n"/>
      <c r="AW894" s="588" t="n"/>
      <c r="AX894" s="588" t="n"/>
      <c r="AY894" s="588" t="n"/>
      <c r="AZ894" s="588" t="n"/>
      <c r="BA894" s="588" t="n"/>
      <c r="BB894" s="588" t="n"/>
      <c r="BC894" s="588" t="n"/>
      <c r="BD894" s="588" t="n"/>
      <c r="BE894" s="588" t="n"/>
      <c r="BF894" s="588" t="n"/>
      <c r="BG894" s="588" t="n"/>
      <c r="BH894" s="588" t="n"/>
      <c r="BI894" s="588" t="n"/>
      <c r="BJ894" s="588" t="n"/>
      <c r="BK894" s="588" t="n"/>
      <c r="BL894" s="588" t="n"/>
      <c r="BM894" s="588" t="n"/>
      <c r="BN894" s="588" t="n"/>
      <c r="BO894" s="588" t="n"/>
      <c r="BP894" s="588" t="n"/>
      <c r="BQ894" s="588" t="n"/>
      <c r="BR894" s="588" t="n"/>
      <c r="BS894" s="588" t="n"/>
      <c r="BT894" s="588" t="n"/>
      <c r="BU894" s="588" t="n"/>
      <c r="BV894" s="588" t="n"/>
      <c r="BW894" s="588" t="n"/>
      <c r="BX894" s="588" t="n"/>
      <c r="BY894" s="588" t="n"/>
      <c r="BZ894" s="588" t="n"/>
      <c r="CA894" s="588" t="n"/>
      <c r="CB894" s="588" t="n"/>
      <c r="CC894" s="588" t="n"/>
      <c r="CD894" s="588" t="n"/>
      <c r="CE894" s="588" t="n"/>
      <c r="CF894" s="588" t="n"/>
      <c r="CG894" s="588" t="n"/>
      <c r="CH894" s="588" t="n"/>
      <c r="CI894" s="588" t="n"/>
      <c r="CJ894" s="588" t="n"/>
      <c r="CK894" s="588" t="n"/>
      <c r="CL894" s="588" t="n"/>
      <c r="CM894" s="588" t="n"/>
      <c r="CN894" s="588" t="n"/>
      <c r="CO894" s="588" t="n"/>
      <c r="CP894" s="588" t="n"/>
      <c r="CQ894" s="588" t="n"/>
      <c r="CR894" s="588" t="n"/>
      <c r="CS894" s="588" t="n"/>
      <c r="CT894" s="588" t="n"/>
      <c r="CU894" s="588" t="n"/>
      <c r="CV894" s="588" t="n"/>
      <c r="CW894" s="588" t="n"/>
      <c r="CX894" s="588" t="n"/>
      <c r="CY894" s="588" t="n"/>
      <c r="CZ894" s="588" t="n"/>
      <c r="DA894" s="588" t="n"/>
      <c r="DB894" s="588" t="n"/>
      <c r="DC894" s="588" t="n"/>
      <c r="DD894" s="588" t="n"/>
      <c r="DE894" s="588" t="n"/>
      <c r="DF894" s="588" t="n"/>
      <c r="DG894" s="588" t="n"/>
      <c r="DH894" s="588" t="n"/>
      <c r="DI894" s="588" t="n"/>
      <c r="DJ894" s="588" t="n"/>
      <c r="DK894" s="588" t="n"/>
      <c r="DL894" s="588" t="n"/>
      <c r="DM894" s="588" t="n"/>
      <c r="DN894" s="588" t="n"/>
      <c r="DO894" s="588" t="n"/>
      <c r="DP894" s="588" t="n"/>
      <c r="DQ894" s="588" t="n"/>
      <c r="DR894" s="588" t="n"/>
      <c r="DS894" s="588" t="n"/>
      <c r="DT894" s="588" t="n"/>
      <c r="DU894" s="588" t="n"/>
    </row>
    <row r="895">
      <c r="A895" s="737" t="n"/>
      <c r="B895" s="737" t="n"/>
      <c r="C895" s="737" t="n"/>
      <c r="D895" s="737" t="n"/>
      <c r="E895" s="737" t="n"/>
      <c r="F895" s="737" t="n"/>
      <c r="G895" s="737" t="n"/>
      <c r="H895" s="737" t="n"/>
      <c r="I895" s="737" t="n"/>
      <c r="J895" s="737" t="n"/>
      <c r="K895" s="737" t="n"/>
      <c r="L895" s="737" t="n"/>
      <c r="M895" s="737" t="n"/>
      <c r="N895" s="737" t="n"/>
      <c r="O895" s="737" t="n"/>
      <c r="P895" s="737" t="n"/>
      <c r="Q895" s="737" t="n"/>
      <c r="R895" s="737" t="n"/>
      <c r="S895" s="737" t="n"/>
      <c r="T895" s="737" t="n"/>
      <c r="U895" s="737" t="n"/>
      <c r="V895" s="737" t="n"/>
      <c r="W895" s="737" t="n"/>
      <c r="X895" s="737" t="n"/>
      <c r="Y895" s="737" t="n"/>
      <c r="Z895" s="737" t="n"/>
      <c r="AA895" s="737" t="n"/>
      <c r="AB895" s="737" t="n"/>
      <c r="AC895" s="737" t="n"/>
      <c r="AD895" s="737" t="n"/>
      <c r="AE895" s="737" t="n"/>
      <c r="AF895" s="737" t="n"/>
      <c r="AG895" s="737" t="n"/>
      <c r="AH895" s="737" t="n"/>
      <c r="AI895" s="737" t="n"/>
      <c r="AJ895" s="737" t="n"/>
      <c r="AK895" s="588" t="n"/>
      <c r="AL895" s="588" t="n"/>
      <c r="AM895" s="588" t="n"/>
      <c r="AN895" s="588" t="n"/>
      <c r="AO895" s="588" t="n"/>
      <c r="AP895" s="588" t="n"/>
      <c r="AQ895" s="588" t="n"/>
      <c r="AR895" s="588" t="n"/>
      <c r="AS895" s="588" t="n"/>
      <c r="AT895" s="588" t="n"/>
      <c r="AU895" s="588" t="n"/>
      <c r="AV895" s="588" t="n"/>
      <c r="AW895" s="588" t="n"/>
      <c r="AX895" s="588" t="n"/>
      <c r="AY895" s="588" t="n"/>
      <c r="AZ895" s="588" t="n"/>
      <c r="BA895" s="588" t="n"/>
      <c r="BB895" s="588" t="n"/>
      <c r="BC895" s="588" t="n"/>
      <c r="BD895" s="588" t="n"/>
      <c r="BE895" s="588" t="n"/>
      <c r="BF895" s="588" t="n"/>
      <c r="BG895" s="588" t="n"/>
      <c r="BH895" s="588" t="n"/>
      <c r="BI895" s="588" t="n"/>
      <c r="BJ895" s="588" t="n"/>
      <c r="BK895" s="588" t="n"/>
      <c r="BL895" s="588" t="n"/>
      <c r="BM895" s="588" t="n"/>
      <c r="BN895" s="588" t="n"/>
      <c r="BO895" s="588" t="n"/>
      <c r="BP895" s="588" t="n"/>
      <c r="BQ895" s="588" t="n"/>
      <c r="BR895" s="588" t="n"/>
      <c r="BS895" s="588" t="n"/>
      <c r="BT895" s="588" t="n"/>
      <c r="BU895" s="588" t="n"/>
      <c r="BV895" s="588" t="n"/>
      <c r="BW895" s="588" t="n"/>
      <c r="BX895" s="588" t="n"/>
      <c r="BY895" s="588" t="n"/>
      <c r="BZ895" s="588" t="n"/>
      <c r="CA895" s="588" t="n"/>
      <c r="CB895" s="588" t="n"/>
      <c r="CC895" s="588" t="n"/>
      <c r="CD895" s="588" t="n"/>
      <c r="CE895" s="588" t="n"/>
      <c r="CF895" s="588" t="n"/>
      <c r="CG895" s="588" t="n"/>
      <c r="CH895" s="588" t="n"/>
      <c r="CI895" s="588" t="n"/>
      <c r="CJ895" s="588" t="n"/>
      <c r="CK895" s="588" t="n"/>
      <c r="CL895" s="588" t="n"/>
      <c r="CM895" s="588" t="n"/>
      <c r="CN895" s="588" t="n"/>
      <c r="CO895" s="588" t="n"/>
      <c r="CP895" s="588" t="n"/>
      <c r="CQ895" s="588" t="n"/>
      <c r="CR895" s="588" t="n"/>
      <c r="CS895" s="588" t="n"/>
      <c r="CT895" s="588" t="n"/>
      <c r="CU895" s="588" t="n"/>
      <c r="CV895" s="588" t="n"/>
      <c r="CW895" s="588" t="n"/>
      <c r="CX895" s="588" t="n"/>
      <c r="CY895" s="588" t="n"/>
      <c r="CZ895" s="588" t="n"/>
      <c r="DA895" s="588" t="n"/>
      <c r="DB895" s="588" t="n"/>
      <c r="DC895" s="588" t="n"/>
      <c r="DD895" s="588" t="n"/>
      <c r="DE895" s="588" t="n"/>
      <c r="DF895" s="588" t="n"/>
      <c r="DG895" s="588" t="n"/>
      <c r="DH895" s="588" t="n"/>
      <c r="DI895" s="588" t="n"/>
      <c r="DJ895" s="588" t="n"/>
      <c r="DK895" s="588" t="n"/>
      <c r="DL895" s="588" t="n"/>
      <c r="DM895" s="588" t="n"/>
      <c r="DN895" s="588" t="n"/>
      <c r="DO895" s="588" t="n"/>
      <c r="DP895" s="588" t="n"/>
      <c r="DQ895" s="588" t="n"/>
      <c r="DR895" s="588" t="n"/>
      <c r="DS895" s="588" t="n"/>
      <c r="DT895" s="588" t="n"/>
      <c r="DU895" s="588" t="n"/>
    </row>
    <row r="896">
      <c r="A896" s="737" t="n"/>
      <c r="B896" s="737" t="n"/>
      <c r="C896" s="737" t="n"/>
      <c r="D896" s="737" t="n"/>
      <c r="E896" s="737" t="n"/>
      <c r="F896" s="737" t="n"/>
      <c r="G896" s="737" t="n"/>
      <c r="H896" s="737" t="n"/>
      <c r="I896" s="737" t="n"/>
      <c r="J896" s="737" t="n"/>
      <c r="K896" s="737" t="n"/>
      <c r="L896" s="737" t="n"/>
      <c r="M896" s="737" t="n"/>
      <c r="N896" s="737" t="n"/>
      <c r="O896" s="737" t="n"/>
      <c r="P896" s="737" t="n"/>
      <c r="Q896" s="737" t="n"/>
      <c r="R896" s="737" t="n"/>
      <c r="S896" s="737" t="n"/>
      <c r="T896" s="737" t="n"/>
      <c r="U896" s="737" t="n"/>
      <c r="V896" s="737" t="n"/>
      <c r="W896" s="737" t="n"/>
      <c r="X896" s="737" t="n"/>
      <c r="Y896" s="737" t="n"/>
      <c r="Z896" s="737" t="n"/>
      <c r="AA896" s="737" t="n"/>
      <c r="AB896" s="737" t="n"/>
      <c r="AC896" s="737" t="n"/>
      <c r="AD896" s="737" t="n"/>
      <c r="AE896" s="737" t="n"/>
      <c r="AF896" s="737" t="n"/>
      <c r="AG896" s="737" t="n"/>
      <c r="AH896" s="737" t="n"/>
      <c r="AI896" s="737" t="n"/>
      <c r="AJ896" s="737" t="n"/>
      <c r="AK896" s="588" t="n"/>
      <c r="AL896" s="588" t="n"/>
      <c r="AM896" s="588" t="n"/>
      <c r="AN896" s="588" t="n"/>
      <c r="AO896" s="588" t="n"/>
      <c r="AP896" s="588" t="n"/>
      <c r="AQ896" s="588" t="n"/>
      <c r="AR896" s="588" t="n"/>
      <c r="AS896" s="588" t="n"/>
      <c r="AT896" s="588" t="n"/>
      <c r="AU896" s="588" t="n"/>
      <c r="AV896" s="588" t="n"/>
      <c r="AW896" s="588" t="n"/>
      <c r="AX896" s="588" t="n"/>
      <c r="AY896" s="588" t="n"/>
      <c r="AZ896" s="588" t="n"/>
      <c r="BA896" s="588" t="n"/>
      <c r="BB896" s="588" t="n"/>
      <c r="BC896" s="588" t="n"/>
      <c r="BD896" s="588" t="n"/>
      <c r="BE896" s="588" t="n"/>
      <c r="BF896" s="588" t="n"/>
      <c r="BG896" s="588" t="n"/>
      <c r="BH896" s="588" t="n"/>
      <c r="BI896" s="588" t="n"/>
      <c r="BJ896" s="588" t="n"/>
      <c r="BK896" s="588" t="n"/>
      <c r="BL896" s="588" t="n"/>
      <c r="BM896" s="588" t="n"/>
      <c r="BN896" s="588" t="n"/>
      <c r="BO896" s="588" t="n"/>
      <c r="BP896" s="588" t="n"/>
      <c r="BQ896" s="588" t="n"/>
      <c r="BR896" s="588" t="n"/>
      <c r="BS896" s="588" t="n"/>
      <c r="BT896" s="588" t="n"/>
      <c r="BU896" s="588" t="n"/>
      <c r="BV896" s="588" t="n"/>
      <c r="BW896" s="588" t="n"/>
      <c r="BX896" s="588" t="n"/>
      <c r="BY896" s="588" t="n"/>
      <c r="BZ896" s="588" t="n"/>
      <c r="CA896" s="588" t="n"/>
      <c r="CB896" s="588" t="n"/>
      <c r="CC896" s="588" t="n"/>
      <c r="CD896" s="588" t="n"/>
      <c r="CE896" s="588" t="n"/>
      <c r="CF896" s="588" t="n"/>
      <c r="CG896" s="588" t="n"/>
      <c r="CH896" s="588" t="n"/>
      <c r="CI896" s="588" t="n"/>
      <c r="CJ896" s="588" t="n"/>
      <c r="CK896" s="588" t="n"/>
      <c r="CL896" s="588" t="n"/>
      <c r="CM896" s="588" t="n"/>
      <c r="CN896" s="588" t="n"/>
      <c r="CO896" s="588" t="n"/>
      <c r="CP896" s="588" t="n"/>
      <c r="CQ896" s="588" t="n"/>
      <c r="CR896" s="588" t="n"/>
      <c r="CS896" s="588" t="n"/>
      <c r="CT896" s="588" t="n"/>
      <c r="CU896" s="588" t="n"/>
      <c r="CV896" s="588" t="n"/>
      <c r="CW896" s="588" t="n"/>
      <c r="CX896" s="588" t="n"/>
      <c r="CY896" s="588" t="n"/>
      <c r="CZ896" s="588" t="n"/>
      <c r="DA896" s="588" t="n"/>
      <c r="DB896" s="588" t="n"/>
      <c r="DC896" s="588" t="n"/>
      <c r="DD896" s="588" t="n"/>
      <c r="DE896" s="588" t="n"/>
      <c r="DF896" s="588" t="n"/>
      <c r="DG896" s="588" t="n"/>
      <c r="DH896" s="588" t="n"/>
      <c r="DI896" s="588" t="n"/>
      <c r="DJ896" s="588" t="n"/>
      <c r="DK896" s="588" t="n"/>
      <c r="DL896" s="588" t="n"/>
      <c r="DM896" s="588" t="n"/>
      <c r="DN896" s="588" t="n"/>
      <c r="DO896" s="588" t="n"/>
      <c r="DP896" s="588" t="n"/>
      <c r="DQ896" s="588" t="n"/>
      <c r="DR896" s="588" t="n"/>
      <c r="DS896" s="588" t="n"/>
      <c r="DT896" s="588" t="n"/>
      <c r="DU896" s="588" t="n"/>
    </row>
    <row r="897">
      <c r="A897" s="737" t="n"/>
      <c r="B897" s="737" t="n"/>
      <c r="C897" s="737" t="n"/>
      <c r="D897" s="737" t="n"/>
      <c r="E897" s="737" t="n"/>
      <c r="F897" s="737" t="n"/>
      <c r="G897" s="737" t="n"/>
      <c r="H897" s="737" t="n"/>
      <c r="I897" s="737" t="n"/>
      <c r="J897" s="737" t="n"/>
      <c r="K897" s="737" t="n"/>
      <c r="L897" s="737" t="n"/>
      <c r="M897" s="737" t="n"/>
      <c r="N897" s="737" t="n"/>
      <c r="O897" s="737" t="n"/>
      <c r="P897" s="737" t="n"/>
      <c r="Q897" s="737" t="n"/>
      <c r="R897" s="737" t="n"/>
      <c r="S897" s="737" t="n"/>
      <c r="T897" s="737" t="n"/>
      <c r="U897" s="737" t="n"/>
      <c r="V897" s="737" t="n"/>
      <c r="W897" s="737" t="n"/>
      <c r="X897" s="737" t="n"/>
      <c r="Y897" s="737" t="n"/>
      <c r="Z897" s="737" t="n"/>
      <c r="AA897" s="737" t="n"/>
      <c r="AB897" s="737" t="n"/>
      <c r="AC897" s="737" t="n"/>
      <c r="AD897" s="737" t="n"/>
      <c r="AE897" s="737" t="n"/>
      <c r="AF897" s="737" t="n"/>
      <c r="AG897" s="737" t="n"/>
      <c r="AH897" s="737" t="n"/>
      <c r="AI897" s="737" t="n"/>
      <c r="AJ897" s="737" t="n"/>
      <c r="AK897" s="588" t="n"/>
      <c r="AL897" s="588" t="n"/>
      <c r="AM897" s="588" t="n"/>
      <c r="AN897" s="588" t="n"/>
      <c r="AO897" s="588" t="n"/>
      <c r="AP897" s="588" t="n"/>
      <c r="AQ897" s="588" t="n"/>
      <c r="AR897" s="588" t="n"/>
      <c r="AS897" s="588" t="n"/>
      <c r="AT897" s="588" t="n"/>
      <c r="AU897" s="588" t="n"/>
      <c r="AV897" s="588" t="n"/>
      <c r="AW897" s="588" t="n"/>
      <c r="AX897" s="588" t="n"/>
      <c r="AY897" s="588" t="n"/>
      <c r="AZ897" s="588" t="n"/>
      <c r="BA897" s="588" t="n"/>
      <c r="BB897" s="588" t="n"/>
      <c r="BC897" s="588" t="n"/>
      <c r="BD897" s="588" t="n"/>
      <c r="BE897" s="588" t="n"/>
      <c r="BF897" s="588" t="n"/>
      <c r="BG897" s="588" t="n"/>
      <c r="BH897" s="588" t="n"/>
      <c r="BI897" s="588" t="n"/>
      <c r="BJ897" s="588" t="n"/>
      <c r="BK897" s="588" t="n"/>
      <c r="BL897" s="588" t="n"/>
      <c r="BM897" s="588" t="n"/>
      <c r="BN897" s="588" t="n"/>
      <c r="BO897" s="588" t="n"/>
      <c r="BP897" s="588" t="n"/>
      <c r="BQ897" s="588" t="n"/>
      <c r="BR897" s="588" t="n"/>
      <c r="BS897" s="588" t="n"/>
      <c r="BT897" s="588" t="n"/>
      <c r="BU897" s="588" t="n"/>
      <c r="BV897" s="588" t="n"/>
      <c r="BW897" s="588" t="n"/>
      <c r="BX897" s="588" t="n"/>
      <c r="BY897" s="588" t="n"/>
      <c r="BZ897" s="588" t="n"/>
      <c r="CA897" s="588" t="n"/>
      <c r="CB897" s="588" t="n"/>
      <c r="CC897" s="588" t="n"/>
      <c r="CD897" s="588" t="n"/>
      <c r="CE897" s="588" t="n"/>
      <c r="CF897" s="588" t="n"/>
      <c r="CG897" s="588" t="n"/>
      <c r="CH897" s="588" t="n"/>
      <c r="CI897" s="588" t="n"/>
      <c r="CJ897" s="588" t="n"/>
      <c r="CK897" s="588" t="n"/>
      <c r="CL897" s="588" t="n"/>
      <c r="CM897" s="588" t="n"/>
      <c r="CN897" s="588" t="n"/>
      <c r="CO897" s="588" t="n"/>
      <c r="CP897" s="588" t="n"/>
      <c r="CQ897" s="588" t="n"/>
      <c r="CR897" s="588" t="n"/>
      <c r="CS897" s="588" t="n"/>
      <c r="CT897" s="588" t="n"/>
      <c r="CU897" s="588" t="n"/>
      <c r="CV897" s="588" t="n"/>
      <c r="CW897" s="588" t="n"/>
      <c r="CX897" s="588" t="n"/>
      <c r="CY897" s="588" t="n"/>
      <c r="CZ897" s="588" t="n"/>
      <c r="DA897" s="588" t="n"/>
      <c r="DB897" s="588" t="n"/>
      <c r="DC897" s="588" t="n"/>
      <c r="DD897" s="588" t="n"/>
      <c r="DE897" s="588" t="n"/>
      <c r="DF897" s="588" t="n"/>
      <c r="DG897" s="588" t="n"/>
      <c r="DH897" s="588" t="n"/>
      <c r="DI897" s="588" t="n"/>
      <c r="DJ897" s="588" t="n"/>
      <c r="DK897" s="588" t="n"/>
      <c r="DL897" s="588" t="n"/>
      <c r="DM897" s="588" t="n"/>
      <c r="DN897" s="588" t="n"/>
      <c r="DO897" s="588" t="n"/>
      <c r="DP897" s="588" t="n"/>
      <c r="DQ897" s="588" t="n"/>
      <c r="DR897" s="588" t="n"/>
      <c r="DS897" s="588" t="n"/>
      <c r="DT897" s="588" t="n"/>
      <c r="DU897" s="588" t="n"/>
    </row>
    <row r="898">
      <c r="A898" s="737" t="n"/>
      <c r="B898" s="737" t="n"/>
      <c r="C898" s="737" t="n"/>
      <c r="D898" s="737" t="n"/>
      <c r="E898" s="737" t="n"/>
      <c r="F898" s="737" t="n"/>
      <c r="G898" s="737" t="n"/>
      <c r="H898" s="737" t="n"/>
      <c r="I898" s="737" t="n"/>
      <c r="J898" s="737" t="n"/>
      <c r="K898" s="737" t="n"/>
      <c r="L898" s="737" t="n"/>
      <c r="M898" s="737" t="n"/>
      <c r="N898" s="737" t="n"/>
      <c r="O898" s="737" t="n"/>
      <c r="P898" s="737" t="n"/>
      <c r="Q898" s="737" t="n"/>
      <c r="R898" s="737" t="n"/>
      <c r="S898" s="737" t="n"/>
      <c r="T898" s="737" t="n"/>
      <c r="U898" s="737" t="n"/>
      <c r="V898" s="737" t="n"/>
      <c r="W898" s="737" t="n"/>
      <c r="X898" s="737" t="n"/>
      <c r="Y898" s="737" t="n"/>
      <c r="Z898" s="737" t="n"/>
      <c r="AA898" s="737" t="n"/>
      <c r="AB898" s="737" t="n"/>
      <c r="AC898" s="737" t="n"/>
      <c r="AD898" s="737" t="n"/>
      <c r="AE898" s="737" t="n"/>
      <c r="AF898" s="737" t="n"/>
      <c r="AG898" s="737" t="n"/>
      <c r="AH898" s="737" t="n"/>
      <c r="AI898" s="737" t="n"/>
      <c r="AJ898" s="737" t="n"/>
      <c r="AK898" s="588" t="n"/>
      <c r="AL898" s="588" t="n"/>
      <c r="AM898" s="588" t="n"/>
      <c r="AN898" s="588" t="n"/>
      <c r="AO898" s="588" t="n"/>
      <c r="AP898" s="588" t="n"/>
      <c r="AQ898" s="588" t="n"/>
      <c r="AR898" s="588" t="n"/>
      <c r="AS898" s="588" t="n"/>
      <c r="AT898" s="588" t="n"/>
      <c r="AU898" s="588" t="n"/>
      <c r="AV898" s="588" t="n"/>
      <c r="AW898" s="588" t="n"/>
      <c r="AX898" s="588" t="n"/>
      <c r="AY898" s="588" t="n"/>
      <c r="AZ898" s="588" t="n"/>
      <c r="BA898" s="588" t="n"/>
      <c r="BB898" s="588" t="n"/>
      <c r="BC898" s="588" t="n"/>
      <c r="BD898" s="588" t="n"/>
      <c r="BE898" s="588" t="n"/>
      <c r="BF898" s="588" t="n"/>
      <c r="BG898" s="588" t="n"/>
      <c r="BH898" s="588" t="n"/>
      <c r="BI898" s="588" t="n"/>
      <c r="BJ898" s="588" t="n"/>
      <c r="BK898" s="588" t="n"/>
      <c r="BL898" s="588" t="n"/>
      <c r="BM898" s="588" t="n"/>
      <c r="BN898" s="588" t="n"/>
      <c r="BO898" s="588" t="n"/>
      <c r="BP898" s="588" t="n"/>
      <c r="BQ898" s="588" t="n"/>
      <c r="BR898" s="588" t="n"/>
      <c r="BS898" s="588" t="n"/>
      <c r="BT898" s="588" t="n"/>
      <c r="BU898" s="588" t="n"/>
      <c r="BV898" s="588" t="n"/>
      <c r="BW898" s="588" t="n"/>
      <c r="BX898" s="588" t="n"/>
      <c r="BY898" s="588" t="n"/>
      <c r="BZ898" s="588" t="n"/>
      <c r="CA898" s="588" t="n"/>
      <c r="CB898" s="588" t="n"/>
      <c r="CC898" s="588" t="n"/>
      <c r="CD898" s="588" t="n"/>
      <c r="CE898" s="588" t="n"/>
      <c r="CF898" s="588" t="n"/>
      <c r="CG898" s="588" t="n"/>
      <c r="CH898" s="588" t="n"/>
      <c r="CI898" s="588" t="n"/>
      <c r="CJ898" s="588" t="n"/>
      <c r="CK898" s="588" t="n"/>
      <c r="CL898" s="588" t="n"/>
      <c r="CM898" s="588" t="n"/>
      <c r="CN898" s="588" t="n"/>
      <c r="CO898" s="588" t="n"/>
      <c r="CP898" s="588" t="n"/>
      <c r="CQ898" s="588" t="n"/>
      <c r="CR898" s="588" t="n"/>
      <c r="CS898" s="588" t="n"/>
      <c r="CT898" s="588" t="n"/>
      <c r="CU898" s="588" t="n"/>
      <c r="CV898" s="588" t="n"/>
      <c r="CW898" s="588" t="n"/>
      <c r="CX898" s="588" t="n"/>
      <c r="CY898" s="588" t="n"/>
      <c r="CZ898" s="588" t="n"/>
      <c r="DA898" s="588" t="n"/>
      <c r="DB898" s="588" t="n"/>
      <c r="DC898" s="588" t="n"/>
      <c r="DD898" s="588" t="n"/>
      <c r="DE898" s="588" t="n"/>
      <c r="DF898" s="588" t="n"/>
      <c r="DG898" s="588" t="n"/>
      <c r="DH898" s="588" t="n"/>
      <c r="DI898" s="588" t="n"/>
      <c r="DJ898" s="588" t="n"/>
      <c r="DK898" s="588" t="n"/>
      <c r="DL898" s="588" t="n"/>
      <c r="DM898" s="588" t="n"/>
      <c r="DN898" s="588" t="n"/>
      <c r="DO898" s="588" t="n"/>
      <c r="DP898" s="588" t="n"/>
      <c r="DQ898" s="588" t="n"/>
      <c r="DR898" s="588" t="n"/>
      <c r="DS898" s="588" t="n"/>
      <c r="DT898" s="588" t="n"/>
      <c r="DU898" s="588" t="n"/>
    </row>
    <row r="899">
      <c r="A899" s="737" t="n"/>
      <c r="B899" s="737" t="n"/>
      <c r="C899" s="737" t="n"/>
      <c r="D899" s="737" t="n"/>
      <c r="E899" s="737" t="n"/>
      <c r="F899" s="737" t="n"/>
      <c r="G899" s="737" t="n"/>
      <c r="H899" s="737" t="n"/>
      <c r="I899" s="737" t="n"/>
      <c r="J899" s="737" t="n"/>
      <c r="K899" s="737" t="n"/>
      <c r="L899" s="737" t="n"/>
      <c r="M899" s="737" t="n"/>
      <c r="N899" s="737" t="n"/>
      <c r="O899" s="737" t="n"/>
      <c r="P899" s="737" t="n"/>
      <c r="Q899" s="737" t="n"/>
      <c r="R899" s="737" t="n"/>
      <c r="S899" s="737" t="n"/>
      <c r="T899" s="737" t="n"/>
      <c r="U899" s="737" t="n"/>
      <c r="V899" s="737" t="n"/>
      <c r="W899" s="737" t="n"/>
      <c r="X899" s="737" t="n"/>
      <c r="Y899" s="737" t="n"/>
      <c r="Z899" s="737" t="n"/>
      <c r="AA899" s="737" t="n"/>
      <c r="AB899" s="737" t="n"/>
      <c r="AC899" s="737" t="n"/>
      <c r="AD899" s="737" t="n"/>
      <c r="AE899" s="737" t="n"/>
      <c r="AF899" s="737" t="n"/>
      <c r="AG899" s="737" t="n"/>
      <c r="AH899" s="737" t="n"/>
      <c r="AI899" s="737" t="n"/>
      <c r="AJ899" s="737" t="n"/>
      <c r="AK899" s="588" t="n"/>
      <c r="AL899" s="588" t="n"/>
      <c r="AM899" s="588" t="n"/>
      <c r="AN899" s="588" t="n"/>
      <c r="AO899" s="588" t="n"/>
      <c r="AP899" s="588" t="n"/>
      <c r="AQ899" s="588" t="n"/>
      <c r="AR899" s="588" t="n"/>
      <c r="AS899" s="588" t="n"/>
      <c r="AT899" s="588" t="n"/>
      <c r="AU899" s="588" t="n"/>
      <c r="AV899" s="588" t="n"/>
      <c r="AW899" s="588" t="n"/>
      <c r="AX899" s="588" t="n"/>
      <c r="AY899" s="588" t="n"/>
      <c r="AZ899" s="588" t="n"/>
      <c r="BA899" s="588" t="n"/>
      <c r="BB899" s="588" t="n"/>
      <c r="BC899" s="588" t="n"/>
      <c r="BD899" s="588" t="n"/>
      <c r="BE899" s="588" t="n"/>
      <c r="BF899" s="588" t="n"/>
      <c r="BG899" s="588" t="n"/>
      <c r="BH899" s="588" t="n"/>
      <c r="BI899" s="588" t="n"/>
      <c r="BJ899" s="588" t="n"/>
      <c r="BK899" s="588" t="n"/>
      <c r="BL899" s="588" t="n"/>
      <c r="BM899" s="588" t="n"/>
      <c r="BN899" s="588" t="n"/>
      <c r="BO899" s="588" t="n"/>
      <c r="BP899" s="588" t="n"/>
      <c r="BQ899" s="588" t="n"/>
      <c r="BR899" s="588" t="n"/>
      <c r="BS899" s="588" t="n"/>
      <c r="BT899" s="588" t="n"/>
      <c r="BU899" s="588" t="n"/>
      <c r="BV899" s="588" t="n"/>
      <c r="BW899" s="588" t="n"/>
      <c r="BX899" s="588" t="n"/>
      <c r="BY899" s="588" t="n"/>
      <c r="BZ899" s="588" t="n"/>
      <c r="CA899" s="588" t="n"/>
      <c r="CB899" s="588" t="n"/>
      <c r="CC899" s="588" t="n"/>
      <c r="CD899" s="588" t="n"/>
      <c r="CE899" s="588" t="n"/>
      <c r="CF899" s="588" t="n"/>
      <c r="CG899" s="588" t="n"/>
      <c r="CH899" s="588" t="n"/>
      <c r="CI899" s="588" t="n"/>
      <c r="CJ899" s="588" t="n"/>
      <c r="CK899" s="588" t="n"/>
      <c r="CL899" s="588" t="n"/>
      <c r="CM899" s="588" t="n"/>
      <c r="CN899" s="588" t="n"/>
      <c r="CO899" s="588" t="n"/>
      <c r="CP899" s="588" t="n"/>
      <c r="CQ899" s="588" t="n"/>
      <c r="CR899" s="588" t="n"/>
      <c r="CS899" s="588" t="n"/>
      <c r="CT899" s="588" t="n"/>
      <c r="CU899" s="588" t="n"/>
      <c r="CV899" s="588" t="n"/>
      <c r="CW899" s="588" t="n"/>
      <c r="CX899" s="588" t="n"/>
      <c r="CY899" s="588" t="n"/>
      <c r="CZ899" s="588" t="n"/>
      <c r="DA899" s="588" t="n"/>
      <c r="DB899" s="588" t="n"/>
      <c r="DC899" s="588" t="n"/>
      <c r="DD899" s="588" t="n"/>
      <c r="DE899" s="588" t="n"/>
      <c r="DF899" s="588" t="n"/>
      <c r="DG899" s="588" t="n"/>
      <c r="DH899" s="588" t="n"/>
      <c r="DI899" s="588" t="n"/>
      <c r="DJ899" s="588" t="n"/>
      <c r="DK899" s="588" t="n"/>
      <c r="DL899" s="588" t="n"/>
      <c r="DM899" s="588" t="n"/>
      <c r="DN899" s="588" t="n"/>
      <c r="DO899" s="588" t="n"/>
      <c r="DP899" s="588" t="n"/>
      <c r="DQ899" s="588" t="n"/>
      <c r="DR899" s="588" t="n"/>
      <c r="DS899" s="588" t="n"/>
      <c r="DT899" s="588" t="n"/>
      <c r="DU899" s="588" t="n"/>
    </row>
    <row r="900">
      <c r="A900" s="737" t="n"/>
      <c r="B900" s="737" t="n"/>
      <c r="C900" s="737" t="n"/>
      <c r="D900" s="737" t="n"/>
      <c r="E900" s="737" t="n"/>
      <c r="F900" s="737" t="n"/>
      <c r="G900" s="737" t="n"/>
      <c r="H900" s="737" t="n"/>
      <c r="I900" s="737" t="n"/>
      <c r="J900" s="737" t="n"/>
      <c r="K900" s="737" t="n"/>
      <c r="L900" s="737" t="n"/>
      <c r="M900" s="737" t="n"/>
      <c r="N900" s="737" t="n"/>
      <c r="O900" s="737" t="n"/>
      <c r="P900" s="737" t="n"/>
      <c r="Q900" s="737" t="n"/>
      <c r="R900" s="737" t="n"/>
      <c r="S900" s="737" t="n"/>
      <c r="T900" s="737" t="n"/>
      <c r="U900" s="737" t="n"/>
      <c r="V900" s="737" t="n"/>
      <c r="W900" s="737" t="n"/>
      <c r="X900" s="737" t="n"/>
      <c r="Y900" s="737" t="n"/>
      <c r="Z900" s="737" t="n"/>
      <c r="AA900" s="737" t="n"/>
      <c r="AB900" s="737" t="n"/>
      <c r="AC900" s="737" t="n"/>
      <c r="AD900" s="737" t="n"/>
      <c r="AE900" s="737" t="n"/>
      <c r="AF900" s="737" t="n"/>
      <c r="AG900" s="737" t="n"/>
      <c r="AH900" s="737" t="n"/>
      <c r="AI900" s="737" t="n"/>
      <c r="AJ900" s="737" t="n"/>
      <c r="AK900" s="588" t="n"/>
      <c r="AL900" s="588" t="n"/>
      <c r="AM900" s="588" t="n"/>
      <c r="AN900" s="588" t="n"/>
      <c r="AO900" s="588" t="n"/>
      <c r="AP900" s="588" t="n"/>
      <c r="AQ900" s="588" t="n"/>
      <c r="AR900" s="588" t="n"/>
      <c r="AS900" s="588" t="n"/>
      <c r="AT900" s="588" t="n"/>
      <c r="AU900" s="588" t="n"/>
      <c r="AV900" s="588" t="n"/>
      <c r="AW900" s="588" t="n"/>
      <c r="AX900" s="588" t="n"/>
      <c r="AY900" s="588" t="n"/>
      <c r="AZ900" s="588" t="n"/>
      <c r="BA900" s="588" t="n"/>
      <c r="BB900" s="588" t="n"/>
      <c r="BC900" s="588" t="n"/>
      <c r="BD900" s="588" t="n"/>
      <c r="BE900" s="588" t="n"/>
      <c r="BF900" s="588" t="n"/>
      <c r="BG900" s="588" t="n"/>
      <c r="BH900" s="588" t="n"/>
      <c r="BI900" s="588" t="n"/>
      <c r="BJ900" s="588" t="n"/>
      <c r="BK900" s="588" t="n"/>
      <c r="BL900" s="588" t="n"/>
      <c r="BM900" s="588" t="n"/>
      <c r="BN900" s="588" t="n"/>
      <c r="BO900" s="588" t="n"/>
      <c r="BP900" s="588" t="n"/>
      <c r="BQ900" s="588" t="n"/>
      <c r="BR900" s="588" t="n"/>
      <c r="BS900" s="588" t="n"/>
      <c r="BT900" s="588" t="n"/>
      <c r="BU900" s="588" t="n"/>
      <c r="BV900" s="588" t="n"/>
      <c r="BW900" s="588" t="n"/>
      <c r="BX900" s="588" t="n"/>
      <c r="BY900" s="588" t="n"/>
      <c r="BZ900" s="588" t="n"/>
      <c r="CA900" s="588" t="n"/>
      <c r="CB900" s="588" t="n"/>
      <c r="CC900" s="588" t="n"/>
      <c r="CD900" s="588" t="n"/>
      <c r="CE900" s="588" t="n"/>
      <c r="CF900" s="588" t="n"/>
      <c r="CG900" s="588" t="n"/>
      <c r="CH900" s="588" t="n"/>
      <c r="CI900" s="588" t="n"/>
      <c r="CJ900" s="588" t="n"/>
      <c r="CK900" s="588" t="n"/>
      <c r="CL900" s="588" t="n"/>
      <c r="CM900" s="588" t="n"/>
      <c r="CN900" s="588" t="n"/>
      <c r="CO900" s="588" t="n"/>
      <c r="CP900" s="588" t="n"/>
      <c r="CQ900" s="588" t="n"/>
      <c r="CR900" s="588" t="n"/>
      <c r="CS900" s="588" t="n"/>
      <c r="CT900" s="588" t="n"/>
      <c r="CU900" s="588" t="n"/>
      <c r="CV900" s="588" t="n"/>
      <c r="CW900" s="588" t="n"/>
      <c r="CX900" s="588" t="n"/>
      <c r="CY900" s="588" t="n"/>
      <c r="CZ900" s="588" t="n"/>
      <c r="DA900" s="588" t="n"/>
      <c r="DB900" s="588" t="n"/>
      <c r="DC900" s="588" t="n"/>
      <c r="DD900" s="588" t="n"/>
      <c r="DE900" s="588" t="n"/>
      <c r="DF900" s="588" t="n"/>
      <c r="DG900" s="588" t="n"/>
      <c r="DH900" s="588" t="n"/>
      <c r="DI900" s="588" t="n"/>
      <c r="DJ900" s="588" t="n"/>
      <c r="DK900" s="588" t="n"/>
      <c r="DL900" s="588" t="n"/>
      <c r="DM900" s="588" t="n"/>
      <c r="DN900" s="588" t="n"/>
      <c r="DO900" s="588" t="n"/>
      <c r="DP900" s="588" t="n"/>
      <c r="DQ900" s="588" t="n"/>
      <c r="DR900" s="588" t="n"/>
      <c r="DS900" s="588" t="n"/>
      <c r="DT900" s="588" t="n"/>
      <c r="DU900" s="588" t="n"/>
    </row>
    <row r="901">
      <c r="A901" s="737" t="n"/>
      <c r="B901" s="737" t="n"/>
      <c r="C901" s="737" t="n"/>
      <c r="D901" s="737" t="n"/>
      <c r="E901" s="737" t="n"/>
      <c r="F901" s="737" t="n"/>
      <c r="G901" s="737" t="n"/>
      <c r="H901" s="737" t="n"/>
      <c r="I901" s="737" t="n"/>
      <c r="J901" s="737" t="n"/>
      <c r="K901" s="737" t="n"/>
      <c r="L901" s="737" t="n"/>
      <c r="M901" s="737" t="n"/>
      <c r="N901" s="737" t="n"/>
      <c r="O901" s="737" t="n"/>
      <c r="P901" s="737" t="n"/>
      <c r="Q901" s="737" t="n"/>
      <c r="R901" s="737" t="n"/>
      <c r="S901" s="737" t="n"/>
      <c r="T901" s="737" t="n"/>
      <c r="U901" s="737" t="n"/>
      <c r="V901" s="737" t="n"/>
      <c r="W901" s="737" t="n"/>
      <c r="X901" s="737" t="n"/>
      <c r="Y901" s="737" t="n"/>
      <c r="Z901" s="737" t="n"/>
      <c r="AA901" s="737" t="n"/>
      <c r="AB901" s="737" t="n"/>
      <c r="AC901" s="737" t="n"/>
      <c r="AD901" s="737" t="n"/>
      <c r="AE901" s="737" t="n"/>
      <c r="AF901" s="737" t="n"/>
      <c r="AG901" s="737" t="n"/>
      <c r="AH901" s="737" t="n"/>
      <c r="AI901" s="737" t="n"/>
      <c r="AJ901" s="737" t="n"/>
      <c r="AK901" s="588" t="n"/>
      <c r="AL901" s="588" t="n"/>
      <c r="AM901" s="588" t="n"/>
      <c r="AN901" s="588" t="n"/>
      <c r="AO901" s="588" t="n"/>
      <c r="AP901" s="588" t="n"/>
      <c r="AQ901" s="588" t="n"/>
      <c r="AR901" s="588" t="n"/>
      <c r="AS901" s="588" t="n"/>
      <c r="AT901" s="588" t="n"/>
      <c r="AU901" s="588" t="n"/>
      <c r="AV901" s="588" t="n"/>
      <c r="AW901" s="588" t="n"/>
      <c r="AX901" s="588" t="n"/>
      <c r="AY901" s="588" t="n"/>
      <c r="AZ901" s="588" t="n"/>
      <c r="BA901" s="588" t="n"/>
      <c r="BB901" s="588" t="n"/>
      <c r="BC901" s="588" t="n"/>
      <c r="BD901" s="588" t="n"/>
      <c r="BE901" s="588" t="n"/>
      <c r="BF901" s="588" t="n"/>
      <c r="BG901" s="588" t="n"/>
      <c r="BH901" s="588" t="n"/>
      <c r="BI901" s="588" t="n"/>
      <c r="BJ901" s="588" t="n"/>
      <c r="BK901" s="588" t="n"/>
      <c r="BL901" s="588" t="n"/>
      <c r="BM901" s="588" t="n"/>
      <c r="BN901" s="588" t="n"/>
      <c r="BO901" s="588" t="n"/>
      <c r="BP901" s="588" t="n"/>
      <c r="BQ901" s="588" t="n"/>
      <c r="BR901" s="588" t="n"/>
      <c r="BS901" s="588" t="n"/>
      <c r="BT901" s="588" t="n"/>
      <c r="BU901" s="588" t="n"/>
      <c r="BV901" s="588" t="n"/>
      <c r="BW901" s="588" t="n"/>
      <c r="BX901" s="588" t="n"/>
      <c r="BY901" s="588" t="n"/>
      <c r="BZ901" s="588" t="n"/>
      <c r="CA901" s="588" t="n"/>
      <c r="CB901" s="588" t="n"/>
      <c r="CC901" s="588" t="n"/>
      <c r="CD901" s="588" t="n"/>
      <c r="CE901" s="588" t="n"/>
      <c r="CF901" s="588" t="n"/>
      <c r="CG901" s="588" t="n"/>
      <c r="CH901" s="588" t="n"/>
      <c r="CI901" s="588" t="n"/>
      <c r="CJ901" s="588" t="n"/>
      <c r="CK901" s="588" t="n"/>
      <c r="CL901" s="588" t="n"/>
      <c r="CM901" s="588" t="n"/>
      <c r="CN901" s="588" t="n"/>
      <c r="CO901" s="588" t="n"/>
      <c r="CP901" s="588" t="n"/>
      <c r="CQ901" s="588" t="n"/>
      <c r="CR901" s="588" t="n"/>
      <c r="CS901" s="588" t="n"/>
      <c r="CT901" s="588" t="n"/>
      <c r="CU901" s="588" t="n"/>
      <c r="CV901" s="588" t="n"/>
      <c r="CW901" s="588" t="n"/>
      <c r="CX901" s="588" t="n"/>
      <c r="CY901" s="588" t="n"/>
      <c r="CZ901" s="588" t="n"/>
      <c r="DA901" s="588" t="n"/>
      <c r="DB901" s="588" t="n"/>
      <c r="DC901" s="588" t="n"/>
      <c r="DD901" s="588" t="n"/>
      <c r="DE901" s="588" t="n"/>
      <c r="DF901" s="588" t="n"/>
      <c r="DG901" s="588" t="n"/>
      <c r="DH901" s="588" t="n"/>
      <c r="DI901" s="588" t="n"/>
      <c r="DJ901" s="588" t="n"/>
      <c r="DK901" s="588" t="n"/>
      <c r="DL901" s="588" t="n"/>
      <c r="DM901" s="588" t="n"/>
      <c r="DN901" s="588" t="n"/>
      <c r="DO901" s="588" t="n"/>
      <c r="DP901" s="588" t="n"/>
      <c r="DQ901" s="588" t="n"/>
      <c r="DR901" s="588" t="n"/>
      <c r="DS901" s="588" t="n"/>
      <c r="DT901" s="588" t="n"/>
      <c r="DU901" s="588" t="n"/>
    </row>
    <row r="902">
      <c r="A902" s="737" t="n"/>
      <c r="B902" s="737" t="n"/>
      <c r="C902" s="737" t="n"/>
      <c r="D902" s="737" t="n"/>
      <c r="E902" s="737" t="n"/>
      <c r="F902" s="737" t="n"/>
      <c r="G902" s="737" t="n"/>
      <c r="H902" s="737" t="n"/>
      <c r="I902" s="737" t="n"/>
      <c r="J902" s="737" t="n"/>
      <c r="K902" s="737" t="n"/>
      <c r="L902" s="737" t="n"/>
      <c r="M902" s="737" t="n"/>
      <c r="N902" s="737" t="n"/>
      <c r="O902" s="737" t="n"/>
      <c r="P902" s="737" t="n"/>
      <c r="Q902" s="737" t="n"/>
      <c r="R902" s="737" t="n"/>
      <c r="S902" s="737" t="n"/>
      <c r="T902" s="737" t="n"/>
      <c r="U902" s="737" t="n"/>
      <c r="V902" s="737" t="n"/>
      <c r="W902" s="737" t="n"/>
      <c r="X902" s="737" t="n"/>
      <c r="Y902" s="737" t="n"/>
      <c r="Z902" s="737" t="n"/>
      <c r="AA902" s="737" t="n"/>
      <c r="AB902" s="737" t="n"/>
      <c r="AC902" s="737" t="n"/>
      <c r="AD902" s="737" t="n"/>
      <c r="AE902" s="737" t="n"/>
      <c r="AF902" s="737" t="n"/>
      <c r="AG902" s="737" t="n"/>
      <c r="AH902" s="737" t="n"/>
      <c r="AI902" s="737" t="n"/>
      <c r="AJ902" s="737" t="n"/>
      <c r="AK902" s="588" t="n"/>
      <c r="AL902" s="588" t="n"/>
      <c r="AM902" s="588" t="n"/>
      <c r="AN902" s="588" t="n"/>
      <c r="AO902" s="588" t="n"/>
      <c r="AP902" s="588" t="n"/>
      <c r="AQ902" s="588" t="n"/>
      <c r="AR902" s="588" t="n"/>
      <c r="AS902" s="588" t="n"/>
      <c r="AT902" s="588" t="n"/>
      <c r="AU902" s="588" t="n"/>
      <c r="AV902" s="588" t="n"/>
      <c r="AW902" s="588" t="n"/>
      <c r="AX902" s="588" t="n"/>
      <c r="AY902" s="588" t="n"/>
      <c r="AZ902" s="588" t="n"/>
      <c r="BA902" s="588" t="n"/>
      <c r="BB902" s="588" t="n"/>
      <c r="BC902" s="588" t="n"/>
      <c r="BD902" s="588" t="n"/>
      <c r="BE902" s="588" t="n"/>
      <c r="BF902" s="588" t="n"/>
      <c r="BG902" s="588" t="n"/>
      <c r="BH902" s="588" t="n"/>
      <c r="BI902" s="588" t="n"/>
      <c r="BJ902" s="588" t="n"/>
      <c r="BK902" s="588" t="n"/>
      <c r="BL902" s="588" t="n"/>
      <c r="BM902" s="588" t="n"/>
      <c r="BN902" s="588" t="n"/>
      <c r="BO902" s="588" t="n"/>
      <c r="BP902" s="588" t="n"/>
      <c r="BQ902" s="588" t="n"/>
      <c r="BR902" s="588" t="n"/>
      <c r="BS902" s="588" t="n"/>
      <c r="BT902" s="588" t="n"/>
      <c r="BU902" s="588" t="n"/>
      <c r="BV902" s="588" t="n"/>
      <c r="BW902" s="588" t="n"/>
      <c r="BX902" s="588" t="n"/>
      <c r="BY902" s="588" t="n"/>
      <c r="BZ902" s="588" t="n"/>
      <c r="CA902" s="588" t="n"/>
      <c r="CB902" s="588" t="n"/>
      <c r="CC902" s="588" t="n"/>
      <c r="CD902" s="588" t="n"/>
      <c r="CE902" s="588" t="n"/>
      <c r="CF902" s="588" t="n"/>
      <c r="CG902" s="588" t="n"/>
      <c r="CH902" s="588" t="n"/>
      <c r="CI902" s="588" t="n"/>
      <c r="CJ902" s="588" t="n"/>
      <c r="CK902" s="588" t="n"/>
      <c r="CL902" s="588" t="n"/>
      <c r="CM902" s="588" t="n"/>
      <c r="CN902" s="588" t="n"/>
      <c r="CO902" s="588" t="n"/>
      <c r="CP902" s="588" t="n"/>
      <c r="CQ902" s="588" t="n"/>
      <c r="CR902" s="588" t="n"/>
      <c r="CS902" s="588" t="n"/>
      <c r="CT902" s="588" t="n"/>
      <c r="CU902" s="588" t="n"/>
      <c r="CV902" s="588" t="n"/>
      <c r="CW902" s="588" t="n"/>
      <c r="CX902" s="588" t="n"/>
      <c r="CY902" s="588" t="n"/>
      <c r="CZ902" s="588" t="n"/>
      <c r="DA902" s="588" t="n"/>
      <c r="DB902" s="588" t="n"/>
      <c r="DC902" s="588" t="n"/>
      <c r="DD902" s="588" t="n"/>
      <c r="DE902" s="588" t="n"/>
      <c r="DF902" s="588" t="n"/>
      <c r="DG902" s="588" t="n"/>
      <c r="DH902" s="588" t="n"/>
      <c r="DI902" s="588" t="n"/>
      <c r="DJ902" s="588" t="n"/>
      <c r="DK902" s="588" t="n"/>
      <c r="DL902" s="588" t="n"/>
      <c r="DM902" s="588" t="n"/>
      <c r="DN902" s="588" t="n"/>
      <c r="DO902" s="588" t="n"/>
      <c r="DP902" s="588" t="n"/>
      <c r="DQ902" s="588" t="n"/>
      <c r="DR902" s="588" t="n"/>
      <c r="DS902" s="588" t="n"/>
      <c r="DT902" s="588" t="n"/>
      <c r="DU902" s="588" t="n"/>
    </row>
    <row r="903">
      <c r="A903" s="737" t="n"/>
      <c r="B903" s="737" t="n"/>
      <c r="C903" s="737" t="n"/>
      <c r="D903" s="737" t="n"/>
      <c r="E903" s="737" t="n"/>
      <c r="F903" s="737" t="n"/>
      <c r="G903" s="737" t="n"/>
      <c r="H903" s="737" t="n"/>
      <c r="I903" s="737" t="n"/>
      <c r="J903" s="737" t="n"/>
      <c r="K903" s="737" t="n"/>
      <c r="L903" s="737" t="n"/>
      <c r="M903" s="737" t="n"/>
      <c r="N903" s="737" t="n"/>
      <c r="O903" s="737" t="n"/>
      <c r="P903" s="737" t="n"/>
      <c r="Q903" s="737" t="n"/>
      <c r="R903" s="737" t="n"/>
      <c r="S903" s="737" t="n"/>
      <c r="T903" s="737" t="n"/>
      <c r="U903" s="737" t="n"/>
      <c r="V903" s="737" t="n"/>
      <c r="W903" s="737" t="n"/>
      <c r="X903" s="737" t="n"/>
      <c r="Y903" s="737" t="n"/>
      <c r="Z903" s="737" t="n"/>
      <c r="AA903" s="737" t="n"/>
      <c r="AB903" s="737" t="n"/>
      <c r="AC903" s="737" t="n"/>
      <c r="AD903" s="737" t="n"/>
      <c r="AE903" s="737" t="n"/>
      <c r="AF903" s="737" t="n"/>
      <c r="AG903" s="737" t="n"/>
      <c r="AH903" s="737" t="n"/>
      <c r="AI903" s="737" t="n"/>
      <c r="AJ903" s="737" t="n"/>
      <c r="AK903" s="588" t="n"/>
      <c r="AL903" s="588" t="n"/>
      <c r="AM903" s="588" t="n"/>
      <c r="AN903" s="588" t="n"/>
      <c r="AO903" s="588" t="n"/>
      <c r="AP903" s="588" t="n"/>
      <c r="AQ903" s="588" t="n"/>
      <c r="AR903" s="588" t="n"/>
      <c r="AS903" s="588" t="n"/>
      <c r="AT903" s="588" t="n"/>
      <c r="AU903" s="588" t="n"/>
      <c r="AV903" s="588" t="n"/>
      <c r="AW903" s="588" t="n"/>
      <c r="AX903" s="588" t="n"/>
      <c r="AY903" s="588" t="n"/>
      <c r="AZ903" s="588" t="n"/>
      <c r="BA903" s="588" t="n"/>
      <c r="BB903" s="588" t="n"/>
      <c r="BC903" s="588" t="n"/>
      <c r="BD903" s="588" t="n"/>
      <c r="BE903" s="588" t="n"/>
      <c r="BF903" s="588" t="n"/>
      <c r="BG903" s="588" t="n"/>
      <c r="BH903" s="588" t="n"/>
      <c r="BI903" s="588" t="n"/>
      <c r="BJ903" s="588" t="n"/>
      <c r="BK903" s="588" t="n"/>
      <c r="BL903" s="588" t="n"/>
      <c r="BM903" s="588" t="n"/>
      <c r="BN903" s="588" t="n"/>
      <c r="BO903" s="588" t="n"/>
      <c r="BP903" s="588" t="n"/>
      <c r="BQ903" s="588" t="n"/>
      <c r="BR903" s="588" t="n"/>
      <c r="BS903" s="588" t="n"/>
      <c r="BT903" s="588" t="n"/>
      <c r="BU903" s="588" t="n"/>
      <c r="BV903" s="588" t="n"/>
      <c r="BW903" s="588" t="n"/>
      <c r="BX903" s="588" t="n"/>
      <c r="BY903" s="588" t="n"/>
      <c r="BZ903" s="588" t="n"/>
      <c r="CA903" s="588" t="n"/>
      <c r="CB903" s="588" t="n"/>
      <c r="CC903" s="588" t="n"/>
      <c r="CD903" s="588" t="n"/>
      <c r="CE903" s="588" t="n"/>
      <c r="CF903" s="588" t="n"/>
      <c r="CG903" s="588" t="n"/>
      <c r="CH903" s="588" t="n"/>
      <c r="CI903" s="588" t="n"/>
      <c r="CJ903" s="588" t="n"/>
      <c r="CK903" s="588" t="n"/>
      <c r="CL903" s="588" t="n"/>
      <c r="CM903" s="588" t="n"/>
      <c r="CN903" s="588" t="n"/>
      <c r="CO903" s="588" t="n"/>
      <c r="CP903" s="588" t="n"/>
      <c r="CQ903" s="588" t="n"/>
      <c r="CR903" s="588" t="n"/>
      <c r="CS903" s="588" t="n"/>
      <c r="CT903" s="588" t="n"/>
      <c r="CU903" s="588" t="n"/>
      <c r="CV903" s="588" t="n"/>
      <c r="CW903" s="588" t="n"/>
      <c r="CX903" s="588" t="n"/>
      <c r="CY903" s="588" t="n"/>
      <c r="CZ903" s="588" t="n"/>
      <c r="DA903" s="588" t="n"/>
      <c r="DB903" s="588" t="n"/>
      <c r="DC903" s="588" t="n"/>
      <c r="DD903" s="588" t="n"/>
      <c r="DE903" s="588" t="n"/>
      <c r="DF903" s="588" t="n"/>
      <c r="DG903" s="588" t="n"/>
      <c r="DH903" s="588" t="n"/>
      <c r="DI903" s="588" t="n"/>
      <c r="DJ903" s="588" t="n"/>
      <c r="DK903" s="588" t="n"/>
      <c r="DL903" s="588" t="n"/>
      <c r="DM903" s="588" t="n"/>
      <c r="DN903" s="588" t="n"/>
      <c r="DO903" s="588" t="n"/>
      <c r="DP903" s="588" t="n"/>
      <c r="DQ903" s="588" t="n"/>
      <c r="DR903" s="588" t="n"/>
      <c r="DS903" s="588" t="n"/>
      <c r="DT903" s="588" t="n"/>
      <c r="DU903" s="588" t="n"/>
    </row>
    <row r="904">
      <c r="A904" s="737" t="n"/>
      <c r="B904" s="737" t="n"/>
      <c r="C904" s="737" t="n"/>
      <c r="D904" s="737" t="n"/>
      <c r="E904" s="737" t="n"/>
      <c r="F904" s="737" t="n"/>
      <c r="G904" s="737" t="n"/>
      <c r="H904" s="737" t="n"/>
      <c r="I904" s="737" t="n"/>
      <c r="J904" s="737" t="n"/>
      <c r="K904" s="737" t="n"/>
      <c r="L904" s="737" t="n"/>
      <c r="M904" s="737" t="n"/>
      <c r="N904" s="737" t="n"/>
      <c r="O904" s="737" t="n"/>
      <c r="P904" s="737" t="n"/>
      <c r="Q904" s="737" t="n"/>
      <c r="R904" s="737" t="n"/>
      <c r="S904" s="737" t="n"/>
      <c r="T904" s="737" t="n"/>
      <c r="U904" s="737" t="n"/>
      <c r="V904" s="737" t="n"/>
      <c r="W904" s="737" t="n"/>
      <c r="X904" s="737" t="n"/>
      <c r="Y904" s="737" t="n"/>
      <c r="Z904" s="737" t="n"/>
      <c r="AA904" s="737" t="n"/>
      <c r="AB904" s="737" t="n"/>
      <c r="AC904" s="737" t="n"/>
      <c r="AD904" s="737" t="n"/>
      <c r="AE904" s="737" t="n"/>
      <c r="AF904" s="737" t="n"/>
      <c r="AG904" s="737" t="n"/>
      <c r="AH904" s="737" t="n"/>
      <c r="AI904" s="737" t="n"/>
      <c r="AJ904" s="737" t="n"/>
      <c r="AK904" s="588" t="n"/>
      <c r="AL904" s="588" t="n"/>
      <c r="AM904" s="588" t="n"/>
      <c r="AN904" s="588" t="n"/>
      <c r="AO904" s="588" t="n"/>
      <c r="AP904" s="588" t="n"/>
      <c r="AQ904" s="588" t="n"/>
      <c r="AR904" s="588" t="n"/>
      <c r="AS904" s="588" t="n"/>
      <c r="AT904" s="588" t="n"/>
      <c r="AU904" s="588" t="n"/>
      <c r="AV904" s="588" t="n"/>
      <c r="AW904" s="588" t="n"/>
      <c r="AX904" s="588" t="n"/>
      <c r="AY904" s="588" t="n"/>
      <c r="AZ904" s="588" t="n"/>
      <c r="BA904" s="588" t="n"/>
      <c r="BB904" s="588" t="n"/>
      <c r="BC904" s="588" t="n"/>
      <c r="BD904" s="588" t="n"/>
      <c r="BE904" s="588" t="n"/>
      <c r="BF904" s="588" t="n"/>
      <c r="BG904" s="588" t="n"/>
      <c r="BH904" s="588" t="n"/>
      <c r="BI904" s="588" t="n"/>
      <c r="BJ904" s="588" t="n"/>
      <c r="BK904" s="588" t="n"/>
      <c r="BL904" s="588" t="n"/>
      <c r="BM904" s="588" t="n"/>
      <c r="BN904" s="588" t="n"/>
      <c r="BO904" s="588" t="n"/>
      <c r="BP904" s="588" t="n"/>
      <c r="BQ904" s="588" t="n"/>
      <c r="BR904" s="588" t="n"/>
      <c r="BS904" s="588" t="n"/>
      <c r="BT904" s="588" t="n"/>
      <c r="BU904" s="588" t="n"/>
      <c r="BV904" s="588" t="n"/>
      <c r="BW904" s="588" t="n"/>
      <c r="BX904" s="588" t="n"/>
      <c r="BY904" s="588" t="n"/>
      <c r="BZ904" s="588" t="n"/>
      <c r="CA904" s="588" t="n"/>
      <c r="CB904" s="588" t="n"/>
      <c r="CC904" s="588" t="n"/>
      <c r="CD904" s="588" t="n"/>
      <c r="CE904" s="588" t="n"/>
      <c r="CF904" s="588" t="n"/>
      <c r="CG904" s="588" t="n"/>
      <c r="CH904" s="588" t="n"/>
      <c r="CI904" s="588" t="n"/>
      <c r="CJ904" s="588" t="n"/>
      <c r="CK904" s="588" t="n"/>
      <c r="CL904" s="588" t="n"/>
      <c r="CM904" s="588" t="n"/>
      <c r="CN904" s="588" t="n"/>
      <c r="CO904" s="588" t="n"/>
      <c r="CP904" s="588" t="n"/>
      <c r="CQ904" s="588" t="n"/>
      <c r="CR904" s="588" t="n"/>
      <c r="CS904" s="588" t="n"/>
      <c r="CT904" s="588" t="n"/>
      <c r="CU904" s="588" t="n"/>
      <c r="CV904" s="588" t="n"/>
      <c r="CW904" s="588" t="n"/>
      <c r="CX904" s="588" t="n"/>
      <c r="CY904" s="588" t="n"/>
      <c r="CZ904" s="588" t="n"/>
      <c r="DA904" s="588" t="n"/>
      <c r="DB904" s="588" t="n"/>
      <c r="DC904" s="588" t="n"/>
      <c r="DD904" s="588" t="n"/>
      <c r="DE904" s="588" t="n"/>
      <c r="DF904" s="588" t="n"/>
      <c r="DG904" s="588" t="n"/>
      <c r="DH904" s="588" t="n"/>
      <c r="DI904" s="588" t="n"/>
      <c r="DJ904" s="588" t="n"/>
      <c r="DK904" s="588" t="n"/>
      <c r="DL904" s="588" t="n"/>
      <c r="DM904" s="588" t="n"/>
      <c r="DN904" s="588" t="n"/>
      <c r="DO904" s="588" t="n"/>
      <c r="DP904" s="588" t="n"/>
      <c r="DQ904" s="588" t="n"/>
      <c r="DR904" s="588" t="n"/>
      <c r="DS904" s="588" t="n"/>
      <c r="DT904" s="588" t="n"/>
      <c r="DU904" s="588" t="n"/>
    </row>
    <row r="905">
      <c r="A905" s="737" t="n"/>
      <c r="B905" s="737" t="n"/>
      <c r="C905" s="737" t="n"/>
      <c r="D905" s="737" t="n"/>
      <c r="E905" s="737" t="n"/>
      <c r="F905" s="737" t="n"/>
      <c r="G905" s="737" t="n"/>
      <c r="H905" s="737" t="n"/>
      <c r="I905" s="737" t="n"/>
      <c r="J905" s="737" t="n"/>
      <c r="K905" s="737" t="n"/>
      <c r="L905" s="737" t="n"/>
      <c r="M905" s="737" t="n"/>
      <c r="N905" s="737" t="n"/>
      <c r="O905" s="737" t="n"/>
      <c r="P905" s="737" t="n"/>
      <c r="Q905" s="737" t="n"/>
      <c r="R905" s="737" t="n"/>
      <c r="S905" s="737" t="n"/>
      <c r="T905" s="737" t="n"/>
      <c r="U905" s="737" t="n"/>
      <c r="V905" s="737" t="n"/>
      <c r="W905" s="737" t="n"/>
      <c r="X905" s="737" t="n"/>
      <c r="Y905" s="737" t="n"/>
      <c r="Z905" s="737" t="n"/>
      <c r="AA905" s="737" t="n"/>
      <c r="AB905" s="737" t="n"/>
      <c r="AC905" s="737" t="n"/>
      <c r="AD905" s="737" t="n"/>
      <c r="AE905" s="737" t="n"/>
      <c r="AF905" s="737" t="n"/>
      <c r="AG905" s="737" t="n"/>
      <c r="AH905" s="737" t="n"/>
      <c r="AI905" s="737" t="n"/>
      <c r="AJ905" s="737" t="n"/>
      <c r="AK905" s="588" t="n"/>
      <c r="AL905" s="588" t="n"/>
      <c r="AM905" s="588" t="n"/>
      <c r="AN905" s="588" t="n"/>
      <c r="AO905" s="588" t="n"/>
      <c r="AP905" s="588" t="n"/>
      <c r="AQ905" s="588" t="n"/>
      <c r="AR905" s="588" t="n"/>
      <c r="AS905" s="588" t="n"/>
      <c r="AT905" s="588" t="n"/>
      <c r="AU905" s="588" t="n"/>
      <c r="AV905" s="588" t="n"/>
      <c r="AW905" s="588" t="n"/>
      <c r="AX905" s="588" t="n"/>
      <c r="AY905" s="588" t="n"/>
      <c r="AZ905" s="588" t="n"/>
      <c r="BA905" s="588" t="n"/>
      <c r="BB905" s="588" t="n"/>
      <c r="BC905" s="588" t="n"/>
      <c r="BD905" s="588" t="n"/>
      <c r="BE905" s="588" t="n"/>
      <c r="BF905" s="588" t="n"/>
      <c r="BG905" s="588" t="n"/>
      <c r="BH905" s="588" t="n"/>
      <c r="BI905" s="588" t="n"/>
      <c r="BJ905" s="588" t="n"/>
      <c r="BK905" s="588" t="n"/>
      <c r="BL905" s="588" t="n"/>
      <c r="BM905" s="588" t="n"/>
      <c r="BN905" s="588" t="n"/>
      <c r="BO905" s="588" t="n"/>
      <c r="BP905" s="588" t="n"/>
      <c r="BQ905" s="588" t="n"/>
      <c r="BR905" s="588" t="n"/>
      <c r="BS905" s="588" t="n"/>
      <c r="BT905" s="588" t="n"/>
      <c r="BU905" s="588" t="n"/>
      <c r="BV905" s="588" t="n"/>
      <c r="BW905" s="588" t="n"/>
      <c r="BX905" s="588" t="n"/>
      <c r="BY905" s="588" t="n"/>
      <c r="BZ905" s="588" t="n"/>
      <c r="CA905" s="588" t="n"/>
      <c r="CB905" s="588" t="n"/>
      <c r="CC905" s="588" t="n"/>
      <c r="CD905" s="588" t="n"/>
      <c r="CE905" s="588" t="n"/>
      <c r="CF905" s="588" t="n"/>
      <c r="CG905" s="588" t="n"/>
      <c r="CH905" s="588" t="n"/>
      <c r="CI905" s="588" t="n"/>
      <c r="CJ905" s="588" t="n"/>
      <c r="CK905" s="588" t="n"/>
      <c r="CL905" s="588" t="n"/>
      <c r="CM905" s="588" t="n"/>
      <c r="CN905" s="588" t="n"/>
      <c r="CO905" s="588" t="n"/>
      <c r="CP905" s="588" t="n"/>
      <c r="CQ905" s="588" t="n"/>
      <c r="CR905" s="588" t="n"/>
      <c r="CS905" s="588" t="n"/>
      <c r="CT905" s="588" t="n"/>
      <c r="CU905" s="588" t="n"/>
      <c r="CV905" s="588" t="n"/>
      <c r="CW905" s="588" t="n"/>
      <c r="CX905" s="588" t="n"/>
      <c r="CY905" s="588" t="n"/>
      <c r="CZ905" s="588" t="n"/>
      <c r="DA905" s="588" t="n"/>
      <c r="DB905" s="588" t="n"/>
      <c r="DC905" s="588" t="n"/>
      <c r="DD905" s="588" t="n"/>
      <c r="DE905" s="588" t="n"/>
      <c r="DF905" s="588" t="n"/>
      <c r="DG905" s="588" t="n"/>
      <c r="DH905" s="588" t="n"/>
      <c r="DI905" s="588" t="n"/>
      <c r="DJ905" s="588" t="n"/>
      <c r="DK905" s="588" t="n"/>
      <c r="DL905" s="588" t="n"/>
      <c r="DM905" s="588" t="n"/>
      <c r="DN905" s="588" t="n"/>
      <c r="DO905" s="588" t="n"/>
      <c r="DP905" s="588" t="n"/>
      <c r="DQ905" s="588" t="n"/>
      <c r="DR905" s="588" t="n"/>
      <c r="DS905" s="588" t="n"/>
      <c r="DT905" s="588" t="n"/>
      <c r="DU905" s="588" t="n"/>
    </row>
    <row r="906">
      <c r="A906" s="737" t="n"/>
      <c r="B906" s="737" t="n"/>
      <c r="C906" s="737" t="n"/>
      <c r="D906" s="737" t="n"/>
      <c r="E906" s="737" t="n"/>
      <c r="F906" s="737" t="n"/>
      <c r="G906" s="737" t="n"/>
      <c r="H906" s="737" t="n"/>
      <c r="I906" s="737" t="n"/>
      <c r="J906" s="737" t="n"/>
      <c r="K906" s="737" t="n"/>
      <c r="L906" s="737" t="n"/>
      <c r="M906" s="737" t="n"/>
      <c r="N906" s="737" t="n"/>
      <c r="O906" s="737" t="n"/>
      <c r="P906" s="737" t="n"/>
      <c r="Q906" s="737" t="n"/>
      <c r="R906" s="737" t="n"/>
      <c r="S906" s="737" t="n"/>
      <c r="T906" s="737" t="n"/>
      <c r="U906" s="737" t="n"/>
      <c r="V906" s="737" t="n"/>
      <c r="W906" s="737" t="n"/>
      <c r="X906" s="737" t="n"/>
      <c r="Y906" s="737" t="n"/>
      <c r="Z906" s="737" t="n"/>
      <c r="AA906" s="737" t="n"/>
      <c r="AB906" s="737" t="n"/>
      <c r="AC906" s="737" t="n"/>
      <c r="AD906" s="737" t="n"/>
      <c r="AE906" s="737" t="n"/>
      <c r="AF906" s="737" t="n"/>
      <c r="AG906" s="737" t="n"/>
      <c r="AH906" s="737" t="n"/>
      <c r="AI906" s="737" t="n"/>
      <c r="AJ906" s="737" t="n"/>
      <c r="AK906" s="588" t="n"/>
      <c r="AL906" s="588" t="n"/>
      <c r="AM906" s="588" t="n"/>
      <c r="AN906" s="588" t="n"/>
      <c r="AO906" s="588" t="n"/>
      <c r="AP906" s="588" t="n"/>
      <c r="AQ906" s="588" t="n"/>
      <c r="AR906" s="588" t="n"/>
      <c r="AS906" s="588" t="n"/>
      <c r="AT906" s="588" t="n"/>
      <c r="AU906" s="588" t="n"/>
      <c r="AV906" s="588" t="n"/>
      <c r="AW906" s="588" t="n"/>
      <c r="AX906" s="588" t="n"/>
      <c r="AY906" s="588" t="n"/>
      <c r="AZ906" s="588" t="n"/>
      <c r="BA906" s="588" t="n"/>
      <c r="BB906" s="588" t="n"/>
      <c r="BC906" s="588" t="n"/>
      <c r="BD906" s="588" t="n"/>
      <c r="BE906" s="588" t="n"/>
      <c r="BF906" s="588" t="n"/>
      <c r="BG906" s="588" t="n"/>
      <c r="BH906" s="588" t="n"/>
      <c r="BI906" s="588" t="n"/>
      <c r="BJ906" s="588" t="n"/>
      <c r="BK906" s="588" t="n"/>
      <c r="BL906" s="588" t="n"/>
      <c r="BM906" s="588" t="n"/>
      <c r="BN906" s="588" t="n"/>
      <c r="BO906" s="588" t="n"/>
      <c r="BP906" s="588" t="n"/>
      <c r="BQ906" s="588" t="n"/>
      <c r="BR906" s="588" t="n"/>
      <c r="BS906" s="588" t="n"/>
      <c r="BT906" s="588" t="n"/>
      <c r="BU906" s="588" t="n"/>
      <c r="BV906" s="588" t="n"/>
      <c r="BW906" s="588" t="n"/>
      <c r="BX906" s="588" t="n"/>
      <c r="BY906" s="588" t="n"/>
      <c r="BZ906" s="588" t="n"/>
      <c r="CA906" s="588" t="n"/>
      <c r="CB906" s="588" t="n"/>
      <c r="CC906" s="588" t="n"/>
      <c r="CD906" s="588" t="n"/>
      <c r="CE906" s="588" t="n"/>
      <c r="CF906" s="588" t="n"/>
      <c r="CG906" s="588" t="n"/>
      <c r="CH906" s="588" t="n"/>
      <c r="CI906" s="588" t="n"/>
      <c r="CJ906" s="588" t="n"/>
      <c r="CK906" s="588" t="n"/>
      <c r="CL906" s="588" t="n"/>
      <c r="CM906" s="588" t="n"/>
      <c r="CN906" s="588" t="n"/>
      <c r="CO906" s="588" t="n"/>
      <c r="CP906" s="588" t="n"/>
      <c r="CQ906" s="588" t="n"/>
      <c r="CR906" s="588" t="n"/>
      <c r="CS906" s="588" t="n"/>
      <c r="CT906" s="588" t="n"/>
      <c r="CU906" s="588" t="n"/>
      <c r="CV906" s="588" t="n"/>
      <c r="CW906" s="588" t="n"/>
      <c r="CX906" s="588" t="n"/>
      <c r="CY906" s="588" t="n"/>
      <c r="CZ906" s="588" t="n"/>
      <c r="DA906" s="588" t="n"/>
      <c r="DB906" s="588" t="n"/>
      <c r="DC906" s="588" t="n"/>
      <c r="DD906" s="588" t="n"/>
      <c r="DE906" s="588" t="n"/>
      <c r="DF906" s="588" t="n"/>
      <c r="DG906" s="588" t="n"/>
      <c r="DH906" s="588" t="n"/>
      <c r="DI906" s="588" t="n"/>
      <c r="DJ906" s="588" t="n"/>
      <c r="DK906" s="588" t="n"/>
      <c r="DL906" s="588" t="n"/>
      <c r="DM906" s="588" t="n"/>
      <c r="DN906" s="588" t="n"/>
      <c r="DO906" s="588" t="n"/>
      <c r="DP906" s="588" t="n"/>
      <c r="DQ906" s="588" t="n"/>
      <c r="DR906" s="588" t="n"/>
      <c r="DS906" s="588" t="n"/>
      <c r="DT906" s="588" t="n"/>
      <c r="DU906" s="588" t="n"/>
    </row>
    <row r="907">
      <c r="A907" s="737" t="n"/>
      <c r="B907" s="737" t="n"/>
      <c r="C907" s="737" t="n"/>
      <c r="D907" s="737" t="n"/>
      <c r="E907" s="737" t="n"/>
      <c r="F907" s="737" t="n"/>
      <c r="G907" s="737" t="n"/>
      <c r="H907" s="737" t="n"/>
      <c r="I907" s="737" t="n"/>
      <c r="J907" s="737" t="n"/>
      <c r="K907" s="737" t="n"/>
      <c r="L907" s="737" t="n"/>
      <c r="M907" s="737" t="n"/>
      <c r="N907" s="737" t="n"/>
      <c r="O907" s="737" t="n"/>
      <c r="P907" s="737" t="n"/>
      <c r="Q907" s="737" t="n"/>
      <c r="R907" s="737" t="n"/>
      <c r="S907" s="737" t="n"/>
      <c r="T907" s="737" t="n"/>
      <c r="U907" s="737" t="n"/>
      <c r="V907" s="737" t="n"/>
      <c r="W907" s="737" t="n"/>
      <c r="X907" s="737" t="n"/>
      <c r="Y907" s="737" t="n"/>
      <c r="Z907" s="737" t="n"/>
      <c r="AA907" s="737" t="n"/>
      <c r="AB907" s="737" t="n"/>
      <c r="AC907" s="737" t="n"/>
      <c r="AD907" s="737" t="n"/>
      <c r="AE907" s="737" t="n"/>
      <c r="AF907" s="737" t="n"/>
      <c r="AG907" s="737" t="n"/>
      <c r="AH907" s="737" t="n"/>
      <c r="AI907" s="737" t="n"/>
      <c r="AJ907" s="737" t="n"/>
      <c r="AK907" s="588" t="n"/>
      <c r="AL907" s="588" t="n"/>
      <c r="AM907" s="588" t="n"/>
      <c r="AN907" s="588" t="n"/>
      <c r="AO907" s="588" t="n"/>
      <c r="AP907" s="588" t="n"/>
      <c r="AQ907" s="588" t="n"/>
      <c r="AR907" s="588" t="n"/>
      <c r="AS907" s="588" t="n"/>
      <c r="AT907" s="588" t="n"/>
      <c r="AU907" s="588" t="n"/>
      <c r="AV907" s="588" t="n"/>
      <c r="AW907" s="588" t="n"/>
      <c r="AX907" s="588" t="n"/>
      <c r="AY907" s="588" t="n"/>
      <c r="AZ907" s="588" t="n"/>
      <c r="BA907" s="588" t="n"/>
      <c r="BB907" s="588" t="n"/>
      <c r="BC907" s="588" t="n"/>
      <c r="BD907" s="588" t="n"/>
      <c r="BE907" s="588" t="n"/>
      <c r="BF907" s="588" t="n"/>
      <c r="BG907" s="588" t="n"/>
      <c r="BH907" s="588" t="n"/>
      <c r="BI907" s="588" t="n"/>
      <c r="BJ907" s="588" t="n"/>
      <c r="BK907" s="588" t="n"/>
      <c r="BL907" s="588" t="n"/>
      <c r="BM907" s="588" t="n"/>
      <c r="BN907" s="588" t="n"/>
      <c r="BO907" s="588" t="n"/>
      <c r="BP907" s="588" t="n"/>
      <c r="BQ907" s="588" t="n"/>
      <c r="BR907" s="588" t="n"/>
      <c r="BS907" s="588" t="n"/>
      <c r="BT907" s="588" t="n"/>
      <c r="BU907" s="588" t="n"/>
      <c r="BV907" s="588" t="n"/>
      <c r="BW907" s="588" t="n"/>
      <c r="BX907" s="588" t="n"/>
      <c r="BY907" s="588" t="n"/>
      <c r="BZ907" s="588" t="n"/>
      <c r="CA907" s="588" t="n"/>
      <c r="CB907" s="588" t="n"/>
      <c r="CC907" s="588" t="n"/>
      <c r="CD907" s="588" t="n"/>
      <c r="CE907" s="588" t="n"/>
      <c r="CF907" s="588" t="n"/>
      <c r="CG907" s="588" t="n"/>
      <c r="CH907" s="588" t="n"/>
      <c r="CI907" s="588" t="n"/>
      <c r="CJ907" s="588" t="n"/>
      <c r="CK907" s="588" t="n"/>
      <c r="CL907" s="588" t="n"/>
      <c r="CM907" s="588" t="n"/>
      <c r="CN907" s="588" t="n"/>
      <c r="CO907" s="588" t="n"/>
      <c r="CP907" s="588" t="n"/>
      <c r="CQ907" s="588" t="n"/>
      <c r="CR907" s="588" t="n"/>
      <c r="CS907" s="588" t="n"/>
      <c r="CT907" s="588" t="n"/>
      <c r="CU907" s="588" t="n"/>
      <c r="CV907" s="588" t="n"/>
      <c r="CW907" s="588" t="n"/>
      <c r="CX907" s="588" t="n"/>
      <c r="CY907" s="588" t="n"/>
      <c r="CZ907" s="588" t="n"/>
      <c r="DA907" s="588" t="n"/>
      <c r="DB907" s="588" t="n"/>
      <c r="DC907" s="588" t="n"/>
      <c r="DD907" s="588" t="n"/>
      <c r="DE907" s="588" t="n"/>
      <c r="DF907" s="588" t="n"/>
      <c r="DG907" s="588" t="n"/>
      <c r="DH907" s="588" t="n"/>
      <c r="DI907" s="588" t="n"/>
      <c r="DJ907" s="588" t="n"/>
      <c r="DK907" s="588" t="n"/>
      <c r="DL907" s="588" t="n"/>
      <c r="DM907" s="588" t="n"/>
      <c r="DN907" s="588" t="n"/>
      <c r="DO907" s="588" t="n"/>
      <c r="DP907" s="588" t="n"/>
      <c r="DQ907" s="588" t="n"/>
      <c r="DR907" s="588" t="n"/>
      <c r="DS907" s="588" t="n"/>
      <c r="DT907" s="588" t="n"/>
      <c r="DU907" s="588" t="n"/>
    </row>
    <row r="908">
      <c r="A908" s="737" t="n"/>
      <c r="B908" s="737" t="n"/>
      <c r="C908" s="737" t="n"/>
      <c r="D908" s="737" t="n"/>
      <c r="E908" s="737" t="n"/>
      <c r="F908" s="737" t="n"/>
      <c r="G908" s="737" t="n"/>
      <c r="H908" s="737" t="n"/>
      <c r="I908" s="737" t="n"/>
      <c r="J908" s="737" t="n"/>
      <c r="K908" s="737" t="n"/>
      <c r="L908" s="737" t="n"/>
      <c r="M908" s="737" t="n"/>
      <c r="N908" s="737" t="n"/>
      <c r="O908" s="737" t="n"/>
      <c r="P908" s="737" t="n"/>
      <c r="Q908" s="737" t="n"/>
      <c r="R908" s="737" t="n"/>
      <c r="S908" s="737" t="n"/>
      <c r="T908" s="737" t="n"/>
      <c r="U908" s="737" t="n"/>
      <c r="V908" s="737" t="n"/>
      <c r="W908" s="737" t="n"/>
      <c r="X908" s="737" t="n"/>
      <c r="Y908" s="737" t="n"/>
      <c r="Z908" s="737" t="n"/>
      <c r="AA908" s="737" t="n"/>
      <c r="AB908" s="737" t="n"/>
      <c r="AC908" s="737" t="n"/>
      <c r="AD908" s="737" t="n"/>
      <c r="AE908" s="737" t="n"/>
      <c r="AF908" s="737" t="n"/>
      <c r="AG908" s="737" t="n"/>
      <c r="AH908" s="737" t="n"/>
      <c r="AI908" s="737" t="n"/>
      <c r="AJ908" s="737" t="n"/>
      <c r="AK908" s="588" t="n"/>
      <c r="AL908" s="588" t="n"/>
      <c r="AM908" s="588" t="n"/>
      <c r="AN908" s="588" t="n"/>
      <c r="AO908" s="588" t="n"/>
      <c r="AP908" s="588" t="n"/>
      <c r="AQ908" s="588" t="n"/>
      <c r="AR908" s="588" t="n"/>
      <c r="AS908" s="588" t="n"/>
      <c r="AT908" s="588" t="n"/>
      <c r="AU908" s="588" t="n"/>
      <c r="AV908" s="588" t="n"/>
      <c r="AW908" s="588" t="n"/>
      <c r="AX908" s="588" t="n"/>
      <c r="AY908" s="588" t="n"/>
      <c r="AZ908" s="588" t="n"/>
      <c r="BA908" s="588" t="n"/>
      <c r="BB908" s="588" t="n"/>
      <c r="BC908" s="588" t="n"/>
      <c r="BD908" s="588" t="n"/>
      <c r="BE908" s="588" t="n"/>
      <c r="BF908" s="588" t="n"/>
      <c r="BG908" s="588" t="n"/>
      <c r="BH908" s="588" t="n"/>
      <c r="BI908" s="588" t="n"/>
      <c r="BJ908" s="588" t="n"/>
      <c r="BK908" s="588" t="n"/>
      <c r="BL908" s="588" t="n"/>
      <c r="BM908" s="588" t="n"/>
      <c r="BN908" s="588" t="n"/>
      <c r="BO908" s="588" t="n"/>
      <c r="BP908" s="588" t="n"/>
      <c r="BQ908" s="588" t="n"/>
      <c r="BR908" s="588" t="n"/>
      <c r="BS908" s="588" t="n"/>
      <c r="BT908" s="588" t="n"/>
      <c r="BU908" s="588" t="n"/>
      <c r="BV908" s="588" t="n"/>
      <c r="BW908" s="588" t="n"/>
      <c r="BX908" s="588" t="n"/>
      <c r="BY908" s="588" t="n"/>
      <c r="BZ908" s="588" t="n"/>
      <c r="CA908" s="588" t="n"/>
      <c r="CB908" s="588" t="n"/>
      <c r="CC908" s="588" t="n"/>
      <c r="CD908" s="588" t="n"/>
      <c r="CE908" s="588" t="n"/>
      <c r="CF908" s="588" t="n"/>
      <c r="CG908" s="588" t="n"/>
      <c r="CH908" s="588" t="n"/>
      <c r="CI908" s="588" t="n"/>
      <c r="CJ908" s="588" t="n"/>
      <c r="CK908" s="588" t="n"/>
      <c r="CL908" s="588" t="n"/>
      <c r="CM908" s="588" t="n"/>
      <c r="CN908" s="588" t="n"/>
      <c r="CO908" s="588" t="n"/>
      <c r="CP908" s="588" t="n"/>
      <c r="CQ908" s="588" t="n"/>
      <c r="CR908" s="588" t="n"/>
      <c r="CS908" s="588" t="n"/>
      <c r="CT908" s="588" t="n"/>
      <c r="CU908" s="588" t="n"/>
      <c r="CV908" s="588" t="n"/>
      <c r="CW908" s="588" t="n"/>
      <c r="CX908" s="588" t="n"/>
      <c r="CY908" s="588" t="n"/>
      <c r="CZ908" s="588" t="n"/>
      <c r="DA908" s="588" t="n"/>
      <c r="DB908" s="588" t="n"/>
      <c r="DC908" s="588" t="n"/>
      <c r="DD908" s="588" t="n"/>
      <c r="DE908" s="588" t="n"/>
      <c r="DF908" s="588" t="n"/>
      <c r="DG908" s="588" t="n"/>
      <c r="DH908" s="588" t="n"/>
      <c r="DI908" s="588" t="n"/>
      <c r="DJ908" s="588" t="n"/>
      <c r="DK908" s="588" t="n"/>
      <c r="DL908" s="588" t="n"/>
      <c r="DM908" s="588" t="n"/>
      <c r="DN908" s="588" t="n"/>
      <c r="DO908" s="588" t="n"/>
      <c r="DP908" s="588" t="n"/>
      <c r="DQ908" s="588" t="n"/>
      <c r="DR908" s="588" t="n"/>
      <c r="DS908" s="588" t="n"/>
      <c r="DT908" s="588" t="n"/>
      <c r="DU908" s="588" t="n"/>
    </row>
    <row r="909">
      <c r="A909" s="737" t="n"/>
      <c r="B909" s="737" t="n"/>
      <c r="C909" s="737" t="n"/>
      <c r="D909" s="737" t="n"/>
      <c r="E909" s="737" t="n"/>
      <c r="F909" s="737" t="n"/>
      <c r="G909" s="737" t="n"/>
      <c r="H909" s="737" t="n"/>
      <c r="I909" s="737" t="n"/>
      <c r="J909" s="737" t="n"/>
      <c r="K909" s="737" t="n"/>
      <c r="L909" s="737" t="n"/>
      <c r="M909" s="737" t="n"/>
      <c r="N909" s="737" t="n"/>
      <c r="O909" s="737" t="n"/>
      <c r="P909" s="737" t="n"/>
      <c r="Q909" s="737" t="n"/>
      <c r="R909" s="737" t="n"/>
      <c r="S909" s="737" t="n"/>
      <c r="T909" s="737" t="n"/>
      <c r="U909" s="737" t="n"/>
      <c r="V909" s="737" t="n"/>
      <c r="W909" s="737" t="n"/>
      <c r="X909" s="737" t="n"/>
      <c r="Y909" s="737" t="n"/>
      <c r="Z909" s="737" t="n"/>
      <c r="AA909" s="737" t="n"/>
      <c r="AB909" s="737" t="n"/>
      <c r="AC909" s="737" t="n"/>
      <c r="AD909" s="737" t="n"/>
      <c r="AE909" s="737" t="n"/>
      <c r="AF909" s="737" t="n"/>
      <c r="AG909" s="737" t="n"/>
      <c r="AH909" s="737" t="n"/>
      <c r="AI909" s="737" t="n"/>
      <c r="AJ909" s="737" t="n"/>
      <c r="AK909" s="588" t="n"/>
      <c r="AL909" s="588" t="n"/>
      <c r="AM909" s="588" t="n"/>
      <c r="AN909" s="588" t="n"/>
      <c r="AO909" s="588" t="n"/>
      <c r="AP909" s="588" t="n"/>
      <c r="AQ909" s="588" t="n"/>
      <c r="AR909" s="588" t="n"/>
      <c r="AS909" s="588" t="n"/>
      <c r="AT909" s="588" t="n"/>
      <c r="AU909" s="588" t="n"/>
      <c r="AV909" s="588" t="n"/>
      <c r="AW909" s="588" t="n"/>
      <c r="AX909" s="588" t="n"/>
      <c r="AY909" s="588" t="n"/>
      <c r="AZ909" s="588" t="n"/>
      <c r="BA909" s="588" t="n"/>
      <c r="BB909" s="588" t="n"/>
      <c r="BC909" s="588" t="n"/>
      <c r="BD909" s="588" t="n"/>
      <c r="BE909" s="588" t="n"/>
      <c r="BF909" s="588" t="n"/>
      <c r="BG909" s="588" t="n"/>
      <c r="BH909" s="588" t="n"/>
      <c r="BI909" s="588" t="n"/>
      <c r="BJ909" s="588" t="n"/>
      <c r="BK909" s="588" t="n"/>
      <c r="BL909" s="588" t="n"/>
      <c r="BM909" s="588" t="n"/>
      <c r="BN909" s="588" t="n"/>
      <c r="BO909" s="588" t="n"/>
      <c r="BP909" s="588" t="n"/>
      <c r="BQ909" s="588" t="n"/>
      <c r="BR909" s="588" t="n"/>
      <c r="BS909" s="588" t="n"/>
      <c r="BT909" s="588" t="n"/>
      <c r="BU909" s="588" t="n"/>
      <c r="BV909" s="588" t="n"/>
      <c r="BW909" s="588" t="n"/>
      <c r="BX909" s="588" t="n"/>
      <c r="BY909" s="588" t="n"/>
      <c r="BZ909" s="588" t="n"/>
      <c r="CA909" s="588" t="n"/>
      <c r="CB909" s="588" t="n"/>
      <c r="CC909" s="588" t="n"/>
      <c r="CD909" s="588" t="n"/>
      <c r="CE909" s="588" t="n"/>
      <c r="CF909" s="588" t="n"/>
      <c r="CG909" s="588" t="n"/>
      <c r="CH909" s="588" t="n"/>
      <c r="CI909" s="588" t="n"/>
      <c r="CJ909" s="588" t="n"/>
      <c r="CK909" s="588" t="n"/>
      <c r="CL909" s="588" t="n"/>
      <c r="CM909" s="588" t="n"/>
      <c r="CN909" s="588" t="n"/>
      <c r="CO909" s="588" t="n"/>
      <c r="CP909" s="588" t="n"/>
      <c r="CQ909" s="588" t="n"/>
      <c r="CR909" s="588" t="n"/>
      <c r="CS909" s="588" t="n"/>
      <c r="CT909" s="588" t="n"/>
      <c r="CU909" s="588" t="n"/>
      <c r="CV909" s="588" t="n"/>
      <c r="CW909" s="588" t="n"/>
      <c r="CX909" s="588" t="n"/>
      <c r="CY909" s="588" t="n"/>
      <c r="CZ909" s="588" t="n"/>
      <c r="DA909" s="588" t="n"/>
      <c r="DB909" s="588" t="n"/>
      <c r="DC909" s="588" t="n"/>
      <c r="DD909" s="588" t="n"/>
      <c r="DE909" s="588" t="n"/>
      <c r="DF909" s="588" t="n"/>
      <c r="DG909" s="588" t="n"/>
      <c r="DH909" s="588" t="n"/>
      <c r="DI909" s="588" t="n"/>
      <c r="DJ909" s="588" t="n"/>
      <c r="DK909" s="588" t="n"/>
      <c r="DL909" s="588" t="n"/>
      <c r="DM909" s="588" t="n"/>
      <c r="DN909" s="588" t="n"/>
      <c r="DO909" s="588" t="n"/>
      <c r="DP909" s="588" t="n"/>
      <c r="DQ909" s="588" t="n"/>
      <c r="DR909" s="588" t="n"/>
      <c r="DS909" s="588" t="n"/>
      <c r="DT909" s="588" t="n"/>
      <c r="DU909" s="588" t="n"/>
    </row>
    <row r="910">
      <c r="A910" s="737" t="n"/>
      <c r="B910" s="737" t="n"/>
      <c r="C910" s="737" t="n"/>
      <c r="D910" s="737" t="n"/>
      <c r="E910" s="737" t="n"/>
      <c r="F910" s="737" t="n"/>
      <c r="G910" s="737" t="n"/>
      <c r="H910" s="737" t="n"/>
      <c r="I910" s="737" t="n"/>
      <c r="J910" s="737" t="n"/>
      <c r="K910" s="737" t="n"/>
      <c r="L910" s="737" t="n"/>
      <c r="M910" s="737" t="n"/>
      <c r="N910" s="737" t="n"/>
      <c r="O910" s="737" t="n"/>
      <c r="P910" s="737" t="n"/>
      <c r="Q910" s="737" t="n"/>
      <c r="R910" s="737" t="n"/>
      <c r="S910" s="737" t="n"/>
      <c r="T910" s="737" t="n"/>
      <c r="U910" s="737" t="n"/>
      <c r="V910" s="737" t="n"/>
      <c r="W910" s="737" t="n"/>
      <c r="X910" s="737" t="n"/>
      <c r="Y910" s="737" t="n"/>
      <c r="Z910" s="737" t="n"/>
      <c r="AA910" s="737" t="n"/>
      <c r="AB910" s="737" t="n"/>
      <c r="AC910" s="737" t="n"/>
      <c r="AD910" s="737" t="n"/>
      <c r="AE910" s="737" t="n"/>
      <c r="AF910" s="737" t="n"/>
      <c r="AG910" s="737" t="n"/>
      <c r="AH910" s="737" t="n"/>
      <c r="AI910" s="737" t="n"/>
      <c r="AJ910" s="737" t="n"/>
      <c r="AK910" s="588" t="n"/>
      <c r="AL910" s="588" t="n"/>
      <c r="AM910" s="588" t="n"/>
      <c r="AN910" s="588" t="n"/>
      <c r="AO910" s="588" t="n"/>
      <c r="AP910" s="588" t="n"/>
      <c r="AQ910" s="588" t="n"/>
      <c r="AR910" s="588" t="n"/>
      <c r="AS910" s="588" t="n"/>
      <c r="AT910" s="588" t="n"/>
      <c r="AU910" s="588" t="n"/>
      <c r="AV910" s="588" t="n"/>
      <c r="AW910" s="588" t="n"/>
      <c r="AX910" s="588" t="n"/>
      <c r="AY910" s="588" t="n"/>
      <c r="AZ910" s="588" t="n"/>
      <c r="BA910" s="588" t="n"/>
      <c r="BB910" s="588" t="n"/>
      <c r="BC910" s="588" t="n"/>
      <c r="BD910" s="588" t="n"/>
      <c r="BE910" s="588" t="n"/>
      <c r="BF910" s="588" t="n"/>
      <c r="BG910" s="588" t="n"/>
      <c r="BH910" s="588" t="n"/>
      <c r="BI910" s="588" t="n"/>
      <c r="BJ910" s="588" t="n"/>
      <c r="BK910" s="588" t="n"/>
      <c r="BL910" s="588" t="n"/>
      <c r="BM910" s="588" t="n"/>
      <c r="BN910" s="588" t="n"/>
      <c r="BO910" s="588" t="n"/>
      <c r="BP910" s="588" t="n"/>
      <c r="BQ910" s="588" t="n"/>
      <c r="BR910" s="588" t="n"/>
      <c r="BS910" s="588" t="n"/>
      <c r="BT910" s="588" t="n"/>
      <c r="BU910" s="588" t="n"/>
      <c r="BV910" s="588" t="n"/>
      <c r="BW910" s="588" t="n"/>
      <c r="BX910" s="588" t="n"/>
      <c r="BY910" s="588" t="n"/>
      <c r="BZ910" s="588" t="n"/>
      <c r="CA910" s="588" t="n"/>
      <c r="CB910" s="588" t="n"/>
      <c r="CC910" s="588" t="n"/>
      <c r="CD910" s="588" t="n"/>
      <c r="CE910" s="588" t="n"/>
      <c r="CF910" s="588" t="n"/>
      <c r="CG910" s="588" t="n"/>
      <c r="CH910" s="588" t="n"/>
      <c r="CI910" s="588" t="n"/>
      <c r="CJ910" s="588" t="n"/>
      <c r="CK910" s="588" t="n"/>
      <c r="CL910" s="588" t="n"/>
      <c r="CM910" s="588" t="n"/>
      <c r="CN910" s="588" t="n"/>
      <c r="CO910" s="588" t="n"/>
      <c r="CP910" s="588" t="n"/>
      <c r="CQ910" s="588" t="n"/>
      <c r="CR910" s="588" t="n"/>
      <c r="CS910" s="588" t="n"/>
      <c r="CT910" s="588" t="n"/>
      <c r="CU910" s="588" t="n"/>
      <c r="CV910" s="588" t="n"/>
      <c r="CW910" s="588" t="n"/>
      <c r="CX910" s="588" t="n"/>
      <c r="CY910" s="588" t="n"/>
      <c r="CZ910" s="588" t="n"/>
      <c r="DA910" s="588" t="n"/>
      <c r="DB910" s="588" t="n"/>
      <c r="DC910" s="588" t="n"/>
      <c r="DD910" s="588" t="n"/>
      <c r="DE910" s="588" t="n"/>
      <c r="DF910" s="588" t="n"/>
      <c r="DG910" s="588" t="n"/>
      <c r="DH910" s="588" t="n"/>
      <c r="DI910" s="588" t="n"/>
      <c r="DJ910" s="588" t="n"/>
      <c r="DK910" s="588" t="n"/>
      <c r="DL910" s="588" t="n"/>
      <c r="DM910" s="588" t="n"/>
      <c r="DN910" s="588" t="n"/>
      <c r="DO910" s="588" t="n"/>
      <c r="DP910" s="588" t="n"/>
      <c r="DQ910" s="588" t="n"/>
      <c r="DR910" s="588" t="n"/>
      <c r="DS910" s="588" t="n"/>
      <c r="DT910" s="588" t="n"/>
      <c r="DU910" s="588" t="n"/>
    </row>
    <row r="911">
      <c r="A911" s="737" t="n"/>
      <c r="B911" s="737" t="n"/>
      <c r="C911" s="737" t="n"/>
      <c r="D911" s="737" t="n"/>
      <c r="E911" s="737" t="n"/>
      <c r="F911" s="737" t="n"/>
      <c r="G911" s="737" t="n"/>
      <c r="H911" s="737" t="n"/>
      <c r="I911" s="737" t="n"/>
      <c r="J911" s="737" t="n"/>
      <c r="K911" s="737" t="n"/>
      <c r="L911" s="737" t="n"/>
      <c r="M911" s="737" t="n"/>
      <c r="N911" s="737" t="n"/>
      <c r="O911" s="737" t="n"/>
      <c r="P911" s="737" t="n"/>
      <c r="Q911" s="737" t="n"/>
      <c r="R911" s="737" t="n"/>
      <c r="S911" s="737" t="n"/>
      <c r="T911" s="737" t="n"/>
      <c r="U911" s="737" t="n"/>
      <c r="V911" s="737" t="n"/>
      <c r="W911" s="737" t="n"/>
      <c r="X911" s="737" t="n"/>
      <c r="Y911" s="737" t="n"/>
      <c r="Z911" s="737" t="n"/>
      <c r="AA911" s="737" t="n"/>
      <c r="AB911" s="737" t="n"/>
      <c r="AC911" s="737" t="n"/>
      <c r="AD911" s="737" t="n"/>
      <c r="AE911" s="737" t="n"/>
      <c r="AF911" s="737" t="n"/>
      <c r="AG911" s="737" t="n"/>
      <c r="AH911" s="737" t="n"/>
      <c r="AI911" s="737" t="n"/>
      <c r="AJ911" s="737" t="n"/>
      <c r="AK911" s="588" t="n"/>
      <c r="AL911" s="588" t="n"/>
      <c r="AM911" s="588" t="n"/>
      <c r="AN911" s="588" t="n"/>
      <c r="AO911" s="588" t="n"/>
      <c r="AP911" s="588" t="n"/>
      <c r="AQ911" s="588" t="n"/>
      <c r="AR911" s="588" t="n"/>
      <c r="AS911" s="588" t="n"/>
      <c r="AT911" s="588" t="n"/>
      <c r="AU911" s="588" t="n"/>
      <c r="AV911" s="588" t="n"/>
      <c r="AW911" s="588" t="n"/>
      <c r="AX911" s="588" t="n"/>
      <c r="AY911" s="588" t="n"/>
      <c r="AZ911" s="588" t="n"/>
      <c r="BA911" s="588" t="n"/>
      <c r="BB911" s="588" t="n"/>
      <c r="BC911" s="588" t="n"/>
      <c r="BD911" s="588" t="n"/>
      <c r="BE911" s="588" t="n"/>
      <c r="BF911" s="588" t="n"/>
      <c r="BG911" s="588" t="n"/>
      <c r="BH911" s="588" t="n"/>
      <c r="BI911" s="588" t="n"/>
      <c r="BJ911" s="588" t="n"/>
      <c r="BK911" s="588" t="n"/>
      <c r="BL911" s="588" t="n"/>
      <c r="BM911" s="588" t="n"/>
      <c r="BN911" s="588" t="n"/>
      <c r="BO911" s="588" t="n"/>
      <c r="BP911" s="588" t="n"/>
      <c r="BQ911" s="588" t="n"/>
      <c r="BR911" s="588" t="n"/>
      <c r="BS911" s="588" t="n"/>
      <c r="BT911" s="588" t="n"/>
      <c r="BU911" s="588" t="n"/>
      <c r="BV911" s="588" t="n"/>
      <c r="BW911" s="588" t="n"/>
      <c r="BX911" s="588" t="n"/>
      <c r="BY911" s="588" t="n"/>
      <c r="BZ911" s="588" t="n"/>
      <c r="CA911" s="588" t="n"/>
      <c r="CB911" s="588" t="n"/>
      <c r="CC911" s="588" t="n"/>
      <c r="CD911" s="588" t="n"/>
      <c r="CE911" s="588" t="n"/>
      <c r="CF911" s="588" t="n"/>
      <c r="CG911" s="588" t="n"/>
      <c r="CH911" s="588" t="n"/>
      <c r="CI911" s="588" t="n"/>
      <c r="CJ911" s="588" t="n"/>
      <c r="CK911" s="588" t="n"/>
      <c r="CL911" s="588" t="n"/>
      <c r="CM911" s="588" t="n"/>
      <c r="CN911" s="588" t="n"/>
      <c r="CO911" s="588" t="n"/>
      <c r="CP911" s="588" t="n"/>
      <c r="CQ911" s="588" t="n"/>
      <c r="CR911" s="588" t="n"/>
      <c r="CS911" s="588" t="n"/>
      <c r="CT911" s="588" t="n"/>
      <c r="CU911" s="588" t="n"/>
      <c r="CV911" s="588" t="n"/>
      <c r="CW911" s="588" t="n"/>
      <c r="CX911" s="588" t="n"/>
      <c r="CY911" s="588" t="n"/>
      <c r="CZ911" s="588" t="n"/>
      <c r="DA911" s="588" t="n"/>
      <c r="DB911" s="588" t="n"/>
      <c r="DC911" s="588" t="n"/>
      <c r="DD911" s="588" t="n"/>
      <c r="DE911" s="588" t="n"/>
      <c r="DF911" s="588" t="n"/>
      <c r="DG911" s="588" t="n"/>
      <c r="DH911" s="588" t="n"/>
      <c r="DI911" s="588" t="n"/>
      <c r="DJ911" s="588" t="n"/>
      <c r="DK911" s="588" t="n"/>
      <c r="DL911" s="588" t="n"/>
      <c r="DM911" s="588" t="n"/>
      <c r="DN911" s="588" t="n"/>
      <c r="DO911" s="588" t="n"/>
      <c r="DP911" s="588" t="n"/>
      <c r="DQ911" s="588" t="n"/>
      <c r="DR911" s="588" t="n"/>
      <c r="DS911" s="588" t="n"/>
      <c r="DT911" s="588" t="n"/>
      <c r="DU911" s="588" t="n"/>
    </row>
    <row r="912">
      <c r="A912" s="737" t="n"/>
      <c r="B912" s="737" t="n"/>
      <c r="C912" s="737" t="n"/>
      <c r="D912" s="737" t="n"/>
      <c r="E912" s="737" t="n"/>
      <c r="F912" s="737" t="n"/>
      <c r="G912" s="737" t="n"/>
      <c r="H912" s="737" t="n"/>
      <c r="I912" s="737" t="n"/>
      <c r="J912" s="737" t="n"/>
      <c r="K912" s="737" t="n"/>
      <c r="L912" s="737" t="n"/>
      <c r="M912" s="737" t="n"/>
      <c r="N912" s="737" t="n"/>
      <c r="O912" s="737" t="n"/>
      <c r="P912" s="737" t="n"/>
      <c r="Q912" s="737" t="n"/>
      <c r="R912" s="737" t="n"/>
      <c r="S912" s="737" t="n"/>
      <c r="T912" s="737" t="n"/>
      <c r="U912" s="737" t="n"/>
      <c r="V912" s="737" t="n"/>
      <c r="W912" s="737" t="n"/>
      <c r="X912" s="737" t="n"/>
      <c r="Y912" s="737" t="n"/>
      <c r="Z912" s="737" t="n"/>
      <c r="AA912" s="737" t="n"/>
      <c r="AB912" s="737" t="n"/>
      <c r="AC912" s="737" t="n"/>
      <c r="AD912" s="737" t="n"/>
      <c r="AE912" s="737" t="n"/>
      <c r="AF912" s="737" t="n"/>
      <c r="AG912" s="737" t="n"/>
      <c r="AH912" s="737" t="n"/>
      <c r="AI912" s="737" t="n"/>
      <c r="AJ912" s="737" t="n"/>
      <c r="AK912" s="588" t="n"/>
      <c r="AL912" s="588" t="n"/>
      <c r="AM912" s="588" t="n"/>
      <c r="AN912" s="588" t="n"/>
      <c r="AO912" s="588" t="n"/>
      <c r="AP912" s="588" t="n"/>
      <c r="AQ912" s="588" t="n"/>
      <c r="AR912" s="588" t="n"/>
      <c r="AS912" s="588" t="n"/>
      <c r="AT912" s="588" t="n"/>
      <c r="AU912" s="588" t="n"/>
      <c r="AV912" s="588" t="n"/>
      <c r="AW912" s="588" t="n"/>
      <c r="AX912" s="588" t="n"/>
      <c r="AY912" s="588" t="n"/>
      <c r="AZ912" s="588" t="n"/>
      <c r="BA912" s="588" t="n"/>
      <c r="BB912" s="588" t="n"/>
      <c r="BC912" s="588" t="n"/>
      <c r="BD912" s="588" t="n"/>
      <c r="BE912" s="588" t="n"/>
      <c r="BF912" s="588" t="n"/>
      <c r="BG912" s="588" t="n"/>
      <c r="BH912" s="588" t="n"/>
      <c r="BI912" s="588" t="n"/>
      <c r="BJ912" s="588" t="n"/>
      <c r="BK912" s="588" t="n"/>
      <c r="BL912" s="588" t="n"/>
      <c r="BM912" s="588" t="n"/>
      <c r="BN912" s="588" t="n"/>
      <c r="BO912" s="588" t="n"/>
      <c r="BP912" s="588" t="n"/>
      <c r="BQ912" s="588" t="n"/>
      <c r="BR912" s="588" t="n"/>
      <c r="BS912" s="588" t="n"/>
      <c r="BT912" s="588" t="n"/>
      <c r="BU912" s="588" t="n"/>
      <c r="BV912" s="588" t="n"/>
      <c r="BW912" s="588" t="n"/>
      <c r="BX912" s="588" t="n"/>
      <c r="BY912" s="588" t="n"/>
      <c r="BZ912" s="588" t="n"/>
      <c r="CA912" s="588" t="n"/>
      <c r="CB912" s="588" t="n"/>
      <c r="CC912" s="588" t="n"/>
      <c r="CD912" s="588" t="n"/>
      <c r="CE912" s="588" t="n"/>
      <c r="CF912" s="588" t="n"/>
      <c r="CG912" s="588" t="n"/>
      <c r="CH912" s="588" t="n"/>
      <c r="CI912" s="588" t="n"/>
      <c r="CJ912" s="588" t="n"/>
      <c r="CK912" s="588" t="n"/>
      <c r="CL912" s="588" t="n"/>
      <c r="CM912" s="588" t="n"/>
      <c r="CN912" s="588" t="n"/>
      <c r="CO912" s="588" t="n"/>
      <c r="CP912" s="588" t="n"/>
      <c r="CQ912" s="588" t="n"/>
      <c r="CR912" s="588" t="n"/>
      <c r="CS912" s="588" t="n"/>
      <c r="CT912" s="588" t="n"/>
      <c r="CU912" s="588" t="n"/>
      <c r="CV912" s="588" t="n"/>
      <c r="CW912" s="588" t="n"/>
      <c r="CX912" s="588" t="n"/>
      <c r="CY912" s="588" t="n"/>
      <c r="CZ912" s="588" t="n"/>
      <c r="DA912" s="588" t="n"/>
      <c r="DB912" s="588" t="n"/>
      <c r="DC912" s="588" t="n"/>
      <c r="DD912" s="588" t="n"/>
      <c r="DE912" s="588" t="n"/>
      <c r="DF912" s="588" t="n"/>
      <c r="DG912" s="588" t="n"/>
      <c r="DH912" s="588" t="n"/>
      <c r="DI912" s="588" t="n"/>
      <c r="DJ912" s="588" t="n"/>
      <c r="DK912" s="588" t="n"/>
      <c r="DL912" s="588" t="n"/>
      <c r="DM912" s="588" t="n"/>
      <c r="DN912" s="588" t="n"/>
      <c r="DO912" s="588" t="n"/>
      <c r="DP912" s="588" t="n"/>
      <c r="DQ912" s="588" t="n"/>
      <c r="DR912" s="588" t="n"/>
      <c r="DS912" s="588" t="n"/>
      <c r="DT912" s="588" t="n"/>
      <c r="DU912" s="588" t="n"/>
    </row>
    <row r="913">
      <c r="A913" s="737" t="n"/>
      <c r="B913" s="737" t="n"/>
      <c r="C913" s="737" t="n"/>
      <c r="D913" s="737" t="n"/>
      <c r="E913" s="737" t="n"/>
      <c r="F913" s="737" t="n"/>
      <c r="G913" s="737" t="n"/>
      <c r="H913" s="737" t="n"/>
      <c r="I913" s="737" t="n"/>
      <c r="J913" s="737" t="n"/>
      <c r="K913" s="737" t="n"/>
      <c r="L913" s="737" t="n"/>
      <c r="M913" s="737" t="n"/>
      <c r="N913" s="737" t="n"/>
      <c r="O913" s="737" t="n"/>
      <c r="P913" s="737" t="n"/>
      <c r="Q913" s="737" t="n"/>
      <c r="R913" s="737" t="n"/>
      <c r="S913" s="737" t="n"/>
      <c r="T913" s="737" t="n"/>
      <c r="U913" s="737" t="n"/>
      <c r="V913" s="737" t="n"/>
      <c r="W913" s="737" t="n"/>
      <c r="X913" s="737" t="n"/>
      <c r="Y913" s="737" t="n"/>
      <c r="Z913" s="737" t="n"/>
      <c r="AA913" s="737" t="n"/>
      <c r="AB913" s="737" t="n"/>
      <c r="AC913" s="737" t="n"/>
      <c r="AD913" s="737" t="n"/>
      <c r="AE913" s="737" t="n"/>
      <c r="AF913" s="737" t="n"/>
      <c r="AG913" s="737" t="n"/>
      <c r="AH913" s="737" t="n"/>
      <c r="AI913" s="737" t="n"/>
      <c r="AJ913" s="737" t="n"/>
      <c r="AK913" s="588" t="n"/>
      <c r="AL913" s="588" t="n"/>
      <c r="AM913" s="588" t="n"/>
      <c r="AN913" s="588" t="n"/>
      <c r="AO913" s="588" t="n"/>
      <c r="AP913" s="588" t="n"/>
      <c r="AQ913" s="588" t="n"/>
      <c r="AR913" s="588" t="n"/>
      <c r="AS913" s="588" t="n"/>
      <c r="AT913" s="588" t="n"/>
      <c r="AU913" s="588" t="n"/>
      <c r="AV913" s="588" t="n"/>
      <c r="AW913" s="588" t="n"/>
      <c r="AX913" s="588" t="n"/>
      <c r="AY913" s="588" t="n"/>
      <c r="AZ913" s="588" t="n"/>
      <c r="BA913" s="588" t="n"/>
      <c r="BB913" s="588" t="n"/>
      <c r="BC913" s="588" t="n"/>
      <c r="BD913" s="588" t="n"/>
      <c r="BE913" s="588" t="n"/>
      <c r="BF913" s="588" t="n"/>
      <c r="BG913" s="588" t="n"/>
      <c r="BH913" s="588" t="n"/>
      <c r="BI913" s="588" t="n"/>
      <c r="BJ913" s="588" t="n"/>
      <c r="BK913" s="588" t="n"/>
      <c r="BL913" s="588" t="n"/>
      <c r="BM913" s="588" t="n"/>
      <c r="BN913" s="588" t="n"/>
      <c r="BO913" s="588" t="n"/>
      <c r="BP913" s="588" t="n"/>
      <c r="BQ913" s="588" t="n"/>
      <c r="BR913" s="588" t="n"/>
      <c r="BS913" s="588" t="n"/>
      <c r="BT913" s="588" t="n"/>
      <c r="BU913" s="588" t="n"/>
      <c r="BV913" s="588" t="n"/>
      <c r="BW913" s="588" t="n"/>
      <c r="BX913" s="588" t="n"/>
      <c r="BY913" s="588" t="n"/>
      <c r="BZ913" s="588" t="n"/>
      <c r="CA913" s="588" t="n"/>
      <c r="CB913" s="588" t="n"/>
      <c r="CC913" s="588" t="n"/>
      <c r="CD913" s="588" t="n"/>
      <c r="CE913" s="588" t="n"/>
      <c r="CF913" s="588" t="n"/>
      <c r="CG913" s="588" t="n"/>
      <c r="CH913" s="588" t="n"/>
      <c r="CI913" s="588" t="n"/>
      <c r="CJ913" s="588" t="n"/>
      <c r="CK913" s="588" t="n"/>
      <c r="CL913" s="588" t="n"/>
      <c r="CM913" s="588" t="n"/>
      <c r="CN913" s="588" t="n"/>
      <c r="CO913" s="588" t="n"/>
      <c r="CP913" s="588" t="n"/>
      <c r="CQ913" s="588" t="n"/>
      <c r="CR913" s="588" t="n"/>
      <c r="CS913" s="588" t="n"/>
      <c r="CT913" s="588" t="n"/>
      <c r="CU913" s="588" t="n"/>
      <c r="CV913" s="588" t="n"/>
      <c r="CW913" s="588" t="n"/>
      <c r="CX913" s="588" t="n"/>
      <c r="CY913" s="588" t="n"/>
      <c r="CZ913" s="588" t="n"/>
      <c r="DA913" s="588" t="n"/>
      <c r="DB913" s="588" t="n"/>
      <c r="DC913" s="588" t="n"/>
      <c r="DD913" s="588" t="n"/>
      <c r="DE913" s="588" t="n"/>
      <c r="DF913" s="588" t="n"/>
      <c r="DG913" s="588" t="n"/>
      <c r="DH913" s="588" t="n"/>
      <c r="DI913" s="588" t="n"/>
      <c r="DJ913" s="588" t="n"/>
      <c r="DK913" s="588" t="n"/>
      <c r="DL913" s="588" t="n"/>
      <c r="DM913" s="588" t="n"/>
      <c r="DN913" s="588" t="n"/>
      <c r="DO913" s="588" t="n"/>
      <c r="DP913" s="588" t="n"/>
      <c r="DQ913" s="588" t="n"/>
      <c r="DR913" s="588" t="n"/>
      <c r="DS913" s="588" t="n"/>
      <c r="DT913" s="588" t="n"/>
      <c r="DU913" s="588" t="n"/>
    </row>
    <row r="914">
      <c r="A914" s="737" t="n"/>
      <c r="B914" s="737" t="n"/>
      <c r="C914" s="737" t="n"/>
      <c r="D914" s="737" t="n"/>
      <c r="E914" s="737" t="n"/>
      <c r="F914" s="737" t="n"/>
      <c r="G914" s="737" t="n"/>
      <c r="H914" s="737" t="n"/>
      <c r="I914" s="737" t="n"/>
      <c r="J914" s="737" t="n"/>
      <c r="K914" s="737" t="n"/>
      <c r="L914" s="737" t="n"/>
      <c r="M914" s="737" t="n"/>
      <c r="N914" s="737" t="n"/>
      <c r="O914" s="737" t="n"/>
      <c r="P914" s="737" t="n"/>
      <c r="Q914" s="737" t="n"/>
      <c r="R914" s="737" t="n"/>
      <c r="S914" s="737" t="n"/>
      <c r="T914" s="737" t="n"/>
      <c r="U914" s="737" t="n"/>
      <c r="V914" s="737" t="n"/>
      <c r="W914" s="737" t="n"/>
      <c r="X914" s="737" t="n"/>
      <c r="Y914" s="737" t="n"/>
      <c r="Z914" s="737" t="n"/>
      <c r="AA914" s="737" t="n"/>
      <c r="AB914" s="737" t="n"/>
      <c r="AC914" s="737" t="n"/>
      <c r="AD914" s="737" t="n"/>
      <c r="AE914" s="737" t="n"/>
      <c r="AF914" s="737" t="n"/>
      <c r="AG914" s="737" t="n"/>
      <c r="AH914" s="737" t="n"/>
      <c r="AI914" s="737" t="n"/>
      <c r="AJ914" s="737" t="n"/>
      <c r="AK914" s="588" t="n"/>
      <c r="AL914" s="588" t="n"/>
      <c r="AM914" s="588" t="n"/>
      <c r="AN914" s="588" t="n"/>
      <c r="AO914" s="588" t="n"/>
      <c r="AP914" s="588" t="n"/>
      <c r="AQ914" s="588" t="n"/>
      <c r="AR914" s="588" t="n"/>
      <c r="AS914" s="588" t="n"/>
      <c r="AT914" s="588" t="n"/>
      <c r="AU914" s="588" t="n"/>
      <c r="AV914" s="588" t="n"/>
      <c r="AW914" s="588" t="n"/>
      <c r="AX914" s="588" t="n"/>
      <c r="AY914" s="588" t="n"/>
      <c r="AZ914" s="588" t="n"/>
      <c r="BA914" s="588" t="n"/>
      <c r="BB914" s="588" t="n"/>
      <c r="BC914" s="588" t="n"/>
      <c r="BD914" s="588" t="n"/>
      <c r="BE914" s="588" t="n"/>
      <c r="BF914" s="588" t="n"/>
      <c r="BG914" s="588" t="n"/>
      <c r="BH914" s="588" t="n"/>
      <c r="BI914" s="588" t="n"/>
      <c r="BJ914" s="588" t="n"/>
      <c r="BK914" s="588" t="n"/>
      <c r="BL914" s="588" t="n"/>
      <c r="BM914" s="588" t="n"/>
      <c r="BN914" s="588" t="n"/>
      <c r="BO914" s="588" t="n"/>
      <c r="BP914" s="588" t="n"/>
      <c r="BQ914" s="588" t="n"/>
      <c r="BR914" s="588" t="n"/>
      <c r="BS914" s="588" t="n"/>
      <c r="BT914" s="588" t="n"/>
      <c r="BU914" s="588" t="n"/>
      <c r="BV914" s="588" t="n"/>
      <c r="BW914" s="588" t="n"/>
      <c r="BX914" s="588" t="n"/>
      <c r="BY914" s="588" t="n"/>
      <c r="BZ914" s="588" t="n"/>
      <c r="CA914" s="588" t="n"/>
      <c r="CB914" s="588" t="n"/>
      <c r="CC914" s="588" t="n"/>
      <c r="CD914" s="588" t="n"/>
      <c r="CE914" s="588" t="n"/>
      <c r="CF914" s="588" t="n"/>
      <c r="CG914" s="588" t="n"/>
      <c r="CH914" s="588" t="n"/>
      <c r="CI914" s="588" t="n"/>
      <c r="CJ914" s="588" t="n"/>
      <c r="CK914" s="588" t="n"/>
      <c r="CL914" s="588" t="n"/>
      <c r="CM914" s="588" t="n"/>
      <c r="CN914" s="588" t="n"/>
      <c r="CO914" s="588" t="n"/>
      <c r="CP914" s="588" t="n"/>
      <c r="CQ914" s="588" t="n"/>
      <c r="CR914" s="588" t="n"/>
      <c r="CS914" s="588" t="n"/>
      <c r="CT914" s="588" t="n"/>
      <c r="CU914" s="588" t="n"/>
      <c r="CV914" s="588" t="n"/>
      <c r="CW914" s="588" t="n"/>
      <c r="CX914" s="588" t="n"/>
      <c r="CY914" s="588" t="n"/>
      <c r="CZ914" s="588" t="n"/>
      <c r="DA914" s="588" t="n"/>
      <c r="DB914" s="588" t="n"/>
      <c r="DC914" s="588" t="n"/>
      <c r="DD914" s="588" t="n"/>
      <c r="DE914" s="588" t="n"/>
      <c r="DF914" s="588" t="n"/>
      <c r="DG914" s="588" t="n"/>
      <c r="DH914" s="588" t="n"/>
      <c r="DI914" s="588" t="n"/>
      <c r="DJ914" s="588" t="n"/>
      <c r="DK914" s="588" t="n"/>
      <c r="DL914" s="588" t="n"/>
      <c r="DM914" s="588" t="n"/>
      <c r="DN914" s="588" t="n"/>
      <c r="DO914" s="588" t="n"/>
      <c r="DP914" s="588" t="n"/>
      <c r="DQ914" s="588" t="n"/>
      <c r="DR914" s="588" t="n"/>
      <c r="DS914" s="588" t="n"/>
      <c r="DT914" s="588" t="n"/>
      <c r="DU914" s="588" t="n"/>
    </row>
    <row r="915">
      <c r="A915" s="737" t="n"/>
      <c r="B915" s="737" t="n"/>
      <c r="C915" s="737" t="n"/>
      <c r="D915" s="737" t="n"/>
      <c r="E915" s="737" t="n"/>
      <c r="F915" s="737" t="n"/>
      <c r="G915" s="737" t="n"/>
      <c r="H915" s="737" t="n"/>
      <c r="I915" s="737" t="n"/>
      <c r="J915" s="737" t="n"/>
      <c r="K915" s="737" t="n"/>
      <c r="L915" s="737" t="n"/>
      <c r="M915" s="737" t="n"/>
      <c r="N915" s="737" t="n"/>
      <c r="O915" s="737" t="n"/>
      <c r="P915" s="737" t="n"/>
      <c r="Q915" s="737" t="n"/>
      <c r="R915" s="737" t="n"/>
      <c r="S915" s="737" t="n"/>
      <c r="T915" s="737" t="n"/>
      <c r="U915" s="737" t="n"/>
      <c r="V915" s="737" t="n"/>
      <c r="W915" s="737" t="n"/>
      <c r="X915" s="737" t="n"/>
      <c r="Y915" s="737" t="n"/>
      <c r="Z915" s="737" t="n"/>
      <c r="AA915" s="737" t="n"/>
      <c r="AB915" s="737" t="n"/>
      <c r="AC915" s="737" t="n"/>
      <c r="AD915" s="737" t="n"/>
      <c r="AE915" s="737" t="n"/>
      <c r="AF915" s="737" t="n"/>
      <c r="AG915" s="737" t="n"/>
      <c r="AH915" s="737" t="n"/>
      <c r="AI915" s="737" t="n"/>
      <c r="AJ915" s="737" t="n"/>
      <c r="AK915" s="588" t="n"/>
      <c r="AL915" s="588" t="n"/>
      <c r="AM915" s="588" t="n"/>
      <c r="AN915" s="588" t="n"/>
      <c r="AO915" s="588" t="n"/>
      <c r="AP915" s="588" t="n"/>
      <c r="AQ915" s="588" t="n"/>
      <c r="AR915" s="588" t="n"/>
      <c r="AS915" s="588" t="n"/>
      <c r="AT915" s="588" t="n"/>
      <c r="AU915" s="588" t="n"/>
      <c r="AV915" s="588" t="n"/>
      <c r="AW915" s="588" t="n"/>
      <c r="AX915" s="588" t="n"/>
      <c r="AY915" s="588" t="n"/>
      <c r="AZ915" s="588" t="n"/>
      <c r="BA915" s="588" t="n"/>
      <c r="BB915" s="588" t="n"/>
      <c r="BC915" s="588" t="n"/>
      <c r="BD915" s="588" t="n"/>
      <c r="BE915" s="588" t="n"/>
      <c r="BF915" s="588" t="n"/>
      <c r="BG915" s="588" t="n"/>
      <c r="BH915" s="588" t="n"/>
      <c r="BI915" s="588" t="n"/>
      <c r="BJ915" s="588" t="n"/>
      <c r="BK915" s="588" t="n"/>
      <c r="BL915" s="588" t="n"/>
      <c r="BM915" s="588" t="n"/>
      <c r="BN915" s="588" t="n"/>
      <c r="BO915" s="588" t="n"/>
      <c r="BP915" s="588" t="n"/>
      <c r="BQ915" s="588" t="n"/>
      <c r="BR915" s="588" t="n"/>
      <c r="BS915" s="588" t="n"/>
      <c r="BT915" s="588" t="n"/>
      <c r="BU915" s="588" t="n"/>
      <c r="BV915" s="588" t="n"/>
      <c r="BW915" s="588" t="n"/>
      <c r="BX915" s="588" t="n"/>
      <c r="BY915" s="588" t="n"/>
      <c r="BZ915" s="588" t="n"/>
      <c r="CA915" s="588" t="n"/>
      <c r="CB915" s="588" t="n"/>
      <c r="CC915" s="588" t="n"/>
      <c r="CD915" s="588" t="n"/>
      <c r="CE915" s="588" t="n"/>
      <c r="CF915" s="588" t="n"/>
      <c r="CG915" s="588" t="n"/>
      <c r="CH915" s="588" t="n"/>
      <c r="CI915" s="588" t="n"/>
      <c r="CJ915" s="588" t="n"/>
      <c r="CK915" s="588" t="n"/>
      <c r="CL915" s="588" t="n"/>
      <c r="CM915" s="588" t="n"/>
      <c r="CN915" s="588" t="n"/>
      <c r="CO915" s="588" t="n"/>
      <c r="CP915" s="588" t="n"/>
      <c r="CQ915" s="588" t="n"/>
      <c r="CR915" s="588" t="n"/>
      <c r="CS915" s="588" t="n"/>
      <c r="CT915" s="588" t="n"/>
      <c r="CU915" s="588" t="n"/>
      <c r="CV915" s="588" t="n"/>
      <c r="CW915" s="588" t="n"/>
      <c r="CX915" s="588" t="n"/>
      <c r="CY915" s="588" t="n"/>
      <c r="CZ915" s="588" t="n"/>
      <c r="DA915" s="588" t="n"/>
      <c r="DB915" s="588" t="n"/>
      <c r="DC915" s="588" t="n"/>
      <c r="DD915" s="588" t="n"/>
      <c r="DE915" s="588" t="n"/>
      <c r="DF915" s="588" t="n"/>
      <c r="DG915" s="588" t="n"/>
      <c r="DH915" s="588" t="n"/>
      <c r="DI915" s="588" t="n"/>
      <c r="DJ915" s="588" t="n"/>
      <c r="DK915" s="588" t="n"/>
      <c r="DL915" s="588" t="n"/>
      <c r="DM915" s="588" t="n"/>
      <c r="DN915" s="588" t="n"/>
      <c r="DO915" s="588" t="n"/>
      <c r="DP915" s="588" t="n"/>
      <c r="DQ915" s="588" t="n"/>
      <c r="DR915" s="588" t="n"/>
      <c r="DS915" s="588" t="n"/>
      <c r="DT915" s="588" t="n"/>
      <c r="DU915" s="588" t="n"/>
    </row>
    <row r="916">
      <c r="A916" s="737" t="n"/>
      <c r="B916" s="737" t="n"/>
      <c r="C916" s="737" t="n"/>
      <c r="D916" s="737" t="n"/>
      <c r="E916" s="737" t="n"/>
      <c r="F916" s="737" t="n"/>
      <c r="G916" s="737" t="n"/>
      <c r="H916" s="737" t="n"/>
      <c r="I916" s="737" t="n"/>
      <c r="J916" s="737" t="n"/>
      <c r="K916" s="737" t="n"/>
      <c r="L916" s="737" t="n"/>
      <c r="M916" s="737" t="n"/>
      <c r="N916" s="737" t="n"/>
      <c r="O916" s="737" t="n"/>
      <c r="P916" s="737" t="n"/>
      <c r="Q916" s="737" t="n"/>
      <c r="R916" s="737" t="n"/>
      <c r="S916" s="737" t="n"/>
      <c r="T916" s="737" t="n"/>
      <c r="U916" s="737" t="n"/>
      <c r="V916" s="737" t="n"/>
      <c r="W916" s="737" t="n"/>
      <c r="X916" s="737" t="n"/>
      <c r="Y916" s="737" t="n"/>
      <c r="Z916" s="737" t="n"/>
      <c r="AA916" s="737" t="n"/>
      <c r="AB916" s="737" t="n"/>
      <c r="AC916" s="737" t="n"/>
      <c r="AD916" s="737" t="n"/>
      <c r="AE916" s="737" t="n"/>
      <c r="AF916" s="737" t="n"/>
      <c r="AG916" s="737" t="n"/>
      <c r="AH916" s="737" t="n"/>
      <c r="AI916" s="737" t="n"/>
      <c r="AJ916" s="737" t="n"/>
      <c r="AK916" s="588" t="n"/>
      <c r="AL916" s="588" t="n"/>
      <c r="AM916" s="588" t="n"/>
      <c r="AN916" s="588" t="n"/>
      <c r="AO916" s="588" t="n"/>
      <c r="AP916" s="588" t="n"/>
      <c r="AQ916" s="588" t="n"/>
      <c r="AR916" s="588" t="n"/>
      <c r="AS916" s="588" t="n"/>
      <c r="AT916" s="588" t="n"/>
      <c r="AU916" s="588" t="n"/>
      <c r="AV916" s="588" t="n"/>
      <c r="AW916" s="588" t="n"/>
      <c r="AX916" s="588" t="n"/>
      <c r="AY916" s="588" t="n"/>
      <c r="AZ916" s="588" t="n"/>
      <c r="BA916" s="588" t="n"/>
      <c r="BB916" s="588" t="n"/>
      <c r="BC916" s="588" t="n"/>
      <c r="BD916" s="588" t="n"/>
      <c r="BE916" s="588" t="n"/>
      <c r="BF916" s="588" t="n"/>
      <c r="BG916" s="588" t="n"/>
      <c r="BH916" s="588" t="n"/>
      <c r="BI916" s="588" t="n"/>
      <c r="BJ916" s="588" t="n"/>
      <c r="BK916" s="588" t="n"/>
      <c r="BL916" s="588" t="n"/>
      <c r="BM916" s="588" t="n"/>
      <c r="BN916" s="588" t="n"/>
      <c r="BO916" s="588" t="n"/>
      <c r="BP916" s="588" t="n"/>
      <c r="BQ916" s="588" t="n"/>
      <c r="BR916" s="588" t="n"/>
      <c r="BS916" s="588" t="n"/>
      <c r="BT916" s="588" t="n"/>
      <c r="BU916" s="588" t="n"/>
      <c r="BV916" s="588" t="n"/>
      <c r="BW916" s="588" t="n"/>
      <c r="BX916" s="588" t="n"/>
      <c r="BY916" s="588" t="n"/>
      <c r="BZ916" s="588" t="n"/>
      <c r="CA916" s="588" t="n"/>
      <c r="CB916" s="588" t="n"/>
      <c r="CC916" s="588" t="n"/>
      <c r="CD916" s="588" t="n"/>
      <c r="CE916" s="588" t="n"/>
      <c r="CF916" s="588" t="n"/>
      <c r="CG916" s="588" t="n"/>
      <c r="CH916" s="588" t="n"/>
      <c r="CI916" s="588" t="n"/>
      <c r="CJ916" s="588" t="n"/>
      <c r="CK916" s="588" t="n"/>
      <c r="CL916" s="588" t="n"/>
      <c r="CM916" s="588" t="n"/>
      <c r="CN916" s="588" t="n"/>
      <c r="CO916" s="588" t="n"/>
      <c r="CP916" s="588" t="n"/>
      <c r="CQ916" s="588" t="n"/>
      <c r="CR916" s="588" t="n"/>
      <c r="CS916" s="588" t="n"/>
      <c r="CT916" s="588" t="n"/>
      <c r="CU916" s="588" t="n"/>
      <c r="CV916" s="588" t="n"/>
      <c r="CW916" s="588" t="n"/>
      <c r="CX916" s="588" t="n"/>
      <c r="CY916" s="588" t="n"/>
      <c r="CZ916" s="588" t="n"/>
      <c r="DA916" s="588" t="n"/>
      <c r="DB916" s="588" t="n"/>
      <c r="DC916" s="588" t="n"/>
      <c r="DD916" s="588" t="n"/>
      <c r="DE916" s="588" t="n"/>
      <c r="DF916" s="588" t="n"/>
      <c r="DG916" s="588" t="n"/>
      <c r="DH916" s="588" t="n"/>
      <c r="DI916" s="588" t="n"/>
      <c r="DJ916" s="588" t="n"/>
      <c r="DK916" s="588" t="n"/>
      <c r="DL916" s="588" t="n"/>
      <c r="DM916" s="588" t="n"/>
      <c r="DN916" s="588" t="n"/>
      <c r="DO916" s="588" t="n"/>
      <c r="DP916" s="588" t="n"/>
      <c r="DQ916" s="588" t="n"/>
      <c r="DR916" s="588" t="n"/>
      <c r="DS916" s="588" t="n"/>
      <c r="DT916" s="588" t="n"/>
      <c r="DU916" s="588" t="n"/>
    </row>
    <row r="917">
      <c r="A917" s="737" t="n"/>
      <c r="B917" s="737" t="n"/>
      <c r="C917" s="737" t="n"/>
      <c r="D917" s="737" t="n"/>
      <c r="E917" s="737" t="n"/>
      <c r="F917" s="737" t="n"/>
      <c r="G917" s="737" t="n"/>
      <c r="H917" s="737" t="n"/>
      <c r="I917" s="737" t="n"/>
      <c r="J917" s="737" t="n"/>
      <c r="K917" s="737" t="n"/>
      <c r="L917" s="737" t="n"/>
      <c r="M917" s="737" t="n"/>
      <c r="N917" s="737" t="n"/>
      <c r="O917" s="737" t="n"/>
      <c r="P917" s="737" t="n"/>
      <c r="Q917" s="737" t="n"/>
      <c r="R917" s="737" t="n"/>
      <c r="S917" s="737" t="n"/>
      <c r="T917" s="737" t="n"/>
      <c r="U917" s="737" t="n"/>
      <c r="V917" s="737" t="n"/>
      <c r="W917" s="737" t="n"/>
      <c r="X917" s="737" t="n"/>
      <c r="Y917" s="737" t="n"/>
      <c r="Z917" s="737" t="n"/>
      <c r="AA917" s="737" t="n"/>
      <c r="AB917" s="737" t="n"/>
      <c r="AC917" s="737" t="n"/>
      <c r="AD917" s="737" t="n"/>
      <c r="AE917" s="737" t="n"/>
      <c r="AF917" s="737" t="n"/>
      <c r="AG917" s="737" t="n"/>
      <c r="AH917" s="737" t="n"/>
      <c r="AI917" s="737" t="n"/>
      <c r="AJ917" s="737" t="n"/>
      <c r="AK917" s="588" t="n"/>
      <c r="AL917" s="588" t="n"/>
      <c r="AM917" s="588" t="n"/>
      <c r="AN917" s="588" t="n"/>
      <c r="AO917" s="588" t="n"/>
      <c r="AP917" s="588" t="n"/>
      <c r="AQ917" s="588" t="n"/>
      <c r="AR917" s="588" t="n"/>
      <c r="AS917" s="588" t="n"/>
      <c r="AT917" s="588" t="n"/>
      <c r="AU917" s="588" t="n"/>
      <c r="AV917" s="588" t="n"/>
      <c r="AW917" s="588" t="n"/>
      <c r="AX917" s="588" t="n"/>
      <c r="AY917" s="588" t="n"/>
      <c r="AZ917" s="588" t="n"/>
      <c r="BA917" s="588" t="n"/>
      <c r="BB917" s="588" t="n"/>
      <c r="BC917" s="588" t="n"/>
      <c r="BD917" s="588" t="n"/>
      <c r="BE917" s="588" t="n"/>
      <c r="BF917" s="588" t="n"/>
      <c r="BG917" s="588" t="n"/>
      <c r="BH917" s="588" t="n"/>
      <c r="BI917" s="588" t="n"/>
      <c r="BJ917" s="588" t="n"/>
      <c r="BK917" s="588" t="n"/>
      <c r="BL917" s="588" t="n"/>
      <c r="BM917" s="588" t="n"/>
      <c r="BN917" s="588" t="n"/>
      <c r="BO917" s="588" t="n"/>
      <c r="BP917" s="588" t="n"/>
      <c r="BQ917" s="588" t="n"/>
      <c r="BR917" s="588" t="n"/>
      <c r="BS917" s="588" t="n"/>
      <c r="BT917" s="588" t="n"/>
      <c r="BU917" s="588" t="n"/>
      <c r="BV917" s="588" t="n"/>
      <c r="BW917" s="588" t="n"/>
      <c r="BX917" s="588" t="n"/>
      <c r="BY917" s="588" t="n"/>
      <c r="BZ917" s="588" t="n"/>
      <c r="CA917" s="588" t="n"/>
      <c r="CB917" s="588" t="n"/>
      <c r="CC917" s="588" t="n"/>
      <c r="CD917" s="588" t="n"/>
      <c r="CE917" s="588" t="n"/>
      <c r="CF917" s="588" t="n"/>
      <c r="CG917" s="588" t="n"/>
      <c r="CH917" s="588" t="n"/>
      <c r="CI917" s="588" t="n"/>
      <c r="CJ917" s="588" t="n"/>
      <c r="CK917" s="588" t="n"/>
      <c r="CL917" s="588" t="n"/>
      <c r="CM917" s="588" t="n"/>
      <c r="CN917" s="588" t="n"/>
      <c r="CO917" s="588" t="n"/>
      <c r="CP917" s="588" t="n"/>
      <c r="CQ917" s="588" t="n"/>
      <c r="CR917" s="588" t="n"/>
      <c r="CS917" s="588" t="n"/>
      <c r="CT917" s="588" t="n"/>
      <c r="CU917" s="588" t="n"/>
      <c r="CV917" s="588" t="n"/>
      <c r="CW917" s="588" t="n"/>
      <c r="CX917" s="588" t="n"/>
      <c r="CY917" s="588" t="n"/>
      <c r="CZ917" s="588" t="n"/>
      <c r="DA917" s="588" t="n"/>
      <c r="DB917" s="588" t="n"/>
      <c r="DC917" s="588" t="n"/>
      <c r="DD917" s="588" t="n"/>
      <c r="DE917" s="588" t="n"/>
      <c r="DF917" s="588" t="n"/>
      <c r="DG917" s="588" t="n"/>
      <c r="DH917" s="588" t="n"/>
      <c r="DI917" s="588" t="n"/>
      <c r="DJ917" s="588" t="n"/>
      <c r="DK917" s="588" t="n"/>
      <c r="DL917" s="588" t="n"/>
      <c r="DM917" s="588" t="n"/>
      <c r="DN917" s="588" t="n"/>
      <c r="DO917" s="588" t="n"/>
      <c r="DP917" s="588" t="n"/>
      <c r="DQ917" s="588" t="n"/>
      <c r="DR917" s="588" t="n"/>
      <c r="DS917" s="588" t="n"/>
      <c r="DT917" s="588" t="n"/>
      <c r="DU917" s="588" t="n"/>
    </row>
    <row r="918">
      <c r="A918" s="737" t="n"/>
      <c r="B918" s="737" t="n"/>
      <c r="C918" s="737" t="n"/>
      <c r="D918" s="737" t="n"/>
      <c r="E918" s="737" t="n"/>
      <c r="F918" s="737" t="n"/>
      <c r="G918" s="737" t="n"/>
      <c r="H918" s="737" t="n"/>
      <c r="I918" s="737" t="n"/>
      <c r="J918" s="737" t="n"/>
      <c r="K918" s="737" t="n"/>
      <c r="L918" s="737" t="n"/>
      <c r="M918" s="737" t="n"/>
      <c r="N918" s="737" t="n"/>
      <c r="O918" s="737" t="n"/>
      <c r="P918" s="737" t="n"/>
      <c r="Q918" s="737" t="n"/>
      <c r="R918" s="737" t="n"/>
      <c r="S918" s="737" t="n"/>
      <c r="T918" s="737" t="n"/>
      <c r="U918" s="737" t="n"/>
      <c r="V918" s="737" t="n"/>
      <c r="W918" s="737" t="n"/>
      <c r="X918" s="737" t="n"/>
      <c r="Y918" s="737" t="n"/>
      <c r="Z918" s="737" t="n"/>
      <c r="AA918" s="737" t="n"/>
      <c r="AB918" s="737" t="n"/>
      <c r="AC918" s="737" t="n"/>
      <c r="AD918" s="737" t="n"/>
      <c r="AE918" s="737" t="n"/>
      <c r="AF918" s="737" t="n"/>
      <c r="AG918" s="737" t="n"/>
      <c r="AH918" s="737" t="n"/>
      <c r="AI918" s="737" t="n"/>
      <c r="AJ918" s="737" t="n"/>
      <c r="AK918" s="588" t="n"/>
      <c r="AL918" s="588" t="n"/>
      <c r="AM918" s="588" t="n"/>
      <c r="AN918" s="588" t="n"/>
      <c r="AO918" s="588" t="n"/>
      <c r="AP918" s="588" t="n"/>
      <c r="AQ918" s="588" t="n"/>
      <c r="AR918" s="588" t="n"/>
      <c r="AS918" s="588" t="n"/>
      <c r="AT918" s="588" t="n"/>
      <c r="AU918" s="588" t="n"/>
      <c r="AV918" s="588" t="n"/>
      <c r="AW918" s="588" t="n"/>
      <c r="AX918" s="588" t="n"/>
      <c r="AY918" s="588" t="n"/>
      <c r="AZ918" s="588" t="n"/>
      <c r="BA918" s="588" t="n"/>
      <c r="BB918" s="588" t="n"/>
      <c r="BC918" s="588" t="n"/>
      <c r="BD918" s="588" t="n"/>
      <c r="BE918" s="588" t="n"/>
      <c r="BF918" s="588" t="n"/>
      <c r="BG918" s="588" t="n"/>
      <c r="BH918" s="588" t="n"/>
      <c r="BI918" s="588" t="n"/>
      <c r="BJ918" s="588" t="n"/>
      <c r="BK918" s="588" t="n"/>
      <c r="BL918" s="588" t="n"/>
      <c r="BM918" s="588" t="n"/>
      <c r="BN918" s="588" t="n"/>
      <c r="BO918" s="588" t="n"/>
      <c r="BP918" s="588" t="n"/>
      <c r="BQ918" s="588" t="n"/>
      <c r="BR918" s="588" t="n"/>
      <c r="BS918" s="588" t="n"/>
      <c r="BT918" s="588" t="n"/>
      <c r="BU918" s="588" t="n"/>
      <c r="BV918" s="588" t="n"/>
      <c r="BW918" s="588" t="n"/>
      <c r="BX918" s="588" t="n"/>
      <c r="BY918" s="588" t="n"/>
      <c r="BZ918" s="588" t="n"/>
      <c r="CA918" s="588" t="n"/>
      <c r="CB918" s="588" t="n"/>
      <c r="CC918" s="588" t="n"/>
      <c r="CD918" s="588" t="n"/>
      <c r="CE918" s="588" t="n"/>
      <c r="CF918" s="588" t="n"/>
      <c r="CG918" s="588" t="n"/>
      <c r="CH918" s="588" t="n"/>
      <c r="CI918" s="588" t="n"/>
      <c r="CJ918" s="588" t="n"/>
      <c r="CK918" s="588" t="n"/>
      <c r="CL918" s="588" t="n"/>
      <c r="CM918" s="588" t="n"/>
      <c r="CN918" s="588" t="n"/>
      <c r="CO918" s="588" t="n"/>
      <c r="CP918" s="588" t="n"/>
      <c r="CQ918" s="588" t="n"/>
      <c r="CR918" s="588" t="n"/>
      <c r="CS918" s="588" t="n"/>
      <c r="CT918" s="588" t="n"/>
      <c r="CU918" s="588" t="n"/>
      <c r="CV918" s="588" t="n"/>
      <c r="CW918" s="588" t="n"/>
      <c r="CX918" s="588" t="n"/>
      <c r="CY918" s="588" t="n"/>
      <c r="CZ918" s="588" t="n"/>
      <c r="DA918" s="588" t="n"/>
      <c r="DB918" s="588" t="n"/>
      <c r="DC918" s="588" t="n"/>
      <c r="DD918" s="588" t="n"/>
      <c r="DE918" s="588" t="n"/>
      <c r="DF918" s="588" t="n"/>
      <c r="DG918" s="588" t="n"/>
      <c r="DH918" s="588" t="n"/>
      <c r="DI918" s="588" t="n"/>
      <c r="DJ918" s="588" t="n"/>
      <c r="DK918" s="588" t="n"/>
      <c r="DL918" s="588" t="n"/>
      <c r="DM918" s="588" t="n"/>
      <c r="DN918" s="588" t="n"/>
      <c r="DO918" s="588" t="n"/>
      <c r="DP918" s="588" t="n"/>
      <c r="DQ918" s="588" t="n"/>
      <c r="DR918" s="588" t="n"/>
      <c r="DS918" s="588" t="n"/>
      <c r="DT918" s="588" t="n"/>
      <c r="DU918" s="588" t="n"/>
    </row>
    <row r="919">
      <c r="A919" s="737" t="n"/>
      <c r="B919" s="737" t="n"/>
      <c r="C919" s="737" t="n"/>
      <c r="D919" s="737" t="n"/>
      <c r="E919" s="737" t="n"/>
      <c r="F919" s="737" t="n"/>
      <c r="G919" s="737" t="n"/>
      <c r="H919" s="737" t="n"/>
      <c r="I919" s="737" t="n"/>
      <c r="J919" s="737" t="n"/>
      <c r="K919" s="737" t="n"/>
      <c r="L919" s="737" t="n"/>
      <c r="M919" s="737" t="n"/>
      <c r="N919" s="737" t="n"/>
      <c r="O919" s="737" t="n"/>
      <c r="P919" s="737" t="n"/>
      <c r="Q919" s="737" t="n"/>
      <c r="R919" s="737" t="n"/>
      <c r="S919" s="737" t="n"/>
      <c r="T919" s="737" t="n"/>
      <c r="U919" s="737" t="n"/>
      <c r="V919" s="737" t="n"/>
      <c r="W919" s="737" t="n"/>
      <c r="X919" s="737" t="n"/>
      <c r="Y919" s="737" t="n"/>
      <c r="Z919" s="737" t="n"/>
      <c r="AA919" s="737" t="n"/>
      <c r="AB919" s="737" t="n"/>
      <c r="AC919" s="737" t="n"/>
      <c r="AD919" s="737" t="n"/>
      <c r="AE919" s="737" t="n"/>
      <c r="AF919" s="737" t="n"/>
      <c r="AG919" s="737" t="n"/>
      <c r="AH919" s="737" t="n"/>
      <c r="AI919" s="737" t="n"/>
      <c r="AJ919" s="737" t="n"/>
      <c r="AK919" s="588" t="n"/>
      <c r="AL919" s="588" t="n"/>
      <c r="AM919" s="588" t="n"/>
      <c r="AN919" s="588" t="n"/>
      <c r="AO919" s="588" t="n"/>
      <c r="AP919" s="588" t="n"/>
      <c r="AQ919" s="588" t="n"/>
      <c r="AR919" s="588" t="n"/>
      <c r="AS919" s="588" t="n"/>
      <c r="AT919" s="588" t="n"/>
      <c r="AU919" s="588" t="n"/>
      <c r="AV919" s="588" t="n"/>
      <c r="AW919" s="588" t="n"/>
      <c r="AX919" s="588" t="n"/>
      <c r="AY919" s="588" t="n"/>
      <c r="AZ919" s="588" t="n"/>
      <c r="BA919" s="588" t="n"/>
      <c r="BB919" s="588" t="n"/>
      <c r="BC919" s="588" t="n"/>
      <c r="BD919" s="588" t="n"/>
      <c r="BE919" s="588" t="n"/>
      <c r="BF919" s="588" t="n"/>
      <c r="BG919" s="588" t="n"/>
      <c r="BH919" s="588" t="n"/>
      <c r="BI919" s="588" t="n"/>
      <c r="BJ919" s="588" t="n"/>
      <c r="BK919" s="588" t="n"/>
      <c r="BL919" s="588" t="n"/>
      <c r="BM919" s="588" t="n"/>
      <c r="BN919" s="588" t="n"/>
      <c r="BO919" s="588" t="n"/>
      <c r="BP919" s="588" t="n"/>
      <c r="BQ919" s="588" t="n"/>
      <c r="BR919" s="588" t="n"/>
      <c r="BS919" s="588" t="n"/>
      <c r="BT919" s="588" t="n"/>
      <c r="BU919" s="588" t="n"/>
      <c r="BV919" s="588" t="n"/>
      <c r="BW919" s="588" t="n"/>
      <c r="BX919" s="588" t="n"/>
      <c r="BY919" s="588" t="n"/>
      <c r="BZ919" s="588" t="n"/>
      <c r="CA919" s="588" t="n"/>
      <c r="CB919" s="588" t="n"/>
      <c r="CC919" s="588" t="n"/>
      <c r="CD919" s="588" t="n"/>
      <c r="CE919" s="588" t="n"/>
      <c r="CF919" s="588" t="n"/>
      <c r="CG919" s="588" t="n"/>
      <c r="CH919" s="588" t="n"/>
      <c r="CI919" s="588" t="n"/>
      <c r="CJ919" s="588" t="n"/>
      <c r="CK919" s="588" t="n"/>
      <c r="CL919" s="588" t="n"/>
      <c r="CM919" s="588" t="n"/>
      <c r="CN919" s="588" t="n"/>
      <c r="CO919" s="588" t="n"/>
      <c r="CP919" s="588" t="n"/>
      <c r="CQ919" s="588" t="n"/>
      <c r="CR919" s="588" t="n"/>
      <c r="CS919" s="588" t="n"/>
      <c r="CT919" s="588" t="n"/>
      <c r="CU919" s="588" t="n"/>
      <c r="CV919" s="588" t="n"/>
      <c r="CW919" s="588" t="n"/>
      <c r="CX919" s="588" t="n"/>
      <c r="CY919" s="588" t="n"/>
      <c r="CZ919" s="588" t="n"/>
      <c r="DA919" s="588" t="n"/>
      <c r="DB919" s="588" t="n"/>
      <c r="DC919" s="588" t="n"/>
      <c r="DD919" s="588" t="n"/>
      <c r="DE919" s="588" t="n"/>
      <c r="DF919" s="588" t="n"/>
      <c r="DG919" s="588" t="n"/>
      <c r="DH919" s="588" t="n"/>
      <c r="DI919" s="588" t="n"/>
      <c r="DJ919" s="588" t="n"/>
      <c r="DK919" s="588" t="n"/>
      <c r="DL919" s="588" t="n"/>
      <c r="DM919" s="588" t="n"/>
      <c r="DN919" s="588" t="n"/>
      <c r="DO919" s="588" t="n"/>
      <c r="DP919" s="588" t="n"/>
      <c r="DQ919" s="588" t="n"/>
      <c r="DR919" s="588" t="n"/>
      <c r="DS919" s="588" t="n"/>
      <c r="DT919" s="588" t="n"/>
      <c r="DU919" s="588" t="n"/>
    </row>
    <row r="920">
      <c r="A920" s="737" t="n"/>
      <c r="B920" s="737" t="n"/>
      <c r="C920" s="737" t="n"/>
      <c r="D920" s="737" t="n"/>
      <c r="E920" s="737" t="n"/>
      <c r="F920" s="737" t="n"/>
      <c r="G920" s="737" t="n"/>
      <c r="H920" s="737" t="n"/>
      <c r="I920" s="737" t="n"/>
      <c r="J920" s="737" t="n"/>
      <c r="K920" s="737" t="n"/>
      <c r="L920" s="737" t="n"/>
      <c r="M920" s="737" t="n"/>
      <c r="N920" s="737" t="n"/>
      <c r="O920" s="737" t="n"/>
      <c r="P920" s="737" t="n"/>
      <c r="Q920" s="737" t="n"/>
      <c r="R920" s="737" t="n"/>
      <c r="S920" s="737" t="n"/>
      <c r="T920" s="737" t="n"/>
      <c r="U920" s="737" t="n"/>
      <c r="V920" s="737" t="n"/>
      <c r="W920" s="737" t="n"/>
      <c r="X920" s="737" t="n"/>
      <c r="Y920" s="737" t="n"/>
      <c r="Z920" s="737" t="n"/>
      <c r="AA920" s="737" t="n"/>
      <c r="AB920" s="737" t="n"/>
      <c r="AC920" s="737" t="n"/>
      <c r="AD920" s="737" t="n"/>
      <c r="AE920" s="737" t="n"/>
      <c r="AF920" s="737" t="n"/>
      <c r="AG920" s="737" t="n"/>
      <c r="AH920" s="737" t="n"/>
      <c r="AI920" s="737" t="n"/>
      <c r="AJ920" s="737" t="n"/>
      <c r="AK920" s="588" t="n"/>
      <c r="AL920" s="588" t="n"/>
      <c r="AM920" s="588" t="n"/>
      <c r="AN920" s="588" t="n"/>
      <c r="AO920" s="588" t="n"/>
      <c r="AP920" s="588" t="n"/>
      <c r="AQ920" s="588" t="n"/>
      <c r="AR920" s="588" t="n"/>
      <c r="AS920" s="588" t="n"/>
      <c r="AT920" s="588" t="n"/>
      <c r="AU920" s="588" t="n"/>
      <c r="AV920" s="588" t="n"/>
      <c r="AW920" s="588" t="n"/>
      <c r="AX920" s="588" t="n"/>
      <c r="AY920" s="588" t="n"/>
      <c r="AZ920" s="588" t="n"/>
      <c r="BA920" s="588" t="n"/>
      <c r="BB920" s="588" t="n"/>
      <c r="BC920" s="588" t="n"/>
      <c r="BD920" s="588" t="n"/>
      <c r="BE920" s="588" t="n"/>
      <c r="BF920" s="588" t="n"/>
      <c r="BG920" s="588" t="n"/>
      <c r="BH920" s="588" t="n"/>
      <c r="BI920" s="588" t="n"/>
      <c r="BJ920" s="588" t="n"/>
      <c r="BK920" s="588" t="n"/>
      <c r="BL920" s="588" t="n"/>
      <c r="BM920" s="588" t="n"/>
      <c r="BN920" s="588" t="n"/>
      <c r="BO920" s="588" t="n"/>
      <c r="BP920" s="588" t="n"/>
      <c r="BQ920" s="588" t="n"/>
      <c r="BR920" s="588" t="n"/>
      <c r="BS920" s="588" t="n"/>
      <c r="BT920" s="588" t="n"/>
      <c r="BU920" s="588" t="n"/>
      <c r="BV920" s="588" t="n"/>
      <c r="BW920" s="588" t="n"/>
      <c r="BX920" s="588" t="n"/>
      <c r="BY920" s="588" t="n"/>
      <c r="BZ920" s="588" t="n"/>
      <c r="CA920" s="588" t="n"/>
      <c r="CB920" s="588" t="n"/>
      <c r="CC920" s="588" t="n"/>
      <c r="CD920" s="588" t="n"/>
      <c r="CE920" s="588" t="n"/>
      <c r="CF920" s="588" t="n"/>
      <c r="CG920" s="588" t="n"/>
      <c r="CH920" s="588" t="n"/>
      <c r="CI920" s="588" t="n"/>
      <c r="CJ920" s="588" t="n"/>
      <c r="CK920" s="588" t="n"/>
      <c r="CL920" s="588" t="n"/>
      <c r="CM920" s="588" t="n"/>
      <c r="CN920" s="588" t="n"/>
      <c r="CO920" s="588" t="n"/>
      <c r="CP920" s="588" t="n"/>
      <c r="CQ920" s="588" t="n"/>
      <c r="CR920" s="588" t="n"/>
      <c r="CS920" s="588" t="n"/>
      <c r="CT920" s="588" t="n"/>
      <c r="CU920" s="588" t="n"/>
      <c r="CV920" s="588" t="n"/>
      <c r="CW920" s="588" t="n"/>
      <c r="CX920" s="588" t="n"/>
      <c r="CY920" s="588" t="n"/>
      <c r="CZ920" s="588" t="n"/>
      <c r="DA920" s="588" t="n"/>
      <c r="DB920" s="588" t="n"/>
      <c r="DC920" s="588" t="n"/>
      <c r="DD920" s="588" t="n"/>
      <c r="DE920" s="588" t="n"/>
      <c r="DF920" s="588" t="n"/>
      <c r="DG920" s="588" t="n"/>
      <c r="DH920" s="588" t="n"/>
      <c r="DI920" s="588" t="n"/>
      <c r="DJ920" s="588" t="n"/>
      <c r="DK920" s="588" t="n"/>
      <c r="DL920" s="588" t="n"/>
      <c r="DM920" s="588" t="n"/>
      <c r="DN920" s="588" t="n"/>
      <c r="DO920" s="588" t="n"/>
      <c r="DP920" s="588" t="n"/>
      <c r="DQ920" s="588" t="n"/>
      <c r="DR920" s="588" t="n"/>
      <c r="DS920" s="588" t="n"/>
      <c r="DT920" s="588" t="n"/>
      <c r="DU920" s="588" t="n"/>
    </row>
    <row r="921">
      <c r="A921" s="737" t="n"/>
      <c r="B921" s="737" t="n"/>
      <c r="C921" s="737" t="n"/>
      <c r="D921" s="737" t="n"/>
      <c r="E921" s="737" t="n"/>
      <c r="F921" s="737" t="n"/>
      <c r="G921" s="737" t="n"/>
      <c r="H921" s="737" t="n"/>
      <c r="I921" s="737" t="n"/>
      <c r="J921" s="737" t="n"/>
      <c r="K921" s="737" t="n"/>
      <c r="L921" s="737" t="n"/>
      <c r="M921" s="737" t="n"/>
      <c r="N921" s="737" t="n"/>
      <c r="O921" s="737" t="n"/>
      <c r="P921" s="737" t="n"/>
      <c r="Q921" s="737" t="n"/>
      <c r="R921" s="737" t="n"/>
      <c r="S921" s="737" t="n"/>
      <c r="T921" s="737" t="n"/>
      <c r="U921" s="737" t="n"/>
      <c r="V921" s="737" t="n"/>
      <c r="W921" s="737" t="n"/>
      <c r="X921" s="737" t="n"/>
      <c r="Y921" s="737" t="n"/>
      <c r="Z921" s="737" t="n"/>
      <c r="AA921" s="737" t="n"/>
      <c r="AB921" s="737" t="n"/>
      <c r="AC921" s="737" t="n"/>
      <c r="AD921" s="737" t="n"/>
      <c r="AE921" s="737" t="n"/>
      <c r="AF921" s="737" t="n"/>
      <c r="AG921" s="737" t="n"/>
      <c r="AH921" s="737" t="n"/>
      <c r="AI921" s="737" t="n"/>
      <c r="AJ921" s="737" t="n"/>
      <c r="AK921" s="588" t="n"/>
      <c r="AL921" s="588" t="n"/>
      <c r="AM921" s="588" t="n"/>
      <c r="AN921" s="588" t="n"/>
      <c r="AO921" s="588" t="n"/>
      <c r="AP921" s="588" t="n"/>
      <c r="AQ921" s="588" t="n"/>
      <c r="AR921" s="588" t="n"/>
      <c r="AS921" s="588" t="n"/>
      <c r="AT921" s="588" t="n"/>
      <c r="AU921" s="588" t="n"/>
      <c r="AV921" s="588" t="n"/>
      <c r="AW921" s="588" t="n"/>
      <c r="AX921" s="588" t="n"/>
      <c r="AY921" s="588" t="n"/>
      <c r="AZ921" s="588" t="n"/>
      <c r="BA921" s="588" t="n"/>
      <c r="BB921" s="588" t="n"/>
      <c r="BC921" s="588" t="n"/>
      <c r="BD921" s="588" t="n"/>
      <c r="BE921" s="588" t="n"/>
      <c r="BF921" s="588" t="n"/>
      <c r="BG921" s="588" t="n"/>
      <c r="BH921" s="588" t="n"/>
      <c r="BI921" s="588" t="n"/>
      <c r="BJ921" s="588" t="n"/>
      <c r="BK921" s="588" t="n"/>
      <c r="BL921" s="588" t="n"/>
      <c r="BM921" s="588" t="n"/>
      <c r="BN921" s="588" t="n"/>
      <c r="BO921" s="588" t="n"/>
      <c r="BP921" s="588" t="n"/>
      <c r="BQ921" s="588" t="n"/>
      <c r="BR921" s="588" t="n"/>
      <c r="BS921" s="588" t="n"/>
      <c r="BT921" s="588" t="n"/>
      <c r="BU921" s="588" t="n"/>
      <c r="BV921" s="588" t="n"/>
      <c r="BW921" s="588" t="n"/>
      <c r="BX921" s="588" t="n"/>
      <c r="BY921" s="588" t="n"/>
      <c r="BZ921" s="588" t="n"/>
      <c r="CA921" s="588" t="n"/>
      <c r="CB921" s="588" t="n"/>
      <c r="CC921" s="588" t="n"/>
      <c r="CD921" s="588" t="n"/>
      <c r="CE921" s="588" t="n"/>
      <c r="CF921" s="588" t="n"/>
      <c r="CG921" s="588" t="n"/>
      <c r="CH921" s="588" t="n"/>
      <c r="CI921" s="588" t="n"/>
      <c r="CJ921" s="588" t="n"/>
      <c r="CK921" s="588" t="n"/>
      <c r="CL921" s="588" t="n"/>
      <c r="CM921" s="588" t="n"/>
      <c r="CN921" s="588" t="n"/>
      <c r="CO921" s="588" t="n"/>
      <c r="CP921" s="588" t="n"/>
      <c r="CQ921" s="588" t="n"/>
      <c r="CR921" s="588" t="n"/>
      <c r="CS921" s="588" t="n"/>
      <c r="CT921" s="588" t="n"/>
      <c r="CU921" s="588" t="n"/>
      <c r="CV921" s="588" t="n"/>
      <c r="CW921" s="588" t="n"/>
      <c r="CX921" s="588" t="n"/>
      <c r="CY921" s="588" t="n"/>
      <c r="CZ921" s="588" t="n"/>
      <c r="DA921" s="588" t="n"/>
      <c r="DB921" s="588" t="n"/>
      <c r="DC921" s="588" t="n"/>
      <c r="DD921" s="588" t="n"/>
      <c r="DE921" s="588" t="n"/>
      <c r="DF921" s="588" t="n"/>
      <c r="DG921" s="588" t="n"/>
      <c r="DH921" s="588" t="n"/>
      <c r="DI921" s="588" t="n"/>
      <c r="DJ921" s="588" t="n"/>
      <c r="DK921" s="588" t="n"/>
      <c r="DL921" s="588" t="n"/>
      <c r="DM921" s="588" t="n"/>
      <c r="DN921" s="588" t="n"/>
      <c r="DO921" s="588" t="n"/>
      <c r="DP921" s="588" t="n"/>
      <c r="DQ921" s="588" t="n"/>
      <c r="DR921" s="588" t="n"/>
      <c r="DS921" s="588" t="n"/>
      <c r="DT921" s="588" t="n"/>
      <c r="DU921" s="588" t="n"/>
    </row>
    <row r="922">
      <c r="A922" s="737" t="n"/>
      <c r="B922" s="737" t="n"/>
      <c r="C922" s="737" t="n"/>
      <c r="D922" s="737" t="n"/>
      <c r="E922" s="737" t="n"/>
      <c r="F922" s="737" t="n"/>
      <c r="G922" s="737" t="n"/>
      <c r="H922" s="737" t="n"/>
      <c r="I922" s="737" t="n"/>
      <c r="J922" s="737" t="n"/>
      <c r="K922" s="737" t="n"/>
      <c r="L922" s="737" t="n"/>
      <c r="M922" s="737" t="n"/>
      <c r="N922" s="737" t="n"/>
      <c r="O922" s="737" t="n"/>
      <c r="P922" s="737" t="n"/>
      <c r="Q922" s="737" t="n"/>
      <c r="R922" s="737" t="n"/>
      <c r="S922" s="737" t="n"/>
      <c r="T922" s="737" t="n"/>
      <c r="U922" s="737" t="n"/>
      <c r="V922" s="737" t="n"/>
      <c r="W922" s="737" t="n"/>
      <c r="X922" s="737" t="n"/>
      <c r="Y922" s="737" t="n"/>
      <c r="Z922" s="737" t="n"/>
      <c r="AA922" s="737" t="n"/>
      <c r="AB922" s="737" t="n"/>
      <c r="AC922" s="737" t="n"/>
      <c r="AD922" s="737" t="n"/>
      <c r="AE922" s="737" t="n"/>
      <c r="AF922" s="737" t="n"/>
      <c r="AG922" s="737" t="n"/>
      <c r="AH922" s="737" t="n"/>
      <c r="AI922" s="737" t="n"/>
      <c r="AJ922" s="737" t="n"/>
      <c r="AK922" s="588" t="n"/>
      <c r="AL922" s="588" t="n"/>
      <c r="AM922" s="588" t="n"/>
      <c r="AN922" s="588" t="n"/>
      <c r="AO922" s="588" t="n"/>
      <c r="AP922" s="588" t="n"/>
      <c r="AQ922" s="588" t="n"/>
      <c r="AR922" s="588" t="n"/>
      <c r="AS922" s="588" t="n"/>
      <c r="AT922" s="588" t="n"/>
      <c r="AU922" s="588" t="n"/>
      <c r="AV922" s="588" t="n"/>
      <c r="AW922" s="588" t="n"/>
      <c r="AX922" s="588" t="n"/>
      <c r="AY922" s="588" t="n"/>
      <c r="AZ922" s="588" t="n"/>
      <c r="BA922" s="588" t="n"/>
      <c r="BB922" s="588" t="n"/>
      <c r="BC922" s="588" t="n"/>
      <c r="BD922" s="588" t="n"/>
      <c r="BE922" s="588" t="n"/>
      <c r="BF922" s="588" t="n"/>
      <c r="BG922" s="588" t="n"/>
      <c r="BH922" s="588" t="n"/>
      <c r="BI922" s="588" t="n"/>
      <c r="BJ922" s="588" t="n"/>
      <c r="BK922" s="588" t="n"/>
      <c r="BL922" s="588" t="n"/>
      <c r="BM922" s="588" t="n"/>
      <c r="BN922" s="588" t="n"/>
      <c r="BO922" s="588" t="n"/>
      <c r="BP922" s="588" t="n"/>
      <c r="BQ922" s="588" t="n"/>
      <c r="BR922" s="588" t="n"/>
      <c r="BS922" s="588" t="n"/>
      <c r="BT922" s="588" t="n"/>
      <c r="BU922" s="588" t="n"/>
      <c r="BV922" s="588" t="n"/>
      <c r="BW922" s="588" t="n"/>
      <c r="BX922" s="588" t="n"/>
      <c r="BY922" s="588" t="n"/>
      <c r="BZ922" s="588" t="n"/>
      <c r="CA922" s="588" t="n"/>
      <c r="CB922" s="588" t="n"/>
      <c r="CC922" s="588" t="n"/>
      <c r="CD922" s="588" t="n"/>
      <c r="CE922" s="588" t="n"/>
      <c r="CF922" s="588" t="n"/>
      <c r="CG922" s="588" t="n"/>
      <c r="CH922" s="588" t="n"/>
      <c r="CI922" s="588" t="n"/>
      <c r="CJ922" s="588" t="n"/>
      <c r="CK922" s="588" t="n"/>
      <c r="CL922" s="588" t="n"/>
      <c r="CM922" s="588" t="n"/>
      <c r="CN922" s="588" t="n"/>
      <c r="CO922" s="588" t="n"/>
      <c r="CP922" s="588" t="n"/>
      <c r="CQ922" s="588" t="n"/>
      <c r="CR922" s="588" t="n"/>
      <c r="CS922" s="588" t="n"/>
      <c r="CT922" s="588" t="n"/>
      <c r="CU922" s="588" t="n"/>
      <c r="CV922" s="588" t="n"/>
      <c r="CW922" s="588" t="n"/>
      <c r="CX922" s="588" t="n"/>
      <c r="CY922" s="588" t="n"/>
      <c r="CZ922" s="588" t="n"/>
      <c r="DA922" s="588" t="n"/>
      <c r="DB922" s="588" t="n"/>
      <c r="DC922" s="588" t="n"/>
      <c r="DD922" s="588" t="n"/>
      <c r="DE922" s="588" t="n"/>
      <c r="DF922" s="588" t="n"/>
      <c r="DG922" s="588" t="n"/>
      <c r="DH922" s="588" t="n"/>
      <c r="DI922" s="588" t="n"/>
      <c r="DJ922" s="588" t="n"/>
      <c r="DK922" s="588" t="n"/>
      <c r="DL922" s="588" t="n"/>
      <c r="DM922" s="588" t="n"/>
      <c r="DN922" s="588" t="n"/>
      <c r="DO922" s="588" t="n"/>
      <c r="DP922" s="588" t="n"/>
      <c r="DQ922" s="588" t="n"/>
      <c r="DR922" s="588" t="n"/>
      <c r="DS922" s="588" t="n"/>
      <c r="DT922" s="588" t="n"/>
      <c r="DU922" s="588" t="n"/>
    </row>
    <row r="923">
      <c r="A923" s="737" t="n"/>
      <c r="B923" s="737" t="n"/>
      <c r="C923" s="737" t="n"/>
      <c r="D923" s="737" t="n"/>
      <c r="E923" s="737" t="n"/>
      <c r="F923" s="737" t="n"/>
      <c r="G923" s="737" t="n"/>
      <c r="H923" s="737" t="n"/>
      <c r="I923" s="737" t="n"/>
      <c r="J923" s="737" t="n"/>
      <c r="K923" s="737" t="n"/>
      <c r="L923" s="737" t="n"/>
      <c r="M923" s="737" t="n"/>
      <c r="N923" s="737" t="n"/>
      <c r="O923" s="737" t="n"/>
      <c r="P923" s="737" t="n"/>
      <c r="Q923" s="737" t="n"/>
      <c r="R923" s="737" t="n"/>
      <c r="S923" s="737" t="n"/>
      <c r="T923" s="737" t="n"/>
      <c r="U923" s="737" t="n"/>
      <c r="V923" s="737" t="n"/>
      <c r="W923" s="737" t="n"/>
      <c r="X923" s="737" t="n"/>
      <c r="Y923" s="737" t="n"/>
      <c r="Z923" s="737" t="n"/>
      <c r="AA923" s="737" t="n"/>
      <c r="AB923" s="737" t="n"/>
      <c r="AC923" s="737" t="n"/>
      <c r="AD923" s="737" t="n"/>
      <c r="AE923" s="737" t="n"/>
      <c r="AF923" s="737" t="n"/>
      <c r="AG923" s="737" t="n"/>
      <c r="AH923" s="737" t="n"/>
      <c r="AI923" s="737" t="n"/>
      <c r="AJ923" s="737" t="n"/>
      <c r="AK923" s="588" t="n"/>
      <c r="AL923" s="588" t="n"/>
      <c r="AM923" s="588" t="n"/>
      <c r="AN923" s="588" t="n"/>
      <c r="AO923" s="588" t="n"/>
      <c r="AP923" s="588" t="n"/>
      <c r="AQ923" s="588" t="n"/>
      <c r="AR923" s="588" t="n"/>
      <c r="AS923" s="588" t="n"/>
      <c r="AT923" s="588" t="n"/>
      <c r="AU923" s="588" t="n"/>
      <c r="AV923" s="588" t="n"/>
      <c r="AW923" s="588" t="n"/>
      <c r="AX923" s="588" t="n"/>
      <c r="AY923" s="588" t="n"/>
      <c r="AZ923" s="588" t="n"/>
      <c r="BA923" s="588" t="n"/>
      <c r="BB923" s="588" t="n"/>
      <c r="BC923" s="588" t="n"/>
      <c r="BD923" s="588" t="n"/>
      <c r="BE923" s="588" t="n"/>
      <c r="BF923" s="588" t="n"/>
      <c r="BG923" s="588" t="n"/>
      <c r="BH923" s="588" t="n"/>
      <c r="BI923" s="588" t="n"/>
      <c r="BJ923" s="588" t="n"/>
      <c r="BK923" s="588" t="n"/>
      <c r="BL923" s="588" t="n"/>
      <c r="BM923" s="588" t="n"/>
      <c r="BN923" s="588" t="n"/>
      <c r="BO923" s="588" t="n"/>
      <c r="BP923" s="588" t="n"/>
      <c r="BQ923" s="588" t="n"/>
      <c r="BR923" s="588" t="n"/>
      <c r="BS923" s="588" t="n"/>
      <c r="BT923" s="588" t="n"/>
      <c r="BU923" s="588" t="n"/>
      <c r="BV923" s="588" t="n"/>
      <c r="BW923" s="588" t="n"/>
      <c r="BX923" s="588" t="n"/>
      <c r="BY923" s="588" t="n"/>
      <c r="BZ923" s="588" t="n"/>
      <c r="CA923" s="588" t="n"/>
      <c r="CB923" s="588" t="n"/>
      <c r="CC923" s="588" t="n"/>
      <c r="CD923" s="588" t="n"/>
      <c r="CE923" s="588" t="n"/>
      <c r="CF923" s="588" t="n"/>
      <c r="CG923" s="588" t="n"/>
      <c r="CH923" s="588" t="n"/>
      <c r="CI923" s="588" t="n"/>
      <c r="CJ923" s="588" t="n"/>
      <c r="CK923" s="588" t="n"/>
      <c r="CL923" s="588" t="n"/>
      <c r="CM923" s="588" t="n"/>
      <c r="CN923" s="588" t="n"/>
      <c r="CO923" s="588" t="n"/>
      <c r="CP923" s="588" t="n"/>
      <c r="CQ923" s="588" t="n"/>
      <c r="CR923" s="588" t="n"/>
      <c r="CS923" s="588" t="n"/>
      <c r="CT923" s="588" t="n"/>
      <c r="CU923" s="588" t="n"/>
      <c r="CV923" s="588" t="n"/>
      <c r="CW923" s="588" t="n"/>
      <c r="CX923" s="588" t="n"/>
      <c r="CY923" s="588" t="n"/>
      <c r="CZ923" s="588" t="n"/>
      <c r="DA923" s="588" t="n"/>
      <c r="DB923" s="588" t="n"/>
      <c r="DC923" s="588" t="n"/>
      <c r="DD923" s="588" t="n"/>
      <c r="DE923" s="588" t="n"/>
      <c r="DF923" s="588" t="n"/>
      <c r="DG923" s="588" t="n"/>
      <c r="DH923" s="588" t="n"/>
      <c r="DI923" s="588" t="n"/>
      <c r="DJ923" s="588" t="n"/>
      <c r="DK923" s="588" t="n"/>
      <c r="DL923" s="588" t="n"/>
      <c r="DM923" s="588" t="n"/>
      <c r="DN923" s="588" t="n"/>
      <c r="DO923" s="588" t="n"/>
      <c r="DP923" s="588" t="n"/>
      <c r="DQ923" s="588" t="n"/>
      <c r="DR923" s="588" t="n"/>
      <c r="DS923" s="588" t="n"/>
      <c r="DT923" s="588" t="n"/>
      <c r="DU923" s="588" t="n"/>
    </row>
    <row r="924">
      <c r="A924" s="737" t="n"/>
      <c r="B924" s="737" t="n"/>
      <c r="C924" s="737" t="n"/>
      <c r="D924" s="737" t="n"/>
      <c r="E924" s="737" t="n"/>
      <c r="F924" s="737" t="n"/>
      <c r="G924" s="737" t="n"/>
      <c r="H924" s="737" t="n"/>
      <c r="I924" s="737" t="n"/>
      <c r="J924" s="737" t="n"/>
      <c r="K924" s="737" t="n"/>
      <c r="L924" s="737" t="n"/>
      <c r="M924" s="737" t="n"/>
      <c r="N924" s="737" t="n"/>
      <c r="O924" s="737" t="n"/>
      <c r="P924" s="737" t="n"/>
      <c r="Q924" s="737" t="n"/>
      <c r="R924" s="737" t="n"/>
      <c r="S924" s="737" t="n"/>
      <c r="T924" s="737" t="n"/>
      <c r="U924" s="737" t="n"/>
      <c r="V924" s="737" t="n"/>
      <c r="W924" s="737" t="n"/>
      <c r="X924" s="737" t="n"/>
      <c r="Y924" s="737" t="n"/>
      <c r="Z924" s="737" t="n"/>
      <c r="AA924" s="737" t="n"/>
      <c r="AB924" s="737" t="n"/>
      <c r="AC924" s="737" t="n"/>
      <c r="AD924" s="737" t="n"/>
      <c r="AE924" s="737" t="n"/>
      <c r="AF924" s="737" t="n"/>
      <c r="AG924" s="737" t="n"/>
      <c r="AH924" s="737" t="n"/>
      <c r="AI924" s="737" t="n"/>
      <c r="AJ924" s="737" t="n"/>
      <c r="AK924" s="588" t="n"/>
      <c r="AL924" s="588" t="n"/>
      <c r="AM924" s="588" t="n"/>
      <c r="AN924" s="588" t="n"/>
      <c r="AO924" s="588" t="n"/>
      <c r="AP924" s="588" t="n"/>
      <c r="AQ924" s="588" t="n"/>
      <c r="AR924" s="588" t="n"/>
      <c r="AS924" s="588" t="n"/>
      <c r="AT924" s="588" t="n"/>
      <c r="AU924" s="588" t="n"/>
      <c r="AV924" s="588" t="n"/>
      <c r="AW924" s="588" t="n"/>
      <c r="AX924" s="588" t="n"/>
      <c r="AY924" s="588" t="n"/>
      <c r="AZ924" s="588" t="n"/>
      <c r="BA924" s="588" t="n"/>
      <c r="BB924" s="588" t="n"/>
      <c r="BC924" s="588" t="n"/>
      <c r="BD924" s="588" t="n"/>
      <c r="BE924" s="588" t="n"/>
      <c r="BF924" s="588" t="n"/>
      <c r="BG924" s="588" t="n"/>
      <c r="BH924" s="588" t="n"/>
      <c r="BI924" s="588" t="n"/>
      <c r="BJ924" s="588" t="n"/>
      <c r="BK924" s="588" t="n"/>
      <c r="BL924" s="588" t="n"/>
      <c r="BM924" s="588" t="n"/>
      <c r="BN924" s="588" t="n"/>
      <c r="BO924" s="588" t="n"/>
      <c r="BP924" s="588" t="n"/>
      <c r="BQ924" s="588" t="n"/>
      <c r="BR924" s="588" t="n"/>
      <c r="BS924" s="588" t="n"/>
      <c r="BT924" s="588" t="n"/>
      <c r="BU924" s="588" t="n"/>
      <c r="BV924" s="588" t="n"/>
      <c r="BW924" s="588" t="n"/>
      <c r="BX924" s="588" t="n"/>
      <c r="BY924" s="588" t="n"/>
      <c r="BZ924" s="588" t="n"/>
      <c r="CA924" s="588" t="n"/>
      <c r="CB924" s="588" t="n"/>
      <c r="CC924" s="588" t="n"/>
      <c r="CD924" s="588" t="n"/>
      <c r="CE924" s="588" t="n"/>
      <c r="CF924" s="588" t="n"/>
      <c r="CG924" s="588" t="n"/>
      <c r="CH924" s="588" t="n"/>
      <c r="CI924" s="588" t="n"/>
      <c r="CJ924" s="588" t="n"/>
      <c r="CK924" s="588" t="n"/>
      <c r="CL924" s="588" t="n"/>
      <c r="CM924" s="588" t="n"/>
      <c r="CN924" s="588" t="n"/>
      <c r="CO924" s="588" t="n"/>
      <c r="CP924" s="588" t="n"/>
      <c r="CQ924" s="588" t="n"/>
      <c r="CR924" s="588" t="n"/>
      <c r="CS924" s="588" t="n"/>
      <c r="CT924" s="588" t="n"/>
      <c r="CU924" s="588" t="n"/>
      <c r="CV924" s="588" t="n"/>
      <c r="CW924" s="588" t="n"/>
      <c r="CX924" s="588" t="n"/>
      <c r="CY924" s="588" t="n"/>
      <c r="CZ924" s="588" t="n"/>
      <c r="DA924" s="588" t="n"/>
      <c r="DB924" s="588" t="n"/>
      <c r="DC924" s="588" t="n"/>
      <c r="DD924" s="588" t="n"/>
      <c r="DE924" s="588" t="n"/>
      <c r="DF924" s="588" t="n"/>
      <c r="DG924" s="588" t="n"/>
      <c r="DH924" s="588" t="n"/>
      <c r="DI924" s="588" t="n"/>
      <c r="DJ924" s="588" t="n"/>
      <c r="DK924" s="588" t="n"/>
      <c r="DL924" s="588" t="n"/>
      <c r="DM924" s="588" t="n"/>
      <c r="DN924" s="588" t="n"/>
      <c r="DO924" s="588" t="n"/>
      <c r="DP924" s="588" t="n"/>
      <c r="DQ924" s="588" t="n"/>
      <c r="DR924" s="588" t="n"/>
      <c r="DS924" s="588" t="n"/>
      <c r="DT924" s="588" t="n"/>
      <c r="DU924" s="588" t="n"/>
    </row>
    <row r="925">
      <c r="A925" s="737" t="n"/>
      <c r="B925" s="737" t="n"/>
      <c r="C925" s="737" t="n"/>
      <c r="D925" s="737" t="n"/>
      <c r="E925" s="737" t="n"/>
      <c r="F925" s="737" t="n"/>
      <c r="G925" s="737" t="n"/>
      <c r="H925" s="737" t="n"/>
      <c r="I925" s="737" t="n"/>
      <c r="J925" s="737" t="n"/>
      <c r="K925" s="737" t="n"/>
      <c r="L925" s="737" t="n"/>
      <c r="M925" s="737" t="n"/>
      <c r="N925" s="737" t="n"/>
      <c r="O925" s="737" t="n"/>
      <c r="P925" s="737" t="n"/>
      <c r="Q925" s="737" t="n"/>
      <c r="R925" s="737" t="n"/>
      <c r="S925" s="737" t="n"/>
      <c r="T925" s="737" t="n"/>
      <c r="U925" s="737" t="n"/>
      <c r="V925" s="737" t="n"/>
      <c r="W925" s="737" t="n"/>
      <c r="X925" s="737" t="n"/>
      <c r="Y925" s="737" t="n"/>
      <c r="Z925" s="737" t="n"/>
      <c r="AA925" s="737" t="n"/>
      <c r="AB925" s="737" t="n"/>
      <c r="AC925" s="737" t="n"/>
      <c r="AD925" s="737" t="n"/>
      <c r="AE925" s="737" t="n"/>
      <c r="AF925" s="737" t="n"/>
      <c r="AG925" s="737" t="n"/>
      <c r="AH925" s="737" t="n"/>
      <c r="AI925" s="737" t="n"/>
      <c r="AJ925" s="737" t="n"/>
      <c r="AK925" s="588" t="n"/>
      <c r="AL925" s="588" t="n"/>
      <c r="AM925" s="588" t="n"/>
      <c r="AN925" s="588" t="n"/>
      <c r="AO925" s="588" t="n"/>
      <c r="AP925" s="588" t="n"/>
      <c r="AQ925" s="588" t="n"/>
      <c r="AR925" s="588" t="n"/>
      <c r="AS925" s="588" t="n"/>
      <c r="AT925" s="588" t="n"/>
      <c r="AU925" s="588" t="n"/>
      <c r="AV925" s="588" t="n"/>
      <c r="AW925" s="588" t="n"/>
      <c r="AX925" s="588" t="n"/>
      <c r="AY925" s="588" t="n"/>
      <c r="AZ925" s="588" t="n"/>
      <c r="BA925" s="588" t="n"/>
      <c r="BB925" s="588" t="n"/>
      <c r="BC925" s="588" t="n"/>
      <c r="BD925" s="588" t="n"/>
      <c r="BE925" s="588" t="n"/>
      <c r="BF925" s="588" t="n"/>
      <c r="BG925" s="588" t="n"/>
      <c r="BH925" s="588" t="n"/>
      <c r="BI925" s="588" t="n"/>
      <c r="BJ925" s="588" t="n"/>
      <c r="BK925" s="588" t="n"/>
      <c r="BL925" s="588" t="n"/>
      <c r="BM925" s="588" t="n"/>
      <c r="BN925" s="588" t="n"/>
      <c r="BO925" s="588" t="n"/>
      <c r="BP925" s="588" t="n"/>
      <c r="BQ925" s="588" t="n"/>
      <c r="BR925" s="588" t="n"/>
      <c r="BS925" s="588" t="n"/>
      <c r="BT925" s="588" t="n"/>
      <c r="BU925" s="588" t="n"/>
      <c r="BV925" s="588" t="n"/>
      <c r="BW925" s="588" t="n"/>
      <c r="BX925" s="588" t="n"/>
      <c r="BY925" s="588" t="n"/>
      <c r="BZ925" s="588" t="n"/>
      <c r="CA925" s="588" t="n"/>
      <c r="CB925" s="588" t="n"/>
      <c r="CC925" s="588" t="n"/>
      <c r="CD925" s="588" t="n"/>
      <c r="CE925" s="588" t="n"/>
      <c r="CF925" s="588" t="n"/>
      <c r="CG925" s="588" t="n"/>
      <c r="CH925" s="588" t="n"/>
      <c r="CI925" s="588" t="n"/>
      <c r="CJ925" s="588" t="n"/>
      <c r="CK925" s="588" t="n"/>
      <c r="CL925" s="588" t="n"/>
      <c r="CM925" s="588" t="n"/>
      <c r="CN925" s="588" t="n"/>
      <c r="CO925" s="588" t="n"/>
      <c r="CP925" s="588" t="n"/>
      <c r="CQ925" s="588" t="n"/>
      <c r="CR925" s="588" t="n"/>
      <c r="CS925" s="588" t="n"/>
      <c r="CT925" s="588" t="n"/>
      <c r="CU925" s="588" t="n"/>
      <c r="CV925" s="588" t="n"/>
      <c r="CW925" s="588" t="n"/>
      <c r="CX925" s="588" t="n"/>
      <c r="CY925" s="588" t="n"/>
      <c r="CZ925" s="588" t="n"/>
      <c r="DA925" s="588" t="n"/>
      <c r="DB925" s="588" t="n"/>
      <c r="DC925" s="588" t="n"/>
      <c r="DD925" s="588" t="n"/>
      <c r="DE925" s="588" t="n"/>
      <c r="DF925" s="588" t="n"/>
      <c r="DG925" s="588" t="n"/>
      <c r="DH925" s="588" t="n"/>
      <c r="DI925" s="588" t="n"/>
      <c r="DJ925" s="588" t="n"/>
      <c r="DK925" s="588" t="n"/>
      <c r="DL925" s="588" t="n"/>
      <c r="DM925" s="588" t="n"/>
      <c r="DN925" s="588" t="n"/>
      <c r="DO925" s="588" t="n"/>
      <c r="DP925" s="588" t="n"/>
      <c r="DQ925" s="588" t="n"/>
      <c r="DR925" s="588" t="n"/>
      <c r="DS925" s="588" t="n"/>
      <c r="DT925" s="588" t="n"/>
      <c r="DU925" s="588" t="n"/>
    </row>
    <row r="926">
      <c r="A926" s="737" t="n"/>
      <c r="B926" s="737" t="n"/>
      <c r="C926" s="737" t="n"/>
      <c r="D926" s="737" t="n"/>
      <c r="E926" s="737" t="n"/>
      <c r="F926" s="737" t="n"/>
      <c r="G926" s="737" t="n"/>
      <c r="H926" s="737" t="n"/>
      <c r="I926" s="737" t="n"/>
      <c r="J926" s="737" t="n"/>
      <c r="K926" s="737" t="n"/>
      <c r="L926" s="737" t="n"/>
      <c r="M926" s="737" t="n"/>
      <c r="N926" s="737" t="n"/>
      <c r="O926" s="737" t="n"/>
      <c r="P926" s="737" t="n"/>
      <c r="Q926" s="737" t="n"/>
      <c r="R926" s="737" t="n"/>
      <c r="S926" s="737" t="n"/>
      <c r="T926" s="737" t="n"/>
      <c r="U926" s="737" t="n"/>
      <c r="V926" s="737" t="n"/>
      <c r="W926" s="737" t="n"/>
      <c r="X926" s="737" t="n"/>
      <c r="Y926" s="737" t="n"/>
      <c r="Z926" s="737" t="n"/>
      <c r="AA926" s="737" t="n"/>
      <c r="AB926" s="737" t="n"/>
      <c r="AC926" s="737" t="n"/>
      <c r="AD926" s="737" t="n"/>
      <c r="AE926" s="737" t="n"/>
      <c r="AF926" s="737" t="n"/>
      <c r="AG926" s="737" t="n"/>
      <c r="AH926" s="737" t="n"/>
      <c r="AI926" s="737" t="n"/>
      <c r="AJ926" s="737" t="n"/>
      <c r="AK926" s="588" t="n"/>
      <c r="AL926" s="588" t="n"/>
      <c r="AM926" s="588" t="n"/>
      <c r="AN926" s="588" t="n"/>
      <c r="AO926" s="588" t="n"/>
      <c r="AP926" s="588" t="n"/>
      <c r="AQ926" s="588" t="n"/>
      <c r="AR926" s="588" t="n"/>
      <c r="AS926" s="588" t="n"/>
      <c r="AT926" s="588" t="n"/>
      <c r="AU926" s="588" t="n"/>
      <c r="AV926" s="588" t="n"/>
      <c r="AW926" s="588" t="n"/>
      <c r="AX926" s="588" t="n"/>
      <c r="AY926" s="588" t="n"/>
      <c r="AZ926" s="588" t="n"/>
      <c r="BA926" s="588" t="n"/>
      <c r="BB926" s="588" t="n"/>
      <c r="BC926" s="588" t="n"/>
      <c r="BD926" s="588" t="n"/>
      <c r="BE926" s="588" t="n"/>
      <c r="BF926" s="588" t="n"/>
      <c r="BG926" s="588" t="n"/>
      <c r="BH926" s="588" t="n"/>
      <c r="BI926" s="588" t="n"/>
      <c r="BJ926" s="588" t="n"/>
      <c r="BK926" s="588" t="n"/>
      <c r="BL926" s="588" t="n"/>
      <c r="BM926" s="588" t="n"/>
      <c r="BN926" s="588" t="n"/>
      <c r="BO926" s="588" t="n"/>
      <c r="BP926" s="588" t="n"/>
      <c r="BQ926" s="588" t="n"/>
      <c r="BR926" s="588" t="n"/>
      <c r="BS926" s="588" t="n"/>
      <c r="BT926" s="588" t="n"/>
      <c r="BU926" s="588" t="n"/>
      <c r="BV926" s="588" t="n"/>
      <c r="BW926" s="588" t="n"/>
      <c r="BX926" s="588" t="n"/>
      <c r="BY926" s="588" t="n"/>
      <c r="BZ926" s="588" t="n"/>
      <c r="CA926" s="588" t="n"/>
      <c r="CB926" s="588" t="n"/>
      <c r="CC926" s="588" t="n"/>
      <c r="CD926" s="588" t="n"/>
      <c r="CE926" s="588" t="n"/>
      <c r="CF926" s="588" t="n"/>
      <c r="CG926" s="588" t="n"/>
      <c r="CH926" s="588" t="n"/>
      <c r="CI926" s="588" t="n"/>
      <c r="CJ926" s="588" t="n"/>
      <c r="CK926" s="588" t="n"/>
      <c r="CL926" s="588" t="n"/>
      <c r="CM926" s="588" t="n"/>
      <c r="CN926" s="588" t="n"/>
      <c r="CO926" s="588" t="n"/>
      <c r="CP926" s="588" t="n"/>
      <c r="CQ926" s="588" t="n"/>
      <c r="CR926" s="588" t="n"/>
      <c r="CS926" s="588" t="n"/>
      <c r="CT926" s="588" t="n"/>
      <c r="CU926" s="588" t="n"/>
      <c r="CV926" s="588" t="n"/>
      <c r="CW926" s="588" t="n"/>
      <c r="CX926" s="588" t="n"/>
      <c r="CY926" s="588" t="n"/>
      <c r="CZ926" s="588" t="n"/>
      <c r="DA926" s="588" t="n"/>
      <c r="DB926" s="588" t="n"/>
      <c r="DC926" s="588" t="n"/>
      <c r="DD926" s="588" t="n"/>
      <c r="DE926" s="588" t="n"/>
      <c r="DF926" s="588" t="n"/>
      <c r="DG926" s="588" t="n"/>
      <c r="DH926" s="588" t="n"/>
      <c r="DI926" s="588" t="n"/>
      <c r="DJ926" s="588" t="n"/>
      <c r="DK926" s="588" t="n"/>
      <c r="DL926" s="588" t="n"/>
      <c r="DM926" s="588" t="n"/>
      <c r="DN926" s="588" t="n"/>
      <c r="DO926" s="588" t="n"/>
      <c r="DP926" s="588" t="n"/>
      <c r="DQ926" s="588" t="n"/>
      <c r="DR926" s="588" t="n"/>
      <c r="DS926" s="588" t="n"/>
      <c r="DT926" s="588" t="n"/>
      <c r="DU926" s="588" t="n"/>
    </row>
    <row r="927">
      <c r="A927" s="737" t="n"/>
      <c r="B927" s="737" t="n"/>
      <c r="C927" s="737" t="n"/>
      <c r="D927" s="737" t="n"/>
      <c r="E927" s="737" t="n"/>
      <c r="F927" s="737" t="n"/>
      <c r="G927" s="737" t="n"/>
      <c r="H927" s="737" t="n"/>
      <c r="I927" s="737" t="n"/>
      <c r="J927" s="737" t="n"/>
      <c r="K927" s="737" t="n"/>
      <c r="L927" s="737" t="n"/>
      <c r="M927" s="737" t="n"/>
      <c r="N927" s="737" t="n"/>
      <c r="O927" s="737" t="n"/>
      <c r="P927" s="737" t="n"/>
      <c r="Q927" s="737" t="n"/>
      <c r="R927" s="737" t="n"/>
      <c r="S927" s="737" t="n"/>
      <c r="T927" s="737" t="n"/>
      <c r="U927" s="737" t="n"/>
      <c r="V927" s="737" t="n"/>
      <c r="W927" s="737" t="n"/>
      <c r="X927" s="737" t="n"/>
      <c r="Y927" s="737" t="n"/>
      <c r="Z927" s="737" t="n"/>
      <c r="AA927" s="737" t="n"/>
      <c r="AB927" s="737" t="n"/>
      <c r="AC927" s="737" t="n"/>
      <c r="AD927" s="737" t="n"/>
      <c r="AE927" s="737" t="n"/>
      <c r="AF927" s="737" t="n"/>
      <c r="AG927" s="737" t="n"/>
      <c r="AH927" s="737" t="n"/>
      <c r="AI927" s="737" t="n"/>
      <c r="AJ927" s="737" t="n"/>
      <c r="AK927" s="588" t="n"/>
      <c r="AL927" s="588" t="n"/>
      <c r="AM927" s="588" t="n"/>
      <c r="AN927" s="588" t="n"/>
      <c r="AO927" s="588" t="n"/>
      <c r="AP927" s="588" t="n"/>
      <c r="AQ927" s="588" t="n"/>
      <c r="AR927" s="588" t="n"/>
      <c r="AS927" s="588" t="n"/>
      <c r="AT927" s="588" t="n"/>
      <c r="AU927" s="588" t="n"/>
      <c r="AV927" s="588" t="n"/>
      <c r="AW927" s="588" t="n"/>
      <c r="AX927" s="588" t="n"/>
      <c r="AY927" s="588" t="n"/>
      <c r="AZ927" s="588" t="n"/>
      <c r="BA927" s="588" t="n"/>
      <c r="BB927" s="588" t="n"/>
      <c r="BC927" s="588" t="n"/>
      <c r="BD927" s="588" t="n"/>
      <c r="BE927" s="588" t="n"/>
      <c r="BF927" s="588" t="n"/>
      <c r="BG927" s="588" t="n"/>
      <c r="BH927" s="588" t="n"/>
      <c r="BI927" s="588" t="n"/>
      <c r="BJ927" s="588" t="n"/>
      <c r="BK927" s="588" t="n"/>
      <c r="BL927" s="588" t="n"/>
      <c r="BM927" s="588" t="n"/>
      <c r="BN927" s="588" t="n"/>
      <c r="BO927" s="588" t="n"/>
      <c r="BP927" s="588" t="n"/>
      <c r="BQ927" s="588" t="n"/>
      <c r="BR927" s="588" t="n"/>
      <c r="BS927" s="588" t="n"/>
      <c r="BT927" s="588" t="n"/>
      <c r="BU927" s="588" t="n"/>
      <c r="BV927" s="588" t="n"/>
      <c r="BW927" s="588" t="n"/>
      <c r="BX927" s="588" t="n"/>
      <c r="BY927" s="588" t="n"/>
      <c r="BZ927" s="588" t="n"/>
      <c r="CA927" s="588" t="n"/>
      <c r="CB927" s="588" t="n"/>
      <c r="CC927" s="588" t="n"/>
      <c r="CD927" s="588" t="n"/>
      <c r="CE927" s="588" t="n"/>
      <c r="CF927" s="588" t="n"/>
      <c r="CG927" s="588" t="n"/>
      <c r="CH927" s="588" t="n"/>
      <c r="CI927" s="588" t="n"/>
      <c r="CJ927" s="588" t="n"/>
      <c r="CK927" s="588" t="n"/>
      <c r="CL927" s="588" t="n"/>
      <c r="CM927" s="588" t="n"/>
      <c r="CN927" s="588" t="n"/>
      <c r="CO927" s="588" t="n"/>
      <c r="CP927" s="588" t="n"/>
      <c r="CQ927" s="588" t="n"/>
      <c r="CR927" s="588" t="n"/>
      <c r="CS927" s="588" t="n"/>
      <c r="CT927" s="588" t="n"/>
      <c r="CU927" s="588" t="n"/>
      <c r="CV927" s="588" t="n"/>
      <c r="CW927" s="588" t="n"/>
      <c r="CX927" s="588" t="n"/>
      <c r="CY927" s="588" t="n"/>
      <c r="CZ927" s="588" t="n"/>
      <c r="DA927" s="588" t="n"/>
      <c r="DB927" s="588" t="n"/>
      <c r="DC927" s="588" t="n"/>
      <c r="DD927" s="588" t="n"/>
      <c r="DE927" s="588" t="n"/>
      <c r="DF927" s="588" t="n"/>
      <c r="DG927" s="588" t="n"/>
      <c r="DH927" s="588" t="n"/>
      <c r="DI927" s="588" t="n"/>
      <c r="DJ927" s="588" t="n"/>
      <c r="DK927" s="588" t="n"/>
      <c r="DL927" s="588" t="n"/>
      <c r="DM927" s="588" t="n"/>
      <c r="DN927" s="588" t="n"/>
      <c r="DO927" s="588" t="n"/>
      <c r="DP927" s="588" t="n"/>
      <c r="DQ927" s="588" t="n"/>
      <c r="DR927" s="588" t="n"/>
      <c r="DS927" s="588" t="n"/>
      <c r="DT927" s="588" t="n"/>
      <c r="DU927" s="588" t="n"/>
    </row>
    <row r="928">
      <c r="A928" s="737" t="n"/>
      <c r="B928" s="737" t="n"/>
      <c r="C928" s="737" t="n"/>
      <c r="D928" s="737" t="n"/>
      <c r="E928" s="737" t="n"/>
      <c r="F928" s="737" t="n"/>
      <c r="G928" s="737" t="n"/>
      <c r="H928" s="737" t="n"/>
      <c r="I928" s="737" t="n"/>
      <c r="J928" s="737" t="n"/>
      <c r="K928" s="737" t="n"/>
      <c r="L928" s="737" t="n"/>
      <c r="M928" s="737" t="n"/>
      <c r="N928" s="737" t="n"/>
      <c r="O928" s="737" t="n"/>
      <c r="P928" s="737" t="n"/>
      <c r="Q928" s="737" t="n"/>
      <c r="R928" s="737" t="n"/>
      <c r="S928" s="737" t="n"/>
      <c r="T928" s="737" t="n"/>
      <c r="U928" s="737" t="n"/>
      <c r="V928" s="737" t="n"/>
      <c r="W928" s="737" t="n"/>
      <c r="X928" s="737" t="n"/>
      <c r="Y928" s="737" t="n"/>
      <c r="Z928" s="737" t="n"/>
      <c r="AA928" s="737" t="n"/>
      <c r="AB928" s="737" t="n"/>
      <c r="AC928" s="737" t="n"/>
      <c r="AD928" s="737" t="n"/>
      <c r="AE928" s="737" t="n"/>
      <c r="AF928" s="737" t="n"/>
      <c r="AG928" s="737" t="n"/>
      <c r="AH928" s="737" t="n"/>
      <c r="AI928" s="737" t="n"/>
      <c r="AJ928" s="737" t="n"/>
      <c r="AK928" s="588" t="n"/>
      <c r="AL928" s="588" t="n"/>
      <c r="AM928" s="588" t="n"/>
      <c r="AN928" s="588" t="n"/>
      <c r="AO928" s="588" t="n"/>
      <c r="AP928" s="588" t="n"/>
      <c r="AQ928" s="588" t="n"/>
      <c r="AR928" s="588" t="n"/>
      <c r="AS928" s="588" t="n"/>
      <c r="AT928" s="588" t="n"/>
      <c r="AU928" s="588" t="n"/>
      <c r="AV928" s="588" t="n"/>
      <c r="AW928" s="588" t="n"/>
      <c r="AX928" s="588" t="n"/>
      <c r="AY928" s="588" t="n"/>
      <c r="AZ928" s="588" t="n"/>
      <c r="BA928" s="588" t="n"/>
      <c r="BB928" s="588" t="n"/>
      <c r="BC928" s="588" t="n"/>
      <c r="BD928" s="588" t="n"/>
      <c r="BE928" s="588" t="n"/>
      <c r="BF928" s="588" t="n"/>
      <c r="BG928" s="588" t="n"/>
      <c r="BH928" s="588" t="n"/>
      <c r="BI928" s="588" t="n"/>
      <c r="BJ928" s="588" t="n"/>
      <c r="BK928" s="588" t="n"/>
      <c r="BL928" s="588" t="n"/>
      <c r="BM928" s="588" t="n"/>
      <c r="BN928" s="588" t="n"/>
      <c r="BO928" s="588" t="n"/>
      <c r="BP928" s="588" t="n"/>
      <c r="BQ928" s="588" t="n"/>
      <c r="BR928" s="588" t="n"/>
      <c r="BS928" s="588" t="n"/>
      <c r="BT928" s="588" t="n"/>
      <c r="BU928" s="588" t="n"/>
      <c r="BV928" s="588" t="n"/>
      <c r="BW928" s="588" t="n"/>
      <c r="BX928" s="588" t="n"/>
      <c r="BY928" s="588" t="n"/>
      <c r="BZ928" s="588" t="n"/>
      <c r="CA928" s="588" t="n"/>
      <c r="CB928" s="588" t="n"/>
      <c r="CC928" s="588" t="n"/>
      <c r="CD928" s="588" t="n"/>
      <c r="CE928" s="588" t="n"/>
      <c r="CF928" s="588" t="n"/>
      <c r="CG928" s="588" t="n"/>
      <c r="CH928" s="588" t="n"/>
      <c r="CI928" s="588" t="n"/>
      <c r="CJ928" s="588" t="n"/>
      <c r="CK928" s="588" t="n"/>
      <c r="CL928" s="588" t="n"/>
      <c r="CM928" s="588" t="n"/>
      <c r="CN928" s="588" t="n"/>
      <c r="CO928" s="588" t="n"/>
      <c r="CP928" s="588" t="n"/>
      <c r="CQ928" s="588" t="n"/>
      <c r="CR928" s="588" t="n"/>
      <c r="CS928" s="588" t="n"/>
      <c r="CT928" s="588" t="n"/>
      <c r="CU928" s="588" t="n"/>
      <c r="CV928" s="588" t="n"/>
      <c r="CW928" s="588" t="n"/>
      <c r="CX928" s="588" t="n"/>
      <c r="CY928" s="588" t="n"/>
      <c r="CZ928" s="588" t="n"/>
      <c r="DA928" s="588" t="n"/>
      <c r="DB928" s="588" t="n"/>
      <c r="DC928" s="588" t="n"/>
      <c r="DD928" s="588" t="n"/>
      <c r="DE928" s="588" t="n"/>
      <c r="DF928" s="588" t="n"/>
      <c r="DG928" s="588" t="n"/>
      <c r="DH928" s="588" t="n"/>
      <c r="DI928" s="588" t="n"/>
      <c r="DJ928" s="588" t="n"/>
      <c r="DK928" s="588" t="n"/>
      <c r="DL928" s="588" t="n"/>
      <c r="DM928" s="588" t="n"/>
      <c r="DN928" s="588" t="n"/>
      <c r="DO928" s="588" t="n"/>
      <c r="DP928" s="588" t="n"/>
      <c r="DQ928" s="588" t="n"/>
      <c r="DR928" s="588" t="n"/>
      <c r="DS928" s="588" t="n"/>
      <c r="DT928" s="588" t="n"/>
      <c r="DU928" s="588" t="n"/>
    </row>
    <row r="929">
      <c r="A929" s="737" t="n"/>
      <c r="B929" s="737" t="n"/>
      <c r="C929" s="737" t="n"/>
      <c r="D929" s="737" t="n"/>
      <c r="E929" s="737" t="n"/>
      <c r="F929" s="737" t="n"/>
      <c r="G929" s="737" t="n"/>
      <c r="H929" s="737" t="n"/>
      <c r="I929" s="737" t="n"/>
      <c r="J929" s="737" t="n"/>
      <c r="K929" s="737" t="n"/>
      <c r="L929" s="737" t="n"/>
      <c r="M929" s="737" t="n"/>
      <c r="N929" s="737" t="n"/>
      <c r="O929" s="737" t="n"/>
      <c r="P929" s="737" t="n"/>
      <c r="Q929" s="737" t="n"/>
      <c r="R929" s="737" t="n"/>
      <c r="S929" s="737" t="n"/>
      <c r="T929" s="737" t="n"/>
      <c r="U929" s="737" t="n"/>
      <c r="V929" s="737" t="n"/>
      <c r="W929" s="737" t="n"/>
      <c r="X929" s="737" t="n"/>
      <c r="Y929" s="737" t="n"/>
      <c r="Z929" s="737" t="n"/>
      <c r="AA929" s="737" t="n"/>
      <c r="AB929" s="737" t="n"/>
      <c r="AC929" s="737" t="n"/>
      <c r="AD929" s="737" t="n"/>
      <c r="AE929" s="737" t="n"/>
      <c r="AF929" s="737" t="n"/>
      <c r="AG929" s="737" t="n"/>
      <c r="AH929" s="737" t="n"/>
      <c r="AI929" s="737" t="n"/>
      <c r="AJ929" s="737" t="n"/>
      <c r="AK929" s="588" t="n"/>
      <c r="AL929" s="588" t="n"/>
      <c r="AM929" s="588" t="n"/>
      <c r="AN929" s="588" t="n"/>
      <c r="AO929" s="588" t="n"/>
      <c r="AP929" s="588" t="n"/>
      <c r="AQ929" s="588" t="n"/>
      <c r="AR929" s="588" t="n"/>
      <c r="AS929" s="588" t="n"/>
      <c r="AT929" s="588" t="n"/>
      <c r="AU929" s="588" t="n"/>
      <c r="AV929" s="588" t="n"/>
      <c r="AW929" s="588" t="n"/>
      <c r="AX929" s="588" t="n"/>
      <c r="AY929" s="588" t="n"/>
      <c r="AZ929" s="588" t="n"/>
      <c r="BA929" s="588" t="n"/>
      <c r="BB929" s="588" t="n"/>
      <c r="BC929" s="588" t="n"/>
      <c r="BD929" s="588" t="n"/>
      <c r="BE929" s="588" t="n"/>
      <c r="BF929" s="588" t="n"/>
      <c r="BG929" s="588" t="n"/>
      <c r="BH929" s="588" t="n"/>
      <c r="BI929" s="588" t="n"/>
      <c r="BJ929" s="588" t="n"/>
      <c r="BK929" s="588" t="n"/>
      <c r="BL929" s="588" t="n"/>
      <c r="BM929" s="588" t="n"/>
      <c r="BN929" s="588" t="n"/>
      <c r="BO929" s="588" t="n"/>
      <c r="BP929" s="588" t="n"/>
      <c r="BQ929" s="588" t="n"/>
      <c r="BR929" s="588" t="n"/>
      <c r="BS929" s="588" t="n"/>
      <c r="BT929" s="588" t="n"/>
      <c r="BU929" s="588" t="n"/>
      <c r="BV929" s="588" t="n"/>
      <c r="BW929" s="588" t="n"/>
      <c r="BX929" s="588" t="n"/>
      <c r="BY929" s="588" t="n"/>
      <c r="BZ929" s="588" t="n"/>
      <c r="CA929" s="588" t="n"/>
      <c r="CB929" s="588" t="n"/>
      <c r="CC929" s="588" t="n"/>
      <c r="CD929" s="588" t="n"/>
      <c r="CE929" s="588" t="n"/>
      <c r="CF929" s="588" t="n"/>
      <c r="CG929" s="588" t="n"/>
      <c r="CH929" s="588" t="n"/>
      <c r="CI929" s="588" t="n"/>
      <c r="CJ929" s="588" t="n"/>
      <c r="CK929" s="588" t="n"/>
      <c r="CL929" s="588" t="n"/>
      <c r="CM929" s="588" t="n"/>
      <c r="CN929" s="588" t="n"/>
      <c r="CO929" s="588" t="n"/>
      <c r="CP929" s="588" t="n"/>
      <c r="CQ929" s="588" t="n"/>
      <c r="CR929" s="588" t="n"/>
      <c r="CS929" s="588" t="n"/>
      <c r="CT929" s="588" t="n"/>
      <c r="CU929" s="588" t="n"/>
      <c r="CV929" s="588" t="n"/>
      <c r="CW929" s="588" t="n"/>
      <c r="CX929" s="588" t="n"/>
      <c r="CY929" s="588" t="n"/>
      <c r="CZ929" s="588" t="n"/>
      <c r="DA929" s="588" t="n"/>
      <c r="DB929" s="588" t="n"/>
      <c r="DC929" s="588" t="n"/>
      <c r="DD929" s="588" t="n"/>
      <c r="DE929" s="588" t="n"/>
      <c r="DF929" s="588" t="n"/>
      <c r="DG929" s="588" t="n"/>
      <c r="DH929" s="588" t="n"/>
      <c r="DI929" s="588" t="n"/>
      <c r="DJ929" s="588" t="n"/>
      <c r="DK929" s="588" t="n"/>
      <c r="DL929" s="588" t="n"/>
      <c r="DM929" s="588" t="n"/>
      <c r="DN929" s="588" t="n"/>
      <c r="DO929" s="588" t="n"/>
      <c r="DP929" s="588" t="n"/>
      <c r="DQ929" s="588" t="n"/>
      <c r="DR929" s="588" t="n"/>
      <c r="DS929" s="588" t="n"/>
      <c r="DT929" s="588" t="n"/>
      <c r="DU929" s="588" t="n"/>
    </row>
    <row r="930">
      <c r="A930" s="737" t="n"/>
      <c r="B930" s="737" t="n"/>
      <c r="C930" s="737" t="n"/>
      <c r="D930" s="737" t="n"/>
      <c r="E930" s="737" t="n"/>
      <c r="F930" s="737" t="n"/>
      <c r="G930" s="737" t="n"/>
      <c r="H930" s="737" t="n"/>
      <c r="I930" s="737" t="n"/>
      <c r="J930" s="737" t="n"/>
      <c r="K930" s="737" t="n"/>
      <c r="L930" s="737" t="n"/>
      <c r="M930" s="737" t="n"/>
      <c r="N930" s="737" t="n"/>
      <c r="O930" s="737" t="n"/>
      <c r="P930" s="737" t="n"/>
      <c r="Q930" s="737" t="n"/>
      <c r="R930" s="737" t="n"/>
      <c r="S930" s="737" t="n"/>
      <c r="T930" s="737" t="n"/>
      <c r="U930" s="737" t="n"/>
      <c r="V930" s="737" t="n"/>
      <c r="W930" s="737" t="n"/>
      <c r="X930" s="737" t="n"/>
      <c r="Y930" s="737" t="n"/>
      <c r="Z930" s="737" t="n"/>
      <c r="AA930" s="737" t="n"/>
      <c r="AB930" s="737" t="n"/>
      <c r="AC930" s="737" t="n"/>
      <c r="AD930" s="737" t="n"/>
      <c r="AE930" s="737" t="n"/>
      <c r="AF930" s="737" t="n"/>
      <c r="AG930" s="737" t="n"/>
      <c r="AH930" s="737" t="n"/>
      <c r="AI930" s="737" t="n"/>
      <c r="AJ930" s="737" t="n"/>
      <c r="AK930" s="588" t="n"/>
      <c r="AL930" s="588" t="n"/>
      <c r="AM930" s="588" t="n"/>
      <c r="AN930" s="588" t="n"/>
      <c r="AO930" s="588" t="n"/>
      <c r="AP930" s="588" t="n"/>
      <c r="AQ930" s="588" t="n"/>
      <c r="AR930" s="588" t="n"/>
      <c r="AS930" s="588" t="n"/>
      <c r="AT930" s="588" t="n"/>
      <c r="AU930" s="588" t="n"/>
      <c r="AV930" s="588" t="n"/>
      <c r="AW930" s="588" t="n"/>
      <c r="AX930" s="588" t="n"/>
      <c r="AY930" s="588" t="n"/>
      <c r="AZ930" s="588" t="n"/>
      <c r="BA930" s="588" t="n"/>
      <c r="BB930" s="588" t="n"/>
      <c r="BC930" s="588" t="n"/>
      <c r="BD930" s="588" t="n"/>
      <c r="BE930" s="588" t="n"/>
      <c r="BF930" s="588" t="n"/>
      <c r="BG930" s="588" t="n"/>
      <c r="BH930" s="588" t="n"/>
      <c r="BI930" s="588" t="n"/>
      <c r="BJ930" s="588" t="n"/>
      <c r="BK930" s="588" t="n"/>
      <c r="BL930" s="588" t="n"/>
      <c r="BM930" s="588" t="n"/>
      <c r="BN930" s="588" t="n"/>
      <c r="BO930" s="588" t="n"/>
      <c r="BP930" s="588" t="n"/>
      <c r="BQ930" s="588" t="n"/>
      <c r="BR930" s="588" t="n"/>
      <c r="BS930" s="588" t="n"/>
      <c r="BT930" s="588" t="n"/>
      <c r="BU930" s="588" t="n"/>
      <c r="BV930" s="588" t="n"/>
      <c r="BW930" s="588" t="n"/>
      <c r="BX930" s="588" t="n"/>
      <c r="BY930" s="588" t="n"/>
      <c r="BZ930" s="588" t="n"/>
      <c r="CA930" s="588" t="n"/>
      <c r="CB930" s="588" t="n"/>
      <c r="CC930" s="588" t="n"/>
      <c r="CD930" s="588" t="n"/>
      <c r="CE930" s="588" t="n"/>
      <c r="CF930" s="588" t="n"/>
      <c r="CG930" s="588" t="n"/>
      <c r="CH930" s="588" t="n"/>
      <c r="CI930" s="588" t="n"/>
      <c r="CJ930" s="588" t="n"/>
      <c r="CK930" s="588" t="n"/>
      <c r="CL930" s="588" t="n"/>
      <c r="CM930" s="588" t="n"/>
      <c r="CN930" s="588" t="n"/>
      <c r="CO930" s="588" t="n"/>
      <c r="CP930" s="588" t="n"/>
      <c r="CQ930" s="588" t="n"/>
      <c r="CR930" s="588" t="n"/>
      <c r="CS930" s="588" t="n"/>
      <c r="CT930" s="588" t="n"/>
      <c r="CU930" s="588" t="n"/>
      <c r="CV930" s="588" t="n"/>
      <c r="CW930" s="588" t="n"/>
      <c r="CX930" s="588" t="n"/>
      <c r="CY930" s="588" t="n"/>
      <c r="CZ930" s="588" t="n"/>
      <c r="DA930" s="588" t="n"/>
      <c r="DB930" s="588" t="n"/>
      <c r="DC930" s="588" t="n"/>
      <c r="DD930" s="588" t="n"/>
      <c r="DE930" s="588" t="n"/>
      <c r="DF930" s="588" t="n"/>
      <c r="DG930" s="588" t="n"/>
      <c r="DH930" s="588" t="n"/>
      <c r="DI930" s="588" t="n"/>
      <c r="DJ930" s="588" t="n"/>
      <c r="DK930" s="588" t="n"/>
      <c r="DL930" s="588" t="n"/>
      <c r="DM930" s="588" t="n"/>
      <c r="DN930" s="588" t="n"/>
      <c r="DO930" s="588" t="n"/>
      <c r="DP930" s="588" t="n"/>
      <c r="DQ930" s="588" t="n"/>
      <c r="DR930" s="588" t="n"/>
      <c r="DS930" s="588" t="n"/>
      <c r="DT930" s="588" t="n"/>
      <c r="DU930" s="588" t="n"/>
    </row>
    <row r="931">
      <c r="A931" s="737" t="n"/>
      <c r="B931" s="737" t="n"/>
      <c r="C931" s="737" t="n"/>
      <c r="D931" s="737" t="n"/>
      <c r="E931" s="737" t="n"/>
      <c r="F931" s="737" t="n"/>
      <c r="G931" s="737" t="n"/>
      <c r="H931" s="737" t="n"/>
      <c r="I931" s="737" t="n"/>
      <c r="J931" s="737" t="n"/>
      <c r="K931" s="737" t="n"/>
      <c r="L931" s="737" t="n"/>
      <c r="M931" s="737" t="n"/>
      <c r="N931" s="737" t="n"/>
      <c r="O931" s="737" t="n"/>
      <c r="P931" s="737" t="n"/>
      <c r="Q931" s="737" t="n"/>
      <c r="R931" s="737" t="n"/>
      <c r="S931" s="737" t="n"/>
      <c r="T931" s="737" t="n"/>
      <c r="U931" s="737" t="n"/>
      <c r="V931" s="737" t="n"/>
      <c r="W931" s="737" t="n"/>
      <c r="X931" s="737" t="n"/>
      <c r="Y931" s="737" t="n"/>
      <c r="Z931" s="737" t="n"/>
      <c r="AA931" s="737" t="n"/>
      <c r="AB931" s="737" t="n"/>
      <c r="AC931" s="737" t="n"/>
      <c r="AD931" s="737" t="n"/>
      <c r="AE931" s="737" t="n"/>
      <c r="AF931" s="737" t="n"/>
      <c r="AG931" s="737" t="n"/>
      <c r="AH931" s="737" t="n"/>
      <c r="AI931" s="737" t="n"/>
      <c r="AJ931" s="737" t="n"/>
      <c r="AK931" s="588" t="n"/>
      <c r="AL931" s="588" t="n"/>
      <c r="AM931" s="588" t="n"/>
      <c r="AN931" s="588" t="n"/>
      <c r="AO931" s="588" t="n"/>
      <c r="AP931" s="588" t="n"/>
      <c r="AQ931" s="588" t="n"/>
      <c r="AR931" s="588" t="n"/>
      <c r="AS931" s="588" t="n"/>
      <c r="AT931" s="588" t="n"/>
      <c r="AU931" s="588" t="n"/>
      <c r="AV931" s="588" t="n"/>
      <c r="AW931" s="588" t="n"/>
      <c r="AX931" s="588" t="n"/>
      <c r="AY931" s="588" t="n"/>
      <c r="AZ931" s="588" t="n"/>
      <c r="BA931" s="588" t="n"/>
      <c r="BB931" s="588" t="n"/>
      <c r="BC931" s="588" t="n"/>
      <c r="BD931" s="588" t="n"/>
      <c r="BE931" s="588" t="n"/>
      <c r="BF931" s="588" t="n"/>
      <c r="BG931" s="588" t="n"/>
      <c r="BH931" s="588" t="n"/>
      <c r="BI931" s="588" t="n"/>
      <c r="BJ931" s="588" t="n"/>
      <c r="BK931" s="588" t="n"/>
      <c r="BL931" s="588" t="n"/>
      <c r="BM931" s="588" t="n"/>
      <c r="BN931" s="588" t="n"/>
      <c r="BO931" s="588" t="n"/>
      <c r="BP931" s="588" t="n"/>
      <c r="BQ931" s="588" t="n"/>
      <c r="BR931" s="588" t="n"/>
      <c r="BS931" s="588" t="n"/>
      <c r="BT931" s="588" t="n"/>
      <c r="BU931" s="588" t="n"/>
      <c r="BV931" s="588" t="n"/>
      <c r="BW931" s="588" t="n"/>
      <c r="BX931" s="588" t="n"/>
      <c r="BY931" s="588" t="n"/>
      <c r="BZ931" s="588" t="n"/>
      <c r="CA931" s="588" t="n"/>
      <c r="CB931" s="588" t="n"/>
      <c r="CC931" s="588" t="n"/>
      <c r="CD931" s="588" t="n"/>
      <c r="CE931" s="588" t="n"/>
      <c r="CF931" s="588" t="n"/>
      <c r="CG931" s="588" t="n"/>
      <c r="CH931" s="588" t="n"/>
      <c r="CI931" s="588" t="n"/>
      <c r="CJ931" s="588" t="n"/>
      <c r="CK931" s="588" t="n"/>
      <c r="CL931" s="588" t="n"/>
      <c r="CM931" s="588" t="n"/>
      <c r="CN931" s="588" t="n"/>
      <c r="CO931" s="588" t="n"/>
      <c r="CP931" s="588" t="n"/>
      <c r="CQ931" s="588" t="n"/>
      <c r="CR931" s="588" t="n"/>
      <c r="CS931" s="588" t="n"/>
      <c r="CT931" s="588" t="n"/>
      <c r="CU931" s="588" t="n"/>
      <c r="CV931" s="588" t="n"/>
      <c r="CW931" s="588" t="n"/>
      <c r="CX931" s="588" t="n"/>
      <c r="CY931" s="588" t="n"/>
      <c r="CZ931" s="588" t="n"/>
      <c r="DA931" s="588" t="n"/>
      <c r="DB931" s="588" t="n"/>
      <c r="DC931" s="588" t="n"/>
      <c r="DD931" s="588" t="n"/>
      <c r="DE931" s="588" t="n"/>
      <c r="DF931" s="588" t="n"/>
      <c r="DG931" s="588" t="n"/>
      <c r="DH931" s="588" t="n"/>
      <c r="DI931" s="588" t="n"/>
      <c r="DJ931" s="588" t="n"/>
      <c r="DK931" s="588" t="n"/>
      <c r="DL931" s="588" t="n"/>
      <c r="DM931" s="588" t="n"/>
      <c r="DN931" s="588" t="n"/>
      <c r="DO931" s="588" t="n"/>
      <c r="DP931" s="588" t="n"/>
      <c r="DQ931" s="588" t="n"/>
      <c r="DR931" s="588" t="n"/>
      <c r="DS931" s="588" t="n"/>
      <c r="DT931" s="588" t="n"/>
      <c r="DU931" s="588" t="n"/>
    </row>
    <row r="932">
      <c r="A932" s="737" t="n"/>
      <c r="B932" s="737" t="n"/>
      <c r="C932" s="737" t="n"/>
      <c r="D932" s="737" t="n"/>
      <c r="E932" s="737" t="n"/>
      <c r="F932" s="737" t="n"/>
      <c r="G932" s="737" t="n"/>
      <c r="H932" s="737" t="n"/>
      <c r="I932" s="737" t="n"/>
      <c r="J932" s="737" t="n"/>
      <c r="K932" s="737" t="n"/>
      <c r="L932" s="737" t="n"/>
      <c r="M932" s="737" t="n"/>
      <c r="N932" s="737" t="n"/>
      <c r="O932" s="737" t="n"/>
      <c r="P932" s="737" t="n"/>
      <c r="Q932" s="737" t="n"/>
      <c r="R932" s="737" t="n"/>
      <c r="S932" s="737" t="n"/>
      <c r="T932" s="737" t="n"/>
      <c r="U932" s="737" t="n"/>
      <c r="V932" s="737" t="n"/>
      <c r="W932" s="737" t="n"/>
      <c r="X932" s="737" t="n"/>
      <c r="Y932" s="737" t="n"/>
      <c r="Z932" s="737" t="n"/>
      <c r="AA932" s="737" t="n"/>
      <c r="AB932" s="737" t="n"/>
      <c r="AC932" s="737" t="n"/>
      <c r="AD932" s="737" t="n"/>
      <c r="AE932" s="737" t="n"/>
      <c r="AF932" s="737" t="n"/>
      <c r="AG932" s="737" t="n"/>
      <c r="AH932" s="737" t="n"/>
      <c r="AI932" s="737" t="n"/>
      <c r="AJ932" s="737" t="n"/>
      <c r="AK932" s="588" t="n"/>
      <c r="AL932" s="588" t="n"/>
      <c r="AM932" s="588" t="n"/>
      <c r="AN932" s="588" t="n"/>
      <c r="AO932" s="588" t="n"/>
      <c r="AP932" s="588" t="n"/>
      <c r="AQ932" s="588" t="n"/>
      <c r="AR932" s="588" t="n"/>
      <c r="AS932" s="588" t="n"/>
      <c r="AT932" s="588" t="n"/>
      <c r="AU932" s="588" t="n"/>
      <c r="AV932" s="588" t="n"/>
      <c r="AW932" s="588" t="n"/>
      <c r="AX932" s="588" t="n"/>
      <c r="AY932" s="588" t="n"/>
      <c r="AZ932" s="588" t="n"/>
      <c r="BA932" s="588" t="n"/>
      <c r="BB932" s="588" t="n"/>
      <c r="BC932" s="588" t="n"/>
      <c r="BD932" s="588" t="n"/>
      <c r="BE932" s="588" t="n"/>
      <c r="BF932" s="588" t="n"/>
      <c r="BG932" s="588" t="n"/>
      <c r="BH932" s="588" t="n"/>
      <c r="BI932" s="588" t="n"/>
      <c r="BJ932" s="588" t="n"/>
      <c r="BK932" s="588" t="n"/>
      <c r="BL932" s="588" t="n"/>
      <c r="BM932" s="588" t="n"/>
      <c r="BN932" s="588" t="n"/>
      <c r="BO932" s="588" t="n"/>
      <c r="BP932" s="588" t="n"/>
      <c r="BQ932" s="588" t="n"/>
      <c r="BR932" s="588" t="n"/>
      <c r="BS932" s="588" t="n"/>
      <c r="BT932" s="588" t="n"/>
      <c r="BU932" s="588" t="n"/>
      <c r="BV932" s="588" t="n"/>
      <c r="BW932" s="588" t="n"/>
      <c r="BX932" s="588" t="n"/>
      <c r="BY932" s="588" t="n"/>
      <c r="BZ932" s="588" t="n"/>
      <c r="CA932" s="588" t="n"/>
      <c r="CB932" s="588" t="n"/>
      <c r="CC932" s="588" t="n"/>
      <c r="CD932" s="588" t="n"/>
      <c r="CE932" s="588" t="n"/>
      <c r="CF932" s="588" t="n"/>
      <c r="CG932" s="588" t="n"/>
      <c r="CH932" s="588" t="n"/>
      <c r="CI932" s="588" t="n"/>
      <c r="CJ932" s="588" t="n"/>
      <c r="CK932" s="588" t="n"/>
      <c r="CL932" s="588" t="n"/>
      <c r="CM932" s="588" t="n"/>
      <c r="CN932" s="588" t="n"/>
      <c r="CO932" s="588" t="n"/>
      <c r="CP932" s="588" t="n"/>
      <c r="CQ932" s="588" t="n"/>
      <c r="CR932" s="588" t="n"/>
      <c r="CS932" s="588" t="n"/>
      <c r="CT932" s="588" t="n"/>
      <c r="CU932" s="588" t="n"/>
      <c r="CV932" s="588" t="n"/>
      <c r="CW932" s="588" t="n"/>
      <c r="CX932" s="588" t="n"/>
      <c r="CY932" s="588" t="n"/>
      <c r="CZ932" s="588" t="n"/>
      <c r="DA932" s="588" t="n"/>
      <c r="DB932" s="588" t="n"/>
      <c r="DC932" s="588" t="n"/>
      <c r="DD932" s="588" t="n"/>
      <c r="DE932" s="588" t="n"/>
      <c r="DF932" s="588" t="n"/>
      <c r="DG932" s="588" t="n"/>
      <c r="DH932" s="588" t="n"/>
      <c r="DI932" s="588" t="n"/>
      <c r="DJ932" s="588" t="n"/>
      <c r="DK932" s="588" t="n"/>
      <c r="DL932" s="588" t="n"/>
      <c r="DM932" s="588" t="n"/>
      <c r="DN932" s="588" t="n"/>
      <c r="DO932" s="588" t="n"/>
      <c r="DP932" s="588" t="n"/>
      <c r="DQ932" s="588" t="n"/>
      <c r="DR932" s="588" t="n"/>
      <c r="DS932" s="588" t="n"/>
      <c r="DT932" s="588" t="n"/>
      <c r="DU932" s="588" t="n"/>
    </row>
    <row r="933">
      <c r="A933" s="737" t="n"/>
      <c r="B933" s="737" t="n"/>
      <c r="C933" s="737" t="n"/>
      <c r="D933" s="737" t="n"/>
      <c r="E933" s="737" t="n"/>
      <c r="F933" s="737" t="n"/>
      <c r="G933" s="737" t="n"/>
      <c r="H933" s="737" t="n"/>
      <c r="I933" s="737" t="n"/>
      <c r="J933" s="737" t="n"/>
      <c r="K933" s="737" t="n"/>
      <c r="L933" s="737" t="n"/>
      <c r="M933" s="737" t="n"/>
      <c r="N933" s="737" t="n"/>
      <c r="O933" s="737" t="n"/>
      <c r="P933" s="737" t="n"/>
      <c r="Q933" s="737" t="n"/>
      <c r="R933" s="737" t="n"/>
      <c r="S933" s="737" t="n"/>
      <c r="T933" s="737" t="n"/>
      <c r="U933" s="737" t="n"/>
      <c r="V933" s="737" t="n"/>
      <c r="W933" s="737" t="n"/>
      <c r="X933" s="737" t="n"/>
      <c r="Y933" s="737" t="n"/>
      <c r="Z933" s="737" t="n"/>
      <c r="AA933" s="737" t="n"/>
      <c r="AB933" s="737" t="n"/>
      <c r="AC933" s="737" t="n"/>
      <c r="AD933" s="737" t="n"/>
      <c r="AE933" s="737" t="n"/>
      <c r="AF933" s="737" t="n"/>
      <c r="AG933" s="737" t="n"/>
      <c r="AH933" s="737" t="n"/>
      <c r="AI933" s="737" t="n"/>
      <c r="AJ933" s="737" t="n"/>
      <c r="AK933" s="588" t="n"/>
      <c r="AL933" s="588" t="n"/>
      <c r="AM933" s="588" t="n"/>
      <c r="AN933" s="588" t="n"/>
      <c r="AO933" s="588" t="n"/>
      <c r="AP933" s="588" t="n"/>
      <c r="AQ933" s="588" t="n"/>
      <c r="AR933" s="588" t="n"/>
      <c r="AS933" s="588" t="n"/>
      <c r="AT933" s="588" t="n"/>
      <c r="AU933" s="588" t="n"/>
      <c r="AV933" s="588" t="n"/>
      <c r="AW933" s="588" t="n"/>
      <c r="AX933" s="588" t="n"/>
      <c r="AY933" s="588" t="n"/>
      <c r="AZ933" s="588" t="n"/>
      <c r="BA933" s="588" t="n"/>
      <c r="BB933" s="588" t="n"/>
      <c r="BC933" s="588" t="n"/>
      <c r="BD933" s="588" t="n"/>
      <c r="BE933" s="588" t="n"/>
      <c r="BF933" s="588" t="n"/>
      <c r="BG933" s="588" t="n"/>
      <c r="BH933" s="588" t="n"/>
      <c r="BI933" s="588" t="n"/>
      <c r="BJ933" s="588" t="n"/>
      <c r="BK933" s="588" t="n"/>
      <c r="BL933" s="588" t="n"/>
      <c r="BM933" s="588" t="n"/>
      <c r="BN933" s="588" t="n"/>
      <c r="BO933" s="588" t="n"/>
      <c r="BP933" s="588" t="n"/>
      <c r="BQ933" s="588" t="n"/>
      <c r="BR933" s="588" t="n"/>
      <c r="BS933" s="588" t="n"/>
      <c r="BT933" s="588" t="n"/>
      <c r="BU933" s="588" t="n"/>
      <c r="BV933" s="588" t="n"/>
      <c r="BW933" s="588" t="n"/>
      <c r="BX933" s="588" t="n"/>
      <c r="BY933" s="588" t="n"/>
      <c r="BZ933" s="588" t="n"/>
      <c r="CA933" s="588" t="n"/>
      <c r="CB933" s="588" t="n"/>
      <c r="CC933" s="588" t="n"/>
      <c r="CD933" s="588" t="n"/>
      <c r="CE933" s="588" t="n"/>
      <c r="CF933" s="588" t="n"/>
      <c r="CG933" s="588" t="n"/>
      <c r="CH933" s="588" t="n"/>
      <c r="CI933" s="588" t="n"/>
      <c r="CJ933" s="588" t="n"/>
      <c r="CK933" s="588" t="n"/>
      <c r="CL933" s="588" t="n"/>
      <c r="CM933" s="588" t="n"/>
      <c r="CN933" s="588" t="n"/>
      <c r="CO933" s="588" t="n"/>
      <c r="CP933" s="588" t="n"/>
      <c r="CQ933" s="588" t="n"/>
      <c r="CR933" s="588" t="n"/>
      <c r="CS933" s="588" t="n"/>
      <c r="CT933" s="588" t="n"/>
      <c r="CU933" s="588" t="n"/>
      <c r="CV933" s="588" t="n"/>
      <c r="CW933" s="588" t="n"/>
      <c r="CX933" s="588" t="n"/>
      <c r="CY933" s="588" t="n"/>
      <c r="CZ933" s="588" t="n"/>
      <c r="DA933" s="588" t="n"/>
      <c r="DB933" s="588" t="n"/>
      <c r="DC933" s="588" t="n"/>
      <c r="DD933" s="588" t="n"/>
      <c r="DE933" s="588" t="n"/>
      <c r="DF933" s="588" t="n"/>
      <c r="DG933" s="588" t="n"/>
      <c r="DH933" s="588" t="n"/>
      <c r="DI933" s="588" t="n"/>
      <c r="DJ933" s="588" t="n"/>
      <c r="DK933" s="588" t="n"/>
      <c r="DL933" s="588" t="n"/>
      <c r="DM933" s="588" t="n"/>
      <c r="DN933" s="588" t="n"/>
      <c r="DO933" s="588" t="n"/>
      <c r="DP933" s="588" t="n"/>
      <c r="DQ933" s="588" t="n"/>
      <c r="DR933" s="588" t="n"/>
      <c r="DS933" s="588" t="n"/>
      <c r="DT933" s="588" t="n"/>
      <c r="DU933" s="588" t="n"/>
    </row>
    <row r="934">
      <c r="A934" s="737" t="n"/>
      <c r="B934" s="737" t="n"/>
      <c r="C934" s="737" t="n"/>
      <c r="D934" s="737" t="n"/>
      <c r="E934" s="737" t="n"/>
      <c r="F934" s="737" t="n"/>
      <c r="G934" s="737" t="n"/>
      <c r="H934" s="737" t="n"/>
      <c r="I934" s="737" t="n"/>
      <c r="J934" s="737" t="n"/>
      <c r="K934" s="737" t="n"/>
      <c r="L934" s="737" t="n"/>
      <c r="M934" s="737" t="n"/>
      <c r="N934" s="737" t="n"/>
      <c r="O934" s="737" t="n"/>
      <c r="P934" s="737" t="n"/>
      <c r="Q934" s="737" t="n"/>
      <c r="R934" s="737" t="n"/>
      <c r="S934" s="737" t="n"/>
      <c r="T934" s="737" t="n"/>
      <c r="U934" s="737" t="n"/>
      <c r="V934" s="737" t="n"/>
      <c r="W934" s="737" t="n"/>
      <c r="X934" s="737" t="n"/>
      <c r="Y934" s="737" t="n"/>
      <c r="Z934" s="737" t="n"/>
      <c r="AA934" s="737" t="n"/>
      <c r="AB934" s="737" t="n"/>
      <c r="AC934" s="737" t="n"/>
      <c r="AD934" s="737" t="n"/>
      <c r="AE934" s="737" t="n"/>
      <c r="AF934" s="737" t="n"/>
      <c r="AG934" s="737" t="n"/>
      <c r="AH934" s="737" t="n"/>
      <c r="AI934" s="737" t="n"/>
      <c r="AJ934" s="737" t="n"/>
      <c r="AK934" s="588" t="n"/>
      <c r="AL934" s="588" t="n"/>
      <c r="AM934" s="588" t="n"/>
      <c r="AN934" s="588" t="n"/>
      <c r="AO934" s="588" t="n"/>
      <c r="AP934" s="588" t="n"/>
      <c r="AQ934" s="588" t="n"/>
      <c r="AR934" s="588" t="n"/>
      <c r="AS934" s="588" t="n"/>
      <c r="AT934" s="588" t="n"/>
      <c r="AU934" s="588" t="n"/>
      <c r="AV934" s="588" t="n"/>
      <c r="AW934" s="588" t="n"/>
      <c r="AX934" s="588" t="n"/>
      <c r="AY934" s="588" t="n"/>
      <c r="AZ934" s="588" t="n"/>
      <c r="BA934" s="588" t="n"/>
      <c r="BB934" s="588" t="n"/>
      <c r="BC934" s="588" t="n"/>
      <c r="BD934" s="588" t="n"/>
      <c r="BE934" s="588" t="n"/>
      <c r="BF934" s="588" t="n"/>
      <c r="BG934" s="588" t="n"/>
      <c r="BH934" s="588" t="n"/>
      <c r="BI934" s="588" t="n"/>
      <c r="BJ934" s="588" t="n"/>
      <c r="BK934" s="588" t="n"/>
      <c r="BL934" s="588" t="n"/>
      <c r="BM934" s="588" t="n"/>
      <c r="BN934" s="588" t="n"/>
      <c r="BO934" s="588" t="n"/>
      <c r="BP934" s="588" t="n"/>
      <c r="BQ934" s="588" t="n"/>
      <c r="BR934" s="588" t="n"/>
      <c r="BS934" s="588" t="n"/>
      <c r="BT934" s="588" t="n"/>
      <c r="BU934" s="588" t="n"/>
      <c r="BV934" s="588" t="n"/>
      <c r="BW934" s="588" t="n"/>
      <c r="BX934" s="588" t="n"/>
      <c r="BY934" s="588" t="n"/>
      <c r="BZ934" s="588" t="n"/>
      <c r="CA934" s="588" t="n"/>
      <c r="CB934" s="588" t="n"/>
      <c r="CC934" s="588" t="n"/>
      <c r="CD934" s="588" t="n"/>
      <c r="CE934" s="588" t="n"/>
      <c r="CF934" s="588" t="n"/>
      <c r="CG934" s="588" t="n"/>
      <c r="CH934" s="588" t="n"/>
      <c r="CI934" s="588" t="n"/>
      <c r="CJ934" s="588" t="n"/>
      <c r="CK934" s="588" t="n"/>
      <c r="CL934" s="588" t="n"/>
      <c r="CM934" s="588" t="n"/>
      <c r="CN934" s="588" t="n"/>
      <c r="CO934" s="588" t="n"/>
      <c r="CP934" s="588" t="n"/>
      <c r="CQ934" s="588" t="n"/>
      <c r="CR934" s="588" t="n"/>
      <c r="CS934" s="588" t="n"/>
      <c r="CT934" s="588" t="n"/>
      <c r="CU934" s="588" t="n"/>
      <c r="CV934" s="588" t="n"/>
      <c r="CW934" s="588" t="n"/>
      <c r="CX934" s="588" t="n"/>
      <c r="CY934" s="588" t="n"/>
      <c r="CZ934" s="588" t="n"/>
      <c r="DA934" s="588" t="n"/>
      <c r="DB934" s="588" t="n"/>
      <c r="DC934" s="588" t="n"/>
      <c r="DD934" s="588" t="n"/>
      <c r="DE934" s="588" t="n"/>
      <c r="DF934" s="588" t="n"/>
      <c r="DG934" s="588" t="n"/>
      <c r="DH934" s="588" t="n"/>
      <c r="DI934" s="588" t="n"/>
      <c r="DJ934" s="588" t="n"/>
      <c r="DK934" s="588" t="n"/>
      <c r="DL934" s="588" t="n"/>
      <c r="DM934" s="588" t="n"/>
      <c r="DN934" s="588" t="n"/>
      <c r="DO934" s="588" t="n"/>
      <c r="DP934" s="588" t="n"/>
      <c r="DQ934" s="588" t="n"/>
      <c r="DR934" s="588" t="n"/>
      <c r="DS934" s="588" t="n"/>
      <c r="DT934" s="588" t="n"/>
      <c r="DU934" s="588" t="n"/>
    </row>
    <row r="935">
      <c r="A935" s="737" t="n"/>
      <c r="B935" s="737" t="n"/>
      <c r="C935" s="737" t="n"/>
      <c r="D935" s="737" t="n"/>
      <c r="E935" s="737" t="n"/>
      <c r="F935" s="737" t="n"/>
      <c r="G935" s="737" t="n"/>
      <c r="H935" s="737" t="n"/>
      <c r="I935" s="737" t="n"/>
      <c r="J935" s="737" t="n"/>
      <c r="K935" s="737" t="n"/>
      <c r="L935" s="737" t="n"/>
      <c r="M935" s="737" t="n"/>
      <c r="N935" s="737" t="n"/>
      <c r="O935" s="737" t="n"/>
      <c r="P935" s="737" t="n"/>
      <c r="Q935" s="737" t="n"/>
      <c r="R935" s="737" t="n"/>
      <c r="S935" s="737" t="n"/>
      <c r="T935" s="737" t="n"/>
      <c r="U935" s="737" t="n"/>
      <c r="V935" s="737" t="n"/>
      <c r="W935" s="737" t="n"/>
      <c r="X935" s="737" t="n"/>
      <c r="Y935" s="737" t="n"/>
      <c r="Z935" s="737" t="n"/>
      <c r="AA935" s="737" t="n"/>
      <c r="AB935" s="737" t="n"/>
      <c r="AC935" s="737" t="n"/>
      <c r="AD935" s="737" t="n"/>
      <c r="AE935" s="737" t="n"/>
      <c r="AF935" s="737" t="n"/>
      <c r="AG935" s="737" t="n"/>
      <c r="AH935" s="737" t="n"/>
      <c r="AI935" s="737" t="n"/>
      <c r="AJ935" s="737" t="n"/>
      <c r="AK935" s="588" t="n"/>
      <c r="AL935" s="588" t="n"/>
      <c r="AM935" s="588" t="n"/>
      <c r="AN935" s="588" t="n"/>
      <c r="AO935" s="588" t="n"/>
      <c r="AP935" s="588" t="n"/>
      <c r="AQ935" s="588" t="n"/>
      <c r="AR935" s="588" t="n"/>
      <c r="AS935" s="588" t="n"/>
      <c r="AT935" s="588" t="n"/>
      <c r="AU935" s="588" t="n"/>
      <c r="AV935" s="588" t="n"/>
      <c r="AW935" s="588" t="n"/>
      <c r="AX935" s="588" t="n"/>
      <c r="AY935" s="588" t="n"/>
      <c r="AZ935" s="588" t="n"/>
      <c r="BA935" s="588" t="n"/>
      <c r="BB935" s="588" t="n"/>
      <c r="BC935" s="588" t="n"/>
      <c r="BD935" s="588" t="n"/>
      <c r="BE935" s="588" t="n"/>
      <c r="BF935" s="588" t="n"/>
      <c r="BG935" s="588" t="n"/>
      <c r="BH935" s="588" t="n"/>
      <c r="BI935" s="588" t="n"/>
      <c r="BJ935" s="588" t="n"/>
      <c r="BK935" s="588" t="n"/>
      <c r="BL935" s="588" t="n"/>
      <c r="BM935" s="588" t="n"/>
      <c r="BN935" s="588" t="n"/>
      <c r="BO935" s="588" t="n"/>
      <c r="BP935" s="588" t="n"/>
      <c r="BQ935" s="588" t="n"/>
      <c r="BR935" s="588" t="n"/>
      <c r="BS935" s="588" t="n"/>
      <c r="BT935" s="588" t="n"/>
      <c r="BU935" s="588" t="n"/>
      <c r="BV935" s="588" t="n"/>
      <c r="BW935" s="588" t="n"/>
      <c r="BX935" s="588" t="n"/>
      <c r="BY935" s="588" t="n"/>
      <c r="BZ935" s="588" t="n"/>
      <c r="CA935" s="588" t="n"/>
      <c r="CB935" s="588" t="n"/>
      <c r="CC935" s="588" t="n"/>
      <c r="CD935" s="588" t="n"/>
      <c r="CE935" s="588" t="n"/>
      <c r="CF935" s="588" t="n"/>
      <c r="CG935" s="588" t="n"/>
      <c r="CH935" s="588" t="n"/>
      <c r="CI935" s="588" t="n"/>
      <c r="CJ935" s="588" t="n"/>
      <c r="CK935" s="588" t="n"/>
      <c r="CL935" s="588" t="n"/>
      <c r="CM935" s="588" t="n"/>
      <c r="CN935" s="588" t="n"/>
      <c r="CO935" s="588" t="n"/>
      <c r="CP935" s="588" t="n"/>
      <c r="CQ935" s="588" t="n"/>
      <c r="CR935" s="588" t="n"/>
      <c r="CS935" s="588" t="n"/>
      <c r="CT935" s="588" t="n"/>
      <c r="CU935" s="588" t="n"/>
      <c r="CV935" s="588" t="n"/>
      <c r="CW935" s="588" t="n"/>
      <c r="CX935" s="588" t="n"/>
      <c r="CY935" s="588" t="n"/>
      <c r="CZ935" s="588" t="n"/>
      <c r="DA935" s="588" t="n"/>
      <c r="DB935" s="588" t="n"/>
      <c r="DC935" s="588" t="n"/>
      <c r="DD935" s="588" t="n"/>
      <c r="DE935" s="588" t="n"/>
      <c r="DF935" s="588" t="n"/>
      <c r="DG935" s="588" t="n"/>
      <c r="DH935" s="588" t="n"/>
      <c r="DI935" s="588" t="n"/>
      <c r="DJ935" s="588" t="n"/>
      <c r="DK935" s="588" t="n"/>
      <c r="DL935" s="588" t="n"/>
      <c r="DM935" s="588" t="n"/>
      <c r="DN935" s="588" t="n"/>
      <c r="DO935" s="588" t="n"/>
      <c r="DP935" s="588" t="n"/>
      <c r="DQ935" s="588" t="n"/>
      <c r="DR935" s="588" t="n"/>
      <c r="DS935" s="588" t="n"/>
      <c r="DT935" s="588" t="n"/>
      <c r="DU935" s="588" t="n"/>
    </row>
    <row r="936">
      <c r="A936" s="737" t="n"/>
      <c r="B936" s="737" t="n"/>
      <c r="C936" s="737" t="n"/>
      <c r="D936" s="737" t="n"/>
      <c r="E936" s="737" t="n"/>
      <c r="F936" s="737" t="n"/>
      <c r="G936" s="737" t="n"/>
      <c r="H936" s="737" t="n"/>
      <c r="I936" s="737" t="n"/>
      <c r="J936" s="737" t="n"/>
      <c r="K936" s="737" t="n"/>
      <c r="L936" s="737" t="n"/>
      <c r="M936" s="737" t="n"/>
      <c r="N936" s="737" t="n"/>
      <c r="O936" s="737" t="n"/>
      <c r="P936" s="737" t="n"/>
      <c r="Q936" s="737" t="n"/>
      <c r="R936" s="737" t="n"/>
      <c r="S936" s="737" t="n"/>
      <c r="T936" s="737" t="n"/>
      <c r="U936" s="737" t="n"/>
      <c r="V936" s="737" t="n"/>
      <c r="W936" s="737" t="n"/>
      <c r="X936" s="737" t="n"/>
      <c r="Y936" s="737" t="n"/>
      <c r="Z936" s="737" t="n"/>
      <c r="AA936" s="737" t="n"/>
      <c r="AB936" s="737" t="n"/>
      <c r="AC936" s="737" t="n"/>
      <c r="AD936" s="737" t="n"/>
      <c r="AE936" s="737" t="n"/>
      <c r="AF936" s="737" t="n"/>
      <c r="AG936" s="737" t="n"/>
      <c r="AH936" s="737" t="n"/>
      <c r="AI936" s="737" t="n"/>
      <c r="AJ936" s="737" t="n"/>
      <c r="AK936" s="588" t="n"/>
      <c r="AL936" s="588" t="n"/>
      <c r="AM936" s="588" t="n"/>
      <c r="AN936" s="588" t="n"/>
      <c r="AO936" s="588" t="n"/>
      <c r="AP936" s="588" t="n"/>
      <c r="AQ936" s="588" t="n"/>
      <c r="AR936" s="588" t="n"/>
      <c r="AS936" s="588" t="n"/>
      <c r="AT936" s="588" t="n"/>
      <c r="AU936" s="588" t="n"/>
      <c r="AV936" s="588" t="n"/>
      <c r="AW936" s="588" t="n"/>
      <c r="AX936" s="588" t="n"/>
      <c r="AY936" s="588" t="n"/>
      <c r="AZ936" s="588" t="n"/>
      <c r="BA936" s="588" t="n"/>
      <c r="BB936" s="588" t="n"/>
      <c r="BC936" s="588" t="n"/>
      <c r="BD936" s="588" t="n"/>
      <c r="BE936" s="588" t="n"/>
      <c r="BF936" s="588" t="n"/>
      <c r="BG936" s="588" t="n"/>
      <c r="BH936" s="588" t="n"/>
      <c r="BI936" s="588" t="n"/>
      <c r="BJ936" s="588" t="n"/>
      <c r="BK936" s="588" t="n"/>
      <c r="BL936" s="588" t="n"/>
      <c r="BM936" s="588" t="n"/>
      <c r="BN936" s="588" t="n"/>
      <c r="BO936" s="588" t="n"/>
      <c r="BP936" s="588" t="n"/>
      <c r="BQ936" s="588" t="n"/>
      <c r="BR936" s="588" t="n"/>
      <c r="BS936" s="588" t="n"/>
      <c r="BT936" s="588" t="n"/>
      <c r="BU936" s="588" t="n"/>
      <c r="BV936" s="588" t="n"/>
      <c r="BW936" s="588" t="n"/>
      <c r="BX936" s="588" t="n"/>
      <c r="BY936" s="588" t="n"/>
      <c r="BZ936" s="588" t="n"/>
      <c r="CA936" s="588" t="n"/>
      <c r="CB936" s="588" t="n"/>
      <c r="CC936" s="588" t="n"/>
      <c r="CD936" s="588" t="n"/>
      <c r="CE936" s="588" t="n"/>
      <c r="CF936" s="588" t="n"/>
      <c r="CG936" s="588" t="n"/>
      <c r="CH936" s="588" t="n"/>
      <c r="CI936" s="588" t="n"/>
      <c r="CJ936" s="588" t="n"/>
      <c r="CK936" s="588" t="n"/>
      <c r="CL936" s="588" t="n"/>
      <c r="CM936" s="588" t="n"/>
      <c r="CN936" s="588" t="n"/>
      <c r="CO936" s="588" t="n"/>
      <c r="CP936" s="588" t="n"/>
      <c r="CQ936" s="588" t="n"/>
      <c r="CR936" s="588" t="n"/>
      <c r="CS936" s="588" t="n"/>
      <c r="CT936" s="588" t="n"/>
      <c r="CU936" s="588" t="n"/>
      <c r="CV936" s="588" t="n"/>
      <c r="CW936" s="588" t="n"/>
      <c r="CX936" s="588" t="n"/>
      <c r="CY936" s="588" t="n"/>
      <c r="CZ936" s="588" t="n"/>
      <c r="DA936" s="588" t="n"/>
      <c r="DB936" s="588" t="n"/>
      <c r="DC936" s="588" t="n"/>
      <c r="DD936" s="588" t="n"/>
      <c r="DE936" s="588" t="n"/>
      <c r="DF936" s="588" t="n"/>
      <c r="DG936" s="588" t="n"/>
      <c r="DH936" s="588" t="n"/>
      <c r="DI936" s="588" t="n"/>
      <c r="DJ936" s="588" t="n"/>
      <c r="DK936" s="588" t="n"/>
      <c r="DL936" s="588" t="n"/>
      <c r="DM936" s="588" t="n"/>
      <c r="DN936" s="588" t="n"/>
      <c r="DO936" s="588" t="n"/>
      <c r="DP936" s="588" t="n"/>
      <c r="DQ936" s="588" t="n"/>
      <c r="DR936" s="588" t="n"/>
      <c r="DS936" s="588" t="n"/>
      <c r="DT936" s="588" t="n"/>
      <c r="DU936" s="588" t="n"/>
    </row>
    <row r="937">
      <c r="A937" s="737" t="n"/>
      <c r="B937" s="737" t="n"/>
      <c r="C937" s="737" t="n"/>
      <c r="D937" s="737" t="n"/>
      <c r="E937" s="737" t="n"/>
      <c r="F937" s="737" t="n"/>
      <c r="G937" s="737" t="n"/>
      <c r="H937" s="737" t="n"/>
      <c r="I937" s="737" t="n"/>
      <c r="J937" s="737" t="n"/>
      <c r="K937" s="737" t="n"/>
      <c r="L937" s="737" t="n"/>
      <c r="M937" s="737" t="n"/>
      <c r="N937" s="737" t="n"/>
      <c r="O937" s="737" t="n"/>
      <c r="P937" s="737" t="n"/>
      <c r="Q937" s="737" t="n"/>
      <c r="R937" s="737" t="n"/>
      <c r="S937" s="737" t="n"/>
      <c r="T937" s="737" t="n"/>
      <c r="U937" s="737" t="n"/>
      <c r="V937" s="737" t="n"/>
      <c r="W937" s="737" t="n"/>
      <c r="X937" s="737" t="n"/>
      <c r="Y937" s="737" t="n"/>
      <c r="Z937" s="737" t="n"/>
      <c r="AA937" s="737" t="n"/>
      <c r="AB937" s="737" t="n"/>
      <c r="AC937" s="737" t="n"/>
      <c r="AD937" s="737" t="n"/>
      <c r="AE937" s="737" t="n"/>
      <c r="AF937" s="737" t="n"/>
      <c r="AG937" s="737" t="n"/>
      <c r="AH937" s="737" t="n"/>
      <c r="AI937" s="737" t="n"/>
      <c r="AJ937" s="737" t="n"/>
      <c r="AK937" s="588" t="n"/>
      <c r="AL937" s="588" t="n"/>
      <c r="AM937" s="588" t="n"/>
      <c r="AN937" s="588" t="n"/>
      <c r="AO937" s="588" t="n"/>
      <c r="AP937" s="588" t="n"/>
      <c r="AQ937" s="588" t="n"/>
      <c r="AR937" s="588" t="n"/>
      <c r="AS937" s="588" t="n"/>
      <c r="AT937" s="588" t="n"/>
      <c r="AU937" s="588" t="n"/>
      <c r="AV937" s="588" t="n"/>
      <c r="AW937" s="588" t="n"/>
      <c r="AX937" s="588" t="n"/>
      <c r="AY937" s="588" t="n"/>
      <c r="AZ937" s="588" t="n"/>
      <c r="BA937" s="588" t="n"/>
      <c r="BB937" s="588" t="n"/>
      <c r="BC937" s="588" t="n"/>
      <c r="BD937" s="588" t="n"/>
      <c r="BE937" s="588" t="n"/>
      <c r="BF937" s="588" t="n"/>
      <c r="BG937" s="588" t="n"/>
      <c r="BH937" s="588" t="n"/>
      <c r="BI937" s="588" t="n"/>
      <c r="BJ937" s="588" t="n"/>
      <c r="BK937" s="588" t="n"/>
      <c r="BL937" s="588" t="n"/>
      <c r="BM937" s="588" t="n"/>
      <c r="BN937" s="588" t="n"/>
      <c r="BO937" s="588" t="n"/>
      <c r="BP937" s="588" t="n"/>
      <c r="BQ937" s="588" t="n"/>
      <c r="BR937" s="588" t="n"/>
      <c r="BS937" s="588" t="n"/>
      <c r="BT937" s="588" t="n"/>
      <c r="BU937" s="588" t="n"/>
      <c r="BV937" s="588" t="n"/>
      <c r="BW937" s="588" t="n"/>
      <c r="BX937" s="588" t="n"/>
      <c r="BY937" s="588" t="n"/>
      <c r="BZ937" s="588" t="n"/>
      <c r="CA937" s="588" t="n"/>
      <c r="CB937" s="588" t="n"/>
      <c r="CC937" s="588" t="n"/>
      <c r="CD937" s="588" t="n"/>
      <c r="CE937" s="588" t="n"/>
      <c r="CF937" s="588" t="n"/>
      <c r="CG937" s="588" t="n"/>
      <c r="CH937" s="588" t="n"/>
      <c r="CI937" s="588" t="n"/>
      <c r="CJ937" s="588" t="n"/>
      <c r="CK937" s="588" t="n"/>
      <c r="CL937" s="588" t="n"/>
      <c r="CM937" s="588" t="n"/>
      <c r="CN937" s="588" t="n"/>
      <c r="CO937" s="588" t="n"/>
      <c r="CP937" s="588" t="n"/>
      <c r="CQ937" s="588" t="n"/>
      <c r="CR937" s="588" t="n"/>
      <c r="CS937" s="588" t="n"/>
      <c r="CT937" s="588" t="n"/>
      <c r="CU937" s="588" t="n"/>
      <c r="CV937" s="588" t="n"/>
      <c r="CW937" s="588" t="n"/>
      <c r="CX937" s="588" t="n"/>
      <c r="CY937" s="588" t="n"/>
      <c r="CZ937" s="588" t="n"/>
      <c r="DA937" s="588" t="n"/>
      <c r="DB937" s="588" t="n"/>
      <c r="DC937" s="588" t="n"/>
      <c r="DD937" s="588" t="n"/>
      <c r="DE937" s="588" t="n"/>
      <c r="DF937" s="588" t="n"/>
      <c r="DG937" s="588" t="n"/>
      <c r="DH937" s="588" t="n"/>
      <c r="DI937" s="588" t="n"/>
      <c r="DJ937" s="588" t="n"/>
      <c r="DK937" s="588" t="n"/>
      <c r="DL937" s="588" t="n"/>
      <c r="DM937" s="588" t="n"/>
      <c r="DN937" s="588" t="n"/>
      <c r="DO937" s="588" t="n"/>
      <c r="DP937" s="588" t="n"/>
      <c r="DQ937" s="588" t="n"/>
      <c r="DR937" s="588" t="n"/>
      <c r="DS937" s="588" t="n"/>
      <c r="DT937" s="588" t="n"/>
      <c r="DU937" s="588" t="n"/>
    </row>
    <row r="938">
      <c r="A938" s="737" t="n"/>
      <c r="B938" s="737" t="n"/>
      <c r="C938" s="737" t="n"/>
      <c r="D938" s="737" t="n"/>
      <c r="E938" s="737" t="n"/>
      <c r="F938" s="737" t="n"/>
      <c r="G938" s="737" t="n"/>
      <c r="H938" s="737" t="n"/>
      <c r="I938" s="737" t="n"/>
      <c r="J938" s="737" t="n"/>
      <c r="K938" s="737" t="n"/>
      <c r="L938" s="737" t="n"/>
      <c r="M938" s="737" t="n"/>
      <c r="N938" s="737" t="n"/>
      <c r="O938" s="737" t="n"/>
      <c r="P938" s="737" t="n"/>
      <c r="Q938" s="737" t="n"/>
      <c r="R938" s="737" t="n"/>
      <c r="S938" s="737" t="n"/>
      <c r="T938" s="737" t="n"/>
      <c r="U938" s="737" t="n"/>
      <c r="V938" s="737" t="n"/>
      <c r="W938" s="737" t="n"/>
      <c r="X938" s="737" t="n"/>
      <c r="Y938" s="737" t="n"/>
      <c r="Z938" s="737" t="n"/>
      <c r="AA938" s="737" t="n"/>
      <c r="AB938" s="737" t="n"/>
      <c r="AC938" s="737" t="n"/>
      <c r="AD938" s="737" t="n"/>
      <c r="AE938" s="737" t="n"/>
      <c r="AF938" s="737" t="n"/>
      <c r="AG938" s="737" t="n"/>
      <c r="AH938" s="737" t="n"/>
      <c r="AI938" s="737" t="n"/>
      <c r="AJ938" s="737" t="n"/>
      <c r="AK938" s="588" t="n"/>
      <c r="AL938" s="588" t="n"/>
      <c r="AM938" s="588" t="n"/>
      <c r="AN938" s="588" t="n"/>
      <c r="AO938" s="588" t="n"/>
      <c r="AP938" s="588" t="n"/>
      <c r="AQ938" s="588" t="n"/>
      <c r="AR938" s="588" t="n"/>
      <c r="AS938" s="588" t="n"/>
      <c r="AT938" s="588" t="n"/>
      <c r="AU938" s="588" t="n"/>
      <c r="AV938" s="588" t="n"/>
      <c r="AW938" s="588" t="n"/>
      <c r="AX938" s="588" t="n"/>
      <c r="AY938" s="588" t="n"/>
      <c r="AZ938" s="588" t="n"/>
      <c r="BA938" s="588" t="n"/>
      <c r="BB938" s="588" t="n"/>
      <c r="BC938" s="588" t="n"/>
      <c r="BD938" s="588" t="n"/>
      <c r="BE938" s="588" t="n"/>
      <c r="BF938" s="588" t="n"/>
      <c r="BG938" s="588" t="n"/>
      <c r="BH938" s="588" t="n"/>
      <c r="BI938" s="588" t="n"/>
      <c r="BJ938" s="588" t="n"/>
      <c r="BK938" s="588" t="n"/>
      <c r="BL938" s="588" t="n"/>
      <c r="BM938" s="588" t="n"/>
      <c r="BN938" s="588" t="n"/>
      <c r="BO938" s="588" t="n"/>
      <c r="BP938" s="588" t="n"/>
      <c r="BQ938" s="588" t="n"/>
      <c r="BR938" s="588" t="n"/>
      <c r="BS938" s="588" t="n"/>
      <c r="BT938" s="588" t="n"/>
      <c r="BU938" s="588" t="n"/>
      <c r="BV938" s="588" t="n"/>
      <c r="BW938" s="588" t="n"/>
      <c r="BX938" s="588" t="n"/>
      <c r="BY938" s="588" t="n"/>
      <c r="BZ938" s="588" t="n"/>
      <c r="CA938" s="588" t="n"/>
      <c r="CB938" s="588" t="n"/>
      <c r="CC938" s="588" t="n"/>
      <c r="CD938" s="588" t="n"/>
      <c r="CE938" s="588" t="n"/>
      <c r="CF938" s="588" t="n"/>
      <c r="CG938" s="588" t="n"/>
      <c r="CH938" s="588" t="n"/>
      <c r="CI938" s="588" t="n"/>
      <c r="CJ938" s="588" t="n"/>
      <c r="CK938" s="588" t="n"/>
      <c r="CL938" s="588" t="n"/>
      <c r="CM938" s="588" t="n"/>
      <c r="CN938" s="588" t="n"/>
      <c r="CO938" s="588" t="n"/>
      <c r="CP938" s="588" t="n"/>
      <c r="CQ938" s="588" t="n"/>
      <c r="CR938" s="588" t="n"/>
      <c r="CS938" s="588" t="n"/>
      <c r="CT938" s="588" t="n"/>
      <c r="CU938" s="588" t="n"/>
      <c r="CV938" s="588" t="n"/>
      <c r="CW938" s="588" t="n"/>
      <c r="CX938" s="588" t="n"/>
      <c r="CY938" s="588" t="n"/>
      <c r="CZ938" s="588" t="n"/>
      <c r="DA938" s="588" t="n"/>
      <c r="DB938" s="588" t="n"/>
      <c r="DC938" s="588" t="n"/>
      <c r="DD938" s="588" t="n"/>
      <c r="DE938" s="588" t="n"/>
      <c r="DF938" s="588" t="n"/>
      <c r="DG938" s="588" t="n"/>
      <c r="DH938" s="588" t="n"/>
      <c r="DI938" s="588" t="n"/>
      <c r="DJ938" s="588" t="n"/>
      <c r="DK938" s="588" t="n"/>
      <c r="DL938" s="588" t="n"/>
      <c r="DM938" s="588" t="n"/>
      <c r="DN938" s="588" t="n"/>
      <c r="DO938" s="588" t="n"/>
      <c r="DP938" s="588" t="n"/>
      <c r="DQ938" s="588" t="n"/>
      <c r="DR938" s="588" t="n"/>
      <c r="DS938" s="588" t="n"/>
      <c r="DT938" s="588" t="n"/>
      <c r="DU938" s="588" t="n"/>
    </row>
    <row r="939">
      <c r="A939" s="737" t="n"/>
      <c r="B939" s="737" t="n"/>
      <c r="C939" s="737" t="n"/>
      <c r="D939" s="737" t="n"/>
      <c r="E939" s="737" t="n"/>
      <c r="F939" s="737" t="n"/>
      <c r="G939" s="737" t="n"/>
      <c r="H939" s="737" t="n"/>
      <c r="I939" s="737" t="n"/>
      <c r="J939" s="737" t="n"/>
      <c r="K939" s="737" t="n"/>
      <c r="L939" s="737" t="n"/>
      <c r="M939" s="737" t="n"/>
      <c r="N939" s="737" t="n"/>
      <c r="O939" s="737" t="n"/>
      <c r="P939" s="737" t="n"/>
      <c r="Q939" s="737" t="n"/>
      <c r="R939" s="737" t="n"/>
      <c r="S939" s="737" t="n"/>
      <c r="T939" s="737" t="n"/>
      <c r="U939" s="737" t="n"/>
      <c r="V939" s="737" t="n"/>
      <c r="W939" s="737" t="n"/>
      <c r="X939" s="737" t="n"/>
      <c r="Y939" s="737" t="n"/>
      <c r="Z939" s="737" t="n"/>
      <c r="AA939" s="737" t="n"/>
      <c r="AB939" s="737" t="n"/>
      <c r="AC939" s="737" t="n"/>
      <c r="AD939" s="737" t="n"/>
      <c r="AE939" s="737" t="n"/>
      <c r="AF939" s="737" t="n"/>
      <c r="AG939" s="737" t="n"/>
      <c r="AH939" s="737" t="n"/>
      <c r="AI939" s="737" t="n"/>
      <c r="AJ939" s="737" t="n"/>
      <c r="AK939" s="588" t="n"/>
      <c r="AL939" s="588" t="n"/>
      <c r="AM939" s="588" t="n"/>
      <c r="AN939" s="588" t="n"/>
      <c r="AO939" s="588" t="n"/>
      <c r="AP939" s="588" t="n"/>
      <c r="AQ939" s="588" t="n"/>
      <c r="AR939" s="588" t="n"/>
      <c r="AS939" s="588" t="n"/>
      <c r="AT939" s="588" t="n"/>
      <c r="AU939" s="588" t="n"/>
      <c r="AV939" s="588" t="n"/>
      <c r="AW939" s="588" t="n"/>
      <c r="AX939" s="588" t="n"/>
      <c r="AY939" s="588" t="n"/>
      <c r="AZ939" s="588" t="n"/>
      <c r="BA939" s="588" t="n"/>
      <c r="BB939" s="588" t="n"/>
      <c r="BC939" s="588" t="n"/>
      <c r="BD939" s="588" t="n"/>
      <c r="BE939" s="588" t="n"/>
      <c r="BF939" s="588" t="n"/>
      <c r="BG939" s="588" t="n"/>
      <c r="BH939" s="588" t="n"/>
      <c r="BI939" s="588" t="n"/>
      <c r="BJ939" s="588" t="n"/>
      <c r="BK939" s="588" t="n"/>
      <c r="BL939" s="588" t="n"/>
      <c r="BM939" s="588" t="n"/>
      <c r="BN939" s="588" t="n"/>
      <c r="BO939" s="588" t="n"/>
      <c r="BP939" s="588" t="n"/>
      <c r="BQ939" s="588" t="n"/>
      <c r="BR939" s="588" t="n"/>
      <c r="BS939" s="588" t="n"/>
      <c r="BT939" s="588" t="n"/>
      <c r="BU939" s="588" t="n"/>
      <c r="BV939" s="588" t="n"/>
      <c r="BW939" s="588" t="n"/>
      <c r="BX939" s="588" t="n"/>
      <c r="BY939" s="588" t="n"/>
      <c r="BZ939" s="588" t="n"/>
      <c r="CA939" s="588" t="n"/>
      <c r="CB939" s="588" t="n"/>
      <c r="CC939" s="588" t="n"/>
      <c r="CD939" s="588" t="n"/>
      <c r="CE939" s="588" t="n"/>
      <c r="CF939" s="588" t="n"/>
      <c r="CG939" s="588" t="n"/>
      <c r="CH939" s="588" t="n"/>
      <c r="CI939" s="588" t="n"/>
      <c r="CJ939" s="588" t="n"/>
      <c r="CK939" s="588" t="n"/>
      <c r="CL939" s="588" t="n"/>
      <c r="CM939" s="588" t="n"/>
      <c r="CN939" s="588" t="n"/>
      <c r="CO939" s="588" t="n"/>
      <c r="CP939" s="588" t="n"/>
      <c r="CQ939" s="588" t="n"/>
      <c r="CR939" s="588" t="n"/>
      <c r="CS939" s="588" t="n"/>
      <c r="CT939" s="588" t="n"/>
      <c r="CU939" s="588" t="n"/>
      <c r="CV939" s="588" t="n"/>
      <c r="CW939" s="588" t="n"/>
      <c r="CX939" s="588" t="n"/>
      <c r="CY939" s="588" t="n"/>
      <c r="CZ939" s="588" t="n"/>
      <c r="DA939" s="588" t="n"/>
      <c r="DB939" s="588" t="n"/>
      <c r="DC939" s="588" t="n"/>
      <c r="DD939" s="588" t="n"/>
      <c r="DE939" s="588" t="n"/>
      <c r="DF939" s="588" t="n"/>
      <c r="DG939" s="588" t="n"/>
      <c r="DH939" s="588" t="n"/>
      <c r="DI939" s="588" t="n"/>
      <c r="DJ939" s="588" t="n"/>
      <c r="DK939" s="588" t="n"/>
      <c r="DL939" s="588" t="n"/>
      <c r="DM939" s="588" t="n"/>
      <c r="DN939" s="588" t="n"/>
      <c r="DO939" s="588" t="n"/>
      <c r="DP939" s="588" t="n"/>
      <c r="DQ939" s="588" t="n"/>
      <c r="DR939" s="588" t="n"/>
      <c r="DS939" s="588" t="n"/>
      <c r="DT939" s="588" t="n"/>
      <c r="DU939" s="588" t="n"/>
    </row>
    <row r="940">
      <c r="A940" s="737" t="n"/>
      <c r="B940" s="737" t="n"/>
      <c r="C940" s="737" t="n"/>
      <c r="D940" s="737" t="n"/>
      <c r="E940" s="737" t="n"/>
      <c r="F940" s="737" t="n"/>
      <c r="G940" s="737" t="n"/>
      <c r="H940" s="737" t="n"/>
      <c r="I940" s="737" t="n"/>
      <c r="J940" s="737" t="n"/>
      <c r="K940" s="737" t="n"/>
      <c r="L940" s="737" t="n"/>
      <c r="M940" s="737" t="n"/>
      <c r="N940" s="737" t="n"/>
      <c r="O940" s="737" t="n"/>
      <c r="P940" s="737" t="n"/>
      <c r="Q940" s="737" t="n"/>
      <c r="R940" s="737" t="n"/>
      <c r="S940" s="737" t="n"/>
      <c r="T940" s="737" t="n"/>
      <c r="U940" s="737" t="n"/>
      <c r="V940" s="737" t="n"/>
      <c r="W940" s="737" t="n"/>
      <c r="X940" s="737" t="n"/>
      <c r="Y940" s="737" t="n"/>
      <c r="Z940" s="737" t="n"/>
      <c r="AA940" s="737" t="n"/>
      <c r="AB940" s="737" t="n"/>
      <c r="AC940" s="737" t="n"/>
      <c r="AD940" s="737" t="n"/>
      <c r="AE940" s="737" t="n"/>
      <c r="AF940" s="737" t="n"/>
      <c r="AG940" s="737" t="n"/>
      <c r="AH940" s="737" t="n"/>
      <c r="AI940" s="737" t="n"/>
      <c r="AJ940" s="737" t="n"/>
      <c r="AK940" s="588" t="n"/>
      <c r="AL940" s="588" t="n"/>
      <c r="AM940" s="588" t="n"/>
      <c r="AN940" s="588" t="n"/>
      <c r="AO940" s="588" t="n"/>
      <c r="AP940" s="588" t="n"/>
      <c r="AQ940" s="588" t="n"/>
      <c r="AR940" s="588" t="n"/>
      <c r="AS940" s="588" t="n"/>
      <c r="AT940" s="588" t="n"/>
      <c r="AU940" s="588" t="n"/>
      <c r="AV940" s="588" t="n"/>
      <c r="AW940" s="588" t="n"/>
      <c r="AX940" s="588" t="n"/>
      <c r="AY940" s="588" t="n"/>
      <c r="AZ940" s="588" t="n"/>
      <c r="BA940" s="588" t="n"/>
      <c r="BB940" s="588" t="n"/>
      <c r="BC940" s="588" t="n"/>
      <c r="BD940" s="588" t="n"/>
      <c r="BE940" s="588" t="n"/>
      <c r="BF940" s="588" t="n"/>
      <c r="BG940" s="588" t="n"/>
      <c r="BH940" s="588" t="n"/>
      <c r="BI940" s="588" t="n"/>
      <c r="BJ940" s="588" t="n"/>
      <c r="BK940" s="588" t="n"/>
      <c r="BL940" s="588" t="n"/>
      <c r="BM940" s="588" t="n"/>
      <c r="BN940" s="588" t="n"/>
      <c r="BO940" s="588" t="n"/>
      <c r="BP940" s="588" t="n"/>
      <c r="BQ940" s="588" t="n"/>
      <c r="BR940" s="588" t="n"/>
      <c r="BS940" s="588" t="n"/>
      <c r="BT940" s="588" t="n"/>
      <c r="BU940" s="588" t="n"/>
      <c r="BV940" s="588" t="n"/>
      <c r="BW940" s="588" t="n"/>
      <c r="BX940" s="588" t="n"/>
      <c r="BY940" s="588" t="n"/>
      <c r="BZ940" s="588" t="n"/>
      <c r="CA940" s="588" t="n"/>
      <c r="CB940" s="588" t="n"/>
      <c r="CC940" s="588" t="n"/>
      <c r="CD940" s="588" t="n"/>
      <c r="CE940" s="588" t="n"/>
      <c r="CF940" s="588" t="n"/>
      <c r="CG940" s="588" t="n"/>
      <c r="CH940" s="588" t="n"/>
      <c r="CI940" s="588" t="n"/>
      <c r="CJ940" s="588" t="n"/>
      <c r="CK940" s="588" t="n"/>
      <c r="CL940" s="588" t="n"/>
      <c r="CM940" s="588" t="n"/>
      <c r="CN940" s="588" t="n"/>
      <c r="CO940" s="588" t="n"/>
      <c r="CP940" s="588" t="n"/>
      <c r="CQ940" s="588" t="n"/>
      <c r="CR940" s="588" t="n"/>
      <c r="CS940" s="588" t="n"/>
      <c r="CT940" s="588" t="n"/>
      <c r="CU940" s="588" t="n"/>
      <c r="CV940" s="588" t="n"/>
      <c r="CW940" s="588" t="n"/>
      <c r="CX940" s="588" t="n"/>
      <c r="CY940" s="588" t="n"/>
      <c r="CZ940" s="588" t="n"/>
      <c r="DA940" s="588" t="n"/>
      <c r="DB940" s="588" t="n"/>
      <c r="DC940" s="588" t="n"/>
      <c r="DD940" s="588" t="n"/>
      <c r="DE940" s="588" t="n"/>
      <c r="DF940" s="588" t="n"/>
      <c r="DG940" s="588" t="n"/>
      <c r="DH940" s="588" t="n"/>
      <c r="DI940" s="588" t="n"/>
      <c r="DJ940" s="588" t="n"/>
      <c r="DK940" s="588" t="n"/>
      <c r="DL940" s="588" t="n"/>
      <c r="DM940" s="588" t="n"/>
      <c r="DN940" s="588" t="n"/>
      <c r="DO940" s="588" t="n"/>
      <c r="DP940" s="588" t="n"/>
      <c r="DQ940" s="588" t="n"/>
      <c r="DR940" s="588" t="n"/>
      <c r="DS940" s="588" t="n"/>
      <c r="DT940" s="588" t="n"/>
      <c r="DU940" s="588" t="n"/>
    </row>
    <row r="941">
      <c r="A941" s="737" t="n"/>
      <c r="B941" s="737" t="n"/>
      <c r="C941" s="737" t="n"/>
      <c r="D941" s="737" t="n"/>
      <c r="E941" s="737" t="n"/>
      <c r="F941" s="737" t="n"/>
      <c r="G941" s="737" t="n"/>
      <c r="H941" s="737" t="n"/>
      <c r="I941" s="737" t="n"/>
      <c r="J941" s="737" t="n"/>
      <c r="K941" s="737" t="n"/>
      <c r="L941" s="737" t="n"/>
      <c r="M941" s="737" t="n"/>
      <c r="N941" s="737" t="n"/>
      <c r="O941" s="737" t="n"/>
      <c r="P941" s="737" t="n"/>
      <c r="Q941" s="737" t="n"/>
      <c r="R941" s="737" t="n"/>
      <c r="S941" s="737" t="n"/>
      <c r="T941" s="737" t="n"/>
      <c r="U941" s="737" t="n"/>
      <c r="V941" s="737" t="n"/>
      <c r="W941" s="737" t="n"/>
      <c r="X941" s="737" t="n"/>
      <c r="Y941" s="737" t="n"/>
      <c r="Z941" s="737" t="n"/>
      <c r="AA941" s="737" t="n"/>
      <c r="AB941" s="737" t="n"/>
      <c r="AC941" s="737" t="n"/>
      <c r="AD941" s="737" t="n"/>
      <c r="AE941" s="737" t="n"/>
      <c r="AF941" s="737" t="n"/>
      <c r="AG941" s="737" t="n"/>
      <c r="AH941" s="737" t="n"/>
      <c r="AI941" s="737" t="n"/>
      <c r="AJ941" s="737" t="n"/>
      <c r="AK941" s="588" t="n"/>
      <c r="AL941" s="588" t="n"/>
      <c r="AM941" s="588" t="n"/>
      <c r="AN941" s="588" t="n"/>
      <c r="AO941" s="588" t="n"/>
      <c r="AP941" s="588" t="n"/>
      <c r="AQ941" s="588" t="n"/>
      <c r="AR941" s="588" t="n"/>
      <c r="AS941" s="588" t="n"/>
      <c r="AT941" s="588" t="n"/>
      <c r="AU941" s="588" t="n"/>
      <c r="AV941" s="588" t="n"/>
      <c r="AW941" s="588" t="n"/>
      <c r="AX941" s="588" t="n"/>
      <c r="AY941" s="588" t="n"/>
      <c r="AZ941" s="588" t="n"/>
      <c r="BA941" s="588" t="n"/>
      <c r="BB941" s="588" t="n"/>
      <c r="BC941" s="588" t="n"/>
      <c r="BD941" s="588" t="n"/>
      <c r="BE941" s="588" t="n"/>
      <c r="BF941" s="588" t="n"/>
      <c r="BG941" s="588" t="n"/>
      <c r="BH941" s="588" t="n"/>
      <c r="BI941" s="588" t="n"/>
      <c r="BJ941" s="588" t="n"/>
      <c r="BK941" s="588" t="n"/>
      <c r="BL941" s="588" t="n"/>
      <c r="BM941" s="588" t="n"/>
      <c r="BN941" s="588" t="n"/>
      <c r="BO941" s="588" t="n"/>
      <c r="BP941" s="588" t="n"/>
      <c r="BQ941" s="588" t="n"/>
      <c r="BR941" s="588" t="n"/>
      <c r="BS941" s="588" t="n"/>
      <c r="BT941" s="588" t="n"/>
      <c r="BU941" s="588" t="n"/>
      <c r="BV941" s="588" t="n"/>
      <c r="BW941" s="588" t="n"/>
      <c r="BX941" s="588" t="n"/>
      <c r="BY941" s="588" t="n"/>
      <c r="BZ941" s="588" t="n"/>
      <c r="CA941" s="588" t="n"/>
      <c r="CB941" s="588" t="n"/>
      <c r="CC941" s="588" t="n"/>
      <c r="CD941" s="588" t="n"/>
      <c r="CE941" s="588" t="n"/>
      <c r="CF941" s="588" t="n"/>
      <c r="CG941" s="588" t="n"/>
      <c r="CH941" s="588" t="n"/>
      <c r="CI941" s="588" t="n"/>
      <c r="CJ941" s="588" t="n"/>
      <c r="CK941" s="588" t="n"/>
      <c r="CL941" s="588" t="n"/>
      <c r="CM941" s="588" t="n"/>
      <c r="CN941" s="588" t="n"/>
      <c r="CO941" s="588" t="n"/>
      <c r="CP941" s="588" t="n"/>
      <c r="CQ941" s="588" t="n"/>
      <c r="CR941" s="588" t="n"/>
      <c r="CS941" s="588" t="n"/>
      <c r="CT941" s="588" t="n"/>
      <c r="CU941" s="588" t="n"/>
      <c r="CV941" s="588" t="n"/>
      <c r="CW941" s="588" t="n"/>
      <c r="CX941" s="588" t="n"/>
      <c r="CY941" s="588" t="n"/>
      <c r="CZ941" s="588" t="n"/>
      <c r="DA941" s="588" t="n"/>
      <c r="DB941" s="588" t="n"/>
      <c r="DC941" s="588" t="n"/>
      <c r="DD941" s="588" t="n"/>
      <c r="DE941" s="588" t="n"/>
      <c r="DF941" s="588" t="n"/>
      <c r="DG941" s="588" t="n"/>
      <c r="DH941" s="588" t="n"/>
      <c r="DI941" s="588" t="n"/>
      <c r="DJ941" s="588" t="n"/>
      <c r="DK941" s="588" t="n"/>
      <c r="DL941" s="588" t="n"/>
      <c r="DM941" s="588" t="n"/>
      <c r="DN941" s="588" t="n"/>
      <c r="DO941" s="588" t="n"/>
      <c r="DP941" s="588" t="n"/>
      <c r="DQ941" s="588" t="n"/>
      <c r="DR941" s="588" t="n"/>
      <c r="DS941" s="588" t="n"/>
      <c r="DT941" s="588" t="n"/>
      <c r="DU941" s="588" t="n"/>
    </row>
    <row r="942">
      <c r="A942" s="737" t="n"/>
      <c r="B942" s="737" t="n"/>
      <c r="C942" s="737" t="n"/>
      <c r="D942" s="737" t="n"/>
      <c r="E942" s="737" t="n"/>
      <c r="F942" s="737" t="n"/>
      <c r="G942" s="737" t="n"/>
      <c r="H942" s="737" t="n"/>
      <c r="I942" s="737" t="n"/>
      <c r="J942" s="737" t="n"/>
      <c r="K942" s="737" t="n"/>
      <c r="L942" s="737" t="n"/>
      <c r="M942" s="737" t="n"/>
      <c r="N942" s="737" t="n"/>
      <c r="O942" s="737" t="n"/>
      <c r="P942" s="737" t="n"/>
      <c r="Q942" s="737" t="n"/>
      <c r="R942" s="737" t="n"/>
      <c r="S942" s="737" t="n"/>
      <c r="T942" s="737" t="n"/>
      <c r="U942" s="737" t="n"/>
      <c r="V942" s="737" t="n"/>
      <c r="W942" s="737" t="n"/>
      <c r="X942" s="737" t="n"/>
      <c r="Y942" s="737" t="n"/>
      <c r="Z942" s="737" t="n"/>
      <c r="AA942" s="737" t="n"/>
      <c r="AB942" s="737" t="n"/>
      <c r="AC942" s="737" t="n"/>
      <c r="AD942" s="737" t="n"/>
      <c r="AE942" s="737" t="n"/>
      <c r="AF942" s="737" t="n"/>
      <c r="AG942" s="737" t="n"/>
      <c r="AH942" s="737" t="n"/>
      <c r="AI942" s="737" t="n"/>
      <c r="AJ942" s="737" t="n"/>
      <c r="AK942" s="588" t="n"/>
      <c r="AL942" s="588" t="n"/>
      <c r="AM942" s="588" t="n"/>
      <c r="AN942" s="588" t="n"/>
      <c r="AO942" s="588" t="n"/>
      <c r="AP942" s="588" t="n"/>
      <c r="AQ942" s="588" t="n"/>
      <c r="AR942" s="588" t="n"/>
      <c r="AS942" s="588" t="n"/>
      <c r="AT942" s="588" t="n"/>
      <c r="AU942" s="588" t="n"/>
      <c r="AV942" s="588" t="n"/>
      <c r="AW942" s="588" t="n"/>
      <c r="AX942" s="588" t="n"/>
      <c r="AY942" s="588" t="n"/>
      <c r="AZ942" s="588" t="n"/>
      <c r="BA942" s="588" t="n"/>
      <c r="BB942" s="588" t="n"/>
      <c r="BC942" s="588" t="n"/>
      <c r="BD942" s="588" t="n"/>
      <c r="BE942" s="588" t="n"/>
      <c r="BF942" s="588" t="n"/>
      <c r="BG942" s="588" t="n"/>
      <c r="BH942" s="588" t="n"/>
      <c r="BI942" s="588" t="n"/>
      <c r="BJ942" s="588" t="n"/>
      <c r="BK942" s="588" t="n"/>
      <c r="BL942" s="588" t="n"/>
      <c r="BM942" s="588" t="n"/>
      <c r="BN942" s="588" t="n"/>
      <c r="BO942" s="588" t="n"/>
      <c r="BP942" s="588" t="n"/>
      <c r="BQ942" s="588" t="n"/>
      <c r="BR942" s="588" t="n"/>
      <c r="BS942" s="588" t="n"/>
      <c r="BT942" s="588" t="n"/>
      <c r="BU942" s="588" t="n"/>
      <c r="BV942" s="588" t="n"/>
      <c r="BW942" s="588" t="n"/>
      <c r="BX942" s="588" t="n"/>
      <c r="BY942" s="588" t="n"/>
      <c r="BZ942" s="588" t="n"/>
      <c r="CA942" s="588" t="n"/>
      <c r="CB942" s="588" t="n"/>
      <c r="CC942" s="588" t="n"/>
      <c r="CD942" s="588" t="n"/>
      <c r="CE942" s="588" t="n"/>
      <c r="CF942" s="588" t="n"/>
      <c r="CG942" s="588" t="n"/>
      <c r="CH942" s="588" t="n"/>
      <c r="CI942" s="588" t="n"/>
      <c r="CJ942" s="588" t="n"/>
      <c r="CK942" s="588" t="n"/>
      <c r="CL942" s="588" t="n"/>
      <c r="CM942" s="588" t="n"/>
      <c r="CN942" s="588" t="n"/>
      <c r="CO942" s="588" t="n"/>
      <c r="CP942" s="588" t="n"/>
      <c r="CQ942" s="588" t="n"/>
      <c r="CR942" s="588" t="n"/>
      <c r="CS942" s="588" t="n"/>
      <c r="CT942" s="588" t="n"/>
      <c r="CU942" s="588" t="n"/>
      <c r="CV942" s="588" t="n"/>
      <c r="CW942" s="588" t="n"/>
      <c r="CX942" s="588" t="n"/>
      <c r="CY942" s="588" t="n"/>
      <c r="CZ942" s="588" t="n"/>
      <c r="DA942" s="588" t="n"/>
      <c r="DB942" s="588" t="n"/>
      <c r="DC942" s="588" t="n"/>
      <c r="DD942" s="588" t="n"/>
      <c r="DE942" s="588" t="n"/>
      <c r="DF942" s="588" t="n"/>
      <c r="DG942" s="588" t="n"/>
      <c r="DH942" s="588" t="n"/>
      <c r="DI942" s="588" t="n"/>
      <c r="DJ942" s="588" t="n"/>
      <c r="DK942" s="588" t="n"/>
      <c r="DL942" s="588" t="n"/>
      <c r="DM942" s="588" t="n"/>
      <c r="DN942" s="588" t="n"/>
      <c r="DO942" s="588" t="n"/>
      <c r="DP942" s="588" t="n"/>
      <c r="DQ942" s="588" t="n"/>
      <c r="DR942" s="588" t="n"/>
      <c r="DS942" s="588" t="n"/>
      <c r="DT942" s="588" t="n"/>
      <c r="DU942" s="588" t="n"/>
    </row>
    <row r="943">
      <c r="A943" s="737" t="n"/>
      <c r="B943" s="737" t="n"/>
      <c r="C943" s="737" t="n"/>
      <c r="D943" s="737" t="n"/>
      <c r="E943" s="737" t="n"/>
      <c r="F943" s="737" t="n"/>
      <c r="G943" s="737" t="n"/>
      <c r="H943" s="737" t="n"/>
      <c r="I943" s="737" t="n"/>
      <c r="J943" s="737" t="n"/>
      <c r="K943" s="737" t="n"/>
      <c r="L943" s="737" t="n"/>
      <c r="M943" s="737" t="n"/>
      <c r="N943" s="737" t="n"/>
      <c r="O943" s="737" t="n"/>
      <c r="P943" s="737" t="n"/>
      <c r="Q943" s="737" t="n"/>
      <c r="R943" s="737" t="n"/>
      <c r="S943" s="737" t="n"/>
      <c r="T943" s="737" t="n"/>
      <c r="U943" s="737" t="n"/>
      <c r="V943" s="737" t="n"/>
      <c r="W943" s="737" t="n"/>
      <c r="X943" s="737" t="n"/>
      <c r="Y943" s="737" t="n"/>
      <c r="Z943" s="737" t="n"/>
      <c r="AA943" s="737" t="n"/>
      <c r="AB943" s="737" t="n"/>
      <c r="AC943" s="737" t="n"/>
      <c r="AD943" s="737" t="n"/>
      <c r="AE943" s="737" t="n"/>
      <c r="AF943" s="737" t="n"/>
      <c r="AG943" s="737" t="n"/>
      <c r="AH943" s="737" t="n"/>
      <c r="AI943" s="737" t="n"/>
      <c r="AJ943" s="737" t="n"/>
      <c r="AK943" s="588" t="n"/>
      <c r="AL943" s="588" t="n"/>
      <c r="AM943" s="588" t="n"/>
      <c r="AN943" s="588" t="n"/>
      <c r="AO943" s="588" t="n"/>
      <c r="AP943" s="588" t="n"/>
      <c r="AQ943" s="588" t="n"/>
      <c r="AR943" s="588" t="n"/>
      <c r="AS943" s="588" t="n"/>
      <c r="AT943" s="588" t="n"/>
      <c r="AU943" s="588" t="n"/>
      <c r="AV943" s="588" t="n"/>
      <c r="AW943" s="588" t="n"/>
      <c r="AX943" s="588" t="n"/>
      <c r="AY943" s="588" t="n"/>
      <c r="AZ943" s="588" t="n"/>
      <c r="BA943" s="588" t="n"/>
      <c r="BB943" s="588" t="n"/>
      <c r="BC943" s="588" t="n"/>
      <c r="BD943" s="588" t="n"/>
      <c r="BE943" s="588" t="n"/>
      <c r="BF943" s="588" t="n"/>
      <c r="BG943" s="588" t="n"/>
      <c r="BH943" s="588" t="n"/>
      <c r="BI943" s="588" t="n"/>
      <c r="BJ943" s="588" t="n"/>
      <c r="BK943" s="588" t="n"/>
      <c r="BL943" s="588" t="n"/>
      <c r="BM943" s="588" t="n"/>
      <c r="BN943" s="588" t="n"/>
      <c r="BO943" s="588" t="n"/>
      <c r="BP943" s="588" t="n"/>
      <c r="BQ943" s="588" t="n"/>
      <c r="BR943" s="588" t="n"/>
      <c r="BS943" s="588" t="n"/>
      <c r="BT943" s="588" t="n"/>
      <c r="BU943" s="588" t="n"/>
      <c r="BV943" s="588" t="n"/>
      <c r="BW943" s="588" t="n"/>
      <c r="BX943" s="588" t="n"/>
      <c r="BY943" s="588" t="n"/>
      <c r="BZ943" s="588" t="n"/>
      <c r="CA943" s="588" t="n"/>
      <c r="CB943" s="588" t="n"/>
      <c r="CC943" s="588" t="n"/>
      <c r="CD943" s="588" t="n"/>
      <c r="CE943" s="588" t="n"/>
      <c r="CF943" s="588" t="n"/>
      <c r="CG943" s="588" t="n"/>
      <c r="CH943" s="588" t="n"/>
      <c r="CI943" s="588" t="n"/>
      <c r="CJ943" s="588" t="n"/>
      <c r="CK943" s="588" t="n"/>
      <c r="CL943" s="588" t="n"/>
      <c r="CM943" s="588" t="n"/>
      <c r="CN943" s="588" t="n"/>
      <c r="CO943" s="588" t="n"/>
      <c r="CP943" s="588" t="n"/>
      <c r="CQ943" s="588" t="n"/>
      <c r="CR943" s="588" t="n"/>
      <c r="CS943" s="588" t="n"/>
      <c r="CT943" s="588" t="n"/>
      <c r="CU943" s="588" t="n"/>
      <c r="CV943" s="588" t="n"/>
      <c r="CW943" s="588" t="n"/>
      <c r="CX943" s="588" t="n"/>
      <c r="CY943" s="588" t="n"/>
      <c r="CZ943" s="588" t="n"/>
      <c r="DA943" s="588" t="n"/>
      <c r="DB943" s="588" t="n"/>
      <c r="DC943" s="588" t="n"/>
      <c r="DD943" s="588" t="n"/>
      <c r="DE943" s="588" t="n"/>
      <c r="DF943" s="588" t="n"/>
      <c r="DG943" s="588" t="n"/>
      <c r="DH943" s="588" t="n"/>
      <c r="DI943" s="588" t="n"/>
      <c r="DJ943" s="588" t="n"/>
      <c r="DK943" s="588" t="n"/>
      <c r="DL943" s="588" t="n"/>
      <c r="DM943" s="588" t="n"/>
      <c r="DN943" s="588" t="n"/>
      <c r="DO943" s="588" t="n"/>
      <c r="DP943" s="588" t="n"/>
      <c r="DQ943" s="588" t="n"/>
      <c r="DR943" s="588" t="n"/>
      <c r="DS943" s="588" t="n"/>
      <c r="DT943" s="588" t="n"/>
      <c r="DU943" s="588" t="n"/>
    </row>
    <row r="944">
      <c r="A944" s="737" t="n"/>
      <c r="B944" s="737" t="n"/>
      <c r="C944" s="737" t="n"/>
      <c r="D944" s="737" t="n"/>
      <c r="E944" s="737" t="n"/>
      <c r="F944" s="737" t="n"/>
      <c r="G944" s="737" t="n"/>
      <c r="H944" s="737" t="n"/>
      <c r="I944" s="737" t="n"/>
      <c r="J944" s="737" t="n"/>
      <c r="K944" s="737" t="n"/>
      <c r="L944" s="737" t="n"/>
      <c r="M944" s="737" t="n"/>
      <c r="N944" s="737" t="n"/>
      <c r="O944" s="737" t="n"/>
      <c r="P944" s="737" t="n"/>
      <c r="Q944" s="737" t="n"/>
      <c r="R944" s="737" t="n"/>
      <c r="S944" s="737" t="n"/>
      <c r="T944" s="737" t="n"/>
      <c r="U944" s="737" t="n"/>
      <c r="V944" s="737" t="n"/>
      <c r="W944" s="737" t="n"/>
      <c r="X944" s="737" t="n"/>
      <c r="Y944" s="737" t="n"/>
      <c r="Z944" s="737" t="n"/>
      <c r="AA944" s="737" t="n"/>
      <c r="AB944" s="737" t="n"/>
      <c r="AC944" s="737" t="n"/>
      <c r="AD944" s="737" t="n"/>
      <c r="AE944" s="737" t="n"/>
      <c r="AF944" s="737" t="n"/>
      <c r="AG944" s="737" t="n"/>
      <c r="AH944" s="737" t="n"/>
      <c r="AI944" s="737" t="n"/>
      <c r="AJ944" s="737" t="n"/>
      <c r="AK944" s="588" t="n"/>
      <c r="AL944" s="588" t="n"/>
      <c r="AM944" s="588" t="n"/>
      <c r="AN944" s="588" t="n"/>
      <c r="AO944" s="588" t="n"/>
      <c r="AP944" s="588" t="n"/>
      <c r="AQ944" s="588" t="n"/>
      <c r="AR944" s="588" t="n"/>
      <c r="AS944" s="588" t="n"/>
      <c r="AT944" s="588" t="n"/>
      <c r="AU944" s="588" t="n"/>
      <c r="AV944" s="588" t="n"/>
      <c r="AW944" s="588" t="n"/>
      <c r="AX944" s="588" t="n"/>
      <c r="AY944" s="588" t="n"/>
      <c r="AZ944" s="588" t="n"/>
      <c r="BA944" s="588" t="n"/>
      <c r="BB944" s="588" t="n"/>
      <c r="BC944" s="588" t="n"/>
      <c r="BD944" s="588" t="n"/>
      <c r="BE944" s="588" t="n"/>
      <c r="BF944" s="588" t="n"/>
      <c r="BG944" s="588" t="n"/>
      <c r="BH944" s="588" t="n"/>
      <c r="BI944" s="588" t="n"/>
      <c r="BJ944" s="588" t="n"/>
      <c r="BK944" s="588" t="n"/>
      <c r="BL944" s="588" t="n"/>
      <c r="BM944" s="588" t="n"/>
      <c r="BN944" s="588" t="n"/>
      <c r="BO944" s="588" t="n"/>
      <c r="BP944" s="588" t="n"/>
      <c r="BQ944" s="588" t="n"/>
      <c r="BR944" s="588" t="n"/>
      <c r="BS944" s="588" t="n"/>
      <c r="BT944" s="588" t="n"/>
      <c r="BU944" s="588" t="n"/>
      <c r="BV944" s="588" t="n"/>
      <c r="BW944" s="588" t="n"/>
      <c r="BX944" s="588" t="n"/>
      <c r="BY944" s="588" t="n"/>
      <c r="BZ944" s="588" t="n"/>
      <c r="CA944" s="588" t="n"/>
      <c r="CB944" s="588" t="n"/>
      <c r="CC944" s="588" t="n"/>
      <c r="CD944" s="588" t="n"/>
      <c r="CE944" s="588" t="n"/>
      <c r="CF944" s="588" t="n"/>
      <c r="CG944" s="588" t="n"/>
      <c r="CH944" s="588" t="n"/>
      <c r="CI944" s="588" t="n"/>
      <c r="CJ944" s="588" t="n"/>
      <c r="CK944" s="588" t="n"/>
      <c r="CL944" s="588" t="n"/>
      <c r="CM944" s="588" t="n"/>
      <c r="CN944" s="588" t="n"/>
      <c r="CO944" s="588" t="n"/>
      <c r="CP944" s="588" t="n"/>
      <c r="CQ944" s="588" t="n"/>
      <c r="CR944" s="588" t="n"/>
      <c r="CS944" s="588" t="n"/>
      <c r="CT944" s="588" t="n"/>
      <c r="CU944" s="588" t="n"/>
      <c r="CV944" s="588" t="n"/>
      <c r="CW944" s="588" t="n"/>
      <c r="CX944" s="588" t="n"/>
      <c r="CY944" s="588" t="n"/>
      <c r="CZ944" s="588" t="n"/>
      <c r="DA944" s="588" t="n"/>
      <c r="DB944" s="588" t="n"/>
      <c r="DC944" s="588" t="n"/>
      <c r="DD944" s="588" t="n"/>
      <c r="DE944" s="588" t="n"/>
      <c r="DF944" s="588" t="n"/>
      <c r="DG944" s="588" t="n"/>
      <c r="DH944" s="588" t="n"/>
      <c r="DI944" s="588" t="n"/>
      <c r="DJ944" s="588" t="n"/>
      <c r="DK944" s="588" t="n"/>
      <c r="DL944" s="588" t="n"/>
      <c r="DM944" s="588" t="n"/>
      <c r="DN944" s="588" t="n"/>
      <c r="DO944" s="588" t="n"/>
      <c r="DP944" s="588" t="n"/>
      <c r="DQ944" s="588" t="n"/>
      <c r="DR944" s="588" t="n"/>
      <c r="DS944" s="588" t="n"/>
      <c r="DT944" s="588" t="n"/>
      <c r="DU944" s="588" t="n"/>
    </row>
    <row r="945">
      <c r="A945" s="737" t="n"/>
      <c r="B945" s="737" t="n"/>
      <c r="C945" s="737" t="n"/>
      <c r="D945" s="737" t="n"/>
      <c r="E945" s="737" t="n"/>
      <c r="F945" s="737" t="n"/>
      <c r="G945" s="737" t="n"/>
      <c r="H945" s="737" t="n"/>
      <c r="I945" s="737" t="n"/>
      <c r="J945" s="737" t="n"/>
      <c r="K945" s="737" t="n"/>
      <c r="L945" s="737" t="n"/>
      <c r="M945" s="737" t="n"/>
      <c r="N945" s="737" t="n"/>
      <c r="O945" s="737" t="n"/>
      <c r="P945" s="737" t="n"/>
      <c r="Q945" s="737" t="n"/>
      <c r="R945" s="737" t="n"/>
      <c r="S945" s="737" t="n"/>
      <c r="T945" s="737" t="n"/>
      <c r="U945" s="737" t="n"/>
      <c r="V945" s="737" t="n"/>
      <c r="W945" s="737" t="n"/>
      <c r="X945" s="737" t="n"/>
      <c r="Y945" s="737" t="n"/>
      <c r="Z945" s="737" t="n"/>
      <c r="AA945" s="737" t="n"/>
      <c r="AB945" s="737" t="n"/>
      <c r="AC945" s="737" t="n"/>
      <c r="AD945" s="737" t="n"/>
      <c r="AE945" s="737" t="n"/>
      <c r="AF945" s="737" t="n"/>
      <c r="AG945" s="737" t="n"/>
      <c r="AH945" s="737" t="n"/>
      <c r="AI945" s="737" t="n"/>
      <c r="AJ945" s="737" t="n"/>
      <c r="AK945" s="588" t="n"/>
      <c r="AL945" s="588" t="n"/>
      <c r="AM945" s="588" t="n"/>
      <c r="AN945" s="588" t="n"/>
      <c r="AO945" s="588" t="n"/>
      <c r="AP945" s="588" t="n"/>
      <c r="AQ945" s="588" t="n"/>
      <c r="AR945" s="588" t="n"/>
      <c r="AS945" s="588" t="n"/>
      <c r="AT945" s="588" t="n"/>
      <c r="AU945" s="588" t="n"/>
      <c r="AV945" s="588" t="n"/>
      <c r="AW945" s="588" t="n"/>
      <c r="AX945" s="588" t="n"/>
      <c r="AY945" s="588" t="n"/>
      <c r="AZ945" s="588" t="n"/>
      <c r="BA945" s="588" t="n"/>
      <c r="BB945" s="588" t="n"/>
      <c r="BC945" s="588" t="n"/>
      <c r="BD945" s="588" t="n"/>
      <c r="BE945" s="588" t="n"/>
      <c r="BF945" s="588" t="n"/>
      <c r="BG945" s="588" t="n"/>
      <c r="BH945" s="588" t="n"/>
      <c r="BI945" s="588" t="n"/>
      <c r="BJ945" s="588" t="n"/>
      <c r="BK945" s="588" t="n"/>
      <c r="BL945" s="588" t="n"/>
      <c r="BM945" s="588" t="n"/>
      <c r="BN945" s="588" t="n"/>
      <c r="BO945" s="588" t="n"/>
      <c r="BP945" s="588" t="n"/>
      <c r="BQ945" s="588" t="n"/>
      <c r="BR945" s="588" t="n"/>
      <c r="BS945" s="588" t="n"/>
      <c r="BT945" s="588" t="n"/>
      <c r="BU945" s="588" t="n"/>
      <c r="BV945" s="588" t="n"/>
      <c r="BW945" s="588" t="n"/>
      <c r="BX945" s="588" t="n"/>
      <c r="BY945" s="588" t="n"/>
      <c r="BZ945" s="588" t="n"/>
      <c r="CA945" s="588" t="n"/>
      <c r="CB945" s="588" t="n"/>
      <c r="CC945" s="588" t="n"/>
      <c r="CD945" s="588" t="n"/>
      <c r="CE945" s="588" t="n"/>
      <c r="CF945" s="588" t="n"/>
      <c r="CG945" s="588" t="n"/>
      <c r="CH945" s="588" t="n"/>
      <c r="CI945" s="588" t="n"/>
      <c r="CJ945" s="588" t="n"/>
      <c r="CK945" s="588" t="n"/>
      <c r="CL945" s="588" t="n"/>
      <c r="CM945" s="588" t="n"/>
      <c r="CN945" s="588" t="n"/>
      <c r="CO945" s="588" t="n"/>
      <c r="CP945" s="588" t="n"/>
      <c r="CQ945" s="588" t="n"/>
      <c r="CR945" s="588" t="n"/>
      <c r="CS945" s="588" t="n"/>
      <c r="CT945" s="588" t="n"/>
      <c r="CU945" s="588" t="n"/>
      <c r="CV945" s="588" t="n"/>
      <c r="CW945" s="588" t="n"/>
      <c r="CX945" s="588" t="n"/>
      <c r="CY945" s="588" t="n"/>
      <c r="CZ945" s="588" t="n"/>
      <c r="DA945" s="588" t="n"/>
      <c r="DB945" s="588" t="n"/>
      <c r="DC945" s="588" t="n"/>
      <c r="DD945" s="588" t="n"/>
      <c r="DE945" s="588" t="n"/>
      <c r="DF945" s="588" t="n"/>
      <c r="DG945" s="588" t="n"/>
      <c r="DH945" s="588" t="n"/>
      <c r="DI945" s="588" t="n"/>
      <c r="DJ945" s="588" t="n"/>
      <c r="DK945" s="588" t="n"/>
      <c r="DL945" s="588" t="n"/>
      <c r="DM945" s="588" t="n"/>
      <c r="DN945" s="588" t="n"/>
      <c r="DO945" s="588" t="n"/>
      <c r="DP945" s="588" t="n"/>
      <c r="DQ945" s="588" t="n"/>
      <c r="DR945" s="588" t="n"/>
      <c r="DS945" s="588" t="n"/>
      <c r="DT945" s="588" t="n"/>
      <c r="DU945" s="588" t="n"/>
    </row>
    <row r="946">
      <c r="A946" s="737" t="n"/>
      <c r="B946" s="737" t="n"/>
      <c r="C946" s="737" t="n"/>
      <c r="D946" s="737" t="n"/>
      <c r="E946" s="737" t="n"/>
      <c r="F946" s="737" t="n"/>
      <c r="G946" s="737" t="n"/>
      <c r="H946" s="737" t="n"/>
      <c r="I946" s="737" t="n"/>
      <c r="J946" s="737" t="n"/>
      <c r="K946" s="737" t="n"/>
      <c r="L946" s="737" t="n"/>
      <c r="M946" s="737" t="n"/>
      <c r="N946" s="737" t="n"/>
      <c r="O946" s="737" t="n"/>
      <c r="P946" s="737" t="n"/>
      <c r="Q946" s="737" t="n"/>
      <c r="R946" s="737" t="n"/>
      <c r="S946" s="737" t="n"/>
      <c r="T946" s="737" t="n"/>
      <c r="U946" s="737" t="n"/>
      <c r="V946" s="737" t="n"/>
      <c r="W946" s="737" t="n"/>
      <c r="X946" s="737" t="n"/>
      <c r="Y946" s="737" t="n"/>
      <c r="Z946" s="737" t="n"/>
      <c r="AA946" s="737" t="n"/>
      <c r="AB946" s="737" t="n"/>
      <c r="AC946" s="737" t="n"/>
      <c r="AD946" s="737" t="n"/>
      <c r="AE946" s="737" t="n"/>
      <c r="AF946" s="737" t="n"/>
      <c r="AG946" s="737" t="n"/>
      <c r="AH946" s="737" t="n"/>
      <c r="AI946" s="737" t="n"/>
      <c r="AJ946" s="737" t="n"/>
      <c r="AK946" s="588" t="n"/>
      <c r="AL946" s="588" t="n"/>
      <c r="AM946" s="588" t="n"/>
      <c r="AN946" s="588" t="n"/>
      <c r="AO946" s="588" t="n"/>
      <c r="AP946" s="588" t="n"/>
      <c r="AQ946" s="588" t="n"/>
      <c r="AR946" s="588" t="n"/>
      <c r="AS946" s="588" t="n"/>
      <c r="AT946" s="588" t="n"/>
      <c r="AU946" s="588" t="n"/>
      <c r="AV946" s="588" t="n"/>
      <c r="AW946" s="588" t="n"/>
      <c r="AX946" s="588" t="n"/>
      <c r="AY946" s="588" t="n"/>
      <c r="AZ946" s="588" t="n"/>
      <c r="BA946" s="588" t="n"/>
      <c r="BB946" s="588" t="n"/>
      <c r="BC946" s="588" t="n"/>
      <c r="BD946" s="588" t="n"/>
      <c r="BE946" s="588" t="n"/>
      <c r="BF946" s="588" t="n"/>
      <c r="BG946" s="588" t="n"/>
      <c r="BH946" s="588" t="n"/>
      <c r="BI946" s="588" t="n"/>
      <c r="BJ946" s="588" t="n"/>
      <c r="BK946" s="588" t="n"/>
      <c r="BL946" s="588" t="n"/>
      <c r="BM946" s="588" t="n"/>
      <c r="BN946" s="588" t="n"/>
      <c r="BO946" s="588" t="n"/>
      <c r="BP946" s="588" t="n"/>
      <c r="BQ946" s="588" t="n"/>
      <c r="BR946" s="588" t="n"/>
      <c r="BS946" s="588" t="n"/>
      <c r="BT946" s="588" t="n"/>
      <c r="BU946" s="588" t="n"/>
      <c r="BV946" s="588" t="n"/>
      <c r="BW946" s="588" t="n"/>
      <c r="BX946" s="588" t="n"/>
      <c r="BY946" s="588" t="n"/>
      <c r="BZ946" s="588" t="n"/>
      <c r="CA946" s="588" t="n"/>
      <c r="CB946" s="588" t="n"/>
      <c r="CC946" s="588" t="n"/>
      <c r="CD946" s="588" t="n"/>
      <c r="CE946" s="588" t="n"/>
      <c r="CF946" s="588" t="n"/>
      <c r="CG946" s="588" t="n"/>
      <c r="CH946" s="588" t="n"/>
      <c r="CI946" s="588" t="n"/>
      <c r="CJ946" s="588" t="n"/>
      <c r="CK946" s="588" t="n"/>
      <c r="CL946" s="588" t="n"/>
      <c r="CM946" s="588" t="n"/>
      <c r="CN946" s="588" t="n"/>
      <c r="CO946" s="588" t="n"/>
      <c r="CP946" s="588" t="n"/>
      <c r="CQ946" s="588" t="n"/>
      <c r="CR946" s="588" t="n"/>
      <c r="CS946" s="588" t="n"/>
      <c r="CT946" s="588" t="n"/>
      <c r="CU946" s="588" t="n"/>
      <c r="CV946" s="588" t="n"/>
      <c r="CW946" s="588" t="n"/>
      <c r="CX946" s="588" t="n"/>
      <c r="CY946" s="588" t="n"/>
      <c r="CZ946" s="588" t="n"/>
      <c r="DA946" s="588" t="n"/>
      <c r="DB946" s="588" t="n"/>
      <c r="DC946" s="588" t="n"/>
      <c r="DD946" s="588" t="n"/>
      <c r="DE946" s="588" t="n"/>
      <c r="DF946" s="588" t="n"/>
      <c r="DG946" s="588" t="n"/>
      <c r="DH946" s="588" t="n"/>
      <c r="DI946" s="588" t="n"/>
      <c r="DJ946" s="588" t="n"/>
      <c r="DK946" s="588" t="n"/>
      <c r="DL946" s="588" t="n"/>
      <c r="DM946" s="588" t="n"/>
      <c r="DN946" s="588" t="n"/>
      <c r="DO946" s="588" t="n"/>
      <c r="DP946" s="588" t="n"/>
      <c r="DQ946" s="588" t="n"/>
      <c r="DR946" s="588" t="n"/>
      <c r="DS946" s="588" t="n"/>
      <c r="DT946" s="588" t="n"/>
      <c r="DU946" s="588" t="n"/>
    </row>
    <row r="947">
      <c r="A947" s="737" t="n"/>
      <c r="B947" s="737" t="n"/>
      <c r="C947" s="737" t="n"/>
      <c r="D947" s="737" t="n"/>
      <c r="E947" s="737" t="n"/>
      <c r="F947" s="737" t="n"/>
      <c r="G947" s="737" t="n"/>
      <c r="H947" s="737" t="n"/>
      <c r="I947" s="737" t="n"/>
      <c r="J947" s="737" t="n"/>
      <c r="K947" s="737" t="n"/>
      <c r="L947" s="737" t="n"/>
      <c r="M947" s="737" t="n"/>
      <c r="N947" s="737" t="n"/>
      <c r="O947" s="737" t="n"/>
      <c r="P947" s="737" t="n"/>
      <c r="Q947" s="737" t="n"/>
      <c r="R947" s="737" t="n"/>
      <c r="S947" s="737" t="n"/>
      <c r="T947" s="737" t="n"/>
      <c r="U947" s="737" t="n"/>
      <c r="V947" s="737" t="n"/>
      <c r="W947" s="737" t="n"/>
      <c r="X947" s="737" t="n"/>
      <c r="Y947" s="737" t="n"/>
      <c r="Z947" s="737" t="n"/>
      <c r="AA947" s="737" t="n"/>
      <c r="AB947" s="737" t="n"/>
      <c r="AC947" s="737" t="n"/>
      <c r="AD947" s="737" t="n"/>
      <c r="AE947" s="737" t="n"/>
      <c r="AF947" s="737" t="n"/>
      <c r="AG947" s="737" t="n"/>
      <c r="AH947" s="737" t="n"/>
      <c r="AI947" s="737" t="n"/>
      <c r="AJ947" s="737" t="n"/>
      <c r="AK947" s="588" t="n"/>
      <c r="AL947" s="588" t="n"/>
      <c r="AM947" s="588" t="n"/>
      <c r="AN947" s="588" t="n"/>
      <c r="AO947" s="588" t="n"/>
      <c r="AP947" s="588" t="n"/>
      <c r="AQ947" s="588" t="n"/>
      <c r="AR947" s="588" t="n"/>
      <c r="AS947" s="588" t="n"/>
      <c r="AT947" s="588" t="n"/>
      <c r="AU947" s="588" t="n"/>
      <c r="AV947" s="588" t="n"/>
      <c r="AW947" s="588" t="n"/>
      <c r="AX947" s="588" t="n"/>
      <c r="AY947" s="588" t="n"/>
      <c r="AZ947" s="588" t="n"/>
      <c r="BA947" s="588" t="n"/>
      <c r="BB947" s="588" t="n"/>
      <c r="BC947" s="588" t="n"/>
      <c r="BD947" s="588" t="n"/>
      <c r="BE947" s="588" t="n"/>
      <c r="BF947" s="588" t="n"/>
      <c r="BG947" s="588" t="n"/>
      <c r="BH947" s="588" t="n"/>
      <c r="BI947" s="588" t="n"/>
      <c r="BJ947" s="588" t="n"/>
      <c r="BK947" s="588" t="n"/>
      <c r="BL947" s="588" t="n"/>
      <c r="BM947" s="588" t="n"/>
      <c r="BN947" s="588" t="n"/>
      <c r="BO947" s="588" t="n"/>
      <c r="BP947" s="588" t="n"/>
      <c r="BQ947" s="588" t="n"/>
      <c r="BR947" s="588" t="n"/>
      <c r="BS947" s="588" t="n"/>
      <c r="BT947" s="588" t="n"/>
      <c r="BU947" s="588" t="n"/>
      <c r="BV947" s="588" t="n"/>
      <c r="BW947" s="588" t="n"/>
      <c r="BX947" s="588" t="n"/>
      <c r="BY947" s="588" t="n"/>
      <c r="BZ947" s="588" t="n"/>
      <c r="CA947" s="588" t="n"/>
      <c r="CB947" s="588" t="n"/>
      <c r="CC947" s="588" t="n"/>
      <c r="CD947" s="588" t="n"/>
      <c r="CE947" s="588" t="n"/>
      <c r="CF947" s="588" t="n"/>
      <c r="CG947" s="588" t="n"/>
      <c r="CH947" s="588" t="n"/>
      <c r="CI947" s="588" t="n"/>
      <c r="CJ947" s="588" t="n"/>
      <c r="CK947" s="588" t="n"/>
      <c r="CL947" s="588" t="n"/>
      <c r="CM947" s="588" t="n"/>
      <c r="CN947" s="588" t="n"/>
      <c r="CO947" s="588" t="n"/>
      <c r="CP947" s="588" t="n"/>
      <c r="CQ947" s="588" t="n"/>
      <c r="CR947" s="588" t="n"/>
      <c r="CS947" s="588" t="n"/>
      <c r="CT947" s="588" t="n"/>
      <c r="CU947" s="588" t="n"/>
      <c r="CV947" s="588" t="n"/>
      <c r="CW947" s="588" t="n"/>
      <c r="CX947" s="588" t="n"/>
      <c r="CY947" s="588" t="n"/>
      <c r="CZ947" s="588" t="n"/>
      <c r="DA947" s="588" t="n"/>
      <c r="DB947" s="588" t="n"/>
      <c r="DC947" s="588" t="n"/>
      <c r="DD947" s="588" t="n"/>
      <c r="DE947" s="588" t="n"/>
      <c r="DF947" s="588" t="n"/>
      <c r="DG947" s="588" t="n"/>
      <c r="DH947" s="588" t="n"/>
      <c r="DI947" s="588" t="n"/>
      <c r="DJ947" s="588" t="n"/>
      <c r="DK947" s="588" t="n"/>
      <c r="DL947" s="588" t="n"/>
      <c r="DM947" s="588" t="n"/>
      <c r="DN947" s="588" t="n"/>
      <c r="DO947" s="588" t="n"/>
      <c r="DP947" s="588" t="n"/>
      <c r="DQ947" s="588" t="n"/>
      <c r="DR947" s="588" t="n"/>
      <c r="DS947" s="588" t="n"/>
      <c r="DT947" s="588" t="n"/>
      <c r="DU947" s="588" t="n"/>
    </row>
    <row r="948">
      <c r="A948" s="737" t="n"/>
      <c r="B948" s="737" t="n"/>
      <c r="C948" s="737" t="n"/>
      <c r="D948" s="737" t="n"/>
      <c r="E948" s="737" t="n"/>
      <c r="F948" s="737" t="n"/>
      <c r="G948" s="737" t="n"/>
      <c r="H948" s="737" t="n"/>
      <c r="I948" s="737" t="n"/>
      <c r="J948" s="737" t="n"/>
      <c r="K948" s="737" t="n"/>
      <c r="L948" s="737" t="n"/>
      <c r="M948" s="737" t="n"/>
      <c r="N948" s="737" t="n"/>
      <c r="O948" s="737" t="n"/>
      <c r="P948" s="737" t="n"/>
      <c r="Q948" s="737" t="n"/>
      <c r="R948" s="737" t="n"/>
      <c r="S948" s="737" t="n"/>
      <c r="T948" s="737" t="n"/>
      <c r="U948" s="737" t="n"/>
      <c r="V948" s="737" t="n"/>
      <c r="W948" s="737" t="n"/>
      <c r="X948" s="737" t="n"/>
      <c r="Y948" s="737" t="n"/>
      <c r="Z948" s="737" t="n"/>
      <c r="AA948" s="737" t="n"/>
      <c r="AB948" s="737" t="n"/>
      <c r="AC948" s="737" t="n"/>
      <c r="AD948" s="737" t="n"/>
      <c r="AE948" s="737" t="n"/>
      <c r="AF948" s="737" t="n"/>
      <c r="AG948" s="737" t="n"/>
      <c r="AH948" s="737" t="n"/>
      <c r="AI948" s="737" t="n"/>
      <c r="AJ948" s="737" t="n"/>
      <c r="AK948" s="588" t="n"/>
      <c r="AL948" s="588" t="n"/>
      <c r="AM948" s="588" t="n"/>
      <c r="AN948" s="588" t="n"/>
      <c r="AO948" s="588" t="n"/>
      <c r="AP948" s="588" t="n"/>
      <c r="AQ948" s="588" t="n"/>
      <c r="AR948" s="588" t="n"/>
      <c r="AS948" s="588" t="n"/>
      <c r="AT948" s="588" t="n"/>
      <c r="AU948" s="588" t="n"/>
      <c r="AV948" s="588" t="n"/>
      <c r="AW948" s="588" t="n"/>
      <c r="AX948" s="588" t="n"/>
      <c r="AY948" s="588" t="n"/>
      <c r="AZ948" s="588" t="n"/>
      <c r="BA948" s="588" t="n"/>
      <c r="BB948" s="588" t="n"/>
      <c r="BC948" s="588" t="n"/>
      <c r="BD948" s="588" t="n"/>
      <c r="BE948" s="588" t="n"/>
      <c r="BF948" s="588" t="n"/>
      <c r="BG948" s="588" t="n"/>
      <c r="BH948" s="588" t="n"/>
      <c r="BI948" s="588" t="n"/>
      <c r="BJ948" s="588" t="n"/>
      <c r="BK948" s="588" t="n"/>
      <c r="BL948" s="588" t="n"/>
      <c r="BM948" s="588" t="n"/>
      <c r="BN948" s="588" t="n"/>
      <c r="BO948" s="588" t="n"/>
      <c r="BP948" s="588" t="n"/>
      <c r="BQ948" s="588" t="n"/>
      <c r="BR948" s="588" t="n"/>
      <c r="BS948" s="588" t="n"/>
      <c r="BT948" s="588" t="n"/>
      <c r="BU948" s="588" t="n"/>
      <c r="BV948" s="588" t="n"/>
      <c r="BW948" s="588" t="n"/>
      <c r="BX948" s="588" t="n"/>
      <c r="BY948" s="588" t="n"/>
      <c r="BZ948" s="588" t="n"/>
      <c r="CA948" s="588" t="n"/>
      <c r="CB948" s="588" t="n"/>
      <c r="CC948" s="588" t="n"/>
      <c r="CD948" s="588" t="n"/>
      <c r="CE948" s="588" t="n"/>
      <c r="CF948" s="588" t="n"/>
      <c r="CG948" s="588" t="n"/>
      <c r="CH948" s="588" t="n"/>
      <c r="CI948" s="588" t="n"/>
      <c r="CJ948" s="588" t="n"/>
      <c r="CK948" s="588" t="n"/>
      <c r="CL948" s="588" t="n"/>
      <c r="CM948" s="588" t="n"/>
      <c r="CN948" s="588" t="n"/>
      <c r="CO948" s="588" t="n"/>
      <c r="CP948" s="588" t="n"/>
      <c r="CQ948" s="588" t="n"/>
      <c r="CR948" s="588" t="n"/>
      <c r="CS948" s="588" t="n"/>
      <c r="CT948" s="588" t="n"/>
      <c r="CU948" s="588" t="n"/>
      <c r="CV948" s="588" t="n"/>
      <c r="CW948" s="588" t="n"/>
      <c r="CX948" s="588" t="n"/>
      <c r="CY948" s="588" t="n"/>
      <c r="CZ948" s="588" t="n"/>
      <c r="DA948" s="588" t="n"/>
      <c r="DB948" s="588" t="n"/>
      <c r="DC948" s="588" t="n"/>
      <c r="DD948" s="588" t="n"/>
      <c r="DE948" s="588" t="n"/>
      <c r="DF948" s="588" t="n"/>
      <c r="DG948" s="588" t="n"/>
      <c r="DH948" s="588" t="n"/>
      <c r="DI948" s="588" t="n"/>
      <c r="DJ948" s="588" t="n"/>
      <c r="DK948" s="588" t="n"/>
      <c r="DL948" s="588" t="n"/>
      <c r="DM948" s="588" t="n"/>
      <c r="DN948" s="588" t="n"/>
      <c r="DO948" s="588" t="n"/>
      <c r="DP948" s="588" t="n"/>
      <c r="DQ948" s="588" t="n"/>
      <c r="DR948" s="588" t="n"/>
      <c r="DS948" s="588" t="n"/>
      <c r="DT948" s="588" t="n"/>
      <c r="DU948" s="588" t="n"/>
    </row>
    <row r="949">
      <c r="A949" s="737" t="n"/>
      <c r="B949" s="737" t="n"/>
      <c r="C949" s="737" t="n"/>
      <c r="D949" s="737" t="n"/>
      <c r="E949" s="737" t="n"/>
      <c r="F949" s="737" t="n"/>
      <c r="G949" s="737" t="n"/>
      <c r="H949" s="737" t="n"/>
      <c r="I949" s="737" t="n"/>
      <c r="J949" s="737" t="n"/>
      <c r="K949" s="737" t="n"/>
      <c r="L949" s="737" t="n"/>
      <c r="M949" s="737" t="n"/>
      <c r="N949" s="737" t="n"/>
      <c r="O949" s="737" t="n"/>
      <c r="P949" s="737" t="n"/>
      <c r="Q949" s="737" t="n"/>
      <c r="R949" s="737" t="n"/>
      <c r="S949" s="737" t="n"/>
      <c r="T949" s="737" t="n"/>
      <c r="U949" s="737" t="n"/>
      <c r="V949" s="737" t="n"/>
      <c r="W949" s="737" t="n"/>
      <c r="X949" s="737" t="n"/>
      <c r="Y949" s="737" t="n"/>
      <c r="Z949" s="737" t="n"/>
      <c r="AA949" s="737" t="n"/>
      <c r="AB949" s="737" t="n"/>
      <c r="AC949" s="737" t="n"/>
      <c r="AD949" s="737" t="n"/>
      <c r="AE949" s="737" t="n"/>
      <c r="AF949" s="737" t="n"/>
      <c r="AG949" s="737" t="n"/>
      <c r="AH949" s="737" t="n"/>
      <c r="AI949" s="737" t="n"/>
      <c r="AJ949" s="737" t="n"/>
      <c r="AK949" s="588" t="n"/>
      <c r="AL949" s="588" t="n"/>
      <c r="AM949" s="588" t="n"/>
      <c r="AN949" s="588" t="n"/>
      <c r="AO949" s="588" t="n"/>
      <c r="AP949" s="588" t="n"/>
      <c r="AQ949" s="588" t="n"/>
      <c r="AR949" s="588" t="n"/>
      <c r="AS949" s="588" t="n"/>
      <c r="AT949" s="588" t="n"/>
      <c r="AU949" s="588" t="n"/>
      <c r="AV949" s="588" t="n"/>
      <c r="AW949" s="588" t="n"/>
      <c r="AX949" s="588" t="n"/>
      <c r="AY949" s="588" t="n"/>
      <c r="AZ949" s="588" t="n"/>
      <c r="BA949" s="588" t="n"/>
      <c r="BB949" s="588" t="n"/>
      <c r="BC949" s="588" t="n"/>
      <c r="BD949" s="588" t="n"/>
      <c r="BE949" s="588" t="n"/>
      <c r="BF949" s="588" t="n"/>
      <c r="BG949" s="588" t="n"/>
      <c r="BH949" s="588" t="n"/>
      <c r="BI949" s="588" t="n"/>
      <c r="BJ949" s="588" t="n"/>
      <c r="BK949" s="588" t="n"/>
      <c r="BL949" s="588" t="n"/>
      <c r="BM949" s="588" t="n"/>
      <c r="BN949" s="588" t="n"/>
      <c r="BO949" s="588" t="n"/>
      <c r="BP949" s="588" t="n"/>
      <c r="BQ949" s="588" t="n"/>
      <c r="BR949" s="588" t="n"/>
      <c r="BS949" s="588" t="n"/>
      <c r="BT949" s="588" t="n"/>
      <c r="BU949" s="588" t="n"/>
      <c r="BV949" s="588" t="n"/>
      <c r="BW949" s="588" t="n"/>
      <c r="BX949" s="588" t="n"/>
      <c r="BY949" s="588" t="n"/>
      <c r="BZ949" s="588" t="n"/>
      <c r="CA949" s="588" t="n"/>
      <c r="CB949" s="588" t="n"/>
      <c r="CC949" s="588" t="n"/>
      <c r="CD949" s="588" t="n"/>
      <c r="CE949" s="588" t="n"/>
      <c r="CF949" s="588" t="n"/>
      <c r="CG949" s="588" t="n"/>
      <c r="CH949" s="588" t="n"/>
      <c r="CI949" s="588" t="n"/>
      <c r="CJ949" s="588" t="n"/>
      <c r="CK949" s="588" t="n"/>
      <c r="CL949" s="588" t="n"/>
      <c r="CM949" s="588" t="n"/>
      <c r="CN949" s="588" t="n"/>
      <c r="CO949" s="588" t="n"/>
      <c r="CP949" s="588" t="n"/>
      <c r="CQ949" s="588" t="n"/>
      <c r="CR949" s="588" t="n"/>
      <c r="CS949" s="588" t="n"/>
      <c r="CT949" s="588" t="n"/>
      <c r="CU949" s="588" t="n"/>
      <c r="CV949" s="588" t="n"/>
      <c r="CW949" s="588" t="n"/>
      <c r="CX949" s="588" t="n"/>
      <c r="CY949" s="588" t="n"/>
      <c r="CZ949" s="588" t="n"/>
      <c r="DA949" s="588" t="n"/>
      <c r="DB949" s="588" t="n"/>
      <c r="DC949" s="588" t="n"/>
      <c r="DD949" s="588" t="n"/>
      <c r="DE949" s="588" t="n"/>
      <c r="DF949" s="588" t="n"/>
      <c r="DG949" s="588" t="n"/>
      <c r="DH949" s="588" t="n"/>
      <c r="DI949" s="588" t="n"/>
      <c r="DJ949" s="588" t="n"/>
      <c r="DK949" s="588" t="n"/>
      <c r="DL949" s="588" t="n"/>
      <c r="DM949" s="588" t="n"/>
      <c r="DN949" s="588" t="n"/>
      <c r="DO949" s="588" t="n"/>
      <c r="DP949" s="588" t="n"/>
      <c r="DQ949" s="588" t="n"/>
      <c r="DR949" s="588" t="n"/>
      <c r="DS949" s="588" t="n"/>
      <c r="DT949" s="588" t="n"/>
      <c r="DU949" s="588" t="n"/>
    </row>
    <row r="950">
      <c r="A950" s="737" t="n"/>
      <c r="B950" s="737" t="n"/>
      <c r="C950" s="737" t="n"/>
      <c r="D950" s="737" t="n"/>
      <c r="E950" s="737" t="n"/>
      <c r="F950" s="737" t="n"/>
      <c r="G950" s="737" t="n"/>
      <c r="H950" s="737" t="n"/>
      <c r="I950" s="737" t="n"/>
      <c r="J950" s="737" t="n"/>
      <c r="K950" s="737" t="n"/>
      <c r="L950" s="737" t="n"/>
      <c r="M950" s="737" t="n"/>
      <c r="N950" s="737" t="n"/>
      <c r="O950" s="737" t="n"/>
      <c r="P950" s="737" t="n"/>
      <c r="Q950" s="737" t="n"/>
      <c r="R950" s="737" t="n"/>
      <c r="S950" s="737" t="n"/>
      <c r="T950" s="737" t="n"/>
      <c r="U950" s="737" t="n"/>
      <c r="V950" s="737" t="n"/>
      <c r="W950" s="737" t="n"/>
      <c r="X950" s="737" t="n"/>
      <c r="Y950" s="737" t="n"/>
      <c r="Z950" s="737" t="n"/>
      <c r="AA950" s="737" t="n"/>
      <c r="AB950" s="737" t="n"/>
      <c r="AC950" s="737" t="n"/>
      <c r="AD950" s="737" t="n"/>
      <c r="AE950" s="737" t="n"/>
      <c r="AF950" s="737" t="n"/>
      <c r="AG950" s="737" t="n"/>
      <c r="AH950" s="737" t="n"/>
      <c r="AI950" s="737" t="n"/>
      <c r="AJ950" s="737" t="n"/>
      <c r="AK950" s="588" t="n"/>
      <c r="AL950" s="588" t="n"/>
      <c r="AM950" s="588" t="n"/>
      <c r="AN950" s="588" t="n"/>
      <c r="AO950" s="588" t="n"/>
      <c r="AP950" s="588" t="n"/>
      <c r="AQ950" s="588" t="n"/>
      <c r="AR950" s="588" t="n"/>
      <c r="AS950" s="588" t="n"/>
      <c r="AT950" s="588" t="n"/>
      <c r="AU950" s="588" t="n"/>
      <c r="AV950" s="588" t="n"/>
      <c r="AW950" s="588" t="n"/>
      <c r="AX950" s="588" t="n"/>
      <c r="AY950" s="588" t="n"/>
      <c r="AZ950" s="588" t="n"/>
      <c r="BA950" s="588" t="n"/>
      <c r="BB950" s="588" t="n"/>
      <c r="BC950" s="588" t="n"/>
      <c r="BD950" s="588" t="n"/>
      <c r="BE950" s="588" t="n"/>
      <c r="BF950" s="588" t="n"/>
      <c r="BG950" s="588" t="n"/>
      <c r="BH950" s="588" t="n"/>
      <c r="BI950" s="588" t="n"/>
      <c r="BJ950" s="588" t="n"/>
      <c r="BK950" s="588" t="n"/>
      <c r="BL950" s="588" t="n"/>
      <c r="BM950" s="588" t="n"/>
      <c r="BN950" s="588" t="n"/>
      <c r="BO950" s="588" t="n"/>
      <c r="BP950" s="588" t="n"/>
      <c r="BQ950" s="588" t="n"/>
      <c r="BR950" s="588" t="n"/>
      <c r="BS950" s="588" t="n"/>
      <c r="BT950" s="588" t="n"/>
      <c r="BU950" s="588" t="n"/>
      <c r="BV950" s="588" t="n"/>
      <c r="BW950" s="588" t="n"/>
      <c r="BX950" s="588" t="n"/>
      <c r="BY950" s="588" t="n"/>
      <c r="BZ950" s="588" t="n"/>
      <c r="CA950" s="588" t="n"/>
      <c r="CB950" s="588" t="n"/>
      <c r="CC950" s="588" t="n"/>
      <c r="CD950" s="588" t="n"/>
      <c r="CE950" s="588" t="n"/>
      <c r="CF950" s="588" t="n"/>
      <c r="CG950" s="588" t="n"/>
      <c r="CH950" s="588" t="n"/>
      <c r="CI950" s="588" t="n"/>
      <c r="CJ950" s="588" t="n"/>
      <c r="CK950" s="588" t="n"/>
      <c r="CL950" s="588" t="n"/>
      <c r="CM950" s="588" t="n"/>
      <c r="CN950" s="588" t="n"/>
      <c r="CO950" s="588" t="n"/>
      <c r="CP950" s="588" t="n"/>
      <c r="CQ950" s="588" t="n"/>
      <c r="CR950" s="588" t="n"/>
      <c r="CS950" s="588" t="n"/>
      <c r="CT950" s="588" t="n"/>
      <c r="CU950" s="588" t="n"/>
      <c r="CV950" s="588" t="n"/>
      <c r="CW950" s="588" t="n"/>
      <c r="CX950" s="588" t="n"/>
      <c r="CY950" s="588" t="n"/>
      <c r="CZ950" s="588" t="n"/>
      <c r="DA950" s="588" t="n"/>
      <c r="DB950" s="588" t="n"/>
      <c r="DC950" s="588" t="n"/>
      <c r="DD950" s="588" t="n"/>
      <c r="DE950" s="588" t="n"/>
      <c r="DF950" s="588" t="n"/>
      <c r="DG950" s="588" t="n"/>
      <c r="DH950" s="588" t="n"/>
      <c r="DI950" s="588" t="n"/>
      <c r="DJ950" s="588" t="n"/>
      <c r="DK950" s="588" t="n"/>
      <c r="DL950" s="588" t="n"/>
      <c r="DM950" s="588" t="n"/>
      <c r="DN950" s="588" t="n"/>
      <c r="DO950" s="588" t="n"/>
      <c r="DP950" s="588" t="n"/>
      <c r="DQ950" s="588" t="n"/>
      <c r="DR950" s="588" t="n"/>
      <c r="DS950" s="588" t="n"/>
      <c r="DT950" s="588" t="n"/>
      <c r="DU950" s="588" t="n"/>
    </row>
    <row r="951">
      <c r="A951" s="737" t="n"/>
      <c r="B951" s="737" t="n"/>
      <c r="C951" s="737" t="n"/>
      <c r="D951" s="737" t="n"/>
      <c r="E951" s="737" t="n"/>
      <c r="F951" s="737" t="n"/>
      <c r="G951" s="737" t="n"/>
      <c r="H951" s="737" t="n"/>
      <c r="I951" s="737" t="n"/>
      <c r="J951" s="737" t="n"/>
      <c r="K951" s="737" t="n"/>
      <c r="L951" s="737" t="n"/>
      <c r="M951" s="737" t="n"/>
      <c r="N951" s="737" t="n"/>
      <c r="O951" s="737" t="n"/>
      <c r="P951" s="737" t="n"/>
      <c r="Q951" s="737" t="n"/>
      <c r="R951" s="737" t="n"/>
      <c r="S951" s="737" t="n"/>
      <c r="T951" s="737" t="n"/>
      <c r="U951" s="737" t="n"/>
      <c r="V951" s="737" t="n"/>
      <c r="W951" s="737" t="n"/>
      <c r="X951" s="737" t="n"/>
      <c r="Y951" s="737" t="n"/>
      <c r="Z951" s="737" t="n"/>
      <c r="AA951" s="737" t="n"/>
      <c r="AB951" s="737" t="n"/>
      <c r="AC951" s="737" t="n"/>
      <c r="AD951" s="737" t="n"/>
      <c r="AE951" s="737" t="n"/>
      <c r="AF951" s="737" t="n"/>
      <c r="AG951" s="737" t="n"/>
      <c r="AH951" s="737" t="n"/>
      <c r="AI951" s="737" t="n"/>
      <c r="AJ951" s="737" t="n"/>
      <c r="AK951" s="588" t="n"/>
      <c r="AL951" s="588" t="n"/>
      <c r="AM951" s="588" t="n"/>
      <c r="AN951" s="588" t="n"/>
      <c r="AO951" s="588" t="n"/>
      <c r="AP951" s="588" t="n"/>
      <c r="AQ951" s="588" t="n"/>
      <c r="AR951" s="588" t="n"/>
      <c r="AS951" s="588" t="n"/>
      <c r="AT951" s="588" t="n"/>
      <c r="AU951" s="588" t="n"/>
      <c r="AV951" s="588" t="n"/>
      <c r="AW951" s="588" t="n"/>
      <c r="AX951" s="588" t="n"/>
      <c r="AY951" s="588" t="n"/>
      <c r="AZ951" s="588" t="n"/>
      <c r="BA951" s="588" t="n"/>
      <c r="BB951" s="588" t="n"/>
      <c r="BC951" s="588" t="n"/>
      <c r="BD951" s="588" t="n"/>
      <c r="BE951" s="588" t="n"/>
      <c r="BF951" s="588" t="n"/>
      <c r="BG951" s="588" t="n"/>
      <c r="BH951" s="588" t="n"/>
      <c r="BI951" s="588" t="n"/>
      <c r="BJ951" s="588" t="n"/>
      <c r="BK951" s="588" t="n"/>
      <c r="BL951" s="588" t="n"/>
      <c r="BM951" s="588" t="n"/>
      <c r="BN951" s="588" t="n"/>
      <c r="BO951" s="588" t="n"/>
      <c r="BP951" s="588" t="n"/>
      <c r="BQ951" s="588" t="n"/>
      <c r="BR951" s="588" t="n"/>
      <c r="BS951" s="588" t="n"/>
      <c r="BT951" s="588" t="n"/>
      <c r="BU951" s="588" t="n"/>
      <c r="BV951" s="588" t="n"/>
      <c r="BW951" s="588" t="n"/>
      <c r="BX951" s="588" t="n"/>
      <c r="BY951" s="588" t="n"/>
      <c r="BZ951" s="588" t="n"/>
      <c r="CA951" s="588" t="n"/>
      <c r="CB951" s="588" t="n"/>
      <c r="CC951" s="588" t="n"/>
      <c r="CD951" s="588" t="n"/>
      <c r="CE951" s="588" t="n"/>
      <c r="CF951" s="588" t="n"/>
      <c r="CG951" s="588" t="n"/>
      <c r="CH951" s="588" t="n"/>
      <c r="CI951" s="588" t="n"/>
      <c r="CJ951" s="588" t="n"/>
      <c r="CK951" s="588" t="n"/>
      <c r="CL951" s="588" t="n"/>
      <c r="CM951" s="588" t="n"/>
      <c r="CN951" s="588" t="n"/>
      <c r="CO951" s="588" t="n"/>
      <c r="CP951" s="588" t="n"/>
      <c r="CQ951" s="588" t="n"/>
      <c r="CR951" s="588" t="n"/>
      <c r="CS951" s="588" t="n"/>
      <c r="CT951" s="588" t="n"/>
      <c r="CU951" s="588" t="n"/>
      <c r="CV951" s="588" t="n"/>
      <c r="CW951" s="588" t="n"/>
      <c r="CX951" s="588" t="n"/>
      <c r="CY951" s="588" t="n"/>
      <c r="CZ951" s="588" t="n"/>
      <c r="DA951" s="588" t="n"/>
      <c r="DB951" s="588" t="n"/>
      <c r="DC951" s="588" t="n"/>
      <c r="DD951" s="588" t="n"/>
      <c r="DE951" s="588" t="n"/>
      <c r="DF951" s="588" t="n"/>
      <c r="DG951" s="588" t="n"/>
      <c r="DH951" s="588" t="n"/>
      <c r="DI951" s="588" t="n"/>
      <c r="DJ951" s="588" t="n"/>
      <c r="DK951" s="588" t="n"/>
      <c r="DL951" s="588" t="n"/>
      <c r="DM951" s="588" t="n"/>
      <c r="DN951" s="588" t="n"/>
      <c r="DO951" s="588" t="n"/>
      <c r="DP951" s="588" t="n"/>
      <c r="DQ951" s="588" t="n"/>
      <c r="DR951" s="588" t="n"/>
      <c r="DS951" s="588" t="n"/>
      <c r="DT951" s="588" t="n"/>
      <c r="DU951" s="588" t="n"/>
    </row>
    <row r="952">
      <c r="A952" s="737" t="n"/>
      <c r="B952" s="737" t="n"/>
      <c r="C952" s="737" t="n"/>
      <c r="D952" s="737" t="n"/>
      <c r="E952" s="737" t="n"/>
      <c r="F952" s="737" t="n"/>
      <c r="G952" s="737" t="n"/>
      <c r="H952" s="737" t="n"/>
      <c r="I952" s="737" t="n"/>
      <c r="J952" s="737" t="n"/>
      <c r="K952" s="737" t="n"/>
      <c r="L952" s="737" t="n"/>
      <c r="M952" s="737" t="n"/>
      <c r="N952" s="737" t="n"/>
      <c r="O952" s="737" t="n"/>
      <c r="P952" s="737" t="n"/>
      <c r="Q952" s="737" t="n"/>
      <c r="R952" s="737" t="n"/>
      <c r="S952" s="737" t="n"/>
      <c r="T952" s="737" t="n"/>
      <c r="U952" s="737" t="n"/>
      <c r="V952" s="737" t="n"/>
      <c r="W952" s="737" t="n"/>
      <c r="X952" s="737" t="n"/>
      <c r="Y952" s="737" t="n"/>
      <c r="Z952" s="737" t="n"/>
      <c r="AA952" s="737" t="n"/>
      <c r="AB952" s="737" t="n"/>
      <c r="AC952" s="737" t="n"/>
      <c r="AD952" s="737" t="n"/>
      <c r="AE952" s="737" t="n"/>
      <c r="AF952" s="737" t="n"/>
      <c r="AG952" s="737" t="n"/>
      <c r="AH952" s="737" t="n"/>
      <c r="AI952" s="737" t="n"/>
      <c r="AJ952" s="737" t="n"/>
      <c r="AK952" s="588" t="n"/>
      <c r="AL952" s="588" t="n"/>
      <c r="AM952" s="588" t="n"/>
      <c r="AN952" s="588" t="n"/>
      <c r="AO952" s="588" t="n"/>
      <c r="AP952" s="588" t="n"/>
      <c r="AQ952" s="588" t="n"/>
      <c r="AR952" s="588" t="n"/>
      <c r="AS952" s="588" t="n"/>
      <c r="AT952" s="588" t="n"/>
      <c r="AU952" s="588" t="n"/>
      <c r="AV952" s="588" t="n"/>
      <c r="AW952" s="588" t="n"/>
      <c r="AX952" s="588" t="n"/>
      <c r="AY952" s="588" t="n"/>
      <c r="AZ952" s="588" t="n"/>
      <c r="BA952" s="588" t="n"/>
      <c r="BB952" s="588" t="n"/>
      <c r="BC952" s="588" t="n"/>
      <c r="BD952" s="588" t="n"/>
      <c r="BE952" s="588" t="n"/>
      <c r="BF952" s="588" t="n"/>
      <c r="BG952" s="588" t="n"/>
      <c r="BH952" s="588" t="n"/>
      <c r="BI952" s="588" t="n"/>
      <c r="BJ952" s="588" t="n"/>
      <c r="BK952" s="588" t="n"/>
      <c r="BL952" s="588" t="n"/>
      <c r="BM952" s="588" t="n"/>
      <c r="BN952" s="588" t="n"/>
      <c r="BO952" s="588" t="n"/>
      <c r="BP952" s="588" t="n"/>
      <c r="BQ952" s="588" t="n"/>
      <c r="BR952" s="588" t="n"/>
      <c r="BS952" s="588" t="n"/>
      <c r="BT952" s="588" t="n"/>
      <c r="BU952" s="588" t="n"/>
      <c r="BV952" s="588" t="n"/>
      <c r="BW952" s="588" t="n"/>
      <c r="BX952" s="588" t="n"/>
      <c r="BY952" s="588" t="n"/>
      <c r="BZ952" s="588" t="n"/>
      <c r="CA952" s="588" t="n"/>
      <c r="CB952" s="588" t="n"/>
      <c r="CC952" s="588" t="n"/>
      <c r="CD952" s="588" t="n"/>
      <c r="CE952" s="588" t="n"/>
      <c r="CF952" s="588" t="n"/>
      <c r="CG952" s="588" t="n"/>
      <c r="CH952" s="588" t="n"/>
      <c r="CI952" s="588" t="n"/>
      <c r="CJ952" s="588" t="n"/>
      <c r="CK952" s="588" t="n"/>
      <c r="CL952" s="588" t="n"/>
      <c r="CM952" s="588" t="n"/>
      <c r="CN952" s="588" t="n"/>
      <c r="CO952" s="588" t="n"/>
      <c r="CP952" s="588" t="n"/>
      <c r="CQ952" s="588" t="n"/>
      <c r="CR952" s="588" t="n"/>
      <c r="CS952" s="588" t="n"/>
      <c r="CT952" s="588" t="n"/>
      <c r="CU952" s="588" t="n"/>
      <c r="CV952" s="588" t="n"/>
      <c r="CW952" s="588" t="n"/>
      <c r="CX952" s="588" t="n"/>
      <c r="CY952" s="588" t="n"/>
      <c r="CZ952" s="588" t="n"/>
      <c r="DA952" s="588" t="n"/>
      <c r="DB952" s="588" t="n"/>
      <c r="DC952" s="588" t="n"/>
      <c r="DD952" s="588" t="n"/>
      <c r="DE952" s="588" t="n"/>
      <c r="DF952" s="588" t="n"/>
      <c r="DG952" s="588" t="n"/>
      <c r="DH952" s="588" t="n"/>
      <c r="DI952" s="588" t="n"/>
      <c r="DJ952" s="588" t="n"/>
      <c r="DK952" s="588" t="n"/>
      <c r="DL952" s="588" t="n"/>
      <c r="DM952" s="588" t="n"/>
      <c r="DN952" s="588" t="n"/>
      <c r="DO952" s="588" t="n"/>
      <c r="DP952" s="588" t="n"/>
      <c r="DQ952" s="588" t="n"/>
      <c r="DR952" s="588" t="n"/>
      <c r="DS952" s="588" t="n"/>
      <c r="DT952" s="588" t="n"/>
      <c r="DU952" s="588" t="n"/>
    </row>
    <row r="953">
      <c r="A953" s="737" t="n"/>
      <c r="B953" s="737" t="n"/>
      <c r="C953" s="737" t="n"/>
      <c r="D953" s="737" t="n"/>
      <c r="E953" s="737" t="n"/>
      <c r="F953" s="737" t="n"/>
      <c r="G953" s="737" t="n"/>
      <c r="H953" s="737" t="n"/>
      <c r="I953" s="737" t="n"/>
      <c r="J953" s="737" t="n"/>
      <c r="K953" s="737" t="n"/>
      <c r="L953" s="737" t="n"/>
      <c r="M953" s="737" t="n"/>
      <c r="N953" s="737" t="n"/>
      <c r="O953" s="737" t="n"/>
      <c r="P953" s="737" t="n"/>
      <c r="Q953" s="737" t="n"/>
      <c r="R953" s="737" t="n"/>
      <c r="S953" s="737" t="n"/>
      <c r="T953" s="737" t="n"/>
      <c r="U953" s="737" t="n"/>
      <c r="V953" s="737" t="n"/>
      <c r="W953" s="737" t="n"/>
      <c r="X953" s="737" t="n"/>
      <c r="Y953" s="737" t="n"/>
      <c r="Z953" s="737" t="n"/>
      <c r="AA953" s="737" t="n"/>
      <c r="AB953" s="737" t="n"/>
      <c r="AC953" s="737" t="n"/>
      <c r="AD953" s="737" t="n"/>
      <c r="AE953" s="737" t="n"/>
      <c r="AF953" s="737" t="n"/>
      <c r="AG953" s="737" t="n"/>
      <c r="AH953" s="737" t="n"/>
      <c r="AI953" s="737" t="n"/>
      <c r="AJ953" s="737" t="n"/>
      <c r="AK953" s="588" t="n"/>
      <c r="AL953" s="588" t="n"/>
      <c r="AM953" s="588" t="n"/>
      <c r="AN953" s="588" t="n"/>
      <c r="AO953" s="588" t="n"/>
      <c r="AP953" s="588" t="n"/>
      <c r="AQ953" s="588" t="n"/>
      <c r="AR953" s="588" t="n"/>
      <c r="AS953" s="588" t="n"/>
      <c r="AT953" s="588" t="n"/>
      <c r="AU953" s="588" t="n"/>
      <c r="AV953" s="588" t="n"/>
      <c r="AW953" s="588" t="n"/>
      <c r="AX953" s="588" t="n"/>
      <c r="AY953" s="588" t="n"/>
      <c r="AZ953" s="588" t="n"/>
      <c r="BA953" s="588" t="n"/>
      <c r="BB953" s="588" t="n"/>
      <c r="BC953" s="588" t="n"/>
      <c r="BD953" s="588" t="n"/>
      <c r="BE953" s="588" t="n"/>
      <c r="BF953" s="588" t="n"/>
      <c r="BG953" s="588" t="n"/>
      <c r="BH953" s="588" t="n"/>
      <c r="BI953" s="588" t="n"/>
      <c r="BJ953" s="588" t="n"/>
      <c r="BK953" s="588" t="n"/>
      <c r="BL953" s="588" t="n"/>
      <c r="BM953" s="588" t="n"/>
      <c r="BN953" s="588" t="n"/>
      <c r="BO953" s="588" t="n"/>
      <c r="BP953" s="588" t="n"/>
      <c r="BQ953" s="588" t="n"/>
      <c r="BR953" s="588" t="n"/>
      <c r="BS953" s="588" t="n"/>
      <c r="BT953" s="588" t="n"/>
      <c r="BU953" s="588" t="n"/>
      <c r="BV953" s="588" t="n"/>
      <c r="BW953" s="588" t="n"/>
      <c r="BX953" s="588" t="n"/>
      <c r="BY953" s="588" t="n"/>
      <c r="BZ953" s="588" t="n"/>
      <c r="CA953" s="588" t="n"/>
      <c r="CB953" s="588" t="n"/>
      <c r="CC953" s="588" t="n"/>
      <c r="CD953" s="588" t="n"/>
      <c r="CE953" s="588" t="n"/>
      <c r="CF953" s="588" t="n"/>
      <c r="CG953" s="588" t="n"/>
      <c r="CH953" s="588" t="n"/>
      <c r="CI953" s="588" t="n"/>
      <c r="CJ953" s="588" t="n"/>
      <c r="CK953" s="588" t="n"/>
      <c r="CL953" s="588" t="n"/>
      <c r="CM953" s="588" t="n"/>
      <c r="CN953" s="588" t="n"/>
      <c r="CO953" s="588" t="n"/>
      <c r="CP953" s="588" t="n"/>
      <c r="CQ953" s="588" t="n"/>
      <c r="CR953" s="588" t="n"/>
      <c r="CS953" s="588" t="n"/>
      <c r="CT953" s="588" t="n"/>
      <c r="CU953" s="588" t="n"/>
      <c r="CV953" s="588" t="n"/>
      <c r="CW953" s="588" t="n"/>
      <c r="CX953" s="588" t="n"/>
      <c r="CY953" s="588" t="n"/>
      <c r="CZ953" s="588" t="n"/>
      <c r="DA953" s="588" t="n"/>
      <c r="DB953" s="588" t="n"/>
      <c r="DC953" s="588" t="n"/>
      <c r="DD953" s="588" t="n"/>
      <c r="DE953" s="588" t="n"/>
      <c r="DF953" s="588" t="n"/>
      <c r="DG953" s="588" t="n"/>
      <c r="DH953" s="588" t="n"/>
      <c r="DI953" s="588" t="n"/>
      <c r="DJ953" s="588" t="n"/>
      <c r="DK953" s="588" t="n"/>
      <c r="DL953" s="588" t="n"/>
      <c r="DM953" s="588" t="n"/>
      <c r="DN953" s="588" t="n"/>
      <c r="DO953" s="588" t="n"/>
      <c r="DP953" s="588" t="n"/>
      <c r="DQ953" s="588" t="n"/>
      <c r="DR953" s="588" t="n"/>
      <c r="DS953" s="588" t="n"/>
      <c r="DT953" s="588" t="n"/>
      <c r="DU953" s="588" t="n"/>
    </row>
    <row r="954">
      <c r="A954" s="737" t="n"/>
      <c r="B954" s="737" t="n"/>
      <c r="C954" s="737" t="n"/>
      <c r="D954" s="737" t="n"/>
      <c r="E954" s="737" t="n"/>
      <c r="F954" s="737" t="n"/>
      <c r="G954" s="737" t="n"/>
      <c r="H954" s="737" t="n"/>
      <c r="I954" s="737" t="n"/>
      <c r="J954" s="737" t="n"/>
      <c r="K954" s="737" t="n"/>
      <c r="L954" s="737" t="n"/>
      <c r="M954" s="737" t="n"/>
      <c r="N954" s="737" t="n"/>
      <c r="O954" s="737" t="n"/>
      <c r="P954" s="737" t="n"/>
      <c r="Q954" s="737" t="n"/>
      <c r="R954" s="737" t="n"/>
      <c r="S954" s="737" t="n"/>
      <c r="T954" s="737" t="n"/>
      <c r="U954" s="737" t="n"/>
      <c r="V954" s="737" t="n"/>
      <c r="W954" s="737" t="n"/>
      <c r="X954" s="737" t="n"/>
      <c r="Y954" s="737" t="n"/>
      <c r="Z954" s="737" t="n"/>
      <c r="AA954" s="737" t="n"/>
      <c r="AB954" s="737" t="n"/>
      <c r="AC954" s="737" t="n"/>
      <c r="AD954" s="737" t="n"/>
      <c r="AE954" s="737" t="n"/>
      <c r="AF954" s="737" t="n"/>
      <c r="AG954" s="737" t="n"/>
      <c r="AH954" s="737" t="n"/>
      <c r="AI954" s="737" t="n"/>
      <c r="AJ954" s="737" t="n"/>
      <c r="AK954" s="588" t="n"/>
      <c r="AL954" s="588" t="n"/>
      <c r="AM954" s="588" t="n"/>
      <c r="AN954" s="588" t="n"/>
      <c r="AO954" s="588" t="n"/>
      <c r="AP954" s="588" t="n"/>
      <c r="AQ954" s="588" t="n"/>
      <c r="AR954" s="588" t="n"/>
      <c r="AS954" s="588" t="n"/>
      <c r="AT954" s="588" t="n"/>
      <c r="AU954" s="588" t="n"/>
      <c r="AV954" s="588" t="n"/>
      <c r="AW954" s="588" t="n"/>
      <c r="AX954" s="588" t="n"/>
      <c r="AY954" s="588" t="n"/>
      <c r="AZ954" s="588" t="n"/>
      <c r="BA954" s="588" t="n"/>
      <c r="BB954" s="588" t="n"/>
      <c r="BC954" s="588" t="n"/>
      <c r="BD954" s="588" t="n"/>
      <c r="BE954" s="588" t="n"/>
      <c r="BF954" s="588" t="n"/>
      <c r="BG954" s="588" t="n"/>
      <c r="BH954" s="588" t="n"/>
      <c r="BI954" s="588" t="n"/>
      <c r="BJ954" s="588" t="n"/>
      <c r="BK954" s="588" t="n"/>
      <c r="BL954" s="588" t="n"/>
      <c r="BM954" s="588" t="n"/>
      <c r="BN954" s="588" t="n"/>
      <c r="BO954" s="588" t="n"/>
      <c r="BP954" s="588" t="n"/>
      <c r="BQ954" s="588" t="n"/>
      <c r="BR954" s="588" t="n"/>
      <c r="BS954" s="588" t="n"/>
      <c r="BT954" s="588" t="n"/>
      <c r="BU954" s="588" t="n"/>
      <c r="BV954" s="588" t="n"/>
      <c r="BW954" s="588" t="n"/>
      <c r="BX954" s="588" t="n"/>
      <c r="BY954" s="588" t="n"/>
      <c r="BZ954" s="588" t="n"/>
      <c r="CA954" s="588" t="n"/>
      <c r="CB954" s="588" t="n"/>
      <c r="CC954" s="588" t="n"/>
      <c r="CD954" s="588" t="n"/>
      <c r="CE954" s="588" t="n"/>
      <c r="CF954" s="588" t="n"/>
      <c r="CG954" s="588" t="n"/>
      <c r="CH954" s="588" t="n"/>
      <c r="CI954" s="588" t="n"/>
      <c r="CJ954" s="588" t="n"/>
      <c r="CK954" s="588" t="n"/>
      <c r="CL954" s="588" t="n"/>
      <c r="CM954" s="588" t="n"/>
      <c r="CN954" s="588" t="n"/>
      <c r="CO954" s="588" t="n"/>
      <c r="CP954" s="588" t="n"/>
      <c r="CQ954" s="588" t="n"/>
      <c r="CR954" s="588" t="n"/>
      <c r="CS954" s="588" t="n"/>
      <c r="CT954" s="588" t="n"/>
      <c r="CU954" s="588" t="n"/>
      <c r="CV954" s="588" t="n"/>
      <c r="CW954" s="588" t="n"/>
      <c r="CX954" s="588" t="n"/>
      <c r="CY954" s="588" t="n"/>
      <c r="CZ954" s="588" t="n"/>
      <c r="DA954" s="588" t="n"/>
      <c r="DB954" s="588" t="n"/>
      <c r="DC954" s="588" t="n"/>
      <c r="DD954" s="588" t="n"/>
      <c r="DE954" s="588" t="n"/>
      <c r="DF954" s="588" t="n"/>
      <c r="DG954" s="588" t="n"/>
      <c r="DH954" s="588" t="n"/>
      <c r="DI954" s="588" t="n"/>
      <c r="DJ954" s="588" t="n"/>
      <c r="DK954" s="588" t="n"/>
      <c r="DL954" s="588" t="n"/>
      <c r="DM954" s="588" t="n"/>
      <c r="DN954" s="588" t="n"/>
      <c r="DO954" s="588" t="n"/>
      <c r="DP954" s="588" t="n"/>
      <c r="DQ954" s="588" t="n"/>
      <c r="DR954" s="588" t="n"/>
      <c r="DS954" s="588" t="n"/>
      <c r="DT954" s="588" t="n"/>
      <c r="DU954" s="588" t="n"/>
    </row>
    <row r="955">
      <c r="A955" s="737" t="n"/>
      <c r="B955" s="737" t="n"/>
      <c r="C955" s="737" t="n"/>
      <c r="D955" s="737" t="n"/>
      <c r="E955" s="737" t="n"/>
      <c r="F955" s="737" t="n"/>
      <c r="G955" s="737" t="n"/>
      <c r="H955" s="737" t="n"/>
      <c r="I955" s="737" t="n"/>
      <c r="J955" s="737" t="n"/>
      <c r="K955" s="737" t="n"/>
      <c r="L955" s="737" t="n"/>
      <c r="M955" s="737" t="n"/>
      <c r="N955" s="737" t="n"/>
      <c r="O955" s="737" t="n"/>
      <c r="P955" s="737" t="n"/>
      <c r="Q955" s="737" t="n"/>
      <c r="R955" s="737" t="n"/>
      <c r="S955" s="737" t="n"/>
      <c r="T955" s="737" t="n"/>
      <c r="U955" s="737" t="n"/>
      <c r="V955" s="737" t="n"/>
      <c r="W955" s="737" t="n"/>
      <c r="X955" s="737" t="n"/>
      <c r="Y955" s="737" t="n"/>
      <c r="Z955" s="737" t="n"/>
      <c r="AA955" s="737" t="n"/>
      <c r="AB955" s="737" t="n"/>
      <c r="AC955" s="737" t="n"/>
      <c r="AD955" s="737" t="n"/>
      <c r="AE955" s="737" t="n"/>
      <c r="AF955" s="737" t="n"/>
      <c r="AG955" s="737" t="n"/>
      <c r="AH955" s="737" t="n"/>
      <c r="AI955" s="737" t="n"/>
      <c r="AJ955" s="737" t="n"/>
      <c r="AK955" s="588" t="n"/>
      <c r="AL955" s="588" t="n"/>
      <c r="AM955" s="588" t="n"/>
      <c r="AN955" s="588" t="n"/>
      <c r="AO955" s="588" t="n"/>
      <c r="AP955" s="588" t="n"/>
      <c r="AQ955" s="588" t="n"/>
      <c r="AR955" s="588" t="n"/>
      <c r="AS955" s="588" t="n"/>
      <c r="AT955" s="588" t="n"/>
      <c r="AU955" s="588" t="n"/>
      <c r="AV955" s="588" t="n"/>
      <c r="AW955" s="588" t="n"/>
      <c r="AX955" s="588" t="n"/>
      <c r="AY955" s="588" t="n"/>
      <c r="AZ955" s="588" t="n"/>
      <c r="BA955" s="588" t="n"/>
      <c r="BB955" s="588" t="n"/>
      <c r="BC955" s="588" t="n"/>
      <c r="BD955" s="588" t="n"/>
      <c r="BE955" s="588" t="n"/>
      <c r="BF955" s="588" t="n"/>
      <c r="BG955" s="588" t="n"/>
      <c r="BH955" s="588" t="n"/>
      <c r="BI955" s="588" t="n"/>
      <c r="BJ955" s="588" t="n"/>
      <c r="BK955" s="588" t="n"/>
      <c r="BL955" s="588" t="n"/>
      <c r="BM955" s="588" t="n"/>
      <c r="BN955" s="588" t="n"/>
      <c r="BO955" s="588" t="n"/>
      <c r="BP955" s="588" t="n"/>
      <c r="BQ955" s="588" t="n"/>
      <c r="BR955" s="588" t="n"/>
      <c r="BS955" s="588" t="n"/>
      <c r="BT955" s="588" t="n"/>
      <c r="BU955" s="588" t="n"/>
      <c r="BV955" s="588" t="n"/>
      <c r="BW955" s="588" t="n"/>
      <c r="BX955" s="588" t="n"/>
      <c r="BY955" s="588" t="n"/>
      <c r="BZ955" s="588" t="n"/>
      <c r="CA955" s="588" t="n"/>
      <c r="CB955" s="588" t="n"/>
      <c r="CC955" s="588" t="n"/>
      <c r="CD955" s="588" t="n"/>
      <c r="CE955" s="588" t="n"/>
      <c r="CF955" s="588" t="n"/>
      <c r="CG955" s="588" t="n"/>
      <c r="CH955" s="588" t="n"/>
      <c r="CI955" s="588" t="n"/>
      <c r="CJ955" s="588" t="n"/>
      <c r="CK955" s="588" t="n"/>
      <c r="CL955" s="588" t="n"/>
      <c r="CM955" s="588" t="n"/>
      <c r="CN955" s="588" t="n"/>
      <c r="CO955" s="588" t="n"/>
      <c r="CP955" s="588" t="n"/>
      <c r="CQ955" s="588" t="n"/>
      <c r="CR955" s="588" t="n"/>
      <c r="CS955" s="588" t="n"/>
      <c r="CT955" s="588" t="n"/>
      <c r="CU955" s="588" t="n"/>
      <c r="CV955" s="588" t="n"/>
      <c r="CW955" s="588" t="n"/>
      <c r="CX955" s="588" t="n"/>
      <c r="CY955" s="588" t="n"/>
      <c r="CZ955" s="588" t="n"/>
      <c r="DA955" s="588" t="n"/>
      <c r="DB955" s="588" t="n"/>
      <c r="DC955" s="588" t="n"/>
      <c r="DD955" s="588" t="n"/>
      <c r="DE955" s="588" t="n"/>
      <c r="DF955" s="588" t="n"/>
      <c r="DG955" s="588" t="n"/>
      <c r="DH955" s="588" t="n"/>
      <c r="DI955" s="588" t="n"/>
      <c r="DJ955" s="588" t="n"/>
      <c r="DK955" s="588" t="n"/>
      <c r="DL955" s="588" t="n"/>
      <c r="DM955" s="588" t="n"/>
      <c r="DN955" s="588" t="n"/>
      <c r="DO955" s="588" t="n"/>
      <c r="DP955" s="588" t="n"/>
      <c r="DQ955" s="588" t="n"/>
      <c r="DR955" s="588" t="n"/>
      <c r="DS955" s="588" t="n"/>
      <c r="DT955" s="588" t="n"/>
      <c r="DU955" s="588" t="n"/>
    </row>
    <row r="956">
      <c r="A956" s="737" t="n"/>
      <c r="B956" s="737" t="n"/>
      <c r="C956" s="737" t="n"/>
      <c r="D956" s="737" t="n"/>
      <c r="E956" s="737" t="n"/>
      <c r="F956" s="737" t="n"/>
      <c r="G956" s="737" t="n"/>
      <c r="H956" s="737" t="n"/>
      <c r="I956" s="737" t="n"/>
      <c r="J956" s="737" t="n"/>
      <c r="K956" s="737" t="n"/>
      <c r="L956" s="737" t="n"/>
      <c r="M956" s="737" t="n"/>
      <c r="N956" s="737" t="n"/>
      <c r="O956" s="737" t="n"/>
      <c r="P956" s="737" t="n"/>
      <c r="Q956" s="737" t="n"/>
      <c r="R956" s="737" t="n"/>
      <c r="S956" s="737" t="n"/>
      <c r="T956" s="737" t="n"/>
      <c r="U956" s="737" t="n"/>
      <c r="V956" s="737" t="n"/>
      <c r="W956" s="737" t="n"/>
      <c r="X956" s="737" t="n"/>
      <c r="Y956" s="737" t="n"/>
      <c r="Z956" s="737" t="n"/>
      <c r="AA956" s="737" t="n"/>
      <c r="AB956" s="737" t="n"/>
      <c r="AC956" s="737" t="n"/>
      <c r="AD956" s="737" t="n"/>
      <c r="AE956" s="737" t="n"/>
      <c r="AF956" s="737" t="n"/>
      <c r="AG956" s="737" t="n"/>
      <c r="AH956" s="737" t="n"/>
      <c r="AI956" s="737" t="n"/>
      <c r="AJ956" s="737" t="n"/>
      <c r="AK956" s="588" t="n"/>
      <c r="AL956" s="588" t="n"/>
      <c r="AM956" s="588" t="n"/>
      <c r="AN956" s="588" t="n"/>
      <c r="AO956" s="588" t="n"/>
      <c r="AP956" s="588" t="n"/>
      <c r="AQ956" s="588" t="n"/>
      <c r="AR956" s="588" t="n"/>
      <c r="AS956" s="588" t="n"/>
      <c r="AT956" s="588" t="n"/>
      <c r="AU956" s="588" t="n"/>
      <c r="AV956" s="588" t="n"/>
      <c r="AW956" s="588" t="n"/>
      <c r="AX956" s="588" t="n"/>
      <c r="AY956" s="588" t="n"/>
      <c r="AZ956" s="588" t="n"/>
      <c r="BA956" s="588" t="n"/>
      <c r="BB956" s="588" t="n"/>
      <c r="BC956" s="588" t="n"/>
      <c r="BD956" s="588" t="n"/>
      <c r="BE956" s="588" t="n"/>
      <c r="BF956" s="588" t="n"/>
      <c r="BG956" s="588" t="n"/>
      <c r="BH956" s="588" t="n"/>
      <c r="BI956" s="588" t="n"/>
      <c r="BJ956" s="588" t="n"/>
      <c r="BK956" s="588" t="n"/>
      <c r="BL956" s="588" t="n"/>
      <c r="BM956" s="588" t="n"/>
      <c r="BN956" s="588" t="n"/>
      <c r="BO956" s="588" t="n"/>
      <c r="BP956" s="588" t="n"/>
      <c r="BQ956" s="588" t="n"/>
      <c r="BR956" s="588" t="n"/>
      <c r="BS956" s="588" t="n"/>
      <c r="BT956" s="588" t="n"/>
      <c r="BU956" s="588" t="n"/>
      <c r="BV956" s="588" t="n"/>
      <c r="BW956" s="588" t="n"/>
      <c r="BX956" s="588" t="n"/>
      <c r="BY956" s="588" t="n"/>
      <c r="BZ956" s="588" t="n"/>
      <c r="CA956" s="588" t="n"/>
      <c r="CB956" s="588" t="n"/>
      <c r="CC956" s="588" t="n"/>
      <c r="CD956" s="588" t="n"/>
      <c r="CE956" s="588" t="n"/>
      <c r="CF956" s="588" t="n"/>
      <c r="CG956" s="588" t="n"/>
      <c r="CH956" s="588" t="n"/>
      <c r="CI956" s="588" t="n"/>
      <c r="CJ956" s="588" t="n"/>
      <c r="CK956" s="588" t="n"/>
      <c r="CL956" s="588" t="n"/>
      <c r="CM956" s="588" t="n"/>
      <c r="CN956" s="588" t="n"/>
      <c r="CO956" s="588" t="n"/>
      <c r="CP956" s="588" t="n"/>
      <c r="CQ956" s="588" t="n"/>
      <c r="CR956" s="588" t="n"/>
      <c r="CS956" s="588" t="n"/>
      <c r="CT956" s="588" t="n"/>
      <c r="CU956" s="588" t="n"/>
      <c r="CV956" s="588" t="n"/>
      <c r="CW956" s="588" t="n"/>
      <c r="CX956" s="588" t="n"/>
      <c r="CY956" s="588" t="n"/>
      <c r="CZ956" s="588" t="n"/>
      <c r="DA956" s="588" t="n"/>
      <c r="DB956" s="588" t="n"/>
      <c r="DC956" s="588" t="n"/>
      <c r="DD956" s="588" t="n"/>
      <c r="DE956" s="588" t="n"/>
      <c r="DF956" s="588" t="n"/>
      <c r="DG956" s="588" t="n"/>
      <c r="DH956" s="588" t="n"/>
      <c r="DI956" s="588" t="n"/>
      <c r="DJ956" s="588" t="n"/>
      <c r="DK956" s="588" t="n"/>
      <c r="DL956" s="588" t="n"/>
      <c r="DM956" s="588" t="n"/>
      <c r="DN956" s="588" t="n"/>
      <c r="DO956" s="588" t="n"/>
      <c r="DP956" s="588" t="n"/>
      <c r="DQ956" s="588" t="n"/>
      <c r="DR956" s="588" t="n"/>
      <c r="DS956" s="588" t="n"/>
      <c r="DT956" s="588" t="n"/>
      <c r="DU956" s="588" t="n"/>
    </row>
    <row r="957">
      <c r="A957" s="737" t="n"/>
      <c r="B957" s="737" t="n"/>
      <c r="C957" s="737" t="n"/>
      <c r="D957" s="737" t="n"/>
      <c r="E957" s="737" t="n"/>
      <c r="F957" s="737" t="n"/>
      <c r="G957" s="737" t="n"/>
      <c r="H957" s="737" t="n"/>
      <c r="I957" s="737" t="n"/>
      <c r="J957" s="737" t="n"/>
      <c r="K957" s="737" t="n"/>
      <c r="L957" s="737" t="n"/>
      <c r="M957" s="737" t="n"/>
      <c r="N957" s="737" t="n"/>
      <c r="O957" s="737" t="n"/>
      <c r="P957" s="737" t="n"/>
      <c r="Q957" s="737" t="n"/>
      <c r="R957" s="737" t="n"/>
      <c r="S957" s="737" t="n"/>
      <c r="T957" s="737" t="n"/>
      <c r="U957" s="737" t="n"/>
      <c r="V957" s="737" t="n"/>
      <c r="W957" s="737" t="n"/>
      <c r="X957" s="737" t="n"/>
      <c r="Y957" s="737" t="n"/>
      <c r="Z957" s="737" t="n"/>
      <c r="AA957" s="737" t="n"/>
      <c r="AB957" s="737" t="n"/>
      <c r="AC957" s="737" t="n"/>
      <c r="AD957" s="737" t="n"/>
      <c r="AE957" s="737" t="n"/>
      <c r="AF957" s="737" t="n"/>
      <c r="AG957" s="737" t="n"/>
      <c r="AH957" s="737" t="n"/>
      <c r="AI957" s="737" t="n"/>
      <c r="AJ957" s="737" t="n"/>
      <c r="AK957" s="588" t="n"/>
      <c r="AL957" s="588" t="n"/>
      <c r="AM957" s="588" t="n"/>
      <c r="AN957" s="588" t="n"/>
      <c r="AO957" s="588" t="n"/>
      <c r="AP957" s="588" t="n"/>
      <c r="AQ957" s="588" t="n"/>
      <c r="AR957" s="588" t="n"/>
      <c r="AS957" s="588" t="n"/>
      <c r="AT957" s="588" t="n"/>
      <c r="AU957" s="588" t="n"/>
      <c r="AV957" s="588" t="n"/>
      <c r="AW957" s="588" t="n"/>
      <c r="AX957" s="588" t="n"/>
      <c r="AY957" s="588" t="n"/>
      <c r="AZ957" s="588" t="n"/>
      <c r="BA957" s="588" t="n"/>
      <c r="BB957" s="588" t="n"/>
      <c r="BC957" s="588" t="n"/>
      <c r="BD957" s="588" t="n"/>
      <c r="BE957" s="588" t="n"/>
      <c r="BF957" s="588" t="n"/>
      <c r="BG957" s="588" t="n"/>
      <c r="BH957" s="588" t="n"/>
      <c r="BI957" s="588" t="n"/>
      <c r="BJ957" s="588" t="n"/>
      <c r="BK957" s="588" t="n"/>
      <c r="BL957" s="588" t="n"/>
      <c r="BM957" s="588" t="n"/>
      <c r="BN957" s="588" t="n"/>
      <c r="BO957" s="588" t="n"/>
      <c r="BP957" s="588" t="n"/>
      <c r="BQ957" s="588" t="n"/>
      <c r="BR957" s="588" t="n"/>
      <c r="BS957" s="588" t="n"/>
      <c r="BT957" s="588" t="n"/>
      <c r="BU957" s="588" t="n"/>
      <c r="BV957" s="588" t="n"/>
      <c r="BW957" s="588" t="n"/>
      <c r="BX957" s="588" t="n"/>
      <c r="BY957" s="588" t="n"/>
      <c r="BZ957" s="588" t="n"/>
      <c r="CA957" s="588" t="n"/>
      <c r="CB957" s="588" t="n"/>
      <c r="CC957" s="588" t="n"/>
      <c r="CD957" s="588" t="n"/>
      <c r="CE957" s="588" t="n"/>
      <c r="CF957" s="588" t="n"/>
      <c r="CG957" s="588" t="n"/>
      <c r="CH957" s="588" t="n"/>
      <c r="CI957" s="588" t="n"/>
      <c r="CJ957" s="588" t="n"/>
      <c r="CK957" s="588" t="n"/>
      <c r="CL957" s="588" t="n"/>
      <c r="CM957" s="588" t="n"/>
      <c r="CN957" s="588" t="n"/>
      <c r="CO957" s="588" t="n"/>
      <c r="CP957" s="588" t="n"/>
      <c r="CQ957" s="588" t="n"/>
      <c r="CR957" s="588" t="n"/>
      <c r="CS957" s="588" t="n"/>
      <c r="CT957" s="588" t="n"/>
      <c r="CU957" s="588" t="n"/>
      <c r="CV957" s="588" t="n"/>
      <c r="CW957" s="588" t="n"/>
      <c r="CX957" s="588" t="n"/>
      <c r="CY957" s="588" t="n"/>
      <c r="CZ957" s="588" t="n"/>
      <c r="DA957" s="588" t="n"/>
      <c r="DB957" s="588" t="n"/>
      <c r="DC957" s="588" t="n"/>
      <c r="DD957" s="588" t="n"/>
      <c r="DE957" s="588" t="n"/>
      <c r="DF957" s="588" t="n"/>
      <c r="DG957" s="588" t="n"/>
      <c r="DH957" s="588" t="n"/>
      <c r="DI957" s="588" t="n"/>
      <c r="DJ957" s="588" t="n"/>
      <c r="DK957" s="588" t="n"/>
      <c r="DL957" s="588" t="n"/>
      <c r="DM957" s="588" t="n"/>
      <c r="DN957" s="588" t="n"/>
      <c r="DO957" s="588" t="n"/>
      <c r="DP957" s="588" t="n"/>
      <c r="DQ957" s="588" t="n"/>
      <c r="DR957" s="588" t="n"/>
      <c r="DS957" s="588" t="n"/>
      <c r="DT957" s="588" t="n"/>
      <c r="DU957" s="588" t="n"/>
    </row>
    <row r="958">
      <c r="A958" s="737" t="n"/>
      <c r="B958" s="737" t="n"/>
      <c r="C958" s="737" t="n"/>
      <c r="D958" s="737" t="n"/>
      <c r="E958" s="737" t="n"/>
      <c r="F958" s="737" t="n"/>
      <c r="G958" s="737" t="n"/>
      <c r="H958" s="737" t="n"/>
      <c r="I958" s="737" t="n"/>
      <c r="J958" s="737" t="n"/>
      <c r="K958" s="737" t="n"/>
      <c r="L958" s="737" t="n"/>
      <c r="M958" s="737" t="n"/>
      <c r="N958" s="737" t="n"/>
      <c r="O958" s="737" t="n"/>
      <c r="P958" s="737" t="n"/>
      <c r="Q958" s="737" t="n"/>
      <c r="R958" s="737" t="n"/>
      <c r="S958" s="737" t="n"/>
      <c r="T958" s="737" t="n"/>
      <c r="U958" s="737" t="n"/>
      <c r="V958" s="737" t="n"/>
      <c r="W958" s="737" t="n"/>
      <c r="X958" s="737" t="n"/>
      <c r="Y958" s="737" t="n"/>
      <c r="Z958" s="737" t="n"/>
      <c r="AA958" s="737" t="n"/>
      <c r="AB958" s="737" t="n"/>
      <c r="AC958" s="737" t="n"/>
      <c r="AD958" s="737" t="n"/>
      <c r="AE958" s="737" t="n"/>
      <c r="AF958" s="737" t="n"/>
      <c r="AG958" s="737" t="n"/>
      <c r="AH958" s="737" t="n"/>
      <c r="AI958" s="737" t="n"/>
      <c r="AJ958" s="737" t="n"/>
      <c r="AK958" s="588" t="n"/>
      <c r="AL958" s="588" t="n"/>
      <c r="AM958" s="588" t="n"/>
      <c r="AN958" s="588" t="n"/>
      <c r="AO958" s="588" t="n"/>
      <c r="AP958" s="588" t="n"/>
      <c r="AQ958" s="588" t="n"/>
      <c r="AR958" s="588" t="n"/>
      <c r="AS958" s="588" t="n"/>
      <c r="AT958" s="588" t="n"/>
      <c r="AU958" s="588" t="n"/>
      <c r="AV958" s="588" t="n"/>
      <c r="AW958" s="588" t="n"/>
      <c r="AX958" s="588" t="n"/>
      <c r="AY958" s="588" t="n"/>
      <c r="AZ958" s="588" t="n"/>
      <c r="BA958" s="588" t="n"/>
      <c r="BB958" s="588" t="n"/>
      <c r="BC958" s="588" t="n"/>
      <c r="BD958" s="588" t="n"/>
      <c r="BE958" s="588" t="n"/>
      <c r="BF958" s="588" t="n"/>
      <c r="BG958" s="588" t="n"/>
      <c r="BH958" s="588" t="n"/>
      <c r="BI958" s="588" t="n"/>
      <c r="BJ958" s="588" t="n"/>
      <c r="BK958" s="588" t="n"/>
      <c r="BL958" s="588" t="n"/>
      <c r="BM958" s="588" t="n"/>
      <c r="BN958" s="588" t="n"/>
      <c r="BO958" s="588" t="n"/>
      <c r="BP958" s="588" t="n"/>
      <c r="BQ958" s="588" t="n"/>
      <c r="BR958" s="588" t="n"/>
      <c r="BS958" s="588" t="n"/>
      <c r="BT958" s="588" t="n"/>
      <c r="BU958" s="588" t="n"/>
      <c r="BV958" s="588" t="n"/>
      <c r="BW958" s="588" t="n"/>
      <c r="BX958" s="588" t="n"/>
      <c r="BY958" s="588" t="n"/>
      <c r="BZ958" s="588" t="n"/>
      <c r="CA958" s="588" t="n"/>
      <c r="CB958" s="588" t="n"/>
      <c r="CC958" s="588" t="n"/>
      <c r="CD958" s="588" t="n"/>
      <c r="CE958" s="588" t="n"/>
      <c r="CF958" s="588" t="n"/>
      <c r="CG958" s="588" t="n"/>
      <c r="CH958" s="588" t="n"/>
      <c r="CI958" s="588" t="n"/>
      <c r="CJ958" s="588" t="n"/>
      <c r="CK958" s="588" t="n"/>
      <c r="CL958" s="588" t="n"/>
      <c r="CM958" s="588" t="n"/>
      <c r="CN958" s="588" t="n"/>
      <c r="CO958" s="588" t="n"/>
      <c r="CP958" s="588" t="n"/>
      <c r="CQ958" s="588" t="n"/>
      <c r="CR958" s="588" t="n"/>
      <c r="CS958" s="588" t="n"/>
      <c r="CT958" s="588" t="n"/>
      <c r="CU958" s="588" t="n"/>
      <c r="CV958" s="588" t="n"/>
      <c r="CW958" s="588" t="n"/>
      <c r="CX958" s="588" t="n"/>
      <c r="CY958" s="588" t="n"/>
      <c r="CZ958" s="588" t="n"/>
      <c r="DA958" s="588" t="n"/>
      <c r="DB958" s="588" t="n"/>
      <c r="DC958" s="588" t="n"/>
      <c r="DD958" s="588" t="n"/>
      <c r="DE958" s="588" t="n"/>
      <c r="DF958" s="588" t="n"/>
      <c r="DG958" s="588" t="n"/>
      <c r="DH958" s="588" t="n"/>
      <c r="DI958" s="588" t="n"/>
      <c r="DJ958" s="588" t="n"/>
      <c r="DK958" s="588" t="n"/>
      <c r="DL958" s="588" t="n"/>
      <c r="DM958" s="588" t="n"/>
      <c r="DN958" s="588" t="n"/>
      <c r="DO958" s="588" t="n"/>
      <c r="DP958" s="588" t="n"/>
      <c r="DQ958" s="588" t="n"/>
      <c r="DR958" s="588" t="n"/>
      <c r="DS958" s="588" t="n"/>
      <c r="DT958" s="588" t="n"/>
      <c r="DU958" s="588" t="n"/>
    </row>
    <row r="959">
      <c r="A959" s="737" t="n"/>
      <c r="B959" s="737" t="n"/>
      <c r="C959" s="737" t="n"/>
      <c r="D959" s="737" t="n"/>
      <c r="E959" s="737" t="n"/>
      <c r="F959" s="737" t="n"/>
      <c r="G959" s="737" t="n"/>
      <c r="H959" s="737" t="n"/>
      <c r="I959" s="737" t="n"/>
      <c r="J959" s="737" t="n"/>
      <c r="K959" s="737" t="n"/>
      <c r="L959" s="737" t="n"/>
      <c r="M959" s="737" t="n"/>
      <c r="N959" s="737" t="n"/>
      <c r="O959" s="737" t="n"/>
      <c r="P959" s="737" t="n"/>
      <c r="Q959" s="737" t="n"/>
      <c r="R959" s="737" t="n"/>
      <c r="S959" s="737" t="n"/>
      <c r="T959" s="737" t="n"/>
      <c r="U959" s="737" t="n"/>
      <c r="V959" s="737" t="n"/>
      <c r="W959" s="737" t="n"/>
      <c r="X959" s="737" t="n"/>
      <c r="Y959" s="737" t="n"/>
      <c r="Z959" s="737" t="n"/>
      <c r="AA959" s="737" t="n"/>
      <c r="AB959" s="737" t="n"/>
      <c r="AC959" s="737" t="n"/>
      <c r="AD959" s="737" t="n"/>
      <c r="AE959" s="737" t="n"/>
      <c r="AF959" s="737" t="n"/>
      <c r="AG959" s="737" t="n"/>
      <c r="AH959" s="737" t="n"/>
      <c r="AI959" s="737" t="n"/>
      <c r="AJ959" s="737" t="n"/>
      <c r="AK959" s="588" t="n"/>
      <c r="AL959" s="588" t="n"/>
      <c r="AM959" s="588" t="n"/>
      <c r="AN959" s="588" t="n"/>
      <c r="AO959" s="588" t="n"/>
      <c r="AP959" s="588" t="n"/>
      <c r="AQ959" s="588" t="n"/>
      <c r="AR959" s="588" t="n"/>
      <c r="AS959" s="588" t="n"/>
      <c r="AT959" s="588" t="n"/>
      <c r="AU959" s="588" t="n"/>
      <c r="AV959" s="588" t="n"/>
      <c r="AW959" s="588" t="n"/>
      <c r="AX959" s="588" t="n"/>
      <c r="AY959" s="588" t="n"/>
      <c r="AZ959" s="588" t="n"/>
      <c r="BA959" s="588" t="n"/>
      <c r="BB959" s="588" t="n"/>
      <c r="BC959" s="588" t="n"/>
      <c r="BD959" s="588" t="n"/>
      <c r="BE959" s="588" t="n"/>
      <c r="BF959" s="588" t="n"/>
      <c r="BG959" s="588" t="n"/>
      <c r="BH959" s="588" t="n"/>
      <c r="BI959" s="588" t="n"/>
      <c r="BJ959" s="588" t="n"/>
      <c r="BK959" s="588" t="n"/>
      <c r="BL959" s="588" t="n"/>
      <c r="BM959" s="588" t="n"/>
      <c r="BN959" s="588" t="n"/>
      <c r="BO959" s="588" t="n"/>
      <c r="BP959" s="588" t="n"/>
      <c r="BQ959" s="588" t="n"/>
      <c r="BR959" s="588" t="n"/>
      <c r="BS959" s="588" t="n"/>
      <c r="BT959" s="588" t="n"/>
      <c r="BU959" s="588" t="n"/>
      <c r="BV959" s="588" t="n"/>
      <c r="BW959" s="588" t="n"/>
      <c r="BX959" s="588" t="n"/>
      <c r="BY959" s="588" t="n"/>
      <c r="BZ959" s="588" t="n"/>
      <c r="CA959" s="588" t="n"/>
      <c r="CB959" s="588" t="n"/>
      <c r="CC959" s="588" t="n"/>
      <c r="CD959" s="588" t="n"/>
      <c r="CE959" s="588" t="n"/>
      <c r="CF959" s="588" t="n"/>
      <c r="CG959" s="588" t="n"/>
      <c r="CH959" s="588" t="n"/>
      <c r="CI959" s="588" t="n"/>
      <c r="CJ959" s="588" t="n"/>
      <c r="CK959" s="588" t="n"/>
      <c r="CL959" s="588" t="n"/>
      <c r="CM959" s="588" t="n"/>
      <c r="CN959" s="588" t="n"/>
      <c r="CO959" s="588" t="n"/>
      <c r="CP959" s="588" t="n"/>
      <c r="CQ959" s="588" t="n"/>
      <c r="CR959" s="588" t="n"/>
      <c r="CS959" s="588" t="n"/>
      <c r="CT959" s="588" t="n"/>
      <c r="CU959" s="588" t="n"/>
      <c r="CV959" s="588" t="n"/>
      <c r="CW959" s="588" t="n"/>
      <c r="CX959" s="588" t="n"/>
      <c r="CY959" s="588" t="n"/>
      <c r="CZ959" s="588" t="n"/>
      <c r="DA959" s="588" t="n"/>
      <c r="DB959" s="588" t="n"/>
      <c r="DC959" s="588" t="n"/>
      <c r="DD959" s="588" t="n"/>
      <c r="DE959" s="588" t="n"/>
      <c r="DF959" s="588" t="n"/>
      <c r="DG959" s="588" t="n"/>
      <c r="DH959" s="588" t="n"/>
      <c r="DI959" s="588" t="n"/>
      <c r="DJ959" s="588" t="n"/>
      <c r="DK959" s="588" t="n"/>
      <c r="DL959" s="588" t="n"/>
      <c r="DM959" s="588" t="n"/>
      <c r="DN959" s="588" t="n"/>
      <c r="DO959" s="588" t="n"/>
      <c r="DP959" s="588" t="n"/>
      <c r="DQ959" s="588" t="n"/>
      <c r="DR959" s="588" t="n"/>
      <c r="DS959" s="588" t="n"/>
      <c r="DT959" s="588" t="n"/>
      <c r="DU959" s="588" t="n"/>
    </row>
    <row r="960">
      <c r="A960" s="737" t="n"/>
      <c r="B960" s="737" t="n"/>
      <c r="C960" s="737" t="n"/>
      <c r="D960" s="737" t="n"/>
      <c r="E960" s="737" t="n"/>
      <c r="F960" s="737" t="n"/>
      <c r="G960" s="737" t="n"/>
      <c r="H960" s="737" t="n"/>
      <c r="I960" s="737" t="n"/>
      <c r="J960" s="737" t="n"/>
      <c r="K960" s="737" t="n"/>
      <c r="L960" s="737" t="n"/>
      <c r="M960" s="737" t="n"/>
      <c r="N960" s="737" t="n"/>
      <c r="O960" s="737" t="n"/>
      <c r="P960" s="737" t="n"/>
      <c r="Q960" s="737" t="n"/>
      <c r="R960" s="737" t="n"/>
      <c r="S960" s="737" t="n"/>
      <c r="T960" s="737" t="n"/>
      <c r="U960" s="737" t="n"/>
      <c r="V960" s="737" t="n"/>
      <c r="W960" s="737" t="n"/>
      <c r="X960" s="737" t="n"/>
      <c r="Y960" s="737" t="n"/>
      <c r="Z960" s="737" t="n"/>
      <c r="AA960" s="737" t="n"/>
      <c r="AB960" s="737" t="n"/>
      <c r="AC960" s="737" t="n"/>
      <c r="AD960" s="737" t="n"/>
      <c r="AE960" s="737" t="n"/>
      <c r="AF960" s="737" t="n"/>
      <c r="AG960" s="737" t="n"/>
      <c r="AH960" s="737" t="n"/>
      <c r="AI960" s="737" t="n"/>
      <c r="AJ960" s="737" t="n"/>
      <c r="AK960" s="588" t="n"/>
      <c r="AL960" s="588" t="n"/>
      <c r="AM960" s="588" t="n"/>
      <c r="AN960" s="588" t="n"/>
      <c r="AO960" s="588" t="n"/>
      <c r="AP960" s="588" t="n"/>
      <c r="AQ960" s="588" t="n"/>
      <c r="AR960" s="588" t="n"/>
      <c r="AS960" s="588" t="n"/>
      <c r="AT960" s="588" t="n"/>
      <c r="AU960" s="588" t="n"/>
      <c r="AV960" s="588" t="n"/>
      <c r="AW960" s="588" t="n"/>
      <c r="AX960" s="588" t="n"/>
      <c r="AY960" s="588" t="n"/>
      <c r="AZ960" s="588" t="n"/>
      <c r="BA960" s="588" t="n"/>
      <c r="BB960" s="588" t="n"/>
      <c r="BC960" s="588" t="n"/>
      <c r="BD960" s="588" t="n"/>
      <c r="BE960" s="588" t="n"/>
      <c r="BF960" s="588" t="n"/>
      <c r="BG960" s="588" t="n"/>
      <c r="BH960" s="588" t="n"/>
      <c r="BI960" s="588" t="n"/>
      <c r="BJ960" s="588" t="n"/>
      <c r="BK960" s="588" t="n"/>
      <c r="BL960" s="588" t="n"/>
      <c r="BM960" s="588" t="n"/>
      <c r="BN960" s="588" t="n"/>
      <c r="BO960" s="588" t="n"/>
      <c r="BP960" s="588" t="n"/>
      <c r="BQ960" s="588" t="n"/>
      <c r="BR960" s="588" t="n"/>
      <c r="BS960" s="588" t="n"/>
      <c r="BT960" s="588" t="n"/>
      <c r="BU960" s="588" t="n"/>
      <c r="BV960" s="588" t="n"/>
      <c r="BW960" s="588" t="n"/>
      <c r="BX960" s="588" t="n"/>
      <c r="BY960" s="588" t="n"/>
      <c r="BZ960" s="588" t="n"/>
      <c r="CA960" s="588" t="n"/>
      <c r="CB960" s="588" t="n"/>
      <c r="CC960" s="588" t="n"/>
      <c r="CD960" s="588" t="n"/>
      <c r="CE960" s="588" t="n"/>
      <c r="CF960" s="588" t="n"/>
      <c r="CG960" s="588" t="n"/>
      <c r="CH960" s="588" t="n"/>
      <c r="CI960" s="588" t="n"/>
      <c r="CJ960" s="588" t="n"/>
      <c r="CK960" s="588" t="n"/>
      <c r="CL960" s="588" t="n"/>
      <c r="CM960" s="588" t="n"/>
      <c r="CN960" s="588" t="n"/>
      <c r="CO960" s="588" t="n"/>
      <c r="CP960" s="588" t="n"/>
      <c r="CQ960" s="588" t="n"/>
      <c r="CR960" s="588" t="n"/>
      <c r="CS960" s="588" t="n"/>
      <c r="CT960" s="588" t="n"/>
      <c r="CU960" s="588" t="n"/>
      <c r="CV960" s="588" t="n"/>
      <c r="CW960" s="588" t="n"/>
      <c r="CX960" s="588" t="n"/>
      <c r="CY960" s="588" t="n"/>
      <c r="CZ960" s="588" t="n"/>
      <c r="DA960" s="588" t="n"/>
      <c r="DB960" s="588" t="n"/>
      <c r="DC960" s="588" t="n"/>
      <c r="DD960" s="588" t="n"/>
      <c r="DE960" s="588" t="n"/>
      <c r="DF960" s="588" t="n"/>
      <c r="DG960" s="588" t="n"/>
      <c r="DH960" s="588" t="n"/>
      <c r="DI960" s="588" t="n"/>
      <c r="DJ960" s="588" t="n"/>
      <c r="DK960" s="588" t="n"/>
      <c r="DL960" s="588" t="n"/>
      <c r="DM960" s="588" t="n"/>
      <c r="DN960" s="588" t="n"/>
      <c r="DO960" s="588" t="n"/>
      <c r="DP960" s="588" t="n"/>
      <c r="DQ960" s="588" t="n"/>
      <c r="DR960" s="588" t="n"/>
      <c r="DS960" s="588" t="n"/>
      <c r="DT960" s="588" t="n"/>
      <c r="DU960" s="588" t="n"/>
    </row>
    <row r="961">
      <c r="A961" s="737" t="n"/>
      <c r="B961" s="737" t="n"/>
      <c r="C961" s="737" t="n"/>
      <c r="D961" s="737" t="n"/>
      <c r="E961" s="737" t="n"/>
      <c r="F961" s="737" t="n"/>
      <c r="G961" s="737" t="n"/>
      <c r="H961" s="737" t="n"/>
      <c r="I961" s="737" t="n"/>
      <c r="J961" s="737" t="n"/>
      <c r="K961" s="737" t="n"/>
      <c r="L961" s="737" t="n"/>
      <c r="M961" s="737" t="n"/>
      <c r="N961" s="737" t="n"/>
      <c r="O961" s="737" t="n"/>
      <c r="P961" s="737" t="n"/>
      <c r="Q961" s="737" t="n"/>
      <c r="R961" s="737" t="n"/>
      <c r="S961" s="737" t="n"/>
      <c r="T961" s="737" t="n"/>
      <c r="U961" s="737" t="n"/>
      <c r="V961" s="737" t="n"/>
      <c r="W961" s="737" t="n"/>
      <c r="X961" s="737" t="n"/>
      <c r="Y961" s="737" t="n"/>
      <c r="Z961" s="737" t="n"/>
      <c r="AA961" s="737" t="n"/>
      <c r="AB961" s="737" t="n"/>
      <c r="AC961" s="737" t="n"/>
      <c r="AD961" s="737" t="n"/>
      <c r="AE961" s="737" t="n"/>
      <c r="AF961" s="737" t="n"/>
      <c r="AG961" s="737" t="n"/>
      <c r="AH961" s="737" t="n"/>
      <c r="AI961" s="737" t="n"/>
      <c r="AJ961" s="737" t="n"/>
      <c r="AK961" s="588" t="n"/>
      <c r="AL961" s="588" t="n"/>
      <c r="AM961" s="588" t="n"/>
      <c r="AN961" s="588" t="n"/>
      <c r="AO961" s="588" t="n"/>
      <c r="AP961" s="588" t="n"/>
      <c r="AQ961" s="588" t="n"/>
      <c r="AR961" s="588" t="n"/>
      <c r="AS961" s="588" t="n"/>
      <c r="AT961" s="588" t="n"/>
      <c r="AU961" s="588" t="n"/>
      <c r="AV961" s="588" t="n"/>
      <c r="AW961" s="588" t="n"/>
      <c r="AX961" s="588" t="n"/>
      <c r="AY961" s="588" t="n"/>
      <c r="AZ961" s="588" t="n"/>
      <c r="BA961" s="588" t="n"/>
      <c r="BB961" s="588" t="n"/>
      <c r="BC961" s="588" t="n"/>
      <c r="BD961" s="588" t="n"/>
      <c r="BE961" s="588" t="n"/>
      <c r="BF961" s="588" t="n"/>
      <c r="BG961" s="588" t="n"/>
      <c r="BH961" s="588" t="n"/>
      <c r="BI961" s="588" t="n"/>
      <c r="BJ961" s="588" t="n"/>
      <c r="BK961" s="588" t="n"/>
      <c r="BL961" s="588" t="n"/>
      <c r="BM961" s="588" t="n"/>
      <c r="BN961" s="588" t="n"/>
      <c r="BO961" s="588" t="n"/>
      <c r="BP961" s="588" t="n"/>
      <c r="BQ961" s="588" t="n"/>
      <c r="BR961" s="588" t="n"/>
      <c r="BS961" s="588" t="n"/>
      <c r="BT961" s="588" t="n"/>
      <c r="BU961" s="588" t="n"/>
      <c r="BV961" s="588" t="n"/>
      <c r="BW961" s="588" t="n"/>
      <c r="BX961" s="588" t="n"/>
      <c r="BY961" s="588" t="n"/>
      <c r="BZ961" s="588" t="n"/>
      <c r="CA961" s="588" t="n"/>
      <c r="CB961" s="588" t="n"/>
      <c r="CC961" s="588" t="n"/>
      <c r="CD961" s="588" t="n"/>
      <c r="CE961" s="588" t="n"/>
      <c r="CF961" s="588" t="n"/>
      <c r="CG961" s="588" t="n"/>
      <c r="CH961" s="588" t="n"/>
      <c r="CI961" s="588" t="n"/>
      <c r="CJ961" s="588" t="n"/>
      <c r="CK961" s="588" t="n"/>
      <c r="CL961" s="588" t="n"/>
      <c r="CM961" s="588" t="n"/>
      <c r="CN961" s="588" t="n"/>
      <c r="CO961" s="588" t="n"/>
      <c r="CP961" s="588" t="n"/>
      <c r="CQ961" s="588" t="n"/>
      <c r="CR961" s="588" t="n"/>
      <c r="CS961" s="588" t="n"/>
      <c r="CT961" s="588" t="n"/>
      <c r="CU961" s="588" t="n"/>
      <c r="CV961" s="588" t="n"/>
      <c r="CW961" s="588" t="n"/>
      <c r="CX961" s="588" t="n"/>
      <c r="CY961" s="588" t="n"/>
      <c r="CZ961" s="588" t="n"/>
      <c r="DA961" s="588" t="n"/>
      <c r="DB961" s="588" t="n"/>
      <c r="DC961" s="588" t="n"/>
      <c r="DD961" s="588" t="n"/>
      <c r="DE961" s="588" t="n"/>
      <c r="DF961" s="588" t="n"/>
      <c r="DG961" s="588" t="n"/>
      <c r="DH961" s="588" t="n"/>
      <c r="DI961" s="588" t="n"/>
      <c r="DJ961" s="588" t="n"/>
      <c r="DK961" s="588" t="n"/>
      <c r="DL961" s="588" t="n"/>
      <c r="DM961" s="588" t="n"/>
      <c r="DN961" s="588" t="n"/>
      <c r="DO961" s="588" t="n"/>
      <c r="DP961" s="588" t="n"/>
      <c r="DQ961" s="588" t="n"/>
      <c r="DR961" s="588" t="n"/>
      <c r="DS961" s="588" t="n"/>
      <c r="DT961" s="588" t="n"/>
      <c r="DU961" s="588" t="n"/>
    </row>
    <row r="962">
      <c r="A962" s="737" t="n"/>
      <c r="B962" s="737" t="n"/>
      <c r="C962" s="737" t="n"/>
      <c r="D962" s="737" t="n"/>
      <c r="E962" s="737" t="n"/>
      <c r="F962" s="737" t="n"/>
      <c r="G962" s="737" t="n"/>
      <c r="H962" s="737" t="n"/>
      <c r="I962" s="737" t="n"/>
      <c r="J962" s="737" t="n"/>
      <c r="K962" s="737" t="n"/>
      <c r="L962" s="737" t="n"/>
      <c r="M962" s="737" t="n"/>
      <c r="N962" s="737" t="n"/>
      <c r="O962" s="737" t="n"/>
      <c r="P962" s="737" t="n"/>
      <c r="Q962" s="737" t="n"/>
      <c r="R962" s="737" t="n"/>
      <c r="S962" s="737" t="n"/>
      <c r="T962" s="737" t="n"/>
      <c r="U962" s="737" t="n"/>
      <c r="V962" s="737" t="n"/>
      <c r="W962" s="737" t="n"/>
      <c r="X962" s="737" t="n"/>
      <c r="Y962" s="737" t="n"/>
      <c r="Z962" s="737" t="n"/>
      <c r="AA962" s="737" t="n"/>
      <c r="AB962" s="737" t="n"/>
      <c r="AC962" s="737" t="n"/>
      <c r="AD962" s="737" t="n"/>
      <c r="AE962" s="737" t="n"/>
      <c r="AF962" s="737" t="n"/>
      <c r="AG962" s="737" t="n"/>
      <c r="AH962" s="737" t="n"/>
      <c r="AI962" s="737" t="n"/>
      <c r="AJ962" s="737" t="n"/>
      <c r="AK962" s="588" t="n"/>
      <c r="AL962" s="588" t="n"/>
      <c r="AM962" s="588" t="n"/>
      <c r="AN962" s="588" t="n"/>
      <c r="AO962" s="588" t="n"/>
      <c r="AP962" s="588" t="n"/>
      <c r="AQ962" s="588" t="n"/>
      <c r="AR962" s="588" t="n"/>
      <c r="AS962" s="588" t="n"/>
      <c r="AT962" s="588" t="n"/>
      <c r="AU962" s="588" t="n"/>
      <c r="AV962" s="588" t="n"/>
      <c r="AW962" s="588" t="n"/>
      <c r="AX962" s="588" t="n"/>
      <c r="AY962" s="588" t="n"/>
      <c r="AZ962" s="588" t="n"/>
      <c r="BA962" s="588" t="n"/>
      <c r="BB962" s="588" t="n"/>
      <c r="BC962" s="588" t="n"/>
      <c r="BD962" s="588" t="n"/>
      <c r="BE962" s="588" t="n"/>
      <c r="BF962" s="588" t="n"/>
      <c r="BG962" s="588" t="n"/>
      <c r="BH962" s="588" t="n"/>
      <c r="BI962" s="588" t="n"/>
      <c r="BJ962" s="588" t="n"/>
      <c r="BK962" s="588" t="n"/>
      <c r="BL962" s="588" t="n"/>
      <c r="BM962" s="588" t="n"/>
      <c r="BN962" s="588" t="n"/>
      <c r="BO962" s="588" t="n"/>
      <c r="BP962" s="588" t="n"/>
      <c r="BQ962" s="588" t="n"/>
      <c r="BR962" s="588" t="n"/>
      <c r="BS962" s="588" t="n"/>
      <c r="BT962" s="588" t="n"/>
      <c r="BU962" s="588" t="n"/>
      <c r="BV962" s="588" t="n"/>
      <c r="BW962" s="588" t="n"/>
      <c r="BX962" s="588" t="n"/>
      <c r="BY962" s="588" t="n"/>
      <c r="BZ962" s="588" t="n"/>
      <c r="CA962" s="588" t="n"/>
      <c r="CB962" s="588" t="n"/>
      <c r="CC962" s="588" t="n"/>
      <c r="CD962" s="588" t="n"/>
      <c r="CE962" s="588" t="n"/>
      <c r="CF962" s="588" t="n"/>
      <c r="CG962" s="588" t="n"/>
      <c r="CH962" s="588" t="n"/>
      <c r="CI962" s="588" t="n"/>
      <c r="CJ962" s="588" t="n"/>
      <c r="CK962" s="588" t="n"/>
      <c r="CL962" s="588" t="n"/>
      <c r="CM962" s="588" t="n"/>
      <c r="CN962" s="588" t="n"/>
      <c r="CO962" s="588" t="n"/>
      <c r="CP962" s="588" t="n"/>
      <c r="CQ962" s="588" t="n"/>
      <c r="CR962" s="588" t="n"/>
      <c r="CS962" s="588" t="n"/>
      <c r="CT962" s="588" t="n"/>
      <c r="CU962" s="588" t="n"/>
      <c r="CV962" s="588" t="n"/>
      <c r="CW962" s="588" t="n"/>
      <c r="CX962" s="588" t="n"/>
      <c r="CY962" s="588" t="n"/>
      <c r="CZ962" s="588" t="n"/>
      <c r="DA962" s="588" t="n"/>
      <c r="DB962" s="588" t="n"/>
      <c r="DC962" s="588" t="n"/>
      <c r="DD962" s="588" t="n"/>
      <c r="DE962" s="588" t="n"/>
      <c r="DF962" s="588" t="n"/>
      <c r="DG962" s="588" t="n"/>
      <c r="DH962" s="588" t="n"/>
      <c r="DI962" s="588" t="n"/>
      <c r="DJ962" s="588" t="n"/>
      <c r="DK962" s="588" t="n"/>
      <c r="DL962" s="588" t="n"/>
      <c r="DM962" s="588" t="n"/>
      <c r="DN962" s="588" t="n"/>
      <c r="DO962" s="588" t="n"/>
      <c r="DP962" s="588" t="n"/>
      <c r="DQ962" s="588" t="n"/>
      <c r="DR962" s="588" t="n"/>
      <c r="DS962" s="588" t="n"/>
      <c r="DT962" s="588" t="n"/>
      <c r="DU962" s="588" t="n"/>
    </row>
    <row r="963">
      <c r="A963" s="737" t="n"/>
      <c r="B963" s="737" t="n"/>
      <c r="C963" s="737" t="n"/>
      <c r="D963" s="737" t="n"/>
      <c r="E963" s="737" t="n"/>
      <c r="F963" s="737" t="n"/>
      <c r="G963" s="737" t="n"/>
      <c r="H963" s="737" t="n"/>
      <c r="I963" s="737" t="n"/>
      <c r="J963" s="737" t="n"/>
      <c r="K963" s="737" t="n"/>
      <c r="L963" s="737" t="n"/>
      <c r="M963" s="737" t="n"/>
      <c r="N963" s="737" t="n"/>
      <c r="O963" s="737" t="n"/>
      <c r="P963" s="737" t="n"/>
      <c r="Q963" s="737" t="n"/>
      <c r="R963" s="737" t="n"/>
      <c r="S963" s="737" t="n"/>
      <c r="T963" s="737" t="n"/>
      <c r="U963" s="737" t="n"/>
      <c r="V963" s="737" t="n"/>
      <c r="W963" s="737" t="n"/>
      <c r="X963" s="737" t="n"/>
      <c r="Y963" s="737" t="n"/>
      <c r="Z963" s="737" t="n"/>
      <c r="AA963" s="737" t="n"/>
      <c r="AB963" s="737" t="n"/>
      <c r="AC963" s="737" t="n"/>
      <c r="AD963" s="737" t="n"/>
      <c r="AE963" s="737" t="n"/>
      <c r="AF963" s="737" t="n"/>
      <c r="AG963" s="737" t="n"/>
      <c r="AH963" s="737" t="n"/>
      <c r="AI963" s="737" t="n"/>
      <c r="AJ963" s="737" t="n"/>
      <c r="AK963" s="588" t="n"/>
      <c r="AL963" s="588" t="n"/>
      <c r="AM963" s="588" t="n"/>
      <c r="AN963" s="588" t="n"/>
      <c r="AO963" s="588" t="n"/>
      <c r="AP963" s="588" t="n"/>
      <c r="AQ963" s="588" t="n"/>
      <c r="AR963" s="588" t="n"/>
      <c r="AS963" s="588" t="n"/>
      <c r="AT963" s="588" t="n"/>
      <c r="AU963" s="588" t="n"/>
      <c r="AV963" s="588" t="n"/>
      <c r="AW963" s="588" t="n"/>
      <c r="AX963" s="588" t="n"/>
      <c r="AY963" s="588" t="n"/>
      <c r="AZ963" s="588" t="n"/>
      <c r="BA963" s="588" t="n"/>
      <c r="BB963" s="588" t="n"/>
      <c r="BC963" s="588" t="n"/>
      <c r="BD963" s="588" t="n"/>
      <c r="BE963" s="588" t="n"/>
      <c r="BF963" s="588" t="n"/>
      <c r="BG963" s="588" t="n"/>
      <c r="BH963" s="588" t="n"/>
      <c r="BI963" s="588" t="n"/>
      <c r="BJ963" s="588" t="n"/>
      <c r="BK963" s="588" t="n"/>
      <c r="BL963" s="588" t="n"/>
      <c r="BM963" s="588" t="n"/>
      <c r="BN963" s="588" t="n"/>
      <c r="BO963" s="588" t="n"/>
      <c r="BP963" s="588" t="n"/>
      <c r="BQ963" s="588" t="n"/>
      <c r="BR963" s="588" t="n"/>
      <c r="BS963" s="588" t="n"/>
      <c r="BT963" s="588" t="n"/>
      <c r="BU963" s="588" t="n"/>
      <c r="BV963" s="588" t="n"/>
      <c r="BW963" s="588" t="n"/>
      <c r="BX963" s="588" t="n"/>
      <c r="BY963" s="588" t="n"/>
      <c r="BZ963" s="588" t="n"/>
      <c r="CA963" s="588" t="n"/>
      <c r="CB963" s="588" t="n"/>
      <c r="CC963" s="588" t="n"/>
      <c r="CD963" s="588" t="n"/>
      <c r="CE963" s="588" t="n"/>
      <c r="CF963" s="588" t="n"/>
      <c r="CG963" s="588" t="n"/>
      <c r="CH963" s="588" t="n"/>
      <c r="CI963" s="588" t="n"/>
      <c r="CJ963" s="588" t="n"/>
      <c r="CK963" s="588" t="n"/>
      <c r="CL963" s="588" t="n"/>
      <c r="CM963" s="588" t="n"/>
      <c r="CN963" s="588" t="n"/>
      <c r="CO963" s="588" t="n"/>
      <c r="CP963" s="588" t="n"/>
      <c r="CQ963" s="588" t="n"/>
      <c r="CR963" s="588" t="n"/>
      <c r="CS963" s="588" t="n"/>
      <c r="CT963" s="588" t="n"/>
      <c r="CU963" s="588" t="n"/>
      <c r="CV963" s="588" t="n"/>
      <c r="CW963" s="588" t="n"/>
      <c r="CX963" s="588" t="n"/>
      <c r="CY963" s="588" t="n"/>
      <c r="CZ963" s="588" t="n"/>
      <c r="DA963" s="588" t="n"/>
      <c r="DB963" s="588" t="n"/>
      <c r="DC963" s="588" t="n"/>
      <c r="DD963" s="588" t="n"/>
      <c r="DE963" s="588" t="n"/>
      <c r="DF963" s="588" t="n"/>
      <c r="DG963" s="588" t="n"/>
      <c r="DH963" s="588" t="n"/>
      <c r="DI963" s="588" t="n"/>
      <c r="DJ963" s="588" t="n"/>
      <c r="DK963" s="588" t="n"/>
      <c r="DL963" s="588" t="n"/>
      <c r="DM963" s="588" t="n"/>
      <c r="DN963" s="588" t="n"/>
      <c r="DO963" s="588" t="n"/>
      <c r="DP963" s="588" t="n"/>
      <c r="DQ963" s="588" t="n"/>
      <c r="DR963" s="588" t="n"/>
      <c r="DS963" s="588" t="n"/>
      <c r="DT963" s="588" t="n"/>
      <c r="DU963" s="588" t="n"/>
    </row>
    <row r="964">
      <c r="A964" s="737" t="n"/>
      <c r="B964" s="737" t="n"/>
      <c r="C964" s="737" t="n"/>
      <c r="D964" s="737" t="n"/>
      <c r="E964" s="737" t="n"/>
      <c r="F964" s="737" t="n"/>
      <c r="G964" s="737" t="n"/>
      <c r="H964" s="737" t="n"/>
      <c r="I964" s="737" t="n"/>
      <c r="J964" s="737" t="n"/>
      <c r="K964" s="737" t="n"/>
      <c r="L964" s="737" t="n"/>
      <c r="M964" s="737" t="n"/>
      <c r="N964" s="737" t="n"/>
      <c r="O964" s="737" t="n"/>
      <c r="P964" s="737" t="n"/>
      <c r="Q964" s="737" t="n"/>
      <c r="R964" s="737" t="n"/>
      <c r="S964" s="737" t="n"/>
      <c r="T964" s="737" t="n"/>
      <c r="U964" s="737" t="n"/>
      <c r="V964" s="737" t="n"/>
      <c r="W964" s="737" t="n"/>
      <c r="X964" s="737" t="n"/>
      <c r="Y964" s="737" t="n"/>
      <c r="Z964" s="737" t="n"/>
      <c r="AA964" s="737" t="n"/>
      <c r="AB964" s="737" t="n"/>
      <c r="AC964" s="737" t="n"/>
      <c r="AD964" s="737" t="n"/>
      <c r="AE964" s="737" t="n"/>
      <c r="AF964" s="737" t="n"/>
      <c r="AG964" s="737" t="n"/>
      <c r="AH964" s="737" t="n"/>
      <c r="AI964" s="737" t="n"/>
      <c r="AJ964" s="737" t="n"/>
      <c r="AK964" s="588" t="n"/>
      <c r="AL964" s="588" t="n"/>
      <c r="AM964" s="588" t="n"/>
      <c r="AN964" s="588" t="n"/>
      <c r="AO964" s="588" t="n"/>
      <c r="AP964" s="588" t="n"/>
      <c r="AQ964" s="588" t="n"/>
      <c r="AR964" s="588" t="n"/>
      <c r="AS964" s="588" t="n"/>
      <c r="AT964" s="588" t="n"/>
      <c r="AU964" s="588" t="n"/>
      <c r="AV964" s="588" t="n"/>
      <c r="AW964" s="588" t="n"/>
      <c r="AX964" s="588" t="n"/>
      <c r="AY964" s="588" t="n"/>
      <c r="AZ964" s="588" t="n"/>
      <c r="BA964" s="588" t="n"/>
      <c r="BB964" s="588" t="n"/>
      <c r="BC964" s="588" t="n"/>
      <c r="BD964" s="588" t="n"/>
      <c r="BE964" s="588" t="n"/>
      <c r="BF964" s="588" t="n"/>
      <c r="BG964" s="588" t="n"/>
      <c r="BH964" s="588" t="n"/>
      <c r="BI964" s="588" t="n"/>
      <c r="BJ964" s="588" t="n"/>
      <c r="BK964" s="588" t="n"/>
      <c r="BL964" s="588" t="n"/>
      <c r="BM964" s="588" t="n"/>
      <c r="BN964" s="588" t="n"/>
      <c r="BO964" s="588" t="n"/>
      <c r="BP964" s="588" t="n"/>
      <c r="BQ964" s="588" t="n"/>
      <c r="BR964" s="588" t="n"/>
      <c r="BS964" s="588" t="n"/>
      <c r="BT964" s="588" t="n"/>
      <c r="BU964" s="588" t="n"/>
      <c r="BV964" s="588" t="n"/>
      <c r="BW964" s="588" t="n"/>
      <c r="BX964" s="588" t="n"/>
      <c r="BY964" s="588" t="n"/>
      <c r="BZ964" s="588" t="n"/>
      <c r="CA964" s="588" t="n"/>
      <c r="CB964" s="588" t="n"/>
      <c r="CC964" s="588" t="n"/>
      <c r="CD964" s="588" t="n"/>
      <c r="CE964" s="588" t="n"/>
      <c r="CF964" s="588" t="n"/>
      <c r="CG964" s="588" t="n"/>
      <c r="CH964" s="588" t="n"/>
      <c r="CI964" s="588" t="n"/>
      <c r="CJ964" s="588" t="n"/>
      <c r="CK964" s="588" t="n"/>
      <c r="CL964" s="588" t="n"/>
      <c r="CM964" s="588" t="n"/>
      <c r="CN964" s="588" t="n"/>
      <c r="CO964" s="588" t="n"/>
      <c r="CP964" s="588" t="n"/>
      <c r="CQ964" s="588" t="n"/>
      <c r="CR964" s="588" t="n"/>
      <c r="CS964" s="588" t="n"/>
      <c r="CT964" s="588" t="n"/>
      <c r="CU964" s="588" t="n"/>
      <c r="CV964" s="588" t="n"/>
      <c r="CW964" s="588" t="n"/>
      <c r="CX964" s="588" t="n"/>
      <c r="CY964" s="588" t="n"/>
      <c r="CZ964" s="588" t="n"/>
      <c r="DA964" s="588" t="n"/>
      <c r="DB964" s="588" t="n"/>
      <c r="DC964" s="588" t="n"/>
      <c r="DD964" s="588" t="n"/>
      <c r="DE964" s="588" t="n"/>
      <c r="DF964" s="588" t="n"/>
      <c r="DG964" s="588" t="n"/>
      <c r="DH964" s="588" t="n"/>
      <c r="DI964" s="588" t="n"/>
      <c r="DJ964" s="588" t="n"/>
      <c r="DK964" s="588" t="n"/>
      <c r="DL964" s="588" t="n"/>
      <c r="DM964" s="588" t="n"/>
      <c r="DN964" s="588" t="n"/>
      <c r="DO964" s="588" t="n"/>
      <c r="DP964" s="588" t="n"/>
      <c r="DQ964" s="588" t="n"/>
      <c r="DR964" s="588" t="n"/>
      <c r="DS964" s="588" t="n"/>
      <c r="DT964" s="588" t="n"/>
      <c r="DU964" s="588" t="n"/>
    </row>
    <row r="965">
      <c r="A965" s="737" t="n"/>
      <c r="B965" s="737" t="n"/>
      <c r="C965" s="737" t="n"/>
      <c r="D965" s="737" t="n"/>
      <c r="E965" s="737" t="n"/>
      <c r="F965" s="737" t="n"/>
      <c r="G965" s="737" t="n"/>
      <c r="H965" s="737" t="n"/>
      <c r="I965" s="737" t="n"/>
      <c r="J965" s="737" t="n"/>
      <c r="K965" s="737" t="n"/>
      <c r="L965" s="737" t="n"/>
      <c r="M965" s="737" t="n"/>
      <c r="N965" s="737" t="n"/>
      <c r="O965" s="737" t="n"/>
      <c r="P965" s="737" t="n"/>
      <c r="Q965" s="737" t="n"/>
      <c r="R965" s="737" t="n"/>
      <c r="S965" s="737" t="n"/>
      <c r="T965" s="737" t="n"/>
      <c r="U965" s="737" t="n"/>
      <c r="V965" s="737" t="n"/>
      <c r="W965" s="737" t="n"/>
      <c r="X965" s="737" t="n"/>
      <c r="Y965" s="737" t="n"/>
      <c r="Z965" s="737" t="n"/>
      <c r="AA965" s="737" t="n"/>
      <c r="AB965" s="737" t="n"/>
      <c r="AC965" s="737" t="n"/>
      <c r="AD965" s="737" t="n"/>
      <c r="AE965" s="737" t="n"/>
      <c r="AF965" s="737" t="n"/>
      <c r="AG965" s="737" t="n"/>
      <c r="AH965" s="737" t="n"/>
      <c r="AI965" s="737" t="n"/>
      <c r="AJ965" s="737" t="n"/>
      <c r="AK965" s="588" t="n"/>
      <c r="AL965" s="588" t="n"/>
      <c r="AM965" s="588" t="n"/>
      <c r="AN965" s="588" t="n"/>
      <c r="AO965" s="588" t="n"/>
      <c r="AP965" s="588" t="n"/>
      <c r="AQ965" s="588" t="n"/>
      <c r="AR965" s="588" t="n"/>
      <c r="AS965" s="588" t="n"/>
      <c r="AT965" s="588" t="n"/>
      <c r="AU965" s="588" t="n"/>
      <c r="AV965" s="588" t="n"/>
      <c r="AW965" s="588" t="n"/>
      <c r="AX965" s="588" t="n"/>
      <c r="AY965" s="588" t="n"/>
      <c r="AZ965" s="588" t="n"/>
      <c r="BA965" s="588" t="n"/>
      <c r="BB965" s="588" t="n"/>
      <c r="BC965" s="588" t="n"/>
      <c r="BD965" s="588" t="n"/>
      <c r="BE965" s="588" t="n"/>
      <c r="BF965" s="588" t="n"/>
      <c r="BG965" s="588" t="n"/>
      <c r="BH965" s="588" t="n"/>
      <c r="BI965" s="588" t="n"/>
      <c r="BJ965" s="588" t="n"/>
      <c r="BK965" s="588" t="n"/>
      <c r="BL965" s="588" t="n"/>
      <c r="BM965" s="588" t="n"/>
      <c r="BN965" s="588" t="n"/>
      <c r="BO965" s="588" t="n"/>
      <c r="BP965" s="588" t="n"/>
      <c r="BQ965" s="588" t="n"/>
      <c r="BR965" s="588" t="n"/>
      <c r="BS965" s="588" t="n"/>
      <c r="BT965" s="588" t="n"/>
      <c r="BU965" s="588" t="n"/>
      <c r="BV965" s="588" t="n"/>
      <c r="BW965" s="588" t="n"/>
      <c r="BX965" s="588" t="n"/>
      <c r="BY965" s="588" t="n"/>
      <c r="BZ965" s="588" t="n"/>
      <c r="CA965" s="588" t="n"/>
      <c r="CB965" s="588" t="n"/>
      <c r="CC965" s="588" t="n"/>
      <c r="CD965" s="588" t="n"/>
      <c r="CE965" s="588" t="n"/>
      <c r="CF965" s="588" t="n"/>
      <c r="CG965" s="588" t="n"/>
      <c r="CH965" s="588" t="n"/>
      <c r="CI965" s="588" t="n"/>
      <c r="CJ965" s="588" t="n"/>
      <c r="CK965" s="588" t="n"/>
      <c r="CL965" s="588" t="n"/>
      <c r="CM965" s="588" t="n"/>
      <c r="CN965" s="588" t="n"/>
      <c r="CO965" s="588" t="n"/>
      <c r="CP965" s="588" t="n"/>
      <c r="CQ965" s="588" t="n"/>
      <c r="CR965" s="588" t="n"/>
      <c r="CS965" s="588" t="n"/>
      <c r="CT965" s="588" t="n"/>
      <c r="CU965" s="588" t="n"/>
      <c r="CV965" s="588" t="n"/>
      <c r="CW965" s="588" t="n"/>
      <c r="CX965" s="588" t="n"/>
      <c r="CY965" s="588" t="n"/>
      <c r="CZ965" s="588" t="n"/>
      <c r="DA965" s="588" t="n"/>
      <c r="DB965" s="588" t="n"/>
      <c r="DC965" s="588" t="n"/>
      <c r="DD965" s="588" t="n"/>
      <c r="DE965" s="588" t="n"/>
      <c r="DF965" s="588" t="n"/>
      <c r="DG965" s="588" t="n"/>
      <c r="DH965" s="588" t="n"/>
      <c r="DI965" s="588" t="n"/>
      <c r="DJ965" s="588" t="n"/>
      <c r="DK965" s="588" t="n"/>
      <c r="DL965" s="588" t="n"/>
      <c r="DM965" s="588" t="n"/>
      <c r="DN965" s="588" t="n"/>
      <c r="DO965" s="588" t="n"/>
      <c r="DP965" s="588" t="n"/>
      <c r="DQ965" s="588" t="n"/>
      <c r="DR965" s="588" t="n"/>
      <c r="DS965" s="588" t="n"/>
      <c r="DT965" s="588" t="n"/>
      <c r="DU965" s="588" t="n"/>
    </row>
    <row r="966">
      <c r="A966" s="737" t="n"/>
      <c r="B966" s="737" t="n"/>
      <c r="C966" s="737" t="n"/>
      <c r="D966" s="737" t="n"/>
      <c r="E966" s="737" t="n"/>
      <c r="F966" s="737" t="n"/>
      <c r="G966" s="737" t="n"/>
      <c r="H966" s="737" t="n"/>
      <c r="I966" s="737" t="n"/>
      <c r="J966" s="737" t="n"/>
      <c r="K966" s="737" t="n"/>
      <c r="L966" s="737" t="n"/>
      <c r="M966" s="737" t="n"/>
      <c r="N966" s="737" t="n"/>
      <c r="O966" s="737" t="n"/>
      <c r="P966" s="737" t="n"/>
      <c r="Q966" s="737" t="n"/>
      <c r="R966" s="737" t="n"/>
      <c r="S966" s="737" t="n"/>
      <c r="T966" s="737" t="n"/>
      <c r="U966" s="737" t="n"/>
      <c r="V966" s="737" t="n"/>
      <c r="W966" s="737" t="n"/>
      <c r="X966" s="737" t="n"/>
      <c r="Y966" s="737" t="n"/>
      <c r="Z966" s="737" t="n"/>
      <c r="AA966" s="737" t="n"/>
      <c r="AB966" s="737" t="n"/>
      <c r="AC966" s="737" t="n"/>
      <c r="AD966" s="737" t="n"/>
      <c r="AE966" s="737" t="n"/>
      <c r="AF966" s="737" t="n"/>
      <c r="AG966" s="737" t="n"/>
      <c r="AH966" s="737" t="n"/>
      <c r="AI966" s="737" t="n"/>
      <c r="AJ966" s="737" t="n"/>
      <c r="AK966" s="588" t="n"/>
      <c r="AL966" s="588" t="n"/>
      <c r="AM966" s="588" t="n"/>
      <c r="AN966" s="588" t="n"/>
      <c r="AO966" s="588" t="n"/>
      <c r="AP966" s="588" t="n"/>
      <c r="AQ966" s="588" t="n"/>
      <c r="AR966" s="588" t="n"/>
      <c r="AS966" s="588" t="n"/>
      <c r="AT966" s="588" t="n"/>
      <c r="AU966" s="588" t="n"/>
      <c r="AV966" s="588" t="n"/>
      <c r="AW966" s="588" t="n"/>
      <c r="AX966" s="588" t="n"/>
      <c r="AY966" s="588" t="n"/>
      <c r="AZ966" s="588" t="n"/>
      <c r="BA966" s="588" t="n"/>
      <c r="BB966" s="588" t="n"/>
      <c r="BC966" s="588" t="n"/>
      <c r="BD966" s="588" t="n"/>
      <c r="BE966" s="588" t="n"/>
      <c r="BF966" s="588" t="n"/>
      <c r="BG966" s="588" t="n"/>
      <c r="BH966" s="588" t="n"/>
      <c r="BI966" s="588" t="n"/>
      <c r="BJ966" s="588" t="n"/>
      <c r="BK966" s="588" t="n"/>
      <c r="BL966" s="588" t="n"/>
      <c r="BM966" s="588" t="n"/>
      <c r="BN966" s="588" t="n"/>
      <c r="BO966" s="588" t="n"/>
      <c r="BP966" s="588" t="n"/>
      <c r="BQ966" s="588" t="n"/>
      <c r="BR966" s="588" t="n"/>
      <c r="BS966" s="588" t="n"/>
      <c r="BT966" s="588" t="n"/>
      <c r="BU966" s="588" t="n"/>
      <c r="BV966" s="588" t="n"/>
      <c r="BW966" s="588" t="n"/>
      <c r="BX966" s="588" t="n"/>
      <c r="BY966" s="588" t="n"/>
      <c r="BZ966" s="588" t="n"/>
      <c r="CA966" s="588" t="n"/>
      <c r="CB966" s="588" t="n"/>
      <c r="CC966" s="588" t="n"/>
      <c r="CD966" s="588" t="n"/>
      <c r="CE966" s="588" t="n"/>
      <c r="CF966" s="588" t="n"/>
      <c r="CG966" s="588" t="n"/>
      <c r="CH966" s="588" t="n"/>
      <c r="CI966" s="588" t="n"/>
      <c r="CJ966" s="588" t="n"/>
      <c r="CK966" s="588" t="n"/>
      <c r="CL966" s="588" t="n"/>
      <c r="CM966" s="588" t="n"/>
      <c r="CN966" s="588" t="n"/>
      <c r="CO966" s="588" t="n"/>
      <c r="CP966" s="588" t="n"/>
      <c r="CQ966" s="588" t="n"/>
      <c r="CR966" s="588" t="n"/>
      <c r="CS966" s="588" t="n"/>
      <c r="CT966" s="588" t="n"/>
      <c r="CU966" s="588" t="n"/>
      <c r="CV966" s="588" t="n"/>
      <c r="CW966" s="588" t="n"/>
      <c r="CX966" s="588" t="n"/>
      <c r="CY966" s="588" t="n"/>
      <c r="CZ966" s="588" t="n"/>
      <c r="DA966" s="588" t="n"/>
      <c r="DB966" s="588" t="n"/>
      <c r="DC966" s="588" t="n"/>
      <c r="DD966" s="588" t="n"/>
      <c r="DE966" s="588" t="n"/>
      <c r="DF966" s="588" t="n"/>
      <c r="DG966" s="588" t="n"/>
      <c r="DH966" s="588" t="n"/>
      <c r="DI966" s="588" t="n"/>
      <c r="DJ966" s="588" t="n"/>
      <c r="DK966" s="588" t="n"/>
      <c r="DL966" s="588" t="n"/>
      <c r="DM966" s="588" t="n"/>
      <c r="DN966" s="588" t="n"/>
      <c r="DO966" s="588" t="n"/>
      <c r="DP966" s="588" t="n"/>
      <c r="DQ966" s="588" t="n"/>
      <c r="DR966" s="588" t="n"/>
      <c r="DS966" s="588" t="n"/>
      <c r="DT966" s="588" t="n"/>
      <c r="DU966" s="588" t="n"/>
    </row>
    <row r="967">
      <c r="A967" s="737" t="n"/>
      <c r="B967" s="737" t="n"/>
      <c r="C967" s="737" t="n"/>
      <c r="D967" s="737" t="n"/>
      <c r="E967" s="737" t="n"/>
      <c r="F967" s="737" t="n"/>
      <c r="G967" s="737" t="n"/>
      <c r="H967" s="737" t="n"/>
      <c r="I967" s="737" t="n"/>
      <c r="J967" s="737" t="n"/>
      <c r="K967" s="737" t="n"/>
      <c r="L967" s="737" t="n"/>
      <c r="M967" s="737" t="n"/>
      <c r="N967" s="737" t="n"/>
      <c r="O967" s="737" t="n"/>
      <c r="P967" s="737" t="n"/>
      <c r="Q967" s="737" t="n"/>
      <c r="R967" s="737" t="n"/>
      <c r="S967" s="737" t="n"/>
      <c r="T967" s="737" t="n"/>
      <c r="U967" s="737" t="n"/>
      <c r="V967" s="737" t="n"/>
      <c r="W967" s="737" t="n"/>
      <c r="X967" s="737" t="n"/>
      <c r="Y967" s="737" t="n"/>
      <c r="Z967" s="737" t="n"/>
      <c r="AA967" s="737" t="n"/>
      <c r="AB967" s="737" t="n"/>
      <c r="AC967" s="737" t="n"/>
      <c r="AD967" s="737" t="n"/>
      <c r="AE967" s="737" t="n"/>
      <c r="AF967" s="737" t="n"/>
      <c r="AG967" s="737" t="n"/>
      <c r="AH967" s="737" t="n"/>
      <c r="AI967" s="737" t="n"/>
      <c r="AJ967" s="737" t="n"/>
      <c r="AK967" s="588" t="n"/>
      <c r="AL967" s="588" t="n"/>
      <c r="AM967" s="588" t="n"/>
      <c r="AN967" s="588" t="n"/>
      <c r="AO967" s="588" t="n"/>
      <c r="AP967" s="588" t="n"/>
      <c r="AQ967" s="588" t="n"/>
      <c r="AR967" s="588" t="n"/>
      <c r="AS967" s="588" t="n"/>
      <c r="AT967" s="588" t="n"/>
      <c r="AU967" s="588" t="n"/>
      <c r="AV967" s="588" t="n"/>
      <c r="AW967" s="588" t="n"/>
      <c r="AX967" s="588" t="n"/>
      <c r="AY967" s="588" t="n"/>
      <c r="AZ967" s="588" t="n"/>
      <c r="BA967" s="588" t="n"/>
      <c r="BB967" s="588" t="n"/>
      <c r="BC967" s="588" t="n"/>
      <c r="BD967" s="588" t="n"/>
      <c r="BE967" s="588" t="n"/>
      <c r="BF967" s="588" t="n"/>
      <c r="BG967" s="588" t="n"/>
      <c r="BH967" s="588" t="n"/>
      <c r="BI967" s="588" t="n"/>
      <c r="BJ967" s="588" t="n"/>
      <c r="BK967" s="588" t="n"/>
      <c r="BL967" s="588" t="n"/>
      <c r="BM967" s="588" t="n"/>
      <c r="BN967" s="588" t="n"/>
      <c r="BO967" s="588" t="n"/>
      <c r="BP967" s="588" t="n"/>
      <c r="BQ967" s="588" t="n"/>
      <c r="BR967" s="588" t="n"/>
      <c r="BS967" s="588" t="n"/>
      <c r="BT967" s="588" t="n"/>
      <c r="BU967" s="588" t="n"/>
      <c r="BV967" s="588" t="n"/>
      <c r="BW967" s="588" t="n"/>
      <c r="BX967" s="588" t="n"/>
      <c r="BY967" s="588" t="n"/>
      <c r="BZ967" s="588" t="n"/>
      <c r="CA967" s="588" t="n"/>
      <c r="CB967" s="588" t="n"/>
      <c r="CC967" s="588" t="n"/>
      <c r="CD967" s="588" t="n"/>
      <c r="CE967" s="588" t="n"/>
      <c r="CF967" s="588" t="n"/>
      <c r="CG967" s="588" t="n"/>
      <c r="CH967" s="588" t="n"/>
      <c r="CI967" s="588" t="n"/>
      <c r="CJ967" s="588" t="n"/>
      <c r="CK967" s="588" t="n"/>
      <c r="CL967" s="588" t="n"/>
      <c r="CM967" s="588" t="n"/>
      <c r="CN967" s="588" t="n"/>
      <c r="CO967" s="588" t="n"/>
      <c r="CP967" s="588" t="n"/>
      <c r="CQ967" s="588" t="n"/>
      <c r="CR967" s="588" t="n"/>
      <c r="CS967" s="588" t="n"/>
      <c r="CT967" s="588" t="n"/>
      <c r="CU967" s="588" t="n"/>
      <c r="CV967" s="588" t="n"/>
      <c r="CW967" s="588" t="n"/>
      <c r="CX967" s="588" t="n"/>
      <c r="CY967" s="588" t="n"/>
      <c r="CZ967" s="588" t="n"/>
      <c r="DA967" s="588" t="n"/>
      <c r="DB967" s="588" t="n"/>
      <c r="DC967" s="588" t="n"/>
      <c r="DD967" s="588" t="n"/>
      <c r="DE967" s="588" t="n"/>
      <c r="DF967" s="588" t="n"/>
      <c r="DG967" s="588" t="n"/>
      <c r="DH967" s="588" t="n"/>
      <c r="DI967" s="588" t="n"/>
      <c r="DJ967" s="588" t="n"/>
      <c r="DK967" s="588" t="n"/>
      <c r="DL967" s="588" t="n"/>
      <c r="DM967" s="588" t="n"/>
      <c r="DN967" s="588" t="n"/>
      <c r="DO967" s="588" t="n"/>
      <c r="DP967" s="588" t="n"/>
      <c r="DQ967" s="588" t="n"/>
      <c r="DR967" s="588" t="n"/>
      <c r="DS967" s="588" t="n"/>
      <c r="DT967" s="588" t="n"/>
      <c r="DU967" s="588" t="n"/>
    </row>
    <row r="968">
      <c r="A968" s="737" t="n"/>
      <c r="B968" s="737" t="n"/>
      <c r="C968" s="737" t="n"/>
      <c r="D968" s="737" t="n"/>
      <c r="E968" s="737" t="n"/>
      <c r="F968" s="737" t="n"/>
      <c r="G968" s="737" t="n"/>
      <c r="H968" s="737" t="n"/>
      <c r="I968" s="737" t="n"/>
      <c r="J968" s="737" t="n"/>
      <c r="K968" s="737" t="n"/>
      <c r="L968" s="737" t="n"/>
      <c r="M968" s="737" t="n"/>
      <c r="N968" s="737" t="n"/>
      <c r="O968" s="737" t="n"/>
      <c r="P968" s="737" t="n"/>
      <c r="Q968" s="737" t="n"/>
      <c r="R968" s="737" t="n"/>
      <c r="S968" s="737" t="n"/>
      <c r="T968" s="737" t="n"/>
      <c r="U968" s="737" t="n"/>
      <c r="V968" s="737" t="n"/>
      <c r="W968" s="737" t="n"/>
      <c r="X968" s="737" t="n"/>
      <c r="Y968" s="737" t="n"/>
      <c r="Z968" s="737" t="n"/>
      <c r="AA968" s="737" t="n"/>
      <c r="AB968" s="737" t="n"/>
      <c r="AC968" s="737" t="n"/>
      <c r="AD968" s="737" t="n"/>
      <c r="AE968" s="737" t="n"/>
      <c r="AF968" s="737" t="n"/>
      <c r="AG968" s="737" t="n"/>
      <c r="AH968" s="737" t="n"/>
      <c r="AI968" s="737" t="n"/>
      <c r="AJ968" s="737" t="n"/>
      <c r="AK968" s="588" t="n"/>
      <c r="AL968" s="588" t="n"/>
      <c r="AM968" s="588" t="n"/>
      <c r="AN968" s="588" t="n"/>
      <c r="AO968" s="588" t="n"/>
      <c r="AP968" s="588" t="n"/>
      <c r="AQ968" s="588" t="n"/>
      <c r="AR968" s="588" t="n"/>
      <c r="AS968" s="588" t="n"/>
      <c r="AT968" s="588" t="n"/>
      <c r="AU968" s="588" t="n"/>
      <c r="AV968" s="588" t="n"/>
      <c r="AW968" s="588" t="n"/>
      <c r="AX968" s="588" t="n"/>
      <c r="AY968" s="588" t="n"/>
      <c r="AZ968" s="588" t="n"/>
      <c r="BA968" s="588" t="n"/>
      <c r="BB968" s="588" t="n"/>
      <c r="BC968" s="588" t="n"/>
      <c r="BD968" s="588" t="n"/>
      <c r="BE968" s="588" t="n"/>
      <c r="BF968" s="588" t="n"/>
      <c r="BG968" s="588" t="n"/>
      <c r="BH968" s="588" t="n"/>
      <c r="BI968" s="588" t="n"/>
      <c r="BJ968" s="588" t="n"/>
      <c r="BK968" s="588" t="n"/>
      <c r="BL968" s="588" t="n"/>
      <c r="BM968" s="588" t="n"/>
      <c r="BN968" s="588" t="n"/>
      <c r="BO968" s="588" t="n"/>
      <c r="BP968" s="588" t="n"/>
      <c r="BQ968" s="588" t="n"/>
      <c r="BR968" s="588" t="n"/>
      <c r="BS968" s="588" t="n"/>
      <c r="BT968" s="588" t="n"/>
      <c r="BU968" s="588" t="n"/>
      <c r="BV968" s="588" t="n"/>
      <c r="BW968" s="588" t="n"/>
      <c r="BX968" s="588" t="n"/>
      <c r="BY968" s="588" t="n"/>
      <c r="BZ968" s="588" t="n"/>
      <c r="CA968" s="588" t="n"/>
      <c r="CB968" s="588" t="n"/>
      <c r="CC968" s="588" t="n"/>
      <c r="CD968" s="588" t="n"/>
      <c r="CE968" s="588" t="n"/>
      <c r="CF968" s="588" t="n"/>
      <c r="CG968" s="588" t="n"/>
      <c r="CH968" s="588" t="n"/>
      <c r="CI968" s="588" t="n"/>
      <c r="CJ968" s="588" t="n"/>
      <c r="CK968" s="588" t="n"/>
      <c r="CL968" s="588" t="n"/>
      <c r="CM968" s="588" t="n"/>
      <c r="CN968" s="588" t="n"/>
      <c r="CO968" s="588" t="n"/>
      <c r="CP968" s="588" t="n"/>
      <c r="CQ968" s="588" t="n"/>
      <c r="CR968" s="588" t="n"/>
      <c r="CS968" s="588" t="n"/>
      <c r="CT968" s="588" t="n"/>
      <c r="CU968" s="588" t="n"/>
      <c r="CV968" s="588" t="n"/>
      <c r="CW968" s="588" t="n"/>
      <c r="CX968" s="588" t="n"/>
      <c r="CY968" s="588" t="n"/>
      <c r="CZ968" s="588" t="n"/>
      <c r="DA968" s="588" t="n"/>
      <c r="DB968" s="588" t="n"/>
      <c r="DC968" s="588" t="n"/>
      <c r="DD968" s="588" t="n"/>
      <c r="DE968" s="588" t="n"/>
      <c r="DF968" s="588" t="n"/>
      <c r="DG968" s="588" t="n"/>
      <c r="DH968" s="588" t="n"/>
      <c r="DI968" s="588" t="n"/>
      <c r="DJ968" s="588" t="n"/>
      <c r="DK968" s="588" t="n"/>
      <c r="DL968" s="588" t="n"/>
      <c r="DM968" s="588" t="n"/>
      <c r="DN968" s="588" t="n"/>
      <c r="DO968" s="588" t="n"/>
      <c r="DP968" s="588" t="n"/>
      <c r="DQ968" s="588" t="n"/>
      <c r="DR968" s="588" t="n"/>
      <c r="DS968" s="588" t="n"/>
      <c r="DT968" s="588" t="n"/>
      <c r="DU968" s="588" t="n"/>
    </row>
    <row r="969">
      <c r="A969" s="737" t="n"/>
      <c r="B969" s="737" t="n"/>
      <c r="C969" s="737" t="n"/>
      <c r="D969" s="737" t="n"/>
      <c r="E969" s="737" t="n"/>
      <c r="F969" s="737" t="n"/>
      <c r="G969" s="737" t="n"/>
      <c r="H969" s="737" t="n"/>
      <c r="I969" s="737" t="n"/>
      <c r="J969" s="737" t="n"/>
      <c r="K969" s="737" t="n"/>
      <c r="L969" s="737" t="n"/>
      <c r="M969" s="737" t="n"/>
      <c r="N969" s="737" t="n"/>
      <c r="O969" s="737" t="n"/>
      <c r="P969" s="737" t="n"/>
      <c r="Q969" s="737" t="n"/>
      <c r="R969" s="737" t="n"/>
      <c r="S969" s="737" t="n"/>
      <c r="T969" s="737" t="n"/>
      <c r="U969" s="737" t="n"/>
      <c r="V969" s="737" t="n"/>
      <c r="W969" s="737" t="n"/>
      <c r="X969" s="737" t="n"/>
      <c r="Y969" s="737" t="n"/>
      <c r="Z969" s="737" t="n"/>
      <c r="AA969" s="737" t="n"/>
      <c r="AB969" s="737" t="n"/>
      <c r="AC969" s="737" t="n"/>
      <c r="AD969" s="737" t="n"/>
      <c r="AE969" s="737" t="n"/>
      <c r="AF969" s="737" t="n"/>
      <c r="AG969" s="737" t="n"/>
      <c r="AH969" s="737" t="n"/>
      <c r="AI969" s="737" t="n"/>
      <c r="AJ969" s="737" t="n"/>
      <c r="AK969" s="588" t="n"/>
      <c r="AL969" s="588" t="n"/>
      <c r="AM969" s="588" t="n"/>
      <c r="AN969" s="588" t="n"/>
      <c r="AO969" s="588" t="n"/>
      <c r="AP969" s="588" t="n"/>
      <c r="AQ969" s="588" t="n"/>
      <c r="AR969" s="588" t="n"/>
      <c r="AS969" s="588" t="n"/>
      <c r="AT969" s="588" t="n"/>
      <c r="AU969" s="588" t="n"/>
      <c r="AV969" s="588" t="n"/>
      <c r="AW969" s="588" t="n"/>
      <c r="AX969" s="588" t="n"/>
      <c r="AY969" s="588" t="n"/>
      <c r="AZ969" s="588" t="n"/>
      <c r="BA969" s="588" t="n"/>
      <c r="BB969" s="588" t="n"/>
      <c r="BC969" s="588" t="n"/>
      <c r="BD969" s="588" t="n"/>
      <c r="BE969" s="588" t="n"/>
      <c r="BF969" s="588" t="n"/>
      <c r="BG969" s="588" t="n"/>
      <c r="BH969" s="588" t="n"/>
      <c r="BI969" s="588" t="n"/>
      <c r="BJ969" s="588" t="n"/>
      <c r="BK969" s="588" t="n"/>
      <c r="BL969" s="588" t="n"/>
      <c r="BM969" s="588" t="n"/>
      <c r="BN969" s="588" t="n"/>
      <c r="BO969" s="588" t="n"/>
      <c r="BP969" s="588" t="n"/>
      <c r="BQ969" s="588" t="n"/>
      <c r="BR969" s="588" t="n"/>
      <c r="BS969" s="588" t="n"/>
      <c r="BT969" s="588" t="n"/>
      <c r="BU969" s="588" t="n"/>
      <c r="BV969" s="588" t="n"/>
      <c r="BW969" s="588" t="n"/>
      <c r="BX969" s="588" t="n"/>
      <c r="BY969" s="588" t="n"/>
      <c r="BZ969" s="588" t="n"/>
      <c r="CA969" s="588" t="n"/>
      <c r="CB969" s="588" t="n"/>
      <c r="CC969" s="588" t="n"/>
      <c r="CD969" s="588" t="n"/>
      <c r="CE969" s="588" t="n"/>
      <c r="CF969" s="588" t="n"/>
      <c r="CG969" s="588" t="n"/>
      <c r="CH969" s="588" t="n"/>
      <c r="CI969" s="588" t="n"/>
      <c r="CJ969" s="588" t="n"/>
      <c r="CK969" s="588" t="n"/>
      <c r="CL969" s="588" t="n"/>
      <c r="CM969" s="588" t="n"/>
      <c r="CN969" s="588" t="n"/>
      <c r="CO969" s="588" t="n"/>
      <c r="CP969" s="588" t="n"/>
      <c r="CQ969" s="588" t="n"/>
      <c r="CR969" s="588" t="n"/>
      <c r="CS969" s="588" t="n"/>
      <c r="CT969" s="588" t="n"/>
      <c r="CU969" s="588" t="n"/>
      <c r="CV969" s="588" t="n"/>
      <c r="CW969" s="588" t="n"/>
      <c r="CX969" s="588" t="n"/>
      <c r="CY969" s="588" t="n"/>
      <c r="CZ969" s="588" t="n"/>
      <c r="DA969" s="588" t="n"/>
      <c r="DB969" s="588" t="n"/>
      <c r="DC969" s="588" t="n"/>
      <c r="DD969" s="588" t="n"/>
      <c r="DE969" s="588" t="n"/>
      <c r="DF969" s="588" t="n"/>
      <c r="DG969" s="588" t="n"/>
      <c r="DH969" s="588" t="n"/>
      <c r="DI969" s="588" t="n"/>
      <c r="DJ969" s="588" t="n"/>
      <c r="DK969" s="588" t="n"/>
      <c r="DL969" s="588" t="n"/>
      <c r="DM969" s="588" t="n"/>
      <c r="DN969" s="588" t="n"/>
      <c r="DO969" s="588" t="n"/>
      <c r="DP969" s="588" t="n"/>
      <c r="DQ969" s="588" t="n"/>
      <c r="DR969" s="588" t="n"/>
      <c r="DS969" s="588" t="n"/>
      <c r="DT969" s="588" t="n"/>
      <c r="DU969" s="588" t="n"/>
    </row>
    <row r="970">
      <c r="A970" s="737" t="n"/>
      <c r="B970" s="737" t="n"/>
      <c r="C970" s="737" t="n"/>
      <c r="D970" s="737" t="n"/>
      <c r="E970" s="737" t="n"/>
      <c r="F970" s="737" t="n"/>
      <c r="G970" s="737" t="n"/>
      <c r="H970" s="737" t="n"/>
      <c r="I970" s="737" t="n"/>
      <c r="J970" s="737" t="n"/>
      <c r="K970" s="737" t="n"/>
      <c r="L970" s="737" t="n"/>
      <c r="M970" s="737" t="n"/>
      <c r="N970" s="737" t="n"/>
      <c r="O970" s="737" t="n"/>
      <c r="P970" s="737" t="n"/>
      <c r="Q970" s="737" t="n"/>
      <c r="R970" s="737" t="n"/>
      <c r="S970" s="737" t="n"/>
      <c r="T970" s="737" t="n"/>
      <c r="U970" s="737" t="n"/>
      <c r="V970" s="737" t="n"/>
      <c r="W970" s="737" t="n"/>
      <c r="X970" s="737" t="n"/>
      <c r="Y970" s="737" t="n"/>
      <c r="Z970" s="737" t="n"/>
      <c r="AA970" s="737" t="n"/>
      <c r="AB970" s="737" t="n"/>
      <c r="AC970" s="737" t="n"/>
      <c r="AD970" s="737" t="n"/>
      <c r="AE970" s="737" t="n"/>
      <c r="AF970" s="737" t="n"/>
      <c r="AG970" s="737" t="n"/>
      <c r="AH970" s="737" t="n"/>
      <c r="AI970" s="737" t="n"/>
      <c r="AJ970" s="737" t="n"/>
      <c r="AK970" s="588" t="n"/>
      <c r="AL970" s="588" t="n"/>
      <c r="AM970" s="588" t="n"/>
      <c r="AN970" s="588" t="n"/>
      <c r="AO970" s="588" t="n"/>
      <c r="AP970" s="588" t="n"/>
      <c r="AQ970" s="588" t="n"/>
      <c r="AR970" s="588" t="n"/>
      <c r="AS970" s="588" t="n"/>
      <c r="AT970" s="588" t="n"/>
      <c r="AU970" s="588" t="n"/>
      <c r="AV970" s="588" t="n"/>
      <c r="AW970" s="588" t="n"/>
      <c r="AX970" s="588" t="n"/>
      <c r="AY970" s="588" t="n"/>
      <c r="AZ970" s="588" t="n"/>
      <c r="BA970" s="588" t="n"/>
      <c r="BB970" s="588" t="n"/>
      <c r="BC970" s="588" t="n"/>
      <c r="BD970" s="588" t="n"/>
      <c r="BE970" s="588" t="n"/>
      <c r="BF970" s="588" t="n"/>
      <c r="BG970" s="588" t="n"/>
      <c r="BH970" s="588" t="n"/>
      <c r="BI970" s="588" t="n"/>
      <c r="BJ970" s="588" t="n"/>
      <c r="BK970" s="588" t="n"/>
      <c r="BL970" s="588" t="n"/>
      <c r="BM970" s="588" t="n"/>
      <c r="BN970" s="588" t="n"/>
      <c r="BO970" s="588" t="n"/>
      <c r="BP970" s="588" t="n"/>
      <c r="BQ970" s="588" t="n"/>
      <c r="BR970" s="588" t="n"/>
      <c r="BS970" s="588" t="n"/>
      <c r="BT970" s="588" t="n"/>
      <c r="BU970" s="588" t="n"/>
      <c r="BV970" s="588" t="n"/>
      <c r="BW970" s="588" t="n"/>
      <c r="BX970" s="588" t="n"/>
      <c r="BY970" s="588" t="n"/>
      <c r="BZ970" s="588" t="n"/>
      <c r="CA970" s="588" t="n"/>
      <c r="CB970" s="588" t="n"/>
      <c r="CC970" s="588" t="n"/>
      <c r="CD970" s="588" t="n"/>
      <c r="CE970" s="588" t="n"/>
      <c r="CF970" s="588" t="n"/>
      <c r="CG970" s="588" t="n"/>
      <c r="CH970" s="588" t="n"/>
      <c r="CI970" s="588" t="n"/>
      <c r="CJ970" s="588" t="n"/>
      <c r="CK970" s="588" t="n"/>
      <c r="CL970" s="588" t="n"/>
      <c r="CM970" s="588" t="n"/>
      <c r="CN970" s="588" t="n"/>
      <c r="CO970" s="588" t="n"/>
      <c r="CP970" s="588" t="n"/>
      <c r="CQ970" s="588" t="n"/>
      <c r="CR970" s="588" t="n"/>
      <c r="CS970" s="588" t="n"/>
      <c r="CT970" s="588" t="n"/>
      <c r="CU970" s="588" t="n"/>
      <c r="CV970" s="588" t="n"/>
      <c r="CW970" s="588" t="n"/>
      <c r="CX970" s="588" t="n"/>
      <c r="CY970" s="588" t="n"/>
      <c r="CZ970" s="588" t="n"/>
      <c r="DA970" s="588" t="n"/>
      <c r="DB970" s="588" t="n"/>
      <c r="DC970" s="588" t="n"/>
      <c r="DD970" s="588" t="n"/>
      <c r="DE970" s="588" t="n"/>
      <c r="DF970" s="588" t="n"/>
      <c r="DG970" s="588" t="n"/>
      <c r="DH970" s="588" t="n"/>
      <c r="DI970" s="588" t="n"/>
      <c r="DJ970" s="588" t="n"/>
      <c r="DK970" s="588" t="n"/>
      <c r="DL970" s="588" t="n"/>
      <c r="DM970" s="588" t="n"/>
      <c r="DN970" s="588" t="n"/>
      <c r="DO970" s="588" t="n"/>
      <c r="DP970" s="588" t="n"/>
      <c r="DQ970" s="588" t="n"/>
      <c r="DR970" s="588" t="n"/>
      <c r="DS970" s="588" t="n"/>
      <c r="DT970" s="588" t="n"/>
      <c r="DU970" s="588" t="n"/>
    </row>
    <row r="971">
      <c r="A971" s="737" t="n"/>
      <c r="B971" s="737" t="n"/>
      <c r="C971" s="737" t="n"/>
      <c r="D971" s="737" t="n"/>
      <c r="E971" s="737" t="n"/>
      <c r="F971" s="737" t="n"/>
      <c r="G971" s="737" t="n"/>
      <c r="H971" s="737" t="n"/>
      <c r="I971" s="737" t="n"/>
      <c r="J971" s="737" t="n"/>
      <c r="K971" s="737" t="n"/>
      <c r="L971" s="737" t="n"/>
      <c r="M971" s="737" t="n"/>
      <c r="N971" s="737" t="n"/>
      <c r="O971" s="737" t="n"/>
      <c r="P971" s="737" t="n"/>
      <c r="Q971" s="737" t="n"/>
      <c r="R971" s="737" t="n"/>
      <c r="S971" s="737" t="n"/>
      <c r="T971" s="737" t="n"/>
      <c r="U971" s="737" t="n"/>
      <c r="V971" s="737" t="n"/>
      <c r="W971" s="737" t="n"/>
      <c r="X971" s="737" t="n"/>
      <c r="Y971" s="737" t="n"/>
      <c r="Z971" s="737" t="n"/>
      <c r="AA971" s="737" t="n"/>
      <c r="AB971" s="737" t="n"/>
      <c r="AC971" s="737" t="n"/>
      <c r="AD971" s="737" t="n"/>
      <c r="AE971" s="737" t="n"/>
      <c r="AF971" s="737" t="n"/>
      <c r="AG971" s="737" t="n"/>
      <c r="AH971" s="737" t="n"/>
      <c r="AI971" s="737" t="n"/>
      <c r="AJ971" s="737" t="n"/>
      <c r="AK971" s="588" t="n"/>
      <c r="AL971" s="588" t="n"/>
      <c r="AM971" s="588" t="n"/>
      <c r="AN971" s="588" t="n"/>
      <c r="AO971" s="588" t="n"/>
      <c r="AP971" s="588" t="n"/>
      <c r="AQ971" s="588" t="n"/>
      <c r="AR971" s="588" t="n"/>
      <c r="AS971" s="588" t="n"/>
      <c r="AT971" s="588" t="n"/>
      <c r="AU971" s="588" t="n"/>
      <c r="AV971" s="588" t="n"/>
      <c r="AW971" s="588" t="n"/>
      <c r="AX971" s="588" t="n"/>
      <c r="AY971" s="588" t="n"/>
      <c r="AZ971" s="588" t="n"/>
      <c r="BA971" s="588" t="n"/>
      <c r="BB971" s="588" t="n"/>
      <c r="BC971" s="588" t="n"/>
      <c r="BD971" s="588" t="n"/>
      <c r="BE971" s="588" t="n"/>
      <c r="BF971" s="588" t="n"/>
      <c r="BG971" s="588" t="n"/>
      <c r="BH971" s="588" t="n"/>
      <c r="BI971" s="588" t="n"/>
      <c r="BJ971" s="588" t="n"/>
      <c r="BK971" s="588" t="n"/>
      <c r="BL971" s="588" t="n"/>
      <c r="BM971" s="588" t="n"/>
      <c r="BN971" s="588" t="n"/>
      <c r="BO971" s="588" t="n"/>
      <c r="BP971" s="588" t="n"/>
      <c r="BQ971" s="588" t="n"/>
      <c r="BR971" s="588" t="n"/>
      <c r="BS971" s="588" t="n"/>
      <c r="BT971" s="588" t="n"/>
      <c r="BU971" s="588" t="n"/>
      <c r="BV971" s="588" t="n"/>
      <c r="BW971" s="588" t="n"/>
      <c r="BX971" s="588" t="n"/>
      <c r="BY971" s="588" t="n"/>
      <c r="BZ971" s="588" t="n"/>
      <c r="CA971" s="588" t="n"/>
      <c r="CB971" s="588" t="n"/>
      <c r="CC971" s="588" t="n"/>
      <c r="CD971" s="588" t="n"/>
      <c r="CE971" s="588" t="n"/>
      <c r="CF971" s="588" t="n"/>
      <c r="CG971" s="588" t="n"/>
      <c r="CH971" s="588" t="n"/>
      <c r="CI971" s="588" t="n"/>
      <c r="CJ971" s="588" t="n"/>
      <c r="CK971" s="588" t="n"/>
      <c r="CL971" s="588" t="n"/>
      <c r="CM971" s="588" t="n"/>
      <c r="CN971" s="588" t="n"/>
      <c r="CO971" s="588" t="n"/>
      <c r="CP971" s="588" t="n"/>
      <c r="CQ971" s="588" t="n"/>
      <c r="CR971" s="588" t="n"/>
      <c r="CS971" s="588" t="n"/>
      <c r="CT971" s="588" t="n"/>
      <c r="CU971" s="588" t="n"/>
      <c r="CV971" s="588" t="n"/>
      <c r="CW971" s="588" t="n"/>
      <c r="CX971" s="588" t="n"/>
      <c r="CY971" s="588" t="n"/>
      <c r="CZ971" s="588" t="n"/>
      <c r="DA971" s="588" t="n"/>
      <c r="DB971" s="588" t="n"/>
      <c r="DC971" s="588" t="n"/>
      <c r="DD971" s="588" t="n"/>
      <c r="DE971" s="588" t="n"/>
      <c r="DF971" s="588" t="n"/>
      <c r="DG971" s="588" t="n"/>
      <c r="DH971" s="588" t="n"/>
      <c r="DI971" s="588" t="n"/>
      <c r="DJ971" s="588" t="n"/>
      <c r="DK971" s="588" t="n"/>
      <c r="DL971" s="588" t="n"/>
      <c r="DM971" s="588" t="n"/>
      <c r="DN971" s="588" t="n"/>
      <c r="DO971" s="588" t="n"/>
      <c r="DP971" s="588" t="n"/>
      <c r="DQ971" s="588" t="n"/>
      <c r="DR971" s="588" t="n"/>
      <c r="DS971" s="588" t="n"/>
      <c r="DT971" s="588" t="n"/>
      <c r="DU971" s="588" t="n"/>
    </row>
    <row r="972">
      <c r="A972" s="737" t="n"/>
      <c r="B972" s="737" t="n"/>
      <c r="C972" s="737" t="n"/>
      <c r="D972" s="737" t="n"/>
      <c r="E972" s="737" t="n"/>
      <c r="F972" s="737" t="n"/>
      <c r="G972" s="737" t="n"/>
      <c r="H972" s="737" t="n"/>
      <c r="I972" s="737" t="n"/>
      <c r="J972" s="737" t="n"/>
      <c r="K972" s="737" t="n"/>
      <c r="L972" s="737" t="n"/>
      <c r="M972" s="737" t="n"/>
      <c r="N972" s="737" t="n"/>
      <c r="O972" s="737" t="n"/>
      <c r="P972" s="737" t="n"/>
      <c r="Q972" s="737" t="n"/>
      <c r="R972" s="737" t="n"/>
      <c r="S972" s="737" t="n"/>
      <c r="T972" s="737" t="n"/>
      <c r="U972" s="737" t="n"/>
      <c r="V972" s="737" t="n"/>
      <c r="W972" s="737" t="n"/>
      <c r="X972" s="737" t="n"/>
      <c r="Y972" s="737" t="n"/>
      <c r="Z972" s="737" t="n"/>
      <c r="AA972" s="737" t="n"/>
      <c r="AB972" s="737" t="n"/>
      <c r="AC972" s="737" t="n"/>
      <c r="AD972" s="737" t="n"/>
      <c r="AE972" s="737" t="n"/>
      <c r="AF972" s="737" t="n"/>
      <c r="AG972" s="737" t="n"/>
      <c r="AH972" s="737" t="n"/>
      <c r="AI972" s="737" t="n"/>
      <c r="AJ972" s="737" t="n"/>
      <c r="AK972" s="588" t="n"/>
      <c r="AL972" s="588" t="n"/>
      <c r="AM972" s="588" t="n"/>
      <c r="AN972" s="588" t="n"/>
      <c r="AO972" s="588" t="n"/>
      <c r="AP972" s="588" t="n"/>
      <c r="AQ972" s="588" t="n"/>
      <c r="AR972" s="588" t="n"/>
      <c r="AS972" s="588" t="n"/>
      <c r="AT972" s="588" t="n"/>
      <c r="AU972" s="588" t="n"/>
      <c r="AV972" s="588" t="n"/>
      <c r="AW972" s="588" t="n"/>
      <c r="AX972" s="588" t="n"/>
      <c r="AY972" s="588" t="n"/>
      <c r="AZ972" s="588" t="n"/>
      <c r="BA972" s="588" t="n"/>
      <c r="BB972" s="588" t="n"/>
      <c r="BC972" s="588" t="n"/>
      <c r="BD972" s="588" t="n"/>
      <c r="BE972" s="588" t="n"/>
      <c r="BF972" s="588" t="n"/>
      <c r="BG972" s="588" t="n"/>
      <c r="BH972" s="588" t="n"/>
      <c r="BI972" s="588" t="n"/>
      <c r="BJ972" s="588" t="n"/>
      <c r="BK972" s="588" t="n"/>
      <c r="BL972" s="588" t="n"/>
      <c r="BM972" s="588" t="n"/>
      <c r="BN972" s="588" t="n"/>
      <c r="BO972" s="588" t="n"/>
      <c r="BP972" s="588" t="n"/>
      <c r="BQ972" s="588" t="n"/>
      <c r="BR972" s="588" t="n"/>
      <c r="BS972" s="588" t="n"/>
      <c r="BT972" s="588" t="n"/>
      <c r="BU972" s="588" t="n"/>
      <c r="BV972" s="588" t="n"/>
      <c r="BW972" s="588" t="n"/>
      <c r="BX972" s="588" t="n"/>
      <c r="BY972" s="588" t="n"/>
      <c r="BZ972" s="588" t="n"/>
      <c r="CA972" s="588" t="n"/>
      <c r="CB972" s="588" t="n"/>
      <c r="CC972" s="588" t="n"/>
      <c r="CD972" s="588" t="n"/>
      <c r="CE972" s="588" t="n"/>
      <c r="CF972" s="588" t="n"/>
      <c r="CG972" s="588" t="n"/>
      <c r="CH972" s="588" t="n"/>
      <c r="CI972" s="588" t="n"/>
      <c r="CJ972" s="588" t="n"/>
      <c r="CK972" s="588" t="n"/>
      <c r="CL972" s="588" t="n"/>
      <c r="CM972" s="588" t="n"/>
      <c r="CN972" s="588" t="n"/>
      <c r="CO972" s="588" t="n"/>
      <c r="CP972" s="588" t="n"/>
      <c r="CQ972" s="588" t="n"/>
      <c r="CR972" s="588" t="n"/>
      <c r="CS972" s="588" t="n"/>
      <c r="CT972" s="588" t="n"/>
      <c r="CU972" s="588" t="n"/>
      <c r="CV972" s="588" t="n"/>
      <c r="CW972" s="588" t="n"/>
      <c r="CX972" s="588" t="n"/>
      <c r="CY972" s="588" t="n"/>
      <c r="CZ972" s="588" t="n"/>
      <c r="DA972" s="588" t="n"/>
      <c r="DB972" s="588" t="n"/>
      <c r="DC972" s="588" t="n"/>
      <c r="DD972" s="588" t="n"/>
      <c r="DE972" s="588" t="n"/>
      <c r="DF972" s="588" t="n"/>
      <c r="DG972" s="588" t="n"/>
      <c r="DH972" s="588" t="n"/>
      <c r="DI972" s="588" t="n"/>
      <c r="DJ972" s="588" t="n"/>
      <c r="DK972" s="588" t="n"/>
      <c r="DL972" s="588" t="n"/>
      <c r="DM972" s="588" t="n"/>
      <c r="DN972" s="588" t="n"/>
      <c r="DO972" s="588" t="n"/>
      <c r="DP972" s="588" t="n"/>
      <c r="DQ972" s="588" t="n"/>
      <c r="DR972" s="588" t="n"/>
      <c r="DS972" s="588" t="n"/>
      <c r="DT972" s="588" t="n"/>
      <c r="DU972" s="588" t="n"/>
    </row>
    <row r="973">
      <c r="A973" s="737" t="n"/>
      <c r="B973" s="737" t="n"/>
      <c r="C973" s="737" t="n"/>
      <c r="D973" s="737" t="n"/>
      <c r="E973" s="737" t="n"/>
      <c r="F973" s="737" t="n"/>
      <c r="G973" s="737" t="n"/>
      <c r="H973" s="737" t="n"/>
      <c r="I973" s="737" t="n"/>
      <c r="J973" s="737" t="n"/>
      <c r="K973" s="737" t="n"/>
      <c r="L973" s="737" t="n"/>
      <c r="M973" s="737" t="n"/>
      <c r="N973" s="737" t="n"/>
      <c r="O973" s="737" t="n"/>
      <c r="P973" s="737" t="n"/>
      <c r="Q973" s="737" t="n"/>
      <c r="R973" s="737" t="n"/>
      <c r="S973" s="737" t="n"/>
      <c r="T973" s="737" t="n"/>
      <c r="U973" s="737" t="n"/>
      <c r="V973" s="737" t="n"/>
      <c r="W973" s="737" t="n"/>
      <c r="X973" s="737" t="n"/>
      <c r="Y973" s="737" t="n"/>
      <c r="Z973" s="737" t="n"/>
      <c r="AA973" s="737" t="n"/>
      <c r="AB973" s="737" t="n"/>
      <c r="AC973" s="737" t="n"/>
      <c r="AD973" s="737" t="n"/>
      <c r="AE973" s="737" t="n"/>
      <c r="AF973" s="737" t="n"/>
      <c r="AG973" s="737" t="n"/>
      <c r="AH973" s="737" t="n"/>
      <c r="AI973" s="737" t="n"/>
      <c r="AJ973" s="737" t="n"/>
      <c r="AK973" s="588" t="n"/>
      <c r="AL973" s="588" t="n"/>
      <c r="AM973" s="588" t="n"/>
      <c r="AN973" s="588" t="n"/>
      <c r="AO973" s="588" t="n"/>
      <c r="AP973" s="588" t="n"/>
      <c r="AQ973" s="588" t="n"/>
      <c r="AR973" s="588" t="n"/>
      <c r="AS973" s="588" t="n"/>
      <c r="AT973" s="588" t="n"/>
      <c r="AU973" s="588" t="n"/>
      <c r="AV973" s="588" t="n"/>
      <c r="AW973" s="588" t="n"/>
      <c r="AX973" s="588" t="n"/>
      <c r="AY973" s="588" t="n"/>
      <c r="AZ973" s="588" t="n"/>
      <c r="BA973" s="588" t="n"/>
      <c r="BB973" s="588" t="n"/>
      <c r="BC973" s="588" t="n"/>
      <c r="BD973" s="588" t="n"/>
      <c r="BE973" s="588" t="n"/>
      <c r="BF973" s="588" t="n"/>
      <c r="BG973" s="588" t="n"/>
      <c r="BH973" s="588" t="n"/>
      <c r="BI973" s="588" t="n"/>
      <c r="BJ973" s="588" t="n"/>
      <c r="BK973" s="588" t="n"/>
      <c r="BL973" s="588" t="n"/>
      <c r="BM973" s="588" t="n"/>
      <c r="BN973" s="588" t="n"/>
      <c r="BO973" s="588" t="n"/>
      <c r="BP973" s="588" t="n"/>
      <c r="BQ973" s="588" t="n"/>
      <c r="BR973" s="588" t="n"/>
      <c r="BS973" s="588" t="n"/>
      <c r="BT973" s="588" t="n"/>
      <c r="BU973" s="588" t="n"/>
      <c r="BV973" s="588" t="n"/>
      <c r="BW973" s="588" t="n"/>
      <c r="BX973" s="588" t="n"/>
      <c r="BY973" s="588" t="n"/>
      <c r="BZ973" s="588" t="n"/>
      <c r="CA973" s="588" t="n"/>
      <c r="CB973" s="588" t="n"/>
      <c r="CC973" s="588" t="n"/>
      <c r="CD973" s="588" t="n"/>
      <c r="CE973" s="588" t="n"/>
      <c r="CF973" s="588" t="n"/>
      <c r="CG973" s="588" t="n"/>
      <c r="CH973" s="588" t="n"/>
      <c r="CI973" s="588" t="n"/>
      <c r="CJ973" s="588" t="n"/>
      <c r="CK973" s="588" t="n"/>
      <c r="CL973" s="588" t="n"/>
      <c r="CM973" s="588" t="n"/>
      <c r="CN973" s="588" t="n"/>
      <c r="CO973" s="588" t="n"/>
      <c r="CP973" s="588" t="n"/>
      <c r="CQ973" s="588" t="n"/>
      <c r="CR973" s="588" t="n"/>
      <c r="CS973" s="588" t="n"/>
      <c r="CT973" s="588" t="n"/>
      <c r="CU973" s="588" t="n"/>
      <c r="CV973" s="588" t="n"/>
      <c r="CW973" s="588" t="n"/>
      <c r="CX973" s="588" t="n"/>
      <c r="CY973" s="588" t="n"/>
      <c r="CZ973" s="588" t="n"/>
      <c r="DA973" s="588" t="n"/>
      <c r="DB973" s="588" t="n"/>
      <c r="DC973" s="588" t="n"/>
      <c r="DD973" s="588" t="n"/>
      <c r="DE973" s="588" t="n"/>
      <c r="DF973" s="588" t="n"/>
      <c r="DG973" s="588" t="n"/>
      <c r="DH973" s="588" t="n"/>
      <c r="DI973" s="588" t="n"/>
      <c r="DJ973" s="588" t="n"/>
      <c r="DK973" s="588" t="n"/>
      <c r="DL973" s="588" t="n"/>
      <c r="DM973" s="588" t="n"/>
      <c r="DN973" s="588" t="n"/>
      <c r="DO973" s="588" t="n"/>
      <c r="DP973" s="588" t="n"/>
      <c r="DQ973" s="588" t="n"/>
      <c r="DR973" s="588" t="n"/>
      <c r="DS973" s="588" t="n"/>
      <c r="DT973" s="588" t="n"/>
      <c r="DU973" s="588" t="n"/>
    </row>
    <row r="974">
      <c r="A974" s="737" t="n"/>
      <c r="B974" s="737" t="n"/>
      <c r="C974" s="737" t="n"/>
      <c r="D974" s="737" t="n"/>
      <c r="E974" s="737" t="n"/>
      <c r="F974" s="737" t="n"/>
      <c r="G974" s="737" t="n"/>
      <c r="H974" s="737" t="n"/>
      <c r="I974" s="737" t="n"/>
      <c r="J974" s="737" t="n"/>
      <c r="K974" s="737" t="n"/>
      <c r="L974" s="737" t="n"/>
      <c r="M974" s="737" t="n"/>
      <c r="N974" s="737" t="n"/>
      <c r="O974" s="737" t="n"/>
      <c r="P974" s="737" t="n"/>
      <c r="Q974" s="737" t="n"/>
      <c r="R974" s="737" t="n"/>
      <c r="S974" s="737" t="n"/>
      <c r="T974" s="737" t="n"/>
      <c r="U974" s="737" t="n"/>
      <c r="V974" s="737" t="n"/>
      <c r="W974" s="737" t="n"/>
      <c r="X974" s="737" t="n"/>
      <c r="Y974" s="737" t="n"/>
      <c r="Z974" s="737" t="n"/>
      <c r="AA974" s="737" t="n"/>
      <c r="AB974" s="737" t="n"/>
      <c r="AC974" s="737" t="n"/>
      <c r="AD974" s="737" t="n"/>
      <c r="AE974" s="737" t="n"/>
      <c r="AF974" s="737" t="n"/>
      <c r="AG974" s="737" t="n"/>
      <c r="AH974" s="737" t="n"/>
      <c r="AI974" s="737" t="n"/>
      <c r="AJ974" s="737" t="n"/>
      <c r="AK974" s="588" t="n"/>
      <c r="AL974" s="588" t="n"/>
      <c r="AM974" s="588" t="n"/>
      <c r="AN974" s="588" t="n"/>
      <c r="AO974" s="588" t="n"/>
      <c r="AP974" s="588" t="n"/>
      <c r="AQ974" s="588" t="n"/>
      <c r="AR974" s="588" t="n"/>
      <c r="AS974" s="588" t="n"/>
      <c r="AT974" s="588" t="n"/>
      <c r="AU974" s="588" t="n"/>
      <c r="AV974" s="588" t="n"/>
      <c r="AW974" s="588" t="n"/>
      <c r="AX974" s="588" t="n"/>
      <c r="AY974" s="588" t="n"/>
      <c r="AZ974" s="588" t="n"/>
      <c r="BA974" s="588" t="n"/>
      <c r="BB974" s="588" t="n"/>
      <c r="BC974" s="588" t="n"/>
      <c r="BD974" s="588" t="n"/>
      <c r="BE974" s="588" t="n"/>
      <c r="BF974" s="588" t="n"/>
      <c r="BG974" s="588" t="n"/>
      <c r="BH974" s="588" t="n"/>
      <c r="BI974" s="588" t="n"/>
      <c r="BJ974" s="588" t="n"/>
      <c r="BK974" s="588" t="n"/>
      <c r="BL974" s="588" t="n"/>
      <c r="BM974" s="588" t="n"/>
      <c r="BN974" s="588" t="n"/>
      <c r="BO974" s="588" t="n"/>
      <c r="BP974" s="588" t="n"/>
      <c r="BQ974" s="588" t="n"/>
      <c r="BR974" s="588" t="n"/>
      <c r="BS974" s="588" t="n"/>
      <c r="BT974" s="588" t="n"/>
      <c r="BU974" s="588" t="n"/>
      <c r="BV974" s="588" t="n"/>
      <c r="BW974" s="588" t="n"/>
      <c r="BX974" s="588" t="n"/>
      <c r="BY974" s="588" t="n"/>
      <c r="BZ974" s="588" t="n"/>
      <c r="CA974" s="588" t="n"/>
      <c r="CB974" s="588" t="n"/>
      <c r="CC974" s="588" t="n"/>
      <c r="CD974" s="588" t="n"/>
      <c r="CE974" s="588" t="n"/>
      <c r="CF974" s="588" t="n"/>
      <c r="CG974" s="588" t="n"/>
      <c r="CH974" s="588" t="n"/>
      <c r="CI974" s="588" t="n"/>
      <c r="CJ974" s="588" t="n"/>
      <c r="CK974" s="588" t="n"/>
      <c r="CL974" s="588" t="n"/>
      <c r="CM974" s="588" t="n"/>
      <c r="CN974" s="588" t="n"/>
      <c r="CO974" s="588" t="n"/>
      <c r="CP974" s="588" t="n"/>
      <c r="CQ974" s="588" t="n"/>
      <c r="CR974" s="588" t="n"/>
      <c r="CS974" s="588" t="n"/>
      <c r="CT974" s="588" t="n"/>
      <c r="CU974" s="588" t="n"/>
      <c r="CV974" s="588" t="n"/>
      <c r="CW974" s="588" t="n"/>
      <c r="CX974" s="588" t="n"/>
      <c r="CY974" s="588" t="n"/>
      <c r="CZ974" s="588" t="n"/>
      <c r="DA974" s="588" t="n"/>
      <c r="DB974" s="588" t="n"/>
      <c r="DC974" s="588" t="n"/>
      <c r="DD974" s="588" t="n"/>
      <c r="DE974" s="588" t="n"/>
      <c r="DF974" s="588" t="n"/>
      <c r="DG974" s="588" t="n"/>
      <c r="DH974" s="588" t="n"/>
      <c r="DI974" s="588" t="n"/>
      <c r="DJ974" s="588" t="n"/>
      <c r="DK974" s="588" t="n"/>
      <c r="DL974" s="588" t="n"/>
      <c r="DM974" s="588" t="n"/>
      <c r="DN974" s="588" t="n"/>
      <c r="DO974" s="588" t="n"/>
      <c r="DP974" s="588" t="n"/>
      <c r="DQ974" s="588" t="n"/>
      <c r="DR974" s="588" t="n"/>
      <c r="DS974" s="588" t="n"/>
      <c r="DT974" s="588" t="n"/>
      <c r="DU974" s="588" t="n"/>
    </row>
    <row r="975">
      <c r="A975" s="737" t="n"/>
      <c r="B975" s="737" t="n"/>
      <c r="C975" s="737" t="n"/>
      <c r="D975" s="737" t="n"/>
      <c r="E975" s="737" t="n"/>
      <c r="F975" s="737" t="n"/>
      <c r="G975" s="737" t="n"/>
      <c r="H975" s="737" t="n"/>
      <c r="I975" s="737" t="n"/>
      <c r="J975" s="737" t="n"/>
      <c r="K975" s="737" t="n"/>
      <c r="L975" s="737" t="n"/>
      <c r="M975" s="737" t="n"/>
      <c r="N975" s="737" t="n"/>
      <c r="O975" s="737" t="n"/>
      <c r="P975" s="737" t="n"/>
      <c r="Q975" s="737" t="n"/>
      <c r="R975" s="737" t="n"/>
      <c r="S975" s="737" t="n"/>
      <c r="T975" s="737" t="n"/>
      <c r="U975" s="737" t="n"/>
      <c r="V975" s="737" t="n"/>
      <c r="W975" s="737" t="n"/>
      <c r="X975" s="737" t="n"/>
      <c r="Y975" s="737" t="n"/>
      <c r="Z975" s="737" t="n"/>
      <c r="AA975" s="737" t="n"/>
      <c r="AB975" s="737" t="n"/>
      <c r="AC975" s="737" t="n"/>
      <c r="AD975" s="737" t="n"/>
      <c r="AE975" s="737" t="n"/>
      <c r="AF975" s="737" t="n"/>
      <c r="AG975" s="737" t="n"/>
      <c r="AH975" s="737" t="n"/>
      <c r="AI975" s="737" t="n"/>
      <c r="AJ975" s="737" t="n"/>
      <c r="AK975" s="588" t="n"/>
      <c r="AL975" s="588" t="n"/>
      <c r="AM975" s="588" t="n"/>
      <c r="AN975" s="588" t="n"/>
      <c r="AO975" s="588" t="n"/>
      <c r="AP975" s="588" t="n"/>
      <c r="AQ975" s="588" t="n"/>
      <c r="AR975" s="588" t="n"/>
      <c r="AS975" s="588" t="n"/>
      <c r="AT975" s="588" t="n"/>
      <c r="AU975" s="588" t="n"/>
      <c r="AV975" s="588" t="n"/>
      <c r="AW975" s="588" t="n"/>
      <c r="AX975" s="588" t="n"/>
      <c r="AY975" s="588" t="n"/>
      <c r="AZ975" s="588" t="n"/>
      <c r="BA975" s="588" t="n"/>
      <c r="BB975" s="588" t="n"/>
      <c r="BC975" s="588" t="n"/>
      <c r="BD975" s="588" t="n"/>
      <c r="BE975" s="588" t="n"/>
      <c r="BF975" s="588" t="n"/>
      <c r="BG975" s="588" t="n"/>
      <c r="BH975" s="588" t="n"/>
      <c r="BI975" s="588" t="n"/>
      <c r="BJ975" s="588" t="n"/>
      <c r="BK975" s="588" t="n"/>
      <c r="BL975" s="588" t="n"/>
      <c r="BM975" s="588" t="n"/>
      <c r="BN975" s="588" t="n"/>
      <c r="BO975" s="588" t="n"/>
      <c r="BP975" s="588" t="n"/>
      <c r="BQ975" s="588" t="n"/>
      <c r="BR975" s="588" t="n"/>
      <c r="BS975" s="588" t="n"/>
      <c r="BT975" s="588" t="n"/>
      <c r="BU975" s="588" t="n"/>
      <c r="BV975" s="588" t="n"/>
      <c r="BW975" s="588" t="n"/>
      <c r="BX975" s="588" t="n"/>
      <c r="BY975" s="588" t="n"/>
      <c r="BZ975" s="588" t="n"/>
      <c r="CA975" s="588" t="n"/>
      <c r="CB975" s="588" t="n"/>
      <c r="CC975" s="588" t="n"/>
      <c r="CD975" s="588" t="n"/>
      <c r="CE975" s="588" t="n"/>
      <c r="CF975" s="588" t="n"/>
      <c r="CG975" s="588" t="n"/>
      <c r="CH975" s="588" t="n"/>
      <c r="CI975" s="588" t="n"/>
      <c r="CJ975" s="588" t="n"/>
      <c r="CK975" s="588" t="n"/>
      <c r="CL975" s="588" t="n"/>
      <c r="CM975" s="588" t="n"/>
      <c r="CN975" s="588" t="n"/>
      <c r="CO975" s="588" t="n"/>
      <c r="CP975" s="588" t="n"/>
      <c r="CQ975" s="588" t="n"/>
      <c r="CR975" s="588" t="n"/>
      <c r="CS975" s="588" t="n"/>
      <c r="CT975" s="588" t="n"/>
      <c r="CU975" s="588" t="n"/>
      <c r="CV975" s="588" t="n"/>
      <c r="CW975" s="588" t="n"/>
      <c r="CX975" s="588" t="n"/>
      <c r="CY975" s="588" t="n"/>
      <c r="CZ975" s="588" t="n"/>
      <c r="DA975" s="588" t="n"/>
      <c r="DB975" s="588" t="n"/>
      <c r="DC975" s="588" t="n"/>
      <c r="DD975" s="588" t="n"/>
      <c r="DE975" s="588" t="n"/>
      <c r="DF975" s="588" t="n"/>
      <c r="DG975" s="588" t="n"/>
      <c r="DH975" s="588" t="n"/>
      <c r="DI975" s="588" t="n"/>
      <c r="DJ975" s="588" t="n"/>
      <c r="DK975" s="588" t="n"/>
      <c r="DL975" s="588" t="n"/>
      <c r="DM975" s="588" t="n"/>
      <c r="DN975" s="588" t="n"/>
      <c r="DO975" s="588" t="n"/>
      <c r="DP975" s="588" t="n"/>
      <c r="DQ975" s="588" t="n"/>
      <c r="DR975" s="588" t="n"/>
      <c r="DS975" s="588" t="n"/>
      <c r="DT975" s="588" t="n"/>
      <c r="DU975" s="588" t="n"/>
    </row>
    <row r="976">
      <c r="A976" s="737" t="n"/>
      <c r="B976" s="737" t="n"/>
      <c r="C976" s="737" t="n"/>
      <c r="D976" s="737" t="n"/>
      <c r="E976" s="737" t="n"/>
      <c r="F976" s="737" t="n"/>
      <c r="G976" s="737" t="n"/>
      <c r="H976" s="737" t="n"/>
      <c r="I976" s="737" t="n"/>
      <c r="J976" s="737" t="n"/>
      <c r="K976" s="737" t="n"/>
      <c r="L976" s="737" t="n"/>
      <c r="M976" s="737" t="n"/>
      <c r="N976" s="737" t="n"/>
      <c r="O976" s="737" t="n"/>
      <c r="P976" s="737" t="n"/>
      <c r="Q976" s="737" t="n"/>
      <c r="R976" s="737" t="n"/>
      <c r="S976" s="737" t="n"/>
      <c r="T976" s="737" t="n"/>
      <c r="U976" s="737" t="n"/>
      <c r="V976" s="737" t="n"/>
      <c r="W976" s="737" t="n"/>
      <c r="X976" s="737" t="n"/>
      <c r="Y976" s="737" t="n"/>
      <c r="Z976" s="737" t="n"/>
      <c r="AA976" s="737" t="n"/>
      <c r="AB976" s="737" t="n"/>
      <c r="AC976" s="737" t="n"/>
      <c r="AD976" s="737" t="n"/>
      <c r="AE976" s="737" t="n"/>
      <c r="AF976" s="737" t="n"/>
      <c r="AG976" s="737" t="n"/>
      <c r="AH976" s="737" t="n"/>
      <c r="AI976" s="737" t="n"/>
      <c r="AJ976" s="737" t="n"/>
      <c r="AK976" s="588" t="n"/>
      <c r="AL976" s="588" t="n"/>
      <c r="AM976" s="588" t="n"/>
      <c r="AN976" s="588" t="n"/>
      <c r="AO976" s="588" t="n"/>
      <c r="AP976" s="588" t="n"/>
      <c r="AQ976" s="588" t="n"/>
      <c r="AR976" s="588" t="n"/>
      <c r="AS976" s="588" t="n"/>
      <c r="AT976" s="588" t="n"/>
      <c r="AU976" s="588" t="n"/>
      <c r="AV976" s="588" t="n"/>
      <c r="AW976" s="588" t="n"/>
      <c r="AX976" s="588" t="n"/>
      <c r="AY976" s="588" t="n"/>
      <c r="AZ976" s="588" t="n"/>
      <c r="BA976" s="588" t="n"/>
      <c r="BB976" s="588" t="n"/>
      <c r="BC976" s="588" t="n"/>
      <c r="BD976" s="588" t="n"/>
      <c r="BE976" s="588" t="n"/>
      <c r="BF976" s="588" t="n"/>
      <c r="BG976" s="588" t="n"/>
      <c r="BH976" s="588" t="n"/>
      <c r="BI976" s="588" t="n"/>
      <c r="BJ976" s="588" t="n"/>
      <c r="BK976" s="588" t="n"/>
      <c r="BL976" s="588" t="n"/>
      <c r="BM976" s="588" t="n"/>
      <c r="BN976" s="588" t="n"/>
      <c r="BO976" s="588" t="n"/>
      <c r="BP976" s="588" t="n"/>
      <c r="BQ976" s="588" t="n"/>
      <c r="BR976" s="588" t="n"/>
      <c r="BS976" s="588" t="n"/>
      <c r="BT976" s="588" t="n"/>
      <c r="BU976" s="588" t="n"/>
      <c r="BV976" s="588" t="n"/>
      <c r="BW976" s="588" t="n"/>
      <c r="BX976" s="588" t="n"/>
      <c r="BY976" s="588" t="n"/>
      <c r="BZ976" s="588" t="n"/>
      <c r="CA976" s="588" t="n"/>
      <c r="CB976" s="588" t="n"/>
      <c r="CC976" s="588" t="n"/>
      <c r="CD976" s="588" t="n"/>
      <c r="CE976" s="588" t="n"/>
      <c r="CF976" s="588" t="n"/>
      <c r="CG976" s="588" t="n"/>
      <c r="CH976" s="588" t="n"/>
      <c r="CI976" s="588" t="n"/>
      <c r="CJ976" s="588" t="n"/>
      <c r="CK976" s="588" t="n"/>
      <c r="CL976" s="588" t="n"/>
      <c r="CM976" s="588" t="n"/>
      <c r="CN976" s="588" t="n"/>
      <c r="CO976" s="588" t="n"/>
      <c r="CP976" s="588" t="n"/>
      <c r="CQ976" s="588" t="n"/>
      <c r="CR976" s="588" t="n"/>
      <c r="CS976" s="588" t="n"/>
      <c r="CT976" s="588" t="n"/>
      <c r="CU976" s="588" t="n"/>
      <c r="CV976" s="588" t="n"/>
      <c r="CW976" s="588" t="n"/>
      <c r="CX976" s="588" t="n"/>
      <c r="CY976" s="588" t="n"/>
      <c r="CZ976" s="588" t="n"/>
      <c r="DA976" s="588" t="n"/>
      <c r="DB976" s="588" t="n"/>
      <c r="DC976" s="588" t="n"/>
      <c r="DD976" s="588" t="n"/>
      <c r="DE976" s="588" t="n"/>
      <c r="DF976" s="588" t="n"/>
      <c r="DG976" s="588" t="n"/>
      <c r="DH976" s="588" t="n"/>
      <c r="DI976" s="588" t="n"/>
      <c r="DJ976" s="588" t="n"/>
      <c r="DK976" s="588" t="n"/>
      <c r="DL976" s="588" t="n"/>
      <c r="DM976" s="588" t="n"/>
      <c r="DN976" s="588" t="n"/>
      <c r="DO976" s="588" t="n"/>
      <c r="DP976" s="588" t="n"/>
      <c r="DQ976" s="588" t="n"/>
      <c r="DR976" s="588" t="n"/>
      <c r="DS976" s="588" t="n"/>
      <c r="DT976" s="588" t="n"/>
      <c r="DU976" s="588" t="n"/>
    </row>
    <row r="977">
      <c r="A977" s="737" t="n"/>
      <c r="B977" s="737" t="n"/>
      <c r="C977" s="737" t="n"/>
      <c r="D977" s="737" t="n"/>
      <c r="E977" s="737" t="n"/>
      <c r="F977" s="737" t="n"/>
      <c r="G977" s="737" t="n"/>
      <c r="H977" s="737" t="n"/>
      <c r="I977" s="737" t="n"/>
      <c r="J977" s="737" t="n"/>
      <c r="K977" s="737" t="n"/>
      <c r="L977" s="737" t="n"/>
      <c r="M977" s="737" t="n"/>
      <c r="N977" s="737" t="n"/>
      <c r="O977" s="737" t="n"/>
      <c r="P977" s="737" t="n"/>
      <c r="Q977" s="737" t="n"/>
      <c r="R977" s="737" t="n"/>
      <c r="S977" s="737" t="n"/>
      <c r="T977" s="737" t="n"/>
      <c r="U977" s="737" t="n"/>
      <c r="V977" s="737" t="n"/>
      <c r="W977" s="737" t="n"/>
      <c r="X977" s="737" t="n"/>
      <c r="Y977" s="737" t="n"/>
      <c r="Z977" s="737" t="n"/>
      <c r="AA977" s="737" t="n"/>
      <c r="AB977" s="737" t="n"/>
      <c r="AC977" s="737" t="n"/>
      <c r="AD977" s="737" t="n"/>
      <c r="AE977" s="737" t="n"/>
      <c r="AF977" s="737" t="n"/>
      <c r="AG977" s="737" t="n"/>
      <c r="AH977" s="737" t="n"/>
      <c r="AI977" s="737" t="n"/>
      <c r="AJ977" s="737" t="n"/>
      <c r="AK977" s="588" t="n"/>
      <c r="AL977" s="588" t="n"/>
      <c r="AM977" s="588" t="n"/>
      <c r="AN977" s="588" t="n"/>
      <c r="AO977" s="588" t="n"/>
      <c r="AP977" s="588" t="n"/>
      <c r="AQ977" s="588" t="n"/>
      <c r="AR977" s="588" t="n"/>
      <c r="AS977" s="588" t="n"/>
      <c r="AT977" s="588" t="n"/>
      <c r="AU977" s="588" t="n"/>
      <c r="AV977" s="588" t="n"/>
      <c r="AW977" s="588" t="n"/>
      <c r="AX977" s="588" t="n"/>
      <c r="AY977" s="588" t="n"/>
      <c r="AZ977" s="588" t="n"/>
      <c r="BA977" s="588" t="n"/>
      <c r="BB977" s="588" t="n"/>
      <c r="BC977" s="588" t="n"/>
      <c r="BD977" s="588" t="n"/>
      <c r="BE977" s="588" t="n"/>
      <c r="BF977" s="588" t="n"/>
      <c r="BG977" s="588" t="n"/>
      <c r="BH977" s="588" t="n"/>
      <c r="BI977" s="588" t="n"/>
      <c r="BJ977" s="588" t="n"/>
      <c r="BK977" s="588" t="n"/>
      <c r="BL977" s="588" t="n"/>
      <c r="BM977" s="588" t="n"/>
      <c r="BN977" s="588" t="n"/>
      <c r="BO977" s="588" t="n"/>
      <c r="BP977" s="588" t="n"/>
      <c r="BQ977" s="588" t="n"/>
      <c r="BR977" s="588" t="n"/>
      <c r="BS977" s="588" t="n"/>
      <c r="BT977" s="588" t="n"/>
      <c r="BU977" s="588" t="n"/>
      <c r="BV977" s="588" t="n"/>
      <c r="BW977" s="588" t="n"/>
      <c r="BX977" s="588" t="n"/>
      <c r="BY977" s="588" t="n"/>
      <c r="BZ977" s="588" t="n"/>
      <c r="CA977" s="588" t="n"/>
      <c r="CB977" s="588" t="n"/>
      <c r="CC977" s="588" t="n"/>
      <c r="CD977" s="588" t="n"/>
      <c r="CE977" s="588" t="n"/>
      <c r="CF977" s="588" t="n"/>
      <c r="CG977" s="588" t="n"/>
      <c r="CH977" s="588" t="n"/>
      <c r="CI977" s="588" t="n"/>
      <c r="CJ977" s="588" t="n"/>
      <c r="CK977" s="588" t="n"/>
      <c r="CL977" s="588" t="n"/>
      <c r="CM977" s="588" t="n"/>
      <c r="CN977" s="588" t="n"/>
      <c r="CO977" s="588" t="n"/>
      <c r="CP977" s="588" t="n"/>
      <c r="CQ977" s="588" t="n"/>
      <c r="CR977" s="588" t="n"/>
      <c r="CS977" s="588" t="n"/>
      <c r="CT977" s="588" t="n"/>
      <c r="CU977" s="588" t="n"/>
      <c r="CV977" s="588" t="n"/>
      <c r="CW977" s="588" t="n"/>
      <c r="CX977" s="588" t="n"/>
      <c r="CY977" s="588" t="n"/>
      <c r="CZ977" s="588" t="n"/>
      <c r="DA977" s="588" t="n"/>
      <c r="DB977" s="588" t="n"/>
      <c r="DC977" s="588" t="n"/>
      <c r="DD977" s="588" t="n"/>
      <c r="DE977" s="588" t="n"/>
      <c r="DF977" s="588" t="n"/>
      <c r="DG977" s="588" t="n"/>
      <c r="DH977" s="588" t="n"/>
      <c r="DI977" s="588" t="n"/>
      <c r="DJ977" s="588" t="n"/>
      <c r="DK977" s="588" t="n"/>
      <c r="DL977" s="588" t="n"/>
      <c r="DM977" s="588" t="n"/>
      <c r="DN977" s="588" t="n"/>
      <c r="DO977" s="588" t="n"/>
      <c r="DP977" s="588" t="n"/>
      <c r="DQ977" s="588" t="n"/>
      <c r="DR977" s="588" t="n"/>
      <c r="DS977" s="588" t="n"/>
      <c r="DT977" s="588" t="n"/>
      <c r="DU977" s="588" t="n"/>
    </row>
    <row r="978">
      <c r="A978" s="737" t="n"/>
      <c r="B978" s="737" t="n"/>
      <c r="C978" s="737" t="n"/>
      <c r="D978" s="737" t="n"/>
      <c r="E978" s="737" t="n"/>
      <c r="F978" s="737" t="n"/>
      <c r="G978" s="737" t="n"/>
      <c r="H978" s="737" t="n"/>
      <c r="I978" s="737" t="n"/>
      <c r="J978" s="737" t="n"/>
      <c r="K978" s="737" t="n"/>
      <c r="L978" s="737" t="n"/>
      <c r="M978" s="737" t="n"/>
      <c r="N978" s="737" t="n"/>
      <c r="O978" s="737" t="n"/>
      <c r="P978" s="737" t="n"/>
      <c r="Q978" s="737" t="n"/>
      <c r="R978" s="737" t="n"/>
      <c r="S978" s="737" t="n"/>
      <c r="T978" s="737" t="n"/>
      <c r="U978" s="737" t="n"/>
      <c r="V978" s="737" t="n"/>
      <c r="W978" s="737" t="n"/>
      <c r="X978" s="737" t="n"/>
      <c r="Y978" s="737" t="n"/>
      <c r="Z978" s="737" t="n"/>
      <c r="AA978" s="737" t="n"/>
      <c r="AB978" s="737" t="n"/>
      <c r="AC978" s="737" t="n"/>
      <c r="AD978" s="737" t="n"/>
      <c r="AE978" s="737" t="n"/>
      <c r="AF978" s="737" t="n"/>
      <c r="AG978" s="737" t="n"/>
      <c r="AH978" s="737" t="n"/>
      <c r="AI978" s="737" t="n"/>
      <c r="AJ978" s="737" t="n"/>
      <c r="AK978" s="588" t="n"/>
      <c r="AL978" s="588" t="n"/>
      <c r="AM978" s="588" t="n"/>
      <c r="AN978" s="588" t="n"/>
      <c r="AO978" s="588" t="n"/>
      <c r="AP978" s="588" t="n"/>
      <c r="AQ978" s="588" t="n"/>
      <c r="AR978" s="588" t="n"/>
      <c r="AS978" s="588" t="n"/>
      <c r="AT978" s="588" t="n"/>
      <c r="AU978" s="588" t="n"/>
      <c r="AV978" s="588" t="n"/>
      <c r="AW978" s="588" t="n"/>
      <c r="AX978" s="588" t="n"/>
      <c r="AY978" s="588" t="n"/>
      <c r="AZ978" s="588" t="n"/>
      <c r="BA978" s="588" t="n"/>
      <c r="BB978" s="588" t="n"/>
      <c r="BC978" s="588" t="n"/>
      <c r="BD978" s="588" t="n"/>
      <c r="BE978" s="588" t="n"/>
      <c r="BF978" s="588" t="n"/>
      <c r="BG978" s="588" t="n"/>
      <c r="BH978" s="588" t="n"/>
      <c r="BI978" s="588" t="n"/>
      <c r="BJ978" s="588" t="n"/>
      <c r="BK978" s="588" t="n"/>
      <c r="BL978" s="588" t="n"/>
      <c r="BM978" s="588" t="n"/>
      <c r="BN978" s="588" t="n"/>
      <c r="BO978" s="588" t="n"/>
      <c r="BP978" s="588" t="n"/>
      <c r="BQ978" s="588" t="n"/>
      <c r="BR978" s="588" t="n"/>
      <c r="BS978" s="588" t="n"/>
      <c r="BT978" s="588" t="n"/>
      <c r="BU978" s="588" t="n"/>
      <c r="BV978" s="588" t="n"/>
      <c r="BW978" s="588" t="n"/>
      <c r="BX978" s="588" t="n"/>
      <c r="BY978" s="588" t="n"/>
      <c r="BZ978" s="588" t="n"/>
      <c r="CA978" s="588" t="n"/>
      <c r="CB978" s="588" t="n"/>
      <c r="CC978" s="588" t="n"/>
      <c r="CD978" s="588" t="n"/>
      <c r="CE978" s="588" t="n"/>
      <c r="CF978" s="588" t="n"/>
      <c r="CG978" s="588" t="n"/>
      <c r="CH978" s="588" t="n"/>
      <c r="CI978" s="588" t="n"/>
      <c r="CJ978" s="588" t="n"/>
      <c r="CK978" s="588" t="n"/>
      <c r="CL978" s="588" t="n"/>
      <c r="CM978" s="588" t="n"/>
      <c r="CN978" s="588" t="n"/>
      <c r="CO978" s="588" t="n"/>
      <c r="CP978" s="588" t="n"/>
      <c r="CQ978" s="588" t="n"/>
      <c r="CR978" s="588" t="n"/>
      <c r="CS978" s="588" t="n"/>
      <c r="CT978" s="588" t="n"/>
      <c r="CU978" s="588" t="n"/>
      <c r="CV978" s="588" t="n"/>
      <c r="CW978" s="588" t="n"/>
      <c r="CX978" s="588" t="n"/>
      <c r="CY978" s="588" t="n"/>
      <c r="CZ978" s="588" t="n"/>
      <c r="DA978" s="588" t="n"/>
      <c r="DB978" s="588" t="n"/>
      <c r="DC978" s="588" t="n"/>
      <c r="DD978" s="588" t="n"/>
      <c r="DE978" s="588" t="n"/>
      <c r="DF978" s="588" t="n"/>
      <c r="DG978" s="588" t="n"/>
      <c r="DH978" s="588" t="n"/>
      <c r="DI978" s="588" t="n"/>
      <c r="DJ978" s="588" t="n"/>
      <c r="DK978" s="588" t="n"/>
      <c r="DL978" s="588" t="n"/>
      <c r="DM978" s="588" t="n"/>
      <c r="DN978" s="588" t="n"/>
      <c r="DO978" s="588" t="n"/>
      <c r="DP978" s="588" t="n"/>
      <c r="DQ978" s="588" t="n"/>
      <c r="DR978" s="588" t="n"/>
      <c r="DS978" s="588" t="n"/>
      <c r="DT978" s="588" t="n"/>
      <c r="DU978" s="588" t="n"/>
    </row>
    <row r="979">
      <c r="A979" s="737" t="n"/>
      <c r="B979" s="737" t="n"/>
      <c r="C979" s="737" t="n"/>
      <c r="D979" s="737" t="n"/>
      <c r="E979" s="737" t="n"/>
      <c r="F979" s="737" t="n"/>
      <c r="G979" s="737" t="n"/>
      <c r="H979" s="737" t="n"/>
      <c r="I979" s="737" t="n"/>
      <c r="J979" s="737" t="n"/>
      <c r="K979" s="737" t="n"/>
      <c r="L979" s="737" t="n"/>
      <c r="M979" s="737" t="n"/>
      <c r="N979" s="737" t="n"/>
      <c r="O979" s="737" t="n"/>
      <c r="P979" s="737" t="n"/>
      <c r="Q979" s="737" t="n"/>
      <c r="R979" s="737" t="n"/>
      <c r="S979" s="737" t="n"/>
      <c r="T979" s="737" t="n"/>
      <c r="U979" s="737" t="n"/>
      <c r="V979" s="737" t="n"/>
      <c r="W979" s="737" t="n"/>
      <c r="X979" s="737" t="n"/>
      <c r="Y979" s="737" t="n"/>
      <c r="Z979" s="737" t="n"/>
      <c r="AA979" s="737" t="n"/>
      <c r="AB979" s="737" t="n"/>
      <c r="AC979" s="737" t="n"/>
      <c r="AD979" s="737" t="n"/>
      <c r="AE979" s="737" t="n"/>
      <c r="AF979" s="737" t="n"/>
      <c r="AG979" s="737" t="n"/>
      <c r="AH979" s="737" t="n"/>
      <c r="AI979" s="737" t="n"/>
      <c r="AJ979" s="737" t="n"/>
      <c r="AK979" s="588" t="n"/>
      <c r="AL979" s="588" t="n"/>
      <c r="AM979" s="588" t="n"/>
      <c r="AN979" s="588" t="n"/>
      <c r="AO979" s="588" t="n"/>
      <c r="AP979" s="588" t="n"/>
      <c r="AQ979" s="588" t="n"/>
      <c r="AR979" s="588" t="n"/>
      <c r="AS979" s="588" t="n"/>
      <c r="AT979" s="588" t="n"/>
      <c r="AU979" s="588" t="n"/>
      <c r="AV979" s="588" t="n"/>
      <c r="AW979" s="588" t="n"/>
      <c r="AX979" s="588" t="n"/>
      <c r="AY979" s="588" t="n"/>
      <c r="AZ979" s="588" t="n"/>
      <c r="BA979" s="588" t="n"/>
      <c r="BB979" s="588" t="n"/>
      <c r="BC979" s="588" t="n"/>
      <c r="BD979" s="588" t="n"/>
      <c r="BE979" s="588" t="n"/>
      <c r="BF979" s="588" t="n"/>
      <c r="BG979" s="588" t="n"/>
      <c r="BH979" s="588" t="n"/>
      <c r="BI979" s="588" t="n"/>
      <c r="BJ979" s="588" t="n"/>
      <c r="BK979" s="588" t="n"/>
      <c r="BL979" s="588" t="n"/>
      <c r="BM979" s="588" t="n"/>
      <c r="BN979" s="588" t="n"/>
      <c r="BO979" s="588" t="n"/>
      <c r="BP979" s="588" t="n"/>
      <c r="BQ979" s="588" t="n"/>
      <c r="BR979" s="588" t="n"/>
      <c r="BS979" s="588" t="n"/>
      <c r="BT979" s="588" t="n"/>
      <c r="BU979" s="588" t="n"/>
      <c r="BV979" s="588" t="n"/>
      <c r="BW979" s="588" t="n"/>
      <c r="BX979" s="588" t="n"/>
      <c r="BY979" s="588" t="n"/>
      <c r="BZ979" s="588" t="n"/>
      <c r="CA979" s="588" t="n"/>
      <c r="CB979" s="588" t="n"/>
      <c r="CC979" s="588" t="n"/>
      <c r="CD979" s="588" t="n"/>
      <c r="CE979" s="588" t="n"/>
      <c r="CF979" s="588" t="n"/>
      <c r="CG979" s="588" t="n"/>
      <c r="CH979" s="588" t="n"/>
      <c r="CI979" s="588" t="n"/>
      <c r="CJ979" s="588" t="n"/>
      <c r="CK979" s="588" t="n"/>
      <c r="CL979" s="588" t="n"/>
      <c r="CM979" s="588" t="n"/>
      <c r="CN979" s="588" t="n"/>
      <c r="CO979" s="588" t="n"/>
      <c r="CP979" s="588" t="n"/>
      <c r="CQ979" s="588" t="n"/>
      <c r="CR979" s="588" t="n"/>
      <c r="CS979" s="588" t="n"/>
      <c r="CT979" s="588" t="n"/>
      <c r="CU979" s="588" t="n"/>
      <c r="CV979" s="588" t="n"/>
      <c r="CW979" s="588" t="n"/>
      <c r="CX979" s="588" t="n"/>
      <c r="CY979" s="588" t="n"/>
      <c r="CZ979" s="588" t="n"/>
      <c r="DA979" s="588" t="n"/>
      <c r="DB979" s="588" t="n"/>
      <c r="DC979" s="588" t="n"/>
      <c r="DD979" s="588" t="n"/>
      <c r="DE979" s="588" t="n"/>
      <c r="DF979" s="588" t="n"/>
      <c r="DG979" s="588" t="n"/>
      <c r="DH979" s="588" t="n"/>
      <c r="DI979" s="588" t="n"/>
      <c r="DJ979" s="588" t="n"/>
      <c r="DK979" s="588" t="n"/>
      <c r="DL979" s="588" t="n"/>
      <c r="DM979" s="588" t="n"/>
      <c r="DN979" s="588" t="n"/>
      <c r="DO979" s="588" t="n"/>
      <c r="DP979" s="588" t="n"/>
      <c r="DQ979" s="588" t="n"/>
      <c r="DR979" s="588" t="n"/>
      <c r="DS979" s="588" t="n"/>
      <c r="DT979" s="588" t="n"/>
      <c r="DU979" s="588" t="n"/>
    </row>
    <row r="980">
      <c r="A980" s="737" t="n"/>
      <c r="B980" s="737" t="n"/>
      <c r="C980" s="737" t="n"/>
      <c r="D980" s="737" t="n"/>
      <c r="E980" s="737" t="n"/>
      <c r="F980" s="737" t="n"/>
      <c r="G980" s="737" t="n"/>
      <c r="H980" s="737" t="n"/>
      <c r="I980" s="737" t="n"/>
      <c r="J980" s="737" t="n"/>
      <c r="K980" s="737" t="n"/>
      <c r="L980" s="737" t="n"/>
      <c r="M980" s="737" t="n"/>
      <c r="N980" s="737" t="n"/>
      <c r="O980" s="737" t="n"/>
      <c r="P980" s="737" t="n"/>
      <c r="Q980" s="737" t="n"/>
      <c r="R980" s="737" t="n"/>
      <c r="S980" s="737" t="n"/>
      <c r="T980" s="737" t="n"/>
      <c r="U980" s="737" t="n"/>
      <c r="V980" s="737" t="n"/>
      <c r="W980" s="737" t="n"/>
      <c r="X980" s="737" t="n"/>
      <c r="Y980" s="737" t="n"/>
      <c r="Z980" s="737" t="n"/>
      <c r="AA980" s="737" t="n"/>
      <c r="AB980" s="737" t="n"/>
      <c r="AC980" s="737" t="n"/>
      <c r="AD980" s="737" t="n"/>
      <c r="AE980" s="737" t="n"/>
      <c r="AF980" s="737" t="n"/>
      <c r="AG980" s="737" t="n"/>
      <c r="AH980" s="737" t="n"/>
      <c r="AI980" s="737" t="n"/>
      <c r="AJ980" s="737" t="n"/>
      <c r="AK980" s="588" t="n"/>
      <c r="AL980" s="588" t="n"/>
      <c r="AM980" s="588" t="n"/>
      <c r="AN980" s="588" t="n"/>
      <c r="AO980" s="588" t="n"/>
      <c r="AP980" s="588" t="n"/>
      <c r="AQ980" s="588" t="n"/>
      <c r="AR980" s="588" t="n"/>
      <c r="AS980" s="588" t="n"/>
      <c r="AT980" s="588" t="n"/>
      <c r="AU980" s="588" t="n"/>
      <c r="AV980" s="588" t="n"/>
      <c r="AW980" s="588" t="n"/>
      <c r="AX980" s="588" t="n"/>
      <c r="AY980" s="588" t="n"/>
      <c r="AZ980" s="588" t="n"/>
      <c r="BA980" s="588" t="n"/>
      <c r="BB980" s="588" t="n"/>
      <c r="BC980" s="588" t="n"/>
      <c r="BD980" s="588" t="n"/>
      <c r="BE980" s="588" t="n"/>
      <c r="BF980" s="588" t="n"/>
      <c r="BG980" s="588" t="n"/>
      <c r="BH980" s="588" t="n"/>
      <c r="BI980" s="588" t="n"/>
      <c r="BJ980" s="588" t="n"/>
      <c r="BK980" s="588" t="n"/>
      <c r="BL980" s="588" t="n"/>
      <c r="BM980" s="588" t="n"/>
      <c r="BN980" s="588" t="n"/>
      <c r="BO980" s="588" t="n"/>
      <c r="BP980" s="588" t="n"/>
      <c r="BQ980" s="588" t="n"/>
      <c r="BR980" s="588" t="n"/>
      <c r="BS980" s="588" t="n"/>
      <c r="BT980" s="588" t="n"/>
      <c r="BU980" s="588" t="n"/>
      <c r="BV980" s="588" t="n"/>
      <c r="BW980" s="588" t="n"/>
      <c r="BX980" s="588" t="n"/>
      <c r="BY980" s="588" t="n"/>
      <c r="BZ980" s="588" t="n"/>
      <c r="CA980" s="588" t="n"/>
      <c r="CB980" s="588" t="n"/>
      <c r="CC980" s="588" t="n"/>
      <c r="CD980" s="588" t="n"/>
      <c r="CE980" s="588" t="n"/>
      <c r="CF980" s="588" t="n"/>
      <c r="CG980" s="588" t="n"/>
      <c r="CH980" s="588" t="n"/>
      <c r="CI980" s="588" t="n"/>
      <c r="CJ980" s="588" t="n"/>
      <c r="CK980" s="588" t="n"/>
      <c r="CL980" s="588" t="n"/>
      <c r="CM980" s="588" t="n"/>
      <c r="CN980" s="588" t="n"/>
      <c r="CO980" s="588" t="n"/>
      <c r="CP980" s="588" t="n"/>
      <c r="CQ980" s="588" t="n"/>
      <c r="CR980" s="588" t="n"/>
      <c r="CS980" s="588" t="n"/>
      <c r="CT980" s="588" t="n"/>
      <c r="CU980" s="588" t="n"/>
      <c r="CV980" s="588" t="n"/>
      <c r="CW980" s="588" t="n"/>
      <c r="CX980" s="588" t="n"/>
      <c r="CY980" s="588" t="n"/>
      <c r="CZ980" s="588" t="n"/>
      <c r="DA980" s="588" t="n"/>
      <c r="DB980" s="588" t="n"/>
      <c r="DC980" s="588" t="n"/>
      <c r="DD980" s="588" t="n"/>
      <c r="DE980" s="588" t="n"/>
      <c r="DF980" s="588" t="n"/>
      <c r="DG980" s="588" t="n"/>
      <c r="DH980" s="588" t="n"/>
      <c r="DI980" s="588" t="n"/>
      <c r="DJ980" s="588" t="n"/>
      <c r="DK980" s="588" t="n"/>
      <c r="DL980" s="588" t="n"/>
      <c r="DM980" s="588" t="n"/>
      <c r="DN980" s="588" t="n"/>
      <c r="DO980" s="588" t="n"/>
      <c r="DP980" s="588" t="n"/>
      <c r="DQ980" s="588" t="n"/>
      <c r="DR980" s="588" t="n"/>
      <c r="DS980" s="588" t="n"/>
      <c r="DT980" s="588" t="n"/>
      <c r="DU980" s="588" t="n"/>
    </row>
    <row r="981">
      <c r="A981" s="737" t="n"/>
      <c r="B981" s="737" t="n"/>
      <c r="C981" s="737" t="n"/>
      <c r="D981" s="737" t="n"/>
      <c r="E981" s="737" t="n"/>
      <c r="F981" s="737" t="n"/>
      <c r="G981" s="737" t="n"/>
      <c r="H981" s="737" t="n"/>
      <c r="I981" s="737" t="n"/>
      <c r="J981" s="737" t="n"/>
      <c r="K981" s="737" t="n"/>
      <c r="L981" s="737" t="n"/>
      <c r="M981" s="737" t="n"/>
      <c r="N981" s="737" t="n"/>
      <c r="O981" s="737" t="n"/>
      <c r="P981" s="737" t="n"/>
      <c r="Q981" s="737" t="n"/>
      <c r="R981" s="737" t="n"/>
      <c r="S981" s="737" t="n"/>
      <c r="T981" s="737" t="n"/>
      <c r="U981" s="737" t="n"/>
      <c r="V981" s="737" t="n"/>
      <c r="W981" s="737" t="n"/>
      <c r="X981" s="737" t="n"/>
      <c r="Y981" s="737" t="n"/>
      <c r="Z981" s="737" t="n"/>
      <c r="AA981" s="737" t="n"/>
      <c r="AB981" s="737" t="n"/>
      <c r="AC981" s="737" t="n"/>
      <c r="AD981" s="737" t="n"/>
      <c r="AE981" s="737" t="n"/>
      <c r="AF981" s="737" t="n"/>
      <c r="AG981" s="737" t="n"/>
      <c r="AH981" s="737" t="n"/>
      <c r="AI981" s="737" t="n"/>
      <c r="AJ981" s="737" t="n"/>
      <c r="AK981" s="588" t="n"/>
      <c r="AL981" s="588" t="n"/>
      <c r="AM981" s="588" t="n"/>
      <c r="AN981" s="588" t="n"/>
      <c r="AO981" s="588" t="n"/>
      <c r="AP981" s="588" t="n"/>
      <c r="AQ981" s="588" t="n"/>
      <c r="AR981" s="588" t="n"/>
      <c r="AS981" s="588" t="n"/>
      <c r="AT981" s="588" t="n"/>
      <c r="AU981" s="588" t="n"/>
      <c r="AV981" s="588" t="n"/>
      <c r="AW981" s="588" t="n"/>
      <c r="AX981" s="588" t="n"/>
      <c r="AY981" s="588" t="n"/>
      <c r="AZ981" s="588" t="n"/>
      <c r="BA981" s="588" t="n"/>
      <c r="BB981" s="588" t="n"/>
      <c r="BC981" s="588" t="n"/>
      <c r="BD981" s="588" t="n"/>
      <c r="BE981" s="588" t="n"/>
      <c r="BF981" s="588" t="n"/>
      <c r="BG981" s="588" t="n"/>
      <c r="BH981" s="588" t="n"/>
      <c r="BI981" s="588" t="n"/>
      <c r="BJ981" s="588" t="n"/>
      <c r="BK981" s="588" t="n"/>
      <c r="BL981" s="588" t="n"/>
      <c r="BM981" s="588" t="n"/>
      <c r="BN981" s="588" t="n"/>
      <c r="BO981" s="588" t="n"/>
      <c r="BP981" s="588" t="n"/>
      <c r="BQ981" s="588" t="n"/>
      <c r="BR981" s="588" t="n"/>
      <c r="BS981" s="588" t="n"/>
      <c r="BT981" s="588" t="n"/>
      <c r="BU981" s="588" t="n"/>
      <c r="BV981" s="588" t="n"/>
      <c r="BW981" s="588" t="n"/>
      <c r="BX981" s="588" t="n"/>
      <c r="BY981" s="588" t="n"/>
      <c r="BZ981" s="588" t="n"/>
      <c r="CA981" s="588" t="n"/>
      <c r="CB981" s="588" t="n"/>
      <c r="CC981" s="588" t="n"/>
      <c r="CD981" s="588" t="n"/>
      <c r="CE981" s="588" t="n"/>
      <c r="CF981" s="588" t="n"/>
      <c r="CG981" s="588" t="n"/>
      <c r="CH981" s="588" t="n"/>
      <c r="CI981" s="588" t="n"/>
      <c r="CJ981" s="588" t="n"/>
      <c r="CK981" s="588" t="n"/>
      <c r="CL981" s="588" t="n"/>
      <c r="CM981" s="588" t="n"/>
      <c r="CN981" s="588" t="n"/>
      <c r="CO981" s="588" t="n"/>
      <c r="CP981" s="588" t="n"/>
      <c r="CQ981" s="588" t="n"/>
      <c r="CR981" s="588" t="n"/>
      <c r="CS981" s="588" t="n"/>
      <c r="CT981" s="588" t="n"/>
      <c r="CU981" s="588" t="n"/>
      <c r="CV981" s="588" t="n"/>
      <c r="CW981" s="588" t="n"/>
      <c r="CX981" s="588" t="n"/>
      <c r="CY981" s="588" t="n"/>
      <c r="CZ981" s="588" t="n"/>
      <c r="DA981" s="588" t="n"/>
      <c r="DB981" s="588" t="n"/>
      <c r="DC981" s="588" t="n"/>
      <c r="DD981" s="588" t="n"/>
      <c r="DE981" s="588" t="n"/>
      <c r="DF981" s="588" t="n"/>
      <c r="DG981" s="588" t="n"/>
      <c r="DH981" s="588" t="n"/>
      <c r="DI981" s="588" t="n"/>
      <c r="DJ981" s="588" t="n"/>
      <c r="DK981" s="588" t="n"/>
      <c r="DL981" s="588" t="n"/>
      <c r="DM981" s="588" t="n"/>
      <c r="DN981" s="588" t="n"/>
      <c r="DO981" s="588" t="n"/>
      <c r="DP981" s="588" t="n"/>
      <c r="DQ981" s="588" t="n"/>
      <c r="DR981" s="588" t="n"/>
      <c r="DS981" s="588" t="n"/>
      <c r="DT981" s="588" t="n"/>
      <c r="DU981" s="588" t="n"/>
    </row>
    <row r="982">
      <c r="A982" s="737" t="n"/>
      <c r="B982" s="737" t="n"/>
      <c r="C982" s="737" t="n"/>
      <c r="D982" s="737" t="n"/>
      <c r="E982" s="737" t="n"/>
      <c r="F982" s="737" t="n"/>
      <c r="G982" s="737" t="n"/>
      <c r="H982" s="737" t="n"/>
      <c r="I982" s="737" t="n"/>
      <c r="J982" s="737" t="n"/>
      <c r="K982" s="737" t="n"/>
      <c r="L982" s="737" t="n"/>
      <c r="M982" s="737" t="n"/>
      <c r="N982" s="737" t="n"/>
      <c r="O982" s="737" t="n"/>
      <c r="P982" s="737" t="n"/>
      <c r="Q982" s="737" t="n"/>
      <c r="R982" s="737" t="n"/>
      <c r="S982" s="737" t="n"/>
      <c r="T982" s="737" t="n"/>
      <c r="U982" s="737" t="n"/>
      <c r="V982" s="737" t="n"/>
      <c r="W982" s="737" t="n"/>
      <c r="X982" s="737" t="n"/>
      <c r="Y982" s="737" t="n"/>
      <c r="Z982" s="737" t="n"/>
      <c r="AA982" s="737" t="n"/>
      <c r="AB982" s="737" t="n"/>
      <c r="AC982" s="737" t="n"/>
      <c r="AD982" s="737" t="n"/>
      <c r="AE982" s="737" t="n"/>
      <c r="AF982" s="737" t="n"/>
      <c r="AG982" s="737" t="n"/>
      <c r="AH982" s="737" t="n"/>
      <c r="AI982" s="737" t="n"/>
      <c r="AJ982" s="737" t="n"/>
      <c r="AK982" s="588" t="n"/>
      <c r="AL982" s="588" t="n"/>
      <c r="AM982" s="588" t="n"/>
      <c r="AN982" s="588" t="n"/>
      <c r="AO982" s="588" t="n"/>
      <c r="AP982" s="588" t="n"/>
      <c r="AQ982" s="588" t="n"/>
      <c r="AR982" s="588" t="n"/>
      <c r="AS982" s="588" t="n"/>
      <c r="AT982" s="588" t="n"/>
      <c r="AU982" s="588" t="n"/>
      <c r="AV982" s="588" t="n"/>
      <c r="AW982" s="588" t="n"/>
      <c r="AX982" s="588" t="n"/>
      <c r="AY982" s="588" t="n"/>
      <c r="AZ982" s="588" t="n"/>
      <c r="BA982" s="588" t="n"/>
      <c r="BB982" s="588" t="n"/>
      <c r="BC982" s="588" t="n"/>
      <c r="BD982" s="588" t="n"/>
      <c r="BE982" s="588" t="n"/>
      <c r="BF982" s="588" t="n"/>
      <c r="BG982" s="588" t="n"/>
      <c r="BH982" s="588" t="n"/>
      <c r="BI982" s="588" t="n"/>
      <c r="BJ982" s="588" t="n"/>
      <c r="BK982" s="588" t="n"/>
      <c r="BL982" s="588" t="n"/>
      <c r="BM982" s="588" t="n"/>
      <c r="BN982" s="588" t="n"/>
      <c r="BO982" s="588" t="n"/>
      <c r="BP982" s="588" t="n"/>
      <c r="BQ982" s="588" t="n"/>
      <c r="BR982" s="588" t="n"/>
      <c r="BS982" s="588" t="n"/>
      <c r="BT982" s="588" t="n"/>
      <c r="BU982" s="588" t="n"/>
      <c r="BV982" s="588" t="n"/>
      <c r="BW982" s="588" t="n"/>
      <c r="BX982" s="588" t="n"/>
      <c r="BY982" s="588" t="n"/>
      <c r="BZ982" s="588" t="n"/>
      <c r="CA982" s="588" t="n"/>
      <c r="CB982" s="588" t="n"/>
      <c r="CC982" s="588" t="n"/>
      <c r="CD982" s="588" t="n"/>
      <c r="CE982" s="588" t="n"/>
      <c r="CF982" s="588" t="n"/>
      <c r="CG982" s="588" t="n"/>
      <c r="CH982" s="588" t="n"/>
      <c r="CI982" s="588" t="n"/>
      <c r="CJ982" s="588" t="n"/>
      <c r="CK982" s="588" t="n"/>
      <c r="CL982" s="588" t="n"/>
      <c r="CM982" s="588" t="n"/>
      <c r="CN982" s="588" t="n"/>
      <c r="CO982" s="588" t="n"/>
      <c r="CP982" s="588" t="n"/>
      <c r="CQ982" s="588" t="n"/>
      <c r="CR982" s="588" t="n"/>
      <c r="CS982" s="588" t="n"/>
      <c r="CT982" s="588" t="n"/>
      <c r="CU982" s="588" t="n"/>
      <c r="CV982" s="588" t="n"/>
      <c r="CW982" s="588" t="n"/>
      <c r="CX982" s="588" t="n"/>
      <c r="CY982" s="588" t="n"/>
      <c r="CZ982" s="588" t="n"/>
      <c r="DA982" s="588" t="n"/>
      <c r="DB982" s="588" t="n"/>
      <c r="DC982" s="588" t="n"/>
      <c r="DD982" s="588" t="n"/>
      <c r="DE982" s="588" t="n"/>
      <c r="DF982" s="588" t="n"/>
      <c r="DG982" s="588" t="n"/>
      <c r="DH982" s="588" t="n"/>
      <c r="DI982" s="588" t="n"/>
      <c r="DJ982" s="588" t="n"/>
      <c r="DK982" s="588" t="n"/>
      <c r="DL982" s="588" t="n"/>
      <c r="DM982" s="588" t="n"/>
      <c r="DN982" s="588" t="n"/>
      <c r="DO982" s="588" t="n"/>
      <c r="DP982" s="588" t="n"/>
      <c r="DQ982" s="588" t="n"/>
      <c r="DR982" s="588" t="n"/>
      <c r="DS982" s="588" t="n"/>
      <c r="DT982" s="588" t="n"/>
      <c r="DU982" s="588" t="n"/>
    </row>
    <row r="983">
      <c r="A983" s="737" t="n"/>
      <c r="B983" s="737" t="n"/>
      <c r="C983" s="737" t="n"/>
      <c r="D983" s="737" t="n"/>
      <c r="E983" s="737" t="n"/>
      <c r="F983" s="737" t="n"/>
      <c r="G983" s="737" t="n"/>
      <c r="H983" s="737" t="n"/>
      <c r="I983" s="737" t="n"/>
      <c r="J983" s="737" t="n"/>
      <c r="K983" s="737" t="n"/>
      <c r="L983" s="737" t="n"/>
      <c r="M983" s="737" t="n"/>
      <c r="N983" s="737" t="n"/>
      <c r="O983" s="737" t="n"/>
      <c r="P983" s="737" t="n"/>
      <c r="Q983" s="737" t="n"/>
      <c r="R983" s="737" t="n"/>
      <c r="S983" s="737" t="n"/>
      <c r="T983" s="737" t="n"/>
      <c r="U983" s="737" t="n"/>
      <c r="V983" s="737" t="n"/>
      <c r="W983" s="737" t="n"/>
      <c r="X983" s="737" t="n"/>
      <c r="Y983" s="737" t="n"/>
      <c r="Z983" s="737" t="n"/>
      <c r="AA983" s="737" t="n"/>
      <c r="AB983" s="737" t="n"/>
      <c r="AC983" s="737" t="n"/>
      <c r="AD983" s="737" t="n"/>
      <c r="AE983" s="737" t="n"/>
      <c r="AF983" s="737" t="n"/>
      <c r="AG983" s="737" t="n"/>
      <c r="AH983" s="737" t="n"/>
      <c r="AI983" s="737" t="n"/>
      <c r="AJ983" s="737" t="n"/>
      <c r="AK983" s="588" t="n"/>
      <c r="AL983" s="588" t="n"/>
      <c r="AM983" s="588" t="n"/>
      <c r="AN983" s="588" t="n"/>
      <c r="AO983" s="588" t="n"/>
      <c r="AP983" s="588" t="n"/>
      <c r="AQ983" s="588" t="n"/>
      <c r="AR983" s="588" t="n"/>
      <c r="AS983" s="588" t="n"/>
      <c r="AT983" s="588" t="n"/>
      <c r="AU983" s="588" t="n"/>
      <c r="AV983" s="588" t="n"/>
      <c r="AW983" s="588" t="n"/>
      <c r="AX983" s="588" t="n"/>
      <c r="AY983" s="588" t="n"/>
      <c r="AZ983" s="588" t="n"/>
      <c r="BA983" s="588" t="n"/>
      <c r="BB983" s="588" t="n"/>
      <c r="BC983" s="588" t="n"/>
      <c r="BD983" s="588" t="n"/>
      <c r="BE983" s="588" t="n"/>
      <c r="BF983" s="588" t="n"/>
      <c r="BG983" s="588" t="n"/>
      <c r="BH983" s="588" t="n"/>
      <c r="BI983" s="588" t="n"/>
      <c r="BJ983" s="588" t="n"/>
      <c r="BK983" s="588" t="n"/>
      <c r="BL983" s="588" t="n"/>
      <c r="BM983" s="588" t="n"/>
      <c r="BN983" s="588" t="n"/>
      <c r="BO983" s="588" t="n"/>
      <c r="BP983" s="588" t="n"/>
      <c r="BQ983" s="588" t="n"/>
      <c r="BR983" s="588" t="n"/>
      <c r="BS983" s="588" t="n"/>
      <c r="BT983" s="588" t="n"/>
      <c r="BU983" s="588" t="n"/>
      <c r="BV983" s="588" t="n"/>
      <c r="BW983" s="588" t="n"/>
      <c r="BX983" s="588" t="n"/>
      <c r="BY983" s="588" t="n"/>
      <c r="BZ983" s="588" t="n"/>
      <c r="CA983" s="588" t="n"/>
      <c r="CB983" s="588" t="n"/>
      <c r="CC983" s="588" t="n"/>
      <c r="CD983" s="588" t="n"/>
      <c r="CE983" s="588" t="n"/>
      <c r="CF983" s="588" t="n"/>
      <c r="CG983" s="588" t="n"/>
      <c r="CH983" s="588" t="n"/>
      <c r="CI983" s="588" t="n"/>
      <c r="CJ983" s="588" t="n"/>
      <c r="CK983" s="588" t="n"/>
      <c r="CL983" s="588" t="n"/>
      <c r="CM983" s="588" t="n"/>
      <c r="CN983" s="588" t="n"/>
      <c r="CO983" s="588" t="n"/>
      <c r="CP983" s="588" t="n"/>
      <c r="CQ983" s="588" t="n"/>
      <c r="CR983" s="588" t="n"/>
      <c r="CS983" s="588" t="n"/>
      <c r="CT983" s="588" t="n"/>
      <c r="CU983" s="588" t="n"/>
      <c r="CV983" s="588" t="n"/>
      <c r="CW983" s="588" t="n"/>
      <c r="CX983" s="588" t="n"/>
      <c r="CY983" s="588" t="n"/>
      <c r="CZ983" s="588" t="n"/>
      <c r="DA983" s="588" t="n"/>
      <c r="DB983" s="588" t="n"/>
      <c r="DC983" s="588" t="n"/>
      <c r="DD983" s="588" t="n"/>
      <c r="DE983" s="588" t="n"/>
      <c r="DF983" s="588" t="n"/>
      <c r="DG983" s="588" t="n"/>
      <c r="DH983" s="588" t="n"/>
      <c r="DI983" s="588" t="n"/>
      <c r="DJ983" s="588" t="n"/>
      <c r="DK983" s="588" t="n"/>
      <c r="DL983" s="588" t="n"/>
      <c r="DM983" s="588" t="n"/>
      <c r="DN983" s="588" t="n"/>
      <c r="DO983" s="588" t="n"/>
      <c r="DP983" s="588" t="n"/>
      <c r="DQ983" s="588" t="n"/>
      <c r="DR983" s="588" t="n"/>
      <c r="DS983" s="588" t="n"/>
      <c r="DT983" s="588" t="n"/>
      <c r="DU983" s="588" t="n"/>
    </row>
    <row r="984">
      <c r="A984" s="737" t="n"/>
      <c r="B984" s="737" t="n"/>
      <c r="C984" s="737" t="n"/>
      <c r="D984" s="737" t="n"/>
      <c r="E984" s="737" t="n"/>
      <c r="F984" s="737" t="n"/>
      <c r="G984" s="737" t="n"/>
      <c r="H984" s="737" t="n"/>
      <c r="I984" s="737" t="n"/>
      <c r="J984" s="737" t="n"/>
      <c r="K984" s="737" t="n"/>
      <c r="L984" s="737" t="n"/>
      <c r="M984" s="737" t="n"/>
      <c r="N984" s="737" t="n"/>
      <c r="O984" s="737" t="n"/>
      <c r="P984" s="737" t="n"/>
      <c r="Q984" s="737" t="n"/>
      <c r="R984" s="737" t="n"/>
      <c r="S984" s="737" t="n"/>
      <c r="T984" s="737" t="n"/>
      <c r="U984" s="737" t="n"/>
      <c r="V984" s="737" t="n"/>
      <c r="W984" s="737" t="n"/>
      <c r="X984" s="737" t="n"/>
      <c r="Y984" s="737" t="n"/>
      <c r="Z984" s="737" t="n"/>
      <c r="AA984" s="737" t="n"/>
      <c r="AB984" s="737" t="n"/>
      <c r="AC984" s="737" t="n"/>
      <c r="AD984" s="737" t="n"/>
      <c r="AE984" s="737" t="n"/>
      <c r="AF984" s="737" t="n"/>
      <c r="AG984" s="737" t="n"/>
      <c r="AH984" s="737" t="n"/>
      <c r="AI984" s="737" t="n"/>
      <c r="AJ984" s="737" t="n"/>
      <c r="AK984" s="588" t="n"/>
      <c r="AL984" s="588" t="n"/>
      <c r="AM984" s="588" t="n"/>
      <c r="AN984" s="588" t="n"/>
      <c r="AO984" s="588" t="n"/>
      <c r="AP984" s="588" t="n"/>
      <c r="AQ984" s="588" t="n"/>
      <c r="AR984" s="588" t="n"/>
      <c r="AS984" s="588" t="n"/>
      <c r="AT984" s="588" t="n"/>
      <c r="AU984" s="588" t="n"/>
      <c r="AV984" s="588" t="n"/>
      <c r="AW984" s="588" t="n"/>
      <c r="AX984" s="588" t="n"/>
      <c r="AY984" s="588" t="n"/>
      <c r="AZ984" s="588" t="n"/>
      <c r="BA984" s="588" t="n"/>
      <c r="BB984" s="588" t="n"/>
      <c r="BC984" s="588" t="n"/>
      <c r="BD984" s="588" t="n"/>
      <c r="BE984" s="588" t="n"/>
      <c r="BF984" s="588" t="n"/>
      <c r="BG984" s="588" t="n"/>
      <c r="BH984" s="588" t="n"/>
      <c r="BI984" s="588" t="n"/>
      <c r="BJ984" s="588" t="n"/>
      <c r="BK984" s="588" t="n"/>
      <c r="BL984" s="588" t="n"/>
      <c r="BM984" s="588" t="n"/>
      <c r="BN984" s="588" t="n"/>
      <c r="BO984" s="588" t="n"/>
      <c r="BP984" s="588" t="n"/>
      <c r="BQ984" s="588" t="n"/>
      <c r="BR984" s="588" t="n"/>
      <c r="BS984" s="588" t="n"/>
      <c r="BT984" s="588" t="n"/>
      <c r="BU984" s="588" t="n"/>
      <c r="BV984" s="588" t="n"/>
      <c r="BW984" s="588" t="n"/>
      <c r="BX984" s="588" t="n"/>
      <c r="BY984" s="588" t="n"/>
      <c r="BZ984" s="588" t="n"/>
      <c r="CA984" s="588" t="n"/>
      <c r="CB984" s="588" t="n"/>
      <c r="CC984" s="588" t="n"/>
      <c r="CD984" s="588" t="n"/>
      <c r="CE984" s="588" t="n"/>
      <c r="CF984" s="588" t="n"/>
      <c r="CG984" s="588" t="n"/>
      <c r="CH984" s="588" t="n"/>
      <c r="CI984" s="588" t="n"/>
      <c r="CJ984" s="588" t="n"/>
      <c r="CK984" s="588" t="n"/>
      <c r="CL984" s="588" t="n"/>
      <c r="CM984" s="588" t="n"/>
      <c r="CN984" s="588" t="n"/>
      <c r="CO984" s="588" t="n"/>
      <c r="CP984" s="588" t="n"/>
      <c r="CQ984" s="588" t="n"/>
      <c r="CR984" s="588" t="n"/>
      <c r="CS984" s="588" t="n"/>
      <c r="CT984" s="588" t="n"/>
      <c r="CU984" s="588" t="n"/>
      <c r="CV984" s="588" t="n"/>
      <c r="CW984" s="588" t="n"/>
      <c r="CX984" s="588" t="n"/>
      <c r="CY984" s="588" t="n"/>
      <c r="CZ984" s="588" t="n"/>
      <c r="DA984" s="588" t="n"/>
      <c r="DB984" s="588" t="n"/>
      <c r="DC984" s="588" t="n"/>
      <c r="DD984" s="588" t="n"/>
      <c r="DE984" s="588" t="n"/>
      <c r="DF984" s="588" t="n"/>
      <c r="DG984" s="588" t="n"/>
      <c r="DH984" s="588" t="n"/>
      <c r="DI984" s="588" t="n"/>
      <c r="DJ984" s="588" t="n"/>
      <c r="DK984" s="588" t="n"/>
      <c r="DL984" s="588" t="n"/>
      <c r="DM984" s="588" t="n"/>
      <c r="DN984" s="588" t="n"/>
      <c r="DO984" s="588" t="n"/>
      <c r="DP984" s="588" t="n"/>
      <c r="DQ984" s="588" t="n"/>
      <c r="DR984" s="588" t="n"/>
      <c r="DS984" s="588" t="n"/>
      <c r="DT984" s="588" t="n"/>
      <c r="DU984" s="588" t="n"/>
    </row>
    <row r="985">
      <c r="A985" s="737" t="n"/>
      <c r="B985" s="737" t="n"/>
      <c r="C985" s="737" t="n"/>
      <c r="D985" s="737" t="n"/>
      <c r="E985" s="737" t="n"/>
      <c r="F985" s="737" t="n"/>
      <c r="G985" s="737" t="n"/>
      <c r="H985" s="737" t="n"/>
      <c r="I985" s="737" t="n"/>
      <c r="J985" s="737" t="n"/>
      <c r="K985" s="737" t="n"/>
      <c r="L985" s="737" t="n"/>
      <c r="M985" s="737" t="n"/>
      <c r="N985" s="737" t="n"/>
      <c r="O985" s="737" t="n"/>
      <c r="P985" s="737" t="n"/>
      <c r="Q985" s="737" t="n"/>
      <c r="R985" s="737" t="n"/>
      <c r="S985" s="737" t="n"/>
      <c r="T985" s="737" t="n"/>
      <c r="U985" s="737" t="n"/>
      <c r="V985" s="737" t="n"/>
      <c r="W985" s="737" t="n"/>
      <c r="X985" s="737" t="n"/>
      <c r="Y985" s="737" t="n"/>
      <c r="Z985" s="737" t="n"/>
      <c r="AA985" s="737" t="n"/>
      <c r="AB985" s="737" t="n"/>
      <c r="AC985" s="737" t="n"/>
      <c r="AD985" s="737" t="n"/>
      <c r="AE985" s="737" t="n"/>
      <c r="AF985" s="737" t="n"/>
      <c r="AG985" s="737" t="n"/>
      <c r="AH985" s="737" t="n"/>
      <c r="AI985" s="737" t="n"/>
      <c r="AJ985" s="737" t="n"/>
      <c r="AK985" s="588" t="n"/>
      <c r="AL985" s="588" t="n"/>
      <c r="AM985" s="588" t="n"/>
      <c r="AN985" s="588" t="n"/>
      <c r="AO985" s="588" t="n"/>
      <c r="AP985" s="588" t="n"/>
      <c r="AQ985" s="588" t="n"/>
      <c r="AR985" s="588" t="n"/>
      <c r="AS985" s="588" t="n"/>
      <c r="AT985" s="588" t="n"/>
      <c r="AU985" s="588" t="n"/>
      <c r="AV985" s="588" t="n"/>
      <c r="AW985" s="588" t="n"/>
      <c r="AX985" s="588" t="n"/>
      <c r="AY985" s="588" t="n"/>
      <c r="AZ985" s="588" t="n"/>
      <c r="BA985" s="588" t="n"/>
      <c r="BB985" s="588" t="n"/>
      <c r="BC985" s="588" t="n"/>
      <c r="BD985" s="588" t="n"/>
      <c r="BE985" s="588" t="n"/>
      <c r="BF985" s="588" t="n"/>
      <c r="BG985" s="588" t="n"/>
      <c r="BH985" s="588" t="n"/>
      <c r="BI985" s="588" t="n"/>
      <c r="BJ985" s="588" t="n"/>
      <c r="BK985" s="588" t="n"/>
      <c r="BL985" s="588" t="n"/>
      <c r="BM985" s="588" t="n"/>
      <c r="BN985" s="588" t="n"/>
      <c r="BO985" s="588" t="n"/>
      <c r="BP985" s="588" t="n"/>
      <c r="BQ985" s="588" t="n"/>
      <c r="BR985" s="588" t="n"/>
      <c r="BS985" s="588" t="n"/>
      <c r="BT985" s="588" t="n"/>
      <c r="BU985" s="588" t="n"/>
      <c r="BV985" s="588" t="n"/>
      <c r="BW985" s="588" t="n"/>
      <c r="BX985" s="588" t="n"/>
      <c r="BY985" s="588" t="n"/>
      <c r="BZ985" s="588" t="n"/>
      <c r="CA985" s="588" t="n"/>
      <c r="CB985" s="588" t="n"/>
      <c r="CC985" s="588" t="n"/>
      <c r="CD985" s="588" t="n"/>
      <c r="CE985" s="588" t="n"/>
      <c r="CF985" s="588" t="n"/>
      <c r="CG985" s="588" t="n"/>
      <c r="CH985" s="588" t="n"/>
      <c r="CI985" s="588" t="n"/>
      <c r="CJ985" s="588" t="n"/>
      <c r="CK985" s="588" t="n"/>
      <c r="CL985" s="588" t="n"/>
      <c r="CM985" s="588" t="n"/>
      <c r="CN985" s="588" t="n"/>
      <c r="CO985" s="588" t="n"/>
      <c r="CP985" s="588" t="n"/>
      <c r="CQ985" s="588" t="n"/>
      <c r="CR985" s="588" t="n"/>
      <c r="CS985" s="588" t="n"/>
      <c r="CT985" s="588" t="n"/>
      <c r="CU985" s="588" t="n"/>
      <c r="CV985" s="588" t="n"/>
      <c r="CW985" s="588" t="n"/>
      <c r="CX985" s="588" t="n"/>
      <c r="CY985" s="588" t="n"/>
      <c r="CZ985" s="588" t="n"/>
      <c r="DA985" s="588" t="n"/>
      <c r="DB985" s="588" t="n"/>
      <c r="DC985" s="588" t="n"/>
      <c r="DD985" s="588" t="n"/>
      <c r="DE985" s="588" t="n"/>
      <c r="DF985" s="588" t="n"/>
      <c r="DG985" s="588" t="n"/>
      <c r="DH985" s="588" t="n"/>
      <c r="DI985" s="588" t="n"/>
      <c r="DJ985" s="588" t="n"/>
      <c r="DK985" s="588" t="n"/>
      <c r="DL985" s="588" t="n"/>
      <c r="DM985" s="588" t="n"/>
      <c r="DN985" s="588" t="n"/>
      <c r="DO985" s="588" t="n"/>
      <c r="DP985" s="588" t="n"/>
      <c r="DQ985" s="588" t="n"/>
      <c r="DR985" s="588" t="n"/>
      <c r="DS985" s="588" t="n"/>
      <c r="DT985" s="588" t="n"/>
      <c r="DU985" s="588" t="n"/>
    </row>
    <row r="986">
      <c r="A986" s="737" t="n"/>
      <c r="B986" s="737" t="n"/>
      <c r="C986" s="737" t="n"/>
      <c r="D986" s="737" t="n"/>
      <c r="E986" s="737" t="n"/>
      <c r="F986" s="737" t="n"/>
      <c r="G986" s="737" t="n"/>
      <c r="H986" s="737" t="n"/>
      <c r="I986" s="737" t="n"/>
      <c r="J986" s="737" t="n"/>
      <c r="K986" s="737" t="n"/>
      <c r="L986" s="737" t="n"/>
      <c r="M986" s="737" t="n"/>
      <c r="N986" s="737" t="n"/>
      <c r="O986" s="737" t="n"/>
      <c r="P986" s="737" t="n"/>
      <c r="Q986" s="737" t="n"/>
      <c r="R986" s="737" t="n"/>
      <c r="S986" s="737" t="n"/>
      <c r="T986" s="737" t="n"/>
      <c r="U986" s="737" t="n"/>
      <c r="V986" s="737" t="n"/>
      <c r="W986" s="737" t="n"/>
      <c r="X986" s="737" t="n"/>
      <c r="Y986" s="737" t="n"/>
      <c r="Z986" s="737" t="n"/>
      <c r="AA986" s="737" t="n"/>
      <c r="AB986" s="737" t="n"/>
      <c r="AC986" s="737" t="n"/>
      <c r="AD986" s="737" t="n"/>
      <c r="AE986" s="737" t="n"/>
      <c r="AF986" s="737" t="n"/>
      <c r="AG986" s="737" t="n"/>
      <c r="AH986" s="737" t="n"/>
      <c r="AI986" s="737" t="n"/>
      <c r="AJ986" s="737" t="n"/>
      <c r="AK986" s="588" t="n"/>
      <c r="AL986" s="588" t="n"/>
      <c r="AM986" s="588" t="n"/>
      <c r="AN986" s="588" t="n"/>
      <c r="AO986" s="588" t="n"/>
      <c r="AP986" s="588" t="n"/>
      <c r="AQ986" s="588" t="n"/>
      <c r="AR986" s="588" t="n"/>
      <c r="AS986" s="588" t="n"/>
      <c r="AT986" s="588" t="n"/>
      <c r="AU986" s="588" t="n"/>
      <c r="AV986" s="588" t="n"/>
      <c r="AW986" s="588" t="n"/>
      <c r="AX986" s="588" t="n"/>
      <c r="AY986" s="588" t="n"/>
      <c r="AZ986" s="588" t="n"/>
      <c r="BA986" s="588" t="n"/>
      <c r="BB986" s="588" t="n"/>
      <c r="BC986" s="588" t="n"/>
      <c r="BD986" s="588" t="n"/>
      <c r="BE986" s="588" t="n"/>
      <c r="BF986" s="588" t="n"/>
      <c r="BG986" s="588" t="n"/>
      <c r="BH986" s="588" t="n"/>
      <c r="BI986" s="588" t="n"/>
      <c r="BJ986" s="588" t="n"/>
      <c r="BK986" s="588" t="n"/>
      <c r="BL986" s="588" t="n"/>
      <c r="BM986" s="588" t="n"/>
      <c r="BN986" s="588" t="n"/>
      <c r="BO986" s="588" t="n"/>
      <c r="BP986" s="588" t="n"/>
      <c r="BQ986" s="588" t="n"/>
      <c r="BR986" s="588" t="n"/>
      <c r="BS986" s="588" t="n"/>
      <c r="BT986" s="588" t="n"/>
      <c r="BU986" s="588" t="n"/>
      <c r="BV986" s="588" t="n"/>
      <c r="BW986" s="588" t="n"/>
      <c r="BX986" s="588" t="n"/>
      <c r="BY986" s="588" t="n"/>
      <c r="BZ986" s="588" t="n"/>
      <c r="CA986" s="588" t="n"/>
      <c r="CB986" s="588" t="n"/>
      <c r="CC986" s="588" t="n"/>
      <c r="CD986" s="588" t="n"/>
      <c r="CE986" s="588" t="n"/>
      <c r="CF986" s="588" t="n"/>
      <c r="CG986" s="588" t="n"/>
      <c r="CH986" s="588" t="n"/>
      <c r="CI986" s="588" t="n"/>
      <c r="CJ986" s="588" t="n"/>
      <c r="CK986" s="588" t="n"/>
      <c r="CL986" s="588" t="n"/>
      <c r="CM986" s="588" t="n"/>
      <c r="CN986" s="588" t="n"/>
      <c r="CO986" s="588" t="n"/>
      <c r="CP986" s="588" t="n"/>
      <c r="CQ986" s="588" t="n"/>
      <c r="CR986" s="588" t="n"/>
      <c r="CS986" s="588" t="n"/>
      <c r="CT986" s="588" t="n"/>
      <c r="CU986" s="588" t="n"/>
      <c r="CV986" s="588" t="n"/>
      <c r="CW986" s="588" t="n"/>
      <c r="CX986" s="588" t="n"/>
      <c r="CY986" s="588" t="n"/>
      <c r="CZ986" s="588" t="n"/>
      <c r="DA986" s="588" t="n"/>
      <c r="DB986" s="588" t="n"/>
      <c r="DC986" s="588" t="n"/>
      <c r="DD986" s="588" t="n"/>
      <c r="DE986" s="588" t="n"/>
      <c r="DF986" s="588" t="n"/>
      <c r="DG986" s="588" t="n"/>
      <c r="DH986" s="588" t="n"/>
      <c r="DI986" s="588" t="n"/>
      <c r="DJ986" s="588" t="n"/>
      <c r="DK986" s="588" t="n"/>
      <c r="DL986" s="588" t="n"/>
      <c r="DM986" s="588" t="n"/>
      <c r="DN986" s="588" t="n"/>
      <c r="DO986" s="588" t="n"/>
      <c r="DP986" s="588" t="n"/>
      <c r="DQ986" s="588" t="n"/>
      <c r="DR986" s="588" t="n"/>
      <c r="DS986" s="588" t="n"/>
      <c r="DT986" s="588" t="n"/>
      <c r="DU986" s="588" t="n"/>
    </row>
    <row r="987">
      <c r="A987" s="737" t="n"/>
      <c r="B987" s="737" t="n"/>
      <c r="C987" s="737" t="n"/>
      <c r="D987" s="737" t="n"/>
      <c r="E987" s="737" t="n"/>
      <c r="F987" s="737" t="n"/>
      <c r="G987" s="737" t="n"/>
      <c r="H987" s="737" t="n"/>
      <c r="I987" s="737" t="n"/>
      <c r="J987" s="737" t="n"/>
      <c r="K987" s="737" t="n"/>
      <c r="L987" s="737" t="n"/>
      <c r="M987" s="737" t="n"/>
      <c r="N987" s="737" t="n"/>
      <c r="O987" s="737" t="n"/>
      <c r="P987" s="737" t="n"/>
      <c r="Q987" s="737" t="n"/>
      <c r="R987" s="737" t="n"/>
      <c r="S987" s="737" t="n"/>
      <c r="T987" s="737" t="n"/>
      <c r="U987" s="737" t="n"/>
      <c r="V987" s="737" t="n"/>
      <c r="W987" s="737" t="n"/>
      <c r="X987" s="737" t="n"/>
      <c r="Y987" s="737" t="n"/>
      <c r="Z987" s="737" t="n"/>
      <c r="AA987" s="737" t="n"/>
      <c r="AB987" s="737" t="n"/>
      <c r="AC987" s="737" t="n"/>
      <c r="AD987" s="737" t="n"/>
      <c r="AE987" s="737" t="n"/>
      <c r="AF987" s="737" t="n"/>
      <c r="AG987" s="737" t="n"/>
      <c r="AH987" s="737" t="n"/>
      <c r="AI987" s="737" t="n"/>
      <c r="AJ987" s="737" t="n"/>
      <c r="AK987" s="588" t="n"/>
      <c r="AL987" s="588" t="n"/>
      <c r="AM987" s="588" t="n"/>
      <c r="AN987" s="588" t="n"/>
      <c r="AO987" s="588" t="n"/>
      <c r="AP987" s="588" t="n"/>
      <c r="AQ987" s="588" t="n"/>
      <c r="AR987" s="588" t="n"/>
      <c r="AS987" s="588" t="n"/>
      <c r="AT987" s="588" t="n"/>
      <c r="AU987" s="588" t="n"/>
      <c r="AV987" s="588" t="n"/>
      <c r="AW987" s="588" t="n"/>
      <c r="AX987" s="588" t="n"/>
      <c r="AY987" s="588" t="n"/>
      <c r="AZ987" s="588" t="n"/>
      <c r="BA987" s="588" t="n"/>
      <c r="BB987" s="588" t="n"/>
      <c r="BC987" s="588" t="n"/>
      <c r="BD987" s="588" t="n"/>
      <c r="BE987" s="588" t="n"/>
      <c r="BF987" s="588" t="n"/>
      <c r="BG987" s="588" t="n"/>
      <c r="BH987" s="588" t="n"/>
      <c r="BI987" s="588" t="n"/>
      <c r="BJ987" s="588" t="n"/>
      <c r="BK987" s="588" t="n"/>
      <c r="BL987" s="588" t="n"/>
      <c r="BM987" s="588" t="n"/>
      <c r="BN987" s="588" t="n"/>
      <c r="BO987" s="588" t="n"/>
      <c r="BP987" s="588" t="n"/>
      <c r="BQ987" s="588" t="n"/>
      <c r="BR987" s="588" t="n"/>
      <c r="BS987" s="588" t="n"/>
      <c r="BT987" s="588" t="n"/>
      <c r="BU987" s="588" t="n"/>
      <c r="BV987" s="588" t="n"/>
      <c r="BW987" s="588" t="n"/>
      <c r="BX987" s="588" t="n"/>
      <c r="BY987" s="588" t="n"/>
      <c r="BZ987" s="588" t="n"/>
      <c r="CA987" s="588" t="n"/>
      <c r="CB987" s="588" t="n"/>
      <c r="CC987" s="588" t="n"/>
      <c r="CD987" s="588" t="n"/>
      <c r="CE987" s="588" t="n"/>
      <c r="CF987" s="588" t="n"/>
      <c r="CG987" s="588" t="n"/>
      <c r="CH987" s="588" t="n"/>
      <c r="CI987" s="588" t="n"/>
      <c r="CJ987" s="588" t="n"/>
      <c r="CK987" s="588" t="n"/>
      <c r="CL987" s="588" t="n"/>
      <c r="CM987" s="588" t="n"/>
      <c r="CN987" s="588" t="n"/>
      <c r="CO987" s="588" t="n"/>
      <c r="CP987" s="588" t="n"/>
      <c r="CQ987" s="588" t="n"/>
      <c r="CR987" s="588" t="n"/>
      <c r="CS987" s="588" t="n"/>
      <c r="CT987" s="588" t="n"/>
      <c r="CU987" s="588" t="n"/>
      <c r="CV987" s="588" t="n"/>
      <c r="CW987" s="588" t="n"/>
      <c r="CX987" s="588" t="n"/>
      <c r="CY987" s="588" t="n"/>
      <c r="CZ987" s="588" t="n"/>
      <c r="DA987" s="588" t="n"/>
      <c r="DB987" s="588" t="n"/>
      <c r="DC987" s="588" t="n"/>
      <c r="DD987" s="588" t="n"/>
      <c r="DE987" s="588" t="n"/>
      <c r="DF987" s="588" t="n"/>
      <c r="DG987" s="588" t="n"/>
      <c r="DH987" s="588" t="n"/>
      <c r="DI987" s="588" t="n"/>
      <c r="DJ987" s="588" t="n"/>
      <c r="DK987" s="588" t="n"/>
      <c r="DL987" s="588" t="n"/>
      <c r="DM987" s="588" t="n"/>
      <c r="DN987" s="588" t="n"/>
      <c r="DO987" s="588" t="n"/>
      <c r="DP987" s="588" t="n"/>
      <c r="DQ987" s="588" t="n"/>
      <c r="DR987" s="588" t="n"/>
      <c r="DS987" s="588" t="n"/>
      <c r="DT987" s="588" t="n"/>
      <c r="DU987" s="588" t="n"/>
    </row>
    <row r="988">
      <c r="A988" s="737" t="n"/>
      <c r="B988" s="737" t="n"/>
      <c r="C988" s="737" t="n"/>
      <c r="D988" s="737" t="n"/>
      <c r="E988" s="737" t="n"/>
      <c r="F988" s="737" t="n"/>
      <c r="G988" s="737" t="n"/>
      <c r="H988" s="737" t="n"/>
      <c r="I988" s="737" t="n"/>
      <c r="J988" s="737" t="n"/>
      <c r="K988" s="737" t="n"/>
      <c r="L988" s="737" t="n"/>
      <c r="M988" s="737" t="n"/>
      <c r="N988" s="737" t="n"/>
      <c r="O988" s="737" t="n"/>
      <c r="P988" s="737" t="n"/>
      <c r="Q988" s="737" t="n"/>
      <c r="R988" s="737" t="n"/>
      <c r="S988" s="737" t="n"/>
      <c r="T988" s="737" t="n"/>
      <c r="U988" s="737" t="n"/>
      <c r="V988" s="737" t="n"/>
      <c r="W988" s="737" t="n"/>
      <c r="X988" s="737" t="n"/>
      <c r="Y988" s="737" t="n"/>
      <c r="Z988" s="737" t="n"/>
      <c r="AA988" s="737" t="n"/>
      <c r="AB988" s="737" t="n"/>
      <c r="AC988" s="737" t="n"/>
      <c r="AD988" s="737" t="n"/>
      <c r="AE988" s="737" t="n"/>
      <c r="AF988" s="737" t="n"/>
      <c r="AG988" s="737" t="n"/>
      <c r="AH988" s="737" t="n"/>
      <c r="AI988" s="737" t="n"/>
      <c r="AJ988" s="737" t="n"/>
      <c r="AK988" s="588" t="n"/>
      <c r="AL988" s="588" t="n"/>
      <c r="AM988" s="588" t="n"/>
      <c r="AN988" s="588" t="n"/>
      <c r="AO988" s="588" t="n"/>
      <c r="AP988" s="588" t="n"/>
      <c r="AQ988" s="588" t="n"/>
      <c r="AR988" s="588" t="n"/>
      <c r="AS988" s="588" t="n"/>
      <c r="AT988" s="588" t="n"/>
      <c r="AU988" s="588" t="n"/>
      <c r="AV988" s="588" t="n"/>
      <c r="AW988" s="588" t="n"/>
      <c r="AX988" s="588" t="n"/>
      <c r="AY988" s="588" t="n"/>
      <c r="AZ988" s="588" t="n"/>
      <c r="BA988" s="588" t="n"/>
      <c r="BB988" s="588" t="n"/>
      <c r="BC988" s="588" t="n"/>
      <c r="BD988" s="588" t="n"/>
      <c r="BE988" s="588" t="n"/>
      <c r="BF988" s="588" t="n"/>
      <c r="BG988" s="588" t="n"/>
      <c r="BH988" s="588" t="n"/>
      <c r="BI988" s="588" t="n"/>
      <c r="BJ988" s="588" t="n"/>
      <c r="BK988" s="588" t="n"/>
      <c r="BL988" s="588" t="n"/>
      <c r="BM988" s="588" t="n"/>
      <c r="BN988" s="588" t="n"/>
      <c r="BO988" s="588" t="n"/>
      <c r="BP988" s="588" t="n"/>
      <c r="BQ988" s="588" t="n"/>
      <c r="BR988" s="588" t="n"/>
      <c r="BS988" s="588" t="n"/>
      <c r="BT988" s="588" t="n"/>
      <c r="BU988" s="588" t="n"/>
      <c r="BV988" s="588" t="n"/>
      <c r="BW988" s="588" t="n"/>
      <c r="BX988" s="588" t="n"/>
      <c r="BY988" s="588" t="n"/>
      <c r="BZ988" s="588" t="n"/>
      <c r="CA988" s="588" t="n"/>
      <c r="CB988" s="588" t="n"/>
      <c r="CC988" s="588" t="n"/>
      <c r="CD988" s="588" t="n"/>
      <c r="CE988" s="588" t="n"/>
      <c r="CF988" s="588" t="n"/>
      <c r="CG988" s="588" t="n"/>
      <c r="CH988" s="588" t="n"/>
      <c r="CI988" s="588" t="n"/>
      <c r="CJ988" s="588" t="n"/>
      <c r="CK988" s="588" t="n"/>
      <c r="CL988" s="588" t="n"/>
      <c r="CM988" s="588" t="n"/>
      <c r="CN988" s="588" t="n"/>
      <c r="CO988" s="588" t="n"/>
      <c r="CP988" s="588" t="n"/>
      <c r="CQ988" s="588" t="n"/>
      <c r="CR988" s="588" t="n"/>
      <c r="CS988" s="588" t="n"/>
      <c r="CT988" s="588" t="n"/>
      <c r="CU988" s="588" t="n"/>
      <c r="CV988" s="588" t="n"/>
      <c r="CW988" s="588" t="n"/>
      <c r="CX988" s="588" t="n"/>
      <c r="CY988" s="588" t="n"/>
      <c r="CZ988" s="588" t="n"/>
      <c r="DA988" s="588" t="n"/>
      <c r="DB988" s="588" t="n"/>
      <c r="DC988" s="588" t="n"/>
      <c r="DD988" s="588" t="n"/>
      <c r="DE988" s="588" t="n"/>
      <c r="DF988" s="588" t="n"/>
      <c r="DG988" s="588" t="n"/>
      <c r="DH988" s="588" t="n"/>
      <c r="DI988" s="588" t="n"/>
      <c r="DJ988" s="588" t="n"/>
      <c r="DK988" s="588" t="n"/>
      <c r="DL988" s="588" t="n"/>
      <c r="DM988" s="588" t="n"/>
      <c r="DN988" s="588" t="n"/>
      <c r="DO988" s="588" t="n"/>
      <c r="DP988" s="588" t="n"/>
      <c r="DQ988" s="588" t="n"/>
      <c r="DR988" s="588" t="n"/>
      <c r="DS988" s="588" t="n"/>
      <c r="DT988" s="588" t="n"/>
      <c r="DU988" s="588" t="n"/>
    </row>
    <row r="989">
      <c r="A989" s="737" t="n"/>
      <c r="B989" s="737" t="n"/>
      <c r="C989" s="737" t="n"/>
      <c r="D989" s="737" t="n"/>
      <c r="E989" s="737" t="n"/>
      <c r="F989" s="737" t="n"/>
      <c r="G989" s="737" t="n"/>
      <c r="H989" s="737" t="n"/>
      <c r="I989" s="737" t="n"/>
      <c r="J989" s="737" t="n"/>
      <c r="K989" s="737" t="n"/>
      <c r="L989" s="737" t="n"/>
      <c r="M989" s="737" t="n"/>
      <c r="N989" s="737" t="n"/>
      <c r="O989" s="737" t="n"/>
      <c r="P989" s="737" t="n"/>
      <c r="Q989" s="737" t="n"/>
      <c r="R989" s="737" t="n"/>
      <c r="S989" s="737" t="n"/>
      <c r="T989" s="737" t="n"/>
      <c r="U989" s="737" t="n"/>
      <c r="V989" s="737" t="n"/>
      <c r="W989" s="737" t="n"/>
      <c r="X989" s="737" t="n"/>
      <c r="Y989" s="737" t="n"/>
      <c r="Z989" s="737" t="n"/>
      <c r="AA989" s="737" t="n"/>
      <c r="AB989" s="737" t="n"/>
      <c r="AC989" s="737" t="n"/>
      <c r="AD989" s="737" t="n"/>
      <c r="AE989" s="737" t="n"/>
      <c r="AF989" s="737" t="n"/>
      <c r="AG989" s="737" t="n"/>
      <c r="AH989" s="737" t="n"/>
      <c r="AI989" s="737" t="n"/>
      <c r="AJ989" s="737" t="n"/>
      <c r="AK989" s="588" t="n"/>
      <c r="AL989" s="588" t="n"/>
      <c r="AM989" s="588" t="n"/>
      <c r="AN989" s="588" t="n"/>
      <c r="AO989" s="588" t="n"/>
      <c r="AP989" s="588" t="n"/>
      <c r="AQ989" s="588" t="n"/>
      <c r="AR989" s="588" t="n"/>
      <c r="AS989" s="588" t="n"/>
      <c r="AT989" s="588" t="n"/>
      <c r="AU989" s="588" t="n"/>
      <c r="AV989" s="588" t="n"/>
      <c r="AW989" s="588" t="n"/>
      <c r="AX989" s="588" t="n"/>
      <c r="AY989" s="588" t="n"/>
      <c r="AZ989" s="588" t="n"/>
      <c r="BA989" s="588" t="n"/>
      <c r="BB989" s="588" t="n"/>
      <c r="BC989" s="588" t="n"/>
      <c r="BD989" s="588" t="n"/>
      <c r="BE989" s="588" t="n"/>
      <c r="BF989" s="588" t="n"/>
      <c r="BG989" s="588" t="n"/>
      <c r="BH989" s="588" t="n"/>
      <c r="BI989" s="588" t="n"/>
      <c r="BJ989" s="588" t="n"/>
      <c r="BK989" s="588" t="n"/>
      <c r="BL989" s="588" t="n"/>
      <c r="BM989" s="588" t="n"/>
      <c r="BN989" s="588" t="n"/>
      <c r="BO989" s="588" t="n"/>
      <c r="BP989" s="588" t="n"/>
      <c r="BQ989" s="588" t="n"/>
      <c r="BR989" s="588" t="n"/>
      <c r="BS989" s="588" t="n"/>
      <c r="BT989" s="588" t="n"/>
      <c r="BU989" s="588" t="n"/>
      <c r="BV989" s="588" t="n"/>
      <c r="BW989" s="588" t="n"/>
      <c r="BX989" s="588" t="n"/>
      <c r="BY989" s="588" t="n"/>
      <c r="BZ989" s="588" t="n"/>
      <c r="CA989" s="588" t="n"/>
      <c r="CB989" s="588" t="n"/>
      <c r="CC989" s="588" t="n"/>
      <c r="CD989" s="588" t="n"/>
      <c r="CE989" s="588" t="n"/>
      <c r="CF989" s="588" t="n"/>
      <c r="CG989" s="588" t="n"/>
      <c r="CH989" s="588" t="n"/>
      <c r="CI989" s="588" t="n"/>
      <c r="CJ989" s="588" t="n"/>
      <c r="CK989" s="588" t="n"/>
      <c r="CL989" s="588" t="n"/>
      <c r="CM989" s="588" t="n"/>
      <c r="CN989" s="588" t="n"/>
      <c r="CO989" s="588" t="n"/>
      <c r="CP989" s="588" t="n"/>
      <c r="CQ989" s="588" t="n"/>
      <c r="CR989" s="588" t="n"/>
      <c r="CS989" s="588" t="n"/>
      <c r="CT989" s="588" t="n"/>
      <c r="CU989" s="588" t="n"/>
      <c r="CV989" s="588" t="n"/>
      <c r="CW989" s="588" t="n"/>
      <c r="CX989" s="588" t="n"/>
      <c r="CY989" s="588" t="n"/>
      <c r="CZ989" s="588" t="n"/>
      <c r="DA989" s="588" t="n"/>
      <c r="DB989" s="588" t="n"/>
      <c r="DC989" s="588" t="n"/>
      <c r="DD989" s="588" t="n"/>
      <c r="DE989" s="588" t="n"/>
      <c r="DF989" s="588" t="n"/>
      <c r="DG989" s="588" t="n"/>
      <c r="DH989" s="588" t="n"/>
      <c r="DI989" s="588" t="n"/>
      <c r="DJ989" s="588" t="n"/>
      <c r="DK989" s="588" t="n"/>
      <c r="DL989" s="588" t="n"/>
      <c r="DM989" s="588" t="n"/>
      <c r="DN989" s="588" t="n"/>
      <c r="DO989" s="588" t="n"/>
      <c r="DP989" s="588" t="n"/>
      <c r="DQ989" s="588" t="n"/>
      <c r="DR989" s="588" t="n"/>
      <c r="DS989" s="588" t="n"/>
      <c r="DT989" s="588" t="n"/>
      <c r="DU989" s="588" t="n"/>
    </row>
    <row r="990">
      <c r="A990" s="737" t="n"/>
      <c r="B990" s="737" t="n"/>
      <c r="C990" s="737" t="n"/>
      <c r="D990" s="737" t="n"/>
      <c r="E990" s="737" t="n"/>
      <c r="F990" s="737" t="n"/>
      <c r="G990" s="737" t="n"/>
      <c r="H990" s="737" t="n"/>
      <c r="I990" s="737" t="n"/>
      <c r="J990" s="737" t="n"/>
      <c r="K990" s="737" t="n"/>
      <c r="L990" s="737" t="n"/>
      <c r="M990" s="737" t="n"/>
      <c r="N990" s="737" t="n"/>
      <c r="O990" s="737" t="n"/>
      <c r="P990" s="737" t="n"/>
      <c r="Q990" s="737" t="n"/>
      <c r="R990" s="737" t="n"/>
      <c r="S990" s="737" t="n"/>
      <c r="T990" s="737" t="n"/>
      <c r="U990" s="737" t="n"/>
      <c r="V990" s="737" t="n"/>
      <c r="W990" s="737" t="n"/>
      <c r="X990" s="737" t="n"/>
      <c r="Y990" s="737" t="n"/>
      <c r="Z990" s="737" t="n"/>
      <c r="AA990" s="737" t="n"/>
      <c r="AB990" s="737" t="n"/>
      <c r="AC990" s="737" t="n"/>
      <c r="AD990" s="737" t="n"/>
      <c r="AE990" s="737" t="n"/>
      <c r="AF990" s="737" t="n"/>
      <c r="AG990" s="737" t="n"/>
      <c r="AH990" s="737" t="n"/>
      <c r="AI990" s="737" t="n"/>
      <c r="AJ990" s="737" t="n"/>
      <c r="AK990" s="588" t="n"/>
      <c r="AL990" s="588" t="n"/>
      <c r="AM990" s="588" t="n"/>
      <c r="AN990" s="588" t="n"/>
      <c r="AO990" s="588" t="n"/>
      <c r="AP990" s="588" t="n"/>
      <c r="AQ990" s="588" t="n"/>
      <c r="AR990" s="588" t="n"/>
      <c r="AS990" s="588" t="n"/>
      <c r="AT990" s="588" t="n"/>
      <c r="AU990" s="588" t="n"/>
      <c r="AV990" s="588" t="n"/>
      <c r="AW990" s="588" t="n"/>
      <c r="AX990" s="588" t="n"/>
      <c r="AY990" s="588" t="n"/>
      <c r="AZ990" s="588" t="n"/>
      <c r="BA990" s="588" t="n"/>
      <c r="BB990" s="588" t="n"/>
      <c r="BC990" s="588" t="n"/>
      <c r="BD990" s="588" t="n"/>
      <c r="BE990" s="588" t="n"/>
      <c r="BF990" s="588" t="n"/>
      <c r="BG990" s="588" t="n"/>
      <c r="BH990" s="588" t="n"/>
      <c r="BI990" s="588" t="n"/>
      <c r="BJ990" s="588" t="n"/>
      <c r="BK990" s="588" t="n"/>
      <c r="BL990" s="588" t="n"/>
      <c r="BM990" s="588" t="n"/>
      <c r="BN990" s="588" t="n"/>
      <c r="BO990" s="588" t="n"/>
      <c r="BP990" s="588" t="n"/>
      <c r="BQ990" s="588" t="n"/>
      <c r="BR990" s="588" t="n"/>
      <c r="BS990" s="588" t="n"/>
      <c r="BT990" s="588" t="n"/>
      <c r="BU990" s="588" t="n"/>
      <c r="BV990" s="588" t="n"/>
      <c r="BW990" s="588" t="n"/>
      <c r="BX990" s="588" t="n"/>
      <c r="BY990" s="588" t="n"/>
      <c r="BZ990" s="588" t="n"/>
      <c r="CA990" s="588" t="n"/>
      <c r="CB990" s="588" t="n"/>
      <c r="CC990" s="588" t="n"/>
      <c r="CD990" s="588" t="n"/>
      <c r="CE990" s="588" t="n"/>
      <c r="CF990" s="588" t="n"/>
      <c r="CG990" s="588" t="n"/>
      <c r="CH990" s="588" t="n"/>
      <c r="CI990" s="588" t="n"/>
      <c r="CJ990" s="588" t="n"/>
      <c r="CK990" s="588" t="n"/>
      <c r="CL990" s="588" t="n"/>
      <c r="CM990" s="588" t="n"/>
      <c r="CN990" s="588" t="n"/>
      <c r="CO990" s="588" t="n"/>
      <c r="CP990" s="588" t="n"/>
      <c r="CQ990" s="588" t="n"/>
      <c r="CR990" s="588" t="n"/>
      <c r="CS990" s="588" t="n"/>
      <c r="CT990" s="588" t="n"/>
      <c r="CU990" s="588" t="n"/>
      <c r="CV990" s="588" t="n"/>
      <c r="CW990" s="588" t="n"/>
      <c r="CX990" s="588" t="n"/>
      <c r="CY990" s="588" t="n"/>
      <c r="CZ990" s="588" t="n"/>
      <c r="DA990" s="588" t="n"/>
      <c r="DB990" s="588" t="n"/>
      <c r="DC990" s="588" t="n"/>
      <c r="DD990" s="588" t="n"/>
      <c r="DE990" s="588" t="n"/>
      <c r="DF990" s="588" t="n"/>
      <c r="DG990" s="588" t="n"/>
      <c r="DH990" s="588" t="n"/>
      <c r="DI990" s="588" t="n"/>
      <c r="DJ990" s="588" t="n"/>
      <c r="DK990" s="588" t="n"/>
      <c r="DL990" s="588" t="n"/>
      <c r="DM990" s="588" t="n"/>
      <c r="DN990" s="588" t="n"/>
      <c r="DO990" s="588" t="n"/>
      <c r="DP990" s="588" t="n"/>
      <c r="DQ990" s="588" t="n"/>
      <c r="DR990" s="588" t="n"/>
      <c r="DS990" s="588" t="n"/>
      <c r="DT990" s="588" t="n"/>
      <c r="DU990" s="588" t="n"/>
    </row>
    <row r="991">
      <c r="A991" s="737" t="n"/>
      <c r="B991" s="737" t="n"/>
      <c r="C991" s="737" t="n"/>
      <c r="D991" s="737" t="n"/>
      <c r="E991" s="737" t="n"/>
      <c r="F991" s="737" t="n"/>
      <c r="G991" s="737" t="n"/>
      <c r="H991" s="737" t="n"/>
      <c r="I991" s="737" t="n"/>
      <c r="J991" s="737" t="n"/>
      <c r="K991" s="737" t="n"/>
      <c r="L991" s="737" t="n"/>
      <c r="M991" s="737" t="n"/>
      <c r="N991" s="737" t="n"/>
      <c r="O991" s="737" t="n"/>
      <c r="P991" s="737" t="n"/>
      <c r="Q991" s="737" t="n"/>
      <c r="R991" s="737" t="n"/>
      <c r="S991" s="737" t="n"/>
      <c r="T991" s="737" t="n"/>
      <c r="U991" s="737" t="n"/>
      <c r="V991" s="737" t="n"/>
      <c r="W991" s="737" t="n"/>
      <c r="X991" s="737" t="n"/>
      <c r="Y991" s="737" t="n"/>
      <c r="Z991" s="737" t="n"/>
      <c r="AA991" s="737" t="n"/>
      <c r="AB991" s="737" t="n"/>
      <c r="AC991" s="737" t="n"/>
      <c r="AD991" s="737" t="n"/>
      <c r="AE991" s="737" t="n"/>
      <c r="AF991" s="737" t="n"/>
      <c r="AG991" s="737" t="n"/>
      <c r="AH991" s="737" t="n"/>
      <c r="AI991" s="737" t="n"/>
      <c r="AJ991" s="737" t="n"/>
      <c r="AK991" s="588" t="n"/>
      <c r="AL991" s="588" t="n"/>
      <c r="AM991" s="588" t="n"/>
      <c r="AN991" s="588" t="n"/>
      <c r="AO991" s="588" t="n"/>
      <c r="AP991" s="588" t="n"/>
      <c r="AQ991" s="588" t="n"/>
      <c r="AR991" s="588" t="n"/>
      <c r="AS991" s="588" t="n"/>
      <c r="AT991" s="588" t="n"/>
      <c r="AU991" s="588" t="n"/>
      <c r="AV991" s="588" t="n"/>
      <c r="AW991" s="588" t="n"/>
      <c r="AX991" s="588" t="n"/>
      <c r="AY991" s="588" t="n"/>
      <c r="AZ991" s="588" t="n"/>
      <c r="BA991" s="588" t="n"/>
      <c r="BB991" s="588" t="n"/>
      <c r="BC991" s="588" t="n"/>
      <c r="BD991" s="588" t="n"/>
      <c r="BE991" s="588" t="n"/>
      <c r="BF991" s="588" t="n"/>
      <c r="BG991" s="588" t="n"/>
      <c r="BH991" s="588" t="n"/>
      <c r="BI991" s="588" t="n"/>
      <c r="BJ991" s="588" t="n"/>
      <c r="BK991" s="588" t="n"/>
      <c r="BL991" s="588" t="n"/>
      <c r="BM991" s="588" t="n"/>
      <c r="BN991" s="588" t="n"/>
      <c r="BO991" s="588" t="n"/>
      <c r="BP991" s="588" t="n"/>
      <c r="BQ991" s="588" t="n"/>
      <c r="BR991" s="588" t="n"/>
      <c r="BS991" s="588" t="n"/>
      <c r="BT991" s="588" t="n"/>
      <c r="BU991" s="588" t="n"/>
      <c r="BV991" s="588" t="n"/>
      <c r="BW991" s="588" t="n"/>
      <c r="BX991" s="588" t="n"/>
      <c r="BY991" s="588" t="n"/>
      <c r="BZ991" s="588" t="n"/>
      <c r="CA991" s="588" t="n"/>
      <c r="CB991" s="588" t="n"/>
      <c r="CC991" s="588" t="n"/>
      <c r="CD991" s="588" t="n"/>
      <c r="CE991" s="588" t="n"/>
      <c r="CF991" s="588" t="n"/>
      <c r="CG991" s="588" t="n"/>
      <c r="CH991" s="588" t="n"/>
      <c r="CI991" s="588" t="n"/>
      <c r="CJ991" s="588" t="n"/>
      <c r="CK991" s="588" t="n"/>
      <c r="CL991" s="588" t="n"/>
      <c r="CM991" s="588" t="n"/>
      <c r="CN991" s="588" t="n"/>
      <c r="CO991" s="588" t="n"/>
      <c r="CP991" s="588" t="n"/>
      <c r="CQ991" s="588" t="n"/>
      <c r="CR991" s="588" t="n"/>
      <c r="CS991" s="588" t="n"/>
      <c r="CT991" s="588" t="n"/>
      <c r="CU991" s="588" t="n"/>
      <c r="CV991" s="588" t="n"/>
      <c r="CW991" s="588" t="n"/>
      <c r="CX991" s="588" t="n"/>
      <c r="CY991" s="588" t="n"/>
      <c r="CZ991" s="588" t="n"/>
      <c r="DA991" s="588" t="n"/>
      <c r="DB991" s="588" t="n"/>
      <c r="DC991" s="588" t="n"/>
      <c r="DD991" s="588" t="n"/>
      <c r="DE991" s="588" t="n"/>
      <c r="DF991" s="588" t="n"/>
      <c r="DG991" s="588" t="n"/>
      <c r="DH991" s="588" t="n"/>
      <c r="DI991" s="588" t="n"/>
      <c r="DJ991" s="588" t="n"/>
      <c r="DK991" s="588" t="n"/>
      <c r="DL991" s="588" t="n"/>
      <c r="DM991" s="588" t="n"/>
      <c r="DN991" s="588" t="n"/>
      <c r="DO991" s="588" t="n"/>
      <c r="DP991" s="588" t="n"/>
      <c r="DQ991" s="588" t="n"/>
      <c r="DR991" s="588" t="n"/>
      <c r="DS991" s="588" t="n"/>
      <c r="DT991" s="588" t="n"/>
      <c r="DU991" s="588" t="n"/>
    </row>
    <row r="992">
      <c r="A992" s="737" t="n"/>
      <c r="B992" s="737" t="n"/>
      <c r="C992" s="737" t="n"/>
      <c r="D992" s="737" t="n"/>
      <c r="E992" s="737" t="n"/>
      <c r="F992" s="737" t="n"/>
      <c r="G992" s="737" t="n"/>
      <c r="H992" s="737" t="n"/>
      <c r="I992" s="737" t="n"/>
      <c r="J992" s="737" t="n"/>
      <c r="K992" s="737" t="n"/>
      <c r="L992" s="737" t="n"/>
      <c r="M992" s="737" t="n"/>
      <c r="N992" s="737" t="n"/>
      <c r="O992" s="737" t="n"/>
      <c r="P992" s="737" t="n"/>
      <c r="Q992" s="737" t="n"/>
      <c r="R992" s="737" t="n"/>
      <c r="S992" s="737" t="n"/>
      <c r="T992" s="737" t="n"/>
      <c r="U992" s="737" t="n"/>
      <c r="V992" s="737" t="n"/>
      <c r="W992" s="737" t="n"/>
      <c r="X992" s="737" t="n"/>
      <c r="Y992" s="737" t="n"/>
      <c r="Z992" s="737" t="n"/>
      <c r="AA992" s="737" t="n"/>
      <c r="AB992" s="737" t="n"/>
      <c r="AC992" s="737" t="n"/>
      <c r="AD992" s="737" t="n"/>
      <c r="AE992" s="737" t="n"/>
      <c r="AF992" s="737" t="n"/>
      <c r="AG992" s="737" t="n"/>
      <c r="AH992" s="737" t="n"/>
      <c r="AI992" s="737" t="n"/>
      <c r="AJ992" s="737" t="n"/>
      <c r="AK992" s="588" t="n"/>
      <c r="AL992" s="588" t="n"/>
      <c r="AM992" s="588" t="n"/>
      <c r="AN992" s="588" t="n"/>
      <c r="AO992" s="588" t="n"/>
      <c r="AP992" s="588" t="n"/>
      <c r="AQ992" s="588" t="n"/>
      <c r="AR992" s="588" t="n"/>
      <c r="AS992" s="588" t="n"/>
      <c r="AT992" s="588" t="n"/>
      <c r="AU992" s="588" t="n"/>
      <c r="AV992" s="588" t="n"/>
      <c r="AW992" s="588" t="n"/>
      <c r="AX992" s="588" t="n"/>
      <c r="AY992" s="588" t="n"/>
      <c r="AZ992" s="588" t="n"/>
      <c r="BA992" s="588" t="n"/>
      <c r="BB992" s="588" t="n"/>
      <c r="BC992" s="588" t="n"/>
      <c r="BD992" s="588" t="n"/>
      <c r="BE992" s="588" t="n"/>
      <c r="BF992" s="588" t="n"/>
      <c r="BG992" s="588" t="n"/>
      <c r="BH992" s="588" t="n"/>
      <c r="BI992" s="588" t="n"/>
      <c r="BJ992" s="588" t="n"/>
      <c r="BK992" s="588" t="n"/>
      <c r="BL992" s="588" t="n"/>
      <c r="BM992" s="588" t="n"/>
      <c r="BN992" s="588" t="n"/>
      <c r="BO992" s="588" t="n"/>
      <c r="BP992" s="588" t="n"/>
      <c r="BQ992" s="588" t="n"/>
      <c r="BR992" s="588" t="n"/>
      <c r="BS992" s="588" t="n"/>
      <c r="BT992" s="588" t="n"/>
      <c r="BU992" s="588" t="n"/>
      <c r="BV992" s="588" t="n"/>
      <c r="BW992" s="588" t="n"/>
      <c r="BX992" s="588" t="n"/>
      <c r="BY992" s="588" t="n"/>
      <c r="BZ992" s="588" t="n"/>
      <c r="CA992" s="588" t="n"/>
      <c r="CB992" s="588" t="n"/>
      <c r="CC992" s="588" t="n"/>
      <c r="CD992" s="588" t="n"/>
      <c r="CE992" s="588" t="n"/>
      <c r="CF992" s="588" t="n"/>
      <c r="CG992" s="588" t="n"/>
      <c r="CH992" s="588" t="n"/>
      <c r="CI992" s="588" t="n"/>
      <c r="CJ992" s="588" t="n"/>
      <c r="CK992" s="588" t="n"/>
      <c r="CL992" s="588" t="n"/>
      <c r="CM992" s="588" t="n"/>
      <c r="CN992" s="588" t="n"/>
      <c r="CO992" s="588" t="n"/>
      <c r="CP992" s="588" t="n"/>
      <c r="CQ992" s="588" t="n"/>
      <c r="CR992" s="588" t="n"/>
      <c r="CS992" s="588" t="n"/>
      <c r="CT992" s="588" t="n"/>
      <c r="CU992" s="588" t="n"/>
      <c r="CV992" s="588" t="n"/>
      <c r="CW992" s="588" t="n"/>
      <c r="CX992" s="588" t="n"/>
      <c r="CY992" s="588" t="n"/>
      <c r="CZ992" s="588" t="n"/>
      <c r="DA992" s="588" t="n"/>
      <c r="DB992" s="588" t="n"/>
      <c r="DC992" s="588" t="n"/>
      <c r="DD992" s="588" t="n"/>
      <c r="DE992" s="588" t="n"/>
      <c r="DF992" s="588" t="n"/>
      <c r="DG992" s="588" t="n"/>
      <c r="DH992" s="588" t="n"/>
      <c r="DI992" s="588" t="n"/>
      <c r="DJ992" s="588" t="n"/>
      <c r="DK992" s="588" t="n"/>
      <c r="DL992" s="588" t="n"/>
      <c r="DM992" s="588" t="n"/>
      <c r="DN992" s="588" t="n"/>
      <c r="DO992" s="588" t="n"/>
      <c r="DP992" s="588" t="n"/>
      <c r="DQ992" s="588" t="n"/>
      <c r="DR992" s="588" t="n"/>
      <c r="DS992" s="588" t="n"/>
      <c r="DT992" s="588" t="n"/>
      <c r="DU992" s="588" t="n"/>
    </row>
    <row r="993">
      <c r="A993" s="737" t="n"/>
      <c r="B993" s="737" t="n"/>
      <c r="C993" s="737" t="n"/>
      <c r="D993" s="737" t="n"/>
      <c r="E993" s="737" t="n"/>
      <c r="F993" s="737" t="n"/>
      <c r="G993" s="737" t="n"/>
      <c r="H993" s="737" t="n"/>
      <c r="I993" s="737" t="n"/>
      <c r="J993" s="737" t="n"/>
      <c r="K993" s="737" t="n"/>
      <c r="L993" s="737" t="n"/>
      <c r="M993" s="737" t="n"/>
      <c r="N993" s="737" t="n"/>
      <c r="O993" s="737" t="n"/>
      <c r="P993" s="737" t="n"/>
      <c r="Q993" s="737" t="n"/>
      <c r="R993" s="737" t="n"/>
      <c r="S993" s="737" t="n"/>
      <c r="T993" s="737" t="n"/>
      <c r="U993" s="737" t="n"/>
      <c r="V993" s="737" t="n"/>
      <c r="W993" s="737" t="n"/>
      <c r="X993" s="737" t="n"/>
      <c r="Y993" s="737" t="n"/>
      <c r="Z993" s="737" t="n"/>
      <c r="AA993" s="737" t="n"/>
      <c r="AB993" s="737" t="n"/>
      <c r="AC993" s="737" t="n"/>
      <c r="AD993" s="737" t="n"/>
      <c r="AE993" s="737" t="n"/>
      <c r="AF993" s="737" t="n"/>
      <c r="AG993" s="737" t="n"/>
      <c r="AH993" s="737" t="n"/>
      <c r="AI993" s="737" t="n"/>
      <c r="AJ993" s="737" t="n"/>
      <c r="AK993" s="588" t="n"/>
      <c r="AL993" s="588" t="n"/>
      <c r="AM993" s="588" t="n"/>
      <c r="AN993" s="588" t="n"/>
      <c r="AO993" s="588" t="n"/>
      <c r="AP993" s="588" t="n"/>
      <c r="AQ993" s="588" t="n"/>
      <c r="AR993" s="588" t="n"/>
      <c r="AS993" s="588" t="n"/>
      <c r="AT993" s="588" t="n"/>
      <c r="AU993" s="588" t="n"/>
      <c r="AV993" s="588" t="n"/>
      <c r="AW993" s="588" t="n"/>
      <c r="AX993" s="588" t="n"/>
      <c r="AY993" s="588" t="n"/>
      <c r="AZ993" s="588" t="n"/>
      <c r="BA993" s="588" t="n"/>
      <c r="BB993" s="588" t="n"/>
      <c r="BC993" s="588" t="n"/>
      <c r="BD993" s="588" t="n"/>
      <c r="BE993" s="588" t="n"/>
      <c r="BF993" s="588" t="n"/>
      <c r="BG993" s="588" t="n"/>
      <c r="BH993" s="588" t="n"/>
      <c r="BI993" s="588" t="n"/>
      <c r="BJ993" s="588" t="n"/>
      <c r="BK993" s="588" t="n"/>
      <c r="BL993" s="588" t="n"/>
      <c r="BM993" s="588" t="n"/>
      <c r="BN993" s="588" t="n"/>
      <c r="BO993" s="588" t="n"/>
      <c r="BP993" s="588" t="n"/>
      <c r="BQ993" s="588" t="n"/>
      <c r="BR993" s="588" t="n"/>
      <c r="BS993" s="588" t="n"/>
      <c r="BT993" s="588" t="n"/>
      <c r="BU993" s="588" t="n"/>
      <c r="BV993" s="588" t="n"/>
      <c r="BW993" s="588" t="n"/>
      <c r="BX993" s="588" t="n"/>
      <c r="BY993" s="588" t="n"/>
      <c r="BZ993" s="588" t="n"/>
      <c r="CA993" s="588" t="n"/>
      <c r="CB993" s="588" t="n"/>
      <c r="CC993" s="588" t="n"/>
      <c r="CD993" s="588" t="n"/>
      <c r="CE993" s="588" t="n"/>
      <c r="CF993" s="588" t="n"/>
      <c r="CG993" s="588" t="n"/>
      <c r="CH993" s="588" t="n"/>
      <c r="CI993" s="588" t="n"/>
      <c r="CJ993" s="588" t="n"/>
      <c r="CK993" s="588" t="n"/>
      <c r="CL993" s="588" t="n"/>
      <c r="CM993" s="588" t="n"/>
      <c r="CN993" s="588" t="n"/>
      <c r="CO993" s="588" t="n"/>
      <c r="CP993" s="588" t="n"/>
      <c r="CQ993" s="588" t="n"/>
      <c r="CR993" s="588" t="n"/>
      <c r="CS993" s="588" t="n"/>
      <c r="CT993" s="588" t="n"/>
      <c r="CU993" s="588" t="n"/>
      <c r="CV993" s="588" t="n"/>
      <c r="CW993" s="588" t="n"/>
      <c r="CX993" s="588" t="n"/>
      <c r="CY993" s="588" t="n"/>
      <c r="CZ993" s="588" t="n"/>
      <c r="DA993" s="588" t="n"/>
      <c r="DB993" s="588" t="n"/>
      <c r="DC993" s="588" t="n"/>
      <c r="DD993" s="588" t="n"/>
      <c r="DE993" s="588" t="n"/>
      <c r="DF993" s="588" t="n"/>
      <c r="DG993" s="588" t="n"/>
      <c r="DH993" s="588" t="n"/>
      <c r="DI993" s="588" t="n"/>
      <c r="DJ993" s="588" t="n"/>
      <c r="DK993" s="588" t="n"/>
      <c r="DL993" s="588" t="n"/>
      <c r="DM993" s="588" t="n"/>
      <c r="DN993" s="588" t="n"/>
      <c r="DO993" s="588" t="n"/>
      <c r="DP993" s="588" t="n"/>
      <c r="DQ993" s="588" t="n"/>
      <c r="DR993" s="588" t="n"/>
      <c r="DS993" s="588" t="n"/>
      <c r="DT993" s="588" t="n"/>
      <c r="DU993" s="588" t="n"/>
    </row>
    <row r="994">
      <c r="A994" s="737" t="n"/>
      <c r="B994" s="737" t="n"/>
      <c r="C994" s="737" t="n"/>
      <c r="D994" s="737" t="n"/>
      <c r="E994" s="737" t="n"/>
      <c r="F994" s="737" t="n"/>
      <c r="G994" s="737" t="n"/>
      <c r="H994" s="737" t="n"/>
      <c r="I994" s="737" t="n"/>
      <c r="J994" s="737" t="n"/>
      <c r="K994" s="737" t="n"/>
      <c r="L994" s="737" t="n"/>
      <c r="M994" s="737" t="n"/>
      <c r="N994" s="737" t="n"/>
      <c r="O994" s="737" t="n"/>
      <c r="P994" s="737" t="n"/>
      <c r="Q994" s="737" t="n"/>
      <c r="R994" s="737" t="n"/>
      <c r="S994" s="737" t="n"/>
      <c r="T994" s="737" t="n"/>
      <c r="U994" s="737" t="n"/>
      <c r="V994" s="737" t="n"/>
      <c r="W994" s="737" t="n"/>
      <c r="X994" s="737" t="n"/>
      <c r="Y994" s="737" t="n"/>
      <c r="Z994" s="737" t="n"/>
      <c r="AA994" s="737" t="n"/>
      <c r="AB994" s="737" t="n"/>
      <c r="AC994" s="737" t="n"/>
      <c r="AD994" s="737" t="n"/>
      <c r="AE994" s="737" t="n"/>
      <c r="AF994" s="737" t="n"/>
      <c r="AG994" s="737" t="n"/>
      <c r="AH994" s="737" t="n"/>
      <c r="AI994" s="737" t="n"/>
      <c r="AJ994" s="737" t="n"/>
      <c r="AK994" s="588" t="n"/>
      <c r="AL994" s="588" t="n"/>
      <c r="AM994" s="588" t="n"/>
      <c r="AN994" s="588" t="n"/>
      <c r="AO994" s="588" t="n"/>
      <c r="AP994" s="588" t="n"/>
      <c r="AQ994" s="588" t="n"/>
      <c r="AR994" s="588" t="n"/>
      <c r="AS994" s="588" t="n"/>
      <c r="AT994" s="588" t="n"/>
      <c r="AU994" s="588" t="n"/>
      <c r="AV994" s="588" t="n"/>
      <c r="AW994" s="588" t="n"/>
      <c r="AX994" s="588" t="n"/>
      <c r="AY994" s="588" t="n"/>
      <c r="AZ994" s="588" t="n"/>
      <c r="BA994" s="588" t="n"/>
      <c r="BB994" s="588" t="n"/>
      <c r="BC994" s="588" t="n"/>
      <c r="BD994" s="588" t="n"/>
      <c r="BE994" s="588" t="n"/>
      <c r="BF994" s="588" t="n"/>
      <c r="BG994" s="588" t="n"/>
      <c r="BH994" s="588" t="n"/>
      <c r="BI994" s="588" t="n"/>
      <c r="BJ994" s="588" t="n"/>
      <c r="BK994" s="588" t="n"/>
      <c r="BL994" s="588" t="n"/>
      <c r="BM994" s="588" t="n"/>
      <c r="BN994" s="588" t="n"/>
      <c r="BO994" s="588" t="n"/>
      <c r="BP994" s="588" t="n"/>
      <c r="BQ994" s="588" t="n"/>
      <c r="BR994" s="588" t="n"/>
      <c r="BS994" s="588" t="n"/>
      <c r="BT994" s="588" t="n"/>
      <c r="BU994" s="588" t="n"/>
      <c r="BV994" s="588" t="n"/>
      <c r="BW994" s="588" t="n"/>
      <c r="BX994" s="588" t="n"/>
      <c r="BY994" s="588" t="n"/>
      <c r="BZ994" s="588" t="n"/>
      <c r="CA994" s="588" t="n"/>
      <c r="CB994" s="588" t="n"/>
      <c r="CC994" s="588" t="n"/>
      <c r="CD994" s="588" t="n"/>
      <c r="CE994" s="588" t="n"/>
      <c r="CF994" s="588" t="n"/>
      <c r="CG994" s="588" t="n"/>
      <c r="CH994" s="588" t="n"/>
      <c r="CI994" s="588" t="n"/>
      <c r="CJ994" s="588" t="n"/>
      <c r="CK994" s="588" t="n"/>
      <c r="CL994" s="588" t="n"/>
      <c r="CM994" s="588" t="n"/>
      <c r="CN994" s="588" t="n"/>
      <c r="CO994" s="588" t="n"/>
      <c r="CP994" s="588" t="n"/>
      <c r="CQ994" s="588" t="n"/>
      <c r="CR994" s="588" t="n"/>
      <c r="CS994" s="588" t="n"/>
      <c r="CT994" s="588" t="n"/>
      <c r="CU994" s="588" t="n"/>
      <c r="CV994" s="588" t="n"/>
      <c r="CW994" s="588" t="n"/>
      <c r="CX994" s="588" t="n"/>
      <c r="CY994" s="588" t="n"/>
      <c r="CZ994" s="588" t="n"/>
      <c r="DA994" s="588" t="n"/>
      <c r="DB994" s="588" t="n"/>
      <c r="DC994" s="588" t="n"/>
      <c r="DD994" s="588" t="n"/>
      <c r="DE994" s="588" t="n"/>
      <c r="DF994" s="588" t="n"/>
      <c r="DG994" s="588" t="n"/>
      <c r="DH994" s="588" t="n"/>
      <c r="DI994" s="588" t="n"/>
      <c r="DJ994" s="588" t="n"/>
      <c r="DK994" s="588" t="n"/>
      <c r="DL994" s="588" t="n"/>
      <c r="DM994" s="588" t="n"/>
      <c r="DN994" s="588" t="n"/>
      <c r="DO994" s="588" t="n"/>
      <c r="DP994" s="588" t="n"/>
      <c r="DQ994" s="588" t="n"/>
      <c r="DR994" s="588" t="n"/>
      <c r="DS994" s="588" t="n"/>
      <c r="DT994" s="588" t="n"/>
      <c r="DU994" s="588" t="n"/>
    </row>
    <row r="995">
      <c r="A995" s="737" t="n"/>
      <c r="B995" s="737" t="n"/>
      <c r="C995" s="737" t="n"/>
      <c r="D995" s="737" t="n"/>
      <c r="E995" s="737" t="n"/>
      <c r="F995" s="737" t="n"/>
      <c r="G995" s="737" t="n"/>
      <c r="H995" s="737" t="n"/>
      <c r="I995" s="737" t="n"/>
      <c r="J995" s="737" t="n"/>
      <c r="K995" s="737" t="n"/>
      <c r="L995" s="737" t="n"/>
      <c r="M995" s="737" t="n"/>
      <c r="N995" s="737" t="n"/>
      <c r="O995" s="737" t="n"/>
      <c r="P995" s="737" t="n"/>
      <c r="Q995" s="737" t="n"/>
      <c r="R995" s="737" t="n"/>
      <c r="S995" s="737" t="n"/>
      <c r="T995" s="737" t="n"/>
      <c r="U995" s="737" t="n"/>
      <c r="V995" s="737" t="n"/>
      <c r="W995" s="737" t="n"/>
      <c r="X995" s="737" t="n"/>
      <c r="Y995" s="737" t="n"/>
      <c r="Z995" s="737" t="n"/>
      <c r="AA995" s="737" t="n"/>
      <c r="AB995" s="737" t="n"/>
      <c r="AC995" s="737" t="n"/>
      <c r="AD995" s="737" t="n"/>
      <c r="AE995" s="737" t="n"/>
      <c r="AF995" s="737" t="n"/>
      <c r="AG995" s="737" t="n"/>
      <c r="AH995" s="737" t="n"/>
      <c r="AI995" s="737" t="n"/>
      <c r="AJ995" s="737" t="n"/>
      <c r="AK995" s="588" t="n"/>
      <c r="AL995" s="588" t="n"/>
      <c r="AM995" s="588" t="n"/>
      <c r="AN995" s="588" t="n"/>
      <c r="AO995" s="588" t="n"/>
      <c r="AP995" s="588" t="n"/>
      <c r="AQ995" s="588" t="n"/>
      <c r="AR995" s="588" t="n"/>
      <c r="AS995" s="588" t="n"/>
      <c r="AT995" s="588" t="n"/>
      <c r="AU995" s="588" t="n"/>
      <c r="AV995" s="588" t="n"/>
      <c r="AW995" s="588" t="n"/>
      <c r="AX995" s="588" t="n"/>
      <c r="AY995" s="588" t="n"/>
      <c r="AZ995" s="588" t="n"/>
      <c r="BA995" s="588" t="n"/>
      <c r="BB995" s="588" t="n"/>
      <c r="BC995" s="588" t="n"/>
      <c r="BD995" s="588" t="n"/>
      <c r="BE995" s="588" t="n"/>
      <c r="BF995" s="588" t="n"/>
      <c r="BG995" s="588" t="n"/>
      <c r="BH995" s="588" t="n"/>
      <c r="BI995" s="588" t="n"/>
      <c r="BJ995" s="588" t="n"/>
      <c r="BK995" s="588" t="n"/>
      <c r="BL995" s="588" t="n"/>
      <c r="BM995" s="588" t="n"/>
      <c r="BN995" s="588" t="n"/>
      <c r="BO995" s="588" t="n"/>
      <c r="BP995" s="588" t="n"/>
      <c r="BQ995" s="588" t="n"/>
      <c r="BR995" s="588" t="n"/>
      <c r="BS995" s="588" t="n"/>
      <c r="BT995" s="588" t="n"/>
      <c r="BU995" s="588" t="n"/>
      <c r="BV995" s="588" t="n"/>
      <c r="BW995" s="588" t="n"/>
      <c r="BX995" s="588" t="n"/>
      <c r="BY995" s="588" t="n"/>
      <c r="BZ995" s="588" t="n"/>
      <c r="CA995" s="588" t="n"/>
      <c r="CB995" s="588" t="n"/>
      <c r="CC995" s="588" t="n"/>
      <c r="CD995" s="588" t="n"/>
      <c r="CE995" s="588" t="n"/>
      <c r="CF995" s="588" t="n"/>
      <c r="CG995" s="588" t="n"/>
      <c r="CH995" s="588" t="n"/>
      <c r="CI995" s="588" t="n"/>
      <c r="CJ995" s="588" t="n"/>
      <c r="CK995" s="588" t="n"/>
      <c r="CL995" s="588" t="n"/>
      <c r="CM995" s="588" t="n"/>
      <c r="CN995" s="588" t="n"/>
      <c r="CO995" s="588" t="n"/>
      <c r="CP995" s="588" t="n"/>
      <c r="CQ995" s="588" t="n"/>
      <c r="CR995" s="588" t="n"/>
      <c r="CS995" s="588" t="n"/>
      <c r="CT995" s="588" t="n"/>
      <c r="CU995" s="588" t="n"/>
      <c r="CV995" s="588" t="n"/>
      <c r="CW995" s="588" t="n"/>
      <c r="CX995" s="588" t="n"/>
      <c r="CY995" s="588" t="n"/>
      <c r="CZ995" s="588" t="n"/>
      <c r="DA995" s="588" t="n"/>
      <c r="DB995" s="588" t="n"/>
      <c r="DC995" s="588" t="n"/>
      <c r="DD995" s="588" t="n"/>
      <c r="DE995" s="588" t="n"/>
      <c r="DF995" s="588" t="n"/>
      <c r="DG995" s="588" t="n"/>
      <c r="DH995" s="588" t="n"/>
      <c r="DI995" s="588" t="n"/>
      <c r="DJ995" s="588" t="n"/>
      <c r="DK995" s="588" t="n"/>
      <c r="DL995" s="588" t="n"/>
      <c r="DM995" s="588" t="n"/>
      <c r="DN995" s="588" t="n"/>
      <c r="DO995" s="588" t="n"/>
      <c r="DP995" s="588" t="n"/>
      <c r="DQ995" s="588" t="n"/>
      <c r="DR995" s="588" t="n"/>
      <c r="DS995" s="588" t="n"/>
      <c r="DT995" s="588" t="n"/>
      <c r="DU995" s="588" t="n"/>
    </row>
    <row r="996">
      <c r="A996" s="737" t="n"/>
      <c r="B996" s="737" t="n"/>
      <c r="C996" s="737" t="n"/>
      <c r="D996" s="737" t="n"/>
      <c r="E996" s="737" t="n"/>
      <c r="F996" s="737" t="n"/>
      <c r="G996" s="737" t="n"/>
      <c r="H996" s="737" t="n"/>
      <c r="I996" s="737" t="n"/>
      <c r="J996" s="737" t="n"/>
      <c r="K996" s="737" t="n"/>
      <c r="L996" s="737" t="n"/>
      <c r="M996" s="737" t="n"/>
      <c r="N996" s="737" t="n"/>
      <c r="O996" s="737" t="n"/>
      <c r="P996" s="737" t="n"/>
      <c r="Q996" s="737" t="n"/>
      <c r="R996" s="737" t="n"/>
      <c r="S996" s="737" t="n"/>
      <c r="T996" s="737" t="n"/>
      <c r="U996" s="737" t="n"/>
      <c r="V996" s="737" t="n"/>
      <c r="W996" s="737" t="n"/>
      <c r="X996" s="737" t="n"/>
      <c r="Y996" s="737" t="n"/>
      <c r="Z996" s="737" t="n"/>
      <c r="AA996" s="737" t="n"/>
      <c r="AB996" s="737" t="n"/>
      <c r="AC996" s="737" t="n"/>
      <c r="AD996" s="737" t="n"/>
      <c r="AE996" s="737" t="n"/>
      <c r="AF996" s="737" t="n"/>
      <c r="AG996" s="737" t="n"/>
      <c r="AH996" s="737" t="n"/>
      <c r="AI996" s="737" t="n"/>
      <c r="AJ996" s="737" t="n"/>
      <c r="AK996" s="588" t="n"/>
      <c r="AL996" s="588" t="n"/>
      <c r="AM996" s="588" t="n"/>
      <c r="AN996" s="588" t="n"/>
      <c r="AO996" s="588" t="n"/>
      <c r="AP996" s="588" t="n"/>
      <c r="AQ996" s="588" t="n"/>
      <c r="AR996" s="588" t="n"/>
      <c r="AS996" s="588" t="n"/>
      <c r="AT996" s="588" t="n"/>
      <c r="AU996" s="588" t="n"/>
      <c r="AV996" s="588" t="n"/>
      <c r="AW996" s="588" t="n"/>
      <c r="AX996" s="588" t="n"/>
      <c r="AY996" s="588" t="n"/>
      <c r="AZ996" s="588" t="n"/>
      <c r="BA996" s="588" t="n"/>
      <c r="BB996" s="588" t="n"/>
      <c r="BC996" s="588" t="n"/>
      <c r="BD996" s="588" t="n"/>
      <c r="BE996" s="588" t="n"/>
      <c r="BF996" s="588" t="n"/>
      <c r="BG996" s="588" t="n"/>
      <c r="BH996" s="588" t="n"/>
      <c r="BI996" s="588" t="n"/>
      <c r="BJ996" s="588" t="n"/>
      <c r="BK996" s="588" t="n"/>
      <c r="BL996" s="588" t="n"/>
      <c r="BM996" s="588" t="n"/>
      <c r="BN996" s="588" t="n"/>
      <c r="BO996" s="588" t="n"/>
      <c r="BP996" s="588" t="n"/>
      <c r="BQ996" s="588" t="n"/>
      <c r="BR996" s="588" t="n"/>
      <c r="BS996" s="588" t="n"/>
      <c r="BT996" s="588" t="n"/>
      <c r="BU996" s="588" t="n"/>
      <c r="BV996" s="588" t="n"/>
      <c r="BW996" s="588" t="n"/>
      <c r="BX996" s="588" t="n"/>
      <c r="BY996" s="588" t="n"/>
      <c r="BZ996" s="588" t="n"/>
      <c r="CA996" s="588" t="n"/>
      <c r="CB996" s="588" t="n"/>
      <c r="CC996" s="588" t="n"/>
      <c r="CD996" s="588" t="n"/>
      <c r="CE996" s="588" t="n"/>
      <c r="CF996" s="588" t="n"/>
      <c r="CG996" s="588" t="n"/>
      <c r="CH996" s="588" t="n"/>
      <c r="CI996" s="588" t="n"/>
      <c r="CJ996" s="588" t="n"/>
      <c r="CK996" s="588" t="n"/>
      <c r="CL996" s="588" t="n"/>
      <c r="CM996" s="588" t="n"/>
      <c r="CN996" s="588" t="n"/>
      <c r="CO996" s="588" t="n"/>
      <c r="CP996" s="588" t="n"/>
      <c r="CQ996" s="588" t="n"/>
      <c r="CR996" s="588" t="n"/>
      <c r="CS996" s="588" t="n"/>
      <c r="CT996" s="588" t="n"/>
      <c r="CU996" s="588" t="n"/>
      <c r="CV996" s="588" t="n"/>
      <c r="CW996" s="588" t="n"/>
      <c r="CX996" s="588" t="n"/>
      <c r="CY996" s="588" t="n"/>
      <c r="CZ996" s="588" t="n"/>
      <c r="DA996" s="588" t="n"/>
      <c r="DB996" s="588" t="n"/>
      <c r="DC996" s="588" t="n"/>
      <c r="DD996" s="588" t="n"/>
      <c r="DE996" s="588" t="n"/>
      <c r="DF996" s="588" t="n"/>
      <c r="DG996" s="588" t="n"/>
      <c r="DH996" s="588" t="n"/>
      <c r="DI996" s="588" t="n"/>
      <c r="DJ996" s="588" t="n"/>
      <c r="DK996" s="588" t="n"/>
      <c r="DL996" s="588" t="n"/>
      <c r="DM996" s="588" t="n"/>
      <c r="DN996" s="588" t="n"/>
      <c r="DO996" s="588" t="n"/>
      <c r="DP996" s="588" t="n"/>
      <c r="DQ996" s="588" t="n"/>
      <c r="DR996" s="588" t="n"/>
      <c r="DS996" s="588" t="n"/>
      <c r="DT996" s="588" t="n"/>
      <c r="DU996" s="588" t="n"/>
    </row>
    <row r="997">
      <c r="A997" s="737" t="n"/>
      <c r="B997" s="737" t="n"/>
      <c r="C997" s="737" t="n"/>
      <c r="D997" s="737" t="n"/>
      <c r="E997" s="737" t="n"/>
      <c r="F997" s="737" t="n"/>
      <c r="G997" s="737" t="n"/>
      <c r="H997" s="737" t="n"/>
      <c r="I997" s="737" t="n"/>
      <c r="J997" s="737" t="n"/>
      <c r="K997" s="737" t="n"/>
      <c r="L997" s="737" t="n"/>
      <c r="M997" s="737" t="n"/>
      <c r="N997" s="737" t="n"/>
      <c r="O997" s="737" t="n"/>
      <c r="P997" s="737" t="n"/>
      <c r="Q997" s="737" t="n"/>
      <c r="R997" s="737" t="n"/>
      <c r="S997" s="737" t="n"/>
      <c r="T997" s="737" t="n"/>
      <c r="U997" s="737" t="n"/>
      <c r="V997" s="737" t="n"/>
      <c r="W997" s="737" t="n"/>
      <c r="X997" s="737" t="n"/>
      <c r="Y997" s="737" t="n"/>
      <c r="Z997" s="737" t="n"/>
      <c r="AA997" s="737" t="n"/>
      <c r="AB997" s="737" t="n"/>
      <c r="AC997" s="737" t="n"/>
      <c r="AD997" s="737" t="n"/>
      <c r="AE997" s="737" t="n"/>
      <c r="AF997" s="737" t="n"/>
      <c r="AG997" s="737" t="n"/>
      <c r="AH997" s="737" t="n"/>
      <c r="AI997" s="737" t="n"/>
      <c r="AJ997" s="737" t="n"/>
      <c r="AK997" s="588" t="n"/>
      <c r="AL997" s="588" t="n"/>
      <c r="AM997" s="588" t="n"/>
      <c r="AN997" s="588" t="n"/>
      <c r="AO997" s="588" t="n"/>
      <c r="AP997" s="588" t="n"/>
      <c r="AQ997" s="588" t="n"/>
      <c r="AR997" s="588" t="n"/>
      <c r="AS997" s="588" t="n"/>
      <c r="AT997" s="588" t="n"/>
      <c r="AU997" s="588" t="n"/>
      <c r="AV997" s="588" t="n"/>
      <c r="AW997" s="588" t="n"/>
      <c r="AX997" s="588" t="n"/>
      <c r="AY997" s="588" t="n"/>
      <c r="AZ997" s="588" t="n"/>
      <c r="BA997" s="588" t="n"/>
      <c r="BB997" s="588" t="n"/>
      <c r="BC997" s="588" t="n"/>
      <c r="BD997" s="588" t="n"/>
      <c r="BE997" s="588" t="n"/>
      <c r="BF997" s="588" t="n"/>
      <c r="BG997" s="588" t="n"/>
      <c r="BH997" s="588" t="n"/>
      <c r="BI997" s="588" t="n"/>
      <c r="BJ997" s="588" t="n"/>
      <c r="BK997" s="588" t="n"/>
      <c r="BL997" s="588" t="n"/>
      <c r="BM997" s="588" t="n"/>
      <c r="BN997" s="588" t="n"/>
      <c r="BO997" s="588" t="n"/>
      <c r="BP997" s="588" t="n"/>
      <c r="BQ997" s="588" t="n"/>
      <c r="BR997" s="588" t="n"/>
      <c r="BS997" s="588" t="n"/>
      <c r="BT997" s="588" t="n"/>
      <c r="BU997" s="588" t="n"/>
      <c r="BV997" s="588" t="n"/>
      <c r="BW997" s="588" t="n"/>
      <c r="BX997" s="588" t="n"/>
      <c r="BY997" s="588" t="n"/>
      <c r="BZ997" s="588" t="n"/>
      <c r="CA997" s="588" t="n"/>
      <c r="CB997" s="588" t="n"/>
      <c r="CC997" s="588" t="n"/>
      <c r="CD997" s="588" t="n"/>
      <c r="CE997" s="588" t="n"/>
      <c r="CF997" s="588" t="n"/>
      <c r="CG997" s="588" t="n"/>
      <c r="CH997" s="588" t="n"/>
      <c r="CI997" s="588" t="n"/>
      <c r="CJ997" s="588" t="n"/>
      <c r="CK997" s="588" t="n"/>
      <c r="CL997" s="588" t="n"/>
      <c r="CM997" s="588" t="n"/>
      <c r="CN997" s="588" t="n"/>
      <c r="CO997" s="588" t="n"/>
      <c r="CP997" s="588" t="n"/>
      <c r="CQ997" s="588" t="n"/>
      <c r="CR997" s="588" t="n"/>
      <c r="CS997" s="588" t="n"/>
      <c r="CT997" s="588" t="n"/>
      <c r="CU997" s="588" t="n"/>
      <c r="CV997" s="588" t="n"/>
      <c r="CW997" s="588" t="n"/>
      <c r="CX997" s="588" t="n"/>
      <c r="CY997" s="588" t="n"/>
      <c r="CZ997" s="588" t="n"/>
      <c r="DA997" s="588" t="n"/>
      <c r="DB997" s="588" t="n"/>
      <c r="DC997" s="588" t="n"/>
      <c r="DD997" s="588" t="n"/>
      <c r="DE997" s="588" t="n"/>
      <c r="DF997" s="588" t="n"/>
      <c r="DG997" s="588" t="n"/>
      <c r="DH997" s="588" t="n"/>
      <c r="DI997" s="588" t="n"/>
      <c r="DJ997" s="588" t="n"/>
      <c r="DK997" s="588" t="n"/>
      <c r="DL997" s="588" t="n"/>
      <c r="DM997" s="588" t="n"/>
      <c r="DN997" s="588" t="n"/>
      <c r="DO997" s="588" t="n"/>
      <c r="DP997" s="588" t="n"/>
      <c r="DQ997" s="588" t="n"/>
      <c r="DR997" s="588" t="n"/>
      <c r="DS997" s="588" t="n"/>
      <c r="DT997" s="588" t="n"/>
      <c r="DU997" s="588" t="n"/>
    </row>
    <row r="998">
      <c r="A998" s="737" t="n"/>
      <c r="B998" s="737" t="n"/>
      <c r="C998" s="737" t="n"/>
      <c r="D998" s="737" t="n"/>
      <c r="E998" s="737" t="n"/>
      <c r="F998" s="737" t="n"/>
      <c r="G998" s="737" t="n"/>
      <c r="H998" s="737" t="n"/>
      <c r="I998" s="737" t="n"/>
      <c r="J998" s="737" t="n"/>
      <c r="K998" s="737" t="n"/>
      <c r="L998" s="737" t="n"/>
      <c r="M998" s="737" t="n"/>
      <c r="N998" s="737" t="n"/>
      <c r="O998" s="737" t="n"/>
      <c r="P998" s="737" t="n"/>
      <c r="Q998" s="737" t="n"/>
      <c r="R998" s="737" t="n"/>
      <c r="S998" s="737" t="n"/>
      <c r="T998" s="737" t="n"/>
      <c r="U998" s="737" t="n"/>
      <c r="V998" s="737" t="n"/>
      <c r="W998" s="737" t="n"/>
      <c r="X998" s="737" t="n"/>
      <c r="Y998" s="737" t="n"/>
      <c r="Z998" s="737" t="n"/>
      <c r="AA998" s="737" t="n"/>
      <c r="AB998" s="737" t="n"/>
      <c r="AC998" s="737" t="n"/>
      <c r="AD998" s="737" t="n"/>
      <c r="AE998" s="737" t="n"/>
      <c r="AF998" s="737" t="n"/>
      <c r="AG998" s="737" t="n"/>
      <c r="AH998" s="737" t="n"/>
      <c r="AI998" s="737" t="n"/>
      <c r="AJ998" s="737" t="n"/>
      <c r="AK998" s="588" t="n"/>
      <c r="AL998" s="588" t="n"/>
      <c r="AM998" s="588" t="n"/>
      <c r="AN998" s="588" t="n"/>
      <c r="AO998" s="588" t="n"/>
      <c r="AP998" s="588" t="n"/>
      <c r="AQ998" s="588" t="n"/>
      <c r="AR998" s="588" t="n"/>
      <c r="AS998" s="588" t="n"/>
      <c r="AT998" s="588" t="n"/>
      <c r="AU998" s="588" t="n"/>
      <c r="AV998" s="588" t="n"/>
      <c r="AW998" s="588" t="n"/>
      <c r="AX998" s="588" t="n"/>
      <c r="AY998" s="588" t="n"/>
      <c r="AZ998" s="588" t="n"/>
      <c r="BA998" s="588" t="n"/>
      <c r="BB998" s="588" t="n"/>
      <c r="BC998" s="588" t="n"/>
      <c r="BD998" s="588" t="n"/>
      <c r="BE998" s="588" t="n"/>
      <c r="BF998" s="588" t="n"/>
      <c r="BG998" s="588" t="n"/>
      <c r="BH998" s="588" t="n"/>
      <c r="BI998" s="588" t="n"/>
      <c r="BJ998" s="588" t="n"/>
      <c r="BK998" s="588" t="n"/>
      <c r="BL998" s="588" t="n"/>
      <c r="BM998" s="588" t="n"/>
      <c r="BN998" s="588" t="n"/>
      <c r="BO998" s="588" t="n"/>
      <c r="BP998" s="588" t="n"/>
      <c r="BQ998" s="588" t="n"/>
      <c r="BR998" s="588" t="n"/>
      <c r="BS998" s="588" t="n"/>
      <c r="BT998" s="588" t="n"/>
      <c r="BU998" s="588" t="n"/>
      <c r="BV998" s="588" t="n"/>
      <c r="BW998" s="588" t="n"/>
      <c r="BX998" s="588" t="n"/>
      <c r="BY998" s="588" t="n"/>
      <c r="BZ998" s="588" t="n"/>
      <c r="CA998" s="588" t="n"/>
      <c r="CB998" s="588" t="n"/>
      <c r="CC998" s="588" t="n"/>
      <c r="CD998" s="588" t="n"/>
      <c r="CE998" s="588" t="n"/>
      <c r="CF998" s="588" t="n"/>
      <c r="CG998" s="588" t="n"/>
      <c r="CH998" s="588" t="n"/>
      <c r="CI998" s="588" t="n"/>
      <c r="CJ998" s="588" t="n"/>
      <c r="CK998" s="588" t="n"/>
      <c r="CL998" s="588" t="n"/>
      <c r="CM998" s="588" t="n"/>
      <c r="CN998" s="588" t="n"/>
      <c r="CO998" s="588" t="n"/>
      <c r="CP998" s="588" t="n"/>
      <c r="CQ998" s="588" t="n"/>
      <c r="CR998" s="588" t="n"/>
      <c r="CS998" s="588" t="n"/>
      <c r="CT998" s="588" t="n"/>
      <c r="CU998" s="588" t="n"/>
      <c r="CV998" s="588" t="n"/>
      <c r="CW998" s="588" t="n"/>
      <c r="CX998" s="588" t="n"/>
      <c r="CY998" s="588" t="n"/>
      <c r="CZ998" s="588" t="n"/>
      <c r="DA998" s="588" t="n"/>
      <c r="DB998" s="588" t="n"/>
      <c r="DC998" s="588" t="n"/>
      <c r="DD998" s="588" t="n"/>
      <c r="DE998" s="588" t="n"/>
      <c r="DF998" s="588" t="n"/>
      <c r="DG998" s="588" t="n"/>
      <c r="DH998" s="588" t="n"/>
      <c r="DI998" s="588" t="n"/>
      <c r="DJ998" s="588" t="n"/>
      <c r="DK998" s="588" t="n"/>
      <c r="DL998" s="588" t="n"/>
      <c r="DM998" s="588" t="n"/>
      <c r="DN998" s="588" t="n"/>
      <c r="DO998" s="588" t="n"/>
      <c r="DP998" s="588" t="n"/>
      <c r="DQ998" s="588" t="n"/>
      <c r="DR998" s="588" t="n"/>
      <c r="DS998" s="588" t="n"/>
      <c r="DT998" s="588" t="n"/>
      <c r="DU998" s="588" t="n"/>
    </row>
    <row r="999">
      <c r="A999" s="737" t="n"/>
      <c r="B999" s="737" t="n"/>
      <c r="C999" s="737" t="n"/>
      <c r="D999" s="737" t="n"/>
      <c r="E999" s="737" t="n"/>
      <c r="F999" s="737" t="n"/>
      <c r="G999" s="737" t="n"/>
      <c r="H999" s="737" t="n"/>
      <c r="I999" s="737" t="n"/>
      <c r="J999" s="737" t="n"/>
      <c r="K999" s="737" t="n"/>
      <c r="L999" s="737" t="n"/>
      <c r="M999" s="737" t="n"/>
      <c r="N999" s="737" t="n"/>
      <c r="O999" s="737" t="n"/>
      <c r="P999" s="737" t="n"/>
      <c r="Q999" s="737" t="n"/>
      <c r="R999" s="737" t="n"/>
      <c r="S999" s="737" t="n"/>
      <c r="T999" s="737" t="n"/>
      <c r="U999" s="737" t="n"/>
      <c r="V999" s="737" t="n"/>
      <c r="W999" s="737" t="n"/>
      <c r="X999" s="737" t="n"/>
      <c r="Y999" s="737" t="n"/>
      <c r="Z999" s="737" t="n"/>
      <c r="AA999" s="737" t="n"/>
      <c r="AB999" s="737" t="n"/>
      <c r="AC999" s="737" t="n"/>
      <c r="AD999" s="737" t="n"/>
      <c r="AE999" s="737" t="n"/>
      <c r="AF999" s="737" t="n"/>
      <c r="AG999" s="737" t="n"/>
      <c r="AH999" s="737" t="n"/>
      <c r="AI999" s="737" t="n"/>
      <c r="AJ999" s="737" t="n"/>
      <c r="AK999" s="588" t="n"/>
      <c r="AL999" s="588" t="n"/>
      <c r="AM999" s="588" t="n"/>
      <c r="AN999" s="588" t="n"/>
      <c r="AO999" s="588" t="n"/>
      <c r="AP999" s="588" t="n"/>
      <c r="AQ999" s="588" t="n"/>
      <c r="AR999" s="588" t="n"/>
      <c r="AS999" s="588" t="n"/>
      <c r="AT999" s="588" t="n"/>
      <c r="AU999" s="588" t="n"/>
      <c r="AV999" s="588" t="n"/>
      <c r="AW999" s="588" t="n"/>
      <c r="AX999" s="588" t="n"/>
      <c r="AY999" s="588" t="n"/>
      <c r="AZ999" s="588" t="n"/>
      <c r="BA999" s="588" t="n"/>
      <c r="BB999" s="588" t="n"/>
      <c r="BC999" s="588" t="n"/>
      <c r="BD999" s="588" t="n"/>
      <c r="BE999" s="588" t="n"/>
      <c r="BF999" s="588" t="n"/>
      <c r="BG999" s="588" t="n"/>
      <c r="BH999" s="588" t="n"/>
      <c r="BI999" s="588" t="n"/>
      <c r="BJ999" s="588" t="n"/>
      <c r="BK999" s="588" t="n"/>
      <c r="BL999" s="588" t="n"/>
      <c r="BM999" s="588" t="n"/>
      <c r="BN999" s="588" t="n"/>
      <c r="BO999" s="588" t="n"/>
      <c r="BP999" s="588" t="n"/>
      <c r="BQ999" s="588" t="n"/>
      <c r="BR999" s="588" t="n"/>
      <c r="BS999" s="588" t="n"/>
      <c r="BT999" s="588" t="n"/>
      <c r="BU999" s="588" t="n"/>
      <c r="BV999" s="588" t="n"/>
      <c r="BW999" s="588" t="n"/>
      <c r="BX999" s="588" t="n"/>
      <c r="BY999" s="588" t="n"/>
      <c r="BZ999" s="588" t="n"/>
      <c r="CA999" s="588" t="n"/>
      <c r="CB999" s="588" t="n"/>
      <c r="CC999" s="588" t="n"/>
      <c r="CD999" s="588" t="n"/>
      <c r="CE999" s="588" t="n"/>
      <c r="CF999" s="588" t="n"/>
      <c r="CG999" s="588" t="n"/>
      <c r="CH999" s="588" t="n"/>
      <c r="CI999" s="588" t="n"/>
      <c r="CJ999" s="588" t="n"/>
      <c r="CK999" s="588" t="n"/>
      <c r="CL999" s="588" t="n"/>
      <c r="CM999" s="588" t="n"/>
      <c r="CN999" s="588" t="n"/>
      <c r="CO999" s="588" t="n"/>
      <c r="CP999" s="588" t="n"/>
      <c r="CQ999" s="588" t="n"/>
      <c r="CR999" s="588" t="n"/>
      <c r="CS999" s="588" t="n"/>
      <c r="CT999" s="588" t="n"/>
      <c r="CU999" s="588" t="n"/>
      <c r="CV999" s="588" t="n"/>
      <c r="CW999" s="588" t="n"/>
      <c r="CX999" s="588" t="n"/>
      <c r="CY999" s="588" t="n"/>
      <c r="CZ999" s="588" t="n"/>
      <c r="DA999" s="588" t="n"/>
      <c r="DB999" s="588" t="n"/>
      <c r="DC999" s="588" t="n"/>
      <c r="DD999" s="588" t="n"/>
      <c r="DE999" s="588" t="n"/>
      <c r="DF999" s="588" t="n"/>
      <c r="DG999" s="588" t="n"/>
      <c r="DH999" s="588" t="n"/>
      <c r="DI999" s="588" t="n"/>
      <c r="DJ999" s="588" t="n"/>
      <c r="DK999" s="588" t="n"/>
      <c r="DL999" s="588" t="n"/>
      <c r="DM999" s="588" t="n"/>
      <c r="DN999" s="588" t="n"/>
      <c r="DO999" s="588" t="n"/>
      <c r="DP999" s="588" t="n"/>
      <c r="DQ999" s="588" t="n"/>
      <c r="DR999" s="588" t="n"/>
      <c r="DS999" s="588" t="n"/>
      <c r="DT999" s="588" t="n"/>
      <c r="DU999" s="588" t="n"/>
    </row>
    <row r="1000">
      <c r="A1000" s="737" t="n"/>
      <c r="B1000" s="737" t="n"/>
      <c r="C1000" s="737" t="n"/>
      <c r="D1000" s="737" t="n"/>
      <c r="E1000" s="737" t="n"/>
      <c r="F1000" s="737" t="n"/>
      <c r="G1000" s="737" t="n"/>
      <c r="H1000" s="737" t="n"/>
      <c r="I1000" s="737" t="n"/>
      <c r="J1000" s="737" t="n"/>
      <c r="K1000" s="737" t="n"/>
      <c r="L1000" s="737" t="n"/>
      <c r="M1000" s="737" t="n"/>
      <c r="N1000" s="737" t="n"/>
      <c r="O1000" s="737" t="n"/>
      <c r="P1000" s="737" t="n"/>
      <c r="Q1000" s="737" t="n"/>
      <c r="R1000" s="737" t="n"/>
      <c r="S1000" s="737" t="n"/>
      <c r="T1000" s="737" t="n"/>
      <c r="U1000" s="737" t="n"/>
      <c r="V1000" s="737" t="n"/>
      <c r="W1000" s="737" t="n"/>
      <c r="X1000" s="737" t="n"/>
      <c r="Y1000" s="737" t="n"/>
      <c r="Z1000" s="737" t="n"/>
      <c r="AA1000" s="737" t="n"/>
      <c r="AB1000" s="737" t="n"/>
      <c r="AC1000" s="737" t="n"/>
      <c r="AD1000" s="737" t="n"/>
      <c r="AE1000" s="737" t="n"/>
      <c r="AF1000" s="737" t="n"/>
      <c r="AG1000" s="737" t="n"/>
      <c r="AH1000" s="737" t="n"/>
      <c r="AI1000" s="737" t="n"/>
      <c r="AJ1000" s="737" t="n"/>
      <c r="AK1000" s="588" t="n"/>
      <c r="AL1000" s="588" t="n"/>
      <c r="AM1000" s="588" t="n"/>
      <c r="AN1000" s="588" t="n"/>
      <c r="AO1000" s="588" t="n"/>
      <c r="AP1000" s="588" t="n"/>
      <c r="AQ1000" s="588" t="n"/>
      <c r="AR1000" s="588" t="n"/>
      <c r="AS1000" s="588" t="n"/>
      <c r="AT1000" s="588" t="n"/>
      <c r="AU1000" s="588" t="n"/>
      <c r="AV1000" s="588" t="n"/>
      <c r="AW1000" s="588" t="n"/>
      <c r="AX1000" s="588" t="n"/>
      <c r="AY1000" s="588" t="n"/>
      <c r="AZ1000" s="588" t="n"/>
      <c r="BA1000" s="588" t="n"/>
      <c r="BB1000" s="588" t="n"/>
      <c r="BC1000" s="588" t="n"/>
      <c r="BD1000" s="588" t="n"/>
      <c r="BE1000" s="588" t="n"/>
      <c r="BF1000" s="588" t="n"/>
      <c r="BG1000" s="588" t="n"/>
      <c r="BH1000" s="588" t="n"/>
      <c r="BI1000" s="588" t="n"/>
      <c r="BJ1000" s="588" t="n"/>
      <c r="BK1000" s="588" t="n"/>
      <c r="BL1000" s="588" t="n"/>
      <c r="BM1000" s="588" t="n"/>
      <c r="BN1000" s="588" t="n"/>
      <c r="BO1000" s="588" t="n"/>
      <c r="BP1000" s="588" t="n"/>
      <c r="BQ1000" s="588" t="n"/>
      <c r="BR1000" s="588" t="n"/>
      <c r="BS1000" s="588" t="n"/>
      <c r="BT1000" s="588" t="n"/>
      <c r="BU1000" s="588" t="n"/>
      <c r="BV1000" s="588" t="n"/>
      <c r="BW1000" s="588" t="n"/>
      <c r="BX1000" s="588" t="n"/>
      <c r="BY1000" s="588" t="n"/>
      <c r="BZ1000" s="588" t="n"/>
      <c r="CA1000" s="588" t="n"/>
      <c r="CB1000" s="588" t="n"/>
      <c r="CC1000" s="588" t="n"/>
      <c r="CD1000" s="588" t="n"/>
      <c r="CE1000" s="588" t="n"/>
      <c r="CF1000" s="588" t="n"/>
      <c r="CG1000" s="588" t="n"/>
      <c r="CH1000" s="588" t="n"/>
      <c r="CI1000" s="588" t="n"/>
      <c r="CJ1000" s="588" t="n"/>
      <c r="CK1000" s="588" t="n"/>
      <c r="CL1000" s="588" t="n"/>
      <c r="CM1000" s="588" t="n"/>
      <c r="CN1000" s="588" t="n"/>
      <c r="CO1000" s="588" t="n"/>
      <c r="CP1000" s="588" t="n"/>
      <c r="CQ1000" s="588" t="n"/>
      <c r="CR1000" s="588" t="n"/>
      <c r="CS1000" s="588" t="n"/>
      <c r="CT1000" s="588" t="n"/>
      <c r="CU1000" s="588" t="n"/>
      <c r="CV1000" s="588" t="n"/>
      <c r="CW1000" s="588" t="n"/>
      <c r="CX1000" s="588" t="n"/>
      <c r="CY1000" s="588" t="n"/>
      <c r="CZ1000" s="588" t="n"/>
      <c r="DA1000" s="588" t="n"/>
      <c r="DB1000" s="588" t="n"/>
      <c r="DC1000" s="588" t="n"/>
      <c r="DD1000" s="588" t="n"/>
      <c r="DE1000" s="588" t="n"/>
      <c r="DF1000" s="588" t="n"/>
      <c r="DG1000" s="588" t="n"/>
      <c r="DH1000" s="588" t="n"/>
      <c r="DI1000" s="588" t="n"/>
      <c r="DJ1000" s="588" t="n"/>
      <c r="DK1000" s="588" t="n"/>
      <c r="DL1000" s="588" t="n"/>
      <c r="DM1000" s="588" t="n"/>
      <c r="DN1000" s="588" t="n"/>
      <c r="DO1000" s="588" t="n"/>
      <c r="DP1000" s="588" t="n"/>
      <c r="DQ1000" s="588" t="n"/>
      <c r="DR1000" s="588" t="n"/>
      <c r="DS1000" s="588" t="n"/>
      <c r="DT1000" s="588" t="n"/>
      <c r="DU1000" s="588" t="n"/>
    </row>
    <row r="1001">
      <c r="A1001" s="737" t="n"/>
      <c r="B1001" s="737" t="n"/>
      <c r="C1001" s="737" t="n"/>
      <c r="D1001" s="737" t="n"/>
      <c r="E1001" s="737" t="n"/>
      <c r="F1001" s="737" t="n"/>
      <c r="G1001" s="737" t="n"/>
      <c r="H1001" s="737" t="n"/>
      <c r="I1001" s="737" t="n"/>
      <c r="J1001" s="737" t="n"/>
      <c r="K1001" s="737" t="n"/>
      <c r="L1001" s="737" t="n"/>
      <c r="M1001" s="737" t="n"/>
      <c r="N1001" s="737" t="n"/>
      <c r="O1001" s="737" t="n"/>
      <c r="P1001" s="737" t="n"/>
      <c r="Q1001" s="737" t="n"/>
      <c r="R1001" s="737" t="n"/>
      <c r="S1001" s="737" t="n"/>
      <c r="T1001" s="737" t="n"/>
      <c r="U1001" s="737" t="n"/>
      <c r="V1001" s="737" t="n"/>
      <c r="W1001" s="737" t="n"/>
      <c r="X1001" s="737" t="n"/>
      <c r="Y1001" s="737" t="n"/>
      <c r="Z1001" s="737" t="n"/>
      <c r="AA1001" s="737" t="n"/>
      <c r="AB1001" s="737" t="n"/>
      <c r="AC1001" s="737" t="n"/>
      <c r="AD1001" s="737" t="n"/>
      <c r="AE1001" s="737" t="n"/>
      <c r="AF1001" s="737" t="n"/>
      <c r="AG1001" s="737" t="n"/>
      <c r="AH1001" s="737" t="n"/>
      <c r="AI1001" s="737" t="n"/>
      <c r="AJ1001" s="737" t="n"/>
      <c r="AK1001" s="588" t="n"/>
      <c r="AL1001" s="588" t="n"/>
      <c r="AM1001" s="588" t="n"/>
      <c r="AN1001" s="588" t="n"/>
      <c r="AO1001" s="588" t="n"/>
      <c r="AP1001" s="588" t="n"/>
      <c r="AQ1001" s="588" t="n"/>
      <c r="AR1001" s="588" t="n"/>
      <c r="AS1001" s="588" t="n"/>
      <c r="AT1001" s="588" t="n"/>
      <c r="AU1001" s="588" t="n"/>
      <c r="AV1001" s="588" t="n"/>
      <c r="AW1001" s="588" t="n"/>
      <c r="AX1001" s="588" t="n"/>
      <c r="AY1001" s="588" t="n"/>
      <c r="AZ1001" s="588" t="n"/>
      <c r="BA1001" s="588" t="n"/>
      <c r="BB1001" s="588" t="n"/>
      <c r="BC1001" s="588" t="n"/>
      <c r="BD1001" s="588" t="n"/>
      <c r="BE1001" s="588" t="n"/>
      <c r="BF1001" s="588" t="n"/>
      <c r="BG1001" s="588" t="n"/>
      <c r="BH1001" s="588" t="n"/>
      <c r="BI1001" s="588" t="n"/>
      <c r="BJ1001" s="588" t="n"/>
      <c r="BK1001" s="588" t="n"/>
      <c r="BL1001" s="588" t="n"/>
      <c r="BM1001" s="588" t="n"/>
      <c r="BN1001" s="588" t="n"/>
      <c r="BO1001" s="588" t="n"/>
      <c r="BP1001" s="588" t="n"/>
      <c r="BQ1001" s="588" t="n"/>
      <c r="BR1001" s="588" t="n"/>
      <c r="BS1001" s="588" t="n"/>
      <c r="BT1001" s="588" t="n"/>
      <c r="BU1001" s="588" t="n"/>
      <c r="BV1001" s="588" t="n"/>
      <c r="BW1001" s="588" t="n"/>
      <c r="BX1001" s="588" t="n"/>
      <c r="BY1001" s="588" t="n"/>
      <c r="BZ1001" s="588" t="n"/>
      <c r="CA1001" s="588" t="n"/>
      <c r="CB1001" s="588" t="n"/>
      <c r="CC1001" s="588" t="n"/>
      <c r="CD1001" s="588" t="n"/>
      <c r="CE1001" s="588" t="n"/>
      <c r="CF1001" s="588" t="n"/>
      <c r="CG1001" s="588" t="n"/>
      <c r="CH1001" s="588" t="n"/>
      <c r="CI1001" s="588" t="n"/>
      <c r="CJ1001" s="588" t="n"/>
      <c r="CK1001" s="588" t="n"/>
      <c r="CL1001" s="588" t="n"/>
      <c r="CM1001" s="588" t="n"/>
      <c r="CN1001" s="588" t="n"/>
      <c r="CO1001" s="588" t="n"/>
      <c r="CP1001" s="588" t="n"/>
      <c r="CQ1001" s="588" t="n"/>
      <c r="CR1001" s="588" t="n"/>
      <c r="CS1001" s="588" t="n"/>
      <c r="CT1001" s="588" t="n"/>
      <c r="CU1001" s="588" t="n"/>
      <c r="CV1001" s="588" t="n"/>
      <c r="CW1001" s="588" t="n"/>
      <c r="CX1001" s="588" t="n"/>
      <c r="CY1001" s="588" t="n"/>
      <c r="CZ1001" s="588" t="n"/>
      <c r="DA1001" s="588" t="n"/>
      <c r="DB1001" s="588" t="n"/>
      <c r="DC1001" s="588" t="n"/>
      <c r="DD1001" s="588" t="n"/>
      <c r="DE1001" s="588" t="n"/>
      <c r="DF1001" s="588" t="n"/>
      <c r="DG1001" s="588" t="n"/>
      <c r="DH1001" s="588" t="n"/>
      <c r="DI1001" s="588" t="n"/>
      <c r="DJ1001" s="588" t="n"/>
      <c r="DK1001" s="588" t="n"/>
      <c r="DL1001" s="588" t="n"/>
      <c r="DM1001" s="588" t="n"/>
      <c r="DN1001" s="588" t="n"/>
      <c r="DO1001" s="588" t="n"/>
      <c r="DP1001" s="588" t="n"/>
      <c r="DQ1001" s="588" t="n"/>
      <c r="DR1001" s="588" t="n"/>
      <c r="DS1001" s="588" t="n"/>
      <c r="DT1001" s="588" t="n"/>
      <c r="DU1001" s="588" t="n"/>
    </row>
    <row r="1002">
      <c r="A1002" s="737" t="n"/>
      <c r="B1002" s="737" t="n"/>
      <c r="C1002" s="737" t="n"/>
      <c r="D1002" s="737" t="n"/>
      <c r="E1002" s="737" t="n"/>
      <c r="F1002" s="737" t="n"/>
      <c r="G1002" s="737" t="n"/>
      <c r="H1002" s="737" t="n"/>
      <c r="I1002" s="737" t="n"/>
      <c r="J1002" s="737" t="n"/>
      <c r="K1002" s="737" t="n"/>
      <c r="L1002" s="737" t="n"/>
      <c r="M1002" s="737" t="n"/>
      <c r="N1002" s="737" t="n"/>
      <c r="O1002" s="737" t="n"/>
      <c r="P1002" s="737" t="n"/>
      <c r="Q1002" s="737" t="n"/>
      <c r="R1002" s="737" t="n"/>
      <c r="S1002" s="737" t="n"/>
      <c r="T1002" s="737" t="n"/>
      <c r="U1002" s="737" t="n"/>
      <c r="V1002" s="737" t="n"/>
      <c r="W1002" s="737" t="n"/>
      <c r="X1002" s="737" t="n"/>
      <c r="Y1002" s="737" t="n"/>
      <c r="Z1002" s="737" t="n"/>
      <c r="AA1002" s="737" t="n"/>
      <c r="AB1002" s="737" t="n"/>
      <c r="AC1002" s="737" t="n"/>
      <c r="AD1002" s="737" t="n"/>
      <c r="AE1002" s="737" t="n"/>
      <c r="AF1002" s="737" t="n"/>
      <c r="AG1002" s="737" t="n"/>
      <c r="AH1002" s="737" t="n"/>
      <c r="AI1002" s="737" t="n"/>
      <c r="AJ1002" s="737" t="n"/>
      <c r="AK1002" s="588" t="n"/>
      <c r="AL1002" s="588" t="n"/>
      <c r="AM1002" s="588" t="n"/>
      <c r="AN1002" s="588" t="n"/>
      <c r="AO1002" s="588" t="n"/>
      <c r="AP1002" s="588" t="n"/>
      <c r="AQ1002" s="588" t="n"/>
      <c r="AR1002" s="588" t="n"/>
      <c r="AS1002" s="588" t="n"/>
      <c r="AT1002" s="588" t="n"/>
      <c r="AU1002" s="588" t="n"/>
      <c r="AV1002" s="588" t="n"/>
      <c r="AW1002" s="588" t="n"/>
      <c r="AX1002" s="588" t="n"/>
      <c r="AY1002" s="588" t="n"/>
      <c r="AZ1002" s="588" t="n"/>
      <c r="BA1002" s="588" t="n"/>
      <c r="BB1002" s="588" t="n"/>
      <c r="BC1002" s="588" t="n"/>
      <c r="BD1002" s="588" t="n"/>
      <c r="BE1002" s="588" t="n"/>
      <c r="BF1002" s="588" t="n"/>
      <c r="BG1002" s="588" t="n"/>
      <c r="BH1002" s="588" t="n"/>
      <c r="BI1002" s="588" t="n"/>
      <c r="BJ1002" s="588" t="n"/>
      <c r="BK1002" s="588" t="n"/>
      <c r="BL1002" s="588" t="n"/>
      <c r="BM1002" s="588" t="n"/>
      <c r="BN1002" s="588" t="n"/>
      <c r="BO1002" s="588" t="n"/>
      <c r="BP1002" s="588" t="n"/>
      <c r="BQ1002" s="588" t="n"/>
      <c r="BR1002" s="588" t="n"/>
      <c r="BS1002" s="588" t="n"/>
      <c r="BT1002" s="588" t="n"/>
      <c r="BU1002" s="588" t="n"/>
      <c r="BV1002" s="588" t="n"/>
      <c r="BW1002" s="588" t="n"/>
      <c r="BX1002" s="588" t="n"/>
      <c r="BY1002" s="588" t="n"/>
      <c r="BZ1002" s="588" t="n"/>
      <c r="CA1002" s="588" t="n"/>
      <c r="CB1002" s="588" t="n"/>
      <c r="CC1002" s="588" t="n"/>
      <c r="CD1002" s="588" t="n"/>
      <c r="CE1002" s="588" t="n"/>
      <c r="CF1002" s="588" t="n"/>
      <c r="CG1002" s="588" t="n"/>
      <c r="CH1002" s="588" t="n"/>
      <c r="CI1002" s="588" t="n"/>
      <c r="CJ1002" s="588" t="n"/>
      <c r="CK1002" s="588" t="n"/>
      <c r="CL1002" s="588" t="n"/>
      <c r="CM1002" s="588" t="n"/>
      <c r="CN1002" s="588" t="n"/>
      <c r="CO1002" s="588" t="n"/>
      <c r="CP1002" s="588" t="n"/>
      <c r="CQ1002" s="588" t="n"/>
      <c r="CR1002" s="588" t="n"/>
      <c r="CS1002" s="588" t="n"/>
      <c r="CT1002" s="588" t="n"/>
      <c r="CU1002" s="588" t="n"/>
      <c r="CV1002" s="588" t="n"/>
      <c r="CW1002" s="588" t="n"/>
      <c r="CX1002" s="588" t="n"/>
      <c r="CY1002" s="588" t="n"/>
      <c r="CZ1002" s="588" t="n"/>
      <c r="DA1002" s="588" t="n"/>
      <c r="DB1002" s="588" t="n"/>
      <c r="DC1002" s="588" t="n"/>
      <c r="DD1002" s="588" t="n"/>
      <c r="DE1002" s="588" t="n"/>
      <c r="DF1002" s="588" t="n"/>
      <c r="DG1002" s="588" t="n"/>
      <c r="DH1002" s="588" t="n"/>
      <c r="DI1002" s="588" t="n"/>
      <c r="DJ1002" s="588" t="n"/>
      <c r="DK1002" s="588" t="n"/>
      <c r="DL1002" s="588" t="n"/>
      <c r="DM1002" s="588" t="n"/>
      <c r="DN1002" s="588" t="n"/>
      <c r="DO1002" s="588" t="n"/>
      <c r="DP1002" s="588" t="n"/>
      <c r="DQ1002" s="588" t="n"/>
      <c r="DR1002" s="588" t="n"/>
      <c r="DS1002" s="588" t="n"/>
      <c r="DT1002" s="588" t="n"/>
      <c r="DU1002" s="588" t="n"/>
    </row>
    <row r="1003">
      <c r="A1003" s="737" t="n"/>
      <c r="B1003" s="737" t="n"/>
      <c r="C1003" s="737" t="n"/>
      <c r="D1003" s="737" t="n"/>
      <c r="E1003" s="737" t="n"/>
      <c r="F1003" s="737" t="n"/>
      <c r="G1003" s="737" t="n"/>
      <c r="H1003" s="737" t="n"/>
      <c r="I1003" s="737" t="n"/>
      <c r="J1003" s="737" t="n"/>
      <c r="K1003" s="737" t="n"/>
      <c r="L1003" s="737" t="n"/>
      <c r="M1003" s="737" t="n"/>
      <c r="N1003" s="737" t="n"/>
      <c r="O1003" s="737" t="n"/>
      <c r="P1003" s="737" t="n"/>
      <c r="Q1003" s="737" t="n"/>
      <c r="R1003" s="737" t="n"/>
      <c r="S1003" s="737" t="n"/>
      <c r="T1003" s="737" t="n"/>
      <c r="U1003" s="737" t="n"/>
      <c r="V1003" s="737" t="n"/>
      <c r="W1003" s="737" t="n"/>
      <c r="X1003" s="737" t="n"/>
      <c r="Y1003" s="737" t="n"/>
      <c r="Z1003" s="737" t="n"/>
      <c r="AA1003" s="737" t="n"/>
      <c r="AB1003" s="737" t="n"/>
      <c r="AC1003" s="737" t="n"/>
      <c r="AD1003" s="737" t="n"/>
      <c r="AE1003" s="737" t="n"/>
      <c r="AF1003" s="737" t="n"/>
      <c r="AG1003" s="737" t="n"/>
      <c r="AH1003" s="737" t="n"/>
      <c r="AI1003" s="737" t="n"/>
      <c r="AJ1003" s="737" t="n"/>
      <c r="AK1003" s="588" t="n"/>
      <c r="AL1003" s="588" t="n"/>
      <c r="AM1003" s="588" t="n"/>
      <c r="AN1003" s="588" t="n"/>
      <c r="AO1003" s="588" t="n"/>
      <c r="AP1003" s="588" t="n"/>
      <c r="AQ1003" s="588" t="n"/>
      <c r="AR1003" s="588" t="n"/>
      <c r="AS1003" s="588" t="n"/>
      <c r="AT1003" s="588" t="n"/>
      <c r="AU1003" s="588" t="n"/>
      <c r="AV1003" s="588" t="n"/>
      <c r="AW1003" s="588" t="n"/>
      <c r="AX1003" s="588" t="n"/>
      <c r="AY1003" s="588" t="n"/>
      <c r="AZ1003" s="588" t="n"/>
      <c r="BA1003" s="588" t="n"/>
      <c r="BB1003" s="588" t="n"/>
      <c r="BC1003" s="588" t="n"/>
      <c r="BD1003" s="588" t="n"/>
      <c r="BE1003" s="588" t="n"/>
      <c r="BF1003" s="588" t="n"/>
      <c r="BG1003" s="588" t="n"/>
      <c r="BH1003" s="588" t="n"/>
      <c r="BI1003" s="588" t="n"/>
      <c r="BJ1003" s="588" t="n"/>
      <c r="BK1003" s="588" t="n"/>
      <c r="BL1003" s="588" t="n"/>
      <c r="BM1003" s="588" t="n"/>
      <c r="BN1003" s="588" t="n"/>
      <c r="BO1003" s="588" t="n"/>
      <c r="BP1003" s="588" t="n"/>
      <c r="BQ1003" s="588" t="n"/>
      <c r="BR1003" s="588" t="n"/>
      <c r="BS1003" s="588" t="n"/>
      <c r="BT1003" s="588" t="n"/>
      <c r="BU1003" s="588" t="n"/>
      <c r="BV1003" s="588" t="n"/>
      <c r="BW1003" s="588" t="n"/>
      <c r="BX1003" s="588" t="n"/>
      <c r="BY1003" s="588" t="n"/>
      <c r="BZ1003" s="588" t="n"/>
      <c r="CA1003" s="588" t="n"/>
      <c r="CB1003" s="588" t="n"/>
      <c r="CC1003" s="588" t="n"/>
      <c r="CD1003" s="588" t="n"/>
      <c r="CE1003" s="588" t="n"/>
      <c r="CF1003" s="588" t="n"/>
      <c r="CG1003" s="588" t="n"/>
      <c r="CH1003" s="588" t="n"/>
      <c r="CI1003" s="588" t="n"/>
      <c r="CJ1003" s="588" t="n"/>
      <c r="CK1003" s="588" t="n"/>
      <c r="CL1003" s="588" t="n"/>
      <c r="CM1003" s="588" t="n"/>
      <c r="CN1003" s="588" t="n"/>
      <c r="CO1003" s="588" t="n"/>
      <c r="CP1003" s="588" t="n"/>
      <c r="CQ1003" s="588" t="n"/>
      <c r="CR1003" s="588" t="n"/>
      <c r="CS1003" s="588" t="n"/>
      <c r="CT1003" s="588" t="n"/>
      <c r="CU1003" s="588" t="n"/>
      <c r="CV1003" s="588" t="n"/>
      <c r="CW1003" s="588" t="n"/>
      <c r="CX1003" s="588" t="n"/>
      <c r="CY1003" s="588" t="n"/>
      <c r="CZ1003" s="588" t="n"/>
      <c r="DA1003" s="588" t="n"/>
      <c r="DB1003" s="588" t="n"/>
      <c r="DC1003" s="588" t="n"/>
      <c r="DD1003" s="588" t="n"/>
      <c r="DE1003" s="588" t="n"/>
      <c r="DF1003" s="588" t="n"/>
      <c r="DG1003" s="588" t="n"/>
      <c r="DH1003" s="588" t="n"/>
      <c r="DI1003" s="588" t="n"/>
      <c r="DJ1003" s="588" t="n"/>
      <c r="DK1003" s="588" t="n"/>
      <c r="DL1003" s="588" t="n"/>
      <c r="DM1003" s="588" t="n"/>
      <c r="DN1003" s="588" t="n"/>
      <c r="DO1003" s="588" t="n"/>
      <c r="DP1003" s="588" t="n"/>
      <c r="DQ1003" s="588" t="n"/>
      <c r="DR1003" s="588" t="n"/>
      <c r="DS1003" s="588" t="n"/>
      <c r="DT1003" s="588" t="n"/>
      <c r="DU1003" s="588" t="n"/>
    </row>
    <row r="1004">
      <c r="A1004" s="737" t="n"/>
      <c r="B1004" s="737" t="n"/>
      <c r="C1004" s="737" t="n"/>
      <c r="D1004" s="737" t="n"/>
      <c r="E1004" s="737" t="n"/>
      <c r="F1004" s="737" t="n"/>
      <c r="G1004" s="737" t="n"/>
      <c r="H1004" s="737" t="n"/>
      <c r="I1004" s="737" t="n"/>
      <c r="J1004" s="737" t="n"/>
      <c r="K1004" s="737" t="n"/>
      <c r="L1004" s="737" t="n"/>
      <c r="M1004" s="737" t="n"/>
      <c r="N1004" s="737" t="n"/>
      <c r="O1004" s="737" t="n"/>
      <c r="P1004" s="737" t="n"/>
      <c r="Q1004" s="737" t="n"/>
      <c r="R1004" s="737" t="n"/>
      <c r="S1004" s="737" t="n"/>
      <c r="T1004" s="737" t="n"/>
      <c r="U1004" s="737" t="n"/>
      <c r="V1004" s="737" t="n"/>
      <c r="W1004" s="737" t="n"/>
      <c r="X1004" s="737" t="n"/>
      <c r="Y1004" s="737" t="n"/>
      <c r="Z1004" s="737" t="n"/>
      <c r="AA1004" s="737" t="n"/>
      <c r="AB1004" s="737" t="n"/>
      <c r="AC1004" s="737" t="n"/>
      <c r="AD1004" s="737" t="n"/>
      <c r="AE1004" s="737" t="n"/>
      <c r="AF1004" s="737" t="n"/>
      <c r="AG1004" s="737" t="n"/>
      <c r="AH1004" s="737" t="n"/>
      <c r="AI1004" s="737" t="n"/>
      <c r="AJ1004" s="737" t="n"/>
      <c r="AK1004" s="588" t="n"/>
      <c r="AL1004" s="588" t="n"/>
      <c r="AM1004" s="588" t="n"/>
      <c r="AN1004" s="588" t="n"/>
      <c r="AO1004" s="588" t="n"/>
      <c r="AP1004" s="588" t="n"/>
      <c r="AQ1004" s="588" t="n"/>
      <c r="AR1004" s="588" t="n"/>
      <c r="AS1004" s="588" t="n"/>
      <c r="AT1004" s="588" t="n"/>
      <c r="AU1004" s="588" t="n"/>
      <c r="AV1004" s="588" t="n"/>
      <c r="AW1004" s="588" t="n"/>
      <c r="AX1004" s="588" t="n"/>
      <c r="AY1004" s="588" t="n"/>
      <c r="AZ1004" s="588" t="n"/>
      <c r="BA1004" s="588" t="n"/>
      <c r="BB1004" s="588" t="n"/>
      <c r="BC1004" s="588" t="n"/>
      <c r="BD1004" s="588" t="n"/>
      <c r="BE1004" s="588" t="n"/>
      <c r="BF1004" s="588" t="n"/>
      <c r="BG1004" s="588" t="n"/>
      <c r="BH1004" s="588" t="n"/>
      <c r="BI1004" s="588" t="n"/>
      <c r="BJ1004" s="588" t="n"/>
      <c r="BK1004" s="588" t="n"/>
      <c r="BL1004" s="588" t="n"/>
      <c r="BM1004" s="588" t="n"/>
      <c r="BN1004" s="588" t="n"/>
      <c r="BO1004" s="588" t="n"/>
      <c r="BP1004" s="588" t="n"/>
      <c r="BQ1004" s="588" t="n"/>
      <c r="BR1004" s="588" t="n"/>
      <c r="BS1004" s="588" t="n"/>
      <c r="BT1004" s="588" t="n"/>
      <c r="BU1004" s="588" t="n"/>
      <c r="BV1004" s="588" t="n"/>
      <c r="BW1004" s="588" t="n"/>
      <c r="BX1004" s="588" t="n"/>
      <c r="BY1004" s="588" t="n"/>
      <c r="BZ1004" s="588" t="n"/>
      <c r="CA1004" s="588" t="n"/>
      <c r="CB1004" s="588" t="n"/>
      <c r="CC1004" s="588" t="n"/>
      <c r="CD1004" s="588" t="n"/>
      <c r="CE1004" s="588" t="n"/>
      <c r="CF1004" s="588" t="n"/>
      <c r="CG1004" s="588" t="n"/>
      <c r="CH1004" s="588" t="n"/>
      <c r="CI1004" s="588" t="n"/>
      <c r="CJ1004" s="588" t="n"/>
      <c r="CK1004" s="588" t="n"/>
      <c r="CL1004" s="588" t="n"/>
      <c r="CM1004" s="588" t="n"/>
      <c r="CN1004" s="588" t="n"/>
      <c r="CO1004" s="588" t="n"/>
      <c r="CP1004" s="588" t="n"/>
      <c r="CQ1004" s="588" t="n"/>
      <c r="CR1004" s="588" t="n"/>
      <c r="CS1004" s="588" t="n"/>
      <c r="CT1004" s="588" t="n"/>
      <c r="CU1004" s="588" t="n"/>
      <c r="CV1004" s="588" t="n"/>
      <c r="CW1004" s="588" t="n"/>
      <c r="CX1004" s="588" t="n"/>
      <c r="CY1004" s="588" t="n"/>
      <c r="CZ1004" s="588" t="n"/>
      <c r="DA1004" s="588" t="n"/>
      <c r="DB1004" s="588" t="n"/>
      <c r="DC1004" s="588" t="n"/>
      <c r="DD1004" s="588" t="n"/>
      <c r="DE1004" s="588" t="n"/>
      <c r="DF1004" s="588" t="n"/>
      <c r="DG1004" s="588" t="n"/>
      <c r="DH1004" s="588" t="n"/>
      <c r="DI1004" s="588" t="n"/>
      <c r="DJ1004" s="588" t="n"/>
      <c r="DK1004" s="588" t="n"/>
      <c r="DL1004" s="588" t="n"/>
      <c r="DM1004" s="588" t="n"/>
      <c r="DN1004" s="588" t="n"/>
      <c r="DO1004" s="588" t="n"/>
      <c r="DP1004" s="588" t="n"/>
      <c r="DQ1004" s="588" t="n"/>
      <c r="DR1004" s="588" t="n"/>
      <c r="DS1004" s="588" t="n"/>
      <c r="DT1004" s="588" t="n"/>
      <c r="DU1004" s="588" t="n"/>
    </row>
    <row r="1005">
      <c r="A1005" s="737" t="n"/>
      <c r="B1005" s="737" t="n"/>
      <c r="C1005" s="737" t="n"/>
      <c r="D1005" s="737" t="n"/>
      <c r="E1005" s="737" t="n"/>
      <c r="F1005" s="737" t="n"/>
      <c r="G1005" s="737" t="n"/>
      <c r="H1005" s="737" t="n"/>
      <c r="I1005" s="737" t="n"/>
      <c r="J1005" s="737" t="n"/>
      <c r="K1005" s="737" t="n"/>
      <c r="L1005" s="737" t="n"/>
      <c r="M1005" s="737" t="n"/>
      <c r="N1005" s="737" t="n"/>
      <c r="O1005" s="737" t="n"/>
      <c r="P1005" s="737" t="n"/>
      <c r="Q1005" s="737" t="n"/>
      <c r="R1005" s="737" t="n"/>
      <c r="S1005" s="737" t="n"/>
      <c r="T1005" s="737" t="n"/>
      <c r="U1005" s="737" t="n"/>
      <c r="V1005" s="737" t="n"/>
      <c r="W1005" s="737" t="n"/>
      <c r="X1005" s="737" t="n"/>
      <c r="Y1005" s="737" t="n"/>
      <c r="Z1005" s="737" t="n"/>
      <c r="AA1005" s="737" t="n"/>
      <c r="AB1005" s="737" t="n"/>
      <c r="AC1005" s="737" t="n"/>
      <c r="AD1005" s="737" t="n"/>
      <c r="AE1005" s="737" t="n"/>
      <c r="AF1005" s="737" t="n"/>
      <c r="AG1005" s="737" t="n"/>
      <c r="AH1005" s="737" t="n"/>
      <c r="AI1005" s="737" t="n"/>
      <c r="AJ1005" s="737" t="n"/>
      <c r="AK1005" s="588" t="n"/>
      <c r="AL1005" s="588" t="n"/>
      <c r="AM1005" s="588" t="n"/>
      <c r="AN1005" s="588" t="n"/>
      <c r="AO1005" s="588" t="n"/>
      <c r="AP1005" s="588" t="n"/>
      <c r="AQ1005" s="588" t="n"/>
      <c r="AR1005" s="588" t="n"/>
      <c r="AS1005" s="588" t="n"/>
      <c r="AT1005" s="588" t="n"/>
      <c r="AU1005" s="588" t="n"/>
      <c r="AV1005" s="588" t="n"/>
      <c r="AW1005" s="588" t="n"/>
      <c r="AX1005" s="588" t="n"/>
      <c r="AY1005" s="588" t="n"/>
      <c r="AZ1005" s="588" t="n"/>
      <c r="BA1005" s="588" t="n"/>
      <c r="BB1005" s="588" t="n"/>
      <c r="BC1005" s="588" t="n"/>
      <c r="BD1005" s="588" t="n"/>
      <c r="BE1005" s="588" t="n"/>
      <c r="BF1005" s="588" t="n"/>
      <c r="BG1005" s="588" t="n"/>
      <c r="BH1005" s="588" t="n"/>
      <c r="BI1005" s="588" t="n"/>
      <c r="BJ1005" s="588" t="n"/>
      <c r="BK1005" s="588" t="n"/>
      <c r="BL1005" s="588" t="n"/>
      <c r="BM1005" s="588" t="n"/>
      <c r="BN1005" s="588" t="n"/>
      <c r="BO1005" s="588" t="n"/>
      <c r="BP1005" s="588" t="n"/>
      <c r="BQ1005" s="588" t="n"/>
      <c r="BR1005" s="588" t="n"/>
      <c r="BS1005" s="588" t="n"/>
      <c r="BT1005" s="588" t="n"/>
      <c r="BU1005" s="588" t="n"/>
      <c r="BV1005" s="588" t="n"/>
      <c r="BW1005" s="588" t="n"/>
      <c r="BX1005" s="588" t="n"/>
      <c r="BY1005" s="588" t="n"/>
      <c r="BZ1005" s="588" t="n"/>
      <c r="CA1005" s="588" t="n"/>
      <c r="CB1005" s="588" t="n"/>
      <c r="CC1005" s="588" t="n"/>
      <c r="CD1005" s="588" t="n"/>
      <c r="CE1005" s="588" t="n"/>
      <c r="CF1005" s="588" t="n"/>
      <c r="CG1005" s="588" t="n"/>
      <c r="CH1005" s="588" t="n"/>
      <c r="CI1005" s="588" t="n"/>
      <c r="CJ1005" s="588" t="n"/>
      <c r="CK1005" s="588" t="n"/>
      <c r="CL1005" s="588" t="n"/>
      <c r="CM1005" s="588" t="n"/>
      <c r="CN1005" s="588" t="n"/>
      <c r="CO1005" s="588" t="n"/>
      <c r="CP1005" s="588" t="n"/>
      <c r="CQ1005" s="588" t="n"/>
      <c r="CR1005" s="588" t="n"/>
      <c r="CS1005" s="588" t="n"/>
      <c r="CT1005" s="588" t="n"/>
      <c r="CU1005" s="588" t="n"/>
      <c r="CV1005" s="588" t="n"/>
      <c r="CW1005" s="588" t="n"/>
      <c r="CX1005" s="588" t="n"/>
      <c r="CY1005" s="588" t="n"/>
      <c r="CZ1005" s="588" t="n"/>
      <c r="DA1005" s="588" t="n"/>
      <c r="DB1005" s="588" t="n"/>
      <c r="DC1005" s="588" t="n"/>
      <c r="DD1005" s="588" t="n"/>
      <c r="DE1005" s="588" t="n"/>
      <c r="DF1005" s="588" t="n"/>
      <c r="DG1005" s="588" t="n"/>
      <c r="DH1005" s="588" t="n"/>
      <c r="DI1005" s="588" t="n"/>
      <c r="DJ1005" s="588" t="n"/>
      <c r="DK1005" s="588" t="n"/>
      <c r="DL1005" s="588" t="n"/>
      <c r="DM1005" s="588" t="n"/>
      <c r="DN1005" s="588" t="n"/>
      <c r="DO1005" s="588" t="n"/>
      <c r="DP1005" s="588" t="n"/>
      <c r="DQ1005" s="588" t="n"/>
      <c r="DR1005" s="588" t="n"/>
      <c r="DS1005" s="588" t="n"/>
      <c r="DT1005" s="588" t="n"/>
      <c r="DU1005" s="588" t="n"/>
    </row>
    <row r="1006">
      <c r="A1006" s="737" t="n"/>
      <c r="B1006" s="737" t="n"/>
      <c r="C1006" s="737" t="n"/>
      <c r="D1006" s="737" t="n"/>
      <c r="E1006" s="737" t="n"/>
      <c r="F1006" s="737" t="n"/>
      <c r="G1006" s="737" t="n"/>
      <c r="H1006" s="737" t="n"/>
      <c r="I1006" s="737" t="n"/>
      <c r="J1006" s="737" t="n"/>
      <c r="K1006" s="737" t="n"/>
      <c r="L1006" s="737" t="n"/>
      <c r="M1006" s="737" t="n"/>
      <c r="N1006" s="737" t="n"/>
      <c r="O1006" s="737" t="n"/>
      <c r="P1006" s="737" t="n"/>
      <c r="Q1006" s="737" t="n"/>
      <c r="R1006" s="737" t="n"/>
      <c r="S1006" s="737" t="n"/>
      <c r="T1006" s="737" t="n"/>
      <c r="U1006" s="737" t="n"/>
      <c r="V1006" s="737" t="n"/>
      <c r="W1006" s="737" t="n"/>
      <c r="X1006" s="737" t="n"/>
      <c r="Y1006" s="737" t="n"/>
      <c r="Z1006" s="737" t="n"/>
      <c r="AA1006" s="737" t="n"/>
      <c r="AB1006" s="737" t="n"/>
      <c r="AC1006" s="737" t="n"/>
      <c r="AD1006" s="737" t="n"/>
      <c r="AE1006" s="737" t="n"/>
      <c r="AF1006" s="737" t="n"/>
      <c r="AG1006" s="737" t="n"/>
      <c r="AH1006" s="737" t="n"/>
      <c r="AI1006" s="737" t="n"/>
      <c r="AJ1006" s="737" t="n"/>
      <c r="AK1006" s="588" t="n"/>
      <c r="AL1006" s="588" t="n"/>
      <c r="AM1006" s="588" t="n"/>
      <c r="AN1006" s="588" t="n"/>
      <c r="AO1006" s="588" t="n"/>
      <c r="AP1006" s="588" t="n"/>
      <c r="AQ1006" s="588" t="n"/>
      <c r="AR1006" s="588" t="n"/>
      <c r="AS1006" s="588" t="n"/>
      <c r="AT1006" s="588" t="n"/>
      <c r="AU1006" s="588" t="n"/>
      <c r="AV1006" s="588" t="n"/>
      <c r="AW1006" s="588" t="n"/>
      <c r="AX1006" s="588" t="n"/>
      <c r="AY1006" s="588" t="n"/>
      <c r="AZ1006" s="588" t="n"/>
      <c r="BA1006" s="588" t="n"/>
      <c r="BB1006" s="588" t="n"/>
      <c r="BC1006" s="588" t="n"/>
      <c r="BD1006" s="588" t="n"/>
      <c r="BE1006" s="588" t="n"/>
      <c r="BF1006" s="588" t="n"/>
      <c r="BG1006" s="588" t="n"/>
      <c r="BH1006" s="588" t="n"/>
      <c r="BI1006" s="588" t="n"/>
      <c r="BJ1006" s="588" t="n"/>
      <c r="BK1006" s="588" t="n"/>
      <c r="BL1006" s="588" t="n"/>
      <c r="BM1006" s="588" t="n"/>
      <c r="BN1006" s="588" t="n"/>
      <c r="BO1006" s="588" t="n"/>
      <c r="BP1006" s="588" t="n"/>
      <c r="BQ1006" s="588" t="n"/>
      <c r="BR1006" s="588" t="n"/>
      <c r="BS1006" s="588" t="n"/>
      <c r="BT1006" s="588" t="n"/>
      <c r="BU1006" s="588" t="n"/>
      <c r="BV1006" s="588" t="n"/>
      <c r="BW1006" s="588" t="n"/>
      <c r="BX1006" s="588" t="n"/>
      <c r="BY1006" s="588" t="n"/>
      <c r="BZ1006" s="588" t="n"/>
      <c r="CA1006" s="588" t="n"/>
      <c r="CB1006" s="588" t="n"/>
      <c r="CC1006" s="588" t="n"/>
      <c r="CD1006" s="588" t="n"/>
      <c r="CE1006" s="588" t="n"/>
      <c r="CF1006" s="588" t="n"/>
      <c r="CG1006" s="588" t="n"/>
      <c r="CH1006" s="588" t="n"/>
      <c r="CI1006" s="588" t="n"/>
      <c r="CJ1006" s="588" t="n"/>
      <c r="CK1006" s="588" t="n"/>
      <c r="CL1006" s="588" t="n"/>
      <c r="CM1006" s="588" t="n"/>
      <c r="CN1006" s="588" t="n"/>
      <c r="CO1006" s="588" t="n"/>
      <c r="CP1006" s="588" t="n"/>
      <c r="CQ1006" s="588" t="n"/>
      <c r="CR1006" s="588" t="n"/>
      <c r="CS1006" s="588" t="n"/>
      <c r="CT1006" s="588" t="n"/>
      <c r="CU1006" s="588" t="n"/>
      <c r="CV1006" s="588" t="n"/>
      <c r="CW1006" s="588" t="n"/>
      <c r="CX1006" s="588" t="n"/>
      <c r="CY1006" s="588" t="n"/>
      <c r="CZ1006" s="588" t="n"/>
      <c r="DA1006" s="588" t="n"/>
      <c r="DB1006" s="588" t="n"/>
      <c r="DC1006" s="588" t="n"/>
      <c r="DD1006" s="588" t="n"/>
      <c r="DE1006" s="588" t="n"/>
      <c r="DF1006" s="588" t="n"/>
      <c r="DG1006" s="588" t="n"/>
      <c r="DH1006" s="588" t="n"/>
      <c r="DI1006" s="588" t="n"/>
      <c r="DJ1006" s="588" t="n"/>
      <c r="DK1006" s="588" t="n"/>
      <c r="DL1006" s="588" t="n"/>
      <c r="DM1006" s="588" t="n"/>
      <c r="DN1006" s="588" t="n"/>
      <c r="DO1006" s="588" t="n"/>
      <c r="DP1006" s="588" t="n"/>
      <c r="DQ1006" s="588" t="n"/>
      <c r="DR1006" s="588" t="n"/>
      <c r="DS1006" s="588" t="n"/>
      <c r="DT1006" s="588" t="n"/>
      <c r="DU1006" s="588" t="n"/>
    </row>
    <row r="1007">
      <c r="A1007" s="737" t="n"/>
      <c r="B1007" s="737" t="n"/>
      <c r="C1007" s="737" t="n"/>
      <c r="D1007" s="737" t="n"/>
      <c r="E1007" s="737" t="n"/>
      <c r="F1007" s="737" t="n"/>
      <c r="G1007" s="737" t="n"/>
      <c r="H1007" s="737" t="n"/>
      <c r="I1007" s="737" t="n"/>
      <c r="J1007" s="737" t="n"/>
      <c r="K1007" s="737" t="n"/>
      <c r="L1007" s="737" t="n"/>
      <c r="M1007" s="737" t="n"/>
      <c r="N1007" s="737" t="n"/>
      <c r="O1007" s="737" t="n"/>
      <c r="P1007" s="737" t="n"/>
      <c r="Q1007" s="737" t="n"/>
      <c r="R1007" s="737" t="n"/>
      <c r="S1007" s="737" t="n"/>
      <c r="T1007" s="737" t="n"/>
      <c r="U1007" s="737" t="n"/>
      <c r="V1007" s="737" t="n"/>
      <c r="W1007" s="737" t="n"/>
      <c r="X1007" s="737" t="n"/>
      <c r="Y1007" s="737" t="n"/>
      <c r="Z1007" s="737" t="n"/>
      <c r="AA1007" s="737" t="n"/>
      <c r="AB1007" s="737" t="n"/>
      <c r="AC1007" s="737" t="n"/>
      <c r="AD1007" s="737" t="n"/>
      <c r="AE1007" s="737" t="n"/>
      <c r="AF1007" s="737" t="n"/>
      <c r="AG1007" s="737" t="n"/>
      <c r="AH1007" s="737" t="n"/>
      <c r="AI1007" s="737" t="n"/>
      <c r="AJ1007" s="737" t="n"/>
      <c r="AK1007" s="588" t="n"/>
      <c r="AL1007" s="588" t="n"/>
      <c r="AM1007" s="588" t="n"/>
      <c r="AN1007" s="588" t="n"/>
      <c r="AO1007" s="588" t="n"/>
      <c r="AP1007" s="588" t="n"/>
      <c r="AQ1007" s="588" t="n"/>
      <c r="AR1007" s="588" t="n"/>
      <c r="AS1007" s="588" t="n"/>
      <c r="AT1007" s="588" t="n"/>
      <c r="AU1007" s="588" t="n"/>
      <c r="AV1007" s="588" t="n"/>
      <c r="AW1007" s="588" t="n"/>
      <c r="AX1007" s="588" t="n"/>
      <c r="AY1007" s="588" t="n"/>
      <c r="AZ1007" s="588" t="n"/>
      <c r="BA1007" s="588" t="n"/>
      <c r="BB1007" s="588" t="n"/>
      <c r="BC1007" s="588" t="n"/>
      <c r="BD1007" s="588" t="n"/>
      <c r="BE1007" s="588" t="n"/>
      <c r="BF1007" s="588" t="n"/>
      <c r="BG1007" s="588" t="n"/>
      <c r="BH1007" s="588" t="n"/>
      <c r="BI1007" s="588" t="n"/>
      <c r="BJ1007" s="588" t="n"/>
      <c r="BK1007" s="588" t="n"/>
      <c r="BL1007" s="588" t="n"/>
      <c r="BM1007" s="588" t="n"/>
      <c r="BN1007" s="588" t="n"/>
      <c r="BO1007" s="588" t="n"/>
      <c r="BP1007" s="588" t="n"/>
      <c r="BQ1007" s="588" t="n"/>
      <c r="BR1007" s="588" t="n"/>
      <c r="BS1007" s="588" t="n"/>
      <c r="BT1007" s="588" t="n"/>
      <c r="BU1007" s="588" t="n"/>
      <c r="BV1007" s="588" t="n"/>
      <c r="BW1007" s="588" t="n"/>
      <c r="BX1007" s="588" t="n"/>
      <c r="BY1007" s="588" t="n"/>
      <c r="BZ1007" s="588" t="n"/>
      <c r="CA1007" s="588" t="n"/>
      <c r="CB1007" s="588" t="n"/>
      <c r="CC1007" s="588" t="n"/>
      <c r="CD1007" s="588" t="n"/>
      <c r="CE1007" s="588" t="n"/>
      <c r="CF1007" s="588" t="n"/>
      <c r="CG1007" s="588" t="n"/>
      <c r="CH1007" s="588" t="n"/>
      <c r="CI1007" s="588" t="n"/>
      <c r="CJ1007" s="588" t="n"/>
      <c r="CK1007" s="588" t="n"/>
      <c r="CL1007" s="588" t="n"/>
      <c r="CM1007" s="588" t="n"/>
      <c r="CN1007" s="588" t="n"/>
      <c r="CO1007" s="588" t="n"/>
      <c r="CP1007" s="588" t="n"/>
      <c r="CQ1007" s="588" t="n"/>
      <c r="CR1007" s="588" t="n"/>
      <c r="CS1007" s="588" t="n"/>
      <c r="CT1007" s="588" t="n"/>
      <c r="CU1007" s="588" t="n"/>
      <c r="CV1007" s="588" t="n"/>
      <c r="CW1007" s="588" t="n"/>
      <c r="CX1007" s="588" t="n"/>
      <c r="CY1007" s="588" t="n"/>
      <c r="CZ1007" s="588" t="n"/>
      <c r="DA1007" s="588" t="n"/>
      <c r="DB1007" s="588" t="n"/>
      <c r="DC1007" s="588" t="n"/>
      <c r="DD1007" s="588" t="n"/>
      <c r="DE1007" s="588" t="n"/>
      <c r="DF1007" s="588" t="n"/>
      <c r="DG1007" s="588" t="n"/>
      <c r="DH1007" s="588" t="n"/>
      <c r="DI1007" s="588" t="n"/>
      <c r="DJ1007" s="588" t="n"/>
      <c r="DK1007" s="588" t="n"/>
      <c r="DL1007" s="588" t="n"/>
      <c r="DM1007" s="588" t="n"/>
      <c r="DN1007" s="588" t="n"/>
      <c r="DO1007" s="588" t="n"/>
      <c r="DP1007" s="588" t="n"/>
      <c r="DQ1007" s="588" t="n"/>
      <c r="DR1007" s="588" t="n"/>
      <c r="DS1007" s="588" t="n"/>
      <c r="DT1007" s="588" t="n"/>
      <c r="DU1007" s="588" t="n"/>
    </row>
    <row r="1008">
      <c r="A1008" s="737" t="n"/>
      <c r="B1008" s="737" t="n"/>
      <c r="C1008" s="737" t="n"/>
      <c r="D1008" s="737" t="n"/>
      <c r="E1008" s="737" t="n"/>
      <c r="F1008" s="737" t="n"/>
      <c r="G1008" s="737" t="n"/>
      <c r="H1008" s="737" t="n"/>
      <c r="I1008" s="737" t="n"/>
      <c r="J1008" s="737" t="n"/>
      <c r="K1008" s="737" t="n"/>
      <c r="L1008" s="737" t="n"/>
      <c r="M1008" s="737" t="n"/>
      <c r="N1008" s="737" t="n"/>
      <c r="O1008" s="737" t="n"/>
      <c r="P1008" s="737" t="n"/>
      <c r="Q1008" s="737" t="n"/>
      <c r="R1008" s="737" t="n"/>
      <c r="S1008" s="737" t="n"/>
      <c r="T1008" s="737" t="n"/>
      <c r="U1008" s="737" t="n"/>
      <c r="V1008" s="737" t="n"/>
      <c r="W1008" s="737" t="n"/>
      <c r="X1008" s="737" t="n"/>
      <c r="Y1008" s="737" t="n"/>
      <c r="Z1008" s="737" t="n"/>
      <c r="AA1008" s="737" t="n"/>
      <c r="AB1008" s="737" t="n"/>
      <c r="AC1008" s="737" t="n"/>
      <c r="AD1008" s="737" t="n"/>
      <c r="AE1008" s="737" t="n"/>
      <c r="AF1008" s="737" t="n"/>
      <c r="AG1008" s="737" t="n"/>
      <c r="AH1008" s="737" t="n"/>
      <c r="AI1008" s="737" t="n"/>
      <c r="AJ1008" s="737" t="n"/>
      <c r="AK1008" s="588" t="n"/>
      <c r="AL1008" s="588" t="n"/>
      <c r="AM1008" s="588" t="n"/>
      <c r="AN1008" s="588" t="n"/>
      <c r="AO1008" s="588" t="n"/>
      <c r="AP1008" s="588" t="n"/>
      <c r="AQ1008" s="588" t="n"/>
      <c r="AR1008" s="588" t="n"/>
      <c r="AS1008" s="588" t="n"/>
      <c r="AT1008" s="588" t="n"/>
      <c r="AU1008" s="588" t="n"/>
      <c r="AV1008" s="588" t="n"/>
      <c r="AW1008" s="588" t="n"/>
      <c r="AX1008" s="588" t="n"/>
      <c r="AY1008" s="588" t="n"/>
      <c r="AZ1008" s="588" t="n"/>
      <c r="BA1008" s="588" t="n"/>
      <c r="BB1008" s="588" t="n"/>
      <c r="BC1008" s="588" t="n"/>
      <c r="BD1008" s="588" t="n"/>
      <c r="BE1008" s="588" t="n"/>
      <c r="BF1008" s="588" t="n"/>
      <c r="BG1008" s="588" t="n"/>
      <c r="BH1008" s="588" t="n"/>
      <c r="BI1008" s="588" t="n"/>
      <c r="BJ1008" s="588" t="n"/>
      <c r="BK1008" s="588" t="n"/>
      <c r="BL1008" s="588" t="n"/>
      <c r="BM1008" s="588" t="n"/>
      <c r="BN1008" s="588" t="n"/>
      <c r="BO1008" s="588" t="n"/>
      <c r="BP1008" s="588" t="n"/>
      <c r="BQ1008" s="588" t="n"/>
      <c r="BR1008" s="588" t="n"/>
      <c r="BS1008" s="588" t="n"/>
      <c r="BT1008" s="588" t="n"/>
      <c r="BU1008" s="588" t="n"/>
      <c r="BV1008" s="588" t="n"/>
      <c r="BW1008" s="588" t="n"/>
      <c r="BX1008" s="588" t="n"/>
      <c r="BY1008" s="588" t="n"/>
      <c r="BZ1008" s="588" t="n"/>
      <c r="CA1008" s="588" t="n"/>
      <c r="CB1008" s="588" t="n"/>
      <c r="CC1008" s="588" t="n"/>
      <c r="CD1008" s="588" t="n"/>
      <c r="CE1008" s="588" t="n"/>
      <c r="CF1008" s="588" t="n"/>
      <c r="CG1008" s="588" t="n"/>
      <c r="CH1008" s="588" t="n"/>
      <c r="CI1008" s="588" t="n"/>
      <c r="CJ1008" s="588" t="n"/>
      <c r="CK1008" s="588" t="n"/>
      <c r="CL1008" s="588" t="n"/>
      <c r="CM1008" s="588" t="n"/>
      <c r="CN1008" s="588" t="n"/>
      <c r="CO1008" s="588" t="n"/>
      <c r="CP1008" s="588" t="n"/>
      <c r="CQ1008" s="588" t="n"/>
      <c r="CR1008" s="588" t="n"/>
      <c r="CS1008" s="588" t="n"/>
      <c r="CT1008" s="588" t="n"/>
      <c r="CU1008" s="588" t="n"/>
      <c r="CV1008" s="588" t="n"/>
      <c r="CW1008" s="588" t="n"/>
      <c r="CX1008" s="588" t="n"/>
      <c r="CY1008" s="588" t="n"/>
      <c r="CZ1008" s="588" t="n"/>
      <c r="DA1008" s="588" t="n"/>
      <c r="DB1008" s="588" t="n"/>
      <c r="DC1008" s="588" t="n"/>
      <c r="DD1008" s="588" t="n"/>
      <c r="DE1008" s="588" t="n"/>
      <c r="DF1008" s="588" t="n"/>
      <c r="DG1008" s="588" t="n"/>
      <c r="DH1008" s="588" t="n"/>
      <c r="DI1008" s="588" t="n"/>
      <c r="DJ1008" s="588" t="n"/>
      <c r="DK1008" s="588" t="n"/>
      <c r="DL1008" s="588" t="n"/>
      <c r="DM1008" s="588" t="n"/>
      <c r="DN1008" s="588" t="n"/>
      <c r="DO1008" s="588" t="n"/>
      <c r="DP1008" s="588" t="n"/>
      <c r="DQ1008" s="588" t="n"/>
      <c r="DR1008" s="588" t="n"/>
      <c r="DS1008" s="588" t="n"/>
      <c r="DT1008" s="588" t="n"/>
      <c r="DU1008" s="588" t="n"/>
    </row>
    <row r="1009">
      <c r="A1009" s="737" t="n"/>
      <c r="B1009" s="737" t="n"/>
      <c r="C1009" s="737" t="n"/>
      <c r="D1009" s="737" t="n"/>
      <c r="E1009" s="737" t="n"/>
      <c r="F1009" s="737" t="n"/>
      <c r="G1009" s="737" t="n"/>
      <c r="H1009" s="737" t="n"/>
      <c r="I1009" s="737" t="n"/>
      <c r="J1009" s="737" t="n"/>
      <c r="K1009" s="737" t="n"/>
      <c r="L1009" s="737" t="n"/>
      <c r="M1009" s="737" t="n"/>
      <c r="N1009" s="737" t="n"/>
      <c r="O1009" s="737" t="n"/>
      <c r="P1009" s="737" t="n"/>
      <c r="Q1009" s="737" t="n"/>
      <c r="R1009" s="737" t="n"/>
      <c r="S1009" s="737" t="n"/>
      <c r="T1009" s="737" t="n"/>
      <c r="U1009" s="737" t="n"/>
      <c r="V1009" s="737" t="n"/>
      <c r="W1009" s="737" t="n"/>
      <c r="X1009" s="737" t="n"/>
      <c r="Y1009" s="737" t="n"/>
      <c r="Z1009" s="737" t="n"/>
      <c r="AA1009" s="737" t="n"/>
      <c r="AB1009" s="737" t="n"/>
      <c r="AC1009" s="737" t="n"/>
      <c r="AD1009" s="737" t="n"/>
      <c r="AE1009" s="737" t="n"/>
      <c r="AF1009" s="737" t="n"/>
      <c r="AG1009" s="737" t="n"/>
      <c r="AH1009" s="737" t="n"/>
      <c r="AI1009" s="737" t="n"/>
      <c r="AJ1009" s="737" t="n"/>
      <c r="AK1009" s="588" t="n"/>
      <c r="AL1009" s="588" t="n"/>
      <c r="AM1009" s="588" t="n"/>
      <c r="AN1009" s="588" t="n"/>
      <c r="AO1009" s="588" t="n"/>
      <c r="AP1009" s="588" t="n"/>
      <c r="AQ1009" s="588" t="n"/>
      <c r="AR1009" s="588" t="n"/>
      <c r="AS1009" s="588" t="n"/>
      <c r="AT1009" s="588" t="n"/>
      <c r="AU1009" s="588" t="n"/>
      <c r="AV1009" s="588" t="n"/>
      <c r="AW1009" s="588" t="n"/>
      <c r="AX1009" s="588" t="n"/>
      <c r="AY1009" s="588" t="n"/>
      <c r="AZ1009" s="588" t="n"/>
      <c r="BA1009" s="588" t="n"/>
      <c r="BB1009" s="588" t="n"/>
      <c r="BC1009" s="588" t="n"/>
      <c r="BD1009" s="588" t="n"/>
      <c r="BE1009" s="588" t="n"/>
      <c r="BF1009" s="588" t="n"/>
      <c r="BG1009" s="588" t="n"/>
      <c r="BH1009" s="588" t="n"/>
      <c r="BI1009" s="588" t="n"/>
      <c r="BJ1009" s="588" t="n"/>
      <c r="BK1009" s="588" t="n"/>
      <c r="BL1009" s="588" t="n"/>
      <c r="BM1009" s="588" t="n"/>
      <c r="BN1009" s="588" t="n"/>
      <c r="BO1009" s="588" t="n"/>
      <c r="BP1009" s="588" t="n"/>
      <c r="BQ1009" s="588" t="n"/>
      <c r="BR1009" s="588" t="n"/>
      <c r="BS1009" s="588" t="n"/>
      <c r="BT1009" s="588" t="n"/>
      <c r="BU1009" s="588" t="n"/>
      <c r="BV1009" s="588" t="n"/>
      <c r="BW1009" s="588" t="n"/>
      <c r="BX1009" s="588" t="n"/>
      <c r="BY1009" s="588" t="n"/>
      <c r="BZ1009" s="588" t="n"/>
      <c r="CA1009" s="588" t="n"/>
      <c r="CB1009" s="588" t="n"/>
      <c r="CC1009" s="588" t="n"/>
      <c r="CD1009" s="588" t="n"/>
      <c r="CE1009" s="588" t="n"/>
      <c r="CF1009" s="588" t="n"/>
      <c r="CG1009" s="588" t="n"/>
      <c r="CH1009" s="588" t="n"/>
      <c r="CI1009" s="588" t="n"/>
      <c r="CJ1009" s="588" t="n"/>
      <c r="CK1009" s="588" t="n"/>
      <c r="CL1009" s="588" t="n"/>
      <c r="CM1009" s="588" t="n"/>
      <c r="CN1009" s="588" t="n"/>
      <c r="CO1009" s="588" t="n"/>
      <c r="CP1009" s="588" t="n"/>
      <c r="CQ1009" s="588" t="n"/>
      <c r="CR1009" s="588" t="n"/>
      <c r="CS1009" s="588" t="n"/>
      <c r="CT1009" s="588" t="n"/>
      <c r="CU1009" s="588" t="n"/>
      <c r="CV1009" s="588" t="n"/>
      <c r="CW1009" s="588" t="n"/>
      <c r="CX1009" s="588" t="n"/>
      <c r="CY1009" s="588" t="n"/>
      <c r="CZ1009" s="588" t="n"/>
      <c r="DA1009" s="588" t="n"/>
      <c r="DB1009" s="588" t="n"/>
      <c r="DC1009" s="588" t="n"/>
      <c r="DD1009" s="588" t="n"/>
      <c r="DE1009" s="588" t="n"/>
      <c r="DF1009" s="588" t="n"/>
      <c r="DG1009" s="588" t="n"/>
      <c r="DH1009" s="588" t="n"/>
      <c r="DI1009" s="588" t="n"/>
      <c r="DJ1009" s="588" t="n"/>
      <c r="DK1009" s="588" t="n"/>
      <c r="DL1009" s="588" t="n"/>
      <c r="DM1009" s="588" t="n"/>
      <c r="DN1009" s="588" t="n"/>
      <c r="DO1009" s="588" t="n"/>
      <c r="DP1009" s="588" t="n"/>
      <c r="DQ1009" s="588" t="n"/>
      <c r="DR1009" s="588" t="n"/>
      <c r="DS1009" s="588" t="n"/>
      <c r="DT1009" s="588" t="n"/>
      <c r="DU1009" s="588" t="n"/>
    </row>
    <row r="1010">
      <c r="A1010" s="737" t="n"/>
      <c r="B1010" s="737" t="n"/>
      <c r="C1010" s="737" t="n"/>
      <c r="D1010" s="737" t="n"/>
      <c r="E1010" s="737" t="n"/>
      <c r="F1010" s="737" t="n"/>
      <c r="G1010" s="737" t="n"/>
      <c r="H1010" s="737" t="n"/>
      <c r="I1010" s="737" t="n"/>
      <c r="J1010" s="737" t="n"/>
      <c r="K1010" s="737" t="n"/>
      <c r="L1010" s="737" t="n"/>
      <c r="M1010" s="737" t="n"/>
      <c r="N1010" s="737" t="n"/>
      <c r="O1010" s="737" t="n"/>
      <c r="P1010" s="737" t="n"/>
      <c r="Q1010" s="737" t="n"/>
      <c r="R1010" s="737" t="n"/>
      <c r="S1010" s="737" t="n"/>
      <c r="T1010" s="737" t="n"/>
      <c r="U1010" s="737" t="n"/>
      <c r="V1010" s="737" t="n"/>
      <c r="W1010" s="737" t="n"/>
      <c r="X1010" s="737" t="n"/>
      <c r="Y1010" s="737" t="n"/>
      <c r="Z1010" s="737" t="n"/>
      <c r="AA1010" s="737" t="n"/>
      <c r="AB1010" s="737" t="n"/>
      <c r="AC1010" s="737" t="n"/>
      <c r="AD1010" s="737" t="n"/>
      <c r="AE1010" s="737" t="n"/>
      <c r="AF1010" s="737" t="n"/>
      <c r="AG1010" s="737" t="n"/>
      <c r="AH1010" s="737" t="n"/>
      <c r="AI1010" s="737" t="n"/>
      <c r="AJ1010" s="737" t="n"/>
      <c r="AK1010" s="588" t="n"/>
      <c r="AL1010" s="588" t="n"/>
      <c r="AM1010" s="588" t="n"/>
      <c r="AN1010" s="588" t="n"/>
      <c r="AO1010" s="588" t="n"/>
      <c r="AP1010" s="588" t="n"/>
      <c r="AQ1010" s="588" t="n"/>
      <c r="AR1010" s="588" t="n"/>
      <c r="AS1010" s="588" t="n"/>
      <c r="AT1010" s="588" t="n"/>
      <c r="AU1010" s="588" t="n"/>
      <c r="AV1010" s="588" t="n"/>
      <c r="AW1010" s="588" t="n"/>
      <c r="AX1010" s="588" t="n"/>
      <c r="AY1010" s="588" t="n"/>
      <c r="AZ1010" s="588" t="n"/>
      <c r="BA1010" s="588" t="n"/>
      <c r="BB1010" s="588" t="n"/>
      <c r="BC1010" s="588" t="n"/>
      <c r="BD1010" s="588" t="n"/>
      <c r="BE1010" s="588" t="n"/>
      <c r="BF1010" s="588" t="n"/>
      <c r="BG1010" s="588" t="n"/>
      <c r="BH1010" s="588" t="n"/>
      <c r="BI1010" s="588" t="n"/>
      <c r="BJ1010" s="588" t="n"/>
      <c r="BK1010" s="588" t="n"/>
      <c r="BL1010" s="588" t="n"/>
      <c r="BM1010" s="588" t="n"/>
      <c r="BN1010" s="588" t="n"/>
      <c r="BO1010" s="588" t="n"/>
      <c r="BP1010" s="588" t="n"/>
      <c r="BQ1010" s="588" t="n"/>
      <c r="BR1010" s="588" t="n"/>
      <c r="BS1010" s="588" t="n"/>
      <c r="BT1010" s="588" t="n"/>
      <c r="BU1010" s="588" t="n"/>
      <c r="BV1010" s="588" t="n"/>
      <c r="BW1010" s="588" t="n"/>
      <c r="BX1010" s="588" t="n"/>
      <c r="BY1010" s="588" t="n"/>
      <c r="BZ1010" s="588" t="n"/>
      <c r="CA1010" s="588" t="n"/>
      <c r="CB1010" s="588" t="n"/>
      <c r="CC1010" s="588" t="n"/>
      <c r="CD1010" s="588" t="n"/>
      <c r="CE1010" s="588" t="n"/>
      <c r="CF1010" s="588" t="n"/>
      <c r="CG1010" s="588" t="n"/>
      <c r="CH1010" s="588" t="n"/>
      <c r="CI1010" s="588" t="n"/>
      <c r="CJ1010" s="588" t="n"/>
      <c r="CK1010" s="588" t="n"/>
      <c r="CL1010" s="588" t="n"/>
      <c r="CM1010" s="588" t="n"/>
      <c r="CN1010" s="588" t="n"/>
      <c r="CO1010" s="588" t="n"/>
      <c r="CP1010" s="588" t="n"/>
      <c r="CQ1010" s="588" t="n"/>
      <c r="CR1010" s="588" t="n"/>
      <c r="CS1010" s="588" t="n"/>
      <c r="CT1010" s="588" t="n"/>
      <c r="CU1010" s="588" t="n"/>
      <c r="CV1010" s="588" t="n"/>
      <c r="CW1010" s="588" t="n"/>
      <c r="CX1010" s="588" t="n"/>
      <c r="CY1010" s="588" t="n"/>
      <c r="CZ1010" s="588" t="n"/>
      <c r="DA1010" s="588" t="n"/>
      <c r="DB1010" s="588" t="n"/>
      <c r="DC1010" s="588" t="n"/>
      <c r="DD1010" s="588" t="n"/>
      <c r="DE1010" s="588" t="n"/>
      <c r="DF1010" s="588" t="n"/>
      <c r="DG1010" s="588" t="n"/>
      <c r="DH1010" s="588" t="n"/>
      <c r="DI1010" s="588" t="n"/>
      <c r="DJ1010" s="588" t="n"/>
      <c r="DK1010" s="588" t="n"/>
      <c r="DL1010" s="588" t="n"/>
      <c r="DM1010" s="588" t="n"/>
      <c r="DN1010" s="588" t="n"/>
      <c r="DO1010" s="588" t="n"/>
      <c r="DP1010" s="588" t="n"/>
      <c r="DQ1010" s="588" t="n"/>
      <c r="DR1010" s="588" t="n"/>
      <c r="DS1010" s="588" t="n"/>
      <c r="DT1010" s="588" t="n"/>
      <c r="DU1010" s="588" t="n"/>
    </row>
    <row r="1011">
      <c r="A1011" s="737" t="n"/>
      <c r="B1011" s="737" t="n"/>
      <c r="C1011" s="737" t="n"/>
      <c r="D1011" s="737" t="n"/>
      <c r="E1011" s="737" t="n"/>
      <c r="F1011" s="737" t="n"/>
      <c r="G1011" s="737" t="n"/>
      <c r="H1011" s="737" t="n"/>
      <c r="I1011" s="737" t="n"/>
      <c r="J1011" s="737" t="n"/>
      <c r="K1011" s="737" t="n"/>
      <c r="L1011" s="737" t="n"/>
      <c r="M1011" s="737" t="n"/>
      <c r="N1011" s="737" t="n"/>
      <c r="O1011" s="737" t="n"/>
      <c r="P1011" s="737" t="n"/>
      <c r="Q1011" s="737" t="n"/>
      <c r="R1011" s="737" t="n"/>
      <c r="S1011" s="737" t="n"/>
      <c r="T1011" s="737" t="n"/>
      <c r="U1011" s="737" t="n"/>
      <c r="V1011" s="737" t="n"/>
      <c r="W1011" s="737" t="n"/>
      <c r="X1011" s="737" t="n"/>
      <c r="Y1011" s="737" t="n"/>
      <c r="Z1011" s="737" t="n"/>
      <c r="AA1011" s="737" t="n"/>
      <c r="AB1011" s="737" t="n"/>
      <c r="AC1011" s="737" t="n"/>
      <c r="AD1011" s="737" t="n"/>
      <c r="AE1011" s="737" t="n"/>
      <c r="AF1011" s="737" t="n"/>
      <c r="AG1011" s="737" t="n"/>
      <c r="AH1011" s="737" t="n"/>
      <c r="AI1011" s="737" t="n"/>
      <c r="AJ1011" s="737" t="n"/>
      <c r="AK1011" s="588" t="n"/>
      <c r="AL1011" s="588" t="n"/>
      <c r="AM1011" s="588" t="n"/>
      <c r="AN1011" s="588" t="n"/>
      <c r="AO1011" s="588" t="n"/>
      <c r="AP1011" s="588" t="n"/>
      <c r="AQ1011" s="588" t="n"/>
      <c r="AR1011" s="588" t="n"/>
      <c r="AS1011" s="588" t="n"/>
      <c r="AT1011" s="588" t="n"/>
      <c r="AU1011" s="588" t="n"/>
      <c r="AV1011" s="588" t="n"/>
      <c r="AW1011" s="588" t="n"/>
      <c r="AX1011" s="588" t="n"/>
      <c r="AY1011" s="588" t="n"/>
      <c r="AZ1011" s="588" t="n"/>
      <c r="BA1011" s="588" t="n"/>
      <c r="BB1011" s="588" t="n"/>
      <c r="BC1011" s="588" t="n"/>
      <c r="BD1011" s="588" t="n"/>
      <c r="BE1011" s="588" t="n"/>
      <c r="BF1011" s="588" t="n"/>
      <c r="BG1011" s="588" t="n"/>
      <c r="BH1011" s="588" t="n"/>
      <c r="BI1011" s="588" t="n"/>
      <c r="BJ1011" s="588" t="n"/>
      <c r="BK1011" s="588" t="n"/>
      <c r="BL1011" s="588" t="n"/>
      <c r="BM1011" s="588" t="n"/>
      <c r="BN1011" s="588" t="n"/>
      <c r="BO1011" s="588" t="n"/>
      <c r="BP1011" s="588" t="n"/>
      <c r="BQ1011" s="588" t="n"/>
      <c r="BR1011" s="588" t="n"/>
      <c r="BS1011" s="588" t="n"/>
      <c r="BT1011" s="588" t="n"/>
      <c r="BU1011" s="588" t="n"/>
      <c r="BV1011" s="588" t="n"/>
      <c r="BW1011" s="588" t="n"/>
      <c r="BX1011" s="588" t="n"/>
      <c r="BY1011" s="588" t="n"/>
      <c r="BZ1011" s="588" t="n"/>
      <c r="CA1011" s="588" t="n"/>
      <c r="CB1011" s="588" t="n"/>
      <c r="CC1011" s="588" t="n"/>
      <c r="CD1011" s="588" t="n"/>
      <c r="CE1011" s="588" t="n"/>
      <c r="CF1011" s="588" t="n"/>
      <c r="CG1011" s="588" t="n"/>
      <c r="CH1011" s="588" t="n"/>
      <c r="CI1011" s="588" t="n"/>
      <c r="CJ1011" s="588" t="n"/>
      <c r="CK1011" s="588" t="n"/>
      <c r="CL1011" s="588" t="n"/>
      <c r="CM1011" s="588" t="n"/>
      <c r="CN1011" s="588" t="n"/>
      <c r="CO1011" s="588" t="n"/>
      <c r="CP1011" s="588" t="n"/>
      <c r="CQ1011" s="588" t="n"/>
      <c r="CR1011" s="588" t="n"/>
      <c r="CS1011" s="588" t="n"/>
      <c r="CT1011" s="588" t="n"/>
      <c r="CU1011" s="588" t="n"/>
      <c r="CV1011" s="588" t="n"/>
      <c r="CW1011" s="588" t="n"/>
      <c r="CX1011" s="588" t="n"/>
      <c r="CY1011" s="588" t="n"/>
      <c r="CZ1011" s="588" t="n"/>
      <c r="DA1011" s="588" t="n"/>
      <c r="DB1011" s="588" t="n"/>
      <c r="DC1011" s="588" t="n"/>
      <c r="DD1011" s="588" t="n"/>
      <c r="DE1011" s="588" t="n"/>
      <c r="DF1011" s="588" t="n"/>
      <c r="DG1011" s="588" t="n"/>
      <c r="DH1011" s="588" t="n"/>
      <c r="DI1011" s="588" t="n"/>
      <c r="DJ1011" s="588" t="n"/>
      <c r="DK1011" s="588" t="n"/>
      <c r="DL1011" s="588" t="n"/>
      <c r="DM1011" s="588" t="n"/>
      <c r="DN1011" s="588" t="n"/>
      <c r="DO1011" s="588" t="n"/>
      <c r="DP1011" s="588" t="n"/>
      <c r="DQ1011" s="588" t="n"/>
      <c r="DR1011" s="588" t="n"/>
      <c r="DS1011" s="588" t="n"/>
      <c r="DT1011" s="588" t="n"/>
      <c r="DU1011" s="588" t="n"/>
    </row>
    <row r="1012">
      <c r="A1012" s="737" t="n"/>
      <c r="B1012" s="737" t="n"/>
      <c r="C1012" s="737" t="n"/>
      <c r="D1012" s="737" t="n"/>
      <c r="E1012" s="737" t="n"/>
      <c r="F1012" s="737" t="n"/>
      <c r="G1012" s="737" t="n"/>
      <c r="H1012" s="737" t="n"/>
      <c r="I1012" s="737" t="n"/>
      <c r="J1012" s="737" t="n"/>
      <c r="K1012" s="737" t="n"/>
      <c r="L1012" s="737" t="n"/>
      <c r="M1012" s="737" t="n"/>
      <c r="N1012" s="737" t="n"/>
      <c r="O1012" s="737" t="n"/>
      <c r="P1012" s="737" t="n"/>
      <c r="Q1012" s="737" t="n"/>
      <c r="R1012" s="737" t="n"/>
      <c r="S1012" s="737" t="n"/>
      <c r="T1012" s="737" t="n"/>
      <c r="U1012" s="737" t="n"/>
      <c r="V1012" s="737" t="n"/>
      <c r="W1012" s="737" t="n"/>
      <c r="X1012" s="737" t="n"/>
      <c r="Y1012" s="737" t="n"/>
      <c r="Z1012" s="737" t="n"/>
      <c r="AA1012" s="737" t="n"/>
      <c r="AB1012" s="737" t="n"/>
      <c r="AC1012" s="737" t="n"/>
      <c r="AD1012" s="737" t="n"/>
      <c r="AE1012" s="737" t="n"/>
      <c r="AF1012" s="737" t="n"/>
      <c r="AG1012" s="737" t="n"/>
      <c r="AH1012" s="737" t="n"/>
      <c r="AI1012" s="737" t="n"/>
      <c r="AJ1012" s="737" t="n"/>
      <c r="AK1012" s="588" t="n"/>
      <c r="AL1012" s="588" t="n"/>
      <c r="AM1012" s="588" t="n"/>
      <c r="AN1012" s="588" t="n"/>
      <c r="AO1012" s="588" t="n"/>
      <c r="AP1012" s="588" t="n"/>
      <c r="AQ1012" s="588" t="n"/>
      <c r="AR1012" s="588" t="n"/>
      <c r="AS1012" s="588" t="n"/>
      <c r="AT1012" s="588" t="n"/>
      <c r="AU1012" s="588" t="n"/>
      <c r="AV1012" s="588" t="n"/>
      <c r="AW1012" s="588" t="n"/>
      <c r="AX1012" s="588" t="n"/>
      <c r="AY1012" s="588" t="n"/>
      <c r="AZ1012" s="588" t="n"/>
      <c r="BA1012" s="588" t="n"/>
      <c r="BB1012" s="588" t="n"/>
      <c r="BC1012" s="588" t="n"/>
      <c r="BD1012" s="588" t="n"/>
      <c r="BE1012" s="588" t="n"/>
      <c r="BF1012" s="588" t="n"/>
      <c r="BG1012" s="588" t="n"/>
      <c r="BH1012" s="588" t="n"/>
      <c r="BI1012" s="588" t="n"/>
      <c r="BJ1012" s="588" t="n"/>
      <c r="BK1012" s="588" t="n"/>
      <c r="BL1012" s="588" t="n"/>
      <c r="BM1012" s="588" t="n"/>
      <c r="BN1012" s="588" t="n"/>
      <c r="BO1012" s="588" t="n"/>
      <c r="BP1012" s="588" t="n"/>
      <c r="BQ1012" s="588" t="n"/>
      <c r="BR1012" s="588" t="n"/>
      <c r="BS1012" s="588" t="n"/>
      <c r="BT1012" s="588" t="n"/>
      <c r="BU1012" s="588" t="n"/>
      <c r="BV1012" s="588" t="n"/>
      <c r="BW1012" s="588" t="n"/>
      <c r="BX1012" s="588" t="n"/>
      <c r="BY1012" s="588" t="n"/>
      <c r="BZ1012" s="588" t="n"/>
      <c r="CA1012" s="588" t="n"/>
      <c r="CB1012" s="588" t="n"/>
      <c r="CC1012" s="588" t="n"/>
      <c r="CD1012" s="588" t="n"/>
      <c r="CE1012" s="588" t="n"/>
      <c r="CF1012" s="588" t="n"/>
      <c r="CG1012" s="588" t="n"/>
      <c r="CH1012" s="588" t="n"/>
      <c r="CI1012" s="588" t="n"/>
      <c r="CJ1012" s="588" t="n"/>
      <c r="CK1012" s="588" t="n"/>
      <c r="CL1012" s="588" t="n"/>
      <c r="CM1012" s="588" t="n"/>
      <c r="CN1012" s="588" t="n"/>
      <c r="CO1012" s="588" t="n"/>
      <c r="CP1012" s="588" t="n"/>
      <c r="CQ1012" s="588" t="n"/>
      <c r="CR1012" s="588" t="n"/>
      <c r="CS1012" s="588" t="n"/>
      <c r="CT1012" s="588" t="n"/>
      <c r="CU1012" s="588" t="n"/>
      <c r="CV1012" s="588" t="n"/>
      <c r="CW1012" s="588" t="n"/>
      <c r="CX1012" s="588" t="n"/>
      <c r="CY1012" s="588" t="n"/>
      <c r="CZ1012" s="588" t="n"/>
      <c r="DA1012" s="588" t="n"/>
      <c r="DB1012" s="588" t="n"/>
      <c r="DC1012" s="588" t="n"/>
      <c r="DD1012" s="588" t="n"/>
      <c r="DE1012" s="588" t="n"/>
      <c r="DF1012" s="588" t="n"/>
      <c r="DG1012" s="588" t="n"/>
      <c r="DH1012" s="588" t="n"/>
      <c r="DI1012" s="588" t="n"/>
      <c r="DJ1012" s="588" t="n"/>
      <c r="DK1012" s="588" t="n"/>
      <c r="DL1012" s="588" t="n"/>
      <c r="DM1012" s="588" t="n"/>
      <c r="DN1012" s="588" t="n"/>
      <c r="DO1012" s="588" t="n"/>
      <c r="DP1012" s="588" t="n"/>
      <c r="DQ1012" s="588" t="n"/>
      <c r="DR1012" s="588" t="n"/>
      <c r="DS1012" s="588" t="n"/>
      <c r="DT1012" s="588" t="n"/>
      <c r="DU1012" s="588" t="n"/>
    </row>
    <row r="1013">
      <c r="A1013" s="737" t="n"/>
      <c r="B1013" s="737" t="n"/>
      <c r="C1013" s="737" t="n"/>
      <c r="D1013" s="737" t="n"/>
      <c r="E1013" s="737" t="n"/>
      <c r="F1013" s="737" t="n"/>
      <c r="G1013" s="737" t="n"/>
      <c r="H1013" s="737" t="n"/>
      <c r="I1013" s="737" t="n"/>
      <c r="J1013" s="737" t="n"/>
      <c r="K1013" s="737" t="n"/>
      <c r="L1013" s="737" t="n"/>
      <c r="M1013" s="737" t="n"/>
      <c r="N1013" s="737" t="n"/>
      <c r="O1013" s="737" t="n"/>
      <c r="P1013" s="737" t="n"/>
      <c r="Q1013" s="737" t="n"/>
      <c r="R1013" s="737" t="n"/>
      <c r="S1013" s="737" t="n"/>
      <c r="T1013" s="737" t="n"/>
      <c r="U1013" s="737" t="n"/>
      <c r="V1013" s="737" t="n"/>
      <c r="W1013" s="737" t="n"/>
      <c r="X1013" s="737" t="n"/>
      <c r="Y1013" s="737" t="n"/>
      <c r="Z1013" s="737" t="n"/>
      <c r="AA1013" s="737" t="n"/>
      <c r="AB1013" s="737" t="n"/>
      <c r="AC1013" s="737" t="n"/>
      <c r="AD1013" s="737" t="n"/>
      <c r="AE1013" s="737" t="n"/>
      <c r="AF1013" s="737" t="n"/>
      <c r="AG1013" s="737" t="n"/>
      <c r="AH1013" s="737" t="n"/>
      <c r="AI1013" s="737" t="n"/>
      <c r="AJ1013" s="737" t="n"/>
      <c r="AK1013" s="588" t="n"/>
      <c r="AL1013" s="588" t="n"/>
      <c r="AM1013" s="588" t="n"/>
      <c r="AN1013" s="588" t="n"/>
      <c r="AO1013" s="588" t="n"/>
      <c r="AP1013" s="588" t="n"/>
      <c r="AQ1013" s="588" t="n"/>
      <c r="AR1013" s="588" t="n"/>
      <c r="AS1013" s="588" t="n"/>
      <c r="AT1013" s="588" t="n"/>
      <c r="AU1013" s="588" t="n"/>
      <c r="AV1013" s="588" t="n"/>
      <c r="AW1013" s="588" t="n"/>
      <c r="AX1013" s="588" t="n"/>
      <c r="AY1013" s="588" t="n"/>
      <c r="AZ1013" s="588" t="n"/>
      <c r="BA1013" s="588" t="n"/>
      <c r="BB1013" s="588" t="n"/>
      <c r="BC1013" s="588" t="n"/>
      <c r="BD1013" s="588" t="n"/>
      <c r="BE1013" s="588" t="n"/>
      <c r="BF1013" s="588" t="n"/>
      <c r="BG1013" s="588" t="n"/>
      <c r="BH1013" s="588" t="n"/>
      <c r="BI1013" s="588" t="n"/>
      <c r="BJ1013" s="588" t="n"/>
      <c r="BK1013" s="588" t="n"/>
      <c r="BL1013" s="588" t="n"/>
      <c r="BM1013" s="588" t="n"/>
      <c r="BN1013" s="588" t="n"/>
      <c r="BO1013" s="588" t="n"/>
      <c r="BP1013" s="588" t="n"/>
      <c r="BQ1013" s="588" t="n"/>
      <c r="BR1013" s="588" t="n"/>
      <c r="BS1013" s="588" t="n"/>
      <c r="BT1013" s="588" t="n"/>
      <c r="BU1013" s="588" t="n"/>
      <c r="BV1013" s="588" t="n"/>
      <c r="BW1013" s="588" t="n"/>
      <c r="BX1013" s="588" t="n"/>
      <c r="BY1013" s="588" t="n"/>
      <c r="BZ1013" s="588" t="n"/>
      <c r="CA1013" s="588" t="n"/>
      <c r="CB1013" s="588" t="n"/>
      <c r="CC1013" s="588" t="n"/>
      <c r="CD1013" s="588" t="n"/>
      <c r="CE1013" s="588" t="n"/>
      <c r="CF1013" s="588" t="n"/>
      <c r="CG1013" s="588" t="n"/>
      <c r="CH1013" s="588" t="n"/>
      <c r="CI1013" s="588" t="n"/>
      <c r="CJ1013" s="588" t="n"/>
      <c r="CK1013" s="588" t="n"/>
      <c r="CL1013" s="588" t="n"/>
      <c r="CM1013" s="588" t="n"/>
      <c r="CN1013" s="588" t="n"/>
      <c r="CO1013" s="588" t="n"/>
      <c r="CP1013" s="588" t="n"/>
      <c r="CQ1013" s="588" t="n"/>
      <c r="CR1013" s="588" t="n"/>
      <c r="CS1013" s="588" t="n"/>
      <c r="CT1013" s="588" t="n"/>
      <c r="CU1013" s="588" t="n"/>
      <c r="CV1013" s="588" t="n"/>
      <c r="CW1013" s="588" t="n"/>
      <c r="CX1013" s="588" t="n"/>
      <c r="CY1013" s="588" t="n"/>
      <c r="CZ1013" s="588" t="n"/>
      <c r="DA1013" s="588" t="n"/>
      <c r="DB1013" s="588" t="n"/>
      <c r="DC1013" s="588" t="n"/>
      <c r="DD1013" s="588" t="n"/>
      <c r="DE1013" s="588" t="n"/>
      <c r="DF1013" s="588" t="n"/>
      <c r="DG1013" s="588" t="n"/>
      <c r="DH1013" s="588" t="n"/>
      <c r="DI1013" s="588" t="n"/>
      <c r="DJ1013" s="588" t="n"/>
      <c r="DK1013" s="588" t="n"/>
      <c r="DL1013" s="588" t="n"/>
      <c r="DM1013" s="588" t="n"/>
      <c r="DN1013" s="588" t="n"/>
      <c r="DO1013" s="588" t="n"/>
      <c r="DP1013" s="588" t="n"/>
      <c r="DQ1013" s="588" t="n"/>
      <c r="DR1013" s="588" t="n"/>
      <c r="DS1013" s="588" t="n"/>
      <c r="DT1013" s="588" t="n"/>
      <c r="DU1013" s="588" t="n"/>
    </row>
    <row r="1014">
      <c r="A1014" s="737" t="n"/>
      <c r="B1014" s="737" t="n"/>
      <c r="C1014" s="737" t="n"/>
      <c r="D1014" s="737" t="n"/>
      <c r="E1014" s="737" t="n"/>
      <c r="F1014" s="737" t="n"/>
      <c r="G1014" s="737" t="n"/>
      <c r="H1014" s="737" t="n"/>
      <c r="I1014" s="737" t="n"/>
      <c r="J1014" s="737" t="n"/>
      <c r="K1014" s="737" t="n"/>
      <c r="L1014" s="737" t="n"/>
      <c r="M1014" s="737" t="n"/>
      <c r="N1014" s="737" t="n"/>
      <c r="O1014" s="737" t="n"/>
      <c r="P1014" s="737" t="n"/>
      <c r="Q1014" s="737" t="n"/>
      <c r="R1014" s="737" t="n"/>
      <c r="S1014" s="737" t="n"/>
      <c r="T1014" s="737" t="n"/>
      <c r="U1014" s="737" t="n"/>
      <c r="V1014" s="737" t="n"/>
      <c r="W1014" s="737" t="n"/>
      <c r="X1014" s="737" t="n"/>
      <c r="Y1014" s="737" t="n"/>
      <c r="Z1014" s="737" t="n"/>
      <c r="AA1014" s="737" t="n"/>
      <c r="AB1014" s="737" t="n"/>
      <c r="AC1014" s="737" t="n"/>
      <c r="AD1014" s="737" t="n"/>
      <c r="AE1014" s="737" t="n"/>
      <c r="AF1014" s="737" t="n"/>
      <c r="AG1014" s="737" t="n"/>
      <c r="AH1014" s="737" t="n"/>
      <c r="AI1014" s="737" t="n"/>
      <c r="AJ1014" s="737" t="n"/>
      <c r="AK1014" s="588" t="n"/>
      <c r="AL1014" s="588" t="n"/>
      <c r="AM1014" s="588" t="n"/>
      <c r="AN1014" s="588" t="n"/>
      <c r="AO1014" s="588" t="n"/>
      <c r="AP1014" s="588" t="n"/>
      <c r="AQ1014" s="588" t="n"/>
      <c r="AR1014" s="588" t="n"/>
      <c r="AS1014" s="588" t="n"/>
      <c r="AT1014" s="588" t="n"/>
      <c r="AU1014" s="588" t="n"/>
      <c r="AV1014" s="588" t="n"/>
      <c r="AW1014" s="588" t="n"/>
      <c r="AX1014" s="588" t="n"/>
      <c r="AY1014" s="588" t="n"/>
      <c r="AZ1014" s="588" t="n"/>
      <c r="BA1014" s="588" t="n"/>
      <c r="BB1014" s="588" t="n"/>
      <c r="BC1014" s="588" t="n"/>
      <c r="BD1014" s="588" t="n"/>
      <c r="BE1014" s="588" t="n"/>
      <c r="BF1014" s="588" t="n"/>
      <c r="BG1014" s="588" t="n"/>
      <c r="BH1014" s="588" t="n"/>
      <c r="BI1014" s="588" t="n"/>
      <c r="BJ1014" s="588" t="n"/>
      <c r="BK1014" s="588" t="n"/>
      <c r="BL1014" s="588" t="n"/>
      <c r="BM1014" s="588" t="n"/>
      <c r="BN1014" s="588" t="n"/>
      <c r="BO1014" s="588" t="n"/>
      <c r="BP1014" s="588" t="n"/>
      <c r="BQ1014" s="588" t="n"/>
      <c r="BR1014" s="588" t="n"/>
      <c r="BS1014" s="588" t="n"/>
      <c r="BT1014" s="588" t="n"/>
      <c r="BU1014" s="588" t="n"/>
      <c r="BV1014" s="588" t="n"/>
      <c r="BW1014" s="588" t="n"/>
      <c r="BX1014" s="588" t="n"/>
      <c r="BY1014" s="588" t="n"/>
      <c r="BZ1014" s="588" t="n"/>
      <c r="CA1014" s="588" t="n"/>
      <c r="CB1014" s="588" t="n"/>
      <c r="CC1014" s="588" t="n"/>
      <c r="CD1014" s="588" t="n"/>
      <c r="CE1014" s="588" t="n"/>
      <c r="CF1014" s="588" t="n"/>
      <c r="CG1014" s="588" t="n"/>
      <c r="CH1014" s="588" t="n"/>
      <c r="CI1014" s="588" t="n"/>
      <c r="CJ1014" s="588" t="n"/>
      <c r="CK1014" s="588" t="n"/>
      <c r="CL1014" s="588" t="n"/>
      <c r="CM1014" s="588" t="n"/>
      <c r="CN1014" s="588" t="n"/>
      <c r="CO1014" s="588" t="n"/>
      <c r="CP1014" s="588" t="n"/>
      <c r="CQ1014" s="588" t="n"/>
      <c r="CR1014" s="588" t="n"/>
      <c r="CS1014" s="588" t="n"/>
      <c r="CT1014" s="588" t="n"/>
      <c r="CU1014" s="588" t="n"/>
      <c r="CV1014" s="588" t="n"/>
      <c r="CW1014" s="588" t="n"/>
      <c r="CX1014" s="588" t="n"/>
      <c r="CY1014" s="588" t="n"/>
      <c r="CZ1014" s="588" t="n"/>
      <c r="DA1014" s="588" t="n"/>
      <c r="DB1014" s="588" t="n"/>
      <c r="DC1014" s="588" t="n"/>
      <c r="DD1014" s="588" t="n"/>
      <c r="DE1014" s="588" t="n"/>
      <c r="DF1014" s="588" t="n"/>
      <c r="DG1014" s="588" t="n"/>
      <c r="DH1014" s="588" t="n"/>
      <c r="DI1014" s="588" t="n"/>
      <c r="DJ1014" s="588" t="n"/>
      <c r="DK1014" s="588" t="n"/>
      <c r="DL1014" s="588" t="n"/>
      <c r="DM1014" s="588" t="n"/>
      <c r="DN1014" s="588" t="n"/>
      <c r="DO1014" s="588" t="n"/>
      <c r="DP1014" s="588" t="n"/>
      <c r="DQ1014" s="588" t="n"/>
      <c r="DR1014" s="588" t="n"/>
      <c r="DS1014" s="588" t="n"/>
      <c r="DT1014" s="588" t="n"/>
      <c r="DU1014" s="588" t="n"/>
    </row>
    <row r="1015">
      <c r="A1015" s="737" t="n"/>
      <c r="B1015" s="737" t="n"/>
      <c r="C1015" s="737" t="n"/>
      <c r="D1015" s="737" t="n"/>
      <c r="E1015" s="737" t="n"/>
      <c r="F1015" s="737" t="n"/>
      <c r="G1015" s="737" t="n"/>
      <c r="H1015" s="737" t="n"/>
      <c r="I1015" s="737" t="n"/>
      <c r="J1015" s="737" t="n"/>
      <c r="K1015" s="737" t="n"/>
      <c r="L1015" s="737" t="n"/>
      <c r="M1015" s="737" t="n"/>
      <c r="N1015" s="737" t="n"/>
      <c r="O1015" s="737" t="n"/>
      <c r="P1015" s="737" t="n"/>
      <c r="Q1015" s="737" t="n"/>
      <c r="R1015" s="737" t="n"/>
      <c r="S1015" s="737" t="n"/>
      <c r="T1015" s="737" t="n"/>
      <c r="U1015" s="737" t="n"/>
      <c r="V1015" s="737" t="n"/>
      <c r="W1015" s="737" t="n"/>
      <c r="X1015" s="737" t="n"/>
      <c r="Y1015" s="737" t="n"/>
      <c r="Z1015" s="737" t="n"/>
      <c r="AA1015" s="737" t="n"/>
      <c r="AB1015" s="737" t="n"/>
      <c r="AC1015" s="737" t="n"/>
      <c r="AD1015" s="737" t="n"/>
      <c r="AE1015" s="737" t="n"/>
      <c r="AF1015" s="737" t="n"/>
      <c r="AG1015" s="737" t="n"/>
      <c r="AH1015" s="737" t="n"/>
      <c r="AI1015" s="737" t="n"/>
      <c r="AJ1015" s="737" t="n"/>
      <c r="AK1015" s="588" t="n"/>
      <c r="AL1015" s="588" t="n"/>
      <c r="AM1015" s="588" t="n"/>
      <c r="AN1015" s="588" t="n"/>
      <c r="AO1015" s="588" t="n"/>
      <c r="AP1015" s="588" t="n"/>
      <c r="AQ1015" s="588" t="n"/>
      <c r="AR1015" s="588" t="n"/>
      <c r="AS1015" s="588" t="n"/>
      <c r="AT1015" s="588" t="n"/>
      <c r="AU1015" s="588" t="n"/>
      <c r="AV1015" s="588" t="n"/>
      <c r="AW1015" s="588" t="n"/>
      <c r="AX1015" s="588" t="n"/>
      <c r="AY1015" s="588" t="n"/>
      <c r="AZ1015" s="588" t="n"/>
      <c r="BA1015" s="588" t="n"/>
      <c r="BB1015" s="588" t="n"/>
      <c r="BC1015" s="588" t="n"/>
      <c r="BD1015" s="588" t="n"/>
      <c r="BE1015" s="588" t="n"/>
      <c r="BF1015" s="588" t="n"/>
      <c r="BG1015" s="588" t="n"/>
      <c r="BH1015" s="588" t="n"/>
      <c r="BI1015" s="588" t="n"/>
      <c r="BJ1015" s="588" t="n"/>
      <c r="BK1015" s="588" t="n"/>
      <c r="BL1015" s="588" t="n"/>
      <c r="BM1015" s="588" t="n"/>
      <c r="BN1015" s="588" t="n"/>
      <c r="BO1015" s="588" t="n"/>
      <c r="BP1015" s="588" t="n"/>
      <c r="BQ1015" s="588" t="n"/>
      <c r="BR1015" s="588" t="n"/>
      <c r="BS1015" s="588" t="n"/>
      <c r="BT1015" s="588" t="n"/>
      <c r="BU1015" s="588" t="n"/>
      <c r="BV1015" s="588" t="n"/>
      <c r="BW1015" s="588" t="n"/>
      <c r="BX1015" s="588" t="n"/>
      <c r="BY1015" s="588" t="n"/>
      <c r="BZ1015" s="588" t="n"/>
      <c r="CA1015" s="588" t="n"/>
      <c r="CB1015" s="588" t="n"/>
      <c r="CC1015" s="588" t="n"/>
      <c r="CD1015" s="588" t="n"/>
      <c r="CE1015" s="588" t="n"/>
      <c r="CF1015" s="588" t="n"/>
      <c r="CG1015" s="588" t="n"/>
      <c r="CH1015" s="588" t="n"/>
      <c r="CI1015" s="588" t="n"/>
      <c r="CJ1015" s="588" t="n"/>
      <c r="CK1015" s="588" t="n"/>
      <c r="CL1015" s="588" t="n"/>
      <c r="CM1015" s="588" t="n"/>
      <c r="CN1015" s="588" t="n"/>
      <c r="CO1015" s="588" t="n"/>
      <c r="CP1015" s="588" t="n"/>
      <c r="CQ1015" s="588" t="n"/>
      <c r="CR1015" s="588" t="n"/>
      <c r="CS1015" s="588" t="n"/>
      <c r="CT1015" s="588" t="n"/>
      <c r="CU1015" s="588" t="n"/>
      <c r="CV1015" s="588" t="n"/>
      <c r="CW1015" s="588" t="n"/>
      <c r="CX1015" s="588" t="n"/>
      <c r="CY1015" s="588" t="n"/>
      <c r="CZ1015" s="588" t="n"/>
      <c r="DA1015" s="588" t="n"/>
      <c r="DB1015" s="588" t="n"/>
      <c r="DC1015" s="588" t="n"/>
      <c r="DD1015" s="588" t="n"/>
      <c r="DE1015" s="588" t="n"/>
      <c r="DF1015" s="588" t="n"/>
      <c r="DG1015" s="588" t="n"/>
      <c r="DH1015" s="588" t="n"/>
      <c r="DI1015" s="588" t="n"/>
      <c r="DJ1015" s="588" t="n"/>
      <c r="DK1015" s="588" t="n"/>
      <c r="DL1015" s="588" t="n"/>
      <c r="DM1015" s="588" t="n"/>
      <c r="DN1015" s="588" t="n"/>
      <c r="DO1015" s="588" t="n"/>
      <c r="DP1015" s="588" t="n"/>
      <c r="DQ1015" s="588" t="n"/>
      <c r="DR1015" s="588" t="n"/>
      <c r="DS1015" s="588" t="n"/>
      <c r="DT1015" s="588" t="n"/>
      <c r="DU1015" s="588" t="n"/>
    </row>
    <row r="1016">
      <c r="A1016" s="737" t="n"/>
      <c r="B1016" s="737" t="n"/>
      <c r="C1016" s="737" t="n"/>
      <c r="D1016" s="737" t="n"/>
      <c r="E1016" s="737" t="n"/>
      <c r="F1016" s="737" t="n"/>
      <c r="G1016" s="737" t="n"/>
      <c r="H1016" s="737" t="n"/>
      <c r="I1016" s="737" t="n"/>
      <c r="J1016" s="737" t="n"/>
      <c r="K1016" s="737" t="n"/>
      <c r="L1016" s="737" t="n"/>
      <c r="M1016" s="737" t="n"/>
      <c r="N1016" s="737" t="n"/>
      <c r="O1016" s="737" t="n"/>
      <c r="P1016" s="737" t="n"/>
      <c r="Q1016" s="737" t="n"/>
      <c r="R1016" s="737" t="n"/>
      <c r="S1016" s="737" t="n"/>
      <c r="T1016" s="737" t="n"/>
      <c r="U1016" s="737" t="n"/>
      <c r="V1016" s="737" t="n"/>
      <c r="W1016" s="737" t="n"/>
      <c r="X1016" s="737" t="n"/>
      <c r="Y1016" s="737" t="n"/>
      <c r="Z1016" s="737" t="n"/>
      <c r="AA1016" s="737" t="n"/>
      <c r="AB1016" s="737" t="n"/>
      <c r="AC1016" s="737" t="n"/>
      <c r="AD1016" s="737" t="n"/>
      <c r="AE1016" s="737" t="n"/>
      <c r="AF1016" s="737" t="n"/>
      <c r="AG1016" s="737" t="n"/>
      <c r="AH1016" s="737" t="n"/>
      <c r="AI1016" s="737" t="n"/>
      <c r="AJ1016" s="737" t="n"/>
      <c r="AK1016" s="588" t="n"/>
      <c r="AL1016" s="588" t="n"/>
      <c r="AM1016" s="588" t="n"/>
      <c r="AN1016" s="588" t="n"/>
      <c r="AO1016" s="588" t="n"/>
      <c r="AP1016" s="588" t="n"/>
      <c r="AQ1016" s="588" t="n"/>
      <c r="AR1016" s="588" t="n"/>
      <c r="AS1016" s="588" t="n"/>
      <c r="AT1016" s="588" t="n"/>
      <c r="AU1016" s="588" t="n"/>
      <c r="AV1016" s="588" t="n"/>
      <c r="AW1016" s="588" t="n"/>
      <c r="AX1016" s="588" t="n"/>
      <c r="AY1016" s="588" t="n"/>
      <c r="AZ1016" s="588" t="n"/>
      <c r="BA1016" s="588" t="n"/>
      <c r="BB1016" s="588" t="n"/>
      <c r="BC1016" s="588" t="n"/>
      <c r="BD1016" s="588" t="n"/>
      <c r="BE1016" s="588" t="n"/>
      <c r="BF1016" s="588" t="n"/>
      <c r="BG1016" s="588" t="n"/>
      <c r="BH1016" s="588" t="n"/>
      <c r="BI1016" s="588" t="n"/>
      <c r="BJ1016" s="588" t="n"/>
      <c r="BK1016" s="588" t="n"/>
      <c r="BL1016" s="588" t="n"/>
      <c r="BM1016" s="588" t="n"/>
      <c r="BN1016" s="588" t="n"/>
      <c r="BO1016" s="588" t="n"/>
      <c r="BP1016" s="588" t="n"/>
      <c r="BQ1016" s="588" t="n"/>
      <c r="BR1016" s="588" t="n"/>
      <c r="BS1016" s="588" t="n"/>
      <c r="BT1016" s="588" t="n"/>
      <c r="BU1016" s="588" t="n"/>
      <c r="BV1016" s="588" t="n"/>
      <c r="BW1016" s="588" t="n"/>
      <c r="BX1016" s="588" t="n"/>
      <c r="BY1016" s="588" t="n"/>
      <c r="BZ1016" s="588" t="n"/>
      <c r="CA1016" s="588" t="n"/>
      <c r="CB1016" s="588" t="n"/>
      <c r="CC1016" s="588" t="n"/>
      <c r="CD1016" s="588" t="n"/>
      <c r="CE1016" s="588" t="n"/>
      <c r="CF1016" s="588" t="n"/>
      <c r="CG1016" s="588" t="n"/>
      <c r="CH1016" s="588" t="n"/>
      <c r="CI1016" s="588" t="n"/>
      <c r="CJ1016" s="588" t="n"/>
      <c r="CK1016" s="588" t="n"/>
      <c r="CL1016" s="588" t="n"/>
      <c r="CM1016" s="588" t="n"/>
      <c r="CN1016" s="588" t="n"/>
      <c r="CO1016" s="588" t="n"/>
      <c r="CP1016" s="588" t="n"/>
      <c r="CQ1016" s="588" t="n"/>
      <c r="CR1016" s="588" t="n"/>
      <c r="CS1016" s="588" t="n"/>
      <c r="CT1016" s="588" t="n"/>
      <c r="CU1016" s="588" t="n"/>
      <c r="CV1016" s="588" t="n"/>
      <c r="CW1016" s="588" t="n"/>
      <c r="CX1016" s="588" t="n"/>
      <c r="CY1016" s="588" t="n"/>
      <c r="CZ1016" s="588" t="n"/>
      <c r="DA1016" s="588" t="n"/>
      <c r="DB1016" s="588" t="n"/>
      <c r="DC1016" s="588" t="n"/>
      <c r="DD1016" s="588" t="n"/>
      <c r="DE1016" s="588" t="n"/>
      <c r="DF1016" s="588" t="n"/>
      <c r="DG1016" s="588" t="n"/>
      <c r="DH1016" s="588" t="n"/>
      <c r="DI1016" s="588" t="n"/>
      <c r="DJ1016" s="588" t="n"/>
      <c r="DK1016" s="588" t="n"/>
      <c r="DL1016" s="588" t="n"/>
      <c r="DM1016" s="588" t="n"/>
      <c r="DN1016" s="588" t="n"/>
      <c r="DO1016" s="588" t="n"/>
      <c r="DP1016" s="588" t="n"/>
      <c r="DQ1016" s="588" t="n"/>
      <c r="DR1016" s="588" t="n"/>
      <c r="DS1016" s="588" t="n"/>
      <c r="DT1016" s="588" t="n"/>
      <c r="DU1016" s="588" t="n"/>
    </row>
    <row r="1017">
      <c r="A1017" s="737" t="n"/>
      <c r="B1017" s="737" t="n"/>
      <c r="C1017" s="737" t="n"/>
      <c r="D1017" s="737" t="n"/>
      <c r="E1017" s="737" t="n"/>
      <c r="F1017" s="737" t="n"/>
      <c r="G1017" s="737" t="n"/>
      <c r="H1017" s="737" t="n"/>
      <c r="I1017" s="737" t="n"/>
      <c r="J1017" s="737" t="n"/>
      <c r="K1017" s="737" t="n"/>
      <c r="L1017" s="737" t="n"/>
      <c r="M1017" s="737" t="n"/>
      <c r="N1017" s="737" t="n"/>
      <c r="O1017" s="737" t="n"/>
      <c r="P1017" s="737" t="n"/>
      <c r="Q1017" s="737" t="n"/>
      <c r="R1017" s="737" t="n"/>
      <c r="S1017" s="737" t="n"/>
      <c r="T1017" s="737" t="n"/>
      <c r="U1017" s="737" t="n"/>
      <c r="V1017" s="737" t="n"/>
      <c r="W1017" s="737" t="n"/>
      <c r="X1017" s="737" t="n"/>
      <c r="Y1017" s="737" t="n"/>
      <c r="Z1017" s="737" t="n"/>
      <c r="AA1017" s="737" t="n"/>
      <c r="AB1017" s="737" t="n"/>
      <c r="AC1017" s="737" t="n"/>
      <c r="AD1017" s="737" t="n"/>
      <c r="AE1017" s="737" t="n"/>
      <c r="AF1017" s="737" t="n"/>
      <c r="AG1017" s="737" t="n"/>
      <c r="AH1017" s="737" t="n"/>
      <c r="AI1017" s="737" t="n"/>
      <c r="AJ1017" s="737" t="n"/>
      <c r="AK1017" s="588" t="n"/>
      <c r="AL1017" s="588" t="n"/>
      <c r="AM1017" s="588" t="n"/>
      <c r="AN1017" s="588" t="n"/>
      <c r="AO1017" s="588" t="n"/>
      <c r="AP1017" s="588" t="n"/>
      <c r="AQ1017" s="588" t="n"/>
      <c r="AR1017" s="588" t="n"/>
      <c r="AS1017" s="588" t="n"/>
      <c r="AT1017" s="588" t="n"/>
      <c r="AU1017" s="588" t="n"/>
      <c r="AV1017" s="588" t="n"/>
      <c r="AW1017" s="588" t="n"/>
      <c r="AX1017" s="588" t="n"/>
      <c r="AY1017" s="588" t="n"/>
      <c r="AZ1017" s="588" t="n"/>
      <c r="BA1017" s="588" t="n"/>
      <c r="BB1017" s="588" t="n"/>
      <c r="BC1017" s="588" t="n"/>
      <c r="BD1017" s="588" t="n"/>
      <c r="BE1017" s="588" t="n"/>
      <c r="BF1017" s="588" t="n"/>
      <c r="BG1017" s="588" t="n"/>
      <c r="BH1017" s="588" t="n"/>
      <c r="BI1017" s="588" t="n"/>
      <c r="BJ1017" s="588" t="n"/>
      <c r="BK1017" s="588" t="n"/>
      <c r="BL1017" s="588" t="n"/>
      <c r="BM1017" s="588" t="n"/>
      <c r="BN1017" s="588" t="n"/>
      <c r="BO1017" s="588" t="n"/>
      <c r="BP1017" s="588" t="n"/>
      <c r="BQ1017" s="588" t="n"/>
      <c r="BR1017" s="588" t="n"/>
      <c r="BS1017" s="588" t="n"/>
      <c r="BT1017" s="588" t="n"/>
      <c r="BU1017" s="588" t="n"/>
      <c r="BV1017" s="588" t="n"/>
      <c r="BW1017" s="588" t="n"/>
      <c r="BX1017" s="588" t="n"/>
      <c r="BY1017" s="588" t="n"/>
      <c r="BZ1017" s="588" t="n"/>
      <c r="CA1017" s="588" t="n"/>
      <c r="CB1017" s="588" t="n"/>
      <c r="CC1017" s="588" t="n"/>
      <c r="CD1017" s="588" t="n"/>
      <c r="CE1017" s="588" t="n"/>
      <c r="CF1017" s="588" t="n"/>
      <c r="CG1017" s="588" t="n"/>
      <c r="CH1017" s="588" t="n"/>
      <c r="CI1017" s="588" t="n"/>
      <c r="CJ1017" s="588" t="n"/>
      <c r="CK1017" s="588" t="n"/>
      <c r="CL1017" s="588" t="n"/>
      <c r="CM1017" s="588" t="n"/>
      <c r="CN1017" s="588" t="n"/>
      <c r="CO1017" s="588" t="n"/>
      <c r="CP1017" s="588" t="n"/>
      <c r="CQ1017" s="588" t="n"/>
      <c r="CR1017" s="588" t="n"/>
      <c r="CS1017" s="588" t="n"/>
      <c r="CT1017" s="588" t="n"/>
      <c r="CU1017" s="588" t="n"/>
      <c r="CV1017" s="588" t="n"/>
      <c r="CW1017" s="588" t="n"/>
      <c r="CX1017" s="588" t="n"/>
      <c r="CY1017" s="588" t="n"/>
      <c r="CZ1017" s="588" t="n"/>
      <c r="DA1017" s="588" t="n"/>
      <c r="DB1017" s="588" t="n"/>
      <c r="DC1017" s="588" t="n"/>
      <c r="DD1017" s="588" t="n"/>
      <c r="DE1017" s="588" t="n"/>
      <c r="DF1017" s="588" t="n"/>
      <c r="DG1017" s="588" t="n"/>
      <c r="DH1017" s="588" t="n"/>
      <c r="DI1017" s="588" t="n"/>
      <c r="DJ1017" s="588" t="n"/>
      <c r="DK1017" s="588" t="n"/>
      <c r="DL1017" s="588" t="n"/>
      <c r="DM1017" s="588" t="n"/>
      <c r="DN1017" s="588" t="n"/>
      <c r="DO1017" s="588" t="n"/>
      <c r="DP1017" s="588" t="n"/>
      <c r="DQ1017" s="588" t="n"/>
      <c r="DR1017" s="588" t="n"/>
      <c r="DS1017" s="588" t="n"/>
      <c r="DT1017" s="588" t="n"/>
      <c r="DU1017" s="588" t="n"/>
    </row>
    <row r="1018">
      <c r="A1018" s="737" t="n"/>
      <c r="B1018" s="737" t="n"/>
      <c r="C1018" s="737" t="n"/>
      <c r="D1018" s="737" t="n"/>
      <c r="E1018" s="737" t="n"/>
      <c r="F1018" s="737" t="n"/>
      <c r="G1018" s="737" t="n"/>
      <c r="H1018" s="737" t="n"/>
      <c r="I1018" s="737" t="n"/>
      <c r="J1018" s="737" t="n"/>
      <c r="K1018" s="737" t="n"/>
      <c r="L1018" s="737" t="n"/>
      <c r="M1018" s="737" t="n"/>
      <c r="N1018" s="737" t="n"/>
      <c r="O1018" s="737" t="n"/>
      <c r="P1018" s="737" t="n"/>
      <c r="Q1018" s="737" t="n"/>
      <c r="R1018" s="737" t="n"/>
      <c r="S1018" s="737" t="n"/>
      <c r="T1018" s="737" t="n"/>
      <c r="U1018" s="737" t="n"/>
      <c r="V1018" s="737" t="n"/>
      <c r="W1018" s="737" t="n"/>
      <c r="X1018" s="737" t="n"/>
      <c r="Y1018" s="737" t="n"/>
      <c r="Z1018" s="737" t="n"/>
      <c r="AA1018" s="737" t="n"/>
      <c r="AB1018" s="737" t="n"/>
      <c r="AC1018" s="737" t="n"/>
      <c r="AD1018" s="737" t="n"/>
      <c r="AE1018" s="737" t="n"/>
      <c r="AF1018" s="737" t="n"/>
      <c r="AG1018" s="737" t="n"/>
      <c r="AH1018" s="737" t="n"/>
      <c r="AI1018" s="737" t="n"/>
      <c r="AJ1018" s="737" t="n"/>
      <c r="AK1018" s="588" t="n"/>
      <c r="AL1018" s="588" t="n"/>
      <c r="AM1018" s="588" t="n"/>
      <c r="AN1018" s="588" t="n"/>
      <c r="AO1018" s="588" t="n"/>
      <c r="AP1018" s="588" t="n"/>
      <c r="AQ1018" s="588" t="n"/>
      <c r="AR1018" s="588" t="n"/>
      <c r="AS1018" s="588" t="n"/>
      <c r="AT1018" s="588" t="n"/>
      <c r="AU1018" s="588" t="n"/>
      <c r="AV1018" s="588" t="n"/>
      <c r="AW1018" s="588" t="n"/>
      <c r="AX1018" s="588" t="n"/>
      <c r="AY1018" s="588" t="n"/>
      <c r="AZ1018" s="588" t="n"/>
      <c r="BA1018" s="588" t="n"/>
      <c r="BB1018" s="588" t="n"/>
      <c r="BC1018" s="588" t="n"/>
      <c r="BD1018" s="588" t="n"/>
      <c r="BE1018" s="588" t="n"/>
      <c r="BF1018" s="588" t="n"/>
      <c r="BG1018" s="588" t="n"/>
      <c r="BH1018" s="588" t="n"/>
      <c r="BI1018" s="588" t="n"/>
      <c r="BJ1018" s="588" t="n"/>
      <c r="BK1018" s="588" t="n"/>
      <c r="BL1018" s="588" t="n"/>
      <c r="BM1018" s="588" t="n"/>
      <c r="BN1018" s="588" t="n"/>
      <c r="BO1018" s="588" t="n"/>
      <c r="BP1018" s="588" t="n"/>
      <c r="BQ1018" s="588" t="n"/>
      <c r="BR1018" s="588" t="n"/>
      <c r="BS1018" s="588" t="n"/>
      <c r="BT1018" s="588" t="n"/>
      <c r="BU1018" s="588" t="n"/>
      <c r="BV1018" s="588" t="n"/>
      <c r="BW1018" s="588" t="n"/>
      <c r="BX1018" s="588" t="n"/>
      <c r="BY1018" s="588" t="n"/>
      <c r="BZ1018" s="588" t="n"/>
      <c r="CA1018" s="588" t="n"/>
      <c r="CB1018" s="588" t="n"/>
      <c r="CC1018" s="588" t="n"/>
      <c r="CD1018" s="588" t="n"/>
      <c r="CE1018" s="588" t="n"/>
      <c r="CF1018" s="588" t="n"/>
      <c r="CG1018" s="588" t="n"/>
      <c r="CH1018" s="588" t="n"/>
      <c r="CI1018" s="588" t="n"/>
      <c r="CJ1018" s="588" t="n"/>
      <c r="CK1018" s="588" t="n"/>
      <c r="CL1018" s="588" t="n"/>
      <c r="CM1018" s="588" t="n"/>
      <c r="CN1018" s="588" t="n"/>
      <c r="CO1018" s="588" t="n"/>
      <c r="CP1018" s="588" t="n"/>
      <c r="CQ1018" s="588" t="n"/>
      <c r="CR1018" s="588" t="n"/>
      <c r="CS1018" s="588" t="n"/>
      <c r="CT1018" s="588" t="n"/>
      <c r="CU1018" s="588" t="n"/>
      <c r="CV1018" s="588" t="n"/>
      <c r="CW1018" s="588" t="n"/>
      <c r="CX1018" s="588" t="n"/>
      <c r="CY1018" s="588" t="n"/>
      <c r="CZ1018" s="588" t="n"/>
      <c r="DA1018" s="588" t="n"/>
      <c r="DB1018" s="588" t="n"/>
      <c r="DC1018" s="588" t="n"/>
      <c r="DD1018" s="588" t="n"/>
      <c r="DE1018" s="588" t="n"/>
      <c r="DF1018" s="588" t="n"/>
      <c r="DG1018" s="588" t="n"/>
      <c r="DH1018" s="588" t="n"/>
      <c r="DI1018" s="588" t="n"/>
      <c r="DJ1018" s="588" t="n"/>
      <c r="DK1018" s="588" t="n"/>
      <c r="DL1018" s="588" t="n"/>
      <c r="DM1018" s="588" t="n"/>
      <c r="DN1018" s="588" t="n"/>
      <c r="DO1018" s="588" t="n"/>
      <c r="DP1018" s="588" t="n"/>
      <c r="DQ1018" s="588" t="n"/>
      <c r="DR1018" s="588" t="n"/>
      <c r="DS1018" s="588" t="n"/>
      <c r="DT1018" s="588" t="n"/>
      <c r="DU1018" s="588" t="n"/>
    </row>
    <row r="1019">
      <c r="A1019" s="737" t="n"/>
      <c r="B1019" s="737" t="n"/>
      <c r="C1019" s="737" t="n"/>
      <c r="D1019" s="737" t="n"/>
      <c r="E1019" s="737" t="n"/>
      <c r="F1019" s="737" t="n"/>
      <c r="G1019" s="737" t="n"/>
      <c r="H1019" s="737" t="n"/>
      <c r="I1019" s="737" t="n"/>
      <c r="J1019" s="737" t="n"/>
      <c r="K1019" s="737" t="n"/>
      <c r="L1019" s="737" t="n"/>
      <c r="M1019" s="737" t="n"/>
      <c r="N1019" s="737" t="n"/>
      <c r="O1019" s="737" t="n"/>
      <c r="P1019" s="737" t="n"/>
      <c r="Q1019" s="737" t="n"/>
      <c r="R1019" s="737" t="n"/>
      <c r="S1019" s="737" t="n"/>
      <c r="T1019" s="737" t="n"/>
      <c r="U1019" s="737" t="n"/>
      <c r="V1019" s="737" t="n"/>
      <c r="W1019" s="737" t="n"/>
      <c r="X1019" s="737" t="n"/>
      <c r="Y1019" s="737" t="n"/>
      <c r="Z1019" s="737" t="n"/>
      <c r="AA1019" s="737" t="n"/>
      <c r="AB1019" s="737" t="n"/>
      <c r="AC1019" s="737" t="n"/>
      <c r="AD1019" s="737" t="n"/>
      <c r="AE1019" s="737" t="n"/>
      <c r="AF1019" s="737" t="n"/>
      <c r="AG1019" s="737" t="n"/>
      <c r="AH1019" s="737" t="n"/>
      <c r="AI1019" s="737" t="n"/>
      <c r="AJ1019" s="737" t="n"/>
      <c r="AK1019" s="588" t="n"/>
      <c r="AL1019" s="588" t="n"/>
      <c r="AM1019" s="588" t="n"/>
      <c r="AN1019" s="588" t="n"/>
      <c r="AO1019" s="588" t="n"/>
      <c r="AP1019" s="588" t="n"/>
      <c r="AQ1019" s="588" t="n"/>
      <c r="AR1019" s="588" t="n"/>
      <c r="AS1019" s="588" t="n"/>
      <c r="AT1019" s="588" t="n"/>
      <c r="AU1019" s="588" t="n"/>
      <c r="AV1019" s="588" t="n"/>
      <c r="AW1019" s="588" t="n"/>
      <c r="AX1019" s="588" t="n"/>
      <c r="AY1019" s="588" t="n"/>
      <c r="AZ1019" s="588" t="n"/>
      <c r="BA1019" s="588" t="n"/>
      <c r="BB1019" s="588" t="n"/>
      <c r="BC1019" s="588" t="n"/>
      <c r="BD1019" s="588" t="n"/>
      <c r="BE1019" s="588" t="n"/>
      <c r="BF1019" s="588" t="n"/>
      <c r="BG1019" s="588" t="n"/>
      <c r="BH1019" s="588" t="n"/>
      <c r="BI1019" s="588" t="n"/>
      <c r="BJ1019" s="588" t="n"/>
      <c r="BK1019" s="588" t="n"/>
      <c r="BL1019" s="588" t="n"/>
      <c r="BM1019" s="588" t="n"/>
      <c r="BN1019" s="588" t="n"/>
      <c r="BO1019" s="588" t="n"/>
      <c r="BP1019" s="588" t="n"/>
      <c r="BQ1019" s="588" t="n"/>
      <c r="BR1019" s="588" t="n"/>
      <c r="BS1019" s="588" t="n"/>
      <c r="BT1019" s="588" t="n"/>
      <c r="BU1019" s="588" t="n"/>
      <c r="BV1019" s="588" t="n"/>
      <c r="BW1019" s="588" t="n"/>
      <c r="BX1019" s="588" t="n"/>
      <c r="BY1019" s="588" t="n"/>
      <c r="BZ1019" s="588" t="n"/>
      <c r="CA1019" s="588" t="n"/>
      <c r="CB1019" s="588" t="n"/>
      <c r="CC1019" s="588" t="n"/>
      <c r="CD1019" s="588" t="n"/>
      <c r="CE1019" s="588" t="n"/>
      <c r="CF1019" s="588" t="n"/>
      <c r="CG1019" s="588" t="n"/>
      <c r="CH1019" s="588" t="n"/>
      <c r="CI1019" s="588" t="n"/>
      <c r="CJ1019" s="588" t="n"/>
      <c r="CK1019" s="588" t="n"/>
      <c r="CL1019" s="588" t="n"/>
      <c r="CM1019" s="588" t="n"/>
      <c r="CN1019" s="588" t="n"/>
      <c r="CO1019" s="588" t="n"/>
      <c r="CP1019" s="588" t="n"/>
      <c r="CQ1019" s="588" t="n"/>
      <c r="CR1019" s="588" t="n"/>
      <c r="CS1019" s="588" t="n"/>
      <c r="CT1019" s="588" t="n"/>
      <c r="CU1019" s="588" t="n"/>
      <c r="CV1019" s="588" t="n"/>
      <c r="CW1019" s="588" t="n"/>
      <c r="CX1019" s="588" t="n"/>
      <c r="CY1019" s="588" t="n"/>
      <c r="CZ1019" s="588" t="n"/>
      <c r="DA1019" s="588" t="n"/>
      <c r="DB1019" s="588" t="n"/>
      <c r="DC1019" s="588" t="n"/>
      <c r="DD1019" s="588" t="n"/>
      <c r="DE1019" s="588" t="n"/>
      <c r="DF1019" s="588" t="n"/>
      <c r="DG1019" s="588" t="n"/>
      <c r="DH1019" s="588" t="n"/>
      <c r="DI1019" s="588" t="n"/>
      <c r="DJ1019" s="588" t="n"/>
      <c r="DK1019" s="588" t="n"/>
      <c r="DL1019" s="588" t="n"/>
      <c r="DM1019" s="588" t="n"/>
      <c r="DN1019" s="588" t="n"/>
      <c r="DO1019" s="588" t="n"/>
      <c r="DP1019" s="588" t="n"/>
      <c r="DQ1019" s="588" t="n"/>
      <c r="DR1019" s="588" t="n"/>
      <c r="DS1019" s="588" t="n"/>
      <c r="DT1019" s="588" t="n"/>
      <c r="DU1019" s="588" t="n"/>
    </row>
    <row r="1020">
      <c r="A1020" s="737" t="n"/>
      <c r="B1020" s="737" t="n"/>
      <c r="C1020" s="737" t="n"/>
      <c r="D1020" s="737" t="n"/>
      <c r="E1020" s="737" t="n"/>
      <c r="F1020" s="737" t="n"/>
      <c r="G1020" s="737" t="n"/>
      <c r="H1020" s="737" t="n"/>
      <c r="I1020" s="737" t="n"/>
      <c r="J1020" s="737" t="n"/>
      <c r="K1020" s="737" t="n"/>
      <c r="L1020" s="737" t="n"/>
      <c r="M1020" s="737" t="n"/>
      <c r="N1020" s="737" t="n"/>
      <c r="O1020" s="737" t="n"/>
      <c r="P1020" s="737" t="n"/>
      <c r="Q1020" s="737" t="n"/>
      <c r="R1020" s="737" t="n"/>
      <c r="S1020" s="737" t="n"/>
      <c r="T1020" s="737" t="n"/>
      <c r="U1020" s="737" t="n"/>
      <c r="V1020" s="737" t="n"/>
      <c r="W1020" s="737" t="n"/>
      <c r="X1020" s="737" t="n"/>
      <c r="Y1020" s="737" t="n"/>
      <c r="Z1020" s="737" t="n"/>
      <c r="AA1020" s="737" t="n"/>
      <c r="AB1020" s="737" t="n"/>
      <c r="AC1020" s="737" t="n"/>
      <c r="AD1020" s="737" t="n"/>
      <c r="AE1020" s="737" t="n"/>
      <c r="AF1020" s="737" t="n"/>
      <c r="AG1020" s="737" t="n"/>
      <c r="AH1020" s="737" t="n"/>
      <c r="AI1020" s="737" t="n"/>
      <c r="AJ1020" s="737" t="n"/>
      <c r="AK1020" s="588" t="n"/>
      <c r="AL1020" s="588" t="n"/>
      <c r="AM1020" s="588" t="n"/>
      <c r="AN1020" s="588" t="n"/>
      <c r="AO1020" s="588" t="n"/>
      <c r="AP1020" s="588" t="n"/>
      <c r="AQ1020" s="588" t="n"/>
      <c r="AR1020" s="588" t="n"/>
      <c r="AS1020" s="588" t="n"/>
      <c r="AT1020" s="588" t="n"/>
      <c r="AU1020" s="588" t="n"/>
      <c r="AV1020" s="588" t="n"/>
      <c r="AW1020" s="588" t="n"/>
      <c r="AX1020" s="588" t="n"/>
      <c r="AY1020" s="588" t="n"/>
      <c r="AZ1020" s="588" t="n"/>
      <c r="BA1020" s="588" t="n"/>
      <c r="BB1020" s="588" t="n"/>
      <c r="BC1020" s="588" t="n"/>
      <c r="BD1020" s="588" t="n"/>
      <c r="BE1020" s="588" t="n"/>
      <c r="BF1020" s="588" t="n"/>
      <c r="BG1020" s="588" t="n"/>
      <c r="BH1020" s="588" t="n"/>
      <c r="BI1020" s="588" t="n"/>
      <c r="BJ1020" s="588" t="n"/>
      <c r="BK1020" s="588" t="n"/>
      <c r="BL1020" s="588" t="n"/>
      <c r="BM1020" s="588" t="n"/>
      <c r="BN1020" s="588" t="n"/>
      <c r="BO1020" s="588" t="n"/>
      <c r="BP1020" s="588" t="n"/>
      <c r="BQ1020" s="588" t="n"/>
      <c r="BR1020" s="588" t="n"/>
      <c r="BS1020" s="588" t="n"/>
      <c r="BT1020" s="588" t="n"/>
      <c r="BU1020" s="588" t="n"/>
      <c r="BV1020" s="588" t="n"/>
      <c r="BW1020" s="588" t="n"/>
      <c r="BX1020" s="588" t="n"/>
      <c r="BY1020" s="588" t="n"/>
      <c r="BZ1020" s="588" t="n"/>
      <c r="CA1020" s="588" t="n"/>
      <c r="CB1020" s="588" t="n"/>
      <c r="CC1020" s="588" t="n"/>
      <c r="CD1020" s="588" t="n"/>
      <c r="CE1020" s="588" t="n"/>
      <c r="CF1020" s="588" t="n"/>
      <c r="CG1020" s="588" t="n"/>
      <c r="CH1020" s="588" t="n"/>
      <c r="CI1020" s="588" t="n"/>
      <c r="CJ1020" s="588" t="n"/>
      <c r="CK1020" s="588" t="n"/>
      <c r="CL1020" s="588" t="n"/>
      <c r="CM1020" s="588" t="n"/>
      <c r="CN1020" s="588" t="n"/>
      <c r="CO1020" s="588" t="n"/>
      <c r="CP1020" s="588" t="n"/>
      <c r="CQ1020" s="588" t="n"/>
      <c r="CR1020" s="588" t="n"/>
      <c r="CS1020" s="588" t="n"/>
      <c r="CT1020" s="588" t="n"/>
      <c r="CU1020" s="588" t="n"/>
      <c r="CV1020" s="588" t="n"/>
      <c r="CW1020" s="588" t="n"/>
      <c r="CX1020" s="588" t="n"/>
      <c r="CY1020" s="588" t="n"/>
      <c r="CZ1020" s="588" t="n"/>
      <c r="DA1020" s="588" t="n"/>
      <c r="DB1020" s="588" t="n"/>
      <c r="DC1020" s="588" t="n"/>
      <c r="DD1020" s="588" t="n"/>
      <c r="DE1020" s="588" t="n"/>
      <c r="DF1020" s="588" t="n"/>
      <c r="DG1020" s="588" t="n"/>
      <c r="DH1020" s="588" t="n"/>
      <c r="DI1020" s="588" t="n"/>
      <c r="DJ1020" s="588" t="n"/>
      <c r="DK1020" s="588" t="n"/>
      <c r="DL1020" s="588" t="n"/>
      <c r="DM1020" s="588" t="n"/>
      <c r="DN1020" s="588" t="n"/>
      <c r="DO1020" s="588" t="n"/>
      <c r="DP1020" s="588" t="n"/>
      <c r="DQ1020" s="588" t="n"/>
      <c r="DR1020" s="588" t="n"/>
      <c r="DS1020" s="588" t="n"/>
      <c r="DT1020" s="588" t="n"/>
      <c r="DU1020" s="588" t="n"/>
    </row>
    <row r="1021">
      <c r="A1021" s="737" t="n"/>
      <c r="B1021" s="737" t="n"/>
      <c r="C1021" s="737" t="n"/>
      <c r="D1021" s="737" t="n"/>
      <c r="E1021" s="737" t="n"/>
      <c r="F1021" s="737" t="n"/>
      <c r="G1021" s="737" t="n"/>
      <c r="H1021" s="737" t="n"/>
      <c r="I1021" s="737" t="n"/>
      <c r="J1021" s="737" t="n"/>
      <c r="K1021" s="737" t="n"/>
      <c r="L1021" s="737" t="n"/>
      <c r="M1021" s="737" t="n"/>
      <c r="N1021" s="737" t="n"/>
      <c r="O1021" s="737" t="n"/>
      <c r="P1021" s="737" t="n"/>
      <c r="Q1021" s="737" t="n"/>
      <c r="R1021" s="737" t="n"/>
      <c r="S1021" s="737" t="n"/>
      <c r="T1021" s="737" t="n"/>
      <c r="U1021" s="737" t="n"/>
      <c r="V1021" s="737" t="n"/>
      <c r="W1021" s="737" t="n"/>
      <c r="X1021" s="737" t="n"/>
      <c r="Y1021" s="737" t="n"/>
      <c r="Z1021" s="737" t="n"/>
      <c r="AA1021" s="737" t="n"/>
      <c r="AB1021" s="737" t="n"/>
      <c r="AC1021" s="737" t="n"/>
      <c r="AD1021" s="737" t="n"/>
      <c r="AE1021" s="737" t="n"/>
      <c r="AF1021" s="737" t="n"/>
      <c r="AG1021" s="737" t="n"/>
      <c r="AH1021" s="737" t="n"/>
      <c r="AI1021" s="737" t="n"/>
      <c r="AJ1021" s="737" t="n"/>
      <c r="AK1021" s="588" t="n"/>
      <c r="AL1021" s="588" t="n"/>
      <c r="AM1021" s="588" t="n"/>
      <c r="AN1021" s="588" t="n"/>
      <c r="AO1021" s="588" t="n"/>
      <c r="AP1021" s="588" t="n"/>
      <c r="AQ1021" s="588" t="n"/>
      <c r="AR1021" s="588" t="n"/>
      <c r="AS1021" s="588" t="n"/>
      <c r="AT1021" s="588" t="n"/>
      <c r="AU1021" s="588" t="n"/>
      <c r="AV1021" s="588" t="n"/>
      <c r="AW1021" s="588" t="n"/>
      <c r="AX1021" s="588" t="n"/>
      <c r="AY1021" s="588" t="n"/>
      <c r="AZ1021" s="588" t="n"/>
      <c r="BA1021" s="588" t="n"/>
      <c r="BB1021" s="588" t="n"/>
      <c r="BC1021" s="588" t="n"/>
      <c r="BD1021" s="588" t="n"/>
      <c r="BE1021" s="588" t="n"/>
      <c r="BF1021" s="588" t="n"/>
      <c r="BG1021" s="588" t="n"/>
      <c r="BH1021" s="588" t="n"/>
      <c r="BI1021" s="588" t="n"/>
      <c r="BJ1021" s="588" t="n"/>
      <c r="BK1021" s="588" t="n"/>
      <c r="BL1021" s="588" t="n"/>
      <c r="BM1021" s="588" t="n"/>
      <c r="BN1021" s="588" t="n"/>
      <c r="BO1021" s="588" t="n"/>
      <c r="BP1021" s="588" t="n"/>
      <c r="BQ1021" s="588" t="n"/>
      <c r="BR1021" s="588" t="n"/>
      <c r="BS1021" s="588" t="n"/>
      <c r="BT1021" s="588" t="n"/>
      <c r="BU1021" s="588" t="n"/>
      <c r="BV1021" s="588" t="n"/>
      <c r="BW1021" s="588" t="n"/>
      <c r="BX1021" s="588" t="n"/>
      <c r="BY1021" s="588" t="n"/>
      <c r="BZ1021" s="588" t="n"/>
      <c r="CA1021" s="588" t="n"/>
      <c r="CB1021" s="588" t="n"/>
      <c r="CC1021" s="588" t="n"/>
      <c r="CD1021" s="588" t="n"/>
      <c r="CE1021" s="588" t="n"/>
      <c r="CF1021" s="588" t="n"/>
      <c r="CG1021" s="588" t="n"/>
      <c r="CH1021" s="588" t="n"/>
      <c r="CI1021" s="588" t="n"/>
      <c r="CJ1021" s="588" t="n"/>
      <c r="CK1021" s="588" t="n"/>
      <c r="CL1021" s="588" t="n"/>
      <c r="CM1021" s="588" t="n"/>
      <c r="CN1021" s="588" t="n"/>
      <c r="CO1021" s="588" t="n"/>
      <c r="CP1021" s="588" t="n"/>
      <c r="CQ1021" s="588" t="n"/>
      <c r="CR1021" s="588" t="n"/>
      <c r="CS1021" s="588" t="n"/>
      <c r="CT1021" s="588" t="n"/>
      <c r="CU1021" s="588" t="n"/>
      <c r="CV1021" s="588" t="n"/>
      <c r="CW1021" s="588" t="n"/>
      <c r="CX1021" s="588" t="n"/>
      <c r="CY1021" s="588" t="n"/>
      <c r="CZ1021" s="588" t="n"/>
      <c r="DA1021" s="588" t="n"/>
      <c r="DB1021" s="588" t="n"/>
      <c r="DC1021" s="588" t="n"/>
      <c r="DD1021" s="588" t="n"/>
      <c r="DE1021" s="588" t="n"/>
      <c r="DF1021" s="588" t="n"/>
      <c r="DG1021" s="588" t="n"/>
      <c r="DH1021" s="588" t="n"/>
      <c r="DI1021" s="588" t="n"/>
      <c r="DJ1021" s="588" t="n"/>
      <c r="DK1021" s="588" t="n"/>
      <c r="DL1021" s="588" t="n"/>
      <c r="DM1021" s="588" t="n"/>
      <c r="DN1021" s="588" t="n"/>
      <c r="DO1021" s="588" t="n"/>
      <c r="DP1021" s="588" t="n"/>
      <c r="DQ1021" s="588" t="n"/>
      <c r="DR1021" s="588" t="n"/>
      <c r="DS1021" s="588" t="n"/>
      <c r="DT1021" s="588" t="n"/>
      <c r="DU1021" s="588" t="n"/>
    </row>
    <row r="1022">
      <c r="A1022" s="737" t="n"/>
      <c r="B1022" s="737" t="n"/>
      <c r="C1022" s="737" t="n"/>
      <c r="D1022" s="737" t="n"/>
      <c r="E1022" s="737" t="n"/>
      <c r="F1022" s="737" t="n"/>
      <c r="G1022" s="737" t="n"/>
      <c r="H1022" s="737" t="n"/>
      <c r="I1022" s="737" t="n"/>
      <c r="J1022" s="737" t="n"/>
      <c r="K1022" s="737" t="n"/>
      <c r="L1022" s="737" t="n"/>
      <c r="M1022" s="737" t="n"/>
      <c r="N1022" s="737" t="n"/>
      <c r="O1022" s="737" t="n"/>
      <c r="P1022" s="737" t="n"/>
      <c r="Q1022" s="737" t="n"/>
      <c r="R1022" s="737" t="n"/>
      <c r="S1022" s="737" t="n"/>
      <c r="T1022" s="737" t="n"/>
      <c r="U1022" s="737" t="n"/>
      <c r="V1022" s="737" t="n"/>
      <c r="W1022" s="737" t="n"/>
      <c r="X1022" s="737" t="n"/>
      <c r="Y1022" s="737" t="n"/>
      <c r="Z1022" s="737" t="n"/>
      <c r="AA1022" s="737" t="n"/>
      <c r="AB1022" s="737" t="n"/>
      <c r="AC1022" s="737" t="n"/>
      <c r="AD1022" s="737" t="n"/>
      <c r="AE1022" s="737" t="n"/>
      <c r="AF1022" s="737" t="n"/>
      <c r="AG1022" s="737" t="n"/>
      <c r="AH1022" s="737" t="n"/>
      <c r="AI1022" s="737" t="n"/>
      <c r="AJ1022" s="737" t="n"/>
      <c r="AK1022" s="588" t="n"/>
      <c r="AL1022" s="588" t="n"/>
      <c r="AM1022" s="588" t="n"/>
      <c r="AN1022" s="588" t="n"/>
      <c r="AO1022" s="588" t="n"/>
      <c r="AP1022" s="588" t="n"/>
      <c r="AQ1022" s="588" t="n"/>
      <c r="AR1022" s="588" t="n"/>
      <c r="AS1022" s="588" t="n"/>
      <c r="AT1022" s="588" t="n"/>
      <c r="AU1022" s="588" t="n"/>
      <c r="AV1022" s="588" t="n"/>
      <c r="AW1022" s="588" t="n"/>
      <c r="AX1022" s="588" t="n"/>
      <c r="AY1022" s="588" t="n"/>
      <c r="AZ1022" s="588" t="n"/>
      <c r="BA1022" s="588" t="n"/>
      <c r="BB1022" s="588" t="n"/>
      <c r="BC1022" s="588" t="n"/>
      <c r="BD1022" s="588" t="n"/>
      <c r="BE1022" s="588" t="n"/>
      <c r="BF1022" s="588" t="n"/>
      <c r="BG1022" s="588" t="n"/>
      <c r="BH1022" s="588" t="n"/>
      <c r="BI1022" s="588" t="n"/>
      <c r="BJ1022" s="588" t="n"/>
      <c r="BK1022" s="588" t="n"/>
      <c r="BL1022" s="588" t="n"/>
      <c r="BM1022" s="588" t="n"/>
      <c r="BN1022" s="588" t="n"/>
      <c r="BO1022" s="588" t="n"/>
      <c r="BP1022" s="588" t="n"/>
      <c r="BQ1022" s="588" t="n"/>
      <c r="BR1022" s="588" t="n"/>
      <c r="BS1022" s="588" t="n"/>
      <c r="BT1022" s="588" t="n"/>
      <c r="BU1022" s="588" t="n"/>
      <c r="BV1022" s="588" t="n"/>
      <c r="BW1022" s="588" t="n"/>
      <c r="BX1022" s="588" t="n"/>
      <c r="BY1022" s="588" t="n"/>
      <c r="BZ1022" s="588" t="n"/>
      <c r="CA1022" s="588" t="n"/>
      <c r="CB1022" s="588" t="n"/>
      <c r="CC1022" s="588" t="n"/>
      <c r="CD1022" s="588" t="n"/>
      <c r="CE1022" s="588" t="n"/>
      <c r="CF1022" s="588" t="n"/>
      <c r="CG1022" s="588" t="n"/>
      <c r="CH1022" s="588" t="n"/>
      <c r="CI1022" s="588" t="n"/>
      <c r="CJ1022" s="588" t="n"/>
      <c r="CK1022" s="588" t="n"/>
      <c r="CL1022" s="588" t="n"/>
      <c r="CM1022" s="588" t="n"/>
      <c r="CN1022" s="588" t="n"/>
      <c r="CO1022" s="588" t="n"/>
      <c r="CP1022" s="588" t="n"/>
      <c r="CQ1022" s="588" t="n"/>
      <c r="CR1022" s="588" t="n"/>
      <c r="CS1022" s="588" t="n"/>
      <c r="CT1022" s="588" t="n"/>
      <c r="CU1022" s="588" t="n"/>
      <c r="CV1022" s="588" t="n"/>
      <c r="CW1022" s="588" t="n"/>
      <c r="CX1022" s="588" t="n"/>
      <c r="CY1022" s="588" t="n"/>
      <c r="CZ1022" s="588" t="n"/>
      <c r="DA1022" s="588" t="n"/>
      <c r="DB1022" s="588" t="n"/>
      <c r="DC1022" s="588" t="n"/>
      <c r="DD1022" s="588" t="n"/>
      <c r="DE1022" s="588" t="n"/>
      <c r="DF1022" s="588" t="n"/>
      <c r="DG1022" s="588" t="n"/>
      <c r="DH1022" s="588" t="n"/>
      <c r="DI1022" s="588" t="n"/>
      <c r="DJ1022" s="588" t="n"/>
      <c r="DK1022" s="588" t="n"/>
      <c r="DL1022" s="588" t="n"/>
      <c r="DM1022" s="588" t="n"/>
      <c r="DN1022" s="588" t="n"/>
      <c r="DO1022" s="588" t="n"/>
      <c r="DP1022" s="588" t="n"/>
      <c r="DQ1022" s="588" t="n"/>
      <c r="DR1022" s="588" t="n"/>
      <c r="DS1022" s="588" t="n"/>
      <c r="DT1022" s="588" t="n"/>
      <c r="DU1022" s="588" t="n"/>
    </row>
    <row r="1023">
      <c r="A1023" s="737" t="n"/>
      <c r="B1023" s="737" t="n"/>
      <c r="C1023" s="737" t="n"/>
      <c r="D1023" s="737" t="n"/>
      <c r="E1023" s="737" t="n"/>
      <c r="F1023" s="737" t="n"/>
      <c r="G1023" s="737" t="n"/>
      <c r="H1023" s="737" t="n"/>
      <c r="I1023" s="737" t="n"/>
      <c r="J1023" s="737" t="n"/>
      <c r="K1023" s="737" t="n"/>
      <c r="L1023" s="737" t="n"/>
      <c r="M1023" s="737" t="n"/>
      <c r="N1023" s="737" t="n"/>
      <c r="O1023" s="737" t="n"/>
      <c r="P1023" s="737" t="n"/>
      <c r="Q1023" s="737" t="n"/>
      <c r="R1023" s="737" t="n"/>
      <c r="S1023" s="737" t="n"/>
      <c r="T1023" s="737" t="n"/>
      <c r="U1023" s="737" t="n"/>
      <c r="V1023" s="737" t="n"/>
      <c r="W1023" s="737" t="n"/>
      <c r="X1023" s="737" t="n"/>
      <c r="Y1023" s="737" t="n"/>
      <c r="Z1023" s="737" t="n"/>
      <c r="AA1023" s="737" t="n"/>
      <c r="AB1023" s="737" t="n"/>
      <c r="AC1023" s="737" t="n"/>
      <c r="AD1023" s="737" t="n"/>
      <c r="AE1023" s="737" t="n"/>
      <c r="AF1023" s="737" t="n"/>
      <c r="AG1023" s="737" t="n"/>
      <c r="AH1023" s="737" t="n"/>
      <c r="AI1023" s="737" t="n"/>
      <c r="AJ1023" s="737" t="n"/>
      <c r="AK1023" s="588" t="n"/>
      <c r="AL1023" s="588" t="n"/>
      <c r="AM1023" s="588" t="n"/>
      <c r="AN1023" s="588" t="n"/>
      <c r="AO1023" s="588" t="n"/>
      <c r="AP1023" s="588" t="n"/>
      <c r="AQ1023" s="588" t="n"/>
      <c r="AR1023" s="588" t="n"/>
      <c r="AS1023" s="588" t="n"/>
      <c r="AT1023" s="588" t="n"/>
      <c r="AU1023" s="588" t="n"/>
      <c r="AV1023" s="588" t="n"/>
      <c r="AW1023" s="588" t="n"/>
      <c r="AX1023" s="588" t="n"/>
      <c r="AY1023" s="588" t="n"/>
      <c r="AZ1023" s="588" t="n"/>
      <c r="BA1023" s="588" t="n"/>
      <c r="BB1023" s="588" t="n"/>
      <c r="BC1023" s="588" t="n"/>
      <c r="BD1023" s="588" t="n"/>
      <c r="BE1023" s="588" t="n"/>
      <c r="BF1023" s="588" t="n"/>
      <c r="BG1023" s="588" t="n"/>
      <c r="BH1023" s="588" t="n"/>
      <c r="BI1023" s="588" t="n"/>
      <c r="BJ1023" s="588" t="n"/>
      <c r="BK1023" s="588" t="n"/>
      <c r="BL1023" s="588" t="n"/>
      <c r="BM1023" s="588" t="n"/>
      <c r="BN1023" s="588" t="n"/>
      <c r="BO1023" s="588" t="n"/>
      <c r="BP1023" s="588" t="n"/>
      <c r="BQ1023" s="588" t="n"/>
      <c r="BR1023" s="588" t="n"/>
      <c r="BS1023" s="588" t="n"/>
      <c r="BT1023" s="588" t="n"/>
      <c r="BU1023" s="588" t="n"/>
      <c r="BV1023" s="588" t="n"/>
      <c r="BW1023" s="588" t="n"/>
      <c r="BX1023" s="588" t="n"/>
      <c r="BY1023" s="588" t="n"/>
      <c r="BZ1023" s="588" t="n"/>
      <c r="CA1023" s="588" t="n"/>
      <c r="CB1023" s="588" t="n"/>
      <c r="CC1023" s="588" t="n"/>
      <c r="CD1023" s="588" t="n"/>
      <c r="CE1023" s="588" t="n"/>
      <c r="CF1023" s="588" t="n"/>
      <c r="CG1023" s="588" t="n"/>
      <c r="CH1023" s="588" t="n"/>
      <c r="CI1023" s="588" t="n"/>
      <c r="CJ1023" s="588" t="n"/>
      <c r="CK1023" s="588" t="n"/>
      <c r="CL1023" s="588" t="n"/>
      <c r="CM1023" s="588" t="n"/>
      <c r="CN1023" s="588" t="n"/>
      <c r="CO1023" s="588" t="n"/>
      <c r="CP1023" s="588" t="n"/>
      <c r="CQ1023" s="588" t="n"/>
      <c r="CR1023" s="588" t="n"/>
      <c r="CS1023" s="588" t="n"/>
      <c r="CT1023" s="588" t="n"/>
      <c r="CU1023" s="588" t="n"/>
      <c r="CV1023" s="588" t="n"/>
      <c r="CW1023" s="588" t="n"/>
      <c r="CX1023" s="588" t="n"/>
      <c r="CY1023" s="588" t="n"/>
      <c r="CZ1023" s="588" t="n"/>
      <c r="DA1023" s="588" t="n"/>
      <c r="DB1023" s="588" t="n"/>
      <c r="DC1023" s="588" t="n"/>
      <c r="DD1023" s="588" t="n"/>
      <c r="DE1023" s="588" t="n"/>
      <c r="DF1023" s="588" t="n"/>
      <c r="DG1023" s="588" t="n"/>
      <c r="DH1023" s="588" t="n"/>
      <c r="DI1023" s="588" t="n"/>
      <c r="DJ1023" s="588" t="n"/>
      <c r="DK1023" s="588" t="n"/>
      <c r="DL1023" s="588" t="n"/>
      <c r="DM1023" s="588" t="n"/>
      <c r="DN1023" s="588" t="n"/>
      <c r="DO1023" s="588" t="n"/>
      <c r="DP1023" s="588" t="n"/>
      <c r="DQ1023" s="588" t="n"/>
      <c r="DR1023" s="588" t="n"/>
      <c r="DS1023" s="588" t="n"/>
      <c r="DT1023" s="588" t="n"/>
      <c r="DU1023" s="588" t="n"/>
    </row>
    <row r="1024">
      <c r="A1024" s="737" t="n"/>
      <c r="B1024" s="737" t="n"/>
      <c r="C1024" s="737" t="n"/>
      <c r="D1024" s="737" t="n"/>
      <c r="E1024" s="737" t="n"/>
      <c r="F1024" s="737" t="n"/>
      <c r="G1024" s="737" t="n"/>
      <c r="H1024" s="737" t="n"/>
      <c r="I1024" s="737" t="n"/>
      <c r="J1024" s="737" t="n"/>
      <c r="K1024" s="737" t="n"/>
      <c r="L1024" s="737" t="n"/>
      <c r="M1024" s="737" t="n"/>
      <c r="N1024" s="737" t="n"/>
      <c r="O1024" s="737" t="n"/>
      <c r="P1024" s="737" t="n"/>
      <c r="Q1024" s="737" t="n"/>
      <c r="R1024" s="737" t="n"/>
      <c r="S1024" s="737" t="n"/>
      <c r="T1024" s="737" t="n"/>
      <c r="U1024" s="737" t="n"/>
      <c r="V1024" s="737" t="n"/>
      <c r="W1024" s="737" t="n"/>
      <c r="X1024" s="737" t="n"/>
      <c r="Y1024" s="737" t="n"/>
      <c r="Z1024" s="737" t="n"/>
      <c r="AA1024" s="737" t="n"/>
      <c r="AB1024" s="737" t="n"/>
      <c r="AC1024" s="737" t="n"/>
      <c r="AD1024" s="737" t="n"/>
      <c r="AE1024" s="737" t="n"/>
      <c r="AF1024" s="737" t="n"/>
      <c r="AG1024" s="737" t="n"/>
      <c r="AH1024" s="737" t="n"/>
      <c r="AI1024" s="737" t="n"/>
      <c r="AJ1024" s="737" t="n"/>
      <c r="AK1024" s="588" t="n"/>
      <c r="AL1024" s="588" t="n"/>
      <c r="AM1024" s="588" t="n"/>
      <c r="AN1024" s="588" t="n"/>
      <c r="AO1024" s="588" t="n"/>
      <c r="AP1024" s="588" t="n"/>
      <c r="AQ1024" s="588" t="n"/>
      <c r="AR1024" s="588" t="n"/>
      <c r="AS1024" s="588" t="n"/>
      <c r="AT1024" s="588" t="n"/>
      <c r="AU1024" s="588" t="n"/>
      <c r="AV1024" s="588" t="n"/>
      <c r="AW1024" s="588" t="n"/>
      <c r="AX1024" s="588" t="n"/>
      <c r="AY1024" s="588" t="n"/>
      <c r="AZ1024" s="588" t="n"/>
      <c r="BA1024" s="588" t="n"/>
      <c r="BB1024" s="588" t="n"/>
      <c r="BC1024" s="588" t="n"/>
      <c r="BD1024" s="588" t="n"/>
      <c r="BE1024" s="588" t="n"/>
      <c r="BF1024" s="588" t="n"/>
      <c r="BG1024" s="588" t="n"/>
      <c r="BH1024" s="588" t="n"/>
      <c r="BI1024" s="588" t="n"/>
      <c r="BJ1024" s="588" t="n"/>
      <c r="BK1024" s="588" t="n"/>
      <c r="BL1024" s="588" t="n"/>
      <c r="BM1024" s="588" t="n"/>
      <c r="BN1024" s="588" t="n"/>
      <c r="BO1024" s="588" t="n"/>
      <c r="BP1024" s="588" t="n"/>
      <c r="BQ1024" s="588" t="n"/>
      <c r="BR1024" s="588" t="n"/>
      <c r="BS1024" s="588" t="n"/>
      <c r="BT1024" s="588" t="n"/>
      <c r="BU1024" s="588" t="n"/>
      <c r="BV1024" s="588" t="n"/>
      <c r="BW1024" s="588" t="n"/>
      <c r="BX1024" s="588" t="n"/>
      <c r="BY1024" s="588" t="n"/>
      <c r="BZ1024" s="588" t="n"/>
      <c r="CA1024" s="588" t="n"/>
      <c r="CB1024" s="588" t="n"/>
      <c r="CC1024" s="588" t="n"/>
      <c r="CD1024" s="588" t="n"/>
      <c r="CE1024" s="588" t="n"/>
      <c r="CF1024" s="588" t="n"/>
      <c r="CG1024" s="588" t="n"/>
      <c r="CH1024" s="588" t="n"/>
      <c r="CI1024" s="588" t="n"/>
      <c r="CJ1024" s="588" t="n"/>
      <c r="CK1024" s="588" t="n"/>
      <c r="CL1024" s="588" t="n"/>
      <c r="CM1024" s="588" t="n"/>
      <c r="CN1024" s="588" t="n"/>
      <c r="CO1024" s="588" t="n"/>
      <c r="CP1024" s="588" t="n"/>
      <c r="CQ1024" s="588" t="n"/>
      <c r="CR1024" s="588" t="n"/>
      <c r="CS1024" s="588" t="n"/>
      <c r="CT1024" s="588" t="n"/>
      <c r="CU1024" s="588" t="n"/>
      <c r="CV1024" s="588" t="n"/>
      <c r="CW1024" s="588" t="n"/>
      <c r="CX1024" s="588" t="n"/>
      <c r="CY1024" s="588" t="n"/>
      <c r="CZ1024" s="588" t="n"/>
      <c r="DA1024" s="588" t="n"/>
      <c r="DB1024" s="588" t="n"/>
      <c r="DC1024" s="588" t="n"/>
      <c r="DD1024" s="588" t="n"/>
      <c r="DE1024" s="588" t="n"/>
      <c r="DF1024" s="588" t="n"/>
      <c r="DG1024" s="588" t="n"/>
      <c r="DH1024" s="588" t="n"/>
      <c r="DI1024" s="588" t="n"/>
      <c r="DJ1024" s="588" t="n"/>
      <c r="DK1024" s="588" t="n"/>
      <c r="DL1024" s="588" t="n"/>
      <c r="DM1024" s="588" t="n"/>
      <c r="DN1024" s="588" t="n"/>
      <c r="DO1024" s="588" t="n"/>
      <c r="DP1024" s="588" t="n"/>
      <c r="DQ1024" s="588" t="n"/>
      <c r="DR1024" s="588" t="n"/>
      <c r="DS1024" s="588" t="n"/>
      <c r="DT1024" s="588" t="n"/>
      <c r="DU1024" s="588" t="n"/>
    </row>
    <row r="1025">
      <c r="A1025" s="737" t="n"/>
      <c r="B1025" s="737" t="n"/>
      <c r="C1025" s="737" t="n"/>
      <c r="D1025" s="737" t="n"/>
      <c r="E1025" s="737" t="n"/>
      <c r="F1025" s="737" t="n"/>
      <c r="G1025" s="737" t="n"/>
      <c r="H1025" s="737" t="n"/>
      <c r="I1025" s="737" t="n"/>
      <c r="J1025" s="737" t="n"/>
      <c r="K1025" s="737" t="n"/>
      <c r="L1025" s="737" t="n"/>
      <c r="M1025" s="737" t="n"/>
      <c r="N1025" s="737" t="n"/>
      <c r="O1025" s="737" t="n"/>
      <c r="P1025" s="737" t="n"/>
      <c r="Q1025" s="737" t="n"/>
      <c r="R1025" s="737" t="n"/>
      <c r="S1025" s="737" t="n"/>
      <c r="T1025" s="737" t="n"/>
      <c r="U1025" s="737" t="n"/>
      <c r="V1025" s="737" t="n"/>
      <c r="W1025" s="737" t="n"/>
      <c r="X1025" s="737" t="n"/>
      <c r="Y1025" s="737" t="n"/>
      <c r="Z1025" s="737" t="n"/>
      <c r="AA1025" s="737" t="n"/>
      <c r="AB1025" s="737" t="n"/>
      <c r="AC1025" s="737" t="n"/>
      <c r="AD1025" s="737" t="n"/>
      <c r="AE1025" s="737" t="n"/>
      <c r="AF1025" s="737" t="n"/>
      <c r="AG1025" s="737" t="n"/>
      <c r="AH1025" s="737" t="n"/>
      <c r="AI1025" s="737" t="n"/>
      <c r="AJ1025" s="737" t="n"/>
      <c r="AK1025" s="588" t="n"/>
      <c r="AL1025" s="588" t="n"/>
      <c r="AM1025" s="588" t="n"/>
      <c r="AN1025" s="588" t="n"/>
      <c r="AO1025" s="588" t="n"/>
      <c r="AP1025" s="588" t="n"/>
      <c r="AQ1025" s="588" t="n"/>
      <c r="AR1025" s="588" t="n"/>
      <c r="AS1025" s="588" t="n"/>
      <c r="AT1025" s="588" t="n"/>
      <c r="AU1025" s="588" t="n"/>
      <c r="AV1025" s="588" t="n"/>
      <c r="AW1025" s="588" t="n"/>
      <c r="AX1025" s="588" t="n"/>
      <c r="AY1025" s="588" t="n"/>
      <c r="AZ1025" s="588" t="n"/>
      <c r="BA1025" s="588" t="n"/>
      <c r="BB1025" s="588" t="n"/>
      <c r="BC1025" s="588" t="n"/>
      <c r="BD1025" s="588" t="n"/>
      <c r="BE1025" s="588" t="n"/>
      <c r="BF1025" s="588" t="n"/>
      <c r="BG1025" s="588" t="n"/>
      <c r="BH1025" s="588" t="n"/>
      <c r="BI1025" s="588" t="n"/>
      <c r="BJ1025" s="588" t="n"/>
      <c r="BK1025" s="588" t="n"/>
      <c r="BL1025" s="588" t="n"/>
      <c r="BM1025" s="588" t="n"/>
      <c r="BN1025" s="588" t="n"/>
      <c r="BO1025" s="588" t="n"/>
      <c r="BP1025" s="588" t="n"/>
      <c r="BQ1025" s="588" t="n"/>
      <c r="BR1025" s="588" t="n"/>
      <c r="BS1025" s="588" t="n"/>
      <c r="BT1025" s="588" t="n"/>
      <c r="BU1025" s="588" t="n"/>
      <c r="BV1025" s="588" t="n"/>
      <c r="BW1025" s="588" t="n"/>
      <c r="BX1025" s="588" t="n"/>
      <c r="BY1025" s="588" t="n"/>
      <c r="BZ1025" s="588" t="n"/>
      <c r="CA1025" s="588" t="n"/>
      <c r="CB1025" s="588" t="n"/>
      <c r="CC1025" s="588" t="n"/>
      <c r="CD1025" s="588" t="n"/>
      <c r="CE1025" s="588" t="n"/>
      <c r="CF1025" s="588" t="n"/>
      <c r="CG1025" s="588" t="n"/>
      <c r="CH1025" s="588" t="n"/>
      <c r="CI1025" s="588" t="n"/>
      <c r="CJ1025" s="588" t="n"/>
      <c r="CK1025" s="588" t="n"/>
      <c r="CL1025" s="588" t="n"/>
      <c r="CM1025" s="588" t="n"/>
      <c r="CN1025" s="588" t="n"/>
      <c r="CO1025" s="588" t="n"/>
      <c r="CP1025" s="588" t="n"/>
      <c r="CQ1025" s="588" t="n"/>
      <c r="CR1025" s="588" t="n"/>
      <c r="CS1025" s="588" t="n"/>
      <c r="CT1025" s="588" t="n"/>
      <c r="CU1025" s="588" t="n"/>
      <c r="CV1025" s="588" t="n"/>
      <c r="CW1025" s="588" t="n"/>
      <c r="CX1025" s="588" t="n"/>
      <c r="CY1025" s="588" t="n"/>
      <c r="CZ1025" s="588" t="n"/>
      <c r="DA1025" s="588" t="n"/>
      <c r="DB1025" s="588" t="n"/>
      <c r="DC1025" s="588" t="n"/>
      <c r="DD1025" s="588" t="n"/>
      <c r="DE1025" s="588" t="n"/>
      <c r="DF1025" s="588" t="n"/>
      <c r="DG1025" s="588" t="n"/>
      <c r="DH1025" s="588" t="n"/>
      <c r="DI1025" s="588" t="n"/>
      <c r="DJ1025" s="588" t="n"/>
      <c r="DK1025" s="588" t="n"/>
      <c r="DL1025" s="588" t="n"/>
      <c r="DM1025" s="588" t="n"/>
      <c r="DN1025" s="588" t="n"/>
      <c r="DO1025" s="588" t="n"/>
      <c r="DP1025" s="588" t="n"/>
      <c r="DQ1025" s="588" t="n"/>
      <c r="DR1025" s="588" t="n"/>
      <c r="DS1025" s="588" t="n"/>
      <c r="DT1025" s="588" t="n"/>
      <c r="DU1025" s="588" t="n"/>
    </row>
    <row r="1026">
      <c r="A1026" s="737" t="n"/>
      <c r="B1026" s="737" t="n"/>
      <c r="C1026" s="737" t="n"/>
      <c r="D1026" s="737" t="n"/>
      <c r="E1026" s="737" t="n"/>
      <c r="F1026" s="737" t="n"/>
      <c r="G1026" s="737" t="n"/>
      <c r="H1026" s="737" t="n"/>
      <c r="I1026" s="737" t="n"/>
      <c r="J1026" s="737" t="n"/>
      <c r="K1026" s="737" t="n"/>
      <c r="L1026" s="737" t="n"/>
      <c r="M1026" s="737" t="n"/>
      <c r="N1026" s="737" t="n"/>
      <c r="O1026" s="737" t="n"/>
      <c r="P1026" s="737" t="n"/>
      <c r="Q1026" s="737" t="n"/>
      <c r="R1026" s="737" t="n"/>
      <c r="S1026" s="737" t="n"/>
      <c r="T1026" s="737" t="n"/>
      <c r="U1026" s="737" t="n"/>
      <c r="V1026" s="737" t="n"/>
      <c r="W1026" s="737" t="n"/>
      <c r="X1026" s="737" t="n"/>
      <c r="Y1026" s="737" t="n"/>
      <c r="Z1026" s="737" t="n"/>
      <c r="AA1026" s="737" t="n"/>
      <c r="AB1026" s="737" t="n"/>
      <c r="AC1026" s="737" t="n"/>
      <c r="AD1026" s="737" t="n"/>
      <c r="AE1026" s="737" t="n"/>
      <c r="AF1026" s="737" t="n"/>
      <c r="AG1026" s="737" t="n"/>
      <c r="AH1026" s="737" t="n"/>
      <c r="AI1026" s="737" t="n"/>
      <c r="AJ1026" s="737" t="n"/>
      <c r="AK1026" s="588" t="n"/>
      <c r="AL1026" s="588" t="n"/>
      <c r="AM1026" s="588" t="n"/>
      <c r="AN1026" s="588" t="n"/>
      <c r="AO1026" s="588" t="n"/>
      <c r="AP1026" s="588" t="n"/>
      <c r="AQ1026" s="588" t="n"/>
      <c r="AR1026" s="588" t="n"/>
      <c r="AS1026" s="588" t="n"/>
      <c r="AT1026" s="588" t="n"/>
      <c r="AU1026" s="588" t="n"/>
      <c r="AV1026" s="588" t="n"/>
      <c r="AW1026" s="588" t="n"/>
      <c r="AX1026" s="588" t="n"/>
      <c r="AY1026" s="588" t="n"/>
      <c r="AZ1026" s="588" t="n"/>
      <c r="BA1026" s="588" t="n"/>
      <c r="BB1026" s="588" t="n"/>
      <c r="BC1026" s="588" t="n"/>
      <c r="BD1026" s="588" t="n"/>
      <c r="BE1026" s="588" t="n"/>
      <c r="BF1026" s="588" t="n"/>
      <c r="BG1026" s="588" t="n"/>
      <c r="BH1026" s="588" t="n"/>
      <c r="BI1026" s="588" t="n"/>
      <c r="BJ1026" s="588" t="n"/>
      <c r="BK1026" s="588" t="n"/>
      <c r="BL1026" s="588" t="n"/>
      <c r="BM1026" s="588" t="n"/>
      <c r="BN1026" s="588" t="n"/>
      <c r="BO1026" s="588" t="n"/>
      <c r="BP1026" s="588" t="n"/>
      <c r="BQ1026" s="588" t="n"/>
      <c r="BR1026" s="588" t="n"/>
      <c r="BS1026" s="588" t="n"/>
      <c r="BT1026" s="588" t="n"/>
      <c r="BU1026" s="588" t="n"/>
      <c r="BV1026" s="588" t="n"/>
      <c r="BW1026" s="588" t="n"/>
      <c r="BX1026" s="588" t="n"/>
      <c r="BY1026" s="588" t="n"/>
      <c r="BZ1026" s="588" t="n"/>
      <c r="CA1026" s="588" t="n"/>
      <c r="CB1026" s="588" t="n"/>
      <c r="CC1026" s="588" t="n"/>
      <c r="CD1026" s="588" t="n"/>
      <c r="CE1026" s="588" t="n"/>
      <c r="CF1026" s="588" t="n"/>
      <c r="CG1026" s="588" t="n"/>
      <c r="CH1026" s="588" t="n"/>
      <c r="CI1026" s="588" t="n"/>
      <c r="CJ1026" s="588" t="n"/>
      <c r="CK1026" s="588" t="n"/>
      <c r="CL1026" s="588" t="n"/>
      <c r="CM1026" s="588" t="n"/>
      <c r="CN1026" s="588" t="n"/>
      <c r="CO1026" s="588" t="n"/>
      <c r="CP1026" s="588" t="n"/>
      <c r="CQ1026" s="588" t="n"/>
      <c r="CR1026" s="588" t="n"/>
      <c r="CS1026" s="588" t="n"/>
      <c r="CT1026" s="588" t="n"/>
      <c r="CU1026" s="588" t="n"/>
      <c r="CV1026" s="588" t="n"/>
      <c r="CW1026" s="588" t="n"/>
      <c r="CX1026" s="588" t="n"/>
      <c r="CY1026" s="588" t="n"/>
      <c r="CZ1026" s="588" t="n"/>
      <c r="DA1026" s="588" t="n"/>
      <c r="DB1026" s="588" t="n"/>
      <c r="DC1026" s="588" t="n"/>
      <c r="DD1026" s="588" t="n"/>
      <c r="DE1026" s="588" t="n"/>
      <c r="DF1026" s="588" t="n"/>
      <c r="DG1026" s="588" t="n"/>
      <c r="DH1026" s="588" t="n"/>
      <c r="DI1026" s="588" t="n"/>
      <c r="DJ1026" s="588" t="n"/>
      <c r="DK1026" s="588" t="n"/>
      <c r="DL1026" s="588" t="n"/>
      <c r="DM1026" s="588" t="n"/>
      <c r="DN1026" s="588" t="n"/>
      <c r="DO1026" s="588" t="n"/>
      <c r="DP1026" s="588" t="n"/>
      <c r="DQ1026" s="588" t="n"/>
      <c r="DR1026" s="588" t="n"/>
      <c r="DS1026" s="588" t="n"/>
      <c r="DT1026" s="588" t="n"/>
      <c r="DU1026" s="588" t="n"/>
    </row>
    <row r="1027">
      <c r="A1027" s="737" t="n"/>
      <c r="B1027" s="737" t="n"/>
      <c r="C1027" s="737" t="n"/>
      <c r="D1027" s="737" t="n"/>
      <c r="E1027" s="737" t="n"/>
      <c r="F1027" s="737" t="n"/>
      <c r="G1027" s="737" t="n"/>
      <c r="H1027" s="737" t="n"/>
      <c r="I1027" s="737" t="n"/>
      <c r="J1027" s="737" t="n"/>
      <c r="K1027" s="737" t="n"/>
      <c r="L1027" s="737" t="n"/>
      <c r="M1027" s="737" t="n"/>
      <c r="N1027" s="737" t="n"/>
      <c r="O1027" s="737" t="n"/>
      <c r="P1027" s="737" t="n"/>
      <c r="Q1027" s="737" t="n"/>
      <c r="R1027" s="737" t="n"/>
      <c r="S1027" s="737" t="n"/>
      <c r="T1027" s="737" t="n"/>
      <c r="U1027" s="737" t="n"/>
      <c r="V1027" s="737" t="n"/>
      <c r="W1027" s="737" t="n"/>
      <c r="X1027" s="737" t="n"/>
      <c r="Y1027" s="737" t="n"/>
      <c r="Z1027" s="737" t="n"/>
      <c r="AA1027" s="737" t="n"/>
      <c r="AB1027" s="737" t="n"/>
      <c r="AC1027" s="737" t="n"/>
      <c r="AD1027" s="737" t="n"/>
      <c r="AE1027" s="737" t="n"/>
      <c r="AF1027" s="737" t="n"/>
      <c r="AG1027" s="737" t="n"/>
      <c r="AH1027" s="737" t="n"/>
      <c r="AI1027" s="737" t="n"/>
      <c r="AJ1027" s="737" t="n"/>
      <c r="AK1027" s="588" t="n"/>
      <c r="AL1027" s="588" t="n"/>
      <c r="AM1027" s="588" t="n"/>
      <c r="AN1027" s="588" t="n"/>
      <c r="AO1027" s="588" t="n"/>
      <c r="AP1027" s="588" t="n"/>
      <c r="AQ1027" s="588" t="n"/>
      <c r="AR1027" s="588" t="n"/>
      <c r="AS1027" s="588" t="n"/>
      <c r="AT1027" s="588" t="n"/>
      <c r="AU1027" s="588" t="n"/>
      <c r="AV1027" s="588" t="n"/>
      <c r="AW1027" s="588" t="n"/>
      <c r="AX1027" s="588" t="n"/>
      <c r="AY1027" s="588" t="n"/>
      <c r="AZ1027" s="588" t="n"/>
      <c r="BA1027" s="588" t="n"/>
      <c r="BB1027" s="588" t="n"/>
      <c r="BC1027" s="588" t="n"/>
      <c r="BD1027" s="588" t="n"/>
      <c r="BE1027" s="588" t="n"/>
      <c r="BF1027" s="588" t="n"/>
      <c r="BG1027" s="588" t="n"/>
      <c r="BH1027" s="588" t="n"/>
      <c r="BI1027" s="588" t="n"/>
      <c r="BJ1027" s="588" t="n"/>
      <c r="BK1027" s="588" t="n"/>
      <c r="BL1027" s="588" t="n"/>
      <c r="BM1027" s="588" t="n"/>
      <c r="BN1027" s="588" t="n"/>
      <c r="BO1027" s="588" t="n"/>
      <c r="BP1027" s="588" t="n"/>
      <c r="BQ1027" s="588" t="n"/>
      <c r="BR1027" s="588" t="n"/>
      <c r="BS1027" s="588" t="n"/>
      <c r="BT1027" s="588" t="n"/>
      <c r="BU1027" s="588" t="n"/>
      <c r="BV1027" s="588" t="n"/>
      <c r="BW1027" s="588" t="n"/>
      <c r="BX1027" s="588" t="n"/>
      <c r="BY1027" s="588" t="n"/>
      <c r="BZ1027" s="588" t="n"/>
      <c r="CA1027" s="588" t="n"/>
      <c r="CB1027" s="588" t="n"/>
      <c r="CC1027" s="588" t="n"/>
      <c r="CD1027" s="588" t="n"/>
      <c r="CE1027" s="588" t="n"/>
      <c r="CF1027" s="588" t="n"/>
      <c r="CG1027" s="588" t="n"/>
      <c r="CH1027" s="588" t="n"/>
      <c r="CI1027" s="588" t="n"/>
      <c r="CJ1027" s="588" t="n"/>
      <c r="CK1027" s="588" t="n"/>
      <c r="CL1027" s="588" t="n"/>
      <c r="CM1027" s="588" t="n"/>
      <c r="CN1027" s="588" t="n"/>
      <c r="CO1027" s="588" t="n"/>
      <c r="CP1027" s="588" t="n"/>
      <c r="CQ1027" s="588" t="n"/>
      <c r="CR1027" s="588" t="n"/>
      <c r="CS1027" s="588" t="n"/>
      <c r="CT1027" s="588" t="n"/>
      <c r="CU1027" s="588" t="n"/>
      <c r="CV1027" s="588" t="n"/>
      <c r="CW1027" s="588" t="n"/>
      <c r="CX1027" s="588" t="n"/>
      <c r="CY1027" s="588" t="n"/>
      <c r="CZ1027" s="588" t="n"/>
      <c r="DA1027" s="588" t="n"/>
      <c r="DB1027" s="588" t="n"/>
      <c r="DC1027" s="588" t="n"/>
      <c r="DD1027" s="588" t="n"/>
      <c r="DE1027" s="588" t="n"/>
      <c r="DF1027" s="588" t="n"/>
      <c r="DG1027" s="588" t="n"/>
      <c r="DH1027" s="588" t="n"/>
      <c r="DI1027" s="588" t="n"/>
      <c r="DJ1027" s="588" t="n"/>
      <c r="DK1027" s="588" t="n"/>
      <c r="DL1027" s="588" t="n"/>
      <c r="DM1027" s="588" t="n"/>
      <c r="DN1027" s="588" t="n"/>
      <c r="DO1027" s="588" t="n"/>
      <c r="DP1027" s="588" t="n"/>
      <c r="DQ1027" s="588" t="n"/>
      <c r="DR1027" s="588" t="n"/>
      <c r="DS1027" s="588" t="n"/>
      <c r="DT1027" s="588" t="n"/>
      <c r="DU1027" s="588" t="n"/>
    </row>
    <row r="1028">
      <c r="A1028" s="737" t="n"/>
      <c r="B1028" s="737" t="n"/>
      <c r="C1028" s="737" t="n"/>
      <c r="D1028" s="737" t="n"/>
      <c r="E1028" s="737" t="n"/>
      <c r="F1028" s="737" t="n"/>
      <c r="G1028" s="737" t="n"/>
      <c r="H1028" s="737" t="n"/>
      <c r="I1028" s="737" t="n"/>
      <c r="J1028" s="737" t="n"/>
      <c r="K1028" s="737" t="n"/>
      <c r="L1028" s="737" t="n"/>
      <c r="M1028" s="737" t="n"/>
      <c r="N1028" s="737" t="n"/>
      <c r="O1028" s="737" t="n"/>
      <c r="P1028" s="737" t="n"/>
      <c r="Q1028" s="737" t="n"/>
      <c r="R1028" s="737" t="n"/>
      <c r="S1028" s="737" t="n"/>
      <c r="T1028" s="737" t="n"/>
      <c r="U1028" s="737" t="n"/>
      <c r="V1028" s="737" t="n"/>
      <c r="W1028" s="737" t="n"/>
      <c r="X1028" s="737" t="n"/>
      <c r="Y1028" s="737" t="n"/>
      <c r="Z1028" s="737" t="n"/>
      <c r="AA1028" s="737" t="n"/>
      <c r="AB1028" s="737" t="n"/>
      <c r="AC1028" s="737" t="n"/>
      <c r="AD1028" s="737" t="n"/>
      <c r="AE1028" s="737" t="n"/>
      <c r="AF1028" s="737" t="n"/>
      <c r="AG1028" s="737" t="n"/>
      <c r="AH1028" s="737" t="n"/>
      <c r="AI1028" s="737" t="n"/>
      <c r="AJ1028" s="737" t="n"/>
      <c r="AK1028" s="588" t="n"/>
      <c r="AL1028" s="588" t="n"/>
      <c r="AM1028" s="588" t="n"/>
      <c r="AN1028" s="588" t="n"/>
      <c r="AO1028" s="588" t="n"/>
      <c r="AP1028" s="588" t="n"/>
      <c r="AQ1028" s="588" t="n"/>
      <c r="AR1028" s="588" t="n"/>
      <c r="AS1028" s="588" t="n"/>
      <c r="AT1028" s="588" t="n"/>
      <c r="AU1028" s="588" t="n"/>
      <c r="AV1028" s="588" t="n"/>
      <c r="AW1028" s="588" t="n"/>
      <c r="AX1028" s="588" t="n"/>
      <c r="AY1028" s="588" t="n"/>
      <c r="AZ1028" s="588" t="n"/>
      <c r="BA1028" s="588" t="n"/>
      <c r="BB1028" s="588" t="n"/>
      <c r="BC1028" s="588" t="n"/>
      <c r="BD1028" s="588" t="n"/>
      <c r="BE1028" s="588" t="n"/>
      <c r="BF1028" s="588" t="n"/>
      <c r="BG1028" s="588" t="n"/>
      <c r="BH1028" s="588" t="n"/>
      <c r="BI1028" s="588" t="n"/>
      <c r="BJ1028" s="588" t="n"/>
      <c r="BK1028" s="588" t="n"/>
      <c r="BL1028" s="588" t="n"/>
      <c r="BM1028" s="588" t="n"/>
      <c r="BN1028" s="588" t="n"/>
      <c r="BO1028" s="588" t="n"/>
      <c r="BP1028" s="588" t="n"/>
      <c r="BQ1028" s="588" t="n"/>
      <c r="BR1028" s="588" t="n"/>
      <c r="BS1028" s="588" t="n"/>
      <c r="BT1028" s="588" t="n"/>
      <c r="BU1028" s="588" t="n"/>
      <c r="BV1028" s="588" t="n"/>
      <c r="BW1028" s="588" t="n"/>
      <c r="BX1028" s="588" t="n"/>
      <c r="BY1028" s="588" t="n"/>
      <c r="BZ1028" s="588" t="n"/>
      <c r="CA1028" s="588" t="n"/>
      <c r="CB1028" s="588" t="n"/>
      <c r="CC1028" s="588" t="n"/>
      <c r="CD1028" s="588" t="n"/>
      <c r="CE1028" s="588" t="n"/>
      <c r="CF1028" s="588" t="n"/>
      <c r="CG1028" s="588" t="n"/>
      <c r="CH1028" s="588" t="n"/>
      <c r="CI1028" s="588" t="n"/>
      <c r="CJ1028" s="588" t="n"/>
      <c r="CK1028" s="588" t="n"/>
      <c r="CL1028" s="588" t="n"/>
      <c r="CM1028" s="588" t="n"/>
      <c r="CN1028" s="588" t="n"/>
      <c r="CO1028" s="588" t="n"/>
      <c r="CP1028" s="588" t="n"/>
      <c r="CQ1028" s="588" t="n"/>
      <c r="CR1028" s="588" t="n"/>
      <c r="CS1028" s="588" t="n"/>
      <c r="CT1028" s="588" t="n"/>
      <c r="CU1028" s="588" t="n"/>
      <c r="CV1028" s="588" t="n"/>
      <c r="CW1028" s="588" t="n"/>
      <c r="CX1028" s="588" t="n"/>
      <c r="CY1028" s="588" t="n"/>
      <c r="CZ1028" s="588" t="n"/>
      <c r="DA1028" s="588" t="n"/>
      <c r="DB1028" s="588" t="n"/>
      <c r="DC1028" s="588" t="n"/>
      <c r="DD1028" s="588" t="n"/>
      <c r="DE1028" s="588" t="n"/>
      <c r="DF1028" s="588" t="n"/>
      <c r="DG1028" s="588" t="n"/>
      <c r="DH1028" s="588" t="n"/>
      <c r="DI1028" s="588" t="n"/>
      <c r="DJ1028" s="588" t="n"/>
      <c r="DK1028" s="588" t="n"/>
      <c r="DL1028" s="588" t="n"/>
      <c r="DM1028" s="588" t="n"/>
      <c r="DN1028" s="588" t="n"/>
      <c r="DO1028" s="588" t="n"/>
      <c r="DP1028" s="588" t="n"/>
      <c r="DQ1028" s="588" t="n"/>
      <c r="DR1028" s="588" t="n"/>
      <c r="DS1028" s="588" t="n"/>
      <c r="DT1028" s="588" t="n"/>
      <c r="DU1028" s="588" t="n"/>
    </row>
    <row r="1029">
      <c r="A1029" s="737" t="n"/>
      <c r="B1029" s="737" t="n"/>
      <c r="C1029" s="737" t="n"/>
      <c r="D1029" s="737" t="n"/>
      <c r="E1029" s="737" t="n"/>
      <c r="F1029" s="737" t="n"/>
      <c r="G1029" s="737" t="n"/>
      <c r="H1029" s="737" t="n"/>
      <c r="I1029" s="737" t="n"/>
      <c r="J1029" s="737" t="n"/>
      <c r="K1029" s="737" t="n"/>
      <c r="L1029" s="737" t="n"/>
      <c r="M1029" s="737" t="n"/>
      <c r="N1029" s="737" t="n"/>
      <c r="O1029" s="737" t="n"/>
      <c r="P1029" s="737" t="n"/>
      <c r="Q1029" s="737" t="n"/>
      <c r="R1029" s="737" t="n"/>
      <c r="S1029" s="737" t="n"/>
      <c r="T1029" s="737" t="n"/>
      <c r="U1029" s="737" t="n"/>
      <c r="V1029" s="737" t="n"/>
      <c r="W1029" s="737" t="n"/>
      <c r="X1029" s="737" t="n"/>
      <c r="Y1029" s="737" t="n"/>
      <c r="Z1029" s="737" t="n"/>
      <c r="AA1029" s="737" t="n"/>
      <c r="AB1029" s="737" t="n"/>
      <c r="AC1029" s="737" t="n"/>
      <c r="AD1029" s="737" t="n"/>
      <c r="AE1029" s="737" t="n"/>
      <c r="AF1029" s="737" t="n"/>
      <c r="AG1029" s="737" t="n"/>
      <c r="AH1029" s="737" t="n"/>
      <c r="AI1029" s="737" t="n"/>
      <c r="AJ1029" s="737" t="n"/>
      <c r="AK1029" s="588" t="n"/>
      <c r="AL1029" s="588" t="n"/>
      <c r="AM1029" s="588" t="n"/>
      <c r="AN1029" s="588" t="n"/>
      <c r="AO1029" s="588" t="n"/>
      <c r="AP1029" s="588" t="n"/>
      <c r="AQ1029" s="588" t="n"/>
      <c r="AR1029" s="588" t="n"/>
      <c r="AS1029" s="588" t="n"/>
      <c r="AT1029" s="588" t="n"/>
      <c r="AU1029" s="588" t="n"/>
      <c r="AV1029" s="588" t="n"/>
      <c r="AW1029" s="588" t="n"/>
      <c r="AX1029" s="588" t="n"/>
      <c r="AY1029" s="588" t="n"/>
      <c r="AZ1029" s="588" t="n"/>
      <c r="BA1029" s="588" t="n"/>
      <c r="BB1029" s="588" t="n"/>
      <c r="BC1029" s="588" t="n"/>
      <c r="BD1029" s="588" t="n"/>
      <c r="BE1029" s="588" t="n"/>
      <c r="BF1029" s="588" t="n"/>
      <c r="BG1029" s="588" t="n"/>
      <c r="BH1029" s="588" t="n"/>
      <c r="BI1029" s="588" t="n"/>
      <c r="BJ1029" s="588" t="n"/>
      <c r="BK1029" s="588" t="n"/>
      <c r="BL1029" s="588" t="n"/>
      <c r="BM1029" s="588" t="n"/>
      <c r="BN1029" s="588" t="n"/>
      <c r="BO1029" s="588" t="n"/>
      <c r="BP1029" s="588" t="n"/>
      <c r="BQ1029" s="588" t="n"/>
      <c r="BR1029" s="588" t="n"/>
      <c r="BS1029" s="588" t="n"/>
      <c r="BT1029" s="588" t="n"/>
      <c r="BU1029" s="588" t="n"/>
      <c r="BV1029" s="588" t="n"/>
      <c r="BW1029" s="588" t="n"/>
      <c r="BX1029" s="588" t="n"/>
      <c r="BY1029" s="588" t="n"/>
      <c r="BZ1029" s="588" t="n"/>
      <c r="CA1029" s="588" t="n"/>
      <c r="CB1029" s="588" t="n"/>
      <c r="CC1029" s="588" t="n"/>
      <c r="CD1029" s="588" t="n"/>
      <c r="CE1029" s="588" t="n"/>
      <c r="CF1029" s="588" t="n"/>
      <c r="CG1029" s="588" t="n"/>
      <c r="CH1029" s="588" t="n"/>
      <c r="CI1029" s="588" t="n"/>
      <c r="CJ1029" s="588" t="n"/>
      <c r="CK1029" s="588" t="n"/>
      <c r="CL1029" s="588" t="n"/>
      <c r="CM1029" s="588" t="n"/>
      <c r="CN1029" s="588" t="n"/>
      <c r="CO1029" s="588" t="n"/>
      <c r="CP1029" s="588" t="n"/>
      <c r="CQ1029" s="588" t="n"/>
      <c r="CR1029" s="588" t="n"/>
      <c r="CS1029" s="588" t="n"/>
      <c r="CT1029" s="588" t="n"/>
      <c r="CU1029" s="588" t="n"/>
      <c r="CV1029" s="588" t="n"/>
      <c r="CW1029" s="588" t="n"/>
      <c r="CX1029" s="588" t="n"/>
      <c r="CY1029" s="588" t="n"/>
      <c r="CZ1029" s="588" t="n"/>
      <c r="DA1029" s="588" t="n"/>
      <c r="DB1029" s="588" t="n"/>
      <c r="DC1029" s="588" t="n"/>
      <c r="DD1029" s="588" t="n"/>
      <c r="DE1029" s="588" t="n"/>
      <c r="DF1029" s="588" t="n"/>
      <c r="DG1029" s="588" t="n"/>
      <c r="DH1029" s="588" t="n"/>
      <c r="DI1029" s="588" t="n"/>
      <c r="DJ1029" s="588" t="n"/>
      <c r="DK1029" s="588" t="n"/>
      <c r="DL1029" s="588" t="n"/>
      <c r="DM1029" s="588" t="n"/>
      <c r="DN1029" s="588" t="n"/>
      <c r="DO1029" s="588" t="n"/>
      <c r="DP1029" s="588" t="n"/>
      <c r="DQ1029" s="588" t="n"/>
      <c r="DR1029" s="588" t="n"/>
      <c r="DS1029" s="588" t="n"/>
      <c r="DT1029" s="588" t="n"/>
      <c r="DU1029" s="588" t="n"/>
    </row>
    <row r="1030">
      <c r="A1030" s="737" t="n"/>
      <c r="B1030" s="737" t="n"/>
      <c r="C1030" s="737" t="n"/>
      <c r="D1030" s="737" t="n"/>
      <c r="E1030" s="737" t="n"/>
      <c r="F1030" s="737" t="n"/>
      <c r="G1030" s="737" t="n"/>
      <c r="H1030" s="737" t="n"/>
      <c r="I1030" s="737" t="n"/>
      <c r="J1030" s="737" t="n"/>
      <c r="K1030" s="737" t="n"/>
      <c r="L1030" s="737" t="n"/>
      <c r="M1030" s="737" t="n"/>
      <c r="N1030" s="737" t="n"/>
      <c r="O1030" s="737" t="n"/>
      <c r="P1030" s="737" t="n"/>
      <c r="Q1030" s="737" t="n"/>
      <c r="R1030" s="737" t="n"/>
      <c r="S1030" s="737" t="n"/>
      <c r="T1030" s="737" t="n"/>
      <c r="U1030" s="737" t="n"/>
      <c r="V1030" s="737" t="n"/>
      <c r="W1030" s="737" t="n"/>
      <c r="X1030" s="737" t="n"/>
      <c r="Y1030" s="737" t="n"/>
      <c r="Z1030" s="737" t="n"/>
      <c r="AA1030" s="737" t="n"/>
      <c r="AB1030" s="737" t="n"/>
      <c r="AC1030" s="737" t="n"/>
      <c r="AD1030" s="737" t="n"/>
      <c r="AE1030" s="737" t="n"/>
      <c r="AF1030" s="737" t="n"/>
      <c r="AG1030" s="737" t="n"/>
      <c r="AH1030" s="737" t="n"/>
      <c r="AI1030" s="737" t="n"/>
      <c r="AJ1030" s="737" t="n"/>
      <c r="AK1030" s="588" t="n"/>
      <c r="AL1030" s="588" t="n"/>
      <c r="AM1030" s="588" t="n"/>
      <c r="AN1030" s="588" t="n"/>
      <c r="AO1030" s="588" t="n"/>
      <c r="AP1030" s="588" t="n"/>
      <c r="AQ1030" s="588" t="n"/>
      <c r="AR1030" s="588" t="n"/>
      <c r="AS1030" s="588" t="n"/>
      <c r="AT1030" s="588" t="n"/>
      <c r="AU1030" s="588" t="n"/>
      <c r="AV1030" s="588" t="n"/>
      <c r="AW1030" s="588" t="n"/>
      <c r="AX1030" s="588" t="n"/>
      <c r="AY1030" s="588" t="n"/>
      <c r="AZ1030" s="588" t="n"/>
      <c r="BA1030" s="588" t="n"/>
      <c r="BB1030" s="588" t="n"/>
      <c r="BC1030" s="588" t="n"/>
      <c r="BD1030" s="588" t="n"/>
      <c r="BE1030" s="588" t="n"/>
      <c r="BF1030" s="588" t="n"/>
      <c r="BG1030" s="588" t="n"/>
      <c r="BH1030" s="588" t="n"/>
      <c r="BI1030" s="588" t="n"/>
      <c r="BJ1030" s="588" t="n"/>
      <c r="BK1030" s="588" t="n"/>
      <c r="BL1030" s="588" t="n"/>
      <c r="BM1030" s="588" t="n"/>
      <c r="BN1030" s="588" t="n"/>
      <c r="BO1030" s="588" t="n"/>
      <c r="BP1030" s="588" t="n"/>
      <c r="BQ1030" s="588" t="n"/>
      <c r="BR1030" s="588" t="n"/>
      <c r="BS1030" s="588" t="n"/>
      <c r="BT1030" s="588" t="n"/>
      <c r="BU1030" s="588" t="n"/>
      <c r="BV1030" s="588" t="n"/>
      <c r="BW1030" s="588" t="n"/>
      <c r="BX1030" s="588" t="n"/>
      <c r="BY1030" s="588" t="n"/>
      <c r="BZ1030" s="588" t="n"/>
      <c r="CA1030" s="588" t="n"/>
      <c r="CB1030" s="588" t="n"/>
      <c r="CC1030" s="588" t="n"/>
      <c r="CD1030" s="588" t="n"/>
      <c r="CE1030" s="588" t="n"/>
      <c r="CF1030" s="588" t="n"/>
      <c r="CG1030" s="588" t="n"/>
      <c r="CH1030" s="588" t="n"/>
      <c r="CI1030" s="588" t="n"/>
      <c r="CJ1030" s="588" t="n"/>
      <c r="CK1030" s="588" t="n"/>
      <c r="CL1030" s="588" t="n"/>
      <c r="CM1030" s="588" t="n"/>
      <c r="CN1030" s="588" t="n"/>
      <c r="CO1030" s="588" t="n"/>
      <c r="CP1030" s="588" t="n"/>
      <c r="CQ1030" s="588" t="n"/>
      <c r="CR1030" s="588" t="n"/>
      <c r="CS1030" s="588" t="n"/>
      <c r="CT1030" s="588" t="n"/>
      <c r="CU1030" s="588" t="n"/>
      <c r="CV1030" s="588" t="n"/>
      <c r="CW1030" s="588" t="n"/>
      <c r="CX1030" s="588" t="n"/>
      <c r="CY1030" s="588" t="n"/>
      <c r="CZ1030" s="588" t="n"/>
      <c r="DA1030" s="588" t="n"/>
      <c r="DB1030" s="588" t="n"/>
      <c r="DC1030" s="588" t="n"/>
      <c r="DD1030" s="588" t="n"/>
      <c r="DE1030" s="588" t="n"/>
      <c r="DF1030" s="588" t="n"/>
      <c r="DG1030" s="588" t="n"/>
      <c r="DH1030" s="588" t="n"/>
      <c r="DI1030" s="588" t="n"/>
      <c r="DJ1030" s="588" t="n"/>
      <c r="DK1030" s="588" t="n"/>
      <c r="DL1030" s="588" t="n"/>
      <c r="DM1030" s="588" t="n"/>
      <c r="DN1030" s="588" t="n"/>
      <c r="DO1030" s="588" t="n"/>
      <c r="DP1030" s="588" t="n"/>
      <c r="DQ1030" s="588" t="n"/>
      <c r="DR1030" s="588" t="n"/>
      <c r="DS1030" s="588" t="n"/>
      <c r="DT1030" s="588" t="n"/>
      <c r="DU1030" s="588" t="n"/>
    </row>
    <row r="1031">
      <c r="A1031" s="737" t="n"/>
      <c r="B1031" s="737" t="n"/>
      <c r="C1031" s="737" t="n"/>
      <c r="D1031" s="737" t="n"/>
      <c r="E1031" s="737" t="n"/>
      <c r="F1031" s="737" t="n"/>
      <c r="G1031" s="737" t="n"/>
      <c r="H1031" s="737" t="n"/>
      <c r="I1031" s="737" t="n"/>
      <c r="J1031" s="737" t="n"/>
      <c r="K1031" s="737" t="n"/>
      <c r="L1031" s="737" t="n"/>
      <c r="M1031" s="737" t="n"/>
      <c r="N1031" s="737" t="n"/>
      <c r="O1031" s="737" t="n"/>
      <c r="P1031" s="737" t="n"/>
      <c r="Q1031" s="737" t="n"/>
      <c r="R1031" s="737" t="n"/>
      <c r="S1031" s="737" t="n"/>
      <c r="T1031" s="737" t="n"/>
      <c r="U1031" s="737" t="n"/>
      <c r="V1031" s="737" t="n"/>
      <c r="W1031" s="737" t="n"/>
      <c r="X1031" s="737" t="n"/>
      <c r="Y1031" s="737" t="n"/>
      <c r="Z1031" s="737" t="n"/>
      <c r="AA1031" s="737" t="n"/>
      <c r="AB1031" s="737" t="n"/>
      <c r="AC1031" s="737" t="n"/>
      <c r="AD1031" s="737" t="n"/>
      <c r="AE1031" s="737" t="n"/>
      <c r="AF1031" s="737" t="n"/>
      <c r="AG1031" s="737" t="n"/>
      <c r="AH1031" s="737" t="n"/>
      <c r="AI1031" s="737" t="n"/>
      <c r="AJ1031" s="737" t="n"/>
      <c r="AK1031" s="588" t="n"/>
      <c r="AL1031" s="588" t="n"/>
      <c r="AM1031" s="588" t="n"/>
      <c r="AN1031" s="588" t="n"/>
      <c r="AO1031" s="588" t="n"/>
      <c r="AP1031" s="588" t="n"/>
      <c r="AQ1031" s="588" t="n"/>
      <c r="AR1031" s="588" t="n"/>
      <c r="AS1031" s="588" t="n"/>
      <c r="AT1031" s="588" t="n"/>
      <c r="AU1031" s="588" t="n"/>
      <c r="AV1031" s="588" t="n"/>
      <c r="AW1031" s="588" t="n"/>
      <c r="AX1031" s="588" t="n"/>
      <c r="AY1031" s="588" t="n"/>
      <c r="AZ1031" s="588" t="n"/>
      <c r="BA1031" s="588" t="n"/>
      <c r="BB1031" s="588" t="n"/>
      <c r="BC1031" s="588" t="n"/>
      <c r="BD1031" s="588" t="n"/>
      <c r="BE1031" s="588" t="n"/>
      <c r="BF1031" s="588" t="n"/>
      <c r="BG1031" s="588" t="n"/>
      <c r="BH1031" s="588" t="n"/>
      <c r="BI1031" s="588" t="n"/>
      <c r="BJ1031" s="588" t="n"/>
      <c r="BK1031" s="588" t="n"/>
      <c r="BL1031" s="588" t="n"/>
      <c r="BM1031" s="588" t="n"/>
      <c r="BN1031" s="588" t="n"/>
      <c r="BO1031" s="588" t="n"/>
      <c r="BP1031" s="588" t="n"/>
      <c r="BQ1031" s="588" t="n"/>
      <c r="BR1031" s="588" t="n"/>
      <c r="BS1031" s="588" t="n"/>
      <c r="BT1031" s="588" t="n"/>
      <c r="BU1031" s="588" t="n"/>
      <c r="BV1031" s="588" t="n"/>
      <c r="BW1031" s="588" t="n"/>
      <c r="BX1031" s="588" t="n"/>
      <c r="BY1031" s="588" t="n"/>
      <c r="BZ1031" s="588" t="n"/>
      <c r="CA1031" s="588" t="n"/>
      <c r="CB1031" s="588" t="n"/>
      <c r="CC1031" s="588" t="n"/>
      <c r="CD1031" s="588" t="n"/>
      <c r="CE1031" s="588" t="n"/>
      <c r="CF1031" s="588" t="n"/>
      <c r="CG1031" s="588" t="n"/>
      <c r="CH1031" s="588" t="n"/>
      <c r="CI1031" s="588" t="n"/>
      <c r="CJ1031" s="588" t="n"/>
      <c r="CK1031" s="588" t="n"/>
      <c r="CL1031" s="588" t="n"/>
      <c r="CM1031" s="588" t="n"/>
      <c r="CN1031" s="588" t="n"/>
      <c r="CO1031" s="588" t="n"/>
      <c r="CP1031" s="588" t="n"/>
      <c r="CQ1031" s="588" t="n"/>
      <c r="CR1031" s="588" t="n"/>
      <c r="CS1031" s="588" t="n"/>
      <c r="CT1031" s="588" t="n"/>
      <c r="CU1031" s="588" t="n"/>
      <c r="CV1031" s="588" t="n"/>
      <c r="CW1031" s="588" t="n"/>
      <c r="CX1031" s="588" t="n"/>
      <c r="CY1031" s="588" t="n"/>
      <c r="CZ1031" s="588" t="n"/>
      <c r="DA1031" s="588" t="n"/>
      <c r="DB1031" s="588" t="n"/>
      <c r="DC1031" s="588" t="n"/>
      <c r="DD1031" s="588" t="n"/>
      <c r="DE1031" s="588" t="n"/>
      <c r="DF1031" s="588" t="n"/>
      <c r="DG1031" s="588" t="n"/>
      <c r="DH1031" s="588" t="n"/>
      <c r="DI1031" s="588" t="n"/>
      <c r="DJ1031" s="588" t="n"/>
      <c r="DK1031" s="588" t="n"/>
      <c r="DL1031" s="588" t="n"/>
      <c r="DM1031" s="588" t="n"/>
      <c r="DN1031" s="588" t="n"/>
      <c r="DO1031" s="588" t="n"/>
      <c r="DP1031" s="588" t="n"/>
      <c r="DQ1031" s="588" t="n"/>
      <c r="DR1031" s="588" t="n"/>
      <c r="DS1031" s="588" t="n"/>
      <c r="DT1031" s="588" t="n"/>
      <c r="DU1031" s="588" t="n"/>
    </row>
    <row r="1032">
      <c r="A1032" s="737" t="n"/>
      <c r="B1032" s="737" t="n"/>
      <c r="C1032" s="737" t="n"/>
      <c r="D1032" s="737" t="n"/>
      <c r="E1032" s="737" t="n"/>
      <c r="F1032" s="737" t="n"/>
      <c r="G1032" s="737" t="n"/>
      <c r="H1032" s="737" t="n"/>
      <c r="I1032" s="737" t="n"/>
      <c r="J1032" s="737" t="n"/>
      <c r="K1032" s="737" t="n"/>
      <c r="L1032" s="737" t="n"/>
      <c r="M1032" s="737" t="n"/>
      <c r="N1032" s="737" t="n"/>
      <c r="O1032" s="737" t="n"/>
      <c r="P1032" s="737" t="n"/>
      <c r="Q1032" s="737" t="n"/>
      <c r="R1032" s="737" t="n"/>
      <c r="S1032" s="737" t="n"/>
      <c r="T1032" s="737" t="n"/>
      <c r="U1032" s="737" t="n"/>
      <c r="V1032" s="737" t="n"/>
      <c r="W1032" s="737" t="n"/>
      <c r="X1032" s="737" t="n"/>
      <c r="Y1032" s="737" t="n"/>
      <c r="Z1032" s="737" t="n"/>
      <c r="AA1032" s="737" t="n"/>
      <c r="AB1032" s="737" t="n"/>
      <c r="AC1032" s="737" t="n"/>
      <c r="AD1032" s="737" t="n"/>
      <c r="AE1032" s="737" t="n"/>
      <c r="AF1032" s="737" t="n"/>
      <c r="AG1032" s="737" t="n"/>
      <c r="AH1032" s="737" t="n"/>
      <c r="AI1032" s="737" t="n"/>
      <c r="AJ1032" s="737" t="n"/>
      <c r="AK1032" s="588" t="n"/>
      <c r="AL1032" s="588" t="n"/>
      <c r="AM1032" s="588" t="n"/>
      <c r="AN1032" s="588" t="n"/>
      <c r="AO1032" s="588" t="n"/>
      <c r="AP1032" s="588" t="n"/>
      <c r="AQ1032" s="588" t="n"/>
      <c r="AR1032" s="588" t="n"/>
      <c r="AS1032" s="588" t="n"/>
      <c r="AT1032" s="588" t="n"/>
      <c r="AU1032" s="588" t="n"/>
      <c r="AV1032" s="588" t="n"/>
      <c r="AW1032" s="588" t="n"/>
      <c r="AX1032" s="588" t="n"/>
      <c r="AY1032" s="588" t="n"/>
      <c r="AZ1032" s="588" t="n"/>
      <c r="BA1032" s="588" t="n"/>
      <c r="BB1032" s="588" t="n"/>
      <c r="BC1032" s="588" t="n"/>
      <c r="BD1032" s="588" t="n"/>
      <c r="BE1032" s="588" t="n"/>
      <c r="BF1032" s="588" t="n"/>
      <c r="BG1032" s="588" t="n"/>
      <c r="BH1032" s="588" t="n"/>
      <c r="BI1032" s="588" t="n"/>
      <c r="BJ1032" s="588" t="n"/>
      <c r="BK1032" s="588" t="n"/>
      <c r="BL1032" s="588" t="n"/>
      <c r="BM1032" s="588" t="n"/>
      <c r="BN1032" s="588" t="n"/>
      <c r="BO1032" s="588" t="n"/>
      <c r="BP1032" s="588" t="n"/>
      <c r="BQ1032" s="588" t="n"/>
      <c r="BR1032" s="588" t="n"/>
      <c r="BS1032" s="588" t="n"/>
      <c r="BT1032" s="588" t="n"/>
      <c r="BU1032" s="588" t="n"/>
      <c r="BV1032" s="588" t="n"/>
      <c r="BW1032" s="588" t="n"/>
      <c r="BX1032" s="588" t="n"/>
      <c r="BY1032" s="588" t="n"/>
      <c r="BZ1032" s="588" t="n"/>
      <c r="CA1032" s="588" t="n"/>
      <c r="CB1032" s="588" t="n"/>
      <c r="CC1032" s="588" t="n"/>
      <c r="CD1032" s="588" t="n"/>
      <c r="CE1032" s="588" t="n"/>
      <c r="CF1032" s="588" t="n"/>
      <c r="CG1032" s="588" t="n"/>
      <c r="CH1032" s="588" t="n"/>
      <c r="CI1032" s="588" t="n"/>
      <c r="CJ1032" s="588" t="n"/>
      <c r="CK1032" s="588" t="n"/>
      <c r="CL1032" s="588" t="n"/>
      <c r="CM1032" s="588" t="n"/>
      <c r="CN1032" s="588" t="n"/>
      <c r="CO1032" s="588" t="n"/>
      <c r="CP1032" s="588" t="n"/>
      <c r="CQ1032" s="588" t="n"/>
      <c r="CR1032" s="588" t="n"/>
      <c r="CS1032" s="588" t="n"/>
      <c r="CT1032" s="588" t="n"/>
      <c r="CU1032" s="588" t="n"/>
      <c r="CV1032" s="588" t="n"/>
      <c r="CW1032" s="588" t="n"/>
      <c r="CX1032" s="588" t="n"/>
      <c r="CY1032" s="588" t="n"/>
      <c r="CZ1032" s="588" t="n"/>
      <c r="DA1032" s="588" t="n"/>
      <c r="DB1032" s="588" t="n"/>
      <c r="DC1032" s="588" t="n"/>
      <c r="DD1032" s="588" t="n"/>
      <c r="DE1032" s="588" t="n"/>
      <c r="DF1032" s="588" t="n"/>
      <c r="DG1032" s="588" t="n"/>
      <c r="DH1032" s="588" t="n"/>
      <c r="DI1032" s="588" t="n"/>
      <c r="DJ1032" s="588" t="n"/>
      <c r="DK1032" s="588" t="n"/>
      <c r="DL1032" s="588" t="n"/>
      <c r="DM1032" s="588" t="n"/>
      <c r="DN1032" s="588" t="n"/>
      <c r="DO1032" s="588" t="n"/>
      <c r="DP1032" s="588" t="n"/>
      <c r="DQ1032" s="588" t="n"/>
      <c r="DR1032" s="588" t="n"/>
      <c r="DS1032" s="588" t="n"/>
      <c r="DT1032" s="588" t="n"/>
      <c r="DU1032" s="588" t="n"/>
    </row>
    <row r="1033">
      <c r="A1033" s="737" t="n"/>
      <c r="B1033" s="737" t="n"/>
      <c r="C1033" s="737" t="n"/>
      <c r="D1033" s="737" t="n"/>
      <c r="E1033" s="737" t="n"/>
      <c r="F1033" s="737" t="n"/>
      <c r="G1033" s="737" t="n"/>
      <c r="H1033" s="737" t="n"/>
      <c r="I1033" s="737" t="n"/>
      <c r="J1033" s="737" t="n"/>
      <c r="K1033" s="737" t="n"/>
      <c r="L1033" s="737" t="n"/>
      <c r="M1033" s="737" t="n"/>
      <c r="N1033" s="737" t="n"/>
      <c r="O1033" s="737" t="n"/>
      <c r="P1033" s="737" t="n"/>
      <c r="Q1033" s="737" t="n"/>
      <c r="R1033" s="737" t="n"/>
      <c r="S1033" s="737" t="n"/>
      <c r="T1033" s="737" t="n"/>
      <c r="U1033" s="737" t="n"/>
      <c r="V1033" s="737" t="n"/>
      <c r="W1033" s="737" t="n"/>
      <c r="X1033" s="737" t="n"/>
      <c r="Y1033" s="737" t="n"/>
      <c r="Z1033" s="737" t="n"/>
      <c r="AA1033" s="737" t="n"/>
      <c r="AB1033" s="737" t="n"/>
      <c r="AC1033" s="737" t="n"/>
      <c r="AD1033" s="737" t="n"/>
      <c r="AE1033" s="737" t="n"/>
      <c r="AF1033" s="737" t="n"/>
      <c r="AG1033" s="737" t="n"/>
      <c r="AH1033" s="737" t="n"/>
      <c r="AI1033" s="737" t="n"/>
      <c r="AJ1033" s="737" t="n"/>
      <c r="AK1033" s="588" t="n"/>
      <c r="AL1033" s="588" t="n"/>
      <c r="AM1033" s="588" t="n"/>
      <c r="AN1033" s="588" t="n"/>
      <c r="AO1033" s="588" t="n"/>
      <c r="AP1033" s="588" t="n"/>
      <c r="AQ1033" s="588" t="n"/>
      <c r="AR1033" s="588" t="n"/>
      <c r="AS1033" s="588" t="n"/>
      <c r="AT1033" s="588" t="n"/>
      <c r="AU1033" s="588" t="n"/>
      <c r="AV1033" s="588" t="n"/>
      <c r="AW1033" s="588" t="n"/>
      <c r="AX1033" s="588" t="n"/>
      <c r="AY1033" s="588" t="n"/>
      <c r="AZ1033" s="588" t="n"/>
      <c r="BA1033" s="588" t="n"/>
      <c r="BB1033" s="588" t="n"/>
      <c r="BC1033" s="588" t="n"/>
      <c r="BD1033" s="588" t="n"/>
      <c r="BE1033" s="588" t="n"/>
      <c r="BF1033" s="588" t="n"/>
      <c r="BG1033" s="588" t="n"/>
      <c r="BH1033" s="588" t="n"/>
      <c r="BI1033" s="588" t="n"/>
      <c r="BJ1033" s="588" t="n"/>
      <c r="BK1033" s="588" t="n"/>
      <c r="BL1033" s="588" t="n"/>
      <c r="BM1033" s="588" t="n"/>
      <c r="BN1033" s="588" t="n"/>
      <c r="BO1033" s="588" t="n"/>
      <c r="BP1033" s="588" t="n"/>
      <c r="BQ1033" s="588" t="n"/>
      <c r="BR1033" s="588" t="n"/>
      <c r="BS1033" s="588" t="n"/>
      <c r="BT1033" s="588" t="n"/>
      <c r="BU1033" s="588" t="n"/>
      <c r="BV1033" s="588" t="n"/>
      <c r="BW1033" s="588" t="n"/>
      <c r="BX1033" s="588" t="n"/>
      <c r="BY1033" s="588" t="n"/>
      <c r="BZ1033" s="588" t="n"/>
      <c r="CA1033" s="588" t="n"/>
      <c r="CB1033" s="588" t="n"/>
      <c r="CC1033" s="588" t="n"/>
      <c r="CD1033" s="588" t="n"/>
      <c r="CE1033" s="588" t="n"/>
      <c r="CF1033" s="588" t="n"/>
      <c r="CG1033" s="588" t="n"/>
      <c r="CH1033" s="588" t="n"/>
      <c r="CI1033" s="588" t="n"/>
      <c r="CJ1033" s="588" t="n"/>
      <c r="CK1033" s="588" t="n"/>
      <c r="CL1033" s="588" t="n"/>
      <c r="CM1033" s="588" t="n"/>
      <c r="CN1033" s="588" t="n"/>
      <c r="CO1033" s="588" t="n"/>
      <c r="CP1033" s="588" t="n"/>
      <c r="CQ1033" s="588" t="n"/>
      <c r="CR1033" s="588" t="n"/>
      <c r="CS1033" s="588" t="n"/>
      <c r="CT1033" s="588" t="n"/>
      <c r="CU1033" s="588" t="n"/>
      <c r="CV1033" s="588" t="n"/>
      <c r="CW1033" s="588" t="n"/>
      <c r="CX1033" s="588" t="n"/>
      <c r="CY1033" s="588" t="n"/>
      <c r="CZ1033" s="588" t="n"/>
      <c r="DA1033" s="588" t="n"/>
      <c r="DB1033" s="588" t="n"/>
      <c r="DC1033" s="588" t="n"/>
      <c r="DD1033" s="588" t="n"/>
      <c r="DE1033" s="588" t="n"/>
      <c r="DF1033" s="588" t="n"/>
      <c r="DG1033" s="588" t="n"/>
      <c r="DH1033" s="588" t="n"/>
      <c r="DI1033" s="588" t="n"/>
      <c r="DJ1033" s="588" t="n"/>
      <c r="DK1033" s="588" t="n"/>
      <c r="DL1033" s="588" t="n"/>
      <c r="DM1033" s="588" t="n"/>
      <c r="DN1033" s="588" t="n"/>
      <c r="DO1033" s="588" t="n"/>
      <c r="DP1033" s="588" t="n"/>
      <c r="DQ1033" s="588" t="n"/>
      <c r="DR1033" s="588" t="n"/>
      <c r="DS1033" s="588" t="n"/>
      <c r="DT1033" s="588" t="n"/>
      <c r="DU1033" s="588" t="n"/>
    </row>
    <row r="1034">
      <c r="A1034" s="737" t="n"/>
      <c r="B1034" s="737" t="n"/>
      <c r="C1034" s="737" t="n"/>
      <c r="D1034" s="737" t="n"/>
      <c r="E1034" s="737" t="n"/>
      <c r="F1034" s="737" t="n"/>
      <c r="G1034" s="737" t="n"/>
      <c r="H1034" s="737" t="n"/>
      <c r="I1034" s="737" t="n"/>
      <c r="J1034" s="737" t="n"/>
      <c r="K1034" s="737" t="n"/>
      <c r="L1034" s="737" t="n"/>
      <c r="M1034" s="737" t="n"/>
      <c r="N1034" s="737" t="n"/>
      <c r="O1034" s="737" t="n"/>
      <c r="P1034" s="737" t="n"/>
      <c r="Q1034" s="737" t="n"/>
      <c r="R1034" s="737" t="n"/>
      <c r="S1034" s="737" t="n"/>
      <c r="T1034" s="737" t="n"/>
      <c r="U1034" s="737" t="n"/>
      <c r="V1034" s="737" t="n"/>
      <c r="W1034" s="737" t="n"/>
      <c r="X1034" s="737" t="n"/>
      <c r="Y1034" s="737" t="n"/>
      <c r="Z1034" s="737" t="n"/>
      <c r="AA1034" s="737" t="n"/>
      <c r="AB1034" s="737" t="n"/>
      <c r="AC1034" s="737" t="n"/>
      <c r="AD1034" s="737" t="n"/>
      <c r="AE1034" s="737" t="n"/>
      <c r="AF1034" s="737" t="n"/>
      <c r="AG1034" s="737" t="n"/>
      <c r="AH1034" s="737" t="n"/>
      <c r="AI1034" s="737" t="n"/>
      <c r="AJ1034" s="737" t="n"/>
      <c r="AK1034" s="588" t="n"/>
      <c r="AL1034" s="588" t="n"/>
      <c r="AM1034" s="588" t="n"/>
      <c r="AN1034" s="588" t="n"/>
      <c r="AO1034" s="588" t="n"/>
      <c r="AP1034" s="588" t="n"/>
      <c r="AQ1034" s="588" t="n"/>
      <c r="AR1034" s="588" t="n"/>
      <c r="AS1034" s="588" t="n"/>
      <c r="AT1034" s="588" t="n"/>
      <c r="AU1034" s="588" t="n"/>
      <c r="AV1034" s="588" t="n"/>
      <c r="AW1034" s="588" t="n"/>
      <c r="AX1034" s="588" t="n"/>
      <c r="AY1034" s="588" t="n"/>
      <c r="AZ1034" s="588" t="n"/>
      <c r="BA1034" s="588" t="n"/>
      <c r="BB1034" s="588" t="n"/>
      <c r="BC1034" s="588" t="n"/>
      <c r="BD1034" s="588" t="n"/>
      <c r="BE1034" s="588" t="n"/>
      <c r="BF1034" s="588" t="n"/>
      <c r="BG1034" s="588" t="n"/>
      <c r="BH1034" s="588" t="n"/>
      <c r="BI1034" s="588" t="n"/>
      <c r="BJ1034" s="588" t="n"/>
      <c r="BK1034" s="588" t="n"/>
      <c r="BL1034" s="588" t="n"/>
      <c r="BM1034" s="588" t="n"/>
      <c r="BN1034" s="588" t="n"/>
      <c r="BO1034" s="588" t="n"/>
      <c r="BP1034" s="588" t="n"/>
      <c r="BQ1034" s="588" t="n"/>
      <c r="BR1034" s="588" t="n"/>
      <c r="BS1034" s="588" t="n"/>
      <c r="BT1034" s="588" t="n"/>
      <c r="BU1034" s="588" t="n"/>
      <c r="BV1034" s="588" t="n"/>
      <c r="BW1034" s="588" t="n"/>
      <c r="BX1034" s="588" t="n"/>
      <c r="BY1034" s="588" t="n"/>
      <c r="BZ1034" s="588" t="n"/>
      <c r="CA1034" s="588" t="n"/>
      <c r="CB1034" s="588" t="n"/>
      <c r="CC1034" s="588" t="n"/>
      <c r="CD1034" s="588" t="n"/>
      <c r="CE1034" s="588" t="n"/>
      <c r="CF1034" s="588" t="n"/>
      <c r="CG1034" s="588" t="n"/>
      <c r="CH1034" s="588" t="n"/>
      <c r="CI1034" s="588" t="n"/>
      <c r="CJ1034" s="588" t="n"/>
      <c r="CK1034" s="588" t="n"/>
      <c r="CL1034" s="588" t="n"/>
      <c r="CM1034" s="588" t="n"/>
      <c r="CN1034" s="588" t="n"/>
      <c r="CO1034" s="588" t="n"/>
      <c r="CP1034" s="588" t="n"/>
      <c r="CQ1034" s="588" t="n"/>
      <c r="CR1034" s="588" t="n"/>
      <c r="CS1034" s="588" t="n"/>
      <c r="CT1034" s="588" t="n"/>
      <c r="CU1034" s="588" t="n"/>
      <c r="CV1034" s="588" t="n"/>
      <c r="CW1034" s="588" t="n"/>
      <c r="CX1034" s="588" t="n"/>
      <c r="CY1034" s="588" t="n"/>
      <c r="CZ1034" s="588" t="n"/>
      <c r="DA1034" s="588" t="n"/>
      <c r="DB1034" s="588" t="n"/>
      <c r="DC1034" s="588" t="n"/>
      <c r="DD1034" s="588" t="n"/>
      <c r="DE1034" s="588" t="n"/>
      <c r="DF1034" s="588" t="n"/>
      <c r="DG1034" s="588" t="n"/>
      <c r="DH1034" s="588" t="n"/>
      <c r="DI1034" s="588" t="n"/>
      <c r="DJ1034" s="588" t="n"/>
      <c r="DK1034" s="588" t="n"/>
      <c r="DL1034" s="588" t="n"/>
      <c r="DM1034" s="588" t="n"/>
      <c r="DN1034" s="588" t="n"/>
      <c r="DO1034" s="588" t="n"/>
      <c r="DP1034" s="588" t="n"/>
      <c r="DQ1034" s="588" t="n"/>
      <c r="DR1034" s="588" t="n"/>
      <c r="DS1034" s="588" t="n"/>
      <c r="DT1034" s="588" t="n"/>
      <c r="DU1034" s="588" t="n"/>
    </row>
    <row r="1035">
      <c r="A1035" s="737" t="n"/>
      <c r="B1035" s="737" t="n"/>
      <c r="C1035" s="737" t="n"/>
      <c r="D1035" s="737" t="n"/>
      <c r="E1035" s="737" t="n"/>
      <c r="F1035" s="737" t="n"/>
      <c r="G1035" s="737" t="n"/>
      <c r="H1035" s="737" t="n"/>
      <c r="I1035" s="737" t="n"/>
      <c r="J1035" s="737" t="n"/>
      <c r="K1035" s="737" t="n"/>
      <c r="L1035" s="737" t="n"/>
      <c r="M1035" s="737" t="n"/>
      <c r="N1035" s="737" t="n"/>
      <c r="O1035" s="737" t="n"/>
      <c r="P1035" s="737" t="n"/>
      <c r="Q1035" s="737" t="n"/>
      <c r="R1035" s="737" t="n"/>
      <c r="S1035" s="737" t="n"/>
      <c r="T1035" s="737" t="n"/>
      <c r="U1035" s="737" t="n"/>
      <c r="V1035" s="737" t="n"/>
      <c r="W1035" s="737" t="n"/>
      <c r="X1035" s="737" t="n"/>
      <c r="Y1035" s="737" t="n"/>
      <c r="Z1035" s="737" t="n"/>
      <c r="AA1035" s="737" t="n"/>
      <c r="AB1035" s="737" t="n"/>
      <c r="AC1035" s="737" t="n"/>
      <c r="AD1035" s="737" t="n"/>
      <c r="AE1035" s="737" t="n"/>
      <c r="AF1035" s="737" t="n"/>
      <c r="AG1035" s="737" t="n"/>
      <c r="AH1035" s="737" t="n"/>
      <c r="AI1035" s="737" t="n"/>
      <c r="AJ1035" s="737" t="n"/>
      <c r="AK1035" s="588" t="n"/>
      <c r="AL1035" s="588" t="n"/>
      <c r="AM1035" s="588" t="n"/>
      <c r="AN1035" s="588" t="n"/>
      <c r="AO1035" s="588" t="n"/>
      <c r="AP1035" s="588" t="n"/>
      <c r="AQ1035" s="588" t="n"/>
      <c r="AR1035" s="588" t="n"/>
      <c r="AS1035" s="588" t="n"/>
      <c r="AT1035" s="588" t="n"/>
      <c r="AU1035" s="588" t="n"/>
      <c r="AV1035" s="588" t="n"/>
      <c r="AW1035" s="588" t="n"/>
      <c r="AX1035" s="588" t="n"/>
      <c r="AY1035" s="588" t="n"/>
      <c r="AZ1035" s="588" t="n"/>
      <c r="BA1035" s="588" t="n"/>
      <c r="BB1035" s="588" t="n"/>
      <c r="BC1035" s="588" t="n"/>
      <c r="BD1035" s="588" t="n"/>
      <c r="BE1035" s="588" t="n"/>
      <c r="BF1035" s="588" t="n"/>
      <c r="BG1035" s="588" t="n"/>
      <c r="BH1035" s="588" t="n"/>
      <c r="BI1035" s="588" t="n"/>
      <c r="BJ1035" s="588" t="n"/>
      <c r="BK1035" s="588" t="n"/>
      <c r="BL1035" s="588" t="n"/>
      <c r="BM1035" s="588" t="n"/>
      <c r="BN1035" s="588" t="n"/>
      <c r="BO1035" s="588" t="n"/>
      <c r="BP1035" s="588" t="n"/>
      <c r="BQ1035" s="588" t="n"/>
      <c r="BR1035" s="588" t="n"/>
      <c r="BS1035" s="588" t="n"/>
      <c r="BT1035" s="588" t="n"/>
      <c r="BU1035" s="588" t="n"/>
      <c r="BV1035" s="588" t="n"/>
      <c r="BW1035" s="588" t="n"/>
      <c r="BX1035" s="588" t="n"/>
      <c r="BY1035" s="588" t="n"/>
      <c r="BZ1035" s="588" t="n"/>
      <c r="CA1035" s="588" t="n"/>
      <c r="CB1035" s="588" t="n"/>
      <c r="CC1035" s="588" t="n"/>
      <c r="CD1035" s="588" t="n"/>
      <c r="CE1035" s="588" t="n"/>
      <c r="CF1035" s="588" t="n"/>
      <c r="CG1035" s="588" t="n"/>
      <c r="CH1035" s="588" t="n"/>
      <c r="CI1035" s="588" t="n"/>
      <c r="CJ1035" s="588" t="n"/>
      <c r="CK1035" s="588" t="n"/>
      <c r="CL1035" s="588" t="n"/>
      <c r="CM1035" s="588" t="n"/>
      <c r="CN1035" s="588" t="n"/>
      <c r="CO1035" s="588" t="n"/>
      <c r="CP1035" s="588" t="n"/>
      <c r="CQ1035" s="588" t="n"/>
      <c r="CR1035" s="588" t="n"/>
      <c r="CS1035" s="588" t="n"/>
      <c r="CT1035" s="588" t="n"/>
      <c r="CU1035" s="588" t="n"/>
      <c r="CV1035" s="588" t="n"/>
      <c r="CW1035" s="588" t="n"/>
      <c r="CX1035" s="588" t="n"/>
      <c r="CY1035" s="588" t="n"/>
      <c r="CZ1035" s="588" t="n"/>
      <c r="DA1035" s="588" t="n"/>
      <c r="DB1035" s="588" t="n"/>
      <c r="DC1035" s="588" t="n"/>
      <c r="DD1035" s="588" t="n"/>
      <c r="DE1035" s="588" t="n"/>
      <c r="DF1035" s="588" t="n"/>
      <c r="DG1035" s="588" t="n"/>
      <c r="DH1035" s="588" t="n"/>
      <c r="DI1035" s="588" t="n"/>
      <c r="DJ1035" s="588" t="n"/>
      <c r="DK1035" s="588" t="n"/>
      <c r="DL1035" s="588" t="n"/>
      <c r="DM1035" s="588" t="n"/>
      <c r="DN1035" s="588" t="n"/>
      <c r="DO1035" s="588" t="n"/>
      <c r="DP1035" s="588" t="n"/>
      <c r="DQ1035" s="588" t="n"/>
      <c r="DR1035" s="588" t="n"/>
      <c r="DS1035" s="588" t="n"/>
      <c r="DT1035" s="588" t="n"/>
      <c r="DU1035" s="588" t="n"/>
    </row>
    <row r="1036">
      <c r="A1036" s="737" t="n"/>
      <c r="B1036" s="737" t="n"/>
      <c r="C1036" s="737" t="n"/>
      <c r="D1036" s="737" t="n"/>
      <c r="E1036" s="737" t="n"/>
      <c r="F1036" s="737" t="n"/>
      <c r="G1036" s="737" t="n"/>
      <c r="H1036" s="737" t="n"/>
      <c r="I1036" s="737" t="n"/>
      <c r="J1036" s="737" t="n"/>
      <c r="K1036" s="737" t="n"/>
      <c r="L1036" s="737" t="n"/>
      <c r="M1036" s="737" t="n"/>
      <c r="N1036" s="737" t="n"/>
      <c r="O1036" s="737" t="n"/>
      <c r="P1036" s="737" t="n"/>
      <c r="Q1036" s="737" t="n"/>
      <c r="R1036" s="737" t="n"/>
      <c r="S1036" s="737" t="n"/>
      <c r="T1036" s="737" t="n"/>
      <c r="U1036" s="737" t="n"/>
      <c r="V1036" s="737" t="n"/>
      <c r="W1036" s="737" t="n"/>
      <c r="X1036" s="737" t="n"/>
      <c r="Y1036" s="737" t="n"/>
      <c r="Z1036" s="737" t="n"/>
      <c r="AA1036" s="737" t="n"/>
      <c r="AB1036" s="737" t="n"/>
      <c r="AC1036" s="737" t="n"/>
      <c r="AD1036" s="737" t="n"/>
      <c r="AE1036" s="737" t="n"/>
      <c r="AF1036" s="737" t="n"/>
      <c r="AG1036" s="737" t="n"/>
      <c r="AH1036" s="737" t="n"/>
      <c r="AI1036" s="737" t="n"/>
      <c r="AJ1036" s="737" t="n"/>
      <c r="AK1036" s="588" t="n"/>
      <c r="AL1036" s="588" t="n"/>
      <c r="AM1036" s="588" t="n"/>
      <c r="AN1036" s="588" t="n"/>
      <c r="AO1036" s="588" t="n"/>
      <c r="AP1036" s="588" t="n"/>
      <c r="AQ1036" s="588" t="n"/>
      <c r="AR1036" s="588" t="n"/>
      <c r="AS1036" s="588" t="n"/>
      <c r="AT1036" s="588" t="n"/>
      <c r="AU1036" s="588" t="n"/>
      <c r="AV1036" s="588" t="n"/>
      <c r="AW1036" s="588" t="n"/>
      <c r="AX1036" s="588" t="n"/>
      <c r="AY1036" s="588" t="n"/>
      <c r="AZ1036" s="588" t="n"/>
      <c r="BA1036" s="588" t="n"/>
      <c r="BB1036" s="588" t="n"/>
      <c r="BC1036" s="588" t="n"/>
      <c r="BD1036" s="588" t="n"/>
      <c r="BE1036" s="588" t="n"/>
      <c r="BF1036" s="588" t="n"/>
      <c r="BG1036" s="588" t="n"/>
      <c r="BH1036" s="588" t="n"/>
      <c r="BI1036" s="588" t="n"/>
      <c r="BJ1036" s="588" t="n"/>
      <c r="BK1036" s="588" t="n"/>
      <c r="BL1036" s="588" t="n"/>
      <c r="BM1036" s="588" t="n"/>
      <c r="BN1036" s="588" t="n"/>
      <c r="BO1036" s="588" t="n"/>
      <c r="BP1036" s="588" t="n"/>
      <c r="BQ1036" s="588" t="n"/>
      <c r="BR1036" s="588" t="n"/>
      <c r="BS1036" s="588" t="n"/>
      <c r="BT1036" s="588" t="n"/>
      <c r="BU1036" s="588" t="n"/>
      <c r="BV1036" s="588" t="n"/>
      <c r="BW1036" s="588" t="n"/>
      <c r="BX1036" s="588" t="n"/>
      <c r="BY1036" s="588" t="n"/>
      <c r="BZ1036" s="588" t="n"/>
      <c r="CA1036" s="588" t="n"/>
      <c r="CB1036" s="588" t="n"/>
      <c r="CC1036" s="588" t="n"/>
      <c r="CD1036" s="588" t="n"/>
      <c r="CE1036" s="588" t="n"/>
      <c r="CF1036" s="588" t="n"/>
      <c r="CG1036" s="588" t="n"/>
      <c r="CH1036" s="588" t="n"/>
      <c r="CI1036" s="588" t="n"/>
      <c r="CJ1036" s="588" t="n"/>
      <c r="CK1036" s="588" t="n"/>
      <c r="CL1036" s="588" t="n"/>
      <c r="CM1036" s="588" t="n"/>
      <c r="CN1036" s="588" t="n"/>
      <c r="CO1036" s="588" t="n"/>
      <c r="CP1036" s="588" t="n"/>
      <c r="CQ1036" s="588" t="n"/>
      <c r="CR1036" s="588" t="n"/>
      <c r="CS1036" s="588" t="n"/>
      <c r="CT1036" s="588" t="n"/>
      <c r="CU1036" s="588" t="n"/>
      <c r="CV1036" s="588" t="n"/>
      <c r="CW1036" s="588" t="n"/>
      <c r="CX1036" s="588" t="n"/>
      <c r="CY1036" s="588" t="n"/>
      <c r="CZ1036" s="588" t="n"/>
      <c r="DA1036" s="588" t="n"/>
      <c r="DB1036" s="588" t="n"/>
      <c r="DC1036" s="588" t="n"/>
      <c r="DD1036" s="588" t="n"/>
      <c r="DE1036" s="588" t="n"/>
      <c r="DF1036" s="588" t="n"/>
      <c r="DG1036" s="588" t="n"/>
      <c r="DH1036" s="588" t="n"/>
      <c r="DI1036" s="588" t="n"/>
      <c r="DJ1036" s="588" t="n"/>
      <c r="DK1036" s="588" t="n"/>
      <c r="DL1036" s="588" t="n"/>
      <c r="DM1036" s="588" t="n"/>
      <c r="DN1036" s="588" t="n"/>
      <c r="DO1036" s="588" t="n"/>
      <c r="DP1036" s="588" t="n"/>
      <c r="DQ1036" s="588" t="n"/>
      <c r="DR1036" s="588" t="n"/>
      <c r="DS1036" s="588" t="n"/>
      <c r="DT1036" s="588" t="n"/>
      <c r="DU1036" s="588" t="n"/>
    </row>
    <row r="1037">
      <c r="A1037" s="737" t="n"/>
      <c r="B1037" s="737" t="n"/>
      <c r="C1037" s="737" t="n"/>
      <c r="D1037" s="737" t="n"/>
      <c r="E1037" s="737" t="n"/>
      <c r="F1037" s="737" t="n"/>
      <c r="G1037" s="737" t="n"/>
      <c r="H1037" s="737" t="n"/>
      <c r="I1037" s="737" t="n"/>
      <c r="J1037" s="737" t="n"/>
      <c r="K1037" s="737" t="n"/>
      <c r="L1037" s="737" t="n"/>
      <c r="M1037" s="737" t="n"/>
      <c r="N1037" s="737" t="n"/>
      <c r="O1037" s="737" t="n"/>
      <c r="P1037" s="737" t="n"/>
      <c r="Q1037" s="737" t="n"/>
      <c r="R1037" s="737" t="n"/>
      <c r="S1037" s="737" t="n"/>
      <c r="T1037" s="737" t="n"/>
      <c r="U1037" s="737" t="n"/>
      <c r="V1037" s="737" t="n"/>
      <c r="W1037" s="737" t="n"/>
      <c r="X1037" s="737" t="n"/>
      <c r="Y1037" s="737" t="n"/>
      <c r="Z1037" s="737" t="n"/>
      <c r="AA1037" s="737" t="n"/>
      <c r="AB1037" s="737" t="n"/>
      <c r="AC1037" s="737" t="n"/>
      <c r="AD1037" s="737" t="n"/>
      <c r="AE1037" s="737" t="n"/>
      <c r="AF1037" s="737" t="n"/>
      <c r="AG1037" s="737" t="n"/>
      <c r="AH1037" s="737" t="n"/>
      <c r="AI1037" s="737" t="n"/>
      <c r="AJ1037" s="737" t="n"/>
      <c r="AK1037" s="588" t="n"/>
      <c r="AL1037" s="588" t="n"/>
      <c r="AM1037" s="588" t="n"/>
      <c r="AN1037" s="588" t="n"/>
      <c r="AO1037" s="588" t="n"/>
      <c r="AP1037" s="588" t="n"/>
      <c r="AQ1037" s="588" t="n"/>
      <c r="AR1037" s="588" t="n"/>
      <c r="AS1037" s="588" t="n"/>
      <c r="AT1037" s="588" t="n"/>
      <c r="AU1037" s="588" t="n"/>
      <c r="AV1037" s="588" t="n"/>
      <c r="AW1037" s="588" t="n"/>
      <c r="AX1037" s="588" t="n"/>
      <c r="AY1037" s="588" t="n"/>
      <c r="AZ1037" s="588" t="n"/>
      <c r="BA1037" s="588" t="n"/>
      <c r="BB1037" s="588" t="n"/>
      <c r="BC1037" s="588" t="n"/>
      <c r="BD1037" s="588" t="n"/>
      <c r="BE1037" s="588" t="n"/>
      <c r="BF1037" s="588" t="n"/>
      <c r="BG1037" s="588" t="n"/>
      <c r="BH1037" s="588" t="n"/>
      <c r="BI1037" s="588" t="n"/>
      <c r="BJ1037" s="588" t="n"/>
      <c r="BK1037" s="588" t="n"/>
      <c r="BL1037" s="588" t="n"/>
      <c r="BM1037" s="588" t="n"/>
      <c r="BN1037" s="588" t="n"/>
      <c r="BO1037" s="588" t="n"/>
      <c r="BP1037" s="588" t="n"/>
      <c r="BQ1037" s="588" t="n"/>
      <c r="BR1037" s="588" t="n"/>
      <c r="BS1037" s="588" t="n"/>
      <c r="BT1037" s="588" t="n"/>
      <c r="BU1037" s="588" t="n"/>
      <c r="BV1037" s="588" t="n"/>
      <c r="BW1037" s="588" t="n"/>
      <c r="BX1037" s="588" t="n"/>
      <c r="BY1037" s="588" t="n"/>
      <c r="BZ1037" s="588" t="n"/>
      <c r="CA1037" s="588" t="n"/>
      <c r="CB1037" s="588" t="n"/>
      <c r="CC1037" s="588" t="n"/>
      <c r="CD1037" s="588" t="n"/>
      <c r="CE1037" s="588" t="n"/>
      <c r="CF1037" s="588" t="n"/>
      <c r="CG1037" s="588" t="n"/>
      <c r="CH1037" s="588" t="n"/>
      <c r="CI1037" s="588" t="n"/>
      <c r="CJ1037" s="588" t="n"/>
      <c r="CK1037" s="588" t="n"/>
      <c r="CL1037" s="588" t="n"/>
      <c r="CM1037" s="588" t="n"/>
      <c r="CN1037" s="588" t="n"/>
      <c r="CO1037" s="588" t="n"/>
      <c r="CP1037" s="588" t="n"/>
      <c r="CQ1037" s="588" t="n"/>
      <c r="CR1037" s="588" t="n"/>
      <c r="CS1037" s="588" t="n"/>
      <c r="CT1037" s="588" t="n"/>
      <c r="CU1037" s="588" t="n"/>
      <c r="CV1037" s="588" t="n"/>
      <c r="CW1037" s="588" t="n"/>
      <c r="CX1037" s="588" t="n"/>
      <c r="CY1037" s="588" t="n"/>
      <c r="CZ1037" s="588" t="n"/>
      <c r="DA1037" s="588" t="n"/>
      <c r="DB1037" s="588" t="n"/>
      <c r="DC1037" s="588" t="n"/>
      <c r="DD1037" s="588" t="n"/>
      <c r="DE1037" s="588" t="n"/>
      <c r="DF1037" s="588" t="n"/>
      <c r="DG1037" s="588" t="n"/>
      <c r="DH1037" s="588" t="n"/>
      <c r="DI1037" s="588" t="n"/>
      <c r="DJ1037" s="588" t="n"/>
      <c r="DK1037" s="588" t="n"/>
      <c r="DL1037" s="588" t="n"/>
      <c r="DM1037" s="588" t="n"/>
      <c r="DN1037" s="588" t="n"/>
      <c r="DO1037" s="588" t="n"/>
      <c r="DP1037" s="588" t="n"/>
      <c r="DQ1037" s="588" t="n"/>
      <c r="DR1037" s="588" t="n"/>
      <c r="DS1037" s="588" t="n"/>
      <c r="DT1037" s="588" t="n"/>
      <c r="DU1037" s="588" t="n"/>
    </row>
    <row r="1038">
      <c r="A1038" s="737" t="n"/>
      <c r="B1038" s="737" t="n"/>
      <c r="C1038" s="737" t="n"/>
      <c r="D1038" s="737" t="n"/>
      <c r="E1038" s="737" t="n"/>
      <c r="F1038" s="737" t="n"/>
      <c r="G1038" s="737" t="n"/>
      <c r="H1038" s="737" t="n"/>
      <c r="I1038" s="737" t="n"/>
      <c r="J1038" s="737" t="n"/>
      <c r="K1038" s="737" t="n"/>
      <c r="L1038" s="737" t="n"/>
      <c r="M1038" s="737" t="n"/>
      <c r="N1038" s="737" t="n"/>
      <c r="O1038" s="737" t="n"/>
      <c r="P1038" s="737" t="n"/>
      <c r="Q1038" s="737" t="n"/>
      <c r="R1038" s="737" t="n"/>
      <c r="S1038" s="737" t="n"/>
      <c r="T1038" s="737" t="n"/>
      <c r="U1038" s="737" t="n"/>
      <c r="V1038" s="737" t="n"/>
      <c r="W1038" s="737" t="n"/>
      <c r="X1038" s="737" t="n"/>
      <c r="Y1038" s="737" t="n"/>
      <c r="Z1038" s="737" t="n"/>
      <c r="AA1038" s="737" t="n"/>
      <c r="AB1038" s="737" t="n"/>
      <c r="AC1038" s="737" t="n"/>
      <c r="AD1038" s="737" t="n"/>
      <c r="AE1038" s="737" t="n"/>
      <c r="AF1038" s="737" t="n"/>
      <c r="AG1038" s="737" t="n"/>
      <c r="AH1038" s="737" t="n"/>
      <c r="AI1038" s="737" t="n"/>
      <c r="AJ1038" s="737" t="n"/>
      <c r="AK1038" s="588" t="n"/>
      <c r="AL1038" s="588" t="n"/>
      <c r="AM1038" s="588" t="n"/>
      <c r="AN1038" s="588" t="n"/>
      <c r="AO1038" s="588" t="n"/>
      <c r="AP1038" s="588" t="n"/>
      <c r="AQ1038" s="588" t="n"/>
      <c r="AR1038" s="588" t="n"/>
      <c r="AS1038" s="588" t="n"/>
      <c r="AT1038" s="588" t="n"/>
      <c r="AU1038" s="588" t="n"/>
      <c r="AV1038" s="588" t="n"/>
      <c r="AW1038" s="588" t="n"/>
      <c r="AX1038" s="588" t="n"/>
      <c r="AY1038" s="588" t="n"/>
      <c r="AZ1038" s="588" t="n"/>
      <c r="BA1038" s="588" t="n"/>
      <c r="BB1038" s="588" t="n"/>
      <c r="BC1038" s="588" t="n"/>
      <c r="BD1038" s="588" t="n"/>
      <c r="BE1038" s="588" t="n"/>
      <c r="BF1038" s="588" t="n"/>
      <c r="BG1038" s="588" t="n"/>
      <c r="BH1038" s="588" t="n"/>
      <c r="BI1038" s="588" t="n"/>
      <c r="BJ1038" s="588" t="n"/>
      <c r="BK1038" s="588" t="n"/>
      <c r="BL1038" s="588" t="n"/>
      <c r="BM1038" s="588" t="n"/>
      <c r="BN1038" s="588" t="n"/>
      <c r="BO1038" s="588" t="n"/>
      <c r="BP1038" s="588" t="n"/>
      <c r="BQ1038" s="588" t="n"/>
      <c r="BR1038" s="588" t="n"/>
      <c r="BS1038" s="588" t="n"/>
      <c r="BT1038" s="588" t="n"/>
      <c r="BU1038" s="588" t="n"/>
      <c r="BV1038" s="588" t="n"/>
      <c r="BW1038" s="588" t="n"/>
      <c r="BX1038" s="588" t="n"/>
      <c r="BY1038" s="588" t="n"/>
      <c r="BZ1038" s="588" t="n"/>
      <c r="CA1038" s="588" t="n"/>
      <c r="CB1038" s="588" t="n"/>
      <c r="CC1038" s="588" t="n"/>
      <c r="CD1038" s="588" t="n"/>
      <c r="CE1038" s="588" t="n"/>
      <c r="CF1038" s="588" t="n"/>
      <c r="CG1038" s="588" t="n"/>
      <c r="CH1038" s="588" t="n"/>
      <c r="CI1038" s="588" t="n"/>
      <c r="CJ1038" s="588" t="n"/>
      <c r="CK1038" s="588" t="n"/>
      <c r="CL1038" s="588" t="n"/>
      <c r="CM1038" s="588" t="n"/>
      <c r="CN1038" s="588" t="n"/>
      <c r="CO1038" s="588" t="n"/>
      <c r="CP1038" s="588" t="n"/>
      <c r="CQ1038" s="588" t="n"/>
      <c r="CR1038" s="588" t="n"/>
      <c r="CS1038" s="588" t="n"/>
      <c r="CT1038" s="588" t="n"/>
      <c r="CU1038" s="588" t="n"/>
      <c r="CV1038" s="588" t="n"/>
      <c r="CW1038" s="588" t="n"/>
      <c r="CX1038" s="588" t="n"/>
      <c r="CY1038" s="588" t="n"/>
      <c r="CZ1038" s="588" t="n"/>
      <c r="DA1038" s="588" t="n"/>
      <c r="DB1038" s="588" t="n"/>
      <c r="DC1038" s="588" t="n"/>
      <c r="DD1038" s="588" t="n"/>
      <c r="DE1038" s="588" t="n"/>
      <c r="DF1038" s="588" t="n"/>
      <c r="DG1038" s="588" t="n"/>
      <c r="DH1038" s="588" t="n"/>
      <c r="DI1038" s="588" t="n"/>
      <c r="DJ1038" s="588" t="n"/>
      <c r="DK1038" s="588" t="n"/>
      <c r="DL1038" s="588" t="n"/>
      <c r="DM1038" s="588" t="n"/>
      <c r="DN1038" s="588" t="n"/>
      <c r="DO1038" s="588" t="n"/>
      <c r="DP1038" s="588" t="n"/>
      <c r="DQ1038" s="588" t="n"/>
      <c r="DR1038" s="588" t="n"/>
      <c r="DS1038" s="588" t="n"/>
      <c r="DT1038" s="588" t="n"/>
      <c r="DU1038" s="588" t="n"/>
    </row>
    <row r="1039">
      <c r="A1039" s="737" t="n"/>
      <c r="B1039" s="737" t="n"/>
      <c r="C1039" s="737" t="n"/>
      <c r="D1039" s="737" t="n"/>
      <c r="E1039" s="737" t="n"/>
      <c r="F1039" s="737" t="n"/>
      <c r="G1039" s="737" t="n"/>
      <c r="H1039" s="737" t="n"/>
      <c r="I1039" s="737" t="n"/>
      <c r="J1039" s="737" t="n"/>
      <c r="K1039" s="737" t="n"/>
      <c r="L1039" s="737" t="n"/>
      <c r="M1039" s="737" t="n"/>
      <c r="N1039" s="737" t="n"/>
      <c r="O1039" s="737" t="n"/>
      <c r="P1039" s="737" t="n"/>
      <c r="Q1039" s="737" t="n"/>
      <c r="R1039" s="737" t="n"/>
      <c r="S1039" s="737" t="n"/>
      <c r="T1039" s="737" t="n"/>
      <c r="U1039" s="737" t="n"/>
      <c r="V1039" s="737" t="n"/>
      <c r="W1039" s="737" t="n"/>
      <c r="X1039" s="737" t="n"/>
      <c r="Y1039" s="737" t="n"/>
      <c r="Z1039" s="737" t="n"/>
      <c r="AA1039" s="737" t="n"/>
      <c r="AB1039" s="737" t="n"/>
      <c r="AC1039" s="737" t="n"/>
      <c r="AD1039" s="737" t="n"/>
      <c r="AE1039" s="737" t="n"/>
      <c r="AF1039" s="737" t="n"/>
      <c r="AG1039" s="737" t="n"/>
      <c r="AH1039" s="737" t="n"/>
      <c r="AI1039" s="737" t="n"/>
      <c r="AJ1039" s="737" t="n"/>
      <c r="AK1039" s="588" t="n"/>
      <c r="AL1039" s="588" t="n"/>
      <c r="AM1039" s="588" t="n"/>
      <c r="AN1039" s="588" t="n"/>
      <c r="AO1039" s="588" t="n"/>
      <c r="AP1039" s="588" t="n"/>
      <c r="AQ1039" s="588" t="n"/>
      <c r="AR1039" s="588" t="n"/>
      <c r="AS1039" s="588" t="n"/>
      <c r="AT1039" s="588" t="n"/>
      <c r="AU1039" s="588" t="n"/>
      <c r="AV1039" s="588" t="n"/>
      <c r="AW1039" s="588" t="n"/>
      <c r="AX1039" s="588" t="n"/>
      <c r="AY1039" s="588" t="n"/>
      <c r="AZ1039" s="588" t="n"/>
      <c r="BA1039" s="588" t="n"/>
      <c r="BB1039" s="588" t="n"/>
      <c r="BC1039" s="588" t="n"/>
      <c r="BD1039" s="588" t="n"/>
      <c r="BE1039" s="588" t="n"/>
      <c r="BF1039" s="588" t="n"/>
      <c r="BG1039" s="588" t="n"/>
      <c r="BH1039" s="588" t="n"/>
      <c r="BI1039" s="588" t="n"/>
      <c r="BJ1039" s="588" t="n"/>
      <c r="BK1039" s="588" t="n"/>
      <c r="BL1039" s="588" t="n"/>
      <c r="BM1039" s="588" t="n"/>
      <c r="BN1039" s="588" t="n"/>
      <c r="BO1039" s="588" t="n"/>
      <c r="BP1039" s="588" t="n"/>
      <c r="BQ1039" s="588" t="n"/>
      <c r="BR1039" s="588" t="n"/>
      <c r="BS1039" s="588" t="n"/>
      <c r="BT1039" s="588" t="n"/>
      <c r="BU1039" s="588" t="n"/>
      <c r="BV1039" s="588" t="n"/>
      <c r="BW1039" s="588" t="n"/>
      <c r="BX1039" s="588" t="n"/>
      <c r="BY1039" s="588" t="n"/>
      <c r="BZ1039" s="588" t="n"/>
      <c r="CA1039" s="588" t="n"/>
      <c r="CB1039" s="588" t="n"/>
      <c r="CC1039" s="588" t="n"/>
      <c r="CD1039" s="588" t="n"/>
      <c r="CE1039" s="588" t="n"/>
      <c r="CF1039" s="588" t="n"/>
      <c r="CG1039" s="588" t="n"/>
      <c r="CH1039" s="588" t="n"/>
      <c r="CI1039" s="588" t="n"/>
      <c r="CJ1039" s="588" t="n"/>
      <c r="CK1039" s="588" t="n"/>
      <c r="CL1039" s="588" t="n"/>
      <c r="CM1039" s="588" t="n"/>
      <c r="CN1039" s="588" t="n"/>
      <c r="CO1039" s="588" t="n"/>
      <c r="CP1039" s="588" t="n"/>
      <c r="CQ1039" s="588" t="n"/>
      <c r="CR1039" s="588" t="n"/>
      <c r="CS1039" s="588" t="n"/>
      <c r="CT1039" s="588" t="n"/>
      <c r="CU1039" s="588" t="n"/>
      <c r="CV1039" s="588" t="n"/>
      <c r="CW1039" s="588" t="n"/>
      <c r="CX1039" s="588" t="n"/>
      <c r="CY1039" s="588" t="n"/>
      <c r="CZ1039" s="588" t="n"/>
      <c r="DA1039" s="588" t="n"/>
      <c r="DB1039" s="588" t="n"/>
      <c r="DC1039" s="588" t="n"/>
      <c r="DD1039" s="588" t="n"/>
      <c r="DE1039" s="588" t="n"/>
      <c r="DF1039" s="588" t="n"/>
      <c r="DG1039" s="588" t="n"/>
      <c r="DH1039" s="588" t="n"/>
      <c r="DI1039" s="588" t="n"/>
      <c r="DJ1039" s="588" t="n"/>
      <c r="DK1039" s="588" t="n"/>
      <c r="DL1039" s="588" t="n"/>
      <c r="DM1039" s="588" t="n"/>
      <c r="DN1039" s="588" t="n"/>
      <c r="DO1039" s="588" t="n"/>
      <c r="DP1039" s="588" t="n"/>
      <c r="DQ1039" s="588" t="n"/>
      <c r="DR1039" s="588" t="n"/>
      <c r="DS1039" s="588" t="n"/>
      <c r="DT1039" s="588" t="n"/>
      <c r="DU1039" s="588" t="n"/>
    </row>
    <row r="1040">
      <c r="A1040" s="737" t="n"/>
      <c r="B1040" s="737" t="n"/>
      <c r="C1040" s="737" t="n"/>
      <c r="D1040" s="737" t="n"/>
      <c r="E1040" s="737" t="n"/>
      <c r="F1040" s="737" t="n"/>
      <c r="G1040" s="737" t="n"/>
      <c r="H1040" s="737" t="n"/>
      <c r="I1040" s="737" t="n"/>
      <c r="J1040" s="737" t="n"/>
      <c r="K1040" s="737" t="n"/>
      <c r="L1040" s="737" t="n"/>
      <c r="M1040" s="737" t="n"/>
      <c r="N1040" s="737" t="n"/>
      <c r="O1040" s="737" t="n"/>
      <c r="P1040" s="737" t="n"/>
      <c r="Q1040" s="737" t="n"/>
      <c r="R1040" s="737" t="n"/>
      <c r="S1040" s="737" t="n"/>
      <c r="T1040" s="737" t="n"/>
      <c r="U1040" s="737" t="n"/>
      <c r="V1040" s="737" t="n"/>
      <c r="W1040" s="737" t="n"/>
      <c r="X1040" s="737" t="n"/>
      <c r="Y1040" s="737" t="n"/>
      <c r="Z1040" s="737" t="n"/>
      <c r="AA1040" s="737" t="n"/>
      <c r="AB1040" s="737" t="n"/>
      <c r="AC1040" s="737" t="n"/>
      <c r="AD1040" s="737" t="n"/>
      <c r="AE1040" s="737" t="n"/>
      <c r="AF1040" s="737" t="n"/>
      <c r="AG1040" s="737" t="n"/>
      <c r="AH1040" s="737" t="n"/>
      <c r="AI1040" s="737" t="n"/>
      <c r="AJ1040" s="737" t="n"/>
      <c r="AK1040" s="588" t="n"/>
      <c r="AL1040" s="588" t="n"/>
      <c r="AM1040" s="588" t="n"/>
      <c r="AN1040" s="588" t="n"/>
      <c r="AO1040" s="588" t="n"/>
      <c r="AP1040" s="588" t="n"/>
      <c r="AQ1040" s="588" t="n"/>
      <c r="AR1040" s="588" t="n"/>
      <c r="AS1040" s="588" t="n"/>
      <c r="AT1040" s="588" t="n"/>
      <c r="AU1040" s="588" t="n"/>
      <c r="AV1040" s="588" t="n"/>
      <c r="AW1040" s="588" t="n"/>
      <c r="AX1040" s="588" t="n"/>
      <c r="AY1040" s="588" t="n"/>
      <c r="AZ1040" s="588" t="n"/>
      <c r="BA1040" s="588" t="n"/>
      <c r="BB1040" s="588" t="n"/>
      <c r="BC1040" s="588" t="n"/>
      <c r="BD1040" s="588" t="n"/>
      <c r="BE1040" s="588" t="n"/>
      <c r="BF1040" s="588" t="n"/>
      <c r="BG1040" s="588" t="n"/>
      <c r="BH1040" s="588" t="n"/>
      <c r="BI1040" s="588" t="n"/>
      <c r="BJ1040" s="588" t="n"/>
      <c r="BK1040" s="588" t="n"/>
      <c r="BL1040" s="588" t="n"/>
      <c r="BM1040" s="588" t="n"/>
      <c r="BN1040" s="588" t="n"/>
      <c r="BO1040" s="588" t="n"/>
      <c r="BP1040" s="588" t="n"/>
      <c r="BQ1040" s="588" t="n"/>
      <c r="BR1040" s="588" t="n"/>
      <c r="BS1040" s="588" t="n"/>
      <c r="BT1040" s="588" t="n"/>
      <c r="BU1040" s="588" t="n"/>
      <c r="BV1040" s="588" t="n"/>
      <c r="BW1040" s="588" t="n"/>
      <c r="BX1040" s="588" t="n"/>
      <c r="BY1040" s="588" t="n"/>
      <c r="BZ1040" s="588" t="n"/>
      <c r="CA1040" s="588" t="n"/>
      <c r="CB1040" s="588" t="n"/>
      <c r="CC1040" s="588" t="n"/>
      <c r="CD1040" s="588" t="n"/>
      <c r="CE1040" s="588" t="n"/>
      <c r="CF1040" s="588" t="n"/>
      <c r="CG1040" s="588" t="n"/>
      <c r="CH1040" s="588" t="n"/>
      <c r="CI1040" s="588" t="n"/>
      <c r="CJ1040" s="588" t="n"/>
      <c r="CK1040" s="588" t="n"/>
      <c r="CL1040" s="588" t="n"/>
      <c r="CM1040" s="588" t="n"/>
      <c r="CN1040" s="588" t="n"/>
      <c r="CO1040" s="588" t="n"/>
      <c r="CP1040" s="588" t="n"/>
      <c r="CQ1040" s="588" t="n"/>
      <c r="CR1040" s="588" t="n"/>
      <c r="CS1040" s="588" t="n"/>
      <c r="CT1040" s="588" t="n"/>
      <c r="CU1040" s="588" t="n"/>
      <c r="CV1040" s="588" t="n"/>
      <c r="CW1040" s="588" t="n"/>
      <c r="CX1040" s="588" t="n"/>
      <c r="CY1040" s="588" t="n"/>
      <c r="CZ1040" s="588" t="n"/>
      <c r="DA1040" s="588" t="n"/>
      <c r="DB1040" s="588" t="n"/>
      <c r="DC1040" s="588" t="n"/>
      <c r="DD1040" s="588" t="n"/>
      <c r="DE1040" s="588" t="n"/>
      <c r="DF1040" s="588" t="n"/>
      <c r="DG1040" s="588" t="n"/>
      <c r="DH1040" s="588" t="n"/>
      <c r="DI1040" s="588" t="n"/>
      <c r="DJ1040" s="588" t="n"/>
      <c r="DK1040" s="588" t="n"/>
      <c r="DL1040" s="588" t="n"/>
      <c r="DM1040" s="588" t="n"/>
      <c r="DN1040" s="588" t="n"/>
      <c r="DO1040" s="588" t="n"/>
      <c r="DP1040" s="588" t="n"/>
      <c r="DQ1040" s="588" t="n"/>
      <c r="DR1040" s="588" t="n"/>
      <c r="DS1040" s="588" t="n"/>
      <c r="DT1040" s="588" t="n"/>
      <c r="DU1040" s="588" t="n"/>
    </row>
    <row r="1041">
      <c r="A1041" s="737" t="n"/>
      <c r="B1041" s="737" t="n"/>
      <c r="C1041" s="737" t="n"/>
      <c r="D1041" s="737" t="n"/>
      <c r="E1041" s="737" t="n"/>
      <c r="F1041" s="737" t="n"/>
      <c r="G1041" s="737" t="n"/>
      <c r="H1041" s="737" t="n"/>
      <c r="I1041" s="737" t="n"/>
      <c r="J1041" s="737" t="n"/>
      <c r="K1041" s="737" t="n"/>
      <c r="L1041" s="737" t="n"/>
      <c r="M1041" s="737" t="n"/>
      <c r="N1041" s="737" t="n"/>
      <c r="O1041" s="737" t="n"/>
      <c r="P1041" s="737" t="n"/>
      <c r="Q1041" s="737" t="n"/>
      <c r="R1041" s="737" t="n"/>
      <c r="S1041" s="737" t="n"/>
      <c r="T1041" s="737" t="n"/>
      <c r="U1041" s="737" t="n"/>
      <c r="V1041" s="737" t="n"/>
      <c r="W1041" s="737" t="n"/>
      <c r="X1041" s="737" t="n"/>
      <c r="Y1041" s="737" t="n"/>
      <c r="Z1041" s="737" t="n"/>
      <c r="AA1041" s="737" t="n"/>
      <c r="AB1041" s="737" t="n"/>
      <c r="AC1041" s="737" t="n"/>
      <c r="AD1041" s="737" t="n"/>
      <c r="AE1041" s="737" t="n"/>
      <c r="AF1041" s="737" t="n"/>
      <c r="AG1041" s="737" t="n"/>
      <c r="AH1041" s="737" t="n"/>
      <c r="AI1041" s="737" t="n"/>
      <c r="AJ1041" s="737" t="n"/>
      <c r="AK1041" s="588" t="n"/>
      <c r="AL1041" s="588" t="n"/>
      <c r="AM1041" s="588" t="n"/>
      <c r="AN1041" s="588" t="n"/>
      <c r="AO1041" s="588" t="n"/>
      <c r="AP1041" s="588" t="n"/>
      <c r="AQ1041" s="588" t="n"/>
      <c r="AR1041" s="588" t="n"/>
      <c r="AS1041" s="588" t="n"/>
      <c r="AT1041" s="588" t="n"/>
      <c r="AU1041" s="588" t="n"/>
      <c r="AV1041" s="588" t="n"/>
      <c r="AW1041" s="588" t="n"/>
      <c r="AX1041" s="588" t="n"/>
      <c r="AY1041" s="588" t="n"/>
      <c r="AZ1041" s="588" t="n"/>
      <c r="BA1041" s="588" t="n"/>
      <c r="BB1041" s="588" t="n"/>
      <c r="BC1041" s="588" t="n"/>
      <c r="BD1041" s="588" t="n"/>
      <c r="BE1041" s="588" t="n"/>
      <c r="BF1041" s="588" t="n"/>
      <c r="BG1041" s="588" t="n"/>
      <c r="BH1041" s="588" t="n"/>
      <c r="BI1041" s="588" t="n"/>
      <c r="BJ1041" s="588" t="n"/>
      <c r="BK1041" s="588" t="n"/>
      <c r="BL1041" s="588" t="n"/>
      <c r="BM1041" s="588" t="n"/>
      <c r="BN1041" s="588" t="n"/>
      <c r="BO1041" s="588" t="n"/>
      <c r="BP1041" s="588" t="n"/>
      <c r="BQ1041" s="588" t="n"/>
      <c r="BR1041" s="588" t="n"/>
      <c r="BS1041" s="588" t="n"/>
      <c r="BT1041" s="588" t="n"/>
      <c r="BU1041" s="588" t="n"/>
      <c r="BV1041" s="588" t="n"/>
      <c r="BW1041" s="588" t="n"/>
      <c r="BX1041" s="588" t="n"/>
      <c r="BY1041" s="588" t="n"/>
      <c r="BZ1041" s="588" t="n"/>
      <c r="CA1041" s="588" t="n"/>
      <c r="CB1041" s="588" t="n"/>
      <c r="CC1041" s="588" t="n"/>
      <c r="CD1041" s="588" t="n"/>
      <c r="CE1041" s="588" t="n"/>
      <c r="CF1041" s="588" t="n"/>
      <c r="CG1041" s="588" t="n"/>
      <c r="CH1041" s="588" t="n"/>
      <c r="CI1041" s="588" t="n"/>
      <c r="CJ1041" s="588" t="n"/>
      <c r="CK1041" s="588" t="n"/>
      <c r="CL1041" s="588" t="n"/>
      <c r="CM1041" s="588" t="n"/>
      <c r="CN1041" s="588" t="n"/>
      <c r="CO1041" s="588" t="n"/>
      <c r="CP1041" s="588" t="n"/>
      <c r="CQ1041" s="588" t="n"/>
      <c r="CR1041" s="588" t="n"/>
      <c r="CS1041" s="588" t="n"/>
      <c r="CT1041" s="588" t="n"/>
      <c r="CU1041" s="588" t="n"/>
      <c r="CV1041" s="588" t="n"/>
      <c r="CW1041" s="588" t="n"/>
      <c r="CX1041" s="588" t="n"/>
      <c r="CY1041" s="588" t="n"/>
      <c r="CZ1041" s="588" t="n"/>
      <c r="DA1041" s="588" t="n"/>
      <c r="DB1041" s="588" t="n"/>
      <c r="DC1041" s="588" t="n"/>
      <c r="DD1041" s="588" t="n"/>
      <c r="DE1041" s="588" t="n"/>
      <c r="DF1041" s="588" t="n"/>
      <c r="DG1041" s="588" t="n"/>
      <c r="DH1041" s="588" t="n"/>
      <c r="DI1041" s="588" t="n"/>
      <c r="DJ1041" s="588" t="n"/>
      <c r="DK1041" s="588" t="n"/>
      <c r="DL1041" s="588" t="n"/>
      <c r="DM1041" s="588" t="n"/>
      <c r="DN1041" s="588" t="n"/>
      <c r="DO1041" s="588" t="n"/>
      <c r="DP1041" s="588" t="n"/>
      <c r="DQ1041" s="588" t="n"/>
      <c r="DR1041" s="588" t="n"/>
      <c r="DS1041" s="588" t="n"/>
      <c r="DT1041" s="588" t="n"/>
      <c r="DU1041" s="588" t="n"/>
    </row>
    <row r="1042">
      <c r="A1042" s="737" t="n"/>
      <c r="B1042" s="737" t="n"/>
      <c r="C1042" s="737" t="n"/>
      <c r="D1042" s="737" t="n"/>
      <c r="E1042" s="737" t="n"/>
      <c r="F1042" s="737" t="n"/>
      <c r="G1042" s="737" t="n"/>
      <c r="H1042" s="737" t="n"/>
      <c r="I1042" s="737" t="n"/>
      <c r="J1042" s="737" t="n"/>
      <c r="K1042" s="737" t="n"/>
      <c r="L1042" s="737" t="n"/>
      <c r="M1042" s="737" t="n"/>
      <c r="N1042" s="737" t="n"/>
      <c r="O1042" s="737" t="n"/>
      <c r="P1042" s="737" t="n"/>
      <c r="Q1042" s="737" t="n"/>
      <c r="R1042" s="737" t="n"/>
      <c r="S1042" s="737" t="n"/>
      <c r="T1042" s="737" t="n"/>
      <c r="U1042" s="737" t="n"/>
      <c r="V1042" s="737" t="n"/>
      <c r="W1042" s="737" t="n"/>
      <c r="X1042" s="737" t="n"/>
      <c r="Y1042" s="737" t="n"/>
      <c r="Z1042" s="737" t="n"/>
      <c r="AA1042" s="737" t="n"/>
      <c r="AB1042" s="737" t="n"/>
      <c r="AC1042" s="737" t="n"/>
      <c r="AD1042" s="737" t="n"/>
      <c r="AE1042" s="737" t="n"/>
      <c r="AF1042" s="737" t="n"/>
      <c r="AG1042" s="737" t="n"/>
      <c r="AH1042" s="737" t="n"/>
      <c r="AI1042" s="737" t="n"/>
      <c r="AJ1042" s="737" t="n"/>
      <c r="AK1042" s="588" t="n"/>
      <c r="AL1042" s="588" t="n"/>
      <c r="AM1042" s="588" t="n"/>
      <c r="AN1042" s="588" t="n"/>
      <c r="AO1042" s="588" t="n"/>
      <c r="AP1042" s="588" t="n"/>
      <c r="AQ1042" s="588" t="n"/>
      <c r="AR1042" s="588" t="n"/>
      <c r="AS1042" s="588" t="n"/>
      <c r="AT1042" s="588" t="n"/>
      <c r="AU1042" s="588" t="n"/>
      <c r="AV1042" s="588" t="n"/>
      <c r="AW1042" s="588" t="n"/>
      <c r="AX1042" s="588" t="n"/>
      <c r="AY1042" s="588" t="n"/>
      <c r="AZ1042" s="588" t="n"/>
      <c r="BA1042" s="588" t="n"/>
      <c r="BB1042" s="588" t="n"/>
      <c r="BC1042" s="588" t="n"/>
      <c r="BD1042" s="588" t="n"/>
      <c r="BE1042" s="588" t="n"/>
      <c r="BF1042" s="588" t="n"/>
      <c r="BG1042" s="588" t="n"/>
      <c r="BH1042" s="588" t="n"/>
      <c r="BI1042" s="588" t="n"/>
      <c r="BJ1042" s="588" t="n"/>
      <c r="BK1042" s="588" t="n"/>
      <c r="BL1042" s="588" t="n"/>
      <c r="BM1042" s="588" t="n"/>
      <c r="BN1042" s="588" t="n"/>
      <c r="BO1042" s="588" t="n"/>
      <c r="BP1042" s="588" t="n"/>
      <c r="BQ1042" s="588" t="n"/>
      <c r="BR1042" s="588" t="n"/>
      <c r="BS1042" s="588" t="n"/>
      <c r="BT1042" s="588" t="n"/>
      <c r="BU1042" s="588" t="n"/>
      <c r="BV1042" s="588" t="n"/>
      <c r="BW1042" s="588" t="n"/>
      <c r="BX1042" s="588" t="n"/>
      <c r="BY1042" s="588" t="n"/>
      <c r="BZ1042" s="588" t="n"/>
      <c r="CA1042" s="588" t="n"/>
      <c r="CB1042" s="588" t="n"/>
      <c r="CC1042" s="588" t="n"/>
      <c r="CD1042" s="588" t="n"/>
      <c r="CE1042" s="588" t="n"/>
      <c r="CF1042" s="588" t="n"/>
      <c r="CG1042" s="588" t="n"/>
      <c r="CH1042" s="588" t="n"/>
      <c r="CI1042" s="588" t="n"/>
      <c r="CJ1042" s="588" t="n"/>
      <c r="CK1042" s="588" t="n"/>
      <c r="CL1042" s="588" t="n"/>
      <c r="CM1042" s="588" t="n"/>
      <c r="CN1042" s="588" t="n"/>
      <c r="CO1042" s="588" t="n"/>
      <c r="CP1042" s="588" t="n"/>
      <c r="CQ1042" s="588" t="n"/>
      <c r="CR1042" s="588" t="n"/>
      <c r="CS1042" s="588" t="n"/>
      <c r="CT1042" s="588" t="n"/>
      <c r="CU1042" s="588" t="n"/>
      <c r="CV1042" s="588" t="n"/>
      <c r="CW1042" s="588" t="n"/>
      <c r="CX1042" s="588" t="n"/>
      <c r="CY1042" s="588" t="n"/>
      <c r="CZ1042" s="588" t="n"/>
      <c r="DA1042" s="588" t="n"/>
      <c r="DB1042" s="588" t="n"/>
      <c r="DC1042" s="588" t="n"/>
      <c r="DD1042" s="588" t="n"/>
      <c r="DE1042" s="588" t="n"/>
      <c r="DF1042" s="588" t="n"/>
      <c r="DG1042" s="588" t="n"/>
      <c r="DH1042" s="588" t="n"/>
      <c r="DI1042" s="588" t="n"/>
      <c r="DJ1042" s="588" t="n"/>
      <c r="DK1042" s="588" t="n"/>
      <c r="DL1042" s="588" t="n"/>
      <c r="DM1042" s="588" t="n"/>
      <c r="DN1042" s="588" t="n"/>
      <c r="DO1042" s="588" t="n"/>
      <c r="DP1042" s="588" t="n"/>
      <c r="DQ1042" s="588" t="n"/>
      <c r="DR1042" s="588" t="n"/>
      <c r="DS1042" s="588" t="n"/>
      <c r="DT1042" s="588" t="n"/>
      <c r="DU1042" s="588" t="n"/>
    </row>
    <row r="1043">
      <c r="A1043" s="737" t="n"/>
      <c r="B1043" s="737" t="n"/>
      <c r="C1043" s="737" t="n"/>
      <c r="D1043" s="737" t="n"/>
      <c r="E1043" s="737" t="n"/>
      <c r="F1043" s="737" t="n"/>
      <c r="G1043" s="737" t="n"/>
      <c r="H1043" s="737" t="n"/>
      <c r="I1043" s="737" t="n"/>
      <c r="J1043" s="737" t="n"/>
      <c r="K1043" s="737" t="n"/>
      <c r="L1043" s="737" t="n"/>
      <c r="M1043" s="737" t="n"/>
      <c r="N1043" s="737" t="n"/>
      <c r="O1043" s="737" t="n"/>
      <c r="P1043" s="737" t="n"/>
      <c r="Q1043" s="737" t="n"/>
      <c r="R1043" s="737" t="n"/>
      <c r="S1043" s="737" t="n"/>
      <c r="T1043" s="737" t="n"/>
      <c r="U1043" s="737" t="n"/>
      <c r="V1043" s="737" t="n"/>
      <c r="W1043" s="737" t="n"/>
      <c r="X1043" s="737" t="n"/>
      <c r="Y1043" s="737" t="n"/>
      <c r="Z1043" s="737" t="n"/>
      <c r="AA1043" s="737" t="n"/>
      <c r="AB1043" s="737" t="n"/>
      <c r="AC1043" s="737" t="n"/>
      <c r="AD1043" s="737" t="n"/>
      <c r="AE1043" s="737" t="n"/>
      <c r="AF1043" s="737" t="n"/>
      <c r="AG1043" s="737" t="n"/>
      <c r="AH1043" s="737" t="n"/>
      <c r="AI1043" s="737" t="n"/>
      <c r="AJ1043" s="737" t="n"/>
      <c r="AK1043" s="588" t="n"/>
      <c r="AL1043" s="588" t="n"/>
      <c r="AM1043" s="588" t="n"/>
      <c r="AN1043" s="588" t="n"/>
      <c r="AO1043" s="588" t="n"/>
      <c r="AP1043" s="588" t="n"/>
      <c r="AQ1043" s="588" t="n"/>
      <c r="AR1043" s="588" t="n"/>
      <c r="AS1043" s="588" t="n"/>
      <c r="AT1043" s="588" t="n"/>
      <c r="AU1043" s="588" t="n"/>
      <c r="AV1043" s="588" t="n"/>
      <c r="AW1043" s="588" t="n"/>
      <c r="AX1043" s="588" t="n"/>
      <c r="AY1043" s="588" t="n"/>
      <c r="AZ1043" s="588" t="n"/>
      <c r="BA1043" s="588" t="n"/>
      <c r="BB1043" s="588" t="n"/>
      <c r="BC1043" s="588" t="n"/>
      <c r="BD1043" s="588" t="n"/>
      <c r="BE1043" s="588" t="n"/>
      <c r="BF1043" s="588" t="n"/>
      <c r="BG1043" s="588" t="n"/>
      <c r="BH1043" s="588" t="n"/>
      <c r="BI1043" s="588" t="n"/>
      <c r="BJ1043" s="588" t="n"/>
      <c r="BK1043" s="588" t="n"/>
      <c r="BL1043" s="588" t="n"/>
      <c r="BM1043" s="588" t="n"/>
      <c r="BN1043" s="588" t="n"/>
      <c r="BO1043" s="588" t="n"/>
      <c r="BP1043" s="588" t="n"/>
      <c r="BQ1043" s="588" t="n"/>
      <c r="BR1043" s="588" t="n"/>
      <c r="BS1043" s="588" t="n"/>
      <c r="BT1043" s="588" t="n"/>
      <c r="BU1043" s="588" t="n"/>
      <c r="BV1043" s="588" t="n"/>
      <c r="BW1043" s="588" t="n"/>
      <c r="BX1043" s="588" t="n"/>
      <c r="BY1043" s="588" t="n"/>
      <c r="BZ1043" s="588" t="n"/>
      <c r="CA1043" s="588" t="n"/>
      <c r="CB1043" s="588" t="n"/>
      <c r="CC1043" s="588" t="n"/>
      <c r="CD1043" s="588" t="n"/>
      <c r="CE1043" s="588" t="n"/>
      <c r="CF1043" s="588" t="n"/>
      <c r="CG1043" s="588" t="n"/>
      <c r="CH1043" s="588" t="n"/>
      <c r="CI1043" s="588" t="n"/>
      <c r="CJ1043" s="588" t="n"/>
      <c r="CK1043" s="588" t="n"/>
      <c r="CL1043" s="588" t="n"/>
      <c r="CM1043" s="588" t="n"/>
      <c r="CN1043" s="588" t="n"/>
      <c r="CO1043" s="588" t="n"/>
      <c r="CP1043" s="588" t="n"/>
      <c r="CQ1043" s="588" t="n"/>
      <c r="CR1043" s="588" t="n"/>
      <c r="CS1043" s="588" t="n"/>
      <c r="CT1043" s="588" t="n"/>
      <c r="CU1043" s="588" t="n"/>
      <c r="CV1043" s="588" t="n"/>
      <c r="CW1043" s="588" t="n"/>
      <c r="CX1043" s="588" t="n"/>
      <c r="CY1043" s="588" t="n"/>
      <c r="CZ1043" s="588" t="n"/>
      <c r="DA1043" s="588" t="n"/>
      <c r="DB1043" s="588" t="n"/>
      <c r="DC1043" s="588" t="n"/>
      <c r="DD1043" s="588" t="n"/>
      <c r="DE1043" s="588" t="n"/>
      <c r="DF1043" s="588" t="n"/>
      <c r="DG1043" s="588" t="n"/>
      <c r="DH1043" s="588" t="n"/>
      <c r="DI1043" s="588" t="n"/>
      <c r="DJ1043" s="588" t="n"/>
      <c r="DK1043" s="588" t="n"/>
      <c r="DL1043" s="588" t="n"/>
      <c r="DM1043" s="588" t="n"/>
      <c r="DN1043" s="588" t="n"/>
      <c r="DO1043" s="588" t="n"/>
      <c r="DP1043" s="588" t="n"/>
      <c r="DQ1043" s="588" t="n"/>
      <c r="DR1043" s="588" t="n"/>
      <c r="DS1043" s="588" t="n"/>
      <c r="DT1043" s="588" t="n"/>
      <c r="DU1043" s="588" t="n"/>
    </row>
    <row r="1044">
      <c r="A1044" s="737" t="n"/>
      <c r="B1044" s="737" t="n"/>
      <c r="C1044" s="737" t="n"/>
      <c r="D1044" s="737" t="n"/>
      <c r="E1044" s="737" t="n"/>
      <c r="F1044" s="737" t="n"/>
      <c r="G1044" s="737" t="n"/>
      <c r="H1044" s="737" t="n"/>
      <c r="I1044" s="737" t="n"/>
      <c r="J1044" s="737" t="n"/>
      <c r="K1044" s="737" t="n"/>
      <c r="L1044" s="737" t="n"/>
      <c r="M1044" s="737" t="n"/>
      <c r="N1044" s="737" t="n"/>
      <c r="O1044" s="737" t="n"/>
      <c r="P1044" s="737" t="n"/>
      <c r="Q1044" s="737" t="n"/>
      <c r="R1044" s="737" t="n"/>
      <c r="S1044" s="737" t="n"/>
      <c r="T1044" s="737" t="n"/>
      <c r="U1044" s="737" t="n"/>
      <c r="V1044" s="737" t="n"/>
      <c r="W1044" s="737" t="n"/>
      <c r="X1044" s="737" t="n"/>
      <c r="Y1044" s="737" t="n"/>
      <c r="Z1044" s="737" t="n"/>
      <c r="AA1044" s="737" t="n"/>
      <c r="AB1044" s="737" t="n"/>
      <c r="AC1044" s="737" t="n"/>
      <c r="AD1044" s="737" t="n"/>
      <c r="AE1044" s="737" t="n"/>
      <c r="AF1044" s="737" t="n"/>
      <c r="AG1044" s="737" t="n"/>
      <c r="AH1044" s="737" t="n"/>
      <c r="AI1044" s="737" t="n"/>
      <c r="AJ1044" s="737" t="n"/>
      <c r="AK1044" s="588" t="n"/>
      <c r="AL1044" s="588" t="n"/>
      <c r="AM1044" s="588" t="n"/>
      <c r="AN1044" s="588" t="n"/>
      <c r="AO1044" s="588" t="n"/>
      <c r="AP1044" s="588" t="n"/>
      <c r="AQ1044" s="588" t="n"/>
      <c r="AR1044" s="588" t="n"/>
      <c r="AS1044" s="588" t="n"/>
      <c r="AT1044" s="588" t="n"/>
      <c r="AU1044" s="588" t="n"/>
      <c r="AV1044" s="588" t="n"/>
      <c r="AW1044" s="588" t="n"/>
      <c r="AX1044" s="588" t="n"/>
      <c r="AY1044" s="588" t="n"/>
      <c r="AZ1044" s="588" t="n"/>
      <c r="BA1044" s="588" t="n"/>
      <c r="BB1044" s="588" t="n"/>
      <c r="BC1044" s="588" t="n"/>
      <c r="BD1044" s="588" t="n"/>
      <c r="BE1044" s="588" t="n"/>
      <c r="BF1044" s="588" t="n"/>
      <c r="BG1044" s="588" t="n"/>
      <c r="BH1044" s="588" t="n"/>
      <c r="BI1044" s="588" t="n"/>
      <c r="BJ1044" s="588" t="n"/>
      <c r="BK1044" s="588" t="n"/>
      <c r="BL1044" s="588" t="n"/>
      <c r="BM1044" s="588" t="n"/>
      <c r="BN1044" s="588" t="n"/>
      <c r="BO1044" s="588" t="n"/>
      <c r="BP1044" s="588" t="n"/>
      <c r="BQ1044" s="588" t="n"/>
      <c r="BR1044" s="588" t="n"/>
      <c r="BS1044" s="588" t="n"/>
      <c r="BT1044" s="588" t="n"/>
      <c r="BU1044" s="588" t="n"/>
      <c r="BV1044" s="588" t="n"/>
      <c r="BW1044" s="588" t="n"/>
      <c r="BX1044" s="588" t="n"/>
      <c r="BY1044" s="588" t="n"/>
      <c r="BZ1044" s="588" t="n"/>
      <c r="CA1044" s="588" t="n"/>
      <c r="CB1044" s="588" t="n"/>
      <c r="CC1044" s="588" t="n"/>
      <c r="CD1044" s="588" t="n"/>
      <c r="CE1044" s="588" t="n"/>
      <c r="CF1044" s="588" t="n"/>
      <c r="CG1044" s="588" t="n"/>
      <c r="CH1044" s="588" t="n"/>
      <c r="CI1044" s="588" t="n"/>
      <c r="CJ1044" s="588" t="n"/>
      <c r="CK1044" s="588" t="n"/>
      <c r="CL1044" s="588" t="n"/>
      <c r="CM1044" s="588" t="n"/>
      <c r="CN1044" s="588" t="n"/>
      <c r="CO1044" s="588" t="n"/>
      <c r="CP1044" s="588" t="n"/>
      <c r="CQ1044" s="588" t="n"/>
      <c r="CR1044" s="588" t="n"/>
      <c r="CS1044" s="588" t="n"/>
      <c r="CT1044" s="588" t="n"/>
      <c r="CU1044" s="588" t="n"/>
      <c r="CV1044" s="588" t="n"/>
      <c r="CW1044" s="588" t="n"/>
      <c r="CX1044" s="588" t="n"/>
      <c r="CY1044" s="588" t="n"/>
      <c r="CZ1044" s="588" t="n"/>
      <c r="DA1044" s="588" t="n"/>
      <c r="DB1044" s="588" t="n"/>
      <c r="DC1044" s="588" t="n"/>
      <c r="DD1044" s="588" t="n"/>
      <c r="DE1044" s="588" t="n"/>
      <c r="DF1044" s="588" t="n"/>
      <c r="DG1044" s="588" t="n"/>
      <c r="DH1044" s="588" t="n"/>
      <c r="DI1044" s="588" t="n"/>
      <c r="DJ1044" s="588" t="n"/>
      <c r="DK1044" s="588" t="n"/>
      <c r="DL1044" s="588" t="n"/>
      <c r="DM1044" s="588" t="n"/>
      <c r="DN1044" s="588" t="n"/>
      <c r="DO1044" s="588" t="n"/>
      <c r="DP1044" s="588" t="n"/>
      <c r="DQ1044" s="588" t="n"/>
      <c r="DR1044" s="588" t="n"/>
      <c r="DS1044" s="588" t="n"/>
      <c r="DT1044" s="588" t="n"/>
      <c r="DU1044" s="588" t="n"/>
    </row>
    <row r="1045">
      <c r="A1045" s="737" t="n"/>
      <c r="B1045" s="737" t="n"/>
      <c r="C1045" s="737" t="n"/>
      <c r="D1045" s="737" t="n"/>
      <c r="E1045" s="737" t="n"/>
      <c r="F1045" s="737" t="n"/>
      <c r="G1045" s="737" t="n"/>
      <c r="H1045" s="737" t="n"/>
      <c r="I1045" s="737" t="n"/>
      <c r="J1045" s="737" t="n"/>
      <c r="K1045" s="737" t="n"/>
      <c r="L1045" s="737" t="n"/>
      <c r="M1045" s="737" t="n"/>
      <c r="N1045" s="737" t="n"/>
      <c r="O1045" s="737" t="n"/>
      <c r="P1045" s="737" t="n"/>
      <c r="Q1045" s="737" t="n"/>
      <c r="R1045" s="737" t="n"/>
      <c r="S1045" s="737" t="n"/>
      <c r="T1045" s="737" t="n"/>
      <c r="U1045" s="737" t="n"/>
      <c r="V1045" s="737" t="n"/>
      <c r="W1045" s="737" t="n"/>
      <c r="X1045" s="737" t="n"/>
      <c r="Y1045" s="737" t="n"/>
      <c r="Z1045" s="737" t="n"/>
      <c r="AA1045" s="737" t="n"/>
      <c r="AB1045" s="737" t="n"/>
      <c r="AC1045" s="737" t="n"/>
      <c r="AD1045" s="737" t="n"/>
      <c r="AE1045" s="737" t="n"/>
      <c r="AF1045" s="737" t="n"/>
      <c r="AG1045" s="737" t="n"/>
      <c r="AH1045" s="737" t="n"/>
      <c r="AI1045" s="737" t="n"/>
      <c r="AJ1045" s="737" t="n"/>
      <c r="AK1045" s="588" t="n"/>
      <c r="AL1045" s="588" t="n"/>
      <c r="AM1045" s="588" t="n"/>
      <c r="AN1045" s="588" t="n"/>
      <c r="AO1045" s="588" t="n"/>
      <c r="AP1045" s="588" t="n"/>
      <c r="AQ1045" s="588" t="n"/>
      <c r="AR1045" s="588" t="n"/>
      <c r="AS1045" s="588" t="n"/>
      <c r="AT1045" s="588" t="n"/>
      <c r="AU1045" s="588" t="n"/>
      <c r="AV1045" s="588" t="n"/>
      <c r="AW1045" s="588" t="n"/>
      <c r="AX1045" s="588" t="n"/>
      <c r="AY1045" s="588" t="n"/>
      <c r="AZ1045" s="588" t="n"/>
      <c r="BA1045" s="588" t="n"/>
      <c r="BB1045" s="588" t="n"/>
      <c r="BC1045" s="588" t="n"/>
      <c r="BD1045" s="588" t="n"/>
      <c r="BE1045" s="588" t="n"/>
      <c r="BF1045" s="588" t="n"/>
      <c r="BG1045" s="588" t="n"/>
      <c r="BH1045" s="588" t="n"/>
      <c r="BI1045" s="588" t="n"/>
      <c r="BJ1045" s="588" t="n"/>
      <c r="BK1045" s="588" t="n"/>
      <c r="BL1045" s="588" t="n"/>
      <c r="BM1045" s="588" t="n"/>
      <c r="BN1045" s="588" t="n"/>
      <c r="BO1045" s="588" t="n"/>
      <c r="BP1045" s="588" t="n"/>
      <c r="BQ1045" s="588" t="n"/>
      <c r="BR1045" s="588" t="n"/>
      <c r="BS1045" s="588" t="n"/>
      <c r="BT1045" s="588" t="n"/>
      <c r="BU1045" s="588" t="n"/>
      <c r="BV1045" s="588" t="n"/>
      <c r="BW1045" s="588" t="n"/>
      <c r="BX1045" s="588" t="n"/>
      <c r="BY1045" s="588" t="n"/>
      <c r="BZ1045" s="588" t="n"/>
      <c r="CA1045" s="588" t="n"/>
      <c r="CB1045" s="588" t="n"/>
      <c r="CC1045" s="588" t="n"/>
      <c r="CD1045" s="588" t="n"/>
      <c r="CE1045" s="588" t="n"/>
      <c r="CF1045" s="588" t="n"/>
      <c r="CG1045" s="588" t="n"/>
      <c r="CH1045" s="588" t="n"/>
      <c r="CI1045" s="588" t="n"/>
      <c r="CJ1045" s="588" t="n"/>
      <c r="CK1045" s="588" t="n"/>
      <c r="CL1045" s="588" t="n"/>
      <c r="CM1045" s="588" t="n"/>
      <c r="CN1045" s="588" t="n"/>
      <c r="CO1045" s="588" t="n"/>
      <c r="CP1045" s="588" t="n"/>
      <c r="CQ1045" s="588" t="n"/>
      <c r="CR1045" s="588" t="n"/>
      <c r="CS1045" s="588" t="n"/>
      <c r="CT1045" s="588" t="n"/>
      <c r="CU1045" s="588" t="n"/>
      <c r="CV1045" s="588" t="n"/>
      <c r="CW1045" s="588" t="n"/>
      <c r="CX1045" s="588" t="n"/>
      <c r="CY1045" s="588" t="n"/>
      <c r="CZ1045" s="588" t="n"/>
      <c r="DA1045" s="588" t="n"/>
      <c r="DB1045" s="588" t="n"/>
      <c r="DC1045" s="588" t="n"/>
      <c r="DD1045" s="588" t="n"/>
      <c r="DE1045" s="588" t="n"/>
      <c r="DF1045" s="588" t="n"/>
      <c r="DG1045" s="588" t="n"/>
      <c r="DH1045" s="588" t="n"/>
      <c r="DI1045" s="588" t="n"/>
      <c r="DJ1045" s="588" t="n"/>
      <c r="DK1045" s="588" t="n"/>
      <c r="DL1045" s="588" t="n"/>
      <c r="DM1045" s="588" t="n"/>
      <c r="DN1045" s="588" t="n"/>
      <c r="DO1045" s="588" t="n"/>
      <c r="DP1045" s="588" t="n"/>
      <c r="DQ1045" s="588" t="n"/>
      <c r="DR1045" s="588" t="n"/>
      <c r="DS1045" s="588" t="n"/>
      <c r="DT1045" s="588" t="n"/>
      <c r="DU1045" s="588" t="n"/>
    </row>
    <row r="1046">
      <c r="A1046" s="737" t="n"/>
      <c r="B1046" s="737" t="n"/>
      <c r="C1046" s="737" t="n"/>
      <c r="D1046" s="737" t="n"/>
      <c r="E1046" s="737" t="n"/>
      <c r="F1046" s="737" t="n"/>
      <c r="G1046" s="737" t="n"/>
      <c r="H1046" s="737" t="n"/>
      <c r="I1046" s="737" t="n"/>
      <c r="J1046" s="737" t="n"/>
      <c r="K1046" s="737" t="n"/>
      <c r="L1046" s="737" t="n"/>
      <c r="M1046" s="737" t="n"/>
      <c r="N1046" s="737" t="n"/>
      <c r="O1046" s="737" t="n"/>
      <c r="P1046" s="737" t="n"/>
      <c r="Q1046" s="737" t="n"/>
      <c r="R1046" s="737" t="n"/>
      <c r="S1046" s="737" t="n"/>
      <c r="T1046" s="737" t="n"/>
      <c r="U1046" s="737" t="n"/>
      <c r="V1046" s="737" t="n"/>
      <c r="W1046" s="737" t="n"/>
      <c r="X1046" s="737" t="n"/>
      <c r="Y1046" s="737" t="n"/>
      <c r="Z1046" s="737" t="n"/>
      <c r="AA1046" s="737" t="n"/>
      <c r="AB1046" s="737" t="n"/>
      <c r="AC1046" s="737" t="n"/>
      <c r="AD1046" s="737" t="n"/>
      <c r="AE1046" s="737" t="n"/>
      <c r="AF1046" s="737" t="n"/>
      <c r="AG1046" s="737" t="n"/>
      <c r="AH1046" s="737" t="n"/>
      <c r="AI1046" s="737" t="n"/>
      <c r="AJ1046" s="737" t="n"/>
      <c r="AK1046" s="588" t="n"/>
      <c r="AL1046" s="588" t="n"/>
      <c r="AM1046" s="588" t="n"/>
      <c r="AN1046" s="588" t="n"/>
      <c r="AO1046" s="588" t="n"/>
      <c r="AP1046" s="588" t="n"/>
      <c r="AQ1046" s="588" t="n"/>
      <c r="AR1046" s="588" t="n"/>
      <c r="AS1046" s="588" t="n"/>
      <c r="AT1046" s="588" t="n"/>
      <c r="AU1046" s="588" t="n"/>
      <c r="AV1046" s="588" t="n"/>
      <c r="AW1046" s="588" t="n"/>
      <c r="AX1046" s="588" t="n"/>
      <c r="AY1046" s="588" t="n"/>
      <c r="AZ1046" s="588" t="n"/>
      <c r="BA1046" s="588" t="n"/>
      <c r="BB1046" s="588" t="n"/>
      <c r="BC1046" s="588" t="n"/>
      <c r="BD1046" s="588" t="n"/>
      <c r="BE1046" s="588" t="n"/>
      <c r="BF1046" s="588" t="n"/>
      <c r="BG1046" s="588" t="n"/>
      <c r="BH1046" s="588" t="n"/>
      <c r="BI1046" s="588" t="n"/>
      <c r="BJ1046" s="588" t="n"/>
      <c r="BK1046" s="588" t="n"/>
      <c r="BL1046" s="588" t="n"/>
      <c r="BM1046" s="588" t="n"/>
      <c r="BN1046" s="588" t="n"/>
      <c r="BO1046" s="588" t="n"/>
      <c r="BP1046" s="588" t="n"/>
      <c r="BQ1046" s="588" t="n"/>
      <c r="BR1046" s="588" t="n"/>
      <c r="BS1046" s="588" t="n"/>
      <c r="BT1046" s="588" t="n"/>
      <c r="BU1046" s="588" t="n"/>
      <c r="BV1046" s="588" t="n"/>
      <c r="BW1046" s="588" t="n"/>
      <c r="BX1046" s="588" t="n"/>
      <c r="BY1046" s="588" t="n"/>
      <c r="BZ1046" s="588" t="n"/>
      <c r="CA1046" s="588" t="n"/>
      <c r="CB1046" s="588" t="n"/>
      <c r="CC1046" s="588" t="n"/>
      <c r="CD1046" s="588" t="n"/>
      <c r="CE1046" s="588" t="n"/>
      <c r="CF1046" s="588" t="n"/>
      <c r="CG1046" s="588" t="n"/>
      <c r="CH1046" s="588" t="n"/>
      <c r="CI1046" s="588" t="n"/>
      <c r="CJ1046" s="588" t="n"/>
      <c r="CK1046" s="588" t="n"/>
      <c r="CL1046" s="588" t="n"/>
      <c r="CM1046" s="588" t="n"/>
      <c r="CN1046" s="588" t="n"/>
      <c r="CO1046" s="588" t="n"/>
      <c r="CP1046" s="588" t="n"/>
      <c r="CQ1046" s="588" t="n"/>
      <c r="CR1046" s="588" t="n"/>
      <c r="CS1046" s="588" t="n"/>
      <c r="CT1046" s="588" t="n"/>
      <c r="CU1046" s="588" t="n"/>
      <c r="CV1046" s="588" t="n"/>
      <c r="CW1046" s="588" t="n"/>
      <c r="CX1046" s="588" t="n"/>
      <c r="CY1046" s="588" t="n"/>
      <c r="CZ1046" s="588" t="n"/>
      <c r="DA1046" s="588" t="n"/>
      <c r="DB1046" s="588" t="n"/>
      <c r="DC1046" s="588" t="n"/>
      <c r="DD1046" s="588" t="n"/>
      <c r="DE1046" s="588" t="n"/>
      <c r="DF1046" s="588" t="n"/>
      <c r="DG1046" s="588" t="n"/>
      <c r="DH1046" s="588" t="n"/>
      <c r="DI1046" s="588" t="n"/>
      <c r="DJ1046" s="588" t="n"/>
      <c r="DK1046" s="588" t="n"/>
      <c r="DL1046" s="588" t="n"/>
      <c r="DM1046" s="588" t="n"/>
      <c r="DN1046" s="588" t="n"/>
      <c r="DO1046" s="588" t="n"/>
      <c r="DP1046" s="588" t="n"/>
      <c r="DQ1046" s="588" t="n"/>
      <c r="DR1046" s="588" t="n"/>
      <c r="DS1046" s="588" t="n"/>
      <c r="DT1046" s="588" t="n"/>
      <c r="DU1046" s="588" t="n"/>
    </row>
    <row r="1047">
      <c r="A1047" s="737" t="n"/>
      <c r="B1047" s="737" t="n"/>
      <c r="C1047" s="737" t="n"/>
      <c r="D1047" s="737" t="n"/>
      <c r="E1047" s="737" t="n"/>
      <c r="F1047" s="737" t="n"/>
      <c r="G1047" s="737" t="n"/>
      <c r="H1047" s="737" t="n"/>
      <c r="I1047" s="737" t="n"/>
      <c r="J1047" s="737" t="n"/>
      <c r="K1047" s="737" t="n"/>
      <c r="L1047" s="737" t="n"/>
      <c r="M1047" s="737" t="n"/>
      <c r="N1047" s="737" t="n"/>
      <c r="O1047" s="737" t="n"/>
      <c r="P1047" s="737" t="n"/>
      <c r="Q1047" s="737" t="n"/>
      <c r="R1047" s="737" t="n"/>
      <c r="S1047" s="737" t="n"/>
      <c r="T1047" s="737" t="n"/>
      <c r="U1047" s="737" t="n"/>
      <c r="V1047" s="737" t="n"/>
      <c r="W1047" s="737" t="n"/>
      <c r="X1047" s="737" t="n"/>
      <c r="Y1047" s="737" t="n"/>
      <c r="Z1047" s="737" t="n"/>
      <c r="AA1047" s="737" t="n"/>
      <c r="AB1047" s="737" t="n"/>
      <c r="AC1047" s="737" t="n"/>
      <c r="AD1047" s="737" t="n"/>
      <c r="AE1047" s="737" t="n"/>
      <c r="AF1047" s="737" t="n"/>
      <c r="AG1047" s="737" t="n"/>
      <c r="AH1047" s="737" t="n"/>
      <c r="AI1047" s="737" t="n"/>
      <c r="AJ1047" s="737" t="n"/>
      <c r="AK1047" s="588" t="n"/>
      <c r="AL1047" s="588" t="n"/>
      <c r="AM1047" s="588" t="n"/>
      <c r="AN1047" s="588" t="n"/>
      <c r="AO1047" s="588" t="n"/>
      <c r="AP1047" s="588" t="n"/>
      <c r="AQ1047" s="588" t="n"/>
      <c r="AR1047" s="588" t="n"/>
      <c r="AS1047" s="588" t="n"/>
      <c r="AT1047" s="588" t="n"/>
      <c r="AU1047" s="588" t="n"/>
      <c r="AV1047" s="588" t="n"/>
      <c r="AW1047" s="588" t="n"/>
      <c r="AX1047" s="588" t="n"/>
      <c r="AY1047" s="588" t="n"/>
      <c r="AZ1047" s="588" t="n"/>
      <c r="BA1047" s="588" t="n"/>
      <c r="BB1047" s="588" t="n"/>
      <c r="BC1047" s="588" t="n"/>
      <c r="BD1047" s="588" t="n"/>
      <c r="BE1047" s="588" t="n"/>
      <c r="BF1047" s="588" t="n"/>
      <c r="BG1047" s="588" t="n"/>
      <c r="BH1047" s="588" t="n"/>
      <c r="BI1047" s="588" t="n"/>
      <c r="BJ1047" s="588" t="n"/>
      <c r="BK1047" s="588" t="n"/>
      <c r="BL1047" s="588" t="n"/>
      <c r="BM1047" s="588" t="n"/>
      <c r="BN1047" s="588" t="n"/>
      <c r="BO1047" s="588" t="n"/>
      <c r="BP1047" s="588" t="n"/>
      <c r="BQ1047" s="588" t="n"/>
      <c r="BR1047" s="588" t="n"/>
      <c r="BS1047" s="588" t="n"/>
      <c r="BT1047" s="588" t="n"/>
      <c r="BU1047" s="588" t="n"/>
      <c r="BV1047" s="588" t="n"/>
      <c r="BW1047" s="588" t="n"/>
      <c r="BX1047" s="588" t="n"/>
      <c r="BY1047" s="588" t="n"/>
      <c r="BZ1047" s="588" t="n"/>
      <c r="CA1047" s="588" t="n"/>
      <c r="CB1047" s="588" t="n"/>
      <c r="CC1047" s="588" t="n"/>
      <c r="CD1047" s="588" t="n"/>
      <c r="CE1047" s="588" t="n"/>
      <c r="CF1047" s="588" t="n"/>
      <c r="CG1047" s="588" t="n"/>
      <c r="CH1047" s="588" t="n"/>
      <c r="CI1047" s="588" t="n"/>
      <c r="CJ1047" s="588" t="n"/>
      <c r="CK1047" s="588" t="n"/>
      <c r="CL1047" s="588" t="n"/>
      <c r="CM1047" s="588" t="n"/>
      <c r="CN1047" s="588" t="n"/>
      <c r="CO1047" s="588" t="n"/>
      <c r="CP1047" s="588" t="n"/>
      <c r="CQ1047" s="588" t="n"/>
      <c r="CR1047" s="588" t="n"/>
      <c r="CS1047" s="588" t="n"/>
      <c r="CT1047" s="588" t="n"/>
      <c r="CU1047" s="588" t="n"/>
      <c r="CV1047" s="588" t="n"/>
      <c r="CW1047" s="588" t="n"/>
      <c r="CX1047" s="588" t="n"/>
      <c r="CY1047" s="588" t="n"/>
      <c r="CZ1047" s="588" t="n"/>
      <c r="DA1047" s="588" t="n"/>
      <c r="DB1047" s="588" t="n"/>
      <c r="DC1047" s="588" t="n"/>
      <c r="DD1047" s="588" t="n"/>
      <c r="DE1047" s="588" t="n"/>
      <c r="DF1047" s="588" t="n"/>
      <c r="DG1047" s="588" t="n"/>
      <c r="DH1047" s="588" t="n"/>
      <c r="DI1047" s="588" t="n"/>
      <c r="DJ1047" s="588" t="n"/>
      <c r="DK1047" s="588" t="n"/>
      <c r="DL1047" s="588" t="n"/>
      <c r="DM1047" s="588" t="n"/>
      <c r="DN1047" s="588" t="n"/>
      <c r="DO1047" s="588" t="n"/>
      <c r="DP1047" s="588" t="n"/>
      <c r="DQ1047" s="588" t="n"/>
      <c r="DR1047" s="588" t="n"/>
      <c r="DS1047" s="588" t="n"/>
      <c r="DT1047" s="588" t="n"/>
      <c r="DU1047" s="588" t="n"/>
    </row>
    <row r="1048">
      <c r="A1048" s="737" t="n"/>
      <c r="B1048" s="737" t="n"/>
      <c r="C1048" s="737" t="n"/>
      <c r="D1048" s="737" t="n"/>
      <c r="E1048" s="737" t="n"/>
      <c r="F1048" s="737" t="n"/>
      <c r="G1048" s="737" t="n"/>
      <c r="H1048" s="737" t="n"/>
      <c r="I1048" s="737" t="n"/>
      <c r="J1048" s="737" t="n"/>
      <c r="K1048" s="737" t="n"/>
      <c r="L1048" s="737" t="n"/>
      <c r="M1048" s="737" t="n"/>
      <c r="N1048" s="737" t="n"/>
      <c r="O1048" s="737" t="n"/>
      <c r="P1048" s="737" t="n"/>
      <c r="Q1048" s="737" t="n"/>
      <c r="R1048" s="737" t="n"/>
      <c r="S1048" s="737" t="n"/>
      <c r="T1048" s="737" t="n"/>
      <c r="U1048" s="737" t="n"/>
      <c r="V1048" s="737" t="n"/>
      <c r="W1048" s="737" t="n"/>
      <c r="X1048" s="737" t="n"/>
      <c r="Y1048" s="737" t="n"/>
      <c r="Z1048" s="737" t="n"/>
      <c r="AA1048" s="737" t="n"/>
      <c r="AB1048" s="737" t="n"/>
      <c r="AC1048" s="737" t="n"/>
      <c r="AD1048" s="737" t="n"/>
      <c r="AE1048" s="737" t="n"/>
      <c r="AF1048" s="737" t="n"/>
      <c r="AG1048" s="737" t="n"/>
      <c r="AH1048" s="737" t="n"/>
      <c r="AI1048" s="737" t="n"/>
      <c r="AJ1048" s="737" t="n"/>
      <c r="AK1048" s="588" t="n"/>
      <c r="AL1048" s="588" t="n"/>
      <c r="AM1048" s="588" t="n"/>
      <c r="AN1048" s="588" t="n"/>
      <c r="AO1048" s="588" t="n"/>
      <c r="AP1048" s="588" t="n"/>
      <c r="AQ1048" s="588" t="n"/>
      <c r="AR1048" s="588" t="n"/>
      <c r="AS1048" s="588" t="n"/>
      <c r="AT1048" s="588" t="n"/>
      <c r="AU1048" s="588" t="n"/>
      <c r="AV1048" s="588" t="n"/>
      <c r="AW1048" s="588" t="n"/>
      <c r="AX1048" s="588" t="n"/>
      <c r="AY1048" s="588" t="n"/>
      <c r="AZ1048" s="588" t="n"/>
      <c r="BA1048" s="588" t="n"/>
      <c r="BB1048" s="588" t="n"/>
      <c r="BC1048" s="588" t="n"/>
      <c r="BD1048" s="588" t="n"/>
      <c r="BE1048" s="588" t="n"/>
      <c r="BF1048" s="588" t="n"/>
      <c r="BG1048" s="588" t="n"/>
      <c r="BH1048" s="588" t="n"/>
      <c r="BI1048" s="588" t="n"/>
      <c r="BJ1048" s="588" t="n"/>
      <c r="BK1048" s="588" t="n"/>
      <c r="BL1048" s="588" t="n"/>
      <c r="BM1048" s="588" t="n"/>
      <c r="BN1048" s="588" t="n"/>
      <c r="BO1048" s="588" t="n"/>
      <c r="BP1048" s="588" t="n"/>
      <c r="BQ1048" s="588" t="n"/>
      <c r="BR1048" s="588" t="n"/>
      <c r="BS1048" s="588" t="n"/>
      <c r="BT1048" s="588" t="n"/>
      <c r="BU1048" s="588" t="n"/>
      <c r="BV1048" s="588" t="n"/>
      <c r="BW1048" s="588" t="n"/>
      <c r="BX1048" s="588" t="n"/>
      <c r="BY1048" s="588" t="n"/>
      <c r="BZ1048" s="588" t="n"/>
      <c r="CA1048" s="588" t="n"/>
      <c r="CB1048" s="588" t="n"/>
      <c r="CC1048" s="588" t="n"/>
      <c r="CD1048" s="588" t="n"/>
      <c r="CE1048" s="588" t="n"/>
      <c r="CF1048" s="588" t="n"/>
      <c r="CG1048" s="588" t="n"/>
      <c r="CH1048" s="588" t="n"/>
      <c r="CI1048" s="588" t="n"/>
      <c r="CJ1048" s="588" t="n"/>
      <c r="CK1048" s="588" t="n"/>
      <c r="CL1048" s="588" t="n"/>
      <c r="CM1048" s="588" t="n"/>
      <c r="CN1048" s="588" t="n"/>
      <c r="CO1048" s="588" t="n"/>
      <c r="CP1048" s="588" t="n"/>
      <c r="CQ1048" s="588" t="n"/>
      <c r="CR1048" s="588" t="n"/>
      <c r="CS1048" s="588" t="n"/>
      <c r="CT1048" s="588" t="n"/>
      <c r="CU1048" s="588" t="n"/>
      <c r="CV1048" s="588" t="n"/>
      <c r="CW1048" s="588" t="n"/>
      <c r="CX1048" s="588" t="n"/>
      <c r="CY1048" s="588" t="n"/>
      <c r="CZ1048" s="588" t="n"/>
      <c r="DA1048" s="588" t="n"/>
      <c r="DB1048" s="588" t="n"/>
      <c r="DC1048" s="588" t="n"/>
      <c r="DD1048" s="588" t="n"/>
      <c r="DE1048" s="588" t="n"/>
      <c r="DF1048" s="588" t="n"/>
      <c r="DG1048" s="588" t="n"/>
      <c r="DH1048" s="588" t="n"/>
      <c r="DI1048" s="588" t="n"/>
      <c r="DJ1048" s="588" t="n"/>
      <c r="DK1048" s="588" t="n"/>
      <c r="DL1048" s="588" t="n"/>
      <c r="DM1048" s="588" t="n"/>
      <c r="DN1048" s="588" t="n"/>
      <c r="DO1048" s="588" t="n"/>
      <c r="DP1048" s="588" t="n"/>
      <c r="DQ1048" s="588" t="n"/>
      <c r="DR1048" s="588" t="n"/>
      <c r="DS1048" s="588" t="n"/>
      <c r="DT1048" s="588" t="n"/>
      <c r="DU1048" s="588" t="n"/>
    </row>
    <row r="1049">
      <c r="A1049" s="737" t="n"/>
      <c r="B1049" s="737" t="n"/>
      <c r="C1049" s="737" t="n"/>
      <c r="D1049" s="737" t="n"/>
      <c r="E1049" s="737" t="n"/>
      <c r="F1049" s="737" t="n"/>
      <c r="G1049" s="737" t="n"/>
      <c r="H1049" s="737" t="n"/>
      <c r="I1049" s="737" t="n"/>
      <c r="J1049" s="737" t="n"/>
      <c r="K1049" s="737" t="n"/>
      <c r="L1049" s="737" t="n"/>
      <c r="M1049" s="737" t="n"/>
      <c r="N1049" s="737" t="n"/>
      <c r="O1049" s="737" t="n"/>
      <c r="P1049" s="737" t="n"/>
      <c r="Q1049" s="737" t="n"/>
      <c r="R1049" s="737" t="n"/>
      <c r="S1049" s="737" t="n"/>
      <c r="T1049" s="737" t="n"/>
      <c r="U1049" s="737" t="n"/>
      <c r="V1049" s="737" t="n"/>
      <c r="W1049" s="737" t="n"/>
      <c r="X1049" s="737" t="n"/>
      <c r="Y1049" s="737" t="n"/>
      <c r="Z1049" s="737" t="n"/>
      <c r="AA1049" s="737" t="n"/>
      <c r="AB1049" s="737" t="n"/>
      <c r="AC1049" s="737" t="n"/>
      <c r="AD1049" s="737" t="n"/>
      <c r="AE1049" s="737" t="n"/>
      <c r="AF1049" s="737" t="n"/>
      <c r="AG1049" s="737" t="n"/>
      <c r="AH1049" s="737" t="n"/>
      <c r="AI1049" s="737" t="n"/>
      <c r="AJ1049" s="737" t="n"/>
      <c r="AK1049" s="588" t="n"/>
      <c r="AL1049" s="588" t="n"/>
      <c r="AM1049" s="588" t="n"/>
      <c r="AN1049" s="588" t="n"/>
      <c r="AO1049" s="588" t="n"/>
      <c r="AP1049" s="588" t="n"/>
      <c r="AQ1049" s="588" t="n"/>
      <c r="AR1049" s="588" t="n"/>
      <c r="AS1049" s="588" t="n"/>
      <c r="AT1049" s="588" t="n"/>
      <c r="AU1049" s="588" t="n"/>
      <c r="AV1049" s="588" t="n"/>
      <c r="AW1049" s="588" t="n"/>
      <c r="AX1049" s="588" t="n"/>
      <c r="AY1049" s="588" t="n"/>
      <c r="AZ1049" s="588" t="n"/>
      <c r="BA1049" s="588" t="n"/>
      <c r="BB1049" s="588" t="n"/>
      <c r="BC1049" s="588" t="n"/>
      <c r="BD1049" s="588" t="n"/>
      <c r="BE1049" s="588" t="n"/>
      <c r="BF1049" s="588" t="n"/>
      <c r="BG1049" s="588" t="n"/>
      <c r="BH1049" s="588" t="n"/>
      <c r="BI1049" s="588" t="n"/>
      <c r="BJ1049" s="588" t="n"/>
      <c r="BK1049" s="588" t="n"/>
      <c r="BL1049" s="588" t="n"/>
      <c r="BM1049" s="588" t="n"/>
      <c r="BN1049" s="588" t="n"/>
      <c r="BO1049" s="588" t="n"/>
      <c r="BP1049" s="588" t="n"/>
      <c r="BQ1049" s="588" t="n"/>
      <c r="BR1049" s="588" t="n"/>
      <c r="BS1049" s="588" t="n"/>
      <c r="BT1049" s="588" t="n"/>
      <c r="BU1049" s="588" t="n"/>
      <c r="BV1049" s="588" t="n"/>
      <c r="BW1049" s="588" t="n"/>
      <c r="BX1049" s="588" t="n"/>
      <c r="BY1049" s="588" t="n"/>
      <c r="BZ1049" s="588" t="n"/>
      <c r="CA1049" s="588" t="n"/>
      <c r="CB1049" s="588" t="n"/>
      <c r="CC1049" s="588" t="n"/>
      <c r="CD1049" s="588" t="n"/>
      <c r="CE1049" s="588" t="n"/>
      <c r="CF1049" s="588" t="n"/>
      <c r="CG1049" s="588" t="n"/>
      <c r="CH1049" s="588" t="n"/>
      <c r="CI1049" s="588" t="n"/>
      <c r="CJ1049" s="588" t="n"/>
      <c r="CK1049" s="588" t="n"/>
      <c r="CL1049" s="588" t="n"/>
      <c r="CM1049" s="588" t="n"/>
      <c r="CN1049" s="588" t="n"/>
      <c r="CO1049" s="588" t="n"/>
      <c r="CP1049" s="588" t="n"/>
      <c r="CQ1049" s="588" t="n"/>
      <c r="CR1049" s="588" t="n"/>
      <c r="CS1049" s="588" t="n"/>
      <c r="CT1049" s="588" t="n"/>
      <c r="CU1049" s="588" t="n"/>
      <c r="CV1049" s="588" t="n"/>
      <c r="CW1049" s="588" t="n"/>
      <c r="CX1049" s="588" t="n"/>
      <c r="CY1049" s="588" t="n"/>
      <c r="CZ1049" s="588" t="n"/>
      <c r="DA1049" s="588" t="n"/>
      <c r="DB1049" s="588" t="n"/>
      <c r="DC1049" s="588" t="n"/>
      <c r="DD1049" s="588" t="n"/>
      <c r="DE1049" s="588" t="n"/>
      <c r="DF1049" s="588" t="n"/>
      <c r="DG1049" s="588" t="n"/>
      <c r="DH1049" s="588" t="n"/>
      <c r="DI1049" s="588" t="n"/>
      <c r="DJ1049" s="588" t="n"/>
      <c r="DK1049" s="588" t="n"/>
      <c r="DL1049" s="588" t="n"/>
      <c r="DM1049" s="588" t="n"/>
      <c r="DN1049" s="588" t="n"/>
      <c r="DO1049" s="588" t="n"/>
      <c r="DP1049" s="588" t="n"/>
      <c r="DQ1049" s="588" t="n"/>
      <c r="DR1049" s="588" t="n"/>
      <c r="DS1049" s="588" t="n"/>
      <c r="DT1049" s="588" t="n"/>
      <c r="DU1049" s="588" t="n"/>
    </row>
    <row r="1050">
      <c r="A1050" s="737" t="n"/>
      <c r="B1050" s="737" t="n"/>
      <c r="C1050" s="737" t="n"/>
      <c r="D1050" s="737" t="n"/>
      <c r="E1050" s="737" t="n"/>
      <c r="F1050" s="737" t="n"/>
      <c r="G1050" s="737" t="n"/>
      <c r="H1050" s="737" t="n"/>
      <c r="I1050" s="737" t="n"/>
      <c r="J1050" s="737" t="n"/>
      <c r="K1050" s="737" t="n"/>
      <c r="L1050" s="737" t="n"/>
      <c r="M1050" s="737" t="n"/>
      <c r="N1050" s="737" t="n"/>
      <c r="O1050" s="737" t="n"/>
      <c r="P1050" s="737" t="n"/>
      <c r="Q1050" s="737" t="n"/>
      <c r="R1050" s="737" t="n"/>
      <c r="S1050" s="737" t="n"/>
      <c r="T1050" s="737" t="n"/>
      <c r="U1050" s="737" t="n"/>
      <c r="V1050" s="737" t="n"/>
      <c r="W1050" s="737" t="n"/>
      <c r="X1050" s="737" t="n"/>
      <c r="Y1050" s="737" t="n"/>
      <c r="Z1050" s="737" t="n"/>
      <c r="AA1050" s="737" t="n"/>
      <c r="AB1050" s="737" t="n"/>
      <c r="AC1050" s="737" t="n"/>
      <c r="AD1050" s="737" t="n"/>
      <c r="AE1050" s="737" t="n"/>
      <c r="AF1050" s="737" t="n"/>
      <c r="AG1050" s="737" t="n"/>
      <c r="AH1050" s="737" t="n"/>
      <c r="AI1050" s="737" t="n"/>
      <c r="AJ1050" s="737" t="n"/>
      <c r="AK1050" s="588" t="n"/>
      <c r="AL1050" s="588" t="n"/>
      <c r="AM1050" s="588" t="n"/>
      <c r="AN1050" s="588" t="n"/>
      <c r="AO1050" s="588" t="n"/>
      <c r="AP1050" s="588" t="n"/>
      <c r="AQ1050" s="588" t="n"/>
      <c r="AR1050" s="588" t="n"/>
      <c r="AS1050" s="588" t="n"/>
      <c r="AT1050" s="588" t="n"/>
      <c r="AU1050" s="588" t="n"/>
      <c r="AV1050" s="588" t="n"/>
      <c r="AW1050" s="588" t="n"/>
      <c r="AX1050" s="588" t="n"/>
      <c r="AY1050" s="588" t="n"/>
      <c r="AZ1050" s="588" t="n"/>
      <c r="BA1050" s="588" t="n"/>
      <c r="BB1050" s="588" t="n"/>
      <c r="BC1050" s="588" t="n"/>
      <c r="BD1050" s="588" t="n"/>
      <c r="BE1050" s="588" t="n"/>
      <c r="BF1050" s="588" t="n"/>
      <c r="BG1050" s="588" t="n"/>
      <c r="BH1050" s="588" t="n"/>
      <c r="BI1050" s="588" t="n"/>
      <c r="BJ1050" s="588" t="n"/>
      <c r="BK1050" s="588" t="n"/>
      <c r="BL1050" s="588" t="n"/>
      <c r="BM1050" s="588" t="n"/>
      <c r="BN1050" s="588" t="n"/>
      <c r="BO1050" s="588" t="n"/>
      <c r="BP1050" s="588" t="n"/>
      <c r="BQ1050" s="588" t="n"/>
      <c r="BR1050" s="588" t="n"/>
      <c r="BS1050" s="588" t="n"/>
      <c r="BT1050" s="588" t="n"/>
      <c r="BU1050" s="588" t="n"/>
      <c r="BV1050" s="588" t="n"/>
      <c r="BW1050" s="588" t="n"/>
      <c r="BX1050" s="588" t="n"/>
      <c r="BY1050" s="588" t="n"/>
      <c r="BZ1050" s="588" t="n"/>
      <c r="CA1050" s="588" t="n"/>
      <c r="CB1050" s="588" t="n"/>
      <c r="CC1050" s="588" t="n"/>
      <c r="CD1050" s="588" t="n"/>
      <c r="CE1050" s="588" t="n"/>
      <c r="CF1050" s="588" t="n"/>
      <c r="CG1050" s="588" t="n"/>
      <c r="CH1050" s="588" t="n"/>
      <c r="CI1050" s="588" t="n"/>
      <c r="CJ1050" s="588" t="n"/>
      <c r="CK1050" s="588" t="n"/>
      <c r="CL1050" s="588" t="n"/>
      <c r="CM1050" s="588" t="n"/>
      <c r="CN1050" s="588" t="n"/>
      <c r="CO1050" s="588" t="n"/>
      <c r="CP1050" s="588" t="n"/>
      <c r="CQ1050" s="588" t="n"/>
      <c r="CR1050" s="588" t="n"/>
      <c r="CS1050" s="588" t="n"/>
      <c r="CT1050" s="588" t="n"/>
      <c r="CU1050" s="588" t="n"/>
      <c r="CV1050" s="588" t="n"/>
      <c r="CW1050" s="588" t="n"/>
      <c r="CX1050" s="588" t="n"/>
      <c r="CY1050" s="588" t="n"/>
      <c r="CZ1050" s="588" t="n"/>
      <c r="DA1050" s="588" t="n"/>
      <c r="DB1050" s="588" t="n"/>
      <c r="DC1050" s="588" t="n"/>
      <c r="DD1050" s="588" t="n"/>
      <c r="DE1050" s="588" t="n"/>
      <c r="DF1050" s="588" t="n"/>
      <c r="DG1050" s="588" t="n"/>
      <c r="DH1050" s="588" t="n"/>
      <c r="DI1050" s="588" t="n"/>
      <c r="DJ1050" s="588" t="n"/>
      <c r="DK1050" s="588" t="n"/>
      <c r="DL1050" s="588" t="n"/>
      <c r="DM1050" s="588" t="n"/>
      <c r="DN1050" s="588" t="n"/>
      <c r="DO1050" s="588" t="n"/>
      <c r="DP1050" s="588" t="n"/>
      <c r="DQ1050" s="588" t="n"/>
      <c r="DR1050" s="588" t="n"/>
      <c r="DS1050" s="588" t="n"/>
      <c r="DT1050" s="588" t="n"/>
      <c r="DU1050" s="588" t="n"/>
    </row>
    <row r="1051">
      <c r="A1051" s="737" t="n"/>
      <c r="B1051" s="737" t="n"/>
      <c r="C1051" s="737" t="n"/>
      <c r="D1051" s="737" t="n"/>
      <c r="E1051" s="737" t="n"/>
      <c r="F1051" s="737" t="n"/>
      <c r="G1051" s="737" t="n"/>
      <c r="H1051" s="737" t="n"/>
      <c r="I1051" s="737" t="n"/>
      <c r="J1051" s="737" t="n"/>
      <c r="K1051" s="737" t="n"/>
      <c r="L1051" s="737" t="n"/>
      <c r="M1051" s="737" t="n"/>
      <c r="N1051" s="737" t="n"/>
      <c r="O1051" s="737" t="n"/>
      <c r="P1051" s="737" t="n"/>
      <c r="Q1051" s="737" t="n"/>
      <c r="R1051" s="737" t="n"/>
      <c r="S1051" s="737" t="n"/>
      <c r="T1051" s="737" t="n"/>
      <c r="U1051" s="737" t="n"/>
      <c r="V1051" s="737" t="n"/>
      <c r="W1051" s="737" t="n"/>
      <c r="X1051" s="737" t="n"/>
      <c r="Y1051" s="737" t="n"/>
      <c r="Z1051" s="737" t="n"/>
      <c r="AA1051" s="737" t="n"/>
      <c r="AB1051" s="737" t="n"/>
      <c r="AC1051" s="737" t="n"/>
      <c r="AD1051" s="737" t="n"/>
      <c r="AE1051" s="737" t="n"/>
      <c r="AF1051" s="737" t="n"/>
      <c r="AG1051" s="737" t="n"/>
      <c r="AH1051" s="737" t="n"/>
      <c r="AI1051" s="737" t="n"/>
      <c r="AJ1051" s="737" t="n"/>
      <c r="AK1051" s="588" t="n"/>
      <c r="AL1051" s="588" t="n"/>
      <c r="AM1051" s="588" t="n"/>
      <c r="AN1051" s="588" t="n"/>
      <c r="AO1051" s="588" t="n"/>
      <c r="AP1051" s="588" t="n"/>
      <c r="AQ1051" s="588" t="n"/>
      <c r="AR1051" s="588" t="n"/>
      <c r="AS1051" s="588" t="n"/>
      <c r="AT1051" s="588" t="n"/>
      <c r="AU1051" s="588" t="n"/>
      <c r="AV1051" s="588" t="n"/>
      <c r="AW1051" s="588" t="n"/>
      <c r="AX1051" s="588" t="n"/>
      <c r="AY1051" s="588" t="n"/>
      <c r="AZ1051" s="588" t="n"/>
      <c r="BA1051" s="588" t="n"/>
      <c r="BB1051" s="588" t="n"/>
      <c r="BC1051" s="588" t="n"/>
      <c r="BD1051" s="588" t="n"/>
      <c r="BE1051" s="588" t="n"/>
      <c r="BF1051" s="588" t="n"/>
      <c r="BG1051" s="588" t="n"/>
      <c r="BH1051" s="588" t="n"/>
      <c r="BI1051" s="588" t="n"/>
      <c r="BJ1051" s="588" t="n"/>
      <c r="BK1051" s="588" t="n"/>
      <c r="BL1051" s="588" t="n"/>
      <c r="BM1051" s="588" t="n"/>
      <c r="BN1051" s="588" t="n"/>
      <c r="BO1051" s="588" t="n"/>
      <c r="BP1051" s="588" t="n"/>
      <c r="BQ1051" s="588" t="n"/>
      <c r="BR1051" s="588" t="n"/>
      <c r="BS1051" s="588" t="n"/>
      <c r="BT1051" s="588" t="n"/>
      <c r="BU1051" s="588" t="n"/>
      <c r="BV1051" s="588" t="n"/>
      <c r="BW1051" s="588" t="n"/>
      <c r="BX1051" s="588" t="n"/>
      <c r="BY1051" s="588" t="n"/>
      <c r="BZ1051" s="588" t="n"/>
      <c r="CA1051" s="588" t="n"/>
      <c r="CB1051" s="588" t="n"/>
      <c r="CC1051" s="588" t="n"/>
      <c r="CD1051" s="588" t="n"/>
      <c r="CE1051" s="588" t="n"/>
      <c r="CF1051" s="588" t="n"/>
      <c r="CG1051" s="588" t="n"/>
      <c r="CH1051" s="588" t="n"/>
      <c r="CI1051" s="588" t="n"/>
      <c r="CJ1051" s="588" t="n"/>
      <c r="CK1051" s="588" t="n"/>
      <c r="CL1051" s="588" t="n"/>
      <c r="CM1051" s="588" t="n"/>
      <c r="CN1051" s="588" t="n"/>
      <c r="CO1051" s="588" t="n"/>
      <c r="CP1051" s="588" t="n"/>
      <c r="CQ1051" s="588" t="n"/>
      <c r="CR1051" s="588" t="n"/>
      <c r="CS1051" s="588" t="n"/>
      <c r="CT1051" s="588" t="n"/>
      <c r="CU1051" s="588" t="n"/>
      <c r="CV1051" s="588" t="n"/>
      <c r="CW1051" s="588" t="n"/>
      <c r="CX1051" s="588" t="n"/>
      <c r="CY1051" s="588" t="n"/>
      <c r="CZ1051" s="588" t="n"/>
      <c r="DA1051" s="588" t="n"/>
      <c r="DB1051" s="588" t="n"/>
      <c r="DC1051" s="588" t="n"/>
      <c r="DD1051" s="588" t="n"/>
      <c r="DE1051" s="588" t="n"/>
      <c r="DF1051" s="588" t="n"/>
      <c r="DG1051" s="588" t="n"/>
      <c r="DH1051" s="588" t="n"/>
      <c r="DI1051" s="588" t="n"/>
      <c r="DJ1051" s="588" t="n"/>
      <c r="DK1051" s="588" t="n"/>
      <c r="DL1051" s="588" t="n"/>
      <c r="DM1051" s="588" t="n"/>
      <c r="DN1051" s="588" t="n"/>
      <c r="DO1051" s="588" t="n"/>
      <c r="DP1051" s="588" t="n"/>
      <c r="DQ1051" s="588" t="n"/>
      <c r="DR1051" s="588" t="n"/>
      <c r="DS1051" s="588" t="n"/>
      <c r="DT1051" s="588" t="n"/>
      <c r="DU1051" s="588" t="n"/>
    </row>
    <row r="1052">
      <c r="A1052" s="737" t="n"/>
      <c r="B1052" s="737" t="n"/>
      <c r="C1052" s="737" t="n"/>
      <c r="D1052" s="737" t="n"/>
      <c r="E1052" s="737" t="n"/>
      <c r="F1052" s="737" t="n"/>
      <c r="G1052" s="737" t="n"/>
      <c r="H1052" s="737" t="n"/>
      <c r="I1052" s="737" t="n"/>
      <c r="J1052" s="737" t="n"/>
      <c r="K1052" s="737" t="n"/>
      <c r="L1052" s="737" t="n"/>
      <c r="M1052" s="737" t="n"/>
      <c r="N1052" s="737" t="n"/>
      <c r="O1052" s="737" t="n"/>
      <c r="P1052" s="737" t="n"/>
      <c r="Q1052" s="737" t="n"/>
      <c r="R1052" s="737" t="n"/>
      <c r="S1052" s="737" t="n"/>
      <c r="T1052" s="737" t="n"/>
      <c r="U1052" s="737" t="n"/>
      <c r="V1052" s="737" t="n"/>
      <c r="W1052" s="737" t="n"/>
      <c r="X1052" s="737" t="n"/>
      <c r="Y1052" s="737" t="n"/>
      <c r="Z1052" s="737" t="n"/>
      <c r="AA1052" s="737" t="n"/>
      <c r="AB1052" s="737" t="n"/>
      <c r="AC1052" s="737" t="n"/>
      <c r="AD1052" s="737" t="n"/>
      <c r="AE1052" s="737" t="n"/>
      <c r="AF1052" s="737" t="n"/>
      <c r="AG1052" s="737" t="n"/>
      <c r="AH1052" s="737" t="n"/>
      <c r="AI1052" s="737" t="n"/>
      <c r="AJ1052" s="737" t="n"/>
      <c r="AK1052" s="588" t="n"/>
      <c r="AL1052" s="588" t="n"/>
      <c r="AM1052" s="588" t="n"/>
      <c r="AN1052" s="588" t="n"/>
      <c r="AO1052" s="588" t="n"/>
      <c r="AP1052" s="588" t="n"/>
      <c r="AQ1052" s="588" t="n"/>
      <c r="AR1052" s="588" t="n"/>
      <c r="AS1052" s="588" t="n"/>
      <c r="AT1052" s="588" t="n"/>
      <c r="AU1052" s="588" t="n"/>
      <c r="AV1052" s="588" t="n"/>
      <c r="AW1052" s="588" t="n"/>
      <c r="AX1052" s="588" t="n"/>
      <c r="AY1052" s="588" t="n"/>
      <c r="AZ1052" s="588" t="n"/>
      <c r="BA1052" s="588" t="n"/>
      <c r="BB1052" s="588" t="n"/>
      <c r="BC1052" s="588" t="n"/>
      <c r="BD1052" s="588" t="n"/>
      <c r="BE1052" s="588" t="n"/>
      <c r="BF1052" s="588" t="n"/>
      <c r="BG1052" s="588" t="n"/>
      <c r="BH1052" s="588" t="n"/>
      <c r="BI1052" s="588" t="n"/>
      <c r="BJ1052" s="588" t="n"/>
      <c r="BK1052" s="588" t="n"/>
      <c r="BL1052" s="588" t="n"/>
      <c r="BM1052" s="588" t="n"/>
      <c r="BN1052" s="588" t="n"/>
      <c r="BO1052" s="588" t="n"/>
      <c r="BP1052" s="588" t="n"/>
      <c r="BQ1052" s="588" t="n"/>
      <c r="BR1052" s="588" t="n"/>
      <c r="BS1052" s="588" t="n"/>
      <c r="BT1052" s="588" t="n"/>
      <c r="BU1052" s="588" t="n"/>
      <c r="BV1052" s="588" t="n"/>
      <c r="BW1052" s="588" t="n"/>
      <c r="BX1052" s="588" t="n"/>
      <c r="BY1052" s="588" t="n"/>
      <c r="BZ1052" s="588" t="n"/>
      <c r="CA1052" s="588" t="n"/>
      <c r="CB1052" s="588" t="n"/>
      <c r="CC1052" s="588" t="n"/>
      <c r="CD1052" s="588" t="n"/>
      <c r="CE1052" s="588" t="n"/>
      <c r="CF1052" s="588" t="n"/>
      <c r="CG1052" s="588" t="n"/>
      <c r="CH1052" s="588" t="n"/>
      <c r="CI1052" s="588" t="n"/>
      <c r="CJ1052" s="588" t="n"/>
      <c r="CK1052" s="588" t="n"/>
      <c r="CL1052" s="588" t="n"/>
      <c r="CM1052" s="588" t="n"/>
      <c r="CN1052" s="588" t="n"/>
      <c r="CO1052" s="588" t="n"/>
      <c r="CP1052" s="588" t="n"/>
      <c r="CQ1052" s="588" t="n"/>
      <c r="CR1052" s="588" t="n"/>
      <c r="CS1052" s="588" t="n"/>
      <c r="CT1052" s="588" t="n"/>
      <c r="CU1052" s="588" t="n"/>
      <c r="CV1052" s="588" t="n"/>
      <c r="CW1052" s="588" t="n"/>
      <c r="CX1052" s="588" t="n"/>
      <c r="CY1052" s="588" t="n"/>
      <c r="CZ1052" s="588" t="n"/>
      <c r="DA1052" s="588" t="n"/>
      <c r="DB1052" s="588" t="n"/>
      <c r="DC1052" s="588" t="n"/>
      <c r="DD1052" s="588" t="n"/>
      <c r="DE1052" s="588" t="n"/>
      <c r="DF1052" s="588" t="n"/>
      <c r="DG1052" s="588" t="n"/>
      <c r="DH1052" s="588" t="n"/>
      <c r="DI1052" s="588" t="n"/>
      <c r="DJ1052" s="588" t="n"/>
      <c r="DK1052" s="588" t="n"/>
      <c r="DL1052" s="588" t="n"/>
      <c r="DM1052" s="588" t="n"/>
      <c r="DN1052" s="588" t="n"/>
      <c r="DO1052" s="588" t="n"/>
      <c r="DP1052" s="588" t="n"/>
      <c r="DQ1052" s="588" t="n"/>
      <c r="DR1052" s="588" t="n"/>
      <c r="DS1052" s="588" t="n"/>
      <c r="DT1052" s="588" t="n"/>
      <c r="DU1052" s="588" t="n"/>
    </row>
    <row r="1053">
      <c r="A1053" s="737" t="n"/>
      <c r="B1053" s="737" t="n"/>
      <c r="C1053" s="737" t="n"/>
      <c r="D1053" s="737" t="n"/>
      <c r="E1053" s="737" t="n"/>
      <c r="F1053" s="737" t="n"/>
      <c r="G1053" s="737" t="n"/>
      <c r="H1053" s="737" t="n"/>
      <c r="I1053" s="737" t="n"/>
      <c r="J1053" s="737" t="n"/>
      <c r="K1053" s="737" t="n"/>
      <c r="L1053" s="737" t="n"/>
      <c r="M1053" s="737" t="n"/>
      <c r="N1053" s="737" t="n"/>
      <c r="O1053" s="737" t="n"/>
      <c r="P1053" s="737" t="n"/>
      <c r="Q1053" s="737" t="n"/>
      <c r="R1053" s="737" t="n"/>
      <c r="S1053" s="737" t="n"/>
      <c r="T1053" s="737" t="n"/>
      <c r="U1053" s="737" t="n"/>
      <c r="V1053" s="737" t="n"/>
      <c r="W1053" s="737" t="n"/>
      <c r="X1053" s="737" t="n"/>
      <c r="Y1053" s="737" t="n"/>
      <c r="Z1053" s="737" t="n"/>
      <c r="AA1053" s="737" t="n"/>
      <c r="AB1053" s="737" t="n"/>
      <c r="AC1053" s="737" t="n"/>
      <c r="AD1053" s="737" t="n"/>
      <c r="AE1053" s="737" t="n"/>
      <c r="AF1053" s="737" t="n"/>
      <c r="AG1053" s="737" t="n"/>
      <c r="AH1053" s="737" t="n"/>
      <c r="AI1053" s="737" t="n"/>
      <c r="AJ1053" s="737" t="n"/>
      <c r="AK1053" s="588" t="n"/>
      <c r="AL1053" s="588" t="n"/>
      <c r="AM1053" s="588" t="n"/>
      <c r="AN1053" s="588" t="n"/>
      <c r="AO1053" s="588" t="n"/>
      <c r="AP1053" s="588" t="n"/>
      <c r="AQ1053" s="588" t="n"/>
      <c r="AR1053" s="588" t="n"/>
      <c r="AS1053" s="588" t="n"/>
      <c r="AT1053" s="588" t="n"/>
      <c r="AU1053" s="588" t="n"/>
      <c r="AV1053" s="588" t="n"/>
      <c r="AW1053" s="588" t="n"/>
      <c r="AX1053" s="588" t="n"/>
      <c r="AY1053" s="588" t="n"/>
      <c r="AZ1053" s="588" t="n"/>
      <c r="BA1053" s="588" t="n"/>
      <c r="BB1053" s="588" t="n"/>
      <c r="BC1053" s="588" t="n"/>
      <c r="BD1053" s="588" t="n"/>
      <c r="BE1053" s="588" t="n"/>
      <c r="BF1053" s="588" t="n"/>
      <c r="BG1053" s="588" t="n"/>
      <c r="BH1053" s="588" t="n"/>
      <c r="BI1053" s="588" t="n"/>
      <c r="BJ1053" s="588" t="n"/>
      <c r="BK1053" s="588" t="n"/>
      <c r="BL1053" s="588" t="n"/>
      <c r="BM1053" s="588" t="n"/>
      <c r="BN1053" s="588" t="n"/>
      <c r="BO1053" s="588" t="n"/>
      <c r="BP1053" s="588" t="n"/>
      <c r="BQ1053" s="588" t="n"/>
      <c r="BR1053" s="588" t="n"/>
      <c r="BS1053" s="588" t="n"/>
      <c r="BT1053" s="588" t="n"/>
      <c r="BU1053" s="588" t="n"/>
      <c r="BV1053" s="588" t="n"/>
      <c r="BW1053" s="588" t="n"/>
      <c r="BX1053" s="588" t="n"/>
      <c r="BY1053" s="588" t="n"/>
      <c r="BZ1053" s="588" t="n"/>
      <c r="CA1053" s="588" t="n"/>
      <c r="CB1053" s="588" t="n"/>
      <c r="CC1053" s="588" t="n"/>
      <c r="CD1053" s="588" t="n"/>
      <c r="CE1053" s="588" t="n"/>
      <c r="CF1053" s="588" t="n"/>
      <c r="CG1053" s="588" t="n"/>
      <c r="CH1053" s="588" t="n"/>
      <c r="CI1053" s="588" t="n"/>
      <c r="CJ1053" s="588" t="n"/>
      <c r="CK1053" s="588" t="n"/>
      <c r="CL1053" s="588" t="n"/>
      <c r="CM1053" s="588" t="n"/>
      <c r="CN1053" s="588" t="n"/>
      <c r="CO1053" s="588" t="n"/>
      <c r="CP1053" s="588" t="n"/>
      <c r="CQ1053" s="588" t="n"/>
      <c r="CR1053" s="588" t="n"/>
      <c r="CS1053" s="588" t="n"/>
      <c r="CT1053" s="588" t="n"/>
      <c r="CU1053" s="588" t="n"/>
      <c r="CV1053" s="588" t="n"/>
      <c r="CW1053" s="588" t="n"/>
      <c r="CX1053" s="588" t="n"/>
      <c r="CY1053" s="588" t="n"/>
      <c r="CZ1053" s="588" t="n"/>
      <c r="DA1053" s="588" t="n"/>
      <c r="DB1053" s="588" t="n"/>
      <c r="DC1053" s="588" t="n"/>
      <c r="DD1053" s="588" t="n"/>
      <c r="DE1053" s="588" t="n"/>
      <c r="DF1053" s="588" t="n"/>
      <c r="DG1053" s="588" t="n"/>
      <c r="DH1053" s="588" t="n"/>
      <c r="DI1053" s="588" t="n"/>
      <c r="DJ1053" s="588" t="n"/>
      <c r="DK1053" s="588" t="n"/>
      <c r="DL1053" s="588" t="n"/>
      <c r="DM1053" s="588" t="n"/>
      <c r="DN1053" s="588" t="n"/>
      <c r="DO1053" s="588" t="n"/>
      <c r="DP1053" s="588" t="n"/>
      <c r="DQ1053" s="588" t="n"/>
      <c r="DR1053" s="588" t="n"/>
      <c r="DS1053" s="588" t="n"/>
      <c r="DT1053" s="588" t="n"/>
      <c r="DU1053" s="588" t="n"/>
    </row>
    <row r="1054">
      <c r="A1054" s="737" t="n"/>
      <c r="B1054" s="737" t="n"/>
      <c r="C1054" s="737" t="n"/>
      <c r="D1054" s="737" t="n"/>
      <c r="E1054" s="737" t="n"/>
      <c r="F1054" s="737" t="n"/>
      <c r="G1054" s="737" t="n"/>
      <c r="H1054" s="737" t="n"/>
      <c r="I1054" s="737" t="n"/>
      <c r="J1054" s="737" t="n"/>
      <c r="K1054" s="737" t="n"/>
      <c r="L1054" s="737" t="n"/>
      <c r="M1054" s="737" t="n"/>
      <c r="N1054" s="737" t="n"/>
      <c r="O1054" s="737" t="n"/>
      <c r="P1054" s="737" t="n"/>
      <c r="Q1054" s="737" t="n"/>
      <c r="R1054" s="737" t="n"/>
      <c r="S1054" s="737" t="n"/>
      <c r="T1054" s="737" t="n"/>
      <c r="U1054" s="737" t="n"/>
      <c r="V1054" s="737" t="n"/>
      <c r="W1054" s="737" t="n"/>
      <c r="X1054" s="737" t="n"/>
      <c r="Y1054" s="737" t="n"/>
      <c r="Z1054" s="737" t="n"/>
      <c r="AA1054" s="737" t="n"/>
      <c r="AB1054" s="737" t="n"/>
      <c r="AC1054" s="737" t="n"/>
      <c r="AD1054" s="737" t="n"/>
      <c r="AE1054" s="737" t="n"/>
      <c r="AF1054" s="737" t="n"/>
      <c r="AG1054" s="737" t="n"/>
      <c r="AH1054" s="737" t="n"/>
      <c r="AI1054" s="737" t="n"/>
      <c r="AJ1054" s="737" t="n"/>
      <c r="AK1054" s="588" t="n"/>
      <c r="AL1054" s="588" t="n"/>
      <c r="AM1054" s="588" t="n"/>
      <c r="AN1054" s="588" t="n"/>
      <c r="AO1054" s="588" t="n"/>
      <c r="AP1054" s="588" t="n"/>
      <c r="AQ1054" s="588" t="n"/>
      <c r="AR1054" s="588" t="n"/>
      <c r="AS1054" s="588" t="n"/>
      <c r="AT1054" s="588" t="n"/>
      <c r="AU1054" s="588" t="n"/>
      <c r="AV1054" s="588" t="n"/>
      <c r="AW1054" s="588" t="n"/>
      <c r="AX1054" s="588" t="n"/>
      <c r="AY1054" s="588" t="n"/>
      <c r="AZ1054" s="588" t="n"/>
      <c r="BA1054" s="588" t="n"/>
      <c r="BB1054" s="588" t="n"/>
      <c r="BC1054" s="588" t="n"/>
      <c r="BD1054" s="588" t="n"/>
      <c r="BE1054" s="588" t="n"/>
      <c r="BF1054" s="588" t="n"/>
      <c r="BG1054" s="588" t="n"/>
      <c r="BH1054" s="588" t="n"/>
      <c r="BI1054" s="588" t="n"/>
      <c r="BJ1054" s="588" t="n"/>
      <c r="BK1054" s="588" t="n"/>
      <c r="BL1054" s="588" t="n"/>
      <c r="BM1054" s="588" t="n"/>
      <c r="BN1054" s="588" t="n"/>
      <c r="BO1054" s="588" t="n"/>
      <c r="BP1054" s="588" t="n"/>
      <c r="BQ1054" s="588" t="n"/>
      <c r="BR1054" s="588" t="n"/>
      <c r="BS1054" s="588" t="n"/>
      <c r="BT1054" s="588" t="n"/>
      <c r="BU1054" s="588" t="n"/>
      <c r="BV1054" s="588" t="n"/>
      <c r="BW1054" s="588" t="n"/>
      <c r="BX1054" s="588" t="n"/>
      <c r="BY1054" s="588" t="n"/>
      <c r="BZ1054" s="588" t="n"/>
      <c r="CA1054" s="588" t="n"/>
      <c r="CB1054" s="588" t="n"/>
      <c r="CC1054" s="588" t="n"/>
      <c r="CD1054" s="588" t="n"/>
      <c r="CE1054" s="588" t="n"/>
      <c r="CF1054" s="588" t="n"/>
      <c r="CG1054" s="588" t="n"/>
      <c r="CH1054" s="588" t="n"/>
      <c r="CI1054" s="588" t="n"/>
      <c r="CJ1054" s="588" t="n"/>
      <c r="CK1054" s="588" t="n"/>
      <c r="CL1054" s="588" t="n"/>
      <c r="CM1054" s="588" t="n"/>
      <c r="CN1054" s="588" t="n"/>
      <c r="CO1054" s="588" t="n"/>
      <c r="CP1054" s="588" t="n"/>
      <c r="CQ1054" s="588" t="n"/>
      <c r="CR1054" s="588" t="n"/>
      <c r="CS1054" s="588" t="n"/>
      <c r="CT1054" s="588" t="n"/>
      <c r="CU1054" s="588" t="n"/>
      <c r="CV1054" s="588" t="n"/>
      <c r="CW1054" s="588" t="n"/>
      <c r="CX1054" s="588" t="n"/>
      <c r="CY1054" s="588" t="n"/>
      <c r="CZ1054" s="588" t="n"/>
      <c r="DA1054" s="588" t="n"/>
      <c r="DB1054" s="588" t="n"/>
      <c r="DC1054" s="588" t="n"/>
      <c r="DD1054" s="588" t="n"/>
      <c r="DE1054" s="588" t="n"/>
      <c r="DF1054" s="588" t="n"/>
      <c r="DG1054" s="588" t="n"/>
      <c r="DH1054" s="588" t="n"/>
      <c r="DI1054" s="588" t="n"/>
      <c r="DJ1054" s="588" t="n"/>
      <c r="DK1054" s="588" t="n"/>
      <c r="DL1054" s="588" t="n"/>
      <c r="DM1054" s="588" t="n"/>
      <c r="DN1054" s="588" t="n"/>
      <c r="DO1054" s="588" t="n"/>
      <c r="DP1054" s="588" t="n"/>
      <c r="DQ1054" s="588" t="n"/>
      <c r="DR1054" s="588" t="n"/>
      <c r="DS1054" s="588" t="n"/>
      <c r="DT1054" s="588" t="n"/>
      <c r="DU1054" s="588" t="n"/>
    </row>
    <row r="1055">
      <c r="A1055" s="737" t="n"/>
      <c r="B1055" s="737" t="n"/>
      <c r="C1055" s="737" t="n"/>
      <c r="D1055" s="737" t="n"/>
      <c r="E1055" s="737" t="n"/>
      <c r="F1055" s="737" t="n"/>
      <c r="G1055" s="737" t="n"/>
      <c r="H1055" s="737" t="n"/>
      <c r="I1055" s="737" t="n"/>
      <c r="J1055" s="737" t="n"/>
      <c r="K1055" s="737" t="n"/>
      <c r="L1055" s="737" t="n"/>
      <c r="M1055" s="737" t="n"/>
      <c r="N1055" s="737" t="n"/>
      <c r="O1055" s="737" t="n"/>
      <c r="P1055" s="737" t="n"/>
      <c r="Q1055" s="737" t="n"/>
      <c r="R1055" s="737" t="n"/>
      <c r="S1055" s="737" t="n"/>
      <c r="T1055" s="737" t="n"/>
      <c r="U1055" s="737" t="n"/>
      <c r="V1055" s="737" t="n"/>
      <c r="W1055" s="737" t="n"/>
      <c r="X1055" s="737" t="n"/>
      <c r="Y1055" s="737" t="n"/>
      <c r="Z1055" s="737" t="n"/>
      <c r="AA1055" s="737" t="n"/>
      <c r="AB1055" s="737" t="n"/>
      <c r="AC1055" s="737" t="n"/>
      <c r="AD1055" s="737" t="n"/>
      <c r="AE1055" s="737" t="n"/>
      <c r="AF1055" s="737" t="n"/>
      <c r="AG1055" s="737" t="n"/>
      <c r="AH1055" s="737" t="n"/>
      <c r="AI1055" s="737" t="n"/>
      <c r="AJ1055" s="737" t="n"/>
      <c r="AK1055" s="588" t="n"/>
      <c r="AL1055" s="588" t="n"/>
      <c r="AM1055" s="588" t="n"/>
      <c r="AN1055" s="588" t="n"/>
      <c r="AO1055" s="588" t="n"/>
      <c r="AP1055" s="588" t="n"/>
      <c r="AQ1055" s="588" t="n"/>
      <c r="AR1055" s="588" t="n"/>
      <c r="AS1055" s="588" t="n"/>
      <c r="AT1055" s="588" t="n"/>
      <c r="AU1055" s="588" t="n"/>
      <c r="AV1055" s="588" t="n"/>
      <c r="AW1055" s="588" t="n"/>
      <c r="AX1055" s="588" t="n"/>
      <c r="AY1055" s="588" t="n"/>
      <c r="AZ1055" s="588" t="n"/>
      <c r="BA1055" s="588" t="n"/>
      <c r="BB1055" s="588" t="n"/>
      <c r="BC1055" s="588" t="n"/>
      <c r="BD1055" s="588" t="n"/>
      <c r="BE1055" s="588" t="n"/>
      <c r="BF1055" s="588" t="n"/>
      <c r="BG1055" s="588" t="n"/>
      <c r="BH1055" s="588" t="n"/>
      <c r="BI1055" s="588" t="n"/>
      <c r="BJ1055" s="588" t="n"/>
      <c r="BK1055" s="588" t="n"/>
      <c r="BL1055" s="588" t="n"/>
      <c r="BM1055" s="588" t="n"/>
      <c r="BN1055" s="588" t="n"/>
      <c r="BO1055" s="588" t="n"/>
      <c r="BP1055" s="588" t="n"/>
      <c r="BQ1055" s="588" t="n"/>
      <c r="BR1055" s="588" t="n"/>
      <c r="BS1055" s="588" t="n"/>
      <c r="BT1055" s="588" t="n"/>
      <c r="BU1055" s="588" t="n"/>
      <c r="BV1055" s="588" t="n"/>
      <c r="BW1055" s="588" t="n"/>
      <c r="BX1055" s="588" t="n"/>
      <c r="BY1055" s="588" t="n"/>
      <c r="BZ1055" s="588" t="n"/>
      <c r="CA1055" s="588" t="n"/>
      <c r="CB1055" s="588" t="n"/>
      <c r="CC1055" s="588" t="n"/>
      <c r="CD1055" s="588" t="n"/>
      <c r="CE1055" s="588" t="n"/>
      <c r="CF1055" s="588" t="n"/>
      <c r="CG1055" s="588" t="n"/>
      <c r="CH1055" s="588" t="n"/>
      <c r="CI1055" s="588" t="n"/>
      <c r="CJ1055" s="588" t="n"/>
      <c r="CK1055" s="588" t="n"/>
      <c r="CL1055" s="588" t="n"/>
      <c r="CM1055" s="588" t="n"/>
      <c r="CN1055" s="588" t="n"/>
      <c r="CO1055" s="588" t="n"/>
      <c r="CP1055" s="588" t="n"/>
      <c r="CQ1055" s="588" t="n"/>
      <c r="CR1055" s="588" t="n"/>
      <c r="CS1055" s="588" t="n"/>
      <c r="CT1055" s="588" t="n"/>
      <c r="CU1055" s="588" t="n"/>
      <c r="CV1055" s="588" t="n"/>
      <c r="CW1055" s="588" t="n"/>
      <c r="CX1055" s="588" t="n"/>
      <c r="CY1055" s="588" t="n"/>
      <c r="CZ1055" s="588" t="n"/>
      <c r="DA1055" s="588" t="n"/>
      <c r="DB1055" s="588" t="n"/>
      <c r="DC1055" s="588" t="n"/>
      <c r="DD1055" s="588" t="n"/>
      <c r="DE1055" s="588" t="n"/>
      <c r="DF1055" s="588" t="n"/>
      <c r="DG1055" s="588" t="n"/>
      <c r="DH1055" s="588" t="n"/>
      <c r="DI1055" s="588" t="n"/>
      <c r="DJ1055" s="588" t="n"/>
      <c r="DK1055" s="588" t="n"/>
      <c r="DL1055" s="588" t="n"/>
      <c r="DM1055" s="588" t="n"/>
      <c r="DN1055" s="588" t="n"/>
      <c r="DO1055" s="588" t="n"/>
      <c r="DP1055" s="588" t="n"/>
      <c r="DQ1055" s="588" t="n"/>
      <c r="DR1055" s="588" t="n"/>
      <c r="DS1055" s="588" t="n"/>
      <c r="DT1055" s="588" t="n"/>
      <c r="DU1055" s="588" t="n"/>
    </row>
    <row r="1056">
      <c r="A1056" s="737" t="n"/>
      <c r="B1056" s="737" t="n"/>
      <c r="C1056" s="737" t="n"/>
      <c r="D1056" s="737" t="n"/>
      <c r="E1056" s="737" t="n"/>
      <c r="F1056" s="737" t="n"/>
      <c r="G1056" s="737" t="n"/>
      <c r="H1056" s="737" t="n"/>
      <c r="I1056" s="737" t="n"/>
      <c r="J1056" s="737" t="n"/>
      <c r="K1056" s="737" t="n"/>
      <c r="L1056" s="737" t="n"/>
      <c r="M1056" s="737" t="n"/>
      <c r="N1056" s="737" t="n"/>
      <c r="O1056" s="737" t="n"/>
      <c r="P1056" s="737" t="n"/>
      <c r="Q1056" s="737" t="n"/>
      <c r="R1056" s="737" t="n"/>
      <c r="S1056" s="737" t="n"/>
      <c r="T1056" s="737" t="n"/>
      <c r="U1056" s="737" t="n"/>
      <c r="V1056" s="737" t="n"/>
      <c r="W1056" s="737" t="n"/>
      <c r="X1056" s="737" t="n"/>
      <c r="Y1056" s="737" t="n"/>
      <c r="Z1056" s="737" t="n"/>
      <c r="AA1056" s="737" t="n"/>
      <c r="AB1056" s="737" t="n"/>
      <c r="AC1056" s="737" t="n"/>
      <c r="AD1056" s="737" t="n"/>
      <c r="AE1056" s="737" t="n"/>
      <c r="AF1056" s="737" t="n"/>
      <c r="AG1056" s="737" t="n"/>
      <c r="AH1056" s="737" t="n"/>
      <c r="AI1056" s="737" t="n"/>
      <c r="AJ1056" s="737" t="n"/>
      <c r="AK1056" s="588" t="n"/>
      <c r="AL1056" s="588" t="n"/>
      <c r="AM1056" s="588" t="n"/>
      <c r="AN1056" s="588" t="n"/>
      <c r="AO1056" s="588" t="n"/>
      <c r="AP1056" s="588" t="n"/>
      <c r="AQ1056" s="588" t="n"/>
      <c r="AR1056" s="588" t="n"/>
      <c r="AS1056" s="588" t="n"/>
      <c r="AT1056" s="588" t="n"/>
      <c r="AU1056" s="588" t="n"/>
      <c r="AV1056" s="588" t="n"/>
      <c r="AW1056" s="588" t="n"/>
      <c r="AX1056" s="588" t="n"/>
      <c r="AY1056" s="588" t="n"/>
      <c r="AZ1056" s="588" t="n"/>
      <c r="BA1056" s="588" t="n"/>
      <c r="BB1056" s="588" t="n"/>
      <c r="BC1056" s="588" t="n"/>
      <c r="BD1056" s="588" t="n"/>
      <c r="BE1056" s="588" t="n"/>
      <c r="BF1056" s="588" t="n"/>
      <c r="BG1056" s="588" t="n"/>
      <c r="BH1056" s="588" t="n"/>
      <c r="BI1056" s="588" t="n"/>
      <c r="BJ1056" s="588" t="n"/>
      <c r="BK1056" s="588" t="n"/>
      <c r="BL1056" s="588" t="n"/>
      <c r="BM1056" s="588" t="n"/>
      <c r="BN1056" s="588" t="n"/>
      <c r="BO1056" s="588" t="n"/>
      <c r="BP1056" s="588" t="n"/>
      <c r="BQ1056" s="588" t="n"/>
      <c r="BR1056" s="588" t="n"/>
      <c r="BS1056" s="588" t="n"/>
      <c r="BT1056" s="588" t="n"/>
      <c r="BU1056" s="588" t="n"/>
      <c r="BV1056" s="588" t="n"/>
      <c r="BW1056" s="588" t="n"/>
      <c r="BX1056" s="588" t="n"/>
      <c r="BY1056" s="588" t="n"/>
      <c r="BZ1056" s="588" t="n"/>
      <c r="CA1056" s="588" t="n"/>
      <c r="CB1056" s="588" t="n"/>
      <c r="CC1056" s="588" t="n"/>
      <c r="CD1056" s="588" t="n"/>
      <c r="CE1056" s="588" t="n"/>
      <c r="CF1056" s="588" t="n"/>
      <c r="CG1056" s="588" t="n"/>
      <c r="CH1056" s="588" t="n"/>
      <c r="CI1056" s="588" t="n"/>
      <c r="CJ1056" s="588" t="n"/>
      <c r="CK1056" s="588" t="n"/>
      <c r="CL1056" s="588" t="n"/>
      <c r="CM1056" s="588" t="n"/>
      <c r="CN1056" s="588" t="n"/>
      <c r="CO1056" s="588" t="n"/>
      <c r="CP1056" s="588" t="n"/>
      <c r="CQ1056" s="588" t="n"/>
      <c r="CR1056" s="588" t="n"/>
      <c r="CS1056" s="588" t="n"/>
      <c r="CT1056" s="588" t="n"/>
      <c r="CU1056" s="588" t="n"/>
      <c r="CV1056" s="588" t="n"/>
      <c r="CW1056" s="588" t="n"/>
      <c r="CX1056" s="588" t="n"/>
      <c r="CY1056" s="588" t="n"/>
      <c r="CZ1056" s="588" t="n"/>
      <c r="DA1056" s="588" t="n"/>
      <c r="DB1056" s="588" t="n"/>
      <c r="DC1056" s="588" t="n"/>
      <c r="DD1056" s="588" t="n"/>
      <c r="DE1056" s="588" t="n"/>
      <c r="DF1056" s="588" t="n"/>
      <c r="DG1056" s="588" t="n"/>
      <c r="DH1056" s="588" t="n"/>
      <c r="DI1056" s="588" t="n"/>
      <c r="DJ1056" s="588" t="n"/>
      <c r="DK1056" s="588" t="n"/>
      <c r="DL1056" s="588" t="n"/>
      <c r="DM1056" s="588" t="n"/>
      <c r="DN1056" s="588" t="n"/>
      <c r="DO1056" s="588" t="n"/>
      <c r="DP1056" s="588" t="n"/>
      <c r="DQ1056" s="588" t="n"/>
      <c r="DR1056" s="588" t="n"/>
      <c r="DS1056" s="588" t="n"/>
      <c r="DT1056" s="588" t="n"/>
      <c r="DU1056" s="588" t="n"/>
    </row>
    <row r="1057">
      <c r="A1057" s="737" t="n"/>
      <c r="B1057" s="737" t="n"/>
      <c r="C1057" s="737" t="n"/>
      <c r="D1057" s="737" t="n"/>
      <c r="E1057" s="737" t="n"/>
      <c r="F1057" s="737" t="n"/>
      <c r="G1057" s="737" t="n"/>
      <c r="H1057" s="737" t="n"/>
      <c r="I1057" s="737" t="n"/>
      <c r="J1057" s="737" t="n"/>
      <c r="K1057" s="737" t="n"/>
      <c r="L1057" s="737" t="n"/>
      <c r="M1057" s="737" t="n"/>
      <c r="N1057" s="737" t="n"/>
      <c r="O1057" s="737" t="n"/>
      <c r="P1057" s="737" t="n"/>
      <c r="Q1057" s="737" t="n"/>
      <c r="R1057" s="737" t="n"/>
      <c r="S1057" s="737" t="n"/>
      <c r="T1057" s="737" t="n"/>
      <c r="U1057" s="737" t="n"/>
      <c r="V1057" s="737" t="n"/>
      <c r="W1057" s="737" t="n"/>
      <c r="X1057" s="737" t="n"/>
      <c r="Y1057" s="737" t="n"/>
      <c r="Z1057" s="737" t="n"/>
      <c r="AA1057" s="737" t="n"/>
      <c r="AB1057" s="737" t="n"/>
      <c r="AC1057" s="737" t="n"/>
      <c r="AD1057" s="737" t="n"/>
      <c r="AE1057" s="737" t="n"/>
      <c r="AF1057" s="737" t="n"/>
      <c r="AG1057" s="737" t="n"/>
      <c r="AH1057" s="737" t="n"/>
      <c r="AI1057" s="737" t="n"/>
      <c r="AJ1057" s="737" t="n"/>
      <c r="AK1057" s="588" t="n"/>
      <c r="AL1057" s="588" t="n"/>
      <c r="AM1057" s="588" t="n"/>
      <c r="AN1057" s="588" t="n"/>
      <c r="AO1057" s="588" t="n"/>
      <c r="AP1057" s="588" t="n"/>
      <c r="AQ1057" s="588" t="n"/>
      <c r="AR1057" s="588" t="n"/>
      <c r="AS1057" s="588" t="n"/>
      <c r="AT1057" s="588" t="n"/>
      <c r="AU1057" s="588" t="n"/>
      <c r="AV1057" s="588" t="n"/>
      <c r="AW1057" s="588" t="n"/>
      <c r="AX1057" s="588" t="n"/>
      <c r="AY1057" s="588" t="n"/>
      <c r="AZ1057" s="588" t="n"/>
      <c r="BA1057" s="588" t="n"/>
      <c r="BB1057" s="588" t="n"/>
      <c r="BC1057" s="588" t="n"/>
      <c r="BD1057" s="588" t="n"/>
      <c r="BE1057" s="588" t="n"/>
      <c r="BF1057" s="588" t="n"/>
      <c r="BG1057" s="588" t="n"/>
      <c r="BH1057" s="588" t="n"/>
      <c r="BI1057" s="588" t="n"/>
      <c r="BJ1057" s="588" t="n"/>
      <c r="BK1057" s="588" t="n"/>
      <c r="BL1057" s="588" t="n"/>
      <c r="BM1057" s="588" t="n"/>
      <c r="BN1057" s="588" t="n"/>
      <c r="BO1057" s="588" t="n"/>
      <c r="BP1057" s="588" t="n"/>
      <c r="BQ1057" s="588" t="n"/>
      <c r="BR1057" s="588" t="n"/>
      <c r="BS1057" s="588" t="n"/>
      <c r="BT1057" s="588" t="n"/>
      <c r="BU1057" s="588" t="n"/>
      <c r="BV1057" s="588" t="n"/>
      <c r="BW1057" s="588" t="n"/>
      <c r="BX1057" s="588" t="n"/>
      <c r="BY1057" s="588" t="n"/>
      <c r="BZ1057" s="588" t="n"/>
      <c r="CA1057" s="588" t="n"/>
      <c r="CB1057" s="588" t="n"/>
      <c r="CC1057" s="588" t="n"/>
      <c r="CD1057" s="588" t="n"/>
      <c r="CE1057" s="588" t="n"/>
      <c r="CF1057" s="588" t="n"/>
      <c r="CG1057" s="588" t="n"/>
      <c r="CH1057" s="588" t="n"/>
      <c r="CI1057" s="588" t="n"/>
      <c r="CJ1057" s="588" t="n"/>
      <c r="CK1057" s="588" t="n"/>
      <c r="CL1057" s="588" t="n"/>
      <c r="CM1057" s="588" t="n"/>
      <c r="CN1057" s="588" t="n"/>
      <c r="CO1057" s="588" t="n"/>
      <c r="CP1057" s="588" t="n"/>
      <c r="CQ1057" s="588" t="n"/>
      <c r="CR1057" s="588" t="n"/>
      <c r="CS1057" s="588" t="n"/>
      <c r="CT1057" s="588" t="n"/>
      <c r="CU1057" s="588" t="n"/>
      <c r="CV1057" s="588" t="n"/>
      <c r="CW1057" s="588" t="n"/>
      <c r="CX1057" s="588" t="n"/>
      <c r="CY1057" s="588" t="n"/>
      <c r="CZ1057" s="588" t="n"/>
      <c r="DA1057" s="588" t="n"/>
      <c r="DB1057" s="588" t="n"/>
      <c r="DC1057" s="588" t="n"/>
      <c r="DD1057" s="588" t="n"/>
      <c r="DE1057" s="588" t="n"/>
      <c r="DF1057" s="588" t="n"/>
      <c r="DG1057" s="588" t="n"/>
      <c r="DH1057" s="588" t="n"/>
      <c r="DI1057" s="588" t="n"/>
      <c r="DJ1057" s="588" t="n"/>
      <c r="DK1057" s="588" t="n"/>
      <c r="DL1057" s="588" t="n"/>
      <c r="DM1057" s="588" t="n"/>
      <c r="DN1057" s="588" t="n"/>
      <c r="DO1057" s="588" t="n"/>
      <c r="DP1057" s="588" t="n"/>
      <c r="DQ1057" s="588" t="n"/>
      <c r="DR1057" s="588" t="n"/>
      <c r="DS1057" s="588" t="n"/>
      <c r="DT1057" s="588" t="n"/>
      <c r="DU1057" s="588" t="n"/>
    </row>
    <row r="1058">
      <c r="A1058" s="737" t="n"/>
      <c r="B1058" s="737" t="n"/>
      <c r="C1058" s="737" t="n"/>
      <c r="D1058" s="737" t="n"/>
      <c r="E1058" s="737" t="n"/>
      <c r="F1058" s="737" t="n"/>
      <c r="G1058" s="737" t="n"/>
      <c r="H1058" s="737" t="n"/>
      <c r="I1058" s="737" t="n"/>
      <c r="J1058" s="737" t="n"/>
      <c r="K1058" s="737" t="n"/>
      <c r="L1058" s="737" t="n"/>
      <c r="M1058" s="737" t="n"/>
      <c r="N1058" s="737" t="n"/>
      <c r="O1058" s="737" t="n"/>
      <c r="P1058" s="737" t="n"/>
      <c r="Q1058" s="737" t="n"/>
      <c r="R1058" s="737" t="n"/>
      <c r="S1058" s="737" t="n"/>
      <c r="T1058" s="737" t="n"/>
      <c r="U1058" s="737" t="n"/>
      <c r="V1058" s="737" t="n"/>
      <c r="W1058" s="737" t="n"/>
      <c r="X1058" s="737" t="n"/>
      <c r="Y1058" s="737" t="n"/>
      <c r="Z1058" s="737" t="n"/>
      <c r="AA1058" s="737" t="n"/>
      <c r="AB1058" s="737" t="n"/>
      <c r="AC1058" s="737" t="n"/>
      <c r="AD1058" s="737" t="n"/>
      <c r="AE1058" s="737" t="n"/>
      <c r="AF1058" s="737" t="n"/>
      <c r="AG1058" s="737" t="n"/>
      <c r="AH1058" s="737" t="n"/>
      <c r="AI1058" s="737" t="n"/>
      <c r="AJ1058" s="737" t="n"/>
      <c r="AK1058" s="588" t="n"/>
      <c r="AL1058" s="588" t="n"/>
      <c r="AM1058" s="588" t="n"/>
      <c r="AN1058" s="588" t="n"/>
      <c r="AO1058" s="588" t="n"/>
      <c r="AP1058" s="588" t="n"/>
      <c r="AQ1058" s="588" t="n"/>
      <c r="AR1058" s="588" t="n"/>
      <c r="AS1058" s="588" t="n"/>
      <c r="AT1058" s="588" t="n"/>
      <c r="AU1058" s="588" t="n"/>
      <c r="AV1058" s="588" t="n"/>
      <c r="AW1058" s="588" t="n"/>
      <c r="AX1058" s="588" t="n"/>
      <c r="AY1058" s="588" t="n"/>
      <c r="AZ1058" s="588" t="n"/>
      <c r="BA1058" s="588" t="n"/>
      <c r="BB1058" s="588" t="n"/>
      <c r="BC1058" s="588" t="n"/>
      <c r="BD1058" s="588" t="n"/>
      <c r="BE1058" s="588" t="n"/>
      <c r="BF1058" s="588" t="n"/>
      <c r="BG1058" s="588" t="n"/>
      <c r="BH1058" s="588" t="n"/>
      <c r="BI1058" s="588" t="n"/>
      <c r="BJ1058" s="588" t="n"/>
      <c r="BK1058" s="588" t="n"/>
      <c r="BL1058" s="588" t="n"/>
      <c r="BM1058" s="588" t="n"/>
      <c r="BN1058" s="588" t="n"/>
      <c r="BO1058" s="588" t="n"/>
      <c r="BP1058" s="588" t="n"/>
      <c r="BQ1058" s="588" t="n"/>
      <c r="BR1058" s="588" t="n"/>
      <c r="BS1058" s="588" t="n"/>
      <c r="BT1058" s="588" t="n"/>
      <c r="BU1058" s="588" t="n"/>
      <c r="BV1058" s="588" t="n"/>
      <c r="BW1058" s="588" t="n"/>
      <c r="BX1058" s="588" t="n"/>
      <c r="BY1058" s="588" t="n"/>
      <c r="BZ1058" s="588" t="n"/>
      <c r="CA1058" s="588" t="n"/>
      <c r="CB1058" s="588" t="n"/>
      <c r="CC1058" s="588" t="n"/>
      <c r="CD1058" s="588" t="n"/>
      <c r="CE1058" s="588" t="n"/>
      <c r="CF1058" s="588" t="n"/>
      <c r="CG1058" s="588" t="n"/>
      <c r="CH1058" s="588" t="n"/>
      <c r="CI1058" s="588" t="n"/>
      <c r="CJ1058" s="588" t="n"/>
      <c r="CK1058" s="588" t="n"/>
      <c r="CL1058" s="588" t="n"/>
      <c r="CM1058" s="588" t="n"/>
      <c r="CN1058" s="588" t="n"/>
      <c r="CO1058" s="588" t="n"/>
      <c r="CP1058" s="588" t="n"/>
      <c r="CQ1058" s="588" t="n"/>
      <c r="CR1058" s="588" t="n"/>
      <c r="CS1058" s="588" t="n"/>
      <c r="CT1058" s="588" t="n"/>
      <c r="CU1058" s="588" t="n"/>
      <c r="CV1058" s="588" t="n"/>
      <c r="CW1058" s="588" t="n"/>
      <c r="CX1058" s="588" t="n"/>
      <c r="CY1058" s="588" t="n"/>
      <c r="CZ1058" s="588" t="n"/>
      <c r="DA1058" s="588" t="n"/>
      <c r="DB1058" s="588" t="n"/>
      <c r="DC1058" s="588" t="n"/>
      <c r="DD1058" s="588" t="n"/>
      <c r="DE1058" s="588" t="n"/>
      <c r="DF1058" s="588" t="n"/>
      <c r="DG1058" s="588" t="n"/>
      <c r="DH1058" s="588" t="n"/>
      <c r="DI1058" s="588" t="n"/>
      <c r="DJ1058" s="588" t="n"/>
      <c r="DK1058" s="588" t="n"/>
      <c r="DL1058" s="588" t="n"/>
      <c r="DM1058" s="588" t="n"/>
      <c r="DN1058" s="588" t="n"/>
      <c r="DO1058" s="588" t="n"/>
      <c r="DP1058" s="588" t="n"/>
      <c r="DQ1058" s="588" t="n"/>
      <c r="DR1058" s="588" t="n"/>
      <c r="DS1058" s="588" t="n"/>
      <c r="DT1058" s="588" t="n"/>
      <c r="DU1058" s="588" t="n"/>
    </row>
    <row r="1059">
      <c r="A1059" s="737" t="n"/>
      <c r="B1059" s="737" t="n"/>
      <c r="C1059" s="737" t="n"/>
      <c r="D1059" s="737" t="n"/>
      <c r="E1059" s="737" t="n"/>
      <c r="F1059" s="737" t="n"/>
      <c r="G1059" s="737" t="n"/>
      <c r="H1059" s="737" t="n"/>
      <c r="I1059" s="737" t="n"/>
      <c r="J1059" s="737" t="n"/>
      <c r="K1059" s="737" t="n"/>
      <c r="L1059" s="737" t="n"/>
      <c r="M1059" s="737" t="n"/>
      <c r="N1059" s="737" t="n"/>
      <c r="O1059" s="737" t="n"/>
      <c r="P1059" s="737" t="n"/>
      <c r="Q1059" s="737" t="n"/>
      <c r="R1059" s="737" t="n"/>
      <c r="S1059" s="737" t="n"/>
      <c r="T1059" s="737" t="n"/>
      <c r="U1059" s="737" t="n"/>
      <c r="V1059" s="737" t="n"/>
      <c r="W1059" s="737" t="n"/>
      <c r="X1059" s="737" t="n"/>
      <c r="Y1059" s="737" t="n"/>
      <c r="Z1059" s="737" t="n"/>
      <c r="AA1059" s="737" t="n"/>
      <c r="AB1059" s="737" t="n"/>
      <c r="AC1059" s="737" t="n"/>
      <c r="AD1059" s="737" t="n"/>
      <c r="AE1059" s="737" t="n"/>
      <c r="AF1059" s="737" t="n"/>
      <c r="AG1059" s="737" t="n"/>
      <c r="AH1059" s="737" t="n"/>
      <c r="AI1059" s="737" t="n"/>
      <c r="AJ1059" s="737" t="n"/>
      <c r="AK1059" s="588" t="n"/>
      <c r="AL1059" s="588" t="n"/>
      <c r="AM1059" s="588" t="n"/>
      <c r="AN1059" s="588" t="n"/>
      <c r="AO1059" s="588" t="n"/>
      <c r="AP1059" s="588" t="n"/>
      <c r="AQ1059" s="588" t="n"/>
      <c r="AR1059" s="588" t="n"/>
      <c r="AS1059" s="588" t="n"/>
      <c r="AT1059" s="588" t="n"/>
      <c r="AU1059" s="588" t="n"/>
      <c r="AV1059" s="588" t="n"/>
      <c r="AW1059" s="588" t="n"/>
      <c r="AX1059" s="588" t="n"/>
      <c r="AY1059" s="588" t="n"/>
      <c r="AZ1059" s="588" t="n"/>
      <c r="BA1059" s="588" t="n"/>
      <c r="BB1059" s="588" t="n"/>
      <c r="BC1059" s="588" t="n"/>
      <c r="BD1059" s="588" t="n"/>
      <c r="BE1059" s="588" t="n"/>
      <c r="BF1059" s="588" t="n"/>
      <c r="BG1059" s="588" t="n"/>
      <c r="BH1059" s="588" t="n"/>
      <c r="BI1059" s="588" t="n"/>
      <c r="BJ1059" s="588" t="n"/>
      <c r="BK1059" s="588" t="n"/>
      <c r="BL1059" s="588" t="n"/>
      <c r="BM1059" s="588" t="n"/>
      <c r="BN1059" s="588" t="n"/>
      <c r="BO1059" s="588" t="n"/>
      <c r="BP1059" s="588" t="n"/>
      <c r="BQ1059" s="588" t="n"/>
      <c r="BR1059" s="588" t="n"/>
      <c r="BS1059" s="588" t="n"/>
      <c r="BT1059" s="588" t="n"/>
      <c r="BU1059" s="588" t="n"/>
      <c r="BV1059" s="588" t="n"/>
      <c r="BW1059" s="588" t="n"/>
      <c r="BX1059" s="588" t="n"/>
      <c r="BY1059" s="588" t="n"/>
      <c r="BZ1059" s="588" t="n"/>
      <c r="CA1059" s="588" t="n"/>
      <c r="CB1059" s="588" t="n"/>
      <c r="CC1059" s="588" t="n"/>
      <c r="CD1059" s="588" t="n"/>
      <c r="CE1059" s="588" t="n"/>
      <c r="CF1059" s="588" t="n"/>
      <c r="CG1059" s="588" t="n"/>
      <c r="CH1059" s="588" t="n"/>
      <c r="CI1059" s="588" t="n"/>
      <c r="CJ1059" s="588" t="n"/>
      <c r="CK1059" s="588" t="n"/>
      <c r="CL1059" s="588" t="n"/>
      <c r="CM1059" s="588" t="n"/>
      <c r="CN1059" s="588" t="n"/>
      <c r="CO1059" s="588" t="n"/>
      <c r="CP1059" s="588" t="n"/>
      <c r="CQ1059" s="588" t="n"/>
      <c r="CR1059" s="588" t="n"/>
      <c r="CS1059" s="588" t="n"/>
      <c r="CT1059" s="588" t="n"/>
      <c r="CU1059" s="588" t="n"/>
      <c r="CV1059" s="588" t="n"/>
      <c r="CW1059" s="588" t="n"/>
      <c r="CX1059" s="588" t="n"/>
      <c r="CY1059" s="588" t="n"/>
      <c r="CZ1059" s="588" t="n"/>
      <c r="DA1059" s="588" t="n"/>
      <c r="DB1059" s="588" t="n"/>
      <c r="DC1059" s="588" t="n"/>
      <c r="DD1059" s="588" t="n"/>
      <c r="DE1059" s="588" t="n"/>
      <c r="DF1059" s="588" t="n"/>
      <c r="DG1059" s="588" t="n"/>
      <c r="DH1059" s="588" t="n"/>
      <c r="DI1059" s="588" t="n"/>
      <c r="DJ1059" s="588" t="n"/>
      <c r="DK1059" s="588" t="n"/>
      <c r="DL1059" s="588" t="n"/>
      <c r="DM1059" s="588" t="n"/>
      <c r="DN1059" s="588" t="n"/>
      <c r="DO1059" s="588" t="n"/>
      <c r="DP1059" s="588" t="n"/>
      <c r="DQ1059" s="588" t="n"/>
      <c r="DR1059" s="588" t="n"/>
      <c r="DS1059" s="588" t="n"/>
      <c r="DT1059" s="588" t="n"/>
      <c r="DU1059" s="588" t="n"/>
    </row>
    <row r="1060">
      <c r="A1060" s="737" t="n"/>
      <c r="B1060" s="737" t="n"/>
      <c r="C1060" s="737" t="n"/>
      <c r="D1060" s="737" t="n"/>
      <c r="E1060" s="737" t="n"/>
      <c r="F1060" s="737" t="n"/>
      <c r="G1060" s="737" t="n"/>
      <c r="H1060" s="737" t="n"/>
      <c r="I1060" s="737" t="n"/>
      <c r="J1060" s="737" t="n"/>
      <c r="K1060" s="737" t="n"/>
      <c r="L1060" s="737" t="n"/>
      <c r="M1060" s="737" t="n"/>
      <c r="N1060" s="737" t="n"/>
      <c r="O1060" s="737" t="n"/>
      <c r="P1060" s="737" t="n"/>
      <c r="Q1060" s="737" t="n"/>
      <c r="R1060" s="737" t="n"/>
      <c r="S1060" s="737" t="n"/>
      <c r="T1060" s="737" t="n"/>
      <c r="U1060" s="737" t="n"/>
      <c r="V1060" s="737" t="n"/>
      <c r="W1060" s="737" t="n"/>
      <c r="X1060" s="737" t="n"/>
      <c r="Y1060" s="737" t="n"/>
      <c r="Z1060" s="737" t="n"/>
      <c r="AA1060" s="737" t="n"/>
      <c r="AB1060" s="737" t="n"/>
      <c r="AC1060" s="737" t="n"/>
      <c r="AD1060" s="737" t="n"/>
      <c r="AE1060" s="737" t="n"/>
      <c r="AF1060" s="737" t="n"/>
      <c r="AG1060" s="737" t="n"/>
      <c r="AH1060" s="737" t="n"/>
      <c r="AI1060" s="737" t="n"/>
      <c r="AJ1060" s="737" t="n"/>
      <c r="AK1060" s="588" t="n"/>
      <c r="AL1060" s="588" t="n"/>
      <c r="AM1060" s="588" t="n"/>
      <c r="AN1060" s="588" t="n"/>
      <c r="AO1060" s="588" t="n"/>
      <c r="AP1060" s="588" t="n"/>
      <c r="AQ1060" s="588" t="n"/>
      <c r="AR1060" s="588" t="n"/>
      <c r="AS1060" s="588" t="n"/>
      <c r="AT1060" s="588" t="n"/>
      <c r="AU1060" s="588" t="n"/>
      <c r="AV1060" s="588" t="n"/>
      <c r="AW1060" s="588" t="n"/>
      <c r="AX1060" s="588" t="n"/>
      <c r="AY1060" s="588" t="n"/>
      <c r="AZ1060" s="588" t="n"/>
      <c r="BA1060" s="588" t="n"/>
      <c r="BB1060" s="588" t="n"/>
      <c r="BC1060" s="588" t="n"/>
      <c r="BD1060" s="588" t="n"/>
      <c r="BE1060" s="588" t="n"/>
      <c r="BF1060" s="588" t="n"/>
      <c r="BG1060" s="588" t="n"/>
      <c r="BH1060" s="588" t="n"/>
      <c r="BI1060" s="588" t="n"/>
      <c r="BJ1060" s="588" t="n"/>
      <c r="BK1060" s="588" t="n"/>
      <c r="BL1060" s="588" t="n"/>
      <c r="BM1060" s="588" t="n"/>
      <c r="BN1060" s="588" t="n"/>
      <c r="BO1060" s="588" t="n"/>
      <c r="BP1060" s="588" t="n"/>
      <c r="BQ1060" s="588" t="n"/>
      <c r="BR1060" s="588" t="n"/>
      <c r="BS1060" s="588" t="n"/>
      <c r="BT1060" s="588" t="n"/>
      <c r="BU1060" s="588" t="n"/>
      <c r="BV1060" s="588" t="n"/>
      <c r="BW1060" s="588" t="n"/>
      <c r="BX1060" s="588" t="n"/>
      <c r="BY1060" s="588" t="n"/>
      <c r="BZ1060" s="588" t="n"/>
      <c r="CA1060" s="588" t="n"/>
      <c r="CB1060" s="588" t="n"/>
      <c r="CC1060" s="588" t="n"/>
      <c r="CD1060" s="588" t="n"/>
      <c r="CE1060" s="588" t="n"/>
      <c r="CF1060" s="588" t="n"/>
      <c r="CG1060" s="588" t="n"/>
      <c r="CH1060" s="588" t="n"/>
      <c r="CI1060" s="588" t="n"/>
      <c r="CJ1060" s="588" t="n"/>
      <c r="CK1060" s="588" t="n"/>
      <c r="CL1060" s="588" t="n"/>
      <c r="CM1060" s="588" t="n"/>
      <c r="CN1060" s="588" t="n"/>
      <c r="CO1060" s="588" t="n"/>
      <c r="CP1060" s="588" t="n"/>
      <c r="CQ1060" s="588" t="n"/>
      <c r="CR1060" s="588" t="n"/>
      <c r="CS1060" s="588" t="n"/>
      <c r="CT1060" s="588" t="n"/>
      <c r="CU1060" s="588" t="n"/>
      <c r="CV1060" s="588" t="n"/>
      <c r="CW1060" s="588" t="n"/>
      <c r="CX1060" s="588" t="n"/>
      <c r="CY1060" s="588" t="n"/>
      <c r="CZ1060" s="588" t="n"/>
      <c r="DA1060" s="588" t="n"/>
      <c r="DB1060" s="588" t="n"/>
      <c r="DC1060" s="588" t="n"/>
      <c r="DD1060" s="588" t="n"/>
      <c r="DE1060" s="588" t="n"/>
      <c r="DF1060" s="588" t="n"/>
      <c r="DG1060" s="588" t="n"/>
      <c r="DH1060" s="588" t="n"/>
      <c r="DI1060" s="588" t="n"/>
      <c r="DJ1060" s="588" t="n"/>
      <c r="DK1060" s="588" t="n"/>
      <c r="DL1060" s="588" t="n"/>
      <c r="DM1060" s="588" t="n"/>
      <c r="DN1060" s="588" t="n"/>
      <c r="DO1060" s="588" t="n"/>
      <c r="DP1060" s="588" t="n"/>
      <c r="DQ1060" s="588" t="n"/>
      <c r="DR1060" s="588" t="n"/>
      <c r="DS1060" s="588" t="n"/>
      <c r="DT1060" s="588" t="n"/>
      <c r="DU1060" s="588" t="n"/>
    </row>
    <row r="1061">
      <c r="A1061" s="737" t="n"/>
      <c r="B1061" s="737" t="n"/>
      <c r="C1061" s="737" t="n"/>
      <c r="D1061" s="737" t="n"/>
      <c r="E1061" s="737" t="n"/>
      <c r="F1061" s="737" t="n"/>
      <c r="G1061" s="737" t="n"/>
      <c r="H1061" s="737" t="n"/>
      <c r="I1061" s="737" t="n"/>
      <c r="J1061" s="737" t="n"/>
      <c r="K1061" s="737" t="n"/>
      <c r="L1061" s="737" t="n"/>
      <c r="M1061" s="737" t="n"/>
      <c r="N1061" s="737" t="n"/>
      <c r="O1061" s="737" t="n"/>
      <c r="P1061" s="737" t="n"/>
      <c r="Q1061" s="737" t="n"/>
      <c r="R1061" s="737" t="n"/>
      <c r="S1061" s="737" t="n"/>
      <c r="T1061" s="737" t="n"/>
      <c r="U1061" s="737" t="n"/>
      <c r="V1061" s="737" t="n"/>
      <c r="W1061" s="737" t="n"/>
      <c r="X1061" s="737" t="n"/>
      <c r="Y1061" s="737" t="n"/>
      <c r="Z1061" s="737" t="n"/>
      <c r="AA1061" s="737" t="n"/>
      <c r="AB1061" s="737" t="n"/>
      <c r="AC1061" s="737" t="n"/>
      <c r="AD1061" s="737" t="n"/>
      <c r="AE1061" s="737" t="n"/>
      <c r="AF1061" s="737" t="n"/>
      <c r="AG1061" s="737" t="n"/>
      <c r="AH1061" s="737" t="n"/>
      <c r="AI1061" s="737" t="n"/>
      <c r="AJ1061" s="737" t="n"/>
      <c r="AK1061" s="588" t="n"/>
      <c r="AL1061" s="588" t="n"/>
      <c r="AM1061" s="588" t="n"/>
      <c r="AN1061" s="588" t="n"/>
      <c r="AO1061" s="588" t="n"/>
      <c r="AP1061" s="588" t="n"/>
      <c r="AQ1061" s="588" t="n"/>
      <c r="AR1061" s="588" t="n"/>
      <c r="AS1061" s="588" t="n"/>
      <c r="AT1061" s="588" t="n"/>
      <c r="AU1061" s="588" t="n"/>
      <c r="AV1061" s="588" t="n"/>
      <c r="AW1061" s="588" t="n"/>
      <c r="AX1061" s="588" t="n"/>
      <c r="AY1061" s="588" t="n"/>
      <c r="AZ1061" s="588" t="n"/>
      <c r="BA1061" s="588" t="n"/>
      <c r="BB1061" s="588" t="n"/>
      <c r="BC1061" s="588" t="n"/>
      <c r="BD1061" s="588" t="n"/>
      <c r="BE1061" s="588" t="n"/>
      <c r="BF1061" s="588" t="n"/>
      <c r="BG1061" s="588" t="n"/>
      <c r="BH1061" s="588" t="n"/>
      <c r="BI1061" s="588" t="n"/>
      <c r="BJ1061" s="588" t="n"/>
      <c r="BK1061" s="588" t="n"/>
      <c r="BL1061" s="588" t="n"/>
      <c r="BM1061" s="588" t="n"/>
      <c r="BN1061" s="588" t="n"/>
      <c r="BO1061" s="588" t="n"/>
      <c r="BP1061" s="588" t="n"/>
      <c r="BQ1061" s="588" t="n"/>
      <c r="BR1061" s="588" t="n"/>
      <c r="BS1061" s="588" t="n"/>
      <c r="BT1061" s="588" t="n"/>
      <c r="BU1061" s="588" t="n"/>
      <c r="BV1061" s="588" t="n"/>
      <c r="BW1061" s="588" t="n"/>
      <c r="BX1061" s="588" t="n"/>
      <c r="BY1061" s="588" t="n"/>
      <c r="BZ1061" s="588" t="n"/>
      <c r="CA1061" s="588" t="n"/>
      <c r="CB1061" s="588" t="n"/>
      <c r="CC1061" s="588" t="n"/>
      <c r="CD1061" s="588" t="n"/>
      <c r="CE1061" s="588" t="n"/>
      <c r="CF1061" s="588" t="n"/>
      <c r="CG1061" s="588" t="n"/>
      <c r="CH1061" s="588" t="n"/>
      <c r="CI1061" s="588" t="n"/>
      <c r="CJ1061" s="588" t="n"/>
      <c r="CK1061" s="588" t="n"/>
      <c r="CL1061" s="588" t="n"/>
      <c r="CM1061" s="588" t="n"/>
      <c r="CN1061" s="588" t="n"/>
      <c r="CO1061" s="588" t="n"/>
      <c r="CP1061" s="588" t="n"/>
      <c r="CQ1061" s="588" t="n"/>
      <c r="CR1061" s="588" t="n"/>
      <c r="CS1061" s="588" t="n"/>
      <c r="CT1061" s="588" t="n"/>
      <c r="CU1061" s="588" t="n"/>
      <c r="CV1061" s="588" t="n"/>
      <c r="CW1061" s="588" t="n"/>
      <c r="CX1061" s="588" t="n"/>
      <c r="CY1061" s="588" t="n"/>
      <c r="CZ1061" s="588" t="n"/>
      <c r="DA1061" s="588" t="n"/>
      <c r="DB1061" s="588" t="n"/>
      <c r="DC1061" s="588" t="n"/>
      <c r="DD1061" s="588" t="n"/>
      <c r="DE1061" s="588" t="n"/>
      <c r="DF1061" s="588" t="n"/>
      <c r="DG1061" s="588" t="n"/>
      <c r="DH1061" s="588" t="n"/>
      <c r="DI1061" s="588" t="n"/>
      <c r="DJ1061" s="588" t="n"/>
      <c r="DK1061" s="588" t="n"/>
      <c r="DL1061" s="588" t="n"/>
      <c r="DM1061" s="588" t="n"/>
      <c r="DN1061" s="588" t="n"/>
      <c r="DO1061" s="588" t="n"/>
      <c r="DP1061" s="588" t="n"/>
      <c r="DQ1061" s="588" t="n"/>
      <c r="DR1061" s="588" t="n"/>
      <c r="DS1061" s="588" t="n"/>
      <c r="DT1061" s="588" t="n"/>
      <c r="DU1061" s="588" t="n"/>
    </row>
    <row r="1062">
      <c r="A1062" s="737" t="n"/>
      <c r="B1062" s="737" t="n"/>
      <c r="C1062" s="737" t="n"/>
      <c r="D1062" s="737" t="n"/>
      <c r="E1062" s="737" t="n"/>
      <c r="F1062" s="737" t="n"/>
      <c r="G1062" s="737" t="n"/>
      <c r="H1062" s="737" t="n"/>
      <c r="I1062" s="737" t="n"/>
      <c r="J1062" s="737" t="n"/>
      <c r="K1062" s="737" t="n"/>
      <c r="L1062" s="737" t="n"/>
      <c r="M1062" s="737" t="n"/>
      <c r="N1062" s="737" t="n"/>
      <c r="O1062" s="737" t="n"/>
      <c r="P1062" s="737" t="n"/>
      <c r="Q1062" s="737" t="n"/>
      <c r="R1062" s="737" t="n"/>
      <c r="S1062" s="737" t="n"/>
      <c r="T1062" s="737" t="n"/>
      <c r="U1062" s="737" t="n"/>
      <c r="V1062" s="737" t="n"/>
      <c r="W1062" s="737" t="n"/>
      <c r="X1062" s="737" t="n"/>
      <c r="Y1062" s="737" t="n"/>
      <c r="Z1062" s="737" t="n"/>
      <c r="AA1062" s="737" t="n"/>
      <c r="AB1062" s="737" t="n"/>
      <c r="AC1062" s="737" t="n"/>
      <c r="AD1062" s="737" t="n"/>
      <c r="AE1062" s="737" t="n"/>
      <c r="AF1062" s="737" t="n"/>
      <c r="AG1062" s="737" t="n"/>
      <c r="AH1062" s="737" t="n"/>
      <c r="AI1062" s="737" t="n"/>
      <c r="AJ1062" s="737" t="n"/>
      <c r="AK1062" s="588" t="n"/>
      <c r="AL1062" s="588" t="n"/>
      <c r="AM1062" s="588" t="n"/>
      <c r="AN1062" s="588" t="n"/>
      <c r="AO1062" s="588" t="n"/>
      <c r="AP1062" s="588" t="n"/>
      <c r="AQ1062" s="588" t="n"/>
      <c r="AR1062" s="588" t="n"/>
      <c r="AS1062" s="588" t="n"/>
      <c r="AT1062" s="588" t="n"/>
      <c r="AU1062" s="588" t="n"/>
      <c r="AV1062" s="588" t="n"/>
      <c r="AW1062" s="588" t="n"/>
      <c r="AX1062" s="588" t="n"/>
      <c r="AY1062" s="588" t="n"/>
      <c r="AZ1062" s="588" t="n"/>
      <c r="BA1062" s="588" t="n"/>
      <c r="BB1062" s="588" t="n"/>
      <c r="BC1062" s="588" t="n"/>
      <c r="BD1062" s="588" t="n"/>
      <c r="BE1062" s="588" t="n"/>
      <c r="BF1062" s="588" t="n"/>
      <c r="BG1062" s="588" t="n"/>
      <c r="BH1062" s="588" t="n"/>
      <c r="BI1062" s="588" t="n"/>
      <c r="BJ1062" s="588" t="n"/>
      <c r="BK1062" s="588" t="n"/>
      <c r="BL1062" s="588" t="n"/>
      <c r="BM1062" s="588" t="n"/>
      <c r="BN1062" s="588" t="n"/>
      <c r="BO1062" s="588" t="n"/>
      <c r="BP1062" s="588" t="n"/>
      <c r="BQ1062" s="588" t="n"/>
      <c r="BR1062" s="588" t="n"/>
      <c r="BS1062" s="588" t="n"/>
      <c r="BT1062" s="588" t="n"/>
      <c r="BU1062" s="588" t="n"/>
      <c r="BV1062" s="588" t="n"/>
      <c r="BW1062" s="588" t="n"/>
      <c r="BX1062" s="588" t="n"/>
      <c r="BY1062" s="588" t="n"/>
      <c r="BZ1062" s="588" t="n"/>
      <c r="CA1062" s="588" t="n"/>
      <c r="CB1062" s="588" t="n"/>
      <c r="CC1062" s="588" t="n"/>
      <c r="CD1062" s="588" t="n"/>
      <c r="CE1062" s="588" t="n"/>
      <c r="CF1062" s="588" t="n"/>
      <c r="CG1062" s="588" t="n"/>
      <c r="CH1062" s="588" t="n"/>
      <c r="CI1062" s="588" t="n"/>
      <c r="CJ1062" s="588" t="n"/>
      <c r="CK1062" s="588" t="n"/>
      <c r="CL1062" s="588" t="n"/>
      <c r="CM1062" s="588" t="n"/>
      <c r="CN1062" s="588" t="n"/>
      <c r="CO1062" s="588" t="n"/>
      <c r="CP1062" s="588" t="n"/>
      <c r="CQ1062" s="588" t="n"/>
      <c r="CR1062" s="588" t="n"/>
      <c r="CS1062" s="588" t="n"/>
      <c r="CT1062" s="588" t="n"/>
      <c r="CU1062" s="588" t="n"/>
      <c r="CV1062" s="588" t="n"/>
      <c r="CW1062" s="588" t="n"/>
      <c r="CX1062" s="588" t="n"/>
      <c r="CY1062" s="588" t="n"/>
      <c r="CZ1062" s="588" t="n"/>
      <c r="DA1062" s="588" t="n"/>
      <c r="DB1062" s="588" t="n"/>
      <c r="DC1062" s="588" t="n"/>
      <c r="DD1062" s="588" t="n"/>
      <c r="DE1062" s="588" t="n"/>
      <c r="DF1062" s="588" t="n"/>
      <c r="DG1062" s="588" t="n"/>
      <c r="DH1062" s="588" t="n"/>
      <c r="DI1062" s="588" t="n"/>
      <c r="DJ1062" s="588" t="n"/>
      <c r="DK1062" s="588" t="n"/>
      <c r="DL1062" s="588" t="n"/>
      <c r="DM1062" s="588" t="n"/>
      <c r="DN1062" s="588" t="n"/>
      <c r="DO1062" s="588" t="n"/>
      <c r="DP1062" s="588" t="n"/>
      <c r="DQ1062" s="588" t="n"/>
      <c r="DR1062" s="588" t="n"/>
      <c r="DS1062" s="588" t="n"/>
      <c r="DT1062" s="588" t="n"/>
      <c r="DU1062" s="588" t="n"/>
    </row>
    <row r="1063">
      <c r="A1063" s="737" t="n"/>
      <c r="B1063" s="737" t="n"/>
      <c r="C1063" s="737" t="n"/>
      <c r="D1063" s="737" t="n"/>
      <c r="E1063" s="737" t="n"/>
      <c r="F1063" s="737" t="n"/>
      <c r="G1063" s="737" t="n"/>
      <c r="H1063" s="737" t="n"/>
      <c r="I1063" s="737" t="n"/>
      <c r="J1063" s="737" t="n"/>
      <c r="K1063" s="737" t="n"/>
      <c r="L1063" s="737" t="n"/>
      <c r="M1063" s="737" t="n"/>
      <c r="N1063" s="737" t="n"/>
      <c r="O1063" s="737" t="n"/>
      <c r="P1063" s="737" t="n"/>
      <c r="Q1063" s="737" t="n"/>
      <c r="R1063" s="737" t="n"/>
      <c r="S1063" s="737" t="n"/>
      <c r="T1063" s="737" t="n"/>
      <c r="U1063" s="737" t="n"/>
      <c r="V1063" s="737" t="n"/>
      <c r="W1063" s="737" t="n"/>
      <c r="X1063" s="737" t="n"/>
      <c r="Y1063" s="737" t="n"/>
      <c r="Z1063" s="737" t="n"/>
      <c r="AA1063" s="737" t="n"/>
      <c r="AB1063" s="737" t="n"/>
      <c r="AC1063" s="737" t="n"/>
      <c r="AD1063" s="737" t="n"/>
      <c r="AE1063" s="737" t="n"/>
      <c r="AF1063" s="737" t="n"/>
      <c r="AG1063" s="737" t="n"/>
      <c r="AH1063" s="737" t="n"/>
      <c r="AI1063" s="737" t="n"/>
      <c r="AJ1063" s="737" t="n"/>
      <c r="AK1063" s="588" t="n"/>
      <c r="AL1063" s="588" t="n"/>
      <c r="AM1063" s="588" t="n"/>
      <c r="AN1063" s="588" t="n"/>
      <c r="AO1063" s="588" t="n"/>
      <c r="AP1063" s="588" t="n"/>
      <c r="AQ1063" s="588" t="n"/>
      <c r="AR1063" s="588" t="n"/>
      <c r="AS1063" s="588" t="n"/>
      <c r="AT1063" s="588" t="n"/>
      <c r="AU1063" s="588" t="n"/>
      <c r="AV1063" s="588" t="n"/>
      <c r="AW1063" s="588" t="n"/>
      <c r="AX1063" s="588" t="n"/>
      <c r="AY1063" s="588" t="n"/>
      <c r="AZ1063" s="588" t="n"/>
      <c r="BA1063" s="588" t="n"/>
      <c r="BB1063" s="588" t="n"/>
      <c r="BC1063" s="588" t="n"/>
      <c r="BD1063" s="588" t="n"/>
      <c r="BE1063" s="588" t="n"/>
      <c r="BF1063" s="588" t="n"/>
      <c r="BG1063" s="588" t="n"/>
      <c r="BH1063" s="588" t="n"/>
      <c r="BI1063" s="588" t="n"/>
      <c r="BJ1063" s="588" t="n"/>
      <c r="BK1063" s="588" t="n"/>
      <c r="BL1063" s="588" t="n"/>
      <c r="BM1063" s="588" t="n"/>
      <c r="BN1063" s="588" t="n"/>
      <c r="BO1063" s="588" t="n"/>
      <c r="BP1063" s="588" t="n"/>
      <c r="BQ1063" s="588" t="n"/>
      <c r="BR1063" s="588" t="n"/>
      <c r="BS1063" s="588" t="n"/>
      <c r="BT1063" s="588" t="n"/>
      <c r="BU1063" s="588" t="n"/>
      <c r="BV1063" s="588" t="n"/>
      <c r="BW1063" s="588" t="n"/>
      <c r="BX1063" s="588" t="n"/>
      <c r="BY1063" s="588" t="n"/>
      <c r="BZ1063" s="588" t="n"/>
      <c r="CA1063" s="588" t="n"/>
      <c r="CB1063" s="588" t="n"/>
      <c r="CC1063" s="588" t="n"/>
      <c r="CD1063" s="588" t="n"/>
      <c r="CE1063" s="588" t="n"/>
      <c r="CF1063" s="588" t="n"/>
      <c r="CG1063" s="588" t="n"/>
      <c r="CH1063" s="588" t="n"/>
      <c r="CI1063" s="588" t="n"/>
      <c r="CJ1063" s="588" t="n"/>
      <c r="CK1063" s="588" t="n"/>
      <c r="CL1063" s="588" t="n"/>
      <c r="CM1063" s="588" t="n"/>
      <c r="CN1063" s="588" t="n"/>
      <c r="CO1063" s="588" t="n"/>
      <c r="CP1063" s="588" t="n"/>
      <c r="CQ1063" s="588" t="n"/>
      <c r="CR1063" s="588" t="n"/>
      <c r="CS1063" s="588" t="n"/>
      <c r="CT1063" s="588" t="n"/>
      <c r="CU1063" s="588" t="n"/>
      <c r="CV1063" s="588" t="n"/>
      <c r="CW1063" s="588" t="n"/>
      <c r="CX1063" s="588" t="n"/>
      <c r="CY1063" s="588" t="n"/>
      <c r="CZ1063" s="588" t="n"/>
      <c r="DA1063" s="588" t="n"/>
      <c r="DB1063" s="588" t="n"/>
      <c r="DC1063" s="588" t="n"/>
      <c r="DD1063" s="588" t="n"/>
      <c r="DE1063" s="588" t="n"/>
      <c r="DF1063" s="588" t="n"/>
      <c r="DG1063" s="588" t="n"/>
      <c r="DH1063" s="588" t="n"/>
      <c r="DI1063" s="588" t="n"/>
      <c r="DJ1063" s="588" t="n"/>
      <c r="DK1063" s="588" t="n"/>
      <c r="DL1063" s="588" t="n"/>
      <c r="DM1063" s="588" t="n"/>
      <c r="DN1063" s="588" t="n"/>
      <c r="DO1063" s="588" t="n"/>
      <c r="DP1063" s="588" t="n"/>
      <c r="DQ1063" s="588" t="n"/>
      <c r="DR1063" s="588" t="n"/>
      <c r="DS1063" s="588" t="n"/>
      <c r="DT1063" s="588" t="n"/>
      <c r="DU1063" s="588" t="n"/>
    </row>
    <row r="1064">
      <c r="A1064" s="737" t="n"/>
      <c r="B1064" s="737" t="n"/>
      <c r="C1064" s="737" t="n"/>
      <c r="D1064" s="737" t="n"/>
      <c r="E1064" s="737" t="n"/>
      <c r="F1064" s="737" t="n"/>
      <c r="G1064" s="737" t="n"/>
      <c r="H1064" s="737" t="n"/>
      <c r="I1064" s="737" t="n"/>
      <c r="J1064" s="737" t="n"/>
      <c r="K1064" s="737" t="n"/>
      <c r="L1064" s="737" t="n"/>
      <c r="M1064" s="737" t="n"/>
      <c r="N1064" s="737" t="n"/>
      <c r="O1064" s="737" t="n"/>
      <c r="P1064" s="737" t="n"/>
      <c r="Q1064" s="737" t="n"/>
      <c r="R1064" s="737" t="n"/>
      <c r="S1064" s="737" t="n"/>
      <c r="T1064" s="737" t="n"/>
      <c r="U1064" s="737" t="n"/>
      <c r="V1064" s="737" t="n"/>
      <c r="W1064" s="737" t="n"/>
      <c r="X1064" s="737" t="n"/>
      <c r="Y1064" s="737" t="n"/>
      <c r="Z1064" s="737" t="n"/>
      <c r="AA1064" s="737" t="n"/>
      <c r="AB1064" s="737" t="n"/>
      <c r="AC1064" s="737" t="n"/>
      <c r="AD1064" s="737" t="n"/>
      <c r="AE1064" s="737" t="n"/>
      <c r="AF1064" s="737" t="n"/>
      <c r="AG1064" s="737" t="n"/>
      <c r="AH1064" s="737" t="n"/>
      <c r="AI1064" s="737" t="n"/>
      <c r="AJ1064" s="737" t="n"/>
      <c r="AK1064" s="588" t="n"/>
      <c r="AL1064" s="588" t="n"/>
      <c r="AM1064" s="588" t="n"/>
      <c r="AN1064" s="588" t="n"/>
      <c r="AO1064" s="588" t="n"/>
      <c r="AP1064" s="588" t="n"/>
      <c r="AQ1064" s="588" t="n"/>
      <c r="AR1064" s="588" t="n"/>
      <c r="AS1064" s="588" t="n"/>
      <c r="AT1064" s="588" t="n"/>
      <c r="AU1064" s="588" t="n"/>
      <c r="AV1064" s="588" t="n"/>
      <c r="AW1064" s="588" t="n"/>
      <c r="AX1064" s="588" t="n"/>
      <c r="AY1064" s="588" t="n"/>
      <c r="AZ1064" s="588" t="n"/>
      <c r="BA1064" s="588" t="n"/>
      <c r="BB1064" s="588" t="n"/>
      <c r="BC1064" s="588" t="n"/>
      <c r="BD1064" s="588" t="n"/>
      <c r="BE1064" s="588" t="n"/>
      <c r="BF1064" s="588" t="n"/>
      <c r="BG1064" s="588" t="n"/>
      <c r="BH1064" s="588" t="n"/>
      <c r="BI1064" s="588" t="n"/>
      <c r="BJ1064" s="588" t="n"/>
      <c r="BK1064" s="588" t="n"/>
      <c r="BL1064" s="588" t="n"/>
      <c r="BM1064" s="588" t="n"/>
      <c r="BN1064" s="588" t="n"/>
      <c r="BO1064" s="588" t="n"/>
      <c r="BP1064" s="588" t="n"/>
      <c r="BQ1064" s="588" t="n"/>
      <c r="BR1064" s="588" t="n"/>
      <c r="BS1064" s="588" t="n"/>
      <c r="BT1064" s="588" t="n"/>
      <c r="BU1064" s="588" t="n"/>
      <c r="BV1064" s="588" t="n"/>
      <c r="BW1064" s="588" t="n"/>
      <c r="BX1064" s="588" t="n"/>
      <c r="BY1064" s="588" t="n"/>
      <c r="BZ1064" s="588" t="n"/>
      <c r="CA1064" s="588" t="n"/>
      <c r="CB1064" s="588" t="n"/>
      <c r="CC1064" s="588" t="n"/>
      <c r="CD1064" s="588" t="n"/>
      <c r="CE1064" s="588" t="n"/>
      <c r="CF1064" s="588" t="n"/>
      <c r="CG1064" s="588" t="n"/>
      <c r="CH1064" s="588" t="n"/>
      <c r="CI1064" s="588" t="n"/>
      <c r="CJ1064" s="588" t="n"/>
      <c r="CK1064" s="588" t="n"/>
      <c r="CL1064" s="588" t="n"/>
      <c r="CM1064" s="588" t="n"/>
      <c r="CN1064" s="588" t="n"/>
      <c r="CO1064" s="588" t="n"/>
      <c r="CP1064" s="588" t="n"/>
      <c r="CQ1064" s="588" t="n"/>
      <c r="CR1064" s="588" t="n"/>
      <c r="CS1064" s="588" t="n"/>
      <c r="CT1064" s="588" t="n"/>
      <c r="CU1064" s="588" t="n"/>
      <c r="CV1064" s="588" t="n"/>
      <c r="CW1064" s="588" t="n"/>
      <c r="CX1064" s="588" t="n"/>
      <c r="CY1064" s="588" t="n"/>
      <c r="CZ1064" s="588" t="n"/>
      <c r="DA1064" s="588" t="n"/>
      <c r="DB1064" s="588" t="n"/>
      <c r="DC1064" s="588" t="n"/>
      <c r="DD1064" s="588" t="n"/>
      <c r="DE1064" s="588" t="n"/>
      <c r="DF1064" s="588" t="n"/>
      <c r="DG1064" s="588" t="n"/>
      <c r="DH1064" s="588" t="n"/>
      <c r="DI1064" s="588" t="n"/>
      <c r="DJ1064" s="588" t="n"/>
      <c r="DK1064" s="588" t="n"/>
      <c r="DL1064" s="588" t="n"/>
      <c r="DM1064" s="588" t="n"/>
      <c r="DN1064" s="588" t="n"/>
      <c r="DO1064" s="588" t="n"/>
      <c r="DP1064" s="588" t="n"/>
      <c r="DQ1064" s="588" t="n"/>
      <c r="DR1064" s="588" t="n"/>
      <c r="DS1064" s="588" t="n"/>
      <c r="DT1064" s="588" t="n"/>
      <c r="DU1064" s="588" t="n"/>
    </row>
    <row r="1065">
      <c r="A1065" s="737" t="n"/>
      <c r="B1065" s="737" t="n"/>
      <c r="C1065" s="737" t="n"/>
      <c r="D1065" s="737" t="n"/>
      <c r="E1065" s="737" t="n"/>
      <c r="F1065" s="737" t="n"/>
      <c r="G1065" s="737" t="n"/>
      <c r="H1065" s="737" t="n"/>
      <c r="I1065" s="737" t="n"/>
      <c r="J1065" s="737" t="n"/>
      <c r="K1065" s="737" t="n"/>
      <c r="L1065" s="737" t="n"/>
      <c r="M1065" s="737" t="n"/>
      <c r="N1065" s="737" t="n"/>
      <c r="O1065" s="737" t="n"/>
      <c r="P1065" s="737" t="n"/>
      <c r="Q1065" s="737" t="n"/>
      <c r="R1065" s="737" t="n"/>
      <c r="S1065" s="737" t="n"/>
      <c r="T1065" s="737" t="n"/>
      <c r="U1065" s="737" t="n"/>
      <c r="V1065" s="737" t="n"/>
      <c r="W1065" s="737" t="n"/>
      <c r="X1065" s="737" t="n"/>
      <c r="Y1065" s="737" t="n"/>
      <c r="Z1065" s="737" t="n"/>
      <c r="AA1065" s="737" t="n"/>
      <c r="AB1065" s="737" t="n"/>
      <c r="AC1065" s="737" t="n"/>
      <c r="AD1065" s="737" t="n"/>
      <c r="AE1065" s="737" t="n"/>
      <c r="AF1065" s="737" t="n"/>
      <c r="AG1065" s="737" t="n"/>
      <c r="AH1065" s="737" t="n"/>
      <c r="AI1065" s="737" t="n"/>
      <c r="AJ1065" s="737" t="n"/>
      <c r="AK1065" s="588" t="n"/>
      <c r="AL1065" s="588" t="n"/>
      <c r="AM1065" s="588" t="n"/>
      <c r="AN1065" s="588" t="n"/>
      <c r="AO1065" s="588" t="n"/>
      <c r="AP1065" s="588" t="n"/>
      <c r="AQ1065" s="588" t="n"/>
      <c r="AR1065" s="588" t="n"/>
      <c r="AS1065" s="588" t="n"/>
      <c r="AT1065" s="588" t="n"/>
      <c r="AU1065" s="588" t="n"/>
      <c r="AV1065" s="588" t="n"/>
      <c r="AW1065" s="588" t="n"/>
      <c r="AX1065" s="588" t="n"/>
      <c r="AY1065" s="588" t="n"/>
      <c r="AZ1065" s="588" t="n"/>
      <c r="BA1065" s="588" t="n"/>
      <c r="BB1065" s="588" t="n"/>
      <c r="BC1065" s="588" t="n"/>
      <c r="BD1065" s="588" t="n"/>
      <c r="BE1065" s="588" t="n"/>
      <c r="BF1065" s="588" t="n"/>
      <c r="BG1065" s="588" t="n"/>
      <c r="BH1065" s="588" t="n"/>
      <c r="BI1065" s="588" t="n"/>
      <c r="BJ1065" s="588" t="n"/>
      <c r="BK1065" s="588" t="n"/>
      <c r="BL1065" s="588" t="n"/>
      <c r="BM1065" s="588" t="n"/>
      <c r="BN1065" s="588" t="n"/>
      <c r="BO1065" s="588" t="n"/>
      <c r="BP1065" s="588" t="n"/>
      <c r="BQ1065" s="588" t="n"/>
      <c r="BR1065" s="588" t="n"/>
      <c r="BS1065" s="588" t="n"/>
      <c r="BT1065" s="588" t="n"/>
      <c r="BU1065" s="588" t="n"/>
      <c r="BV1065" s="588" t="n"/>
      <c r="BW1065" s="588" t="n"/>
      <c r="BX1065" s="588" t="n"/>
      <c r="BY1065" s="588" t="n"/>
      <c r="BZ1065" s="588" t="n"/>
      <c r="CA1065" s="588" t="n"/>
      <c r="CB1065" s="588" t="n"/>
      <c r="CC1065" s="588" t="n"/>
      <c r="CD1065" s="588" t="n"/>
      <c r="CE1065" s="588" t="n"/>
      <c r="CF1065" s="588" t="n"/>
      <c r="CG1065" s="588" t="n"/>
      <c r="CH1065" s="588" t="n"/>
      <c r="CI1065" s="588" t="n"/>
      <c r="CJ1065" s="588" t="n"/>
      <c r="CK1065" s="588" t="n"/>
      <c r="CL1065" s="588" t="n"/>
      <c r="CM1065" s="588" t="n"/>
      <c r="CN1065" s="588" t="n"/>
      <c r="CO1065" s="588" t="n"/>
      <c r="CP1065" s="588" t="n"/>
      <c r="CQ1065" s="588" t="n"/>
      <c r="CR1065" s="588" t="n"/>
      <c r="CS1065" s="588" t="n"/>
      <c r="CT1065" s="588" t="n"/>
      <c r="CU1065" s="588" t="n"/>
      <c r="CV1065" s="588" t="n"/>
      <c r="CW1065" s="588" t="n"/>
      <c r="CX1065" s="588" t="n"/>
      <c r="CY1065" s="588" t="n"/>
      <c r="CZ1065" s="588" t="n"/>
      <c r="DA1065" s="588" t="n"/>
      <c r="DB1065" s="588" t="n"/>
      <c r="DC1065" s="588" t="n"/>
      <c r="DD1065" s="588" t="n"/>
      <c r="DE1065" s="588" t="n"/>
      <c r="DF1065" s="588" t="n"/>
      <c r="DG1065" s="588" t="n"/>
      <c r="DH1065" s="588" t="n"/>
      <c r="DI1065" s="588" t="n"/>
      <c r="DJ1065" s="588" t="n"/>
      <c r="DK1065" s="588" t="n"/>
      <c r="DL1065" s="588" t="n"/>
      <c r="DM1065" s="588" t="n"/>
      <c r="DN1065" s="588" t="n"/>
      <c r="DO1065" s="588" t="n"/>
      <c r="DP1065" s="588" t="n"/>
      <c r="DQ1065" s="588" t="n"/>
      <c r="DR1065" s="588" t="n"/>
      <c r="DS1065" s="588" t="n"/>
      <c r="DT1065" s="588" t="n"/>
      <c r="DU1065" s="588" t="n"/>
    </row>
    <row r="1066">
      <c r="A1066" s="737" t="n"/>
      <c r="B1066" s="737" t="n"/>
      <c r="C1066" s="737" t="n"/>
      <c r="D1066" s="737" t="n"/>
      <c r="E1066" s="737" t="n"/>
      <c r="F1066" s="737" t="n"/>
      <c r="G1066" s="737" t="n"/>
      <c r="H1066" s="737" t="n"/>
      <c r="I1066" s="737" t="n"/>
      <c r="J1066" s="737" t="n"/>
      <c r="K1066" s="737" t="n"/>
      <c r="L1066" s="737" t="n"/>
      <c r="M1066" s="737" t="n"/>
      <c r="N1066" s="737" t="n"/>
      <c r="O1066" s="737" t="n"/>
      <c r="P1066" s="737" t="n"/>
      <c r="Q1066" s="737" t="n"/>
      <c r="R1066" s="737" t="n"/>
      <c r="S1066" s="737" t="n"/>
      <c r="T1066" s="737" t="n"/>
      <c r="U1066" s="737" t="n"/>
      <c r="V1066" s="737" t="n"/>
      <c r="W1066" s="737" t="n"/>
      <c r="X1066" s="737" t="n"/>
      <c r="Y1066" s="737" t="n"/>
      <c r="Z1066" s="737" t="n"/>
      <c r="AA1066" s="737" t="n"/>
      <c r="AB1066" s="737" t="n"/>
      <c r="AC1066" s="737" t="n"/>
      <c r="AD1066" s="737" t="n"/>
      <c r="AE1066" s="737" t="n"/>
      <c r="AF1066" s="737" t="n"/>
      <c r="AG1066" s="737" t="n"/>
      <c r="AH1066" s="737" t="n"/>
      <c r="AI1066" s="737" t="n"/>
      <c r="AJ1066" s="737" t="n"/>
      <c r="AK1066" s="588" t="n"/>
      <c r="AL1066" s="588" t="n"/>
      <c r="AM1066" s="588" t="n"/>
      <c r="AN1066" s="588" t="n"/>
      <c r="AO1066" s="588" t="n"/>
      <c r="AP1066" s="588" t="n"/>
      <c r="AQ1066" s="588" t="n"/>
      <c r="AR1066" s="588" t="n"/>
      <c r="AS1066" s="588" t="n"/>
      <c r="AT1066" s="588" t="n"/>
      <c r="AU1066" s="588" t="n"/>
      <c r="AV1066" s="588" t="n"/>
      <c r="AW1066" s="588" t="n"/>
      <c r="AX1066" s="588" t="n"/>
      <c r="AY1066" s="588" t="n"/>
      <c r="AZ1066" s="588" t="n"/>
      <c r="BA1066" s="588" t="n"/>
      <c r="BB1066" s="588" t="n"/>
      <c r="BC1066" s="588" t="n"/>
      <c r="BD1066" s="588" t="n"/>
      <c r="BE1066" s="588" t="n"/>
      <c r="BF1066" s="588" t="n"/>
      <c r="BG1066" s="588" t="n"/>
      <c r="BH1066" s="588" t="n"/>
      <c r="BI1066" s="588" t="n"/>
      <c r="BJ1066" s="588" t="n"/>
      <c r="BK1066" s="588" t="n"/>
      <c r="BL1066" s="588" t="n"/>
      <c r="BM1066" s="588" t="n"/>
      <c r="BN1066" s="588" t="n"/>
      <c r="BO1066" s="588" t="n"/>
      <c r="BP1066" s="588" t="n"/>
      <c r="BQ1066" s="588" t="n"/>
      <c r="BR1066" s="588" t="n"/>
      <c r="BS1066" s="588" t="n"/>
      <c r="BT1066" s="588" t="n"/>
      <c r="BU1066" s="588" t="n"/>
      <c r="BV1066" s="588" t="n"/>
      <c r="BW1066" s="588" t="n"/>
      <c r="BX1066" s="588" t="n"/>
      <c r="BY1066" s="588" t="n"/>
      <c r="BZ1066" s="588" t="n"/>
      <c r="CA1066" s="588" t="n"/>
      <c r="CB1066" s="588" t="n"/>
      <c r="CC1066" s="588" t="n"/>
      <c r="CD1066" s="588" t="n"/>
      <c r="CE1066" s="588" t="n"/>
      <c r="CF1066" s="588" t="n"/>
      <c r="CG1066" s="588" t="n"/>
      <c r="CH1066" s="588" t="n"/>
      <c r="CI1066" s="588" t="n"/>
      <c r="CJ1066" s="588" t="n"/>
      <c r="CK1066" s="588" t="n"/>
      <c r="CL1066" s="588" t="n"/>
      <c r="CM1066" s="588" t="n"/>
      <c r="CN1066" s="588" t="n"/>
      <c r="CO1066" s="588" t="n"/>
      <c r="CP1066" s="588" t="n"/>
      <c r="CQ1066" s="588" t="n"/>
      <c r="CR1066" s="588" t="n"/>
      <c r="CS1066" s="588" t="n"/>
      <c r="CT1066" s="588" t="n"/>
      <c r="CU1066" s="588" t="n"/>
      <c r="CV1066" s="588" t="n"/>
      <c r="CW1066" s="588" t="n"/>
      <c r="CX1066" s="588" t="n"/>
      <c r="CY1066" s="588" t="n"/>
      <c r="CZ1066" s="588" t="n"/>
      <c r="DA1066" s="588" t="n"/>
      <c r="DB1066" s="588" t="n"/>
      <c r="DC1066" s="588" t="n"/>
      <c r="DD1066" s="588" t="n"/>
      <c r="DE1066" s="588" t="n"/>
      <c r="DF1066" s="588" t="n"/>
      <c r="DG1066" s="588" t="n"/>
      <c r="DH1066" s="588" t="n"/>
      <c r="DI1066" s="588" t="n"/>
      <c r="DJ1066" s="588" t="n"/>
      <c r="DK1066" s="588" t="n"/>
      <c r="DL1066" s="588" t="n"/>
      <c r="DM1066" s="588" t="n"/>
      <c r="DN1066" s="588" t="n"/>
      <c r="DO1066" s="588" t="n"/>
      <c r="DP1066" s="588" t="n"/>
      <c r="DQ1066" s="588" t="n"/>
      <c r="DR1066" s="588" t="n"/>
      <c r="DS1066" s="588" t="n"/>
      <c r="DT1066" s="588" t="n"/>
      <c r="DU1066" s="588" t="n"/>
    </row>
    <row r="1067">
      <c r="A1067" s="737" t="n"/>
      <c r="B1067" s="737" t="n"/>
      <c r="C1067" s="737" t="n"/>
      <c r="D1067" s="737" t="n"/>
      <c r="E1067" s="737" t="n"/>
      <c r="F1067" s="737" t="n"/>
      <c r="G1067" s="737" t="n"/>
      <c r="H1067" s="737" t="n"/>
      <c r="I1067" s="737" t="n"/>
      <c r="J1067" s="737" t="n"/>
      <c r="K1067" s="737" t="n"/>
      <c r="L1067" s="737" t="n"/>
      <c r="M1067" s="737" t="n"/>
      <c r="N1067" s="737" t="n"/>
      <c r="O1067" s="737" t="n"/>
      <c r="P1067" s="737" t="n"/>
      <c r="Q1067" s="737" t="n"/>
      <c r="R1067" s="737" t="n"/>
      <c r="S1067" s="737" t="n"/>
      <c r="T1067" s="737" t="n"/>
      <c r="U1067" s="737" t="n"/>
      <c r="V1067" s="737" t="n"/>
      <c r="W1067" s="737" t="n"/>
      <c r="X1067" s="737" t="n"/>
      <c r="Y1067" s="737" t="n"/>
      <c r="Z1067" s="737" t="n"/>
      <c r="AA1067" s="737" t="n"/>
      <c r="AB1067" s="737" t="n"/>
      <c r="AC1067" s="737" t="n"/>
      <c r="AD1067" s="737" t="n"/>
      <c r="AE1067" s="737" t="n"/>
      <c r="AF1067" s="737" t="n"/>
      <c r="AG1067" s="737" t="n"/>
      <c r="AH1067" s="737" t="n"/>
      <c r="AI1067" s="737" t="n"/>
      <c r="AJ1067" s="737" t="n"/>
      <c r="AK1067" s="588" t="n"/>
      <c r="AL1067" s="588" t="n"/>
      <c r="AM1067" s="588" t="n"/>
      <c r="AN1067" s="588" t="n"/>
      <c r="AO1067" s="588" t="n"/>
      <c r="AP1067" s="588" t="n"/>
      <c r="AQ1067" s="588" t="n"/>
      <c r="AR1067" s="588" t="n"/>
      <c r="AS1067" s="588" t="n"/>
      <c r="AT1067" s="588" t="n"/>
      <c r="AU1067" s="588" t="n"/>
      <c r="AV1067" s="588" t="n"/>
      <c r="AW1067" s="588" t="n"/>
      <c r="AX1067" s="588" t="n"/>
      <c r="AY1067" s="588" t="n"/>
      <c r="AZ1067" s="588" t="n"/>
      <c r="BA1067" s="588" t="n"/>
      <c r="BB1067" s="588" t="n"/>
      <c r="BC1067" s="588" t="n"/>
      <c r="BD1067" s="588" t="n"/>
      <c r="BE1067" s="588" t="n"/>
      <c r="BF1067" s="588" t="n"/>
      <c r="BG1067" s="588" t="n"/>
      <c r="BH1067" s="588" t="n"/>
      <c r="BI1067" s="588" t="n"/>
      <c r="BJ1067" s="588" t="n"/>
      <c r="BK1067" s="588" t="n"/>
      <c r="BL1067" s="588" t="n"/>
      <c r="BM1067" s="588" t="n"/>
      <c r="BN1067" s="588" t="n"/>
      <c r="BO1067" s="588" t="n"/>
      <c r="BP1067" s="588" t="n"/>
      <c r="BQ1067" s="588" t="n"/>
      <c r="BR1067" s="588" t="n"/>
      <c r="BS1067" s="588" t="n"/>
      <c r="BT1067" s="588" t="n"/>
      <c r="BU1067" s="588" t="n"/>
      <c r="BV1067" s="588" t="n"/>
      <c r="BW1067" s="588" t="n"/>
      <c r="BX1067" s="588" t="n"/>
      <c r="BY1067" s="588" t="n"/>
      <c r="BZ1067" s="588" t="n"/>
      <c r="CA1067" s="588" t="n"/>
      <c r="CB1067" s="588" t="n"/>
      <c r="CC1067" s="588" t="n"/>
      <c r="CD1067" s="588" t="n"/>
      <c r="CE1067" s="588" t="n"/>
      <c r="CF1067" s="588" t="n"/>
      <c r="CG1067" s="588" t="n"/>
      <c r="CH1067" s="588" t="n"/>
      <c r="CI1067" s="588" t="n"/>
      <c r="CJ1067" s="588" t="n"/>
      <c r="CK1067" s="588" t="n"/>
      <c r="CL1067" s="588" t="n"/>
      <c r="CM1067" s="588" t="n"/>
      <c r="CN1067" s="588" t="n"/>
      <c r="CO1067" s="588" t="n"/>
      <c r="CP1067" s="588" t="n"/>
      <c r="CQ1067" s="588" t="n"/>
      <c r="CR1067" s="588" t="n"/>
      <c r="CS1067" s="588" t="n"/>
      <c r="CT1067" s="588" t="n"/>
      <c r="CU1067" s="588" t="n"/>
      <c r="CV1067" s="588" t="n"/>
      <c r="CW1067" s="588" t="n"/>
      <c r="CX1067" s="588" t="n"/>
      <c r="CY1067" s="588" t="n"/>
      <c r="CZ1067" s="588" t="n"/>
      <c r="DA1067" s="588" t="n"/>
      <c r="DB1067" s="588" t="n"/>
      <c r="DC1067" s="588" t="n"/>
      <c r="DD1067" s="588" t="n"/>
      <c r="DE1067" s="588" t="n"/>
      <c r="DF1067" s="588" t="n"/>
      <c r="DG1067" s="588" t="n"/>
      <c r="DH1067" s="588" t="n"/>
      <c r="DI1067" s="588" t="n"/>
      <c r="DJ1067" s="588" t="n"/>
      <c r="DK1067" s="588" t="n"/>
      <c r="DL1067" s="588" t="n"/>
      <c r="DM1067" s="588" t="n"/>
      <c r="DN1067" s="588" t="n"/>
      <c r="DO1067" s="588" t="n"/>
      <c r="DP1067" s="588" t="n"/>
      <c r="DQ1067" s="588" t="n"/>
      <c r="DR1067" s="588" t="n"/>
      <c r="DS1067" s="588" t="n"/>
      <c r="DT1067" s="588" t="n"/>
      <c r="DU1067" s="588" t="n"/>
    </row>
    <row r="1068">
      <c r="A1068" s="737" t="n"/>
      <c r="B1068" s="737" t="n"/>
      <c r="C1068" s="737" t="n"/>
      <c r="D1068" s="737" t="n"/>
      <c r="E1068" s="737" t="n"/>
      <c r="F1068" s="737" t="n"/>
      <c r="G1068" s="737" t="n"/>
      <c r="H1068" s="737" t="n"/>
      <c r="I1068" s="737" t="n"/>
      <c r="J1068" s="737" t="n"/>
      <c r="K1068" s="737" t="n"/>
      <c r="L1068" s="737" t="n"/>
      <c r="M1068" s="737" t="n"/>
      <c r="N1068" s="737" t="n"/>
      <c r="O1068" s="737" t="n"/>
      <c r="P1068" s="737" t="n"/>
      <c r="Q1068" s="737" t="n"/>
      <c r="R1068" s="737" t="n"/>
      <c r="S1068" s="737" t="n"/>
      <c r="T1068" s="737" t="n"/>
      <c r="U1068" s="737" t="n"/>
      <c r="V1068" s="737" t="n"/>
      <c r="W1068" s="737" t="n"/>
      <c r="X1068" s="737" t="n"/>
      <c r="Y1068" s="737" t="n"/>
      <c r="Z1068" s="737" t="n"/>
      <c r="AA1068" s="737" t="n"/>
      <c r="AB1068" s="737" t="n"/>
      <c r="AC1068" s="737" t="n"/>
      <c r="AD1068" s="737" t="n"/>
      <c r="AE1068" s="737" t="n"/>
      <c r="AF1068" s="737" t="n"/>
      <c r="AG1068" s="737" t="n"/>
      <c r="AH1068" s="737" t="n"/>
      <c r="AI1068" s="737" t="n"/>
      <c r="AJ1068" s="737" t="n"/>
      <c r="AK1068" s="588" t="n"/>
      <c r="AL1068" s="588" t="n"/>
      <c r="AM1068" s="588" t="n"/>
      <c r="AN1068" s="588" t="n"/>
      <c r="AO1068" s="588" t="n"/>
      <c r="AP1068" s="588" t="n"/>
      <c r="AQ1068" s="588" t="n"/>
      <c r="AR1068" s="588" t="n"/>
      <c r="AS1068" s="588" t="n"/>
      <c r="AT1068" s="588" t="n"/>
      <c r="AU1068" s="588" t="n"/>
      <c r="AV1068" s="588" t="n"/>
      <c r="AW1068" s="588" t="n"/>
      <c r="AX1068" s="588" t="n"/>
      <c r="AY1068" s="588" t="n"/>
      <c r="AZ1068" s="588" t="n"/>
      <c r="BA1068" s="588" t="n"/>
      <c r="BB1068" s="588" t="n"/>
      <c r="BC1068" s="588" t="n"/>
      <c r="BD1068" s="588" t="n"/>
      <c r="BE1068" s="588" t="n"/>
      <c r="BF1068" s="588" t="n"/>
      <c r="BG1068" s="588" t="n"/>
      <c r="BH1068" s="588" t="n"/>
      <c r="BI1068" s="588" t="n"/>
      <c r="BJ1068" s="588" t="n"/>
      <c r="BK1068" s="588" t="n"/>
      <c r="BL1068" s="588" t="n"/>
      <c r="BM1068" s="588" t="n"/>
      <c r="BN1068" s="588" t="n"/>
      <c r="BO1068" s="588" t="n"/>
      <c r="BP1068" s="588" t="n"/>
      <c r="BQ1068" s="588" t="n"/>
      <c r="BR1068" s="588" t="n"/>
      <c r="BS1068" s="588" t="n"/>
      <c r="BT1068" s="588" t="n"/>
      <c r="BU1068" s="588" t="n"/>
      <c r="BV1068" s="588" t="n"/>
      <c r="BW1068" s="588" t="n"/>
      <c r="BX1068" s="588" t="n"/>
      <c r="BY1068" s="588" t="n"/>
      <c r="BZ1068" s="588" t="n"/>
      <c r="CA1068" s="588" t="n"/>
      <c r="CB1068" s="588" t="n"/>
      <c r="CC1068" s="588" t="n"/>
      <c r="CD1068" s="588" t="n"/>
      <c r="CE1068" s="588" t="n"/>
      <c r="CF1068" s="588" t="n"/>
      <c r="CG1068" s="588" t="n"/>
      <c r="CH1068" s="588" t="n"/>
      <c r="CI1068" s="588" t="n"/>
      <c r="CJ1068" s="588" t="n"/>
      <c r="CK1068" s="588" t="n"/>
      <c r="CL1068" s="588" t="n"/>
      <c r="CM1068" s="588" t="n"/>
      <c r="CN1068" s="588" t="n"/>
      <c r="CO1068" s="588" t="n"/>
      <c r="CP1068" s="588" t="n"/>
      <c r="CQ1068" s="588" t="n"/>
      <c r="CR1068" s="588" t="n"/>
      <c r="CS1068" s="588" t="n"/>
      <c r="CT1068" s="588" t="n"/>
      <c r="CU1068" s="588" t="n"/>
      <c r="CV1068" s="588" t="n"/>
      <c r="CW1068" s="588" t="n"/>
      <c r="CX1068" s="588" t="n"/>
      <c r="CY1068" s="588" t="n"/>
      <c r="CZ1068" s="588" t="n"/>
      <c r="DA1068" s="588" t="n"/>
      <c r="DB1068" s="588" t="n"/>
      <c r="DC1068" s="588" t="n"/>
      <c r="DD1068" s="588" t="n"/>
      <c r="DE1068" s="588" t="n"/>
      <c r="DF1068" s="588" t="n"/>
      <c r="DG1068" s="588" t="n"/>
      <c r="DH1068" s="588" t="n"/>
      <c r="DI1068" s="588" t="n"/>
      <c r="DJ1068" s="588" t="n"/>
      <c r="DK1068" s="588" t="n"/>
      <c r="DL1068" s="588" t="n"/>
      <c r="DM1068" s="588" t="n"/>
      <c r="DN1068" s="588" t="n"/>
      <c r="DO1068" s="588" t="n"/>
      <c r="DP1068" s="588" t="n"/>
      <c r="DQ1068" s="588" t="n"/>
      <c r="DR1068" s="588" t="n"/>
      <c r="DS1068" s="588" t="n"/>
      <c r="DT1068" s="588" t="n"/>
      <c r="DU1068" s="588" t="n"/>
    </row>
    <row r="1069">
      <c r="A1069" s="737" t="n"/>
      <c r="B1069" s="737" t="n"/>
      <c r="C1069" s="737" t="n"/>
      <c r="D1069" s="737" t="n"/>
      <c r="E1069" s="737" t="n"/>
      <c r="F1069" s="737" t="n"/>
      <c r="G1069" s="737" t="n"/>
      <c r="H1069" s="737" t="n"/>
      <c r="I1069" s="737" t="n"/>
      <c r="J1069" s="737" t="n"/>
      <c r="K1069" s="737" t="n"/>
      <c r="L1069" s="737" t="n"/>
      <c r="M1069" s="737" t="n"/>
      <c r="N1069" s="737" t="n"/>
      <c r="O1069" s="737" t="n"/>
      <c r="P1069" s="737" t="n"/>
      <c r="Q1069" s="737" t="n"/>
      <c r="R1069" s="737" t="n"/>
      <c r="S1069" s="737" t="n"/>
      <c r="T1069" s="737" t="n"/>
      <c r="U1069" s="737" t="n"/>
      <c r="V1069" s="737" t="n"/>
      <c r="W1069" s="737" t="n"/>
      <c r="X1069" s="737" t="n"/>
      <c r="Y1069" s="737" t="n"/>
      <c r="Z1069" s="737" t="n"/>
      <c r="AA1069" s="737" t="n"/>
      <c r="AB1069" s="737" t="n"/>
      <c r="AC1069" s="737" t="n"/>
      <c r="AD1069" s="737" t="n"/>
      <c r="AE1069" s="737" t="n"/>
      <c r="AF1069" s="737" t="n"/>
      <c r="AG1069" s="737" t="n"/>
      <c r="AH1069" s="737" t="n"/>
      <c r="AI1069" s="737" t="n"/>
      <c r="AJ1069" s="737" t="n"/>
      <c r="AK1069" s="588" t="n"/>
      <c r="AL1069" s="588" t="n"/>
      <c r="AM1069" s="588" t="n"/>
      <c r="AN1069" s="588" t="n"/>
      <c r="AO1069" s="588" t="n"/>
      <c r="AP1069" s="588" t="n"/>
      <c r="AQ1069" s="588" t="n"/>
      <c r="AR1069" s="588" t="n"/>
      <c r="AS1069" s="588" t="n"/>
      <c r="AT1069" s="588" t="n"/>
      <c r="AU1069" s="588" t="n"/>
      <c r="AV1069" s="588" t="n"/>
      <c r="AW1069" s="588" t="n"/>
      <c r="AX1069" s="588" t="n"/>
      <c r="AY1069" s="588" t="n"/>
      <c r="AZ1069" s="588" t="n"/>
      <c r="BA1069" s="588" t="n"/>
      <c r="BB1069" s="588" t="n"/>
      <c r="BC1069" s="588" t="n"/>
      <c r="BD1069" s="588" t="n"/>
      <c r="BE1069" s="588" t="n"/>
      <c r="BF1069" s="588" t="n"/>
      <c r="BG1069" s="588" t="n"/>
      <c r="BH1069" s="588" t="n"/>
      <c r="BI1069" s="588" t="n"/>
      <c r="BJ1069" s="588" t="n"/>
      <c r="BK1069" s="588" t="n"/>
      <c r="BL1069" s="588" t="n"/>
      <c r="BM1069" s="588" t="n"/>
      <c r="BN1069" s="588" t="n"/>
      <c r="BO1069" s="588" t="n"/>
      <c r="BP1069" s="588" t="n"/>
      <c r="BQ1069" s="588" t="n"/>
      <c r="BR1069" s="588" t="n"/>
      <c r="BS1069" s="588" t="n"/>
      <c r="BT1069" s="588" t="n"/>
      <c r="BU1069" s="588" t="n"/>
      <c r="BV1069" s="588" t="n"/>
      <c r="BW1069" s="588" t="n"/>
      <c r="BX1069" s="588" t="n"/>
      <c r="BY1069" s="588" t="n"/>
      <c r="BZ1069" s="588" t="n"/>
      <c r="CA1069" s="588" t="n"/>
      <c r="CB1069" s="588" t="n"/>
      <c r="CC1069" s="588" t="n"/>
      <c r="CD1069" s="588" t="n"/>
      <c r="CE1069" s="588" t="n"/>
      <c r="CF1069" s="588" t="n"/>
      <c r="CG1069" s="588" t="n"/>
      <c r="CH1069" s="588" t="n"/>
      <c r="CI1069" s="588" t="n"/>
      <c r="CJ1069" s="588" t="n"/>
      <c r="CK1069" s="588" t="n"/>
      <c r="CL1069" s="588" t="n"/>
      <c r="CM1069" s="588" t="n"/>
      <c r="CN1069" s="588" t="n"/>
      <c r="CO1069" s="588" t="n"/>
      <c r="CP1069" s="588" t="n"/>
      <c r="CQ1069" s="588" t="n"/>
      <c r="CR1069" s="588" t="n"/>
      <c r="CS1069" s="588" t="n"/>
      <c r="CT1069" s="588" t="n"/>
      <c r="CU1069" s="588" t="n"/>
      <c r="CV1069" s="588" t="n"/>
      <c r="CW1069" s="588" t="n"/>
      <c r="CX1069" s="588" t="n"/>
      <c r="CY1069" s="588" t="n"/>
      <c r="CZ1069" s="588" t="n"/>
      <c r="DA1069" s="588" t="n"/>
      <c r="DB1069" s="588" t="n"/>
      <c r="DC1069" s="588" t="n"/>
      <c r="DD1069" s="588" t="n"/>
      <c r="DE1069" s="588" t="n"/>
      <c r="DF1069" s="588" t="n"/>
      <c r="DG1069" s="588" t="n"/>
      <c r="DH1069" s="588" t="n"/>
      <c r="DI1069" s="588" t="n"/>
      <c r="DJ1069" s="588" t="n"/>
      <c r="DK1069" s="588" t="n"/>
      <c r="DL1069" s="588" t="n"/>
      <c r="DM1069" s="588" t="n"/>
      <c r="DN1069" s="588" t="n"/>
      <c r="DO1069" s="588" t="n"/>
      <c r="DP1069" s="588" t="n"/>
      <c r="DQ1069" s="588" t="n"/>
      <c r="DR1069" s="588" t="n"/>
      <c r="DS1069" s="588" t="n"/>
      <c r="DT1069" s="588" t="n"/>
      <c r="DU1069" s="588" t="n"/>
    </row>
    <row r="1070">
      <c r="A1070" s="737" t="n"/>
      <c r="B1070" s="737" t="n"/>
      <c r="C1070" s="737" t="n"/>
      <c r="D1070" s="737" t="n"/>
      <c r="E1070" s="737" t="n"/>
      <c r="F1070" s="737" t="n"/>
      <c r="G1070" s="737" t="n"/>
      <c r="H1070" s="737" t="n"/>
      <c r="I1070" s="737" t="n"/>
      <c r="J1070" s="737" t="n"/>
      <c r="K1070" s="737" t="n"/>
      <c r="L1070" s="737" t="n"/>
      <c r="M1070" s="737" t="n"/>
      <c r="N1070" s="737" t="n"/>
      <c r="O1070" s="737" t="n"/>
      <c r="P1070" s="737" t="n"/>
      <c r="Q1070" s="737" t="n"/>
      <c r="R1070" s="737" t="n"/>
      <c r="S1070" s="737" t="n"/>
      <c r="T1070" s="737" t="n"/>
      <c r="U1070" s="737" t="n"/>
      <c r="V1070" s="737" t="n"/>
      <c r="W1070" s="737" t="n"/>
      <c r="X1070" s="737" t="n"/>
      <c r="Y1070" s="737" t="n"/>
      <c r="Z1070" s="737" t="n"/>
      <c r="AA1070" s="737" t="n"/>
      <c r="AB1070" s="737" t="n"/>
      <c r="AC1070" s="737" t="n"/>
      <c r="AD1070" s="737" t="n"/>
      <c r="AE1070" s="737" t="n"/>
      <c r="AF1070" s="737" t="n"/>
      <c r="AG1070" s="737" t="n"/>
      <c r="AH1070" s="737" t="n"/>
      <c r="AI1070" s="737" t="n"/>
      <c r="AJ1070" s="737" t="n"/>
      <c r="AK1070" s="588" t="n"/>
      <c r="AL1070" s="588" t="n"/>
      <c r="AM1070" s="588" t="n"/>
      <c r="AN1070" s="588" t="n"/>
      <c r="AO1070" s="588" t="n"/>
      <c r="AP1070" s="588" t="n"/>
      <c r="AQ1070" s="588" t="n"/>
      <c r="AR1070" s="588" t="n"/>
      <c r="AS1070" s="588" t="n"/>
      <c r="AT1070" s="588" t="n"/>
      <c r="AU1070" s="588" t="n"/>
      <c r="AV1070" s="588" t="n"/>
      <c r="AW1070" s="588" t="n"/>
      <c r="AX1070" s="588" t="n"/>
      <c r="AY1070" s="588" t="n"/>
      <c r="AZ1070" s="588" t="n"/>
      <c r="BA1070" s="588" t="n"/>
      <c r="BB1070" s="588" t="n"/>
      <c r="BC1070" s="588" t="n"/>
      <c r="BD1070" s="588" t="n"/>
      <c r="BE1070" s="588" t="n"/>
      <c r="BF1070" s="588" t="n"/>
      <c r="BG1070" s="588" t="n"/>
      <c r="BH1070" s="588" t="n"/>
      <c r="BI1070" s="588" t="n"/>
      <c r="BJ1070" s="588" t="n"/>
      <c r="BK1070" s="588" t="n"/>
      <c r="BL1070" s="588" t="n"/>
      <c r="BM1070" s="588" t="n"/>
      <c r="BN1070" s="588" t="n"/>
      <c r="BO1070" s="588" t="n"/>
      <c r="BP1070" s="588" t="n"/>
      <c r="BQ1070" s="588" t="n"/>
      <c r="BR1070" s="588" t="n"/>
      <c r="BS1070" s="588" t="n"/>
      <c r="BT1070" s="588" t="n"/>
      <c r="BU1070" s="588" t="n"/>
      <c r="BV1070" s="588" t="n"/>
      <c r="BW1070" s="588" t="n"/>
      <c r="BX1070" s="588" t="n"/>
      <c r="BY1070" s="588" t="n"/>
      <c r="BZ1070" s="588" t="n"/>
      <c r="CA1070" s="588" t="n"/>
      <c r="CB1070" s="588" t="n"/>
      <c r="CC1070" s="588" t="n"/>
      <c r="CD1070" s="588" t="n"/>
      <c r="CE1070" s="588" t="n"/>
      <c r="CF1070" s="588" t="n"/>
      <c r="CG1070" s="588" t="n"/>
      <c r="CH1070" s="588" t="n"/>
      <c r="CI1070" s="588" t="n"/>
      <c r="CJ1070" s="588" t="n"/>
      <c r="CK1070" s="588" t="n"/>
      <c r="CL1070" s="588" t="n"/>
      <c r="CM1070" s="588" t="n"/>
      <c r="CN1070" s="588" t="n"/>
      <c r="CO1070" s="588" t="n"/>
      <c r="CP1070" s="588" t="n"/>
      <c r="CQ1070" s="588" t="n"/>
      <c r="CR1070" s="588" t="n"/>
      <c r="CS1070" s="588" t="n"/>
      <c r="CT1070" s="588" t="n"/>
      <c r="CU1070" s="588" t="n"/>
      <c r="CV1070" s="588" t="n"/>
      <c r="CW1070" s="588" t="n"/>
      <c r="CX1070" s="588" t="n"/>
      <c r="CY1070" s="588" t="n"/>
      <c r="CZ1070" s="588" t="n"/>
      <c r="DA1070" s="588" t="n"/>
      <c r="DB1070" s="588" t="n"/>
      <c r="DC1070" s="588" t="n"/>
      <c r="DD1070" s="588" t="n"/>
      <c r="DE1070" s="588" t="n"/>
      <c r="DF1070" s="588" t="n"/>
      <c r="DG1070" s="588" t="n"/>
      <c r="DH1070" s="588" t="n"/>
      <c r="DI1070" s="588" t="n"/>
      <c r="DJ1070" s="588" t="n"/>
      <c r="DK1070" s="588" t="n"/>
      <c r="DL1070" s="588" t="n"/>
      <c r="DM1070" s="588" t="n"/>
      <c r="DN1070" s="588" t="n"/>
      <c r="DO1070" s="588" t="n"/>
      <c r="DP1070" s="588" t="n"/>
      <c r="DQ1070" s="588" t="n"/>
      <c r="DR1070" s="588" t="n"/>
      <c r="DS1070" s="588" t="n"/>
      <c r="DT1070" s="588" t="n"/>
      <c r="DU1070" s="588" t="n"/>
    </row>
    <row r="1071">
      <c r="A1071" s="737" t="n"/>
      <c r="B1071" s="737" t="n"/>
      <c r="C1071" s="737" t="n"/>
      <c r="D1071" s="737" t="n"/>
      <c r="E1071" s="737" t="n"/>
      <c r="F1071" s="737" t="n"/>
      <c r="G1071" s="737" t="n"/>
      <c r="H1071" s="737" t="n"/>
      <c r="I1071" s="737" t="n"/>
      <c r="J1071" s="737" t="n"/>
      <c r="K1071" s="737" t="n"/>
      <c r="L1071" s="737" t="n"/>
      <c r="M1071" s="737" t="n"/>
      <c r="N1071" s="737" t="n"/>
      <c r="O1071" s="737" t="n"/>
      <c r="P1071" s="737" t="n"/>
      <c r="Q1071" s="737" t="n"/>
      <c r="R1071" s="737" t="n"/>
      <c r="S1071" s="737" t="n"/>
      <c r="T1071" s="737" t="n"/>
      <c r="U1071" s="737" t="n"/>
      <c r="V1071" s="737" t="n"/>
      <c r="W1071" s="737" t="n"/>
      <c r="X1071" s="737" t="n"/>
      <c r="Y1071" s="737" t="n"/>
      <c r="Z1071" s="737" t="n"/>
      <c r="AA1071" s="737" t="n"/>
      <c r="AB1071" s="737" t="n"/>
      <c r="AC1071" s="737" t="n"/>
      <c r="AD1071" s="737" t="n"/>
      <c r="AE1071" s="737" t="n"/>
      <c r="AF1071" s="737" t="n"/>
      <c r="AG1071" s="737" t="n"/>
      <c r="AH1071" s="737" t="n"/>
      <c r="AI1071" s="737" t="n"/>
      <c r="AJ1071" s="737" t="n"/>
      <c r="AK1071" s="588" t="n"/>
      <c r="AL1071" s="588" t="n"/>
      <c r="AM1071" s="588" t="n"/>
      <c r="AN1071" s="588" t="n"/>
      <c r="AO1071" s="588" t="n"/>
      <c r="AP1071" s="588" t="n"/>
      <c r="AQ1071" s="588" t="n"/>
      <c r="AR1071" s="588" t="n"/>
      <c r="AS1071" s="588" t="n"/>
      <c r="AT1071" s="588" t="n"/>
      <c r="AU1071" s="588" t="n"/>
      <c r="AV1071" s="588" t="n"/>
      <c r="AW1071" s="588" t="n"/>
      <c r="AX1071" s="588" t="n"/>
      <c r="AY1071" s="588" t="n"/>
      <c r="AZ1071" s="588" t="n"/>
      <c r="BA1071" s="588" t="n"/>
      <c r="BB1071" s="588" t="n"/>
      <c r="BC1071" s="588" t="n"/>
      <c r="BD1071" s="588" t="n"/>
      <c r="BE1071" s="588" t="n"/>
      <c r="BF1071" s="588" t="n"/>
      <c r="BG1071" s="588" t="n"/>
      <c r="BH1071" s="588" t="n"/>
      <c r="BI1071" s="588" t="n"/>
      <c r="BJ1071" s="588" t="n"/>
      <c r="BK1071" s="588" t="n"/>
      <c r="BL1071" s="588" t="n"/>
      <c r="BM1071" s="588" t="n"/>
      <c r="BN1071" s="588" t="n"/>
      <c r="BO1071" s="588" t="n"/>
      <c r="BP1071" s="588" t="n"/>
      <c r="BQ1071" s="588" t="n"/>
      <c r="BR1071" s="588" t="n"/>
      <c r="BS1071" s="588" t="n"/>
      <c r="BT1071" s="588" t="n"/>
      <c r="BU1071" s="588" t="n"/>
      <c r="BV1071" s="588" t="n"/>
      <c r="BW1071" s="588" t="n"/>
      <c r="BX1071" s="588" t="n"/>
      <c r="BY1071" s="588" t="n"/>
      <c r="BZ1071" s="588" t="n"/>
      <c r="CA1071" s="588" t="n"/>
      <c r="CB1071" s="588" t="n"/>
      <c r="CC1071" s="588" t="n"/>
      <c r="CD1071" s="588" t="n"/>
      <c r="CE1071" s="588" t="n"/>
      <c r="CF1071" s="588" t="n"/>
      <c r="CG1071" s="588" t="n"/>
      <c r="CH1071" s="588" t="n"/>
      <c r="CI1071" s="588" t="n"/>
      <c r="CJ1071" s="588" t="n"/>
      <c r="CK1071" s="588" t="n"/>
      <c r="CL1071" s="588" t="n"/>
      <c r="CM1071" s="588" t="n"/>
      <c r="CN1071" s="588" t="n"/>
      <c r="CO1071" s="588" t="n"/>
      <c r="CP1071" s="588" t="n"/>
      <c r="CQ1071" s="588" t="n"/>
      <c r="CR1071" s="588" t="n"/>
      <c r="CS1071" s="588" t="n"/>
      <c r="CT1071" s="588" t="n"/>
      <c r="CU1071" s="588" t="n"/>
      <c r="CV1071" s="588" t="n"/>
      <c r="CW1071" s="588" t="n"/>
      <c r="CX1071" s="588" t="n"/>
      <c r="CY1071" s="588" t="n"/>
      <c r="CZ1071" s="588" t="n"/>
      <c r="DA1071" s="588" t="n"/>
      <c r="DB1071" s="588" t="n"/>
      <c r="DC1071" s="588" t="n"/>
      <c r="DD1071" s="588" t="n"/>
      <c r="DE1071" s="588" t="n"/>
      <c r="DF1071" s="588" t="n"/>
      <c r="DG1071" s="588" t="n"/>
      <c r="DH1071" s="588" t="n"/>
      <c r="DI1071" s="588" t="n"/>
      <c r="DJ1071" s="588" t="n"/>
      <c r="DK1071" s="588" t="n"/>
      <c r="DL1071" s="588" t="n"/>
      <c r="DM1071" s="588" t="n"/>
      <c r="DN1071" s="588" t="n"/>
      <c r="DO1071" s="588" t="n"/>
      <c r="DP1071" s="588" t="n"/>
      <c r="DQ1071" s="588" t="n"/>
      <c r="DR1071" s="588" t="n"/>
      <c r="DS1071" s="588" t="n"/>
      <c r="DT1071" s="588" t="n"/>
      <c r="DU1071" s="588" t="n"/>
    </row>
    <row r="1072">
      <c r="A1072" s="737" t="n"/>
      <c r="B1072" s="737" t="n"/>
      <c r="C1072" s="737" t="n"/>
      <c r="D1072" s="737" t="n"/>
      <c r="E1072" s="737" t="n"/>
      <c r="F1072" s="737" t="n"/>
      <c r="G1072" s="737" t="n"/>
      <c r="H1072" s="737" t="n"/>
      <c r="I1072" s="737" t="n"/>
      <c r="J1072" s="737" t="n"/>
      <c r="K1072" s="737" t="n"/>
      <c r="L1072" s="737" t="n"/>
      <c r="M1072" s="737" t="n"/>
      <c r="N1072" s="737" t="n"/>
      <c r="O1072" s="737" t="n"/>
      <c r="P1072" s="737" t="n"/>
      <c r="Q1072" s="737" t="n"/>
      <c r="R1072" s="737" t="n"/>
      <c r="S1072" s="737" t="n"/>
      <c r="T1072" s="737" t="n"/>
      <c r="U1072" s="737" t="n"/>
      <c r="V1072" s="737" t="n"/>
      <c r="W1072" s="737" t="n"/>
      <c r="X1072" s="737" t="n"/>
      <c r="Y1072" s="737" t="n"/>
      <c r="Z1072" s="737" t="n"/>
      <c r="AA1072" s="737" t="n"/>
      <c r="AB1072" s="737" t="n"/>
      <c r="AC1072" s="737" t="n"/>
      <c r="AD1072" s="737" t="n"/>
      <c r="AE1072" s="737" t="n"/>
      <c r="AF1072" s="737" t="n"/>
      <c r="AG1072" s="737" t="n"/>
      <c r="AH1072" s="737" t="n"/>
      <c r="AI1072" s="737" t="n"/>
      <c r="AJ1072" s="737" t="n"/>
      <c r="AK1072" s="588" t="n"/>
      <c r="AL1072" s="588" t="n"/>
      <c r="AM1072" s="588" t="n"/>
      <c r="AN1072" s="588" t="n"/>
      <c r="AO1072" s="588" t="n"/>
      <c r="AP1072" s="588" t="n"/>
      <c r="AQ1072" s="588" t="n"/>
      <c r="AR1072" s="588" t="n"/>
      <c r="AS1072" s="588" t="n"/>
      <c r="AT1072" s="588" t="n"/>
      <c r="AU1072" s="588" t="n"/>
      <c r="AV1072" s="588" t="n"/>
      <c r="AW1072" s="588" t="n"/>
      <c r="AX1072" s="588" t="n"/>
      <c r="AY1072" s="588" t="n"/>
      <c r="AZ1072" s="588" t="n"/>
      <c r="BA1072" s="588" t="n"/>
      <c r="BB1072" s="588" t="n"/>
      <c r="BC1072" s="588" t="n"/>
      <c r="BD1072" s="588" t="n"/>
      <c r="BE1072" s="588" t="n"/>
      <c r="BF1072" s="588" t="n"/>
      <c r="BG1072" s="588" t="n"/>
      <c r="BH1072" s="588" t="n"/>
      <c r="BI1072" s="588" t="n"/>
      <c r="BJ1072" s="588" t="n"/>
      <c r="BK1072" s="588" t="n"/>
      <c r="BL1072" s="588" t="n"/>
      <c r="BM1072" s="588" t="n"/>
      <c r="BN1072" s="588" t="n"/>
      <c r="BO1072" s="588" t="n"/>
      <c r="BP1072" s="588" t="n"/>
      <c r="BQ1072" s="588" t="n"/>
      <c r="BR1072" s="588" t="n"/>
      <c r="BS1072" s="588" t="n"/>
      <c r="BT1072" s="588" t="n"/>
      <c r="BU1072" s="588" t="n"/>
      <c r="BV1072" s="588" t="n"/>
      <c r="BW1072" s="588" t="n"/>
      <c r="BX1072" s="588" t="n"/>
      <c r="BY1072" s="588" t="n"/>
      <c r="BZ1072" s="588" t="n"/>
      <c r="CA1072" s="588" t="n"/>
      <c r="CB1072" s="588" t="n"/>
      <c r="CC1072" s="588" t="n"/>
      <c r="CD1072" s="588" t="n"/>
      <c r="CE1072" s="588" t="n"/>
      <c r="CF1072" s="588" t="n"/>
      <c r="CG1072" s="588" t="n"/>
      <c r="CH1072" s="588" t="n"/>
      <c r="CI1072" s="588" t="n"/>
      <c r="CJ1072" s="588" t="n"/>
      <c r="CK1072" s="588" t="n"/>
      <c r="CL1072" s="588" t="n"/>
      <c r="CM1072" s="588" t="n"/>
      <c r="CN1072" s="588" t="n"/>
      <c r="CO1072" s="588" t="n"/>
      <c r="CP1072" s="588" t="n"/>
      <c r="CQ1072" s="588" t="n"/>
      <c r="CR1072" s="588" t="n"/>
      <c r="CS1072" s="588" t="n"/>
      <c r="CT1072" s="588" t="n"/>
      <c r="CU1072" s="588" t="n"/>
      <c r="CV1072" s="588" t="n"/>
      <c r="CW1072" s="588" t="n"/>
      <c r="CX1072" s="588" t="n"/>
      <c r="CY1072" s="588" t="n"/>
      <c r="CZ1072" s="588" t="n"/>
      <c r="DA1072" s="588" t="n"/>
      <c r="DB1072" s="588" t="n"/>
      <c r="DC1072" s="588" t="n"/>
      <c r="DD1072" s="588" t="n"/>
      <c r="DE1072" s="588" t="n"/>
      <c r="DF1072" s="588" t="n"/>
      <c r="DG1072" s="588" t="n"/>
      <c r="DH1072" s="588" t="n"/>
      <c r="DI1072" s="588" t="n"/>
      <c r="DJ1072" s="588" t="n"/>
      <c r="DK1072" s="588" t="n"/>
      <c r="DL1072" s="588" t="n"/>
      <c r="DM1072" s="588" t="n"/>
      <c r="DN1072" s="588" t="n"/>
      <c r="DO1072" s="588" t="n"/>
      <c r="DP1072" s="588" t="n"/>
      <c r="DQ1072" s="588" t="n"/>
      <c r="DR1072" s="588" t="n"/>
      <c r="DS1072" s="588" t="n"/>
      <c r="DT1072" s="588" t="n"/>
      <c r="DU1072" s="588" t="n"/>
    </row>
    <row r="1073">
      <c r="A1073" s="737" t="n"/>
      <c r="B1073" s="737" t="n"/>
      <c r="C1073" s="737" t="n"/>
      <c r="D1073" s="737" t="n"/>
      <c r="E1073" s="737" t="n"/>
      <c r="F1073" s="737" t="n"/>
      <c r="G1073" s="737" t="n"/>
      <c r="H1073" s="737" t="n"/>
      <c r="I1073" s="737" t="n"/>
      <c r="J1073" s="737" t="n"/>
      <c r="K1073" s="737" t="n"/>
      <c r="L1073" s="737" t="n"/>
      <c r="M1073" s="737" t="n"/>
      <c r="N1073" s="737" t="n"/>
      <c r="O1073" s="737" t="n"/>
      <c r="P1073" s="737" t="n"/>
      <c r="Q1073" s="737" t="n"/>
      <c r="R1073" s="737" t="n"/>
      <c r="S1073" s="737" t="n"/>
      <c r="T1073" s="737" t="n"/>
      <c r="U1073" s="737" t="n"/>
      <c r="V1073" s="737" t="n"/>
      <c r="W1073" s="737" t="n"/>
      <c r="X1073" s="737" t="n"/>
      <c r="Y1073" s="737" t="n"/>
      <c r="Z1073" s="737" t="n"/>
      <c r="AA1073" s="737" t="n"/>
      <c r="AB1073" s="737" t="n"/>
      <c r="AC1073" s="737" t="n"/>
      <c r="AD1073" s="737" t="n"/>
      <c r="AE1073" s="737" t="n"/>
      <c r="AF1073" s="737" t="n"/>
      <c r="AG1073" s="737" t="n"/>
      <c r="AH1073" s="737" t="n"/>
      <c r="AI1073" s="737" t="n"/>
      <c r="AJ1073" s="737" t="n"/>
      <c r="AK1073" s="588" t="n"/>
      <c r="AL1073" s="588" t="n"/>
      <c r="AM1073" s="588" t="n"/>
      <c r="AN1073" s="588" t="n"/>
      <c r="AO1073" s="588" t="n"/>
      <c r="AP1073" s="588" t="n"/>
      <c r="AQ1073" s="588" t="n"/>
      <c r="AR1073" s="588" t="n"/>
      <c r="AS1073" s="588" t="n"/>
      <c r="AT1073" s="588" t="n"/>
      <c r="AU1073" s="588" t="n"/>
      <c r="AV1073" s="588" t="n"/>
      <c r="AW1073" s="588" t="n"/>
      <c r="AX1073" s="588" t="n"/>
      <c r="AY1073" s="588" t="n"/>
      <c r="AZ1073" s="588" t="n"/>
      <c r="BA1073" s="588" t="n"/>
      <c r="BB1073" s="588" t="n"/>
      <c r="BC1073" s="588" t="n"/>
      <c r="BD1073" s="588" t="n"/>
      <c r="BE1073" s="588" t="n"/>
      <c r="BF1073" s="588" t="n"/>
      <c r="BG1073" s="588" t="n"/>
      <c r="BH1073" s="588" t="n"/>
      <c r="BI1073" s="588" t="n"/>
      <c r="BJ1073" s="588" t="n"/>
      <c r="BK1073" s="588" t="n"/>
      <c r="BL1073" s="588" t="n"/>
      <c r="BM1073" s="588" t="n"/>
      <c r="BN1073" s="588" t="n"/>
      <c r="BO1073" s="588" t="n"/>
      <c r="BP1073" s="588" t="n"/>
      <c r="BQ1073" s="588" t="n"/>
      <c r="BR1073" s="588" t="n"/>
      <c r="BS1073" s="588" t="n"/>
      <c r="BT1073" s="588" t="n"/>
      <c r="BU1073" s="588" t="n"/>
      <c r="BV1073" s="588" t="n"/>
      <c r="BW1073" s="588" t="n"/>
      <c r="BX1073" s="588" t="n"/>
      <c r="BY1073" s="588" t="n"/>
      <c r="BZ1073" s="588" t="n"/>
      <c r="CA1073" s="588" t="n"/>
      <c r="CB1073" s="588" t="n"/>
      <c r="CC1073" s="588" t="n"/>
      <c r="CD1073" s="588" t="n"/>
      <c r="CE1073" s="588" t="n"/>
      <c r="CF1073" s="588" t="n"/>
      <c r="CG1073" s="588" t="n"/>
      <c r="CH1073" s="588" t="n"/>
      <c r="CI1073" s="588" t="n"/>
      <c r="CJ1073" s="588" t="n"/>
      <c r="CK1073" s="588" t="n"/>
      <c r="CL1073" s="588" t="n"/>
      <c r="CM1073" s="588" t="n"/>
      <c r="CN1073" s="588" t="n"/>
      <c r="CO1073" s="588" t="n"/>
      <c r="CP1073" s="588" t="n"/>
      <c r="CQ1073" s="588" t="n"/>
      <c r="CR1073" s="588" t="n"/>
      <c r="CS1073" s="588" t="n"/>
      <c r="CT1073" s="588" t="n"/>
      <c r="CU1073" s="588" t="n"/>
      <c r="CV1073" s="588" t="n"/>
      <c r="CW1073" s="588" t="n"/>
      <c r="CX1073" s="588" t="n"/>
      <c r="CY1073" s="588" t="n"/>
      <c r="CZ1073" s="588" t="n"/>
      <c r="DA1073" s="588" t="n"/>
      <c r="DB1073" s="588" t="n"/>
      <c r="DC1073" s="588" t="n"/>
      <c r="DD1073" s="588" t="n"/>
      <c r="DE1073" s="588" t="n"/>
      <c r="DF1073" s="588" t="n"/>
      <c r="DG1073" s="588" t="n"/>
      <c r="DH1073" s="588" t="n"/>
      <c r="DI1073" s="588" t="n"/>
      <c r="DJ1073" s="588" t="n"/>
      <c r="DK1073" s="588" t="n"/>
      <c r="DL1073" s="588" t="n"/>
      <c r="DM1073" s="588" t="n"/>
      <c r="DN1073" s="588" t="n"/>
      <c r="DO1073" s="588" t="n"/>
      <c r="DP1073" s="588" t="n"/>
      <c r="DQ1073" s="588" t="n"/>
      <c r="DR1073" s="588" t="n"/>
      <c r="DS1073" s="588" t="n"/>
      <c r="DT1073" s="588" t="n"/>
      <c r="DU1073" s="588" t="n"/>
    </row>
    <row r="1074">
      <c r="A1074" s="737" t="n"/>
      <c r="B1074" s="737" t="n"/>
      <c r="C1074" s="737" t="n"/>
      <c r="D1074" s="737" t="n"/>
      <c r="E1074" s="737" t="n"/>
      <c r="F1074" s="737" t="n"/>
      <c r="G1074" s="737" t="n"/>
      <c r="H1074" s="737" t="n"/>
      <c r="I1074" s="737" t="n"/>
      <c r="J1074" s="737" t="n"/>
      <c r="K1074" s="737" t="n"/>
      <c r="L1074" s="737" t="n"/>
      <c r="M1074" s="737" t="n"/>
      <c r="N1074" s="737" t="n"/>
      <c r="O1074" s="737" t="n"/>
      <c r="P1074" s="737" t="n"/>
      <c r="Q1074" s="737" t="n"/>
      <c r="R1074" s="737" t="n"/>
      <c r="S1074" s="737" t="n"/>
      <c r="T1074" s="737" t="n"/>
      <c r="U1074" s="737" t="n"/>
      <c r="V1074" s="737" t="n"/>
      <c r="W1074" s="737" t="n"/>
      <c r="X1074" s="737" t="n"/>
      <c r="Y1074" s="737" t="n"/>
      <c r="Z1074" s="737" t="n"/>
      <c r="AA1074" s="737" t="n"/>
      <c r="AB1074" s="737" t="n"/>
      <c r="AC1074" s="737" t="n"/>
      <c r="AD1074" s="737" t="n"/>
      <c r="AE1074" s="737" t="n"/>
      <c r="AF1074" s="737" t="n"/>
      <c r="AG1074" s="737" t="n"/>
      <c r="AH1074" s="737" t="n"/>
      <c r="AI1074" s="737" t="n"/>
      <c r="AJ1074" s="737" t="n"/>
      <c r="AK1074" s="588" t="n"/>
      <c r="AL1074" s="588" t="n"/>
      <c r="AM1074" s="588" t="n"/>
      <c r="AN1074" s="588" t="n"/>
      <c r="AO1074" s="588" t="n"/>
      <c r="AP1074" s="588" t="n"/>
      <c r="AQ1074" s="588" t="n"/>
      <c r="AR1074" s="588" t="n"/>
      <c r="AS1074" s="588" t="n"/>
      <c r="AT1074" s="588" t="n"/>
      <c r="AU1074" s="588" t="n"/>
      <c r="AV1074" s="588" t="n"/>
      <c r="AW1074" s="588" t="n"/>
      <c r="AX1074" s="588" t="n"/>
      <c r="AY1074" s="588" t="n"/>
      <c r="AZ1074" s="588" t="n"/>
      <c r="BA1074" s="588" t="n"/>
      <c r="BB1074" s="588" t="n"/>
      <c r="BC1074" s="588" t="n"/>
      <c r="BD1074" s="588" t="n"/>
      <c r="BE1074" s="588" t="n"/>
      <c r="BF1074" s="588" t="n"/>
      <c r="BG1074" s="588" t="n"/>
      <c r="BH1074" s="588" t="n"/>
      <c r="BI1074" s="588" t="n"/>
      <c r="BJ1074" s="588" t="n"/>
      <c r="BK1074" s="588" t="n"/>
      <c r="BL1074" s="588" t="n"/>
      <c r="BM1074" s="588" t="n"/>
      <c r="BN1074" s="588" t="n"/>
      <c r="BO1074" s="588" t="n"/>
      <c r="BP1074" s="588" t="n"/>
      <c r="BQ1074" s="588" t="n"/>
      <c r="BR1074" s="588" t="n"/>
      <c r="BS1074" s="588" t="n"/>
      <c r="BT1074" s="588" t="n"/>
      <c r="BU1074" s="588" t="n"/>
      <c r="BV1074" s="588" t="n"/>
      <c r="BW1074" s="588" t="n"/>
      <c r="BX1074" s="588" t="n"/>
      <c r="BY1074" s="588" t="n"/>
      <c r="BZ1074" s="588" t="n"/>
      <c r="CA1074" s="588" t="n"/>
      <c r="CB1074" s="588" t="n"/>
      <c r="CC1074" s="588" t="n"/>
      <c r="CD1074" s="588" t="n"/>
      <c r="CE1074" s="588" t="n"/>
      <c r="CF1074" s="588" t="n"/>
      <c r="CG1074" s="588" t="n"/>
      <c r="CH1074" s="588" t="n"/>
      <c r="CI1074" s="588" t="n"/>
      <c r="CJ1074" s="588" t="n"/>
      <c r="CK1074" s="588" t="n"/>
      <c r="CL1074" s="588" t="n"/>
      <c r="CM1074" s="588" t="n"/>
      <c r="CN1074" s="588" t="n"/>
      <c r="CO1074" s="588" t="n"/>
      <c r="CP1074" s="588" t="n"/>
      <c r="CQ1074" s="588" t="n"/>
      <c r="CR1074" s="588" t="n"/>
      <c r="CS1074" s="588" t="n"/>
      <c r="CT1074" s="588" t="n"/>
      <c r="CU1074" s="588" t="n"/>
      <c r="CV1074" s="588" t="n"/>
      <c r="CW1074" s="588" t="n"/>
      <c r="CX1074" s="588" t="n"/>
      <c r="CY1074" s="588" t="n"/>
      <c r="CZ1074" s="588" t="n"/>
      <c r="DA1074" s="588" t="n"/>
      <c r="DB1074" s="588" t="n"/>
      <c r="DC1074" s="588" t="n"/>
      <c r="DD1074" s="588" t="n"/>
      <c r="DE1074" s="588" t="n"/>
      <c r="DF1074" s="588" t="n"/>
      <c r="DG1074" s="588" t="n"/>
      <c r="DH1074" s="588" t="n"/>
      <c r="DI1074" s="588" t="n"/>
      <c r="DJ1074" s="588" t="n"/>
      <c r="DK1074" s="588" t="n"/>
      <c r="DL1074" s="588" t="n"/>
      <c r="DM1074" s="588" t="n"/>
      <c r="DN1074" s="588" t="n"/>
      <c r="DO1074" s="588" t="n"/>
      <c r="DP1074" s="588" t="n"/>
      <c r="DQ1074" s="588" t="n"/>
      <c r="DR1074" s="588" t="n"/>
      <c r="DS1074" s="588" t="n"/>
      <c r="DT1074" s="588" t="n"/>
      <c r="DU1074" s="588" t="n"/>
    </row>
    <row r="1075">
      <c r="A1075" s="737" t="n"/>
      <c r="B1075" s="737" t="n"/>
      <c r="C1075" s="737" t="n"/>
      <c r="D1075" s="737" t="n"/>
      <c r="E1075" s="737" t="n"/>
      <c r="F1075" s="737" t="n"/>
      <c r="G1075" s="737" t="n"/>
      <c r="H1075" s="737" t="n"/>
      <c r="I1075" s="737" t="n"/>
      <c r="J1075" s="737" t="n"/>
      <c r="K1075" s="737" t="n"/>
      <c r="L1075" s="737" t="n"/>
      <c r="M1075" s="737" t="n"/>
      <c r="N1075" s="737" t="n"/>
      <c r="O1075" s="737" t="n"/>
      <c r="P1075" s="737" t="n"/>
      <c r="Q1075" s="737" t="n"/>
      <c r="R1075" s="737" t="n"/>
      <c r="S1075" s="737" t="n"/>
      <c r="T1075" s="737" t="n"/>
      <c r="U1075" s="737" t="n"/>
      <c r="V1075" s="737" t="n"/>
      <c r="W1075" s="737" t="n"/>
      <c r="X1075" s="737" t="n"/>
      <c r="Y1075" s="737" t="n"/>
      <c r="Z1075" s="737" t="n"/>
      <c r="AA1075" s="737" t="n"/>
      <c r="AB1075" s="737" t="n"/>
      <c r="AC1075" s="737" t="n"/>
      <c r="AD1075" s="737" t="n"/>
      <c r="AE1075" s="737" t="n"/>
      <c r="AF1075" s="737" t="n"/>
      <c r="AG1075" s="737" t="n"/>
      <c r="AH1075" s="737" t="n"/>
      <c r="AI1075" s="737" t="n"/>
      <c r="AJ1075" s="737" t="n"/>
      <c r="AK1075" s="588" t="n"/>
      <c r="AL1075" s="588" t="n"/>
      <c r="AM1075" s="588" t="n"/>
      <c r="AN1075" s="588" t="n"/>
      <c r="AO1075" s="588" t="n"/>
      <c r="AP1075" s="588" t="n"/>
      <c r="AQ1075" s="588" t="n"/>
      <c r="AR1075" s="588" t="n"/>
      <c r="AS1075" s="588" t="n"/>
      <c r="AT1075" s="588" t="n"/>
      <c r="AU1075" s="588" t="n"/>
      <c r="AV1075" s="588" t="n"/>
      <c r="AW1075" s="588" t="n"/>
      <c r="AX1075" s="588" t="n"/>
      <c r="AY1075" s="588" t="n"/>
      <c r="AZ1075" s="588" t="n"/>
      <c r="BA1075" s="588" t="n"/>
      <c r="BB1075" s="588" t="n"/>
      <c r="BC1075" s="588" t="n"/>
      <c r="BD1075" s="588" t="n"/>
      <c r="BE1075" s="588" t="n"/>
      <c r="BF1075" s="588" t="n"/>
      <c r="BG1075" s="588" t="n"/>
      <c r="BH1075" s="588" t="n"/>
      <c r="BI1075" s="588" t="n"/>
      <c r="BJ1075" s="588" t="n"/>
      <c r="BK1075" s="588" t="n"/>
      <c r="BL1075" s="588" t="n"/>
      <c r="BM1075" s="588" t="n"/>
      <c r="BN1075" s="588" t="n"/>
      <c r="BO1075" s="588" t="n"/>
      <c r="BP1075" s="588" t="n"/>
      <c r="BQ1075" s="588" t="n"/>
      <c r="BR1075" s="588" t="n"/>
      <c r="BS1075" s="588" t="n"/>
      <c r="BT1075" s="588" t="n"/>
      <c r="BU1075" s="588" t="n"/>
      <c r="BV1075" s="588" t="n"/>
      <c r="BW1075" s="588" t="n"/>
      <c r="BX1075" s="588" t="n"/>
      <c r="BY1075" s="588" t="n"/>
      <c r="BZ1075" s="588" t="n"/>
      <c r="CA1075" s="588" t="n"/>
      <c r="CB1075" s="588" t="n"/>
      <c r="CC1075" s="588" t="n"/>
      <c r="CD1075" s="588" t="n"/>
      <c r="CE1075" s="588" t="n"/>
      <c r="CF1075" s="588" t="n"/>
      <c r="CG1075" s="588" t="n"/>
      <c r="CH1075" s="588" t="n"/>
      <c r="CI1075" s="588" t="n"/>
      <c r="CJ1075" s="588" t="n"/>
      <c r="CK1075" s="588" t="n"/>
      <c r="CL1075" s="588" t="n"/>
      <c r="CM1075" s="588" t="n"/>
      <c r="CN1075" s="588" t="n"/>
      <c r="CO1075" s="588" t="n"/>
      <c r="CP1075" s="588" t="n"/>
      <c r="CQ1075" s="588" t="n"/>
      <c r="CR1075" s="588" t="n"/>
      <c r="CS1075" s="588" t="n"/>
      <c r="CT1075" s="588" t="n"/>
      <c r="CU1075" s="588" t="n"/>
      <c r="CV1075" s="588" t="n"/>
      <c r="CW1075" s="588" t="n"/>
      <c r="CX1075" s="588" t="n"/>
      <c r="CY1075" s="588" t="n"/>
      <c r="CZ1075" s="588" t="n"/>
      <c r="DA1075" s="588" t="n"/>
      <c r="DB1075" s="588" t="n"/>
      <c r="DC1075" s="588" t="n"/>
      <c r="DD1075" s="588" t="n"/>
      <c r="DE1075" s="588" t="n"/>
      <c r="DF1075" s="588" t="n"/>
      <c r="DG1075" s="588" t="n"/>
      <c r="DH1075" s="588" t="n"/>
      <c r="DI1075" s="588" t="n"/>
      <c r="DJ1075" s="588" t="n"/>
      <c r="DK1075" s="588" t="n"/>
      <c r="DL1075" s="588" t="n"/>
      <c r="DM1075" s="588" t="n"/>
      <c r="DN1075" s="588" t="n"/>
      <c r="DO1075" s="588" t="n"/>
      <c r="DP1075" s="588" t="n"/>
      <c r="DQ1075" s="588" t="n"/>
      <c r="DR1075" s="588" t="n"/>
      <c r="DS1075" s="588" t="n"/>
      <c r="DT1075" s="588" t="n"/>
      <c r="DU1075" s="588" t="n"/>
    </row>
    <row r="1076">
      <c r="A1076" s="737" t="n"/>
      <c r="B1076" s="737" t="n"/>
      <c r="C1076" s="737" t="n"/>
      <c r="D1076" s="737" t="n"/>
      <c r="E1076" s="737" t="n"/>
      <c r="F1076" s="737" t="n"/>
      <c r="G1076" s="737" t="n"/>
      <c r="H1076" s="737" t="n"/>
      <c r="I1076" s="737" t="n"/>
      <c r="J1076" s="737" t="n"/>
      <c r="K1076" s="737" t="n"/>
      <c r="L1076" s="737" t="n"/>
      <c r="M1076" s="737" t="n"/>
      <c r="N1076" s="737" t="n"/>
      <c r="O1076" s="737" t="n"/>
      <c r="P1076" s="737" t="n"/>
      <c r="Q1076" s="737" t="n"/>
      <c r="R1076" s="737" t="n"/>
      <c r="S1076" s="737" t="n"/>
      <c r="T1076" s="737" t="n"/>
      <c r="U1076" s="737" t="n"/>
      <c r="V1076" s="737" t="n"/>
      <c r="W1076" s="737" t="n"/>
      <c r="X1076" s="737" t="n"/>
      <c r="Y1076" s="737" t="n"/>
      <c r="Z1076" s="737" t="n"/>
      <c r="AA1076" s="737" t="n"/>
      <c r="AB1076" s="737" t="n"/>
      <c r="AC1076" s="737" t="n"/>
      <c r="AD1076" s="737" t="n"/>
      <c r="AE1076" s="737" t="n"/>
      <c r="AF1076" s="737" t="n"/>
      <c r="AG1076" s="737" t="n"/>
      <c r="AH1076" s="737" t="n"/>
      <c r="AI1076" s="737" t="n"/>
      <c r="AJ1076" s="737" t="n"/>
      <c r="AK1076" s="588" t="n"/>
      <c r="AL1076" s="588" t="n"/>
      <c r="AM1076" s="588" t="n"/>
      <c r="AN1076" s="588" t="n"/>
      <c r="AO1076" s="588" t="n"/>
      <c r="AP1076" s="588" t="n"/>
      <c r="AQ1076" s="588" t="n"/>
      <c r="AR1076" s="588" t="n"/>
      <c r="AS1076" s="588" t="n"/>
      <c r="AT1076" s="588" t="n"/>
      <c r="AU1076" s="588" t="n"/>
      <c r="AV1076" s="588" t="n"/>
      <c r="AW1076" s="588" t="n"/>
      <c r="AX1076" s="588" t="n"/>
      <c r="AY1076" s="588" t="n"/>
      <c r="AZ1076" s="588" t="n"/>
      <c r="BA1076" s="588" t="n"/>
      <c r="BB1076" s="588" t="n"/>
      <c r="BC1076" s="588" t="n"/>
      <c r="BD1076" s="588" t="n"/>
      <c r="BE1076" s="588" t="n"/>
      <c r="BF1076" s="588" t="n"/>
      <c r="BG1076" s="588" t="n"/>
      <c r="BH1076" s="588" t="n"/>
      <c r="BI1076" s="588" t="n"/>
      <c r="BJ1076" s="588" t="n"/>
      <c r="BK1076" s="588" t="n"/>
      <c r="BL1076" s="588" t="n"/>
      <c r="BM1076" s="588" t="n"/>
      <c r="BN1076" s="588" t="n"/>
      <c r="BO1076" s="588" t="n"/>
      <c r="BP1076" s="588" t="n"/>
      <c r="BQ1076" s="588" t="n"/>
      <c r="BR1076" s="588" t="n"/>
      <c r="BS1076" s="588" t="n"/>
      <c r="BT1076" s="588" t="n"/>
      <c r="BU1076" s="588" t="n"/>
      <c r="BV1076" s="588" t="n"/>
      <c r="BW1076" s="588" t="n"/>
      <c r="BX1076" s="588" t="n"/>
      <c r="BY1076" s="588" t="n"/>
      <c r="BZ1076" s="588" t="n"/>
      <c r="CA1076" s="588" t="n"/>
      <c r="CB1076" s="588" t="n"/>
      <c r="CC1076" s="588" t="n"/>
      <c r="CD1076" s="588" t="n"/>
      <c r="CE1076" s="588" t="n"/>
      <c r="CF1076" s="588" t="n"/>
      <c r="CG1076" s="588" t="n"/>
      <c r="CH1076" s="588" t="n"/>
      <c r="CI1076" s="588" t="n"/>
      <c r="CJ1076" s="588" t="n"/>
      <c r="CK1076" s="588" t="n"/>
      <c r="CL1076" s="588" t="n"/>
      <c r="CM1076" s="588" t="n"/>
      <c r="CN1076" s="588" t="n"/>
      <c r="CO1076" s="588" t="n"/>
      <c r="CP1076" s="588" t="n"/>
      <c r="CQ1076" s="588" t="n"/>
      <c r="CR1076" s="588" t="n"/>
      <c r="CS1076" s="588" t="n"/>
      <c r="CT1076" s="588" t="n"/>
      <c r="CU1076" s="588" t="n"/>
      <c r="CV1076" s="588" t="n"/>
      <c r="CW1076" s="588" t="n"/>
      <c r="CX1076" s="588" t="n"/>
      <c r="CY1076" s="588" t="n"/>
      <c r="CZ1076" s="588" t="n"/>
      <c r="DA1076" s="588" t="n"/>
      <c r="DB1076" s="588" t="n"/>
      <c r="DC1076" s="588" t="n"/>
      <c r="DD1076" s="588" t="n"/>
      <c r="DE1076" s="588" t="n"/>
      <c r="DF1076" s="588" t="n"/>
      <c r="DG1076" s="588" t="n"/>
      <c r="DH1076" s="588" t="n"/>
      <c r="DI1076" s="588" t="n"/>
      <c r="DJ1076" s="588" t="n"/>
      <c r="DK1076" s="588" t="n"/>
      <c r="DL1076" s="588" t="n"/>
      <c r="DM1076" s="588" t="n"/>
      <c r="DN1076" s="588" t="n"/>
      <c r="DO1076" s="588" t="n"/>
      <c r="DP1076" s="588" t="n"/>
      <c r="DQ1076" s="588" t="n"/>
      <c r="DR1076" s="588" t="n"/>
      <c r="DS1076" s="588" t="n"/>
      <c r="DT1076" s="588" t="n"/>
      <c r="DU1076" s="588" t="n"/>
    </row>
    <row r="1077">
      <c r="A1077" s="737" t="n"/>
      <c r="B1077" s="737" t="n"/>
      <c r="C1077" s="737" t="n"/>
      <c r="D1077" s="737" t="n"/>
      <c r="E1077" s="737" t="n"/>
      <c r="F1077" s="737" t="n"/>
      <c r="G1077" s="737" t="n"/>
      <c r="H1077" s="737" t="n"/>
      <c r="I1077" s="737" t="n"/>
      <c r="J1077" s="737" t="n"/>
      <c r="K1077" s="737" t="n"/>
      <c r="L1077" s="737" t="n"/>
      <c r="M1077" s="737" t="n"/>
      <c r="N1077" s="737" t="n"/>
      <c r="O1077" s="737" t="n"/>
      <c r="P1077" s="737" t="n"/>
      <c r="Q1077" s="737" t="n"/>
      <c r="R1077" s="737" t="n"/>
      <c r="S1077" s="737" t="n"/>
      <c r="T1077" s="737" t="n"/>
      <c r="U1077" s="737" t="n"/>
      <c r="V1077" s="737" t="n"/>
      <c r="W1077" s="737" t="n"/>
      <c r="X1077" s="737" t="n"/>
      <c r="Y1077" s="737" t="n"/>
      <c r="Z1077" s="737" t="n"/>
      <c r="AA1077" s="737" t="n"/>
      <c r="AB1077" s="737" t="n"/>
      <c r="AC1077" s="737" t="n"/>
      <c r="AD1077" s="737" t="n"/>
      <c r="AE1077" s="737" t="n"/>
      <c r="AF1077" s="737" t="n"/>
      <c r="AG1077" s="737" t="n"/>
      <c r="AH1077" s="737" t="n"/>
      <c r="AI1077" s="737" t="n"/>
      <c r="AJ1077" s="737" t="n"/>
      <c r="AK1077" s="588" t="n"/>
      <c r="AL1077" s="588" t="n"/>
      <c r="AM1077" s="588" t="n"/>
      <c r="AN1077" s="588" t="n"/>
      <c r="AO1077" s="588" t="n"/>
      <c r="AP1077" s="588" t="n"/>
      <c r="AQ1077" s="588" t="n"/>
      <c r="AR1077" s="588" t="n"/>
      <c r="AS1077" s="588" t="n"/>
      <c r="AT1077" s="588" t="n"/>
      <c r="AU1077" s="588" t="n"/>
      <c r="AV1077" s="588" t="n"/>
      <c r="AW1077" s="588" t="n"/>
      <c r="AX1077" s="588" t="n"/>
      <c r="AY1077" s="588" t="n"/>
      <c r="AZ1077" s="588" t="n"/>
      <c r="BA1077" s="588" t="n"/>
      <c r="BB1077" s="588" t="n"/>
      <c r="BC1077" s="588" t="n"/>
      <c r="BD1077" s="588" t="n"/>
      <c r="BE1077" s="588" t="n"/>
      <c r="BF1077" s="588" t="n"/>
      <c r="BG1077" s="588" t="n"/>
      <c r="BH1077" s="588" t="n"/>
      <c r="BI1077" s="588" t="n"/>
      <c r="BJ1077" s="588" t="n"/>
      <c r="BK1077" s="588" t="n"/>
      <c r="BL1077" s="588" t="n"/>
      <c r="BM1077" s="588" t="n"/>
      <c r="BN1077" s="588" t="n"/>
      <c r="BO1077" s="588" t="n"/>
      <c r="BP1077" s="588" t="n"/>
      <c r="BQ1077" s="588" t="n"/>
      <c r="BR1077" s="588" t="n"/>
      <c r="BS1077" s="588" t="n"/>
      <c r="BT1077" s="588" t="n"/>
      <c r="BU1077" s="588" t="n"/>
      <c r="BV1077" s="588" t="n"/>
      <c r="BW1077" s="588" t="n"/>
      <c r="BX1077" s="588" t="n"/>
      <c r="BY1077" s="588" t="n"/>
      <c r="BZ1077" s="588" t="n"/>
      <c r="CA1077" s="588" t="n"/>
      <c r="CB1077" s="588" t="n"/>
      <c r="CC1077" s="588" t="n"/>
      <c r="CD1077" s="588" t="n"/>
      <c r="CE1077" s="588" t="n"/>
      <c r="CF1077" s="588" t="n"/>
      <c r="CG1077" s="588" t="n"/>
      <c r="CH1077" s="588" t="n"/>
      <c r="CI1077" s="588" t="n"/>
      <c r="CJ1077" s="588" t="n"/>
      <c r="CK1077" s="588" t="n"/>
      <c r="CL1077" s="588" t="n"/>
      <c r="CM1077" s="588" t="n"/>
      <c r="CN1077" s="588" t="n"/>
      <c r="CO1077" s="588" t="n"/>
      <c r="CP1077" s="588" t="n"/>
      <c r="CQ1077" s="588" t="n"/>
      <c r="CR1077" s="588" t="n"/>
      <c r="CS1077" s="588" t="n"/>
      <c r="CT1077" s="588" t="n"/>
      <c r="CU1077" s="588" t="n"/>
      <c r="CV1077" s="588" t="n"/>
      <c r="CW1077" s="588" t="n"/>
      <c r="CX1077" s="588" t="n"/>
      <c r="CY1077" s="588" t="n"/>
      <c r="CZ1077" s="588" t="n"/>
      <c r="DA1077" s="588" t="n"/>
      <c r="DB1077" s="588" t="n"/>
      <c r="DC1077" s="588" t="n"/>
      <c r="DD1077" s="588" t="n"/>
      <c r="DE1077" s="588" t="n"/>
      <c r="DF1077" s="588" t="n"/>
      <c r="DG1077" s="588" t="n"/>
      <c r="DH1077" s="588" t="n"/>
      <c r="DI1077" s="588" t="n"/>
      <c r="DJ1077" s="588" t="n"/>
      <c r="DK1077" s="588" t="n"/>
      <c r="DL1077" s="588" t="n"/>
      <c r="DM1077" s="588" t="n"/>
      <c r="DN1077" s="588" t="n"/>
      <c r="DO1077" s="588" t="n"/>
      <c r="DP1077" s="588" t="n"/>
      <c r="DQ1077" s="588" t="n"/>
      <c r="DR1077" s="588" t="n"/>
      <c r="DS1077" s="588" t="n"/>
      <c r="DT1077" s="588" t="n"/>
      <c r="DU1077" s="588" t="n"/>
    </row>
    <row r="1078">
      <c r="A1078" s="737" t="n"/>
      <c r="B1078" s="737" t="n"/>
      <c r="C1078" s="737" t="n"/>
      <c r="D1078" s="737" t="n"/>
      <c r="E1078" s="737" t="n"/>
      <c r="F1078" s="737" t="n"/>
      <c r="G1078" s="737" t="n"/>
      <c r="H1078" s="737" t="n"/>
      <c r="I1078" s="737" t="n"/>
      <c r="J1078" s="737" t="n"/>
      <c r="K1078" s="737" t="n"/>
      <c r="L1078" s="737" t="n"/>
      <c r="M1078" s="737" t="n"/>
      <c r="N1078" s="737" t="n"/>
      <c r="O1078" s="737" t="n"/>
      <c r="P1078" s="737" t="n"/>
      <c r="Q1078" s="737" t="n"/>
      <c r="R1078" s="737" t="n"/>
      <c r="S1078" s="737" t="n"/>
      <c r="T1078" s="737" t="n"/>
      <c r="U1078" s="737" t="n"/>
      <c r="V1078" s="737" t="n"/>
      <c r="W1078" s="737" t="n"/>
      <c r="X1078" s="737" t="n"/>
      <c r="Y1078" s="737" t="n"/>
      <c r="Z1078" s="737" t="n"/>
      <c r="AA1078" s="737" t="n"/>
      <c r="AB1078" s="737" t="n"/>
      <c r="AC1078" s="737" t="n"/>
      <c r="AD1078" s="737" t="n"/>
      <c r="AE1078" s="737" t="n"/>
      <c r="AF1078" s="737" t="n"/>
      <c r="AG1078" s="737" t="n"/>
      <c r="AH1078" s="737" t="n"/>
      <c r="AI1078" s="737" t="n"/>
      <c r="AJ1078" s="737" t="n"/>
      <c r="AK1078" s="588" t="n"/>
      <c r="AL1078" s="588" t="n"/>
      <c r="AM1078" s="588" t="n"/>
      <c r="AN1078" s="588" t="n"/>
      <c r="AO1078" s="588" t="n"/>
      <c r="AP1078" s="588" t="n"/>
      <c r="AQ1078" s="588" t="n"/>
      <c r="AR1078" s="588" t="n"/>
      <c r="AS1078" s="588" t="n"/>
      <c r="AT1078" s="588" t="n"/>
      <c r="AU1078" s="588" t="n"/>
      <c r="AV1078" s="588" t="n"/>
      <c r="AW1078" s="588" t="n"/>
      <c r="AX1078" s="588" t="n"/>
      <c r="AY1078" s="588" t="n"/>
      <c r="AZ1078" s="588" t="n"/>
      <c r="BA1078" s="588" t="n"/>
      <c r="BB1078" s="588" t="n"/>
      <c r="BC1078" s="588" t="n"/>
      <c r="BD1078" s="588" t="n"/>
      <c r="BE1078" s="588" t="n"/>
      <c r="BF1078" s="588" t="n"/>
      <c r="BG1078" s="588" t="n"/>
      <c r="BH1078" s="588" t="n"/>
      <c r="BI1078" s="588" t="n"/>
      <c r="BJ1078" s="588" t="n"/>
      <c r="BK1078" s="588" t="n"/>
      <c r="BL1078" s="588" t="n"/>
      <c r="BM1078" s="588" t="n"/>
      <c r="BN1078" s="588" t="n"/>
      <c r="BO1078" s="588" t="n"/>
      <c r="BP1078" s="588" t="n"/>
      <c r="BQ1078" s="588" t="n"/>
      <c r="BR1078" s="588" t="n"/>
      <c r="BS1078" s="588" t="n"/>
      <c r="BT1078" s="588" t="n"/>
      <c r="BU1078" s="588" t="n"/>
      <c r="BV1078" s="588" t="n"/>
      <c r="BW1078" s="588" t="n"/>
      <c r="BX1078" s="588" t="n"/>
      <c r="BY1078" s="588" t="n"/>
      <c r="BZ1078" s="588" t="n"/>
      <c r="CA1078" s="588" t="n"/>
      <c r="CB1078" s="588" t="n"/>
      <c r="CC1078" s="588" t="n"/>
      <c r="CD1078" s="588" t="n"/>
      <c r="CE1078" s="588" t="n"/>
      <c r="CF1078" s="588" t="n"/>
      <c r="CG1078" s="588" t="n"/>
      <c r="CH1078" s="588" t="n"/>
      <c r="CI1078" s="588" t="n"/>
      <c r="CJ1078" s="588" t="n"/>
      <c r="CK1078" s="588" t="n"/>
      <c r="CL1078" s="588" t="n"/>
      <c r="CM1078" s="588" t="n"/>
      <c r="CN1078" s="588" t="n"/>
      <c r="CO1078" s="588" t="n"/>
      <c r="CP1078" s="588" t="n"/>
      <c r="CQ1078" s="588" t="n"/>
      <c r="CR1078" s="588" t="n"/>
      <c r="CS1078" s="588" t="n"/>
      <c r="CT1078" s="588" t="n"/>
      <c r="CU1078" s="588" t="n"/>
      <c r="CV1078" s="588" t="n"/>
      <c r="CW1078" s="588" t="n"/>
      <c r="CX1078" s="588" t="n"/>
      <c r="CY1078" s="588" t="n"/>
      <c r="CZ1078" s="588" t="n"/>
      <c r="DA1078" s="588" t="n"/>
      <c r="DB1078" s="588" t="n"/>
      <c r="DC1078" s="588" t="n"/>
      <c r="DD1078" s="588" t="n"/>
      <c r="DE1078" s="588" t="n"/>
      <c r="DF1078" s="588" t="n"/>
      <c r="DG1078" s="588" t="n"/>
      <c r="DH1078" s="588" t="n"/>
      <c r="DI1078" s="588" t="n"/>
      <c r="DJ1078" s="588" t="n"/>
      <c r="DK1078" s="588" t="n"/>
      <c r="DL1078" s="588" t="n"/>
      <c r="DM1078" s="588" t="n"/>
      <c r="DN1078" s="588" t="n"/>
      <c r="DO1078" s="588" t="n"/>
      <c r="DP1078" s="588" t="n"/>
      <c r="DQ1078" s="588" t="n"/>
      <c r="DR1078" s="588" t="n"/>
      <c r="DS1078" s="588" t="n"/>
      <c r="DT1078" s="588" t="n"/>
      <c r="DU1078" s="588" t="n"/>
    </row>
    <row r="1079">
      <c r="A1079" s="737" t="n"/>
      <c r="B1079" s="737" t="n"/>
      <c r="C1079" s="737" t="n"/>
      <c r="D1079" s="737" t="n"/>
      <c r="E1079" s="737" t="n"/>
      <c r="F1079" s="737" t="n"/>
      <c r="G1079" s="737" t="n"/>
      <c r="H1079" s="737" t="n"/>
      <c r="I1079" s="737" t="n"/>
      <c r="J1079" s="737" t="n"/>
      <c r="K1079" s="737" t="n"/>
      <c r="L1079" s="737" t="n"/>
      <c r="M1079" s="737" t="n"/>
      <c r="N1079" s="737" t="n"/>
      <c r="O1079" s="737" t="n"/>
      <c r="P1079" s="737" t="n"/>
      <c r="Q1079" s="737" t="n"/>
      <c r="R1079" s="737" t="n"/>
      <c r="S1079" s="737" t="n"/>
      <c r="T1079" s="737" t="n"/>
      <c r="U1079" s="737" t="n"/>
      <c r="V1079" s="737" t="n"/>
      <c r="W1079" s="737" t="n"/>
      <c r="X1079" s="737" t="n"/>
      <c r="Y1079" s="737" t="n"/>
      <c r="Z1079" s="737" t="n"/>
      <c r="AA1079" s="737" t="n"/>
      <c r="AB1079" s="737" t="n"/>
      <c r="AC1079" s="737" t="n"/>
      <c r="AD1079" s="737" t="n"/>
      <c r="AE1079" s="737" t="n"/>
      <c r="AF1079" s="737" t="n"/>
      <c r="AG1079" s="737" t="n"/>
      <c r="AH1079" s="737" t="n"/>
      <c r="AI1079" s="737" t="n"/>
      <c r="AJ1079" s="737" t="n"/>
      <c r="AK1079" s="588" t="n"/>
      <c r="AL1079" s="588" t="n"/>
      <c r="AM1079" s="588" t="n"/>
      <c r="AN1079" s="588" t="n"/>
      <c r="AO1079" s="588" t="n"/>
      <c r="AP1079" s="588" t="n"/>
      <c r="AQ1079" s="588" t="n"/>
      <c r="AR1079" s="588" t="n"/>
      <c r="AS1079" s="588" t="n"/>
      <c r="AT1079" s="588" t="n"/>
      <c r="AU1079" s="588" t="n"/>
      <c r="AV1079" s="588" t="n"/>
      <c r="AW1079" s="588" t="n"/>
      <c r="AX1079" s="588" t="n"/>
      <c r="AY1079" s="588" t="n"/>
      <c r="AZ1079" s="588" t="n"/>
      <c r="BA1079" s="588" t="n"/>
      <c r="BB1079" s="588" t="n"/>
      <c r="BC1079" s="588" t="n"/>
      <c r="BD1079" s="588" t="n"/>
      <c r="BE1079" s="588" t="n"/>
      <c r="BF1079" s="588" t="n"/>
      <c r="BG1079" s="588" t="n"/>
      <c r="BH1079" s="588" t="n"/>
      <c r="BI1079" s="588" t="n"/>
      <c r="BJ1079" s="588" t="n"/>
      <c r="BK1079" s="588" t="n"/>
      <c r="BL1079" s="588" t="n"/>
      <c r="BM1079" s="588" t="n"/>
      <c r="BN1079" s="588" t="n"/>
      <c r="BO1079" s="588" t="n"/>
      <c r="BP1079" s="588" t="n"/>
      <c r="BQ1079" s="588" t="n"/>
      <c r="BR1079" s="588" t="n"/>
      <c r="BS1079" s="588" t="n"/>
      <c r="BT1079" s="588" t="n"/>
      <c r="BU1079" s="588" t="n"/>
      <c r="BV1079" s="588" t="n"/>
      <c r="BW1079" s="588" t="n"/>
      <c r="BX1079" s="588" t="n"/>
      <c r="BY1079" s="588" t="n"/>
      <c r="BZ1079" s="588" t="n"/>
      <c r="CA1079" s="588" t="n"/>
      <c r="CB1079" s="588" t="n"/>
      <c r="CC1079" s="588" t="n"/>
      <c r="CD1079" s="588" t="n"/>
      <c r="CE1079" s="588" t="n"/>
      <c r="CF1079" s="588" t="n"/>
      <c r="CG1079" s="588" t="n"/>
      <c r="CH1079" s="588" t="n"/>
      <c r="CI1079" s="588" t="n"/>
      <c r="CJ1079" s="588" t="n"/>
      <c r="CK1079" s="588" t="n"/>
      <c r="CL1079" s="588" t="n"/>
      <c r="CM1079" s="588" t="n"/>
      <c r="CN1079" s="588" t="n"/>
      <c r="CO1079" s="588" t="n"/>
      <c r="CP1079" s="588" t="n"/>
      <c r="CQ1079" s="588" t="n"/>
      <c r="CR1079" s="588" t="n"/>
      <c r="CS1079" s="588" t="n"/>
      <c r="CT1079" s="588" t="n"/>
      <c r="CU1079" s="588" t="n"/>
      <c r="CV1079" s="588" t="n"/>
      <c r="CW1079" s="588" t="n"/>
      <c r="CX1079" s="588" t="n"/>
      <c r="CY1079" s="588" t="n"/>
      <c r="CZ1079" s="588" t="n"/>
      <c r="DA1079" s="588" t="n"/>
      <c r="DB1079" s="588" t="n"/>
      <c r="DC1079" s="588" t="n"/>
      <c r="DD1079" s="588" t="n"/>
      <c r="DE1079" s="588" t="n"/>
      <c r="DF1079" s="588" t="n"/>
      <c r="DG1079" s="588" t="n"/>
      <c r="DH1079" s="588" t="n"/>
      <c r="DI1079" s="588" t="n"/>
      <c r="DJ1079" s="588" t="n"/>
      <c r="DK1079" s="588" t="n"/>
      <c r="DL1079" s="588" t="n"/>
      <c r="DM1079" s="588" t="n"/>
      <c r="DN1079" s="588" t="n"/>
      <c r="DO1079" s="588" t="n"/>
      <c r="DP1079" s="588" t="n"/>
      <c r="DQ1079" s="588" t="n"/>
      <c r="DR1079" s="588" t="n"/>
      <c r="DS1079" s="588" t="n"/>
      <c r="DT1079" s="588" t="n"/>
      <c r="DU1079" s="588" t="n"/>
    </row>
    <row r="1080">
      <c r="A1080" s="737" t="n"/>
      <c r="B1080" s="737" t="n"/>
      <c r="C1080" s="737" t="n"/>
      <c r="D1080" s="737" t="n"/>
      <c r="E1080" s="737" t="n"/>
      <c r="F1080" s="737" t="n"/>
      <c r="G1080" s="737" t="n"/>
      <c r="H1080" s="737" t="n"/>
      <c r="I1080" s="737" t="n"/>
      <c r="J1080" s="737" t="n"/>
      <c r="K1080" s="737" t="n"/>
      <c r="L1080" s="737" t="n"/>
      <c r="M1080" s="737" t="n"/>
      <c r="N1080" s="737" t="n"/>
      <c r="O1080" s="737" t="n"/>
      <c r="P1080" s="737" t="n"/>
      <c r="Q1080" s="737" t="n"/>
      <c r="R1080" s="737" t="n"/>
      <c r="S1080" s="737" t="n"/>
      <c r="T1080" s="737" t="n"/>
      <c r="U1080" s="737" t="n"/>
      <c r="V1080" s="737" t="n"/>
      <c r="W1080" s="737" t="n"/>
      <c r="X1080" s="737" t="n"/>
      <c r="Y1080" s="737" t="n"/>
      <c r="Z1080" s="737" t="n"/>
      <c r="AA1080" s="737" t="n"/>
      <c r="AB1080" s="737" t="n"/>
      <c r="AC1080" s="737" t="n"/>
      <c r="AD1080" s="737" t="n"/>
      <c r="AE1080" s="737" t="n"/>
      <c r="AF1080" s="737" t="n"/>
      <c r="AG1080" s="737" t="n"/>
      <c r="AH1080" s="737" t="n"/>
      <c r="AI1080" s="737" t="n"/>
      <c r="AJ1080" s="737" t="n"/>
      <c r="AK1080" s="588" t="n"/>
      <c r="AL1080" s="588" t="n"/>
      <c r="AM1080" s="588" t="n"/>
      <c r="AN1080" s="588" t="n"/>
      <c r="AO1080" s="588" t="n"/>
      <c r="AP1080" s="588" t="n"/>
      <c r="AQ1080" s="588" t="n"/>
      <c r="AR1080" s="588" t="n"/>
      <c r="AS1080" s="588" t="n"/>
      <c r="AT1080" s="588" t="n"/>
      <c r="AU1080" s="588" t="n"/>
      <c r="AV1080" s="588" t="n"/>
      <c r="AW1080" s="588" t="n"/>
      <c r="AX1080" s="588" t="n"/>
      <c r="AY1080" s="588" t="n"/>
      <c r="AZ1080" s="588" t="n"/>
      <c r="BA1080" s="588" t="n"/>
      <c r="BB1080" s="588" t="n"/>
      <c r="BC1080" s="588" t="n"/>
      <c r="BD1080" s="588" t="n"/>
      <c r="BE1080" s="588" t="n"/>
      <c r="BF1080" s="588" t="n"/>
      <c r="BG1080" s="588" t="n"/>
      <c r="BH1080" s="588" t="n"/>
      <c r="BI1080" s="588" t="n"/>
      <c r="BJ1080" s="588" t="n"/>
      <c r="BK1080" s="588" t="n"/>
      <c r="BL1080" s="588" t="n"/>
      <c r="BM1080" s="588" t="n"/>
      <c r="BN1080" s="588" t="n"/>
      <c r="BO1080" s="588" t="n"/>
      <c r="BP1080" s="588" t="n"/>
      <c r="BQ1080" s="588" t="n"/>
      <c r="BR1080" s="588" t="n"/>
      <c r="BS1080" s="588" t="n"/>
      <c r="BT1080" s="588" t="n"/>
      <c r="BU1080" s="588" t="n"/>
      <c r="BV1080" s="588" t="n"/>
      <c r="BW1080" s="588" t="n"/>
      <c r="BX1080" s="588" t="n"/>
      <c r="BY1080" s="588" t="n"/>
      <c r="BZ1080" s="588" t="n"/>
      <c r="CA1080" s="588" t="n"/>
      <c r="CB1080" s="588" t="n"/>
      <c r="CC1080" s="588" t="n"/>
      <c r="CD1080" s="588" t="n"/>
      <c r="CE1080" s="588" t="n"/>
      <c r="CF1080" s="588" t="n"/>
      <c r="CG1080" s="588" t="n"/>
      <c r="CH1080" s="588" t="n"/>
      <c r="CI1080" s="588" t="n"/>
      <c r="CJ1080" s="588" t="n"/>
      <c r="CK1080" s="588" t="n"/>
      <c r="CL1080" s="588" t="n"/>
      <c r="CM1080" s="588" t="n"/>
      <c r="CN1080" s="588" t="n"/>
      <c r="CO1080" s="588" t="n"/>
      <c r="CP1080" s="588" t="n"/>
      <c r="CQ1080" s="588" t="n"/>
      <c r="CR1080" s="588" t="n"/>
      <c r="CS1080" s="588" t="n"/>
      <c r="CT1080" s="588" t="n"/>
      <c r="CU1080" s="588" t="n"/>
      <c r="CV1080" s="588" t="n"/>
      <c r="CW1080" s="588" t="n"/>
      <c r="CX1080" s="588" t="n"/>
      <c r="CY1080" s="588" t="n"/>
      <c r="CZ1080" s="588" t="n"/>
      <c r="DA1080" s="588" t="n"/>
      <c r="DB1080" s="588" t="n"/>
      <c r="DC1080" s="588" t="n"/>
      <c r="DD1080" s="588" t="n"/>
      <c r="DE1080" s="588" t="n"/>
      <c r="DF1080" s="588" t="n"/>
      <c r="DG1080" s="588" t="n"/>
      <c r="DH1080" s="588" t="n"/>
      <c r="DI1080" s="588" t="n"/>
      <c r="DJ1080" s="588" t="n"/>
      <c r="DK1080" s="588" t="n"/>
      <c r="DL1080" s="588" t="n"/>
      <c r="DM1080" s="588" t="n"/>
      <c r="DN1080" s="588" t="n"/>
      <c r="DO1080" s="588" t="n"/>
      <c r="DP1080" s="588" t="n"/>
      <c r="DQ1080" s="588" t="n"/>
      <c r="DR1080" s="588" t="n"/>
      <c r="DS1080" s="588" t="n"/>
      <c r="DT1080" s="588" t="n"/>
      <c r="DU1080" s="588" t="n"/>
    </row>
    <row r="1081">
      <c r="A1081" s="737" t="n"/>
      <c r="B1081" s="737" t="n"/>
      <c r="C1081" s="737" t="n"/>
      <c r="D1081" s="737" t="n"/>
      <c r="E1081" s="737" t="n"/>
      <c r="F1081" s="737" t="n"/>
      <c r="G1081" s="737" t="n"/>
      <c r="H1081" s="737" t="n"/>
      <c r="I1081" s="737" t="n"/>
      <c r="J1081" s="737" t="n"/>
      <c r="K1081" s="737" t="n"/>
      <c r="L1081" s="737" t="n"/>
      <c r="M1081" s="737" t="n"/>
      <c r="N1081" s="737" t="n"/>
      <c r="O1081" s="737" t="n"/>
      <c r="P1081" s="737" t="n"/>
      <c r="Q1081" s="737" t="n"/>
      <c r="R1081" s="737" t="n"/>
      <c r="S1081" s="737" t="n"/>
      <c r="T1081" s="737" t="n"/>
      <c r="U1081" s="737" t="n"/>
      <c r="V1081" s="737" t="n"/>
      <c r="W1081" s="737" t="n"/>
      <c r="X1081" s="737" t="n"/>
      <c r="Y1081" s="737" t="n"/>
      <c r="Z1081" s="737" t="n"/>
      <c r="AA1081" s="737" t="n"/>
      <c r="AB1081" s="737" t="n"/>
      <c r="AC1081" s="737" t="n"/>
      <c r="AD1081" s="737" t="n"/>
      <c r="AE1081" s="737" t="n"/>
      <c r="AF1081" s="737" t="n"/>
      <c r="AG1081" s="737" t="n"/>
      <c r="AH1081" s="737" t="n"/>
      <c r="AI1081" s="737" t="n"/>
      <c r="AJ1081" s="737" t="n"/>
      <c r="AK1081" s="588" t="n"/>
      <c r="AL1081" s="588" t="n"/>
      <c r="AM1081" s="588" t="n"/>
      <c r="AN1081" s="588" t="n"/>
      <c r="AO1081" s="588" t="n"/>
      <c r="AP1081" s="588" t="n"/>
      <c r="AQ1081" s="588" t="n"/>
      <c r="AR1081" s="588" t="n"/>
      <c r="AS1081" s="588" t="n"/>
      <c r="AT1081" s="588" t="n"/>
      <c r="AU1081" s="588" t="n"/>
      <c r="AV1081" s="588" t="n"/>
      <c r="AW1081" s="588" t="n"/>
      <c r="AX1081" s="588" t="n"/>
      <c r="AY1081" s="588" t="n"/>
      <c r="AZ1081" s="588" t="n"/>
      <c r="BA1081" s="588" t="n"/>
      <c r="BB1081" s="588" t="n"/>
      <c r="BC1081" s="588" t="n"/>
      <c r="BD1081" s="588" t="n"/>
      <c r="BE1081" s="588" t="n"/>
      <c r="BF1081" s="588" t="n"/>
      <c r="BG1081" s="588" t="n"/>
      <c r="BH1081" s="588" t="n"/>
      <c r="BI1081" s="588" t="n"/>
      <c r="BJ1081" s="588" t="n"/>
      <c r="BK1081" s="588" t="n"/>
      <c r="BL1081" s="588" t="n"/>
      <c r="BM1081" s="588" t="n"/>
      <c r="BN1081" s="588" t="n"/>
      <c r="BO1081" s="588" t="n"/>
      <c r="BP1081" s="588" t="n"/>
      <c r="BQ1081" s="588" t="n"/>
      <c r="BR1081" s="588" t="n"/>
      <c r="BS1081" s="588" t="n"/>
      <c r="BT1081" s="588" t="n"/>
      <c r="BU1081" s="588" t="n"/>
      <c r="BV1081" s="588" t="n"/>
      <c r="BW1081" s="588" t="n"/>
      <c r="BX1081" s="588" t="n"/>
      <c r="BY1081" s="588" t="n"/>
      <c r="BZ1081" s="588" t="n"/>
      <c r="CA1081" s="588" t="n"/>
      <c r="CB1081" s="588" t="n"/>
      <c r="CC1081" s="588" t="n"/>
      <c r="CD1081" s="588" t="n"/>
      <c r="CE1081" s="588" t="n"/>
      <c r="CF1081" s="588" t="n"/>
      <c r="CG1081" s="588" t="n"/>
      <c r="CH1081" s="588" t="n"/>
      <c r="CI1081" s="588" t="n"/>
      <c r="CJ1081" s="588" t="n"/>
      <c r="CK1081" s="588" t="n"/>
      <c r="CL1081" s="588" t="n"/>
      <c r="CM1081" s="588" t="n"/>
      <c r="CN1081" s="588" t="n"/>
      <c r="CO1081" s="588" t="n"/>
      <c r="CP1081" s="588" t="n"/>
      <c r="CQ1081" s="588" t="n"/>
      <c r="CR1081" s="588" t="n"/>
      <c r="CS1081" s="588" t="n"/>
      <c r="CT1081" s="588" t="n"/>
      <c r="CU1081" s="588" t="n"/>
      <c r="CV1081" s="588" t="n"/>
      <c r="CW1081" s="588" t="n"/>
      <c r="CX1081" s="588" t="n"/>
      <c r="CY1081" s="588" t="n"/>
      <c r="CZ1081" s="588" t="n"/>
      <c r="DA1081" s="588" t="n"/>
      <c r="DB1081" s="588" t="n"/>
      <c r="DC1081" s="588" t="n"/>
      <c r="DD1081" s="588" t="n"/>
      <c r="DE1081" s="588" t="n"/>
      <c r="DF1081" s="588" t="n"/>
      <c r="DG1081" s="588" t="n"/>
      <c r="DH1081" s="588" t="n"/>
      <c r="DI1081" s="588" t="n"/>
      <c r="DJ1081" s="588" t="n"/>
      <c r="DK1081" s="588" t="n"/>
      <c r="DL1081" s="588" t="n"/>
      <c r="DM1081" s="588" t="n"/>
      <c r="DN1081" s="588" t="n"/>
      <c r="DO1081" s="588" t="n"/>
      <c r="DP1081" s="588" t="n"/>
      <c r="DQ1081" s="588" t="n"/>
      <c r="DR1081" s="588" t="n"/>
      <c r="DS1081" s="588" t="n"/>
      <c r="DT1081" s="588" t="n"/>
      <c r="DU1081" s="588" t="n"/>
    </row>
    <row r="1082">
      <c r="A1082" s="737" t="n"/>
      <c r="B1082" s="737" t="n"/>
      <c r="C1082" s="737" t="n"/>
      <c r="D1082" s="737" t="n"/>
      <c r="E1082" s="737" t="n"/>
      <c r="F1082" s="737" t="n"/>
      <c r="G1082" s="737" t="n"/>
      <c r="H1082" s="737" t="n"/>
      <c r="I1082" s="737" t="n"/>
      <c r="J1082" s="737" t="n"/>
      <c r="K1082" s="737" t="n"/>
      <c r="L1082" s="737" t="n"/>
      <c r="M1082" s="737" t="n"/>
      <c r="N1082" s="737" t="n"/>
      <c r="O1082" s="737" t="n"/>
      <c r="P1082" s="737" t="n"/>
      <c r="Q1082" s="737" t="n"/>
      <c r="R1082" s="737" t="n"/>
      <c r="S1082" s="737" t="n"/>
      <c r="T1082" s="737" t="n"/>
      <c r="U1082" s="737" t="n"/>
      <c r="V1082" s="737" t="n"/>
      <c r="W1082" s="737" t="n"/>
      <c r="X1082" s="737" t="n"/>
      <c r="Y1082" s="737" t="n"/>
      <c r="Z1082" s="737" t="n"/>
      <c r="AA1082" s="737" t="n"/>
      <c r="AB1082" s="737" t="n"/>
      <c r="AC1082" s="737" t="n"/>
      <c r="AD1082" s="737" t="n"/>
      <c r="AE1082" s="737" t="n"/>
      <c r="AF1082" s="737" t="n"/>
      <c r="AG1082" s="737" t="n"/>
      <c r="AH1082" s="737" t="n"/>
      <c r="AI1082" s="737" t="n"/>
      <c r="AJ1082" s="737" t="n"/>
      <c r="AK1082" s="588" t="n"/>
      <c r="AL1082" s="588" t="n"/>
      <c r="AM1082" s="588" t="n"/>
      <c r="AN1082" s="588" t="n"/>
      <c r="AO1082" s="588" t="n"/>
      <c r="AP1082" s="588" t="n"/>
      <c r="AQ1082" s="588" t="n"/>
      <c r="AR1082" s="588" t="n"/>
      <c r="AS1082" s="588" t="n"/>
      <c r="AT1082" s="588" t="n"/>
      <c r="AU1082" s="588" t="n"/>
      <c r="AV1082" s="588" t="n"/>
      <c r="AW1082" s="588" t="n"/>
      <c r="AX1082" s="588" t="n"/>
      <c r="AY1082" s="588" t="n"/>
      <c r="AZ1082" s="588" t="n"/>
      <c r="BA1082" s="588" t="n"/>
      <c r="BB1082" s="588" t="n"/>
      <c r="BC1082" s="588" t="n"/>
      <c r="BD1082" s="588" t="n"/>
      <c r="BE1082" s="588" t="n"/>
      <c r="BF1082" s="588" t="n"/>
      <c r="BG1082" s="588" t="n"/>
      <c r="BH1082" s="588" t="n"/>
      <c r="BI1082" s="588" t="n"/>
      <c r="BJ1082" s="588" t="n"/>
      <c r="BK1082" s="588" t="n"/>
      <c r="BL1082" s="588" t="n"/>
      <c r="BM1082" s="588" t="n"/>
      <c r="BN1082" s="588" t="n"/>
      <c r="BO1082" s="588" t="n"/>
      <c r="BP1082" s="588" t="n"/>
      <c r="BQ1082" s="588" t="n"/>
      <c r="BR1082" s="588" t="n"/>
      <c r="BS1082" s="588" t="n"/>
      <c r="BT1082" s="588" t="n"/>
      <c r="BU1082" s="588" t="n"/>
      <c r="BV1082" s="588" t="n"/>
      <c r="BW1082" s="588" t="n"/>
      <c r="BX1082" s="588" t="n"/>
      <c r="BY1082" s="588" t="n"/>
      <c r="BZ1082" s="588" t="n"/>
      <c r="CA1082" s="588" t="n"/>
      <c r="CB1082" s="588" t="n"/>
      <c r="CC1082" s="588" t="n"/>
      <c r="CD1082" s="588" t="n"/>
      <c r="CE1082" s="588" t="n"/>
      <c r="CF1082" s="588" t="n"/>
      <c r="CG1082" s="588" t="n"/>
      <c r="CH1082" s="588" t="n"/>
      <c r="CI1082" s="588" t="n"/>
      <c r="CJ1082" s="588" t="n"/>
      <c r="CK1082" s="588" t="n"/>
      <c r="CL1082" s="588" t="n"/>
      <c r="CM1082" s="588" t="n"/>
      <c r="CN1082" s="588" t="n"/>
      <c r="CO1082" s="588" t="n"/>
      <c r="CP1082" s="588" t="n"/>
      <c r="CQ1082" s="588" t="n"/>
      <c r="CR1082" s="588" t="n"/>
      <c r="CS1082" s="588" t="n"/>
      <c r="CT1082" s="588" t="n"/>
      <c r="CU1082" s="588" t="n"/>
      <c r="CV1082" s="588" t="n"/>
      <c r="CW1082" s="588" t="n"/>
      <c r="CX1082" s="588" t="n"/>
      <c r="CY1082" s="588" t="n"/>
      <c r="CZ1082" s="588" t="n"/>
      <c r="DA1082" s="588" t="n"/>
      <c r="DB1082" s="588" t="n"/>
      <c r="DC1082" s="588" t="n"/>
      <c r="DD1082" s="588" t="n"/>
      <c r="DE1082" s="588" t="n"/>
      <c r="DF1082" s="588" t="n"/>
      <c r="DG1082" s="588" t="n"/>
      <c r="DH1082" s="588" t="n"/>
      <c r="DI1082" s="588" t="n"/>
      <c r="DJ1082" s="588" t="n"/>
      <c r="DK1082" s="588" t="n"/>
      <c r="DL1082" s="588" t="n"/>
      <c r="DM1082" s="588" t="n"/>
      <c r="DN1082" s="588" t="n"/>
      <c r="DO1082" s="588" t="n"/>
      <c r="DP1082" s="588" t="n"/>
      <c r="DQ1082" s="588" t="n"/>
      <c r="DR1082" s="588" t="n"/>
      <c r="DS1082" s="588" t="n"/>
      <c r="DT1082" s="588" t="n"/>
      <c r="DU1082" s="588" t="n"/>
    </row>
    <row r="1083">
      <c r="A1083" s="737" t="n"/>
      <c r="B1083" s="737" t="n"/>
      <c r="C1083" s="737" t="n"/>
      <c r="D1083" s="737" t="n"/>
      <c r="E1083" s="737" t="n"/>
      <c r="F1083" s="737" t="n"/>
      <c r="G1083" s="737" t="n"/>
      <c r="H1083" s="737" t="n"/>
      <c r="I1083" s="737" t="n"/>
      <c r="J1083" s="737" t="n"/>
      <c r="K1083" s="737" t="n"/>
      <c r="L1083" s="737" t="n"/>
      <c r="M1083" s="737" t="n"/>
      <c r="N1083" s="737" t="n"/>
      <c r="O1083" s="737" t="n"/>
      <c r="P1083" s="737" t="n"/>
      <c r="Q1083" s="737" t="n"/>
      <c r="R1083" s="737" t="n"/>
      <c r="S1083" s="737" t="n"/>
      <c r="T1083" s="737" t="n"/>
      <c r="U1083" s="737" t="n"/>
      <c r="V1083" s="737" t="n"/>
      <c r="W1083" s="737" t="n"/>
      <c r="X1083" s="737" t="n"/>
      <c r="Y1083" s="737" t="n"/>
      <c r="Z1083" s="737" t="n"/>
      <c r="AA1083" s="737" t="n"/>
      <c r="AB1083" s="737" t="n"/>
      <c r="AC1083" s="737" t="n"/>
      <c r="AD1083" s="737" t="n"/>
      <c r="AE1083" s="737" t="n"/>
      <c r="AF1083" s="737" t="n"/>
      <c r="AG1083" s="737" t="n"/>
      <c r="AH1083" s="737" t="n"/>
      <c r="AI1083" s="737" t="n"/>
      <c r="AJ1083" s="737" t="n"/>
      <c r="AK1083" s="588" t="n"/>
      <c r="AL1083" s="588" t="n"/>
      <c r="AM1083" s="588" t="n"/>
      <c r="AN1083" s="588" t="n"/>
      <c r="AO1083" s="588" t="n"/>
      <c r="AP1083" s="588" t="n"/>
      <c r="AQ1083" s="588" t="n"/>
      <c r="AR1083" s="588" t="n"/>
      <c r="AS1083" s="588" t="n"/>
      <c r="AT1083" s="588" t="n"/>
      <c r="AU1083" s="588" t="n"/>
      <c r="AV1083" s="588" t="n"/>
      <c r="AW1083" s="588" t="n"/>
      <c r="AX1083" s="588" t="n"/>
      <c r="AY1083" s="588" t="n"/>
      <c r="AZ1083" s="588" t="n"/>
      <c r="BA1083" s="588" t="n"/>
      <c r="BB1083" s="588" t="n"/>
      <c r="BC1083" s="588" t="n"/>
      <c r="BD1083" s="588" t="n"/>
      <c r="BE1083" s="588" t="n"/>
      <c r="BF1083" s="588" t="n"/>
      <c r="BG1083" s="588" t="n"/>
      <c r="BH1083" s="588" t="n"/>
      <c r="BI1083" s="588" t="n"/>
      <c r="BJ1083" s="588" t="n"/>
      <c r="BK1083" s="588" t="n"/>
      <c r="BL1083" s="588" t="n"/>
      <c r="BM1083" s="588" t="n"/>
      <c r="BN1083" s="588" t="n"/>
      <c r="BO1083" s="588" t="n"/>
      <c r="BP1083" s="588" t="n"/>
      <c r="BQ1083" s="588" t="n"/>
      <c r="BR1083" s="588" t="n"/>
      <c r="BS1083" s="588" t="n"/>
      <c r="BT1083" s="588" t="n"/>
      <c r="BU1083" s="588" t="n"/>
      <c r="BV1083" s="588" t="n"/>
      <c r="BW1083" s="588" t="n"/>
      <c r="BX1083" s="588" t="n"/>
      <c r="BY1083" s="588" t="n"/>
      <c r="BZ1083" s="588" t="n"/>
      <c r="CA1083" s="588" t="n"/>
      <c r="CB1083" s="588" t="n"/>
      <c r="CC1083" s="588" t="n"/>
      <c r="CD1083" s="588" t="n"/>
      <c r="CE1083" s="588" t="n"/>
      <c r="CF1083" s="588" t="n"/>
      <c r="CG1083" s="588" t="n"/>
      <c r="CH1083" s="588" t="n"/>
      <c r="CI1083" s="588" t="n"/>
      <c r="CJ1083" s="588" t="n"/>
      <c r="CK1083" s="588" t="n"/>
      <c r="CL1083" s="588" t="n"/>
      <c r="CM1083" s="588" t="n"/>
      <c r="CN1083" s="588" t="n"/>
      <c r="CO1083" s="588" t="n"/>
      <c r="CP1083" s="588" t="n"/>
      <c r="CQ1083" s="588" t="n"/>
      <c r="CR1083" s="588" t="n"/>
      <c r="CS1083" s="588" t="n"/>
      <c r="CT1083" s="588" t="n"/>
      <c r="CU1083" s="588" t="n"/>
      <c r="CV1083" s="588" t="n"/>
      <c r="CW1083" s="588" t="n"/>
      <c r="CX1083" s="588" t="n"/>
      <c r="CY1083" s="588" t="n"/>
      <c r="CZ1083" s="588" t="n"/>
      <c r="DA1083" s="588" t="n"/>
      <c r="DB1083" s="588" t="n"/>
      <c r="DC1083" s="588" t="n"/>
      <c r="DD1083" s="588" t="n"/>
      <c r="DE1083" s="588" t="n"/>
      <c r="DF1083" s="588" t="n"/>
      <c r="DG1083" s="588" t="n"/>
      <c r="DH1083" s="588" t="n"/>
      <c r="DI1083" s="588" t="n"/>
      <c r="DJ1083" s="588" t="n"/>
      <c r="DK1083" s="588" t="n"/>
      <c r="DL1083" s="588" t="n"/>
      <c r="DM1083" s="588" t="n"/>
      <c r="DN1083" s="588" t="n"/>
      <c r="DO1083" s="588" t="n"/>
      <c r="DP1083" s="588" t="n"/>
      <c r="DQ1083" s="588" t="n"/>
      <c r="DR1083" s="588" t="n"/>
      <c r="DS1083" s="588" t="n"/>
      <c r="DT1083" s="588" t="n"/>
      <c r="DU1083" s="588" t="n"/>
    </row>
    <row r="1084">
      <c r="A1084" s="737" t="n"/>
      <c r="B1084" s="737" t="n"/>
      <c r="C1084" s="737" t="n"/>
      <c r="D1084" s="737" t="n"/>
      <c r="E1084" s="737" t="n"/>
      <c r="F1084" s="737" t="n"/>
      <c r="G1084" s="737" t="n"/>
      <c r="H1084" s="737" t="n"/>
      <c r="I1084" s="737" t="n"/>
      <c r="J1084" s="737" t="n"/>
      <c r="K1084" s="737" t="n"/>
      <c r="L1084" s="737" t="n"/>
      <c r="M1084" s="737" t="n"/>
      <c r="N1084" s="737" t="n"/>
      <c r="O1084" s="737" t="n"/>
      <c r="P1084" s="737" t="n"/>
      <c r="Q1084" s="737" t="n"/>
      <c r="R1084" s="737" t="n"/>
      <c r="S1084" s="737" t="n"/>
      <c r="T1084" s="737" t="n"/>
      <c r="U1084" s="737" t="n"/>
      <c r="V1084" s="737" t="n"/>
      <c r="W1084" s="737" t="n"/>
      <c r="X1084" s="737" t="n"/>
      <c r="Y1084" s="737" t="n"/>
      <c r="Z1084" s="737" t="n"/>
      <c r="AA1084" s="737" t="n"/>
      <c r="AB1084" s="737" t="n"/>
      <c r="AC1084" s="737" t="n"/>
      <c r="AD1084" s="737" t="n"/>
      <c r="AE1084" s="737" t="n"/>
      <c r="AF1084" s="737" t="n"/>
      <c r="AG1084" s="737" t="n"/>
      <c r="AH1084" s="737" t="n"/>
      <c r="AI1084" s="737" t="n"/>
      <c r="AJ1084" s="737" t="n"/>
      <c r="AK1084" s="588" t="n"/>
      <c r="AL1084" s="588" t="n"/>
      <c r="AM1084" s="588" t="n"/>
      <c r="AN1084" s="588" t="n"/>
      <c r="AO1084" s="588" t="n"/>
      <c r="AP1084" s="588" t="n"/>
      <c r="AQ1084" s="588" t="n"/>
      <c r="AR1084" s="588" t="n"/>
      <c r="AS1084" s="588" t="n"/>
      <c r="AT1084" s="588" t="n"/>
      <c r="AU1084" s="588" t="n"/>
      <c r="AV1084" s="588" t="n"/>
      <c r="AW1084" s="588" t="n"/>
      <c r="AX1084" s="588" t="n"/>
      <c r="AY1084" s="588" t="n"/>
      <c r="AZ1084" s="588" t="n"/>
      <c r="BA1084" s="588" t="n"/>
      <c r="BB1084" s="588" t="n"/>
      <c r="BC1084" s="588" t="n"/>
      <c r="BD1084" s="588" t="n"/>
      <c r="BE1084" s="588" t="n"/>
      <c r="BF1084" s="588" t="n"/>
      <c r="BG1084" s="588" t="n"/>
      <c r="BH1084" s="588" t="n"/>
      <c r="BI1084" s="588" t="n"/>
      <c r="BJ1084" s="588" t="n"/>
      <c r="BK1084" s="588" t="n"/>
      <c r="BL1084" s="588" t="n"/>
      <c r="BM1084" s="588" t="n"/>
      <c r="BN1084" s="588" t="n"/>
      <c r="BO1084" s="588" t="n"/>
      <c r="BP1084" s="588" t="n"/>
      <c r="BQ1084" s="588" t="n"/>
      <c r="BR1084" s="588" t="n"/>
      <c r="BS1084" s="588" t="n"/>
      <c r="BT1084" s="588" t="n"/>
      <c r="BU1084" s="588" t="n"/>
      <c r="BV1084" s="588" t="n"/>
      <c r="BW1084" s="588" t="n"/>
      <c r="BX1084" s="588" t="n"/>
      <c r="BY1084" s="588" t="n"/>
      <c r="BZ1084" s="588" t="n"/>
      <c r="CA1084" s="588" t="n"/>
      <c r="CB1084" s="588" t="n"/>
      <c r="CC1084" s="588" t="n"/>
      <c r="CD1084" s="588" t="n"/>
      <c r="CE1084" s="588" t="n"/>
      <c r="CF1084" s="588" t="n"/>
      <c r="CG1084" s="588" t="n"/>
      <c r="CH1084" s="588" t="n"/>
      <c r="CI1084" s="588" t="n"/>
      <c r="CJ1084" s="588" t="n"/>
      <c r="CK1084" s="588" t="n"/>
      <c r="CL1084" s="588" t="n"/>
      <c r="CM1084" s="588" t="n"/>
      <c r="CN1084" s="588" t="n"/>
      <c r="CO1084" s="588" t="n"/>
      <c r="CP1084" s="588" t="n"/>
      <c r="CQ1084" s="588" t="n"/>
      <c r="CR1084" s="588" t="n"/>
      <c r="CS1084" s="588" t="n"/>
      <c r="CT1084" s="588" t="n"/>
      <c r="CU1084" s="588" t="n"/>
      <c r="CV1084" s="588" t="n"/>
      <c r="CW1084" s="588" t="n"/>
      <c r="CX1084" s="588" t="n"/>
      <c r="CY1084" s="588" t="n"/>
      <c r="CZ1084" s="588" t="n"/>
      <c r="DA1084" s="588" t="n"/>
      <c r="DB1084" s="588" t="n"/>
      <c r="DC1084" s="588" t="n"/>
      <c r="DD1084" s="588" t="n"/>
      <c r="DE1084" s="588" t="n"/>
      <c r="DF1084" s="588" t="n"/>
      <c r="DG1084" s="588" t="n"/>
      <c r="DH1084" s="588" t="n"/>
      <c r="DI1084" s="588" t="n"/>
      <c r="DJ1084" s="588" t="n"/>
      <c r="DK1084" s="588" t="n"/>
      <c r="DL1084" s="588" t="n"/>
      <c r="DM1084" s="588" t="n"/>
      <c r="DN1084" s="588" t="n"/>
      <c r="DO1084" s="588" t="n"/>
      <c r="DP1084" s="588" t="n"/>
      <c r="DQ1084" s="588" t="n"/>
      <c r="DR1084" s="588" t="n"/>
      <c r="DS1084" s="588" t="n"/>
      <c r="DT1084" s="588" t="n"/>
      <c r="DU1084" s="588" t="n"/>
    </row>
    <row r="1085">
      <c r="A1085" s="737" t="n"/>
      <c r="B1085" s="737" t="n"/>
      <c r="C1085" s="737" t="n"/>
      <c r="D1085" s="737" t="n"/>
      <c r="E1085" s="737" t="n"/>
      <c r="F1085" s="737" t="n"/>
      <c r="G1085" s="737" t="n"/>
      <c r="H1085" s="737" t="n"/>
      <c r="I1085" s="737" t="n"/>
      <c r="J1085" s="737" t="n"/>
      <c r="K1085" s="737" t="n"/>
      <c r="L1085" s="737" t="n"/>
      <c r="M1085" s="737" t="n"/>
      <c r="N1085" s="737" t="n"/>
      <c r="O1085" s="737" t="n"/>
      <c r="P1085" s="737" t="n"/>
      <c r="Q1085" s="737" t="n"/>
      <c r="R1085" s="737" t="n"/>
      <c r="S1085" s="737" t="n"/>
      <c r="T1085" s="737" t="n"/>
      <c r="U1085" s="737" t="n"/>
      <c r="V1085" s="737" t="n"/>
      <c r="W1085" s="737" t="n"/>
      <c r="X1085" s="737" t="n"/>
      <c r="Y1085" s="737" t="n"/>
      <c r="Z1085" s="737" t="n"/>
      <c r="AA1085" s="737" t="n"/>
      <c r="AB1085" s="737" t="n"/>
      <c r="AC1085" s="737" t="n"/>
      <c r="AD1085" s="737" t="n"/>
      <c r="AE1085" s="737" t="n"/>
      <c r="AF1085" s="737" t="n"/>
      <c r="AG1085" s="737" t="n"/>
      <c r="AH1085" s="737" t="n"/>
      <c r="AI1085" s="737" t="n"/>
      <c r="AJ1085" s="737" t="n"/>
      <c r="AK1085" s="588" t="n"/>
      <c r="AL1085" s="588" t="n"/>
      <c r="AM1085" s="588" t="n"/>
      <c r="AN1085" s="588" t="n"/>
      <c r="AO1085" s="588" t="n"/>
      <c r="AP1085" s="588" t="n"/>
      <c r="AQ1085" s="588" t="n"/>
      <c r="AR1085" s="588" t="n"/>
      <c r="AS1085" s="588" t="n"/>
      <c r="AT1085" s="588" t="n"/>
      <c r="AU1085" s="588" t="n"/>
      <c r="AV1085" s="588" t="n"/>
      <c r="AW1085" s="588" t="n"/>
      <c r="AX1085" s="588" t="n"/>
      <c r="AY1085" s="588" t="n"/>
      <c r="AZ1085" s="588" t="n"/>
      <c r="BA1085" s="588" t="n"/>
      <c r="BB1085" s="588" t="n"/>
      <c r="BC1085" s="588" t="n"/>
      <c r="BD1085" s="588" t="n"/>
      <c r="BE1085" s="588" t="n"/>
      <c r="BF1085" s="588" t="n"/>
      <c r="BG1085" s="588" t="n"/>
      <c r="BH1085" s="588" t="n"/>
      <c r="BI1085" s="588" t="n"/>
      <c r="BJ1085" s="588" t="n"/>
      <c r="BK1085" s="588" t="n"/>
      <c r="BL1085" s="588" t="n"/>
      <c r="BM1085" s="588" t="n"/>
      <c r="BN1085" s="588" t="n"/>
      <c r="BO1085" s="588" t="n"/>
      <c r="BP1085" s="588" t="n"/>
      <c r="BQ1085" s="588" t="n"/>
      <c r="BR1085" s="588" t="n"/>
      <c r="BS1085" s="588" t="n"/>
      <c r="BT1085" s="588" t="n"/>
      <c r="BU1085" s="588" t="n"/>
      <c r="BV1085" s="588" t="n"/>
      <c r="BW1085" s="588" t="n"/>
      <c r="BX1085" s="588" t="n"/>
      <c r="BY1085" s="588" t="n"/>
      <c r="BZ1085" s="588" t="n"/>
      <c r="CA1085" s="588" t="n"/>
      <c r="CB1085" s="588" t="n"/>
      <c r="CC1085" s="588" t="n"/>
      <c r="CD1085" s="588" t="n"/>
      <c r="CE1085" s="588" t="n"/>
      <c r="CF1085" s="588" t="n"/>
      <c r="CG1085" s="588" t="n"/>
      <c r="CH1085" s="588" t="n"/>
      <c r="CI1085" s="588" t="n"/>
      <c r="CJ1085" s="588" t="n"/>
      <c r="CK1085" s="588" t="n"/>
      <c r="CL1085" s="588" t="n"/>
      <c r="CM1085" s="588" t="n"/>
      <c r="CN1085" s="588" t="n"/>
      <c r="CO1085" s="588" t="n"/>
      <c r="CP1085" s="588" t="n"/>
      <c r="CQ1085" s="588" t="n"/>
      <c r="CR1085" s="588" t="n"/>
      <c r="CS1085" s="588" t="n"/>
      <c r="CT1085" s="588" t="n"/>
      <c r="CU1085" s="588" t="n"/>
      <c r="CV1085" s="588" t="n"/>
      <c r="CW1085" s="588" t="n"/>
      <c r="CX1085" s="588" t="n"/>
      <c r="CY1085" s="588" t="n"/>
      <c r="CZ1085" s="588" t="n"/>
      <c r="DA1085" s="588" t="n"/>
      <c r="DB1085" s="588" t="n"/>
      <c r="DC1085" s="588" t="n"/>
      <c r="DD1085" s="588" t="n"/>
      <c r="DE1085" s="588" t="n"/>
      <c r="DF1085" s="588" t="n"/>
      <c r="DG1085" s="588" t="n"/>
      <c r="DH1085" s="588" t="n"/>
      <c r="DI1085" s="588" t="n"/>
      <c r="DJ1085" s="588" t="n"/>
      <c r="DK1085" s="588" t="n"/>
      <c r="DL1085" s="588" t="n"/>
      <c r="DM1085" s="588" t="n"/>
      <c r="DN1085" s="588" t="n"/>
      <c r="DO1085" s="588" t="n"/>
      <c r="DP1085" s="588" t="n"/>
      <c r="DQ1085" s="588" t="n"/>
      <c r="DR1085" s="588" t="n"/>
      <c r="DS1085" s="588" t="n"/>
      <c r="DT1085" s="588" t="n"/>
      <c r="DU1085" s="588" t="n"/>
    </row>
    <row r="1086">
      <c r="A1086" s="737" t="n"/>
      <c r="B1086" s="737" t="n"/>
      <c r="C1086" s="737" t="n"/>
      <c r="D1086" s="737" t="n"/>
      <c r="E1086" s="737" t="n"/>
      <c r="F1086" s="737" t="n"/>
      <c r="G1086" s="737" t="n"/>
      <c r="H1086" s="737" t="n"/>
      <c r="I1086" s="737" t="n"/>
      <c r="J1086" s="737" t="n"/>
      <c r="K1086" s="737" t="n"/>
      <c r="L1086" s="737" t="n"/>
      <c r="M1086" s="737" t="n"/>
      <c r="N1086" s="737" t="n"/>
      <c r="O1086" s="737" t="n"/>
      <c r="P1086" s="737" t="n"/>
      <c r="Q1086" s="737" t="n"/>
      <c r="R1086" s="737" t="n"/>
      <c r="S1086" s="737" t="n"/>
      <c r="T1086" s="737" t="n"/>
      <c r="U1086" s="737" t="n"/>
      <c r="V1086" s="737" t="n"/>
      <c r="W1086" s="737" t="n"/>
      <c r="X1086" s="737" t="n"/>
      <c r="Y1086" s="737" t="n"/>
      <c r="Z1086" s="737" t="n"/>
      <c r="AA1086" s="737" t="n"/>
      <c r="AB1086" s="737" t="n"/>
      <c r="AC1086" s="737" t="n"/>
      <c r="AD1086" s="737" t="n"/>
      <c r="AE1086" s="737" t="n"/>
      <c r="AF1086" s="737" t="n"/>
      <c r="AG1086" s="737" t="n"/>
      <c r="AH1086" s="737" t="n"/>
      <c r="AI1086" s="737" t="n"/>
      <c r="AJ1086" s="737" t="n"/>
      <c r="AK1086" s="588" t="n"/>
      <c r="AL1086" s="588" t="n"/>
      <c r="AM1086" s="588" t="n"/>
      <c r="AN1086" s="588" t="n"/>
      <c r="AO1086" s="588" t="n"/>
      <c r="AP1086" s="588" t="n"/>
      <c r="AQ1086" s="588" t="n"/>
      <c r="AR1086" s="588" t="n"/>
      <c r="AS1086" s="588" t="n"/>
      <c r="AT1086" s="588" t="n"/>
      <c r="AU1086" s="588" t="n"/>
      <c r="AV1086" s="588" t="n"/>
      <c r="AW1086" s="588" t="n"/>
      <c r="AX1086" s="588" t="n"/>
      <c r="AY1086" s="588" t="n"/>
      <c r="AZ1086" s="588" t="n"/>
      <c r="BA1086" s="588" t="n"/>
      <c r="BB1086" s="588" t="n"/>
      <c r="BC1086" s="588" t="n"/>
      <c r="BD1086" s="588" t="n"/>
      <c r="BE1086" s="588" t="n"/>
      <c r="BF1086" s="588" t="n"/>
      <c r="BG1086" s="588" t="n"/>
      <c r="BH1086" s="588" t="n"/>
      <c r="BI1086" s="588" t="n"/>
      <c r="BJ1086" s="588" t="n"/>
      <c r="BK1086" s="588" t="n"/>
      <c r="BL1086" s="588" t="n"/>
      <c r="BM1086" s="588" t="n"/>
      <c r="BN1086" s="588" t="n"/>
      <c r="BO1086" s="588" t="n"/>
      <c r="BP1086" s="588" t="n"/>
      <c r="BQ1086" s="588" t="n"/>
      <c r="BR1086" s="588" t="n"/>
      <c r="BS1086" s="588" t="n"/>
      <c r="BT1086" s="588" t="n"/>
      <c r="BU1086" s="588" t="n"/>
      <c r="BV1086" s="588" t="n"/>
      <c r="BW1086" s="588" t="n"/>
      <c r="BX1086" s="588" t="n"/>
      <c r="BY1086" s="588" t="n"/>
      <c r="BZ1086" s="588" t="n"/>
      <c r="CA1086" s="588" t="n"/>
      <c r="CB1086" s="588" t="n"/>
      <c r="CC1086" s="588" t="n"/>
      <c r="CD1086" s="588" t="n"/>
      <c r="CE1086" s="588" t="n"/>
      <c r="CF1086" s="588" t="n"/>
      <c r="CG1086" s="588" t="n"/>
      <c r="CH1086" s="588" t="n"/>
      <c r="CI1086" s="588" t="n"/>
      <c r="CJ1086" s="588" t="n"/>
      <c r="CK1086" s="588" t="n"/>
      <c r="CL1086" s="588" t="n"/>
      <c r="CM1086" s="588" t="n"/>
      <c r="CN1086" s="588" t="n"/>
      <c r="CO1086" s="588" t="n"/>
      <c r="CP1086" s="588" t="n"/>
      <c r="CQ1086" s="588" t="n"/>
      <c r="CR1086" s="588" t="n"/>
      <c r="CS1086" s="588" t="n"/>
      <c r="CT1086" s="588" t="n"/>
      <c r="CU1086" s="588" t="n"/>
      <c r="CV1086" s="588" t="n"/>
      <c r="CW1086" s="588" t="n"/>
      <c r="CX1086" s="588" t="n"/>
      <c r="CY1086" s="588" t="n"/>
      <c r="CZ1086" s="588" t="n"/>
      <c r="DA1086" s="588" t="n"/>
      <c r="DB1086" s="588" t="n"/>
      <c r="DC1086" s="588" t="n"/>
      <c r="DD1086" s="588" t="n"/>
      <c r="DE1086" s="588" t="n"/>
      <c r="DF1086" s="588" t="n"/>
      <c r="DG1086" s="588" t="n"/>
      <c r="DH1086" s="588" t="n"/>
      <c r="DI1086" s="588" t="n"/>
      <c r="DJ1086" s="588" t="n"/>
      <c r="DK1086" s="588" t="n"/>
      <c r="DL1086" s="588" t="n"/>
      <c r="DM1086" s="588" t="n"/>
      <c r="DN1086" s="588" t="n"/>
      <c r="DO1086" s="588" t="n"/>
      <c r="DP1086" s="588" t="n"/>
      <c r="DQ1086" s="588" t="n"/>
      <c r="DR1086" s="588" t="n"/>
      <c r="DS1086" s="588" t="n"/>
      <c r="DT1086" s="588" t="n"/>
      <c r="DU1086" s="588" t="n"/>
    </row>
    <row r="1087">
      <c r="A1087" s="737" t="n"/>
      <c r="B1087" s="737" t="n"/>
      <c r="C1087" s="737" t="n"/>
      <c r="D1087" s="737" t="n"/>
      <c r="E1087" s="737" t="n"/>
      <c r="F1087" s="737" t="n"/>
      <c r="G1087" s="737" t="n"/>
      <c r="H1087" s="737" t="n"/>
      <c r="I1087" s="737" t="n"/>
      <c r="J1087" s="737" t="n"/>
      <c r="K1087" s="737" t="n"/>
      <c r="L1087" s="737" t="n"/>
      <c r="M1087" s="737" t="n"/>
      <c r="N1087" s="737" t="n"/>
      <c r="O1087" s="737" t="n"/>
      <c r="P1087" s="737" t="n"/>
      <c r="Q1087" s="737" t="n"/>
      <c r="R1087" s="737" t="n"/>
      <c r="S1087" s="737" t="n"/>
      <c r="T1087" s="737" t="n"/>
      <c r="U1087" s="737" t="n"/>
      <c r="V1087" s="737" t="n"/>
      <c r="W1087" s="737" t="n"/>
      <c r="X1087" s="737" t="n"/>
      <c r="Y1087" s="737" t="n"/>
      <c r="Z1087" s="737" t="n"/>
      <c r="AA1087" s="737" t="n"/>
      <c r="AB1087" s="737" t="n"/>
      <c r="AC1087" s="737" t="n"/>
      <c r="AD1087" s="737" t="n"/>
      <c r="AE1087" s="737" t="n"/>
      <c r="AF1087" s="737" t="n"/>
      <c r="AG1087" s="737" t="n"/>
      <c r="AH1087" s="737" t="n"/>
      <c r="AI1087" s="737" t="n"/>
      <c r="AJ1087" s="737" t="n"/>
      <c r="AK1087" s="588" t="n"/>
      <c r="AL1087" s="588" t="n"/>
      <c r="AM1087" s="588" t="n"/>
      <c r="AN1087" s="588" t="n"/>
      <c r="AO1087" s="588" t="n"/>
      <c r="AP1087" s="588" t="n"/>
      <c r="AQ1087" s="588" t="n"/>
      <c r="AR1087" s="588" t="n"/>
      <c r="AS1087" s="588" t="n"/>
      <c r="AT1087" s="588" t="n"/>
      <c r="AU1087" s="588" t="n"/>
      <c r="AV1087" s="588" t="n"/>
      <c r="AW1087" s="588" t="n"/>
      <c r="AX1087" s="588" t="n"/>
      <c r="AY1087" s="588" t="n"/>
      <c r="AZ1087" s="588" t="n"/>
      <c r="BA1087" s="588" t="n"/>
      <c r="BB1087" s="588" t="n"/>
      <c r="BC1087" s="588" t="n"/>
      <c r="BD1087" s="588" t="n"/>
      <c r="BE1087" s="588" t="n"/>
      <c r="BF1087" s="588" t="n"/>
      <c r="BG1087" s="588" t="n"/>
      <c r="BH1087" s="588" t="n"/>
      <c r="BI1087" s="588" t="n"/>
      <c r="BJ1087" s="588" t="n"/>
      <c r="BK1087" s="588" t="n"/>
      <c r="BL1087" s="588" t="n"/>
      <c r="BM1087" s="588" t="n"/>
      <c r="BN1087" s="588" t="n"/>
      <c r="BO1087" s="588" t="n"/>
      <c r="BP1087" s="588" t="n"/>
      <c r="BQ1087" s="588" t="n"/>
      <c r="BR1087" s="588" t="n"/>
      <c r="BS1087" s="588" t="n"/>
      <c r="BT1087" s="588" t="n"/>
      <c r="BU1087" s="588" t="n"/>
      <c r="BV1087" s="588" t="n"/>
      <c r="BW1087" s="588" t="n"/>
      <c r="BX1087" s="588" t="n"/>
      <c r="BY1087" s="588" t="n"/>
      <c r="BZ1087" s="588" t="n"/>
      <c r="CA1087" s="588" t="n"/>
      <c r="CB1087" s="588" t="n"/>
      <c r="CC1087" s="588" t="n"/>
      <c r="CD1087" s="588" t="n"/>
      <c r="CE1087" s="588" t="n"/>
      <c r="CF1087" s="588" t="n"/>
      <c r="CG1087" s="588" t="n"/>
      <c r="CH1087" s="588" t="n"/>
      <c r="CI1087" s="588" t="n"/>
      <c r="CJ1087" s="588" t="n"/>
      <c r="CK1087" s="588" t="n"/>
      <c r="CL1087" s="588" t="n"/>
      <c r="CM1087" s="588" t="n"/>
      <c r="CN1087" s="588" t="n"/>
      <c r="CO1087" s="588" t="n"/>
      <c r="CP1087" s="588" t="n"/>
      <c r="CQ1087" s="588" t="n"/>
      <c r="CR1087" s="588" t="n"/>
      <c r="CS1087" s="588" t="n"/>
      <c r="CT1087" s="588" t="n"/>
      <c r="CU1087" s="588" t="n"/>
      <c r="CV1087" s="588" t="n"/>
      <c r="CW1087" s="588" t="n"/>
      <c r="CX1087" s="588" t="n"/>
      <c r="CY1087" s="588" t="n"/>
      <c r="CZ1087" s="588" t="n"/>
      <c r="DA1087" s="588" t="n"/>
      <c r="DB1087" s="588" t="n"/>
      <c r="DC1087" s="588" t="n"/>
      <c r="DD1087" s="588" t="n"/>
      <c r="DE1087" s="588" t="n"/>
      <c r="DF1087" s="588" t="n"/>
      <c r="DG1087" s="588" t="n"/>
      <c r="DH1087" s="588" t="n"/>
      <c r="DI1087" s="588" t="n"/>
      <c r="DJ1087" s="588" t="n"/>
      <c r="DK1087" s="588" t="n"/>
      <c r="DL1087" s="588" t="n"/>
      <c r="DM1087" s="588" t="n"/>
      <c r="DN1087" s="588" t="n"/>
      <c r="DO1087" s="588" t="n"/>
      <c r="DP1087" s="588" t="n"/>
      <c r="DQ1087" s="588" t="n"/>
      <c r="DR1087" s="588" t="n"/>
      <c r="DS1087" s="588" t="n"/>
      <c r="DT1087" s="588" t="n"/>
      <c r="DU1087" s="588" t="n"/>
    </row>
    <row r="1088">
      <c r="A1088" s="737" t="n"/>
      <c r="B1088" s="737" t="n"/>
      <c r="C1088" s="737" t="n"/>
      <c r="D1088" s="737" t="n"/>
      <c r="E1088" s="737" t="n"/>
      <c r="F1088" s="737" t="n"/>
      <c r="G1088" s="737" t="n"/>
      <c r="H1088" s="737" t="n"/>
      <c r="I1088" s="737" t="n"/>
      <c r="J1088" s="737" t="n"/>
      <c r="K1088" s="737" t="n"/>
      <c r="L1088" s="737" t="n"/>
      <c r="M1088" s="737" t="n"/>
      <c r="N1088" s="737" t="n"/>
      <c r="O1088" s="737" t="n"/>
      <c r="P1088" s="737" t="n"/>
      <c r="Q1088" s="737" t="n"/>
      <c r="R1088" s="737" t="n"/>
      <c r="S1088" s="737" t="n"/>
      <c r="T1088" s="737" t="n"/>
      <c r="U1088" s="737" t="n"/>
      <c r="V1088" s="737" t="n"/>
      <c r="W1088" s="737" t="n"/>
      <c r="X1088" s="737" t="n"/>
      <c r="Y1088" s="737" t="n"/>
      <c r="Z1088" s="737" t="n"/>
      <c r="AA1088" s="737" t="n"/>
      <c r="AB1088" s="737" t="n"/>
      <c r="AC1088" s="737" t="n"/>
      <c r="AD1088" s="737" t="n"/>
      <c r="AE1088" s="737" t="n"/>
      <c r="AF1088" s="737" t="n"/>
      <c r="AG1088" s="737" t="n"/>
      <c r="AH1088" s="737" t="n"/>
      <c r="AI1088" s="737" t="n"/>
      <c r="AJ1088" s="737" t="n"/>
      <c r="AK1088" s="588" t="n"/>
      <c r="AL1088" s="588" t="n"/>
      <c r="AM1088" s="588" t="n"/>
      <c r="AN1088" s="588" t="n"/>
      <c r="AO1088" s="588" t="n"/>
      <c r="AP1088" s="588" t="n"/>
      <c r="AQ1088" s="588" t="n"/>
      <c r="AR1088" s="588" t="n"/>
      <c r="AS1088" s="588" t="n"/>
      <c r="AT1088" s="588" t="n"/>
      <c r="AU1088" s="588" t="n"/>
      <c r="AV1088" s="588" t="n"/>
      <c r="AW1088" s="588" t="n"/>
      <c r="AX1088" s="588" t="n"/>
      <c r="AY1088" s="588" t="n"/>
      <c r="AZ1088" s="588" t="n"/>
      <c r="BA1088" s="588" t="n"/>
      <c r="BB1088" s="588" t="n"/>
      <c r="BC1088" s="588" t="n"/>
      <c r="BD1088" s="588" t="n"/>
      <c r="BE1088" s="588" t="n"/>
      <c r="BF1088" s="588" t="n"/>
      <c r="BG1088" s="588" t="n"/>
      <c r="BH1088" s="588" t="n"/>
      <c r="BI1088" s="588" t="n"/>
      <c r="BJ1088" s="588" t="n"/>
      <c r="BK1088" s="588" t="n"/>
      <c r="BL1088" s="588" t="n"/>
      <c r="BM1088" s="588" t="n"/>
      <c r="BN1088" s="588" t="n"/>
      <c r="BO1088" s="588" t="n"/>
      <c r="BP1088" s="588" t="n"/>
      <c r="BQ1088" s="588" t="n"/>
      <c r="BR1088" s="588" t="n"/>
      <c r="BS1088" s="588" t="n"/>
      <c r="BT1088" s="588" t="n"/>
      <c r="BU1088" s="588" t="n"/>
      <c r="BV1088" s="588" t="n"/>
      <c r="BW1088" s="588" t="n"/>
      <c r="BX1088" s="588" t="n"/>
      <c r="BY1088" s="588" t="n"/>
      <c r="BZ1088" s="588" t="n"/>
      <c r="CA1088" s="588" t="n"/>
      <c r="CB1088" s="588" t="n"/>
      <c r="CC1088" s="588" t="n"/>
      <c r="CD1088" s="588" t="n"/>
      <c r="CE1088" s="588" t="n"/>
      <c r="CF1088" s="588" t="n"/>
      <c r="CG1088" s="588" t="n"/>
      <c r="CH1088" s="588" t="n"/>
      <c r="CI1088" s="588" t="n"/>
      <c r="CJ1088" s="588" t="n"/>
      <c r="CK1088" s="588" t="n"/>
      <c r="CL1088" s="588" t="n"/>
      <c r="CM1088" s="588" t="n"/>
      <c r="CN1088" s="588" t="n"/>
      <c r="CO1088" s="588" t="n"/>
      <c r="CP1088" s="588" t="n"/>
      <c r="CQ1088" s="588" t="n"/>
      <c r="CR1088" s="588" t="n"/>
      <c r="CS1088" s="588" t="n"/>
      <c r="CT1088" s="588" t="n"/>
      <c r="CU1088" s="588" t="n"/>
      <c r="CV1088" s="588" t="n"/>
      <c r="CW1088" s="588" t="n"/>
      <c r="CX1088" s="588" t="n"/>
      <c r="CY1088" s="588" t="n"/>
      <c r="CZ1088" s="588" t="n"/>
      <c r="DA1088" s="588" t="n"/>
      <c r="DB1088" s="588" t="n"/>
      <c r="DC1088" s="588" t="n"/>
      <c r="DD1088" s="588" t="n"/>
      <c r="DE1088" s="588" t="n"/>
      <c r="DF1088" s="588" t="n"/>
      <c r="DG1088" s="588" t="n"/>
      <c r="DH1088" s="588" t="n"/>
      <c r="DI1088" s="588" t="n"/>
      <c r="DJ1088" s="588" t="n"/>
      <c r="DK1088" s="588" t="n"/>
      <c r="DL1088" s="588" t="n"/>
      <c r="DM1088" s="588" t="n"/>
      <c r="DN1088" s="588" t="n"/>
      <c r="DO1088" s="588" t="n"/>
      <c r="DP1088" s="588" t="n"/>
      <c r="DQ1088" s="588" t="n"/>
      <c r="DR1088" s="588" t="n"/>
      <c r="DS1088" s="588" t="n"/>
      <c r="DT1088" s="588" t="n"/>
      <c r="DU1088" s="588" t="n"/>
    </row>
    <row r="1089">
      <c r="A1089" s="737" t="n"/>
      <c r="B1089" s="737" t="n"/>
      <c r="C1089" s="737" t="n"/>
      <c r="D1089" s="737" t="n"/>
      <c r="E1089" s="737" t="n"/>
      <c r="F1089" s="737" t="n"/>
      <c r="G1089" s="737" t="n"/>
      <c r="H1089" s="737" t="n"/>
      <c r="I1089" s="737" t="n"/>
      <c r="J1089" s="737" t="n"/>
      <c r="K1089" s="737" t="n"/>
      <c r="L1089" s="737" t="n"/>
      <c r="M1089" s="737" t="n"/>
      <c r="N1089" s="737" t="n"/>
      <c r="O1089" s="737" t="n"/>
      <c r="P1089" s="737" t="n"/>
      <c r="Q1089" s="737" t="n"/>
      <c r="R1089" s="737" t="n"/>
      <c r="S1089" s="737" t="n"/>
      <c r="T1089" s="737" t="n"/>
      <c r="U1089" s="737" t="n"/>
      <c r="V1089" s="737" t="n"/>
      <c r="W1089" s="737" t="n"/>
      <c r="X1089" s="737" t="n"/>
      <c r="Y1089" s="737" t="n"/>
      <c r="Z1089" s="737" t="n"/>
      <c r="AA1089" s="737" t="n"/>
      <c r="AB1089" s="737" t="n"/>
      <c r="AC1089" s="737" t="n"/>
      <c r="AD1089" s="737" t="n"/>
      <c r="AE1089" s="737" t="n"/>
      <c r="AF1089" s="737" t="n"/>
      <c r="AG1089" s="737" t="n"/>
      <c r="AH1089" s="737" t="n"/>
      <c r="AI1089" s="737" t="n"/>
      <c r="AJ1089" s="737" t="n"/>
      <c r="AK1089" s="588" t="n"/>
      <c r="AL1089" s="588" t="n"/>
      <c r="AM1089" s="588" t="n"/>
      <c r="AN1089" s="588" t="n"/>
      <c r="AO1089" s="588" t="n"/>
      <c r="AP1089" s="588" t="n"/>
      <c r="AQ1089" s="588" t="n"/>
      <c r="AR1089" s="588" t="n"/>
      <c r="AS1089" s="588" t="n"/>
      <c r="AT1089" s="588" t="n"/>
      <c r="AU1089" s="588" t="n"/>
      <c r="AV1089" s="588" t="n"/>
      <c r="AW1089" s="588" t="n"/>
      <c r="AX1089" s="588" t="n"/>
      <c r="AY1089" s="588" t="n"/>
      <c r="AZ1089" s="588" t="n"/>
      <c r="BA1089" s="588" t="n"/>
      <c r="BB1089" s="588" t="n"/>
      <c r="BC1089" s="588" t="n"/>
      <c r="BD1089" s="588" t="n"/>
      <c r="BE1089" s="588" t="n"/>
      <c r="BF1089" s="588" t="n"/>
      <c r="BG1089" s="588" t="n"/>
      <c r="BH1089" s="588" t="n"/>
      <c r="BI1089" s="588" t="n"/>
      <c r="BJ1089" s="588" t="n"/>
      <c r="BK1089" s="588" t="n"/>
      <c r="BL1089" s="588" t="n"/>
      <c r="BM1089" s="588" t="n"/>
      <c r="BN1089" s="588" t="n"/>
      <c r="BO1089" s="588" t="n"/>
      <c r="BP1089" s="588" t="n"/>
      <c r="BQ1089" s="588" t="n"/>
      <c r="BR1089" s="588" t="n"/>
      <c r="BS1089" s="588" t="n"/>
      <c r="BT1089" s="588" t="n"/>
      <c r="BU1089" s="588" t="n"/>
      <c r="BV1089" s="588" t="n"/>
      <c r="BW1089" s="588" t="n"/>
      <c r="BX1089" s="588" t="n"/>
      <c r="BY1089" s="588" t="n"/>
      <c r="BZ1089" s="588" t="n"/>
      <c r="CA1089" s="588" t="n"/>
      <c r="CB1089" s="588" t="n"/>
      <c r="CC1089" s="588" t="n"/>
      <c r="CD1089" s="588" t="n"/>
      <c r="CE1089" s="588" t="n"/>
      <c r="CF1089" s="588" t="n"/>
      <c r="CG1089" s="588" t="n"/>
      <c r="CH1089" s="588" t="n"/>
      <c r="CI1089" s="588" t="n"/>
      <c r="CJ1089" s="588" t="n"/>
      <c r="CK1089" s="588" t="n"/>
      <c r="CL1089" s="588" t="n"/>
      <c r="CM1089" s="588" t="n"/>
      <c r="CN1089" s="588" t="n"/>
      <c r="CO1089" s="588" t="n"/>
      <c r="CP1089" s="588" t="n"/>
      <c r="CQ1089" s="588" t="n"/>
      <c r="CR1089" s="588" t="n"/>
      <c r="CS1089" s="588" t="n"/>
      <c r="CT1089" s="588" t="n"/>
      <c r="CU1089" s="588" t="n"/>
      <c r="CV1089" s="588" t="n"/>
      <c r="CW1089" s="588" t="n"/>
      <c r="CX1089" s="588" t="n"/>
      <c r="CY1089" s="588" t="n"/>
      <c r="CZ1089" s="588" t="n"/>
      <c r="DA1089" s="588" t="n"/>
      <c r="DB1089" s="588" t="n"/>
      <c r="DC1089" s="588" t="n"/>
      <c r="DD1089" s="588" t="n"/>
      <c r="DE1089" s="588" t="n"/>
      <c r="DF1089" s="588" t="n"/>
      <c r="DG1089" s="588" t="n"/>
      <c r="DH1089" s="588" t="n"/>
      <c r="DI1089" s="588" t="n"/>
      <c r="DJ1089" s="588" t="n"/>
      <c r="DK1089" s="588" t="n"/>
      <c r="DL1089" s="588" t="n"/>
      <c r="DM1089" s="588" t="n"/>
      <c r="DN1089" s="588" t="n"/>
      <c r="DO1089" s="588" t="n"/>
      <c r="DP1089" s="588" t="n"/>
      <c r="DQ1089" s="588" t="n"/>
      <c r="DR1089" s="588" t="n"/>
      <c r="DS1089" s="588" t="n"/>
      <c r="DT1089" s="588" t="n"/>
      <c r="DU1089" s="588" t="n"/>
    </row>
    <row r="1090">
      <c r="A1090" s="737" t="n"/>
      <c r="B1090" s="737" t="n"/>
      <c r="C1090" s="737" t="n"/>
      <c r="D1090" s="737" t="n"/>
      <c r="E1090" s="737" t="n"/>
      <c r="F1090" s="737" t="n"/>
      <c r="G1090" s="737" t="n"/>
      <c r="H1090" s="737" t="n"/>
      <c r="I1090" s="737" t="n"/>
      <c r="J1090" s="737" t="n"/>
      <c r="K1090" s="737" t="n"/>
      <c r="L1090" s="737" t="n"/>
      <c r="M1090" s="737" t="n"/>
      <c r="N1090" s="737" t="n"/>
      <c r="O1090" s="737" t="n"/>
      <c r="P1090" s="737" t="n"/>
      <c r="Q1090" s="737" t="n"/>
      <c r="R1090" s="737" t="n"/>
      <c r="S1090" s="737" t="n"/>
      <c r="T1090" s="737" t="n"/>
      <c r="U1090" s="737" t="n"/>
      <c r="V1090" s="737" t="n"/>
      <c r="W1090" s="737" t="n"/>
      <c r="X1090" s="737" t="n"/>
      <c r="Y1090" s="737" t="n"/>
      <c r="Z1090" s="737" t="n"/>
      <c r="AA1090" s="737" t="n"/>
      <c r="AB1090" s="737" t="n"/>
      <c r="AC1090" s="737" t="n"/>
      <c r="AD1090" s="737" t="n"/>
      <c r="AE1090" s="737" t="n"/>
      <c r="AF1090" s="737" t="n"/>
      <c r="AG1090" s="737" t="n"/>
      <c r="AH1090" s="737" t="n"/>
      <c r="AI1090" s="737" t="n"/>
      <c r="AJ1090" s="737" t="n"/>
      <c r="AK1090" s="588" t="n"/>
      <c r="AL1090" s="588" t="n"/>
      <c r="AM1090" s="588" t="n"/>
      <c r="AN1090" s="588" t="n"/>
      <c r="AO1090" s="588" t="n"/>
      <c r="AP1090" s="588" t="n"/>
      <c r="AQ1090" s="588" t="n"/>
      <c r="AR1090" s="588" t="n"/>
      <c r="AS1090" s="588" t="n"/>
      <c r="AT1090" s="588" t="n"/>
      <c r="AU1090" s="588" t="n"/>
      <c r="AV1090" s="588" t="n"/>
      <c r="AW1090" s="588" t="n"/>
      <c r="AX1090" s="588" t="n"/>
      <c r="AY1090" s="588" t="n"/>
      <c r="AZ1090" s="588" t="n"/>
      <c r="BA1090" s="588" t="n"/>
      <c r="BB1090" s="588" t="n"/>
      <c r="BC1090" s="588" t="n"/>
      <c r="BD1090" s="588" t="n"/>
      <c r="BE1090" s="588" t="n"/>
      <c r="BF1090" s="588" t="n"/>
      <c r="BG1090" s="588" t="n"/>
      <c r="BH1090" s="588" t="n"/>
      <c r="BI1090" s="588" t="n"/>
      <c r="BJ1090" s="588" t="n"/>
      <c r="BK1090" s="588" t="n"/>
      <c r="BL1090" s="588" t="n"/>
      <c r="BM1090" s="588" t="n"/>
      <c r="BN1090" s="588" t="n"/>
      <c r="BO1090" s="588" t="n"/>
      <c r="BP1090" s="588" t="n"/>
      <c r="BQ1090" s="588" t="n"/>
      <c r="BR1090" s="588" t="n"/>
      <c r="BS1090" s="588" t="n"/>
      <c r="BT1090" s="588" t="n"/>
      <c r="BU1090" s="588" t="n"/>
      <c r="BV1090" s="588" t="n"/>
      <c r="BW1090" s="588" t="n"/>
      <c r="BX1090" s="588" t="n"/>
      <c r="BY1090" s="588" t="n"/>
      <c r="BZ1090" s="588" t="n"/>
      <c r="CA1090" s="588" t="n"/>
      <c r="CB1090" s="588" t="n"/>
      <c r="CC1090" s="588" t="n"/>
      <c r="CD1090" s="588" t="n"/>
      <c r="CE1090" s="588" t="n"/>
      <c r="CF1090" s="588" t="n"/>
      <c r="CG1090" s="588" t="n"/>
      <c r="CH1090" s="588" t="n"/>
      <c r="CI1090" s="588" t="n"/>
      <c r="CJ1090" s="588" t="n"/>
      <c r="CK1090" s="588" t="n"/>
      <c r="CL1090" s="588" t="n"/>
      <c r="CM1090" s="588" t="n"/>
      <c r="CN1090" s="588" t="n"/>
      <c r="CO1090" s="588" t="n"/>
      <c r="CP1090" s="588" t="n"/>
      <c r="CQ1090" s="588" t="n"/>
      <c r="CR1090" s="588" t="n"/>
      <c r="CS1090" s="588" t="n"/>
      <c r="CT1090" s="588" t="n"/>
      <c r="CU1090" s="588" t="n"/>
      <c r="CV1090" s="588" t="n"/>
      <c r="CW1090" s="588" t="n"/>
      <c r="CX1090" s="588" t="n"/>
      <c r="CY1090" s="588" t="n"/>
      <c r="CZ1090" s="588" t="n"/>
      <c r="DA1090" s="588" t="n"/>
      <c r="DB1090" s="588" t="n"/>
      <c r="DC1090" s="588" t="n"/>
      <c r="DD1090" s="588" t="n"/>
      <c r="DE1090" s="588" t="n"/>
      <c r="DF1090" s="588" t="n"/>
      <c r="DG1090" s="588" t="n"/>
      <c r="DH1090" s="588" t="n"/>
      <c r="DI1090" s="588" t="n"/>
      <c r="DJ1090" s="588" t="n"/>
      <c r="DK1090" s="588" t="n"/>
      <c r="DL1090" s="588" t="n"/>
      <c r="DM1090" s="588" t="n"/>
      <c r="DN1090" s="588" t="n"/>
      <c r="DO1090" s="588" t="n"/>
      <c r="DP1090" s="588" t="n"/>
      <c r="DQ1090" s="588" t="n"/>
      <c r="DR1090" s="588" t="n"/>
      <c r="DS1090" s="588" t="n"/>
      <c r="DT1090" s="588" t="n"/>
      <c r="DU1090" s="588" t="n"/>
    </row>
    <row r="1091">
      <c r="A1091" s="737" t="n"/>
      <c r="B1091" s="737" t="n"/>
      <c r="C1091" s="737" t="n"/>
      <c r="D1091" s="737" t="n"/>
      <c r="E1091" s="737" t="n"/>
      <c r="F1091" s="737" t="n"/>
      <c r="G1091" s="737" t="n"/>
      <c r="H1091" s="737" t="n"/>
      <c r="I1091" s="737" t="n"/>
      <c r="J1091" s="737" t="n"/>
      <c r="K1091" s="737" t="n"/>
      <c r="L1091" s="737" t="n"/>
      <c r="M1091" s="737" t="n"/>
      <c r="N1091" s="737" t="n"/>
      <c r="O1091" s="737" t="n"/>
      <c r="P1091" s="737" t="n"/>
      <c r="Q1091" s="737" t="n"/>
      <c r="R1091" s="737" t="n"/>
      <c r="S1091" s="737" t="n"/>
      <c r="T1091" s="737" t="n"/>
      <c r="U1091" s="737" t="n"/>
      <c r="V1091" s="737" t="n"/>
      <c r="W1091" s="737" t="n"/>
      <c r="X1091" s="737" t="n"/>
      <c r="Y1091" s="737" t="n"/>
      <c r="Z1091" s="737" t="n"/>
      <c r="AA1091" s="737" t="n"/>
      <c r="AB1091" s="737" t="n"/>
      <c r="AC1091" s="737" t="n"/>
      <c r="AD1091" s="737" t="n"/>
      <c r="AE1091" s="737" t="n"/>
      <c r="AF1091" s="737" t="n"/>
      <c r="AG1091" s="737" t="n"/>
      <c r="AH1091" s="737" t="n"/>
      <c r="AI1091" s="737" t="n"/>
      <c r="AJ1091" s="737" t="n"/>
      <c r="AK1091" s="588" t="n"/>
      <c r="AL1091" s="588" t="n"/>
      <c r="AM1091" s="588" t="n"/>
      <c r="AN1091" s="588" t="n"/>
      <c r="AO1091" s="588" t="n"/>
      <c r="AP1091" s="588" t="n"/>
      <c r="AQ1091" s="588" t="n"/>
      <c r="AR1091" s="588" t="n"/>
      <c r="AS1091" s="588" t="n"/>
      <c r="AT1091" s="588" t="n"/>
      <c r="AU1091" s="588" t="n"/>
      <c r="AV1091" s="588" t="n"/>
      <c r="AW1091" s="588" t="n"/>
      <c r="AX1091" s="588" t="n"/>
      <c r="AY1091" s="588" t="n"/>
      <c r="AZ1091" s="588" t="n"/>
      <c r="BA1091" s="588" t="n"/>
      <c r="BB1091" s="588" t="n"/>
      <c r="BC1091" s="588" t="n"/>
      <c r="BD1091" s="588" t="n"/>
      <c r="BE1091" s="588" t="n"/>
      <c r="BF1091" s="588" t="n"/>
      <c r="BG1091" s="588" t="n"/>
      <c r="BH1091" s="588" t="n"/>
      <c r="BI1091" s="588" t="n"/>
      <c r="BJ1091" s="588" t="n"/>
      <c r="BK1091" s="588" t="n"/>
      <c r="BL1091" s="588" t="n"/>
      <c r="BM1091" s="588" t="n"/>
      <c r="BN1091" s="588" t="n"/>
      <c r="BO1091" s="588" t="n"/>
      <c r="BP1091" s="588" t="n"/>
      <c r="BQ1091" s="588" t="n"/>
      <c r="BR1091" s="588" t="n"/>
      <c r="BS1091" s="588" t="n"/>
      <c r="BT1091" s="588" t="n"/>
      <c r="BU1091" s="588" t="n"/>
      <c r="BV1091" s="588" t="n"/>
      <c r="BW1091" s="588" t="n"/>
      <c r="BX1091" s="588" t="n"/>
      <c r="BY1091" s="588" t="n"/>
      <c r="BZ1091" s="588" t="n"/>
      <c r="CA1091" s="588" t="n"/>
      <c r="CB1091" s="588" t="n"/>
      <c r="CC1091" s="588" t="n"/>
      <c r="CD1091" s="588" t="n"/>
      <c r="CE1091" s="588" t="n"/>
      <c r="CF1091" s="588" t="n"/>
      <c r="CG1091" s="588" t="n"/>
      <c r="CH1091" s="588" t="n"/>
      <c r="CI1091" s="588" t="n"/>
      <c r="CJ1091" s="588" t="n"/>
      <c r="CK1091" s="588" t="n"/>
      <c r="CL1091" s="588" t="n"/>
      <c r="CM1091" s="588" t="n"/>
      <c r="CN1091" s="588" t="n"/>
      <c r="CO1091" s="588" t="n"/>
      <c r="CP1091" s="588" t="n"/>
      <c r="CQ1091" s="588" t="n"/>
      <c r="CR1091" s="588" t="n"/>
      <c r="CS1091" s="588" t="n"/>
      <c r="CT1091" s="588" t="n"/>
      <c r="CU1091" s="588" t="n"/>
      <c r="CV1091" s="588" t="n"/>
      <c r="CW1091" s="588" t="n"/>
      <c r="CX1091" s="588" t="n"/>
      <c r="CY1091" s="588" t="n"/>
      <c r="CZ1091" s="588" t="n"/>
      <c r="DA1091" s="588" t="n"/>
      <c r="DB1091" s="588" t="n"/>
      <c r="DC1091" s="588" t="n"/>
      <c r="DD1091" s="588" t="n"/>
      <c r="DE1091" s="588" t="n"/>
      <c r="DF1091" s="588" t="n"/>
      <c r="DG1091" s="588" t="n"/>
      <c r="DH1091" s="588" t="n"/>
      <c r="DI1091" s="588" t="n"/>
      <c r="DJ1091" s="588" t="n"/>
      <c r="DK1091" s="588" t="n"/>
      <c r="DL1091" s="588" t="n"/>
      <c r="DM1091" s="588" t="n"/>
      <c r="DN1091" s="588" t="n"/>
      <c r="DO1091" s="588" t="n"/>
      <c r="DP1091" s="588" t="n"/>
      <c r="DQ1091" s="588" t="n"/>
      <c r="DR1091" s="588" t="n"/>
      <c r="DS1091" s="588" t="n"/>
      <c r="DT1091" s="588" t="n"/>
      <c r="DU1091" s="588" t="n"/>
    </row>
    <row r="1092">
      <c r="A1092" s="737" t="n"/>
      <c r="B1092" s="737" t="n"/>
      <c r="C1092" s="737" t="n"/>
      <c r="D1092" s="737" t="n"/>
      <c r="E1092" s="737" t="n"/>
      <c r="F1092" s="737" t="n"/>
      <c r="G1092" s="737" t="n"/>
      <c r="H1092" s="737" t="n"/>
      <c r="I1092" s="737" t="n"/>
      <c r="J1092" s="737" t="n"/>
      <c r="K1092" s="737" t="n"/>
      <c r="L1092" s="737" t="n"/>
      <c r="M1092" s="737" t="n"/>
      <c r="N1092" s="737" t="n"/>
      <c r="O1092" s="737" t="n"/>
      <c r="P1092" s="737" t="n"/>
      <c r="Q1092" s="737" t="n"/>
      <c r="R1092" s="737" t="n"/>
      <c r="S1092" s="737" t="n"/>
      <c r="T1092" s="737" t="n"/>
      <c r="U1092" s="737" t="n"/>
      <c r="V1092" s="737" t="n"/>
      <c r="W1092" s="737" t="n"/>
      <c r="X1092" s="737" t="n"/>
      <c r="Y1092" s="737" t="n"/>
      <c r="Z1092" s="737" t="n"/>
      <c r="AA1092" s="737" t="n"/>
      <c r="AB1092" s="737" t="n"/>
      <c r="AC1092" s="737" t="n"/>
      <c r="AD1092" s="737" t="n"/>
      <c r="AE1092" s="737" t="n"/>
      <c r="AF1092" s="737" t="n"/>
      <c r="AG1092" s="737" t="n"/>
      <c r="AH1092" s="737" t="n"/>
      <c r="AI1092" s="737" t="n"/>
      <c r="AJ1092" s="737" t="n"/>
      <c r="AK1092" s="588" t="n"/>
      <c r="AL1092" s="588" t="n"/>
      <c r="AM1092" s="588" t="n"/>
      <c r="AN1092" s="588" t="n"/>
      <c r="AO1092" s="588" t="n"/>
      <c r="AP1092" s="588" t="n"/>
      <c r="AQ1092" s="588" t="n"/>
      <c r="AR1092" s="588" t="n"/>
      <c r="AS1092" s="588" t="n"/>
      <c r="AT1092" s="588" t="n"/>
      <c r="AU1092" s="588" t="n"/>
      <c r="AV1092" s="588" t="n"/>
      <c r="AW1092" s="588" t="n"/>
      <c r="AX1092" s="588" t="n"/>
      <c r="AY1092" s="588" t="n"/>
      <c r="AZ1092" s="588" t="n"/>
      <c r="BA1092" s="588" t="n"/>
      <c r="BB1092" s="588" t="n"/>
      <c r="BC1092" s="588" t="n"/>
      <c r="BD1092" s="588" t="n"/>
      <c r="BE1092" s="588" t="n"/>
      <c r="BF1092" s="588" t="n"/>
      <c r="BG1092" s="588" t="n"/>
      <c r="BH1092" s="588" t="n"/>
      <c r="BI1092" s="588" t="n"/>
      <c r="BJ1092" s="588" t="n"/>
      <c r="BK1092" s="588" t="n"/>
      <c r="BL1092" s="588" t="n"/>
      <c r="BM1092" s="588" t="n"/>
      <c r="BN1092" s="588" t="n"/>
      <c r="BO1092" s="588" t="n"/>
      <c r="BP1092" s="588" t="n"/>
      <c r="BQ1092" s="588" t="n"/>
      <c r="BR1092" s="588" t="n"/>
      <c r="BS1092" s="588" t="n"/>
      <c r="BT1092" s="588" t="n"/>
      <c r="BU1092" s="588" t="n"/>
      <c r="BV1092" s="588" t="n"/>
      <c r="BW1092" s="588" t="n"/>
      <c r="BX1092" s="588" t="n"/>
      <c r="BY1092" s="588" t="n"/>
      <c r="BZ1092" s="588" t="n"/>
      <c r="CA1092" s="588" t="n"/>
      <c r="CB1092" s="588" t="n"/>
      <c r="CC1092" s="588" t="n"/>
      <c r="CD1092" s="588" t="n"/>
      <c r="CE1092" s="588" t="n"/>
      <c r="CF1092" s="588" t="n"/>
      <c r="CG1092" s="588" t="n"/>
      <c r="CH1092" s="588" t="n"/>
      <c r="CI1092" s="588" t="n"/>
      <c r="CJ1092" s="588" t="n"/>
      <c r="CK1092" s="588" t="n"/>
      <c r="CL1092" s="588" t="n"/>
      <c r="CM1092" s="588" t="n"/>
      <c r="CN1092" s="588" t="n"/>
      <c r="CO1092" s="588" t="n"/>
      <c r="CP1092" s="588" t="n"/>
      <c r="CQ1092" s="588" t="n"/>
      <c r="CR1092" s="588" t="n"/>
      <c r="CS1092" s="588" t="n"/>
      <c r="CT1092" s="588" t="n"/>
      <c r="CU1092" s="588" t="n"/>
      <c r="CV1092" s="588" t="n"/>
      <c r="CW1092" s="588" t="n"/>
      <c r="CX1092" s="588" t="n"/>
      <c r="CY1092" s="588" t="n"/>
      <c r="CZ1092" s="588" t="n"/>
      <c r="DA1092" s="588" t="n"/>
      <c r="DB1092" s="588" t="n"/>
      <c r="DC1092" s="588" t="n"/>
      <c r="DD1092" s="588" t="n"/>
      <c r="DE1092" s="588" t="n"/>
      <c r="DF1092" s="588" t="n"/>
      <c r="DG1092" s="588" t="n"/>
      <c r="DH1092" s="588" t="n"/>
      <c r="DI1092" s="588" t="n"/>
      <c r="DJ1092" s="588" t="n"/>
      <c r="DK1092" s="588" t="n"/>
      <c r="DL1092" s="588" t="n"/>
      <c r="DM1092" s="588" t="n"/>
      <c r="DN1092" s="588" t="n"/>
      <c r="DO1092" s="588" t="n"/>
      <c r="DP1092" s="588" t="n"/>
      <c r="DQ1092" s="588" t="n"/>
      <c r="DR1092" s="588" t="n"/>
      <c r="DS1092" s="588" t="n"/>
      <c r="DT1092" s="588" t="n"/>
      <c r="DU1092" s="588" t="n"/>
    </row>
    <row r="1093">
      <c r="A1093" s="737" t="n"/>
      <c r="B1093" s="737" t="n"/>
      <c r="C1093" s="737" t="n"/>
      <c r="D1093" s="737" t="n"/>
      <c r="E1093" s="737" t="n"/>
      <c r="F1093" s="737" t="n"/>
      <c r="G1093" s="737" t="n"/>
      <c r="H1093" s="737" t="n"/>
      <c r="I1093" s="737" t="n"/>
      <c r="J1093" s="737" t="n"/>
      <c r="K1093" s="737" t="n"/>
      <c r="L1093" s="737" t="n"/>
      <c r="M1093" s="737" t="n"/>
      <c r="N1093" s="737" t="n"/>
      <c r="O1093" s="737" t="n"/>
      <c r="P1093" s="737" t="n"/>
      <c r="Q1093" s="737" t="n"/>
      <c r="R1093" s="737" t="n"/>
      <c r="S1093" s="737" t="n"/>
      <c r="T1093" s="737" t="n"/>
      <c r="U1093" s="737" t="n"/>
      <c r="V1093" s="737" t="n"/>
      <c r="W1093" s="737" t="n"/>
      <c r="X1093" s="737" t="n"/>
      <c r="Y1093" s="737" t="n"/>
      <c r="Z1093" s="737" t="n"/>
      <c r="AA1093" s="737" t="n"/>
      <c r="AB1093" s="737" t="n"/>
      <c r="AC1093" s="737" t="n"/>
      <c r="AD1093" s="737" t="n"/>
      <c r="AE1093" s="737" t="n"/>
      <c r="AF1093" s="737" t="n"/>
      <c r="AG1093" s="737" t="n"/>
      <c r="AH1093" s="737" t="n"/>
      <c r="AI1093" s="737" t="n"/>
      <c r="AJ1093" s="737" t="n"/>
      <c r="AK1093" s="588" t="n"/>
      <c r="AL1093" s="588" t="n"/>
      <c r="AM1093" s="588" t="n"/>
      <c r="AN1093" s="588" t="n"/>
      <c r="AO1093" s="588" t="n"/>
      <c r="AP1093" s="588" t="n"/>
      <c r="AQ1093" s="588" t="n"/>
      <c r="AR1093" s="588" t="n"/>
      <c r="AS1093" s="588" t="n"/>
      <c r="AT1093" s="588" t="n"/>
      <c r="AU1093" s="588" t="n"/>
      <c r="AV1093" s="588" t="n"/>
      <c r="AW1093" s="588" t="n"/>
      <c r="AX1093" s="588" t="n"/>
      <c r="AY1093" s="588" t="n"/>
      <c r="AZ1093" s="588" t="n"/>
      <c r="BA1093" s="588" t="n"/>
      <c r="BB1093" s="588" t="n"/>
      <c r="BC1093" s="588" t="n"/>
      <c r="BD1093" s="588" t="n"/>
      <c r="BE1093" s="588" t="n"/>
      <c r="BF1093" s="588" t="n"/>
      <c r="BG1093" s="588" t="n"/>
      <c r="BH1093" s="588" t="n"/>
      <c r="BI1093" s="588" t="n"/>
      <c r="BJ1093" s="588" t="n"/>
      <c r="BK1093" s="588" t="n"/>
      <c r="BL1093" s="588" t="n"/>
      <c r="BM1093" s="588" t="n"/>
      <c r="BN1093" s="588" t="n"/>
      <c r="BO1093" s="588" t="n"/>
      <c r="BP1093" s="588" t="n"/>
      <c r="BQ1093" s="588" t="n"/>
      <c r="BR1093" s="588" t="n"/>
      <c r="BS1093" s="588" t="n"/>
      <c r="BT1093" s="588" t="n"/>
      <c r="BU1093" s="588" t="n"/>
      <c r="BV1093" s="588" t="n"/>
      <c r="BW1093" s="588" t="n"/>
      <c r="BX1093" s="588" t="n"/>
      <c r="BY1093" s="588" t="n"/>
      <c r="BZ1093" s="588" t="n"/>
      <c r="CA1093" s="588" t="n"/>
      <c r="CB1093" s="588" t="n"/>
      <c r="CC1093" s="588" t="n"/>
      <c r="CD1093" s="588" t="n"/>
      <c r="CE1093" s="588" t="n"/>
      <c r="CF1093" s="588" t="n"/>
      <c r="CG1093" s="588" t="n"/>
      <c r="CH1093" s="588" t="n"/>
      <c r="CI1093" s="588" t="n"/>
      <c r="CJ1093" s="588" t="n"/>
      <c r="CK1093" s="588" t="n"/>
      <c r="CL1093" s="588" t="n"/>
      <c r="CM1093" s="588" t="n"/>
      <c r="CN1093" s="588" t="n"/>
      <c r="CO1093" s="588" t="n"/>
      <c r="CP1093" s="588" t="n"/>
      <c r="CQ1093" s="588" t="n"/>
      <c r="CR1093" s="588" t="n"/>
      <c r="CS1093" s="588" t="n"/>
      <c r="CT1093" s="588" t="n"/>
      <c r="CU1093" s="588" t="n"/>
      <c r="CV1093" s="588" t="n"/>
      <c r="CW1093" s="588" t="n"/>
      <c r="CX1093" s="588" t="n"/>
      <c r="CY1093" s="588" t="n"/>
      <c r="CZ1093" s="588" t="n"/>
      <c r="DA1093" s="588" t="n"/>
      <c r="DB1093" s="588" t="n"/>
      <c r="DC1093" s="588" t="n"/>
      <c r="DD1093" s="588" t="n"/>
      <c r="DE1093" s="588" t="n"/>
      <c r="DF1093" s="588" t="n"/>
      <c r="DG1093" s="588" t="n"/>
      <c r="DH1093" s="588" t="n"/>
      <c r="DI1093" s="588" t="n"/>
      <c r="DJ1093" s="588" t="n"/>
      <c r="DK1093" s="588" t="n"/>
      <c r="DL1093" s="588" t="n"/>
      <c r="DM1093" s="588" t="n"/>
      <c r="DN1093" s="588" t="n"/>
      <c r="DO1093" s="588" t="n"/>
      <c r="DP1093" s="588" t="n"/>
      <c r="DQ1093" s="588" t="n"/>
      <c r="DR1093" s="588" t="n"/>
      <c r="DS1093" s="588" t="n"/>
      <c r="DT1093" s="588" t="n"/>
      <c r="DU1093" s="588" t="n"/>
    </row>
    <row r="1094">
      <c r="A1094" s="737" t="n"/>
      <c r="B1094" s="737" t="n"/>
      <c r="C1094" s="737" t="n"/>
      <c r="D1094" s="737" t="n"/>
      <c r="E1094" s="737" t="n"/>
      <c r="F1094" s="737" t="n"/>
      <c r="G1094" s="737" t="n"/>
      <c r="H1094" s="737" t="n"/>
      <c r="I1094" s="737" t="n"/>
      <c r="J1094" s="737" t="n"/>
      <c r="K1094" s="737" t="n"/>
      <c r="L1094" s="737" t="n"/>
      <c r="M1094" s="737" t="n"/>
      <c r="N1094" s="737" t="n"/>
      <c r="O1094" s="737" t="n"/>
      <c r="P1094" s="737" t="n"/>
      <c r="Q1094" s="737" t="n"/>
      <c r="R1094" s="737" t="n"/>
      <c r="S1094" s="737" t="n"/>
      <c r="T1094" s="737" t="n"/>
      <c r="U1094" s="737" t="n"/>
      <c r="V1094" s="737" t="n"/>
      <c r="W1094" s="737" t="n"/>
      <c r="X1094" s="737" t="n"/>
      <c r="Y1094" s="737" t="n"/>
      <c r="Z1094" s="737" t="n"/>
      <c r="AA1094" s="737" t="n"/>
      <c r="AB1094" s="737" t="n"/>
      <c r="AC1094" s="737" t="n"/>
      <c r="AD1094" s="737" t="n"/>
      <c r="AE1094" s="737" t="n"/>
      <c r="AF1094" s="737" t="n"/>
      <c r="AG1094" s="737" t="n"/>
      <c r="AH1094" s="737" t="n"/>
      <c r="AI1094" s="737" t="n"/>
      <c r="AJ1094" s="737" t="n"/>
      <c r="AK1094" s="588" t="n"/>
      <c r="AL1094" s="588" t="n"/>
      <c r="AM1094" s="588" t="n"/>
      <c r="AN1094" s="588" t="n"/>
      <c r="AO1094" s="588" t="n"/>
      <c r="AP1094" s="588" t="n"/>
      <c r="AQ1094" s="588" t="n"/>
      <c r="AR1094" s="588" t="n"/>
      <c r="AS1094" s="588" t="n"/>
      <c r="AT1094" s="588" t="n"/>
      <c r="AU1094" s="588" t="n"/>
      <c r="AV1094" s="588" t="n"/>
      <c r="AW1094" s="588" t="n"/>
      <c r="AX1094" s="588" t="n"/>
      <c r="AY1094" s="588" t="n"/>
      <c r="AZ1094" s="588" t="n"/>
      <c r="BA1094" s="588" t="n"/>
      <c r="BB1094" s="588" t="n"/>
      <c r="BC1094" s="588" t="n"/>
      <c r="BD1094" s="588" t="n"/>
      <c r="BE1094" s="588" t="n"/>
      <c r="BF1094" s="588" t="n"/>
      <c r="BG1094" s="588" t="n"/>
      <c r="BH1094" s="588" t="n"/>
      <c r="BI1094" s="588" t="n"/>
      <c r="BJ1094" s="588" t="n"/>
      <c r="BK1094" s="588" t="n"/>
      <c r="BL1094" s="588" t="n"/>
      <c r="BM1094" s="588" t="n"/>
      <c r="BN1094" s="588" t="n"/>
      <c r="BO1094" s="588" t="n"/>
      <c r="BP1094" s="588" t="n"/>
      <c r="BQ1094" s="588" t="n"/>
      <c r="BR1094" s="588" t="n"/>
      <c r="BS1094" s="588" t="n"/>
      <c r="BT1094" s="588" t="n"/>
      <c r="BU1094" s="588" t="n"/>
      <c r="BV1094" s="588" t="n"/>
      <c r="BW1094" s="588" t="n"/>
      <c r="BX1094" s="588" t="n"/>
      <c r="BY1094" s="588" t="n"/>
      <c r="BZ1094" s="588" t="n"/>
      <c r="CA1094" s="588" t="n"/>
      <c r="CB1094" s="588" t="n"/>
      <c r="CC1094" s="588" t="n"/>
      <c r="CD1094" s="588" t="n"/>
      <c r="CE1094" s="588" t="n"/>
      <c r="CF1094" s="588" t="n"/>
      <c r="CG1094" s="588" t="n"/>
      <c r="CH1094" s="588" t="n"/>
      <c r="CI1094" s="588" t="n"/>
      <c r="CJ1094" s="588" t="n"/>
      <c r="CK1094" s="588" t="n"/>
      <c r="CL1094" s="588" t="n"/>
      <c r="CM1094" s="588" t="n"/>
      <c r="CN1094" s="588" t="n"/>
      <c r="CO1094" s="588" t="n"/>
      <c r="CP1094" s="588" t="n"/>
      <c r="CQ1094" s="588" t="n"/>
      <c r="CR1094" s="588" t="n"/>
      <c r="CS1094" s="588" t="n"/>
      <c r="CT1094" s="588" t="n"/>
      <c r="CU1094" s="588" t="n"/>
      <c r="CV1094" s="588" t="n"/>
      <c r="CW1094" s="588" t="n"/>
      <c r="CX1094" s="588" t="n"/>
      <c r="CY1094" s="588" t="n"/>
      <c r="CZ1094" s="588" t="n"/>
      <c r="DA1094" s="588" t="n"/>
      <c r="DB1094" s="588" t="n"/>
      <c r="DC1094" s="588" t="n"/>
      <c r="DD1094" s="588" t="n"/>
      <c r="DE1094" s="588" t="n"/>
      <c r="DF1094" s="588" t="n"/>
      <c r="DG1094" s="588" t="n"/>
      <c r="DH1094" s="588" t="n"/>
      <c r="DI1094" s="588" t="n"/>
      <c r="DJ1094" s="588" t="n"/>
      <c r="DK1094" s="588" t="n"/>
      <c r="DL1094" s="588" t="n"/>
      <c r="DM1094" s="588" t="n"/>
      <c r="DN1094" s="588" t="n"/>
      <c r="DO1094" s="588" t="n"/>
      <c r="DP1094" s="588" t="n"/>
      <c r="DQ1094" s="588" t="n"/>
      <c r="DR1094" s="588" t="n"/>
      <c r="DS1094" s="588" t="n"/>
      <c r="DT1094" s="588" t="n"/>
      <c r="DU1094" s="588" t="n"/>
    </row>
    <row r="1095">
      <c r="A1095" s="737" t="n"/>
      <c r="B1095" s="737" t="n"/>
      <c r="C1095" s="737" t="n"/>
      <c r="D1095" s="737" t="n"/>
      <c r="E1095" s="737" t="n"/>
      <c r="F1095" s="737" t="n"/>
      <c r="G1095" s="737" t="n"/>
      <c r="H1095" s="737" t="n"/>
      <c r="I1095" s="737" t="n"/>
      <c r="J1095" s="737" t="n"/>
      <c r="K1095" s="737" t="n"/>
      <c r="L1095" s="737" t="n"/>
      <c r="M1095" s="737" t="n"/>
      <c r="N1095" s="737" t="n"/>
      <c r="O1095" s="737" t="n"/>
      <c r="P1095" s="737" t="n"/>
      <c r="Q1095" s="737" t="n"/>
      <c r="R1095" s="737" t="n"/>
      <c r="S1095" s="737" t="n"/>
      <c r="T1095" s="737" t="n"/>
      <c r="U1095" s="737" t="n"/>
      <c r="V1095" s="737" t="n"/>
      <c r="W1095" s="737" t="n"/>
      <c r="X1095" s="737" t="n"/>
      <c r="Y1095" s="737" t="n"/>
      <c r="Z1095" s="737" t="n"/>
      <c r="AA1095" s="737" t="n"/>
      <c r="AB1095" s="737" t="n"/>
      <c r="AC1095" s="737" t="n"/>
      <c r="AD1095" s="737" t="n"/>
      <c r="AE1095" s="737" t="n"/>
      <c r="AF1095" s="737" t="n"/>
      <c r="AG1095" s="737" t="n"/>
      <c r="AH1095" s="737" t="n"/>
      <c r="AI1095" s="737" t="n"/>
      <c r="AJ1095" s="737" t="n"/>
      <c r="AK1095" s="588" t="n"/>
      <c r="AL1095" s="588" t="n"/>
      <c r="AM1095" s="588" t="n"/>
      <c r="AN1095" s="588" t="n"/>
      <c r="AO1095" s="588" t="n"/>
      <c r="AP1095" s="588" t="n"/>
      <c r="AQ1095" s="588" t="n"/>
      <c r="AR1095" s="588" t="n"/>
      <c r="AS1095" s="588" t="n"/>
      <c r="AT1095" s="588" t="n"/>
      <c r="AU1095" s="588" t="n"/>
      <c r="AV1095" s="588" t="n"/>
      <c r="AW1095" s="588" t="n"/>
      <c r="AX1095" s="588" t="n"/>
      <c r="AY1095" s="588" t="n"/>
      <c r="AZ1095" s="588" t="n"/>
      <c r="BA1095" s="588" t="n"/>
      <c r="BB1095" s="588" t="n"/>
      <c r="BC1095" s="588" t="n"/>
      <c r="BD1095" s="588" t="n"/>
      <c r="BE1095" s="588" t="n"/>
      <c r="BF1095" s="588" t="n"/>
      <c r="BG1095" s="588" t="n"/>
      <c r="BH1095" s="588" t="n"/>
      <c r="BI1095" s="588" t="n"/>
      <c r="BJ1095" s="588" t="n"/>
      <c r="BK1095" s="588" t="n"/>
      <c r="BL1095" s="588" t="n"/>
      <c r="BM1095" s="588" t="n"/>
      <c r="BN1095" s="588" t="n"/>
      <c r="BO1095" s="588" t="n"/>
      <c r="BP1095" s="588" t="n"/>
      <c r="BQ1095" s="588" t="n"/>
      <c r="BR1095" s="588" t="n"/>
      <c r="BS1095" s="588" t="n"/>
      <c r="BT1095" s="588" t="n"/>
      <c r="BU1095" s="588" t="n"/>
      <c r="BV1095" s="588" t="n"/>
      <c r="BW1095" s="588" t="n"/>
      <c r="BX1095" s="588" t="n"/>
      <c r="BY1095" s="588" t="n"/>
      <c r="BZ1095" s="588" t="n"/>
      <c r="CA1095" s="588" t="n"/>
      <c r="CB1095" s="588" t="n"/>
      <c r="CC1095" s="588" t="n"/>
      <c r="CD1095" s="588" t="n"/>
      <c r="CE1095" s="588" t="n"/>
      <c r="CF1095" s="588" t="n"/>
      <c r="CG1095" s="588" t="n"/>
      <c r="CH1095" s="588" t="n"/>
      <c r="CI1095" s="588" t="n"/>
      <c r="CJ1095" s="588" t="n"/>
      <c r="CK1095" s="588" t="n"/>
      <c r="CL1095" s="588" t="n"/>
      <c r="CM1095" s="588" t="n"/>
      <c r="CN1095" s="588" t="n"/>
      <c r="CO1095" s="588" t="n"/>
      <c r="CP1095" s="588" t="n"/>
      <c r="CQ1095" s="588" t="n"/>
      <c r="CR1095" s="588" t="n"/>
      <c r="CS1095" s="588" t="n"/>
      <c r="CT1095" s="588" t="n"/>
      <c r="CU1095" s="588" t="n"/>
      <c r="CV1095" s="588" t="n"/>
      <c r="CW1095" s="588" t="n"/>
      <c r="CX1095" s="588" t="n"/>
      <c r="CY1095" s="588" t="n"/>
      <c r="CZ1095" s="588" t="n"/>
      <c r="DA1095" s="588" t="n"/>
      <c r="DB1095" s="588" t="n"/>
      <c r="DC1095" s="588" t="n"/>
      <c r="DD1095" s="588" t="n"/>
      <c r="DE1095" s="588" t="n"/>
      <c r="DF1095" s="588" t="n"/>
      <c r="DG1095" s="588" t="n"/>
      <c r="DH1095" s="588" t="n"/>
      <c r="DI1095" s="588" t="n"/>
      <c r="DJ1095" s="588" t="n"/>
      <c r="DK1095" s="588" t="n"/>
      <c r="DL1095" s="588" t="n"/>
      <c r="DM1095" s="588" t="n"/>
      <c r="DN1095" s="588" t="n"/>
      <c r="DO1095" s="588" t="n"/>
      <c r="DP1095" s="588" t="n"/>
      <c r="DQ1095" s="588" t="n"/>
      <c r="DR1095" s="588" t="n"/>
      <c r="DS1095" s="588" t="n"/>
      <c r="DT1095" s="588" t="n"/>
      <c r="DU1095" s="588" t="n"/>
    </row>
    <row r="1096">
      <c r="A1096" s="737" t="n"/>
      <c r="B1096" s="737" t="n"/>
      <c r="C1096" s="737" t="n"/>
      <c r="D1096" s="737" t="n"/>
      <c r="E1096" s="737" t="n"/>
      <c r="F1096" s="737" t="n"/>
      <c r="G1096" s="737" t="n"/>
      <c r="H1096" s="737" t="n"/>
      <c r="I1096" s="737" t="n"/>
      <c r="J1096" s="737" t="n"/>
      <c r="K1096" s="737" t="n"/>
      <c r="L1096" s="737" t="n"/>
      <c r="M1096" s="737" t="n"/>
      <c r="N1096" s="737" t="n"/>
      <c r="O1096" s="737" t="n"/>
      <c r="P1096" s="737" t="n"/>
      <c r="Q1096" s="737" t="n"/>
      <c r="R1096" s="737" t="n"/>
      <c r="S1096" s="737" t="n"/>
      <c r="T1096" s="737" t="n"/>
      <c r="U1096" s="737" t="n"/>
      <c r="V1096" s="737" t="n"/>
      <c r="W1096" s="737" t="n"/>
      <c r="X1096" s="737" t="n"/>
      <c r="Y1096" s="737" t="n"/>
      <c r="Z1096" s="737" t="n"/>
      <c r="AA1096" s="737" t="n"/>
      <c r="AB1096" s="737" t="n"/>
      <c r="AC1096" s="737" t="n"/>
      <c r="AD1096" s="737" t="n"/>
      <c r="AE1096" s="737" t="n"/>
      <c r="AF1096" s="737" t="n"/>
      <c r="AG1096" s="737" t="n"/>
      <c r="AH1096" s="737" t="n"/>
      <c r="AI1096" s="737" t="n"/>
      <c r="AJ1096" s="737" t="n"/>
      <c r="AK1096" s="588" t="n"/>
      <c r="AL1096" s="588" t="n"/>
      <c r="AM1096" s="588" t="n"/>
      <c r="AN1096" s="588" t="n"/>
      <c r="AO1096" s="588" t="n"/>
      <c r="AP1096" s="588" t="n"/>
      <c r="AQ1096" s="588" t="n"/>
      <c r="AR1096" s="588" t="n"/>
      <c r="AS1096" s="588" t="n"/>
      <c r="AT1096" s="588" t="n"/>
      <c r="AU1096" s="588" t="n"/>
      <c r="AV1096" s="588" t="n"/>
      <c r="AW1096" s="588" t="n"/>
      <c r="AX1096" s="588" t="n"/>
      <c r="AY1096" s="588" t="n"/>
      <c r="AZ1096" s="588" t="n"/>
      <c r="BA1096" s="588" t="n"/>
      <c r="BB1096" s="588" t="n"/>
      <c r="BC1096" s="588" t="n"/>
      <c r="BD1096" s="588" t="n"/>
      <c r="BE1096" s="588" t="n"/>
      <c r="BF1096" s="588" t="n"/>
      <c r="BG1096" s="588" t="n"/>
      <c r="BH1096" s="588" t="n"/>
      <c r="BI1096" s="588" t="n"/>
      <c r="BJ1096" s="588" t="n"/>
      <c r="BK1096" s="588" t="n"/>
      <c r="BL1096" s="588" t="n"/>
      <c r="BM1096" s="588" t="n"/>
      <c r="BN1096" s="588" t="n"/>
      <c r="BO1096" s="588" t="n"/>
      <c r="BP1096" s="588" t="n"/>
      <c r="BQ1096" s="588" t="n"/>
      <c r="BR1096" s="588" t="n"/>
      <c r="BS1096" s="588" t="n"/>
      <c r="BT1096" s="588" t="n"/>
      <c r="BU1096" s="588" t="n"/>
      <c r="BV1096" s="588" t="n"/>
      <c r="BW1096" s="588" t="n"/>
      <c r="BX1096" s="588" t="n"/>
      <c r="BY1096" s="588" t="n"/>
      <c r="BZ1096" s="588" t="n"/>
      <c r="CA1096" s="588" t="n"/>
      <c r="CB1096" s="588" t="n"/>
      <c r="CC1096" s="588" t="n"/>
      <c r="CD1096" s="588" t="n"/>
      <c r="CE1096" s="588" t="n"/>
      <c r="CF1096" s="588" t="n"/>
      <c r="CG1096" s="588" t="n"/>
      <c r="CH1096" s="588" t="n"/>
      <c r="CI1096" s="588" t="n"/>
      <c r="CJ1096" s="588" t="n"/>
      <c r="CK1096" s="588" t="n"/>
      <c r="CL1096" s="588" t="n"/>
      <c r="CM1096" s="588" t="n"/>
      <c r="CN1096" s="588" t="n"/>
      <c r="CO1096" s="588" t="n"/>
      <c r="CP1096" s="588" t="n"/>
      <c r="CQ1096" s="588" t="n"/>
      <c r="CR1096" s="588" t="n"/>
      <c r="CS1096" s="588" t="n"/>
      <c r="CT1096" s="588" t="n"/>
      <c r="CU1096" s="588" t="n"/>
      <c r="CV1096" s="588" t="n"/>
      <c r="CW1096" s="588" t="n"/>
      <c r="CX1096" s="588" t="n"/>
      <c r="CY1096" s="588" t="n"/>
      <c r="CZ1096" s="588" t="n"/>
      <c r="DA1096" s="588" t="n"/>
      <c r="DB1096" s="588" t="n"/>
      <c r="DC1096" s="588" t="n"/>
      <c r="DD1096" s="588" t="n"/>
      <c r="DE1096" s="588" t="n"/>
      <c r="DF1096" s="588" t="n"/>
      <c r="DG1096" s="588" t="n"/>
      <c r="DH1096" s="588" t="n"/>
      <c r="DI1096" s="588" t="n"/>
      <c r="DJ1096" s="588" t="n"/>
      <c r="DK1096" s="588" t="n"/>
      <c r="DL1096" s="588" t="n"/>
      <c r="DM1096" s="588" t="n"/>
      <c r="DN1096" s="588" t="n"/>
      <c r="DO1096" s="588" t="n"/>
      <c r="DP1096" s="588" t="n"/>
      <c r="DQ1096" s="588" t="n"/>
      <c r="DR1096" s="588" t="n"/>
      <c r="DS1096" s="588" t="n"/>
      <c r="DT1096" s="588" t="n"/>
      <c r="DU1096" s="588" t="n"/>
    </row>
    <row r="1097">
      <c r="A1097" s="737" t="n"/>
      <c r="B1097" s="737" t="n"/>
      <c r="C1097" s="737" t="n"/>
      <c r="D1097" s="737" t="n"/>
      <c r="E1097" s="737" t="n"/>
      <c r="F1097" s="737" t="n"/>
      <c r="G1097" s="737" t="n"/>
      <c r="H1097" s="737" t="n"/>
      <c r="I1097" s="737" t="n"/>
      <c r="J1097" s="737" t="n"/>
      <c r="K1097" s="737" t="n"/>
      <c r="L1097" s="737" t="n"/>
      <c r="M1097" s="737" t="n"/>
      <c r="N1097" s="737" t="n"/>
      <c r="O1097" s="737" t="n"/>
      <c r="P1097" s="737" t="n"/>
      <c r="Q1097" s="737" t="n"/>
      <c r="R1097" s="737" t="n"/>
      <c r="S1097" s="737" t="n"/>
      <c r="T1097" s="737" t="n"/>
      <c r="U1097" s="737" t="n"/>
      <c r="V1097" s="737" t="n"/>
      <c r="W1097" s="737" t="n"/>
      <c r="X1097" s="737" t="n"/>
      <c r="Y1097" s="737" t="n"/>
      <c r="Z1097" s="737" t="n"/>
      <c r="AA1097" s="737" t="n"/>
      <c r="AB1097" s="737" t="n"/>
      <c r="AC1097" s="737" t="n"/>
      <c r="AD1097" s="737" t="n"/>
      <c r="AE1097" s="737" t="n"/>
      <c r="AF1097" s="737" t="n"/>
      <c r="AG1097" s="737" t="n"/>
      <c r="AH1097" s="737" t="n"/>
      <c r="AI1097" s="737" t="n"/>
      <c r="AJ1097" s="737" t="n"/>
      <c r="AK1097" s="588" t="n"/>
      <c r="AL1097" s="588" t="n"/>
      <c r="AM1097" s="588" t="n"/>
      <c r="AN1097" s="588" t="n"/>
      <c r="AO1097" s="588" t="n"/>
      <c r="AP1097" s="588" t="n"/>
      <c r="AQ1097" s="588" t="n"/>
      <c r="AR1097" s="588" t="n"/>
      <c r="AS1097" s="588" t="n"/>
      <c r="AT1097" s="588" t="n"/>
      <c r="AU1097" s="588" t="n"/>
      <c r="AV1097" s="588" t="n"/>
      <c r="AW1097" s="588" t="n"/>
      <c r="AX1097" s="588" t="n"/>
      <c r="AY1097" s="588" t="n"/>
      <c r="AZ1097" s="588" t="n"/>
      <c r="BA1097" s="588" t="n"/>
      <c r="BB1097" s="588" t="n"/>
      <c r="BC1097" s="588" t="n"/>
      <c r="BD1097" s="588" t="n"/>
      <c r="BE1097" s="588" t="n"/>
      <c r="BF1097" s="588" t="n"/>
      <c r="BG1097" s="588" t="n"/>
      <c r="BH1097" s="588" t="n"/>
      <c r="BI1097" s="588" t="n"/>
      <c r="BJ1097" s="588" t="n"/>
      <c r="BK1097" s="588" t="n"/>
      <c r="BL1097" s="588" t="n"/>
      <c r="BM1097" s="588" t="n"/>
      <c r="BN1097" s="588" t="n"/>
      <c r="BO1097" s="588" t="n"/>
      <c r="BP1097" s="588" t="n"/>
      <c r="BQ1097" s="588" t="n"/>
      <c r="BR1097" s="588" t="n"/>
      <c r="BS1097" s="588" t="n"/>
      <c r="BT1097" s="588" t="n"/>
      <c r="BU1097" s="588" t="n"/>
      <c r="BV1097" s="588" t="n"/>
      <c r="BW1097" s="588" t="n"/>
      <c r="BX1097" s="588" t="n"/>
      <c r="BY1097" s="588" t="n"/>
      <c r="BZ1097" s="588" t="n"/>
      <c r="CA1097" s="588" t="n"/>
      <c r="CB1097" s="588" t="n"/>
      <c r="CC1097" s="588" t="n"/>
      <c r="CD1097" s="588" t="n"/>
      <c r="CE1097" s="588" t="n"/>
      <c r="CF1097" s="588" t="n"/>
      <c r="CG1097" s="588" t="n"/>
      <c r="CH1097" s="588" t="n"/>
      <c r="CI1097" s="588" t="n"/>
      <c r="CJ1097" s="588" t="n"/>
      <c r="CK1097" s="588" t="n"/>
      <c r="CL1097" s="588" t="n"/>
      <c r="CM1097" s="588" t="n"/>
      <c r="CN1097" s="588" t="n"/>
      <c r="CO1097" s="588" t="n"/>
      <c r="CP1097" s="588" t="n"/>
      <c r="CQ1097" s="588" t="n"/>
      <c r="CR1097" s="588" t="n"/>
      <c r="CS1097" s="588" t="n"/>
      <c r="CT1097" s="588" t="n"/>
      <c r="CU1097" s="588" t="n"/>
      <c r="CV1097" s="588" t="n"/>
      <c r="CW1097" s="588" t="n"/>
      <c r="CX1097" s="588" t="n"/>
      <c r="CY1097" s="588" t="n"/>
      <c r="CZ1097" s="588" t="n"/>
      <c r="DA1097" s="588" t="n"/>
      <c r="DB1097" s="588" t="n"/>
      <c r="DC1097" s="588" t="n"/>
      <c r="DD1097" s="588" t="n"/>
      <c r="DE1097" s="588" t="n"/>
      <c r="DF1097" s="588" t="n"/>
      <c r="DG1097" s="588" t="n"/>
      <c r="DH1097" s="588" t="n"/>
      <c r="DI1097" s="588" t="n"/>
      <c r="DJ1097" s="588" t="n"/>
      <c r="DK1097" s="588" t="n"/>
      <c r="DL1097" s="588" t="n"/>
      <c r="DM1097" s="588" t="n"/>
      <c r="DN1097" s="588" t="n"/>
      <c r="DO1097" s="588" t="n"/>
      <c r="DP1097" s="588" t="n"/>
      <c r="DQ1097" s="588" t="n"/>
      <c r="DR1097" s="588" t="n"/>
      <c r="DS1097" s="588" t="n"/>
      <c r="DT1097" s="588" t="n"/>
      <c r="DU1097" s="588" t="n"/>
    </row>
    <row r="1098">
      <c r="A1098" s="737" t="n"/>
      <c r="B1098" s="737" t="n"/>
      <c r="C1098" s="737" t="n"/>
      <c r="D1098" s="737" t="n"/>
      <c r="E1098" s="737" t="n"/>
      <c r="F1098" s="737" t="n"/>
      <c r="G1098" s="737" t="n"/>
      <c r="H1098" s="737" t="n"/>
      <c r="I1098" s="737" t="n"/>
      <c r="J1098" s="737" t="n"/>
      <c r="K1098" s="737" t="n"/>
      <c r="L1098" s="737" t="n"/>
      <c r="M1098" s="737" t="n"/>
      <c r="N1098" s="737" t="n"/>
      <c r="O1098" s="737" t="n"/>
      <c r="P1098" s="737" t="n"/>
      <c r="Q1098" s="737" t="n"/>
      <c r="R1098" s="737" t="n"/>
      <c r="S1098" s="737" t="n"/>
      <c r="T1098" s="737" t="n"/>
      <c r="U1098" s="737" t="n"/>
      <c r="V1098" s="737" t="n"/>
      <c r="W1098" s="737" t="n"/>
      <c r="X1098" s="737" t="n"/>
      <c r="Y1098" s="737" t="n"/>
      <c r="Z1098" s="737" t="n"/>
      <c r="AA1098" s="737" t="n"/>
      <c r="AB1098" s="737" t="n"/>
      <c r="AC1098" s="737" t="n"/>
      <c r="AD1098" s="737" t="n"/>
      <c r="AE1098" s="737" t="n"/>
      <c r="AF1098" s="737" t="n"/>
      <c r="AG1098" s="737" t="n"/>
      <c r="AH1098" s="737" t="n"/>
      <c r="AI1098" s="737" t="n"/>
      <c r="AJ1098" s="737" t="n"/>
      <c r="AK1098" s="588" t="n"/>
      <c r="AL1098" s="588" t="n"/>
      <c r="AM1098" s="588" t="n"/>
      <c r="AN1098" s="588" t="n"/>
      <c r="AO1098" s="588" t="n"/>
      <c r="AP1098" s="588" t="n"/>
      <c r="AQ1098" s="588" t="n"/>
      <c r="AR1098" s="588" t="n"/>
      <c r="AS1098" s="588" t="n"/>
      <c r="AT1098" s="588" t="n"/>
      <c r="AU1098" s="588" t="n"/>
      <c r="AV1098" s="588" t="n"/>
      <c r="AW1098" s="588" t="n"/>
      <c r="AX1098" s="588" t="n"/>
      <c r="AY1098" s="588" t="n"/>
      <c r="AZ1098" s="588" t="n"/>
      <c r="BA1098" s="588" t="n"/>
      <c r="BB1098" s="588" t="n"/>
      <c r="BC1098" s="588" t="n"/>
      <c r="BD1098" s="588" t="n"/>
      <c r="BE1098" s="588" t="n"/>
      <c r="BF1098" s="588" t="n"/>
      <c r="BG1098" s="588" t="n"/>
      <c r="BH1098" s="588" t="n"/>
      <c r="BI1098" s="588" t="n"/>
      <c r="BJ1098" s="588" t="n"/>
      <c r="BK1098" s="588" t="n"/>
      <c r="BL1098" s="588" t="n"/>
      <c r="BM1098" s="588" t="n"/>
      <c r="BN1098" s="588" t="n"/>
      <c r="BO1098" s="588" t="n"/>
      <c r="BP1098" s="588" t="n"/>
      <c r="BQ1098" s="588" t="n"/>
      <c r="BR1098" s="588" t="n"/>
      <c r="BS1098" s="588" t="n"/>
      <c r="BT1098" s="588" t="n"/>
      <c r="BU1098" s="588" t="n"/>
      <c r="BV1098" s="588" t="n"/>
      <c r="BW1098" s="588" t="n"/>
      <c r="BX1098" s="588" t="n"/>
      <c r="BY1098" s="588" t="n"/>
      <c r="BZ1098" s="588" t="n"/>
      <c r="CA1098" s="588" t="n"/>
      <c r="CB1098" s="588" t="n"/>
      <c r="CC1098" s="588" t="n"/>
      <c r="CD1098" s="588" t="n"/>
      <c r="CE1098" s="588" t="n"/>
      <c r="CF1098" s="588" t="n"/>
      <c r="CG1098" s="588" t="n"/>
      <c r="CH1098" s="588" t="n"/>
      <c r="CI1098" s="588" t="n"/>
      <c r="CJ1098" s="588" t="n"/>
      <c r="CK1098" s="588" t="n"/>
      <c r="CL1098" s="588" t="n"/>
      <c r="CM1098" s="588" t="n"/>
      <c r="CN1098" s="588" t="n"/>
      <c r="CO1098" s="588" t="n"/>
      <c r="CP1098" s="588" t="n"/>
      <c r="CQ1098" s="588" t="n"/>
      <c r="CR1098" s="588" t="n"/>
      <c r="CS1098" s="588" t="n"/>
      <c r="CT1098" s="588" t="n"/>
      <c r="CU1098" s="588" t="n"/>
      <c r="CV1098" s="588" t="n"/>
      <c r="CW1098" s="588" t="n"/>
      <c r="CX1098" s="588" t="n"/>
      <c r="CY1098" s="588" t="n"/>
      <c r="CZ1098" s="588" t="n"/>
      <c r="DA1098" s="588" t="n"/>
      <c r="DB1098" s="588" t="n"/>
      <c r="DC1098" s="588" t="n"/>
      <c r="DD1098" s="588" t="n"/>
      <c r="DE1098" s="588" t="n"/>
      <c r="DF1098" s="588" t="n"/>
      <c r="DG1098" s="588" t="n"/>
      <c r="DH1098" s="588" t="n"/>
      <c r="DI1098" s="588" t="n"/>
      <c r="DJ1098" s="588" t="n"/>
      <c r="DK1098" s="588" t="n"/>
      <c r="DL1098" s="588" t="n"/>
      <c r="DM1098" s="588" t="n"/>
      <c r="DN1098" s="588" t="n"/>
      <c r="DO1098" s="588" t="n"/>
      <c r="DP1098" s="588" t="n"/>
      <c r="DQ1098" s="588" t="n"/>
      <c r="DR1098" s="588" t="n"/>
      <c r="DS1098" s="588" t="n"/>
      <c r="DT1098" s="588" t="n"/>
      <c r="DU1098" s="588" t="n"/>
    </row>
    <row r="1099">
      <c r="A1099" s="737" t="n"/>
      <c r="B1099" s="737" t="n"/>
      <c r="C1099" s="737" t="n"/>
      <c r="D1099" s="737" t="n"/>
      <c r="E1099" s="737" t="n"/>
      <c r="F1099" s="737" t="n"/>
      <c r="G1099" s="737" t="n"/>
      <c r="H1099" s="737" t="n"/>
      <c r="I1099" s="737" t="n"/>
      <c r="J1099" s="737" t="n"/>
      <c r="K1099" s="737" t="n"/>
      <c r="L1099" s="737" t="n"/>
      <c r="M1099" s="737" t="n"/>
      <c r="N1099" s="737" t="n"/>
      <c r="O1099" s="737" t="n"/>
      <c r="P1099" s="737" t="n"/>
      <c r="Q1099" s="737" t="n"/>
      <c r="R1099" s="737" t="n"/>
      <c r="S1099" s="737" t="n"/>
      <c r="T1099" s="737" t="n"/>
      <c r="U1099" s="737" t="n"/>
      <c r="V1099" s="737" t="n"/>
      <c r="W1099" s="737" t="n"/>
      <c r="X1099" s="737" t="n"/>
      <c r="Y1099" s="737" t="n"/>
      <c r="Z1099" s="737" t="n"/>
      <c r="AA1099" s="737" t="n"/>
      <c r="AB1099" s="737" t="n"/>
      <c r="AC1099" s="737" t="n"/>
      <c r="AD1099" s="737" t="n"/>
      <c r="AE1099" s="737" t="n"/>
      <c r="AF1099" s="737" t="n"/>
      <c r="AG1099" s="737" t="n"/>
      <c r="AH1099" s="737" t="n"/>
      <c r="AI1099" s="737" t="n"/>
      <c r="AJ1099" s="737" t="n"/>
      <c r="AK1099" s="588" t="n"/>
      <c r="AL1099" s="588" t="n"/>
      <c r="AM1099" s="588" t="n"/>
      <c r="AN1099" s="588" t="n"/>
      <c r="AO1099" s="588" t="n"/>
      <c r="AP1099" s="588" t="n"/>
      <c r="AQ1099" s="588" t="n"/>
      <c r="AR1099" s="588" t="n"/>
      <c r="AS1099" s="588" t="n"/>
      <c r="AT1099" s="588" t="n"/>
      <c r="AU1099" s="588" t="n"/>
      <c r="AV1099" s="588" t="n"/>
      <c r="AW1099" s="588" t="n"/>
      <c r="AX1099" s="588" t="n"/>
      <c r="AY1099" s="588" t="n"/>
      <c r="AZ1099" s="588" t="n"/>
      <c r="BA1099" s="588" t="n"/>
      <c r="BB1099" s="588" t="n"/>
      <c r="BC1099" s="588" t="n"/>
      <c r="BD1099" s="588" t="n"/>
      <c r="BE1099" s="588" t="n"/>
      <c r="BF1099" s="588" t="n"/>
      <c r="BG1099" s="588" t="n"/>
      <c r="BH1099" s="588" t="n"/>
      <c r="BI1099" s="588" t="n"/>
      <c r="BJ1099" s="588" t="n"/>
      <c r="BK1099" s="588" t="n"/>
      <c r="BL1099" s="588" t="n"/>
      <c r="BM1099" s="588" t="n"/>
      <c r="BN1099" s="588" t="n"/>
      <c r="BO1099" s="588" t="n"/>
      <c r="BP1099" s="588" t="n"/>
      <c r="BQ1099" s="588" t="n"/>
      <c r="BR1099" s="588" t="n"/>
      <c r="BS1099" s="588" t="n"/>
      <c r="BT1099" s="588" t="n"/>
      <c r="BU1099" s="588" t="n"/>
      <c r="BV1099" s="588" t="n"/>
      <c r="BW1099" s="588" t="n"/>
      <c r="BX1099" s="588" t="n"/>
      <c r="BY1099" s="588" t="n"/>
      <c r="BZ1099" s="588" t="n"/>
      <c r="CA1099" s="588" t="n"/>
      <c r="CB1099" s="588" t="n"/>
      <c r="CC1099" s="588" t="n"/>
      <c r="CD1099" s="588" t="n"/>
      <c r="CE1099" s="588" t="n"/>
      <c r="CF1099" s="588" t="n"/>
      <c r="CG1099" s="588" t="n"/>
      <c r="CH1099" s="588" t="n"/>
      <c r="CI1099" s="588" t="n"/>
      <c r="CJ1099" s="588" t="n"/>
      <c r="CK1099" s="588" t="n"/>
      <c r="CL1099" s="588" t="n"/>
      <c r="CM1099" s="588" t="n"/>
      <c r="CN1099" s="588" t="n"/>
      <c r="CO1099" s="588" t="n"/>
      <c r="CP1099" s="588" t="n"/>
      <c r="CQ1099" s="588" t="n"/>
      <c r="CR1099" s="588" t="n"/>
      <c r="CS1099" s="588" t="n"/>
      <c r="CT1099" s="588" t="n"/>
      <c r="CU1099" s="588" t="n"/>
      <c r="CV1099" s="588" t="n"/>
      <c r="CW1099" s="588" t="n"/>
      <c r="CX1099" s="588" t="n"/>
      <c r="CY1099" s="588" t="n"/>
      <c r="CZ1099" s="588" t="n"/>
      <c r="DA1099" s="588" t="n"/>
      <c r="DB1099" s="588" t="n"/>
      <c r="DC1099" s="588" t="n"/>
      <c r="DD1099" s="588" t="n"/>
      <c r="DE1099" s="588" t="n"/>
      <c r="DF1099" s="588" t="n"/>
      <c r="DG1099" s="588" t="n"/>
      <c r="DH1099" s="588" t="n"/>
      <c r="DI1099" s="588" t="n"/>
      <c r="DJ1099" s="588" t="n"/>
      <c r="DK1099" s="588" t="n"/>
      <c r="DL1099" s="588" t="n"/>
      <c r="DM1099" s="588" t="n"/>
      <c r="DN1099" s="588" t="n"/>
      <c r="DO1099" s="588" t="n"/>
      <c r="DP1099" s="588" t="n"/>
      <c r="DQ1099" s="588" t="n"/>
      <c r="DR1099" s="588" t="n"/>
      <c r="DS1099" s="588" t="n"/>
      <c r="DT1099" s="588" t="n"/>
      <c r="DU1099" s="588" t="n"/>
    </row>
    <row r="1100">
      <c r="A1100" s="737" t="n"/>
      <c r="B1100" s="737" t="n"/>
      <c r="C1100" s="737" t="n"/>
      <c r="D1100" s="737" t="n"/>
      <c r="E1100" s="737" t="n"/>
      <c r="F1100" s="737" t="n"/>
      <c r="G1100" s="737" t="n"/>
      <c r="H1100" s="737" t="n"/>
      <c r="I1100" s="737" t="n"/>
      <c r="J1100" s="737" t="n"/>
      <c r="K1100" s="737" t="n"/>
      <c r="L1100" s="737" t="n"/>
      <c r="M1100" s="737" t="n"/>
      <c r="N1100" s="737" t="n"/>
      <c r="O1100" s="737" t="n"/>
      <c r="P1100" s="737" t="n"/>
      <c r="Q1100" s="737" t="n"/>
      <c r="R1100" s="737" t="n"/>
      <c r="S1100" s="737" t="n"/>
      <c r="T1100" s="737" t="n"/>
      <c r="U1100" s="737" t="n"/>
      <c r="V1100" s="737" t="n"/>
      <c r="W1100" s="737" t="n"/>
      <c r="X1100" s="737" t="n"/>
      <c r="Y1100" s="737" t="n"/>
      <c r="Z1100" s="737" t="n"/>
      <c r="AA1100" s="737" t="n"/>
      <c r="AB1100" s="737" t="n"/>
      <c r="AC1100" s="737" t="n"/>
      <c r="AD1100" s="737" t="n"/>
      <c r="AE1100" s="737" t="n"/>
      <c r="AF1100" s="737" t="n"/>
      <c r="AG1100" s="737" t="n"/>
      <c r="AH1100" s="737" t="n"/>
      <c r="AI1100" s="737" t="n"/>
      <c r="AJ1100" s="737" t="n"/>
      <c r="AK1100" s="588" t="n"/>
      <c r="AL1100" s="588" t="n"/>
      <c r="AM1100" s="588" t="n"/>
      <c r="AN1100" s="588" t="n"/>
      <c r="AO1100" s="588" t="n"/>
      <c r="AP1100" s="588" t="n"/>
      <c r="AQ1100" s="588" t="n"/>
      <c r="AR1100" s="588" t="n"/>
      <c r="AS1100" s="588" t="n"/>
      <c r="AT1100" s="588" t="n"/>
      <c r="AU1100" s="588" t="n"/>
      <c r="AV1100" s="588" t="n"/>
      <c r="AW1100" s="588" t="n"/>
      <c r="AX1100" s="588" t="n"/>
      <c r="AY1100" s="588" t="n"/>
      <c r="AZ1100" s="588" t="n"/>
      <c r="BA1100" s="588" t="n"/>
      <c r="BB1100" s="588" t="n"/>
      <c r="BC1100" s="588" t="n"/>
      <c r="BD1100" s="588" t="n"/>
      <c r="BE1100" s="588" t="n"/>
      <c r="BF1100" s="588" t="n"/>
      <c r="BG1100" s="588" t="n"/>
      <c r="BH1100" s="588" t="n"/>
      <c r="BI1100" s="588" t="n"/>
      <c r="BJ1100" s="588" t="n"/>
      <c r="BK1100" s="588" t="n"/>
      <c r="BL1100" s="588" t="n"/>
      <c r="BM1100" s="588" t="n"/>
      <c r="BN1100" s="588" t="n"/>
      <c r="BO1100" s="588" t="n"/>
      <c r="BP1100" s="588" t="n"/>
      <c r="BQ1100" s="588" t="n"/>
      <c r="BR1100" s="588" t="n"/>
      <c r="BS1100" s="588" t="n"/>
      <c r="BT1100" s="588" t="n"/>
      <c r="BU1100" s="588" t="n"/>
      <c r="BV1100" s="588" t="n"/>
      <c r="BW1100" s="588" t="n"/>
      <c r="BX1100" s="588" t="n"/>
      <c r="BY1100" s="588" t="n"/>
      <c r="BZ1100" s="588" t="n"/>
      <c r="CA1100" s="588" t="n"/>
      <c r="CB1100" s="588" t="n"/>
      <c r="CC1100" s="588" t="n"/>
      <c r="CD1100" s="588" t="n"/>
      <c r="CE1100" s="588" t="n"/>
      <c r="CF1100" s="588" t="n"/>
      <c r="CG1100" s="588" t="n"/>
      <c r="CH1100" s="588" t="n"/>
      <c r="CI1100" s="588" t="n"/>
      <c r="CJ1100" s="588" t="n"/>
      <c r="CK1100" s="588" t="n"/>
      <c r="CL1100" s="588" t="n"/>
      <c r="CM1100" s="588" t="n"/>
      <c r="CN1100" s="588" t="n"/>
      <c r="CO1100" s="588" t="n"/>
      <c r="CP1100" s="588" t="n"/>
      <c r="CQ1100" s="588" t="n"/>
      <c r="CR1100" s="588" t="n"/>
      <c r="CS1100" s="588" t="n"/>
      <c r="CT1100" s="588" t="n"/>
      <c r="CU1100" s="588" t="n"/>
      <c r="CV1100" s="588" t="n"/>
      <c r="CW1100" s="588" t="n"/>
      <c r="CX1100" s="588" t="n"/>
      <c r="CY1100" s="588" t="n"/>
      <c r="CZ1100" s="588" t="n"/>
      <c r="DA1100" s="588" t="n"/>
      <c r="DB1100" s="588" t="n"/>
      <c r="DC1100" s="588" t="n"/>
      <c r="DD1100" s="588" t="n"/>
      <c r="DE1100" s="588" t="n"/>
      <c r="DF1100" s="588" t="n"/>
      <c r="DG1100" s="588" t="n"/>
      <c r="DH1100" s="588" t="n"/>
      <c r="DI1100" s="588" t="n"/>
      <c r="DJ1100" s="588" t="n"/>
      <c r="DK1100" s="588" t="n"/>
      <c r="DL1100" s="588" t="n"/>
      <c r="DM1100" s="588" t="n"/>
      <c r="DN1100" s="588" t="n"/>
      <c r="DO1100" s="588" t="n"/>
      <c r="DP1100" s="588" t="n"/>
      <c r="DQ1100" s="588" t="n"/>
      <c r="DR1100" s="588" t="n"/>
      <c r="DS1100" s="588" t="n"/>
      <c r="DT1100" s="588" t="n"/>
      <c r="DU1100" s="588" t="n"/>
    </row>
    <row r="1101">
      <c r="A1101" s="737" t="n"/>
      <c r="B1101" s="737" t="n"/>
      <c r="C1101" s="737" t="n"/>
      <c r="D1101" s="737" t="n"/>
      <c r="E1101" s="737" t="n"/>
      <c r="F1101" s="737" t="n"/>
      <c r="G1101" s="737" t="n"/>
      <c r="H1101" s="737" t="n"/>
      <c r="I1101" s="737" t="n"/>
      <c r="J1101" s="737" t="n"/>
      <c r="K1101" s="737" t="n"/>
      <c r="L1101" s="737" t="n"/>
      <c r="M1101" s="737" t="n"/>
      <c r="N1101" s="737" t="n"/>
      <c r="O1101" s="737" t="n"/>
      <c r="P1101" s="737" t="n"/>
      <c r="Q1101" s="737" t="n"/>
      <c r="R1101" s="737" t="n"/>
      <c r="S1101" s="737" t="n"/>
      <c r="T1101" s="737" t="n"/>
      <c r="U1101" s="737" t="n"/>
      <c r="V1101" s="737" t="n"/>
      <c r="W1101" s="737" t="n"/>
      <c r="X1101" s="737" t="n"/>
      <c r="Y1101" s="737" t="n"/>
      <c r="Z1101" s="737" t="n"/>
      <c r="AA1101" s="737" t="n"/>
      <c r="AB1101" s="737" t="n"/>
      <c r="AC1101" s="737" t="n"/>
      <c r="AD1101" s="737" t="n"/>
      <c r="AE1101" s="737" t="n"/>
      <c r="AF1101" s="737" t="n"/>
      <c r="AG1101" s="737" t="n"/>
      <c r="AH1101" s="737" t="n"/>
      <c r="AI1101" s="737" t="n"/>
      <c r="AJ1101" s="737" t="n"/>
      <c r="AK1101" s="588" t="n"/>
      <c r="AL1101" s="588" t="n"/>
      <c r="AM1101" s="588" t="n"/>
      <c r="AN1101" s="588" t="n"/>
      <c r="AO1101" s="588" t="n"/>
      <c r="AP1101" s="588" t="n"/>
      <c r="AQ1101" s="588" t="n"/>
      <c r="AR1101" s="588" t="n"/>
      <c r="AS1101" s="588" t="n"/>
      <c r="AT1101" s="588" t="n"/>
      <c r="AU1101" s="588" t="n"/>
      <c r="AV1101" s="588" t="n"/>
      <c r="AW1101" s="588" t="n"/>
      <c r="AX1101" s="588" t="n"/>
      <c r="AY1101" s="588" t="n"/>
      <c r="AZ1101" s="588" t="n"/>
      <c r="BA1101" s="588" t="n"/>
      <c r="BB1101" s="588" t="n"/>
      <c r="BC1101" s="588" t="n"/>
      <c r="BD1101" s="588" t="n"/>
      <c r="BE1101" s="588" t="n"/>
      <c r="BF1101" s="588" t="n"/>
      <c r="BG1101" s="588" t="n"/>
      <c r="BH1101" s="588" t="n"/>
      <c r="BI1101" s="588" t="n"/>
      <c r="BJ1101" s="588" t="n"/>
      <c r="BK1101" s="588" t="n"/>
      <c r="BL1101" s="588" t="n"/>
      <c r="BM1101" s="588" t="n"/>
      <c r="BN1101" s="588" t="n"/>
      <c r="BO1101" s="588" t="n"/>
      <c r="BP1101" s="588" t="n"/>
      <c r="BQ1101" s="588" t="n"/>
      <c r="BR1101" s="588" t="n"/>
      <c r="BS1101" s="588" t="n"/>
      <c r="BT1101" s="588" t="n"/>
      <c r="BU1101" s="588" t="n"/>
      <c r="BV1101" s="588" t="n"/>
      <c r="BW1101" s="588" t="n"/>
      <c r="BX1101" s="588" t="n"/>
      <c r="BY1101" s="588" t="n"/>
      <c r="BZ1101" s="588" t="n"/>
      <c r="CA1101" s="588" t="n"/>
      <c r="CB1101" s="588" t="n"/>
      <c r="CC1101" s="588" t="n"/>
      <c r="CD1101" s="588" t="n"/>
      <c r="CE1101" s="588" t="n"/>
      <c r="CF1101" s="588" t="n"/>
      <c r="CG1101" s="588" t="n"/>
      <c r="CH1101" s="588" t="n"/>
      <c r="CI1101" s="588" t="n"/>
      <c r="CJ1101" s="588" t="n"/>
      <c r="CK1101" s="588" t="n"/>
      <c r="CL1101" s="588" t="n"/>
      <c r="CM1101" s="588" t="n"/>
      <c r="CN1101" s="588" t="n"/>
      <c r="CO1101" s="588" t="n"/>
      <c r="CP1101" s="588" t="n"/>
      <c r="CQ1101" s="588" t="n"/>
      <c r="CR1101" s="588" t="n"/>
      <c r="CS1101" s="588" t="n"/>
      <c r="CT1101" s="588" t="n"/>
      <c r="CU1101" s="588" t="n"/>
      <c r="CV1101" s="588" t="n"/>
      <c r="CW1101" s="588" t="n"/>
      <c r="CX1101" s="588" t="n"/>
      <c r="CY1101" s="588" t="n"/>
      <c r="CZ1101" s="588" t="n"/>
      <c r="DA1101" s="588" t="n"/>
      <c r="DB1101" s="588" t="n"/>
      <c r="DC1101" s="588" t="n"/>
      <c r="DD1101" s="588" t="n"/>
      <c r="DE1101" s="588" t="n"/>
      <c r="DF1101" s="588" t="n"/>
      <c r="DG1101" s="588" t="n"/>
      <c r="DH1101" s="588" t="n"/>
      <c r="DI1101" s="588" t="n"/>
      <c r="DJ1101" s="588" t="n"/>
      <c r="DK1101" s="588" t="n"/>
      <c r="DL1101" s="588" t="n"/>
      <c r="DM1101" s="588" t="n"/>
      <c r="DN1101" s="588" t="n"/>
      <c r="DO1101" s="588" t="n"/>
      <c r="DP1101" s="588" t="n"/>
      <c r="DQ1101" s="588" t="n"/>
      <c r="DR1101" s="588" t="n"/>
      <c r="DS1101" s="588" t="n"/>
      <c r="DT1101" s="588" t="n"/>
      <c r="DU1101" s="588" t="n"/>
    </row>
    <row r="1102">
      <c r="A1102" s="737" t="n"/>
      <c r="B1102" s="737" t="n"/>
      <c r="C1102" s="737" t="n"/>
      <c r="D1102" s="737" t="n"/>
      <c r="E1102" s="737" t="n"/>
      <c r="F1102" s="737" t="n"/>
      <c r="G1102" s="737" t="n"/>
      <c r="H1102" s="737" t="n"/>
      <c r="I1102" s="737" t="n"/>
      <c r="J1102" s="737" t="n"/>
      <c r="K1102" s="737" t="n"/>
      <c r="L1102" s="737" t="n"/>
      <c r="M1102" s="737" t="n"/>
      <c r="N1102" s="737" t="n"/>
      <c r="O1102" s="737" t="n"/>
      <c r="P1102" s="737" t="n"/>
      <c r="Q1102" s="737" t="n"/>
      <c r="R1102" s="737" t="n"/>
      <c r="S1102" s="737" t="n"/>
      <c r="T1102" s="737" t="n"/>
      <c r="U1102" s="737" t="n"/>
      <c r="V1102" s="737" t="n"/>
      <c r="W1102" s="737" t="n"/>
      <c r="X1102" s="737" t="n"/>
      <c r="Y1102" s="737" t="n"/>
      <c r="Z1102" s="737" t="n"/>
      <c r="AA1102" s="737" t="n"/>
      <c r="AB1102" s="737" t="n"/>
      <c r="AC1102" s="737" t="n"/>
      <c r="AD1102" s="737" t="n"/>
      <c r="AE1102" s="737" t="n"/>
      <c r="AF1102" s="737" t="n"/>
      <c r="AG1102" s="737" t="n"/>
      <c r="AH1102" s="737" t="n"/>
      <c r="AI1102" s="737" t="n"/>
      <c r="AJ1102" s="737" t="n"/>
      <c r="AK1102" s="588" t="n"/>
      <c r="AL1102" s="588" t="n"/>
      <c r="AM1102" s="588" t="n"/>
      <c r="AN1102" s="588" t="n"/>
      <c r="AO1102" s="588" t="n"/>
      <c r="AP1102" s="588" t="n"/>
      <c r="AQ1102" s="588" t="n"/>
      <c r="AR1102" s="588" t="n"/>
      <c r="AS1102" s="588" t="n"/>
      <c r="AT1102" s="588" t="n"/>
      <c r="AU1102" s="588" t="n"/>
      <c r="AV1102" s="588" t="n"/>
      <c r="AW1102" s="588" t="n"/>
      <c r="AX1102" s="588" t="n"/>
      <c r="AY1102" s="588" t="n"/>
      <c r="AZ1102" s="588" t="n"/>
      <c r="BA1102" s="588" t="n"/>
      <c r="BB1102" s="588" t="n"/>
      <c r="BC1102" s="588" t="n"/>
      <c r="BD1102" s="588" t="n"/>
      <c r="BE1102" s="588" t="n"/>
      <c r="BF1102" s="588" t="n"/>
      <c r="BG1102" s="588" t="n"/>
      <c r="BH1102" s="588" t="n"/>
      <c r="BI1102" s="588" t="n"/>
      <c r="BJ1102" s="588" t="n"/>
      <c r="BK1102" s="588" t="n"/>
      <c r="BL1102" s="588" t="n"/>
      <c r="BM1102" s="588" t="n"/>
      <c r="BN1102" s="588" t="n"/>
      <c r="BO1102" s="588" t="n"/>
      <c r="BP1102" s="588" t="n"/>
      <c r="BQ1102" s="588" t="n"/>
      <c r="BR1102" s="588" t="n"/>
      <c r="BS1102" s="588" t="n"/>
      <c r="BT1102" s="588" t="n"/>
      <c r="BU1102" s="588" t="n"/>
      <c r="BV1102" s="588" t="n"/>
      <c r="BW1102" s="588" t="n"/>
      <c r="BX1102" s="588" t="n"/>
      <c r="BY1102" s="588" t="n"/>
      <c r="BZ1102" s="588" t="n"/>
      <c r="CA1102" s="588" t="n"/>
      <c r="CB1102" s="588" t="n"/>
      <c r="CC1102" s="588" t="n"/>
      <c r="CD1102" s="588" t="n"/>
      <c r="CE1102" s="588" t="n"/>
      <c r="CF1102" s="588" t="n"/>
      <c r="CG1102" s="588" t="n"/>
      <c r="CH1102" s="588" t="n"/>
      <c r="CI1102" s="588" t="n"/>
      <c r="CJ1102" s="588" t="n"/>
      <c r="CK1102" s="588" t="n"/>
      <c r="CL1102" s="588" t="n"/>
      <c r="CM1102" s="588" t="n"/>
      <c r="CN1102" s="588" t="n"/>
      <c r="CO1102" s="588" t="n"/>
      <c r="CP1102" s="588" t="n"/>
      <c r="CQ1102" s="588" t="n"/>
      <c r="CR1102" s="588" t="n"/>
      <c r="CS1102" s="588" t="n"/>
      <c r="CT1102" s="588" t="n"/>
      <c r="CU1102" s="588" t="n"/>
      <c r="CV1102" s="588" t="n"/>
      <c r="CW1102" s="588" t="n"/>
      <c r="CX1102" s="588" t="n"/>
      <c r="CY1102" s="588" t="n"/>
      <c r="CZ1102" s="588" t="n"/>
      <c r="DA1102" s="588" t="n"/>
      <c r="DB1102" s="588" t="n"/>
      <c r="DC1102" s="588" t="n"/>
      <c r="DD1102" s="588" t="n"/>
      <c r="DE1102" s="588" t="n"/>
      <c r="DF1102" s="588" t="n"/>
      <c r="DG1102" s="588" t="n"/>
      <c r="DH1102" s="588" t="n"/>
      <c r="DI1102" s="588" t="n"/>
      <c r="DJ1102" s="588" t="n"/>
      <c r="DK1102" s="588" t="n"/>
      <c r="DL1102" s="588" t="n"/>
      <c r="DM1102" s="588" t="n"/>
      <c r="DN1102" s="588" t="n"/>
      <c r="DO1102" s="588" t="n"/>
      <c r="DP1102" s="588" t="n"/>
      <c r="DQ1102" s="588" t="n"/>
      <c r="DR1102" s="588" t="n"/>
      <c r="DS1102" s="588" t="n"/>
      <c r="DT1102" s="588" t="n"/>
      <c r="DU1102" s="588" t="n"/>
    </row>
    <row r="1103">
      <c r="A1103" s="737" t="n"/>
      <c r="B1103" s="737" t="n"/>
      <c r="C1103" s="737" t="n"/>
      <c r="D1103" s="737" t="n"/>
      <c r="E1103" s="737" t="n"/>
      <c r="F1103" s="737" t="n"/>
      <c r="G1103" s="737" t="n"/>
      <c r="H1103" s="737" t="n"/>
      <c r="I1103" s="737" t="n"/>
      <c r="J1103" s="737" t="n"/>
      <c r="K1103" s="737" t="n"/>
      <c r="L1103" s="737" t="n"/>
      <c r="M1103" s="737" t="n"/>
      <c r="N1103" s="737" t="n"/>
      <c r="O1103" s="737" t="n"/>
      <c r="P1103" s="737" t="n"/>
      <c r="Q1103" s="737" t="n"/>
      <c r="R1103" s="737" t="n"/>
      <c r="S1103" s="737" t="n"/>
      <c r="T1103" s="737" t="n"/>
      <c r="U1103" s="737" t="n"/>
      <c r="V1103" s="737" t="n"/>
      <c r="W1103" s="737" t="n"/>
      <c r="X1103" s="737" t="n"/>
      <c r="Y1103" s="737" t="n"/>
      <c r="Z1103" s="737" t="n"/>
      <c r="AA1103" s="737" t="n"/>
      <c r="AB1103" s="737" t="n"/>
      <c r="AC1103" s="737" t="n"/>
      <c r="AD1103" s="737" t="n"/>
      <c r="AE1103" s="737" t="n"/>
      <c r="AF1103" s="737" t="n"/>
      <c r="AG1103" s="737" t="n"/>
      <c r="AH1103" s="737" t="n"/>
      <c r="AI1103" s="737" t="n"/>
      <c r="AJ1103" s="737" t="n"/>
      <c r="AK1103" s="588" t="n"/>
      <c r="AL1103" s="588" t="n"/>
      <c r="AM1103" s="588" t="n"/>
      <c r="AN1103" s="588" t="n"/>
      <c r="AO1103" s="588" t="n"/>
      <c r="AP1103" s="588" t="n"/>
      <c r="AQ1103" s="588" t="n"/>
      <c r="AR1103" s="588" t="n"/>
      <c r="AS1103" s="588" t="n"/>
      <c r="AT1103" s="588" t="n"/>
      <c r="AU1103" s="588" t="n"/>
      <c r="AV1103" s="588" t="n"/>
      <c r="AW1103" s="588" t="n"/>
      <c r="AX1103" s="588" t="n"/>
      <c r="AY1103" s="588" t="n"/>
      <c r="AZ1103" s="588" t="n"/>
      <c r="BA1103" s="588" t="n"/>
      <c r="BB1103" s="588" t="n"/>
      <c r="BC1103" s="588" t="n"/>
      <c r="BD1103" s="588" t="n"/>
      <c r="BE1103" s="588" t="n"/>
      <c r="BF1103" s="588" t="n"/>
      <c r="BG1103" s="588" t="n"/>
      <c r="BH1103" s="588" t="n"/>
      <c r="BI1103" s="588" t="n"/>
      <c r="BJ1103" s="588" t="n"/>
      <c r="BK1103" s="588" t="n"/>
      <c r="BL1103" s="588" t="n"/>
      <c r="BM1103" s="588" t="n"/>
      <c r="BN1103" s="588" t="n"/>
      <c r="BO1103" s="588" t="n"/>
      <c r="BP1103" s="588" t="n"/>
      <c r="BQ1103" s="588" t="n"/>
      <c r="BR1103" s="588" t="n"/>
      <c r="BS1103" s="588" t="n"/>
      <c r="BT1103" s="588" t="n"/>
      <c r="BU1103" s="588" t="n"/>
      <c r="BV1103" s="588" t="n"/>
      <c r="BW1103" s="588" t="n"/>
      <c r="BX1103" s="588" t="n"/>
      <c r="BY1103" s="588" t="n"/>
      <c r="BZ1103" s="588" t="n"/>
      <c r="CA1103" s="588" t="n"/>
      <c r="CB1103" s="588" t="n"/>
      <c r="CC1103" s="588" t="n"/>
      <c r="CD1103" s="588" t="n"/>
      <c r="CE1103" s="588" t="n"/>
      <c r="CF1103" s="588" t="n"/>
      <c r="CG1103" s="588" t="n"/>
      <c r="CH1103" s="588" t="n"/>
      <c r="CI1103" s="588" t="n"/>
      <c r="CJ1103" s="588" t="n"/>
      <c r="CK1103" s="588" t="n"/>
      <c r="CL1103" s="588" t="n"/>
      <c r="CM1103" s="588" t="n"/>
      <c r="CN1103" s="588" t="n"/>
      <c r="CO1103" s="588" t="n"/>
      <c r="CP1103" s="588" t="n"/>
      <c r="CQ1103" s="588" t="n"/>
      <c r="CR1103" s="588" t="n"/>
      <c r="CS1103" s="588" t="n"/>
      <c r="CT1103" s="588" t="n"/>
      <c r="CU1103" s="588" t="n"/>
      <c r="CV1103" s="588" t="n"/>
      <c r="CW1103" s="588" t="n"/>
      <c r="CX1103" s="588" t="n"/>
      <c r="CY1103" s="588" t="n"/>
      <c r="CZ1103" s="588" t="n"/>
      <c r="DA1103" s="588" t="n"/>
      <c r="DB1103" s="588" t="n"/>
      <c r="DC1103" s="588" t="n"/>
      <c r="DD1103" s="588" t="n"/>
      <c r="DE1103" s="588" t="n"/>
      <c r="DF1103" s="588" t="n"/>
      <c r="DG1103" s="588" t="n"/>
      <c r="DH1103" s="588" t="n"/>
      <c r="DI1103" s="588" t="n"/>
      <c r="DJ1103" s="588" t="n"/>
      <c r="DK1103" s="588" t="n"/>
      <c r="DL1103" s="588" t="n"/>
      <c r="DM1103" s="588" t="n"/>
      <c r="DN1103" s="588" t="n"/>
      <c r="DO1103" s="588" t="n"/>
      <c r="DP1103" s="588" t="n"/>
      <c r="DQ1103" s="588" t="n"/>
      <c r="DR1103" s="588" t="n"/>
      <c r="DS1103" s="588" t="n"/>
      <c r="DT1103" s="588" t="n"/>
      <c r="DU1103" s="588" t="n"/>
    </row>
    <row r="1104">
      <c r="A1104" s="737" t="n"/>
      <c r="B1104" s="737" t="n"/>
      <c r="C1104" s="737" t="n"/>
      <c r="D1104" s="737" t="n"/>
      <c r="E1104" s="737" t="n"/>
      <c r="F1104" s="737" t="n"/>
      <c r="G1104" s="737" t="n"/>
      <c r="H1104" s="737" t="n"/>
      <c r="I1104" s="737" t="n"/>
      <c r="J1104" s="737" t="n"/>
      <c r="K1104" s="737" t="n"/>
      <c r="L1104" s="737" t="n"/>
      <c r="M1104" s="737" t="n"/>
      <c r="N1104" s="737" t="n"/>
      <c r="O1104" s="737" t="n"/>
      <c r="P1104" s="737" t="n"/>
      <c r="Q1104" s="737" t="n"/>
      <c r="R1104" s="737" t="n"/>
      <c r="S1104" s="737" t="n"/>
      <c r="T1104" s="737" t="n"/>
      <c r="U1104" s="737" t="n"/>
      <c r="V1104" s="737" t="n"/>
      <c r="W1104" s="737" t="n"/>
      <c r="X1104" s="737" t="n"/>
      <c r="Y1104" s="737" t="n"/>
      <c r="Z1104" s="737" t="n"/>
      <c r="AA1104" s="737" t="n"/>
      <c r="AB1104" s="737" t="n"/>
      <c r="AC1104" s="737" t="n"/>
      <c r="AD1104" s="737" t="n"/>
      <c r="AE1104" s="737" t="n"/>
      <c r="AF1104" s="737" t="n"/>
      <c r="AG1104" s="737" t="n"/>
      <c r="AH1104" s="737" t="n"/>
      <c r="AI1104" s="737" t="n"/>
      <c r="AJ1104" s="737" t="n"/>
      <c r="AK1104" s="588" t="n"/>
      <c r="AL1104" s="588" t="n"/>
      <c r="AM1104" s="588" t="n"/>
      <c r="AN1104" s="588" t="n"/>
      <c r="AO1104" s="588" t="n"/>
      <c r="AP1104" s="588" t="n"/>
      <c r="AQ1104" s="588" t="n"/>
      <c r="AR1104" s="588" t="n"/>
      <c r="AS1104" s="588" t="n"/>
      <c r="AT1104" s="588" t="n"/>
      <c r="AU1104" s="588" t="n"/>
      <c r="AV1104" s="588" t="n"/>
      <c r="AW1104" s="588" t="n"/>
      <c r="AX1104" s="588" t="n"/>
      <c r="AY1104" s="588" t="n"/>
      <c r="AZ1104" s="588" t="n"/>
      <c r="BA1104" s="588" t="n"/>
      <c r="BB1104" s="588" t="n"/>
      <c r="BC1104" s="588" t="n"/>
      <c r="BD1104" s="588" t="n"/>
      <c r="BE1104" s="588" t="n"/>
      <c r="BF1104" s="588" t="n"/>
      <c r="BG1104" s="588" t="n"/>
      <c r="BH1104" s="588" t="n"/>
      <c r="BI1104" s="588" t="n"/>
      <c r="BJ1104" s="588" t="n"/>
      <c r="BK1104" s="588" t="n"/>
      <c r="BL1104" s="588" t="n"/>
      <c r="BM1104" s="588" t="n"/>
      <c r="BN1104" s="588" t="n"/>
      <c r="BO1104" s="588" t="n"/>
      <c r="BP1104" s="588" t="n"/>
      <c r="BQ1104" s="588" t="n"/>
      <c r="BR1104" s="588" t="n"/>
      <c r="BS1104" s="588" t="n"/>
      <c r="BT1104" s="588" t="n"/>
      <c r="BU1104" s="588" t="n"/>
      <c r="BV1104" s="588" t="n"/>
      <c r="BW1104" s="588" t="n"/>
      <c r="BX1104" s="588" t="n"/>
      <c r="BY1104" s="588" t="n"/>
      <c r="BZ1104" s="588" t="n"/>
      <c r="CA1104" s="588" t="n"/>
      <c r="CB1104" s="588" t="n"/>
      <c r="CC1104" s="588" t="n"/>
      <c r="CD1104" s="588" t="n"/>
      <c r="CE1104" s="588" t="n"/>
      <c r="CF1104" s="588" t="n"/>
      <c r="CG1104" s="588" t="n"/>
      <c r="CH1104" s="588" t="n"/>
      <c r="CI1104" s="588" t="n"/>
      <c r="CJ1104" s="588" t="n"/>
      <c r="CK1104" s="588" t="n"/>
      <c r="CL1104" s="588" t="n"/>
      <c r="CM1104" s="588" t="n"/>
      <c r="CN1104" s="588" t="n"/>
      <c r="CO1104" s="588" t="n"/>
      <c r="CP1104" s="588" t="n"/>
      <c r="CQ1104" s="588" t="n"/>
      <c r="CR1104" s="588" t="n"/>
      <c r="CS1104" s="588" t="n"/>
      <c r="CT1104" s="588" t="n"/>
      <c r="CU1104" s="588" t="n"/>
      <c r="CV1104" s="588" t="n"/>
      <c r="CW1104" s="588" t="n"/>
      <c r="CX1104" s="588" t="n"/>
      <c r="CY1104" s="588" t="n"/>
      <c r="CZ1104" s="588" t="n"/>
      <c r="DA1104" s="588" t="n"/>
      <c r="DB1104" s="588" t="n"/>
      <c r="DC1104" s="588" t="n"/>
      <c r="DD1104" s="588" t="n"/>
      <c r="DE1104" s="588" t="n"/>
      <c r="DF1104" s="588" t="n"/>
      <c r="DG1104" s="588" t="n"/>
      <c r="DH1104" s="588" t="n"/>
      <c r="DI1104" s="588" t="n"/>
      <c r="DJ1104" s="588" t="n"/>
      <c r="DK1104" s="588" t="n"/>
      <c r="DL1104" s="588" t="n"/>
      <c r="DM1104" s="588" t="n"/>
      <c r="DN1104" s="588" t="n"/>
      <c r="DO1104" s="588" t="n"/>
      <c r="DP1104" s="588" t="n"/>
      <c r="DQ1104" s="588" t="n"/>
      <c r="DR1104" s="588" t="n"/>
      <c r="DS1104" s="588" t="n"/>
      <c r="DT1104" s="588" t="n"/>
      <c r="DU1104" s="588" t="n"/>
    </row>
    <row r="1105">
      <c r="A1105" s="737" t="n"/>
      <c r="B1105" s="737" t="n"/>
      <c r="C1105" s="737" t="n"/>
      <c r="D1105" s="737" t="n"/>
      <c r="E1105" s="737" t="n"/>
      <c r="F1105" s="737" t="n"/>
      <c r="G1105" s="737" t="n"/>
      <c r="H1105" s="737" t="n"/>
      <c r="I1105" s="737" t="n"/>
      <c r="J1105" s="737" t="n"/>
      <c r="K1105" s="737" t="n"/>
      <c r="L1105" s="737" t="n"/>
      <c r="M1105" s="737" t="n"/>
      <c r="N1105" s="737" t="n"/>
      <c r="O1105" s="737" t="n"/>
      <c r="P1105" s="737" t="n"/>
      <c r="Q1105" s="737" t="n"/>
      <c r="R1105" s="737" t="n"/>
      <c r="S1105" s="737" t="n"/>
      <c r="T1105" s="737" t="n"/>
      <c r="U1105" s="737" t="n"/>
      <c r="V1105" s="737" t="n"/>
      <c r="W1105" s="737" t="n"/>
      <c r="X1105" s="737" t="n"/>
      <c r="Y1105" s="737" t="n"/>
      <c r="Z1105" s="737" t="n"/>
      <c r="AA1105" s="737" t="n"/>
      <c r="AB1105" s="737" t="n"/>
      <c r="AC1105" s="737" t="n"/>
      <c r="AD1105" s="737" t="n"/>
      <c r="AE1105" s="737" t="n"/>
      <c r="AF1105" s="737" t="n"/>
      <c r="AG1105" s="737" t="n"/>
      <c r="AH1105" s="737" t="n"/>
      <c r="AI1105" s="737" t="n"/>
      <c r="AJ1105" s="737" t="n"/>
      <c r="AK1105" s="588" t="n"/>
      <c r="AL1105" s="588" t="n"/>
      <c r="AM1105" s="588" t="n"/>
      <c r="AN1105" s="588" t="n"/>
      <c r="AO1105" s="588" t="n"/>
      <c r="AP1105" s="588" t="n"/>
      <c r="AQ1105" s="588" t="n"/>
      <c r="AR1105" s="588" t="n"/>
      <c r="AS1105" s="588" t="n"/>
      <c r="AT1105" s="588" t="n"/>
      <c r="AU1105" s="588" t="n"/>
      <c r="AV1105" s="588" t="n"/>
      <c r="AW1105" s="588" t="n"/>
      <c r="AX1105" s="588" t="n"/>
      <c r="AY1105" s="588" t="n"/>
      <c r="AZ1105" s="588" t="n"/>
      <c r="BA1105" s="588" t="n"/>
      <c r="BB1105" s="588" t="n"/>
      <c r="BC1105" s="588" t="n"/>
      <c r="BD1105" s="588" t="n"/>
      <c r="BE1105" s="588" t="n"/>
      <c r="BF1105" s="588" t="n"/>
      <c r="BG1105" s="588" t="n"/>
      <c r="BH1105" s="588" t="n"/>
      <c r="BI1105" s="588" t="n"/>
      <c r="BJ1105" s="588" t="n"/>
      <c r="BK1105" s="588" t="n"/>
      <c r="BL1105" s="588" t="n"/>
      <c r="BM1105" s="588" t="n"/>
      <c r="BN1105" s="588" t="n"/>
      <c r="BO1105" s="588" t="n"/>
      <c r="BP1105" s="588" t="n"/>
      <c r="BQ1105" s="588" t="n"/>
      <c r="BR1105" s="588" t="n"/>
      <c r="BS1105" s="588" t="n"/>
      <c r="BT1105" s="588" t="n"/>
      <c r="BU1105" s="588" t="n"/>
      <c r="BV1105" s="588" t="n"/>
      <c r="BW1105" s="588" t="n"/>
      <c r="BX1105" s="588" t="n"/>
      <c r="BY1105" s="588" t="n"/>
      <c r="BZ1105" s="588" t="n"/>
      <c r="CA1105" s="588" t="n"/>
      <c r="CB1105" s="588" t="n"/>
      <c r="CC1105" s="588" t="n"/>
      <c r="CD1105" s="588" t="n"/>
      <c r="CE1105" s="588" t="n"/>
      <c r="CF1105" s="588" t="n"/>
      <c r="CG1105" s="588" t="n"/>
      <c r="CH1105" s="588" t="n"/>
      <c r="CI1105" s="588" t="n"/>
      <c r="CJ1105" s="588" t="n"/>
      <c r="CK1105" s="588" t="n"/>
      <c r="CL1105" s="588" t="n"/>
      <c r="CM1105" s="588" t="n"/>
      <c r="CN1105" s="588" t="n"/>
      <c r="CO1105" s="588" t="n"/>
      <c r="CP1105" s="588" t="n"/>
      <c r="CQ1105" s="588" t="n"/>
      <c r="CR1105" s="588" t="n"/>
      <c r="CS1105" s="588" t="n"/>
      <c r="CT1105" s="588" t="n"/>
      <c r="CU1105" s="588" t="n"/>
      <c r="CV1105" s="588" t="n"/>
      <c r="CW1105" s="588" t="n"/>
      <c r="CX1105" s="588" t="n"/>
      <c r="CY1105" s="588" t="n"/>
      <c r="CZ1105" s="588" t="n"/>
      <c r="DA1105" s="588" t="n"/>
      <c r="DB1105" s="588" t="n"/>
      <c r="DC1105" s="588" t="n"/>
      <c r="DD1105" s="588" t="n"/>
      <c r="DE1105" s="588" t="n"/>
      <c r="DF1105" s="588" t="n"/>
      <c r="DG1105" s="588" t="n"/>
      <c r="DH1105" s="588" t="n"/>
      <c r="DI1105" s="588" t="n"/>
      <c r="DJ1105" s="588" t="n"/>
      <c r="DK1105" s="588" t="n"/>
      <c r="DL1105" s="588" t="n"/>
      <c r="DM1105" s="588" t="n"/>
      <c r="DN1105" s="588" t="n"/>
      <c r="DO1105" s="588" t="n"/>
      <c r="DP1105" s="588" t="n"/>
      <c r="DQ1105" s="588" t="n"/>
      <c r="DR1105" s="588" t="n"/>
      <c r="DS1105" s="588" t="n"/>
      <c r="DT1105" s="588" t="n"/>
      <c r="DU1105" s="588" t="n"/>
    </row>
    <row r="1106">
      <c r="A1106" s="737" t="n"/>
      <c r="B1106" s="737" t="n"/>
      <c r="C1106" s="737" t="n"/>
      <c r="D1106" s="737" t="n"/>
      <c r="E1106" s="737" t="n"/>
      <c r="F1106" s="737" t="n"/>
      <c r="G1106" s="737" t="n"/>
      <c r="H1106" s="737" t="n"/>
      <c r="I1106" s="737" t="n"/>
      <c r="J1106" s="737" t="n"/>
      <c r="K1106" s="737" t="n"/>
      <c r="L1106" s="737" t="n"/>
      <c r="M1106" s="737" t="n"/>
      <c r="N1106" s="737" t="n"/>
      <c r="O1106" s="737" t="n"/>
      <c r="P1106" s="737" t="n"/>
      <c r="Q1106" s="737" t="n"/>
      <c r="R1106" s="737" t="n"/>
      <c r="S1106" s="737" t="n"/>
      <c r="T1106" s="737" t="n"/>
      <c r="U1106" s="737" t="n"/>
      <c r="V1106" s="737" t="n"/>
      <c r="W1106" s="737" t="n"/>
      <c r="X1106" s="737" t="n"/>
      <c r="Y1106" s="737" t="n"/>
      <c r="Z1106" s="737" t="n"/>
      <c r="AA1106" s="737" t="n"/>
      <c r="AB1106" s="737" t="n"/>
      <c r="AC1106" s="737" t="n"/>
      <c r="AD1106" s="737" t="n"/>
      <c r="AE1106" s="737" t="n"/>
      <c r="AF1106" s="737" t="n"/>
      <c r="AG1106" s="737" t="n"/>
      <c r="AH1106" s="737" t="n"/>
      <c r="AI1106" s="737" t="n"/>
      <c r="AJ1106" s="737" t="n"/>
      <c r="AK1106" s="588" t="n"/>
      <c r="AL1106" s="588" t="n"/>
      <c r="AM1106" s="588" t="n"/>
      <c r="AN1106" s="588" t="n"/>
      <c r="AO1106" s="588" t="n"/>
      <c r="AP1106" s="588" t="n"/>
      <c r="AQ1106" s="588" t="n"/>
      <c r="AR1106" s="588" t="n"/>
      <c r="AS1106" s="588" t="n"/>
      <c r="AT1106" s="588" t="n"/>
      <c r="AU1106" s="588" t="n"/>
      <c r="AV1106" s="588" t="n"/>
      <c r="AW1106" s="588" t="n"/>
      <c r="AX1106" s="588" t="n"/>
      <c r="AY1106" s="588" t="n"/>
      <c r="AZ1106" s="588" t="n"/>
      <c r="BA1106" s="588" t="n"/>
      <c r="BB1106" s="588" t="n"/>
      <c r="BC1106" s="588" t="n"/>
      <c r="BD1106" s="588" t="n"/>
      <c r="BE1106" s="588" t="n"/>
      <c r="BF1106" s="588" t="n"/>
      <c r="BG1106" s="588" t="n"/>
      <c r="BH1106" s="588" t="n"/>
      <c r="BI1106" s="588" t="n"/>
      <c r="BJ1106" s="588" t="n"/>
      <c r="BK1106" s="588" t="n"/>
      <c r="BL1106" s="588" t="n"/>
      <c r="BM1106" s="588" t="n"/>
      <c r="BN1106" s="588" t="n"/>
      <c r="BO1106" s="588" t="n"/>
      <c r="BP1106" s="588" t="n"/>
      <c r="BQ1106" s="588" t="n"/>
      <c r="BR1106" s="588" t="n"/>
      <c r="BS1106" s="588" t="n"/>
      <c r="BT1106" s="588" t="n"/>
      <c r="BU1106" s="588" t="n"/>
      <c r="BV1106" s="588" t="n"/>
      <c r="BW1106" s="588" t="n"/>
      <c r="BX1106" s="588" t="n"/>
      <c r="BY1106" s="588" t="n"/>
      <c r="BZ1106" s="588" t="n"/>
      <c r="CA1106" s="588" t="n"/>
      <c r="CB1106" s="588" t="n"/>
      <c r="CC1106" s="588" t="n"/>
      <c r="CD1106" s="588" t="n"/>
      <c r="CE1106" s="588" t="n"/>
      <c r="CF1106" s="588" t="n"/>
      <c r="CG1106" s="588" t="n"/>
      <c r="CH1106" s="588" t="n"/>
      <c r="CI1106" s="588" t="n"/>
      <c r="CJ1106" s="588" t="n"/>
      <c r="CK1106" s="588" t="n"/>
      <c r="CL1106" s="588" t="n"/>
      <c r="CM1106" s="588" t="n"/>
      <c r="CN1106" s="588" t="n"/>
      <c r="CO1106" s="588" t="n"/>
      <c r="CP1106" s="588" t="n"/>
      <c r="CQ1106" s="588" t="n"/>
      <c r="CR1106" s="588" t="n"/>
      <c r="CS1106" s="588" t="n"/>
      <c r="CT1106" s="588" t="n"/>
      <c r="CU1106" s="588" t="n"/>
      <c r="CV1106" s="588" t="n"/>
      <c r="CW1106" s="588" t="n"/>
      <c r="CX1106" s="588" t="n"/>
      <c r="CY1106" s="588" t="n"/>
      <c r="CZ1106" s="588" t="n"/>
      <c r="DA1106" s="588" t="n"/>
      <c r="DB1106" s="588" t="n"/>
      <c r="DC1106" s="588" t="n"/>
      <c r="DD1106" s="588" t="n"/>
      <c r="DE1106" s="588" t="n"/>
      <c r="DF1106" s="588" t="n"/>
      <c r="DG1106" s="588" t="n"/>
      <c r="DH1106" s="588" t="n"/>
      <c r="DI1106" s="588" t="n"/>
      <c r="DJ1106" s="588" t="n"/>
      <c r="DK1106" s="588" t="n"/>
      <c r="DL1106" s="588" t="n"/>
      <c r="DM1106" s="588" t="n"/>
      <c r="DN1106" s="588" t="n"/>
      <c r="DO1106" s="588" t="n"/>
      <c r="DP1106" s="588" t="n"/>
      <c r="DQ1106" s="588" t="n"/>
      <c r="DR1106" s="588" t="n"/>
      <c r="DS1106" s="588" t="n"/>
      <c r="DT1106" s="588" t="n"/>
      <c r="DU1106" s="588" t="n"/>
    </row>
    <row r="1107">
      <c r="A1107" s="737" t="n"/>
      <c r="B1107" s="737" t="n"/>
      <c r="C1107" s="737" t="n"/>
      <c r="D1107" s="737" t="n"/>
      <c r="E1107" s="737" t="n"/>
      <c r="F1107" s="737" t="n"/>
      <c r="G1107" s="737" t="n"/>
      <c r="H1107" s="737" t="n"/>
      <c r="I1107" s="737" t="n"/>
      <c r="J1107" s="737" t="n"/>
      <c r="K1107" s="737" t="n"/>
      <c r="L1107" s="737" t="n"/>
      <c r="M1107" s="737" t="n"/>
      <c r="N1107" s="737" t="n"/>
      <c r="O1107" s="737" t="n"/>
      <c r="P1107" s="737" t="n"/>
      <c r="Q1107" s="737" t="n"/>
      <c r="R1107" s="737" t="n"/>
      <c r="S1107" s="737" t="n"/>
      <c r="T1107" s="737" t="n"/>
      <c r="U1107" s="737" t="n"/>
      <c r="V1107" s="737" t="n"/>
      <c r="W1107" s="737" t="n"/>
      <c r="X1107" s="737" t="n"/>
      <c r="Y1107" s="737" t="n"/>
      <c r="Z1107" s="737" t="n"/>
      <c r="AA1107" s="737" t="n"/>
      <c r="AB1107" s="737" t="n"/>
      <c r="AC1107" s="737" t="n"/>
      <c r="AD1107" s="737" t="n"/>
      <c r="AE1107" s="737" t="n"/>
      <c r="AF1107" s="737" t="n"/>
      <c r="AG1107" s="737" t="n"/>
      <c r="AH1107" s="737" t="n"/>
      <c r="AI1107" s="737" t="n"/>
      <c r="AJ1107" s="737" t="n"/>
      <c r="AK1107" s="588" t="n"/>
      <c r="AL1107" s="588" t="n"/>
      <c r="AM1107" s="588" t="n"/>
      <c r="AN1107" s="588" t="n"/>
      <c r="AO1107" s="588" t="n"/>
      <c r="AP1107" s="588" t="n"/>
      <c r="AQ1107" s="588" t="n"/>
      <c r="AR1107" s="588" t="n"/>
      <c r="AS1107" s="588" t="n"/>
      <c r="AT1107" s="588" t="n"/>
      <c r="AU1107" s="588" t="n"/>
      <c r="AV1107" s="588" t="n"/>
      <c r="AW1107" s="588" t="n"/>
      <c r="AX1107" s="588" t="n"/>
      <c r="AY1107" s="588" t="n"/>
      <c r="AZ1107" s="588" t="n"/>
      <c r="BA1107" s="588" t="n"/>
      <c r="BB1107" s="588" t="n"/>
      <c r="BC1107" s="588" t="n"/>
      <c r="BD1107" s="588" t="n"/>
      <c r="BE1107" s="588" t="n"/>
      <c r="BF1107" s="588" t="n"/>
      <c r="BG1107" s="588" t="n"/>
      <c r="BH1107" s="588" t="n"/>
      <c r="BI1107" s="588" t="n"/>
      <c r="BJ1107" s="588" t="n"/>
      <c r="BK1107" s="588" t="n"/>
      <c r="BL1107" s="588" t="n"/>
      <c r="BM1107" s="588" t="n"/>
      <c r="BN1107" s="588" t="n"/>
      <c r="BO1107" s="588" t="n"/>
      <c r="BP1107" s="588" t="n"/>
      <c r="BQ1107" s="588" t="n"/>
      <c r="BR1107" s="588" t="n"/>
      <c r="BS1107" s="588" t="n"/>
      <c r="BT1107" s="588" t="n"/>
      <c r="BU1107" s="588" t="n"/>
      <c r="BV1107" s="588" t="n"/>
      <c r="BW1107" s="588" t="n"/>
      <c r="BX1107" s="588" t="n"/>
      <c r="BY1107" s="588" t="n"/>
      <c r="BZ1107" s="588" t="n"/>
      <c r="CA1107" s="588" t="n"/>
      <c r="CB1107" s="588" t="n"/>
      <c r="CC1107" s="588" t="n"/>
      <c r="CD1107" s="588" t="n"/>
      <c r="CE1107" s="588" t="n"/>
      <c r="CF1107" s="588" t="n"/>
      <c r="CG1107" s="588" t="n"/>
      <c r="CH1107" s="588" t="n"/>
      <c r="CI1107" s="588" t="n"/>
      <c r="CJ1107" s="588" t="n"/>
      <c r="CK1107" s="588" t="n"/>
      <c r="CL1107" s="588" t="n"/>
      <c r="CM1107" s="588" t="n"/>
      <c r="CN1107" s="588" t="n"/>
      <c r="CO1107" s="588" t="n"/>
      <c r="CP1107" s="588" t="n"/>
      <c r="CQ1107" s="588" t="n"/>
      <c r="CR1107" s="588" t="n"/>
      <c r="CS1107" s="588" t="n"/>
      <c r="CT1107" s="588" t="n"/>
      <c r="CU1107" s="588" t="n"/>
      <c r="CV1107" s="588" t="n"/>
      <c r="CW1107" s="588" t="n"/>
      <c r="CX1107" s="588" t="n"/>
      <c r="CY1107" s="588" t="n"/>
      <c r="CZ1107" s="588" t="n"/>
      <c r="DA1107" s="588" t="n"/>
      <c r="DB1107" s="588" t="n"/>
      <c r="DC1107" s="588" t="n"/>
      <c r="DD1107" s="588" t="n"/>
      <c r="DE1107" s="588" t="n"/>
      <c r="DF1107" s="588" t="n"/>
      <c r="DG1107" s="588" t="n"/>
      <c r="DH1107" s="588" t="n"/>
      <c r="DI1107" s="588" t="n"/>
      <c r="DJ1107" s="588" t="n"/>
      <c r="DK1107" s="588" t="n"/>
      <c r="DL1107" s="588" t="n"/>
      <c r="DM1107" s="588" t="n"/>
      <c r="DN1107" s="588" t="n"/>
      <c r="DO1107" s="588" t="n"/>
      <c r="DP1107" s="588" t="n"/>
      <c r="DQ1107" s="588" t="n"/>
      <c r="DR1107" s="588" t="n"/>
      <c r="DS1107" s="588" t="n"/>
      <c r="DT1107" s="588" t="n"/>
      <c r="DU1107" s="588" t="n"/>
    </row>
    <row r="1108">
      <c r="A1108" s="737" t="n"/>
      <c r="B1108" s="737" t="n"/>
      <c r="C1108" s="737" t="n"/>
      <c r="D1108" s="737" t="n"/>
      <c r="E1108" s="737" t="n"/>
      <c r="F1108" s="737" t="n"/>
      <c r="G1108" s="737" t="n"/>
      <c r="H1108" s="737" t="n"/>
      <c r="I1108" s="737" t="n"/>
      <c r="J1108" s="737" t="n"/>
      <c r="K1108" s="737" t="n"/>
      <c r="L1108" s="737" t="n"/>
      <c r="M1108" s="737" t="n"/>
      <c r="N1108" s="737" t="n"/>
      <c r="O1108" s="737" t="n"/>
      <c r="P1108" s="737" t="n"/>
      <c r="Q1108" s="737" t="n"/>
      <c r="R1108" s="737" t="n"/>
      <c r="S1108" s="737" t="n"/>
      <c r="T1108" s="737" t="n"/>
      <c r="U1108" s="737" t="n"/>
      <c r="V1108" s="737" t="n"/>
      <c r="W1108" s="737" t="n"/>
      <c r="X1108" s="737" t="n"/>
      <c r="Y1108" s="737" t="n"/>
      <c r="Z1108" s="737" t="n"/>
      <c r="AA1108" s="737" t="n"/>
      <c r="AB1108" s="737" t="n"/>
      <c r="AC1108" s="737" t="n"/>
      <c r="AD1108" s="737" t="n"/>
      <c r="AE1108" s="737" t="n"/>
      <c r="AF1108" s="737" t="n"/>
      <c r="AG1108" s="737" t="n"/>
      <c r="AH1108" s="737" t="n"/>
      <c r="AI1108" s="737" t="n"/>
      <c r="AJ1108" s="737" t="n"/>
      <c r="AK1108" s="588" t="n"/>
      <c r="AL1108" s="588" t="n"/>
      <c r="AM1108" s="588" t="n"/>
      <c r="AN1108" s="588" t="n"/>
      <c r="AO1108" s="588" t="n"/>
      <c r="AP1108" s="588" t="n"/>
      <c r="AQ1108" s="588" t="n"/>
      <c r="AR1108" s="588" t="n"/>
      <c r="AS1108" s="588" t="n"/>
      <c r="AT1108" s="588" t="n"/>
      <c r="AU1108" s="588" t="n"/>
      <c r="AV1108" s="588" t="n"/>
      <c r="AW1108" s="588" t="n"/>
      <c r="AX1108" s="588" t="n"/>
      <c r="AY1108" s="588" t="n"/>
      <c r="AZ1108" s="588" t="n"/>
      <c r="BA1108" s="588" t="n"/>
      <c r="BB1108" s="588" t="n"/>
      <c r="BC1108" s="588" t="n"/>
      <c r="BD1108" s="588" t="n"/>
      <c r="BE1108" s="588" t="n"/>
      <c r="BF1108" s="588" t="n"/>
      <c r="BG1108" s="588" t="n"/>
      <c r="BH1108" s="588" t="n"/>
      <c r="BI1108" s="588" t="n"/>
      <c r="BJ1108" s="588" t="n"/>
      <c r="BK1108" s="588" t="n"/>
      <c r="BL1108" s="588" t="n"/>
      <c r="BM1108" s="588" t="n"/>
      <c r="BN1108" s="588" t="n"/>
      <c r="BO1108" s="588" t="n"/>
      <c r="BP1108" s="588" t="n"/>
      <c r="BQ1108" s="588" t="n"/>
      <c r="BR1108" s="588" t="n"/>
      <c r="BS1108" s="588" t="n"/>
      <c r="BT1108" s="588" t="n"/>
      <c r="BU1108" s="588" t="n"/>
      <c r="BV1108" s="588" t="n"/>
      <c r="BW1108" s="588" t="n"/>
      <c r="BX1108" s="588" t="n"/>
      <c r="BY1108" s="588" t="n"/>
      <c r="BZ1108" s="588" t="n"/>
      <c r="CA1108" s="588" t="n"/>
      <c r="CB1108" s="588" t="n"/>
      <c r="CC1108" s="588" t="n"/>
      <c r="CD1108" s="588" t="n"/>
      <c r="CE1108" s="588" t="n"/>
      <c r="CF1108" s="588" t="n"/>
      <c r="CG1108" s="588" t="n"/>
      <c r="CH1108" s="588" t="n"/>
      <c r="CI1108" s="588" t="n"/>
      <c r="CJ1108" s="588" t="n"/>
      <c r="CK1108" s="588" t="n"/>
      <c r="CL1108" s="588" t="n"/>
      <c r="CM1108" s="588" t="n"/>
      <c r="CN1108" s="588" t="n"/>
      <c r="CO1108" s="588" t="n"/>
      <c r="CP1108" s="588" t="n"/>
      <c r="CQ1108" s="588" t="n"/>
      <c r="CR1108" s="588" t="n"/>
      <c r="CS1108" s="588" t="n"/>
      <c r="CT1108" s="588" t="n"/>
      <c r="CU1108" s="588" t="n"/>
      <c r="CV1108" s="588" t="n"/>
      <c r="CW1108" s="588" t="n"/>
      <c r="CX1108" s="588" t="n"/>
      <c r="CY1108" s="588" t="n"/>
      <c r="CZ1108" s="588" t="n"/>
      <c r="DA1108" s="588" t="n"/>
      <c r="DB1108" s="588" t="n"/>
      <c r="DC1108" s="588" t="n"/>
      <c r="DD1108" s="588" t="n"/>
      <c r="DE1108" s="588" t="n"/>
      <c r="DF1108" s="588" t="n"/>
      <c r="DG1108" s="588" t="n"/>
      <c r="DH1108" s="588" t="n"/>
      <c r="DI1108" s="588" t="n"/>
      <c r="DJ1108" s="588" t="n"/>
      <c r="DK1108" s="588" t="n"/>
      <c r="DL1108" s="588" t="n"/>
      <c r="DM1108" s="588" t="n"/>
      <c r="DN1108" s="588" t="n"/>
      <c r="DO1108" s="588" t="n"/>
      <c r="DP1108" s="588" t="n"/>
      <c r="DQ1108" s="588" t="n"/>
      <c r="DR1108" s="588" t="n"/>
      <c r="DS1108" s="588" t="n"/>
      <c r="DT1108" s="588" t="n"/>
      <c r="DU1108" s="588" t="n"/>
    </row>
    <row r="1109">
      <c r="A1109" s="737" t="n"/>
      <c r="B1109" s="737" t="n"/>
      <c r="C1109" s="737" t="n"/>
      <c r="D1109" s="737" t="n"/>
      <c r="E1109" s="737" t="n"/>
      <c r="F1109" s="737" t="n"/>
      <c r="G1109" s="737" t="n"/>
      <c r="H1109" s="737" t="n"/>
      <c r="I1109" s="737" t="n"/>
      <c r="J1109" s="737" t="n"/>
      <c r="K1109" s="737" t="n"/>
      <c r="L1109" s="737" t="n"/>
      <c r="M1109" s="737" t="n"/>
      <c r="N1109" s="737" t="n"/>
      <c r="O1109" s="737" t="n"/>
      <c r="P1109" s="737" t="n"/>
      <c r="Q1109" s="737" t="n"/>
      <c r="R1109" s="737" t="n"/>
      <c r="S1109" s="737" t="n"/>
      <c r="T1109" s="737" t="n"/>
      <c r="U1109" s="737" t="n"/>
      <c r="V1109" s="737" t="n"/>
      <c r="W1109" s="737" t="n"/>
      <c r="X1109" s="737" t="n"/>
      <c r="Y1109" s="737" t="n"/>
      <c r="Z1109" s="737" t="n"/>
      <c r="AA1109" s="737" t="n"/>
      <c r="AB1109" s="737" t="n"/>
      <c r="AC1109" s="737" t="n"/>
      <c r="AD1109" s="737" t="n"/>
      <c r="AE1109" s="737" t="n"/>
      <c r="AF1109" s="737" t="n"/>
      <c r="AG1109" s="737" t="n"/>
      <c r="AH1109" s="737" t="n"/>
      <c r="AI1109" s="737" t="n"/>
      <c r="AJ1109" s="737" t="n"/>
      <c r="AK1109" s="588" t="n"/>
      <c r="AL1109" s="588" t="n"/>
      <c r="AM1109" s="588" t="n"/>
      <c r="AN1109" s="588" t="n"/>
      <c r="AO1109" s="588" t="n"/>
      <c r="AP1109" s="588" t="n"/>
      <c r="AQ1109" s="588" t="n"/>
      <c r="AR1109" s="588" t="n"/>
      <c r="AS1109" s="588" t="n"/>
      <c r="AT1109" s="588" t="n"/>
      <c r="AU1109" s="588" t="n"/>
      <c r="AV1109" s="588" t="n"/>
      <c r="AW1109" s="588" t="n"/>
      <c r="AX1109" s="588" t="n"/>
      <c r="AY1109" s="588" t="n"/>
      <c r="AZ1109" s="588" t="n"/>
      <c r="BA1109" s="588" t="n"/>
      <c r="BB1109" s="588" t="n"/>
      <c r="BC1109" s="588" t="n"/>
      <c r="BD1109" s="588" t="n"/>
      <c r="BE1109" s="588" t="n"/>
      <c r="BF1109" s="588" t="n"/>
      <c r="BG1109" s="588" t="n"/>
      <c r="BH1109" s="588" t="n"/>
      <c r="BI1109" s="588" t="n"/>
      <c r="BJ1109" s="588" t="n"/>
      <c r="BK1109" s="588" t="n"/>
      <c r="BL1109" s="588" t="n"/>
      <c r="BM1109" s="588" t="n"/>
      <c r="BN1109" s="588" t="n"/>
      <c r="BO1109" s="588" t="n"/>
      <c r="BP1109" s="588" t="n"/>
      <c r="BQ1109" s="588" t="n"/>
      <c r="BR1109" s="588" t="n"/>
      <c r="BS1109" s="588" t="n"/>
      <c r="BT1109" s="588" t="n"/>
      <c r="BU1109" s="588" t="n"/>
      <c r="BV1109" s="588" t="n"/>
      <c r="BW1109" s="588" t="n"/>
      <c r="BX1109" s="588" t="n"/>
      <c r="BY1109" s="588" t="n"/>
      <c r="BZ1109" s="588" t="n"/>
      <c r="CA1109" s="588" t="n"/>
      <c r="CB1109" s="588" t="n"/>
      <c r="CC1109" s="588" t="n"/>
      <c r="CD1109" s="588" t="n"/>
      <c r="CE1109" s="588" t="n"/>
      <c r="CF1109" s="588" t="n"/>
      <c r="CG1109" s="588" t="n"/>
      <c r="CH1109" s="588" t="n"/>
      <c r="CI1109" s="588" t="n"/>
      <c r="CJ1109" s="588" t="n"/>
      <c r="CK1109" s="588" t="n"/>
      <c r="CL1109" s="588" t="n"/>
      <c r="CM1109" s="588" t="n"/>
      <c r="CN1109" s="588" t="n"/>
      <c r="CO1109" s="588" t="n"/>
      <c r="CP1109" s="588" t="n"/>
      <c r="CQ1109" s="588" t="n"/>
      <c r="CR1109" s="588" t="n"/>
      <c r="CS1109" s="588" t="n"/>
      <c r="CT1109" s="588" t="n"/>
      <c r="CU1109" s="588" t="n"/>
      <c r="CV1109" s="588" t="n"/>
      <c r="CW1109" s="588" t="n"/>
      <c r="CX1109" s="588" t="n"/>
      <c r="CY1109" s="588" t="n"/>
      <c r="CZ1109" s="588" t="n"/>
      <c r="DA1109" s="588" t="n"/>
      <c r="DB1109" s="588" t="n"/>
      <c r="DC1109" s="588" t="n"/>
      <c r="DD1109" s="588" t="n"/>
      <c r="DE1109" s="588" t="n"/>
      <c r="DF1109" s="588" t="n"/>
      <c r="DG1109" s="588" t="n"/>
      <c r="DH1109" s="588" t="n"/>
      <c r="DI1109" s="588" t="n"/>
      <c r="DJ1109" s="588" t="n"/>
      <c r="DK1109" s="588" t="n"/>
      <c r="DL1109" s="588" t="n"/>
      <c r="DM1109" s="588" t="n"/>
      <c r="DN1109" s="588" t="n"/>
      <c r="DO1109" s="588" t="n"/>
      <c r="DP1109" s="588" t="n"/>
      <c r="DQ1109" s="588" t="n"/>
      <c r="DR1109" s="588" t="n"/>
      <c r="DS1109" s="588" t="n"/>
      <c r="DT1109" s="588" t="n"/>
      <c r="DU1109" s="588" t="n"/>
    </row>
    <row r="1110">
      <c r="A1110" s="737" t="n"/>
      <c r="B1110" s="737" t="n"/>
      <c r="C1110" s="737" t="n"/>
      <c r="D1110" s="737" t="n"/>
      <c r="E1110" s="737" t="n"/>
      <c r="F1110" s="737" t="n"/>
      <c r="G1110" s="737" t="n"/>
      <c r="H1110" s="737" t="n"/>
      <c r="I1110" s="737" t="n"/>
      <c r="J1110" s="737" t="n"/>
      <c r="K1110" s="737" t="n"/>
      <c r="L1110" s="737" t="n"/>
      <c r="M1110" s="737" t="n"/>
      <c r="N1110" s="737" t="n"/>
      <c r="O1110" s="737" t="n"/>
      <c r="P1110" s="737" t="n"/>
      <c r="Q1110" s="737" t="n"/>
      <c r="R1110" s="737" t="n"/>
      <c r="S1110" s="737" t="n"/>
      <c r="T1110" s="737" t="n"/>
      <c r="U1110" s="737" t="n"/>
      <c r="V1110" s="737" t="n"/>
      <c r="W1110" s="737" t="n"/>
      <c r="X1110" s="737" t="n"/>
      <c r="Y1110" s="737" t="n"/>
      <c r="Z1110" s="737" t="n"/>
      <c r="AA1110" s="737" t="n"/>
      <c r="AB1110" s="737" t="n"/>
      <c r="AC1110" s="737" t="n"/>
      <c r="AD1110" s="737" t="n"/>
      <c r="AE1110" s="737" t="n"/>
      <c r="AF1110" s="737" t="n"/>
      <c r="AG1110" s="737" t="n"/>
      <c r="AH1110" s="737" t="n"/>
      <c r="AI1110" s="737" t="n"/>
      <c r="AJ1110" s="737" t="n"/>
      <c r="AK1110" s="588" t="n"/>
      <c r="AL1110" s="588" t="n"/>
      <c r="AM1110" s="588" t="n"/>
      <c r="AN1110" s="588" t="n"/>
      <c r="AO1110" s="588" t="n"/>
      <c r="AP1110" s="588" t="n"/>
      <c r="AQ1110" s="588" t="n"/>
      <c r="AR1110" s="588" t="n"/>
      <c r="AS1110" s="588" t="n"/>
      <c r="AT1110" s="588" t="n"/>
      <c r="AU1110" s="588" t="n"/>
      <c r="AV1110" s="588" t="n"/>
      <c r="AW1110" s="588" t="n"/>
      <c r="AX1110" s="588" t="n"/>
      <c r="AY1110" s="588" t="n"/>
      <c r="AZ1110" s="588" t="n"/>
      <c r="BA1110" s="588" t="n"/>
      <c r="BB1110" s="588" t="n"/>
      <c r="BC1110" s="588" t="n"/>
      <c r="BD1110" s="588" t="n"/>
      <c r="BE1110" s="588" t="n"/>
      <c r="BF1110" s="588" t="n"/>
      <c r="BG1110" s="588" t="n"/>
      <c r="BH1110" s="588" t="n"/>
      <c r="BI1110" s="588" t="n"/>
      <c r="BJ1110" s="588" t="n"/>
      <c r="BK1110" s="588" t="n"/>
      <c r="BL1110" s="588" t="n"/>
      <c r="BM1110" s="588" t="n"/>
      <c r="BN1110" s="588" t="n"/>
      <c r="BO1110" s="588" t="n"/>
      <c r="BP1110" s="588" t="n"/>
      <c r="BQ1110" s="588" t="n"/>
      <c r="BR1110" s="588" t="n"/>
      <c r="BS1110" s="588" t="n"/>
      <c r="BT1110" s="588" t="n"/>
      <c r="BU1110" s="588" t="n"/>
      <c r="BV1110" s="588" t="n"/>
      <c r="BW1110" s="588" t="n"/>
      <c r="BX1110" s="588" t="n"/>
      <c r="BY1110" s="588" t="n"/>
      <c r="BZ1110" s="588" t="n"/>
      <c r="CA1110" s="588" t="n"/>
      <c r="CB1110" s="588" t="n"/>
      <c r="CC1110" s="588" t="n"/>
      <c r="CD1110" s="588" t="n"/>
      <c r="CE1110" s="588" t="n"/>
      <c r="CF1110" s="588" t="n"/>
      <c r="CG1110" s="588" t="n"/>
      <c r="CH1110" s="588" t="n"/>
      <c r="CI1110" s="588" t="n"/>
      <c r="CJ1110" s="588" t="n"/>
      <c r="CK1110" s="588" t="n"/>
      <c r="CL1110" s="588" t="n"/>
      <c r="CM1110" s="588" t="n"/>
      <c r="CN1110" s="588" t="n"/>
      <c r="CO1110" s="588" t="n"/>
      <c r="CP1110" s="588" t="n"/>
      <c r="CQ1110" s="588" t="n"/>
      <c r="CR1110" s="588" t="n"/>
      <c r="CS1110" s="588" t="n"/>
      <c r="CT1110" s="588" t="n"/>
      <c r="CU1110" s="588" t="n"/>
      <c r="CV1110" s="588" t="n"/>
      <c r="CW1110" s="588" t="n"/>
      <c r="CX1110" s="588" t="n"/>
      <c r="CY1110" s="588" t="n"/>
      <c r="CZ1110" s="588" t="n"/>
      <c r="DA1110" s="588" t="n"/>
      <c r="DB1110" s="588" t="n"/>
      <c r="DC1110" s="588" t="n"/>
      <c r="DD1110" s="588" t="n"/>
      <c r="DE1110" s="588" t="n"/>
      <c r="DF1110" s="588" t="n"/>
      <c r="DG1110" s="588" t="n"/>
      <c r="DH1110" s="588" t="n"/>
      <c r="DI1110" s="588" t="n"/>
      <c r="DJ1110" s="588" t="n"/>
      <c r="DK1110" s="588" t="n"/>
      <c r="DL1110" s="588" t="n"/>
      <c r="DM1110" s="588" t="n"/>
      <c r="DN1110" s="588" t="n"/>
      <c r="DO1110" s="588" t="n"/>
      <c r="DP1110" s="588" t="n"/>
      <c r="DQ1110" s="588" t="n"/>
      <c r="DR1110" s="588" t="n"/>
      <c r="DS1110" s="588" t="n"/>
      <c r="DT1110" s="588" t="n"/>
      <c r="DU1110" s="588" t="n"/>
    </row>
    <row r="1111">
      <c r="A1111" s="737" t="n"/>
      <c r="B1111" s="737" t="n"/>
      <c r="C1111" s="737" t="n"/>
      <c r="D1111" s="737" t="n"/>
      <c r="E1111" s="737" t="n"/>
      <c r="F1111" s="737" t="n"/>
      <c r="G1111" s="737" t="n"/>
      <c r="H1111" s="737" t="n"/>
      <c r="I1111" s="737" t="n"/>
      <c r="J1111" s="737" t="n"/>
      <c r="K1111" s="737" t="n"/>
      <c r="L1111" s="737" t="n"/>
      <c r="M1111" s="737" t="n"/>
      <c r="N1111" s="737" t="n"/>
      <c r="O1111" s="737" t="n"/>
      <c r="P1111" s="737" t="n"/>
      <c r="Q1111" s="737" t="n"/>
      <c r="R1111" s="737" t="n"/>
      <c r="S1111" s="737" t="n"/>
      <c r="T1111" s="737" t="n"/>
      <c r="U1111" s="737" t="n"/>
      <c r="V1111" s="737" t="n"/>
      <c r="W1111" s="737" t="n"/>
      <c r="X1111" s="737" t="n"/>
      <c r="Y1111" s="737" t="n"/>
      <c r="Z1111" s="737" t="n"/>
      <c r="AA1111" s="737" t="n"/>
      <c r="AB1111" s="737" t="n"/>
      <c r="AC1111" s="737" t="n"/>
      <c r="AD1111" s="737" t="n"/>
      <c r="AE1111" s="737" t="n"/>
      <c r="AF1111" s="737" t="n"/>
      <c r="AG1111" s="737" t="n"/>
      <c r="AH1111" s="737" t="n"/>
      <c r="AI1111" s="737" t="n"/>
      <c r="AJ1111" s="737" t="n"/>
      <c r="AK1111" s="588" t="n"/>
      <c r="AL1111" s="588" t="n"/>
      <c r="AM1111" s="588" t="n"/>
      <c r="AN1111" s="588" t="n"/>
      <c r="AO1111" s="588" t="n"/>
      <c r="AP1111" s="588" t="n"/>
      <c r="AQ1111" s="588" t="n"/>
      <c r="AR1111" s="588" t="n"/>
      <c r="AS1111" s="588" t="n"/>
      <c r="AT1111" s="588" t="n"/>
      <c r="AU1111" s="588" t="n"/>
      <c r="AV1111" s="588" t="n"/>
      <c r="AW1111" s="588" t="n"/>
      <c r="AX1111" s="588" t="n"/>
      <c r="AY1111" s="588" t="n"/>
      <c r="AZ1111" s="588" t="n"/>
      <c r="BA1111" s="588" t="n"/>
      <c r="BB1111" s="588" t="n"/>
      <c r="BC1111" s="588" t="n"/>
      <c r="BD1111" s="588" t="n"/>
      <c r="BE1111" s="588" t="n"/>
      <c r="BF1111" s="588" t="n"/>
      <c r="BG1111" s="588" t="n"/>
      <c r="BH1111" s="588" t="n"/>
      <c r="BI1111" s="588" t="n"/>
      <c r="BJ1111" s="588" t="n"/>
      <c r="BK1111" s="588" t="n"/>
      <c r="BL1111" s="588" t="n"/>
      <c r="BM1111" s="588" t="n"/>
      <c r="BN1111" s="588" t="n"/>
      <c r="BO1111" s="588" t="n"/>
      <c r="BP1111" s="588" t="n"/>
      <c r="BQ1111" s="588" t="n"/>
      <c r="BR1111" s="588" t="n"/>
      <c r="BS1111" s="588" t="n"/>
      <c r="BT1111" s="588" t="n"/>
      <c r="BU1111" s="588" t="n"/>
      <c r="BV1111" s="588" t="n"/>
      <c r="BW1111" s="588" t="n"/>
      <c r="BX1111" s="588" t="n"/>
      <c r="BY1111" s="588" t="n"/>
      <c r="BZ1111" s="588" t="n"/>
      <c r="CA1111" s="588" t="n"/>
      <c r="CB1111" s="588" t="n"/>
      <c r="CC1111" s="588" t="n"/>
      <c r="CD1111" s="588" t="n"/>
      <c r="CE1111" s="588" t="n"/>
      <c r="CF1111" s="588" t="n"/>
      <c r="CG1111" s="588" t="n"/>
      <c r="CH1111" s="588" t="n"/>
      <c r="CI1111" s="588" t="n"/>
      <c r="CJ1111" s="588" t="n"/>
      <c r="CK1111" s="588" t="n"/>
      <c r="CL1111" s="588" t="n"/>
      <c r="CM1111" s="588" t="n"/>
      <c r="CN1111" s="588" t="n"/>
      <c r="CO1111" s="588" t="n"/>
      <c r="CP1111" s="588" t="n"/>
      <c r="CQ1111" s="588" t="n"/>
      <c r="CR1111" s="588" t="n"/>
      <c r="CS1111" s="588" t="n"/>
      <c r="CT1111" s="588" t="n"/>
      <c r="CU1111" s="588" t="n"/>
      <c r="CV1111" s="588" t="n"/>
      <c r="CW1111" s="588" t="n"/>
      <c r="CX1111" s="588" t="n"/>
      <c r="CY1111" s="588" t="n"/>
      <c r="CZ1111" s="588" t="n"/>
      <c r="DA1111" s="588" t="n"/>
      <c r="DB1111" s="588" t="n"/>
      <c r="DC1111" s="588" t="n"/>
      <c r="DD1111" s="588" t="n"/>
      <c r="DE1111" s="588" t="n"/>
      <c r="DF1111" s="588" t="n"/>
      <c r="DG1111" s="588" t="n"/>
      <c r="DH1111" s="588" t="n"/>
      <c r="DI1111" s="588" t="n"/>
      <c r="DJ1111" s="588" t="n"/>
      <c r="DK1111" s="588" t="n"/>
      <c r="DL1111" s="588" t="n"/>
      <c r="DM1111" s="588" t="n"/>
      <c r="DN1111" s="588" t="n"/>
      <c r="DO1111" s="588" t="n"/>
      <c r="DP1111" s="588" t="n"/>
      <c r="DQ1111" s="588" t="n"/>
      <c r="DR1111" s="588" t="n"/>
      <c r="DS1111" s="588" t="n"/>
      <c r="DT1111" s="588" t="n"/>
      <c r="DU1111" s="588" t="n"/>
    </row>
    <row r="1112">
      <c r="A1112" s="737" t="n"/>
      <c r="B1112" s="737" t="n"/>
      <c r="C1112" s="737" t="n"/>
      <c r="D1112" s="737" t="n"/>
      <c r="E1112" s="737" t="n"/>
      <c r="F1112" s="737" t="n"/>
      <c r="G1112" s="737" t="n"/>
      <c r="H1112" s="737" t="n"/>
      <c r="I1112" s="737" t="n"/>
      <c r="J1112" s="737" t="n"/>
      <c r="K1112" s="737" t="n"/>
      <c r="L1112" s="737" t="n"/>
      <c r="M1112" s="737" t="n"/>
      <c r="N1112" s="737" t="n"/>
      <c r="O1112" s="737" t="n"/>
      <c r="P1112" s="737" t="n"/>
      <c r="Q1112" s="737" t="n"/>
      <c r="R1112" s="737" t="n"/>
      <c r="S1112" s="737" t="n"/>
      <c r="T1112" s="737" t="n"/>
      <c r="U1112" s="737" t="n"/>
      <c r="V1112" s="737" t="n"/>
      <c r="W1112" s="737" t="n"/>
      <c r="X1112" s="737" t="n"/>
      <c r="Y1112" s="737" t="n"/>
      <c r="Z1112" s="737" t="n"/>
      <c r="AA1112" s="737" t="n"/>
      <c r="AB1112" s="737" t="n"/>
      <c r="AC1112" s="737" t="n"/>
      <c r="AD1112" s="737" t="n"/>
      <c r="AE1112" s="737" t="n"/>
      <c r="AF1112" s="737" t="n"/>
      <c r="AG1112" s="737" t="n"/>
      <c r="AH1112" s="737" t="n"/>
      <c r="AI1112" s="737" t="n"/>
      <c r="AJ1112" s="737" t="n"/>
      <c r="AK1112" s="588" t="n"/>
      <c r="AL1112" s="588" t="n"/>
      <c r="AM1112" s="588" t="n"/>
      <c r="AN1112" s="588" t="n"/>
      <c r="AO1112" s="588" t="n"/>
      <c r="AP1112" s="588" t="n"/>
      <c r="AQ1112" s="588" t="n"/>
      <c r="AR1112" s="588" t="n"/>
      <c r="AS1112" s="588" t="n"/>
      <c r="AT1112" s="588" t="n"/>
      <c r="AU1112" s="588" t="n"/>
      <c r="AV1112" s="588" t="n"/>
      <c r="AW1112" s="588" t="n"/>
      <c r="AX1112" s="588" t="n"/>
      <c r="AY1112" s="588" t="n"/>
      <c r="AZ1112" s="588" t="n"/>
      <c r="BA1112" s="588" t="n"/>
      <c r="BB1112" s="588" t="n"/>
      <c r="BC1112" s="588" t="n"/>
      <c r="BD1112" s="588" t="n"/>
      <c r="BE1112" s="588" t="n"/>
      <c r="BF1112" s="588" t="n"/>
      <c r="BG1112" s="588" t="n"/>
      <c r="BH1112" s="588" t="n"/>
      <c r="BI1112" s="588" t="n"/>
      <c r="BJ1112" s="588" t="n"/>
      <c r="BK1112" s="588" t="n"/>
      <c r="BL1112" s="588" t="n"/>
      <c r="BM1112" s="588" t="n"/>
      <c r="BN1112" s="588" t="n"/>
      <c r="BO1112" s="588" t="n"/>
      <c r="BP1112" s="588" t="n"/>
      <c r="BQ1112" s="588" t="n"/>
      <c r="BR1112" s="588" t="n"/>
      <c r="BS1112" s="588" t="n"/>
      <c r="BT1112" s="588" t="n"/>
      <c r="BU1112" s="588" t="n"/>
      <c r="BV1112" s="588" t="n"/>
      <c r="BW1112" s="588" t="n"/>
      <c r="BX1112" s="588" t="n"/>
      <c r="BY1112" s="588" t="n"/>
      <c r="BZ1112" s="588" t="n"/>
      <c r="CA1112" s="588" t="n"/>
      <c r="CB1112" s="588" t="n"/>
      <c r="CC1112" s="588" t="n"/>
      <c r="CD1112" s="588" t="n"/>
      <c r="CE1112" s="588" t="n"/>
      <c r="CF1112" s="588" t="n"/>
      <c r="CG1112" s="588" t="n"/>
      <c r="CH1112" s="588" t="n"/>
      <c r="CI1112" s="588" t="n"/>
      <c r="CJ1112" s="588" t="n"/>
      <c r="CK1112" s="588" t="n"/>
      <c r="CL1112" s="588" t="n"/>
      <c r="CM1112" s="588" t="n"/>
      <c r="CN1112" s="588" t="n"/>
      <c r="CO1112" s="588" t="n"/>
      <c r="CP1112" s="588" t="n"/>
      <c r="CQ1112" s="588" t="n"/>
      <c r="CR1112" s="588" t="n"/>
      <c r="CS1112" s="588" t="n"/>
      <c r="CT1112" s="588" t="n"/>
      <c r="CU1112" s="588" t="n"/>
      <c r="CV1112" s="588" t="n"/>
      <c r="CW1112" s="588" t="n"/>
      <c r="CX1112" s="588" t="n"/>
      <c r="CY1112" s="588" t="n"/>
      <c r="CZ1112" s="588" t="n"/>
      <c r="DA1112" s="588" t="n"/>
      <c r="DB1112" s="588" t="n"/>
      <c r="DC1112" s="588" t="n"/>
      <c r="DD1112" s="588" t="n"/>
      <c r="DE1112" s="588" t="n"/>
      <c r="DF1112" s="588" t="n"/>
      <c r="DG1112" s="588" t="n"/>
      <c r="DH1112" s="588" t="n"/>
      <c r="DI1112" s="588" t="n"/>
      <c r="DJ1112" s="588" t="n"/>
      <c r="DK1112" s="588" t="n"/>
      <c r="DL1112" s="588" t="n"/>
      <c r="DM1112" s="588" t="n"/>
      <c r="DN1112" s="588" t="n"/>
      <c r="DO1112" s="588" t="n"/>
      <c r="DP1112" s="588" t="n"/>
      <c r="DQ1112" s="588" t="n"/>
      <c r="DR1112" s="588" t="n"/>
      <c r="DS1112" s="588" t="n"/>
      <c r="DT1112" s="588" t="n"/>
      <c r="DU1112" s="588" t="n"/>
    </row>
    <row r="1113">
      <c r="A1113" s="737" t="n"/>
      <c r="B1113" s="737" t="n"/>
      <c r="C1113" s="737" t="n"/>
      <c r="D1113" s="737" t="n"/>
      <c r="E1113" s="737" t="n"/>
      <c r="F1113" s="737" t="n"/>
      <c r="G1113" s="737" t="n"/>
      <c r="H1113" s="737" t="n"/>
      <c r="I1113" s="737" t="n"/>
      <c r="J1113" s="737" t="n"/>
      <c r="K1113" s="737" t="n"/>
      <c r="L1113" s="737" t="n"/>
      <c r="M1113" s="737" t="n"/>
      <c r="N1113" s="737" t="n"/>
      <c r="O1113" s="737" t="n"/>
      <c r="P1113" s="737" t="n"/>
      <c r="Q1113" s="737" t="n"/>
      <c r="R1113" s="737" t="n"/>
      <c r="S1113" s="737" t="n"/>
      <c r="T1113" s="737" t="n"/>
      <c r="U1113" s="737" t="n"/>
      <c r="V1113" s="737" t="n"/>
      <c r="W1113" s="737" t="n"/>
      <c r="X1113" s="737" t="n"/>
      <c r="Y1113" s="737" t="n"/>
      <c r="Z1113" s="737" t="n"/>
      <c r="AA1113" s="737" t="n"/>
      <c r="AB1113" s="737" t="n"/>
      <c r="AC1113" s="737" t="n"/>
      <c r="AD1113" s="737" t="n"/>
      <c r="AE1113" s="737" t="n"/>
      <c r="AF1113" s="737" t="n"/>
      <c r="AG1113" s="737" t="n"/>
      <c r="AH1113" s="737" t="n"/>
      <c r="AI1113" s="737" t="n"/>
      <c r="AJ1113" s="737" t="n"/>
      <c r="AK1113" s="588" t="n"/>
      <c r="AL1113" s="588" t="n"/>
      <c r="AM1113" s="588" t="n"/>
      <c r="AN1113" s="588" t="n"/>
      <c r="AO1113" s="588" t="n"/>
      <c r="AP1113" s="588" t="n"/>
      <c r="AQ1113" s="588" t="n"/>
      <c r="AR1113" s="588" t="n"/>
      <c r="AS1113" s="588" t="n"/>
      <c r="AT1113" s="588" t="n"/>
      <c r="AU1113" s="588" t="n"/>
      <c r="AV1113" s="588" t="n"/>
      <c r="AW1113" s="588" t="n"/>
      <c r="AX1113" s="588" t="n"/>
      <c r="AY1113" s="588" t="n"/>
      <c r="AZ1113" s="588" t="n"/>
      <c r="BA1113" s="588" t="n"/>
      <c r="BB1113" s="588" t="n"/>
      <c r="BC1113" s="588" t="n"/>
      <c r="BD1113" s="588" t="n"/>
      <c r="BE1113" s="588" t="n"/>
      <c r="BF1113" s="588" t="n"/>
      <c r="BG1113" s="588" t="n"/>
      <c r="BH1113" s="588" t="n"/>
      <c r="BI1113" s="588" t="n"/>
      <c r="BJ1113" s="588" t="n"/>
      <c r="BK1113" s="588" t="n"/>
      <c r="BL1113" s="588" t="n"/>
      <c r="BM1113" s="588" t="n"/>
      <c r="BN1113" s="588" t="n"/>
      <c r="BO1113" s="588" t="n"/>
      <c r="BP1113" s="588" t="n"/>
      <c r="BQ1113" s="588" t="n"/>
      <c r="BR1113" s="588" t="n"/>
      <c r="BS1113" s="588" t="n"/>
      <c r="BT1113" s="588" t="n"/>
      <c r="BU1113" s="588" t="n"/>
      <c r="BV1113" s="588" t="n"/>
      <c r="BW1113" s="588" t="n"/>
      <c r="BX1113" s="588" t="n"/>
      <c r="BY1113" s="588" t="n"/>
      <c r="BZ1113" s="588" t="n"/>
      <c r="CA1113" s="588" t="n"/>
      <c r="CB1113" s="588" t="n"/>
      <c r="CC1113" s="588" t="n"/>
      <c r="CD1113" s="588" t="n"/>
      <c r="CE1113" s="588" t="n"/>
      <c r="CF1113" s="588" t="n"/>
      <c r="CG1113" s="588" t="n"/>
      <c r="CH1113" s="588" t="n"/>
      <c r="CI1113" s="588" t="n"/>
      <c r="CJ1113" s="588" t="n"/>
      <c r="CK1113" s="588" t="n"/>
      <c r="CL1113" s="588" t="n"/>
      <c r="CM1113" s="588" t="n"/>
      <c r="CN1113" s="588" t="n"/>
      <c r="CO1113" s="588" t="n"/>
      <c r="CP1113" s="588" t="n"/>
      <c r="CQ1113" s="588" t="n"/>
      <c r="CR1113" s="588" t="n"/>
      <c r="CS1113" s="588" t="n"/>
      <c r="CT1113" s="588" t="n"/>
      <c r="CU1113" s="588" t="n"/>
      <c r="CV1113" s="588" t="n"/>
      <c r="CW1113" s="588" t="n"/>
      <c r="CX1113" s="588" t="n"/>
      <c r="CY1113" s="588" t="n"/>
      <c r="CZ1113" s="588" t="n"/>
      <c r="DA1113" s="588" t="n"/>
      <c r="DB1113" s="588" t="n"/>
      <c r="DC1113" s="588" t="n"/>
      <c r="DD1113" s="588" t="n"/>
      <c r="DE1113" s="588" t="n"/>
      <c r="DF1113" s="588" t="n"/>
      <c r="DG1113" s="588" t="n"/>
      <c r="DH1113" s="588" t="n"/>
      <c r="DI1113" s="588" t="n"/>
      <c r="DJ1113" s="588" t="n"/>
      <c r="DK1113" s="588" t="n"/>
      <c r="DL1113" s="588" t="n"/>
      <c r="DM1113" s="588" t="n"/>
      <c r="DN1113" s="588" t="n"/>
      <c r="DO1113" s="588" t="n"/>
      <c r="DP1113" s="588" t="n"/>
      <c r="DQ1113" s="588" t="n"/>
      <c r="DR1113" s="588" t="n"/>
      <c r="DS1113" s="588" t="n"/>
      <c r="DT1113" s="588" t="n"/>
      <c r="DU1113" s="588" t="n"/>
    </row>
    <row r="1114">
      <c r="A1114" s="737" t="n"/>
      <c r="B1114" s="737" t="n"/>
      <c r="C1114" s="737" t="n"/>
      <c r="D1114" s="737" t="n"/>
      <c r="E1114" s="737" t="n"/>
      <c r="F1114" s="737" t="n"/>
      <c r="G1114" s="737" t="n"/>
      <c r="H1114" s="737" t="n"/>
      <c r="I1114" s="737" t="n"/>
      <c r="J1114" s="737" t="n"/>
      <c r="K1114" s="737" t="n"/>
      <c r="L1114" s="737" t="n"/>
      <c r="M1114" s="737" t="n"/>
      <c r="N1114" s="737" t="n"/>
      <c r="O1114" s="737" t="n"/>
      <c r="P1114" s="737" t="n"/>
      <c r="Q1114" s="737" t="n"/>
      <c r="R1114" s="737" t="n"/>
      <c r="S1114" s="737" t="n"/>
      <c r="T1114" s="737" t="n"/>
      <c r="U1114" s="737" t="n"/>
      <c r="V1114" s="737" t="n"/>
      <c r="W1114" s="737" t="n"/>
      <c r="X1114" s="737" t="n"/>
      <c r="Y1114" s="737" t="n"/>
      <c r="Z1114" s="737" t="n"/>
      <c r="AA1114" s="737" t="n"/>
      <c r="AB1114" s="737" t="n"/>
      <c r="AC1114" s="737" t="n"/>
      <c r="AD1114" s="737" t="n"/>
      <c r="AE1114" s="737" t="n"/>
      <c r="AF1114" s="737" t="n"/>
      <c r="AG1114" s="737" t="n"/>
      <c r="AH1114" s="737" t="n"/>
      <c r="AI1114" s="737" t="n"/>
      <c r="AJ1114" s="737" t="n"/>
      <c r="AK1114" s="588" t="n"/>
      <c r="AL1114" s="588" t="n"/>
      <c r="AM1114" s="588" t="n"/>
      <c r="AN1114" s="588" t="n"/>
      <c r="AO1114" s="588" t="n"/>
      <c r="AP1114" s="588" t="n"/>
      <c r="AQ1114" s="588" t="n"/>
      <c r="AR1114" s="588" t="n"/>
      <c r="AS1114" s="588" t="n"/>
      <c r="AT1114" s="588" t="n"/>
      <c r="AU1114" s="588" t="n"/>
      <c r="AV1114" s="588" t="n"/>
      <c r="AW1114" s="588" t="n"/>
      <c r="AX1114" s="588" t="n"/>
      <c r="AY1114" s="588" t="n"/>
      <c r="AZ1114" s="588" t="n"/>
      <c r="BA1114" s="588" t="n"/>
      <c r="BB1114" s="588" t="n"/>
      <c r="BC1114" s="588" t="n"/>
      <c r="BD1114" s="588" t="n"/>
      <c r="BE1114" s="588" t="n"/>
      <c r="BF1114" s="588" t="n"/>
      <c r="BG1114" s="588" t="n"/>
      <c r="BH1114" s="588" t="n"/>
      <c r="BI1114" s="588" t="n"/>
      <c r="BJ1114" s="588" t="n"/>
      <c r="BK1114" s="588" t="n"/>
      <c r="BL1114" s="588" t="n"/>
      <c r="BM1114" s="588" t="n"/>
      <c r="BN1114" s="588" t="n"/>
      <c r="BO1114" s="588" t="n"/>
      <c r="BP1114" s="588" t="n"/>
      <c r="BQ1114" s="588" t="n"/>
      <c r="BR1114" s="588" t="n"/>
      <c r="BS1114" s="588" t="n"/>
      <c r="BT1114" s="588" t="n"/>
      <c r="BU1114" s="588" t="n"/>
      <c r="BV1114" s="588" t="n"/>
      <c r="BW1114" s="588" t="n"/>
      <c r="BX1114" s="588" t="n"/>
      <c r="BY1114" s="588" t="n"/>
      <c r="BZ1114" s="588" t="n"/>
      <c r="CA1114" s="588" t="n"/>
      <c r="CB1114" s="588" t="n"/>
      <c r="CC1114" s="588" t="n"/>
      <c r="CD1114" s="588" t="n"/>
      <c r="CE1114" s="588" t="n"/>
      <c r="CF1114" s="588" t="n"/>
      <c r="CG1114" s="588" t="n"/>
      <c r="CH1114" s="588" t="n"/>
      <c r="CI1114" s="588" t="n"/>
      <c r="CJ1114" s="588" t="n"/>
      <c r="CK1114" s="588" t="n"/>
      <c r="CL1114" s="588" t="n"/>
      <c r="CM1114" s="588" t="n"/>
      <c r="CN1114" s="588" t="n"/>
      <c r="CO1114" s="588" t="n"/>
      <c r="CP1114" s="588" t="n"/>
      <c r="CQ1114" s="588" t="n"/>
      <c r="CR1114" s="588" t="n"/>
      <c r="CS1114" s="588" t="n"/>
      <c r="CT1114" s="588" t="n"/>
      <c r="CU1114" s="588" t="n"/>
      <c r="CV1114" s="588" t="n"/>
      <c r="CW1114" s="588" t="n"/>
      <c r="CX1114" s="588" t="n"/>
      <c r="CY1114" s="588" t="n"/>
      <c r="CZ1114" s="588" t="n"/>
      <c r="DA1114" s="588" t="n"/>
      <c r="DB1114" s="588" t="n"/>
      <c r="DC1114" s="588" t="n"/>
      <c r="DD1114" s="588" t="n"/>
      <c r="DE1114" s="588" t="n"/>
      <c r="DF1114" s="588" t="n"/>
      <c r="DG1114" s="588" t="n"/>
      <c r="DH1114" s="588" t="n"/>
      <c r="DI1114" s="588" t="n"/>
      <c r="DJ1114" s="588" t="n"/>
      <c r="DK1114" s="588" t="n"/>
      <c r="DL1114" s="588" t="n"/>
      <c r="DM1114" s="588" t="n"/>
      <c r="DN1114" s="588" t="n"/>
      <c r="DO1114" s="588" t="n"/>
      <c r="DP1114" s="588" t="n"/>
      <c r="DQ1114" s="588" t="n"/>
      <c r="DR1114" s="588" t="n"/>
      <c r="DS1114" s="588" t="n"/>
      <c r="DT1114" s="588" t="n"/>
      <c r="DU1114" s="588" t="n"/>
    </row>
    <row r="1115">
      <c r="A1115" s="737" t="n"/>
      <c r="B1115" s="737" t="n"/>
      <c r="C1115" s="737" t="n"/>
      <c r="D1115" s="737" t="n"/>
      <c r="E1115" s="737" t="n"/>
      <c r="F1115" s="737" t="n"/>
      <c r="G1115" s="737" t="n"/>
      <c r="H1115" s="737" t="n"/>
      <c r="I1115" s="737" t="n"/>
      <c r="J1115" s="737" t="n"/>
      <c r="K1115" s="737" t="n"/>
      <c r="L1115" s="737" t="n"/>
      <c r="M1115" s="737" t="n"/>
      <c r="N1115" s="737" t="n"/>
      <c r="O1115" s="737" t="n"/>
      <c r="P1115" s="737" t="n"/>
      <c r="Q1115" s="737" t="n"/>
      <c r="R1115" s="737" t="n"/>
      <c r="S1115" s="737" t="n"/>
      <c r="T1115" s="737" t="n"/>
      <c r="U1115" s="737" t="n"/>
      <c r="V1115" s="737" t="n"/>
      <c r="W1115" s="737" t="n"/>
      <c r="X1115" s="737" t="n"/>
      <c r="Y1115" s="737" t="n"/>
      <c r="Z1115" s="737" t="n"/>
      <c r="AA1115" s="737" t="n"/>
      <c r="AB1115" s="737" t="n"/>
      <c r="AC1115" s="737" t="n"/>
      <c r="AD1115" s="737" t="n"/>
      <c r="AE1115" s="737" t="n"/>
      <c r="AF1115" s="737" t="n"/>
      <c r="AG1115" s="737" t="n"/>
      <c r="AH1115" s="737" t="n"/>
      <c r="AI1115" s="737" t="n"/>
      <c r="AJ1115" s="737" t="n"/>
      <c r="AK1115" s="588" t="n"/>
      <c r="AL1115" s="588" t="n"/>
      <c r="AM1115" s="588" t="n"/>
      <c r="AN1115" s="588" t="n"/>
      <c r="AO1115" s="588" t="n"/>
      <c r="AP1115" s="588" t="n"/>
      <c r="AQ1115" s="588" t="n"/>
      <c r="AR1115" s="588" t="n"/>
      <c r="AS1115" s="588" t="n"/>
      <c r="AT1115" s="588" t="n"/>
      <c r="AU1115" s="588" t="n"/>
      <c r="AV1115" s="588" t="n"/>
      <c r="AW1115" s="588" t="n"/>
      <c r="AX1115" s="588" t="n"/>
      <c r="AY1115" s="588" t="n"/>
      <c r="AZ1115" s="588" t="n"/>
      <c r="BA1115" s="588" t="n"/>
      <c r="BB1115" s="588" t="n"/>
      <c r="BC1115" s="588" t="n"/>
      <c r="BD1115" s="588" t="n"/>
      <c r="BE1115" s="588" t="n"/>
      <c r="BF1115" s="588" t="n"/>
      <c r="BG1115" s="588" t="n"/>
      <c r="BH1115" s="588" t="n"/>
      <c r="BI1115" s="588" t="n"/>
      <c r="BJ1115" s="588" t="n"/>
      <c r="BK1115" s="588" t="n"/>
      <c r="BL1115" s="588" t="n"/>
      <c r="BM1115" s="588" t="n"/>
      <c r="BN1115" s="588" t="n"/>
      <c r="BO1115" s="588" t="n"/>
      <c r="BP1115" s="588" t="n"/>
      <c r="BQ1115" s="588" t="n"/>
      <c r="BR1115" s="588" t="n"/>
      <c r="BS1115" s="588" t="n"/>
      <c r="BT1115" s="588" t="n"/>
      <c r="BU1115" s="588" t="n"/>
      <c r="BV1115" s="588" t="n"/>
      <c r="BW1115" s="588" t="n"/>
      <c r="BX1115" s="588" t="n"/>
      <c r="BY1115" s="588" t="n"/>
      <c r="BZ1115" s="588" t="n"/>
      <c r="CA1115" s="588" t="n"/>
      <c r="CB1115" s="588" t="n"/>
      <c r="CC1115" s="588" t="n"/>
      <c r="CD1115" s="588" t="n"/>
      <c r="CE1115" s="588" t="n"/>
      <c r="CF1115" s="588" t="n"/>
      <c r="CG1115" s="588" t="n"/>
      <c r="CH1115" s="588" t="n"/>
      <c r="CI1115" s="588" t="n"/>
      <c r="CJ1115" s="588" t="n"/>
      <c r="CK1115" s="588" t="n"/>
      <c r="CL1115" s="588" t="n"/>
      <c r="CM1115" s="588" t="n"/>
      <c r="CN1115" s="588" t="n"/>
      <c r="CO1115" s="588" t="n"/>
      <c r="CP1115" s="588" t="n"/>
      <c r="CQ1115" s="588" t="n"/>
      <c r="CR1115" s="588" t="n"/>
      <c r="CS1115" s="588" t="n"/>
      <c r="CT1115" s="588" t="n"/>
      <c r="CU1115" s="588" t="n"/>
      <c r="CV1115" s="588" t="n"/>
      <c r="CW1115" s="588" t="n"/>
      <c r="CX1115" s="588" t="n"/>
      <c r="CY1115" s="588" t="n"/>
      <c r="CZ1115" s="588" t="n"/>
      <c r="DA1115" s="588" t="n"/>
      <c r="DB1115" s="588" t="n"/>
      <c r="DC1115" s="588" t="n"/>
      <c r="DD1115" s="588" t="n"/>
      <c r="DE1115" s="588" t="n"/>
      <c r="DF1115" s="588" t="n"/>
      <c r="DG1115" s="588" t="n"/>
      <c r="DH1115" s="588" t="n"/>
      <c r="DI1115" s="588" t="n"/>
      <c r="DJ1115" s="588" t="n"/>
      <c r="DK1115" s="588" t="n"/>
      <c r="DL1115" s="588" t="n"/>
      <c r="DM1115" s="588" t="n"/>
      <c r="DN1115" s="588" t="n"/>
      <c r="DO1115" s="588" t="n"/>
      <c r="DP1115" s="588" t="n"/>
      <c r="DQ1115" s="588" t="n"/>
      <c r="DR1115" s="588" t="n"/>
      <c r="DS1115" s="588" t="n"/>
      <c r="DT1115" s="588" t="n"/>
      <c r="DU1115" s="588" t="n"/>
    </row>
    <row r="1116">
      <c r="A1116" s="737" t="n"/>
      <c r="B1116" s="737" t="n"/>
      <c r="C1116" s="737" t="n"/>
      <c r="D1116" s="737" t="n"/>
      <c r="E1116" s="737" t="n"/>
      <c r="F1116" s="737" t="n"/>
      <c r="G1116" s="737" t="n"/>
      <c r="H1116" s="737" t="n"/>
      <c r="I1116" s="737" t="n"/>
      <c r="J1116" s="737" t="n"/>
      <c r="K1116" s="737" t="n"/>
      <c r="L1116" s="737" t="n"/>
      <c r="M1116" s="737" t="n"/>
      <c r="N1116" s="737" t="n"/>
      <c r="O1116" s="737" t="n"/>
      <c r="P1116" s="737" t="n"/>
      <c r="Q1116" s="737" t="n"/>
      <c r="R1116" s="737" t="n"/>
      <c r="S1116" s="737" t="n"/>
      <c r="T1116" s="737" t="n"/>
      <c r="U1116" s="737" t="n"/>
      <c r="V1116" s="737" t="n"/>
      <c r="W1116" s="737" t="n"/>
      <c r="X1116" s="737" t="n"/>
      <c r="Y1116" s="737" t="n"/>
      <c r="Z1116" s="737" t="n"/>
      <c r="AA1116" s="737" t="n"/>
      <c r="AB1116" s="737" t="n"/>
      <c r="AC1116" s="737" t="n"/>
      <c r="AD1116" s="737" t="n"/>
      <c r="AE1116" s="737" t="n"/>
      <c r="AF1116" s="737" t="n"/>
      <c r="AG1116" s="737" t="n"/>
      <c r="AH1116" s="737" t="n"/>
      <c r="AI1116" s="737" t="n"/>
      <c r="AJ1116" s="737" t="n"/>
      <c r="AK1116" s="588" t="n"/>
      <c r="AL1116" s="588" t="n"/>
      <c r="AM1116" s="588" t="n"/>
      <c r="AN1116" s="588" t="n"/>
      <c r="AO1116" s="588" t="n"/>
      <c r="AP1116" s="588" t="n"/>
      <c r="AQ1116" s="588" t="n"/>
      <c r="AR1116" s="588" t="n"/>
      <c r="AS1116" s="588" t="n"/>
      <c r="AT1116" s="588" t="n"/>
      <c r="AU1116" s="588" t="n"/>
      <c r="AV1116" s="588" t="n"/>
      <c r="AW1116" s="588" t="n"/>
      <c r="AX1116" s="588" t="n"/>
      <c r="AY1116" s="588" t="n"/>
      <c r="AZ1116" s="588" t="n"/>
      <c r="BA1116" s="588" t="n"/>
      <c r="BB1116" s="588" t="n"/>
      <c r="BC1116" s="588" t="n"/>
      <c r="BD1116" s="588" t="n"/>
      <c r="BE1116" s="588" t="n"/>
      <c r="BF1116" s="588" t="n"/>
      <c r="BG1116" s="588" t="n"/>
      <c r="BH1116" s="588" t="n"/>
      <c r="BI1116" s="588" t="n"/>
      <c r="BJ1116" s="588" t="n"/>
      <c r="BK1116" s="588" t="n"/>
      <c r="BL1116" s="588" t="n"/>
      <c r="BM1116" s="588" t="n"/>
      <c r="BN1116" s="588" t="n"/>
      <c r="BO1116" s="588" t="n"/>
      <c r="BP1116" s="588" t="n"/>
      <c r="BQ1116" s="588" t="n"/>
      <c r="BR1116" s="588" t="n"/>
      <c r="BS1116" s="588" t="n"/>
      <c r="BT1116" s="588" t="n"/>
      <c r="BU1116" s="588" t="n"/>
      <c r="BV1116" s="588" t="n"/>
      <c r="BW1116" s="588" t="n"/>
      <c r="BX1116" s="588" t="n"/>
      <c r="BY1116" s="588" t="n"/>
      <c r="BZ1116" s="588" t="n"/>
      <c r="CA1116" s="588" t="n"/>
      <c r="CB1116" s="588" t="n"/>
      <c r="CC1116" s="588" t="n"/>
      <c r="CD1116" s="588" t="n"/>
      <c r="CE1116" s="588" t="n"/>
      <c r="CF1116" s="588" t="n"/>
      <c r="CG1116" s="588" t="n"/>
      <c r="CH1116" s="588" t="n"/>
      <c r="CI1116" s="588" t="n"/>
      <c r="CJ1116" s="588" t="n"/>
      <c r="CK1116" s="588" t="n"/>
      <c r="CL1116" s="588" t="n"/>
      <c r="CM1116" s="588" t="n"/>
      <c r="CN1116" s="588" t="n"/>
      <c r="CO1116" s="588" t="n"/>
      <c r="CP1116" s="588" t="n"/>
      <c r="CQ1116" s="588" t="n"/>
      <c r="CR1116" s="588" t="n"/>
      <c r="CS1116" s="588" t="n"/>
      <c r="CT1116" s="588" t="n"/>
      <c r="CU1116" s="588" t="n"/>
      <c r="CV1116" s="588" t="n"/>
      <c r="CW1116" s="588" t="n"/>
      <c r="CX1116" s="588" t="n"/>
      <c r="CY1116" s="588" t="n"/>
      <c r="CZ1116" s="588" t="n"/>
      <c r="DA1116" s="588" t="n"/>
      <c r="DB1116" s="588" t="n"/>
      <c r="DC1116" s="588" t="n"/>
      <c r="DD1116" s="588" t="n"/>
      <c r="DE1116" s="588" t="n"/>
      <c r="DF1116" s="588" t="n"/>
      <c r="DG1116" s="588" t="n"/>
      <c r="DH1116" s="588" t="n"/>
      <c r="DI1116" s="588" t="n"/>
      <c r="DJ1116" s="588" t="n"/>
      <c r="DK1116" s="588" t="n"/>
      <c r="DL1116" s="588" t="n"/>
      <c r="DM1116" s="588" t="n"/>
      <c r="DN1116" s="588" t="n"/>
      <c r="DO1116" s="588" t="n"/>
      <c r="DP1116" s="588" t="n"/>
      <c r="DQ1116" s="588" t="n"/>
      <c r="DR1116" s="588" t="n"/>
      <c r="DS1116" s="588" t="n"/>
      <c r="DT1116" s="588" t="n"/>
      <c r="DU1116" s="588" t="n"/>
    </row>
    <row r="1117">
      <c r="A1117" s="737" t="n"/>
      <c r="B1117" s="737" t="n"/>
      <c r="C1117" s="737" t="n"/>
      <c r="D1117" s="737" t="n"/>
      <c r="E1117" s="737" t="n"/>
      <c r="F1117" s="737" t="n"/>
      <c r="G1117" s="737" t="n"/>
      <c r="H1117" s="737" t="n"/>
      <c r="I1117" s="737" t="n"/>
      <c r="J1117" s="737" t="n"/>
      <c r="K1117" s="737" t="n"/>
      <c r="L1117" s="737" t="n"/>
      <c r="M1117" s="737" t="n"/>
      <c r="N1117" s="737" t="n"/>
      <c r="O1117" s="737" t="n"/>
      <c r="P1117" s="737" t="n"/>
      <c r="Q1117" s="737" t="n"/>
      <c r="R1117" s="737" t="n"/>
      <c r="S1117" s="737" t="n"/>
      <c r="T1117" s="737" t="n"/>
      <c r="U1117" s="737" t="n"/>
      <c r="V1117" s="737" t="n"/>
      <c r="W1117" s="737" t="n"/>
      <c r="X1117" s="737" t="n"/>
      <c r="Y1117" s="737" t="n"/>
      <c r="Z1117" s="737" t="n"/>
      <c r="AA1117" s="737" t="n"/>
      <c r="AB1117" s="737" t="n"/>
      <c r="AC1117" s="737" t="n"/>
      <c r="AD1117" s="737" t="n"/>
      <c r="AE1117" s="737" t="n"/>
      <c r="AF1117" s="737" t="n"/>
      <c r="AG1117" s="737" t="n"/>
      <c r="AH1117" s="737" t="n"/>
      <c r="AI1117" s="737" t="n"/>
      <c r="AJ1117" s="737" t="n"/>
      <c r="AK1117" s="588" t="n"/>
      <c r="AL1117" s="588" t="n"/>
      <c r="AM1117" s="588" t="n"/>
      <c r="AN1117" s="588" t="n"/>
      <c r="AO1117" s="588" t="n"/>
      <c r="AP1117" s="588" t="n"/>
      <c r="AQ1117" s="588" t="n"/>
      <c r="AR1117" s="588" t="n"/>
      <c r="AS1117" s="588" t="n"/>
      <c r="AT1117" s="588" t="n"/>
      <c r="AU1117" s="588" t="n"/>
      <c r="AV1117" s="588" t="n"/>
      <c r="AW1117" s="588" t="n"/>
      <c r="AX1117" s="588" t="n"/>
      <c r="AY1117" s="588" t="n"/>
      <c r="AZ1117" s="588" t="n"/>
      <c r="BA1117" s="588" t="n"/>
      <c r="BB1117" s="588" t="n"/>
      <c r="BC1117" s="588" t="n"/>
      <c r="BD1117" s="588" t="n"/>
      <c r="BE1117" s="588" t="n"/>
      <c r="BF1117" s="588" t="n"/>
      <c r="BG1117" s="588" t="n"/>
      <c r="BH1117" s="588" t="n"/>
      <c r="BI1117" s="588" t="n"/>
      <c r="BJ1117" s="588" t="n"/>
      <c r="BK1117" s="588" t="n"/>
      <c r="BL1117" s="588" t="n"/>
      <c r="BM1117" s="588" t="n"/>
      <c r="BN1117" s="588" t="n"/>
      <c r="BO1117" s="588" t="n"/>
      <c r="BP1117" s="588" t="n"/>
      <c r="BQ1117" s="588" t="n"/>
      <c r="BR1117" s="588" t="n"/>
      <c r="BS1117" s="588" t="n"/>
      <c r="BT1117" s="588" t="n"/>
      <c r="BU1117" s="588" t="n"/>
      <c r="BV1117" s="588" t="n"/>
      <c r="BW1117" s="588" t="n"/>
      <c r="BX1117" s="588" t="n"/>
      <c r="BY1117" s="588" t="n"/>
      <c r="BZ1117" s="588" t="n"/>
      <c r="CA1117" s="588" t="n"/>
      <c r="CB1117" s="588" t="n"/>
      <c r="CC1117" s="588" t="n"/>
      <c r="CD1117" s="588" t="n"/>
      <c r="CE1117" s="588" t="n"/>
      <c r="CF1117" s="588" t="n"/>
      <c r="CG1117" s="588" t="n"/>
      <c r="CH1117" s="588" t="n"/>
      <c r="CI1117" s="588" t="n"/>
      <c r="CJ1117" s="588" t="n"/>
      <c r="CK1117" s="588" t="n"/>
      <c r="CL1117" s="588" t="n"/>
      <c r="CM1117" s="588" t="n"/>
      <c r="CN1117" s="588" t="n"/>
      <c r="CO1117" s="588" t="n"/>
      <c r="CP1117" s="588" t="n"/>
      <c r="CQ1117" s="588" t="n"/>
      <c r="CR1117" s="588" t="n"/>
      <c r="CS1117" s="588" t="n"/>
      <c r="CT1117" s="588" t="n"/>
      <c r="CU1117" s="588" t="n"/>
      <c r="CV1117" s="588" t="n"/>
      <c r="CW1117" s="588" t="n"/>
      <c r="CX1117" s="588" t="n"/>
      <c r="CY1117" s="588" t="n"/>
      <c r="CZ1117" s="588" t="n"/>
      <c r="DA1117" s="588" t="n"/>
      <c r="DB1117" s="588" t="n"/>
      <c r="DC1117" s="588" t="n"/>
      <c r="DD1117" s="588" t="n"/>
      <c r="DE1117" s="588" t="n"/>
      <c r="DF1117" s="588" t="n"/>
      <c r="DG1117" s="588" t="n"/>
      <c r="DH1117" s="588" t="n"/>
      <c r="DI1117" s="588" t="n"/>
      <c r="DJ1117" s="588" t="n"/>
      <c r="DK1117" s="588" t="n"/>
      <c r="DL1117" s="588" t="n"/>
      <c r="DM1117" s="588" t="n"/>
      <c r="DN1117" s="588" t="n"/>
      <c r="DO1117" s="588" t="n"/>
      <c r="DP1117" s="588" t="n"/>
      <c r="DQ1117" s="588" t="n"/>
      <c r="DR1117" s="588" t="n"/>
      <c r="DS1117" s="588" t="n"/>
      <c r="DT1117" s="588" t="n"/>
      <c r="DU1117" s="588" t="n"/>
    </row>
    <row r="1118">
      <c r="A1118" s="737" t="n"/>
      <c r="B1118" s="737" t="n"/>
      <c r="C1118" s="737" t="n"/>
      <c r="D1118" s="737" t="n"/>
      <c r="E1118" s="737" t="n"/>
      <c r="F1118" s="737" t="n"/>
      <c r="G1118" s="737" t="n"/>
      <c r="H1118" s="737" t="n"/>
      <c r="I1118" s="737" t="n"/>
      <c r="J1118" s="737" t="n"/>
      <c r="K1118" s="737" t="n"/>
      <c r="L1118" s="737" t="n"/>
      <c r="M1118" s="737" t="n"/>
      <c r="N1118" s="737" t="n"/>
      <c r="O1118" s="737" t="n"/>
      <c r="P1118" s="737" t="n"/>
      <c r="Q1118" s="737" t="n"/>
      <c r="R1118" s="737" t="n"/>
      <c r="S1118" s="737" t="n"/>
      <c r="T1118" s="737" t="n"/>
      <c r="U1118" s="737" t="n"/>
      <c r="V1118" s="737" t="n"/>
      <c r="W1118" s="737" t="n"/>
      <c r="X1118" s="737" t="n"/>
      <c r="Y1118" s="737" t="n"/>
      <c r="Z1118" s="737" t="n"/>
      <c r="AA1118" s="737" t="n"/>
      <c r="AB1118" s="737" t="n"/>
      <c r="AC1118" s="737" t="n"/>
      <c r="AD1118" s="737" t="n"/>
      <c r="AE1118" s="737" t="n"/>
      <c r="AF1118" s="737" t="n"/>
      <c r="AG1118" s="737" t="n"/>
      <c r="AH1118" s="737" t="n"/>
      <c r="AI1118" s="737" t="n"/>
      <c r="AJ1118" s="737" t="n"/>
      <c r="AK1118" s="588" t="n"/>
      <c r="AL1118" s="588" t="n"/>
      <c r="AM1118" s="588" t="n"/>
      <c r="AN1118" s="588" t="n"/>
      <c r="AO1118" s="588" t="n"/>
      <c r="AP1118" s="588" t="n"/>
      <c r="AQ1118" s="588" t="n"/>
      <c r="AR1118" s="588" t="n"/>
      <c r="AS1118" s="588" t="n"/>
      <c r="AT1118" s="588" t="n"/>
      <c r="AU1118" s="588" t="n"/>
      <c r="AV1118" s="588" t="n"/>
      <c r="AW1118" s="588" t="n"/>
      <c r="AX1118" s="588" t="n"/>
      <c r="AY1118" s="588" t="n"/>
      <c r="AZ1118" s="588" t="n"/>
      <c r="BA1118" s="588" t="n"/>
      <c r="BB1118" s="588" t="n"/>
      <c r="BC1118" s="588" t="n"/>
      <c r="BD1118" s="588" t="n"/>
      <c r="BE1118" s="588" t="n"/>
      <c r="BF1118" s="588" t="n"/>
      <c r="BG1118" s="588" t="n"/>
      <c r="BH1118" s="588" t="n"/>
      <c r="BI1118" s="588" t="n"/>
      <c r="BJ1118" s="588" t="n"/>
      <c r="BK1118" s="588" t="n"/>
      <c r="BL1118" s="588" t="n"/>
      <c r="BM1118" s="588" t="n"/>
      <c r="BN1118" s="588" t="n"/>
      <c r="BO1118" s="588" t="n"/>
      <c r="BP1118" s="588" t="n"/>
      <c r="BQ1118" s="588" t="n"/>
      <c r="BR1118" s="588" t="n"/>
      <c r="BS1118" s="588" t="n"/>
      <c r="BT1118" s="588" t="n"/>
      <c r="BU1118" s="588" t="n"/>
      <c r="BV1118" s="588" t="n"/>
      <c r="BW1118" s="588" t="n"/>
      <c r="BX1118" s="588" t="n"/>
      <c r="BY1118" s="588" t="n"/>
      <c r="BZ1118" s="588" t="n"/>
      <c r="CA1118" s="588" t="n"/>
      <c r="CB1118" s="588" t="n"/>
      <c r="CC1118" s="588" t="n"/>
      <c r="CD1118" s="588" t="n"/>
      <c r="CE1118" s="588" t="n"/>
      <c r="CF1118" s="588" t="n"/>
      <c r="CG1118" s="588" t="n"/>
      <c r="CH1118" s="588" t="n"/>
      <c r="CI1118" s="588" t="n"/>
      <c r="CJ1118" s="588" t="n"/>
      <c r="CK1118" s="588" t="n"/>
      <c r="CL1118" s="588" t="n"/>
      <c r="CM1118" s="588" t="n"/>
      <c r="CN1118" s="588" t="n"/>
      <c r="CO1118" s="588" t="n"/>
      <c r="CP1118" s="588" t="n"/>
      <c r="CQ1118" s="588" t="n"/>
      <c r="CR1118" s="588" t="n"/>
      <c r="CS1118" s="588" t="n"/>
      <c r="CT1118" s="588" t="n"/>
      <c r="CU1118" s="588" t="n"/>
      <c r="CV1118" s="588" t="n"/>
      <c r="CW1118" s="588" t="n"/>
      <c r="CX1118" s="588" t="n"/>
      <c r="CY1118" s="588" t="n"/>
      <c r="CZ1118" s="588" t="n"/>
      <c r="DA1118" s="588" t="n"/>
      <c r="DB1118" s="588" t="n"/>
      <c r="DC1118" s="588" t="n"/>
      <c r="DD1118" s="588" t="n"/>
      <c r="DE1118" s="588" t="n"/>
      <c r="DF1118" s="588" t="n"/>
      <c r="DG1118" s="588" t="n"/>
      <c r="DH1118" s="588" t="n"/>
      <c r="DI1118" s="588" t="n"/>
      <c r="DJ1118" s="588" t="n"/>
      <c r="DK1118" s="588" t="n"/>
      <c r="DL1118" s="588" t="n"/>
      <c r="DM1118" s="588" t="n"/>
      <c r="DN1118" s="588" t="n"/>
      <c r="DO1118" s="588" t="n"/>
      <c r="DP1118" s="588" t="n"/>
      <c r="DQ1118" s="588" t="n"/>
      <c r="DR1118" s="588" t="n"/>
      <c r="DS1118" s="588" t="n"/>
      <c r="DT1118" s="588" t="n"/>
      <c r="DU1118" s="588" t="n"/>
    </row>
    <row r="1119">
      <c r="A1119" s="737" t="n"/>
      <c r="B1119" s="737" t="n"/>
      <c r="C1119" s="737" t="n"/>
      <c r="D1119" s="737" t="n"/>
      <c r="E1119" s="737" t="n"/>
      <c r="F1119" s="737" t="n"/>
      <c r="G1119" s="737" t="n"/>
      <c r="H1119" s="737" t="n"/>
      <c r="I1119" s="737" t="n"/>
      <c r="J1119" s="737" t="n"/>
      <c r="K1119" s="737" t="n"/>
      <c r="L1119" s="737" t="n"/>
      <c r="M1119" s="737" t="n"/>
      <c r="N1119" s="737" t="n"/>
      <c r="O1119" s="737" t="n"/>
      <c r="P1119" s="737" t="n"/>
      <c r="Q1119" s="737" t="n"/>
      <c r="R1119" s="737" t="n"/>
      <c r="S1119" s="737" t="n"/>
      <c r="T1119" s="737" t="n"/>
      <c r="U1119" s="737" t="n"/>
      <c r="V1119" s="737" t="n"/>
      <c r="W1119" s="737" t="n"/>
      <c r="X1119" s="737" t="n"/>
      <c r="Y1119" s="737" t="n"/>
      <c r="Z1119" s="737" t="n"/>
      <c r="AA1119" s="737" t="n"/>
      <c r="AB1119" s="737" t="n"/>
      <c r="AC1119" s="737" t="n"/>
      <c r="AD1119" s="737" t="n"/>
      <c r="AE1119" s="737" t="n"/>
      <c r="AF1119" s="737" t="n"/>
      <c r="AG1119" s="737" t="n"/>
      <c r="AH1119" s="737" t="n"/>
      <c r="AI1119" s="737" t="n"/>
      <c r="AJ1119" s="737" t="n"/>
      <c r="AK1119" s="588" t="n"/>
      <c r="AL1119" s="588" t="n"/>
      <c r="AM1119" s="588" t="n"/>
      <c r="AN1119" s="588" t="n"/>
      <c r="AO1119" s="588" t="n"/>
      <c r="AP1119" s="588" t="n"/>
      <c r="AQ1119" s="588" t="n"/>
      <c r="AR1119" s="588" t="n"/>
      <c r="AS1119" s="588" t="n"/>
      <c r="AT1119" s="588" t="n"/>
      <c r="AU1119" s="588" t="n"/>
      <c r="AV1119" s="588" t="n"/>
      <c r="AW1119" s="588" t="n"/>
      <c r="AX1119" s="588" t="n"/>
      <c r="AY1119" s="588" t="n"/>
      <c r="AZ1119" s="588" t="n"/>
      <c r="BA1119" s="588" t="n"/>
      <c r="BB1119" s="588" t="n"/>
      <c r="BC1119" s="588" t="n"/>
      <c r="BD1119" s="588" t="n"/>
      <c r="BE1119" s="588" t="n"/>
      <c r="BF1119" s="588" t="n"/>
      <c r="BG1119" s="588" t="n"/>
      <c r="BH1119" s="588" t="n"/>
      <c r="BI1119" s="588" t="n"/>
      <c r="BJ1119" s="588" t="n"/>
      <c r="BK1119" s="588" t="n"/>
      <c r="BL1119" s="588" t="n"/>
      <c r="BM1119" s="588" t="n"/>
      <c r="BN1119" s="588" t="n"/>
      <c r="BO1119" s="588" t="n"/>
      <c r="BP1119" s="588" t="n"/>
      <c r="BQ1119" s="588" t="n"/>
      <c r="BR1119" s="588" t="n"/>
      <c r="BS1119" s="588" t="n"/>
      <c r="BT1119" s="588" t="n"/>
      <c r="BU1119" s="588" t="n"/>
      <c r="BV1119" s="588" t="n"/>
      <c r="BW1119" s="588" t="n"/>
      <c r="BX1119" s="588" t="n"/>
      <c r="BY1119" s="588" t="n"/>
      <c r="BZ1119" s="588" t="n"/>
      <c r="CA1119" s="588" t="n"/>
      <c r="CB1119" s="588" t="n"/>
      <c r="CC1119" s="588" t="n"/>
      <c r="CD1119" s="588" t="n"/>
      <c r="CE1119" s="588" t="n"/>
      <c r="CF1119" s="588" t="n"/>
      <c r="CG1119" s="588" t="n"/>
      <c r="CH1119" s="588" t="n"/>
      <c r="CI1119" s="588" t="n"/>
      <c r="CJ1119" s="588" t="n"/>
      <c r="CK1119" s="588" t="n"/>
      <c r="CL1119" s="588" t="n"/>
      <c r="CM1119" s="588" t="n"/>
      <c r="CN1119" s="588" t="n"/>
      <c r="CO1119" s="588" t="n"/>
      <c r="CP1119" s="588" t="n"/>
      <c r="CQ1119" s="588" t="n"/>
      <c r="CR1119" s="588" t="n"/>
      <c r="CS1119" s="588" t="n"/>
      <c r="CT1119" s="588" t="n"/>
      <c r="CU1119" s="588" t="n"/>
      <c r="CV1119" s="588" t="n"/>
      <c r="CW1119" s="588" t="n"/>
      <c r="CX1119" s="588" t="n"/>
      <c r="CY1119" s="588" t="n"/>
      <c r="CZ1119" s="588" t="n"/>
      <c r="DA1119" s="588" t="n"/>
      <c r="DB1119" s="588" t="n"/>
      <c r="DC1119" s="588" t="n"/>
      <c r="DD1119" s="588" t="n"/>
      <c r="DE1119" s="588" t="n"/>
      <c r="DF1119" s="588" t="n"/>
      <c r="DG1119" s="588" t="n"/>
      <c r="DH1119" s="588" t="n"/>
      <c r="DI1119" s="588" t="n"/>
      <c r="DJ1119" s="588" t="n"/>
      <c r="DK1119" s="588" t="n"/>
      <c r="DL1119" s="588" t="n"/>
      <c r="DM1119" s="588" t="n"/>
      <c r="DN1119" s="588" t="n"/>
      <c r="DO1119" s="588" t="n"/>
      <c r="DP1119" s="588" t="n"/>
      <c r="DQ1119" s="588" t="n"/>
      <c r="DR1119" s="588" t="n"/>
      <c r="DS1119" s="588" t="n"/>
      <c r="DT1119" s="588" t="n"/>
      <c r="DU1119" s="588" t="n"/>
    </row>
    <row r="1120">
      <c r="A1120" s="737" t="n"/>
      <c r="B1120" s="737" t="n"/>
      <c r="C1120" s="737" t="n"/>
      <c r="D1120" s="737" t="n"/>
      <c r="E1120" s="737" t="n"/>
      <c r="F1120" s="737" t="n"/>
      <c r="G1120" s="737" t="n"/>
      <c r="H1120" s="737" t="n"/>
      <c r="I1120" s="737" t="n"/>
      <c r="J1120" s="737" t="n"/>
      <c r="K1120" s="737" t="n"/>
      <c r="L1120" s="737" t="n"/>
      <c r="M1120" s="737" t="n"/>
      <c r="N1120" s="737" t="n"/>
      <c r="O1120" s="737" t="n"/>
      <c r="P1120" s="737" t="n"/>
      <c r="Q1120" s="737" t="n"/>
      <c r="R1120" s="737" t="n"/>
      <c r="S1120" s="737" t="n"/>
      <c r="T1120" s="737" t="n"/>
      <c r="U1120" s="737" t="n"/>
      <c r="V1120" s="737" t="n"/>
      <c r="W1120" s="737" t="n"/>
      <c r="X1120" s="737" t="n"/>
      <c r="Y1120" s="737" t="n"/>
      <c r="Z1120" s="737" t="n"/>
      <c r="AA1120" s="737" t="n"/>
      <c r="AB1120" s="737" t="n"/>
      <c r="AC1120" s="737" t="n"/>
      <c r="AD1120" s="737" t="n"/>
      <c r="AE1120" s="737" t="n"/>
      <c r="AF1120" s="737" t="n"/>
      <c r="AG1120" s="737" t="n"/>
      <c r="AH1120" s="737" t="n"/>
      <c r="AI1120" s="737" t="n"/>
      <c r="AJ1120" s="737" t="n"/>
      <c r="AK1120" s="588" t="n"/>
      <c r="AL1120" s="588" t="n"/>
      <c r="AM1120" s="588" t="n"/>
      <c r="AN1120" s="588" t="n"/>
      <c r="AO1120" s="588" t="n"/>
      <c r="AP1120" s="588" t="n"/>
      <c r="AQ1120" s="588" t="n"/>
      <c r="AR1120" s="588" t="n"/>
      <c r="AS1120" s="588" t="n"/>
      <c r="AT1120" s="588" t="n"/>
      <c r="AU1120" s="588" t="n"/>
      <c r="AV1120" s="588" t="n"/>
      <c r="AW1120" s="588" t="n"/>
      <c r="AX1120" s="588" t="n"/>
      <c r="AY1120" s="588" t="n"/>
      <c r="AZ1120" s="588" t="n"/>
      <c r="BA1120" s="588" t="n"/>
      <c r="BB1120" s="588" t="n"/>
      <c r="BC1120" s="588" t="n"/>
      <c r="BD1120" s="588" t="n"/>
      <c r="BE1120" s="588" t="n"/>
      <c r="BF1120" s="588" t="n"/>
      <c r="BG1120" s="588" t="n"/>
      <c r="BH1120" s="588" t="n"/>
      <c r="BI1120" s="588" t="n"/>
      <c r="BJ1120" s="588" t="n"/>
      <c r="BK1120" s="588" t="n"/>
      <c r="BL1120" s="588" t="n"/>
      <c r="BM1120" s="588" t="n"/>
      <c r="BN1120" s="588" t="n"/>
      <c r="BO1120" s="588" t="n"/>
      <c r="BP1120" s="588" t="n"/>
      <c r="BQ1120" s="588" t="n"/>
      <c r="BR1120" s="588" t="n"/>
      <c r="BS1120" s="588" t="n"/>
      <c r="BT1120" s="588" t="n"/>
      <c r="BU1120" s="588" t="n"/>
      <c r="BV1120" s="588" t="n"/>
      <c r="BW1120" s="588" t="n"/>
      <c r="BX1120" s="588" t="n"/>
      <c r="BY1120" s="588" t="n"/>
      <c r="BZ1120" s="588" t="n"/>
      <c r="CA1120" s="588" t="n"/>
      <c r="CB1120" s="588" t="n"/>
      <c r="CC1120" s="588" t="n"/>
      <c r="CD1120" s="588" t="n"/>
      <c r="CE1120" s="588" t="n"/>
      <c r="CF1120" s="588" t="n"/>
      <c r="CG1120" s="588" t="n"/>
      <c r="CH1120" s="588" t="n"/>
      <c r="CI1120" s="588" t="n"/>
      <c r="CJ1120" s="588" t="n"/>
      <c r="CK1120" s="588" t="n"/>
      <c r="CL1120" s="588" t="n"/>
      <c r="CM1120" s="588" t="n"/>
      <c r="CN1120" s="588" t="n"/>
      <c r="CO1120" s="588" t="n"/>
      <c r="CP1120" s="588" t="n"/>
      <c r="CQ1120" s="588" t="n"/>
      <c r="CR1120" s="588" t="n"/>
      <c r="CS1120" s="588" t="n"/>
      <c r="CT1120" s="588" t="n"/>
      <c r="CU1120" s="588" t="n"/>
      <c r="CV1120" s="588" t="n"/>
      <c r="CW1120" s="588" t="n"/>
      <c r="CX1120" s="588" t="n"/>
      <c r="CY1120" s="588" t="n"/>
      <c r="CZ1120" s="588" t="n"/>
      <c r="DA1120" s="588" t="n"/>
      <c r="DB1120" s="588" t="n"/>
      <c r="DC1120" s="588" t="n"/>
      <c r="DD1120" s="588" t="n"/>
      <c r="DE1120" s="588" t="n"/>
      <c r="DF1120" s="588" t="n"/>
      <c r="DG1120" s="588" t="n"/>
      <c r="DH1120" s="588" t="n"/>
      <c r="DI1120" s="588" t="n"/>
      <c r="DJ1120" s="588" t="n"/>
      <c r="DK1120" s="588" t="n"/>
      <c r="DL1120" s="588" t="n"/>
      <c r="DM1120" s="588" t="n"/>
      <c r="DN1120" s="588" t="n"/>
      <c r="DO1120" s="588" t="n"/>
      <c r="DP1120" s="588" t="n"/>
      <c r="DQ1120" s="588" t="n"/>
      <c r="DR1120" s="588" t="n"/>
      <c r="DS1120" s="588" t="n"/>
      <c r="DT1120" s="588" t="n"/>
      <c r="DU1120" s="588" t="n"/>
    </row>
    <row r="1121">
      <c r="A1121" s="737" t="n"/>
      <c r="B1121" s="737" t="n"/>
      <c r="C1121" s="737" t="n"/>
      <c r="D1121" s="737" t="n"/>
      <c r="E1121" s="737" t="n"/>
      <c r="F1121" s="737" t="n"/>
      <c r="G1121" s="737" t="n"/>
      <c r="H1121" s="737" t="n"/>
      <c r="I1121" s="737" t="n"/>
      <c r="J1121" s="737" t="n"/>
      <c r="K1121" s="737" t="n"/>
      <c r="L1121" s="737" t="n"/>
      <c r="M1121" s="737" t="n"/>
      <c r="N1121" s="737" t="n"/>
      <c r="O1121" s="737" t="n"/>
      <c r="P1121" s="737" t="n"/>
      <c r="Q1121" s="737" t="n"/>
      <c r="R1121" s="737" t="n"/>
      <c r="S1121" s="737" t="n"/>
      <c r="T1121" s="737" t="n"/>
      <c r="U1121" s="737" t="n"/>
      <c r="V1121" s="737" t="n"/>
      <c r="W1121" s="737" t="n"/>
      <c r="X1121" s="737" t="n"/>
      <c r="Y1121" s="737" t="n"/>
      <c r="Z1121" s="737" t="n"/>
      <c r="AA1121" s="737" t="n"/>
      <c r="AB1121" s="737" t="n"/>
      <c r="AC1121" s="737" t="n"/>
      <c r="AD1121" s="737" t="n"/>
      <c r="AE1121" s="737" t="n"/>
      <c r="AF1121" s="737" t="n"/>
      <c r="AG1121" s="737" t="n"/>
      <c r="AH1121" s="737" t="n"/>
      <c r="AI1121" s="737" t="n"/>
      <c r="AJ1121" s="737" t="n"/>
      <c r="AK1121" s="588" t="n"/>
      <c r="AL1121" s="588" t="n"/>
      <c r="AM1121" s="588" t="n"/>
      <c r="AN1121" s="588" t="n"/>
      <c r="AO1121" s="588" t="n"/>
      <c r="AP1121" s="588" t="n"/>
      <c r="AQ1121" s="588" t="n"/>
      <c r="AR1121" s="588" t="n"/>
      <c r="AS1121" s="588" t="n"/>
      <c r="AT1121" s="588" t="n"/>
      <c r="AU1121" s="588" t="n"/>
      <c r="AV1121" s="588" t="n"/>
      <c r="AW1121" s="588" t="n"/>
      <c r="AX1121" s="588" t="n"/>
      <c r="AY1121" s="588" t="n"/>
      <c r="AZ1121" s="588" t="n"/>
      <c r="BA1121" s="588" t="n"/>
      <c r="BB1121" s="588" t="n"/>
      <c r="BC1121" s="588" t="n"/>
      <c r="BD1121" s="588" t="n"/>
      <c r="BE1121" s="588" t="n"/>
      <c r="BF1121" s="588" t="n"/>
      <c r="BG1121" s="588" t="n"/>
      <c r="BH1121" s="588" t="n"/>
      <c r="BI1121" s="588" t="n"/>
      <c r="BJ1121" s="588" t="n"/>
      <c r="BK1121" s="588" t="n"/>
      <c r="BL1121" s="588" t="n"/>
      <c r="BM1121" s="588" t="n"/>
      <c r="BN1121" s="588" t="n"/>
      <c r="BO1121" s="588" t="n"/>
      <c r="BP1121" s="588" t="n"/>
      <c r="BQ1121" s="588" t="n"/>
      <c r="BR1121" s="588" t="n"/>
      <c r="BS1121" s="588" t="n"/>
      <c r="BT1121" s="588" t="n"/>
      <c r="BU1121" s="588" t="n"/>
      <c r="BV1121" s="588" t="n"/>
      <c r="BW1121" s="588" t="n"/>
      <c r="BX1121" s="588" t="n"/>
      <c r="BY1121" s="588" t="n"/>
      <c r="BZ1121" s="588" t="n"/>
      <c r="CA1121" s="588" t="n"/>
      <c r="CB1121" s="588" t="n"/>
      <c r="CC1121" s="588" t="n"/>
      <c r="CD1121" s="588" t="n"/>
      <c r="CE1121" s="588" t="n"/>
      <c r="CF1121" s="588" t="n"/>
      <c r="CG1121" s="588" t="n"/>
      <c r="CH1121" s="588" t="n"/>
      <c r="CI1121" s="588" t="n"/>
      <c r="CJ1121" s="588" t="n"/>
      <c r="CK1121" s="588" t="n"/>
      <c r="CL1121" s="588" t="n"/>
      <c r="CM1121" s="588" t="n"/>
      <c r="CN1121" s="588" t="n"/>
      <c r="CO1121" s="588" t="n"/>
      <c r="CP1121" s="588" t="n"/>
      <c r="CQ1121" s="588" t="n"/>
      <c r="CR1121" s="588" t="n"/>
      <c r="CS1121" s="588" t="n"/>
      <c r="CT1121" s="588" t="n"/>
      <c r="CU1121" s="588" t="n"/>
      <c r="CV1121" s="588" t="n"/>
      <c r="CW1121" s="588" t="n"/>
      <c r="CX1121" s="588" t="n"/>
      <c r="CY1121" s="588" t="n"/>
      <c r="CZ1121" s="588" t="n"/>
      <c r="DA1121" s="588" t="n"/>
      <c r="DB1121" s="588" t="n"/>
      <c r="DC1121" s="588" t="n"/>
      <c r="DD1121" s="588" t="n"/>
      <c r="DE1121" s="588" t="n"/>
      <c r="DF1121" s="588" t="n"/>
      <c r="DG1121" s="588" t="n"/>
      <c r="DH1121" s="588" t="n"/>
      <c r="DI1121" s="588" t="n"/>
      <c r="DJ1121" s="588" t="n"/>
      <c r="DK1121" s="588" t="n"/>
      <c r="DL1121" s="588" t="n"/>
      <c r="DM1121" s="588" t="n"/>
      <c r="DN1121" s="588" t="n"/>
      <c r="DO1121" s="588" t="n"/>
      <c r="DP1121" s="588" t="n"/>
      <c r="DQ1121" s="588" t="n"/>
      <c r="DR1121" s="588" t="n"/>
      <c r="DS1121" s="588" t="n"/>
      <c r="DT1121" s="588" t="n"/>
      <c r="DU1121" s="588" t="n"/>
    </row>
    <row r="1122">
      <c r="A1122" s="737" t="n"/>
      <c r="B1122" s="737" t="n"/>
      <c r="C1122" s="737" t="n"/>
      <c r="D1122" s="737" t="n"/>
      <c r="E1122" s="737" t="n"/>
      <c r="F1122" s="737" t="n"/>
      <c r="G1122" s="737" t="n"/>
      <c r="H1122" s="737" t="n"/>
      <c r="I1122" s="737" t="n"/>
      <c r="J1122" s="737" t="n"/>
      <c r="K1122" s="737" t="n"/>
      <c r="L1122" s="737" t="n"/>
      <c r="M1122" s="737" t="n"/>
      <c r="N1122" s="737" t="n"/>
      <c r="O1122" s="737" t="n"/>
      <c r="P1122" s="737" t="n"/>
      <c r="Q1122" s="737" t="n"/>
      <c r="R1122" s="737" t="n"/>
      <c r="S1122" s="737" t="n"/>
      <c r="T1122" s="737" t="n"/>
      <c r="U1122" s="737" t="n"/>
      <c r="V1122" s="737" t="n"/>
      <c r="W1122" s="737" t="n"/>
      <c r="X1122" s="737" t="n"/>
      <c r="Y1122" s="737" t="n"/>
      <c r="Z1122" s="737" t="n"/>
      <c r="AA1122" s="737" t="n"/>
      <c r="AB1122" s="737" t="n"/>
      <c r="AC1122" s="737" t="n"/>
      <c r="AD1122" s="737" t="n"/>
      <c r="AE1122" s="737" t="n"/>
      <c r="AF1122" s="737" t="n"/>
      <c r="AG1122" s="737" t="n"/>
      <c r="AH1122" s="737" t="n"/>
      <c r="AI1122" s="737" t="n"/>
      <c r="AJ1122" s="737" t="n"/>
      <c r="AK1122" s="588" t="n"/>
      <c r="AL1122" s="588" t="n"/>
      <c r="AM1122" s="588" t="n"/>
      <c r="AN1122" s="588" t="n"/>
      <c r="AO1122" s="588" t="n"/>
      <c r="AP1122" s="588" t="n"/>
      <c r="AQ1122" s="588" t="n"/>
      <c r="AR1122" s="588" t="n"/>
      <c r="AS1122" s="588" t="n"/>
      <c r="AT1122" s="588" t="n"/>
      <c r="AU1122" s="588" t="n"/>
      <c r="AV1122" s="588" t="n"/>
      <c r="AW1122" s="588" t="n"/>
      <c r="AX1122" s="588" t="n"/>
      <c r="AY1122" s="588" t="n"/>
      <c r="AZ1122" s="588" t="n"/>
      <c r="BA1122" s="588" t="n"/>
      <c r="BB1122" s="588" t="n"/>
      <c r="BC1122" s="588" t="n"/>
      <c r="BD1122" s="588" t="n"/>
      <c r="BE1122" s="588" t="n"/>
      <c r="BF1122" s="588" t="n"/>
      <c r="BG1122" s="588" t="n"/>
      <c r="BH1122" s="588" t="n"/>
      <c r="BI1122" s="588" t="n"/>
      <c r="BJ1122" s="588" t="n"/>
      <c r="BK1122" s="588" t="n"/>
      <c r="BL1122" s="588" t="n"/>
      <c r="BM1122" s="588" t="n"/>
      <c r="BN1122" s="588" t="n"/>
      <c r="BO1122" s="588" t="n"/>
      <c r="BP1122" s="588" t="n"/>
      <c r="BQ1122" s="588" t="n"/>
      <c r="BR1122" s="588" t="n"/>
      <c r="BS1122" s="588" t="n"/>
      <c r="BT1122" s="588" t="n"/>
      <c r="BU1122" s="588" t="n"/>
      <c r="BV1122" s="588" t="n"/>
      <c r="BW1122" s="588" t="n"/>
      <c r="BX1122" s="588" t="n"/>
      <c r="BY1122" s="588" t="n"/>
      <c r="BZ1122" s="588" t="n"/>
      <c r="CA1122" s="588" t="n"/>
      <c r="CB1122" s="588" t="n"/>
      <c r="CC1122" s="588" t="n"/>
      <c r="CD1122" s="588" t="n"/>
      <c r="CE1122" s="588" t="n"/>
      <c r="CF1122" s="588" t="n"/>
      <c r="CG1122" s="588" t="n"/>
      <c r="CH1122" s="588" t="n"/>
      <c r="CI1122" s="588" t="n"/>
      <c r="CJ1122" s="588" t="n"/>
      <c r="CK1122" s="588" t="n"/>
      <c r="CL1122" s="588" t="n"/>
      <c r="CM1122" s="588" t="n"/>
      <c r="CN1122" s="588" t="n"/>
      <c r="CO1122" s="588" t="n"/>
      <c r="CP1122" s="588" t="n"/>
      <c r="CQ1122" s="588" t="n"/>
      <c r="CR1122" s="588" t="n"/>
      <c r="CS1122" s="588" t="n"/>
      <c r="CT1122" s="588" t="n"/>
      <c r="CU1122" s="588" t="n"/>
      <c r="CV1122" s="588" t="n"/>
      <c r="CW1122" s="588" t="n"/>
      <c r="CX1122" s="588" t="n"/>
      <c r="CY1122" s="588" t="n"/>
      <c r="CZ1122" s="588" t="n"/>
      <c r="DA1122" s="588" t="n"/>
      <c r="DB1122" s="588" t="n"/>
      <c r="DC1122" s="588" t="n"/>
      <c r="DD1122" s="588" t="n"/>
      <c r="DE1122" s="588" t="n"/>
      <c r="DF1122" s="588" t="n"/>
      <c r="DG1122" s="588" t="n"/>
      <c r="DH1122" s="588" t="n"/>
      <c r="DI1122" s="588" t="n"/>
      <c r="DJ1122" s="588" t="n"/>
      <c r="DK1122" s="588" t="n"/>
      <c r="DL1122" s="588" t="n"/>
      <c r="DM1122" s="588" t="n"/>
      <c r="DN1122" s="588" t="n"/>
      <c r="DO1122" s="588" t="n"/>
      <c r="DP1122" s="588" t="n"/>
      <c r="DQ1122" s="588" t="n"/>
      <c r="DR1122" s="588" t="n"/>
      <c r="DS1122" s="588" t="n"/>
      <c r="DT1122" s="588" t="n"/>
      <c r="DU1122" s="588" t="n"/>
    </row>
    <row r="1123">
      <c r="A1123" s="737" t="n"/>
      <c r="B1123" s="737" t="n"/>
      <c r="C1123" s="737" t="n"/>
      <c r="D1123" s="737" t="n"/>
      <c r="E1123" s="737" t="n"/>
      <c r="F1123" s="737" t="n"/>
      <c r="G1123" s="737" t="n"/>
      <c r="H1123" s="737" t="n"/>
      <c r="I1123" s="737" t="n"/>
      <c r="J1123" s="737" t="n"/>
      <c r="K1123" s="737" t="n"/>
      <c r="L1123" s="737" t="n"/>
      <c r="M1123" s="737" t="n"/>
      <c r="N1123" s="737" t="n"/>
      <c r="O1123" s="737" t="n"/>
      <c r="P1123" s="737" t="n"/>
      <c r="Q1123" s="737" t="n"/>
      <c r="R1123" s="737" t="n"/>
      <c r="S1123" s="737" t="n"/>
      <c r="T1123" s="737" t="n"/>
      <c r="U1123" s="737" t="n"/>
      <c r="V1123" s="737" t="n"/>
      <c r="W1123" s="737" t="n"/>
      <c r="X1123" s="737" t="n"/>
      <c r="Y1123" s="737" t="n"/>
      <c r="Z1123" s="737" t="n"/>
      <c r="AA1123" s="737" t="n"/>
      <c r="AB1123" s="737" t="n"/>
      <c r="AC1123" s="737" t="n"/>
      <c r="AD1123" s="737" t="n"/>
      <c r="AE1123" s="737" t="n"/>
      <c r="AF1123" s="737" t="n"/>
      <c r="AG1123" s="737" t="n"/>
      <c r="AH1123" s="737" t="n"/>
      <c r="AI1123" s="737" t="n"/>
      <c r="AJ1123" s="737" t="n"/>
      <c r="AK1123" s="588" t="n"/>
      <c r="AL1123" s="588" t="n"/>
      <c r="AM1123" s="588" t="n"/>
      <c r="AN1123" s="588" t="n"/>
      <c r="AO1123" s="588" t="n"/>
      <c r="AP1123" s="588" t="n"/>
      <c r="AQ1123" s="588" t="n"/>
      <c r="AR1123" s="588" t="n"/>
      <c r="AS1123" s="588" t="n"/>
      <c r="AT1123" s="588" t="n"/>
      <c r="AU1123" s="588" t="n"/>
      <c r="AV1123" s="588" t="n"/>
      <c r="AW1123" s="588" t="n"/>
      <c r="AX1123" s="588" t="n"/>
      <c r="AY1123" s="588" t="n"/>
      <c r="AZ1123" s="588" t="n"/>
      <c r="BA1123" s="588" t="n"/>
      <c r="BB1123" s="588" t="n"/>
      <c r="BC1123" s="588" t="n"/>
      <c r="BD1123" s="588" t="n"/>
      <c r="BE1123" s="588" t="n"/>
      <c r="BF1123" s="588" t="n"/>
      <c r="BG1123" s="588" t="n"/>
      <c r="BH1123" s="588" t="n"/>
      <c r="BI1123" s="588" t="n"/>
      <c r="BJ1123" s="588" t="n"/>
      <c r="BK1123" s="588" t="n"/>
      <c r="BL1123" s="588" t="n"/>
      <c r="BM1123" s="588" t="n"/>
      <c r="BN1123" s="588" t="n"/>
      <c r="BO1123" s="588" t="n"/>
      <c r="BP1123" s="588" t="n"/>
      <c r="BQ1123" s="588" t="n"/>
      <c r="BR1123" s="588" t="n"/>
      <c r="BS1123" s="588" t="n"/>
      <c r="BT1123" s="588" t="n"/>
      <c r="BU1123" s="588" t="n"/>
      <c r="BV1123" s="588" t="n"/>
      <c r="BW1123" s="588" t="n"/>
      <c r="BX1123" s="588" t="n"/>
      <c r="BY1123" s="588" t="n"/>
      <c r="BZ1123" s="588" t="n"/>
      <c r="CA1123" s="588" t="n"/>
      <c r="CB1123" s="588" t="n"/>
      <c r="CC1123" s="588" t="n"/>
      <c r="CD1123" s="588" t="n"/>
      <c r="CE1123" s="588" t="n"/>
      <c r="CF1123" s="588" t="n"/>
      <c r="CG1123" s="588" t="n"/>
      <c r="CH1123" s="588" t="n"/>
      <c r="CI1123" s="588" t="n"/>
      <c r="CJ1123" s="588" t="n"/>
      <c r="CK1123" s="588" t="n"/>
      <c r="CL1123" s="588" t="n"/>
      <c r="CM1123" s="588" t="n"/>
      <c r="CN1123" s="588" t="n"/>
      <c r="CO1123" s="588" t="n"/>
      <c r="CP1123" s="588" t="n"/>
      <c r="CQ1123" s="588" t="n"/>
      <c r="CR1123" s="588" t="n"/>
      <c r="CS1123" s="588" t="n"/>
      <c r="CT1123" s="588" t="n"/>
      <c r="CU1123" s="588" t="n"/>
      <c r="CV1123" s="588" t="n"/>
      <c r="CW1123" s="588" t="n"/>
      <c r="CX1123" s="588" t="n"/>
      <c r="CY1123" s="588" t="n"/>
      <c r="CZ1123" s="588" t="n"/>
      <c r="DA1123" s="588" t="n"/>
      <c r="DB1123" s="588" t="n"/>
      <c r="DC1123" s="588" t="n"/>
      <c r="DD1123" s="588" t="n"/>
      <c r="DE1123" s="588" t="n"/>
      <c r="DF1123" s="588" t="n"/>
      <c r="DG1123" s="588" t="n"/>
      <c r="DH1123" s="588" t="n"/>
      <c r="DI1123" s="588" t="n"/>
      <c r="DJ1123" s="588" t="n"/>
      <c r="DK1123" s="588" t="n"/>
      <c r="DL1123" s="588" t="n"/>
      <c r="DM1123" s="588" t="n"/>
      <c r="DN1123" s="588" t="n"/>
      <c r="DO1123" s="588" t="n"/>
      <c r="DP1123" s="588" t="n"/>
      <c r="DQ1123" s="588" t="n"/>
      <c r="DR1123" s="588" t="n"/>
      <c r="DS1123" s="588" t="n"/>
      <c r="DT1123" s="588" t="n"/>
      <c r="DU1123" s="588" t="n"/>
    </row>
    <row r="1124">
      <c r="A1124" s="737" t="n"/>
      <c r="B1124" s="737" t="n"/>
      <c r="C1124" s="737" t="n"/>
      <c r="D1124" s="737" t="n"/>
      <c r="E1124" s="737" t="n"/>
      <c r="F1124" s="737" t="n"/>
      <c r="G1124" s="737" t="n"/>
      <c r="H1124" s="737" t="n"/>
      <c r="I1124" s="737" t="n"/>
      <c r="J1124" s="737" t="n"/>
      <c r="K1124" s="737" t="n"/>
      <c r="L1124" s="737" t="n"/>
      <c r="M1124" s="737" t="n"/>
      <c r="N1124" s="737" t="n"/>
      <c r="O1124" s="737" t="n"/>
      <c r="P1124" s="737" t="n"/>
      <c r="Q1124" s="737" t="n"/>
      <c r="R1124" s="737" t="n"/>
      <c r="S1124" s="737" t="n"/>
      <c r="T1124" s="737" t="n"/>
      <c r="U1124" s="737" t="n"/>
      <c r="V1124" s="737" t="n"/>
      <c r="W1124" s="737" t="n"/>
      <c r="X1124" s="737" t="n"/>
      <c r="Y1124" s="737" t="n"/>
      <c r="Z1124" s="737" t="n"/>
      <c r="AA1124" s="737" t="n"/>
      <c r="AB1124" s="737" t="n"/>
      <c r="AC1124" s="737" t="n"/>
      <c r="AD1124" s="737" t="n"/>
      <c r="AE1124" s="737" t="n"/>
      <c r="AF1124" s="737" t="n"/>
      <c r="AG1124" s="737" t="n"/>
      <c r="AH1124" s="737" t="n"/>
      <c r="AI1124" s="737" t="n"/>
      <c r="AJ1124" s="737" t="n"/>
      <c r="AK1124" s="588" t="n"/>
      <c r="AL1124" s="588" t="n"/>
      <c r="AM1124" s="588" t="n"/>
      <c r="AN1124" s="588" t="n"/>
      <c r="AO1124" s="588" t="n"/>
      <c r="AP1124" s="588" t="n"/>
      <c r="AQ1124" s="588" t="n"/>
      <c r="AR1124" s="588" t="n"/>
      <c r="AS1124" s="588" t="n"/>
      <c r="AT1124" s="588" t="n"/>
      <c r="AU1124" s="588" t="n"/>
      <c r="AV1124" s="588" t="n"/>
      <c r="AW1124" s="588" t="n"/>
      <c r="AX1124" s="588" t="n"/>
      <c r="AY1124" s="588" t="n"/>
      <c r="AZ1124" s="588" t="n"/>
      <c r="BA1124" s="588" t="n"/>
      <c r="BB1124" s="588" t="n"/>
      <c r="BC1124" s="588" t="n"/>
      <c r="BD1124" s="588" t="n"/>
      <c r="BE1124" s="588" t="n"/>
      <c r="BF1124" s="588" t="n"/>
      <c r="BG1124" s="588" t="n"/>
      <c r="BH1124" s="588" t="n"/>
      <c r="BI1124" s="588" t="n"/>
      <c r="BJ1124" s="588" t="n"/>
      <c r="BK1124" s="588" t="n"/>
      <c r="BL1124" s="588" t="n"/>
      <c r="BM1124" s="588" t="n"/>
      <c r="BN1124" s="588" t="n"/>
      <c r="BO1124" s="588" t="n"/>
      <c r="BP1124" s="588" t="n"/>
      <c r="BQ1124" s="588" t="n"/>
      <c r="BR1124" s="588" t="n"/>
      <c r="BS1124" s="588" t="n"/>
      <c r="BT1124" s="588" t="n"/>
      <c r="BU1124" s="588" t="n"/>
      <c r="BV1124" s="588" t="n"/>
      <c r="BW1124" s="588" t="n"/>
      <c r="BX1124" s="588" t="n"/>
      <c r="BY1124" s="588" t="n"/>
      <c r="BZ1124" s="588" t="n"/>
      <c r="CA1124" s="588" t="n"/>
      <c r="CB1124" s="588" t="n"/>
      <c r="CC1124" s="588" t="n"/>
      <c r="CD1124" s="588" t="n"/>
      <c r="CE1124" s="588" t="n"/>
      <c r="CF1124" s="588" t="n"/>
      <c r="CG1124" s="588" t="n"/>
      <c r="CH1124" s="588" t="n"/>
      <c r="CI1124" s="588" t="n"/>
      <c r="CJ1124" s="588" t="n"/>
      <c r="CK1124" s="588" t="n"/>
      <c r="CL1124" s="588" t="n"/>
      <c r="CM1124" s="588" t="n"/>
      <c r="CN1124" s="588" t="n"/>
      <c r="CO1124" s="588" t="n"/>
      <c r="CP1124" s="588" t="n"/>
      <c r="CQ1124" s="588" t="n"/>
      <c r="CR1124" s="588" t="n"/>
      <c r="CS1124" s="588" t="n"/>
      <c r="CT1124" s="588" t="n"/>
      <c r="CU1124" s="588" t="n"/>
      <c r="CV1124" s="588" t="n"/>
      <c r="CW1124" s="588" t="n"/>
      <c r="CX1124" s="588" t="n"/>
      <c r="CY1124" s="588" t="n"/>
      <c r="CZ1124" s="588" t="n"/>
      <c r="DA1124" s="588" t="n"/>
      <c r="DB1124" s="588" t="n"/>
      <c r="DC1124" s="588" t="n"/>
      <c r="DD1124" s="588" t="n"/>
      <c r="DE1124" s="588" t="n"/>
      <c r="DF1124" s="588" t="n"/>
      <c r="DG1124" s="588" t="n"/>
      <c r="DH1124" s="588" t="n"/>
      <c r="DI1124" s="588" t="n"/>
      <c r="DJ1124" s="588" t="n"/>
      <c r="DK1124" s="588" t="n"/>
      <c r="DL1124" s="588" t="n"/>
      <c r="DM1124" s="588" t="n"/>
      <c r="DN1124" s="588" t="n"/>
      <c r="DO1124" s="588" t="n"/>
      <c r="DP1124" s="588" t="n"/>
      <c r="DQ1124" s="588" t="n"/>
      <c r="DR1124" s="588" t="n"/>
      <c r="DS1124" s="588" t="n"/>
      <c r="DT1124" s="588" t="n"/>
      <c r="DU1124" s="588" t="n"/>
    </row>
    <row r="1125">
      <c r="A1125" s="737" t="n"/>
      <c r="B1125" s="737" t="n"/>
      <c r="C1125" s="737" t="n"/>
      <c r="D1125" s="737" t="n"/>
      <c r="E1125" s="737" t="n"/>
      <c r="F1125" s="737" t="n"/>
      <c r="G1125" s="737" t="n"/>
      <c r="H1125" s="737" t="n"/>
      <c r="I1125" s="737" t="n"/>
      <c r="J1125" s="737" t="n"/>
      <c r="K1125" s="737" t="n"/>
      <c r="L1125" s="737" t="n"/>
      <c r="M1125" s="737" t="n"/>
      <c r="N1125" s="737" t="n"/>
      <c r="O1125" s="737" t="n"/>
      <c r="P1125" s="737" t="n"/>
      <c r="Q1125" s="737" t="n"/>
      <c r="R1125" s="737" t="n"/>
      <c r="S1125" s="737" t="n"/>
      <c r="T1125" s="737" t="n"/>
      <c r="U1125" s="737" t="n"/>
      <c r="V1125" s="737" t="n"/>
      <c r="W1125" s="737" t="n"/>
      <c r="X1125" s="737" t="n"/>
      <c r="Y1125" s="737" t="n"/>
      <c r="Z1125" s="737" t="n"/>
      <c r="AA1125" s="737" t="n"/>
      <c r="AB1125" s="737" t="n"/>
      <c r="AC1125" s="737" t="n"/>
      <c r="AD1125" s="737" t="n"/>
      <c r="AE1125" s="737" t="n"/>
      <c r="AF1125" s="737" t="n"/>
      <c r="AG1125" s="737" t="n"/>
      <c r="AH1125" s="737" t="n"/>
      <c r="AI1125" s="737" t="n"/>
      <c r="AJ1125" s="737" t="n"/>
      <c r="AK1125" s="588" t="n"/>
      <c r="AL1125" s="588" t="n"/>
      <c r="AM1125" s="588" t="n"/>
      <c r="AN1125" s="588" t="n"/>
      <c r="AO1125" s="588" t="n"/>
      <c r="AP1125" s="588" t="n"/>
      <c r="AQ1125" s="588" t="n"/>
      <c r="AR1125" s="588" t="n"/>
      <c r="AS1125" s="588" t="n"/>
      <c r="AT1125" s="588" t="n"/>
      <c r="AU1125" s="588" t="n"/>
      <c r="AV1125" s="588" t="n"/>
      <c r="AW1125" s="588" t="n"/>
      <c r="AX1125" s="588" t="n"/>
      <c r="AY1125" s="588" t="n"/>
      <c r="AZ1125" s="588" t="n"/>
      <c r="BA1125" s="588" t="n"/>
      <c r="BB1125" s="588" t="n"/>
      <c r="BC1125" s="588" t="n"/>
      <c r="BD1125" s="588" t="n"/>
      <c r="BE1125" s="588" t="n"/>
      <c r="BF1125" s="588" t="n"/>
      <c r="BG1125" s="588" t="n"/>
      <c r="BH1125" s="588" t="n"/>
      <c r="BI1125" s="588" t="n"/>
      <c r="BJ1125" s="588" t="n"/>
      <c r="BK1125" s="588" t="n"/>
      <c r="BL1125" s="588" t="n"/>
      <c r="BM1125" s="588" t="n"/>
      <c r="BN1125" s="588" t="n"/>
      <c r="BO1125" s="588" t="n"/>
      <c r="BP1125" s="588" t="n"/>
      <c r="BQ1125" s="588" t="n"/>
      <c r="BR1125" s="588" t="n"/>
      <c r="BS1125" s="588" t="n"/>
      <c r="BT1125" s="588" t="n"/>
      <c r="BU1125" s="588" t="n"/>
      <c r="BV1125" s="588" t="n"/>
      <c r="BW1125" s="588" t="n"/>
      <c r="BX1125" s="588" t="n"/>
      <c r="BY1125" s="588" t="n"/>
      <c r="BZ1125" s="588" t="n"/>
      <c r="CA1125" s="588" t="n"/>
      <c r="CB1125" s="588" t="n"/>
      <c r="CC1125" s="588" t="n"/>
      <c r="CD1125" s="588" t="n"/>
      <c r="CE1125" s="588" t="n"/>
      <c r="CF1125" s="588" t="n"/>
      <c r="CG1125" s="588" t="n"/>
      <c r="CH1125" s="588" t="n"/>
      <c r="CI1125" s="588" t="n"/>
      <c r="CJ1125" s="588" t="n"/>
      <c r="CK1125" s="588" t="n"/>
      <c r="CL1125" s="588" t="n"/>
      <c r="CM1125" s="588" t="n"/>
      <c r="CN1125" s="588" t="n"/>
      <c r="CO1125" s="588" t="n"/>
      <c r="CP1125" s="588" t="n"/>
      <c r="CQ1125" s="588" t="n"/>
      <c r="CR1125" s="588" t="n"/>
      <c r="CS1125" s="588" t="n"/>
      <c r="CT1125" s="588" t="n"/>
      <c r="CU1125" s="588" t="n"/>
      <c r="CV1125" s="588" t="n"/>
      <c r="CW1125" s="588" t="n"/>
      <c r="CX1125" s="588" t="n"/>
      <c r="CY1125" s="588" t="n"/>
      <c r="CZ1125" s="588" t="n"/>
      <c r="DA1125" s="588" t="n"/>
      <c r="DB1125" s="588" t="n"/>
      <c r="DC1125" s="588" t="n"/>
      <c r="DD1125" s="588" t="n"/>
      <c r="DE1125" s="588" t="n"/>
      <c r="DF1125" s="588" t="n"/>
      <c r="DG1125" s="588" t="n"/>
      <c r="DH1125" s="588" t="n"/>
      <c r="DI1125" s="588" t="n"/>
      <c r="DJ1125" s="588" t="n"/>
      <c r="DK1125" s="588" t="n"/>
      <c r="DL1125" s="588" t="n"/>
      <c r="DM1125" s="588" t="n"/>
      <c r="DN1125" s="588" t="n"/>
      <c r="DO1125" s="588" t="n"/>
      <c r="DP1125" s="588" t="n"/>
      <c r="DQ1125" s="588" t="n"/>
      <c r="DR1125" s="588" t="n"/>
      <c r="DS1125" s="588" t="n"/>
      <c r="DT1125" s="588" t="n"/>
      <c r="DU1125" s="588" t="n"/>
    </row>
    <row r="1126">
      <c r="A1126" s="737" t="n"/>
      <c r="B1126" s="737" t="n"/>
      <c r="C1126" s="737" t="n"/>
      <c r="D1126" s="737" t="n"/>
      <c r="E1126" s="737" t="n"/>
      <c r="F1126" s="737" t="n"/>
      <c r="G1126" s="737" t="n"/>
      <c r="H1126" s="737" t="n"/>
      <c r="I1126" s="737" t="n"/>
      <c r="J1126" s="737" t="n"/>
      <c r="K1126" s="737" t="n"/>
      <c r="L1126" s="737" t="n"/>
      <c r="M1126" s="737" t="n"/>
      <c r="N1126" s="737" t="n"/>
      <c r="O1126" s="737" t="n"/>
      <c r="P1126" s="737" t="n"/>
      <c r="Q1126" s="737" t="n"/>
      <c r="R1126" s="737" t="n"/>
      <c r="S1126" s="737" t="n"/>
      <c r="T1126" s="737" t="n"/>
      <c r="U1126" s="737" t="n"/>
      <c r="V1126" s="737" t="n"/>
      <c r="W1126" s="737" t="n"/>
      <c r="X1126" s="737" t="n"/>
      <c r="Y1126" s="737" t="n"/>
      <c r="Z1126" s="737" t="n"/>
      <c r="AA1126" s="737" t="n"/>
      <c r="AB1126" s="737" t="n"/>
      <c r="AC1126" s="737" t="n"/>
      <c r="AD1126" s="737" t="n"/>
      <c r="AE1126" s="737" t="n"/>
      <c r="AF1126" s="737" t="n"/>
      <c r="AG1126" s="737" t="n"/>
      <c r="AH1126" s="737" t="n"/>
      <c r="AI1126" s="737" t="n"/>
      <c r="AJ1126" s="737" t="n"/>
      <c r="AK1126" s="588" t="n"/>
      <c r="AL1126" s="588" t="n"/>
      <c r="AM1126" s="588" t="n"/>
      <c r="AN1126" s="588" t="n"/>
      <c r="AO1126" s="588" t="n"/>
      <c r="AP1126" s="588" t="n"/>
      <c r="AQ1126" s="588" t="n"/>
      <c r="AR1126" s="588" t="n"/>
      <c r="AS1126" s="588" t="n"/>
      <c r="AT1126" s="588" t="n"/>
      <c r="AU1126" s="588" t="n"/>
      <c r="AV1126" s="588" t="n"/>
      <c r="AW1126" s="588" t="n"/>
      <c r="AX1126" s="588" t="n"/>
      <c r="AY1126" s="588" t="n"/>
      <c r="AZ1126" s="588" t="n"/>
      <c r="BA1126" s="588" t="n"/>
      <c r="BB1126" s="588" t="n"/>
      <c r="BC1126" s="588" t="n"/>
      <c r="BD1126" s="588" t="n"/>
      <c r="BE1126" s="588" t="n"/>
      <c r="BF1126" s="588" t="n"/>
      <c r="BG1126" s="588" t="n"/>
      <c r="BH1126" s="588" t="n"/>
      <c r="BI1126" s="588" t="n"/>
      <c r="BJ1126" s="588" t="n"/>
      <c r="BK1126" s="588" t="n"/>
      <c r="BL1126" s="588" t="n"/>
      <c r="BM1126" s="588" t="n"/>
      <c r="BN1126" s="588" t="n"/>
      <c r="BO1126" s="588" t="n"/>
      <c r="BP1126" s="588" t="n"/>
      <c r="BQ1126" s="588" t="n"/>
      <c r="BR1126" s="588" t="n"/>
      <c r="BS1126" s="588" t="n"/>
      <c r="BT1126" s="588" t="n"/>
      <c r="BU1126" s="588" t="n"/>
      <c r="BV1126" s="588" t="n"/>
      <c r="BW1126" s="588" t="n"/>
      <c r="BX1126" s="588" t="n"/>
      <c r="BY1126" s="588" t="n"/>
      <c r="BZ1126" s="588" t="n"/>
      <c r="CA1126" s="588" t="n"/>
      <c r="CB1126" s="588" t="n"/>
      <c r="CC1126" s="588" t="n"/>
      <c r="CD1126" s="588" t="n"/>
      <c r="CE1126" s="588" t="n"/>
      <c r="CF1126" s="588" t="n"/>
      <c r="CG1126" s="588" t="n"/>
      <c r="CH1126" s="588" t="n"/>
      <c r="CI1126" s="588" t="n"/>
      <c r="CJ1126" s="588" t="n"/>
      <c r="CK1126" s="588" t="n"/>
      <c r="CL1126" s="588" t="n"/>
      <c r="CM1126" s="588" t="n"/>
      <c r="CN1126" s="588" t="n"/>
      <c r="CO1126" s="588" t="n"/>
      <c r="CP1126" s="588" t="n"/>
      <c r="CQ1126" s="588" t="n"/>
      <c r="CR1126" s="588" t="n"/>
      <c r="CS1126" s="588" t="n"/>
      <c r="CT1126" s="588" t="n"/>
      <c r="CU1126" s="588" t="n"/>
      <c r="CV1126" s="588" t="n"/>
      <c r="CW1126" s="588" t="n"/>
      <c r="CX1126" s="588" t="n"/>
      <c r="CY1126" s="588" t="n"/>
      <c r="CZ1126" s="588" t="n"/>
      <c r="DA1126" s="588" t="n"/>
      <c r="DB1126" s="588" t="n"/>
      <c r="DC1126" s="588" t="n"/>
      <c r="DD1126" s="588" t="n"/>
      <c r="DE1126" s="588" t="n"/>
      <c r="DF1126" s="588" t="n"/>
      <c r="DG1126" s="588" t="n"/>
      <c r="DH1126" s="588" t="n"/>
      <c r="DI1126" s="588" t="n"/>
      <c r="DJ1126" s="588" t="n"/>
      <c r="DK1126" s="588" t="n"/>
      <c r="DL1126" s="588" t="n"/>
      <c r="DM1126" s="588" t="n"/>
      <c r="DN1126" s="588" t="n"/>
      <c r="DO1126" s="588" t="n"/>
      <c r="DP1126" s="588" t="n"/>
      <c r="DQ1126" s="588" t="n"/>
      <c r="DR1126" s="588" t="n"/>
      <c r="DS1126" s="588" t="n"/>
      <c r="DT1126" s="588" t="n"/>
      <c r="DU1126" s="588" t="n"/>
    </row>
    <row r="1127">
      <c r="A1127" s="737" t="n"/>
      <c r="B1127" s="737" t="n"/>
      <c r="C1127" s="737" t="n"/>
      <c r="D1127" s="737" t="n"/>
      <c r="E1127" s="737" t="n"/>
      <c r="F1127" s="737" t="n"/>
      <c r="G1127" s="737" t="n"/>
      <c r="H1127" s="737" t="n"/>
      <c r="I1127" s="737" t="n"/>
      <c r="J1127" s="737" t="n"/>
      <c r="K1127" s="737" t="n"/>
      <c r="L1127" s="737" t="n"/>
      <c r="M1127" s="737" t="n"/>
      <c r="N1127" s="737" t="n"/>
      <c r="O1127" s="737" t="n"/>
      <c r="P1127" s="737" t="n"/>
      <c r="Q1127" s="737" t="n"/>
      <c r="R1127" s="737" t="n"/>
      <c r="S1127" s="737" t="n"/>
      <c r="T1127" s="737" t="n"/>
      <c r="U1127" s="737" t="n"/>
      <c r="V1127" s="737" t="n"/>
      <c r="W1127" s="737" t="n"/>
      <c r="X1127" s="737" t="n"/>
      <c r="Y1127" s="737" t="n"/>
      <c r="Z1127" s="737" t="n"/>
      <c r="AA1127" s="737" t="n"/>
      <c r="AB1127" s="737" t="n"/>
      <c r="AC1127" s="737" t="n"/>
      <c r="AD1127" s="737" t="n"/>
      <c r="AE1127" s="737" t="n"/>
      <c r="AF1127" s="737" t="n"/>
      <c r="AG1127" s="737" t="n"/>
      <c r="AH1127" s="737" t="n"/>
      <c r="AI1127" s="737" t="n"/>
      <c r="AJ1127" s="737" t="n"/>
      <c r="AK1127" s="588" t="n"/>
      <c r="AL1127" s="588" t="n"/>
      <c r="AM1127" s="588" t="n"/>
      <c r="AN1127" s="588" t="n"/>
      <c r="AO1127" s="588" t="n"/>
      <c r="AP1127" s="588" t="n"/>
      <c r="AQ1127" s="588" t="n"/>
      <c r="AR1127" s="588" t="n"/>
      <c r="AS1127" s="588" t="n"/>
      <c r="AT1127" s="588" t="n"/>
      <c r="AU1127" s="588" t="n"/>
      <c r="AV1127" s="588" t="n"/>
      <c r="AW1127" s="588" t="n"/>
      <c r="AX1127" s="588" t="n"/>
      <c r="AY1127" s="588" t="n"/>
      <c r="AZ1127" s="588" t="n"/>
      <c r="BA1127" s="588" t="n"/>
      <c r="BB1127" s="588" t="n"/>
      <c r="BC1127" s="588" t="n"/>
      <c r="BD1127" s="588" t="n"/>
      <c r="BE1127" s="588" t="n"/>
      <c r="BF1127" s="588" t="n"/>
      <c r="BG1127" s="588" t="n"/>
      <c r="BH1127" s="588" t="n"/>
      <c r="BI1127" s="588" t="n"/>
      <c r="BJ1127" s="588" t="n"/>
      <c r="BK1127" s="588" t="n"/>
      <c r="BL1127" s="588" t="n"/>
      <c r="BM1127" s="588" t="n"/>
      <c r="BN1127" s="588" t="n"/>
      <c r="BO1127" s="588" t="n"/>
      <c r="BP1127" s="588" t="n"/>
      <c r="BQ1127" s="588" t="n"/>
      <c r="BR1127" s="588" t="n"/>
      <c r="BS1127" s="588" t="n"/>
      <c r="BT1127" s="588" t="n"/>
      <c r="BU1127" s="588" t="n"/>
      <c r="BV1127" s="588" t="n"/>
      <c r="BW1127" s="588" t="n"/>
      <c r="BX1127" s="588" t="n"/>
      <c r="BY1127" s="588" t="n"/>
      <c r="BZ1127" s="588" t="n"/>
      <c r="CA1127" s="588" t="n"/>
      <c r="CB1127" s="588" t="n"/>
      <c r="CC1127" s="588" t="n"/>
      <c r="CD1127" s="588" t="n"/>
      <c r="CE1127" s="588" t="n"/>
      <c r="CF1127" s="588" t="n"/>
      <c r="CG1127" s="588" t="n"/>
      <c r="CH1127" s="588" t="n"/>
      <c r="CI1127" s="588" t="n"/>
      <c r="CJ1127" s="588" t="n"/>
      <c r="CK1127" s="588" t="n"/>
      <c r="CL1127" s="588" t="n"/>
      <c r="CM1127" s="588" t="n"/>
      <c r="CN1127" s="588" t="n"/>
      <c r="CO1127" s="588" t="n"/>
      <c r="CP1127" s="588" t="n"/>
      <c r="CQ1127" s="588" t="n"/>
      <c r="CR1127" s="588" t="n"/>
      <c r="CS1127" s="588" t="n"/>
      <c r="CT1127" s="588" t="n"/>
      <c r="CU1127" s="588" t="n"/>
      <c r="CV1127" s="588" t="n"/>
      <c r="CW1127" s="588" t="n"/>
      <c r="CX1127" s="588" t="n"/>
      <c r="CY1127" s="588" t="n"/>
      <c r="CZ1127" s="588" t="n"/>
      <c r="DA1127" s="588" t="n"/>
      <c r="DB1127" s="588" t="n"/>
      <c r="DC1127" s="588" t="n"/>
      <c r="DD1127" s="588" t="n"/>
      <c r="DE1127" s="588" t="n"/>
      <c r="DF1127" s="588" t="n"/>
      <c r="DG1127" s="588" t="n"/>
      <c r="DH1127" s="588" t="n"/>
      <c r="DI1127" s="588" t="n"/>
      <c r="DJ1127" s="588" t="n"/>
      <c r="DK1127" s="588" t="n"/>
      <c r="DL1127" s="588" t="n"/>
      <c r="DM1127" s="588" t="n"/>
      <c r="DN1127" s="588" t="n"/>
      <c r="DO1127" s="588" t="n"/>
      <c r="DP1127" s="588" t="n"/>
      <c r="DQ1127" s="588" t="n"/>
      <c r="DR1127" s="588" t="n"/>
      <c r="DS1127" s="588" t="n"/>
      <c r="DT1127" s="588" t="n"/>
      <c r="DU1127" s="588" t="n"/>
    </row>
    <row r="1128">
      <c r="A1128" s="737" t="n"/>
      <c r="B1128" s="737" t="n"/>
      <c r="C1128" s="737" t="n"/>
      <c r="D1128" s="737" t="n"/>
      <c r="E1128" s="737" t="n"/>
      <c r="F1128" s="737" t="n"/>
      <c r="G1128" s="737" t="n"/>
      <c r="H1128" s="737" t="n"/>
      <c r="I1128" s="737" t="n"/>
      <c r="J1128" s="737" t="n"/>
      <c r="K1128" s="737" t="n"/>
      <c r="L1128" s="737" t="n"/>
      <c r="M1128" s="737" t="n"/>
      <c r="N1128" s="737" t="n"/>
      <c r="O1128" s="737" t="n"/>
      <c r="P1128" s="737" t="n"/>
      <c r="Q1128" s="737" t="n"/>
      <c r="R1128" s="737" t="n"/>
      <c r="S1128" s="737" t="n"/>
      <c r="T1128" s="737" t="n"/>
      <c r="U1128" s="737" t="n"/>
      <c r="V1128" s="737" t="n"/>
      <c r="W1128" s="737" t="n"/>
      <c r="X1128" s="737" t="n"/>
      <c r="Y1128" s="737" t="n"/>
      <c r="Z1128" s="737" t="n"/>
      <c r="AA1128" s="737" t="n"/>
      <c r="AB1128" s="737" t="n"/>
      <c r="AC1128" s="737" t="n"/>
      <c r="AD1128" s="737" t="n"/>
      <c r="AE1128" s="737" t="n"/>
      <c r="AF1128" s="737" t="n"/>
      <c r="AG1128" s="737" t="n"/>
      <c r="AH1128" s="737" t="n"/>
      <c r="AI1128" s="737" t="n"/>
      <c r="AJ1128" s="737" t="n"/>
      <c r="AK1128" s="588" t="n"/>
      <c r="AL1128" s="588" t="n"/>
      <c r="AM1128" s="588" t="n"/>
      <c r="AN1128" s="588" t="n"/>
      <c r="AO1128" s="588" t="n"/>
      <c r="AP1128" s="588" t="n"/>
      <c r="AQ1128" s="588" t="n"/>
      <c r="AR1128" s="588" t="n"/>
      <c r="AS1128" s="588" t="n"/>
      <c r="AT1128" s="588" t="n"/>
      <c r="AU1128" s="588" t="n"/>
      <c r="AV1128" s="588" t="n"/>
      <c r="AW1128" s="588" t="n"/>
      <c r="AX1128" s="588" t="n"/>
      <c r="AY1128" s="588" t="n"/>
      <c r="AZ1128" s="588" t="n"/>
      <c r="BA1128" s="588" t="n"/>
      <c r="BB1128" s="588" t="n"/>
      <c r="BC1128" s="588" t="n"/>
      <c r="BD1128" s="588" t="n"/>
      <c r="BE1128" s="588" t="n"/>
      <c r="BF1128" s="588" t="n"/>
      <c r="BG1128" s="588" t="n"/>
      <c r="BH1128" s="588" t="n"/>
      <c r="BI1128" s="588" t="n"/>
      <c r="BJ1128" s="588" t="n"/>
      <c r="BK1128" s="588" t="n"/>
      <c r="BL1128" s="588" t="n"/>
      <c r="BM1128" s="588" t="n"/>
      <c r="BN1128" s="588" t="n"/>
      <c r="BO1128" s="588" t="n"/>
      <c r="BP1128" s="588" t="n"/>
      <c r="BQ1128" s="588" t="n"/>
      <c r="BR1128" s="588" t="n"/>
      <c r="BS1128" s="588" t="n"/>
      <c r="BT1128" s="588" t="n"/>
      <c r="BU1128" s="588" t="n"/>
      <c r="BV1128" s="588" t="n"/>
      <c r="BW1128" s="588" t="n"/>
      <c r="BX1128" s="588" t="n"/>
      <c r="BY1128" s="588" t="n"/>
      <c r="BZ1128" s="588" t="n"/>
      <c r="CA1128" s="588" t="n"/>
      <c r="CB1128" s="588" t="n"/>
      <c r="CC1128" s="588" t="n"/>
      <c r="CD1128" s="588" t="n"/>
      <c r="CE1128" s="588" t="n"/>
      <c r="CF1128" s="588" t="n"/>
      <c r="CG1128" s="588" t="n"/>
      <c r="CH1128" s="588" t="n"/>
      <c r="CI1128" s="588" t="n"/>
      <c r="CJ1128" s="588" t="n"/>
      <c r="CK1128" s="588" t="n"/>
      <c r="CL1128" s="588" t="n"/>
      <c r="CM1128" s="588" t="n"/>
      <c r="CN1128" s="588" t="n"/>
      <c r="CO1128" s="588" t="n"/>
      <c r="CP1128" s="588" t="n"/>
      <c r="CQ1128" s="588" t="n"/>
      <c r="CR1128" s="588" t="n"/>
      <c r="CS1128" s="588" t="n"/>
      <c r="CT1128" s="588" t="n"/>
      <c r="CU1128" s="588" t="n"/>
      <c r="CV1128" s="588" t="n"/>
      <c r="CW1128" s="588" t="n"/>
      <c r="CX1128" s="588" t="n"/>
      <c r="CY1128" s="588" t="n"/>
      <c r="CZ1128" s="588" t="n"/>
      <c r="DA1128" s="588" t="n"/>
      <c r="DB1128" s="588" t="n"/>
      <c r="DC1128" s="588" t="n"/>
      <c r="DD1128" s="588" t="n"/>
      <c r="DE1128" s="588" t="n"/>
      <c r="DF1128" s="588" t="n"/>
      <c r="DG1128" s="588" t="n"/>
      <c r="DH1128" s="588" t="n"/>
      <c r="DI1128" s="588" t="n"/>
      <c r="DJ1128" s="588" t="n"/>
      <c r="DK1128" s="588" t="n"/>
      <c r="DL1128" s="588" t="n"/>
      <c r="DM1128" s="588" t="n"/>
      <c r="DN1128" s="588" t="n"/>
      <c r="DO1128" s="588" t="n"/>
      <c r="DP1128" s="588" t="n"/>
      <c r="DQ1128" s="588" t="n"/>
      <c r="DR1128" s="588" t="n"/>
      <c r="DS1128" s="588" t="n"/>
      <c r="DT1128" s="588" t="n"/>
      <c r="DU1128" s="588" t="n"/>
    </row>
    <row r="1129">
      <c r="A1129" s="737" t="n"/>
      <c r="B1129" s="737" t="n"/>
      <c r="C1129" s="737" t="n"/>
      <c r="D1129" s="737" t="n"/>
      <c r="E1129" s="737" t="n"/>
      <c r="F1129" s="737" t="n"/>
      <c r="G1129" s="737" t="n"/>
      <c r="H1129" s="737" t="n"/>
      <c r="I1129" s="737" t="n"/>
      <c r="J1129" s="737" t="n"/>
      <c r="K1129" s="737" t="n"/>
      <c r="L1129" s="737" t="n"/>
      <c r="M1129" s="737" t="n"/>
      <c r="N1129" s="737" t="n"/>
      <c r="O1129" s="737" t="n"/>
      <c r="P1129" s="737" t="n"/>
      <c r="Q1129" s="737" t="n"/>
      <c r="R1129" s="737" t="n"/>
      <c r="S1129" s="737" t="n"/>
      <c r="T1129" s="737" t="n"/>
      <c r="U1129" s="737" t="n"/>
      <c r="V1129" s="737" t="n"/>
      <c r="W1129" s="737" t="n"/>
      <c r="X1129" s="737" t="n"/>
      <c r="Y1129" s="737" t="n"/>
      <c r="Z1129" s="737" t="n"/>
      <c r="AA1129" s="737" t="n"/>
      <c r="AB1129" s="737" t="n"/>
      <c r="AC1129" s="737" t="n"/>
      <c r="AD1129" s="737" t="n"/>
      <c r="AE1129" s="737" t="n"/>
      <c r="AF1129" s="737" t="n"/>
      <c r="AG1129" s="737" t="n"/>
      <c r="AH1129" s="737" t="n"/>
      <c r="AI1129" s="737" t="n"/>
      <c r="AJ1129" s="737" t="n"/>
      <c r="AK1129" s="588" t="n"/>
      <c r="AL1129" s="588" t="n"/>
      <c r="AM1129" s="588" t="n"/>
      <c r="AN1129" s="588" t="n"/>
      <c r="AO1129" s="588" t="n"/>
      <c r="AP1129" s="588" t="n"/>
      <c r="AQ1129" s="588" t="n"/>
      <c r="AR1129" s="588" t="n"/>
      <c r="AS1129" s="588" t="n"/>
      <c r="AT1129" s="588" t="n"/>
      <c r="AU1129" s="588" t="n"/>
      <c r="AV1129" s="588" t="n"/>
      <c r="AW1129" s="588" t="n"/>
      <c r="AX1129" s="588" t="n"/>
      <c r="AY1129" s="588" t="n"/>
      <c r="AZ1129" s="588" t="n"/>
      <c r="BA1129" s="588" t="n"/>
      <c r="BB1129" s="588" t="n"/>
      <c r="BC1129" s="588" t="n"/>
      <c r="BD1129" s="588" t="n"/>
      <c r="BE1129" s="588" t="n"/>
      <c r="BF1129" s="588" t="n"/>
      <c r="BG1129" s="588" t="n"/>
      <c r="BH1129" s="588" t="n"/>
      <c r="BI1129" s="588" t="n"/>
      <c r="BJ1129" s="588" t="n"/>
      <c r="BK1129" s="588" t="n"/>
      <c r="BL1129" s="588" t="n"/>
      <c r="BM1129" s="588" t="n"/>
      <c r="BN1129" s="588" t="n"/>
      <c r="BO1129" s="588" t="n"/>
      <c r="BP1129" s="588" t="n"/>
      <c r="BQ1129" s="588" t="n"/>
      <c r="BR1129" s="588" t="n"/>
      <c r="BS1129" s="588" t="n"/>
      <c r="BT1129" s="588" t="n"/>
      <c r="BU1129" s="588" t="n"/>
      <c r="BV1129" s="588" t="n"/>
      <c r="BW1129" s="588" t="n"/>
      <c r="BX1129" s="588" t="n"/>
      <c r="BY1129" s="588" t="n"/>
      <c r="BZ1129" s="588" t="n"/>
      <c r="CA1129" s="588" t="n"/>
      <c r="CB1129" s="588" t="n"/>
      <c r="CC1129" s="588" t="n"/>
      <c r="CD1129" s="588" t="n"/>
      <c r="CE1129" s="588" t="n"/>
      <c r="CF1129" s="588" t="n"/>
      <c r="CG1129" s="588" t="n"/>
      <c r="CH1129" s="588" t="n"/>
      <c r="CI1129" s="588" t="n"/>
      <c r="CJ1129" s="588" t="n"/>
      <c r="CK1129" s="588" t="n"/>
      <c r="CL1129" s="588" t="n"/>
      <c r="CM1129" s="588" t="n"/>
      <c r="CN1129" s="588" t="n"/>
      <c r="CO1129" s="588" t="n"/>
      <c r="CP1129" s="588" t="n"/>
      <c r="CQ1129" s="588" t="n"/>
      <c r="CR1129" s="588" t="n"/>
      <c r="CS1129" s="588" t="n"/>
      <c r="CT1129" s="588" t="n"/>
      <c r="CU1129" s="588" t="n"/>
      <c r="CV1129" s="588" t="n"/>
      <c r="CW1129" s="588" t="n"/>
      <c r="CX1129" s="588" t="n"/>
      <c r="CY1129" s="588" t="n"/>
      <c r="CZ1129" s="588" t="n"/>
      <c r="DA1129" s="588" t="n"/>
      <c r="DB1129" s="588" t="n"/>
      <c r="DC1129" s="588" t="n"/>
      <c r="DD1129" s="588" t="n"/>
      <c r="DE1129" s="588" t="n"/>
      <c r="DF1129" s="588" t="n"/>
      <c r="DG1129" s="588" t="n"/>
      <c r="DH1129" s="588" t="n"/>
      <c r="DI1129" s="588" t="n"/>
      <c r="DJ1129" s="588" t="n"/>
      <c r="DK1129" s="588" t="n"/>
      <c r="DL1129" s="588" t="n"/>
      <c r="DM1129" s="588" t="n"/>
      <c r="DN1129" s="588" t="n"/>
      <c r="DO1129" s="588" t="n"/>
      <c r="DP1129" s="588" t="n"/>
      <c r="DQ1129" s="588" t="n"/>
      <c r="DR1129" s="588" t="n"/>
      <c r="DS1129" s="588" t="n"/>
      <c r="DT1129" s="588" t="n"/>
      <c r="DU1129" s="588" t="n"/>
    </row>
    <row r="1130">
      <c r="A1130" s="737" t="n"/>
      <c r="B1130" s="737" t="n"/>
      <c r="C1130" s="737" t="n"/>
      <c r="D1130" s="737" t="n"/>
      <c r="E1130" s="737" t="n"/>
      <c r="F1130" s="737" t="n"/>
      <c r="G1130" s="737" t="n"/>
      <c r="H1130" s="737" t="n"/>
      <c r="I1130" s="737" t="n"/>
      <c r="J1130" s="737" t="n"/>
      <c r="K1130" s="737" t="n"/>
      <c r="L1130" s="737" t="n"/>
      <c r="M1130" s="737" t="n"/>
      <c r="N1130" s="737" t="n"/>
      <c r="O1130" s="737" t="n"/>
      <c r="P1130" s="737" t="n"/>
      <c r="Q1130" s="737" t="n"/>
      <c r="R1130" s="737" t="n"/>
      <c r="S1130" s="737" t="n"/>
      <c r="T1130" s="737" t="n"/>
      <c r="U1130" s="737" t="n"/>
      <c r="V1130" s="737" t="n"/>
      <c r="W1130" s="737" t="n"/>
      <c r="X1130" s="737" t="n"/>
      <c r="Y1130" s="737" t="n"/>
      <c r="Z1130" s="737" t="n"/>
      <c r="AA1130" s="737" t="n"/>
      <c r="AB1130" s="737" t="n"/>
      <c r="AC1130" s="737" t="n"/>
      <c r="AD1130" s="737" t="n"/>
      <c r="AE1130" s="737" t="n"/>
      <c r="AF1130" s="737" t="n"/>
      <c r="AG1130" s="737" t="n"/>
      <c r="AH1130" s="737" t="n"/>
      <c r="AI1130" s="737" t="n"/>
      <c r="AJ1130" s="737" t="n"/>
      <c r="AK1130" s="588" t="n"/>
      <c r="AL1130" s="588" t="n"/>
      <c r="AM1130" s="588" t="n"/>
      <c r="AN1130" s="588" t="n"/>
      <c r="AO1130" s="588" t="n"/>
      <c r="AP1130" s="588" t="n"/>
      <c r="AQ1130" s="588" t="n"/>
      <c r="AR1130" s="588" t="n"/>
      <c r="AS1130" s="588" t="n"/>
      <c r="AT1130" s="588" t="n"/>
      <c r="AU1130" s="588" t="n"/>
      <c r="AV1130" s="588" t="n"/>
      <c r="AW1130" s="588" t="n"/>
      <c r="AX1130" s="588" t="n"/>
      <c r="AY1130" s="588" t="n"/>
      <c r="AZ1130" s="588" t="n"/>
      <c r="BA1130" s="588" t="n"/>
      <c r="BB1130" s="588" t="n"/>
      <c r="BC1130" s="588" t="n"/>
      <c r="BD1130" s="588" t="n"/>
      <c r="BE1130" s="588" t="n"/>
      <c r="BF1130" s="588" t="n"/>
      <c r="BG1130" s="588" t="n"/>
      <c r="BH1130" s="588" t="n"/>
      <c r="BI1130" s="588" t="n"/>
      <c r="BJ1130" s="588" t="n"/>
      <c r="BK1130" s="588" t="n"/>
      <c r="BL1130" s="588" t="n"/>
      <c r="BM1130" s="588" t="n"/>
      <c r="BN1130" s="588" t="n"/>
      <c r="BO1130" s="588" t="n"/>
      <c r="BP1130" s="588" t="n"/>
      <c r="BQ1130" s="588" t="n"/>
      <c r="BR1130" s="588" t="n"/>
      <c r="BS1130" s="588" t="n"/>
      <c r="BT1130" s="588" t="n"/>
      <c r="BU1130" s="588" t="n"/>
      <c r="BV1130" s="588" t="n"/>
      <c r="BW1130" s="588" t="n"/>
      <c r="BX1130" s="588" t="n"/>
      <c r="BY1130" s="588" t="n"/>
      <c r="BZ1130" s="588" t="n"/>
      <c r="CA1130" s="588" t="n"/>
      <c r="CB1130" s="588" t="n"/>
      <c r="CC1130" s="588" t="n"/>
      <c r="CD1130" s="588" t="n"/>
      <c r="CE1130" s="588" t="n"/>
      <c r="CF1130" s="588" t="n"/>
      <c r="CG1130" s="588" t="n"/>
      <c r="CH1130" s="588" t="n"/>
      <c r="CI1130" s="588" t="n"/>
      <c r="CJ1130" s="588" t="n"/>
      <c r="CK1130" s="588" t="n"/>
      <c r="CL1130" s="588" t="n"/>
      <c r="CM1130" s="588" t="n"/>
      <c r="CN1130" s="588" t="n"/>
      <c r="CO1130" s="588" t="n"/>
      <c r="CP1130" s="588" t="n"/>
      <c r="CQ1130" s="588" t="n"/>
      <c r="CR1130" s="588" t="n"/>
      <c r="CS1130" s="588" t="n"/>
      <c r="CT1130" s="588" t="n"/>
      <c r="CU1130" s="588" t="n"/>
      <c r="CV1130" s="588" t="n"/>
      <c r="CW1130" s="588" t="n"/>
      <c r="CX1130" s="588" t="n"/>
      <c r="CY1130" s="588" t="n"/>
      <c r="CZ1130" s="588" t="n"/>
      <c r="DA1130" s="588" t="n"/>
      <c r="DB1130" s="588" t="n"/>
      <c r="DC1130" s="588" t="n"/>
      <c r="DD1130" s="588" t="n"/>
      <c r="DE1130" s="588" t="n"/>
      <c r="DF1130" s="588" t="n"/>
      <c r="DG1130" s="588" t="n"/>
      <c r="DH1130" s="588" t="n"/>
      <c r="DI1130" s="588" t="n"/>
      <c r="DJ1130" s="588" t="n"/>
      <c r="DK1130" s="588" t="n"/>
      <c r="DL1130" s="588" t="n"/>
      <c r="DM1130" s="588" t="n"/>
      <c r="DN1130" s="588" t="n"/>
      <c r="DO1130" s="588" t="n"/>
      <c r="DP1130" s="588" t="n"/>
      <c r="DQ1130" s="588" t="n"/>
      <c r="DR1130" s="588" t="n"/>
      <c r="DS1130" s="588" t="n"/>
      <c r="DT1130" s="588" t="n"/>
      <c r="DU1130" s="588" t="n"/>
    </row>
    <row r="1131">
      <c r="A1131" s="737" t="n"/>
      <c r="B1131" s="737" t="n"/>
      <c r="C1131" s="737" t="n"/>
      <c r="D1131" s="737" t="n"/>
      <c r="E1131" s="737" t="n"/>
      <c r="F1131" s="737" t="n"/>
      <c r="G1131" s="737" t="n"/>
      <c r="H1131" s="737" t="n"/>
      <c r="I1131" s="737" t="n"/>
      <c r="J1131" s="737" t="n"/>
      <c r="K1131" s="737" t="n"/>
      <c r="L1131" s="737" t="n"/>
      <c r="M1131" s="737" t="n"/>
      <c r="N1131" s="737" t="n"/>
      <c r="O1131" s="737" t="n"/>
      <c r="P1131" s="737" t="n"/>
      <c r="Q1131" s="737" t="n"/>
      <c r="R1131" s="737" t="n"/>
      <c r="S1131" s="737" t="n"/>
      <c r="T1131" s="737" t="n"/>
      <c r="U1131" s="737" t="n"/>
      <c r="V1131" s="737" t="n"/>
      <c r="W1131" s="737" t="n"/>
      <c r="X1131" s="737" t="n"/>
      <c r="Y1131" s="737" t="n"/>
      <c r="Z1131" s="737" t="n"/>
      <c r="AA1131" s="737" t="n"/>
      <c r="AB1131" s="737" t="n"/>
      <c r="AC1131" s="737" t="n"/>
      <c r="AD1131" s="737" t="n"/>
      <c r="AE1131" s="737" t="n"/>
      <c r="AF1131" s="737" t="n"/>
      <c r="AG1131" s="737" t="n"/>
      <c r="AH1131" s="737" t="n"/>
      <c r="AI1131" s="737" t="n"/>
      <c r="AJ1131" s="737" t="n"/>
      <c r="AK1131" s="588" t="n"/>
      <c r="AL1131" s="588" t="n"/>
      <c r="AM1131" s="588" t="n"/>
      <c r="AN1131" s="588" t="n"/>
      <c r="AO1131" s="588" t="n"/>
      <c r="AP1131" s="588" t="n"/>
      <c r="AQ1131" s="588" t="n"/>
      <c r="AR1131" s="588" t="n"/>
      <c r="AS1131" s="588" t="n"/>
      <c r="AT1131" s="588" t="n"/>
      <c r="AU1131" s="588" t="n"/>
      <c r="AV1131" s="588" t="n"/>
      <c r="AW1131" s="588" t="n"/>
      <c r="AX1131" s="588" t="n"/>
      <c r="AY1131" s="588" t="n"/>
      <c r="AZ1131" s="588" t="n"/>
      <c r="BA1131" s="588" t="n"/>
      <c r="BB1131" s="588" t="n"/>
      <c r="BC1131" s="588" t="n"/>
      <c r="BD1131" s="588" t="n"/>
      <c r="BE1131" s="588" t="n"/>
      <c r="BF1131" s="588" t="n"/>
      <c r="BG1131" s="588" t="n"/>
      <c r="BH1131" s="588" t="n"/>
      <c r="BI1131" s="588" t="n"/>
      <c r="BJ1131" s="588" t="n"/>
      <c r="BK1131" s="588" t="n"/>
      <c r="BL1131" s="588" t="n"/>
      <c r="BM1131" s="588" t="n"/>
      <c r="BN1131" s="588" t="n"/>
      <c r="BO1131" s="588" t="n"/>
      <c r="BP1131" s="588" t="n"/>
      <c r="BQ1131" s="588" t="n"/>
      <c r="BR1131" s="588" t="n"/>
      <c r="BS1131" s="588" t="n"/>
      <c r="BT1131" s="588" t="n"/>
      <c r="BU1131" s="588" t="n"/>
      <c r="BV1131" s="588" t="n"/>
      <c r="BW1131" s="588" t="n"/>
      <c r="BX1131" s="588" t="n"/>
      <c r="BY1131" s="588" t="n"/>
      <c r="BZ1131" s="588" t="n"/>
      <c r="CA1131" s="588" t="n"/>
      <c r="CB1131" s="588" t="n"/>
      <c r="CC1131" s="588" t="n"/>
      <c r="CD1131" s="588" t="n"/>
      <c r="CE1131" s="588" t="n"/>
      <c r="CF1131" s="588" t="n"/>
      <c r="CG1131" s="588" t="n"/>
      <c r="CH1131" s="588" t="n"/>
      <c r="CI1131" s="588" t="n"/>
      <c r="CJ1131" s="588" t="n"/>
      <c r="CK1131" s="588" t="n"/>
      <c r="CL1131" s="588" t="n"/>
      <c r="CM1131" s="588" t="n"/>
      <c r="CN1131" s="588" t="n"/>
      <c r="CO1131" s="588" t="n"/>
      <c r="CP1131" s="588" t="n"/>
      <c r="CQ1131" s="588" t="n"/>
      <c r="CR1131" s="588" t="n"/>
      <c r="CS1131" s="588" t="n"/>
      <c r="CT1131" s="588" t="n"/>
      <c r="CU1131" s="588" t="n"/>
      <c r="CV1131" s="588" t="n"/>
      <c r="CW1131" s="588" t="n"/>
      <c r="CX1131" s="588" t="n"/>
      <c r="CY1131" s="588" t="n"/>
      <c r="CZ1131" s="588" t="n"/>
      <c r="DA1131" s="588" t="n"/>
      <c r="DB1131" s="588" t="n"/>
      <c r="DC1131" s="588" t="n"/>
      <c r="DD1131" s="588" t="n"/>
      <c r="DE1131" s="588" t="n"/>
      <c r="DF1131" s="588" t="n"/>
      <c r="DG1131" s="588" t="n"/>
      <c r="DH1131" s="588" t="n"/>
      <c r="DI1131" s="588" t="n"/>
      <c r="DJ1131" s="588" t="n"/>
      <c r="DK1131" s="588" t="n"/>
      <c r="DL1131" s="588" t="n"/>
      <c r="DM1131" s="588" t="n"/>
      <c r="DN1131" s="588" t="n"/>
      <c r="DO1131" s="588" t="n"/>
      <c r="DP1131" s="588" t="n"/>
      <c r="DQ1131" s="588" t="n"/>
      <c r="DR1131" s="588" t="n"/>
      <c r="DS1131" s="588" t="n"/>
      <c r="DT1131" s="588" t="n"/>
      <c r="DU1131" s="588" t="n"/>
    </row>
    <row r="1132">
      <c r="A1132" s="737" t="n"/>
      <c r="B1132" s="737" t="n"/>
      <c r="C1132" s="737" t="n"/>
      <c r="D1132" s="737" t="n"/>
      <c r="E1132" s="737" t="n"/>
      <c r="F1132" s="737" t="n"/>
      <c r="G1132" s="737" t="n"/>
      <c r="H1132" s="737" t="n"/>
      <c r="I1132" s="737" t="n"/>
      <c r="J1132" s="737" t="n"/>
      <c r="K1132" s="737" t="n"/>
      <c r="L1132" s="737" t="n"/>
      <c r="M1132" s="737" t="n"/>
      <c r="N1132" s="737" t="n"/>
      <c r="O1132" s="737" t="n"/>
      <c r="P1132" s="737" t="n"/>
      <c r="Q1132" s="737" t="n"/>
      <c r="R1132" s="737" t="n"/>
      <c r="S1132" s="737" t="n"/>
      <c r="T1132" s="737" t="n"/>
      <c r="U1132" s="737" t="n"/>
      <c r="V1132" s="737" t="n"/>
      <c r="W1132" s="737" t="n"/>
      <c r="X1132" s="737" t="n"/>
      <c r="Y1132" s="737" t="n"/>
      <c r="Z1132" s="737" t="n"/>
      <c r="AA1132" s="737" t="n"/>
      <c r="AB1132" s="737" t="n"/>
      <c r="AC1132" s="737" t="n"/>
      <c r="AD1132" s="737" t="n"/>
      <c r="AE1132" s="737" t="n"/>
      <c r="AF1132" s="737" t="n"/>
      <c r="AG1132" s="737" t="n"/>
      <c r="AH1132" s="737" t="n"/>
      <c r="AI1132" s="737" t="n"/>
      <c r="AJ1132" s="737" t="n"/>
      <c r="AK1132" s="588" t="n"/>
      <c r="AL1132" s="588" t="n"/>
      <c r="AM1132" s="588" t="n"/>
      <c r="AN1132" s="588" t="n"/>
      <c r="AO1132" s="588" t="n"/>
      <c r="AP1132" s="588" t="n"/>
      <c r="AQ1132" s="588" t="n"/>
      <c r="AR1132" s="588" t="n"/>
      <c r="AS1132" s="588" t="n"/>
      <c r="AT1132" s="588" t="n"/>
      <c r="AU1132" s="588" t="n"/>
      <c r="AV1132" s="588" t="n"/>
      <c r="AW1132" s="588" t="n"/>
      <c r="AX1132" s="588" t="n"/>
      <c r="AY1132" s="588" t="n"/>
      <c r="AZ1132" s="588" t="n"/>
      <c r="BA1132" s="588" t="n"/>
      <c r="BB1132" s="588" t="n"/>
      <c r="BC1132" s="588" t="n"/>
      <c r="BD1132" s="588" t="n"/>
      <c r="BE1132" s="588" t="n"/>
      <c r="BF1132" s="588" t="n"/>
      <c r="BG1132" s="588" t="n"/>
      <c r="BH1132" s="588" t="n"/>
      <c r="BI1132" s="588" t="n"/>
      <c r="BJ1132" s="588" t="n"/>
      <c r="BK1132" s="588" t="n"/>
      <c r="BL1132" s="588" t="n"/>
      <c r="BM1132" s="588" t="n"/>
      <c r="BN1132" s="588" t="n"/>
      <c r="BO1132" s="588" t="n"/>
      <c r="BP1132" s="588" t="n"/>
      <c r="BQ1132" s="588" t="n"/>
      <c r="BR1132" s="588" t="n"/>
      <c r="BS1132" s="588" t="n"/>
      <c r="BT1132" s="588" t="n"/>
      <c r="BU1132" s="588" t="n"/>
      <c r="BV1132" s="588" t="n"/>
      <c r="BW1132" s="588" t="n"/>
      <c r="BX1132" s="588" t="n"/>
      <c r="BY1132" s="588" t="n"/>
      <c r="BZ1132" s="588" t="n"/>
      <c r="CA1132" s="588" t="n"/>
      <c r="CB1132" s="588" t="n"/>
      <c r="CC1132" s="588" t="n"/>
      <c r="CD1132" s="588" t="n"/>
      <c r="CE1132" s="588" t="n"/>
      <c r="CF1132" s="588" t="n"/>
      <c r="CG1132" s="588" t="n"/>
      <c r="CH1132" s="588" t="n"/>
      <c r="CI1132" s="588" t="n"/>
      <c r="CJ1132" s="588" t="n"/>
      <c r="CK1132" s="588" t="n"/>
      <c r="CL1132" s="588" t="n"/>
      <c r="CM1132" s="588" t="n"/>
      <c r="CN1132" s="588" t="n"/>
      <c r="CO1132" s="588" t="n"/>
      <c r="CP1132" s="588" t="n"/>
      <c r="CQ1132" s="588" t="n"/>
      <c r="CR1132" s="588" t="n"/>
      <c r="CS1132" s="588" t="n"/>
      <c r="CT1132" s="588" t="n"/>
      <c r="CU1132" s="588" t="n"/>
      <c r="CV1132" s="588" t="n"/>
      <c r="CW1132" s="588" t="n"/>
      <c r="CX1132" s="588" t="n"/>
      <c r="CY1132" s="588" t="n"/>
      <c r="CZ1132" s="588" t="n"/>
      <c r="DA1132" s="588" t="n"/>
      <c r="DB1132" s="588" t="n"/>
      <c r="DC1132" s="588" t="n"/>
      <c r="DD1132" s="588" t="n"/>
      <c r="DE1132" s="588" t="n"/>
      <c r="DF1132" s="588" t="n"/>
      <c r="DG1132" s="588" t="n"/>
      <c r="DH1132" s="588" t="n"/>
      <c r="DI1132" s="588" t="n"/>
      <c r="DJ1132" s="588" t="n"/>
      <c r="DK1132" s="588" t="n"/>
      <c r="DL1132" s="588" t="n"/>
      <c r="DM1132" s="588" t="n"/>
      <c r="DN1132" s="588" t="n"/>
      <c r="DO1132" s="588" t="n"/>
      <c r="DP1132" s="588" t="n"/>
      <c r="DQ1132" s="588" t="n"/>
      <c r="DR1132" s="588" t="n"/>
      <c r="DS1132" s="588" t="n"/>
      <c r="DT1132" s="588" t="n"/>
      <c r="DU1132" s="588" t="n"/>
    </row>
    <row r="1133">
      <c r="A1133" s="737" t="n"/>
      <c r="B1133" s="737" t="n"/>
      <c r="C1133" s="737" t="n"/>
      <c r="D1133" s="737" t="n"/>
      <c r="E1133" s="737" t="n"/>
      <c r="F1133" s="737" t="n"/>
      <c r="G1133" s="737" t="n"/>
      <c r="H1133" s="737" t="n"/>
      <c r="I1133" s="737" t="n"/>
      <c r="J1133" s="737" t="n"/>
      <c r="K1133" s="737" t="n"/>
      <c r="L1133" s="737" t="n"/>
      <c r="M1133" s="737" t="n"/>
      <c r="N1133" s="737" t="n"/>
      <c r="O1133" s="737" t="n"/>
      <c r="P1133" s="737" t="n"/>
      <c r="Q1133" s="737" t="n"/>
      <c r="R1133" s="737" t="n"/>
      <c r="S1133" s="737" t="n"/>
      <c r="T1133" s="737" t="n"/>
      <c r="U1133" s="737" t="n"/>
      <c r="V1133" s="737" t="n"/>
      <c r="W1133" s="737" t="n"/>
      <c r="X1133" s="737" t="n"/>
      <c r="Y1133" s="737" t="n"/>
      <c r="Z1133" s="737" t="n"/>
      <c r="AA1133" s="737" t="n"/>
      <c r="AB1133" s="737" t="n"/>
      <c r="AC1133" s="737" t="n"/>
      <c r="AD1133" s="737" t="n"/>
      <c r="AE1133" s="737" t="n"/>
      <c r="AF1133" s="737" t="n"/>
      <c r="AG1133" s="737" t="n"/>
      <c r="AH1133" s="737" t="n"/>
      <c r="AI1133" s="737" t="n"/>
      <c r="AJ1133" s="737" t="n"/>
      <c r="AK1133" s="588" t="n"/>
      <c r="AL1133" s="588" t="n"/>
      <c r="AM1133" s="588" t="n"/>
      <c r="AN1133" s="588" t="n"/>
      <c r="AO1133" s="588" t="n"/>
      <c r="AP1133" s="588" t="n"/>
      <c r="AQ1133" s="588" t="n"/>
      <c r="AR1133" s="588" t="n"/>
      <c r="AS1133" s="588" t="n"/>
      <c r="AT1133" s="588" t="n"/>
      <c r="AU1133" s="588" t="n"/>
      <c r="AV1133" s="588" t="n"/>
      <c r="AW1133" s="588" t="n"/>
      <c r="AX1133" s="588" t="n"/>
      <c r="AY1133" s="588" t="n"/>
      <c r="AZ1133" s="588" t="n"/>
      <c r="BA1133" s="588" t="n"/>
      <c r="BB1133" s="588" t="n"/>
      <c r="BC1133" s="588" t="n"/>
      <c r="BD1133" s="588" t="n"/>
      <c r="BE1133" s="588" t="n"/>
      <c r="BF1133" s="588" t="n"/>
      <c r="BG1133" s="588" t="n"/>
      <c r="BH1133" s="588" t="n"/>
      <c r="BI1133" s="588" t="n"/>
      <c r="BJ1133" s="588" t="n"/>
      <c r="BK1133" s="588" t="n"/>
      <c r="BL1133" s="588" t="n"/>
      <c r="BM1133" s="588" t="n"/>
      <c r="BN1133" s="588" t="n"/>
      <c r="BO1133" s="588" t="n"/>
      <c r="BP1133" s="588" t="n"/>
      <c r="BQ1133" s="588" t="n"/>
      <c r="BR1133" s="588" t="n"/>
      <c r="BS1133" s="588" t="n"/>
      <c r="BT1133" s="588" t="n"/>
      <c r="BU1133" s="588" t="n"/>
      <c r="BV1133" s="588" t="n"/>
      <c r="BW1133" s="588" t="n"/>
      <c r="BX1133" s="588" t="n"/>
      <c r="BY1133" s="588" t="n"/>
      <c r="BZ1133" s="588" t="n"/>
      <c r="CA1133" s="588" t="n"/>
      <c r="CB1133" s="588" t="n"/>
      <c r="CC1133" s="588" t="n"/>
      <c r="CD1133" s="588" t="n"/>
      <c r="CE1133" s="588" t="n"/>
      <c r="CF1133" s="588" t="n"/>
      <c r="CG1133" s="588" t="n"/>
      <c r="CH1133" s="588" t="n"/>
      <c r="CI1133" s="588" t="n"/>
      <c r="CJ1133" s="588" t="n"/>
      <c r="CK1133" s="588" t="n"/>
      <c r="CL1133" s="588" t="n"/>
      <c r="CM1133" s="588" t="n"/>
      <c r="CN1133" s="588" t="n"/>
      <c r="CO1133" s="588" t="n"/>
      <c r="CP1133" s="588" t="n"/>
      <c r="CQ1133" s="588" t="n"/>
      <c r="CR1133" s="588" t="n"/>
      <c r="CS1133" s="588" t="n"/>
      <c r="CT1133" s="588" t="n"/>
      <c r="CU1133" s="588" t="n"/>
      <c r="CV1133" s="588" t="n"/>
      <c r="CW1133" s="588" t="n"/>
      <c r="CX1133" s="588" t="n"/>
      <c r="CY1133" s="588" t="n"/>
      <c r="CZ1133" s="588" t="n"/>
      <c r="DA1133" s="588" t="n"/>
      <c r="DB1133" s="588" t="n"/>
      <c r="DC1133" s="588" t="n"/>
      <c r="DD1133" s="588" t="n"/>
      <c r="DE1133" s="588" t="n"/>
      <c r="DF1133" s="588" t="n"/>
      <c r="DG1133" s="588" t="n"/>
      <c r="DH1133" s="588" t="n"/>
      <c r="DI1133" s="588" t="n"/>
      <c r="DJ1133" s="588" t="n"/>
      <c r="DK1133" s="588" t="n"/>
      <c r="DL1133" s="588" t="n"/>
      <c r="DM1133" s="588" t="n"/>
      <c r="DN1133" s="588" t="n"/>
      <c r="DO1133" s="588" t="n"/>
      <c r="DP1133" s="588" t="n"/>
      <c r="DQ1133" s="588" t="n"/>
      <c r="DR1133" s="588" t="n"/>
      <c r="DS1133" s="588" t="n"/>
      <c r="DT1133" s="588" t="n"/>
      <c r="DU1133" s="588" t="n"/>
    </row>
    <row r="1134">
      <c r="A1134" s="737" t="n"/>
      <c r="B1134" s="737" t="n"/>
      <c r="C1134" s="737" t="n"/>
      <c r="D1134" s="737" t="n"/>
      <c r="E1134" s="737" t="n"/>
      <c r="F1134" s="737" t="n"/>
      <c r="G1134" s="737" t="n"/>
      <c r="H1134" s="737" t="n"/>
      <c r="I1134" s="737" t="n"/>
      <c r="J1134" s="737" t="n"/>
      <c r="K1134" s="737" t="n"/>
      <c r="L1134" s="737" t="n"/>
      <c r="M1134" s="737" t="n"/>
      <c r="N1134" s="737" t="n"/>
      <c r="O1134" s="737" t="n"/>
      <c r="P1134" s="737" t="n"/>
      <c r="Q1134" s="737" t="n"/>
      <c r="R1134" s="737" t="n"/>
      <c r="S1134" s="737" t="n"/>
      <c r="T1134" s="737" t="n"/>
      <c r="U1134" s="737" t="n"/>
      <c r="V1134" s="737" t="n"/>
      <c r="W1134" s="737" t="n"/>
      <c r="X1134" s="737" t="n"/>
      <c r="Y1134" s="737" t="n"/>
      <c r="Z1134" s="737" t="n"/>
      <c r="AA1134" s="737" t="n"/>
      <c r="AB1134" s="737" t="n"/>
      <c r="AC1134" s="737" t="n"/>
      <c r="AD1134" s="737" t="n"/>
      <c r="AE1134" s="737" t="n"/>
      <c r="AF1134" s="737" t="n"/>
      <c r="AG1134" s="737" t="n"/>
      <c r="AH1134" s="737" t="n"/>
      <c r="AI1134" s="737" t="n"/>
      <c r="AJ1134" s="737" t="n"/>
      <c r="AK1134" s="588" t="n"/>
      <c r="AL1134" s="588" t="n"/>
      <c r="AM1134" s="588" t="n"/>
      <c r="AN1134" s="588" t="n"/>
      <c r="AO1134" s="588" t="n"/>
      <c r="AP1134" s="588" t="n"/>
      <c r="AQ1134" s="588" t="n"/>
      <c r="AR1134" s="588" t="n"/>
      <c r="AS1134" s="588" t="n"/>
      <c r="AT1134" s="588" t="n"/>
      <c r="AU1134" s="588" t="n"/>
      <c r="AV1134" s="588" t="n"/>
      <c r="AW1134" s="588" t="n"/>
      <c r="AX1134" s="588" t="n"/>
      <c r="AY1134" s="588" t="n"/>
      <c r="AZ1134" s="588" t="n"/>
      <c r="BA1134" s="588" t="n"/>
      <c r="BB1134" s="588" t="n"/>
      <c r="BC1134" s="588" t="n"/>
      <c r="BD1134" s="588" t="n"/>
      <c r="BE1134" s="588" t="n"/>
      <c r="BF1134" s="588" t="n"/>
      <c r="BG1134" s="588" t="n"/>
      <c r="BH1134" s="588" t="n"/>
      <c r="BI1134" s="588" t="n"/>
      <c r="BJ1134" s="588" t="n"/>
      <c r="BK1134" s="588" t="n"/>
      <c r="BL1134" s="588" t="n"/>
      <c r="BM1134" s="588" t="n"/>
      <c r="BN1134" s="588" t="n"/>
      <c r="BO1134" s="588" t="n"/>
      <c r="BP1134" s="588" t="n"/>
      <c r="BQ1134" s="588" t="n"/>
      <c r="BR1134" s="588" t="n"/>
      <c r="BS1134" s="588" t="n"/>
      <c r="BT1134" s="588" t="n"/>
      <c r="BU1134" s="588" t="n"/>
      <c r="BV1134" s="588" t="n"/>
      <c r="BW1134" s="588" t="n"/>
      <c r="BX1134" s="588" t="n"/>
      <c r="BY1134" s="588" t="n"/>
      <c r="BZ1134" s="588" t="n"/>
      <c r="CA1134" s="588" t="n"/>
      <c r="CB1134" s="588" t="n"/>
      <c r="CC1134" s="588" t="n"/>
      <c r="CD1134" s="588" t="n"/>
      <c r="CE1134" s="588" t="n"/>
      <c r="CF1134" s="588" t="n"/>
      <c r="CG1134" s="588" t="n"/>
      <c r="CH1134" s="588" t="n"/>
      <c r="CI1134" s="588" t="n"/>
      <c r="CJ1134" s="588" t="n"/>
      <c r="CK1134" s="588" t="n"/>
      <c r="CL1134" s="588" t="n"/>
      <c r="CM1134" s="588" t="n"/>
      <c r="CN1134" s="588" t="n"/>
      <c r="CO1134" s="588" t="n"/>
      <c r="CP1134" s="588" t="n"/>
      <c r="CQ1134" s="588" t="n"/>
      <c r="CR1134" s="588" t="n"/>
      <c r="CS1134" s="588" t="n"/>
      <c r="CT1134" s="588" t="n"/>
      <c r="CU1134" s="588" t="n"/>
      <c r="CV1134" s="588" t="n"/>
      <c r="CW1134" s="588" t="n"/>
      <c r="CX1134" s="588" t="n"/>
      <c r="CY1134" s="588" t="n"/>
      <c r="CZ1134" s="588" t="n"/>
      <c r="DA1134" s="588" t="n"/>
      <c r="DB1134" s="588" t="n"/>
      <c r="DC1134" s="588" t="n"/>
      <c r="DD1134" s="588" t="n"/>
      <c r="DE1134" s="588" t="n"/>
      <c r="DF1134" s="588" t="n"/>
      <c r="DG1134" s="588" t="n"/>
      <c r="DH1134" s="588" t="n"/>
      <c r="DI1134" s="588" t="n"/>
      <c r="DJ1134" s="588" t="n"/>
      <c r="DK1134" s="588" t="n"/>
      <c r="DL1134" s="588" t="n"/>
      <c r="DM1134" s="588" t="n"/>
      <c r="DN1134" s="588" t="n"/>
      <c r="DO1134" s="588" t="n"/>
      <c r="DP1134" s="588" t="n"/>
      <c r="DQ1134" s="588" t="n"/>
      <c r="DR1134" s="588" t="n"/>
      <c r="DS1134" s="588" t="n"/>
      <c r="DT1134" s="588" t="n"/>
      <c r="DU1134" s="588" t="n"/>
    </row>
    <row r="1135">
      <c r="A1135" s="737" t="n"/>
      <c r="B1135" s="737" t="n"/>
      <c r="C1135" s="737" t="n"/>
      <c r="D1135" s="737" t="n"/>
      <c r="E1135" s="737" t="n"/>
      <c r="F1135" s="737" t="n"/>
      <c r="G1135" s="737" t="n"/>
      <c r="H1135" s="737" t="n"/>
      <c r="I1135" s="737" t="n"/>
      <c r="J1135" s="737" t="n"/>
      <c r="K1135" s="737" t="n"/>
      <c r="L1135" s="737" t="n"/>
      <c r="M1135" s="737" t="n"/>
      <c r="N1135" s="737" t="n"/>
      <c r="O1135" s="737" t="n"/>
      <c r="P1135" s="737" t="n"/>
      <c r="Q1135" s="737" t="n"/>
      <c r="R1135" s="737" t="n"/>
      <c r="S1135" s="737" t="n"/>
      <c r="T1135" s="737" t="n"/>
      <c r="U1135" s="737" t="n"/>
      <c r="V1135" s="737" t="n"/>
      <c r="W1135" s="737" t="n"/>
      <c r="X1135" s="737" t="n"/>
      <c r="Y1135" s="737" t="n"/>
      <c r="Z1135" s="737" t="n"/>
      <c r="AA1135" s="737" t="n"/>
      <c r="AB1135" s="737" t="n"/>
      <c r="AC1135" s="737" t="n"/>
      <c r="AD1135" s="737" t="n"/>
      <c r="AE1135" s="737" t="n"/>
      <c r="AF1135" s="737" t="n"/>
      <c r="AG1135" s="737" t="n"/>
      <c r="AH1135" s="737" t="n"/>
      <c r="AI1135" s="737" t="n"/>
      <c r="AJ1135" s="737" t="n"/>
      <c r="AK1135" s="588" t="n"/>
      <c r="AL1135" s="588" t="n"/>
      <c r="AM1135" s="588" t="n"/>
      <c r="AN1135" s="588" t="n"/>
      <c r="AO1135" s="588" t="n"/>
      <c r="AP1135" s="588" t="n"/>
      <c r="AQ1135" s="588" t="n"/>
      <c r="AR1135" s="588" t="n"/>
      <c r="AS1135" s="588" t="n"/>
      <c r="AT1135" s="588" t="n"/>
      <c r="AU1135" s="588" t="n"/>
      <c r="AV1135" s="588" t="n"/>
      <c r="AW1135" s="588" t="n"/>
      <c r="AX1135" s="588" t="n"/>
      <c r="AY1135" s="588" t="n"/>
      <c r="AZ1135" s="588" t="n"/>
      <c r="BA1135" s="588" t="n"/>
      <c r="BB1135" s="588" t="n"/>
      <c r="BC1135" s="588" t="n"/>
      <c r="BD1135" s="588" t="n"/>
      <c r="BE1135" s="588" t="n"/>
      <c r="BF1135" s="588" t="n"/>
      <c r="BG1135" s="588" t="n"/>
      <c r="BH1135" s="588" t="n"/>
      <c r="BI1135" s="588" t="n"/>
      <c r="BJ1135" s="588" t="n"/>
      <c r="BK1135" s="588" t="n"/>
      <c r="BL1135" s="588" t="n"/>
      <c r="BM1135" s="588" t="n"/>
      <c r="BN1135" s="588" t="n"/>
      <c r="BO1135" s="588" t="n"/>
      <c r="BP1135" s="588" t="n"/>
      <c r="BQ1135" s="588" t="n"/>
      <c r="BR1135" s="588" t="n"/>
      <c r="BS1135" s="588" t="n"/>
      <c r="BT1135" s="588" t="n"/>
      <c r="BU1135" s="588" t="n"/>
      <c r="BV1135" s="588" t="n"/>
      <c r="BW1135" s="588" t="n"/>
      <c r="BX1135" s="588" t="n"/>
      <c r="BY1135" s="588" t="n"/>
      <c r="BZ1135" s="588" t="n"/>
      <c r="CA1135" s="588" t="n"/>
      <c r="CB1135" s="588" t="n"/>
      <c r="CC1135" s="588" t="n"/>
      <c r="CD1135" s="588" t="n"/>
      <c r="CE1135" s="588" t="n"/>
      <c r="CF1135" s="588" t="n"/>
      <c r="CG1135" s="588" t="n"/>
      <c r="CH1135" s="588" t="n"/>
      <c r="CI1135" s="588" t="n"/>
      <c r="CJ1135" s="588" t="n"/>
      <c r="CK1135" s="588" t="n"/>
      <c r="CL1135" s="588" t="n"/>
      <c r="CM1135" s="588" t="n"/>
      <c r="CN1135" s="588" t="n"/>
      <c r="CO1135" s="588" t="n"/>
      <c r="CP1135" s="588" t="n"/>
      <c r="CQ1135" s="588" t="n"/>
      <c r="CR1135" s="588" t="n"/>
      <c r="CS1135" s="588" t="n"/>
      <c r="CT1135" s="588" t="n"/>
      <c r="CU1135" s="588" t="n"/>
      <c r="CV1135" s="588" t="n"/>
      <c r="CW1135" s="588" t="n"/>
      <c r="CX1135" s="588" t="n"/>
      <c r="CY1135" s="588" t="n"/>
      <c r="CZ1135" s="588" t="n"/>
      <c r="DA1135" s="588" t="n"/>
      <c r="DB1135" s="588" t="n"/>
      <c r="DC1135" s="588" t="n"/>
      <c r="DD1135" s="588" t="n"/>
      <c r="DE1135" s="588" t="n"/>
      <c r="DF1135" s="588" t="n"/>
      <c r="DG1135" s="588" t="n"/>
      <c r="DH1135" s="588" t="n"/>
      <c r="DI1135" s="588" t="n"/>
      <c r="DJ1135" s="588" t="n"/>
      <c r="DK1135" s="588" t="n"/>
      <c r="DL1135" s="588" t="n"/>
      <c r="DM1135" s="588" t="n"/>
      <c r="DN1135" s="588" t="n"/>
      <c r="DO1135" s="588" t="n"/>
      <c r="DP1135" s="588" t="n"/>
      <c r="DQ1135" s="588" t="n"/>
      <c r="DR1135" s="588" t="n"/>
      <c r="DS1135" s="588" t="n"/>
      <c r="DT1135" s="588" t="n"/>
      <c r="DU1135" s="588" t="n"/>
    </row>
    <row r="1136">
      <c r="A1136" s="737" t="n"/>
      <c r="B1136" s="737" t="n"/>
      <c r="C1136" s="737" t="n"/>
      <c r="D1136" s="737" t="n"/>
      <c r="E1136" s="737" t="n"/>
      <c r="F1136" s="737" t="n"/>
      <c r="G1136" s="737" t="n"/>
      <c r="H1136" s="737" t="n"/>
      <c r="I1136" s="737" t="n"/>
      <c r="J1136" s="737" t="n"/>
      <c r="K1136" s="737" t="n"/>
      <c r="L1136" s="737" t="n"/>
      <c r="M1136" s="737" t="n"/>
      <c r="N1136" s="737" t="n"/>
      <c r="O1136" s="737" t="n"/>
      <c r="P1136" s="737" t="n"/>
      <c r="Q1136" s="737" t="n"/>
      <c r="R1136" s="737" t="n"/>
      <c r="S1136" s="737" t="n"/>
      <c r="T1136" s="737" t="n"/>
      <c r="U1136" s="737" t="n"/>
      <c r="V1136" s="737" t="n"/>
      <c r="W1136" s="737" t="n"/>
      <c r="X1136" s="737" t="n"/>
      <c r="Y1136" s="737" t="n"/>
      <c r="Z1136" s="737" t="n"/>
      <c r="AA1136" s="737" t="n"/>
      <c r="AB1136" s="737" t="n"/>
      <c r="AC1136" s="737" t="n"/>
      <c r="AD1136" s="737" t="n"/>
      <c r="AE1136" s="737" t="n"/>
      <c r="AF1136" s="737" t="n"/>
      <c r="AG1136" s="737" t="n"/>
      <c r="AH1136" s="737" t="n"/>
      <c r="AI1136" s="737" t="n"/>
      <c r="AJ1136" s="737" t="n"/>
      <c r="AK1136" s="588" t="n"/>
      <c r="AL1136" s="588" t="n"/>
      <c r="AM1136" s="588" t="n"/>
      <c r="AN1136" s="588" t="n"/>
      <c r="AO1136" s="588" t="n"/>
      <c r="AP1136" s="588" t="n"/>
      <c r="AQ1136" s="588" t="n"/>
      <c r="AR1136" s="588" t="n"/>
      <c r="AS1136" s="588" t="n"/>
      <c r="AT1136" s="588" t="n"/>
      <c r="AU1136" s="588" t="n"/>
      <c r="AV1136" s="588" t="n"/>
      <c r="AW1136" s="588" t="n"/>
      <c r="AX1136" s="588" t="n"/>
      <c r="AY1136" s="588" t="n"/>
      <c r="AZ1136" s="588" t="n"/>
      <c r="BA1136" s="588" t="n"/>
      <c r="BB1136" s="588" t="n"/>
      <c r="BC1136" s="588" t="n"/>
      <c r="BD1136" s="588" t="n"/>
      <c r="BE1136" s="588" t="n"/>
      <c r="BF1136" s="588" t="n"/>
      <c r="BG1136" s="588" t="n"/>
      <c r="BH1136" s="588" t="n"/>
      <c r="BI1136" s="588" t="n"/>
      <c r="BJ1136" s="588" t="n"/>
      <c r="BK1136" s="588" t="n"/>
      <c r="BL1136" s="588" t="n"/>
      <c r="BM1136" s="588" t="n"/>
      <c r="BN1136" s="588" t="n"/>
      <c r="BO1136" s="588" t="n"/>
      <c r="BP1136" s="588" t="n"/>
      <c r="BQ1136" s="588" t="n"/>
      <c r="BR1136" s="588" t="n"/>
      <c r="BS1136" s="588" t="n"/>
      <c r="BT1136" s="588" t="n"/>
      <c r="BU1136" s="588" t="n"/>
      <c r="BV1136" s="588" t="n"/>
      <c r="BW1136" s="588" t="n"/>
      <c r="BX1136" s="588" t="n"/>
      <c r="BY1136" s="588" t="n"/>
      <c r="BZ1136" s="588" t="n"/>
      <c r="CA1136" s="588" t="n"/>
      <c r="CB1136" s="588" t="n"/>
      <c r="CC1136" s="588" t="n"/>
      <c r="CD1136" s="588" t="n"/>
      <c r="CE1136" s="588" t="n"/>
      <c r="CF1136" s="588" t="n"/>
      <c r="CG1136" s="588" t="n"/>
      <c r="CH1136" s="588" t="n"/>
      <c r="CI1136" s="588" t="n"/>
      <c r="CJ1136" s="588" t="n"/>
      <c r="CK1136" s="588" t="n"/>
      <c r="CL1136" s="588" t="n"/>
      <c r="CM1136" s="588" t="n"/>
      <c r="CN1136" s="588" t="n"/>
      <c r="CO1136" s="588" t="n"/>
      <c r="CP1136" s="588" t="n"/>
      <c r="CQ1136" s="588" t="n"/>
      <c r="CR1136" s="588" t="n"/>
      <c r="CS1136" s="588" t="n"/>
      <c r="CT1136" s="588" t="n"/>
      <c r="CU1136" s="588" t="n"/>
      <c r="CV1136" s="588" t="n"/>
      <c r="CW1136" s="588" t="n"/>
      <c r="CX1136" s="588" t="n"/>
      <c r="CY1136" s="588" t="n"/>
      <c r="CZ1136" s="588" t="n"/>
      <c r="DA1136" s="588" t="n"/>
      <c r="DB1136" s="588" t="n"/>
      <c r="DC1136" s="588" t="n"/>
      <c r="DD1136" s="588" t="n"/>
      <c r="DE1136" s="588" t="n"/>
      <c r="DF1136" s="588" t="n"/>
      <c r="DG1136" s="588" t="n"/>
      <c r="DH1136" s="588" t="n"/>
      <c r="DI1136" s="588" t="n"/>
      <c r="DJ1136" s="588" t="n"/>
      <c r="DK1136" s="588" t="n"/>
      <c r="DL1136" s="588" t="n"/>
      <c r="DM1136" s="588" t="n"/>
      <c r="DN1136" s="588" t="n"/>
      <c r="DO1136" s="588" t="n"/>
      <c r="DP1136" s="588" t="n"/>
      <c r="DQ1136" s="588" t="n"/>
      <c r="DR1136" s="588" t="n"/>
      <c r="DS1136" s="588" t="n"/>
      <c r="DT1136" s="588" t="n"/>
      <c r="DU1136" s="588" t="n"/>
    </row>
    <row r="1137">
      <c r="A1137" s="737" t="n"/>
      <c r="B1137" s="737" t="n"/>
      <c r="C1137" s="737" t="n"/>
      <c r="D1137" s="737" t="n"/>
      <c r="E1137" s="737" t="n"/>
      <c r="F1137" s="737" t="n"/>
      <c r="G1137" s="737" t="n"/>
      <c r="H1137" s="737" t="n"/>
      <c r="I1137" s="737" t="n"/>
      <c r="J1137" s="737" t="n"/>
      <c r="K1137" s="737" t="n"/>
      <c r="L1137" s="737" t="n"/>
      <c r="M1137" s="737" t="n"/>
      <c r="N1137" s="737" t="n"/>
      <c r="O1137" s="737" t="n"/>
      <c r="P1137" s="737" t="n"/>
      <c r="Q1137" s="737" t="n"/>
      <c r="R1137" s="737" t="n"/>
      <c r="S1137" s="737" t="n"/>
      <c r="T1137" s="737" t="n"/>
      <c r="U1137" s="737" t="n"/>
      <c r="V1137" s="737" t="n"/>
      <c r="W1137" s="737" t="n"/>
      <c r="X1137" s="737" t="n"/>
      <c r="Y1137" s="737" t="n"/>
      <c r="Z1137" s="737" t="n"/>
      <c r="AA1137" s="737" t="n"/>
      <c r="AB1137" s="737" t="n"/>
      <c r="AC1137" s="737" t="n"/>
      <c r="AD1137" s="737" t="n"/>
      <c r="AE1137" s="737" t="n"/>
      <c r="AF1137" s="737" t="n"/>
      <c r="AG1137" s="737" t="n"/>
      <c r="AH1137" s="737" t="n"/>
      <c r="AI1137" s="737" t="n"/>
      <c r="AJ1137" s="737" t="n"/>
      <c r="AK1137" s="588" t="n"/>
      <c r="AL1137" s="588" t="n"/>
      <c r="AM1137" s="588" t="n"/>
      <c r="AN1137" s="588" t="n"/>
      <c r="AO1137" s="588" t="n"/>
      <c r="AP1137" s="588" t="n"/>
      <c r="AQ1137" s="588" t="n"/>
      <c r="AR1137" s="588" t="n"/>
      <c r="AS1137" s="588" t="n"/>
      <c r="AT1137" s="588" t="n"/>
      <c r="AU1137" s="588" t="n"/>
      <c r="AV1137" s="588" t="n"/>
      <c r="AW1137" s="588" t="n"/>
      <c r="AX1137" s="588" t="n"/>
      <c r="AY1137" s="588" t="n"/>
      <c r="AZ1137" s="588" t="n"/>
      <c r="BA1137" s="588" t="n"/>
      <c r="BB1137" s="588" t="n"/>
      <c r="BC1137" s="588" t="n"/>
      <c r="BD1137" s="588" t="n"/>
      <c r="BE1137" s="588" t="n"/>
      <c r="BF1137" s="588" t="n"/>
      <c r="BG1137" s="588" t="n"/>
      <c r="BH1137" s="588" t="n"/>
      <c r="BI1137" s="588" t="n"/>
      <c r="BJ1137" s="588" t="n"/>
      <c r="BK1137" s="588" t="n"/>
      <c r="BL1137" s="588" t="n"/>
      <c r="BM1137" s="588" t="n"/>
      <c r="BN1137" s="588" t="n"/>
      <c r="BO1137" s="588" t="n"/>
      <c r="BP1137" s="588" t="n"/>
      <c r="BQ1137" s="588" t="n"/>
      <c r="BR1137" s="588" t="n"/>
      <c r="BS1137" s="588" t="n"/>
      <c r="BT1137" s="588" t="n"/>
      <c r="BU1137" s="588" t="n"/>
      <c r="BV1137" s="588" t="n"/>
      <c r="BW1137" s="588" t="n"/>
      <c r="BX1137" s="588" t="n"/>
      <c r="BY1137" s="588" t="n"/>
      <c r="BZ1137" s="588" t="n"/>
      <c r="CA1137" s="588" t="n"/>
      <c r="CB1137" s="588" t="n"/>
      <c r="CC1137" s="588" t="n"/>
      <c r="CD1137" s="588" t="n"/>
      <c r="CE1137" s="588" t="n"/>
      <c r="CF1137" s="588" t="n"/>
      <c r="CG1137" s="588" t="n"/>
      <c r="CH1137" s="588" t="n"/>
      <c r="CI1137" s="588" t="n"/>
      <c r="CJ1137" s="588" t="n"/>
      <c r="CK1137" s="588" t="n"/>
      <c r="CL1137" s="588" t="n"/>
      <c r="CM1137" s="588" t="n"/>
      <c r="CN1137" s="588" t="n"/>
      <c r="CO1137" s="588" t="n"/>
      <c r="CP1137" s="588" t="n"/>
      <c r="CQ1137" s="588" t="n"/>
      <c r="CR1137" s="588" t="n"/>
      <c r="CS1137" s="588" t="n"/>
      <c r="CT1137" s="588" t="n"/>
      <c r="CU1137" s="588" t="n"/>
      <c r="CV1137" s="588" t="n"/>
      <c r="CW1137" s="588" t="n"/>
      <c r="CX1137" s="588" t="n"/>
      <c r="CY1137" s="588" t="n"/>
      <c r="CZ1137" s="588" t="n"/>
      <c r="DA1137" s="588" t="n"/>
      <c r="DB1137" s="588" t="n"/>
      <c r="DC1137" s="588" t="n"/>
      <c r="DD1137" s="588" t="n"/>
      <c r="DE1137" s="588" t="n"/>
      <c r="DF1137" s="588" t="n"/>
      <c r="DG1137" s="588" t="n"/>
      <c r="DH1137" s="588" t="n"/>
      <c r="DI1137" s="588" t="n"/>
      <c r="DJ1137" s="588" t="n"/>
      <c r="DK1137" s="588" t="n"/>
      <c r="DL1137" s="588" t="n"/>
      <c r="DM1137" s="588" t="n"/>
      <c r="DN1137" s="588" t="n"/>
      <c r="DO1137" s="588" t="n"/>
      <c r="DP1137" s="588" t="n"/>
      <c r="DQ1137" s="588" t="n"/>
      <c r="DR1137" s="588" t="n"/>
      <c r="DS1137" s="588" t="n"/>
      <c r="DT1137" s="588" t="n"/>
      <c r="DU1137" s="588" t="n"/>
    </row>
    <row r="1138">
      <c r="A1138" s="737" t="n"/>
      <c r="B1138" s="737" t="n"/>
      <c r="C1138" s="737" t="n"/>
      <c r="D1138" s="737" t="n"/>
      <c r="E1138" s="737" t="n"/>
      <c r="F1138" s="737" t="n"/>
      <c r="G1138" s="737" t="n"/>
      <c r="H1138" s="737" t="n"/>
      <c r="I1138" s="737" t="n"/>
      <c r="J1138" s="737" t="n"/>
      <c r="K1138" s="737" t="n"/>
      <c r="L1138" s="737" t="n"/>
      <c r="M1138" s="737" t="n"/>
      <c r="N1138" s="737" t="n"/>
      <c r="O1138" s="737" t="n"/>
      <c r="P1138" s="737" t="n"/>
      <c r="Q1138" s="737" t="n"/>
      <c r="R1138" s="737" t="n"/>
      <c r="S1138" s="737" t="n"/>
      <c r="T1138" s="737" t="n"/>
      <c r="U1138" s="737" t="n"/>
      <c r="V1138" s="737" t="n"/>
      <c r="W1138" s="737" t="n"/>
      <c r="X1138" s="737" t="n"/>
      <c r="Y1138" s="737" t="n"/>
      <c r="Z1138" s="737" t="n"/>
      <c r="AA1138" s="737" t="n"/>
      <c r="AB1138" s="737" t="n"/>
      <c r="AC1138" s="737" t="n"/>
      <c r="AD1138" s="737" t="n"/>
      <c r="AE1138" s="737" t="n"/>
      <c r="AF1138" s="737" t="n"/>
      <c r="AG1138" s="737" t="n"/>
      <c r="AH1138" s="737" t="n"/>
      <c r="AI1138" s="737" t="n"/>
      <c r="AJ1138" s="737" t="n"/>
      <c r="AK1138" s="588" t="n"/>
      <c r="AL1138" s="588" t="n"/>
      <c r="AM1138" s="588" t="n"/>
      <c r="AN1138" s="588" t="n"/>
      <c r="AO1138" s="588" t="n"/>
      <c r="AP1138" s="588" t="n"/>
      <c r="AQ1138" s="588" t="n"/>
      <c r="AR1138" s="588" t="n"/>
      <c r="AS1138" s="588" t="n"/>
      <c r="AT1138" s="588" t="n"/>
      <c r="AU1138" s="588" t="n"/>
      <c r="AV1138" s="588" t="n"/>
      <c r="AW1138" s="588" t="n"/>
      <c r="AX1138" s="588" t="n"/>
      <c r="AY1138" s="588" t="n"/>
      <c r="AZ1138" s="588" t="n"/>
      <c r="BA1138" s="588" t="n"/>
      <c r="BB1138" s="588" t="n"/>
      <c r="BC1138" s="588" t="n"/>
      <c r="BD1138" s="588" t="n"/>
      <c r="BE1138" s="588" t="n"/>
      <c r="BF1138" s="588" t="n"/>
      <c r="BG1138" s="588" t="n"/>
      <c r="BH1138" s="588" t="n"/>
      <c r="BI1138" s="588" t="n"/>
      <c r="BJ1138" s="588" t="n"/>
      <c r="BK1138" s="588" t="n"/>
      <c r="BL1138" s="588" t="n"/>
      <c r="BM1138" s="588" t="n"/>
      <c r="BN1138" s="588" t="n"/>
      <c r="BO1138" s="588" t="n"/>
      <c r="BP1138" s="588" t="n"/>
      <c r="BQ1138" s="588" t="n"/>
      <c r="BR1138" s="588" t="n"/>
      <c r="BS1138" s="588" t="n"/>
      <c r="BT1138" s="588" t="n"/>
      <c r="BU1138" s="588" t="n"/>
      <c r="BV1138" s="588" t="n"/>
      <c r="BW1138" s="588" t="n"/>
      <c r="BX1138" s="588" t="n"/>
      <c r="BY1138" s="588" t="n"/>
      <c r="BZ1138" s="588" t="n"/>
      <c r="CA1138" s="588" t="n"/>
      <c r="CB1138" s="588" t="n"/>
      <c r="CC1138" s="588" t="n"/>
      <c r="CD1138" s="588" t="n"/>
      <c r="CE1138" s="588" t="n"/>
      <c r="CF1138" s="588" t="n"/>
      <c r="CG1138" s="588" t="n"/>
      <c r="CH1138" s="588" t="n"/>
      <c r="CI1138" s="588" t="n"/>
      <c r="CJ1138" s="588" t="n"/>
      <c r="CK1138" s="588" t="n"/>
      <c r="CL1138" s="588" t="n"/>
      <c r="CM1138" s="588" t="n"/>
      <c r="CN1138" s="588" t="n"/>
      <c r="CO1138" s="588" t="n"/>
      <c r="CP1138" s="588" t="n"/>
      <c r="CQ1138" s="588" t="n"/>
      <c r="CR1138" s="588" t="n"/>
      <c r="CS1138" s="588" t="n"/>
      <c r="CT1138" s="588" t="n"/>
      <c r="CU1138" s="588" t="n"/>
      <c r="CV1138" s="588" t="n"/>
      <c r="CW1138" s="588" t="n"/>
      <c r="CX1138" s="588" t="n"/>
      <c r="CY1138" s="588" t="n"/>
      <c r="CZ1138" s="588" t="n"/>
      <c r="DA1138" s="588" t="n"/>
      <c r="DB1138" s="588" t="n"/>
      <c r="DC1138" s="588" t="n"/>
      <c r="DD1138" s="588" t="n"/>
      <c r="DE1138" s="588" t="n"/>
      <c r="DF1138" s="588" t="n"/>
      <c r="DG1138" s="588" t="n"/>
      <c r="DH1138" s="588" t="n"/>
      <c r="DI1138" s="588" t="n"/>
      <c r="DJ1138" s="588" t="n"/>
      <c r="DK1138" s="588" t="n"/>
      <c r="DL1138" s="588" t="n"/>
      <c r="DM1138" s="588" t="n"/>
      <c r="DN1138" s="588" t="n"/>
      <c r="DO1138" s="588" t="n"/>
      <c r="DP1138" s="588" t="n"/>
      <c r="DQ1138" s="588" t="n"/>
      <c r="DR1138" s="588" t="n"/>
      <c r="DS1138" s="588" t="n"/>
      <c r="DT1138" s="588" t="n"/>
      <c r="DU1138" s="588" t="n"/>
    </row>
    <row r="1139">
      <c r="A1139" s="737" t="n"/>
      <c r="B1139" s="737" t="n"/>
      <c r="C1139" s="737" t="n"/>
      <c r="D1139" s="737" t="n"/>
      <c r="E1139" s="737" t="n"/>
      <c r="F1139" s="737" t="n"/>
      <c r="G1139" s="737" t="n"/>
      <c r="H1139" s="737" t="n"/>
      <c r="I1139" s="737" t="n"/>
      <c r="J1139" s="737" t="n"/>
      <c r="K1139" s="737" t="n"/>
      <c r="L1139" s="737" t="n"/>
      <c r="M1139" s="737" t="n"/>
      <c r="N1139" s="737" t="n"/>
      <c r="O1139" s="737" t="n"/>
      <c r="P1139" s="737" t="n"/>
      <c r="Q1139" s="737" t="n"/>
      <c r="R1139" s="737" t="n"/>
      <c r="S1139" s="737" t="n"/>
      <c r="T1139" s="737" t="n"/>
      <c r="U1139" s="737" t="n"/>
      <c r="V1139" s="737" t="n"/>
      <c r="W1139" s="737" t="n"/>
      <c r="X1139" s="737" t="n"/>
      <c r="Y1139" s="737" t="n"/>
      <c r="Z1139" s="737" t="n"/>
      <c r="AA1139" s="737" t="n"/>
      <c r="AB1139" s="737" t="n"/>
      <c r="AC1139" s="737" t="n"/>
      <c r="AD1139" s="737" t="n"/>
      <c r="AE1139" s="737" t="n"/>
      <c r="AF1139" s="737" t="n"/>
      <c r="AG1139" s="737" t="n"/>
      <c r="AH1139" s="737" t="n"/>
      <c r="AI1139" s="737" t="n"/>
      <c r="AJ1139" s="737" t="n"/>
      <c r="AK1139" s="588" t="n"/>
      <c r="AL1139" s="588" t="n"/>
      <c r="AM1139" s="588" t="n"/>
      <c r="AN1139" s="588" t="n"/>
      <c r="AO1139" s="588" t="n"/>
      <c r="AP1139" s="588" t="n"/>
      <c r="AQ1139" s="588" t="n"/>
      <c r="AR1139" s="588" t="n"/>
      <c r="AS1139" s="588" t="n"/>
      <c r="AT1139" s="588" t="n"/>
      <c r="AU1139" s="588" t="n"/>
      <c r="AV1139" s="588" t="n"/>
      <c r="AW1139" s="588" t="n"/>
      <c r="AX1139" s="588" t="n"/>
      <c r="AY1139" s="588" t="n"/>
      <c r="AZ1139" s="588" t="n"/>
      <c r="BA1139" s="588" t="n"/>
      <c r="BB1139" s="588" t="n"/>
      <c r="BC1139" s="588" t="n"/>
      <c r="BD1139" s="588" t="n"/>
      <c r="BE1139" s="588" t="n"/>
      <c r="BF1139" s="588" t="n"/>
      <c r="BG1139" s="588" t="n"/>
      <c r="BH1139" s="588" t="n"/>
      <c r="BI1139" s="588" t="n"/>
      <c r="BJ1139" s="588" t="n"/>
      <c r="BK1139" s="588" t="n"/>
      <c r="BL1139" s="588" t="n"/>
      <c r="BM1139" s="588" t="n"/>
      <c r="BN1139" s="588" t="n"/>
      <c r="BO1139" s="588" t="n"/>
      <c r="BP1139" s="588" t="n"/>
      <c r="BQ1139" s="588" t="n"/>
      <c r="BR1139" s="588" t="n"/>
      <c r="BS1139" s="588" t="n"/>
      <c r="BT1139" s="588" t="n"/>
      <c r="BU1139" s="588" t="n"/>
      <c r="BV1139" s="588" t="n"/>
      <c r="BW1139" s="588" t="n"/>
      <c r="BX1139" s="588" t="n"/>
      <c r="BY1139" s="588" t="n"/>
      <c r="BZ1139" s="588" t="n"/>
      <c r="CA1139" s="588" t="n"/>
      <c r="CB1139" s="588" t="n"/>
      <c r="CC1139" s="588" t="n"/>
      <c r="CD1139" s="588" t="n"/>
      <c r="CE1139" s="588" t="n"/>
      <c r="CF1139" s="588" t="n"/>
      <c r="CG1139" s="588" t="n"/>
      <c r="CH1139" s="588" t="n"/>
      <c r="CI1139" s="588" t="n"/>
      <c r="CJ1139" s="588" t="n"/>
      <c r="CK1139" s="588" t="n"/>
      <c r="CL1139" s="588" t="n"/>
      <c r="CM1139" s="588" t="n"/>
      <c r="CN1139" s="588" t="n"/>
      <c r="CO1139" s="588" t="n"/>
      <c r="CP1139" s="588" t="n"/>
      <c r="CQ1139" s="588" t="n"/>
      <c r="CR1139" s="588" t="n"/>
      <c r="CS1139" s="588" t="n"/>
      <c r="CT1139" s="588" t="n"/>
      <c r="CU1139" s="588" t="n"/>
      <c r="CV1139" s="588" t="n"/>
      <c r="CW1139" s="588" t="n"/>
      <c r="CX1139" s="588" t="n"/>
      <c r="CY1139" s="588" t="n"/>
      <c r="CZ1139" s="588" t="n"/>
      <c r="DA1139" s="588" t="n"/>
      <c r="DB1139" s="588" t="n"/>
      <c r="DC1139" s="588" t="n"/>
      <c r="DD1139" s="588" t="n"/>
      <c r="DE1139" s="588" t="n"/>
      <c r="DF1139" s="588" t="n"/>
      <c r="DG1139" s="588" t="n"/>
      <c r="DH1139" s="588" t="n"/>
      <c r="DI1139" s="588" t="n"/>
      <c r="DJ1139" s="588" t="n"/>
      <c r="DK1139" s="588" t="n"/>
      <c r="DL1139" s="588" t="n"/>
      <c r="DM1139" s="588" t="n"/>
      <c r="DN1139" s="588" t="n"/>
      <c r="DO1139" s="588" t="n"/>
      <c r="DP1139" s="588" t="n"/>
      <c r="DQ1139" s="588" t="n"/>
      <c r="DR1139" s="588" t="n"/>
      <c r="DS1139" s="588" t="n"/>
      <c r="DT1139" s="588" t="n"/>
      <c r="DU1139" s="588" t="n"/>
    </row>
    <row r="1140">
      <c r="A1140" s="737" t="n"/>
      <c r="B1140" s="737" t="n"/>
      <c r="C1140" s="737" t="n"/>
      <c r="D1140" s="737" t="n"/>
      <c r="E1140" s="737" t="n"/>
      <c r="F1140" s="737" t="n"/>
      <c r="G1140" s="737" t="n"/>
      <c r="H1140" s="737" t="n"/>
      <c r="I1140" s="737" t="n"/>
      <c r="J1140" s="737" t="n"/>
      <c r="K1140" s="737" t="n"/>
      <c r="L1140" s="737" t="n"/>
      <c r="M1140" s="737" t="n"/>
      <c r="N1140" s="737" t="n"/>
      <c r="O1140" s="737" t="n"/>
      <c r="P1140" s="737" t="n"/>
      <c r="Q1140" s="737" t="n"/>
      <c r="R1140" s="737" t="n"/>
      <c r="S1140" s="737" t="n"/>
      <c r="T1140" s="737" t="n"/>
      <c r="U1140" s="737" t="n"/>
      <c r="V1140" s="737" t="n"/>
      <c r="W1140" s="737" t="n"/>
      <c r="X1140" s="737" t="n"/>
      <c r="Y1140" s="737" t="n"/>
      <c r="Z1140" s="737" t="n"/>
      <c r="AA1140" s="737" t="n"/>
      <c r="AB1140" s="737" t="n"/>
      <c r="AC1140" s="737" t="n"/>
      <c r="AD1140" s="737" t="n"/>
      <c r="AE1140" s="737" t="n"/>
      <c r="AF1140" s="737" t="n"/>
      <c r="AG1140" s="737" t="n"/>
      <c r="AH1140" s="737" t="n"/>
      <c r="AI1140" s="737" t="n"/>
      <c r="AJ1140" s="737" t="n"/>
      <c r="AK1140" s="588" t="n"/>
      <c r="AL1140" s="588" t="n"/>
      <c r="AM1140" s="588" t="n"/>
      <c r="AN1140" s="588" t="n"/>
      <c r="AO1140" s="588" t="n"/>
      <c r="AP1140" s="588" t="n"/>
      <c r="AQ1140" s="588" t="n"/>
      <c r="AR1140" s="588" t="n"/>
      <c r="AS1140" s="588" t="n"/>
      <c r="AT1140" s="588" t="n"/>
      <c r="AU1140" s="588" t="n"/>
      <c r="AV1140" s="588" t="n"/>
      <c r="AW1140" s="588" t="n"/>
      <c r="AX1140" s="588" t="n"/>
      <c r="AY1140" s="588" t="n"/>
      <c r="AZ1140" s="588" t="n"/>
      <c r="BA1140" s="588" t="n"/>
      <c r="BB1140" s="588" t="n"/>
      <c r="BC1140" s="588" t="n"/>
      <c r="BD1140" s="588" t="n"/>
      <c r="BE1140" s="588" t="n"/>
      <c r="BF1140" s="588" t="n"/>
      <c r="BG1140" s="588" t="n"/>
      <c r="BH1140" s="588" t="n"/>
      <c r="BI1140" s="588" t="n"/>
      <c r="BJ1140" s="588" t="n"/>
      <c r="BK1140" s="588" t="n"/>
      <c r="BL1140" s="588" t="n"/>
      <c r="BM1140" s="588" t="n"/>
      <c r="BN1140" s="588" t="n"/>
      <c r="BO1140" s="588" t="n"/>
      <c r="BP1140" s="588" t="n"/>
      <c r="BQ1140" s="588" t="n"/>
      <c r="BR1140" s="588" t="n"/>
      <c r="BS1140" s="588" t="n"/>
      <c r="BT1140" s="588" t="n"/>
      <c r="BU1140" s="588" t="n"/>
      <c r="BV1140" s="588" t="n"/>
      <c r="BW1140" s="588" t="n"/>
      <c r="BX1140" s="588" t="n"/>
      <c r="BY1140" s="588" t="n"/>
      <c r="BZ1140" s="588" t="n"/>
      <c r="CA1140" s="588" t="n"/>
      <c r="CB1140" s="588" t="n"/>
      <c r="CC1140" s="588" t="n"/>
      <c r="CD1140" s="588" t="n"/>
      <c r="CE1140" s="588" t="n"/>
      <c r="CF1140" s="588" t="n"/>
      <c r="CG1140" s="588" t="n"/>
      <c r="CH1140" s="588" t="n"/>
      <c r="CI1140" s="588" t="n"/>
      <c r="CJ1140" s="588" t="n"/>
      <c r="CK1140" s="588" t="n"/>
      <c r="CL1140" s="588" t="n"/>
      <c r="CM1140" s="588" t="n"/>
      <c r="CN1140" s="588" t="n"/>
      <c r="CO1140" s="588" t="n"/>
      <c r="CP1140" s="588" t="n"/>
      <c r="CQ1140" s="588" t="n"/>
      <c r="CR1140" s="588" t="n"/>
      <c r="CS1140" s="588" t="n"/>
      <c r="CT1140" s="588" t="n"/>
      <c r="CU1140" s="588" t="n"/>
      <c r="CV1140" s="588" t="n"/>
      <c r="CW1140" s="588" t="n"/>
      <c r="CX1140" s="588" t="n"/>
      <c r="CY1140" s="588" t="n"/>
      <c r="CZ1140" s="588" t="n"/>
      <c r="DA1140" s="588" t="n"/>
      <c r="DB1140" s="588" t="n"/>
      <c r="DC1140" s="588" t="n"/>
      <c r="DD1140" s="588" t="n"/>
      <c r="DE1140" s="588" t="n"/>
      <c r="DF1140" s="588" t="n"/>
      <c r="DG1140" s="588" t="n"/>
      <c r="DH1140" s="588" t="n"/>
      <c r="DI1140" s="588" t="n"/>
      <c r="DJ1140" s="588" t="n"/>
      <c r="DK1140" s="588" t="n"/>
      <c r="DL1140" s="588" t="n"/>
      <c r="DM1140" s="588" t="n"/>
      <c r="DN1140" s="588" t="n"/>
      <c r="DO1140" s="588" t="n"/>
      <c r="DP1140" s="588" t="n"/>
      <c r="DQ1140" s="588" t="n"/>
      <c r="DR1140" s="588" t="n"/>
      <c r="DS1140" s="588" t="n"/>
      <c r="DT1140" s="588" t="n"/>
      <c r="DU1140" s="588" t="n"/>
    </row>
    <row r="1141">
      <c r="A1141" s="737" t="n"/>
      <c r="B1141" s="737" t="n"/>
      <c r="C1141" s="737" t="n"/>
      <c r="D1141" s="737" t="n"/>
      <c r="E1141" s="737" t="n"/>
      <c r="F1141" s="737" t="n"/>
      <c r="G1141" s="737" t="n"/>
      <c r="H1141" s="737" t="n"/>
      <c r="I1141" s="737" t="n"/>
      <c r="J1141" s="737" t="n"/>
      <c r="K1141" s="737" t="n"/>
      <c r="L1141" s="737" t="n"/>
      <c r="M1141" s="737" t="n"/>
      <c r="N1141" s="737" t="n"/>
      <c r="O1141" s="737" t="n"/>
      <c r="P1141" s="737" t="n"/>
      <c r="Q1141" s="737" t="n"/>
      <c r="R1141" s="737" t="n"/>
      <c r="S1141" s="737" t="n"/>
      <c r="T1141" s="737" t="n"/>
      <c r="U1141" s="737" t="n"/>
      <c r="V1141" s="737" t="n"/>
      <c r="W1141" s="737" t="n"/>
      <c r="X1141" s="737" t="n"/>
      <c r="Y1141" s="737" t="n"/>
      <c r="Z1141" s="737" t="n"/>
      <c r="AA1141" s="737" t="n"/>
      <c r="AB1141" s="737" t="n"/>
      <c r="AC1141" s="737" t="n"/>
      <c r="AD1141" s="737" t="n"/>
      <c r="AE1141" s="737" t="n"/>
      <c r="AF1141" s="737" t="n"/>
      <c r="AG1141" s="737" t="n"/>
      <c r="AH1141" s="737" t="n"/>
      <c r="AI1141" s="737" t="n"/>
      <c r="AJ1141" s="737" t="n"/>
      <c r="AK1141" s="588" t="n"/>
      <c r="AL1141" s="588" t="n"/>
      <c r="AM1141" s="588" t="n"/>
      <c r="AN1141" s="588" t="n"/>
      <c r="AO1141" s="588" t="n"/>
      <c r="AP1141" s="588" t="n"/>
      <c r="AQ1141" s="588" t="n"/>
      <c r="AR1141" s="588" t="n"/>
      <c r="AS1141" s="588" t="n"/>
      <c r="AT1141" s="588" t="n"/>
      <c r="AU1141" s="588" t="n"/>
      <c r="AV1141" s="588" t="n"/>
      <c r="AW1141" s="588" t="n"/>
      <c r="AX1141" s="588" t="n"/>
      <c r="AY1141" s="588" t="n"/>
      <c r="AZ1141" s="588" t="n"/>
      <c r="BA1141" s="588" t="n"/>
      <c r="BB1141" s="588" t="n"/>
      <c r="BC1141" s="588" t="n"/>
      <c r="BD1141" s="588" t="n"/>
      <c r="BE1141" s="588" t="n"/>
      <c r="BF1141" s="588" t="n"/>
      <c r="BG1141" s="588" t="n"/>
      <c r="BH1141" s="588" t="n"/>
      <c r="BI1141" s="588" t="n"/>
      <c r="BJ1141" s="588" t="n"/>
      <c r="BK1141" s="588" t="n"/>
      <c r="BL1141" s="588" t="n"/>
      <c r="BM1141" s="588" t="n"/>
      <c r="BN1141" s="588" t="n"/>
      <c r="BO1141" s="588" t="n"/>
      <c r="BP1141" s="588" t="n"/>
      <c r="BQ1141" s="588" t="n"/>
      <c r="BR1141" s="588" t="n"/>
      <c r="BS1141" s="588" t="n"/>
      <c r="BT1141" s="588" t="n"/>
      <c r="BU1141" s="588" t="n"/>
      <c r="BV1141" s="588" t="n"/>
      <c r="BW1141" s="588" t="n"/>
      <c r="BX1141" s="588" t="n"/>
      <c r="BY1141" s="588" t="n"/>
      <c r="BZ1141" s="588" t="n"/>
      <c r="CA1141" s="588" t="n"/>
      <c r="CB1141" s="588" t="n"/>
      <c r="CC1141" s="588" t="n"/>
      <c r="CD1141" s="588" t="n"/>
      <c r="CE1141" s="588" t="n"/>
      <c r="CF1141" s="588" t="n"/>
      <c r="CG1141" s="588" t="n"/>
      <c r="CH1141" s="588" t="n"/>
      <c r="CI1141" s="588" t="n"/>
      <c r="CJ1141" s="588" t="n"/>
      <c r="CK1141" s="588" t="n"/>
      <c r="CL1141" s="588" t="n"/>
      <c r="CM1141" s="588" t="n"/>
      <c r="CN1141" s="588" t="n"/>
      <c r="CO1141" s="588" t="n"/>
      <c r="CP1141" s="588" t="n"/>
      <c r="CQ1141" s="588" t="n"/>
      <c r="CR1141" s="588" t="n"/>
      <c r="CS1141" s="588" t="n"/>
      <c r="CT1141" s="588" t="n"/>
      <c r="CU1141" s="588" t="n"/>
      <c r="CV1141" s="588" t="n"/>
      <c r="CW1141" s="588" t="n"/>
      <c r="CX1141" s="588" t="n"/>
      <c r="CY1141" s="588" t="n"/>
      <c r="CZ1141" s="588" t="n"/>
      <c r="DA1141" s="588" t="n"/>
      <c r="DB1141" s="588" t="n"/>
      <c r="DC1141" s="588" t="n"/>
      <c r="DD1141" s="588" t="n"/>
      <c r="DE1141" s="588" t="n"/>
      <c r="DF1141" s="588" t="n"/>
      <c r="DG1141" s="588" t="n"/>
      <c r="DH1141" s="588" t="n"/>
      <c r="DI1141" s="588" t="n"/>
      <c r="DJ1141" s="588" t="n"/>
      <c r="DK1141" s="588" t="n"/>
      <c r="DL1141" s="588" t="n"/>
      <c r="DM1141" s="588" t="n"/>
      <c r="DN1141" s="588" t="n"/>
      <c r="DO1141" s="588" t="n"/>
      <c r="DP1141" s="588" t="n"/>
      <c r="DQ1141" s="588" t="n"/>
      <c r="DR1141" s="588" t="n"/>
      <c r="DS1141" s="588" t="n"/>
      <c r="DT1141" s="588" t="n"/>
      <c r="DU1141" s="588" t="n"/>
    </row>
    <row r="1142">
      <c r="A1142" s="737" t="n"/>
      <c r="B1142" s="737" t="n"/>
      <c r="C1142" s="737" t="n"/>
      <c r="D1142" s="737" t="n"/>
      <c r="E1142" s="737" t="n"/>
      <c r="F1142" s="737" t="n"/>
      <c r="G1142" s="737" t="n"/>
      <c r="H1142" s="737" t="n"/>
      <c r="I1142" s="737" t="n"/>
      <c r="J1142" s="737" t="n"/>
      <c r="K1142" s="737" t="n"/>
      <c r="L1142" s="737" t="n"/>
      <c r="M1142" s="737" t="n"/>
      <c r="N1142" s="737" t="n"/>
      <c r="O1142" s="737" t="n"/>
      <c r="P1142" s="737" t="n"/>
      <c r="Q1142" s="737" t="n"/>
      <c r="R1142" s="737" t="n"/>
      <c r="S1142" s="737" t="n"/>
      <c r="T1142" s="737" t="n"/>
      <c r="U1142" s="737" t="n"/>
      <c r="V1142" s="737" t="n"/>
      <c r="W1142" s="737" t="n"/>
      <c r="X1142" s="737" t="n"/>
      <c r="Y1142" s="737" t="n"/>
      <c r="Z1142" s="737" t="n"/>
      <c r="AA1142" s="737" t="n"/>
      <c r="AB1142" s="737" t="n"/>
      <c r="AC1142" s="737" t="n"/>
      <c r="AD1142" s="737" t="n"/>
      <c r="AE1142" s="737" t="n"/>
      <c r="AF1142" s="737" t="n"/>
      <c r="AG1142" s="737" t="n"/>
      <c r="AH1142" s="737" t="n"/>
      <c r="AI1142" s="737" t="n"/>
      <c r="AJ1142" s="737" t="n"/>
      <c r="AK1142" s="588" t="n"/>
      <c r="AL1142" s="588" t="n"/>
      <c r="AM1142" s="588" t="n"/>
      <c r="AN1142" s="588" t="n"/>
      <c r="AO1142" s="588" t="n"/>
      <c r="AP1142" s="588" t="n"/>
      <c r="AQ1142" s="588" t="n"/>
      <c r="AR1142" s="588" t="n"/>
      <c r="AS1142" s="588" t="n"/>
      <c r="AT1142" s="588" t="n"/>
      <c r="AU1142" s="588" t="n"/>
      <c r="AV1142" s="588" t="n"/>
      <c r="AW1142" s="588" t="n"/>
      <c r="AX1142" s="588" t="n"/>
      <c r="AY1142" s="588" t="n"/>
      <c r="AZ1142" s="588" t="n"/>
      <c r="BA1142" s="588" t="n"/>
      <c r="BB1142" s="588" t="n"/>
      <c r="BC1142" s="588" t="n"/>
      <c r="BD1142" s="588" t="n"/>
      <c r="BE1142" s="588" t="n"/>
      <c r="BF1142" s="588" t="n"/>
      <c r="BG1142" s="588" t="n"/>
      <c r="BH1142" s="588" t="n"/>
      <c r="BI1142" s="588" t="n"/>
      <c r="BJ1142" s="588" t="n"/>
      <c r="BK1142" s="588" t="n"/>
      <c r="BL1142" s="588" t="n"/>
      <c r="BM1142" s="588" t="n"/>
      <c r="BN1142" s="588" t="n"/>
      <c r="BO1142" s="588" t="n"/>
      <c r="BP1142" s="588" t="n"/>
      <c r="BQ1142" s="588" t="n"/>
      <c r="BR1142" s="588" t="n"/>
      <c r="BS1142" s="588" t="n"/>
      <c r="BT1142" s="588" t="n"/>
      <c r="BU1142" s="588" t="n"/>
      <c r="BV1142" s="588" t="n"/>
      <c r="BW1142" s="588" t="n"/>
      <c r="BX1142" s="588" t="n"/>
      <c r="BY1142" s="588" t="n"/>
      <c r="BZ1142" s="588" t="n"/>
      <c r="CA1142" s="588" t="n"/>
      <c r="CB1142" s="588" t="n"/>
      <c r="CC1142" s="588" t="n"/>
      <c r="CD1142" s="588" t="n"/>
      <c r="CE1142" s="588" t="n"/>
      <c r="CF1142" s="588" t="n"/>
      <c r="CG1142" s="588" t="n"/>
      <c r="CH1142" s="588" t="n"/>
      <c r="CI1142" s="588" t="n"/>
      <c r="CJ1142" s="588" t="n"/>
      <c r="CK1142" s="588" t="n"/>
      <c r="CL1142" s="588" t="n"/>
      <c r="CM1142" s="588" t="n"/>
      <c r="CN1142" s="588" t="n"/>
      <c r="CO1142" s="588" t="n"/>
      <c r="CP1142" s="588" t="n"/>
      <c r="CQ1142" s="588" t="n"/>
      <c r="CR1142" s="588" t="n"/>
      <c r="CS1142" s="588" t="n"/>
      <c r="CT1142" s="588" t="n"/>
      <c r="CU1142" s="588" t="n"/>
      <c r="CV1142" s="588" t="n"/>
      <c r="CW1142" s="588" t="n"/>
      <c r="CX1142" s="588" t="n"/>
      <c r="CY1142" s="588" t="n"/>
      <c r="CZ1142" s="588" t="n"/>
      <c r="DA1142" s="588" t="n"/>
      <c r="DB1142" s="588" t="n"/>
      <c r="DC1142" s="588" t="n"/>
      <c r="DD1142" s="588" t="n"/>
      <c r="DE1142" s="588" t="n"/>
      <c r="DF1142" s="588" t="n"/>
      <c r="DG1142" s="588" t="n"/>
      <c r="DH1142" s="588" t="n"/>
      <c r="DI1142" s="588" t="n"/>
      <c r="DJ1142" s="588" t="n"/>
      <c r="DK1142" s="588" t="n"/>
      <c r="DL1142" s="588" t="n"/>
      <c r="DM1142" s="588" t="n"/>
      <c r="DN1142" s="588" t="n"/>
      <c r="DO1142" s="588" t="n"/>
      <c r="DP1142" s="588" t="n"/>
      <c r="DQ1142" s="588" t="n"/>
      <c r="DR1142" s="588" t="n"/>
      <c r="DS1142" s="588" t="n"/>
      <c r="DT1142" s="588" t="n"/>
      <c r="DU1142" s="588" t="n"/>
    </row>
    <row r="1143">
      <c r="A1143" s="737" t="n"/>
      <c r="B1143" s="737" t="n"/>
      <c r="C1143" s="737" t="n"/>
      <c r="D1143" s="737" t="n"/>
      <c r="E1143" s="737" t="n"/>
      <c r="F1143" s="737" t="n"/>
      <c r="G1143" s="737" t="n"/>
      <c r="H1143" s="737" t="n"/>
      <c r="I1143" s="737" t="n"/>
      <c r="J1143" s="737" t="n"/>
      <c r="K1143" s="737" t="n"/>
      <c r="L1143" s="737" t="n"/>
      <c r="M1143" s="737" t="n"/>
      <c r="N1143" s="737" t="n"/>
      <c r="O1143" s="737" t="n"/>
      <c r="P1143" s="737" t="n"/>
      <c r="Q1143" s="737" t="n"/>
      <c r="R1143" s="737" t="n"/>
      <c r="S1143" s="737" t="n"/>
      <c r="T1143" s="737" t="n"/>
      <c r="U1143" s="737" t="n"/>
      <c r="V1143" s="737" t="n"/>
      <c r="W1143" s="737" t="n"/>
      <c r="X1143" s="737" t="n"/>
      <c r="Y1143" s="737" t="n"/>
      <c r="Z1143" s="737" t="n"/>
      <c r="AA1143" s="737" t="n"/>
      <c r="AB1143" s="737" t="n"/>
      <c r="AC1143" s="737" t="n"/>
      <c r="AD1143" s="737" t="n"/>
      <c r="AE1143" s="737" t="n"/>
      <c r="AF1143" s="737" t="n"/>
      <c r="AG1143" s="737" t="n"/>
      <c r="AH1143" s="737" t="n"/>
      <c r="AI1143" s="737" t="n"/>
      <c r="AJ1143" s="737" t="n"/>
      <c r="AK1143" s="588" t="n"/>
      <c r="AL1143" s="588" t="n"/>
      <c r="AM1143" s="588" t="n"/>
      <c r="AN1143" s="588" t="n"/>
      <c r="AO1143" s="588" t="n"/>
      <c r="AP1143" s="588" t="n"/>
      <c r="AQ1143" s="588" t="n"/>
      <c r="AR1143" s="588" t="n"/>
      <c r="AS1143" s="588" t="n"/>
      <c r="AT1143" s="588" t="n"/>
      <c r="AU1143" s="588" t="n"/>
      <c r="AV1143" s="588" t="n"/>
      <c r="AW1143" s="588" t="n"/>
      <c r="AX1143" s="588" t="n"/>
      <c r="AY1143" s="588" t="n"/>
      <c r="AZ1143" s="588" t="n"/>
      <c r="BA1143" s="588" t="n"/>
      <c r="BB1143" s="588" t="n"/>
      <c r="BC1143" s="588" t="n"/>
      <c r="BD1143" s="588" t="n"/>
      <c r="BE1143" s="588" t="n"/>
      <c r="BF1143" s="588" t="n"/>
      <c r="BG1143" s="588" t="n"/>
      <c r="BH1143" s="588" t="n"/>
      <c r="BI1143" s="588" t="n"/>
      <c r="BJ1143" s="588" t="n"/>
      <c r="BK1143" s="588" t="n"/>
      <c r="BL1143" s="588" t="n"/>
      <c r="BM1143" s="588" t="n"/>
      <c r="BN1143" s="588" t="n"/>
      <c r="BO1143" s="588" t="n"/>
      <c r="BP1143" s="588" t="n"/>
      <c r="BQ1143" s="588" t="n"/>
      <c r="BR1143" s="588" t="n"/>
      <c r="BS1143" s="588" t="n"/>
      <c r="BT1143" s="588" t="n"/>
      <c r="BU1143" s="588" t="n"/>
      <c r="BV1143" s="588" t="n"/>
      <c r="BW1143" s="588" t="n"/>
      <c r="BX1143" s="588" t="n"/>
      <c r="BY1143" s="588" t="n"/>
      <c r="BZ1143" s="588" t="n"/>
      <c r="CA1143" s="588" t="n"/>
      <c r="CB1143" s="588" t="n"/>
      <c r="CC1143" s="588" t="n"/>
      <c r="CD1143" s="588" t="n"/>
      <c r="CE1143" s="588" t="n"/>
      <c r="CF1143" s="588" t="n"/>
      <c r="CG1143" s="588" t="n"/>
      <c r="CH1143" s="588" t="n"/>
      <c r="CI1143" s="588" t="n"/>
      <c r="CJ1143" s="588" t="n"/>
      <c r="CK1143" s="588" t="n"/>
      <c r="CL1143" s="588" t="n"/>
      <c r="CM1143" s="588" t="n"/>
      <c r="CN1143" s="588" t="n"/>
      <c r="CO1143" s="588" t="n"/>
      <c r="CP1143" s="588" t="n"/>
      <c r="CQ1143" s="588" t="n"/>
      <c r="CR1143" s="588" t="n"/>
      <c r="CS1143" s="588" t="n"/>
      <c r="CT1143" s="588" t="n"/>
      <c r="CU1143" s="588" t="n"/>
      <c r="CV1143" s="588" t="n"/>
      <c r="CW1143" s="588" t="n"/>
      <c r="CX1143" s="588" t="n"/>
      <c r="CY1143" s="588" t="n"/>
      <c r="CZ1143" s="588" t="n"/>
      <c r="DA1143" s="588" t="n"/>
      <c r="DB1143" s="588" t="n"/>
      <c r="DC1143" s="588" t="n"/>
      <c r="DD1143" s="588" t="n"/>
      <c r="DE1143" s="588" t="n"/>
      <c r="DF1143" s="588" t="n"/>
      <c r="DG1143" s="588" t="n"/>
      <c r="DH1143" s="588" t="n"/>
      <c r="DI1143" s="588" t="n"/>
      <c r="DJ1143" s="588" t="n"/>
      <c r="DK1143" s="588" t="n"/>
      <c r="DL1143" s="588" t="n"/>
      <c r="DM1143" s="588" t="n"/>
      <c r="DN1143" s="588" t="n"/>
      <c r="DO1143" s="588" t="n"/>
      <c r="DP1143" s="588" t="n"/>
      <c r="DQ1143" s="588" t="n"/>
      <c r="DR1143" s="588" t="n"/>
      <c r="DS1143" s="588" t="n"/>
      <c r="DT1143" s="588" t="n"/>
      <c r="DU1143" s="588" t="n"/>
    </row>
    <row r="1144">
      <c r="A1144" s="737" t="n"/>
      <c r="B1144" s="737" t="n"/>
      <c r="C1144" s="737" t="n"/>
      <c r="D1144" s="737" t="n"/>
      <c r="E1144" s="737" t="n"/>
      <c r="F1144" s="737" t="n"/>
      <c r="G1144" s="737" t="n"/>
      <c r="H1144" s="737" t="n"/>
      <c r="I1144" s="737" t="n"/>
      <c r="J1144" s="737" t="n"/>
      <c r="K1144" s="737" t="n"/>
      <c r="L1144" s="737" t="n"/>
      <c r="M1144" s="737" t="n"/>
      <c r="N1144" s="737" t="n"/>
      <c r="O1144" s="737" t="n"/>
      <c r="P1144" s="737" t="n"/>
      <c r="Q1144" s="737" t="n"/>
      <c r="R1144" s="737" t="n"/>
      <c r="S1144" s="737" t="n"/>
      <c r="T1144" s="737" t="n"/>
      <c r="U1144" s="737" t="n"/>
      <c r="V1144" s="737" t="n"/>
      <c r="W1144" s="737" t="n"/>
      <c r="X1144" s="737" t="n"/>
      <c r="Y1144" s="737" t="n"/>
      <c r="Z1144" s="737" t="n"/>
      <c r="AA1144" s="737" t="n"/>
      <c r="AB1144" s="737" t="n"/>
      <c r="AC1144" s="737" t="n"/>
      <c r="AD1144" s="737" t="n"/>
      <c r="AE1144" s="737" t="n"/>
      <c r="AF1144" s="737" t="n"/>
      <c r="AG1144" s="737" t="n"/>
      <c r="AH1144" s="737" t="n"/>
      <c r="AI1144" s="737" t="n"/>
      <c r="AJ1144" s="737" t="n"/>
      <c r="AK1144" s="588" t="n"/>
      <c r="AL1144" s="588" t="n"/>
      <c r="AM1144" s="588" t="n"/>
      <c r="AN1144" s="588" t="n"/>
      <c r="AO1144" s="588" t="n"/>
      <c r="AP1144" s="588" t="n"/>
      <c r="AQ1144" s="588" t="n"/>
      <c r="AR1144" s="588" t="n"/>
      <c r="AS1144" s="588" t="n"/>
      <c r="AT1144" s="588" t="n"/>
      <c r="AU1144" s="588" t="n"/>
      <c r="AV1144" s="588" t="n"/>
      <c r="AW1144" s="588" t="n"/>
      <c r="AX1144" s="588" t="n"/>
      <c r="AY1144" s="588" t="n"/>
      <c r="AZ1144" s="588" t="n"/>
      <c r="BA1144" s="588" t="n"/>
      <c r="BB1144" s="588" t="n"/>
      <c r="BC1144" s="588" t="n"/>
      <c r="BD1144" s="588" t="n"/>
      <c r="BE1144" s="588" t="n"/>
      <c r="BF1144" s="588" t="n"/>
      <c r="BG1144" s="588" t="n"/>
      <c r="BH1144" s="588" t="n"/>
      <c r="BI1144" s="588" t="n"/>
      <c r="BJ1144" s="588" t="n"/>
      <c r="BK1144" s="588" t="n"/>
      <c r="BL1144" s="588" t="n"/>
      <c r="BM1144" s="588" t="n"/>
      <c r="BN1144" s="588" t="n"/>
      <c r="BO1144" s="588" t="n"/>
      <c r="BP1144" s="588" t="n"/>
      <c r="BQ1144" s="588" t="n"/>
      <c r="BR1144" s="588" t="n"/>
      <c r="BS1144" s="588" t="n"/>
      <c r="BT1144" s="588" t="n"/>
      <c r="BU1144" s="588" t="n"/>
      <c r="BV1144" s="588" t="n"/>
      <c r="BW1144" s="588" t="n"/>
      <c r="BX1144" s="588" t="n"/>
      <c r="BY1144" s="588" t="n"/>
      <c r="BZ1144" s="588" t="n"/>
      <c r="CA1144" s="588" t="n"/>
      <c r="CB1144" s="588" t="n"/>
      <c r="CC1144" s="588" t="n"/>
      <c r="CD1144" s="588" t="n"/>
      <c r="CE1144" s="588" t="n"/>
      <c r="CF1144" s="588" t="n"/>
      <c r="CG1144" s="588" t="n"/>
      <c r="CH1144" s="588" t="n"/>
      <c r="CI1144" s="588" t="n"/>
      <c r="CJ1144" s="588" t="n"/>
      <c r="CK1144" s="588" t="n"/>
      <c r="CL1144" s="588" t="n"/>
      <c r="CM1144" s="588" t="n"/>
      <c r="CN1144" s="588" t="n"/>
      <c r="CO1144" s="588" t="n"/>
      <c r="CP1144" s="588" t="n"/>
      <c r="CQ1144" s="588" t="n"/>
      <c r="CR1144" s="588" t="n"/>
      <c r="CS1144" s="588" t="n"/>
      <c r="CT1144" s="588" t="n"/>
      <c r="CU1144" s="588" t="n"/>
      <c r="CV1144" s="588" t="n"/>
      <c r="CW1144" s="588" t="n"/>
      <c r="CX1144" s="588" t="n"/>
      <c r="CY1144" s="588" t="n"/>
      <c r="CZ1144" s="588" t="n"/>
      <c r="DA1144" s="588" t="n"/>
      <c r="DB1144" s="588" t="n"/>
      <c r="DC1144" s="588" t="n"/>
      <c r="DD1144" s="588" t="n"/>
      <c r="DE1144" s="588" t="n"/>
      <c r="DF1144" s="588" t="n"/>
      <c r="DG1144" s="588" t="n"/>
      <c r="DH1144" s="588" t="n"/>
      <c r="DI1144" s="588" t="n"/>
      <c r="DJ1144" s="588" t="n"/>
      <c r="DK1144" s="588" t="n"/>
      <c r="DL1144" s="588" t="n"/>
      <c r="DM1144" s="588" t="n"/>
      <c r="DN1144" s="588" t="n"/>
      <c r="DO1144" s="588" t="n"/>
      <c r="DP1144" s="588" t="n"/>
      <c r="DQ1144" s="588" t="n"/>
      <c r="DR1144" s="588" t="n"/>
      <c r="DS1144" s="588" t="n"/>
      <c r="DT1144" s="588" t="n"/>
      <c r="DU1144" s="588" t="n"/>
    </row>
    <row r="1145">
      <c r="A1145" s="737" t="n"/>
      <c r="B1145" s="737" t="n"/>
      <c r="C1145" s="737" t="n"/>
      <c r="D1145" s="737" t="n"/>
      <c r="E1145" s="737" t="n"/>
      <c r="F1145" s="737" t="n"/>
      <c r="G1145" s="737" t="n"/>
      <c r="H1145" s="737" t="n"/>
      <c r="I1145" s="737" t="n"/>
      <c r="J1145" s="737" t="n"/>
      <c r="K1145" s="737" t="n"/>
      <c r="L1145" s="737" t="n"/>
      <c r="M1145" s="737" t="n"/>
      <c r="N1145" s="737" t="n"/>
      <c r="O1145" s="737" t="n"/>
      <c r="P1145" s="737" t="n"/>
      <c r="Q1145" s="737" t="n"/>
      <c r="R1145" s="737" t="n"/>
      <c r="S1145" s="737" t="n"/>
      <c r="T1145" s="737" t="n"/>
      <c r="U1145" s="737" t="n"/>
      <c r="V1145" s="737" t="n"/>
      <c r="W1145" s="737" t="n"/>
      <c r="X1145" s="737" t="n"/>
      <c r="Y1145" s="737" t="n"/>
      <c r="Z1145" s="737" t="n"/>
      <c r="AA1145" s="737" t="n"/>
      <c r="AB1145" s="737" t="n"/>
      <c r="AC1145" s="737" t="n"/>
      <c r="AD1145" s="737" t="n"/>
      <c r="AE1145" s="737" t="n"/>
      <c r="AF1145" s="737" t="n"/>
      <c r="AG1145" s="737" t="n"/>
      <c r="AH1145" s="737" t="n"/>
      <c r="AI1145" s="737" t="n"/>
      <c r="AJ1145" s="737" t="n"/>
      <c r="AK1145" s="588" t="n"/>
      <c r="AL1145" s="588" t="n"/>
      <c r="AM1145" s="588" t="n"/>
      <c r="AN1145" s="588" t="n"/>
      <c r="AO1145" s="588" t="n"/>
      <c r="AP1145" s="588" t="n"/>
      <c r="AQ1145" s="588" t="n"/>
      <c r="AR1145" s="588" t="n"/>
      <c r="AS1145" s="588" t="n"/>
      <c r="AT1145" s="588" t="n"/>
      <c r="AU1145" s="588" t="n"/>
      <c r="AV1145" s="588" t="n"/>
      <c r="AW1145" s="588" t="n"/>
      <c r="AX1145" s="588" t="n"/>
      <c r="AY1145" s="588" t="n"/>
      <c r="AZ1145" s="588" t="n"/>
      <c r="BA1145" s="588" t="n"/>
      <c r="BB1145" s="588" t="n"/>
      <c r="BC1145" s="588" t="n"/>
      <c r="BD1145" s="588" t="n"/>
      <c r="BE1145" s="588" t="n"/>
      <c r="BF1145" s="588" t="n"/>
      <c r="BG1145" s="588" t="n"/>
      <c r="BH1145" s="588" t="n"/>
      <c r="BI1145" s="588" t="n"/>
      <c r="BJ1145" s="588" t="n"/>
      <c r="BK1145" s="588" t="n"/>
      <c r="BL1145" s="588" t="n"/>
      <c r="BM1145" s="588" t="n"/>
      <c r="BN1145" s="588" t="n"/>
      <c r="BO1145" s="588" t="n"/>
      <c r="BP1145" s="588" t="n"/>
      <c r="BQ1145" s="588" t="n"/>
      <c r="BR1145" s="588" t="n"/>
      <c r="BS1145" s="588" t="n"/>
      <c r="BT1145" s="588" t="n"/>
      <c r="BU1145" s="588" t="n"/>
      <c r="BV1145" s="588" t="n"/>
      <c r="BW1145" s="588" t="n"/>
      <c r="BX1145" s="588" t="n"/>
      <c r="BY1145" s="588" t="n"/>
      <c r="BZ1145" s="588" t="n"/>
      <c r="CA1145" s="588" t="n"/>
      <c r="CB1145" s="588" t="n"/>
      <c r="CC1145" s="588" t="n"/>
      <c r="CD1145" s="588" t="n"/>
      <c r="CE1145" s="588" t="n"/>
      <c r="CF1145" s="588" t="n"/>
      <c r="CG1145" s="588" t="n"/>
      <c r="CH1145" s="588" t="n"/>
      <c r="CI1145" s="588" t="n"/>
      <c r="CJ1145" s="588" t="n"/>
      <c r="CK1145" s="588" t="n"/>
      <c r="CL1145" s="588" t="n"/>
      <c r="CM1145" s="588" t="n"/>
      <c r="CN1145" s="588" t="n"/>
      <c r="CO1145" s="588" t="n"/>
      <c r="CP1145" s="588" t="n"/>
      <c r="CQ1145" s="588" t="n"/>
      <c r="CR1145" s="588" t="n"/>
      <c r="CS1145" s="588" t="n"/>
      <c r="CT1145" s="588" t="n"/>
      <c r="CU1145" s="588" t="n"/>
      <c r="CV1145" s="588" t="n"/>
      <c r="CW1145" s="588" t="n"/>
      <c r="CX1145" s="588" t="n"/>
      <c r="CY1145" s="588" t="n"/>
      <c r="CZ1145" s="588" t="n"/>
      <c r="DA1145" s="588" t="n"/>
      <c r="DB1145" s="588" t="n"/>
      <c r="DC1145" s="588" t="n"/>
      <c r="DD1145" s="588" t="n"/>
      <c r="DE1145" s="588" t="n"/>
      <c r="DF1145" s="588" t="n"/>
      <c r="DG1145" s="588" t="n"/>
      <c r="DH1145" s="588" t="n"/>
      <c r="DI1145" s="588" t="n"/>
      <c r="DJ1145" s="588" t="n"/>
      <c r="DK1145" s="588" t="n"/>
      <c r="DL1145" s="588" t="n"/>
      <c r="DM1145" s="588" t="n"/>
      <c r="DN1145" s="588" t="n"/>
      <c r="DO1145" s="588" t="n"/>
      <c r="DP1145" s="588" t="n"/>
      <c r="DQ1145" s="588" t="n"/>
      <c r="DR1145" s="588" t="n"/>
      <c r="DS1145" s="588" t="n"/>
      <c r="DT1145" s="588" t="n"/>
      <c r="DU1145" s="588" t="n"/>
    </row>
    <row r="1146">
      <c r="A1146" s="737" t="n"/>
      <c r="B1146" s="737" t="n"/>
      <c r="C1146" s="737" t="n"/>
      <c r="D1146" s="737" t="n"/>
      <c r="E1146" s="737" t="n"/>
      <c r="F1146" s="737" t="n"/>
      <c r="G1146" s="737" t="n"/>
      <c r="H1146" s="737" t="n"/>
      <c r="I1146" s="737" t="n"/>
      <c r="J1146" s="737" t="n"/>
      <c r="K1146" s="737" t="n"/>
      <c r="L1146" s="737" t="n"/>
      <c r="M1146" s="737" t="n"/>
      <c r="N1146" s="737" t="n"/>
      <c r="O1146" s="737" t="n"/>
      <c r="P1146" s="737" t="n"/>
      <c r="Q1146" s="737" t="n"/>
      <c r="R1146" s="737" t="n"/>
      <c r="S1146" s="737" t="n"/>
      <c r="T1146" s="737" t="n"/>
      <c r="U1146" s="737" t="n"/>
      <c r="V1146" s="737" t="n"/>
      <c r="W1146" s="737" t="n"/>
      <c r="X1146" s="737" t="n"/>
      <c r="Y1146" s="737" t="n"/>
      <c r="Z1146" s="737" t="n"/>
      <c r="AA1146" s="737" t="n"/>
      <c r="AB1146" s="737" t="n"/>
      <c r="AC1146" s="737" t="n"/>
      <c r="AD1146" s="737" t="n"/>
      <c r="AE1146" s="737" t="n"/>
      <c r="AF1146" s="737" t="n"/>
      <c r="AG1146" s="737" t="n"/>
      <c r="AH1146" s="737" t="n"/>
      <c r="AI1146" s="737" t="n"/>
      <c r="AJ1146" s="737" t="n"/>
      <c r="AK1146" s="588" t="n"/>
      <c r="AL1146" s="588" t="n"/>
      <c r="AM1146" s="588" t="n"/>
      <c r="AN1146" s="588" t="n"/>
      <c r="AO1146" s="588" t="n"/>
      <c r="AP1146" s="588" t="n"/>
      <c r="AQ1146" s="588" t="n"/>
      <c r="AR1146" s="588" t="n"/>
      <c r="AS1146" s="588" t="n"/>
      <c r="AT1146" s="588" t="n"/>
      <c r="AU1146" s="588" t="n"/>
      <c r="AV1146" s="588" t="n"/>
      <c r="AW1146" s="588" t="n"/>
      <c r="AX1146" s="588" t="n"/>
      <c r="AY1146" s="588" t="n"/>
      <c r="AZ1146" s="588" t="n"/>
      <c r="BA1146" s="588" t="n"/>
      <c r="BB1146" s="588" t="n"/>
      <c r="BC1146" s="588" t="n"/>
      <c r="BD1146" s="588" t="n"/>
      <c r="BE1146" s="588" t="n"/>
      <c r="BF1146" s="588" t="n"/>
      <c r="BG1146" s="588" t="n"/>
      <c r="BH1146" s="588" t="n"/>
      <c r="BI1146" s="588" t="n"/>
      <c r="BJ1146" s="588" t="n"/>
      <c r="BK1146" s="588" t="n"/>
      <c r="BL1146" s="588" t="n"/>
      <c r="BM1146" s="588" t="n"/>
      <c r="BN1146" s="588" t="n"/>
      <c r="BO1146" s="588" t="n"/>
      <c r="BP1146" s="588" t="n"/>
      <c r="BQ1146" s="588" t="n"/>
      <c r="BR1146" s="588" t="n"/>
      <c r="BS1146" s="588" t="n"/>
      <c r="BT1146" s="588" t="n"/>
      <c r="BU1146" s="588" t="n"/>
      <c r="BV1146" s="588" t="n"/>
      <c r="BW1146" s="588" t="n"/>
      <c r="BX1146" s="588" t="n"/>
      <c r="BY1146" s="588" t="n"/>
      <c r="BZ1146" s="588" t="n"/>
      <c r="CA1146" s="588" t="n"/>
      <c r="CB1146" s="588" t="n"/>
      <c r="CC1146" s="588" t="n"/>
      <c r="CD1146" s="588" t="n"/>
      <c r="CE1146" s="588" t="n"/>
      <c r="CF1146" s="588" t="n"/>
      <c r="CG1146" s="588" t="n"/>
      <c r="CH1146" s="588" t="n"/>
      <c r="CI1146" s="588" t="n"/>
      <c r="CJ1146" s="588" t="n"/>
      <c r="CK1146" s="588" t="n"/>
      <c r="CL1146" s="588" t="n"/>
      <c r="CM1146" s="588" t="n"/>
      <c r="CN1146" s="588" t="n"/>
      <c r="CO1146" s="588" t="n"/>
      <c r="CP1146" s="588" t="n"/>
      <c r="CQ1146" s="588" t="n"/>
      <c r="CR1146" s="588" t="n"/>
      <c r="CS1146" s="588" t="n"/>
      <c r="CT1146" s="588" t="n"/>
      <c r="CU1146" s="588" t="n"/>
      <c r="CV1146" s="588" t="n"/>
      <c r="CW1146" s="588" t="n"/>
      <c r="CX1146" s="588" t="n"/>
      <c r="CY1146" s="588" t="n"/>
      <c r="CZ1146" s="588" t="n"/>
      <c r="DA1146" s="588" t="n"/>
      <c r="DB1146" s="588" t="n"/>
      <c r="DC1146" s="588" t="n"/>
      <c r="DD1146" s="588" t="n"/>
      <c r="DE1146" s="588" t="n"/>
      <c r="DF1146" s="588" t="n"/>
      <c r="DG1146" s="588" t="n"/>
      <c r="DH1146" s="588" t="n"/>
      <c r="DI1146" s="588" t="n"/>
      <c r="DJ1146" s="588" t="n"/>
      <c r="DK1146" s="588" t="n"/>
      <c r="DL1146" s="588" t="n"/>
      <c r="DM1146" s="588" t="n"/>
      <c r="DN1146" s="588" t="n"/>
      <c r="DO1146" s="588" t="n"/>
      <c r="DP1146" s="588" t="n"/>
      <c r="DQ1146" s="588" t="n"/>
      <c r="DR1146" s="588" t="n"/>
      <c r="DS1146" s="588" t="n"/>
      <c r="DT1146" s="588" t="n"/>
      <c r="DU1146" s="588" t="n"/>
    </row>
    <row r="1147">
      <c r="A1147" s="737" t="n"/>
      <c r="B1147" s="737" t="n"/>
      <c r="C1147" s="737" t="n"/>
      <c r="D1147" s="737" t="n"/>
      <c r="E1147" s="737" t="n"/>
      <c r="F1147" s="737" t="n"/>
      <c r="G1147" s="737" t="n"/>
      <c r="H1147" s="737" t="n"/>
      <c r="I1147" s="737" t="n"/>
      <c r="J1147" s="737" t="n"/>
      <c r="K1147" s="737" t="n"/>
      <c r="L1147" s="737" t="n"/>
      <c r="M1147" s="737" t="n"/>
      <c r="N1147" s="737" t="n"/>
      <c r="O1147" s="737" t="n"/>
      <c r="P1147" s="737" t="n"/>
      <c r="Q1147" s="737" t="n"/>
      <c r="R1147" s="737" t="n"/>
      <c r="S1147" s="737" t="n"/>
      <c r="T1147" s="737" t="n"/>
      <c r="U1147" s="737" t="n"/>
      <c r="V1147" s="737" t="n"/>
      <c r="W1147" s="737" t="n"/>
      <c r="X1147" s="737" t="n"/>
      <c r="Y1147" s="737" t="n"/>
      <c r="Z1147" s="737" t="n"/>
      <c r="AA1147" s="737" t="n"/>
      <c r="AB1147" s="737" t="n"/>
      <c r="AC1147" s="737" t="n"/>
      <c r="AD1147" s="737" t="n"/>
      <c r="AE1147" s="737" t="n"/>
      <c r="AF1147" s="737" t="n"/>
      <c r="AG1147" s="737" t="n"/>
      <c r="AH1147" s="737" t="n"/>
      <c r="AI1147" s="737" t="n"/>
      <c r="AJ1147" s="737" t="n"/>
      <c r="AK1147" s="588" t="n"/>
      <c r="AL1147" s="588" t="n"/>
      <c r="AM1147" s="588" t="n"/>
      <c r="AN1147" s="588" t="n"/>
      <c r="AO1147" s="588" t="n"/>
      <c r="AP1147" s="588" t="n"/>
      <c r="AQ1147" s="588" t="n"/>
      <c r="AR1147" s="588" t="n"/>
      <c r="AS1147" s="588" t="n"/>
      <c r="AT1147" s="588" t="n"/>
      <c r="AU1147" s="588" t="n"/>
      <c r="AV1147" s="588" t="n"/>
      <c r="AW1147" s="588" t="n"/>
      <c r="AX1147" s="588" t="n"/>
      <c r="AY1147" s="588" t="n"/>
      <c r="AZ1147" s="588" t="n"/>
      <c r="BA1147" s="588" t="n"/>
      <c r="BB1147" s="588" t="n"/>
      <c r="BC1147" s="588" t="n"/>
      <c r="BD1147" s="588" t="n"/>
      <c r="BE1147" s="588" t="n"/>
      <c r="BF1147" s="588" t="n"/>
      <c r="BG1147" s="588" t="n"/>
      <c r="BH1147" s="588" t="n"/>
      <c r="BI1147" s="588" t="n"/>
      <c r="BJ1147" s="588" t="n"/>
      <c r="BK1147" s="588" t="n"/>
      <c r="BL1147" s="588" t="n"/>
      <c r="BM1147" s="588" t="n"/>
      <c r="BN1147" s="588" t="n"/>
      <c r="BO1147" s="588" t="n"/>
      <c r="BP1147" s="588" t="n"/>
      <c r="BQ1147" s="588" t="n"/>
      <c r="BR1147" s="588" t="n"/>
      <c r="BS1147" s="588" t="n"/>
      <c r="BT1147" s="588" t="n"/>
      <c r="BU1147" s="588" t="n"/>
      <c r="BV1147" s="588" t="n"/>
      <c r="BW1147" s="588" t="n"/>
      <c r="BX1147" s="588" t="n"/>
      <c r="BY1147" s="588" t="n"/>
      <c r="BZ1147" s="588" t="n"/>
      <c r="CA1147" s="588" t="n"/>
      <c r="CB1147" s="588" t="n"/>
      <c r="CC1147" s="588" t="n"/>
      <c r="CD1147" s="588" t="n"/>
      <c r="CE1147" s="588" t="n"/>
      <c r="CF1147" s="588" t="n"/>
      <c r="CG1147" s="588" t="n"/>
      <c r="CH1147" s="588" t="n"/>
      <c r="CI1147" s="588" t="n"/>
      <c r="CJ1147" s="588" t="n"/>
      <c r="CK1147" s="588" t="n"/>
      <c r="CL1147" s="588" t="n"/>
      <c r="CM1147" s="588" t="n"/>
      <c r="CN1147" s="588" t="n"/>
      <c r="CO1147" s="588" t="n"/>
      <c r="CP1147" s="588" t="n"/>
      <c r="CQ1147" s="588" t="n"/>
      <c r="CR1147" s="588" t="n"/>
      <c r="CS1147" s="588" t="n"/>
      <c r="CT1147" s="588" t="n"/>
      <c r="CU1147" s="588" t="n"/>
      <c r="CV1147" s="588" t="n"/>
      <c r="CW1147" s="588" t="n"/>
      <c r="CX1147" s="588" t="n"/>
      <c r="CY1147" s="588" t="n"/>
      <c r="CZ1147" s="588" t="n"/>
      <c r="DA1147" s="588" t="n"/>
      <c r="DB1147" s="588" t="n"/>
      <c r="DC1147" s="588" t="n"/>
      <c r="DD1147" s="588" t="n"/>
      <c r="DE1147" s="588" t="n"/>
      <c r="DF1147" s="588" t="n"/>
      <c r="DG1147" s="588" t="n"/>
      <c r="DH1147" s="588" t="n"/>
      <c r="DI1147" s="588" t="n"/>
      <c r="DJ1147" s="588" t="n"/>
      <c r="DK1147" s="588" t="n"/>
      <c r="DL1147" s="588" t="n"/>
      <c r="DM1147" s="588" t="n"/>
      <c r="DN1147" s="588" t="n"/>
      <c r="DO1147" s="588" t="n"/>
      <c r="DP1147" s="588" t="n"/>
      <c r="DQ1147" s="588" t="n"/>
      <c r="DR1147" s="588" t="n"/>
      <c r="DS1147" s="588" t="n"/>
      <c r="DT1147" s="588" t="n"/>
      <c r="DU1147" s="588" t="n"/>
    </row>
    <row r="1148">
      <c r="A1148" s="737" t="n"/>
      <c r="B1148" s="737" t="n"/>
      <c r="C1148" s="737" t="n"/>
      <c r="D1148" s="737" t="n"/>
      <c r="E1148" s="737" t="n"/>
      <c r="F1148" s="737" t="n"/>
      <c r="G1148" s="737" t="n"/>
      <c r="H1148" s="737" t="n"/>
      <c r="I1148" s="737" t="n"/>
      <c r="J1148" s="737" t="n"/>
      <c r="K1148" s="737" t="n"/>
      <c r="L1148" s="737" t="n"/>
      <c r="M1148" s="737" t="n"/>
      <c r="N1148" s="737" t="n"/>
      <c r="O1148" s="737" t="n"/>
      <c r="P1148" s="737" t="n"/>
      <c r="Q1148" s="737" t="n"/>
      <c r="R1148" s="737" t="n"/>
      <c r="S1148" s="737" t="n"/>
      <c r="T1148" s="737" t="n"/>
      <c r="U1148" s="737" t="n"/>
      <c r="V1148" s="737" t="n"/>
      <c r="W1148" s="737" t="n"/>
      <c r="X1148" s="737" t="n"/>
      <c r="Y1148" s="737" t="n"/>
      <c r="Z1148" s="737" t="n"/>
      <c r="AA1148" s="737" t="n"/>
      <c r="AB1148" s="737" t="n"/>
      <c r="AC1148" s="737" t="n"/>
      <c r="AD1148" s="737" t="n"/>
      <c r="AE1148" s="737" t="n"/>
      <c r="AF1148" s="737" t="n"/>
      <c r="AG1148" s="737" t="n"/>
      <c r="AH1148" s="737" t="n"/>
      <c r="AI1148" s="737" t="n"/>
      <c r="AJ1148" s="737" t="n"/>
      <c r="AK1148" s="588" t="n"/>
      <c r="AL1148" s="588" t="n"/>
      <c r="AM1148" s="588" t="n"/>
      <c r="AN1148" s="588" t="n"/>
      <c r="AO1148" s="588" t="n"/>
      <c r="AP1148" s="588" t="n"/>
      <c r="AQ1148" s="588" t="n"/>
      <c r="AR1148" s="588" t="n"/>
      <c r="AS1148" s="588" t="n"/>
      <c r="AT1148" s="588" t="n"/>
      <c r="AU1148" s="588" t="n"/>
      <c r="AV1148" s="588" t="n"/>
      <c r="AW1148" s="588" t="n"/>
      <c r="AX1148" s="588" t="n"/>
      <c r="AY1148" s="588" t="n"/>
      <c r="AZ1148" s="588" t="n"/>
      <c r="BA1148" s="588" t="n"/>
      <c r="BB1148" s="588" t="n"/>
      <c r="BC1148" s="588" t="n"/>
      <c r="BD1148" s="588" t="n"/>
      <c r="BE1148" s="588" t="n"/>
      <c r="BF1148" s="588" t="n"/>
      <c r="BG1148" s="588" t="n"/>
      <c r="BH1148" s="588" t="n"/>
      <c r="BI1148" s="588" t="n"/>
      <c r="BJ1148" s="588" t="n"/>
      <c r="BK1148" s="588" t="n"/>
      <c r="BL1148" s="588" t="n"/>
      <c r="BM1148" s="588" t="n"/>
      <c r="BN1148" s="588" t="n"/>
      <c r="BO1148" s="588" t="n"/>
      <c r="BP1148" s="588" t="n"/>
      <c r="BQ1148" s="588" t="n"/>
      <c r="BR1148" s="588" t="n"/>
      <c r="BS1148" s="588" t="n"/>
      <c r="BT1148" s="588" t="n"/>
      <c r="BU1148" s="588" t="n"/>
      <c r="BV1148" s="588" t="n"/>
      <c r="BW1148" s="588" t="n"/>
      <c r="BX1148" s="588" t="n"/>
      <c r="BY1148" s="588" t="n"/>
      <c r="BZ1148" s="588" t="n"/>
      <c r="CA1148" s="588" t="n"/>
      <c r="CB1148" s="588" t="n"/>
      <c r="CC1148" s="588" t="n"/>
      <c r="CD1148" s="588" t="n"/>
      <c r="CE1148" s="588" t="n"/>
      <c r="CF1148" s="588" t="n"/>
      <c r="CG1148" s="588" t="n"/>
      <c r="CH1148" s="588" t="n"/>
      <c r="CI1148" s="588" t="n"/>
      <c r="CJ1148" s="588" t="n"/>
      <c r="CK1148" s="588" t="n"/>
      <c r="CL1148" s="588" t="n"/>
      <c r="CM1148" s="588" t="n"/>
      <c r="CN1148" s="588" t="n"/>
      <c r="CO1148" s="588" t="n"/>
      <c r="CP1148" s="588" t="n"/>
      <c r="CQ1148" s="588" t="n"/>
      <c r="CR1148" s="588" t="n"/>
      <c r="CS1148" s="588" t="n"/>
      <c r="CT1148" s="588" t="n"/>
      <c r="CU1148" s="588" t="n"/>
      <c r="CV1148" s="588" t="n"/>
      <c r="CW1148" s="588" t="n"/>
      <c r="CX1148" s="588" t="n"/>
      <c r="CY1148" s="588" t="n"/>
      <c r="CZ1148" s="588" t="n"/>
      <c r="DA1148" s="588" t="n"/>
      <c r="DB1148" s="588" t="n"/>
      <c r="DC1148" s="588" t="n"/>
      <c r="DD1148" s="588" t="n"/>
      <c r="DE1148" s="588" t="n"/>
      <c r="DF1148" s="588" t="n"/>
      <c r="DG1148" s="588" t="n"/>
      <c r="DH1148" s="588" t="n"/>
      <c r="DI1148" s="588" t="n"/>
      <c r="DJ1148" s="588" t="n"/>
      <c r="DK1148" s="588" t="n"/>
      <c r="DL1148" s="588" t="n"/>
      <c r="DM1148" s="588" t="n"/>
      <c r="DN1148" s="588" t="n"/>
      <c r="DO1148" s="588" t="n"/>
      <c r="DP1148" s="588" t="n"/>
      <c r="DQ1148" s="588" t="n"/>
      <c r="DR1148" s="588" t="n"/>
      <c r="DS1148" s="588" t="n"/>
      <c r="DT1148" s="588" t="n"/>
      <c r="DU1148" s="588" t="n"/>
    </row>
    <row r="1149">
      <c r="A1149" s="737" t="n"/>
      <c r="B1149" s="737" t="n"/>
      <c r="C1149" s="737" t="n"/>
      <c r="D1149" s="737" t="n"/>
      <c r="E1149" s="737" t="n"/>
      <c r="F1149" s="737" t="n"/>
      <c r="G1149" s="737" t="n"/>
      <c r="H1149" s="737" t="n"/>
      <c r="I1149" s="737" t="n"/>
      <c r="J1149" s="737" t="n"/>
      <c r="K1149" s="737" t="n"/>
      <c r="L1149" s="737" t="n"/>
      <c r="M1149" s="737" t="n"/>
      <c r="N1149" s="737" t="n"/>
      <c r="O1149" s="737" t="n"/>
      <c r="P1149" s="737" t="n"/>
      <c r="Q1149" s="737" t="n"/>
      <c r="R1149" s="737" t="n"/>
      <c r="S1149" s="737" t="n"/>
      <c r="T1149" s="737" t="n"/>
      <c r="U1149" s="737" t="n"/>
      <c r="V1149" s="737" t="n"/>
      <c r="W1149" s="737" t="n"/>
      <c r="X1149" s="737" t="n"/>
      <c r="Y1149" s="737" t="n"/>
      <c r="Z1149" s="737" t="n"/>
      <c r="AA1149" s="737" t="n"/>
      <c r="AB1149" s="737" t="n"/>
      <c r="AC1149" s="737" t="n"/>
      <c r="AD1149" s="737" t="n"/>
      <c r="AE1149" s="737" t="n"/>
      <c r="AF1149" s="737" t="n"/>
      <c r="AG1149" s="737" t="n"/>
      <c r="AH1149" s="737" t="n"/>
      <c r="AI1149" s="737" t="n"/>
      <c r="AJ1149" s="737" t="n"/>
      <c r="AK1149" s="588" t="n"/>
      <c r="AL1149" s="588" t="n"/>
      <c r="AM1149" s="588" t="n"/>
      <c r="AN1149" s="588" t="n"/>
      <c r="AO1149" s="588" t="n"/>
      <c r="AP1149" s="588" t="n"/>
      <c r="AQ1149" s="588" t="n"/>
      <c r="AR1149" s="588" t="n"/>
      <c r="AS1149" s="588" t="n"/>
      <c r="AT1149" s="588" t="n"/>
      <c r="AU1149" s="588" t="n"/>
      <c r="AV1149" s="588" t="n"/>
      <c r="AW1149" s="588" t="n"/>
      <c r="AX1149" s="588" t="n"/>
      <c r="AY1149" s="588" t="n"/>
      <c r="AZ1149" s="588" t="n"/>
      <c r="BA1149" s="588" t="n"/>
      <c r="BB1149" s="588" t="n"/>
      <c r="BC1149" s="588" t="n"/>
      <c r="BD1149" s="588" t="n"/>
      <c r="BE1149" s="588" t="n"/>
      <c r="BF1149" s="588" t="n"/>
      <c r="BG1149" s="588" t="n"/>
      <c r="BH1149" s="588" t="n"/>
      <c r="BI1149" s="588" t="n"/>
      <c r="BJ1149" s="588" t="n"/>
      <c r="BK1149" s="588" t="n"/>
      <c r="BL1149" s="588" t="n"/>
      <c r="BM1149" s="588" t="n"/>
      <c r="BN1149" s="588" t="n"/>
      <c r="BO1149" s="588" t="n"/>
      <c r="BP1149" s="588" t="n"/>
      <c r="BQ1149" s="588" t="n"/>
      <c r="BR1149" s="588" t="n"/>
      <c r="BS1149" s="588" t="n"/>
      <c r="BT1149" s="588" t="n"/>
      <c r="BU1149" s="588" t="n"/>
      <c r="BV1149" s="588" t="n"/>
      <c r="BW1149" s="588" t="n"/>
      <c r="BX1149" s="588" t="n"/>
      <c r="BY1149" s="588" t="n"/>
      <c r="BZ1149" s="588" t="n"/>
      <c r="CA1149" s="588" t="n"/>
      <c r="CB1149" s="588" t="n"/>
      <c r="CC1149" s="588" t="n"/>
      <c r="CD1149" s="588" t="n"/>
      <c r="CE1149" s="588" t="n"/>
      <c r="CF1149" s="588" t="n"/>
      <c r="CG1149" s="588" t="n"/>
      <c r="CH1149" s="588" t="n"/>
      <c r="CI1149" s="588" t="n"/>
      <c r="CJ1149" s="588" t="n"/>
      <c r="CK1149" s="588" t="n"/>
      <c r="CL1149" s="588" t="n"/>
      <c r="CM1149" s="588" t="n"/>
      <c r="CN1149" s="588" t="n"/>
      <c r="CO1149" s="588" t="n"/>
      <c r="CP1149" s="588" t="n"/>
      <c r="CQ1149" s="588" t="n"/>
      <c r="CR1149" s="588" t="n"/>
      <c r="CS1149" s="588" t="n"/>
      <c r="CT1149" s="588" t="n"/>
      <c r="CU1149" s="588" t="n"/>
      <c r="CV1149" s="588" t="n"/>
      <c r="CW1149" s="588" t="n"/>
      <c r="CX1149" s="588" t="n"/>
      <c r="CY1149" s="588" t="n"/>
      <c r="CZ1149" s="588" t="n"/>
      <c r="DA1149" s="588" t="n"/>
      <c r="DB1149" s="588" t="n"/>
      <c r="DC1149" s="588" t="n"/>
      <c r="DD1149" s="588" t="n"/>
      <c r="DE1149" s="588" t="n"/>
      <c r="DF1149" s="588" t="n"/>
      <c r="DG1149" s="588" t="n"/>
      <c r="DH1149" s="588" t="n"/>
      <c r="DI1149" s="588" t="n"/>
      <c r="DJ1149" s="588" t="n"/>
      <c r="DK1149" s="588" t="n"/>
      <c r="DL1149" s="588" t="n"/>
      <c r="DM1149" s="588" t="n"/>
      <c r="DN1149" s="588" t="n"/>
      <c r="DO1149" s="588" t="n"/>
      <c r="DP1149" s="588" t="n"/>
      <c r="DQ1149" s="588" t="n"/>
      <c r="DR1149" s="588" t="n"/>
      <c r="DS1149" s="588" t="n"/>
      <c r="DT1149" s="588" t="n"/>
      <c r="DU1149" s="588" t="n"/>
    </row>
    <row r="1150">
      <c r="A1150" s="737" t="n"/>
      <c r="B1150" s="737" t="n"/>
      <c r="C1150" s="737" t="n"/>
      <c r="D1150" s="737" t="n"/>
      <c r="E1150" s="737" t="n"/>
      <c r="F1150" s="737" t="n"/>
      <c r="G1150" s="737" t="n"/>
      <c r="H1150" s="737" t="n"/>
      <c r="I1150" s="737" t="n"/>
      <c r="J1150" s="737" t="n"/>
      <c r="K1150" s="737" t="n"/>
      <c r="L1150" s="737" t="n"/>
      <c r="M1150" s="737" t="n"/>
      <c r="N1150" s="737" t="n"/>
      <c r="O1150" s="737" t="n"/>
      <c r="P1150" s="737" t="n"/>
      <c r="Q1150" s="737" t="n"/>
      <c r="R1150" s="737" t="n"/>
      <c r="S1150" s="737" t="n"/>
      <c r="T1150" s="737" t="n"/>
      <c r="U1150" s="737" t="n"/>
      <c r="V1150" s="737" t="n"/>
      <c r="W1150" s="737" t="n"/>
      <c r="X1150" s="737" t="n"/>
      <c r="Y1150" s="737" t="n"/>
      <c r="Z1150" s="737" t="n"/>
      <c r="AA1150" s="737" t="n"/>
      <c r="AB1150" s="737" t="n"/>
      <c r="AC1150" s="737" t="n"/>
      <c r="AD1150" s="737" t="n"/>
      <c r="AE1150" s="737" t="n"/>
      <c r="AF1150" s="737" t="n"/>
      <c r="AG1150" s="737" t="n"/>
      <c r="AH1150" s="737" t="n"/>
      <c r="AI1150" s="737" t="n"/>
      <c r="AJ1150" s="737" t="n"/>
      <c r="AK1150" s="588" t="n"/>
      <c r="AL1150" s="588" t="n"/>
      <c r="AM1150" s="588" t="n"/>
      <c r="AN1150" s="588" t="n"/>
      <c r="AO1150" s="588" t="n"/>
      <c r="AP1150" s="588" t="n"/>
      <c r="AQ1150" s="588" t="n"/>
      <c r="AR1150" s="588" t="n"/>
      <c r="AS1150" s="588" t="n"/>
      <c r="AT1150" s="588" t="n"/>
      <c r="AU1150" s="588" t="n"/>
      <c r="AV1150" s="588" t="n"/>
      <c r="AW1150" s="588" t="n"/>
      <c r="AX1150" s="588" t="n"/>
      <c r="AY1150" s="588" t="n"/>
      <c r="AZ1150" s="588" t="n"/>
      <c r="BA1150" s="588" t="n"/>
      <c r="BB1150" s="588" t="n"/>
      <c r="BC1150" s="588" t="n"/>
      <c r="BD1150" s="588" t="n"/>
      <c r="BE1150" s="588" t="n"/>
      <c r="BF1150" s="588" t="n"/>
      <c r="BG1150" s="588" t="n"/>
      <c r="BH1150" s="588" t="n"/>
      <c r="BI1150" s="588" t="n"/>
      <c r="BJ1150" s="588" t="n"/>
      <c r="BK1150" s="588" t="n"/>
      <c r="BL1150" s="588" t="n"/>
      <c r="BM1150" s="588" t="n"/>
      <c r="BN1150" s="588" t="n"/>
      <c r="BO1150" s="588" t="n"/>
      <c r="BP1150" s="588" t="n"/>
      <c r="BQ1150" s="588" t="n"/>
      <c r="BR1150" s="588" t="n"/>
      <c r="BS1150" s="588" t="n"/>
      <c r="BT1150" s="588" t="n"/>
      <c r="BU1150" s="588" t="n"/>
      <c r="BV1150" s="588" t="n"/>
      <c r="BW1150" s="588" t="n"/>
      <c r="BX1150" s="588" t="n"/>
      <c r="BY1150" s="588" t="n"/>
      <c r="BZ1150" s="588" t="n"/>
      <c r="CA1150" s="588" t="n"/>
      <c r="CB1150" s="588" t="n"/>
      <c r="CC1150" s="588" t="n"/>
      <c r="CD1150" s="588" t="n"/>
      <c r="CE1150" s="588" t="n"/>
      <c r="CF1150" s="588" t="n"/>
      <c r="CG1150" s="588" t="n"/>
      <c r="CH1150" s="588" t="n"/>
      <c r="CI1150" s="588" t="n"/>
      <c r="CJ1150" s="588" t="n"/>
      <c r="CK1150" s="588" t="n"/>
      <c r="CL1150" s="588" t="n"/>
      <c r="CM1150" s="588" t="n"/>
      <c r="CN1150" s="588" t="n"/>
      <c r="CO1150" s="588" t="n"/>
      <c r="CP1150" s="588" t="n"/>
      <c r="CQ1150" s="588" t="n"/>
      <c r="CR1150" s="588" t="n"/>
      <c r="CS1150" s="588" t="n"/>
      <c r="CT1150" s="588" t="n"/>
      <c r="CU1150" s="588" t="n"/>
      <c r="CV1150" s="588" t="n"/>
      <c r="CW1150" s="588" t="n"/>
      <c r="CX1150" s="588" t="n"/>
      <c r="CY1150" s="588" t="n"/>
      <c r="CZ1150" s="588" t="n"/>
      <c r="DA1150" s="588" t="n"/>
      <c r="DB1150" s="588" t="n"/>
      <c r="DC1150" s="588" t="n"/>
      <c r="DD1150" s="588" t="n"/>
      <c r="DE1150" s="588" t="n"/>
      <c r="DF1150" s="588" t="n"/>
      <c r="DG1150" s="588" t="n"/>
      <c r="DH1150" s="588" t="n"/>
      <c r="DI1150" s="588" t="n"/>
      <c r="DJ1150" s="588" t="n"/>
      <c r="DK1150" s="588" t="n"/>
      <c r="DL1150" s="588" t="n"/>
      <c r="DM1150" s="588" t="n"/>
      <c r="DN1150" s="588" t="n"/>
      <c r="DO1150" s="588" t="n"/>
      <c r="DP1150" s="588" t="n"/>
      <c r="DQ1150" s="588" t="n"/>
      <c r="DR1150" s="588" t="n"/>
      <c r="DS1150" s="588" t="n"/>
      <c r="DT1150" s="588" t="n"/>
      <c r="DU1150" s="588" t="n"/>
    </row>
    <row r="1151">
      <c r="A1151" s="737" t="n"/>
      <c r="B1151" s="737" t="n"/>
      <c r="C1151" s="737" t="n"/>
      <c r="D1151" s="737" t="n"/>
      <c r="E1151" s="737" t="n"/>
      <c r="F1151" s="737" t="n"/>
      <c r="G1151" s="737" t="n"/>
      <c r="H1151" s="737" t="n"/>
      <c r="I1151" s="737" t="n"/>
      <c r="J1151" s="737" t="n"/>
      <c r="K1151" s="737" t="n"/>
      <c r="L1151" s="737" t="n"/>
      <c r="M1151" s="737" t="n"/>
      <c r="N1151" s="737" t="n"/>
      <c r="O1151" s="737" t="n"/>
      <c r="P1151" s="737" t="n"/>
      <c r="Q1151" s="737" t="n"/>
      <c r="R1151" s="737" t="n"/>
      <c r="S1151" s="737" t="n"/>
      <c r="T1151" s="737" t="n"/>
      <c r="U1151" s="737" t="n"/>
      <c r="V1151" s="737" t="n"/>
      <c r="W1151" s="737" t="n"/>
      <c r="X1151" s="737" t="n"/>
      <c r="Y1151" s="737" t="n"/>
      <c r="Z1151" s="737" t="n"/>
      <c r="AA1151" s="737" t="n"/>
      <c r="AB1151" s="737" t="n"/>
      <c r="AC1151" s="737" t="n"/>
      <c r="AD1151" s="737" t="n"/>
      <c r="AE1151" s="737" t="n"/>
      <c r="AF1151" s="737" t="n"/>
      <c r="AG1151" s="737" t="n"/>
      <c r="AH1151" s="737" t="n"/>
      <c r="AI1151" s="737" t="n"/>
      <c r="AJ1151" s="737" t="n"/>
      <c r="AK1151" s="588" t="n"/>
      <c r="AL1151" s="588" t="n"/>
      <c r="AM1151" s="588" t="n"/>
      <c r="AN1151" s="588" t="n"/>
      <c r="AO1151" s="588" t="n"/>
      <c r="AP1151" s="588" t="n"/>
      <c r="AQ1151" s="588" t="n"/>
      <c r="AR1151" s="588" t="n"/>
      <c r="AS1151" s="588" t="n"/>
      <c r="AT1151" s="588" t="n"/>
      <c r="AU1151" s="588" t="n"/>
      <c r="AV1151" s="588" t="n"/>
      <c r="AW1151" s="588" t="n"/>
      <c r="AX1151" s="588" t="n"/>
      <c r="AY1151" s="588" t="n"/>
      <c r="AZ1151" s="588" t="n"/>
      <c r="BA1151" s="588" t="n"/>
      <c r="BB1151" s="588" t="n"/>
      <c r="BC1151" s="588" t="n"/>
      <c r="BD1151" s="588" t="n"/>
      <c r="BE1151" s="588" t="n"/>
      <c r="BF1151" s="588" t="n"/>
      <c r="BG1151" s="588" t="n"/>
      <c r="BH1151" s="588" t="n"/>
      <c r="BI1151" s="588" t="n"/>
      <c r="BJ1151" s="588" t="n"/>
      <c r="BK1151" s="588" t="n"/>
      <c r="BL1151" s="588" t="n"/>
      <c r="BM1151" s="588" t="n"/>
      <c r="BN1151" s="588" t="n"/>
      <c r="BO1151" s="588" t="n"/>
      <c r="BP1151" s="588" t="n"/>
      <c r="BQ1151" s="588" t="n"/>
      <c r="BR1151" s="588" t="n"/>
      <c r="BS1151" s="588" t="n"/>
      <c r="BT1151" s="588" t="n"/>
      <c r="BU1151" s="588" t="n"/>
      <c r="BV1151" s="588" t="n"/>
      <c r="BW1151" s="588" t="n"/>
      <c r="BX1151" s="588" t="n"/>
      <c r="BY1151" s="588" t="n"/>
      <c r="BZ1151" s="588" t="n"/>
      <c r="CA1151" s="588" t="n"/>
      <c r="CB1151" s="588" t="n"/>
      <c r="CC1151" s="588" t="n"/>
      <c r="CD1151" s="588" t="n"/>
      <c r="CE1151" s="588" t="n"/>
      <c r="CF1151" s="588" t="n"/>
      <c r="CG1151" s="588" t="n"/>
      <c r="CH1151" s="588" t="n"/>
      <c r="CI1151" s="588" t="n"/>
      <c r="CJ1151" s="588" t="n"/>
      <c r="CK1151" s="588" t="n"/>
      <c r="CL1151" s="588" t="n"/>
      <c r="CM1151" s="588" t="n"/>
      <c r="CN1151" s="588" t="n"/>
      <c r="CO1151" s="588" t="n"/>
      <c r="CP1151" s="588" t="n"/>
      <c r="CQ1151" s="588" t="n"/>
      <c r="CR1151" s="588" t="n"/>
      <c r="CS1151" s="588" t="n"/>
      <c r="CT1151" s="588" t="n"/>
      <c r="CU1151" s="588" t="n"/>
      <c r="CV1151" s="588" t="n"/>
      <c r="CW1151" s="588" t="n"/>
      <c r="CX1151" s="588" t="n"/>
      <c r="CY1151" s="588" t="n"/>
      <c r="CZ1151" s="588" t="n"/>
      <c r="DA1151" s="588" t="n"/>
      <c r="DB1151" s="588" t="n"/>
      <c r="DC1151" s="588" t="n"/>
      <c r="DD1151" s="588" t="n"/>
      <c r="DE1151" s="588" t="n"/>
      <c r="DF1151" s="588" t="n"/>
      <c r="DG1151" s="588" t="n"/>
      <c r="DH1151" s="588" t="n"/>
      <c r="DI1151" s="588" t="n"/>
      <c r="DJ1151" s="588" t="n"/>
      <c r="DK1151" s="588" t="n"/>
      <c r="DL1151" s="588" t="n"/>
      <c r="DM1151" s="588" t="n"/>
      <c r="DN1151" s="588" t="n"/>
      <c r="DO1151" s="588" t="n"/>
      <c r="DP1151" s="588" t="n"/>
      <c r="DQ1151" s="588" t="n"/>
      <c r="DR1151" s="588" t="n"/>
      <c r="DS1151" s="588" t="n"/>
      <c r="DT1151" s="588" t="n"/>
      <c r="DU1151" s="588" t="n"/>
    </row>
    <row r="1152">
      <c r="A1152" s="737" t="n"/>
      <c r="B1152" s="737" t="n"/>
      <c r="C1152" s="737" t="n"/>
      <c r="D1152" s="737" t="n"/>
      <c r="E1152" s="737" t="n"/>
      <c r="F1152" s="737" t="n"/>
      <c r="G1152" s="737" t="n"/>
      <c r="H1152" s="737" t="n"/>
      <c r="I1152" s="737" t="n"/>
      <c r="J1152" s="737" t="n"/>
      <c r="K1152" s="737" t="n"/>
      <c r="L1152" s="737" t="n"/>
      <c r="M1152" s="737" t="n"/>
      <c r="N1152" s="737" t="n"/>
      <c r="O1152" s="737" t="n"/>
      <c r="P1152" s="737" t="n"/>
      <c r="Q1152" s="737" t="n"/>
      <c r="R1152" s="737" t="n"/>
      <c r="S1152" s="737" t="n"/>
      <c r="T1152" s="737" t="n"/>
      <c r="U1152" s="737" t="n"/>
      <c r="V1152" s="737" t="n"/>
      <c r="W1152" s="737" t="n"/>
      <c r="X1152" s="737" t="n"/>
      <c r="Y1152" s="737" t="n"/>
      <c r="Z1152" s="737" t="n"/>
      <c r="AA1152" s="737" t="n"/>
      <c r="AB1152" s="737" t="n"/>
      <c r="AC1152" s="737" t="n"/>
      <c r="AD1152" s="737" t="n"/>
      <c r="AE1152" s="737" t="n"/>
      <c r="AF1152" s="737" t="n"/>
      <c r="AG1152" s="737" t="n"/>
      <c r="AH1152" s="737" t="n"/>
      <c r="AI1152" s="737" t="n"/>
      <c r="AJ1152" s="737" t="n"/>
      <c r="AK1152" s="588" t="n"/>
      <c r="AL1152" s="588" t="n"/>
      <c r="AM1152" s="588" t="n"/>
      <c r="AN1152" s="588" t="n"/>
      <c r="AO1152" s="588" t="n"/>
      <c r="AP1152" s="588" t="n"/>
      <c r="AQ1152" s="588" t="n"/>
      <c r="AR1152" s="588" t="n"/>
      <c r="AS1152" s="588" t="n"/>
      <c r="AT1152" s="588" t="n"/>
      <c r="AU1152" s="588" t="n"/>
      <c r="AV1152" s="588" t="n"/>
      <c r="AW1152" s="588" t="n"/>
      <c r="AX1152" s="588" t="n"/>
      <c r="AY1152" s="588" t="n"/>
      <c r="AZ1152" s="588" t="n"/>
      <c r="BA1152" s="588" t="n"/>
      <c r="BB1152" s="588" t="n"/>
      <c r="BC1152" s="588" t="n"/>
      <c r="BD1152" s="588" t="n"/>
      <c r="BE1152" s="588" t="n"/>
      <c r="BF1152" s="588" t="n"/>
      <c r="BG1152" s="588" t="n"/>
      <c r="BH1152" s="588" t="n"/>
      <c r="BI1152" s="588" t="n"/>
      <c r="BJ1152" s="588" t="n"/>
      <c r="BK1152" s="588" t="n"/>
      <c r="BL1152" s="588" t="n"/>
      <c r="BM1152" s="588" t="n"/>
      <c r="BN1152" s="588" t="n"/>
      <c r="BO1152" s="588" t="n"/>
      <c r="BP1152" s="588" t="n"/>
      <c r="BQ1152" s="588" t="n"/>
      <c r="BR1152" s="588" t="n"/>
      <c r="BS1152" s="588" t="n"/>
      <c r="BT1152" s="588" t="n"/>
      <c r="BU1152" s="588" t="n"/>
      <c r="BV1152" s="588" t="n"/>
      <c r="BW1152" s="588" t="n"/>
      <c r="BX1152" s="588" t="n"/>
      <c r="BY1152" s="588" t="n"/>
      <c r="BZ1152" s="588" t="n"/>
      <c r="CA1152" s="588" t="n"/>
      <c r="CB1152" s="588" t="n"/>
      <c r="CC1152" s="588" t="n"/>
      <c r="CD1152" s="588" t="n"/>
      <c r="CE1152" s="588" t="n"/>
      <c r="CF1152" s="588" t="n"/>
      <c r="CG1152" s="588" t="n"/>
      <c r="CH1152" s="588" t="n"/>
      <c r="CI1152" s="588" t="n"/>
      <c r="CJ1152" s="588" t="n"/>
      <c r="CK1152" s="588" t="n"/>
      <c r="CL1152" s="588" t="n"/>
      <c r="CM1152" s="588" t="n"/>
      <c r="CN1152" s="588" t="n"/>
      <c r="CO1152" s="588" t="n"/>
      <c r="CP1152" s="588" t="n"/>
      <c r="CQ1152" s="588" t="n"/>
      <c r="CR1152" s="588" t="n"/>
      <c r="CS1152" s="588" t="n"/>
      <c r="CT1152" s="588" t="n"/>
      <c r="CU1152" s="588" t="n"/>
      <c r="CV1152" s="588" t="n"/>
      <c r="CW1152" s="588" t="n"/>
      <c r="CX1152" s="588" t="n"/>
      <c r="CY1152" s="588" t="n"/>
      <c r="CZ1152" s="588" t="n"/>
      <c r="DA1152" s="588" t="n"/>
      <c r="DB1152" s="588" t="n"/>
      <c r="DC1152" s="588" t="n"/>
      <c r="DD1152" s="588" t="n"/>
      <c r="DE1152" s="588" t="n"/>
      <c r="DF1152" s="588" t="n"/>
      <c r="DG1152" s="588" t="n"/>
      <c r="DH1152" s="588" t="n"/>
      <c r="DI1152" s="588" t="n"/>
      <c r="DJ1152" s="588" t="n"/>
      <c r="DK1152" s="588" t="n"/>
      <c r="DL1152" s="588" t="n"/>
      <c r="DM1152" s="588" t="n"/>
      <c r="DN1152" s="588" t="n"/>
      <c r="DO1152" s="588" t="n"/>
      <c r="DP1152" s="588" t="n"/>
      <c r="DQ1152" s="588" t="n"/>
      <c r="DR1152" s="588" t="n"/>
      <c r="DS1152" s="588" t="n"/>
      <c r="DT1152" s="588" t="n"/>
      <c r="DU1152" s="588" t="n"/>
    </row>
    <row r="1153">
      <c r="A1153" s="737" t="n"/>
      <c r="B1153" s="737" t="n"/>
      <c r="C1153" s="737" t="n"/>
      <c r="D1153" s="737" t="n"/>
      <c r="E1153" s="737" t="n"/>
      <c r="F1153" s="737" t="n"/>
      <c r="G1153" s="737" t="n"/>
      <c r="H1153" s="737" t="n"/>
      <c r="I1153" s="737" t="n"/>
      <c r="J1153" s="737" t="n"/>
      <c r="K1153" s="737" t="n"/>
      <c r="L1153" s="737" t="n"/>
      <c r="M1153" s="737" t="n"/>
      <c r="N1153" s="737" t="n"/>
      <c r="O1153" s="737" t="n"/>
      <c r="P1153" s="737" t="n"/>
      <c r="Q1153" s="737" t="n"/>
      <c r="R1153" s="737" t="n"/>
      <c r="S1153" s="737" t="n"/>
      <c r="T1153" s="737" t="n"/>
      <c r="U1153" s="737" t="n"/>
      <c r="V1153" s="737" t="n"/>
      <c r="W1153" s="737" t="n"/>
      <c r="X1153" s="737" t="n"/>
      <c r="Y1153" s="737" t="n"/>
      <c r="Z1153" s="737" t="n"/>
      <c r="AA1153" s="737" t="n"/>
      <c r="AB1153" s="737" t="n"/>
      <c r="AC1153" s="737" t="n"/>
      <c r="AD1153" s="737" t="n"/>
      <c r="AE1153" s="737" t="n"/>
      <c r="AF1153" s="737" t="n"/>
      <c r="AG1153" s="737" t="n"/>
      <c r="AH1153" s="737" t="n"/>
      <c r="AI1153" s="737" t="n"/>
      <c r="AJ1153" s="737" t="n"/>
      <c r="AK1153" s="588" t="n"/>
      <c r="AL1153" s="588" t="n"/>
      <c r="AM1153" s="588" t="n"/>
      <c r="AN1153" s="588" t="n"/>
      <c r="AO1153" s="588" t="n"/>
      <c r="AP1153" s="588" t="n"/>
      <c r="AQ1153" s="588" t="n"/>
      <c r="AR1153" s="588" t="n"/>
      <c r="AS1153" s="588" t="n"/>
      <c r="AT1153" s="588" t="n"/>
      <c r="AU1153" s="588" t="n"/>
      <c r="AV1153" s="588" t="n"/>
      <c r="AW1153" s="588" t="n"/>
      <c r="AX1153" s="588" t="n"/>
      <c r="AY1153" s="588" t="n"/>
      <c r="AZ1153" s="588" t="n"/>
      <c r="BA1153" s="588" t="n"/>
      <c r="BB1153" s="588" t="n"/>
      <c r="BC1153" s="588" t="n"/>
      <c r="BD1153" s="588" t="n"/>
      <c r="BE1153" s="588" t="n"/>
      <c r="BF1153" s="588" t="n"/>
      <c r="BG1153" s="588" t="n"/>
      <c r="BH1153" s="588" t="n"/>
      <c r="BI1153" s="588" t="n"/>
      <c r="BJ1153" s="588" t="n"/>
      <c r="BK1153" s="588" t="n"/>
      <c r="BL1153" s="588" t="n"/>
      <c r="BM1153" s="588" t="n"/>
      <c r="BN1153" s="588" t="n"/>
      <c r="BO1153" s="588" t="n"/>
      <c r="BP1153" s="588" t="n"/>
      <c r="BQ1153" s="588" t="n"/>
      <c r="BR1153" s="588" t="n"/>
      <c r="BS1153" s="588" t="n"/>
      <c r="BT1153" s="588" t="n"/>
      <c r="BU1153" s="588" t="n"/>
      <c r="BV1153" s="588" t="n"/>
      <c r="BW1153" s="588" t="n"/>
      <c r="BX1153" s="588" t="n"/>
      <c r="BY1153" s="588" t="n"/>
      <c r="BZ1153" s="588" t="n"/>
      <c r="CA1153" s="588" t="n"/>
      <c r="CB1153" s="588" t="n"/>
      <c r="CC1153" s="588" t="n"/>
      <c r="CD1153" s="588" t="n"/>
      <c r="CE1153" s="588" t="n"/>
      <c r="CF1153" s="588" t="n"/>
      <c r="CG1153" s="588" t="n"/>
      <c r="CH1153" s="588" t="n"/>
      <c r="CI1153" s="588" t="n"/>
      <c r="CJ1153" s="588" t="n"/>
      <c r="CK1153" s="588" t="n"/>
      <c r="CL1153" s="588" t="n"/>
      <c r="CM1153" s="588" t="n"/>
      <c r="CN1153" s="588" t="n"/>
      <c r="CO1153" s="588" t="n"/>
      <c r="CP1153" s="588" t="n"/>
      <c r="CQ1153" s="588" t="n"/>
      <c r="CR1153" s="588" t="n"/>
      <c r="CS1153" s="588" t="n"/>
      <c r="CT1153" s="588" t="n"/>
      <c r="CU1153" s="588" t="n"/>
      <c r="CV1153" s="588" t="n"/>
      <c r="CW1153" s="588" t="n"/>
      <c r="CX1153" s="588" t="n"/>
      <c r="CY1153" s="588" t="n"/>
      <c r="CZ1153" s="588" t="n"/>
      <c r="DA1153" s="588" t="n"/>
      <c r="DB1153" s="588" t="n"/>
      <c r="DC1153" s="588" t="n"/>
      <c r="DD1153" s="588" t="n"/>
      <c r="DE1153" s="588" t="n"/>
      <c r="DF1153" s="588" t="n"/>
      <c r="DG1153" s="588" t="n"/>
      <c r="DH1153" s="588" t="n"/>
      <c r="DI1153" s="588" t="n"/>
      <c r="DJ1153" s="588" t="n"/>
      <c r="DK1153" s="588" t="n"/>
      <c r="DL1153" s="588" t="n"/>
      <c r="DM1153" s="588" t="n"/>
      <c r="DN1153" s="588" t="n"/>
      <c r="DO1153" s="588" t="n"/>
      <c r="DP1153" s="588" t="n"/>
      <c r="DQ1153" s="588" t="n"/>
      <c r="DR1153" s="588" t="n"/>
      <c r="DS1153" s="588" t="n"/>
      <c r="DT1153" s="588" t="n"/>
      <c r="DU1153" s="588" t="n"/>
    </row>
    <row r="1154">
      <c r="A1154" s="737" t="n"/>
      <c r="B1154" s="737" t="n"/>
      <c r="C1154" s="737" t="n"/>
      <c r="D1154" s="737" t="n"/>
      <c r="E1154" s="737" t="n"/>
      <c r="F1154" s="737" t="n"/>
      <c r="G1154" s="737" t="n"/>
      <c r="H1154" s="737" t="n"/>
      <c r="I1154" s="737" t="n"/>
      <c r="J1154" s="737" t="n"/>
      <c r="K1154" s="737" t="n"/>
      <c r="L1154" s="737" t="n"/>
      <c r="M1154" s="737" t="n"/>
      <c r="N1154" s="737" t="n"/>
      <c r="O1154" s="737" t="n"/>
      <c r="P1154" s="737" t="n"/>
      <c r="Q1154" s="737" t="n"/>
      <c r="R1154" s="737" t="n"/>
      <c r="S1154" s="737" t="n"/>
      <c r="T1154" s="737" t="n"/>
      <c r="U1154" s="737" t="n"/>
      <c r="V1154" s="737" t="n"/>
      <c r="W1154" s="737" t="n"/>
      <c r="X1154" s="737" t="n"/>
      <c r="Y1154" s="737" t="n"/>
      <c r="Z1154" s="737" t="n"/>
      <c r="AA1154" s="737" t="n"/>
      <c r="AB1154" s="737" t="n"/>
      <c r="AC1154" s="737" t="n"/>
      <c r="AD1154" s="737" t="n"/>
      <c r="AE1154" s="737" t="n"/>
      <c r="AF1154" s="737" t="n"/>
      <c r="AG1154" s="737" t="n"/>
      <c r="AH1154" s="737" t="n"/>
      <c r="AI1154" s="737" t="n"/>
      <c r="AJ1154" s="737" t="n"/>
      <c r="AK1154" s="588" t="n"/>
      <c r="AL1154" s="588" t="n"/>
      <c r="AM1154" s="588" t="n"/>
      <c r="AN1154" s="588" t="n"/>
      <c r="AO1154" s="588" t="n"/>
      <c r="AP1154" s="588" t="n"/>
      <c r="AQ1154" s="588" t="n"/>
      <c r="AR1154" s="588" t="n"/>
      <c r="AS1154" s="588" t="n"/>
      <c r="AT1154" s="588" t="n"/>
      <c r="AU1154" s="588" t="n"/>
      <c r="AV1154" s="588" t="n"/>
      <c r="AW1154" s="588" t="n"/>
      <c r="AX1154" s="588" t="n"/>
      <c r="AY1154" s="588" t="n"/>
      <c r="AZ1154" s="588" t="n"/>
      <c r="BA1154" s="588" t="n"/>
      <c r="BB1154" s="588" t="n"/>
      <c r="BC1154" s="588" t="n"/>
      <c r="BD1154" s="588" t="n"/>
      <c r="BE1154" s="588" t="n"/>
      <c r="BF1154" s="588" t="n"/>
      <c r="BG1154" s="588" t="n"/>
      <c r="BH1154" s="588" t="n"/>
      <c r="BI1154" s="588" t="n"/>
      <c r="BJ1154" s="588" t="n"/>
      <c r="BK1154" s="588" t="n"/>
      <c r="BL1154" s="588" t="n"/>
      <c r="BM1154" s="588" t="n"/>
      <c r="BN1154" s="588" t="n"/>
      <c r="BO1154" s="588" t="n"/>
      <c r="BP1154" s="588" t="n"/>
      <c r="BQ1154" s="588" t="n"/>
      <c r="BR1154" s="588" t="n"/>
      <c r="BS1154" s="588" t="n"/>
      <c r="BT1154" s="588" t="n"/>
      <c r="BU1154" s="588" t="n"/>
      <c r="BV1154" s="588" t="n"/>
      <c r="BW1154" s="588" t="n"/>
      <c r="BX1154" s="588" t="n"/>
      <c r="BY1154" s="588" t="n"/>
      <c r="BZ1154" s="588" t="n"/>
      <c r="CA1154" s="588" t="n"/>
      <c r="CB1154" s="588" t="n"/>
      <c r="CC1154" s="588" t="n"/>
      <c r="CD1154" s="588" t="n"/>
      <c r="CE1154" s="588" t="n"/>
      <c r="CF1154" s="588" t="n"/>
      <c r="CG1154" s="588" t="n"/>
      <c r="CH1154" s="588" t="n"/>
      <c r="CI1154" s="588" t="n"/>
      <c r="CJ1154" s="588" t="n"/>
      <c r="CK1154" s="588" t="n"/>
      <c r="CL1154" s="588" t="n"/>
      <c r="CM1154" s="588" t="n"/>
      <c r="CN1154" s="588" t="n"/>
      <c r="CO1154" s="588" t="n"/>
      <c r="CP1154" s="588" t="n"/>
      <c r="CQ1154" s="588" t="n"/>
      <c r="CR1154" s="588" t="n"/>
      <c r="CS1154" s="588" t="n"/>
      <c r="CT1154" s="588" t="n"/>
      <c r="CU1154" s="588" t="n"/>
      <c r="CV1154" s="588" t="n"/>
      <c r="CW1154" s="588" t="n"/>
      <c r="CX1154" s="588" t="n"/>
      <c r="CY1154" s="588" t="n"/>
      <c r="CZ1154" s="588" t="n"/>
      <c r="DA1154" s="588" t="n"/>
      <c r="DB1154" s="588" t="n"/>
      <c r="DC1154" s="588" t="n"/>
      <c r="DD1154" s="588" t="n"/>
      <c r="DE1154" s="588" t="n"/>
      <c r="DF1154" s="588" t="n"/>
      <c r="DG1154" s="588" t="n"/>
      <c r="DH1154" s="588" t="n"/>
      <c r="DI1154" s="588" t="n"/>
      <c r="DJ1154" s="588" t="n"/>
      <c r="DK1154" s="588" t="n"/>
      <c r="DL1154" s="588" t="n"/>
      <c r="DM1154" s="588" t="n"/>
      <c r="DN1154" s="588" t="n"/>
      <c r="DO1154" s="588" t="n"/>
      <c r="DP1154" s="588" t="n"/>
      <c r="DQ1154" s="588" t="n"/>
      <c r="DR1154" s="588" t="n"/>
      <c r="DS1154" s="588" t="n"/>
      <c r="DT1154" s="588" t="n"/>
      <c r="DU1154" s="588" t="n"/>
    </row>
    <row r="1155">
      <c r="A1155" s="737" t="n"/>
      <c r="B1155" s="737" t="n"/>
      <c r="C1155" s="737" t="n"/>
      <c r="D1155" s="737" t="n"/>
      <c r="E1155" s="737" t="n"/>
      <c r="F1155" s="737" t="n"/>
      <c r="G1155" s="737" t="n"/>
      <c r="H1155" s="737" t="n"/>
      <c r="I1155" s="737" t="n"/>
      <c r="J1155" s="737" t="n"/>
      <c r="K1155" s="737" t="n"/>
      <c r="L1155" s="737" t="n"/>
      <c r="M1155" s="737" t="n"/>
      <c r="N1155" s="737" t="n"/>
      <c r="O1155" s="737" t="n"/>
      <c r="P1155" s="737" t="n"/>
      <c r="Q1155" s="737" t="n"/>
      <c r="R1155" s="737" t="n"/>
      <c r="S1155" s="737" t="n"/>
      <c r="T1155" s="737" t="n"/>
      <c r="U1155" s="737" t="n"/>
      <c r="V1155" s="737" t="n"/>
      <c r="W1155" s="737" t="n"/>
      <c r="X1155" s="737" t="n"/>
      <c r="Y1155" s="737" t="n"/>
      <c r="Z1155" s="737" t="n"/>
      <c r="AA1155" s="737" t="n"/>
      <c r="AB1155" s="737" t="n"/>
      <c r="AC1155" s="737" t="n"/>
      <c r="AD1155" s="737" t="n"/>
      <c r="AE1155" s="737" t="n"/>
      <c r="AF1155" s="737" t="n"/>
      <c r="AG1155" s="737" t="n"/>
      <c r="AH1155" s="737" t="n"/>
      <c r="AI1155" s="737" t="n"/>
      <c r="AJ1155" s="737" t="n"/>
      <c r="AK1155" s="737" t="n"/>
      <c r="AL1155" s="737" t="n"/>
      <c r="AM1155" s="737" t="n"/>
      <c r="AN1155" s="737" t="n"/>
      <c r="AO1155" s="737" t="n"/>
      <c r="AP1155" s="737" t="n"/>
      <c r="AQ1155" s="737" t="n"/>
      <c r="AR1155" s="737" t="n"/>
      <c r="AS1155" s="737" t="n"/>
      <c r="AT1155" s="737" t="n"/>
      <c r="AU1155" s="737" t="n"/>
      <c r="AV1155" s="737" t="n"/>
      <c r="AW1155" s="737" t="n"/>
      <c r="AX1155" s="737" t="n"/>
      <c r="AY1155" s="737" t="n"/>
      <c r="AZ1155" s="737" t="n"/>
      <c r="BA1155" s="737" t="n"/>
      <c r="BB1155" s="737" t="n"/>
      <c r="BC1155" s="737" t="n"/>
      <c r="BD1155" s="737" t="n"/>
      <c r="BE1155" s="737" t="n"/>
      <c r="BF1155" s="737" t="n"/>
      <c r="BG1155" s="737" t="n"/>
      <c r="BH1155" s="737" t="n"/>
      <c r="BI1155" s="737" t="n"/>
      <c r="BJ1155" s="737" t="n"/>
      <c r="BK1155" s="737" t="n"/>
      <c r="BL1155" s="737" t="n"/>
      <c r="BM1155" s="737" t="n"/>
      <c r="BN1155" s="737" t="n"/>
      <c r="BO1155" s="737" t="n"/>
      <c r="BP1155" s="737" t="n"/>
      <c r="BQ1155" s="737" t="n"/>
      <c r="BR1155" s="737" t="n"/>
      <c r="BS1155" s="737" t="n"/>
      <c r="BT1155" s="737" t="n"/>
      <c r="BU1155" s="737" t="n"/>
      <c r="BV1155" s="737" t="n"/>
      <c r="BW1155" s="737" t="n"/>
      <c r="BX1155" s="737" t="n"/>
      <c r="BY1155" s="737" t="n"/>
      <c r="BZ1155" s="737" t="n"/>
      <c r="CA1155" s="737" t="n"/>
      <c r="CB1155" s="737" t="n"/>
      <c r="CC1155" s="737" t="n"/>
      <c r="CD1155" s="737" t="n"/>
      <c r="CE1155" s="737" t="n"/>
      <c r="CF1155" s="737" t="n"/>
      <c r="CG1155" s="737" t="n"/>
      <c r="CH1155" s="737" t="n"/>
      <c r="CI1155" s="737" t="n"/>
      <c r="CJ1155" s="737" t="n"/>
      <c r="CK1155" s="737" t="n"/>
      <c r="CL1155" s="737" t="n"/>
      <c r="CM1155" s="737" t="n"/>
      <c r="CN1155" s="737" t="n"/>
      <c r="CO1155" s="737" t="n"/>
      <c r="CP1155" s="737" t="n"/>
      <c r="CQ1155" s="737" t="n"/>
      <c r="CR1155" s="737" t="n"/>
      <c r="CS1155" s="737" t="n"/>
      <c r="CT1155" s="737" t="n"/>
      <c r="CU1155" s="737" t="n"/>
      <c r="CV1155" s="737" t="n"/>
      <c r="CW1155" s="737" t="n"/>
      <c r="CX1155" s="737" t="n"/>
      <c r="CY1155" s="737" t="n"/>
    </row>
    <row r="1156">
      <c r="A1156" s="737" t="n"/>
      <c r="B1156" s="737" t="n"/>
      <c r="C1156" s="737" t="n"/>
      <c r="D1156" s="737" t="n"/>
      <c r="E1156" s="737" t="n"/>
      <c r="F1156" s="737" t="n"/>
      <c r="G1156" s="737" t="n"/>
      <c r="H1156" s="737" t="n"/>
      <c r="I1156" s="737" t="n"/>
      <c r="J1156" s="737" t="n"/>
      <c r="K1156" s="737" t="n"/>
      <c r="L1156" s="737" t="n"/>
      <c r="M1156" s="737" t="n"/>
      <c r="N1156" s="737" t="n"/>
      <c r="O1156" s="737" t="n"/>
      <c r="P1156" s="737" t="n"/>
      <c r="Q1156" s="737" t="n"/>
      <c r="R1156" s="737" t="n"/>
      <c r="S1156" s="737" t="n"/>
      <c r="T1156" s="737" t="n"/>
      <c r="U1156" s="737" t="n"/>
      <c r="V1156" s="737" t="n"/>
      <c r="W1156" s="737" t="n"/>
      <c r="X1156" s="737" t="n"/>
      <c r="Y1156" s="737" t="n"/>
      <c r="Z1156" s="737" t="n"/>
      <c r="AA1156" s="737" t="n"/>
      <c r="AB1156" s="737" t="n"/>
      <c r="AC1156" s="737" t="n"/>
      <c r="AD1156" s="737" t="n"/>
      <c r="AE1156" s="737" t="n"/>
      <c r="AF1156" s="737" t="n"/>
      <c r="AG1156" s="737" t="n"/>
      <c r="AH1156" s="737" t="n"/>
      <c r="AI1156" s="737" t="n"/>
      <c r="AJ1156" s="737" t="n"/>
      <c r="AK1156" s="737" t="n"/>
      <c r="AL1156" s="737" t="n"/>
      <c r="AM1156" s="737" t="n"/>
      <c r="AN1156" s="737" t="n"/>
      <c r="AO1156" s="737" t="n"/>
      <c r="AP1156" s="737" t="n"/>
      <c r="AQ1156" s="737" t="n"/>
      <c r="AR1156" s="737" t="n"/>
      <c r="AS1156" s="737" t="n"/>
      <c r="AT1156" s="737" t="n"/>
      <c r="AU1156" s="737" t="n"/>
      <c r="AV1156" s="737" t="n"/>
      <c r="AW1156" s="737" t="n"/>
      <c r="AX1156" s="737" t="n"/>
      <c r="AY1156" s="737" t="n"/>
      <c r="AZ1156" s="737" t="n"/>
      <c r="BA1156" s="737" t="n"/>
      <c r="BB1156" s="737" t="n"/>
      <c r="BC1156" s="737" t="n"/>
      <c r="BD1156" s="737" t="n"/>
      <c r="BE1156" s="737" t="n"/>
      <c r="BF1156" s="737" t="n"/>
      <c r="BG1156" s="737" t="n"/>
      <c r="BH1156" s="737" t="n"/>
      <c r="BI1156" s="737" t="n"/>
      <c r="BJ1156" s="737" t="n"/>
      <c r="BK1156" s="737" t="n"/>
      <c r="BL1156" s="737" t="n"/>
      <c r="BM1156" s="737" t="n"/>
      <c r="BN1156" s="737" t="n"/>
      <c r="BO1156" s="737" t="n"/>
      <c r="BP1156" s="737" t="n"/>
      <c r="BQ1156" s="737" t="n"/>
      <c r="BR1156" s="737" t="n"/>
      <c r="BS1156" s="737" t="n"/>
      <c r="BT1156" s="737" t="n"/>
      <c r="BU1156" s="737" t="n"/>
      <c r="BV1156" s="737" t="n"/>
      <c r="BW1156" s="737" t="n"/>
      <c r="BX1156" s="737" t="n"/>
      <c r="BY1156" s="737" t="n"/>
      <c r="BZ1156" s="737" t="n"/>
      <c r="CA1156" s="737" t="n"/>
      <c r="CB1156" s="737" t="n"/>
      <c r="CC1156" s="737" t="n"/>
      <c r="CD1156" s="737" t="n"/>
      <c r="CE1156" s="737" t="n"/>
      <c r="CF1156" s="737" t="n"/>
      <c r="CG1156" s="737" t="n"/>
      <c r="CH1156" s="737" t="n"/>
      <c r="CI1156" s="737" t="n"/>
      <c r="CJ1156" s="737" t="n"/>
      <c r="CK1156" s="737" t="n"/>
      <c r="CL1156" s="737" t="n"/>
      <c r="CM1156" s="737" t="n"/>
      <c r="CN1156" s="737" t="n"/>
      <c r="CO1156" s="737" t="n"/>
      <c r="CP1156" s="737" t="n"/>
      <c r="CQ1156" s="737" t="n"/>
      <c r="CR1156" s="737" t="n"/>
      <c r="CS1156" s="737" t="n"/>
      <c r="CT1156" s="737" t="n"/>
      <c r="CU1156" s="737" t="n"/>
      <c r="CV1156" s="737" t="n"/>
      <c r="CW1156" s="737" t="n"/>
      <c r="CX1156" s="737" t="n"/>
      <c r="CY1156" s="737" t="n"/>
    </row>
    <row r="1157">
      <c r="A1157" s="737" t="n"/>
      <c r="B1157" s="737" t="n"/>
      <c r="C1157" s="737" t="n"/>
      <c r="D1157" s="737" t="n"/>
      <c r="E1157" s="737" t="n"/>
      <c r="F1157" s="737" t="n"/>
      <c r="G1157" s="737" t="n"/>
      <c r="H1157" s="737" t="n"/>
      <c r="I1157" s="737" t="n"/>
      <c r="J1157" s="737" t="n"/>
      <c r="K1157" s="737" t="n"/>
      <c r="L1157" s="737" t="n"/>
      <c r="M1157" s="737" t="n"/>
      <c r="N1157" s="737" t="n"/>
      <c r="O1157" s="737" t="n"/>
      <c r="P1157" s="737" t="n"/>
      <c r="Q1157" s="737" t="n"/>
      <c r="R1157" s="737" t="n"/>
      <c r="S1157" s="737" t="n"/>
      <c r="T1157" s="737" t="n"/>
      <c r="U1157" s="737" t="n"/>
      <c r="V1157" s="737" t="n"/>
      <c r="W1157" s="737" t="n"/>
      <c r="X1157" s="737" t="n"/>
      <c r="Y1157" s="737" t="n"/>
      <c r="Z1157" s="737" t="n"/>
      <c r="AA1157" s="737" t="n"/>
      <c r="AB1157" s="737" t="n"/>
      <c r="AC1157" s="737" t="n"/>
      <c r="AD1157" s="737" t="n"/>
      <c r="AE1157" s="737" t="n"/>
      <c r="AF1157" s="737" t="n"/>
      <c r="AG1157" s="737" t="n"/>
      <c r="AH1157" s="737" t="n"/>
      <c r="AI1157" s="737" t="n"/>
      <c r="AJ1157" s="737" t="n"/>
      <c r="AK1157" s="737" t="n"/>
      <c r="AL1157" s="737" t="n"/>
      <c r="AM1157" s="737" t="n"/>
      <c r="AN1157" s="737" t="n"/>
      <c r="AO1157" s="737" t="n"/>
      <c r="AP1157" s="737" t="n"/>
      <c r="AQ1157" s="737" t="n"/>
      <c r="AR1157" s="737" t="n"/>
      <c r="AS1157" s="737" t="n"/>
      <c r="AT1157" s="737" t="n"/>
      <c r="AU1157" s="737" t="n"/>
      <c r="AV1157" s="737" t="n"/>
      <c r="AW1157" s="737" t="n"/>
      <c r="AX1157" s="737" t="n"/>
      <c r="AY1157" s="737" t="n"/>
      <c r="AZ1157" s="737" t="n"/>
      <c r="BA1157" s="737" t="n"/>
      <c r="BB1157" s="737" t="n"/>
      <c r="BC1157" s="737" t="n"/>
      <c r="BD1157" s="737" t="n"/>
      <c r="BE1157" s="737" t="n"/>
      <c r="BF1157" s="737" t="n"/>
      <c r="BG1157" s="737" t="n"/>
      <c r="BH1157" s="737" t="n"/>
      <c r="BI1157" s="737" t="n"/>
      <c r="BJ1157" s="737" t="n"/>
      <c r="BK1157" s="737" t="n"/>
      <c r="BL1157" s="737" t="n"/>
      <c r="BM1157" s="737" t="n"/>
      <c r="BN1157" s="737" t="n"/>
      <c r="BO1157" s="737" t="n"/>
      <c r="BP1157" s="737" t="n"/>
      <c r="BQ1157" s="737" t="n"/>
      <c r="BR1157" s="737" t="n"/>
      <c r="BS1157" s="737" t="n"/>
      <c r="BT1157" s="737" t="n"/>
      <c r="BU1157" s="737" t="n"/>
      <c r="BV1157" s="737" t="n"/>
      <c r="BW1157" s="737" t="n"/>
      <c r="BX1157" s="737" t="n"/>
      <c r="BY1157" s="737" t="n"/>
      <c r="BZ1157" s="737" t="n"/>
      <c r="CA1157" s="737" t="n"/>
      <c r="CB1157" s="737" t="n"/>
      <c r="CC1157" s="737" t="n"/>
      <c r="CD1157" s="737" t="n"/>
      <c r="CE1157" s="737" t="n"/>
      <c r="CF1157" s="737" t="n"/>
      <c r="CG1157" s="737" t="n"/>
      <c r="CH1157" s="737" t="n"/>
      <c r="CI1157" s="737" t="n"/>
      <c r="CJ1157" s="737" t="n"/>
      <c r="CK1157" s="737" t="n"/>
      <c r="CL1157" s="737" t="n"/>
      <c r="CM1157" s="737" t="n"/>
      <c r="CN1157" s="737" t="n"/>
      <c r="CO1157" s="737" t="n"/>
      <c r="CP1157" s="737" t="n"/>
      <c r="CQ1157" s="737" t="n"/>
      <c r="CR1157" s="737" t="n"/>
      <c r="CS1157" s="737" t="n"/>
      <c r="CT1157" s="737" t="n"/>
      <c r="CU1157" s="737" t="n"/>
      <c r="CV1157" s="737" t="n"/>
      <c r="CW1157" s="737" t="n"/>
      <c r="CX1157" s="737" t="n"/>
      <c r="CY1157" s="737" t="n"/>
    </row>
    <row r="1158">
      <c r="A1158" s="737" t="n"/>
      <c r="B1158" s="737" t="n"/>
      <c r="C1158" s="737" t="n"/>
      <c r="D1158" s="737" t="n"/>
      <c r="E1158" s="737" t="n"/>
      <c r="F1158" s="737" t="n"/>
      <c r="G1158" s="737" t="n"/>
      <c r="H1158" s="737" t="n"/>
      <c r="I1158" s="737" t="n"/>
      <c r="J1158" s="737" t="n"/>
      <c r="K1158" s="737" t="n"/>
      <c r="L1158" s="737" t="n"/>
      <c r="M1158" s="737" t="n"/>
      <c r="N1158" s="737" t="n"/>
      <c r="O1158" s="737" t="n"/>
      <c r="P1158" s="737" t="n"/>
      <c r="Q1158" s="737" t="n"/>
      <c r="R1158" s="737" t="n"/>
      <c r="S1158" s="737" t="n"/>
      <c r="T1158" s="737" t="n"/>
      <c r="U1158" s="737" t="n"/>
      <c r="V1158" s="737" t="n"/>
      <c r="W1158" s="737" t="n"/>
      <c r="X1158" s="737" t="n"/>
      <c r="Y1158" s="737" t="n"/>
      <c r="Z1158" s="737" t="n"/>
      <c r="AA1158" s="737" t="n"/>
      <c r="AB1158" s="737" t="n"/>
      <c r="AC1158" s="737" t="n"/>
      <c r="AD1158" s="737" t="n"/>
      <c r="AE1158" s="737" t="n"/>
      <c r="AF1158" s="737" t="n"/>
      <c r="AG1158" s="737" t="n"/>
      <c r="AH1158" s="737" t="n"/>
      <c r="AI1158" s="737" t="n"/>
      <c r="AJ1158" s="737" t="n"/>
      <c r="AK1158" s="737" t="n"/>
      <c r="AL1158" s="737" t="n"/>
      <c r="AM1158" s="737" t="n"/>
      <c r="AN1158" s="737" t="n"/>
      <c r="AO1158" s="737" t="n"/>
      <c r="AP1158" s="737" t="n"/>
      <c r="AQ1158" s="737" t="n"/>
      <c r="AR1158" s="737" t="n"/>
      <c r="AS1158" s="737" t="n"/>
      <c r="AT1158" s="737" t="n"/>
      <c r="AU1158" s="737" t="n"/>
      <c r="AV1158" s="737" t="n"/>
      <c r="AW1158" s="737" t="n"/>
      <c r="AX1158" s="737" t="n"/>
      <c r="AY1158" s="737" t="n"/>
      <c r="AZ1158" s="737" t="n"/>
      <c r="BA1158" s="737" t="n"/>
      <c r="BB1158" s="737" t="n"/>
      <c r="BC1158" s="737" t="n"/>
      <c r="BD1158" s="737" t="n"/>
      <c r="BE1158" s="737" t="n"/>
      <c r="BF1158" s="737" t="n"/>
      <c r="BG1158" s="737" t="n"/>
      <c r="BH1158" s="737" t="n"/>
      <c r="BI1158" s="737" t="n"/>
      <c r="BJ1158" s="737" t="n"/>
      <c r="BK1158" s="737" t="n"/>
      <c r="BL1158" s="737" t="n"/>
      <c r="BM1158" s="737" t="n"/>
      <c r="BN1158" s="737" t="n"/>
      <c r="BO1158" s="737" t="n"/>
      <c r="BP1158" s="737" t="n"/>
      <c r="BQ1158" s="737" t="n"/>
      <c r="BR1158" s="737" t="n"/>
      <c r="BS1158" s="737" t="n"/>
      <c r="BT1158" s="737" t="n"/>
      <c r="BU1158" s="737" t="n"/>
      <c r="BV1158" s="737" t="n"/>
      <c r="BW1158" s="737" t="n"/>
      <c r="BX1158" s="737" t="n"/>
      <c r="BY1158" s="737" t="n"/>
      <c r="BZ1158" s="737" t="n"/>
      <c r="CA1158" s="737" t="n"/>
      <c r="CB1158" s="737" t="n"/>
      <c r="CC1158" s="737" t="n"/>
      <c r="CD1158" s="737" t="n"/>
      <c r="CE1158" s="737" t="n"/>
      <c r="CF1158" s="737" t="n"/>
      <c r="CG1158" s="737" t="n"/>
      <c r="CH1158" s="737" t="n"/>
      <c r="CI1158" s="737" t="n"/>
      <c r="CJ1158" s="737" t="n"/>
      <c r="CK1158" s="737" t="n"/>
      <c r="CL1158" s="737" t="n"/>
      <c r="CM1158" s="737" t="n"/>
      <c r="CN1158" s="737" t="n"/>
      <c r="CO1158" s="737" t="n"/>
      <c r="CP1158" s="737" t="n"/>
      <c r="CQ1158" s="737" t="n"/>
      <c r="CR1158" s="737" t="n"/>
      <c r="CS1158" s="737" t="n"/>
      <c r="CT1158" s="737" t="n"/>
      <c r="CU1158" s="737" t="n"/>
      <c r="CV1158" s="737" t="n"/>
      <c r="CW1158" s="737" t="n"/>
      <c r="CX1158" s="737" t="n"/>
      <c r="CY1158" s="737" t="n"/>
    </row>
    <row r="1159">
      <c r="A1159" s="737" t="n"/>
      <c r="B1159" s="737" t="n"/>
      <c r="C1159" s="737" t="n"/>
      <c r="D1159" s="737" t="n"/>
      <c r="E1159" s="737" t="n"/>
      <c r="F1159" s="737" t="n"/>
      <c r="G1159" s="737" t="n"/>
      <c r="H1159" s="737" t="n"/>
      <c r="I1159" s="737" t="n"/>
      <c r="J1159" s="737" t="n"/>
      <c r="K1159" s="737" t="n"/>
      <c r="L1159" s="737" t="n"/>
      <c r="M1159" s="737" t="n"/>
      <c r="N1159" s="737" t="n"/>
      <c r="O1159" s="737" t="n"/>
      <c r="P1159" s="737" t="n"/>
      <c r="Q1159" s="737" t="n"/>
      <c r="R1159" s="737" t="n"/>
      <c r="S1159" s="737" t="n"/>
      <c r="T1159" s="737" t="n"/>
      <c r="U1159" s="737" t="n"/>
      <c r="V1159" s="737" t="n"/>
      <c r="W1159" s="737" t="n"/>
      <c r="X1159" s="737" t="n"/>
      <c r="Y1159" s="737" t="n"/>
      <c r="Z1159" s="737" t="n"/>
      <c r="AA1159" s="737" t="n"/>
      <c r="AB1159" s="737" t="n"/>
      <c r="AC1159" s="737" t="n"/>
      <c r="AD1159" s="737" t="n"/>
      <c r="AE1159" s="737" t="n"/>
      <c r="AF1159" s="737" t="n"/>
      <c r="AG1159" s="737" t="n"/>
      <c r="AH1159" s="737" t="n"/>
      <c r="AI1159" s="737" t="n"/>
      <c r="AJ1159" s="737" t="n"/>
      <c r="AK1159" s="737" t="n"/>
      <c r="AL1159" s="737" t="n"/>
      <c r="AM1159" s="737" t="n"/>
      <c r="AN1159" s="737" t="n"/>
      <c r="AO1159" s="737" t="n"/>
      <c r="AP1159" s="737" t="n"/>
      <c r="AQ1159" s="737" t="n"/>
      <c r="AR1159" s="737" t="n"/>
      <c r="AS1159" s="737" t="n"/>
      <c r="AT1159" s="737" t="n"/>
      <c r="AU1159" s="737" t="n"/>
      <c r="AV1159" s="737" t="n"/>
      <c r="AW1159" s="737" t="n"/>
      <c r="AX1159" s="737" t="n"/>
      <c r="AY1159" s="737" t="n"/>
      <c r="AZ1159" s="737" t="n"/>
      <c r="BA1159" s="737" t="n"/>
      <c r="BB1159" s="737" t="n"/>
      <c r="BC1159" s="737" t="n"/>
      <c r="BD1159" s="737" t="n"/>
      <c r="BE1159" s="737" t="n"/>
      <c r="BF1159" s="737" t="n"/>
      <c r="BG1159" s="737" t="n"/>
      <c r="BH1159" s="737" t="n"/>
      <c r="BI1159" s="737" t="n"/>
      <c r="BJ1159" s="737" t="n"/>
      <c r="BK1159" s="737" t="n"/>
      <c r="BL1159" s="737" t="n"/>
      <c r="BM1159" s="737" t="n"/>
      <c r="BN1159" s="737" t="n"/>
      <c r="BO1159" s="737" t="n"/>
      <c r="BP1159" s="737" t="n"/>
      <c r="BQ1159" s="737" t="n"/>
      <c r="BR1159" s="737" t="n"/>
      <c r="BS1159" s="737" t="n"/>
      <c r="BT1159" s="737" t="n"/>
      <c r="BU1159" s="737" t="n"/>
      <c r="BV1159" s="737" t="n"/>
      <c r="BW1159" s="737" t="n"/>
      <c r="BX1159" s="737" t="n"/>
      <c r="BY1159" s="737" t="n"/>
      <c r="BZ1159" s="737" t="n"/>
      <c r="CA1159" s="737" t="n"/>
      <c r="CB1159" s="737" t="n"/>
      <c r="CC1159" s="737" t="n"/>
      <c r="CD1159" s="737" t="n"/>
      <c r="CE1159" s="737" t="n"/>
      <c r="CF1159" s="737" t="n"/>
      <c r="CG1159" s="737" t="n"/>
      <c r="CH1159" s="737" t="n"/>
      <c r="CI1159" s="737" t="n"/>
      <c r="CJ1159" s="737" t="n"/>
      <c r="CK1159" s="737" t="n"/>
      <c r="CL1159" s="737" t="n"/>
      <c r="CM1159" s="737" t="n"/>
      <c r="CN1159" s="737" t="n"/>
      <c r="CO1159" s="737" t="n"/>
      <c r="CP1159" s="737" t="n"/>
      <c r="CQ1159" s="737" t="n"/>
      <c r="CR1159" s="737" t="n"/>
      <c r="CS1159" s="737" t="n"/>
      <c r="CT1159" s="737" t="n"/>
      <c r="CU1159" s="737" t="n"/>
      <c r="CV1159" s="737" t="n"/>
      <c r="CW1159" s="737" t="n"/>
      <c r="CX1159" s="737" t="n"/>
      <c r="CY1159" s="737" t="n"/>
    </row>
    <row r="1160">
      <c r="A1160" s="737" t="n"/>
      <c r="B1160" s="737" t="n"/>
      <c r="C1160" s="737" t="n"/>
      <c r="D1160" s="737" t="n"/>
      <c r="E1160" s="737" t="n"/>
      <c r="F1160" s="737" t="n"/>
      <c r="G1160" s="737" t="n"/>
      <c r="H1160" s="737" t="n"/>
      <c r="I1160" s="737" t="n"/>
      <c r="J1160" s="737" t="n"/>
      <c r="K1160" s="737" t="n"/>
      <c r="L1160" s="737" t="n"/>
      <c r="M1160" s="737" t="n"/>
      <c r="N1160" s="737" t="n"/>
      <c r="O1160" s="737" t="n"/>
      <c r="P1160" s="737" t="n"/>
      <c r="Q1160" s="737" t="n"/>
      <c r="R1160" s="737" t="n"/>
      <c r="S1160" s="737" t="n"/>
      <c r="T1160" s="737" t="n"/>
      <c r="U1160" s="737" t="n"/>
      <c r="V1160" s="737" t="n"/>
      <c r="W1160" s="737" t="n"/>
      <c r="X1160" s="737" t="n"/>
      <c r="Y1160" s="737" t="n"/>
      <c r="Z1160" s="737" t="n"/>
      <c r="AA1160" s="737" t="n"/>
      <c r="AB1160" s="737" t="n"/>
      <c r="AC1160" s="737" t="n"/>
      <c r="AD1160" s="737" t="n"/>
      <c r="AE1160" s="737" t="n"/>
      <c r="AF1160" s="737" t="n"/>
      <c r="AG1160" s="737" t="n"/>
      <c r="AH1160" s="737" t="n"/>
      <c r="AI1160" s="737" t="n"/>
      <c r="AJ1160" s="737" t="n"/>
      <c r="AK1160" s="737" t="n"/>
      <c r="AL1160" s="737" t="n"/>
      <c r="AM1160" s="737" t="n"/>
      <c r="AN1160" s="737" t="n"/>
      <c r="AO1160" s="737" t="n"/>
      <c r="AP1160" s="737" t="n"/>
      <c r="AQ1160" s="737" t="n"/>
      <c r="AR1160" s="737" t="n"/>
      <c r="AS1160" s="737" t="n"/>
      <c r="AT1160" s="737" t="n"/>
      <c r="AU1160" s="737" t="n"/>
      <c r="AV1160" s="737" t="n"/>
      <c r="AW1160" s="737" t="n"/>
      <c r="AX1160" s="737" t="n"/>
      <c r="AY1160" s="737" t="n"/>
      <c r="AZ1160" s="737" t="n"/>
      <c r="BA1160" s="737" t="n"/>
      <c r="BB1160" s="737" t="n"/>
      <c r="BC1160" s="737" t="n"/>
      <c r="BD1160" s="737" t="n"/>
      <c r="BE1160" s="737" t="n"/>
      <c r="BF1160" s="737" t="n"/>
      <c r="BG1160" s="737" t="n"/>
      <c r="BH1160" s="737" t="n"/>
      <c r="BI1160" s="737" t="n"/>
      <c r="BJ1160" s="737" t="n"/>
      <c r="BK1160" s="737" t="n"/>
      <c r="BL1160" s="737" t="n"/>
      <c r="BM1160" s="737" t="n"/>
      <c r="BN1160" s="737" t="n"/>
      <c r="BO1160" s="737" t="n"/>
      <c r="BP1160" s="737" t="n"/>
      <c r="BQ1160" s="737" t="n"/>
      <c r="BR1160" s="737" t="n"/>
      <c r="BS1160" s="737" t="n"/>
      <c r="BT1160" s="737" t="n"/>
      <c r="BU1160" s="737" t="n"/>
      <c r="BV1160" s="737" t="n"/>
      <c r="BW1160" s="737" t="n"/>
      <c r="BX1160" s="737" t="n"/>
      <c r="BY1160" s="737" t="n"/>
      <c r="BZ1160" s="737" t="n"/>
      <c r="CA1160" s="737" t="n"/>
      <c r="CB1160" s="737" t="n"/>
      <c r="CC1160" s="737" t="n"/>
      <c r="CD1160" s="737" t="n"/>
      <c r="CE1160" s="737" t="n"/>
      <c r="CF1160" s="737" t="n"/>
      <c r="CG1160" s="737" t="n"/>
      <c r="CH1160" s="737" t="n"/>
      <c r="CI1160" s="737" t="n"/>
      <c r="CJ1160" s="737" t="n"/>
      <c r="CK1160" s="737" t="n"/>
      <c r="CL1160" s="737" t="n"/>
      <c r="CM1160" s="737" t="n"/>
      <c r="CN1160" s="737" t="n"/>
      <c r="CO1160" s="737" t="n"/>
      <c r="CP1160" s="737" t="n"/>
      <c r="CQ1160" s="737" t="n"/>
      <c r="CR1160" s="737" t="n"/>
      <c r="CS1160" s="737" t="n"/>
      <c r="CT1160" s="737" t="n"/>
      <c r="CU1160" s="737" t="n"/>
      <c r="CV1160" s="737" t="n"/>
      <c r="CW1160" s="737" t="n"/>
      <c r="CX1160" s="737" t="n"/>
      <c r="CY1160" s="737" t="n"/>
    </row>
    <row r="1161">
      <c r="A1161" s="737" t="n"/>
      <c r="B1161" s="737" t="n"/>
      <c r="C1161" s="737" t="n"/>
      <c r="D1161" s="737" t="n"/>
      <c r="E1161" s="737" t="n"/>
      <c r="F1161" s="737" t="n"/>
      <c r="G1161" s="737" t="n"/>
      <c r="H1161" s="737" t="n"/>
      <c r="I1161" s="737" t="n"/>
      <c r="J1161" s="737" t="n"/>
      <c r="K1161" s="737" t="n"/>
      <c r="L1161" s="737" t="n"/>
      <c r="M1161" s="737" t="n"/>
      <c r="N1161" s="737" t="n"/>
      <c r="O1161" s="737" t="n"/>
      <c r="P1161" s="737" t="n"/>
      <c r="Q1161" s="737" t="n"/>
      <c r="R1161" s="737" t="n"/>
      <c r="S1161" s="737" t="n"/>
      <c r="T1161" s="737" t="n"/>
      <c r="U1161" s="737" t="n"/>
      <c r="V1161" s="737" t="n"/>
      <c r="W1161" s="737" t="n"/>
      <c r="X1161" s="737" t="n"/>
      <c r="Y1161" s="737" t="n"/>
      <c r="Z1161" s="737" t="n"/>
      <c r="AA1161" s="737" t="n"/>
      <c r="AB1161" s="737" t="n"/>
      <c r="AC1161" s="737" t="n"/>
      <c r="AD1161" s="737" t="n"/>
      <c r="AE1161" s="737" t="n"/>
      <c r="AF1161" s="737" t="n"/>
      <c r="AG1161" s="737" t="n"/>
      <c r="AH1161" s="737" t="n"/>
      <c r="AI1161" s="737" t="n"/>
      <c r="AJ1161" s="737" t="n"/>
      <c r="AK1161" s="737" t="n"/>
      <c r="AL1161" s="737" t="n"/>
      <c r="AM1161" s="737" t="n"/>
      <c r="AN1161" s="737" t="n"/>
      <c r="AO1161" s="737" t="n"/>
      <c r="AP1161" s="737" t="n"/>
      <c r="AQ1161" s="737" t="n"/>
      <c r="AR1161" s="737" t="n"/>
      <c r="AS1161" s="737" t="n"/>
      <c r="AT1161" s="737" t="n"/>
      <c r="AU1161" s="737" t="n"/>
      <c r="AV1161" s="737" t="n"/>
      <c r="AW1161" s="737" t="n"/>
      <c r="AX1161" s="737" t="n"/>
      <c r="AY1161" s="737" t="n"/>
      <c r="AZ1161" s="737" t="n"/>
      <c r="BA1161" s="737" t="n"/>
      <c r="BB1161" s="737" t="n"/>
      <c r="BC1161" s="737" t="n"/>
      <c r="BD1161" s="737" t="n"/>
      <c r="BE1161" s="737" t="n"/>
      <c r="BF1161" s="737" t="n"/>
      <c r="BG1161" s="737" t="n"/>
      <c r="BH1161" s="737" t="n"/>
      <c r="BI1161" s="737" t="n"/>
      <c r="BJ1161" s="737" t="n"/>
      <c r="BK1161" s="737" t="n"/>
      <c r="BL1161" s="737" t="n"/>
      <c r="BM1161" s="737" t="n"/>
      <c r="BN1161" s="737" t="n"/>
      <c r="BO1161" s="737" t="n"/>
      <c r="BP1161" s="737" t="n"/>
      <c r="BQ1161" s="737" t="n"/>
      <c r="BR1161" s="737" t="n"/>
      <c r="BS1161" s="737" t="n"/>
      <c r="BT1161" s="737" t="n"/>
      <c r="BU1161" s="737" t="n"/>
      <c r="BV1161" s="737" t="n"/>
      <c r="BW1161" s="737" t="n"/>
      <c r="BX1161" s="737" t="n"/>
      <c r="BY1161" s="737" t="n"/>
      <c r="BZ1161" s="737" t="n"/>
      <c r="CA1161" s="737" t="n"/>
      <c r="CB1161" s="737" t="n"/>
      <c r="CC1161" s="737" t="n"/>
      <c r="CD1161" s="737" t="n"/>
      <c r="CE1161" s="737" t="n"/>
      <c r="CF1161" s="737" t="n"/>
      <c r="CG1161" s="737" t="n"/>
      <c r="CH1161" s="737" t="n"/>
      <c r="CI1161" s="737" t="n"/>
      <c r="CJ1161" s="737" t="n"/>
      <c r="CK1161" s="737" t="n"/>
      <c r="CL1161" s="737" t="n"/>
      <c r="CM1161" s="737" t="n"/>
      <c r="CN1161" s="737" t="n"/>
      <c r="CO1161" s="737" t="n"/>
      <c r="CP1161" s="737" t="n"/>
      <c r="CQ1161" s="737" t="n"/>
      <c r="CR1161" s="737" t="n"/>
      <c r="CS1161" s="737" t="n"/>
      <c r="CT1161" s="737" t="n"/>
      <c r="CU1161" s="737" t="n"/>
      <c r="CV1161" s="737" t="n"/>
      <c r="CW1161" s="737" t="n"/>
      <c r="CX1161" s="737" t="n"/>
      <c r="CY1161" s="737" t="n"/>
    </row>
    <row r="1162">
      <c r="A1162" s="737" t="n"/>
      <c r="B1162" s="737" t="n"/>
      <c r="C1162" s="737" t="n"/>
      <c r="D1162" s="737" t="n"/>
      <c r="E1162" s="737" t="n"/>
      <c r="F1162" s="737" t="n"/>
      <c r="G1162" s="737" t="n"/>
      <c r="H1162" s="737" t="n"/>
      <c r="I1162" s="737" t="n"/>
      <c r="J1162" s="737" t="n"/>
      <c r="K1162" s="737" t="n"/>
      <c r="L1162" s="737" t="n"/>
      <c r="M1162" s="737" t="n"/>
      <c r="N1162" s="737" t="n"/>
      <c r="O1162" s="737" t="n"/>
      <c r="P1162" s="737" t="n"/>
      <c r="Q1162" s="737" t="n"/>
      <c r="R1162" s="737" t="n"/>
      <c r="S1162" s="737" t="n"/>
      <c r="T1162" s="737" t="n"/>
      <c r="U1162" s="737" t="n"/>
      <c r="V1162" s="737" t="n"/>
      <c r="W1162" s="737" t="n"/>
      <c r="X1162" s="737" t="n"/>
      <c r="Y1162" s="737" t="n"/>
      <c r="Z1162" s="737" t="n"/>
      <c r="AA1162" s="737" t="n"/>
      <c r="AB1162" s="737" t="n"/>
      <c r="AC1162" s="737" t="n"/>
      <c r="AD1162" s="737" t="n"/>
      <c r="AE1162" s="737" t="n"/>
      <c r="AF1162" s="737" t="n"/>
      <c r="AG1162" s="737" t="n"/>
      <c r="AH1162" s="737" t="n"/>
      <c r="AI1162" s="737" t="n"/>
      <c r="AJ1162" s="737" t="n"/>
      <c r="AK1162" s="737" t="n"/>
      <c r="AL1162" s="737" t="n"/>
      <c r="AM1162" s="737" t="n"/>
      <c r="AN1162" s="737" t="n"/>
      <c r="AO1162" s="737" t="n"/>
      <c r="AP1162" s="737" t="n"/>
      <c r="AQ1162" s="737" t="n"/>
      <c r="AR1162" s="737" t="n"/>
      <c r="AS1162" s="737" t="n"/>
      <c r="AT1162" s="737" t="n"/>
      <c r="AU1162" s="737" t="n"/>
      <c r="AV1162" s="737" t="n"/>
      <c r="AW1162" s="737" t="n"/>
      <c r="AX1162" s="737" t="n"/>
      <c r="AY1162" s="737" t="n"/>
      <c r="AZ1162" s="737" t="n"/>
      <c r="BA1162" s="737" t="n"/>
      <c r="BB1162" s="737" t="n"/>
      <c r="BC1162" s="737" t="n"/>
      <c r="BD1162" s="737" t="n"/>
      <c r="BE1162" s="737" t="n"/>
      <c r="BF1162" s="737" t="n"/>
      <c r="BG1162" s="737" t="n"/>
      <c r="BH1162" s="737" t="n"/>
      <c r="BI1162" s="737" t="n"/>
      <c r="BJ1162" s="737" t="n"/>
      <c r="BK1162" s="737" t="n"/>
      <c r="BL1162" s="737" t="n"/>
      <c r="BM1162" s="737" t="n"/>
      <c r="BN1162" s="737" t="n"/>
      <c r="BO1162" s="737" t="n"/>
      <c r="BP1162" s="737" t="n"/>
      <c r="BQ1162" s="737" t="n"/>
      <c r="BR1162" s="737" t="n"/>
      <c r="BS1162" s="737" t="n"/>
      <c r="BT1162" s="737" t="n"/>
      <c r="BU1162" s="737" t="n"/>
      <c r="BV1162" s="737" t="n"/>
      <c r="BW1162" s="737" t="n"/>
      <c r="BX1162" s="737" t="n"/>
      <c r="BY1162" s="737" t="n"/>
      <c r="BZ1162" s="737" t="n"/>
      <c r="CA1162" s="737" t="n"/>
      <c r="CB1162" s="737" t="n"/>
      <c r="CC1162" s="737" t="n"/>
      <c r="CD1162" s="737" t="n"/>
      <c r="CE1162" s="737" t="n"/>
      <c r="CF1162" s="737" t="n"/>
      <c r="CG1162" s="737" t="n"/>
      <c r="CH1162" s="737" t="n"/>
      <c r="CI1162" s="737" t="n"/>
      <c r="CJ1162" s="737" t="n"/>
      <c r="CK1162" s="737" t="n"/>
      <c r="CL1162" s="737" t="n"/>
      <c r="CM1162" s="737" t="n"/>
      <c r="CN1162" s="737" t="n"/>
      <c r="CO1162" s="737" t="n"/>
      <c r="CP1162" s="737" t="n"/>
      <c r="CQ1162" s="737" t="n"/>
      <c r="CR1162" s="737" t="n"/>
      <c r="CS1162" s="737" t="n"/>
      <c r="CT1162" s="737" t="n"/>
      <c r="CU1162" s="737" t="n"/>
      <c r="CV1162" s="737" t="n"/>
      <c r="CW1162" s="737" t="n"/>
      <c r="CX1162" s="737" t="n"/>
      <c r="CY1162" s="737" t="n"/>
    </row>
    <row r="1163">
      <c r="A1163" s="737" t="n"/>
      <c r="B1163" s="737" t="n"/>
      <c r="C1163" s="737" t="n"/>
      <c r="D1163" s="737" t="n"/>
      <c r="E1163" s="737" t="n"/>
      <c r="F1163" s="737" t="n"/>
      <c r="G1163" s="737" t="n"/>
      <c r="H1163" s="737" t="n"/>
      <c r="I1163" s="737" t="n"/>
      <c r="J1163" s="737" t="n"/>
      <c r="K1163" s="737" t="n"/>
      <c r="L1163" s="737" t="n"/>
      <c r="M1163" s="737" t="n"/>
      <c r="N1163" s="737" t="n"/>
      <c r="O1163" s="737" t="n"/>
      <c r="P1163" s="737" t="n"/>
      <c r="Q1163" s="737" t="n"/>
      <c r="R1163" s="737" t="n"/>
      <c r="S1163" s="737" t="n"/>
      <c r="T1163" s="737" t="n"/>
      <c r="U1163" s="737" t="n"/>
      <c r="V1163" s="737" t="n"/>
      <c r="W1163" s="737" t="n"/>
      <c r="X1163" s="737" t="n"/>
      <c r="Y1163" s="737" t="n"/>
      <c r="Z1163" s="737" t="n"/>
      <c r="AA1163" s="737" t="n"/>
      <c r="AB1163" s="737" t="n"/>
      <c r="AC1163" s="737" t="n"/>
      <c r="AD1163" s="737" t="n"/>
      <c r="AE1163" s="737" t="n"/>
      <c r="AF1163" s="737" t="n"/>
      <c r="AG1163" s="737" t="n"/>
      <c r="AH1163" s="737" t="n"/>
      <c r="AI1163" s="737" t="n"/>
      <c r="AJ1163" s="737" t="n"/>
      <c r="AK1163" s="737" t="n"/>
      <c r="AL1163" s="737" t="n"/>
      <c r="AM1163" s="737" t="n"/>
      <c r="AN1163" s="737" t="n"/>
      <c r="AO1163" s="737" t="n"/>
      <c r="AP1163" s="737" t="n"/>
      <c r="AQ1163" s="737" t="n"/>
      <c r="AR1163" s="737" t="n"/>
      <c r="AS1163" s="737" t="n"/>
      <c r="AT1163" s="737" t="n"/>
      <c r="AU1163" s="737" t="n"/>
      <c r="AV1163" s="737" t="n"/>
      <c r="AW1163" s="737" t="n"/>
      <c r="AX1163" s="737" t="n"/>
      <c r="AY1163" s="737" t="n"/>
      <c r="AZ1163" s="737" t="n"/>
      <c r="BA1163" s="737" t="n"/>
      <c r="BB1163" s="737" t="n"/>
      <c r="BC1163" s="737" t="n"/>
      <c r="BD1163" s="737" t="n"/>
      <c r="BE1163" s="737" t="n"/>
      <c r="BF1163" s="737" t="n"/>
      <c r="BG1163" s="737" t="n"/>
      <c r="BH1163" s="737" t="n"/>
      <c r="BI1163" s="737" t="n"/>
      <c r="BJ1163" s="737" t="n"/>
      <c r="BK1163" s="737" t="n"/>
      <c r="BL1163" s="737" t="n"/>
      <c r="BM1163" s="737" t="n"/>
      <c r="BN1163" s="737" t="n"/>
      <c r="BO1163" s="737" t="n"/>
      <c r="BP1163" s="737" t="n"/>
      <c r="BQ1163" s="737" t="n"/>
      <c r="BR1163" s="737" t="n"/>
      <c r="BS1163" s="737" t="n"/>
      <c r="BT1163" s="737" t="n"/>
      <c r="BU1163" s="737" t="n"/>
      <c r="BV1163" s="737" t="n"/>
      <c r="BW1163" s="737" t="n"/>
      <c r="BX1163" s="737" t="n"/>
      <c r="BY1163" s="737" t="n"/>
      <c r="BZ1163" s="737" t="n"/>
      <c r="CA1163" s="737" t="n"/>
      <c r="CB1163" s="737" t="n"/>
      <c r="CC1163" s="737" t="n"/>
      <c r="CD1163" s="737" t="n"/>
      <c r="CE1163" s="737" t="n"/>
      <c r="CF1163" s="737" t="n"/>
      <c r="CG1163" s="737" t="n"/>
      <c r="CH1163" s="737" t="n"/>
      <c r="CI1163" s="737" t="n"/>
      <c r="CJ1163" s="737" t="n"/>
      <c r="CK1163" s="737" t="n"/>
      <c r="CL1163" s="737" t="n"/>
      <c r="CM1163" s="737" t="n"/>
      <c r="CN1163" s="737" t="n"/>
      <c r="CO1163" s="737" t="n"/>
      <c r="CP1163" s="737" t="n"/>
      <c r="CQ1163" s="737" t="n"/>
      <c r="CR1163" s="737" t="n"/>
      <c r="CS1163" s="737" t="n"/>
      <c r="CT1163" s="737" t="n"/>
      <c r="CU1163" s="737" t="n"/>
      <c r="CV1163" s="737" t="n"/>
      <c r="CW1163" s="737" t="n"/>
      <c r="CX1163" s="737" t="n"/>
      <c r="CY1163" s="737" t="n"/>
    </row>
    <row r="1164">
      <c r="A1164" s="737" t="n"/>
      <c r="B1164" s="737" t="n"/>
      <c r="C1164" s="737" t="n"/>
      <c r="D1164" s="737" t="n"/>
      <c r="E1164" s="737" t="n"/>
      <c r="F1164" s="737" t="n"/>
      <c r="G1164" s="737" t="n"/>
      <c r="H1164" s="737" t="n"/>
      <c r="I1164" s="737" t="n"/>
      <c r="J1164" s="737" t="n"/>
      <c r="K1164" s="737" t="n"/>
      <c r="L1164" s="737" t="n"/>
      <c r="M1164" s="737" t="n"/>
      <c r="N1164" s="737" t="n"/>
      <c r="O1164" s="737" t="n"/>
      <c r="P1164" s="737" t="n"/>
      <c r="Q1164" s="737" t="n"/>
      <c r="R1164" s="737" t="n"/>
      <c r="S1164" s="737" t="n"/>
      <c r="T1164" s="737" t="n"/>
      <c r="U1164" s="737" t="n"/>
      <c r="V1164" s="737" t="n"/>
      <c r="W1164" s="737" t="n"/>
      <c r="X1164" s="737" t="n"/>
      <c r="Y1164" s="737" t="n"/>
      <c r="Z1164" s="737" t="n"/>
      <c r="AA1164" s="737" t="n"/>
      <c r="AB1164" s="737" t="n"/>
      <c r="AC1164" s="737" t="n"/>
      <c r="AD1164" s="737" t="n"/>
      <c r="AE1164" s="737" t="n"/>
      <c r="AF1164" s="737" t="n"/>
      <c r="AG1164" s="737" t="n"/>
      <c r="AH1164" s="737" t="n"/>
      <c r="AI1164" s="737" t="n"/>
      <c r="AJ1164" s="737" t="n"/>
      <c r="AK1164" s="737" t="n"/>
      <c r="AL1164" s="737" t="n"/>
      <c r="AM1164" s="737" t="n"/>
      <c r="AN1164" s="737" t="n"/>
      <c r="AO1164" s="737" t="n"/>
      <c r="AP1164" s="737" t="n"/>
      <c r="AQ1164" s="737" t="n"/>
      <c r="AR1164" s="737" t="n"/>
      <c r="AS1164" s="737" t="n"/>
      <c r="AT1164" s="737" t="n"/>
      <c r="AU1164" s="737" t="n"/>
      <c r="AV1164" s="737" t="n"/>
      <c r="AW1164" s="737" t="n"/>
      <c r="AX1164" s="737" t="n"/>
      <c r="AY1164" s="737" t="n"/>
      <c r="AZ1164" s="737" t="n"/>
      <c r="BA1164" s="737" t="n"/>
      <c r="BB1164" s="737" t="n"/>
      <c r="BC1164" s="737" t="n"/>
      <c r="BD1164" s="737" t="n"/>
      <c r="BE1164" s="737" t="n"/>
      <c r="BF1164" s="737" t="n"/>
      <c r="BG1164" s="737" t="n"/>
      <c r="BH1164" s="737" t="n"/>
      <c r="BI1164" s="737" t="n"/>
      <c r="BJ1164" s="737" t="n"/>
      <c r="BK1164" s="737" t="n"/>
      <c r="BL1164" s="737" t="n"/>
      <c r="BM1164" s="737" t="n"/>
      <c r="BN1164" s="737" t="n"/>
      <c r="BO1164" s="737" t="n"/>
      <c r="BP1164" s="737" t="n"/>
      <c r="BQ1164" s="737" t="n"/>
      <c r="BR1164" s="737" t="n"/>
      <c r="BS1164" s="737" t="n"/>
      <c r="BT1164" s="737" t="n"/>
      <c r="BU1164" s="737" t="n"/>
      <c r="BV1164" s="737" t="n"/>
      <c r="BW1164" s="737" t="n"/>
      <c r="BX1164" s="737" t="n"/>
      <c r="BY1164" s="737" t="n"/>
      <c r="BZ1164" s="737" t="n"/>
      <c r="CA1164" s="737" t="n"/>
      <c r="CB1164" s="737" t="n"/>
      <c r="CC1164" s="737" t="n"/>
      <c r="CD1164" s="737" t="n"/>
      <c r="CE1164" s="737" t="n"/>
      <c r="CF1164" s="737" t="n"/>
      <c r="CG1164" s="737" t="n"/>
      <c r="CH1164" s="737" t="n"/>
      <c r="CI1164" s="737" t="n"/>
      <c r="CJ1164" s="737" t="n"/>
      <c r="CK1164" s="737" t="n"/>
      <c r="CL1164" s="737" t="n"/>
      <c r="CM1164" s="737" t="n"/>
      <c r="CN1164" s="737" t="n"/>
      <c r="CO1164" s="737" t="n"/>
      <c r="CP1164" s="737" t="n"/>
      <c r="CQ1164" s="737" t="n"/>
      <c r="CR1164" s="737" t="n"/>
      <c r="CS1164" s="737" t="n"/>
      <c r="CT1164" s="737" t="n"/>
      <c r="CU1164" s="737" t="n"/>
      <c r="CV1164" s="737" t="n"/>
      <c r="CW1164" s="737" t="n"/>
      <c r="CX1164" s="737" t="n"/>
      <c r="CY1164" s="737" t="n"/>
    </row>
    <row r="1165">
      <c r="A1165" s="737" t="n"/>
      <c r="B1165" s="737" t="n"/>
      <c r="C1165" s="737" t="n"/>
      <c r="D1165" s="737" t="n"/>
      <c r="E1165" s="737" t="n"/>
      <c r="F1165" s="737" t="n"/>
      <c r="G1165" s="737" t="n"/>
      <c r="H1165" s="737" t="n"/>
      <c r="I1165" s="737" t="n"/>
      <c r="J1165" s="737" t="n"/>
      <c r="K1165" s="737" t="n"/>
      <c r="L1165" s="737" t="n"/>
      <c r="M1165" s="737" t="n"/>
      <c r="N1165" s="737" t="n"/>
      <c r="O1165" s="737" t="n"/>
      <c r="P1165" s="737" t="n"/>
      <c r="Q1165" s="737" t="n"/>
      <c r="R1165" s="737" t="n"/>
      <c r="S1165" s="737" t="n"/>
      <c r="T1165" s="737" t="n"/>
      <c r="U1165" s="737" t="n"/>
      <c r="V1165" s="737" t="n"/>
      <c r="W1165" s="737" t="n"/>
      <c r="X1165" s="737" t="n"/>
      <c r="Y1165" s="737" t="n"/>
      <c r="Z1165" s="737" t="n"/>
      <c r="AA1165" s="737" t="n"/>
      <c r="AB1165" s="737" t="n"/>
      <c r="AC1165" s="737" t="n"/>
      <c r="AD1165" s="737" t="n"/>
      <c r="AE1165" s="737" t="n"/>
      <c r="AF1165" s="737" t="n"/>
      <c r="AG1165" s="737" t="n"/>
      <c r="AH1165" s="737" t="n"/>
      <c r="AI1165" s="737" t="n"/>
      <c r="AJ1165" s="737" t="n"/>
      <c r="AK1165" s="737" t="n"/>
      <c r="AL1165" s="737" t="n"/>
      <c r="AM1165" s="737" t="n"/>
      <c r="AN1165" s="737" t="n"/>
      <c r="AO1165" s="737" t="n"/>
      <c r="AP1165" s="737" t="n"/>
      <c r="AQ1165" s="737" t="n"/>
      <c r="AR1165" s="737" t="n"/>
      <c r="AS1165" s="737" t="n"/>
      <c r="AT1165" s="737" t="n"/>
      <c r="AU1165" s="737" t="n"/>
      <c r="AV1165" s="737" t="n"/>
      <c r="AW1165" s="737" t="n"/>
      <c r="AX1165" s="737" t="n"/>
      <c r="AY1165" s="737" t="n"/>
      <c r="AZ1165" s="737" t="n"/>
      <c r="BA1165" s="737" t="n"/>
      <c r="BB1165" s="737" t="n"/>
      <c r="BC1165" s="737" t="n"/>
      <c r="BD1165" s="737" t="n"/>
      <c r="BE1165" s="737" t="n"/>
      <c r="BF1165" s="737" t="n"/>
      <c r="BG1165" s="737" t="n"/>
      <c r="BH1165" s="737" t="n"/>
      <c r="BI1165" s="737" t="n"/>
      <c r="BJ1165" s="737" t="n"/>
      <c r="BK1165" s="737" t="n"/>
      <c r="BL1165" s="737" t="n"/>
      <c r="BM1165" s="737" t="n"/>
      <c r="BN1165" s="737" t="n"/>
      <c r="BO1165" s="737" t="n"/>
      <c r="BP1165" s="737" t="n"/>
      <c r="BQ1165" s="737" t="n"/>
      <c r="BR1165" s="737" t="n"/>
      <c r="BS1165" s="737" t="n"/>
      <c r="BT1165" s="737" t="n"/>
      <c r="BU1165" s="737" t="n"/>
      <c r="BV1165" s="737" t="n"/>
      <c r="BW1165" s="737" t="n"/>
      <c r="BX1165" s="737" t="n"/>
      <c r="BY1165" s="737" t="n"/>
      <c r="BZ1165" s="737" t="n"/>
      <c r="CA1165" s="737" t="n"/>
      <c r="CB1165" s="737" t="n"/>
      <c r="CC1165" s="737" t="n"/>
      <c r="CD1165" s="737" t="n"/>
      <c r="CE1165" s="737" t="n"/>
      <c r="CF1165" s="737" t="n"/>
      <c r="CG1165" s="737" t="n"/>
      <c r="CH1165" s="737" t="n"/>
      <c r="CI1165" s="737" t="n"/>
      <c r="CJ1165" s="737" t="n"/>
      <c r="CK1165" s="737" t="n"/>
      <c r="CL1165" s="737" t="n"/>
      <c r="CM1165" s="737" t="n"/>
      <c r="CN1165" s="737" t="n"/>
      <c r="CO1165" s="737" t="n"/>
      <c r="CP1165" s="737" t="n"/>
      <c r="CQ1165" s="737" t="n"/>
      <c r="CR1165" s="737" t="n"/>
      <c r="CS1165" s="737" t="n"/>
      <c r="CT1165" s="737" t="n"/>
      <c r="CU1165" s="737" t="n"/>
      <c r="CV1165" s="737" t="n"/>
      <c r="CW1165" s="737" t="n"/>
      <c r="CX1165" s="737" t="n"/>
      <c r="CY1165" s="737" t="n"/>
    </row>
    <row r="1166">
      <c r="A1166" s="737" t="n"/>
      <c r="B1166" s="737" t="n"/>
      <c r="C1166" s="737" t="n"/>
      <c r="D1166" s="737" t="n"/>
      <c r="E1166" s="737" t="n"/>
      <c r="F1166" s="737" t="n"/>
      <c r="G1166" s="737" t="n"/>
      <c r="H1166" s="737" t="n"/>
      <c r="I1166" s="737" t="n"/>
      <c r="J1166" s="737" t="n"/>
      <c r="K1166" s="737" t="n"/>
      <c r="L1166" s="737" t="n"/>
      <c r="M1166" s="737" t="n"/>
      <c r="N1166" s="737" t="n"/>
      <c r="O1166" s="737" t="n"/>
      <c r="P1166" s="737" t="n"/>
      <c r="Q1166" s="737" t="n"/>
      <c r="R1166" s="737" t="n"/>
      <c r="S1166" s="737" t="n"/>
      <c r="T1166" s="737" t="n"/>
      <c r="U1166" s="737" t="n"/>
      <c r="V1166" s="737" t="n"/>
      <c r="W1166" s="737" t="n"/>
      <c r="X1166" s="737" t="n"/>
      <c r="Y1166" s="737" t="n"/>
      <c r="Z1166" s="737" t="n"/>
      <c r="AA1166" s="737" t="n"/>
      <c r="AB1166" s="737" t="n"/>
      <c r="AC1166" s="737" t="n"/>
      <c r="AD1166" s="737" t="n"/>
      <c r="AE1166" s="737" t="n"/>
      <c r="AF1166" s="737" t="n"/>
      <c r="AG1166" s="737" t="n"/>
      <c r="AH1166" s="737" t="n"/>
      <c r="AI1166" s="737" t="n"/>
      <c r="AJ1166" s="737" t="n"/>
      <c r="AK1166" s="737" t="n"/>
      <c r="AL1166" s="737" t="n"/>
      <c r="AM1166" s="737" t="n"/>
      <c r="AN1166" s="737" t="n"/>
      <c r="AO1166" s="737" t="n"/>
      <c r="AP1166" s="737" t="n"/>
      <c r="AQ1166" s="737" t="n"/>
      <c r="AR1166" s="737" t="n"/>
      <c r="AS1166" s="737" t="n"/>
      <c r="AT1166" s="737" t="n"/>
      <c r="AU1166" s="737" t="n"/>
      <c r="AV1166" s="737" t="n"/>
      <c r="AW1166" s="737" t="n"/>
      <c r="AX1166" s="737" t="n"/>
      <c r="AY1166" s="737" t="n"/>
      <c r="AZ1166" s="737" t="n"/>
      <c r="BA1166" s="737" t="n"/>
      <c r="BB1166" s="737" t="n"/>
      <c r="BC1166" s="737" t="n"/>
      <c r="BD1166" s="737" t="n"/>
      <c r="BE1166" s="737" t="n"/>
      <c r="BF1166" s="737" t="n"/>
      <c r="BG1166" s="737" t="n"/>
      <c r="BH1166" s="737" t="n"/>
      <c r="BI1166" s="737" t="n"/>
      <c r="BJ1166" s="737" t="n"/>
      <c r="BK1166" s="737" t="n"/>
      <c r="BL1166" s="737" t="n"/>
      <c r="BM1166" s="737" t="n"/>
      <c r="BN1166" s="737" t="n"/>
      <c r="BO1166" s="737" t="n"/>
      <c r="BP1166" s="737" t="n"/>
      <c r="BQ1166" s="737" t="n"/>
      <c r="BR1166" s="737" t="n"/>
      <c r="BS1166" s="737" t="n"/>
      <c r="BT1166" s="737" t="n"/>
      <c r="BU1166" s="737" t="n"/>
      <c r="BV1166" s="737" t="n"/>
      <c r="BW1166" s="737" t="n"/>
      <c r="BX1166" s="737" t="n"/>
      <c r="BY1166" s="737" t="n"/>
      <c r="BZ1166" s="737" t="n"/>
      <c r="CA1166" s="737" t="n"/>
      <c r="CB1166" s="737" t="n"/>
      <c r="CC1166" s="737" t="n"/>
      <c r="CD1166" s="737" t="n"/>
      <c r="CE1166" s="737" t="n"/>
      <c r="CF1166" s="737" t="n"/>
      <c r="CG1166" s="737" t="n"/>
      <c r="CH1166" s="737" t="n"/>
      <c r="CI1166" s="737" t="n"/>
      <c r="CJ1166" s="737" t="n"/>
      <c r="CK1166" s="737" t="n"/>
      <c r="CL1166" s="737" t="n"/>
      <c r="CM1166" s="737" t="n"/>
      <c r="CN1166" s="737" t="n"/>
      <c r="CO1166" s="737" t="n"/>
      <c r="CP1166" s="737" t="n"/>
      <c r="CQ1166" s="737" t="n"/>
      <c r="CR1166" s="737" t="n"/>
      <c r="CS1166" s="737" t="n"/>
      <c r="CT1166" s="737" t="n"/>
      <c r="CU1166" s="737" t="n"/>
      <c r="CV1166" s="737" t="n"/>
      <c r="CW1166" s="737" t="n"/>
      <c r="CX1166" s="737" t="n"/>
      <c r="CY1166" s="737" t="n"/>
    </row>
    <row r="1167">
      <c r="A1167" s="737" t="n"/>
      <c r="B1167" s="737" t="n"/>
      <c r="C1167" s="737" t="n"/>
      <c r="D1167" s="737" t="n"/>
      <c r="E1167" s="737" t="n"/>
      <c r="F1167" s="737" t="n"/>
      <c r="G1167" s="737" t="n"/>
      <c r="H1167" s="737" t="n"/>
      <c r="I1167" s="737" t="n"/>
      <c r="J1167" s="737" t="n"/>
      <c r="K1167" s="737" t="n"/>
      <c r="L1167" s="737" t="n"/>
      <c r="M1167" s="737" t="n"/>
      <c r="N1167" s="737" t="n"/>
      <c r="O1167" s="737" t="n"/>
      <c r="P1167" s="737" t="n"/>
      <c r="Q1167" s="737" t="n"/>
      <c r="R1167" s="737" t="n"/>
      <c r="S1167" s="737" t="n"/>
      <c r="T1167" s="737" t="n"/>
      <c r="U1167" s="737" t="n"/>
      <c r="V1167" s="737" t="n"/>
      <c r="W1167" s="737" t="n"/>
      <c r="X1167" s="737" t="n"/>
      <c r="Y1167" s="737" t="n"/>
      <c r="Z1167" s="737" t="n"/>
      <c r="AA1167" s="737" t="n"/>
      <c r="AB1167" s="737" t="n"/>
      <c r="AC1167" s="737" t="n"/>
      <c r="AD1167" s="737" t="n"/>
      <c r="AE1167" s="737" t="n"/>
      <c r="AF1167" s="737" t="n"/>
      <c r="AG1167" s="737" t="n"/>
      <c r="AH1167" s="737" t="n"/>
      <c r="AI1167" s="737" t="n"/>
      <c r="AJ1167" s="737" t="n"/>
      <c r="AK1167" s="737" t="n"/>
      <c r="AL1167" s="737" t="n"/>
      <c r="AM1167" s="737" t="n"/>
      <c r="AN1167" s="737" t="n"/>
      <c r="AO1167" s="737" t="n"/>
      <c r="AP1167" s="737" t="n"/>
      <c r="AQ1167" s="737" t="n"/>
      <c r="AR1167" s="737" t="n"/>
      <c r="AS1167" s="737" t="n"/>
      <c r="AT1167" s="737" t="n"/>
      <c r="AU1167" s="737" t="n"/>
      <c r="AV1167" s="737" t="n"/>
      <c r="AW1167" s="737" t="n"/>
      <c r="AX1167" s="737" t="n"/>
      <c r="AY1167" s="737" t="n"/>
      <c r="AZ1167" s="737" t="n"/>
      <c r="BA1167" s="737" t="n"/>
      <c r="BB1167" s="737" t="n"/>
      <c r="BC1167" s="737" t="n"/>
      <c r="BD1167" s="737" t="n"/>
      <c r="BE1167" s="737" t="n"/>
      <c r="BF1167" s="737" t="n"/>
      <c r="BG1167" s="737" t="n"/>
      <c r="BH1167" s="737" t="n"/>
      <c r="BI1167" s="737" t="n"/>
      <c r="BJ1167" s="737" t="n"/>
      <c r="BK1167" s="737" t="n"/>
      <c r="BL1167" s="737" t="n"/>
      <c r="BM1167" s="737" t="n"/>
      <c r="BN1167" s="737" t="n"/>
      <c r="BO1167" s="737" t="n"/>
      <c r="BP1167" s="737" t="n"/>
      <c r="BQ1167" s="737" t="n"/>
      <c r="BR1167" s="737" t="n"/>
      <c r="BS1167" s="737" t="n"/>
      <c r="BT1167" s="737" t="n"/>
      <c r="BU1167" s="737" t="n"/>
      <c r="BV1167" s="737" t="n"/>
      <c r="BW1167" s="737" t="n"/>
      <c r="BX1167" s="737" t="n"/>
      <c r="BY1167" s="737" t="n"/>
      <c r="BZ1167" s="737" t="n"/>
      <c r="CA1167" s="737" t="n"/>
      <c r="CB1167" s="737" t="n"/>
      <c r="CC1167" s="737" t="n"/>
      <c r="CD1167" s="737" t="n"/>
      <c r="CE1167" s="737" t="n"/>
      <c r="CF1167" s="737" t="n"/>
      <c r="CG1167" s="737" t="n"/>
      <c r="CH1167" s="737" t="n"/>
      <c r="CI1167" s="737" t="n"/>
      <c r="CJ1167" s="737" t="n"/>
      <c r="CK1167" s="737" t="n"/>
      <c r="CL1167" s="737" t="n"/>
      <c r="CM1167" s="737" t="n"/>
      <c r="CN1167" s="737" t="n"/>
      <c r="CO1167" s="737" t="n"/>
      <c r="CP1167" s="737" t="n"/>
      <c r="CQ1167" s="737" t="n"/>
      <c r="CR1167" s="737" t="n"/>
      <c r="CS1167" s="737" t="n"/>
      <c r="CT1167" s="737" t="n"/>
      <c r="CU1167" s="737" t="n"/>
      <c r="CV1167" s="737" t="n"/>
      <c r="CW1167" s="737" t="n"/>
      <c r="CX1167" s="737" t="n"/>
      <c r="CY1167" s="737" t="n"/>
    </row>
    <row r="1168">
      <c r="A1168" s="737" t="n"/>
      <c r="B1168" s="737" t="n"/>
      <c r="C1168" s="737" t="n"/>
      <c r="D1168" s="737" t="n"/>
      <c r="E1168" s="737" t="n"/>
      <c r="F1168" s="737" t="n"/>
      <c r="G1168" s="737" t="n"/>
      <c r="H1168" s="737" t="n"/>
      <c r="I1168" s="737" t="n"/>
      <c r="J1168" s="737" t="n"/>
      <c r="K1168" s="737" t="n"/>
      <c r="L1168" s="737" t="n"/>
      <c r="M1168" s="737" t="n"/>
      <c r="N1168" s="737" t="n"/>
      <c r="O1168" s="737" t="n"/>
      <c r="P1168" s="737" t="n"/>
      <c r="Q1168" s="737" t="n"/>
      <c r="R1168" s="737" t="n"/>
      <c r="S1168" s="737" t="n"/>
      <c r="T1168" s="737" t="n"/>
      <c r="U1168" s="737" t="n"/>
      <c r="V1168" s="737" t="n"/>
      <c r="W1168" s="737" t="n"/>
      <c r="X1168" s="737" t="n"/>
      <c r="Y1168" s="737" t="n"/>
      <c r="Z1168" s="737" t="n"/>
      <c r="AA1168" s="737" t="n"/>
      <c r="AB1168" s="737" t="n"/>
      <c r="AC1168" s="737" t="n"/>
      <c r="AD1168" s="737" t="n"/>
      <c r="AE1168" s="737" t="n"/>
      <c r="AF1168" s="737" t="n"/>
      <c r="AG1168" s="737" t="n"/>
      <c r="AH1168" s="737" t="n"/>
      <c r="AI1168" s="737" t="n"/>
      <c r="AJ1168" s="737" t="n"/>
      <c r="AK1168" s="737" t="n"/>
      <c r="AL1168" s="737" t="n"/>
      <c r="AM1168" s="737" t="n"/>
      <c r="AN1168" s="737" t="n"/>
      <c r="AO1168" s="737" t="n"/>
      <c r="AP1168" s="737" t="n"/>
      <c r="AQ1168" s="737" t="n"/>
      <c r="AR1168" s="737" t="n"/>
      <c r="AS1168" s="737" t="n"/>
      <c r="AT1168" s="737" t="n"/>
      <c r="AU1168" s="737" t="n"/>
      <c r="AV1168" s="737" t="n"/>
      <c r="AW1168" s="737" t="n"/>
      <c r="AX1168" s="737" t="n"/>
      <c r="AY1168" s="737" t="n"/>
      <c r="AZ1168" s="737" t="n"/>
      <c r="BA1168" s="737" t="n"/>
      <c r="BB1168" s="737" t="n"/>
      <c r="BC1168" s="737" t="n"/>
      <c r="BD1168" s="737" t="n"/>
      <c r="BE1168" s="737" t="n"/>
      <c r="BF1168" s="737" t="n"/>
      <c r="BG1168" s="737" t="n"/>
      <c r="BH1168" s="737" t="n"/>
      <c r="BI1168" s="737" t="n"/>
      <c r="BJ1168" s="737" t="n"/>
      <c r="BK1168" s="737" t="n"/>
      <c r="BL1168" s="737" t="n"/>
      <c r="BM1168" s="737" t="n"/>
      <c r="BN1168" s="737" t="n"/>
      <c r="BO1168" s="737" t="n"/>
      <c r="BP1168" s="737" t="n"/>
      <c r="BQ1168" s="737" t="n"/>
      <c r="BR1168" s="737" t="n"/>
      <c r="BS1168" s="737" t="n"/>
      <c r="BT1168" s="737" t="n"/>
      <c r="BU1168" s="737" t="n"/>
      <c r="BV1168" s="737" t="n"/>
      <c r="BW1168" s="737" t="n"/>
      <c r="BX1168" s="737" t="n"/>
      <c r="BY1168" s="737" t="n"/>
      <c r="BZ1168" s="737" t="n"/>
      <c r="CA1168" s="737" t="n"/>
      <c r="CB1168" s="737" t="n"/>
      <c r="CC1168" s="737" t="n"/>
      <c r="CD1168" s="737" t="n"/>
      <c r="CE1168" s="737" t="n"/>
      <c r="CF1168" s="737" t="n"/>
      <c r="CG1168" s="737" t="n"/>
      <c r="CH1168" s="737" t="n"/>
      <c r="CI1168" s="737" t="n"/>
      <c r="CJ1168" s="737" t="n"/>
      <c r="CK1168" s="737" t="n"/>
      <c r="CL1168" s="737" t="n"/>
      <c r="CM1168" s="737" t="n"/>
      <c r="CN1168" s="737" t="n"/>
      <c r="CO1168" s="737" t="n"/>
      <c r="CP1168" s="737" t="n"/>
      <c r="CQ1168" s="737" t="n"/>
      <c r="CR1168" s="737" t="n"/>
      <c r="CS1168" s="737" t="n"/>
      <c r="CT1168" s="737" t="n"/>
      <c r="CU1168" s="737" t="n"/>
      <c r="CV1168" s="737" t="n"/>
      <c r="CW1168" s="737" t="n"/>
      <c r="CX1168" s="737" t="n"/>
      <c r="CY1168" s="737" t="n"/>
    </row>
    <row r="1169">
      <c r="A1169" s="737" t="n"/>
      <c r="B1169" s="737" t="n"/>
      <c r="C1169" s="737" t="n"/>
      <c r="D1169" s="737" t="n"/>
      <c r="E1169" s="737" t="n"/>
      <c r="F1169" s="737" t="n"/>
      <c r="G1169" s="737" t="n"/>
      <c r="H1169" s="737" t="n"/>
      <c r="I1169" s="737" t="n"/>
      <c r="J1169" s="737" t="n"/>
      <c r="K1169" s="737" t="n"/>
      <c r="L1169" s="737" t="n"/>
      <c r="M1169" s="737" t="n"/>
      <c r="N1169" s="737" t="n"/>
      <c r="O1169" s="737" t="n"/>
      <c r="P1169" s="737" t="n"/>
      <c r="Q1169" s="737" t="n"/>
      <c r="R1169" s="737" t="n"/>
      <c r="S1169" s="737" t="n"/>
      <c r="T1169" s="737" t="n"/>
      <c r="U1169" s="737" t="n"/>
      <c r="V1169" s="737" t="n"/>
      <c r="W1169" s="737" t="n"/>
      <c r="X1169" s="737" t="n"/>
      <c r="Y1169" s="737" t="n"/>
      <c r="Z1169" s="737" t="n"/>
      <c r="AA1169" s="737" t="n"/>
      <c r="AB1169" s="737" t="n"/>
      <c r="AC1169" s="737" t="n"/>
      <c r="AD1169" s="737" t="n"/>
      <c r="AE1169" s="737" t="n"/>
      <c r="AF1169" s="737" t="n"/>
      <c r="AG1169" s="737" t="n"/>
      <c r="AH1169" s="737" t="n"/>
      <c r="AI1169" s="737" t="n"/>
      <c r="AJ1169" s="737" t="n"/>
      <c r="AK1169" s="737" t="n"/>
      <c r="AL1169" s="737" t="n"/>
      <c r="AM1169" s="737" t="n"/>
      <c r="AN1169" s="737" t="n"/>
      <c r="AO1169" s="737" t="n"/>
      <c r="AP1169" s="737" t="n"/>
      <c r="AQ1169" s="737" t="n"/>
      <c r="AR1169" s="737" t="n"/>
      <c r="AS1169" s="737" t="n"/>
      <c r="AT1169" s="737" t="n"/>
      <c r="AU1169" s="737" t="n"/>
      <c r="AV1169" s="737" t="n"/>
      <c r="AW1169" s="737" t="n"/>
      <c r="AX1169" s="737" t="n"/>
      <c r="AY1169" s="737" t="n"/>
      <c r="AZ1169" s="737" t="n"/>
      <c r="BA1169" s="737" t="n"/>
      <c r="BB1169" s="737" t="n"/>
      <c r="BC1169" s="737" t="n"/>
      <c r="BD1169" s="737" t="n"/>
      <c r="BE1169" s="737" t="n"/>
      <c r="BF1169" s="737" t="n"/>
      <c r="BG1169" s="737" t="n"/>
      <c r="BH1169" s="737" t="n"/>
      <c r="BI1169" s="737" t="n"/>
      <c r="BJ1169" s="737" t="n"/>
      <c r="BK1169" s="737" t="n"/>
      <c r="BL1169" s="737" t="n"/>
      <c r="BM1169" s="737" t="n"/>
      <c r="BN1169" s="737" t="n"/>
      <c r="BO1169" s="737" t="n"/>
      <c r="BP1169" s="737" t="n"/>
      <c r="BQ1169" s="737" t="n"/>
      <c r="BR1169" s="737" t="n"/>
      <c r="BS1169" s="737" t="n"/>
      <c r="BT1169" s="737" t="n"/>
      <c r="BU1169" s="737" t="n"/>
      <c r="BV1169" s="737" t="n"/>
      <c r="BW1169" s="737" t="n"/>
      <c r="BX1169" s="737" t="n"/>
      <c r="BY1169" s="737" t="n"/>
      <c r="BZ1169" s="737" t="n"/>
      <c r="CA1169" s="737" t="n"/>
      <c r="CB1169" s="737" t="n"/>
      <c r="CC1169" s="737" t="n"/>
      <c r="CD1169" s="737" t="n"/>
      <c r="CE1169" s="737" t="n"/>
      <c r="CF1169" s="737" t="n"/>
      <c r="CG1169" s="737" t="n"/>
      <c r="CH1169" s="737" t="n"/>
      <c r="CI1169" s="737" t="n"/>
      <c r="CJ1169" s="737" t="n"/>
      <c r="CK1169" s="737" t="n"/>
      <c r="CL1169" s="737" t="n"/>
      <c r="CM1169" s="737" t="n"/>
      <c r="CN1169" s="737" t="n"/>
      <c r="CO1169" s="737" t="n"/>
      <c r="CP1169" s="737" t="n"/>
      <c r="CQ1169" s="737" t="n"/>
      <c r="CR1169" s="737" t="n"/>
      <c r="CS1169" s="737" t="n"/>
      <c r="CT1169" s="737" t="n"/>
      <c r="CU1169" s="737" t="n"/>
      <c r="CV1169" s="737" t="n"/>
      <c r="CW1169" s="737" t="n"/>
      <c r="CX1169" s="737" t="n"/>
      <c r="CY1169" s="737" t="n"/>
    </row>
    <row r="1170">
      <c r="A1170" s="737" t="n"/>
      <c r="B1170" s="737" t="n"/>
      <c r="C1170" s="737" t="n"/>
      <c r="D1170" s="737" t="n"/>
      <c r="E1170" s="737" t="n"/>
      <c r="F1170" s="737" t="n"/>
      <c r="G1170" s="737" t="n"/>
      <c r="H1170" s="737" t="n"/>
      <c r="I1170" s="737" t="n"/>
      <c r="J1170" s="737" t="n"/>
      <c r="K1170" s="737" t="n"/>
      <c r="L1170" s="737" t="n"/>
      <c r="M1170" s="737" t="n"/>
      <c r="N1170" s="737" t="n"/>
      <c r="O1170" s="737" t="n"/>
      <c r="P1170" s="737" t="n"/>
      <c r="Q1170" s="737" t="n"/>
      <c r="R1170" s="737" t="n"/>
      <c r="S1170" s="737" t="n"/>
      <c r="T1170" s="737" t="n"/>
      <c r="U1170" s="737" t="n"/>
      <c r="V1170" s="737" t="n"/>
      <c r="W1170" s="737" t="n"/>
      <c r="X1170" s="737" t="n"/>
      <c r="Y1170" s="737" t="n"/>
      <c r="Z1170" s="737" t="n"/>
      <c r="AA1170" s="737" t="n"/>
      <c r="AB1170" s="737" t="n"/>
      <c r="AC1170" s="737" t="n"/>
      <c r="AD1170" s="737" t="n"/>
      <c r="AE1170" s="737" t="n"/>
      <c r="AF1170" s="737" t="n"/>
      <c r="AG1170" s="737" t="n"/>
      <c r="AH1170" s="737" t="n"/>
      <c r="AI1170" s="737" t="n"/>
      <c r="AJ1170" s="737" t="n"/>
      <c r="AK1170" s="737" t="n"/>
      <c r="AL1170" s="737" t="n"/>
      <c r="AM1170" s="737" t="n"/>
      <c r="AN1170" s="737" t="n"/>
      <c r="AO1170" s="737" t="n"/>
      <c r="AP1170" s="737" t="n"/>
      <c r="AQ1170" s="737" t="n"/>
      <c r="AR1170" s="737" t="n"/>
      <c r="AS1170" s="737" t="n"/>
      <c r="AT1170" s="737" t="n"/>
      <c r="AU1170" s="737" t="n"/>
      <c r="AV1170" s="737" t="n"/>
      <c r="AW1170" s="737" t="n"/>
      <c r="AX1170" s="737" t="n"/>
      <c r="AY1170" s="737" t="n"/>
      <c r="AZ1170" s="737" t="n"/>
      <c r="BA1170" s="737" t="n"/>
      <c r="BB1170" s="737" t="n"/>
      <c r="BC1170" s="737" t="n"/>
      <c r="BD1170" s="737" t="n"/>
      <c r="BE1170" s="737" t="n"/>
      <c r="BF1170" s="737" t="n"/>
      <c r="BG1170" s="737" t="n"/>
      <c r="BH1170" s="737" t="n"/>
      <c r="BI1170" s="737" t="n"/>
      <c r="BJ1170" s="737" t="n"/>
      <c r="BK1170" s="737" t="n"/>
      <c r="BL1170" s="737" t="n"/>
      <c r="BM1170" s="737" t="n"/>
      <c r="BN1170" s="737" t="n"/>
      <c r="BO1170" s="737" t="n"/>
      <c r="BP1170" s="737" t="n"/>
      <c r="BQ1170" s="737" t="n"/>
      <c r="BR1170" s="737" t="n"/>
      <c r="BS1170" s="737" t="n"/>
      <c r="BT1170" s="737" t="n"/>
      <c r="BU1170" s="737" t="n"/>
      <c r="BV1170" s="737" t="n"/>
      <c r="BW1170" s="737" t="n"/>
      <c r="BX1170" s="737" t="n"/>
      <c r="BY1170" s="737" t="n"/>
      <c r="BZ1170" s="737" t="n"/>
      <c r="CA1170" s="737" t="n"/>
      <c r="CB1170" s="737" t="n"/>
      <c r="CC1170" s="737" t="n"/>
      <c r="CD1170" s="737" t="n"/>
      <c r="CE1170" s="737" t="n"/>
      <c r="CF1170" s="737" t="n"/>
      <c r="CG1170" s="737" t="n"/>
      <c r="CH1170" s="737" t="n"/>
      <c r="CI1170" s="737" t="n"/>
      <c r="CJ1170" s="737" t="n"/>
      <c r="CK1170" s="737" t="n"/>
      <c r="CL1170" s="737" t="n"/>
      <c r="CM1170" s="737" t="n"/>
      <c r="CN1170" s="737" t="n"/>
      <c r="CO1170" s="737" t="n"/>
      <c r="CP1170" s="737" t="n"/>
      <c r="CQ1170" s="737" t="n"/>
      <c r="CR1170" s="737" t="n"/>
      <c r="CS1170" s="737" t="n"/>
      <c r="CT1170" s="737" t="n"/>
      <c r="CU1170" s="737" t="n"/>
      <c r="CV1170" s="737" t="n"/>
      <c r="CW1170" s="737" t="n"/>
      <c r="CX1170" s="737" t="n"/>
      <c r="CY1170" s="737" t="n"/>
    </row>
    <row r="1171">
      <c r="A1171" s="737" t="n"/>
      <c r="B1171" s="737" t="n"/>
      <c r="C1171" s="737" t="n"/>
      <c r="D1171" s="737" t="n"/>
      <c r="E1171" s="737" t="n"/>
      <c r="F1171" s="737" t="n"/>
      <c r="G1171" s="737" t="n"/>
      <c r="H1171" s="737" t="n"/>
      <c r="I1171" s="737" t="n"/>
      <c r="J1171" s="737" t="n"/>
      <c r="K1171" s="737" t="n"/>
      <c r="L1171" s="737" t="n"/>
      <c r="M1171" s="737" t="n"/>
      <c r="N1171" s="737" t="n"/>
      <c r="O1171" s="737" t="n"/>
      <c r="P1171" s="737" t="n"/>
      <c r="Q1171" s="737" t="n"/>
      <c r="R1171" s="737" t="n"/>
      <c r="S1171" s="737" t="n"/>
      <c r="T1171" s="737" t="n"/>
      <c r="U1171" s="737" t="n"/>
      <c r="V1171" s="737" t="n"/>
      <c r="W1171" s="737" t="n"/>
      <c r="X1171" s="737" t="n"/>
      <c r="Y1171" s="737" t="n"/>
      <c r="Z1171" s="737" t="n"/>
      <c r="AA1171" s="737" t="n"/>
      <c r="AB1171" s="737" t="n"/>
      <c r="AC1171" s="737" t="n"/>
      <c r="AD1171" s="737" t="n"/>
      <c r="AE1171" s="737" t="n"/>
      <c r="AF1171" s="737" t="n"/>
      <c r="AG1171" s="737" t="n"/>
      <c r="AH1171" s="737" t="n"/>
      <c r="AI1171" s="737" t="n"/>
      <c r="AJ1171" s="737" t="n"/>
      <c r="AK1171" s="737" t="n"/>
      <c r="AL1171" s="737" t="n"/>
      <c r="AM1171" s="737" t="n"/>
      <c r="AN1171" s="737" t="n"/>
      <c r="AO1171" s="737" t="n"/>
      <c r="AP1171" s="737" t="n"/>
      <c r="AQ1171" s="737" t="n"/>
      <c r="AR1171" s="737" t="n"/>
      <c r="AS1171" s="737" t="n"/>
      <c r="AT1171" s="737" t="n"/>
      <c r="AU1171" s="737" t="n"/>
      <c r="AV1171" s="737" t="n"/>
      <c r="AW1171" s="737" t="n"/>
      <c r="AX1171" s="737" t="n"/>
      <c r="AY1171" s="737" t="n"/>
      <c r="AZ1171" s="737" t="n"/>
      <c r="BA1171" s="737" t="n"/>
      <c r="BB1171" s="737" t="n"/>
      <c r="BC1171" s="737" t="n"/>
      <c r="BD1171" s="737" t="n"/>
      <c r="BE1171" s="737" t="n"/>
      <c r="BF1171" s="737" t="n"/>
      <c r="BG1171" s="737" t="n"/>
      <c r="BH1171" s="737" t="n"/>
      <c r="BI1171" s="737" t="n"/>
      <c r="BJ1171" s="737" t="n"/>
      <c r="BK1171" s="737" t="n"/>
      <c r="BL1171" s="737" t="n"/>
      <c r="BM1171" s="737" t="n"/>
      <c r="BN1171" s="737" t="n"/>
      <c r="BO1171" s="737" t="n"/>
      <c r="BP1171" s="737" t="n"/>
      <c r="BQ1171" s="737" t="n"/>
      <c r="BR1171" s="737" t="n"/>
      <c r="BS1171" s="737" t="n"/>
      <c r="BT1171" s="737" t="n"/>
      <c r="BU1171" s="737" t="n"/>
      <c r="BV1171" s="737" t="n"/>
      <c r="BW1171" s="737" t="n"/>
      <c r="BX1171" s="737" t="n"/>
      <c r="BY1171" s="737" t="n"/>
      <c r="BZ1171" s="737" t="n"/>
      <c r="CA1171" s="737" t="n"/>
      <c r="CB1171" s="737" t="n"/>
      <c r="CC1171" s="737" t="n"/>
      <c r="CD1171" s="737" t="n"/>
      <c r="CE1171" s="737" t="n"/>
      <c r="CF1171" s="737" t="n"/>
      <c r="CG1171" s="737" t="n"/>
      <c r="CH1171" s="737" t="n"/>
      <c r="CI1171" s="737" t="n"/>
      <c r="CJ1171" s="737" t="n"/>
      <c r="CK1171" s="737" t="n"/>
      <c r="CL1171" s="737" t="n"/>
      <c r="CM1171" s="737" t="n"/>
      <c r="CN1171" s="737" t="n"/>
      <c r="CO1171" s="737" t="n"/>
      <c r="CP1171" s="737" t="n"/>
      <c r="CQ1171" s="737" t="n"/>
      <c r="CR1171" s="737" t="n"/>
      <c r="CS1171" s="737" t="n"/>
      <c r="CT1171" s="737" t="n"/>
      <c r="CU1171" s="737" t="n"/>
      <c r="CV1171" s="737" t="n"/>
      <c r="CW1171" s="737" t="n"/>
      <c r="CX1171" s="737" t="n"/>
      <c r="CY1171" s="737" t="n"/>
    </row>
    <row r="1172">
      <c r="A1172" s="737" t="n"/>
      <c r="B1172" s="737" t="n"/>
      <c r="C1172" s="737" t="n"/>
      <c r="D1172" s="737" t="n"/>
      <c r="E1172" s="737" t="n"/>
      <c r="F1172" s="737" t="n"/>
      <c r="G1172" s="737" t="n"/>
      <c r="H1172" s="737" t="n"/>
      <c r="I1172" s="737" t="n"/>
      <c r="J1172" s="737" t="n"/>
      <c r="K1172" s="737" t="n"/>
      <c r="L1172" s="737" t="n"/>
      <c r="M1172" s="737" t="n"/>
      <c r="N1172" s="737" t="n"/>
      <c r="O1172" s="737" t="n"/>
      <c r="P1172" s="737" t="n"/>
      <c r="Q1172" s="737" t="n"/>
      <c r="R1172" s="737" t="n"/>
      <c r="S1172" s="737" t="n"/>
      <c r="T1172" s="737" t="n"/>
      <c r="U1172" s="737" t="n"/>
      <c r="V1172" s="737" t="n"/>
      <c r="W1172" s="737" t="n"/>
      <c r="X1172" s="737" t="n"/>
      <c r="Y1172" s="737" t="n"/>
      <c r="Z1172" s="737" t="n"/>
      <c r="AA1172" s="737" t="n"/>
      <c r="AB1172" s="737" t="n"/>
      <c r="AC1172" s="737" t="n"/>
      <c r="AD1172" s="737" t="n"/>
      <c r="AE1172" s="737" t="n"/>
      <c r="AF1172" s="737" t="n"/>
      <c r="AG1172" s="737" t="n"/>
      <c r="AH1172" s="737" t="n"/>
      <c r="AI1172" s="737" t="n"/>
      <c r="AJ1172" s="737" t="n"/>
      <c r="AK1172" s="737" t="n"/>
      <c r="AL1172" s="737" t="n"/>
      <c r="AM1172" s="737" t="n"/>
      <c r="AN1172" s="737" t="n"/>
      <c r="AO1172" s="737" t="n"/>
      <c r="AP1172" s="737" t="n"/>
      <c r="AQ1172" s="737" t="n"/>
      <c r="AR1172" s="737" t="n"/>
      <c r="AS1172" s="737" t="n"/>
      <c r="AT1172" s="737" t="n"/>
      <c r="AU1172" s="737" t="n"/>
      <c r="AV1172" s="737" t="n"/>
      <c r="AW1172" s="737" t="n"/>
      <c r="AX1172" s="737" t="n"/>
      <c r="AY1172" s="737" t="n"/>
      <c r="AZ1172" s="737" t="n"/>
      <c r="BA1172" s="737" t="n"/>
      <c r="BB1172" s="737" t="n"/>
      <c r="BC1172" s="737" t="n"/>
      <c r="BD1172" s="737" t="n"/>
      <c r="BE1172" s="737" t="n"/>
      <c r="BF1172" s="737" t="n"/>
      <c r="BG1172" s="737" t="n"/>
      <c r="BH1172" s="737" t="n"/>
      <c r="BI1172" s="737" t="n"/>
      <c r="BJ1172" s="737" t="n"/>
      <c r="BK1172" s="737" t="n"/>
      <c r="BL1172" s="737" t="n"/>
      <c r="BM1172" s="737" t="n"/>
      <c r="BN1172" s="737" t="n"/>
      <c r="BO1172" s="737" t="n"/>
      <c r="BP1172" s="737" t="n"/>
      <c r="BQ1172" s="737" t="n"/>
      <c r="BR1172" s="737" t="n"/>
      <c r="BS1172" s="737" t="n"/>
      <c r="BT1172" s="737" t="n"/>
      <c r="BU1172" s="737" t="n"/>
      <c r="BV1172" s="737" t="n"/>
      <c r="BW1172" s="737" t="n"/>
      <c r="BX1172" s="737" t="n"/>
      <c r="BY1172" s="737" t="n"/>
      <c r="BZ1172" s="737" t="n"/>
      <c r="CA1172" s="737" t="n"/>
      <c r="CB1172" s="737" t="n"/>
      <c r="CC1172" s="737" t="n"/>
      <c r="CD1172" s="737" t="n"/>
      <c r="CE1172" s="737" t="n"/>
      <c r="CF1172" s="737" t="n"/>
      <c r="CG1172" s="737" t="n"/>
      <c r="CH1172" s="737" t="n"/>
      <c r="CI1172" s="737" t="n"/>
      <c r="CJ1172" s="737" t="n"/>
      <c r="CK1172" s="737" t="n"/>
      <c r="CL1172" s="737" t="n"/>
      <c r="CM1172" s="737" t="n"/>
      <c r="CN1172" s="737" t="n"/>
      <c r="CO1172" s="737" t="n"/>
      <c r="CP1172" s="737" t="n"/>
      <c r="CQ1172" s="737" t="n"/>
      <c r="CR1172" s="737" t="n"/>
      <c r="CS1172" s="737" t="n"/>
      <c r="CT1172" s="737" t="n"/>
      <c r="CU1172" s="737" t="n"/>
      <c r="CV1172" s="737" t="n"/>
      <c r="CW1172" s="737" t="n"/>
      <c r="CX1172" s="737" t="n"/>
      <c r="CY1172" s="737" t="n"/>
    </row>
    <row r="1173">
      <c r="A1173" s="737" t="n"/>
      <c r="B1173" s="737" t="n"/>
      <c r="C1173" s="737" t="n"/>
      <c r="D1173" s="737" t="n"/>
      <c r="E1173" s="737" t="n"/>
      <c r="F1173" s="737" t="n"/>
      <c r="G1173" s="737" t="n"/>
      <c r="H1173" s="737" t="n"/>
      <c r="I1173" s="737" t="n"/>
      <c r="J1173" s="737" t="n"/>
      <c r="K1173" s="737" t="n"/>
      <c r="L1173" s="737" t="n"/>
      <c r="M1173" s="737" t="n"/>
      <c r="N1173" s="737" t="n"/>
      <c r="O1173" s="737" t="n"/>
      <c r="P1173" s="737" t="n"/>
      <c r="Q1173" s="737" t="n"/>
      <c r="R1173" s="737" t="n"/>
      <c r="S1173" s="737" t="n"/>
      <c r="T1173" s="737" t="n"/>
      <c r="U1173" s="737" t="n"/>
      <c r="V1173" s="737" t="n"/>
      <c r="W1173" s="737" t="n"/>
      <c r="X1173" s="737" t="n"/>
      <c r="Y1173" s="737" t="n"/>
      <c r="Z1173" s="737" t="n"/>
      <c r="AA1173" s="737" t="n"/>
      <c r="AB1173" s="737" t="n"/>
      <c r="AC1173" s="737" t="n"/>
      <c r="AD1173" s="737" t="n"/>
      <c r="AE1173" s="737" t="n"/>
      <c r="AF1173" s="737" t="n"/>
      <c r="AG1173" s="737" t="n"/>
      <c r="AH1173" s="737" t="n"/>
      <c r="AI1173" s="737" t="n"/>
      <c r="AJ1173" s="737" t="n"/>
      <c r="AK1173" s="737" t="n"/>
      <c r="AL1173" s="737" t="n"/>
      <c r="AM1173" s="737" t="n"/>
      <c r="AN1173" s="737" t="n"/>
      <c r="AO1173" s="737" t="n"/>
      <c r="AP1173" s="737" t="n"/>
      <c r="AQ1173" s="737" t="n"/>
      <c r="AR1173" s="737" t="n"/>
      <c r="AS1173" s="737" t="n"/>
      <c r="AT1173" s="737" t="n"/>
      <c r="AU1173" s="737" t="n"/>
      <c r="AV1173" s="737" t="n"/>
      <c r="AW1173" s="737" t="n"/>
      <c r="AX1173" s="737" t="n"/>
      <c r="AY1173" s="737" t="n"/>
      <c r="AZ1173" s="737" t="n"/>
      <c r="BA1173" s="737" t="n"/>
      <c r="BB1173" s="737" t="n"/>
      <c r="BC1173" s="737" t="n"/>
      <c r="BD1173" s="737" t="n"/>
      <c r="BE1173" s="737" t="n"/>
      <c r="BF1173" s="737" t="n"/>
      <c r="BG1173" s="737" t="n"/>
      <c r="BH1173" s="737" t="n"/>
      <c r="BI1173" s="737" t="n"/>
      <c r="BJ1173" s="737" t="n"/>
      <c r="BK1173" s="737" t="n"/>
      <c r="BL1173" s="737" t="n"/>
      <c r="BM1173" s="737" t="n"/>
      <c r="BN1173" s="737" t="n"/>
      <c r="BO1173" s="737" t="n"/>
      <c r="BP1173" s="737" t="n"/>
      <c r="BQ1173" s="737" t="n"/>
      <c r="BR1173" s="737" t="n"/>
      <c r="BS1173" s="737" t="n"/>
      <c r="BT1173" s="737" t="n"/>
      <c r="BU1173" s="737" t="n"/>
      <c r="BV1173" s="737" t="n"/>
      <c r="BW1173" s="737" t="n"/>
      <c r="BX1173" s="737" t="n"/>
      <c r="BY1173" s="737" t="n"/>
      <c r="BZ1173" s="737" t="n"/>
      <c r="CA1173" s="737" t="n"/>
      <c r="CB1173" s="737" t="n"/>
      <c r="CC1173" s="737" t="n"/>
      <c r="CD1173" s="737" t="n"/>
      <c r="CE1173" s="737" t="n"/>
      <c r="CF1173" s="737" t="n"/>
      <c r="CG1173" s="737" t="n"/>
      <c r="CH1173" s="737" t="n"/>
      <c r="CI1173" s="737" t="n"/>
      <c r="CJ1173" s="737" t="n"/>
      <c r="CK1173" s="737" t="n"/>
      <c r="CL1173" s="737" t="n"/>
      <c r="CM1173" s="737" t="n"/>
      <c r="CN1173" s="737" t="n"/>
      <c r="CO1173" s="737" t="n"/>
      <c r="CP1173" s="737" t="n"/>
      <c r="CQ1173" s="737" t="n"/>
      <c r="CR1173" s="737" t="n"/>
      <c r="CS1173" s="737" t="n"/>
      <c r="CT1173" s="737" t="n"/>
      <c r="CU1173" s="737" t="n"/>
      <c r="CV1173" s="737" t="n"/>
      <c r="CW1173" s="737" t="n"/>
      <c r="CX1173" s="737" t="n"/>
      <c r="CY1173" s="737" t="n"/>
    </row>
    <row r="1174">
      <c r="A1174" s="737" t="n"/>
      <c r="B1174" s="737" t="n"/>
      <c r="C1174" s="737" t="n"/>
      <c r="D1174" s="737" t="n"/>
      <c r="E1174" s="737" t="n"/>
      <c r="F1174" s="737" t="n"/>
      <c r="G1174" s="737" t="n"/>
      <c r="H1174" s="737" t="n"/>
      <c r="I1174" s="737" t="n"/>
      <c r="J1174" s="737" t="n"/>
      <c r="K1174" s="737" t="n"/>
      <c r="L1174" s="737" t="n"/>
      <c r="M1174" s="737" t="n"/>
      <c r="N1174" s="737" t="n"/>
      <c r="O1174" s="737" t="n"/>
      <c r="P1174" s="737" t="n"/>
      <c r="Q1174" s="737" t="n"/>
      <c r="R1174" s="737" t="n"/>
      <c r="S1174" s="737" t="n"/>
      <c r="T1174" s="737" t="n"/>
      <c r="U1174" s="737" t="n"/>
      <c r="V1174" s="737" t="n"/>
      <c r="W1174" s="737" t="n"/>
      <c r="X1174" s="737" t="n"/>
      <c r="Y1174" s="737" t="n"/>
      <c r="Z1174" s="737" t="n"/>
      <c r="AA1174" s="737" t="n"/>
      <c r="AB1174" s="737" t="n"/>
      <c r="AC1174" s="737" t="n"/>
      <c r="AD1174" s="737" t="n"/>
      <c r="AE1174" s="737" t="n"/>
      <c r="AF1174" s="737" t="n"/>
      <c r="AG1174" s="737" t="n"/>
      <c r="AH1174" s="737" t="n"/>
      <c r="AI1174" s="737" t="n"/>
      <c r="AJ1174" s="737" t="n"/>
      <c r="AK1174" s="737" t="n"/>
      <c r="AL1174" s="737" t="n"/>
      <c r="AM1174" s="737" t="n"/>
      <c r="AN1174" s="737" t="n"/>
      <c r="AO1174" s="737" t="n"/>
      <c r="AP1174" s="737" t="n"/>
      <c r="AQ1174" s="737" t="n"/>
      <c r="AR1174" s="737" t="n"/>
      <c r="AS1174" s="737" t="n"/>
      <c r="AT1174" s="737" t="n"/>
      <c r="AU1174" s="737" t="n"/>
      <c r="AV1174" s="737" t="n"/>
      <c r="AW1174" s="737" t="n"/>
      <c r="AX1174" s="737" t="n"/>
      <c r="AY1174" s="737" t="n"/>
      <c r="AZ1174" s="737" t="n"/>
      <c r="BA1174" s="737" t="n"/>
      <c r="BB1174" s="737" t="n"/>
      <c r="BC1174" s="737" t="n"/>
      <c r="BD1174" s="737" t="n"/>
      <c r="BE1174" s="737" t="n"/>
      <c r="BF1174" s="737" t="n"/>
      <c r="BG1174" s="737" t="n"/>
      <c r="BH1174" s="737" t="n"/>
      <c r="BI1174" s="737" t="n"/>
      <c r="BJ1174" s="737" t="n"/>
      <c r="BK1174" s="737" t="n"/>
      <c r="BL1174" s="737" t="n"/>
      <c r="BM1174" s="737" t="n"/>
      <c r="BN1174" s="737" t="n"/>
      <c r="BO1174" s="737" t="n"/>
      <c r="BP1174" s="737" t="n"/>
      <c r="BQ1174" s="737" t="n"/>
      <c r="BR1174" s="737" t="n"/>
      <c r="BS1174" s="737" t="n"/>
      <c r="BT1174" s="737" t="n"/>
      <c r="BU1174" s="737" t="n"/>
      <c r="BV1174" s="737" t="n"/>
      <c r="BW1174" s="737" t="n"/>
      <c r="BX1174" s="737" t="n"/>
      <c r="BY1174" s="737" t="n"/>
      <c r="BZ1174" s="737" t="n"/>
      <c r="CA1174" s="737" t="n"/>
      <c r="CB1174" s="737" t="n"/>
      <c r="CC1174" s="737" t="n"/>
      <c r="CD1174" s="737" t="n"/>
      <c r="CE1174" s="737" t="n"/>
      <c r="CF1174" s="737" t="n"/>
      <c r="CG1174" s="737" t="n"/>
      <c r="CH1174" s="737" t="n"/>
      <c r="CI1174" s="737" t="n"/>
      <c r="CJ1174" s="737" t="n"/>
      <c r="CK1174" s="737" t="n"/>
      <c r="CL1174" s="737" t="n"/>
      <c r="CM1174" s="737" t="n"/>
      <c r="CN1174" s="737" t="n"/>
      <c r="CO1174" s="737" t="n"/>
      <c r="CP1174" s="737" t="n"/>
      <c r="CQ1174" s="737" t="n"/>
      <c r="CR1174" s="737" t="n"/>
      <c r="CS1174" s="737" t="n"/>
      <c r="CT1174" s="737" t="n"/>
      <c r="CU1174" s="737" t="n"/>
      <c r="CV1174" s="737" t="n"/>
      <c r="CW1174" s="737" t="n"/>
      <c r="CX1174" s="737" t="n"/>
      <c r="CY1174" s="737" t="n"/>
    </row>
    <row r="1175">
      <c r="A1175" s="737" t="n"/>
      <c r="B1175" s="737" t="n"/>
      <c r="C1175" s="737" t="n"/>
      <c r="D1175" s="737" t="n"/>
      <c r="E1175" s="737" t="n"/>
      <c r="F1175" s="737" t="n"/>
      <c r="G1175" s="737" t="n"/>
      <c r="H1175" s="737" t="n"/>
      <c r="I1175" s="737" t="n"/>
      <c r="J1175" s="737" t="n"/>
      <c r="K1175" s="737" t="n"/>
      <c r="L1175" s="737" t="n"/>
      <c r="M1175" s="737" t="n"/>
      <c r="N1175" s="737" t="n"/>
      <c r="O1175" s="737" t="n"/>
      <c r="P1175" s="737" t="n"/>
      <c r="Q1175" s="737" t="n"/>
      <c r="R1175" s="737" t="n"/>
      <c r="S1175" s="737" t="n"/>
      <c r="T1175" s="737" t="n"/>
      <c r="U1175" s="737" t="n"/>
      <c r="V1175" s="737" t="n"/>
      <c r="W1175" s="737" t="n"/>
      <c r="X1175" s="737" t="n"/>
      <c r="Y1175" s="737" t="n"/>
      <c r="Z1175" s="737" t="n"/>
      <c r="AA1175" s="737" t="n"/>
      <c r="AB1175" s="737" t="n"/>
      <c r="AC1175" s="737" t="n"/>
      <c r="AD1175" s="737" t="n"/>
      <c r="AE1175" s="737" t="n"/>
      <c r="AF1175" s="737" t="n"/>
      <c r="AG1175" s="737" t="n"/>
      <c r="AH1175" s="737" t="n"/>
      <c r="AI1175" s="737" t="n"/>
      <c r="AJ1175" s="737" t="n"/>
      <c r="AK1175" s="737" t="n"/>
      <c r="AL1175" s="737" t="n"/>
      <c r="AM1175" s="737" t="n"/>
      <c r="AN1175" s="737" t="n"/>
      <c r="AO1175" s="737" t="n"/>
      <c r="AP1175" s="737" t="n"/>
      <c r="AQ1175" s="737" t="n"/>
      <c r="AR1175" s="737" t="n"/>
      <c r="AS1175" s="737" t="n"/>
      <c r="AT1175" s="737" t="n"/>
      <c r="AU1175" s="737" t="n"/>
      <c r="AV1175" s="737" t="n"/>
      <c r="AW1175" s="737" t="n"/>
      <c r="AX1175" s="737" t="n"/>
      <c r="AY1175" s="737" t="n"/>
      <c r="AZ1175" s="737" t="n"/>
      <c r="BA1175" s="737" t="n"/>
      <c r="BB1175" s="737" t="n"/>
      <c r="BC1175" s="737" t="n"/>
      <c r="BD1175" s="737" t="n"/>
      <c r="BE1175" s="737" t="n"/>
      <c r="BF1175" s="737" t="n"/>
      <c r="BG1175" s="737" t="n"/>
      <c r="BH1175" s="737" t="n"/>
      <c r="BI1175" s="737" t="n"/>
      <c r="BJ1175" s="737" t="n"/>
      <c r="BK1175" s="737" t="n"/>
      <c r="BL1175" s="737" t="n"/>
      <c r="BM1175" s="737" t="n"/>
      <c r="BN1175" s="737" t="n"/>
      <c r="BO1175" s="737" t="n"/>
      <c r="BP1175" s="737" t="n"/>
      <c r="BQ1175" s="737" t="n"/>
      <c r="BR1175" s="737" t="n"/>
      <c r="BS1175" s="737" t="n"/>
      <c r="BT1175" s="737" t="n"/>
      <c r="BU1175" s="737" t="n"/>
      <c r="BV1175" s="737" t="n"/>
      <c r="BW1175" s="737" t="n"/>
      <c r="BX1175" s="737" t="n"/>
      <c r="BY1175" s="737" t="n"/>
      <c r="BZ1175" s="737" t="n"/>
      <c r="CA1175" s="737" t="n"/>
      <c r="CB1175" s="737" t="n"/>
      <c r="CC1175" s="737" t="n"/>
      <c r="CD1175" s="737" t="n"/>
      <c r="CE1175" s="737" t="n"/>
      <c r="CF1175" s="737" t="n"/>
      <c r="CG1175" s="737" t="n"/>
      <c r="CH1175" s="737" t="n"/>
      <c r="CI1175" s="737" t="n"/>
      <c r="CJ1175" s="737" t="n"/>
      <c r="CK1175" s="737" t="n"/>
      <c r="CL1175" s="737" t="n"/>
      <c r="CM1175" s="737" t="n"/>
      <c r="CN1175" s="737" t="n"/>
      <c r="CO1175" s="737" t="n"/>
      <c r="CP1175" s="737" t="n"/>
      <c r="CQ1175" s="737" t="n"/>
      <c r="CR1175" s="737" t="n"/>
      <c r="CS1175" s="737" t="n"/>
      <c r="CT1175" s="737" t="n"/>
      <c r="CU1175" s="737" t="n"/>
      <c r="CV1175" s="737" t="n"/>
      <c r="CW1175" s="737" t="n"/>
      <c r="CX1175" s="737" t="n"/>
      <c r="CY1175" s="737" t="n"/>
    </row>
    <row r="1176">
      <c r="A1176" s="737" t="n"/>
      <c r="B1176" s="737" t="n"/>
      <c r="C1176" s="737" t="n"/>
      <c r="D1176" s="737" t="n"/>
      <c r="E1176" s="737" t="n"/>
      <c r="F1176" s="737" t="n"/>
      <c r="G1176" s="737" t="n"/>
      <c r="H1176" s="737" t="n"/>
      <c r="I1176" s="737" t="n"/>
      <c r="J1176" s="737" t="n"/>
      <c r="K1176" s="737" t="n"/>
      <c r="L1176" s="737" t="n"/>
      <c r="M1176" s="737" t="n"/>
      <c r="N1176" s="737" t="n"/>
      <c r="O1176" s="737" t="n"/>
      <c r="P1176" s="737" t="n"/>
      <c r="Q1176" s="737" t="n"/>
      <c r="R1176" s="737" t="n"/>
      <c r="S1176" s="737" t="n"/>
      <c r="T1176" s="737" t="n"/>
      <c r="U1176" s="737" t="n"/>
      <c r="V1176" s="737" t="n"/>
      <c r="W1176" s="737" t="n"/>
      <c r="X1176" s="737" t="n"/>
      <c r="Y1176" s="737" t="n"/>
      <c r="Z1176" s="737" t="n"/>
      <c r="AA1176" s="737" t="n"/>
      <c r="AB1176" s="737" t="n"/>
      <c r="AC1176" s="737" t="n"/>
      <c r="AD1176" s="737" t="n"/>
      <c r="AE1176" s="737" t="n"/>
      <c r="AF1176" s="737" t="n"/>
      <c r="AG1176" s="737" t="n"/>
      <c r="AH1176" s="737" t="n"/>
      <c r="AI1176" s="737" t="n"/>
      <c r="AJ1176" s="737" t="n"/>
      <c r="AK1176" s="737" t="n"/>
      <c r="AL1176" s="737" t="n"/>
      <c r="AM1176" s="737" t="n"/>
      <c r="AN1176" s="737" t="n"/>
      <c r="AO1176" s="737" t="n"/>
      <c r="AP1176" s="737" t="n"/>
      <c r="AQ1176" s="737" t="n"/>
      <c r="AR1176" s="737" t="n"/>
      <c r="AS1176" s="737" t="n"/>
      <c r="AT1176" s="737" t="n"/>
      <c r="AU1176" s="737" t="n"/>
      <c r="AV1176" s="737" t="n"/>
      <c r="AW1176" s="737" t="n"/>
      <c r="AX1176" s="737" t="n"/>
      <c r="AY1176" s="737" t="n"/>
      <c r="AZ1176" s="737" t="n"/>
      <c r="BA1176" s="737" t="n"/>
      <c r="BB1176" s="737" t="n"/>
      <c r="BC1176" s="737" t="n"/>
      <c r="BD1176" s="737" t="n"/>
      <c r="BE1176" s="737" t="n"/>
      <c r="BF1176" s="737" t="n"/>
      <c r="BG1176" s="737" t="n"/>
      <c r="BH1176" s="737" t="n"/>
      <c r="BI1176" s="737" t="n"/>
      <c r="BJ1176" s="737" t="n"/>
      <c r="BK1176" s="737" t="n"/>
      <c r="BL1176" s="737" t="n"/>
      <c r="BM1176" s="737" t="n"/>
      <c r="BN1176" s="737" t="n"/>
      <c r="BO1176" s="737" t="n"/>
      <c r="BP1176" s="737" t="n"/>
      <c r="BQ1176" s="737" t="n"/>
      <c r="BR1176" s="737" t="n"/>
      <c r="BS1176" s="737" t="n"/>
      <c r="BT1176" s="737" t="n"/>
      <c r="BU1176" s="737" t="n"/>
      <c r="BV1176" s="737" t="n"/>
      <c r="BW1176" s="737" t="n"/>
      <c r="BX1176" s="737" t="n"/>
      <c r="BY1176" s="737" t="n"/>
      <c r="BZ1176" s="737" t="n"/>
      <c r="CA1176" s="737" t="n"/>
      <c r="CB1176" s="737" t="n"/>
      <c r="CC1176" s="737" t="n"/>
      <c r="CD1176" s="737" t="n"/>
      <c r="CE1176" s="737" t="n"/>
      <c r="CF1176" s="737" t="n"/>
      <c r="CG1176" s="737" t="n"/>
      <c r="CH1176" s="737" t="n"/>
      <c r="CI1176" s="737" t="n"/>
      <c r="CJ1176" s="737" t="n"/>
      <c r="CK1176" s="737" t="n"/>
      <c r="CL1176" s="737" t="n"/>
      <c r="CM1176" s="737" t="n"/>
      <c r="CN1176" s="737" t="n"/>
      <c r="CO1176" s="737" t="n"/>
      <c r="CP1176" s="737" t="n"/>
      <c r="CQ1176" s="737" t="n"/>
      <c r="CR1176" s="737" t="n"/>
      <c r="CS1176" s="737" t="n"/>
      <c r="CT1176" s="737" t="n"/>
      <c r="CU1176" s="737" t="n"/>
      <c r="CV1176" s="737" t="n"/>
      <c r="CW1176" s="737" t="n"/>
      <c r="CX1176" s="737" t="n"/>
      <c r="CY1176" s="737" t="n"/>
    </row>
    <row r="1177">
      <c r="A1177" s="737" t="n"/>
      <c r="B1177" s="737" t="n"/>
      <c r="C1177" s="737" t="n"/>
      <c r="D1177" s="737" t="n"/>
      <c r="E1177" s="737" t="n"/>
      <c r="F1177" s="737" t="n"/>
      <c r="G1177" s="737" t="n"/>
      <c r="H1177" s="737" t="n"/>
      <c r="I1177" s="737" t="n"/>
      <c r="J1177" s="737" t="n"/>
      <c r="K1177" s="737" t="n"/>
      <c r="L1177" s="737" t="n"/>
      <c r="M1177" s="737" t="n"/>
      <c r="N1177" s="737" t="n"/>
      <c r="O1177" s="737" t="n"/>
      <c r="P1177" s="737" t="n"/>
      <c r="Q1177" s="737" t="n"/>
      <c r="R1177" s="737" t="n"/>
      <c r="S1177" s="737" t="n"/>
      <c r="T1177" s="737" t="n"/>
      <c r="U1177" s="737" t="n"/>
      <c r="V1177" s="737" t="n"/>
      <c r="W1177" s="737" t="n"/>
      <c r="X1177" s="737" t="n"/>
      <c r="Y1177" s="737" t="n"/>
      <c r="Z1177" s="737" t="n"/>
      <c r="AA1177" s="737" t="n"/>
      <c r="AB1177" s="737" t="n"/>
      <c r="AC1177" s="737" t="n"/>
      <c r="AD1177" s="737" t="n"/>
      <c r="AE1177" s="737" t="n"/>
      <c r="AF1177" s="737" t="n"/>
      <c r="AG1177" s="737" t="n"/>
      <c r="AH1177" s="737" t="n"/>
      <c r="AI1177" s="737" t="n"/>
      <c r="AJ1177" s="737" t="n"/>
      <c r="AK1177" s="737" t="n"/>
      <c r="AL1177" s="737" t="n"/>
      <c r="AM1177" s="737" t="n"/>
      <c r="AN1177" s="737" t="n"/>
      <c r="AO1177" s="737" t="n"/>
      <c r="AP1177" s="737" t="n"/>
      <c r="AQ1177" s="737" t="n"/>
      <c r="AR1177" s="737" t="n"/>
      <c r="AS1177" s="737" t="n"/>
      <c r="AT1177" s="737" t="n"/>
      <c r="AU1177" s="737" t="n"/>
      <c r="AV1177" s="737" t="n"/>
      <c r="AW1177" s="737" t="n"/>
      <c r="AX1177" s="737" t="n"/>
      <c r="AY1177" s="737" t="n"/>
      <c r="AZ1177" s="737" t="n"/>
      <c r="BA1177" s="737" t="n"/>
      <c r="BB1177" s="737" t="n"/>
      <c r="BC1177" s="737" t="n"/>
      <c r="BD1177" s="737" t="n"/>
      <c r="BE1177" s="737" t="n"/>
      <c r="BF1177" s="737" t="n"/>
      <c r="BG1177" s="737" t="n"/>
      <c r="BH1177" s="737" t="n"/>
      <c r="BI1177" s="737" t="n"/>
      <c r="BJ1177" s="737" t="n"/>
      <c r="BK1177" s="737" t="n"/>
      <c r="BL1177" s="737" t="n"/>
      <c r="BM1177" s="737" t="n"/>
      <c r="BN1177" s="737" t="n"/>
      <c r="BO1177" s="737" t="n"/>
      <c r="BP1177" s="737" t="n"/>
      <c r="BQ1177" s="737" t="n"/>
      <c r="BR1177" s="737" t="n"/>
      <c r="BS1177" s="737" t="n"/>
      <c r="BT1177" s="737" t="n"/>
      <c r="BU1177" s="737" t="n"/>
      <c r="BV1177" s="737" t="n"/>
      <c r="BW1177" s="737" t="n"/>
      <c r="BX1177" s="737" t="n"/>
      <c r="BY1177" s="737" t="n"/>
      <c r="BZ1177" s="737" t="n"/>
      <c r="CA1177" s="737" t="n"/>
      <c r="CB1177" s="737" t="n"/>
      <c r="CC1177" s="737" t="n"/>
      <c r="CD1177" s="737" t="n"/>
      <c r="CE1177" s="737" t="n"/>
      <c r="CF1177" s="737" t="n"/>
      <c r="CG1177" s="737" t="n"/>
      <c r="CH1177" s="737" t="n"/>
      <c r="CI1177" s="737" t="n"/>
      <c r="CJ1177" s="737" t="n"/>
      <c r="CK1177" s="737" t="n"/>
      <c r="CL1177" s="737" t="n"/>
      <c r="CM1177" s="737" t="n"/>
      <c r="CN1177" s="737" t="n"/>
      <c r="CO1177" s="737" t="n"/>
      <c r="CP1177" s="737" t="n"/>
      <c r="CQ1177" s="737" t="n"/>
      <c r="CR1177" s="737" t="n"/>
      <c r="CS1177" s="737" t="n"/>
      <c r="CT1177" s="737" t="n"/>
      <c r="CU1177" s="737" t="n"/>
      <c r="CV1177" s="737" t="n"/>
      <c r="CW1177" s="737" t="n"/>
      <c r="CX1177" s="737" t="n"/>
      <c r="CY1177" s="737" t="n"/>
    </row>
    <row r="1178">
      <c r="A1178" s="737" t="n"/>
      <c r="B1178" s="737" t="n"/>
      <c r="C1178" s="737" t="n"/>
      <c r="D1178" s="737" t="n"/>
      <c r="E1178" s="737" t="n"/>
      <c r="F1178" s="737" t="n"/>
      <c r="G1178" s="737" t="n"/>
      <c r="H1178" s="737" t="n"/>
      <c r="I1178" s="737" t="n"/>
      <c r="J1178" s="737" t="n"/>
      <c r="K1178" s="737" t="n"/>
      <c r="L1178" s="737" t="n"/>
      <c r="M1178" s="737" t="n"/>
      <c r="N1178" s="737" t="n"/>
      <c r="O1178" s="737" t="n"/>
      <c r="P1178" s="737" t="n"/>
      <c r="Q1178" s="737" t="n"/>
      <c r="R1178" s="737" t="n"/>
      <c r="S1178" s="737" t="n"/>
      <c r="T1178" s="737" t="n"/>
      <c r="U1178" s="737" t="n"/>
      <c r="V1178" s="737" t="n"/>
      <c r="W1178" s="737" t="n"/>
      <c r="X1178" s="737" t="n"/>
      <c r="Y1178" s="737" t="n"/>
      <c r="Z1178" s="737" t="n"/>
      <c r="AA1178" s="737" t="n"/>
      <c r="AB1178" s="737" t="n"/>
      <c r="AC1178" s="737" t="n"/>
      <c r="AD1178" s="737" t="n"/>
      <c r="AE1178" s="737" t="n"/>
      <c r="AF1178" s="737" t="n"/>
      <c r="AG1178" s="737" t="n"/>
      <c r="AH1178" s="737" t="n"/>
      <c r="AI1178" s="737" t="n"/>
      <c r="AJ1178" s="737" t="n"/>
      <c r="AK1178" s="737" t="n"/>
      <c r="AL1178" s="737" t="n"/>
      <c r="AM1178" s="737" t="n"/>
      <c r="AN1178" s="737" t="n"/>
      <c r="AO1178" s="737" t="n"/>
      <c r="AP1178" s="737" t="n"/>
      <c r="AQ1178" s="737" t="n"/>
      <c r="AR1178" s="737" t="n"/>
      <c r="AS1178" s="737" t="n"/>
      <c r="AT1178" s="737" t="n"/>
      <c r="AU1178" s="737" t="n"/>
      <c r="AV1178" s="737" t="n"/>
      <c r="AW1178" s="737" t="n"/>
      <c r="AX1178" s="737" t="n"/>
      <c r="AY1178" s="737" t="n"/>
      <c r="AZ1178" s="737" t="n"/>
      <c r="BA1178" s="737" t="n"/>
      <c r="BB1178" s="737" t="n"/>
      <c r="BC1178" s="737" t="n"/>
      <c r="BD1178" s="737" t="n"/>
      <c r="BE1178" s="737" t="n"/>
      <c r="BF1178" s="737" t="n"/>
      <c r="BG1178" s="737" t="n"/>
      <c r="BH1178" s="737" t="n"/>
      <c r="BI1178" s="737" t="n"/>
      <c r="BJ1178" s="737" t="n"/>
      <c r="BK1178" s="737" t="n"/>
      <c r="BL1178" s="737" t="n"/>
      <c r="BM1178" s="737" t="n"/>
      <c r="BN1178" s="737" t="n"/>
      <c r="BO1178" s="737" t="n"/>
      <c r="BP1178" s="737" t="n"/>
      <c r="BQ1178" s="737" t="n"/>
      <c r="BR1178" s="737" t="n"/>
      <c r="BS1178" s="737" t="n"/>
      <c r="BT1178" s="737" t="n"/>
      <c r="BU1178" s="737" t="n"/>
      <c r="BV1178" s="737" t="n"/>
      <c r="BW1178" s="737" t="n"/>
      <c r="BX1178" s="737" t="n"/>
      <c r="BY1178" s="737" t="n"/>
      <c r="BZ1178" s="737" t="n"/>
      <c r="CA1178" s="737" t="n"/>
      <c r="CB1178" s="737" t="n"/>
      <c r="CC1178" s="737" t="n"/>
      <c r="CD1178" s="737" t="n"/>
      <c r="CE1178" s="737" t="n"/>
      <c r="CF1178" s="737" t="n"/>
      <c r="CG1178" s="737" t="n"/>
      <c r="CH1178" s="737" t="n"/>
      <c r="CI1178" s="737" t="n"/>
      <c r="CJ1178" s="737" t="n"/>
      <c r="CK1178" s="737" t="n"/>
      <c r="CL1178" s="737" t="n"/>
      <c r="CM1178" s="737" t="n"/>
      <c r="CN1178" s="737" t="n"/>
      <c r="CO1178" s="737" t="n"/>
      <c r="CP1178" s="737" t="n"/>
      <c r="CQ1178" s="737" t="n"/>
      <c r="CR1178" s="737" t="n"/>
      <c r="CS1178" s="737" t="n"/>
      <c r="CT1178" s="737" t="n"/>
      <c r="CU1178" s="737" t="n"/>
      <c r="CV1178" s="737" t="n"/>
      <c r="CW1178" s="737" t="n"/>
      <c r="CX1178" s="737" t="n"/>
      <c r="CY1178" s="737" t="n"/>
    </row>
    <row r="1179">
      <c r="A1179" s="737" t="n"/>
      <c r="B1179" s="737" t="n"/>
      <c r="C1179" s="737" t="n"/>
      <c r="D1179" s="737" t="n"/>
      <c r="E1179" s="737" t="n"/>
      <c r="F1179" s="737" t="n"/>
      <c r="G1179" s="737" t="n"/>
      <c r="H1179" s="737" t="n"/>
      <c r="I1179" s="737" t="n"/>
      <c r="J1179" s="737" t="n"/>
      <c r="K1179" s="737" t="n"/>
      <c r="L1179" s="737" t="n"/>
      <c r="M1179" s="737" t="n"/>
      <c r="N1179" s="737" t="n"/>
      <c r="O1179" s="737" t="n"/>
      <c r="P1179" s="737" t="n"/>
      <c r="Q1179" s="737" t="n"/>
      <c r="R1179" s="737" t="n"/>
      <c r="S1179" s="737" t="n"/>
      <c r="T1179" s="737" t="n"/>
      <c r="U1179" s="737" t="n"/>
      <c r="V1179" s="737" t="n"/>
      <c r="W1179" s="737" t="n"/>
      <c r="X1179" s="737" t="n"/>
      <c r="Y1179" s="737" t="n"/>
      <c r="Z1179" s="737" t="n"/>
      <c r="AA1179" s="737" t="n"/>
      <c r="AB1179" s="737" t="n"/>
      <c r="AC1179" s="737" t="n"/>
      <c r="AD1179" s="737" t="n"/>
      <c r="AE1179" s="737" t="n"/>
      <c r="AF1179" s="737" t="n"/>
      <c r="AG1179" s="737" t="n"/>
      <c r="AH1179" s="737" t="n"/>
      <c r="AI1179" s="737" t="n"/>
      <c r="AJ1179" s="737" t="n"/>
      <c r="AK1179" s="737" t="n"/>
      <c r="AL1179" s="737" t="n"/>
      <c r="AM1179" s="737" t="n"/>
      <c r="AN1179" s="737" t="n"/>
      <c r="AO1179" s="737" t="n"/>
      <c r="AP1179" s="737" t="n"/>
      <c r="AQ1179" s="737" t="n"/>
      <c r="AR1179" s="737" t="n"/>
      <c r="AS1179" s="737" t="n"/>
      <c r="AT1179" s="737" t="n"/>
      <c r="AU1179" s="737" t="n"/>
      <c r="AV1179" s="737" t="n"/>
      <c r="AW1179" s="737" t="n"/>
      <c r="AX1179" s="737" t="n"/>
      <c r="AY1179" s="737" t="n"/>
      <c r="AZ1179" s="737" t="n"/>
      <c r="BA1179" s="737" t="n"/>
      <c r="BB1179" s="737" t="n"/>
      <c r="BC1179" s="737" t="n"/>
      <c r="BD1179" s="737" t="n"/>
      <c r="BE1179" s="737" t="n"/>
      <c r="BF1179" s="737" t="n"/>
      <c r="BG1179" s="737" t="n"/>
      <c r="BH1179" s="737" t="n"/>
      <c r="BI1179" s="737" t="n"/>
      <c r="BJ1179" s="737" t="n"/>
      <c r="BK1179" s="737" t="n"/>
      <c r="BL1179" s="737" t="n"/>
      <c r="BM1179" s="737" t="n"/>
      <c r="BN1179" s="737" t="n"/>
      <c r="BO1179" s="737" t="n"/>
      <c r="BP1179" s="737" t="n"/>
      <c r="BQ1179" s="737" t="n"/>
      <c r="BR1179" s="737" t="n"/>
      <c r="BS1179" s="737" t="n"/>
      <c r="BT1179" s="737" t="n"/>
      <c r="BU1179" s="737" t="n"/>
      <c r="BV1179" s="737" t="n"/>
      <c r="BW1179" s="737" t="n"/>
      <c r="BX1179" s="737" t="n"/>
      <c r="BY1179" s="737" t="n"/>
      <c r="BZ1179" s="737" t="n"/>
      <c r="CA1179" s="737" t="n"/>
      <c r="CB1179" s="737" t="n"/>
      <c r="CC1179" s="737" t="n"/>
      <c r="CD1179" s="737" t="n"/>
      <c r="CE1179" s="737" t="n"/>
      <c r="CF1179" s="737" t="n"/>
      <c r="CG1179" s="737" t="n"/>
      <c r="CH1179" s="737" t="n"/>
      <c r="CI1179" s="737" t="n"/>
      <c r="CJ1179" s="737" t="n"/>
      <c r="CK1179" s="737" t="n"/>
      <c r="CL1179" s="737" t="n"/>
      <c r="CM1179" s="737" t="n"/>
      <c r="CN1179" s="737" t="n"/>
      <c r="CO1179" s="737" t="n"/>
      <c r="CP1179" s="737" t="n"/>
      <c r="CQ1179" s="737" t="n"/>
      <c r="CR1179" s="737" t="n"/>
      <c r="CS1179" s="737" t="n"/>
      <c r="CT1179" s="737" t="n"/>
      <c r="CU1179" s="737" t="n"/>
      <c r="CV1179" s="737" t="n"/>
      <c r="CW1179" s="737" t="n"/>
      <c r="CX1179" s="737" t="n"/>
      <c r="CY1179" s="737" t="n"/>
    </row>
    <row r="1180">
      <c r="A1180" s="737" t="n"/>
      <c r="B1180" s="737" t="n"/>
      <c r="C1180" s="737" t="n"/>
      <c r="D1180" s="737" t="n"/>
      <c r="E1180" s="737" t="n"/>
      <c r="F1180" s="737" t="n"/>
      <c r="G1180" s="737" t="n"/>
      <c r="H1180" s="737" t="n"/>
      <c r="I1180" s="737" t="n"/>
      <c r="J1180" s="737" t="n"/>
      <c r="K1180" s="737" t="n"/>
      <c r="L1180" s="737" t="n"/>
      <c r="M1180" s="737" t="n"/>
      <c r="N1180" s="737" t="n"/>
      <c r="O1180" s="737" t="n"/>
      <c r="P1180" s="737" t="n"/>
      <c r="Q1180" s="737" t="n"/>
      <c r="R1180" s="737" t="n"/>
      <c r="S1180" s="737" t="n"/>
      <c r="T1180" s="737" t="n"/>
      <c r="U1180" s="737" t="n"/>
      <c r="V1180" s="737" t="n"/>
      <c r="W1180" s="737" t="n"/>
      <c r="X1180" s="737" t="n"/>
      <c r="Y1180" s="737" t="n"/>
      <c r="Z1180" s="737" t="n"/>
      <c r="AA1180" s="737" t="n"/>
      <c r="AB1180" s="737" t="n"/>
      <c r="AC1180" s="737" t="n"/>
      <c r="AD1180" s="737" t="n"/>
      <c r="AE1180" s="737" t="n"/>
      <c r="AF1180" s="737" t="n"/>
      <c r="AG1180" s="737" t="n"/>
      <c r="AH1180" s="737" t="n"/>
      <c r="AI1180" s="737" t="n"/>
      <c r="AJ1180" s="737" t="n"/>
      <c r="AK1180" s="737" t="n"/>
      <c r="AL1180" s="737" t="n"/>
      <c r="AM1180" s="737" t="n"/>
      <c r="AN1180" s="737" t="n"/>
      <c r="AO1180" s="737" t="n"/>
      <c r="AP1180" s="737" t="n"/>
      <c r="AQ1180" s="737" t="n"/>
      <c r="AR1180" s="737" t="n"/>
      <c r="AS1180" s="737" t="n"/>
      <c r="AT1180" s="737" t="n"/>
      <c r="AU1180" s="737" t="n"/>
      <c r="AV1180" s="737" t="n"/>
      <c r="AW1180" s="737" t="n"/>
      <c r="AX1180" s="737" t="n"/>
      <c r="AY1180" s="737" t="n"/>
      <c r="AZ1180" s="737" t="n"/>
      <c r="BA1180" s="737" t="n"/>
      <c r="BB1180" s="737" t="n"/>
      <c r="BC1180" s="737" t="n"/>
      <c r="BD1180" s="737" t="n"/>
      <c r="BE1180" s="737" t="n"/>
      <c r="BF1180" s="737" t="n"/>
      <c r="BG1180" s="737" t="n"/>
      <c r="BH1180" s="737" t="n"/>
      <c r="BI1180" s="737" t="n"/>
      <c r="BJ1180" s="737" t="n"/>
      <c r="BK1180" s="737" t="n"/>
      <c r="BL1180" s="737" t="n"/>
      <c r="BM1180" s="737" t="n"/>
      <c r="BN1180" s="737" t="n"/>
      <c r="BO1180" s="737" t="n"/>
      <c r="BP1180" s="737" t="n"/>
      <c r="BQ1180" s="737" t="n"/>
      <c r="BR1180" s="737" t="n"/>
      <c r="BS1180" s="737" t="n"/>
      <c r="BT1180" s="737" t="n"/>
      <c r="BU1180" s="737" t="n"/>
      <c r="BV1180" s="737" t="n"/>
      <c r="BW1180" s="737" t="n"/>
      <c r="BX1180" s="737" t="n"/>
      <c r="BY1180" s="737" t="n"/>
      <c r="BZ1180" s="737" t="n"/>
      <c r="CA1180" s="737" t="n"/>
      <c r="CB1180" s="737" t="n"/>
      <c r="CC1180" s="737" t="n"/>
      <c r="CD1180" s="737" t="n"/>
      <c r="CE1180" s="737" t="n"/>
      <c r="CF1180" s="737" t="n"/>
      <c r="CG1180" s="737" t="n"/>
      <c r="CH1180" s="737" t="n"/>
      <c r="CI1180" s="737" t="n"/>
      <c r="CJ1180" s="737" t="n"/>
      <c r="CK1180" s="737" t="n"/>
      <c r="CL1180" s="737" t="n"/>
      <c r="CM1180" s="737" t="n"/>
      <c r="CN1180" s="737" t="n"/>
      <c r="CO1180" s="737" t="n"/>
      <c r="CP1180" s="737" t="n"/>
      <c r="CQ1180" s="737" t="n"/>
      <c r="CR1180" s="737" t="n"/>
      <c r="CS1180" s="737" t="n"/>
      <c r="CT1180" s="737" t="n"/>
      <c r="CU1180" s="737" t="n"/>
      <c r="CV1180" s="737" t="n"/>
      <c r="CW1180" s="737" t="n"/>
      <c r="CX1180" s="737" t="n"/>
      <c r="CY1180" s="737" t="n"/>
    </row>
    <row r="1181">
      <c r="A1181" s="737" t="n"/>
      <c r="B1181" s="737" t="n"/>
      <c r="C1181" s="737" t="n"/>
      <c r="D1181" s="737" t="n"/>
      <c r="E1181" s="737" t="n"/>
      <c r="F1181" s="737" t="n"/>
      <c r="G1181" s="737" t="n"/>
      <c r="H1181" s="737" t="n"/>
      <c r="I1181" s="737" t="n"/>
      <c r="J1181" s="737" t="n"/>
      <c r="K1181" s="737" t="n"/>
      <c r="L1181" s="737" t="n"/>
      <c r="M1181" s="737" t="n"/>
      <c r="N1181" s="737" t="n"/>
      <c r="O1181" s="737" t="n"/>
      <c r="P1181" s="737" t="n"/>
      <c r="Q1181" s="737" t="n"/>
      <c r="R1181" s="737" t="n"/>
      <c r="S1181" s="737" t="n"/>
      <c r="T1181" s="737" t="n"/>
      <c r="U1181" s="737" t="n"/>
      <c r="V1181" s="737" t="n"/>
      <c r="W1181" s="737" t="n"/>
      <c r="X1181" s="737" t="n"/>
      <c r="Y1181" s="737" t="n"/>
      <c r="Z1181" s="737" t="n"/>
      <c r="AA1181" s="737" t="n"/>
      <c r="AB1181" s="737" t="n"/>
      <c r="AC1181" s="737" t="n"/>
      <c r="AD1181" s="737" t="n"/>
      <c r="AE1181" s="737" t="n"/>
      <c r="AF1181" s="737" t="n"/>
      <c r="AG1181" s="737" t="n"/>
      <c r="AH1181" s="737" t="n"/>
      <c r="AI1181" s="737" t="n"/>
      <c r="AJ1181" s="737" t="n"/>
      <c r="AK1181" s="737" t="n"/>
      <c r="AL1181" s="737" t="n"/>
      <c r="AM1181" s="737" t="n"/>
      <c r="AN1181" s="737" t="n"/>
      <c r="AO1181" s="737" t="n"/>
      <c r="AP1181" s="737" t="n"/>
      <c r="AQ1181" s="737" t="n"/>
      <c r="AR1181" s="737" t="n"/>
      <c r="AS1181" s="737" t="n"/>
      <c r="AT1181" s="737" t="n"/>
      <c r="AU1181" s="737" t="n"/>
      <c r="AV1181" s="737" t="n"/>
      <c r="AW1181" s="737" t="n"/>
      <c r="AX1181" s="737" t="n"/>
      <c r="AY1181" s="737" t="n"/>
      <c r="AZ1181" s="737" t="n"/>
      <c r="BA1181" s="737" t="n"/>
      <c r="BB1181" s="737" t="n"/>
      <c r="BC1181" s="737" t="n"/>
      <c r="BD1181" s="737" t="n"/>
      <c r="BE1181" s="737" t="n"/>
      <c r="BF1181" s="737" t="n"/>
      <c r="BG1181" s="737" t="n"/>
      <c r="BH1181" s="737" t="n"/>
      <c r="BI1181" s="737" t="n"/>
      <c r="BJ1181" s="737" t="n"/>
      <c r="BK1181" s="737" t="n"/>
      <c r="BL1181" s="737" t="n"/>
      <c r="BM1181" s="737" t="n"/>
      <c r="BN1181" s="737" t="n"/>
      <c r="BO1181" s="737" t="n"/>
      <c r="BP1181" s="737" t="n"/>
      <c r="BQ1181" s="737" t="n"/>
      <c r="BR1181" s="737" t="n"/>
      <c r="BS1181" s="737" t="n"/>
      <c r="BT1181" s="737" t="n"/>
      <c r="BU1181" s="737" t="n"/>
      <c r="BV1181" s="737" t="n"/>
      <c r="BW1181" s="737" t="n"/>
      <c r="BX1181" s="737" t="n"/>
      <c r="BY1181" s="737" t="n"/>
      <c r="BZ1181" s="737" t="n"/>
      <c r="CA1181" s="737" t="n"/>
      <c r="CB1181" s="737" t="n"/>
      <c r="CC1181" s="737" t="n"/>
      <c r="CD1181" s="737" t="n"/>
      <c r="CE1181" s="737" t="n"/>
      <c r="CF1181" s="737" t="n"/>
      <c r="CG1181" s="737" t="n"/>
      <c r="CH1181" s="737" t="n"/>
      <c r="CI1181" s="737" t="n"/>
      <c r="CJ1181" s="737" t="n"/>
      <c r="CK1181" s="737" t="n"/>
      <c r="CL1181" s="737" t="n"/>
      <c r="CM1181" s="737" t="n"/>
      <c r="CN1181" s="737" t="n"/>
      <c r="CO1181" s="737" t="n"/>
      <c r="CP1181" s="737" t="n"/>
      <c r="CQ1181" s="737" t="n"/>
      <c r="CR1181" s="737" t="n"/>
      <c r="CS1181" s="737" t="n"/>
      <c r="CT1181" s="737" t="n"/>
      <c r="CU1181" s="737" t="n"/>
      <c r="CV1181" s="737" t="n"/>
      <c r="CW1181" s="737" t="n"/>
      <c r="CX1181" s="737" t="n"/>
      <c r="CY1181" s="737" t="n"/>
    </row>
    <row r="1182">
      <c r="A1182" s="737" t="n"/>
      <c r="B1182" s="737" t="n"/>
      <c r="C1182" s="737" t="n"/>
      <c r="D1182" s="737" t="n"/>
      <c r="E1182" s="737" t="n"/>
      <c r="F1182" s="737" t="n"/>
      <c r="G1182" s="737" t="n"/>
      <c r="H1182" s="737" t="n"/>
      <c r="I1182" s="737" t="n"/>
      <c r="J1182" s="737" t="n"/>
      <c r="K1182" s="737" t="n"/>
      <c r="L1182" s="737" t="n"/>
      <c r="M1182" s="737" t="n"/>
      <c r="N1182" s="737" t="n"/>
      <c r="O1182" s="737" t="n"/>
      <c r="P1182" s="737" t="n"/>
      <c r="Q1182" s="737" t="n"/>
      <c r="R1182" s="737" t="n"/>
      <c r="S1182" s="737" t="n"/>
      <c r="T1182" s="737" t="n"/>
      <c r="U1182" s="737" t="n"/>
      <c r="V1182" s="737" t="n"/>
      <c r="W1182" s="737" t="n"/>
      <c r="X1182" s="737" t="n"/>
      <c r="Y1182" s="737" t="n"/>
      <c r="Z1182" s="737" t="n"/>
      <c r="AA1182" s="737" t="n"/>
      <c r="AB1182" s="737" t="n"/>
      <c r="AC1182" s="737" t="n"/>
      <c r="AD1182" s="737" t="n"/>
      <c r="AE1182" s="737" t="n"/>
      <c r="AF1182" s="737" t="n"/>
      <c r="AG1182" s="737" t="n"/>
      <c r="AH1182" s="737" t="n"/>
      <c r="AI1182" s="737" t="n"/>
      <c r="AJ1182" s="737" t="n"/>
      <c r="AK1182" s="737" t="n"/>
      <c r="AL1182" s="737" t="n"/>
      <c r="AM1182" s="737" t="n"/>
      <c r="AN1182" s="737" t="n"/>
      <c r="AO1182" s="737" t="n"/>
      <c r="AP1182" s="737" t="n"/>
      <c r="AQ1182" s="737" t="n"/>
      <c r="AR1182" s="737" t="n"/>
      <c r="AS1182" s="737" t="n"/>
      <c r="AT1182" s="737" t="n"/>
      <c r="AU1182" s="737" t="n"/>
      <c r="AV1182" s="737" t="n"/>
      <c r="AW1182" s="737" t="n"/>
      <c r="AX1182" s="737" t="n"/>
      <c r="AY1182" s="737" t="n"/>
      <c r="AZ1182" s="737" t="n"/>
      <c r="BA1182" s="737" t="n"/>
      <c r="BB1182" s="737" t="n"/>
      <c r="BC1182" s="737" t="n"/>
      <c r="BD1182" s="737" t="n"/>
      <c r="BE1182" s="737" t="n"/>
      <c r="BF1182" s="737" t="n"/>
      <c r="BG1182" s="737" t="n"/>
      <c r="BH1182" s="737" t="n"/>
      <c r="BI1182" s="737" t="n"/>
      <c r="BJ1182" s="737" t="n"/>
      <c r="BK1182" s="737" t="n"/>
      <c r="BL1182" s="737" t="n"/>
      <c r="BM1182" s="737" t="n"/>
      <c r="BN1182" s="737" t="n"/>
      <c r="BO1182" s="737" t="n"/>
      <c r="BP1182" s="737" t="n"/>
      <c r="BQ1182" s="737" t="n"/>
      <c r="BR1182" s="737" t="n"/>
      <c r="BS1182" s="737" t="n"/>
      <c r="BT1182" s="737" t="n"/>
      <c r="BU1182" s="737" t="n"/>
      <c r="BV1182" s="737" t="n"/>
      <c r="BW1182" s="737" t="n"/>
      <c r="BX1182" s="737" t="n"/>
      <c r="BY1182" s="737" t="n"/>
      <c r="BZ1182" s="737" t="n"/>
      <c r="CA1182" s="737" t="n"/>
      <c r="CB1182" s="737" t="n"/>
      <c r="CC1182" s="737" t="n"/>
      <c r="CD1182" s="737" t="n"/>
      <c r="CE1182" s="737" t="n"/>
      <c r="CF1182" s="737" t="n"/>
      <c r="CG1182" s="737" t="n"/>
      <c r="CH1182" s="737" t="n"/>
      <c r="CI1182" s="737" t="n"/>
      <c r="CJ1182" s="737" t="n"/>
      <c r="CK1182" s="737" t="n"/>
      <c r="CL1182" s="737" t="n"/>
      <c r="CM1182" s="737" t="n"/>
      <c r="CN1182" s="737" t="n"/>
      <c r="CO1182" s="737" t="n"/>
      <c r="CP1182" s="737" t="n"/>
      <c r="CQ1182" s="737" t="n"/>
      <c r="CR1182" s="737" t="n"/>
      <c r="CS1182" s="737" t="n"/>
      <c r="CT1182" s="737" t="n"/>
      <c r="CU1182" s="737" t="n"/>
      <c r="CV1182" s="737" t="n"/>
      <c r="CW1182" s="737" t="n"/>
      <c r="CX1182" s="737" t="n"/>
      <c r="CY1182" s="737" t="n"/>
    </row>
    <row r="1183">
      <c r="A1183" s="737" t="n"/>
      <c r="B1183" s="737" t="n"/>
      <c r="C1183" s="737" t="n"/>
      <c r="D1183" s="737" t="n"/>
      <c r="E1183" s="737" t="n"/>
      <c r="F1183" s="737" t="n"/>
      <c r="G1183" s="737" t="n"/>
      <c r="H1183" s="737" t="n"/>
      <c r="I1183" s="737" t="n"/>
      <c r="J1183" s="737" t="n"/>
      <c r="K1183" s="737" t="n"/>
      <c r="L1183" s="737" t="n"/>
      <c r="M1183" s="737" t="n"/>
      <c r="N1183" s="737" t="n"/>
      <c r="O1183" s="737" t="n"/>
      <c r="P1183" s="737" t="n"/>
      <c r="Q1183" s="737" t="n"/>
      <c r="R1183" s="737" t="n"/>
      <c r="S1183" s="737" t="n"/>
      <c r="T1183" s="737" t="n"/>
      <c r="U1183" s="737" t="n"/>
      <c r="V1183" s="737" t="n"/>
      <c r="W1183" s="737" t="n"/>
      <c r="X1183" s="737" t="n"/>
      <c r="Y1183" s="737" t="n"/>
      <c r="Z1183" s="737" t="n"/>
      <c r="AA1183" s="737" t="n"/>
      <c r="AB1183" s="737" t="n"/>
      <c r="AC1183" s="737" t="n"/>
      <c r="AD1183" s="737" t="n"/>
      <c r="AE1183" s="737" t="n"/>
      <c r="AF1183" s="737" t="n"/>
      <c r="AG1183" s="737" t="n"/>
      <c r="AH1183" s="737" t="n"/>
      <c r="AI1183" s="737" t="n"/>
      <c r="AJ1183" s="737" t="n"/>
      <c r="AK1183" s="737" t="n"/>
      <c r="AL1183" s="737" t="n"/>
      <c r="AM1183" s="737" t="n"/>
      <c r="AN1183" s="737" t="n"/>
      <c r="AO1183" s="737" t="n"/>
      <c r="AP1183" s="737" t="n"/>
      <c r="AQ1183" s="737" t="n"/>
      <c r="AR1183" s="737" t="n"/>
      <c r="AS1183" s="737" t="n"/>
      <c r="AT1183" s="737" t="n"/>
      <c r="AU1183" s="737" t="n"/>
      <c r="AV1183" s="737" t="n"/>
      <c r="AW1183" s="737" t="n"/>
      <c r="AX1183" s="737" t="n"/>
      <c r="AY1183" s="737" t="n"/>
      <c r="AZ1183" s="737" t="n"/>
      <c r="BA1183" s="737" t="n"/>
      <c r="BB1183" s="737" t="n"/>
      <c r="BC1183" s="737" t="n"/>
      <c r="BD1183" s="737" t="n"/>
      <c r="BE1183" s="737" t="n"/>
      <c r="BF1183" s="737" t="n"/>
      <c r="BG1183" s="737" t="n"/>
      <c r="BH1183" s="737" t="n"/>
      <c r="BI1183" s="737" t="n"/>
      <c r="BJ1183" s="737" t="n"/>
      <c r="BK1183" s="737" t="n"/>
      <c r="BL1183" s="737" t="n"/>
      <c r="BM1183" s="737" t="n"/>
      <c r="BN1183" s="737" t="n"/>
      <c r="BO1183" s="737" t="n"/>
      <c r="BP1183" s="737" t="n"/>
      <c r="BQ1183" s="737" t="n"/>
      <c r="BR1183" s="737" t="n"/>
      <c r="BS1183" s="737" t="n"/>
      <c r="BT1183" s="737" t="n"/>
      <c r="BU1183" s="737" t="n"/>
      <c r="BV1183" s="737" t="n"/>
      <c r="BW1183" s="737" t="n"/>
      <c r="BX1183" s="737" t="n"/>
      <c r="BY1183" s="737" t="n"/>
      <c r="BZ1183" s="737" t="n"/>
      <c r="CA1183" s="737" t="n"/>
      <c r="CB1183" s="737" t="n"/>
      <c r="CC1183" s="737" t="n"/>
      <c r="CD1183" s="737" t="n"/>
      <c r="CE1183" s="737" t="n"/>
      <c r="CF1183" s="737" t="n"/>
      <c r="CG1183" s="737" t="n"/>
      <c r="CH1183" s="737" t="n"/>
      <c r="CI1183" s="737" t="n"/>
      <c r="CJ1183" s="737" t="n"/>
      <c r="CK1183" s="737" t="n"/>
      <c r="CL1183" s="737" t="n"/>
      <c r="CM1183" s="737" t="n"/>
      <c r="CN1183" s="737" t="n"/>
      <c r="CO1183" s="737" t="n"/>
      <c r="CP1183" s="737" t="n"/>
      <c r="CQ1183" s="737" t="n"/>
      <c r="CR1183" s="737" t="n"/>
      <c r="CS1183" s="737" t="n"/>
      <c r="CT1183" s="737" t="n"/>
      <c r="CU1183" s="737" t="n"/>
      <c r="CV1183" s="737" t="n"/>
      <c r="CW1183" s="737" t="n"/>
      <c r="CX1183" s="737" t="n"/>
      <c r="CY1183" s="737" t="n"/>
    </row>
    <row r="1184">
      <c r="A1184" s="737" t="n"/>
      <c r="B1184" s="737" t="n"/>
      <c r="C1184" s="737" t="n"/>
      <c r="D1184" s="737" t="n"/>
      <c r="E1184" s="737" t="n"/>
      <c r="F1184" s="737" t="n"/>
      <c r="G1184" s="737" t="n"/>
      <c r="H1184" s="737" t="n"/>
      <c r="I1184" s="737" t="n"/>
      <c r="J1184" s="737" t="n"/>
      <c r="K1184" s="737" t="n"/>
      <c r="L1184" s="737" t="n"/>
      <c r="M1184" s="737" t="n"/>
      <c r="N1184" s="737" t="n"/>
      <c r="O1184" s="737" t="n"/>
      <c r="P1184" s="737" t="n"/>
      <c r="Q1184" s="737" t="n"/>
      <c r="R1184" s="737" t="n"/>
      <c r="S1184" s="737" t="n"/>
      <c r="T1184" s="737" t="n"/>
      <c r="U1184" s="737" t="n"/>
      <c r="V1184" s="737" t="n"/>
      <c r="W1184" s="737" t="n"/>
      <c r="X1184" s="737" t="n"/>
      <c r="Y1184" s="737" t="n"/>
      <c r="Z1184" s="737" t="n"/>
      <c r="AA1184" s="737" t="n"/>
      <c r="AB1184" s="737" t="n"/>
      <c r="AC1184" s="737" t="n"/>
      <c r="AD1184" s="737" t="n"/>
      <c r="AE1184" s="737" t="n"/>
      <c r="AF1184" s="737" t="n"/>
      <c r="AG1184" s="737" t="n"/>
      <c r="AH1184" s="737" t="n"/>
      <c r="AI1184" s="737" t="n"/>
      <c r="AJ1184" s="737" t="n"/>
      <c r="AK1184" s="737" t="n"/>
      <c r="AL1184" s="737" t="n"/>
      <c r="AM1184" s="737" t="n"/>
      <c r="AN1184" s="737" t="n"/>
      <c r="AO1184" s="737" t="n"/>
      <c r="AP1184" s="737" t="n"/>
      <c r="AQ1184" s="737" t="n"/>
      <c r="AR1184" s="737" t="n"/>
      <c r="AS1184" s="737" t="n"/>
      <c r="AT1184" s="737" t="n"/>
      <c r="AU1184" s="737" t="n"/>
      <c r="AV1184" s="737" t="n"/>
      <c r="AW1184" s="737" t="n"/>
      <c r="AX1184" s="737" t="n"/>
      <c r="AY1184" s="737" t="n"/>
      <c r="AZ1184" s="737" t="n"/>
      <c r="BA1184" s="737" t="n"/>
      <c r="BB1184" s="737" t="n"/>
      <c r="BC1184" s="737" t="n"/>
      <c r="BD1184" s="737" t="n"/>
      <c r="BE1184" s="737" t="n"/>
      <c r="BF1184" s="737" t="n"/>
      <c r="BG1184" s="737" t="n"/>
      <c r="BH1184" s="737" t="n"/>
      <c r="BI1184" s="737" t="n"/>
      <c r="BJ1184" s="737" t="n"/>
      <c r="BK1184" s="737" t="n"/>
      <c r="BL1184" s="737" t="n"/>
      <c r="BM1184" s="737" t="n"/>
      <c r="BN1184" s="737" t="n"/>
      <c r="BO1184" s="737" t="n"/>
      <c r="BP1184" s="737" t="n"/>
      <c r="BQ1184" s="737" t="n"/>
      <c r="BR1184" s="737" t="n"/>
      <c r="BS1184" s="737" t="n"/>
      <c r="BT1184" s="737" t="n"/>
      <c r="BU1184" s="737" t="n"/>
      <c r="BV1184" s="737" t="n"/>
      <c r="BW1184" s="737" t="n"/>
      <c r="BX1184" s="737" t="n"/>
      <c r="BY1184" s="737" t="n"/>
      <c r="BZ1184" s="737" t="n"/>
      <c r="CA1184" s="737" t="n"/>
      <c r="CB1184" s="737" t="n"/>
      <c r="CC1184" s="737" t="n"/>
      <c r="CD1184" s="737" t="n"/>
      <c r="CE1184" s="737" t="n"/>
      <c r="CF1184" s="737" t="n"/>
      <c r="CG1184" s="737" t="n"/>
      <c r="CH1184" s="737" t="n"/>
      <c r="CI1184" s="737" t="n"/>
      <c r="CJ1184" s="737" t="n"/>
      <c r="CK1184" s="737" t="n"/>
      <c r="CL1184" s="737" t="n"/>
      <c r="CM1184" s="737" t="n"/>
      <c r="CN1184" s="737" t="n"/>
      <c r="CO1184" s="737" t="n"/>
      <c r="CP1184" s="737" t="n"/>
      <c r="CQ1184" s="737" t="n"/>
      <c r="CR1184" s="737" t="n"/>
      <c r="CS1184" s="737" t="n"/>
      <c r="CT1184" s="737" t="n"/>
      <c r="CU1184" s="737" t="n"/>
      <c r="CV1184" s="737" t="n"/>
      <c r="CW1184" s="737" t="n"/>
      <c r="CX1184" s="737" t="n"/>
      <c r="CY1184" s="737" t="n"/>
    </row>
    <row r="1185">
      <c r="A1185" s="737" t="n"/>
      <c r="B1185" s="737" t="n"/>
      <c r="C1185" s="737" t="n"/>
      <c r="D1185" s="737" t="n"/>
      <c r="E1185" s="737" t="n"/>
      <c r="F1185" s="737" t="n"/>
      <c r="G1185" s="737" t="n"/>
      <c r="H1185" s="737" t="n"/>
      <c r="I1185" s="737" t="n"/>
      <c r="J1185" s="737" t="n"/>
      <c r="K1185" s="737" t="n"/>
      <c r="L1185" s="737" t="n"/>
      <c r="M1185" s="737" t="n"/>
      <c r="N1185" s="737" t="n"/>
      <c r="O1185" s="737" t="n"/>
      <c r="P1185" s="737" t="n"/>
      <c r="Q1185" s="737" t="n"/>
      <c r="R1185" s="737" t="n"/>
      <c r="S1185" s="737" t="n"/>
      <c r="T1185" s="737" t="n"/>
      <c r="U1185" s="737" t="n"/>
      <c r="V1185" s="737" t="n"/>
      <c r="W1185" s="737" t="n"/>
      <c r="X1185" s="737" t="n"/>
      <c r="Y1185" s="737" t="n"/>
      <c r="Z1185" s="737" t="n"/>
      <c r="AA1185" s="737" t="n"/>
      <c r="AB1185" s="737" t="n"/>
      <c r="AC1185" s="737" t="n"/>
      <c r="AD1185" s="737" t="n"/>
      <c r="AE1185" s="737" t="n"/>
      <c r="AF1185" s="737" t="n"/>
      <c r="AG1185" s="737" t="n"/>
      <c r="AH1185" s="737" t="n"/>
      <c r="AI1185" s="737" t="n"/>
      <c r="AJ1185" s="737" t="n"/>
      <c r="AK1185" s="737" t="n"/>
      <c r="AL1185" s="737" t="n"/>
      <c r="AM1185" s="737" t="n"/>
      <c r="AN1185" s="737" t="n"/>
      <c r="AO1185" s="737" t="n"/>
      <c r="AP1185" s="737" t="n"/>
      <c r="AQ1185" s="737" t="n"/>
      <c r="AR1185" s="737" t="n"/>
      <c r="AS1185" s="737" t="n"/>
      <c r="AT1185" s="737" t="n"/>
      <c r="AU1185" s="737" t="n"/>
      <c r="AV1185" s="737" t="n"/>
      <c r="AW1185" s="737" t="n"/>
      <c r="AX1185" s="737" t="n"/>
      <c r="AY1185" s="737" t="n"/>
      <c r="AZ1185" s="737" t="n"/>
      <c r="BA1185" s="737" t="n"/>
      <c r="BB1185" s="737" t="n"/>
      <c r="BC1185" s="737" t="n"/>
      <c r="BD1185" s="737" t="n"/>
      <c r="BE1185" s="737" t="n"/>
      <c r="BF1185" s="737" t="n"/>
      <c r="BG1185" s="737" t="n"/>
      <c r="BH1185" s="737" t="n"/>
      <c r="BI1185" s="737" t="n"/>
      <c r="BJ1185" s="737" t="n"/>
      <c r="BK1185" s="737" t="n"/>
      <c r="BL1185" s="737" t="n"/>
      <c r="BM1185" s="737" t="n"/>
      <c r="BN1185" s="737" t="n"/>
      <c r="BO1185" s="737" t="n"/>
      <c r="BP1185" s="737" t="n"/>
      <c r="BQ1185" s="737" t="n"/>
      <c r="BR1185" s="737" t="n"/>
      <c r="BS1185" s="737" t="n"/>
      <c r="BT1185" s="737" t="n"/>
      <c r="BU1185" s="737" t="n"/>
      <c r="BV1185" s="737" t="n"/>
      <c r="BW1185" s="737" t="n"/>
      <c r="BX1185" s="737" t="n"/>
      <c r="BY1185" s="737" t="n"/>
      <c r="BZ1185" s="737" t="n"/>
      <c r="CA1185" s="737" t="n"/>
      <c r="CB1185" s="737" t="n"/>
      <c r="CC1185" s="737" t="n"/>
      <c r="CD1185" s="737" t="n"/>
      <c r="CE1185" s="737" t="n"/>
      <c r="CF1185" s="737" t="n"/>
      <c r="CG1185" s="737" t="n"/>
      <c r="CH1185" s="737" t="n"/>
      <c r="CI1185" s="737" t="n"/>
      <c r="CJ1185" s="737" t="n"/>
      <c r="CK1185" s="737" t="n"/>
      <c r="CL1185" s="737" t="n"/>
      <c r="CM1185" s="737" t="n"/>
      <c r="CN1185" s="737" t="n"/>
      <c r="CO1185" s="737" t="n"/>
      <c r="CP1185" s="737" t="n"/>
      <c r="CQ1185" s="737" t="n"/>
      <c r="CR1185" s="737" t="n"/>
      <c r="CS1185" s="737" t="n"/>
      <c r="CT1185" s="737" t="n"/>
      <c r="CU1185" s="737" t="n"/>
      <c r="CV1185" s="737" t="n"/>
      <c r="CW1185" s="737" t="n"/>
      <c r="CX1185" s="737" t="n"/>
      <c r="CY1185" s="737" t="n"/>
    </row>
    <row r="1186">
      <c r="A1186" s="737" t="n"/>
      <c r="B1186" s="737" t="n"/>
      <c r="C1186" s="737" t="n"/>
      <c r="D1186" s="737" t="n"/>
      <c r="E1186" s="737" t="n"/>
      <c r="F1186" s="737" t="n"/>
      <c r="G1186" s="737" t="n"/>
      <c r="H1186" s="737" t="n"/>
      <c r="I1186" s="737" t="n"/>
      <c r="J1186" s="737" t="n"/>
      <c r="K1186" s="737" t="n"/>
      <c r="L1186" s="737" t="n"/>
      <c r="M1186" s="737" t="n"/>
      <c r="N1186" s="737" t="n"/>
      <c r="O1186" s="737" t="n"/>
      <c r="P1186" s="737" t="n"/>
      <c r="Q1186" s="737" t="n"/>
      <c r="R1186" s="737" t="n"/>
      <c r="S1186" s="737" t="n"/>
      <c r="T1186" s="737" t="n"/>
      <c r="U1186" s="737" t="n"/>
      <c r="V1186" s="737" t="n"/>
      <c r="W1186" s="737" t="n"/>
      <c r="X1186" s="737" t="n"/>
      <c r="Y1186" s="737" t="n"/>
      <c r="Z1186" s="737" t="n"/>
      <c r="AA1186" s="737" t="n"/>
      <c r="AB1186" s="737" t="n"/>
      <c r="AC1186" s="737" t="n"/>
      <c r="AD1186" s="737" t="n"/>
      <c r="AE1186" s="737" t="n"/>
      <c r="AF1186" s="737" t="n"/>
      <c r="AG1186" s="737" t="n"/>
      <c r="AH1186" s="737" t="n"/>
      <c r="AI1186" s="737" t="n"/>
      <c r="AJ1186" s="737" t="n"/>
      <c r="AK1186" s="737" t="n"/>
      <c r="AL1186" s="737" t="n"/>
      <c r="AM1186" s="737" t="n"/>
      <c r="AN1186" s="737" t="n"/>
      <c r="AO1186" s="737" t="n"/>
      <c r="AP1186" s="737" t="n"/>
      <c r="AQ1186" s="737" t="n"/>
      <c r="AR1186" s="737" t="n"/>
      <c r="AS1186" s="737" t="n"/>
      <c r="AT1186" s="737" t="n"/>
      <c r="AU1186" s="737" t="n"/>
      <c r="AV1186" s="737" t="n"/>
      <c r="AW1186" s="737" t="n"/>
      <c r="AX1186" s="737" t="n"/>
      <c r="AY1186" s="737" t="n"/>
      <c r="AZ1186" s="737" t="n"/>
      <c r="BA1186" s="737" t="n"/>
      <c r="BB1186" s="737" t="n"/>
      <c r="BC1186" s="737" t="n"/>
      <c r="BD1186" s="737" t="n"/>
      <c r="BE1186" s="737" t="n"/>
      <c r="BF1186" s="737" t="n"/>
      <c r="BG1186" s="737" t="n"/>
      <c r="BH1186" s="737" t="n"/>
      <c r="BI1186" s="737" t="n"/>
      <c r="BJ1186" s="737" t="n"/>
      <c r="BK1186" s="737" t="n"/>
      <c r="BL1186" s="737" t="n"/>
      <c r="BM1186" s="737" t="n"/>
      <c r="BN1186" s="737" t="n"/>
      <c r="BO1186" s="737" t="n"/>
      <c r="BP1186" s="737" t="n"/>
      <c r="BQ1186" s="737" t="n"/>
      <c r="BR1186" s="737" t="n"/>
      <c r="BS1186" s="737" t="n"/>
      <c r="BT1186" s="737" t="n"/>
      <c r="BU1186" s="737" t="n"/>
      <c r="BV1186" s="737" t="n"/>
      <c r="BW1186" s="737" t="n"/>
      <c r="BX1186" s="737" t="n"/>
      <c r="BY1186" s="737" t="n"/>
      <c r="BZ1186" s="737" t="n"/>
      <c r="CA1186" s="737" t="n"/>
      <c r="CB1186" s="737" t="n"/>
      <c r="CC1186" s="737" t="n"/>
      <c r="CD1186" s="737" t="n"/>
      <c r="CE1186" s="737" t="n"/>
      <c r="CF1186" s="737" t="n"/>
      <c r="CG1186" s="737" t="n"/>
      <c r="CH1186" s="737" t="n"/>
      <c r="CI1186" s="737" t="n"/>
      <c r="CJ1186" s="737" t="n"/>
      <c r="CK1186" s="737" t="n"/>
      <c r="CL1186" s="737" t="n"/>
      <c r="CM1186" s="737" t="n"/>
      <c r="CN1186" s="737" t="n"/>
      <c r="CO1186" s="737" t="n"/>
      <c r="CP1186" s="737" t="n"/>
      <c r="CQ1186" s="737" t="n"/>
      <c r="CR1186" s="737" t="n"/>
      <c r="CS1186" s="737" t="n"/>
      <c r="CT1186" s="737" t="n"/>
      <c r="CU1186" s="737" t="n"/>
      <c r="CV1186" s="737" t="n"/>
      <c r="CW1186" s="737" t="n"/>
      <c r="CX1186" s="737" t="n"/>
      <c r="CY1186" s="737" t="n"/>
    </row>
    <row r="1187">
      <c r="A1187" s="737" t="n"/>
      <c r="B1187" s="737" t="n"/>
      <c r="C1187" s="737" t="n"/>
      <c r="D1187" s="737" t="n"/>
      <c r="E1187" s="737" t="n"/>
      <c r="F1187" s="737" t="n"/>
      <c r="G1187" s="737" t="n"/>
      <c r="H1187" s="737" t="n"/>
      <c r="I1187" s="737" t="n"/>
      <c r="J1187" s="737" t="n"/>
      <c r="K1187" s="737" t="n"/>
      <c r="L1187" s="737" t="n"/>
      <c r="M1187" s="737" t="n"/>
      <c r="N1187" s="737" t="n"/>
      <c r="O1187" s="737" t="n"/>
      <c r="P1187" s="737" t="n"/>
      <c r="Q1187" s="737" t="n"/>
      <c r="R1187" s="737" t="n"/>
      <c r="S1187" s="737" t="n"/>
      <c r="T1187" s="737" t="n"/>
      <c r="U1187" s="737" t="n"/>
      <c r="V1187" s="737" t="n"/>
      <c r="W1187" s="737" t="n"/>
      <c r="X1187" s="737" t="n"/>
      <c r="Y1187" s="737" t="n"/>
      <c r="Z1187" s="737" t="n"/>
      <c r="AA1187" s="737" t="n"/>
      <c r="AB1187" s="737" t="n"/>
      <c r="AC1187" s="737" t="n"/>
      <c r="AD1187" s="737" t="n"/>
      <c r="AE1187" s="737" t="n"/>
      <c r="AF1187" s="737" t="n"/>
      <c r="AG1187" s="737" t="n"/>
      <c r="AH1187" s="737" t="n"/>
      <c r="AI1187" s="737" t="n"/>
      <c r="AJ1187" s="737" t="n"/>
      <c r="AK1187" s="737" t="n"/>
      <c r="AL1187" s="737" t="n"/>
      <c r="AM1187" s="737" t="n"/>
      <c r="AN1187" s="737" t="n"/>
      <c r="AO1187" s="737" t="n"/>
      <c r="AP1187" s="737" t="n"/>
      <c r="AQ1187" s="737" t="n"/>
      <c r="AR1187" s="737" t="n"/>
      <c r="AS1187" s="737" t="n"/>
      <c r="AT1187" s="737" t="n"/>
      <c r="AU1187" s="737" t="n"/>
      <c r="AV1187" s="737" t="n"/>
      <c r="AW1187" s="737" t="n"/>
      <c r="AX1187" s="737" t="n"/>
      <c r="AY1187" s="737" t="n"/>
      <c r="AZ1187" s="737" t="n"/>
      <c r="BA1187" s="737" t="n"/>
      <c r="BB1187" s="737" t="n"/>
      <c r="BC1187" s="737" t="n"/>
      <c r="BD1187" s="737" t="n"/>
      <c r="BE1187" s="737" t="n"/>
      <c r="BF1187" s="737" t="n"/>
      <c r="BG1187" s="737" t="n"/>
      <c r="BH1187" s="737" t="n"/>
      <c r="BI1187" s="737" t="n"/>
      <c r="BJ1187" s="737" t="n"/>
      <c r="BK1187" s="737" t="n"/>
      <c r="BL1187" s="737" t="n"/>
      <c r="BM1187" s="737" t="n"/>
      <c r="BN1187" s="737" t="n"/>
      <c r="BO1187" s="737" t="n"/>
      <c r="BP1187" s="737" t="n"/>
      <c r="BQ1187" s="737" t="n"/>
      <c r="BR1187" s="737" t="n"/>
      <c r="BS1187" s="737" t="n"/>
      <c r="BT1187" s="737" t="n"/>
      <c r="BU1187" s="737" t="n"/>
      <c r="BV1187" s="737" t="n"/>
      <c r="BW1187" s="737" t="n"/>
      <c r="BX1187" s="737" t="n"/>
      <c r="BY1187" s="737" t="n"/>
      <c r="BZ1187" s="737" t="n"/>
      <c r="CA1187" s="737" t="n"/>
      <c r="CB1187" s="737" t="n"/>
      <c r="CC1187" s="737" t="n"/>
      <c r="CD1187" s="737" t="n"/>
      <c r="CE1187" s="737" t="n"/>
      <c r="CF1187" s="737" t="n"/>
      <c r="CG1187" s="737" t="n"/>
      <c r="CH1187" s="737" t="n"/>
      <c r="CI1187" s="737" t="n"/>
      <c r="CJ1187" s="737" t="n"/>
      <c r="CK1187" s="737" t="n"/>
      <c r="CL1187" s="737" t="n"/>
      <c r="CM1187" s="737" t="n"/>
      <c r="CN1187" s="737" t="n"/>
      <c r="CO1187" s="737" t="n"/>
      <c r="CP1187" s="737" t="n"/>
      <c r="CQ1187" s="737" t="n"/>
      <c r="CR1187" s="737" t="n"/>
      <c r="CS1187" s="737" t="n"/>
      <c r="CT1187" s="737" t="n"/>
      <c r="CU1187" s="737" t="n"/>
      <c r="CV1187" s="737" t="n"/>
      <c r="CW1187" s="737" t="n"/>
      <c r="CX1187" s="737" t="n"/>
      <c r="CY1187" s="737" t="n"/>
    </row>
    <row r="1188">
      <c r="A1188" s="737" t="n"/>
      <c r="B1188" s="737" t="n"/>
      <c r="C1188" s="737" t="n"/>
      <c r="D1188" s="737" t="n"/>
      <c r="E1188" s="737" t="n"/>
      <c r="F1188" s="737" t="n"/>
      <c r="G1188" s="737" t="n"/>
      <c r="H1188" s="737" t="n"/>
      <c r="I1188" s="737" t="n"/>
      <c r="J1188" s="737" t="n"/>
      <c r="K1188" s="737" t="n"/>
      <c r="L1188" s="737" t="n"/>
      <c r="M1188" s="737" t="n"/>
      <c r="N1188" s="737" t="n"/>
      <c r="O1188" s="737" t="n"/>
      <c r="P1188" s="737" t="n"/>
      <c r="Q1188" s="737" t="n"/>
      <c r="R1188" s="737" t="n"/>
      <c r="S1188" s="737" t="n"/>
      <c r="T1188" s="737" t="n"/>
      <c r="U1188" s="737" t="n"/>
      <c r="V1188" s="737" t="n"/>
      <c r="W1188" s="737" t="n"/>
      <c r="X1188" s="737" t="n"/>
      <c r="Y1188" s="737" t="n"/>
      <c r="Z1188" s="737" t="n"/>
      <c r="AA1188" s="737" t="n"/>
      <c r="AB1188" s="737" t="n"/>
      <c r="AC1188" s="737" t="n"/>
      <c r="AD1188" s="737" t="n"/>
      <c r="AE1188" s="737" t="n"/>
      <c r="AF1188" s="737" t="n"/>
      <c r="AG1188" s="737" t="n"/>
      <c r="AH1188" s="737" t="n"/>
      <c r="AI1188" s="737" t="n"/>
      <c r="AJ1188" s="737" t="n"/>
      <c r="AK1188" s="737" t="n"/>
      <c r="AL1188" s="737" t="n"/>
      <c r="AM1188" s="737" t="n"/>
      <c r="AN1188" s="737" t="n"/>
      <c r="AO1188" s="737" t="n"/>
      <c r="AP1188" s="737" t="n"/>
      <c r="AQ1188" s="737" t="n"/>
      <c r="AR1188" s="737" t="n"/>
      <c r="AS1188" s="737" t="n"/>
      <c r="AT1188" s="737" t="n"/>
      <c r="AU1188" s="737" t="n"/>
      <c r="AV1188" s="737" t="n"/>
      <c r="AW1188" s="737" t="n"/>
      <c r="AX1188" s="737" t="n"/>
      <c r="AY1188" s="737" t="n"/>
      <c r="AZ1188" s="737" t="n"/>
      <c r="BA1188" s="737" t="n"/>
      <c r="BB1188" s="737" t="n"/>
      <c r="BC1188" s="737" t="n"/>
      <c r="BD1188" s="737" t="n"/>
      <c r="BE1188" s="737" t="n"/>
      <c r="BF1188" s="737" t="n"/>
      <c r="BG1188" s="737" t="n"/>
      <c r="BH1188" s="737" t="n"/>
      <c r="BI1188" s="737" t="n"/>
      <c r="BJ1188" s="737" t="n"/>
      <c r="BK1188" s="737" t="n"/>
      <c r="BL1188" s="737" t="n"/>
      <c r="BM1188" s="737" t="n"/>
      <c r="BN1188" s="737" t="n"/>
      <c r="BO1188" s="737" t="n"/>
      <c r="BP1188" s="737" t="n"/>
      <c r="BQ1188" s="737" t="n"/>
      <c r="BR1188" s="737" t="n"/>
      <c r="BS1188" s="737" t="n"/>
      <c r="BT1188" s="737" t="n"/>
      <c r="BU1188" s="737" t="n"/>
      <c r="BV1188" s="737" t="n"/>
      <c r="BW1188" s="737" t="n"/>
      <c r="BX1188" s="737" t="n"/>
      <c r="BY1188" s="737" t="n"/>
      <c r="BZ1188" s="737" t="n"/>
      <c r="CA1188" s="737" t="n"/>
      <c r="CB1188" s="737" t="n"/>
      <c r="CC1188" s="737" t="n"/>
      <c r="CD1188" s="737" t="n"/>
      <c r="CE1188" s="737" t="n"/>
      <c r="CF1188" s="737" t="n"/>
      <c r="CG1188" s="737" t="n"/>
      <c r="CH1188" s="737" t="n"/>
      <c r="CI1188" s="737" t="n"/>
      <c r="CJ1188" s="737" t="n"/>
      <c r="CK1188" s="737" t="n"/>
      <c r="CL1188" s="737" t="n"/>
      <c r="CM1188" s="737" t="n"/>
      <c r="CN1188" s="737" t="n"/>
      <c r="CO1188" s="737" t="n"/>
      <c r="CP1188" s="737" t="n"/>
      <c r="CQ1188" s="737" t="n"/>
      <c r="CR1188" s="737" t="n"/>
      <c r="CS1188" s="737" t="n"/>
      <c r="CT1188" s="737" t="n"/>
      <c r="CU1188" s="737" t="n"/>
      <c r="CV1188" s="737" t="n"/>
      <c r="CW1188" s="737" t="n"/>
      <c r="CX1188" s="737" t="n"/>
      <c r="CY1188" s="737" t="n"/>
    </row>
    <row r="1189">
      <c r="A1189" s="737" t="n"/>
      <c r="B1189" s="737" t="n"/>
      <c r="C1189" s="737" t="n"/>
      <c r="D1189" s="737" t="n"/>
      <c r="E1189" s="737" t="n"/>
      <c r="F1189" s="737" t="n"/>
      <c r="G1189" s="737" t="n"/>
      <c r="H1189" s="737" t="n"/>
      <c r="I1189" s="737" t="n"/>
      <c r="J1189" s="737" t="n"/>
      <c r="K1189" s="737" t="n"/>
      <c r="L1189" s="737" t="n"/>
      <c r="M1189" s="737" t="n"/>
      <c r="N1189" s="737" t="n"/>
      <c r="O1189" s="737" t="n"/>
      <c r="P1189" s="737" t="n"/>
      <c r="Q1189" s="737" t="n"/>
      <c r="R1189" s="737" t="n"/>
      <c r="S1189" s="737" t="n"/>
      <c r="T1189" s="737" t="n"/>
      <c r="U1189" s="737" t="n"/>
      <c r="V1189" s="737" t="n"/>
      <c r="W1189" s="737" t="n"/>
      <c r="X1189" s="737" t="n"/>
      <c r="Y1189" s="737" t="n"/>
      <c r="Z1189" s="737" t="n"/>
      <c r="AA1189" s="737" t="n"/>
      <c r="AB1189" s="737" t="n"/>
      <c r="AC1189" s="737" t="n"/>
      <c r="AD1189" s="737" t="n"/>
      <c r="AE1189" s="737" t="n"/>
      <c r="AF1189" s="737" t="n"/>
      <c r="AG1189" s="737" t="n"/>
      <c r="AH1189" s="737" t="n"/>
      <c r="AI1189" s="737" t="n"/>
      <c r="AJ1189" s="737" t="n"/>
      <c r="AK1189" s="737" t="n"/>
      <c r="AL1189" s="737" t="n"/>
      <c r="AM1189" s="737" t="n"/>
      <c r="AN1189" s="737" t="n"/>
      <c r="AO1189" s="737" t="n"/>
      <c r="AP1189" s="737" t="n"/>
      <c r="AQ1189" s="737" t="n"/>
      <c r="AR1189" s="737" t="n"/>
      <c r="AS1189" s="737" t="n"/>
      <c r="AT1189" s="737" t="n"/>
      <c r="AU1189" s="737" t="n"/>
      <c r="AV1189" s="737" t="n"/>
      <c r="AW1189" s="737" t="n"/>
      <c r="AX1189" s="737" t="n"/>
      <c r="AY1189" s="737" t="n"/>
      <c r="AZ1189" s="737" t="n"/>
      <c r="BA1189" s="737" t="n"/>
      <c r="BB1189" s="737" t="n"/>
      <c r="BC1189" s="737" t="n"/>
      <c r="BD1189" s="737" t="n"/>
      <c r="BE1189" s="737" t="n"/>
      <c r="BF1189" s="737" t="n"/>
      <c r="BG1189" s="737" t="n"/>
      <c r="BH1189" s="737" t="n"/>
      <c r="BI1189" s="737" t="n"/>
      <c r="BJ1189" s="737" t="n"/>
      <c r="BK1189" s="737" t="n"/>
      <c r="BL1189" s="737" t="n"/>
      <c r="BM1189" s="737" t="n"/>
      <c r="BN1189" s="737" t="n"/>
      <c r="BO1189" s="737" t="n"/>
      <c r="BP1189" s="737" t="n"/>
      <c r="BQ1189" s="737" t="n"/>
      <c r="BR1189" s="737" t="n"/>
      <c r="BS1189" s="737" t="n"/>
      <c r="BT1189" s="737" t="n"/>
      <c r="BU1189" s="737" t="n"/>
      <c r="BV1189" s="737" t="n"/>
      <c r="BW1189" s="737" t="n"/>
      <c r="BX1189" s="737" t="n"/>
      <c r="BY1189" s="737" t="n"/>
      <c r="BZ1189" s="737" t="n"/>
      <c r="CA1189" s="737" t="n"/>
      <c r="CB1189" s="737" t="n"/>
      <c r="CC1189" s="737" t="n"/>
      <c r="CD1189" s="737" t="n"/>
      <c r="CE1189" s="737" t="n"/>
      <c r="CF1189" s="737" t="n"/>
      <c r="CG1189" s="737" t="n"/>
      <c r="CH1189" s="737" t="n"/>
      <c r="CI1189" s="737" t="n"/>
      <c r="CJ1189" s="737" t="n"/>
      <c r="CK1189" s="737" t="n"/>
      <c r="CL1189" s="737" t="n"/>
      <c r="CM1189" s="737" t="n"/>
      <c r="CN1189" s="737" t="n"/>
      <c r="CO1189" s="737" t="n"/>
      <c r="CP1189" s="737" t="n"/>
      <c r="CQ1189" s="737" t="n"/>
      <c r="CR1189" s="737" t="n"/>
      <c r="CS1189" s="737" t="n"/>
      <c r="CT1189" s="737" t="n"/>
      <c r="CU1189" s="737" t="n"/>
      <c r="CV1189" s="737" t="n"/>
      <c r="CW1189" s="737" t="n"/>
      <c r="CX1189" s="737" t="n"/>
      <c r="CY1189" s="737" t="n"/>
    </row>
    <row r="1190">
      <c r="A1190" s="737" t="n"/>
      <c r="B1190" s="737" t="n"/>
      <c r="C1190" s="737" t="n"/>
      <c r="D1190" s="737" t="n"/>
      <c r="E1190" s="737" t="n"/>
      <c r="F1190" s="737" t="n"/>
      <c r="G1190" s="737" t="n"/>
      <c r="H1190" s="737" t="n"/>
      <c r="I1190" s="737" t="n"/>
      <c r="J1190" s="737" t="n"/>
      <c r="K1190" s="737" t="n"/>
      <c r="L1190" s="737" t="n"/>
      <c r="M1190" s="737" t="n"/>
      <c r="N1190" s="737" t="n"/>
      <c r="O1190" s="737" t="n"/>
      <c r="P1190" s="737" t="n"/>
      <c r="Q1190" s="737" t="n"/>
      <c r="R1190" s="737" t="n"/>
      <c r="S1190" s="737" t="n"/>
      <c r="T1190" s="737" t="n"/>
      <c r="U1190" s="737" t="n"/>
      <c r="V1190" s="737" t="n"/>
      <c r="W1190" s="737" t="n"/>
      <c r="X1190" s="737" t="n"/>
      <c r="Y1190" s="737" t="n"/>
      <c r="Z1190" s="737" t="n"/>
      <c r="AA1190" s="737" t="n"/>
      <c r="AB1190" s="737" t="n"/>
      <c r="AC1190" s="737" t="n"/>
      <c r="AD1190" s="737" t="n"/>
      <c r="AE1190" s="737" t="n"/>
      <c r="AF1190" s="737" t="n"/>
      <c r="AG1190" s="737" t="n"/>
      <c r="AH1190" s="737" t="n"/>
      <c r="AI1190" s="737" t="n"/>
      <c r="AJ1190" s="737" t="n"/>
      <c r="AK1190" s="737" t="n"/>
      <c r="AL1190" s="737" t="n"/>
      <c r="AM1190" s="737" t="n"/>
      <c r="AN1190" s="737" t="n"/>
      <c r="AO1190" s="737" t="n"/>
      <c r="AP1190" s="737" t="n"/>
      <c r="AQ1190" s="737" t="n"/>
      <c r="AR1190" s="737" t="n"/>
      <c r="AS1190" s="737" t="n"/>
      <c r="AT1190" s="737" t="n"/>
      <c r="AU1190" s="737" t="n"/>
      <c r="AV1190" s="737" t="n"/>
      <c r="AW1190" s="737" t="n"/>
      <c r="AX1190" s="737" t="n"/>
      <c r="AY1190" s="737" t="n"/>
      <c r="AZ1190" s="737" t="n"/>
      <c r="BA1190" s="737" t="n"/>
      <c r="BB1190" s="737" t="n"/>
      <c r="BC1190" s="737" t="n"/>
      <c r="BD1190" s="737" t="n"/>
      <c r="BE1190" s="737" t="n"/>
      <c r="BF1190" s="737" t="n"/>
      <c r="BG1190" s="737" t="n"/>
      <c r="BH1190" s="737" t="n"/>
      <c r="BI1190" s="737" t="n"/>
      <c r="BJ1190" s="737" t="n"/>
      <c r="BK1190" s="737" t="n"/>
      <c r="BL1190" s="737" t="n"/>
      <c r="BM1190" s="737" t="n"/>
      <c r="BN1190" s="737" t="n"/>
      <c r="BO1190" s="737" t="n"/>
      <c r="BP1190" s="737" t="n"/>
      <c r="BQ1190" s="737" t="n"/>
      <c r="BR1190" s="737" t="n"/>
      <c r="BS1190" s="737" t="n"/>
      <c r="BT1190" s="737" t="n"/>
      <c r="BU1190" s="737" t="n"/>
      <c r="BV1190" s="737" t="n"/>
      <c r="BW1190" s="737" t="n"/>
      <c r="BX1190" s="737" t="n"/>
      <c r="BY1190" s="737" t="n"/>
      <c r="BZ1190" s="737" t="n"/>
      <c r="CA1190" s="737" t="n"/>
      <c r="CB1190" s="737" t="n"/>
      <c r="CC1190" s="737" t="n"/>
      <c r="CD1190" s="737" t="n"/>
      <c r="CE1190" s="737" t="n"/>
      <c r="CF1190" s="737" t="n"/>
      <c r="CG1190" s="737" t="n"/>
      <c r="CH1190" s="737" t="n"/>
      <c r="CI1190" s="737" t="n"/>
      <c r="CJ1190" s="737" t="n"/>
      <c r="CK1190" s="737" t="n"/>
      <c r="CL1190" s="737" t="n"/>
      <c r="CM1190" s="737" t="n"/>
      <c r="CN1190" s="737" t="n"/>
      <c r="CO1190" s="737" t="n"/>
      <c r="CP1190" s="737" t="n"/>
      <c r="CQ1190" s="737" t="n"/>
      <c r="CR1190" s="737" t="n"/>
      <c r="CS1190" s="737" t="n"/>
      <c r="CT1190" s="737" t="n"/>
      <c r="CU1190" s="737" t="n"/>
      <c r="CV1190" s="737" t="n"/>
      <c r="CW1190" s="737" t="n"/>
      <c r="CX1190" s="737" t="n"/>
      <c r="CY1190" s="737" t="n"/>
    </row>
    <row r="1191">
      <c r="A1191" s="737" t="n"/>
      <c r="B1191" s="737" t="n"/>
      <c r="C1191" s="737" t="n"/>
      <c r="D1191" s="737" t="n"/>
      <c r="E1191" s="737" t="n"/>
      <c r="F1191" s="737" t="n"/>
      <c r="G1191" s="737" t="n"/>
      <c r="H1191" s="737" t="n"/>
      <c r="I1191" s="737" t="n"/>
      <c r="J1191" s="737" t="n"/>
      <c r="K1191" s="737" t="n"/>
      <c r="L1191" s="737" t="n"/>
      <c r="M1191" s="737" t="n"/>
      <c r="N1191" s="737" t="n"/>
      <c r="O1191" s="737" t="n"/>
      <c r="P1191" s="737" t="n"/>
      <c r="Q1191" s="737" t="n"/>
      <c r="R1191" s="737" t="n"/>
      <c r="S1191" s="737" t="n"/>
      <c r="T1191" s="737" t="n"/>
      <c r="U1191" s="737" t="n"/>
      <c r="V1191" s="737" t="n"/>
      <c r="W1191" s="737" t="n"/>
      <c r="X1191" s="737" t="n"/>
      <c r="Y1191" s="737" t="n"/>
      <c r="Z1191" s="737" t="n"/>
      <c r="AA1191" s="737" t="n"/>
      <c r="AB1191" s="737" t="n"/>
      <c r="AC1191" s="737" t="n"/>
      <c r="AD1191" s="737" t="n"/>
      <c r="AE1191" s="737" t="n"/>
      <c r="AF1191" s="737" t="n"/>
      <c r="AG1191" s="737" t="n"/>
      <c r="AH1191" s="737" t="n"/>
      <c r="AI1191" s="737" t="n"/>
      <c r="AJ1191" s="737" t="n"/>
      <c r="AK1191" s="737" t="n"/>
      <c r="AL1191" s="737" t="n"/>
      <c r="AM1191" s="737" t="n"/>
      <c r="AN1191" s="737" t="n"/>
      <c r="AO1191" s="737" t="n"/>
      <c r="AP1191" s="737" t="n"/>
      <c r="AQ1191" s="737" t="n"/>
      <c r="AR1191" s="737" t="n"/>
      <c r="AS1191" s="737" t="n"/>
      <c r="AT1191" s="737" t="n"/>
      <c r="AU1191" s="737" t="n"/>
      <c r="AV1191" s="737" t="n"/>
      <c r="AW1191" s="737" t="n"/>
      <c r="AX1191" s="737" t="n"/>
      <c r="AY1191" s="737" t="n"/>
      <c r="AZ1191" s="737" t="n"/>
      <c r="BA1191" s="737" t="n"/>
      <c r="BB1191" s="737" t="n"/>
      <c r="BC1191" s="737" t="n"/>
      <c r="BD1191" s="737" t="n"/>
      <c r="BE1191" s="737" t="n"/>
      <c r="BF1191" s="737" t="n"/>
      <c r="BG1191" s="737" t="n"/>
      <c r="BH1191" s="737" t="n"/>
      <c r="BI1191" s="737" t="n"/>
      <c r="BJ1191" s="737" t="n"/>
      <c r="BK1191" s="737" t="n"/>
      <c r="BL1191" s="737" t="n"/>
      <c r="BM1191" s="737" t="n"/>
      <c r="BN1191" s="737" t="n"/>
      <c r="BO1191" s="737" t="n"/>
      <c r="BP1191" s="737" t="n"/>
      <c r="BQ1191" s="737" t="n"/>
      <c r="BR1191" s="737" t="n"/>
      <c r="BS1191" s="737" t="n"/>
      <c r="BT1191" s="737" t="n"/>
      <c r="BU1191" s="737" t="n"/>
      <c r="BV1191" s="737" t="n"/>
      <c r="BW1191" s="737" t="n"/>
      <c r="BX1191" s="737" t="n"/>
      <c r="BY1191" s="737" t="n"/>
      <c r="BZ1191" s="737" t="n"/>
      <c r="CA1191" s="737" t="n"/>
      <c r="CB1191" s="737" t="n"/>
      <c r="CC1191" s="737" t="n"/>
      <c r="CD1191" s="737" t="n"/>
      <c r="CE1191" s="737" t="n"/>
      <c r="CF1191" s="737" t="n"/>
      <c r="CG1191" s="737" t="n"/>
      <c r="CH1191" s="737" t="n"/>
      <c r="CI1191" s="737" t="n"/>
      <c r="CJ1191" s="737" t="n"/>
      <c r="CK1191" s="737" t="n"/>
      <c r="CL1191" s="737" t="n"/>
      <c r="CM1191" s="737" t="n"/>
      <c r="CN1191" s="737" t="n"/>
      <c r="CO1191" s="737" t="n"/>
      <c r="CP1191" s="737" t="n"/>
      <c r="CQ1191" s="737" t="n"/>
      <c r="CR1191" s="737" t="n"/>
      <c r="CS1191" s="737" t="n"/>
      <c r="CT1191" s="737" t="n"/>
      <c r="CU1191" s="737" t="n"/>
      <c r="CV1191" s="737" t="n"/>
      <c r="CW1191" s="737" t="n"/>
      <c r="CX1191" s="737" t="n"/>
      <c r="CY1191" s="737" t="n"/>
    </row>
    <row r="1192">
      <c r="A1192" s="737" t="n"/>
      <c r="B1192" s="737" t="n"/>
      <c r="C1192" s="737" t="n"/>
      <c r="D1192" s="737" t="n"/>
      <c r="E1192" s="737" t="n"/>
      <c r="F1192" s="737" t="n"/>
      <c r="G1192" s="737" t="n"/>
      <c r="H1192" s="737" t="n"/>
      <c r="I1192" s="737" t="n"/>
      <c r="J1192" s="737" t="n"/>
      <c r="K1192" s="737" t="n"/>
      <c r="L1192" s="737" t="n"/>
      <c r="M1192" s="737" t="n"/>
      <c r="N1192" s="737" t="n"/>
      <c r="O1192" s="737" t="n"/>
      <c r="P1192" s="737" t="n"/>
      <c r="Q1192" s="737" t="n"/>
      <c r="R1192" s="737" t="n"/>
      <c r="S1192" s="737" t="n"/>
      <c r="T1192" s="737" t="n"/>
      <c r="U1192" s="737" t="n"/>
      <c r="V1192" s="737" t="n"/>
      <c r="W1192" s="737" t="n"/>
      <c r="X1192" s="737" t="n"/>
      <c r="Y1192" s="737" t="n"/>
      <c r="Z1192" s="737" t="n"/>
      <c r="AA1192" s="737" t="n"/>
      <c r="AB1192" s="737" t="n"/>
      <c r="AC1192" s="737" t="n"/>
      <c r="AD1192" s="737" t="n"/>
      <c r="AE1192" s="737" t="n"/>
      <c r="AF1192" s="737" t="n"/>
      <c r="AG1192" s="737" t="n"/>
      <c r="AH1192" s="737" t="n"/>
      <c r="AI1192" s="737" t="n"/>
      <c r="AJ1192" s="737" t="n"/>
      <c r="AK1192" s="737" t="n"/>
      <c r="AL1192" s="737" t="n"/>
      <c r="AM1192" s="737" t="n"/>
      <c r="AN1192" s="737" t="n"/>
      <c r="AO1192" s="737" t="n"/>
      <c r="AP1192" s="737" t="n"/>
      <c r="AQ1192" s="737" t="n"/>
      <c r="AR1192" s="737" t="n"/>
      <c r="AS1192" s="737" t="n"/>
      <c r="AT1192" s="737" t="n"/>
      <c r="AU1192" s="737" t="n"/>
      <c r="AV1192" s="737" t="n"/>
      <c r="AW1192" s="737" t="n"/>
      <c r="AX1192" s="737" t="n"/>
      <c r="AY1192" s="737" t="n"/>
      <c r="AZ1192" s="737" t="n"/>
      <c r="BA1192" s="737" t="n"/>
      <c r="BB1192" s="737" t="n"/>
      <c r="BC1192" s="737" t="n"/>
      <c r="BD1192" s="737" t="n"/>
      <c r="BE1192" s="737" t="n"/>
      <c r="BF1192" s="737" t="n"/>
      <c r="BG1192" s="737" t="n"/>
      <c r="BH1192" s="737" t="n"/>
      <c r="BI1192" s="737" t="n"/>
      <c r="BJ1192" s="737" t="n"/>
      <c r="BK1192" s="737" t="n"/>
      <c r="BL1192" s="737" t="n"/>
      <c r="BM1192" s="737" t="n"/>
      <c r="BN1192" s="737" t="n"/>
      <c r="BO1192" s="737" t="n"/>
      <c r="BP1192" s="737" t="n"/>
      <c r="BQ1192" s="737" t="n"/>
      <c r="BR1192" s="737" t="n"/>
      <c r="BS1192" s="737" t="n"/>
      <c r="BT1192" s="737" t="n"/>
      <c r="BU1192" s="737" t="n"/>
      <c r="BV1192" s="737" t="n"/>
      <c r="BW1192" s="737" t="n"/>
      <c r="BX1192" s="737" t="n"/>
      <c r="BY1192" s="737" t="n"/>
      <c r="BZ1192" s="737" t="n"/>
      <c r="CA1192" s="737" t="n"/>
      <c r="CB1192" s="737" t="n"/>
      <c r="CC1192" s="737" t="n"/>
      <c r="CD1192" s="737" t="n"/>
      <c r="CE1192" s="737" t="n"/>
      <c r="CF1192" s="737" t="n"/>
      <c r="CG1192" s="737" t="n"/>
      <c r="CH1192" s="737" t="n"/>
      <c r="CI1192" s="737" t="n"/>
      <c r="CJ1192" s="737" t="n"/>
      <c r="CK1192" s="737" t="n"/>
      <c r="CL1192" s="737" t="n"/>
      <c r="CM1192" s="737" t="n"/>
      <c r="CN1192" s="737" t="n"/>
      <c r="CO1192" s="737" t="n"/>
      <c r="CP1192" s="737" t="n"/>
      <c r="CQ1192" s="737" t="n"/>
      <c r="CR1192" s="737" t="n"/>
      <c r="CS1192" s="737" t="n"/>
      <c r="CT1192" s="737" t="n"/>
      <c r="CU1192" s="737" t="n"/>
      <c r="CV1192" s="737" t="n"/>
      <c r="CW1192" s="737" t="n"/>
      <c r="CX1192" s="737" t="n"/>
      <c r="CY1192" s="737" t="n"/>
    </row>
    <row r="1193">
      <c r="A1193" s="737" t="n"/>
      <c r="B1193" s="737" t="n"/>
      <c r="C1193" s="737" t="n"/>
      <c r="D1193" s="737" t="n"/>
      <c r="E1193" s="737" t="n"/>
      <c r="F1193" s="737" t="n"/>
      <c r="G1193" s="737" t="n"/>
      <c r="H1193" s="737" t="n"/>
      <c r="I1193" s="737" t="n"/>
      <c r="J1193" s="737" t="n"/>
      <c r="K1193" s="737" t="n"/>
      <c r="L1193" s="737" t="n"/>
      <c r="M1193" s="737" t="n"/>
      <c r="N1193" s="737" t="n"/>
      <c r="O1193" s="737" t="n"/>
      <c r="P1193" s="737" t="n"/>
      <c r="Q1193" s="737" t="n"/>
      <c r="R1193" s="737" t="n"/>
      <c r="S1193" s="737" t="n"/>
      <c r="T1193" s="737" t="n"/>
      <c r="U1193" s="737" t="n"/>
      <c r="V1193" s="737" t="n"/>
      <c r="W1193" s="737" t="n"/>
      <c r="X1193" s="737" t="n"/>
      <c r="Y1193" s="737" t="n"/>
      <c r="Z1193" s="737" t="n"/>
      <c r="AA1193" s="737" t="n"/>
      <c r="AB1193" s="737" t="n"/>
      <c r="AC1193" s="737" t="n"/>
      <c r="AD1193" s="737" t="n"/>
      <c r="AE1193" s="737" t="n"/>
      <c r="AF1193" s="737" t="n"/>
      <c r="AG1193" s="737" t="n"/>
      <c r="AH1193" s="737" t="n"/>
      <c r="AI1193" s="737" t="n"/>
      <c r="AJ1193" s="737" t="n"/>
      <c r="AK1193" s="737" t="n"/>
      <c r="AL1193" s="737" t="n"/>
      <c r="AM1193" s="737" t="n"/>
      <c r="AN1193" s="737" t="n"/>
      <c r="AO1193" s="737" t="n"/>
      <c r="AP1193" s="737" t="n"/>
      <c r="AQ1193" s="737" t="n"/>
      <c r="AR1193" s="737" t="n"/>
      <c r="AS1193" s="737" t="n"/>
      <c r="AT1193" s="737" t="n"/>
      <c r="AU1193" s="737" t="n"/>
      <c r="AV1193" s="737" t="n"/>
      <c r="AW1193" s="737" t="n"/>
      <c r="AX1193" s="737" t="n"/>
      <c r="AY1193" s="737" t="n"/>
      <c r="AZ1193" s="737" t="n"/>
      <c r="BA1193" s="737" t="n"/>
      <c r="BB1193" s="737" t="n"/>
      <c r="BC1193" s="737" t="n"/>
      <c r="BD1193" s="737" t="n"/>
      <c r="BE1193" s="737" t="n"/>
      <c r="BF1193" s="737" t="n"/>
      <c r="BG1193" s="737" t="n"/>
      <c r="BH1193" s="737" t="n"/>
      <c r="BI1193" s="737" t="n"/>
      <c r="BJ1193" s="737" t="n"/>
      <c r="BK1193" s="737" t="n"/>
      <c r="BL1193" s="737" t="n"/>
      <c r="BM1193" s="737" t="n"/>
      <c r="BN1193" s="737" t="n"/>
      <c r="BO1193" s="737" t="n"/>
      <c r="BP1193" s="737" t="n"/>
      <c r="BQ1193" s="737" t="n"/>
      <c r="BR1193" s="737" t="n"/>
      <c r="BS1193" s="737" t="n"/>
      <c r="BT1193" s="737" t="n"/>
      <c r="BU1193" s="737" t="n"/>
      <c r="BV1193" s="737" t="n"/>
      <c r="BW1193" s="737" t="n"/>
      <c r="BX1193" s="737" t="n"/>
      <c r="BY1193" s="737" t="n"/>
      <c r="BZ1193" s="737" t="n"/>
      <c r="CA1193" s="737" t="n"/>
      <c r="CB1193" s="737" t="n"/>
      <c r="CC1193" s="737" t="n"/>
      <c r="CD1193" s="737" t="n"/>
      <c r="CE1193" s="737" t="n"/>
      <c r="CF1193" s="737" t="n"/>
      <c r="CG1193" s="737" t="n"/>
      <c r="CH1193" s="737" t="n"/>
      <c r="CI1193" s="737" t="n"/>
      <c r="CJ1193" s="737" t="n"/>
      <c r="CK1193" s="737" t="n"/>
      <c r="CL1193" s="737" t="n"/>
      <c r="CM1193" s="737" t="n"/>
      <c r="CN1193" s="737" t="n"/>
      <c r="CO1193" s="737" t="n"/>
      <c r="CP1193" s="737" t="n"/>
      <c r="CQ1193" s="737" t="n"/>
      <c r="CR1193" s="737" t="n"/>
      <c r="CS1193" s="737" t="n"/>
      <c r="CT1193" s="737" t="n"/>
      <c r="CU1193" s="737" t="n"/>
      <c r="CV1193" s="737" t="n"/>
      <c r="CW1193" s="737" t="n"/>
      <c r="CX1193" s="737" t="n"/>
      <c r="CY1193" s="737" t="n"/>
    </row>
    <row r="1194">
      <c r="A1194" s="737" t="n"/>
      <c r="B1194" s="737" t="n"/>
      <c r="C1194" s="737" t="n"/>
      <c r="D1194" s="737" t="n"/>
      <c r="E1194" s="737" t="n"/>
      <c r="F1194" s="737" t="n"/>
      <c r="G1194" s="737" t="n"/>
      <c r="H1194" s="737" t="n"/>
      <c r="I1194" s="737" t="n"/>
      <c r="J1194" s="737" t="n"/>
      <c r="K1194" s="737" t="n"/>
      <c r="L1194" s="737" t="n"/>
      <c r="M1194" s="737" t="n"/>
      <c r="N1194" s="737" t="n"/>
      <c r="O1194" s="737" t="n"/>
      <c r="P1194" s="737" t="n"/>
      <c r="Q1194" s="737" t="n"/>
      <c r="R1194" s="737" t="n"/>
      <c r="S1194" s="737" t="n"/>
      <c r="T1194" s="737" t="n"/>
      <c r="U1194" s="737" t="n"/>
      <c r="V1194" s="737" t="n"/>
      <c r="W1194" s="737" t="n"/>
      <c r="X1194" s="737" t="n"/>
      <c r="Y1194" s="737" t="n"/>
      <c r="Z1194" s="737" t="n"/>
      <c r="AA1194" s="737" t="n"/>
      <c r="AB1194" s="737" t="n"/>
      <c r="AC1194" s="737" t="n"/>
      <c r="AD1194" s="737" t="n"/>
      <c r="AE1194" s="737" t="n"/>
      <c r="AF1194" s="737" t="n"/>
      <c r="AG1194" s="737" t="n"/>
      <c r="AH1194" s="737" t="n"/>
      <c r="AI1194" s="737" t="n"/>
      <c r="AJ1194" s="737" t="n"/>
      <c r="AK1194" s="737" t="n"/>
      <c r="AL1194" s="737" t="n"/>
      <c r="AM1194" s="737" t="n"/>
      <c r="AN1194" s="737" t="n"/>
      <c r="AO1194" s="737" t="n"/>
      <c r="AP1194" s="737" t="n"/>
      <c r="AQ1194" s="737" t="n"/>
      <c r="AR1194" s="737" t="n"/>
      <c r="AS1194" s="737" t="n"/>
      <c r="AT1194" s="737" t="n"/>
      <c r="AU1194" s="737" t="n"/>
      <c r="AV1194" s="737" t="n"/>
      <c r="AW1194" s="737" t="n"/>
      <c r="AX1194" s="737" t="n"/>
      <c r="AY1194" s="737" t="n"/>
      <c r="AZ1194" s="737" t="n"/>
      <c r="BA1194" s="737" t="n"/>
      <c r="BB1194" s="737" t="n"/>
      <c r="BC1194" s="737" t="n"/>
      <c r="BD1194" s="737" t="n"/>
      <c r="BE1194" s="737" t="n"/>
      <c r="BF1194" s="737" t="n"/>
      <c r="BG1194" s="737" t="n"/>
      <c r="BH1194" s="737" t="n"/>
      <c r="BI1194" s="737" t="n"/>
      <c r="BJ1194" s="737" t="n"/>
      <c r="BK1194" s="737" t="n"/>
      <c r="BL1194" s="737" t="n"/>
      <c r="BM1194" s="737" t="n"/>
      <c r="BN1194" s="737" t="n"/>
      <c r="BO1194" s="737" t="n"/>
      <c r="BP1194" s="737" t="n"/>
      <c r="BQ1194" s="737" t="n"/>
      <c r="BR1194" s="737" t="n"/>
      <c r="BS1194" s="737" t="n"/>
      <c r="BT1194" s="737" t="n"/>
      <c r="BU1194" s="737" t="n"/>
      <c r="BV1194" s="737" t="n"/>
      <c r="BW1194" s="737" t="n"/>
      <c r="BX1194" s="737" t="n"/>
      <c r="BY1194" s="737" t="n"/>
      <c r="BZ1194" s="737" t="n"/>
      <c r="CA1194" s="737" t="n"/>
      <c r="CB1194" s="737" t="n"/>
      <c r="CC1194" s="737" t="n"/>
      <c r="CD1194" s="737" t="n"/>
      <c r="CE1194" s="737" t="n"/>
      <c r="CF1194" s="737" t="n"/>
      <c r="CG1194" s="737" t="n"/>
      <c r="CH1194" s="737" t="n"/>
      <c r="CI1194" s="737" t="n"/>
      <c r="CJ1194" s="737" t="n"/>
      <c r="CK1194" s="737" t="n"/>
      <c r="CL1194" s="737" t="n"/>
      <c r="CM1194" s="737" t="n"/>
      <c r="CN1194" s="737" t="n"/>
      <c r="CO1194" s="737" t="n"/>
      <c r="CP1194" s="737" t="n"/>
      <c r="CQ1194" s="737" t="n"/>
      <c r="CR1194" s="737" t="n"/>
      <c r="CS1194" s="737" t="n"/>
      <c r="CT1194" s="737" t="n"/>
      <c r="CU1194" s="737" t="n"/>
      <c r="CV1194" s="737" t="n"/>
      <c r="CW1194" s="737" t="n"/>
      <c r="CX1194" s="737" t="n"/>
      <c r="CY1194" s="737" t="n"/>
    </row>
    <row r="1195">
      <c r="A1195" s="737" t="n"/>
      <c r="B1195" s="737" t="n"/>
      <c r="C1195" s="737" t="n"/>
      <c r="D1195" s="737" t="n"/>
      <c r="E1195" s="737" t="n"/>
      <c r="F1195" s="737" t="n"/>
      <c r="G1195" s="737" t="n"/>
      <c r="H1195" s="737" t="n"/>
      <c r="I1195" s="737" t="n"/>
      <c r="J1195" s="737" t="n"/>
      <c r="K1195" s="737" t="n"/>
      <c r="L1195" s="737" t="n"/>
      <c r="M1195" s="737" t="n"/>
      <c r="N1195" s="737" t="n"/>
      <c r="O1195" s="737" t="n"/>
      <c r="P1195" s="737" t="n"/>
      <c r="Q1195" s="737" t="n"/>
      <c r="R1195" s="737" t="n"/>
      <c r="S1195" s="737" t="n"/>
      <c r="T1195" s="737" t="n"/>
      <c r="U1195" s="737" t="n"/>
      <c r="V1195" s="737" t="n"/>
      <c r="W1195" s="737" t="n"/>
      <c r="X1195" s="737" t="n"/>
      <c r="Y1195" s="737" t="n"/>
      <c r="Z1195" s="737" t="n"/>
      <c r="AA1195" s="737" t="n"/>
      <c r="AB1195" s="737" t="n"/>
      <c r="AC1195" s="737" t="n"/>
      <c r="AD1195" s="737" t="n"/>
      <c r="AE1195" s="737" t="n"/>
      <c r="AF1195" s="737" t="n"/>
      <c r="AG1195" s="737" t="n"/>
      <c r="AH1195" s="737" t="n"/>
      <c r="AI1195" s="737" t="n"/>
      <c r="AJ1195" s="737" t="n"/>
      <c r="AK1195" s="737" t="n"/>
      <c r="AL1195" s="737" t="n"/>
      <c r="AM1195" s="737" t="n"/>
      <c r="AN1195" s="737" t="n"/>
      <c r="AO1195" s="737" t="n"/>
      <c r="AP1195" s="737" t="n"/>
      <c r="AQ1195" s="737" t="n"/>
      <c r="AR1195" s="737" t="n"/>
      <c r="AS1195" s="737" t="n"/>
      <c r="AT1195" s="737" t="n"/>
      <c r="AU1195" s="737" t="n"/>
      <c r="AV1195" s="737" t="n"/>
      <c r="AW1195" s="737" t="n"/>
      <c r="AX1195" s="737" t="n"/>
      <c r="AY1195" s="737" t="n"/>
      <c r="AZ1195" s="737" t="n"/>
      <c r="BA1195" s="737" t="n"/>
      <c r="BB1195" s="737" t="n"/>
      <c r="BC1195" s="737" t="n"/>
      <c r="BD1195" s="737" t="n"/>
      <c r="BE1195" s="737" t="n"/>
      <c r="BF1195" s="737" t="n"/>
      <c r="BG1195" s="737" t="n"/>
      <c r="BH1195" s="737" t="n"/>
      <c r="BI1195" s="737" t="n"/>
      <c r="BJ1195" s="737" t="n"/>
      <c r="BK1195" s="737" t="n"/>
      <c r="BL1195" s="737" t="n"/>
      <c r="BM1195" s="737" t="n"/>
      <c r="BN1195" s="737" t="n"/>
      <c r="BO1195" s="737" t="n"/>
      <c r="BP1195" s="737" t="n"/>
      <c r="BQ1195" s="737" t="n"/>
      <c r="BR1195" s="737" t="n"/>
      <c r="BS1195" s="737" t="n"/>
      <c r="BT1195" s="737" t="n"/>
      <c r="BU1195" s="737" t="n"/>
      <c r="BV1195" s="737" t="n"/>
      <c r="BW1195" s="737" t="n"/>
      <c r="BX1195" s="737" t="n"/>
      <c r="BY1195" s="737" t="n"/>
      <c r="BZ1195" s="737" t="n"/>
      <c r="CA1195" s="737" t="n"/>
      <c r="CB1195" s="737" t="n"/>
      <c r="CC1195" s="737" t="n"/>
      <c r="CD1195" s="737" t="n"/>
      <c r="CE1195" s="737" t="n"/>
      <c r="CF1195" s="737" t="n"/>
      <c r="CG1195" s="737" t="n"/>
      <c r="CH1195" s="737" t="n"/>
      <c r="CI1195" s="737" t="n"/>
      <c r="CJ1195" s="737" t="n"/>
      <c r="CK1195" s="737" t="n"/>
      <c r="CL1195" s="737" t="n"/>
      <c r="CM1195" s="737" t="n"/>
      <c r="CN1195" s="737" t="n"/>
      <c r="CO1195" s="737" t="n"/>
      <c r="CP1195" s="737" t="n"/>
      <c r="CQ1195" s="737" t="n"/>
      <c r="CR1195" s="737" t="n"/>
      <c r="CS1195" s="737" t="n"/>
      <c r="CT1195" s="737" t="n"/>
      <c r="CU1195" s="737" t="n"/>
      <c r="CV1195" s="737" t="n"/>
      <c r="CW1195" s="737" t="n"/>
      <c r="CX1195" s="737" t="n"/>
      <c r="CY1195" s="737" t="n"/>
    </row>
    <row r="1196">
      <c r="A1196" s="737" t="n"/>
      <c r="B1196" s="737" t="n"/>
      <c r="C1196" s="737" t="n"/>
      <c r="D1196" s="737" t="n"/>
      <c r="E1196" s="737" t="n"/>
      <c r="F1196" s="737" t="n"/>
      <c r="G1196" s="737" t="n"/>
      <c r="H1196" s="737" t="n"/>
      <c r="I1196" s="737" t="n"/>
      <c r="J1196" s="737" t="n"/>
      <c r="K1196" s="737" t="n"/>
      <c r="L1196" s="737" t="n"/>
      <c r="M1196" s="737" t="n"/>
      <c r="N1196" s="737" t="n"/>
      <c r="O1196" s="737" t="n"/>
      <c r="P1196" s="737" t="n"/>
      <c r="Q1196" s="737" t="n"/>
      <c r="R1196" s="737" t="n"/>
      <c r="S1196" s="737" t="n"/>
      <c r="T1196" s="737" t="n"/>
      <c r="U1196" s="737" t="n"/>
      <c r="V1196" s="737" t="n"/>
      <c r="W1196" s="737" t="n"/>
      <c r="X1196" s="737" t="n"/>
      <c r="Y1196" s="737" t="n"/>
      <c r="Z1196" s="737" t="n"/>
      <c r="AA1196" s="737" t="n"/>
      <c r="AB1196" s="737" t="n"/>
      <c r="AC1196" s="737" t="n"/>
      <c r="AD1196" s="737" t="n"/>
      <c r="AE1196" s="737" t="n"/>
      <c r="AF1196" s="737" t="n"/>
      <c r="AG1196" s="737" t="n"/>
      <c r="AH1196" s="737" t="n"/>
      <c r="AI1196" s="737" t="n"/>
      <c r="AJ1196" s="737" t="n"/>
      <c r="AK1196" s="737" t="n"/>
      <c r="AL1196" s="737" t="n"/>
      <c r="AM1196" s="737" t="n"/>
      <c r="AN1196" s="737" t="n"/>
      <c r="AO1196" s="737" t="n"/>
      <c r="AP1196" s="737" t="n"/>
      <c r="AQ1196" s="737" t="n"/>
      <c r="AR1196" s="737" t="n"/>
      <c r="AS1196" s="737" t="n"/>
      <c r="AT1196" s="737" t="n"/>
      <c r="AU1196" s="737" t="n"/>
      <c r="AV1196" s="737" t="n"/>
      <c r="AW1196" s="737" t="n"/>
      <c r="AX1196" s="737" t="n"/>
      <c r="AY1196" s="737" t="n"/>
      <c r="AZ1196" s="737" t="n"/>
      <c r="BA1196" s="737" t="n"/>
      <c r="BB1196" s="737" t="n"/>
      <c r="BC1196" s="737" t="n"/>
      <c r="BD1196" s="737" t="n"/>
      <c r="BE1196" s="737" t="n"/>
      <c r="BF1196" s="737" t="n"/>
      <c r="BG1196" s="737" t="n"/>
      <c r="BH1196" s="737" t="n"/>
      <c r="BI1196" s="737" t="n"/>
      <c r="BJ1196" s="737" t="n"/>
      <c r="BK1196" s="737" t="n"/>
      <c r="BL1196" s="737" t="n"/>
      <c r="BM1196" s="737" t="n"/>
      <c r="BN1196" s="737" t="n"/>
      <c r="BO1196" s="737" t="n"/>
      <c r="BP1196" s="737" t="n"/>
      <c r="BQ1196" s="737" t="n"/>
      <c r="BR1196" s="737" t="n"/>
      <c r="BS1196" s="737" t="n"/>
      <c r="BT1196" s="737" t="n"/>
      <c r="BU1196" s="737" t="n"/>
      <c r="BV1196" s="737" t="n"/>
      <c r="BW1196" s="737" t="n"/>
      <c r="BX1196" s="737" t="n"/>
      <c r="BY1196" s="737" t="n"/>
      <c r="BZ1196" s="737" t="n"/>
      <c r="CA1196" s="737" t="n"/>
      <c r="CB1196" s="737" t="n"/>
      <c r="CC1196" s="737" t="n"/>
      <c r="CD1196" s="737" t="n"/>
      <c r="CE1196" s="737" t="n"/>
      <c r="CF1196" s="737" t="n"/>
      <c r="CG1196" s="737" t="n"/>
      <c r="CH1196" s="737" t="n"/>
      <c r="CI1196" s="737" t="n"/>
      <c r="CJ1196" s="737" t="n"/>
      <c r="CK1196" s="737" t="n"/>
      <c r="CL1196" s="737" t="n"/>
      <c r="CM1196" s="737" t="n"/>
      <c r="CN1196" s="737" t="n"/>
      <c r="CO1196" s="737" t="n"/>
      <c r="CP1196" s="737" t="n"/>
      <c r="CQ1196" s="737" t="n"/>
      <c r="CR1196" s="737" t="n"/>
      <c r="CS1196" s="737" t="n"/>
      <c r="CT1196" s="737" t="n"/>
      <c r="CU1196" s="737" t="n"/>
      <c r="CV1196" s="737" t="n"/>
      <c r="CW1196" s="737" t="n"/>
      <c r="CX1196" s="737" t="n"/>
      <c r="CY1196" s="737" t="n"/>
    </row>
    <row r="1197">
      <c r="A1197" s="737" t="n"/>
      <c r="B1197" s="737" t="n"/>
      <c r="C1197" s="737" t="n"/>
      <c r="D1197" s="737" t="n"/>
      <c r="E1197" s="737" t="n"/>
      <c r="F1197" s="737" t="n"/>
      <c r="G1197" s="737" t="n"/>
      <c r="H1197" s="737" t="n"/>
      <c r="I1197" s="737" t="n"/>
      <c r="J1197" s="737" t="n"/>
      <c r="K1197" s="737" t="n"/>
      <c r="L1197" s="737" t="n"/>
      <c r="M1197" s="737" t="n"/>
      <c r="N1197" s="737" t="n"/>
      <c r="O1197" s="737" t="n"/>
      <c r="P1197" s="737" t="n"/>
      <c r="Q1197" s="737" t="n"/>
      <c r="R1197" s="737" t="n"/>
      <c r="S1197" s="737" t="n"/>
      <c r="T1197" s="737" t="n"/>
      <c r="U1197" s="737" t="n"/>
      <c r="V1197" s="737" t="n"/>
      <c r="W1197" s="737" t="n"/>
      <c r="X1197" s="737" t="n"/>
      <c r="Y1197" s="737" t="n"/>
      <c r="Z1197" s="737" t="n"/>
      <c r="AA1197" s="737" t="n"/>
      <c r="AB1197" s="737" t="n"/>
      <c r="AC1197" s="737" t="n"/>
      <c r="AD1197" s="737" t="n"/>
      <c r="AE1197" s="737" t="n"/>
      <c r="AF1197" s="737" t="n"/>
      <c r="AG1197" s="737" t="n"/>
      <c r="AH1197" s="737" t="n"/>
      <c r="AI1197" s="737" t="n"/>
      <c r="AJ1197" s="737" t="n"/>
      <c r="AK1197" s="737" t="n"/>
      <c r="AL1197" s="737" t="n"/>
      <c r="AM1197" s="737" t="n"/>
      <c r="AN1197" s="737" t="n"/>
      <c r="AO1197" s="737" t="n"/>
      <c r="AP1197" s="737" t="n"/>
      <c r="AQ1197" s="737" t="n"/>
      <c r="AR1197" s="737" t="n"/>
      <c r="AS1197" s="737" t="n"/>
      <c r="AT1197" s="737" t="n"/>
      <c r="AU1197" s="737" t="n"/>
      <c r="AV1197" s="737" t="n"/>
      <c r="AW1197" s="737" t="n"/>
      <c r="AX1197" s="737" t="n"/>
      <c r="AY1197" s="737" t="n"/>
      <c r="AZ1197" s="737" t="n"/>
      <c r="BA1197" s="737" t="n"/>
      <c r="BB1197" s="737" t="n"/>
      <c r="BC1197" s="737" t="n"/>
      <c r="BD1197" s="737" t="n"/>
      <c r="BE1197" s="737" t="n"/>
      <c r="BF1197" s="737" t="n"/>
      <c r="BG1197" s="737" t="n"/>
      <c r="BH1197" s="737" t="n"/>
      <c r="BI1197" s="737" t="n"/>
      <c r="BJ1197" s="737" t="n"/>
      <c r="BK1197" s="737" t="n"/>
      <c r="BL1197" s="737" t="n"/>
      <c r="BM1197" s="737" t="n"/>
      <c r="BN1197" s="737" t="n"/>
      <c r="BO1197" s="737" t="n"/>
      <c r="BP1197" s="737" t="n"/>
      <c r="BQ1197" s="737" t="n"/>
      <c r="BR1197" s="737" t="n"/>
      <c r="BS1197" s="737" t="n"/>
      <c r="BT1197" s="737" t="n"/>
      <c r="BU1197" s="737" t="n"/>
      <c r="BV1197" s="737" t="n"/>
      <c r="BW1197" s="737" t="n"/>
      <c r="BX1197" s="737" t="n"/>
      <c r="BY1197" s="737" t="n"/>
      <c r="BZ1197" s="737" t="n"/>
      <c r="CA1197" s="737" t="n"/>
      <c r="CB1197" s="737" t="n"/>
      <c r="CC1197" s="737" t="n"/>
      <c r="CD1197" s="737" t="n"/>
      <c r="CE1197" s="737" t="n"/>
      <c r="CF1197" s="737" t="n"/>
      <c r="CG1197" s="737" t="n"/>
      <c r="CH1197" s="737" t="n"/>
      <c r="CI1197" s="737" t="n"/>
      <c r="CJ1197" s="737" t="n"/>
      <c r="CK1197" s="737" t="n"/>
      <c r="CL1197" s="737" t="n"/>
      <c r="CM1197" s="737" t="n"/>
      <c r="CN1197" s="737" t="n"/>
      <c r="CO1197" s="737" t="n"/>
      <c r="CP1197" s="737" t="n"/>
      <c r="CQ1197" s="737" t="n"/>
      <c r="CR1197" s="737" t="n"/>
      <c r="CS1197" s="737" t="n"/>
      <c r="CT1197" s="737" t="n"/>
      <c r="CU1197" s="737" t="n"/>
      <c r="CV1197" s="737" t="n"/>
      <c r="CW1197" s="737" t="n"/>
      <c r="CX1197" s="737" t="n"/>
      <c r="CY1197" s="737" t="n"/>
    </row>
    <row r="1198">
      <c r="A1198" s="737" t="n"/>
      <c r="B1198" s="737" t="n"/>
      <c r="C1198" s="737" t="n"/>
      <c r="D1198" s="737" t="n"/>
      <c r="E1198" s="737" t="n"/>
      <c r="F1198" s="737" t="n"/>
      <c r="G1198" s="737" t="n"/>
      <c r="H1198" s="737" t="n"/>
      <c r="I1198" s="737" t="n"/>
      <c r="J1198" s="737" t="n"/>
      <c r="K1198" s="737" t="n"/>
      <c r="L1198" s="737" t="n"/>
      <c r="M1198" s="737" t="n"/>
      <c r="N1198" s="737" t="n"/>
      <c r="O1198" s="737" t="n"/>
      <c r="P1198" s="737" t="n"/>
      <c r="Q1198" s="737" t="n"/>
      <c r="R1198" s="737" t="n"/>
      <c r="S1198" s="737" t="n"/>
      <c r="T1198" s="737" t="n"/>
      <c r="U1198" s="737" t="n"/>
      <c r="V1198" s="737" t="n"/>
      <c r="W1198" s="737" t="n"/>
      <c r="X1198" s="737" t="n"/>
      <c r="Y1198" s="737" t="n"/>
      <c r="Z1198" s="737" t="n"/>
      <c r="AA1198" s="737" t="n"/>
      <c r="AB1198" s="737" t="n"/>
      <c r="AC1198" s="737" t="n"/>
      <c r="AD1198" s="737" t="n"/>
      <c r="AE1198" s="737" t="n"/>
      <c r="AF1198" s="737" t="n"/>
      <c r="AG1198" s="737" t="n"/>
      <c r="AH1198" s="737" t="n"/>
      <c r="AI1198" s="737" t="n"/>
      <c r="AJ1198" s="737" t="n"/>
      <c r="AK1198" s="737" t="n"/>
      <c r="AL1198" s="737" t="n"/>
      <c r="AM1198" s="737" t="n"/>
      <c r="AN1198" s="737" t="n"/>
      <c r="AO1198" s="737" t="n"/>
      <c r="AP1198" s="737" t="n"/>
      <c r="AQ1198" s="737" t="n"/>
      <c r="AR1198" s="737" t="n"/>
      <c r="AS1198" s="737" t="n"/>
      <c r="AT1198" s="737" t="n"/>
      <c r="AU1198" s="737" t="n"/>
      <c r="AV1198" s="737" t="n"/>
      <c r="AW1198" s="737" t="n"/>
      <c r="AX1198" s="737" t="n"/>
      <c r="AY1198" s="737" t="n"/>
      <c r="AZ1198" s="737" t="n"/>
      <c r="BA1198" s="737" t="n"/>
      <c r="BB1198" s="737" t="n"/>
      <c r="BC1198" s="737" t="n"/>
      <c r="BD1198" s="737" t="n"/>
      <c r="BE1198" s="737" t="n"/>
      <c r="BF1198" s="737" t="n"/>
      <c r="BG1198" s="737" t="n"/>
      <c r="BH1198" s="737" t="n"/>
      <c r="BI1198" s="737" t="n"/>
      <c r="BJ1198" s="737" t="n"/>
      <c r="BK1198" s="737" t="n"/>
      <c r="BL1198" s="737" t="n"/>
      <c r="BM1198" s="737" t="n"/>
      <c r="BN1198" s="737" t="n"/>
      <c r="BO1198" s="737" t="n"/>
      <c r="BP1198" s="737" t="n"/>
      <c r="BQ1198" s="737" t="n"/>
      <c r="BR1198" s="737" t="n"/>
      <c r="BS1198" s="737" t="n"/>
      <c r="BT1198" s="737" t="n"/>
      <c r="BU1198" s="737" t="n"/>
      <c r="BV1198" s="737" t="n"/>
      <c r="BW1198" s="737" t="n"/>
      <c r="BX1198" s="737" t="n"/>
      <c r="BY1198" s="737" t="n"/>
      <c r="BZ1198" s="737" t="n"/>
      <c r="CA1198" s="737" t="n"/>
      <c r="CB1198" s="737" t="n"/>
      <c r="CC1198" s="737" t="n"/>
      <c r="CD1198" s="737" t="n"/>
      <c r="CE1198" s="737" t="n"/>
      <c r="CF1198" s="737" t="n"/>
      <c r="CG1198" s="737" t="n"/>
      <c r="CH1198" s="737" t="n"/>
      <c r="CI1198" s="737" t="n"/>
      <c r="CJ1198" s="737" t="n"/>
      <c r="CK1198" s="737" t="n"/>
      <c r="CL1198" s="737" t="n"/>
      <c r="CM1198" s="737" t="n"/>
      <c r="CN1198" s="737" t="n"/>
      <c r="CO1198" s="737" t="n"/>
      <c r="CP1198" s="737" t="n"/>
      <c r="CQ1198" s="737" t="n"/>
      <c r="CR1198" s="737" t="n"/>
      <c r="CS1198" s="737" t="n"/>
      <c r="CT1198" s="737" t="n"/>
      <c r="CU1198" s="737" t="n"/>
      <c r="CV1198" s="737" t="n"/>
      <c r="CW1198" s="737" t="n"/>
      <c r="CX1198" s="737" t="n"/>
      <c r="CY1198" s="737" t="n"/>
    </row>
    <row r="1199">
      <c r="A1199" s="737" t="n"/>
      <c r="B1199" s="737" t="n"/>
      <c r="C1199" s="737" t="n"/>
      <c r="D1199" s="737" t="n"/>
      <c r="E1199" s="737" t="n"/>
      <c r="F1199" s="737" t="n"/>
      <c r="G1199" s="737" t="n"/>
      <c r="H1199" s="737" t="n"/>
      <c r="I1199" s="737" t="n"/>
      <c r="J1199" s="737" t="n"/>
      <c r="K1199" s="737" t="n"/>
      <c r="L1199" s="737" t="n"/>
      <c r="M1199" s="737" t="n"/>
      <c r="N1199" s="737" t="n"/>
      <c r="O1199" s="737" t="n"/>
      <c r="P1199" s="737" t="n"/>
      <c r="Q1199" s="737" t="n"/>
      <c r="R1199" s="737" t="n"/>
      <c r="S1199" s="737" t="n"/>
      <c r="T1199" s="737" t="n"/>
      <c r="U1199" s="737" t="n"/>
      <c r="V1199" s="737" t="n"/>
      <c r="W1199" s="737" t="n"/>
      <c r="X1199" s="737" t="n"/>
      <c r="Y1199" s="737" t="n"/>
      <c r="Z1199" s="737" t="n"/>
      <c r="AA1199" s="737" t="n"/>
      <c r="AB1199" s="737" t="n"/>
      <c r="AC1199" s="737" t="n"/>
      <c r="AD1199" s="737" t="n"/>
      <c r="AE1199" s="737" t="n"/>
      <c r="AF1199" s="737" t="n"/>
      <c r="AG1199" s="737" t="n"/>
      <c r="AH1199" s="737" t="n"/>
      <c r="AI1199" s="737" t="n"/>
      <c r="AJ1199" s="737" t="n"/>
      <c r="AK1199" s="737" t="n"/>
      <c r="AL1199" s="737" t="n"/>
      <c r="AM1199" s="737" t="n"/>
      <c r="AN1199" s="737" t="n"/>
      <c r="AO1199" s="737" t="n"/>
      <c r="AP1199" s="737" t="n"/>
      <c r="AQ1199" s="737" t="n"/>
      <c r="AR1199" s="737" t="n"/>
      <c r="AS1199" s="737" t="n"/>
      <c r="AT1199" s="737" t="n"/>
      <c r="AU1199" s="737" t="n"/>
      <c r="AV1199" s="737" t="n"/>
      <c r="AW1199" s="737" t="n"/>
      <c r="AX1199" s="737" t="n"/>
      <c r="AY1199" s="737" t="n"/>
      <c r="AZ1199" s="737" t="n"/>
      <c r="BA1199" s="737" t="n"/>
      <c r="BB1199" s="737" t="n"/>
      <c r="BC1199" s="737" t="n"/>
      <c r="BD1199" s="737" t="n"/>
      <c r="BE1199" s="737" t="n"/>
      <c r="BF1199" s="737" t="n"/>
      <c r="BG1199" s="737" t="n"/>
      <c r="BH1199" s="737" t="n"/>
      <c r="BI1199" s="737" t="n"/>
      <c r="BJ1199" s="737" t="n"/>
      <c r="BK1199" s="737" t="n"/>
      <c r="BL1199" s="737" t="n"/>
      <c r="BM1199" s="737" t="n"/>
      <c r="BN1199" s="737" t="n"/>
      <c r="BO1199" s="737" t="n"/>
      <c r="BP1199" s="737" t="n"/>
      <c r="BQ1199" s="737" t="n"/>
      <c r="BR1199" s="737" t="n"/>
      <c r="BS1199" s="737" t="n"/>
      <c r="BT1199" s="737" t="n"/>
      <c r="BU1199" s="737" t="n"/>
      <c r="BV1199" s="737" t="n"/>
      <c r="BW1199" s="737" t="n"/>
      <c r="BX1199" s="737" t="n"/>
      <c r="BY1199" s="737" t="n"/>
      <c r="BZ1199" s="737" t="n"/>
      <c r="CA1199" s="737" t="n"/>
      <c r="CB1199" s="737" t="n"/>
      <c r="CC1199" s="737" t="n"/>
      <c r="CD1199" s="737" t="n"/>
      <c r="CE1199" s="737" t="n"/>
      <c r="CF1199" s="737" t="n"/>
      <c r="CG1199" s="737" t="n"/>
      <c r="CH1199" s="737" t="n"/>
      <c r="CI1199" s="737" t="n"/>
      <c r="CJ1199" s="737" t="n"/>
      <c r="CK1199" s="737" t="n"/>
      <c r="CL1199" s="737" t="n"/>
      <c r="CM1199" s="737" t="n"/>
      <c r="CN1199" s="737" t="n"/>
      <c r="CO1199" s="737" t="n"/>
      <c r="CP1199" s="737" t="n"/>
      <c r="CQ1199" s="737" t="n"/>
      <c r="CR1199" s="737" t="n"/>
      <c r="CS1199" s="737" t="n"/>
      <c r="CT1199" s="737" t="n"/>
      <c r="CU1199" s="737" t="n"/>
      <c r="CV1199" s="737" t="n"/>
      <c r="CW1199" s="737" t="n"/>
      <c r="CX1199" s="737" t="n"/>
      <c r="CY1199" s="737" t="n"/>
    </row>
    <row r="1200">
      <c r="A1200" s="737" t="n"/>
      <c r="B1200" s="737" t="n"/>
      <c r="C1200" s="737" t="n"/>
      <c r="D1200" s="737" t="n"/>
      <c r="E1200" s="737" t="n"/>
      <c r="F1200" s="737" t="n"/>
      <c r="G1200" s="737" t="n"/>
      <c r="H1200" s="737" t="n"/>
      <c r="I1200" s="737" t="n"/>
      <c r="J1200" s="737" t="n"/>
      <c r="K1200" s="737" t="n"/>
      <c r="L1200" s="737" t="n"/>
      <c r="M1200" s="737" t="n"/>
      <c r="N1200" s="737" t="n"/>
      <c r="O1200" s="737" t="n"/>
      <c r="P1200" s="737" t="n"/>
      <c r="Q1200" s="737" t="n"/>
      <c r="R1200" s="737" t="n"/>
      <c r="S1200" s="737" t="n"/>
      <c r="T1200" s="737" t="n"/>
      <c r="U1200" s="737" t="n"/>
      <c r="V1200" s="737" t="n"/>
      <c r="W1200" s="737" t="n"/>
      <c r="X1200" s="737" t="n"/>
      <c r="Y1200" s="737" t="n"/>
      <c r="Z1200" s="737" t="n"/>
      <c r="AA1200" s="737" t="n"/>
      <c r="AB1200" s="737" t="n"/>
      <c r="AC1200" s="737" t="n"/>
      <c r="AD1200" s="737" t="n"/>
      <c r="AE1200" s="737" t="n"/>
      <c r="AF1200" s="737" t="n"/>
      <c r="AG1200" s="737" t="n"/>
      <c r="AH1200" s="737" t="n"/>
      <c r="AI1200" s="737" t="n"/>
      <c r="AJ1200" s="737" t="n"/>
      <c r="AK1200" s="737" t="n"/>
      <c r="AL1200" s="737" t="n"/>
      <c r="AM1200" s="737" t="n"/>
      <c r="AN1200" s="737" t="n"/>
      <c r="AO1200" s="737" t="n"/>
      <c r="AP1200" s="737" t="n"/>
      <c r="AQ1200" s="737" t="n"/>
      <c r="AR1200" s="737" t="n"/>
      <c r="AS1200" s="737" t="n"/>
      <c r="AT1200" s="737" t="n"/>
      <c r="AU1200" s="737" t="n"/>
      <c r="AV1200" s="737" t="n"/>
      <c r="AW1200" s="737" t="n"/>
      <c r="AX1200" s="737" t="n"/>
      <c r="AY1200" s="737" t="n"/>
      <c r="AZ1200" s="737" t="n"/>
      <c r="BA1200" s="737" t="n"/>
      <c r="BB1200" s="737" t="n"/>
      <c r="BC1200" s="737" t="n"/>
      <c r="BD1200" s="737" t="n"/>
      <c r="BE1200" s="737" t="n"/>
      <c r="BF1200" s="737" t="n"/>
      <c r="BG1200" s="737" t="n"/>
      <c r="BH1200" s="737" t="n"/>
      <c r="BI1200" s="737" t="n"/>
      <c r="BJ1200" s="737" t="n"/>
      <c r="BK1200" s="737" t="n"/>
      <c r="BL1200" s="737" t="n"/>
      <c r="BM1200" s="737" t="n"/>
      <c r="BN1200" s="737" t="n"/>
      <c r="BO1200" s="737" t="n"/>
      <c r="BP1200" s="737" t="n"/>
      <c r="BQ1200" s="737" t="n"/>
      <c r="BR1200" s="737" t="n"/>
      <c r="BS1200" s="737" t="n"/>
      <c r="BT1200" s="737" t="n"/>
      <c r="BU1200" s="737" t="n"/>
      <c r="BV1200" s="737" t="n"/>
      <c r="BW1200" s="737" t="n"/>
      <c r="BX1200" s="737" t="n"/>
      <c r="BY1200" s="737" t="n"/>
      <c r="BZ1200" s="737" t="n"/>
      <c r="CA1200" s="737" t="n"/>
      <c r="CB1200" s="737" t="n"/>
      <c r="CC1200" s="737" t="n"/>
      <c r="CD1200" s="737" t="n"/>
      <c r="CE1200" s="737" t="n"/>
      <c r="CF1200" s="737" t="n"/>
      <c r="CG1200" s="737" t="n"/>
      <c r="CH1200" s="737" t="n"/>
      <c r="CI1200" s="737" t="n"/>
      <c r="CJ1200" s="737" t="n"/>
      <c r="CK1200" s="737" t="n"/>
      <c r="CL1200" s="737" t="n"/>
      <c r="CM1200" s="737" t="n"/>
      <c r="CN1200" s="737" t="n"/>
      <c r="CO1200" s="737" t="n"/>
      <c r="CP1200" s="737" t="n"/>
      <c r="CQ1200" s="737" t="n"/>
      <c r="CR1200" s="737" t="n"/>
      <c r="CS1200" s="737" t="n"/>
      <c r="CT1200" s="737" t="n"/>
      <c r="CU1200" s="737" t="n"/>
      <c r="CV1200" s="737" t="n"/>
      <c r="CW1200" s="737" t="n"/>
      <c r="CX1200" s="737" t="n"/>
      <c r="CY1200" s="737" t="n"/>
    </row>
    <row r="1201">
      <c r="A1201" s="737" t="n"/>
      <c r="B1201" s="737" t="n"/>
      <c r="C1201" s="737" t="n"/>
      <c r="D1201" s="737" t="n"/>
      <c r="E1201" s="737" t="n"/>
      <c r="F1201" s="737" t="n"/>
      <c r="G1201" s="737" t="n"/>
      <c r="H1201" s="737" t="n"/>
      <c r="I1201" s="737" t="n"/>
      <c r="J1201" s="737" t="n"/>
      <c r="K1201" s="737" t="n"/>
      <c r="L1201" s="737" t="n"/>
      <c r="M1201" s="737" t="n"/>
      <c r="N1201" s="737" t="n"/>
      <c r="O1201" s="737" t="n"/>
      <c r="P1201" s="737" t="n"/>
      <c r="Q1201" s="737" t="n"/>
      <c r="R1201" s="737" t="n"/>
      <c r="S1201" s="737" t="n"/>
      <c r="T1201" s="737" t="n"/>
      <c r="U1201" s="737" t="n"/>
      <c r="V1201" s="737" t="n"/>
      <c r="W1201" s="737" t="n"/>
      <c r="X1201" s="737" t="n"/>
      <c r="Y1201" s="737" t="n"/>
      <c r="Z1201" s="737" t="n"/>
      <c r="AA1201" s="737" t="n"/>
      <c r="AB1201" s="737" t="n"/>
      <c r="AC1201" s="737" t="n"/>
      <c r="AD1201" s="737" t="n"/>
      <c r="AE1201" s="737" t="n"/>
      <c r="AF1201" s="737" t="n"/>
      <c r="AG1201" s="737" t="n"/>
      <c r="AH1201" s="737" t="n"/>
      <c r="AI1201" s="737" t="n"/>
      <c r="AJ1201" s="737" t="n"/>
      <c r="AK1201" s="737" t="n"/>
      <c r="AL1201" s="737" t="n"/>
      <c r="AM1201" s="737" t="n"/>
      <c r="AN1201" s="737" t="n"/>
      <c r="AO1201" s="737" t="n"/>
      <c r="AP1201" s="737" t="n"/>
      <c r="AQ1201" s="737" t="n"/>
      <c r="AR1201" s="737" t="n"/>
      <c r="AS1201" s="737" t="n"/>
      <c r="AT1201" s="737" t="n"/>
      <c r="AU1201" s="737" t="n"/>
      <c r="AV1201" s="737" t="n"/>
      <c r="AW1201" s="737" t="n"/>
      <c r="AX1201" s="737" t="n"/>
      <c r="AY1201" s="737" t="n"/>
      <c r="AZ1201" s="737" t="n"/>
      <c r="BA1201" s="737" t="n"/>
      <c r="BB1201" s="737" t="n"/>
      <c r="BC1201" s="737" t="n"/>
      <c r="BD1201" s="737" t="n"/>
      <c r="BE1201" s="737" t="n"/>
      <c r="BF1201" s="737" t="n"/>
      <c r="BG1201" s="737" t="n"/>
      <c r="BH1201" s="737" t="n"/>
      <c r="BI1201" s="737" t="n"/>
      <c r="BJ1201" s="737" t="n"/>
      <c r="BK1201" s="737" t="n"/>
      <c r="BL1201" s="737" t="n"/>
      <c r="BM1201" s="737" t="n"/>
      <c r="BN1201" s="737" t="n"/>
      <c r="BO1201" s="737" t="n"/>
      <c r="BP1201" s="737" t="n"/>
      <c r="BQ1201" s="737" t="n"/>
      <c r="BR1201" s="737" t="n"/>
      <c r="BS1201" s="737" t="n"/>
      <c r="BT1201" s="737" t="n"/>
      <c r="BU1201" s="737" t="n"/>
      <c r="BV1201" s="737" t="n"/>
      <c r="BW1201" s="737" t="n"/>
      <c r="BX1201" s="737" t="n"/>
      <c r="BY1201" s="737" t="n"/>
      <c r="BZ1201" s="737" t="n"/>
      <c r="CA1201" s="737" t="n"/>
      <c r="CB1201" s="737" t="n"/>
      <c r="CC1201" s="737" t="n"/>
      <c r="CD1201" s="737" t="n"/>
      <c r="CE1201" s="737" t="n"/>
      <c r="CF1201" s="737" t="n"/>
      <c r="CG1201" s="737" t="n"/>
      <c r="CH1201" s="737" t="n"/>
      <c r="CI1201" s="737" t="n"/>
      <c r="CJ1201" s="737" t="n"/>
      <c r="CK1201" s="737" t="n"/>
      <c r="CL1201" s="737" t="n"/>
      <c r="CM1201" s="737" t="n"/>
      <c r="CN1201" s="737" t="n"/>
      <c r="CO1201" s="737" t="n"/>
      <c r="CP1201" s="737" t="n"/>
      <c r="CQ1201" s="737" t="n"/>
      <c r="CR1201" s="737" t="n"/>
      <c r="CS1201" s="737" t="n"/>
      <c r="CT1201" s="737" t="n"/>
      <c r="CU1201" s="737" t="n"/>
      <c r="CV1201" s="737" t="n"/>
      <c r="CW1201" s="737" t="n"/>
      <c r="CX1201" s="737" t="n"/>
      <c r="CY1201" s="737" t="n"/>
    </row>
    <row r="1202">
      <c r="A1202" s="737" t="n"/>
      <c r="B1202" s="737" t="n"/>
      <c r="C1202" s="737" t="n"/>
      <c r="D1202" s="737" t="n"/>
      <c r="E1202" s="737" t="n"/>
      <c r="F1202" s="737" t="n"/>
      <c r="G1202" s="737" t="n"/>
      <c r="H1202" s="737" t="n"/>
      <c r="I1202" s="737" t="n"/>
      <c r="J1202" s="737" t="n"/>
      <c r="K1202" s="737" t="n"/>
      <c r="L1202" s="737" t="n"/>
      <c r="M1202" s="737" t="n"/>
      <c r="N1202" s="737" t="n"/>
      <c r="O1202" s="737" t="n"/>
      <c r="P1202" s="737" t="n"/>
      <c r="Q1202" s="737" t="n"/>
      <c r="R1202" s="737" t="n"/>
      <c r="S1202" s="737" t="n"/>
      <c r="T1202" s="737" t="n"/>
      <c r="U1202" s="737" t="n"/>
      <c r="V1202" s="737" t="n"/>
      <c r="W1202" s="737" t="n"/>
      <c r="X1202" s="737" t="n"/>
      <c r="Y1202" s="737" t="n"/>
      <c r="Z1202" s="737" t="n"/>
      <c r="AA1202" s="737" t="n"/>
      <c r="AB1202" s="737" t="n"/>
      <c r="AC1202" s="737" t="n"/>
      <c r="AD1202" s="737" t="n"/>
      <c r="AE1202" s="737" t="n"/>
      <c r="AF1202" s="737" t="n"/>
      <c r="AG1202" s="737" t="n"/>
      <c r="AH1202" s="737" t="n"/>
      <c r="AI1202" s="737" t="n"/>
      <c r="AJ1202" s="737" t="n"/>
      <c r="AK1202" s="737" t="n"/>
      <c r="AL1202" s="737" t="n"/>
      <c r="AM1202" s="737" t="n"/>
      <c r="AN1202" s="737" t="n"/>
      <c r="AO1202" s="737" t="n"/>
      <c r="AP1202" s="737" t="n"/>
      <c r="AQ1202" s="737" t="n"/>
      <c r="AR1202" s="737" t="n"/>
      <c r="AS1202" s="737" t="n"/>
      <c r="AT1202" s="737" t="n"/>
      <c r="AU1202" s="737" t="n"/>
      <c r="AV1202" s="737" t="n"/>
      <c r="AW1202" s="737" t="n"/>
      <c r="AX1202" s="737" t="n"/>
      <c r="AY1202" s="737" t="n"/>
      <c r="AZ1202" s="737" t="n"/>
      <c r="BA1202" s="737" t="n"/>
      <c r="BB1202" s="737" t="n"/>
      <c r="BC1202" s="737" t="n"/>
      <c r="BD1202" s="737" t="n"/>
      <c r="BE1202" s="737" t="n"/>
      <c r="BF1202" s="737" t="n"/>
      <c r="BG1202" s="737" t="n"/>
      <c r="BH1202" s="737" t="n"/>
      <c r="BI1202" s="737" t="n"/>
      <c r="BJ1202" s="737" t="n"/>
      <c r="BK1202" s="737" t="n"/>
      <c r="BL1202" s="737" t="n"/>
      <c r="BM1202" s="737" t="n"/>
      <c r="BN1202" s="737" t="n"/>
      <c r="BO1202" s="737" t="n"/>
      <c r="BP1202" s="737" t="n"/>
      <c r="BQ1202" s="737" t="n"/>
      <c r="BR1202" s="737" t="n"/>
      <c r="BS1202" s="737" t="n"/>
      <c r="BT1202" s="737" t="n"/>
      <c r="BU1202" s="737" t="n"/>
      <c r="BV1202" s="737" t="n"/>
      <c r="BW1202" s="737" t="n"/>
      <c r="BX1202" s="737" t="n"/>
      <c r="BY1202" s="737" t="n"/>
      <c r="BZ1202" s="737" t="n"/>
      <c r="CA1202" s="737" t="n"/>
      <c r="CB1202" s="737" t="n"/>
      <c r="CC1202" s="737" t="n"/>
      <c r="CD1202" s="737" t="n"/>
      <c r="CE1202" s="737" t="n"/>
      <c r="CF1202" s="737" t="n"/>
      <c r="CG1202" s="737" t="n"/>
      <c r="CH1202" s="737" t="n"/>
      <c r="CI1202" s="737" t="n"/>
      <c r="CJ1202" s="737" t="n"/>
      <c r="CK1202" s="737" t="n"/>
      <c r="CL1202" s="737" t="n"/>
      <c r="CM1202" s="737" t="n"/>
      <c r="CN1202" s="737" t="n"/>
      <c r="CO1202" s="737" t="n"/>
      <c r="CP1202" s="737" t="n"/>
      <c r="CQ1202" s="737" t="n"/>
      <c r="CR1202" s="737" t="n"/>
      <c r="CS1202" s="737" t="n"/>
      <c r="CT1202" s="737" t="n"/>
      <c r="CU1202" s="737" t="n"/>
      <c r="CV1202" s="737" t="n"/>
      <c r="CW1202" s="737" t="n"/>
      <c r="CX1202" s="737" t="n"/>
      <c r="CY1202" s="737" t="n"/>
    </row>
    <row r="1203">
      <c r="A1203" s="737" t="n"/>
      <c r="B1203" s="737" t="n"/>
      <c r="C1203" s="737" t="n"/>
      <c r="D1203" s="737" t="n"/>
      <c r="E1203" s="737" t="n"/>
      <c r="F1203" s="737" t="n"/>
      <c r="G1203" s="737" t="n"/>
      <c r="H1203" s="737" t="n"/>
      <c r="I1203" s="737" t="n"/>
      <c r="J1203" s="737" t="n"/>
      <c r="K1203" s="737" t="n"/>
      <c r="L1203" s="737" t="n"/>
      <c r="M1203" s="737" t="n"/>
      <c r="N1203" s="737" t="n"/>
      <c r="O1203" s="737" t="n"/>
      <c r="P1203" s="737" t="n"/>
      <c r="Q1203" s="737" t="n"/>
      <c r="R1203" s="737" t="n"/>
      <c r="S1203" s="737" t="n"/>
      <c r="T1203" s="737" t="n"/>
      <c r="U1203" s="737" t="n"/>
      <c r="V1203" s="737" t="n"/>
      <c r="W1203" s="737" t="n"/>
      <c r="X1203" s="737" t="n"/>
      <c r="Y1203" s="737" t="n"/>
      <c r="Z1203" s="737" t="n"/>
      <c r="AA1203" s="737" t="n"/>
      <c r="AB1203" s="737" t="n"/>
      <c r="AC1203" s="737" t="n"/>
      <c r="AD1203" s="737" t="n"/>
      <c r="AE1203" s="737" t="n"/>
      <c r="AF1203" s="737" t="n"/>
      <c r="AG1203" s="737" t="n"/>
      <c r="AH1203" s="737" t="n"/>
      <c r="AI1203" s="737" t="n"/>
      <c r="AJ1203" s="737" t="n"/>
      <c r="AK1203" s="737" t="n"/>
      <c r="AL1203" s="737" t="n"/>
      <c r="AM1203" s="737" t="n"/>
      <c r="AN1203" s="737" t="n"/>
      <c r="AO1203" s="737" t="n"/>
      <c r="AP1203" s="737" t="n"/>
      <c r="AQ1203" s="737" t="n"/>
      <c r="AR1203" s="737" t="n"/>
      <c r="AS1203" s="737" t="n"/>
      <c r="AT1203" s="737" t="n"/>
      <c r="AU1203" s="737" t="n"/>
      <c r="AV1203" s="737" t="n"/>
      <c r="AW1203" s="737" t="n"/>
      <c r="AX1203" s="737" t="n"/>
      <c r="AY1203" s="737" t="n"/>
      <c r="AZ1203" s="737" t="n"/>
      <c r="BA1203" s="737" t="n"/>
      <c r="BB1203" s="737" t="n"/>
      <c r="BC1203" s="737" t="n"/>
      <c r="BD1203" s="737" t="n"/>
      <c r="BE1203" s="737" t="n"/>
      <c r="BF1203" s="737" t="n"/>
      <c r="BG1203" s="737" t="n"/>
      <c r="BH1203" s="737" t="n"/>
      <c r="BI1203" s="737" t="n"/>
      <c r="BJ1203" s="737" t="n"/>
      <c r="BK1203" s="737" t="n"/>
      <c r="BL1203" s="737" t="n"/>
      <c r="BM1203" s="737" t="n"/>
      <c r="BN1203" s="737" t="n"/>
      <c r="BO1203" s="737" t="n"/>
      <c r="BP1203" s="737" t="n"/>
      <c r="BQ1203" s="737" t="n"/>
      <c r="BR1203" s="737" t="n"/>
      <c r="BS1203" s="737" t="n"/>
      <c r="BT1203" s="737" t="n"/>
      <c r="BU1203" s="737" t="n"/>
      <c r="BV1203" s="737" t="n"/>
      <c r="BW1203" s="737" t="n"/>
      <c r="BX1203" s="737" t="n"/>
      <c r="BY1203" s="737" t="n"/>
      <c r="BZ1203" s="737" t="n"/>
      <c r="CA1203" s="737" t="n"/>
      <c r="CB1203" s="737" t="n"/>
      <c r="CC1203" s="737" t="n"/>
      <c r="CD1203" s="737" t="n"/>
      <c r="CE1203" s="737" t="n"/>
      <c r="CF1203" s="737" t="n"/>
      <c r="CG1203" s="737" t="n"/>
      <c r="CH1203" s="737" t="n"/>
      <c r="CI1203" s="737" t="n"/>
      <c r="CJ1203" s="737" t="n"/>
      <c r="CK1203" s="737" t="n"/>
      <c r="CL1203" s="737" t="n"/>
      <c r="CM1203" s="737" t="n"/>
      <c r="CN1203" s="737" t="n"/>
      <c r="CO1203" s="737" t="n"/>
      <c r="CP1203" s="737" t="n"/>
      <c r="CQ1203" s="737" t="n"/>
      <c r="CR1203" s="737" t="n"/>
      <c r="CS1203" s="737" t="n"/>
      <c r="CT1203" s="737" t="n"/>
      <c r="CU1203" s="737" t="n"/>
      <c r="CV1203" s="737" t="n"/>
      <c r="CW1203" s="737" t="n"/>
      <c r="CX1203" s="737" t="n"/>
      <c r="CY1203" s="737" t="n"/>
    </row>
    <row r="1204">
      <c r="A1204" s="737" t="n"/>
      <c r="B1204" s="737" t="n"/>
      <c r="C1204" s="737" t="n"/>
      <c r="D1204" s="737" t="n"/>
      <c r="E1204" s="737" t="n"/>
      <c r="F1204" s="737" t="n"/>
      <c r="G1204" s="737" t="n"/>
      <c r="H1204" s="737" t="n"/>
      <c r="I1204" s="737" t="n"/>
      <c r="J1204" s="737" t="n"/>
      <c r="K1204" s="737" t="n"/>
      <c r="L1204" s="737" t="n"/>
      <c r="M1204" s="737" t="n"/>
      <c r="N1204" s="737" t="n"/>
      <c r="O1204" s="737" t="n"/>
      <c r="P1204" s="737" t="n"/>
      <c r="Q1204" s="737" t="n"/>
      <c r="R1204" s="737" t="n"/>
      <c r="S1204" s="737" t="n"/>
      <c r="T1204" s="737" t="n"/>
      <c r="U1204" s="737" t="n"/>
      <c r="V1204" s="737" t="n"/>
      <c r="W1204" s="737" t="n"/>
      <c r="X1204" s="737" t="n"/>
      <c r="Y1204" s="737" t="n"/>
      <c r="Z1204" s="737" t="n"/>
      <c r="AA1204" s="737" t="n"/>
      <c r="AB1204" s="737" t="n"/>
      <c r="AC1204" s="737" t="n"/>
      <c r="AD1204" s="737" t="n"/>
      <c r="AE1204" s="737" t="n"/>
      <c r="AF1204" s="737" t="n"/>
      <c r="AG1204" s="737" t="n"/>
      <c r="AH1204" s="737" t="n"/>
      <c r="AI1204" s="737" t="n"/>
      <c r="AJ1204" s="737" t="n"/>
      <c r="AK1204" s="737" t="n"/>
      <c r="AL1204" s="737" t="n"/>
      <c r="AM1204" s="737" t="n"/>
      <c r="AN1204" s="737" t="n"/>
      <c r="AO1204" s="737" t="n"/>
      <c r="AP1204" s="737" t="n"/>
      <c r="AQ1204" s="737" t="n"/>
      <c r="AR1204" s="737" t="n"/>
      <c r="AS1204" s="737" t="n"/>
      <c r="AT1204" s="737" t="n"/>
      <c r="AU1204" s="737" t="n"/>
      <c r="AV1204" s="737" t="n"/>
      <c r="AW1204" s="737" t="n"/>
      <c r="AX1204" s="737" t="n"/>
      <c r="AY1204" s="737" t="n"/>
      <c r="AZ1204" s="737" t="n"/>
      <c r="BA1204" s="737" t="n"/>
      <c r="BB1204" s="737" t="n"/>
      <c r="BC1204" s="737" t="n"/>
      <c r="BD1204" s="737" t="n"/>
      <c r="BE1204" s="737" t="n"/>
      <c r="BF1204" s="737" t="n"/>
      <c r="BG1204" s="737" t="n"/>
      <c r="BH1204" s="737" t="n"/>
      <c r="BI1204" s="737" t="n"/>
      <c r="BJ1204" s="737" t="n"/>
      <c r="BK1204" s="737" t="n"/>
      <c r="BL1204" s="737" t="n"/>
      <c r="BM1204" s="737" t="n"/>
      <c r="BN1204" s="737" t="n"/>
      <c r="BO1204" s="737" t="n"/>
      <c r="BP1204" s="737" t="n"/>
      <c r="BQ1204" s="737" t="n"/>
      <c r="BR1204" s="737" t="n"/>
      <c r="BS1204" s="737" t="n"/>
      <c r="BT1204" s="737" t="n"/>
      <c r="BU1204" s="737" t="n"/>
      <c r="BV1204" s="737" t="n"/>
      <c r="BW1204" s="737" t="n"/>
      <c r="BX1204" s="737" t="n"/>
      <c r="BY1204" s="737" t="n"/>
      <c r="BZ1204" s="737" t="n"/>
      <c r="CA1204" s="737" t="n"/>
      <c r="CB1204" s="737" t="n"/>
      <c r="CC1204" s="737" t="n"/>
      <c r="CD1204" s="737" t="n"/>
      <c r="CE1204" s="737" t="n"/>
      <c r="CF1204" s="737" t="n"/>
      <c r="CG1204" s="737" t="n"/>
      <c r="CH1204" s="737" t="n"/>
      <c r="CI1204" s="737" t="n"/>
      <c r="CJ1204" s="737" t="n"/>
      <c r="CK1204" s="737" t="n"/>
      <c r="CL1204" s="737" t="n"/>
      <c r="CM1204" s="737" t="n"/>
      <c r="CN1204" s="737" t="n"/>
      <c r="CO1204" s="737" t="n"/>
      <c r="CP1204" s="737" t="n"/>
      <c r="CQ1204" s="737" t="n"/>
      <c r="CR1204" s="737" t="n"/>
      <c r="CS1204" s="737" t="n"/>
      <c r="CT1204" s="737" t="n"/>
      <c r="CU1204" s="737" t="n"/>
      <c r="CV1204" s="737" t="n"/>
      <c r="CW1204" s="737" t="n"/>
      <c r="CX1204" s="737" t="n"/>
      <c r="CY1204" s="737" t="n"/>
    </row>
    <row r="1205">
      <c r="A1205" s="737" t="n"/>
      <c r="B1205" s="737" t="n"/>
      <c r="C1205" s="737" t="n"/>
      <c r="D1205" s="737" t="n"/>
      <c r="E1205" s="737" t="n"/>
      <c r="F1205" s="737" t="n"/>
      <c r="G1205" s="737" t="n"/>
      <c r="H1205" s="737" t="n"/>
      <c r="I1205" s="737" t="n"/>
      <c r="J1205" s="737" t="n"/>
      <c r="K1205" s="737" t="n"/>
      <c r="L1205" s="737" t="n"/>
      <c r="M1205" s="737" t="n"/>
      <c r="N1205" s="737" t="n"/>
      <c r="O1205" s="737" t="n"/>
      <c r="P1205" s="737" t="n"/>
      <c r="Q1205" s="737" t="n"/>
      <c r="R1205" s="737" t="n"/>
      <c r="S1205" s="737" t="n"/>
      <c r="T1205" s="737" t="n"/>
      <c r="U1205" s="737" t="n"/>
      <c r="V1205" s="737" t="n"/>
      <c r="W1205" s="737" t="n"/>
      <c r="X1205" s="737" t="n"/>
      <c r="Y1205" s="737" t="n"/>
      <c r="Z1205" s="737" t="n"/>
      <c r="AA1205" s="737" t="n"/>
      <c r="AB1205" s="737" t="n"/>
      <c r="AC1205" s="737" t="n"/>
      <c r="AD1205" s="737" t="n"/>
      <c r="AE1205" s="737" t="n"/>
      <c r="AF1205" s="737" t="n"/>
      <c r="AG1205" s="737" t="n"/>
      <c r="AH1205" s="737" t="n"/>
      <c r="AI1205" s="737" t="n"/>
      <c r="AJ1205" s="737" t="n"/>
      <c r="AK1205" s="737" t="n"/>
      <c r="AL1205" s="737" t="n"/>
      <c r="AM1205" s="737" t="n"/>
      <c r="AN1205" s="737" t="n"/>
      <c r="AO1205" s="737" t="n"/>
      <c r="AP1205" s="737" t="n"/>
      <c r="AQ1205" s="737" t="n"/>
      <c r="AR1205" s="737" t="n"/>
      <c r="AS1205" s="737" t="n"/>
      <c r="AT1205" s="737" t="n"/>
      <c r="AU1205" s="737" t="n"/>
      <c r="AV1205" s="737" t="n"/>
      <c r="AW1205" s="737" t="n"/>
      <c r="AX1205" s="737" t="n"/>
      <c r="AY1205" s="737" t="n"/>
      <c r="AZ1205" s="737" t="n"/>
      <c r="BA1205" s="737" t="n"/>
      <c r="BB1205" s="737" t="n"/>
      <c r="BC1205" s="737" t="n"/>
      <c r="BD1205" s="737" t="n"/>
      <c r="BE1205" s="737" t="n"/>
      <c r="BF1205" s="737" t="n"/>
      <c r="BG1205" s="737" t="n"/>
      <c r="BH1205" s="737" t="n"/>
      <c r="BI1205" s="737" t="n"/>
      <c r="BJ1205" s="737" t="n"/>
      <c r="BK1205" s="737" t="n"/>
      <c r="BL1205" s="737" t="n"/>
      <c r="BM1205" s="737" t="n"/>
      <c r="BN1205" s="737" t="n"/>
      <c r="BO1205" s="737" t="n"/>
      <c r="BP1205" s="737" t="n"/>
      <c r="BQ1205" s="737" t="n"/>
      <c r="BR1205" s="737" t="n"/>
      <c r="BS1205" s="737" t="n"/>
      <c r="BT1205" s="737" t="n"/>
      <c r="BU1205" s="737" t="n"/>
      <c r="BV1205" s="737" t="n"/>
      <c r="BW1205" s="737" t="n"/>
      <c r="BX1205" s="737" t="n"/>
      <c r="BY1205" s="737" t="n"/>
      <c r="BZ1205" s="737" t="n"/>
      <c r="CA1205" s="737" t="n"/>
      <c r="CB1205" s="737" t="n"/>
      <c r="CC1205" s="737" t="n"/>
      <c r="CD1205" s="737" t="n"/>
      <c r="CE1205" s="737" t="n"/>
      <c r="CF1205" s="737" t="n"/>
      <c r="CG1205" s="737" t="n"/>
      <c r="CH1205" s="737" t="n"/>
      <c r="CI1205" s="737" t="n"/>
      <c r="CJ1205" s="737" t="n"/>
      <c r="CK1205" s="737" t="n"/>
      <c r="CL1205" s="737" t="n"/>
      <c r="CM1205" s="737" t="n"/>
      <c r="CN1205" s="737" t="n"/>
      <c r="CO1205" s="737" t="n"/>
      <c r="CP1205" s="737" t="n"/>
      <c r="CQ1205" s="737" t="n"/>
      <c r="CR1205" s="737" t="n"/>
      <c r="CS1205" s="737" t="n"/>
      <c r="CT1205" s="737" t="n"/>
      <c r="CU1205" s="737" t="n"/>
      <c r="CV1205" s="737" t="n"/>
      <c r="CW1205" s="737" t="n"/>
      <c r="CX1205" s="737" t="n"/>
      <c r="CY1205" s="737" t="n"/>
    </row>
    <row r="1206">
      <c r="A1206" s="737" t="n"/>
      <c r="B1206" s="737" t="n"/>
      <c r="C1206" s="737" t="n"/>
      <c r="D1206" s="737" t="n"/>
      <c r="E1206" s="737" t="n"/>
      <c r="F1206" s="737" t="n"/>
      <c r="G1206" s="737" t="n"/>
      <c r="H1206" s="737" t="n"/>
      <c r="I1206" s="737" t="n"/>
      <c r="J1206" s="737" t="n"/>
      <c r="K1206" s="737" t="n"/>
      <c r="L1206" s="737" t="n"/>
      <c r="M1206" s="737" t="n"/>
      <c r="N1206" s="737" t="n"/>
      <c r="O1206" s="737" t="n"/>
      <c r="P1206" s="737" t="n"/>
      <c r="Q1206" s="737" t="n"/>
      <c r="R1206" s="737" t="n"/>
      <c r="S1206" s="737" t="n"/>
      <c r="T1206" s="737" t="n"/>
      <c r="U1206" s="737" t="n"/>
      <c r="V1206" s="737" t="n"/>
      <c r="W1206" s="737" t="n"/>
      <c r="X1206" s="737" t="n"/>
      <c r="Y1206" s="737" t="n"/>
      <c r="Z1206" s="737" t="n"/>
      <c r="AA1206" s="737" t="n"/>
      <c r="AB1206" s="737" t="n"/>
      <c r="AC1206" s="737" t="n"/>
      <c r="AD1206" s="737" t="n"/>
      <c r="AE1206" s="737" t="n"/>
      <c r="AF1206" s="737" t="n"/>
      <c r="AG1206" s="737" t="n"/>
      <c r="AH1206" s="737" t="n"/>
      <c r="AI1206" s="737" t="n"/>
      <c r="AJ1206" s="737" t="n"/>
      <c r="AK1206" s="737" t="n"/>
      <c r="AL1206" s="737" t="n"/>
      <c r="AM1206" s="737" t="n"/>
      <c r="AN1206" s="737" t="n"/>
      <c r="AO1206" s="737" t="n"/>
      <c r="AP1206" s="737" t="n"/>
      <c r="AQ1206" s="737" t="n"/>
      <c r="AR1206" s="737" t="n"/>
      <c r="AS1206" s="737" t="n"/>
      <c r="AT1206" s="737" t="n"/>
      <c r="AU1206" s="737" t="n"/>
      <c r="AV1206" s="737" t="n"/>
      <c r="AW1206" s="737" t="n"/>
      <c r="AX1206" s="737" t="n"/>
      <c r="AY1206" s="737" t="n"/>
      <c r="AZ1206" s="737" t="n"/>
      <c r="BA1206" s="737" t="n"/>
      <c r="BB1206" s="737" t="n"/>
      <c r="BC1206" s="737" t="n"/>
      <c r="BD1206" s="737" t="n"/>
      <c r="BE1206" s="737" t="n"/>
      <c r="BF1206" s="737" t="n"/>
      <c r="BG1206" s="737" t="n"/>
      <c r="BH1206" s="737" t="n"/>
      <c r="BI1206" s="737" t="n"/>
      <c r="BJ1206" s="737" t="n"/>
      <c r="BK1206" s="737" t="n"/>
      <c r="BL1206" s="737" t="n"/>
      <c r="BM1206" s="737" t="n"/>
      <c r="BN1206" s="737" t="n"/>
      <c r="BO1206" s="737" t="n"/>
      <c r="BP1206" s="737" t="n"/>
      <c r="BQ1206" s="737" t="n"/>
      <c r="BR1206" s="737" t="n"/>
      <c r="BS1206" s="737" t="n"/>
      <c r="BT1206" s="737" t="n"/>
      <c r="BU1206" s="737" t="n"/>
      <c r="BV1206" s="737" t="n"/>
      <c r="BW1206" s="737" t="n"/>
      <c r="BX1206" s="737" t="n"/>
      <c r="BY1206" s="737" t="n"/>
      <c r="BZ1206" s="737" t="n"/>
      <c r="CA1206" s="737" t="n"/>
      <c r="CB1206" s="737" t="n"/>
      <c r="CC1206" s="737" t="n"/>
      <c r="CD1206" s="737" t="n"/>
      <c r="CE1206" s="737" t="n"/>
      <c r="CF1206" s="737" t="n"/>
      <c r="CG1206" s="737" t="n"/>
      <c r="CH1206" s="737" t="n"/>
      <c r="CI1206" s="737" t="n"/>
      <c r="CJ1206" s="737" t="n"/>
      <c r="CK1206" s="737" t="n"/>
      <c r="CL1206" s="737" t="n"/>
      <c r="CM1206" s="737" t="n"/>
      <c r="CN1206" s="737" t="n"/>
      <c r="CO1206" s="737" t="n"/>
      <c r="CP1206" s="737" t="n"/>
      <c r="CQ1206" s="737" t="n"/>
      <c r="CR1206" s="737" t="n"/>
      <c r="CS1206" s="737" t="n"/>
      <c r="CT1206" s="737" t="n"/>
      <c r="CU1206" s="737" t="n"/>
      <c r="CV1206" s="737" t="n"/>
      <c r="CW1206" s="737" t="n"/>
      <c r="CX1206" s="737" t="n"/>
      <c r="CY1206" s="737" t="n"/>
    </row>
    <row r="1207">
      <c r="A1207" s="737" t="n"/>
      <c r="B1207" s="737" t="n"/>
      <c r="C1207" s="737" t="n"/>
      <c r="D1207" s="737" t="n"/>
      <c r="E1207" s="737" t="n"/>
      <c r="F1207" s="737" t="n"/>
      <c r="G1207" s="737" t="n"/>
      <c r="H1207" s="737" t="n"/>
      <c r="I1207" s="737" t="n"/>
      <c r="J1207" s="737" t="n"/>
      <c r="K1207" s="737" t="n"/>
      <c r="L1207" s="737" t="n"/>
      <c r="M1207" s="737" t="n"/>
      <c r="N1207" s="737" t="n"/>
      <c r="O1207" s="737" t="n"/>
      <c r="P1207" s="737" t="n"/>
      <c r="Q1207" s="737" t="n"/>
      <c r="R1207" s="737" t="n"/>
      <c r="S1207" s="737" t="n"/>
      <c r="T1207" s="737" t="n"/>
      <c r="U1207" s="737" t="n"/>
      <c r="V1207" s="737" t="n"/>
      <c r="W1207" s="737" t="n"/>
      <c r="X1207" s="737" t="n"/>
      <c r="Y1207" s="737" t="n"/>
      <c r="Z1207" s="737" t="n"/>
      <c r="AA1207" s="737" t="n"/>
      <c r="AB1207" s="737" t="n"/>
      <c r="AC1207" s="737" t="n"/>
      <c r="AD1207" s="737" t="n"/>
      <c r="AE1207" s="737" t="n"/>
      <c r="AF1207" s="737" t="n"/>
      <c r="AG1207" s="737" t="n"/>
      <c r="AH1207" s="737" t="n"/>
      <c r="AI1207" s="737" t="n"/>
      <c r="AJ1207" s="737" t="n"/>
      <c r="AK1207" s="737" t="n"/>
      <c r="AL1207" s="737" t="n"/>
      <c r="AM1207" s="737" t="n"/>
      <c r="AN1207" s="737" t="n"/>
      <c r="AO1207" s="737" t="n"/>
      <c r="AP1207" s="737" t="n"/>
      <c r="AQ1207" s="737" t="n"/>
      <c r="AR1207" s="737" t="n"/>
      <c r="AS1207" s="737" t="n"/>
      <c r="AT1207" s="737" t="n"/>
      <c r="AU1207" s="737" t="n"/>
      <c r="AV1207" s="737" t="n"/>
      <c r="AW1207" s="737" t="n"/>
      <c r="AX1207" s="737" t="n"/>
      <c r="AY1207" s="737" t="n"/>
      <c r="AZ1207" s="737" t="n"/>
      <c r="BA1207" s="737" t="n"/>
      <c r="BB1207" s="737" t="n"/>
      <c r="BC1207" s="737" t="n"/>
      <c r="BD1207" s="737" t="n"/>
      <c r="BE1207" s="737" t="n"/>
      <c r="BF1207" s="737" t="n"/>
      <c r="BG1207" s="737" t="n"/>
      <c r="BH1207" s="737" t="n"/>
      <c r="BI1207" s="737" t="n"/>
      <c r="BJ1207" s="737" t="n"/>
      <c r="BK1207" s="737" t="n"/>
      <c r="BL1207" s="737" t="n"/>
      <c r="BM1207" s="737" t="n"/>
      <c r="BN1207" s="737" t="n"/>
      <c r="BO1207" s="737" t="n"/>
      <c r="BP1207" s="737" t="n"/>
      <c r="BQ1207" s="737" t="n"/>
      <c r="BR1207" s="737" t="n"/>
      <c r="BS1207" s="737" t="n"/>
      <c r="BT1207" s="737" t="n"/>
      <c r="BU1207" s="737" t="n"/>
      <c r="BV1207" s="737" t="n"/>
      <c r="BW1207" s="737" t="n"/>
      <c r="BX1207" s="737" t="n"/>
      <c r="BY1207" s="737" t="n"/>
      <c r="BZ1207" s="737" t="n"/>
      <c r="CA1207" s="737" t="n"/>
      <c r="CB1207" s="737" t="n"/>
      <c r="CC1207" s="737" t="n"/>
      <c r="CD1207" s="737" t="n"/>
      <c r="CE1207" s="737" t="n"/>
      <c r="CF1207" s="737" t="n"/>
      <c r="CG1207" s="737" t="n"/>
      <c r="CH1207" s="737" t="n"/>
      <c r="CI1207" s="737" t="n"/>
      <c r="CJ1207" s="737" t="n"/>
      <c r="CK1207" s="737" t="n"/>
      <c r="CL1207" s="737" t="n"/>
      <c r="CM1207" s="737" t="n"/>
      <c r="CN1207" s="737" t="n"/>
      <c r="CO1207" s="737" t="n"/>
      <c r="CP1207" s="737" t="n"/>
      <c r="CQ1207" s="737" t="n"/>
      <c r="CR1207" s="737" t="n"/>
      <c r="CS1207" s="737" t="n"/>
      <c r="CT1207" s="737" t="n"/>
      <c r="CU1207" s="737" t="n"/>
      <c r="CV1207" s="737" t="n"/>
      <c r="CW1207" s="737" t="n"/>
      <c r="CX1207" s="737" t="n"/>
      <c r="CY1207" s="737" t="n"/>
    </row>
    <row r="1208">
      <c r="A1208" s="737" t="n"/>
      <c r="B1208" s="737" t="n"/>
      <c r="C1208" s="737" t="n"/>
      <c r="D1208" s="737" t="n"/>
      <c r="E1208" s="737" t="n"/>
      <c r="F1208" s="737" t="n"/>
      <c r="G1208" s="737" t="n"/>
      <c r="H1208" s="737" t="n"/>
      <c r="I1208" s="737" t="n"/>
      <c r="J1208" s="737" t="n"/>
      <c r="K1208" s="737" t="n"/>
      <c r="L1208" s="737" t="n"/>
      <c r="M1208" s="737" t="n"/>
      <c r="N1208" s="737" t="n"/>
      <c r="O1208" s="737" t="n"/>
      <c r="P1208" s="737" t="n"/>
      <c r="Q1208" s="737" t="n"/>
      <c r="R1208" s="737" t="n"/>
      <c r="S1208" s="737" t="n"/>
      <c r="T1208" s="737" t="n"/>
      <c r="U1208" s="737" t="n"/>
      <c r="V1208" s="737" t="n"/>
      <c r="W1208" s="737" t="n"/>
      <c r="X1208" s="737" t="n"/>
      <c r="Y1208" s="737" t="n"/>
      <c r="Z1208" s="737" t="n"/>
      <c r="AA1208" s="737" t="n"/>
      <c r="AB1208" s="737" t="n"/>
      <c r="AC1208" s="737" t="n"/>
      <c r="AD1208" s="737" t="n"/>
      <c r="AE1208" s="737" t="n"/>
      <c r="AF1208" s="737" t="n"/>
      <c r="AG1208" s="737" t="n"/>
      <c r="AH1208" s="737" t="n"/>
      <c r="AI1208" s="737" t="n"/>
      <c r="AJ1208" s="737" t="n"/>
      <c r="AK1208" s="737" t="n"/>
      <c r="AL1208" s="737" t="n"/>
      <c r="AM1208" s="737" t="n"/>
      <c r="AN1208" s="737" t="n"/>
      <c r="AO1208" s="737" t="n"/>
      <c r="AP1208" s="737" t="n"/>
      <c r="AQ1208" s="737" t="n"/>
      <c r="AR1208" s="737" t="n"/>
      <c r="AS1208" s="737" t="n"/>
      <c r="AT1208" s="737" t="n"/>
      <c r="AU1208" s="737" t="n"/>
      <c r="AV1208" s="737" t="n"/>
      <c r="AW1208" s="737" t="n"/>
      <c r="AX1208" s="737" t="n"/>
      <c r="AY1208" s="737" t="n"/>
      <c r="AZ1208" s="737" t="n"/>
      <c r="BA1208" s="737" t="n"/>
      <c r="BB1208" s="737" t="n"/>
      <c r="BC1208" s="737" t="n"/>
      <c r="BD1208" s="737" t="n"/>
      <c r="BE1208" s="737" t="n"/>
      <c r="BF1208" s="737" t="n"/>
      <c r="BG1208" s="737" t="n"/>
      <c r="BH1208" s="737" t="n"/>
      <c r="BI1208" s="737" t="n"/>
      <c r="BJ1208" s="737" t="n"/>
      <c r="BK1208" s="737" t="n"/>
      <c r="BL1208" s="737" t="n"/>
      <c r="BM1208" s="737" t="n"/>
      <c r="BN1208" s="737" t="n"/>
      <c r="BO1208" s="737" t="n"/>
      <c r="BP1208" s="737" t="n"/>
      <c r="BQ1208" s="737" t="n"/>
      <c r="BR1208" s="737" t="n"/>
      <c r="BS1208" s="737" t="n"/>
      <c r="BT1208" s="737" t="n"/>
      <c r="BU1208" s="737" t="n"/>
      <c r="BV1208" s="737" t="n"/>
      <c r="BW1208" s="737" t="n"/>
      <c r="BX1208" s="737" t="n"/>
      <c r="BY1208" s="737" t="n"/>
      <c r="BZ1208" s="737" t="n"/>
      <c r="CA1208" s="737" t="n"/>
      <c r="CB1208" s="737" t="n"/>
      <c r="CC1208" s="737" t="n"/>
      <c r="CD1208" s="737" t="n"/>
      <c r="CE1208" s="737" t="n"/>
      <c r="CF1208" s="737" t="n"/>
      <c r="CG1208" s="737" t="n"/>
      <c r="CH1208" s="737" t="n"/>
      <c r="CI1208" s="737" t="n"/>
      <c r="CJ1208" s="737" t="n"/>
      <c r="CK1208" s="737" t="n"/>
      <c r="CL1208" s="737" t="n"/>
      <c r="CM1208" s="737" t="n"/>
      <c r="CN1208" s="737" t="n"/>
      <c r="CO1208" s="737" t="n"/>
      <c r="CP1208" s="737" t="n"/>
      <c r="CQ1208" s="737" t="n"/>
      <c r="CR1208" s="737" t="n"/>
      <c r="CS1208" s="737" t="n"/>
      <c r="CT1208" s="737" t="n"/>
      <c r="CU1208" s="737" t="n"/>
      <c r="CV1208" s="737" t="n"/>
      <c r="CW1208" s="737" t="n"/>
      <c r="CX1208" s="737" t="n"/>
      <c r="CY1208" s="737" t="n"/>
    </row>
    <row r="1209">
      <c r="A1209" s="737" t="n"/>
      <c r="B1209" s="737" t="n"/>
      <c r="C1209" s="737" t="n"/>
      <c r="D1209" s="737" t="n"/>
      <c r="E1209" s="737" t="n"/>
      <c r="F1209" s="737" t="n"/>
      <c r="G1209" s="737" t="n"/>
      <c r="H1209" s="737" t="n"/>
      <c r="I1209" s="737" t="n"/>
      <c r="J1209" s="737" t="n"/>
      <c r="K1209" s="737" t="n"/>
      <c r="L1209" s="737" t="n"/>
      <c r="M1209" s="737" t="n"/>
      <c r="N1209" s="737" t="n"/>
      <c r="O1209" s="737" t="n"/>
      <c r="P1209" s="737" t="n"/>
      <c r="Q1209" s="737" t="n"/>
      <c r="R1209" s="737" t="n"/>
      <c r="S1209" s="737" t="n"/>
      <c r="T1209" s="737" t="n"/>
      <c r="U1209" s="737" t="n"/>
      <c r="V1209" s="737" t="n"/>
      <c r="W1209" s="737" t="n"/>
      <c r="X1209" s="737" t="n"/>
      <c r="Y1209" s="737" t="n"/>
      <c r="Z1209" s="737" t="n"/>
      <c r="AA1209" s="737" t="n"/>
      <c r="AB1209" s="737" t="n"/>
      <c r="AC1209" s="737" t="n"/>
      <c r="AD1209" s="737" t="n"/>
      <c r="AE1209" s="737" t="n"/>
      <c r="AF1209" s="737" t="n"/>
      <c r="AG1209" s="737" t="n"/>
      <c r="AH1209" s="737" t="n"/>
      <c r="AI1209" s="737" t="n"/>
      <c r="AJ1209" s="737" t="n"/>
      <c r="AK1209" s="737" t="n"/>
      <c r="AL1209" s="737" t="n"/>
      <c r="AM1209" s="737" t="n"/>
      <c r="AN1209" s="737" t="n"/>
      <c r="AO1209" s="737" t="n"/>
      <c r="AP1209" s="737" t="n"/>
      <c r="AQ1209" s="737" t="n"/>
      <c r="AR1209" s="737" t="n"/>
      <c r="AS1209" s="737" t="n"/>
      <c r="AT1209" s="737" t="n"/>
      <c r="AU1209" s="737" t="n"/>
      <c r="AV1209" s="737" t="n"/>
      <c r="AW1209" s="737" t="n"/>
      <c r="AX1209" s="737" t="n"/>
      <c r="AY1209" s="737" t="n"/>
      <c r="AZ1209" s="737" t="n"/>
      <c r="BA1209" s="737" t="n"/>
      <c r="BB1209" s="737" t="n"/>
      <c r="BC1209" s="737" t="n"/>
      <c r="BD1209" s="737" t="n"/>
      <c r="BE1209" s="737" t="n"/>
      <c r="BF1209" s="737" t="n"/>
      <c r="BG1209" s="737" t="n"/>
      <c r="BH1209" s="737" t="n"/>
      <c r="BI1209" s="737" t="n"/>
      <c r="BJ1209" s="737" t="n"/>
      <c r="BK1209" s="737" t="n"/>
      <c r="BL1209" s="737" t="n"/>
      <c r="BM1209" s="737" t="n"/>
      <c r="BN1209" s="737" t="n"/>
      <c r="BO1209" s="737" t="n"/>
      <c r="BP1209" s="737" t="n"/>
      <c r="BQ1209" s="737" t="n"/>
      <c r="BR1209" s="737" t="n"/>
      <c r="BS1209" s="737" t="n"/>
      <c r="BT1209" s="737" t="n"/>
      <c r="BU1209" s="737" t="n"/>
      <c r="BV1209" s="737" t="n"/>
      <c r="BW1209" s="737" t="n"/>
      <c r="BX1209" s="737" t="n"/>
      <c r="BY1209" s="737" t="n"/>
      <c r="BZ1209" s="737" t="n"/>
      <c r="CA1209" s="737" t="n"/>
      <c r="CB1209" s="737" t="n"/>
      <c r="CC1209" s="737" t="n"/>
      <c r="CD1209" s="737" t="n"/>
      <c r="CE1209" s="737" t="n"/>
      <c r="CF1209" s="737" t="n"/>
      <c r="CG1209" s="737" t="n"/>
      <c r="CH1209" s="737" t="n"/>
      <c r="CI1209" s="737" t="n"/>
      <c r="CJ1209" s="737" t="n"/>
      <c r="CK1209" s="737" t="n"/>
      <c r="CL1209" s="737" t="n"/>
      <c r="CM1209" s="737" t="n"/>
      <c r="CN1209" s="737" t="n"/>
      <c r="CO1209" s="737" t="n"/>
      <c r="CP1209" s="737" t="n"/>
      <c r="CQ1209" s="737" t="n"/>
      <c r="CR1209" s="737" t="n"/>
      <c r="CS1209" s="737" t="n"/>
      <c r="CT1209" s="737" t="n"/>
      <c r="CU1209" s="737" t="n"/>
      <c r="CV1209" s="737" t="n"/>
      <c r="CW1209" s="737" t="n"/>
      <c r="CX1209" s="737" t="n"/>
      <c r="CY1209" s="737" t="n"/>
    </row>
    <row r="1210">
      <c r="A1210" s="737" t="n"/>
      <c r="B1210" s="737" t="n"/>
      <c r="C1210" s="737" t="n"/>
      <c r="D1210" s="737" t="n"/>
      <c r="E1210" s="737" t="n"/>
      <c r="F1210" s="737" t="n"/>
      <c r="G1210" s="737" t="n"/>
      <c r="H1210" s="737" t="n"/>
      <c r="I1210" s="737" t="n"/>
      <c r="J1210" s="737" t="n"/>
      <c r="K1210" s="737" t="n"/>
      <c r="L1210" s="737" t="n"/>
      <c r="M1210" s="737" t="n"/>
      <c r="N1210" s="737" t="n"/>
      <c r="O1210" s="737" t="n"/>
      <c r="P1210" s="737" t="n"/>
      <c r="Q1210" s="737" t="n"/>
      <c r="R1210" s="737" t="n"/>
      <c r="S1210" s="737" t="n"/>
      <c r="T1210" s="737" t="n"/>
      <c r="U1210" s="737" t="n"/>
      <c r="V1210" s="737" t="n"/>
      <c r="W1210" s="737" t="n"/>
      <c r="X1210" s="737" t="n"/>
      <c r="Y1210" s="737" t="n"/>
      <c r="Z1210" s="737" t="n"/>
      <c r="AA1210" s="737" t="n"/>
      <c r="AB1210" s="737" t="n"/>
      <c r="AC1210" s="737" t="n"/>
      <c r="AD1210" s="737" t="n"/>
      <c r="AE1210" s="737" t="n"/>
      <c r="AF1210" s="737" t="n"/>
      <c r="AG1210" s="737" t="n"/>
      <c r="AH1210" s="737" t="n"/>
      <c r="AI1210" s="737" t="n"/>
      <c r="AJ1210" s="737" t="n"/>
      <c r="AK1210" s="737" t="n"/>
      <c r="AL1210" s="737" t="n"/>
      <c r="AM1210" s="737" t="n"/>
      <c r="AN1210" s="737" t="n"/>
      <c r="AO1210" s="737" t="n"/>
      <c r="AP1210" s="737" t="n"/>
      <c r="AQ1210" s="737" t="n"/>
      <c r="AR1210" s="737" t="n"/>
      <c r="AS1210" s="737" t="n"/>
      <c r="AT1210" s="737" t="n"/>
      <c r="AU1210" s="737" t="n"/>
      <c r="AV1210" s="737" t="n"/>
      <c r="AW1210" s="737" t="n"/>
      <c r="AX1210" s="737" t="n"/>
      <c r="AY1210" s="737" t="n"/>
      <c r="AZ1210" s="737" t="n"/>
      <c r="BA1210" s="737" t="n"/>
      <c r="BB1210" s="737" t="n"/>
      <c r="BC1210" s="737" t="n"/>
      <c r="BD1210" s="737" t="n"/>
      <c r="BE1210" s="737" t="n"/>
      <c r="BF1210" s="737" t="n"/>
      <c r="BG1210" s="737" t="n"/>
      <c r="BH1210" s="737" t="n"/>
      <c r="BI1210" s="737" t="n"/>
      <c r="BJ1210" s="737" t="n"/>
      <c r="BK1210" s="737" t="n"/>
      <c r="BL1210" s="737" t="n"/>
      <c r="BM1210" s="737" t="n"/>
      <c r="BN1210" s="737" t="n"/>
      <c r="BO1210" s="737" t="n"/>
      <c r="BP1210" s="737" t="n"/>
      <c r="BQ1210" s="737" t="n"/>
      <c r="BR1210" s="737" t="n"/>
      <c r="BS1210" s="737" t="n"/>
      <c r="BT1210" s="737" t="n"/>
      <c r="BU1210" s="737" t="n"/>
      <c r="BV1210" s="737" t="n"/>
      <c r="BW1210" s="737" t="n"/>
      <c r="BX1210" s="737" t="n"/>
      <c r="BY1210" s="737" t="n"/>
      <c r="BZ1210" s="737" t="n"/>
      <c r="CA1210" s="737" t="n"/>
      <c r="CB1210" s="737" t="n"/>
      <c r="CC1210" s="737" t="n"/>
      <c r="CD1210" s="737" t="n"/>
      <c r="CE1210" s="737" t="n"/>
      <c r="CF1210" s="737" t="n"/>
      <c r="CG1210" s="737" t="n"/>
      <c r="CH1210" s="737" t="n"/>
      <c r="CI1210" s="737" t="n"/>
      <c r="CJ1210" s="737" t="n"/>
      <c r="CK1210" s="737" t="n"/>
      <c r="CL1210" s="737" t="n"/>
      <c r="CM1210" s="737" t="n"/>
      <c r="CN1210" s="737" t="n"/>
      <c r="CO1210" s="737" t="n"/>
      <c r="CP1210" s="737" t="n"/>
      <c r="CQ1210" s="737" t="n"/>
      <c r="CR1210" s="737" t="n"/>
      <c r="CS1210" s="737" t="n"/>
      <c r="CT1210" s="737" t="n"/>
      <c r="CU1210" s="737" t="n"/>
      <c r="CV1210" s="737" t="n"/>
      <c r="CW1210" s="737" t="n"/>
      <c r="CX1210" s="737" t="n"/>
      <c r="CY1210" s="737" t="n"/>
    </row>
    <row r="1211">
      <c r="A1211" s="737" t="n"/>
      <c r="B1211" s="737" t="n"/>
      <c r="C1211" s="737" t="n"/>
      <c r="D1211" s="737" t="n"/>
      <c r="E1211" s="737" t="n"/>
      <c r="F1211" s="737" t="n"/>
      <c r="G1211" s="737" t="n"/>
      <c r="H1211" s="737" t="n"/>
      <c r="I1211" s="737" t="n"/>
      <c r="J1211" s="737" t="n"/>
      <c r="K1211" s="737" t="n"/>
      <c r="L1211" s="737" t="n"/>
      <c r="M1211" s="737" t="n"/>
      <c r="N1211" s="737" t="n"/>
      <c r="O1211" s="737" t="n"/>
      <c r="P1211" s="737" t="n"/>
      <c r="Q1211" s="737" t="n"/>
      <c r="R1211" s="737" t="n"/>
      <c r="S1211" s="737" t="n"/>
      <c r="T1211" s="737" t="n"/>
      <c r="U1211" s="737" t="n"/>
      <c r="V1211" s="737" t="n"/>
      <c r="W1211" s="737" t="n"/>
      <c r="X1211" s="737" t="n"/>
      <c r="Y1211" s="737" t="n"/>
      <c r="Z1211" s="737" t="n"/>
      <c r="AA1211" s="737" t="n"/>
      <c r="AB1211" s="737" t="n"/>
      <c r="AC1211" s="737" t="n"/>
      <c r="AD1211" s="737" t="n"/>
      <c r="AE1211" s="737" t="n"/>
      <c r="AF1211" s="737" t="n"/>
      <c r="AG1211" s="737" t="n"/>
      <c r="AH1211" s="737" t="n"/>
      <c r="AI1211" s="737" t="n"/>
      <c r="AJ1211" s="737" t="n"/>
      <c r="AK1211" s="737" t="n"/>
      <c r="AL1211" s="737" t="n"/>
      <c r="AM1211" s="737" t="n"/>
      <c r="AN1211" s="737" t="n"/>
      <c r="AO1211" s="737" t="n"/>
      <c r="AP1211" s="737" t="n"/>
      <c r="AQ1211" s="737" t="n"/>
      <c r="AR1211" s="737" t="n"/>
      <c r="AS1211" s="737" t="n"/>
      <c r="AT1211" s="737" t="n"/>
      <c r="AU1211" s="737" t="n"/>
      <c r="AV1211" s="737" t="n"/>
      <c r="AW1211" s="737" t="n"/>
      <c r="AX1211" s="737" t="n"/>
      <c r="AY1211" s="737" t="n"/>
      <c r="AZ1211" s="737" t="n"/>
      <c r="BA1211" s="737" t="n"/>
      <c r="BB1211" s="737" t="n"/>
      <c r="BC1211" s="737" t="n"/>
      <c r="BD1211" s="737" t="n"/>
      <c r="BE1211" s="737" t="n"/>
      <c r="BF1211" s="737" t="n"/>
      <c r="BG1211" s="737" t="n"/>
      <c r="BH1211" s="737" t="n"/>
      <c r="BI1211" s="737" t="n"/>
      <c r="BJ1211" s="737" t="n"/>
      <c r="BK1211" s="737" t="n"/>
      <c r="BL1211" s="737" t="n"/>
      <c r="BM1211" s="737" t="n"/>
      <c r="BN1211" s="737" t="n"/>
      <c r="BO1211" s="737" t="n"/>
      <c r="BP1211" s="737" t="n"/>
      <c r="BQ1211" s="737" t="n"/>
      <c r="BR1211" s="737" t="n"/>
      <c r="BS1211" s="737" t="n"/>
      <c r="BT1211" s="737" t="n"/>
      <c r="BU1211" s="737" t="n"/>
      <c r="BV1211" s="737" t="n"/>
      <c r="BW1211" s="737" t="n"/>
      <c r="BX1211" s="737" t="n"/>
      <c r="BY1211" s="737" t="n"/>
      <c r="BZ1211" s="737" t="n"/>
      <c r="CA1211" s="737" t="n"/>
      <c r="CB1211" s="737" t="n"/>
      <c r="CC1211" s="737" t="n"/>
      <c r="CD1211" s="737" t="n"/>
      <c r="CE1211" s="737" t="n"/>
      <c r="CF1211" s="737" t="n"/>
      <c r="CG1211" s="737" t="n"/>
      <c r="CH1211" s="737" t="n"/>
      <c r="CI1211" s="737" t="n"/>
      <c r="CJ1211" s="737" t="n"/>
      <c r="CK1211" s="737" t="n"/>
      <c r="CL1211" s="737" t="n"/>
      <c r="CM1211" s="737" t="n"/>
      <c r="CN1211" s="737" t="n"/>
      <c r="CO1211" s="737" t="n"/>
      <c r="CP1211" s="737" t="n"/>
      <c r="CQ1211" s="737" t="n"/>
      <c r="CR1211" s="737" t="n"/>
      <c r="CS1211" s="737" t="n"/>
      <c r="CT1211" s="737" t="n"/>
      <c r="CU1211" s="737" t="n"/>
      <c r="CV1211" s="737" t="n"/>
      <c r="CW1211" s="737" t="n"/>
      <c r="CX1211" s="737" t="n"/>
      <c r="CY1211" s="737" t="n"/>
    </row>
    <row r="1212">
      <c r="A1212" s="737" t="n"/>
      <c r="B1212" s="737" t="n"/>
      <c r="C1212" s="737" t="n"/>
      <c r="D1212" s="737" t="n"/>
      <c r="E1212" s="737" t="n"/>
      <c r="F1212" s="737" t="n"/>
      <c r="G1212" s="737" t="n"/>
      <c r="H1212" s="737" t="n"/>
      <c r="I1212" s="737" t="n"/>
      <c r="J1212" s="737" t="n"/>
      <c r="K1212" s="737" t="n"/>
      <c r="L1212" s="737" t="n"/>
      <c r="M1212" s="737" t="n"/>
      <c r="N1212" s="737" t="n"/>
      <c r="O1212" s="737" t="n"/>
      <c r="P1212" s="737" t="n"/>
      <c r="Q1212" s="737" t="n"/>
      <c r="R1212" s="737" t="n"/>
      <c r="S1212" s="737" t="n"/>
      <c r="T1212" s="737" t="n"/>
      <c r="U1212" s="737" t="n"/>
      <c r="V1212" s="737" t="n"/>
      <c r="W1212" s="737" t="n"/>
      <c r="X1212" s="737" t="n"/>
      <c r="Y1212" s="737" t="n"/>
      <c r="Z1212" s="737" t="n"/>
      <c r="AA1212" s="737" t="n"/>
      <c r="AB1212" s="737" t="n"/>
      <c r="AC1212" s="737" t="n"/>
      <c r="AD1212" s="737" t="n"/>
      <c r="AE1212" s="737" t="n"/>
      <c r="AF1212" s="737" t="n"/>
      <c r="AG1212" s="737" t="n"/>
      <c r="AH1212" s="737" t="n"/>
      <c r="AI1212" s="737" t="n"/>
      <c r="AJ1212" s="737" t="n"/>
      <c r="AK1212" s="737" t="n"/>
      <c r="AL1212" s="737" t="n"/>
      <c r="AM1212" s="737" t="n"/>
      <c r="AN1212" s="737" t="n"/>
      <c r="AO1212" s="737" t="n"/>
      <c r="AP1212" s="737" t="n"/>
      <c r="AQ1212" s="737" t="n"/>
      <c r="AR1212" s="737" t="n"/>
      <c r="AS1212" s="737" t="n"/>
      <c r="AT1212" s="737" t="n"/>
      <c r="AU1212" s="737" t="n"/>
      <c r="AV1212" s="737" t="n"/>
      <c r="AW1212" s="737" t="n"/>
      <c r="AX1212" s="737" t="n"/>
      <c r="AY1212" s="737" t="n"/>
      <c r="AZ1212" s="737" t="n"/>
      <c r="BA1212" s="737" t="n"/>
      <c r="BB1212" s="737" t="n"/>
      <c r="BC1212" s="737" t="n"/>
      <c r="BD1212" s="737" t="n"/>
      <c r="BE1212" s="737" t="n"/>
      <c r="BF1212" s="737" t="n"/>
      <c r="BG1212" s="737" t="n"/>
      <c r="BH1212" s="737" t="n"/>
      <c r="BI1212" s="737" t="n"/>
      <c r="BJ1212" s="737" t="n"/>
      <c r="BK1212" s="737" t="n"/>
      <c r="BL1212" s="737" t="n"/>
      <c r="BM1212" s="737" t="n"/>
      <c r="BN1212" s="737" t="n"/>
      <c r="BO1212" s="737" t="n"/>
      <c r="BP1212" s="737" t="n"/>
      <c r="BQ1212" s="737" t="n"/>
      <c r="BR1212" s="737" t="n"/>
      <c r="BS1212" s="737" t="n"/>
      <c r="BT1212" s="737" t="n"/>
      <c r="BU1212" s="737" t="n"/>
      <c r="BV1212" s="737" t="n"/>
      <c r="BW1212" s="737" t="n"/>
      <c r="BX1212" s="737" t="n"/>
      <c r="BY1212" s="737" t="n"/>
      <c r="BZ1212" s="737" t="n"/>
      <c r="CA1212" s="737" t="n"/>
      <c r="CB1212" s="737" t="n"/>
      <c r="CC1212" s="737" t="n"/>
      <c r="CD1212" s="737" t="n"/>
      <c r="CE1212" s="737" t="n"/>
      <c r="CF1212" s="737" t="n"/>
      <c r="CG1212" s="737" t="n"/>
      <c r="CH1212" s="737" t="n"/>
      <c r="CI1212" s="737" t="n"/>
      <c r="CJ1212" s="737" t="n"/>
      <c r="CK1212" s="737" t="n"/>
      <c r="CL1212" s="737" t="n"/>
      <c r="CM1212" s="737" t="n"/>
      <c r="CN1212" s="737" t="n"/>
      <c r="CO1212" s="737" t="n"/>
      <c r="CP1212" s="737" t="n"/>
      <c r="CQ1212" s="737" t="n"/>
      <c r="CR1212" s="737" t="n"/>
      <c r="CS1212" s="737" t="n"/>
      <c r="CT1212" s="737" t="n"/>
      <c r="CU1212" s="737" t="n"/>
      <c r="CV1212" s="737" t="n"/>
      <c r="CW1212" s="737" t="n"/>
      <c r="CX1212" s="737" t="n"/>
      <c r="CY1212" s="737" t="n"/>
    </row>
    <row r="1213">
      <c r="A1213" s="737" t="n"/>
      <c r="B1213" s="737" t="n"/>
      <c r="C1213" s="737" t="n"/>
      <c r="D1213" s="737" t="n"/>
      <c r="E1213" s="737" t="n"/>
      <c r="F1213" s="737" t="n"/>
      <c r="G1213" s="737" t="n"/>
      <c r="H1213" s="737" t="n"/>
      <c r="I1213" s="737" t="n"/>
      <c r="J1213" s="737" t="n"/>
      <c r="K1213" s="737" t="n"/>
      <c r="L1213" s="737" t="n"/>
      <c r="M1213" s="737" t="n"/>
      <c r="N1213" s="737" t="n"/>
      <c r="O1213" s="737" t="n"/>
      <c r="P1213" s="737" t="n"/>
      <c r="Q1213" s="737" t="n"/>
      <c r="R1213" s="737" t="n"/>
      <c r="S1213" s="737" t="n"/>
      <c r="T1213" s="737" t="n"/>
      <c r="U1213" s="737" t="n"/>
      <c r="V1213" s="737" t="n"/>
      <c r="W1213" s="737" t="n"/>
      <c r="X1213" s="737" t="n"/>
      <c r="Y1213" s="737" t="n"/>
      <c r="Z1213" s="737" t="n"/>
      <c r="AA1213" s="737" t="n"/>
      <c r="AB1213" s="737" t="n"/>
      <c r="AC1213" s="737" t="n"/>
      <c r="AD1213" s="737" t="n"/>
      <c r="AE1213" s="737" t="n"/>
      <c r="AF1213" s="737" t="n"/>
      <c r="AG1213" s="737" t="n"/>
      <c r="AH1213" s="737" t="n"/>
      <c r="AI1213" s="737" t="n"/>
      <c r="AJ1213" s="737" t="n"/>
      <c r="AK1213" s="737" t="n"/>
      <c r="AL1213" s="737" t="n"/>
      <c r="AM1213" s="737" t="n"/>
      <c r="AN1213" s="737" t="n"/>
      <c r="AO1213" s="737" t="n"/>
      <c r="AP1213" s="737" t="n"/>
      <c r="AQ1213" s="737" t="n"/>
      <c r="AR1213" s="737" t="n"/>
      <c r="AS1213" s="737" t="n"/>
      <c r="AT1213" s="737" t="n"/>
      <c r="AU1213" s="737" t="n"/>
      <c r="AV1213" s="737" t="n"/>
      <c r="AW1213" s="737" t="n"/>
      <c r="AX1213" s="737" t="n"/>
      <c r="AY1213" s="737" t="n"/>
      <c r="AZ1213" s="737" t="n"/>
      <c r="BA1213" s="737" t="n"/>
      <c r="BB1213" s="737" t="n"/>
      <c r="BC1213" s="737" t="n"/>
      <c r="BD1213" s="737" t="n"/>
      <c r="BE1213" s="737" t="n"/>
      <c r="BF1213" s="737" t="n"/>
      <c r="BG1213" s="737" t="n"/>
      <c r="BH1213" s="737" t="n"/>
      <c r="BI1213" s="737" t="n"/>
      <c r="BJ1213" s="737" t="n"/>
      <c r="BK1213" s="737" t="n"/>
      <c r="BL1213" s="737" t="n"/>
      <c r="BM1213" s="737" t="n"/>
      <c r="BN1213" s="737" t="n"/>
      <c r="BO1213" s="737" t="n"/>
      <c r="BP1213" s="737" t="n"/>
      <c r="BQ1213" s="737" t="n"/>
      <c r="BR1213" s="737" t="n"/>
      <c r="BS1213" s="737" t="n"/>
      <c r="BT1213" s="737" t="n"/>
      <c r="BU1213" s="737" t="n"/>
      <c r="BV1213" s="737" t="n"/>
      <c r="BW1213" s="737" t="n"/>
      <c r="BX1213" s="737" t="n"/>
      <c r="BY1213" s="737" t="n"/>
      <c r="BZ1213" s="737" t="n"/>
      <c r="CA1213" s="737" t="n"/>
      <c r="CB1213" s="737" t="n"/>
      <c r="CC1213" s="737" t="n"/>
      <c r="CD1213" s="737" t="n"/>
      <c r="CE1213" s="737" t="n"/>
      <c r="CF1213" s="737" t="n"/>
      <c r="CG1213" s="737" t="n"/>
      <c r="CH1213" s="737" t="n"/>
      <c r="CI1213" s="737" t="n"/>
      <c r="CJ1213" s="737" t="n"/>
      <c r="CK1213" s="737" t="n"/>
      <c r="CL1213" s="737" t="n"/>
      <c r="CM1213" s="737" t="n"/>
      <c r="CN1213" s="737" t="n"/>
      <c r="CO1213" s="737" t="n"/>
      <c r="CP1213" s="737" t="n"/>
      <c r="CQ1213" s="737" t="n"/>
      <c r="CR1213" s="737" t="n"/>
      <c r="CS1213" s="737" t="n"/>
      <c r="CT1213" s="737" t="n"/>
      <c r="CU1213" s="737" t="n"/>
      <c r="CV1213" s="737" t="n"/>
      <c r="CW1213" s="737" t="n"/>
      <c r="CX1213" s="737" t="n"/>
      <c r="CY1213" s="737" t="n"/>
    </row>
    <row r="1214">
      <c r="A1214" s="737" t="n"/>
      <c r="B1214" s="737" t="n"/>
      <c r="C1214" s="737" t="n"/>
      <c r="D1214" s="737" t="n"/>
      <c r="E1214" s="737" t="n"/>
      <c r="F1214" s="737" t="n"/>
      <c r="G1214" s="737" t="n"/>
      <c r="H1214" s="737" t="n"/>
      <c r="I1214" s="737" t="n"/>
      <c r="J1214" s="737" t="n"/>
      <c r="K1214" s="737" t="n"/>
      <c r="L1214" s="737" t="n"/>
      <c r="M1214" s="737" t="n"/>
      <c r="N1214" s="737" t="n"/>
      <c r="O1214" s="737" t="n"/>
      <c r="P1214" s="737" t="n"/>
      <c r="Q1214" s="737" t="n"/>
      <c r="R1214" s="737" t="n"/>
      <c r="S1214" s="737" t="n"/>
      <c r="T1214" s="737" t="n"/>
      <c r="U1214" s="737" t="n"/>
      <c r="V1214" s="737" t="n"/>
      <c r="W1214" s="737" t="n"/>
      <c r="X1214" s="737" t="n"/>
      <c r="Y1214" s="737" t="n"/>
      <c r="Z1214" s="737" t="n"/>
      <c r="AA1214" s="737" t="n"/>
      <c r="AB1214" s="737" t="n"/>
      <c r="AC1214" s="737" t="n"/>
      <c r="AD1214" s="737" t="n"/>
      <c r="AE1214" s="737" t="n"/>
      <c r="AF1214" s="737" t="n"/>
      <c r="AG1214" s="737" t="n"/>
      <c r="AH1214" s="737" t="n"/>
      <c r="AI1214" s="737" t="n"/>
      <c r="AJ1214" s="737" t="n"/>
      <c r="AK1214" s="737" t="n"/>
      <c r="AL1214" s="737" t="n"/>
      <c r="AM1214" s="737" t="n"/>
      <c r="AN1214" s="737" t="n"/>
      <c r="AO1214" s="737" t="n"/>
      <c r="AP1214" s="737" t="n"/>
      <c r="AQ1214" s="737" t="n"/>
      <c r="AR1214" s="737" t="n"/>
      <c r="AS1214" s="737" t="n"/>
      <c r="AT1214" s="737" t="n"/>
      <c r="AU1214" s="737" t="n"/>
      <c r="AV1214" s="737" t="n"/>
      <c r="AW1214" s="737" t="n"/>
      <c r="AX1214" s="737" t="n"/>
      <c r="AY1214" s="737" t="n"/>
      <c r="AZ1214" s="737" t="n"/>
      <c r="BA1214" s="737" t="n"/>
      <c r="BB1214" s="737" t="n"/>
      <c r="BC1214" s="737" t="n"/>
      <c r="BD1214" s="737" t="n"/>
      <c r="BE1214" s="737" t="n"/>
      <c r="BF1214" s="737" t="n"/>
      <c r="BG1214" s="737" t="n"/>
      <c r="BH1214" s="737" t="n"/>
      <c r="BI1214" s="737" t="n"/>
      <c r="BJ1214" s="737" t="n"/>
      <c r="BK1214" s="737" t="n"/>
      <c r="BL1214" s="737" t="n"/>
      <c r="BM1214" s="737" t="n"/>
      <c r="BN1214" s="737" t="n"/>
      <c r="BO1214" s="737" t="n"/>
      <c r="BP1214" s="737" t="n"/>
      <c r="BQ1214" s="737" t="n"/>
      <c r="BR1214" s="737" t="n"/>
      <c r="BS1214" s="737" t="n"/>
      <c r="BT1214" s="737" t="n"/>
      <c r="BU1214" s="737" t="n"/>
      <c r="BV1214" s="737" t="n"/>
      <c r="BW1214" s="737" t="n"/>
      <c r="BX1214" s="737" t="n"/>
      <c r="BY1214" s="737" t="n"/>
      <c r="BZ1214" s="737" t="n"/>
      <c r="CA1214" s="737" t="n"/>
      <c r="CB1214" s="737" t="n"/>
      <c r="CC1214" s="737" t="n"/>
      <c r="CD1214" s="737" t="n"/>
      <c r="CE1214" s="737" t="n"/>
      <c r="CF1214" s="737" t="n"/>
      <c r="CG1214" s="737" t="n"/>
      <c r="CH1214" s="737" t="n"/>
      <c r="CI1214" s="737" t="n"/>
      <c r="CJ1214" s="737" t="n"/>
      <c r="CK1214" s="737" t="n"/>
      <c r="CL1214" s="737" t="n"/>
      <c r="CM1214" s="737" t="n"/>
      <c r="CN1214" s="737" t="n"/>
      <c r="CO1214" s="737" t="n"/>
      <c r="CP1214" s="737" t="n"/>
      <c r="CQ1214" s="737" t="n"/>
      <c r="CR1214" s="737" t="n"/>
      <c r="CS1214" s="737" t="n"/>
      <c r="CT1214" s="737" t="n"/>
      <c r="CU1214" s="737" t="n"/>
      <c r="CV1214" s="737" t="n"/>
      <c r="CW1214" s="737" t="n"/>
      <c r="CX1214" s="737" t="n"/>
      <c r="CY1214" s="737" t="n"/>
    </row>
    <row r="1215">
      <c r="A1215" s="737" t="n"/>
      <c r="B1215" s="737" t="n"/>
      <c r="C1215" s="737" t="n"/>
      <c r="D1215" s="737" t="n"/>
      <c r="E1215" s="737" t="n"/>
      <c r="F1215" s="737" t="n"/>
      <c r="G1215" s="737" t="n"/>
      <c r="H1215" s="737" t="n"/>
      <c r="I1215" s="737" t="n"/>
      <c r="J1215" s="737" t="n"/>
      <c r="K1215" s="737" t="n"/>
      <c r="L1215" s="737" t="n"/>
      <c r="M1215" s="737" t="n"/>
      <c r="N1215" s="737" t="n"/>
      <c r="O1215" s="737" t="n"/>
      <c r="P1215" s="737" t="n"/>
      <c r="Q1215" s="737" t="n"/>
      <c r="R1215" s="737" t="n"/>
      <c r="S1215" s="737" t="n"/>
      <c r="T1215" s="737" t="n"/>
      <c r="U1215" s="737" t="n"/>
      <c r="V1215" s="737" t="n"/>
      <c r="W1215" s="737" t="n"/>
      <c r="X1215" s="737" t="n"/>
      <c r="Y1215" s="737" t="n"/>
      <c r="Z1215" s="737" t="n"/>
      <c r="AA1215" s="737" t="n"/>
      <c r="AB1215" s="737" t="n"/>
      <c r="AC1215" s="737" t="n"/>
      <c r="AD1215" s="737" t="n"/>
      <c r="AE1215" s="737" t="n"/>
      <c r="AF1215" s="737" t="n"/>
      <c r="AG1215" s="737" t="n"/>
      <c r="AH1215" s="737" t="n"/>
      <c r="AI1215" s="737" t="n"/>
      <c r="AJ1215" s="737" t="n"/>
      <c r="AK1215" s="737" t="n"/>
      <c r="AL1215" s="737" t="n"/>
      <c r="AM1215" s="737" t="n"/>
      <c r="AN1215" s="737" t="n"/>
      <c r="AO1215" s="737" t="n"/>
      <c r="AP1215" s="737" t="n"/>
      <c r="AQ1215" s="737" t="n"/>
      <c r="AR1215" s="737" t="n"/>
      <c r="AS1215" s="737" t="n"/>
      <c r="AT1215" s="737" t="n"/>
      <c r="AU1215" s="737" t="n"/>
      <c r="AV1215" s="737" t="n"/>
      <c r="AW1215" s="737" t="n"/>
      <c r="AX1215" s="737" t="n"/>
      <c r="AY1215" s="737" t="n"/>
      <c r="AZ1215" s="737" t="n"/>
      <c r="BA1215" s="737" t="n"/>
      <c r="BB1215" s="737" t="n"/>
      <c r="BC1215" s="737" t="n"/>
      <c r="BD1215" s="737" t="n"/>
      <c r="BE1215" s="737" t="n"/>
      <c r="BF1215" s="737" t="n"/>
      <c r="BG1215" s="737" t="n"/>
      <c r="BH1215" s="737" t="n"/>
      <c r="BI1215" s="737" t="n"/>
      <c r="BJ1215" s="737" t="n"/>
      <c r="BK1215" s="737" t="n"/>
      <c r="BL1215" s="737" t="n"/>
      <c r="BM1215" s="737" t="n"/>
      <c r="BN1215" s="737" t="n"/>
      <c r="BO1215" s="737" t="n"/>
      <c r="BP1215" s="737" t="n"/>
      <c r="BQ1215" s="737" t="n"/>
      <c r="BR1215" s="737" t="n"/>
      <c r="BS1215" s="737" t="n"/>
      <c r="BT1215" s="737" t="n"/>
      <c r="BU1215" s="737" t="n"/>
      <c r="BV1215" s="737" t="n"/>
      <c r="BW1215" s="737" t="n"/>
      <c r="BX1215" s="737" t="n"/>
      <c r="BY1215" s="737" t="n"/>
      <c r="BZ1215" s="737" t="n"/>
      <c r="CA1215" s="737" t="n"/>
      <c r="CB1215" s="737" t="n"/>
      <c r="CC1215" s="737" t="n"/>
      <c r="CD1215" s="737" t="n"/>
      <c r="CE1215" s="737" t="n"/>
      <c r="CF1215" s="737" t="n"/>
      <c r="CG1215" s="737" t="n"/>
      <c r="CH1215" s="737" t="n"/>
      <c r="CI1215" s="737" t="n"/>
      <c r="CJ1215" s="737" t="n"/>
      <c r="CK1215" s="737" t="n"/>
      <c r="CL1215" s="737" t="n"/>
      <c r="CM1215" s="737" t="n"/>
      <c r="CN1215" s="737" t="n"/>
      <c r="CO1215" s="737" t="n"/>
      <c r="CP1215" s="737" t="n"/>
      <c r="CQ1215" s="737" t="n"/>
      <c r="CR1215" s="737" t="n"/>
      <c r="CS1215" s="737" t="n"/>
      <c r="CT1215" s="737" t="n"/>
      <c r="CU1215" s="737" t="n"/>
      <c r="CV1215" s="737" t="n"/>
      <c r="CW1215" s="737" t="n"/>
      <c r="CX1215" s="737" t="n"/>
      <c r="CY1215" s="737" t="n"/>
    </row>
    <row r="1216">
      <c r="A1216" s="737" t="n"/>
      <c r="B1216" s="737" t="n"/>
      <c r="C1216" s="737" t="n"/>
      <c r="D1216" s="737" t="n"/>
      <c r="E1216" s="737" t="n"/>
      <c r="F1216" s="737" t="n"/>
      <c r="G1216" s="737" t="n"/>
      <c r="H1216" s="737" t="n"/>
      <c r="I1216" s="737" t="n"/>
      <c r="J1216" s="737" t="n"/>
      <c r="K1216" s="737" t="n"/>
      <c r="L1216" s="737" t="n"/>
      <c r="M1216" s="737" t="n"/>
      <c r="N1216" s="737" t="n"/>
      <c r="O1216" s="737" t="n"/>
      <c r="P1216" s="737" t="n"/>
      <c r="Q1216" s="737" t="n"/>
      <c r="R1216" s="737" t="n"/>
      <c r="S1216" s="737" t="n"/>
      <c r="T1216" s="737" t="n"/>
      <c r="U1216" s="737" t="n"/>
      <c r="V1216" s="737" t="n"/>
      <c r="W1216" s="737" t="n"/>
      <c r="X1216" s="737" t="n"/>
      <c r="Y1216" s="737" t="n"/>
      <c r="Z1216" s="737" t="n"/>
      <c r="AA1216" s="737" t="n"/>
      <c r="AB1216" s="737" t="n"/>
      <c r="AC1216" s="737" t="n"/>
      <c r="AD1216" s="737" t="n"/>
      <c r="AE1216" s="737" t="n"/>
      <c r="AF1216" s="737" t="n"/>
      <c r="AG1216" s="737" t="n"/>
      <c r="AH1216" s="737" t="n"/>
      <c r="AI1216" s="737" t="n"/>
      <c r="AJ1216" s="737" t="n"/>
      <c r="AK1216" s="737" t="n"/>
      <c r="AL1216" s="737" t="n"/>
      <c r="AM1216" s="737" t="n"/>
      <c r="AN1216" s="737" t="n"/>
      <c r="AO1216" s="737" t="n"/>
      <c r="AP1216" s="737" t="n"/>
      <c r="AQ1216" s="737" t="n"/>
      <c r="AR1216" s="737" t="n"/>
      <c r="AS1216" s="737" t="n"/>
      <c r="AT1216" s="737" t="n"/>
      <c r="AU1216" s="737" t="n"/>
      <c r="AV1216" s="737" t="n"/>
      <c r="AW1216" s="737" t="n"/>
      <c r="AX1216" s="737" t="n"/>
      <c r="AY1216" s="737" t="n"/>
      <c r="AZ1216" s="737" t="n"/>
      <c r="BA1216" s="737" t="n"/>
      <c r="BB1216" s="737" t="n"/>
      <c r="BC1216" s="737" t="n"/>
      <c r="BD1216" s="737" t="n"/>
      <c r="BE1216" s="737" t="n"/>
      <c r="BF1216" s="737" t="n"/>
      <c r="BG1216" s="737" t="n"/>
      <c r="BH1216" s="737" t="n"/>
      <c r="BI1216" s="737" t="n"/>
      <c r="BJ1216" s="737" t="n"/>
      <c r="BK1216" s="737" t="n"/>
      <c r="BL1216" s="737" t="n"/>
      <c r="BM1216" s="737" t="n"/>
      <c r="BN1216" s="737" t="n"/>
      <c r="BO1216" s="737" t="n"/>
      <c r="BP1216" s="737" t="n"/>
      <c r="BQ1216" s="737" t="n"/>
      <c r="BR1216" s="737" t="n"/>
      <c r="BS1216" s="737" t="n"/>
      <c r="BT1216" s="737" t="n"/>
      <c r="BU1216" s="737" t="n"/>
      <c r="BV1216" s="737" t="n"/>
      <c r="BW1216" s="737" t="n"/>
      <c r="BX1216" s="737" t="n"/>
      <c r="BY1216" s="737" t="n"/>
      <c r="BZ1216" s="737" t="n"/>
      <c r="CA1216" s="737" t="n"/>
      <c r="CB1216" s="737" t="n"/>
      <c r="CC1216" s="737" t="n"/>
      <c r="CD1216" s="737" t="n"/>
      <c r="CE1216" s="737" t="n"/>
      <c r="CF1216" s="737" t="n"/>
      <c r="CG1216" s="737" t="n"/>
      <c r="CH1216" s="737" t="n"/>
      <c r="CI1216" s="737" t="n"/>
      <c r="CJ1216" s="737" t="n"/>
      <c r="CK1216" s="737" t="n"/>
      <c r="CL1216" s="737" t="n"/>
      <c r="CM1216" s="737" t="n"/>
      <c r="CN1216" s="737" t="n"/>
      <c r="CO1216" s="737" t="n"/>
      <c r="CP1216" s="737" t="n"/>
      <c r="CQ1216" s="737" t="n"/>
      <c r="CR1216" s="737" t="n"/>
      <c r="CS1216" s="737" t="n"/>
      <c r="CT1216" s="737" t="n"/>
      <c r="CU1216" s="737" t="n"/>
      <c r="CV1216" s="737" t="n"/>
      <c r="CW1216" s="737" t="n"/>
      <c r="CX1216" s="737" t="n"/>
      <c r="CY1216" s="737" t="n"/>
    </row>
    <row r="1217">
      <c r="A1217" s="737" t="n"/>
      <c r="B1217" s="737" t="n"/>
      <c r="C1217" s="737" t="n"/>
      <c r="D1217" s="737" t="n"/>
      <c r="E1217" s="737" t="n"/>
      <c r="F1217" s="737" t="n"/>
      <c r="G1217" s="737" t="n"/>
      <c r="H1217" s="737" t="n"/>
      <c r="I1217" s="737" t="n"/>
      <c r="J1217" s="737" t="n"/>
      <c r="K1217" s="737" t="n"/>
      <c r="L1217" s="737" t="n"/>
      <c r="M1217" s="737" t="n"/>
      <c r="N1217" s="737" t="n"/>
      <c r="O1217" s="737" t="n"/>
      <c r="P1217" s="737" t="n"/>
      <c r="Q1217" s="737" t="n"/>
      <c r="R1217" s="737" t="n"/>
      <c r="S1217" s="737" t="n"/>
      <c r="T1217" s="737" t="n"/>
      <c r="U1217" s="737" t="n"/>
      <c r="V1217" s="737" t="n"/>
      <c r="W1217" s="737" t="n"/>
      <c r="X1217" s="737" t="n"/>
      <c r="Y1217" s="737" t="n"/>
      <c r="Z1217" s="737" t="n"/>
      <c r="AA1217" s="737" t="n"/>
      <c r="AB1217" s="737" t="n"/>
      <c r="AC1217" s="737" t="n"/>
      <c r="AD1217" s="737" t="n"/>
      <c r="AE1217" s="737" t="n"/>
      <c r="AF1217" s="737" t="n"/>
      <c r="AG1217" s="737" t="n"/>
      <c r="AH1217" s="737" t="n"/>
      <c r="AI1217" s="737" t="n"/>
      <c r="AJ1217" s="737" t="n"/>
      <c r="AK1217" s="737" t="n"/>
      <c r="AL1217" s="737" t="n"/>
      <c r="AM1217" s="737" t="n"/>
      <c r="AN1217" s="737" t="n"/>
      <c r="AO1217" s="737" t="n"/>
      <c r="AP1217" s="737" t="n"/>
      <c r="AQ1217" s="737" t="n"/>
      <c r="AR1217" s="737" t="n"/>
      <c r="AS1217" s="737" t="n"/>
      <c r="AT1217" s="737" t="n"/>
      <c r="AU1217" s="737" t="n"/>
      <c r="AV1217" s="737" t="n"/>
      <c r="AW1217" s="737" t="n"/>
      <c r="AX1217" s="737" t="n"/>
      <c r="AY1217" s="737" t="n"/>
      <c r="AZ1217" s="737" t="n"/>
      <c r="BA1217" s="737" t="n"/>
      <c r="BB1217" s="737" t="n"/>
      <c r="BC1217" s="737" t="n"/>
      <c r="BD1217" s="737" t="n"/>
      <c r="BE1217" s="737" t="n"/>
      <c r="BF1217" s="737" t="n"/>
      <c r="BG1217" s="737" t="n"/>
      <c r="BH1217" s="737" t="n"/>
      <c r="BI1217" s="737" t="n"/>
      <c r="BJ1217" s="737" t="n"/>
      <c r="BK1217" s="737" t="n"/>
      <c r="BL1217" s="737" t="n"/>
      <c r="BM1217" s="737" t="n"/>
      <c r="BN1217" s="737" t="n"/>
      <c r="BO1217" s="737" t="n"/>
      <c r="BP1217" s="737" t="n"/>
      <c r="BQ1217" s="737" t="n"/>
      <c r="BR1217" s="737" t="n"/>
      <c r="BS1217" s="737" t="n"/>
      <c r="BT1217" s="737" t="n"/>
      <c r="BU1217" s="737" t="n"/>
      <c r="BV1217" s="737" t="n"/>
      <c r="BW1217" s="737" t="n"/>
      <c r="BX1217" s="737" t="n"/>
      <c r="BY1217" s="737" t="n"/>
      <c r="BZ1217" s="737" t="n"/>
      <c r="CA1217" s="737" t="n"/>
      <c r="CB1217" s="737" t="n"/>
      <c r="CC1217" s="737" t="n"/>
      <c r="CD1217" s="737" t="n"/>
      <c r="CE1217" s="737" t="n"/>
      <c r="CF1217" s="737" t="n"/>
      <c r="CG1217" s="737" t="n"/>
      <c r="CH1217" s="737" t="n"/>
      <c r="CI1217" s="737" t="n"/>
      <c r="CJ1217" s="737" t="n"/>
      <c r="CK1217" s="737" t="n"/>
      <c r="CL1217" s="737" t="n"/>
      <c r="CM1217" s="737" t="n"/>
      <c r="CN1217" s="737" t="n"/>
      <c r="CO1217" s="737" t="n"/>
      <c r="CP1217" s="737" t="n"/>
      <c r="CQ1217" s="737" t="n"/>
      <c r="CR1217" s="737" t="n"/>
      <c r="CS1217" s="737" t="n"/>
      <c r="CT1217" s="737" t="n"/>
      <c r="CU1217" s="737" t="n"/>
      <c r="CV1217" s="737" t="n"/>
      <c r="CW1217" s="737" t="n"/>
      <c r="CX1217" s="737" t="n"/>
      <c r="CY1217" s="737" t="n"/>
    </row>
    <row r="1218">
      <c r="A1218" s="737" t="n"/>
      <c r="B1218" s="737" t="n"/>
      <c r="C1218" s="737" t="n"/>
      <c r="D1218" s="737" t="n"/>
      <c r="E1218" s="737" t="n"/>
      <c r="F1218" s="737" t="n"/>
      <c r="G1218" s="737" t="n"/>
      <c r="H1218" s="737" t="n"/>
      <c r="I1218" s="737" t="n"/>
      <c r="J1218" s="737" t="n"/>
      <c r="K1218" s="737" t="n"/>
      <c r="L1218" s="737" t="n"/>
      <c r="M1218" s="737" t="n"/>
      <c r="N1218" s="737" t="n"/>
      <c r="O1218" s="737" t="n"/>
      <c r="P1218" s="737" t="n"/>
      <c r="Q1218" s="737" t="n"/>
      <c r="R1218" s="737" t="n"/>
      <c r="S1218" s="737" t="n"/>
      <c r="T1218" s="737" t="n"/>
      <c r="U1218" s="737" t="n"/>
      <c r="V1218" s="737" t="n"/>
      <c r="W1218" s="737" t="n"/>
      <c r="X1218" s="737" t="n"/>
      <c r="Y1218" s="737" t="n"/>
      <c r="Z1218" s="737" t="n"/>
      <c r="AA1218" s="737" t="n"/>
      <c r="AB1218" s="737" t="n"/>
      <c r="AC1218" s="737" t="n"/>
      <c r="AD1218" s="737" t="n"/>
      <c r="AE1218" s="737" t="n"/>
      <c r="AF1218" s="737" t="n"/>
      <c r="AG1218" s="737" t="n"/>
      <c r="AH1218" s="737" t="n"/>
      <c r="AI1218" s="737" t="n"/>
      <c r="AJ1218" s="737" t="n"/>
      <c r="AK1218" s="737" t="n"/>
      <c r="AL1218" s="737" t="n"/>
      <c r="AM1218" s="737" t="n"/>
      <c r="AN1218" s="737" t="n"/>
      <c r="AO1218" s="737" t="n"/>
      <c r="AP1218" s="737" t="n"/>
      <c r="AQ1218" s="737" t="n"/>
      <c r="AR1218" s="737" t="n"/>
      <c r="AS1218" s="737" t="n"/>
      <c r="AT1218" s="737" t="n"/>
      <c r="AU1218" s="737" t="n"/>
      <c r="AV1218" s="737" t="n"/>
      <c r="AW1218" s="737" t="n"/>
      <c r="AX1218" s="737" t="n"/>
      <c r="AY1218" s="737" t="n"/>
      <c r="AZ1218" s="737" t="n"/>
      <c r="BA1218" s="737" t="n"/>
      <c r="BB1218" s="737" t="n"/>
      <c r="BC1218" s="737" t="n"/>
      <c r="BD1218" s="737" t="n"/>
      <c r="BE1218" s="737" t="n"/>
      <c r="BF1218" s="737" t="n"/>
      <c r="BG1218" s="737" t="n"/>
      <c r="BH1218" s="737" t="n"/>
      <c r="BI1218" s="737" t="n"/>
      <c r="BJ1218" s="737" t="n"/>
      <c r="BK1218" s="737" t="n"/>
      <c r="BL1218" s="737" t="n"/>
      <c r="BM1218" s="737" t="n"/>
      <c r="BN1218" s="737" t="n"/>
      <c r="BO1218" s="737" t="n"/>
      <c r="BP1218" s="737" t="n"/>
      <c r="BQ1218" s="737" t="n"/>
      <c r="BR1218" s="737" t="n"/>
      <c r="BS1218" s="737" t="n"/>
      <c r="BT1218" s="737" t="n"/>
      <c r="BU1218" s="737" t="n"/>
      <c r="BV1218" s="737" t="n"/>
      <c r="BW1218" s="737" t="n"/>
      <c r="BX1218" s="737" t="n"/>
      <c r="BY1218" s="737" t="n"/>
      <c r="BZ1218" s="737" t="n"/>
      <c r="CA1218" s="737" t="n"/>
      <c r="CB1218" s="737" t="n"/>
      <c r="CC1218" s="737" t="n"/>
      <c r="CD1218" s="737" t="n"/>
      <c r="CE1218" s="737" t="n"/>
      <c r="CF1218" s="737" t="n"/>
      <c r="CG1218" s="737" t="n"/>
      <c r="CH1218" s="737" t="n"/>
      <c r="CI1218" s="737" t="n"/>
      <c r="CJ1218" s="737" t="n"/>
      <c r="CK1218" s="737" t="n"/>
      <c r="CL1218" s="737" t="n"/>
      <c r="CM1218" s="737" t="n"/>
      <c r="CN1218" s="737" t="n"/>
      <c r="CO1218" s="737" t="n"/>
      <c r="CP1218" s="737" t="n"/>
      <c r="CQ1218" s="737" t="n"/>
      <c r="CR1218" s="737" t="n"/>
      <c r="CS1218" s="737" t="n"/>
      <c r="CT1218" s="737" t="n"/>
      <c r="CU1218" s="737" t="n"/>
      <c r="CV1218" s="737" t="n"/>
      <c r="CW1218" s="737" t="n"/>
      <c r="CX1218" s="737" t="n"/>
      <c r="CY1218" s="737" t="n"/>
    </row>
    <row r="1219">
      <c r="A1219" s="737" t="n"/>
      <c r="B1219" s="737" t="n"/>
      <c r="C1219" s="737" t="n"/>
      <c r="D1219" s="737" t="n"/>
      <c r="E1219" s="737" t="n"/>
      <c r="F1219" s="737" t="n"/>
      <c r="G1219" s="737" t="n"/>
      <c r="H1219" s="737" t="n"/>
      <c r="I1219" s="737" t="n"/>
      <c r="J1219" s="737" t="n"/>
      <c r="K1219" s="737" t="n"/>
      <c r="L1219" s="737" t="n"/>
      <c r="M1219" s="737" t="n"/>
      <c r="N1219" s="737" t="n"/>
      <c r="O1219" s="737" t="n"/>
      <c r="P1219" s="737" t="n"/>
      <c r="Q1219" s="737" t="n"/>
      <c r="R1219" s="737" t="n"/>
      <c r="S1219" s="737" t="n"/>
      <c r="T1219" s="737" t="n"/>
      <c r="U1219" s="737" t="n"/>
      <c r="V1219" s="737" t="n"/>
      <c r="W1219" s="737" t="n"/>
      <c r="X1219" s="737" t="n"/>
      <c r="Y1219" s="737" t="n"/>
      <c r="Z1219" s="737" t="n"/>
      <c r="AA1219" s="737" t="n"/>
      <c r="AB1219" s="737" t="n"/>
      <c r="AC1219" s="737" t="n"/>
      <c r="AD1219" s="737" t="n"/>
      <c r="AE1219" s="737" t="n"/>
      <c r="AF1219" s="737" t="n"/>
      <c r="AG1219" s="737" t="n"/>
      <c r="AH1219" s="737" t="n"/>
      <c r="AI1219" s="737" t="n"/>
      <c r="AJ1219" s="737" t="n"/>
      <c r="AK1219" s="737" t="n"/>
      <c r="AL1219" s="737" t="n"/>
      <c r="AM1219" s="737" t="n"/>
      <c r="AN1219" s="737" t="n"/>
      <c r="AO1219" s="737" t="n"/>
      <c r="AP1219" s="737" t="n"/>
      <c r="AQ1219" s="737" t="n"/>
      <c r="AR1219" s="737" t="n"/>
      <c r="AS1219" s="737" t="n"/>
      <c r="AT1219" s="737" t="n"/>
      <c r="AU1219" s="737" t="n"/>
      <c r="AV1219" s="737" t="n"/>
      <c r="AW1219" s="737" t="n"/>
      <c r="AX1219" s="737" t="n"/>
      <c r="AY1219" s="737" t="n"/>
      <c r="AZ1219" s="737" t="n"/>
      <c r="BA1219" s="737" t="n"/>
      <c r="BB1219" s="737" t="n"/>
      <c r="BC1219" s="737" t="n"/>
      <c r="BD1219" s="737" t="n"/>
      <c r="BE1219" s="737" t="n"/>
      <c r="BF1219" s="737" t="n"/>
      <c r="BG1219" s="737" t="n"/>
      <c r="BH1219" s="737" t="n"/>
      <c r="BI1219" s="737" t="n"/>
      <c r="BJ1219" s="737" t="n"/>
      <c r="BK1219" s="737" t="n"/>
      <c r="BL1219" s="737" t="n"/>
      <c r="BM1219" s="737" t="n"/>
      <c r="BN1219" s="737" t="n"/>
      <c r="BO1219" s="737" t="n"/>
      <c r="BP1219" s="737" t="n"/>
      <c r="BQ1219" s="737" t="n"/>
      <c r="BR1219" s="737" t="n"/>
      <c r="BS1219" s="737" t="n"/>
      <c r="BT1219" s="737" t="n"/>
      <c r="BU1219" s="737" t="n"/>
      <c r="BV1219" s="737" t="n"/>
      <c r="BW1219" s="737" t="n"/>
      <c r="BX1219" s="737" t="n"/>
      <c r="BY1219" s="737" t="n"/>
      <c r="BZ1219" s="737" t="n"/>
      <c r="CA1219" s="737" t="n"/>
      <c r="CB1219" s="737" t="n"/>
      <c r="CC1219" s="737" t="n"/>
      <c r="CD1219" s="737" t="n"/>
      <c r="CE1219" s="737" t="n"/>
      <c r="CF1219" s="737" t="n"/>
      <c r="CG1219" s="737" t="n"/>
      <c r="CH1219" s="737" t="n"/>
      <c r="CI1219" s="737" t="n"/>
      <c r="CJ1219" s="737" t="n"/>
      <c r="CK1219" s="737" t="n"/>
      <c r="CL1219" s="737" t="n"/>
      <c r="CM1219" s="737" t="n"/>
      <c r="CN1219" s="737" t="n"/>
      <c r="CO1219" s="737" t="n"/>
      <c r="CP1219" s="737" t="n"/>
      <c r="CQ1219" s="737" t="n"/>
      <c r="CR1219" s="737" t="n"/>
      <c r="CS1219" s="737" t="n"/>
      <c r="CT1219" s="737" t="n"/>
      <c r="CU1219" s="737" t="n"/>
      <c r="CV1219" s="737" t="n"/>
      <c r="CW1219" s="737" t="n"/>
      <c r="CX1219" s="737" t="n"/>
      <c r="CY1219" s="737" t="n"/>
    </row>
    <row r="1220">
      <c r="A1220" s="737" t="n"/>
      <c r="B1220" s="737" t="n"/>
      <c r="C1220" s="737" t="n"/>
      <c r="D1220" s="737" t="n"/>
      <c r="E1220" s="737" t="n"/>
      <c r="F1220" s="737" t="n"/>
      <c r="G1220" s="737" t="n"/>
      <c r="H1220" s="737" t="n"/>
      <c r="I1220" s="737" t="n"/>
      <c r="J1220" s="737" t="n"/>
      <c r="K1220" s="737" t="n"/>
      <c r="L1220" s="737" t="n"/>
      <c r="M1220" s="737" t="n"/>
      <c r="N1220" s="737" t="n"/>
      <c r="O1220" s="737" t="n"/>
      <c r="P1220" s="737" t="n"/>
      <c r="Q1220" s="737" t="n"/>
      <c r="R1220" s="737" t="n"/>
      <c r="S1220" s="737" t="n"/>
      <c r="T1220" s="737" t="n"/>
      <c r="U1220" s="737" t="n"/>
      <c r="V1220" s="737" t="n"/>
      <c r="W1220" s="737" t="n"/>
      <c r="X1220" s="737" t="n"/>
      <c r="Y1220" s="737" t="n"/>
      <c r="Z1220" s="737" t="n"/>
      <c r="AA1220" s="737" t="n"/>
      <c r="AB1220" s="737" t="n"/>
      <c r="AC1220" s="737" t="n"/>
      <c r="AD1220" s="737" t="n"/>
      <c r="AE1220" s="737" t="n"/>
      <c r="AF1220" s="737" t="n"/>
      <c r="AG1220" s="737" t="n"/>
      <c r="AH1220" s="737" t="n"/>
      <c r="AI1220" s="737" t="n"/>
      <c r="AJ1220" s="737" t="n"/>
      <c r="AK1220" s="737" t="n"/>
      <c r="AL1220" s="737" t="n"/>
      <c r="AM1220" s="737" t="n"/>
      <c r="AN1220" s="737" t="n"/>
      <c r="AO1220" s="737" t="n"/>
      <c r="AP1220" s="737" t="n"/>
      <c r="AQ1220" s="737" t="n"/>
      <c r="AR1220" s="737" t="n"/>
      <c r="AS1220" s="737" t="n"/>
      <c r="AT1220" s="737" t="n"/>
      <c r="AU1220" s="737" t="n"/>
      <c r="AV1220" s="737" t="n"/>
      <c r="AW1220" s="737" t="n"/>
      <c r="AX1220" s="737" t="n"/>
      <c r="AY1220" s="737" t="n"/>
      <c r="AZ1220" s="737" t="n"/>
      <c r="BA1220" s="737" t="n"/>
      <c r="BB1220" s="737" t="n"/>
      <c r="BC1220" s="737" t="n"/>
      <c r="BD1220" s="737" t="n"/>
      <c r="BE1220" s="737" t="n"/>
      <c r="BF1220" s="737" t="n"/>
      <c r="BG1220" s="737" t="n"/>
      <c r="BH1220" s="737" t="n"/>
      <c r="BI1220" s="737" t="n"/>
      <c r="BJ1220" s="737" t="n"/>
      <c r="BK1220" s="737" t="n"/>
      <c r="BL1220" s="737" t="n"/>
      <c r="BM1220" s="737" t="n"/>
      <c r="BN1220" s="737" t="n"/>
      <c r="BO1220" s="737" t="n"/>
      <c r="BP1220" s="737" t="n"/>
      <c r="BQ1220" s="737" t="n"/>
      <c r="BR1220" s="737" t="n"/>
      <c r="BS1220" s="737" t="n"/>
      <c r="BT1220" s="737" t="n"/>
      <c r="BU1220" s="737" t="n"/>
      <c r="BV1220" s="737" t="n"/>
      <c r="BW1220" s="737" t="n"/>
      <c r="BX1220" s="737" t="n"/>
      <c r="BY1220" s="737" t="n"/>
      <c r="BZ1220" s="737" t="n"/>
      <c r="CA1220" s="737" t="n"/>
      <c r="CB1220" s="737" t="n"/>
      <c r="CC1220" s="737" t="n"/>
      <c r="CD1220" s="737" t="n"/>
      <c r="CE1220" s="737" t="n"/>
      <c r="CF1220" s="737" t="n"/>
      <c r="CG1220" s="737" t="n"/>
      <c r="CH1220" s="737" t="n"/>
      <c r="CI1220" s="737" t="n"/>
      <c r="CJ1220" s="737" t="n"/>
      <c r="CK1220" s="737" t="n"/>
      <c r="CL1220" s="737" t="n"/>
      <c r="CM1220" s="737" t="n"/>
      <c r="CN1220" s="737" t="n"/>
      <c r="CO1220" s="737" t="n"/>
      <c r="CP1220" s="737" t="n"/>
      <c r="CQ1220" s="737" t="n"/>
      <c r="CR1220" s="737" t="n"/>
      <c r="CS1220" s="737" t="n"/>
      <c r="CT1220" s="737" t="n"/>
      <c r="CU1220" s="737" t="n"/>
      <c r="CV1220" s="737" t="n"/>
      <c r="CW1220" s="737" t="n"/>
      <c r="CX1220" s="737" t="n"/>
      <c r="CY1220" s="737" t="n"/>
    </row>
    <row r="1221">
      <c r="A1221" s="737" t="n"/>
      <c r="B1221" s="737" t="n"/>
      <c r="C1221" s="737" t="n"/>
      <c r="D1221" s="737" t="n"/>
      <c r="E1221" s="737" t="n"/>
      <c r="F1221" s="737" t="n"/>
      <c r="G1221" s="737" t="n"/>
      <c r="H1221" s="737" t="n"/>
      <c r="I1221" s="737" t="n"/>
      <c r="J1221" s="737" t="n"/>
      <c r="K1221" s="737" t="n"/>
      <c r="L1221" s="737" t="n"/>
      <c r="M1221" s="737" t="n"/>
      <c r="N1221" s="737" t="n"/>
      <c r="O1221" s="737" t="n"/>
      <c r="P1221" s="737" t="n"/>
      <c r="Q1221" s="737" t="n"/>
      <c r="R1221" s="737" t="n"/>
      <c r="S1221" s="737" t="n"/>
      <c r="T1221" s="737" t="n"/>
      <c r="U1221" s="737" t="n"/>
      <c r="V1221" s="737" t="n"/>
      <c r="W1221" s="737" t="n"/>
      <c r="X1221" s="737" t="n"/>
      <c r="Y1221" s="737" t="n"/>
      <c r="Z1221" s="737" t="n"/>
      <c r="AA1221" s="737" t="n"/>
      <c r="AB1221" s="737" t="n"/>
      <c r="AC1221" s="737" t="n"/>
      <c r="AD1221" s="737" t="n"/>
      <c r="AE1221" s="737" t="n"/>
      <c r="AF1221" s="737" t="n"/>
      <c r="AG1221" s="737" t="n"/>
      <c r="AH1221" s="737" t="n"/>
      <c r="AI1221" s="737" t="n"/>
      <c r="AJ1221" s="737" t="n"/>
      <c r="AK1221" s="737" t="n"/>
      <c r="AL1221" s="737" t="n"/>
      <c r="AM1221" s="737" t="n"/>
      <c r="AN1221" s="737" t="n"/>
      <c r="AO1221" s="737" t="n"/>
      <c r="AP1221" s="737" t="n"/>
      <c r="AQ1221" s="737" t="n"/>
      <c r="AR1221" s="737" t="n"/>
      <c r="AS1221" s="737" t="n"/>
      <c r="AT1221" s="737" t="n"/>
      <c r="AU1221" s="737" t="n"/>
      <c r="AV1221" s="737" t="n"/>
      <c r="AW1221" s="737" t="n"/>
      <c r="AX1221" s="737" t="n"/>
      <c r="AY1221" s="737" t="n"/>
      <c r="AZ1221" s="737" t="n"/>
      <c r="BA1221" s="737" t="n"/>
      <c r="BB1221" s="737" t="n"/>
      <c r="BC1221" s="737" t="n"/>
      <c r="BD1221" s="737" t="n"/>
      <c r="BE1221" s="737" t="n"/>
      <c r="BF1221" s="737" t="n"/>
      <c r="BG1221" s="737" t="n"/>
      <c r="BH1221" s="737" t="n"/>
      <c r="BI1221" s="737" t="n"/>
      <c r="BJ1221" s="737" t="n"/>
      <c r="BK1221" s="737" t="n"/>
      <c r="BL1221" s="737" t="n"/>
      <c r="BM1221" s="737" t="n"/>
      <c r="BN1221" s="737" t="n"/>
      <c r="BO1221" s="737" t="n"/>
      <c r="BP1221" s="737" t="n"/>
      <c r="BQ1221" s="737" t="n"/>
      <c r="BR1221" s="737" t="n"/>
      <c r="BS1221" s="737" t="n"/>
      <c r="BT1221" s="737" t="n"/>
      <c r="BU1221" s="737" t="n"/>
      <c r="BV1221" s="737" t="n"/>
      <c r="BW1221" s="737" t="n"/>
      <c r="BX1221" s="737" t="n"/>
      <c r="BY1221" s="737" t="n"/>
      <c r="BZ1221" s="737" t="n"/>
      <c r="CA1221" s="737" t="n"/>
      <c r="CB1221" s="737" t="n"/>
      <c r="CC1221" s="737" t="n"/>
      <c r="CD1221" s="737" t="n"/>
      <c r="CE1221" s="737" t="n"/>
      <c r="CF1221" s="737" t="n"/>
      <c r="CG1221" s="737" t="n"/>
      <c r="CH1221" s="737" t="n"/>
      <c r="CI1221" s="737" t="n"/>
      <c r="CJ1221" s="737" t="n"/>
      <c r="CK1221" s="737" t="n"/>
      <c r="CL1221" s="737" t="n"/>
      <c r="CM1221" s="737" t="n"/>
      <c r="CN1221" s="737" t="n"/>
      <c r="CO1221" s="737" t="n"/>
      <c r="CP1221" s="737" t="n"/>
      <c r="CQ1221" s="737" t="n"/>
      <c r="CR1221" s="737" t="n"/>
      <c r="CS1221" s="737" t="n"/>
      <c r="CT1221" s="737" t="n"/>
      <c r="CU1221" s="737" t="n"/>
      <c r="CV1221" s="737" t="n"/>
      <c r="CW1221" s="737" t="n"/>
      <c r="CX1221" s="737" t="n"/>
      <c r="CY1221" s="737" t="n"/>
    </row>
    <row r="1222">
      <c r="A1222" s="737" t="n"/>
      <c r="B1222" s="737" t="n"/>
      <c r="C1222" s="737" t="n"/>
      <c r="D1222" s="737" t="n"/>
      <c r="E1222" s="737" t="n"/>
      <c r="F1222" s="737" t="n"/>
      <c r="G1222" s="737" t="n"/>
      <c r="H1222" s="737" t="n"/>
      <c r="I1222" s="737" t="n"/>
      <c r="J1222" s="737" t="n"/>
      <c r="K1222" s="737" t="n"/>
      <c r="L1222" s="737" t="n"/>
      <c r="M1222" s="737" t="n"/>
      <c r="N1222" s="737" t="n"/>
      <c r="O1222" s="737" t="n"/>
      <c r="P1222" s="737" t="n"/>
      <c r="Q1222" s="737" t="n"/>
      <c r="R1222" s="737" t="n"/>
      <c r="S1222" s="737" t="n"/>
      <c r="T1222" s="737" t="n"/>
      <c r="U1222" s="737" t="n"/>
      <c r="V1222" s="737" t="n"/>
      <c r="W1222" s="737" t="n"/>
      <c r="X1222" s="737" t="n"/>
      <c r="Y1222" s="737" t="n"/>
      <c r="Z1222" s="737" t="n"/>
      <c r="AA1222" s="737" t="n"/>
      <c r="AB1222" s="737" t="n"/>
      <c r="AC1222" s="737" t="n"/>
      <c r="AD1222" s="737" t="n"/>
      <c r="AE1222" s="737" t="n"/>
      <c r="AF1222" s="737" t="n"/>
      <c r="AG1222" s="737" t="n"/>
      <c r="AH1222" s="737" t="n"/>
      <c r="AI1222" s="737" t="n"/>
      <c r="AJ1222" s="737" t="n"/>
      <c r="AK1222" s="737" t="n"/>
      <c r="AL1222" s="737" t="n"/>
      <c r="AM1222" s="737" t="n"/>
      <c r="AN1222" s="737" t="n"/>
      <c r="AO1222" s="737" t="n"/>
      <c r="AP1222" s="737" t="n"/>
      <c r="AQ1222" s="737" t="n"/>
      <c r="AR1222" s="737" t="n"/>
      <c r="AS1222" s="737" t="n"/>
      <c r="AT1222" s="737" t="n"/>
      <c r="AU1222" s="737" t="n"/>
      <c r="AV1222" s="737" t="n"/>
      <c r="AW1222" s="737" t="n"/>
      <c r="AX1222" s="737" t="n"/>
      <c r="AY1222" s="737" t="n"/>
      <c r="AZ1222" s="737" t="n"/>
      <c r="BA1222" s="737" t="n"/>
      <c r="BB1222" s="737" t="n"/>
      <c r="BC1222" s="737" t="n"/>
      <c r="BD1222" s="737" t="n"/>
      <c r="BE1222" s="737" t="n"/>
      <c r="BF1222" s="737" t="n"/>
      <c r="BG1222" s="737" t="n"/>
      <c r="BH1222" s="737" t="n"/>
      <c r="BI1222" s="737" t="n"/>
      <c r="BJ1222" s="737" t="n"/>
      <c r="BK1222" s="737" t="n"/>
      <c r="BL1222" s="737" t="n"/>
      <c r="BM1222" s="737" t="n"/>
      <c r="BN1222" s="737" t="n"/>
      <c r="BO1222" s="737" t="n"/>
      <c r="BP1222" s="737" t="n"/>
      <c r="BQ1222" s="737" t="n"/>
      <c r="BR1222" s="737" t="n"/>
      <c r="BS1222" s="737" t="n"/>
      <c r="BT1222" s="737" t="n"/>
      <c r="BU1222" s="737" t="n"/>
      <c r="BV1222" s="737" t="n"/>
      <c r="BW1222" s="737" t="n"/>
      <c r="BX1222" s="737" t="n"/>
      <c r="BY1222" s="737" t="n"/>
      <c r="BZ1222" s="737" t="n"/>
      <c r="CA1222" s="737" t="n"/>
      <c r="CB1222" s="737" t="n"/>
      <c r="CC1222" s="737" t="n"/>
      <c r="CD1222" s="737" t="n"/>
      <c r="CE1222" s="737" t="n"/>
      <c r="CF1222" s="737" t="n"/>
      <c r="CG1222" s="737" t="n"/>
      <c r="CH1222" s="737" t="n"/>
      <c r="CI1222" s="737" t="n"/>
      <c r="CJ1222" s="737" t="n"/>
      <c r="CK1222" s="737" t="n"/>
      <c r="CL1222" s="737" t="n"/>
      <c r="CM1222" s="737" t="n"/>
      <c r="CN1222" s="737" t="n"/>
      <c r="CO1222" s="737" t="n"/>
      <c r="CP1222" s="737" t="n"/>
      <c r="CQ1222" s="737" t="n"/>
      <c r="CR1222" s="737" t="n"/>
      <c r="CS1222" s="737" t="n"/>
      <c r="CT1222" s="737" t="n"/>
      <c r="CU1222" s="737" t="n"/>
      <c r="CV1222" s="737" t="n"/>
      <c r="CW1222" s="737" t="n"/>
      <c r="CX1222" s="737" t="n"/>
      <c r="CY1222" s="737" t="n"/>
    </row>
    <row r="1223">
      <c r="A1223" s="737" t="n"/>
      <c r="B1223" s="737" t="n"/>
      <c r="C1223" s="737" t="n"/>
      <c r="D1223" s="737" t="n"/>
      <c r="E1223" s="737" t="n"/>
      <c r="F1223" s="737" t="n"/>
      <c r="G1223" s="737" t="n"/>
      <c r="H1223" s="737" t="n"/>
      <c r="I1223" s="737" t="n"/>
      <c r="J1223" s="737" t="n"/>
      <c r="K1223" s="737" t="n"/>
      <c r="L1223" s="737" t="n"/>
      <c r="M1223" s="737" t="n"/>
      <c r="N1223" s="737" t="n"/>
      <c r="O1223" s="737" t="n"/>
      <c r="P1223" s="737" t="n"/>
      <c r="Q1223" s="737" t="n"/>
      <c r="R1223" s="737" t="n"/>
      <c r="S1223" s="737" t="n"/>
      <c r="T1223" s="737" t="n"/>
      <c r="U1223" s="737" t="n"/>
      <c r="V1223" s="737" t="n"/>
      <c r="W1223" s="737" t="n"/>
      <c r="X1223" s="737" t="n"/>
      <c r="Y1223" s="737" t="n"/>
      <c r="Z1223" s="737" t="n"/>
      <c r="AA1223" s="737" t="n"/>
      <c r="AB1223" s="737" t="n"/>
      <c r="AC1223" s="737" t="n"/>
      <c r="AD1223" s="737" t="n"/>
      <c r="AE1223" s="737" t="n"/>
      <c r="AF1223" s="737" t="n"/>
      <c r="AG1223" s="737" t="n"/>
      <c r="AH1223" s="737" t="n"/>
      <c r="AI1223" s="737" t="n"/>
      <c r="AJ1223" s="737" t="n"/>
      <c r="AK1223" s="737" t="n"/>
      <c r="AL1223" s="737" t="n"/>
      <c r="AM1223" s="737" t="n"/>
      <c r="AN1223" s="737" t="n"/>
      <c r="AO1223" s="737" t="n"/>
      <c r="AP1223" s="737" t="n"/>
      <c r="AQ1223" s="737" t="n"/>
      <c r="AR1223" s="737" t="n"/>
      <c r="AS1223" s="737" t="n"/>
      <c r="AT1223" s="737" t="n"/>
      <c r="AU1223" s="737" t="n"/>
      <c r="AV1223" s="737" t="n"/>
      <c r="AW1223" s="737" t="n"/>
      <c r="AX1223" s="737" t="n"/>
      <c r="AY1223" s="737" t="n"/>
      <c r="AZ1223" s="737" t="n"/>
      <c r="BA1223" s="737" t="n"/>
      <c r="BB1223" s="737" t="n"/>
      <c r="BC1223" s="737" t="n"/>
      <c r="BD1223" s="737" t="n"/>
      <c r="BE1223" s="737" t="n"/>
      <c r="BF1223" s="737" t="n"/>
      <c r="BG1223" s="737" t="n"/>
      <c r="BH1223" s="737" t="n"/>
      <c r="BI1223" s="737" t="n"/>
      <c r="BJ1223" s="737" t="n"/>
      <c r="BK1223" s="737" t="n"/>
      <c r="BL1223" s="737" t="n"/>
      <c r="BM1223" s="737" t="n"/>
      <c r="BN1223" s="737" t="n"/>
      <c r="BO1223" s="737" t="n"/>
      <c r="BP1223" s="737" t="n"/>
      <c r="BQ1223" s="737" t="n"/>
      <c r="BR1223" s="737" t="n"/>
      <c r="BS1223" s="737" t="n"/>
      <c r="BT1223" s="737" t="n"/>
      <c r="BU1223" s="737" t="n"/>
      <c r="BV1223" s="737" t="n"/>
      <c r="BW1223" s="737" t="n"/>
      <c r="BX1223" s="737" t="n"/>
      <c r="BY1223" s="737" t="n"/>
      <c r="BZ1223" s="737" t="n"/>
      <c r="CA1223" s="737" t="n"/>
      <c r="CB1223" s="737" t="n"/>
      <c r="CC1223" s="737" t="n"/>
      <c r="CD1223" s="737" t="n"/>
      <c r="CE1223" s="737" t="n"/>
      <c r="CF1223" s="737" t="n"/>
      <c r="CG1223" s="737" t="n"/>
      <c r="CH1223" s="737" t="n"/>
      <c r="CI1223" s="737" t="n"/>
      <c r="CJ1223" s="737" t="n"/>
      <c r="CK1223" s="737" t="n"/>
      <c r="CL1223" s="737" t="n"/>
      <c r="CM1223" s="737" t="n"/>
      <c r="CN1223" s="737" t="n"/>
      <c r="CO1223" s="737" t="n"/>
      <c r="CP1223" s="737" t="n"/>
      <c r="CQ1223" s="737" t="n"/>
      <c r="CR1223" s="737" t="n"/>
      <c r="CS1223" s="737" t="n"/>
      <c r="CT1223" s="737" t="n"/>
      <c r="CU1223" s="737" t="n"/>
      <c r="CV1223" s="737" t="n"/>
      <c r="CW1223" s="737" t="n"/>
      <c r="CX1223" s="737" t="n"/>
      <c r="CY1223" s="737" t="n"/>
    </row>
    <row r="1224">
      <c r="A1224" s="737" t="n"/>
      <c r="B1224" s="737" t="n"/>
      <c r="C1224" s="737" t="n"/>
      <c r="D1224" s="737" t="n"/>
      <c r="E1224" s="737" t="n"/>
      <c r="F1224" s="737" t="n"/>
      <c r="G1224" s="737" t="n"/>
      <c r="H1224" s="737" t="n"/>
      <c r="I1224" s="737" t="n"/>
      <c r="J1224" s="737" t="n"/>
      <c r="K1224" s="737" t="n"/>
      <c r="L1224" s="737" t="n"/>
      <c r="M1224" s="737" t="n"/>
      <c r="N1224" s="737" t="n"/>
      <c r="O1224" s="737" t="n"/>
      <c r="P1224" s="737" t="n"/>
      <c r="Q1224" s="737" t="n"/>
      <c r="R1224" s="737" t="n"/>
      <c r="S1224" s="737" t="n"/>
      <c r="T1224" s="737" t="n"/>
      <c r="U1224" s="737" t="n"/>
      <c r="V1224" s="737" t="n"/>
      <c r="W1224" s="737" t="n"/>
      <c r="X1224" s="737" t="n"/>
      <c r="Y1224" s="737" t="n"/>
      <c r="Z1224" s="737" t="n"/>
      <c r="AA1224" s="737" t="n"/>
      <c r="AB1224" s="737" t="n"/>
      <c r="AC1224" s="737" t="n"/>
      <c r="AD1224" s="737" t="n"/>
      <c r="AE1224" s="737" t="n"/>
      <c r="AF1224" s="737" t="n"/>
      <c r="AG1224" s="737" t="n"/>
      <c r="AH1224" s="737" t="n"/>
      <c r="AI1224" s="737" t="n"/>
      <c r="AJ1224" s="737" t="n"/>
      <c r="AK1224" s="737" t="n"/>
      <c r="AL1224" s="737" t="n"/>
      <c r="AM1224" s="737" t="n"/>
      <c r="AN1224" s="737" t="n"/>
      <c r="AO1224" s="737" t="n"/>
      <c r="AP1224" s="737" t="n"/>
      <c r="AQ1224" s="737" t="n"/>
      <c r="AR1224" s="737" t="n"/>
      <c r="AS1224" s="737" t="n"/>
      <c r="AT1224" s="737" t="n"/>
      <c r="AU1224" s="737" t="n"/>
      <c r="AV1224" s="737" t="n"/>
      <c r="AW1224" s="737" t="n"/>
      <c r="AX1224" s="737" t="n"/>
      <c r="AY1224" s="737" t="n"/>
      <c r="AZ1224" s="737" t="n"/>
      <c r="BA1224" s="737" t="n"/>
      <c r="BB1224" s="737" t="n"/>
      <c r="BC1224" s="737" t="n"/>
      <c r="BD1224" s="737" t="n"/>
      <c r="BE1224" s="737" t="n"/>
      <c r="BF1224" s="737" t="n"/>
      <c r="BG1224" s="737" t="n"/>
      <c r="BH1224" s="737" t="n"/>
      <c r="BI1224" s="737" t="n"/>
      <c r="BJ1224" s="737" t="n"/>
      <c r="BK1224" s="737" t="n"/>
      <c r="BL1224" s="737" t="n"/>
      <c r="BM1224" s="737" t="n"/>
      <c r="BN1224" s="737" t="n"/>
      <c r="BO1224" s="737" t="n"/>
      <c r="BP1224" s="737" t="n"/>
      <c r="BQ1224" s="737" t="n"/>
      <c r="BR1224" s="737" t="n"/>
      <c r="BS1224" s="737" t="n"/>
      <c r="BT1224" s="737" t="n"/>
      <c r="BU1224" s="737" t="n"/>
      <c r="BV1224" s="737" t="n"/>
      <c r="BW1224" s="737" t="n"/>
      <c r="BX1224" s="737" t="n"/>
      <c r="BY1224" s="737" t="n"/>
      <c r="BZ1224" s="737" t="n"/>
      <c r="CA1224" s="737" t="n"/>
      <c r="CB1224" s="737" t="n"/>
      <c r="CC1224" s="737" t="n"/>
      <c r="CD1224" s="737" t="n"/>
      <c r="CE1224" s="737" t="n"/>
      <c r="CF1224" s="737" t="n"/>
      <c r="CG1224" s="737" t="n"/>
      <c r="CH1224" s="737" t="n"/>
      <c r="CI1224" s="737" t="n"/>
      <c r="CJ1224" s="737" t="n"/>
      <c r="CK1224" s="737" t="n"/>
      <c r="CL1224" s="737" t="n"/>
      <c r="CM1224" s="737" t="n"/>
      <c r="CN1224" s="737" t="n"/>
      <c r="CO1224" s="737" t="n"/>
      <c r="CP1224" s="737" t="n"/>
      <c r="CQ1224" s="737" t="n"/>
      <c r="CR1224" s="737" t="n"/>
      <c r="CS1224" s="737" t="n"/>
      <c r="CT1224" s="737" t="n"/>
      <c r="CU1224" s="737" t="n"/>
      <c r="CV1224" s="737" t="n"/>
      <c r="CW1224" s="737" t="n"/>
      <c r="CX1224" s="737" t="n"/>
      <c r="CY1224" s="737" t="n"/>
    </row>
    <row r="1225">
      <c r="A1225" s="737" t="n"/>
      <c r="B1225" s="737" t="n"/>
      <c r="C1225" s="737" t="n"/>
      <c r="D1225" s="737" t="n"/>
      <c r="E1225" s="737" t="n"/>
      <c r="F1225" s="737" t="n"/>
      <c r="G1225" s="737" t="n"/>
      <c r="H1225" s="737" t="n"/>
      <c r="I1225" s="737" t="n"/>
      <c r="J1225" s="737" t="n"/>
      <c r="K1225" s="737" t="n"/>
      <c r="L1225" s="737" t="n"/>
      <c r="M1225" s="737" t="n"/>
      <c r="N1225" s="737" t="n"/>
      <c r="O1225" s="737" t="n"/>
      <c r="P1225" s="737" t="n"/>
      <c r="Q1225" s="737" t="n"/>
      <c r="R1225" s="737" t="n"/>
      <c r="S1225" s="737" t="n"/>
      <c r="T1225" s="737" t="n"/>
      <c r="U1225" s="737" t="n"/>
      <c r="V1225" s="737" t="n"/>
      <c r="W1225" s="737" t="n"/>
      <c r="X1225" s="737" t="n"/>
      <c r="Y1225" s="737" t="n"/>
      <c r="Z1225" s="737" t="n"/>
      <c r="AA1225" s="737" t="n"/>
      <c r="AB1225" s="737" t="n"/>
      <c r="AC1225" s="737" t="n"/>
      <c r="AD1225" s="737" t="n"/>
      <c r="AE1225" s="737" t="n"/>
      <c r="AF1225" s="737" t="n"/>
      <c r="AG1225" s="737" t="n"/>
      <c r="AH1225" s="737" t="n"/>
      <c r="AI1225" s="737" t="n"/>
      <c r="AJ1225" s="737" t="n"/>
      <c r="AK1225" s="737" t="n"/>
      <c r="AL1225" s="737" t="n"/>
      <c r="AM1225" s="737" t="n"/>
      <c r="AN1225" s="737" t="n"/>
      <c r="AO1225" s="737" t="n"/>
      <c r="AP1225" s="737" t="n"/>
      <c r="AQ1225" s="737" t="n"/>
      <c r="AR1225" s="737" t="n"/>
      <c r="AS1225" s="737" t="n"/>
      <c r="AT1225" s="737" t="n"/>
      <c r="AU1225" s="737" t="n"/>
      <c r="AV1225" s="737" t="n"/>
      <c r="AW1225" s="737" t="n"/>
      <c r="AX1225" s="737" t="n"/>
      <c r="AY1225" s="737" t="n"/>
      <c r="AZ1225" s="737" t="n"/>
      <c r="BA1225" s="737" t="n"/>
      <c r="BB1225" s="737" t="n"/>
      <c r="BC1225" s="737" t="n"/>
      <c r="BD1225" s="737" t="n"/>
      <c r="BE1225" s="737" t="n"/>
      <c r="BF1225" s="737" t="n"/>
      <c r="BG1225" s="737" t="n"/>
      <c r="BH1225" s="737" t="n"/>
      <c r="BI1225" s="737" t="n"/>
      <c r="BJ1225" s="737" t="n"/>
      <c r="BK1225" s="737" t="n"/>
      <c r="BL1225" s="737" t="n"/>
      <c r="BM1225" s="737" t="n"/>
      <c r="BN1225" s="737" t="n"/>
      <c r="BO1225" s="737" t="n"/>
      <c r="BP1225" s="737" t="n"/>
      <c r="BQ1225" s="737" t="n"/>
      <c r="BR1225" s="737" t="n"/>
      <c r="BS1225" s="737" t="n"/>
      <c r="BT1225" s="737" t="n"/>
      <c r="BU1225" s="737" t="n"/>
      <c r="BV1225" s="737" t="n"/>
      <c r="BW1225" s="737" t="n"/>
      <c r="BX1225" s="737" t="n"/>
      <c r="BY1225" s="737" t="n"/>
      <c r="BZ1225" s="737" t="n"/>
      <c r="CA1225" s="737" t="n"/>
      <c r="CB1225" s="737" t="n"/>
      <c r="CC1225" s="737" t="n"/>
      <c r="CD1225" s="737" t="n"/>
      <c r="CE1225" s="737" t="n"/>
      <c r="CF1225" s="737" t="n"/>
      <c r="CG1225" s="737" t="n"/>
      <c r="CH1225" s="737" t="n"/>
      <c r="CI1225" s="737" t="n"/>
      <c r="CJ1225" s="737" t="n"/>
      <c r="CK1225" s="737" t="n"/>
      <c r="CL1225" s="737" t="n"/>
      <c r="CM1225" s="737" t="n"/>
      <c r="CN1225" s="737" t="n"/>
      <c r="CO1225" s="737" t="n"/>
      <c r="CP1225" s="737" t="n"/>
      <c r="CQ1225" s="737" t="n"/>
      <c r="CR1225" s="737" t="n"/>
      <c r="CS1225" s="737" t="n"/>
      <c r="CT1225" s="737" t="n"/>
      <c r="CU1225" s="737" t="n"/>
      <c r="CV1225" s="737" t="n"/>
      <c r="CW1225" s="737" t="n"/>
      <c r="CX1225" s="737" t="n"/>
      <c r="CY1225" s="737" t="n"/>
    </row>
    <row r="1226">
      <c r="A1226" s="737" t="n"/>
      <c r="B1226" s="737" t="n"/>
      <c r="C1226" s="737" t="n"/>
      <c r="D1226" s="737" t="n"/>
      <c r="E1226" s="737" t="n"/>
      <c r="F1226" s="737" t="n"/>
      <c r="G1226" s="737" t="n"/>
      <c r="H1226" s="737" t="n"/>
      <c r="I1226" s="737" t="n"/>
      <c r="J1226" s="737" t="n"/>
      <c r="K1226" s="737" t="n"/>
      <c r="L1226" s="737" t="n"/>
      <c r="M1226" s="737" t="n"/>
      <c r="N1226" s="737" t="n"/>
      <c r="O1226" s="737" t="n"/>
      <c r="P1226" s="737" t="n"/>
      <c r="Q1226" s="737" t="n"/>
      <c r="R1226" s="737" t="n"/>
      <c r="S1226" s="737" t="n"/>
      <c r="T1226" s="737" t="n"/>
      <c r="U1226" s="737" t="n"/>
      <c r="V1226" s="737" t="n"/>
      <c r="W1226" s="737" t="n"/>
      <c r="X1226" s="737" t="n"/>
      <c r="Y1226" s="737" t="n"/>
      <c r="Z1226" s="737" t="n"/>
      <c r="AA1226" s="737" t="n"/>
      <c r="AB1226" s="737" t="n"/>
      <c r="AC1226" s="737" t="n"/>
      <c r="AD1226" s="737" t="n"/>
      <c r="AE1226" s="737" t="n"/>
      <c r="AF1226" s="737" t="n"/>
      <c r="AG1226" s="737" t="n"/>
      <c r="AH1226" s="737" t="n"/>
      <c r="AI1226" s="737" t="n"/>
      <c r="AJ1226" s="737" t="n"/>
      <c r="AK1226" s="737" t="n"/>
      <c r="AL1226" s="737" t="n"/>
      <c r="AM1226" s="737" t="n"/>
      <c r="AN1226" s="737" t="n"/>
      <c r="AO1226" s="737" t="n"/>
      <c r="AP1226" s="737" t="n"/>
      <c r="AQ1226" s="737" t="n"/>
      <c r="AR1226" s="737" t="n"/>
      <c r="AS1226" s="737" t="n"/>
      <c r="AT1226" s="737" t="n"/>
      <c r="AU1226" s="737" t="n"/>
      <c r="AV1226" s="737" t="n"/>
      <c r="AW1226" s="737" t="n"/>
      <c r="AX1226" s="737" t="n"/>
      <c r="AY1226" s="737" t="n"/>
      <c r="AZ1226" s="737" t="n"/>
      <c r="BA1226" s="737" t="n"/>
      <c r="BB1226" s="737" t="n"/>
      <c r="BC1226" s="737" t="n"/>
      <c r="BD1226" s="737" t="n"/>
      <c r="BE1226" s="737" t="n"/>
      <c r="BF1226" s="737" t="n"/>
      <c r="BG1226" s="737" t="n"/>
      <c r="BH1226" s="737" t="n"/>
      <c r="BI1226" s="737" t="n"/>
      <c r="BJ1226" s="737" t="n"/>
      <c r="BK1226" s="737" t="n"/>
      <c r="BL1226" s="737" t="n"/>
      <c r="BM1226" s="737" t="n"/>
      <c r="BN1226" s="737" t="n"/>
      <c r="BO1226" s="737" t="n"/>
      <c r="BP1226" s="737" t="n"/>
      <c r="BQ1226" s="737" t="n"/>
      <c r="BR1226" s="737" t="n"/>
      <c r="BS1226" s="737" t="n"/>
      <c r="BT1226" s="737" t="n"/>
      <c r="BU1226" s="737" t="n"/>
      <c r="BV1226" s="737" t="n"/>
      <c r="BW1226" s="737" t="n"/>
      <c r="BX1226" s="737" t="n"/>
      <c r="BY1226" s="737" t="n"/>
      <c r="BZ1226" s="737" t="n"/>
      <c r="CA1226" s="737" t="n"/>
      <c r="CB1226" s="737" t="n"/>
      <c r="CC1226" s="737" t="n"/>
      <c r="CD1226" s="737" t="n"/>
      <c r="CE1226" s="737" t="n"/>
      <c r="CF1226" s="737" t="n"/>
      <c r="CG1226" s="737" t="n"/>
      <c r="CH1226" s="737" t="n"/>
      <c r="CI1226" s="737" t="n"/>
      <c r="CJ1226" s="737" t="n"/>
      <c r="CK1226" s="737" t="n"/>
      <c r="CL1226" s="737" t="n"/>
      <c r="CM1226" s="737" t="n"/>
      <c r="CN1226" s="737" t="n"/>
      <c r="CO1226" s="737" t="n"/>
      <c r="CP1226" s="737" t="n"/>
      <c r="CQ1226" s="737" t="n"/>
      <c r="CR1226" s="737" t="n"/>
      <c r="CS1226" s="737" t="n"/>
      <c r="CT1226" s="737" t="n"/>
      <c r="CU1226" s="737" t="n"/>
      <c r="CV1226" s="737" t="n"/>
      <c r="CW1226" s="737" t="n"/>
      <c r="CX1226" s="737" t="n"/>
      <c r="CY1226" s="737" t="n"/>
    </row>
    <row r="1227">
      <c r="A1227" s="737" t="n"/>
      <c r="B1227" s="737" t="n"/>
      <c r="C1227" s="737" t="n"/>
      <c r="D1227" s="737" t="n"/>
      <c r="E1227" s="737" t="n"/>
      <c r="F1227" s="737" t="n"/>
      <c r="G1227" s="737" t="n"/>
      <c r="H1227" s="737" t="n"/>
      <c r="I1227" s="737" t="n"/>
      <c r="J1227" s="737" t="n"/>
      <c r="K1227" s="737" t="n"/>
      <c r="L1227" s="737" t="n"/>
      <c r="M1227" s="737" t="n"/>
      <c r="N1227" s="737" t="n"/>
      <c r="O1227" s="737" t="n"/>
      <c r="P1227" s="737" t="n"/>
      <c r="Q1227" s="737" t="n"/>
      <c r="R1227" s="737" t="n"/>
      <c r="S1227" s="737" t="n"/>
      <c r="T1227" s="737" t="n"/>
      <c r="U1227" s="737" t="n"/>
      <c r="V1227" s="737" t="n"/>
      <c r="W1227" s="737" t="n"/>
      <c r="X1227" s="737" t="n"/>
      <c r="Y1227" s="737" t="n"/>
      <c r="Z1227" s="737" t="n"/>
      <c r="AA1227" s="737" t="n"/>
      <c r="AB1227" s="737" t="n"/>
      <c r="AC1227" s="737" t="n"/>
      <c r="AD1227" s="737" t="n"/>
      <c r="AE1227" s="737" t="n"/>
      <c r="AF1227" s="737" t="n"/>
      <c r="AG1227" s="737" t="n"/>
      <c r="AH1227" s="737" t="n"/>
      <c r="AI1227" s="737" t="n"/>
      <c r="AJ1227" s="737" t="n"/>
      <c r="AK1227" s="737" t="n"/>
      <c r="AL1227" s="737" t="n"/>
      <c r="AM1227" s="737" t="n"/>
      <c r="AN1227" s="737" t="n"/>
      <c r="AO1227" s="737" t="n"/>
      <c r="AP1227" s="737" t="n"/>
      <c r="AQ1227" s="737" t="n"/>
      <c r="AR1227" s="737" t="n"/>
      <c r="AS1227" s="737" t="n"/>
      <c r="AT1227" s="737" t="n"/>
      <c r="AU1227" s="737" t="n"/>
      <c r="AV1227" s="737" t="n"/>
      <c r="AW1227" s="737" t="n"/>
      <c r="AX1227" s="737" t="n"/>
      <c r="AY1227" s="737" t="n"/>
      <c r="AZ1227" s="737" t="n"/>
      <c r="BA1227" s="737" t="n"/>
      <c r="BB1227" s="737" t="n"/>
      <c r="BC1227" s="737" t="n"/>
      <c r="BD1227" s="737" t="n"/>
      <c r="BE1227" s="737" t="n"/>
      <c r="BF1227" s="737" t="n"/>
      <c r="BG1227" s="737" t="n"/>
      <c r="BH1227" s="737" t="n"/>
      <c r="BI1227" s="737" t="n"/>
      <c r="BJ1227" s="737" t="n"/>
      <c r="BK1227" s="737" t="n"/>
      <c r="BL1227" s="737" t="n"/>
      <c r="BM1227" s="737" t="n"/>
      <c r="BN1227" s="737" t="n"/>
      <c r="BO1227" s="737" t="n"/>
      <c r="BP1227" s="737" t="n"/>
      <c r="BQ1227" s="737" t="n"/>
      <c r="BR1227" s="737" t="n"/>
      <c r="BS1227" s="737" t="n"/>
      <c r="BT1227" s="737" t="n"/>
      <c r="BU1227" s="737" t="n"/>
      <c r="BV1227" s="737" t="n"/>
      <c r="BW1227" s="737" t="n"/>
      <c r="BX1227" s="737" t="n"/>
      <c r="BY1227" s="737" t="n"/>
      <c r="BZ1227" s="737" t="n"/>
      <c r="CA1227" s="737" t="n"/>
      <c r="CB1227" s="737" t="n"/>
      <c r="CC1227" s="737" t="n"/>
      <c r="CD1227" s="737" t="n"/>
      <c r="CE1227" s="737" t="n"/>
      <c r="CF1227" s="737" t="n"/>
      <c r="CG1227" s="737" t="n"/>
      <c r="CH1227" s="737" t="n"/>
      <c r="CI1227" s="737" t="n"/>
      <c r="CJ1227" s="737" t="n"/>
      <c r="CK1227" s="737" t="n"/>
      <c r="CL1227" s="737" t="n"/>
      <c r="CM1227" s="737" t="n"/>
      <c r="CN1227" s="737" t="n"/>
      <c r="CO1227" s="737" t="n"/>
      <c r="CP1227" s="737" t="n"/>
      <c r="CQ1227" s="737" t="n"/>
      <c r="CR1227" s="737" t="n"/>
      <c r="CS1227" s="737" t="n"/>
      <c r="CT1227" s="737" t="n"/>
      <c r="CU1227" s="737" t="n"/>
      <c r="CV1227" s="737" t="n"/>
      <c r="CW1227" s="737" t="n"/>
      <c r="CX1227" s="737" t="n"/>
      <c r="CY1227" s="737" t="n"/>
    </row>
    <row r="1228">
      <c r="A1228" s="737" t="n"/>
      <c r="B1228" s="737" t="n"/>
      <c r="C1228" s="737" t="n"/>
      <c r="D1228" s="737" t="n"/>
      <c r="E1228" s="737" t="n"/>
      <c r="F1228" s="737" t="n"/>
      <c r="G1228" s="737" t="n"/>
      <c r="H1228" s="737" t="n"/>
      <c r="I1228" s="737" t="n"/>
      <c r="J1228" s="737" t="n"/>
      <c r="K1228" s="737" t="n"/>
      <c r="L1228" s="737" t="n"/>
      <c r="M1228" s="737" t="n"/>
      <c r="N1228" s="737" t="n"/>
      <c r="O1228" s="737" t="n"/>
      <c r="P1228" s="737" t="n"/>
      <c r="Q1228" s="737" t="n"/>
      <c r="R1228" s="737" t="n"/>
      <c r="S1228" s="737" t="n"/>
      <c r="T1228" s="737" t="n"/>
      <c r="U1228" s="737" t="n"/>
      <c r="V1228" s="737" t="n"/>
      <c r="W1228" s="737" t="n"/>
      <c r="X1228" s="737" t="n"/>
      <c r="Y1228" s="737" t="n"/>
      <c r="Z1228" s="737" t="n"/>
      <c r="AA1228" s="737" t="n"/>
      <c r="AB1228" s="737" t="n"/>
      <c r="AC1228" s="737" t="n"/>
      <c r="AD1228" s="737" t="n"/>
      <c r="AE1228" s="737" t="n"/>
      <c r="AF1228" s="737" t="n"/>
      <c r="AG1228" s="737" t="n"/>
      <c r="AH1228" s="737" t="n"/>
      <c r="AI1228" s="737" t="n"/>
      <c r="AJ1228" s="737" t="n"/>
      <c r="AK1228" s="737" t="n"/>
      <c r="AL1228" s="737" t="n"/>
      <c r="AM1228" s="737" t="n"/>
      <c r="AN1228" s="737" t="n"/>
      <c r="AO1228" s="737" t="n"/>
      <c r="AP1228" s="737" t="n"/>
      <c r="AQ1228" s="737" t="n"/>
      <c r="AR1228" s="737" t="n"/>
      <c r="AS1228" s="737" t="n"/>
      <c r="AT1228" s="737" t="n"/>
      <c r="AU1228" s="737" t="n"/>
      <c r="AV1228" s="737" t="n"/>
      <c r="AW1228" s="737" t="n"/>
      <c r="AX1228" s="737" t="n"/>
      <c r="AY1228" s="737" t="n"/>
      <c r="AZ1228" s="737" t="n"/>
      <c r="BA1228" s="737" t="n"/>
      <c r="BB1228" s="737" t="n"/>
      <c r="BC1228" s="737" t="n"/>
      <c r="BD1228" s="737" t="n"/>
      <c r="BE1228" s="737" t="n"/>
      <c r="BF1228" s="737" t="n"/>
      <c r="BG1228" s="737" t="n"/>
      <c r="BH1228" s="737" t="n"/>
      <c r="BI1228" s="737" t="n"/>
      <c r="BJ1228" s="737" t="n"/>
      <c r="BK1228" s="737" t="n"/>
      <c r="BL1228" s="737" t="n"/>
      <c r="BM1228" s="737" t="n"/>
      <c r="BN1228" s="737" t="n"/>
      <c r="BO1228" s="737" t="n"/>
      <c r="BP1228" s="737" t="n"/>
      <c r="BQ1228" s="737" t="n"/>
      <c r="BR1228" s="737" t="n"/>
      <c r="BS1228" s="737" t="n"/>
      <c r="BT1228" s="737" t="n"/>
      <c r="BU1228" s="737" t="n"/>
      <c r="BV1228" s="737" t="n"/>
      <c r="BW1228" s="737" t="n"/>
      <c r="BX1228" s="737" t="n"/>
      <c r="BY1228" s="737" t="n"/>
      <c r="BZ1228" s="737" t="n"/>
      <c r="CA1228" s="737" t="n"/>
      <c r="CB1228" s="737" t="n"/>
      <c r="CC1228" s="737" t="n"/>
      <c r="CD1228" s="737" t="n"/>
      <c r="CE1228" s="737" t="n"/>
      <c r="CF1228" s="737" t="n"/>
      <c r="CG1228" s="737" t="n"/>
      <c r="CH1228" s="737" t="n"/>
      <c r="CI1228" s="737" t="n"/>
      <c r="CJ1228" s="737" t="n"/>
      <c r="CK1228" s="737" t="n"/>
      <c r="CL1228" s="737" t="n"/>
      <c r="CM1228" s="737" t="n"/>
      <c r="CN1228" s="737" t="n"/>
      <c r="CO1228" s="737" t="n"/>
      <c r="CP1228" s="737" t="n"/>
      <c r="CQ1228" s="737" t="n"/>
      <c r="CR1228" s="737" t="n"/>
      <c r="CS1228" s="737" t="n"/>
      <c r="CT1228" s="737" t="n"/>
      <c r="CU1228" s="737" t="n"/>
      <c r="CV1228" s="737" t="n"/>
      <c r="CW1228" s="737" t="n"/>
      <c r="CX1228" s="737" t="n"/>
      <c r="CY1228" s="737" t="n"/>
    </row>
    <row r="1229">
      <c r="A1229" s="737" t="n"/>
      <c r="B1229" s="737" t="n"/>
      <c r="C1229" s="737" t="n"/>
      <c r="D1229" s="737" t="n"/>
      <c r="E1229" s="737" t="n"/>
      <c r="F1229" s="737" t="n"/>
      <c r="G1229" s="737" t="n"/>
      <c r="H1229" s="737" t="n"/>
      <c r="I1229" s="737" t="n"/>
      <c r="J1229" s="737" t="n"/>
      <c r="K1229" s="737" t="n"/>
      <c r="L1229" s="737" t="n"/>
      <c r="M1229" s="737" t="n"/>
      <c r="N1229" s="737" t="n"/>
      <c r="O1229" s="737" t="n"/>
      <c r="P1229" s="737" t="n"/>
      <c r="Q1229" s="737" t="n"/>
      <c r="R1229" s="737" t="n"/>
      <c r="S1229" s="737" t="n"/>
      <c r="T1229" s="737" t="n"/>
      <c r="U1229" s="737" t="n"/>
      <c r="V1229" s="737" t="n"/>
      <c r="W1229" s="737" t="n"/>
      <c r="X1229" s="737" t="n"/>
      <c r="Y1229" s="737" t="n"/>
      <c r="Z1229" s="737" t="n"/>
      <c r="AA1229" s="737" t="n"/>
      <c r="AB1229" s="737" t="n"/>
      <c r="AC1229" s="737" t="n"/>
      <c r="AD1229" s="737" t="n"/>
      <c r="AE1229" s="737" t="n"/>
      <c r="AF1229" s="737" t="n"/>
      <c r="AG1229" s="737" t="n"/>
      <c r="AH1229" s="737" t="n"/>
      <c r="AI1229" s="737" t="n"/>
      <c r="AJ1229" s="737" t="n"/>
      <c r="AK1229" s="737" t="n"/>
      <c r="AL1229" s="737" t="n"/>
      <c r="AM1229" s="737" t="n"/>
      <c r="AN1229" s="737" t="n"/>
      <c r="AO1229" s="737" t="n"/>
      <c r="AP1229" s="737" t="n"/>
      <c r="AQ1229" s="737" t="n"/>
      <c r="AR1229" s="737" t="n"/>
      <c r="AS1229" s="737" t="n"/>
      <c r="AT1229" s="737" t="n"/>
      <c r="AU1229" s="737" t="n"/>
      <c r="AV1229" s="737" t="n"/>
      <c r="AW1229" s="737" t="n"/>
      <c r="AX1229" s="737" t="n"/>
      <c r="AY1229" s="737" t="n"/>
      <c r="AZ1229" s="737" t="n"/>
      <c r="BA1229" s="737" t="n"/>
      <c r="BB1229" s="737" t="n"/>
      <c r="BC1229" s="737" t="n"/>
      <c r="BD1229" s="737" t="n"/>
      <c r="BE1229" s="737" t="n"/>
      <c r="BF1229" s="737" t="n"/>
      <c r="BG1229" s="737" t="n"/>
      <c r="BH1229" s="737" t="n"/>
      <c r="BI1229" s="737" t="n"/>
      <c r="BJ1229" s="737" t="n"/>
      <c r="BK1229" s="737" t="n"/>
      <c r="BL1229" s="737" t="n"/>
      <c r="BM1229" s="737" t="n"/>
      <c r="BN1229" s="737" t="n"/>
      <c r="BO1229" s="737" t="n"/>
      <c r="BP1229" s="737" t="n"/>
      <c r="BQ1229" s="737" t="n"/>
      <c r="BR1229" s="737" t="n"/>
      <c r="BS1229" s="737" t="n"/>
      <c r="BT1229" s="737" t="n"/>
      <c r="BU1229" s="737" t="n"/>
      <c r="BV1229" s="737" t="n"/>
      <c r="BW1229" s="737" t="n"/>
      <c r="BX1229" s="737" t="n"/>
      <c r="BY1229" s="737" t="n"/>
      <c r="BZ1229" s="737" t="n"/>
      <c r="CA1229" s="737" t="n"/>
      <c r="CB1229" s="737" t="n"/>
      <c r="CC1229" s="737" t="n"/>
      <c r="CD1229" s="737" t="n"/>
      <c r="CE1229" s="737" t="n"/>
      <c r="CF1229" s="737" t="n"/>
      <c r="CG1229" s="737" t="n"/>
      <c r="CH1229" s="737" t="n"/>
      <c r="CI1229" s="737" t="n"/>
      <c r="CJ1229" s="737" t="n"/>
      <c r="CK1229" s="737" t="n"/>
      <c r="CL1229" s="737" t="n"/>
      <c r="CM1229" s="737" t="n"/>
      <c r="CN1229" s="737" t="n"/>
      <c r="CO1229" s="737" t="n"/>
      <c r="CP1229" s="737" t="n"/>
      <c r="CQ1229" s="737" t="n"/>
      <c r="CR1229" s="737" t="n"/>
      <c r="CS1229" s="737" t="n"/>
      <c r="CT1229" s="737" t="n"/>
      <c r="CU1229" s="737" t="n"/>
      <c r="CV1229" s="737" t="n"/>
      <c r="CW1229" s="737" t="n"/>
      <c r="CX1229" s="737" t="n"/>
      <c r="CY1229" s="737" t="n"/>
    </row>
    <row r="1230">
      <c r="A1230" s="737" t="n"/>
      <c r="B1230" s="737" t="n"/>
      <c r="C1230" s="737" t="n"/>
      <c r="D1230" s="737" t="n"/>
      <c r="E1230" s="737" t="n"/>
      <c r="F1230" s="737" t="n"/>
      <c r="G1230" s="737" t="n"/>
      <c r="H1230" s="737" t="n"/>
      <c r="I1230" s="737" t="n"/>
      <c r="J1230" s="737" t="n"/>
      <c r="K1230" s="737" t="n"/>
      <c r="L1230" s="737" t="n"/>
      <c r="M1230" s="737" t="n"/>
      <c r="N1230" s="737" t="n"/>
      <c r="O1230" s="737" t="n"/>
      <c r="P1230" s="737" t="n"/>
      <c r="Q1230" s="737" t="n"/>
      <c r="R1230" s="737" t="n"/>
      <c r="S1230" s="737" t="n"/>
      <c r="T1230" s="737" t="n"/>
      <c r="U1230" s="737" t="n"/>
      <c r="V1230" s="737" t="n"/>
      <c r="W1230" s="737" t="n"/>
      <c r="X1230" s="737" t="n"/>
      <c r="Y1230" s="737" t="n"/>
      <c r="Z1230" s="737" t="n"/>
      <c r="AA1230" s="737" t="n"/>
      <c r="AB1230" s="737" t="n"/>
      <c r="AC1230" s="737" t="n"/>
      <c r="AD1230" s="737" t="n"/>
      <c r="AE1230" s="737" t="n"/>
      <c r="AF1230" s="737" t="n"/>
      <c r="AG1230" s="737" t="n"/>
      <c r="AH1230" s="737" t="n"/>
      <c r="AI1230" s="737" t="n"/>
      <c r="AJ1230" s="737" t="n"/>
      <c r="AK1230" s="737" t="n"/>
      <c r="AL1230" s="737" t="n"/>
      <c r="AM1230" s="737" t="n"/>
      <c r="AN1230" s="737" t="n"/>
      <c r="AO1230" s="737" t="n"/>
      <c r="AP1230" s="737" t="n"/>
      <c r="AQ1230" s="737" t="n"/>
      <c r="AR1230" s="737" t="n"/>
      <c r="AS1230" s="737" t="n"/>
      <c r="AT1230" s="737" t="n"/>
      <c r="AU1230" s="737" t="n"/>
      <c r="AV1230" s="737" t="n"/>
      <c r="AW1230" s="737" t="n"/>
      <c r="AX1230" s="737" t="n"/>
      <c r="AY1230" s="737" t="n"/>
      <c r="AZ1230" s="737" t="n"/>
      <c r="BA1230" s="737" t="n"/>
      <c r="BB1230" s="737" t="n"/>
      <c r="BC1230" s="737" t="n"/>
      <c r="BD1230" s="737" t="n"/>
      <c r="BE1230" s="737" t="n"/>
      <c r="BF1230" s="737" t="n"/>
      <c r="BG1230" s="737" t="n"/>
      <c r="BH1230" s="737" t="n"/>
      <c r="BI1230" s="737" t="n"/>
      <c r="BJ1230" s="737" t="n"/>
      <c r="BK1230" s="737" t="n"/>
      <c r="BL1230" s="737" t="n"/>
      <c r="BM1230" s="737" t="n"/>
      <c r="BN1230" s="737" t="n"/>
      <c r="BO1230" s="737" t="n"/>
      <c r="BP1230" s="737" t="n"/>
      <c r="BQ1230" s="737" t="n"/>
      <c r="BR1230" s="737" t="n"/>
      <c r="BS1230" s="737" t="n"/>
      <c r="BT1230" s="737" t="n"/>
      <c r="BU1230" s="737" t="n"/>
      <c r="BV1230" s="737" t="n"/>
      <c r="BW1230" s="737" t="n"/>
      <c r="BX1230" s="737" t="n"/>
      <c r="BY1230" s="737" t="n"/>
      <c r="BZ1230" s="737" t="n"/>
      <c r="CA1230" s="737" t="n"/>
      <c r="CB1230" s="737" t="n"/>
      <c r="CC1230" s="737" t="n"/>
      <c r="CD1230" s="737" t="n"/>
      <c r="CE1230" s="737" t="n"/>
      <c r="CF1230" s="737" t="n"/>
      <c r="CG1230" s="737" t="n"/>
      <c r="CH1230" s="737" t="n"/>
      <c r="CI1230" s="737" t="n"/>
      <c r="CJ1230" s="737" t="n"/>
      <c r="CK1230" s="737" t="n"/>
      <c r="CL1230" s="737" t="n"/>
      <c r="CM1230" s="737" t="n"/>
      <c r="CN1230" s="737" t="n"/>
      <c r="CO1230" s="737" t="n"/>
      <c r="CP1230" s="737" t="n"/>
      <c r="CQ1230" s="737" t="n"/>
      <c r="CR1230" s="737" t="n"/>
      <c r="CS1230" s="737" t="n"/>
      <c r="CT1230" s="737" t="n"/>
      <c r="CU1230" s="737" t="n"/>
      <c r="CV1230" s="737" t="n"/>
      <c r="CW1230" s="737" t="n"/>
      <c r="CX1230" s="737" t="n"/>
      <c r="CY1230" s="737" t="n"/>
    </row>
    <row r="1231">
      <c r="A1231" s="737" t="n"/>
      <c r="B1231" s="737" t="n"/>
      <c r="C1231" s="737" t="n"/>
      <c r="D1231" s="737" t="n"/>
      <c r="E1231" s="737" t="n"/>
      <c r="F1231" s="737" t="n"/>
      <c r="G1231" s="737" t="n"/>
      <c r="H1231" s="737" t="n"/>
      <c r="I1231" s="737" t="n"/>
      <c r="J1231" s="737" t="n"/>
      <c r="K1231" s="737" t="n"/>
      <c r="L1231" s="737" t="n"/>
      <c r="M1231" s="737" t="n"/>
      <c r="N1231" s="737" t="n"/>
      <c r="O1231" s="737" t="n"/>
      <c r="P1231" s="737" t="n"/>
      <c r="Q1231" s="737" t="n"/>
      <c r="R1231" s="737" t="n"/>
      <c r="S1231" s="737" t="n"/>
      <c r="T1231" s="737" t="n"/>
      <c r="U1231" s="737" t="n"/>
      <c r="V1231" s="737" t="n"/>
      <c r="W1231" s="737" t="n"/>
      <c r="X1231" s="737" t="n"/>
      <c r="Y1231" s="737" t="n"/>
      <c r="Z1231" s="737" t="n"/>
      <c r="AA1231" s="737" t="n"/>
      <c r="AB1231" s="737" t="n"/>
      <c r="AC1231" s="737" t="n"/>
      <c r="AD1231" s="737" t="n"/>
      <c r="AE1231" s="737" t="n"/>
      <c r="AF1231" s="737" t="n"/>
      <c r="AG1231" s="737" t="n"/>
      <c r="AH1231" s="737" t="n"/>
      <c r="AI1231" s="737" t="n"/>
      <c r="AJ1231" s="737" t="n"/>
      <c r="AK1231" s="737" t="n"/>
      <c r="AL1231" s="737" t="n"/>
      <c r="AM1231" s="737" t="n"/>
      <c r="AN1231" s="737" t="n"/>
      <c r="AO1231" s="737" t="n"/>
      <c r="AP1231" s="737" t="n"/>
      <c r="AQ1231" s="737" t="n"/>
      <c r="AR1231" s="737" t="n"/>
      <c r="AS1231" s="737" t="n"/>
      <c r="AT1231" s="737" t="n"/>
      <c r="AU1231" s="737" t="n"/>
      <c r="AV1231" s="737" t="n"/>
      <c r="AW1231" s="737" t="n"/>
      <c r="AX1231" s="737" t="n"/>
      <c r="AY1231" s="737" t="n"/>
      <c r="AZ1231" s="737" t="n"/>
      <c r="BA1231" s="737" t="n"/>
      <c r="BB1231" s="737" t="n"/>
      <c r="BC1231" s="737" t="n"/>
      <c r="BD1231" s="737" t="n"/>
      <c r="BE1231" s="737" t="n"/>
      <c r="BF1231" s="737" t="n"/>
      <c r="BG1231" s="737" t="n"/>
      <c r="BH1231" s="737" t="n"/>
      <c r="BI1231" s="737" t="n"/>
      <c r="BJ1231" s="737" t="n"/>
      <c r="BK1231" s="737" t="n"/>
      <c r="BL1231" s="737" t="n"/>
      <c r="BM1231" s="737" t="n"/>
      <c r="BN1231" s="737" t="n"/>
      <c r="BO1231" s="737" t="n"/>
      <c r="BP1231" s="737" t="n"/>
      <c r="BQ1231" s="737" t="n"/>
      <c r="BR1231" s="737" t="n"/>
      <c r="BS1231" s="737" t="n"/>
      <c r="BT1231" s="737" t="n"/>
      <c r="BU1231" s="737" t="n"/>
      <c r="BV1231" s="737" t="n"/>
      <c r="BW1231" s="737" t="n"/>
      <c r="BX1231" s="737" t="n"/>
      <c r="BY1231" s="737" t="n"/>
      <c r="BZ1231" s="737" t="n"/>
      <c r="CA1231" s="737" t="n"/>
      <c r="CB1231" s="737" t="n"/>
      <c r="CC1231" s="737" t="n"/>
      <c r="CD1231" s="737" t="n"/>
      <c r="CE1231" s="737" t="n"/>
      <c r="CF1231" s="737" t="n"/>
      <c r="CG1231" s="737" t="n"/>
      <c r="CH1231" s="737" t="n"/>
      <c r="CI1231" s="737" t="n"/>
      <c r="CJ1231" s="737" t="n"/>
      <c r="CK1231" s="737" t="n"/>
      <c r="CL1231" s="737" t="n"/>
      <c r="CM1231" s="737" t="n"/>
      <c r="CN1231" s="737" t="n"/>
      <c r="CO1231" s="737" t="n"/>
      <c r="CP1231" s="737" t="n"/>
      <c r="CQ1231" s="737" t="n"/>
      <c r="CR1231" s="737" t="n"/>
      <c r="CS1231" s="737" t="n"/>
      <c r="CT1231" s="737" t="n"/>
      <c r="CU1231" s="737" t="n"/>
      <c r="CV1231" s="737" t="n"/>
      <c r="CW1231" s="737" t="n"/>
      <c r="CX1231" s="737" t="n"/>
      <c r="CY1231" s="737" t="n"/>
    </row>
    <row r="1232">
      <c r="A1232" s="737" t="n"/>
      <c r="B1232" s="737" t="n"/>
      <c r="C1232" s="737" t="n"/>
      <c r="D1232" s="737" t="n"/>
      <c r="E1232" s="737" t="n"/>
      <c r="F1232" s="737" t="n"/>
      <c r="G1232" s="737" t="n"/>
      <c r="H1232" s="737" t="n"/>
      <c r="I1232" s="737" t="n"/>
      <c r="J1232" s="737" t="n"/>
      <c r="K1232" s="737" t="n"/>
      <c r="L1232" s="737" t="n"/>
      <c r="M1232" s="737" t="n"/>
      <c r="N1232" s="737" t="n"/>
      <c r="O1232" s="737" t="n"/>
      <c r="P1232" s="737" t="n"/>
      <c r="Q1232" s="737" t="n"/>
      <c r="R1232" s="737" t="n"/>
      <c r="S1232" s="737" t="n"/>
      <c r="T1232" s="737" t="n"/>
      <c r="U1232" s="737" t="n"/>
      <c r="V1232" s="737" t="n"/>
      <c r="W1232" s="737" t="n"/>
      <c r="X1232" s="737" t="n"/>
      <c r="Y1232" s="737" t="n"/>
      <c r="Z1232" s="737" t="n"/>
      <c r="AA1232" s="737" t="n"/>
      <c r="AB1232" s="737" t="n"/>
      <c r="AC1232" s="737" t="n"/>
      <c r="AD1232" s="737" t="n"/>
      <c r="AE1232" s="737" t="n"/>
      <c r="AF1232" s="737" t="n"/>
      <c r="AG1232" s="737" t="n"/>
      <c r="AH1232" s="737" t="n"/>
      <c r="AI1232" s="737" t="n"/>
      <c r="AJ1232" s="737" t="n"/>
      <c r="AK1232" s="737" t="n"/>
      <c r="AL1232" s="737" t="n"/>
      <c r="AM1232" s="737" t="n"/>
      <c r="AN1232" s="737" t="n"/>
      <c r="AO1232" s="737" t="n"/>
      <c r="AP1232" s="737" t="n"/>
      <c r="AQ1232" s="737" t="n"/>
      <c r="AR1232" s="737" t="n"/>
      <c r="AS1232" s="737" t="n"/>
      <c r="AT1232" s="737" t="n"/>
      <c r="AU1232" s="737" t="n"/>
      <c r="AV1232" s="737" t="n"/>
      <c r="AW1232" s="737" t="n"/>
      <c r="AX1232" s="737" t="n"/>
      <c r="AY1232" s="737" t="n"/>
      <c r="AZ1232" s="737" t="n"/>
      <c r="BA1232" s="737" t="n"/>
      <c r="BB1232" s="737" t="n"/>
      <c r="BC1232" s="737" t="n"/>
      <c r="BD1232" s="737" t="n"/>
      <c r="BE1232" s="737" t="n"/>
      <c r="BF1232" s="737" t="n"/>
      <c r="BG1232" s="737" t="n"/>
      <c r="BH1232" s="737" t="n"/>
      <c r="BI1232" s="737" t="n"/>
      <c r="BJ1232" s="737" t="n"/>
      <c r="BK1232" s="737" t="n"/>
      <c r="BL1232" s="737" t="n"/>
      <c r="BM1232" s="737" t="n"/>
      <c r="BN1232" s="737" t="n"/>
      <c r="BO1232" s="737" t="n"/>
      <c r="BP1232" s="737" t="n"/>
      <c r="BQ1232" s="737" t="n"/>
      <c r="BR1232" s="737" t="n"/>
      <c r="BS1232" s="737" t="n"/>
      <c r="BT1232" s="737" t="n"/>
      <c r="BU1232" s="737" t="n"/>
      <c r="BV1232" s="737" t="n"/>
      <c r="BW1232" s="737" t="n"/>
      <c r="BX1232" s="737" t="n"/>
      <c r="BY1232" s="737" t="n"/>
      <c r="BZ1232" s="737" t="n"/>
      <c r="CA1232" s="737" t="n"/>
      <c r="CB1232" s="737" t="n"/>
      <c r="CC1232" s="737" t="n"/>
      <c r="CD1232" s="737" t="n"/>
      <c r="CE1232" s="737" t="n"/>
      <c r="CF1232" s="737" t="n"/>
      <c r="CG1232" s="737" t="n"/>
      <c r="CH1232" s="737" t="n"/>
      <c r="CI1232" s="737" t="n"/>
      <c r="CJ1232" s="737" t="n"/>
      <c r="CK1232" s="737" t="n"/>
      <c r="CL1232" s="737" t="n"/>
      <c r="CM1232" s="737" t="n"/>
      <c r="CN1232" s="737" t="n"/>
      <c r="CO1232" s="737" t="n"/>
      <c r="CP1232" s="737" t="n"/>
      <c r="CQ1232" s="737" t="n"/>
      <c r="CR1232" s="737" t="n"/>
      <c r="CS1232" s="737" t="n"/>
      <c r="CT1232" s="737" t="n"/>
      <c r="CU1232" s="737" t="n"/>
      <c r="CV1232" s="737" t="n"/>
      <c r="CW1232" s="737" t="n"/>
      <c r="CX1232" s="737" t="n"/>
      <c r="CY1232" s="737" t="n"/>
    </row>
    <row r="1233">
      <c r="A1233" s="737" t="n"/>
      <c r="B1233" s="737" t="n"/>
      <c r="C1233" s="737" t="n"/>
      <c r="D1233" s="737" t="n"/>
      <c r="E1233" s="737" t="n"/>
      <c r="F1233" s="737" t="n"/>
      <c r="G1233" s="737" t="n"/>
      <c r="H1233" s="737" t="n"/>
      <c r="I1233" s="737" t="n"/>
      <c r="J1233" s="737" t="n"/>
      <c r="K1233" s="737" t="n"/>
      <c r="L1233" s="737" t="n"/>
      <c r="M1233" s="737" t="n"/>
      <c r="N1233" s="737" t="n"/>
      <c r="O1233" s="737" t="n"/>
      <c r="P1233" s="737" t="n"/>
      <c r="Q1233" s="737" t="n"/>
      <c r="R1233" s="737" t="n"/>
      <c r="S1233" s="737" t="n"/>
      <c r="T1233" s="737" t="n"/>
      <c r="U1233" s="737" t="n"/>
      <c r="V1233" s="737" t="n"/>
      <c r="W1233" s="737" t="n"/>
      <c r="X1233" s="737" t="n"/>
      <c r="Y1233" s="737" t="n"/>
      <c r="Z1233" s="737" t="n"/>
      <c r="AA1233" s="737" t="n"/>
      <c r="AB1233" s="737" t="n"/>
      <c r="AC1233" s="737" t="n"/>
      <c r="AD1233" s="737" t="n"/>
      <c r="AE1233" s="737" t="n"/>
      <c r="AF1233" s="737" t="n"/>
      <c r="AG1233" s="737" t="n"/>
      <c r="AH1233" s="737" t="n"/>
      <c r="AI1233" s="737" t="n"/>
      <c r="AJ1233" s="737" t="n"/>
      <c r="AK1233" s="737" t="n"/>
      <c r="AL1233" s="737" t="n"/>
      <c r="AM1233" s="737" t="n"/>
      <c r="AN1233" s="737" t="n"/>
      <c r="AO1233" s="737" t="n"/>
      <c r="AP1233" s="737" t="n"/>
      <c r="AQ1233" s="737" t="n"/>
      <c r="AR1233" s="737" t="n"/>
      <c r="AS1233" s="737" t="n"/>
      <c r="AT1233" s="737" t="n"/>
      <c r="AU1233" s="737" t="n"/>
      <c r="AV1233" s="737" t="n"/>
      <c r="AW1233" s="737" t="n"/>
      <c r="AX1233" s="737" t="n"/>
      <c r="AY1233" s="737" t="n"/>
      <c r="AZ1233" s="737" t="n"/>
      <c r="BA1233" s="737" t="n"/>
      <c r="BB1233" s="737" t="n"/>
      <c r="BC1233" s="737" t="n"/>
      <c r="BD1233" s="737" t="n"/>
      <c r="BE1233" s="737" t="n"/>
      <c r="BF1233" s="737" t="n"/>
      <c r="BG1233" s="737" t="n"/>
      <c r="BH1233" s="737" t="n"/>
      <c r="BI1233" s="737" t="n"/>
      <c r="BJ1233" s="737" t="n"/>
      <c r="BK1233" s="737" t="n"/>
      <c r="BL1233" s="737" t="n"/>
      <c r="BM1233" s="737" t="n"/>
      <c r="BN1233" s="737" t="n"/>
      <c r="BO1233" s="737" t="n"/>
      <c r="BP1233" s="737" t="n"/>
      <c r="BQ1233" s="737" t="n"/>
      <c r="BR1233" s="737" t="n"/>
      <c r="BS1233" s="737" t="n"/>
      <c r="BT1233" s="737" t="n"/>
      <c r="BU1233" s="737" t="n"/>
      <c r="BV1233" s="737" t="n"/>
      <c r="BW1233" s="737" t="n"/>
      <c r="BX1233" s="737" t="n"/>
      <c r="BY1233" s="737" t="n"/>
      <c r="BZ1233" s="737" t="n"/>
      <c r="CA1233" s="737" t="n"/>
      <c r="CB1233" s="737" t="n"/>
      <c r="CC1233" s="737" t="n"/>
      <c r="CD1233" s="737" t="n"/>
      <c r="CE1233" s="737" t="n"/>
      <c r="CF1233" s="737" t="n"/>
      <c r="CG1233" s="737" t="n"/>
      <c r="CH1233" s="737" t="n"/>
      <c r="CI1233" s="737" t="n"/>
      <c r="CJ1233" s="737" t="n"/>
      <c r="CK1233" s="737" t="n"/>
      <c r="CL1233" s="737" t="n"/>
      <c r="CM1233" s="737" t="n"/>
      <c r="CN1233" s="737" t="n"/>
      <c r="CO1233" s="737" t="n"/>
      <c r="CP1233" s="737" t="n"/>
      <c r="CQ1233" s="737" t="n"/>
      <c r="CR1233" s="737" t="n"/>
      <c r="CS1233" s="737" t="n"/>
      <c r="CT1233" s="737" t="n"/>
      <c r="CU1233" s="737" t="n"/>
      <c r="CV1233" s="737" t="n"/>
      <c r="CW1233" s="737" t="n"/>
      <c r="CX1233" s="737" t="n"/>
      <c r="CY1233" s="737" t="n"/>
    </row>
    <row r="1234">
      <c r="A1234" s="737" t="n"/>
      <c r="B1234" s="737" t="n"/>
      <c r="C1234" s="737" t="n"/>
      <c r="D1234" s="737" t="n"/>
      <c r="E1234" s="737" t="n"/>
      <c r="F1234" s="737" t="n"/>
      <c r="G1234" s="737" t="n"/>
      <c r="H1234" s="737" t="n"/>
      <c r="I1234" s="737" t="n"/>
      <c r="J1234" s="737" t="n"/>
      <c r="K1234" s="737" t="n"/>
      <c r="L1234" s="737" t="n"/>
      <c r="M1234" s="737" t="n"/>
      <c r="N1234" s="737" t="n"/>
      <c r="O1234" s="737" t="n"/>
      <c r="P1234" s="737" t="n"/>
      <c r="Q1234" s="737" t="n"/>
      <c r="R1234" s="737" t="n"/>
      <c r="S1234" s="737" t="n"/>
      <c r="T1234" s="737" t="n"/>
      <c r="U1234" s="737" t="n"/>
      <c r="V1234" s="737" t="n"/>
      <c r="W1234" s="737" t="n"/>
      <c r="X1234" s="737" t="n"/>
      <c r="Y1234" s="737" t="n"/>
      <c r="Z1234" s="737" t="n"/>
      <c r="AA1234" s="737" t="n"/>
      <c r="AB1234" s="737" t="n"/>
      <c r="AC1234" s="737" t="n"/>
      <c r="AD1234" s="737" t="n"/>
      <c r="AE1234" s="737" t="n"/>
      <c r="AF1234" s="737" t="n"/>
      <c r="AG1234" s="737" t="n"/>
      <c r="AH1234" s="737" t="n"/>
      <c r="AI1234" s="737" t="n"/>
      <c r="AJ1234" s="737" t="n"/>
      <c r="AK1234" s="737" t="n"/>
      <c r="AL1234" s="737" t="n"/>
      <c r="AM1234" s="737" t="n"/>
      <c r="AN1234" s="737" t="n"/>
      <c r="AO1234" s="737" t="n"/>
      <c r="AP1234" s="737" t="n"/>
      <c r="AQ1234" s="737" t="n"/>
      <c r="AR1234" s="737" t="n"/>
      <c r="AS1234" s="737" t="n"/>
      <c r="AT1234" s="737" t="n"/>
      <c r="AU1234" s="737" t="n"/>
      <c r="AV1234" s="737" t="n"/>
      <c r="AW1234" s="737" t="n"/>
      <c r="AX1234" s="737" t="n"/>
      <c r="AY1234" s="737" t="n"/>
      <c r="AZ1234" s="737" t="n"/>
      <c r="BA1234" s="737" t="n"/>
      <c r="BB1234" s="737" t="n"/>
      <c r="BC1234" s="737" t="n"/>
      <c r="BD1234" s="737" t="n"/>
      <c r="BE1234" s="737" t="n"/>
      <c r="BF1234" s="737" t="n"/>
      <c r="BG1234" s="737" t="n"/>
      <c r="BH1234" s="737" t="n"/>
      <c r="BI1234" s="737" t="n"/>
      <c r="BJ1234" s="737" t="n"/>
      <c r="BK1234" s="737" t="n"/>
      <c r="BL1234" s="737" t="n"/>
      <c r="BM1234" s="737" t="n"/>
      <c r="BN1234" s="737" t="n"/>
      <c r="BO1234" s="737" t="n"/>
      <c r="BP1234" s="737" t="n"/>
      <c r="BQ1234" s="737" t="n"/>
      <c r="BR1234" s="737" t="n"/>
      <c r="BS1234" s="737" t="n"/>
      <c r="BT1234" s="737" t="n"/>
      <c r="BU1234" s="737" t="n"/>
      <c r="BV1234" s="737" t="n"/>
      <c r="BW1234" s="737" t="n"/>
      <c r="BX1234" s="737" t="n"/>
      <c r="BY1234" s="737" t="n"/>
      <c r="BZ1234" s="737" t="n"/>
      <c r="CA1234" s="737" t="n"/>
      <c r="CB1234" s="737" t="n"/>
      <c r="CC1234" s="737" t="n"/>
      <c r="CD1234" s="737" t="n"/>
      <c r="CE1234" s="737" t="n"/>
      <c r="CF1234" s="737" t="n"/>
      <c r="CG1234" s="737" t="n"/>
      <c r="CH1234" s="737" t="n"/>
      <c r="CI1234" s="737" t="n"/>
      <c r="CJ1234" s="737" t="n"/>
      <c r="CK1234" s="737" t="n"/>
      <c r="CL1234" s="737" t="n"/>
      <c r="CM1234" s="737" t="n"/>
      <c r="CN1234" s="737" t="n"/>
      <c r="CO1234" s="737" t="n"/>
      <c r="CP1234" s="737" t="n"/>
      <c r="CQ1234" s="737" t="n"/>
      <c r="CR1234" s="737" t="n"/>
      <c r="CS1234" s="737" t="n"/>
      <c r="CT1234" s="737" t="n"/>
      <c r="CU1234" s="737" t="n"/>
      <c r="CV1234" s="737" t="n"/>
      <c r="CW1234" s="737" t="n"/>
      <c r="CX1234" s="737" t="n"/>
      <c r="CY1234" s="737" t="n"/>
    </row>
    <row r="1235">
      <c r="A1235" s="737" t="n"/>
      <c r="B1235" s="737" t="n"/>
      <c r="C1235" s="737" t="n"/>
      <c r="D1235" s="737" t="n"/>
      <c r="E1235" s="737" t="n"/>
      <c r="F1235" s="737" t="n"/>
      <c r="G1235" s="737" t="n"/>
      <c r="H1235" s="737" t="n"/>
      <c r="I1235" s="737" t="n"/>
      <c r="J1235" s="737" t="n"/>
      <c r="K1235" s="737" t="n"/>
      <c r="L1235" s="737" t="n"/>
      <c r="M1235" s="737" t="n"/>
      <c r="N1235" s="737" t="n"/>
      <c r="O1235" s="737" t="n"/>
      <c r="P1235" s="737" t="n"/>
      <c r="Q1235" s="737" t="n"/>
      <c r="R1235" s="737" t="n"/>
      <c r="S1235" s="737" t="n"/>
      <c r="T1235" s="737" t="n"/>
      <c r="U1235" s="737" t="n"/>
      <c r="V1235" s="737" t="n"/>
      <c r="W1235" s="737" t="n"/>
      <c r="X1235" s="737" t="n"/>
      <c r="Y1235" s="737" t="n"/>
      <c r="Z1235" s="737" t="n"/>
      <c r="AA1235" s="737" t="n"/>
      <c r="AB1235" s="737" t="n"/>
      <c r="AC1235" s="737" t="n"/>
      <c r="AD1235" s="737" t="n"/>
      <c r="AE1235" s="737" t="n"/>
      <c r="AF1235" s="737" t="n"/>
      <c r="AG1235" s="737" t="n"/>
      <c r="AH1235" s="737" t="n"/>
      <c r="AI1235" s="737" t="n"/>
      <c r="AJ1235" s="737" t="n"/>
      <c r="AK1235" s="737" t="n"/>
      <c r="AL1235" s="737" t="n"/>
      <c r="AM1235" s="737" t="n"/>
      <c r="AN1235" s="737" t="n"/>
      <c r="AO1235" s="737" t="n"/>
      <c r="AP1235" s="737" t="n"/>
      <c r="AQ1235" s="737" t="n"/>
      <c r="AR1235" s="737" t="n"/>
      <c r="AS1235" s="737" t="n"/>
      <c r="AT1235" s="737" t="n"/>
      <c r="AU1235" s="737" t="n"/>
      <c r="AV1235" s="737" t="n"/>
      <c r="AW1235" s="737" t="n"/>
      <c r="AX1235" s="737" t="n"/>
      <c r="AY1235" s="737" t="n"/>
      <c r="AZ1235" s="737" t="n"/>
      <c r="BA1235" s="737" t="n"/>
      <c r="BB1235" s="737" t="n"/>
      <c r="BC1235" s="737" t="n"/>
      <c r="BD1235" s="737" t="n"/>
      <c r="BE1235" s="737" t="n"/>
      <c r="BF1235" s="737" t="n"/>
      <c r="BG1235" s="737" t="n"/>
      <c r="BH1235" s="737" t="n"/>
      <c r="BI1235" s="737" t="n"/>
      <c r="BJ1235" s="737" t="n"/>
      <c r="BK1235" s="737" t="n"/>
      <c r="BL1235" s="737" t="n"/>
      <c r="BM1235" s="737" t="n"/>
      <c r="BN1235" s="737" t="n"/>
      <c r="BO1235" s="737" t="n"/>
      <c r="BP1235" s="737" t="n"/>
      <c r="BQ1235" s="737" t="n"/>
      <c r="BR1235" s="737" t="n"/>
      <c r="BS1235" s="737" t="n"/>
      <c r="BT1235" s="737" t="n"/>
      <c r="BU1235" s="737" t="n"/>
      <c r="BV1235" s="737" t="n"/>
      <c r="BW1235" s="737" t="n"/>
      <c r="BX1235" s="737" t="n"/>
      <c r="BY1235" s="737" t="n"/>
      <c r="BZ1235" s="737" t="n"/>
      <c r="CA1235" s="737" t="n"/>
      <c r="CB1235" s="737" t="n"/>
      <c r="CC1235" s="737" t="n"/>
      <c r="CD1235" s="737" t="n"/>
      <c r="CE1235" s="737" t="n"/>
      <c r="CF1235" s="737" t="n"/>
      <c r="CG1235" s="737" t="n"/>
      <c r="CH1235" s="737" t="n"/>
      <c r="CI1235" s="737" t="n"/>
      <c r="CJ1235" s="737" t="n"/>
      <c r="CK1235" s="737" t="n"/>
      <c r="CL1235" s="737" t="n"/>
      <c r="CM1235" s="737" t="n"/>
      <c r="CN1235" s="737" t="n"/>
      <c r="CO1235" s="737" t="n"/>
      <c r="CP1235" s="737" t="n"/>
      <c r="CQ1235" s="737" t="n"/>
      <c r="CR1235" s="737" t="n"/>
      <c r="CS1235" s="737" t="n"/>
      <c r="CT1235" s="737" t="n"/>
      <c r="CU1235" s="737" t="n"/>
      <c r="CV1235" s="737" t="n"/>
      <c r="CW1235" s="737" t="n"/>
      <c r="CX1235" s="737" t="n"/>
      <c r="CY1235" s="737" t="n"/>
    </row>
    <row r="1236">
      <c r="A1236" s="737" t="n"/>
      <c r="B1236" s="737" t="n"/>
      <c r="C1236" s="737" t="n"/>
      <c r="D1236" s="737" t="n"/>
      <c r="E1236" s="737" t="n"/>
      <c r="F1236" s="737" t="n"/>
      <c r="G1236" s="737" t="n"/>
      <c r="H1236" s="737" t="n"/>
      <c r="I1236" s="737" t="n"/>
      <c r="J1236" s="737" t="n"/>
      <c r="K1236" s="737" t="n"/>
      <c r="L1236" s="737" t="n"/>
      <c r="M1236" s="737" t="n"/>
      <c r="N1236" s="737" t="n"/>
      <c r="O1236" s="737" t="n"/>
      <c r="P1236" s="737" t="n"/>
      <c r="Q1236" s="737" t="n"/>
      <c r="R1236" s="737" t="n"/>
      <c r="S1236" s="737" t="n"/>
      <c r="T1236" s="737" t="n"/>
      <c r="U1236" s="737" t="n"/>
      <c r="V1236" s="737" t="n"/>
      <c r="W1236" s="737" t="n"/>
      <c r="X1236" s="737" t="n"/>
      <c r="Y1236" s="737" t="n"/>
      <c r="Z1236" s="737" t="n"/>
      <c r="AA1236" s="737" t="n"/>
      <c r="AB1236" s="737" t="n"/>
      <c r="AC1236" s="737" t="n"/>
      <c r="AD1236" s="737" t="n"/>
      <c r="AE1236" s="737" t="n"/>
      <c r="AF1236" s="737" t="n"/>
      <c r="AG1236" s="737" t="n"/>
      <c r="AH1236" s="737" t="n"/>
      <c r="AI1236" s="737" t="n"/>
      <c r="AJ1236" s="737" t="n"/>
      <c r="AK1236" s="737" t="n"/>
      <c r="AL1236" s="737" t="n"/>
      <c r="AM1236" s="737" t="n"/>
      <c r="AN1236" s="737" t="n"/>
      <c r="AO1236" s="737" t="n"/>
      <c r="AP1236" s="737" t="n"/>
      <c r="AQ1236" s="737" t="n"/>
      <c r="AR1236" s="737" t="n"/>
      <c r="AS1236" s="737" t="n"/>
      <c r="AT1236" s="737" t="n"/>
      <c r="AU1236" s="737" t="n"/>
      <c r="AV1236" s="737" t="n"/>
      <c r="AW1236" s="737" t="n"/>
      <c r="AX1236" s="737" t="n"/>
      <c r="AY1236" s="737" t="n"/>
      <c r="AZ1236" s="737" t="n"/>
      <c r="BA1236" s="737" t="n"/>
      <c r="BB1236" s="737" t="n"/>
      <c r="BC1236" s="737" t="n"/>
      <c r="BD1236" s="737" t="n"/>
      <c r="BE1236" s="737" t="n"/>
      <c r="BF1236" s="737" t="n"/>
      <c r="BG1236" s="737" t="n"/>
      <c r="BH1236" s="737" t="n"/>
      <c r="BI1236" s="737" t="n"/>
      <c r="BJ1236" s="737" t="n"/>
      <c r="BK1236" s="737" t="n"/>
      <c r="BL1236" s="737" t="n"/>
      <c r="BM1236" s="737" t="n"/>
      <c r="BN1236" s="737" t="n"/>
      <c r="BO1236" s="737" t="n"/>
      <c r="BP1236" s="737" t="n"/>
      <c r="BQ1236" s="737" t="n"/>
      <c r="BR1236" s="737" t="n"/>
      <c r="BS1236" s="737" t="n"/>
      <c r="BT1236" s="737" t="n"/>
      <c r="BU1236" s="737" t="n"/>
      <c r="BV1236" s="737" t="n"/>
      <c r="BW1236" s="737" t="n"/>
      <c r="BX1236" s="737" t="n"/>
      <c r="BY1236" s="737" t="n"/>
      <c r="BZ1236" s="737" t="n"/>
      <c r="CA1236" s="737" t="n"/>
      <c r="CB1236" s="737" t="n"/>
      <c r="CC1236" s="737" t="n"/>
      <c r="CD1236" s="737" t="n"/>
      <c r="CE1236" s="737" t="n"/>
      <c r="CF1236" s="737" t="n"/>
      <c r="CG1236" s="737" t="n"/>
      <c r="CH1236" s="737" t="n"/>
      <c r="CI1236" s="737" t="n"/>
      <c r="CJ1236" s="737" t="n"/>
      <c r="CK1236" s="737" t="n"/>
      <c r="CL1236" s="737" t="n"/>
      <c r="CM1236" s="737" t="n"/>
      <c r="CN1236" s="737" t="n"/>
      <c r="CO1236" s="737" t="n"/>
      <c r="CP1236" s="737" t="n"/>
      <c r="CQ1236" s="737" t="n"/>
      <c r="CR1236" s="737" t="n"/>
      <c r="CS1236" s="737" t="n"/>
      <c r="CT1236" s="737" t="n"/>
      <c r="CU1236" s="737" t="n"/>
      <c r="CV1236" s="737" t="n"/>
      <c r="CW1236" s="737" t="n"/>
      <c r="CX1236" s="737" t="n"/>
      <c r="CY1236" s="737" t="n"/>
    </row>
    <row r="1237">
      <c r="A1237" s="737" t="n"/>
      <c r="B1237" s="737" t="n"/>
      <c r="C1237" s="737" t="n"/>
      <c r="D1237" s="737" t="n"/>
      <c r="E1237" s="737" t="n"/>
      <c r="F1237" s="737" t="n"/>
      <c r="G1237" s="737" t="n"/>
      <c r="H1237" s="737" t="n"/>
      <c r="I1237" s="737" t="n"/>
      <c r="J1237" s="737" t="n"/>
      <c r="K1237" s="737" t="n"/>
      <c r="L1237" s="737" t="n"/>
      <c r="M1237" s="737" t="n"/>
      <c r="N1237" s="737" t="n"/>
      <c r="O1237" s="737" t="n"/>
      <c r="P1237" s="737" t="n"/>
      <c r="Q1237" s="737" t="n"/>
      <c r="R1237" s="737" t="n"/>
      <c r="S1237" s="737" t="n"/>
      <c r="T1237" s="737" t="n"/>
      <c r="U1237" s="737" t="n"/>
      <c r="V1237" s="737" t="n"/>
      <c r="W1237" s="737" t="n"/>
      <c r="X1237" s="737" t="n"/>
      <c r="Y1237" s="737" t="n"/>
      <c r="Z1237" s="737" t="n"/>
      <c r="AA1237" s="737" t="n"/>
      <c r="AB1237" s="737" t="n"/>
      <c r="AC1237" s="737" t="n"/>
      <c r="AD1237" s="737" t="n"/>
      <c r="AE1237" s="737" t="n"/>
      <c r="AF1237" s="737" t="n"/>
      <c r="AG1237" s="737" t="n"/>
      <c r="AH1237" s="737" t="n"/>
      <c r="AI1237" s="737" t="n"/>
      <c r="AJ1237" s="737" t="n"/>
      <c r="AK1237" s="737" t="n"/>
      <c r="AL1237" s="737" t="n"/>
      <c r="AM1237" s="737" t="n"/>
      <c r="AN1237" s="737" t="n"/>
      <c r="AO1237" s="737" t="n"/>
      <c r="AP1237" s="737" t="n"/>
      <c r="AQ1237" s="737" t="n"/>
      <c r="AR1237" s="737" t="n"/>
      <c r="AS1237" s="737" t="n"/>
      <c r="AT1237" s="737" t="n"/>
      <c r="AU1237" s="737" t="n"/>
      <c r="AV1237" s="737" t="n"/>
      <c r="AW1237" s="737" t="n"/>
      <c r="AX1237" s="737" t="n"/>
      <c r="AY1237" s="737" t="n"/>
      <c r="AZ1237" s="737" t="n"/>
      <c r="BA1237" s="737" t="n"/>
      <c r="BB1237" s="737" t="n"/>
      <c r="BC1237" s="737" t="n"/>
      <c r="BD1237" s="737" t="n"/>
      <c r="BE1237" s="737" t="n"/>
      <c r="BF1237" s="737" t="n"/>
      <c r="BG1237" s="737" t="n"/>
      <c r="BH1237" s="737" t="n"/>
      <c r="BI1237" s="737" t="n"/>
      <c r="BJ1237" s="737" t="n"/>
      <c r="BK1237" s="737" t="n"/>
      <c r="BL1237" s="737" t="n"/>
      <c r="BM1237" s="737" t="n"/>
      <c r="BN1237" s="737" t="n"/>
      <c r="BO1237" s="737" t="n"/>
      <c r="BP1237" s="737" t="n"/>
      <c r="BQ1237" s="737" t="n"/>
      <c r="BR1237" s="737" t="n"/>
      <c r="BS1237" s="737" t="n"/>
      <c r="BT1237" s="737" t="n"/>
      <c r="BU1237" s="737" t="n"/>
      <c r="BV1237" s="737" t="n"/>
      <c r="BW1237" s="737" t="n"/>
      <c r="BX1237" s="737" t="n"/>
      <c r="BY1237" s="737" t="n"/>
      <c r="BZ1237" s="737" t="n"/>
      <c r="CA1237" s="737" t="n"/>
      <c r="CB1237" s="737" t="n"/>
      <c r="CC1237" s="737" t="n"/>
      <c r="CD1237" s="737" t="n"/>
      <c r="CE1237" s="737" t="n"/>
      <c r="CF1237" s="737" t="n"/>
      <c r="CG1237" s="737" t="n"/>
      <c r="CH1237" s="737" t="n"/>
      <c r="CI1237" s="737" t="n"/>
      <c r="CJ1237" s="737" t="n"/>
      <c r="CK1237" s="737" t="n"/>
      <c r="CL1237" s="737" t="n"/>
      <c r="CM1237" s="737" t="n"/>
      <c r="CN1237" s="737" t="n"/>
      <c r="CO1237" s="737" t="n"/>
      <c r="CP1237" s="737" t="n"/>
      <c r="CQ1237" s="737" t="n"/>
      <c r="CR1237" s="737" t="n"/>
      <c r="CS1237" s="737" t="n"/>
      <c r="CT1237" s="737" t="n"/>
      <c r="CU1237" s="737" t="n"/>
      <c r="CV1237" s="737" t="n"/>
      <c r="CW1237" s="737" t="n"/>
      <c r="CX1237" s="737" t="n"/>
      <c r="CY1237" s="737" t="n"/>
    </row>
    <row r="1238">
      <c r="A1238" s="737" t="n"/>
      <c r="B1238" s="737" t="n"/>
      <c r="C1238" s="737" t="n"/>
      <c r="D1238" s="737" t="n"/>
      <c r="E1238" s="737" t="n"/>
      <c r="F1238" s="737" t="n"/>
      <c r="G1238" s="737" t="n"/>
      <c r="H1238" s="737" t="n"/>
      <c r="I1238" s="737" t="n"/>
      <c r="J1238" s="737" t="n"/>
      <c r="K1238" s="737" t="n"/>
      <c r="L1238" s="737" t="n"/>
      <c r="M1238" s="737" t="n"/>
      <c r="N1238" s="737" t="n"/>
      <c r="O1238" s="737" t="n"/>
      <c r="P1238" s="737" t="n"/>
      <c r="Q1238" s="737" t="n"/>
      <c r="R1238" s="737" t="n"/>
      <c r="S1238" s="737" t="n"/>
      <c r="T1238" s="737" t="n"/>
      <c r="U1238" s="737" t="n"/>
      <c r="V1238" s="737" t="n"/>
      <c r="W1238" s="737" t="n"/>
      <c r="X1238" s="737" t="n"/>
      <c r="Y1238" s="737" t="n"/>
      <c r="Z1238" s="737" t="n"/>
      <c r="AA1238" s="737" t="n"/>
      <c r="AB1238" s="737" t="n"/>
      <c r="AC1238" s="737" t="n"/>
      <c r="AD1238" s="737" t="n"/>
      <c r="AE1238" s="737" t="n"/>
      <c r="AF1238" s="737" t="n"/>
      <c r="AG1238" s="737" t="n"/>
      <c r="AH1238" s="737" t="n"/>
      <c r="AI1238" s="737" t="n"/>
      <c r="AJ1238" s="737" t="n"/>
      <c r="AK1238" s="737" t="n"/>
      <c r="AL1238" s="737" t="n"/>
      <c r="AM1238" s="737" t="n"/>
      <c r="AN1238" s="737" t="n"/>
      <c r="AO1238" s="737" t="n"/>
      <c r="AP1238" s="737" t="n"/>
      <c r="AQ1238" s="737" t="n"/>
      <c r="AR1238" s="737" t="n"/>
      <c r="AS1238" s="737" t="n"/>
      <c r="AT1238" s="737" t="n"/>
      <c r="AU1238" s="737" t="n"/>
      <c r="AV1238" s="737" t="n"/>
      <c r="AW1238" s="737" t="n"/>
      <c r="AX1238" s="737" t="n"/>
      <c r="AY1238" s="737" t="n"/>
      <c r="AZ1238" s="737" t="n"/>
      <c r="BA1238" s="737" t="n"/>
      <c r="BB1238" s="737" t="n"/>
      <c r="BC1238" s="737" t="n"/>
      <c r="BD1238" s="737" t="n"/>
      <c r="BE1238" s="737" t="n"/>
      <c r="BF1238" s="737" t="n"/>
      <c r="BG1238" s="737" t="n"/>
      <c r="BH1238" s="737" t="n"/>
      <c r="BI1238" s="737" t="n"/>
      <c r="BJ1238" s="737" t="n"/>
      <c r="BK1238" s="737" t="n"/>
      <c r="BL1238" s="737" t="n"/>
      <c r="BM1238" s="737" t="n"/>
      <c r="BN1238" s="737" t="n"/>
      <c r="BO1238" s="737" t="n"/>
      <c r="BP1238" s="737" t="n"/>
      <c r="BQ1238" s="737" t="n"/>
      <c r="BR1238" s="737" t="n"/>
      <c r="BS1238" s="737" t="n"/>
      <c r="BT1238" s="737" t="n"/>
      <c r="BU1238" s="737" t="n"/>
      <c r="BV1238" s="737" t="n"/>
      <c r="BW1238" s="737" t="n"/>
      <c r="BX1238" s="737" t="n"/>
      <c r="BY1238" s="737" t="n"/>
      <c r="BZ1238" s="737" t="n"/>
      <c r="CA1238" s="737" t="n"/>
      <c r="CB1238" s="737" t="n"/>
      <c r="CC1238" s="737" t="n"/>
      <c r="CD1238" s="737" t="n"/>
      <c r="CE1238" s="737" t="n"/>
      <c r="CF1238" s="737" t="n"/>
      <c r="CG1238" s="737" t="n"/>
      <c r="CH1238" s="737" t="n"/>
      <c r="CI1238" s="737" t="n"/>
      <c r="CJ1238" s="737" t="n"/>
      <c r="CK1238" s="737" t="n"/>
      <c r="CL1238" s="737" t="n"/>
      <c r="CM1238" s="737" t="n"/>
      <c r="CN1238" s="737" t="n"/>
      <c r="CO1238" s="737" t="n"/>
      <c r="CP1238" s="737" t="n"/>
      <c r="CQ1238" s="737" t="n"/>
      <c r="CR1238" s="737" t="n"/>
      <c r="CS1238" s="737" t="n"/>
      <c r="CT1238" s="737" t="n"/>
      <c r="CU1238" s="737" t="n"/>
      <c r="CV1238" s="737" t="n"/>
      <c r="CW1238" s="737" t="n"/>
      <c r="CX1238" s="737" t="n"/>
      <c r="CY1238" s="737" t="n"/>
    </row>
    <row r="1239">
      <c r="A1239" s="737" t="n"/>
      <c r="B1239" s="737" t="n"/>
      <c r="C1239" s="737" t="n"/>
      <c r="D1239" s="737" t="n"/>
      <c r="E1239" s="737" t="n"/>
      <c r="F1239" s="737" t="n"/>
      <c r="G1239" s="737" t="n"/>
      <c r="H1239" s="737" t="n"/>
      <c r="I1239" s="737" t="n"/>
      <c r="J1239" s="737" t="n"/>
      <c r="K1239" s="737" t="n"/>
      <c r="L1239" s="737" t="n"/>
      <c r="M1239" s="737" t="n"/>
      <c r="N1239" s="737" t="n"/>
      <c r="O1239" s="737" t="n"/>
      <c r="P1239" s="737" t="n"/>
      <c r="Q1239" s="737" t="n"/>
      <c r="R1239" s="737" t="n"/>
      <c r="S1239" s="737" t="n"/>
      <c r="T1239" s="737" t="n"/>
      <c r="U1239" s="737" t="n"/>
      <c r="V1239" s="737" t="n"/>
      <c r="W1239" s="737" t="n"/>
      <c r="X1239" s="737" t="n"/>
      <c r="Y1239" s="737" t="n"/>
      <c r="Z1239" s="737" t="n"/>
      <c r="AA1239" s="737" t="n"/>
      <c r="AB1239" s="737" t="n"/>
      <c r="AC1239" s="737" t="n"/>
      <c r="AD1239" s="737" t="n"/>
      <c r="AE1239" s="737" t="n"/>
      <c r="AF1239" s="737" t="n"/>
      <c r="AG1239" s="737" t="n"/>
      <c r="AH1239" s="737" t="n"/>
      <c r="AI1239" s="737" t="n"/>
      <c r="AJ1239" s="737" t="n"/>
      <c r="AK1239" s="737" t="n"/>
      <c r="AL1239" s="737" t="n"/>
      <c r="AM1239" s="737" t="n"/>
      <c r="AN1239" s="737" t="n"/>
      <c r="AO1239" s="737" t="n"/>
      <c r="AP1239" s="737" t="n"/>
      <c r="AQ1239" s="737" t="n"/>
      <c r="AR1239" s="737" t="n"/>
      <c r="AS1239" s="737" t="n"/>
      <c r="AT1239" s="737" t="n"/>
      <c r="AU1239" s="737" t="n"/>
      <c r="AV1239" s="737" t="n"/>
      <c r="AW1239" s="737" t="n"/>
      <c r="AX1239" s="737" t="n"/>
      <c r="AY1239" s="737" t="n"/>
      <c r="AZ1239" s="737" t="n"/>
      <c r="BA1239" s="737" t="n"/>
      <c r="BB1239" s="737" t="n"/>
      <c r="BC1239" s="737" t="n"/>
      <c r="BD1239" s="737" t="n"/>
      <c r="BE1239" s="737" t="n"/>
      <c r="BF1239" s="737" t="n"/>
      <c r="BG1239" s="737" t="n"/>
      <c r="BH1239" s="737" t="n"/>
      <c r="BI1239" s="737" t="n"/>
      <c r="BJ1239" s="737" t="n"/>
      <c r="BK1239" s="737" t="n"/>
      <c r="BL1239" s="737" t="n"/>
      <c r="BM1239" s="737" t="n"/>
      <c r="BN1239" s="737" t="n"/>
      <c r="BO1239" s="737" t="n"/>
      <c r="BP1239" s="737" t="n"/>
      <c r="BQ1239" s="737" t="n"/>
      <c r="BR1239" s="737" t="n"/>
      <c r="BS1239" s="737" t="n"/>
      <c r="BT1239" s="737" t="n"/>
      <c r="BU1239" s="737" t="n"/>
      <c r="BV1239" s="737" t="n"/>
      <c r="BW1239" s="737" t="n"/>
      <c r="BX1239" s="737" t="n"/>
      <c r="BY1239" s="737" t="n"/>
      <c r="BZ1239" s="737" t="n"/>
      <c r="CA1239" s="737" t="n"/>
      <c r="CB1239" s="737" t="n"/>
      <c r="CC1239" s="737" t="n"/>
      <c r="CD1239" s="737" t="n"/>
      <c r="CE1239" s="737" t="n"/>
      <c r="CF1239" s="737" t="n"/>
      <c r="CG1239" s="737" t="n"/>
      <c r="CH1239" s="737" t="n"/>
      <c r="CI1239" s="737" t="n"/>
      <c r="CJ1239" s="737" t="n"/>
      <c r="CK1239" s="737" t="n"/>
      <c r="CL1239" s="737" t="n"/>
      <c r="CM1239" s="737" t="n"/>
      <c r="CN1239" s="737" t="n"/>
      <c r="CO1239" s="737" t="n"/>
      <c r="CP1239" s="737" t="n"/>
      <c r="CQ1239" s="737" t="n"/>
      <c r="CR1239" s="737" t="n"/>
      <c r="CS1239" s="737" t="n"/>
      <c r="CT1239" s="737" t="n"/>
      <c r="CU1239" s="737" t="n"/>
      <c r="CV1239" s="737" t="n"/>
      <c r="CW1239" s="737" t="n"/>
      <c r="CX1239" s="737" t="n"/>
      <c r="CY1239" s="737" t="n"/>
    </row>
    <row r="1240">
      <c r="A1240" s="737" t="n"/>
      <c r="B1240" s="737" t="n"/>
      <c r="C1240" s="737" t="n"/>
      <c r="D1240" s="737" t="n"/>
      <c r="E1240" s="737" t="n"/>
      <c r="F1240" s="737" t="n"/>
      <c r="G1240" s="737" t="n"/>
      <c r="H1240" s="737" t="n"/>
      <c r="I1240" s="737" t="n"/>
      <c r="J1240" s="737" t="n"/>
      <c r="K1240" s="737" t="n"/>
      <c r="L1240" s="737" t="n"/>
      <c r="M1240" s="737" t="n"/>
      <c r="N1240" s="737" t="n"/>
      <c r="O1240" s="737" t="n"/>
      <c r="P1240" s="737" t="n"/>
      <c r="Q1240" s="737" t="n"/>
      <c r="R1240" s="737" t="n"/>
      <c r="S1240" s="737" t="n"/>
      <c r="T1240" s="737" t="n"/>
      <c r="U1240" s="737" t="n"/>
      <c r="V1240" s="737" t="n"/>
      <c r="W1240" s="737" t="n"/>
      <c r="X1240" s="737" t="n"/>
      <c r="Y1240" s="737" t="n"/>
      <c r="Z1240" s="737" t="n"/>
      <c r="AA1240" s="737" t="n"/>
      <c r="AB1240" s="737" t="n"/>
      <c r="AC1240" s="737" t="n"/>
      <c r="AD1240" s="737" t="n"/>
      <c r="AE1240" s="737" t="n"/>
      <c r="AF1240" s="737" t="n"/>
      <c r="AG1240" s="737" t="n"/>
      <c r="AH1240" s="737" t="n"/>
      <c r="AI1240" s="737" t="n"/>
      <c r="AJ1240" s="737" t="n"/>
      <c r="AK1240" s="737" t="n"/>
      <c r="AL1240" s="737" t="n"/>
      <c r="AM1240" s="737" t="n"/>
      <c r="AN1240" s="737" t="n"/>
      <c r="AO1240" s="737" t="n"/>
      <c r="AP1240" s="737" t="n"/>
      <c r="AQ1240" s="737" t="n"/>
      <c r="AR1240" s="737" t="n"/>
      <c r="AS1240" s="737" t="n"/>
      <c r="AT1240" s="737" t="n"/>
      <c r="AU1240" s="737" t="n"/>
      <c r="AV1240" s="737" t="n"/>
      <c r="AW1240" s="737" t="n"/>
      <c r="AX1240" s="737" t="n"/>
      <c r="AY1240" s="737" t="n"/>
      <c r="AZ1240" s="737" t="n"/>
      <c r="BA1240" s="737" t="n"/>
      <c r="BB1240" s="737" t="n"/>
      <c r="BC1240" s="737" t="n"/>
      <c r="BD1240" s="737" t="n"/>
      <c r="BE1240" s="737" t="n"/>
      <c r="BF1240" s="737" t="n"/>
      <c r="BG1240" s="737" t="n"/>
      <c r="BH1240" s="737" t="n"/>
      <c r="BI1240" s="737" t="n"/>
      <c r="BJ1240" s="737" t="n"/>
      <c r="BK1240" s="737" t="n"/>
      <c r="BL1240" s="737" t="n"/>
      <c r="BM1240" s="737" t="n"/>
      <c r="BN1240" s="737" t="n"/>
      <c r="BO1240" s="737" t="n"/>
      <c r="BP1240" s="737" t="n"/>
      <c r="BQ1240" s="737" t="n"/>
      <c r="BR1240" s="737" t="n"/>
      <c r="BS1240" s="737" t="n"/>
      <c r="BT1240" s="737" t="n"/>
      <c r="BU1240" s="737" t="n"/>
      <c r="BV1240" s="737" t="n"/>
      <c r="BW1240" s="737" t="n"/>
      <c r="BX1240" s="737" t="n"/>
      <c r="BY1240" s="737" t="n"/>
      <c r="BZ1240" s="737" t="n"/>
      <c r="CA1240" s="737" t="n"/>
      <c r="CB1240" s="737" t="n"/>
      <c r="CC1240" s="737" t="n"/>
      <c r="CD1240" s="737" t="n"/>
      <c r="CE1240" s="737" t="n"/>
      <c r="CF1240" s="737" t="n"/>
      <c r="CG1240" s="737" t="n"/>
      <c r="CH1240" s="737" t="n"/>
      <c r="CI1240" s="737" t="n"/>
      <c r="CJ1240" s="737" t="n"/>
      <c r="CK1240" s="737" t="n"/>
      <c r="CL1240" s="737" t="n"/>
      <c r="CM1240" s="737" t="n"/>
      <c r="CN1240" s="737" t="n"/>
      <c r="CO1240" s="737" t="n"/>
      <c r="CP1240" s="737" t="n"/>
      <c r="CQ1240" s="737" t="n"/>
      <c r="CR1240" s="737" t="n"/>
      <c r="CS1240" s="737" t="n"/>
      <c r="CT1240" s="737" t="n"/>
      <c r="CU1240" s="737" t="n"/>
      <c r="CV1240" s="737" t="n"/>
      <c r="CW1240" s="737" t="n"/>
      <c r="CX1240" s="737" t="n"/>
      <c r="CY1240" s="737" t="n"/>
    </row>
    <row r="1241">
      <c r="A1241" s="737" t="n"/>
      <c r="B1241" s="737" t="n"/>
      <c r="C1241" s="737" t="n"/>
      <c r="D1241" s="737" t="n"/>
      <c r="E1241" s="737" t="n"/>
      <c r="F1241" s="737" t="n"/>
      <c r="G1241" s="737" t="n"/>
      <c r="H1241" s="737" t="n"/>
      <c r="I1241" s="737" t="n"/>
      <c r="J1241" s="737" t="n"/>
      <c r="K1241" s="737" t="n"/>
      <c r="L1241" s="737" t="n"/>
      <c r="M1241" s="737" t="n"/>
      <c r="N1241" s="737" t="n"/>
      <c r="O1241" s="737" t="n"/>
      <c r="P1241" s="737" t="n"/>
      <c r="Q1241" s="737" t="n"/>
      <c r="R1241" s="737" t="n"/>
      <c r="S1241" s="737" t="n"/>
      <c r="T1241" s="737" t="n"/>
      <c r="U1241" s="737" t="n"/>
      <c r="V1241" s="737" t="n"/>
      <c r="W1241" s="737" t="n"/>
      <c r="X1241" s="737" t="n"/>
      <c r="Y1241" s="737" t="n"/>
      <c r="Z1241" s="737" t="n"/>
      <c r="AA1241" s="737" t="n"/>
      <c r="AB1241" s="737" t="n"/>
      <c r="AC1241" s="737" t="n"/>
      <c r="AD1241" s="737" t="n"/>
      <c r="AE1241" s="737" t="n"/>
      <c r="AF1241" s="737" t="n"/>
      <c r="AG1241" s="737" t="n"/>
      <c r="AH1241" s="737" t="n"/>
      <c r="AI1241" s="737" t="n"/>
      <c r="AJ1241" s="737" t="n"/>
      <c r="AK1241" s="737" t="n"/>
      <c r="AL1241" s="737" t="n"/>
      <c r="AM1241" s="737" t="n"/>
      <c r="AN1241" s="737" t="n"/>
      <c r="AO1241" s="737" t="n"/>
      <c r="AP1241" s="737" t="n"/>
      <c r="AQ1241" s="737" t="n"/>
      <c r="AR1241" s="737" t="n"/>
      <c r="AS1241" s="737" t="n"/>
      <c r="AT1241" s="737" t="n"/>
      <c r="AU1241" s="737" t="n"/>
      <c r="AV1241" s="737" t="n"/>
      <c r="AW1241" s="737" t="n"/>
      <c r="AX1241" s="737" t="n"/>
      <c r="AY1241" s="737" t="n"/>
      <c r="AZ1241" s="737" t="n"/>
      <c r="BA1241" s="737" t="n"/>
      <c r="BB1241" s="737" t="n"/>
      <c r="BC1241" s="737" t="n"/>
      <c r="BD1241" s="737" t="n"/>
      <c r="BE1241" s="737" t="n"/>
      <c r="BF1241" s="737" t="n"/>
      <c r="BG1241" s="737" t="n"/>
      <c r="BH1241" s="737" t="n"/>
      <c r="BI1241" s="737" t="n"/>
      <c r="BJ1241" s="737" t="n"/>
      <c r="BK1241" s="737" t="n"/>
      <c r="BL1241" s="737" t="n"/>
      <c r="BM1241" s="737" t="n"/>
      <c r="BN1241" s="737" t="n"/>
      <c r="BO1241" s="737" t="n"/>
      <c r="BP1241" s="737" t="n"/>
      <c r="BQ1241" s="737" t="n"/>
      <c r="BR1241" s="737" t="n"/>
      <c r="BS1241" s="737" t="n"/>
      <c r="BT1241" s="737" t="n"/>
      <c r="BU1241" s="737" t="n"/>
      <c r="BV1241" s="737" t="n"/>
      <c r="BW1241" s="737" t="n"/>
      <c r="BX1241" s="737" t="n"/>
      <c r="BY1241" s="737" t="n"/>
      <c r="BZ1241" s="737" t="n"/>
      <c r="CA1241" s="737" t="n"/>
      <c r="CB1241" s="737" t="n"/>
      <c r="CC1241" s="737" t="n"/>
      <c r="CD1241" s="737" t="n"/>
      <c r="CE1241" s="737" t="n"/>
      <c r="CF1241" s="737" t="n"/>
      <c r="CG1241" s="737" t="n"/>
      <c r="CH1241" s="737" t="n"/>
      <c r="CI1241" s="737" t="n"/>
      <c r="CJ1241" s="737" t="n"/>
      <c r="CK1241" s="737" t="n"/>
      <c r="CL1241" s="737" t="n"/>
      <c r="CM1241" s="737" t="n"/>
      <c r="CN1241" s="737" t="n"/>
      <c r="CO1241" s="737" t="n"/>
      <c r="CP1241" s="737" t="n"/>
      <c r="CQ1241" s="737" t="n"/>
      <c r="CR1241" s="737" t="n"/>
      <c r="CS1241" s="737" t="n"/>
      <c r="CT1241" s="737" t="n"/>
      <c r="CU1241" s="737" t="n"/>
      <c r="CV1241" s="737" t="n"/>
      <c r="CW1241" s="737" t="n"/>
      <c r="CX1241" s="737" t="n"/>
      <c r="CY1241" s="737" t="n"/>
    </row>
    <row r="1242">
      <c r="A1242" s="737" t="n"/>
      <c r="B1242" s="737" t="n"/>
      <c r="C1242" s="737" t="n"/>
      <c r="D1242" s="737" t="n"/>
      <c r="E1242" s="737" t="n"/>
      <c r="F1242" s="737" t="n"/>
      <c r="G1242" s="737" t="n"/>
      <c r="H1242" s="737" t="n"/>
      <c r="I1242" s="737" t="n"/>
      <c r="J1242" s="737" t="n"/>
      <c r="K1242" s="737" t="n"/>
      <c r="L1242" s="737" t="n"/>
      <c r="M1242" s="737" t="n"/>
      <c r="N1242" s="737" t="n"/>
      <c r="O1242" s="737" t="n"/>
      <c r="P1242" s="737" t="n"/>
      <c r="Q1242" s="737" t="n"/>
      <c r="R1242" s="737" t="n"/>
      <c r="S1242" s="737" t="n"/>
      <c r="T1242" s="737" t="n"/>
      <c r="U1242" s="737" t="n"/>
      <c r="V1242" s="737" t="n"/>
      <c r="W1242" s="737" t="n"/>
      <c r="X1242" s="737" t="n"/>
      <c r="Y1242" s="737" t="n"/>
      <c r="Z1242" s="737" t="n"/>
      <c r="AA1242" s="737" t="n"/>
      <c r="AB1242" s="737" t="n"/>
      <c r="AC1242" s="737" t="n"/>
      <c r="AD1242" s="737" t="n"/>
      <c r="AE1242" s="737" t="n"/>
      <c r="AF1242" s="737" t="n"/>
      <c r="AG1242" s="737" t="n"/>
      <c r="AH1242" s="737" t="n"/>
      <c r="AI1242" s="737" t="n"/>
      <c r="AJ1242" s="737" t="n"/>
      <c r="AK1242" s="737" t="n"/>
      <c r="AL1242" s="737" t="n"/>
      <c r="AM1242" s="737" t="n"/>
      <c r="AN1242" s="737" t="n"/>
      <c r="AO1242" s="737" t="n"/>
      <c r="AP1242" s="737" t="n"/>
      <c r="AQ1242" s="737" t="n"/>
      <c r="AR1242" s="737" t="n"/>
      <c r="AS1242" s="737" t="n"/>
      <c r="AT1242" s="737" t="n"/>
      <c r="AU1242" s="737" t="n"/>
      <c r="AV1242" s="737" t="n"/>
      <c r="AW1242" s="737" t="n"/>
      <c r="AX1242" s="737" t="n"/>
      <c r="AY1242" s="737" t="n"/>
      <c r="AZ1242" s="737" t="n"/>
      <c r="BA1242" s="737" t="n"/>
      <c r="BB1242" s="737" t="n"/>
      <c r="BC1242" s="737" t="n"/>
      <c r="BD1242" s="737" t="n"/>
      <c r="BE1242" s="737" t="n"/>
      <c r="BF1242" s="737" t="n"/>
      <c r="BG1242" s="737" t="n"/>
      <c r="BH1242" s="737" t="n"/>
      <c r="BI1242" s="737" t="n"/>
      <c r="BJ1242" s="737" t="n"/>
      <c r="BK1242" s="737" t="n"/>
      <c r="BL1242" s="737" t="n"/>
      <c r="BM1242" s="737" t="n"/>
      <c r="BN1242" s="737" t="n"/>
      <c r="BO1242" s="737" t="n"/>
      <c r="BP1242" s="737" t="n"/>
      <c r="BQ1242" s="737" t="n"/>
      <c r="BR1242" s="737" t="n"/>
      <c r="BS1242" s="737" t="n"/>
      <c r="BT1242" s="737" t="n"/>
      <c r="BU1242" s="737" t="n"/>
      <c r="BV1242" s="737" t="n"/>
      <c r="BW1242" s="737" t="n"/>
      <c r="BX1242" s="737" t="n"/>
      <c r="BY1242" s="737" t="n"/>
      <c r="BZ1242" s="737" t="n"/>
      <c r="CA1242" s="737" t="n"/>
      <c r="CB1242" s="737" t="n"/>
      <c r="CC1242" s="737" t="n"/>
      <c r="CD1242" s="737" t="n"/>
      <c r="CE1242" s="737" t="n"/>
      <c r="CF1242" s="737" t="n"/>
      <c r="CG1242" s="737" t="n"/>
      <c r="CH1242" s="737" t="n"/>
      <c r="CI1242" s="737" t="n"/>
      <c r="CJ1242" s="737" t="n"/>
      <c r="CK1242" s="737" t="n"/>
      <c r="CL1242" s="737" t="n"/>
      <c r="CM1242" s="737" t="n"/>
      <c r="CN1242" s="737" t="n"/>
      <c r="CO1242" s="737" t="n"/>
      <c r="CP1242" s="737" t="n"/>
      <c r="CQ1242" s="737" t="n"/>
      <c r="CR1242" s="737" t="n"/>
      <c r="CS1242" s="737" t="n"/>
      <c r="CT1242" s="737" t="n"/>
      <c r="CU1242" s="737" t="n"/>
      <c r="CV1242" s="737" t="n"/>
      <c r="CW1242" s="737" t="n"/>
      <c r="CX1242" s="737" t="n"/>
      <c r="CY1242" s="737" t="n"/>
    </row>
    <row r="1243">
      <c r="A1243" s="737" t="n"/>
      <c r="B1243" s="737" t="n"/>
      <c r="C1243" s="737" t="n"/>
      <c r="D1243" s="737" t="n"/>
      <c r="E1243" s="737" t="n"/>
      <c r="F1243" s="737" t="n"/>
      <c r="G1243" s="737" t="n"/>
      <c r="H1243" s="737" t="n"/>
      <c r="I1243" s="737" t="n"/>
      <c r="J1243" s="737" t="n"/>
      <c r="K1243" s="737" t="n"/>
      <c r="L1243" s="737" t="n"/>
      <c r="M1243" s="737" t="n"/>
      <c r="N1243" s="737" t="n"/>
      <c r="O1243" s="737" t="n"/>
      <c r="P1243" s="737" t="n"/>
      <c r="Q1243" s="737" t="n"/>
      <c r="R1243" s="737" t="n"/>
      <c r="S1243" s="737" t="n"/>
      <c r="T1243" s="737" t="n"/>
      <c r="U1243" s="737" t="n"/>
      <c r="V1243" s="737" t="n"/>
      <c r="W1243" s="737" t="n"/>
      <c r="X1243" s="737" t="n"/>
      <c r="Y1243" s="737" t="n"/>
      <c r="Z1243" s="737" t="n"/>
      <c r="AA1243" s="737" t="n"/>
      <c r="AB1243" s="737" t="n"/>
      <c r="AC1243" s="737" t="n"/>
      <c r="AD1243" s="737" t="n"/>
      <c r="AE1243" s="737" t="n"/>
      <c r="AF1243" s="737" t="n"/>
      <c r="AG1243" s="737" t="n"/>
      <c r="AH1243" s="737" t="n"/>
      <c r="AI1243" s="737" t="n"/>
      <c r="AJ1243" s="737" t="n"/>
      <c r="AK1243" s="737" t="n"/>
      <c r="AL1243" s="737" t="n"/>
      <c r="AM1243" s="737" t="n"/>
      <c r="AN1243" s="737" t="n"/>
      <c r="AO1243" s="737" t="n"/>
      <c r="AP1243" s="737" t="n"/>
      <c r="AQ1243" s="737" t="n"/>
      <c r="AR1243" s="737" t="n"/>
      <c r="AS1243" s="737" t="n"/>
      <c r="AT1243" s="737" t="n"/>
      <c r="AU1243" s="737" t="n"/>
      <c r="AV1243" s="737" t="n"/>
      <c r="AW1243" s="737" t="n"/>
      <c r="AX1243" s="737" t="n"/>
      <c r="AY1243" s="737" t="n"/>
      <c r="AZ1243" s="737" t="n"/>
      <c r="BA1243" s="737" t="n"/>
      <c r="BB1243" s="737" t="n"/>
      <c r="BC1243" s="737" t="n"/>
      <c r="BD1243" s="737" t="n"/>
      <c r="BE1243" s="737" t="n"/>
      <c r="BF1243" s="737" t="n"/>
      <c r="BG1243" s="737" t="n"/>
      <c r="BH1243" s="737" t="n"/>
      <c r="BI1243" s="737" t="n"/>
      <c r="BJ1243" s="737" t="n"/>
      <c r="BK1243" s="737" t="n"/>
      <c r="BL1243" s="737" t="n"/>
      <c r="BM1243" s="737" t="n"/>
      <c r="BN1243" s="737" t="n"/>
      <c r="BO1243" s="737" t="n"/>
      <c r="BP1243" s="737" t="n"/>
      <c r="BQ1243" s="737" t="n"/>
      <c r="BR1243" s="737" t="n"/>
      <c r="BS1243" s="737" t="n"/>
      <c r="BT1243" s="737" t="n"/>
      <c r="BU1243" s="737" t="n"/>
      <c r="BV1243" s="737" t="n"/>
      <c r="BW1243" s="737" t="n"/>
      <c r="BX1243" s="737" t="n"/>
      <c r="BY1243" s="737" t="n"/>
      <c r="BZ1243" s="737" t="n"/>
      <c r="CA1243" s="737" t="n"/>
      <c r="CB1243" s="737" t="n"/>
      <c r="CC1243" s="737" t="n"/>
      <c r="CD1243" s="737" t="n"/>
      <c r="CE1243" s="737" t="n"/>
      <c r="CF1243" s="737" t="n"/>
      <c r="CG1243" s="737" t="n"/>
      <c r="CH1243" s="737" t="n"/>
      <c r="CI1243" s="737" t="n"/>
      <c r="CJ1243" s="737" t="n"/>
      <c r="CK1243" s="737" t="n"/>
      <c r="CL1243" s="737" t="n"/>
      <c r="CM1243" s="737" t="n"/>
      <c r="CN1243" s="737" t="n"/>
      <c r="CO1243" s="737" t="n"/>
      <c r="CP1243" s="737" t="n"/>
      <c r="CQ1243" s="737" t="n"/>
      <c r="CR1243" s="737" t="n"/>
      <c r="CS1243" s="737" t="n"/>
      <c r="CT1243" s="737" t="n"/>
      <c r="CU1243" s="737" t="n"/>
      <c r="CV1243" s="737" t="n"/>
      <c r="CW1243" s="737" t="n"/>
      <c r="CX1243" s="737" t="n"/>
      <c r="CY1243" s="737" t="n"/>
    </row>
    <row r="1244">
      <c r="A1244" s="737" t="n"/>
      <c r="B1244" s="737" t="n"/>
      <c r="C1244" s="737" t="n"/>
      <c r="D1244" s="737" t="n"/>
      <c r="E1244" s="737" t="n"/>
      <c r="F1244" s="737" t="n"/>
      <c r="G1244" s="737" t="n"/>
      <c r="H1244" s="737" t="n"/>
      <c r="I1244" s="737" t="n"/>
      <c r="J1244" s="737" t="n"/>
      <c r="K1244" s="737" t="n"/>
      <c r="L1244" s="737" t="n"/>
      <c r="M1244" s="737" t="n"/>
      <c r="N1244" s="737" t="n"/>
      <c r="O1244" s="737" t="n"/>
      <c r="P1244" s="737" t="n"/>
      <c r="Q1244" s="737" t="n"/>
      <c r="R1244" s="737" t="n"/>
      <c r="S1244" s="737" t="n"/>
      <c r="T1244" s="737" t="n"/>
      <c r="U1244" s="737" t="n"/>
      <c r="V1244" s="737" t="n"/>
      <c r="W1244" s="737" t="n"/>
      <c r="X1244" s="737" t="n"/>
      <c r="Y1244" s="737" t="n"/>
      <c r="Z1244" s="737" t="n"/>
      <c r="AA1244" s="737" t="n"/>
      <c r="AB1244" s="737" t="n"/>
      <c r="AC1244" s="737" t="n"/>
      <c r="AD1244" s="737" t="n"/>
      <c r="AE1244" s="737" t="n"/>
      <c r="AF1244" s="737" t="n"/>
      <c r="AG1244" s="737" t="n"/>
      <c r="AH1244" s="737" t="n"/>
      <c r="AI1244" s="737" t="n"/>
      <c r="AJ1244" s="737" t="n"/>
      <c r="AK1244" s="737" t="n"/>
      <c r="AL1244" s="737" t="n"/>
      <c r="AM1244" s="737" t="n"/>
      <c r="AN1244" s="737" t="n"/>
      <c r="AO1244" s="737" t="n"/>
      <c r="AP1244" s="737" t="n"/>
      <c r="AQ1244" s="737" t="n"/>
      <c r="AR1244" s="737" t="n"/>
      <c r="AS1244" s="737" t="n"/>
      <c r="AT1244" s="737" t="n"/>
      <c r="AU1244" s="737" t="n"/>
      <c r="AV1244" s="737" t="n"/>
      <c r="AW1244" s="737" t="n"/>
      <c r="AX1244" s="737" t="n"/>
      <c r="AY1244" s="737" t="n"/>
      <c r="AZ1244" s="737" t="n"/>
      <c r="BA1244" s="737" t="n"/>
      <c r="BB1244" s="737" t="n"/>
      <c r="BC1244" s="737" t="n"/>
      <c r="BD1244" s="737" t="n"/>
      <c r="BE1244" s="737" t="n"/>
      <c r="BF1244" s="737" t="n"/>
      <c r="BG1244" s="737" t="n"/>
      <c r="BH1244" s="737" t="n"/>
      <c r="BI1244" s="737" t="n"/>
      <c r="BJ1244" s="737" t="n"/>
      <c r="BK1244" s="737" t="n"/>
      <c r="BL1244" s="737" t="n"/>
      <c r="BM1244" s="737" t="n"/>
      <c r="BN1244" s="737" t="n"/>
      <c r="BO1244" s="737" t="n"/>
      <c r="BP1244" s="737" t="n"/>
      <c r="BQ1244" s="737" t="n"/>
      <c r="BR1244" s="737" t="n"/>
      <c r="BS1244" s="737" t="n"/>
      <c r="BT1244" s="737" t="n"/>
      <c r="BU1244" s="737" t="n"/>
      <c r="BV1244" s="737" t="n"/>
      <c r="BW1244" s="737" t="n"/>
      <c r="BX1244" s="737" t="n"/>
      <c r="BY1244" s="737" t="n"/>
      <c r="BZ1244" s="737" t="n"/>
      <c r="CA1244" s="737" t="n"/>
      <c r="CB1244" s="737" t="n"/>
      <c r="CC1244" s="737" t="n"/>
      <c r="CD1244" s="737" t="n"/>
      <c r="CE1244" s="737" t="n"/>
      <c r="CF1244" s="737" t="n"/>
      <c r="CG1244" s="737" t="n"/>
      <c r="CH1244" s="737" t="n"/>
      <c r="CI1244" s="737" t="n"/>
      <c r="CJ1244" s="737" t="n"/>
      <c r="CK1244" s="737" t="n"/>
      <c r="CL1244" s="737" t="n"/>
      <c r="CM1244" s="737" t="n"/>
      <c r="CN1244" s="737" t="n"/>
      <c r="CO1244" s="737" t="n"/>
      <c r="CP1244" s="737" t="n"/>
      <c r="CQ1244" s="737" t="n"/>
      <c r="CR1244" s="737" t="n"/>
      <c r="CS1244" s="737" t="n"/>
      <c r="CT1244" s="737" t="n"/>
      <c r="CU1244" s="737" t="n"/>
      <c r="CV1244" s="737" t="n"/>
      <c r="CW1244" s="737" t="n"/>
      <c r="CX1244" s="737" t="n"/>
      <c r="CY1244" s="737" t="n"/>
    </row>
    <row r="1245">
      <c r="A1245" s="737" t="n"/>
      <c r="B1245" s="737" t="n"/>
      <c r="C1245" s="737" t="n"/>
      <c r="D1245" s="737" t="n"/>
      <c r="E1245" s="737" t="n"/>
      <c r="F1245" s="737" t="n"/>
      <c r="G1245" s="737" t="n"/>
      <c r="H1245" s="737" t="n"/>
      <c r="I1245" s="737" t="n"/>
      <c r="J1245" s="737" t="n"/>
      <c r="K1245" s="737" t="n"/>
      <c r="L1245" s="737" t="n"/>
      <c r="M1245" s="737" t="n"/>
      <c r="N1245" s="737" t="n"/>
      <c r="O1245" s="737" t="n"/>
      <c r="P1245" s="737" t="n"/>
      <c r="Q1245" s="737" t="n"/>
      <c r="R1245" s="737" t="n"/>
      <c r="S1245" s="737" t="n"/>
      <c r="T1245" s="737" t="n"/>
      <c r="U1245" s="737" t="n"/>
      <c r="V1245" s="737" t="n"/>
      <c r="W1245" s="737" t="n"/>
      <c r="X1245" s="737" t="n"/>
      <c r="Y1245" s="737" t="n"/>
      <c r="Z1245" s="737" t="n"/>
      <c r="AA1245" s="737" t="n"/>
      <c r="AB1245" s="737" t="n"/>
      <c r="AC1245" s="737" t="n"/>
      <c r="AD1245" s="737" t="n"/>
      <c r="AE1245" s="737" t="n"/>
      <c r="AF1245" s="737" t="n"/>
      <c r="AG1245" s="737" t="n"/>
      <c r="AH1245" s="737" t="n"/>
      <c r="AI1245" s="737" t="n"/>
      <c r="AJ1245" s="737" t="n"/>
      <c r="AK1245" s="737" t="n"/>
      <c r="AL1245" s="737" t="n"/>
      <c r="AM1245" s="737" t="n"/>
      <c r="AN1245" s="737" t="n"/>
      <c r="AO1245" s="737" t="n"/>
      <c r="AP1245" s="737" t="n"/>
      <c r="AQ1245" s="737" t="n"/>
      <c r="AR1245" s="737" t="n"/>
      <c r="AS1245" s="737" t="n"/>
      <c r="AT1245" s="737" t="n"/>
      <c r="AU1245" s="737" t="n"/>
      <c r="AV1245" s="737" t="n"/>
      <c r="AW1245" s="737" t="n"/>
      <c r="AX1245" s="737" t="n"/>
      <c r="AY1245" s="737" t="n"/>
      <c r="AZ1245" s="737" t="n"/>
      <c r="BA1245" s="737" t="n"/>
      <c r="BB1245" s="737" t="n"/>
      <c r="BC1245" s="737" t="n"/>
      <c r="BD1245" s="737" t="n"/>
      <c r="BE1245" s="737" t="n"/>
      <c r="BF1245" s="737" t="n"/>
      <c r="BG1245" s="737" t="n"/>
      <c r="BH1245" s="737" t="n"/>
      <c r="BI1245" s="737" t="n"/>
      <c r="BJ1245" s="737" t="n"/>
      <c r="BK1245" s="737" t="n"/>
      <c r="BL1245" s="737" t="n"/>
      <c r="BM1245" s="737" t="n"/>
      <c r="BN1245" s="737" t="n"/>
      <c r="BO1245" s="737" t="n"/>
      <c r="BP1245" s="737" t="n"/>
      <c r="BQ1245" s="737" t="n"/>
      <c r="BR1245" s="737" t="n"/>
      <c r="BS1245" s="737" t="n"/>
      <c r="BT1245" s="737" t="n"/>
      <c r="BU1245" s="737" t="n"/>
      <c r="BV1245" s="737" t="n"/>
      <c r="BW1245" s="737" t="n"/>
      <c r="BX1245" s="737" t="n"/>
      <c r="BY1245" s="737" t="n"/>
      <c r="BZ1245" s="737" t="n"/>
      <c r="CA1245" s="737" t="n"/>
      <c r="CB1245" s="737" t="n"/>
      <c r="CC1245" s="737" t="n"/>
      <c r="CD1245" s="737" t="n"/>
      <c r="CE1245" s="737" t="n"/>
      <c r="CF1245" s="737" t="n"/>
      <c r="CG1245" s="737" t="n"/>
      <c r="CH1245" s="737" t="n"/>
      <c r="CI1245" s="737" t="n"/>
      <c r="CJ1245" s="737" t="n"/>
      <c r="CK1245" s="737" t="n"/>
      <c r="CL1245" s="737" t="n"/>
      <c r="CM1245" s="737" t="n"/>
      <c r="CN1245" s="737" t="n"/>
      <c r="CO1245" s="737" t="n"/>
      <c r="CP1245" s="737" t="n"/>
      <c r="CQ1245" s="737" t="n"/>
      <c r="CR1245" s="737" t="n"/>
      <c r="CS1245" s="737" t="n"/>
      <c r="CT1245" s="737" t="n"/>
      <c r="CU1245" s="737" t="n"/>
      <c r="CV1245" s="737" t="n"/>
      <c r="CW1245" s="737" t="n"/>
      <c r="CX1245" s="737" t="n"/>
      <c r="CY1245" s="737" t="n"/>
    </row>
    <row r="1246">
      <c r="A1246" s="737" t="n"/>
      <c r="B1246" s="737" t="n"/>
      <c r="C1246" s="737" t="n"/>
      <c r="D1246" s="737" t="n"/>
      <c r="E1246" s="737" t="n"/>
      <c r="F1246" s="737" t="n"/>
      <c r="G1246" s="737" t="n"/>
      <c r="H1246" s="737" t="n"/>
      <c r="I1246" s="737" t="n"/>
      <c r="J1246" s="737" t="n"/>
      <c r="K1246" s="737" t="n"/>
      <c r="L1246" s="737" t="n"/>
      <c r="M1246" s="737" t="n"/>
      <c r="N1246" s="737" t="n"/>
      <c r="O1246" s="737" t="n"/>
      <c r="P1246" s="737" t="n"/>
      <c r="Q1246" s="737" t="n"/>
      <c r="R1246" s="737" t="n"/>
      <c r="S1246" s="737" t="n"/>
      <c r="T1246" s="737" t="n"/>
      <c r="U1246" s="737" t="n"/>
      <c r="V1246" s="737" t="n"/>
      <c r="W1246" s="737" t="n"/>
      <c r="X1246" s="737" t="n"/>
      <c r="Y1246" s="737" t="n"/>
      <c r="Z1246" s="737" t="n"/>
      <c r="AA1246" s="737" t="n"/>
      <c r="AB1246" s="737" t="n"/>
      <c r="AC1246" s="737" t="n"/>
      <c r="AD1246" s="737" t="n"/>
      <c r="AE1246" s="737" t="n"/>
      <c r="AF1246" s="737" t="n"/>
      <c r="AG1246" s="737" t="n"/>
      <c r="AH1246" s="737" t="n"/>
      <c r="AI1246" s="737" t="n"/>
      <c r="AJ1246" s="737" t="n"/>
      <c r="AK1246" s="737" t="n"/>
      <c r="AL1246" s="737" t="n"/>
      <c r="AM1246" s="737" t="n"/>
      <c r="AN1246" s="737" t="n"/>
      <c r="AO1246" s="737" t="n"/>
      <c r="AP1246" s="737" t="n"/>
      <c r="AQ1246" s="737" t="n"/>
      <c r="AR1246" s="737" t="n"/>
      <c r="AS1246" s="737" t="n"/>
      <c r="AT1246" s="737" t="n"/>
      <c r="AU1246" s="737" t="n"/>
      <c r="AV1246" s="737" t="n"/>
      <c r="AW1246" s="737" t="n"/>
      <c r="AX1246" s="737" t="n"/>
      <c r="AY1246" s="737" t="n"/>
      <c r="AZ1246" s="737" t="n"/>
      <c r="BA1246" s="737" t="n"/>
      <c r="BB1246" s="737" t="n"/>
      <c r="BC1246" s="737" t="n"/>
      <c r="BD1246" s="737" t="n"/>
      <c r="BE1246" s="737" t="n"/>
      <c r="BF1246" s="737" t="n"/>
      <c r="BG1246" s="737" t="n"/>
      <c r="BH1246" s="737" t="n"/>
      <c r="BI1246" s="737" t="n"/>
      <c r="BJ1246" s="737" t="n"/>
      <c r="BK1246" s="737" t="n"/>
      <c r="BL1246" s="737" t="n"/>
      <c r="BM1246" s="737" t="n"/>
      <c r="BN1246" s="737" t="n"/>
      <c r="BO1246" s="737" t="n"/>
      <c r="BP1246" s="737" t="n"/>
      <c r="BQ1246" s="737" t="n"/>
      <c r="BR1246" s="737" t="n"/>
      <c r="BS1246" s="737" t="n"/>
      <c r="BT1246" s="737" t="n"/>
      <c r="BU1246" s="737" t="n"/>
      <c r="BV1246" s="737" t="n"/>
      <c r="BW1246" s="737" t="n"/>
      <c r="BX1246" s="737" t="n"/>
      <c r="BY1246" s="737" t="n"/>
      <c r="BZ1246" s="737" t="n"/>
      <c r="CA1246" s="737" t="n"/>
      <c r="CB1246" s="737" t="n"/>
      <c r="CC1246" s="737" t="n"/>
      <c r="CD1246" s="737" t="n"/>
      <c r="CE1246" s="737" t="n"/>
      <c r="CF1246" s="737" t="n"/>
      <c r="CG1246" s="737" t="n"/>
      <c r="CH1246" s="737" t="n"/>
      <c r="CI1246" s="737" t="n"/>
      <c r="CJ1246" s="737" t="n"/>
      <c r="CK1246" s="737" t="n"/>
      <c r="CL1246" s="737" t="n"/>
      <c r="CM1246" s="737" t="n"/>
      <c r="CN1246" s="737" t="n"/>
      <c r="CO1246" s="737" t="n"/>
      <c r="CP1246" s="737" t="n"/>
      <c r="CQ1246" s="737" t="n"/>
      <c r="CR1246" s="737" t="n"/>
      <c r="CS1246" s="737" t="n"/>
      <c r="CT1246" s="737" t="n"/>
      <c r="CU1246" s="737" t="n"/>
      <c r="CV1246" s="737" t="n"/>
      <c r="CW1246" s="737" t="n"/>
      <c r="CX1246" s="737" t="n"/>
      <c r="CY1246" s="737" t="n"/>
    </row>
    <row r="1247">
      <c r="A1247" s="737" t="n"/>
      <c r="B1247" s="737" t="n"/>
      <c r="C1247" s="737" t="n"/>
      <c r="D1247" s="737" t="n"/>
      <c r="E1247" s="737" t="n"/>
      <c r="F1247" s="737" t="n"/>
      <c r="G1247" s="737" t="n"/>
      <c r="H1247" s="737" t="n"/>
      <c r="I1247" s="737" t="n"/>
      <c r="J1247" s="737" t="n"/>
      <c r="K1247" s="737" t="n"/>
      <c r="L1247" s="737" t="n"/>
      <c r="M1247" s="737" t="n"/>
      <c r="N1247" s="737" t="n"/>
      <c r="O1247" s="737" t="n"/>
      <c r="P1247" s="737" t="n"/>
      <c r="Q1247" s="737" t="n"/>
      <c r="R1247" s="737" t="n"/>
      <c r="S1247" s="737" t="n"/>
      <c r="T1247" s="737" t="n"/>
      <c r="U1247" s="737" t="n"/>
      <c r="V1247" s="737" t="n"/>
      <c r="W1247" s="737" t="n"/>
      <c r="X1247" s="737" t="n"/>
      <c r="Y1247" s="737" t="n"/>
      <c r="Z1247" s="737" t="n"/>
      <c r="AA1247" s="737" t="n"/>
      <c r="AB1247" s="737" t="n"/>
      <c r="AC1247" s="737" t="n"/>
      <c r="AD1247" s="737" t="n"/>
      <c r="AE1247" s="737" t="n"/>
      <c r="AF1247" s="737" t="n"/>
      <c r="AG1247" s="737" t="n"/>
      <c r="AH1247" s="737" t="n"/>
      <c r="AI1247" s="737" t="n"/>
      <c r="AJ1247" s="737" t="n"/>
      <c r="AK1247" s="737" t="n"/>
      <c r="AL1247" s="737" t="n"/>
      <c r="AM1247" s="737" t="n"/>
      <c r="AN1247" s="737" t="n"/>
      <c r="AO1247" s="737" t="n"/>
      <c r="AP1247" s="737" t="n"/>
      <c r="AQ1247" s="737" t="n"/>
      <c r="AR1247" s="737" t="n"/>
      <c r="AS1247" s="737" t="n"/>
      <c r="AT1247" s="737" t="n"/>
      <c r="AU1247" s="737" t="n"/>
      <c r="AV1247" s="737" t="n"/>
      <c r="AW1247" s="737" t="n"/>
      <c r="AX1247" s="737" t="n"/>
      <c r="AY1247" s="737" t="n"/>
      <c r="AZ1247" s="737" t="n"/>
      <c r="BA1247" s="737" t="n"/>
      <c r="BB1247" s="737" t="n"/>
      <c r="BC1247" s="737" t="n"/>
      <c r="BD1247" s="737" t="n"/>
      <c r="BE1247" s="737" t="n"/>
      <c r="BF1247" s="737" t="n"/>
      <c r="BG1247" s="737" t="n"/>
      <c r="BH1247" s="737" t="n"/>
      <c r="BI1247" s="737" t="n"/>
      <c r="BJ1247" s="737" t="n"/>
      <c r="BK1247" s="737" t="n"/>
      <c r="BL1247" s="737" t="n"/>
      <c r="BM1247" s="737" t="n"/>
      <c r="BN1247" s="737" t="n"/>
      <c r="BO1247" s="737" t="n"/>
      <c r="BP1247" s="737" t="n"/>
      <c r="BQ1247" s="737" t="n"/>
      <c r="BR1247" s="737" t="n"/>
      <c r="BS1247" s="737" t="n"/>
      <c r="BT1247" s="737" t="n"/>
      <c r="BU1247" s="737" t="n"/>
      <c r="BV1247" s="737" t="n"/>
      <c r="BW1247" s="737" t="n"/>
      <c r="BX1247" s="737" t="n"/>
      <c r="BY1247" s="737" t="n"/>
      <c r="BZ1247" s="737" t="n"/>
      <c r="CA1247" s="737" t="n"/>
      <c r="CB1247" s="737" t="n"/>
      <c r="CC1247" s="737" t="n"/>
      <c r="CD1247" s="737" t="n"/>
      <c r="CE1247" s="737" t="n"/>
      <c r="CF1247" s="737" t="n"/>
      <c r="CG1247" s="737" t="n"/>
      <c r="CH1247" s="737" t="n"/>
      <c r="CI1247" s="737" t="n"/>
      <c r="CJ1247" s="737" t="n"/>
      <c r="CK1247" s="737" t="n"/>
      <c r="CL1247" s="737" t="n"/>
      <c r="CM1247" s="737" t="n"/>
      <c r="CN1247" s="737" t="n"/>
      <c r="CO1247" s="737" t="n"/>
      <c r="CP1247" s="737" t="n"/>
      <c r="CQ1247" s="737" t="n"/>
      <c r="CR1247" s="737" t="n"/>
      <c r="CS1247" s="737" t="n"/>
      <c r="CT1247" s="737" t="n"/>
      <c r="CU1247" s="737" t="n"/>
      <c r="CV1247" s="737" t="n"/>
      <c r="CW1247" s="737" t="n"/>
      <c r="CX1247" s="737" t="n"/>
      <c r="CY1247" s="737" t="n"/>
    </row>
    <row r="1248">
      <c r="A1248" s="737" t="n"/>
      <c r="B1248" s="737" t="n"/>
      <c r="C1248" s="737" t="n"/>
      <c r="D1248" s="737" t="n"/>
      <c r="E1248" s="737" t="n"/>
      <c r="F1248" s="737" t="n"/>
      <c r="G1248" s="737" t="n"/>
      <c r="H1248" s="737" t="n"/>
      <c r="I1248" s="737" t="n"/>
      <c r="J1248" s="737" t="n"/>
      <c r="K1248" s="737" t="n"/>
      <c r="L1248" s="737" t="n"/>
      <c r="M1248" s="737" t="n"/>
      <c r="N1248" s="737" t="n"/>
      <c r="O1248" s="737" t="n"/>
      <c r="P1248" s="737" t="n"/>
      <c r="Q1248" s="737" t="n"/>
      <c r="R1248" s="737" t="n"/>
      <c r="S1248" s="737" t="n"/>
      <c r="T1248" s="737" t="n"/>
      <c r="U1248" s="737" t="n"/>
      <c r="V1248" s="737" t="n"/>
      <c r="W1248" s="737" t="n"/>
      <c r="X1248" s="737" t="n"/>
      <c r="Y1248" s="737" t="n"/>
      <c r="Z1248" s="737" t="n"/>
      <c r="AA1248" s="737" t="n"/>
      <c r="AB1248" s="737" t="n"/>
      <c r="AC1248" s="737" t="n"/>
      <c r="AD1248" s="737" t="n"/>
      <c r="AE1248" s="737" t="n"/>
      <c r="AF1248" s="737" t="n"/>
      <c r="AG1248" s="737" t="n"/>
      <c r="AH1248" s="737" t="n"/>
      <c r="AI1248" s="737" t="n"/>
      <c r="AJ1248" s="737" t="n"/>
      <c r="AK1248" s="737" t="n"/>
      <c r="AL1248" s="737" t="n"/>
      <c r="AM1248" s="737" t="n"/>
      <c r="AN1248" s="737" t="n"/>
      <c r="AO1248" s="737" t="n"/>
      <c r="AP1248" s="737" t="n"/>
      <c r="AQ1248" s="737" t="n"/>
      <c r="AR1248" s="737" t="n"/>
      <c r="AS1248" s="737" t="n"/>
      <c r="AT1248" s="737" t="n"/>
      <c r="AU1248" s="737" t="n"/>
      <c r="AV1248" s="737" t="n"/>
      <c r="AW1248" s="737" t="n"/>
      <c r="AX1248" s="737" t="n"/>
      <c r="AY1248" s="737" t="n"/>
      <c r="AZ1248" s="737" t="n"/>
      <c r="BA1248" s="737" t="n"/>
      <c r="BB1248" s="737" t="n"/>
      <c r="BC1248" s="737" t="n"/>
      <c r="BD1248" s="737" t="n"/>
      <c r="BE1248" s="737" t="n"/>
      <c r="BF1248" s="737" t="n"/>
      <c r="BG1248" s="737" t="n"/>
      <c r="BH1248" s="737" t="n"/>
      <c r="BI1248" s="737" t="n"/>
      <c r="BJ1248" s="737" t="n"/>
      <c r="BK1248" s="737" t="n"/>
      <c r="BL1248" s="737" t="n"/>
      <c r="BM1248" s="737" t="n"/>
      <c r="BN1248" s="737" t="n"/>
      <c r="BO1248" s="737" t="n"/>
      <c r="BP1248" s="737" t="n"/>
      <c r="BQ1248" s="737" t="n"/>
      <c r="BR1248" s="737" t="n"/>
      <c r="BS1248" s="737" t="n"/>
      <c r="BT1248" s="737" t="n"/>
      <c r="BU1248" s="737" t="n"/>
      <c r="BV1248" s="737" t="n"/>
      <c r="BW1248" s="737" t="n"/>
      <c r="BX1248" s="737" t="n"/>
      <c r="BY1248" s="737" t="n"/>
      <c r="BZ1248" s="737" t="n"/>
      <c r="CA1248" s="737" t="n"/>
      <c r="CB1248" s="737" t="n"/>
      <c r="CC1248" s="737" t="n"/>
      <c r="CD1248" s="737" t="n"/>
      <c r="CE1248" s="737" t="n"/>
      <c r="CF1248" s="737" t="n"/>
      <c r="CG1248" s="737" t="n"/>
      <c r="CH1248" s="737" t="n"/>
      <c r="CI1248" s="737" t="n"/>
      <c r="CJ1248" s="737" t="n"/>
      <c r="CK1248" s="737" t="n"/>
      <c r="CL1248" s="737" t="n"/>
      <c r="CM1248" s="737" t="n"/>
      <c r="CN1248" s="737" t="n"/>
      <c r="CO1248" s="737" t="n"/>
      <c r="CP1248" s="737" t="n"/>
      <c r="CQ1248" s="737" t="n"/>
      <c r="CR1248" s="737" t="n"/>
      <c r="CS1248" s="737" t="n"/>
      <c r="CT1248" s="737" t="n"/>
      <c r="CU1248" s="737" t="n"/>
      <c r="CV1248" s="737" t="n"/>
      <c r="CW1248" s="737" t="n"/>
      <c r="CX1248" s="737" t="n"/>
      <c r="CY1248" s="737" t="n"/>
    </row>
    <row r="1249">
      <c r="A1249" s="737" t="n"/>
      <c r="B1249" s="737" t="n"/>
      <c r="C1249" s="737" t="n"/>
      <c r="D1249" s="737" t="n"/>
      <c r="E1249" s="737" t="n"/>
      <c r="F1249" s="737" t="n"/>
      <c r="G1249" s="737" t="n"/>
      <c r="H1249" s="737" t="n"/>
      <c r="I1249" s="737" t="n"/>
      <c r="J1249" s="737" t="n"/>
      <c r="K1249" s="737" t="n"/>
      <c r="L1249" s="737" t="n"/>
      <c r="M1249" s="737" t="n"/>
      <c r="N1249" s="737" t="n"/>
      <c r="O1249" s="737" t="n"/>
      <c r="P1249" s="737" t="n"/>
      <c r="Q1249" s="737" t="n"/>
      <c r="R1249" s="737" t="n"/>
      <c r="S1249" s="737" t="n"/>
      <c r="T1249" s="737" t="n"/>
      <c r="U1249" s="737" t="n"/>
      <c r="V1249" s="737" t="n"/>
      <c r="W1249" s="737" t="n"/>
      <c r="X1249" s="737" t="n"/>
      <c r="Y1249" s="737" t="n"/>
      <c r="Z1249" s="737" t="n"/>
      <c r="AA1249" s="737" t="n"/>
      <c r="AB1249" s="737" t="n"/>
      <c r="AC1249" s="737" t="n"/>
      <c r="AD1249" s="737" t="n"/>
      <c r="AE1249" s="737" t="n"/>
      <c r="AF1249" s="737" t="n"/>
      <c r="AG1249" s="737" t="n"/>
      <c r="AH1249" s="737" t="n"/>
      <c r="AI1249" s="737" t="n"/>
      <c r="AJ1249" s="737" t="n"/>
      <c r="AK1249" s="737" t="n"/>
      <c r="AL1249" s="737" t="n"/>
      <c r="AM1249" s="737" t="n"/>
      <c r="AN1249" s="737" t="n"/>
      <c r="AO1249" s="737" t="n"/>
      <c r="AP1249" s="737" t="n"/>
      <c r="AQ1249" s="737" t="n"/>
      <c r="AR1249" s="737" t="n"/>
      <c r="AS1249" s="737" t="n"/>
      <c r="AT1249" s="737" t="n"/>
      <c r="AU1249" s="737" t="n"/>
      <c r="AV1249" s="737" t="n"/>
      <c r="AW1249" s="737" t="n"/>
      <c r="AX1249" s="737" t="n"/>
      <c r="AY1249" s="737" t="n"/>
      <c r="AZ1249" s="737" t="n"/>
      <c r="BA1249" s="737" t="n"/>
      <c r="BB1249" s="737" t="n"/>
      <c r="BC1249" s="737" t="n"/>
      <c r="BD1249" s="737" t="n"/>
      <c r="BE1249" s="737" t="n"/>
      <c r="BF1249" s="737" t="n"/>
      <c r="BG1249" s="737" t="n"/>
      <c r="BH1249" s="737" t="n"/>
      <c r="BI1249" s="737" t="n"/>
      <c r="BJ1249" s="737" t="n"/>
      <c r="BK1249" s="737" t="n"/>
      <c r="BL1249" s="737" t="n"/>
      <c r="BM1249" s="737" t="n"/>
      <c r="BN1249" s="737" t="n"/>
      <c r="BO1249" s="737" t="n"/>
      <c r="BP1249" s="737" t="n"/>
      <c r="BQ1249" s="737" t="n"/>
      <c r="BR1249" s="737" t="n"/>
      <c r="BS1249" s="737" t="n"/>
      <c r="BT1249" s="737" t="n"/>
      <c r="BU1249" s="737" t="n"/>
      <c r="BV1249" s="737" t="n"/>
      <c r="BW1249" s="737" t="n"/>
      <c r="BX1249" s="737" t="n"/>
      <c r="BY1249" s="737" t="n"/>
      <c r="BZ1249" s="737" t="n"/>
      <c r="CA1249" s="737" t="n"/>
      <c r="CB1249" s="737" t="n"/>
      <c r="CC1249" s="737" t="n"/>
      <c r="CD1249" s="737" t="n"/>
      <c r="CE1249" s="737" t="n"/>
      <c r="CF1249" s="737" t="n"/>
      <c r="CG1249" s="737" t="n"/>
      <c r="CH1249" s="737" t="n"/>
      <c r="CI1249" s="737" t="n"/>
      <c r="CJ1249" s="737" t="n"/>
      <c r="CK1249" s="737" t="n"/>
      <c r="CL1249" s="737" t="n"/>
      <c r="CM1249" s="737" t="n"/>
      <c r="CN1249" s="737" t="n"/>
      <c r="CO1249" s="737" t="n"/>
      <c r="CP1249" s="737" t="n"/>
      <c r="CQ1249" s="737" t="n"/>
      <c r="CR1249" s="737" t="n"/>
      <c r="CS1249" s="737" t="n"/>
      <c r="CT1249" s="737" t="n"/>
      <c r="CU1249" s="737" t="n"/>
      <c r="CV1249" s="737" t="n"/>
      <c r="CW1249" s="737" t="n"/>
      <c r="CX1249" s="737" t="n"/>
      <c r="CY1249" s="737" t="n"/>
    </row>
    <row r="1250">
      <c r="A1250" s="737" t="n"/>
      <c r="B1250" s="737" t="n"/>
      <c r="C1250" s="737" t="n"/>
      <c r="D1250" s="737" t="n"/>
      <c r="E1250" s="737" t="n"/>
      <c r="F1250" s="737" t="n"/>
      <c r="G1250" s="737" t="n"/>
      <c r="H1250" s="737" t="n"/>
      <c r="I1250" s="737" t="n"/>
      <c r="J1250" s="737" t="n"/>
      <c r="K1250" s="737" t="n"/>
      <c r="L1250" s="737" t="n"/>
      <c r="M1250" s="737" t="n"/>
      <c r="N1250" s="737" t="n"/>
      <c r="O1250" s="737" t="n"/>
      <c r="P1250" s="737" t="n"/>
      <c r="Q1250" s="737" t="n"/>
      <c r="R1250" s="737" t="n"/>
      <c r="S1250" s="737" t="n"/>
      <c r="T1250" s="737" t="n"/>
      <c r="U1250" s="737" t="n"/>
      <c r="V1250" s="737" t="n"/>
      <c r="W1250" s="737" t="n"/>
      <c r="X1250" s="737" t="n"/>
      <c r="Y1250" s="737" t="n"/>
      <c r="Z1250" s="737" t="n"/>
      <c r="AA1250" s="737" t="n"/>
      <c r="AB1250" s="737" t="n"/>
      <c r="AC1250" s="737" t="n"/>
      <c r="AD1250" s="737" t="n"/>
      <c r="AE1250" s="737" t="n"/>
      <c r="AF1250" s="737" t="n"/>
      <c r="AG1250" s="737" t="n"/>
      <c r="AH1250" s="737" t="n"/>
      <c r="AI1250" s="737" t="n"/>
      <c r="AJ1250" s="737" t="n"/>
      <c r="AK1250" s="737" t="n"/>
      <c r="AL1250" s="737" t="n"/>
      <c r="AM1250" s="737" t="n"/>
      <c r="AN1250" s="737" t="n"/>
      <c r="AO1250" s="737" t="n"/>
      <c r="AP1250" s="737" t="n"/>
      <c r="AQ1250" s="737" t="n"/>
      <c r="AR1250" s="737" t="n"/>
      <c r="AS1250" s="737" t="n"/>
      <c r="AT1250" s="737" t="n"/>
      <c r="AU1250" s="737" t="n"/>
      <c r="AV1250" s="737" t="n"/>
      <c r="AW1250" s="737" t="n"/>
      <c r="AX1250" s="737" t="n"/>
      <c r="AY1250" s="737" t="n"/>
      <c r="AZ1250" s="737" t="n"/>
      <c r="BA1250" s="737" t="n"/>
      <c r="BB1250" s="737" t="n"/>
      <c r="BC1250" s="737" t="n"/>
      <c r="BD1250" s="737" t="n"/>
      <c r="BE1250" s="737" t="n"/>
      <c r="BF1250" s="737" t="n"/>
      <c r="BG1250" s="737" t="n"/>
      <c r="BH1250" s="737" t="n"/>
      <c r="BI1250" s="737" t="n"/>
      <c r="BJ1250" s="737" t="n"/>
      <c r="BK1250" s="737" t="n"/>
      <c r="BL1250" s="737" t="n"/>
      <c r="BM1250" s="737" t="n"/>
      <c r="BN1250" s="737" t="n"/>
      <c r="BO1250" s="737" t="n"/>
      <c r="BP1250" s="737" t="n"/>
      <c r="BQ1250" s="737" t="n"/>
      <c r="BR1250" s="737" t="n"/>
      <c r="BS1250" s="737" t="n"/>
      <c r="BT1250" s="737" t="n"/>
      <c r="BU1250" s="737" t="n"/>
      <c r="BV1250" s="737" t="n"/>
      <c r="BW1250" s="737" t="n"/>
      <c r="BX1250" s="737" t="n"/>
      <c r="BY1250" s="737" t="n"/>
      <c r="BZ1250" s="737" t="n"/>
      <c r="CA1250" s="737" t="n"/>
      <c r="CB1250" s="737" t="n"/>
      <c r="CC1250" s="737" t="n"/>
      <c r="CD1250" s="737" t="n"/>
      <c r="CE1250" s="737" t="n"/>
      <c r="CF1250" s="737" t="n"/>
      <c r="CG1250" s="737" t="n"/>
      <c r="CH1250" s="737" t="n"/>
      <c r="CI1250" s="737" t="n"/>
      <c r="CJ1250" s="737" t="n"/>
      <c r="CK1250" s="737" t="n"/>
      <c r="CL1250" s="737" t="n"/>
      <c r="CM1250" s="737" t="n"/>
      <c r="CN1250" s="737" t="n"/>
      <c r="CO1250" s="737" t="n"/>
      <c r="CP1250" s="737" t="n"/>
      <c r="CQ1250" s="737" t="n"/>
      <c r="CR1250" s="737" t="n"/>
      <c r="CS1250" s="737" t="n"/>
      <c r="CT1250" s="737" t="n"/>
      <c r="CU1250" s="737" t="n"/>
      <c r="CV1250" s="737" t="n"/>
      <c r="CW1250" s="737" t="n"/>
      <c r="CX1250" s="737" t="n"/>
      <c r="CY1250" s="737" t="n"/>
    </row>
    <row r="1251">
      <c r="A1251" s="737" t="n"/>
      <c r="B1251" s="737" t="n"/>
      <c r="C1251" s="737" t="n"/>
      <c r="D1251" s="737" t="n"/>
      <c r="E1251" s="737" t="n"/>
      <c r="F1251" s="737" t="n"/>
      <c r="G1251" s="737" t="n"/>
      <c r="H1251" s="737" t="n"/>
      <c r="I1251" s="737" t="n"/>
      <c r="J1251" s="737" t="n"/>
      <c r="K1251" s="737" t="n"/>
      <c r="L1251" s="737" t="n"/>
      <c r="M1251" s="737" t="n"/>
      <c r="N1251" s="737" t="n"/>
      <c r="O1251" s="737" t="n"/>
      <c r="P1251" s="737" t="n"/>
      <c r="Q1251" s="737" t="n"/>
      <c r="R1251" s="737" t="n"/>
      <c r="S1251" s="737" t="n"/>
      <c r="T1251" s="737" t="n"/>
      <c r="U1251" s="737" t="n"/>
      <c r="V1251" s="737" t="n"/>
      <c r="W1251" s="737" t="n"/>
      <c r="X1251" s="737" t="n"/>
      <c r="Y1251" s="737" t="n"/>
      <c r="Z1251" s="737" t="n"/>
      <c r="AA1251" s="737" t="n"/>
      <c r="AB1251" s="737" t="n"/>
      <c r="AC1251" s="737" t="n"/>
      <c r="AD1251" s="737" t="n"/>
      <c r="AE1251" s="737" t="n"/>
      <c r="AF1251" s="737" t="n"/>
      <c r="AG1251" s="737" t="n"/>
      <c r="AH1251" s="737" t="n"/>
      <c r="AI1251" s="737" t="n"/>
      <c r="AJ1251" s="737" t="n"/>
      <c r="AK1251" s="737" t="n"/>
      <c r="AL1251" s="737" t="n"/>
      <c r="AM1251" s="737" t="n"/>
      <c r="AN1251" s="737" t="n"/>
      <c r="AO1251" s="737" t="n"/>
      <c r="AP1251" s="737" t="n"/>
      <c r="AQ1251" s="737" t="n"/>
      <c r="AR1251" s="737" t="n"/>
      <c r="AS1251" s="737" t="n"/>
      <c r="AT1251" s="737" t="n"/>
      <c r="AU1251" s="737" t="n"/>
      <c r="AV1251" s="737" t="n"/>
      <c r="AW1251" s="737" t="n"/>
      <c r="AX1251" s="737" t="n"/>
      <c r="AY1251" s="737" t="n"/>
      <c r="AZ1251" s="737" t="n"/>
      <c r="BA1251" s="737" t="n"/>
      <c r="BB1251" s="737" t="n"/>
      <c r="BC1251" s="737" t="n"/>
      <c r="BD1251" s="737" t="n"/>
      <c r="BE1251" s="737" t="n"/>
      <c r="BF1251" s="737" t="n"/>
      <c r="BG1251" s="737" t="n"/>
      <c r="BH1251" s="737" t="n"/>
      <c r="BI1251" s="737" t="n"/>
      <c r="BJ1251" s="737" t="n"/>
      <c r="BK1251" s="737" t="n"/>
      <c r="BL1251" s="737" t="n"/>
      <c r="BM1251" s="737" t="n"/>
      <c r="BN1251" s="737" t="n"/>
      <c r="BO1251" s="737" t="n"/>
      <c r="BP1251" s="737" t="n"/>
      <c r="BQ1251" s="737" t="n"/>
      <c r="BR1251" s="737" t="n"/>
      <c r="BS1251" s="737" t="n"/>
      <c r="BT1251" s="737" t="n"/>
      <c r="BU1251" s="737" t="n"/>
      <c r="BV1251" s="737" t="n"/>
      <c r="BW1251" s="737" t="n"/>
      <c r="BX1251" s="737" t="n"/>
      <c r="BY1251" s="737" t="n"/>
      <c r="BZ1251" s="737" t="n"/>
      <c r="CA1251" s="737" t="n"/>
      <c r="CB1251" s="737" t="n"/>
      <c r="CC1251" s="737" t="n"/>
      <c r="CD1251" s="737" t="n"/>
      <c r="CE1251" s="737" t="n"/>
      <c r="CF1251" s="737" t="n"/>
      <c r="CG1251" s="737" t="n"/>
      <c r="CH1251" s="737" t="n"/>
      <c r="CI1251" s="737" t="n"/>
      <c r="CJ1251" s="737" t="n"/>
      <c r="CK1251" s="737" t="n"/>
      <c r="CL1251" s="737" t="n"/>
      <c r="CM1251" s="737" t="n"/>
      <c r="CN1251" s="737" t="n"/>
      <c r="CO1251" s="737" t="n"/>
      <c r="CP1251" s="737" t="n"/>
      <c r="CQ1251" s="737" t="n"/>
      <c r="CR1251" s="737" t="n"/>
      <c r="CS1251" s="737" t="n"/>
      <c r="CT1251" s="737" t="n"/>
      <c r="CU1251" s="737" t="n"/>
      <c r="CV1251" s="737" t="n"/>
      <c r="CW1251" s="737" t="n"/>
      <c r="CX1251" s="737" t="n"/>
      <c r="CY1251" s="737" t="n"/>
    </row>
    <row r="1252">
      <c r="A1252" s="737" t="n"/>
      <c r="B1252" s="737" t="n"/>
      <c r="C1252" s="737" t="n"/>
      <c r="D1252" s="737" t="n"/>
      <c r="E1252" s="737" t="n"/>
      <c r="F1252" s="737" t="n"/>
      <c r="G1252" s="737" t="n"/>
      <c r="H1252" s="737" t="n"/>
      <c r="I1252" s="737" t="n"/>
      <c r="J1252" s="737" t="n"/>
      <c r="K1252" s="737" t="n"/>
      <c r="L1252" s="737" t="n"/>
      <c r="M1252" s="737" t="n"/>
      <c r="N1252" s="737" t="n"/>
      <c r="O1252" s="737" t="n"/>
      <c r="P1252" s="737" t="n"/>
      <c r="Q1252" s="737" t="n"/>
      <c r="R1252" s="737" t="n"/>
      <c r="S1252" s="737" t="n"/>
      <c r="T1252" s="737" t="n"/>
      <c r="U1252" s="737" t="n"/>
      <c r="V1252" s="737" t="n"/>
      <c r="W1252" s="737" t="n"/>
      <c r="X1252" s="737" t="n"/>
      <c r="Y1252" s="737" t="n"/>
      <c r="Z1252" s="737" t="n"/>
      <c r="AA1252" s="737" t="n"/>
      <c r="AB1252" s="737" t="n"/>
      <c r="AC1252" s="737" t="n"/>
      <c r="AD1252" s="737" t="n"/>
      <c r="AE1252" s="737" t="n"/>
      <c r="AF1252" s="737" t="n"/>
      <c r="AG1252" s="737" t="n"/>
      <c r="AH1252" s="737" t="n"/>
      <c r="AI1252" s="737" t="n"/>
      <c r="AJ1252" s="737" t="n"/>
      <c r="AK1252" s="737" t="n"/>
      <c r="AL1252" s="737" t="n"/>
      <c r="AM1252" s="737" t="n"/>
      <c r="AN1252" s="737" t="n"/>
      <c r="AO1252" s="737" t="n"/>
      <c r="AP1252" s="737" t="n"/>
      <c r="AQ1252" s="737" t="n"/>
      <c r="AR1252" s="737" t="n"/>
      <c r="AS1252" s="737" t="n"/>
      <c r="AT1252" s="737" t="n"/>
      <c r="AU1252" s="737" t="n"/>
      <c r="AV1252" s="737" t="n"/>
      <c r="AW1252" s="737" t="n"/>
      <c r="AX1252" s="737" t="n"/>
      <c r="AY1252" s="737" t="n"/>
      <c r="AZ1252" s="737" t="n"/>
      <c r="BA1252" s="737" t="n"/>
      <c r="BB1252" s="737" t="n"/>
      <c r="BC1252" s="737" t="n"/>
      <c r="BD1252" s="737" t="n"/>
      <c r="BE1252" s="737" t="n"/>
      <c r="BF1252" s="737" t="n"/>
      <c r="BG1252" s="737" t="n"/>
      <c r="BH1252" s="737" t="n"/>
      <c r="BI1252" s="737" t="n"/>
      <c r="BJ1252" s="737" t="n"/>
      <c r="BK1252" s="737" t="n"/>
      <c r="BL1252" s="737" t="n"/>
      <c r="BM1252" s="737" t="n"/>
      <c r="BN1252" s="737" t="n"/>
      <c r="BO1252" s="737" t="n"/>
      <c r="BP1252" s="737" t="n"/>
      <c r="BQ1252" s="737" t="n"/>
      <c r="BR1252" s="737" t="n"/>
      <c r="BS1252" s="737" t="n"/>
      <c r="BT1252" s="737" t="n"/>
      <c r="BU1252" s="737" t="n"/>
      <c r="BV1252" s="737" t="n"/>
      <c r="BW1252" s="737" t="n"/>
      <c r="BX1252" s="737" t="n"/>
      <c r="BY1252" s="737" t="n"/>
      <c r="BZ1252" s="737" t="n"/>
      <c r="CA1252" s="737" t="n"/>
      <c r="CB1252" s="737" t="n"/>
      <c r="CC1252" s="737" t="n"/>
      <c r="CD1252" s="737" t="n"/>
      <c r="CE1252" s="737" t="n"/>
      <c r="CF1252" s="737" t="n"/>
      <c r="CG1252" s="737" t="n"/>
      <c r="CH1252" s="737" t="n"/>
      <c r="CI1252" s="737" t="n"/>
      <c r="CJ1252" s="737" t="n"/>
      <c r="CK1252" s="737" t="n"/>
      <c r="CL1252" s="737" t="n"/>
      <c r="CM1252" s="737" t="n"/>
      <c r="CN1252" s="737" t="n"/>
      <c r="CO1252" s="737" t="n"/>
      <c r="CP1252" s="737" t="n"/>
      <c r="CQ1252" s="737" t="n"/>
      <c r="CR1252" s="737" t="n"/>
      <c r="CS1252" s="737" t="n"/>
      <c r="CT1252" s="737" t="n"/>
      <c r="CU1252" s="737" t="n"/>
      <c r="CV1252" s="737" t="n"/>
      <c r="CW1252" s="737" t="n"/>
      <c r="CX1252" s="737" t="n"/>
      <c r="CY1252" s="737" t="n"/>
    </row>
    <row r="1253">
      <c r="A1253" s="737" t="n"/>
      <c r="B1253" s="737" t="n"/>
      <c r="C1253" s="737" t="n"/>
      <c r="D1253" s="737" t="n"/>
      <c r="E1253" s="737" t="n"/>
      <c r="F1253" s="737" t="n"/>
      <c r="G1253" s="737" t="n"/>
      <c r="H1253" s="737" t="n"/>
      <c r="I1253" s="737" t="n"/>
      <c r="J1253" s="737" t="n"/>
      <c r="K1253" s="737" t="n"/>
      <c r="L1253" s="737" t="n"/>
      <c r="M1253" s="737" t="n"/>
      <c r="N1253" s="737" t="n"/>
      <c r="O1253" s="737" t="n"/>
      <c r="P1253" s="737" t="n"/>
      <c r="Q1253" s="737" t="n"/>
      <c r="R1253" s="737" t="n"/>
      <c r="S1253" s="737" t="n"/>
      <c r="T1253" s="737" t="n"/>
      <c r="U1253" s="737" t="n"/>
      <c r="V1253" s="737" t="n"/>
      <c r="W1253" s="737" t="n"/>
      <c r="X1253" s="737" t="n"/>
      <c r="Y1253" s="737" t="n"/>
      <c r="Z1253" s="737" t="n"/>
      <c r="AA1253" s="737" t="n"/>
      <c r="AB1253" s="737" t="n"/>
      <c r="AC1253" s="737" t="n"/>
      <c r="AD1253" s="737" t="n"/>
      <c r="AE1253" s="737" t="n"/>
      <c r="AF1253" s="737" t="n"/>
      <c r="AG1253" s="737" t="n"/>
      <c r="AH1253" s="737" t="n"/>
      <c r="AI1253" s="737" t="n"/>
      <c r="AJ1253" s="737" t="n"/>
      <c r="AK1253" s="737" t="n"/>
      <c r="AL1253" s="737" t="n"/>
      <c r="AM1253" s="737" t="n"/>
      <c r="AN1253" s="737" t="n"/>
      <c r="AO1253" s="737" t="n"/>
      <c r="AP1253" s="737" t="n"/>
      <c r="AQ1253" s="737" t="n"/>
      <c r="AR1253" s="737" t="n"/>
      <c r="AS1253" s="737" t="n"/>
      <c r="AT1253" s="737" t="n"/>
      <c r="AU1253" s="737" t="n"/>
      <c r="AV1253" s="737" t="n"/>
      <c r="AW1253" s="737" t="n"/>
      <c r="AX1253" s="737" t="n"/>
      <c r="AY1253" s="737" t="n"/>
      <c r="AZ1253" s="737" t="n"/>
      <c r="BA1253" s="737" t="n"/>
      <c r="BB1253" s="737" t="n"/>
      <c r="BC1253" s="737" t="n"/>
      <c r="BD1253" s="737" t="n"/>
      <c r="BE1253" s="737" t="n"/>
      <c r="BF1253" s="737" t="n"/>
      <c r="BG1253" s="737" t="n"/>
      <c r="BH1253" s="737" t="n"/>
      <c r="BI1253" s="737" t="n"/>
      <c r="BJ1253" s="737" t="n"/>
      <c r="BK1253" s="737" t="n"/>
      <c r="BL1253" s="737" t="n"/>
      <c r="BM1253" s="737" t="n"/>
      <c r="BN1253" s="737" t="n"/>
      <c r="BO1253" s="737" t="n"/>
      <c r="BP1253" s="737" t="n"/>
      <c r="BQ1253" s="737" t="n"/>
      <c r="BR1253" s="737" t="n"/>
      <c r="BS1253" s="737" t="n"/>
      <c r="BT1253" s="737" t="n"/>
      <c r="BU1253" s="737" t="n"/>
      <c r="BV1253" s="737" t="n"/>
      <c r="BW1253" s="737" t="n"/>
      <c r="BX1253" s="737" t="n"/>
      <c r="BY1253" s="737" t="n"/>
      <c r="BZ1253" s="737" t="n"/>
      <c r="CA1253" s="737" t="n"/>
      <c r="CB1253" s="737" t="n"/>
      <c r="CC1253" s="737" t="n"/>
      <c r="CD1253" s="737" t="n"/>
      <c r="CE1253" s="737" t="n"/>
      <c r="CF1253" s="737" t="n"/>
      <c r="CG1253" s="737" t="n"/>
      <c r="CH1253" s="737" t="n"/>
      <c r="CI1253" s="737" t="n"/>
      <c r="CJ1253" s="737" t="n"/>
      <c r="CK1253" s="737" t="n"/>
      <c r="CL1253" s="737" t="n"/>
      <c r="CM1253" s="737" t="n"/>
      <c r="CN1253" s="737" t="n"/>
      <c r="CO1253" s="737" t="n"/>
      <c r="CP1253" s="737" t="n"/>
      <c r="CQ1253" s="737" t="n"/>
      <c r="CR1253" s="737" t="n"/>
      <c r="CS1253" s="737" t="n"/>
      <c r="CT1253" s="737" t="n"/>
      <c r="CU1253" s="737" t="n"/>
      <c r="CV1253" s="737" t="n"/>
      <c r="CW1253" s="737" t="n"/>
      <c r="CX1253" s="737" t="n"/>
      <c r="CY1253" s="737" t="n"/>
    </row>
    <row r="1254">
      <c r="A1254" s="737" t="n"/>
      <c r="B1254" s="737" t="n"/>
      <c r="C1254" s="737" t="n"/>
      <c r="D1254" s="737" t="n"/>
      <c r="E1254" s="737" t="n"/>
      <c r="F1254" s="737" t="n"/>
      <c r="G1254" s="737" t="n"/>
      <c r="H1254" s="737" t="n"/>
      <c r="I1254" s="737" t="n"/>
      <c r="J1254" s="737" t="n"/>
      <c r="K1254" s="737" t="n"/>
      <c r="L1254" s="737" t="n"/>
      <c r="M1254" s="737" t="n"/>
      <c r="N1254" s="737" t="n"/>
      <c r="O1254" s="737" t="n"/>
      <c r="P1254" s="737" t="n"/>
      <c r="Q1254" s="737" t="n"/>
      <c r="R1254" s="737" t="n"/>
      <c r="S1254" s="737" t="n"/>
      <c r="T1254" s="737" t="n"/>
      <c r="U1254" s="737" t="n"/>
      <c r="V1254" s="737" t="n"/>
      <c r="W1254" s="737" t="n"/>
      <c r="X1254" s="737" t="n"/>
      <c r="Y1254" s="737" t="n"/>
      <c r="Z1254" s="737" t="n"/>
      <c r="AA1254" s="737" t="n"/>
      <c r="AB1254" s="737" t="n"/>
      <c r="AC1254" s="737" t="n"/>
      <c r="AD1254" s="737" t="n"/>
      <c r="AE1254" s="737" t="n"/>
      <c r="AF1254" s="737" t="n"/>
      <c r="AG1254" s="737" t="n"/>
      <c r="AH1254" s="737" t="n"/>
      <c r="AI1254" s="737" t="n"/>
      <c r="AJ1254" s="737" t="n"/>
      <c r="AK1254" s="737" t="n"/>
      <c r="AL1254" s="737" t="n"/>
      <c r="AM1254" s="737" t="n"/>
      <c r="AN1254" s="737" t="n"/>
      <c r="AO1254" s="737" t="n"/>
      <c r="AP1254" s="737" t="n"/>
      <c r="AQ1254" s="737" t="n"/>
      <c r="AR1254" s="737" t="n"/>
      <c r="AS1254" s="737" t="n"/>
      <c r="AT1254" s="737" t="n"/>
      <c r="AU1254" s="737" t="n"/>
      <c r="AV1254" s="737" t="n"/>
      <c r="AW1254" s="737" t="n"/>
      <c r="AX1254" s="737" t="n"/>
      <c r="AY1254" s="737" t="n"/>
      <c r="AZ1254" s="737" t="n"/>
      <c r="BA1254" s="737" t="n"/>
      <c r="BB1254" s="737" t="n"/>
      <c r="BC1254" s="737" t="n"/>
      <c r="BD1254" s="737" t="n"/>
      <c r="BE1254" s="737" t="n"/>
      <c r="BF1254" s="737" t="n"/>
      <c r="BG1254" s="737" t="n"/>
      <c r="BH1254" s="737" t="n"/>
      <c r="BI1254" s="737" t="n"/>
      <c r="BJ1254" s="737" t="n"/>
      <c r="BK1254" s="737" t="n"/>
      <c r="BL1254" s="737" t="n"/>
      <c r="BM1254" s="737" t="n"/>
      <c r="BN1254" s="737" t="n"/>
      <c r="BO1254" s="737" t="n"/>
      <c r="BP1254" s="737" t="n"/>
      <c r="BQ1254" s="737" t="n"/>
      <c r="BR1254" s="737" t="n"/>
      <c r="BS1254" s="737" t="n"/>
      <c r="BT1254" s="737" t="n"/>
      <c r="BU1254" s="737" t="n"/>
      <c r="BV1254" s="737" t="n"/>
      <c r="BW1254" s="737" t="n"/>
      <c r="BX1254" s="737" t="n"/>
      <c r="BY1254" s="737" t="n"/>
      <c r="BZ1254" s="737" t="n"/>
      <c r="CA1254" s="737" t="n"/>
      <c r="CB1254" s="737" t="n"/>
      <c r="CC1254" s="737" t="n"/>
      <c r="CD1254" s="737" t="n"/>
      <c r="CE1254" s="737" t="n"/>
      <c r="CF1254" s="737" t="n"/>
      <c r="CG1254" s="737" t="n"/>
      <c r="CH1254" s="737" t="n"/>
      <c r="CI1254" s="737" t="n"/>
      <c r="CJ1254" s="737" t="n"/>
      <c r="CK1254" s="737" t="n"/>
      <c r="CL1254" s="737" t="n"/>
      <c r="CM1254" s="737" t="n"/>
      <c r="CN1254" s="737" t="n"/>
      <c r="CO1254" s="737" t="n"/>
      <c r="CP1254" s="737" t="n"/>
      <c r="CQ1254" s="737" t="n"/>
      <c r="CR1254" s="737" t="n"/>
      <c r="CS1254" s="737" t="n"/>
      <c r="CT1254" s="737" t="n"/>
      <c r="CU1254" s="737" t="n"/>
      <c r="CV1254" s="737" t="n"/>
      <c r="CW1254" s="737" t="n"/>
      <c r="CX1254" s="737" t="n"/>
      <c r="CY1254" s="737" t="n"/>
    </row>
    <row r="1255">
      <c r="A1255" s="737" t="n"/>
      <c r="B1255" s="737" t="n"/>
      <c r="C1255" s="737" t="n"/>
      <c r="D1255" s="737" t="n"/>
      <c r="E1255" s="737" t="n"/>
      <c r="F1255" s="737" t="n"/>
      <c r="G1255" s="737" t="n"/>
      <c r="H1255" s="737" t="n"/>
      <c r="I1255" s="737" t="n"/>
      <c r="J1255" s="737" t="n"/>
      <c r="K1255" s="737" t="n"/>
      <c r="L1255" s="737" t="n"/>
      <c r="M1255" s="737" t="n"/>
      <c r="N1255" s="737" t="n"/>
      <c r="O1255" s="737" t="n"/>
      <c r="P1255" s="737" t="n"/>
      <c r="Q1255" s="737" t="n"/>
      <c r="R1255" s="737" t="n"/>
      <c r="S1255" s="737" t="n"/>
      <c r="T1255" s="737" t="n"/>
      <c r="U1255" s="737" t="n"/>
      <c r="V1255" s="737" t="n"/>
      <c r="W1255" s="737" t="n"/>
      <c r="X1255" s="737" t="n"/>
      <c r="Y1255" s="737" t="n"/>
      <c r="Z1255" s="737" t="n"/>
      <c r="AA1255" s="737" t="n"/>
      <c r="AB1255" s="737" t="n"/>
      <c r="AC1255" s="737" t="n"/>
      <c r="AD1255" s="737" t="n"/>
      <c r="AE1255" s="737" t="n"/>
      <c r="AF1255" s="737" t="n"/>
      <c r="AG1255" s="737" t="n"/>
      <c r="AH1255" s="737" t="n"/>
      <c r="AI1255" s="737" t="n"/>
      <c r="AJ1255" s="737" t="n"/>
      <c r="AK1255" s="737" t="n"/>
      <c r="AL1255" s="737" t="n"/>
      <c r="AM1255" s="737" t="n"/>
      <c r="AN1255" s="737" t="n"/>
      <c r="AO1255" s="737" t="n"/>
      <c r="AP1255" s="737" t="n"/>
      <c r="AQ1255" s="737" t="n"/>
      <c r="AR1255" s="737" t="n"/>
      <c r="AS1255" s="737" t="n"/>
      <c r="AT1255" s="737" t="n"/>
      <c r="AU1255" s="737" t="n"/>
      <c r="AV1255" s="737" t="n"/>
      <c r="AW1255" s="737" t="n"/>
      <c r="AX1255" s="737" t="n"/>
      <c r="AY1255" s="737" t="n"/>
      <c r="AZ1255" s="737" t="n"/>
      <c r="BA1255" s="737" t="n"/>
      <c r="BB1255" s="737" t="n"/>
      <c r="BC1255" s="737" t="n"/>
      <c r="BD1255" s="737" t="n"/>
      <c r="BE1255" s="737" t="n"/>
      <c r="BF1255" s="737" t="n"/>
      <c r="BG1255" s="737" t="n"/>
      <c r="BH1255" s="737" t="n"/>
      <c r="BI1255" s="737" t="n"/>
      <c r="BJ1255" s="737" t="n"/>
      <c r="BK1255" s="737" t="n"/>
      <c r="BL1255" s="737" t="n"/>
      <c r="BM1255" s="737" t="n"/>
      <c r="BN1255" s="737" t="n"/>
      <c r="BO1255" s="737" t="n"/>
      <c r="BP1255" s="737" t="n"/>
      <c r="BQ1255" s="737" t="n"/>
      <c r="BR1255" s="737" t="n"/>
      <c r="BS1255" s="737" t="n"/>
      <c r="BT1255" s="737" t="n"/>
      <c r="BU1255" s="737" t="n"/>
      <c r="BV1255" s="737" t="n"/>
      <c r="BW1255" s="737" t="n"/>
      <c r="BX1255" s="737" t="n"/>
      <c r="BY1255" s="737" t="n"/>
      <c r="BZ1255" s="737" t="n"/>
      <c r="CA1255" s="737" t="n"/>
      <c r="CB1255" s="737" t="n"/>
      <c r="CC1255" s="737" t="n"/>
      <c r="CD1255" s="737" t="n"/>
      <c r="CE1255" s="737" t="n"/>
      <c r="CF1255" s="737" t="n"/>
      <c r="CG1255" s="737" t="n"/>
      <c r="CH1255" s="737" t="n"/>
      <c r="CI1255" s="737" t="n"/>
      <c r="CJ1255" s="737" t="n"/>
      <c r="CK1255" s="737" t="n"/>
      <c r="CL1255" s="737" t="n"/>
      <c r="CM1255" s="737" t="n"/>
      <c r="CN1255" s="737" t="n"/>
      <c r="CO1255" s="737" t="n"/>
      <c r="CP1255" s="737" t="n"/>
      <c r="CQ1255" s="737" t="n"/>
      <c r="CR1255" s="737" t="n"/>
      <c r="CS1255" s="737" t="n"/>
      <c r="CT1255" s="737" t="n"/>
      <c r="CU1255" s="737" t="n"/>
      <c r="CV1255" s="737" t="n"/>
      <c r="CW1255" s="737" t="n"/>
      <c r="CX1255" s="737" t="n"/>
      <c r="CY1255" s="737" t="n"/>
    </row>
    <row r="1256">
      <c r="A1256" s="737" t="n"/>
      <c r="B1256" s="737" t="n"/>
      <c r="C1256" s="737" t="n"/>
      <c r="D1256" s="737" t="n"/>
      <c r="E1256" s="737" t="n"/>
      <c r="F1256" s="737" t="n"/>
      <c r="G1256" s="737" t="n"/>
      <c r="H1256" s="737" t="n"/>
      <c r="I1256" s="737" t="n"/>
      <c r="J1256" s="737" t="n"/>
      <c r="K1256" s="737" t="n"/>
      <c r="L1256" s="737" t="n"/>
      <c r="M1256" s="737" t="n"/>
      <c r="N1256" s="737" t="n"/>
      <c r="O1256" s="737" t="n"/>
      <c r="P1256" s="737" t="n"/>
      <c r="Q1256" s="737" t="n"/>
      <c r="R1256" s="737" t="n"/>
      <c r="S1256" s="737" t="n"/>
      <c r="T1256" s="737" t="n"/>
      <c r="U1256" s="737" t="n"/>
      <c r="V1256" s="737" t="n"/>
      <c r="W1256" s="737" t="n"/>
      <c r="X1256" s="737" t="n"/>
      <c r="Y1256" s="737" t="n"/>
      <c r="Z1256" s="737" t="n"/>
      <c r="AA1256" s="737" t="n"/>
      <c r="AB1256" s="737" t="n"/>
      <c r="AC1256" s="737" t="n"/>
      <c r="AD1256" s="737" t="n"/>
      <c r="AE1256" s="737" t="n"/>
      <c r="AF1256" s="737" t="n"/>
      <c r="AG1256" s="737" t="n"/>
      <c r="AH1256" s="737" t="n"/>
      <c r="AI1256" s="737" t="n"/>
      <c r="AJ1256" s="737" t="n"/>
      <c r="AK1256" s="737" t="n"/>
      <c r="AL1256" s="737" t="n"/>
      <c r="AM1256" s="737" t="n"/>
      <c r="AN1256" s="737" t="n"/>
      <c r="AO1256" s="737" t="n"/>
      <c r="AP1256" s="737" t="n"/>
      <c r="AQ1256" s="737" t="n"/>
      <c r="AR1256" s="737" t="n"/>
      <c r="AS1256" s="737" t="n"/>
      <c r="AT1256" s="737" t="n"/>
      <c r="AU1256" s="737" t="n"/>
      <c r="AV1256" s="737" t="n"/>
      <c r="AW1256" s="737" t="n"/>
      <c r="AX1256" s="737" t="n"/>
      <c r="AY1256" s="737" t="n"/>
      <c r="AZ1256" s="737" t="n"/>
      <c r="BA1256" s="737" t="n"/>
      <c r="BB1256" s="737" t="n"/>
      <c r="BC1256" s="737" t="n"/>
      <c r="BD1256" s="737" t="n"/>
      <c r="BE1256" s="737" t="n"/>
      <c r="BF1256" s="737" t="n"/>
      <c r="BG1256" s="737" t="n"/>
      <c r="BH1256" s="737" t="n"/>
      <c r="BI1256" s="737" t="n"/>
      <c r="BJ1256" s="737" t="n"/>
      <c r="BK1256" s="737" t="n"/>
      <c r="BL1256" s="737" t="n"/>
      <c r="BM1256" s="737" t="n"/>
      <c r="BN1256" s="737" t="n"/>
      <c r="BO1256" s="737" t="n"/>
      <c r="BP1256" s="737" t="n"/>
      <c r="BQ1256" s="737" t="n"/>
      <c r="BR1256" s="737" t="n"/>
      <c r="BS1256" s="737" t="n"/>
      <c r="BT1256" s="737" t="n"/>
      <c r="BU1256" s="737" t="n"/>
      <c r="BV1256" s="737" t="n"/>
      <c r="BW1256" s="737" t="n"/>
      <c r="BX1256" s="737" t="n"/>
      <c r="BY1256" s="737" t="n"/>
      <c r="BZ1256" s="737" t="n"/>
      <c r="CA1256" s="737" t="n"/>
      <c r="CB1256" s="737" t="n"/>
      <c r="CC1256" s="737" t="n"/>
      <c r="CD1256" s="737" t="n"/>
      <c r="CE1256" s="737" t="n"/>
      <c r="CF1256" s="737" t="n"/>
      <c r="CG1256" s="737" t="n"/>
      <c r="CH1256" s="737" t="n"/>
      <c r="CI1256" s="737" t="n"/>
      <c r="CJ1256" s="737" t="n"/>
      <c r="CK1256" s="737" t="n"/>
      <c r="CL1256" s="737" t="n"/>
      <c r="CM1256" s="737" t="n"/>
      <c r="CN1256" s="737" t="n"/>
      <c r="CO1256" s="737" t="n"/>
      <c r="CP1256" s="737" t="n"/>
      <c r="CQ1256" s="737" t="n"/>
      <c r="CR1256" s="737" t="n"/>
      <c r="CS1256" s="737" t="n"/>
      <c r="CT1256" s="737" t="n"/>
      <c r="CU1256" s="737" t="n"/>
      <c r="CV1256" s="737" t="n"/>
      <c r="CW1256" s="737" t="n"/>
      <c r="CX1256" s="737" t="n"/>
      <c r="CY1256" s="737" t="n"/>
    </row>
    <row r="1257">
      <c r="A1257" s="737" t="n"/>
      <c r="B1257" s="737" t="n"/>
      <c r="C1257" s="737" t="n"/>
      <c r="D1257" s="737" t="n"/>
      <c r="E1257" s="737" t="n"/>
      <c r="F1257" s="737" t="n"/>
      <c r="G1257" s="737" t="n"/>
      <c r="H1257" s="737" t="n"/>
      <c r="I1257" s="737" t="n"/>
      <c r="J1257" s="737" t="n"/>
      <c r="K1257" s="737" t="n"/>
      <c r="L1257" s="737" t="n"/>
      <c r="M1257" s="737" t="n"/>
      <c r="N1257" s="737" t="n"/>
      <c r="O1257" s="737" t="n"/>
      <c r="P1257" s="737" t="n"/>
      <c r="Q1257" s="737" t="n"/>
      <c r="R1257" s="737" t="n"/>
      <c r="S1257" s="737" t="n"/>
      <c r="T1257" s="737" t="n"/>
      <c r="U1257" s="737" t="n"/>
      <c r="V1257" s="737" t="n"/>
      <c r="W1257" s="737" t="n"/>
      <c r="X1257" s="737" t="n"/>
      <c r="Y1257" s="737" t="n"/>
      <c r="Z1257" s="737" t="n"/>
      <c r="AA1257" s="737" t="n"/>
      <c r="AB1257" s="737" t="n"/>
      <c r="AC1257" s="737" t="n"/>
      <c r="AD1257" s="737" t="n"/>
      <c r="AE1257" s="737" t="n"/>
      <c r="AF1257" s="737" t="n"/>
      <c r="AG1257" s="737" t="n"/>
      <c r="AH1257" s="737" t="n"/>
      <c r="AI1257" s="737" t="n"/>
      <c r="AJ1257" s="737" t="n"/>
      <c r="AK1257" s="737" t="n"/>
      <c r="AL1257" s="737" t="n"/>
      <c r="AM1257" s="737" t="n"/>
      <c r="AN1257" s="737" t="n"/>
      <c r="AO1257" s="737" t="n"/>
      <c r="AP1257" s="737" t="n"/>
      <c r="AQ1257" s="737" t="n"/>
      <c r="AR1257" s="737" t="n"/>
      <c r="AS1257" s="737" t="n"/>
      <c r="AT1257" s="737" t="n"/>
      <c r="AU1257" s="737" t="n"/>
      <c r="AV1257" s="737" t="n"/>
      <c r="AW1257" s="737" t="n"/>
      <c r="AX1257" s="737" t="n"/>
      <c r="AY1257" s="737" t="n"/>
      <c r="AZ1257" s="737" t="n"/>
      <c r="BA1257" s="737" t="n"/>
      <c r="BB1257" s="737" t="n"/>
      <c r="BC1257" s="737" t="n"/>
      <c r="BD1257" s="737" t="n"/>
      <c r="BE1257" s="737" t="n"/>
      <c r="BF1257" s="737" t="n"/>
      <c r="BG1257" s="737" t="n"/>
      <c r="BH1257" s="737" t="n"/>
      <c r="BI1257" s="737" t="n"/>
      <c r="BJ1257" s="737" t="n"/>
      <c r="BK1257" s="737" t="n"/>
      <c r="BL1257" s="737" t="n"/>
      <c r="BM1257" s="737" t="n"/>
      <c r="BN1257" s="737" t="n"/>
      <c r="BO1257" s="737" t="n"/>
      <c r="BP1257" s="737" t="n"/>
      <c r="BQ1257" s="737" t="n"/>
      <c r="BR1257" s="737" t="n"/>
      <c r="BS1257" s="737" t="n"/>
      <c r="BT1257" s="737" t="n"/>
      <c r="BU1257" s="737" t="n"/>
      <c r="BV1257" s="737" t="n"/>
      <c r="BW1257" s="737" t="n"/>
      <c r="BX1257" s="737" t="n"/>
      <c r="BY1257" s="737" t="n"/>
      <c r="BZ1257" s="737" t="n"/>
      <c r="CA1257" s="737" t="n"/>
      <c r="CB1257" s="737" t="n"/>
      <c r="CC1257" s="737" t="n"/>
      <c r="CD1257" s="737" t="n"/>
      <c r="CE1257" s="737" t="n"/>
      <c r="CF1257" s="737" t="n"/>
      <c r="CG1257" s="737" t="n"/>
      <c r="CH1257" s="737" t="n"/>
      <c r="CI1257" s="737" t="n"/>
      <c r="CJ1257" s="737" t="n"/>
      <c r="CK1257" s="737" t="n"/>
      <c r="CL1257" s="737" t="n"/>
      <c r="CM1257" s="737" t="n"/>
      <c r="CN1257" s="737" t="n"/>
      <c r="CO1257" s="737" t="n"/>
      <c r="CP1257" s="737" t="n"/>
      <c r="CQ1257" s="737" t="n"/>
      <c r="CR1257" s="737" t="n"/>
      <c r="CS1257" s="737" t="n"/>
      <c r="CT1257" s="737" t="n"/>
      <c r="CU1257" s="737" t="n"/>
      <c r="CV1257" s="737" t="n"/>
      <c r="CW1257" s="737" t="n"/>
      <c r="CX1257" s="737" t="n"/>
      <c r="CY1257" s="737" t="n"/>
    </row>
    <row r="1258">
      <c r="A1258" s="737" t="n"/>
      <c r="B1258" s="737" t="n"/>
      <c r="C1258" s="737" t="n"/>
      <c r="D1258" s="737" t="n"/>
      <c r="E1258" s="737" t="n"/>
      <c r="F1258" s="737" t="n"/>
      <c r="G1258" s="737" t="n"/>
      <c r="H1258" s="737" t="n"/>
      <c r="I1258" s="737" t="n"/>
      <c r="J1258" s="737" t="n"/>
      <c r="K1258" s="737" t="n"/>
      <c r="L1258" s="737" t="n"/>
      <c r="M1258" s="737" t="n"/>
      <c r="N1258" s="737" t="n"/>
      <c r="O1258" s="737" t="n"/>
      <c r="P1258" s="737" t="n"/>
      <c r="Q1258" s="737" t="n"/>
      <c r="R1258" s="737" t="n"/>
      <c r="S1258" s="737" t="n"/>
      <c r="T1258" s="737" t="n"/>
      <c r="U1258" s="737" t="n"/>
      <c r="V1258" s="737" t="n"/>
      <c r="W1258" s="737" t="n"/>
      <c r="X1258" s="737" t="n"/>
      <c r="Y1258" s="737" t="n"/>
      <c r="Z1258" s="737" t="n"/>
      <c r="AA1258" s="737" t="n"/>
      <c r="AB1258" s="737" t="n"/>
      <c r="AC1258" s="737" t="n"/>
      <c r="AD1258" s="737" t="n"/>
      <c r="AE1258" s="737" t="n"/>
      <c r="AF1258" s="737" t="n"/>
      <c r="AG1258" s="737" t="n"/>
      <c r="AH1258" s="737" t="n"/>
      <c r="AI1258" s="737" t="n"/>
      <c r="AJ1258" s="737" t="n"/>
      <c r="AK1258" s="737" t="n"/>
      <c r="AL1258" s="737" t="n"/>
      <c r="AM1258" s="737" t="n"/>
      <c r="AN1258" s="737" t="n"/>
      <c r="AO1258" s="737" t="n"/>
      <c r="AP1258" s="737" t="n"/>
      <c r="AQ1258" s="737" t="n"/>
      <c r="AR1258" s="737" t="n"/>
      <c r="AS1258" s="737" t="n"/>
      <c r="AT1258" s="737" t="n"/>
      <c r="AU1258" s="737" t="n"/>
      <c r="AV1258" s="737" t="n"/>
      <c r="AW1258" s="737" t="n"/>
      <c r="AX1258" s="737" t="n"/>
      <c r="AY1258" s="737" t="n"/>
      <c r="AZ1258" s="737" t="n"/>
      <c r="BA1258" s="737" t="n"/>
      <c r="BB1258" s="737" t="n"/>
      <c r="BC1258" s="737" t="n"/>
      <c r="BD1258" s="737" t="n"/>
      <c r="BE1258" s="737" t="n"/>
      <c r="BF1258" s="737" t="n"/>
      <c r="BG1258" s="737" t="n"/>
      <c r="BH1258" s="737" t="n"/>
      <c r="BI1258" s="737" t="n"/>
      <c r="BJ1258" s="737" t="n"/>
      <c r="BK1258" s="737" t="n"/>
      <c r="BL1258" s="737" t="n"/>
      <c r="BM1258" s="737" t="n"/>
      <c r="BN1258" s="737" t="n"/>
      <c r="BO1258" s="737" t="n"/>
      <c r="BP1258" s="737" t="n"/>
      <c r="BQ1258" s="737" t="n"/>
      <c r="BR1258" s="737" t="n"/>
      <c r="BS1258" s="737" t="n"/>
      <c r="BT1258" s="737" t="n"/>
      <c r="BU1258" s="737" t="n"/>
      <c r="BV1258" s="737" t="n"/>
      <c r="BW1258" s="737" t="n"/>
      <c r="BX1258" s="737" t="n"/>
      <c r="BY1258" s="737" t="n"/>
      <c r="BZ1258" s="737" t="n"/>
      <c r="CA1258" s="737" t="n"/>
      <c r="CB1258" s="737" t="n"/>
      <c r="CC1258" s="737" t="n"/>
      <c r="CD1258" s="737" t="n"/>
      <c r="CE1258" s="737" t="n"/>
      <c r="CF1258" s="737" t="n"/>
      <c r="CG1258" s="737" t="n"/>
      <c r="CH1258" s="737" t="n"/>
      <c r="CI1258" s="737" t="n"/>
      <c r="CJ1258" s="737" t="n"/>
      <c r="CK1258" s="737" t="n"/>
      <c r="CL1258" s="737" t="n"/>
      <c r="CM1258" s="737" t="n"/>
      <c r="CN1258" s="737" t="n"/>
      <c r="CO1258" s="737" t="n"/>
      <c r="CP1258" s="737" t="n"/>
      <c r="CQ1258" s="737" t="n"/>
      <c r="CR1258" s="737" t="n"/>
      <c r="CS1258" s="737" t="n"/>
      <c r="CT1258" s="737" t="n"/>
      <c r="CU1258" s="737" t="n"/>
      <c r="CV1258" s="737" t="n"/>
      <c r="CW1258" s="737" t="n"/>
      <c r="CX1258" s="737" t="n"/>
      <c r="CY1258" s="737" t="n"/>
    </row>
    <row r="1259">
      <c r="A1259" s="737" t="n"/>
      <c r="B1259" s="737" t="n"/>
      <c r="C1259" s="737" t="n"/>
      <c r="D1259" s="737" t="n"/>
      <c r="E1259" s="737" t="n"/>
      <c r="F1259" s="737" t="n"/>
      <c r="G1259" s="737" t="n"/>
      <c r="H1259" s="737" t="n"/>
      <c r="I1259" s="737" t="n"/>
      <c r="J1259" s="737" t="n"/>
      <c r="K1259" s="737" t="n"/>
      <c r="L1259" s="737" t="n"/>
      <c r="M1259" s="737" t="n"/>
      <c r="N1259" s="737" t="n"/>
      <c r="O1259" s="737" t="n"/>
      <c r="P1259" s="737" t="n"/>
      <c r="Q1259" s="737" t="n"/>
      <c r="R1259" s="737" t="n"/>
      <c r="S1259" s="737" t="n"/>
      <c r="T1259" s="737" t="n"/>
      <c r="U1259" s="737" t="n"/>
      <c r="V1259" s="737" t="n"/>
      <c r="W1259" s="737" t="n"/>
      <c r="X1259" s="737" t="n"/>
      <c r="Y1259" s="737" t="n"/>
      <c r="Z1259" s="737" t="n"/>
      <c r="AA1259" s="737" t="n"/>
      <c r="AB1259" s="737" t="n"/>
      <c r="AC1259" s="737" t="n"/>
      <c r="AD1259" s="737" t="n"/>
      <c r="AE1259" s="737" t="n"/>
      <c r="AF1259" s="737" t="n"/>
      <c r="AG1259" s="737" t="n"/>
      <c r="AH1259" s="737" t="n"/>
      <c r="AI1259" s="737" t="n"/>
      <c r="AJ1259" s="737" t="n"/>
      <c r="AK1259" s="737" t="n"/>
      <c r="AL1259" s="737" t="n"/>
      <c r="AM1259" s="737" t="n"/>
      <c r="AN1259" s="737" t="n"/>
      <c r="AO1259" s="737" t="n"/>
      <c r="AP1259" s="737" t="n"/>
      <c r="AQ1259" s="737" t="n"/>
      <c r="AR1259" s="737" t="n"/>
      <c r="AS1259" s="737" t="n"/>
      <c r="AT1259" s="737" t="n"/>
      <c r="AU1259" s="737" t="n"/>
      <c r="AV1259" s="737" t="n"/>
      <c r="AW1259" s="737" t="n"/>
      <c r="AX1259" s="737" t="n"/>
      <c r="AY1259" s="737" t="n"/>
      <c r="AZ1259" s="737" t="n"/>
      <c r="BA1259" s="737" t="n"/>
      <c r="BB1259" s="737" t="n"/>
      <c r="BC1259" s="737" t="n"/>
      <c r="BD1259" s="737" t="n"/>
      <c r="BE1259" s="737" t="n"/>
      <c r="BF1259" s="737" t="n"/>
      <c r="BG1259" s="737" t="n"/>
      <c r="BH1259" s="737" t="n"/>
      <c r="BI1259" s="737" t="n"/>
      <c r="BJ1259" s="737" t="n"/>
      <c r="BK1259" s="737" t="n"/>
      <c r="BL1259" s="737" t="n"/>
      <c r="BM1259" s="737" t="n"/>
      <c r="BN1259" s="737" t="n"/>
      <c r="BO1259" s="737" t="n"/>
      <c r="BP1259" s="737" t="n"/>
      <c r="BQ1259" s="737" t="n"/>
      <c r="BR1259" s="737" t="n"/>
      <c r="BS1259" s="737" t="n"/>
      <c r="BT1259" s="737" t="n"/>
      <c r="BU1259" s="737" t="n"/>
      <c r="BV1259" s="737" t="n"/>
      <c r="BW1259" s="737" t="n"/>
      <c r="BX1259" s="737" t="n"/>
      <c r="BY1259" s="737" t="n"/>
      <c r="BZ1259" s="737" t="n"/>
      <c r="CA1259" s="737" t="n"/>
      <c r="CB1259" s="737" t="n"/>
      <c r="CC1259" s="737" t="n"/>
      <c r="CD1259" s="737" t="n"/>
      <c r="CE1259" s="737" t="n"/>
      <c r="CF1259" s="737" t="n"/>
      <c r="CG1259" s="737" t="n"/>
      <c r="CH1259" s="737" t="n"/>
      <c r="CI1259" s="737" t="n"/>
      <c r="CJ1259" s="737" t="n"/>
      <c r="CK1259" s="737" t="n"/>
      <c r="CL1259" s="737" t="n"/>
      <c r="CM1259" s="737" t="n"/>
      <c r="CN1259" s="737" t="n"/>
      <c r="CO1259" s="737" t="n"/>
      <c r="CP1259" s="737" t="n"/>
      <c r="CQ1259" s="737" t="n"/>
      <c r="CR1259" s="737" t="n"/>
      <c r="CS1259" s="737" t="n"/>
      <c r="CT1259" s="737" t="n"/>
      <c r="CU1259" s="737" t="n"/>
      <c r="CV1259" s="737" t="n"/>
      <c r="CW1259" s="737" t="n"/>
      <c r="CX1259" s="737" t="n"/>
      <c r="CY1259" s="737" t="n"/>
    </row>
    <row r="1260">
      <c r="A1260" s="737" t="n"/>
      <c r="B1260" s="737" t="n"/>
      <c r="C1260" s="737" t="n"/>
      <c r="D1260" s="737" t="n"/>
      <c r="E1260" s="737" t="n"/>
      <c r="F1260" s="737" t="n"/>
      <c r="G1260" s="737" t="n"/>
      <c r="H1260" s="737" t="n"/>
      <c r="I1260" s="737" t="n"/>
      <c r="J1260" s="737" t="n"/>
      <c r="K1260" s="737" t="n"/>
      <c r="L1260" s="737" t="n"/>
      <c r="M1260" s="737" t="n"/>
      <c r="N1260" s="737" t="n"/>
      <c r="O1260" s="737" t="n"/>
      <c r="P1260" s="737" t="n"/>
      <c r="Q1260" s="737" t="n"/>
      <c r="R1260" s="737" t="n"/>
      <c r="S1260" s="737" t="n"/>
      <c r="T1260" s="737" t="n"/>
      <c r="U1260" s="737" t="n"/>
      <c r="V1260" s="737" t="n"/>
      <c r="W1260" s="737" t="n"/>
      <c r="X1260" s="737" t="n"/>
      <c r="Y1260" s="737" t="n"/>
      <c r="Z1260" s="737" t="n"/>
      <c r="AA1260" s="737" t="n"/>
      <c r="AB1260" s="737" t="n"/>
      <c r="AC1260" s="737" t="n"/>
      <c r="AD1260" s="737" t="n"/>
      <c r="AE1260" s="737" t="n"/>
      <c r="AF1260" s="737" t="n"/>
      <c r="AG1260" s="737" t="n"/>
      <c r="AH1260" s="737" t="n"/>
      <c r="AI1260" s="737" t="n"/>
      <c r="AJ1260" s="737" t="n"/>
      <c r="AK1260" s="737" t="n"/>
      <c r="AL1260" s="737" t="n"/>
      <c r="AM1260" s="737" t="n"/>
      <c r="AN1260" s="737" t="n"/>
      <c r="AO1260" s="737" t="n"/>
      <c r="AP1260" s="737" t="n"/>
      <c r="AQ1260" s="737" t="n"/>
      <c r="AR1260" s="737" t="n"/>
      <c r="AS1260" s="737" t="n"/>
      <c r="AT1260" s="737" t="n"/>
      <c r="AU1260" s="737" t="n"/>
      <c r="AV1260" s="737" t="n"/>
      <c r="AW1260" s="737" t="n"/>
      <c r="AX1260" s="737" t="n"/>
      <c r="AY1260" s="737" t="n"/>
      <c r="AZ1260" s="737" t="n"/>
      <c r="BA1260" s="737" t="n"/>
      <c r="BB1260" s="737" t="n"/>
      <c r="BC1260" s="737" t="n"/>
      <c r="BD1260" s="737" t="n"/>
      <c r="BE1260" s="737" t="n"/>
      <c r="BF1260" s="737" t="n"/>
      <c r="BG1260" s="737" t="n"/>
      <c r="BH1260" s="737" t="n"/>
      <c r="BI1260" s="737" t="n"/>
      <c r="BJ1260" s="737" t="n"/>
      <c r="BK1260" s="737" t="n"/>
      <c r="BL1260" s="737" t="n"/>
      <c r="BM1260" s="737" t="n"/>
      <c r="BN1260" s="737" t="n"/>
      <c r="BO1260" s="737" t="n"/>
      <c r="BP1260" s="737" t="n"/>
      <c r="BQ1260" s="737" t="n"/>
      <c r="BR1260" s="737" t="n"/>
      <c r="BS1260" s="737" t="n"/>
      <c r="BT1260" s="737" t="n"/>
      <c r="BU1260" s="737" t="n"/>
      <c r="BV1260" s="737" t="n"/>
      <c r="BW1260" s="737" t="n"/>
      <c r="BX1260" s="737" t="n"/>
      <c r="BY1260" s="737" t="n"/>
      <c r="BZ1260" s="737" t="n"/>
      <c r="CA1260" s="737" t="n"/>
      <c r="CB1260" s="737" t="n"/>
      <c r="CC1260" s="737" t="n"/>
      <c r="CD1260" s="737" t="n"/>
      <c r="CE1260" s="737" t="n"/>
      <c r="CF1260" s="737" t="n"/>
      <c r="CG1260" s="737" t="n"/>
      <c r="CH1260" s="737" t="n"/>
      <c r="CI1260" s="737" t="n"/>
      <c r="CJ1260" s="737" t="n"/>
      <c r="CK1260" s="737" t="n"/>
      <c r="CL1260" s="737" t="n"/>
      <c r="CM1260" s="737" t="n"/>
      <c r="CN1260" s="737" t="n"/>
      <c r="CO1260" s="737" t="n"/>
      <c r="CP1260" s="737" t="n"/>
      <c r="CQ1260" s="737" t="n"/>
      <c r="CR1260" s="737" t="n"/>
      <c r="CS1260" s="737" t="n"/>
      <c r="CT1260" s="737" t="n"/>
      <c r="CU1260" s="737" t="n"/>
      <c r="CV1260" s="737" t="n"/>
      <c r="CW1260" s="737" t="n"/>
      <c r="CX1260" s="737" t="n"/>
      <c r="CY1260" s="737" t="n"/>
    </row>
    <row r="1261">
      <c r="A1261" s="737" t="n"/>
      <c r="B1261" s="737" t="n"/>
      <c r="C1261" s="737" t="n"/>
      <c r="D1261" s="737" t="n"/>
      <c r="E1261" s="737" t="n"/>
      <c r="F1261" s="737" t="n"/>
      <c r="G1261" s="737" t="n"/>
      <c r="H1261" s="737" t="n"/>
      <c r="I1261" s="737" t="n"/>
      <c r="J1261" s="737" t="n"/>
      <c r="K1261" s="737" t="n"/>
      <c r="L1261" s="737" t="n"/>
      <c r="M1261" s="737" t="n"/>
      <c r="N1261" s="737" t="n"/>
      <c r="O1261" s="737" t="n"/>
      <c r="P1261" s="737" t="n"/>
      <c r="Q1261" s="737" t="n"/>
      <c r="R1261" s="737" t="n"/>
      <c r="S1261" s="737" t="n"/>
      <c r="T1261" s="737" t="n"/>
      <c r="U1261" s="737" t="n"/>
      <c r="V1261" s="737" t="n"/>
      <c r="W1261" s="737" t="n"/>
      <c r="X1261" s="737" t="n"/>
      <c r="Y1261" s="737" t="n"/>
      <c r="Z1261" s="737" t="n"/>
      <c r="AA1261" s="737" t="n"/>
      <c r="AB1261" s="737" t="n"/>
      <c r="AC1261" s="737" t="n"/>
      <c r="AD1261" s="737" t="n"/>
      <c r="AE1261" s="737" t="n"/>
      <c r="AF1261" s="737" t="n"/>
      <c r="AG1261" s="737" t="n"/>
      <c r="AH1261" s="737" t="n"/>
      <c r="AI1261" s="737" t="n"/>
      <c r="AJ1261" s="737" t="n"/>
      <c r="AK1261" s="737" t="n"/>
      <c r="AL1261" s="737" t="n"/>
      <c r="AM1261" s="737" t="n"/>
      <c r="AN1261" s="737" t="n"/>
      <c r="AO1261" s="737" t="n"/>
      <c r="AP1261" s="737" t="n"/>
      <c r="AQ1261" s="737" t="n"/>
      <c r="AR1261" s="737" t="n"/>
      <c r="AS1261" s="737" t="n"/>
      <c r="AT1261" s="737" t="n"/>
      <c r="AU1261" s="737" t="n"/>
      <c r="AV1261" s="737" t="n"/>
      <c r="AW1261" s="737" t="n"/>
      <c r="AX1261" s="737" t="n"/>
      <c r="AY1261" s="737" t="n"/>
      <c r="AZ1261" s="737" t="n"/>
      <c r="BA1261" s="737" t="n"/>
      <c r="BB1261" s="737" t="n"/>
      <c r="BC1261" s="737" t="n"/>
      <c r="BD1261" s="737" t="n"/>
      <c r="BE1261" s="737" t="n"/>
      <c r="BF1261" s="737" t="n"/>
      <c r="BG1261" s="737" t="n"/>
      <c r="BH1261" s="737" t="n"/>
      <c r="BI1261" s="737" t="n"/>
      <c r="BJ1261" s="737" t="n"/>
      <c r="BK1261" s="737" t="n"/>
      <c r="BL1261" s="737" t="n"/>
      <c r="BM1261" s="737" t="n"/>
      <c r="BN1261" s="737" t="n"/>
      <c r="BO1261" s="737" t="n"/>
      <c r="BP1261" s="737" t="n"/>
      <c r="BQ1261" s="737" t="n"/>
      <c r="BR1261" s="737" t="n"/>
      <c r="BS1261" s="737" t="n"/>
      <c r="BT1261" s="737" t="n"/>
      <c r="BU1261" s="737" t="n"/>
      <c r="BV1261" s="737" t="n"/>
      <c r="BW1261" s="737" t="n"/>
      <c r="BX1261" s="737" t="n"/>
      <c r="BY1261" s="737" t="n"/>
      <c r="BZ1261" s="737" t="n"/>
      <c r="CA1261" s="737" t="n"/>
      <c r="CB1261" s="737" t="n"/>
      <c r="CC1261" s="737" t="n"/>
      <c r="CD1261" s="737" t="n"/>
      <c r="CE1261" s="737" t="n"/>
      <c r="CF1261" s="737" t="n"/>
      <c r="CG1261" s="737" t="n"/>
      <c r="CH1261" s="737" t="n"/>
      <c r="CI1261" s="737" t="n"/>
      <c r="CJ1261" s="737" t="n"/>
      <c r="CK1261" s="737" t="n"/>
      <c r="CL1261" s="737" t="n"/>
      <c r="CM1261" s="737" t="n"/>
      <c r="CN1261" s="737" t="n"/>
      <c r="CO1261" s="737" t="n"/>
      <c r="CP1261" s="737" t="n"/>
      <c r="CQ1261" s="737" t="n"/>
      <c r="CR1261" s="737" t="n"/>
      <c r="CS1261" s="737" t="n"/>
      <c r="CT1261" s="737" t="n"/>
      <c r="CU1261" s="737" t="n"/>
      <c r="CV1261" s="737" t="n"/>
      <c r="CW1261" s="737" t="n"/>
      <c r="CX1261" s="737" t="n"/>
      <c r="CY1261" s="737" t="n"/>
    </row>
  </sheetData>
  <autoFilter ref="B172:E187"/>
  <mergeCells count="27">
    <mergeCell ref="O191:Q191"/>
    <mergeCell ref="B138:I138"/>
    <mergeCell ref="U64:X64"/>
    <mergeCell ref="U191:X191"/>
    <mergeCell ref="B191:D191"/>
    <mergeCell ref="I3:K3"/>
    <mergeCell ref="B203:E203"/>
    <mergeCell ref="B212:E212"/>
    <mergeCell ref="O64:Q64"/>
    <mergeCell ref="I64:K64"/>
    <mergeCell ref="I191:K191"/>
    <mergeCell ref="B64:D64"/>
    <mergeCell ref="O76:Q76"/>
    <mergeCell ref="B76:D76"/>
    <mergeCell ref="U96:X96"/>
    <mergeCell ref="U76:X76"/>
    <mergeCell ref="B109:D109"/>
    <mergeCell ref="O3:Q3"/>
    <mergeCell ref="B3:D3"/>
    <mergeCell ref="I96:L96"/>
    <mergeCell ref="B124:F124"/>
    <mergeCell ref="B171:E171"/>
    <mergeCell ref="B96:D96"/>
    <mergeCell ref="U3:X3"/>
    <mergeCell ref="B52:D52"/>
    <mergeCell ref="I76:K76"/>
    <mergeCell ref="B221:I221"/>
  </mergeCells>
  <conditionalFormatting sqref="A1:A201 A221:B252 A261:CY1261 B2:B51 B3:D3 B52:D86 B87:F95 B96:D104 B105:F107 B108:M108 B109:D118 B119:F122 B123:B200 B141:I141 B201:E212 B213:D213 B214:F65536 B224:I224 C1:D51 C123:F123 C125:E136 C137:I137 C139:D200 C222:I252 E1:F4 E47:F53 E59:F65 E71:F77 E96:F97 E109:F110 E139:I169 E170:E172 E183 E189:F192 E196:F200 F125 F136 F170:F214 G1:IV1 G2:H63 G64:I74 G75:H107 G109:M136 G170:T195 G189:X189 G196:X65536 I2:K3 I3:I63 I64:K64 I75:K95 I96:L107 J4:J63 J65:J74 J137:T169 K4:K46 K47:M63 K65:K70 K71:M74 L2:M4 L64:M65 L75:M77 L87:L95 M87:M107 N2:P74 N75:N107 N108:T136 O3:Q3 O64:Q64 O75:O97 O76:Q76 O105:Q107 P75:P104 Q2:Q4 Q47:Q65 Q71:Q77 Q87:Q97 R2:R107 S2:S4 S47:S65 S71:S77 S87:S97 S105:S107 T2:X74 T75:T107 T190:X195 U75:X195 U196:AR272 Y2:AA151 Y154:AA65536 AB2:IV65536 AK1:DU1154">
    <cfRule type="cellIs" priority="26" operator="lessThan" dxfId="16" stopIfTrue="1">
      <formula>0</formula>
    </cfRule>
  </conditionalFormatting>
  <conditionalFormatting sqref="E5:E46 E54:E58 E66:E70 E173:E174 E193:E195 E213">
    <cfRule type="cellIs" priority="27" operator="greaterThan" dxfId="15" stopIfTrue="1">
      <formula>0</formula>
    </cfRule>
  </conditionalFormatting>
  <conditionalFormatting sqref="E178:E179 E214 F6:F46 F55:F58 F67:F70 F111:F118 F194:F195">
    <cfRule type="cellIs" priority="28" operator="greaterThan" dxfId="14" stopIfTrue="1">
      <formula>0</formula>
    </cfRule>
  </conditionalFormatting>
  <conditionalFormatting sqref="E182 E216 O98:O104 S78:S86 S98:S104">
    <cfRule type="cellIs" priority="29" operator="greaterThan" dxfId="13" stopIfTrue="1">
      <formula>0</formula>
    </cfRule>
  </conditionalFormatting>
  <conditionalFormatting sqref="E187:E197 E218 Q5:Q46 Q66:Q70 Q78:Q86 Q98:Q104 Q193:Q195">
    <cfRule type="cellIs" priority="30" operator="greaterThan" dxfId="12" stopIfTrue="1">
      <formula>0</formula>
    </cfRule>
  </conditionalFormatting>
  <conditionalFormatting sqref="E186 F126:F135">
    <cfRule type="cellIs" priority="31" operator="greaterThan" dxfId="11" stopIfTrue="1">
      <formula>0</formula>
    </cfRule>
  </conditionalFormatting>
  <conditionalFormatting sqref="E176 L78:L86">
    <cfRule type="cellIs" priority="32" operator="greaterThan" dxfId="10" stopIfTrue="1">
      <formula>0</formula>
    </cfRule>
  </conditionalFormatting>
  <conditionalFormatting sqref="E181 M78:M86">
    <cfRule type="cellIs" priority="33" operator="greaterThan" dxfId="9" stopIfTrue="1">
      <formula>0</formula>
    </cfRule>
  </conditionalFormatting>
  <conditionalFormatting sqref="E180 E215 F78:F86 M5:M46 M66:M70 M193:M195">
    <cfRule type="cellIs" priority="34" operator="greaterThan" dxfId="8" stopIfTrue="1">
      <formula>0</formula>
    </cfRule>
  </conditionalFormatting>
  <conditionalFormatting sqref="E184 F98:F104">
    <cfRule type="cellIs" priority="35" operator="greaterThan" dxfId="7" stopIfTrue="1">
      <formula>0</formula>
    </cfRule>
  </conditionalFormatting>
  <conditionalFormatting sqref="E175 L5:L46 L66:L70 L193:L195">
    <cfRule type="cellIs" priority="36" operator="greaterThan" dxfId="6" stopIfTrue="1">
      <formula>0</formula>
    </cfRule>
  </conditionalFormatting>
  <conditionalFormatting sqref="E177 E205">
    <cfRule type="cellIs" priority="37" operator="greaterThan" dxfId="5" stopIfTrue="1">
      <formula>0</formula>
    </cfRule>
  </conditionalFormatting>
  <conditionalFormatting sqref="E111:E118 E185">
    <cfRule type="cellIs" priority="38" operator="greaterThan" dxfId="4" stopIfTrue="1">
      <formula>0</formula>
    </cfRule>
  </conditionalFormatting>
  <conditionalFormatting sqref="E98:E104">
    <cfRule type="cellIs" priority="39" operator="greaterThan" dxfId="3" stopIfTrue="1">
      <formula>0</formula>
    </cfRule>
  </conditionalFormatting>
  <conditionalFormatting sqref="E78:E86">
    <cfRule type="cellIs" priority="40" operator="greaterThan" dxfId="2" stopIfTrue="1">
      <formula>0</formula>
    </cfRule>
  </conditionalFormatting>
  <conditionalFormatting sqref="F5 F54 F66 F193">
    <cfRule type="cellIs" priority="41" operator="greaterThan" dxfId="1" stopIfTrue="1">
      <formula>0</formula>
    </cfRule>
  </conditionalFormatting>
  <conditionalFormatting sqref="S5:S46 S66:S70 S193:S195">
    <cfRule type="cellIs" priority="42" operator="greaterThan" dxfId="0" stopIfTrue="1">
      <formula>0</formula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 codeName="Hoja12">
    <outlinePr summaryBelow="1" summaryRight="1"/>
    <pageSetUpPr/>
  </sheetPr>
  <dimension ref="B2:Q48"/>
  <sheetViews>
    <sheetView workbookViewId="0">
      <selection activeCell="C28" sqref="C28"/>
    </sheetView>
  </sheetViews>
  <sheetFormatPr baseColWidth="10" defaultColWidth="11.44140625" defaultRowHeight="13.2"/>
  <cols>
    <col width="11.44140625" customWidth="1" style="168" min="1" max="1"/>
    <col width="6.33203125" customWidth="1" style="168" min="2" max="2"/>
    <col width="7.109375" customWidth="1" style="168" min="3" max="3"/>
    <col width="7.6640625" customWidth="1" style="168" min="4" max="11"/>
    <col width="11.44140625" customWidth="1" style="168" min="12" max="16"/>
    <col width="47.6640625" customWidth="1" style="168" min="17" max="17"/>
    <col width="11.44140625" customWidth="1" style="168" min="18" max="16384"/>
  </cols>
  <sheetData>
    <row r="2">
      <c r="B2" s="180" t="n">
        <v>124</v>
      </c>
      <c r="C2" s="167" t="n"/>
    </row>
    <row r="3">
      <c r="C3" s="167" t="inlineStr">
        <is>
          <t>Adic.</t>
        </is>
      </c>
    </row>
    <row r="4">
      <c r="B4" s="169" t="inlineStr">
        <is>
          <t>P1</t>
        </is>
      </c>
      <c r="C4" s="170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2">
        <f>SUM(C4:K4)</f>
        <v/>
      </c>
      <c r="M4" s="167" t="inlineStr">
        <is>
          <t xml:space="preserve">traslado de poste retirado </t>
        </is>
      </c>
    </row>
    <row r="5">
      <c r="B5" s="173" t="inlineStr">
        <is>
          <t>P2</t>
        </is>
      </c>
      <c r="C5" s="174" t="n"/>
      <c r="D5" s="174" t="n"/>
      <c r="E5" s="174" t="n"/>
      <c r="F5" s="174" t="n"/>
      <c r="G5" s="174" t="n"/>
      <c r="H5" s="174" t="n"/>
      <c r="I5" s="174" t="n"/>
      <c r="J5" s="174" t="n"/>
      <c r="K5" s="174" t="n"/>
      <c r="L5" s="175">
        <f>SUM(C5:K5)</f>
        <v/>
      </c>
      <c r="M5" s="167" t="inlineStr">
        <is>
          <t xml:space="preserve">traslado de poste instalado </t>
        </is>
      </c>
    </row>
    <row r="6" hidden="1" s="450">
      <c r="B6" s="173" t="inlineStr">
        <is>
          <t>P3</t>
        </is>
      </c>
      <c r="C6" s="174" t="n"/>
      <c r="D6" s="174" t="n"/>
      <c r="E6" s="174" t="n"/>
      <c r="F6" s="174" t="n"/>
      <c r="G6" s="174" t="n"/>
      <c r="H6" s="174" t="n"/>
      <c r="I6" s="174" t="n"/>
      <c r="J6" s="174" t="n"/>
      <c r="K6" s="174" t="n"/>
      <c r="L6" s="175">
        <f>SUM(C6:K6)</f>
        <v/>
      </c>
      <c r="M6" s="167" t="n"/>
    </row>
    <row r="7" hidden="1" s="450">
      <c r="B7" s="173" t="inlineStr">
        <is>
          <t>P4</t>
        </is>
      </c>
      <c r="C7" s="174" t="n"/>
      <c r="D7" s="174" t="n"/>
      <c r="E7" s="174" t="n"/>
      <c r="F7" s="174" t="n"/>
      <c r="G7" s="174" t="n"/>
      <c r="H7" s="174" t="n"/>
      <c r="I7" s="174" t="n"/>
      <c r="J7" s="174" t="n"/>
      <c r="K7" s="174" t="n"/>
      <c r="L7" s="175">
        <f>SUM(C7:K7)</f>
        <v/>
      </c>
      <c r="M7" s="167" t="n"/>
    </row>
    <row r="8" hidden="1" s="450">
      <c r="B8" s="173" t="inlineStr">
        <is>
          <t>P5</t>
        </is>
      </c>
      <c r="C8" s="174" t="n"/>
      <c r="D8" s="174" t="n"/>
      <c r="E8" s="174" t="n"/>
      <c r="F8" s="174" t="n"/>
      <c r="G8" s="174" t="n"/>
      <c r="H8" s="174" t="n"/>
      <c r="I8" s="174" t="n"/>
      <c r="J8" s="174" t="n"/>
      <c r="K8" s="174" t="n"/>
      <c r="L8" s="175">
        <f>SUM(C8:K8)</f>
        <v/>
      </c>
      <c r="M8" s="167" t="n"/>
    </row>
    <row r="9" hidden="1" s="450">
      <c r="B9" s="173" t="inlineStr">
        <is>
          <t>P6</t>
        </is>
      </c>
      <c r="C9" s="174" t="n"/>
      <c r="D9" s="174" t="n"/>
      <c r="E9" s="174" t="n"/>
      <c r="F9" s="174" t="n"/>
      <c r="G9" s="174" t="n"/>
      <c r="H9" s="174" t="n"/>
      <c r="I9" s="174" t="n"/>
      <c r="J9" s="174" t="n"/>
      <c r="K9" s="174" t="n"/>
      <c r="L9" s="175">
        <f>SUM(C9:K9)</f>
        <v/>
      </c>
      <c r="M9" s="167" t="n"/>
    </row>
    <row r="10" hidden="1" s="450">
      <c r="B10" s="173" t="inlineStr">
        <is>
          <t>P7</t>
        </is>
      </c>
      <c r="C10" s="174" t="n"/>
      <c r="D10" s="174" t="n"/>
      <c r="E10" s="174" t="n"/>
      <c r="F10" s="174" t="n"/>
      <c r="G10" s="174" t="n"/>
      <c r="H10" s="174" t="n"/>
      <c r="I10" s="174" t="n"/>
      <c r="J10" s="174" t="n"/>
      <c r="K10" s="174" t="n"/>
      <c r="L10" s="175">
        <f>SUM(C10:K10)</f>
        <v/>
      </c>
      <c r="M10" s="167" t="n"/>
    </row>
    <row r="11" hidden="1" s="450">
      <c r="B11" s="173" t="inlineStr">
        <is>
          <t>P8</t>
        </is>
      </c>
      <c r="C11" s="174" t="n"/>
      <c r="D11" s="174" t="n"/>
      <c r="E11" s="174" t="n"/>
      <c r="F11" s="174" t="n"/>
      <c r="G11" s="174" t="n"/>
      <c r="H11" s="174" t="n"/>
      <c r="I11" s="174" t="n"/>
      <c r="J11" s="174" t="n"/>
      <c r="K11" s="174" t="n"/>
      <c r="L11" s="175">
        <f>SUM(C11:K11)</f>
        <v/>
      </c>
      <c r="M11" s="167" t="n"/>
    </row>
    <row r="12" hidden="1" s="450">
      <c r="B12" s="173" t="inlineStr">
        <is>
          <t>P9</t>
        </is>
      </c>
      <c r="C12" s="174" t="n"/>
      <c r="D12" s="174" t="n"/>
      <c r="E12" s="174" t="n"/>
      <c r="F12" s="174" t="n"/>
      <c r="G12" s="174" t="n"/>
      <c r="H12" s="174" t="n"/>
      <c r="I12" s="174" t="n"/>
      <c r="J12" s="174" t="n"/>
      <c r="K12" s="174" t="n"/>
      <c r="L12" s="175">
        <f>SUM(C12:K12)</f>
        <v/>
      </c>
      <c r="M12" s="167" t="n"/>
    </row>
    <row r="13" hidden="1" s="450">
      <c r="B13" s="173" t="inlineStr">
        <is>
          <t>P10</t>
        </is>
      </c>
      <c r="C13" s="174" t="n"/>
      <c r="D13" s="174" t="n"/>
      <c r="E13" s="174" t="n"/>
      <c r="F13" s="174" t="n"/>
      <c r="G13" s="174" t="n"/>
      <c r="H13" s="174" t="n"/>
      <c r="I13" s="174" t="n"/>
      <c r="J13" s="174" t="n"/>
      <c r="K13" s="174" t="n"/>
      <c r="L13" s="175">
        <f>SUM(C13:K13)</f>
        <v/>
      </c>
      <c r="M13" s="167" t="n"/>
    </row>
    <row r="14" hidden="1" s="450">
      <c r="B14" s="173" t="inlineStr">
        <is>
          <t>P11</t>
        </is>
      </c>
      <c r="C14" s="174" t="n"/>
      <c r="D14" s="174" t="n"/>
      <c r="E14" s="174" t="n"/>
      <c r="F14" s="174" t="n"/>
      <c r="G14" s="174" t="n"/>
      <c r="H14" s="174" t="n"/>
      <c r="I14" s="174" t="n"/>
      <c r="J14" s="174" t="n"/>
      <c r="K14" s="174" t="n"/>
      <c r="L14" s="175">
        <f>SUM(C14:K14)</f>
        <v/>
      </c>
      <c r="M14" s="167" t="n"/>
    </row>
    <row r="15" hidden="1" s="450">
      <c r="B15" s="176" t="inlineStr">
        <is>
          <t>P12</t>
        </is>
      </c>
      <c r="C15" s="177" t="n"/>
      <c r="D15" s="177" t="n"/>
      <c r="E15" s="177" t="n"/>
      <c r="F15" s="177" t="n"/>
      <c r="G15" s="177" t="n"/>
      <c r="H15" s="177" t="n"/>
      <c r="I15" s="177" t="n"/>
      <c r="J15" s="177" t="n"/>
      <c r="K15" s="177" t="n"/>
      <c r="L15" s="178">
        <f>SUM(C15:K15)</f>
        <v/>
      </c>
      <c r="M15" s="167" t="n"/>
    </row>
    <row r="16" ht="13.8" customHeight="1" s="450" thickBot="1">
      <c r="L16" s="179">
        <f>SUM(L4:L15)</f>
        <v/>
      </c>
    </row>
    <row r="17" ht="13.8" customHeight="1" s="450" thickTop="1">
      <c r="B17" s="180" t="inlineStr">
        <is>
          <t>Acarreo material p/cimentado</t>
        </is>
      </c>
      <c r="C17" s="167" t="n"/>
    </row>
    <row r="18">
      <c r="C18" s="167" t="inlineStr">
        <is>
          <t>Adic.</t>
        </is>
      </c>
      <c r="P18" s="376" t="inlineStr">
        <is>
          <t>Viaje</t>
        </is>
      </c>
      <c r="Q18" s="376" t="inlineStr">
        <is>
          <t>Descripcion</t>
        </is>
      </c>
    </row>
    <row r="19">
      <c r="B19" s="169" t="inlineStr">
        <is>
          <t>P1</t>
        </is>
      </c>
      <c r="C19" s="170">
        <f>+C4</f>
        <v/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  <c r="L19" s="172">
        <f>SUM(C19:K19)</f>
        <v/>
      </c>
      <c r="M19" s="167" t="n"/>
      <c r="P19" s="376" t="n">
        <v>1</v>
      </c>
      <c r="Q19" s="376" t="inlineStr">
        <is>
          <t>Acarreo de equipos cabria - Ida</t>
        </is>
      </c>
    </row>
    <row r="20">
      <c r="B20" s="173" t="inlineStr">
        <is>
          <t>P2</t>
        </is>
      </c>
      <c r="C20" s="174">
        <f>+D4</f>
        <v/>
      </c>
      <c r="D20" s="174" t="n"/>
      <c r="E20" s="174" t="n"/>
      <c r="F20" s="174" t="n"/>
      <c r="G20" s="174" t="n"/>
      <c r="H20" s="174" t="n"/>
      <c r="I20" s="174" t="n"/>
      <c r="J20" s="174" t="n"/>
      <c r="K20" s="174" t="n"/>
      <c r="L20" s="175">
        <f>SUM(C20:K20)</f>
        <v/>
      </c>
      <c r="M20" s="167" t="n"/>
      <c r="P20" s="376" t="n">
        <v>2</v>
      </c>
      <c r="Q20" s="376" t="inlineStr">
        <is>
          <t>Acarreo de equipos cabria - Vuelta</t>
        </is>
      </c>
    </row>
    <row r="21">
      <c r="B21" s="173" t="inlineStr">
        <is>
          <t>P3</t>
        </is>
      </c>
      <c r="C21" s="174">
        <f>+E4</f>
        <v/>
      </c>
      <c r="D21" s="174" t="n"/>
      <c r="E21" s="174" t="n"/>
      <c r="F21" s="174" t="n"/>
      <c r="G21" s="174" t="n"/>
      <c r="H21" s="174" t="n"/>
      <c r="I21" s="174" t="n"/>
      <c r="J21" s="174" t="n"/>
      <c r="K21" s="174" t="n"/>
      <c r="L21" s="175">
        <f>SUM(C21:K21)</f>
        <v/>
      </c>
      <c r="M21" s="167" t="n"/>
      <c r="P21" s="376" t="n">
        <v>3</v>
      </c>
      <c r="Q21" s="376" t="inlineStr">
        <is>
          <t>Acarreo de equipos Tilfor y otros - Ida</t>
        </is>
      </c>
    </row>
    <row r="22">
      <c r="B22" s="173" t="inlineStr">
        <is>
          <t>P4</t>
        </is>
      </c>
      <c r="C22" s="174">
        <f>+F4</f>
        <v/>
      </c>
      <c r="D22" s="174" t="n"/>
      <c r="E22" s="174" t="n"/>
      <c r="F22" s="174" t="n"/>
      <c r="G22" s="174" t="n"/>
      <c r="H22" s="174" t="n"/>
      <c r="I22" s="174" t="n"/>
      <c r="J22" s="174" t="n"/>
      <c r="K22" s="174" t="n"/>
      <c r="L22" s="175">
        <f>SUM(C22:K22)</f>
        <v/>
      </c>
      <c r="M22" s="167" t="n"/>
      <c r="P22" s="376" t="n">
        <v>4</v>
      </c>
      <c r="Q22" s="376" t="inlineStr">
        <is>
          <t>Acarreo de equipos Tilfor y otros - Vuelta</t>
        </is>
      </c>
    </row>
    <row r="23">
      <c r="B23" s="173" t="inlineStr">
        <is>
          <t>P5</t>
        </is>
      </c>
      <c r="C23" s="174">
        <f>+G4</f>
        <v/>
      </c>
      <c r="D23" s="174" t="n"/>
      <c r="E23" s="174" t="n"/>
      <c r="F23" s="174" t="n"/>
      <c r="G23" s="174" t="n"/>
      <c r="H23" s="174" t="n"/>
      <c r="I23" s="174" t="n"/>
      <c r="J23" s="174" t="n"/>
      <c r="K23" s="174" t="n"/>
      <c r="L23" s="175">
        <f>SUM(C23:K23)</f>
        <v/>
      </c>
      <c r="M23" s="167" t="n"/>
      <c r="P23" s="376" t="n">
        <v>5</v>
      </c>
      <c r="Q23" s="376" t="inlineStr">
        <is>
          <t>Acarreo de agregados para cimentacion</t>
        </is>
      </c>
    </row>
    <row r="24">
      <c r="B24" s="173" t="inlineStr">
        <is>
          <t>P6</t>
        </is>
      </c>
      <c r="C24" s="174">
        <f>+H4</f>
        <v/>
      </c>
      <c r="D24" s="174" t="n"/>
      <c r="E24" s="174" t="n"/>
      <c r="F24" s="174" t="n"/>
      <c r="G24" s="174" t="n"/>
      <c r="H24" s="174" t="n"/>
      <c r="I24" s="174" t="n"/>
      <c r="J24" s="174" t="n"/>
      <c r="K24" s="174" t="n"/>
      <c r="L24" s="175">
        <f>SUM(C24:K24)</f>
        <v/>
      </c>
      <c r="M24" s="167" t="n"/>
      <c r="P24" s="376" t="n">
        <v>6</v>
      </c>
      <c r="Q24" s="376" t="inlineStr">
        <is>
          <t>Acarreo de desmonte</t>
        </is>
      </c>
    </row>
    <row r="25">
      <c r="B25" s="173" t="inlineStr">
        <is>
          <t>P7</t>
        </is>
      </c>
      <c r="C25" s="174">
        <f>+I4</f>
        <v/>
      </c>
      <c r="D25" s="174" t="n"/>
      <c r="E25" s="174" t="n"/>
      <c r="F25" s="174" t="n"/>
      <c r="G25" s="174" t="n"/>
      <c r="H25" s="174" t="n"/>
      <c r="I25" s="174" t="n"/>
      <c r="J25" s="174" t="n"/>
      <c r="K25" s="174" t="n"/>
      <c r="L25" s="175">
        <f>SUM(C25:K25)</f>
        <v/>
      </c>
      <c r="M25" s="167" t="n"/>
    </row>
    <row r="26">
      <c r="B26" s="173" t="inlineStr">
        <is>
          <t>P8</t>
        </is>
      </c>
      <c r="C26" s="174">
        <f>+J4</f>
        <v/>
      </c>
      <c r="D26" s="174" t="n"/>
      <c r="E26" s="174" t="n"/>
      <c r="F26" s="174" t="n"/>
      <c r="G26" s="174" t="n"/>
      <c r="H26" s="174" t="n"/>
      <c r="I26" s="174" t="n"/>
      <c r="J26" s="174" t="n"/>
      <c r="K26" s="174" t="n"/>
      <c r="L26" s="175">
        <f>SUM(C26:K26)</f>
        <v/>
      </c>
      <c r="M26" s="167" t="n"/>
    </row>
    <row r="27">
      <c r="B27" s="173" t="inlineStr">
        <is>
          <t>P9</t>
        </is>
      </c>
      <c r="C27" s="174">
        <f>+K4</f>
        <v/>
      </c>
      <c r="D27" s="174" t="n"/>
      <c r="E27" s="174" t="n"/>
      <c r="F27" s="174" t="n"/>
      <c r="G27" s="174" t="n"/>
      <c r="H27" s="174" t="n"/>
      <c r="I27" s="174" t="n"/>
      <c r="J27" s="174" t="n"/>
      <c r="K27" s="174" t="n"/>
      <c r="L27" s="175">
        <f>SUM(C27:K27)</f>
        <v/>
      </c>
      <c r="M27" s="167" t="n"/>
    </row>
    <row r="28">
      <c r="B28" s="173" t="inlineStr">
        <is>
          <t>P10</t>
        </is>
      </c>
      <c r="C28" s="174" t="n"/>
      <c r="D28" s="174" t="n"/>
      <c r="E28" s="174" t="n"/>
      <c r="F28" s="174" t="n"/>
      <c r="G28" s="174" t="n"/>
      <c r="H28" s="174" t="n"/>
      <c r="I28" s="174" t="n"/>
      <c r="J28" s="174" t="n"/>
      <c r="K28" s="174" t="n"/>
      <c r="L28" s="175">
        <f>SUM(C28:K28)</f>
        <v/>
      </c>
      <c r="M28" s="167" t="n"/>
    </row>
    <row r="29">
      <c r="B29" s="173" t="inlineStr">
        <is>
          <t>P11</t>
        </is>
      </c>
      <c r="C29" s="174" t="n"/>
      <c r="D29" s="174" t="n"/>
      <c r="E29" s="174" t="n"/>
      <c r="F29" s="174" t="n"/>
      <c r="G29" s="174" t="n"/>
      <c r="H29" s="174" t="n"/>
      <c r="I29" s="174" t="n"/>
      <c r="J29" s="174" t="n"/>
      <c r="K29" s="174" t="n"/>
      <c r="L29" s="175">
        <f>SUM(C29:K29)</f>
        <v/>
      </c>
      <c r="M29" s="167" t="n"/>
    </row>
    <row r="30">
      <c r="B30" s="176" t="inlineStr">
        <is>
          <t>P12</t>
        </is>
      </c>
      <c r="C30" s="177" t="n"/>
      <c r="D30" s="177" t="n"/>
      <c r="E30" s="177" t="n"/>
      <c r="F30" s="177" t="n"/>
      <c r="G30" s="177" t="n"/>
      <c r="H30" s="177" t="n"/>
      <c r="I30" s="177" t="n"/>
      <c r="J30" s="177" t="n"/>
      <c r="K30" s="177" t="n"/>
      <c r="L30" s="178">
        <f>SUM(C30:K30)</f>
        <v/>
      </c>
      <c r="M30" s="167" t="n"/>
    </row>
    <row r="31" ht="13.8" customHeight="1" s="450" thickBot="1">
      <c r="L31" s="179">
        <f>SUM(L19:L30)</f>
        <v/>
      </c>
      <c r="M31" s="179" t="n">
        <v>6</v>
      </c>
      <c r="N31" s="179">
        <f>+(M31*L31)</f>
        <v/>
      </c>
    </row>
    <row r="32" ht="13.8" customHeight="1" s="450" thickTop="1">
      <c r="B32" s="180" t="inlineStr">
        <is>
          <t>Acarreo material p/pozo tierra</t>
        </is>
      </c>
      <c r="C32" s="167" t="n"/>
      <c r="N32" s="168" t="n">
        <v>-100</v>
      </c>
    </row>
    <row r="33">
      <c r="C33" s="167" t="inlineStr">
        <is>
          <t>Adic.</t>
        </is>
      </c>
      <c r="N33" s="362">
        <f>+N32+N31</f>
        <v/>
      </c>
    </row>
    <row r="34">
      <c r="B34" s="169" t="inlineStr">
        <is>
          <t>P1</t>
        </is>
      </c>
      <c r="C34" s="170" t="n"/>
      <c r="D34" s="171" t="n"/>
      <c r="E34" s="171" t="n"/>
      <c r="F34" s="171" t="n"/>
      <c r="G34" s="171" t="n"/>
      <c r="H34" s="171" t="n"/>
      <c r="I34" s="171" t="n"/>
      <c r="J34" s="171" t="n"/>
      <c r="K34" s="171" t="n"/>
      <c r="L34" s="172">
        <f>SUM(C34:K34)</f>
        <v/>
      </c>
      <c r="M34" s="167" t="n"/>
    </row>
    <row r="35">
      <c r="B35" s="173" t="inlineStr">
        <is>
          <t>P2</t>
        </is>
      </c>
      <c r="C35" s="174" t="n"/>
      <c r="D35" s="174" t="n"/>
      <c r="E35" s="174" t="n"/>
      <c r="F35" s="174" t="n"/>
      <c r="G35" s="174" t="n"/>
      <c r="H35" s="174" t="n"/>
      <c r="I35" s="174" t="n"/>
      <c r="J35" s="174" t="n"/>
      <c r="K35" s="174" t="n"/>
      <c r="L35" s="175">
        <f>SUM(C35:K35)</f>
        <v/>
      </c>
      <c r="M35" s="167" t="n"/>
    </row>
    <row r="36">
      <c r="B36" s="173" t="inlineStr">
        <is>
          <t>P3</t>
        </is>
      </c>
      <c r="C36" s="174" t="n"/>
      <c r="D36" s="174" t="n"/>
      <c r="E36" s="174" t="n"/>
      <c r="F36" s="174" t="n"/>
      <c r="G36" s="174" t="n"/>
      <c r="H36" s="174" t="n"/>
      <c r="I36" s="174" t="n"/>
      <c r="J36" s="174" t="n"/>
      <c r="K36" s="174" t="n"/>
      <c r="L36" s="175">
        <f>SUM(C36:K36)</f>
        <v/>
      </c>
      <c r="M36" s="167" t="n"/>
    </row>
    <row r="37">
      <c r="B37" s="173" t="inlineStr">
        <is>
          <t>P4</t>
        </is>
      </c>
      <c r="C37" s="174" t="n"/>
      <c r="D37" s="174" t="n"/>
      <c r="E37" s="174" t="n"/>
      <c r="F37" s="174" t="n"/>
      <c r="G37" s="174" t="n"/>
      <c r="H37" s="174" t="n"/>
      <c r="I37" s="174" t="n"/>
      <c r="J37" s="174" t="n"/>
      <c r="K37" s="174" t="n"/>
      <c r="L37" s="175">
        <f>SUM(C37:K37)</f>
        <v/>
      </c>
      <c r="M37" s="167" t="n"/>
    </row>
    <row r="38">
      <c r="B38" s="173" t="inlineStr">
        <is>
          <t>P5</t>
        </is>
      </c>
      <c r="C38" s="174" t="n"/>
      <c r="D38" s="174" t="n"/>
      <c r="E38" s="174" t="n"/>
      <c r="F38" s="174" t="n"/>
      <c r="G38" s="174" t="n"/>
      <c r="H38" s="174" t="n"/>
      <c r="I38" s="174" t="n"/>
      <c r="J38" s="174" t="n"/>
      <c r="K38" s="174" t="n"/>
      <c r="L38" s="175">
        <f>SUM(C38:K38)</f>
        <v/>
      </c>
      <c r="M38" s="167" t="n"/>
    </row>
    <row r="39">
      <c r="B39" s="173" t="inlineStr">
        <is>
          <t>P6</t>
        </is>
      </c>
      <c r="C39" s="174" t="n"/>
      <c r="D39" s="174" t="n"/>
      <c r="E39" s="174" t="n"/>
      <c r="F39" s="174" t="n"/>
      <c r="G39" s="174" t="n"/>
      <c r="H39" s="174" t="n"/>
      <c r="I39" s="174" t="n"/>
      <c r="J39" s="174" t="n"/>
      <c r="K39" s="174" t="n"/>
      <c r="L39" s="175">
        <f>SUM(C39:K39)</f>
        <v/>
      </c>
      <c r="M39" s="167" t="n"/>
    </row>
    <row r="40">
      <c r="B40" s="173" t="inlineStr">
        <is>
          <t>P7</t>
        </is>
      </c>
      <c r="C40" s="174" t="n"/>
      <c r="D40" s="174" t="n"/>
      <c r="E40" s="174" t="n"/>
      <c r="F40" s="174" t="n"/>
      <c r="G40" s="174" t="n"/>
      <c r="H40" s="174" t="n"/>
      <c r="I40" s="174" t="n"/>
      <c r="J40" s="174" t="n"/>
      <c r="K40" s="174" t="n"/>
      <c r="L40" s="175">
        <f>SUM(C40:K40)</f>
        <v/>
      </c>
      <c r="M40" s="167" t="n"/>
    </row>
    <row r="41">
      <c r="B41" s="173" t="inlineStr">
        <is>
          <t>P8</t>
        </is>
      </c>
      <c r="C41" s="174" t="n"/>
      <c r="D41" s="174" t="n"/>
      <c r="E41" s="174" t="n"/>
      <c r="F41" s="174" t="n"/>
      <c r="G41" s="174" t="n"/>
      <c r="H41" s="174" t="n"/>
      <c r="I41" s="174" t="n"/>
      <c r="J41" s="174" t="n"/>
      <c r="K41" s="174" t="n"/>
      <c r="L41" s="175">
        <f>SUM(C41:K41)</f>
        <v/>
      </c>
      <c r="M41" s="167" t="n"/>
    </row>
    <row r="42">
      <c r="B42" s="173" t="inlineStr">
        <is>
          <t>P9</t>
        </is>
      </c>
      <c r="C42" s="174" t="n"/>
      <c r="D42" s="174" t="n"/>
      <c r="E42" s="174" t="n"/>
      <c r="F42" s="174" t="n"/>
      <c r="G42" s="174" t="n"/>
      <c r="H42" s="174" t="n"/>
      <c r="I42" s="174" t="n"/>
      <c r="J42" s="174" t="n"/>
      <c r="K42" s="174" t="n"/>
      <c r="L42" s="175">
        <f>SUM(C42:K42)</f>
        <v/>
      </c>
      <c r="M42" s="167" t="n"/>
    </row>
    <row r="43">
      <c r="B43" s="173" t="inlineStr">
        <is>
          <t>P10</t>
        </is>
      </c>
      <c r="C43" s="174" t="n"/>
      <c r="D43" s="174" t="n"/>
      <c r="E43" s="174" t="n"/>
      <c r="F43" s="174" t="n"/>
      <c r="G43" s="174" t="n"/>
      <c r="H43" s="174" t="n"/>
      <c r="I43" s="174" t="n"/>
      <c r="J43" s="174" t="n"/>
      <c r="K43" s="174" t="n"/>
      <c r="L43" s="175">
        <f>SUM(C43:K43)</f>
        <v/>
      </c>
      <c r="M43" s="167" t="n"/>
    </row>
    <row r="44">
      <c r="B44" s="173" t="inlineStr">
        <is>
          <t>P11</t>
        </is>
      </c>
      <c r="C44" s="174" t="n"/>
      <c r="D44" s="174" t="n"/>
      <c r="E44" s="174" t="n"/>
      <c r="F44" s="174" t="n"/>
      <c r="G44" s="174" t="n"/>
      <c r="H44" s="174" t="n"/>
      <c r="I44" s="174" t="n"/>
      <c r="J44" s="174" t="n"/>
      <c r="K44" s="174" t="n"/>
      <c r="L44" s="175">
        <f>SUM(C44:K44)</f>
        <v/>
      </c>
      <c r="M44" s="167" t="n"/>
    </row>
    <row r="45">
      <c r="B45" s="176" t="inlineStr">
        <is>
          <t>P12</t>
        </is>
      </c>
      <c r="C45" s="177" t="n"/>
      <c r="D45" s="177" t="n"/>
      <c r="E45" s="177" t="n"/>
      <c r="F45" s="177" t="n"/>
      <c r="G45" s="177" t="n"/>
      <c r="H45" s="177" t="n"/>
      <c r="I45" s="177" t="n"/>
      <c r="J45" s="177" t="n"/>
      <c r="K45" s="177" t="n"/>
      <c r="L45" s="178">
        <f>SUM(C45:K45)</f>
        <v/>
      </c>
      <c r="M45" s="167" t="n"/>
    </row>
    <row r="46" ht="13.8" customHeight="1" s="450" thickBot="1">
      <c r="L46" s="179">
        <f>SUM(L34:L45)</f>
        <v/>
      </c>
    </row>
    <row r="47" ht="7.5" customHeight="1" s="450" thickTop="1"/>
    <row r="48" ht="13.8" customHeight="1" s="450" thickBot="1">
      <c r="L48" s="179">
        <f>L31+L46</f>
        <v/>
      </c>
    </row>
    <row r="49" ht="13.8" customHeight="1" s="450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jrodrigo</dc:creator>
  <dcterms:created xsi:type="dcterms:W3CDTF">2002-06-22T22:40:17Z</dcterms:created>
  <dcterms:modified xsi:type="dcterms:W3CDTF">2026-09-16T22:22:29Z</dcterms:modified>
  <cp:lastModifiedBy>Alexander Argandoña</cp:lastModifiedBy>
  <cp:lastPrinted>2026-03-24T15:22:27Z</cp:lastPrinted>
</cp:coreProperties>
</file>